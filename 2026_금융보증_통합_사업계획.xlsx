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통합" sheetId="1" state="visible" r:id="rId1"/>
    <sheet xmlns:r="http://schemas.openxmlformats.org/officeDocument/2006/relationships" name="금융" sheetId="2" state="visible" r:id="rId2"/>
    <sheet xmlns:r="http://schemas.openxmlformats.org/officeDocument/2006/relationships" name="보증" sheetId="3" state="visible" r:id="rId3"/>
    <sheet xmlns:r="http://schemas.openxmlformats.org/officeDocument/2006/relationships" name="Raw_금융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yyyy-mm-dd h:mm:ss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color rgb="00000000"/>
      <sz val="9"/>
    </font>
    <font>
      <name val="Arial"/>
      <b val="1"/>
      <color rgb="00000000"/>
      <sz val="10"/>
    </font>
    <font>
      <name val="Arial"/>
      <color rgb="00000000"/>
      <sz val="10"/>
    </font>
    <font>
      <name val="Arial"/>
      <i val="1"/>
      <color rgb="00808080"/>
      <sz val="9"/>
    </font>
    <font>
      <name val="Arial"/>
      <b val="1"/>
      <i val="1"/>
      <color rgb="00808080"/>
      <sz val="9"/>
    </font>
    <font>
      <name val="Arial"/>
      <color rgb="00595959"/>
      <sz val="9"/>
    </font>
  </fonts>
  <fills count="12">
    <fill>
      <patternFill/>
    </fill>
    <fill>
      <patternFill patternType="gray125"/>
    </fill>
    <fill>
      <patternFill patternType="solid"/>
    </fill>
    <fill>
      <patternFill patternType="solid">
        <fgColor rgb="00595959"/>
      </patternFill>
    </fill>
    <fill>
      <patternFill patternType="solid">
        <fgColor rgb="00BFBFBF"/>
      </patternFill>
    </fill>
    <fill>
      <patternFill patternType="solid">
        <fgColor rgb="00999999"/>
      </patternFill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FFF7DC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/>
    </xf>
    <xf numFmtId="3" fontId="6" fillId="6" borderId="1" applyAlignment="1" pivotButton="0" quotePrefix="0" xfId="0">
      <alignment horizontal="right" vertical="center"/>
    </xf>
    <xf numFmtId="0" fontId="6" fillId="9" borderId="1" applyAlignment="1" pivotButton="0" quotePrefix="0" xfId="0">
      <alignment horizontal="left" vertical="center"/>
    </xf>
    <xf numFmtId="3" fontId="6" fillId="9" borderId="1" applyAlignment="1" pivotButton="0" quotePrefix="0" xfId="0">
      <alignment horizontal="right" vertical="center"/>
    </xf>
    <xf numFmtId="0" fontId="8" fillId="8" borderId="1" applyAlignment="1" pivotButton="0" quotePrefix="0" xfId="0">
      <alignment horizontal="left" vertical="center"/>
    </xf>
    <xf numFmtId="164" fontId="8" fillId="8" borderId="1" applyAlignment="1" pivotButton="0" quotePrefix="0" xfId="0">
      <alignment horizontal="right" vertical="center"/>
    </xf>
    <xf numFmtId="164" fontId="9" fillId="10" borderId="1" applyAlignment="1" pivotButton="0" quotePrefix="0" xfId="0">
      <alignment horizontal="right" vertical="center"/>
    </xf>
    <xf numFmtId="0" fontId="6" fillId="10" borderId="1" applyAlignment="1" pivotButton="0" quotePrefix="0" xfId="0">
      <alignment horizontal="left" vertical="center"/>
    </xf>
    <xf numFmtId="3" fontId="6" fillId="1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3" fontId="6" fillId="5" borderId="1" applyAlignment="1" pivotButton="0" quotePrefix="0" xfId="0">
      <alignment horizontal="right" vertical="center"/>
    </xf>
    <xf numFmtId="0" fontId="6" fillId="7" borderId="1" applyAlignment="1" pivotButton="0" quotePrefix="0" xfId="0">
      <alignment horizontal="left" vertical="center"/>
    </xf>
    <xf numFmtId="3" fontId="6" fillId="7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left" vertical="center"/>
    </xf>
    <xf numFmtId="3" fontId="7" fillId="8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left" vertical="center"/>
    </xf>
    <xf numFmtId="3" fontId="7" fillId="7" borderId="1" applyAlignment="1" pivotButton="0" quotePrefix="0" xfId="0">
      <alignment horizontal="right" vertical="center"/>
    </xf>
    <xf numFmtId="3" fontId="7" fillId="11" borderId="1" applyAlignment="1" pivotButton="0" quotePrefix="0" xfId="0">
      <alignment horizontal="right" vertical="center"/>
    </xf>
    <xf numFmtId="3" fontId="7" fillId="9" borderId="1" applyAlignment="1" pivotButton="0" quotePrefix="0" xfId="0">
      <alignment horizontal="right" vertical="center"/>
    </xf>
    <xf numFmtId="0" fontId="6" fillId="8" borderId="1" applyAlignment="1" pivotButton="0" quotePrefix="0" xfId="0">
      <alignment horizontal="left" vertical="center"/>
    </xf>
    <xf numFmtId="3" fontId="6" fillId="8" borderId="1" applyAlignment="1" pivotButton="0" quotePrefix="0" xfId="0">
      <alignment horizontal="right" vertical="center"/>
    </xf>
    <xf numFmtId="0" fontId="10" fillId="8" borderId="1" applyAlignment="1" pivotButton="0" quotePrefix="0" xfId="0">
      <alignment horizontal="left" vertic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5" customWidth="1" min="14" max="14"/>
  </cols>
  <sheetData>
    <row r="1">
      <c r="A1" s="1" t="inlineStr">
        <is>
          <t>2026년 금융·보증 통합 사업계획</t>
        </is>
      </c>
    </row>
    <row r="2">
      <c r="A2" s="2" t="inlineStr">
        <is>
          <t>단위: 원 ｜ 역년(CY)2026 1~12월 ｜ 금융·보증 탭 셀 직접 참조 → 실적 입력 시 전부 자동 갱신</t>
        </is>
      </c>
    </row>
    <row r="3">
      <c r="A3" s="3" t="inlineStr">
        <is>
          <t>구분</t>
        </is>
      </c>
      <c r="B3" s="3" t="inlineStr">
        <is>
          <t>1월</t>
        </is>
      </c>
      <c r="C3" s="3" t="inlineStr">
        <is>
          <t>2월</t>
        </is>
      </c>
      <c r="D3" s="3" t="inlineStr">
        <is>
          <t>3월</t>
        </is>
      </c>
      <c r="E3" s="3" t="inlineStr">
        <is>
          <t>4월</t>
        </is>
      </c>
      <c r="F3" s="3" t="inlineStr">
        <is>
          <t>5월</t>
        </is>
      </c>
      <c r="G3" s="3" t="inlineStr">
        <is>
          <t>6월</t>
        </is>
      </c>
      <c r="H3" s="3" t="inlineStr">
        <is>
          <t>7월</t>
        </is>
      </c>
      <c r="I3" s="3" t="inlineStr">
        <is>
          <t>8월</t>
        </is>
      </c>
      <c r="J3" s="3" t="inlineStr">
        <is>
          <t>9월</t>
        </is>
      </c>
      <c r="K3" s="3" t="inlineStr">
        <is>
          <t>10월</t>
        </is>
      </c>
      <c r="L3" s="3" t="inlineStr">
        <is>
          <t>11월</t>
        </is>
      </c>
      <c r="M3" s="3" t="inlineStr">
        <is>
          <t>12월</t>
        </is>
      </c>
      <c r="N3" s="3" t="inlineStr">
        <is>
          <t>연간 합계</t>
        </is>
      </c>
    </row>
    <row r="4">
      <c r="A4" s="4" t="inlineStr">
        <is>
          <t>Ⅰ. 거래 / 실행 규모  (금융=여신액 ｜ 보증=결제액)</t>
        </is>
      </c>
    </row>
    <row r="5">
      <c r="A5" s="5" t="inlineStr">
        <is>
          <t>금융 여신액 (계획)</t>
        </is>
      </c>
      <c r="B5" s="6">
        <f>'금융'!B7</f>
        <v/>
      </c>
      <c r="C5" s="6">
        <f>'금융'!C7</f>
        <v/>
      </c>
      <c r="D5" s="6">
        <f>'금융'!D7</f>
        <v/>
      </c>
      <c r="E5" s="6">
        <f>'금융'!E7</f>
        <v/>
      </c>
      <c r="F5" s="6">
        <f>'금융'!F7</f>
        <v/>
      </c>
      <c r="G5" s="6">
        <f>'금융'!G7</f>
        <v/>
      </c>
      <c r="H5" s="6">
        <f>'금융'!H7</f>
        <v/>
      </c>
      <c r="I5" s="6">
        <f>'금융'!I7</f>
        <v/>
      </c>
      <c r="J5" s="6">
        <f>'금융'!J7</f>
        <v/>
      </c>
      <c r="K5" s="6">
        <f>'금융'!K7</f>
        <v/>
      </c>
      <c r="L5" s="6">
        <f>'금융'!L7</f>
        <v/>
      </c>
      <c r="M5" s="6">
        <f>'금융'!M7</f>
        <v/>
      </c>
      <c r="N5" s="6">
        <f>'금융'!N7</f>
        <v/>
      </c>
    </row>
    <row r="6">
      <c r="A6" s="7" t="inlineStr">
        <is>
          <t>금융 여신액 (실적)</t>
        </is>
      </c>
      <c r="B6" s="8">
        <f>'금융'!B17</f>
        <v/>
      </c>
      <c r="C6" s="8">
        <f>'금융'!C17</f>
        <v/>
      </c>
      <c r="D6" s="8">
        <f>'금융'!D17</f>
        <v/>
      </c>
      <c r="E6" s="8">
        <f>'금융'!E17</f>
        <v/>
      </c>
      <c r="F6" s="8">
        <f>'금융'!F17</f>
        <v/>
      </c>
      <c r="G6" s="8">
        <f>'금융'!G17</f>
        <v/>
      </c>
      <c r="H6" s="8">
        <f>'금융'!H17</f>
        <v/>
      </c>
      <c r="I6" s="8">
        <f>'금융'!I17</f>
        <v/>
      </c>
      <c r="J6" s="8">
        <f>'금융'!J17</f>
        <v/>
      </c>
      <c r="K6" s="8">
        <f>'금융'!K17</f>
        <v/>
      </c>
      <c r="L6" s="8">
        <f>'금융'!L17</f>
        <v/>
      </c>
      <c r="M6" s="8">
        <f>'금융'!M17</f>
        <v/>
      </c>
      <c r="N6" s="8">
        <f>'금융'!N17</f>
        <v/>
      </c>
    </row>
    <row r="7">
      <c r="A7" s="9" t="inlineStr">
        <is>
          <t xml:space="preserve">        금융 여신액 달성률</t>
        </is>
      </c>
      <c r="B7" s="10">
        <f>IF(B6=0,"",IFERROR(B6/B5,""))</f>
        <v/>
      </c>
      <c r="C7" s="10">
        <f>IF(C6=0,"",IFERROR(C6/C5,""))</f>
        <v/>
      </c>
      <c r="D7" s="10">
        <f>IF(D6=0,"",IFERROR(D6/D5,""))</f>
        <v/>
      </c>
      <c r="E7" s="10">
        <f>IF(E6=0,"",IFERROR(E6/E5,""))</f>
        <v/>
      </c>
      <c r="F7" s="10">
        <f>IF(F6=0,"",IFERROR(F6/F5,""))</f>
        <v/>
      </c>
      <c r="G7" s="10">
        <f>IF(G6=0,"",IFERROR(G6/G5,""))</f>
        <v/>
      </c>
      <c r="H7" s="10">
        <f>IF(H6=0,"",IFERROR(H6/H5,""))</f>
        <v/>
      </c>
      <c r="I7" s="10">
        <f>IF(I6=0,"",IFERROR(I6/I5,""))</f>
        <v/>
      </c>
      <c r="J7" s="10">
        <f>IF(J6=0,"",IFERROR(J6/J5,""))</f>
        <v/>
      </c>
      <c r="K7" s="10">
        <f>IF(K6=0,"",IFERROR(K6/K5,""))</f>
        <v/>
      </c>
      <c r="L7" s="10">
        <f>IF(L6=0,"",IFERROR(L6/L5,""))</f>
        <v/>
      </c>
      <c r="M7" s="10">
        <f>IF(M6=0,"",IFERROR(M6/M5,""))</f>
        <v/>
      </c>
      <c r="N7" s="11">
        <f>IF(N6=0,"",IFERROR(N6/N5,""))</f>
        <v/>
      </c>
    </row>
    <row r="8">
      <c r="A8" s="5" t="inlineStr">
        <is>
          <t>보증 결제액 (계획)</t>
        </is>
      </c>
      <c r="B8" s="6">
        <f>'보증'!B7</f>
        <v/>
      </c>
      <c r="C8" s="6">
        <f>'보증'!C7</f>
        <v/>
      </c>
      <c r="D8" s="6">
        <f>'보증'!D7</f>
        <v/>
      </c>
      <c r="E8" s="6">
        <f>'보증'!E7</f>
        <v/>
      </c>
      <c r="F8" s="6">
        <f>'보증'!F7</f>
        <v/>
      </c>
      <c r="G8" s="6">
        <f>'보증'!G7</f>
        <v/>
      </c>
      <c r="H8" s="6">
        <f>'보증'!H7</f>
        <v/>
      </c>
      <c r="I8" s="6">
        <f>'보증'!I7</f>
        <v/>
      </c>
      <c r="J8" s="6">
        <f>'보증'!J7</f>
        <v/>
      </c>
      <c r="K8" s="6">
        <f>'보증'!K7</f>
        <v/>
      </c>
      <c r="L8" s="6">
        <f>'보증'!L7</f>
        <v/>
      </c>
      <c r="M8" s="6">
        <f>'보증'!M7</f>
        <v/>
      </c>
      <c r="N8" s="6">
        <f>'보증'!N7</f>
        <v/>
      </c>
    </row>
    <row r="9">
      <c r="A9" s="7" t="inlineStr">
        <is>
          <t>보증 결제액 (실적)</t>
        </is>
      </c>
      <c r="B9" s="8">
        <f>'보증'!B18</f>
        <v/>
      </c>
      <c r="C9" s="8">
        <f>'보증'!C18</f>
        <v/>
      </c>
      <c r="D9" s="8">
        <f>'보증'!D18</f>
        <v/>
      </c>
      <c r="E9" s="8">
        <f>'보증'!E18</f>
        <v/>
      </c>
      <c r="F9" s="8">
        <f>'보증'!F18</f>
        <v/>
      </c>
      <c r="G9" s="8">
        <f>'보증'!G18</f>
        <v/>
      </c>
      <c r="H9" s="8">
        <f>'보증'!H18</f>
        <v/>
      </c>
      <c r="I9" s="8">
        <f>'보증'!I18</f>
        <v/>
      </c>
      <c r="J9" s="8">
        <f>'보증'!J18</f>
        <v/>
      </c>
      <c r="K9" s="8">
        <f>'보증'!K18</f>
        <v/>
      </c>
      <c r="L9" s="8">
        <f>'보증'!L18</f>
        <v/>
      </c>
      <c r="M9" s="8">
        <f>'보증'!M18</f>
        <v/>
      </c>
      <c r="N9" s="8">
        <f>'보증'!N18</f>
        <v/>
      </c>
    </row>
    <row r="10">
      <c r="A10" s="9" t="inlineStr">
        <is>
          <t xml:space="preserve">        보증 결제액 달성률</t>
        </is>
      </c>
      <c r="B10" s="10">
        <f>IF(B9=0,"",IFERROR(B9/B8,""))</f>
        <v/>
      </c>
      <c r="C10" s="10">
        <f>IF(C9=0,"",IFERROR(C9/C8,""))</f>
        <v/>
      </c>
      <c r="D10" s="10">
        <f>IF(D9=0,"",IFERROR(D9/D8,""))</f>
        <v/>
      </c>
      <c r="E10" s="10">
        <f>IF(E9=0,"",IFERROR(E9/E8,""))</f>
        <v/>
      </c>
      <c r="F10" s="10">
        <f>IF(F9=0,"",IFERROR(F9/F8,""))</f>
        <v/>
      </c>
      <c r="G10" s="10">
        <f>IF(G9=0,"",IFERROR(G9/G8,""))</f>
        <v/>
      </c>
      <c r="H10" s="10">
        <f>IF(H9=0,"",IFERROR(H9/H8,""))</f>
        <v/>
      </c>
      <c r="I10" s="10">
        <f>IF(I9=0,"",IFERROR(I9/I8,""))</f>
        <v/>
      </c>
      <c r="J10" s="10">
        <f>IF(J9=0,"",IFERROR(J9/J8,""))</f>
        <v/>
      </c>
      <c r="K10" s="10">
        <f>IF(K9=0,"",IFERROR(K9/K8,""))</f>
        <v/>
      </c>
      <c r="L10" s="10">
        <f>IF(L9=0,"",IFERROR(L9/L8,""))</f>
        <v/>
      </c>
      <c r="M10" s="10">
        <f>IF(M9=0,"",IFERROR(M9/M8,""))</f>
        <v/>
      </c>
      <c r="N10" s="11">
        <f>IF(N9=0,"",IFERROR(N9/N8,""))</f>
        <v/>
      </c>
    </row>
    <row r="12">
      <c r="A12" s="4" t="inlineStr">
        <is>
          <t>Ⅱ. 매출  (금융=본업+광고 ｜ 보증=가입+광고)</t>
        </is>
      </c>
    </row>
    <row r="13">
      <c r="A13" s="5" t="inlineStr">
        <is>
          <t>금융 매출 (계획)</t>
        </is>
      </c>
      <c r="B13" s="6">
        <f>'금융'!B32</f>
        <v/>
      </c>
      <c r="C13" s="6">
        <f>'금융'!C32</f>
        <v/>
      </c>
      <c r="D13" s="6">
        <f>'금융'!D32</f>
        <v/>
      </c>
      <c r="E13" s="6">
        <f>'금융'!E32</f>
        <v/>
      </c>
      <c r="F13" s="6">
        <f>'금융'!F32</f>
        <v/>
      </c>
      <c r="G13" s="6">
        <f>'금융'!G32</f>
        <v/>
      </c>
      <c r="H13" s="6">
        <f>'금융'!H32</f>
        <v/>
      </c>
      <c r="I13" s="6">
        <f>'금융'!I32</f>
        <v/>
      </c>
      <c r="J13" s="6">
        <f>'금융'!J32</f>
        <v/>
      </c>
      <c r="K13" s="6">
        <f>'금융'!K32</f>
        <v/>
      </c>
      <c r="L13" s="6">
        <f>'금융'!L32</f>
        <v/>
      </c>
      <c r="M13" s="6">
        <f>'금융'!M32</f>
        <v/>
      </c>
      <c r="N13" s="6">
        <f>'금융'!N32</f>
        <v/>
      </c>
    </row>
    <row r="14">
      <c r="A14" s="7" t="inlineStr">
        <is>
          <t>금융 매출 (실적)</t>
        </is>
      </c>
      <c r="B14" s="8">
        <f>'금융'!B46</f>
        <v/>
      </c>
      <c r="C14" s="8">
        <f>'금융'!C46</f>
        <v/>
      </c>
      <c r="D14" s="8">
        <f>'금융'!D46</f>
        <v/>
      </c>
      <c r="E14" s="8">
        <f>'금융'!E46</f>
        <v/>
      </c>
      <c r="F14" s="8">
        <f>'금융'!F46</f>
        <v/>
      </c>
      <c r="G14" s="8">
        <f>'금융'!G46</f>
        <v/>
      </c>
      <c r="H14" s="8">
        <f>'금융'!H46</f>
        <v/>
      </c>
      <c r="I14" s="8">
        <f>'금융'!I46</f>
        <v/>
      </c>
      <c r="J14" s="8">
        <f>'금융'!J46</f>
        <v/>
      </c>
      <c r="K14" s="8">
        <f>'금융'!K46</f>
        <v/>
      </c>
      <c r="L14" s="8">
        <f>'금융'!L46</f>
        <v/>
      </c>
      <c r="M14" s="8">
        <f>'금융'!M46</f>
        <v/>
      </c>
      <c r="N14" s="8">
        <f>'금융'!N46</f>
        <v/>
      </c>
    </row>
    <row r="15">
      <c r="A15" s="9" t="inlineStr">
        <is>
          <t xml:space="preserve">        금융 매출 달성률</t>
        </is>
      </c>
      <c r="B15" s="10">
        <f>IF(B14=0,"",IFERROR(B14/B13,""))</f>
        <v/>
      </c>
      <c r="C15" s="10">
        <f>IF(C14=0,"",IFERROR(C14/C13,""))</f>
        <v/>
      </c>
      <c r="D15" s="10">
        <f>IF(D14=0,"",IFERROR(D14/D13,""))</f>
        <v/>
      </c>
      <c r="E15" s="10">
        <f>IF(E14=0,"",IFERROR(E14/E13,""))</f>
        <v/>
      </c>
      <c r="F15" s="10">
        <f>IF(F14=0,"",IFERROR(F14/F13,""))</f>
        <v/>
      </c>
      <c r="G15" s="10">
        <f>IF(G14=0,"",IFERROR(G14/G13,""))</f>
        <v/>
      </c>
      <c r="H15" s="10">
        <f>IF(H14=0,"",IFERROR(H14/H13,""))</f>
        <v/>
      </c>
      <c r="I15" s="10">
        <f>IF(I14=0,"",IFERROR(I14/I13,""))</f>
        <v/>
      </c>
      <c r="J15" s="10">
        <f>IF(J14=0,"",IFERROR(J14/J13,""))</f>
        <v/>
      </c>
      <c r="K15" s="10">
        <f>IF(K14=0,"",IFERROR(K14/K13,""))</f>
        <v/>
      </c>
      <c r="L15" s="10">
        <f>IF(L14=0,"",IFERROR(L14/L13,""))</f>
        <v/>
      </c>
      <c r="M15" s="10">
        <f>IF(M14=0,"",IFERROR(M14/M13,""))</f>
        <v/>
      </c>
      <c r="N15" s="11">
        <f>IF(N14=0,"",IFERROR(N14/N13,""))</f>
        <v/>
      </c>
    </row>
    <row r="16">
      <c r="A16" s="5" t="inlineStr">
        <is>
          <t>보증 매출 (계획)</t>
        </is>
      </c>
      <c r="B16" s="6">
        <f>'보증'!B7</f>
        <v/>
      </c>
      <c r="C16" s="6">
        <f>'보증'!C7</f>
        <v/>
      </c>
      <c r="D16" s="6">
        <f>'보증'!D7</f>
        <v/>
      </c>
      <c r="E16" s="6">
        <f>'보증'!E7</f>
        <v/>
      </c>
      <c r="F16" s="6">
        <f>'보증'!F7</f>
        <v/>
      </c>
      <c r="G16" s="6">
        <f>'보증'!G7</f>
        <v/>
      </c>
      <c r="H16" s="6">
        <f>'보증'!H7</f>
        <v/>
      </c>
      <c r="I16" s="6">
        <f>'보증'!I7</f>
        <v/>
      </c>
      <c r="J16" s="6">
        <f>'보증'!J7</f>
        <v/>
      </c>
      <c r="K16" s="6">
        <f>'보증'!K7</f>
        <v/>
      </c>
      <c r="L16" s="6">
        <f>'보증'!L7</f>
        <v/>
      </c>
      <c r="M16" s="6">
        <f>'보증'!M7</f>
        <v/>
      </c>
      <c r="N16" s="6">
        <f>'보증'!N7</f>
        <v/>
      </c>
    </row>
    <row r="17">
      <c r="A17" s="7" t="inlineStr">
        <is>
          <t>보증 매출 (실적)</t>
        </is>
      </c>
      <c r="B17" s="8">
        <f>'보증'!B18</f>
        <v/>
      </c>
      <c r="C17" s="8">
        <f>'보증'!C18</f>
        <v/>
      </c>
      <c r="D17" s="8">
        <f>'보증'!D18</f>
        <v/>
      </c>
      <c r="E17" s="8">
        <f>'보증'!E18</f>
        <v/>
      </c>
      <c r="F17" s="8">
        <f>'보증'!F18</f>
        <v/>
      </c>
      <c r="G17" s="8">
        <f>'보증'!G18</f>
        <v/>
      </c>
      <c r="H17" s="8">
        <f>'보증'!H18</f>
        <v/>
      </c>
      <c r="I17" s="8">
        <f>'보증'!I18</f>
        <v/>
      </c>
      <c r="J17" s="8">
        <f>'보증'!J18</f>
        <v/>
      </c>
      <c r="K17" s="8">
        <f>'보증'!K18</f>
        <v/>
      </c>
      <c r="L17" s="8">
        <f>'보증'!L18</f>
        <v/>
      </c>
      <c r="M17" s="8">
        <f>'보증'!M18</f>
        <v/>
      </c>
      <c r="N17" s="8">
        <f>'보증'!N18</f>
        <v/>
      </c>
    </row>
    <row r="18">
      <c r="A18" s="9" t="inlineStr">
        <is>
          <t xml:space="preserve">        보증 매출 달성률</t>
        </is>
      </c>
      <c r="B18" s="10">
        <f>IF(B17=0,"",IFERROR(B17/B16,""))</f>
        <v/>
      </c>
      <c r="C18" s="10">
        <f>IF(C17=0,"",IFERROR(C17/C16,""))</f>
        <v/>
      </c>
      <c r="D18" s="10">
        <f>IF(D17=0,"",IFERROR(D17/D16,""))</f>
        <v/>
      </c>
      <c r="E18" s="10">
        <f>IF(E17=0,"",IFERROR(E17/E16,""))</f>
        <v/>
      </c>
      <c r="F18" s="10">
        <f>IF(F17=0,"",IFERROR(F17/F16,""))</f>
        <v/>
      </c>
      <c r="G18" s="10">
        <f>IF(G17=0,"",IFERROR(G17/G16,""))</f>
        <v/>
      </c>
      <c r="H18" s="10">
        <f>IF(H17=0,"",IFERROR(H17/H16,""))</f>
        <v/>
      </c>
      <c r="I18" s="10">
        <f>IF(I17=0,"",IFERROR(I17/I16,""))</f>
        <v/>
      </c>
      <c r="J18" s="10">
        <f>IF(J17=0,"",IFERROR(J17/J16,""))</f>
        <v/>
      </c>
      <c r="K18" s="10">
        <f>IF(K17=0,"",IFERROR(K17/K16,""))</f>
        <v/>
      </c>
      <c r="L18" s="10">
        <f>IF(L17=0,"",IFERROR(L17/L16,""))</f>
        <v/>
      </c>
      <c r="M18" s="10">
        <f>IF(M17=0,"",IFERROR(M17/M16,""))</f>
        <v/>
      </c>
      <c r="N18" s="11">
        <f>IF(N17=0,"",IFERROR(N17/N16,""))</f>
        <v/>
      </c>
    </row>
    <row r="20">
      <c r="A20" s="4" t="inlineStr">
        <is>
          <t>Ⅲ. 통합 매출 합계  (금융 + 보증)</t>
        </is>
      </c>
    </row>
    <row r="21">
      <c r="A21" s="12" t="inlineStr">
        <is>
          <t>통합 매출 (계획)</t>
        </is>
      </c>
      <c r="B21" s="13">
        <f>B13+B16</f>
        <v/>
      </c>
      <c r="C21" s="13">
        <f>C13+C16</f>
        <v/>
      </c>
      <c r="D21" s="13">
        <f>D13+D16</f>
        <v/>
      </c>
      <c r="E21" s="13">
        <f>E13+E16</f>
        <v/>
      </c>
      <c r="F21" s="13">
        <f>F13+F16</f>
        <v/>
      </c>
      <c r="G21" s="13">
        <f>G13+G16</f>
        <v/>
      </c>
      <c r="H21" s="13">
        <f>H13+H16</f>
        <v/>
      </c>
      <c r="I21" s="13">
        <f>I13+I16</f>
        <v/>
      </c>
      <c r="J21" s="13">
        <f>J13+J16</f>
        <v/>
      </c>
      <c r="K21" s="13">
        <f>K13+K16</f>
        <v/>
      </c>
      <c r="L21" s="13">
        <f>L13+L16</f>
        <v/>
      </c>
      <c r="M21" s="13">
        <f>M13+M16</f>
        <v/>
      </c>
      <c r="N21" s="13">
        <f>N13+N16</f>
        <v/>
      </c>
    </row>
    <row r="22">
      <c r="A22" s="12" t="inlineStr">
        <is>
          <t>통합 매출 (실적)</t>
        </is>
      </c>
      <c r="B22" s="13">
        <f>B14+B17</f>
        <v/>
      </c>
      <c r="C22" s="13">
        <f>C14+C17</f>
        <v/>
      </c>
      <c r="D22" s="13">
        <f>D14+D17</f>
        <v/>
      </c>
      <c r="E22" s="13">
        <f>E14+E17</f>
        <v/>
      </c>
      <c r="F22" s="13">
        <f>F14+F17</f>
        <v/>
      </c>
      <c r="G22" s="13">
        <f>G14+G17</f>
        <v/>
      </c>
      <c r="H22" s="13">
        <f>H14+H17</f>
        <v/>
      </c>
      <c r="I22" s="13">
        <f>I14+I17</f>
        <v/>
      </c>
      <c r="J22" s="13">
        <f>J14+J17</f>
        <v/>
      </c>
      <c r="K22" s="13">
        <f>K14+K17</f>
        <v/>
      </c>
      <c r="L22" s="13">
        <f>L14+L17</f>
        <v/>
      </c>
      <c r="M22" s="13">
        <f>M14+M17</f>
        <v/>
      </c>
      <c r="N22" s="13">
        <f>N14+N17</f>
        <v/>
      </c>
    </row>
    <row r="23">
      <c r="A23" s="9" t="inlineStr">
        <is>
          <t>통합 매출 달성률</t>
        </is>
      </c>
      <c r="B23" s="10">
        <f>IF(B22=0,"",IFERROR(B22/B21,""))</f>
        <v/>
      </c>
      <c r="C23" s="10">
        <f>IF(C22=0,"",IFERROR(C22/C21,""))</f>
        <v/>
      </c>
      <c r="D23" s="10">
        <f>IF(D22=0,"",IFERROR(D22/D21,""))</f>
        <v/>
      </c>
      <c r="E23" s="10">
        <f>IF(E22=0,"",IFERROR(E22/E21,""))</f>
        <v/>
      </c>
      <c r="F23" s="10">
        <f>IF(F22=0,"",IFERROR(F22/F21,""))</f>
        <v/>
      </c>
      <c r="G23" s="10">
        <f>IF(G22=0,"",IFERROR(G22/G21,""))</f>
        <v/>
      </c>
      <c r="H23" s="10">
        <f>IF(H22=0,"",IFERROR(H22/H21,""))</f>
        <v/>
      </c>
      <c r="I23" s="10">
        <f>IF(I22=0,"",IFERROR(I22/I21,""))</f>
        <v/>
      </c>
      <c r="J23" s="10">
        <f>IF(J22=0,"",IFERROR(J22/J21,""))</f>
        <v/>
      </c>
      <c r="K23" s="10">
        <f>IF(K22=0,"",IFERROR(K22/K21,""))</f>
        <v/>
      </c>
      <c r="L23" s="10">
        <f>IF(L22=0,"",IFERROR(L22/L21,""))</f>
        <v/>
      </c>
      <c r="M23" s="10">
        <f>IF(M22=0,"",IFERROR(M22/M21,""))</f>
        <v/>
      </c>
      <c r="N23" s="11">
        <f>IF(N22=0,"",IFERROR(N22/N21,""))</f>
        <v/>
      </c>
    </row>
  </sheetData>
  <mergeCells count="5">
    <mergeCell ref="A12:N12"/>
    <mergeCell ref="A4:N4"/>
    <mergeCell ref="A20:N20"/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5" customWidth="1" min="14" max="14"/>
  </cols>
  <sheetData>
    <row r="1">
      <c r="A1" s="1" t="inlineStr">
        <is>
          <t>2026년 금융 사업계획 (CY26)</t>
        </is>
      </c>
    </row>
    <row r="2">
      <c r="A2" s="2" t="inlineStr">
        <is>
          <t>단위: 원 ｜ 메인지표=여신액 ｜ H/S금융=선불(일반금융)+후불(EP금융), 신규=금융플러스+엔카페이2.0 ｜ 노란칸=실적 입력 ｜ 회색=자동합계 수식</t>
        </is>
      </c>
    </row>
    <row r="3">
      <c r="A3" s="3" t="inlineStr">
        <is>
          <t>구분</t>
        </is>
      </c>
      <c r="B3" s="3" t="inlineStr">
        <is>
          <t>1월</t>
        </is>
      </c>
      <c r="C3" s="3" t="inlineStr">
        <is>
          <t>2월</t>
        </is>
      </c>
      <c r="D3" s="3" t="inlineStr">
        <is>
          <t>3월</t>
        </is>
      </c>
      <c r="E3" s="3" t="inlineStr">
        <is>
          <t>4월</t>
        </is>
      </c>
      <c r="F3" s="3" t="inlineStr">
        <is>
          <t>5월</t>
        </is>
      </c>
      <c r="G3" s="3" t="inlineStr">
        <is>
          <t>6월</t>
        </is>
      </c>
      <c r="H3" s="3" t="inlineStr">
        <is>
          <t>7월</t>
        </is>
      </c>
      <c r="I3" s="3" t="inlineStr">
        <is>
          <t>8월</t>
        </is>
      </c>
      <c r="J3" s="3" t="inlineStr">
        <is>
          <t>9월</t>
        </is>
      </c>
      <c r="K3" s="3" t="inlineStr">
        <is>
          <t>10월</t>
        </is>
      </c>
      <c r="L3" s="3" t="inlineStr">
        <is>
          <t>11월</t>
        </is>
      </c>
      <c r="M3" s="3" t="inlineStr">
        <is>
          <t>12월</t>
        </is>
      </c>
      <c r="N3" s="3" t="inlineStr">
        <is>
          <t>연간 합계</t>
        </is>
      </c>
    </row>
    <row r="4">
      <c r="A4" s="4" t="inlineStr">
        <is>
          <t>OKR ▷ Objective: 월 평균 여신액 증가분 (KR1 기존 소매금융 / KR2 신규 소매금융)</t>
        </is>
      </c>
    </row>
    <row r="5">
      <c r="A5" s="4" t="inlineStr">
        <is>
          <t>Ⅰ. 여신액 (메인)</t>
        </is>
      </c>
    </row>
    <row r="6">
      <c r="A6" s="14" t="inlineStr">
        <is>
          <t xml:space="preserve">  [계획]</t>
        </is>
      </c>
    </row>
    <row r="7">
      <c r="A7" s="15" t="inlineStr">
        <is>
          <t>총 여신액</t>
        </is>
      </c>
      <c r="B7" s="16">
        <f>B8+B13</f>
        <v/>
      </c>
      <c r="C7" s="16">
        <f>C8+C13</f>
        <v/>
      </c>
      <c r="D7" s="16">
        <f>D8+D13</f>
        <v/>
      </c>
      <c r="E7" s="16">
        <f>E8+E13</f>
        <v/>
      </c>
      <c r="F7" s="16">
        <f>F8+F13</f>
        <v/>
      </c>
      <c r="G7" s="16">
        <f>G8+G13</f>
        <v/>
      </c>
      <c r="H7" s="16">
        <f>H8+H13</f>
        <v/>
      </c>
      <c r="I7" s="16">
        <f>I8+I13</f>
        <v/>
      </c>
      <c r="J7" s="16">
        <f>J8+J13</f>
        <v/>
      </c>
      <c r="K7" s="16">
        <f>K8+K13</f>
        <v/>
      </c>
      <c r="L7" s="16">
        <f>L8+L13</f>
        <v/>
      </c>
      <c r="M7" s="16">
        <f>M8+M13</f>
        <v/>
      </c>
      <c r="N7" s="16">
        <f>SUM(B7:M7)</f>
        <v/>
      </c>
    </row>
    <row r="8">
      <c r="A8" s="5" t="inlineStr">
        <is>
          <t xml:space="preserve">      1. 기존 소매금융</t>
        </is>
      </c>
      <c r="B8" s="6">
        <f>B9+B12</f>
        <v/>
      </c>
      <c r="C8" s="6">
        <f>C9+C12</f>
        <v/>
      </c>
      <c r="D8" s="6">
        <f>D9+D12</f>
        <v/>
      </c>
      <c r="E8" s="6">
        <f>E9+E12</f>
        <v/>
      </c>
      <c r="F8" s="6">
        <f>F9+F12</f>
        <v/>
      </c>
      <c r="G8" s="6">
        <f>G9+G12</f>
        <v/>
      </c>
      <c r="H8" s="6">
        <f>H9+H12</f>
        <v/>
      </c>
      <c r="I8" s="6">
        <f>I9+I12</f>
        <v/>
      </c>
      <c r="J8" s="6">
        <f>J9+J12</f>
        <v/>
      </c>
      <c r="K8" s="6">
        <f>K9+K12</f>
        <v/>
      </c>
      <c r="L8" s="6">
        <f>L9+L12</f>
        <v/>
      </c>
      <c r="M8" s="6">
        <f>M9+M12</f>
        <v/>
      </c>
      <c r="N8" s="6">
        <f>SUM(B8:M8)</f>
        <v/>
      </c>
    </row>
    <row r="9">
      <c r="A9" s="17" t="inlineStr">
        <is>
          <t xml:space="preserve">            (1) H/S 금융</t>
        </is>
      </c>
      <c r="B9" s="18">
        <f>B10+B11</f>
        <v/>
      </c>
      <c r="C9" s="18">
        <f>C10+C11</f>
        <v/>
      </c>
      <c r="D9" s="18">
        <f>D10+D11</f>
        <v/>
      </c>
      <c r="E9" s="18">
        <f>E10+E11</f>
        <v/>
      </c>
      <c r="F9" s="18">
        <f>F10+F11</f>
        <v/>
      </c>
      <c r="G9" s="18">
        <f>G10+G11</f>
        <v/>
      </c>
      <c r="H9" s="18">
        <f>H10+H11</f>
        <v/>
      </c>
      <c r="I9" s="18">
        <f>I10+I11</f>
        <v/>
      </c>
      <c r="J9" s="18">
        <f>J10+J11</f>
        <v/>
      </c>
      <c r="K9" s="18">
        <f>K10+K11</f>
        <v/>
      </c>
      <c r="L9" s="18">
        <f>L10+L11</f>
        <v/>
      </c>
      <c r="M9" s="18">
        <f>M10+M11</f>
        <v/>
      </c>
      <c r="N9" s="18">
        <f>SUM(B9:M9)</f>
        <v/>
      </c>
    </row>
    <row r="10">
      <c r="A10" s="19" t="inlineStr">
        <is>
          <t xml:space="preserve">                  선불 · 일반금융 여신액</t>
        </is>
      </c>
      <c r="B10" s="20" t="n">
        <v>7700000000</v>
      </c>
      <c r="C10" s="20" t="n">
        <v>7500000000</v>
      </c>
      <c r="D10" s="20" t="n">
        <v>7600000000</v>
      </c>
      <c r="E10" s="20" t="n">
        <v>7600000000</v>
      </c>
      <c r="F10" s="20" t="n">
        <v>6750000000</v>
      </c>
      <c r="G10" s="20" t="n">
        <v>7100000000</v>
      </c>
      <c r="H10" s="20" t="n">
        <v>10950000000</v>
      </c>
      <c r="I10" s="20" t="n">
        <v>9500000000</v>
      </c>
      <c r="J10" s="20" t="n">
        <v>9200000000</v>
      </c>
      <c r="K10" s="20" t="n">
        <v>8950000000</v>
      </c>
      <c r="L10" s="20" t="n">
        <v>7650000000</v>
      </c>
      <c r="M10" s="20" t="n">
        <v>8500000000</v>
      </c>
      <c r="N10" s="20">
        <f>SUM(B10:M10)</f>
        <v/>
      </c>
    </row>
    <row r="11">
      <c r="A11" s="19" t="inlineStr">
        <is>
          <t xml:space="preserve">                  후불 · EP 금융 여신액</t>
        </is>
      </c>
      <c r="B11" s="20" t="n">
        <v>3080000000</v>
      </c>
      <c r="C11" s="20" t="n">
        <v>3000000000</v>
      </c>
      <c r="D11" s="20" t="n">
        <v>3040000000</v>
      </c>
      <c r="E11" s="20" t="n">
        <v>3040000000</v>
      </c>
      <c r="F11" s="20" t="n">
        <v>2700000000</v>
      </c>
      <c r="G11" s="20" t="n">
        <v>2840000000</v>
      </c>
      <c r="H11" s="20" t="n">
        <v>4380000000</v>
      </c>
      <c r="I11" s="20" t="n">
        <v>3800000000</v>
      </c>
      <c r="J11" s="20" t="n">
        <v>3680000000</v>
      </c>
      <c r="K11" s="20" t="n">
        <v>3580000000</v>
      </c>
      <c r="L11" s="20" t="n">
        <v>3060000000</v>
      </c>
      <c r="M11" s="20" t="n">
        <v>3400000000</v>
      </c>
      <c r="N11" s="20">
        <f>SUM(B11:M11)</f>
        <v/>
      </c>
    </row>
    <row r="12">
      <c r="A12" s="21" t="inlineStr">
        <is>
          <t xml:space="preserve">            (2) 일반 금융</t>
        </is>
      </c>
      <c r="B12" s="22" t="n">
        <v>4620000000</v>
      </c>
      <c r="C12" s="22" t="n">
        <v>4500000000</v>
      </c>
      <c r="D12" s="22" t="n">
        <v>4560000000</v>
      </c>
      <c r="E12" s="22" t="n">
        <v>4560000000</v>
      </c>
      <c r="F12" s="22" t="n">
        <v>4050000000</v>
      </c>
      <c r="G12" s="22" t="n">
        <v>4260000000</v>
      </c>
      <c r="H12" s="22" t="n">
        <v>6570000000</v>
      </c>
      <c r="I12" s="22" t="n">
        <v>5700000000</v>
      </c>
      <c r="J12" s="22" t="n">
        <v>5520000000</v>
      </c>
      <c r="K12" s="22" t="n">
        <v>5370000000</v>
      </c>
      <c r="L12" s="22" t="n">
        <v>4590000000</v>
      </c>
      <c r="M12" s="22" t="n">
        <v>5100000000</v>
      </c>
      <c r="N12" s="22">
        <f>SUM(B12:M12)</f>
        <v/>
      </c>
    </row>
    <row r="13">
      <c r="A13" s="5" t="inlineStr">
        <is>
          <t xml:space="preserve">      2. 신규 소매금융</t>
        </is>
      </c>
      <c r="B13" s="6">
        <f>B14+B15</f>
        <v/>
      </c>
      <c r="C13" s="6">
        <f>C14+C15</f>
        <v/>
      </c>
      <c r="D13" s="6">
        <f>D14+D15</f>
        <v/>
      </c>
      <c r="E13" s="6">
        <f>E14+E15</f>
        <v/>
      </c>
      <c r="F13" s="6">
        <f>F14+F15</f>
        <v/>
      </c>
      <c r="G13" s="6">
        <f>G14+G15</f>
        <v/>
      </c>
      <c r="H13" s="6">
        <f>H14+H15</f>
        <v/>
      </c>
      <c r="I13" s="6">
        <f>I14+I15</f>
        <v/>
      </c>
      <c r="J13" s="6">
        <f>J14+J15</f>
        <v/>
      </c>
      <c r="K13" s="6">
        <f>K14+K15</f>
        <v/>
      </c>
      <c r="L13" s="6">
        <f>L14+L15</f>
        <v/>
      </c>
      <c r="M13" s="6">
        <f>M14+M15</f>
        <v/>
      </c>
      <c r="N13" s="6">
        <f>SUM(B13:M13)</f>
        <v/>
      </c>
    </row>
    <row r="14">
      <c r="A14" s="21" t="inlineStr">
        <is>
          <t xml:space="preserve">            (1) 금융 플러스</t>
        </is>
      </c>
      <c r="B14" s="22" t="n">
        <v>0</v>
      </c>
      <c r="C14" s="22" t="n">
        <v>100000000</v>
      </c>
      <c r="D14" s="22" t="n">
        <v>300000000</v>
      </c>
      <c r="E14" s="22" t="n">
        <v>600000000</v>
      </c>
      <c r="F14" s="22" t="n">
        <v>1000000000</v>
      </c>
      <c r="G14" s="22" t="n">
        <v>2000000000</v>
      </c>
      <c r="H14" s="22" t="n">
        <v>4100000000</v>
      </c>
      <c r="I14" s="22" t="n">
        <v>3600000000</v>
      </c>
      <c r="J14" s="22" t="n">
        <v>3300000000</v>
      </c>
      <c r="K14" s="22" t="n">
        <v>3100000000</v>
      </c>
      <c r="L14" s="22" t="n">
        <v>2600000000</v>
      </c>
      <c r="M14" s="22" t="n">
        <v>3300000000</v>
      </c>
      <c r="N14" s="22">
        <f>SUM(B14:M14)</f>
        <v/>
      </c>
    </row>
    <row r="15">
      <c r="A15" s="21" t="inlineStr">
        <is>
          <t xml:space="preserve">            (2) 엔카페이 2.0 (EP 2.0)</t>
        </is>
      </c>
      <c r="B15" s="22" t="n">
        <v>0</v>
      </c>
      <c r="C15" s="22" t="n">
        <v>0</v>
      </c>
      <c r="D15" s="22" t="n">
        <v>0</v>
      </c>
      <c r="E15" s="22" t="n">
        <v>800000000</v>
      </c>
      <c r="F15" s="22" t="n">
        <v>1100000000</v>
      </c>
      <c r="G15" s="22" t="n">
        <v>2000000000</v>
      </c>
      <c r="H15" s="22" t="n">
        <v>4000000000</v>
      </c>
      <c r="I15" s="22" t="n">
        <v>3800000000</v>
      </c>
      <c r="J15" s="22" t="n">
        <v>3400000000</v>
      </c>
      <c r="K15" s="22" t="n">
        <v>3300000000</v>
      </c>
      <c r="L15" s="22" t="n">
        <v>2300000000</v>
      </c>
      <c r="M15" s="22" t="n">
        <v>3300000000</v>
      </c>
      <c r="N15" s="22">
        <f>SUM(B15:M15)</f>
        <v/>
      </c>
    </row>
    <row r="16">
      <c r="A16" s="14" t="inlineStr">
        <is>
          <t xml:space="preserve">  [실적]</t>
        </is>
      </c>
    </row>
    <row r="17">
      <c r="A17" s="15" t="inlineStr">
        <is>
          <t>총 여신액</t>
        </is>
      </c>
      <c r="B17" s="16">
        <f>B18+B23</f>
        <v/>
      </c>
      <c r="C17" s="16">
        <f>C18+C23</f>
        <v/>
      </c>
      <c r="D17" s="16">
        <f>D18+D23</f>
        <v/>
      </c>
      <c r="E17" s="16">
        <f>E18+E23</f>
        <v/>
      </c>
      <c r="F17" s="16">
        <f>F18+F23</f>
        <v/>
      </c>
      <c r="G17" s="16">
        <f>G18+G23</f>
        <v/>
      </c>
      <c r="H17" s="16">
        <f>H18+H23</f>
        <v/>
      </c>
      <c r="I17" s="16">
        <f>I18+I23</f>
        <v/>
      </c>
      <c r="J17" s="16">
        <f>J18+J23</f>
        <v/>
      </c>
      <c r="K17" s="16">
        <f>K18+K23</f>
        <v/>
      </c>
      <c r="L17" s="16">
        <f>L18+L23</f>
        <v/>
      </c>
      <c r="M17" s="16">
        <f>M18+M23</f>
        <v/>
      </c>
      <c r="N17" s="16">
        <f>SUM(B17:M17)</f>
        <v/>
      </c>
    </row>
    <row r="18">
      <c r="A18" s="5" t="inlineStr">
        <is>
          <t xml:space="preserve">      1. 기존 소매금융</t>
        </is>
      </c>
      <c r="B18" s="6">
        <f>B19+B22</f>
        <v/>
      </c>
      <c r="C18" s="6">
        <f>C19+C22</f>
        <v/>
      </c>
      <c r="D18" s="6">
        <f>D19+D22</f>
        <v/>
      </c>
      <c r="E18" s="6">
        <f>E19+E22</f>
        <v/>
      </c>
      <c r="F18" s="6">
        <f>F19+F22</f>
        <v/>
      </c>
      <c r="G18" s="6">
        <f>G19+G22</f>
        <v/>
      </c>
      <c r="H18" s="6">
        <f>H19+H22</f>
        <v/>
      </c>
      <c r="I18" s="6">
        <f>I19+I22</f>
        <v/>
      </c>
      <c r="J18" s="6">
        <f>J19+J22</f>
        <v/>
      </c>
      <c r="K18" s="6">
        <f>K19+K22</f>
        <v/>
      </c>
      <c r="L18" s="6">
        <f>L19+L22</f>
        <v/>
      </c>
      <c r="M18" s="6">
        <f>M19+M22</f>
        <v/>
      </c>
      <c r="N18" s="6">
        <f>SUM(B18:M18)</f>
        <v/>
      </c>
    </row>
    <row r="19">
      <c r="A19" s="17" t="inlineStr">
        <is>
          <t xml:space="preserve">            (1) H/S 금융</t>
        </is>
      </c>
      <c r="B19" s="18">
        <f>B20+B21</f>
        <v/>
      </c>
      <c r="C19" s="18">
        <f>C20+C21</f>
        <v/>
      </c>
      <c r="D19" s="18">
        <f>D20+D21</f>
        <v/>
      </c>
      <c r="E19" s="18">
        <f>E20+E21</f>
        <v/>
      </c>
      <c r="F19" s="18">
        <f>F20+F21</f>
        <v/>
      </c>
      <c r="G19" s="18">
        <f>G20+G21</f>
        <v/>
      </c>
      <c r="H19" s="18">
        <f>H20+H21</f>
        <v/>
      </c>
      <c r="I19" s="18">
        <f>I20+I21</f>
        <v/>
      </c>
      <c r="J19" s="18">
        <f>J20+J21</f>
        <v/>
      </c>
      <c r="K19" s="18">
        <f>K20+K21</f>
        <v/>
      </c>
      <c r="L19" s="18">
        <f>L20+L21</f>
        <v/>
      </c>
      <c r="M19" s="18">
        <f>M20+M21</f>
        <v/>
      </c>
      <c r="N19" s="18">
        <f>SUM(B19:M19)</f>
        <v/>
      </c>
    </row>
    <row r="20">
      <c r="A20" s="19" t="inlineStr">
        <is>
          <t xml:space="preserve">                  선불 · 일반금융 여신액</t>
        </is>
      </c>
      <c r="B20" s="23">
        <f>SUMIFS(Raw_금융!I:I, Raw_금융!A:A, "1월", Raw_금융!AB:AB, "홈서비스", Raw_금융!E:E, "&lt;&gt;현대EP")+SUMIFS(Raw_금융!I:I, Raw_금융!A:A, "1월", Raw_금융!AB:AB, "믿고", Raw_금융!E:E, "&lt;&gt;현대EP")</f>
        <v/>
      </c>
      <c r="C20" s="23">
        <f>SUMIFS(Raw_금융!I:I, Raw_금융!A:A, "2월", Raw_금융!AB:AB, "홈서비스", Raw_금융!E:E, "&lt;&gt;현대EP")+SUMIFS(Raw_금융!I:I, Raw_금융!A:A, "2월", Raw_금융!AB:AB, "믿고", Raw_금융!E:E, "&lt;&gt;현대EP")</f>
        <v/>
      </c>
      <c r="D20" s="23">
        <f>SUMIFS(Raw_금융!I:I, Raw_금융!A:A, "3월", Raw_금융!AB:AB, "홈서비스", Raw_금융!E:E, "&lt;&gt;현대EP")+SUMIFS(Raw_금융!I:I, Raw_금융!A:A, "3월", Raw_금융!AB:AB, "믿고", Raw_금융!E:E, "&lt;&gt;현대EP")</f>
        <v/>
      </c>
      <c r="E20" s="23">
        <f>SUMIFS(Raw_금융!I:I, Raw_금융!A:A, "4월", Raw_금융!AB:AB, "홈서비스", Raw_금융!E:E, "&lt;&gt;현대EP")+SUMIFS(Raw_금융!I:I, Raw_금융!A:A, "4월", Raw_금융!AB:AB, "믿고", Raw_금융!E:E, "&lt;&gt;현대EP")</f>
        <v/>
      </c>
      <c r="F20" s="23">
        <f>SUMIFS(Raw_금융!I:I, Raw_금융!A:A, "5월", Raw_금융!AB:AB, "홈서비스", Raw_금융!E:E, "&lt;&gt;현대EP")+SUMIFS(Raw_금융!I:I, Raw_금융!A:A, "5월", Raw_금융!AB:AB, "믿고", Raw_금융!E:E, "&lt;&gt;현대EP")</f>
        <v/>
      </c>
      <c r="G20" s="23">
        <f>SUMIFS(Raw_금융!I:I, Raw_금융!A:A, "6월", Raw_금융!AB:AB, "홈서비스", Raw_금융!E:E, "&lt;&gt;현대EP")+SUMIFS(Raw_금융!I:I, Raw_금융!A:A, "6월", Raw_금융!AB:AB, "믿고", Raw_금융!E:E, "&lt;&gt;현대EP")</f>
        <v/>
      </c>
      <c r="H20" s="23">
        <f>SUMIFS(Raw_금융!I:I, Raw_금융!A:A, "7월", Raw_금융!AB:AB, "홈서비스", Raw_금융!E:E, "&lt;&gt;현대EP")+SUMIFS(Raw_금융!I:I, Raw_금융!A:A, "7월", Raw_금융!AB:AB, "믿고", Raw_금융!E:E, "&lt;&gt;현대EP")</f>
        <v/>
      </c>
      <c r="I20" s="23">
        <f>SUMIFS(Raw_금융!I:I, Raw_금융!A:A, "8월", Raw_금융!AB:AB, "홈서비스", Raw_금융!E:E, "&lt;&gt;현대EP")+SUMIFS(Raw_금융!I:I, Raw_금융!A:A, "8월", Raw_금융!AB:AB, "믿고", Raw_금융!E:E, "&lt;&gt;현대EP")</f>
        <v/>
      </c>
      <c r="J20" s="23">
        <f>SUMIFS(Raw_금융!I:I, Raw_금융!A:A, "9월", Raw_금융!AB:AB, "홈서비스", Raw_금융!E:E, "&lt;&gt;현대EP")+SUMIFS(Raw_금융!I:I, Raw_금융!A:A, "9월", Raw_금융!AB:AB, "믿고", Raw_금융!E:E, "&lt;&gt;현대EP")</f>
        <v/>
      </c>
      <c r="K20" s="23">
        <f>SUMIFS(Raw_금융!I:I, Raw_금융!A:A, "10월", Raw_금융!AB:AB, "홈서비스", Raw_금융!E:E, "&lt;&gt;현대EP")+SUMIFS(Raw_금융!I:I, Raw_금융!A:A, "10월", Raw_금융!AB:AB, "믿고", Raw_금융!E:E, "&lt;&gt;현대EP")</f>
        <v/>
      </c>
      <c r="L20" s="23">
        <f>SUMIFS(Raw_금융!I:I, Raw_금융!A:A, "11월", Raw_금융!AB:AB, "홈서비스", Raw_금융!E:E, "&lt;&gt;현대EP")+SUMIFS(Raw_금융!I:I, Raw_금융!A:A, "11월", Raw_금융!AB:AB, "믿고", Raw_금융!E:E, "&lt;&gt;현대EP")</f>
        <v/>
      </c>
      <c r="M20" s="23">
        <f>SUMIFS(Raw_금융!I:I, Raw_금융!A:A, "12월", Raw_금융!AB:AB, "홈서비스", Raw_금융!E:E, "&lt;&gt;현대EP")+SUMIFS(Raw_금융!I:I, Raw_금융!A:A, "12월", Raw_금융!AB:AB, "믿고", Raw_금융!E:E, "&lt;&gt;현대EP")</f>
        <v/>
      </c>
      <c r="N20" s="24">
        <f>SUM(B20:M20)</f>
        <v/>
      </c>
    </row>
    <row r="21">
      <c r="A21" s="19" t="inlineStr">
        <is>
          <t xml:space="preserve">                  후불 · EP 금융 여신액</t>
        </is>
      </c>
      <c r="B21" s="23">
        <f>SUMIFS(Raw_금융!I:I, Raw_금융!A:A, "1월", Raw_금융!AB:AB, "홈서비스", Raw_금융!E:E, "현대EP")+SUMIFS(Raw_금융!I:I, Raw_금융!A:A, "1월", Raw_금융!AB:AB, "믿고", Raw_금융!E:E, "현대EP")</f>
        <v/>
      </c>
      <c r="C21" s="23">
        <f>SUMIFS(Raw_금융!I:I, Raw_금융!A:A, "2월", Raw_금융!AB:AB, "홈서비스", Raw_금융!E:E, "현대EP")+SUMIFS(Raw_금융!I:I, Raw_금융!A:A, "2월", Raw_금융!AB:AB, "믿고", Raw_금융!E:E, "현대EP")</f>
        <v/>
      </c>
      <c r="D21" s="23">
        <f>SUMIFS(Raw_금융!I:I, Raw_금융!A:A, "3월", Raw_금융!AB:AB, "홈서비스", Raw_금융!E:E, "현대EP")+SUMIFS(Raw_금융!I:I, Raw_금융!A:A, "3월", Raw_금융!AB:AB, "믿고", Raw_금융!E:E, "현대EP")</f>
        <v/>
      </c>
      <c r="E21" s="23">
        <f>SUMIFS(Raw_금융!I:I, Raw_금융!A:A, "4월", Raw_금융!AB:AB, "홈서비스", Raw_금융!E:E, "현대EP")+SUMIFS(Raw_금융!I:I, Raw_금융!A:A, "4월", Raw_금융!AB:AB, "믿고", Raw_금융!E:E, "현대EP")</f>
        <v/>
      </c>
      <c r="F21" s="23">
        <f>SUMIFS(Raw_금융!I:I, Raw_금융!A:A, "5월", Raw_금융!AB:AB, "홈서비스", Raw_금융!E:E, "현대EP")+SUMIFS(Raw_금융!I:I, Raw_금융!A:A, "5월", Raw_금융!AB:AB, "믿고", Raw_금융!E:E, "현대EP")</f>
        <v/>
      </c>
      <c r="G21" s="23">
        <f>SUMIFS(Raw_금융!I:I, Raw_금융!A:A, "6월", Raw_금융!AB:AB, "홈서비스", Raw_금융!E:E, "현대EP")+SUMIFS(Raw_금융!I:I, Raw_금융!A:A, "6월", Raw_금융!AB:AB, "믿고", Raw_금융!E:E, "현대EP")</f>
        <v/>
      </c>
      <c r="H21" s="23">
        <f>SUMIFS(Raw_금융!I:I, Raw_금융!A:A, "7월", Raw_금융!AB:AB, "홈서비스", Raw_금융!E:E, "현대EP")+SUMIFS(Raw_금융!I:I, Raw_금융!A:A, "7월", Raw_금융!AB:AB, "믿고", Raw_금융!E:E, "현대EP")</f>
        <v/>
      </c>
      <c r="I21" s="23">
        <f>SUMIFS(Raw_금융!I:I, Raw_금융!A:A, "8월", Raw_금융!AB:AB, "홈서비스", Raw_금융!E:E, "현대EP")+SUMIFS(Raw_금융!I:I, Raw_금융!A:A, "8월", Raw_금융!AB:AB, "믿고", Raw_금융!E:E, "현대EP")</f>
        <v/>
      </c>
      <c r="J21" s="23">
        <f>SUMIFS(Raw_금융!I:I, Raw_금융!A:A, "9월", Raw_금융!AB:AB, "홈서비스", Raw_금융!E:E, "현대EP")+SUMIFS(Raw_금융!I:I, Raw_금융!A:A, "9월", Raw_금융!AB:AB, "믿고", Raw_금융!E:E, "현대EP")</f>
        <v/>
      </c>
      <c r="K21" s="23">
        <f>SUMIFS(Raw_금융!I:I, Raw_금융!A:A, "10월", Raw_금융!AB:AB, "홈서비스", Raw_금융!E:E, "현대EP")+SUMIFS(Raw_금융!I:I, Raw_금융!A:A, "10월", Raw_금융!AB:AB, "믿고", Raw_금융!E:E, "현대EP")</f>
        <v/>
      </c>
      <c r="L21" s="23">
        <f>SUMIFS(Raw_금융!I:I, Raw_금융!A:A, "11월", Raw_금융!AB:AB, "홈서비스", Raw_금융!E:E, "현대EP")+SUMIFS(Raw_금융!I:I, Raw_금융!A:A, "11월", Raw_금융!AB:AB, "믿고", Raw_금융!E:E, "현대EP")</f>
        <v/>
      </c>
      <c r="M21" s="23">
        <f>SUMIFS(Raw_금융!I:I, Raw_금융!A:A, "12월", Raw_금융!AB:AB, "홈서비스", Raw_금융!E:E, "현대EP")+SUMIFS(Raw_금융!I:I, Raw_금융!A:A, "12월", Raw_금융!AB:AB, "믿고", Raw_금융!E:E, "현대EP")</f>
        <v/>
      </c>
      <c r="N21" s="24">
        <f>SUM(B21:M21)</f>
        <v/>
      </c>
    </row>
    <row r="22">
      <c r="A22" s="21" t="inlineStr">
        <is>
          <t xml:space="preserve">            (2) 일반 금융</t>
        </is>
      </c>
      <c r="B22" s="23">
        <f>SUMIFS(Raw_금융!I:I, Raw_금융!A:A, "1월", Raw_금융!AB:AB, "엔카")</f>
        <v/>
      </c>
      <c r="C22" s="23">
        <f>SUMIFS(Raw_금융!I:I, Raw_금융!A:A, "2월", Raw_금융!AB:AB, "엔카")</f>
        <v/>
      </c>
      <c r="D22" s="23">
        <f>SUMIFS(Raw_금융!I:I, Raw_금융!A:A, "3월", Raw_금융!AB:AB, "엔카")</f>
        <v/>
      </c>
      <c r="E22" s="23">
        <f>SUMIFS(Raw_금융!I:I, Raw_금융!A:A, "4월", Raw_금융!AB:AB, "엔카")</f>
        <v/>
      </c>
      <c r="F22" s="23">
        <f>SUMIFS(Raw_금융!I:I, Raw_금융!A:A, "5월", Raw_금융!AB:AB, "엔카")</f>
        <v/>
      </c>
      <c r="G22" s="23">
        <f>SUMIFS(Raw_금융!I:I, Raw_금융!A:A, "6월", Raw_금융!AB:AB, "엔카")</f>
        <v/>
      </c>
      <c r="H22" s="23">
        <f>SUMIFS(Raw_금융!I:I, Raw_금융!A:A, "7월", Raw_금융!AB:AB, "엔카")</f>
        <v/>
      </c>
      <c r="I22" s="23">
        <f>SUMIFS(Raw_금융!I:I, Raw_금융!A:A, "8월", Raw_금융!AB:AB, "엔카")</f>
        <v/>
      </c>
      <c r="J22" s="23">
        <f>SUMIFS(Raw_금융!I:I, Raw_금융!A:A, "9월", Raw_금융!AB:AB, "엔카")</f>
        <v/>
      </c>
      <c r="K22" s="23">
        <f>SUMIFS(Raw_금융!I:I, Raw_금융!A:A, "10월", Raw_금융!AB:AB, "엔카")</f>
        <v/>
      </c>
      <c r="L22" s="23">
        <f>SUMIFS(Raw_금융!I:I, Raw_금융!A:A, "11월", Raw_금융!AB:AB, "엔카")</f>
        <v/>
      </c>
      <c r="M22" s="23">
        <f>SUMIFS(Raw_금융!I:I, Raw_금융!A:A, "12월", Raw_금융!AB:AB, "엔카")</f>
        <v/>
      </c>
      <c r="N22" s="24">
        <f>SUM(B22:M22)</f>
        <v/>
      </c>
    </row>
    <row r="23">
      <c r="A23" s="5" t="inlineStr">
        <is>
          <t xml:space="preserve">      2. 신규 소매금융</t>
        </is>
      </c>
      <c r="B23" s="6">
        <f>B24+B25</f>
        <v/>
      </c>
      <c r="C23" s="6">
        <f>C24+C25</f>
        <v/>
      </c>
      <c r="D23" s="6">
        <f>D24+D25</f>
        <v/>
      </c>
      <c r="E23" s="6">
        <f>E24+E25</f>
        <v/>
      </c>
      <c r="F23" s="6">
        <f>F24+F25</f>
        <v/>
      </c>
      <c r="G23" s="6">
        <f>G24+G25</f>
        <v/>
      </c>
      <c r="H23" s="6">
        <f>H24+H25</f>
        <v/>
      </c>
      <c r="I23" s="6">
        <f>I24+I25</f>
        <v/>
      </c>
      <c r="J23" s="6">
        <f>J24+J25</f>
        <v/>
      </c>
      <c r="K23" s="6">
        <f>K24+K25</f>
        <v/>
      </c>
      <c r="L23" s="6">
        <f>L24+L25</f>
        <v/>
      </c>
      <c r="M23" s="6">
        <f>M24+M25</f>
        <v/>
      </c>
      <c r="N23" s="6">
        <f>SUM(B23:M23)</f>
        <v/>
      </c>
    </row>
    <row r="24">
      <c r="A24" s="21" t="inlineStr">
        <is>
          <t xml:space="preserve">            (1) 금융 플러스</t>
        </is>
      </c>
      <c r="B24" s="23">
        <f>SUMIFS(Raw_금융!I:I, Raw_금융!A:A, "1월", Raw_금융!AB:AB, "딜러유입")</f>
        <v/>
      </c>
      <c r="C24" s="23">
        <f>SUMIFS(Raw_금융!I:I, Raw_금융!A:A, "2월", Raw_금융!AB:AB, "딜러유입")</f>
        <v/>
      </c>
      <c r="D24" s="23">
        <f>SUMIFS(Raw_금융!I:I, Raw_금융!A:A, "3월", Raw_금융!AB:AB, "딜러유입")</f>
        <v/>
      </c>
      <c r="E24" s="23">
        <f>SUMIFS(Raw_금융!I:I, Raw_금융!A:A, "4월", Raw_금융!AB:AB, "딜러유입")</f>
        <v/>
      </c>
      <c r="F24" s="23">
        <f>SUMIFS(Raw_금융!I:I, Raw_금융!A:A, "5월", Raw_금융!AB:AB, "딜러유입")</f>
        <v/>
      </c>
      <c r="G24" s="23">
        <f>SUMIFS(Raw_금융!I:I, Raw_금융!A:A, "6월", Raw_금융!AB:AB, "딜러유입")</f>
        <v/>
      </c>
      <c r="H24" s="23">
        <f>SUMIFS(Raw_금융!I:I, Raw_금융!A:A, "7월", Raw_금융!AB:AB, "딜러유입")</f>
        <v/>
      </c>
      <c r="I24" s="23">
        <f>SUMIFS(Raw_금융!I:I, Raw_금융!A:A, "8월", Raw_금융!AB:AB, "딜러유입")</f>
        <v/>
      </c>
      <c r="J24" s="23">
        <f>SUMIFS(Raw_금융!I:I, Raw_금융!A:A, "9월", Raw_금융!AB:AB, "딜러유입")</f>
        <v/>
      </c>
      <c r="K24" s="23">
        <f>SUMIFS(Raw_금융!I:I, Raw_금융!A:A, "10월", Raw_금융!AB:AB, "딜러유입")</f>
        <v/>
      </c>
      <c r="L24" s="23">
        <f>SUMIFS(Raw_금융!I:I, Raw_금융!A:A, "11월", Raw_금융!AB:AB, "딜러유입")</f>
        <v/>
      </c>
      <c r="M24" s="23">
        <f>SUMIFS(Raw_금융!I:I, Raw_금융!A:A, "12월", Raw_금융!AB:AB, "딜러유입")</f>
        <v/>
      </c>
      <c r="N24" s="24">
        <f>SUM(B24:M24)</f>
        <v/>
      </c>
    </row>
    <row r="25">
      <c r="A25" s="21" t="inlineStr">
        <is>
          <t xml:space="preserve">            (2) 엔카페이 2.0 (EP 2.0)</t>
        </is>
      </c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>
        <f>SUM(B25:M25)</f>
        <v/>
      </c>
    </row>
    <row r="26">
      <c r="A26" s="9" t="inlineStr">
        <is>
          <t>여신액 달성률 (총)</t>
        </is>
      </c>
      <c r="B26" s="10">
        <f>IF(B17=0,"",IFERROR(B17/B7,""))</f>
        <v/>
      </c>
      <c r="C26" s="10">
        <f>IF(C17=0,"",IFERROR(C17/C7,""))</f>
        <v/>
      </c>
      <c r="D26" s="10">
        <f>IF(D17=0,"",IFERROR(D17/D7,""))</f>
        <v/>
      </c>
      <c r="E26" s="10">
        <f>IF(E17=0,"",IFERROR(E17/E7,""))</f>
        <v/>
      </c>
      <c r="F26" s="10">
        <f>IF(F17=0,"",IFERROR(F17/F7,""))</f>
        <v/>
      </c>
      <c r="G26" s="10">
        <f>IF(G17=0,"",IFERROR(G17/G7,""))</f>
        <v/>
      </c>
      <c r="H26" s="10">
        <f>IF(H17=0,"",IFERROR(H17/H7,""))</f>
        <v/>
      </c>
      <c r="I26" s="10">
        <f>IF(I17=0,"",IFERROR(I17/I7,""))</f>
        <v/>
      </c>
      <c r="J26" s="10">
        <f>IF(J17=0,"",IFERROR(J17/J7,""))</f>
        <v/>
      </c>
      <c r="K26" s="10">
        <f>IF(K17=0,"",IFERROR(K17/K7,""))</f>
        <v/>
      </c>
      <c r="L26" s="10">
        <f>IF(L17=0,"",IFERROR(L17/L7,""))</f>
        <v/>
      </c>
      <c r="M26" s="10">
        <f>IF(M17=0,"",IFERROR(M17/M7,""))</f>
        <v/>
      </c>
      <c r="N26" s="11">
        <f>IF(N17=0,"",IFERROR(N17/N7,""))</f>
        <v/>
      </c>
    </row>
    <row r="27">
      <c r="A27" s="9" t="inlineStr">
        <is>
          <t xml:space="preserve">        └ 기존 소매금융</t>
        </is>
      </c>
      <c r="B27" s="10">
        <f>IF(B18=0,"",IFERROR(B18/B8,""))</f>
        <v/>
      </c>
      <c r="C27" s="10">
        <f>IF(C18=0,"",IFERROR(C18/C8,""))</f>
        <v/>
      </c>
      <c r="D27" s="10">
        <f>IF(D18=0,"",IFERROR(D18/D8,""))</f>
        <v/>
      </c>
      <c r="E27" s="10">
        <f>IF(E18=0,"",IFERROR(E18/E8,""))</f>
        <v/>
      </c>
      <c r="F27" s="10">
        <f>IF(F18=0,"",IFERROR(F18/F8,""))</f>
        <v/>
      </c>
      <c r="G27" s="10">
        <f>IF(G18=0,"",IFERROR(G18/G8,""))</f>
        <v/>
      </c>
      <c r="H27" s="10">
        <f>IF(H18=0,"",IFERROR(H18/H8,""))</f>
        <v/>
      </c>
      <c r="I27" s="10">
        <f>IF(I18=0,"",IFERROR(I18/I8,""))</f>
        <v/>
      </c>
      <c r="J27" s="10">
        <f>IF(J18=0,"",IFERROR(J18/J8,""))</f>
        <v/>
      </c>
      <c r="K27" s="10">
        <f>IF(K18=0,"",IFERROR(K18/K8,""))</f>
        <v/>
      </c>
      <c r="L27" s="10">
        <f>IF(L18=0,"",IFERROR(L18/L8,""))</f>
        <v/>
      </c>
      <c r="M27" s="10">
        <f>IF(M18=0,"",IFERROR(M18/M8,""))</f>
        <v/>
      </c>
      <c r="N27" s="11">
        <f>IF(N18=0,"",IFERROR(N18/N8,""))</f>
        <v/>
      </c>
    </row>
    <row r="28">
      <c r="A28" s="9" t="inlineStr">
        <is>
          <t xml:space="preserve">        └ 신규 소매금융</t>
        </is>
      </c>
      <c r="B28" s="10">
        <f>IF(B23=0,"",IFERROR(B23/B13,""))</f>
        <v/>
      </c>
      <c r="C28" s="10">
        <f>IF(C23=0,"",IFERROR(C23/C13,""))</f>
        <v/>
      </c>
      <c r="D28" s="10">
        <f>IF(D23=0,"",IFERROR(D23/D13,""))</f>
        <v/>
      </c>
      <c r="E28" s="10">
        <f>IF(E23=0,"",IFERROR(E23/E13,""))</f>
        <v/>
      </c>
      <c r="F28" s="10">
        <f>IF(F23=0,"",IFERROR(F23/F13,""))</f>
        <v/>
      </c>
      <c r="G28" s="10">
        <f>IF(G23=0,"",IFERROR(G23/G13,""))</f>
        <v/>
      </c>
      <c r="H28" s="10">
        <f>IF(H23=0,"",IFERROR(H23/H13,""))</f>
        <v/>
      </c>
      <c r="I28" s="10">
        <f>IF(I23=0,"",IFERROR(I23/I13,""))</f>
        <v/>
      </c>
      <c r="J28" s="10">
        <f>IF(J23=0,"",IFERROR(J23/J13,""))</f>
        <v/>
      </c>
      <c r="K28" s="10">
        <f>IF(K23=0,"",IFERROR(K23/K13,""))</f>
        <v/>
      </c>
      <c r="L28" s="10">
        <f>IF(L23=0,"",IFERROR(L23/L13,""))</f>
        <v/>
      </c>
      <c r="M28" s="10">
        <f>IF(M23=0,"",IFERROR(M23/M13,""))</f>
        <v/>
      </c>
      <c r="N28" s="11">
        <f>IF(N23=0,"",IFERROR(N23/N13,""))</f>
        <v/>
      </c>
    </row>
    <row r="30">
      <c r="A30" s="4" t="inlineStr">
        <is>
          <t>Ⅱ. 매출 (본업 + 연계 광고)</t>
        </is>
      </c>
    </row>
    <row r="31">
      <c r="A31" s="14" t="inlineStr">
        <is>
          <t xml:space="preserve">  [계획]</t>
        </is>
      </c>
    </row>
    <row r="32">
      <c r="A32" s="15" t="inlineStr">
        <is>
          <t>총 매출액</t>
        </is>
      </c>
      <c r="B32" s="16">
        <f>B33+B42</f>
        <v/>
      </c>
      <c r="C32" s="16">
        <f>C33+C42</f>
        <v/>
      </c>
      <c r="D32" s="16">
        <f>D33+D42</f>
        <v/>
      </c>
      <c r="E32" s="16">
        <f>E33+E42</f>
        <v/>
      </c>
      <c r="F32" s="16">
        <f>F33+F42</f>
        <v/>
      </c>
      <c r="G32" s="16">
        <f>G33+G42</f>
        <v/>
      </c>
      <c r="H32" s="16">
        <f>H33+H42</f>
        <v/>
      </c>
      <c r="I32" s="16">
        <f>I33+I42</f>
        <v/>
      </c>
      <c r="J32" s="16">
        <f>J33+J42</f>
        <v/>
      </c>
      <c r="K32" s="16">
        <f>K33+K42</f>
        <v/>
      </c>
      <c r="L32" s="16">
        <f>L33+L42</f>
        <v/>
      </c>
      <c r="M32" s="16">
        <f>M33+M42</f>
        <v/>
      </c>
      <c r="N32" s="16">
        <f>SUM(B32:M32)</f>
        <v/>
      </c>
    </row>
    <row r="33">
      <c r="A33" s="5" t="inlineStr">
        <is>
          <t xml:space="preserve">      Ⅰ. 금융 매출</t>
        </is>
      </c>
      <c r="B33" s="6">
        <f>B34+B39</f>
        <v/>
      </c>
      <c r="C33" s="6">
        <f>C34+C39</f>
        <v/>
      </c>
      <c r="D33" s="6">
        <f>D34+D39</f>
        <v/>
      </c>
      <c r="E33" s="6">
        <f>E34+E39</f>
        <v/>
      </c>
      <c r="F33" s="6">
        <f>F34+F39</f>
        <v/>
      </c>
      <c r="G33" s="6">
        <f>G34+G39</f>
        <v/>
      </c>
      <c r="H33" s="6">
        <f>H34+H39</f>
        <v/>
      </c>
      <c r="I33" s="6">
        <f>I34+I39</f>
        <v/>
      </c>
      <c r="J33" s="6">
        <f>J34+J39</f>
        <v/>
      </c>
      <c r="K33" s="6">
        <f>K34+K39</f>
        <v/>
      </c>
      <c r="L33" s="6">
        <f>L34+L39</f>
        <v/>
      </c>
      <c r="M33" s="6">
        <f>M34+M39</f>
        <v/>
      </c>
      <c r="N33" s="6">
        <f>SUM(B33:M33)</f>
        <v/>
      </c>
    </row>
    <row r="34">
      <c r="A34" s="17" t="inlineStr">
        <is>
          <t xml:space="preserve">            1. 기존 소매금융</t>
        </is>
      </c>
      <c r="B34" s="18">
        <f>B35+B38</f>
        <v/>
      </c>
      <c r="C34" s="18">
        <f>C35+C38</f>
        <v/>
      </c>
      <c r="D34" s="18">
        <f>D35+D38</f>
        <v/>
      </c>
      <c r="E34" s="18">
        <f>E35+E38</f>
        <v/>
      </c>
      <c r="F34" s="18">
        <f>F35+F38</f>
        <v/>
      </c>
      <c r="G34" s="18">
        <f>G35+G38</f>
        <v/>
      </c>
      <c r="H34" s="18">
        <f>H35+H38</f>
        <v/>
      </c>
      <c r="I34" s="18">
        <f>I35+I38</f>
        <v/>
      </c>
      <c r="J34" s="18">
        <f>J35+J38</f>
        <v/>
      </c>
      <c r="K34" s="18">
        <f>K35+K38</f>
        <v/>
      </c>
      <c r="L34" s="18">
        <f>L35+L38</f>
        <v/>
      </c>
      <c r="M34" s="18">
        <f>M35+M38</f>
        <v/>
      </c>
      <c r="N34" s="18">
        <f>SUM(B34:M34)</f>
        <v/>
      </c>
    </row>
    <row r="35">
      <c r="A35" s="25" t="inlineStr">
        <is>
          <t xml:space="preserve">                  (1) H/S 금융</t>
        </is>
      </c>
      <c r="B35" s="26">
        <f>B36+B37</f>
        <v/>
      </c>
      <c r="C35" s="26">
        <f>C36+C37</f>
        <v/>
      </c>
      <c r="D35" s="26">
        <f>D36+D37</f>
        <v/>
      </c>
      <c r="E35" s="26">
        <f>E36+E37</f>
        <v/>
      </c>
      <c r="F35" s="26">
        <f>F36+F37</f>
        <v/>
      </c>
      <c r="G35" s="26">
        <f>G36+G37</f>
        <v/>
      </c>
      <c r="H35" s="26">
        <f>H36+H37</f>
        <v/>
      </c>
      <c r="I35" s="26">
        <f>I36+I37</f>
        <v/>
      </c>
      <c r="J35" s="26">
        <f>J36+J37</f>
        <v/>
      </c>
      <c r="K35" s="26">
        <f>K36+K37</f>
        <v/>
      </c>
      <c r="L35" s="26">
        <f>L36+L37</f>
        <v/>
      </c>
      <c r="M35" s="26">
        <f>M36+M37</f>
        <v/>
      </c>
      <c r="N35" s="26">
        <f>SUM(B35:M35)</f>
        <v/>
      </c>
    </row>
    <row r="36">
      <c r="A36" s="19" t="inlineStr">
        <is>
          <t xml:space="preserve">                        선불 · 일반금융 매출</t>
        </is>
      </c>
      <c r="B36" s="20" t="n">
        <v>88994410.28</v>
      </c>
      <c r="C36" s="20" t="n">
        <v>97932867.15000001</v>
      </c>
      <c r="D36" s="20" t="n">
        <v>99238638.72</v>
      </c>
      <c r="E36" s="20" t="n">
        <v>99238638.72</v>
      </c>
      <c r="F36" s="20" t="n">
        <v>88139580.44</v>
      </c>
      <c r="G36" s="20" t="n">
        <v>92709780.91</v>
      </c>
      <c r="H36" s="20" t="n">
        <v>142981986</v>
      </c>
      <c r="I36" s="20" t="n">
        <v>124048298.4</v>
      </c>
      <c r="J36" s="20" t="n">
        <v>120130983.7</v>
      </c>
      <c r="K36" s="20" t="n">
        <v>116866554.8</v>
      </c>
      <c r="L36" s="20" t="n">
        <v>99891524.5</v>
      </c>
      <c r="M36" s="20" t="n">
        <v>110990582.8</v>
      </c>
      <c r="N36" s="20">
        <f>SUM(B36:M36)</f>
        <v/>
      </c>
    </row>
    <row r="37">
      <c r="A37" s="19" t="inlineStr">
        <is>
          <t xml:space="preserve">                        후불 · EP 금융 매출</t>
        </is>
      </c>
      <c r="B37" s="20" t="n">
        <v>46171013.78</v>
      </c>
      <c r="C37" s="20" t="n">
        <v>44971766.67</v>
      </c>
      <c r="D37" s="20" t="n">
        <v>45571390.22</v>
      </c>
      <c r="E37" s="20" t="n">
        <v>45571390.22</v>
      </c>
      <c r="F37" s="20" t="n">
        <v>40474590</v>
      </c>
      <c r="G37" s="20" t="n">
        <v>42573272.44</v>
      </c>
      <c r="H37" s="20" t="n">
        <v>65658779.33</v>
      </c>
      <c r="I37" s="20" t="n">
        <v>56964237.78</v>
      </c>
      <c r="J37" s="20" t="n">
        <v>55165367.11</v>
      </c>
      <c r="K37" s="20" t="n">
        <v>53666308.22</v>
      </c>
      <c r="L37" s="20" t="n">
        <v>45871202</v>
      </c>
      <c r="M37" s="20" t="n">
        <v>50968002.22</v>
      </c>
      <c r="N37" s="20">
        <f>SUM(B37:M37)</f>
        <v/>
      </c>
    </row>
    <row r="38">
      <c r="A38" s="19" t="inlineStr">
        <is>
          <t xml:space="preserve">                  (2) 일반 금융</t>
        </is>
      </c>
      <c r="B38" s="20" t="n">
        <v>53441640.66</v>
      </c>
      <c r="C38" s="20" t="n">
        <v>58803546.09</v>
      </c>
      <c r="D38" s="20" t="n">
        <v>59587593.37</v>
      </c>
      <c r="E38" s="20" t="n">
        <v>59587593.37</v>
      </c>
      <c r="F38" s="20" t="n">
        <v>52923191.48</v>
      </c>
      <c r="G38" s="20" t="n">
        <v>55667356.97</v>
      </c>
      <c r="H38" s="20" t="n">
        <v>85853177.3</v>
      </c>
      <c r="I38" s="20" t="n">
        <v>74484491.72</v>
      </c>
      <c r="J38" s="20" t="n">
        <v>72132349.87</v>
      </c>
      <c r="K38" s="20" t="n">
        <v>70172231.67</v>
      </c>
      <c r="L38" s="20" t="n">
        <v>59979617.01</v>
      </c>
      <c r="M38" s="20" t="n">
        <v>66644018.91</v>
      </c>
      <c r="N38" s="20">
        <f>SUM(B38:M38)</f>
        <v/>
      </c>
    </row>
    <row r="39">
      <c r="A39" s="17" t="inlineStr">
        <is>
          <t xml:space="preserve">            2. 신규 소매금융</t>
        </is>
      </c>
      <c r="B39" s="18">
        <f>B40+B41</f>
        <v/>
      </c>
      <c r="C39" s="18">
        <f>C40+C41</f>
        <v/>
      </c>
      <c r="D39" s="18">
        <f>D40+D41</f>
        <v/>
      </c>
      <c r="E39" s="18">
        <f>E40+E41</f>
        <v/>
      </c>
      <c r="F39" s="18">
        <f>F40+F41</f>
        <v/>
      </c>
      <c r="G39" s="18">
        <f>G40+G41</f>
        <v/>
      </c>
      <c r="H39" s="18">
        <f>H40+H41</f>
        <v/>
      </c>
      <c r="I39" s="18">
        <f>I40+I41</f>
        <v/>
      </c>
      <c r="J39" s="18">
        <f>J40+J41</f>
        <v/>
      </c>
      <c r="K39" s="18">
        <f>K40+K41</f>
        <v/>
      </c>
      <c r="L39" s="18">
        <f>L40+L41</f>
        <v/>
      </c>
      <c r="M39" s="18">
        <f>M40+M41</f>
        <v/>
      </c>
      <c r="N39" s="18">
        <f>SUM(B39:M39)</f>
        <v/>
      </c>
    </row>
    <row r="40">
      <c r="A40" s="19" t="inlineStr">
        <is>
          <t xml:space="preserve">                  (1) 금융 플러스</t>
        </is>
      </c>
      <c r="B40" s="20" t="n">
        <v>0</v>
      </c>
      <c r="C40" s="20" t="n">
        <v>1000000</v>
      </c>
      <c r="D40" s="20" t="n">
        <v>3000000</v>
      </c>
      <c r="E40" s="20" t="n">
        <v>6000000</v>
      </c>
      <c r="F40" s="20" t="n">
        <v>10000000</v>
      </c>
      <c r="G40" s="20" t="n">
        <v>20000000</v>
      </c>
      <c r="H40" s="20" t="n">
        <v>41000000</v>
      </c>
      <c r="I40" s="20" t="n">
        <v>36000000</v>
      </c>
      <c r="J40" s="20" t="n">
        <v>33000000</v>
      </c>
      <c r="K40" s="20" t="n">
        <v>31000000</v>
      </c>
      <c r="L40" s="20" t="n">
        <v>26000000</v>
      </c>
      <c r="M40" s="20" t="n">
        <v>33000000</v>
      </c>
      <c r="N40" s="20">
        <f>SUM(B40:M40)</f>
        <v/>
      </c>
    </row>
    <row r="41">
      <c r="A41" s="19" t="inlineStr">
        <is>
          <t xml:space="preserve">                  (2) 엔카페이 2.0</t>
        </is>
      </c>
      <c r="B41" s="20" t="n">
        <v>0</v>
      </c>
      <c r="C41" s="20" t="n">
        <v>0</v>
      </c>
      <c r="D41" s="20" t="n">
        <v>0</v>
      </c>
      <c r="E41" s="20" t="n">
        <v>4800000</v>
      </c>
      <c r="F41" s="20" t="n">
        <v>6600000</v>
      </c>
      <c r="G41" s="20" t="n">
        <v>12000000</v>
      </c>
      <c r="H41" s="20" t="n">
        <v>24000000</v>
      </c>
      <c r="I41" s="20" t="n">
        <v>22800000</v>
      </c>
      <c r="J41" s="20" t="n">
        <v>20400000</v>
      </c>
      <c r="K41" s="20" t="n">
        <v>19800000</v>
      </c>
      <c r="L41" s="20" t="n">
        <v>13800000</v>
      </c>
      <c r="M41" s="20" t="n">
        <v>19800000</v>
      </c>
      <c r="N41" s="20">
        <f>SUM(B41:M41)</f>
        <v/>
      </c>
    </row>
    <row r="42">
      <c r="A42" s="5" t="inlineStr">
        <is>
          <t xml:space="preserve">      Ⅱ. 기타 매출 (금융 연계 광고)</t>
        </is>
      </c>
      <c r="B42" s="6">
        <f>B43+B44</f>
        <v/>
      </c>
      <c r="C42" s="6">
        <f>C43+C44</f>
        <v/>
      </c>
      <c r="D42" s="6">
        <f>D43+D44</f>
        <v/>
      </c>
      <c r="E42" s="6">
        <f>E43+E44</f>
        <v/>
      </c>
      <c r="F42" s="6">
        <f>F43+F44</f>
        <v/>
      </c>
      <c r="G42" s="6">
        <f>G43+G44</f>
        <v/>
      </c>
      <c r="H42" s="6">
        <f>H43+H44</f>
        <v/>
      </c>
      <c r="I42" s="6">
        <f>I43+I44</f>
        <v/>
      </c>
      <c r="J42" s="6">
        <f>J43+J44</f>
        <v/>
      </c>
      <c r="K42" s="6">
        <f>K43+K44</f>
        <v/>
      </c>
      <c r="L42" s="6">
        <f>L43+L44</f>
        <v/>
      </c>
      <c r="M42" s="6">
        <f>M43+M44</f>
        <v/>
      </c>
      <c r="N42" s="6">
        <f>SUM(B42:M42)</f>
        <v/>
      </c>
    </row>
    <row r="43">
      <c r="A43" s="21" t="inlineStr">
        <is>
          <t xml:space="preserve">            웰컴저축은행</t>
        </is>
      </c>
      <c r="B43" s="22" t="n">
        <v>27500000</v>
      </c>
      <c r="C43" s="22" t="n">
        <v>27500000</v>
      </c>
      <c r="D43" s="22" t="n">
        <v>27500000</v>
      </c>
      <c r="E43" s="22" t="n">
        <v>27500000</v>
      </c>
      <c r="F43" s="22" t="n">
        <v>30250000</v>
      </c>
      <c r="G43" s="22" t="n">
        <v>30250000</v>
      </c>
      <c r="H43" s="22" t="n">
        <v>30250000</v>
      </c>
      <c r="I43" s="22" t="n">
        <v>30250000</v>
      </c>
      <c r="J43" s="22" t="n">
        <v>30250000</v>
      </c>
      <c r="K43" s="22" t="n">
        <v>30250000</v>
      </c>
      <c r="L43" s="22" t="n">
        <v>30250000</v>
      </c>
      <c r="M43" s="22" t="n">
        <v>30250000</v>
      </c>
      <c r="N43" s="22">
        <f>SUM(B43:M43)</f>
        <v/>
      </c>
    </row>
    <row r="44">
      <c r="A44" s="21" t="inlineStr">
        <is>
          <t xml:space="preserve">            IM캐피탈</t>
        </is>
      </c>
      <c r="B44" s="22" t="n">
        <v>40000000</v>
      </c>
      <c r="C44" s="22" t="n">
        <v>40000000</v>
      </c>
      <c r="D44" s="22" t="n">
        <v>40000000</v>
      </c>
      <c r="E44" s="22" t="n">
        <v>40000000</v>
      </c>
      <c r="F44" s="22" t="n">
        <v>40000000</v>
      </c>
      <c r="G44" s="22" t="n">
        <v>40000000</v>
      </c>
      <c r="H44" s="22" t="n">
        <v>40000000</v>
      </c>
      <c r="I44" s="22" t="n">
        <v>40000000</v>
      </c>
      <c r="J44" s="22" t="n">
        <v>40000000</v>
      </c>
      <c r="K44" s="22" t="n">
        <v>40000000</v>
      </c>
      <c r="L44" s="22" t="n">
        <v>40000000</v>
      </c>
      <c r="M44" s="22" t="n">
        <v>40000000</v>
      </c>
      <c r="N44" s="22">
        <f>SUM(B44:M44)</f>
        <v/>
      </c>
    </row>
    <row r="45">
      <c r="A45" s="14" t="inlineStr">
        <is>
          <t xml:space="preserve">  [실적]</t>
        </is>
      </c>
    </row>
    <row r="46">
      <c r="A46" s="15" t="inlineStr">
        <is>
          <t>총 사업 매출</t>
        </is>
      </c>
      <c r="B46" s="16">
        <f>B47+B56</f>
        <v/>
      </c>
      <c r="C46" s="16">
        <f>C47+C56</f>
        <v/>
      </c>
      <c r="D46" s="16">
        <f>D47+D56</f>
        <v/>
      </c>
      <c r="E46" s="16">
        <f>E47+E56</f>
        <v/>
      </c>
      <c r="F46" s="16">
        <f>F47+F56</f>
        <v/>
      </c>
      <c r="G46" s="16">
        <f>G47+G56</f>
        <v/>
      </c>
      <c r="H46" s="16">
        <f>H47+H56</f>
        <v/>
      </c>
      <c r="I46" s="16">
        <f>I47+I56</f>
        <v/>
      </c>
      <c r="J46" s="16">
        <f>J47+J56</f>
        <v/>
      </c>
      <c r="K46" s="16">
        <f>K47+K56</f>
        <v/>
      </c>
      <c r="L46" s="16">
        <f>L47+L56</f>
        <v/>
      </c>
      <c r="M46" s="16">
        <f>M47+M56</f>
        <v/>
      </c>
      <c r="N46" s="16">
        <f>SUM(B46:M46)</f>
        <v/>
      </c>
    </row>
    <row r="47">
      <c r="A47" s="5" t="inlineStr">
        <is>
          <t xml:space="preserve">      Ⅰ. 금융 매출</t>
        </is>
      </c>
      <c r="B47" s="6">
        <f>B48+B53</f>
        <v/>
      </c>
      <c r="C47" s="6">
        <f>C48+C53</f>
        <v/>
      </c>
      <c r="D47" s="6">
        <f>D48+D53</f>
        <v/>
      </c>
      <c r="E47" s="6">
        <f>E48+E53</f>
        <v/>
      </c>
      <c r="F47" s="6">
        <f>F48+F53</f>
        <v/>
      </c>
      <c r="G47" s="6">
        <f>G48+G53</f>
        <v/>
      </c>
      <c r="H47" s="6">
        <f>H48+H53</f>
        <v/>
      </c>
      <c r="I47" s="6">
        <f>I48+I53</f>
        <v/>
      </c>
      <c r="J47" s="6">
        <f>J48+J53</f>
        <v/>
      </c>
      <c r="K47" s="6">
        <f>K48+K53</f>
        <v/>
      </c>
      <c r="L47" s="6">
        <f>L48+L53</f>
        <v/>
      </c>
      <c r="M47" s="6">
        <f>M48+M53</f>
        <v/>
      </c>
      <c r="N47" s="6">
        <f>SUM(B47:M47)</f>
        <v/>
      </c>
    </row>
    <row r="48">
      <c r="A48" s="17" t="inlineStr">
        <is>
          <t xml:space="preserve">            1. 기존 소매금융</t>
        </is>
      </c>
      <c r="B48" s="18">
        <f>B49+B52</f>
        <v/>
      </c>
      <c r="C48" s="18">
        <f>C49+C52</f>
        <v/>
      </c>
      <c r="D48" s="18">
        <f>D49+D52</f>
        <v/>
      </c>
      <c r="E48" s="18">
        <f>E49+E52</f>
        <v/>
      </c>
      <c r="F48" s="18">
        <f>F49+F52</f>
        <v/>
      </c>
      <c r="G48" s="18">
        <f>G49+G52</f>
        <v/>
      </c>
      <c r="H48" s="18">
        <f>H49+H52</f>
        <v/>
      </c>
      <c r="I48" s="18">
        <f>I49+I52</f>
        <v/>
      </c>
      <c r="J48" s="18">
        <f>J49+J52</f>
        <v/>
      </c>
      <c r="K48" s="18">
        <f>K49+K52</f>
        <v/>
      </c>
      <c r="L48" s="18">
        <f>L49+L52</f>
        <v/>
      </c>
      <c r="M48" s="18">
        <f>M49+M52</f>
        <v/>
      </c>
      <c r="N48" s="18">
        <f>SUM(B48:M48)</f>
        <v/>
      </c>
    </row>
    <row r="49">
      <c r="A49" s="25" t="inlineStr">
        <is>
          <t xml:space="preserve">                  (1) H/S 금융</t>
        </is>
      </c>
      <c r="B49" s="26">
        <f>B50+B51</f>
        <v/>
      </c>
      <c r="C49" s="26">
        <f>C50+C51</f>
        <v/>
      </c>
      <c r="D49" s="26">
        <f>D50+D51</f>
        <v/>
      </c>
      <c r="E49" s="26">
        <f>E50+E51</f>
        <v/>
      </c>
      <c r="F49" s="26">
        <f>F50+F51</f>
        <v/>
      </c>
      <c r="G49" s="26">
        <f>G50+G51</f>
        <v/>
      </c>
      <c r="H49" s="26">
        <f>H50+H51</f>
        <v/>
      </c>
      <c r="I49" s="26">
        <f>I50+I51</f>
        <v/>
      </c>
      <c r="J49" s="26">
        <f>J50+J51</f>
        <v/>
      </c>
      <c r="K49" s="26">
        <f>K50+K51</f>
        <v/>
      </c>
      <c r="L49" s="26">
        <f>L50+L51</f>
        <v/>
      </c>
      <c r="M49" s="26">
        <f>M50+M51</f>
        <v/>
      </c>
      <c r="N49" s="26">
        <f>SUM(B49:M49)</f>
        <v/>
      </c>
    </row>
    <row r="50">
      <c r="A50" s="19" t="inlineStr">
        <is>
          <t xml:space="preserve">                        선불 · 일반금융 매출</t>
        </is>
      </c>
      <c r="B50" s="23">
        <f>SUMIFS(Raw_금융!AF:AF, Raw_금융!A:A, "1월", Raw_금융!AB:AB, "홈서비스", Raw_금융!E:E, "&lt;&gt;현대EP")+SUMIFS(Raw_금융!AF:AF, Raw_금융!A:A, "1월", Raw_금융!AB:AB, "믿고", Raw_금융!E:E, "&lt;&gt;현대EP")</f>
        <v/>
      </c>
      <c r="C50" s="23">
        <f>SUMIFS(Raw_금융!AF:AF, Raw_금융!A:A, "2월", Raw_금융!AB:AB, "홈서비스", Raw_금융!E:E, "&lt;&gt;현대EP")+SUMIFS(Raw_금융!AF:AF, Raw_금융!A:A, "2월", Raw_금융!AB:AB, "믿고", Raw_금융!E:E, "&lt;&gt;현대EP")</f>
        <v/>
      </c>
      <c r="D50" s="23">
        <f>SUMIFS(Raw_금융!AF:AF, Raw_금융!A:A, "3월", Raw_금융!AB:AB, "홈서비스", Raw_금융!E:E, "&lt;&gt;현대EP")+SUMIFS(Raw_금융!AF:AF, Raw_금융!A:A, "3월", Raw_금융!AB:AB, "믿고", Raw_금융!E:E, "&lt;&gt;현대EP")</f>
        <v/>
      </c>
      <c r="E50" s="23">
        <f>SUMIFS(Raw_금융!AF:AF, Raw_금융!A:A, "4월", Raw_금융!AB:AB, "홈서비스", Raw_금융!E:E, "&lt;&gt;현대EP")+SUMIFS(Raw_금융!AF:AF, Raw_금융!A:A, "4월", Raw_금융!AB:AB, "믿고", Raw_금융!E:E, "&lt;&gt;현대EP")</f>
        <v/>
      </c>
      <c r="F50" s="23">
        <f>SUMIFS(Raw_금융!AF:AF, Raw_금융!A:A, "5월", Raw_금융!AB:AB, "홈서비스", Raw_금융!E:E, "&lt;&gt;현대EP")+SUMIFS(Raw_금융!AF:AF, Raw_금융!A:A, "5월", Raw_금융!AB:AB, "믿고", Raw_금융!E:E, "&lt;&gt;현대EP")</f>
        <v/>
      </c>
      <c r="G50" s="23">
        <f>SUMIFS(Raw_금융!AF:AF, Raw_금융!A:A, "6월", Raw_금융!AB:AB, "홈서비스", Raw_금융!E:E, "&lt;&gt;현대EP")+SUMIFS(Raw_금융!AF:AF, Raw_금융!A:A, "6월", Raw_금융!AB:AB, "믿고", Raw_금융!E:E, "&lt;&gt;현대EP")</f>
        <v/>
      </c>
      <c r="H50" s="23">
        <f>SUMIFS(Raw_금융!AF:AF, Raw_금융!A:A, "7월", Raw_금융!AB:AB, "홈서비스", Raw_금융!E:E, "&lt;&gt;현대EP")+SUMIFS(Raw_금융!AF:AF, Raw_금융!A:A, "7월", Raw_금융!AB:AB, "믿고", Raw_금융!E:E, "&lt;&gt;현대EP")</f>
        <v/>
      </c>
      <c r="I50" s="23">
        <f>SUMIFS(Raw_금융!AF:AF, Raw_금융!A:A, "8월", Raw_금융!AB:AB, "홈서비스", Raw_금융!E:E, "&lt;&gt;현대EP")+SUMIFS(Raw_금융!AF:AF, Raw_금융!A:A, "8월", Raw_금융!AB:AB, "믿고", Raw_금융!E:E, "&lt;&gt;현대EP")</f>
        <v/>
      </c>
      <c r="J50" s="23">
        <f>SUMIFS(Raw_금융!AF:AF, Raw_금융!A:A, "9월", Raw_금융!AB:AB, "홈서비스", Raw_금융!E:E, "&lt;&gt;현대EP")+SUMIFS(Raw_금융!AF:AF, Raw_금융!A:A, "9월", Raw_금융!AB:AB, "믿고", Raw_금융!E:E, "&lt;&gt;현대EP")</f>
        <v/>
      </c>
      <c r="K50" s="23">
        <f>SUMIFS(Raw_금융!AF:AF, Raw_금융!A:A, "10월", Raw_금융!AB:AB, "홈서비스", Raw_금융!E:E, "&lt;&gt;현대EP")+SUMIFS(Raw_금융!AF:AF, Raw_금융!A:A, "10월", Raw_금융!AB:AB, "믿고", Raw_금융!E:E, "&lt;&gt;현대EP")</f>
        <v/>
      </c>
      <c r="L50" s="23">
        <f>SUMIFS(Raw_금융!AF:AF, Raw_금융!A:A, "11월", Raw_금융!AB:AB, "홈서비스", Raw_금융!E:E, "&lt;&gt;현대EP")+SUMIFS(Raw_금융!AF:AF, Raw_금융!A:A, "11월", Raw_금융!AB:AB, "믿고", Raw_금융!E:E, "&lt;&gt;현대EP")</f>
        <v/>
      </c>
      <c r="M50" s="23">
        <f>SUMIFS(Raw_금융!AF:AF, Raw_금융!A:A, "12월", Raw_금융!AB:AB, "홈서비스", Raw_금융!E:E, "&lt;&gt;현대EP")+SUMIFS(Raw_금융!AF:AF, Raw_금융!A:A, "12월", Raw_금융!AB:AB, "믿고", Raw_금융!E:E, "&lt;&gt;현대EP")</f>
        <v/>
      </c>
      <c r="N50" s="24">
        <f>SUM(B50:M50)</f>
        <v/>
      </c>
    </row>
    <row r="51">
      <c r="A51" s="19" t="inlineStr">
        <is>
          <t xml:space="preserve">                        후불 · EP 금융 매출</t>
        </is>
      </c>
      <c r="B51" s="23">
        <f>SUMIFS(Raw_금융!AF:AF, Raw_금융!A:A, "1월", Raw_금융!AB:AB, "홈서비스", Raw_금융!E:E, "현대EP")+SUMIFS(Raw_금융!AF:AF, Raw_금융!A:A, "1월", Raw_금융!AB:AB, "믿고", Raw_금융!E:E, "현대EP")</f>
        <v/>
      </c>
      <c r="C51" s="23">
        <f>SUMIFS(Raw_금융!AF:AF, Raw_금융!A:A, "2월", Raw_금융!AB:AB, "홈서비스", Raw_금융!E:E, "현대EP")+SUMIFS(Raw_금융!AF:AF, Raw_금융!A:A, "2월", Raw_금융!AB:AB, "믿고", Raw_금융!E:E, "현대EP")</f>
        <v/>
      </c>
      <c r="D51" s="23">
        <f>SUMIFS(Raw_금융!AF:AF, Raw_금융!A:A, "3월", Raw_금융!AB:AB, "홈서비스", Raw_금융!E:E, "현대EP")+SUMIFS(Raw_금융!AF:AF, Raw_금융!A:A, "3월", Raw_금융!AB:AB, "믿고", Raw_금융!E:E, "현대EP")</f>
        <v/>
      </c>
      <c r="E51" s="23">
        <f>SUMIFS(Raw_금융!AF:AF, Raw_금융!A:A, "4월", Raw_금융!AB:AB, "홈서비스", Raw_금융!E:E, "현대EP")+SUMIFS(Raw_금융!AF:AF, Raw_금융!A:A, "4월", Raw_금융!AB:AB, "믿고", Raw_금융!E:E, "현대EP")</f>
        <v/>
      </c>
      <c r="F51" s="23">
        <f>SUMIFS(Raw_금융!AF:AF, Raw_금융!A:A, "5월", Raw_금융!AB:AB, "홈서비스", Raw_금융!E:E, "현대EP")+SUMIFS(Raw_금융!AF:AF, Raw_금융!A:A, "5월", Raw_금융!AB:AB, "믿고", Raw_금융!E:E, "현대EP")</f>
        <v/>
      </c>
      <c r="G51" s="23">
        <f>SUMIFS(Raw_금융!AF:AF, Raw_금융!A:A, "6월", Raw_금융!AB:AB, "홈서비스", Raw_금융!E:E, "현대EP")+SUMIFS(Raw_금융!AF:AF, Raw_금융!A:A, "6월", Raw_금융!AB:AB, "믿고", Raw_금융!E:E, "현대EP")</f>
        <v/>
      </c>
      <c r="H51" s="23">
        <f>SUMIFS(Raw_금융!AF:AF, Raw_금융!A:A, "7월", Raw_금융!AB:AB, "홈서비스", Raw_금융!E:E, "현대EP")+SUMIFS(Raw_금융!AF:AF, Raw_금융!A:A, "7월", Raw_금융!AB:AB, "믿고", Raw_금융!E:E, "현대EP")</f>
        <v/>
      </c>
      <c r="I51" s="23">
        <f>SUMIFS(Raw_금융!AF:AF, Raw_금융!A:A, "8월", Raw_금융!AB:AB, "홈서비스", Raw_금융!E:E, "현대EP")+SUMIFS(Raw_금융!AF:AF, Raw_금융!A:A, "8월", Raw_금융!AB:AB, "믿고", Raw_금융!E:E, "현대EP")</f>
        <v/>
      </c>
      <c r="J51" s="23">
        <f>SUMIFS(Raw_금융!AF:AF, Raw_금융!A:A, "9월", Raw_금융!AB:AB, "홈서비스", Raw_금융!E:E, "현대EP")+SUMIFS(Raw_금융!AF:AF, Raw_금융!A:A, "9월", Raw_금융!AB:AB, "믿고", Raw_금융!E:E, "현대EP")</f>
        <v/>
      </c>
      <c r="K51" s="23">
        <f>SUMIFS(Raw_금융!AF:AF, Raw_금융!A:A, "10월", Raw_금융!AB:AB, "홈서비스", Raw_금융!E:E, "현대EP")+SUMIFS(Raw_금융!AF:AF, Raw_금융!A:A, "10월", Raw_금융!AB:AB, "믿고", Raw_금융!E:E, "현대EP")</f>
        <v/>
      </c>
      <c r="L51" s="23">
        <f>SUMIFS(Raw_금융!AF:AF, Raw_금융!A:A, "11월", Raw_금융!AB:AB, "홈서비스", Raw_금융!E:E, "현대EP")+SUMIFS(Raw_금융!AF:AF, Raw_금융!A:A, "11월", Raw_금융!AB:AB, "믿고", Raw_금융!E:E, "현대EP")</f>
        <v/>
      </c>
      <c r="M51" s="23">
        <f>SUMIFS(Raw_금융!AF:AF, Raw_금융!A:A, "12월", Raw_금융!AB:AB, "홈서비스", Raw_금융!E:E, "현대EP")+SUMIFS(Raw_금융!AF:AF, Raw_금융!A:A, "12월", Raw_금융!AB:AB, "믿고", Raw_금융!E:E, "현대EP")</f>
        <v/>
      </c>
      <c r="N51" s="24">
        <f>SUM(B51:M51)</f>
        <v/>
      </c>
    </row>
    <row r="52">
      <c r="A52" s="19" t="inlineStr">
        <is>
          <t xml:space="preserve">                  (2) 일반 금융</t>
        </is>
      </c>
      <c r="B52" s="23">
        <f>SUMIFS(Raw_금융!AF:AF, Raw_금융!A:A, "1월", Raw_금융!AB:AB, "엔카")</f>
        <v/>
      </c>
      <c r="C52" s="23">
        <f>SUMIFS(Raw_금융!AF:AF, Raw_금융!A:A, "2월", Raw_금융!AB:AB, "엔카")</f>
        <v/>
      </c>
      <c r="D52" s="23">
        <f>SUMIFS(Raw_금융!AF:AF, Raw_금융!A:A, "3월", Raw_금융!AB:AB, "엔카")</f>
        <v/>
      </c>
      <c r="E52" s="23">
        <f>SUMIFS(Raw_금융!AF:AF, Raw_금융!A:A, "4월", Raw_금융!AB:AB, "엔카")</f>
        <v/>
      </c>
      <c r="F52" s="23">
        <f>SUMIFS(Raw_금융!AF:AF, Raw_금융!A:A, "5월", Raw_금융!AB:AB, "엔카")</f>
        <v/>
      </c>
      <c r="G52" s="23">
        <f>SUMIFS(Raw_금융!AF:AF, Raw_금융!A:A, "6월", Raw_금융!AB:AB, "엔카")</f>
        <v/>
      </c>
      <c r="H52" s="23">
        <f>SUMIFS(Raw_금융!AF:AF, Raw_금융!A:A, "7월", Raw_금융!AB:AB, "엔카")</f>
        <v/>
      </c>
      <c r="I52" s="23">
        <f>SUMIFS(Raw_금융!AF:AF, Raw_금융!A:A, "8월", Raw_금융!AB:AB, "엔카")</f>
        <v/>
      </c>
      <c r="J52" s="23">
        <f>SUMIFS(Raw_금융!AF:AF, Raw_금융!A:A, "9월", Raw_금융!AB:AB, "엔카")</f>
        <v/>
      </c>
      <c r="K52" s="23">
        <f>SUMIFS(Raw_금융!AF:AF, Raw_금융!A:A, "10월", Raw_금융!AB:AB, "엔카")</f>
        <v/>
      </c>
      <c r="L52" s="23">
        <f>SUMIFS(Raw_금융!AF:AF, Raw_금융!A:A, "11월", Raw_금융!AB:AB, "엔카")</f>
        <v/>
      </c>
      <c r="M52" s="23">
        <f>SUMIFS(Raw_금융!AF:AF, Raw_금융!A:A, "12월", Raw_금융!AB:AB, "엔카")</f>
        <v/>
      </c>
      <c r="N52" s="24">
        <f>SUM(B52:M52)</f>
        <v/>
      </c>
    </row>
    <row r="53">
      <c r="A53" s="17" t="inlineStr">
        <is>
          <t xml:space="preserve">            2. 신규 소매금융</t>
        </is>
      </c>
      <c r="B53" s="18">
        <f>B54+B55</f>
        <v/>
      </c>
      <c r="C53" s="18">
        <f>C54+C55</f>
        <v/>
      </c>
      <c r="D53" s="18">
        <f>D54+D55</f>
        <v/>
      </c>
      <c r="E53" s="18">
        <f>E54+E55</f>
        <v/>
      </c>
      <c r="F53" s="18">
        <f>F54+F55</f>
        <v/>
      </c>
      <c r="G53" s="18">
        <f>G54+G55</f>
        <v/>
      </c>
      <c r="H53" s="18">
        <f>H54+H55</f>
        <v/>
      </c>
      <c r="I53" s="18">
        <f>I54+I55</f>
        <v/>
      </c>
      <c r="J53" s="18">
        <f>J54+J55</f>
        <v/>
      </c>
      <c r="K53" s="18">
        <f>K54+K55</f>
        <v/>
      </c>
      <c r="L53" s="18">
        <f>L54+L55</f>
        <v/>
      </c>
      <c r="M53" s="18">
        <f>M54+M55</f>
        <v/>
      </c>
      <c r="N53" s="18">
        <f>SUM(B53:M53)</f>
        <v/>
      </c>
    </row>
    <row r="54">
      <c r="A54" s="19" t="inlineStr">
        <is>
          <t xml:space="preserve">                  (1) 금융 플러스</t>
        </is>
      </c>
      <c r="B54" s="23">
        <f>SUMIFS(Raw_금융!AF:AF, Raw_금융!A:A, "1월", Raw_금융!AB:AB, "딜러유입")</f>
        <v/>
      </c>
      <c r="C54" s="23">
        <f>SUMIFS(Raw_금융!AF:AF, Raw_금융!A:A, "2월", Raw_금융!AB:AB, "딜러유입")</f>
        <v/>
      </c>
      <c r="D54" s="23">
        <f>SUMIFS(Raw_금융!AF:AF, Raw_금융!A:A, "3월", Raw_금융!AB:AB, "딜러유입")</f>
        <v/>
      </c>
      <c r="E54" s="23">
        <f>SUMIFS(Raw_금융!AF:AF, Raw_금융!A:A, "4월", Raw_금융!AB:AB, "딜러유입")</f>
        <v/>
      </c>
      <c r="F54" s="23">
        <f>SUMIFS(Raw_금융!AF:AF, Raw_금융!A:A, "5월", Raw_금융!AB:AB, "딜러유입")</f>
        <v/>
      </c>
      <c r="G54" s="23">
        <f>SUMIFS(Raw_금융!AF:AF, Raw_금융!A:A, "6월", Raw_금융!AB:AB, "딜러유입")</f>
        <v/>
      </c>
      <c r="H54" s="23">
        <f>SUMIFS(Raw_금융!AF:AF, Raw_금융!A:A, "7월", Raw_금융!AB:AB, "딜러유입")</f>
        <v/>
      </c>
      <c r="I54" s="23">
        <f>SUMIFS(Raw_금융!AF:AF, Raw_금융!A:A, "8월", Raw_금융!AB:AB, "딜러유입")</f>
        <v/>
      </c>
      <c r="J54" s="23">
        <f>SUMIFS(Raw_금융!AF:AF, Raw_금융!A:A, "9월", Raw_금융!AB:AB, "딜러유입")</f>
        <v/>
      </c>
      <c r="K54" s="23">
        <f>SUMIFS(Raw_금융!AF:AF, Raw_금융!A:A, "10월", Raw_금융!AB:AB, "딜러유입")</f>
        <v/>
      </c>
      <c r="L54" s="23">
        <f>SUMIFS(Raw_금융!AF:AF, Raw_금융!A:A, "11월", Raw_금융!AB:AB, "딜러유입")</f>
        <v/>
      </c>
      <c r="M54" s="23">
        <f>SUMIFS(Raw_금융!AF:AF, Raw_금융!A:A, "12월", Raw_금융!AB:AB, "딜러유입")</f>
        <v/>
      </c>
      <c r="N54" s="24">
        <f>SUM(B54:M54)</f>
        <v/>
      </c>
    </row>
    <row r="55">
      <c r="A55" s="19" t="inlineStr">
        <is>
          <t xml:space="preserve">                  (2) 엔카페이 2.0</t>
        </is>
      </c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>
        <f>SUM(B55:M55)</f>
        <v/>
      </c>
    </row>
    <row r="56">
      <c r="A56" s="5" t="inlineStr">
        <is>
          <t xml:space="preserve">      Ⅱ. 기타 매출 (금융 연계 광고)</t>
        </is>
      </c>
      <c r="B56" s="6">
        <f>B57+B58</f>
        <v/>
      </c>
      <c r="C56" s="6">
        <f>C57+C58</f>
        <v/>
      </c>
      <c r="D56" s="6">
        <f>D57+D58</f>
        <v/>
      </c>
      <c r="E56" s="6">
        <f>E57+E58</f>
        <v/>
      </c>
      <c r="F56" s="6">
        <f>F57+F58</f>
        <v/>
      </c>
      <c r="G56" s="6">
        <f>G57+G58</f>
        <v/>
      </c>
      <c r="H56" s="6">
        <f>H57+H58</f>
        <v/>
      </c>
      <c r="I56" s="6">
        <f>I57+I58</f>
        <v/>
      </c>
      <c r="J56" s="6">
        <f>J57+J58</f>
        <v/>
      </c>
      <c r="K56" s="6">
        <f>K57+K58</f>
        <v/>
      </c>
      <c r="L56" s="6">
        <f>L57+L58</f>
        <v/>
      </c>
      <c r="M56" s="6">
        <f>M57+M58</f>
        <v/>
      </c>
      <c r="N56" s="6">
        <f>SUM(B56:M56)</f>
        <v/>
      </c>
    </row>
    <row r="57">
      <c r="A57" s="21" t="inlineStr">
        <is>
          <t xml:space="preserve">            웰컴저축은행</t>
        </is>
      </c>
      <c r="B57" s="24" t="n">
        <v>27500000</v>
      </c>
      <c r="C57" s="24" t="n">
        <v>27500000</v>
      </c>
      <c r="D57" s="24" t="n">
        <v>27500000</v>
      </c>
      <c r="E57" s="24" t="n">
        <v>27500000</v>
      </c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>
        <f>SUM(B57:M57)</f>
        <v/>
      </c>
    </row>
    <row r="58">
      <c r="A58" s="21" t="inlineStr">
        <is>
          <t xml:space="preserve">            IM캐피탈</t>
        </is>
      </c>
      <c r="B58" s="24" t="n">
        <v>40000000</v>
      </c>
      <c r="C58" s="24" t="n">
        <v>40000000</v>
      </c>
      <c r="D58" s="24" t="n">
        <v>40000000</v>
      </c>
      <c r="E58" s="24" t="n">
        <v>40000000</v>
      </c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>
        <f>SUM(B58:M58)</f>
        <v/>
      </c>
    </row>
    <row r="59">
      <c r="A59" s="9" t="inlineStr">
        <is>
          <t>매출 달성률 (총)</t>
        </is>
      </c>
      <c r="B59" s="10">
        <f>IF(B46=0,"",IFERROR(B46/B32,""))</f>
        <v/>
      </c>
      <c r="C59" s="10">
        <f>IF(C46=0,"",IFERROR(C46/C32,""))</f>
        <v/>
      </c>
      <c r="D59" s="10">
        <f>IF(D46=0,"",IFERROR(D46/D32,""))</f>
        <v/>
      </c>
      <c r="E59" s="10">
        <f>IF(E46=0,"",IFERROR(E46/E32,""))</f>
        <v/>
      </c>
      <c r="F59" s="10">
        <f>IF(F46=0,"",IFERROR(F46/F32,""))</f>
        <v/>
      </c>
      <c r="G59" s="10">
        <f>IF(G46=0,"",IFERROR(G46/G32,""))</f>
        <v/>
      </c>
      <c r="H59" s="10">
        <f>IF(H46=0,"",IFERROR(H46/H32,""))</f>
        <v/>
      </c>
      <c r="I59" s="10">
        <f>IF(I46=0,"",IFERROR(I46/I32,""))</f>
        <v/>
      </c>
      <c r="J59" s="10">
        <f>IF(J46=0,"",IFERROR(J46/J32,""))</f>
        <v/>
      </c>
      <c r="K59" s="10">
        <f>IF(K46=0,"",IFERROR(K46/K32,""))</f>
        <v/>
      </c>
      <c r="L59" s="10">
        <f>IF(L46=0,"",IFERROR(L46/L32,""))</f>
        <v/>
      </c>
      <c r="M59" s="10">
        <f>IF(M46=0,"",IFERROR(M46/M32,""))</f>
        <v/>
      </c>
      <c r="N59" s="11">
        <f>IF(N46=0,"",IFERROR(N46/N32,""))</f>
        <v/>
      </c>
    </row>
    <row r="60">
      <c r="A60" s="9" t="inlineStr">
        <is>
          <t xml:space="preserve">        └ 금융 매출</t>
        </is>
      </c>
      <c r="B60" s="10">
        <f>IF(B47=0,"",IFERROR(B47/B33,""))</f>
        <v/>
      </c>
      <c r="C60" s="10">
        <f>IF(C47=0,"",IFERROR(C47/C33,""))</f>
        <v/>
      </c>
      <c r="D60" s="10">
        <f>IF(D47=0,"",IFERROR(D47/D33,""))</f>
        <v/>
      </c>
      <c r="E60" s="10">
        <f>IF(E47=0,"",IFERROR(E47/E33,""))</f>
        <v/>
      </c>
      <c r="F60" s="10">
        <f>IF(F47=0,"",IFERROR(F47/F33,""))</f>
        <v/>
      </c>
      <c r="G60" s="10">
        <f>IF(G47=0,"",IFERROR(G47/G33,""))</f>
        <v/>
      </c>
      <c r="H60" s="10">
        <f>IF(H47=0,"",IFERROR(H47/H33,""))</f>
        <v/>
      </c>
      <c r="I60" s="10">
        <f>IF(I47=0,"",IFERROR(I47/I33,""))</f>
        <v/>
      </c>
      <c r="J60" s="10">
        <f>IF(J47=0,"",IFERROR(J47/J33,""))</f>
        <v/>
      </c>
      <c r="K60" s="10">
        <f>IF(K47=0,"",IFERROR(K47/K33,""))</f>
        <v/>
      </c>
      <c r="L60" s="10">
        <f>IF(L47=0,"",IFERROR(L47/L33,""))</f>
        <v/>
      </c>
      <c r="M60" s="10">
        <f>IF(M47=0,"",IFERROR(M47/M33,""))</f>
        <v/>
      </c>
      <c r="N60" s="11">
        <f>IF(N47=0,"",IFERROR(N47/N33,""))</f>
        <v/>
      </c>
    </row>
    <row r="61">
      <c r="A61" s="9" t="inlineStr">
        <is>
          <t xml:space="preserve">        └ 기타 광고</t>
        </is>
      </c>
      <c r="B61" s="10">
        <f>IF(B56=0,"",IFERROR(B56/B42,""))</f>
        <v/>
      </c>
      <c r="C61" s="10">
        <f>IF(C56=0,"",IFERROR(C56/C42,""))</f>
        <v/>
      </c>
      <c r="D61" s="10">
        <f>IF(D56=0,"",IFERROR(D56/D42,""))</f>
        <v/>
      </c>
      <c r="E61" s="10">
        <f>IF(E56=0,"",IFERROR(E56/E42,""))</f>
        <v/>
      </c>
      <c r="F61" s="10">
        <f>IF(F56=0,"",IFERROR(F56/F42,""))</f>
        <v/>
      </c>
      <c r="G61" s="10">
        <f>IF(G56=0,"",IFERROR(G56/G42,""))</f>
        <v/>
      </c>
      <c r="H61" s="10">
        <f>IF(H56=0,"",IFERROR(H56/H42,""))</f>
        <v/>
      </c>
      <c r="I61" s="10">
        <f>IF(I56=0,"",IFERROR(I56/I42,""))</f>
        <v/>
      </c>
      <c r="J61" s="10">
        <f>IF(J56=0,"",IFERROR(J56/J42,""))</f>
        <v/>
      </c>
      <c r="K61" s="10">
        <f>IF(K56=0,"",IFERROR(K56/K42,""))</f>
        <v/>
      </c>
      <c r="L61" s="10">
        <f>IF(L56=0,"",IFERROR(L56/L42,""))</f>
        <v/>
      </c>
      <c r="M61" s="10">
        <f>IF(M56=0,"",IFERROR(M56/M42,""))</f>
        <v/>
      </c>
      <c r="N61" s="11">
        <f>IF(N56=0,"",IFERROR(N56/N42,""))</f>
        <v/>
      </c>
    </row>
    <row r="63">
      <c r="A63" s="4" t="inlineStr">
        <is>
          <t>Ⅲ. 여신 실행건수 (실적)</t>
        </is>
      </c>
    </row>
    <row r="64">
      <c r="A64" s="15" t="inlineStr">
        <is>
          <t>총 여신건수</t>
        </is>
      </c>
      <c r="B64" s="16">
        <f>B65</f>
        <v/>
      </c>
      <c r="C64" s="16">
        <f>C65</f>
        <v/>
      </c>
      <c r="D64" s="16">
        <f>D65</f>
        <v/>
      </c>
      <c r="E64" s="16">
        <f>E65</f>
        <v/>
      </c>
      <c r="F64" s="16">
        <f>F65</f>
        <v/>
      </c>
      <c r="G64" s="16">
        <f>G65</f>
        <v/>
      </c>
      <c r="H64" s="16">
        <f>H65</f>
        <v/>
      </c>
      <c r="I64" s="16">
        <f>I65</f>
        <v/>
      </c>
      <c r="J64" s="16">
        <f>J65</f>
        <v/>
      </c>
      <c r="K64" s="16">
        <f>K65</f>
        <v/>
      </c>
      <c r="L64" s="16">
        <f>L65</f>
        <v/>
      </c>
      <c r="M64" s="16">
        <f>M65</f>
        <v/>
      </c>
      <c r="N64" s="16">
        <f>SUM(B64:M64)</f>
        <v/>
      </c>
    </row>
    <row r="65">
      <c r="A65" s="5" t="inlineStr">
        <is>
          <t xml:space="preserve">      1. 기존 소매금융</t>
        </is>
      </c>
      <c r="B65" s="6">
        <f>B66+B69</f>
        <v/>
      </c>
      <c r="C65" s="6">
        <f>C66+C69</f>
        <v/>
      </c>
      <c r="D65" s="6">
        <f>D66+D69</f>
        <v/>
      </c>
      <c r="E65" s="6">
        <f>E66+E69</f>
        <v/>
      </c>
      <c r="F65" s="6">
        <f>F66+F69</f>
        <v/>
      </c>
      <c r="G65" s="6">
        <f>G66+G69</f>
        <v/>
      </c>
      <c r="H65" s="6">
        <f>H66+H69</f>
        <v/>
      </c>
      <c r="I65" s="6">
        <f>I66+I69</f>
        <v/>
      </c>
      <c r="J65" s="6">
        <f>J66+J69</f>
        <v/>
      </c>
      <c r="K65" s="6">
        <f>K66+K69</f>
        <v/>
      </c>
      <c r="L65" s="6">
        <f>L66+L69</f>
        <v/>
      </c>
      <c r="M65" s="6">
        <f>M66+M69</f>
        <v/>
      </c>
      <c r="N65" s="6">
        <f>SUM(B65:M65)</f>
        <v/>
      </c>
    </row>
    <row r="66">
      <c r="A66" s="17" t="inlineStr">
        <is>
          <t xml:space="preserve">            (1) H/S 금융</t>
        </is>
      </c>
      <c r="B66" s="18">
        <f>B67+B68</f>
        <v/>
      </c>
      <c r="C66" s="18">
        <f>C67+C68</f>
        <v/>
      </c>
      <c r="D66" s="18">
        <f>D67+D68</f>
        <v/>
      </c>
      <c r="E66" s="18">
        <f>E67+E68</f>
        <v/>
      </c>
      <c r="F66" s="18">
        <f>F67+F68</f>
        <v/>
      </c>
      <c r="G66" s="18">
        <f>G67+G68</f>
        <v/>
      </c>
      <c r="H66" s="18">
        <f>H67+H68</f>
        <v/>
      </c>
      <c r="I66" s="18">
        <f>I67+I68</f>
        <v/>
      </c>
      <c r="J66" s="18">
        <f>J67+J68</f>
        <v/>
      </c>
      <c r="K66" s="18">
        <f>K67+K68</f>
        <v/>
      </c>
      <c r="L66" s="18">
        <f>L67+L68</f>
        <v/>
      </c>
      <c r="M66" s="18">
        <f>M67+M68</f>
        <v/>
      </c>
      <c r="N66" s="18">
        <f>SUM(B66:M66)</f>
        <v/>
      </c>
    </row>
    <row r="67">
      <c r="A67" s="19" t="inlineStr">
        <is>
          <t xml:space="preserve">                  선불 · 일반금융 건수</t>
        </is>
      </c>
      <c r="B67" s="24" t="n">
        <v>534</v>
      </c>
      <c r="C67" s="24" t="n">
        <v>448</v>
      </c>
      <c r="D67" s="24" t="n">
        <v>554</v>
      </c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>
        <f>SUM(B67:M67)</f>
        <v/>
      </c>
    </row>
    <row r="68">
      <c r="A68" s="19" t="inlineStr">
        <is>
          <t xml:space="preserve">                  후불 · EP 금융 건수</t>
        </is>
      </c>
      <c r="B68" s="24" t="n">
        <v>234</v>
      </c>
      <c r="C68" s="24" t="n">
        <v>196</v>
      </c>
      <c r="D68" s="24" t="n">
        <v>179</v>
      </c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>
        <f>SUM(B68:M68)</f>
        <v/>
      </c>
    </row>
    <row r="69">
      <c r="A69" s="21" t="inlineStr">
        <is>
          <t xml:space="preserve">            (2) 일반 금융</t>
        </is>
      </c>
      <c r="B69" s="24" t="n">
        <v>223</v>
      </c>
      <c r="C69" s="24" t="n">
        <v>190</v>
      </c>
      <c r="D69" s="24" t="n">
        <v>235</v>
      </c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>
        <f>SUM(B69:M69)</f>
        <v/>
      </c>
    </row>
    <row r="71">
      <c r="A71" s="4" t="inlineStr">
        <is>
          <t>Ⅳ. Action Item / KPI (목표)</t>
        </is>
      </c>
    </row>
    <row r="72">
      <c r="A72" s="19" t="inlineStr">
        <is>
          <t xml:space="preserve">   [KPI] 한도조회→상담 전환율 (▲150건)</t>
        </is>
      </c>
      <c r="B72" s="27" t="inlineStr">
        <is>
          <t>3,000건 → 목표 +150</t>
        </is>
      </c>
    </row>
    <row r="73">
      <c r="A73" s="19" t="inlineStr">
        <is>
          <t xml:space="preserve">   [KPI] 후불 내 EP 잔존율 (▲5%)</t>
        </is>
      </c>
      <c r="B73" s="27" t="inlineStr">
        <is>
          <t>목표 +5%p</t>
        </is>
      </c>
    </row>
    <row r="74">
      <c r="A74" s="19" t="inlineStr">
        <is>
          <t xml:space="preserve">   [KPI] 선불 내 현금+금융 비중 (▲3%)</t>
        </is>
      </c>
      <c r="B74" s="27" t="inlineStr">
        <is>
          <t>목표 +3%p</t>
        </is>
      </c>
    </row>
    <row r="75">
      <c r="A75" s="19" t="inlineStr">
        <is>
          <t xml:space="preserve">   [KPI] 신청→실행 전환율 (▲2%)</t>
        </is>
      </c>
      <c r="B75" s="27" t="inlineStr">
        <is>
          <t>목표 +2%p</t>
        </is>
      </c>
    </row>
    <row r="76">
      <c r="A76" s="19" t="inlineStr">
        <is>
          <t xml:space="preserve">   [KPI] G/T 통한 월상담 신청 건수 (▲5%)</t>
        </is>
      </c>
      <c r="B76" s="27" t="inlineStr">
        <is>
          <t>5,000건 → +250</t>
        </is>
      </c>
    </row>
    <row r="77">
      <c r="A77" s="19" t="inlineStr">
        <is>
          <t xml:space="preserve">   [KPI] 일반금융조회→신청 전환율 (▲5%)</t>
        </is>
      </c>
      <c r="B77" s="27" t="inlineStr">
        <is>
          <t>70% → +5%p</t>
        </is>
      </c>
    </row>
    <row r="78">
      <c r="A78" s="19" t="inlineStr">
        <is>
          <t xml:space="preserve">   [KPI] 활성화 제휴 딜러수</t>
        </is>
      </c>
      <c r="B78" s="27" t="inlineStr">
        <is>
          <t>목표 200명</t>
        </is>
      </c>
    </row>
    <row r="79">
      <c r="A79" s="19" t="inlineStr">
        <is>
          <t xml:space="preserve">   [KPI] VIP 딜러(월13건↑) 수</t>
        </is>
      </c>
      <c r="B79" s="27" t="inlineStr">
        <is>
          <t>목표 10명</t>
        </is>
      </c>
    </row>
    <row r="80">
      <c r="A80" s="19" t="inlineStr">
        <is>
          <t xml:space="preserve">   [KPI] 금융플러스 실행 전환율 (▲5%)</t>
        </is>
      </c>
      <c r="B80" s="27" t="inlineStr">
        <is>
          <t>1.5% → 5%</t>
        </is>
      </c>
    </row>
    <row r="81">
      <c r="A81" s="19" t="inlineStr">
        <is>
          <t xml:space="preserve">   [KPI] 엔카페이2.0 제휴 금융사 수</t>
        </is>
      </c>
      <c r="B81" s="27" t="inlineStr">
        <is>
          <t>목표 3개</t>
        </is>
      </c>
    </row>
    <row r="82">
      <c r="A82" s="19" t="inlineStr">
        <is>
          <t xml:space="preserve">   [KPI] 엔카페이2.0 실행 전환율 (▲5%)</t>
        </is>
      </c>
      <c r="B82" s="27" t="inlineStr">
        <is>
          <t>50% → 55%</t>
        </is>
      </c>
    </row>
    <row r="83">
      <c r="A83" s="19" t="inlineStr">
        <is>
          <t xml:space="preserve">   [KPI] 고객 상담 만족도</t>
        </is>
      </c>
      <c r="B83" s="27" t="inlineStr">
        <is>
          <t>목표 80%</t>
        </is>
      </c>
    </row>
  </sheetData>
  <mergeCells count="23">
    <mergeCell ref="A31:N31"/>
    <mergeCell ref="A30:N30"/>
    <mergeCell ref="B83:N83"/>
    <mergeCell ref="B74:N74"/>
    <mergeCell ref="A45:N45"/>
    <mergeCell ref="B80:N80"/>
    <mergeCell ref="A1:N1"/>
    <mergeCell ref="B76:N76"/>
    <mergeCell ref="A6:N6"/>
    <mergeCell ref="B79:N79"/>
    <mergeCell ref="A16:N16"/>
    <mergeCell ref="B75:N75"/>
    <mergeCell ref="B72:N72"/>
    <mergeCell ref="B81:N81"/>
    <mergeCell ref="A2:N2"/>
    <mergeCell ref="A71:N71"/>
    <mergeCell ref="B77:N77"/>
    <mergeCell ref="A5:N5"/>
    <mergeCell ref="A4:N4"/>
    <mergeCell ref="B73:N73"/>
    <mergeCell ref="B82:N82"/>
    <mergeCell ref="A63:N63"/>
    <mergeCell ref="B78:N7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5" customWidth="1" min="14" max="14"/>
  </cols>
  <sheetData>
    <row r="1">
      <c r="A1" s="1" t="inlineStr">
        <is>
          <t>2026년 보증 사업계획 (역년 환산)</t>
        </is>
      </c>
    </row>
    <row r="2">
      <c r="A2" s="2" t="inlineStr">
        <is>
          <t>단위: 원 ｜ 메인지표=매출(결제액 기준) ｜ 보증 회계연도(FY)→역년2026 환산 ｜ 매출=가입+광고+정비 ｜ 노란칸=실적 입력</t>
        </is>
      </c>
    </row>
    <row r="3">
      <c r="A3" s="3" t="inlineStr">
        <is>
          <t>구분</t>
        </is>
      </c>
      <c r="B3" s="3" t="inlineStr">
        <is>
          <t>1월</t>
        </is>
      </c>
      <c r="C3" s="3" t="inlineStr">
        <is>
          <t>2월</t>
        </is>
      </c>
      <c r="D3" s="3" t="inlineStr">
        <is>
          <t>3월</t>
        </is>
      </c>
      <c r="E3" s="3" t="inlineStr">
        <is>
          <t>4월</t>
        </is>
      </c>
      <c r="F3" s="3" t="inlineStr">
        <is>
          <t>5월</t>
        </is>
      </c>
      <c r="G3" s="3" t="inlineStr">
        <is>
          <t>6월</t>
        </is>
      </c>
      <c r="H3" s="3" t="inlineStr">
        <is>
          <t>7월</t>
        </is>
      </c>
      <c r="I3" s="3" t="inlineStr">
        <is>
          <t>8월</t>
        </is>
      </c>
      <c r="J3" s="3" t="inlineStr">
        <is>
          <t>9월</t>
        </is>
      </c>
      <c r="K3" s="3" t="inlineStr">
        <is>
          <t>10월</t>
        </is>
      </c>
      <c r="L3" s="3" t="inlineStr">
        <is>
          <t>11월</t>
        </is>
      </c>
      <c r="M3" s="3" t="inlineStr">
        <is>
          <t>12월</t>
        </is>
      </c>
      <c r="N3" s="3" t="inlineStr">
        <is>
          <t>연간 합계</t>
        </is>
      </c>
    </row>
    <row r="4">
      <c r="A4" s="4" t="inlineStr">
        <is>
          <t>OKR ▷ KR1 EW 커버리지확장 월평균매출 4.5억 / KR2 정비 월평균매출 0.5억 / KR3 스케일업 기반</t>
        </is>
      </c>
    </row>
    <row r="5">
      <c r="A5" s="4" t="inlineStr">
        <is>
          <t>Ⅰ. 사업 매출 (메인, 결제액 기준 = 가입+광고+정비)</t>
        </is>
      </c>
    </row>
    <row r="6">
      <c r="A6" s="14" t="inlineStr">
        <is>
          <t xml:space="preserve">  [계획]</t>
        </is>
      </c>
    </row>
    <row r="7">
      <c r="A7" s="15" t="inlineStr">
        <is>
          <t>사업 매출 (거래액 총계)</t>
        </is>
      </c>
      <c r="B7" s="16">
        <f>B8+B13+B14+B15+B16</f>
        <v/>
      </c>
      <c r="C7" s="16">
        <f>C8+C13+C14+C15+C16</f>
        <v/>
      </c>
      <c r="D7" s="16">
        <f>D8+D13+D14+D15+D16</f>
        <v/>
      </c>
      <c r="E7" s="16">
        <f>E8+E13+E14+E15+E16</f>
        <v/>
      </c>
      <c r="F7" s="16">
        <f>F8+F13+F14+F15+F16</f>
        <v/>
      </c>
      <c r="G7" s="16">
        <f>G8+G13+G14+G15+G16</f>
        <v/>
      </c>
      <c r="H7" s="16">
        <f>H8+H13+H14+H15+H16</f>
        <v/>
      </c>
      <c r="I7" s="16">
        <f>I8+I13+I14+I15+I16</f>
        <v/>
      </c>
      <c r="J7" s="16">
        <f>J8+J13+J14+J15+J16</f>
        <v/>
      </c>
      <c r="K7" s="16">
        <f>K8+K13+K14+K15+K16</f>
        <v/>
      </c>
      <c r="L7" s="16">
        <f>L8+L13+L14+L15+L16</f>
        <v/>
      </c>
      <c r="M7" s="16">
        <f>M8+M13+M14+M15+M16</f>
        <v/>
      </c>
      <c r="N7" s="16">
        <f>SUM(B7:M7)</f>
        <v/>
      </c>
    </row>
    <row r="8">
      <c r="A8" s="5" t="inlineStr">
        <is>
          <t xml:space="preserve">      총 가입 거래액</t>
        </is>
      </c>
      <c r="B8" s="6">
        <f>B9+B10+B11+B12</f>
        <v/>
      </c>
      <c r="C8" s="6">
        <f>C9+C10+C11+C12</f>
        <v/>
      </c>
      <c r="D8" s="6">
        <f>D9+D10+D11+D12</f>
        <v/>
      </c>
      <c r="E8" s="6">
        <f>E9+E10+E11+E12</f>
        <v/>
      </c>
      <c r="F8" s="6">
        <f>F9+F10+F11+F12</f>
        <v/>
      </c>
      <c r="G8" s="6">
        <f>G9+G10+G11+G12</f>
        <v/>
      </c>
      <c r="H8" s="6">
        <f>H9+H10+H11+H12</f>
        <v/>
      </c>
      <c r="I8" s="6">
        <f>I9+I10+I11+I12</f>
        <v/>
      </c>
      <c r="J8" s="6">
        <f>J9+J10+J11+J12</f>
        <v/>
      </c>
      <c r="K8" s="6">
        <f>K9+K10+K11+K12</f>
        <v/>
      </c>
      <c r="L8" s="6">
        <f>L9+L10+L11+L12</f>
        <v/>
      </c>
      <c r="M8" s="6">
        <f>M9+M10+M11+M12</f>
        <v/>
      </c>
      <c r="N8" s="6">
        <f>SUM(B8:M8)</f>
        <v/>
      </c>
    </row>
    <row r="9">
      <c r="A9" s="21" t="inlineStr">
        <is>
          <t xml:space="preserve">            국산 홈서비스 가입</t>
        </is>
      </c>
      <c r="B9" s="22" t="n">
        <v>259116162.9</v>
      </c>
      <c r="C9" s="22" t="n">
        <v>225109047.4</v>
      </c>
      <c r="D9" s="22" t="n">
        <v>300195554.5</v>
      </c>
      <c r="E9" s="22" t="n">
        <v>337663571.1</v>
      </c>
      <c r="F9" s="22" t="n">
        <v>291618538.7</v>
      </c>
      <c r="G9" s="22" t="n">
        <v>359512390.4</v>
      </c>
      <c r="H9" s="22" t="n">
        <v>386236566.1</v>
      </c>
      <c r="I9" s="22" t="n">
        <v>390028509.9</v>
      </c>
      <c r="J9" s="22" t="n">
        <v>361137509.2</v>
      </c>
      <c r="K9" s="22" t="n">
        <v>343080633.8</v>
      </c>
      <c r="L9" s="22" t="n">
        <v>341274946.2</v>
      </c>
      <c r="M9" s="22" t="n">
        <v>337663571.1</v>
      </c>
      <c r="N9" s="22">
        <f>SUM(B9:M9)</f>
        <v/>
      </c>
    </row>
    <row r="10">
      <c r="A10" s="21" t="inlineStr">
        <is>
          <t xml:space="preserve">            딜러 가입</t>
        </is>
      </c>
      <c r="B10" s="22" t="n">
        <v>7773484.886</v>
      </c>
      <c r="C10" s="22" t="n">
        <v>6753271.422</v>
      </c>
      <c r="D10" s="22" t="n">
        <v>9005866.636</v>
      </c>
      <c r="E10" s="22" t="n">
        <v>10129907.13</v>
      </c>
      <c r="F10" s="22" t="n">
        <v>8748556.161</v>
      </c>
      <c r="G10" s="22" t="n">
        <v>10785371.71</v>
      </c>
      <c r="H10" s="22" t="n">
        <v>11587096.98</v>
      </c>
      <c r="I10" s="22" t="n">
        <v>11700855.3</v>
      </c>
      <c r="J10" s="22" t="n">
        <v>10834125.28</v>
      </c>
      <c r="K10" s="22" t="n">
        <v>10292419.01</v>
      </c>
      <c r="L10" s="22" t="n">
        <v>10238248.39</v>
      </c>
      <c r="M10" s="22" t="n">
        <v>10129907.13</v>
      </c>
      <c r="N10" s="22">
        <f>SUM(B10:M10)</f>
        <v/>
      </c>
    </row>
    <row r="11">
      <c r="A11" s="21" t="inlineStr">
        <is>
          <t xml:space="preserve">            수입 홈서비스 가입</t>
        </is>
      </c>
      <c r="B11" s="22" t="n">
        <v>0</v>
      </c>
      <c r="C11" s="22" t="n">
        <v>0</v>
      </c>
      <c r="D11" s="22" t="n">
        <v>0</v>
      </c>
      <c r="E11" s="22" t="n">
        <v>50121702.37</v>
      </c>
      <c r="F11" s="22" t="n">
        <v>86573849.54000001</v>
      </c>
      <c r="G11" s="22" t="n">
        <v>106729742.7</v>
      </c>
      <c r="H11" s="22" t="n">
        <v>114663445.3</v>
      </c>
      <c r="I11" s="22" t="n">
        <v>115789173.4</v>
      </c>
      <c r="J11" s="22" t="n">
        <v>107212197.6</v>
      </c>
      <c r="K11" s="22" t="n">
        <v>101851587.7</v>
      </c>
      <c r="L11" s="22" t="n">
        <v>101315526.7</v>
      </c>
      <c r="M11" s="22" t="n">
        <v>100243404.7</v>
      </c>
      <c r="N11" s="22">
        <f>SUM(B11:M11)</f>
        <v/>
      </c>
    </row>
    <row r="12">
      <c r="A12" s="21" t="inlineStr">
        <is>
          <t xml:space="preserve">            EW 2.0</t>
        </is>
      </c>
      <c r="B12" s="22" t="n">
        <v>0</v>
      </c>
      <c r="C12" s="22" t="n">
        <v>0</v>
      </c>
      <c r="D12" s="22" t="n">
        <v>0</v>
      </c>
      <c r="E12" s="22" t="n">
        <v>0</v>
      </c>
      <c r="F12" s="22" t="n">
        <v>0</v>
      </c>
      <c r="G12" s="22" t="n">
        <v>0</v>
      </c>
      <c r="H12" s="22" t="n">
        <v>0</v>
      </c>
      <c r="I12" s="22" t="n">
        <v>0</v>
      </c>
      <c r="J12" s="22" t="n">
        <v>8000000</v>
      </c>
      <c r="K12" s="22" t="n">
        <v>16000000</v>
      </c>
      <c r="L12" s="22" t="n">
        <v>16000000</v>
      </c>
      <c r="M12" s="22" t="n">
        <v>16000000</v>
      </c>
      <c r="N12" s="22">
        <f>SUM(B12:M12)</f>
        <v/>
      </c>
    </row>
    <row r="13">
      <c r="A13" s="5" t="inlineStr">
        <is>
          <t xml:space="preserve">      딜러 광고</t>
        </is>
      </c>
      <c r="B13" s="6" t="n">
        <v>6280050</v>
      </c>
      <c r="C13" s="6" t="n">
        <v>6280050</v>
      </c>
      <c r="D13" s="6" t="n">
        <v>6280050</v>
      </c>
      <c r="E13" s="6" t="n">
        <v>6280050</v>
      </c>
      <c r="F13" s="6" t="n">
        <v>6280050</v>
      </c>
      <c r="G13" s="6" t="n">
        <v>6280050</v>
      </c>
      <c r="H13" s="6" t="n">
        <v>6280050</v>
      </c>
      <c r="I13" s="6" t="n">
        <v>6280050</v>
      </c>
      <c r="J13" s="6" t="n">
        <v>6280050</v>
      </c>
      <c r="K13" s="6" t="n">
        <v>6280050</v>
      </c>
      <c r="L13" s="6" t="n">
        <v>6280050</v>
      </c>
      <c r="M13" s="6" t="n">
        <v>6280050</v>
      </c>
      <c r="N13" s="6">
        <f>SUM(B13:M13)</f>
        <v/>
      </c>
    </row>
    <row r="14">
      <c r="A14" s="5" t="inlineStr">
        <is>
          <t xml:space="preserve">      EW 2.0 광고</t>
        </is>
      </c>
      <c r="B14" s="6" t="n">
        <v>0</v>
      </c>
      <c r="C14" s="6" t="n">
        <v>0</v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4000000</v>
      </c>
      <c r="K14" s="6" t="n">
        <v>8000000</v>
      </c>
      <c r="L14" s="6" t="n">
        <v>8000000</v>
      </c>
      <c r="M14" s="6" t="n">
        <v>8000000</v>
      </c>
      <c r="N14" s="6">
        <f>SUM(B14:M14)</f>
        <v/>
      </c>
    </row>
    <row r="15">
      <c r="A15" s="5" t="inlineStr">
        <is>
          <t xml:space="preserve">      정비 쿠폰</t>
        </is>
      </c>
      <c r="B15" s="6" t="n">
        <v>0</v>
      </c>
      <c r="C15" s="6" t="n">
        <v>0</v>
      </c>
      <c r="D15" s="6" t="n">
        <v>0</v>
      </c>
      <c r="E15" s="6" t="n">
        <v>4607565.953</v>
      </c>
      <c r="F15" s="6" t="n">
        <v>7958523.009</v>
      </c>
      <c r="G15" s="6" t="n">
        <v>9811405.146</v>
      </c>
      <c r="H15" s="6" t="n">
        <v>10540731.09</v>
      </c>
      <c r="I15" s="6" t="n">
        <v>10644216.53</v>
      </c>
      <c r="J15" s="6" t="n">
        <v>9855756.048</v>
      </c>
      <c r="K15" s="6" t="n">
        <v>9362968.245999999</v>
      </c>
      <c r="L15" s="6" t="n">
        <v>9313689.466</v>
      </c>
      <c r="M15" s="6" t="n">
        <v>9215131.904999999</v>
      </c>
      <c r="N15" s="6">
        <f>SUM(B15:M15)</f>
        <v/>
      </c>
    </row>
    <row r="16">
      <c r="A16" s="5" t="inlineStr">
        <is>
          <t xml:space="preserve">      정비 바우처</t>
        </is>
      </c>
      <c r="B16" s="6" t="n">
        <v>0</v>
      </c>
      <c r="C16" s="6" t="n">
        <v>0</v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10540731.09</v>
      </c>
      <c r="I16" s="6" t="n">
        <v>21288433.06</v>
      </c>
      <c r="J16" s="6" t="n">
        <v>19711512.1</v>
      </c>
      <c r="K16" s="6" t="n">
        <v>18725936.49</v>
      </c>
      <c r="L16" s="6" t="n">
        <v>18627378.93</v>
      </c>
      <c r="M16" s="6" t="n">
        <v>18430263.81</v>
      </c>
      <c r="N16" s="6">
        <f>SUM(B16:M16)</f>
        <v/>
      </c>
    </row>
    <row r="17">
      <c r="A17" s="14" t="inlineStr">
        <is>
          <t xml:space="preserve">  [실적]</t>
        </is>
      </c>
    </row>
    <row r="18">
      <c r="A18" s="15" t="inlineStr">
        <is>
          <t>사업 매출 (거래액)</t>
        </is>
      </c>
      <c r="B18" s="8" t="n">
        <v>293148145.5</v>
      </c>
      <c r="C18" s="8" t="n">
        <v>299294300</v>
      </c>
      <c r="D18" s="8" t="n">
        <v>445862063.6</v>
      </c>
      <c r="E18" s="8" t="n">
        <v>401177181.8</v>
      </c>
      <c r="F18" s="8" t="n">
        <v>459019390.9</v>
      </c>
      <c r="G18" s="8" t="n"/>
      <c r="H18" s="8" t="n"/>
      <c r="I18" s="8" t="n"/>
      <c r="J18" s="8" t="n"/>
      <c r="K18" s="8" t="n"/>
      <c r="L18" s="8" t="n"/>
      <c r="M18" s="8" t="n"/>
      <c r="N18" s="8">
        <f>SUM(B18:M18)</f>
        <v/>
      </c>
    </row>
    <row r="19">
      <c r="A19" s="9" t="inlineStr">
        <is>
          <t>매출 달성률 (총)</t>
        </is>
      </c>
      <c r="B19" s="10">
        <f>IF(B18=0,"",IFERROR(B18/B7,""))</f>
        <v/>
      </c>
      <c r="C19" s="10">
        <f>IF(C18=0,"",IFERROR(C18/C7,""))</f>
        <v/>
      </c>
      <c r="D19" s="10">
        <f>IF(D18=0,"",IFERROR(D18/D7,""))</f>
        <v/>
      </c>
      <c r="E19" s="10">
        <f>IF(E18=0,"",IFERROR(E18/E7,""))</f>
        <v/>
      </c>
      <c r="F19" s="10">
        <f>IF(F18=0,"",IFERROR(F18/F7,""))</f>
        <v/>
      </c>
      <c r="G19" s="10">
        <f>IF(G18=0,"",IFERROR(G18/G7,""))</f>
        <v/>
      </c>
      <c r="H19" s="10">
        <f>IF(H18=0,"",IFERROR(H18/H7,""))</f>
        <v/>
      </c>
      <c r="I19" s="10">
        <f>IF(I18=0,"",IFERROR(I18/I7,""))</f>
        <v/>
      </c>
      <c r="J19" s="10">
        <f>IF(J18=0,"",IFERROR(J18/J7,""))</f>
        <v/>
      </c>
      <c r="K19" s="10">
        <f>IF(K18=0,"",IFERROR(K18/K7,""))</f>
        <v/>
      </c>
      <c r="L19" s="10">
        <f>IF(L18=0,"",IFERROR(L18/L7,""))</f>
        <v/>
      </c>
      <c r="M19" s="10">
        <f>IF(M18=0,"",IFERROR(M18/M7,""))</f>
        <v/>
      </c>
      <c r="N19" s="11">
        <f>IF(N18=0,"",IFERROR(N18/N7,""))</f>
        <v/>
      </c>
    </row>
    <row r="21">
      <c r="A21" s="4" t="inlineStr">
        <is>
          <t>Ⅱ. (참고) 안분 매출 — 재무팀 기준</t>
        </is>
      </c>
    </row>
    <row r="22">
      <c r="A22" s="15" t="inlineStr">
        <is>
          <t>안분 매출 (계획)</t>
        </is>
      </c>
      <c r="B22" s="16" t="n">
        <v>259801385</v>
      </c>
      <c r="C22" s="16" t="n">
        <v>269666964.9</v>
      </c>
      <c r="D22" s="16" t="n">
        <v>245876279.1</v>
      </c>
      <c r="E22" s="16" t="n">
        <v>324352847.1</v>
      </c>
      <c r="F22" s="16" t="n">
        <v>403097807</v>
      </c>
      <c r="G22" s="16" t="n">
        <v>402229650.4</v>
      </c>
      <c r="H22" s="16" t="n">
        <v>486853515.2</v>
      </c>
      <c r="I22" s="16" t="n">
        <v>519270301.4</v>
      </c>
      <c r="J22" s="16" t="n">
        <v>520765118</v>
      </c>
      <c r="K22" s="16" t="n">
        <v>491867962.9</v>
      </c>
      <c r="L22" s="16" t="n">
        <v>477265098.5</v>
      </c>
      <c r="M22" s="16" t="n">
        <v>474629587.5</v>
      </c>
      <c r="N22" s="16">
        <f>SUM(B22:M22)</f>
        <v/>
      </c>
    </row>
    <row r="23">
      <c r="A23" s="15" t="inlineStr">
        <is>
          <t>안분 매출 (실적)</t>
        </is>
      </c>
      <c r="B23" s="8" t="n">
        <v>286333145</v>
      </c>
      <c r="C23" s="8" t="n">
        <v>301034300</v>
      </c>
      <c r="D23" s="8" t="n">
        <v>296383272.7</v>
      </c>
      <c r="E23" s="8" t="n">
        <v>347207980</v>
      </c>
      <c r="F23" s="8" t="n">
        <v>380095593.6</v>
      </c>
      <c r="G23" s="8" t="n">
        <v>371514409.1</v>
      </c>
      <c r="H23" s="8" t="n">
        <v>238448790</v>
      </c>
      <c r="I23" s="8" t="n">
        <v>120534908.2</v>
      </c>
      <c r="J23" s="8" t="n"/>
      <c r="K23" s="8" t="n"/>
      <c r="L23" s="8" t="n"/>
      <c r="M23" s="8" t="n"/>
      <c r="N23" s="8">
        <f>SUM(B23:M23)</f>
        <v/>
      </c>
    </row>
    <row r="24">
      <c r="A24" s="9" t="inlineStr">
        <is>
          <t>안분 매출 달성률</t>
        </is>
      </c>
      <c r="B24" s="10">
        <f>IF(B23=0,"",IFERROR(B23/B22,""))</f>
        <v/>
      </c>
      <c r="C24" s="10">
        <f>IF(C23=0,"",IFERROR(C23/C22,""))</f>
        <v/>
      </c>
      <c r="D24" s="10">
        <f>IF(D23=0,"",IFERROR(D23/D22,""))</f>
        <v/>
      </c>
      <c r="E24" s="10">
        <f>IF(E23=0,"",IFERROR(E23/E22,""))</f>
        <v/>
      </c>
      <c r="F24" s="10">
        <f>IF(F23=0,"",IFERROR(F23/F22,""))</f>
        <v/>
      </c>
      <c r="G24" s="10">
        <f>IF(G23=0,"",IFERROR(G23/G22,""))</f>
        <v/>
      </c>
      <c r="H24" s="10">
        <f>IF(H23=0,"",IFERROR(H23/H22,""))</f>
        <v/>
      </c>
      <c r="I24" s="10">
        <f>IF(I23=0,"",IFERROR(I23/I22,""))</f>
        <v/>
      </c>
      <c r="J24" s="10">
        <f>IF(J23=0,"",IFERROR(J23/J22,""))</f>
        <v/>
      </c>
      <c r="K24" s="10">
        <f>IF(K23=0,"",IFERROR(K23/K22,""))</f>
        <v/>
      </c>
      <c r="L24" s="10">
        <f>IF(L23=0,"",IFERROR(L23/L22,""))</f>
        <v/>
      </c>
      <c r="M24" s="10">
        <f>IF(M23=0,"",IFERROR(M23/M22,""))</f>
        <v/>
      </c>
      <c r="N24" s="11">
        <f>IF(N23=0,"",IFERROR(N23/N22,""))</f>
        <v/>
      </c>
    </row>
    <row r="26">
      <c r="A26" s="4" t="inlineStr">
        <is>
          <t>Ⅲ. 가입 건수</t>
        </is>
      </c>
    </row>
    <row r="27">
      <c r="A27" s="15" t="inlineStr">
        <is>
          <t>가입 건수 (계획)</t>
        </is>
      </c>
      <c r="B27" s="16">
        <f>B28+B29+B30</f>
        <v/>
      </c>
      <c r="C27" s="16">
        <f>C28+C29+C30</f>
        <v/>
      </c>
      <c r="D27" s="16">
        <f>D28+D29+D30</f>
        <v/>
      </c>
      <c r="E27" s="16">
        <f>E28+E29+E30</f>
        <v/>
      </c>
      <c r="F27" s="16">
        <f>F28+F29+F30</f>
        <v/>
      </c>
      <c r="G27" s="16">
        <f>G28+G29+G30</f>
        <v/>
      </c>
      <c r="H27" s="16">
        <f>H28+H29+H30</f>
        <v/>
      </c>
      <c r="I27" s="16">
        <f>I28+I29+I30</f>
        <v/>
      </c>
      <c r="J27" s="16">
        <f>J28+J29+J30</f>
        <v/>
      </c>
      <c r="K27" s="16">
        <f>K28+K29+K30</f>
        <v/>
      </c>
      <c r="L27" s="16">
        <f>L28+L29+L30</f>
        <v/>
      </c>
      <c r="M27" s="16">
        <f>M28+M29+M30</f>
        <v/>
      </c>
      <c r="N27" s="16">
        <f>SUM(B27:M27)</f>
        <v/>
      </c>
    </row>
    <row r="28">
      <c r="A28" s="5" t="inlineStr">
        <is>
          <t xml:space="preserve">      국산 홈서비스</t>
        </is>
      </c>
      <c r="B28" s="6" t="n">
        <v>707.1504965</v>
      </c>
      <c r="C28" s="6" t="n">
        <v>614.342127</v>
      </c>
      <c r="D28" s="6" t="n">
        <v>819.2597215</v>
      </c>
      <c r="E28" s="6" t="n">
        <v>921.5131905</v>
      </c>
      <c r="F28" s="6" t="n">
        <v>795.8523009</v>
      </c>
      <c r="G28" s="6" t="n">
        <v>981.1405146</v>
      </c>
      <c r="H28" s="6" t="n">
        <v>1054.073109</v>
      </c>
      <c r="I28" s="6" t="n">
        <v>1064.421653</v>
      </c>
      <c r="J28" s="6" t="n">
        <v>985.5756048</v>
      </c>
      <c r="K28" s="6" t="n">
        <v>936.2968246</v>
      </c>
      <c r="L28" s="6" t="n">
        <v>931.3689466</v>
      </c>
      <c r="M28" s="6" t="n">
        <v>921.5131905</v>
      </c>
      <c r="N28" s="6">
        <f>SUM(B28:M28)</f>
        <v/>
      </c>
    </row>
    <row r="29">
      <c r="A29" s="5" t="inlineStr">
        <is>
          <t xml:space="preserve">      딜러</t>
        </is>
      </c>
      <c r="B29" s="6" t="n">
        <v>21.21451489</v>
      </c>
      <c r="C29" s="6" t="n">
        <v>18.43026381</v>
      </c>
      <c r="D29" s="6" t="n">
        <v>24.57779165</v>
      </c>
      <c r="E29" s="6" t="n">
        <v>27.64539572</v>
      </c>
      <c r="F29" s="6" t="n">
        <v>23.87556903</v>
      </c>
      <c r="G29" s="6" t="n">
        <v>29.43421544</v>
      </c>
      <c r="H29" s="6" t="n">
        <v>31.62219328</v>
      </c>
      <c r="I29" s="6" t="n">
        <v>31.9326496</v>
      </c>
      <c r="J29" s="6" t="n">
        <v>29.56726815</v>
      </c>
      <c r="K29" s="6" t="n">
        <v>28.08890474</v>
      </c>
      <c r="L29" s="6" t="n">
        <v>27.9410684</v>
      </c>
      <c r="M29" s="6" t="n">
        <v>27.64539572</v>
      </c>
      <c r="N29" s="6">
        <f>SUM(B29:M29)</f>
        <v/>
      </c>
    </row>
    <row r="30">
      <c r="A30" s="5" t="inlineStr">
        <is>
          <t xml:space="preserve">      수입 EW 가입</t>
        </is>
      </c>
      <c r="B30" s="6" t="n">
        <v>0</v>
      </c>
      <c r="C30" s="6" t="n">
        <v>0</v>
      </c>
      <c r="D30" s="6" t="n">
        <v>0</v>
      </c>
      <c r="E30" s="6" t="n">
        <v>50.12170237</v>
      </c>
      <c r="F30" s="6" t="n">
        <v>86.57384954</v>
      </c>
      <c r="G30" s="6" t="n">
        <v>106.7297427</v>
      </c>
      <c r="H30" s="6" t="n">
        <v>114.6634453</v>
      </c>
      <c r="I30" s="6" t="n">
        <v>115.7891734</v>
      </c>
      <c r="J30" s="6" t="n">
        <v>107.2121976</v>
      </c>
      <c r="K30" s="6" t="n">
        <v>101.8515877</v>
      </c>
      <c r="L30" s="6" t="n">
        <v>101.3155267</v>
      </c>
      <c r="M30" s="6" t="n">
        <v>100.2434047</v>
      </c>
      <c r="N30" s="6">
        <f>SUM(B30:M30)</f>
        <v/>
      </c>
    </row>
    <row r="31">
      <c r="A31" s="15" t="inlineStr">
        <is>
          <t>광고 건수</t>
        </is>
      </c>
      <c r="B31" s="16" t="n">
        <v>350</v>
      </c>
      <c r="C31" s="16" t="n">
        <v>350</v>
      </c>
      <c r="D31" s="16" t="n">
        <v>350</v>
      </c>
      <c r="E31" s="16" t="n">
        <v>350</v>
      </c>
      <c r="F31" s="16" t="n">
        <v>350</v>
      </c>
      <c r="G31" s="16" t="n">
        <v>350</v>
      </c>
      <c r="H31" s="16" t="n">
        <v>350</v>
      </c>
      <c r="I31" s="16" t="n">
        <v>350</v>
      </c>
      <c r="J31" s="16" t="n">
        <v>350</v>
      </c>
      <c r="K31" s="16" t="n">
        <v>350</v>
      </c>
      <c r="L31" s="16" t="n">
        <v>350</v>
      </c>
      <c r="M31" s="16" t="n">
        <v>350</v>
      </c>
      <c r="N31" s="16">
        <f>SUM(B31:M31)</f>
        <v/>
      </c>
    </row>
    <row r="32">
      <c r="A32" s="15" t="inlineStr">
        <is>
          <t>정비 쿠폰 건수</t>
        </is>
      </c>
      <c r="B32" s="16" t="n">
        <v>0</v>
      </c>
      <c r="C32" s="16" t="n">
        <v>0</v>
      </c>
      <c r="D32" s="16" t="n">
        <v>0</v>
      </c>
      <c r="E32" s="16" t="n">
        <v>230.3782976</v>
      </c>
      <c r="F32" s="16" t="n">
        <v>397.9261505</v>
      </c>
      <c r="G32" s="16" t="n">
        <v>490.5702573</v>
      </c>
      <c r="H32" s="16" t="n">
        <v>527.0365547</v>
      </c>
      <c r="I32" s="16" t="n">
        <v>532.2108266</v>
      </c>
      <c r="J32" s="16" t="n">
        <v>492.7878024</v>
      </c>
      <c r="K32" s="16" t="n">
        <v>468.1484123</v>
      </c>
      <c r="L32" s="16" t="n">
        <v>465.6844733</v>
      </c>
      <c r="M32" s="16" t="n">
        <v>460.7565953</v>
      </c>
      <c r="N32" s="16">
        <f>SUM(B32:M32)</f>
        <v/>
      </c>
    </row>
    <row r="33">
      <c r="A33" s="15" t="inlineStr">
        <is>
          <t>정비 바우처 건수</t>
        </is>
      </c>
      <c r="B33" s="16" t="n">
        <v>0</v>
      </c>
      <c r="C33" s="16" t="n">
        <v>0</v>
      </c>
      <c r="D33" s="16" t="n">
        <v>0</v>
      </c>
      <c r="E33" s="16" t="n">
        <v>0</v>
      </c>
      <c r="F33" s="16" t="n">
        <v>0</v>
      </c>
      <c r="G33" s="16" t="n">
        <v>0</v>
      </c>
      <c r="H33" s="16" t="n">
        <v>10.54073109</v>
      </c>
      <c r="I33" s="16" t="n">
        <v>21.28843306</v>
      </c>
      <c r="J33" s="16" t="n">
        <v>19.7115121</v>
      </c>
      <c r="K33" s="16" t="n">
        <v>18.72593649</v>
      </c>
      <c r="L33" s="16" t="n">
        <v>18.62737893</v>
      </c>
      <c r="M33" s="16" t="n">
        <v>18.43026381</v>
      </c>
      <c r="N33" s="16">
        <f>SUM(B33:M33)</f>
        <v/>
      </c>
    </row>
    <row r="34">
      <c r="A34" s="4" t="inlineStr">
        <is>
          <t>Ⅳ. 비용 / 이익</t>
        </is>
      </c>
    </row>
    <row r="35">
      <c r="A35" s="15" t="inlineStr">
        <is>
          <t>사업 비용 총계 (계획)</t>
        </is>
      </c>
      <c r="B35" s="16">
        <f>B36+B37</f>
        <v/>
      </c>
      <c r="C35" s="16">
        <f>C36+C37</f>
        <v/>
      </c>
      <c r="D35" s="16">
        <f>D36+D37</f>
        <v/>
      </c>
      <c r="E35" s="16">
        <f>E36+E37</f>
        <v/>
      </c>
      <c r="F35" s="16">
        <f>F36+F37</f>
        <v/>
      </c>
      <c r="G35" s="16">
        <f>G36+G37</f>
        <v/>
      </c>
      <c r="H35" s="16">
        <f>H36+H37</f>
        <v/>
      </c>
      <c r="I35" s="16">
        <f>I36+I37</f>
        <v/>
      </c>
      <c r="J35" s="16">
        <f>J36+J37</f>
        <v/>
      </c>
      <c r="K35" s="16">
        <f>K36+K37</f>
        <v/>
      </c>
      <c r="L35" s="16">
        <f>L36+L37</f>
        <v/>
      </c>
      <c r="M35" s="16">
        <f>M36+M37</f>
        <v/>
      </c>
      <c r="N35" s="16">
        <f>SUM(B35:M35)</f>
        <v/>
      </c>
    </row>
    <row r="36">
      <c r="A36" s="5" t="inlineStr">
        <is>
          <t xml:space="preserve">      클레임 비용</t>
        </is>
      </c>
      <c r="B36" s="6" t="n">
        <v>70603802.29000001</v>
      </c>
      <c r="C36" s="6" t="n">
        <v>61337565.75</v>
      </c>
      <c r="D36" s="6" t="n">
        <v>81797088.01000001</v>
      </c>
      <c r="E36" s="6" t="n">
        <v>96864877.95</v>
      </c>
      <c r="F36" s="6" t="n">
        <v>87852033.55</v>
      </c>
      <c r="G36" s="6" t="n">
        <v>108305510.1</v>
      </c>
      <c r="H36" s="6" t="n">
        <v>116356346.6</v>
      </c>
      <c r="I36" s="6" t="n">
        <v>117498695</v>
      </c>
      <c r="J36" s="6" t="n">
        <v>108795088</v>
      </c>
      <c r="K36" s="6" t="n">
        <v>103355333.6</v>
      </c>
      <c r="L36" s="6" t="n">
        <v>102811358.1</v>
      </c>
      <c r="M36" s="6" t="n">
        <v>101723407.3</v>
      </c>
      <c r="N36" s="6">
        <f>SUM(B36:M36)</f>
        <v/>
      </c>
    </row>
    <row r="37">
      <c r="A37" s="5" t="inlineStr">
        <is>
          <t xml:space="preserve">      딜러 인센티브</t>
        </is>
      </c>
      <c r="B37" s="6" t="n">
        <v>1775681.434</v>
      </c>
      <c r="C37" s="6" t="n">
        <v>1542636.136</v>
      </c>
      <c r="D37" s="6" t="n">
        <v>2057191.906</v>
      </c>
      <c r="E37" s="6" t="n">
        <v>2313954.204</v>
      </c>
      <c r="F37" s="6" t="n">
        <v>1998414.994</v>
      </c>
      <c r="G37" s="6" t="n">
        <v>2463680.652</v>
      </c>
      <c r="H37" s="6" t="n">
        <v>3465000</v>
      </c>
      <c r="I37" s="6" t="n">
        <v>3465000</v>
      </c>
      <c r="J37" s="6" t="n">
        <v>3465000</v>
      </c>
      <c r="K37" s="6" t="n">
        <v>3465000</v>
      </c>
      <c r="L37" s="6" t="n">
        <v>3465000</v>
      </c>
      <c r="M37" s="6" t="n">
        <v>3465000</v>
      </c>
      <c r="N37" s="6">
        <f>SUM(B37:M37)</f>
        <v/>
      </c>
    </row>
    <row r="38">
      <c r="A38" s="5" t="inlineStr">
        <is>
          <t>사업 이익 (계획) = 매출 − 비용</t>
        </is>
      </c>
      <c r="B38" s="6">
        <f>B7-B35</f>
        <v/>
      </c>
      <c r="C38" s="6">
        <f>C7-C35</f>
        <v/>
      </c>
      <c r="D38" s="6">
        <f>D7-D35</f>
        <v/>
      </c>
      <c r="E38" s="6">
        <f>E7-E35</f>
        <v/>
      </c>
      <c r="F38" s="6">
        <f>F7-F35</f>
        <v/>
      </c>
      <c r="G38" s="6">
        <f>G7-G35</f>
        <v/>
      </c>
      <c r="H38" s="6">
        <f>H7-H35</f>
        <v/>
      </c>
      <c r="I38" s="6">
        <f>I7-I35</f>
        <v/>
      </c>
      <c r="J38" s="6">
        <f>J7-J35</f>
        <v/>
      </c>
      <c r="K38" s="6">
        <f>K7-K35</f>
        <v/>
      </c>
      <c r="L38" s="6">
        <f>L7-L35</f>
        <v/>
      </c>
      <c r="M38" s="6">
        <f>M7-M35</f>
        <v/>
      </c>
      <c r="N38" s="6">
        <f>SUM(B38:M38)</f>
        <v/>
      </c>
    </row>
    <row r="39">
      <c r="A39" s="9" t="inlineStr">
        <is>
          <t>이익률 = 이익 ÷ 매출</t>
        </is>
      </c>
      <c r="B39" s="10">
        <f>IFERROR(B38/B7,"")</f>
        <v/>
      </c>
      <c r="C39" s="10">
        <f>IFERROR(C38/C7,"")</f>
        <v/>
      </c>
      <c r="D39" s="10">
        <f>IFERROR(D38/D7,"")</f>
        <v/>
      </c>
      <c r="E39" s="10">
        <f>IFERROR(E38/E7,"")</f>
        <v/>
      </c>
      <c r="F39" s="10">
        <f>IFERROR(F38/F7,"")</f>
        <v/>
      </c>
      <c r="G39" s="10">
        <f>IFERROR(G38/G7,"")</f>
        <v/>
      </c>
      <c r="H39" s="10">
        <f>IFERROR(H38/H7,"")</f>
        <v/>
      </c>
      <c r="I39" s="10">
        <f>IFERROR(I38/I7,"")</f>
        <v/>
      </c>
      <c r="J39" s="10">
        <f>IFERROR(J38/J7,"")</f>
        <v/>
      </c>
      <c r="K39" s="10">
        <f>IFERROR(K38/K7,"")</f>
        <v/>
      </c>
      <c r="L39" s="10">
        <f>IFERROR(L38/L7,"")</f>
        <v/>
      </c>
      <c r="M39" s="10">
        <f>IFERROR(M38/M7,"")</f>
        <v/>
      </c>
      <c r="N39" s="11">
        <f>IFERROR(N38/N7,"")</f>
        <v/>
      </c>
    </row>
    <row r="40">
      <c r="A40" s="15" t="inlineStr">
        <is>
          <t>영업일</t>
        </is>
      </c>
      <c r="B40" s="16" t="n">
        <v>21</v>
      </c>
      <c r="C40" s="16" t="n">
        <v>17</v>
      </c>
      <c r="D40" s="16" t="n">
        <v>21</v>
      </c>
      <c r="E40" s="16" t="n">
        <v>22</v>
      </c>
      <c r="F40" s="16" t="n">
        <v>18</v>
      </c>
      <c r="G40" s="16" t="n">
        <v>22</v>
      </c>
      <c r="H40" s="16" t="n">
        <v>23</v>
      </c>
      <c r="I40" s="16" t="n">
        <v>20</v>
      </c>
      <c r="J40" s="16" t="n">
        <v>20</v>
      </c>
      <c r="K40" s="16" t="n">
        <v>21</v>
      </c>
      <c r="L40" s="16" t="n">
        <v>21</v>
      </c>
      <c r="M40" s="16" t="n">
        <v>22</v>
      </c>
      <c r="N40" s="16">
        <f>SUM(B40:M40)</f>
        <v/>
      </c>
    </row>
  </sheetData>
  <mergeCells count="9">
    <mergeCell ref="A17:N17"/>
    <mergeCell ref="A6:N6"/>
    <mergeCell ref="A34:N34"/>
    <mergeCell ref="A4:N4"/>
    <mergeCell ref="A26:N26"/>
    <mergeCell ref="A21:N21"/>
    <mergeCell ref="A2:N2"/>
    <mergeCell ref="A5:N5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A9D08E"/>
    <outlinePr summaryBelow="1" summaryRight="1"/>
    <pageSetUpPr/>
  </sheetPr>
  <dimension ref="A1:AK105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채널</t>
        </is>
      </c>
      <c r="B1" t="inlineStr">
        <is>
          <t>유입경로</t>
        </is>
      </c>
      <c r="C1" t="inlineStr">
        <is>
          <t>캐피탈</t>
        </is>
      </c>
      <c r="L1" t="inlineStr">
        <is>
          <t>h</t>
        </is>
      </c>
      <c r="AB1" t="inlineStr">
        <is>
          <t>h/s 일반 : 홈서비스 &amp; EP_fast + 다른 금융사</t>
        </is>
      </c>
      <c r="AD1" t="inlineStr">
        <is>
          <t>EP : 홈서비스&amp; EP</t>
        </is>
      </c>
      <c r="AF1" t="inlineStr">
        <is>
          <t>일반금융 : 엔카</t>
        </is>
      </c>
    </row>
    <row r="2">
      <c r="A2" t="inlineStr">
        <is>
          <t xml:space="preserve">H/S (일반) : </t>
        </is>
      </c>
      <c r="B2" t="inlineStr">
        <is>
          <t>홈서비스, 믿고</t>
        </is>
      </c>
      <c r="C2" t="inlineStr">
        <is>
          <t>현대EP_FAST, 모든 금융사(현대EP 제외)</t>
        </is>
      </c>
      <c r="G2" t="inlineStr">
        <is>
          <t>SUMIFS(Raw_26!I:I, Raw_26!A:A, "1월", Raw_26!AB:AB, "홈서비스", Raw_26!E:E, "&lt;&gt;현대EP")</t>
        </is>
      </c>
    </row>
    <row r="3">
      <c r="A3" t="inlineStr">
        <is>
          <t>H/S (EP) :</t>
        </is>
      </c>
      <c r="B3" t="inlineStr">
        <is>
          <t>홈서비스, 믿고</t>
        </is>
      </c>
      <c r="C3" t="inlineStr">
        <is>
          <t>현대EP_FAST, 모든 금융사(현대EP 제외)</t>
        </is>
      </c>
    </row>
    <row r="4">
      <c r="A4" t="inlineStr">
        <is>
          <t xml:space="preserve">일반금융 : </t>
        </is>
      </c>
      <c r="B4" t="inlineStr">
        <is>
          <t>엔카</t>
        </is>
      </c>
      <c r="C4" t="inlineStr">
        <is>
          <t>전부</t>
        </is>
      </c>
    </row>
    <row r="5"/>
    <row r="6">
      <c r="K6" t="inlineStr">
        <is>
          <t>수식X &gt; 수기입력 총수수료</t>
        </is>
      </c>
    </row>
    <row r="7"/>
    <row r="8">
      <c r="D8" t="inlineStr">
        <is>
          <t>이거 한줄이에요 지우면 싹다 사라짐</t>
        </is>
      </c>
      <c r="J8" t="inlineStr">
        <is>
          <t>딜러</t>
        </is>
      </c>
      <c r="K8" t="inlineStr">
        <is>
          <t>엔카</t>
        </is>
      </c>
      <c r="N8" t="inlineStr">
        <is>
          <t>개인</t>
        </is>
      </c>
      <c r="R8" t="inlineStr">
        <is>
          <t>수수료(VAT포함)</t>
        </is>
      </c>
      <c r="W8" t="inlineStr">
        <is>
          <t>딜러</t>
        </is>
      </c>
      <c r="AC8" t="inlineStr">
        <is>
          <t>엔카 관리( vat 포함)</t>
        </is>
      </c>
      <c r="AF8" t="inlineStr">
        <is>
          <t>엔카 관리( vat 제외)</t>
        </is>
      </c>
    </row>
    <row r="9">
      <c r="A9" t="inlineStr">
        <is>
          <t>월</t>
        </is>
      </c>
      <c r="C9" t="inlineStr">
        <is>
          <t>캐피탈</t>
        </is>
      </c>
      <c r="D9" t="inlineStr">
        <is>
          <t>집행일</t>
        </is>
      </c>
      <c r="E9" t="inlineStr">
        <is>
          <t>캐피탈</t>
        </is>
      </c>
      <c r="F9" t="inlineStr">
        <is>
          <t>이름</t>
        </is>
      </c>
      <c r="G9" t="inlineStr">
        <is>
          <t>연락처</t>
        </is>
      </c>
      <c r="H9" t="inlineStr">
        <is>
          <t>차량번호</t>
        </is>
      </c>
      <c r="I9" t="inlineStr">
        <is>
          <t>대출금액</t>
        </is>
      </c>
      <c r="J9" t="inlineStr">
        <is>
          <t>금리</t>
        </is>
      </c>
      <c r="K9" t="inlineStr">
        <is>
          <t>총수수료</t>
        </is>
      </c>
      <c r="L9" t="inlineStr">
        <is>
          <t>지급수수료</t>
        </is>
      </c>
      <c r="M9" t="inlineStr">
        <is>
          <t>순수수료</t>
        </is>
      </c>
      <c r="N9" t="inlineStr">
        <is>
          <t>개인직접</t>
        </is>
      </c>
      <c r="O9" t="inlineStr">
        <is>
          <t>개인합계</t>
        </is>
      </c>
      <c r="P9" t="inlineStr">
        <is>
          <t>담당자</t>
        </is>
      </c>
      <c r="Q9" t="inlineStr">
        <is>
          <t>비고</t>
        </is>
      </c>
      <c r="R9" t="inlineStr">
        <is>
          <t>딜러명</t>
        </is>
      </c>
      <c r="S9" t="inlineStr">
        <is>
          <t>엔카직접</t>
        </is>
      </c>
      <c r="T9" t="inlineStr">
        <is>
          <t>엔카간접</t>
        </is>
      </c>
      <c r="U9" t="inlineStr">
        <is>
          <t>엔카합계</t>
        </is>
      </c>
      <c r="V9" t="inlineStr">
        <is>
          <t>딜러</t>
        </is>
      </c>
      <c r="W9" t="inlineStr">
        <is>
          <t>소득세</t>
        </is>
      </c>
      <c r="X9" t="inlineStr">
        <is>
          <t>지방세</t>
        </is>
      </c>
      <c r="Y9" t="inlineStr">
        <is>
          <t>실지급액</t>
        </is>
      </c>
      <c r="Z9" t="inlineStr">
        <is>
          <t>개인코드
환입액</t>
        </is>
      </c>
      <c r="AA9" t="inlineStr">
        <is>
          <t>매출</t>
        </is>
      </c>
      <c r="AB9" t="inlineStr">
        <is>
          <t>유입경로</t>
        </is>
      </c>
      <c r="AC9" t="inlineStr">
        <is>
          <t>총매출(vat포함)</t>
        </is>
      </c>
      <c r="AD9" t="inlineStr">
        <is>
          <t>총비용</t>
        </is>
      </c>
      <c r="AE9" t="inlineStr">
        <is>
          <t>순매출</t>
        </is>
      </c>
      <c r="AF9" t="inlineStr">
        <is>
          <t>총매출(vat제외)</t>
        </is>
      </c>
      <c r="AG9" t="inlineStr">
        <is>
          <t>총비용</t>
        </is>
      </c>
      <c r="AH9" t="inlineStr">
        <is>
          <t>순매출</t>
        </is>
      </c>
      <c r="AI9" t="inlineStr">
        <is>
          <t>실행</t>
        </is>
      </c>
      <c r="AJ9" t="inlineStr">
        <is>
          <t>개인</t>
        </is>
      </c>
      <c r="AK9" t="inlineStr">
        <is>
          <t>중도상환여부</t>
        </is>
      </c>
    </row>
    <row r="10">
      <c r="A10" t="inlineStr">
        <is>
          <t>1월</t>
        </is>
      </c>
      <c r="B10" t="inlineStr">
        <is>
          <t>2주차</t>
        </is>
      </c>
      <c r="C10" t="inlineStr">
        <is>
          <t>상환</t>
        </is>
      </c>
      <c r="D10" t="inlineStr">
        <is>
          <t>2026-01-09</t>
        </is>
      </c>
      <c r="E10" t="inlineStr">
        <is>
          <t>현대EP상환</t>
        </is>
      </c>
      <c r="F10" t="inlineStr">
        <is>
          <t>김상철</t>
        </is>
      </c>
      <c r="G10" t="inlineStr">
        <is>
          <t>010-4333-3071</t>
        </is>
      </c>
      <c r="H10" t="inlineStr">
        <is>
          <t>365모9595</t>
        </is>
      </c>
      <c r="I10" t="n">
        <v>-13200000</v>
      </c>
      <c r="J10" t="n">
        <v>0.067</v>
      </c>
      <c r="K10" t="n">
        <v>1.76</v>
      </c>
      <c r="L10" t="n">
        <v>0.13</v>
      </c>
      <c r="M10" t="n">
        <v>1.63</v>
      </c>
      <c r="P10" t="inlineStr">
        <is>
          <t>정하은</t>
        </is>
      </c>
      <c r="Q10" t="inlineStr">
        <is>
          <t>홈서비스 60개월 / *당월철회 20260123</t>
        </is>
      </c>
      <c r="Z10" t="n">
        <v>0</v>
      </c>
      <c r="AB10" t="inlineStr">
        <is>
          <t>홈서비스</t>
        </is>
      </c>
      <c r="AC10" t="n">
        <v>-232320</v>
      </c>
      <c r="AD10" t="n">
        <v>-17160</v>
      </c>
      <c r="AE10" t="n">
        <v>-215160</v>
      </c>
      <c r="AF10" t="n">
        <v>-211200</v>
      </c>
      <c r="AG10" t="n">
        <v>-17160</v>
      </c>
      <c r="AH10" t="n">
        <v>-194040</v>
      </c>
      <c r="AI10" t="n">
        <v>0</v>
      </c>
      <c r="AK10" t="inlineStr">
        <is>
          <t>대출철회</t>
        </is>
      </c>
    </row>
    <row r="11">
      <c r="A11" t="inlineStr">
        <is>
          <t>1월</t>
        </is>
      </c>
      <c r="B11" t="inlineStr">
        <is>
          <t>5주차</t>
        </is>
      </c>
      <c r="C11" t="inlineStr">
        <is>
          <t>상환</t>
        </is>
      </c>
      <c r="D11" t="inlineStr">
        <is>
          <t>2026-01-29</t>
        </is>
      </c>
      <c r="E11" t="inlineStr">
        <is>
          <t>현대EP_fast상환</t>
        </is>
      </c>
      <c r="F11" t="inlineStr">
        <is>
          <t>김소라</t>
        </is>
      </c>
      <c r="G11" t="inlineStr">
        <is>
          <t>010-3382-0214</t>
        </is>
      </c>
      <c r="H11" t="inlineStr">
        <is>
          <t>58보7759</t>
        </is>
      </c>
      <c r="I11" t="n">
        <v>-5500000</v>
      </c>
      <c r="J11" t="n">
        <v>0.082</v>
      </c>
      <c r="K11" t="n">
        <v>1.76</v>
      </c>
      <c r="L11" t="n">
        <v>0.13</v>
      </c>
      <c r="M11" t="n">
        <v>1.63</v>
      </c>
      <c r="P11" t="inlineStr">
        <is>
          <t>황채이</t>
        </is>
      </c>
      <c r="Q11" t="inlineStr">
        <is>
          <t>홈서비스 48개월 / 금리인하 0.5%적용건(8.7-&gt;8.2) /*중도상환 20260129</t>
        </is>
      </c>
      <c r="Z11" t="n">
        <v>0</v>
      </c>
      <c r="AB11" t="inlineStr">
        <is>
          <t>홈서비스</t>
        </is>
      </c>
      <c r="AC11" t="n">
        <v>-96800</v>
      </c>
      <c r="AD11" t="n">
        <v>-7150</v>
      </c>
      <c r="AE11" t="n">
        <v>-89650</v>
      </c>
      <c r="AF11" t="n">
        <v>-88000</v>
      </c>
      <c r="AG11" t="n">
        <v>-7150</v>
      </c>
      <c r="AH11" t="n">
        <v>-80850</v>
      </c>
      <c r="AK11" t="inlineStr">
        <is>
          <t>중도상환</t>
        </is>
      </c>
    </row>
    <row r="12">
      <c r="A12" t="inlineStr">
        <is>
          <t>1월</t>
        </is>
      </c>
      <c r="B12" t="inlineStr">
        <is>
          <t>5주차</t>
        </is>
      </c>
      <c r="C12" t="inlineStr">
        <is>
          <t>상환</t>
        </is>
      </c>
      <c r="D12" t="inlineStr">
        <is>
          <t>2026-01-26</t>
        </is>
      </c>
      <c r="E12" t="inlineStr">
        <is>
          <t>현대EP상환</t>
        </is>
      </c>
      <c r="F12" t="inlineStr">
        <is>
          <t>서영은</t>
        </is>
      </c>
      <c r="G12" t="inlineStr">
        <is>
          <t>010-8606-8913</t>
        </is>
      </c>
      <c r="H12" t="inlineStr">
        <is>
          <t>52더6798</t>
        </is>
      </c>
      <c r="I12" t="n">
        <v>-18900000</v>
      </c>
      <c r="J12" t="n">
        <v>0.107</v>
      </c>
      <c r="K12" t="n">
        <v>1.76</v>
      </c>
      <c r="L12" t="n">
        <v>0.13</v>
      </c>
      <c r="M12" t="n">
        <v>1.63</v>
      </c>
      <c r="P12" t="inlineStr">
        <is>
          <t>정세빈</t>
        </is>
      </c>
      <c r="Q12" t="inlineStr">
        <is>
          <t>홈서비스 36개월 /*당월철회 20260108</t>
        </is>
      </c>
      <c r="Z12" t="n">
        <v>0</v>
      </c>
      <c r="AB12" t="inlineStr">
        <is>
          <t>홈서비스</t>
        </is>
      </c>
      <c r="AC12" t="n">
        <v>-332640</v>
      </c>
      <c r="AD12" t="n">
        <v>-24570</v>
      </c>
      <c r="AE12" t="n">
        <v>-308070</v>
      </c>
      <c r="AF12" t="n">
        <v>-302400</v>
      </c>
      <c r="AG12" t="n">
        <v>-24570</v>
      </c>
      <c r="AH12" t="n">
        <v>-277830</v>
      </c>
      <c r="AK12" t="inlineStr">
        <is>
          <t>대출철회</t>
        </is>
      </c>
    </row>
    <row r="13">
      <c r="A13" t="inlineStr">
        <is>
          <t>1월</t>
        </is>
      </c>
      <c r="B13" t="inlineStr">
        <is>
          <t>1주차</t>
        </is>
      </c>
      <c r="C13" t="inlineStr">
        <is>
          <t>EP</t>
        </is>
      </c>
      <c r="D13" s="28" t="n">
        <v>46023</v>
      </c>
      <c r="E13" t="inlineStr">
        <is>
          <t>현대EP</t>
        </is>
      </c>
      <c r="F13" t="inlineStr">
        <is>
          <t>이국형</t>
        </is>
      </c>
      <c r="G13" t="inlineStr">
        <is>
          <t>010-4518-5764</t>
        </is>
      </c>
      <c r="H13" t="inlineStr">
        <is>
          <t>13주1485</t>
        </is>
      </c>
      <c r="I13" t="n">
        <v>12000000</v>
      </c>
      <c r="J13" t="n">
        <v>0.068</v>
      </c>
      <c r="K13" t="n">
        <v>1.76</v>
      </c>
      <c r="L13" t="n">
        <v>0.13</v>
      </c>
      <c r="M13" t="n">
        <v>1.63</v>
      </c>
      <c r="P13" t="inlineStr">
        <is>
          <t>황채이</t>
        </is>
      </c>
      <c r="Q13" t="inlineStr">
        <is>
          <t>홈서비스 48개월</t>
        </is>
      </c>
      <c r="Z13" t="n">
        <v>0</v>
      </c>
      <c r="AB13" t="inlineStr">
        <is>
          <t>홈서비스</t>
        </is>
      </c>
      <c r="AC13" t="n">
        <v>211200</v>
      </c>
      <c r="AD13" t="n">
        <v>15600</v>
      </c>
      <c r="AE13" t="n">
        <v>195600</v>
      </c>
      <c r="AF13" t="n">
        <v>192000</v>
      </c>
      <c r="AG13" t="n">
        <v>15600</v>
      </c>
      <c r="AH13" t="n">
        <v>176400</v>
      </c>
    </row>
    <row r="14">
      <c r="A14" t="inlineStr">
        <is>
          <t>1월</t>
        </is>
      </c>
      <c r="B14" t="inlineStr">
        <is>
          <t>1주차</t>
        </is>
      </c>
      <c r="C14" t="inlineStr">
        <is>
          <t>EP</t>
        </is>
      </c>
      <c r="D14" s="28" t="n">
        <v>46023</v>
      </c>
      <c r="E14" t="inlineStr">
        <is>
          <t>현대EP</t>
        </is>
      </c>
      <c r="F14" t="inlineStr">
        <is>
          <t>이상준</t>
        </is>
      </c>
      <c r="G14" t="inlineStr">
        <is>
          <t>010-5125-2139</t>
        </is>
      </c>
      <c r="H14" t="inlineStr">
        <is>
          <t>43우5682</t>
        </is>
      </c>
      <c r="I14" t="n">
        <v>61900000</v>
      </c>
      <c r="J14" t="n">
        <v>0.06900000000000001</v>
      </c>
      <c r="K14" t="n">
        <v>1.76</v>
      </c>
      <c r="L14" t="n">
        <v>0.13</v>
      </c>
      <c r="M14" t="n">
        <v>1.63</v>
      </c>
      <c r="P14" t="inlineStr">
        <is>
          <t>황채이</t>
        </is>
      </c>
      <c r="Q14" t="inlineStr">
        <is>
          <t>홈서비스 60개월</t>
        </is>
      </c>
      <c r="Z14" t="n">
        <v>0</v>
      </c>
      <c r="AB14" t="inlineStr">
        <is>
          <t>홈서비스</t>
        </is>
      </c>
      <c r="AC14" t="n">
        <v>1089440</v>
      </c>
      <c r="AD14" t="n">
        <v>80470</v>
      </c>
      <c r="AE14" t="n">
        <v>1008970</v>
      </c>
      <c r="AF14" t="n">
        <v>990400</v>
      </c>
      <c r="AG14" t="n">
        <v>80470</v>
      </c>
      <c r="AH14" t="n">
        <v>909930</v>
      </c>
      <c r="AI14" t="n">
        <v>0</v>
      </c>
    </row>
    <row r="15">
      <c r="A15" t="inlineStr">
        <is>
          <t>1월</t>
        </is>
      </c>
      <c r="B15" t="inlineStr">
        <is>
          <t>3주차</t>
        </is>
      </c>
      <c r="C15" t="inlineStr">
        <is>
          <t>상환</t>
        </is>
      </c>
      <c r="D15" t="inlineStr">
        <is>
          <t>2026-01-15</t>
        </is>
      </c>
      <c r="E15" t="inlineStr">
        <is>
          <t>현대EP상환</t>
        </is>
      </c>
      <c r="F15" t="inlineStr">
        <is>
          <t>한기찬</t>
        </is>
      </c>
      <c r="G15" t="inlineStr">
        <is>
          <t>010-6474-5487</t>
        </is>
      </c>
      <c r="H15" t="inlineStr">
        <is>
          <t>184가6686</t>
        </is>
      </c>
      <c r="I15" t="n">
        <v>-8000000</v>
      </c>
      <c r="J15" t="n">
        <v>0.057</v>
      </c>
      <c r="K15" t="n">
        <v>1.76</v>
      </c>
      <c r="L15" t="n">
        <v>0.13</v>
      </c>
      <c r="M15" t="n">
        <v>1.63</v>
      </c>
      <c r="P15" t="inlineStr">
        <is>
          <t>최형주</t>
        </is>
      </c>
      <c r="Q15" t="inlineStr">
        <is>
          <t>홈서비스 36개월/ *중도상환 20260115</t>
        </is>
      </c>
      <c r="Z15" t="n">
        <v>0</v>
      </c>
      <c r="AB15" t="inlineStr">
        <is>
          <t>홈서비스</t>
        </is>
      </c>
      <c r="AC15" t="n">
        <v>-140800</v>
      </c>
      <c r="AD15" t="n">
        <v>-10400</v>
      </c>
      <c r="AE15" t="n">
        <v>-130400</v>
      </c>
      <c r="AF15" t="n">
        <v>-128000</v>
      </c>
      <c r="AG15" t="n">
        <v>-10400</v>
      </c>
      <c r="AH15" t="n">
        <v>-117600</v>
      </c>
      <c r="AI15" t="n">
        <v>0</v>
      </c>
      <c r="AK15" t="inlineStr">
        <is>
          <t>중도상환</t>
        </is>
      </c>
    </row>
    <row r="16">
      <c r="A16" t="inlineStr">
        <is>
          <t>5월</t>
        </is>
      </c>
      <c r="B16" t="inlineStr">
        <is>
          <t>22주차</t>
        </is>
      </c>
      <c r="C16" t="inlineStr">
        <is>
          <t>EP</t>
        </is>
      </c>
      <c r="D16" s="28" t="n">
        <v>46169</v>
      </c>
      <c r="E16" t="inlineStr">
        <is>
          <t>현대EP_fast</t>
        </is>
      </c>
      <c r="F16" t="inlineStr">
        <is>
          <t>김도균</t>
        </is>
      </c>
      <c r="G16" t="inlineStr">
        <is>
          <t>010-2014-6185</t>
        </is>
      </c>
      <c r="H16" t="inlineStr">
        <is>
          <t>28구6353</t>
        </is>
      </c>
      <c r="I16" t="n">
        <v>6600000</v>
      </c>
      <c r="J16" t="n">
        <v>0.089</v>
      </c>
      <c r="K16" t="n">
        <v>1.76</v>
      </c>
      <c r="L16" t="n">
        <v>0.5</v>
      </c>
      <c r="M16" t="n">
        <v>1.26</v>
      </c>
      <c r="P16" t="inlineStr">
        <is>
          <t>임대경</t>
        </is>
      </c>
      <c r="Z16" t="n">
        <v>0</v>
      </c>
      <c r="AB16" t="inlineStr">
        <is>
          <t>엔카</t>
        </is>
      </c>
      <c r="AC16" t="n">
        <v>116160</v>
      </c>
      <c r="AD16" t="n">
        <v>33000</v>
      </c>
      <c r="AE16" t="n">
        <v>83160</v>
      </c>
      <c r="AF16" t="n">
        <v>105600</v>
      </c>
      <c r="AG16" t="n">
        <v>33000</v>
      </c>
      <c r="AH16" t="n">
        <v>72600</v>
      </c>
    </row>
    <row r="17">
      <c r="A17" t="inlineStr">
        <is>
          <t>1월</t>
        </is>
      </c>
      <c r="B17" t="inlineStr">
        <is>
          <t>5주차</t>
        </is>
      </c>
      <c r="C17" t="inlineStr">
        <is>
          <t>상환</t>
        </is>
      </c>
      <c r="D17" t="inlineStr">
        <is>
          <t>2026-01-27</t>
        </is>
      </c>
      <c r="E17" t="inlineStr">
        <is>
          <t>현대EP_fast상환</t>
        </is>
      </c>
      <c r="F17" t="inlineStr">
        <is>
          <t>윤성태</t>
        </is>
      </c>
      <c r="G17" t="inlineStr">
        <is>
          <t>010-7379-8080</t>
        </is>
      </c>
      <c r="H17" t="inlineStr">
        <is>
          <t>127머9065</t>
        </is>
      </c>
      <c r="I17" t="n">
        <v>-6600000</v>
      </c>
      <c r="J17" t="n">
        <v>0.093</v>
      </c>
      <c r="K17" t="n">
        <v>1.76</v>
      </c>
      <c r="L17" t="n">
        <v>0.13</v>
      </c>
      <c r="M17" t="n">
        <v>1.63</v>
      </c>
      <c r="P17" t="inlineStr">
        <is>
          <t>정광호</t>
        </is>
      </c>
      <c r="Q17" t="inlineStr">
        <is>
          <t>홈서비스 48개월/ *중도상환 20260127</t>
        </is>
      </c>
      <c r="Z17" t="n">
        <v>0</v>
      </c>
      <c r="AB17" t="inlineStr">
        <is>
          <t>홈서비스</t>
        </is>
      </c>
      <c r="AC17" t="n">
        <v>-116160</v>
      </c>
      <c r="AD17" t="n">
        <v>-8580</v>
      </c>
      <c r="AE17" t="n">
        <v>-107580</v>
      </c>
      <c r="AF17" t="n">
        <v>-105600</v>
      </c>
      <c r="AG17" t="n">
        <v>-8580</v>
      </c>
      <c r="AH17" t="n">
        <v>-97020</v>
      </c>
      <c r="AI17" t="n">
        <v>0</v>
      </c>
      <c r="AK17" t="inlineStr">
        <is>
          <t>중도상환</t>
        </is>
      </c>
    </row>
    <row r="18">
      <c r="A18" t="inlineStr">
        <is>
          <t>5월</t>
        </is>
      </c>
      <c r="B18" t="inlineStr">
        <is>
          <t>22주차</t>
        </is>
      </c>
      <c r="C18" t="inlineStr">
        <is>
          <t>EP</t>
        </is>
      </c>
      <c r="D18" s="28" t="n">
        <v>46169</v>
      </c>
      <c r="E18" t="inlineStr">
        <is>
          <t>BNKEP</t>
        </is>
      </c>
      <c r="F18" t="inlineStr">
        <is>
          <t>최진명</t>
        </is>
      </c>
      <c r="G18" t="inlineStr">
        <is>
          <t>010-9622-9904</t>
        </is>
      </c>
      <c r="H18" t="inlineStr">
        <is>
          <t>264무6586</t>
        </is>
      </c>
      <c r="I18" t="n">
        <v>6300000</v>
      </c>
      <c r="J18" t="n">
        <v>0.061</v>
      </c>
      <c r="K18" t="n">
        <v>1.65</v>
      </c>
      <c r="L18" t="n">
        <v>0.14</v>
      </c>
      <c r="M18" t="n">
        <v>1.51</v>
      </c>
      <c r="P18" t="inlineStr">
        <is>
          <t>김수연</t>
        </is>
      </c>
      <c r="Q18" t="inlineStr">
        <is>
          <t>홈서비스 36개월</t>
        </is>
      </c>
      <c r="Z18" t="n">
        <v>0</v>
      </c>
      <c r="AB18" t="inlineStr">
        <is>
          <t>홈서비스</t>
        </is>
      </c>
      <c r="AC18" t="n">
        <v>103950</v>
      </c>
      <c r="AD18" t="n">
        <v>8820</v>
      </c>
      <c r="AE18" t="n">
        <v>95130</v>
      </c>
      <c r="AF18" t="n">
        <v>94500</v>
      </c>
      <c r="AG18" t="n">
        <v>8820</v>
      </c>
      <c r="AH18" t="n">
        <v>85680</v>
      </c>
    </row>
    <row r="19">
      <c r="A19" t="inlineStr">
        <is>
          <t>1월</t>
        </is>
      </c>
      <c r="B19" t="inlineStr">
        <is>
          <t>4주차</t>
        </is>
      </c>
      <c r="C19" t="inlineStr">
        <is>
          <t>상환</t>
        </is>
      </c>
      <c r="D19" t="inlineStr">
        <is>
          <t>2026-01-23</t>
        </is>
      </c>
      <c r="E19" t="inlineStr">
        <is>
          <t>현대EP_fast상환</t>
        </is>
      </c>
      <c r="F19" t="inlineStr">
        <is>
          <t>남승호</t>
        </is>
      </c>
      <c r="G19" t="n">
        <v>1033952893</v>
      </c>
      <c r="H19" t="inlineStr">
        <is>
          <t>16주1318</t>
        </is>
      </c>
      <c r="I19" t="n">
        <v>-3000000</v>
      </c>
      <c r="J19" t="n">
        <v>0.099</v>
      </c>
      <c r="K19" t="n">
        <v>1.76</v>
      </c>
      <c r="L19" t="n">
        <v>0.13</v>
      </c>
      <c r="M19" t="n">
        <v>1.63</v>
      </c>
      <c r="P19" t="inlineStr">
        <is>
          <t>김나윤</t>
        </is>
      </c>
      <c r="Q19" t="inlineStr">
        <is>
          <t>홈서비스60개월 /*당월철회 20260128</t>
        </is>
      </c>
      <c r="Z19" t="n">
        <v>0</v>
      </c>
      <c r="AB19" t="inlineStr">
        <is>
          <t>홈서비스</t>
        </is>
      </c>
      <c r="AC19" t="n">
        <v>-52800</v>
      </c>
      <c r="AD19" t="n">
        <v>-3900</v>
      </c>
      <c r="AE19" t="n">
        <v>-48900</v>
      </c>
      <c r="AF19" t="n">
        <v>-48000</v>
      </c>
      <c r="AG19" t="n">
        <v>-3900</v>
      </c>
      <c r="AH19" t="n">
        <v>-44100</v>
      </c>
      <c r="AI19" t="n">
        <v>0</v>
      </c>
      <c r="AK19" t="inlineStr">
        <is>
          <t>대출철회</t>
        </is>
      </c>
    </row>
    <row r="20">
      <c r="A20" t="inlineStr">
        <is>
          <t>1월</t>
        </is>
      </c>
      <c r="B20" t="inlineStr">
        <is>
          <t>4주차</t>
        </is>
      </c>
      <c r="C20" t="inlineStr">
        <is>
          <t>상환</t>
        </is>
      </c>
      <c r="D20" t="inlineStr">
        <is>
          <t>2026-01-23</t>
        </is>
      </c>
      <c r="E20" t="inlineStr">
        <is>
          <t>현대EP_fast상환</t>
        </is>
      </c>
      <c r="F20" t="inlineStr">
        <is>
          <t>최한결</t>
        </is>
      </c>
      <c r="G20" t="inlineStr">
        <is>
          <t>010-7106-2417</t>
        </is>
      </c>
      <c r="H20" t="inlineStr">
        <is>
          <t>102거9777</t>
        </is>
      </c>
      <c r="I20" t="n">
        <v>-4600000</v>
      </c>
      <c r="J20" t="n">
        <v>0.057</v>
      </c>
      <c r="K20" t="n">
        <v>1.76</v>
      </c>
      <c r="L20" t="n">
        <v>0.13</v>
      </c>
      <c r="M20" t="n">
        <v>1.63</v>
      </c>
      <c r="P20" t="inlineStr">
        <is>
          <t>최혁</t>
        </is>
      </c>
      <c r="Q20" t="inlineStr">
        <is>
          <t>홈서비스48개월 /*당월철회 20260119</t>
        </is>
      </c>
      <c r="Z20" t="n">
        <v>0</v>
      </c>
      <c r="AB20" t="inlineStr">
        <is>
          <t>홈서비스</t>
        </is>
      </c>
      <c r="AC20" t="n">
        <v>-80960</v>
      </c>
      <c r="AD20" t="n">
        <v>-5980</v>
      </c>
      <c r="AE20" t="n">
        <v>-74980</v>
      </c>
      <c r="AF20" t="n">
        <v>-73600</v>
      </c>
      <c r="AG20" t="n">
        <v>-5980</v>
      </c>
      <c r="AH20" t="n">
        <v>-67620</v>
      </c>
      <c r="AI20" t="n">
        <v>0</v>
      </c>
      <c r="AK20" t="inlineStr">
        <is>
          <t>대출철회</t>
        </is>
      </c>
    </row>
    <row r="21">
      <c r="A21" t="inlineStr">
        <is>
          <t>5월</t>
        </is>
      </c>
      <c r="B21" t="inlineStr">
        <is>
          <t>22주차</t>
        </is>
      </c>
      <c r="C21" t="inlineStr">
        <is>
          <t>IM</t>
        </is>
      </c>
      <c r="D21" s="28" t="n">
        <v>46169</v>
      </c>
      <c r="E21" t="inlineStr">
        <is>
          <t>IM캐피탈</t>
        </is>
      </c>
      <c r="F21" t="inlineStr">
        <is>
          <t>이은표</t>
        </is>
      </c>
      <c r="G21" t="inlineStr">
        <is>
          <t>010-8149-0662</t>
        </is>
      </c>
      <c r="H21" t="inlineStr">
        <is>
          <t>322마4043</t>
        </is>
      </c>
      <c r="I21" t="n">
        <v>16000000</v>
      </c>
      <c r="J21" t="n">
        <v>0.049</v>
      </c>
      <c r="K21" t="n">
        <v>1.1</v>
      </c>
      <c r="L21" t="n">
        <v>0.14</v>
      </c>
      <c r="M21" t="n">
        <v>0.96</v>
      </c>
      <c r="P21" t="inlineStr">
        <is>
          <t>박소현</t>
        </is>
      </c>
      <c r="Q21" t="inlineStr">
        <is>
          <t>선상담 / 홈서비스 36개월</t>
        </is>
      </c>
      <c r="Z21" t="n">
        <v>0</v>
      </c>
      <c r="AB21" t="inlineStr">
        <is>
          <t>홈서비스</t>
        </is>
      </c>
      <c r="AC21" t="n">
        <v>176000</v>
      </c>
      <c r="AD21" t="n">
        <v>22400</v>
      </c>
      <c r="AE21" t="n">
        <v>153600</v>
      </c>
      <c r="AF21" t="n">
        <v>160000</v>
      </c>
      <c r="AG21" t="n">
        <v>22400</v>
      </c>
      <c r="AH21" t="n">
        <v>137600</v>
      </c>
      <c r="AI21" t="n">
        <v>0</v>
      </c>
    </row>
    <row r="22">
      <c r="A22" t="inlineStr">
        <is>
          <t>1월</t>
        </is>
      </c>
      <c r="B22" t="inlineStr">
        <is>
          <t>5주차</t>
        </is>
      </c>
      <c r="C22" t="inlineStr">
        <is>
          <t>상환</t>
        </is>
      </c>
      <c r="D22" t="inlineStr">
        <is>
          <t>2026-01-29</t>
        </is>
      </c>
      <c r="E22" t="inlineStr">
        <is>
          <t>현대EP_fast상환</t>
        </is>
      </c>
      <c r="F22" t="inlineStr">
        <is>
          <t>도형준</t>
        </is>
      </c>
      <c r="G22" t="inlineStr">
        <is>
          <t>010-2108-2106</t>
        </is>
      </c>
      <c r="H22" t="inlineStr">
        <is>
          <t>311어9093</t>
        </is>
      </c>
      <c r="I22" t="n">
        <v>-7500000</v>
      </c>
      <c r="J22" t="n">
        <v>0.105</v>
      </c>
      <c r="K22" t="n">
        <v>1.76</v>
      </c>
      <c r="L22" t="n">
        <v>0.13</v>
      </c>
      <c r="M22" t="n">
        <v>1.63</v>
      </c>
      <c r="P22" t="inlineStr">
        <is>
          <t>정광호</t>
        </is>
      </c>
      <c r="Q22" t="inlineStr">
        <is>
          <t>홈서비스 60개월 /*당월철회 20260120</t>
        </is>
      </c>
      <c r="Z22" t="n">
        <v>0</v>
      </c>
      <c r="AB22" t="inlineStr">
        <is>
          <t>홈서비스</t>
        </is>
      </c>
      <c r="AC22" t="n">
        <v>-132000</v>
      </c>
      <c r="AD22" t="n">
        <v>-9750</v>
      </c>
      <c r="AE22" t="n">
        <v>-122250</v>
      </c>
      <c r="AF22" t="n">
        <v>-120000</v>
      </c>
      <c r="AG22" t="n">
        <v>-9750</v>
      </c>
      <c r="AH22" t="n">
        <v>-110250</v>
      </c>
      <c r="AI22" t="n">
        <v>0</v>
      </c>
      <c r="AK22" t="inlineStr">
        <is>
          <t>대출철회</t>
        </is>
      </c>
    </row>
    <row r="23">
      <c r="A23" t="inlineStr">
        <is>
          <t>1월</t>
        </is>
      </c>
      <c r="B23" t="inlineStr">
        <is>
          <t>4주차</t>
        </is>
      </c>
      <c r="C23" t="inlineStr">
        <is>
          <t>상환</t>
        </is>
      </c>
      <c r="D23" t="inlineStr">
        <is>
          <t>2026-01-19</t>
        </is>
      </c>
      <c r="E23" t="inlineStr">
        <is>
          <t>현대EP_fast상환</t>
        </is>
      </c>
      <c r="F23" t="inlineStr">
        <is>
          <t>조한나</t>
        </is>
      </c>
      <c r="G23" t="inlineStr">
        <is>
          <t>010-9052-7041</t>
        </is>
      </c>
      <c r="H23" t="inlineStr">
        <is>
          <t>20러0256</t>
        </is>
      </c>
      <c r="I23" t="n">
        <v>-23000000</v>
      </c>
      <c r="J23" t="n">
        <v>0.097</v>
      </c>
      <c r="K23" t="n">
        <v>1.76</v>
      </c>
      <c r="L23" t="n">
        <v>0.13</v>
      </c>
      <c r="M23" t="n">
        <v>1.63</v>
      </c>
      <c r="P23" t="inlineStr">
        <is>
          <t>정하은</t>
        </is>
      </c>
      <c r="Q23" t="inlineStr">
        <is>
          <t>홈서비스 36개월 /*당월철회 20260123</t>
        </is>
      </c>
      <c r="Z23" t="n">
        <v>0</v>
      </c>
      <c r="AB23" t="inlineStr">
        <is>
          <t>홈서비스</t>
        </is>
      </c>
      <c r="AC23" t="n">
        <v>-404800</v>
      </c>
      <c r="AD23" t="n">
        <v>-29900</v>
      </c>
      <c r="AE23" t="n">
        <v>-374900</v>
      </c>
      <c r="AF23" t="n">
        <v>-368000</v>
      </c>
      <c r="AG23" t="n">
        <v>-29900</v>
      </c>
      <c r="AH23" t="n">
        <v>-338100</v>
      </c>
      <c r="AI23" t="n">
        <v>0</v>
      </c>
      <c r="AK23" t="inlineStr">
        <is>
          <t>대출철회</t>
        </is>
      </c>
    </row>
    <row r="24">
      <c r="A24" t="inlineStr">
        <is>
          <t>1월</t>
        </is>
      </c>
      <c r="B24" t="inlineStr">
        <is>
          <t>5주차</t>
        </is>
      </c>
      <c r="C24" t="inlineStr">
        <is>
          <t>상환</t>
        </is>
      </c>
      <c r="D24" t="inlineStr">
        <is>
          <t>2026-01-28</t>
        </is>
      </c>
      <c r="E24" t="inlineStr">
        <is>
          <t>현대EP_fast상환</t>
        </is>
      </c>
      <c r="F24" t="inlineStr">
        <is>
          <t>강준기</t>
        </is>
      </c>
      <c r="G24" t="inlineStr">
        <is>
          <t>010-4622-9517</t>
        </is>
      </c>
      <c r="H24" t="inlineStr">
        <is>
          <t>289노8326</t>
        </is>
      </c>
      <c r="I24" t="n">
        <v>-30000000</v>
      </c>
      <c r="J24" t="n">
        <v>0.093</v>
      </c>
      <c r="K24" t="n">
        <v>1.76</v>
      </c>
      <c r="L24" t="n">
        <v>0.13</v>
      </c>
      <c r="M24" t="n">
        <v>1.63</v>
      </c>
      <c r="P24" t="inlineStr">
        <is>
          <t>정세빈</t>
        </is>
      </c>
      <c r="Q24" t="inlineStr">
        <is>
          <t>홈서비스 60개월 /*당월철회 20260126</t>
        </is>
      </c>
      <c r="Z24" t="n">
        <v>0</v>
      </c>
      <c r="AB24" t="inlineStr">
        <is>
          <t>홈서비스</t>
        </is>
      </c>
      <c r="AC24" t="n">
        <v>-528000</v>
      </c>
      <c r="AD24" t="n">
        <v>-39000</v>
      </c>
      <c r="AE24" t="n">
        <v>-489000</v>
      </c>
      <c r="AF24" t="n">
        <v>-480000</v>
      </c>
      <c r="AG24" t="n">
        <v>-39000</v>
      </c>
      <c r="AH24" t="n">
        <v>-441000</v>
      </c>
      <c r="AK24" t="inlineStr">
        <is>
          <t>대출철회</t>
        </is>
      </c>
    </row>
    <row r="25">
      <c r="A25" t="inlineStr">
        <is>
          <t>1월</t>
        </is>
      </c>
      <c r="B25" t="inlineStr">
        <is>
          <t>1주차</t>
        </is>
      </c>
      <c r="C25" t="inlineStr">
        <is>
          <t>EP</t>
        </is>
      </c>
      <c r="D25" s="28" t="n">
        <v>46023</v>
      </c>
      <c r="E25" t="inlineStr">
        <is>
          <t>현대EP</t>
        </is>
      </c>
      <c r="F25" t="inlineStr">
        <is>
          <t>손봉기</t>
        </is>
      </c>
      <c r="G25" t="inlineStr">
        <is>
          <t>010-2224-1696</t>
        </is>
      </c>
      <c r="H25" t="inlineStr">
        <is>
          <t>153무2992</t>
        </is>
      </c>
      <c r="I25" t="n">
        <v>4000000</v>
      </c>
      <c r="J25" t="n">
        <v>0.078</v>
      </c>
      <c r="K25" t="n">
        <v>1.76</v>
      </c>
      <c r="L25" t="n">
        <v>0.13</v>
      </c>
      <c r="M25" t="n">
        <v>1.63</v>
      </c>
      <c r="P25" t="inlineStr">
        <is>
          <t>정광호</t>
        </is>
      </c>
      <c r="Q25" t="inlineStr">
        <is>
          <t>홈서비스 48개월</t>
        </is>
      </c>
      <c r="Z25" t="n">
        <v>0</v>
      </c>
      <c r="AB25" t="inlineStr">
        <is>
          <t>홈서비스</t>
        </is>
      </c>
      <c r="AC25" t="n">
        <v>70400</v>
      </c>
      <c r="AD25" t="n">
        <v>5200</v>
      </c>
      <c r="AE25" t="n">
        <v>65200</v>
      </c>
      <c r="AF25" t="n">
        <v>64000</v>
      </c>
      <c r="AG25" t="n">
        <v>5200</v>
      </c>
      <c r="AH25" t="n">
        <v>58800</v>
      </c>
    </row>
    <row r="26">
      <c r="A26" t="inlineStr">
        <is>
          <t>1월</t>
        </is>
      </c>
      <c r="B26" t="inlineStr">
        <is>
          <t>1주차</t>
        </is>
      </c>
      <c r="C26" t="inlineStr">
        <is>
          <t>EP</t>
        </is>
      </c>
      <c r="D26" s="28" t="n">
        <v>46023</v>
      </c>
      <c r="E26" t="inlineStr">
        <is>
          <t>현대EP</t>
        </is>
      </c>
      <c r="F26" t="inlineStr">
        <is>
          <t>강태국</t>
        </is>
      </c>
      <c r="G26" t="inlineStr">
        <is>
          <t>010-8478-0464</t>
        </is>
      </c>
      <c r="H26" t="inlineStr">
        <is>
          <t>18러7584</t>
        </is>
      </c>
      <c r="I26" t="n">
        <v>8000000</v>
      </c>
      <c r="J26" t="n">
        <v>0.101</v>
      </c>
      <c r="K26" t="n">
        <v>1.76</v>
      </c>
      <c r="L26" t="n">
        <v>0.13</v>
      </c>
      <c r="M26" t="n">
        <v>1.63</v>
      </c>
      <c r="P26" t="inlineStr">
        <is>
          <t>최형주</t>
        </is>
      </c>
      <c r="Q26" t="inlineStr">
        <is>
          <t>홈서비스 60개월</t>
        </is>
      </c>
      <c r="Z26" t="n">
        <v>0</v>
      </c>
      <c r="AB26" t="inlineStr">
        <is>
          <t>홈서비스</t>
        </is>
      </c>
      <c r="AC26" t="n">
        <v>140800</v>
      </c>
      <c r="AD26" t="n">
        <v>10400</v>
      </c>
      <c r="AE26" t="n">
        <v>130400</v>
      </c>
      <c r="AF26" t="n">
        <v>128000</v>
      </c>
      <c r="AG26" t="n">
        <v>10400</v>
      </c>
      <c r="AH26" t="n">
        <v>117600</v>
      </c>
    </row>
    <row r="27">
      <c r="A27" t="inlineStr">
        <is>
          <t>5월</t>
        </is>
      </c>
      <c r="B27" t="inlineStr">
        <is>
          <t>22주차</t>
        </is>
      </c>
      <c r="C27" t="inlineStr">
        <is>
          <t>IM</t>
        </is>
      </c>
      <c r="D27" s="28" t="n">
        <v>46169</v>
      </c>
      <c r="E27" t="inlineStr">
        <is>
          <t>IM캐피탈</t>
        </is>
      </c>
      <c r="F27" t="inlineStr">
        <is>
          <t>임창희</t>
        </is>
      </c>
      <c r="G27" t="inlineStr">
        <is>
          <t>010-8747-0910</t>
        </is>
      </c>
      <c r="H27" t="inlineStr">
        <is>
          <t>306구7082</t>
        </is>
      </c>
      <c r="I27" t="n">
        <v>42000000</v>
      </c>
      <c r="J27" t="n">
        <v>0.049</v>
      </c>
      <c r="K27" t="n">
        <v>1.1</v>
      </c>
      <c r="L27" t="n">
        <v>0.14</v>
      </c>
      <c r="M27" t="n">
        <v>0.96</v>
      </c>
      <c r="P27" t="inlineStr">
        <is>
          <t>박소현</t>
        </is>
      </c>
      <c r="Q27" t="inlineStr">
        <is>
          <t>선상담 / 홈서비스 60개월</t>
        </is>
      </c>
      <c r="Z27" t="n">
        <v>0</v>
      </c>
      <c r="AB27" t="inlineStr">
        <is>
          <t>홈서비스</t>
        </is>
      </c>
      <c r="AC27" t="n">
        <v>462000</v>
      </c>
      <c r="AD27" t="n">
        <v>58800</v>
      </c>
      <c r="AE27" t="n">
        <v>403200</v>
      </c>
      <c r="AF27" t="n">
        <v>420000</v>
      </c>
      <c r="AG27" t="n">
        <v>58800</v>
      </c>
      <c r="AH27" t="n">
        <v>361200</v>
      </c>
    </row>
    <row r="28">
      <c r="A28" t="inlineStr">
        <is>
          <t>1월</t>
        </is>
      </c>
      <c r="B28" t="inlineStr">
        <is>
          <t>1주차</t>
        </is>
      </c>
      <c r="C28" t="inlineStr">
        <is>
          <t>EP</t>
        </is>
      </c>
      <c r="D28" s="28" t="n">
        <v>46024</v>
      </c>
      <c r="E28" t="inlineStr">
        <is>
          <t>현대EP_fast</t>
        </is>
      </c>
      <c r="F28" t="inlineStr">
        <is>
          <t>이정호</t>
        </is>
      </c>
      <c r="G28" t="inlineStr">
        <is>
          <t>010-4571-7976</t>
        </is>
      </c>
      <c r="H28" t="inlineStr">
        <is>
          <t>255러3776</t>
        </is>
      </c>
      <c r="I28" t="n">
        <v>13300000</v>
      </c>
      <c r="J28" t="n">
        <v>0.097</v>
      </c>
      <c r="K28" t="n">
        <v>1.76</v>
      </c>
      <c r="L28" t="n">
        <v>0.13</v>
      </c>
      <c r="M28" t="n">
        <v>1.63</v>
      </c>
      <c r="P28" t="inlineStr">
        <is>
          <t>정세빈</t>
        </is>
      </c>
      <c r="Q28" t="inlineStr">
        <is>
          <t>홈서비스 60개월 / 고객주도체결</t>
        </is>
      </c>
      <c r="Z28" t="n">
        <v>0</v>
      </c>
      <c r="AB28" t="inlineStr">
        <is>
          <t>홈서비스</t>
        </is>
      </c>
      <c r="AC28" t="n">
        <v>234080</v>
      </c>
      <c r="AD28" t="n">
        <v>17290</v>
      </c>
      <c r="AE28" t="n">
        <v>216790</v>
      </c>
      <c r="AF28" t="n">
        <v>212800</v>
      </c>
      <c r="AG28" t="n">
        <v>17290</v>
      </c>
      <c r="AH28" t="n">
        <v>195510</v>
      </c>
    </row>
    <row r="29">
      <c r="A29" t="inlineStr">
        <is>
          <t>1월</t>
        </is>
      </c>
      <c r="B29" t="inlineStr">
        <is>
          <t>1주차</t>
        </is>
      </c>
      <c r="C29" t="inlineStr">
        <is>
          <t>EP</t>
        </is>
      </c>
      <c r="D29" s="28" t="n">
        <v>46024</v>
      </c>
      <c r="E29" t="inlineStr">
        <is>
          <t>현대EP_fast</t>
        </is>
      </c>
      <c r="F29" t="inlineStr">
        <is>
          <t>문용진</t>
        </is>
      </c>
      <c r="G29" t="inlineStr">
        <is>
          <t>010-8227-6361</t>
        </is>
      </c>
      <c r="H29" t="inlineStr">
        <is>
          <t>64마3681</t>
        </is>
      </c>
      <c r="I29" t="n">
        <v>4200000</v>
      </c>
      <c r="J29" t="n">
        <v>0.115</v>
      </c>
      <c r="K29" t="n">
        <v>1.76</v>
      </c>
      <c r="L29" t="n">
        <v>0.13</v>
      </c>
      <c r="M29" t="n">
        <v>1.63</v>
      </c>
      <c r="P29" t="inlineStr">
        <is>
          <t>정광호</t>
        </is>
      </c>
      <c r="Q29" t="inlineStr">
        <is>
          <t>홈서비스 24개월</t>
        </is>
      </c>
      <c r="Z29" t="n">
        <v>0</v>
      </c>
      <c r="AB29" t="inlineStr">
        <is>
          <t>홈서비스</t>
        </is>
      </c>
      <c r="AC29" t="n">
        <v>73920</v>
      </c>
      <c r="AD29" t="n">
        <v>5460</v>
      </c>
      <c r="AE29" t="n">
        <v>68460</v>
      </c>
      <c r="AF29" t="n">
        <v>67200</v>
      </c>
      <c r="AG29" t="n">
        <v>5460</v>
      </c>
      <c r="AH29" t="n">
        <v>61740</v>
      </c>
    </row>
    <row r="30">
      <c r="A30" t="inlineStr">
        <is>
          <t>1월</t>
        </is>
      </c>
      <c r="B30" t="inlineStr">
        <is>
          <t>4주차</t>
        </is>
      </c>
      <c r="C30" t="inlineStr">
        <is>
          <t>상환</t>
        </is>
      </c>
      <c r="D30" t="inlineStr">
        <is>
          <t>2026-01-22</t>
        </is>
      </c>
      <c r="E30" t="inlineStr">
        <is>
          <t>현대EP_fast상환</t>
        </is>
      </c>
      <c r="F30" t="inlineStr">
        <is>
          <t>한효빈</t>
        </is>
      </c>
      <c r="G30" t="inlineStr">
        <is>
          <t>010-7383-9054</t>
        </is>
      </c>
      <c r="H30" t="inlineStr">
        <is>
          <t>173다5045</t>
        </is>
      </c>
      <c r="I30" t="n">
        <v>-18600000</v>
      </c>
      <c r="J30" t="n">
        <v>0.08699999999999999</v>
      </c>
      <c r="K30" t="n">
        <v>1.76</v>
      </c>
      <c r="L30" t="n">
        <v>0.13</v>
      </c>
      <c r="M30" t="n">
        <v>1.63</v>
      </c>
      <c r="P30" t="inlineStr">
        <is>
          <t>박현민</t>
        </is>
      </c>
      <c r="Q30" t="inlineStr">
        <is>
          <t>홈서비스 24개월 /*당월철회 20260109</t>
        </is>
      </c>
      <c r="Z30" t="n">
        <v>0</v>
      </c>
      <c r="AB30" t="inlineStr">
        <is>
          <t>홈서비스</t>
        </is>
      </c>
      <c r="AC30" t="n">
        <v>-327360</v>
      </c>
      <c r="AD30" t="n">
        <v>-24180</v>
      </c>
      <c r="AE30" t="n">
        <v>-303180</v>
      </c>
      <c r="AF30" t="n">
        <v>-297600</v>
      </c>
      <c r="AG30" t="n">
        <v>-24180</v>
      </c>
      <c r="AH30" t="n">
        <v>-273420</v>
      </c>
      <c r="AI30" t="n">
        <v>0</v>
      </c>
      <c r="AK30" t="inlineStr">
        <is>
          <t>대출철회</t>
        </is>
      </c>
    </row>
    <row r="31">
      <c r="A31" t="inlineStr">
        <is>
          <t>1월</t>
        </is>
      </c>
      <c r="B31" t="inlineStr">
        <is>
          <t>1주차</t>
        </is>
      </c>
      <c r="C31" t="inlineStr">
        <is>
          <t>EP</t>
        </is>
      </c>
      <c r="D31" s="28" t="n">
        <v>46024</v>
      </c>
      <c r="E31" t="inlineStr">
        <is>
          <t>현대EP_fast</t>
        </is>
      </c>
      <c r="F31" t="inlineStr">
        <is>
          <t>정민일</t>
        </is>
      </c>
      <c r="G31" t="inlineStr">
        <is>
          <t>010-9744-9736</t>
        </is>
      </c>
      <c r="H31" t="inlineStr">
        <is>
          <t>15모1967</t>
        </is>
      </c>
      <c r="I31" t="n">
        <v>11900000</v>
      </c>
      <c r="J31" t="n">
        <v>0.08500000000000001</v>
      </c>
      <c r="K31" t="n">
        <v>1.76</v>
      </c>
      <c r="L31" t="n">
        <v>0.4</v>
      </c>
      <c r="M31" t="n">
        <v>1.36</v>
      </c>
      <c r="P31" t="inlineStr">
        <is>
          <t>박보람</t>
        </is>
      </c>
      <c r="Z31" t="n">
        <v>0</v>
      </c>
      <c r="AB31" t="inlineStr">
        <is>
          <t>엔카</t>
        </is>
      </c>
      <c r="AC31" t="n">
        <v>209440</v>
      </c>
      <c r="AD31" t="n">
        <v>47600</v>
      </c>
      <c r="AE31" t="n">
        <v>161840</v>
      </c>
      <c r="AF31" t="n">
        <v>190400</v>
      </c>
      <c r="AG31" t="n">
        <v>47600</v>
      </c>
      <c r="AH31" t="n">
        <v>142800</v>
      </c>
    </row>
    <row r="32">
      <c r="A32" t="inlineStr">
        <is>
          <t>5월</t>
        </is>
      </c>
      <c r="B32" t="inlineStr">
        <is>
          <t>22주차</t>
        </is>
      </c>
      <c r="C32" t="inlineStr">
        <is>
          <t>IM</t>
        </is>
      </c>
      <c r="D32" s="28" t="n">
        <v>46169</v>
      </c>
      <c r="E32" t="inlineStr">
        <is>
          <t>IM캐피탈</t>
        </is>
      </c>
      <c r="F32" t="inlineStr">
        <is>
          <t>박슬기</t>
        </is>
      </c>
      <c r="G32" t="inlineStr">
        <is>
          <t>010-6328-0119</t>
        </is>
      </c>
      <c r="H32" t="inlineStr">
        <is>
          <t>396조5922</t>
        </is>
      </c>
      <c r="I32" t="n">
        <v>47200000</v>
      </c>
      <c r="J32" t="n">
        <v>0.045</v>
      </c>
      <c r="K32" t="n">
        <v>1.1</v>
      </c>
      <c r="L32" t="n">
        <v>0.14</v>
      </c>
      <c r="M32" t="n">
        <v>0.96</v>
      </c>
      <c r="P32" t="inlineStr">
        <is>
          <t>김수연</t>
        </is>
      </c>
      <c r="Q32" t="inlineStr">
        <is>
          <t>홈서비스 84개월</t>
        </is>
      </c>
      <c r="Z32" t="n">
        <v>0</v>
      </c>
      <c r="AB32" t="inlineStr">
        <is>
          <t>홈서비스</t>
        </is>
      </c>
      <c r="AC32" t="n">
        <v>519200</v>
      </c>
      <c r="AD32" t="n">
        <v>66080</v>
      </c>
      <c r="AE32" t="n">
        <v>453120</v>
      </c>
      <c r="AF32" t="n">
        <v>472000</v>
      </c>
      <c r="AG32" t="n">
        <v>66080</v>
      </c>
      <c r="AH32" t="n">
        <v>405920</v>
      </c>
      <c r="AI32" t="n">
        <v>0</v>
      </c>
    </row>
    <row r="33">
      <c r="A33" t="inlineStr">
        <is>
          <t>1월</t>
        </is>
      </c>
      <c r="B33" t="inlineStr">
        <is>
          <t>3주차</t>
        </is>
      </c>
      <c r="C33" t="inlineStr">
        <is>
          <t>상환</t>
        </is>
      </c>
      <c r="D33" t="inlineStr">
        <is>
          <t>2026-01-15</t>
        </is>
      </c>
      <c r="E33" t="inlineStr">
        <is>
          <t>현대EP_fast상환</t>
        </is>
      </c>
      <c r="F33" t="inlineStr">
        <is>
          <t>김국현</t>
        </is>
      </c>
      <c r="G33" t="inlineStr">
        <is>
          <t>010-3142-8779</t>
        </is>
      </c>
      <c r="H33" t="inlineStr">
        <is>
          <t>15루1661</t>
        </is>
      </c>
      <c r="I33" t="n">
        <v>-9900000</v>
      </c>
      <c r="J33" t="n">
        <v>0.067</v>
      </c>
      <c r="K33" t="n">
        <v>1.76</v>
      </c>
      <c r="L33" t="n">
        <v>0.13</v>
      </c>
      <c r="M33" t="n">
        <v>1.63</v>
      </c>
      <c r="P33" t="inlineStr">
        <is>
          <t>최형주</t>
        </is>
      </c>
      <c r="Q33" t="inlineStr">
        <is>
          <t>홈서비스 36개월 / *12월실행 1월 중도상환 20260115</t>
        </is>
      </c>
      <c r="Z33" t="n">
        <v>0</v>
      </c>
      <c r="AB33" t="inlineStr">
        <is>
          <t>홈서비스</t>
        </is>
      </c>
      <c r="AC33" t="n">
        <v>-174240</v>
      </c>
      <c r="AD33" t="n">
        <v>-12870</v>
      </c>
      <c r="AE33" t="n">
        <v>-161370</v>
      </c>
      <c r="AF33" t="n">
        <v>-158400</v>
      </c>
      <c r="AG33" t="n">
        <v>-12870</v>
      </c>
      <c r="AH33" t="n">
        <v>-145530</v>
      </c>
      <c r="AI33" t="n">
        <v>0</v>
      </c>
      <c r="AK33" t="inlineStr">
        <is>
          <t>중도상환</t>
        </is>
      </c>
    </row>
    <row r="34">
      <c r="A34" t="inlineStr">
        <is>
          <t>1월</t>
        </is>
      </c>
      <c r="B34" t="inlineStr">
        <is>
          <t>1주차</t>
        </is>
      </c>
      <c r="C34" t="inlineStr">
        <is>
          <t>EP</t>
        </is>
      </c>
      <c r="D34" s="28" t="n">
        <v>46024</v>
      </c>
      <c r="E34" t="inlineStr">
        <is>
          <t>현대EP_fast</t>
        </is>
      </c>
      <c r="F34" t="inlineStr">
        <is>
          <t>민경훈</t>
        </is>
      </c>
      <c r="G34" t="inlineStr">
        <is>
          <t>010-2052-2054</t>
        </is>
      </c>
      <c r="H34" t="inlineStr">
        <is>
          <t>183고3112</t>
        </is>
      </c>
      <c r="I34" t="n">
        <v>19900000</v>
      </c>
      <c r="J34" t="n">
        <v>0.068</v>
      </c>
      <c r="K34" t="n">
        <v>1.76</v>
      </c>
      <c r="L34" t="n">
        <v>0.13</v>
      </c>
      <c r="M34" t="n">
        <v>1.63</v>
      </c>
      <c r="P34" t="inlineStr">
        <is>
          <t>정세빈</t>
        </is>
      </c>
      <c r="Q34" t="inlineStr">
        <is>
          <t>홈서비스 60개월 / 카피아알선</t>
        </is>
      </c>
      <c r="Z34" t="n">
        <v>0</v>
      </c>
      <c r="AB34" t="inlineStr">
        <is>
          <t>홈서비스</t>
        </is>
      </c>
      <c r="AC34" t="n">
        <v>350240</v>
      </c>
      <c r="AD34" t="n">
        <v>25870</v>
      </c>
      <c r="AE34" t="n">
        <v>324370</v>
      </c>
      <c r="AF34" t="n">
        <v>318400</v>
      </c>
      <c r="AG34" t="n">
        <v>25870</v>
      </c>
      <c r="AH34" t="n">
        <v>292530</v>
      </c>
      <c r="AI34" t="n">
        <v>0</v>
      </c>
    </row>
    <row r="35">
      <c r="A35" t="inlineStr">
        <is>
          <t>5월</t>
        </is>
      </c>
      <c r="B35" t="inlineStr">
        <is>
          <t>21주차</t>
        </is>
      </c>
      <c r="C35" t="inlineStr">
        <is>
          <t>IM</t>
        </is>
      </c>
      <c r="D35" s="28" t="n">
        <v>46164</v>
      </c>
      <c r="E35" t="inlineStr">
        <is>
          <t>IM캐피탈</t>
        </is>
      </c>
      <c r="F35" t="inlineStr">
        <is>
          <t>이광희</t>
        </is>
      </c>
      <c r="G35" t="inlineStr">
        <is>
          <t>010-8572-7875</t>
        </is>
      </c>
      <c r="H35" t="inlineStr">
        <is>
          <t>48거3082</t>
        </is>
      </c>
      <c r="I35" t="n">
        <v>18000000</v>
      </c>
      <c r="J35" t="n">
        <v>0.045</v>
      </c>
      <c r="K35" t="n">
        <v>1.1</v>
      </c>
      <c r="L35" t="n">
        <v>0.4</v>
      </c>
      <c r="M35" t="n">
        <v>0.7</v>
      </c>
      <c r="P35" t="inlineStr">
        <is>
          <t>장현경</t>
        </is>
      </c>
      <c r="Z35" t="n">
        <v>0</v>
      </c>
      <c r="AB35" t="inlineStr">
        <is>
          <t>엔카</t>
        </is>
      </c>
      <c r="AC35" t="n">
        <v>198000</v>
      </c>
      <c r="AD35" t="n">
        <v>72000</v>
      </c>
      <c r="AE35" t="n">
        <v>126000</v>
      </c>
      <c r="AF35" t="n">
        <v>180000</v>
      </c>
      <c r="AG35" t="n">
        <v>72000</v>
      </c>
      <c r="AH35" t="n">
        <v>108000</v>
      </c>
      <c r="AI35" t="n">
        <v>0</v>
      </c>
    </row>
    <row r="36">
      <c r="A36" t="inlineStr">
        <is>
          <t>5월</t>
        </is>
      </c>
      <c r="B36" t="inlineStr">
        <is>
          <t>22주차</t>
        </is>
      </c>
      <c r="C36" t="inlineStr">
        <is>
          <t>EP</t>
        </is>
      </c>
      <c r="D36" s="28" t="n">
        <v>46169</v>
      </c>
      <c r="E36" t="inlineStr">
        <is>
          <t>현대EP_fast</t>
        </is>
      </c>
      <c r="F36" t="inlineStr">
        <is>
          <t>안하랑</t>
        </is>
      </c>
      <c r="G36" t="inlineStr">
        <is>
          <t>010-9506-0963</t>
        </is>
      </c>
      <c r="H36" t="inlineStr">
        <is>
          <t>268루5044</t>
        </is>
      </c>
      <c r="I36" t="n">
        <v>26700000</v>
      </c>
      <c r="J36" t="n">
        <v>0.089</v>
      </c>
      <c r="K36" t="n">
        <v>1.76</v>
      </c>
      <c r="L36" t="n">
        <v>0.14</v>
      </c>
      <c r="M36" t="n">
        <v>1.62</v>
      </c>
      <c r="P36" t="inlineStr">
        <is>
          <t>임대경</t>
        </is>
      </c>
      <c r="Q36" t="inlineStr">
        <is>
          <t>홈서비스 60개월</t>
        </is>
      </c>
      <c r="Z36" t="n">
        <v>0</v>
      </c>
      <c r="AB36" t="inlineStr">
        <is>
          <t>홈서비스</t>
        </is>
      </c>
      <c r="AC36" t="n">
        <v>469920</v>
      </c>
      <c r="AD36" t="n">
        <v>37380</v>
      </c>
      <c r="AE36" t="n">
        <v>432540</v>
      </c>
      <c r="AF36" t="n">
        <v>427200</v>
      </c>
      <c r="AG36" t="n">
        <v>37380</v>
      </c>
      <c r="AH36" t="n">
        <v>389820</v>
      </c>
      <c r="AI36" t="n">
        <v>0</v>
      </c>
    </row>
    <row r="37">
      <c r="A37" t="inlineStr">
        <is>
          <t>1월</t>
        </is>
      </c>
      <c r="B37" t="inlineStr">
        <is>
          <t>5주차</t>
        </is>
      </c>
      <c r="C37" t="inlineStr">
        <is>
          <t>상환</t>
        </is>
      </c>
      <c r="D37" t="inlineStr">
        <is>
          <t>2026-01-26</t>
        </is>
      </c>
      <c r="E37" t="inlineStr">
        <is>
          <t>현대EP_fast상환</t>
        </is>
      </c>
      <c r="F37" t="inlineStr">
        <is>
          <t>박영일</t>
        </is>
      </c>
      <c r="G37" t="inlineStr">
        <is>
          <t>010-4239-7002</t>
        </is>
      </c>
      <c r="H37" t="inlineStr">
        <is>
          <t>322오7853</t>
        </is>
      </c>
      <c r="I37" t="n">
        <v>-22500000</v>
      </c>
      <c r="J37" t="n">
        <v>0.124</v>
      </c>
      <c r="K37" t="n">
        <v>1.76</v>
      </c>
      <c r="L37" t="n">
        <v>0.13</v>
      </c>
      <c r="M37" t="n">
        <v>1.63</v>
      </c>
      <c r="P37" t="inlineStr">
        <is>
          <t>장현경</t>
        </is>
      </c>
      <c r="Q37" t="inlineStr">
        <is>
          <t>선상담 / 홈서비스 36개월 /*당월철회 20260128</t>
        </is>
      </c>
      <c r="Z37" t="n">
        <v>0</v>
      </c>
      <c r="AB37" t="inlineStr">
        <is>
          <t>홈서비스</t>
        </is>
      </c>
      <c r="AC37" t="n">
        <v>-396000</v>
      </c>
      <c r="AD37" t="n">
        <v>-29250</v>
      </c>
      <c r="AE37" t="n">
        <v>-366750</v>
      </c>
      <c r="AF37" t="n">
        <v>-360000</v>
      </c>
      <c r="AG37" t="n">
        <v>-29250</v>
      </c>
      <c r="AH37" t="n">
        <v>-330750</v>
      </c>
      <c r="AK37" t="inlineStr">
        <is>
          <t>대출철회</t>
        </is>
      </c>
    </row>
    <row r="38">
      <c r="A38" t="inlineStr">
        <is>
          <t>1월</t>
        </is>
      </c>
      <c r="B38" t="inlineStr">
        <is>
          <t>5주차</t>
        </is>
      </c>
      <c r="C38" t="inlineStr">
        <is>
          <t>상환</t>
        </is>
      </c>
      <c r="D38" t="inlineStr">
        <is>
          <t>2026-01-30</t>
        </is>
      </c>
      <c r="E38" t="inlineStr">
        <is>
          <t>현대EP상환</t>
        </is>
      </c>
      <c r="F38" t="inlineStr">
        <is>
          <t>정윤호</t>
        </is>
      </c>
      <c r="G38" t="inlineStr">
        <is>
          <t>010-5258-3590</t>
        </is>
      </c>
      <c r="H38" t="inlineStr">
        <is>
          <t>43머0977</t>
        </is>
      </c>
      <c r="I38" t="n">
        <v>-6000000</v>
      </c>
      <c r="J38" t="n">
        <v>0.06900000000000001</v>
      </c>
      <c r="K38" t="n">
        <v>1.76</v>
      </c>
      <c r="L38" t="n">
        <v>0.13</v>
      </c>
      <c r="M38" t="n">
        <v>1.63</v>
      </c>
      <c r="P38" t="inlineStr">
        <is>
          <t>박현민</t>
        </is>
      </c>
      <c r="Q38" t="inlineStr">
        <is>
          <t>홈서비스 24개월/ *중도상환 20260130</t>
        </is>
      </c>
      <c r="Z38" t="n">
        <v>0</v>
      </c>
      <c r="AB38" t="inlineStr">
        <is>
          <t>홈서비스</t>
        </is>
      </c>
      <c r="AC38" t="n">
        <v>-105600</v>
      </c>
      <c r="AD38" t="n">
        <v>-7800</v>
      </c>
      <c r="AE38" t="n">
        <v>-97800</v>
      </c>
      <c r="AF38" t="n">
        <v>-96000</v>
      </c>
      <c r="AG38" t="n">
        <v>-7800</v>
      </c>
      <c r="AH38" t="n">
        <v>-88200</v>
      </c>
      <c r="AI38" t="n">
        <v>0</v>
      </c>
      <c r="AK38" t="inlineStr">
        <is>
          <t>중도상환</t>
        </is>
      </c>
    </row>
    <row r="39">
      <c r="A39" t="inlineStr">
        <is>
          <t>1월</t>
        </is>
      </c>
      <c r="B39" t="inlineStr">
        <is>
          <t>5주차</t>
        </is>
      </c>
      <c r="C39" t="inlineStr">
        <is>
          <t>상환</t>
        </is>
      </c>
      <c r="D39" t="inlineStr">
        <is>
          <t>2026-01-27</t>
        </is>
      </c>
      <c r="E39" t="inlineStr">
        <is>
          <t>현대EP_fast상환</t>
        </is>
      </c>
      <c r="F39" t="inlineStr">
        <is>
          <t>박겸주</t>
        </is>
      </c>
      <c r="G39" t="inlineStr">
        <is>
          <t>010-3567-6608</t>
        </is>
      </c>
      <c r="H39" t="inlineStr">
        <is>
          <t>52소3933</t>
        </is>
      </c>
      <c r="I39" t="n">
        <v>-16600000</v>
      </c>
      <c r="J39" t="n">
        <v>0.115</v>
      </c>
      <c r="K39" t="n">
        <v>1.76</v>
      </c>
      <c r="L39" t="n">
        <v>0.13</v>
      </c>
      <c r="M39" t="n">
        <v>1.63</v>
      </c>
      <c r="P39" t="inlineStr">
        <is>
          <t>최혁</t>
        </is>
      </c>
      <c r="Q39" t="inlineStr">
        <is>
          <t>홈서비스36개월 /*당월철회 20260123</t>
        </is>
      </c>
      <c r="Z39" t="n">
        <v>0</v>
      </c>
      <c r="AB39" t="inlineStr">
        <is>
          <t>홈서비스</t>
        </is>
      </c>
      <c r="AC39" t="n">
        <v>-292160</v>
      </c>
      <c r="AD39" t="n">
        <v>-21580</v>
      </c>
      <c r="AE39" t="n">
        <v>-270580</v>
      </c>
      <c r="AF39" t="n">
        <v>-265600</v>
      </c>
      <c r="AG39" t="n">
        <v>-21580</v>
      </c>
      <c r="AH39" t="n">
        <v>-244020</v>
      </c>
      <c r="AI39" t="n">
        <v>0</v>
      </c>
      <c r="AK39" t="inlineStr">
        <is>
          <t>대출철회</t>
        </is>
      </c>
    </row>
    <row r="40">
      <c r="A40" t="inlineStr">
        <is>
          <t>1월</t>
        </is>
      </c>
      <c r="B40" t="inlineStr">
        <is>
          <t>1주차</t>
        </is>
      </c>
      <c r="C40" t="inlineStr">
        <is>
          <t>IM</t>
        </is>
      </c>
      <c r="D40" s="28" t="n">
        <v>46024</v>
      </c>
      <c r="E40" t="inlineStr">
        <is>
          <t>IM캐피탈</t>
        </is>
      </c>
      <c r="F40" t="inlineStr">
        <is>
          <t>문남기</t>
        </is>
      </c>
      <c r="G40" t="inlineStr">
        <is>
          <t>010-8529-9181</t>
        </is>
      </c>
      <c r="H40" t="inlineStr">
        <is>
          <t>258조3410</t>
        </is>
      </c>
      <c r="I40" t="n">
        <v>50000000</v>
      </c>
      <c r="J40" t="n">
        <v>0.049</v>
      </c>
      <c r="K40" t="n">
        <v>0.55</v>
      </c>
      <c r="L40" t="n">
        <v>0.13</v>
      </c>
      <c r="M40" t="n">
        <v>0.42</v>
      </c>
      <c r="P40" t="inlineStr">
        <is>
          <t>박현민</t>
        </is>
      </c>
      <c r="Q40" t="inlineStr">
        <is>
          <t>홈서비스 36개월 / 사유 : 금리불만</t>
        </is>
      </c>
      <c r="Z40" t="n">
        <v>0</v>
      </c>
      <c r="AB40" t="inlineStr">
        <is>
          <t>홈서비스</t>
        </is>
      </c>
      <c r="AC40" t="n">
        <v>275000</v>
      </c>
      <c r="AD40" t="n">
        <v>65000</v>
      </c>
      <c r="AE40" t="n">
        <v>210000</v>
      </c>
      <c r="AF40" t="n">
        <v>250000</v>
      </c>
      <c r="AG40" t="n">
        <v>65000</v>
      </c>
      <c r="AH40" t="n">
        <v>185000</v>
      </c>
      <c r="AI40" t="n">
        <v>0</v>
      </c>
    </row>
    <row r="41">
      <c r="A41" t="inlineStr">
        <is>
          <t>1월</t>
        </is>
      </c>
      <c r="B41" t="inlineStr">
        <is>
          <t>1주차</t>
        </is>
      </c>
      <c r="C41" t="inlineStr">
        <is>
          <t>IM</t>
        </is>
      </c>
      <c r="D41" s="28" t="n">
        <v>46024</v>
      </c>
      <c r="E41" t="inlineStr">
        <is>
          <t>IM캐피탈</t>
        </is>
      </c>
      <c r="F41" t="inlineStr">
        <is>
          <t>강인구</t>
        </is>
      </c>
      <c r="G41" t="inlineStr">
        <is>
          <t>010-4810-3562</t>
        </is>
      </c>
      <c r="H41" t="inlineStr">
        <is>
          <t>303부3477</t>
        </is>
      </c>
      <c r="I41" t="n">
        <v>32700000</v>
      </c>
      <c r="J41" t="n">
        <v>0.039</v>
      </c>
      <c r="K41" t="n">
        <v>0.55</v>
      </c>
      <c r="L41" t="n">
        <v>0.13</v>
      </c>
      <c r="M41" t="n">
        <v>0.42</v>
      </c>
      <c r="P41" t="inlineStr">
        <is>
          <t>황채이</t>
        </is>
      </c>
      <c r="Q41" t="inlineStr">
        <is>
          <t>홈서비스 60개월 / 사유 : 금리불만</t>
        </is>
      </c>
      <c r="Z41" t="n">
        <v>0</v>
      </c>
      <c r="AB41" t="inlineStr">
        <is>
          <t>홈서비스</t>
        </is>
      </c>
      <c r="AC41" t="n">
        <v>179850</v>
      </c>
      <c r="AD41" t="n">
        <v>42510</v>
      </c>
      <c r="AE41" t="n">
        <v>137340</v>
      </c>
      <c r="AF41" t="n">
        <v>163500</v>
      </c>
      <c r="AG41" t="n">
        <v>42510</v>
      </c>
      <c r="AH41" t="n">
        <v>120990</v>
      </c>
      <c r="AI41" t="n">
        <v>0</v>
      </c>
    </row>
    <row r="42">
      <c r="A42" t="inlineStr">
        <is>
          <t>1월</t>
        </is>
      </c>
      <c r="B42" t="inlineStr">
        <is>
          <t>1주차</t>
        </is>
      </c>
      <c r="C42" t="inlineStr">
        <is>
          <t>EP</t>
        </is>
      </c>
      <c r="D42" s="28" t="n">
        <v>46023</v>
      </c>
      <c r="E42" t="inlineStr">
        <is>
          <t>현대EP</t>
        </is>
      </c>
      <c r="F42" t="inlineStr">
        <is>
          <t>이정윤</t>
        </is>
      </c>
      <c r="G42" t="inlineStr">
        <is>
          <t>010-4111-2291</t>
        </is>
      </c>
      <c r="H42" t="inlineStr">
        <is>
          <t>369부9945</t>
        </is>
      </c>
      <c r="I42" t="n">
        <v>8900000</v>
      </c>
      <c r="J42" t="n">
        <v>0.079</v>
      </c>
      <c r="K42" t="n">
        <v>1.76</v>
      </c>
      <c r="L42" t="n">
        <v>0.13</v>
      </c>
      <c r="M42" t="n">
        <v>1.63</v>
      </c>
      <c r="P42" t="inlineStr">
        <is>
          <t>최혁</t>
        </is>
      </c>
      <c r="Q42" t="inlineStr">
        <is>
          <t>홈서비스 48개월</t>
        </is>
      </c>
      <c r="Z42" t="n">
        <v>0</v>
      </c>
      <c r="AB42" t="inlineStr">
        <is>
          <t>홈서비스</t>
        </is>
      </c>
      <c r="AC42" t="n">
        <v>156640</v>
      </c>
      <c r="AD42" t="n">
        <v>11570</v>
      </c>
      <c r="AE42" t="n">
        <v>145070</v>
      </c>
      <c r="AF42" t="n">
        <v>142400</v>
      </c>
      <c r="AG42" t="n">
        <v>11570</v>
      </c>
      <c r="AH42" t="n">
        <v>130830</v>
      </c>
      <c r="AI42" t="n">
        <v>0</v>
      </c>
    </row>
    <row r="43">
      <c r="A43" t="inlineStr">
        <is>
          <t>1월</t>
        </is>
      </c>
      <c r="B43" t="inlineStr">
        <is>
          <t>1주차</t>
        </is>
      </c>
      <c r="C43" t="inlineStr">
        <is>
          <t>IM</t>
        </is>
      </c>
      <c r="D43" s="28" t="n">
        <v>46024</v>
      </c>
      <c r="E43" t="inlineStr">
        <is>
          <t>IM캐피탈</t>
        </is>
      </c>
      <c r="F43" t="inlineStr">
        <is>
          <t>유재욱</t>
        </is>
      </c>
      <c r="G43" t="inlineStr">
        <is>
          <t>010-9290-4342</t>
        </is>
      </c>
      <c r="H43" t="inlineStr">
        <is>
          <t>316너5706</t>
        </is>
      </c>
      <c r="I43" t="n">
        <v>18000000</v>
      </c>
      <c r="J43" t="n">
        <v>0.049</v>
      </c>
      <c r="K43" t="n">
        <v>0.55</v>
      </c>
      <c r="L43" t="n">
        <v>0.13</v>
      </c>
      <c r="M43" t="n">
        <v>0.42</v>
      </c>
      <c r="P43" t="inlineStr">
        <is>
          <t>최혁</t>
        </is>
      </c>
      <c r="Q43" t="inlineStr">
        <is>
          <t>홈서비스60개월/ *철회 20260107</t>
        </is>
      </c>
      <c r="Z43" t="n">
        <v>0</v>
      </c>
      <c r="AB43" t="inlineStr">
        <is>
          <t>홈서비스</t>
        </is>
      </c>
      <c r="AC43" t="n">
        <v>99000</v>
      </c>
      <c r="AD43" t="n">
        <v>23400</v>
      </c>
      <c r="AE43" t="n">
        <v>75600</v>
      </c>
      <c r="AF43" t="n">
        <v>90000</v>
      </c>
      <c r="AG43" t="n">
        <v>23400</v>
      </c>
      <c r="AH43" t="n">
        <v>66600</v>
      </c>
      <c r="AI43" t="n">
        <v>0</v>
      </c>
      <c r="AK43" t="inlineStr">
        <is>
          <t>대출철회</t>
        </is>
      </c>
    </row>
    <row r="44">
      <c r="A44" t="inlineStr">
        <is>
          <t>1월</t>
        </is>
      </c>
      <c r="B44" t="inlineStr">
        <is>
          <t>1주차</t>
        </is>
      </c>
      <c r="C44" t="inlineStr">
        <is>
          <t>EP</t>
        </is>
      </c>
      <c r="D44" s="28" t="n">
        <v>46024</v>
      </c>
      <c r="E44" t="inlineStr">
        <is>
          <t>현대EP_fast</t>
        </is>
      </c>
      <c r="F44" t="inlineStr">
        <is>
          <t>변진성</t>
        </is>
      </c>
      <c r="G44" t="inlineStr">
        <is>
          <t>010-5202-8091</t>
        </is>
      </c>
      <c r="H44" t="inlineStr">
        <is>
          <t>720누4482</t>
        </is>
      </c>
      <c r="I44" t="n">
        <v>50000000</v>
      </c>
      <c r="J44" t="n">
        <v>0.06900000000000001</v>
      </c>
      <c r="K44" t="n">
        <v>1.76</v>
      </c>
      <c r="L44" t="n">
        <v>0.13</v>
      </c>
      <c r="M44" t="n">
        <v>1.63</v>
      </c>
      <c r="P44" t="inlineStr">
        <is>
          <t>최형주</t>
        </is>
      </c>
      <c r="Q44" t="inlineStr">
        <is>
          <t>홈서비스 48개월</t>
        </is>
      </c>
      <c r="Z44" t="n">
        <v>0</v>
      </c>
      <c r="AB44" t="inlineStr">
        <is>
          <t>홈서비스</t>
        </is>
      </c>
      <c r="AC44" t="n">
        <v>880000</v>
      </c>
      <c r="AD44" t="n">
        <v>65000</v>
      </c>
      <c r="AE44" t="n">
        <v>815000</v>
      </c>
      <c r="AF44" t="n">
        <v>800000</v>
      </c>
      <c r="AG44" t="n">
        <v>65000</v>
      </c>
      <c r="AH44" t="n">
        <v>735000</v>
      </c>
    </row>
    <row r="45">
      <c r="A45" t="inlineStr">
        <is>
          <t>5월</t>
        </is>
      </c>
      <c r="B45" t="inlineStr">
        <is>
          <t>22주차</t>
        </is>
      </c>
      <c r="C45" t="inlineStr">
        <is>
          <t>EP</t>
        </is>
      </c>
      <c r="D45" s="28" t="n">
        <v>46168</v>
      </c>
      <c r="E45" t="inlineStr">
        <is>
          <t>현대EP_fast</t>
        </is>
      </c>
      <c r="F45" t="inlineStr">
        <is>
          <t>조한민</t>
        </is>
      </c>
      <c r="G45" t="inlineStr">
        <is>
          <t>010-2947-5534</t>
        </is>
      </c>
      <c r="H45" t="inlineStr">
        <is>
          <t>07고0454</t>
        </is>
      </c>
      <c r="I45" t="n">
        <v>10900000</v>
      </c>
      <c r="J45" t="n">
        <v>0.154</v>
      </c>
      <c r="K45" t="n">
        <v>1.76</v>
      </c>
      <c r="L45" t="n">
        <v>0.4</v>
      </c>
      <c r="M45" t="n">
        <v>1.36</v>
      </c>
      <c r="P45" t="inlineStr">
        <is>
          <t>장진경</t>
        </is>
      </c>
      <c r="Q45" t="inlineStr">
        <is>
          <t>고객주도체결</t>
        </is>
      </c>
      <c r="Z45" t="n">
        <v>0</v>
      </c>
      <c r="AB45" t="inlineStr">
        <is>
          <t>엔카</t>
        </is>
      </c>
      <c r="AC45" t="n">
        <v>191840</v>
      </c>
      <c r="AD45" t="n">
        <v>43600</v>
      </c>
      <c r="AE45" t="n">
        <v>148240</v>
      </c>
      <c r="AF45" t="n">
        <v>174400</v>
      </c>
      <c r="AG45" t="n">
        <v>43600</v>
      </c>
      <c r="AH45" t="n">
        <v>130800</v>
      </c>
      <c r="AI45" t="n">
        <v>0</v>
      </c>
    </row>
    <row r="46">
      <c r="A46" t="inlineStr">
        <is>
          <t>1월</t>
        </is>
      </c>
      <c r="B46" t="inlineStr">
        <is>
          <t>1주차</t>
        </is>
      </c>
      <c r="C46" t="inlineStr">
        <is>
          <t>EP</t>
        </is>
      </c>
      <c r="D46" s="28" t="n">
        <v>46024</v>
      </c>
      <c r="E46" t="inlineStr">
        <is>
          <t>현대EP_fast</t>
        </is>
      </c>
      <c r="F46" t="inlineStr">
        <is>
          <t>김동일</t>
        </is>
      </c>
      <c r="G46" t="inlineStr">
        <is>
          <t>010-9418-7395</t>
        </is>
      </c>
      <c r="H46" t="inlineStr">
        <is>
          <t>199더4961</t>
        </is>
      </c>
      <c r="I46" t="n">
        <v>32000000</v>
      </c>
      <c r="J46" t="n">
        <v>0.06900000000000001</v>
      </c>
      <c r="K46" t="n">
        <v>1.76</v>
      </c>
      <c r="L46" t="n">
        <v>0.4</v>
      </c>
      <c r="M46" t="n">
        <v>1.36</v>
      </c>
      <c r="P46" t="inlineStr">
        <is>
          <t>박보람</t>
        </is>
      </c>
      <c r="Q46" t="inlineStr">
        <is>
          <t>브랜드인증차량 / 카피아알선</t>
        </is>
      </c>
      <c r="Z46" t="n">
        <v>0</v>
      </c>
      <c r="AB46" t="inlineStr">
        <is>
          <t>엔카</t>
        </is>
      </c>
      <c r="AC46" t="n">
        <v>563200</v>
      </c>
      <c r="AD46" t="n">
        <v>128000</v>
      </c>
      <c r="AE46" t="n">
        <v>435200</v>
      </c>
      <c r="AF46" t="n">
        <v>512000</v>
      </c>
      <c r="AG46" t="n">
        <v>128000</v>
      </c>
      <c r="AH46" t="n">
        <v>384000</v>
      </c>
    </row>
    <row r="47">
      <c r="A47" t="inlineStr">
        <is>
          <t>1월</t>
        </is>
      </c>
      <c r="B47" t="inlineStr">
        <is>
          <t>1주차</t>
        </is>
      </c>
      <c r="C47" t="inlineStr">
        <is>
          <t>EP</t>
        </is>
      </c>
      <c r="D47" s="28" t="n">
        <v>46024</v>
      </c>
      <c r="E47" t="inlineStr">
        <is>
          <t>현대EP</t>
        </is>
      </c>
      <c r="F47" t="inlineStr">
        <is>
          <t>우경택</t>
        </is>
      </c>
      <c r="G47" t="inlineStr">
        <is>
          <t>010-4140-6556</t>
        </is>
      </c>
      <c r="H47" t="inlineStr">
        <is>
          <t>117무1418</t>
        </is>
      </c>
      <c r="I47" t="n">
        <v>4300000</v>
      </c>
      <c r="J47" t="n">
        <v>0.067</v>
      </c>
      <c r="K47" t="n">
        <v>1.76</v>
      </c>
      <c r="L47" t="n">
        <v>0.13</v>
      </c>
      <c r="M47" t="n">
        <v>1.63</v>
      </c>
      <c r="P47" t="inlineStr">
        <is>
          <t>정세빈</t>
        </is>
      </c>
      <c r="Q47" t="inlineStr">
        <is>
          <t>*당월철회 20260105</t>
        </is>
      </c>
      <c r="Z47" t="n">
        <v>0</v>
      </c>
      <c r="AB47" t="inlineStr">
        <is>
          <t>홈서비스</t>
        </is>
      </c>
      <c r="AC47" t="n">
        <v>75680</v>
      </c>
      <c r="AD47" t="n">
        <v>5590</v>
      </c>
      <c r="AE47" t="n">
        <v>70090</v>
      </c>
      <c r="AF47" t="n">
        <v>68800</v>
      </c>
      <c r="AG47" t="n">
        <v>5590</v>
      </c>
      <c r="AH47" t="n">
        <v>63210</v>
      </c>
      <c r="AK47" t="inlineStr">
        <is>
          <t>대출철회</t>
        </is>
      </c>
    </row>
    <row r="48">
      <c r="A48" t="inlineStr">
        <is>
          <t>1월</t>
        </is>
      </c>
      <c r="B48" t="inlineStr">
        <is>
          <t>1주차</t>
        </is>
      </c>
      <c r="C48" t="inlineStr">
        <is>
          <t>EP</t>
        </is>
      </c>
      <c r="D48" s="28" t="n">
        <v>46024</v>
      </c>
      <c r="E48" t="inlineStr">
        <is>
          <t>현대EP_fast</t>
        </is>
      </c>
      <c r="F48" t="inlineStr">
        <is>
          <t>김환진</t>
        </is>
      </c>
      <c r="G48" t="inlineStr">
        <is>
          <t>010-4538-5359</t>
        </is>
      </c>
      <c r="H48" t="inlineStr">
        <is>
          <t>63조6589</t>
        </is>
      </c>
      <c r="I48" t="n">
        <v>30000000</v>
      </c>
      <c r="J48" t="n">
        <v>0.093</v>
      </c>
      <c r="K48" t="n">
        <v>1.76</v>
      </c>
      <c r="L48" t="n">
        <v>0.4</v>
      </c>
      <c r="M48" t="n">
        <v>1.36</v>
      </c>
      <c r="P48" t="inlineStr">
        <is>
          <t>장현경</t>
        </is>
      </c>
      <c r="Z48" t="n">
        <v>0</v>
      </c>
      <c r="AB48" t="inlineStr">
        <is>
          <t>엔카</t>
        </is>
      </c>
      <c r="AC48" t="n">
        <v>528000</v>
      </c>
      <c r="AD48" t="n">
        <v>120000</v>
      </c>
      <c r="AE48" t="n">
        <v>408000</v>
      </c>
      <c r="AF48" t="n">
        <v>480000</v>
      </c>
      <c r="AG48" t="n">
        <v>120000</v>
      </c>
      <c r="AH48" t="n">
        <v>360000</v>
      </c>
      <c r="AI48" t="n">
        <v>0</v>
      </c>
    </row>
    <row r="49">
      <c r="A49" t="inlineStr">
        <is>
          <t>1월</t>
        </is>
      </c>
      <c r="B49" t="inlineStr">
        <is>
          <t>1주차</t>
        </is>
      </c>
      <c r="C49" t="inlineStr">
        <is>
          <t>상환</t>
        </is>
      </c>
      <c r="D49" s="28" t="n">
        <v>46024</v>
      </c>
      <c r="E49" t="inlineStr">
        <is>
          <t>현대EP_fast상환</t>
        </is>
      </c>
      <c r="F49" t="inlineStr">
        <is>
          <t>이태환</t>
        </is>
      </c>
      <c r="G49" t="inlineStr">
        <is>
          <t>010-9889-3308</t>
        </is>
      </c>
      <c r="H49" t="inlineStr">
        <is>
          <t>50가5080</t>
        </is>
      </c>
      <c r="I49" t="n">
        <v>-100000000</v>
      </c>
      <c r="J49" t="n">
        <v>0.065</v>
      </c>
      <c r="K49" t="n">
        <v>1.76</v>
      </c>
      <c r="L49" t="n">
        <v>0.4</v>
      </c>
      <c r="M49" t="n">
        <v>1.36</v>
      </c>
      <c r="P49" t="inlineStr">
        <is>
          <t>장현경</t>
        </is>
      </c>
      <c r="Q49" t="inlineStr">
        <is>
          <t>*전월확정 20251231 당월철회 20260102</t>
        </is>
      </c>
      <c r="Z49" t="n">
        <v>0</v>
      </c>
      <c r="AB49" t="inlineStr">
        <is>
          <t>엔카</t>
        </is>
      </c>
      <c r="AC49" t="n">
        <v>-1760000</v>
      </c>
      <c r="AD49" t="n">
        <v>-400000</v>
      </c>
      <c r="AE49" t="n">
        <v>-1360000</v>
      </c>
      <c r="AF49" t="n">
        <v>-1600000</v>
      </c>
      <c r="AG49" t="n">
        <v>-400000</v>
      </c>
      <c r="AH49" t="n">
        <v>-1200000</v>
      </c>
      <c r="AI49" t="n">
        <v>0</v>
      </c>
      <c r="AK49" t="inlineStr">
        <is>
          <t>대출철회</t>
        </is>
      </c>
    </row>
    <row r="50">
      <c r="A50" t="inlineStr">
        <is>
          <t>1월</t>
        </is>
      </c>
      <c r="B50" t="inlineStr">
        <is>
          <t>1주차</t>
        </is>
      </c>
      <c r="C50" t="inlineStr">
        <is>
          <t>EP</t>
        </is>
      </c>
      <c r="D50" s="28" t="n">
        <v>46024</v>
      </c>
      <c r="E50" t="inlineStr">
        <is>
          <t>제이비EP</t>
        </is>
      </c>
      <c r="F50" t="inlineStr">
        <is>
          <t>김홍규</t>
        </is>
      </c>
      <c r="G50" t="inlineStr">
        <is>
          <t>010-5465-5825</t>
        </is>
      </c>
      <c r="H50" t="inlineStr">
        <is>
          <t>209수6226</t>
        </is>
      </c>
      <c r="I50" t="n">
        <v>31500000</v>
      </c>
      <c r="J50" t="n">
        <v>0.094</v>
      </c>
      <c r="K50" t="n">
        <v>1.65</v>
      </c>
      <c r="L50" t="n">
        <v>0.4</v>
      </c>
      <c r="M50" t="n">
        <v>1.25</v>
      </c>
      <c r="P50" t="inlineStr">
        <is>
          <t>박소현</t>
        </is>
      </c>
      <c r="Z50" t="n">
        <v>0</v>
      </c>
      <c r="AB50" t="inlineStr">
        <is>
          <t>엔카</t>
        </is>
      </c>
      <c r="AC50" t="n">
        <v>519750</v>
      </c>
      <c r="AD50" t="n">
        <v>126000</v>
      </c>
      <c r="AE50" t="n">
        <v>393750</v>
      </c>
      <c r="AF50" t="n">
        <v>472500</v>
      </c>
      <c r="AG50" t="n">
        <v>126000</v>
      </c>
      <c r="AH50" t="n">
        <v>346500</v>
      </c>
      <c r="AI50" t="n">
        <v>0</v>
      </c>
    </row>
    <row r="51">
      <c r="A51" t="inlineStr">
        <is>
          <t>1월</t>
        </is>
      </c>
      <c r="B51" t="inlineStr">
        <is>
          <t>1주차</t>
        </is>
      </c>
      <c r="C51" t="inlineStr">
        <is>
          <t>IM</t>
        </is>
      </c>
      <c r="D51" s="28" t="n">
        <v>46024</v>
      </c>
      <c r="E51" t="inlineStr">
        <is>
          <t>IM캐피탈</t>
        </is>
      </c>
      <c r="F51" t="inlineStr">
        <is>
          <t>박주미</t>
        </is>
      </c>
      <c r="G51" t="inlineStr">
        <is>
          <t>010-6682-8127</t>
        </is>
      </c>
      <c r="H51" t="inlineStr">
        <is>
          <t>337라6975</t>
        </is>
      </c>
      <c r="I51" t="n">
        <v>16000000</v>
      </c>
      <c r="J51" t="n">
        <v>0.056</v>
      </c>
      <c r="K51" t="n">
        <v>0.55</v>
      </c>
      <c r="L51" t="n">
        <v>0.13</v>
      </c>
      <c r="M51" t="n">
        <v>0.42</v>
      </c>
      <c r="P51" t="inlineStr">
        <is>
          <t>정세빈</t>
        </is>
      </c>
      <c r="Q51" t="inlineStr">
        <is>
          <t>홈서비스 84개월 / 사유: 금리불만</t>
        </is>
      </c>
      <c r="Z51" t="n">
        <v>0</v>
      </c>
      <c r="AB51" t="inlineStr">
        <is>
          <t>홈서비스</t>
        </is>
      </c>
      <c r="AC51" t="n">
        <v>88000</v>
      </c>
      <c r="AD51" t="n">
        <v>20800</v>
      </c>
      <c r="AE51" t="n">
        <v>67200</v>
      </c>
      <c r="AF51" t="n">
        <v>80000</v>
      </c>
      <c r="AG51" t="n">
        <v>20800</v>
      </c>
      <c r="AH51" t="n">
        <v>59200</v>
      </c>
      <c r="AI51" t="n">
        <v>0</v>
      </c>
    </row>
    <row r="52">
      <c r="A52" t="inlineStr">
        <is>
          <t>1월</t>
        </is>
      </c>
      <c r="B52" t="inlineStr">
        <is>
          <t>1주차</t>
        </is>
      </c>
      <c r="C52" t="inlineStr">
        <is>
          <t>IM</t>
        </is>
      </c>
      <c r="D52" s="28" t="n">
        <v>46024</v>
      </c>
      <c r="E52" t="inlineStr">
        <is>
          <t>IM캐피탈</t>
        </is>
      </c>
      <c r="F52" t="inlineStr">
        <is>
          <t>김지호</t>
        </is>
      </c>
      <c r="G52" t="inlineStr">
        <is>
          <t>010-8913-0450</t>
        </is>
      </c>
      <c r="H52" t="inlineStr">
        <is>
          <t>67보0595</t>
        </is>
      </c>
      <c r="I52" t="n">
        <v>6300000</v>
      </c>
      <c r="J52" t="n">
        <v>0.039</v>
      </c>
      <c r="K52" t="n">
        <v>0.55</v>
      </c>
      <c r="L52" t="n">
        <v>0.13</v>
      </c>
      <c r="M52" t="n">
        <v>0.42</v>
      </c>
      <c r="P52" t="inlineStr">
        <is>
          <t>박소현</t>
        </is>
      </c>
      <c r="Q52" t="inlineStr">
        <is>
          <t>선상담 /홈서비스60개월</t>
        </is>
      </c>
      <c r="Z52" t="n">
        <v>0</v>
      </c>
      <c r="AB52" t="inlineStr">
        <is>
          <t>홈서비스</t>
        </is>
      </c>
      <c r="AC52" t="n">
        <v>34650</v>
      </c>
      <c r="AD52" t="n">
        <v>8190</v>
      </c>
      <c r="AE52" t="n">
        <v>26460</v>
      </c>
      <c r="AF52" t="n">
        <v>31500</v>
      </c>
      <c r="AG52" t="n">
        <v>8190</v>
      </c>
      <c r="AH52" t="n">
        <v>23310</v>
      </c>
      <c r="AI52" t="n">
        <v>0</v>
      </c>
    </row>
    <row r="53">
      <c r="A53" t="inlineStr">
        <is>
          <t>1월</t>
        </is>
      </c>
      <c r="B53" t="inlineStr">
        <is>
          <t>1주차</t>
        </is>
      </c>
      <c r="C53" t="inlineStr">
        <is>
          <t>EP</t>
        </is>
      </c>
      <c r="D53" s="28" t="n">
        <v>46024</v>
      </c>
      <c r="E53" t="inlineStr">
        <is>
          <t>현대EP</t>
        </is>
      </c>
      <c r="F53" t="inlineStr">
        <is>
          <t>권혁일</t>
        </is>
      </c>
      <c r="G53" t="inlineStr">
        <is>
          <t>010-2203-2177</t>
        </is>
      </c>
      <c r="H53" t="inlineStr">
        <is>
          <t>153저6285</t>
        </is>
      </c>
      <c r="I53" t="n">
        <v>3000000</v>
      </c>
      <c r="J53" t="n">
        <v>0.067</v>
      </c>
      <c r="K53" t="n">
        <v>1.76</v>
      </c>
      <c r="L53" t="n">
        <v>0.13</v>
      </c>
      <c r="M53" t="n">
        <v>1.63</v>
      </c>
      <c r="P53" t="inlineStr">
        <is>
          <t>황채이</t>
        </is>
      </c>
      <c r="Q53" t="inlineStr">
        <is>
          <t>/ *중도상환 20260119</t>
        </is>
      </c>
      <c r="Z53" t="n">
        <v>0</v>
      </c>
      <c r="AB53" t="inlineStr">
        <is>
          <t>홈서비스</t>
        </is>
      </c>
      <c r="AC53" t="n">
        <v>52800</v>
      </c>
      <c r="AD53" t="n">
        <v>3900</v>
      </c>
      <c r="AE53" t="n">
        <v>48900</v>
      </c>
      <c r="AF53" t="n">
        <v>48000</v>
      </c>
      <c r="AG53" t="n">
        <v>3900</v>
      </c>
      <c r="AH53" t="n">
        <v>44100</v>
      </c>
      <c r="AI53" t="n">
        <v>0</v>
      </c>
      <c r="AK53" t="inlineStr">
        <is>
          <t>중도상환</t>
        </is>
      </c>
    </row>
    <row r="54">
      <c r="A54" t="inlineStr">
        <is>
          <t>1월</t>
        </is>
      </c>
      <c r="B54" t="inlineStr">
        <is>
          <t>1주차</t>
        </is>
      </c>
      <c r="C54" t="inlineStr">
        <is>
          <t>EP</t>
        </is>
      </c>
      <c r="D54" s="28" t="n">
        <v>46024</v>
      </c>
      <c r="E54" t="inlineStr">
        <is>
          <t>현대EP_fast</t>
        </is>
      </c>
      <c r="F54" t="inlineStr">
        <is>
          <t>이민수</t>
        </is>
      </c>
      <c r="G54" t="inlineStr">
        <is>
          <t>010-7754-4307</t>
        </is>
      </c>
      <c r="H54" t="inlineStr">
        <is>
          <t>321머3934</t>
        </is>
      </c>
      <c r="I54" t="n">
        <v>32500000</v>
      </c>
      <c r="J54" t="n">
        <v>0.07199999999999999</v>
      </c>
      <c r="K54" t="n">
        <v>1.76</v>
      </c>
      <c r="L54" t="n">
        <v>0.13</v>
      </c>
      <c r="M54" t="n">
        <v>1.63</v>
      </c>
      <c r="P54" t="inlineStr">
        <is>
          <t>김나윤</t>
        </is>
      </c>
      <c r="Q54" t="inlineStr">
        <is>
          <t>홈서비스48개월</t>
        </is>
      </c>
      <c r="Z54" t="n">
        <v>0</v>
      </c>
      <c r="AB54" t="inlineStr">
        <is>
          <t>홈서비스</t>
        </is>
      </c>
      <c r="AC54" t="n">
        <v>572000</v>
      </c>
      <c r="AD54" t="n">
        <v>42250</v>
      </c>
      <c r="AE54" t="n">
        <v>529750</v>
      </c>
      <c r="AF54" t="n">
        <v>520000</v>
      </c>
      <c r="AG54" t="n">
        <v>42250</v>
      </c>
      <c r="AH54" t="n">
        <v>477750</v>
      </c>
    </row>
    <row r="55">
      <c r="A55" t="inlineStr">
        <is>
          <t>1월</t>
        </is>
      </c>
      <c r="B55" t="inlineStr">
        <is>
          <t>1주차</t>
        </is>
      </c>
      <c r="C55" t="inlineStr">
        <is>
          <t>EP</t>
        </is>
      </c>
      <c r="D55" s="28" t="n">
        <v>46024</v>
      </c>
      <c r="E55" t="inlineStr">
        <is>
          <t>현대EP_fast</t>
        </is>
      </c>
      <c r="F55" t="inlineStr">
        <is>
          <t>한명종</t>
        </is>
      </c>
      <c r="G55" t="inlineStr">
        <is>
          <t>010-2704-4210</t>
        </is>
      </c>
      <c r="H55" t="inlineStr">
        <is>
          <t>175루4149</t>
        </is>
      </c>
      <c r="I55" t="n">
        <v>42900000</v>
      </c>
      <c r="J55" t="n">
        <v>0.06900000000000001</v>
      </c>
      <c r="K55" t="n">
        <v>1.76</v>
      </c>
      <c r="L55" t="n">
        <v>0.13</v>
      </c>
      <c r="M55" t="n">
        <v>1.63</v>
      </c>
      <c r="P55" t="inlineStr">
        <is>
          <t>김나윤</t>
        </is>
      </c>
      <c r="Q55" t="inlineStr">
        <is>
          <t>홈서비스60개월</t>
        </is>
      </c>
      <c r="Z55" t="n">
        <v>0</v>
      </c>
      <c r="AB55" t="inlineStr">
        <is>
          <t>홈서비스</t>
        </is>
      </c>
      <c r="AC55" t="n">
        <v>755040</v>
      </c>
      <c r="AD55" t="n">
        <v>55770</v>
      </c>
      <c r="AE55" t="n">
        <v>699270</v>
      </c>
      <c r="AF55" t="n">
        <v>686400</v>
      </c>
      <c r="AG55" t="n">
        <v>55770</v>
      </c>
      <c r="AH55" t="n">
        <v>630630</v>
      </c>
    </row>
    <row r="56">
      <c r="A56" t="inlineStr">
        <is>
          <t>1월</t>
        </is>
      </c>
      <c r="B56" t="inlineStr">
        <is>
          <t>1주차</t>
        </is>
      </c>
      <c r="C56" t="inlineStr">
        <is>
          <t>EP</t>
        </is>
      </c>
      <c r="D56" s="28" t="n">
        <v>46024</v>
      </c>
      <c r="E56" t="inlineStr">
        <is>
          <t>현대EP_fast</t>
        </is>
      </c>
      <c r="F56" t="inlineStr">
        <is>
          <t>김원아</t>
        </is>
      </c>
      <c r="G56" t="inlineStr">
        <is>
          <t>010-5686-2720</t>
        </is>
      </c>
      <c r="H56" t="inlineStr">
        <is>
          <t>64오7770</t>
        </is>
      </c>
      <c r="I56" t="n">
        <v>38900000</v>
      </c>
      <c r="J56" t="n">
        <v>0.141</v>
      </c>
      <c r="K56" t="n">
        <v>1.76</v>
      </c>
      <c r="L56" t="n">
        <v>0.13</v>
      </c>
      <c r="M56" t="n">
        <v>1.63</v>
      </c>
      <c r="P56" t="inlineStr">
        <is>
          <t>정광호</t>
        </is>
      </c>
      <c r="Q56" t="inlineStr">
        <is>
          <t>홈서비스 48개월 /*당월철회 20260113</t>
        </is>
      </c>
      <c r="Z56" t="n">
        <v>0</v>
      </c>
      <c r="AB56" t="inlineStr">
        <is>
          <t>홈서비스</t>
        </is>
      </c>
      <c r="AC56" t="n">
        <v>684640</v>
      </c>
      <c r="AD56" t="n">
        <v>50570</v>
      </c>
      <c r="AE56" t="n">
        <v>634070</v>
      </c>
      <c r="AF56" t="n">
        <v>622400</v>
      </c>
      <c r="AG56" t="n">
        <v>50570</v>
      </c>
      <c r="AH56" t="n">
        <v>571830</v>
      </c>
      <c r="AI56" t="n">
        <v>0</v>
      </c>
      <c r="AK56" t="inlineStr">
        <is>
          <t>대출철회</t>
        </is>
      </c>
    </row>
    <row r="57">
      <c r="A57" t="inlineStr">
        <is>
          <t>1월</t>
        </is>
      </c>
      <c r="B57" t="inlineStr">
        <is>
          <t>1주차</t>
        </is>
      </c>
      <c r="C57" t="inlineStr">
        <is>
          <t>IM</t>
        </is>
      </c>
      <c r="D57" s="28" t="n">
        <v>46024</v>
      </c>
      <c r="E57" t="inlineStr">
        <is>
          <t>IM캐피탈</t>
        </is>
      </c>
      <c r="F57" t="inlineStr">
        <is>
          <t>장재혁</t>
        </is>
      </c>
      <c r="G57" t="inlineStr">
        <is>
          <t>010-5601-1744</t>
        </is>
      </c>
      <c r="H57" t="inlineStr">
        <is>
          <t>188너7746</t>
        </is>
      </c>
      <c r="I57" t="n">
        <v>9900000</v>
      </c>
      <c r="J57" t="n">
        <v>0.06</v>
      </c>
      <c r="K57" t="n">
        <v>0.55</v>
      </c>
      <c r="L57" t="n">
        <v>0.13</v>
      </c>
      <c r="M57" t="n">
        <v>0.42</v>
      </c>
      <c r="P57" t="inlineStr">
        <is>
          <t>정세빈</t>
        </is>
      </c>
      <c r="Q57" t="inlineStr">
        <is>
          <t>홈서비스 48개월</t>
        </is>
      </c>
      <c r="Z57" t="n">
        <v>0</v>
      </c>
      <c r="AB57" t="inlineStr">
        <is>
          <t>홈서비스</t>
        </is>
      </c>
      <c r="AC57" t="n">
        <v>54450</v>
      </c>
      <c r="AD57" t="n">
        <v>12870</v>
      </c>
      <c r="AE57" t="n">
        <v>41580</v>
      </c>
      <c r="AF57" t="n">
        <v>49500</v>
      </c>
      <c r="AG57" t="n">
        <v>12870</v>
      </c>
      <c r="AH57" t="n">
        <v>36630</v>
      </c>
      <c r="AI57" t="n">
        <v>0</v>
      </c>
    </row>
    <row r="58">
      <c r="A58" t="inlineStr">
        <is>
          <t>1월</t>
        </is>
      </c>
      <c r="B58" t="inlineStr">
        <is>
          <t>1주차</t>
        </is>
      </c>
      <c r="C58" t="inlineStr">
        <is>
          <t>IM</t>
        </is>
      </c>
      <c r="D58" s="28" t="n">
        <v>46024</v>
      </c>
      <c r="E58" t="inlineStr">
        <is>
          <t>IM캐피탈</t>
        </is>
      </c>
      <c r="F58" t="inlineStr">
        <is>
          <t>조정환</t>
        </is>
      </c>
      <c r="G58" t="inlineStr">
        <is>
          <t>010-3374-9801</t>
        </is>
      </c>
      <c r="H58" t="inlineStr">
        <is>
          <t>60노7516</t>
        </is>
      </c>
      <c r="I58" t="n">
        <v>7900000</v>
      </c>
      <c r="J58" t="n">
        <v>0.053</v>
      </c>
      <c r="K58" t="n">
        <v>0.55</v>
      </c>
      <c r="L58" t="n">
        <v>0.4</v>
      </c>
      <c r="M58" t="n">
        <v>0.15</v>
      </c>
      <c r="P58" t="inlineStr">
        <is>
          <t>박보람</t>
        </is>
      </c>
      <c r="Z58" t="n">
        <v>0</v>
      </c>
      <c r="AB58" t="inlineStr">
        <is>
          <t>엔카</t>
        </is>
      </c>
      <c r="AC58" t="n">
        <v>43450</v>
      </c>
      <c r="AD58" t="n">
        <v>31600</v>
      </c>
      <c r="AE58" t="n">
        <v>11850</v>
      </c>
      <c r="AF58" t="n">
        <v>39500</v>
      </c>
      <c r="AG58" t="n">
        <v>31600</v>
      </c>
      <c r="AH58" t="n">
        <v>7900</v>
      </c>
    </row>
    <row r="59">
      <c r="A59" t="inlineStr">
        <is>
          <t>1월</t>
        </is>
      </c>
      <c r="B59" t="inlineStr">
        <is>
          <t>1주차</t>
        </is>
      </c>
      <c r="C59" t="inlineStr">
        <is>
          <t>EP</t>
        </is>
      </c>
      <c r="D59" s="28" t="n">
        <v>46024</v>
      </c>
      <c r="E59" t="inlineStr">
        <is>
          <t>현대EP</t>
        </is>
      </c>
      <c r="F59" t="inlineStr">
        <is>
          <t>김수종</t>
        </is>
      </c>
      <c r="G59" t="inlineStr">
        <is>
          <t>010-8073-8563</t>
        </is>
      </c>
      <c r="H59" t="inlineStr">
        <is>
          <t>42라7243</t>
        </is>
      </c>
      <c r="I59" t="n">
        <v>4300000</v>
      </c>
      <c r="J59" t="n">
        <v>0.067</v>
      </c>
      <c r="K59" t="n">
        <v>1.76</v>
      </c>
      <c r="L59" t="n">
        <v>0.13</v>
      </c>
      <c r="M59" t="n">
        <v>1.63</v>
      </c>
      <c r="P59" t="inlineStr">
        <is>
          <t>김나윤</t>
        </is>
      </c>
      <c r="Z59" t="n">
        <v>0</v>
      </c>
      <c r="AB59" t="inlineStr">
        <is>
          <t>홈서비스</t>
        </is>
      </c>
      <c r="AC59" t="n">
        <v>75680</v>
      </c>
      <c r="AD59" t="n">
        <v>5590</v>
      </c>
      <c r="AE59" t="n">
        <v>70090</v>
      </c>
      <c r="AF59" t="n">
        <v>68800</v>
      </c>
      <c r="AG59" t="n">
        <v>5590</v>
      </c>
      <c r="AH59" t="n">
        <v>63210</v>
      </c>
      <c r="AI59" t="n">
        <v>0</v>
      </c>
    </row>
    <row r="60">
      <c r="A60" t="inlineStr">
        <is>
          <t>1월</t>
        </is>
      </c>
      <c r="B60" t="inlineStr">
        <is>
          <t>1주차</t>
        </is>
      </c>
      <c r="C60" t="inlineStr">
        <is>
          <t>IM</t>
        </is>
      </c>
      <c r="D60" s="28" t="n">
        <v>46024</v>
      </c>
      <c r="E60" t="inlineStr">
        <is>
          <t>IM캐피탈</t>
        </is>
      </c>
      <c r="F60" t="inlineStr">
        <is>
          <t>김길수</t>
        </is>
      </c>
      <c r="G60" t="inlineStr">
        <is>
          <t>010-4589-9324</t>
        </is>
      </c>
      <c r="H60" t="inlineStr">
        <is>
          <t>277오2963</t>
        </is>
      </c>
      <c r="I60" t="n">
        <v>9500000</v>
      </c>
      <c r="J60" t="n">
        <v>0.053</v>
      </c>
      <c r="K60" t="n">
        <v>0.55</v>
      </c>
      <c r="L60" t="n">
        <v>0.13</v>
      </c>
      <c r="M60" t="n">
        <v>0.42</v>
      </c>
      <c r="P60" t="inlineStr">
        <is>
          <t>최형주</t>
        </is>
      </c>
      <c r="Q60" t="inlineStr">
        <is>
          <t>홈서비스 48개월</t>
        </is>
      </c>
      <c r="Z60" t="n">
        <v>0</v>
      </c>
      <c r="AB60" t="inlineStr">
        <is>
          <t>홈서비스</t>
        </is>
      </c>
      <c r="AC60" t="n">
        <v>52250</v>
      </c>
      <c r="AD60" t="n">
        <v>12350</v>
      </c>
      <c r="AE60" t="n">
        <v>39900</v>
      </c>
      <c r="AF60" t="n">
        <v>47500</v>
      </c>
      <c r="AG60" t="n">
        <v>12350</v>
      </c>
      <c r="AH60" t="n">
        <v>35150</v>
      </c>
      <c r="AI60" t="n">
        <v>0</v>
      </c>
    </row>
    <row r="61">
      <c r="A61" t="inlineStr">
        <is>
          <t>1월</t>
        </is>
      </c>
      <c r="B61" t="inlineStr">
        <is>
          <t>1주차</t>
        </is>
      </c>
      <c r="C61" t="inlineStr">
        <is>
          <t>EP</t>
        </is>
      </c>
      <c r="D61" s="28" t="n">
        <v>46024</v>
      </c>
      <c r="E61" t="inlineStr">
        <is>
          <t>현대EP</t>
        </is>
      </c>
      <c r="F61" t="inlineStr">
        <is>
          <t>김현영</t>
        </is>
      </c>
      <c r="G61" t="inlineStr">
        <is>
          <t>010-4579-7661</t>
        </is>
      </c>
      <c r="H61" t="inlineStr">
        <is>
          <t>35루4242</t>
        </is>
      </c>
      <c r="I61" t="n">
        <v>10000000</v>
      </c>
      <c r="J61" t="n">
        <v>0.064</v>
      </c>
      <c r="K61" t="n">
        <v>1.76</v>
      </c>
      <c r="L61" t="n">
        <v>0.13</v>
      </c>
      <c r="M61" t="n">
        <v>1.63</v>
      </c>
      <c r="P61" t="inlineStr">
        <is>
          <t>김나윤</t>
        </is>
      </c>
      <c r="Z61" t="n">
        <v>0</v>
      </c>
      <c r="AB61" t="inlineStr">
        <is>
          <t>홈서비스</t>
        </is>
      </c>
      <c r="AC61" t="n">
        <v>176000</v>
      </c>
      <c r="AD61" t="n">
        <v>13000</v>
      </c>
      <c r="AE61" t="n">
        <v>163000</v>
      </c>
      <c r="AF61" t="n">
        <v>160000</v>
      </c>
      <c r="AG61" t="n">
        <v>13000</v>
      </c>
      <c r="AH61" t="n">
        <v>147000</v>
      </c>
      <c r="AI61" t="n">
        <v>0</v>
      </c>
    </row>
    <row r="62">
      <c r="A62" t="inlineStr">
        <is>
          <t>1월</t>
        </is>
      </c>
      <c r="B62" t="inlineStr">
        <is>
          <t>1주차</t>
        </is>
      </c>
      <c r="C62" t="inlineStr">
        <is>
          <t>EP</t>
        </is>
      </c>
      <c r="D62" s="28" t="n">
        <v>46024</v>
      </c>
      <c r="E62" t="inlineStr">
        <is>
          <t>현대EP_fast</t>
        </is>
      </c>
      <c r="F62" t="inlineStr">
        <is>
          <t>박정아</t>
        </is>
      </c>
      <c r="G62" t="inlineStr">
        <is>
          <t>010-9576-2260</t>
        </is>
      </c>
      <c r="H62" t="inlineStr">
        <is>
          <t>396모2255</t>
        </is>
      </c>
      <c r="I62" t="n">
        <v>11200000</v>
      </c>
      <c r="J62" t="n">
        <v>0.124</v>
      </c>
      <c r="K62" t="n">
        <v>1.76</v>
      </c>
      <c r="L62" t="n">
        <v>0.13</v>
      </c>
      <c r="M62" t="n">
        <v>1.63</v>
      </c>
      <c r="P62" t="inlineStr">
        <is>
          <t>정광호</t>
        </is>
      </c>
      <c r="Q62" t="inlineStr">
        <is>
          <t>홈서비스 48개월</t>
        </is>
      </c>
      <c r="Z62" t="n">
        <v>0</v>
      </c>
      <c r="AB62" t="inlineStr">
        <is>
          <t>홈서비스</t>
        </is>
      </c>
      <c r="AC62" t="n">
        <v>197120</v>
      </c>
      <c r="AD62" t="n">
        <v>14560</v>
      </c>
      <c r="AE62" t="n">
        <v>182560</v>
      </c>
      <c r="AF62" t="n">
        <v>179200</v>
      </c>
      <c r="AG62" t="n">
        <v>14560</v>
      </c>
      <c r="AH62" t="n">
        <v>164640</v>
      </c>
      <c r="AI62" t="n">
        <v>0</v>
      </c>
    </row>
    <row r="63">
      <c r="A63" t="inlineStr">
        <is>
          <t>1월</t>
        </is>
      </c>
      <c r="B63" t="inlineStr">
        <is>
          <t>1주차</t>
        </is>
      </c>
      <c r="C63" t="inlineStr">
        <is>
          <t>상환</t>
        </is>
      </c>
      <c r="D63" s="28" t="n">
        <v>46024</v>
      </c>
      <c r="E63" t="inlineStr">
        <is>
          <t>현대EP상환</t>
        </is>
      </c>
      <c r="F63" t="inlineStr">
        <is>
          <t>박지훈</t>
        </is>
      </c>
      <c r="G63" t="inlineStr">
        <is>
          <t>010-4077-4793</t>
        </is>
      </c>
      <c r="H63" t="inlineStr">
        <is>
          <t>56로2497</t>
        </is>
      </c>
      <c r="I63" t="n">
        <v>-18700000</v>
      </c>
      <c r="J63" t="n">
        <v>0.065</v>
      </c>
      <c r="K63" t="n">
        <v>1.76</v>
      </c>
      <c r="L63" t="n">
        <v>0.13</v>
      </c>
      <c r="M63" t="n">
        <v>1.63</v>
      </c>
      <c r="P63" t="inlineStr">
        <is>
          <t>정세빈</t>
        </is>
      </c>
      <c r="Q63" t="inlineStr">
        <is>
          <t>홈서비스 60개월 / *전월확정 20251229 당월철회 20260102</t>
        </is>
      </c>
      <c r="Z63" t="n">
        <v>0</v>
      </c>
      <c r="AB63" t="inlineStr">
        <is>
          <t>홈서비스</t>
        </is>
      </c>
      <c r="AC63" t="n">
        <v>-329120</v>
      </c>
      <c r="AD63" t="n">
        <v>-24310</v>
      </c>
      <c r="AE63" t="n">
        <v>-304810</v>
      </c>
      <c r="AF63" t="n">
        <v>-299200</v>
      </c>
      <c r="AG63" t="n">
        <v>-24310</v>
      </c>
      <c r="AH63" t="n">
        <v>-274890</v>
      </c>
      <c r="AK63" t="inlineStr">
        <is>
          <t>대출철회</t>
        </is>
      </c>
    </row>
    <row r="64">
      <c r="A64" t="inlineStr">
        <is>
          <t>1월</t>
        </is>
      </c>
      <c r="B64" t="inlineStr">
        <is>
          <t>1주차</t>
        </is>
      </c>
      <c r="C64" t="inlineStr">
        <is>
          <t>EP</t>
        </is>
      </c>
      <c r="D64" s="28" t="n">
        <v>46024</v>
      </c>
      <c r="E64" t="inlineStr">
        <is>
          <t>현대EP</t>
        </is>
      </c>
      <c r="F64" t="inlineStr">
        <is>
          <t>신수민</t>
        </is>
      </c>
      <c r="G64" t="inlineStr">
        <is>
          <t>010-8267-2657</t>
        </is>
      </c>
      <c r="H64" t="inlineStr">
        <is>
          <t>181모6468</t>
        </is>
      </c>
      <c r="I64" t="n">
        <v>10000000</v>
      </c>
      <c r="J64" t="n">
        <v>0.064</v>
      </c>
      <c r="K64" t="n">
        <v>1.76</v>
      </c>
      <c r="L64" t="n">
        <v>0.13</v>
      </c>
      <c r="M64" t="n">
        <v>1.63</v>
      </c>
      <c r="P64" t="inlineStr">
        <is>
          <t>정광호</t>
        </is>
      </c>
      <c r="Z64" t="n">
        <v>0</v>
      </c>
      <c r="AB64" t="inlineStr">
        <is>
          <t>홈서비스</t>
        </is>
      </c>
      <c r="AC64" t="n">
        <v>176000</v>
      </c>
      <c r="AD64" t="n">
        <v>13000</v>
      </c>
      <c r="AE64" t="n">
        <v>163000</v>
      </c>
      <c r="AF64" t="n">
        <v>160000</v>
      </c>
      <c r="AG64" t="n">
        <v>13000</v>
      </c>
      <c r="AH64" t="n">
        <v>147000</v>
      </c>
    </row>
    <row r="65">
      <c r="A65" t="inlineStr">
        <is>
          <t>1월</t>
        </is>
      </c>
      <c r="B65" t="inlineStr">
        <is>
          <t>1주차</t>
        </is>
      </c>
      <c r="C65" t="inlineStr">
        <is>
          <t>EP</t>
        </is>
      </c>
      <c r="D65" s="28" t="n">
        <v>46024</v>
      </c>
      <c r="E65" t="inlineStr">
        <is>
          <t>현대EP_fast</t>
        </is>
      </c>
      <c r="F65" t="inlineStr">
        <is>
          <t>김도현</t>
        </is>
      </c>
      <c r="G65" t="inlineStr">
        <is>
          <t>010-2257-6858</t>
        </is>
      </c>
      <c r="H65" t="inlineStr">
        <is>
          <t>54고0742</t>
        </is>
      </c>
      <c r="I65" t="n">
        <v>14900000</v>
      </c>
      <c r="J65" t="n">
        <v>0.097</v>
      </c>
      <c r="K65" t="n">
        <v>1.76</v>
      </c>
      <c r="L65" t="n">
        <v>0.13</v>
      </c>
      <c r="M65" t="n">
        <v>1.63</v>
      </c>
      <c r="P65" t="inlineStr">
        <is>
          <t>최혁</t>
        </is>
      </c>
      <c r="Q65" t="inlineStr">
        <is>
          <t>홈서비스60개월</t>
        </is>
      </c>
      <c r="Z65" t="n">
        <v>0</v>
      </c>
      <c r="AB65" t="inlineStr">
        <is>
          <t>홈서비스</t>
        </is>
      </c>
      <c r="AC65" t="n">
        <v>262240</v>
      </c>
      <c r="AD65" t="n">
        <v>19370</v>
      </c>
      <c r="AE65" t="n">
        <v>242870</v>
      </c>
      <c r="AF65" t="n">
        <v>238400</v>
      </c>
      <c r="AG65" t="n">
        <v>19370</v>
      </c>
      <c r="AH65" t="n">
        <v>219030</v>
      </c>
    </row>
    <row r="66">
      <c r="A66" t="inlineStr">
        <is>
          <t>1월</t>
        </is>
      </c>
      <c r="B66" t="inlineStr">
        <is>
          <t>1주차</t>
        </is>
      </c>
      <c r="C66" t="inlineStr">
        <is>
          <t>EP</t>
        </is>
      </c>
      <c r="D66" s="28" t="n">
        <v>46025</v>
      </c>
      <c r="E66" t="inlineStr">
        <is>
          <t>현대EP_fast</t>
        </is>
      </c>
      <c r="F66" t="inlineStr">
        <is>
          <t>강소영</t>
        </is>
      </c>
      <c r="G66" t="inlineStr">
        <is>
          <t>010-7336-2184</t>
        </is>
      </c>
      <c r="H66" t="inlineStr">
        <is>
          <t>131나3888</t>
        </is>
      </c>
      <c r="I66" t="n">
        <v>70000000</v>
      </c>
      <c r="J66" t="n">
        <v>0.079</v>
      </c>
      <c r="K66" t="n">
        <v>1.76</v>
      </c>
      <c r="L66" t="n">
        <v>0.4</v>
      </c>
      <c r="M66" t="n">
        <v>1.36</v>
      </c>
      <c r="P66" t="inlineStr">
        <is>
          <t>장현경</t>
        </is>
      </c>
      <c r="Z66" t="n">
        <v>0</v>
      </c>
      <c r="AB66" t="inlineStr">
        <is>
          <t>엔카</t>
        </is>
      </c>
      <c r="AC66" t="n">
        <v>1232000</v>
      </c>
      <c r="AD66" t="n">
        <v>280000</v>
      </c>
      <c r="AE66" t="n">
        <v>952000</v>
      </c>
      <c r="AF66" t="n">
        <v>1120000</v>
      </c>
      <c r="AG66" t="n">
        <v>280000</v>
      </c>
      <c r="AH66" t="n">
        <v>840000</v>
      </c>
    </row>
    <row r="67">
      <c r="A67" t="inlineStr">
        <is>
          <t>1월</t>
        </is>
      </c>
      <c r="B67" t="inlineStr">
        <is>
          <t>1주차</t>
        </is>
      </c>
      <c r="C67" t="inlineStr">
        <is>
          <t>EP</t>
        </is>
      </c>
      <c r="D67" s="28" t="n">
        <v>46024</v>
      </c>
      <c r="E67" t="inlineStr">
        <is>
          <t>현대EP</t>
        </is>
      </c>
      <c r="F67" t="inlineStr">
        <is>
          <t>이정복</t>
        </is>
      </c>
      <c r="G67" t="inlineStr">
        <is>
          <t>010-2888-6717</t>
        </is>
      </c>
      <c r="H67" t="inlineStr">
        <is>
          <t>134나3075</t>
        </is>
      </c>
      <c r="I67" t="n">
        <v>14100000</v>
      </c>
      <c r="J67" t="n">
        <v>0.064</v>
      </c>
      <c r="K67" t="n">
        <v>1.76</v>
      </c>
      <c r="L67" t="n">
        <v>0.13</v>
      </c>
      <c r="M67" t="n">
        <v>1.63</v>
      </c>
      <c r="P67" t="inlineStr">
        <is>
          <t>김나윤</t>
        </is>
      </c>
      <c r="Z67" t="n">
        <v>0</v>
      </c>
      <c r="AB67" t="inlineStr">
        <is>
          <t>홈서비스</t>
        </is>
      </c>
      <c r="AC67" t="n">
        <v>248160</v>
      </c>
      <c r="AD67" t="n">
        <v>18330</v>
      </c>
      <c r="AE67" t="n">
        <v>229830</v>
      </c>
      <c r="AF67" t="n">
        <v>225600</v>
      </c>
      <c r="AG67" t="n">
        <v>18330</v>
      </c>
      <c r="AH67" t="n">
        <v>207270</v>
      </c>
      <c r="AI67" t="n">
        <v>0</v>
      </c>
    </row>
    <row r="68">
      <c r="A68" t="inlineStr">
        <is>
          <t>1월</t>
        </is>
      </c>
      <c r="B68" t="inlineStr">
        <is>
          <t>1주차</t>
        </is>
      </c>
      <c r="C68" t="inlineStr">
        <is>
          <t>EP</t>
        </is>
      </c>
      <c r="D68" s="28" t="n">
        <v>46026</v>
      </c>
      <c r="E68" t="inlineStr">
        <is>
          <t>현대EP</t>
        </is>
      </c>
      <c r="F68" t="inlineStr">
        <is>
          <t>양세환</t>
        </is>
      </c>
      <c r="G68" t="inlineStr">
        <is>
          <t>010-5124-5503</t>
        </is>
      </c>
      <c r="H68" t="inlineStr">
        <is>
          <t>36서0413</t>
        </is>
      </c>
      <c r="I68" t="n">
        <v>9500000</v>
      </c>
      <c r="J68" t="n">
        <v>0.077</v>
      </c>
      <c r="K68" t="n">
        <v>1.76</v>
      </c>
      <c r="L68" t="n">
        <v>0.13</v>
      </c>
      <c r="M68" t="n">
        <v>1.63</v>
      </c>
      <c r="P68" t="inlineStr">
        <is>
          <t>황채이</t>
        </is>
      </c>
      <c r="Z68" t="n">
        <v>0</v>
      </c>
      <c r="AB68" t="inlineStr">
        <is>
          <t>홈서비스</t>
        </is>
      </c>
      <c r="AC68" t="n">
        <v>167200</v>
      </c>
      <c r="AD68" t="n">
        <v>12350</v>
      </c>
      <c r="AE68" t="n">
        <v>154850</v>
      </c>
      <c r="AF68" t="n">
        <v>152000</v>
      </c>
      <c r="AG68" t="n">
        <v>12350</v>
      </c>
      <c r="AH68" t="n">
        <v>139650</v>
      </c>
      <c r="AI68" t="n">
        <v>0</v>
      </c>
    </row>
    <row r="69">
      <c r="A69" t="inlineStr">
        <is>
          <t>5월</t>
        </is>
      </c>
      <c r="B69" t="inlineStr">
        <is>
          <t>22주차</t>
        </is>
      </c>
      <c r="C69" t="inlineStr">
        <is>
          <t>EP</t>
        </is>
      </c>
      <c r="D69" s="28" t="n">
        <v>46168</v>
      </c>
      <c r="E69" t="inlineStr">
        <is>
          <t>제이비EP</t>
        </is>
      </c>
      <c r="F69" t="inlineStr">
        <is>
          <t>서지혁</t>
        </is>
      </c>
      <c r="G69" t="inlineStr">
        <is>
          <t>010-7772-7464</t>
        </is>
      </c>
      <c r="H69" t="inlineStr">
        <is>
          <t>388모2233</t>
        </is>
      </c>
      <c r="I69" t="n">
        <v>36500000</v>
      </c>
      <c r="J69" t="n">
        <v>0.074</v>
      </c>
      <c r="K69" t="n">
        <v>1.65</v>
      </c>
      <c r="L69" t="n">
        <v>0.4</v>
      </c>
      <c r="M69" t="n">
        <v>1.25</v>
      </c>
      <c r="P69" t="inlineStr">
        <is>
          <t>장진경</t>
        </is>
      </c>
      <c r="Q69" t="inlineStr">
        <is>
          <t>부대비용 추가진행</t>
        </is>
      </c>
      <c r="Z69" t="n">
        <v>0</v>
      </c>
      <c r="AB69" t="inlineStr">
        <is>
          <t>엔카</t>
        </is>
      </c>
      <c r="AC69" t="n">
        <v>602250</v>
      </c>
      <c r="AD69" t="n">
        <v>146000</v>
      </c>
      <c r="AE69" t="n">
        <v>456250</v>
      </c>
      <c r="AF69" t="n">
        <v>547500</v>
      </c>
      <c r="AG69" t="n">
        <v>146000</v>
      </c>
      <c r="AH69" t="n">
        <v>401500</v>
      </c>
      <c r="AI69" t="n">
        <v>0</v>
      </c>
    </row>
    <row r="70">
      <c r="A70" t="inlineStr">
        <is>
          <t>1월</t>
        </is>
      </c>
      <c r="B70" t="inlineStr">
        <is>
          <t>1주차</t>
        </is>
      </c>
      <c r="C70" t="inlineStr">
        <is>
          <t>IM</t>
        </is>
      </c>
      <c r="D70" s="28" t="n">
        <v>46024</v>
      </c>
      <c r="E70" t="inlineStr">
        <is>
          <t>IM캐피탈</t>
        </is>
      </c>
      <c r="F70" t="inlineStr">
        <is>
          <t>노다노</t>
        </is>
      </c>
      <c r="G70" t="inlineStr">
        <is>
          <t>010-7770-0470</t>
        </is>
      </c>
      <c r="H70" t="inlineStr">
        <is>
          <t>226우7836</t>
        </is>
      </c>
      <c r="I70" t="n">
        <v>13000000</v>
      </c>
      <c r="J70" t="n">
        <v>0.049</v>
      </c>
      <c r="K70" t="n">
        <v>0.55</v>
      </c>
      <c r="L70" t="n">
        <v>0.4</v>
      </c>
      <c r="M70" t="n">
        <v>0.15</v>
      </c>
      <c r="P70" t="inlineStr">
        <is>
          <t>임대경</t>
        </is>
      </c>
      <c r="Z70" t="n">
        <v>0</v>
      </c>
      <c r="AB70" t="inlineStr">
        <is>
          <t>엔카</t>
        </is>
      </c>
      <c r="AC70" t="n">
        <v>71500</v>
      </c>
      <c r="AD70" t="n">
        <v>52000</v>
      </c>
      <c r="AE70" t="n">
        <v>19500</v>
      </c>
      <c r="AF70" t="n">
        <v>65000</v>
      </c>
      <c r="AG70" t="n">
        <v>52000</v>
      </c>
      <c r="AH70" t="n">
        <v>13000</v>
      </c>
    </row>
    <row r="71">
      <c r="A71" t="inlineStr">
        <is>
          <t>1월</t>
        </is>
      </c>
      <c r="B71" t="inlineStr">
        <is>
          <t>2주차</t>
        </is>
      </c>
      <c r="C71" t="inlineStr">
        <is>
          <t>EP</t>
        </is>
      </c>
      <c r="D71" s="28" t="n">
        <v>46027</v>
      </c>
      <c r="E71" t="inlineStr">
        <is>
          <t>현대EP_fast</t>
        </is>
      </c>
      <c r="F71" t="inlineStr">
        <is>
          <t>조완근</t>
        </is>
      </c>
      <c r="G71" t="inlineStr">
        <is>
          <t>010-9799-5144</t>
        </is>
      </c>
      <c r="H71" t="inlineStr">
        <is>
          <t>12조0328</t>
        </is>
      </c>
      <c r="I71" t="n">
        <v>8000000</v>
      </c>
      <c r="J71" t="n">
        <v>0.07199999999999999</v>
      </c>
      <c r="K71" t="n">
        <v>1.76</v>
      </c>
      <c r="L71" t="n">
        <v>0.13</v>
      </c>
      <c r="M71" t="n">
        <v>1.63</v>
      </c>
      <c r="P71" t="inlineStr">
        <is>
          <t>임대경</t>
        </is>
      </c>
      <c r="Q71" t="inlineStr">
        <is>
          <t>홈서비스 24개월</t>
        </is>
      </c>
      <c r="Z71" t="n">
        <v>0</v>
      </c>
      <c r="AB71" t="inlineStr">
        <is>
          <t>홈서비스</t>
        </is>
      </c>
      <c r="AC71" t="n">
        <v>140800</v>
      </c>
      <c r="AD71" t="n">
        <v>10400</v>
      </c>
      <c r="AE71" t="n">
        <v>130400</v>
      </c>
      <c r="AF71" t="n">
        <v>128000</v>
      </c>
      <c r="AG71" t="n">
        <v>10400</v>
      </c>
      <c r="AH71" t="n">
        <v>117600</v>
      </c>
    </row>
    <row r="72">
      <c r="A72" t="inlineStr">
        <is>
          <t>1월</t>
        </is>
      </c>
      <c r="B72" t="inlineStr">
        <is>
          <t>1주차</t>
        </is>
      </c>
      <c r="C72" t="inlineStr">
        <is>
          <t>상환</t>
        </is>
      </c>
      <c r="D72" s="28" t="n">
        <v>46024</v>
      </c>
      <c r="E72" t="inlineStr">
        <is>
          <t>현대EP_fast상환</t>
        </is>
      </c>
      <c r="F72" t="inlineStr">
        <is>
          <t>김영광</t>
        </is>
      </c>
      <c r="G72" t="inlineStr">
        <is>
          <t>010-9948-9825</t>
        </is>
      </c>
      <c r="H72" t="inlineStr">
        <is>
          <t>18저3261</t>
        </is>
      </c>
      <c r="I72" t="n">
        <v>-18800000</v>
      </c>
      <c r="J72" t="n">
        <v>0.06900000000000001</v>
      </c>
      <c r="K72" t="n">
        <v>0.66</v>
      </c>
      <c r="L72" t="n">
        <v>0.13</v>
      </c>
      <c r="M72" t="n">
        <v>0.53</v>
      </c>
      <c r="P72" t="inlineStr">
        <is>
          <t>김나윤</t>
        </is>
      </c>
      <c r="Q72" t="inlineStr">
        <is>
          <t>홈서비스60개월 / *전월확정 20251223 당월철회 20260102</t>
        </is>
      </c>
      <c r="Z72" t="n">
        <v>0</v>
      </c>
      <c r="AB72" t="inlineStr">
        <is>
          <t>홈서비스</t>
        </is>
      </c>
      <c r="AC72" t="n">
        <v>-124080</v>
      </c>
      <c r="AD72" t="n">
        <v>-24440</v>
      </c>
      <c r="AE72" t="n">
        <v>-99640</v>
      </c>
      <c r="AF72" t="n">
        <v>-112800</v>
      </c>
      <c r="AG72" t="n">
        <v>-24440</v>
      </c>
      <c r="AH72" t="n">
        <v>-88360</v>
      </c>
      <c r="AI72" t="n">
        <v>0</v>
      </c>
      <c r="AJ72" t="inlineStr">
        <is>
          <t>개인</t>
        </is>
      </c>
      <c r="AK72" t="inlineStr">
        <is>
          <t>대출철회</t>
        </is>
      </c>
    </row>
    <row r="73">
      <c r="A73" t="inlineStr">
        <is>
          <t>1월</t>
        </is>
      </c>
      <c r="B73" t="inlineStr">
        <is>
          <t>2주차</t>
        </is>
      </c>
      <c r="C73" t="inlineStr">
        <is>
          <t>IM</t>
        </is>
      </c>
      <c r="D73" s="28" t="n">
        <v>46027</v>
      </c>
      <c r="E73" t="inlineStr">
        <is>
          <t>IM캐피탈</t>
        </is>
      </c>
      <c r="F73" t="inlineStr">
        <is>
          <t>최선영</t>
        </is>
      </c>
      <c r="G73" t="inlineStr">
        <is>
          <t>010-9224-7114</t>
        </is>
      </c>
      <c r="H73" t="inlineStr">
        <is>
          <t>357가8621</t>
        </is>
      </c>
      <c r="I73" t="n">
        <v>21700000</v>
      </c>
      <c r="J73" t="n">
        <v>0.039</v>
      </c>
      <c r="K73" t="n">
        <v>0.55</v>
      </c>
      <c r="L73" t="n">
        <v>0.4</v>
      </c>
      <c r="M73" t="n">
        <v>0.15</v>
      </c>
      <c r="P73" t="inlineStr">
        <is>
          <t>임대경</t>
        </is>
      </c>
      <c r="Z73" t="n">
        <v>0</v>
      </c>
      <c r="AB73" t="inlineStr">
        <is>
          <t>엔카</t>
        </is>
      </c>
      <c r="AC73" t="n">
        <v>119350</v>
      </c>
      <c r="AD73" t="n">
        <v>86800</v>
      </c>
      <c r="AE73" t="n">
        <v>32550</v>
      </c>
      <c r="AF73" t="n">
        <v>108500</v>
      </c>
      <c r="AG73" t="n">
        <v>86800</v>
      </c>
      <c r="AH73" t="n">
        <v>21700</v>
      </c>
      <c r="AI73" t="n">
        <v>0</v>
      </c>
    </row>
    <row r="74">
      <c r="A74" t="inlineStr">
        <is>
          <t>1월</t>
        </is>
      </c>
      <c r="B74" t="inlineStr">
        <is>
          <t>1주차</t>
        </is>
      </c>
      <c r="C74" t="inlineStr">
        <is>
          <t>EP</t>
        </is>
      </c>
      <c r="D74" s="28" t="n">
        <v>46024</v>
      </c>
      <c r="E74" t="inlineStr">
        <is>
          <t>현대EP</t>
        </is>
      </c>
      <c r="F74" t="inlineStr">
        <is>
          <t>하민성</t>
        </is>
      </c>
      <c r="G74" t="inlineStr">
        <is>
          <t>010-3179-1472</t>
        </is>
      </c>
      <c r="H74" t="inlineStr">
        <is>
          <t>225두4864</t>
        </is>
      </c>
      <c r="I74" t="n">
        <v>11600000</v>
      </c>
      <c r="J74" t="n">
        <v>0.067</v>
      </c>
      <c r="K74" t="n">
        <v>1.76</v>
      </c>
      <c r="L74" t="n">
        <v>0.13</v>
      </c>
      <c r="M74" t="n">
        <v>1.63</v>
      </c>
      <c r="P74" t="inlineStr">
        <is>
          <t>정광호</t>
        </is>
      </c>
      <c r="Z74" t="n">
        <v>0</v>
      </c>
      <c r="AB74" t="inlineStr">
        <is>
          <t>홈서비스</t>
        </is>
      </c>
      <c r="AC74" t="n">
        <v>204160</v>
      </c>
      <c r="AD74" t="n">
        <v>15080</v>
      </c>
      <c r="AE74" t="n">
        <v>189080</v>
      </c>
      <c r="AF74" t="n">
        <v>185600</v>
      </c>
      <c r="AG74" t="n">
        <v>15080</v>
      </c>
      <c r="AH74" t="n">
        <v>170520</v>
      </c>
    </row>
    <row r="75">
      <c r="A75" t="inlineStr">
        <is>
          <t>1월</t>
        </is>
      </c>
      <c r="B75" t="inlineStr">
        <is>
          <t>1주차</t>
        </is>
      </c>
      <c r="C75" t="inlineStr">
        <is>
          <t>EP</t>
        </is>
      </c>
      <c r="D75" s="28" t="n">
        <v>46024</v>
      </c>
      <c r="E75" t="inlineStr">
        <is>
          <t>현대EP_fast</t>
        </is>
      </c>
      <c r="F75" t="inlineStr">
        <is>
          <t>이욱균</t>
        </is>
      </c>
      <c r="G75" t="inlineStr">
        <is>
          <t>010-4772-5913</t>
        </is>
      </c>
      <c r="H75" t="inlineStr">
        <is>
          <t>815버1710</t>
        </is>
      </c>
      <c r="I75" t="n">
        <v>6000000</v>
      </c>
      <c r="J75" t="n">
        <v>0.08699999999999999</v>
      </c>
      <c r="K75" t="n">
        <v>1.76</v>
      </c>
      <c r="L75" t="n">
        <v>0.13</v>
      </c>
      <c r="M75" t="n">
        <v>1.63</v>
      </c>
      <c r="P75" t="inlineStr">
        <is>
          <t>장진경</t>
        </is>
      </c>
      <c r="Q75" t="inlineStr">
        <is>
          <t>선상담 / 홈서비스 48개월</t>
        </is>
      </c>
      <c r="Z75" t="n">
        <v>0</v>
      </c>
      <c r="AB75" t="inlineStr">
        <is>
          <t>홈서비스</t>
        </is>
      </c>
      <c r="AC75" t="n">
        <v>105600</v>
      </c>
      <c r="AD75" t="n">
        <v>7800</v>
      </c>
      <c r="AE75" t="n">
        <v>97800</v>
      </c>
      <c r="AF75" t="n">
        <v>96000</v>
      </c>
      <c r="AG75" t="n">
        <v>7800</v>
      </c>
      <c r="AH75" t="n">
        <v>88200</v>
      </c>
      <c r="AI75" t="n">
        <v>0</v>
      </c>
    </row>
    <row r="76">
      <c r="A76" t="inlineStr">
        <is>
          <t>1월</t>
        </is>
      </c>
      <c r="B76" t="inlineStr">
        <is>
          <t>1주차</t>
        </is>
      </c>
      <c r="C76" t="inlineStr">
        <is>
          <t>OR</t>
        </is>
      </c>
      <c r="D76" s="28" t="n">
        <v>46024</v>
      </c>
      <c r="E76" t="inlineStr">
        <is>
          <t>오릭스</t>
        </is>
      </c>
      <c r="F76" t="inlineStr">
        <is>
          <t>허 윤</t>
        </is>
      </c>
      <c r="G76" t="inlineStr">
        <is>
          <t>010-4838-3174</t>
        </is>
      </c>
      <c r="H76" t="inlineStr">
        <is>
          <t>244가4996</t>
        </is>
      </c>
      <c r="I76" t="n">
        <v>20000000</v>
      </c>
      <c r="J76" t="n">
        <v>0.055</v>
      </c>
      <c r="K76" t="n">
        <v>1.65</v>
      </c>
      <c r="L76" t="n">
        <v>0.4</v>
      </c>
      <c r="M76" t="n">
        <v>1.25</v>
      </c>
      <c r="P76" t="inlineStr">
        <is>
          <t>박보람</t>
        </is>
      </c>
      <c r="Z76" t="n">
        <v>0</v>
      </c>
      <c r="AB76" t="inlineStr">
        <is>
          <t>엔카</t>
        </is>
      </c>
      <c r="AC76" t="n">
        <v>330000</v>
      </c>
      <c r="AD76" t="n">
        <v>80000</v>
      </c>
      <c r="AE76" t="n">
        <v>250000</v>
      </c>
      <c r="AF76" t="n">
        <v>300000</v>
      </c>
      <c r="AG76" t="n">
        <v>80000</v>
      </c>
      <c r="AH76" t="n">
        <v>220000</v>
      </c>
      <c r="AI76" t="n">
        <v>0</v>
      </c>
    </row>
    <row r="77">
      <c r="A77" t="inlineStr">
        <is>
          <t>1월</t>
        </is>
      </c>
      <c r="B77" t="inlineStr">
        <is>
          <t>1주차</t>
        </is>
      </c>
      <c r="C77" t="inlineStr">
        <is>
          <t>EP</t>
        </is>
      </c>
      <c r="D77" s="28" t="n">
        <v>46025</v>
      </c>
      <c r="E77" t="inlineStr">
        <is>
          <t>현대EP</t>
        </is>
      </c>
      <c r="F77" t="inlineStr">
        <is>
          <t>손동환</t>
        </is>
      </c>
      <c r="G77" t="inlineStr">
        <is>
          <t>010-9632-8612</t>
        </is>
      </c>
      <c r="H77" t="inlineStr">
        <is>
          <t>24루9660</t>
        </is>
      </c>
      <c r="I77" t="n">
        <v>3000000</v>
      </c>
      <c r="J77" t="n">
        <v>0.06900000000000001</v>
      </c>
      <c r="K77" t="n">
        <v>1.76</v>
      </c>
      <c r="L77" t="n">
        <v>0.13</v>
      </c>
      <c r="M77" t="n">
        <v>1.63</v>
      </c>
      <c r="P77" t="inlineStr">
        <is>
          <t>정광호</t>
        </is>
      </c>
      <c r="Z77" t="n">
        <v>0</v>
      </c>
      <c r="AB77" t="inlineStr">
        <is>
          <t>홈서비스</t>
        </is>
      </c>
      <c r="AC77" t="n">
        <v>52800</v>
      </c>
      <c r="AD77" t="n">
        <v>3900</v>
      </c>
      <c r="AE77" t="n">
        <v>48900</v>
      </c>
      <c r="AF77" t="n">
        <v>48000</v>
      </c>
      <c r="AG77" t="n">
        <v>3900</v>
      </c>
      <c r="AH77" t="n">
        <v>44100</v>
      </c>
      <c r="AI77" t="n">
        <v>0</v>
      </c>
    </row>
    <row r="78">
      <c r="A78" t="inlineStr">
        <is>
          <t>1월</t>
        </is>
      </c>
      <c r="B78" t="inlineStr">
        <is>
          <t>2주차</t>
        </is>
      </c>
      <c r="C78" t="inlineStr">
        <is>
          <t>IM</t>
        </is>
      </c>
      <c r="D78" s="28" t="n">
        <v>46027</v>
      </c>
      <c r="E78" t="inlineStr">
        <is>
          <t>IM캐피탈</t>
        </is>
      </c>
      <c r="F78" t="inlineStr">
        <is>
          <t>남성환</t>
        </is>
      </c>
      <c r="G78" t="inlineStr">
        <is>
          <t>010-2548-0018</t>
        </is>
      </c>
      <c r="H78" t="inlineStr">
        <is>
          <t>179다8217</t>
        </is>
      </c>
      <c r="I78" t="n">
        <v>22000000</v>
      </c>
      <c r="J78" t="n">
        <v>0.067</v>
      </c>
      <c r="K78" t="n">
        <v>0.55</v>
      </c>
      <c r="L78" t="n">
        <v>0.4</v>
      </c>
      <c r="M78" t="n">
        <v>0.15</v>
      </c>
      <c r="P78" t="inlineStr">
        <is>
          <t>임대경</t>
        </is>
      </c>
      <c r="Z78" t="n">
        <v>0</v>
      </c>
      <c r="AB78" t="inlineStr">
        <is>
          <t>엔카</t>
        </is>
      </c>
      <c r="AC78" t="n">
        <v>121000</v>
      </c>
      <c r="AD78" t="n">
        <v>88000</v>
      </c>
      <c r="AE78" t="n">
        <v>33000</v>
      </c>
      <c r="AF78" t="n">
        <v>110000</v>
      </c>
      <c r="AG78" t="n">
        <v>88000</v>
      </c>
      <c r="AH78" t="n">
        <v>22000</v>
      </c>
      <c r="AI78" t="n">
        <v>0</v>
      </c>
    </row>
    <row r="79">
      <c r="A79" t="inlineStr">
        <is>
          <t>1월</t>
        </is>
      </c>
      <c r="B79" t="inlineStr">
        <is>
          <t>1주차</t>
        </is>
      </c>
      <c r="C79" t="inlineStr">
        <is>
          <t>IM</t>
        </is>
      </c>
      <c r="D79" s="28" t="n">
        <v>46025</v>
      </c>
      <c r="E79" t="inlineStr">
        <is>
          <t>IM캐피탈</t>
        </is>
      </c>
      <c r="F79" t="inlineStr">
        <is>
          <t>김영웅</t>
        </is>
      </c>
      <c r="G79" t="inlineStr">
        <is>
          <t>010-9364-5452</t>
        </is>
      </c>
      <c r="H79" t="inlineStr">
        <is>
          <t>328나2578</t>
        </is>
      </c>
      <c r="I79" t="n">
        <v>18000000</v>
      </c>
      <c r="J79" t="n">
        <v>0.053</v>
      </c>
      <c r="K79" t="n">
        <v>0.55</v>
      </c>
      <c r="L79" t="n">
        <v>0.13</v>
      </c>
      <c r="M79" t="n">
        <v>0.42</v>
      </c>
      <c r="P79" t="inlineStr">
        <is>
          <t>장현경</t>
        </is>
      </c>
      <c r="Q79" t="inlineStr">
        <is>
          <t>주말 당직건 / 홈서비스 36개월</t>
        </is>
      </c>
      <c r="Z79" t="n">
        <v>0</v>
      </c>
      <c r="AB79" t="inlineStr">
        <is>
          <t>홈서비스</t>
        </is>
      </c>
      <c r="AC79" t="n">
        <v>99000</v>
      </c>
      <c r="AD79" t="n">
        <v>23400</v>
      </c>
      <c r="AE79" t="n">
        <v>75600</v>
      </c>
      <c r="AF79" t="n">
        <v>90000</v>
      </c>
      <c r="AG79" t="n">
        <v>23400</v>
      </c>
      <c r="AH79" t="n">
        <v>66600</v>
      </c>
      <c r="AI79" t="n">
        <v>1</v>
      </c>
    </row>
    <row r="80">
      <c r="A80" t="inlineStr">
        <is>
          <t>1월</t>
        </is>
      </c>
      <c r="B80" t="inlineStr">
        <is>
          <t>2주차</t>
        </is>
      </c>
      <c r="C80" t="inlineStr">
        <is>
          <t>IM</t>
        </is>
      </c>
      <c r="D80" s="28" t="n">
        <v>46027</v>
      </c>
      <c r="E80" t="inlineStr">
        <is>
          <t>IM캐피탈</t>
        </is>
      </c>
      <c r="F80" t="inlineStr">
        <is>
          <t>송인성</t>
        </is>
      </c>
      <c r="G80" t="inlineStr">
        <is>
          <t>010-3637-3593</t>
        </is>
      </c>
      <c r="H80" t="inlineStr">
        <is>
          <t>209가8239</t>
        </is>
      </c>
      <c r="I80" t="n">
        <v>8900000</v>
      </c>
      <c r="J80" t="n">
        <v>0.049</v>
      </c>
      <c r="K80" t="n">
        <v>0.55</v>
      </c>
      <c r="L80" t="n">
        <v>0.13</v>
      </c>
      <c r="M80" t="n">
        <v>0.42</v>
      </c>
      <c r="P80" t="inlineStr">
        <is>
          <t>황채이</t>
        </is>
      </c>
      <c r="Q80" t="inlineStr">
        <is>
          <t xml:space="preserve">홈서비스 36개월 </t>
        </is>
      </c>
      <c r="Z80" t="n">
        <v>0</v>
      </c>
      <c r="AB80" t="inlineStr">
        <is>
          <t>홈서비스</t>
        </is>
      </c>
      <c r="AC80" t="n">
        <v>48950</v>
      </c>
      <c r="AD80" t="n">
        <v>11570</v>
      </c>
      <c r="AE80" t="n">
        <v>37380</v>
      </c>
      <c r="AF80" t="n">
        <v>44500</v>
      </c>
      <c r="AG80" t="n">
        <v>11570</v>
      </c>
      <c r="AH80" t="n">
        <v>32930</v>
      </c>
      <c r="AI80" t="n">
        <v>0</v>
      </c>
    </row>
    <row r="81">
      <c r="A81" t="inlineStr">
        <is>
          <t>1월</t>
        </is>
      </c>
      <c r="B81" t="inlineStr">
        <is>
          <t>1주차</t>
        </is>
      </c>
      <c r="C81" t="inlineStr">
        <is>
          <t>IM</t>
        </is>
      </c>
      <c r="D81" s="28" t="n">
        <v>46024</v>
      </c>
      <c r="E81" t="inlineStr">
        <is>
          <t>IM캐피탈</t>
        </is>
      </c>
      <c r="F81" t="inlineStr">
        <is>
          <t>남영지</t>
        </is>
      </c>
      <c r="G81" t="inlineStr">
        <is>
          <t>010-2230-5977</t>
        </is>
      </c>
      <c r="H81" t="inlineStr">
        <is>
          <t>14소1430</t>
        </is>
      </c>
      <c r="I81" t="n">
        <v>44900000</v>
      </c>
      <c r="J81" t="n">
        <v>0.053</v>
      </c>
      <c r="K81" t="n">
        <v>0.55</v>
      </c>
      <c r="L81" t="n">
        <v>0.4</v>
      </c>
      <c r="M81" t="n">
        <v>0.15</v>
      </c>
      <c r="P81" t="inlineStr">
        <is>
          <t>정하은</t>
        </is>
      </c>
      <c r="Q81" t="inlineStr">
        <is>
          <t>공동명의 / 사유 : 부대비용추가진행</t>
        </is>
      </c>
      <c r="Z81" t="n">
        <v>0</v>
      </c>
      <c r="AB81" t="inlineStr">
        <is>
          <t>엔카</t>
        </is>
      </c>
      <c r="AC81" t="n">
        <v>246950</v>
      </c>
      <c r="AD81" t="n">
        <v>179600</v>
      </c>
      <c r="AE81" t="n">
        <v>67350</v>
      </c>
      <c r="AF81" t="n">
        <v>224500</v>
      </c>
      <c r="AG81" t="n">
        <v>179600</v>
      </c>
      <c r="AH81" t="n">
        <v>44900</v>
      </c>
    </row>
    <row r="82">
      <c r="A82" t="inlineStr">
        <is>
          <t>1월</t>
        </is>
      </c>
      <c r="B82" t="inlineStr">
        <is>
          <t>1주차</t>
        </is>
      </c>
      <c r="C82" t="inlineStr">
        <is>
          <t>EP</t>
        </is>
      </c>
      <c r="D82" s="28" t="n">
        <v>46024</v>
      </c>
      <c r="E82" t="inlineStr">
        <is>
          <t>현대EP</t>
        </is>
      </c>
      <c r="F82" t="inlineStr">
        <is>
          <t>이기환</t>
        </is>
      </c>
      <c r="G82" t="inlineStr">
        <is>
          <t>010-6717-7713</t>
        </is>
      </c>
      <c r="H82" t="inlineStr">
        <is>
          <t>21노5460</t>
        </is>
      </c>
      <c r="I82" t="n">
        <v>16900000</v>
      </c>
      <c r="J82" t="n">
        <v>0.089</v>
      </c>
      <c r="K82" t="n">
        <v>1.76</v>
      </c>
      <c r="L82" t="n">
        <v>0.13</v>
      </c>
      <c r="M82" t="n">
        <v>1.63</v>
      </c>
      <c r="P82" t="inlineStr">
        <is>
          <t>최형주</t>
        </is>
      </c>
      <c r="Z82" t="n">
        <v>0</v>
      </c>
      <c r="AB82" t="inlineStr">
        <is>
          <t>홈서비스</t>
        </is>
      </c>
      <c r="AC82" t="n">
        <v>297440</v>
      </c>
      <c r="AD82" t="n">
        <v>21970</v>
      </c>
      <c r="AE82" t="n">
        <v>275470</v>
      </c>
      <c r="AF82" t="n">
        <v>270400</v>
      </c>
      <c r="AG82" t="n">
        <v>21970</v>
      </c>
      <c r="AH82" t="n">
        <v>248430</v>
      </c>
    </row>
    <row r="83">
      <c r="A83" t="inlineStr">
        <is>
          <t>1월</t>
        </is>
      </c>
      <c r="B83" t="inlineStr">
        <is>
          <t>2주차</t>
        </is>
      </c>
      <c r="C83" t="inlineStr">
        <is>
          <t>EP</t>
        </is>
      </c>
      <c r="D83" s="28" t="n">
        <v>46027</v>
      </c>
      <c r="E83" t="inlineStr">
        <is>
          <t>현대EP_fast</t>
        </is>
      </c>
      <c r="F83" t="inlineStr">
        <is>
          <t>권민성</t>
        </is>
      </c>
      <c r="G83" t="inlineStr">
        <is>
          <t>010-9492-9679</t>
        </is>
      </c>
      <c r="H83" t="inlineStr">
        <is>
          <t>87루1656</t>
        </is>
      </c>
      <c r="I83" t="n">
        <v>20800000</v>
      </c>
      <c r="J83" t="n">
        <v>0.057</v>
      </c>
      <c r="K83" t="n">
        <v>1.76</v>
      </c>
      <c r="L83" t="n">
        <v>0.13</v>
      </c>
      <c r="M83" t="n">
        <v>1.63</v>
      </c>
      <c r="P83" t="inlineStr">
        <is>
          <t>황채이</t>
        </is>
      </c>
      <c r="Q83" t="inlineStr">
        <is>
          <t>홈서비스 60개월 /*당월철회 20260109</t>
        </is>
      </c>
      <c r="Z83" t="n">
        <v>0</v>
      </c>
      <c r="AB83" t="inlineStr">
        <is>
          <t>홈서비스</t>
        </is>
      </c>
      <c r="AC83" t="n">
        <v>366080</v>
      </c>
      <c r="AD83" t="n">
        <v>27040</v>
      </c>
      <c r="AE83" t="n">
        <v>339040</v>
      </c>
      <c r="AF83" t="n">
        <v>332800</v>
      </c>
      <c r="AG83" t="n">
        <v>27040</v>
      </c>
      <c r="AH83" t="n">
        <v>305760</v>
      </c>
      <c r="AK83" t="inlineStr">
        <is>
          <t>대출철회</t>
        </is>
      </c>
    </row>
    <row r="84">
      <c r="A84" t="inlineStr">
        <is>
          <t>1월</t>
        </is>
      </c>
      <c r="B84" t="inlineStr">
        <is>
          <t>2주차</t>
        </is>
      </c>
      <c r="C84" t="inlineStr">
        <is>
          <t>EP</t>
        </is>
      </c>
      <c r="D84" s="28" t="n">
        <v>46027</v>
      </c>
      <c r="E84" t="inlineStr">
        <is>
          <t>현대EP</t>
        </is>
      </c>
      <c r="F84" t="inlineStr">
        <is>
          <t>이성환</t>
        </is>
      </c>
      <c r="G84" t="inlineStr">
        <is>
          <t>010-2807-4602</t>
        </is>
      </c>
      <c r="H84" t="inlineStr">
        <is>
          <t>321고6346</t>
        </is>
      </c>
      <c r="I84" t="n">
        <v>49000000</v>
      </c>
      <c r="J84" t="n">
        <v>0.067</v>
      </c>
      <c r="K84" t="n">
        <v>1.76</v>
      </c>
      <c r="L84" t="n">
        <v>0.13</v>
      </c>
      <c r="M84" t="n">
        <v>1.63</v>
      </c>
      <c r="P84" t="inlineStr">
        <is>
          <t>황채이</t>
        </is>
      </c>
      <c r="Q84" t="inlineStr">
        <is>
          <t>/ *누락 추가기재</t>
        </is>
      </c>
      <c r="Z84" t="n">
        <v>0</v>
      </c>
      <c r="AB84" t="inlineStr">
        <is>
          <t>홈서비스</t>
        </is>
      </c>
      <c r="AC84" t="n">
        <v>862400</v>
      </c>
      <c r="AD84" t="n">
        <v>63700</v>
      </c>
      <c r="AE84" t="n">
        <v>798700</v>
      </c>
      <c r="AF84" t="n">
        <v>784000</v>
      </c>
      <c r="AG84" t="n">
        <v>63700</v>
      </c>
      <c r="AH84" t="n">
        <v>720300</v>
      </c>
    </row>
    <row r="85">
      <c r="A85" t="inlineStr">
        <is>
          <t>1월</t>
        </is>
      </c>
      <c r="B85" t="inlineStr">
        <is>
          <t>2주차</t>
        </is>
      </c>
      <c r="C85" t="inlineStr">
        <is>
          <t>EP</t>
        </is>
      </c>
      <c r="D85" s="28" t="n">
        <v>46027</v>
      </c>
      <c r="E85" t="inlineStr">
        <is>
          <t>현대EP_fast</t>
        </is>
      </c>
      <c r="F85" t="inlineStr">
        <is>
          <t>김미소</t>
        </is>
      </c>
      <c r="G85" t="inlineStr">
        <is>
          <t>010-9800-0221</t>
        </is>
      </c>
      <c r="H85" t="inlineStr">
        <is>
          <t>145부6131</t>
        </is>
      </c>
      <c r="I85" t="n">
        <v>21300000</v>
      </c>
      <c r="J85" t="n">
        <v>0.093</v>
      </c>
      <c r="K85" t="n">
        <v>1.76</v>
      </c>
      <c r="L85" t="n">
        <v>0.13</v>
      </c>
      <c r="M85" t="n">
        <v>1.63</v>
      </c>
      <c r="P85" t="inlineStr">
        <is>
          <t>정광호</t>
        </is>
      </c>
      <c r="Q85" t="inlineStr">
        <is>
          <t>홈서비스 60개월</t>
        </is>
      </c>
      <c r="Z85" t="n">
        <v>0</v>
      </c>
      <c r="AB85" t="inlineStr">
        <is>
          <t>홈서비스</t>
        </is>
      </c>
      <c r="AC85" t="n">
        <v>374880</v>
      </c>
      <c r="AD85" t="n">
        <v>27690</v>
      </c>
      <c r="AE85" t="n">
        <v>347190</v>
      </c>
      <c r="AF85" t="n">
        <v>340800</v>
      </c>
      <c r="AG85" t="n">
        <v>27690</v>
      </c>
      <c r="AH85" t="n">
        <v>313110</v>
      </c>
      <c r="AI85" t="n">
        <v>0</v>
      </c>
    </row>
    <row r="86">
      <c r="A86" t="inlineStr">
        <is>
          <t>1월</t>
        </is>
      </c>
      <c r="B86" t="inlineStr">
        <is>
          <t>1주차</t>
        </is>
      </c>
      <c r="C86" t="inlineStr">
        <is>
          <t>EP</t>
        </is>
      </c>
      <c r="D86" s="28" t="n">
        <v>46024</v>
      </c>
      <c r="E86" t="inlineStr">
        <is>
          <t>현대EP</t>
        </is>
      </c>
      <c r="F86" t="inlineStr">
        <is>
          <t>곽진호</t>
        </is>
      </c>
      <c r="G86" t="inlineStr">
        <is>
          <t>010-3951-5823</t>
        </is>
      </c>
      <c r="H86" t="inlineStr">
        <is>
          <t>292무8610</t>
        </is>
      </c>
      <c r="I86" t="n">
        <v>47000000</v>
      </c>
      <c r="J86" t="n">
        <v>0.101</v>
      </c>
      <c r="K86" t="n">
        <v>1.76</v>
      </c>
      <c r="L86" t="n">
        <v>0.13</v>
      </c>
      <c r="M86" t="n">
        <v>1.63</v>
      </c>
      <c r="P86" t="inlineStr">
        <is>
          <t>박소현</t>
        </is>
      </c>
      <c r="Z86" t="n">
        <v>0</v>
      </c>
      <c r="AB86" t="inlineStr">
        <is>
          <t>홈서비스</t>
        </is>
      </c>
      <c r="AC86" t="n">
        <v>827200</v>
      </c>
      <c r="AD86" t="n">
        <v>61100</v>
      </c>
      <c r="AE86" t="n">
        <v>766100</v>
      </c>
      <c r="AF86" t="n">
        <v>752000</v>
      </c>
      <c r="AG86" t="n">
        <v>61100</v>
      </c>
      <c r="AH86" t="n">
        <v>690900</v>
      </c>
    </row>
    <row r="87">
      <c r="A87" t="inlineStr">
        <is>
          <t>1월</t>
        </is>
      </c>
      <c r="B87" t="inlineStr">
        <is>
          <t>2주차</t>
        </is>
      </c>
      <c r="C87" t="inlineStr">
        <is>
          <t>IM</t>
        </is>
      </c>
      <c r="D87" s="28" t="n">
        <v>46027</v>
      </c>
      <c r="E87" t="inlineStr">
        <is>
          <t>IM캐피탈</t>
        </is>
      </c>
      <c r="F87" t="inlineStr">
        <is>
          <t>신한국</t>
        </is>
      </c>
      <c r="G87" t="inlineStr">
        <is>
          <t>010-4938-5709</t>
        </is>
      </c>
      <c r="H87" t="inlineStr">
        <is>
          <t>210거2430</t>
        </is>
      </c>
      <c r="I87" t="n">
        <v>10000000</v>
      </c>
      <c r="J87" t="n">
        <v>0.039</v>
      </c>
      <c r="K87" t="n">
        <v>0.55</v>
      </c>
      <c r="L87" t="n">
        <v>0.13</v>
      </c>
      <c r="M87" t="n">
        <v>0.42</v>
      </c>
      <c r="P87" t="inlineStr">
        <is>
          <t>황채이</t>
        </is>
      </c>
      <c r="Q87" t="inlineStr">
        <is>
          <t xml:space="preserve">홈서비스 24개월 </t>
        </is>
      </c>
      <c r="Z87" t="n">
        <v>0</v>
      </c>
      <c r="AB87" t="inlineStr">
        <is>
          <t>홈서비스</t>
        </is>
      </c>
      <c r="AC87" t="n">
        <v>55000</v>
      </c>
      <c r="AD87" t="n">
        <v>13000</v>
      </c>
      <c r="AE87" t="n">
        <v>42000</v>
      </c>
      <c r="AF87" t="n">
        <v>50000</v>
      </c>
      <c r="AG87" t="n">
        <v>13000</v>
      </c>
      <c r="AH87" t="n">
        <v>37000</v>
      </c>
    </row>
    <row r="88">
      <c r="A88" t="inlineStr">
        <is>
          <t>1월</t>
        </is>
      </c>
      <c r="B88" t="inlineStr">
        <is>
          <t>2주차</t>
        </is>
      </c>
      <c r="C88" t="inlineStr">
        <is>
          <t>IM</t>
        </is>
      </c>
      <c r="D88" s="28" t="n">
        <v>46027</v>
      </c>
      <c r="E88" t="inlineStr">
        <is>
          <t>IM캐피탈</t>
        </is>
      </c>
      <c r="F88" t="inlineStr">
        <is>
          <t>양성구</t>
        </is>
      </c>
      <c r="G88" t="inlineStr">
        <is>
          <t>010-3352-5808</t>
        </is>
      </c>
      <c r="H88" t="inlineStr">
        <is>
          <t>208보1305</t>
        </is>
      </c>
      <c r="I88" t="n">
        <v>34900000</v>
      </c>
      <c r="J88" t="n">
        <v>0.067</v>
      </c>
      <c r="K88" t="n">
        <v>0.55</v>
      </c>
      <c r="L88" t="n">
        <v>0.13</v>
      </c>
      <c r="M88" t="n">
        <v>0.42</v>
      </c>
      <c r="P88" t="inlineStr">
        <is>
          <t>최형주</t>
        </is>
      </c>
      <c r="Q88" t="inlineStr">
        <is>
          <t>홈서비스60개월</t>
        </is>
      </c>
      <c r="Z88" t="n">
        <v>0</v>
      </c>
      <c r="AB88" t="inlineStr">
        <is>
          <t>홈서비스</t>
        </is>
      </c>
      <c r="AC88" t="n">
        <v>191950</v>
      </c>
      <c r="AD88" t="n">
        <v>45370</v>
      </c>
      <c r="AE88" t="n">
        <v>146580</v>
      </c>
      <c r="AF88" t="n">
        <v>174500</v>
      </c>
      <c r="AG88" t="n">
        <v>45370</v>
      </c>
      <c r="AH88" t="n">
        <v>129130</v>
      </c>
      <c r="AI88" t="n">
        <v>0</v>
      </c>
    </row>
    <row r="89">
      <c r="A89" t="inlineStr">
        <is>
          <t>1월</t>
        </is>
      </c>
      <c r="B89" t="inlineStr">
        <is>
          <t>1주차</t>
        </is>
      </c>
      <c r="C89" t="inlineStr">
        <is>
          <t>IM</t>
        </is>
      </c>
      <c r="D89" s="28" t="n">
        <v>46025</v>
      </c>
      <c r="E89" t="inlineStr">
        <is>
          <t>IM캐피탈</t>
        </is>
      </c>
      <c r="F89" t="inlineStr">
        <is>
          <t>이계수</t>
        </is>
      </c>
      <c r="G89" t="inlineStr">
        <is>
          <t>010-5504-3450</t>
        </is>
      </c>
      <c r="H89" t="inlineStr">
        <is>
          <t>107어7162</t>
        </is>
      </c>
      <c r="I89" t="n">
        <v>6500000</v>
      </c>
      <c r="J89" t="n">
        <v>0.049</v>
      </c>
      <c r="K89" t="n">
        <v>0.55</v>
      </c>
      <c r="L89" t="n">
        <v>0.4</v>
      </c>
      <c r="M89" t="n">
        <v>0.15</v>
      </c>
      <c r="P89" t="inlineStr">
        <is>
          <t>정세빈</t>
        </is>
      </c>
      <c r="Z89" t="n">
        <v>0</v>
      </c>
      <c r="AB89" t="inlineStr">
        <is>
          <t>엔카</t>
        </is>
      </c>
      <c r="AC89" t="n">
        <v>35750</v>
      </c>
      <c r="AD89" t="n">
        <v>26000</v>
      </c>
      <c r="AE89" t="n">
        <v>9750</v>
      </c>
      <c r="AF89" t="n">
        <v>32500</v>
      </c>
      <c r="AG89" t="n">
        <v>26000</v>
      </c>
      <c r="AH89" t="n">
        <v>6500</v>
      </c>
    </row>
    <row r="90">
      <c r="A90" t="inlineStr">
        <is>
          <t>1월</t>
        </is>
      </c>
      <c r="B90" t="inlineStr">
        <is>
          <t>2주차</t>
        </is>
      </c>
      <c r="C90" t="inlineStr">
        <is>
          <t>EP</t>
        </is>
      </c>
      <c r="D90" s="28" t="n">
        <v>46027</v>
      </c>
      <c r="E90" t="inlineStr">
        <is>
          <t>현대EP_fast</t>
        </is>
      </c>
      <c r="F90" t="inlineStr">
        <is>
          <t>김은경</t>
        </is>
      </c>
      <c r="G90" t="inlineStr">
        <is>
          <t>010-6828-2739</t>
        </is>
      </c>
      <c r="H90" t="inlineStr">
        <is>
          <t>391머8096</t>
        </is>
      </c>
      <c r="I90" t="n">
        <v>12800000</v>
      </c>
      <c r="J90" t="n">
        <v>0.081</v>
      </c>
      <c r="K90" t="n">
        <v>1.76</v>
      </c>
      <c r="L90" t="n">
        <v>0.13</v>
      </c>
      <c r="M90" t="n">
        <v>1.63</v>
      </c>
      <c r="P90" t="inlineStr">
        <is>
          <t>정광호</t>
        </is>
      </c>
      <c r="Q90" t="inlineStr">
        <is>
          <t>홈서비스 60개월</t>
        </is>
      </c>
      <c r="Z90" t="n">
        <v>0</v>
      </c>
      <c r="AB90" t="inlineStr">
        <is>
          <t>홈서비스</t>
        </is>
      </c>
      <c r="AC90" t="n">
        <v>225280</v>
      </c>
      <c r="AD90" t="n">
        <v>16640</v>
      </c>
      <c r="AE90" t="n">
        <v>208640</v>
      </c>
      <c r="AF90" t="n">
        <v>204800</v>
      </c>
      <c r="AG90" t="n">
        <v>16640</v>
      </c>
      <c r="AH90" t="n">
        <v>188160</v>
      </c>
      <c r="AI90" t="n">
        <v>0</v>
      </c>
    </row>
    <row r="91">
      <c r="A91" t="inlineStr">
        <is>
          <t>1월</t>
        </is>
      </c>
      <c r="B91" t="inlineStr">
        <is>
          <t>5주차</t>
        </is>
      </c>
      <c r="C91" t="inlineStr">
        <is>
          <t>상환</t>
        </is>
      </c>
      <c r="D91" t="inlineStr">
        <is>
          <t>2026-01-28</t>
        </is>
      </c>
      <c r="E91" t="inlineStr">
        <is>
          <t>현대EP_fast상환</t>
        </is>
      </c>
      <c r="F91" t="inlineStr">
        <is>
          <t>남지선</t>
        </is>
      </c>
      <c r="G91" t="n">
        <v>1029399607</v>
      </c>
      <c r="H91" t="inlineStr">
        <is>
          <t>42소2400</t>
        </is>
      </c>
      <c r="I91" t="n">
        <v>-4000000</v>
      </c>
      <c r="J91" t="n">
        <v>0.07199999999999999</v>
      </c>
      <c r="K91" t="n">
        <v>1.76</v>
      </c>
      <c r="L91" t="n">
        <v>0.13</v>
      </c>
      <c r="M91" t="n">
        <v>1.63</v>
      </c>
      <c r="P91" t="inlineStr">
        <is>
          <t>김나윤</t>
        </is>
      </c>
      <c r="Q91" t="inlineStr">
        <is>
          <t>홈서비스 36개월 /*당월철회 20260123</t>
        </is>
      </c>
      <c r="Z91" t="n">
        <v>0</v>
      </c>
      <c r="AB91" t="inlineStr">
        <is>
          <t>홈서비스</t>
        </is>
      </c>
      <c r="AC91" t="n">
        <v>-70400</v>
      </c>
      <c r="AD91" t="n">
        <v>-5200</v>
      </c>
      <c r="AE91" t="n">
        <v>-65200</v>
      </c>
      <c r="AF91" t="n">
        <v>-64000</v>
      </c>
      <c r="AG91" t="n">
        <v>-5200</v>
      </c>
      <c r="AH91" t="n">
        <v>-58800</v>
      </c>
      <c r="AK91" t="inlineStr">
        <is>
          <t>대출철회</t>
        </is>
      </c>
    </row>
    <row r="92">
      <c r="A92" t="inlineStr">
        <is>
          <t>1월</t>
        </is>
      </c>
      <c r="B92" t="inlineStr">
        <is>
          <t>1주차</t>
        </is>
      </c>
      <c r="C92" t="inlineStr">
        <is>
          <t>EP</t>
        </is>
      </c>
      <c r="D92" s="28" t="n">
        <v>46026</v>
      </c>
      <c r="E92" t="inlineStr">
        <is>
          <t>현대EP</t>
        </is>
      </c>
      <c r="F92" t="inlineStr">
        <is>
          <t>김종만</t>
        </is>
      </c>
      <c r="G92" t="inlineStr">
        <is>
          <t>010-5438-1105</t>
        </is>
      </c>
      <c r="H92" t="inlineStr">
        <is>
          <t>32너5919</t>
        </is>
      </c>
      <c r="I92" t="n">
        <v>16700000</v>
      </c>
      <c r="J92" t="n">
        <v>0.06900000000000001</v>
      </c>
      <c r="K92" t="n">
        <v>1.76</v>
      </c>
      <c r="L92" t="n">
        <v>0.13</v>
      </c>
      <c r="M92" t="n">
        <v>1.63</v>
      </c>
      <c r="P92" t="inlineStr">
        <is>
          <t>김나윤</t>
        </is>
      </c>
      <c r="Z92" t="n">
        <v>0</v>
      </c>
      <c r="AB92" t="inlineStr">
        <is>
          <t>홈서비스</t>
        </is>
      </c>
      <c r="AC92" t="n">
        <v>293920</v>
      </c>
      <c r="AD92" t="n">
        <v>21710</v>
      </c>
      <c r="AE92" t="n">
        <v>272210</v>
      </c>
      <c r="AF92" t="n">
        <v>267200</v>
      </c>
      <c r="AG92" t="n">
        <v>21710</v>
      </c>
      <c r="AH92" t="n">
        <v>245490</v>
      </c>
      <c r="AI92" t="n">
        <v>0</v>
      </c>
    </row>
    <row r="93">
      <c r="A93" t="inlineStr">
        <is>
          <t>1월</t>
        </is>
      </c>
      <c r="B93" t="inlineStr">
        <is>
          <t>2주차</t>
        </is>
      </c>
      <c r="C93" t="inlineStr">
        <is>
          <t>EP</t>
        </is>
      </c>
      <c r="D93" s="28" t="n">
        <v>46027</v>
      </c>
      <c r="E93" t="inlineStr">
        <is>
          <t>현대EP_fast</t>
        </is>
      </c>
      <c r="F93" t="inlineStr">
        <is>
          <t>이유림</t>
        </is>
      </c>
      <c r="G93" t="inlineStr">
        <is>
          <t>010-7903-2947</t>
        </is>
      </c>
      <c r="H93" t="inlineStr">
        <is>
          <t>13도0964</t>
        </is>
      </c>
      <c r="I93" t="n">
        <v>4900000</v>
      </c>
      <c r="J93" t="n">
        <v>0.095</v>
      </c>
      <c r="K93" t="n">
        <v>1.76</v>
      </c>
      <c r="L93" t="n">
        <v>0.13</v>
      </c>
      <c r="M93" t="n">
        <v>1.63</v>
      </c>
      <c r="P93" t="inlineStr">
        <is>
          <t>김나윤</t>
        </is>
      </c>
      <c r="Q93" t="inlineStr">
        <is>
          <t>홈서비스36개월</t>
        </is>
      </c>
      <c r="Z93" t="n">
        <v>0</v>
      </c>
      <c r="AB93" t="inlineStr">
        <is>
          <t>홈서비스</t>
        </is>
      </c>
      <c r="AC93" t="n">
        <v>86240</v>
      </c>
      <c r="AD93" t="n">
        <v>6370</v>
      </c>
      <c r="AE93" t="n">
        <v>79870</v>
      </c>
      <c r="AF93" t="n">
        <v>78400</v>
      </c>
      <c r="AG93" t="n">
        <v>6370</v>
      </c>
      <c r="AH93" t="n">
        <v>72030</v>
      </c>
      <c r="AI93" t="n">
        <v>0</v>
      </c>
    </row>
    <row r="94">
      <c r="A94" t="inlineStr">
        <is>
          <t>1월</t>
        </is>
      </c>
      <c r="B94" t="inlineStr">
        <is>
          <t>2주차</t>
        </is>
      </c>
      <c r="C94" t="inlineStr">
        <is>
          <t>IM</t>
        </is>
      </c>
      <c r="D94" s="28" t="n">
        <v>46027</v>
      </c>
      <c r="E94" t="inlineStr">
        <is>
          <t>IM캐피탈</t>
        </is>
      </c>
      <c r="F94" t="inlineStr">
        <is>
          <t>유대경</t>
        </is>
      </c>
      <c r="G94" t="inlineStr">
        <is>
          <t>010-8886-4171</t>
        </is>
      </c>
      <c r="H94" t="inlineStr">
        <is>
          <t>115다4186</t>
        </is>
      </c>
      <c r="I94" t="n">
        <v>43800000</v>
      </c>
      <c r="J94" t="n">
        <v>0.06</v>
      </c>
      <c r="K94" t="n">
        <v>0.55</v>
      </c>
      <c r="L94" t="n">
        <v>0.13</v>
      </c>
      <c r="M94" t="n">
        <v>0.42</v>
      </c>
      <c r="P94" t="inlineStr">
        <is>
          <t>김나윤</t>
        </is>
      </c>
      <c r="Q94" t="inlineStr">
        <is>
          <t>홈서비스60개월/ *철회 20260113</t>
        </is>
      </c>
      <c r="Z94" t="n">
        <v>0</v>
      </c>
      <c r="AB94" t="inlineStr">
        <is>
          <t>홈서비스</t>
        </is>
      </c>
      <c r="AC94" t="n">
        <v>240900</v>
      </c>
      <c r="AD94" t="n">
        <v>56940</v>
      </c>
      <c r="AE94" t="n">
        <v>183960</v>
      </c>
      <c r="AF94" t="n">
        <v>219000</v>
      </c>
      <c r="AG94" t="n">
        <v>56940</v>
      </c>
      <c r="AH94" t="n">
        <v>162060</v>
      </c>
      <c r="AI94" t="n">
        <v>0</v>
      </c>
      <c r="AK94" t="inlineStr">
        <is>
          <t>대출철회</t>
        </is>
      </c>
    </row>
    <row r="95">
      <c r="A95" t="inlineStr">
        <is>
          <t>1월</t>
        </is>
      </c>
      <c r="B95" t="inlineStr">
        <is>
          <t>1주차</t>
        </is>
      </c>
      <c r="C95" t="inlineStr">
        <is>
          <t>IM</t>
        </is>
      </c>
      <c r="D95" s="28" t="n">
        <v>46024</v>
      </c>
      <c r="E95" t="inlineStr">
        <is>
          <t>IM캐피탈</t>
        </is>
      </c>
      <c r="F95" t="inlineStr">
        <is>
          <t>임치환</t>
        </is>
      </c>
      <c r="G95" t="inlineStr">
        <is>
          <t>010-5833-1050</t>
        </is>
      </c>
      <c r="H95" t="inlineStr">
        <is>
          <t>12로8454</t>
        </is>
      </c>
      <c r="I95" t="n">
        <v>30000000</v>
      </c>
      <c r="J95" t="n">
        <v>0.06</v>
      </c>
      <c r="K95" t="n">
        <v>0.55</v>
      </c>
      <c r="L95" t="n">
        <v>0.4</v>
      </c>
      <c r="M95" t="n">
        <v>0.15</v>
      </c>
      <c r="P95" t="inlineStr">
        <is>
          <t>정하은</t>
        </is>
      </c>
      <c r="Z95" t="n">
        <v>0</v>
      </c>
      <c r="AB95" t="inlineStr">
        <is>
          <t>엔카</t>
        </is>
      </c>
      <c r="AC95" t="n">
        <v>165000</v>
      </c>
      <c r="AD95" t="n">
        <v>120000</v>
      </c>
      <c r="AE95" t="n">
        <v>45000</v>
      </c>
      <c r="AF95" t="n">
        <v>150000</v>
      </c>
      <c r="AG95" t="n">
        <v>120000</v>
      </c>
      <c r="AH95" t="n">
        <v>30000</v>
      </c>
      <c r="AI95" t="n">
        <v>0</v>
      </c>
    </row>
    <row r="96">
      <c r="A96" t="inlineStr">
        <is>
          <t>1월</t>
        </is>
      </c>
      <c r="B96" t="inlineStr">
        <is>
          <t>1주차</t>
        </is>
      </c>
      <c r="C96" t="inlineStr">
        <is>
          <t>IM</t>
        </is>
      </c>
      <c r="D96" s="28" t="n">
        <v>46024</v>
      </c>
      <c r="E96" t="inlineStr">
        <is>
          <t>IM캐피탈</t>
        </is>
      </c>
      <c r="F96" t="inlineStr">
        <is>
          <t>정중혁</t>
        </is>
      </c>
      <c r="G96" t="inlineStr">
        <is>
          <t>010-3621-4591</t>
        </is>
      </c>
      <c r="H96" t="inlineStr">
        <is>
          <t>02저8124</t>
        </is>
      </c>
      <c r="I96" t="n">
        <v>23000000</v>
      </c>
      <c r="J96" t="n">
        <v>0.056</v>
      </c>
      <c r="K96" t="n">
        <v>0.55</v>
      </c>
      <c r="L96" t="n">
        <v>0.4</v>
      </c>
      <c r="M96" t="n">
        <v>0.15</v>
      </c>
      <c r="P96" t="inlineStr">
        <is>
          <t>박현민</t>
        </is>
      </c>
      <c r="Z96" t="n">
        <v>0</v>
      </c>
      <c r="AB96" t="inlineStr">
        <is>
          <t>엔카</t>
        </is>
      </c>
      <c r="AC96" t="n">
        <v>126500</v>
      </c>
      <c r="AD96" t="n">
        <v>92000</v>
      </c>
      <c r="AE96" t="n">
        <v>34500</v>
      </c>
      <c r="AF96" t="n">
        <v>115000</v>
      </c>
      <c r="AG96" t="n">
        <v>92000</v>
      </c>
      <c r="AH96" t="n">
        <v>23000</v>
      </c>
    </row>
    <row r="97">
      <c r="A97" t="inlineStr">
        <is>
          <t>1월</t>
        </is>
      </c>
      <c r="B97" t="inlineStr">
        <is>
          <t>1주차</t>
        </is>
      </c>
      <c r="C97" t="inlineStr">
        <is>
          <t>OR</t>
        </is>
      </c>
      <c r="D97" s="28" t="n">
        <v>46024</v>
      </c>
      <c r="E97" t="inlineStr">
        <is>
          <t>오릭스</t>
        </is>
      </c>
      <c r="F97" t="inlineStr">
        <is>
          <t>김영화</t>
        </is>
      </c>
      <c r="G97" t="inlineStr">
        <is>
          <t>010-3855-2804</t>
        </is>
      </c>
      <c r="H97" t="inlineStr">
        <is>
          <t>265우5353</t>
        </is>
      </c>
      <c r="I97" t="n">
        <v>21800000</v>
      </c>
      <c r="J97" t="n">
        <v>0.064</v>
      </c>
      <c r="K97" t="n">
        <v>1.65</v>
      </c>
      <c r="L97" t="n">
        <v>0.13</v>
      </c>
      <c r="M97" t="n">
        <v>1.52</v>
      </c>
      <c r="P97" t="inlineStr">
        <is>
          <t>구성완</t>
        </is>
      </c>
      <c r="Q97" t="inlineStr">
        <is>
          <t>안심거래존건</t>
        </is>
      </c>
      <c r="Z97" t="n">
        <v>0</v>
      </c>
      <c r="AB97" t="inlineStr">
        <is>
          <t>믿고</t>
        </is>
      </c>
      <c r="AC97" t="n">
        <v>359700</v>
      </c>
      <c r="AD97" t="n">
        <v>28340</v>
      </c>
      <c r="AE97" t="n">
        <v>331360</v>
      </c>
      <c r="AF97" t="n">
        <v>327000</v>
      </c>
      <c r="AG97" t="n">
        <v>28340</v>
      </c>
      <c r="AH97" t="n">
        <v>298660</v>
      </c>
      <c r="AI97" t="n">
        <v>0</v>
      </c>
    </row>
    <row r="98">
      <c r="A98" t="inlineStr">
        <is>
          <t>1월</t>
        </is>
      </c>
      <c r="B98" t="inlineStr">
        <is>
          <t>1주차</t>
        </is>
      </c>
      <c r="C98" t="inlineStr">
        <is>
          <t>EP</t>
        </is>
      </c>
      <c r="D98" s="28" t="n">
        <v>46025</v>
      </c>
      <c r="E98" t="inlineStr">
        <is>
          <t>현대EP</t>
        </is>
      </c>
      <c r="F98" t="inlineStr">
        <is>
          <t>김태주</t>
        </is>
      </c>
      <c r="G98" t="inlineStr">
        <is>
          <t>010-9081-0691</t>
        </is>
      </c>
      <c r="H98" t="inlineStr">
        <is>
          <t>65로0560</t>
        </is>
      </c>
      <c r="I98" t="n">
        <v>30000000</v>
      </c>
      <c r="J98" t="n">
        <v>0.083</v>
      </c>
      <c r="K98" t="n">
        <v>1.76</v>
      </c>
      <c r="L98" t="n">
        <v>0.13</v>
      </c>
      <c r="M98" t="n">
        <v>1.63</v>
      </c>
      <c r="P98" t="inlineStr">
        <is>
          <t>정세빈</t>
        </is>
      </c>
      <c r="Z98" t="n">
        <v>0</v>
      </c>
      <c r="AB98" t="inlineStr">
        <is>
          <t>홈서비스</t>
        </is>
      </c>
      <c r="AC98" t="n">
        <v>528000</v>
      </c>
      <c r="AD98" t="n">
        <v>39000</v>
      </c>
      <c r="AE98" t="n">
        <v>489000</v>
      </c>
      <c r="AF98" t="n">
        <v>480000</v>
      </c>
      <c r="AG98" t="n">
        <v>39000</v>
      </c>
      <c r="AH98" t="n">
        <v>441000</v>
      </c>
    </row>
    <row r="99">
      <c r="A99" t="inlineStr">
        <is>
          <t>1월</t>
        </is>
      </c>
      <c r="B99" t="inlineStr">
        <is>
          <t>1주차</t>
        </is>
      </c>
      <c r="C99" t="inlineStr">
        <is>
          <t>EP</t>
        </is>
      </c>
      <c r="D99" s="28" t="n">
        <v>46026</v>
      </c>
      <c r="E99" t="inlineStr">
        <is>
          <t>현대EP</t>
        </is>
      </c>
      <c r="F99" t="inlineStr">
        <is>
          <t>김성원</t>
        </is>
      </c>
      <c r="G99" t="inlineStr">
        <is>
          <t>010-5091-1379</t>
        </is>
      </c>
      <c r="H99" t="inlineStr">
        <is>
          <t>141조7632</t>
        </is>
      </c>
      <c r="I99" t="n">
        <v>11700000</v>
      </c>
      <c r="J99" t="n">
        <v>0.073</v>
      </c>
      <c r="K99" t="n">
        <v>1.76</v>
      </c>
      <c r="L99" t="n">
        <v>0.13</v>
      </c>
      <c r="M99" t="n">
        <v>1.63</v>
      </c>
      <c r="P99" t="inlineStr">
        <is>
          <t>장현경</t>
        </is>
      </c>
      <c r="Z99" t="n">
        <v>0</v>
      </c>
      <c r="AB99" t="inlineStr">
        <is>
          <t>홈서비스</t>
        </is>
      </c>
      <c r="AC99" t="n">
        <v>205920</v>
      </c>
      <c r="AD99" t="n">
        <v>15210</v>
      </c>
      <c r="AE99" t="n">
        <v>190710</v>
      </c>
      <c r="AF99" t="n">
        <v>187200</v>
      </c>
      <c r="AG99" t="n">
        <v>15210</v>
      </c>
      <c r="AH99" t="n">
        <v>171990</v>
      </c>
      <c r="AI99" t="n">
        <v>0</v>
      </c>
    </row>
    <row r="100">
      <c r="A100" t="inlineStr">
        <is>
          <t>1월</t>
        </is>
      </c>
      <c r="B100" t="inlineStr">
        <is>
          <t>2주차</t>
        </is>
      </c>
      <c r="C100" t="inlineStr">
        <is>
          <t>EP</t>
        </is>
      </c>
      <c r="D100" s="28" t="n">
        <v>46027</v>
      </c>
      <c r="E100" t="inlineStr">
        <is>
          <t>현대EP_fast</t>
        </is>
      </c>
      <c r="F100" t="inlineStr">
        <is>
          <t>윤기욱</t>
        </is>
      </c>
      <c r="G100" t="inlineStr">
        <is>
          <t>010-4321-7469</t>
        </is>
      </c>
      <c r="H100" t="inlineStr">
        <is>
          <t>223부8338</t>
        </is>
      </c>
      <c r="I100" t="n">
        <v>27000000</v>
      </c>
      <c r="J100" t="n">
        <v>0.124</v>
      </c>
      <c r="K100" t="n">
        <v>1.76</v>
      </c>
      <c r="L100" t="n">
        <v>0.13</v>
      </c>
      <c r="M100" t="n">
        <v>1.63</v>
      </c>
      <c r="P100" t="inlineStr">
        <is>
          <t>구성완</t>
        </is>
      </c>
      <c r="Q100" t="inlineStr">
        <is>
          <t>안심거래존건</t>
        </is>
      </c>
      <c r="Z100" t="n">
        <v>0</v>
      </c>
      <c r="AB100" t="inlineStr">
        <is>
          <t>믿고</t>
        </is>
      </c>
      <c r="AC100" t="n">
        <v>475200</v>
      </c>
      <c r="AD100" t="n">
        <v>35100</v>
      </c>
      <c r="AE100" t="n">
        <v>440100</v>
      </c>
      <c r="AF100" t="n">
        <v>432000</v>
      </c>
      <c r="AG100" t="n">
        <v>35100</v>
      </c>
      <c r="AH100" t="n">
        <v>396900</v>
      </c>
      <c r="AI100" t="n">
        <v>0</v>
      </c>
    </row>
    <row r="101">
      <c r="A101" t="inlineStr">
        <is>
          <t>1월</t>
        </is>
      </c>
      <c r="B101" t="inlineStr">
        <is>
          <t>2주차</t>
        </is>
      </c>
      <c r="C101" t="inlineStr">
        <is>
          <t>IM</t>
        </is>
      </c>
      <c r="D101" s="28" t="n">
        <v>46027</v>
      </c>
      <c r="E101" t="inlineStr">
        <is>
          <t>IM캐피탈</t>
        </is>
      </c>
      <c r="F101" t="inlineStr">
        <is>
          <t>박도현</t>
        </is>
      </c>
      <c r="G101" t="inlineStr">
        <is>
          <t>010-4156-6373</t>
        </is>
      </c>
      <c r="H101" t="inlineStr">
        <is>
          <t>341머3939</t>
        </is>
      </c>
      <c r="I101" t="n">
        <v>42800000</v>
      </c>
      <c r="J101" t="n">
        <v>0.049</v>
      </c>
      <c r="K101" t="n">
        <v>0.55</v>
      </c>
      <c r="L101" t="n">
        <v>0.13</v>
      </c>
      <c r="M101" t="n">
        <v>0.42</v>
      </c>
      <c r="P101" t="inlineStr">
        <is>
          <t>정광호</t>
        </is>
      </c>
      <c r="Q101" t="inlineStr">
        <is>
          <t>홈서비스 60개월</t>
        </is>
      </c>
      <c r="Z101" t="n">
        <v>0</v>
      </c>
      <c r="AB101" t="inlineStr">
        <is>
          <t>홈서비스</t>
        </is>
      </c>
      <c r="AC101" t="n">
        <v>235400</v>
      </c>
      <c r="AD101" t="n">
        <v>55640</v>
      </c>
      <c r="AE101" t="n">
        <v>179760</v>
      </c>
      <c r="AF101" t="n">
        <v>214000</v>
      </c>
      <c r="AG101" t="n">
        <v>55640</v>
      </c>
      <c r="AH101" t="n">
        <v>158360</v>
      </c>
      <c r="AI101" t="n">
        <v>0</v>
      </c>
    </row>
    <row r="102">
      <c r="A102" t="inlineStr">
        <is>
          <t>1월</t>
        </is>
      </c>
      <c r="B102" t="inlineStr">
        <is>
          <t>2주차</t>
        </is>
      </c>
      <c r="C102" t="inlineStr">
        <is>
          <t>IM</t>
        </is>
      </c>
      <c r="D102" s="28" t="n">
        <v>46027</v>
      </c>
      <c r="E102" t="inlineStr">
        <is>
          <t>IM캐피탈</t>
        </is>
      </c>
      <c r="F102" t="inlineStr">
        <is>
          <t>이선일</t>
        </is>
      </c>
      <c r="G102" t="inlineStr">
        <is>
          <t>010-8832-1909</t>
        </is>
      </c>
      <c r="H102" t="inlineStr">
        <is>
          <t>149라6306</t>
        </is>
      </c>
      <c r="I102" t="n">
        <v>13900000</v>
      </c>
      <c r="J102" t="n">
        <v>0.049</v>
      </c>
      <c r="K102" t="n">
        <v>0.55</v>
      </c>
      <c r="L102" t="n">
        <v>0.4</v>
      </c>
      <c r="M102" t="n">
        <v>0.15</v>
      </c>
      <c r="P102" t="inlineStr">
        <is>
          <t>장현경</t>
        </is>
      </c>
      <c r="Z102" t="n">
        <v>0</v>
      </c>
      <c r="AB102" t="inlineStr">
        <is>
          <t>엔카</t>
        </is>
      </c>
      <c r="AC102" t="n">
        <v>76450</v>
      </c>
      <c r="AD102" t="n">
        <v>55600</v>
      </c>
      <c r="AE102" t="n">
        <v>20850</v>
      </c>
      <c r="AF102" t="n">
        <v>69500</v>
      </c>
      <c r="AG102" t="n">
        <v>55600</v>
      </c>
      <c r="AH102" t="n">
        <v>13900</v>
      </c>
      <c r="AI102" t="n">
        <v>0</v>
      </c>
    </row>
    <row r="103">
      <c r="A103" t="inlineStr">
        <is>
          <t>1월</t>
        </is>
      </c>
      <c r="B103" t="inlineStr">
        <is>
          <t>1주차</t>
        </is>
      </c>
      <c r="C103" t="inlineStr">
        <is>
          <t>EP</t>
        </is>
      </c>
      <c r="D103" s="28" t="n">
        <v>46024</v>
      </c>
      <c r="E103" t="inlineStr">
        <is>
          <t>현대EP</t>
        </is>
      </c>
      <c r="F103" t="inlineStr">
        <is>
          <t>유영재</t>
        </is>
      </c>
      <c r="G103" t="inlineStr">
        <is>
          <t>010-4122-3039</t>
        </is>
      </c>
      <c r="H103" t="inlineStr">
        <is>
          <t>17머2552</t>
        </is>
      </c>
      <c r="I103" t="n">
        <v>29400000</v>
      </c>
      <c r="J103" t="n">
        <v>0.068</v>
      </c>
      <c r="K103" t="n">
        <v>1.76</v>
      </c>
      <c r="L103" t="n">
        <v>0.13</v>
      </c>
      <c r="M103" t="n">
        <v>1.63</v>
      </c>
      <c r="P103" t="inlineStr">
        <is>
          <t>박보람</t>
        </is>
      </c>
      <c r="Z103" t="n">
        <v>0</v>
      </c>
      <c r="AB103" t="inlineStr">
        <is>
          <t>홈서비스</t>
        </is>
      </c>
      <c r="AC103" t="n">
        <v>517440</v>
      </c>
      <c r="AD103" t="n">
        <v>38220</v>
      </c>
      <c r="AE103" t="n">
        <v>479220</v>
      </c>
      <c r="AF103" t="n">
        <v>470400</v>
      </c>
      <c r="AG103" t="n">
        <v>38220</v>
      </c>
      <c r="AH103" t="n">
        <v>432180</v>
      </c>
      <c r="AI103" t="n">
        <v>0</v>
      </c>
    </row>
    <row r="104">
      <c r="A104" t="inlineStr">
        <is>
          <t>1월</t>
        </is>
      </c>
      <c r="B104" t="inlineStr">
        <is>
          <t>1주차</t>
        </is>
      </c>
      <c r="C104" t="inlineStr">
        <is>
          <t>EP</t>
        </is>
      </c>
      <c r="D104" s="28" t="n">
        <v>46024</v>
      </c>
      <c r="E104" t="inlineStr">
        <is>
          <t>현대EP_fast</t>
        </is>
      </c>
      <c r="F104" t="inlineStr">
        <is>
          <t>박종대</t>
        </is>
      </c>
      <c r="G104" t="inlineStr">
        <is>
          <t>010-8797-8858</t>
        </is>
      </c>
      <c r="H104" t="inlineStr">
        <is>
          <t>161고8856</t>
        </is>
      </c>
      <c r="I104" t="n">
        <v>15500000</v>
      </c>
      <c r="J104" t="n">
        <v>0.093</v>
      </c>
      <c r="K104" t="n">
        <v>1.76</v>
      </c>
      <c r="L104" t="n">
        <v>0.4</v>
      </c>
      <c r="M104" t="n">
        <v>1.36</v>
      </c>
      <c r="P104" t="inlineStr">
        <is>
          <t>장진경</t>
        </is>
      </c>
      <c r="Z104" t="n">
        <v>0</v>
      </c>
      <c r="AB104" t="inlineStr">
        <is>
          <t>엔카</t>
        </is>
      </c>
      <c r="AC104" t="n">
        <v>272800</v>
      </c>
      <c r="AD104" t="n">
        <v>62000</v>
      </c>
      <c r="AE104" t="n">
        <v>210800</v>
      </c>
      <c r="AF104" t="n">
        <v>248000</v>
      </c>
      <c r="AG104" t="n">
        <v>62000</v>
      </c>
      <c r="AH104" t="n">
        <v>186000</v>
      </c>
      <c r="AI104" t="n">
        <v>0</v>
      </c>
    </row>
    <row r="105">
      <c r="A105" t="inlineStr">
        <is>
          <t>1월</t>
        </is>
      </c>
      <c r="B105" t="inlineStr">
        <is>
          <t>2주차</t>
        </is>
      </c>
      <c r="C105" t="inlineStr">
        <is>
          <t>EP</t>
        </is>
      </c>
      <c r="D105" s="28" t="n">
        <v>46027</v>
      </c>
      <c r="E105" t="inlineStr">
        <is>
          <t>현대EP_fast</t>
        </is>
      </c>
      <c r="F105" t="inlineStr">
        <is>
          <t>정민종</t>
        </is>
      </c>
      <c r="G105" t="inlineStr">
        <is>
          <t>010-8469-0288</t>
        </is>
      </c>
      <c r="H105" t="inlineStr">
        <is>
          <t>256가3284</t>
        </is>
      </c>
      <c r="I105" t="n">
        <v>22400000</v>
      </c>
      <c r="J105" t="n">
        <v>0.083</v>
      </c>
      <c r="K105" t="n">
        <v>1.76</v>
      </c>
      <c r="L105" t="n">
        <v>0.13</v>
      </c>
      <c r="M105" t="n">
        <v>1.63</v>
      </c>
      <c r="P105" t="inlineStr">
        <is>
          <t>황채이</t>
        </is>
      </c>
      <c r="Q105" t="inlineStr">
        <is>
          <t>홈서비스60개월</t>
        </is>
      </c>
      <c r="Z105" t="n">
        <v>0</v>
      </c>
      <c r="AB105" t="inlineStr">
        <is>
          <t>홈서비스</t>
        </is>
      </c>
      <c r="AC105" t="n">
        <v>394240</v>
      </c>
      <c r="AD105" t="n">
        <v>29120</v>
      </c>
      <c r="AE105" t="n">
        <v>365120</v>
      </c>
      <c r="AF105" t="n">
        <v>358400</v>
      </c>
      <c r="AG105" t="n">
        <v>29120</v>
      </c>
      <c r="AH105" t="n">
        <v>329280</v>
      </c>
    </row>
    <row r="106">
      <c r="A106" t="inlineStr">
        <is>
          <t>1월</t>
        </is>
      </c>
      <c r="B106" t="inlineStr">
        <is>
          <t>1주차</t>
        </is>
      </c>
      <c r="C106" t="inlineStr">
        <is>
          <t>EP</t>
        </is>
      </c>
      <c r="D106" s="28" t="n">
        <v>46024</v>
      </c>
      <c r="E106" t="inlineStr">
        <is>
          <t>현대EP_fast</t>
        </is>
      </c>
      <c r="F106" t="inlineStr">
        <is>
          <t>서정연</t>
        </is>
      </c>
      <c r="G106" t="inlineStr">
        <is>
          <t>010-7135-9880</t>
        </is>
      </c>
      <c r="H106" t="inlineStr">
        <is>
          <t>08우8005</t>
        </is>
      </c>
      <c r="I106" t="n">
        <v>18000000</v>
      </c>
      <c r="J106" t="n">
        <v>0.068</v>
      </c>
      <c r="K106" t="n">
        <v>1.76</v>
      </c>
      <c r="L106" t="n">
        <v>0.4</v>
      </c>
      <c r="M106" t="n">
        <v>1.36</v>
      </c>
      <c r="P106" t="inlineStr">
        <is>
          <t>박현민</t>
        </is>
      </c>
      <c r="Z106" t="n">
        <v>0</v>
      </c>
      <c r="AB106" t="inlineStr">
        <is>
          <t>엔카</t>
        </is>
      </c>
      <c r="AC106" t="n">
        <v>316800</v>
      </c>
      <c r="AD106" t="n">
        <v>72000</v>
      </c>
      <c r="AE106" t="n">
        <v>244800</v>
      </c>
      <c r="AF106" t="n">
        <v>288000</v>
      </c>
      <c r="AG106" t="n">
        <v>72000</v>
      </c>
      <c r="AH106" t="n">
        <v>216000</v>
      </c>
      <c r="AI106" t="n">
        <v>0</v>
      </c>
    </row>
    <row r="107">
      <c r="A107" t="inlineStr">
        <is>
          <t>1월</t>
        </is>
      </c>
      <c r="B107" t="inlineStr">
        <is>
          <t>1주차</t>
        </is>
      </c>
      <c r="C107" t="inlineStr">
        <is>
          <t>IM</t>
        </is>
      </c>
      <c r="D107" s="28" t="n">
        <v>46024</v>
      </c>
      <c r="E107" t="inlineStr">
        <is>
          <t>IM캐피탈</t>
        </is>
      </c>
      <c r="F107" t="inlineStr">
        <is>
          <t>유재욱</t>
        </is>
      </c>
      <c r="G107" t="inlineStr">
        <is>
          <t>010-9290-4342</t>
        </is>
      </c>
      <c r="H107" t="inlineStr">
        <is>
          <t>316너5706</t>
        </is>
      </c>
      <c r="I107" t="n">
        <v>-18000000</v>
      </c>
      <c r="J107" t="n">
        <v>0.049</v>
      </c>
      <c r="K107" t="n">
        <v>0.55</v>
      </c>
      <c r="L107" t="n">
        <v>0.13</v>
      </c>
      <c r="M107" t="n">
        <v>0.42</v>
      </c>
      <c r="P107" t="inlineStr">
        <is>
          <t>최혁</t>
        </is>
      </c>
      <c r="Q107" t="inlineStr">
        <is>
          <t>홈서비스60개월/ *철회 20260107</t>
        </is>
      </c>
      <c r="Z107" t="n">
        <v>0</v>
      </c>
      <c r="AB107" t="inlineStr">
        <is>
          <t>홈서비스</t>
        </is>
      </c>
      <c r="AC107" t="n">
        <v>-99000</v>
      </c>
      <c r="AD107" t="n">
        <v>-23400</v>
      </c>
      <c r="AE107" t="n">
        <v>-75600</v>
      </c>
      <c r="AF107" t="n">
        <v>-90000</v>
      </c>
      <c r="AG107" t="n">
        <v>-23400</v>
      </c>
      <c r="AH107" t="n">
        <v>-66600</v>
      </c>
      <c r="AI107" t="n">
        <v>0</v>
      </c>
      <c r="AK107" t="inlineStr">
        <is>
          <t>대출철회</t>
        </is>
      </c>
    </row>
    <row r="108">
      <c r="A108" t="inlineStr">
        <is>
          <t>1월</t>
        </is>
      </c>
      <c r="B108" t="inlineStr">
        <is>
          <t>1주차</t>
        </is>
      </c>
      <c r="C108" t="inlineStr">
        <is>
          <t>EP</t>
        </is>
      </c>
      <c r="D108" s="28" t="n">
        <v>46025</v>
      </c>
      <c r="E108" t="inlineStr">
        <is>
          <t>현대EP</t>
        </is>
      </c>
      <c r="F108" t="inlineStr">
        <is>
          <t>정준범</t>
        </is>
      </c>
      <c r="G108" t="inlineStr">
        <is>
          <t>010-9631-9031</t>
        </is>
      </c>
      <c r="H108" t="inlineStr">
        <is>
          <t>58고2041</t>
        </is>
      </c>
      <c r="I108" t="n">
        <v>18000000</v>
      </c>
      <c r="J108" t="n">
        <v>0.07099999999999999</v>
      </c>
      <c r="K108" t="n">
        <v>1.76</v>
      </c>
      <c r="L108" t="n">
        <v>0.13</v>
      </c>
      <c r="M108" t="n">
        <v>1.63</v>
      </c>
      <c r="P108" t="inlineStr">
        <is>
          <t>최혁</t>
        </is>
      </c>
      <c r="Z108" t="n">
        <v>0</v>
      </c>
      <c r="AB108" t="inlineStr">
        <is>
          <t>홈서비스</t>
        </is>
      </c>
      <c r="AC108" t="n">
        <v>316800</v>
      </c>
      <c r="AD108" t="n">
        <v>23400</v>
      </c>
      <c r="AE108" t="n">
        <v>293400</v>
      </c>
      <c r="AF108" t="n">
        <v>288000</v>
      </c>
      <c r="AG108" t="n">
        <v>23400</v>
      </c>
      <c r="AH108" t="n">
        <v>264600</v>
      </c>
    </row>
    <row r="109">
      <c r="A109" t="inlineStr">
        <is>
          <t>1월</t>
        </is>
      </c>
      <c r="B109" t="inlineStr">
        <is>
          <t>2주차</t>
        </is>
      </c>
      <c r="C109" t="inlineStr">
        <is>
          <t>WC</t>
        </is>
      </c>
      <c r="D109" s="28" t="n">
        <v>46027</v>
      </c>
      <c r="E109" t="inlineStr">
        <is>
          <t>웰컴저축은행</t>
        </is>
      </c>
      <c r="F109" t="inlineStr">
        <is>
          <t>최정숙</t>
        </is>
      </c>
      <c r="G109" t="inlineStr">
        <is>
          <t>010-9852-4996</t>
        </is>
      </c>
      <c r="H109" t="inlineStr">
        <is>
          <t>24로6104</t>
        </is>
      </c>
      <c r="I109" t="n">
        <v>3000000</v>
      </c>
      <c r="J109" t="n">
        <v>0.119</v>
      </c>
      <c r="K109" t="n">
        <v>0</v>
      </c>
      <c r="L109" t="n">
        <v>0.13</v>
      </c>
      <c r="M109" t="n">
        <v>-0.13</v>
      </c>
      <c r="P109" t="inlineStr">
        <is>
          <t>최혁</t>
        </is>
      </c>
      <c r="Q109" t="inlineStr">
        <is>
          <t>홈서비스36개월</t>
        </is>
      </c>
      <c r="Z109" t="n">
        <v>0</v>
      </c>
      <c r="AB109" t="inlineStr">
        <is>
          <t>홈서비스</t>
        </is>
      </c>
      <c r="AC109" t="n">
        <v>0</v>
      </c>
      <c r="AD109" t="n">
        <v>3900</v>
      </c>
      <c r="AE109" t="n">
        <v>-3900</v>
      </c>
      <c r="AF109" t="n">
        <v>0</v>
      </c>
      <c r="AG109" t="n">
        <v>3900</v>
      </c>
      <c r="AH109" t="n">
        <v>-3900</v>
      </c>
      <c r="AI109" t="n">
        <v>0</v>
      </c>
    </row>
    <row r="110">
      <c r="A110" t="inlineStr">
        <is>
          <t>1월</t>
        </is>
      </c>
      <c r="B110" t="inlineStr">
        <is>
          <t>2주차</t>
        </is>
      </c>
      <c r="C110" t="inlineStr">
        <is>
          <t>EP</t>
        </is>
      </c>
      <c r="D110" s="28" t="n">
        <v>46027</v>
      </c>
      <c r="E110" t="inlineStr">
        <is>
          <t>현대EP_fast</t>
        </is>
      </c>
      <c r="F110" t="inlineStr">
        <is>
          <t>이혁수</t>
        </is>
      </c>
      <c r="G110" t="inlineStr">
        <is>
          <t>010-8794-1891</t>
        </is>
      </c>
      <c r="H110" t="inlineStr">
        <is>
          <t>153러6050</t>
        </is>
      </c>
      <c r="I110" t="n">
        <v>16800000</v>
      </c>
      <c r="J110" t="n">
        <v>0.111</v>
      </c>
      <c r="K110" t="n">
        <v>1.76</v>
      </c>
      <c r="L110" t="n">
        <v>0.13</v>
      </c>
      <c r="M110" t="n">
        <v>1.63</v>
      </c>
      <c r="P110" t="inlineStr">
        <is>
          <t>최혁</t>
        </is>
      </c>
      <c r="Q110" t="inlineStr">
        <is>
          <t>홈서비스60개월</t>
        </is>
      </c>
      <c r="Z110" t="n">
        <v>0</v>
      </c>
      <c r="AB110" t="inlineStr">
        <is>
          <t>홈서비스</t>
        </is>
      </c>
      <c r="AC110" t="n">
        <v>295680</v>
      </c>
      <c r="AD110" t="n">
        <v>21840</v>
      </c>
      <c r="AE110" t="n">
        <v>273840</v>
      </c>
      <c r="AF110" t="n">
        <v>268800</v>
      </c>
      <c r="AG110" t="n">
        <v>21840</v>
      </c>
      <c r="AH110" t="n">
        <v>246960</v>
      </c>
      <c r="AI110" t="n">
        <v>0</v>
      </c>
    </row>
    <row r="111">
      <c r="A111" t="inlineStr">
        <is>
          <t>1월</t>
        </is>
      </c>
      <c r="B111" t="inlineStr">
        <is>
          <t>2주차</t>
        </is>
      </c>
      <c r="C111" t="inlineStr">
        <is>
          <t>EP</t>
        </is>
      </c>
      <c r="D111" s="28" t="n">
        <v>46027</v>
      </c>
      <c r="E111" t="inlineStr">
        <is>
          <t>현대EP_fast</t>
        </is>
      </c>
      <c r="F111" t="inlineStr">
        <is>
          <t>김지수</t>
        </is>
      </c>
      <c r="G111" t="inlineStr">
        <is>
          <t>010-6343-9471</t>
        </is>
      </c>
      <c r="H111" t="inlineStr">
        <is>
          <t>10가5122</t>
        </is>
      </c>
      <c r="I111" t="n">
        <v>18000000</v>
      </c>
      <c r="J111" t="n">
        <v>0.06900000000000001</v>
      </c>
      <c r="K111" t="n">
        <v>1.76</v>
      </c>
      <c r="L111" t="n">
        <v>0.13</v>
      </c>
      <c r="M111" t="n">
        <v>1.63</v>
      </c>
      <c r="P111" t="inlineStr">
        <is>
          <t>최형주</t>
        </is>
      </c>
      <c r="Q111" t="inlineStr">
        <is>
          <t>홈서비스 60개월</t>
        </is>
      </c>
      <c r="Z111" t="n">
        <v>0</v>
      </c>
      <c r="AB111" t="inlineStr">
        <is>
          <t>홈서비스</t>
        </is>
      </c>
      <c r="AC111" t="n">
        <v>316800</v>
      </c>
      <c r="AD111" t="n">
        <v>23400</v>
      </c>
      <c r="AE111" t="n">
        <v>293400</v>
      </c>
      <c r="AF111" t="n">
        <v>288000</v>
      </c>
      <c r="AG111" t="n">
        <v>23400</v>
      </c>
      <c r="AH111" t="n">
        <v>264600</v>
      </c>
      <c r="AI111" t="n">
        <v>0</v>
      </c>
    </row>
    <row r="112">
      <c r="A112" t="inlineStr">
        <is>
          <t>1월</t>
        </is>
      </c>
      <c r="B112" t="inlineStr">
        <is>
          <t>2주차</t>
        </is>
      </c>
      <c r="C112" t="inlineStr">
        <is>
          <t>EP</t>
        </is>
      </c>
      <c r="D112" s="28" t="n">
        <v>46027</v>
      </c>
      <c r="E112" t="inlineStr">
        <is>
          <t>현대EP_fast</t>
        </is>
      </c>
      <c r="F112" t="inlineStr">
        <is>
          <t>전병근</t>
        </is>
      </c>
      <c r="G112" t="inlineStr">
        <is>
          <t>010-9907-8875</t>
        </is>
      </c>
      <c r="H112" t="inlineStr">
        <is>
          <t>05러0851</t>
        </is>
      </c>
      <c r="I112" t="n">
        <v>19000000</v>
      </c>
      <c r="J112" t="n">
        <v>0.081</v>
      </c>
      <c r="K112" t="n">
        <v>1.76</v>
      </c>
      <c r="L112" t="n">
        <v>0.13</v>
      </c>
      <c r="M112" t="n">
        <v>1.63</v>
      </c>
      <c r="P112" t="inlineStr">
        <is>
          <t>김나윤</t>
        </is>
      </c>
      <c r="Q112" t="inlineStr">
        <is>
          <t>홈서비스60개월</t>
        </is>
      </c>
      <c r="Z112" t="n">
        <v>0</v>
      </c>
      <c r="AB112" t="inlineStr">
        <is>
          <t>홈서비스</t>
        </is>
      </c>
      <c r="AC112" t="n">
        <v>334400</v>
      </c>
      <c r="AD112" t="n">
        <v>24700</v>
      </c>
      <c r="AE112" t="n">
        <v>309700</v>
      </c>
      <c r="AF112" t="n">
        <v>304000</v>
      </c>
      <c r="AG112" t="n">
        <v>24700</v>
      </c>
      <c r="AH112" t="n">
        <v>279300</v>
      </c>
    </row>
    <row r="113">
      <c r="A113" t="inlineStr">
        <is>
          <t>1월</t>
        </is>
      </c>
      <c r="B113" t="inlineStr">
        <is>
          <t>2주차</t>
        </is>
      </c>
      <c r="C113" t="inlineStr">
        <is>
          <t>EP</t>
        </is>
      </c>
      <c r="D113" s="28" t="n">
        <v>46027</v>
      </c>
      <c r="E113" t="inlineStr">
        <is>
          <t>현대EP</t>
        </is>
      </c>
      <c r="F113" t="inlineStr">
        <is>
          <t>김창회</t>
        </is>
      </c>
      <c r="G113" t="inlineStr">
        <is>
          <t>010-7535-2533</t>
        </is>
      </c>
      <c r="H113" t="inlineStr">
        <is>
          <t>51도7674</t>
        </is>
      </c>
      <c r="I113" t="n">
        <v>6000000</v>
      </c>
      <c r="J113" t="n">
        <v>0.081</v>
      </c>
      <c r="K113" t="n">
        <v>1.76</v>
      </c>
      <c r="L113" t="n">
        <v>0.13</v>
      </c>
      <c r="M113" t="n">
        <v>1.63</v>
      </c>
      <c r="P113" t="inlineStr">
        <is>
          <t>최형주</t>
        </is>
      </c>
      <c r="Q113" t="inlineStr">
        <is>
          <t>홈서비스60개월</t>
        </is>
      </c>
      <c r="Z113" t="n">
        <v>0</v>
      </c>
      <c r="AB113" t="inlineStr">
        <is>
          <t>홈서비스</t>
        </is>
      </c>
      <c r="AC113" t="n">
        <v>105600</v>
      </c>
      <c r="AD113" t="n">
        <v>7800</v>
      </c>
      <c r="AE113" t="n">
        <v>97800</v>
      </c>
      <c r="AF113" t="n">
        <v>96000</v>
      </c>
      <c r="AG113" t="n">
        <v>7800</v>
      </c>
      <c r="AH113" t="n">
        <v>88200</v>
      </c>
    </row>
    <row r="114">
      <c r="A114" t="inlineStr">
        <is>
          <t>1월</t>
        </is>
      </c>
      <c r="B114" t="inlineStr">
        <is>
          <t>2주차</t>
        </is>
      </c>
      <c r="C114" t="inlineStr">
        <is>
          <t>EP</t>
        </is>
      </c>
      <c r="D114" s="28" t="n">
        <v>46027</v>
      </c>
      <c r="E114" t="inlineStr">
        <is>
          <t>현대EP_fast</t>
        </is>
      </c>
      <c r="F114" t="inlineStr">
        <is>
          <t>유승민</t>
        </is>
      </c>
      <c r="G114" t="inlineStr">
        <is>
          <t>010-2661-2174</t>
        </is>
      </c>
      <c r="H114" t="inlineStr">
        <is>
          <t>208너3663</t>
        </is>
      </c>
      <c r="I114" t="n">
        <v>24000000</v>
      </c>
      <c r="J114" t="n">
        <v>0.07199999999999999</v>
      </c>
      <c r="K114" t="n">
        <v>1.76</v>
      </c>
      <c r="L114" t="n">
        <v>0.13</v>
      </c>
      <c r="M114" t="n">
        <v>1.63</v>
      </c>
      <c r="P114" t="inlineStr">
        <is>
          <t>최혁</t>
        </is>
      </c>
      <c r="Q114" t="inlineStr">
        <is>
          <t>홈서비스60개월</t>
        </is>
      </c>
      <c r="Z114" t="n">
        <v>0</v>
      </c>
      <c r="AB114" t="inlineStr">
        <is>
          <t>홈서비스</t>
        </is>
      </c>
      <c r="AC114" t="n">
        <v>422400</v>
      </c>
      <c r="AD114" t="n">
        <v>31200</v>
      </c>
      <c r="AE114" t="n">
        <v>391200</v>
      </c>
      <c r="AF114" t="n">
        <v>384000</v>
      </c>
      <c r="AG114" t="n">
        <v>31200</v>
      </c>
      <c r="AH114" t="n">
        <v>352800</v>
      </c>
      <c r="AI114" t="n">
        <v>0</v>
      </c>
    </row>
    <row r="115">
      <c r="A115" t="inlineStr">
        <is>
          <t>1월</t>
        </is>
      </c>
      <c r="B115" t="inlineStr">
        <is>
          <t>2주차</t>
        </is>
      </c>
      <c r="C115" t="inlineStr">
        <is>
          <t>EP</t>
        </is>
      </c>
      <c r="D115" s="28" t="n">
        <v>46027</v>
      </c>
      <c r="E115" t="inlineStr">
        <is>
          <t>현대EP_fast</t>
        </is>
      </c>
      <c r="F115" t="inlineStr">
        <is>
          <t>오명수</t>
        </is>
      </c>
      <c r="G115" t="inlineStr">
        <is>
          <t>010-2704-4566</t>
        </is>
      </c>
      <c r="H115" t="inlineStr">
        <is>
          <t>387너5142</t>
        </is>
      </c>
      <c r="I115" t="n">
        <v>19100000</v>
      </c>
      <c r="J115" t="n">
        <v>0.137</v>
      </c>
      <c r="K115" t="n">
        <v>1.76</v>
      </c>
      <c r="L115" t="n">
        <v>0.13</v>
      </c>
      <c r="M115" t="n">
        <v>1.63</v>
      </c>
      <c r="P115" t="inlineStr">
        <is>
          <t>정광호</t>
        </is>
      </c>
      <c r="Q115" t="inlineStr">
        <is>
          <t>홈서비스 36개월</t>
        </is>
      </c>
      <c r="Z115" t="n">
        <v>0</v>
      </c>
      <c r="AB115" t="inlineStr">
        <is>
          <t>홈서비스</t>
        </is>
      </c>
      <c r="AC115" t="n">
        <v>336160</v>
      </c>
      <c r="AD115" t="n">
        <v>24830</v>
      </c>
      <c r="AE115" t="n">
        <v>311330</v>
      </c>
      <c r="AF115" t="n">
        <v>305600</v>
      </c>
      <c r="AG115" t="n">
        <v>24830</v>
      </c>
      <c r="AH115" t="n">
        <v>280770</v>
      </c>
      <c r="AI115" t="n">
        <v>0</v>
      </c>
    </row>
    <row r="116">
      <c r="A116" t="inlineStr">
        <is>
          <t>1월</t>
        </is>
      </c>
      <c r="B116" t="inlineStr">
        <is>
          <t>2주차</t>
        </is>
      </c>
      <c r="C116" t="inlineStr">
        <is>
          <t>EP</t>
        </is>
      </c>
      <c r="D116" s="28" t="n">
        <v>46027</v>
      </c>
      <c r="E116" t="inlineStr">
        <is>
          <t>현대EP_fast</t>
        </is>
      </c>
      <c r="F116" t="inlineStr">
        <is>
          <t>오재아</t>
        </is>
      </c>
      <c r="G116" t="inlineStr">
        <is>
          <t>010-3159-2695</t>
        </is>
      </c>
      <c r="H116" t="inlineStr">
        <is>
          <t>06서4473</t>
        </is>
      </c>
      <c r="I116" t="n">
        <v>30000000</v>
      </c>
      <c r="J116" t="n">
        <v>0.08500000000000001</v>
      </c>
      <c r="K116" t="n">
        <v>1.76</v>
      </c>
      <c r="L116" t="n">
        <v>0.4</v>
      </c>
      <c r="M116" t="n">
        <v>1.36</v>
      </c>
      <c r="P116" t="inlineStr">
        <is>
          <t>박보람</t>
        </is>
      </c>
      <c r="Q116" t="inlineStr">
        <is>
          <t>공동명의</t>
        </is>
      </c>
      <c r="Z116" t="n">
        <v>0</v>
      </c>
      <c r="AB116" t="inlineStr">
        <is>
          <t>엔카</t>
        </is>
      </c>
      <c r="AC116" t="n">
        <v>528000</v>
      </c>
      <c r="AD116" t="n">
        <v>120000</v>
      </c>
      <c r="AE116" t="n">
        <v>408000</v>
      </c>
      <c r="AF116" t="n">
        <v>480000</v>
      </c>
      <c r="AG116" t="n">
        <v>120000</v>
      </c>
      <c r="AH116" t="n">
        <v>360000</v>
      </c>
    </row>
    <row r="117">
      <c r="A117" t="inlineStr">
        <is>
          <t>1월</t>
        </is>
      </c>
      <c r="B117" t="inlineStr">
        <is>
          <t>2주차</t>
        </is>
      </c>
      <c r="C117" t="inlineStr">
        <is>
          <t>EP</t>
        </is>
      </c>
      <c r="D117" s="28" t="n">
        <v>46027</v>
      </c>
      <c r="E117" t="inlineStr">
        <is>
          <t>현대EP_fast</t>
        </is>
      </c>
      <c r="F117" t="inlineStr">
        <is>
          <t>이우영</t>
        </is>
      </c>
      <c r="G117" t="inlineStr">
        <is>
          <t>010-6236-3078</t>
        </is>
      </c>
      <c r="H117" t="inlineStr">
        <is>
          <t>21마7394</t>
        </is>
      </c>
      <c r="I117" t="n">
        <v>16200000</v>
      </c>
      <c r="J117" t="n">
        <v>0.115</v>
      </c>
      <c r="K117" t="n">
        <v>1.76</v>
      </c>
      <c r="L117" t="n">
        <v>0.13</v>
      </c>
      <c r="M117" t="n">
        <v>1.63</v>
      </c>
      <c r="P117" t="inlineStr">
        <is>
          <t>장현경</t>
        </is>
      </c>
      <c r="Q117" t="inlineStr">
        <is>
          <t xml:space="preserve">선상담 / 홈서비스 36개월 </t>
        </is>
      </c>
      <c r="Z117" t="n">
        <v>0</v>
      </c>
      <c r="AB117" t="inlineStr">
        <is>
          <t>홈서비스</t>
        </is>
      </c>
      <c r="AC117" t="n">
        <v>285120</v>
      </c>
      <c r="AD117" t="n">
        <v>21060</v>
      </c>
      <c r="AE117" t="n">
        <v>264060</v>
      </c>
      <c r="AF117" t="n">
        <v>259200</v>
      </c>
      <c r="AG117" t="n">
        <v>21060</v>
      </c>
      <c r="AH117" t="n">
        <v>238140</v>
      </c>
      <c r="AI117" t="n">
        <v>0</v>
      </c>
    </row>
    <row r="118">
      <c r="A118" t="inlineStr">
        <is>
          <t>1월</t>
        </is>
      </c>
      <c r="B118" t="inlineStr">
        <is>
          <t>2주차</t>
        </is>
      </c>
      <c r="C118" t="inlineStr">
        <is>
          <t>EP</t>
        </is>
      </c>
      <c r="D118" s="28" t="n">
        <v>46027</v>
      </c>
      <c r="E118" t="inlineStr">
        <is>
          <t>현대EP</t>
        </is>
      </c>
      <c r="F118" t="inlineStr">
        <is>
          <t>박성모</t>
        </is>
      </c>
      <c r="G118" t="inlineStr">
        <is>
          <t>010-3352-3558</t>
        </is>
      </c>
      <c r="H118" t="inlineStr">
        <is>
          <t>12라4612</t>
        </is>
      </c>
      <c r="I118" t="n">
        <v>20500000</v>
      </c>
      <c r="J118" t="n">
        <v>0.07099999999999999</v>
      </c>
      <c r="K118" t="n">
        <v>1.76</v>
      </c>
      <c r="L118" t="n">
        <v>0.13</v>
      </c>
      <c r="M118" t="n">
        <v>1.63</v>
      </c>
      <c r="P118" t="inlineStr">
        <is>
          <t>김나윤</t>
        </is>
      </c>
      <c r="Q118" t="inlineStr">
        <is>
          <t>홈서비스60개월</t>
        </is>
      </c>
      <c r="Z118" t="n">
        <v>0</v>
      </c>
      <c r="AB118" t="inlineStr">
        <is>
          <t>홈서비스</t>
        </is>
      </c>
      <c r="AC118" t="n">
        <v>360800</v>
      </c>
      <c r="AD118" t="n">
        <v>26650</v>
      </c>
      <c r="AE118" t="n">
        <v>334150</v>
      </c>
      <c r="AF118" t="n">
        <v>328000</v>
      </c>
      <c r="AG118" t="n">
        <v>26650</v>
      </c>
      <c r="AH118" t="n">
        <v>301350</v>
      </c>
      <c r="AI118" t="n">
        <v>0</v>
      </c>
    </row>
    <row r="119">
      <c r="A119" t="inlineStr">
        <is>
          <t>1월</t>
        </is>
      </c>
      <c r="B119" t="inlineStr">
        <is>
          <t>2주차</t>
        </is>
      </c>
      <c r="C119" t="inlineStr">
        <is>
          <t>EP</t>
        </is>
      </c>
      <c r="D119" s="28" t="n">
        <v>46028</v>
      </c>
      <c r="E119" t="inlineStr">
        <is>
          <t>현대EP_fast</t>
        </is>
      </c>
      <c r="F119" t="inlineStr">
        <is>
          <t>김서윤</t>
        </is>
      </c>
      <c r="G119" t="inlineStr">
        <is>
          <t>010-9962-8871</t>
        </is>
      </c>
      <c r="H119" t="inlineStr">
        <is>
          <t>121라4658</t>
        </is>
      </c>
      <c r="I119" t="n">
        <v>41500000</v>
      </c>
      <c r="J119" t="n">
        <v>0.073</v>
      </c>
      <c r="K119" t="n">
        <v>1.76</v>
      </c>
      <c r="L119" t="n">
        <v>0.13</v>
      </c>
      <c r="M119" t="n">
        <v>1.63</v>
      </c>
      <c r="P119" t="inlineStr">
        <is>
          <t>황채이</t>
        </is>
      </c>
      <c r="Q119" t="inlineStr">
        <is>
          <t>홈서비스 60개월 /*당월철회 20260113</t>
        </is>
      </c>
      <c r="Z119" t="n">
        <v>0</v>
      </c>
      <c r="AB119" t="inlineStr">
        <is>
          <t>홈서비스</t>
        </is>
      </c>
      <c r="AC119" t="n">
        <v>730400</v>
      </c>
      <c r="AD119" t="n">
        <v>53950</v>
      </c>
      <c r="AE119" t="n">
        <v>676450</v>
      </c>
      <c r="AF119" t="n">
        <v>664000</v>
      </c>
      <c r="AG119" t="n">
        <v>53950</v>
      </c>
      <c r="AH119" t="n">
        <v>610050</v>
      </c>
      <c r="AI119" t="n">
        <v>0</v>
      </c>
      <c r="AK119" t="inlineStr">
        <is>
          <t>대출철회</t>
        </is>
      </c>
    </row>
    <row r="120">
      <c r="A120" t="inlineStr">
        <is>
          <t>1월</t>
        </is>
      </c>
      <c r="B120" t="inlineStr">
        <is>
          <t>2주차</t>
        </is>
      </c>
      <c r="C120" t="inlineStr">
        <is>
          <t>IM</t>
        </is>
      </c>
      <c r="D120" s="28" t="n">
        <v>46027</v>
      </c>
      <c r="E120" t="inlineStr">
        <is>
          <t>IM캐피탈</t>
        </is>
      </c>
      <c r="F120" t="inlineStr">
        <is>
          <t>길만호</t>
        </is>
      </c>
      <c r="G120" t="inlineStr">
        <is>
          <t>010-8281-7143</t>
        </is>
      </c>
      <c r="H120" t="inlineStr">
        <is>
          <t>238노6722</t>
        </is>
      </c>
      <c r="I120" t="n">
        <v>37500000</v>
      </c>
      <c r="J120" t="n">
        <v>0.064</v>
      </c>
      <c r="K120" t="n">
        <v>0.55</v>
      </c>
      <c r="L120" t="n">
        <v>0.13</v>
      </c>
      <c r="M120" t="n">
        <v>0.42</v>
      </c>
      <c r="P120" t="inlineStr">
        <is>
          <t>정세빈</t>
        </is>
      </c>
      <c r="Q120" t="inlineStr">
        <is>
          <t>홈서비스 60개월</t>
        </is>
      </c>
      <c r="Z120" t="n">
        <v>0</v>
      </c>
      <c r="AB120" t="inlineStr">
        <is>
          <t>홈서비스</t>
        </is>
      </c>
      <c r="AC120" t="n">
        <v>206250</v>
      </c>
      <c r="AD120" t="n">
        <v>48750</v>
      </c>
      <c r="AE120" t="n">
        <v>157500</v>
      </c>
      <c r="AF120" t="n">
        <v>187500</v>
      </c>
      <c r="AG120" t="n">
        <v>48750</v>
      </c>
      <c r="AH120" t="n">
        <v>138750</v>
      </c>
    </row>
    <row r="121">
      <c r="A121" t="inlineStr">
        <is>
          <t>1월</t>
        </is>
      </c>
      <c r="B121" t="inlineStr">
        <is>
          <t>2주차</t>
        </is>
      </c>
      <c r="C121" t="inlineStr">
        <is>
          <t>상환</t>
        </is>
      </c>
      <c r="D121" s="28" t="n">
        <v>46027</v>
      </c>
      <c r="E121" t="inlineStr">
        <is>
          <t>현대EP_fast상환</t>
        </is>
      </c>
      <c r="F121" t="inlineStr">
        <is>
          <t>변라영</t>
        </is>
      </c>
      <c r="G121" t="inlineStr">
        <is>
          <t>010-8852-8211</t>
        </is>
      </c>
      <c r="H121" t="inlineStr">
        <is>
          <t>811저6729</t>
        </is>
      </c>
      <c r="I121" t="n">
        <v>-31500000</v>
      </c>
      <c r="J121" t="n">
        <v>0.068</v>
      </c>
      <c r="K121" t="n">
        <v>1.76</v>
      </c>
      <c r="L121" t="n">
        <v>0.13</v>
      </c>
      <c r="M121" t="n">
        <v>1.63</v>
      </c>
      <c r="P121" t="inlineStr">
        <is>
          <t>정세빈</t>
        </is>
      </c>
      <c r="Q121" t="inlineStr">
        <is>
          <t>홈서비스 60개월 / *전월확정 20251230 당월철회 20260105</t>
        </is>
      </c>
      <c r="Z121" t="n">
        <v>0</v>
      </c>
      <c r="AB121" t="inlineStr">
        <is>
          <t>홈서비스</t>
        </is>
      </c>
      <c r="AC121" t="n">
        <v>-554400</v>
      </c>
      <c r="AD121" t="n">
        <v>-40950</v>
      </c>
      <c r="AE121" t="n">
        <v>-513450</v>
      </c>
      <c r="AF121" t="n">
        <v>-504000</v>
      </c>
      <c r="AG121" t="n">
        <v>-40950</v>
      </c>
      <c r="AH121" t="n">
        <v>-463050</v>
      </c>
      <c r="AI121" t="n">
        <v>0</v>
      </c>
      <c r="AK121" t="inlineStr">
        <is>
          <t>대출철회</t>
        </is>
      </c>
    </row>
    <row r="122">
      <c r="A122" t="inlineStr">
        <is>
          <t>1월</t>
        </is>
      </c>
      <c r="B122" t="inlineStr">
        <is>
          <t>2주차</t>
        </is>
      </c>
      <c r="C122" t="inlineStr">
        <is>
          <t>EP</t>
        </is>
      </c>
      <c r="D122" s="28" t="n">
        <v>46027</v>
      </c>
      <c r="E122" t="inlineStr">
        <is>
          <t>현대EP_fast</t>
        </is>
      </c>
      <c r="F122" t="inlineStr">
        <is>
          <t>조종원</t>
        </is>
      </c>
      <c r="G122" t="inlineStr">
        <is>
          <t>010-9277-8756</t>
        </is>
      </c>
      <c r="H122" t="inlineStr">
        <is>
          <t>47부9902</t>
        </is>
      </c>
      <c r="I122" t="n">
        <v>9900000</v>
      </c>
      <c r="J122" t="n">
        <v>0.077</v>
      </c>
      <c r="K122" t="n">
        <v>1.76</v>
      </c>
      <c r="L122" t="n">
        <v>0.13</v>
      </c>
      <c r="M122" t="n">
        <v>1.63</v>
      </c>
      <c r="P122" t="inlineStr">
        <is>
          <t>장진경</t>
        </is>
      </c>
      <c r="Q122" t="inlineStr">
        <is>
          <t xml:space="preserve">선상담 / 홈서비스 60개월 </t>
        </is>
      </c>
      <c r="Z122" t="n">
        <v>0</v>
      </c>
      <c r="AB122" t="inlineStr">
        <is>
          <t>홈서비스</t>
        </is>
      </c>
      <c r="AC122" t="n">
        <v>174240</v>
      </c>
      <c r="AD122" t="n">
        <v>12870</v>
      </c>
      <c r="AE122" t="n">
        <v>161370</v>
      </c>
      <c r="AF122" t="n">
        <v>158400</v>
      </c>
      <c r="AG122" t="n">
        <v>12870</v>
      </c>
      <c r="AH122" t="n">
        <v>145530</v>
      </c>
      <c r="AI122" t="n">
        <v>0</v>
      </c>
    </row>
    <row r="123">
      <c r="A123" t="inlineStr">
        <is>
          <t>1월</t>
        </is>
      </c>
      <c r="B123" t="inlineStr">
        <is>
          <t>2주차</t>
        </is>
      </c>
      <c r="C123" t="inlineStr">
        <is>
          <t>IM</t>
        </is>
      </c>
      <c r="D123" s="28" t="n">
        <v>46027</v>
      </c>
      <c r="E123" t="inlineStr">
        <is>
          <t>IM캐피탈</t>
        </is>
      </c>
      <c r="F123" t="inlineStr">
        <is>
          <t>남혜원</t>
        </is>
      </c>
      <c r="G123" t="inlineStr">
        <is>
          <t>010-6517-1125</t>
        </is>
      </c>
      <c r="H123" t="inlineStr">
        <is>
          <t>124로7773</t>
        </is>
      </c>
      <c r="I123" t="n">
        <v>86900000</v>
      </c>
      <c r="J123" t="n">
        <v>0.056</v>
      </c>
      <c r="K123" t="n">
        <v>0.55</v>
      </c>
      <c r="L123" t="n">
        <v>0.13</v>
      </c>
      <c r="M123" t="n">
        <v>0.42</v>
      </c>
      <c r="P123" t="inlineStr">
        <is>
          <t>정광호</t>
        </is>
      </c>
      <c r="Q123" t="inlineStr">
        <is>
          <t>홈서비스 72개월</t>
        </is>
      </c>
      <c r="Z123" t="n">
        <v>0</v>
      </c>
      <c r="AB123" t="inlineStr">
        <is>
          <t>홈서비스</t>
        </is>
      </c>
      <c r="AC123" t="n">
        <v>477950</v>
      </c>
      <c r="AD123" t="n">
        <v>112970</v>
      </c>
      <c r="AE123" t="n">
        <v>364980</v>
      </c>
      <c r="AF123" t="n">
        <v>434500</v>
      </c>
      <c r="AG123" t="n">
        <v>112970</v>
      </c>
      <c r="AH123" t="n">
        <v>321530</v>
      </c>
      <c r="AI123" t="n">
        <v>0</v>
      </c>
    </row>
    <row r="124">
      <c r="A124" t="inlineStr">
        <is>
          <t>1월</t>
        </is>
      </c>
      <c r="B124" t="inlineStr">
        <is>
          <t>2주차</t>
        </is>
      </c>
      <c r="C124" t="inlineStr">
        <is>
          <t>EP</t>
        </is>
      </c>
      <c r="D124" s="28" t="n">
        <v>46027</v>
      </c>
      <c r="E124" t="inlineStr">
        <is>
          <t>현대EP</t>
        </is>
      </c>
      <c r="F124" t="inlineStr">
        <is>
          <t>최정원</t>
        </is>
      </c>
      <c r="G124" t="inlineStr">
        <is>
          <t>010-4666-4644</t>
        </is>
      </c>
      <c r="H124" t="inlineStr">
        <is>
          <t>146거7301</t>
        </is>
      </c>
      <c r="I124" t="n">
        <v>10000000</v>
      </c>
      <c r="J124" t="n">
        <v>0.065</v>
      </c>
      <c r="K124" t="n">
        <v>1.76</v>
      </c>
      <c r="L124" t="n">
        <v>0.13</v>
      </c>
      <c r="M124" t="n">
        <v>1.63</v>
      </c>
      <c r="P124" t="inlineStr">
        <is>
          <t>정광호</t>
        </is>
      </c>
      <c r="Q124" t="inlineStr">
        <is>
          <t>홈서비스60개월 /*당월철회 20260106</t>
        </is>
      </c>
      <c r="Z124" t="n">
        <v>0</v>
      </c>
      <c r="AB124" t="inlineStr">
        <is>
          <t>홈서비스</t>
        </is>
      </c>
      <c r="AC124" t="n">
        <v>176000</v>
      </c>
      <c r="AD124" t="n">
        <v>13000</v>
      </c>
      <c r="AE124" t="n">
        <v>163000</v>
      </c>
      <c r="AF124" t="n">
        <v>160000</v>
      </c>
      <c r="AG124" t="n">
        <v>13000</v>
      </c>
      <c r="AH124" t="n">
        <v>147000</v>
      </c>
      <c r="AK124" t="inlineStr">
        <is>
          <t>대출철회</t>
        </is>
      </c>
    </row>
    <row r="125">
      <c r="A125" t="inlineStr">
        <is>
          <t>1월</t>
        </is>
      </c>
      <c r="B125" t="inlineStr">
        <is>
          <t>2주차</t>
        </is>
      </c>
      <c r="C125" t="inlineStr">
        <is>
          <t>EP</t>
        </is>
      </c>
      <c r="D125" s="28" t="n">
        <v>46028</v>
      </c>
      <c r="E125" t="inlineStr">
        <is>
          <t>현대EP_fast</t>
        </is>
      </c>
      <c r="F125" t="inlineStr">
        <is>
          <t>신명순</t>
        </is>
      </c>
      <c r="G125" t="inlineStr">
        <is>
          <t>010-9908-2373</t>
        </is>
      </c>
      <c r="H125" t="inlineStr">
        <is>
          <t>17부4171</t>
        </is>
      </c>
      <c r="I125" t="n">
        <v>7200000</v>
      </c>
      <c r="J125" t="n">
        <v>0.083</v>
      </c>
      <c r="K125" t="n">
        <v>1.76</v>
      </c>
      <c r="L125" t="n">
        <v>0.13</v>
      </c>
      <c r="M125" t="n">
        <v>1.63</v>
      </c>
      <c r="P125" t="inlineStr">
        <is>
          <t>정광호</t>
        </is>
      </c>
      <c r="Q125" t="inlineStr">
        <is>
          <t>홈서비스 60개월</t>
        </is>
      </c>
      <c r="Z125" t="n">
        <v>0</v>
      </c>
      <c r="AB125" t="inlineStr">
        <is>
          <t>홈서비스</t>
        </is>
      </c>
      <c r="AC125" t="n">
        <v>126720</v>
      </c>
      <c r="AD125" t="n">
        <v>9360</v>
      </c>
      <c r="AE125" t="n">
        <v>117360</v>
      </c>
      <c r="AF125" t="n">
        <v>115200</v>
      </c>
      <c r="AG125" t="n">
        <v>9360</v>
      </c>
      <c r="AH125" t="n">
        <v>105840</v>
      </c>
    </row>
    <row r="126">
      <c r="A126" t="inlineStr">
        <is>
          <t>1월</t>
        </is>
      </c>
      <c r="B126" t="inlineStr">
        <is>
          <t>2주차</t>
        </is>
      </c>
      <c r="C126" t="inlineStr">
        <is>
          <t>EP</t>
        </is>
      </c>
      <c r="D126" s="28" t="n">
        <v>46028</v>
      </c>
      <c r="E126" t="inlineStr">
        <is>
          <t>현대EP_fast</t>
        </is>
      </c>
      <c r="F126" t="inlineStr">
        <is>
          <t>배선경</t>
        </is>
      </c>
      <c r="G126" t="inlineStr">
        <is>
          <t>010-7601-1093</t>
        </is>
      </c>
      <c r="H126" t="inlineStr">
        <is>
          <t>165러1218</t>
        </is>
      </c>
      <c r="I126" t="n">
        <v>33500000</v>
      </c>
      <c r="J126" t="n">
        <v>0.067</v>
      </c>
      <c r="K126" t="n">
        <v>1.76</v>
      </c>
      <c r="L126" t="n">
        <v>0.13</v>
      </c>
      <c r="M126" t="n">
        <v>1.63</v>
      </c>
      <c r="P126" t="inlineStr">
        <is>
          <t>황채이</t>
        </is>
      </c>
      <c r="Q126" t="inlineStr">
        <is>
          <t>홈서비스 60개월</t>
        </is>
      </c>
      <c r="Z126" t="n">
        <v>0</v>
      </c>
      <c r="AB126" t="inlineStr">
        <is>
          <t>홈서비스</t>
        </is>
      </c>
      <c r="AC126" t="n">
        <v>589600</v>
      </c>
      <c r="AD126" t="n">
        <v>43550</v>
      </c>
      <c r="AE126" t="n">
        <v>546050</v>
      </c>
      <c r="AF126" t="n">
        <v>536000</v>
      </c>
      <c r="AG126" t="n">
        <v>43550</v>
      </c>
      <c r="AH126" t="n">
        <v>492450</v>
      </c>
    </row>
    <row r="127">
      <c r="A127" t="inlineStr">
        <is>
          <t>1월</t>
        </is>
      </c>
      <c r="B127" t="inlineStr">
        <is>
          <t>2주차</t>
        </is>
      </c>
      <c r="C127" t="inlineStr">
        <is>
          <t>IM</t>
        </is>
      </c>
      <c r="D127" s="28" t="n">
        <v>46027</v>
      </c>
      <c r="E127" t="inlineStr">
        <is>
          <t>IM캐피탈</t>
        </is>
      </c>
      <c r="F127" t="inlineStr">
        <is>
          <t>정광섭</t>
        </is>
      </c>
      <c r="G127" t="inlineStr">
        <is>
          <t>010-9248-9135</t>
        </is>
      </c>
      <c r="H127" t="inlineStr">
        <is>
          <t>84러0758</t>
        </is>
      </c>
      <c r="I127" t="n">
        <v>14000000</v>
      </c>
      <c r="J127" t="n">
        <v>0.07199999999999999</v>
      </c>
      <c r="K127" t="n">
        <v>0.55</v>
      </c>
      <c r="L127" t="n">
        <v>0.13</v>
      </c>
      <c r="M127" t="n">
        <v>0.42</v>
      </c>
      <c r="P127" t="inlineStr">
        <is>
          <t>임대경</t>
        </is>
      </c>
      <c r="Q127" t="inlineStr">
        <is>
          <t>홈서비스 48개월</t>
        </is>
      </c>
      <c r="Z127" t="n">
        <v>0</v>
      </c>
      <c r="AB127" t="inlineStr">
        <is>
          <t>홈서비스</t>
        </is>
      </c>
      <c r="AC127" t="n">
        <v>77000</v>
      </c>
      <c r="AD127" t="n">
        <v>18200</v>
      </c>
      <c r="AE127" t="n">
        <v>58800</v>
      </c>
      <c r="AF127" t="n">
        <v>70000</v>
      </c>
      <c r="AG127" t="n">
        <v>18200</v>
      </c>
      <c r="AH127" t="n">
        <v>51800</v>
      </c>
    </row>
    <row r="128">
      <c r="A128" t="inlineStr">
        <is>
          <t>1월</t>
        </is>
      </c>
      <c r="B128" t="inlineStr">
        <is>
          <t>2주차</t>
        </is>
      </c>
      <c r="C128" t="inlineStr">
        <is>
          <t>EP</t>
        </is>
      </c>
      <c r="D128" s="28" t="n">
        <v>46027</v>
      </c>
      <c r="E128" t="inlineStr">
        <is>
          <t>현대EP_fast</t>
        </is>
      </c>
      <c r="F128" t="inlineStr">
        <is>
          <t>마수영</t>
        </is>
      </c>
      <c r="G128" t="inlineStr">
        <is>
          <t>010-8884-6078</t>
        </is>
      </c>
      <c r="H128" t="inlineStr">
        <is>
          <t>230주7695</t>
        </is>
      </c>
      <c r="I128" t="n">
        <v>30000000</v>
      </c>
      <c r="J128" t="n">
        <v>0.06900000000000001</v>
      </c>
      <c r="K128" t="n">
        <v>1.76</v>
      </c>
      <c r="L128" t="n">
        <v>0.13</v>
      </c>
      <c r="M128" t="n">
        <v>1.63</v>
      </c>
      <c r="P128" t="inlineStr">
        <is>
          <t>장진경</t>
        </is>
      </c>
      <c r="Q128" t="inlineStr">
        <is>
          <t>선상담 / 홈서비스 60개월</t>
        </is>
      </c>
      <c r="Z128" t="n">
        <v>0</v>
      </c>
      <c r="AB128" t="inlineStr">
        <is>
          <t>홈서비스</t>
        </is>
      </c>
      <c r="AC128" t="n">
        <v>528000</v>
      </c>
      <c r="AD128" t="n">
        <v>39000</v>
      </c>
      <c r="AE128" t="n">
        <v>489000</v>
      </c>
      <c r="AF128" t="n">
        <v>480000</v>
      </c>
      <c r="AG128" t="n">
        <v>39000</v>
      </c>
      <c r="AH128" t="n">
        <v>441000</v>
      </c>
    </row>
    <row r="129">
      <c r="A129" t="inlineStr">
        <is>
          <t>1월</t>
        </is>
      </c>
      <c r="B129" t="inlineStr">
        <is>
          <t>2주차</t>
        </is>
      </c>
      <c r="C129" t="inlineStr">
        <is>
          <t>OR</t>
        </is>
      </c>
      <c r="D129" s="28" t="n">
        <v>46027</v>
      </c>
      <c r="E129" t="inlineStr">
        <is>
          <t>오릭스</t>
        </is>
      </c>
      <c r="F129" t="inlineStr">
        <is>
          <t>신승철</t>
        </is>
      </c>
      <c r="G129" t="inlineStr">
        <is>
          <t>010-9118-7665</t>
        </is>
      </c>
      <c r="H129" t="inlineStr">
        <is>
          <t>53조3598</t>
        </is>
      </c>
      <c r="I129" t="n">
        <v>14000000</v>
      </c>
      <c r="J129" t="n">
        <v>0.08</v>
      </c>
      <c r="K129" t="n">
        <v>1.65</v>
      </c>
      <c r="L129" t="n">
        <v>0.13</v>
      </c>
      <c r="M129" t="n">
        <v>1.52</v>
      </c>
      <c r="P129" t="inlineStr">
        <is>
          <t>장현경</t>
        </is>
      </c>
      <c r="Q129" t="inlineStr">
        <is>
          <t>연습건 / 안심거래존건</t>
        </is>
      </c>
      <c r="Z129" t="n">
        <v>0</v>
      </c>
      <c r="AB129" t="inlineStr">
        <is>
          <t>믿고</t>
        </is>
      </c>
      <c r="AC129" t="n">
        <v>231000</v>
      </c>
      <c r="AD129" t="n">
        <v>18200</v>
      </c>
      <c r="AE129" t="n">
        <v>212800</v>
      </c>
      <c r="AF129" t="n">
        <v>210000</v>
      </c>
      <c r="AG129" t="n">
        <v>18200</v>
      </c>
      <c r="AH129" t="n">
        <v>191800</v>
      </c>
      <c r="AI129" t="n">
        <v>1</v>
      </c>
    </row>
    <row r="130">
      <c r="A130" t="inlineStr">
        <is>
          <t>1월</t>
        </is>
      </c>
      <c r="B130" t="inlineStr">
        <is>
          <t>2주차</t>
        </is>
      </c>
      <c r="C130" t="inlineStr">
        <is>
          <t>EP</t>
        </is>
      </c>
      <c r="D130" s="28" t="n">
        <v>46027</v>
      </c>
      <c r="E130" t="inlineStr">
        <is>
          <t>현대EP_fast</t>
        </is>
      </c>
      <c r="F130" t="inlineStr">
        <is>
          <t>위선규</t>
        </is>
      </c>
      <c r="G130" t="inlineStr">
        <is>
          <t>0103902-6925</t>
        </is>
      </c>
      <c r="H130" t="inlineStr">
        <is>
          <t>04부7296</t>
        </is>
      </c>
      <c r="I130" t="n">
        <v>9000000</v>
      </c>
      <c r="J130" t="n">
        <v>0.111</v>
      </c>
      <c r="K130" t="n">
        <v>1.76</v>
      </c>
      <c r="L130" t="n">
        <v>0.13</v>
      </c>
      <c r="M130" t="n">
        <v>1.63</v>
      </c>
      <c r="P130" t="inlineStr">
        <is>
          <t>임대경</t>
        </is>
      </c>
      <c r="Q130" t="inlineStr">
        <is>
          <t>홈서비스 60개월</t>
        </is>
      </c>
      <c r="Z130" t="n">
        <v>0</v>
      </c>
      <c r="AB130" t="inlineStr">
        <is>
          <t>홈서비스</t>
        </is>
      </c>
      <c r="AC130" t="n">
        <v>158400</v>
      </c>
      <c r="AD130" t="n">
        <v>11700</v>
      </c>
      <c r="AE130" t="n">
        <v>146700</v>
      </c>
      <c r="AF130" t="n">
        <v>144000</v>
      </c>
      <c r="AG130" t="n">
        <v>11700</v>
      </c>
      <c r="AH130" t="n">
        <v>132300</v>
      </c>
      <c r="AI130" t="n">
        <v>1</v>
      </c>
    </row>
    <row r="131">
      <c r="A131" t="inlineStr">
        <is>
          <t>1월</t>
        </is>
      </c>
      <c r="B131" t="inlineStr">
        <is>
          <t>2주차</t>
        </is>
      </c>
      <c r="C131" t="inlineStr">
        <is>
          <t>EP</t>
        </is>
      </c>
      <c r="D131" s="28" t="n">
        <v>46027</v>
      </c>
      <c r="E131" t="inlineStr">
        <is>
          <t>현대EP</t>
        </is>
      </c>
      <c r="F131" t="inlineStr">
        <is>
          <t>정재훈</t>
        </is>
      </c>
      <c r="G131" t="inlineStr">
        <is>
          <t>010-3133-4900</t>
        </is>
      </c>
      <c r="H131" t="inlineStr">
        <is>
          <t>252부6767</t>
        </is>
      </c>
      <c r="I131" t="n">
        <v>20000000</v>
      </c>
      <c r="J131" t="n">
        <v>0.133</v>
      </c>
      <c r="K131" t="n">
        <v>1.76</v>
      </c>
      <c r="L131" t="n">
        <v>0.13</v>
      </c>
      <c r="M131" t="n">
        <v>1.63</v>
      </c>
      <c r="P131" t="inlineStr">
        <is>
          <t>최형주</t>
        </is>
      </c>
      <c r="Q131" t="inlineStr">
        <is>
          <t>홈서비스48개월</t>
        </is>
      </c>
      <c r="Z131" t="n">
        <v>0</v>
      </c>
      <c r="AB131" t="inlineStr">
        <is>
          <t>홈서비스</t>
        </is>
      </c>
      <c r="AC131" t="n">
        <v>352000</v>
      </c>
      <c r="AD131" t="n">
        <v>26000</v>
      </c>
      <c r="AE131" t="n">
        <v>326000</v>
      </c>
      <c r="AF131" t="n">
        <v>320000</v>
      </c>
      <c r="AG131" t="n">
        <v>26000</v>
      </c>
      <c r="AH131" t="n">
        <v>294000</v>
      </c>
    </row>
    <row r="132">
      <c r="A132" t="inlineStr">
        <is>
          <t>1월</t>
        </is>
      </c>
      <c r="B132" t="inlineStr">
        <is>
          <t>2주차</t>
        </is>
      </c>
      <c r="C132" t="inlineStr">
        <is>
          <t>IM</t>
        </is>
      </c>
      <c r="D132" s="28" t="n">
        <v>46027</v>
      </c>
      <c r="E132" t="inlineStr">
        <is>
          <t>IM캐피탈</t>
        </is>
      </c>
      <c r="F132" t="inlineStr">
        <is>
          <t>유대경</t>
        </is>
      </c>
      <c r="G132" t="inlineStr">
        <is>
          <t>010-8886-4171</t>
        </is>
      </c>
      <c r="H132" t="inlineStr">
        <is>
          <t>115다4186</t>
        </is>
      </c>
      <c r="I132" t="n">
        <v>-43800000</v>
      </c>
      <c r="J132" t="n">
        <v>0.06</v>
      </c>
      <c r="K132" t="n">
        <v>0.55</v>
      </c>
      <c r="L132" t="n">
        <v>0.13</v>
      </c>
      <c r="M132" t="n">
        <v>0.42</v>
      </c>
      <c r="P132" t="inlineStr">
        <is>
          <t>김나윤</t>
        </is>
      </c>
      <c r="Q132" t="inlineStr">
        <is>
          <t>홈서비스60개월/ *철회 20260113</t>
        </is>
      </c>
      <c r="Z132" t="n">
        <v>0</v>
      </c>
      <c r="AB132" t="inlineStr">
        <is>
          <t>홈서비스</t>
        </is>
      </c>
      <c r="AC132" t="n">
        <v>-240900</v>
      </c>
      <c r="AD132" t="n">
        <v>-56940</v>
      </c>
      <c r="AE132" t="n">
        <v>-183960</v>
      </c>
      <c r="AF132" t="n">
        <v>-219000</v>
      </c>
      <c r="AG132" t="n">
        <v>-56940</v>
      </c>
      <c r="AH132" t="n">
        <v>-162060</v>
      </c>
      <c r="AI132" t="n">
        <v>0</v>
      </c>
      <c r="AK132" t="inlineStr">
        <is>
          <t>대출철회</t>
        </is>
      </c>
    </row>
    <row r="133">
      <c r="A133" t="inlineStr">
        <is>
          <t>1월</t>
        </is>
      </c>
      <c r="B133" t="inlineStr">
        <is>
          <t>2주차</t>
        </is>
      </c>
      <c r="C133" t="inlineStr">
        <is>
          <t>IM</t>
        </is>
      </c>
      <c r="D133" s="28" t="n">
        <v>46028</v>
      </c>
      <c r="E133" t="inlineStr">
        <is>
          <t>IM캐피탈</t>
        </is>
      </c>
      <c r="F133" t="inlineStr">
        <is>
          <t>송성호</t>
        </is>
      </c>
      <c r="G133" t="inlineStr">
        <is>
          <t>010-3751-6468</t>
        </is>
      </c>
      <c r="H133" t="inlineStr">
        <is>
          <t>61무5177</t>
        </is>
      </c>
      <c r="I133" t="n">
        <v>30000000</v>
      </c>
      <c r="J133" t="n">
        <v>0.056</v>
      </c>
      <c r="K133" t="n">
        <v>0.55</v>
      </c>
      <c r="L133" t="n">
        <v>0.13</v>
      </c>
      <c r="M133" t="n">
        <v>0.42</v>
      </c>
      <c r="P133" t="inlineStr">
        <is>
          <t>장현경</t>
        </is>
      </c>
      <c r="Q133" t="inlineStr">
        <is>
          <t>선상담 / 홈서비스 60개월 / *철회 20260114</t>
        </is>
      </c>
      <c r="Z133" t="n">
        <v>0</v>
      </c>
      <c r="AB133" t="inlineStr">
        <is>
          <t>홈서비스</t>
        </is>
      </c>
      <c r="AC133" t="n">
        <v>165000</v>
      </c>
      <c r="AD133" t="n">
        <v>39000</v>
      </c>
      <c r="AE133" t="n">
        <v>126000</v>
      </c>
      <c r="AF133" t="n">
        <v>150000</v>
      </c>
      <c r="AG133" t="n">
        <v>39000</v>
      </c>
      <c r="AH133" t="n">
        <v>111000</v>
      </c>
      <c r="AI133" t="n">
        <v>0</v>
      </c>
      <c r="AK133" t="inlineStr">
        <is>
          <t>대출철회</t>
        </is>
      </c>
    </row>
    <row r="134">
      <c r="A134" t="inlineStr">
        <is>
          <t>1월</t>
        </is>
      </c>
      <c r="B134" t="inlineStr">
        <is>
          <t>2주차</t>
        </is>
      </c>
      <c r="C134" t="inlineStr">
        <is>
          <t>IM</t>
        </is>
      </c>
      <c r="D134" s="28" t="n">
        <v>46028</v>
      </c>
      <c r="E134" t="inlineStr">
        <is>
          <t>IM캐피탈</t>
        </is>
      </c>
      <c r="F134" t="inlineStr">
        <is>
          <t>정예찬</t>
        </is>
      </c>
      <c r="G134" t="inlineStr">
        <is>
          <t>010-2585-2177</t>
        </is>
      </c>
      <c r="H134" t="inlineStr">
        <is>
          <t>252오4675</t>
        </is>
      </c>
      <c r="I134" t="n">
        <v>20000000</v>
      </c>
      <c r="J134" t="n">
        <v>0.064</v>
      </c>
      <c r="K134" t="n">
        <v>0.55</v>
      </c>
      <c r="L134" t="n">
        <v>0.13</v>
      </c>
      <c r="M134" t="n">
        <v>0.42</v>
      </c>
      <c r="P134" t="inlineStr">
        <is>
          <t>정세빈</t>
        </is>
      </c>
      <c r="Q134" t="inlineStr">
        <is>
          <t>홈서비스 60개월</t>
        </is>
      </c>
      <c r="Z134" t="n">
        <v>0</v>
      </c>
      <c r="AB134" t="inlineStr">
        <is>
          <t>홈서비스</t>
        </is>
      </c>
      <c r="AC134" t="n">
        <v>110000</v>
      </c>
      <c r="AD134" t="n">
        <v>26000</v>
      </c>
      <c r="AE134" t="n">
        <v>84000</v>
      </c>
      <c r="AF134" t="n">
        <v>100000</v>
      </c>
      <c r="AG134" t="n">
        <v>26000</v>
      </c>
      <c r="AH134" t="n">
        <v>74000</v>
      </c>
    </row>
    <row r="135">
      <c r="A135" t="inlineStr">
        <is>
          <t>1월</t>
        </is>
      </c>
      <c r="B135" t="inlineStr">
        <is>
          <t>2주차</t>
        </is>
      </c>
      <c r="C135" t="inlineStr">
        <is>
          <t>EP</t>
        </is>
      </c>
      <c r="D135" s="28" t="n">
        <v>46028</v>
      </c>
      <c r="E135" t="inlineStr">
        <is>
          <t>현대EP_fast</t>
        </is>
      </c>
      <c r="F135" t="inlineStr">
        <is>
          <t>천현우</t>
        </is>
      </c>
      <c r="G135" t="inlineStr">
        <is>
          <t>010-7324-9655</t>
        </is>
      </c>
      <c r="H135" t="inlineStr">
        <is>
          <t>41부3156</t>
        </is>
      </c>
      <c r="I135" t="n">
        <v>29800000</v>
      </c>
      <c r="J135" t="n">
        <v>0.08699999999999999</v>
      </c>
      <c r="K135" t="n">
        <v>1.76</v>
      </c>
      <c r="L135" t="n">
        <v>0.13</v>
      </c>
      <c r="M135" t="n">
        <v>1.63</v>
      </c>
      <c r="P135" t="inlineStr">
        <is>
          <t>최형주</t>
        </is>
      </c>
      <c r="Q135" t="inlineStr">
        <is>
          <t>홈서비스 60개월</t>
        </is>
      </c>
      <c r="Z135" t="n">
        <v>0</v>
      </c>
      <c r="AB135" t="inlineStr">
        <is>
          <t>홈서비스</t>
        </is>
      </c>
      <c r="AC135" t="n">
        <v>524480</v>
      </c>
      <c r="AD135" t="n">
        <v>38740</v>
      </c>
      <c r="AE135" t="n">
        <v>485740</v>
      </c>
      <c r="AF135" t="n">
        <v>476800</v>
      </c>
      <c r="AG135" t="n">
        <v>38740</v>
      </c>
      <c r="AH135" t="n">
        <v>438060</v>
      </c>
    </row>
    <row r="136">
      <c r="A136" t="inlineStr">
        <is>
          <t>1월</t>
        </is>
      </c>
      <c r="B136" t="inlineStr">
        <is>
          <t>2주차</t>
        </is>
      </c>
      <c r="C136" t="inlineStr">
        <is>
          <t>IM</t>
        </is>
      </c>
      <c r="D136" s="28" t="n">
        <v>46028</v>
      </c>
      <c r="E136" t="inlineStr">
        <is>
          <t>IM캐피탈</t>
        </is>
      </c>
      <c r="F136" t="inlineStr">
        <is>
          <t>곽성현</t>
        </is>
      </c>
      <c r="G136" t="inlineStr">
        <is>
          <t>010-9944-6414</t>
        </is>
      </c>
      <c r="H136" t="inlineStr">
        <is>
          <t>03고1664</t>
        </is>
      </c>
      <c r="I136" t="n">
        <v>16000000</v>
      </c>
      <c r="J136" t="n">
        <v>0.09</v>
      </c>
      <c r="K136" t="n">
        <v>0.55</v>
      </c>
      <c r="L136" t="n">
        <v>0.13</v>
      </c>
      <c r="M136" t="n">
        <v>0.42</v>
      </c>
      <c r="P136" t="inlineStr">
        <is>
          <t>김나윤</t>
        </is>
      </c>
      <c r="Q136" t="inlineStr">
        <is>
          <t>홈서비스72개월</t>
        </is>
      </c>
      <c r="Z136" t="n">
        <v>0</v>
      </c>
      <c r="AB136" t="inlineStr">
        <is>
          <t>홈서비스</t>
        </is>
      </c>
      <c r="AC136" t="n">
        <v>88000</v>
      </c>
      <c r="AD136" t="n">
        <v>20800</v>
      </c>
      <c r="AE136" t="n">
        <v>67200</v>
      </c>
      <c r="AF136" t="n">
        <v>80000</v>
      </c>
      <c r="AG136" t="n">
        <v>20800</v>
      </c>
      <c r="AH136" t="n">
        <v>59200</v>
      </c>
      <c r="AI136" t="n">
        <v>0</v>
      </c>
    </row>
    <row r="137">
      <c r="A137" t="inlineStr">
        <is>
          <t>1월</t>
        </is>
      </c>
      <c r="B137" t="inlineStr">
        <is>
          <t>2주차</t>
        </is>
      </c>
      <c r="C137" t="inlineStr">
        <is>
          <t>EP</t>
        </is>
      </c>
      <c r="D137" s="28" t="n">
        <v>46027</v>
      </c>
      <c r="E137" t="inlineStr">
        <is>
          <t>현대EP_fast</t>
        </is>
      </c>
      <c r="F137" t="inlineStr">
        <is>
          <t>황인하</t>
        </is>
      </c>
      <c r="G137" t="inlineStr">
        <is>
          <t>010-4911-3186</t>
        </is>
      </c>
      <c r="H137" t="inlineStr">
        <is>
          <t>13머5077</t>
        </is>
      </c>
      <c r="I137" t="n">
        <v>8000000</v>
      </c>
      <c r="J137" t="n">
        <v>0.075</v>
      </c>
      <c r="K137" t="n">
        <v>1.76</v>
      </c>
      <c r="L137" t="n">
        <v>0.13</v>
      </c>
      <c r="M137" t="n">
        <v>1.63</v>
      </c>
      <c r="P137" t="inlineStr">
        <is>
          <t>최혁</t>
        </is>
      </c>
      <c r="Q137" t="inlineStr">
        <is>
          <t>홈서비스60개월</t>
        </is>
      </c>
      <c r="Z137" t="n">
        <v>0</v>
      </c>
      <c r="AB137" t="inlineStr">
        <is>
          <t>홈서비스</t>
        </is>
      </c>
      <c r="AC137" t="n">
        <v>140800</v>
      </c>
      <c r="AD137" t="n">
        <v>10400</v>
      </c>
      <c r="AE137" t="n">
        <v>130400</v>
      </c>
      <c r="AF137" t="n">
        <v>128000</v>
      </c>
      <c r="AG137" t="n">
        <v>10400</v>
      </c>
      <c r="AH137" t="n">
        <v>117600</v>
      </c>
    </row>
    <row r="138">
      <c r="A138" t="inlineStr">
        <is>
          <t>1월</t>
        </is>
      </c>
      <c r="B138" t="inlineStr">
        <is>
          <t>2주차</t>
        </is>
      </c>
      <c r="C138" t="inlineStr">
        <is>
          <t>EP</t>
        </is>
      </c>
      <c r="D138" s="28" t="n">
        <v>46028</v>
      </c>
      <c r="E138" t="inlineStr">
        <is>
          <t>현대EP_fast</t>
        </is>
      </c>
      <c r="F138" t="inlineStr">
        <is>
          <t>이두익</t>
        </is>
      </c>
      <c r="G138" t="inlineStr">
        <is>
          <t>010-3677-3225</t>
        </is>
      </c>
      <c r="H138" t="inlineStr">
        <is>
          <t>16고0157</t>
        </is>
      </c>
      <c r="I138" t="n">
        <v>29900000</v>
      </c>
      <c r="J138" t="n">
        <v>0.073</v>
      </c>
      <c r="K138" t="n">
        <v>1.76</v>
      </c>
      <c r="L138" t="n">
        <v>0.13</v>
      </c>
      <c r="M138" t="n">
        <v>1.63</v>
      </c>
      <c r="P138" t="inlineStr">
        <is>
          <t>정광호</t>
        </is>
      </c>
      <c r="Q138" t="inlineStr">
        <is>
          <t>홈서비스 60개월</t>
        </is>
      </c>
      <c r="Z138" t="n">
        <v>0</v>
      </c>
      <c r="AB138" t="inlineStr">
        <is>
          <t>홈서비스</t>
        </is>
      </c>
      <c r="AC138" t="n">
        <v>526240</v>
      </c>
      <c r="AD138" t="n">
        <v>38870</v>
      </c>
      <c r="AE138" t="n">
        <v>487370</v>
      </c>
      <c r="AF138" t="n">
        <v>478400</v>
      </c>
      <c r="AG138" t="n">
        <v>38870</v>
      </c>
      <c r="AH138" t="n">
        <v>439530</v>
      </c>
      <c r="AI138" t="n">
        <v>0</v>
      </c>
    </row>
    <row r="139">
      <c r="A139" t="inlineStr">
        <is>
          <t>1월</t>
        </is>
      </c>
      <c r="B139" t="inlineStr">
        <is>
          <t>2주차</t>
        </is>
      </c>
      <c r="C139" t="inlineStr">
        <is>
          <t>EP</t>
        </is>
      </c>
      <c r="D139" s="28" t="n">
        <v>46027</v>
      </c>
      <c r="E139" t="inlineStr">
        <is>
          <t>현대EP</t>
        </is>
      </c>
      <c r="F139" t="inlineStr">
        <is>
          <t>천상복</t>
        </is>
      </c>
      <c r="G139" t="inlineStr">
        <is>
          <t>010-7123-4377</t>
        </is>
      </c>
      <c r="H139" t="inlineStr">
        <is>
          <t>269무1655</t>
        </is>
      </c>
      <c r="I139" t="n">
        <v>8700000</v>
      </c>
      <c r="J139" t="n">
        <v>0.067</v>
      </c>
      <c r="K139" t="n">
        <v>1.76</v>
      </c>
      <c r="L139" t="n">
        <v>0.13</v>
      </c>
      <c r="M139" t="n">
        <v>1.63</v>
      </c>
      <c r="P139" t="inlineStr">
        <is>
          <t>최혁</t>
        </is>
      </c>
      <c r="Q139" t="inlineStr">
        <is>
          <t>홈서비스24개월</t>
        </is>
      </c>
      <c r="Z139" t="n">
        <v>0</v>
      </c>
      <c r="AB139" t="inlineStr">
        <is>
          <t>홈서비스</t>
        </is>
      </c>
      <c r="AC139" t="n">
        <v>153120</v>
      </c>
      <c r="AD139" t="n">
        <v>11310</v>
      </c>
      <c r="AE139" t="n">
        <v>141810</v>
      </c>
      <c r="AF139" t="n">
        <v>139200</v>
      </c>
      <c r="AG139" t="n">
        <v>11310</v>
      </c>
      <c r="AH139" t="n">
        <v>127890</v>
      </c>
      <c r="AI139" t="n">
        <v>0</v>
      </c>
    </row>
    <row r="140">
      <c r="A140" t="inlineStr">
        <is>
          <t>1월</t>
        </is>
      </c>
      <c r="B140" t="inlineStr">
        <is>
          <t>2주차</t>
        </is>
      </c>
      <c r="C140" t="inlineStr">
        <is>
          <t>IM</t>
        </is>
      </c>
      <c r="D140" s="28" t="n">
        <v>46028</v>
      </c>
      <c r="E140" t="inlineStr">
        <is>
          <t>IM캐피탈</t>
        </is>
      </c>
      <c r="F140" t="inlineStr">
        <is>
          <t>박한별</t>
        </is>
      </c>
      <c r="G140" t="inlineStr">
        <is>
          <t>010-9047-2330</t>
        </is>
      </c>
      <c r="H140" t="inlineStr">
        <is>
          <t>08마0503</t>
        </is>
      </c>
      <c r="I140" t="n">
        <v>4600000</v>
      </c>
      <c r="J140" t="n">
        <v>0.049</v>
      </c>
      <c r="K140" t="n">
        <v>0.55</v>
      </c>
      <c r="L140" t="n">
        <v>0.13</v>
      </c>
      <c r="M140" t="n">
        <v>0.42</v>
      </c>
      <c r="P140" t="inlineStr">
        <is>
          <t>최형주</t>
        </is>
      </c>
      <c r="Q140" t="inlineStr">
        <is>
          <t>홈서비스 36개웛</t>
        </is>
      </c>
      <c r="Z140" t="n">
        <v>0</v>
      </c>
      <c r="AB140" t="inlineStr">
        <is>
          <t>홈서비스</t>
        </is>
      </c>
      <c r="AC140" t="n">
        <v>25300</v>
      </c>
      <c r="AD140" t="n">
        <v>5980</v>
      </c>
      <c r="AE140" t="n">
        <v>19320</v>
      </c>
      <c r="AF140" t="n">
        <v>23000</v>
      </c>
      <c r="AG140" t="n">
        <v>5980</v>
      </c>
      <c r="AH140" t="n">
        <v>17020</v>
      </c>
      <c r="AI140" t="n">
        <v>0</v>
      </c>
    </row>
    <row r="141">
      <c r="A141" t="inlineStr">
        <is>
          <t>1월</t>
        </is>
      </c>
      <c r="B141" t="inlineStr">
        <is>
          <t>2주차</t>
        </is>
      </c>
      <c r="C141" t="inlineStr">
        <is>
          <t>EP</t>
        </is>
      </c>
      <c r="D141" s="28" t="n">
        <v>46028</v>
      </c>
      <c r="E141" t="inlineStr">
        <is>
          <t>현대EP_fast</t>
        </is>
      </c>
      <c r="F141" t="inlineStr">
        <is>
          <t>심돋아</t>
        </is>
      </c>
      <c r="G141" t="inlineStr">
        <is>
          <t>010-2356-3618</t>
        </is>
      </c>
      <c r="H141" t="inlineStr">
        <is>
          <t>233도9510</t>
        </is>
      </c>
      <c r="I141" t="n">
        <v>11000000</v>
      </c>
      <c r="J141" t="n">
        <v>0.067</v>
      </c>
      <c r="K141" t="n">
        <v>1.76</v>
      </c>
      <c r="L141" t="n">
        <v>0.13</v>
      </c>
      <c r="M141" t="n">
        <v>1.63</v>
      </c>
      <c r="P141" t="inlineStr">
        <is>
          <t>최혁</t>
        </is>
      </c>
      <c r="Q141" t="inlineStr">
        <is>
          <t>홈서비스60개월</t>
        </is>
      </c>
      <c r="Z141" t="n">
        <v>0</v>
      </c>
      <c r="AB141" t="inlineStr">
        <is>
          <t>홈서비스</t>
        </is>
      </c>
      <c r="AC141" t="n">
        <v>193600</v>
      </c>
      <c r="AD141" t="n">
        <v>14300</v>
      </c>
      <c r="AE141" t="n">
        <v>179300</v>
      </c>
      <c r="AF141" t="n">
        <v>176000</v>
      </c>
      <c r="AG141" t="n">
        <v>14300</v>
      </c>
      <c r="AH141" t="n">
        <v>161700</v>
      </c>
      <c r="AI141" t="n">
        <v>0</v>
      </c>
    </row>
    <row r="142">
      <c r="A142" t="inlineStr">
        <is>
          <t>1월</t>
        </is>
      </c>
      <c r="B142" t="inlineStr">
        <is>
          <t>2주차</t>
        </is>
      </c>
      <c r="C142" t="inlineStr">
        <is>
          <t>WC</t>
        </is>
      </c>
      <c r="D142" s="28" t="n">
        <v>46028</v>
      </c>
      <c r="E142" t="inlineStr">
        <is>
          <t>웰컴저축은행</t>
        </is>
      </c>
      <c r="F142" t="inlineStr">
        <is>
          <t>서준호</t>
        </is>
      </c>
      <c r="G142" t="inlineStr">
        <is>
          <t>010-3333-5392</t>
        </is>
      </c>
      <c r="H142" t="inlineStr">
        <is>
          <t>55두4587</t>
        </is>
      </c>
      <c r="I142" t="n">
        <v>15300000</v>
      </c>
      <c r="J142" t="n">
        <v>0.139</v>
      </c>
      <c r="K142" t="n">
        <v>0</v>
      </c>
      <c r="L142" t="n">
        <v>0.4</v>
      </c>
      <c r="M142" t="n">
        <v>-0.4</v>
      </c>
      <c r="P142" t="inlineStr">
        <is>
          <t>임대경</t>
        </is>
      </c>
      <c r="Z142" t="n">
        <v>0</v>
      </c>
      <c r="AB142" t="inlineStr">
        <is>
          <t>엔카</t>
        </is>
      </c>
      <c r="AC142" t="n">
        <v>0</v>
      </c>
      <c r="AD142" t="n">
        <v>61200</v>
      </c>
      <c r="AE142" t="n">
        <v>-61200</v>
      </c>
      <c r="AF142" t="n">
        <v>0</v>
      </c>
      <c r="AG142" t="n">
        <v>61200</v>
      </c>
      <c r="AH142" t="n">
        <v>-61200</v>
      </c>
      <c r="AI142" t="n">
        <v>0</v>
      </c>
    </row>
    <row r="143">
      <c r="A143" t="inlineStr">
        <is>
          <t>1월</t>
        </is>
      </c>
      <c r="B143" t="inlineStr">
        <is>
          <t>2주차</t>
        </is>
      </c>
      <c r="C143" t="inlineStr">
        <is>
          <t>EP</t>
        </is>
      </c>
      <c r="D143" s="28" t="n">
        <v>46028</v>
      </c>
      <c r="E143" t="inlineStr">
        <is>
          <t>현대EP_fast</t>
        </is>
      </c>
      <c r="F143" t="inlineStr">
        <is>
          <t>정겨운</t>
        </is>
      </c>
      <c r="G143" t="inlineStr">
        <is>
          <t>010-3388-7041</t>
        </is>
      </c>
      <c r="H143" t="inlineStr">
        <is>
          <t>193거8198</t>
        </is>
      </c>
      <c r="I143" t="n">
        <v>6700000</v>
      </c>
      <c r="J143" t="n">
        <v>0.08699999999999999</v>
      </c>
      <c r="K143" t="n">
        <v>1.76</v>
      </c>
      <c r="L143" t="n">
        <v>0.13</v>
      </c>
      <c r="M143" t="n">
        <v>1.63</v>
      </c>
      <c r="P143" t="inlineStr">
        <is>
          <t>정광호</t>
        </is>
      </c>
      <c r="Q143" t="inlineStr">
        <is>
          <t>홈서비스 36개월</t>
        </is>
      </c>
      <c r="Z143" t="n">
        <v>0</v>
      </c>
      <c r="AB143" t="inlineStr">
        <is>
          <t>홈서비스</t>
        </is>
      </c>
      <c r="AC143" t="n">
        <v>117920</v>
      </c>
      <c r="AD143" t="n">
        <v>8710</v>
      </c>
      <c r="AE143" t="n">
        <v>109210</v>
      </c>
      <c r="AF143" t="n">
        <v>107200</v>
      </c>
      <c r="AG143" t="n">
        <v>8710</v>
      </c>
      <c r="AH143" t="n">
        <v>98490</v>
      </c>
      <c r="AI143" t="n">
        <v>0</v>
      </c>
    </row>
    <row r="144">
      <c r="A144" t="inlineStr">
        <is>
          <t>1월</t>
        </is>
      </c>
      <c r="B144" t="inlineStr">
        <is>
          <t>2주차</t>
        </is>
      </c>
      <c r="C144" t="inlineStr">
        <is>
          <t>IM</t>
        </is>
      </c>
      <c r="D144" s="28" t="n">
        <v>46027</v>
      </c>
      <c r="E144" t="inlineStr">
        <is>
          <t>IM캐피탈</t>
        </is>
      </c>
      <c r="F144" t="inlineStr">
        <is>
          <t>김종찬</t>
        </is>
      </c>
      <c r="G144" t="inlineStr">
        <is>
          <t>010-7159-5784</t>
        </is>
      </c>
      <c r="H144" t="inlineStr">
        <is>
          <t>396라5502</t>
        </is>
      </c>
      <c r="I144" t="n">
        <v>21700000</v>
      </c>
      <c r="J144" t="n">
        <v>0.07199999999999999</v>
      </c>
      <c r="K144" t="n">
        <v>0.55</v>
      </c>
      <c r="L144" t="n">
        <v>0.13</v>
      </c>
      <c r="M144" t="n">
        <v>0.42</v>
      </c>
      <c r="P144" t="inlineStr">
        <is>
          <t>박현민</t>
        </is>
      </c>
      <c r="Q144" t="inlineStr">
        <is>
          <t>홈서비스60개월</t>
        </is>
      </c>
      <c r="Z144" t="n">
        <v>0</v>
      </c>
      <c r="AB144" t="inlineStr">
        <is>
          <t>홈서비스</t>
        </is>
      </c>
      <c r="AC144" t="n">
        <v>119350</v>
      </c>
      <c r="AD144" t="n">
        <v>28210</v>
      </c>
      <c r="AE144" t="n">
        <v>91140</v>
      </c>
      <c r="AF144" t="n">
        <v>108500</v>
      </c>
      <c r="AG144" t="n">
        <v>28210</v>
      </c>
      <c r="AH144" t="n">
        <v>80290</v>
      </c>
    </row>
    <row r="145">
      <c r="A145" t="inlineStr">
        <is>
          <t>1월</t>
        </is>
      </c>
      <c r="B145" t="inlineStr">
        <is>
          <t>2주차</t>
        </is>
      </c>
      <c r="C145" t="inlineStr">
        <is>
          <t>IM</t>
        </is>
      </c>
      <c r="D145" s="28" t="n">
        <v>46028</v>
      </c>
      <c r="E145" t="inlineStr">
        <is>
          <t>IM캐피탈</t>
        </is>
      </c>
      <c r="F145" t="inlineStr">
        <is>
          <t>정도현</t>
        </is>
      </c>
      <c r="G145" t="inlineStr">
        <is>
          <t>010-6777-8130</t>
        </is>
      </c>
      <c r="H145" t="inlineStr">
        <is>
          <t>252노6793</t>
        </is>
      </c>
      <c r="I145" t="n">
        <v>41000000</v>
      </c>
      <c r="J145" t="n">
        <v>0.08</v>
      </c>
      <c r="K145" t="n">
        <v>0.55</v>
      </c>
      <c r="L145" t="n">
        <v>0.4</v>
      </c>
      <c r="M145" t="n">
        <v>0.15</v>
      </c>
      <c r="P145" t="inlineStr">
        <is>
          <t>임대경</t>
        </is>
      </c>
      <c r="Z145" t="n">
        <v>0</v>
      </c>
      <c r="AB145" t="inlineStr">
        <is>
          <t>엔카</t>
        </is>
      </c>
      <c r="AC145" t="n">
        <v>225500</v>
      </c>
      <c r="AD145" t="n">
        <v>164000</v>
      </c>
      <c r="AE145" t="n">
        <v>61500</v>
      </c>
      <c r="AF145" t="n">
        <v>205000</v>
      </c>
      <c r="AG145" t="n">
        <v>164000</v>
      </c>
      <c r="AH145" t="n">
        <v>41000</v>
      </c>
      <c r="AI145" t="n">
        <v>0</v>
      </c>
    </row>
    <row r="146">
      <c r="A146" t="inlineStr">
        <is>
          <t>1월</t>
        </is>
      </c>
      <c r="B146" t="inlineStr">
        <is>
          <t>2주차</t>
        </is>
      </c>
      <c r="C146" t="inlineStr">
        <is>
          <t>IM</t>
        </is>
      </c>
      <c r="D146" s="28" t="n">
        <v>46028</v>
      </c>
      <c r="E146" t="inlineStr">
        <is>
          <t>IM캐피탈</t>
        </is>
      </c>
      <c r="F146" t="inlineStr">
        <is>
          <t>김용모</t>
        </is>
      </c>
      <c r="G146" t="inlineStr">
        <is>
          <t>010-4530-8871</t>
        </is>
      </c>
      <c r="H146" t="inlineStr">
        <is>
          <t>149어7519</t>
        </is>
      </c>
      <c r="I146" t="n">
        <v>6200000</v>
      </c>
      <c r="J146" t="n">
        <v>0.06</v>
      </c>
      <c r="K146" t="n">
        <v>0.55</v>
      </c>
      <c r="L146" t="n">
        <v>0.13</v>
      </c>
      <c r="M146" t="n">
        <v>0.42</v>
      </c>
      <c r="P146" t="inlineStr">
        <is>
          <t>김나윤</t>
        </is>
      </c>
      <c r="Q146" t="inlineStr">
        <is>
          <t>홈서비스60개월</t>
        </is>
      </c>
      <c r="Z146" t="n">
        <v>0</v>
      </c>
      <c r="AB146" t="inlineStr">
        <is>
          <t>홈서비스</t>
        </is>
      </c>
      <c r="AC146" t="n">
        <v>34100</v>
      </c>
      <c r="AD146" t="n">
        <v>8060</v>
      </c>
      <c r="AE146" t="n">
        <v>26040</v>
      </c>
      <c r="AF146" t="n">
        <v>31000</v>
      </c>
      <c r="AG146" t="n">
        <v>8060</v>
      </c>
      <c r="AH146" t="n">
        <v>22940</v>
      </c>
      <c r="AI146" t="n">
        <v>0</v>
      </c>
    </row>
    <row r="147">
      <c r="A147" t="inlineStr">
        <is>
          <t>1월</t>
        </is>
      </c>
      <c r="B147" t="inlineStr">
        <is>
          <t>2주차</t>
        </is>
      </c>
      <c r="C147" t="inlineStr">
        <is>
          <t>EP</t>
        </is>
      </c>
      <c r="D147" s="28" t="n">
        <v>46028</v>
      </c>
      <c r="E147" t="inlineStr">
        <is>
          <t>현대EP</t>
        </is>
      </c>
      <c r="F147" t="inlineStr">
        <is>
          <t>손현주</t>
        </is>
      </c>
      <c r="G147" t="inlineStr">
        <is>
          <t>010-9167-3244</t>
        </is>
      </c>
      <c r="H147" t="inlineStr">
        <is>
          <t>104도6305</t>
        </is>
      </c>
      <c r="I147" t="n">
        <v>36400000</v>
      </c>
      <c r="J147" t="n">
        <v>0.06900000000000001</v>
      </c>
      <c r="K147" t="n">
        <v>1.76</v>
      </c>
      <c r="L147" t="n">
        <v>0.13</v>
      </c>
      <c r="M147" t="n">
        <v>1.63</v>
      </c>
      <c r="P147" t="inlineStr">
        <is>
          <t>정세빈</t>
        </is>
      </c>
      <c r="Q147" t="inlineStr">
        <is>
          <t>홈서비스 60개월</t>
        </is>
      </c>
      <c r="Z147" t="n">
        <v>0</v>
      </c>
      <c r="AB147" t="inlineStr">
        <is>
          <t>홈서비스</t>
        </is>
      </c>
      <c r="AC147" t="n">
        <v>640640</v>
      </c>
      <c r="AD147" t="n">
        <v>47320</v>
      </c>
      <c r="AE147" t="n">
        <v>593320</v>
      </c>
      <c r="AF147" t="n">
        <v>582400</v>
      </c>
      <c r="AG147" t="n">
        <v>47320</v>
      </c>
      <c r="AH147" t="n">
        <v>535080</v>
      </c>
    </row>
    <row r="148">
      <c r="A148" t="inlineStr">
        <is>
          <t>1월</t>
        </is>
      </c>
      <c r="B148" t="inlineStr">
        <is>
          <t>2주차</t>
        </is>
      </c>
      <c r="C148" t="inlineStr">
        <is>
          <t>상환</t>
        </is>
      </c>
      <c r="D148" s="28" t="n">
        <v>46028</v>
      </c>
      <c r="E148" t="inlineStr">
        <is>
          <t>현대EP_fast상환</t>
        </is>
      </c>
      <c r="F148" t="inlineStr">
        <is>
          <t>안민섭</t>
        </is>
      </c>
      <c r="G148" t="inlineStr">
        <is>
          <t>010-9161-5664</t>
        </is>
      </c>
      <c r="H148" t="inlineStr">
        <is>
          <t>41부6159</t>
        </is>
      </c>
      <c r="I148" t="n">
        <v>-4900000</v>
      </c>
      <c r="J148" t="n">
        <v>0.065</v>
      </c>
      <c r="K148" t="n">
        <v>1.76</v>
      </c>
      <c r="L148" t="n">
        <v>0.13</v>
      </c>
      <c r="M148" t="n">
        <v>1.63</v>
      </c>
      <c r="P148" t="inlineStr">
        <is>
          <t>정세빈</t>
        </is>
      </c>
      <c r="Q148" t="inlineStr">
        <is>
          <t>홈서비스 24개월 / *전월확정 20251226 당월철회 20260106</t>
        </is>
      </c>
      <c r="Z148" t="n">
        <v>0</v>
      </c>
      <c r="AB148" t="inlineStr">
        <is>
          <t>홈서비스</t>
        </is>
      </c>
      <c r="AC148" t="n">
        <v>-86240</v>
      </c>
      <c r="AD148" t="n">
        <v>-6370</v>
      </c>
      <c r="AE148" t="n">
        <v>-79870</v>
      </c>
      <c r="AF148" t="n">
        <v>-78400</v>
      </c>
      <c r="AG148" t="n">
        <v>-6370</v>
      </c>
      <c r="AH148" t="n">
        <v>-72030</v>
      </c>
      <c r="AI148" t="n">
        <v>0</v>
      </c>
      <c r="AK148" t="inlineStr">
        <is>
          <t>대출철회</t>
        </is>
      </c>
    </row>
    <row r="149">
      <c r="A149" t="inlineStr">
        <is>
          <t>1월</t>
        </is>
      </c>
      <c r="B149" t="inlineStr">
        <is>
          <t>2주차</t>
        </is>
      </c>
      <c r="C149" t="inlineStr">
        <is>
          <t>EP</t>
        </is>
      </c>
      <c r="D149" s="28" t="n">
        <v>46028</v>
      </c>
      <c r="E149" t="inlineStr">
        <is>
          <t>현대EP_fast</t>
        </is>
      </c>
      <c r="F149" t="inlineStr">
        <is>
          <t>최민혁</t>
        </is>
      </c>
      <c r="G149" t="inlineStr">
        <is>
          <t>010-5137-0944</t>
        </is>
      </c>
      <c r="H149" t="inlineStr">
        <is>
          <t>147누3404</t>
        </is>
      </c>
      <c r="I149" t="n">
        <v>10000000</v>
      </c>
      <c r="J149" t="n">
        <v>0.081</v>
      </c>
      <c r="K149" t="n">
        <v>1.76</v>
      </c>
      <c r="L149" t="n">
        <v>0.13</v>
      </c>
      <c r="M149" t="n">
        <v>1.63</v>
      </c>
      <c r="P149" t="inlineStr">
        <is>
          <t>최혁</t>
        </is>
      </c>
      <c r="Q149" t="inlineStr">
        <is>
          <t>홈서비스60개월</t>
        </is>
      </c>
      <c r="Z149" t="n">
        <v>0</v>
      </c>
      <c r="AB149" t="inlineStr">
        <is>
          <t>홈서비스</t>
        </is>
      </c>
      <c r="AC149" t="n">
        <v>176000</v>
      </c>
      <c r="AD149" t="n">
        <v>13000</v>
      </c>
      <c r="AE149" t="n">
        <v>163000</v>
      </c>
      <c r="AF149" t="n">
        <v>160000</v>
      </c>
      <c r="AG149" t="n">
        <v>13000</v>
      </c>
      <c r="AH149" t="n">
        <v>147000</v>
      </c>
    </row>
    <row r="150">
      <c r="A150" t="inlineStr">
        <is>
          <t>1월</t>
        </is>
      </c>
      <c r="B150" t="inlineStr">
        <is>
          <t>2주차</t>
        </is>
      </c>
      <c r="C150" t="inlineStr">
        <is>
          <t>EP</t>
        </is>
      </c>
      <c r="D150" s="28" t="n">
        <v>46028</v>
      </c>
      <c r="E150" t="inlineStr">
        <is>
          <t>BNKEP</t>
        </is>
      </c>
      <c r="F150" t="inlineStr">
        <is>
          <t>이동현</t>
        </is>
      </c>
      <c r="G150" t="inlineStr">
        <is>
          <t>010-6311-3331</t>
        </is>
      </c>
      <c r="H150" t="inlineStr">
        <is>
          <t>45오9296</t>
        </is>
      </c>
      <c r="I150" t="n">
        <v>36000000</v>
      </c>
      <c r="J150" t="n">
        <v>0.08599999999999999</v>
      </c>
      <c r="K150" t="n">
        <v>1.65</v>
      </c>
      <c r="L150" t="n">
        <v>0.4</v>
      </c>
      <c r="M150" t="n">
        <v>1.25</v>
      </c>
      <c r="P150" t="inlineStr">
        <is>
          <t>장현경</t>
        </is>
      </c>
      <c r="Q150" t="inlineStr">
        <is>
          <t>* 철회 20260109</t>
        </is>
      </c>
      <c r="Z150" t="n">
        <v>0</v>
      </c>
      <c r="AB150" t="inlineStr">
        <is>
          <t>엔카</t>
        </is>
      </c>
      <c r="AC150" t="n">
        <v>594000</v>
      </c>
      <c r="AD150" t="n">
        <v>144000</v>
      </c>
      <c r="AE150" t="n">
        <v>450000</v>
      </c>
      <c r="AF150" t="n">
        <v>540000</v>
      </c>
      <c r="AG150" t="n">
        <v>144000</v>
      </c>
      <c r="AH150" t="n">
        <v>396000</v>
      </c>
      <c r="AK150" t="inlineStr">
        <is>
          <t>대출철회</t>
        </is>
      </c>
    </row>
    <row r="151">
      <c r="A151" t="inlineStr">
        <is>
          <t>1월</t>
        </is>
      </c>
      <c r="B151" t="inlineStr">
        <is>
          <t>2주차</t>
        </is>
      </c>
      <c r="C151" t="inlineStr">
        <is>
          <t>EP</t>
        </is>
      </c>
      <c r="D151" s="28" t="n">
        <v>46028</v>
      </c>
      <c r="E151" t="inlineStr">
        <is>
          <t>현대EP_fast</t>
        </is>
      </c>
      <c r="F151" t="inlineStr">
        <is>
          <t>정지원</t>
        </is>
      </c>
      <c r="G151" t="inlineStr">
        <is>
          <t>010-8213-1967</t>
        </is>
      </c>
      <c r="H151" t="inlineStr">
        <is>
          <t>14더4264</t>
        </is>
      </c>
      <c r="I151" t="n">
        <v>5700000</v>
      </c>
      <c r="J151" t="n">
        <v>0.111</v>
      </c>
      <c r="K151" t="n">
        <v>1.76</v>
      </c>
      <c r="L151" t="n">
        <v>0.13</v>
      </c>
      <c r="M151" t="n">
        <v>1.63</v>
      </c>
      <c r="P151" t="inlineStr">
        <is>
          <t>김나윤</t>
        </is>
      </c>
      <c r="Q151" t="inlineStr">
        <is>
          <t>홈서비스48개월</t>
        </is>
      </c>
      <c r="Z151" t="n">
        <v>0</v>
      </c>
      <c r="AB151" t="inlineStr">
        <is>
          <t>홈서비스</t>
        </is>
      </c>
      <c r="AC151" t="n">
        <v>100320</v>
      </c>
      <c r="AD151" t="n">
        <v>7410</v>
      </c>
      <c r="AE151" t="n">
        <v>92910</v>
      </c>
      <c r="AF151" t="n">
        <v>91200</v>
      </c>
      <c r="AG151" t="n">
        <v>7410</v>
      </c>
      <c r="AH151" t="n">
        <v>83790</v>
      </c>
      <c r="AI151" t="n">
        <v>0</v>
      </c>
    </row>
    <row r="152">
      <c r="A152" t="inlineStr">
        <is>
          <t>1월</t>
        </is>
      </c>
      <c r="B152" t="inlineStr">
        <is>
          <t>2주차</t>
        </is>
      </c>
      <c r="C152" t="inlineStr">
        <is>
          <t>EP</t>
        </is>
      </c>
      <c r="D152" s="28" t="n">
        <v>46028</v>
      </c>
      <c r="E152" t="inlineStr">
        <is>
          <t>현대EP</t>
        </is>
      </c>
      <c r="F152" t="inlineStr">
        <is>
          <t>김은영</t>
        </is>
      </c>
      <c r="G152" t="inlineStr">
        <is>
          <t>010-4939-4989</t>
        </is>
      </c>
      <c r="H152" t="inlineStr">
        <is>
          <t>391도2136</t>
        </is>
      </c>
      <c r="I152" t="n">
        <v>30000000</v>
      </c>
      <c r="J152" t="n">
        <v>0.083</v>
      </c>
      <c r="K152" t="n">
        <v>1.76</v>
      </c>
      <c r="L152" t="n">
        <v>0.13</v>
      </c>
      <c r="M152" t="n">
        <v>1.63</v>
      </c>
      <c r="P152" t="inlineStr">
        <is>
          <t>황채이</t>
        </is>
      </c>
      <c r="Q152" t="inlineStr">
        <is>
          <t>홈서비스 48개월</t>
        </is>
      </c>
      <c r="Z152" t="n">
        <v>0</v>
      </c>
      <c r="AB152" t="inlineStr">
        <is>
          <t>홈서비스</t>
        </is>
      </c>
      <c r="AC152" t="n">
        <v>528000</v>
      </c>
      <c r="AD152" t="n">
        <v>39000</v>
      </c>
      <c r="AE152" t="n">
        <v>489000</v>
      </c>
      <c r="AF152" t="n">
        <v>480000</v>
      </c>
      <c r="AG152" t="n">
        <v>39000</v>
      </c>
      <c r="AH152" t="n">
        <v>441000</v>
      </c>
    </row>
    <row r="153">
      <c r="A153" t="inlineStr">
        <is>
          <t>1월</t>
        </is>
      </c>
      <c r="B153" t="inlineStr">
        <is>
          <t>2주차</t>
        </is>
      </c>
      <c r="C153" t="inlineStr">
        <is>
          <t>EP</t>
        </is>
      </c>
      <c r="D153" s="28" t="n">
        <v>46028</v>
      </c>
      <c r="E153" t="inlineStr">
        <is>
          <t>현대EP_fast</t>
        </is>
      </c>
      <c r="F153" t="inlineStr">
        <is>
          <t>고광일</t>
        </is>
      </c>
      <c r="G153" t="inlineStr">
        <is>
          <t>010-3105-6413</t>
        </is>
      </c>
      <c r="H153" t="inlineStr">
        <is>
          <t>68루6726</t>
        </is>
      </c>
      <c r="I153" t="n">
        <v>14000000</v>
      </c>
      <c r="J153" t="n">
        <v>0.06900000000000001</v>
      </c>
      <c r="K153" t="n">
        <v>1.76</v>
      </c>
      <c r="L153" t="n">
        <v>0.13</v>
      </c>
      <c r="M153" t="n">
        <v>1.63</v>
      </c>
      <c r="P153" t="inlineStr">
        <is>
          <t>김나윤</t>
        </is>
      </c>
      <c r="Q153" t="inlineStr">
        <is>
          <t>홈서비스60개월</t>
        </is>
      </c>
      <c r="Z153" t="n">
        <v>0</v>
      </c>
      <c r="AB153" t="inlineStr">
        <is>
          <t>홈서비스</t>
        </is>
      </c>
      <c r="AC153" t="n">
        <v>246400</v>
      </c>
      <c r="AD153" t="n">
        <v>18200</v>
      </c>
      <c r="AE153" t="n">
        <v>228200</v>
      </c>
      <c r="AF153" t="n">
        <v>224000</v>
      </c>
      <c r="AG153" t="n">
        <v>18200</v>
      </c>
      <c r="AH153" t="n">
        <v>205800</v>
      </c>
    </row>
    <row r="154">
      <c r="A154" t="inlineStr">
        <is>
          <t>1월</t>
        </is>
      </c>
      <c r="B154" t="inlineStr">
        <is>
          <t>2주차</t>
        </is>
      </c>
      <c r="C154" t="inlineStr">
        <is>
          <t>EP</t>
        </is>
      </c>
      <c r="D154" s="28" t="n">
        <v>46028</v>
      </c>
      <c r="E154" t="inlineStr">
        <is>
          <t>현대EP</t>
        </is>
      </c>
      <c r="F154" t="inlineStr">
        <is>
          <t>박균상</t>
        </is>
      </c>
      <c r="G154" t="inlineStr">
        <is>
          <t>010-7457-7499</t>
        </is>
      </c>
      <c r="H154" t="inlineStr">
        <is>
          <t>12거0686</t>
        </is>
      </c>
      <c r="I154" t="n">
        <v>8500000</v>
      </c>
      <c r="J154" t="n">
        <v>0.067</v>
      </c>
      <c r="K154" t="n">
        <v>1.76</v>
      </c>
      <c r="L154" t="n">
        <v>0.13</v>
      </c>
      <c r="M154" t="n">
        <v>1.63</v>
      </c>
      <c r="P154" t="inlineStr">
        <is>
          <t>황채이</t>
        </is>
      </c>
      <c r="Q154" t="inlineStr">
        <is>
          <t>홈서비스 36개월</t>
        </is>
      </c>
      <c r="Z154" t="n">
        <v>0</v>
      </c>
      <c r="AB154" t="inlineStr">
        <is>
          <t>홈서비스</t>
        </is>
      </c>
      <c r="AC154" t="n">
        <v>149600</v>
      </c>
      <c r="AD154" t="n">
        <v>11050</v>
      </c>
      <c r="AE154" t="n">
        <v>138550</v>
      </c>
      <c r="AF154" t="n">
        <v>136000</v>
      </c>
      <c r="AG154" t="n">
        <v>11050</v>
      </c>
      <c r="AH154" t="n">
        <v>124950</v>
      </c>
      <c r="AI154" t="n">
        <v>0</v>
      </c>
    </row>
    <row r="155">
      <c r="A155" t="inlineStr">
        <is>
          <t>1월</t>
        </is>
      </c>
      <c r="B155" t="inlineStr">
        <is>
          <t>2주차</t>
        </is>
      </c>
      <c r="C155" t="inlineStr">
        <is>
          <t>EP</t>
        </is>
      </c>
      <c r="D155" s="28" t="n">
        <v>46028</v>
      </c>
      <c r="E155" t="inlineStr">
        <is>
          <t>현대EP</t>
        </is>
      </c>
      <c r="F155" t="inlineStr">
        <is>
          <t>공춘수</t>
        </is>
      </c>
      <c r="G155" t="inlineStr">
        <is>
          <t>010-9945-2298</t>
        </is>
      </c>
      <c r="H155" t="inlineStr">
        <is>
          <t>285두2288</t>
        </is>
      </c>
      <c r="I155" t="n">
        <v>6000000</v>
      </c>
      <c r="J155" t="n">
        <v>0.082</v>
      </c>
      <c r="K155" t="n">
        <v>1.76</v>
      </c>
      <c r="L155" t="n">
        <v>0.13</v>
      </c>
      <c r="M155" t="n">
        <v>1.63</v>
      </c>
      <c r="P155" t="inlineStr">
        <is>
          <t>김나윤</t>
        </is>
      </c>
      <c r="Q155" t="inlineStr">
        <is>
          <t>홈서비스 48개월</t>
        </is>
      </c>
      <c r="Z155" t="n">
        <v>0</v>
      </c>
      <c r="AB155" t="inlineStr">
        <is>
          <t>홈서비스</t>
        </is>
      </c>
      <c r="AC155" t="n">
        <v>105600</v>
      </c>
      <c r="AD155" t="n">
        <v>7800</v>
      </c>
      <c r="AE155" t="n">
        <v>97800</v>
      </c>
      <c r="AF155" t="n">
        <v>96000</v>
      </c>
      <c r="AG155" t="n">
        <v>7800</v>
      </c>
      <c r="AH155" t="n">
        <v>88200</v>
      </c>
      <c r="AI155" t="n">
        <v>0</v>
      </c>
    </row>
    <row r="156">
      <c r="A156" t="inlineStr">
        <is>
          <t>1월</t>
        </is>
      </c>
      <c r="B156" t="inlineStr">
        <is>
          <t>2주차</t>
        </is>
      </c>
      <c r="C156" t="inlineStr">
        <is>
          <t>EP</t>
        </is>
      </c>
      <c r="D156" s="28" t="n">
        <v>46027</v>
      </c>
      <c r="E156" t="inlineStr">
        <is>
          <t>제이비EP</t>
        </is>
      </c>
      <c r="F156" t="inlineStr">
        <is>
          <t>이승원</t>
        </is>
      </c>
      <c r="G156" t="inlineStr">
        <is>
          <t>010-7750-5068</t>
        </is>
      </c>
      <c r="H156" t="inlineStr">
        <is>
          <t>58두1235</t>
        </is>
      </c>
      <c r="I156" t="n">
        <v>4900000</v>
      </c>
      <c r="J156" t="n">
        <v>0.081</v>
      </c>
      <c r="K156" t="n">
        <v>1.65</v>
      </c>
      <c r="L156" t="n">
        <v>0.4</v>
      </c>
      <c r="M156" t="n">
        <v>1.25</v>
      </c>
      <c r="P156" t="inlineStr">
        <is>
          <t>정하은</t>
        </is>
      </c>
      <c r="Z156" t="n">
        <v>0</v>
      </c>
      <c r="AB156" t="inlineStr">
        <is>
          <t>엔카</t>
        </is>
      </c>
      <c r="AC156" t="n">
        <v>80850</v>
      </c>
      <c r="AD156" t="n">
        <v>19600</v>
      </c>
      <c r="AE156" t="n">
        <v>61250</v>
      </c>
      <c r="AF156" t="n">
        <v>73500</v>
      </c>
      <c r="AG156" t="n">
        <v>19600</v>
      </c>
      <c r="AH156" t="n">
        <v>53900</v>
      </c>
    </row>
    <row r="157">
      <c r="A157" t="inlineStr">
        <is>
          <t>1월</t>
        </is>
      </c>
      <c r="B157" t="inlineStr">
        <is>
          <t>2주차</t>
        </is>
      </c>
      <c r="C157" t="inlineStr">
        <is>
          <t>IM</t>
        </is>
      </c>
      <c r="D157" s="28" t="n">
        <v>46028</v>
      </c>
      <c r="E157" t="inlineStr">
        <is>
          <t>IM캐피탈</t>
        </is>
      </c>
      <c r="F157" t="inlineStr">
        <is>
          <t>손진우</t>
        </is>
      </c>
      <c r="G157" t="inlineStr">
        <is>
          <t>010-2231-3656</t>
        </is>
      </c>
      <c r="H157" t="inlineStr">
        <is>
          <t>257고5593</t>
        </is>
      </c>
      <c r="I157" t="n">
        <v>16000000</v>
      </c>
      <c r="J157" t="n">
        <v>0.064</v>
      </c>
      <c r="K157" t="n">
        <v>0.55</v>
      </c>
      <c r="L157" t="n">
        <v>0.13</v>
      </c>
      <c r="M157" t="n">
        <v>0.42</v>
      </c>
      <c r="P157" t="inlineStr">
        <is>
          <t>정세빈</t>
        </is>
      </c>
      <c r="Q157" t="inlineStr">
        <is>
          <t>홈서비스 60개월</t>
        </is>
      </c>
      <c r="Z157" t="n">
        <v>0</v>
      </c>
      <c r="AB157" t="inlineStr">
        <is>
          <t>홈서비스</t>
        </is>
      </c>
      <c r="AC157" t="n">
        <v>88000</v>
      </c>
      <c r="AD157" t="n">
        <v>20800</v>
      </c>
      <c r="AE157" t="n">
        <v>67200</v>
      </c>
      <c r="AF157" t="n">
        <v>80000</v>
      </c>
      <c r="AG157" t="n">
        <v>20800</v>
      </c>
      <c r="AH157" t="n">
        <v>59200</v>
      </c>
    </row>
    <row r="158">
      <c r="A158" t="inlineStr">
        <is>
          <t>1월</t>
        </is>
      </c>
      <c r="B158" t="inlineStr">
        <is>
          <t>2주차</t>
        </is>
      </c>
      <c r="C158" t="inlineStr">
        <is>
          <t>EP</t>
        </is>
      </c>
      <c r="D158" s="28" t="n">
        <v>46028</v>
      </c>
      <c r="E158" t="inlineStr">
        <is>
          <t>현대EP</t>
        </is>
      </c>
      <c r="F158" t="inlineStr">
        <is>
          <t>도연석</t>
        </is>
      </c>
      <c r="G158" t="inlineStr">
        <is>
          <t>010-7919-5906</t>
        </is>
      </c>
      <c r="H158" t="inlineStr">
        <is>
          <t>134버7857</t>
        </is>
      </c>
      <c r="I158" t="n">
        <v>11500000</v>
      </c>
      <c r="J158" t="n">
        <v>0.067</v>
      </c>
      <c r="K158" t="n">
        <v>1.76</v>
      </c>
      <c r="L158" t="n">
        <v>0.13</v>
      </c>
      <c r="M158" t="n">
        <v>1.63</v>
      </c>
      <c r="P158" t="inlineStr">
        <is>
          <t>김나윤</t>
        </is>
      </c>
      <c r="Q158" t="inlineStr">
        <is>
          <t>홈서비스 60개월</t>
        </is>
      </c>
      <c r="Z158" t="n">
        <v>0</v>
      </c>
      <c r="AB158" t="inlineStr">
        <is>
          <t>홈서비스</t>
        </is>
      </c>
      <c r="AC158" t="n">
        <v>202400</v>
      </c>
      <c r="AD158" t="n">
        <v>14950</v>
      </c>
      <c r="AE158" t="n">
        <v>187450</v>
      </c>
      <c r="AF158" t="n">
        <v>184000</v>
      </c>
      <c r="AG158" t="n">
        <v>14950</v>
      </c>
      <c r="AH158" t="n">
        <v>169050</v>
      </c>
    </row>
    <row r="159">
      <c r="A159" t="inlineStr">
        <is>
          <t>1월</t>
        </is>
      </c>
      <c r="B159" t="inlineStr">
        <is>
          <t>2주차</t>
        </is>
      </c>
      <c r="C159" t="inlineStr">
        <is>
          <t>EP</t>
        </is>
      </c>
      <c r="D159" s="28" t="n">
        <v>46028</v>
      </c>
      <c r="E159" t="inlineStr">
        <is>
          <t>현대EP_fast</t>
        </is>
      </c>
      <c r="F159" t="inlineStr">
        <is>
          <t>서용수</t>
        </is>
      </c>
      <c r="G159" t="inlineStr">
        <is>
          <t>010-4646-2709</t>
        </is>
      </c>
      <c r="H159" t="inlineStr">
        <is>
          <t>55우1062</t>
        </is>
      </c>
      <c r="I159" t="n">
        <v>8000000</v>
      </c>
      <c r="J159" t="n">
        <v>0.06900000000000001</v>
      </c>
      <c r="K159" t="n">
        <v>1.76</v>
      </c>
      <c r="L159" t="n">
        <v>0.13</v>
      </c>
      <c r="M159" t="n">
        <v>1.63</v>
      </c>
      <c r="P159" t="inlineStr">
        <is>
          <t>최형주</t>
        </is>
      </c>
      <c r="Q159" t="inlineStr">
        <is>
          <t>홈서비스 24개월</t>
        </is>
      </c>
      <c r="Z159" t="n">
        <v>0</v>
      </c>
      <c r="AB159" t="inlineStr">
        <is>
          <t>홈서비스</t>
        </is>
      </c>
      <c r="AC159" t="n">
        <v>140800</v>
      </c>
      <c r="AD159" t="n">
        <v>10400</v>
      </c>
      <c r="AE159" t="n">
        <v>130400</v>
      </c>
      <c r="AF159" t="n">
        <v>128000</v>
      </c>
      <c r="AG159" t="n">
        <v>10400</v>
      </c>
      <c r="AH159" t="n">
        <v>117600</v>
      </c>
    </row>
    <row r="160">
      <c r="A160" t="inlineStr">
        <is>
          <t>1월</t>
        </is>
      </c>
      <c r="B160" t="inlineStr">
        <is>
          <t>2주차</t>
        </is>
      </c>
      <c r="C160" t="inlineStr">
        <is>
          <t>WC</t>
        </is>
      </c>
      <c r="D160" s="28" t="n">
        <v>46028</v>
      </c>
      <c r="E160" t="inlineStr">
        <is>
          <t>웰컴저축은행</t>
        </is>
      </c>
      <c r="F160" t="inlineStr">
        <is>
          <t>이승훈</t>
        </is>
      </c>
      <c r="G160" t="inlineStr">
        <is>
          <t>010-7160-6998</t>
        </is>
      </c>
      <c r="H160" t="inlineStr">
        <is>
          <t>257머3196</t>
        </is>
      </c>
      <c r="I160" t="n">
        <v>10000000</v>
      </c>
      <c r="J160" t="n">
        <v>0.139</v>
      </c>
      <c r="K160" t="n">
        <v>0</v>
      </c>
      <c r="L160" t="n">
        <v>0.13</v>
      </c>
      <c r="M160" t="n">
        <v>-0.13</v>
      </c>
      <c r="P160" t="inlineStr">
        <is>
          <t>정광호</t>
        </is>
      </c>
      <c r="Q160" t="inlineStr">
        <is>
          <t>홈서비스 72개월</t>
        </is>
      </c>
      <c r="Z160" t="n">
        <v>0</v>
      </c>
      <c r="AB160" t="inlineStr">
        <is>
          <t>홈서비스</t>
        </is>
      </c>
      <c r="AC160" t="n">
        <v>0</v>
      </c>
      <c r="AD160" t="n">
        <v>13000</v>
      </c>
      <c r="AE160" t="n">
        <v>-13000</v>
      </c>
      <c r="AF160" t="n">
        <v>0</v>
      </c>
      <c r="AG160" t="n">
        <v>13000</v>
      </c>
      <c r="AH160" t="n">
        <v>-13000</v>
      </c>
    </row>
    <row r="161">
      <c r="A161" t="inlineStr">
        <is>
          <t>1월</t>
        </is>
      </c>
      <c r="B161" t="inlineStr">
        <is>
          <t>2주차</t>
        </is>
      </c>
      <c r="C161" t="inlineStr">
        <is>
          <t>EP</t>
        </is>
      </c>
      <c r="D161" s="28" t="n">
        <v>46028</v>
      </c>
      <c r="E161" t="inlineStr">
        <is>
          <t>현대EP</t>
        </is>
      </c>
      <c r="F161" t="inlineStr">
        <is>
          <t>이동언</t>
        </is>
      </c>
      <c r="G161" t="inlineStr">
        <is>
          <t>010-8686-4423</t>
        </is>
      </c>
      <c r="H161" t="inlineStr">
        <is>
          <t>259소6239</t>
        </is>
      </c>
      <c r="I161" t="n">
        <v>25500000</v>
      </c>
      <c r="J161" t="n">
        <v>0.07099999999999999</v>
      </c>
      <c r="K161" t="n">
        <v>1.76</v>
      </c>
      <c r="L161" t="n">
        <v>0.13</v>
      </c>
      <c r="M161" t="n">
        <v>1.63</v>
      </c>
      <c r="P161" t="inlineStr">
        <is>
          <t>최형주</t>
        </is>
      </c>
      <c r="Q161" t="inlineStr">
        <is>
          <t>홈서비스 48개월</t>
        </is>
      </c>
      <c r="Z161" t="n">
        <v>0</v>
      </c>
      <c r="AB161" t="inlineStr">
        <is>
          <t>홈서비스</t>
        </is>
      </c>
      <c r="AC161" t="n">
        <v>448800</v>
      </c>
      <c r="AD161" t="n">
        <v>33150</v>
      </c>
      <c r="AE161" t="n">
        <v>415650</v>
      </c>
      <c r="AF161" t="n">
        <v>408000</v>
      </c>
      <c r="AG161" t="n">
        <v>33150</v>
      </c>
      <c r="AH161" t="n">
        <v>374850</v>
      </c>
      <c r="AI161" t="n">
        <v>0</v>
      </c>
    </row>
    <row r="162">
      <c r="A162" t="inlineStr">
        <is>
          <t>1월</t>
        </is>
      </c>
      <c r="B162" t="inlineStr">
        <is>
          <t>2주차</t>
        </is>
      </c>
      <c r="C162" t="inlineStr">
        <is>
          <t>EP</t>
        </is>
      </c>
      <c r="D162" s="28" t="n">
        <v>46028</v>
      </c>
      <c r="E162" t="inlineStr">
        <is>
          <t>현대EP_fast</t>
        </is>
      </c>
      <c r="F162" t="inlineStr">
        <is>
          <t>김준산</t>
        </is>
      </c>
      <c r="G162" t="inlineStr">
        <is>
          <t>010-8797-2613</t>
        </is>
      </c>
      <c r="H162" t="inlineStr">
        <is>
          <t>45러6376</t>
        </is>
      </c>
      <c r="I162" t="n">
        <v>14500000</v>
      </c>
      <c r="J162" t="n">
        <v>0.111</v>
      </c>
      <c r="K162" t="n">
        <v>1.76</v>
      </c>
      <c r="L162" t="n">
        <v>0.13</v>
      </c>
      <c r="M162" t="n">
        <v>1.63</v>
      </c>
      <c r="P162" t="inlineStr">
        <is>
          <t>정광호</t>
        </is>
      </c>
      <c r="Q162" t="inlineStr">
        <is>
          <t>홈서비스 60개월 / 카피아 알선</t>
        </is>
      </c>
      <c r="Z162" t="n">
        <v>0</v>
      </c>
      <c r="AB162" t="inlineStr">
        <is>
          <t>홈서비스</t>
        </is>
      </c>
      <c r="AC162" t="n">
        <v>255200</v>
      </c>
      <c r="AD162" t="n">
        <v>18850</v>
      </c>
      <c r="AE162" t="n">
        <v>236350</v>
      </c>
      <c r="AF162" t="n">
        <v>232000</v>
      </c>
      <c r="AG162" t="n">
        <v>18850</v>
      </c>
      <c r="AH162" t="n">
        <v>213150</v>
      </c>
      <c r="AI162" t="n">
        <v>0</v>
      </c>
    </row>
    <row r="163">
      <c r="A163" t="inlineStr">
        <is>
          <t>1월</t>
        </is>
      </c>
      <c r="B163" t="inlineStr">
        <is>
          <t>2주차</t>
        </is>
      </c>
      <c r="C163" t="inlineStr">
        <is>
          <t>IM</t>
        </is>
      </c>
      <c r="D163" s="28" t="n">
        <v>46027</v>
      </c>
      <c r="E163" t="inlineStr">
        <is>
          <t>IM캐피탈</t>
        </is>
      </c>
      <c r="F163" t="inlineStr">
        <is>
          <t>김기훈</t>
        </is>
      </c>
      <c r="G163" t="inlineStr">
        <is>
          <t>010-3585-8490</t>
        </is>
      </c>
      <c r="H163" t="inlineStr">
        <is>
          <t>104저1237</t>
        </is>
      </c>
      <c r="I163" t="n">
        <v>20000000</v>
      </c>
      <c r="J163" t="n">
        <v>0.049</v>
      </c>
      <c r="K163" t="n">
        <v>0.55</v>
      </c>
      <c r="L163" t="n">
        <v>0.4</v>
      </c>
      <c r="M163" t="n">
        <v>0.15</v>
      </c>
      <c r="P163" t="inlineStr">
        <is>
          <t>박소현</t>
        </is>
      </c>
      <c r="Z163" t="n">
        <v>0</v>
      </c>
      <c r="AB163" t="inlineStr">
        <is>
          <t>엔카</t>
        </is>
      </c>
      <c r="AC163" t="n">
        <v>110000</v>
      </c>
      <c r="AD163" t="n">
        <v>80000</v>
      </c>
      <c r="AE163" t="n">
        <v>30000</v>
      </c>
      <c r="AF163" t="n">
        <v>100000</v>
      </c>
      <c r="AG163" t="n">
        <v>80000</v>
      </c>
      <c r="AH163" t="n">
        <v>20000</v>
      </c>
      <c r="AI163" t="n">
        <v>0</v>
      </c>
    </row>
    <row r="164">
      <c r="A164" t="inlineStr">
        <is>
          <t>1월</t>
        </is>
      </c>
      <c r="B164" t="inlineStr">
        <is>
          <t>2주차</t>
        </is>
      </c>
      <c r="C164" t="inlineStr">
        <is>
          <t>IM</t>
        </is>
      </c>
      <c r="D164" s="28" t="n">
        <v>46027</v>
      </c>
      <c r="E164" t="inlineStr">
        <is>
          <t>IM캐피탈</t>
        </is>
      </c>
      <c r="F164" t="inlineStr">
        <is>
          <t>전건휘</t>
        </is>
      </c>
      <c r="G164" t="inlineStr">
        <is>
          <t>010-6666-7759</t>
        </is>
      </c>
      <c r="H164" t="inlineStr">
        <is>
          <t>19라8548</t>
        </is>
      </c>
      <c r="I164" t="n">
        <v>12000000</v>
      </c>
      <c r="J164" t="n">
        <v>0.049</v>
      </c>
      <c r="K164" t="n">
        <v>0.55</v>
      </c>
      <c r="L164" t="n">
        <v>0.4</v>
      </c>
      <c r="M164" t="n">
        <v>0.15</v>
      </c>
      <c r="P164" t="inlineStr">
        <is>
          <t>박보람</t>
        </is>
      </c>
      <c r="Z164" t="n">
        <v>0</v>
      </c>
      <c r="AB164" t="inlineStr">
        <is>
          <t>엔카</t>
        </is>
      </c>
      <c r="AC164" t="n">
        <v>66000</v>
      </c>
      <c r="AD164" t="n">
        <v>48000</v>
      </c>
      <c r="AE164" t="n">
        <v>18000</v>
      </c>
      <c r="AF164" t="n">
        <v>60000</v>
      </c>
      <c r="AG164" t="n">
        <v>48000</v>
      </c>
      <c r="AH164" t="n">
        <v>12000</v>
      </c>
      <c r="AI164" t="n">
        <v>1</v>
      </c>
    </row>
    <row r="165">
      <c r="A165" t="inlineStr">
        <is>
          <t>1월</t>
        </is>
      </c>
      <c r="B165" t="inlineStr">
        <is>
          <t>2주차</t>
        </is>
      </c>
      <c r="C165" t="inlineStr">
        <is>
          <t>EP</t>
        </is>
      </c>
      <c r="D165" s="28" t="n">
        <v>46028</v>
      </c>
      <c r="E165" t="inlineStr">
        <is>
          <t>BNKEP</t>
        </is>
      </c>
      <c r="F165" t="inlineStr">
        <is>
          <t>이동현</t>
        </is>
      </c>
      <c r="G165" t="inlineStr">
        <is>
          <t>010-6311-3331</t>
        </is>
      </c>
      <c r="H165" t="inlineStr">
        <is>
          <t>45오9296</t>
        </is>
      </c>
      <c r="I165" t="n">
        <v>-36000000</v>
      </c>
      <c r="J165" t="n">
        <v>0.08599999999999999</v>
      </c>
      <c r="K165" t="n">
        <v>1.65</v>
      </c>
      <c r="L165" t="n">
        <v>0.4</v>
      </c>
      <c r="M165" t="n">
        <v>1.25</v>
      </c>
      <c r="P165" t="inlineStr">
        <is>
          <t>장현경</t>
        </is>
      </c>
      <c r="Q165" t="inlineStr">
        <is>
          <t>* 철회 20260109</t>
        </is>
      </c>
      <c r="Z165" t="n">
        <v>0</v>
      </c>
      <c r="AB165" t="inlineStr">
        <is>
          <t>엔카</t>
        </is>
      </c>
      <c r="AC165" t="n">
        <v>-594000</v>
      </c>
      <c r="AD165" t="n">
        <v>-144000</v>
      </c>
      <c r="AE165" t="n">
        <v>-450000</v>
      </c>
      <c r="AF165" t="n">
        <v>-540000</v>
      </c>
      <c r="AG165" t="n">
        <v>-144000</v>
      </c>
      <c r="AH165" t="n">
        <v>-396000</v>
      </c>
      <c r="AI165" t="n">
        <v>0</v>
      </c>
      <c r="AK165" t="inlineStr">
        <is>
          <t>대출철회</t>
        </is>
      </c>
    </row>
    <row r="166">
      <c r="A166" t="inlineStr">
        <is>
          <t>1월</t>
        </is>
      </c>
      <c r="B166" t="inlineStr">
        <is>
          <t>2주차</t>
        </is>
      </c>
      <c r="C166" t="inlineStr">
        <is>
          <t>EP</t>
        </is>
      </c>
      <c r="D166" s="28" t="n">
        <v>46027</v>
      </c>
      <c r="E166" t="inlineStr">
        <is>
          <t>현대EP_fast</t>
        </is>
      </c>
      <c r="F166" t="inlineStr">
        <is>
          <t>김점자</t>
        </is>
      </c>
      <c r="G166" t="inlineStr">
        <is>
          <t>010-7283-5679</t>
        </is>
      </c>
      <c r="H166" t="inlineStr">
        <is>
          <t>25보5636</t>
        </is>
      </c>
      <c r="I166" t="n">
        <v>5100000</v>
      </c>
      <c r="J166" t="n">
        <v>0.08500000000000001</v>
      </c>
      <c r="K166" t="n">
        <v>1.76</v>
      </c>
      <c r="L166" t="n">
        <v>0.13</v>
      </c>
      <c r="M166" t="n">
        <v>1.63</v>
      </c>
      <c r="P166" t="inlineStr">
        <is>
          <t>정하은</t>
        </is>
      </c>
      <c r="Q166" t="inlineStr">
        <is>
          <t>선상담 /홈서비스 48개월</t>
        </is>
      </c>
      <c r="Z166" t="n">
        <v>0</v>
      </c>
      <c r="AB166" t="inlineStr">
        <is>
          <t>홈서비스</t>
        </is>
      </c>
      <c r="AC166" t="n">
        <v>89760</v>
      </c>
      <c r="AD166" t="n">
        <v>6630</v>
      </c>
      <c r="AE166" t="n">
        <v>83130</v>
      </c>
      <c r="AF166" t="n">
        <v>81600</v>
      </c>
      <c r="AG166" t="n">
        <v>6630</v>
      </c>
      <c r="AH166" t="n">
        <v>74970</v>
      </c>
      <c r="AI166" t="n">
        <v>0</v>
      </c>
    </row>
    <row r="167">
      <c r="A167" t="inlineStr">
        <is>
          <t>1월</t>
        </is>
      </c>
      <c r="B167" t="inlineStr">
        <is>
          <t>2주차</t>
        </is>
      </c>
      <c r="C167" t="inlineStr">
        <is>
          <t>EP</t>
        </is>
      </c>
      <c r="D167" s="28" t="n">
        <v>46028</v>
      </c>
      <c r="E167" t="inlineStr">
        <is>
          <t>현대EP_fast</t>
        </is>
      </c>
      <c r="F167" t="inlineStr">
        <is>
          <t>최한섭</t>
        </is>
      </c>
      <c r="G167" t="inlineStr">
        <is>
          <t>010-5871-1144</t>
        </is>
      </c>
      <c r="H167" t="inlineStr">
        <is>
          <t>16주1318</t>
        </is>
      </c>
      <c r="I167" t="n">
        <v>5000000</v>
      </c>
      <c r="J167" t="n">
        <v>0.097</v>
      </c>
      <c r="K167" t="n">
        <v>1.76</v>
      </c>
      <c r="L167" t="n">
        <v>0.13</v>
      </c>
      <c r="M167" t="n">
        <v>1.63</v>
      </c>
      <c r="P167" t="inlineStr">
        <is>
          <t>최혁</t>
        </is>
      </c>
      <c r="Q167" t="inlineStr">
        <is>
          <t>홈서비스36개월 /*철회 후 차량변경 재접수/ *당월철회 20260106</t>
        </is>
      </c>
      <c r="Z167" t="n">
        <v>0</v>
      </c>
      <c r="AB167" t="inlineStr">
        <is>
          <t>홈서비스</t>
        </is>
      </c>
      <c r="AC167" t="n">
        <v>88000</v>
      </c>
      <c r="AD167" t="n">
        <v>6500</v>
      </c>
      <c r="AE167" t="n">
        <v>81500</v>
      </c>
      <c r="AF167" t="n">
        <v>80000</v>
      </c>
      <c r="AG167" t="n">
        <v>6500</v>
      </c>
      <c r="AH167" t="n">
        <v>73500</v>
      </c>
      <c r="AK167" t="inlineStr">
        <is>
          <t>대출철회</t>
        </is>
      </c>
    </row>
    <row r="168">
      <c r="A168" t="inlineStr">
        <is>
          <t>1월</t>
        </is>
      </c>
      <c r="B168" t="inlineStr">
        <is>
          <t>2주차</t>
        </is>
      </c>
      <c r="C168" t="inlineStr">
        <is>
          <t>EP</t>
        </is>
      </c>
      <c r="D168" s="28" t="n">
        <v>46027</v>
      </c>
      <c r="E168" t="inlineStr">
        <is>
          <t>현대EP_fast</t>
        </is>
      </c>
      <c r="F168" t="inlineStr">
        <is>
          <t>김준호</t>
        </is>
      </c>
      <c r="G168" t="inlineStr">
        <is>
          <t>010-5209-4448</t>
        </is>
      </c>
      <c r="H168" t="inlineStr">
        <is>
          <t>03러2081</t>
        </is>
      </c>
      <c r="I168" t="n">
        <v>27500000</v>
      </c>
      <c r="J168" t="n">
        <v>0.075</v>
      </c>
      <c r="K168" t="n">
        <v>1.76</v>
      </c>
      <c r="L168" t="n">
        <v>0.4</v>
      </c>
      <c r="M168" t="n">
        <v>1.36</v>
      </c>
      <c r="P168" t="inlineStr">
        <is>
          <t>박현민</t>
        </is>
      </c>
      <c r="Z168" t="n">
        <v>0</v>
      </c>
      <c r="AB168" t="inlineStr">
        <is>
          <t>엔카</t>
        </is>
      </c>
      <c r="AC168" t="n">
        <v>484000</v>
      </c>
      <c r="AD168" t="n">
        <v>110000</v>
      </c>
      <c r="AE168" t="n">
        <v>374000</v>
      </c>
      <c r="AF168" t="n">
        <v>440000</v>
      </c>
      <c r="AG168" t="n">
        <v>110000</v>
      </c>
      <c r="AH168" t="n">
        <v>330000</v>
      </c>
    </row>
    <row r="169">
      <c r="A169" t="inlineStr">
        <is>
          <t>1월</t>
        </is>
      </c>
      <c r="B169" t="inlineStr">
        <is>
          <t>2주차</t>
        </is>
      </c>
      <c r="C169" t="inlineStr">
        <is>
          <t>IM</t>
        </is>
      </c>
      <c r="D169" s="28" t="n">
        <v>46028</v>
      </c>
      <c r="E169" t="inlineStr">
        <is>
          <t>IM캐피탈</t>
        </is>
      </c>
      <c r="F169" t="inlineStr">
        <is>
          <t>박인근</t>
        </is>
      </c>
      <c r="G169" t="inlineStr">
        <is>
          <t>010-4773-8500</t>
        </is>
      </c>
      <c r="H169" t="inlineStr">
        <is>
          <t>380주9871</t>
        </is>
      </c>
      <c r="I169" t="n">
        <v>36500000</v>
      </c>
      <c r="J169" t="n">
        <v>0.075</v>
      </c>
      <c r="K169" t="n">
        <v>0.55</v>
      </c>
      <c r="L169" t="n">
        <v>0.13</v>
      </c>
      <c r="M169" t="n">
        <v>0.42</v>
      </c>
      <c r="P169" t="inlineStr">
        <is>
          <t>박현민</t>
        </is>
      </c>
      <c r="Q169" t="inlineStr">
        <is>
          <t>홈서비스 72개월</t>
        </is>
      </c>
      <c r="Z169" t="n">
        <v>0</v>
      </c>
      <c r="AB169" t="inlineStr">
        <is>
          <t>홈서비스</t>
        </is>
      </c>
      <c r="AC169" t="n">
        <v>200750</v>
      </c>
      <c r="AD169" t="n">
        <v>47450</v>
      </c>
      <c r="AE169" t="n">
        <v>153300</v>
      </c>
      <c r="AF169" t="n">
        <v>182500</v>
      </c>
      <c r="AG169" t="n">
        <v>47450</v>
      </c>
      <c r="AH169" t="n">
        <v>135050</v>
      </c>
      <c r="AI169" t="n">
        <v>0</v>
      </c>
    </row>
    <row r="170">
      <c r="A170" t="inlineStr">
        <is>
          <t>1월</t>
        </is>
      </c>
      <c r="B170" t="inlineStr">
        <is>
          <t>2주차</t>
        </is>
      </c>
      <c r="C170" t="inlineStr">
        <is>
          <t>EP</t>
        </is>
      </c>
      <c r="D170" s="28" t="n">
        <v>46029</v>
      </c>
      <c r="E170" t="inlineStr">
        <is>
          <t>현대EP_fast</t>
        </is>
      </c>
      <c r="F170" t="inlineStr">
        <is>
          <t>김기석</t>
        </is>
      </c>
      <c r="G170" t="inlineStr">
        <is>
          <t>010-2525-0293</t>
        </is>
      </c>
      <c r="H170" t="inlineStr">
        <is>
          <t>57소9654</t>
        </is>
      </c>
      <c r="I170" t="n">
        <v>4600000</v>
      </c>
      <c r="J170" t="n">
        <v>0.06900000000000001</v>
      </c>
      <c r="K170" t="n">
        <v>1.76</v>
      </c>
      <c r="L170" t="n">
        <v>0.13</v>
      </c>
      <c r="M170" t="n">
        <v>1.63</v>
      </c>
      <c r="P170" t="inlineStr">
        <is>
          <t>최혁</t>
        </is>
      </c>
      <c r="Q170" t="inlineStr">
        <is>
          <t>홈서비스36개월</t>
        </is>
      </c>
      <c r="Z170" t="n">
        <v>0</v>
      </c>
      <c r="AB170" t="inlineStr">
        <is>
          <t>홈서비스</t>
        </is>
      </c>
      <c r="AC170" t="n">
        <v>80960</v>
      </c>
      <c r="AD170" t="n">
        <v>5980</v>
      </c>
      <c r="AE170" t="n">
        <v>74980</v>
      </c>
      <c r="AF170" t="n">
        <v>73600</v>
      </c>
      <c r="AG170" t="n">
        <v>5980</v>
      </c>
      <c r="AH170" t="n">
        <v>67620</v>
      </c>
      <c r="AI170" t="n">
        <v>0</v>
      </c>
    </row>
    <row r="171">
      <c r="A171" t="inlineStr">
        <is>
          <t>1월</t>
        </is>
      </c>
      <c r="B171" t="inlineStr">
        <is>
          <t>2주차</t>
        </is>
      </c>
      <c r="C171" t="inlineStr">
        <is>
          <t>EP</t>
        </is>
      </c>
      <c r="D171" s="28" t="n">
        <v>46027</v>
      </c>
      <c r="E171" t="inlineStr">
        <is>
          <t>현대EP</t>
        </is>
      </c>
      <c r="F171" t="inlineStr">
        <is>
          <t>최희야</t>
        </is>
      </c>
      <c r="G171" t="inlineStr">
        <is>
          <t>010-8867-0042</t>
        </is>
      </c>
      <c r="H171" t="inlineStr">
        <is>
          <t>17부4305</t>
        </is>
      </c>
      <c r="I171" t="n">
        <v>8900000</v>
      </c>
      <c r="J171" t="n">
        <v>0.065</v>
      </c>
      <c r="K171" t="n">
        <v>1.76</v>
      </c>
      <c r="L171" t="n">
        <v>0.13</v>
      </c>
      <c r="M171" t="n">
        <v>1.63</v>
      </c>
      <c r="P171" t="inlineStr">
        <is>
          <t>박보람</t>
        </is>
      </c>
      <c r="Q171" t="inlineStr">
        <is>
          <t>홈서비스60개월</t>
        </is>
      </c>
      <c r="Z171" t="n">
        <v>0</v>
      </c>
      <c r="AB171" t="inlineStr">
        <is>
          <t>홈서비스</t>
        </is>
      </c>
      <c r="AC171" t="n">
        <v>156640</v>
      </c>
      <c r="AD171" t="n">
        <v>11570</v>
      </c>
      <c r="AE171" t="n">
        <v>145070</v>
      </c>
      <c r="AF171" t="n">
        <v>142400</v>
      </c>
      <c r="AG171" t="n">
        <v>11570</v>
      </c>
      <c r="AH171" t="n">
        <v>130830</v>
      </c>
      <c r="AI171" t="n">
        <v>0</v>
      </c>
    </row>
    <row r="172">
      <c r="A172" t="inlineStr">
        <is>
          <t>1월</t>
        </is>
      </c>
      <c r="B172" t="inlineStr">
        <is>
          <t>2주차</t>
        </is>
      </c>
      <c r="C172" t="inlineStr">
        <is>
          <t>EP</t>
        </is>
      </c>
      <c r="D172" s="28" t="n">
        <v>46029</v>
      </c>
      <c r="E172" t="inlineStr">
        <is>
          <t>현대EP_fast</t>
        </is>
      </c>
      <c r="F172" t="inlineStr">
        <is>
          <t>노정태</t>
        </is>
      </c>
      <c r="G172" t="inlineStr">
        <is>
          <t>010-5107-0942</t>
        </is>
      </c>
      <c r="H172" t="inlineStr">
        <is>
          <t>66러7250</t>
        </is>
      </c>
      <c r="I172" t="n">
        <v>9200000</v>
      </c>
      <c r="J172" t="n">
        <v>0.067</v>
      </c>
      <c r="K172" t="n">
        <v>1.76</v>
      </c>
      <c r="L172" t="n">
        <v>0.13</v>
      </c>
      <c r="M172" t="n">
        <v>1.63</v>
      </c>
      <c r="P172" t="inlineStr">
        <is>
          <t>정세빈</t>
        </is>
      </c>
      <c r="Q172" t="inlineStr">
        <is>
          <t>홈서비스 36개월</t>
        </is>
      </c>
      <c r="Z172" t="n">
        <v>0</v>
      </c>
      <c r="AB172" t="inlineStr">
        <is>
          <t>홈서비스</t>
        </is>
      </c>
      <c r="AC172" t="n">
        <v>161920</v>
      </c>
      <c r="AD172" t="n">
        <v>11960</v>
      </c>
      <c r="AE172" t="n">
        <v>149960</v>
      </c>
      <c r="AF172" t="n">
        <v>147200</v>
      </c>
      <c r="AG172" t="n">
        <v>11960</v>
      </c>
      <c r="AH172" t="n">
        <v>135240</v>
      </c>
    </row>
    <row r="173">
      <c r="A173" t="inlineStr">
        <is>
          <t>1월</t>
        </is>
      </c>
      <c r="B173" t="inlineStr">
        <is>
          <t>2주차</t>
        </is>
      </c>
      <c r="C173" t="inlineStr">
        <is>
          <t>EP</t>
        </is>
      </c>
      <c r="D173" s="28" t="n">
        <v>46028</v>
      </c>
      <c r="E173" t="inlineStr">
        <is>
          <t>현대EP</t>
        </is>
      </c>
      <c r="F173" t="inlineStr">
        <is>
          <t>서성민</t>
        </is>
      </c>
      <c r="G173" t="inlineStr">
        <is>
          <t>010-5605-4286</t>
        </is>
      </c>
      <c r="H173" t="inlineStr">
        <is>
          <t>380누5019</t>
        </is>
      </c>
      <c r="I173" t="n">
        <v>33900000</v>
      </c>
      <c r="J173" t="n">
        <v>0.06900000000000001</v>
      </c>
      <c r="K173" t="n">
        <v>1.76</v>
      </c>
      <c r="L173" t="n">
        <v>0.13</v>
      </c>
      <c r="M173" t="n">
        <v>1.63</v>
      </c>
      <c r="P173" t="inlineStr">
        <is>
          <t>정하은</t>
        </is>
      </c>
      <c r="Q173" t="inlineStr">
        <is>
          <t>홈서비스 60개월</t>
        </is>
      </c>
      <c r="Z173" t="n">
        <v>0</v>
      </c>
      <c r="AB173" t="inlineStr">
        <is>
          <t>홈서비스</t>
        </is>
      </c>
      <c r="AC173" t="n">
        <v>596640</v>
      </c>
      <c r="AD173" t="n">
        <v>44070</v>
      </c>
      <c r="AE173" t="n">
        <v>552570</v>
      </c>
      <c r="AF173" t="n">
        <v>542400</v>
      </c>
      <c r="AG173" t="n">
        <v>44070</v>
      </c>
      <c r="AH173" t="n">
        <v>498330</v>
      </c>
    </row>
    <row r="174">
      <c r="A174" t="inlineStr">
        <is>
          <t>1월</t>
        </is>
      </c>
      <c r="B174" t="inlineStr">
        <is>
          <t>2주차</t>
        </is>
      </c>
      <c r="C174" t="inlineStr">
        <is>
          <t>EP</t>
        </is>
      </c>
      <c r="D174" s="28" t="n">
        <v>46029</v>
      </c>
      <c r="E174" t="inlineStr">
        <is>
          <t>현대EP_fast</t>
        </is>
      </c>
      <c r="F174" t="inlineStr">
        <is>
          <t>안희섭</t>
        </is>
      </c>
      <c r="G174" t="inlineStr">
        <is>
          <t>010-7147-3622</t>
        </is>
      </c>
      <c r="H174" t="inlineStr">
        <is>
          <t>13조4701</t>
        </is>
      </c>
      <c r="I174" t="n">
        <v>14900000</v>
      </c>
      <c r="J174" t="n">
        <v>0.112</v>
      </c>
      <c r="K174" t="n">
        <v>1.76</v>
      </c>
      <c r="L174" t="n">
        <v>0.13</v>
      </c>
      <c r="M174" t="n">
        <v>1.63</v>
      </c>
      <c r="P174" t="inlineStr">
        <is>
          <t>황채이</t>
        </is>
      </c>
      <c r="Q174" t="inlineStr">
        <is>
          <t>홈서비스 48개월</t>
        </is>
      </c>
      <c r="Z174" t="n">
        <v>0</v>
      </c>
      <c r="AB174" t="inlineStr">
        <is>
          <t>홈서비스</t>
        </is>
      </c>
      <c r="AC174" t="n">
        <v>262240</v>
      </c>
      <c r="AD174" t="n">
        <v>19370</v>
      </c>
      <c r="AE174" t="n">
        <v>242870</v>
      </c>
      <c r="AF174" t="n">
        <v>238400</v>
      </c>
      <c r="AG174" t="n">
        <v>19370</v>
      </c>
      <c r="AH174" t="n">
        <v>219030</v>
      </c>
      <c r="AI174" t="n">
        <v>0</v>
      </c>
    </row>
    <row r="175">
      <c r="A175" t="inlineStr">
        <is>
          <t>1월</t>
        </is>
      </c>
      <c r="B175" t="inlineStr">
        <is>
          <t>2주차</t>
        </is>
      </c>
      <c r="C175" t="inlineStr">
        <is>
          <t>EP</t>
        </is>
      </c>
      <c r="D175" s="28" t="n">
        <v>46028</v>
      </c>
      <c r="E175" t="inlineStr">
        <is>
          <t>현대EP</t>
        </is>
      </c>
      <c r="F175" t="inlineStr">
        <is>
          <t>백상기</t>
        </is>
      </c>
      <c r="G175" t="inlineStr">
        <is>
          <t>010-5645-3737</t>
        </is>
      </c>
      <c r="H175" t="inlineStr">
        <is>
          <t>329오7842</t>
        </is>
      </c>
      <c r="I175" t="n">
        <v>6700000</v>
      </c>
      <c r="J175" t="n">
        <v>0.133</v>
      </c>
      <c r="K175" t="n">
        <v>1.76</v>
      </c>
      <c r="L175" t="n">
        <v>0.13</v>
      </c>
      <c r="M175" t="n">
        <v>1.63</v>
      </c>
      <c r="P175" t="inlineStr">
        <is>
          <t>김나윤</t>
        </is>
      </c>
      <c r="Q175" t="inlineStr">
        <is>
          <t>홈서비스 24개월</t>
        </is>
      </c>
      <c r="Z175" t="n">
        <v>0</v>
      </c>
      <c r="AB175" t="inlineStr">
        <is>
          <t>홈서비스</t>
        </is>
      </c>
      <c r="AC175" t="n">
        <v>117920</v>
      </c>
      <c r="AD175" t="n">
        <v>8710</v>
      </c>
      <c r="AE175" t="n">
        <v>109210</v>
      </c>
      <c r="AF175" t="n">
        <v>107200</v>
      </c>
      <c r="AG175" t="n">
        <v>8710</v>
      </c>
      <c r="AH175" t="n">
        <v>98490</v>
      </c>
      <c r="AI175" t="n">
        <v>0</v>
      </c>
    </row>
    <row r="176">
      <c r="A176" t="inlineStr">
        <is>
          <t>1월</t>
        </is>
      </c>
      <c r="B176" t="inlineStr">
        <is>
          <t>2주차</t>
        </is>
      </c>
      <c r="C176" t="inlineStr">
        <is>
          <t>EP</t>
        </is>
      </c>
      <c r="D176" s="28" t="n">
        <v>46029</v>
      </c>
      <c r="E176" t="inlineStr">
        <is>
          <t>현대EP_fast</t>
        </is>
      </c>
      <c r="F176" t="inlineStr">
        <is>
          <t>한효빈</t>
        </is>
      </c>
      <c r="G176" t="inlineStr">
        <is>
          <t>010-7383-9054</t>
        </is>
      </c>
      <c r="H176" t="inlineStr">
        <is>
          <t>173다5045</t>
        </is>
      </c>
      <c r="I176" t="n">
        <v>18600000</v>
      </c>
      <c r="J176" t="n">
        <v>0.08699999999999999</v>
      </c>
      <c r="K176" t="n">
        <v>1.76</v>
      </c>
      <c r="L176" t="n">
        <v>0.13</v>
      </c>
      <c r="M176" t="n">
        <v>1.63</v>
      </c>
      <c r="P176" t="inlineStr">
        <is>
          <t>박현민</t>
        </is>
      </c>
      <c r="Q176" t="inlineStr">
        <is>
          <t>홈서비스 24개월 /*당월철회 20260109</t>
        </is>
      </c>
      <c r="Z176" t="n">
        <v>0</v>
      </c>
      <c r="AB176" t="inlineStr">
        <is>
          <t>홈서비스</t>
        </is>
      </c>
      <c r="AC176" t="n">
        <v>327360</v>
      </c>
      <c r="AD176" t="n">
        <v>24180</v>
      </c>
      <c r="AE176" t="n">
        <v>303180</v>
      </c>
      <c r="AF176" t="n">
        <v>297600</v>
      </c>
      <c r="AG176" t="n">
        <v>24180</v>
      </c>
      <c r="AH176" t="n">
        <v>273420</v>
      </c>
      <c r="AI176" t="n">
        <v>0</v>
      </c>
      <c r="AK176" t="inlineStr">
        <is>
          <t>대출철회</t>
        </is>
      </c>
    </row>
    <row r="177">
      <c r="A177" t="inlineStr">
        <is>
          <t>1월</t>
        </is>
      </c>
      <c r="B177" t="inlineStr">
        <is>
          <t>2주차</t>
        </is>
      </c>
      <c r="C177" t="inlineStr">
        <is>
          <t>EP</t>
        </is>
      </c>
      <c r="D177" s="28" t="n">
        <v>46029</v>
      </c>
      <c r="E177" t="inlineStr">
        <is>
          <t>현대EP_fast</t>
        </is>
      </c>
      <c r="F177" t="inlineStr">
        <is>
          <t>조충현</t>
        </is>
      </c>
      <c r="G177" t="inlineStr">
        <is>
          <t>010-6852-1232</t>
        </is>
      </c>
      <c r="H177" t="inlineStr">
        <is>
          <t>380수9934</t>
        </is>
      </c>
      <c r="I177" t="n">
        <v>10500000</v>
      </c>
      <c r="J177" t="n">
        <v>0.08699999999999999</v>
      </c>
      <c r="K177" t="n">
        <v>1.76</v>
      </c>
      <c r="L177" t="n">
        <v>0.13</v>
      </c>
      <c r="M177" t="n">
        <v>1.63</v>
      </c>
      <c r="P177" t="inlineStr">
        <is>
          <t>황채이</t>
        </is>
      </c>
      <c r="Q177" t="inlineStr">
        <is>
          <t>홈서비스 36개월</t>
        </is>
      </c>
      <c r="Z177" t="n">
        <v>0</v>
      </c>
      <c r="AB177" t="inlineStr">
        <is>
          <t>홈서비스</t>
        </is>
      </c>
      <c r="AC177" t="n">
        <v>184800</v>
      </c>
      <c r="AD177" t="n">
        <v>13650</v>
      </c>
      <c r="AE177" t="n">
        <v>171150</v>
      </c>
      <c r="AF177" t="n">
        <v>168000</v>
      </c>
      <c r="AG177" t="n">
        <v>13650</v>
      </c>
      <c r="AH177" t="n">
        <v>154350</v>
      </c>
      <c r="AI177" t="n">
        <v>0</v>
      </c>
    </row>
    <row r="178">
      <c r="A178" t="inlineStr">
        <is>
          <t>1월</t>
        </is>
      </c>
      <c r="B178" t="inlineStr">
        <is>
          <t>2주차</t>
        </is>
      </c>
      <c r="C178" t="inlineStr">
        <is>
          <t>IM</t>
        </is>
      </c>
      <c r="D178" s="28" t="n">
        <v>46029</v>
      </c>
      <c r="E178" t="inlineStr">
        <is>
          <t>IM캐피탈</t>
        </is>
      </c>
      <c r="F178" t="inlineStr">
        <is>
          <t>김형규</t>
        </is>
      </c>
      <c r="G178" t="inlineStr">
        <is>
          <t>010-3002-7437</t>
        </is>
      </c>
      <c r="H178" t="inlineStr">
        <is>
          <t>262무5686</t>
        </is>
      </c>
      <c r="I178" t="n">
        <v>30500000</v>
      </c>
      <c r="J178" t="n">
        <v>0.064</v>
      </c>
      <c r="K178" t="n">
        <v>0.55</v>
      </c>
      <c r="L178" t="n">
        <v>0.4</v>
      </c>
      <c r="M178" t="n">
        <v>0.15</v>
      </c>
      <c r="P178" t="inlineStr">
        <is>
          <t>박현민</t>
        </is>
      </c>
      <c r="Z178" t="n">
        <v>0</v>
      </c>
      <c r="AB178" t="inlineStr">
        <is>
          <t>엔카</t>
        </is>
      </c>
      <c r="AC178" t="n">
        <v>167750</v>
      </c>
      <c r="AD178" t="n">
        <v>122000</v>
      </c>
      <c r="AE178" t="n">
        <v>45750</v>
      </c>
      <c r="AF178" t="n">
        <v>152500</v>
      </c>
      <c r="AG178" t="n">
        <v>122000</v>
      </c>
      <c r="AH178" t="n">
        <v>30500</v>
      </c>
    </row>
    <row r="179">
      <c r="A179" t="inlineStr">
        <is>
          <t>1월</t>
        </is>
      </c>
      <c r="B179" t="inlineStr">
        <is>
          <t>2주차</t>
        </is>
      </c>
      <c r="C179" t="inlineStr">
        <is>
          <t>IM</t>
        </is>
      </c>
      <c r="D179" s="28" t="n">
        <v>46029</v>
      </c>
      <c r="E179" t="inlineStr">
        <is>
          <t>IM캐피탈</t>
        </is>
      </c>
      <c r="F179" t="inlineStr">
        <is>
          <t>김동식</t>
        </is>
      </c>
      <c r="G179" t="inlineStr">
        <is>
          <t>010-7645-1407</t>
        </is>
      </c>
      <c r="H179" t="inlineStr">
        <is>
          <t>07두0308</t>
        </is>
      </c>
      <c r="I179" t="n">
        <v>7500000</v>
      </c>
      <c r="J179" t="n">
        <v>0.049</v>
      </c>
      <c r="K179" t="n">
        <v>0.55</v>
      </c>
      <c r="L179" t="n">
        <v>0.4</v>
      </c>
      <c r="M179" t="n">
        <v>0.15</v>
      </c>
      <c r="P179" t="inlineStr">
        <is>
          <t>박현민</t>
        </is>
      </c>
      <c r="Z179" t="n">
        <v>0</v>
      </c>
      <c r="AB179" t="inlineStr">
        <is>
          <t>엔카</t>
        </is>
      </c>
      <c r="AC179" t="n">
        <v>41250</v>
      </c>
      <c r="AD179" t="n">
        <v>30000</v>
      </c>
      <c r="AE179" t="n">
        <v>11250</v>
      </c>
      <c r="AF179" t="n">
        <v>37500</v>
      </c>
      <c r="AG179" t="n">
        <v>30000</v>
      </c>
      <c r="AH179" t="n">
        <v>7500</v>
      </c>
    </row>
    <row r="180">
      <c r="A180" t="inlineStr">
        <is>
          <t>1월</t>
        </is>
      </c>
      <c r="B180" t="inlineStr">
        <is>
          <t>2주차</t>
        </is>
      </c>
      <c r="C180" t="inlineStr">
        <is>
          <t>IM</t>
        </is>
      </c>
      <c r="D180" s="28" t="n">
        <v>46029</v>
      </c>
      <c r="E180" t="inlineStr">
        <is>
          <t>IM캐피탈</t>
        </is>
      </c>
      <c r="F180" t="inlineStr">
        <is>
          <t>박준영</t>
        </is>
      </c>
      <c r="G180" t="inlineStr">
        <is>
          <t>010-5886-2834</t>
        </is>
      </c>
      <c r="H180" t="inlineStr">
        <is>
          <t>101마6635</t>
        </is>
      </c>
      <c r="I180" t="n">
        <v>25000000</v>
      </c>
      <c r="J180" t="n">
        <v>0.08</v>
      </c>
      <c r="K180" t="n">
        <v>0.55</v>
      </c>
      <c r="L180" t="n">
        <v>0.13</v>
      </c>
      <c r="M180" t="n">
        <v>0.42</v>
      </c>
      <c r="P180" t="inlineStr">
        <is>
          <t>박현민</t>
        </is>
      </c>
      <c r="Q180" t="inlineStr">
        <is>
          <t>홈서비스 48개월</t>
        </is>
      </c>
      <c r="Z180" t="n">
        <v>0</v>
      </c>
      <c r="AB180" t="inlineStr">
        <is>
          <t>홈서비스</t>
        </is>
      </c>
      <c r="AC180" t="n">
        <v>137500</v>
      </c>
      <c r="AD180" t="n">
        <v>32500</v>
      </c>
      <c r="AE180" t="n">
        <v>105000</v>
      </c>
      <c r="AF180" t="n">
        <v>125000</v>
      </c>
      <c r="AG180" t="n">
        <v>32500</v>
      </c>
      <c r="AH180" t="n">
        <v>92500</v>
      </c>
      <c r="AI180" t="n">
        <v>0</v>
      </c>
    </row>
    <row r="181">
      <c r="A181" t="inlineStr">
        <is>
          <t>1월</t>
        </is>
      </c>
      <c r="B181" t="inlineStr">
        <is>
          <t>2주차</t>
        </is>
      </c>
      <c r="C181" t="inlineStr">
        <is>
          <t>상환</t>
        </is>
      </c>
      <c r="D181" s="28" t="n">
        <v>46028</v>
      </c>
      <c r="E181" t="inlineStr">
        <is>
          <t>현대EP_fast상환</t>
        </is>
      </c>
      <c r="F181" t="inlineStr">
        <is>
          <t>박수완</t>
        </is>
      </c>
      <c r="G181" t="inlineStr">
        <is>
          <t>010-9266-9809</t>
        </is>
      </c>
      <c r="H181" t="inlineStr">
        <is>
          <t>271버3834</t>
        </is>
      </c>
      <c r="I181" t="n">
        <v>-15000000</v>
      </c>
      <c r="J181" t="n">
        <v>0.068</v>
      </c>
      <c r="K181" t="n">
        <v>1.76</v>
      </c>
      <c r="L181" t="n">
        <v>0.13</v>
      </c>
      <c r="M181" t="n">
        <v>1.63</v>
      </c>
      <c r="P181" t="inlineStr">
        <is>
          <t>최형주</t>
        </is>
      </c>
      <c r="Q181" t="inlineStr">
        <is>
          <t>홈서비스 60개월/ *전월확정 20251223 당월철회 20260106</t>
        </is>
      </c>
      <c r="Z181" t="n">
        <v>0</v>
      </c>
      <c r="AB181" t="inlineStr">
        <is>
          <t>홈서비스</t>
        </is>
      </c>
      <c r="AC181" t="n">
        <v>-264000</v>
      </c>
      <c r="AD181" t="n">
        <v>-19500</v>
      </c>
      <c r="AE181" t="n">
        <v>-244500</v>
      </c>
      <c r="AF181" t="n">
        <v>-240000</v>
      </c>
      <c r="AG181" t="n">
        <v>-19500</v>
      </c>
      <c r="AH181" t="n">
        <v>-220500</v>
      </c>
      <c r="AK181" t="inlineStr">
        <is>
          <t>대출철회</t>
        </is>
      </c>
    </row>
    <row r="182">
      <c r="A182" t="inlineStr">
        <is>
          <t>1월</t>
        </is>
      </c>
      <c r="B182" t="inlineStr">
        <is>
          <t>2주차</t>
        </is>
      </c>
      <c r="C182" t="inlineStr">
        <is>
          <t>EP</t>
        </is>
      </c>
      <c r="D182" s="28" t="n">
        <v>46028</v>
      </c>
      <c r="E182" t="inlineStr">
        <is>
          <t>현대EP</t>
        </is>
      </c>
      <c r="F182" t="inlineStr">
        <is>
          <t>장은호</t>
        </is>
      </c>
      <c r="G182" t="inlineStr">
        <is>
          <t>010-3369-7854</t>
        </is>
      </c>
      <c r="H182" t="inlineStr">
        <is>
          <t>23너2099</t>
        </is>
      </c>
      <c r="I182" t="n">
        <v>41400000</v>
      </c>
      <c r="J182" t="n">
        <v>0.07199999999999999</v>
      </c>
      <c r="K182" t="n">
        <v>1.76</v>
      </c>
      <c r="L182" t="n">
        <v>0.13</v>
      </c>
      <c r="M182" t="n">
        <v>1.63</v>
      </c>
      <c r="P182" t="inlineStr">
        <is>
          <t>정광호</t>
        </is>
      </c>
      <c r="Q182" t="inlineStr">
        <is>
          <t>홈서비스 60개월</t>
        </is>
      </c>
      <c r="Z182" t="n">
        <v>0</v>
      </c>
      <c r="AB182" t="inlineStr">
        <is>
          <t>홈서비스</t>
        </is>
      </c>
      <c r="AC182" t="n">
        <v>728640</v>
      </c>
      <c r="AD182" t="n">
        <v>53820</v>
      </c>
      <c r="AE182" t="n">
        <v>674820</v>
      </c>
      <c r="AF182" t="n">
        <v>662400</v>
      </c>
      <c r="AG182" t="n">
        <v>53820</v>
      </c>
      <c r="AH182" t="n">
        <v>608580</v>
      </c>
      <c r="AI182" t="n">
        <v>0</v>
      </c>
    </row>
    <row r="183">
      <c r="A183" t="inlineStr">
        <is>
          <t>1월</t>
        </is>
      </c>
      <c r="B183" t="inlineStr">
        <is>
          <t>2주차</t>
        </is>
      </c>
      <c r="C183" t="inlineStr">
        <is>
          <t>IM</t>
        </is>
      </c>
      <c r="D183" s="28" t="n">
        <v>46028</v>
      </c>
      <c r="E183" t="inlineStr">
        <is>
          <t>IM캐피탈</t>
        </is>
      </c>
      <c r="F183" t="inlineStr">
        <is>
          <t>송성호</t>
        </is>
      </c>
      <c r="G183" t="inlineStr">
        <is>
          <t>010-3751-6468</t>
        </is>
      </c>
      <c r="H183" t="inlineStr">
        <is>
          <t>61무5177</t>
        </is>
      </c>
      <c r="I183" t="n">
        <v>-30000000</v>
      </c>
      <c r="J183" t="n">
        <v>0.056</v>
      </c>
      <c r="K183" t="n">
        <v>0.55</v>
      </c>
      <c r="L183" t="n">
        <v>0.13</v>
      </c>
      <c r="M183" t="n">
        <v>0.42</v>
      </c>
      <c r="P183" t="inlineStr">
        <is>
          <t>장현경</t>
        </is>
      </c>
      <c r="Q183" t="inlineStr">
        <is>
          <t>선상담 / 홈서비스 60개월 / *철회 20260114</t>
        </is>
      </c>
      <c r="Z183" t="n">
        <v>0</v>
      </c>
      <c r="AB183" t="inlineStr">
        <is>
          <t>홈서비스</t>
        </is>
      </c>
      <c r="AC183" t="n">
        <v>-165000</v>
      </c>
      <c r="AD183" t="n">
        <v>-39000</v>
      </c>
      <c r="AE183" t="n">
        <v>-126000</v>
      </c>
      <c r="AF183" t="n">
        <v>-150000</v>
      </c>
      <c r="AG183" t="n">
        <v>-39000</v>
      </c>
      <c r="AH183" t="n">
        <v>-111000</v>
      </c>
      <c r="AI183" t="n">
        <v>0</v>
      </c>
      <c r="AK183" t="inlineStr">
        <is>
          <t>대출철회</t>
        </is>
      </c>
    </row>
    <row r="184">
      <c r="A184" t="inlineStr">
        <is>
          <t>1월</t>
        </is>
      </c>
      <c r="B184" t="inlineStr">
        <is>
          <t>2주차</t>
        </is>
      </c>
      <c r="C184" t="inlineStr">
        <is>
          <t>EP</t>
        </is>
      </c>
      <c r="D184" s="28" t="n">
        <v>46029</v>
      </c>
      <c r="E184" t="inlineStr">
        <is>
          <t>현대EP_fast</t>
        </is>
      </c>
      <c r="F184" t="inlineStr">
        <is>
          <t>허은주</t>
        </is>
      </c>
      <c r="G184" t="n">
        <v>1072798027</v>
      </c>
      <c r="H184" t="inlineStr">
        <is>
          <t>60버1811</t>
        </is>
      </c>
      <c r="I184" t="n">
        <v>4300000</v>
      </c>
      <c r="J184" t="n">
        <v>0.141</v>
      </c>
      <c r="K184" t="n">
        <v>1.76</v>
      </c>
      <c r="L184" t="n">
        <v>0.13</v>
      </c>
      <c r="M184" t="n">
        <v>1.63</v>
      </c>
      <c r="P184" t="inlineStr">
        <is>
          <t>최형주</t>
        </is>
      </c>
      <c r="Q184" t="inlineStr">
        <is>
          <t>홈서비스 36개월</t>
        </is>
      </c>
      <c r="Z184" t="n">
        <v>0</v>
      </c>
      <c r="AB184" t="inlineStr">
        <is>
          <t>홈서비스</t>
        </is>
      </c>
      <c r="AC184" t="n">
        <v>75680</v>
      </c>
      <c r="AD184" t="n">
        <v>5590</v>
      </c>
      <c r="AE184" t="n">
        <v>70090</v>
      </c>
      <c r="AF184" t="n">
        <v>68800</v>
      </c>
      <c r="AG184" t="n">
        <v>5590</v>
      </c>
      <c r="AH184" t="n">
        <v>63210</v>
      </c>
    </row>
    <row r="185">
      <c r="A185" t="inlineStr">
        <is>
          <t>1월</t>
        </is>
      </c>
      <c r="B185" t="inlineStr">
        <is>
          <t>2주차</t>
        </is>
      </c>
      <c r="C185" t="inlineStr">
        <is>
          <t>IM</t>
        </is>
      </c>
      <c r="D185" s="28" t="n">
        <v>46029</v>
      </c>
      <c r="E185" t="inlineStr">
        <is>
          <t>IM캐피탈</t>
        </is>
      </c>
      <c r="F185" t="inlineStr">
        <is>
          <t>김지해</t>
        </is>
      </c>
      <c r="G185" t="inlineStr">
        <is>
          <t>010-7601-3012</t>
        </is>
      </c>
      <c r="H185" t="inlineStr">
        <is>
          <t>22거3710</t>
        </is>
      </c>
      <c r="I185" t="n">
        <v>30900000</v>
      </c>
      <c r="J185" t="n">
        <v>0.049</v>
      </c>
      <c r="K185" t="n">
        <v>0.55</v>
      </c>
      <c r="L185" t="n">
        <v>0.13</v>
      </c>
      <c r="M185" t="n">
        <v>0.42</v>
      </c>
      <c r="P185" t="inlineStr">
        <is>
          <t>황채이</t>
        </is>
      </c>
      <c r="Q185" t="inlineStr">
        <is>
          <t>홈서비스 84개월</t>
        </is>
      </c>
      <c r="Z185" t="n">
        <v>0</v>
      </c>
      <c r="AB185" t="inlineStr">
        <is>
          <t>홈서비스</t>
        </is>
      </c>
      <c r="AC185" t="n">
        <v>169950</v>
      </c>
      <c r="AD185" t="n">
        <v>40170</v>
      </c>
      <c r="AE185" t="n">
        <v>129780</v>
      </c>
      <c r="AF185" t="n">
        <v>154500</v>
      </c>
      <c r="AG185" t="n">
        <v>40170</v>
      </c>
      <c r="AH185" t="n">
        <v>114330</v>
      </c>
    </row>
    <row r="186">
      <c r="A186" t="inlineStr">
        <is>
          <t>1월</t>
        </is>
      </c>
      <c r="B186" t="inlineStr">
        <is>
          <t>2주차</t>
        </is>
      </c>
      <c r="C186" t="inlineStr">
        <is>
          <t>IM</t>
        </is>
      </c>
      <c r="D186" s="28" t="n">
        <v>46027</v>
      </c>
      <c r="E186" t="inlineStr">
        <is>
          <t>IM캐피탈</t>
        </is>
      </c>
      <c r="F186" t="inlineStr">
        <is>
          <t>정건우</t>
        </is>
      </c>
      <c r="G186" t="inlineStr">
        <is>
          <t>010-7161-1317</t>
        </is>
      </c>
      <c r="H186" t="inlineStr">
        <is>
          <t>111무2233</t>
        </is>
      </c>
      <c r="I186" t="n">
        <v>49500000</v>
      </c>
      <c r="J186" t="n">
        <v>0.056</v>
      </c>
      <c r="K186" t="n">
        <v>0.55</v>
      </c>
      <c r="L186" t="n">
        <v>0.4</v>
      </c>
      <c r="M186" t="n">
        <v>0.15</v>
      </c>
      <c r="P186" t="inlineStr">
        <is>
          <t>구성완</t>
        </is>
      </c>
      <c r="Z186" t="n">
        <v>0</v>
      </c>
      <c r="AB186" t="inlineStr">
        <is>
          <t>엔카</t>
        </is>
      </c>
      <c r="AC186" t="n">
        <v>272250</v>
      </c>
      <c r="AD186" t="n">
        <v>198000</v>
      </c>
      <c r="AE186" t="n">
        <v>74250</v>
      </c>
      <c r="AF186" t="n">
        <v>247500</v>
      </c>
      <c r="AG186" t="n">
        <v>198000</v>
      </c>
      <c r="AH186" t="n">
        <v>49500</v>
      </c>
      <c r="AI186" t="n">
        <v>0</v>
      </c>
    </row>
    <row r="187">
      <c r="A187" t="inlineStr">
        <is>
          <t>1월</t>
        </is>
      </c>
      <c r="B187" t="inlineStr">
        <is>
          <t>2주차</t>
        </is>
      </c>
      <c r="C187" t="inlineStr">
        <is>
          <t>IM</t>
        </is>
      </c>
      <c r="D187" s="28" t="n">
        <v>46029</v>
      </c>
      <c r="E187" t="inlineStr">
        <is>
          <t>IM캐피탈</t>
        </is>
      </c>
      <c r="F187" t="inlineStr">
        <is>
          <t>윤혜진</t>
        </is>
      </c>
      <c r="G187" t="inlineStr">
        <is>
          <t>010-4490-7701</t>
        </is>
      </c>
      <c r="H187" t="inlineStr">
        <is>
          <t>48소2742</t>
        </is>
      </c>
      <c r="I187" t="n">
        <v>13700000</v>
      </c>
      <c r="J187" t="n">
        <v>0.056</v>
      </c>
      <c r="K187" t="n">
        <v>0.55</v>
      </c>
      <c r="L187" t="n">
        <v>0.13</v>
      </c>
      <c r="M187" t="n">
        <v>0.42</v>
      </c>
      <c r="P187" t="inlineStr">
        <is>
          <t>최혁</t>
        </is>
      </c>
      <c r="Q187" t="inlineStr">
        <is>
          <t>홈서비스24개월</t>
        </is>
      </c>
      <c r="Z187" t="n">
        <v>0</v>
      </c>
      <c r="AB187" t="inlineStr">
        <is>
          <t>홈서비스</t>
        </is>
      </c>
      <c r="AC187" t="n">
        <v>75350</v>
      </c>
      <c r="AD187" t="n">
        <v>17810</v>
      </c>
      <c r="AE187" t="n">
        <v>57540</v>
      </c>
      <c r="AF187" t="n">
        <v>68500</v>
      </c>
      <c r="AG187" t="n">
        <v>17810</v>
      </c>
      <c r="AH187" t="n">
        <v>50690</v>
      </c>
      <c r="AI187" t="n">
        <v>0</v>
      </c>
    </row>
    <row r="188">
      <c r="A188" t="inlineStr">
        <is>
          <t>1월</t>
        </is>
      </c>
      <c r="B188" t="inlineStr">
        <is>
          <t>2주차</t>
        </is>
      </c>
      <c r="C188" t="inlineStr">
        <is>
          <t>IM</t>
        </is>
      </c>
      <c r="D188" s="28" t="n">
        <v>46028</v>
      </c>
      <c r="E188" t="inlineStr">
        <is>
          <t>IM캐피탈</t>
        </is>
      </c>
      <c r="F188" t="inlineStr">
        <is>
          <t>이은성</t>
        </is>
      </c>
      <c r="G188" t="inlineStr">
        <is>
          <t>010-5003-7544</t>
        </is>
      </c>
      <c r="H188" t="inlineStr">
        <is>
          <t>352모6337</t>
        </is>
      </c>
      <c r="I188" t="n">
        <v>15000000</v>
      </c>
      <c r="J188" t="n">
        <v>0.049</v>
      </c>
      <c r="K188" t="n">
        <v>0.55</v>
      </c>
      <c r="L188" t="n">
        <v>0.4</v>
      </c>
      <c r="M188" t="n">
        <v>0.15</v>
      </c>
      <c r="P188" t="inlineStr">
        <is>
          <t>장진경</t>
        </is>
      </c>
      <c r="Z188" t="n">
        <v>0</v>
      </c>
      <c r="AB188" t="inlineStr">
        <is>
          <t>엔카</t>
        </is>
      </c>
      <c r="AC188" t="n">
        <v>82500</v>
      </c>
      <c r="AD188" t="n">
        <v>60000</v>
      </c>
      <c r="AE188" t="n">
        <v>22500</v>
      </c>
      <c r="AF188" t="n">
        <v>75000</v>
      </c>
      <c r="AG188" t="n">
        <v>60000</v>
      </c>
      <c r="AH188" t="n">
        <v>15000</v>
      </c>
      <c r="AI188" t="n">
        <v>0</v>
      </c>
    </row>
    <row r="189">
      <c r="A189" t="inlineStr">
        <is>
          <t>1월</t>
        </is>
      </c>
      <c r="B189" t="inlineStr">
        <is>
          <t>2주차</t>
        </is>
      </c>
      <c r="C189" t="inlineStr">
        <is>
          <t>WC</t>
        </is>
      </c>
      <c r="D189" s="28" t="n">
        <v>46029</v>
      </c>
      <c r="E189" t="inlineStr">
        <is>
          <t>웰컴저축은행</t>
        </is>
      </c>
      <c r="F189" t="inlineStr">
        <is>
          <t>박성재</t>
        </is>
      </c>
      <c r="G189" t="inlineStr">
        <is>
          <t>010-7470-4140</t>
        </is>
      </c>
      <c r="H189" t="inlineStr">
        <is>
          <t>152너7078</t>
        </is>
      </c>
      <c r="I189" t="n">
        <v>27500000</v>
      </c>
      <c r="J189" t="n">
        <v>0.119</v>
      </c>
      <c r="K189" t="n">
        <v>0</v>
      </c>
      <c r="L189" t="n">
        <v>0.13</v>
      </c>
      <c r="M189" t="n">
        <v>-0.13</v>
      </c>
      <c r="P189" t="inlineStr">
        <is>
          <t>최혁</t>
        </is>
      </c>
      <c r="Q189" t="inlineStr">
        <is>
          <t>홈서비스72개월</t>
        </is>
      </c>
      <c r="Z189" t="n">
        <v>0</v>
      </c>
      <c r="AB189" t="inlineStr">
        <is>
          <t>홈서비스</t>
        </is>
      </c>
      <c r="AC189" t="n">
        <v>0</v>
      </c>
      <c r="AD189" t="n">
        <v>35750</v>
      </c>
      <c r="AE189" t="n">
        <v>-35750</v>
      </c>
      <c r="AF189" t="n">
        <v>0</v>
      </c>
      <c r="AG189" t="n">
        <v>35750</v>
      </c>
      <c r="AH189" t="n">
        <v>-35750</v>
      </c>
      <c r="AI189" t="n">
        <v>1</v>
      </c>
    </row>
    <row r="190">
      <c r="A190" t="inlineStr">
        <is>
          <t>1월</t>
        </is>
      </c>
      <c r="B190" t="inlineStr">
        <is>
          <t>2주차</t>
        </is>
      </c>
      <c r="C190" t="inlineStr">
        <is>
          <t>IM</t>
        </is>
      </c>
      <c r="D190" s="28" t="n">
        <v>46027</v>
      </c>
      <c r="E190" t="inlineStr">
        <is>
          <t>IM캐피탈</t>
        </is>
      </c>
      <c r="F190" t="inlineStr">
        <is>
          <t>김기백</t>
        </is>
      </c>
      <c r="G190" t="inlineStr">
        <is>
          <t>010-4487-0023</t>
        </is>
      </c>
      <c r="H190" t="inlineStr">
        <is>
          <t>48가0231</t>
        </is>
      </c>
      <c r="I190" t="n">
        <v>12000000</v>
      </c>
      <c r="J190" t="n">
        <v>0.056</v>
      </c>
      <c r="K190" t="n">
        <v>0.55</v>
      </c>
      <c r="L190" t="n">
        <v>0.4</v>
      </c>
      <c r="M190" t="n">
        <v>0.15</v>
      </c>
      <c r="P190" t="inlineStr">
        <is>
          <t>구성완</t>
        </is>
      </c>
      <c r="Z190" t="n">
        <v>0</v>
      </c>
      <c r="AB190" t="inlineStr">
        <is>
          <t>엔카</t>
        </is>
      </c>
      <c r="AC190" t="n">
        <v>66000</v>
      </c>
      <c r="AD190" t="n">
        <v>48000</v>
      </c>
      <c r="AE190" t="n">
        <v>18000</v>
      </c>
      <c r="AF190" t="n">
        <v>60000</v>
      </c>
      <c r="AG190" t="n">
        <v>48000</v>
      </c>
      <c r="AH190" t="n">
        <v>12000</v>
      </c>
      <c r="AI190" t="n">
        <v>1</v>
      </c>
    </row>
    <row r="191">
      <c r="A191" t="inlineStr">
        <is>
          <t>1월</t>
        </is>
      </c>
      <c r="B191" t="inlineStr">
        <is>
          <t>2주차</t>
        </is>
      </c>
      <c r="C191" t="inlineStr">
        <is>
          <t>OR</t>
        </is>
      </c>
      <c r="D191" s="28" t="n">
        <v>46029</v>
      </c>
      <c r="E191" t="inlineStr">
        <is>
          <t>오릭스</t>
        </is>
      </c>
      <c r="F191" t="inlineStr">
        <is>
          <t>윤지원</t>
        </is>
      </c>
      <c r="G191" t="inlineStr">
        <is>
          <t>010-4878-0792</t>
        </is>
      </c>
      <c r="H191" t="inlineStr">
        <is>
          <t>331도8718</t>
        </is>
      </c>
      <c r="I191" t="n">
        <v>14800000</v>
      </c>
      <c r="J191" t="n">
        <v>0.055</v>
      </c>
      <c r="K191" t="n">
        <v>1.65</v>
      </c>
      <c r="L191" t="n">
        <v>0.13</v>
      </c>
      <c r="M191" t="n">
        <v>1.52</v>
      </c>
      <c r="P191" t="inlineStr">
        <is>
          <t>정세빈</t>
        </is>
      </c>
      <c r="Q191" t="inlineStr">
        <is>
          <t>홈서비스 60개월</t>
        </is>
      </c>
      <c r="Z191" t="n">
        <v>0</v>
      </c>
      <c r="AB191" t="inlineStr">
        <is>
          <t>홈서비스</t>
        </is>
      </c>
      <c r="AC191" t="n">
        <v>244200</v>
      </c>
      <c r="AD191" t="n">
        <v>19240</v>
      </c>
      <c r="AE191" t="n">
        <v>224960</v>
      </c>
      <c r="AF191" t="n">
        <v>222000</v>
      </c>
      <c r="AG191" t="n">
        <v>19240</v>
      </c>
      <c r="AH191" t="n">
        <v>202760</v>
      </c>
      <c r="AI191" t="n">
        <v>1</v>
      </c>
    </row>
    <row r="192">
      <c r="A192" t="inlineStr">
        <is>
          <t>1월</t>
        </is>
      </c>
      <c r="B192" t="inlineStr">
        <is>
          <t>2주차</t>
        </is>
      </c>
      <c r="C192" t="inlineStr">
        <is>
          <t>EP</t>
        </is>
      </c>
      <c r="D192" s="28" t="n">
        <v>46029</v>
      </c>
      <c r="E192" t="inlineStr">
        <is>
          <t>현대EP_fast</t>
        </is>
      </c>
      <c r="F192" t="inlineStr">
        <is>
          <t>박은규</t>
        </is>
      </c>
      <c r="G192" t="inlineStr">
        <is>
          <t>010-4381-1752</t>
        </is>
      </c>
      <c r="H192" t="inlineStr">
        <is>
          <t>33소7955</t>
        </is>
      </c>
      <c r="I192" t="n">
        <v>4000000</v>
      </c>
      <c r="J192" t="n">
        <v>0.082</v>
      </c>
      <c r="K192" t="n">
        <v>1.76</v>
      </c>
      <c r="L192" t="n">
        <v>0.13</v>
      </c>
      <c r="M192" t="n">
        <v>1.63</v>
      </c>
      <c r="P192" t="inlineStr">
        <is>
          <t>정광호</t>
        </is>
      </c>
      <c r="Q192" t="inlineStr">
        <is>
          <t>홈서비스 24개월</t>
        </is>
      </c>
      <c r="Z192" t="n">
        <v>0</v>
      </c>
      <c r="AB192" t="inlineStr">
        <is>
          <t>홈서비스</t>
        </is>
      </c>
      <c r="AC192" t="n">
        <v>70400</v>
      </c>
      <c r="AD192" t="n">
        <v>5200</v>
      </c>
      <c r="AE192" t="n">
        <v>65200</v>
      </c>
      <c r="AF192" t="n">
        <v>64000</v>
      </c>
      <c r="AG192" t="n">
        <v>5200</v>
      </c>
      <c r="AH192" t="n">
        <v>58800</v>
      </c>
      <c r="AI192" t="n">
        <v>0</v>
      </c>
    </row>
    <row r="193">
      <c r="A193" t="inlineStr">
        <is>
          <t>1월</t>
        </is>
      </c>
      <c r="B193" t="inlineStr">
        <is>
          <t>2주차</t>
        </is>
      </c>
      <c r="C193" t="inlineStr">
        <is>
          <t>EP</t>
        </is>
      </c>
      <c r="D193" s="28" t="n">
        <v>46028</v>
      </c>
      <c r="E193" t="inlineStr">
        <is>
          <t>현대EP</t>
        </is>
      </c>
      <c r="F193" t="inlineStr">
        <is>
          <t>우명국</t>
        </is>
      </c>
      <c r="G193" t="inlineStr">
        <is>
          <t>010-5402-6273</t>
        </is>
      </c>
      <c r="H193" t="inlineStr">
        <is>
          <t>204소4129</t>
        </is>
      </c>
      <c r="I193" t="n">
        <v>14700000</v>
      </c>
      <c r="J193" t="n">
        <v>0.057</v>
      </c>
      <c r="K193" t="n">
        <v>1.76</v>
      </c>
      <c r="L193" t="n">
        <v>0.13</v>
      </c>
      <c r="M193" t="n">
        <v>1.63</v>
      </c>
      <c r="P193" t="inlineStr">
        <is>
          <t>김나윤</t>
        </is>
      </c>
      <c r="Q193" t="inlineStr">
        <is>
          <t>홈서비스 36개월</t>
        </is>
      </c>
      <c r="Z193" t="n">
        <v>0</v>
      </c>
      <c r="AB193" t="inlineStr">
        <is>
          <t>홈서비스</t>
        </is>
      </c>
      <c r="AC193" t="n">
        <v>258720</v>
      </c>
      <c r="AD193" t="n">
        <v>19110</v>
      </c>
      <c r="AE193" t="n">
        <v>239610</v>
      </c>
      <c r="AF193" t="n">
        <v>235200</v>
      </c>
      <c r="AG193" t="n">
        <v>19110</v>
      </c>
      <c r="AH193" t="n">
        <v>216090</v>
      </c>
      <c r="AI193" t="n">
        <v>0</v>
      </c>
    </row>
    <row r="194">
      <c r="A194" t="inlineStr">
        <is>
          <t>1월</t>
        </is>
      </c>
      <c r="B194" t="inlineStr">
        <is>
          <t>2주차</t>
        </is>
      </c>
      <c r="C194" t="inlineStr">
        <is>
          <t>EP</t>
        </is>
      </c>
      <c r="D194" s="28" t="n">
        <v>46029</v>
      </c>
      <c r="E194" t="inlineStr">
        <is>
          <t>현대EP_fast</t>
        </is>
      </c>
      <c r="F194" t="inlineStr">
        <is>
          <t>권성남</t>
        </is>
      </c>
      <c r="G194" t="n">
        <v>1097821173</v>
      </c>
      <c r="H194" t="inlineStr">
        <is>
          <t>38조9734</t>
        </is>
      </c>
      <c r="I194" t="n">
        <v>4900000</v>
      </c>
      <c r="J194" t="n">
        <v>0.08699999999999999</v>
      </c>
      <c r="K194" t="n">
        <v>1.76</v>
      </c>
      <c r="L194" t="n">
        <v>0.13</v>
      </c>
      <c r="M194" t="n">
        <v>1.63</v>
      </c>
      <c r="P194" t="inlineStr">
        <is>
          <t>최형주</t>
        </is>
      </c>
      <c r="Q194" t="inlineStr">
        <is>
          <t>홈서비스 48개월</t>
        </is>
      </c>
      <c r="Z194" t="n">
        <v>0</v>
      </c>
      <c r="AB194" t="inlineStr">
        <is>
          <t>홈서비스</t>
        </is>
      </c>
      <c r="AC194" t="n">
        <v>86240</v>
      </c>
      <c r="AD194" t="n">
        <v>6370</v>
      </c>
      <c r="AE194" t="n">
        <v>79870</v>
      </c>
      <c r="AF194" t="n">
        <v>78400</v>
      </c>
      <c r="AG194" t="n">
        <v>6370</v>
      </c>
      <c r="AH194" t="n">
        <v>72030</v>
      </c>
      <c r="AI194" t="n">
        <v>0</v>
      </c>
    </row>
    <row r="195">
      <c r="A195" t="inlineStr">
        <is>
          <t>1월</t>
        </is>
      </c>
      <c r="B195" t="inlineStr">
        <is>
          <t>2주차</t>
        </is>
      </c>
      <c r="C195" t="inlineStr">
        <is>
          <t>WC</t>
        </is>
      </c>
      <c r="D195" s="28" t="n">
        <v>46029</v>
      </c>
      <c r="E195" t="inlineStr">
        <is>
          <t>웰컴저축은행</t>
        </is>
      </c>
      <c r="F195" t="inlineStr">
        <is>
          <t>김민욱</t>
        </is>
      </c>
      <c r="G195" t="inlineStr">
        <is>
          <t>010-8808-3948</t>
        </is>
      </c>
      <c r="H195" t="inlineStr">
        <is>
          <t>385무5239</t>
        </is>
      </c>
      <c r="I195" t="n">
        <v>16200000</v>
      </c>
      <c r="J195" t="n">
        <v>0.139</v>
      </c>
      <c r="K195" t="n">
        <v>0</v>
      </c>
      <c r="L195" t="n">
        <v>0.13</v>
      </c>
      <c r="M195" t="n">
        <v>-0.13</v>
      </c>
      <c r="P195" t="inlineStr">
        <is>
          <t>최혁</t>
        </is>
      </c>
      <c r="Q195" t="inlineStr">
        <is>
          <t>홈서비스60개월</t>
        </is>
      </c>
      <c r="Z195" t="n">
        <v>0</v>
      </c>
      <c r="AB195" t="inlineStr">
        <is>
          <t>홈서비스</t>
        </is>
      </c>
      <c r="AC195" t="n">
        <v>0</v>
      </c>
      <c r="AD195" t="n">
        <v>21060</v>
      </c>
      <c r="AE195" t="n">
        <v>-21060</v>
      </c>
      <c r="AF195" t="n">
        <v>0</v>
      </c>
      <c r="AG195" t="n">
        <v>21060</v>
      </c>
      <c r="AH195" t="n">
        <v>-21060</v>
      </c>
      <c r="AI195" t="n">
        <v>0</v>
      </c>
    </row>
    <row r="196">
      <c r="A196" t="inlineStr">
        <is>
          <t>1월</t>
        </is>
      </c>
      <c r="B196" t="inlineStr">
        <is>
          <t>2주차</t>
        </is>
      </c>
      <c r="C196" t="inlineStr">
        <is>
          <t>EP</t>
        </is>
      </c>
      <c r="D196" s="28" t="n">
        <v>46029</v>
      </c>
      <c r="E196" t="inlineStr">
        <is>
          <t>현대EP_fast</t>
        </is>
      </c>
      <c r="F196" t="inlineStr">
        <is>
          <t>김영희</t>
        </is>
      </c>
      <c r="G196" t="inlineStr">
        <is>
          <t>010-9183-5625</t>
        </is>
      </c>
      <c r="H196" t="inlineStr">
        <is>
          <t>53부5474</t>
        </is>
      </c>
      <c r="I196" t="n">
        <v>9700000</v>
      </c>
      <c r="J196" t="n">
        <v>0.06900000000000001</v>
      </c>
      <c r="K196" t="n">
        <v>1.76</v>
      </c>
      <c r="L196" t="n">
        <v>0.13</v>
      </c>
      <c r="M196" t="n">
        <v>1.63</v>
      </c>
      <c r="P196" t="inlineStr">
        <is>
          <t>정세빈</t>
        </is>
      </c>
      <c r="Q196" t="inlineStr">
        <is>
          <t>홈서비스 60개월</t>
        </is>
      </c>
      <c r="Z196" t="n">
        <v>0</v>
      </c>
      <c r="AB196" t="inlineStr">
        <is>
          <t>홈서비스</t>
        </is>
      </c>
      <c r="AC196" t="n">
        <v>170720</v>
      </c>
      <c r="AD196" t="n">
        <v>12610</v>
      </c>
      <c r="AE196" t="n">
        <v>158110</v>
      </c>
      <c r="AF196" t="n">
        <v>155200</v>
      </c>
      <c r="AG196" t="n">
        <v>12610</v>
      </c>
      <c r="AH196" t="n">
        <v>142590</v>
      </c>
    </row>
    <row r="197">
      <c r="A197" t="inlineStr">
        <is>
          <t>1월</t>
        </is>
      </c>
      <c r="B197" t="inlineStr">
        <is>
          <t>2주차</t>
        </is>
      </c>
      <c r="C197" t="inlineStr">
        <is>
          <t>EP</t>
        </is>
      </c>
      <c r="D197" s="28" t="n">
        <v>46029</v>
      </c>
      <c r="E197" t="inlineStr">
        <is>
          <t>현대EP_fast</t>
        </is>
      </c>
      <c r="F197" t="inlineStr">
        <is>
          <t>이상민</t>
        </is>
      </c>
      <c r="G197" t="inlineStr">
        <is>
          <t>010-4212-0056</t>
        </is>
      </c>
      <c r="H197" t="inlineStr">
        <is>
          <t>43조2519</t>
        </is>
      </c>
      <c r="I197" t="n">
        <v>20000000</v>
      </c>
      <c r="J197" t="n">
        <v>0.097</v>
      </c>
      <c r="K197" t="n">
        <v>1.76</v>
      </c>
      <c r="L197" t="n">
        <v>0.13</v>
      </c>
      <c r="M197" t="n">
        <v>1.63</v>
      </c>
      <c r="P197" t="inlineStr">
        <is>
          <t>정광호</t>
        </is>
      </c>
      <c r="Q197" t="inlineStr">
        <is>
          <t>홈서비스 60개월</t>
        </is>
      </c>
      <c r="Z197" t="n">
        <v>0</v>
      </c>
      <c r="AB197" t="inlineStr">
        <is>
          <t>홈서비스</t>
        </is>
      </c>
      <c r="AC197" t="n">
        <v>352000</v>
      </c>
      <c r="AD197" t="n">
        <v>26000</v>
      </c>
      <c r="AE197" t="n">
        <v>326000</v>
      </c>
      <c r="AF197" t="n">
        <v>320000</v>
      </c>
      <c r="AG197" t="n">
        <v>26000</v>
      </c>
      <c r="AH197" t="n">
        <v>294000</v>
      </c>
    </row>
    <row r="198">
      <c r="A198" t="inlineStr">
        <is>
          <t>1월</t>
        </is>
      </c>
      <c r="B198" t="inlineStr">
        <is>
          <t>2주차</t>
        </is>
      </c>
      <c r="C198" t="inlineStr">
        <is>
          <t>EP</t>
        </is>
      </c>
      <c r="D198" s="28" t="n">
        <v>46029</v>
      </c>
      <c r="E198" t="inlineStr">
        <is>
          <t>현대EP</t>
        </is>
      </c>
      <c r="F198" t="inlineStr">
        <is>
          <t>박미영</t>
        </is>
      </c>
      <c r="G198" t="inlineStr">
        <is>
          <t>010-4004-3387</t>
        </is>
      </c>
      <c r="H198" t="inlineStr">
        <is>
          <t>277오1811</t>
        </is>
      </c>
      <c r="I198" t="n">
        <v>19900000</v>
      </c>
      <c r="J198" t="n">
        <v>0.07199999999999999</v>
      </c>
      <c r="K198" t="n">
        <v>1.76</v>
      </c>
      <c r="L198" t="n">
        <v>0.13</v>
      </c>
      <c r="M198" t="n">
        <v>1.63</v>
      </c>
      <c r="P198" t="inlineStr">
        <is>
          <t>최형주</t>
        </is>
      </c>
      <c r="Q198" t="inlineStr">
        <is>
          <t>홈서비스 60개월</t>
        </is>
      </c>
      <c r="Z198" t="n">
        <v>0</v>
      </c>
      <c r="AB198" t="inlineStr">
        <is>
          <t>홈서비스</t>
        </is>
      </c>
      <c r="AC198" t="n">
        <v>350240</v>
      </c>
      <c r="AD198" t="n">
        <v>25870</v>
      </c>
      <c r="AE198" t="n">
        <v>324370</v>
      </c>
      <c r="AF198" t="n">
        <v>318400</v>
      </c>
      <c r="AG198" t="n">
        <v>25870</v>
      </c>
      <c r="AH198" t="n">
        <v>292530</v>
      </c>
    </row>
    <row r="199">
      <c r="A199" t="inlineStr">
        <is>
          <t>1월</t>
        </is>
      </c>
      <c r="B199" t="inlineStr">
        <is>
          <t>2주차</t>
        </is>
      </c>
      <c r="C199" t="inlineStr">
        <is>
          <t>EP</t>
        </is>
      </c>
      <c r="D199" s="28" t="n">
        <v>46029</v>
      </c>
      <c r="E199" t="inlineStr">
        <is>
          <t>현대EP</t>
        </is>
      </c>
      <c r="F199" t="inlineStr">
        <is>
          <t>서영은</t>
        </is>
      </c>
      <c r="G199" t="inlineStr">
        <is>
          <t>010-8606-8913</t>
        </is>
      </c>
      <c r="H199" t="inlineStr">
        <is>
          <t>52더6798</t>
        </is>
      </c>
      <c r="I199" t="n">
        <v>18900000</v>
      </c>
      <c r="J199" t="n">
        <v>0.107</v>
      </c>
      <c r="K199" t="n">
        <v>1.76</v>
      </c>
      <c r="L199" t="n">
        <v>0.13</v>
      </c>
      <c r="M199" t="n">
        <v>1.63</v>
      </c>
      <c r="P199" t="inlineStr">
        <is>
          <t>정세빈</t>
        </is>
      </c>
      <c r="Q199" t="inlineStr">
        <is>
          <t>홈서비스 36개월 /*당월철회 20260108</t>
        </is>
      </c>
      <c r="Z199" t="n">
        <v>0</v>
      </c>
      <c r="AB199" t="inlineStr">
        <is>
          <t>홈서비스</t>
        </is>
      </c>
      <c r="AC199" t="n">
        <v>332640</v>
      </c>
      <c r="AD199" t="n">
        <v>24570</v>
      </c>
      <c r="AE199" t="n">
        <v>308070</v>
      </c>
      <c r="AF199" t="n">
        <v>302400</v>
      </c>
      <c r="AG199" t="n">
        <v>24570</v>
      </c>
      <c r="AH199" t="n">
        <v>277830</v>
      </c>
      <c r="AI199" t="n">
        <v>0</v>
      </c>
      <c r="AK199" t="inlineStr">
        <is>
          <t>대출철회</t>
        </is>
      </c>
    </row>
    <row r="200">
      <c r="A200" t="inlineStr">
        <is>
          <t>1월</t>
        </is>
      </c>
      <c r="B200" t="inlineStr">
        <is>
          <t>2주차</t>
        </is>
      </c>
      <c r="C200" t="inlineStr">
        <is>
          <t>EP</t>
        </is>
      </c>
      <c r="D200" s="28" t="n">
        <v>46029</v>
      </c>
      <c r="E200" t="inlineStr">
        <is>
          <t>현대EP_fast</t>
        </is>
      </c>
      <c r="F200" t="inlineStr">
        <is>
          <t>임규일</t>
        </is>
      </c>
      <c r="G200" t="inlineStr">
        <is>
          <t>010-8815-4307</t>
        </is>
      </c>
      <c r="H200" t="inlineStr">
        <is>
          <t>23두0543</t>
        </is>
      </c>
      <c r="I200" t="n">
        <v>26800000</v>
      </c>
      <c r="J200" t="n">
        <v>0.07199999999999999</v>
      </c>
      <c r="K200" t="n">
        <v>1.76</v>
      </c>
      <c r="L200" t="n">
        <v>0.13</v>
      </c>
      <c r="M200" t="n">
        <v>1.63</v>
      </c>
      <c r="P200" t="inlineStr">
        <is>
          <t>정하은</t>
        </is>
      </c>
      <c r="Q200" t="inlineStr">
        <is>
          <t xml:space="preserve">선상담 / 홈서비스60개월 </t>
        </is>
      </c>
      <c r="Z200" t="n">
        <v>0</v>
      </c>
      <c r="AB200" t="inlineStr">
        <is>
          <t>홈서비스</t>
        </is>
      </c>
      <c r="AC200" t="n">
        <v>471680</v>
      </c>
      <c r="AD200" t="n">
        <v>34840</v>
      </c>
      <c r="AE200" t="n">
        <v>436840</v>
      </c>
      <c r="AF200" t="n">
        <v>428800</v>
      </c>
      <c r="AG200" t="n">
        <v>34840</v>
      </c>
      <c r="AH200" t="n">
        <v>393960</v>
      </c>
      <c r="AI200" t="n">
        <v>0</v>
      </c>
    </row>
    <row r="201">
      <c r="A201" t="inlineStr">
        <is>
          <t>1월</t>
        </is>
      </c>
      <c r="B201" t="inlineStr">
        <is>
          <t>2주차</t>
        </is>
      </c>
      <c r="C201" t="inlineStr">
        <is>
          <t>IM</t>
        </is>
      </c>
      <c r="D201" s="28" t="n">
        <v>46029</v>
      </c>
      <c r="E201" t="inlineStr">
        <is>
          <t>IM캐피탈</t>
        </is>
      </c>
      <c r="F201" t="inlineStr">
        <is>
          <t>장원호</t>
        </is>
      </c>
      <c r="G201" t="inlineStr">
        <is>
          <t>010-9411-8599</t>
        </is>
      </c>
      <c r="H201" t="inlineStr">
        <is>
          <t>399구2166</t>
        </is>
      </c>
      <c r="I201" t="n">
        <v>23500000</v>
      </c>
      <c r="J201" t="n">
        <v>0.056</v>
      </c>
      <c r="K201" t="n">
        <v>0.55</v>
      </c>
      <c r="L201" t="n">
        <v>0.13</v>
      </c>
      <c r="M201" t="n">
        <v>0.42</v>
      </c>
      <c r="P201" t="inlineStr">
        <is>
          <t>정하은</t>
        </is>
      </c>
      <c r="Q201" t="inlineStr">
        <is>
          <t xml:space="preserve">선상담 / 홈서비스60개월 </t>
        </is>
      </c>
      <c r="Z201" t="n">
        <v>0</v>
      </c>
      <c r="AB201" t="inlineStr">
        <is>
          <t>홈서비스</t>
        </is>
      </c>
      <c r="AC201" t="n">
        <v>129250</v>
      </c>
      <c r="AD201" t="n">
        <v>30550</v>
      </c>
      <c r="AE201" t="n">
        <v>98700</v>
      </c>
      <c r="AF201" t="n">
        <v>117500</v>
      </c>
      <c r="AG201" t="n">
        <v>30550</v>
      </c>
      <c r="AH201" t="n">
        <v>86950</v>
      </c>
    </row>
    <row r="202">
      <c r="A202" t="inlineStr">
        <is>
          <t>1월</t>
        </is>
      </c>
      <c r="B202" t="inlineStr">
        <is>
          <t>2주차</t>
        </is>
      </c>
      <c r="C202" t="inlineStr">
        <is>
          <t>EP</t>
        </is>
      </c>
      <c r="D202" s="28" t="n">
        <v>46029</v>
      </c>
      <c r="E202" t="inlineStr">
        <is>
          <t>현대EP</t>
        </is>
      </c>
      <c r="F202" t="inlineStr">
        <is>
          <t>김민수</t>
        </is>
      </c>
      <c r="G202" t="inlineStr">
        <is>
          <t>010-8787-8496</t>
        </is>
      </c>
      <c r="H202" t="inlineStr">
        <is>
          <t>306버6915</t>
        </is>
      </c>
      <c r="I202" t="n">
        <v>20200000</v>
      </c>
      <c r="J202" t="n">
        <v>0.067</v>
      </c>
      <c r="K202" t="n">
        <v>1.76</v>
      </c>
      <c r="L202" t="n">
        <v>0.13</v>
      </c>
      <c r="M202" t="n">
        <v>1.63</v>
      </c>
      <c r="P202" t="inlineStr">
        <is>
          <t>정광호</t>
        </is>
      </c>
      <c r="Q202" t="inlineStr">
        <is>
          <t>홈서비스 24개월</t>
        </is>
      </c>
      <c r="Z202" t="n">
        <v>0</v>
      </c>
      <c r="AB202" t="inlineStr">
        <is>
          <t>홈서비스</t>
        </is>
      </c>
      <c r="AC202" t="n">
        <v>355520</v>
      </c>
      <c r="AD202" t="n">
        <v>26260</v>
      </c>
      <c r="AE202" t="n">
        <v>329260</v>
      </c>
      <c r="AF202" t="n">
        <v>323200</v>
      </c>
      <c r="AG202" t="n">
        <v>26260</v>
      </c>
      <c r="AH202" t="n">
        <v>296940</v>
      </c>
    </row>
    <row r="203">
      <c r="A203" t="inlineStr">
        <is>
          <t>1월</t>
        </is>
      </c>
      <c r="B203" t="inlineStr">
        <is>
          <t>2주차</t>
        </is>
      </c>
      <c r="C203" t="inlineStr">
        <is>
          <t>EP</t>
        </is>
      </c>
      <c r="D203" s="28" t="n">
        <v>46030</v>
      </c>
      <c r="E203" t="inlineStr">
        <is>
          <t>현대EP_fast</t>
        </is>
      </c>
      <c r="F203" t="inlineStr">
        <is>
          <t>이진표</t>
        </is>
      </c>
      <c r="G203" t="inlineStr">
        <is>
          <t>010-9598-9054</t>
        </is>
      </c>
      <c r="H203" t="inlineStr">
        <is>
          <t>56너6308</t>
        </is>
      </c>
      <c r="I203" t="n">
        <v>6000000</v>
      </c>
      <c r="J203" t="n">
        <v>0.068</v>
      </c>
      <c r="K203" t="n">
        <v>1.76</v>
      </c>
      <c r="L203" t="n">
        <v>0.13</v>
      </c>
      <c r="M203" t="n">
        <v>1.63</v>
      </c>
      <c r="P203" t="inlineStr">
        <is>
          <t>정세빈</t>
        </is>
      </c>
      <c r="Q203" t="inlineStr">
        <is>
          <t>홈서비스 48개월</t>
        </is>
      </c>
      <c r="Z203" t="n">
        <v>0</v>
      </c>
      <c r="AB203" t="inlineStr">
        <is>
          <t>홈서비스</t>
        </is>
      </c>
      <c r="AC203" t="n">
        <v>105600</v>
      </c>
      <c r="AD203" t="n">
        <v>7800</v>
      </c>
      <c r="AE203" t="n">
        <v>97800</v>
      </c>
      <c r="AF203" t="n">
        <v>96000</v>
      </c>
      <c r="AG203" t="n">
        <v>7800</v>
      </c>
      <c r="AH203" t="n">
        <v>88200</v>
      </c>
      <c r="AI203" t="n">
        <v>0</v>
      </c>
    </row>
    <row r="204">
      <c r="A204" t="inlineStr">
        <is>
          <t>1월</t>
        </is>
      </c>
      <c r="B204" t="inlineStr">
        <is>
          <t>2주차</t>
        </is>
      </c>
      <c r="C204" t="inlineStr">
        <is>
          <t>EP</t>
        </is>
      </c>
      <c r="D204" s="28" t="n">
        <v>46029</v>
      </c>
      <c r="E204" t="inlineStr">
        <is>
          <t>현대EP</t>
        </is>
      </c>
      <c r="F204" t="inlineStr">
        <is>
          <t>오정수</t>
        </is>
      </c>
      <c r="G204" t="inlineStr">
        <is>
          <t>010-6325-8810</t>
        </is>
      </c>
      <c r="H204" t="inlineStr">
        <is>
          <t>269부6240</t>
        </is>
      </c>
      <c r="I204" t="n">
        <v>10000000</v>
      </c>
      <c r="J204" t="n">
        <v>0.065</v>
      </c>
      <c r="K204" t="n">
        <v>1.76</v>
      </c>
      <c r="L204" t="n">
        <v>0.13</v>
      </c>
      <c r="M204" t="n">
        <v>1.63</v>
      </c>
      <c r="P204" t="inlineStr">
        <is>
          <t>정광호</t>
        </is>
      </c>
      <c r="Q204" t="inlineStr">
        <is>
          <t>홈서비스 36개월</t>
        </is>
      </c>
      <c r="Z204" t="n">
        <v>0</v>
      </c>
      <c r="AB204" t="inlineStr">
        <is>
          <t>홈서비스</t>
        </is>
      </c>
      <c r="AC204" t="n">
        <v>176000</v>
      </c>
      <c r="AD204" t="n">
        <v>13000</v>
      </c>
      <c r="AE204" t="n">
        <v>163000</v>
      </c>
      <c r="AF204" t="n">
        <v>160000</v>
      </c>
      <c r="AG204" t="n">
        <v>13000</v>
      </c>
      <c r="AH204" t="n">
        <v>147000</v>
      </c>
    </row>
    <row r="205">
      <c r="A205" t="inlineStr">
        <is>
          <t>1월</t>
        </is>
      </c>
      <c r="B205" t="inlineStr">
        <is>
          <t>2주차</t>
        </is>
      </c>
      <c r="C205" t="inlineStr">
        <is>
          <t>IM</t>
        </is>
      </c>
      <c r="D205" s="28" t="n">
        <v>46029</v>
      </c>
      <c r="E205" t="inlineStr">
        <is>
          <t>IM캐피탈</t>
        </is>
      </c>
      <c r="F205" t="inlineStr">
        <is>
          <t>김상하</t>
        </is>
      </c>
      <c r="G205" t="inlineStr">
        <is>
          <t>010-6361-6343</t>
        </is>
      </c>
      <c r="H205" t="inlineStr">
        <is>
          <t>839너5960</t>
        </is>
      </c>
      <c r="I205" t="n">
        <v>38500000</v>
      </c>
      <c r="J205" t="n">
        <v>0.053</v>
      </c>
      <c r="K205" t="n">
        <v>0.55</v>
      </c>
      <c r="L205" t="n">
        <v>0.13</v>
      </c>
      <c r="M205" t="n">
        <v>0.42</v>
      </c>
      <c r="P205" t="inlineStr">
        <is>
          <t>김나윤</t>
        </is>
      </c>
      <c r="Q205" t="inlineStr">
        <is>
          <t>홈서비스84개월</t>
        </is>
      </c>
      <c r="Z205" t="n">
        <v>0</v>
      </c>
      <c r="AB205" t="inlineStr">
        <is>
          <t>홈서비스</t>
        </is>
      </c>
      <c r="AC205" t="n">
        <v>211750</v>
      </c>
      <c r="AD205" t="n">
        <v>50050</v>
      </c>
      <c r="AE205" t="n">
        <v>161700</v>
      </c>
      <c r="AF205" t="n">
        <v>192500</v>
      </c>
      <c r="AG205" t="n">
        <v>50050</v>
      </c>
      <c r="AH205" t="n">
        <v>142450</v>
      </c>
      <c r="AI205" t="n">
        <v>0</v>
      </c>
    </row>
    <row r="206">
      <c r="A206" t="inlineStr">
        <is>
          <t>1월</t>
        </is>
      </c>
      <c r="B206" t="inlineStr">
        <is>
          <t>2주차</t>
        </is>
      </c>
      <c r="C206" t="inlineStr">
        <is>
          <t>EP</t>
        </is>
      </c>
      <c r="D206" s="28" t="n">
        <v>46029</v>
      </c>
      <c r="E206" t="inlineStr">
        <is>
          <t>현대EP</t>
        </is>
      </c>
      <c r="F206" t="inlineStr">
        <is>
          <t>김은정</t>
        </is>
      </c>
      <c r="G206" t="inlineStr">
        <is>
          <t>010-9944-6414</t>
        </is>
      </c>
      <c r="H206" t="inlineStr">
        <is>
          <t>247모7953</t>
        </is>
      </c>
      <c r="I206" t="n">
        <v>22500000</v>
      </c>
      <c r="J206" t="n">
        <v>0.06900000000000001</v>
      </c>
      <c r="K206" t="n">
        <v>1.76</v>
      </c>
      <c r="L206" t="n">
        <v>0.13</v>
      </c>
      <c r="M206" t="n">
        <v>1.63</v>
      </c>
      <c r="P206" t="inlineStr">
        <is>
          <t>김나윤</t>
        </is>
      </c>
      <c r="Q206" t="inlineStr">
        <is>
          <t>홈서비스 48개월 /*당월철회 20260112</t>
        </is>
      </c>
      <c r="Z206" t="n">
        <v>0</v>
      </c>
      <c r="AB206" t="inlineStr">
        <is>
          <t>홈서비스</t>
        </is>
      </c>
      <c r="AC206" t="n">
        <v>396000</v>
      </c>
      <c r="AD206" t="n">
        <v>29250</v>
      </c>
      <c r="AE206" t="n">
        <v>366750</v>
      </c>
      <c r="AF206" t="n">
        <v>360000</v>
      </c>
      <c r="AG206" t="n">
        <v>29250</v>
      </c>
      <c r="AH206" t="n">
        <v>330750</v>
      </c>
      <c r="AK206" t="inlineStr">
        <is>
          <t>대출철회</t>
        </is>
      </c>
    </row>
    <row r="207">
      <c r="A207" t="inlineStr">
        <is>
          <t>1월</t>
        </is>
      </c>
      <c r="B207" t="inlineStr">
        <is>
          <t>2주차</t>
        </is>
      </c>
      <c r="C207" t="inlineStr">
        <is>
          <t>EP</t>
        </is>
      </c>
      <c r="D207" s="28" t="n">
        <v>46030</v>
      </c>
      <c r="E207" t="inlineStr">
        <is>
          <t>BNKEP</t>
        </is>
      </c>
      <c r="F207" t="inlineStr">
        <is>
          <t>오명철</t>
        </is>
      </c>
      <c r="G207" t="inlineStr">
        <is>
          <t>010-3553-9795</t>
        </is>
      </c>
      <c r="H207" t="inlineStr">
        <is>
          <t>38나1710</t>
        </is>
      </c>
      <c r="I207" t="n">
        <v>17900000</v>
      </c>
      <c r="J207" t="n">
        <v>0.07199999999999999</v>
      </c>
      <c r="K207" t="n">
        <v>1.65</v>
      </c>
      <c r="L207" t="n">
        <v>0.13</v>
      </c>
      <c r="M207" t="n">
        <v>1.52</v>
      </c>
      <c r="P207" t="inlineStr">
        <is>
          <t>정하은</t>
        </is>
      </c>
      <c r="Q207" t="inlineStr">
        <is>
          <t>선상담 /홈서비스60개월</t>
        </is>
      </c>
      <c r="Z207" t="n">
        <v>0</v>
      </c>
      <c r="AB207" t="inlineStr">
        <is>
          <t>홈서비스</t>
        </is>
      </c>
      <c r="AC207" t="n">
        <v>295350</v>
      </c>
      <c r="AD207" t="n">
        <v>23270</v>
      </c>
      <c r="AE207" t="n">
        <v>272080</v>
      </c>
      <c r="AF207" t="n">
        <v>268500</v>
      </c>
      <c r="AG207" t="n">
        <v>23270</v>
      </c>
      <c r="AH207" t="n">
        <v>245230</v>
      </c>
    </row>
    <row r="208">
      <c r="A208" t="inlineStr">
        <is>
          <t>1월</t>
        </is>
      </c>
      <c r="B208" t="inlineStr">
        <is>
          <t>2주차</t>
        </is>
      </c>
      <c r="C208" t="inlineStr">
        <is>
          <t>EP</t>
        </is>
      </c>
      <c r="D208" s="28" t="n">
        <v>46027</v>
      </c>
      <c r="E208" t="inlineStr">
        <is>
          <t>현대EP_fast</t>
        </is>
      </c>
      <c r="F208" t="inlineStr">
        <is>
          <t>강수영</t>
        </is>
      </c>
      <c r="G208" t="inlineStr">
        <is>
          <t>010-2086-0825</t>
        </is>
      </c>
      <c r="H208" t="inlineStr">
        <is>
          <t>214버5512</t>
        </is>
      </c>
      <c r="I208" t="n">
        <v>70000000</v>
      </c>
      <c r="J208" t="n">
        <v>0.089</v>
      </c>
      <c r="K208" t="n">
        <v>1.76</v>
      </c>
      <c r="L208" t="n">
        <v>0.4</v>
      </c>
      <c r="M208" t="n">
        <v>1.36</v>
      </c>
      <c r="P208" t="inlineStr">
        <is>
          <t>박소현</t>
        </is>
      </c>
      <c r="Z208" t="n">
        <v>0</v>
      </c>
      <c r="AB208" t="inlineStr">
        <is>
          <t>엔카</t>
        </is>
      </c>
      <c r="AC208" t="n">
        <v>1232000</v>
      </c>
      <c r="AD208" t="n">
        <v>280000</v>
      </c>
      <c r="AE208" t="n">
        <v>952000</v>
      </c>
      <c r="AF208" t="n">
        <v>1120000</v>
      </c>
      <c r="AG208" t="n">
        <v>280000</v>
      </c>
      <c r="AH208" t="n">
        <v>840000</v>
      </c>
    </row>
    <row r="209">
      <c r="A209" t="inlineStr">
        <is>
          <t>1월</t>
        </is>
      </c>
      <c r="B209" t="inlineStr">
        <is>
          <t>2주차</t>
        </is>
      </c>
      <c r="C209" t="inlineStr">
        <is>
          <t>IM</t>
        </is>
      </c>
      <c r="D209" s="28" t="n">
        <v>46029</v>
      </c>
      <c r="E209" t="inlineStr">
        <is>
          <t>IM캐피탈</t>
        </is>
      </c>
      <c r="F209" t="inlineStr">
        <is>
          <t>강명성</t>
        </is>
      </c>
      <c r="G209" t="inlineStr">
        <is>
          <t>010-5665-9228</t>
        </is>
      </c>
      <c r="H209" t="inlineStr">
        <is>
          <t>189우7969</t>
        </is>
      </c>
      <c r="I209" t="n">
        <v>30000000</v>
      </c>
      <c r="J209" t="n">
        <v>0.049</v>
      </c>
      <c r="K209" t="n">
        <v>0.55</v>
      </c>
      <c r="L209" t="n">
        <v>0.4</v>
      </c>
      <c r="M209" t="n">
        <v>0.15</v>
      </c>
      <c r="P209" t="inlineStr">
        <is>
          <t>박소현</t>
        </is>
      </c>
      <c r="Z209" t="n">
        <v>0</v>
      </c>
      <c r="AB209" t="inlineStr">
        <is>
          <t>엔카</t>
        </is>
      </c>
      <c r="AC209" t="n">
        <v>165000</v>
      </c>
      <c r="AD209" t="n">
        <v>120000</v>
      </c>
      <c r="AE209" t="n">
        <v>45000</v>
      </c>
      <c r="AF209" t="n">
        <v>150000</v>
      </c>
      <c r="AG209" t="n">
        <v>120000</v>
      </c>
      <c r="AH209" t="n">
        <v>30000</v>
      </c>
      <c r="AI209" t="n">
        <v>0</v>
      </c>
    </row>
    <row r="210">
      <c r="A210" t="inlineStr">
        <is>
          <t>1월</t>
        </is>
      </c>
      <c r="B210" t="inlineStr">
        <is>
          <t>2주차</t>
        </is>
      </c>
      <c r="C210" t="inlineStr">
        <is>
          <t>EP</t>
        </is>
      </c>
      <c r="D210" s="28" t="n">
        <v>46029</v>
      </c>
      <c r="E210" t="inlineStr">
        <is>
          <t>현대EP</t>
        </is>
      </c>
      <c r="F210" t="inlineStr">
        <is>
          <t>박인백</t>
        </is>
      </c>
      <c r="G210" t="inlineStr">
        <is>
          <t>010-3030-8686</t>
        </is>
      </c>
      <c r="H210" t="inlineStr">
        <is>
          <t>03수4377</t>
        </is>
      </c>
      <c r="I210" t="n">
        <v>15000000</v>
      </c>
      <c r="J210" t="n">
        <v>0.07199999999999999</v>
      </c>
      <c r="K210" t="n">
        <v>1.76</v>
      </c>
      <c r="L210" t="n">
        <v>0.13</v>
      </c>
      <c r="M210" t="n">
        <v>1.63</v>
      </c>
      <c r="P210" t="inlineStr">
        <is>
          <t>최혁</t>
        </is>
      </c>
      <c r="Q210" t="inlineStr">
        <is>
          <t>홈서비스 60개월</t>
        </is>
      </c>
      <c r="Z210" t="n">
        <v>0</v>
      </c>
      <c r="AB210" t="inlineStr">
        <is>
          <t>홈서비스</t>
        </is>
      </c>
      <c r="AC210" t="n">
        <v>264000</v>
      </c>
      <c r="AD210" t="n">
        <v>19500</v>
      </c>
      <c r="AE210" t="n">
        <v>244500</v>
      </c>
      <c r="AF210" t="n">
        <v>240000</v>
      </c>
      <c r="AG210" t="n">
        <v>19500</v>
      </c>
      <c r="AH210" t="n">
        <v>220500</v>
      </c>
    </row>
    <row r="211">
      <c r="A211" t="inlineStr">
        <is>
          <t>1월</t>
        </is>
      </c>
      <c r="B211" t="inlineStr">
        <is>
          <t>2주차</t>
        </is>
      </c>
      <c r="C211" t="inlineStr">
        <is>
          <t>EP</t>
        </is>
      </c>
      <c r="D211" s="28" t="n">
        <v>46029</v>
      </c>
      <c r="E211" t="inlineStr">
        <is>
          <t>현대EP</t>
        </is>
      </c>
      <c r="F211" t="inlineStr">
        <is>
          <t>조민구</t>
        </is>
      </c>
      <c r="G211" t="inlineStr">
        <is>
          <t>010-7190-9519</t>
        </is>
      </c>
      <c r="H211" t="inlineStr">
        <is>
          <t>60두4554</t>
        </is>
      </c>
      <c r="I211" t="n">
        <v>25900000</v>
      </c>
      <c r="J211" t="n">
        <v>0.124</v>
      </c>
      <c r="K211" t="n">
        <v>1.76</v>
      </c>
      <c r="L211" t="n">
        <v>0.13</v>
      </c>
      <c r="M211" t="n">
        <v>1.63</v>
      </c>
      <c r="P211" t="inlineStr">
        <is>
          <t>최형주</t>
        </is>
      </c>
      <c r="Q211" t="inlineStr">
        <is>
          <t>홈서비스 60개월</t>
        </is>
      </c>
      <c r="Z211" t="n">
        <v>0</v>
      </c>
      <c r="AB211" t="inlineStr">
        <is>
          <t>홈서비스</t>
        </is>
      </c>
      <c r="AC211" t="n">
        <v>455840</v>
      </c>
      <c r="AD211" t="n">
        <v>33670</v>
      </c>
      <c r="AE211" t="n">
        <v>422170</v>
      </c>
      <c r="AF211" t="n">
        <v>414400</v>
      </c>
      <c r="AG211" t="n">
        <v>33670</v>
      </c>
      <c r="AH211" t="n">
        <v>380730</v>
      </c>
      <c r="AI211" t="n">
        <v>0</v>
      </c>
    </row>
    <row r="212">
      <c r="A212" t="inlineStr">
        <is>
          <t>1월</t>
        </is>
      </c>
      <c r="B212" t="inlineStr">
        <is>
          <t>2주차</t>
        </is>
      </c>
      <c r="C212" t="inlineStr">
        <is>
          <t>상환</t>
        </is>
      </c>
      <c r="D212" s="28" t="n">
        <v>46029</v>
      </c>
      <c r="E212" t="inlineStr">
        <is>
          <t>현대EP_fast상환</t>
        </is>
      </c>
      <c r="F212" t="inlineStr">
        <is>
          <t>박승아</t>
        </is>
      </c>
      <c r="G212" t="inlineStr">
        <is>
          <t>010-8097-7885</t>
        </is>
      </c>
      <c r="H212" t="inlineStr">
        <is>
          <t>57러5551</t>
        </is>
      </c>
      <c r="I212" t="n">
        <v>-4700000</v>
      </c>
      <c r="J212" t="n">
        <v>0.133</v>
      </c>
      <c r="K212" t="n">
        <v>1.76</v>
      </c>
      <c r="L212" t="n">
        <v>0.13</v>
      </c>
      <c r="M212" t="n">
        <v>1.63</v>
      </c>
      <c r="P212" t="inlineStr">
        <is>
          <t>최혁</t>
        </is>
      </c>
      <c r="Q212" t="inlineStr">
        <is>
          <t>홈서비스36개월 / *전월확정 20251229 당월철회 20260107</t>
        </is>
      </c>
      <c r="Z212" t="n">
        <v>0</v>
      </c>
      <c r="AB212" t="inlineStr">
        <is>
          <t>홈서비스</t>
        </is>
      </c>
      <c r="AC212" t="n">
        <v>-82720</v>
      </c>
      <c r="AD212" t="n">
        <v>-6110</v>
      </c>
      <c r="AE212" t="n">
        <v>-76610</v>
      </c>
      <c r="AF212" t="n">
        <v>-75200</v>
      </c>
      <c r="AG212" t="n">
        <v>-6110</v>
      </c>
      <c r="AH212" t="n">
        <v>-69090</v>
      </c>
      <c r="AI212" t="n">
        <v>0</v>
      </c>
      <c r="AK212" t="inlineStr">
        <is>
          <t>대출철회</t>
        </is>
      </c>
    </row>
    <row r="213">
      <c r="A213" t="inlineStr">
        <is>
          <t>1월</t>
        </is>
      </c>
      <c r="B213" t="inlineStr">
        <is>
          <t>2주차</t>
        </is>
      </c>
      <c r="C213" t="inlineStr">
        <is>
          <t>EP</t>
        </is>
      </c>
      <c r="D213" s="28" t="n">
        <v>46028</v>
      </c>
      <c r="E213" t="inlineStr">
        <is>
          <t>BNKEP</t>
        </is>
      </c>
      <c r="F213" t="inlineStr">
        <is>
          <t>임영대</t>
        </is>
      </c>
      <c r="G213" t="inlineStr">
        <is>
          <t>010-2879-3307</t>
        </is>
      </c>
      <c r="H213" t="inlineStr">
        <is>
          <t>385누9329</t>
        </is>
      </c>
      <c r="I213" t="n">
        <v>33100000</v>
      </c>
      <c r="J213" t="n">
        <v>0.077</v>
      </c>
      <c r="K213" t="n">
        <v>1.65</v>
      </c>
      <c r="L213" t="n">
        <v>0.13</v>
      </c>
      <c r="M213" t="n">
        <v>1.52</v>
      </c>
      <c r="P213" t="inlineStr">
        <is>
          <t>임대경</t>
        </is>
      </c>
      <c r="Q213" t="inlineStr">
        <is>
          <t>홈서비스 48개월 / *차량번호변경건 / 변경전 차량번호 126하1680</t>
        </is>
      </c>
      <c r="Z213" t="n">
        <v>0</v>
      </c>
      <c r="AB213" t="inlineStr">
        <is>
          <t>홈서비스</t>
        </is>
      </c>
      <c r="AC213" t="n">
        <v>546150</v>
      </c>
      <c r="AD213" t="n">
        <v>43030</v>
      </c>
      <c r="AE213" t="n">
        <v>503120</v>
      </c>
      <c r="AF213" t="n">
        <v>496500</v>
      </c>
      <c r="AG213" t="n">
        <v>43030</v>
      </c>
      <c r="AH213" t="n">
        <v>453470</v>
      </c>
      <c r="AI213" t="n">
        <v>0</v>
      </c>
    </row>
    <row r="214">
      <c r="A214" t="inlineStr">
        <is>
          <t>1월</t>
        </is>
      </c>
      <c r="B214" t="inlineStr">
        <is>
          <t>2주차</t>
        </is>
      </c>
      <c r="C214" t="inlineStr">
        <is>
          <t>OR</t>
        </is>
      </c>
      <c r="D214" s="28" t="n">
        <v>46029</v>
      </c>
      <c r="E214" t="inlineStr">
        <is>
          <t>오릭스</t>
        </is>
      </c>
      <c r="F214" t="inlineStr">
        <is>
          <t>김성균</t>
        </is>
      </c>
      <c r="G214" t="inlineStr">
        <is>
          <t>010-8873-1901</t>
        </is>
      </c>
      <c r="H214" t="inlineStr">
        <is>
          <t>126고6544</t>
        </is>
      </c>
      <c r="I214" t="n">
        <v>27700000</v>
      </c>
      <c r="J214" t="n">
        <v>0.055</v>
      </c>
      <c r="K214" t="n">
        <v>1.65</v>
      </c>
      <c r="L214" t="n">
        <v>0.13</v>
      </c>
      <c r="M214" t="n">
        <v>1.52</v>
      </c>
      <c r="P214" t="inlineStr">
        <is>
          <t>박보람</t>
        </is>
      </c>
      <c r="Q214" t="inlineStr">
        <is>
          <t>선상담 / 홈서비스60개월 / 부대비용 추가진행</t>
        </is>
      </c>
      <c r="Z214" t="n">
        <v>0</v>
      </c>
      <c r="AB214" t="inlineStr">
        <is>
          <t>홈서비스</t>
        </is>
      </c>
      <c r="AC214" t="n">
        <v>457050</v>
      </c>
      <c r="AD214" t="n">
        <v>36010</v>
      </c>
      <c r="AE214" t="n">
        <v>421040</v>
      </c>
      <c r="AF214" t="n">
        <v>415500</v>
      </c>
      <c r="AG214" t="n">
        <v>36010</v>
      </c>
      <c r="AH214" t="n">
        <v>379490</v>
      </c>
    </row>
    <row r="215">
      <c r="A215" t="inlineStr">
        <is>
          <t>1월</t>
        </is>
      </c>
      <c r="B215" t="inlineStr">
        <is>
          <t>2주차</t>
        </is>
      </c>
      <c r="C215" t="inlineStr">
        <is>
          <t>EP</t>
        </is>
      </c>
      <c r="D215" s="28" t="n">
        <v>46029</v>
      </c>
      <c r="E215" t="inlineStr">
        <is>
          <t>현대EP_fast</t>
        </is>
      </c>
      <c r="F215" t="inlineStr">
        <is>
          <t>김도명</t>
        </is>
      </c>
      <c r="G215" t="inlineStr">
        <is>
          <t>010-8858-1116</t>
        </is>
      </c>
      <c r="H215" t="inlineStr">
        <is>
          <t>67로5474</t>
        </is>
      </c>
      <c r="I215" t="n">
        <v>3500000</v>
      </c>
      <c r="J215" t="n">
        <v>0.097</v>
      </c>
      <c r="K215" t="n">
        <v>1.76</v>
      </c>
      <c r="L215" t="n">
        <v>0.4</v>
      </c>
      <c r="M215" t="n">
        <v>1.36</v>
      </c>
      <c r="P215" t="inlineStr">
        <is>
          <t>장현경</t>
        </is>
      </c>
      <c r="Z215" t="n">
        <v>0</v>
      </c>
      <c r="AB215" t="inlineStr">
        <is>
          <t>엔카</t>
        </is>
      </c>
      <c r="AC215" t="n">
        <v>61600</v>
      </c>
      <c r="AD215" t="n">
        <v>14000</v>
      </c>
      <c r="AE215" t="n">
        <v>47600</v>
      </c>
      <c r="AF215" t="n">
        <v>56000</v>
      </c>
      <c r="AG215" t="n">
        <v>14000</v>
      </c>
      <c r="AH215" t="n">
        <v>42000</v>
      </c>
      <c r="AI215" t="n">
        <v>1</v>
      </c>
    </row>
    <row r="216">
      <c r="A216" t="inlineStr">
        <is>
          <t>1월</t>
        </is>
      </c>
      <c r="B216" t="inlineStr">
        <is>
          <t>2주차</t>
        </is>
      </c>
      <c r="C216" t="inlineStr">
        <is>
          <t>IM</t>
        </is>
      </c>
      <c r="D216" s="28" t="n">
        <v>46029</v>
      </c>
      <c r="E216" t="inlineStr">
        <is>
          <t>IM캐피탈</t>
        </is>
      </c>
      <c r="F216" t="inlineStr">
        <is>
          <t>송주연</t>
        </is>
      </c>
      <c r="G216" t="inlineStr">
        <is>
          <t>010-2456-5180</t>
        </is>
      </c>
      <c r="H216" t="inlineStr">
        <is>
          <t>233주1048</t>
        </is>
      </c>
      <c r="I216" t="n">
        <v>33400000</v>
      </c>
      <c r="J216" t="n">
        <v>0.039</v>
      </c>
      <c r="K216" t="n">
        <v>0.55</v>
      </c>
      <c r="L216" t="n">
        <v>0.4</v>
      </c>
      <c r="M216" t="n">
        <v>0.15</v>
      </c>
      <c r="P216" t="inlineStr">
        <is>
          <t>박현민</t>
        </is>
      </c>
      <c r="Z216" t="n">
        <v>0</v>
      </c>
      <c r="AB216" t="inlineStr">
        <is>
          <t>엔카</t>
        </is>
      </c>
      <c r="AC216" t="n">
        <v>183700</v>
      </c>
      <c r="AD216" t="n">
        <v>133600</v>
      </c>
      <c r="AE216" t="n">
        <v>50100</v>
      </c>
      <c r="AF216" t="n">
        <v>167000</v>
      </c>
      <c r="AG216" t="n">
        <v>133600</v>
      </c>
      <c r="AH216" t="n">
        <v>33400</v>
      </c>
      <c r="AI216" t="n">
        <v>1</v>
      </c>
    </row>
    <row r="217">
      <c r="A217" t="inlineStr">
        <is>
          <t>1월</t>
        </is>
      </c>
      <c r="B217" t="inlineStr">
        <is>
          <t>2주차</t>
        </is>
      </c>
      <c r="C217" t="inlineStr">
        <is>
          <t>IM</t>
        </is>
      </c>
      <c r="D217" s="28" t="n">
        <v>46030</v>
      </c>
      <c r="E217" t="inlineStr">
        <is>
          <t>IM캐피탈</t>
        </is>
      </c>
      <c r="F217" t="inlineStr">
        <is>
          <t>김현성</t>
        </is>
      </c>
      <c r="G217" t="inlineStr">
        <is>
          <t>010-2433-5374</t>
        </is>
      </c>
      <c r="H217" t="inlineStr">
        <is>
          <t>244어7187</t>
        </is>
      </c>
      <c r="I217" t="n">
        <v>13000000</v>
      </c>
      <c r="J217" t="n">
        <v>0.056</v>
      </c>
      <c r="K217" t="n">
        <v>0.55</v>
      </c>
      <c r="L217" t="n">
        <v>0.4</v>
      </c>
      <c r="M217" t="n">
        <v>0.15</v>
      </c>
      <c r="P217" t="inlineStr">
        <is>
          <t>박소현</t>
        </is>
      </c>
      <c r="Z217" t="n">
        <v>0</v>
      </c>
      <c r="AB217" t="inlineStr">
        <is>
          <t>엔카</t>
        </is>
      </c>
      <c r="AC217" t="n">
        <v>71500</v>
      </c>
      <c r="AD217" t="n">
        <v>52000</v>
      </c>
      <c r="AE217" t="n">
        <v>19500</v>
      </c>
      <c r="AF217" t="n">
        <v>65000</v>
      </c>
      <c r="AG217" t="n">
        <v>52000</v>
      </c>
      <c r="AH217" t="n">
        <v>13000</v>
      </c>
      <c r="AI217" t="n">
        <v>1</v>
      </c>
    </row>
    <row r="218">
      <c r="A218" t="inlineStr">
        <is>
          <t>1월</t>
        </is>
      </c>
      <c r="B218" t="inlineStr">
        <is>
          <t>2주차</t>
        </is>
      </c>
      <c r="C218" t="inlineStr">
        <is>
          <t>OR</t>
        </is>
      </c>
      <c r="D218" s="28" t="n">
        <v>46030</v>
      </c>
      <c r="E218" t="inlineStr">
        <is>
          <t>오릭스</t>
        </is>
      </c>
      <c r="F218" t="inlineStr">
        <is>
          <t>이지수</t>
        </is>
      </c>
      <c r="G218" t="inlineStr">
        <is>
          <t>010-2865-2912</t>
        </is>
      </c>
      <c r="H218" t="inlineStr">
        <is>
          <t>111주4275</t>
        </is>
      </c>
      <c r="I218" t="n">
        <v>9800000</v>
      </c>
      <c r="J218" t="n">
        <v>0.059</v>
      </c>
      <c r="K218" t="n">
        <v>1.65</v>
      </c>
      <c r="L218" t="n">
        <v>0.13</v>
      </c>
      <c r="M218" t="n">
        <v>1.52</v>
      </c>
      <c r="P218" t="inlineStr">
        <is>
          <t>황채이</t>
        </is>
      </c>
      <c r="Q218" t="inlineStr">
        <is>
          <t>홈서비스 60개월</t>
        </is>
      </c>
      <c r="Z218" t="n">
        <v>0</v>
      </c>
      <c r="AB218" t="inlineStr">
        <is>
          <t>홈서비스</t>
        </is>
      </c>
      <c r="AC218" t="n">
        <v>161700</v>
      </c>
      <c r="AD218" t="n">
        <v>12740</v>
      </c>
      <c r="AE218" t="n">
        <v>148960</v>
      </c>
      <c r="AF218" t="n">
        <v>147000</v>
      </c>
      <c r="AG218" t="n">
        <v>12740</v>
      </c>
      <c r="AH218" t="n">
        <v>134260</v>
      </c>
      <c r="AI218" t="n">
        <v>0</v>
      </c>
    </row>
    <row r="219">
      <c r="A219" t="inlineStr">
        <is>
          <t>1월</t>
        </is>
      </c>
      <c r="B219" t="inlineStr">
        <is>
          <t>2주차</t>
        </is>
      </c>
      <c r="C219" t="inlineStr">
        <is>
          <t>IM</t>
        </is>
      </c>
      <c r="D219" s="28" t="n">
        <v>46029</v>
      </c>
      <c r="E219" t="inlineStr">
        <is>
          <t>IM캐피탈</t>
        </is>
      </c>
      <c r="F219" t="inlineStr">
        <is>
          <t>손기웅</t>
        </is>
      </c>
      <c r="G219" t="inlineStr">
        <is>
          <t>010-8343-5242</t>
        </is>
      </c>
      <c r="H219" t="inlineStr">
        <is>
          <t>18더1448</t>
        </is>
      </c>
      <c r="I219" t="n">
        <v>6800000</v>
      </c>
      <c r="J219" t="n">
        <v>0.049</v>
      </c>
      <c r="K219" t="n">
        <v>0.55</v>
      </c>
      <c r="L219" t="n">
        <v>0.4</v>
      </c>
      <c r="M219" t="n">
        <v>0.15</v>
      </c>
      <c r="P219" t="inlineStr">
        <is>
          <t>구성완</t>
        </is>
      </c>
      <c r="Q219" t="inlineStr">
        <is>
          <t>안심거래존딜러금리불만 엔카금융만이용</t>
        </is>
      </c>
      <c r="Z219" t="n">
        <v>0</v>
      </c>
      <c r="AB219" t="inlineStr">
        <is>
          <t>엔카</t>
        </is>
      </c>
      <c r="AC219" t="n">
        <v>37400</v>
      </c>
      <c r="AD219" t="n">
        <v>27200</v>
      </c>
      <c r="AE219" t="n">
        <v>10200</v>
      </c>
      <c r="AF219" t="n">
        <v>34000</v>
      </c>
      <c r="AG219" t="n">
        <v>27200</v>
      </c>
      <c r="AH219" t="n">
        <v>6800</v>
      </c>
      <c r="AI219" t="n">
        <v>0</v>
      </c>
    </row>
    <row r="220">
      <c r="A220" t="inlineStr">
        <is>
          <t>1월</t>
        </is>
      </c>
      <c r="B220" t="inlineStr">
        <is>
          <t>2주차</t>
        </is>
      </c>
      <c r="C220" t="inlineStr">
        <is>
          <t>IM</t>
        </is>
      </c>
      <c r="D220" s="28" t="n">
        <v>46029</v>
      </c>
      <c r="E220" t="inlineStr">
        <is>
          <t>IM캐피탈</t>
        </is>
      </c>
      <c r="F220" t="inlineStr">
        <is>
          <t>정은선</t>
        </is>
      </c>
      <c r="G220" t="n">
        <v>1082181397</v>
      </c>
      <c r="H220" t="inlineStr">
        <is>
          <t>143다9106</t>
        </is>
      </c>
      <c r="I220" t="n">
        <v>58900000</v>
      </c>
      <c r="J220" t="n">
        <v>0.053</v>
      </c>
      <c r="K220" t="n">
        <v>0.55</v>
      </c>
      <c r="L220" t="n">
        <v>0.4</v>
      </c>
      <c r="M220" t="n">
        <v>0.15</v>
      </c>
      <c r="P220" t="inlineStr">
        <is>
          <t>구성완</t>
        </is>
      </c>
      <c r="Q220" t="inlineStr">
        <is>
          <t>공동명의</t>
        </is>
      </c>
      <c r="Z220" t="n">
        <v>0</v>
      </c>
      <c r="AB220" t="inlineStr">
        <is>
          <t>엔카</t>
        </is>
      </c>
      <c r="AC220" t="n">
        <v>323950</v>
      </c>
      <c r="AD220" t="n">
        <v>235600</v>
      </c>
      <c r="AE220" t="n">
        <v>88350</v>
      </c>
      <c r="AF220" t="n">
        <v>294500</v>
      </c>
      <c r="AG220" t="n">
        <v>235600</v>
      </c>
      <c r="AH220" t="n">
        <v>58900</v>
      </c>
    </row>
    <row r="221">
      <c r="A221" t="inlineStr">
        <is>
          <t>1월</t>
        </is>
      </c>
      <c r="B221" t="inlineStr">
        <is>
          <t>2주차</t>
        </is>
      </c>
      <c r="C221" t="inlineStr">
        <is>
          <t>EP</t>
        </is>
      </c>
      <c r="D221" s="28" t="n">
        <v>46030</v>
      </c>
      <c r="E221" t="inlineStr">
        <is>
          <t>현대EP_fast</t>
        </is>
      </c>
      <c r="F221" t="inlineStr">
        <is>
          <t>남학현</t>
        </is>
      </c>
      <c r="G221" t="inlineStr">
        <is>
          <t>010-2745-0194</t>
        </is>
      </c>
      <c r="H221" t="inlineStr">
        <is>
          <t>17모2067</t>
        </is>
      </c>
      <c r="I221" t="n">
        <v>8000000</v>
      </c>
      <c r="J221" t="n">
        <v>0.131</v>
      </c>
      <c r="K221" t="n">
        <v>1.76</v>
      </c>
      <c r="L221" t="n">
        <v>0.13</v>
      </c>
      <c r="M221" t="n">
        <v>1.63</v>
      </c>
      <c r="P221" t="inlineStr">
        <is>
          <t>황채이</t>
        </is>
      </c>
      <c r="Q221" t="inlineStr">
        <is>
          <t>홈서비스 48개월</t>
        </is>
      </c>
      <c r="Z221" t="n">
        <v>0</v>
      </c>
      <c r="AB221" t="inlineStr">
        <is>
          <t>홈서비스</t>
        </is>
      </c>
      <c r="AC221" t="n">
        <v>140800</v>
      </c>
      <c r="AD221" t="n">
        <v>10400</v>
      </c>
      <c r="AE221" t="n">
        <v>130400</v>
      </c>
      <c r="AF221" t="n">
        <v>128000</v>
      </c>
      <c r="AG221" t="n">
        <v>10400</v>
      </c>
      <c r="AH221" t="n">
        <v>117600</v>
      </c>
    </row>
    <row r="222">
      <c r="A222" t="inlineStr">
        <is>
          <t>1월</t>
        </is>
      </c>
      <c r="B222" t="inlineStr">
        <is>
          <t>2주차</t>
        </is>
      </c>
      <c r="C222" t="inlineStr">
        <is>
          <t>IM</t>
        </is>
      </c>
      <c r="D222" s="28" t="n">
        <v>46030</v>
      </c>
      <c r="E222" t="inlineStr">
        <is>
          <t>IM캐피탈</t>
        </is>
      </c>
      <c r="F222" t="inlineStr">
        <is>
          <t>장민식</t>
        </is>
      </c>
      <c r="G222" t="inlineStr">
        <is>
          <t>010-9663-1408</t>
        </is>
      </c>
      <c r="H222" t="inlineStr">
        <is>
          <t>340더1275</t>
        </is>
      </c>
      <c r="I222" t="n">
        <v>30000000</v>
      </c>
      <c r="J222" t="n">
        <v>0.049</v>
      </c>
      <c r="K222" t="n">
        <v>0.55</v>
      </c>
      <c r="L222" t="n">
        <v>0.13</v>
      </c>
      <c r="M222" t="n">
        <v>0.42</v>
      </c>
      <c r="P222" t="inlineStr">
        <is>
          <t>최혁</t>
        </is>
      </c>
      <c r="Q222" t="inlineStr">
        <is>
          <t>홈서비스60개월</t>
        </is>
      </c>
      <c r="Z222" t="n">
        <v>0</v>
      </c>
      <c r="AB222" t="inlineStr">
        <is>
          <t>홈서비스</t>
        </is>
      </c>
      <c r="AC222" t="n">
        <v>165000</v>
      </c>
      <c r="AD222" t="n">
        <v>39000</v>
      </c>
      <c r="AE222" t="n">
        <v>126000</v>
      </c>
      <c r="AF222" t="n">
        <v>150000</v>
      </c>
      <c r="AG222" t="n">
        <v>39000</v>
      </c>
      <c r="AH222" t="n">
        <v>111000</v>
      </c>
      <c r="AI222" t="n">
        <v>0</v>
      </c>
    </row>
    <row r="223">
      <c r="A223" t="inlineStr">
        <is>
          <t>1월</t>
        </is>
      </c>
      <c r="B223" t="inlineStr">
        <is>
          <t>2주차</t>
        </is>
      </c>
      <c r="C223" t="inlineStr">
        <is>
          <t>EP</t>
        </is>
      </c>
      <c r="D223" s="28" t="n">
        <v>46030</v>
      </c>
      <c r="E223" t="inlineStr">
        <is>
          <t>현대EP_fast</t>
        </is>
      </c>
      <c r="F223" t="inlineStr">
        <is>
          <t>김민관</t>
        </is>
      </c>
      <c r="G223" t="inlineStr">
        <is>
          <t>010-5249-3238</t>
        </is>
      </c>
      <c r="H223" t="inlineStr">
        <is>
          <t>244서4683</t>
        </is>
      </c>
      <c r="I223" t="n">
        <v>9200000</v>
      </c>
      <c r="J223" t="n">
        <v>0.111</v>
      </c>
      <c r="K223" t="n">
        <v>1.76</v>
      </c>
      <c r="L223" t="n">
        <v>0.13</v>
      </c>
      <c r="M223" t="n">
        <v>1.63</v>
      </c>
      <c r="P223" t="inlineStr">
        <is>
          <t>정하은</t>
        </is>
      </c>
      <c r="Q223" t="inlineStr">
        <is>
          <t>선상담 /홈서비스60개월</t>
        </is>
      </c>
      <c r="Z223" t="n">
        <v>0</v>
      </c>
      <c r="AB223" t="inlineStr">
        <is>
          <t>홈서비스</t>
        </is>
      </c>
      <c r="AC223" t="n">
        <v>161920</v>
      </c>
      <c r="AD223" t="n">
        <v>11960</v>
      </c>
      <c r="AE223" t="n">
        <v>149960</v>
      </c>
      <c r="AF223" t="n">
        <v>147200</v>
      </c>
      <c r="AG223" t="n">
        <v>11960</v>
      </c>
      <c r="AH223" t="n">
        <v>135240</v>
      </c>
      <c r="AI223" t="n">
        <v>0</v>
      </c>
    </row>
    <row r="224">
      <c r="A224" t="inlineStr">
        <is>
          <t>1월</t>
        </is>
      </c>
      <c r="B224" t="inlineStr">
        <is>
          <t>2주차</t>
        </is>
      </c>
      <c r="C224" t="inlineStr">
        <is>
          <t>IM</t>
        </is>
      </c>
      <c r="D224" s="28" t="n">
        <v>46030</v>
      </c>
      <c r="E224" t="inlineStr">
        <is>
          <t>IM캐피탈</t>
        </is>
      </c>
      <c r="F224" t="inlineStr">
        <is>
          <t>양창혁</t>
        </is>
      </c>
      <c r="G224" t="inlineStr">
        <is>
          <t>010-4691-9202</t>
        </is>
      </c>
      <c r="H224" t="inlineStr">
        <is>
          <t>43오3509</t>
        </is>
      </c>
      <c r="I224" t="n">
        <v>65800000</v>
      </c>
      <c r="J224" t="n">
        <v>0.053</v>
      </c>
      <c r="K224" t="n">
        <v>0.55</v>
      </c>
      <c r="L224" t="n">
        <v>0.13</v>
      </c>
      <c r="M224" t="n">
        <v>0.42</v>
      </c>
      <c r="P224" t="inlineStr">
        <is>
          <t>황채이</t>
        </is>
      </c>
      <c r="Q224" t="inlineStr">
        <is>
          <t>홈서비스 72개월</t>
        </is>
      </c>
      <c r="Z224" t="n">
        <v>0</v>
      </c>
      <c r="AB224" t="inlineStr">
        <is>
          <t>홈서비스</t>
        </is>
      </c>
      <c r="AC224" t="n">
        <v>361900</v>
      </c>
      <c r="AD224" t="n">
        <v>85540</v>
      </c>
      <c r="AE224" t="n">
        <v>276360</v>
      </c>
      <c r="AF224" t="n">
        <v>329000</v>
      </c>
      <c r="AG224" t="n">
        <v>85540</v>
      </c>
      <c r="AH224" t="n">
        <v>243460</v>
      </c>
    </row>
    <row r="225">
      <c r="A225" t="inlineStr">
        <is>
          <t>1월</t>
        </is>
      </c>
      <c r="B225" t="inlineStr">
        <is>
          <t>2주차</t>
        </is>
      </c>
      <c r="C225" t="inlineStr">
        <is>
          <t>EP</t>
        </is>
      </c>
      <c r="D225" s="28" t="n">
        <v>46030</v>
      </c>
      <c r="E225" t="inlineStr">
        <is>
          <t>현대EP_fast</t>
        </is>
      </c>
      <c r="F225" t="inlineStr">
        <is>
          <t>심다솔</t>
        </is>
      </c>
      <c r="G225" t="inlineStr">
        <is>
          <t>010-9665-3014</t>
        </is>
      </c>
      <c r="H225" t="inlineStr">
        <is>
          <t>61수6288</t>
        </is>
      </c>
      <c r="I225" t="n">
        <v>20000000</v>
      </c>
      <c r="J225" t="n">
        <v>0.06900000000000001</v>
      </c>
      <c r="K225" t="n">
        <v>1.76</v>
      </c>
      <c r="L225" t="n">
        <v>0.13</v>
      </c>
      <c r="M225" t="n">
        <v>1.63</v>
      </c>
      <c r="P225" t="inlineStr">
        <is>
          <t>정광호</t>
        </is>
      </c>
      <c r="Q225" t="inlineStr">
        <is>
          <t>홈서비스 60개월</t>
        </is>
      </c>
      <c r="Z225" t="n">
        <v>0</v>
      </c>
      <c r="AB225" t="inlineStr">
        <is>
          <t>홈서비스</t>
        </is>
      </c>
      <c r="AC225" t="n">
        <v>352000</v>
      </c>
      <c r="AD225" t="n">
        <v>26000</v>
      </c>
      <c r="AE225" t="n">
        <v>326000</v>
      </c>
      <c r="AF225" t="n">
        <v>320000</v>
      </c>
      <c r="AG225" t="n">
        <v>26000</v>
      </c>
      <c r="AH225" t="n">
        <v>294000</v>
      </c>
    </row>
    <row r="226">
      <c r="A226" t="inlineStr">
        <is>
          <t>1월</t>
        </is>
      </c>
      <c r="B226" t="inlineStr">
        <is>
          <t>2주차</t>
        </is>
      </c>
      <c r="C226" t="inlineStr">
        <is>
          <t>EP</t>
        </is>
      </c>
      <c r="D226" s="28" t="n">
        <v>46030</v>
      </c>
      <c r="E226" t="inlineStr">
        <is>
          <t>현대EP_fast</t>
        </is>
      </c>
      <c r="F226" t="inlineStr">
        <is>
          <t>이승복</t>
        </is>
      </c>
      <c r="G226" t="inlineStr">
        <is>
          <t>010-6715-4300</t>
        </is>
      </c>
      <c r="H226" t="inlineStr">
        <is>
          <t>03소8373</t>
        </is>
      </c>
      <c r="I226" t="n">
        <v>7000000</v>
      </c>
      <c r="J226" t="n">
        <v>0.06900000000000001</v>
      </c>
      <c r="K226" t="n">
        <v>1.76</v>
      </c>
      <c r="L226" t="n">
        <v>0.13</v>
      </c>
      <c r="M226" t="n">
        <v>1.63</v>
      </c>
      <c r="P226" t="inlineStr">
        <is>
          <t>정세빈</t>
        </is>
      </c>
      <c r="Q226" t="inlineStr">
        <is>
          <t>홈서비스 36개월</t>
        </is>
      </c>
      <c r="Z226" t="n">
        <v>0</v>
      </c>
      <c r="AB226" t="inlineStr">
        <is>
          <t>홈서비스</t>
        </is>
      </c>
      <c r="AC226" t="n">
        <v>123200</v>
      </c>
      <c r="AD226" t="n">
        <v>9100</v>
      </c>
      <c r="AE226" t="n">
        <v>114100</v>
      </c>
      <c r="AF226" t="n">
        <v>112000</v>
      </c>
      <c r="AG226" t="n">
        <v>9100</v>
      </c>
      <c r="AH226" t="n">
        <v>102900</v>
      </c>
      <c r="AI226" t="n">
        <v>0</v>
      </c>
    </row>
    <row r="227">
      <c r="A227" t="inlineStr">
        <is>
          <t>1월</t>
        </is>
      </c>
      <c r="B227" t="inlineStr">
        <is>
          <t>2주차</t>
        </is>
      </c>
      <c r="C227" t="inlineStr">
        <is>
          <t>EP</t>
        </is>
      </c>
      <c r="D227" s="28" t="n">
        <v>46030</v>
      </c>
      <c r="E227" t="inlineStr">
        <is>
          <t>현대EP_fast</t>
        </is>
      </c>
      <c r="F227" t="inlineStr">
        <is>
          <t>송진호</t>
        </is>
      </c>
      <c r="G227" t="inlineStr">
        <is>
          <t>010-8905-7039</t>
        </is>
      </c>
      <c r="H227" t="inlineStr">
        <is>
          <t>29보0236</t>
        </is>
      </c>
      <c r="I227" t="n">
        <v>3000000</v>
      </c>
      <c r="J227" t="n">
        <v>0.067</v>
      </c>
      <c r="K227" t="n">
        <v>1.76</v>
      </c>
      <c r="L227" t="n">
        <v>0.13</v>
      </c>
      <c r="M227" t="n">
        <v>1.63</v>
      </c>
      <c r="P227" t="inlineStr">
        <is>
          <t>최형주</t>
        </is>
      </c>
      <c r="Q227" t="inlineStr">
        <is>
          <t>홈서비스 36개월</t>
        </is>
      </c>
      <c r="Z227" t="n">
        <v>0</v>
      </c>
      <c r="AB227" t="inlineStr">
        <is>
          <t>홈서비스</t>
        </is>
      </c>
      <c r="AC227" t="n">
        <v>52800</v>
      </c>
      <c r="AD227" t="n">
        <v>3900</v>
      </c>
      <c r="AE227" t="n">
        <v>48900</v>
      </c>
      <c r="AF227" t="n">
        <v>48000</v>
      </c>
      <c r="AG227" t="n">
        <v>3900</v>
      </c>
      <c r="AH227" t="n">
        <v>44100</v>
      </c>
      <c r="AI227" t="n">
        <v>0</v>
      </c>
    </row>
    <row r="228">
      <c r="A228" t="inlineStr">
        <is>
          <t>1월</t>
        </is>
      </c>
      <c r="B228" t="inlineStr">
        <is>
          <t>2주차</t>
        </is>
      </c>
      <c r="C228" t="inlineStr">
        <is>
          <t>EP</t>
        </is>
      </c>
      <c r="D228" s="28" t="n">
        <v>46030</v>
      </c>
      <c r="E228" t="inlineStr">
        <is>
          <t>현대EP</t>
        </is>
      </c>
      <c r="F228" t="inlineStr">
        <is>
          <t>박성수</t>
        </is>
      </c>
      <c r="G228" t="inlineStr">
        <is>
          <t>010-4536-9162</t>
        </is>
      </c>
      <c r="H228" t="inlineStr">
        <is>
          <t>16오7776</t>
        </is>
      </c>
      <c r="I228" t="n">
        <v>10600000</v>
      </c>
      <c r="J228" t="n">
        <v>0.057</v>
      </c>
      <c r="K228" t="n">
        <v>1.76</v>
      </c>
      <c r="L228" t="n">
        <v>0.13</v>
      </c>
      <c r="M228" t="n">
        <v>1.63</v>
      </c>
      <c r="P228" t="inlineStr">
        <is>
          <t>황채이</t>
        </is>
      </c>
      <c r="Q228" t="inlineStr">
        <is>
          <t>홈서비스 60개월</t>
        </is>
      </c>
      <c r="Z228" t="n">
        <v>0</v>
      </c>
      <c r="AB228" t="inlineStr">
        <is>
          <t>홈서비스</t>
        </is>
      </c>
      <c r="AC228" t="n">
        <v>186560</v>
      </c>
      <c r="AD228" t="n">
        <v>13780</v>
      </c>
      <c r="AE228" t="n">
        <v>172780</v>
      </c>
      <c r="AF228" t="n">
        <v>169600</v>
      </c>
      <c r="AG228" t="n">
        <v>13780</v>
      </c>
      <c r="AH228" t="n">
        <v>155820</v>
      </c>
    </row>
    <row r="229">
      <c r="A229" t="inlineStr">
        <is>
          <t>1월</t>
        </is>
      </c>
      <c r="B229" t="inlineStr">
        <is>
          <t>2주차</t>
        </is>
      </c>
      <c r="C229" t="inlineStr">
        <is>
          <t>IM</t>
        </is>
      </c>
      <c r="D229" s="28" t="n">
        <v>46030</v>
      </c>
      <c r="E229" t="inlineStr">
        <is>
          <t>IM캐피탈</t>
        </is>
      </c>
      <c r="F229" t="inlineStr">
        <is>
          <t>이은혜</t>
        </is>
      </c>
      <c r="G229" t="inlineStr">
        <is>
          <t>00-2944-7121</t>
        </is>
      </c>
      <c r="H229" t="inlineStr">
        <is>
          <t>13부0306</t>
        </is>
      </c>
      <c r="I229" t="n">
        <v>7300000</v>
      </c>
      <c r="J229" t="n">
        <v>0.053</v>
      </c>
      <c r="K229" t="n">
        <v>0.55</v>
      </c>
      <c r="L229" t="n">
        <v>0.13</v>
      </c>
      <c r="M229" t="n">
        <v>0.42</v>
      </c>
      <c r="P229" t="inlineStr">
        <is>
          <t>최혁</t>
        </is>
      </c>
      <c r="Q229" t="inlineStr">
        <is>
          <t>홈서비스36개월</t>
        </is>
      </c>
      <c r="Z229" t="n">
        <v>0</v>
      </c>
      <c r="AB229" t="inlineStr">
        <is>
          <t>홈서비스</t>
        </is>
      </c>
      <c r="AC229" t="n">
        <v>40150</v>
      </c>
      <c r="AD229" t="n">
        <v>9490</v>
      </c>
      <c r="AE229" t="n">
        <v>30660</v>
      </c>
      <c r="AF229" t="n">
        <v>36500</v>
      </c>
      <c r="AG229" t="n">
        <v>9490</v>
      </c>
      <c r="AH229" t="n">
        <v>27010</v>
      </c>
      <c r="AI229" t="n">
        <v>0</v>
      </c>
    </row>
    <row r="230">
      <c r="A230" t="inlineStr">
        <is>
          <t>1월</t>
        </is>
      </c>
      <c r="B230" t="inlineStr">
        <is>
          <t>2주차</t>
        </is>
      </c>
      <c r="C230" t="inlineStr">
        <is>
          <t>EP</t>
        </is>
      </c>
      <c r="D230" s="28" t="n">
        <v>46030</v>
      </c>
      <c r="E230" t="inlineStr">
        <is>
          <t>현대EP_fast</t>
        </is>
      </c>
      <c r="F230" t="inlineStr">
        <is>
          <t>정민규</t>
        </is>
      </c>
      <c r="G230" t="inlineStr">
        <is>
          <t>010-7448-5539</t>
        </is>
      </c>
      <c r="H230" t="inlineStr">
        <is>
          <t>338더8837</t>
        </is>
      </c>
      <c r="I230" t="n">
        <v>10000000</v>
      </c>
      <c r="J230" t="n">
        <v>0.073</v>
      </c>
      <c r="K230" t="n">
        <v>1.76</v>
      </c>
      <c r="L230" t="n">
        <v>0.13</v>
      </c>
      <c r="M230" t="n">
        <v>1.63</v>
      </c>
      <c r="P230" t="inlineStr">
        <is>
          <t>정세빈</t>
        </is>
      </c>
      <c r="Q230" t="inlineStr">
        <is>
          <t>홈서비스 60개월</t>
        </is>
      </c>
      <c r="Z230" t="n">
        <v>0</v>
      </c>
      <c r="AB230" t="inlineStr">
        <is>
          <t>홈서비스</t>
        </is>
      </c>
      <c r="AC230" t="n">
        <v>176000</v>
      </c>
      <c r="AD230" t="n">
        <v>13000</v>
      </c>
      <c r="AE230" t="n">
        <v>163000</v>
      </c>
      <c r="AF230" t="n">
        <v>160000</v>
      </c>
      <c r="AG230" t="n">
        <v>13000</v>
      </c>
      <c r="AH230" t="n">
        <v>147000</v>
      </c>
      <c r="AI230" t="n">
        <v>0</v>
      </c>
    </row>
    <row r="231">
      <c r="A231" t="inlineStr">
        <is>
          <t>1월</t>
        </is>
      </c>
      <c r="B231" t="inlineStr">
        <is>
          <t>2주차</t>
        </is>
      </c>
      <c r="C231" t="inlineStr">
        <is>
          <t>EP</t>
        </is>
      </c>
      <c r="D231" s="28" t="n">
        <v>46030</v>
      </c>
      <c r="E231" t="inlineStr">
        <is>
          <t>현대EP</t>
        </is>
      </c>
      <c r="F231" t="inlineStr">
        <is>
          <t>정재한</t>
        </is>
      </c>
      <c r="G231" t="inlineStr">
        <is>
          <t>010-9296-2999</t>
        </is>
      </c>
      <c r="H231" t="inlineStr">
        <is>
          <t>370부9459</t>
        </is>
      </c>
      <c r="I231" t="n">
        <v>20900000</v>
      </c>
      <c r="J231" t="n">
        <v>0.081</v>
      </c>
      <c r="K231" t="n">
        <v>1.76</v>
      </c>
      <c r="L231" t="n">
        <v>0.13</v>
      </c>
      <c r="M231" t="n">
        <v>1.63</v>
      </c>
      <c r="P231" t="inlineStr">
        <is>
          <t>황채이</t>
        </is>
      </c>
      <c r="Q231" t="inlineStr">
        <is>
          <t>홈서비스 60개월</t>
        </is>
      </c>
      <c r="Z231" t="n">
        <v>0</v>
      </c>
      <c r="AB231" t="inlineStr">
        <is>
          <t>홈서비스</t>
        </is>
      </c>
      <c r="AC231" t="n">
        <v>367840</v>
      </c>
      <c r="AD231" t="n">
        <v>27170</v>
      </c>
      <c r="AE231" t="n">
        <v>340670</v>
      </c>
      <c r="AF231" t="n">
        <v>334400</v>
      </c>
      <c r="AG231" t="n">
        <v>27170</v>
      </c>
      <c r="AH231" t="n">
        <v>307230</v>
      </c>
      <c r="AI231" t="n">
        <v>0</v>
      </c>
    </row>
    <row r="232">
      <c r="A232" t="inlineStr">
        <is>
          <t>1월</t>
        </is>
      </c>
      <c r="B232" t="inlineStr">
        <is>
          <t>2주차</t>
        </is>
      </c>
      <c r="C232" t="inlineStr">
        <is>
          <t>EP</t>
        </is>
      </c>
      <c r="D232" s="28" t="n">
        <v>46030</v>
      </c>
      <c r="E232" t="inlineStr">
        <is>
          <t>현대EP</t>
        </is>
      </c>
      <c r="F232" t="inlineStr">
        <is>
          <t>진규태</t>
        </is>
      </c>
      <c r="G232" t="inlineStr">
        <is>
          <t>010-2666-3939</t>
        </is>
      </c>
      <c r="H232" t="inlineStr">
        <is>
          <t>57구2427</t>
        </is>
      </c>
      <c r="I232" t="n">
        <v>19400000</v>
      </c>
      <c r="J232" t="n">
        <v>0.067</v>
      </c>
      <c r="K232" t="n">
        <v>1.76</v>
      </c>
      <c r="L232" t="n">
        <v>0.13</v>
      </c>
      <c r="M232" t="n">
        <v>1.63</v>
      </c>
      <c r="P232" t="inlineStr">
        <is>
          <t>황채이</t>
        </is>
      </c>
      <c r="Q232" t="inlineStr">
        <is>
          <t>홈서비스 60개월</t>
        </is>
      </c>
      <c r="Z232" t="n">
        <v>0</v>
      </c>
      <c r="AB232" t="inlineStr">
        <is>
          <t>홈서비스</t>
        </is>
      </c>
      <c r="AC232" t="n">
        <v>341440</v>
      </c>
      <c r="AD232" t="n">
        <v>25220</v>
      </c>
      <c r="AE232" t="n">
        <v>316220</v>
      </c>
      <c r="AF232" t="n">
        <v>310400</v>
      </c>
      <c r="AG232" t="n">
        <v>25220</v>
      </c>
      <c r="AH232" t="n">
        <v>285180</v>
      </c>
    </row>
    <row r="233">
      <c r="A233" t="inlineStr">
        <is>
          <t>1월</t>
        </is>
      </c>
      <c r="B233" t="inlineStr">
        <is>
          <t>2주차</t>
        </is>
      </c>
      <c r="C233" t="inlineStr">
        <is>
          <t>EP</t>
        </is>
      </c>
      <c r="D233" s="28" t="n">
        <v>46030</v>
      </c>
      <c r="E233" t="inlineStr">
        <is>
          <t>현대EP_fast</t>
        </is>
      </c>
      <c r="F233" t="inlineStr">
        <is>
          <t>정용식</t>
        </is>
      </c>
      <c r="G233" t="inlineStr">
        <is>
          <t>010-9231-0770</t>
        </is>
      </c>
      <c r="H233" t="inlineStr">
        <is>
          <t>200루8390</t>
        </is>
      </c>
      <c r="I233" t="n">
        <v>54900000</v>
      </c>
      <c r="J233" t="n">
        <v>0.099</v>
      </c>
      <c r="K233" t="n">
        <v>1.76</v>
      </c>
      <c r="L233" t="n">
        <v>0.13</v>
      </c>
      <c r="M233" t="n">
        <v>1.63</v>
      </c>
      <c r="P233" t="inlineStr">
        <is>
          <t>정광호</t>
        </is>
      </c>
      <c r="Q233" t="inlineStr">
        <is>
          <t>홈서비스 48개월</t>
        </is>
      </c>
      <c r="Z233" t="n">
        <v>0</v>
      </c>
      <c r="AB233" t="inlineStr">
        <is>
          <t>홈서비스</t>
        </is>
      </c>
      <c r="AC233" t="n">
        <v>966240</v>
      </c>
      <c r="AD233" t="n">
        <v>71370</v>
      </c>
      <c r="AE233" t="n">
        <v>894870</v>
      </c>
      <c r="AF233" t="n">
        <v>878400</v>
      </c>
      <c r="AG233" t="n">
        <v>71370</v>
      </c>
      <c r="AH233" t="n">
        <v>807030</v>
      </c>
      <c r="AI233" t="n">
        <v>0</v>
      </c>
    </row>
    <row r="234">
      <c r="A234" t="inlineStr">
        <is>
          <t>1월</t>
        </is>
      </c>
      <c r="B234" t="inlineStr">
        <is>
          <t>2주차</t>
        </is>
      </c>
      <c r="C234" t="inlineStr">
        <is>
          <t>IM</t>
        </is>
      </c>
      <c r="D234" s="28" t="n">
        <v>46029</v>
      </c>
      <c r="E234" t="inlineStr">
        <is>
          <t>IM캐피탈</t>
        </is>
      </c>
      <c r="F234" t="inlineStr">
        <is>
          <t>박현우</t>
        </is>
      </c>
      <c r="G234" t="inlineStr">
        <is>
          <t>010-9462-4687</t>
        </is>
      </c>
      <c r="H234" t="inlineStr">
        <is>
          <t>85서5547</t>
        </is>
      </c>
      <c r="I234" t="n">
        <v>10800000</v>
      </c>
      <c r="J234" t="n">
        <v>0.049</v>
      </c>
      <c r="K234" t="n">
        <v>0.55</v>
      </c>
      <c r="L234" t="n">
        <v>0.4</v>
      </c>
      <c r="M234" t="n">
        <v>0.15</v>
      </c>
      <c r="P234" t="inlineStr">
        <is>
          <t>박현민</t>
        </is>
      </c>
      <c r="Z234" t="n">
        <v>0</v>
      </c>
      <c r="AB234" t="inlineStr">
        <is>
          <t>엔카</t>
        </is>
      </c>
      <c r="AC234" t="n">
        <v>59400</v>
      </c>
      <c r="AD234" t="n">
        <v>43200</v>
      </c>
      <c r="AE234" t="n">
        <v>16200</v>
      </c>
      <c r="AF234" t="n">
        <v>54000</v>
      </c>
      <c r="AG234" t="n">
        <v>43200</v>
      </c>
      <c r="AH234" t="n">
        <v>10800</v>
      </c>
    </row>
    <row r="235">
      <c r="A235" t="inlineStr">
        <is>
          <t>1월</t>
        </is>
      </c>
      <c r="B235" t="inlineStr">
        <is>
          <t>2주차</t>
        </is>
      </c>
      <c r="C235" t="inlineStr">
        <is>
          <t>IM</t>
        </is>
      </c>
      <c r="D235" s="28" t="n">
        <v>46030</v>
      </c>
      <c r="E235" t="inlineStr">
        <is>
          <t>IM캐피탈</t>
        </is>
      </c>
      <c r="F235" t="inlineStr">
        <is>
          <t>서정훈</t>
        </is>
      </c>
      <c r="G235" t="inlineStr">
        <is>
          <t>010-6309-8731</t>
        </is>
      </c>
      <c r="H235" t="inlineStr">
        <is>
          <t>204주9316</t>
        </is>
      </c>
      <c r="I235" t="n">
        <v>47800000</v>
      </c>
      <c r="J235" t="n">
        <v>0.053</v>
      </c>
      <c r="K235" t="n">
        <v>0.55</v>
      </c>
      <c r="L235" t="n">
        <v>0.13</v>
      </c>
      <c r="M235" t="n">
        <v>0.42</v>
      </c>
      <c r="P235" t="inlineStr">
        <is>
          <t>김나윤</t>
        </is>
      </c>
      <c r="Q235" t="inlineStr">
        <is>
          <t>홈서비스72개월</t>
        </is>
      </c>
      <c r="Z235" t="n">
        <v>0</v>
      </c>
      <c r="AB235" t="inlineStr">
        <is>
          <t>홈서비스</t>
        </is>
      </c>
      <c r="AC235" t="n">
        <v>262900</v>
      </c>
      <c r="AD235" t="n">
        <v>62140</v>
      </c>
      <c r="AE235" t="n">
        <v>200760</v>
      </c>
      <c r="AF235" t="n">
        <v>239000</v>
      </c>
      <c r="AG235" t="n">
        <v>62140</v>
      </c>
      <c r="AH235" t="n">
        <v>176860</v>
      </c>
      <c r="AI235" t="n">
        <v>0</v>
      </c>
    </row>
    <row r="236">
      <c r="A236" t="inlineStr">
        <is>
          <t>1월</t>
        </is>
      </c>
      <c r="B236" t="inlineStr">
        <is>
          <t>2주차</t>
        </is>
      </c>
      <c r="C236" t="inlineStr">
        <is>
          <t>IM</t>
        </is>
      </c>
      <c r="D236" s="28" t="n">
        <v>46028</v>
      </c>
      <c r="E236" t="inlineStr">
        <is>
          <t>IM캐피탈</t>
        </is>
      </c>
      <c r="F236" t="inlineStr">
        <is>
          <t>장재준</t>
        </is>
      </c>
      <c r="G236" t="inlineStr">
        <is>
          <t>010-5025-5977</t>
        </is>
      </c>
      <c r="H236" t="inlineStr">
        <is>
          <t>129서5230</t>
        </is>
      </c>
      <c r="I236" t="n">
        <v>30000000</v>
      </c>
      <c r="J236" t="n">
        <v>0.053</v>
      </c>
      <c r="K236" t="n">
        <v>0.55</v>
      </c>
      <c r="L236" t="n">
        <v>0.13</v>
      </c>
      <c r="M236" t="n">
        <v>0.42</v>
      </c>
      <c r="P236" t="inlineStr">
        <is>
          <t>임대경</t>
        </is>
      </c>
      <c r="Q236" t="inlineStr">
        <is>
          <t>홈서비스 60개월</t>
        </is>
      </c>
      <c r="Z236" t="n">
        <v>0</v>
      </c>
      <c r="AB236" t="inlineStr">
        <is>
          <t>홈서비스</t>
        </is>
      </c>
      <c r="AC236" t="n">
        <v>165000</v>
      </c>
      <c r="AD236" t="n">
        <v>39000</v>
      </c>
      <c r="AE236" t="n">
        <v>126000</v>
      </c>
      <c r="AF236" t="n">
        <v>150000</v>
      </c>
      <c r="AG236" t="n">
        <v>39000</v>
      </c>
      <c r="AH236" t="n">
        <v>111000</v>
      </c>
    </row>
    <row r="237">
      <c r="A237" t="inlineStr">
        <is>
          <t>1월</t>
        </is>
      </c>
      <c r="B237" t="inlineStr">
        <is>
          <t>2주차</t>
        </is>
      </c>
      <c r="C237" t="inlineStr">
        <is>
          <t>IM</t>
        </is>
      </c>
      <c r="D237" s="28" t="n">
        <v>46030</v>
      </c>
      <c r="E237" t="inlineStr">
        <is>
          <t>IM캐피탈</t>
        </is>
      </c>
      <c r="F237" t="inlineStr">
        <is>
          <t>정창선</t>
        </is>
      </c>
      <c r="G237" t="inlineStr">
        <is>
          <t>010-3012-3188</t>
        </is>
      </c>
      <c r="H237" t="inlineStr">
        <is>
          <t>172수5017</t>
        </is>
      </c>
      <c r="I237" t="n">
        <v>30000000</v>
      </c>
      <c r="J237" t="n">
        <v>0.056</v>
      </c>
      <c r="K237" t="n">
        <v>0.55</v>
      </c>
      <c r="L237" t="n">
        <v>0.4</v>
      </c>
      <c r="M237" t="n">
        <v>0.15</v>
      </c>
      <c r="P237" t="inlineStr">
        <is>
          <t>정하은</t>
        </is>
      </c>
      <c r="Z237" t="n">
        <v>0</v>
      </c>
      <c r="AB237" t="inlineStr">
        <is>
          <t>엔카</t>
        </is>
      </c>
      <c r="AC237" t="n">
        <v>165000</v>
      </c>
      <c r="AD237" t="n">
        <v>120000</v>
      </c>
      <c r="AE237" t="n">
        <v>45000</v>
      </c>
      <c r="AF237" t="n">
        <v>150000</v>
      </c>
      <c r="AG237" t="n">
        <v>120000</v>
      </c>
      <c r="AH237" t="n">
        <v>30000</v>
      </c>
    </row>
    <row r="238">
      <c r="A238" t="inlineStr">
        <is>
          <t>1월</t>
        </is>
      </c>
      <c r="B238" t="inlineStr">
        <is>
          <t>2주차</t>
        </is>
      </c>
      <c r="C238" t="inlineStr">
        <is>
          <t>EP</t>
        </is>
      </c>
      <c r="D238" s="28" t="n">
        <v>46030</v>
      </c>
      <c r="E238" t="inlineStr">
        <is>
          <t>제이비EP</t>
        </is>
      </c>
      <c r="F238" t="inlineStr">
        <is>
          <t>배원진</t>
        </is>
      </c>
      <c r="G238" t="inlineStr">
        <is>
          <t>010-6436-2100</t>
        </is>
      </c>
      <c r="H238" t="inlineStr">
        <is>
          <t>146버7948</t>
        </is>
      </c>
      <c r="I238" t="n">
        <v>28700000</v>
      </c>
      <c r="J238" t="n">
        <v>0.114</v>
      </c>
      <c r="K238" t="n">
        <v>1.65</v>
      </c>
      <c r="L238" t="n">
        <v>0.4</v>
      </c>
      <c r="M238" t="n">
        <v>1.25</v>
      </c>
      <c r="P238" t="inlineStr">
        <is>
          <t>박소현</t>
        </is>
      </c>
      <c r="Q238" t="inlineStr">
        <is>
          <t>부대비용추가진행</t>
        </is>
      </c>
      <c r="Z238" t="n">
        <v>0</v>
      </c>
      <c r="AB238" t="inlineStr">
        <is>
          <t>엔카</t>
        </is>
      </c>
      <c r="AC238" t="n">
        <v>473550</v>
      </c>
      <c r="AD238" t="n">
        <v>114800</v>
      </c>
      <c r="AE238" t="n">
        <v>358750</v>
      </c>
      <c r="AF238" t="n">
        <v>430500</v>
      </c>
      <c r="AG238" t="n">
        <v>114800</v>
      </c>
      <c r="AH238" t="n">
        <v>315700</v>
      </c>
    </row>
    <row r="239">
      <c r="A239" t="inlineStr">
        <is>
          <t>1월</t>
        </is>
      </c>
      <c r="B239" t="inlineStr">
        <is>
          <t>2주차</t>
        </is>
      </c>
      <c r="C239" t="inlineStr">
        <is>
          <t>EP</t>
        </is>
      </c>
      <c r="D239" s="28" t="n">
        <v>46030</v>
      </c>
      <c r="E239" t="inlineStr">
        <is>
          <t>제이비EP</t>
        </is>
      </c>
      <c r="F239" t="inlineStr">
        <is>
          <t>김서원</t>
        </is>
      </c>
      <c r="G239" t="inlineStr">
        <is>
          <t>010-810320-1</t>
        </is>
      </c>
      <c r="H239" t="inlineStr">
        <is>
          <t>50수7783</t>
        </is>
      </c>
      <c r="I239" t="n">
        <v>22000000</v>
      </c>
      <c r="J239" t="n">
        <v>0.094</v>
      </c>
      <c r="K239" t="n">
        <v>1.65</v>
      </c>
      <c r="L239" t="n">
        <v>0.4</v>
      </c>
      <c r="M239" t="n">
        <v>1.25</v>
      </c>
      <c r="P239" t="inlineStr">
        <is>
          <t>박소현</t>
        </is>
      </c>
      <c r="Q239" t="inlineStr">
        <is>
          <t>부대비용추가진행</t>
        </is>
      </c>
      <c r="Z239" t="n">
        <v>0</v>
      </c>
      <c r="AB239" t="inlineStr">
        <is>
          <t>엔카</t>
        </is>
      </c>
      <c r="AC239" t="n">
        <v>363000</v>
      </c>
      <c r="AD239" t="n">
        <v>88000</v>
      </c>
      <c r="AE239" t="n">
        <v>275000</v>
      </c>
      <c r="AF239" t="n">
        <v>330000</v>
      </c>
      <c r="AG239" t="n">
        <v>88000</v>
      </c>
      <c r="AH239" t="n">
        <v>242000</v>
      </c>
    </row>
    <row r="240">
      <c r="A240" t="inlineStr">
        <is>
          <t>1월</t>
        </is>
      </c>
      <c r="B240" t="inlineStr">
        <is>
          <t>2주차</t>
        </is>
      </c>
      <c r="C240" t="inlineStr">
        <is>
          <t>EP</t>
        </is>
      </c>
      <c r="D240" s="28" t="n">
        <v>46030</v>
      </c>
      <c r="E240" t="inlineStr">
        <is>
          <t>현대EP</t>
        </is>
      </c>
      <c r="F240" t="inlineStr">
        <is>
          <t>강태규</t>
        </is>
      </c>
      <c r="G240" t="inlineStr">
        <is>
          <t>010-2591-3566</t>
        </is>
      </c>
      <c r="H240" t="inlineStr">
        <is>
          <t>207보9416</t>
        </is>
      </c>
      <c r="I240" t="n">
        <v>17700000</v>
      </c>
      <c r="J240" t="n">
        <v>0.08699999999999999</v>
      </c>
      <c r="K240" t="n">
        <v>1.76</v>
      </c>
      <c r="L240" t="n">
        <v>0.13</v>
      </c>
      <c r="M240" t="n">
        <v>1.63</v>
      </c>
      <c r="P240" t="inlineStr">
        <is>
          <t>정광호</t>
        </is>
      </c>
      <c r="Q240" t="inlineStr">
        <is>
          <t>홈서비스 60개월</t>
        </is>
      </c>
      <c r="Z240" t="n">
        <v>0</v>
      </c>
      <c r="AB240" t="inlineStr">
        <is>
          <t>홈서비스</t>
        </is>
      </c>
      <c r="AC240" t="n">
        <v>311520</v>
      </c>
      <c r="AD240" t="n">
        <v>23010</v>
      </c>
      <c r="AE240" t="n">
        <v>288510</v>
      </c>
      <c r="AF240" t="n">
        <v>283200</v>
      </c>
      <c r="AG240" t="n">
        <v>23010</v>
      </c>
      <c r="AH240" t="n">
        <v>260190</v>
      </c>
    </row>
    <row r="241">
      <c r="A241" t="inlineStr">
        <is>
          <t>1월</t>
        </is>
      </c>
      <c r="B241" t="inlineStr">
        <is>
          <t>2주차</t>
        </is>
      </c>
      <c r="C241" t="inlineStr">
        <is>
          <t>IM</t>
        </is>
      </c>
      <c r="D241" s="28" t="n">
        <v>46030</v>
      </c>
      <c r="E241" t="inlineStr">
        <is>
          <t>IM캐피탈</t>
        </is>
      </c>
      <c r="F241" t="inlineStr">
        <is>
          <t>우석준</t>
        </is>
      </c>
      <c r="G241" t="inlineStr">
        <is>
          <t>010-5674-4225</t>
        </is>
      </c>
      <c r="H241" t="inlineStr">
        <is>
          <t>267러7665</t>
        </is>
      </c>
      <c r="I241" t="n">
        <v>39400000</v>
      </c>
      <c r="J241" t="n">
        <v>0.053</v>
      </c>
      <c r="K241" t="n">
        <v>0.55</v>
      </c>
      <c r="L241" t="n">
        <v>0.4</v>
      </c>
      <c r="M241" t="n">
        <v>0.15</v>
      </c>
      <c r="P241" t="inlineStr">
        <is>
          <t>박현민</t>
        </is>
      </c>
      <c r="Z241" t="n">
        <v>0</v>
      </c>
      <c r="AB241" t="inlineStr">
        <is>
          <t>엔카</t>
        </is>
      </c>
      <c r="AC241" t="n">
        <v>216700</v>
      </c>
      <c r="AD241" t="n">
        <v>157600</v>
      </c>
      <c r="AE241" t="n">
        <v>59100</v>
      </c>
      <c r="AF241" t="n">
        <v>197000</v>
      </c>
      <c r="AG241" t="n">
        <v>157600</v>
      </c>
      <c r="AH241" t="n">
        <v>39400</v>
      </c>
    </row>
    <row r="242">
      <c r="A242" t="inlineStr">
        <is>
          <t>1월</t>
        </is>
      </c>
      <c r="B242" t="inlineStr">
        <is>
          <t>2주차</t>
        </is>
      </c>
      <c r="C242" t="inlineStr">
        <is>
          <t>EP</t>
        </is>
      </c>
      <c r="D242" s="28" t="n">
        <v>46030</v>
      </c>
      <c r="E242" t="inlineStr">
        <is>
          <t>현대EP</t>
        </is>
      </c>
      <c r="F242" t="inlineStr">
        <is>
          <t>김소량</t>
        </is>
      </c>
      <c r="G242" t="inlineStr">
        <is>
          <t>010-2188-8303</t>
        </is>
      </c>
      <c r="H242" t="inlineStr">
        <is>
          <t>50나0652</t>
        </is>
      </c>
      <c r="I242" t="n">
        <v>5800000</v>
      </c>
      <c r="J242" t="n">
        <v>0.08699999999999999</v>
      </c>
      <c r="K242" t="n">
        <v>1.76</v>
      </c>
      <c r="L242" t="n">
        <v>0.13</v>
      </c>
      <c r="M242" t="n">
        <v>1.63</v>
      </c>
      <c r="P242" t="inlineStr">
        <is>
          <t>정세빈</t>
        </is>
      </c>
      <c r="Q242" t="inlineStr">
        <is>
          <t>홈서비스 48개월</t>
        </is>
      </c>
      <c r="Z242" t="n">
        <v>0</v>
      </c>
      <c r="AB242" t="inlineStr">
        <is>
          <t>홈서비스</t>
        </is>
      </c>
      <c r="AC242" t="n">
        <v>102080</v>
      </c>
      <c r="AD242" t="n">
        <v>7540</v>
      </c>
      <c r="AE242" t="n">
        <v>94540</v>
      </c>
      <c r="AF242" t="n">
        <v>92800</v>
      </c>
      <c r="AG242" t="n">
        <v>7540</v>
      </c>
      <c r="AH242" t="n">
        <v>85260</v>
      </c>
    </row>
    <row r="243">
      <c r="A243" t="inlineStr">
        <is>
          <t>1월</t>
        </is>
      </c>
      <c r="B243" t="inlineStr">
        <is>
          <t>2주차</t>
        </is>
      </c>
      <c r="C243" t="inlineStr">
        <is>
          <t>EP</t>
        </is>
      </c>
      <c r="D243" s="28" t="n">
        <v>46030</v>
      </c>
      <c r="E243" t="inlineStr">
        <is>
          <t>현대EP_fast</t>
        </is>
      </c>
      <c r="F243" t="inlineStr">
        <is>
          <t>정재학</t>
        </is>
      </c>
      <c r="G243" t="inlineStr">
        <is>
          <t>010-8840-5942</t>
        </is>
      </c>
      <c r="H243" t="inlineStr">
        <is>
          <t>08누0422</t>
        </is>
      </c>
      <c r="I243" t="n">
        <v>15000000</v>
      </c>
      <c r="J243" t="n">
        <v>0.097</v>
      </c>
      <c r="K243" t="n">
        <v>1.76</v>
      </c>
      <c r="L243" t="n">
        <v>0.13</v>
      </c>
      <c r="M243" t="n">
        <v>1.63</v>
      </c>
      <c r="P243" t="inlineStr">
        <is>
          <t>김나윤</t>
        </is>
      </c>
      <c r="Q243" t="inlineStr">
        <is>
          <t>홈서비스60개월</t>
        </is>
      </c>
      <c r="Z243" t="n">
        <v>0</v>
      </c>
      <c r="AB243" t="inlineStr">
        <is>
          <t>홈서비스</t>
        </is>
      </c>
      <c r="AC243" t="n">
        <v>264000</v>
      </c>
      <c r="AD243" t="n">
        <v>19500</v>
      </c>
      <c r="AE243" t="n">
        <v>244500</v>
      </c>
      <c r="AF243" t="n">
        <v>240000</v>
      </c>
      <c r="AG243" t="n">
        <v>19500</v>
      </c>
      <c r="AH243" t="n">
        <v>220500</v>
      </c>
    </row>
    <row r="244">
      <c r="A244" t="inlineStr">
        <is>
          <t>1월</t>
        </is>
      </c>
      <c r="B244" t="inlineStr">
        <is>
          <t>2주차</t>
        </is>
      </c>
      <c r="C244" t="inlineStr">
        <is>
          <t>IM</t>
        </is>
      </c>
      <c r="D244" s="28" t="n">
        <v>46028</v>
      </c>
      <c r="E244" t="inlineStr">
        <is>
          <t>IM캐피탈</t>
        </is>
      </c>
      <c r="F244" t="inlineStr">
        <is>
          <t>채우리</t>
        </is>
      </c>
      <c r="G244" t="inlineStr">
        <is>
          <t>010-9946-0370</t>
        </is>
      </c>
      <c r="H244" t="inlineStr">
        <is>
          <t>349고6828</t>
        </is>
      </c>
      <c r="I244" t="n">
        <v>47000000</v>
      </c>
      <c r="J244" t="n">
        <v>0.039</v>
      </c>
      <c r="K244" t="n">
        <v>0.55</v>
      </c>
      <c r="L244" t="n">
        <v>0.4</v>
      </c>
      <c r="M244" t="n">
        <v>0.15</v>
      </c>
      <c r="P244" t="inlineStr">
        <is>
          <t>장진경</t>
        </is>
      </c>
      <c r="Z244" t="n">
        <v>0</v>
      </c>
      <c r="AB244" t="inlineStr">
        <is>
          <t>엔카</t>
        </is>
      </c>
      <c r="AC244" t="n">
        <v>258500</v>
      </c>
      <c r="AD244" t="n">
        <v>188000</v>
      </c>
      <c r="AE244" t="n">
        <v>70500</v>
      </c>
      <c r="AF244" t="n">
        <v>235000</v>
      </c>
      <c r="AG244" t="n">
        <v>188000</v>
      </c>
      <c r="AH244" t="n">
        <v>47000</v>
      </c>
      <c r="AI244" t="n">
        <v>0</v>
      </c>
    </row>
    <row r="245">
      <c r="A245" t="inlineStr">
        <is>
          <t>1월</t>
        </is>
      </c>
      <c r="B245" t="inlineStr">
        <is>
          <t>2주차</t>
        </is>
      </c>
      <c r="C245" t="inlineStr">
        <is>
          <t>EP</t>
        </is>
      </c>
      <c r="D245" s="28" t="n">
        <v>46031</v>
      </c>
      <c r="E245" t="inlineStr">
        <is>
          <t>현대EP_fast</t>
        </is>
      </c>
      <c r="F245" t="inlineStr">
        <is>
          <t>김현재</t>
        </is>
      </c>
      <c r="G245" t="n">
        <v>1027603001</v>
      </c>
      <c r="H245" t="inlineStr">
        <is>
          <t>19누2943</t>
        </is>
      </c>
      <c r="I245" t="n">
        <v>32000000</v>
      </c>
      <c r="J245" t="n">
        <v>0.08699999999999999</v>
      </c>
      <c r="K245" t="n">
        <v>1.76</v>
      </c>
      <c r="L245" t="n">
        <v>0.13</v>
      </c>
      <c r="M245" t="n">
        <v>1.63</v>
      </c>
      <c r="P245" t="inlineStr">
        <is>
          <t>김나윤</t>
        </is>
      </c>
      <c r="Q245" t="inlineStr">
        <is>
          <t>홈서비스60개월 /*당월철회 20260114</t>
        </is>
      </c>
      <c r="Z245" t="n">
        <v>0</v>
      </c>
      <c r="AB245" t="inlineStr">
        <is>
          <t>홈서비스</t>
        </is>
      </c>
      <c r="AC245" t="n">
        <v>563200</v>
      </c>
      <c r="AD245" t="n">
        <v>41600</v>
      </c>
      <c r="AE245" t="n">
        <v>521600</v>
      </c>
      <c r="AF245" t="n">
        <v>512000</v>
      </c>
      <c r="AG245" t="n">
        <v>41600</v>
      </c>
      <c r="AH245" t="n">
        <v>470400</v>
      </c>
      <c r="AK245" t="inlineStr">
        <is>
          <t>대출철회</t>
        </is>
      </c>
    </row>
    <row r="246">
      <c r="A246" t="inlineStr">
        <is>
          <t>1월</t>
        </is>
      </c>
      <c r="B246" t="inlineStr">
        <is>
          <t>2주차</t>
        </is>
      </c>
      <c r="C246" t="inlineStr">
        <is>
          <t>IM</t>
        </is>
      </c>
      <c r="D246" s="28" t="n">
        <v>46029</v>
      </c>
      <c r="E246" t="inlineStr">
        <is>
          <t>IM캐피탈</t>
        </is>
      </c>
      <c r="F246" t="inlineStr">
        <is>
          <t>이준호</t>
        </is>
      </c>
      <c r="G246" t="inlineStr">
        <is>
          <t>010-9782-8338</t>
        </is>
      </c>
      <c r="H246" t="inlineStr">
        <is>
          <t>59부6534</t>
        </is>
      </c>
      <c r="I246" t="n">
        <v>38000000</v>
      </c>
      <c r="J246" t="n">
        <v>0.049</v>
      </c>
      <c r="K246" t="n">
        <v>0.55</v>
      </c>
      <c r="L246" t="n">
        <v>0.4</v>
      </c>
      <c r="M246" t="n">
        <v>0.15</v>
      </c>
      <c r="P246" t="inlineStr">
        <is>
          <t>장현경</t>
        </is>
      </c>
      <c r="Z246" t="n">
        <v>0</v>
      </c>
      <c r="AB246" t="inlineStr">
        <is>
          <t>엔카</t>
        </is>
      </c>
      <c r="AC246" t="n">
        <v>209000</v>
      </c>
      <c r="AD246" t="n">
        <v>152000</v>
      </c>
      <c r="AE246" t="n">
        <v>57000</v>
      </c>
      <c r="AF246" t="n">
        <v>190000</v>
      </c>
      <c r="AG246" t="n">
        <v>152000</v>
      </c>
      <c r="AH246" t="n">
        <v>38000</v>
      </c>
      <c r="AI246" t="n">
        <v>0</v>
      </c>
    </row>
    <row r="247">
      <c r="A247" t="inlineStr">
        <is>
          <t>1월</t>
        </is>
      </c>
      <c r="B247" t="inlineStr">
        <is>
          <t>2주차</t>
        </is>
      </c>
      <c r="C247" t="inlineStr">
        <is>
          <t>OR</t>
        </is>
      </c>
      <c r="D247" s="28" t="n">
        <v>46029</v>
      </c>
      <c r="E247" t="inlineStr">
        <is>
          <t>오릭스</t>
        </is>
      </c>
      <c r="F247" t="inlineStr">
        <is>
          <t>김봉준</t>
        </is>
      </c>
      <c r="G247" t="n">
        <v>1056946147</v>
      </c>
      <c r="H247" t="inlineStr">
        <is>
          <t>158주7662</t>
        </is>
      </c>
      <c r="I247" t="n">
        <v>18400000</v>
      </c>
      <c r="J247" t="n">
        <v>0.062</v>
      </c>
      <c r="K247" t="n">
        <v>1.65</v>
      </c>
      <c r="L247" t="n">
        <v>0.13</v>
      </c>
      <c r="M247" t="n">
        <v>1.52</v>
      </c>
      <c r="P247" t="inlineStr">
        <is>
          <t>박보람</t>
        </is>
      </c>
      <c r="Q247" t="inlineStr">
        <is>
          <t>선상담 /  홈서비스 36개월 / 부대비용 추가진행</t>
        </is>
      </c>
      <c r="Z247" t="n">
        <v>0</v>
      </c>
      <c r="AB247" t="inlineStr">
        <is>
          <t>홈서비스</t>
        </is>
      </c>
      <c r="AC247" t="n">
        <v>303600</v>
      </c>
      <c r="AD247" t="n">
        <v>23920</v>
      </c>
      <c r="AE247" t="n">
        <v>279680</v>
      </c>
      <c r="AF247" t="n">
        <v>276000</v>
      </c>
      <c r="AG247" t="n">
        <v>23920</v>
      </c>
      <c r="AH247" t="n">
        <v>252080</v>
      </c>
      <c r="AI247" t="n">
        <v>0</v>
      </c>
    </row>
    <row r="248">
      <c r="A248" t="inlineStr">
        <is>
          <t>1월</t>
        </is>
      </c>
      <c r="B248" t="inlineStr">
        <is>
          <t>2주차</t>
        </is>
      </c>
      <c r="C248" t="inlineStr">
        <is>
          <t>EP</t>
        </is>
      </c>
      <c r="D248" s="28" t="n">
        <v>46030</v>
      </c>
      <c r="E248" t="inlineStr">
        <is>
          <t>현대EP_fast</t>
        </is>
      </c>
      <c r="F248" t="inlineStr">
        <is>
          <t>유호걸</t>
        </is>
      </c>
      <c r="G248" t="inlineStr">
        <is>
          <t>010-6259-1700</t>
        </is>
      </c>
      <c r="H248" t="inlineStr">
        <is>
          <t>07마3248</t>
        </is>
      </c>
      <c r="I248" t="n">
        <v>18100000</v>
      </c>
      <c r="J248" t="n">
        <v>0.137</v>
      </c>
      <c r="K248" t="n">
        <v>1.76</v>
      </c>
      <c r="L248" t="n">
        <v>0.4</v>
      </c>
      <c r="M248" t="n">
        <v>1.36</v>
      </c>
      <c r="P248" t="inlineStr">
        <is>
          <t>박보람</t>
        </is>
      </c>
      <c r="Z248" t="n">
        <v>0</v>
      </c>
      <c r="AB248" t="inlineStr">
        <is>
          <t>엔카</t>
        </is>
      </c>
      <c r="AC248" t="n">
        <v>318560</v>
      </c>
      <c r="AD248" t="n">
        <v>72400</v>
      </c>
      <c r="AE248" t="n">
        <v>246160</v>
      </c>
      <c r="AF248" t="n">
        <v>289600</v>
      </c>
      <c r="AG248" t="n">
        <v>72400</v>
      </c>
      <c r="AH248" t="n">
        <v>217200</v>
      </c>
    </row>
    <row r="249">
      <c r="A249" t="inlineStr">
        <is>
          <t>1월</t>
        </is>
      </c>
      <c r="B249" t="inlineStr">
        <is>
          <t>2주차</t>
        </is>
      </c>
      <c r="C249" t="inlineStr">
        <is>
          <t>IM</t>
        </is>
      </c>
      <c r="D249" s="28" t="n">
        <v>46030</v>
      </c>
      <c r="E249" t="inlineStr">
        <is>
          <t>IM캐피탈</t>
        </is>
      </c>
      <c r="F249" t="inlineStr">
        <is>
          <t>김재훈</t>
        </is>
      </c>
      <c r="G249" t="inlineStr">
        <is>
          <t>010-8448-3119</t>
        </is>
      </c>
      <c r="H249" t="inlineStr">
        <is>
          <t>278노1065</t>
        </is>
      </c>
      <c r="I249" t="n">
        <v>27200000</v>
      </c>
      <c r="J249" t="n">
        <v>0.08</v>
      </c>
      <c r="K249" t="n">
        <v>0.55</v>
      </c>
      <c r="L249" t="n">
        <v>0.13</v>
      </c>
      <c r="M249" t="n">
        <v>0.42</v>
      </c>
      <c r="P249" t="inlineStr">
        <is>
          <t>장현경</t>
        </is>
      </c>
      <c r="Q249" t="inlineStr">
        <is>
          <t>선상담 / 홈서비스 60개월 / 부대비용 추가진행</t>
        </is>
      </c>
      <c r="Z249" t="n">
        <v>0</v>
      </c>
      <c r="AB249" t="inlineStr">
        <is>
          <t>홈서비스</t>
        </is>
      </c>
      <c r="AC249" t="n">
        <v>149600</v>
      </c>
      <c r="AD249" t="n">
        <v>35360</v>
      </c>
      <c r="AE249" t="n">
        <v>114240</v>
      </c>
      <c r="AF249" t="n">
        <v>136000</v>
      </c>
      <c r="AG249" t="n">
        <v>35360</v>
      </c>
      <c r="AH249" t="n">
        <v>100640</v>
      </c>
    </row>
    <row r="250">
      <c r="A250" t="inlineStr">
        <is>
          <t>1월</t>
        </is>
      </c>
      <c r="B250" t="inlineStr">
        <is>
          <t>2주차</t>
        </is>
      </c>
      <c r="C250" t="inlineStr">
        <is>
          <t>IM</t>
        </is>
      </c>
      <c r="D250" s="28" t="n">
        <v>46031</v>
      </c>
      <c r="E250" t="inlineStr">
        <is>
          <t>IM캐피탈</t>
        </is>
      </c>
      <c r="F250" t="inlineStr">
        <is>
          <t>국일홍</t>
        </is>
      </c>
      <c r="G250" t="inlineStr">
        <is>
          <t>010-9438-0716</t>
        </is>
      </c>
      <c r="H250" t="inlineStr">
        <is>
          <t>395가5512</t>
        </is>
      </c>
      <c r="I250" t="n">
        <v>22800000</v>
      </c>
      <c r="J250" t="n">
        <v>0.049</v>
      </c>
      <c r="K250" t="n">
        <v>0.55</v>
      </c>
      <c r="L250" t="n">
        <v>0.13</v>
      </c>
      <c r="M250" t="n">
        <v>0.42</v>
      </c>
      <c r="P250" t="inlineStr">
        <is>
          <t>김나윤</t>
        </is>
      </c>
      <c r="Q250" t="inlineStr">
        <is>
          <t>홈서비스84개월</t>
        </is>
      </c>
      <c r="Z250" t="n">
        <v>0</v>
      </c>
      <c r="AB250" t="inlineStr">
        <is>
          <t>홈서비스</t>
        </is>
      </c>
      <c r="AC250" t="n">
        <v>125400</v>
      </c>
      <c r="AD250" t="n">
        <v>29640</v>
      </c>
      <c r="AE250" t="n">
        <v>95760</v>
      </c>
      <c r="AF250" t="n">
        <v>114000</v>
      </c>
      <c r="AG250" t="n">
        <v>29640</v>
      </c>
      <c r="AH250" t="n">
        <v>84360</v>
      </c>
    </row>
    <row r="251">
      <c r="A251" t="inlineStr">
        <is>
          <t>1월</t>
        </is>
      </c>
      <c r="B251" t="inlineStr">
        <is>
          <t>2주차</t>
        </is>
      </c>
      <c r="C251" t="inlineStr">
        <is>
          <t>IM</t>
        </is>
      </c>
      <c r="D251" s="28" t="n">
        <v>46031</v>
      </c>
      <c r="E251" t="inlineStr">
        <is>
          <t>IM캐피탈</t>
        </is>
      </c>
      <c r="F251" t="inlineStr">
        <is>
          <t>김정훈</t>
        </is>
      </c>
      <c r="G251" t="inlineStr">
        <is>
          <t>010-2426-7752</t>
        </is>
      </c>
      <c r="H251" t="inlineStr">
        <is>
          <t>03버3833</t>
        </is>
      </c>
      <c r="I251" t="n">
        <v>28500000</v>
      </c>
      <c r="J251" t="n">
        <v>0.049</v>
      </c>
      <c r="K251" t="n">
        <v>0.55</v>
      </c>
      <c r="L251" t="n">
        <v>0.13</v>
      </c>
      <c r="M251" t="n">
        <v>0.42</v>
      </c>
      <c r="P251" t="inlineStr">
        <is>
          <t>황채이</t>
        </is>
      </c>
      <c r="Q251" t="inlineStr">
        <is>
          <t>홈서비스 60개월</t>
        </is>
      </c>
      <c r="Z251" t="n">
        <v>0</v>
      </c>
      <c r="AB251" t="inlineStr">
        <is>
          <t>홈서비스</t>
        </is>
      </c>
      <c r="AC251" t="n">
        <v>156750</v>
      </c>
      <c r="AD251" t="n">
        <v>37050</v>
      </c>
      <c r="AE251" t="n">
        <v>119700</v>
      </c>
      <c r="AF251" t="n">
        <v>142500</v>
      </c>
      <c r="AG251" t="n">
        <v>37050</v>
      </c>
      <c r="AH251" t="n">
        <v>105450</v>
      </c>
    </row>
    <row r="252">
      <c r="A252" t="inlineStr">
        <is>
          <t>1월</t>
        </is>
      </c>
      <c r="B252" t="inlineStr">
        <is>
          <t>2주차</t>
        </is>
      </c>
      <c r="C252" t="inlineStr">
        <is>
          <t>IM</t>
        </is>
      </c>
      <c r="D252" s="28" t="n">
        <v>46030</v>
      </c>
      <c r="E252" t="inlineStr">
        <is>
          <t>IM캐피탈</t>
        </is>
      </c>
      <c r="F252" t="inlineStr">
        <is>
          <t>이두형</t>
        </is>
      </c>
      <c r="G252" t="inlineStr">
        <is>
          <t>010-6472-6118</t>
        </is>
      </c>
      <c r="H252" t="inlineStr">
        <is>
          <t>363보6874</t>
        </is>
      </c>
      <c r="I252" t="n">
        <v>25500000</v>
      </c>
      <c r="J252" t="n">
        <v>0.06</v>
      </c>
      <c r="K252" t="n">
        <v>0.55</v>
      </c>
      <c r="L252" t="n">
        <v>0.13</v>
      </c>
      <c r="M252" t="n">
        <v>0.42</v>
      </c>
      <c r="P252" t="inlineStr">
        <is>
          <t>임대경</t>
        </is>
      </c>
      <c r="Q252" t="inlineStr">
        <is>
          <t>홈서비스 72개월</t>
        </is>
      </c>
      <c r="Z252" t="n">
        <v>0</v>
      </c>
      <c r="AB252" t="inlineStr">
        <is>
          <t>홈서비스</t>
        </is>
      </c>
      <c r="AC252" t="n">
        <v>140250</v>
      </c>
      <c r="AD252" t="n">
        <v>33150</v>
      </c>
      <c r="AE252" t="n">
        <v>107100</v>
      </c>
      <c r="AF252" t="n">
        <v>127500</v>
      </c>
      <c r="AG252" t="n">
        <v>33150</v>
      </c>
      <c r="AH252" t="n">
        <v>94350</v>
      </c>
      <c r="AI252" t="n">
        <v>1</v>
      </c>
    </row>
    <row r="253">
      <c r="A253" t="inlineStr">
        <is>
          <t>1월</t>
        </is>
      </c>
      <c r="B253" t="inlineStr">
        <is>
          <t>2주차</t>
        </is>
      </c>
      <c r="C253" t="inlineStr">
        <is>
          <t>IM</t>
        </is>
      </c>
      <c r="D253" s="28" t="n">
        <v>46031</v>
      </c>
      <c r="E253" t="inlineStr">
        <is>
          <t>IM캐피탈</t>
        </is>
      </c>
      <c r="F253" t="inlineStr">
        <is>
          <t>지종현</t>
        </is>
      </c>
      <c r="G253" t="inlineStr">
        <is>
          <t>010-2207-3044</t>
        </is>
      </c>
      <c r="H253" t="inlineStr">
        <is>
          <t>24버9788</t>
        </is>
      </c>
      <c r="I253" t="n">
        <v>38300000</v>
      </c>
      <c r="J253" t="n">
        <v>0.056</v>
      </c>
      <c r="K253" t="n">
        <v>0.55</v>
      </c>
      <c r="L253" t="n">
        <v>0.4</v>
      </c>
      <c r="M253" t="n">
        <v>0.15</v>
      </c>
      <c r="P253" t="inlineStr">
        <is>
          <t>장현경</t>
        </is>
      </c>
      <c r="Q253" t="inlineStr">
        <is>
          <t>부대비용 추가진행/ *철회 20260112</t>
        </is>
      </c>
      <c r="Z253" t="n">
        <v>0</v>
      </c>
      <c r="AB253" t="inlineStr">
        <is>
          <t>엔카</t>
        </is>
      </c>
      <c r="AC253" t="n">
        <v>210650</v>
      </c>
      <c r="AD253" t="n">
        <v>153200</v>
      </c>
      <c r="AE253" t="n">
        <v>57450</v>
      </c>
      <c r="AF253" t="n">
        <v>191500</v>
      </c>
      <c r="AG253" t="n">
        <v>153200</v>
      </c>
      <c r="AH253" t="n">
        <v>38300</v>
      </c>
      <c r="AI253" t="n">
        <v>1</v>
      </c>
      <c r="AK253" t="inlineStr">
        <is>
          <t>대출철회</t>
        </is>
      </c>
    </row>
    <row r="254">
      <c r="A254" t="inlineStr">
        <is>
          <t>1월</t>
        </is>
      </c>
      <c r="B254" t="inlineStr">
        <is>
          <t>2주차</t>
        </is>
      </c>
      <c r="C254" t="inlineStr">
        <is>
          <t>EP</t>
        </is>
      </c>
      <c r="D254" s="28" t="n">
        <v>46030</v>
      </c>
      <c r="E254" t="inlineStr">
        <is>
          <t>현대EP</t>
        </is>
      </c>
      <c r="F254" t="inlineStr">
        <is>
          <t>여동식</t>
        </is>
      </c>
      <c r="G254" t="inlineStr">
        <is>
          <t>010-7683-7771</t>
        </is>
      </c>
      <c r="H254" t="inlineStr">
        <is>
          <t>163오6338</t>
        </is>
      </c>
      <c r="I254" t="n">
        <v>37500000</v>
      </c>
      <c r="J254" t="n">
        <v>0.082</v>
      </c>
      <c r="K254" t="n">
        <v>1.76</v>
      </c>
      <c r="L254" t="n">
        <v>0.13</v>
      </c>
      <c r="M254" t="n">
        <v>1.63</v>
      </c>
      <c r="P254" t="inlineStr">
        <is>
          <t>최혁</t>
        </is>
      </c>
      <c r="Q254" t="inlineStr">
        <is>
          <t>홈서비스 60개월</t>
        </is>
      </c>
      <c r="Z254" t="n">
        <v>0</v>
      </c>
      <c r="AB254" t="inlineStr">
        <is>
          <t>홈서비스</t>
        </is>
      </c>
      <c r="AC254" t="n">
        <v>660000</v>
      </c>
      <c r="AD254" t="n">
        <v>48750</v>
      </c>
      <c r="AE254" t="n">
        <v>611250</v>
      </c>
      <c r="AF254" t="n">
        <v>600000</v>
      </c>
      <c r="AG254" t="n">
        <v>48750</v>
      </c>
      <c r="AH254" t="n">
        <v>551250</v>
      </c>
      <c r="AI254" t="n">
        <v>1</v>
      </c>
    </row>
    <row r="255">
      <c r="A255" t="inlineStr">
        <is>
          <t>1월</t>
        </is>
      </c>
      <c r="B255" t="inlineStr">
        <is>
          <t>2주차</t>
        </is>
      </c>
      <c r="C255" t="inlineStr">
        <is>
          <t>IM</t>
        </is>
      </c>
      <c r="D255" s="28" t="n">
        <v>46031</v>
      </c>
      <c r="E255" t="inlineStr">
        <is>
          <t>IM캐피탈</t>
        </is>
      </c>
      <c r="F255" t="inlineStr">
        <is>
          <t>이유찬</t>
        </is>
      </c>
      <c r="G255" t="inlineStr">
        <is>
          <t>010-2332-2279</t>
        </is>
      </c>
      <c r="H255" t="inlineStr">
        <is>
          <t>285나5303</t>
        </is>
      </c>
      <c r="I255" t="n">
        <v>35000000</v>
      </c>
      <c r="J255" t="n">
        <v>0.039</v>
      </c>
      <c r="K255" t="n">
        <v>0.55</v>
      </c>
      <c r="L255" t="n">
        <v>0.4</v>
      </c>
      <c r="M255" t="n">
        <v>0.15</v>
      </c>
      <c r="P255" t="inlineStr">
        <is>
          <t>임대경</t>
        </is>
      </c>
      <c r="Z255" t="n">
        <v>0</v>
      </c>
      <c r="AB255" t="inlineStr">
        <is>
          <t>엔카</t>
        </is>
      </c>
      <c r="AC255" t="n">
        <v>192500</v>
      </c>
      <c r="AD255" t="n">
        <v>140000</v>
      </c>
      <c r="AE255" t="n">
        <v>52500</v>
      </c>
      <c r="AF255" t="n">
        <v>175000</v>
      </c>
      <c r="AG255" t="n">
        <v>140000</v>
      </c>
      <c r="AH255" t="n">
        <v>35000</v>
      </c>
      <c r="AI255" t="n">
        <v>1</v>
      </c>
    </row>
    <row r="256">
      <c r="A256" t="inlineStr">
        <is>
          <t>1월</t>
        </is>
      </c>
      <c r="B256" t="inlineStr">
        <is>
          <t>2주차</t>
        </is>
      </c>
      <c r="C256" t="inlineStr">
        <is>
          <t>EP</t>
        </is>
      </c>
      <c r="D256" s="28" t="n">
        <v>46031</v>
      </c>
      <c r="E256" t="inlineStr">
        <is>
          <t>현대EP_fast</t>
        </is>
      </c>
      <c r="F256" t="inlineStr">
        <is>
          <t>차현진</t>
        </is>
      </c>
      <c r="G256" t="inlineStr">
        <is>
          <t>010-4808-8744</t>
        </is>
      </c>
      <c r="H256" t="inlineStr">
        <is>
          <t>31러7009</t>
        </is>
      </c>
      <c r="I256" t="n">
        <v>12900000</v>
      </c>
      <c r="J256" t="n">
        <v>0.141</v>
      </c>
      <c r="K256" t="n">
        <v>1.76</v>
      </c>
      <c r="L256" t="n">
        <v>0.4</v>
      </c>
      <c r="M256" t="n">
        <v>1.36</v>
      </c>
      <c r="P256" t="inlineStr">
        <is>
          <t>박소현</t>
        </is>
      </c>
      <c r="Z256" t="n">
        <v>0</v>
      </c>
      <c r="AB256" t="inlineStr">
        <is>
          <t>엔카</t>
        </is>
      </c>
      <c r="AC256" t="n">
        <v>227040</v>
      </c>
      <c r="AD256" t="n">
        <v>51600</v>
      </c>
      <c r="AE256" t="n">
        <v>175440</v>
      </c>
      <c r="AF256" t="n">
        <v>206400</v>
      </c>
      <c r="AG256" t="n">
        <v>51600</v>
      </c>
      <c r="AH256" t="n">
        <v>154800</v>
      </c>
      <c r="AI256" t="n">
        <v>1</v>
      </c>
    </row>
    <row r="257">
      <c r="A257" t="inlineStr">
        <is>
          <t>1월</t>
        </is>
      </c>
      <c r="B257" t="inlineStr">
        <is>
          <t>2주차</t>
        </is>
      </c>
      <c r="C257" t="inlineStr">
        <is>
          <t>IM</t>
        </is>
      </c>
      <c r="D257" s="28" t="n">
        <v>46031</v>
      </c>
      <c r="E257" t="inlineStr">
        <is>
          <t>IM캐피탈</t>
        </is>
      </c>
      <c r="F257" t="inlineStr">
        <is>
          <t>신원지</t>
        </is>
      </c>
      <c r="G257" t="inlineStr">
        <is>
          <t>010-4599-3063</t>
        </is>
      </c>
      <c r="H257" t="inlineStr">
        <is>
          <t>215보9778</t>
        </is>
      </c>
      <c r="I257" t="n">
        <v>16500000</v>
      </c>
      <c r="J257" t="n">
        <v>0.075</v>
      </c>
      <c r="K257" t="n">
        <v>0.55</v>
      </c>
      <c r="L257" t="n">
        <v>0.13</v>
      </c>
      <c r="M257" t="n">
        <v>0.42</v>
      </c>
      <c r="P257" t="inlineStr">
        <is>
          <t>박보람</t>
        </is>
      </c>
      <c r="Q257" t="inlineStr">
        <is>
          <t>선상담 / 홈서비스 48개월</t>
        </is>
      </c>
      <c r="Z257" t="n">
        <v>0</v>
      </c>
      <c r="AB257" t="inlineStr">
        <is>
          <t>홈서비스</t>
        </is>
      </c>
      <c r="AC257" t="n">
        <v>90750</v>
      </c>
      <c r="AD257" t="n">
        <v>21450</v>
      </c>
      <c r="AE257" t="n">
        <v>69300</v>
      </c>
      <c r="AF257" t="n">
        <v>82500</v>
      </c>
      <c r="AG257" t="n">
        <v>21450</v>
      </c>
      <c r="AH257" t="n">
        <v>61050</v>
      </c>
      <c r="AI257" t="n">
        <v>1</v>
      </c>
    </row>
    <row r="258">
      <c r="A258" t="inlineStr">
        <is>
          <t>1월</t>
        </is>
      </c>
      <c r="B258" t="inlineStr">
        <is>
          <t>2주차</t>
        </is>
      </c>
      <c r="C258" t="inlineStr">
        <is>
          <t>EP</t>
        </is>
      </c>
      <c r="D258" s="28" t="n">
        <v>46031</v>
      </c>
      <c r="E258" t="inlineStr">
        <is>
          <t>현대EP_fast</t>
        </is>
      </c>
      <c r="F258" t="inlineStr">
        <is>
          <t>김세효</t>
        </is>
      </c>
      <c r="G258" t="inlineStr">
        <is>
          <t>010-8753-3845</t>
        </is>
      </c>
      <c r="H258" t="inlineStr">
        <is>
          <t>36조8347</t>
        </is>
      </c>
      <c r="I258" t="n">
        <v>8100000</v>
      </c>
      <c r="J258" t="n">
        <v>0.06900000000000001</v>
      </c>
      <c r="K258" t="n">
        <v>1.76</v>
      </c>
      <c r="L258" t="n">
        <v>0.13</v>
      </c>
      <c r="M258" t="n">
        <v>1.63</v>
      </c>
      <c r="P258" t="inlineStr">
        <is>
          <t>황채이</t>
        </is>
      </c>
      <c r="Q258" t="inlineStr">
        <is>
          <t>홈서비스 60개월</t>
        </is>
      </c>
      <c r="Z258" t="n">
        <v>0</v>
      </c>
      <c r="AB258" t="inlineStr">
        <is>
          <t>홈서비스</t>
        </is>
      </c>
      <c r="AC258" t="n">
        <v>142560</v>
      </c>
      <c r="AD258" t="n">
        <v>10530</v>
      </c>
      <c r="AE258" t="n">
        <v>132030</v>
      </c>
      <c r="AF258" t="n">
        <v>129600</v>
      </c>
      <c r="AG258" t="n">
        <v>10530</v>
      </c>
      <c r="AH258" t="n">
        <v>119070</v>
      </c>
      <c r="AI258" t="n">
        <v>1</v>
      </c>
    </row>
    <row r="259">
      <c r="A259" t="inlineStr">
        <is>
          <t>1월</t>
        </is>
      </c>
      <c r="B259" t="inlineStr">
        <is>
          <t>2주차</t>
        </is>
      </c>
      <c r="C259" t="inlineStr">
        <is>
          <t>OR</t>
        </is>
      </c>
      <c r="D259" s="28" t="n">
        <v>46031</v>
      </c>
      <c r="E259" t="inlineStr">
        <is>
          <t>오릭스</t>
        </is>
      </c>
      <c r="F259" t="inlineStr">
        <is>
          <t>최정원</t>
        </is>
      </c>
      <c r="G259" t="inlineStr">
        <is>
          <t>010-5084-8179</t>
        </is>
      </c>
      <c r="H259" t="inlineStr">
        <is>
          <t>340더1220</t>
        </is>
      </c>
      <c r="I259" t="n">
        <v>30000000</v>
      </c>
      <c r="J259" t="n">
        <v>0.059</v>
      </c>
      <c r="K259" t="n">
        <v>1.65</v>
      </c>
      <c r="L259" t="n">
        <v>0.4</v>
      </c>
      <c r="M259" t="n">
        <v>1.25</v>
      </c>
      <c r="P259" t="inlineStr">
        <is>
          <t>박소현</t>
        </is>
      </c>
      <c r="Q259" t="inlineStr">
        <is>
          <t>부대비용추가진행</t>
        </is>
      </c>
      <c r="Z259" t="n">
        <v>0</v>
      </c>
      <c r="AB259" t="inlineStr">
        <is>
          <t>엔카</t>
        </is>
      </c>
      <c r="AC259" t="n">
        <v>495000</v>
      </c>
      <c r="AD259" t="n">
        <v>120000</v>
      </c>
      <c r="AE259" t="n">
        <v>375000</v>
      </c>
      <c r="AF259" t="n">
        <v>450000</v>
      </c>
      <c r="AG259" t="n">
        <v>120000</v>
      </c>
      <c r="AH259" t="n">
        <v>330000</v>
      </c>
      <c r="AI259" t="n">
        <v>1</v>
      </c>
    </row>
    <row r="260">
      <c r="A260" t="inlineStr">
        <is>
          <t>1월</t>
        </is>
      </c>
      <c r="B260" t="inlineStr">
        <is>
          <t>2주차</t>
        </is>
      </c>
      <c r="C260" t="inlineStr">
        <is>
          <t>IM</t>
        </is>
      </c>
      <c r="D260" s="28" t="n">
        <v>46031</v>
      </c>
      <c r="E260" t="inlineStr">
        <is>
          <t>IM캐피탈</t>
        </is>
      </c>
      <c r="F260" t="inlineStr">
        <is>
          <t>홍성수</t>
        </is>
      </c>
      <c r="G260" t="inlineStr">
        <is>
          <t>010-2667-9970</t>
        </is>
      </c>
      <c r="H260" t="inlineStr">
        <is>
          <t>261소2402</t>
        </is>
      </c>
      <c r="I260" t="n">
        <v>28800000</v>
      </c>
      <c r="J260" t="n">
        <v>0.056</v>
      </c>
      <c r="K260" t="n">
        <v>0.55</v>
      </c>
      <c r="L260" t="n">
        <v>0.13</v>
      </c>
      <c r="M260" t="n">
        <v>0.42</v>
      </c>
      <c r="P260" t="inlineStr">
        <is>
          <t>박보람</t>
        </is>
      </c>
      <c r="Q260" t="inlineStr">
        <is>
          <t>선상담 / 홈서비스 60개월</t>
        </is>
      </c>
      <c r="Z260" t="n">
        <v>0</v>
      </c>
      <c r="AB260" t="inlineStr">
        <is>
          <t>홈서비스</t>
        </is>
      </c>
      <c r="AC260" t="n">
        <v>158400</v>
      </c>
      <c r="AD260" t="n">
        <v>37440</v>
      </c>
      <c r="AE260" t="n">
        <v>120960</v>
      </c>
      <c r="AF260" t="n">
        <v>144000</v>
      </c>
      <c r="AG260" t="n">
        <v>37440</v>
      </c>
      <c r="AH260" t="n">
        <v>106560</v>
      </c>
      <c r="AI260" t="n">
        <v>1</v>
      </c>
    </row>
    <row r="261">
      <c r="A261" t="inlineStr">
        <is>
          <t>1월</t>
        </is>
      </c>
      <c r="B261" t="inlineStr">
        <is>
          <t>2주차</t>
        </is>
      </c>
      <c r="C261" t="inlineStr">
        <is>
          <t>IM</t>
        </is>
      </c>
      <c r="D261" s="28" t="n">
        <v>46031</v>
      </c>
      <c r="E261" t="inlineStr">
        <is>
          <t>IM캐피탈</t>
        </is>
      </c>
      <c r="F261" t="inlineStr">
        <is>
          <t>이연수</t>
        </is>
      </c>
      <c r="G261" t="inlineStr">
        <is>
          <t>010-8691-9333</t>
        </is>
      </c>
      <c r="H261" t="inlineStr">
        <is>
          <t>143가3286</t>
        </is>
      </c>
      <c r="I261" t="n">
        <v>15900000</v>
      </c>
      <c r="J261" t="n">
        <v>0.049</v>
      </c>
      <c r="K261" t="n">
        <v>0.55</v>
      </c>
      <c r="L261" t="n">
        <v>0.13</v>
      </c>
      <c r="M261" t="n">
        <v>0.42</v>
      </c>
      <c r="P261" t="inlineStr">
        <is>
          <t>김나윤</t>
        </is>
      </c>
      <c r="Q261" t="inlineStr">
        <is>
          <t>홈서비스60개월</t>
        </is>
      </c>
      <c r="Z261" t="n">
        <v>0</v>
      </c>
      <c r="AB261" t="inlineStr">
        <is>
          <t>홈서비스</t>
        </is>
      </c>
      <c r="AC261" t="n">
        <v>87450</v>
      </c>
      <c r="AD261" t="n">
        <v>20670</v>
      </c>
      <c r="AE261" t="n">
        <v>66780</v>
      </c>
      <c r="AF261" t="n">
        <v>79500</v>
      </c>
      <c r="AG261" t="n">
        <v>20670</v>
      </c>
      <c r="AH261" t="n">
        <v>58830</v>
      </c>
      <c r="AI261" t="n">
        <v>1</v>
      </c>
    </row>
    <row r="262">
      <c r="A262" t="inlineStr">
        <is>
          <t>1월</t>
        </is>
      </c>
      <c r="B262" t="inlineStr">
        <is>
          <t>2주차</t>
        </is>
      </c>
      <c r="C262" t="inlineStr">
        <is>
          <t>EP</t>
        </is>
      </c>
      <c r="D262" s="28" t="n">
        <v>46030</v>
      </c>
      <c r="E262" t="inlineStr">
        <is>
          <t>현대EP_fast</t>
        </is>
      </c>
      <c r="F262" t="inlineStr">
        <is>
          <t>박성윤</t>
        </is>
      </c>
      <c r="G262" t="inlineStr">
        <is>
          <t>010-9199-9507</t>
        </is>
      </c>
      <c r="H262" t="inlineStr">
        <is>
          <t>63모1779</t>
        </is>
      </c>
      <c r="I262" t="n">
        <v>7500000</v>
      </c>
      <c r="J262" t="n">
        <v>0.08699999999999999</v>
      </c>
      <c r="K262" t="n">
        <v>1.76</v>
      </c>
      <c r="L262" t="n">
        <v>0.13</v>
      </c>
      <c r="M262" t="n">
        <v>1.63</v>
      </c>
      <c r="P262" t="inlineStr">
        <is>
          <t>최혁</t>
        </is>
      </c>
      <c r="Q262" t="inlineStr">
        <is>
          <t>홈서비스 36개월/ *누락 추가기재</t>
        </is>
      </c>
      <c r="Z262" t="n">
        <v>0</v>
      </c>
      <c r="AB262" t="inlineStr">
        <is>
          <t>홈서비스</t>
        </is>
      </c>
      <c r="AC262" t="n">
        <v>132000</v>
      </c>
      <c r="AD262" t="n">
        <v>9750</v>
      </c>
      <c r="AE262" t="n">
        <v>122250</v>
      </c>
      <c r="AF262" t="n">
        <v>120000</v>
      </c>
      <c r="AG262" t="n">
        <v>9750</v>
      </c>
      <c r="AH262" t="n">
        <v>110250</v>
      </c>
      <c r="AI262" t="n">
        <v>1</v>
      </c>
    </row>
    <row r="263">
      <c r="A263" t="inlineStr">
        <is>
          <t>1월</t>
        </is>
      </c>
      <c r="B263" t="inlineStr">
        <is>
          <t>2주차</t>
        </is>
      </c>
      <c r="C263" t="inlineStr">
        <is>
          <t>IM</t>
        </is>
      </c>
      <c r="D263" s="28" t="n">
        <v>46031</v>
      </c>
      <c r="E263" t="inlineStr">
        <is>
          <t>IM캐피탈</t>
        </is>
      </c>
      <c r="F263" t="inlineStr">
        <is>
          <t>김영호</t>
        </is>
      </c>
      <c r="G263" t="inlineStr">
        <is>
          <t>010-9565-7039</t>
        </is>
      </c>
      <c r="H263" t="inlineStr">
        <is>
          <t>46너8698</t>
        </is>
      </c>
      <c r="I263" t="n">
        <v>13900000</v>
      </c>
      <c r="J263" t="n">
        <v>0.049</v>
      </c>
      <c r="K263" t="n">
        <v>0.55</v>
      </c>
      <c r="L263" t="n">
        <v>0.13</v>
      </c>
      <c r="M263" t="n">
        <v>0.42</v>
      </c>
      <c r="P263" t="inlineStr">
        <is>
          <t>김나윤</t>
        </is>
      </c>
      <c r="Q263" t="inlineStr">
        <is>
          <t>홈서비스60개월</t>
        </is>
      </c>
      <c r="Z263" t="n">
        <v>0</v>
      </c>
      <c r="AB263" t="inlineStr">
        <is>
          <t>홈서비스</t>
        </is>
      </c>
      <c r="AC263" t="n">
        <v>76450</v>
      </c>
      <c r="AD263" t="n">
        <v>18070</v>
      </c>
      <c r="AE263" t="n">
        <v>58380</v>
      </c>
      <c r="AF263" t="n">
        <v>69500</v>
      </c>
      <c r="AG263" t="n">
        <v>18070</v>
      </c>
      <c r="AH263" t="n">
        <v>51430</v>
      </c>
      <c r="AI263" t="n">
        <v>1</v>
      </c>
    </row>
    <row r="264">
      <c r="A264" t="inlineStr">
        <is>
          <t>1월</t>
        </is>
      </c>
      <c r="B264" t="inlineStr">
        <is>
          <t>2주차</t>
        </is>
      </c>
      <c r="C264" t="inlineStr">
        <is>
          <t>IM</t>
        </is>
      </c>
      <c r="D264" s="28" t="n">
        <v>46029</v>
      </c>
      <c r="E264" t="inlineStr">
        <is>
          <t>IM캐피탈</t>
        </is>
      </c>
      <c r="F264" t="inlineStr">
        <is>
          <t>한종필</t>
        </is>
      </c>
      <c r="G264" t="inlineStr">
        <is>
          <t>010-6614-8506</t>
        </is>
      </c>
      <c r="H264" t="inlineStr">
        <is>
          <t>11서3863</t>
        </is>
      </c>
      <c r="I264" t="n">
        <v>4800000</v>
      </c>
      <c r="J264" t="n">
        <v>0.08</v>
      </c>
      <c r="K264" t="n">
        <v>0.55</v>
      </c>
      <c r="L264" t="n">
        <v>0.13</v>
      </c>
      <c r="M264" t="n">
        <v>0.42</v>
      </c>
      <c r="P264" t="inlineStr">
        <is>
          <t>장진경</t>
        </is>
      </c>
      <c r="Q264" t="inlineStr">
        <is>
          <t>선상담 / 홈서비스 48개월</t>
        </is>
      </c>
      <c r="Z264" t="n">
        <v>0</v>
      </c>
      <c r="AB264" t="inlineStr">
        <is>
          <t>홈서비스</t>
        </is>
      </c>
      <c r="AC264" t="n">
        <v>26400</v>
      </c>
      <c r="AD264" t="n">
        <v>6240</v>
      </c>
      <c r="AE264" t="n">
        <v>20160</v>
      </c>
      <c r="AF264" t="n">
        <v>24000</v>
      </c>
      <c r="AG264" t="n">
        <v>6240</v>
      </c>
      <c r="AH264" t="n">
        <v>17760</v>
      </c>
      <c r="AI264" t="n">
        <v>1</v>
      </c>
    </row>
    <row r="265">
      <c r="A265" t="inlineStr">
        <is>
          <t>1월</t>
        </is>
      </c>
      <c r="B265" t="inlineStr">
        <is>
          <t>2주차</t>
        </is>
      </c>
      <c r="C265" t="inlineStr">
        <is>
          <t>EP</t>
        </is>
      </c>
      <c r="D265" s="28" t="n">
        <v>46030</v>
      </c>
      <c r="E265" t="inlineStr">
        <is>
          <t>현대EP</t>
        </is>
      </c>
      <c r="F265" t="inlineStr">
        <is>
          <t>오용택</t>
        </is>
      </c>
      <c r="G265" t="inlineStr">
        <is>
          <t>010-9065-9336</t>
        </is>
      </c>
      <c r="H265" t="inlineStr">
        <is>
          <t>96나3017</t>
        </is>
      </c>
      <c r="I265" t="n">
        <v>23000000</v>
      </c>
      <c r="J265" t="n">
        <v>0.111</v>
      </c>
      <c r="K265" t="n">
        <v>1.76</v>
      </c>
      <c r="L265" t="n">
        <v>0.13</v>
      </c>
      <c r="M265" t="n">
        <v>1.63</v>
      </c>
      <c r="P265" t="inlineStr">
        <is>
          <t>정세빈</t>
        </is>
      </c>
      <c r="Q265" t="inlineStr">
        <is>
          <t>홈서비스 24개월</t>
        </is>
      </c>
      <c r="Z265" t="n">
        <v>0</v>
      </c>
      <c r="AB265" t="inlineStr">
        <is>
          <t>홈서비스</t>
        </is>
      </c>
      <c r="AC265" t="n">
        <v>404800</v>
      </c>
      <c r="AD265" t="n">
        <v>29900</v>
      </c>
      <c r="AE265" t="n">
        <v>374900</v>
      </c>
      <c r="AF265" t="n">
        <v>368000</v>
      </c>
      <c r="AG265" t="n">
        <v>29900</v>
      </c>
      <c r="AH265" t="n">
        <v>338100</v>
      </c>
      <c r="AI265" t="n">
        <v>0</v>
      </c>
    </row>
    <row r="266">
      <c r="A266" t="inlineStr">
        <is>
          <t>1월</t>
        </is>
      </c>
      <c r="B266" t="inlineStr">
        <is>
          <t>2주차</t>
        </is>
      </c>
      <c r="C266" t="inlineStr">
        <is>
          <t>EP</t>
        </is>
      </c>
      <c r="D266" s="28" t="n">
        <v>46031</v>
      </c>
      <c r="E266" t="inlineStr">
        <is>
          <t>현대EP_fast</t>
        </is>
      </c>
      <c r="F266" t="inlineStr">
        <is>
          <t>공정규</t>
        </is>
      </c>
      <c r="G266" t="inlineStr">
        <is>
          <t>010-3542-2213</t>
        </is>
      </c>
      <c r="H266" t="inlineStr">
        <is>
          <t>229부9185</t>
        </is>
      </c>
      <c r="I266" t="n">
        <v>22900000</v>
      </c>
      <c r="J266" t="n">
        <v>0.067</v>
      </c>
      <c r="K266" t="n">
        <v>1.76</v>
      </c>
      <c r="L266" t="n">
        <v>0.13</v>
      </c>
      <c r="M266" t="n">
        <v>1.63</v>
      </c>
      <c r="P266" t="inlineStr">
        <is>
          <t>정세빈</t>
        </is>
      </c>
      <c r="Q266" t="inlineStr">
        <is>
          <t>홈서비스 60개월</t>
        </is>
      </c>
      <c r="Z266" t="n">
        <v>0</v>
      </c>
      <c r="AB266" t="inlineStr">
        <is>
          <t>홈서비스</t>
        </is>
      </c>
      <c r="AC266" t="n">
        <v>403040</v>
      </c>
      <c r="AD266" t="n">
        <v>29770</v>
      </c>
      <c r="AE266" t="n">
        <v>373270</v>
      </c>
      <c r="AF266" t="n">
        <v>366400</v>
      </c>
      <c r="AG266" t="n">
        <v>29770</v>
      </c>
      <c r="AH266" t="n">
        <v>336630</v>
      </c>
      <c r="AI266" t="n">
        <v>0</v>
      </c>
    </row>
    <row r="267">
      <c r="A267" t="inlineStr">
        <is>
          <t>1월</t>
        </is>
      </c>
      <c r="B267" t="inlineStr">
        <is>
          <t>2주차</t>
        </is>
      </c>
      <c r="C267" t="inlineStr">
        <is>
          <t>EP</t>
        </is>
      </c>
      <c r="D267" s="28" t="n">
        <v>46031</v>
      </c>
      <c r="E267" t="inlineStr">
        <is>
          <t>현대EP</t>
        </is>
      </c>
      <c r="F267" t="inlineStr">
        <is>
          <t>김은실</t>
        </is>
      </c>
      <c r="G267" t="inlineStr">
        <is>
          <t>010-4703-7970</t>
        </is>
      </c>
      <c r="H267" t="inlineStr">
        <is>
          <t>103모9470</t>
        </is>
      </c>
      <c r="I267" t="n">
        <v>20900000</v>
      </c>
      <c r="J267" t="n">
        <v>0.073</v>
      </c>
      <c r="K267" t="n">
        <v>1.76</v>
      </c>
      <c r="L267" t="n">
        <v>0.13</v>
      </c>
      <c r="M267" t="n">
        <v>1.63</v>
      </c>
      <c r="P267" t="inlineStr">
        <is>
          <t>정세빈</t>
        </is>
      </c>
      <c r="Q267" t="inlineStr">
        <is>
          <t>홈서비스 60개월</t>
        </is>
      </c>
      <c r="Z267" t="n">
        <v>0</v>
      </c>
      <c r="AB267" t="inlineStr">
        <is>
          <t>홈서비스</t>
        </is>
      </c>
      <c r="AC267" t="n">
        <v>367840</v>
      </c>
      <c r="AD267" t="n">
        <v>27170</v>
      </c>
      <c r="AE267" t="n">
        <v>340670</v>
      </c>
      <c r="AF267" t="n">
        <v>334400</v>
      </c>
      <c r="AG267" t="n">
        <v>27170</v>
      </c>
      <c r="AH267" t="n">
        <v>307230</v>
      </c>
      <c r="AI267" t="n">
        <v>0</v>
      </c>
    </row>
    <row r="268">
      <c r="A268" t="inlineStr">
        <is>
          <t>1월</t>
        </is>
      </c>
      <c r="B268" t="inlineStr">
        <is>
          <t>2주차</t>
        </is>
      </c>
      <c r="C268" t="inlineStr">
        <is>
          <t>IM</t>
        </is>
      </c>
      <c r="D268" s="28" t="n">
        <v>46031</v>
      </c>
      <c r="E268" t="inlineStr">
        <is>
          <t>IM캐피탈</t>
        </is>
      </c>
      <c r="F268" t="inlineStr">
        <is>
          <t>진봉성</t>
        </is>
      </c>
      <c r="G268" t="inlineStr">
        <is>
          <t>010-5512-7271</t>
        </is>
      </c>
      <c r="H268" t="inlineStr">
        <is>
          <t>393부5110</t>
        </is>
      </c>
      <c r="I268" t="n">
        <v>11000000</v>
      </c>
      <c r="J268" t="n">
        <v>0.07199999999999999</v>
      </c>
      <c r="K268" t="n">
        <v>0.55</v>
      </c>
      <c r="L268" t="n">
        <v>0.13</v>
      </c>
      <c r="M268" t="n">
        <v>0.42</v>
      </c>
      <c r="P268" t="inlineStr">
        <is>
          <t>최혁</t>
        </is>
      </c>
      <c r="Q268" t="inlineStr">
        <is>
          <t>홈서비스 36개월</t>
        </is>
      </c>
      <c r="Z268" t="n">
        <v>0</v>
      </c>
      <c r="AB268" t="inlineStr">
        <is>
          <t>홈서비스</t>
        </is>
      </c>
      <c r="AC268" t="n">
        <v>60500</v>
      </c>
      <c r="AD268" t="n">
        <v>14300</v>
      </c>
      <c r="AE268" t="n">
        <v>46200</v>
      </c>
      <c r="AF268" t="n">
        <v>55000</v>
      </c>
      <c r="AG268" t="n">
        <v>14300</v>
      </c>
      <c r="AH268" t="n">
        <v>40700</v>
      </c>
    </row>
    <row r="269">
      <c r="A269" t="inlineStr">
        <is>
          <t>1월</t>
        </is>
      </c>
      <c r="B269" t="inlineStr">
        <is>
          <t>2주차</t>
        </is>
      </c>
      <c r="C269" t="inlineStr">
        <is>
          <t>EP</t>
        </is>
      </c>
      <c r="D269" s="28" t="n">
        <v>46031</v>
      </c>
      <c r="E269" t="inlineStr">
        <is>
          <t>현대EP_fast</t>
        </is>
      </c>
      <c r="F269" t="inlineStr">
        <is>
          <t>김명국</t>
        </is>
      </c>
      <c r="G269" t="inlineStr">
        <is>
          <t>010-3637-0513</t>
        </is>
      </c>
      <c r="H269" t="inlineStr">
        <is>
          <t>51저3487</t>
        </is>
      </c>
      <c r="I269" t="n">
        <v>6200000</v>
      </c>
      <c r="J269" t="n">
        <v>0.073</v>
      </c>
      <c r="K269" t="n">
        <v>1.76</v>
      </c>
      <c r="L269" t="n">
        <v>0.4</v>
      </c>
      <c r="M269" t="n">
        <v>1.36</v>
      </c>
      <c r="P269" t="inlineStr">
        <is>
          <t>박보람</t>
        </is>
      </c>
      <c r="Z269" t="n">
        <v>0</v>
      </c>
      <c r="AB269" t="inlineStr">
        <is>
          <t>엔카</t>
        </is>
      </c>
      <c r="AC269" t="n">
        <v>109120</v>
      </c>
      <c r="AD269" t="n">
        <v>24800</v>
      </c>
      <c r="AE269" t="n">
        <v>84320</v>
      </c>
      <c r="AF269" t="n">
        <v>99200</v>
      </c>
      <c r="AG269" t="n">
        <v>24800</v>
      </c>
      <c r="AH269" t="n">
        <v>74400</v>
      </c>
    </row>
    <row r="270">
      <c r="A270" t="inlineStr">
        <is>
          <t>1월</t>
        </is>
      </c>
      <c r="B270" t="inlineStr">
        <is>
          <t>2주차</t>
        </is>
      </c>
      <c r="C270" t="inlineStr">
        <is>
          <t>IM</t>
        </is>
      </c>
      <c r="D270" s="28" t="n">
        <v>46031</v>
      </c>
      <c r="E270" t="inlineStr">
        <is>
          <t>IM캐피탈</t>
        </is>
      </c>
      <c r="F270" t="inlineStr">
        <is>
          <t>박용석</t>
        </is>
      </c>
      <c r="G270" t="inlineStr">
        <is>
          <t>010-3789-6966</t>
        </is>
      </c>
      <c r="H270" t="inlineStr">
        <is>
          <t>68머2029</t>
        </is>
      </c>
      <c r="I270" t="n">
        <v>16500000</v>
      </c>
      <c r="J270" t="n">
        <v>0.049</v>
      </c>
      <c r="K270" t="n">
        <v>0.55</v>
      </c>
      <c r="L270" t="n">
        <v>0.13</v>
      </c>
      <c r="M270" t="n">
        <v>0.42</v>
      </c>
      <c r="P270" t="inlineStr">
        <is>
          <t>김나윤</t>
        </is>
      </c>
      <c r="Q270" t="inlineStr">
        <is>
          <t>홈서비스60개월</t>
        </is>
      </c>
      <c r="Z270" t="n">
        <v>0</v>
      </c>
      <c r="AB270" t="inlineStr">
        <is>
          <t>홈서비스</t>
        </is>
      </c>
      <c r="AC270" t="n">
        <v>90750</v>
      </c>
      <c r="AD270" t="n">
        <v>21450</v>
      </c>
      <c r="AE270" t="n">
        <v>69300</v>
      </c>
      <c r="AF270" t="n">
        <v>82500</v>
      </c>
      <c r="AG270" t="n">
        <v>21450</v>
      </c>
      <c r="AH270" t="n">
        <v>61050</v>
      </c>
    </row>
    <row r="271">
      <c r="A271" t="inlineStr">
        <is>
          <t>1월</t>
        </is>
      </c>
      <c r="B271" t="inlineStr">
        <is>
          <t>2주차</t>
        </is>
      </c>
      <c r="C271" t="inlineStr">
        <is>
          <t>EP</t>
        </is>
      </c>
      <c r="D271" s="28" t="n">
        <v>46031</v>
      </c>
      <c r="E271" t="inlineStr">
        <is>
          <t>현대EP_fast</t>
        </is>
      </c>
      <c r="F271" t="inlineStr">
        <is>
          <t>김민영</t>
        </is>
      </c>
      <c r="G271" t="inlineStr">
        <is>
          <t>010-3033-0580</t>
        </is>
      </c>
      <c r="H271" t="inlineStr">
        <is>
          <t>108버2121</t>
        </is>
      </c>
      <c r="I271" t="n">
        <v>29000000</v>
      </c>
      <c r="J271" t="n">
        <v>0.073</v>
      </c>
      <c r="K271" t="n">
        <v>1.76</v>
      </c>
      <c r="L271" t="n">
        <v>0.13</v>
      </c>
      <c r="M271" t="n">
        <v>1.63</v>
      </c>
      <c r="P271" t="inlineStr">
        <is>
          <t>정세빈</t>
        </is>
      </c>
      <c r="Q271" t="inlineStr">
        <is>
          <t>홈서비스 60개월</t>
        </is>
      </c>
      <c r="Z271" t="n">
        <v>0</v>
      </c>
      <c r="AB271" t="inlineStr">
        <is>
          <t>홈서비스</t>
        </is>
      </c>
      <c r="AC271" t="n">
        <v>510400</v>
      </c>
      <c r="AD271" t="n">
        <v>37700</v>
      </c>
      <c r="AE271" t="n">
        <v>472700</v>
      </c>
      <c r="AF271" t="n">
        <v>464000</v>
      </c>
      <c r="AG271" t="n">
        <v>37700</v>
      </c>
      <c r="AH271" t="n">
        <v>426300</v>
      </c>
      <c r="AI271" t="n">
        <v>0</v>
      </c>
    </row>
    <row r="272">
      <c r="A272" t="inlineStr">
        <is>
          <t>1월</t>
        </is>
      </c>
      <c r="B272" t="inlineStr">
        <is>
          <t>2주차</t>
        </is>
      </c>
      <c r="C272" t="inlineStr">
        <is>
          <t>EP</t>
        </is>
      </c>
      <c r="D272" s="28" t="n">
        <v>46030</v>
      </c>
      <c r="E272" t="inlineStr">
        <is>
          <t>현대EP</t>
        </is>
      </c>
      <c r="F272" t="inlineStr">
        <is>
          <t>김지은</t>
        </is>
      </c>
      <c r="G272" t="inlineStr">
        <is>
          <t>010-7323-7867</t>
        </is>
      </c>
      <c r="H272" t="inlineStr">
        <is>
          <t>55로9421</t>
        </is>
      </c>
      <c r="I272" t="n">
        <v>13100000</v>
      </c>
      <c r="J272" t="n">
        <v>0.097</v>
      </c>
      <c r="K272" t="n">
        <v>1.76</v>
      </c>
      <c r="L272" t="n">
        <v>0.13</v>
      </c>
      <c r="M272" t="n">
        <v>1.63</v>
      </c>
      <c r="P272" t="inlineStr">
        <is>
          <t>최형주</t>
        </is>
      </c>
      <c r="Q272" t="inlineStr">
        <is>
          <t>홈서비스 60개월</t>
        </is>
      </c>
      <c r="Z272" t="n">
        <v>0</v>
      </c>
      <c r="AB272" t="inlineStr">
        <is>
          <t>홈서비스</t>
        </is>
      </c>
      <c r="AC272" t="n">
        <v>230560</v>
      </c>
      <c r="AD272" t="n">
        <v>17030</v>
      </c>
      <c r="AE272" t="n">
        <v>213530</v>
      </c>
      <c r="AF272" t="n">
        <v>209600</v>
      </c>
      <c r="AG272" t="n">
        <v>17030</v>
      </c>
      <c r="AH272" t="n">
        <v>192570</v>
      </c>
      <c r="AI272" t="n">
        <v>0</v>
      </c>
    </row>
    <row r="273">
      <c r="A273" t="inlineStr">
        <is>
          <t>1월</t>
        </is>
      </c>
      <c r="B273" t="inlineStr">
        <is>
          <t>2주차</t>
        </is>
      </c>
      <c r="C273" t="inlineStr">
        <is>
          <t>EP</t>
        </is>
      </c>
      <c r="D273" s="28" t="n">
        <v>46031</v>
      </c>
      <c r="E273" t="inlineStr">
        <is>
          <t>현대EP</t>
        </is>
      </c>
      <c r="F273" t="inlineStr">
        <is>
          <t>김혜미</t>
        </is>
      </c>
      <c r="G273" t="inlineStr">
        <is>
          <t>010-9175-3240</t>
        </is>
      </c>
      <c r="H273" t="inlineStr">
        <is>
          <t>187보2168</t>
        </is>
      </c>
      <c r="I273" t="n">
        <v>18000000</v>
      </c>
      <c r="J273" t="n">
        <v>0.06900000000000001</v>
      </c>
      <c r="K273" t="n">
        <v>1.76</v>
      </c>
      <c r="L273" t="n">
        <v>0.13</v>
      </c>
      <c r="M273" t="n">
        <v>1.63</v>
      </c>
      <c r="P273" t="inlineStr">
        <is>
          <t>황채이</t>
        </is>
      </c>
      <c r="Q273" t="inlineStr">
        <is>
          <t>홈서비스 60개월</t>
        </is>
      </c>
      <c r="Z273" t="n">
        <v>0</v>
      </c>
      <c r="AB273" t="inlineStr">
        <is>
          <t>홈서비스</t>
        </is>
      </c>
      <c r="AC273" t="n">
        <v>316800</v>
      </c>
      <c r="AD273" t="n">
        <v>23400</v>
      </c>
      <c r="AE273" t="n">
        <v>293400</v>
      </c>
      <c r="AF273" t="n">
        <v>288000</v>
      </c>
      <c r="AG273" t="n">
        <v>23400</v>
      </c>
      <c r="AH273" t="n">
        <v>264600</v>
      </c>
      <c r="AI273" t="n">
        <v>0</v>
      </c>
    </row>
    <row r="274">
      <c r="A274" t="inlineStr">
        <is>
          <t>1월</t>
        </is>
      </c>
      <c r="B274" t="inlineStr">
        <is>
          <t>2주차</t>
        </is>
      </c>
      <c r="C274" t="inlineStr">
        <is>
          <t>EP</t>
        </is>
      </c>
      <c r="D274" s="28" t="n">
        <v>46030</v>
      </c>
      <c r="E274" t="inlineStr">
        <is>
          <t>현대EP</t>
        </is>
      </c>
      <c r="F274" t="inlineStr">
        <is>
          <t>한지헌</t>
        </is>
      </c>
      <c r="G274" t="inlineStr">
        <is>
          <t>010-5395-9949</t>
        </is>
      </c>
      <c r="H274" t="inlineStr">
        <is>
          <t>107모3925</t>
        </is>
      </c>
      <c r="I274" t="n">
        <v>25000000</v>
      </c>
      <c r="J274" t="n">
        <v>0.082</v>
      </c>
      <c r="K274" t="n">
        <v>1.76</v>
      </c>
      <c r="L274" t="n">
        <v>0.13</v>
      </c>
      <c r="M274" t="n">
        <v>1.63</v>
      </c>
      <c r="P274" t="inlineStr">
        <is>
          <t>정광호</t>
        </is>
      </c>
      <c r="Q274" t="inlineStr">
        <is>
          <t>홈서비스 36개월</t>
        </is>
      </c>
      <c r="Z274" t="n">
        <v>0</v>
      </c>
      <c r="AB274" t="inlineStr">
        <is>
          <t>홈서비스</t>
        </is>
      </c>
      <c r="AC274" t="n">
        <v>440000</v>
      </c>
      <c r="AD274" t="n">
        <v>32500</v>
      </c>
      <c r="AE274" t="n">
        <v>407500</v>
      </c>
      <c r="AF274" t="n">
        <v>400000</v>
      </c>
      <c r="AG274" t="n">
        <v>32500</v>
      </c>
      <c r="AH274" t="n">
        <v>367500</v>
      </c>
      <c r="AI274" t="n">
        <v>0</v>
      </c>
      <c r="AJ274" t="inlineStr">
        <is>
          <t>개인</t>
        </is>
      </c>
    </row>
    <row r="275">
      <c r="A275" t="inlineStr">
        <is>
          <t>1월</t>
        </is>
      </c>
      <c r="B275" t="inlineStr">
        <is>
          <t>2주차</t>
        </is>
      </c>
      <c r="C275" t="inlineStr">
        <is>
          <t>EP</t>
        </is>
      </c>
      <c r="D275" s="28" t="n">
        <v>46031</v>
      </c>
      <c r="E275" t="inlineStr">
        <is>
          <t>현대EP_fast</t>
        </is>
      </c>
      <c r="F275" t="inlineStr">
        <is>
          <t>안준영</t>
        </is>
      </c>
      <c r="G275" t="inlineStr">
        <is>
          <t>010-6370-6593</t>
        </is>
      </c>
      <c r="H275" t="inlineStr">
        <is>
          <t>164노4363</t>
        </is>
      </c>
      <c r="I275" t="n">
        <v>17200000</v>
      </c>
      <c r="J275" t="n">
        <v>0.08699999999999999</v>
      </c>
      <c r="K275" t="n">
        <v>1.76</v>
      </c>
      <c r="L275" t="n">
        <v>0.13</v>
      </c>
      <c r="M275" t="n">
        <v>1.63</v>
      </c>
      <c r="P275" t="inlineStr">
        <is>
          <t>정광호</t>
        </is>
      </c>
      <c r="Q275" t="inlineStr">
        <is>
          <t>홈서비스 60개월</t>
        </is>
      </c>
      <c r="Z275" t="n">
        <v>0</v>
      </c>
      <c r="AB275" t="inlineStr">
        <is>
          <t>홈서비스</t>
        </is>
      </c>
      <c r="AC275" t="n">
        <v>302720</v>
      </c>
      <c r="AD275" t="n">
        <v>22360</v>
      </c>
      <c r="AE275" t="n">
        <v>280360</v>
      </c>
      <c r="AF275" t="n">
        <v>275200</v>
      </c>
      <c r="AG275" t="n">
        <v>22360</v>
      </c>
      <c r="AH275" t="n">
        <v>252840</v>
      </c>
      <c r="AI275" t="n">
        <v>0</v>
      </c>
    </row>
    <row r="276">
      <c r="A276" t="inlineStr">
        <is>
          <t>1월</t>
        </is>
      </c>
      <c r="B276" t="inlineStr">
        <is>
          <t>2주차</t>
        </is>
      </c>
      <c r="C276" t="inlineStr">
        <is>
          <t>EP</t>
        </is>
      </c>
      <c r="D276" s="28" t="n">
        <v>46031</v>
      </c>
      <c r="E276" t="inlineStr">
        <is>
          <t>현대EP</t>
        </is>
      </c>
      <c r="F276" t="inlineStr">
        <is>
          <t>김진산</t>
        </is>
      </c>
      <c r="G276" t="inlineStr">
        <is>
          <t>010-6399-0448</t>
        </is>
      </c>
      <c r="H276" t="inlineStr">
        <is>
          <t>65모6203</t>
        </is>
      </c>
      <c r="I276" t="n">
        <v>20400000</v>
      </c>
      <c r="J276" t="n">
        <v>0.093</v>
      </c>
      <c r="K276" t="n">
        <v>1.76</v>
      </c>
      <c r="L276" t="n">
        <v>0.13</v>
      </c>
      <c r="M276" t="n">
        <v>1.63</v>
      </c>
      <c r="P276" t="inlineStr">
        <is>
          <t>최형주</t>
        </is>
      </c>
      <c r="Q276" t="inlineStr">
        <is>
          <t>홈서비스 36개월</t>
        </is>
      </c>
      <c r="Z276" t="n">
        <v>0</v>
      </c>
      <c r="AB276" t="inlineStr">
        <is>
          <t>홈서비스</t>
        </is>
      </c>
      <c r="AC276" t="n">
        <v>359040</v>
      </c>
      <c r="AD276" t="n">
        <v>26520</v>
      </c>
      <c r="AE276" t="n">
        <v>332520</v>
      </c>
      <c r="AF276" t="n">
        <v>326400</v>
      </c>
      <c r="AG276" t="n">
        <v>26520</v>
      </c>
      <c r="AH276" t="n">
        <v>299880</v>
      </c>
      <c r="AI276" t="n">
        <v>0</v>
      </c>
    </row>
    <row r="277">
      <c r="A277" t="inlineStr">
        <is>
          <t>1월</t>
        </is>
      </c>
      <c r="B277" t="inlineStr">
        <is>
          <t>2주차</t>
        </is>
      </c>
      <c r="C277" t="inlineStr">
        <is>
          <t>EP</t>
        </is>
      </c>
      <c r="D277" s="28" t="n">
        <v>46031</v>
      </c>
      <c r="E277" t="inlineStr">
        <is>
          <t>현대EP</t>
        </is>
      </c>
      <c r="F277" t="inlineStr">
        <is>
          <t>유은상</t>
        </is>
      </c>
      <c r="G277" t="inlineStr">
        <is>
          <t>010-2314-1569</t>
        </is>
      </c>
      <c r="H277" t="inlineStr">
        <is>
          <t>49두8698</t>
        </is>
      </c>
      <c r="I277" t="n">
        <v>9600000</v>
      </c>
      <c r="J277" t="n">
        <v>0.065</v>
      </c>
      <c r="K277" t="n">
        <v>1.76</v>
      </c>
      <c r="L277" t="n">
        <v>0.13</v>
      </c>
      <c r="M277" t="n">
        <v>1.63</v>
      </c>
      <c r="P277" t="inlineStr">
        <is>
          <t>정광호</t>
        </is>
      </c>
      <c r="Q277" t="inlineStr">
        <is>
          <t>홈서비스 60개월 /*당월철회 20260122</t>
        </is>
      </c>
      <c r="Z277" t="n">
        <v>0</v>
      </c>
      <c r="AB277" t="inlineStr">
        <is>
          <t>홈서비스</t>
        </is>
      </c>
      <c r="AC277" t="n">
        <v>168960</v>
      </c>
      <c r="AD277" t="n">
        <v>12480</v>
      </c>
      <c r="AE277" t="n">
        <v>156480</v>
      </c>
      <c r="AF277" t="n">
        <v>153600</v>
      </c>
      <c r="AG277" t="n">
        <v>12480</v>
      </c>
      <c r="AH277" t="n">
        <v>141120</v>
      </c>
      <c r="AK277" t="inlineStr">
        <is>
          <t>대출철회</t>
        </is>
      </c>
    </row>
    <row r="278">
      <c r="A278" t="inlineStr">
        <is>
          <t>1월</t>
        </is>
      </c>
      <c r="B278" t="inlineStr">
        <is>
          <t>2주차</t>
        </is>
      </c>
      <c r="C278" t="inlineStr">
        <is>
          <t>EP</t>
        </is>
      </c>
      <c r="D278" s="28" t="n">
        <v>46031</v>
      </c>
      <c r="E278" t="inlineStr">
        <is>
          <t>현대EP</t>
        </is>
      </c>
      <c r="F278" t="inlineStr">
        <is>
          <t>이상묵</t>
        </is>
      </c>
      <c r="G278" t="inlineStr">
        <is>
          <t>010-9414-2523</t>
        </is>
      </c>
      <c r="H278" t="inlineStr">
        <is>
          <t>161어3919</t>
        </is>
      </c>
      <c r="I278" t="n">
        <v>25000000</v>
      </c>
      <c r="J278" t="n">
        <v>0.06900000000000001</v>
      </c>
      <c r="K278" t="n">
        <v>1.76</v>
      </c>
      <c r="L278" t="n">
        <v>0.13</v>
      </c>
      <c r="M278" t="n">
        <v>1.63</v>
      </c>
      <c r="P278" t="inlineStr">
        <is>
          <t>최형주</t>
        </is>
      </c>
      <c r="Q278" t="inlineStr">
        <is>
          <t>홈서비스 60개월</t>
        </is>
      </c>
      <c r="Z278" t="n">
        <v>0</v>
      </c>
      <c r="AB278" t="inlineStr">
        <is>
          <t>홈서비스</t>
        </is>
      </c>
      <c r="AC278" t="n">
        <v>440000</v>
      </c>
      <c r="AD278" t="n">
        <v>32500</v>
      </c>
      <c r="AE278" t="n">
        <v>407500</v>
      </c>
      <c r="AF278" t="n">
        <v>400000</v>
      </c>
      <c r="AG278" t="n">
        <v>32500</v>
      </c>
      <c r="AH278" t="n">
        <v>367500</v>
      </c>
      <c r="AI278" t="n">
        <v>0</v>
      </c>
    </row>
    <row r="279">
      <c r="A279" t="inlineStr">
        <is>
          <t>1월</t>
        </is>
      </c>
      <c r="B279" t="inlineStr">
        <is>
          <t>2주차</t>
        </is>
      </c>
      <c r="C279" t="inlineStr">
        <is>
          <t>EP</t>
        </is>
      </c>
      <c r="D279" s="28" t="n">
        <v>46031</v>
      </c>
      <c r="E279" t="inlineStr">
        <is>
          <t>현대EP</t>
        </is>
      </c>
      <c r="F279" t="inlineStr">
        <is>
          <t>조병철</t>
        </is>
      </c>
      <c r="G279" t="inlineStr">
        <is>
          <t>010-3762-8778</t>
        </is>
      </c>
      <c r="H279" t="inlineStr">
        <is>
          <t>57어8201</t>
        </is>
      </c>
      <c r="I279" t="n">
        <v>10000000</v>
      </c>
      <c r="J279" t="n">
        <v>0.078</v>
      </c>
      <c r="K279" t="n">
        <v>1.76</v>
      </c>
      <c r="L279" t="n">
        <v>0.13</v>
      </c>
      <c r="M279" t="n">
        <v>1.63</v>
      </c>
      <c r="P279" t="inlineStr">
        <is>
          <t>최형주</t>
        </is>
      </c>
      <c r="Q279" t="inlineStr">
        <is>
          <t>홈서비스 60개월</t>
        </is>
      </c>
      <c r="Z279" t="n">
        <v>0</v>
      </c>
      <c r="AB279" t="inlineStr">
        <is>
          <t>홈서비스</t>
        </is>
      </c>
      <c r="AC279" t="n">
        <v>176000</v>
      </c>
      <c r="AD279" t="n">
        <v>13000</v>
      </c>
      <c r="AE279" t="n">
        <v>163000</v>
      </c>
      <c r="AF279" t="n">
        <v>160000</v>
      </c>
      <c r="AG279" t="n">
        <v>13000</v>
      </c>
      <c r="AH279" t="n">
        <v>147000</v>
      </c>
    </row>
    <row r="280">
      <c r="A280" t="inlineStr">
        <is>
          <t>1월</t>
        </is>
      </c>
      <c r="B280" t="inlineStr">
        <is>
          <t>2주차</t>
        </is>
      </c>
      <c r="C280" t="inlineStr">
        <is>
          <t>EP</t>
        </is>
      </c>
      <c r="D280" s="28" t="n">
        <v>46031</v>
      </c>
      <c r="E280" t="inlineStr">
        <is>
          <t>현대EP_fast</t>
        </is>
      </c>
      <c r="F280" t="inlineStr">
        <is>
          <t>정재이</t>
        </is>
      </c>
      <c r="G280" t="inlineStr">
        <is>
          <t>010-8838-9538</t>
        </is>
      </c>
      <c r="H280" t="inlineStr">
        <is>
          <t>31우1564</t>
        </is>
      </c>
      <c r="I280" t="n">
        <v>57000000</v>
      </c>
      <c r="J280" t="n">
        <v>0.073</v>
      </c>
      <c r="K280" t="n">
        <v>1.76</v>
      </c>
      <c r="L280" t="n">
        <v>0.4</v>
      </c>
      <c r="M280" t="n">
        <v>1.36</v>
      </c>
      <c r="P280" t="inlineStr">
        <is>
          <t>장진경</t>
        </is>
      </c>
      <c r="Z280" t="n">
        <v>0</v>
      </c>
      <c r="AB280" t="inlineStr">
        <is>
          <t>엔카</t>
        </is>
      </c>
      <c r="AC280" t="n">
        <v>1003200</v>
      </c>
      <c r="AD280" t="n">
        <v>228000</v>
      </c>
      <c r="AE280" t="n">
        <v>775200</v>
      </c>
      <c r="AF280" t="n">
        <v>912000</v>
      </c>
      <c r="AG280" t="n">
        <v>228000</v>
      </c>
      <c r="AH280" t="n">
        <v>684000</v>
      </c>
    </row>
    <row r="281">
      <c r="A281" t="inlineStr">
        <is>
          <t>1월</t>
        </is>
      </c>
      <c r="B281" t="inlineStr">
        <is>
          <t>2주차</t>
        </is>
      </c>
      <c r="C281" t="inlineStr">
        <is>
          <t>EP</t>
        </is>
      </c>
      <c r="D281" s="28" t="n">
        <v>46031</v>
      </c>
      <c r="E281" t="inlineStr">
        <is>
          <t>현대EP</t>
        </is>
      </c>
      <c r="F281" t="inlineStr">
        <is>
          <t>이상구</t>
        </is>
      </c>
      <c r="G281" t="inlineStr">
        <is>
          <t>010-3816-9201</t>
        </is>
      </c>
      <c r="H281" t="inlineStr">
        <is>
          <t>40마6465</t>
        </is>
      </c>
      <c r="I281" t="n">
        <v>15000000</v>
      </c>
      <c r="J281" t="n">
        <v>0.06900000000000001</v>
      </c>
      <c r="K281" t="n">
        <v>1.76</v>
      </c>
      <c r="L281" t="n">
        <v>0.13</v>
      </c>
      <c r="M281" t="n">
        <v>1.63</v>
      </c>
      <c r="P281" t="inlineStr">
        <is>
          <t>정광호</t>
        </is>
      </c>
      <c r="Q281" t="inlineStr">
        <is>
          <t>홈서비스 24개월</t>
        </is>
      </c>
      <c r="Z281" t="n">
        <v>0</v>
      </c>
      <c r="AB281" t="inlineStr">
        <is>
          <t>홈서비스</t>
        </is>
      </c>
      <c r="AC281" t="n">
        <v>264000</v>
      </c>
      <c r="AD281" t="n">
        <v>19500</v>
      </c>
      <c r="AE281" t="n">
        <v>244500</v>
      </c>
      <c r="AF281" t="n">
        <v>240000</v>
      </c>
      <c r="AG281" t="n">
        <v>19500</v>
      </c>
      <c r="AH281" t="n">
        <v>220500</v>
      </c>
      <c r="AI281" t="n">
        <v>0</v>
      </c>
    </row>
    <row r="282">
      <c r="A282" t="inlineStr">
        <is>
          <t>1월</t>
        </is>
      </c>
      <c r="B282" t="inlineStr">
        <is>
          <t>2주차</t>
        </is>
      </c>
      <c r="C282" t="inlineStr">
        <is>
          <t>IM</t>
        </is>
      </c>
      <c r="D282" s="28" t="n">
        <v>46032</v>
      </c>
      <c r="E282" t="inlineStr">
        <is>
          <t>IM캐피탈</t>
        </is>
      </c>
      <c r="F282" t="inlineStr">
        <is>
          <t>권영광</t>
        </is>
      </c>
      <c r="G282" t="inlineStr">
        <is>
          <t>010-7746-1807</t>
        </is>
      </c>
      <c r="H282" t="inlineStr">
        <is>
          <t>27주0897</t>
        </is>
      </c>
      <c r="I282" t="n">
        <v>13200000</v>
      </c>
      <c r="J282" t="n">
        <v>0.064</v>
      </c>
      <c r="K282" t="n">
        <v>0.55</v>
      </c>
      <c r="L282" t="n">
        <v>0.13</v>
      </c>
      <c r="M282" t="n">
        <v>0.42</v>
      </c>
      <c r="P282" t="inlineStr">
        <is>
          <t>정세빈</t>
        </is>
      </c>
      <c r="Q282" t="inlineStr">
        <is>
          <t>안심거래존건</t>
        </is>
      </c>
      <c r="Z282" t="n">
        <v>0</v>
      </c>
      <c r="AB282" t="inlineStr">
        <is>
          <t>믿고</t>
        </is>
      </c>
      <c r="AC282" t="n">
        <v>72600</v>
      </c>
      <c r="AD282" t="n">
        <v>17160</v>
      </c>
      <c r="AE282" t="n">
        <v>55440</v>
      </c>
      <c r="AF282" t="n">
        <v>66000</v>
      </c>
      <c r="AG282" t="n">
        <v>17160</v>
      </c>
      <c r="AH282" t="n">
        <v>48840</v>
      </c>
    </row>
    <row r="283">
      <c r="A283" t="inlineStr">
        <is>
          <t>1월</t>
        </is>
      </c>
      <c r="B283" t="inlineStr">
        <is>
          <t>3주차</t>
        </is>
      </c>
      <c r="C283" t="inlineStr">
        <is>
          <t>EP</t>
        </is>
      </c>
      <c r="D283" s="28" t="n">
        <v>46034</v>
      </c>
      <c r="E283" t="inlineStr">
        <is>
          <t>현대EP_fast</t>
        </is>
      </c>
      <c r="F283" t="inlineStr">
        <is>
          <t>최영국</t>
        </is>
      </c>
      <c r="G283" t="inlineStr">
        <is>
          <t>010-7421-6020</t>
        </is>
      </c>
      <c r="H283" t="inlineStr">
        <is>
          <t>69소0639</t>
        </is>
      </c>
      <c r="I283" t="n">
        <v>4400000</v>
      </c>
      <c r="J283" t="n">
        <v>0.08699999999999999</v>
      </c>
      <c r="K283" t="n">
        <v>1.76</v>
      </c>
      <c r="L283" t="n">
        <v>0.13</v>
      </c>
      <c r="M283" t="n">
        <v>1.63</v>
      </c>
      <c r="P283" t="inlineStr">
        <is>
          <t>황채이</t>
        </is>
      </c>
      <c r="Q283" t="inlineStr">
        <is>
          <t>홈서비스 24개월 /*당월철회 20260116</t>
        </is>
      </c>
      <c r="Z283" t="n">
        <v>0</v>
      </c>
      <c r="AB283" t="inlineStr">
        <is>
          <t>홈서비스</t>
        </is>
      </c>
      <c r="AC283" t="n">
        <v>77440</v>
      </c>
      <c r="AD283" t="n">
        <v>5720</v>
      </c>
      <c r="AE283" t="n">
        <v>71720</v>
      </c>
      <c r="AF283" t="n">
        <v>70400</v>
      </c>
      <c r="AG283" t="n">
        <v>5720</v>
      </c>
      <c r="AH283" t="n">
        <v>64680</v>
      </c>
      <c r="AI283" t="n">
        <v>0</v>
      </c>
      <c r="AK283" t="inlineStr">
        <is>
          <t>대출철회</t>
        </is>
      </c>
    </row>
    <row r="284">
      <c r="A284" t="inlineStr">
        <is>
          <t>1월</t>
        </is>
      </c>
      <c r="B284" t="inlineStr">
        <is>
          <t>3주차</t>
        </is>
      </c>
      <c r="C284" t="inlineStr">
        <is>
          <t>EP</t>
        </is>
      </c>
      <c r="D284" s="28" t="n">
        <v>46034</v>
      </c>
      <c r="E284" t="inlineStr">
        <is>
          <t>현대EP_fast</t>
        </is>
      </c>
      <c r="F284" t="inlineStr">
        <is>
          <t>이하늘</t>
        </is>
      </c>
      <c r="G284" t="inlineStr">
        <is>
          <t>010-6756-2075</t>
        </is>
      </c>
      <c r="H284" t="inlineStr">
        <is>
          <t>123누4391</t>
        </is>
      </c>
      <c r="I284" t="n">
        <v>7300000</v>
      </c>
      <c r="J284" t="n">
        <v>0.06900000000000001</v>
      </c>
      <c r="K284" t="n">
        <v>1.76</v>
      </c>
      <c r="L284" t="n">
        <v>0.13</v>
      </c>
      <c r="M284" t="n">
        <v>1.63</v>
      </c>
      <c r="P284" t="inlineStr">
        <is>
          <t>황채이</t>
        </is>
      </c>
      <c r="Q284" t="inlineStr">
        <is>
          <t>홈서비스 60개월</t>
        </is>
      </c>
      <c r="Z284" t="n">
        <v>0</v>
      </c>
      <c r="AB284" t="inlineStr">
        <is>
          <t>홈서비스</t>
        </is>
      </c>
      <c r="AC284" t="n">
        <v>128480</v>
      </c>
      <c r="AD284" t="n">
        <v>9490</v>
      </c>
      <c r="AE284" t="n">
        <v>118990</v>
      </c>
      <c r="AF284" t="n">
        <v>116800</v>
      </c>
      <c r="AG284" t="n">
        <v>9490</v>
      </c>
      <c r="AH284" t="n">
        <v>107310</v>
      </c>
    </row>
    <row r="285">
      <c r="A285" t="inlineStr">
        <is>
          <t>1월</t>
        </is>
      </c>
      <c r="B285" t="inlineStr">
        <is>
          <t>2주차</t>
        </is>
      </c>
      <c r="C285" t="inlineStr">
        <is>
          <t>EP</t>
        </is>
      </c>
      <c r="D285" s="28" t="n">
        <v>46032</v>
      </c>
      <c r="E285" t="inlineStr">
        <is>
          <t>현대EP_fast</t>
        </is>
      </c>
      <c r="F285" t="inlineStr">
        <is>
          <t>장형길</t>
        </is>
      </c>
      <c r="G285" t="inlineStr">
        <is>
          <t>010-6678-7596</t>
        </is>
      </c>
      <c r="H285" t="inlineStr">
        <is>
          <t>201고6568</t>
        </is>
      </c>
      <c r="I285" t="n">
        <v>27300000</v>
      </c>
      <c r="J285" t="n">
        <v>0.093</v>
      </c>
      <c r="K285" t="n">
        <v>1.76</v>
      </c>
      <c r="L285" t="n">
        <v>0.13</v>
      </c>
      <c r="M285" t="n">
        <v>1.63</v>
      </c>
      <c r="P285" t="inlineStr">
        <is>
          <t>정세빈</t>
        </is>
      </c>
      <c r="Q285" t="inlineStr">
        <is>
          <t>홈서비스 60개월 / 카피아알선</t>
        </is>
      </c>
      <c r="Z285" t="n">
        <v>0</v>
      </c>
      <c r="AB285" t="inlineStr">
        <is>
          <t>홈서비스</t>
        </is>
      </c>
      <c r="AC285" t="n">
        <v>480480</v>
      </c>
      <c r="AD285" t="n">
        <v>35490</v>
      </c>
      <c r="AE285" t="n">
        <v>444990</v>
      </c>
      <c r="AF285" t="n">
        <v>436800</v>
      </c>
      <c r="AG285" t="n">
        <v>35490</v>
      </c>
      <c r="AH285" t="n">
        <v>401310</v>
      </c>
      <c r="AI285" t="n">
        <v>0</v>
      </c>
    </row>
    <row r="286">
      <c r="A286" t="inlineStr">
        <is>
          <t>1월</t>
        </is>
      </c>
      <c r="B286" t="inlineStr">
        <is>
          <t>3주차</t>
        </is>
      </c>
      <c r="C286" t="inlineStr">
        <is>
          <t>EP</t>
        </is>
      </c>
      <c r="D286" s="28" t="n">
        <v>46034</v>
      </c>
      <c r="E286" t="inlineStr">
        <is>
          <t>현대EP_fast</t>
        </is>
      </c>
      <c r="F286" t="inlineStr">
        <is>
          <t>박태랑</t>
        </is>
      </c>
      <c r="G286" t="inlineStr">
        <is>
          <t>010-9565-5753</t>
        </is>
      </c>
      <c r="H286" t="inlineStr">
        <is>
          <t>361러3511</t>
        </is>
      </c>
      <c r="I286" t="n">
        <v>70000000</v>
      </c>
      <c r="J286" t="n">
        <v>0.093</v>
      </c>
      <c r="K286" t="n">
        <v>1.76</v>
      </c>
      <c r="L286" t="n">
        <v>0.13</v>
      </c>
      <c r="M286" t="n">
        <v>1.63</v>
      </c>
      <c r="P286" t="inlineStr">
        <is>
          <t>정세빈</t>
        </is>
      </c>
      <c r="Q286" t="inlineStr">
        <is>
          <t>홈서비스 36개월</t>
        </is>
      </c>
      <c r="Z286" t="n">
        <v>0</v>
      </c>
      <c r="AB286" t="inlineStr">
        <is>
          <t>홈서비스</t>
        </is>
      </c>
      <c r="AC286" t="n">
        <v>1232000</v>
      </c>
      <c r="AD286" t="n">
        <v>91000</v>
      </c>
      <c r="AE286" t="n">
        <v>1141000</v>
      </c>
      <c r="AF286" t="n">
        <v>1120000</v>
      </c>
      <c r="AG286" t="n">
        <v>91000</v>
      </c>
      <c r="AH286" t="n">
        <v>1029000</v>
      </c>
      <c r="AI286" t="n">
        <v>0</v>
      </c>
    </row>
    <row r="287">
      <c r="A287" t="inlineStr">
        <is>
          <t>1월</t>
        </is>
      </c>
      <c r="B287" t="inlineStr">
        <is>
          <t>2주차</t>
        </is>
      </c>
      <c r="C287" t="inlineStr">
        <is>
          <t>OR</t>
        </is>
      </c>
      <c r="D287" s="28" t="n">
        <v>46030</v>
      </c>
      <c r="E287" t="inlineStr">
        <is>
          <t>오릭스</t>
        </is>
      </c>
      <c r="F287" t="inlineStr">
        <is>
          <t>박상원</t>
        </is>
      </c>
      <c r="G287" t="inlineStr">
        <is>
          <t>010-9199-7705</t>
        </is>
      </c>
      <c r="H287" t="inlineStr">
        <is>
          <t>42부1436</t>
        </is>
      </c>
      <c r="I287" t="n">
        <v>10000000</v>
      </c>
      <c r="J287" t="n">
        <v>0.057</v>
      </c>
      <c r="K287" t="n">
        <v>1.65</v>
      </c>
      <c r="L287" t="n">
        <v>0.4</v>
      </c>
      <c r="M287" t="n">
        <v>1.25</v>
      </c>
      <c r="P287" t="inlineStr">
        <is>
          <t>구성완</t>
        </is>
      </c>
      <c r="Z287" t="n">
        <v>0</v>
      </c>
      <c r="AB287" t="inlineStr">
        <is>
          <t>엔카</t>
        </is>
      </c>
      <c r="AC287" t="n">
        <v>165000</v>
      </c>
      <c r="AD287" t="n">
        <v>40000</v>
      </c>
      <c r="AE287" t="n">
        <v>125000</v>
      </c>
      <c r="AF287" t="n">
        <v>150000</v>
      </c>
      <c r="AG287" t="n">
        <v>40000</v>
      </c>
      <c r="AH287" t="n">
        <v>110000</v>
      </c>
    </row>
    <row r="288">
      <c r="A288" t="inlineStr">
        <is>
          <t>1월</t>
        </is>
      </c>
      <c r="B288" t="inlineStr">
        <is>
          <t>2주차</t>
        </is>
      </c>
      <c r="C288" t="inlineStr">
        <is>
          <t>OR</t>
        </is>
      </c>
      <c r="D288" s="28" t="n">
        <v>46030</v>
      </c>
      <c r="E288" t="inlineStr">
        <is>
          <t>오릭스</t>
        </is>
      </c>
      <c r="F288" t="inlineStr">
        <is>
          <t>노지성</t>
        </is>
      </c>
      <c r="G288" t="inlineStr">
        <is>
          <t>010-8300-1447</t>
        </is>
      </c>
      <c r="H288" t="inlineStr">
        <is>
          <t>90모6002</t>
        </is>
      </c>
      <c r="I288" t="n">
        <v>12000000</v>
      </c>
      <c r="J288" t="n">
        <v>0.08</v>
      </c>
      <c r="K288" t="n">
        <v>1.65</v>
      </c>
      <c r="L288" t="n">
        <v>0.4</v>
      </c>
      <c r="M288" t="n">
        <v>1.25</v>
      </c>
      <c r="P288" t="inlineStr">
        <is>
          <t>구성완</t>
        </is>
      </c>
      <c r="Z288" t="n">
        <v>0</v>
      </c>
      <c r="AB288" t="inlineStr">
        <is>
          <t>엔카</t>
        </is>
      </c>
      <c r="AC288" t="n">
        <v>198000</v>
      </c>
      <c r="AD288" t="n">
        <v>48000</v>
      </c>
      <c r="AE288" t="n">
        <v>150000</v>
      </c>
      <c r="AF288" t="n">
        <v>180000</v>
      </c>
      <c r="AG288" t="n">
        <v>48000</v>
      </c>
      <c r="AH288" t="n">
        <v>132000</v>
      </c>
    </row>
    <row r="289">
      <c r="A289" t="inlineStr">
        <is>
          <t>1월</t>
        </is>
      </c>
      <c r="B289" t="inlineStr">
        <is>
          <t>2주차</t>
        </is>
      </c>
      <c r="C289" t="inlineStr">
        <is>
          <t>EP</t>
        </is>
      </c>
      <c r="D289" s="28" t="n">
        <v>46031</v>
      </c>
      <c r="E289" t="inlineStr">
        <is>
          <t>현대EP_fast</t>
        </is>
      </c>
      <c r="F289" t="inlineStr">
        <is>
          <t>김동주</t>
        </is>
      </c>
      <c r="G289" t="inlineStr">
        <is>
          <t>010-4353-3083</t>
        </is>
      </c>
      <c r="H289" t="inlineStr">
        <is>
          <t>173서4264</t>
        </is>
      </c>
      <c r="I289" t="n">
        <v>29900000</v>
      </c>
      <c r="J289" t="n">
        <v>0.081</v>
      </c>
      <c r="K289" t="n">
        <v>1.76</v>
      </c>
      <c r="L289" t="n">
        <v>0.13</v>
      </c>
      <c r="M289" t="n">
        <v>1.63</v>
      </c>
      <c r="P289" t="inlineStr">
        <is>
          <t>김나윤</t>
        </is>
      </c>
      <c r="Q289" t="inlineStr">
        <is>
          <t>홈서비스60개월</t>
        </is>
      </c>
      <c r="Z289" t="n">
        <v>0</v>
      </c>
      <c r="AB289" t="inlineStr">
        <is>
          <t>홈서비스</t>
        </is>
      </c>
      <c r="AC289" t="n">
        <v>526240</v>
      </c>
      <c r="AD289" t="n">
        <v>38870</v>
      </c>
      <c r="AE289" t="n">
        <v>487370</v>
      </c>
      <c r="AF289" t="n">
        <v>478400</v>
      </c>
      <c r="AG289" t="n">
        <v>38870</v>
      </c>
      <c r="AH289" t="n">
        <v>439530</v>
      </c>
    </row>
    <row r="290">
      <c r="A290" t="inlineStr">
        <is>
          <t>1월</t>
        </is>
      </c>
      <c r="B290" t="inlineStr">
        <is>
          <t>2주차</t>
        </is>
      </c>
      <c r="C290" t="inlineStr">
        <is>
          <t>IM</t>
        </is>
      </c>
      <c r="D290" s="28" t="n">
        <v>46031</v>
      </c>
      <c r="E290" t="inlineStr">
        <is>
          <t>IM캐피탈</t>
        </is>
      </c>
      <c r="F290" t="inlineStr">
        <is>
          <t>이아람</t>
        </is>
      </c>
      <c r="G290" t="inlineStr">
        <is>
          <t>010-8297-8892</t>
        </is>
      </c>
      <c r="H290" t="inlineStr">
        <is>
          <t>04마0355</t>
        </is>
      </c>
      <c r="I290" t="n">
        <v>19000000</v>
      </c>
      <c r="J290" t="n">
        <v>0.056</v>
      </c>
      <c r="K290" t="n">
        <v>0.55</v>
      </c>
      <c r="L290" t="n">
        <v>0.4</v>
      </c>
      <c r="M290" t="n">
        <v>0.15</v>
      </c>
      <c r="P290" t="inlineStr">
        <is>
          <t>박보람</t>
        </is>
      </c>
      <c r="Z290" t="n">
        <v>0</v>
      </c>
      <c r="AB290" t="inlineStr">
        <is>
          <t>엔카</t>
        </is>
      </c>
      <c r="AC290" t="n">
        <v>104500</v>
      </c>
      <c r="AD290" t="n">
        <v>76000</v>
      </c>
      <c r="AE290" t="n">
        <v>28500</v>
      </c>
      <c r="AF290" t="n">
        <v>95000</v>
      </c>
      <c r="AG290" t="n">
        <v>76000</v>
      </c>
      <c r="AH290" t="n">
        <v>19000</v>
      </c>
    </row>
    <row r="291">
      <c r="A291" t="inlineStr">
        <is>
          <t>1월</t>
        </is>
      </c>
      <c r="B291" t="inlineStr">
        <is>
          <t>2주차</t>
        </is>
      </c>
      <c r="C291" t="inlineStr">
        <is>
          <t>IM</t>
        </is>
      </c>
      <c r="D291" s="28" t="n">
        <v>46031</v>
      </c>
      <c r="E291" t="inlineStr">
        <is>
          <t>IM캐피탈</t>
        </is>
      </c>
      <c r="F291" t="inlineStr">
        <is>
          <t>조승민</t>
        </is>
      </c>
      <c r="G291" t="inlineStr">
        <is>
          <t>010-7799-5113</t>
        </is>
      </c>
      <c r="H291" t="inlineStr">
        <is>
          <t>357가8617</t>
        </is>
      </c>
      <c r="I291" t="n">
        <v>14000000</v>
      </c>
      <c r="J291" t="n">
        <v>0.049</v>
      </c>
      <c r="K291" t="n">
        <v>0.55</v>
      </c>
      <c r="L291" t="n">
        <v>0.13</v>
      </c>
      <c r="M291" t="n">
        <v>0.42</v>
      </c>
      <c r="P291" t="inlineStr">
        <is>
          <t>최혁</t>
        </is>
      </c>
      <c r="Q291" t="inlineStr">
        <is>
          <t>홈서비스72개월</t>
        </is>
      </c>
      <c r="Z291" t="n">
        <v>0</v>
      </c>
      <c r="AB291" t="inlineStr">
        <is>
          <t>홈서비스</t>
        </is>
      </c>
      <c r="AC291" t="n">
        <v>77000</v>
      </c>
      <c r="AD291" t="n">
        <v>18200</v>
      </c>
      <c r="AE291" t="n">
        <v>58800</v>
      </c>
      <c r="AF291" t="n">
        <v>70000</v>
      </c>
      <c r="AG291" t="n">
        <v>18200</v>
      </c>
      <c r="AH291" t="n">
        <v>51800</v>
      </c>
    </row>
    <row r="292">
      <c r="A292" t="inlineStr">
        <is>
          <t>1월</t>
        </is>
      </c>
      <c r="B292" t="inlineStr">
        <is>
          <t>2주차</t>
        </is>
      </c>
      <c r="C292" t="inlineStr">
        <is>
          <t>EP</t>
        </is>
      </c>
      <c r="D292" s="28" t="n">
        <v>46031</v>
      </c>
      <c r="E292" t="inlineStr">
        <is>
          <t>현대EP</t>
        </is>
      </c>
      <c r="F292" t="inlineStr">
        <is>
          <t>김미경</t>
        </is>
      </c>
      <c r="G292" t="inlineStr">
        <is>
          <t>010-8689-0311</t>
        </is>
      </c>
      <c r="H292" t="inlineStr">
        <is>
          <t>333누1642</t>
        </is>
      </c>
      <c r="I292" t="n">
        <v>33500000</v>
      </c>
      <c r="J292" t="n">
        <v>0.073</v>
      </c>
      <c r="K292" t="n">
        <v>1.76</v>
      </c>
      <c r="L292" t="n">
        <v>0.13</v>
      </c>
      <c r="M292" t="n">
        <v>1.63</v>
      </c>
      <c r="P292" t="inlineStr">
        <is>
          <t>김나윤</t>
        </is>
      </c>
      <c r="Q292" t="inlineStr">
        <is>
          <t>홈서비스 60개월 / *중도상환 20260112</t>
        </is>
      </c>
      <c r="Z292" t="n">
        <v>0</v>
      </c>
      <c r="AB292" t="inlineStr">
        <is>
          <t>홈서비스</t>
        </is>
      </c>
      <c r="AC292" t="n">
        <v>589600</v>
      </c>
      <c r="AD292" t="n">
        <v>43550</v>
      </c>
      <c r="AE292" t="n">
        <v>546050</v>
      </c>
      <c r="AF292" t="n">
        <v>536000</v>
      </c>
      <c r="AG292" t="n">
        <v>43550</v>
      </c>
      <c r="AH292" t="n">
        <v>492450</v>
      </c>
      <c r="AK292" t="inlineStr">
        <is>
          <t>중도상환</t>
        </is>
      </c>
    </row>
    <row r="293">
      <c r="A293" t="inlineStr">
        <is>
          <t>1월</t>
        </is>
      </c>
      <c r="B293" t="inlineStr">
        <is>
          <t>2주차</t>
        </is>
      </c>
      <c r="C293" t="inlineStr">
        <is>
          <t>EP</t>
        </is>
      </c>
      <c r="D293" s="28" t="n">
        <v>46032</v>
      </c>
      <c r="E293" t="inlineStr">
        <is>
          <t>현대EP</t>
        </is>
      </c>
      <c r="F293" t="inlineStr">
        <is>
          <t>이영주</t>
        </is>
      </c>
      <c r="G293" t="inlineStr">
        <is>
          <t>010-4501-7478</t>
        </is>
      </c>
      <c r="H293" t="inlineStr">
        <is>
          <t>35오5800</t>
        </is>
      </c>
      <c r="I293" t="n">
        <v>7000000</v>
      </c>
      <c r="J293" t="n">
        <v>0.067</v>
      </c>
      <c r="K293" t="n">
        <v>1.76</v>
      </c>
      <c r="L293" t="n">
        <v>0.13</v>
      </c>
      <c r="M293" t="n">
        <v>1.63</v>
      </c>
      <c r="P293" t="inlineStr">
        <is>
          <t>최형주</t>
        </is>
      </c>
      <c r="Q293" t="inlineStr">
        <is>
          <t>홈서비스 36개월</t>
        </is>
      </c>
      <c r="Z293" t="n">
        <v>0</v>
      </c>
      <c r="AB293" t="inlineStr">
        <is>
          <t>홈서비스</t>
        </is>
      </c>
      <c r="AC293" t="n">
        <v>123200</v>
      </c>
      <c r="AD293" t="n">
        <v>9100</v>
      </c>
      <c r="AE293" t="n">
        <v>114100</v>
      </c>
      <c r="AF293" t="n">
        <v>112000</v>
      </c>
      <c r="AG293" t="n">
        <v>9100</v>
      </c>
      <c r="AH293" t="n">
        <v>102900</v>
      </c>
      <c r="AI293" t="n">
        <v>0</v>
      </c>
    </row>
    <row r="294">
      <c r="A294" t="inlineStr">
        <is>
          <t>1월</t>
        </is>
      </c>
      <c r="B294" t="inlineStr">
        <is>
          <t>3주차</t>
        </is>
      </c>
      <c r="C294" t="inlineStr">
        <is>
          <t>IM</t>
        </is>
      </c>
      <c r="D294" s="28" t="n">
        <v>46034</v>
      </c>
      <c r="E294" t="inlineStr">
        <is>
          <t>IM캐피탈</t>
        </is>
      </c>
      <c r="F294" t="inlineStr">
        <is>
          <t>이동규</t>
        </is>
      </c>
      <c r="G294" t="n">
        <v>1087837114</v>
      </c>
      <c r="H294" t="inlineStr">
        <is>
          <t>332로4218</t>
        </is>
      </c>
      <c r="I294" t="n">
        <v>12000000</v>
      </c>
      <c r="J294" t="n">
        <v>0.07199999999999999</v>
      </c>
      <c r="K294" t="n">
        <v>0.55</v>
      </c>
      <c r="L294" t="n">
        <v>0.13</v>
      </c>
      <c r="M294" t="n">
        <v>0.42</v>
      </c>
      <c r="P294" t="inlineStr">
        <is>
          <t>김나윤</t>
        </is>
      </c>
      <c r="Q294" t="inlineStr">
        <is>
          <t>홈서비스48개월/ *철회 20260114</t>
        </is>
      </c>
      <c r="Z294" t="n">
        <v>0</v>
      </c>
      <c r="AB294" t="inlineStr">
        <is>
          <t>홈서비스</t>
        </is>
      </c>
      <c r="AC294" t="n">
        <v>66000</v>
      </c>
      <c r="AD294" t="n">
        <v>15600</v>
      </c>
      <c r="AE294" t="n">
        <v>50400</v>
      </c>
      <c r="AF294" t="n">
        <v>60000</v>
      </c>
      <c r="AG294" t="n">
        <v>15600</v>
      </c>
      <c r="AH294" t="n">
        <v>44400</v>
      </c>
      <c r="AI294" t="n">
        <v>0</v>
      </c>
      <c r="AK294" t="inlineStr">
        <is>
          <t>대출철회</t>
        </is>
      </c>
    </row>
    <row r="295">
      <c r="A295" t="inlineStr">
        <is>
          <t>1월</t>
        </is>
      </c>
      <c r="B295" t="inlineStr">
        <is>
          <t>3주차</t>
        </is>
      </c>
      <c r="C295" t="inlineStr">
        <is>
          <t>IM</t>
        </is>
      </c>
      <c r="D295" s="28" t="n">
        <v>46034</v>
      </c>
      <c r="E295" t="inlineStr">
        <is>
          <t>IM캐피탈</t>
        </is>
      </c>
      <c r="F295" t="inlineStr">
        <is>
          <t>김영두</t>
        </is>
      </c>
      <c r="G295" t="inlineStr">
        <is>
          <t>010-8529-1748</t>
        </is>
      </c>
      <c r="H295" t="inlineStr">
        <is>
          <t>305라8533</t>
        </is>
      </c>
      <c r="I295" t="n">
        <v>28300000</v>
      </c>
      <c r="J295" t="n">
        <v>0.053</v>
      </c>
      <c r="K295" t="n">
        <v>0.55</v>
      </c>
      <c r="L295" t="n">
        <v>0.4</v>
      </c>
      <c r="M295" t="n">
        <v>0.15</v>
      </c>
      <c r="P295" t="inlineStr">
        <is>
          <t>구성완</t>
        </is>
      </c>
      <c r="Z295" t="n">
        <v>0</v>
      </c>
      <c r="AB295" t="inlineStr">
        <is>
          <t>엔카</t>
        </is>
      </c>
      <c r="AC295" t="n">
        <v>155650</v>
      </c>
      <c r="AD295" t="n">
        <v>113200</v>
      </c>
      <c r="AE295" t="n">
        <v>42450</v>
      </c>
      <c r="AF295" t="n">
        <v>141500</v>
      </c>
      <c r="AG295" t="n">
        <v>113200</v>
      </c>
      <c r="AH295" t="n">
        <v>28300</v>
      </c>
      <c r="AI295" t="n">
        <v>0</v>
      </c>
    </row>
    <row r="296">
      <c r="A296" t="inlineStr">
        <is>
          <t>1월</t>
        </is>
      </c>
      <c r="B296" t="inlineStr">
        <is>
          <t>3주차</t>
        </is>
      </c>
      <c r="C296" t="inlineStr">
        <is>
          <t>IM</t>
        </is>
      </c>
      <c r="D296" s="28" t="n">
        <v>46034</v>
      </c>
      <c r="E296" t="inlineStr">
        <is>
          <t>IM캐피탈</t>
        </is>
      </c>
      <c r="F296" t="inlineStr">
        <is>
          <t>김대현</t>
        </is>
      </c>
      <c r="G296" t="n">
        <v>1071625917</v>
      </c>
      <c r="H296" t="inlineStr">
        <is>
          <t>197수6625</t>
        </is>
      </c>
      <c r="I296" t="n">
        <v>30000000</v>
      </c>
      <c r="J296" t="n">
        <v>0.056</v>
      </c>
      <c r="K296" t="n">
        <v>0.55</v>
      </c>
      <c r="L296" t="n">
        <v>0.13</v>
      </c>
      <c r="M296" t="n">
        <v>0.42</v>
      </c>
      <c r="P296" t="inlineStr">
        <is>
          <t>김나윤</t>
        </is>
      </c>
      <c r="Q296" t="inlineStr">
        <is>
          <t>홈서비스24개월</t>
        </is>
      </c>
      <c r="Z296" t="n">
        <v>0</v>
      </c>
      <c r="AB296" t="inlineStr">
        <is>
          <t>홈서비스</t>
        </is>
      </c>
      <c r="AC296" t="n">
        <v>165000</v>
      </c>
      <c r="AD296" t="n">
        <v>39000</v>
      </c>
      <c r="AE296" t="n">
        <v>126000</v>
      </c>
      <c r="AF296" t="n">
        <v>150000</v>
      </c>
      <c r="AG296" t="n">
        <v>39000</v>
      </c>
      <c r="AH296" t="n">
        <v>111000</v>
      </c>
      <c r="AI296" t="n">
        <v>0</v>
      </c>
    </row>
    <row r="297">
      <c r="A297" t="inlineStr">
        <is>
          <t>1월</t>
        </is>
      </c>
      <c r="B297" t="inlineStr">
        <is>
          <t>3주차</t>
        </is>
      </c>
      <c r="C297" t="inlineStr">
        <is>
          <t>EP</t>
        </is>
      </c>
      <c r="D297" s="28" t="n">
        <v>46034</v>
      </c>
      <c r="E297" t="inlineStr">
        <is>
          <t>현대EP_fast</t>
        </is>
      </c>
      <c r="F297" t="inlineStr">
        <is>
          <t>민성현</t>
        </is>
      </c>
      <c r="G297" t="inlineStr">
        <is>
          <t>010-4875-5614</t>
        </is>
      </c>
      <c r="H297" t="inlineStr">
        <is>
          <t>370머2117</t>
        </is>
      </c>
      <c r="I297" t="n">
        <v>22900000</v>
      </c>
      <c r="J297" t="n">
        <v>0.093</v>
      </c>
      <c r="K297" t="n">
        <v>1.76</v>
      </c>
      <c r="L297" t="n">
        <v>0.13</v>
      </c>
      <c r="M297" t="n">
        <v>1.63</v>
      </c>
      <c r="P297" t="inlineStr">
        <is>
          <t>최형주</t>
        </is>
      </c>
      <c r="Q297" t="inlineStr">
        <is>
          <t>홈서비스60개월</t>
        </is>
      </c>
      <c r="Z297" t="n">
        <v>0</v>
      </c>
      <c r="AB297" t="inlineStr">
        <is>
          <t>홈서비스</t>
        </is>
      </c>
      <c r="AC297" t="n">
        <v>403040</v>
      </c>
      <c r="AD297" t="n">
        <v>29770</v>
      </c>
      <c r="AE297" t="n">
        <v>373270</v>
      </c>
      <c r="AF297" t="n">
        <v>366400</v>
      </c>
      <c r="AG297" t="n">
        <v>29770</v>
      </c>
      <c r="AH297" t="n">
        <v>336630</v>
      </c>
    </row>
    <row r="298">
      <c r="A298" t="inlineStr">
        <is>
          <t>1월</t>
        </is>
      </c>
      <c r="B298" t="inlineStr">
        <is>
          <t>3주차</t>
        </is>
      </c>
      <c r="C298" t="inlineStr">
        <is>
          <t>IM</t>
        </is>
      </c>
      <c r="D298" s="28" t="n">
        <v>46034</v>
      </c>
      <c r="E298" t="inlineStr">
        <is>
          <t>IM캐피탈</t>
        </is>
      </c>
      <c r="F298" t="inlineStr">
        <is>
          <t>강나연</t>
        </is>
      </c>
      <c r="G298" t="inlineStr">
        <is>
          <t>010-3900-4195</t>
        </is>
      </c>
      <c r="H298" t="inlineStr">
        <is>
          <t>275루5870</t>
        </is>
      </c>
      <c r="I298" t="n">
        <v>26700000</v>
      </c>
      <c r="J298" t="n">
        <v>0.056</v>
      </c>
      <c r="K298" t="n">
        <v>0.55</v>
      </c>
      <c r="L298" t="n">
        <v>0.13</v>
      </c>
      <c r="M298" t="n">
        <v>0.42</v>
      </c>
      <c r="P298" t="inlineStr">
        <is>
          <t>정세빈</t>
        </is>
      </c>
      <c r="Q298" t="inlineStr">
        <is>
          <t>홈서비스 60개월</t>
        </is>
      </c>
      <c r="Z298" t="n">
        <v>0</v>
      </c>
      <c r="AB298" t="inlineStr">
        <is>
          <t>홈서비스</t>
        </is>
      </c>
      <c r="AC298" t="n">
        <v>146850</v>
      </c>
      <c r="AD298" t="n">
        <v>34710</v>
      </c>
      <c r="AE298" t="n">
        <v>112140</v>
      </c>
      <c r="AF298" t="n">
        <v>133500</v>
      </c>
      <c r="AG298" t="n">
        <v>34710</v>
      </c>
      <c r="AH298" t="n">
        <v>98790</v>
      </c>
      <c r="AI298" t="n">
        <v>0</v>
      </c>
    </row>
    <row r="299">
      <c r="A299" t="inlineStr">
        <is>
          <t>1월</t>
        </is>
      </c>
      <c r="B299" t="inlineStr">
        <is>
          <t>2주차</t>
        </is>
      </c>
      <c r="C299" t="inlineStr">
        <is>
          <t>EP</t>
        </is>
      </c>
      <c r="D299" s="28" t="n">
        <v>46031</v>
      </c>
      <c r="E299" t="inlineStr">
        <is>
          <t>현대EP_fast</t>
        </is>
      </c>
      <c r="F299" t="inlineStr">
        <is>
          <t>김홍조</t>
        </is>
      </c>
      <c r="G299" t="inlineStr">
        <is>
          <t>010-2670-9300</t>
        </is>
      </c>
      <c r="H299" t="inlineStr">
        <is>
          <t>20부2699</t>
        </is>
      </c>
      <c r="I299" t="n">
        <v>8600000</v>
      </c>
      <c r="J299" t="n">
        <v>0.097</v>
      </c>
      <c r="K299" t="n">
        <v>1.76</v>
      </c>
      <c r="L299" t="n">
        <v>0.4</v>
      </c>
      <c r="M299" t="n">
        <v>1.36</v>
      </c>
      <c r="P299" t="inlineStr">
        <is>
          <t>박현민</t>
        </is>
      </c>
      <c r="Z299" t="n">
        <v>0</v>
      </c>
      <c r="AB299" t="inlineStr">
        <is>
          <t>엔카</t>
        </is>
      </c>
      <c r="AC299" t="n">
        <v>151360</v>
      </c>
      <c r="AD299" t="n">
        <v>34400</v>
      </c>
      <c r="AE299" t="n">
        <v>116960</v>
      </c>
      <c r="AF299" t="n">
        <v>137600</v>
      </c>
      <c r="AG299" t="n">
        <v>34400</v>
      </c>
      <c r="AH299" t="n">
        <v>103200</v>
      </c>
    </row>
    <row r="300">
      <c r="A300" t="inlineStr">
        <is>
          <t>1월</t>
        </is>
      </c>
      <c r="B300" t="inlineStr">
        <is>
          <t>3주차</t>
        </is>
      </c>
      <c r="C300" t="inlineStr">
        <is>
          <t>EP</t>
        </is>
      </c>
      <c r="D300" s="28" t="n">
        <v>46034</v>
      </c>
      <c r="E300" t="inlineStr">
        <is>
          <t>현대EP_fast</t>
        </is>
      </c>
      <c r="F300" t="inlineStr">
        <is>
          <t>황성빈</t>
        </is>
      </c>
      <c r="G300" t="inlineStr">
        <is>
          <t>010-2990-2047</t>
        </is>
      </c>
      <c r="H300" t="inlineStr">
        <is>
          <t>396우6015</t>
        </is>
      </c>
      <c r="I300" t="n">
        <v>13400000</v>
      </c>
      <c r="J300" t="n">
        <v>0.08699999999999999</v>
      </c>
      <c r="K300" t="n">
        <v>1.76</v>
      </c>
      <c r="L300" t="n">
        <v>0.13</v>
      </c>
      <c r="M300" t="n">
        <v>1.63</v>
      </c>
      <c r="P300" t="inlineStr">
        <is>
          <t>최형주</t>
        </is>
      </c>
      <c r="Q300" t="inlineStr">
        <is>
          <t>홈서비스 60개월</t>
        </is>
      </c>
      <c r="Z300" t="n">
        <v>0</v>
      </c>
      <c r="AB300" t="inlineStr">
        <is>
          <t>홈서비스</t>
        </is>
      </c>
      <c r="AC300" t="n">
        <v>235840</v>
      </c>
      <c r="AD300" t="n">
        <v>17420</v>
      </c>
      <c r="AE300" t="n">
        <v>218420</v>
      </c>
      <c r="AF300" t="n">
        <v>214400</v>
      </c>
      <c r="AG300" t="n">
        <v>17420</v>
      </c>
      <c r="AH300" t="n">
        <v>196980</v>
      </c>
      <c r="AI300" t="n">
        <v>0</v>
      </c>
    </row>
    <row r="301">
      <c r="A301" t="inlineStr">
        <is>
          <t>1월</t>
        </is>
      </c>
      <c r="B301" t="inlineStr">
        <is>
          <t>2주차</t>
        </is>
      </c>
      <c r="C301" t="inlineStr">
        <is>
          <t>EP</t>
        </is>
      </c>
      <c r="D301" s="28" t="n">
        <v>46031</v>
      </c>
      <c r="E301" t="inlineStr">
        <is>
          <t>제이비EP</t>
        </is>
      </c>
      <c r="F301" t="inlineStr">
        <is>
          <t>송선석</t>
        </is>
      </c>
      <c r="G301" t="inlineStr">
        <is>
          <t>010-5848-0928</t>
        </is>
      </c>
      <c r="H301" t="inlineStr">
        <is>
          <t>61주7006</t>
        </is>
      </c>
      <c r="I301" t="n">
        <v>24200000</v>
      </c>
      <c r="J301" t="n">
        <v>0.094</v>
      </c>
      <c r="K301" t="n">
        <v>1.65</v>
      </c>
      <c r="L301" t="n">
        <v>0.4</v>
      </c>
      <c r="M301" t="n">
        <v>1.25</v>
      </c>
      <c r="P301" t="inlineStr">
        <is>
          <t>박현민</t>
        </is>
      </c>
      <c r="Z301" t="n">
        <v>0</v>
      </c>
      <c r="AB301" t="inlineStr">
        <is>
          <t>엔카</t>
        </is>
      </c>
      <c r="AC301" t="n">
        <v>399300</v>
      </c>
      <c r="AD301" t="n">
        <v>96800</v>
      </c>
      <c r="AE301" t="n">
        <v>302500</v>
      </c>
      <c r="AF301" t="n">
        <v>363000</v>
      </c>
      <c r="AG301" t="n">
        <v>96800</v>
      </c>
      <c r="AH301" t="n">
        <v>266200</v>
      </c>
      <c r="AI301" t="n">
        <v>1</v>
      </c>
    </row>
    <row r="302">
      <c r="A302" t="inlineStr">
        <is>
          <t>1월</t>
        </is>
      </c>
      <c r="B302" t="inlineStr">
        <is>
          <t>2주차</t>
        </is>
      </c>
      <c r="C302" t="inlineStr">
        <is>
          <t>EP</t>
        </is>
      </c>
      <c r="D302" s="28" t="n">
        <v>46031</v>
      </c>
      <c r="E302" t="inlineStr">
        <is>
          <t>현대EP</t>
        </is>
      </c>
      <c r="F302" t="inlineStr">
        <is>
          <t>이효진</t>
        </is>
      </c>
      <c r="G302" t="inlineStr">
        <is>
          <t>010-5607-9033</t>
        </is>
      </c>
      <c r="H302" t="inlineStr">
        <is>
          <t>33고9507</t>
        </is>
      </c>
      <c r="I302" t="n">
        <v>3500000</v>
      </c>
      <c r="J302" t="n">
        <v>0.089</v>
      </c>
      <c r="K302" t="n">
        <v>1.76</v>
      </c>
      <c r="L302" t="n">
        <v>0.13</v>
      </c>
      <c r="M302" t="n">
        <v>1.63</v>
      </c>
      <c r="P302" t="inlineStr">
        <is>
          <t>정광호</t>
        </is>
      </c>
      <c r="Q302" t="inlineStr">
        <is>
          <t>홈서비스 60개월</t>
        </is>
      </c>
      <c r="Z302" t="n">
        <v>0</v>
      </c>
      <c r="AB302" t="inlineStr">
        <is>
          <t>홈서비스</t>
        </is>
      </c>
      <c r="AC302" t="n">
        <v>61600</v>
      </c>
      <c r="AD302" t="n">
        <v>4550</v>
      </c>
      <c r="AE302" t="n">
        <v>57050</v>
      </c>
      <c r="AF302" t="n">
        <v>56000</v>
      </c>
      <c r="AG302" t="n">
        <v>4550</v>
      </c>
      <c r="AH302" t="n">
        <v>51450</v>
      </c>
      <c r="AI302" t="n">
        <v>1</v>
      </c>
    </row>
    <row r="303">
      <c r="A303" t="inlineStr">
        <is>
          <t>1월</t>
        </is>
      </c>
      <c r="B303" t="inlineStr">
        <is>
          <t>3주차</t>
        </is>
      </c>
      <c r="C303" t="inlineStr">
        <is>
          <t>EP</t>
        </is>
      </c>
      <c r="D303" s="28" t="n">
        <v>46034</v>
      </c>
      <c r="E303" t="inlineStr">
        <is>
          <t>현대EP_fast</t>
        </is>
      </c>
      <c r="F303" t="inlineStr">
        <is>
          <t>이희철</t>
        </is>
      </c>
      <c r="G303" t="inlineStr">
        <is>
          <t>010-5491-0441</t>
        </is>
      </c>
      <c r="H303" t="inlineStr">
        <is>
          <t>122마5909</t>
        </is>
      </c>
      <c r="I303" t="n">
        <v>30000000</v>
      </c>
      <c r="J303" t="n">
        <v>0.067</v>
      </c>
      <c r="K303" t="n">
        <v>1.76</v>
      </c>
      <c r="L303" t="n">
        <v>0.13</v>
      </c>
      <c r="M303" t="n">
        <v>1.63</v>
      </c>
      <c r="P303" t="inlineStr">
        <is>
          <t>최형주</t>
        </is>
      </c>
      <c r="Q303" t="inlineStr">
        <is>
          <t>홈서비스 36개월</t>
        </is>
      </c>
      <c r="Z303" t="n">
        <v>0</v>
      </c>
      <c r="AB303" t="inlineStr">
        <is>
          <t>홈서비스</t>
        </is>
      </c>
      <c r="AC303" t="n">
        <v>528000</v>
      </c>
      <c r="AD303" t="n">
        <v>39000</v>
      </c>
      <c r="AE303" t="n">
        <v>489000</v>
      </c>
      <c r="AF303" t="n">
        <v>480000</v>
      </c>
      <c r="AG303" t="n">
        <v>39000</v>
      </c>
      <c r="AH303" t="n">
        <v>441000</v>
      </c>
      <c r="AI303" t="n">
        <v>1</v>
      </c>
    </row>
    <row r="304">
      <c r="A304" t="inlineStr">
        <is>
          <t>1월</t>
        </is>
      </c>
      <c r="B304" t="inlineStr">
        <is>
          <t>2주차</t>
        </is>
      </c>
      <c r="C304" t="inlineStr">
        <is>
          <t>EP</t>
        </is>
      </c>
      <c r="D304" s="28" t="n">
        <v>46031</v>
      </c>
      <c r="E304" t="inlineStr">
        <is>
          <t>현대EP</t>
        </is>
      </c>
      <c r="F304" t="inlineStr">
        <is>
          <t>권재성</t>
        </is>
      </c>
      <c r="G304" t="inlineStr">
        <is>
          <t>010-9373-1361</t>
        </is>
      </c>
      <c r="H304" t="inlineStr">
        <is>
          <t>24두3474</t>
        </is>
      </c>
      <c r="I304" t="n">
        <v>9400000</v>
      </c>
      <c r="J304" t="n">
        <v>0.067</v>
      </c>
      <c r="K304" t="n">
        <v>1.76</v>
      </c>
      <c r="L304" t="n">
        <v>0.13</v>
      </c>
      <c r="M304" t="n">
        <v>1.63</v>
      </c>
      <c r="P304" t="inlineStr">
        <is>
          <t>박보람</t>
        </is>
      </c>
      <c r="Q304" t="inlineStr">
        <is>
          <t>홈서비스 60개월</t>
        </is>
      </c>
      <c r="Z304" t="n">
        <v>0</v>
      </c>
      <c r="AB304" t="inlineStr">
        <is>
          <t>홈서비스</t>
        </is>
      </c>
      <c r="AC304" t="n">
        <v>165440</v>
      </c>
      <c r="AD304" t="n">
        <v>12220</v>
      </c>
      <c r="AE304" t="n">
        <v>153220</v>
      </c>
      <c r="AF304" t="n">
        <v>150400</v>
      </c>
      <c r="AG304" t="n">
        <v>12220</v>
      </c>
      <c r="AH304" t="n">
        <v>138180</v>
      </c>
      <c r="AI304" t="n">
        <v>1</v>
      </c>
    </row>
    <row r="305">
      <c r="A305" t="inlineStr">
        <is>
          <t>1월</t>
        </is>
      </c>
      <c r="B305" t="inlineStr">
        <is>
          <t>2주차</t>
        </is>
      </c>
      <c r="C305" t="inlineStr">
        <is>
          <t>OR</t>
        </is>
      </c>
      <c r="D305" s="28" t="n">
        <v>46030</v>
      </c>
      <c r="E305" t="inlineStr">
        <is>
          <t>오릭스</t>
        </is>
      </c>
      <c r="F305" t="inlineStr">
        <is>
          <t>최시영</t>
        </is>
      </c>
      <c r="G305" t="inlineStr">
        <is>
          <t>010-3516-9483</t>
        </is>
      </c>
      <c r="H305" t="inlineStr">
        <is>
          <t>206다2840</t>
        </is>
      </c>
      <c r="I305" t="n">
        <v>23000000</v>
      </c>
      <c r="J305" t="n">
        <v>0.055</v>
      </c>
      <c r="K305" t="n">
        <v>1.65</v>
      </c>
      <c r="L305" t="n">
        <v>0.4</v>
      </c>
      <c r="M305" t="n">
        <v>1.25</v>
      </c>
      <c r="P305" t="inlineStr">
        <is>
          <t>정하은</t>
        </is>
      </c>
      <c r="Z305" t="n">
        <v>0</v>
      </c>
      <c r="AB305" t="inlineStr">
        <is>
          <t>엔카</t>
        </is>
      </c>
      <c r="AC305" t="n">
        <v>379500</v>
      </c>
      <c r="AD305" t="n">
        <v>92000</v>
      </c>
      <c r="AE305" t="n">
        <v>287500</v>
      </c>
      <c r="AF305" t="n">
        <v>345000</v>
      </c>
      <c r="AG305" t="n">
        <v>92000</v>
      </c>
      <c r="AH305" t="n">
        <v>253000</v>
      </c>
      <c r="AI305" t="n">
        <v>1</v>
      </c>
    </row>
    <row r="306">
      <c r="A306" t="inlineStr">
        <is>
          <t>1월</t>
        </is>
      </c>
      <c r="B306" t="inlineStr">
        <is>
          <t>3주차</t>
        </is>
      </c>
      <c r="C306" t="inlineStr">
        <is>
          <t>IM</t>
        </is>
      </c>
      <c r="D306" s="28" t="n">
        <v>46034</v>
      </c>
      <c r="E306" t="inlineStr">
        <is>
          <t>IM캐피탈</t>
        </is>
      </c>
      <c r="F306" t="inlineStr">
        <is>
          <t>강정훈</t>
        </is>
      </c>
      <c r="G306" t="n">
        <v>1034926664</v>
      </c>
      <c r="H306" t="inlineStr">
        <is>
          <t>149우5264</t>
        </is>
      </c>
      <c r="I306" t="n">
        <v>13900000</v>
      </c>
      <c r="J306" t="n">
        <v>0.053</v>
      </c>
      <c r="K306" t="n">
        <v>0.55</v>
      </c>
      <c r="L306" t="n">
        <v>0.13</v>
      </c>
      <c r="M306" t="n">
        <v>0.42</v>
      </c>
      <c r="P306" t="inlineStr">
        <is>
          <t>김나윤</t>
        </is>
      </c>
      <c r="Q306" t="inlineStr">
        <is>
          <t>홈서비스60개월</t>
        </is>
      </c>
      <c r="Z306" t="n">
        <v>0</v>
      </c>
      <c r="AB306" t="inlineStr">
        <is>
          <t>홈서비스</t>
        </is>
      </c>
      <c r="AC306" t="n">
        <v>76450</v>
      </c>
      <c r="AD306" t="n">
        <v>18070</v>
      </c>
      <c r="AE306" t="n">
        <v>58380</v>
      </c>
      <c r="AF306" t="n">
        <v>69500</v>
      </c>
      <c r="AG306" t="n">
        <v>18070</v>
      </c>
      <c r="AH306" t="n">
        <v>51430</v>
      </c>
      <c r="AI306" t="n">
        <v>1</v>
      </c>
    </row>
    <row r="307">
      <c r="A307" t="inlineStr">
        <is>
          <t>1월</t>
        </is>
      </c>
      <c r="B307" t="inlineStr">
        <is>
          <t>2주차</t>
        </is>
      </c>
      <c r="C307" t="inlineStr">
        <is>
          <t>EP</t>
        </is>
      </c>
      <c r="D307" s="28" t="n">
        <v>46032</v>
      </c>
      <c r="E307" t="inlineStr">
        <is>
          <t>현대EP_fast</t>
        </is>
      </c>
      <c r="F307" t="inlineStr">
        <is>
          <t>양기성</t>
        </is>
      </c>
      <c r="G307" t="inlineStr">
        <is>
          <t>010-3003-4623</t>
        </is>
      </c>
      <c r="H307" t="inlineStr">
        <is>
          <t>174나1399</t>
        </is>
      </c>
      <c r="I307" t="n">
        <v>18600000</v>
      </c>
      <c r="J307" t="n">
        <v>0.08699999999999999</v>
      </c>
      <c r="K307" t="n">
        <v>1.76</v>
      </c>
      <c r="L307" t="n">
        <v>0.13</v>
      </c>
      <c r="M307" t="n">
        <v>1.63</v>
      </c>
      <c r="P307" t="inlineStr">
        <is>
          <t>최혁</t>
        </is>
      </c>
      <c r="Q307" t="inlineStr">
        <is>
          <t>홈서비스 60개월</t>
        </is>
      </c>
      <c r="Z307" t="n">
        <v>0</v>
      </c>
      <c r="AB307" t="inlineStr">
        <is>
          <t>홈서비스</t>
        </is>
      </c>
      <c r="AC307" t="n">
        <v>327360</v>
      </c>
      <c r="AD307" t="n">
        <v>24180</v>
      </c>
      <c r="AE307" t="n">
        <v>303180</v>
      </c>
      <c r="AF307" t="n">
        <v>297600</v>
      </c>
      <c r="AG307" t="n">
        <v>24180</v>
      </c>
      <c r="AH307" t="n">
        <v>273420</v>
      </c>
      <c r="AI307" t="n">
        <v>1</v>
      </c>
    </row>
    <row r="308">
      <c r="A308" t="inlineStr">
        <is>
          <t>1월</t>
        </is>
      </c>
      <c r="B308" t="inlineStr">
        <is>
          <t>3주차</t>
        </is>
      </c>
      <c r="C308" t="inlineStr">
        <is>
          <t>IM</t>
        </is>
      </c>
      <c r="D308" s="28" t="n">
        <v>46034</v>
      </c>
      <c r="E308" t="inlineStr">
        <is>
          <t>IM캐피탈</t>
        </is>
      </c>
      <c r="F308" t="inlineStr">
        <is>
          <t>배태영</t>
        </is>
      </c>
      <c r="G308" t="n">
        <v>1037753897</v>
      </c>
      <c r="H308" t="inlineStr">
        <is>
          <t>240라2022</t>
        </is>
      </c>
      <c r="I308" t="n">
        <v>35700000</v>
      </c>
      <c r="J308" t="n">
        <v>0.056</v>
      </c>
      <c r="K308" t="n">
        <v>0.55</v>
      </c>
      <c r="L308" t="n">
        <v>0.13</v>
      </c>
      <c r="M308" t="n">
        <v>0.42</v>
      </c>
      <c r="P308" t="inlineStr">
        <is>
          <t>김나윤</t>
        </is>
      </c>
      <c r="Q308" t="inlineStr">
        <is>
          <t>홈서비스84개월</t>
        </is>
      </c>
      <c r="Z308" t="n">
        <v>0</v>
      </c>
      <c r="AB308" t="inlineStr">
        <is>
          <t>홈서비스</t>
        </is>
      </c>
      <c r="AC308" t="n">
        <v>196350</v>
      </c>
      <c r="AD308" t="n">
        <v>46410</v>
      </c>
      <c r="AE308" t="n">
        <v>149940</v>
      </c>
      <c r="AF308" t="n">
        <v>178500</v>
      </c>
      <c r="AG308" t="n">
        <v>46410</v>
      </c>
      <c r="AH308" t="n">
        <v>132090</v>
      </c>
      <c r="AI308" t="n">
        <v>1</v>
      </c>
    </row>
    <row r="309">
      <c r="A309" t="inlineStr">
        <is>
          <t>1월</t>
        </is>
      </c>
      <c r="B309" t="inlineStr">
        <is>
          <t>3주차</t>
        </is>
      </c>
      <c r="C309" t="inlineStr">
        <is>
          <t>IM</t>
        </is>
      </c>
      <c r="D309" s="28" t="n">
        <v>46034</v>
      </c>
      <c r="E309" t="inlineStr">
        <is>
          <t>IM캐피탈</t>
        </is>
      </c>
      <c r="F309" t="inlineStr">
        <is>
          <t>안정현</t>
        </is>
      </c>
      <c r="G309" t="n">
        <v>1037504700</v>
      </c>
      <c r="H309" t="inlineStr">
        <is>
          <t>356우8521</t>
        </is>
      </c>
      <c r="I309" t="n">
        <v>37500000</v>
      </c>
      <c r="J309" t="n">
        <v>0.049</v>
      </c>
      <c r="K309" t="n">
        <v>0.55</v>
      </c>
      <c r="L309" t="n">
        <v>0.13</v>
      </c>
      <c r="M309" t="n">
        <v>0.42</v>
      </c>
      <c r="P309" t="inlineStr">
        <is>
          <t>정세빈</t>
        </is>
      </c>
      <c r="Q309" t="inlineStr">
        <is>
          <t>홈서비스 84개월</t>
        </is>
      </c>
      <c r="Z309" t="n">
        <v>0</v>
      </c>
      <c r="AB309" t="inlineStr">
        <is>
          <t>홈서비스</t>
        </is>
      </c>
      <c r="AC309" t="n">
        <v>206250</v>
      </c>
      <c r="AD309" t="n">
        <v>48750</v>
      </c>
      <c r="AE309" t="n">
        <v>157500</v>
      </c>
      <c r="AF309" t="n">
        <v>187500</v>
      </c>
      <c r="AG309" t="n">
        <v>48750</v>
      </c>
      <c r="AH309" t="n">
        <v>138750</v>
      </c>
      <c r="AI309" t="n">
        <v>1</v>
      </c>
    </row>
    <row r="310">
      <c r="A310" t="inlineStr">
        <is>
          <t>1월</t>
        </is>
      </c>
      <c r="B310" t="inlineStr">
        <is>
          <t>3주차</t>
        </is>
      </c>
      <c r="C310" t="inlineStr">
        <is>
          <t>IM</t>
        </is>
      </c>
      <c r="D310" s="28" t="n">
        <v>46034</v>
      </c>
      <c r="E310" t="inlineStr">
        <is>
          <t>IM캐피탈</t>
        </is>
      </c>
      <c r="F310" t="inlineStr">
        <is>
          <t>강성훈</t>
        </is>
      </c>
      <c r="G310" t="inlineStr">
        <is>
          <t>010-3274-0529</t>
        </is>
      </c>
      <c r="H310" t="inlineStr">
        <is>
          <t>43모4383</t>
        </is>
      </c>
      <c r="I310" t="n">
        <v>8900000</v>
      </c>
      <c r="J310" t="n">
        <v>0.07199999999999999</v>
      </c>
      <c r="K310" t="n">
        <v>0.55</v>
      </c>
      <c r="L310" t="n">
        <v>0.13</v>
      </c>
      <c r="M310" t="n">
        <v>0.42</v>
      </c>
      <c r="P310" t="inlineStr">
        <is>
          <t>황채이</t>
        </is>
      </c>
      <c r="Q310" t="inlineStr">
        <is>
          <t>홈서비스 48개월 / *철회 20260116</t>
        </is>
      </c>
      <c r="Z310" t="n">
        <v>0</v>
      </c>
      <c r="AB310" t="inlineStr">
        <is>
          <t>홈서비스</t>
        </is>
      </c>
      <c r="AC310" t="n">
        <v>48950</v>
      </c>
      <c r="AD310" t="n">
        <v>11570</v>
      </c>
      <c r="AE310" t="n">
        <v>37380</v>
      </c>
      <c r="AF310" t="n">
        <v>44500</v>
      </c>
      <c r="AG310" t="n">
        <v>11570</v>
      </c>
      <c r="AH310" t="n">
        <v>32930</v>
      </c>
      <c r="AI310" t="n">
        <v>1</v>
      </c>
      <c r="AK310" t="inlineStr">
        <is>
          <t>대출철회</t>
        </is>
      </c>
    </row>
    <row r="311">
      <c r="A311" t="inlineStr">
        <is>
          <t>1월</t>
        </is>
      </c>
      <c r="B311" t="inlineStr">
        <is>
          <t>3주차</t>
        </is>
      </c>
      <c r="C311" t="inlineStr">
        <is>
          <t>WC</t>
        </is>
      </c>
      <c r="D311" s="28" t="n">
        <v>46034</v>
      </c>
      <c r="E311" t="inlineStr">
        <is>
          <t>웰컴저축은행</t>
        </is>
      </c>
      <c r="F311" t="inlineStr">
        <is>
          <t>김병조</t>
        </is>
      </c>
      <c r="G311" t="n">
        <v>1037044314</v>
      </c>
      <c r="H311" t="inlineStr">
        <is>
          <t>243고7184</t>
        </is>
      </c>
      <c r="I311" t="n">
        <v>30000000</v>
      </c>
      <c r="J311" t="n">
        <v>0.159</v>
      </c>
      <c r="K311" t="n">
        <v>0</v>
      </c>
      <c r="L311" t="n">
        <v>0.13</v>
      </c>
      <c r="M311" t="n">
        <v>-0.13</v>
      </c>
      <c r="P311" t="inlineStr">
        <is>
          <t>김나윤</t>
        </is>
      </c>
      <c r="Q311" t="inlineStr">
        <is>
          <t>홈서비스72개월</t>
        </is>
      </c>
      <c r="Z311" t="n">
        <v>0</v>
      </c>
      <c r="AB311" t="inlineStr">
        <is>
          <t>홈서비스</t>
        </is>
      </c>
      <c r="AC311" t="n">
        <v>0</v>
      </c>
      <c r="AD311" t="n">
        <v>39000</v>
      </c>
      <c r="AE311" t="n">
        <v>-39000</v>
      </c>
      <c r="AF311" t="n">
        <v>0</v>
      </c>
      <c r="AG311" t="n">
        <v>39000</v>
      </c>
      <c r="AH311" t="n">
        <v>-39000</v>
      </c>
      <c r="AI311" t="n">
        <v>1</v>
      </c>
    </row>
    <row r="312">
      <c r="A312" t="inlineStr">
        <is>
          <t>1월</t>
        </is>
      </c>
      <c r="B312" t="inlineStr">
        <is>
          <t>3주차</t>
        </is>
      </c>
      <c r="C312" t="inlineStr">
        <is>
          <t>EP</t>
        </is>
      </c>
      <c r="D312" s="28" t="n">
        <v>46034</v>
      </c>
      <c r="E312" t="inlineStr">
        <is>
          <t>현대EP_fast</t>
        </is>
      </c>
      <c r="F312" t="inlineStr">
        <is>
          <t>김정훈</t>
        </is>
      </c>
      <c r="G312" t="inlineStr">
        <is>
          <t>010-4400-6469</t>
        </is>
      </c>
      <c r="H312" t="inlineStr">
        <is>
          <t>170마9118</t>
        </is>
      </c>
      <c r="I312" t="n">
        <v>53500000</v>
      </c>
      <c r="J312" t="n">
        <v>0.075</v>
      </c>
      <c r="K312" t="n">
        <v>1.76</v>
      </c>
      <c r="L312" t="n">
        <v>0.13</v>
      </c>
      <c r="M312" t="n">
        <v>1.63</v>
      </c>
      <c r="P312" t="inlineStr">
        <is>
          <t>황채이</t>
        </is>
      </c>
      <c r="Q312" t="inlineStr">
        <is>
          <t>홈서비스 60개월</t>
        </is>
      </c>
      <c r="Z312" t="n">
        <v>0</v>
      </c>
      <c r="AB312" t="inlineStr">
        <is>
          <t>홈서비스</t>
        </is>
      </c>
      <c r="AC312" t="n">
        <v>941600</v>
      </c>
      <c r="AD312" t="n">
        <v>69550</v>
      </c>
      <c r="AE312" t="n">
        <v>872050</v>
      </c>
      <c r="AF312" t="n">
        <v>856000</v>
      </c>
      <c r="AG312" t="n">
        <v>69550</v>
      </c>
      <c r="AH312" t="n">
        <v>786450</v>
      </c>
      <c r="AI312" t="n">
        <v>0</v>
      </c>
    </row>
    <row r="313">
      <c r="A313" t="inlineStr">
        <is>
          <t>1월</t>
        </is>
      </c>
      <c r="B313" t="inlineStr">
        <is>
          <t>2주차</t>
        </is>
      </c>
      <c r="C313" t="inlineStr">
        <is>
          <t>IM</t>
        </is>
      </c>
      <c r="D313" s="28" t="n">
        <v>46031</v>
      </c>
      <c r="E313" t="inlineStr">
        <is>
          <t>IM캐피탈</t>
        </is>
      </c>
      <c r="F313" t="inlineStr">
        <is>
          <t>양혜인</t>
        </is>
      </c>
      <c r="G313" t="inlineStr">
        <is>
          <t>010-7722-7320</t>
        </is>
      </c>
      <c r="H313" t="inlineStr">
        <is>
          <t>379도9058</t>
        </is>
      </c>
      <c r="I313" t="n">
        <v>64000000</v>
      </c>
      <c r="J313" t="n">
        <v>0.049</v>
      </c>
      <c r="K313" t="n">
        <v>0.55</v>
      </c>
      <c r="L313" t="n">
        <v>0.4</v>
      </c>
      <c r="M313" t="n">
        <v>0.15</v>
      </c>
      <c r="P313" t="inlineStr">
        <is>
          <t>임대경</t>
        </is>
      </c>
      <c r="Q313" t="inlineStr">
        <is>
          <t>부대비용 추가진행</t>
        </is>
      </c>
      <c r="Z313" t="n">
        <v>0</v>
      </c>
      <c r="AB313" t="inlineStr">
        <is>
          <t>엔카</t>
        </is>
      </c>
      <c r="AC313" t="n">
        <v>352000</v>
      </c>
      <c r="AD313" t="n">
        <v>256000</v>
      </c>
      <c r="AE313" t="n">
        <v>96000</v>
      </c>
      <c r="AF313" t="n">
        <v>320000</v>
      </c>
      <c r="AG313" t="n">
        <v>256000</v>
      </c>
      <c r="AH313" t="n">
        <v>64000</v>
      </c>
      <c r="AI313" t="n">
        <v>0</v>
      </c>
    </row>
    <row r="314">
      <c r="A314" t="inlineStr">
        <is>
          <t>1월</t>
        </is>
      </c>
      <c r="B314" t="inlineStr">
        <is>
          <t>3주차</t>
        </is>
      </c>
      <c r="C314" t="inlineStr">
        <is>
          <t>EP</t>
        </is>
      </c>
      <c r="D314" s="28" t="n">
        <v>46034</v>
      </c>
      <c r="E314" t="inlineStr">
        <is>
          <t>현대EP_fast</t>
        </is>
      </c>
      <c r="F314" t="inlineStr">
        <is>
          <t>박수완</t>
        </is>
      </c>
      <c r="G314" t="inlineStr">
        <is>
          <t>010-9266-9809</t>
        </is>
      </c>
      <c r="H314" t="inlineStr">
        <is>
          <t>13너6472</t>
        </is>
      </c>
      <c r="I314" t="n">
        <v>16700000</v>
      </c>
      <c r="J314" t="n">
        <v>0.07199999999999999</v>
      </c>
      <c r="K314" t="n">
        <v>1.76</v>
      </c>
      <c r="L314" t="n">
        <v>0.13</v>
      </c>
      <c r="M314" t="n">
        <v>1.63</v>
      </c>
      <c r="P314" t="inlineStr">
        <is>
          <t>최형주</t>
        </is>
      </c>
      <c r="Q314" t="inlineStr">
        <is>
          <t>홈서비스60개월</t>
        </is>
      </c>
      <c r="Z314" t="n">
        <v>0</v>
      </c>
      <c r="AB314" t="inlineStr">
        <is>
          <t>홈서비스</t>
        </is>
      </c>
      <c r="AC314" t="n">
        <v>293920</v>
      </c>
      <c r="AD314" t="n">
        <v>21710</v>
      </c>
      <c r="AE314" t="n">
        <v>272210</v>
      </c>
      <c r="AF314" t="n">
        <v>267200</v>
      </c>
      <c r="AG314" t="n">
        <v>21710</v>
      </c>
      <c r="AH314" t="n">
        <v>245490</v>
      </c>
    </row>
    <row r="315">
      <c r="A315" t="inlineStr">
        <is>
          <t>1월</t>
        </is>
      </c>
      <c r="B315" t="inlineStr">
        <is>
          <t>3주차</t>
        </is>
      </c>
      <c r="C315" t="inlineStr">
        <is>
          <t>EP</t>
        </is>
      </c>
      <c r="D315" s="28" t="n">
        <v>46034</v>
      </c>
      <c r="E315" t="inlineStr">
        <is>
          <t>현대EP_fast</t>
        </is>
      </c>
      <c r="F315" t="inlineStr">
        <is>
          <t>백수호</t>
        </is>
      </c>
      <c r="G315" t="inlineStr">
        <is>
          <t>010-6565-7975</t>
        </is>
      </c>
      <c r="H315" t="inlineStr">
        <is>
          <t>15러6800</t>
        </is>
      </c>
      <c r="I315" t="n">
        <v>9600000</v>
      </c>
      <c r="J315" t="n">
        <v>0.097</v>
      </c>
      <c r="K315" t="n">
        <v>1.76</v>
      </c>
      <c r="L315" t="n">
        <v>0.13</v>
      </c>
      <c r="M315" t="n">
        <v>1.63</v>
      </c>
      <c r="P315" t="inlineStr">
        <is>
          <t>최형주</t>
        </is>
      </c>
      <c r="Q315" t="inlineStr">
        <is>
          <t>홈서비스 36개월</t>
        </is>
      </c>
      <c r="Z315" t="n">
        <v>0</v>
      </c>
      <c r="AB315" t="inlineStr">
        <is>
          <t>홈서비스</t>
        </is>
      </c>
      <c r="AC315" t="n">
        <v>168960</v>
      </c>
      <c r="AD315" t="n">
        <v>12480</v>
      </c>
      <c r="AE315" t="n">
        <v>156480</v>
      </c>
      <c r="AF315" t="n">
        <v>153600</v>
      </c>
      <c r="AG315" t="n">
        <v>12480</v>
      </c>
      <c r="AH315" t="n">
        <v>141120</v>
      </c>
      <c r="AI315" t="n">
        <v>0</v>
      </c>
    </row>
    <row r="316">
      <c r="A316" t="inlineStr">
        <is>
          <t>1월</t>
        </is>
      </c>
      <c r="B316" t="inlineStr">
        <is>
          <t>3주차</t>
        </is>
      </c>
      <c r="C316" t="inlineStr">
        <is>
          <t>OR</t>
        </is>
      </c>
      <c r="D316" s="28" t="n">
        <v>46034</v>
      </c>
      <c r="E316" t="inlineStr">
        <is>
          <t>오릭스</t>
        </is>
      </c>
      <c r="F316" t="inlineStr">
        <is>
          <t>김미순</t>
        </is>
      </c>
      <c r="G316" t="inlineStr">
        <is>
          <t>010-7112-1391</t>
        </is>
      </c>
      <c r="H316" t="inlineStr">
        <is>
          <t>365더7098</t>
        </is>
      </c>
      <c r="I316" t="n">
        <v>16600000</v>
      </c>
      <c r="J316" t="n">
        <v>0.064</v>
      </c>
      <c r="K316" t="n">
        <v>1.65</v>
      </c>
      <c r="L316" t="n">
        <v>0.13</v>
      </c>
      <c r="M316" t="n">
        <v>1.52</v>
      </c>
      <c r="P316" t="inlineStr">
        <is>
          <t>정세빈</t>
        </is>
      </c>
      <c r="Q316" t="inlineStr">
        <is>
          <t>홈서비스 60개월</t>
        </is>
      </c>
      <c r="Z316" t="n">
        <v>0</v>
      </c>
      <c r="AB316" t="inlineStr">
        <is>
          <t>홈서비스</t>
        </is>
      </c>
      <c r="AC316" t="n">
        <v>273900</v>
      </c>
      <c r="AD316" t="n">
        <v>21580</v>
      </c>
      <c r="AE316" t="n">
        <v>252320</v>
      </c>
      <c r="AF316" t="n">
        <v>249000</v>
      </c>
      <c r="AG316" t="n">
        <v>21580</v>
      </c>
      <c r="AH316" t="n">
        <v>227420</v>
      </c>
    </row>
    <row r="317">
      <c r="A317" t="inlineStr">
        <is>
          <t>1월</t>
        </is>
      </c>
      <c r="B317" t="inlineStr">
        <is>
          <t>3주차</t>
        </is>
      </c>
      <c r="C317" t="inlineStr">
        <is>
          <t>IM</t>
        </is>
      </c>
      <c r="D317" s="28" t="n">
        <v>46034</v>
      </c>
      <c r="E317" t="inlineStr">
        <is>
          <t>IM캐피탈</t>
        </is>
      </c>
      <c r="F317" t="inlineStr">
        <is>
          <t>박지환</t>
        </is>
      </c>
      <c r="G317" t="inlineStr">
        <is>
          <t>010-2698-6518</t>
        </is>
      </c>
      <c r="H317" t="inlineStr">
        <is>
          <t>275어8746</t>
        </is>
      </c>
      <c r="I317" t="n">
        <v>39900000</v>
      </c>
      <c r="J317" t="n">
        <v>0.053</v>
      </c>
      <c r="K317" t="n">
        <v>0.55</v>
      </c>
      <c r="L317" t="n">
        <v>0.13</v>
      </c>
      <c r="M317" t="n">
        <v>0.42</v>
      </c>
      <c r="P317" t="inlineStr">
        <is>
          <t>정광호</t>
        </is>
      </c>
      <c r="Q317" t="inlineStr">
        <is>
          <t>홈서비스 48개월</t>
        </is>
      </c>
      <c r="Z317" t="n">
        <v>0</v>
      </c>
      <c r="AB317" t="inlineStr">
        <is>
          <t>홈서비스</t>
        </is>
      </c>
      <c r="AC317" t="n">
        <v>219450</v>
      </c>
      <c r="AD317" t="n">
        <v>51870</v>
      </c>
      <c r="AE317" t="n">
        <v>167580</v>
      </c>
      <c r="AF317" t="n">
        <v>199500</v>
      </c>
      <c r="AG317" t="n">
        <v>51870</v>
      </c>
      <c r="AH317" t="n">
        <v>147630</v>
      </c>
      <c r="AI317" t="n">
        <v>0</v>
      </c>
    </row>
    <row r="318">
      <c r="A318" t="inlineStr">
        <is>
          <t>1월</t>
        </is>
      </c>
      <c r="B318" t="inlineStr">
        <is>
          <t>3주차</t>
        </is>
      </c>
      <c r="C318" t="inlineStr">
        <is>
          <t>EP</t>
        </is>
      </c>
      <c r="D318" s="28" t="n">
        <v>46034</v>
      </c>
      <c r="E318" t="inlineStr">
        <is>
          <t>현대EP_fast</t>
        </is>
      </c>
      <c r="F318" t="inlineStr">
        <is>
          <t>김보민</t>
        </is>
      </c>
      <c r="G318" t="inlineStr">
        <is>
          <t>010-5702-8782</t>
        </is>
      </c>
      <c r="H318" t="inlineStr">
        <is>
          <t>63주0634</t>
        </is>
      </c>
      <c r="I318" t="n">
        <v>5000000</v>
      </c>
      <c r="J318" t="n">
        <v>0.07199999999999999</v>
      </c>
      <c r="K318" t="n">
        <v>1.76</v>
      </c>
      <c r="L318" t="n">
        <v>0.13</v>
      </c>
      <c r="M318" t="n">
        <v>1.63</v>
      </c>
      <c r="P318" t="inlineStr">
        <is>
          <t>정광호</t>
        </is>
      </c>
      <c r="Q318" t="inlineStr">
        <is>
          <t>홈서비스 48개월 /*당월철회 20260116</t>
        </is>
      </c>
      <c r="Z318" t="n">
        <v>0</v>
      </c>
      <c r="AB318" t="inlineStr">
        <is>
          <t>홈서비스</t>
        </is>
      </c>
      <c r="AC318" t="n">
        <v>88000</v>
      </c>
      <c r="AD318" t="n">
        <v>6500</v>
      </c>
      <c r="AE318" t="n">
        <v>81500</v>
      </c>
      <c r="AF318" t="n">
        <v>80000</v>
      </c>
      <c r="AG318" t="n">
        <v>6500</v>
      </c>
      <c r="AH318" t="n">
        <v>73500</v>
      </c>
      <c r="AI318" t="n">
        <v>0</v>
      </c>
      <c r="AK318" t="inlineStr">
        <is>
          <t>대출철회</t>
        </is>
      </c>
    </row>
    <row r="319">
      <c r="A319" t="inlineStr">
        <is>
          <t>1월</t>
        </is>
      </c>
      <c r="B319" t="inlineStr">
        <is>
          <t>3주차</t>
        </is>
      </c>
      <c r="C319" t="inlineStr">
        <is>
          <t>EP</t>
        </is>
      </c>
      <c r="D319" s="28" t="n">
        <v>46034</v>
      </c>
      <c r="E319" t="inlineStr">
        <is>
          <t>현대EP_fast</t>
        </is>
      </c>
      <c r="F319" t="inlineStr">
        <is>
          <t>상오규</t>
        </is>
      </c>
      <c r="G319" t="inlineStr">
        <is>
          <t>010-4767-7629</t>
        </is>
      </c>
      <c r="H319" t="inlineStr">
        <is>
          <t>387고7952</t>
        </is>
      </c>
      <c r="I319" t="n">
        <v>9900000</v>
      </c>
      <c r="J319" t="n">
        <v>0.115</v>
      </c>
      <c r="K319" t="n">
        <v>1.76</v>
      </c>
      <c r="L319" t="n">
        <v>0.13</v>
      </c>
      <c r="M319" t="n">
        <v>1.63</v>
      </c>
      <c r="P319" t="inlineStr">
        <is>
          <t>정세빈</t>
        </is>
      </c>
      <c r="Q319" t="inlineStr">
        <is>
          <t>홈서비스 36개월</t>
        </is>
      </c>
      <c r="Z319" t="n">
        <v>0</v>
      </c>
      <c r="AB319" t="inlineStr">
        <is>
          <t>홈서비스</t>
        </is>
      </c>
      <c r="AC319" t="n">
        <v>174240</v>
      </c>
      <c r="AD319" t="n">
        <v>12870</v>
      </c>
      <c r="AE319" t="n">
        <v>161370</v>
      </c>
      <c r="AF319" t="n">
        <v>158400</v>
      </c>
      <c r="AG319" t="n">
        <v>12870</v>
      </c>
      <c r="AH319" t="n">
        <v>145530</v>
      </c>
      <c r="AI319" t="n">
        <v>0</v>
      </c>
    </row>
    <row r="320">
      <c r="A320" t="inlineStr">
        <is>
          <t>1월</t>
        </is>
      </c>
      <c r="B320" t="inlineStr">
        <is>
          <t>3주차</t>
        </is>
      </c>
      <c r="C320" t="inlineStr">
        <is>
          <t>IM</t>
        </is>
      </c>
      <c r="D320" s="28" t="n">
        <v>46034</v>
      </c>
      <c r="E320" t="inlineStr">
        <is>
          <t>IM캐피탈</t>
        </is>
      </c>
      <c r="F320" t="inlineStr">
        <is>
          <t>김선희</t>
        </is>
      </c>
      <c r="G320" t="inlineStr">
        <is>
          <t>010-6235-7269</t>
        </is>
      </c>
      <c r="H320" t="inlineStr">
        <is>
          <t>313무5448</t>
        </is>
      </c>
      <c r="I320" t="n">
        <v>15600000</v>
      </c>
      <c r="J320" t="n">
        <v>0.07199999999999999</v>
      </c>
      <c r="K320" t="n">
        <v>0.55</v>
      </c>
      <c r="L320" t="n">
        <v>0.13</v>
      </c>
      <c r="M320" t="n">
        <v>0.42</v>
      </c>
      <c r="P320" t="inlineStr">
        <is>
          <t>최혁</t>
        </is>
      </c>
      <c r="Q320" t="inlineStr">
        <is>
          <t>홈서비스60개월</t>
        </is>
      </c>
      <c r="Z320" t="n">
        <v>0</v>
      </c>
      <c r="AB320" t="inlineStr">
        <is>
          <t>홈서비스</t>
        </is>
      </c>
      <c r="AC320" t="n">
        <v>85800</v>
      </c>
      <c r="AD320" t="n">
        <v>20280</v>
      </c>
      <c r="AE320" t="n">
        <v>65520</v>
      </c>
      <c r="AF320" t="n">
        <v>78000</v>
      </c>
      <c r="AG320" t="n">
        <v>20280</v>
      </c>
      <c r="AH320" t="n">
        <v>57720</v>
      </c>
      <c r="AI320" t="n">
        <v>0</v>
      </c>
    </row>
    <row r="321">
      <c r="A321" t="inlineStr">
        <is>
          <t>1월</t>
        </is>
      </c>
      <c r="B321" t="inlineStr">
        <is>
          <t>2주차</t>
        </is>
      </c>
      <c r="C321" t="inlineStr">
        <is>
          <t>EP</t>
        </is>
      </c>
      <c r="D321" s="28" t="n">
        <v>46031</v>
      </c>
      <c r="E321" t="inlineStr">
        <is>
          <t>현대EP_fast</t>
        </is>
      </c>
      <c r="F321" t="inlineStr">
        <is>
          <t>김현수</t>
        </is>
      </c>
      <c r="G321" t="inlineStr">
        <is>
          <t>010-8877-4261</t>
        </is>
      </c>
      <c r="H321" t="inlineStr">
        <is>
          <t>53노1373</t>
        </is>
      </c>
      <c r="I321" t="n">
        <v>14700000</v>
      </c>
      <c r="J321" t="n">
        <v>0.073</v>
      </c>
      <c r="K321" t="n">
        <v>1.76</v>
      </c>
      <c r="L321" t="n">
        <v>0.4</v>
      </c>
      <c r="M321" t="n">
        <v>1.36</v>
      </c>
      <c r="P321" t="inlineStr">
        <is>
          <t>임대경</t>
        </is>
      </c>
      <c r="Z321" t="n">
        <v>0</v>
      </c>
      <c r="AB321" t="inlineStr">
        <is>
          <t>엔카</t>
        </is>
      </c>
      <c r="AC321" t="n">
        <v>258720</v>
      </c>
      <c r="AD321" t="n">
        <v>58800</v>
      </c>
      <c r="AE321" t="n">
        <v>199920</v>
      </c>
      <c r="AF321" t="n">
        <v>235200</v>
      </c>
      <c r="AG321" t="n">
        <v>58800</v>
      </c>
      <c r="AH321" t="n">
        <v>176400</v>
      </c>
      <c r="AI321" t="n">
        <v>0</v>
      </c>
    </row>
    <row r="322">
      <c r="A322" t="inlineStr">
        <is>
          <t>1월</t>
        </is>
      </c>
      <c r="B322" t="inlineStr">
        <is>
          <t>3주차</t>
        </is>
      </c>
      <c r="C322" t="inlineStr">
        <is>
          <t>OR</t>
        </is>
      </c>
      <c r="D322" s="28" t="n">
        <v>46034</v>
      </c>
      <c r="E322" t="inlineStr">
        <is>
          <t>오릭스</t>
        </is>
      </c>
      <c r="F322" t="inlineStr">
        <is>
          <t>권병근</t>
        </is>
      </c>
      <c r="G322" t="inlineStr">
        <is>
          <t>010-9316-5382</t>
        </is>
      </c>
      <c r="H322" t="inlineStr">
        <is>
          <t>142노1292</t>
        </is>
      </c>
      <c r="I322" t="n">
        <v>16500000</v>
      </c>
      <c r="J322" t="n">
        <v>0.062</v>
      </c>
      <c r="K322" t="n">
        <v>1.65</v>
      </c>
      <c r="L322" t="n">
        <v>0.13</v>
      </c>
      <c r="M322" t="n">
        <v>1.52</v>
      </c>
      <c r="P322" t="inlineStr">
        <is>
          <t>정세빈</t>
        </is>
      </c>
      <c r="Q322" t="inlineStr">
        <is>
          <t>홈서비스 36개월</t>
        </is>
      </c>
      <c r="Z322" t="n">
        <v>0</v>
      </c>
      <c r="AB322" t="inlineStr">
        <is>
          <t>홈서비스</t>
        </is>
      </c>
      <c r="AC322" t="n">
        <v>272250</v>
      </c>
      <c r="AD322" t="n">
        <v>21450</v>
      </c>
      <c r="AE322" t="n">
        <v>250800</v>
      </c>
      <c r="AF322" t="n">
        <v>247500</v>
      </c>
      <c r="AG322" t="n">
        <v>21450</v>
      </c>
      <c r="AH322" t="n">
        <v>226050</v>
      </c>
    </row>
    <row r="323">
      <c r="A323" t="inlineStr">
        <is>
          <t>1월</t>
        </is>
      </c>
      <c r="B323" t="inlineStr">
        <is>
          <t>3주차</t>
        </is>
      </c>
      <c r="C323" t="inlineStr">
        <is>
          <t>EP</t>
        </is>
      </c>
      <c r="D323" s="28" t="n">
        <v>46034</v>
      </c>
      <c r="E323" t="inlineStr">
        <is>
          <t>현대EP</t>
        </is>
      </c>
      <c r="F323" t="inlineStr">
        <is>
          <t>박지애</t>
        </is>
      </c>
      <c r="G323" t="inlineStr">
        <is>
          <t>010-4299-4834</t>
        </is>
      </c>
      <c r="H323" t="inlineStr">
        <is>
          <t>35저9149</t>
        </is>
      </c>
      <c r="I323" t="n">
        <v>34500000</v>
      </c>
      <c r="J323" t="n">
        <v>0.08500000000000001</v>
      </c>
      <c r="K323" t="n">
        <v>1.76</v>
      </c>
      <c r="L323" t="n">
        <v>0.13</v>
      </c>
      <c r="M323" t="n">
        <v>1.63</v>
      </c>
      <c r="P323" t="inlineStr">
        <is>
          <t>정광호</t>
        </is>
      </c>
      <c r="Q323" t="inlineStr">
        <is>
          <t>홈서비스 60개월</t>
        </is>
      </c>
      <c r="Z323" t="n">
        <v>0</v>
      </c>
      <c r="AB323" t="inlineStr">
        <is>
          <t>홈서비스</t>
        </is>
      </c>
      <c r="AC323" t="n">
        <v>607200</v>
      </c>
      <c r="AD323" t="n">
        <v>44850</v>
      </c>
      <c r="AE323" t="n">
        <v>562350</v>
      </c>
      <c r="AF323" t="n">
        <v>552000</v>
      </c>
      <c r="AG323" t="n">
        <v>44850</v>
      </c>
      <c r="AH323" t="n">
        <v>507150</v>
      </c>
      <c r="AI323" t="n">
        <v>0</v>
      </c>
    </row>
    <row r="324">
      <c r="A324" t="inlineStr">
        <is>
          <t>1월</t>
        </is>
      </c>
      <c r="B324" t="inlineStr">
        <is>
          <t>3주차</t>
        </is>
      </c>
      <c r="C324" t="inlineStr">
        <is>
          <t>EP</t>
        </is>
      </c>
      <c r="D324" s="28" t="n">
        <v>46034</v>
      </c>
      <c r="E324" t="inlineStr">
        <is>
          <t>현대EP_fast</t>
        </is>
      </c>
      <c r="F324" t="inlineStr">
        <is>
          <t>김윤정</t>
        </is>
      </c>
      <c r="G324" t="inlineStr">
        <is>
          <t>010-5279-8122</t>
        </is>
      </c>
      <c r="H324" t="inlineStr">
        <is>
          <t>327저4780</t>
        </is>
      </c>
      <c r="I324" t="n">
        <v>14000000</v>
      </c>
      <c r="J324" t="n">
        <v>0.111</v>
      </c>
      <c r="K324" t="n">
        <v>1.76</v>
      </c>
      <c r="L324" t="n">
        <v>0.13</v>
      </c>
      <c r="M324" t="n">
        <v>1.63</v>
      </c>
      <c r="P324" t="inlineStr">
        <is>
          <t>최혁</t>
        </is>
      </c>
      <c r="Q324" t="inlineStr">
        <is>
          <t>홈서비스60개월</t>
        </is>
      </c>
      <c r="Z324" t="n">
        <v>0</v>
      </c>
      <c r="AB324" t="inlineStr">
        <is>
          <t>홈서비스</t>
        </is>
      </c>
      <c r="AC324" t="n">
        <v>246400</v>
      </c>
      <c r="AD324" t="n">
        <v>18200</v>
      </c>
      <c r="AE324" t="n">
        <v>228200</v>
      </c>
      <c r="AF324" t="n">
        <v>224000</v>
      </c>
      <c r="AG324" t="n">
        <v>18200</v>
      </c>
      <c r="AH324" t="n">
        <v>205800</v>
      </c>
      <c r="AI324" t="n">
        <v>0</v>
      </c>
    </row>
    <row r="325">
      <c r="A325" t="inlineStr">
        <is>
          <t>1월</t>
        </is>
      </c>
      <c r="B325" t="inlineStr">
        <is>
          <t>3주차</t>
        </is>
      </c>
      <c r="C325" t="inlineStr">
        <is>
          <t>EP</t>
        </is>
      </c>
      <c r="D325" s="28" t="n">
        <v>46034</v>
      </c>
      <c r="E325" t="inlineStr">
        <is>
          <t>현대EP</t>
        </is>
      </c>
      <c r="F325" t="inlineStr">
        <is>
          <t>윤다운</t>
        </is>
      </c>
      <c r="G325" t="inlineStr">
        <is>
          <t>010-6252-9085</t>
        </is>
      </c>
      <c r="H325" t="inlineStr">
        <is>
          <t>349어2261</t>
        </is>
      </c>
      <c r="I325" t="n">
        <v>8900000</v>
      </c>
      <c r="J325" t="n">
        <v>0.057</v>
      </c>
      <c r="K325" t="n">
        <v>1.76</v>
      </c>
      <c r="L325" t="n">
        <v>0.13</v>
      </c>
      <c r="M325" t="n">
        <v>1.63</v>
      </c>
      <c r="P325" t="inlineStr">
        <is>
          <t>정세빈</t>
        </is>
      </c>
      <c r="Q325" t="inlineStr">
        <is>
          <t>홈서비스 48개월</t>
        </is>
      </c>
      <c r="Z325" t="n">
        <v>0</v>
      </c>
      <c r="AB325" t="inlineStr">
        <is>
          <t>홈서비스</t>
        </is>
      </c>
      <c r="AC325" t="n">
        <v>156640</v>
      </c>
      <c r="AD325" t="n">
        <v>11570</v>
      </c>
      <c r="AE325" t="n">
        <v>145070</v>
      </c>
      <c r="AF325" t="n">
        <v>142400</v>
      </c>
      <c r="AG325" t="n">
        <v>11570</v>
      </c>
      <c r="AH325" t="n">
        <v>130830</v>
      </c>
    </row>
    <row r="326">
      <c r="A326" t="inlineStr">
        <is>
          <t>1월</t>
        </is>
      </c>
      <c r="B326" t="inlineStr">
        <is>
          <t>3주차</t>
        </is>
      </c>
      <c r="C326" t="inlineStr">
        <is>
          <t>EP</t>
        </is>
      </c>
      <c r="D326" s="28" t="n">
        <v>46034</v>
      </c>
      <c r="E326" t="inlineStr">
        <is>
          <t>현대EP_fast</t>
        </is>
      </c>
      <c r="F326" t="inlineStr">
        <is>
          <t>안민우</t>
        </is>
      </c>
      <c r="G326" t="inlineStr">
        <is>
          <t>010-4466-7273</t>
        </is>
      </c>
      <c r="H326" t="inlineStr">
        <is>
          <t>10가0599</t>
        </is>
      </c>
      <c r="I326" t="n">
        <v>9200000</v>
      </c>
      <c r="J326" t="n">
        <v>0.067</v>
      </c>
      <c r="K326" t="n">
        <v>1.76</v>
      </c>
      <c r="L326" t="n">
        <v>0.13</v>
      </c>
      <c r="M326" t="n">
        <v>1.63</v>
      </c>
      <c r="P326" t="inlineStr">
        <is>
          <t>최형주</t>
        </is>
      </c>
      <c r="Q326" t="inlineStr">
        <is>
          <t>홈서비스 24개월</t>
        </is>
      </c>
      <c r="Z326" t="n">
        <v>0</v>
      </c>
      <c r="AB326" t="inlineStr">
        <is>
          <t>홈서비스</t>
        </is>
      </c>
      <c r="AC326" t="n">
        <v>161920</v>
      </c>
      <c r="AD326" t="n">
        <v>11960</v>
      </c>
      <c r="AE326" t="n">
        <v>149960</v>
      </c>
      <c r="AF326" t="n">
        <v>147200</v>
      </c>
      <c r="AG326" t="n">
        <v>11960</v>
      </c>
      <c r="AH326" t="n">
        <v>135240</v>
      </c>
      <c r="AI326" t="n">
        <v>0</v>
      </c>
    </row>
    <row r="327">
      <c r="A327" t="inlineStr">
        <is>
          <t>1월</t>
        </is>
      </c>
      <c r="B327" t="inlineStr">
        <is>
          <t>2주차</t>
        </is>
      </c>
      <c r="C327" t="inlineStr">
        <is>
          <t>IM</t>
        </is>
      </c>
      <c r="D327" s="28" t="n">
        <v>46031</v>
      </c>
      <c r="E327" t="inlineStr">
        <is>
          <t>IM캐피탈</t>
        </is>
      </c>
      <c r="F327" t="inlineStr">
        <is>
          <t>유정식</t>
        </is>
      </c>
      <c r="G327" t="inlineStr">
        <is>
          <t>010-8576-0947</t>
        </is>
      </c>
      <c r="H327" t="inlineStr">
        <is>
          <t>101마2228</t>
        </is>
      </c>
      <c r="I327" t="n">
        <v>14000000</v>
      </c>
      <c r="J327" t="n">
        <v>0.053</v>
      </c>
      <c r="K327" t="n">
        <v>0.55</v>
      </c>
      <c r="L327" t="n">
        <v>0.13</v>
      </c>
      <c r="M327" t="n">
        <v>0.42</v>
      </c>
      <c r="P327" t="inlineStr">
        <is>
          <t>장진경</t>
        </is>
      </c>
      <c r="Q327" t="inlineStr">
        <is>
          <t>홈서비스 48개월</t>
        </is>
      </c>
      <c r="Z327" t="n">
        <v>0</v>
      </c>
      <c r="AB327" t="inlineStr">
        <is>
          <t>홈서비스</t>
        </is>
      </c>
      <c r="AC327" t="n">
        <v>77000</v>
      </c>
      <c r="AD327" t="n">
        <v>18200</v>
      </c>
      <c r="AE327" t="n">
        <v>58800</v>
      </c>
      <c r="AF327" t="n">
        <v>70000</v>
      </c>
      <c r="AG327" t="n">
        <v>18200</v>
      </c>
      <c r="AH327" t="n">
        <v>51800</v>
      </c>
    </row>
    <row r="328">
      <c r="A328" t="inlineStr">
        <is>
          <t>1월</t>
        </is>
      </c>
      <c r="B328" t="inlineStr">
        <is>
          <t>3주차</t>
        </is>
      </c>
      <c r="C328" t="inlineStr">
        <is>
          <t>EP</t>
        </is>
      </c>
      <c r="D328" s="28" t="n">
        <v>46034</v>
      </c>
      <c r="E328" t="inlineStr">
        <is>
          <t>제이비EP</t>
        </is>
      </c>
      <c r="F328" t="inlineStr">
        <is>
          <t>정성만</t>
        </is>
      </c>
      <c r="G328" t="inlineStr">
        <is>
          <t>010-8591-4996</t>
        </is>
      </c>
      <c r="H328" t="inlineStr">
        <is>
          <t>80조3184</t>
        </is>
      </c>
      <c r="I328" t="n">
        <v>15000000</v>
      </c>
      <c r="J328" t="n">
        <v>0.08799999999999999</v>
      </c>
      <c r="K328" t="n">
        <v>1.65</v>
      </c>
      <c r="L328" t="n">
        <v>0.4</v>
      </c>
      <c r="M328" t="n">
        <v>1.25</v>
      </c>
      <c r="P328" t="inlineStr">
        <is>
          <t>구성완</t>
        </is>
      </c>
      <c r="Z328" t="n">
        <v>0</v>
      </c>
      <c r="AB328" t="inlineStr">
        <is>
          <t>엔카</t>
        </is>
      </c>
      <c r="AC328" t="n">
        <v>247500</v>
      </c>
      <c r="AD328" t="n">
        <v>60000</v>
      </c>
      <c r="AE328" t="n">
        <v>187500</v>
      </c>
      <c r="AF328" t="n">
        <v>225000</v>
      </c>
      <c r="AG328" t="n">
        <v>60000</v>
      </c>
      <c r="AH328" t="n">
        <v>165000</v>
      </c>
      <c r="AI328" t="n">
        <v>0</v>
      </c>
      <c r="AJ328" t="inlineStr">
        <is>
          <t>개인</t>
        </is>
      </c>
    </row>
    <row r="329">
      <c r="A329" t="inlineStr">
        <is>
          <t>1월</t>
        </is>
      </c>
      <c r="B329" t="inlineStr">
        <is>
          <t>3주차</t>
        </is>
      </c>
      <c r="C329" t="inlineStr">
        <is>
          <t>IM</t>
        </is>
      </c>
      <c r="D329" s="28" t="n">
        <v>46034</v>
      </c>
      <c r="E329" t="inlineStr">
        <is>
          <t>IM캐피탈</t>
        </is>
      </c>
      <c r="F329" t="inlineStr">
        <is>
          <t>정진우</t>
        </is>
      </c>
      <c r="G329" t="inlineStr">
        <is>
          <t>010-6450-7283</t>
        </is>
      </c>
      <c r="H329" t="inlineStr">
        <is>
          <t>148부4512</t>
        </is>
      </c>
      <c r="I329" t="n">
        <v>25000000</v>
      </c>
      <c r="J329" t="n">
        <v>0.056</v>
      </c>
      <c r="K329" t="n">
        <v>0.55</v>
      </c>
      <c r="L329" t="n">
        <v>0.4</v>
      </c>
      <c r="M329" t="n">
        <v>0.15</v>
      </c>
      <c r="P329" t="inlineStr">
        <is>
          <t>장진경</t>
        </is>
      </c>
      <c r="Z329" t="n">
        <v>0</v>
      </c>
      <c r="AB329" t="inlineStr">
        <is>
          <t>엔카</t>
        </is>
      </c>
      <c r="AC329" t="n">
        <v>137500</v>
      </c>
      <c r="AD329" t="n">
        <v>100000</v>
      </c>
      <c r="AE329" t="n">
        <v>37500</v>
      </c>
      <c r="AF329" t="n">
        <v>125000</v>
      </c>
      <c r="AG329" t="n">
        <v>100000</v>
      </c>
      <c r="AH329" t="n">
        <v>25000</v>
      </c>
    </row>
    <row r="330">
      <c r="A330" t="inlineStr">
        <is>
          <t>1월</t>
        </is>
      </c>
      <c r="B330" t="inlineStr">
        <is>
          <t>2주차</t>
        </is>
      </c>
      <c r="C330" t="inlineStr">
        <is>
          <t>IM</t>
        </is>
      </c>
      <c r="D330" s="28" t="n">
        <v>46031</v>
      </c>
      <c r="E330" t="inlineStr">
        <is>
          <t>IM캐피탈</t>
        </is>
      </c>
      <c r="F330" t="inlineStr">
        <is>
          <t>오성철</t>
        </is>
      </c>
      <c r="G330" t="inlineStr">
        <is>
          <t>010-6474-3689</t>
        </is>
      </c>
      <c r="H330" t="inlineStr">
        <is>
          <t>57보9473</t>
        </is>
      </c>
      <c r="I330" t="n">
        <v>38000000</v>
      </c>
      <c r="J330" t="n">
        <v>0.064</v>
      </c>
      <c r="K330" t="n">
        <v>0.55</v>
      </c>
      <c r="L330" t="n">
        <v>0.4</v>
      </c>
      <c r="M330" t="n">
        <v>0.15</v>
      </c>
      <c r="P330" t="inlineStr">
        <is>
          <t>박소현</t>
        </is>
      </c>
      <c r="Z330" t="n">
        <v>0</v>
      </c>
      <c r="AB330" t="inlineStr">
        <is>
          <t>엔카</t>
        </is>
      </c>
      <c r="AC330" t="n">
        <v>209000</v>
      </c>
      <c r="AD330" t="n">
        <v>152000</v>
      </c>
      <c r="AE330" t="n">
        <v>57000</v>
      </c>
      <c r="AF330" t="n">
        <v>190000</v>
      </c>
      <c r="AG330" t="n">
        <v>152000</v>
      </c>
      <c r="AH330" t="n">
        <v>38000</v>
      </c>
    </row>
    <row r="331">
      <c r="A331" t="inlineStr">
        <is>
          <t>1월</t>
        </is>
      </c>
      <c r="B331" t="inlineStr">
        <is>
          <t>3주차</t>
        </is>
      </c>
      <c r="C331" t="inlineStr">
        <is>
          <t>EP</t>
        </is>
      </c>
      <c r="D331" s="28" t="n">
        <v>46034</v>
      </c>
      <c r="E331" t="inlineStr">
        <is>
          <t>현대EP</t>
        </is>
      </c>
      <c r="F331" t="inlineStr">
        <is>
          <t>신홍섭</t>
        </is>
      </c>
      <c r="G331" t="inlineStr">
        <is>
          <t>010-5719-9108</t>
        </is>
      </c>
      <c r="H331" t="inlineStr">
        <is>
          <t>238라7711</t>
        </is>
      </c>
      <c r="I331" t="n">
        <v>26500000</v>
      </c>
      <c r="J331" t="n">
        <v>0.067</v>
      </c>
      <c r="K331" t="n">
        <v>1.76</v>
      </c>
      <c r="L331" t="n">
        <v>0.13</v>
      </c>
      <c r="M331" t="n">
        <v>1.63</v>
      </c>
      <c r="P331" t="inlineStr">
        <is>
          <t>정광호</t>
        </is>
      </c>
      <c r="Q331" t="inlineStr">
        <is>
          <t>홈서비스 60개월</t>
        </is>
      </c>
      <c r="Z331" t="n">
        <v>0</v>
      </c>
      <c r="AB331" t="inlineStr">
        <is>
          <t>홈서비스</t>
        </is>
      </c>
      <c r="AC331" t="n">
        <v>466400</v>
      </c>
      <c r="AD331" t="n">
        <v>34450</v>
      </c>
      <c r="AE331" t="n">
        <v>431950</v>
      </c>
      <c r="AF331" t="n">
        <v>424000</v>
      </c>
      <c r="AG331" t="n">
        <v>34450</v>
      </c>
      <c r="AH331" t="n">
        <v>389550</v>
      </c>
    </row>
    <row r="332">
      <c r="A332" t="inlineStr">
        <is>
          <t>1월</t>
        </is>
      </c>
      <c r="B332" t="inlineStr">
        <is>
          <t>3주차</t>
        </is>
      </c>
      <c r="C332" t="inlineStr">
        <is>
          <t>EP</t>
        </is>
      </c>
      <c r="D332" s="28" t="n">
        <v>46034</v>
      </c>
      <c r="E332" t="inlineStr">
        <is>
          <t>현대EP_fast</t>
        </is>
      </c>
      <c r="F332" t="inlineStr">
        <is>
          <t>백승훈</t>
        </is>
      </c>
      <c r="G332" t="n">
        <v>1023981221</v>
      </c>
      <c r="H332" t="inlineStr">
        <is>
          <t>02소4174</t>
        </is>
      </c>
      <c r="I332" t="n">
        <v>5000000</v>
      </c>
      <c r="J332" t="n">
        <v>0.067</v>
      </c>
      <c r="K332" t="n">
        <v>1.76</v>
      </c>
      <c r="L332" t="n">
        <v>0.13</v>
      </c>
      <c r="M332" t="n">
        <v>1.63</v>
      </c>
      <c r="P332" t="inlineStr">
        <is>
          <t>김나윤</t>
        </is>
      </c>
      <c r="Q332" t="inlineStr">
        <is>
          <t>홈서비스24개월</t>
        </is>
      </c>
      <c r="Z332" t="n">
        <v>0</v>
      </c>
      <c r="AB332" t="inlineStr">
        <is>
          <t>홈서비스</t>
        </is>
      </c>
      <c r="AC332" t="n">
        <v>88000</v>
      </c>
      <c r="AD332" t="n">
        <v>6500</v>
      </c>
      <c r="AE332" t="n">
        <v>81500</v>
      </c>
      <c r="AF332" t="n">
        <v>80000</v>
      </c>
      <c r="AG332" t="n">
        <v>6500</v>
      </c>
      <c r="AH332" t="n">
        <v>73500</v>
      </c>
      <c r="AI332" t="n">
        <v>0</v>
      </c>
    </row>
    <row r="333">
      <c r="A333" t="inlineStr">
        <is>
          <t>1월</t>
        </is>
      </c>
      <c r="B333" t="inlineStr">
        <is>
          <t>3주차</t>
        </is>
      </c>
      <c r="C333" t="inlineStr">
        <is>
          <t>EP</t>
        </is>
      </c>
      <c r="D333" s="28" t="n">
        <v>46034</v>
      </c>
      <c r="E333" t="inlineStr">
        <is>
          <t>현대EP</t>
        </is>
      </c>
      <c r="F333" t="inlineStr">
        <is>
          <t>최양길</t>
        </is>
      </c>
      <c r="G333" t="inlineStr">
        <is>
          <t>010-4924-6028</t>
        </is>
      </c>
      <c r="H333" t="inlineStr">
        <is>
          <t>285무9941</t>
        </is>
      </c>
      <c r="I333" t="n">
        <v>7000000</v>
      </c>
      <c r="J333" t="n">
        <v>0.06900000000000001</v>
      </c>
      <c r="K333" t="n">
        <v>1.76</v>
      </c>
      <c r="L333" t="n">
        <v>0.13</v>
      </c>
      <c r="M333" t="n">
        <v>1.63</v>
      </c>
      <c r="P333" t="inlineStr">
        <is>
          <t>정광호</t>
        </is>
      </c>
      <c r="Q333" t="inlineStr">
        <is>
          <t>홈서비스 24개월</t>
        </is>
      </c>
      <c r="Z333" t="n">
        <v>0</v>
      </c>
      <c r="AB333" t="inlineStr">
        <is>
          <t>홈서비스</t>
        </is>
      </c>
      <c r="AC333" t="n">
        <v>123200</v>
      </c>
      <c r="AD333" t="n">
        <v>9100</v>
      </c>
      <c r="AE333" t="n">
        <v>114100</v>
      </c>
      <c r="AF333" t="n">
        <v>112000</v>
      </c>
      <c r="AG333" t="n">
        <v>9100</v>
      </c>
      <c r="AH333" t="n">
        <v>102900</v>
      </c>
    </row>
    <row r="334">
      <c r="A334" t="inlineStr">
        <is>
          <t>1월</t>
        </is>
      </c>
      <c r="B334" t="inlineStr">
        <is>
          <t>2주차</t>
        </is>
      </c>
      <c r="C334" t="inlineStr">
        <is>
          <t>EP</t>
        </is>
      </c>
      <c r="D334" s="28" t="n">
        <v>46031</v>
      </c>
      <c r="E334" t="inlineStr">
        <is>
          <t>제이비EP</t>
        </is>
      </c>
      <c r="F334" t="inlineStr">
        <is>
          <t>성태일</t>
        </is>
      </c>
      <c r="G334" t="inlineStr">
        <is>
          <t>010-3886-7952</t>
        </is>
      </c>
      <c r="H334" t="inlineStr">
        <is>
          <t>262저6844</t>
        </is>
      </c>
      <c r="I334" t="n">
        <v>7600000</v>
      </c>
      <c r="J334" t="n">
        <v>0.094</v>
      </c>
      <c r="K334" t="n">
        <v>1.65</v>
      </c>
      <c r="L334" t="n">
        <v>0.4</v>
      </c>
      <c r="M334" t="n">
        <v>1.25</v>
      </c>
      <c r="P334" t="inlineStr">
        <is>
          <t>정하은</t>
        </is>
      </c>
      <c r="Q334" t="inlineStr">
        <is>
          <t>부대비용추가진행</t>
        </is>
      </c>
      <c r="Z334" t="n">
        <v>0</v>
      </c>
      <c r="AB334" t="inlineStr">
        <is>
          <t>엔카</t>
        </is>
      </c>
      <c r="AC334" t="n">
        <v>125400</v>
      </c>
      <c r="AD334" t="n">
        <v>30400</v>
      </c>
      <c r="AE334" t="n">
        <v>95000</v>
      </c>
      <c r="AF334" t="n">
        <v>114000</v>
      </c>
      <c r="AG334" t="n">
        <v>30400</v>
      </c>
      <c r="AH334" t="n">
        <v>83600</v>
      </c>
      <c r="AI334" t="n">
        <v>0</v>
      </c>
    </row>
    <row r="335">
      <c r="A335" t="inlineStr">
        <is>
          <t>1월</t>
        </is>
      </c>
      <c r="B335" t="inlineStr">
        <is>
          <t>3주차</t>
        </is>
      </c>
      <c r="C335" t="inlineStr">
        <is>
          <t>IM</t>
        </is>
      </c>
      <c r="D335" s="28" t="n">
        <v>46034</v>
      </c>
      <c r="E335" t="inlineStr">
        <is>
          <t>IM캐피탈</t>
        </is>
      </c>
      <c r="F335" t="inlineStr">
        <is>
          <t>이예림</t>
        </is>
      </c>
      <c r="G335" t="inlineStr">
        <is>
          <t>010-8980-9950</t>
        </is>
      </c>
      <c r="H335" t="inlineStr">
        <is>
          <t>137서4264</t>
        </is>
      </c>
      <c r="I335" t="n">
        <v>45000000</v>
      </c>
      <c r="J335" t="n">
        <v>0.056</v>
      </c>
      <c r="K335" t="n">
        <v>0.55</v>
      </c>
      <c r="L335" t="n">
        <v>0.4</v>
      </c>
      <c r="M335" t="n">
        <v>0.15</v>
      </c>
      <c r="P335" t="inlineStr">
        <is>
          <t>정하은</t>
        </is>
      </c>
      <c r="Z335" t="n">
        <v>0</v>
      </c>
      <c r="AB335" t="inlineStr">
        <is>
          <t>엔카</t>
        </is>
      </c>
      <c r="AC335" t="n">
        <v>247500</v>
      </c>
      <c r="AD335" t="n">
        <v>180000</v>
      </c>
      <c r="AE335" t="n">
        <v>67500</v>
      </c>
      <c r="AF335" t="n">
        <v>225000</v>
      </c>
      <c r="AG335" t="n">
        <v>180000</v>
      </c>
      <c r="AH335" t="n">
        <v>45000</v>
      </c>
    </row>
    <row r="336">
      <c r="A336" t="inlineStr">
        <is>
          <t>1월</t>
        </is>
      </c>
      <c r="B336" t="inlineStr">
        <is>
          <t>2주차</t>
        </is>
      </c>
      <c r="C336" t="inlineStr">
        <is>
          <t>EP</t>
        </is>
      </c>
      <c r="D336" s="28" t="n">
        <v>46031</v>
      </c>
      <c r="E336" t="inlineStr">
        <is>
          <t>현대EP_fast</t>
        </is>
      </c>
      <c r="F336" t="inlineStr">
        <is>
          <t>박재근</t>
        </is>
      </c>
      <c r="G336" t="inlineStr">
        <is>
          <t>010-7677-2135</t>
        </is>
      </c>
      <c r="H336" t="inlineStr">
        <is>
          <t>171보2823</t>
        </is>
      </c>
      <c r="I336" t="n">
        <v>41000000</v>
      </c>
      <c r="J336" t="n">
        <v>0.093</v>
      </c>
      <c r="K336" t="n">
        <v>1.76</v>
      </c>
      <c r="L336" t="n">
        <v>0.4</v>
      </c>
      <c r="M336" t="n">
        <v>1.36</v>
      </c>
      <c r="P336" t="inlineStr">
        <is>
          <t>박소현</t>
        </is>
      </c>
      <c r="Z336" t="n">
        <v>0</v>
      </c>
      <c r="AB336" t="inlineStr">
        <is>
          <t>엔카</t>
        </is>
      </c>
      <c r="AC336" t="n">
        <v>721600</v>
      </c>
      <c r="AD336" t="n">
        <v>164000</v>
      </c>
      <c r="AE336" t="n">
        <v>557600</v>
      </c>
      <c r="AF336" t="n">
        <v>656000</v>
      </c>
      <c r="AG336" t="n">
        <v>164000</v>
      </c>
      <c r="AH336" t="n">
        <v>492000</v>
      </c>
    </row>
    <row r="337">
      <c r="A337" t="inlineStr">
        <is>
          <t>1월</t>
        </is>
      </c>
      <c r="B337" t="inlineStr">
        <is>
          <t>3주차</t>
        </is>
      </c>
      <c r="C337" t="inlineStr">
        <is>
          <t>EP</t>
        </is>
      </c>
      <c r="D337" s="28" t="n">
        <v>46035</v>
      </c>
      <c r="E337" t="inlineStr">
        <is>
          <t>현대EP_fast</t>
        </is>
      </c>
      <c r="F337" t="inlineStr">
        <is>
          <t>전치훈</t>
        </is>
      </c>
      <c r="G337" t="inlineStr">
        <is>
          <t>010-5686-0712</t>
        </is>
      </c>
      <c r="H337" t="inlineStr">
        <is>
          <t>11다5081</t>
        </is>
      </c>
      <c r="I337" t="n">
        <v>27500000</v>
      </c>
      <c r="J337" t="n">
        <v>0.06900000000000001</v>
      </c>
      <c r="K337" t="n">
        <v>1.76</v>
      </c>
      <c r="L337" t="n">
        <v>0.13</v>
      </c>
      <c r="M337" t="n">
        <v>1.63</v>
      </c>
      <c r="P337" t="inlineStr">
        <is>
          <t>정광호</t>
        </is>
      </c>
      <c r="Q337" t="inlineStr">
        <is>
          <t>홈서비스 60개월</t>
        </is>
      </c>
      <c r="Z337" t="n">
        <v>0</v>
      </c>
      <c r="AB337" t="inlineStr">
        <is>
          <t>홈서비스</t>
        </is>
      </c>
      <c r="AC337" t="n">
        <v>484000</v>
      </c>
      <c r="AD337" t="n">
        <v>35750</v>
      </c>
      <c r="AE337" t="n">
        <v>448250</v>
      </c>
      <c r="AF337" t="n">
        <v>440000</v>
      </c>
      <c r="AG337" t="n">
        <v>35750</v>
      </c>
      <c r="AH337" t="n">
        <v>404250</v>
      </c>
      <c r="AI337" t="n">
        <v>0</v>
      </c>
    </row>
    <row r="338">
      <c r="A338" t="inlineStr">
        <is>
          <t>1월</t>
        </is>
      </c>
      <c r="B338" t="inlineStr">
        <is>
          <t>3주차</t>
        </is>
      </c>
      <c r="C338" t="inlineStr">
        <is>
          <t>IM</t>
        </is>
      </c>
      <c r="D338" s="28" t="n">
        <v>46034</v>
      </c>
      <c r="E338" t="inlineStr">
        <is>
          <t>IM캐피탈</t>
        </is>
      </c>
      <c r="F338" t="inlineStr">
        <is>
          <t>이요한</t>
        </is>
      </c>
      <c r="G338" t="inlineStr">
        <is>
          <t>010-6622-2114</t>
        </is>
      </c>
      <c r="H338" t="inlineStr">
        <is>
          <t>139도1518</t>
        </is>
      </c>
      <c r="I338" t="n">
        <v>18300000</v>
      </c>
      <c r="J338" t="n">
        <v>0.049</v>
      </c>
      <c r="K338" t="n">
        <v>0.55</v>
      </c>
      <c r="L338" t="n">
        <v>0.13</v>
      </c>
      <c r="M338" t="n">
        <v>0.42</v>
      </c>
      <c r="P338" t="inlineStr">
        <is>
          <t>임대경</t>
        </is>
      </c>
      <c r="Q338" t="inlineStr">
        <is>
          <t>홈서비스 84개월</t>
        </is>
      </c>
      <c r="Z338" t="n">
        <v>0</v>
      </c>
      <c r="AB338" t="inlineStr">
        <is>
          <t>홈서비스</t>
        </is>
      </c>
      <c r="AC338" t="n">
        <v>100650</v>
      </c>
      <c r="AD338" t="n">
        <v>23790</v>
      </c>
      <c r="AE338" t="n">
        <v>76860</v>
      </c>
      <c r="AF338" t="n">
        <v>91500</v>
      </c>
      <c r="AG338" t="n">
        <v>23790</v>
      </c>
      <c r="AH338" t="n">
        <v>67710</v>
      </c>
      <c r="AI338" t="n">
        <v>1</v>
      </c>
    </row>
    <row r="339">
      <c r="A339" t="inlineStr">
        <is>
          <t>1월</t>
        </is>
      </c>
      <c r="B339" t="inlineStr">
        <is>
          <t>3주차</t>
        </is>
      </c>
      <c r="C339" t="inlineStr">
        <is>
          <t>EP</t>
        </is>
      </c>
      <c r="D339" s="28" t="n">
        <v>46035</v>
      </c>
      <c r="E339" t="inlineStr">
        <is>
          <t>현대EP_fast</t>
        </is>
      </c>
      <c r="F339" t="inlineStr">
        <is>
          <t>윤선진</t>
        </is>
      </c>
      <c r="G339" t="inlineStr">
        <is>
          <t>010-6296-2311</t>
        </is>
      </c>
      <c r="H339" t="inlineStr">
        <is>
          <t>28루2018</t>
        </is>
      </c>
      <c r="I339" t="n">
        <v>6000000</v>
      </c>
      <c r="J339" t="n">
        <v>0.06900000000000001</v>
      </c>
      <c r="K339" t="n">
        <v>1.76</v>
      </c>
      <c r="L339" t="n">
        <v>0.13</v>
      </c>
      <c r="M339" t="n">
        <v>1.63</v>
      </c>
      <c r="P339" t="inlineStr">
        <is>
          <t>최형주</t>
        </is>
      </c>
      <c r="Q339" t="inlineStr">
        <is>
          <t>홈서비스 60개월</t>
        </is>
      </c>
      <c r="Z339" t="n">
        <v>0</v>
      </c>
      <c r="AB339" t="inlineStr">
        <is>
          <t>홈서비스</t>
        </is>
      </c>
      <c r="AC339" t="n">
        <v>105600</v>
      </c>
      <c r="AD339" t="n">
        <v>7800</v>
      </c>
      <c r="AE339" t="n">
        <v>97800</v>
      </c>
      <c r="AF339" t="n">
        <v>96000</v>
      </c>
      <c r="AG339" t="n">
        <v>7800</v>
      </c>
      <c r="AH339" t="n">
        <v>88200</v>
      </c>
      <c r="AI339" t="n">
        <v>1</v>
      </c>
    </row>
    <row r="340">
      <c r="A340" t="inlineStr">
        <is>
          <t>1월</t>
        </is>
      </c>
      <c r="B340" t="inlineStr">
        <is>
          <t>3주차</t>
        </is>
      </c>
      <c r="C340" t="inlineStr">
        <is>
          <t>IM</t>
        </is>
      </c>
      <c r="D340" s="28" t="n">
        <v>46034</v>
      </c>
      <c r="E340" t="inlineStr">
        <is>
          <t>IM캐피탈</t>
        </is>
      </c>
      <c r="F340" t="inlineStr">
        <is>
          <t>이동규</t>
        </is>
      </c>
      <c r="G340" t="n">
        <v>1087837114</v>
      </c>
      <c r="H340" t="inlineStr">
        <is>
          <t>332로4218</t>
        </is>
      </c>
      <c r="I340" t="n">
        <v>-12000000</v>
      </c>
      <c r="J340" t="n">
        <v>0.07199999999999999</v>
      </c>
      <c r="K340" t="n">
        <v>0.55</v>
      </c>
      <c r="L340" t="n">
        <v>0.13</v>
      </c>
      <c r="M340" t="n">
        <v>0.42</v>
      </c>
      <c r="P340" t="inlineStr">
        <is>
          <t>김나윤</t>
        </is>
      </c>
      <c r="Q340" t="inlineStr">
        <is>
          <t>홈서비스48개월/ *철회 20260114</t>
        </is>
      </c>
      <c r="Z340" t="n">
        <v>0</v>
      </c>
      <c r="AB340" t="inlineStr">
        <is>
          <t>홈서비스</t>
        </is>
      </c>
      <c r="AC340" t="n">
        <v>-66000</v>
      </c>
      <c r="AD340" t="n">
        <v>-15600</v>
      </c>
      <c r="AE340" t="n">
        <v>-50400</v>
      </c>
      <c r="AF340" t="n">
        <v>-60000</v>
      </c>
      <c r="AG340" t="n">
        <v>-15600</v>
      </c>
      <c r="AH340" t="n">
        <v>-44400</v>
      </c>
      <c r="AI340" t="n">
        <v>1</v>
      </c>
      <c r="AK340" t="inlineStr">
        <is>
          <t>대출철회</t>
        </is>
      </c>
    </row>
    <row r="341">
      <c r="A341" t="inlineStr">
        <is>
          <t>1월</t>
        </is>
      </c>
      <c r="B341" t="inlineStr">
        <is>
          <t>3주차</t>
        </is>
      </c>
      <c r="C341" t="inlineStr">
        <is>
          <t>EP</t>
        </is>
      </c>
      <c r="D341" s="28" t="n">
        <v>46035</v>
      </c>
      <c r="E341" t="inlineStr">
        <is>
          <t>현대EP_fast</t>
        </is>
      </c>
      <c r="F341" t="inlineStr">
        <is>
          <t>박정미</t>
        </is>
      </c>
      <c r="G341" t="n">
        <v>1045236342</v>
      </c>
      <c r="H341" t="inlineStr">
        <is>
          <t>35오5846</t>
        </is>
      </c>
      <c r="I341" t="n">
        <v>7900000</v>
      </c>
      <c r="J341" t="n">
        <v>0.08500000000000001</v>
      </c>
      <c r="K341" t="n">
        <v>1.76</v>
      </c>
      <c r="L341" t="n">
        <v>0.13</v>
      </c>
      <c r="M341" t="n">
        <v>1.63</v>
      </c>
      <c r="P341" t="inlineStr">
        <is>
          <t>김나윤</t>
        </is>
      </c>
      <c r="Q341" t="inlineStr">
        <is>
          <t>홈서비스60개월 / 카피아알선</t>
        </is>
      </c>
      <c r="Z341" t="n">
        <v>0</v>
      </c>
      <c r="AB341" t="inlineStr">
        <is>
          <t>홈서비스</t>
        </is>
      </c>
      <c r="AC341" t="n">
        <v>139040</v>
      </c>
      <c r="AD341" t="n">
        <v>10270</v>
      </c>
      <c r="AE341" t="n">
        <v>128770</v>
      </c>
      <c r="AF341" t="n">
        <v>126400</v>
      </c>
      <c r="AG341" t="n">
        <v>10270</v>
      </c>
      <c r="AH341" t="n">
        <v>116130</v>
      </c>
      <c r="AI341" t="n">
        <v>1</v>
      </c>
    </row>
    <row r="342">
      <c r="A342" t="inlineStr">
        <is>
          <t>1월</t>
        </is>
      </c>
      <c r="B342" t="inlineStr">
        <is>
          <t>2주차</t>
        </is>
      </c>
      <c r="C342" t="inlineStr">
        <is>
          <t>EP</t>
        </is>
      </c>
      <c r="D342" s="28" t="n">
        <v>46031</v>
      </c>
      <c r="E342" t="inlineStr">
        <is>
          <t>현대EP_fast</t>
        </is>
      </c>
      <c r="F342" t="inlineStr">
        <is>
          <t>한지원</t>
        </is>
      </c>
      <c r="G342" t="inlineStr">
        <is>
          <t>010-2514-1024</t>
        </is>
      </c>
      <c r="H342" t="inlineStr">
        <is>
          <t>206저6988</t>
        </is>
      </c>
      <c r="I342" t="n">
        <v>21800000</v>
      </c>
      <c r="J342" t="n">
        <v>0.124</v>
      </c>
      <c r="K342" t="n">
        <v>1.76</v>
      </c>
      <c r="L342" t="n">
        <v>0.4</v>
      </c>
      <c r="M342" t="n">
        <v>1.36</v>
      </c>
      <c r="P342" t="inlineStr">
        <is>
          <t>장현경</t>
        </is>
      </c>
      <c r="Z342" t="n">
        <v>0</v>
      </c>
      <c r="AB342" t="inlineStr">
        <is>
          <t>엔카</t>
        </is>
      </c>
      <c r="AC342" t="n">
        <v>383680</v>
      </c>
      <c r="AD342" t="n">
        <v>87200</v>
      </c>
      <c r="AE342" t="n">
        <v>296480</v>
      </c>
      <c r="AF342" t="n">
        <v>348800</v>
      </c>
      <c r="AG342" t="n">
        <v>87200</v>
      </c>
      <c r="AH342" t="n">
        <v>261600</v>
      </c>
      <c r="AI342" t="n">
        <v>1</v>
      </c>
    </row>
    <row r="343">
      <c r="A343" t="inlineStr">
        <is>
          <t>1월</t>
        </is>
      </c>
      <c r="B343" t="inlineStr">
        <is>
          <t>3주차</t>
        </is>
      </c>
      <c r="C343" t="inlineStr">
        <is>
          <t>EP</t>
        </is>
      </c>
      <c r="D343" s="28" t="n">
        <v>46034</v>
      </c>
      <c r="E343" t="inlineStr">
        <is>
          <t>현대EP</t>
        </is>
      </c>
      <c r="F343" t="inlineStr">
        <is>
          <t>이성복</t>
        </is>
      </c>
      <c r="G343" t="inlineStr">
        <is>
          <t>010-8788-8536</t>
        </is>
      </c>
      <c r="H343" t="inlineStr">
        <is>
          <t>284노2149</t>
        </is>
      </c>
      <c r="I343" t="n">
        <v>5800000</v>
      </c>
      <c r="J343" t="n">
        <v>0.08699999999999999</v>
      </c>
      <c r="K343" t="n">
        <v>1.76</v>
      </c>
      <c r="L343" t="n">
        <v>0.13</v>
      </c>
      <c r="M343" t="n">
        <v>1.63</v>
      </c>
      <c r="P343" t="inlineStr">
        <is>
          <t>최혁</t>
        </is>
      </c>
      <c r="Q343" t="inlineStr">
        <is>
          <t>홈서비스 24개월</t>
        </is>
      </c>
      <c r="Z343" t="n">
        <v>0</v>
      </c>
      <c r="AB343" t="inlineStr">
        <is>
          <t>홈서비스</t>
        </is>
      </c>
      <c r="AC343" t="n">
        <v>102080</v>
      </c>
      <c r="AD343" t="n">
        <v>7540</v>
      </c>
      <c r="AE343" t="n">
        <v>94540</v>
      </c>
      <c r="AF343" t="n">
        <v>92800</v>
      </c>
      <c r="AG343" t="n">
        <v>7540</v>
      </c>
      <c r="AH343" t="n">
        <v>85260</v>
      </c>
      <c r="AI343" t="n">
        <v>1</v>
      </c>
    </row>
    <row r="344">
      <c r="A344" t="inlineStr">
        <is>
          <t>1월</t>
        </is>
      </c>
      <c r="B344" t="inlineStr">
        <is>
          <t>3주차</t>
        </is>
      </c>
      <c r="C344" t="inlineStr">
        <is>
          <t>IM</t>
        </is>
      </c>
      <c r="D344" s="28" t="n">
        <v>46034</v>
      </c>
      <c r="E344" t="inlineStr">
        <is>
          <t>IM캐피탈</t>
        </is>
      </c>
      <c r="F344" t="inlineStr">
        <is>
          <t>장치동</t>
        </is>
      </c>
      <c r="G344" t="inlineStr">
        <is>
          <t>010-5256-6133</t>
        </is>
      </c>
      <c r="H344" t="inlineStr">
        <is>
          <t>129어8814</t>
        </is>
      </c>
      <c r="I344" t="n">
        <v>20000000</v>
      </c>
      <c r="J344" t="n">
        <v>0.056</v>
      </c>
      <c r="K344" t="n">
        <v>0.55</v>
      </c>
      <c r="L344" t="n">
        <v>0.13</v>
      </c>
      <c r="M344" t="n">
        <v>0.42</v>
      </c>
      <c r="P344" t="inlineStr">
        <is>
          <t>박현민</t>
        </is>
      </c>
      <c r="Q344" t="inlineStr">
        <is>
          <t>홈서비스 72개월</t>
        </is>
      </c>
      <c r="Z344" t="n">
        <v>0</v>
      </c>
      <c r="AB344" t="inlineStr">
        <is>
          <t>홈서비스</t>
        </is>
      </c>
      <c r="AC344" t="n">
        <v>110000</v>
      </c>
      <c r="AD344" t="n">
        <v>26000</v>
      </c>
      <c r="AE344" t="n">
        <v>84000</v>
      </c>
      <c r="AF344" t="n">
        <v>100000</v>
      </c>
      <c r="AG344" t="n">
        <v>26000</v>
      </c>
      <c r="AH344" t="n">
        <v>74000</v>
      </c>
    </row>
    <row r="345">
      <c r="A345" t="inlineStr">
        <is>
          <t>1월</t>
        </is>
      </c>
      <c r="B345" t="inlineStr">
        <is>
          <t>3주차</t>
        </is>
      </c>
      <c r="C345" t="inlineStr">
        <is>
          <t>IM</t>
        </is>
      </c>
      <c r="D345" s="28" t="n">
        <v>46034</v>
      </c>
      <c r="E345" t="inlineStr">
        <is>
          <t>IM캐피탈</t>
        </is>
      </c>
      <c r="F345" t="inlineStr">
        <is>
          <t>장경민</t>
        </is>
      </c>
      <c r="G345" t="inlineStr">
        <is>
          <t>010-3021-8324</t>
        </is>
      </c>
      <c r="H345" t="inlineStr">
        <is>
          <t>328보7304</t>
        </is>
      </c>
      <c r="I345" t="n">
        <v>17000000</v>
      </c>
      <c r="J345" t="n">
        <v>0.06</v>
      </c>
      <c r="K345" t="n">
        <v>0.55</v>
      </c>
      <c r="L345" t="n">
        <v>0.13</v>
      </c>
      <c r="M345" t="n">
        <v>0.42</v>
      </c>
      <c r="P345" t="inlineStr">
        <is>
          <t>박현민</t>
        </is>
      </c>
      <c r="Q345" t="inlineStr">
        <is>
          <t>홈서비스 60개월</t>
        </is>
      </c>
      <c r="Z345" t="n">
        <v>0</v>
      </c>
      <c r="AB345" t="inlineStr">
        <is>
          <t>홈서비스</t>
        </is>
      </c>
      <c r="AC345" t="n">
        <v>93500</v>
      </c>
      <c r="AD345" t="n">
        <v>22100</v>
      </c>
      <c r="AE345" t="n">
        <v>71400</v>
      </c>
      <c r="AF345" t="n">
        <v>85000</v>
      </c>
      <c r="AG345" t="n">
        <v>22100</v>
      </c>
      <c r="AH345" t="n">
        <v>62900</v>
      </c>
    </row>
    <row r="346">
      <c r="A346" t="inlineStr">
        <is>
          <t>1월</t>
        </is>
      </c>
      <c r="B346" t="inlineStr">
        <is>
          <t>3주차</t>
        </is>
      </c>
      <c r="C346" t="inlineStr">
        <is>
          <t>OR</t>
        </is>
      </c>
      <c r="D346" s="28" t="n">
        <v>46035</v>
      </c>
      <c r="E346" t="inlineStr">
        <is>
          <t>오릭스</t>
        </is>
      </c>
      <c r="F346" t="inlineStr">
        <is>
          <t>임승원</t>
        </is>
      </c>
      <c r="G346" t="inlineStr">
        <is>
          <t>010-9164-0075</t>
        </is>
      </c>
      <c r="H346" t="inlineStr">
        <is>
          <t>55더1883</t>
        </is>
      </c>
      <c r="I346" t="n">
        <v>64500000</v>
      </c>
      <c r="J346" t="n">
        <v>0.059</v>
      </c>
      <c r="K346" t="n">
        <v>1.65</v>
      </c>
      <c r="L346" t="n">
        <v>0.4</v>
      </c>
      <c r="M346" t="n">
        <v>1.25</v>
      </c>
      <c r="P346" t="inlineStr">
        <is>
          <t>박현민</t>
        </is>
      </c>
      <c r="Z346" t="n">
        <v>0</v>
      </c>
      <c r="AB346" t="inlineStr">
        <is>
          <t>엔카</t>
        </is>
      </c>
      <c r="AC346" t="n">
        <v>1064250</v>
      </c>
      <c r="AD346" t="n">
        <v>258000</v>
      </c>
      <c r="AE346" t="n">
        <v>806250</v>
      </c>
      <c r="AF346" t="n">
        <v>967500</v>
      </c>
      <c r="AG346" t="n">
        <v>258000</v>
      </c>
      <c r="AH346" t="n">
        <v>709500</v>
      </c>
      <c r="AI346" t="n">
        <v>0</v>
      </c>
    </row>
    <row r="347">
      <c r="A347" t="inlineStr">
        <is>
          <t>1월</t>
        </is>
      </c>
      <c r="B347" t="inlineStr">
        <is>
          <t>3주차</t>
        </is>
      </c>
      <c r="C347" t="inlineStr">
        <is>
          <t>EP</t>
        </is>
      </c>
      <c r="D347" s="28" t="n">
        <v>46035</v>
      </c>
      <c r="E347" t="inlineStr">
        <is>
          <t>현대EP_fast</t>
        </is>
      </c>
      <c r="F347" t="inlineStr">
        <is>
          <t>류동엽</t>
        </is>
      </c>
      <c r="G347" t="inlineStr">
        <is>
          <t>010-4094-4464</t>
        </is>
      </c>
      <c r="H347" t="inlineStr">
        <is>
          <t>173더6666</t>
        </is>
      </c>
      <c r="I347" t="n">
        <v>75000000</v>
      </c>
      <c r="J347" t="n">
        <v>0.099</v>
      </c>
      <c r="K347" t="n">
        <v>1.76</v>
      </c>
      <c r="L347" t="n">
        <v>0.4</v>
      </c>
      <c r="M347" t="n">
        <v>1.36</v>
      </c>
      <c r="P347" t="inlineStr">
        <is>
          <t>장진경</t>
        </is>
      </c>
      <c r="Z347" t="n">
        <v>0</v>
      </c>
      <c r="AB347" t="inlineStr">
        <is>
          <t>엔카</t>
        </is>
      </c>
      <c r="AC347" t="n">
        <v>883630</v>
      </c>
      <c r="AD347" t="n">
        <v>300000</v>
      </c>
      <c r="AE347" t="n">
        <v>1020000</v>
      </c>
      <c r="AF347" t="n">
        <v>803300</v>
      </c>
      <c r="AG347" t="n">
        <v>300000</v>
      </c>
      <c r="AH347" t="n">
        <v>503300</v>
      </c>
      <c r="AI347" t="n">
        <v>0</v>
      </c>
    </row>
    <row r="348">
      <c r="A348" t="inlineStr">
        <is>
          <t>1월</t>
        </is>
      </c>
      <c r="B348" t="inlineStr">
        <is>
          <t>3주차</t>
        </is>
      </c>
      <c r="C348" t="inlineStr">
        <is>
          <t>EP</t>
        </is>
      </c>
      <c r="D348" s="28" t="n">
        <v>46034</v>
      </c>
      <c r="E348" t="inlineStr">
        <is>
          <t>현대EP</t>
        </is>
      </c>
      <c r="F348" t="inlineStr">
        <is>
          <t>정미진</t>
        </is>
      </c>
      <c r="G348" t="inlineStr">
        <is>
          <t>010-3069-7793</t>
        </is>
      </c>
      <c r="H348" t="inlineStr">
        <is>
          <t>65노0108</t>
        </is>
      </c>
      <c r="I348" t="n">
        <v>11200000</v>
      </c>
      <c r="J348" t="n">
        <v>0.06900000000000001</v>
      </c>
      <c r="K348" t="n">
        <v>1.76</v>
      </c>
      <c r="L348" t="n">
        <v>0.13</v>
      </c>
      <c r="M348" t="n">
        <v>1.63</v>
      </c>
      <c r="P348" t="inlineStr">
        <is>
          <t>정세빈</t>
        </is>
      </c>
      <c r="Q348" t="inlineStr">
        <is>
          <t>홈서비스 60개월</t>
        </is>
      </c>
      <c r="Z348" t="n">
        <v>0</v>
      </c>
      <c r="AB348" t="inlineStr">
        <is>
          <t>홈서비스</t>
        </is>
      </c>
      <c r="AC348" t="n">
        <v>197120</v>
      </c>
      <c r="AD348" t="n">
        <v>14560</v>
      </c>
      <c r="AE348" t="n">
        <v>182560</v>
      </c>
      <c r="AF348" t="n">
        <v>179200</v>
      </c>
      <c r="AG348" t="n">
        <v>14560</v>
      </c>
      <c r="AH348" t="n">
        <v>164640</v>
      </c>
      <c r="AI348" t="n">
        <v>0</v>
      </c>
    </row>
    <row r="349">
      <c r="A349" t="inlineStr">
        <is>
          <t>1월</t>
        </is>
      </c>
      <c r="B349" t="inlineStr">
        <is>
          <t>3주차</t>
        </is>
      </c>
      <c r="C349" t="inlineStr">
        <is>
          <t>IM</t>
        </is>
      </c>
      <c r="D349" s="28" t="n">
        <v>46035</v>
      </c>
      <c r="E349" t="inlineStr">
        <is>
          <t>IM캐피탈</t>
        </is>
      </c>
      <c r="F349" t="inlineStr">
        <is>
          <t>윤준하</t>
        </is>
      </c>
      <c r="G349" t="inlineStr">
        <is>
          <t>010-3309-7056</t>
        </is>
      </c>
      <c r="H349" t="inlineStr">
        <is>
          <t>156라7136</t>
        </is>
      </c>
      <c r="I349" t="n">
        <v>12000000</v>
      </c>
      <c r="J349" t="n">
        <v>0.049</v>
      </c>
      <c r="K349" t="n">
        <v>0.55</v>
      </c>
      <c r="L349" t="n">
        <v>0.4</v>
      </c>
      <c r="M349" t="n">
        <v>0.15</v>
      </c>
      <c r="P349" t="inlineStr">
        <is>
          <t>정하은</t>
        </is>
      </c>
      <c r="Z349" t="n">
        <v>0</v>
      </c>
      <c r="AB349" t="inlineStr">
        <is>
          <t>엔카</t>
        </is>
      </c>
      <c r="AC349" t="n">
        <v>66000</v>
      </c>
      <c r="AD349" t="n">
        <v>48000</v>
      </c>
      <c r="AE349" t="n">
        <v>18000</v>
      </c>
      <c r="AF349" t="n">
        <v>60000</v>
      </c>
      <c r="AG349" t="n">
        <v>48000</v>
      </c>
      <c r="AH349" t="n">
        <v>12000</v>
      </c>
    </row>
    <row r="350">
      <c r="A350" t="inlineStr">
        <is>
          <t>1월</t>
        </is>
      </c>
      <c r="B350" t="inlineStr">
        <is>
          <t>3주차</t>
        </is>
      </c>
      <c r="C350" t="inlineStr">
        <is>
          <t>EP</t>
        </is>
      </c>
      <c r="D350" s="28" t="n">
        <v>46035</v>
      </c>
      <c r="E350" t="inlineStr">
        <is>
          <t>현대EP_fast</t>
        </is>
      </c>
      <c r="F350" t="inlineStr">
        <is>
          <t>전경환</t>
        </is>
      </c>
      <c r="G350" t="inlineStr">
        <is>
          <t>010-5426-0759</t>
        </is>
      </c>
      <c r="H350" t="inlineStr">
        <is>
          <t>263오6260</t>
        </is>
      </c>
      <c r="I350" t="n">
        <v>20000000</v>
      </c>
      <c r="J350" t="n">
        <v>0.08699999999999999</v>
      </c>
      <c r="K350" t="n">
        <v>1.76</v>
      </c>
      <c r="L350" t="n">
        <v>0.13</v>
      </c>
      <c r="M350" t="n">
        <v>1.63</v>
      </c>
      <c r="P350" t="inlineStr">
        <is>
          <t>정하은</t>
        </is>
      </c>
      <c r="Q350" t="inlineStr">
        <is>
          <t>선상담 /홈서비스 60개월</t>
        </is>
      </c>
      <c r="Z350" t="n">
        <v>0</v>
      </c>
      <c r="AB350" t="inlineStr">
        <is>
          <t>홈서비스</t>
        </is>
      </c>
      <c r="AC350" t="n">
        <v>352000</v>
      </c>
      <c r="AD350" t="n">
        <v>26000</v>
      </c>
      <c r="AE350" t="n">
        <v>326000</v>
      </c>
      <c r="AF350" t="n">
        <v>320000</v>
      </c>
      <c r="AG350" t="n">
        <v>26000</v>
      </c>
      <c r="AH350" t="n">
        <v>294000</v>
      </c>
    </row>
    <row r="351">
      <c r="A351" t="inlineStr">
        <is>
          <t>1월</t>
        </is>
      </c>
      <c r="B351" t="inlineStr">
        <is>
          <t>3주차</t>
        </is>
      </c>
      <c r="C351" t="inlineStr">
        <is>
          <t>EP</t>
        </is>
      </c>
      <c r="D351" s="28" t="n">
        <v>46034</v>
      </c>
      <c r="E351" t="inlineStr">
        <is>
          <t>현대EP</t>
        </is>
      </c>
      <c r="F351" t="inlineStr">
        <is>
          <t>임지훈</t>
        </is>
      </c>
      <c r="G351" t="inlineStr">
        <is>
          <t>010-8652-3613</t>
        </is>
      </c>
      <c r="H351" t="inlineStr">
        <is>
          <t>31가2517</t>
        </is>
      </c>
      <c r="I351" t="n">
        <v>6200000</v>
      </c>
      <c r="J351" t="n">
        <v>0.083</v>
      </c>
      <c r="K351" t="n">
        <v>1.76</v>
      </c>
      <c r="L351" t="n">
        <v>0.13</v>
      </c>
      <c r="M351" t="n">
        <v>1.63</v>
      </c>
      <c r="P351" t="inlineStr">
        <is>
          <t>임대경</t>
        </is>
      </c>
      <c r="Q351" t="inlineStr">
        <is>
          <t>홈서비스 36개월</t>
        </is>
      </c>
      <c r="Z351" t="n">
        <v>0</v>
      </c>
      <c r="AB351" t="inlineStr">
        <is>
          <t>홈서비스</t>
        </is>
      </c>
      <c r="AC351" t="n">
        <v>109120</v>
      </c>
      <c r="AD351" t="n">
        <v>8060</v>
      </c>
      <c r="AE351" t="n">
        <v>101060</v>
      </c>
      <c r="AF351" t="n">
        <v>99200</v>
      </c>
      <c r="AG351" t="n">
        <v>8060</v>
      </c>
      <c r="AH351" t="n">
        <v>91140</v>
      </c>
    </row>
    <row r="352">
      <c r="A352" t="inlineStr">
        <is>
          <t>1월</t>
        </is>
      </c>
      <c r="B352" t="inlineStr">
        <is>
          <t>3주차</t>
        </is>
      </c>
      <c r="C352" t="inlineStr">
        <is>
          <t>EP</t>
        </is>
      </c>
      <c r="D352" s="28" t="n">
        <v>46035</v>
      </c>
      <c r="E352" t="inlineStr">
        <is>
          <t>현대EP_fast</t>
        </is>
      </c>
      <c r="F352" t="inlineStr">
        <is>
          <t>최돈기</t>
        </is>
      </c>
      <c r="G352" t="inlineStr">
        <is>
          <t>010-3523-5568</t>
        </is>
      </c>
      <c r="H352" t="inlineStr">
        <is>
          <t>224노2055</t>
        </is>
      </c>
      <c r="I352" t="n">
        <v>29900000</v>
      </c>
      <c r="J352" t="n">
        <v>0.075</v>
      </c>
      <c r="K352" t="n">
        <v>1.76</v>
      </c>
      <c r="L352" t="n">
        <v>0.4</v>
      </c>
      <c r="M352" t="n">
        <v>1.36</v>
      </c>
      <c r="P352" t="inlineStr">
        <is>
          <t>정하은</t>
        </is>
      </c>
      <c r="Z352" t="n">
        <v>0</v>
      </c>
      <c r="AB352" t="inlineStr">
        <is>
          <t>엔카</t>
        </is>
      </c>
      <c r="AC352" t="n">
        <v>526240</v>
      </c>
      <c r="AD352" t="n">
        <v>119600</v>
      </c>
      <c r="AE352" t="n">
        <v>406640</v>
      </c>
      <c r="AF352" t="n">
        <v>478400</v>
      </c>
      <c r="AG352" t="n">
        <v>119600</v>
      </c>
      <c r="AH352" t="n">
        <v>358800</v>
      </c>
      <c r="AI352" t="n">
        <v>0</v>
      </c>
    </row>
    <row r="353">
      <c r="A353" t="inlineStr">
        <is>
          <t>1월</t>
        </is>
      </c>
      <c r="B353" t="inlineStr">
        <is>
          <t>3주차</t>
        </is>
      </c>
      <c r="C353" t="inlineStr">
        <is>
          <t>IM</t>
        </is>
      </c>
      <c r="D353" s="28" t="n">
        <v>46035</v>
      </c>
      <c r="E353" t="inlineStr">
        <is>
          <t>IM캐피탈</t>
        </is>
      </c>
      <c r="F353" t="inlineStr">
        <is>
          <t>권순상</t>
        </is>
      </c>
      <c r="G353" t="inlineStr">
        <is>
          <t>010-5190-1346</t>
        </is>
      </c>
      <c r="H353" t="inlineStr">
        <is>
          <t>312서7497</t>
        </is>
      </c>
      <c r="I353" t="n">
        <v>12000000</v>
      </c>
      <c r="J353" t="n">
        <v>0.064</v>
      </c>
      <c r="K353" t="n">
        <v>0.55</v>
      </c>
      <c r="L353" t="n">
        <v>0.13</v>
      </c>
      <c r="M353" t="n">
        <v>0.42</v>
      </c>
      <c r="P353" t="inlineStr">
        <is>
          <t>정하은</t>
        </is>
      </c>
      <c r="Q353" t="inlineStr">
        <is>
          <t>선상담 /홈서비스 60개월</t>
        </is>
      </c>
      <c r="Z353" t="n">
        <v>0</v>
      </c>
      <c r="AB353" t="inlineStr">
        <is>
          <t>홈서비스</t>
        </is>
      </c>
      <c r="AC353" t="n">
        <v>66000</v>
      </c>
      <c r="AD353" t="n">
        <v>15600</v>
      </c>
      <c r="AE353" t="n">
        <v>50400</v>
      </c>
      <c r="AF353" t="n">
        <v>60000</v>
      </c>
      <c r="AG353" t="n">
        <v>15600</v>
      </c>
      <c r="AH353" t="n">
        <v>44400</v>
      </c>
      <c r="AI353" t="n">
        <v>0</v>
      </c>
    </row>
    <row r="354">
      <c r="A354" t="inlineStr">
        <is>
          <t>1월</t>
        </is>
      </c>
      <c r="B354" t="inlineStr">
        <is>
          <t>3주차</t>
        </is>
      </c>
      <c r="C354" t="inlineStr">
        <is>
          <t>EP</t>
        </is>
      </c>
      <c r="D354" s="28" t="n">
        <v>46035</v>
      </c>
      <c r="E354" t="inlineStr">
        <is>
          <t>현대EP_fast</t>
        </is>
      </c>
      <c r="F354" t="inlineStr">
        <is>
          <t>박근태</t>
        </is>
      </c>
      <c r="G354" t="inlineStr">
        <is>
          <t>010-5474-5403</t>
        </is>
      </c>
      <c r="H354" t="inlineStr">
        <is>
          <t>33구8961</t>
        </is>
      </c>
      <c r="I354" t="n">
        <v>3500000</v>
      </c>
      <c r="J354" t="n">
        <v>0.112</v>
      </c>
      <c r="K354" t="n">
        <v>1.76</v>
      </c>
      <c r="L354" t="n">
        <v>0.4</v>
      </c>
      <c r="M354" t="n">
        <v>1.36</v>
      </c>
      <c r="P354" t="inlineStr">
        <is>
          <t>정하은</t>
        </is>
      </c>
      <c r="Q354" t="inlineStr">
        <is>
          <t>공동명의</t>
        </is>
      </c>
      <c r="Z354" t="n">
        <v>0</v>
      </c>
      <c r="AB354" t="inlineStr">
        <is>
          <t>엔카</t>
        </is>
      </c>
      <c r="AC354" t="n">
        <v>61600</v>
      </c>
      <c r="AD354" t="n">
        <v>14000</v>
      </c>
      <c r="AE354" t="n">
        <v>47600</v>
      </c>
      <c r="AF354" t="n">
        <v>56000</v>
      </c>
      <c r="AG354" t="n">
        <v>14000</v>
      </c>
      <c r="AH354" t="n">
        <v>42000</v>
      </c>
      <c r="AI354" t="n">
        <v>0</v>
      </c>
    </row>
    <row r="355">
      <c r="A355" t="inlineStr">
        <is>
          <t>1월</t>
        </is>
      </c>
      <c r="B355" t="inlineStr">
        <is>
          <t>3주차</t>
        </is>
      </c>
      <c r="C355" t="inlineStr">
        <is>
          <t>EP</t>
        </is>
      </c>
      <c r="D355" s="28" t="n">
        <v>46035</v>
      </c>
      <c r="E355" t="inlineStr">
        <is>
          <t>현대EP_fast</t>
        </is>
      </c>
      <c r="F355" t="inlineStr">
        <is>
          <t>문지수</t>
        </is>
      </c>
      <c r="G355" t="inlineStr">
        <is>
          <t>010-6670-6450</t>
        </is>
      </c>
      <c r="H355" t="inlineStr">
        <is>
          <t>28너1046</t>
        </is>
      </c>
      <c r="I355" t="n">
        <v>5500000</v>
      </c>
      <c r="J355" t="n">
        <v>0.075</v>
      </c>
      <c r="K355" t="n">
        <v>1.76</v>
      </c>
      <c r="L355" t="n">
        <v>0.13</v>
      </c>
      <c r="M355" t="n">
        <v>1.63</v>
      </c>
      <c r="P355" t="inlineStr">
        <is>
          <t>최형주</t>
        </is>
      </c>
      <c r="Q355" t="inlineStr">
        <is>
          <t>홈서비스 60개월</t>
        </is>
      </c>
      <c r="Z355" t="n">
        <v>0</v>
      </c>
      <c r="AB355" t="inlineStr">
        <is>
          <t>홈서비스</t>
        </is>
      </c>
      <c r="AC355" t="n">
        <v>96800</v>
      </c>
      <c r="AD355" t="n">
        <v>7150</v>
      </c>
      <c r="AE355" t="n">
        <v>89650</v>
      </c>
      <c r="AF355" t="n">
        <v>88000</v>
      </c>
      <c r="AG355" t="n">
        <v>7150</v>
      </c>
      <c r="AH355" t="n">
        <v>80850</v>
      </c>
      <c r="AI355" t="n">
        <v>0</v>
      </c>
    </row>
    <row r="356">
      <c r="A356" t="inlineStr">
        <is>
          <t>1월</t>
        </is>
      </c>
      <c r="B356" t="inlineStr">
        <is>
          <t>3주차</t>
        </is>
      </c>
      <c r="C356" t="inlineStr">
        <is>
          <t>EP</t>
        </is>
      </c>
      <c r="D356" s="28" t="n">
        <v>46035</v>
      </c>
      <c r="E356" t="inlineStr">
        <is>
          <t>제이비EP</t>
        </is>
      </c>
      <c r="F356" t="inlineStr">
        <is>
          <t>김호진</t>
        </is>
      </c>
      <c r="G356" t="inlineStr">
        <is>
          <t>010-4342-5583</t>
        </is>
      </c>
      <c r="H356" t="inlineStr">
        <is>
          <t>53더1907</t>
        </is>
      </c>
      <c r="I356" t="n">
        <v>14500000</v>
      </c>
      <c r="J356" t="n">
        <v>0.114</v>
      </c>
      <c r="K356" t="n">
        <v>1.65</v>
      </c>
      <c r="L356" t="n">
        <v>0.4</v>
      </c>
      <c r="M356" t="n">
        <v>1.25</v>
      </c>
      <c r="P356" t="inlineStr">
        <is>
          <t>박현민</t>
        </is>
      </c>
      <c r="Q356" t="inlineStr">
        <is>
          <t xml:space="preserve">   </t>
        </is>
      </c>
      <c r="Z356" t="n">
        <v>0</v>
      </c>
      <c r="AB356" t="inlineStr">
        <is>
          <t>엔카</t>
        </is>
      </c>
      <c r="AC356" t="n">
        <v>239250</v>
      </c>
      <c r="AD356" t="n">
        <v>58000</v>
      </c>
      <c r="AE356" t="n">
        <v>181250</v>
      </c>
      <c r="AF356" t="n">
        <v>217500</v>
      </c>
      <c r="AG356" t="n">
        <v>58000</v>
      </c>
      <c r="AH356" t="n">
        <v>159500</v>
      </c>
      <c r="AI356" t="n">
        <v>0</v>
      </c>
    </row>
    <row r="357">
      <c r="A357" t="inlineStr">
        <is>
          <t>1월</t>
        </is>
      </c>
      <c r="B357" t="inlineStr">
        <is>
          <t>2주차</t>
        </is>
      </c>
      <c r="C357" t="inlineStr">
        <is>
          <t>IM</t>
        </is>
      </c>
      <c r="D357" s="28" t="n">
        <v>46031</v>
      </c>
      <c r="E357" t="inlineStr">
        <is>
          <t>IM캐피탈</t>
        </is>
      </c>
      <c r="F357" t="inlineStr">
        <is>
          <t>지종현</t>
        </is>
      </c>
      <c r="G357" t="inlineStr">
        <is>
          <t>010-2207-3044</t>
        </is>
      </c>
      <c r="H357" t="inlineStr">
        <is>
          <t>24버9788</t>
        </is>
      </c>
      <c r="I357" t="n">
        <v>-38300000</v>
      </c>
      <c r="J357" t="n">
        <v>0.056</v>
      </c>
      <c r="K357" t="n">
        <v>0.55</v>
      </c>
      <c r="L357" t="n">
        <v>0.4</v>
      </c>
      <c r="M357" t="n">
        <v>0.15</v>
      </c>
      <c r="P357" t="inlineStr">
        <is>
          <t>장현경</t>
        </is>
      </c>
      <c r="Q357" t="inlineStr">
        <is>
          <t>부대비용 추가진행/ *철회 20260112</t>
        </is>
      </c>
      <c r="Z357" t="n">
        <v>0</v>
      </c>
      <c r="AB357" t="inlineStr">
        <is>
          <t>엔카</t>
        </is>
      </c>
      <c r="AC357" t="n">
        <v>-210650</v>
      </c>
      <c r="AD357" t="n">
        <v>-153200</v>
      </c>
      <c r="AE357" t="n">
        <v>-57450</v>
      </c>
      <c r="AF357" t="n">
        <v>-191500</v>
      </c>
      <c r="AG357" t="n">
        <v>-153200</v>
      </c>
      <c r="AH357" t="n">
        <v>-38300</v>
      </c>
      <c r="AI357" t="n">
        <v>0</v>
      </c>
      <c r="AK357" t="inlineStr">
        <is>
          <t>대출철회</t>
        </is>
      </c>
    </row>
    <row r="358">
      <c r="A358" t="inlineStr">
        <is>
          <t>1월</t>
        </is>
      </c>
      <c r="B358" t="inlineStr">
        <is>
          <t>3주차</t>
        </is>
      </c>
      <c r="C358" t="inlineStr">
        <is>
          <t>EP</t>
        </is>
      </c>
      <c r="D358" s="28" t="n">
        <v>46034</v>
      </c>
      <c r="E358" t="inlineStr">
        <is>
          <t>현대EP_fast</t>
        </is>
      </c>
      <c r="F358" t="inlineStr">
        <is>
          <t>이대호</t>
        </is>
      </c>
      <c r="G358" t="inlineStr">
        <is>
          <t>010-3116-7873</t>
        </is>
      </c>
      <c r="H358" t="inlineStr">
        <is>
          <t>17두1613</t>
        </is>
      </c>
      <c r="I358" t="n">
        <v>25400000</v>
      </c>
      <c r="J358" t="n">
        <v>0.105</v>
      </c>
      <c r="K358" t="n">
        <v>1.76</v>
      </c>
      <c r="L358" t="n">
        <v>0.4</v>
      </c>
      <c r="M358" t="n">
        <v>1.36</v>
      </c>
      <c r="P358" t="inlineStr">
        <is>
          <t>박보람</t>
        </is>
      </c>
      <c r="Z358" t="n">
        <v>0</v>
      </c>
      <c r="AB358" t="inlineStr">
        <is>
          <t>엔카</t>
        </is>
      </c>
      <c r="AC358" t="n">
        <v>447040</v>
      </c>
      <c r="AD358" t="n">
        <v>101600</v>
      </c>
      <c r="AE358" t="n">
        <v>345440</v>
      </c>
      <c r="AF358" t="n">
        <v>406400</v>
      </c>
      <c r="AG358" t="n">
        <v>101600</v>
      </c>
      <c r="AH358" t="n">
        <v>304800</v>
      </c>
      <c r="AI358" t="n">
        <v>0</v>
      </c>
    </row>
    <row r="359">
      <c r="A359" t="inlineStr">
        <is>
          <t>1월</t>
        </is>
      </c>
      <c r="B359" t="inlineStr">
        <is>
          <t>3주차</t>
        </is>
      </c>
      <c r="C359" t="inlineStr">
        <is>
          <t>IM</t>
        </is>
      </c>
      <c r="D359" s="28" t="n">
        <v>46035</v>
      </c>
      <c r="E359" t="inlineStr">
        <is>
          <t>IM캐피탈</t>
        </is>
      </c>
      <c r="F359" t="inlineStr">
        <is>
          <t>이화경</t>
        </is>
      </c>
      <c r="G359" t="inlineStr">
        <is>
          <t>010-7940-5407</t>
        </is>
      </c>
      <c r="H359" t="inlineStr">
        <is>
          <t>50마0777</t>
        </is>
      </c>
      <c r="I359" t="n">
        <v>7200000</v>
      </c>
      <c r="J359" t="n">
        <v>0.049</v>
      </c>
      <c r="K359" t="n">
        <v>0.55</v>
      </c>
      <c r="L359" t="n">
        <v>0.13</v>
      </c>
      <c r="M359" t="n">
        <v>0.42</v>
      </c>
      <c r="P359" t="inlineStr">
        <is>
          <t>최형주</t>
        </is>
      </c>
      <c r="Q359" t="inlineStr">
        <is>
          <t>홈서비스 60개월</t>
        </is>
      </c>
      <c r="Z359" t="n">
        <v>0</v>
      </c>
      <c r="AB359" t="inlineStr">
        <is>
          <t>홈서비스</t>
        </is>
      </c>
      <c r="AC359" t="n">
        <v>184800</v>
      </c>
      <c r="AD359" t="n">
        <v>9360</v>
      </c>
      <c r="AE359" t="n">
        <v>30240</v>
      </c>
      <c r="AF359" t="n">
        <v>168000</v>
      </c>
      <c r="AG359" t="n">
        <v>9360</v>
      </c>
      <c r="AH359" t="n">
        <v>158640</v>
      </c>
      <c r="AI359" t="n">
        <v>0</v>
      </c>
    </row>
    <row r="360">
      <c r="A360" t="inlineStr">
        <is>
          <t>1월</t>
        </is>
      </c>
      <c r="B360" t="inlineStr">
        <is>
          <t>3주차</t>
        </is>
      </c>
      <c r="C360" t="inlineStr">
        <is>
          <t>EP</t>
        </is>
      </c>
      <c r="D360" s="28" t="n">
        <v>46034</v>
      </c>
      <c r="E360" t="inlineStr">
        <is>
          <t>현대EP</t>
        </is>
      </c>
      <c r="F360" t="inlineStr">
        <is>
          <t>한태우</t>
        </is>
      </c>
      <c r="G360" t="inlineStr">
        <is>
          <t>010-9480-8205</t>
        </is>
      </c>
      <c r="H360" t="inlineStr">
        <is>
          <t>239수1368</t>
        </is>
      </c>
      <c r="I360" t="n">
        <v>20000000</v>
      </c>
      <c r="J360" t="n">
        <v>0.057</v>
      </c>
      <c r="K360" t="n">
        <v>1.76</v>
      </c>
      <c r="L360" t="n">
        <v>0.13</v>
      </c>
      <c r="M360" t="n">
        <v>1.63</v>
      </c>
      <c r="P360" t="inlineStr">
        <is>
          <t>정세빈</t>
        </is>
      </c>
      <c r="Q360" t="inlineStr">
        <is>
          <t>홈서비스 60개월</t>
        </is>
      </c>
      <c r="Z360" t="n">
        <v>0</v>
      </c>
      <c r="AB360" t="inlineStr">
        <is>
          <t>홈서비스</t>
        </is>
      </c>
      <c r="AC360" t="n">
        <v>352000</v>
      </c>
      <c r="AD360" t="n">
        <v>26000</v>
      </c>
      <c r="AE360" t="n">
        <v>326000</v>
      </c>
      <c r="AF360" t="n">
        <v>320000</v>
      </c>
      <c r="AG360" t="n">
        <v>26000</v>
      </c>
      <c r="AH360" t="n">
        <v>294000</v>
      </c>
      <c r="AI360" t="n">
        <v>0</v>
      </c>
    </row>
    <row r="361">
      <c r="A361" t="inlineStr">
        <is>
          <t>1월</t>
        </is>
      </c>
      <c r="B361" t="inlineStr">
        <is>
          <t>3주차</t>
        </is>
      </c>
      <c r="C361" t="inlineStr">
        <is>
          <t>EP</t>
        </is>
      </c>
      <c r="D361" s="28" t="n">
        <v>46035</v>
      </c>
      <c r="E361" t="inlineStr">
        <is>
          <t>현대EP_fast</t>
        </is>
      </c>
      <c r="F361" t="inlineStr">
        <is>
          <t>조성민</t>
        </is>
      </c>
      <c r="G361" t="inlineStr">
        <is>
          <t>010-9229-8536</t>
        </is>
      </c>
      <c r="H361" t="inlineStr">
        <is>
          <t>133러8619</t>
        </is>
      </c>
      <c r="I361" t="n">
        <v>21300000</v>
      </c>
      <c r="J361" t="n">
        <v>0.077</v>
      </c>
      <c r="K361" t="n">
        <v>1.76</v>
      </c>
      <c r="L361" t="n">
        <v>0.13</v>
      </c>
      <c r="M361" t="n">
        <v>1.63</v>
      </c>
      <c r="P361" t="inlineStr">
        <is>
          <t>장진경</t>
        </is>
      </c>
      <c r="Q361" t="inlineStr">
        <is>
          <t>안심거래존건</t>
        </is>
      </c>
      <c r="Z361" t="n">
        <v>0</v>
      </c>
      <c r="AB361" t="inlineStr">
        <is>
          <t>믿고</t>
        </is>
      </c>
      <c r="AC361" t="n">
        <v>374880</v>
      </c>
      <c r="AD361" t="n">
        <v>27690</v>
      </c>
      <c r="AE361" t="n">
        <v>347190</v>
      </c>
      <c r="AF361" t="n">
        <v>340800</v>
      </c>
      <c r="AG361" t="n">
        <v>27690</v>
      </c>
      <c r="AH361" t="n">
        <v>313110</v>
      </c>
    </row>
    <row r="362">
      <c r="A362" t="inlineStr">
        <is>
          <t>1월</t>
        </is>
      </c>
      <c r="B362" t="inlineStr">
        <is>
          <t>3주차</t>
        </is>
      </c>
      <c r="C362" t="inlineStr">
        <is>
          <t>EP</t>
        </is>
      </c>
      <c r="D362" s="28" t="n">
        <v>46034</v>
      </c>
      <c r="E362" t="inlineStr">
        <is>
          <t>현대EP</t>
        </is>
      </c>
      <c r="F362" t="inlineStr">
        <is>
          <t>최지훈</t>
        </is>
      </c>
      <c r="G362" t="inlineStr">
        <is>
          <t>010-8837-1326</t>
        </is>
      </c>
      <c r="H362" t="inlineStr">
        <is>
          <t>60모5354</t>
        </is>
      </c>
      <c r="I362" t="n">
        <v>17700000</v>
      </c>
      <c r="J362" t="n">
        <v>0.124</v>
      </c>
      <c r="K362" t="n">
        <v>1.76</v>
      </c>
      <c r="L362" t="n">
        <v>0.13</v>
      </c>
      <c r="M362" t="n">
        <v>1.63</v>
      </c>
      <c r="P362" t="inlineStr">
        <is>
          <t>최혁</t>
        </is>
      </c>
      <c r="Q362" t="inlineStr">
        <is>
          <t>홈서비스 60개월</t>
        </is>
      </c>
      <c r="Z362" t="n">
        <v>0</v>
      </c>
      <c r="AB362" t="inlineStr">
        <is>
          <t>홈서비스</t>
        </is>
      </c>
      <c r="AC362" t="n">
        <v>311520</v>
      </c>
      <c r="AD362" t="n">
        <v>23010</v>
      </c>
      <c r="AE362" t="n">
        <v>288510</v>
      </c>
      <c r="AF362" t="n">
        <v>283200</v>
      </c>
      <c r="AG362" t="n">
        <v>23010</v>
      </c>
      <c r="AH362" t="n">
        <v>260190</v>
      </c>
    </row>
    <row r="363">
      <c r="A363" t="inlineStr">
        <is>
          <t>1월</t>
        </is>
      </c>
      <c r="B363" t="inlineStr">
        <is>
          <t>3주차</t>
        </is>
      </c>
      <c r="C363" t="inlineStr">
        <is>
          <t>EP</t>
        </is>
      </c>
      <c r="D363" s="28" t="n">
        <v>46035</v>
      </c>
      <c r="E363" t="inlineStr">
        <is>
          <t>현대EP</t>
        </is>
      </c>
      <c r="F363" t="inlineStr">
        <is>
          <t>임성진</t>
        </is>
      </c>
      <c r="G363" t="inlineStr">
        <is>
          <t>010-6669-3497</t>
        </is>
      </c>
      <c r="H363" t="inlineStr">
        <is>
          <t>267다8981</t>
        </is>
      </c>
      <c r="I363" t="n">
        <v>15000000</v>
      </c>
      <c r="J363" t="n">
        <v>0.06900000000000001</v>
      </c>
      <c r="K363" t="n">
        <v>1.76</v>
      </c>
      <c r="L363" t="n">
        <v>0.13</v>
      </c>
      <c r="M363" t="n">
        <v>1.63</v>
      </c>
      <c r="P363" t="inlineStr">
        <is>
          <t>황채이</t>
        </is>
      </c>
      <c r="Q363" t="inlineStr">
        <is>
          <t>홈서비스 60개월</t>
        </is>
      </c>
      <c r="Z363" t="n">
        <v>0</v>
      </c>
      <c r="AB363" t="inlineStr">
        <is>
          <t>홈서비스</t>
        </is>
      </c>
      <c r="AC363" t="n">
        <v>264000</v>
      </c>
      <c r="AD363" t="n">
        <v>19500</v>
      </c>
      <c r="AE363" t="n">
        <v>244500</v>
      </c>
      <c r="AF363" t="n">
        <v>240000</v>
      </c>
      <c r="AG363" t="n">
        <v>19500</v>
      </c>
      <c r="AH363" t="n">
        <v>220500</v>
      </c>
    </row>
    <row r="364">
      <c r="A364" t="inlineStr">
        <is>
          <t>1월</t>
        </is>
      </c>
      <c r="B364" t="inlineStr">
        <is>
          <t>3주차</t>
        </is>
      </c>
      <c r="C364" t="inlineStr">
        <is>
          <t>EP</t>
        </is>
      </c>
      <c r="D364" s="28" t="n">
        <v>46035</v>
      </c>
      <c r="E364" t="inlineStr">
        <is>
          <t>현대EP_fast</t>
        </is>
      </c>
      <c r="F364" t="inlineStr">
        <is>
          <t>이상민</t>
        </is>
      </c>
      <c r="G364" t="inlineStr">
        <is>
          <t>010-7298-8486</t>
        </is>
      </c>
      <c r="H364" t="inlineStr">
        <is>
          <t>272구2615</t>
        </is>
      </c>
      <c r="I364" t="n">
        <v>14500000</v>
      </c>
      <c r="J364" t="n">
        <v>0.073</v>
      </c>
      <c r="K364" t="n">
        <v>1.76</v>
      </c>
      <c r="L364" t="n">
        <v>0.13</v>
      </c>
      <c r="M364" t="n">
        <v>1.63</v>
      </c>
      <c r="P364" t="inlineStr">
        <is>
          <t>정세빈</t>
        </is>
      </c>
      <c r="Q364" t="inlineStr">
        <is>
          <t>홈서비스 60개월</t>
        </is>
      </c>
      <c r="Z364" t="n">
        <v>0</v>
      </c>
      <c r="AB364" t="inlineStr">
        <is>
          <t>홈서비스</t>
        </is>
      </c>
      <c r="AC364" t="n">
        <v>255200</v>
      </c>
      <c r="AD364" t="n">
        <v>18850</v>
      </c>
      <c r="AE364" t="n">
        <v>236350</v>
      </c>
      <c r="AF364" t="n">
        <v>232000</v>
      </c>
      <c r="AG364" t="n">
        <v>18850</v>
      </c>
      <c r="AH364" t="n">
        <v>213150</v>
      </c>
      <c r="AI364" t="n">
        <v>0</v>
      </c>
    </row>
    <row r="365">
      <c r="A365" t="inlineStr">
        <is>
          <t>1월</t>
        </is>
      </c>
      <c r="B365" t="inlineStr">
        <is>
          <t>3주차</t>
        </is>
      </c>
      <c r="C365" t="inlineStr">
        <is>
          <t>EP</t>
        </is>
      </c>
      <c r="D365" s="28" t="n">
        <v>46035</v>
      </c>
      <c r="E365" t="inlineStr">
        <is>
          <t>현대EP</t>
        </is>
      </c>
      <c r="F365" t="inlineStr">
        <is>
          <t>김상윤</t>
        </is>
      </c>
      <c r="G365" t="inlineStr">
        <is>
          <t>010-9462-2308</t>
        </is>
      </c>
      <c r="H365" t="inlineStr">
        <is>
          <t>68조7779</t>
        </is>
      </c>
      <c r="I365" t="n">
        <v>16800000</v>
      </c>
      <c r="J365" t="n">
        <v>0.07199999999999999</v>
      </c>
      <c r="K365" t="n">
        <v>1.76</v>
      </c>
      <c r="L365" t="n">
        <v>0.13</v>
      </c>
      <c r="M365" t="n">
        <v>1.63</v>
      </c>
      <c r="P365" t="inlineStr">
        <is>
          <t>최형주</t>
        </is>
      </c>
      <c r="Q365" t="inlineStr">
        <is>
          <t>홈서비스 60개월</t>
        </is>
      </c>
      <c r="Z365" t="n">
        <v>0</v>
      </c>
      <c r="AB365" t="inlineStr">
        <is>
          <t>홈서비스</t>
        </is>
      </c>
      <c r="AC365" t="n">
        <v>295680</v>
      </c>
      <c r="AD365" t="n">
        <v>21840</v>
      </c>
      <c r="AE365" t="n">
        <v>273840</v>
      </c>
      <c r="AF365" t="n">
        <v>268800</v>
      </c>
      <c r="AG365" t="n">
        <v>21840</v>
      </c>
      <c r="AH365" t="n">
        <v>246960</v>
      </c>
    </row>
    <row r="366">
      <c r="A366" t="inlineStr">
        <is>
          <t>1월</t>
        </is>
      </c>
      <c r="B366" t="inlineStr">
        <is>
          <t>3주차</t>
        </is>
      </c>
      <c r="C366" t="inlineStr">
        <is>
          <t>IM</t>
        </is>
      </c>
      <c r="D366" s="28" t="n">
        <v>46034</v>
      </c>
      <c r="E366" t="inlineStr">
        <is>
          <t>IM캐피탈</t>
        </is>
      </c>
      <c r="F366" t="inlineStr">
        <is>
          <t>정요한</t>
        </is>
      </c>
      <c r="G366" t="inlineStr">
        <is>
          <t>010-4592-5475</t>
        </is>
      </c>
      <c r="H366" t="inlineStr">
        <is>
          <t>151로6126</t>
        </is>
      </c>
      <c r="I366" t="n">
        <v>14800000</v>
      </c>
      <c r="J366" t="n">
        <v>0.064</v>
      </c>
      <c r="K366" t="n">
        <v>0.55</v>
      </c>
      <c r="L366" t="n">
        <v>0.13</v>
      </c>
      <c r="M366" t="n">
        <v>0.42</v>
      </c>
      <c r="P366" t="inlineStr">
        <is>
          <t>박보람</t>
        </is>
      </c>
      <c r="Q366" t="inlineStr">
        <is>
          <t>선상담 / 홈서비스 60개월 / 부대비용 추가진행</t>
        </is>
      </c>
      <c r="Z366" t="n">
        <v>0</v>
      </c>
      <c r="AB366" t="inlineStr">
        <is>
          <t>홈서비스</t>
        </is>
      </c>
      <c r="AC366" t="n">
        <v>81400</v>
      </c>
      <c r="AD366" t="n">
        <v>19240</v>
      </c>
      <c r="AE366" t="n">
        <v>62160</v>
      </c>
      <c r="AF366" t="n">
        <v>74000</v>
      </c>
      <c r="AG366" t="n">
        <v>19240</v>
      </c>
      <c r="AH366" t="n">
        <v>54760</v>
      </c>
      <c r="AI366" t="n">
        <v>0</v>
      </c>
    </row>
    <row r="367">
      <c r="A367" t="inlineStr">
        <is>
          <t>1월</t>
        </is>
      </c>
      <c r="B367" t="inlineStr">
        <is>
          <t>3주차</t>
        </is>
      </c>
      <c r="C367" t="inlineStr">
        <is>
          <t>IM</t>
        </is>
      </c>
      <c r="D367" s="28" t="n">
        <v>46034</v>
      </c>
      <c r="E367" t="inlineStr">
        <is>
          <t>IM캐피탈</t>
        </is>
      </c>
      <c r="F367" t="inlineStr">
        <is>
          <t>추교훈</t>
        </is>
      </c>
      <c r="G367" t="inlineStr">
        <is>
          <t>010-8899-5690</t>
        </is>
      </c>
      <c r="H367" t="inlineStr">
        <is>
          <t>245우8530</t>
        </is>
      </c>
      <c r="I367" t="n">
        <v>46400000</v>
      </c>
      <c r="J367" t="n">
        <v>0.07199999999999999</v>
      </c>
      <c r="K367" t="n">
        <v>0.55</v>
      </c>
      <c r="L367" t="n">
        <v>0.4</v>
      </c>
      <c r="M367" t="n">
        <v>0.15</v>
      </c>
      <c r="P367" t="inlineStr">
        <is>
          <t>구성완</t>
        </is>
      </c>
      <c r="Z367" t="n">
        <v>0</v>
      </c>
      <c r="AB367" t="inlineStr">
        <is>
          <t>엔카</t>
        </is>
      </c>
      <c r="AC367" t="n">
        <v>255200</v>
      </c>
      <c r="AD367" t="n">
        <v>185600</v>
      </c>
      <c r="AE367" t="n">
        <v>69600</v>
      </c>
      <c r="AF367" t="n">
        <v>232000</v>
      </c>
      <c r="AG367" t="n">
        <v>185600</v>
      </c>
      <c r="AH367" t="n">
        <v>46400</v>
      </c>
    </row>
    <row r="368">
      <c r="A368" t="inlineStr">
        <is>
          <t>1월</t>
        </is>
      </c>
      <c r="B368" t="inlineStr">
        <is>
          <t>3주차</t>
        </is>
      </c>
      <c r="C368" t="inlineStr">
        <is>
          <t>EP</t>
        </is>
      </c>
      <c r="D368" s="28" t="n">
        <v>46035</v>
      </c>
      <c r="E368" t="inlineStr">
        <is>
          <t>현대EP_fast</t>
        </is>
      </c>
      <c r="F368" t="inlineStr">
        <is>
          <t>박찬일</t>
        </is>
      </c>
      <c r="G368" t="inlineStr">
        <is>
          <t>010-9528-0737</t>
        </is>
      </c>
      <c r="H368" t="inlineStr">
        <is>
          <t>184주3592</t>
        </is>
      </c>
      <c r="I368" t="n">
        <v>22800000</v>
      </c>
      <c r="J368" t="n">
        <v>0.06900000000000001</v>
      </c>
      <c r="K368" t="n">
        <v>1.76</v>
      </c>
      <c r="L368" t="n">
        <v>0.13</v>
      </c>
      <c r="M368" t="n">
        <v>1.63</v>
      </c>
      <c r="P368" t="inlineStr">
        <is>
          <t>정광호</t>
        </is>
      </c>
      <c r="Q368" t="inlineStr">
        <is>
          <t>홈서비스 48개월</t>
        </is>
      </c>
      <c r="Z368" t="n">
        <v>0</v>
      </c>
      <c r="AB368" t="inlineStr">
        <is>
          <t>홈서비스</t>
        </is>
      </c>
      <c r="AC368" t="n">
        <v>401280</v>
      </c>
      <c r="AD368" t="n">
        <v>29640</v>
      </c>
      <c r="AE368" t="n">
        <v>371640</v>
      </c>
      <c r="AF368" t="n">
        <v>364800</v>
      </c>
      <c r="AG368" t="n">
        <v>29640</v>
      </c>
      <c r="AH368" t="n">
        <v>335160</v>
      </c>
      <c r="AI368" t="n">
        <v>0</v>
      </c>
    </row>
    <row r="369">
      <c r="A369" t="inlineStr">
        <is>
          <t>4월</t>
        </is>
      </c>
      <c r="B369" t="inlineStr">
        <is>
          <t>17주차</t>
        </is>
      </c>
      <c r="C369" t="inlineStr">
        <is>
          <t>IM</t>
        </is>
      </c>
      <c r="D369" s="28" t="n">
        <v>46133</v>
      </c>
      <c r="E369" t="inlineStr">
        <is>
          <t>IM캐피탈</t>
        </is>
      </c>
      <c r="F369" t="inlineStr">
        <is>
          <t>최승준</t>
        </is>
      </c>
      <c r="G369" t="inlineStr">
        <is>
          <t>010-8431-9200</t>
        </is>
      </c>
      <c r="H369" t="inlineStr">
        <is>
          <t>48라1718</t>
        </is>
      </c>
      <c r="I369" t="n">
        <v>-12800000</v>
      </c>
      <c r="J369" t="n">
        <v>0.059</v>
      </c>
      <c r="K369" t="n">
        <v>1.1</v>
      </c>
      <c r="L369" t="n">
        <v>0.07000000000000001</v>
      </c>
      <c r="M369" t="n">
        <v>1.03</v>
      </c>
      <c r="P369" t="inlineStr">
        <is>
          <t>황채이</t>
        </is>
      </c>
      <c r="Q369" t="inlineStr">
        <is>
          <t>홈서비스 84개월</t>
        </is>
      </c>
      <c r="Z369" t="n">
        <v>0</v>
      </c>
      <c r="AB369" t="inlineStr">
        <is>
          <t>홈서비스</t>
        </is>
      </c>
      <c r="AC369" t="n">
        <v>148500</v>
      </c>
      <c r="AD369" t="n">
        <v>-8960</v>
      </c>
      <c r="AE369" t="n">
        <v>-131840</v>
      </c>
      <c r="AF369" t="n">
        <v>135000</v>
      </c>
      <c r="AG369" t="n">
        <v>-8960</v>
      </c>
      <c r="AH369" t="n">
        <v>143960</v>
      </c>
      <c r="AI369" t="n">
        <v>0</v>
      </c>
    </row>
    <row r="370">
      <c r="A370" t="inlineStr">
        <is>
          <t>1월</t>
        </is>
      </c>
      <c r="B370" t="inlineStr">
        <is>
          <t>3주차</t>
        </is>
      </c>
      <c r="C370" t="inlineStr">
        <is>
          <t>EP</t>
        </is>
      </c>
      <c r="D370" s="28" t="n">
        <v>46035</v>
      </c>
      <c r="E370" t="inlineStr">
        <is>
          <t>현대EP_fast</t>
        </is>
      </c>
      <c r="F370" t="inlineStr">
        <is>
          <t>도형준</t>
        </is>
      </c>
      <c r="G370" t="inlineStr">
        <is>
          <t>010-2108-2106</t>
        </is>
      </c>
      <c r="H370" t="inlineStr">
        <is>
          <t>311어9093</t>
        </is>
      </c>
      <c r="I370" t="n">
        <v>7500000</v>
      </c>
      <c r="J370" t="n">
        <v>0.105</v>
      </c>
      <c r="K370" t="n">
        <v>1.76</v>
      </c>
      <c r="L370" t="n">
        <v>0.13</v>
      </c>
      <c r="M370" t="n">
        <v>1.63</v>
      </c>
      <c r="P370" t="inlineStr">
        <is>
          <t>정광호</t>
        </is>
      </c>
      <c r="Q370" t="inlineStr">
        <is>
          <t>홈서비스 60개월 /*당월철회 20260120</t>
        </is>
      </c>
      <c r="Z370" t="n">
        <v>0</v>
      </c>
      <c r="AB370" t="inlineStr">
        <is>
          <t>홈서비스</t>
        </is>
      </c>
      <c r="AC370" t="n">
        <v>132000</v>
      </c>
      <c r="AD370" t="n">
        <v>9750</v>
      </c>
      <c r="AE370" t="n">
        <v>122250</v>
      </c>
      <c r="AF370" t="n">
        <v>120000</v>
      </c>
      <c r="AG370" t="n">
        <v>9750</v>
      </c>
      <c r="AH370" t="n">
        <v>110250</v>
      </c>
      <c r="AI370" t="n">
        <v>0</v>
      </c>
      <c r="AK370" t="inlineStr">
        <is>
          <t>대출철회</t>
        </is>
      </c>
    </row>
    <row r="371">
      <c r="A371" t="inlineStr">
        <is>
          <t>1월</t>
        </is>
      </c>
      <c r="B371" t="inlineStr">
        <is>
          <t>3주차</t>
        </is>
      </c>
      <c r="C371" t="inlineStr">
        <is>
          <t>EP</t>
        </is>
      </c>
      <c r="D371" s="28" t="n">
        <v>46036</v>
      </c>
      <c r="E371" t="inlineStr">
        <is>
          <t>현대EP_fast</t>
        </is>
      </c>
      <c r="F371" t="inlineStr">
        <is>
          <t>허서아</t>
        </is>
      </c>
      <c r="G371" t="inlineStr">
        <is>
          <t>010-7924-9508</t>
        </is>
      </c>
      <c r="H371" t="inlineStr">
        <is>
          <t>315부5620</t>
        </is>
      </c>
      <c r="I371" t="n">
        <v>26500000</v>
      </c>
      <c r="J371" t="n">
        <v>0.097</v>
      </c>
      <c r="K371" t="n">
        <v>1.76</v>
      </c>
      <c r="L371" t="n">
        <v>0.13</v>
      </c>
      <c r="M371" t="n">
        <v>1.63</v>
      </c>
      <c r="P371" t="inlineStr">
        <is>
          <t>정광호</t>
        </is>
      </c>
      <c r="Q371" t="inlineStr">
        <is>
          <t>홈서비스 24개월</t>
        </is>
      </c>
      <c r="Z371" t="n">
        <v>0</v>
      </c>
      <c r="AB371" t="inlineStr">
        <is>
          <t>홈서비스</t>
        </is>
      </c>
      <c r="AC371" t="n">
        <v>466400</v>
      </c>
      <c r="AD371" t="n">
        <v>34450</v>
      </c>
      <c r="AE371" t="n">
        <v>431950</v>
      </c>
      <c r="AF371" t="n">
        <v>424000</v>
      </c>
      <c r="AG371" t="n">
        <v>34450</v>
      </c>
      <c r="AH371" t="n">
        <v>389550</v>
      </c>
    </row>
    <row r="372">
      <c r="A372" t="inlineStr">
        <is>
          <t>1월</t>
        </is>
      </c>
      <c r="B372" t="inlineStr">
        <is>
          <t>3주차</t>
        </is>
      </c>
      <c r="C372" t="inlineStr">
        <is>
          <t>EP</t>
        </is>
      </c>
      <c r="D372" s="28" t="n">
        <v>46036</v>
      </c>
      <c r="E372" t="inlineStr">
        <is>
          <t>현대EP_fast</t>
        </is>
      </c>
      <c r="F372" t="inlineStr">
        <is>
          <t>손유진</t>
        </is>
      </c>
      <c r="G372" t="inlineStr">
        <is>
          <t>010-2322-9802</t>
        </is>
      </c>
      <c r="H372" t="inlineStr">
        <is>
          <t>60두7802</t>
        </is>
      </c>
      <c r="I372" t="n">
        <v>3900000</v>
      </c>
      <c r="J372" t="n">
        <v>0.075</v>
      </c>
      <c r="K372" t="n">
        <v>1.76</v>
      </c>
      <c r="L372" t="n">
        <v>0.13</v>
      </c>
      <c r="M372" t="n">
        <v>1.63</v>
      </c>
      <c r="P372" t="inlineStr">
        <is>
          <t>정광호</t>
        </is>
      </c>
      <c r="Q372" t="inlineStr">
        <is>
          <t>홈서비스 60개월</t>
        </is>
      </c>
      <c r="Z372" t="n">
        <v>0</v>
      </c>
      <c r="AB372" t="inlineStr">
        <is>
          <t>홈서비스</t>
        </is>
      </c>
      <c r="AC372" t="n">
        <v>68640</v>
      </c>
      <c r="AD372" t="n">
        <v>5070</v>
      </c>
      <c r="AE372" t="n">
        <v>63570</v>
      </c>
      <c r="AF372" t="n">
        <v>62400</v>
      </c>
      <c r="AG372" t="n">
        <v>5070</v>
      </c>
      <c r="AH372" t="n">
        <v>57330</v>
      </c>
      <c r="AI372" t="n">
        <v>0</v>
      </c>
    </row>
    <row r="373">
      <c r="A373" t="inlineStr">
        <is>
          <t>1월</t>
        </is>
      </c>
      <c r="B373" t="inlineStr">
        <is>
          <t>3주차</t>
        </is>
      </c>
      <c r="C373" t="inlineStr">
        <is>
          <t>EP</t>
        </is>
      </c>
      <c r="D373" s="28" t="n">
        <v>46035</v>
      </c>
      <c r="E373" t="inlineStr">
        <is>
          <t>현대EP_fast</t>
        </is>
      </c>
      <c r="F373" t="inlineStr">
        <is>
          <t>홍승기</t>
        </is>
      </c>
      <c r="G373" t="n">
        <v>1097440111</v>
      </c>
      <c r="H373" t="inlineStr">
        <is>
          <t>137구3054</t>
        </is>
      </c>
      <c r="I373" t="n">
        <v>15000000</v>
      </c>
      <c r="J373" t="n">
        <v>0.112</v>
      </c>
      <c r="K373" t="n">
        <v>1.76</v>
      </c>
      <c r="L373" t="n">
        <v>0.13</v>
      </c>
      <c r="M373" t="n">
        <v>1.63</v>
      </c>
      <c r="P373" t="inlineStr">
        <is>
          <t>김나윤</t>
        </is>
      </c>
      <c r="Q373" t="inlineStr">
        <is>
          <t>홈서비스60개월</t>
        </is>
      </c>
      <c r="Z373" t="n">
        <v>0</v>
      </c>
      <c r="AB373" t="inlineStr">
        <is>
          <t>홈서비스</t>
        </is>
      </c>
      <c r="AC373" t="n">
        <v>264000</v>
      </c>
      <c r="AD373" t="n">
        <v>19500</v>
      </c>
      <c r="AE373" t="n">
        <v>244500</v>
      </c>
      <c r="AF373" t="n">
        <v>240000</v>
      </c>
      <c r="AG373" t="n">
        <v>19500</v>
      </c>
      <c r="AH373" t="n">
        <v>220500</v>
      </c>
      <c r="AI373" t="n">
        <v>0</v>
      </c>
    </row>
    <row r="374">
      <c r="A374" t="inlineStr">
        <is>
          <t>1월</t>
        </is>
      </c>
      <c r="B374" t="inlineStr">
        <is>
          <t>3주차</t>
        </is>
      </c>
      <c r="C374" t="inlineStr">
        <is>
          <t>IM</t>
        </is>
      </c>
      <c r="D374" s="28" t="n">
        <v>46035</v>
      </c>
      <c r="E374" t="inlineStr">
        <is>
          <t>IM캐피탈</t>
        </is>
      </c>
      <c r="F374" t="inlineStr">
        <is>
          <t>안대정</t>
        </is>
      </c>
      <c r="G374" t="n">
        <v>1055164430</v>
      </c>
      <c r="H374" t="inlineStr">
        <is>
          <t>39어0499</t>
        </is>
      </c>
      <c r="I374" t="n">
        <v>-6400000</v>
      </c>
      <c r="J374" t="n">
        <v>0.07199999999999999</v>
      </c>
      <c r="K374" t="n">
        <v>0.55</v>
      </c>
      <c r="L374" t="n">
        <v>0.13</v>
      </c>
      <c r="M374" t="n">
        <v>0.42</v>
      </c>
      <c r="P374" t="inlineStr">
        <is>
          <t>김나윤</t>
        </is>
      </c>
      <c r="Q374" t="inlineStr">
        <is>
          <t>홈서비스 60개월/ *철회 20260115</t>
        </is>
      </c>
      <c r="Z374" t="n">
        <v>0</v>
      </c>
      <c r="AB374" t="inlineStr">
        <is>
          <t>홈서비스</t>
        </is>
      </c>
      <c r="AC374" t="n">
        <v>-35200</v>
      </c>
      <c r="AD374" t="n">
        <v>-8320</v>
      </c>
      <c r="AE374" t="n">
        <v>-26880</v>
      </c>
      <c r="AF374" t="n">
        <v>-32000</v>
      </c>
      <c r="AG374" t="n">
        <v>-8320</v>
      </c>
      <c r="AH374" t="n">
        <v>-23680</v>
      </c>
      <c r="AI374" t="n">
        <v>0</v>
      </c>
      <c r="AK374" t="inlineStr">
        <is>
          <t>대출철회</t>
        </is>
      </c>
    </row>
    <row r="375">
      <c r="A375" t="inlineStr">
        <is>
          <t>1월</t>
        </is>
      </c>
      <c r="B375" t="inlineStr">
        <is>
          <t>3주차</t>
        </is>
      </c>
      <c r="C375" t="inlineStr">
        <is>
          <t>IM</t>
        </is>
      </c>
      <c r="D375" s="28" t="n">
        <v>46035</v>
      </c>
      <c r="E375" t="inlineStr">
        <is>
          <t>IM캐피탈</t>
        </is>
      </c>
      <c r="F375" t="inlineStr">
        <is>
          <t>최진평</t>
        </is>
      </c>
      <c r="G375" t="inlineStr">
        <is>
          <t>010-8666-6417</t>
        </is>
      </c>
      <c r="H375" t="inlineStr">
        <is>
          <t>396수4894</t>
        </is>
      </c>
      <c r="I375" t="n">
        <v>3000000</v>
      </c>
      <c r="J375" t="n">
        <v>0.049</v>
      </c>
      <c r="K375" t="n">
        <v>0.55</v>
      </c>
      <c r="L375" t="n">
        <v>0.4</v>
      </c>
      <c r="M375" t="n">
        <v>0.15</v>
      </c>
      <c r="P375" t="inlineStr">
        <is>
          <t>정하은</t>
        </is>
      </c>
      <c r="Q375" t="inlineStr">
        <is>
          <t>*철회 20260115</t>
        </is>
      </c>
      <c r="Z375" t="n">
        <v>0</v>
      </c>
      <c r="AB375" t="inlineStr">
        <is>
          <t>엔카</t>
        </is>
      </c>
      <c r="AC375" t="n">
        <v>448800</v>
      </c>
      <c r="AD375" t="n">
        <v>12000</v>
      </c>
      <c r="AE375" t="n">
        <v>436800</v>
      </c>
      <c r="AF375" t="n">
        <v>408000</v>
      </c>
      <c r="AG375" t="n">
        <v>12000</v>
      </c>
      <c r="AH375" t="n">
        <v>396000</v>
      </c>
      <c r="AK375" t="inlineStr">
        <is>
          <t>대출철회</t>
        </is>
      </c>
    </row>
    <row r="376">
      <c r="A376" t="inlineStr">
        <is>
          <t>1월</t>
        </is>
      </c>
      <c r="B376" t="inlineStr">
        <is>
          <t>3주차</t>
        </is>
      </c>
      <c r="C376" t="inlineStr">
        <is>
          <t>IM</t>
        </is>
      </c>
      <c r="D376" s="28" t="n">
        <v>46035</v>
      </c>
      <c r="E376" t="inlineStr">
        <is>
          <t>IM캐피탈</t>
        </is>
      </c>
      <c r="F376" t="inlineStr">
        <is>
          <t>신성란</t>
        </is>
      </c>
      <c r="G376" t="inlineStr">
        <is>
          <t>010-9409-5179</t>
        </is>
      </c>
      <c r="H376" t="inlineStr">
        <is>
          <t>197주9995</t>
        </is>
      </c>
      <c r="I376" t="n">
        <v>14000000</v>
      </c>
      <c r="J376" t="n">
        <v>0.049</v>
      </c>
      <c r="K376" t="n">
        <v>0.55</v>
      </c>
      <c r="L376" t="n">
        <v>0.4</v>
      </c>
      <c r="M376" t="n">
        <v>0.15</v>
      </c>
      <c r="P376" t="inlineStr">
        <is>
          <t>장진경</t>
        </is>
      </c>
      <c r="Z376" t="n">
        <v>0</v>
      </c>
      <c r="AB376" t="inlineStr">
        <is>
          <t>엔카</t>
        </is>
      </c>
      <c r="AC376" t="n">
        <v>77000</v>
      </c>
      <c r="AD376" t="n">
        <v>56000</v>
      </c>
      <c r="AE376" t="n">
        <v>21000</v>
      </c>
      <c r="AF376" t="n">
        <v>70000</v>
      </c>
      <c r="AG376" t="n">
        <v>56000</v>
      </c>
      <c r="AH376" t="n">
        <v>14000</v>
      </c>
    </row>
    <row r="377">
      <c r="A377" t="inlineStr">
        <is>
          <t>1월</t>
        </is>
      </c>
      <c r="B377" t="inlineStr">
        <is>
          <t>3주차</t>
        </is>
      </c>
      <c r="C377" t="inlineStr">
        <is>
          <t>IM</t>
        </is>
      </c>
      <c r="D377" s="28" t="n">
        <v>46036</v>
      </c>
      <c r="E377" t="inlineStr">
        <is>
          <t>IM캐피탈</t>
        </is>
      </c>
      <c r="F377" t="inlineStr">
        <is>
          <t>유정록</t>
        </is>
      </c>
      <c r="G377" t="n">
        <v>1045826779</v>
      </c>
      <c r="H377" t="inlineStr">
        <is>
          <t>811조6262</t>
        </is>
      </c>
      <c r="I377" t="n">
        <v>22100000</v>
      </c>
      <c r="J377" t="n">
        <v>0.06</v>
      </c>
      <c r="K377" t="n">
        <v>0.55</v>
      </c>
      <c r="L377" t="n">
        <v>0.13</v>
      </c>
      <c r="M377" t="n">
        <v>0.42</v>
      </c>
      <c r="P377" t="inlineStr">
        <is>
          <t>김나윤</t>
        </is>
      </c>
      <c r="Q377" t="inlineStr">
        <is>
          <t>사유 : 부대비용필요 / 홈서비스60개월/ *철회 20260126</t>
        </is>
      </c>
      <c r="Z377" t="n">
        <v>0</v>
      </c>
      <c r="AB377" t="inlineStr">
        <is>
          <t>홈서비스</t>
        </is>
      </c>
      <c r="AC377" t="n">
        <v>120450</v>
      </c>
      <c r="AD377" t="n">
        <v>28730</v>
      </c>
      <c r="AE377" t="n">
        <v>92820</v>
      </c>
      <c r="AF377" t="n">
        <v>109500</v>
      </c>
      <c r="AG377" t="n">
        <v>28730</v>
      </c>
      <c r="AH377" t="n">
        <v>80770</v>
      </c>
      <c r="AK377" t="inlineStr">
        <is>
          <t>대출철회</t>
        </is>
      </c>
    </row>
    <row r="378">
      <c r="A378" t="inlineStr">
        <is>
          <t>1월</t>
        </is>
      </c>
      <c r="B378" t="inlineStr">
        <is>
          <t>3주차</t>
        </is>
      </c>
      <c r="C378" t="inlineStr">
        <is>
          <t>EP</t>
        </is>
      </c>
      <c r="D378" s="28" t="n">
        <v>46036</v>
      </c>
      <c r="E378" t="inlineStr">
        <is>
          <t>현대EP_fast</t>
        </is>
      </c>
      <c r="F378" t="inlineStr">
        <is>
          <t>양지혜</t>
        </is>
      </c>
      <c r="G378" t="inlineStr">
        <is>
          <t>010-5138-7990</t>
        </is>
      </c>
      <c r="H378" t="inlineStr">
        <is>
          <t>34오3957</t>
        </is>
      </c>
      <c r="I378" t="n">
        <v>35600000</v>
      </c>
      <c r="J378" t="n">
        <v>0.08500000000000001</v>
      </c>
      <c r="K378" t="n">
        <v>1.76</v>
      </c>
      <c r="L378" t="n">
        <v>0.13</v>
      </c>
      <c r="M378" t="n">
        <v>1.63</v>
      </c>
      <c r="P378" t="inlineStr">
        <is>
          <t>정광호</t>
        </is>
      </c>
      <c r="Q378" t="inlineStr">
        <is>
          <t>홈서비스 60개월 / 카피아 알선</t>
        </is>
      </c>
      <c r="Z378" t="n">
        <v>0</v>
      </c>
      <c r="AB378" t="inlineStr">
        <is>
          <t>홈서비스</t>
        </is>
      </c>
      <c r="AC378" t="n">
        <v>626560</v>
      </c>
      <c r="AD378" t="n">
        <v>46280</v>
      </c>
      <c r="AE378" t="n">
        <v>580280</v>
      </c>
      <c r="AF378" t="n">
        <v>569600</v>
      </c>
      <c r="AG378" t="n">
        <v>46280</v>
      </c>
      <c r="AH378" t="n">
        <v>523320</v>
      </c>
    </row>
    <row r="379">
      <c r="A379" t="inlineStr">
        <is>
          <t>1월</t>
        </is>
      </c>
      <c r="B379" t="inlineStr">
        <is>
          <t>3주차</t>
        </is>
      </c>
      <c r="C379" t="inlineStr">
        <is>
          <t>EP</t>
        </is>
      </c>
      <c r="D379" s="28" t="n">
        <v>46035</v>
      </c>
      <c r="E379" t="inlineStr">
        <is>
          <t>현대EP</t>
        </is>
      </c>
      <c r="F379" t="inlineStr">
        <is>
          <t>김도엽</t>
        </is>
      </c>
      <c r="G379" t="inlineStr">
        <is>
          <t>010-4497-1120</t>
        </is>
      </c>
      <c r="H379" t="inlineStr">
        <is>
          <t>129도2406</t>
        </is>
      </c>
      <c r="I379" t="n">
        <v>40000000</v>
      </c>
      <c r="J379" t="n">
        <v>0.057</v>
      </c>
      <c r="K379" t="n">
        <v>1.76</v>
      </c>
      <c r="L379" t="n">
        <v>0.13</v>
      </c>
      <c r="M379" t="n">
        <v>1.63</v>
      </c>
      <c r="P379" t="inlineStr">
        <is>
          <t>박보람</t>
        </is>
      </c>
      <c r="Q379" t="inlineStr">
        <is>
          <t>홈서비스 60개월</t>
        </is>
      </c>
      <c r="Z379" t="n">
        <v>0</v>
      </c>
      <c r="AB379" t="inlineStr">
        <is>
          <t>홈서비스</t>
        </is>
      </c>
      <c r="AC379" t="n">
        <v>704000</v>
      </c>
      <c r="AD379" t="n">
        <v>52000</v>
      </c>
      <c r="AE379" t="n">
        <v>652000</v>
      </c>
      <c r="AF379" t="n">
        <v>640000</v>
      </c>
      <c r="AG379" t="n">
        <v>52000</v>
      </c>
      <c r="AH379" t="n">
        <v>588000</v>
      </c>
      <c r="AI379" t="n">
        <v>1</v>
      </c>
    </row>
    <row r="380">
      <c r="A380" t="inlineStr">
        <is>
          <t>1월</t>
        </is>
      </c>
      <c r="B380" t="inlineStr">
        <is>
          <t>3주차</t>
        </is>
      </c>
      <c r="C380" t="inlineStr">
        <is>
          <t>EP</t>
        </is>
      </c>
      <c r="D380" s="28" t="n">
        <v>46035</v>
      </c>
      <c r="E380" t="inlineStr">
        <is>
          <t>현대EP</t>
        </is>
      </c>
      <c r="F380" t="inlineStr">
        <is>
          <t>한기찬</t>
        </is>
      </c>
      <c r="G380" t="inlineStr">
        <is>
          <t>010-6474-5487</t>
        </is>
      </c>
      <c r="H380" t="inlineStr">
        <is>
          <t>184가6686</t>
        </is>
      </c>
      <c r="I380" t="n">
        <v>8000000</v>
      </c>
      <c r="J380" t="n">
        <v>0.057</v>
      </c>
      <c r="K380" t="n">
        <v>1.76</v>
      </c>
      <c r="L380" t="n">
        <v>0.13</v>
      </c>
      <c r="M380" t="n">
        <v>1.63</v>
      </c>
      <c r="P380" t="inlineStr">
        <is>
          <t>최형주</t>
        </is>
      </c>
      <c r="Q380" t="inlineStr">
        <is>
          <t>홈서비스 36개월/ *중도상환 20260115</t>
        </is>
      </c>
      <c r="Z380" t="n">
        <v>0</v>
      </c>
      <c r="AB380" t="inlineStr">
        <is>
          <t>홈서비스</t>
        </is>
      </c>
      <c r="AC380" t="n">
        <v>140800</v>
      </c>
      <c r="AD380" t="n">
        <v>10400</v>
      </c>
      <c r="AE380" t="n">
        <v>130400</v>
      </c>
      <c r="AF380" t="n">
        <v>128000</v>
      </c>
      <c r="AG380" t="n">
        <v>10400</v>
      </c>
      <c r="AH380" t="n">
        <v>117600</v>
      </c>
      <c r="AI380" t="n">
        <v>1</v>
      </c>
      <c r="AK380" t="inlineStr">
        <is>
          <t>중도상환</t>
        </is>
      </c>
    </row>
    <row r="381">
      <c r="A381" t="inlineStr">
        <is>
          <t>1월</t>
        </is>
      </c>
      <c r="B381" t="inlineStr">
        <is>
          <t>3주차</t>
        </is>
      </c>
      <c r="C381" t="inlineStr">
        <is>
          <t>EP</t>
        </is>
      </c>
      <c r="D381" s="28" t="n">
        <v>46035</v>
      </c>
      <c r="E381" t="inlineStr">
        <is>
          <t>현대EP_fast</t>
        </is>
      </c>
      <c r="F381" t="inlineStr">
        <is>
          <t>김대선</t>
        </is>
      </c>
      <c r="G381" t="inlineStr">
        <is>
          <t>010-6599-9163</t>
        </is>
      </c>
      <c r="H381" t="inlineStr">
        <is>
          <t>15서1322</t>
        </is>
      </c>
      <c r="I381" t="n">
        <v>29500000</v>
      </c>
      <c r="J381" t="n">
        <v>0.082</v>
      </c>
      <c r="K381" t="n">
        <v>1.76</v>
      </c>
      <c r="L381" t="n">
        <v>0.13</v>
      </c>
      <c r="M381" t="n">
        <v>1.63</v>
      </c>
      <c r="P381" t="inlineStr">
        <is>
          <t>최혁</t>
        </is>
      </c>
      <c r="Q381" t="inlineStr">
        <is>
          <t>홈서비스60개월</t>
        </is>
      </c>
      <c r="Z381" t="n">
        <v>0</v>
      </c>
      <c r="AB381" t="inlineStr">
        <is>
          <t>홈서비스</t>
        </is>
      </c>
      <c r="AC381" t="n">
        <v>519200</v>
      </c>
      <c r="AD381" t="n">
        <v>38350</v>
      </c>
      <c r="AE381" t="n">
        <v>480850</v>
      </c>
      <c r="AF381" t="n">
        <v>472000</v>
      </c>
      <c r="AG381" t="n">
        <v>38350</v>
      </c>
      <c r="AH381" t="n">
        <v>433650</v>
      </c>
      <c r="AI381" t="n">
        <v>1</v>
      </c>
    </row>
    <row r="382">
      <c r="A382" t="inlineStr">
        <is>
          <t>1월</t>
        </is>
      </c>
      <c r="B382" t="inlineStr">
        <is>
          <t>3주차</t>
        </is>
      </c>
      <c r="C382" t="inlineStr">
        <is>
          <t>EP</t>
        </is>
      </c>
      <c r="D382" s="28" t="n">
        <v>46035</v>
      </c>
      <c r="E382" t="inlineStr">
        <is>
          <t>현대EP</t>
        </is>
      </c>
      <c r="F382" t="inlineStr">
        <is>
          <t>이동준</t>
        </is>
      </c>
      <c r="G382" t="inlineStr">
        <is>
          <t>010-5376-5509</t>
        </is>
      </c>
      <c r="H382" t="inlineStr">
        <is>
          <t>69버9499</t>
        </is>
      </c>
      <c r="I382" t="n">
        <v>13200000</v>
      </c>
      <c r="J382" t="n">
        <v>0.075</v>
      </c>
      <c r="K382" t="n">
        <v>1.76</v>
      </c>
      <c r="L382" t="n">
        <v>0.13</v>
      </c>
      <c r="M382" t="n">
        <v>1.63</v>
      </c>
      <c r="P382" t="inlineStr">
        <is>
          <t>최혁</t>
        </is>
      </c>
      <c r="Q382" t="inlineStr">
        <is>
          <t>홈서비스 24개월</t>
        </is>
      </c>
      <c r="Z382" t="n">
        <v>0</v>
      </c>
      <c r="AB382" t="inlineStr">
        <is>
          <t>홈서비스</t>
        </is>
      </c>
      <c r="AC382" t="n">
        <v>232320</v>
      </c>
      <c r="AD382" t="n">
        <v>17160</v>
      </c>
      <c r="AE382" t="n">
        <v>215160</v>
      </c>
      <c r="AF382" t="n">
        <v>211200</v>
      </c>
      <c r="AG382" t="n">
        <v>17160</v>
      </c>
      <c r="AH382" t="n">
        <v>194040</v>
      </c>
      <c r="AI382" t="n">
        <v>1</v>
      </c>
    </row>
    <row r="383">
      <c r="A383" t="inlineStr">
        <is>
          <t>1월</t>
        </is>
      </c>
      <c r="B383" t="inlineStr">
        <is>
          <t>3주차</t>
        </is>
      </c>
      <c r="C383" t="inlineStr">
        <is>
          <t>IM</t>
        </is>
      </c>
      <c r="D383" s="28" t="n">
        <v>46036</v>
      </c>
      <c r="E383" t="inlineStr">
        <is>
          <t>IM캐피탈</t>
        </is>
      </c>
      <c r="F383" t="inlineStr">
        <is>
          <t>박형준</t>
        </is>
      </c>
      <c r="G383" t="n">
        <v>1088374280</v>
      </c>
      <c r="H383" t="inlineStr">
        <is>
          <t>294보5133</t>
        </is>
      </c>
      <c r="I383" t="n">
        <v>15500000</v>
      </c>
      <c r="J383" t="n">
        <v>0.049</v>
      </c>
      <c r="K383" t="n">
        <v>0.55</v>
      </c>
      <c r="L383" t="n">
        <v>0.13</v>
      </c>
      <c r="M383" t="n">
        <v>0.42</v>
      </c>
      <c r="P383" t="inlineStr">
        <is>
          <t>김나윤</t>
        </is>
      </c>
      <c r="Q383" t="inlineStr">
        <is>
          <t>사유 : 부대비용필요 / 홈서비스48개월</t>
        </is>
      </c>
      <c r="Z383" t="n">
        <v>0</v>
      </c>
      <c r="AB383" t="inlineStr">
        <is>
          <t>홈서비스</t>
        </is>
      </c>
      <c r="AC383" t="n">
        <v>85250</v>
      </c>
      <c r="AD383" t="n">
        <v>20150</v>
      </c>
      <c r="AE383" t="n">
        <v>65100</v>
      </c>
      <c r="AF383" t="n">
        <v>77500</v>
      </c>
      <c r="AG383" t="n">
        <v>20150</v>
      </c>
      <c r="AH383" t="n">
        <v>57350</v>
      </c>
      <c r="AI383" t="n">
        <v>1</v>
      </c>
    </row>
    <row r="384">
      <c r="A384" t="inlineStr">
        <is>
          <t>1월</t>
        </is>
      </c>
      <c r="B384" t="inlineStr">
        <is>
          <t>3주차</t>
        </is>
      </c>
      <c r="C384" t="inlineStr">
        <is>
          <t>EP</t>
        </is>
      </c>
      <c r="D384" s="28" t="n">
        <v>46035</v>
      </c>
      <c r="E384" t="inlineStr">
        <is>
          <t>현대EP_fast</t>
        </is>
      </c>
      <c r="F384" t="inlineStr">
        <is>
          <t>김광범</t>
        </is>
      </c>
      <c r="G384" t="inlineStr">
        <is>
          <t>010-9837-8677</t>
        </is>
      </c>
      <c r="H384" t="inlineStr">
        <is>
          <t>171라1191</t>
        </is>
      </c>
      <c r="I384" t="n">
        <v>22200000</v>
      </c>
      <c r="J384" t="n">
        <v>0.075</v>
      </c>
      <c r="K384" t="n">
        <v>1.76</v>
      </c>
      <c r="L384" t="n">
        <v>0.4</v>
      </c>
      <c r="M384" t="n">
        <v>1.36</v>
      </c>
      <c r="P384" t="inlineStr">
        <is>
          <t>박소현</t>
        </is>
      </c>
      <c r="Z384" t="n">
        <v>0</v>
      </c>
      <c r="AB384" t="inlineStr">
        <is>
          <t>엔카</t>
        </is>
      </c>
      <c r="AC384" t="n">
        <v>390720</v>
      </c>
      <c r="AD384" t="n">
        <v>88800</v>
      </c>
      <c r="AE384" t="n">
        <v>301920</v>
      </c>
      <c r="AF384" t="n">
        <v>355200</v>
      </c>
      <c r="AG384" t="n">
        <v>88800</v>
      </c>
      <c r="AH384" t="n">
        <v>266400</v>
      </c>
      <c r="AI384" t="n">
        <v>0</v>
      </c>
    </row>
    <row r="385">
      <c r="A385" t="inlineStr">
        <is>
          <t>1월</t>
        </is>
      </c>
      <c r="B385" t="inlineStr">
        <is>
          <t>3주차</t>
        </is>
      </c>
      <c r="C385" t="inlineStr">
        <is>
          <t>EP</t>
        </is>
      </c>
      <c r="D385" s="28" t="n">
        <v>46036</v>
      </c>
      <c r="E385" t="inlineStr">
        <is>
          <t>현대EP_fast</t>
        </is>
      </c>
      <c r="F385" t="inlineStr">
        <is>
          <t>이찬우</t>
        </is>
      </c>
      <c r="G385" t="inlineStr">
        <is>
          <t>010-3247-6395</t>
        </is>
      </c>
      <c r="H385" t="inlineStr">
        <is>
          <t>176서5241</t>
        </is>
      </c>
      <c r="I385" t="n">
        <v>5900000</v>
      </c>
      <c r="J385" t="n">
        <v>0.08699999999999999</v>
      </c>
      <c r="K385" t="n">
        <v>1.76</v>
      </c>
      <c r="L385" t="n">
        <v>0.13</v>
      </c>
      <c r="M385" t="n">
        <v>1.63</v>
      </c>
      <c r="P385" t="inlineStr">
        <is>
          <t>최혁</t>
        </is>
      </c>
      <c r="Q385" t="inlineStr">
        <is>
          <t>홈서비스60개월</t>
        </is>
      </c>
      <c r="Z385" t="n">
        <v>0</v>
      </c>
      <c r="AB385" t="inlineStr">
        <is>
          <t>홈서비스</t>
        </is>
      </c>
      <c r="AC385" t="n">
        <v>103840</v>
      </c>
      <c r="AD385" t="n">
        <v>7670</v>
      </c>
      <c r="AE385" t="n">
        <v>96170</v>
      </c>
      <c r="AF385" t="n">
        <v>94400</v>
      </c>
      <c r="AG385" t="n">
        <v>7670</v>
      </c>
      <c r="AH385" t="n">
        <v>86730</v>
      </c>
      <c r="AI385" t="n">
        <v>0</v>
      </c>
    </row>
    <row r="386">
      <c r="A386" t="inlineStr">
        <is>
          <t>1월</t>
        </is>
      </c>
      <c r="B386" t="inlineStr">
        <is>
          <t>3주차</t>
        </is>
      </c>
      <c r="C386" t="inlineStr">
        <is>
          <t>EP</t>
        </is>
      </c>
      <c r="D386" s="28" t="n">
        <v>46035</v>
      </c>
      <c r="E386" t="inlineStr">
        <is>
          <t>현대EP</t>
        </is>
      </c>
      <c r="F386" t="inlineStr">
        <is>
          <t>박민형</t>
        </is>
      </c>
      <c r="G386" t="inlineStr">
        <is>
          <t>010-4330-0863</t>
        </is>
      </c>
      <c r="H386" t="inlineStr">
        <is>
          <t>19누8237</t>
        </is>
      </c>
      <c r="I386" t="n">
        <v>31300000</v>
      </c>
      <c r="J386" t="n">
        <v>0.073</v>
      </c>
      <c r="K386" t="n">
        <v>1.76</v>
      </c>
      <c r="L386" t="n">
        <v>0.13</v>
      </c>
      <c r="M386" t="n">
        <v>1.63</v>
      </c>
      <c r="P386" t="inlineStr">
        <is>
          <t>장진경</t>
        </is>
      </c>
      <c r="Q386" t="inlineStr">
        <is>
          <t>홈서비스 36개월</t>
        </is>
      </c>
      <c r="Z386" t="n">
        <v>0</v>
      </c>
      <c r="AB386" t="inlineStr">
        <is>
          <t>홈서비스</t>
        </is>
      </c>
      <c r="AC386" t="n">
        <v>550880</v>
      </c>
      <c r="AD386" t="n">
        <v>40690</v>
      </c>
      <c r="AE386" t="n">
        <v>510190</v>
      </c>
      <c r="AF386" t="n">
        <v>500800</v>
      </c>
      <c r="AG386" t="n">
        <v>40690</v>
      </c>
      <c r="AH386" t="n">
        <v>460110</v>
      </c>
      <c r="AI386" t="n">
        <v>0</v>
      </c>
    </row>
    <row r="387">
      <c r="A387" t="inlineStr">
        <is>
          <t>1월</t>
        </is>
      </c>
      <c r="B387" t="inlineStr">
        <is>
          <t>3주차</t>
        </is>
      </c>
      <c r="C387" t="inlineStr">
        <is>
          <t>IM</t>
        </is>
      </c>
      <c r="D387" s="28" t="n">
        <v>46035</v>
      </c>
      <c r="E387" t="inlineStr">
        <is>
          <t>IM캐피탈</t>
        </is>
      </c>
      <c r="F387" t="inlineStr">
        <is>
          <t>장동민</t>
        </is>
      </c>
      <c r="G387" t="inlineStr">
        <is>
          <t>010-6861-6700</t>
        </is>
      </c>
      <c r="H387" t="inlineStr">
        <is>
          <t>146고3108</t>
        </is>
      </c>
      <c r="I387" t="n">
        <v>12800000</v>
      </c>
      <c r="J387" t="n">
        <v>0.053</v>
      </c>
      <c r="K387" t="n">
        <v>0.55</v>
      </c>
      <c r="L387" t="n">
        <v>0.4</v>
      </c>
      <c r="M387" t="n">
        <v>0.15</v>
      </c>
      <c r="P387" t="inlineStr">
        <is>
          <t>임대경</t>
        </is>
      </c>
      <c r="Z387" t="n">
        <v>0</v>
      </c>
      <c r="AB387" t="inlineStr">
        <is>
          <t>엔카</t>
        </is>
      </c>
      <c r="AC387" t="n">
        <v>70400</v>
      </c>
      <c r="AD387" t="n">
        <v>51200</v>
      </c>
      <c r="AE387" t="n">
        <v>19200</v>
      </c>
      <c r="AF387" t="n">
        <v>64000</v>
      </c>
      <c r="AG387" t="n">
        <v>51200</v>
      </c>
      <c r="AH387" t="n">
        <v>12800</v>
      </c>
      <c r="AI387" t="n">
        <v>0</v>
      </c>
    </row>
    <row r="388">
      <c r="A388" t="inlineStr">
        <is>
          <t>4월</t>
        </is>
      </c>
      <c r="B388" t="inlineStr">
        <is>
          <t>17주차</t>
        </is>
      </c>
      <c r="C388" t="inlineStr">
        <is>
          <t>IM</t>
        </is>
      </c>
      <c r="D388" s="28" t="n">
        <v>46136</v>
      </c>
      <c r="E388" t="inlineStr">
        <is>
          <t>IM캐피탈</t>
        </is>
      </c>
      <c r="F388" t="inlineStr">
        <is>
          <t>홍명의</t>
        </is>
      </c>
      <c r="G388" t="inlineStr">
        <is>
          <t>010-9122-8833</t>
        </is>
      </c>
      <c r="H388" t="inlineStr">
        <is>
          <t>219저4689</t>
        </is>
      </c>
      <c r="I388" t="n">
        <v>-47000000</v>
      </c>
      <c r="J388" t="n">
        <v>0.056</v>
      </c>
      <c r="K388" t="n">
        <v>1.1</v>
      </c>
      <c r="L388" t="n">
        <v>0.07000000000000001</v>
      </c>
      <c r="M388" t="n">
        <v>1.03</v>
      </c>
      <c r="P388" t="inlineStr">
        <is>
          <t>황채이</t>
        </is>
      </c>
      <c r="Q388" t="inlineStr">
        <is>
          <t>홈서비스 60개월</t>
        </is>
      </c>
      <c r="Z388" t="n">
        <v>0</v>
      </c>
      <c r="AB388" t="inlineStr">
        <is>
          <t>홈서비스</t>
        </is>
      </c>
      <c r="AC388" t="n">
        <v>-517000</v>
      </c>
      <c r="AD388" t="n">
        <v>-32900</v>
      </c>
      <c r="AE388" t="n">
        <v>-484100</v>
      </c>
      <c r="AF388" t="n">
        <v>-470000</v>
      </c>
      <c r="AG388" t="n">
        <v>-32900</v>
      </c>
      <c r="AH388" t="n">
        <v>-437100</v>
      </c>
      <c r="AI388" t="n">
        <v>0</v>
      </c>
    </row>
    <row r="389">
      <c r="A389" t="inlineStr">
        <is>
          <t>1월</t>
        </is>
      </c>
      <c r="B389" t="inlineStr">
        <is>
          <t>3주차</t>
        </is>
      </c>
      <c r="C389" t="inlineStr">
        <is>
          <t>IM</t>
        </is>
      </c>
      <c r="D389" s="28" t="n">
        <v>46035</v>
      </c>
      <c r="E389" t="inlineStr">
        <is>
          <t>IM캐피탈</t>
        </is>
      </c>
      <c r="F389" t="inlineStr">
        <is>
          <t>윤호균</t>
        </is>
      </c>
      <c r="G389" t="inlineStr">
        <is>
          <t>010-4122-7777</t>
        </is>
      </c>
      <c r="H389" t="inlineStr">
        <is>
          <t>388루1754</t>
        </is>
      </c>
      <c r="I389" t="n">
        <v>40200000</v>
      </c>
      <c r="J389" t="n">
        <v>0.053</v>
      </c>
      <c r="K389" t="n">
        <v>0.55</v>
      </c>
      <c r="L389" t="n">
        <v>0.4</v>
      </c>
      <c r="M389" t="n">
        <v>0.15</v>
      </c>
      <c r="P389" t="inlineStr">
        <is>
          <t>장현경</t>
        </is>
      </c>
      <c r="Z389" t="n">
        <v>0</v>
      </c>
      <c r="AB389" t="inlineStr">
        <is>
          <t>엔카</t>
        </is>
      </c>
      <c r="AC389" t="n">
        <v>221100</v>
      </c>
      <c r="AD389" t="n">
        <v>160800</v>
      </c>
      <c r="AE389" t="n">
        <v>60300</v>
      </c>
      <c r="AF389" t="n">
        <v>201000</v>
      </c>
      <c r="AG389" t="n">
        <v>160800</v>
      </c>
      <c r="AH389" t="n">
        <v>40200</v>
      </c>
      <c r="AI389" t="n">
        <v>0</v>
      </c>
    </row>
    <row r="390">
      <c r="A390" t="inlineStr">
        <is>
          <t>1월</t>
        </is>
      </c>
      <c r="B390" t="inlineStr">
        <is>
          <t>3주차</t>
        </is>
      </c>
      <c r="C390" t="inlineStr">
        <is>
          <t>EP</t>
        </is>
      </c>
      <c r="D390" s="28" t="n">
        <v>46035</v>
      </c>
      <c r="E390" t="inlineStr">
        <is>
          <t>현대EP_fast</t>
        </is>
      </c>
      <c r="F390" t="inlineStr">
        <is>
          <t>이승연</t>
        </is>
      </c>
      <c r="G390" t="inlineStr">
        <is>
          <t>010-6588-4622</t>
        </is>
      </c>
      <c r="H390" t="inlineStr">
        <is>
          <t>294주5865</t>
        </is>
      </c>
      <c r="I390" t="n">
        <v>23600000</v>
      </c>
      <c r="J390" t="n">
        <v>0.097</v>
      </c>
      <c r="K390" t="n">
        <v>1.76</v>
      </c>
      <c r="L390" t="n">
        <v>0.4</v>
      </c>
      <c r="M390" t="n">
        <v>1.36</v>
      </c>
      <c r="P390" t="inlineStr">
        <is>
          <t>임대경</t>
        </is>
      </c>
      <c r="Z390" t="n">
        <v>0</v>
      </c>
      <c r="AB390" t="inlineStr">
        <is>
          <t>엔카</t>
        </is>
      </c>
      <c r="AC390" t="n">
        <v>415360</v>
      </c>
      <c r="AD390" t="n">
        <v>94400</v>
      </c>
      <c r="AE390" t="n">
        <v>320960</v>
      </c>
      <c r="AF390" t="n">
        <v>377600</v>
      </c>
      <c r="AG390" t="n">
        <v>94400</v>
      </c>
      <c r="AH390" t="n">
        <v>283200</v>
      </c>
    </row>
    <row r="391">
      <c r="A391" t="inlineStr">
        <is>
          <t>1월</t>
        </is>
      </c>
      <c r="B391" t="inlineStr">
        <is>
          <t>3주차</t>
        </is>
      </c>
      <c r="C391" t="inlineStr">
        <is>
          <t>IM</t>
        </is>
      </c>
      <c r="D391" s="28" t="n">
        <v>46035</v>
      </c>
      <c r="E391" t="inlineStr">
        <is>
          <t>IM캐피탈</t>
        </is>
      </c>
      <c r="F391" t="inlineStr">
        <is>
          <t>최진평</t>
        </is>
      </c>
      <c r="G391" t="inlineStr">
        <is>
          <t>010-8666-6417</t>
        </is>
      </c>
      <c r="H391" t="inlineStr">
        <is>
          <t>396수4894</t>
        </is>
      </c>
      <c r="I391" t="n">
        <v>-3000000</v>
      </c>
      <c r="J391" t="n">
        <v>0.049</v>
      </c>
      <c r="K391" t="n">
        <v>0.55</v>
      </c>
      <c r="L391" t="n">
        <v>0.4</v>
      </c>
      <c r="M391" t="n">
        <v>0.15</v>
      </c>
      <c r="P391" t="inlineStr">
        <is>
          <t>정하은</t>
        </is>
      </c>
      <c r="Q391" t="inlineStr">
        <is>
          <t>*철회 20260115</t>
        </is>
      </c>
      <c r="Z391" t="n">
        <v>0</v>
      </c>
      <c r="AB391" t="inlineStr">
        <is>
          <t>엔카</t>
        </is>
      </c>
      <c r="AC391" t="n">
        <v>-16500</v>
      </c>
      <c r="AD391" t="n">
        <v>-12000</v>
      </c>
      <c r="AE391" t="n">
        <v>-4500</v>
      </c>
      <c r="AF391" t="n">
        <v>-15000</v>
      </c>
      <c r="AG391" t="n">
        <v>-12000</v>
      </c>
      <c r="AH391" t="n">
        <v>-3000</v>
      </c>
      <c r="AK391" t="inlineStr">
        <is>
          <t>대출철회</t>
        </is>
      </c>
    </row>
    <row r="392">
      <c r="A392" t="inlineStr">
        <is>
          <t>1월</t>
        </is>
      </c>
      <c r="B392" t="inlineStr">
        <is>
          <t>3주차</t>
        </is>
      </c>
      <c r="C392" t="inlineStr">
        <is>
          <t>EP</t>
        </is>
      </c>
      <c r="D392" s="28" t="n">
        <v>46035</v>
      </c>
      <c r="E392" t="inlineStr">
        <is>
          <t>현대EP</t>
        </is>
      </c>
      <c r="F392" t="inlineStr">
        <is>
          <t>류종원</t>
        </is>
      </c>
      <c r="G392" t="inlineStr">
        <is>
          <t>010-6359-7090</t>
        </is>
      </c>
      <c r="H392" t="inlineStr">
        <is>
          <t>28루6599</t>
        </is>
      </c>
      <c r="I392" t="n">
        <v>4400000</v>
      </c>
      <c r="J392" t="n">
        <v>0.093</v>
      </c>
      <c r="K392" t="n">
        <v>1.76</v>
      </c>
      <c r="L392" t="n">
        <v>0.13</v>
      </c>
      <c r="M392" t="n">
        <v>1.63</v>
      </c>
      <c r="P392" t="inlineStr">
        <is>
          <t>정세빈</t>
        </is>
      </c>
      <c r="Q392" t="inlineStr">
        <is>
          <t>홈서비스 60개월</t>
        </is>
      </c>
      <c r="Z392" t="n">
        <v>0</v>
      </c>
      <c r="AB392" t="inlineStr">
        <is>
          <t>홈서비스</t>
        </is>
      </c>
      <c r="AC392" t="n">
        <v>77440</v>
      </c>
      <c r="AD392" t="n">
        <v>5720</v>
      </c>
      <c r="AE392" t="n">
        <v>71720</v>
      </c>
      <c r="AF392" t="n">
        <v>70400</v>
      </c>
      <c r="AG392" t="n">
        <v>5720</v>
      </c>
      <c r="AH392" t="n">
        <v>64680</v>
      </c>
      <c r="AI392" t="n">
        <v>0</v>
      </c>
    </row>
    <row r="393">
      <c r="A393" t="inlineStr">
        <is>
          <t>1월</t>
        </is>
      </c>
      <c r="B393" t="inlineStr">
        <is>
          <t>3주차</t>
        </is>
      </c>
      <c r="C393" t="inlineStr">
        <is>
          <t>EP</t>
        </is>
      </c>
      <c r="D393" s="28" t="n">
        <v>46035</v>
      </c>
      <c r="E393" t="inlineStr">
        <is>
          <t>현대EP</t>
        </is>
      </c>
      <c r="F393" t="inlineStr">
        <is>
          <t>정성훈</t>
        </is>
      </c>
      <c r="G393" t="inlineStr">
        <is>
          <t>010-3193-0655</t>
        </is>
      </c>
      <c r="H393" t="inlineStr">
        <is>
          <t>363수9192</t>
        </is>
      </c>
      <c r="I393" t="n">
        <v>32500000</v>
      </c>
      <c r="J393" t="n">
        <v>0.06900000000000001</v>
      </c>
      <c r="K393" t="n">
        <v>1.76</v>
      </c>
      <c r="L393" t="n">
        <v>0.13</v>
      </c>
      <c r="M393" t="n">
        <v>1.63</v>
      </c>
      <c r="P393" t="inlineStr">
        <is>
          <t>정세빈</t>
        </is>
      </c>
      <c r="Q393" t="inlineStr">
        <is>
          <t>홈서비스 60개월/ *차량번호변경 건/ 변경전 차량번호 14가5814</t>
        </is>
      </c>
      <c r="Z393" t="n">
        <v>0</v>
      </c>
      <c r="AB393" t="inlineStr">
        <is>
          <t>홈서비스</t>
        </is>
      </c>
      <c r="AC393" t="n">
        <v>572000</v>
      </c>
      <c r="AD393" t="n">
        <v>42250</v>
      </c>
      <c r="AE393" t="n">
        <v>529750</v>
      </c>
      <c r="AF393" t="n">
        <v>520000</v>
      </c>
      <c r="AG393" t="n">
        <v>42250</v>
      </c>
      <c r="AH393" t="n">
        <v>477750</v>
      </c>
      <c r="AI393" t="n">
        <v>0</v>
      </c>
    </row>
    <row r="394">
      <c r="A394" t="inlineStr">
        <is>
          <t>1월</t>
        </is>
      </c>
      <c r="B394" t="inlineStr">
        <is>
          <t>3주차</t>
        </is>
      </c>
      <c r="C394" t="inlineStr">
        <is>
          <t>EP</t>
        </is>
      </c>
      <c r="D394" s="28" t="n">
        <v>46036</v>
      </c>
      <c r="E394" t="inlineStr">
        <is>
          <t>현대EP</t>
        </is>
      </c>
      <c r="F394" t="inlineStr">
        <is>
          <t>김민서</t>
        </is>
      </c>
      <c r="G394" t="inlineStr">
        <is>
          <t>010-9808-7425</t>
        </is>
      </c>
      <c r="H394" t="inlineStr">
        <is>
          <t>295마9714</t>
        </is>
      </c>
      <c r="I394" t="n">
        <v>6000000</v>
      </c>
      <c r="J394" t="n">
        <v>0.08500000000000001</v>
      </c>
      <c r="K394" t="n">
        <v>1.76</v>
      </c>
      <c r="L394" t="n">
        <v>0.13</v>
      </c>
      <c r="M394" t="n">
        <v>1.63</v>
      </c>
      <c r="P394" t="inlineStr">
        <is>
          <t>황채이</t>
        </is>
      </c>
      <c r="Q394" t="inlineStr">
        <is>
          <t>홈서비스 60개월</t>
        </is>
      </c>
      <c r="Z394" t="n">
        <v>0</v>
      </c>
      <c r="AB394" t="inlineStr">
        <is>
          <t>홈서비스</t>
        </is>
      </c>
      <c r="AC394" t="n">
        <v>105600</v>
      </c>
      <c r="AD394" t="n">
        <v>7800</v>
      </c>
      <c r="AE394" t="n">
        <v>97800</v>
      </c>
      <c r="AF394" t="n">
        <v>96000</v>
      </c>
      <c r="AG394" t="n">
        <v>7800</v>
      </c>
      <c r="AH394" t="n">
        <v>88200</v>
      </c>
      <c r="AI394" t="n">
        <v>0</v>
      </c>
    </row>
    <row r="395">
      <c r="A395" t="inlineStr">
        <is>
          <t>1월</t>
        </is>
      </c>
      <c r="B395" t="inlineStr">
        <is>
          <t>3주차</t>
        </is>
      </c>
      <c r="C395" t="inlineStr">
        <is>
          <t>EP</t>
        </is>
      </c>
      <c r="D395" s="28" t="n">
        <v>46036</v>
      </c>
      <c r="E395" t="inlineStr">
        <is>
          <t>현대EP</t>
        </is>
      </c>
      <c r="F395" t="inlineStr">
        <is>
          <t>김형열</t>
        </is>
      </c>
      <c r="G395" t="inlineStr">
        <is>
          <t>010-2587-6629</t>
        </is>
      </c>
      <c r="H395" t="inlineStr">
        <is>
          <t>20도1537</t>
        </is>
      </c>
      <c r="I395" t="n">
        <v>6800000</v>
      </c>
      <c r="J395" t="n">
        <v>0.073</v>
      </c>
      <c r="K395" t="n">
        <v>1.76</v>
      </c>
      <c r="L395" t="n">
        <v>0.13</v>
      </c>
      <c r="M395" t="n">
        <v>1.63</v>
      </c>
      <c r="P395" t="inlineStr">
        <is>
          <t>황채이</t>
        </is>
      </c>
      <c r="Q395" t="inlineStr">
        <is>
          <t>홈서비스 48개월</t>
        </is>
      </c>
      <c r="Z395" t="n">
        <v>0</v>
      </c>
      <c r="AB395" t="inlineStr">
        <is>
          <t>홈서비스</t>
        </is>
      </c>
      <c r="AC395" t="n">
        <v>119680</v>
      </c>
      <c r="AD395" t="n">
        <v>8840</v>
      </c>
      <c r="AE395" t="n">
        <v>110840</v>
      </c>
      <c r="AF395" t="n">
        <v>108800</v>
      </c>
      <c r="AG395" t="n">
        <v>8840</v>
      </c>
      <c r="AH395" t="n">
        <v>99960</v>
      </c>
      <c r="AI395" t="n">
        <v>0</v>
      </c>
    </row>
    <row r="396">
      <c r="A396" t="inlineStr">
        <is>
          <t>1월</t>
        </is>
      </c>
      <c r="B396" t="inlineStr">
        <is>
          <t>3주차</t>
        </is>
      </c>
      <c r="C396" t="inlineStr">
        <is>
          <t>EP</t>
        </is>
      </c>
      <c r="D396" s="28" t="n">
        <v>46036</v>
      </c>
      <c r="E396" t="inlineStr">
        <is>
          <t>현대EP_fast</t>
        </is>
      </c>
      <c r="F396" t="inlineStr">
        <is>
          <t>이충현</t>
        </is>
      </c>
      <c r="G396" t="n">
        <v>1042885120</v>
      </c>
      <c r="H396" t="inlineStr">
        <is>
          <t>288라5323</t>
        </is>
      </c>
      <c r="I396" t="n">
        <v>10000000</v>
      </c>
      <c r="J396" t="n">
        <v>0.057</v>
      </c>
      <c r="K396" t="n">
        <v>1.76</v>
      </c>
      <c r="L396" t="n">
        <v>0.13</v>
      </c>
      <c r="M396" t="n">
        <v>1.63</v>
      </c>
      <c r="P396" t="inlineStr">
        <is>
          <t>김나윤</t>
        </is>
      </c>
      <c r="Q396" t="inlineStr">
        <is>
          <t>홈서비스36개월</t>
        </is>
      </c>
      <c r="Z396" t="n">
        <v>0</v>
      </c>
      <c r="AB396" t="inlineStr">
        <is>
          <t>홈서비스</t>
        </is>
      </c>
      <c r="AC396" t="n">
        <v>176000</v>
      </c>
      <c r="AD396" t="n">
        <v>13000</v>
      </c>
      <c r="AE396" t="n">
        <v>163000</v>
      </c>
      <c r="AF396" t="n">
        <v>160000</v>
      </c>
      <c r="AG396" t="n">
        <v>13000</v>
      </c>
      <c r="AH396" t="n">
        <v>147000</v>
      </c>
      <c r="AI396" t="n">
        <v>0</v>
      </c>
    </row>
    <row r="397">
      <c r="A397" t="inlineStr">
        <is>
          <t>1월</t>
        </is>
      </c>
      <c r="B397" t="inlineStr">
        <is>
          <t>3주차</t>
        </is>
      </c>
      <c r="C397" t="inlineStr">
        <is>
          <t>EP</t>
        </is>
      </c>
      <c r="D397" s="28" t="n">
        <v>46036</v>
      </c>
      <c r="E397" t="inlineStr">
        <is>
          <t>현대EP_fast</t>
        </is>
      </c>
      <c r="F397" t="inlineStr">
        <is>
          <t>정영운</t>
        </is>
      </c>
      <c r="G397" t="n">
        <v>1052747991</v>
      </c>
      <c r="H397" t="inlineStr">
        <is>
          <t>31더8849</t>
        </is>
      </c>
      <c r="I397" t="n">
        <v>11900000</v>
      </c>
      <c r="J397" t="n">
        <v>0.06900000000000001</v>
      </c>
      <c r="K397" t="n">
        <v>1.76</v>
      </c>
      <c r="L397" t="n">
        <v>0.13</v>
      </c>
      <c r="M397" t="n">
        <v>1.63</v>
      </c>
      <c r="P397" t="inlineStr">
        <is>
          <t>김나윤</t>
        </is>
      </c>
      <c r="Q397" t="inlineStr">
        <is>
          <t>홈서비스 60개월 /*당월철회 20260127</t>
        </is>
      </c>
      <c r="Z397" t="n">
        <v>0</v>
      </c>
      <c r="AB397" t="inlineStr">
        <is>
          <t>홈서비스</t>
        </is>
      </c>
      <c r="AC397" t="n">
        <v>209440</v>
      </c>
      <c r="AD397" t="n">
        <v>15470</v>
      </c>
      <c r="AE397" t="n">
        <v>193970</v>
      </c>
      <c r="AF397" t="n">
        <v>190400</v>
      </c>
      <c r="AG397" t="n">
        <v>15470</v>
      </c>
      <c r="AH397" t="n">
        <v>174930</v>
      </c>
      <c r="AI397" t="n">
        <v>0</v>
      </c>
      <c r="AK397" t="inlineStr">
        <is>
          <t>대출철회</t>
        </is>
      </c>
    </row>
    <row r="398">
      <c r="A398" t="inlineStr">
        <is>
          <t>1월</t>
        </is>
      </c>
      <c r="B398" t="inlineStr">
        <is>
          <t>3주차</t>
        </is>
      </c>
      <c r="C398" t="inlineStr">
        <is>
          <t>EP</t>
        </is>
      </c>
      <c r="D398" s="28" t="n">
        <v>46036</v>
      </c>
      <c r="E398" t="inlineStr">
        <is>
          <t>현대EP_fast</t>
        </is>
      </c>
      <c r="F398" t="inlineStr">
        <is>
          <t>김준호</t>
        </is>
      </c>
      <c r="G398" t="inlineStr">
        <is>
          <t>010-3038-2283</t>
        </is>
      </c>
      <c r="H398" t="inlineStr">
        <is>
          <t>168로2093</t>
        </is>
      </c>
      <c r="I398" t="n">
        <v>25500000</v>
      </c>
      <c r="J398" t="n">
        <v>0.06900000000000001</v>
      </c>
      <c r="K398" t="n">
        <v>1.76</v>
      </c>
      <c r="L398" t="n">
        <v>0.13</v>
      </c>
      <c r="M398" t="n">
        <v>1.63</v>
      </c>
      <c r="P398" t="inlineStr">
        <is>
          <t>최형주</t>
        </is>
      </c>
      <c r="Q398" t="inlineStr">
        <is>
          <t>홈서비스 60개월</t>
        </is>
      </c>
      <c r="Z398" t="n">
        <v>0</v>
      </c>
      <c r="AB398" t="inlineStr">
        <is>
          <t>홈서비스</t>
        </is>
      </c>
      <c r="AC398" t="n">
        <v>448800</v>
      </c>
      <c r="AD398" t="n">
        <v>33150</v>
      </c>
      <c r="AE398" t="n">
        <v>415650</v>
      </c>
      <c r="AF398" t="n">
        <v>408000</v>
      </c>
      <c r="AG398" t="n">
        <v>33150</v>
      </c>
      <c r="AH398" t="n">
        <v>374850</v>
      </c>
    </row>
    <row r="399">
      <c r="A399" t="inlineStr">
        <is>
          <t>1월</t>
        </is>
      </c>
      <c r="B399" t="inlineStr">
        <is>
          <t>3주차</t>
        </is>
      </c>
      <c r="C399" t="inlineStr">
        <is>
          <t>EP</t>
        </is>
      </c>
      <c r="D399" s="28" t="n">
        <v>46036</v>
      </c>
      <c r="E399" t="inlineStr">
        <is>
          <t>현대EP</t>
        </is>
      </c>
      <c r="F399" t="inlineStr">
        <is>
          <t>박준범</t>
        </is>
      </c>
      <c r="G399" t="inlineStr">
        <is>
          <t>010-4481-4466</t>
        </is>
      </c>
      <c r="H399" t="inlineStr">
        <is>
          <t>31버0386</t>
        </is>
      </c>
      <c r="I399" t="n">
        <v>4800000</v>
      </c>
      <c r="J399" t="n">
        <v>0.073</v>
      </c>
      <c r="K399" t="n">
        <v>1.76</v>
      </c>
      <c r="L399" t="n">
        <v>0.13</v>
      </c>
      <c r="M399" t="n">
        <v>1.63</v>
      </c>
      <c r="P399" t="inlineStr">
        <is>
          <t>김나윤</t>
        </is>
      </c>
      <c r="Q399" t="inlineStr">
        <is>
          <t>홈서비스 60개월</t>
        </is>
      </c>
      <c r="Z399" t="n">
        <v>0</v>
      </c>
      <c r="AB399" t="inlineStr">
        <is>
          <t>홈서비스</t>
        </is>
      </c>
      <c r="AC399" t="n">
        <v>84480</v>
      </c>
      <c r="AD399" t="n">
        <v>6240</v>
      </c>
      <c r="AE399" t="n">
        <v>78240</v>
      </c>
      <c r="AF399" t="n">
        <v>76800</v>
      </c>
      <c r="AG399" t="n">
        <v>6240</v>
      </c>
      <c r="AH399" t="n">
        <v>70560</v>
      </c>
    </row>
    <row r="400">
      <c r="A400" t="inlineStr">
        <is>
          <t>1월</t>
        </is>
      </c>
      <c r="B400" t="inlineStr">
        <is>
          <t>3주차</t>
        </is>
      </c>
      <c r="C400" t="inlineStr">
        <is>
          <t>EP</t>
        </is>
      </c>
      <c r="D400" s="28" t="n">
        <v>46036</v>
      </c>
      <c r="E400" t="inlineStr">
        <is>
          <t>현대EP</t>
        </is>
      </c>
      <c r="F400" t="inlineStr">
        <is>
          <t>윤경성</t>
        </is>
      </c>
      <c r="G400" t="inlineStr">
        <is>
          <t>010-2020-3028</t>
        </is>
      </c>
      <c r="H400" t="inlineStr">
        <is>
          <t>66어2879</t>
        </is>
      </c>
      <c r="I400" t="n">
        <v>4600000</v>
      </c>
      <c r="J400" t="n">
        <v>0.067</v>
      </c>
      <c r="K400" t="n">
        <v>1.76</v>
      </c>
      <c r="L400" t="n">
        <v>0.13</v>
      </c>
      <c r="M400" t="n">
        <v>1.63</v>
      </c>
      <c r="P400" t="inlineStr">
        <is>
          <t>최형주</t>
        </is>
      </c>
      <c r="Q400" t="inlineStr">
        <is>
          <t>홈서비스 24개월</t>
        </is>
      </c>
      <c r="Z400" t="n">
        <v>0</v>
      </c>
      <c r="AB400" t="inlineStr">
        <is>
          <t>홈서비스</t>
        </is>
      </c>
      <c r="AC400" t="n">
        <v>80960</v>
      </c>
      <c r="AD400" t="n">
        <v>5980</v>
      </c>
      <c r="AE400" t="n">
        <v>74980</v>
      </c>
      <c r="AF400" t="n">
        <v>73600</v>
      </c>
      <c r="AG400" t="n">
        <v>5980</v>
      </c>
      <c r="AH400" t="n">
        <v>67620</v>
      </c>
    </row>
    <row r="401">
      <c r="A401" t="inlineStr">
        <is>
          <t>1월</t>
        </is>
      </c>
      <c r="B401" t="inlineStr">
        <is>
          <t>3주차</t>
        </is>
      </c>
      <c r="C401" t="inlineStr">
        <is>
          <t>EP</t>
        </is>
      </c>
      <c r="D401" s="28" t="n">
        <v>46036</v>
      </c>
      <c r="E401" t="inlineStr">
        <is>
          <t>현대EP</t>
        </is>
      </c>
      <c r="F401" t="inlineStr">
        <is>
          <t>손채윤</t>
        </is>
      </c>
      <c r="G401" t="inlineStr">
        <is>
          <t>010-9297-9170</t>
        </is>
      </c>
      <c r="H401" t="inlineStr">
        <is>
          <t>67수0761</t>
        </is>
      </c>
      <c r="I401" t="n">
        <v>5400000</v>
      </c>
      <c r="J401" t="n">
        <v>0.07199999999999999</v>
      </c>
      <c r="K401" t="n">
        <v>1.76</v>
      </c>
      <c r="L401" t="n">
        <v>0.13</v>
      </c>
      <c r="M401" t="n">
        <v>1.63</v>
      </c>
      <c r="P401" t="inlineStr">
        <is>
          <t>김나윤</t>
        </is>
      </c>
      <c r="Q401" t="inlineStr">
        <is>
          <t>홈서비스 36개월</t>
        </is>
      </c>
      <c r="Z401" t="n">
        <v>0</v>
      </c>
      <c r="AB401" t="inlineStr">
        <is>
          <t>홈서비스</t>
        </is>
      </c>
      <c r="AC401" t="n">
        <v>95040</v>
      </c>
      <c r="AD401" t="n">
        <v>7020</v>
      </c>
      <c r="AE401" t="n">
        <v>88020</v>
      </c>
      <c r="AF401" t="n">
        <v>86400</v>
      </c>
      <c r="AG401" t="n">
        <v>7020</v>
      </c>
      <c r="AH401" t="n">
        <v>79380</v>
      </c>
      <c r="AI401" t="n">
        <v>0</v>
      </c>
    </row>
    <row r="402">
      <c r="A402" t="inlineStr">
        <is>
          <t>1월</t>
        </is>
      </c>
      <c r="B402" t="inlineStr">
        <is>
          <t>3주차</t>
        </is>
      </c>
      <c r="C402" t="inlineStr">
        <is>
          <t>EP</t>
        </is>
      </c>
      <c r="D402" s="28" t="n">
        <v>46035</v>
      </c>
      <c r="E402" t="inlineStr">
        <is>
          <t>현대EP_fast</t>
        </is>
      </c>
      <c r="F402" t="inlineStr">
        <is>
          <t>신창엽</t>
        </is>
      </c>
      <c r="G402" t="inlineStr">
        <is>
          <t>010-5500-0869</t>
        </is>
      </c>
      <c r="H402" t="inlineStr">
        <is>
          <t>181구8709</t>
        </is>
      </c>
      <c r="I402" t="n">
        <v>19500000</v>
      </c>
      <c r="J402" t="n">
        <v>0.097</v>
      </c>
      <c r="K402" t="n">
        <v>1.76</v>
      </c>
      <c r="L402" t="n">
        <v>0.13</v>
      </c>
      <c r="M402" t="n">
        <v>1.63</v>
      </c>
      <c r="P402" t="inlineStr">
        <is>
          <t>박현민</t>
        </is>
      </c>
      <c r="Q402" t="inlineStr">
        <is>
          <t>홈서비스 48개월</t>
        </is>
      </c>
      <c r="Z402" t="n">
        <v>0</v>
      </c>
      <c r="AB402" t="inlineStr">
        <is>
          <t>홈서비스</t>
        </is>
      </c>
      <c r="AC402" t="n">
        <v>343200</v>
      </c>
      <c r="AD402" t="n">
        <v>25350</v>
      </c>
      <c r="AE402" t="n">
        <v>317850</v>
      </c>
      <c r="AF402" t="n">
        <v>312000</v>
      </c>
      <c r="AG402" t="n">
        <v>25350</v>
      </c>
      <c r="AH402" t="n">
        <v>286650</v>
      </c>
      <c r="AI402" t="n">
        <v>0</v>
      </c>
    </row>
    <row r="403">
      <c r="A403" t="inlineStr">
        <is>
          <t>1월</t>
        </is>
      </c>
      <c r="B403" t="inlineStr">
        <is>
          <t>3주차</t>
        </is>
      </c>
      <c r="C403" t="inlineStr">
        <is>
          <t>EP</t>
        </is>
      </c>
      <c r="D403" s="28" t="n">
        <v>46036</v>
      </c>
      <c r="E403" t="inlineStr">
        <is>
          <t>현대EP_fast</t>
        </is>
      </c>
      <c r="F403" t="inlineStr">
        <is>
          <t>장필승</t>
        </is>
      </c>
      <c r="G403" t="inlineStr">
        <is>
          <t>010-4183-5929</t>
        </is>
      </c>
      <c r="H403" t="inlineStr">
        <is>
          <t>158로8312</t>
        </is>
      </c>
      <c r="I403" t="n">
        <v>36800000</v>
      </c>
      <c r="J403" t="n">
        <v>0.075</v>
      </c>
      <c r="K403" t="n">
        <v>1.76</v>
      </c>
      <c r="L403" t="n">
        <v>0.13</v>
      </c>
      <c r="M403" t="n">
        <v>1.63</v>
      </c>
      <c r="P403" t="inlineStr">
        <is>
          <t>정광호</t>
        </is>
      </c>
      <c r="Q403" t="inlineStr">
        <is>
          <t>홈서비스 60개월</t>
        </is>
      </c>
      <c r="Z403" t="n">
        <v>0</v>
      </c>
      <c r="AB403" t="inlineStr">
        <is>
          <t>홈서비스</t>
        </is>
      </c>
      <c r="AC403" t="n">
        <v>647680</v>
      </c>
      <c r="AD403" t="n">
        <v>47840</v>
      </c>
      <c r="AE403" t="n">
        <v>599840</v>
      </c>
      <c r="AF403" t="n">
        <v>588800</v>
      </c>
      <c r="AG403" t="n">
        <v>47840</v>
      </c>
      <c r="AH403" t="n">
        <v>540960</v>
      </c>
      <c r="AI403" t="n">
        <v>0</v>
      </c>
    </row>
    <row r="404">
      <c r="A404" t="inlineStr">
        <is>
          <t>1월</t>
        </is>
      </c>
      <c r="B404" t="inlineStr">
        <is>
          <t>3주차</t>
        </is>
      </c>
      <c r="C404" t="inlineStr">
        <is>
          <t>IM</t>
        </is>
      </c>
      <c r="D404" s="28" t="n">
        <v>46036</v>
      </c>
      <c r="E404" t="inlineStr">
        <is>
          <t>IM캐피탈</t>
        </is>
      </c>
      <c r="F404" t="inlineStr">
        <is>
          <t>이영순</t>
        </is>
      </c>
      <c r="G404" t="inlineStr">
        <is>
          <t>010-4951-5875</t>
        </is>
      </c>
      <c r="H404" t="inlineStr">
        <is>
          <t>25버6276</t>
        </is>
      </c>
      <c r="I404" t="n">
        <v>10000000</v>
      </c>
      <c r="J404" t="n">
        <v>0.039</v>
      </c>
      <c r="K404" t="n">
        <v>0.55</v>
      </c>
      <c r="L404" t="n">
        <v>0.4</v>
      </c>
      <c r="M404" t="n">
        <v>0.15</v>
      </c>
      <c r="N404" t="inlineStr">
        <is>
          <t>서상민</t>
        </is>
      </c>
      <c r="O404" t="inlineStr">
        <is>
          <t>지급</t>
        </is>
      </c>
      <c r="P404" t="inlineStr">
        <is>
          <t>정하은</t>
        </is>
      </c>
      <c r="Q404" t="inlineStr">
        <is>
          <t>공동명의</t>
        </is>
      </c>
      <c r="Z404" t="e">
        <v>#VALUE!</v>
      </c>
      <c r="AB404" t="inlineStr">
        <is>
          <t>엔카</t>
        </is>
      </c>
      <c r="AC404" t="n">
        <v>55000</v>
      </c>
      <c r="AD404" t="n">
        <v>40000</v>
      </c>
      <c r="AE404" t="n">
        <v>15000</v>
      </c>
      <c r="AF404" t="n">
        <v>50000</v>
      </c>
      <c r="AG404" t="n">
        <v>40000</v>
      </c>
      <c r="AH404" t="n">
        <v>10000</v>
      </c>
      <c r="AI404" t="n">
        <v>0</v>
      </c>
    </row>
    <row r="405">
      <c r="A405" t="inlineStr">
        <is>
          <t>4월</t>
        </is>
      </c>
      <c r="B405" t="inlineStr">
        <is>
          <t>18주차</t>
        </is>
      </c>
      <c r="C405" t="inlineStr">
        <is>
          <t>IM</t>
        </is>
      </c>
      <c r="D405" s="28" t="n">
        <v>46141</v>
      </c>
      <c r="E405" t="inlineStr">
        <is>
          <t>IM캐피탈</t>
        </is>
      </c>
      <c r="F405" t="inlineStr">
        <is>
          <t>최승준</t>
        </is>
      </c>
      <c r="G405" t="inlineStr">
        <is>
          <t>010-8431-9200</t>
        </is>
      </c>
      <c r="H405" t="inlineStr">
        <is>
          <t>57로7524</t>
        </is>
      </c>
      <c r="I405" t="n">
        <v>-9600000</v>
      </c>
      <c r="J405" t="n">
        <v>0.063</v>
      </c>
      <c r="K405" t="n">
        <v>1.1</v>
      </c>
      <c r="L405" t="n">
        <v>0.07000000000000001</v>
      </c>
      <c r="M405" t="n">
        <v>1.03</v>
      </c>
      <c r="P405" t="inlineStr">
        <is>
          <t>황채이</t>
        </is>
      </c>
      <c r="Q405" t="inlineStr">
        <is>
          <t>홈서비스 84개월</t>
        </is>
      </c>
      <c r="Z405" t="n">
        <v>0</v>
      </c>
      <c r="AB405" t="inlineStr">
        <is>
          <t>홈서비스</t>
        </is>
      </c>
      <c r="AC405" t="n">
        <v>-105600</v>
      </c>
      <c r="AD405" t="n">
        <v>-6720</v>
      </c>
      <c r="AE405" t="n">
        <v>-98880</v>
      </c>
      <c r="AF405" t="n">
        <v>-96000</v>
      </c>
      <c r="AG405" t="n">
        <v>-6720</v>
      </c>
      <c r="AH405" t="n">
        <v>-89280</v>
      </c>
      <c r="AI405" t="n">
        <v>0</v>
      </c>
    </row>
    <row r="406">
      <c r="A406" t="inlineStr">
        <is>
          <t>1월</t>
        </is>
      </c>
      <c r="B406" t="inlineStr">
        <is>
          <t>3주차</t>
        </is>
      </c>
      <c r="C406" t="inlineStr">
        <is>
          <t>EP</t>
        </is>
      </c>
      <c r="D406" s="28" t="n">
        <v>46036</v>
      </c>
      <c r="E406" t="inlineStr">
        <is>
          <t>현대EP</t>
        </is>
      </c>
      <c r="F406" t="inlineStr">
        <is>
          <t>정나영</t>
        </is>
      </c>
      <c r="G406" t="inlineStr">
        <is>
          <t>010-5593-8619</t>
        </is>
      </c>
      <c r="H406" t="inlineStr">
        <is>
          <t>196소5124</t>
        </is>
      </c>
      <c r="I406" t="n">
        <v>36900000</v>
      </c>
      <c r="J406" t="n">
        <v>0.075</v>
      </c>
      <c r="K406" t="n">
        <v>1.76</v>
      </c>
      <c r="L406" t="n">
        <v>0.13</v>
      </c>
      <c r="M406" t="n">
        <v>1.63</v>
      </c>
      <c r="P406" t="inlineStr">
        <is>
          <t>김나윤</t>
        </is>
      </c>
      <c r="Q406" t="inlineStr">
        <is>
          <t>홈서비스 60개월</t>
        </is>
      </c>
      <c r="Z406" t="n">
        <v>0</v>
      </c>
      <c r="AB406" t="inlineStr">
        <is>
          <t>홈서비스</t>
        </is>
      </c>
      <c r="AC406" t="n">
        <v>649440</v>
      </c>
      <c r="AD406" t="n">
        <v>47970</v>
      </c>
      <c r="AE406" t="n">
        <v>601470</v>
      </c>
      <c r="AF406" t="n">
        <v>590400</v>
      </c>
      <c r="AG406" t="n">
        <v>47970</v>
      </c>
      <c r="AH406" t="n">
        <v>542430</v>
      </c>
      <c r="AI406" t="n">
        <v>0</v>
      </c>
    </row>
    <row r="407">
      <c r="A407" t="inlineStr">
        <is>
          <t>1월</t>
        </is>
      </c>
      <c r="B407" t="inlineStr">
        <is>
          <t>3주차</t>
        </is>
      </c>
      <c r="C407" t="inlineStr">
        <is>
          <t>EP</t>
        </is>
      </c>
      <c r="D407" s="28" t="n">
        <v>46035</v>
      </c>
      <c r="E407" t="inlineStr">
        <is>
          <t>제이비EP</t>
        </is>
      </c>
      <c r="F407" t="inlineStr">
        <is>
          <t>김문숙</t>
        </is>
      </c>
      <c r="G407" t="inlineStr">
        <is>
          <t>010-9020-7486</t>
        </is>
      </c>
      <c r="H407" t="inlineStr">
        <is>
          <t>66가0472</t>
        </is>
      </c>
      <c r="I407" t="n">
        <v>6900000</v>
      </c>
      <c r="J407" t="n">
        <v>0.08799999999999999</v>
      </c>
      <c r="K407" t="n">
        <v>1.65</v>
      </c>
      <c r="L407" t="n">
        <v>0.4</v>
      </c>
      <c r="M407" t="n">
        <v>1.25</v>
      </c>
      <c r="P407" t="inlineStr">
        <is>
          <t>구성완</t>
        </is>
      </c>
      <c r="Q407" t="inlineStr">
        <is>
          <t>공동명의</t>
        </is>
      </c>
      <c r="Z407" t="n">
        <v>0</v>
      </c>
      <c r="AB407" t="inlineStr">
        <is>
          <t>엔카</t>
        </is>
      </c>
      <c r="AC407" t="n">
        <v>113850</v>
      </c>
      <c r="AD407" t="n">
        <v>27600</v>
      </c>
      <c r="AE407" t="n">
        <v>86250</v>
      </c>
      <c r="AF407" t="n">
        <v>103500</v>
      </c>
      <c r="AG407" t="n">
        <v>27600</v>
      </c>
      <c r="AH407" t="n">
        <v>75900</v>
      </c>
      <c r="AI407" t="n">
        <v>0</v>
      </c>
    </row>
    <row r="408">
      <c r="A408" t="inlineStr">
        <is>
          <t>1월</t>
        </is>
      </c>
      <c r="B408" t="inlineStr">
        <is>
          <t>3주차</t>
        </is>
      </c>
      <c r="C408" t="inlineStr">
        <is>
          <t>IM</t>
        </is>
      </c>
      <c r="D408" s="28" t="n">
        <v>46035</v>
      </c>
      <c r="E408" t="inlineStr">
        <is>
          <t>IM캐피탈</t>
        </is>
      </c>
      <c r="F408" t="inlineStr">
        <is>
          <t>이현수</t>
        </is>
      </c>
      <c r="G408" t="inlineStr">
        <is>
          <t>010-2058-7044</t>
        </is>
      </c>
      <c r="H408" t="inlineStr">
        <is>
          <t>842도1107</t>
        </is>
      </c>
      <c r="I408" t="n">
        <v>22000000</v>
      </c>
      <c r="J408" t="n">
        <v>0.06</v>
      </c>
      <c r="K408" t="n">
        <v>0.55</v>
      </c>
      <c r="L408" t="n">
        <v>0.4</v>
      </c>
      <c r="M408" t="n">
        <v>0.15</v>
      </c>
      <c r="P408" t="inlineStr">
        <is>
          <t>구성완</t>
        </is>
      </c>
      <c r="Q408" t="inlineStr">
        <is>
          <t>사유 : 금리불만</t>
        </is>
      </c>
      <c r="Z408" t="n">
        <v>0</v>
      </c>
      <c r="AB408" t="inlineStr">
        <is>
          <t>엔카</t>
        </is>
      </c>
      <c r="AC408" t="n">
        <v>121000</v>
      </c>
      <c r="AD408" t="n">
        <v>88000</v>
      </c>
      <c r="AE408" t="n">
        <v>33000</v>
      </c>
      <c r="AF408" t="n">
        <v>110000</v>
      </c>
      <c r="AG408" t="n">
        <v>88000</v>
      </c>
      <c r="AH408" t="n">
        <v>22000</v>
      </c>
      <c r="AI408" t="n">
        <v>0</v>
      </c>
    </row>
    <row r="409">
      <c r="A409" t="inlineStr">
        <is>
          <t>1월</t>
        </is>
      </c>
      <c r="B409" t="inlineStr">
        <is>
          <t>3주차</t>
        </is>
      </c>
      <c r="C409" t="inlineStr">
        <is>
          <t>IM</t>
        </is>
      </c>
      <c r="D409" s="28" t="n">
        <v>46036</v>
      </c>
      <c r="E409" t="inlineStr">
        <is>
          <t>IM캐피탈</t>
        </is>
      </c>
      <c r="F409" t="inlineStr">
        <is>
          <t>박경민</t>
        </is>
      </c>
      <c r="G409" t="inlineStr">
        <is>
          <t>010-5895-4504</t>
        </is>
      </c>
      <c r="H409" t="inlineStr">
        <is>
          <t>03나4191</t>
        </is>
      </c>
      <c r="I409" t="n">
        <v>17000000</v>
      </c>
      <c r="J409" t="n">
        <v>0.049</v>
      </c>
      <c r="K409" t="n">
        <v>0.55</v>
      </c>
      <c r="L409" t="n">
        <v>0.4</v>
      </c>
      <c r="M409" t="n">
        <v>0.15</v>
      </c>
      <c r="P409" t="inlineStr">
        <is>
          <t>장진경</t>
        </is>
      </c>
      <c r="Q409" t="inlineStr">
        <is>
          <t>사유 : 부대비용 추가진행</t>
        </is>
      </c>
      <c r="Z409" t="n">
        <v>0</v>
      </c>
      <c r="AB409" t="inlineStr">
        <is>
          <t>엔카</t>
        </is>
      </c>
      <c r="AC409" t="n">
        <v>93500</v>
      </c>
      <c r="AD409" t="n">
        <v>68000</v>
      </c>
      <c r="AE409" t="n">
        <v>25500</v>
      </c>
      <c r="AF409" t="n">
        <v>85000</v>
      </c>
      <c r="AG409" t="n">
        <v>68000</v>
      </c>
      <c r="AH409" t="n">
        <v>17000</v>
      </c>
      <c r="AI409" t="n">
        <v>0</v>
      </c>
    </row>
    <row r="410">
      <c r="A410" t="inlineStr">
        <is>
          <t>1월</t>
        </is>
      </c>
      <c r="B410" t="inlineStr">
        <is>
          <t>3주차</t>
        </is>
      </c>
      <c r="C410" t="inlineStr">
        <is>
          <t>EP</t>
        </is>
      </c>
      <c r="D410" s="28" t="n">
        <v>46037</v>
      </c>
      <c r="E410" t="inlineStr">
        <is>
          <t>현대EP_fast</t>
        </is>
      </c>
      <c r="F410" t="inlineStr">
        <is>
          <t>진재호</t>
        </is>
      </c>
      <c r="G410" t="inlineStr">
        <is>
          <t>010-8570-1350</t>
        </is>
      </c>
      <c r="H410" t="inlineStr">
        <is>
          <t>61모8810</t>
        </is>
      </c>
      <c r="I410" t="n">
        <v>6200000</v>
      </c>
      <c r="J410" t="n">
        <v>0.07000000000000001</v>
      </c>
      <c r="K410" t="n">
        <v>1.76</v>
      </c>
      <c r="L410" t="n">
        <v>0.13</v>
      </c>
      <c r="M410" t="n">
        <v>1.63</v>
      </c>
      <c r="P410" t="inlineStr">
        <is>
          <t>황채이</t>
        </is>
      </c>
      <c r="Q410" t="inlineStr">
        <is>
          <t>홈서비스 60개월</t>
        </is>
      </c>
      <c r="Z410" t="n">
        <v>0</v>
      </c>
      <c r="AB410" t="inlineStr">
        <is>
          <t>홈서비스</t>
        </is>
      </c>
      <c r="AC410" t="n">
        <v>109120</v>
      </c>
      <c r="AD410" t="n">
        <v>8060</v>
      </c>
      <c r="AE410" t="n">
        <v>101060</v>
      </c>
      <c r="AF410" t="n">
        <v>99200</v>
      </c>
      <c r="AG410" t="n">
        <v>8060</v>
      </c>
      <c r="AH410" t="n">
        <v>91140</v>
      </c>
    </row>
    <row r="411">
      <c r="A411" t="inlineStr">
        <is>
          <t>1월</t>
        </is>
      </c>
      <c r="B411" t="inlineStr">
        <is>
          <t>3주차</t>
        </is>
      </c>
      <c r="C411" t="inlineStr">
        <is>
          <t>EP</t>
        </is>
      </c>
      <c r="D411" s="28" t="n">
        <v>46037</v>
      </c>
      <c r="E411" t="inlineStr">
        <is>
          <t>현대EP_fast</t>
        </is>
      </c>
      <c r="F411" t="inlineStr">
        <is>
          <t>이윤희</t>
        </is>
      </c>
      <c r="G411" t="inlineStr">
        <is>
          <t>010-2510-4862</t>
        </is>
      </c>
      <c r="H411" t="inlineStr">
        <is>
          <t>19주7570</t>
        </is>
      </c>
      <c r="I411" t="n">
        <v>18900000</v>
      </c>
      <c r="J411" t="n">
        <v>0.073</v>
      </c>
      <c r="K411" t="n">
        <v>1.76</v>
      </c>
      <c r="L411" t="n">
        <v>0.13</v>
      </c>
      <c r="M411" t="n">
        <v>1.63</v>
      </c>
      <c r="P411" t="inlineStr">
        <is>
          <t>황채이</t>
        </is>
      </c>
      <c r="Q411" t="inlineStr">
        <is>
          <t>홈서비스 36개월</t>
        </is>
      </c>
      <c r="Z411" t="n">
        <v>0</v>
      </c>
      <c r="AB411" t="inlineStr">
        <is>
          <t>홈서비스</t>
        </is>
      </c>
      <c r="AC411" t="n">
        <v>332640</v>
      </c>
      <c r="AD411" t="n">
        <v>24570</v>
      </c>
      <c r="AE411" t="n">
        <v>308070</v>
      </c>
      <c r="AF411" t="n">
        <v>302400</v>
      </c>
      <c r="AG411" t="n">
        <v>24570</v>
      </c>
      <c r="AH411" t="n">
        <v>277830</v>
      </c>
      <c r="AI411" t="n">
        <v>0</v>
      </c>
    </row>
    <row r="412">
      <c r="A412" t="inlineStr">
        <is>
          <t>1월</t>
        </is>
      </c>
      <c r="B412" t="inlineStr">
        <is>
          <t>3주차</t>
        </is>
      </c>
      <c r="C412" t="inlineStr">
        <is>
          <t>IM</t>
        </is>
      </c>
      <c r="D412" s="28" t="n">
        <v>46036</v>
      </c>
      <c r="E412" t="inlineStr">
        <is>
          <t>IM캐피탈</t>
        </is>
      </c>
      <c r="F412" t="inlineStr">
        <is>
          <t>유정록</t>
        </is>
      </c>
      <c r="G412" t="n">
        <v>1045826779</v>
      </c>
      <c r="H412" t="inlineStr">
        <is>
          <t>811조6262</t>
        </is>
      </c>
      <c r="I412" t="n">
        <v>-22100000</v>
      </c>
      <c r="J412" t="n">
        <v>0.06</v>
      </c>
      <c r="K412" t="n">
        <v>0.55</v>
      </c>
      <c r="L412" t="n">
        <v>0.13</v>
      </c>
      <c r="M412" t="n">
        <v>0.42</v>
      </c>
      <c r="P412" t="inlineStr">
        <is>
          <t>김나윤</t>
        </is>
      </c>
      <c r="Q412" t="inlineStr">
        <is>
          <t>사유 : 부대비용필요 / 홈서비스60개월/ *철회 20260126</t>
        </is>
      </c>
      <c r="Z412" t="n">
        <v>0</v>
      </c>
      <c r="AB412" t="inlineStr">
        <is>
          <t>홈서비스</t>
        </is>
      </c>
      <c r="AC412" t="n">
        <v>-121550</v>
      </c>
      <c r="AD412" t="n">
        <v>-28730</v>
      </c>
      <c r="AE412" t="n">
        <v>-92820</v>
      </c>
      <c r="AF412" t="n">
        <v>-110500</v>
      </c>
      <c r="AG412" t="n">
        <v>-28730</v>
      </c>
      <c r="AH412" t="n">
        <v>-81770</v>
      </c>
      <c r="AI412" t="n">
        <v>1</v>
      </c>
      <c r="AK412" t="inlineStr">
        <is>
          <t>대출철회</t>
        </is>
      </c>
    </row>
    <row r="413">
      <c r="A413" t="inlineStr">
        <is>
          <t>1월</t>
        </is>
      </c>
      <c r="B413" t="inlineStr">
        <is>
          <t>3주차</t>
        </is>
      </c>
      <c r="C413" t="inlineStr">
        <is>
          <t>EP</t>
        </is>
      </c>
      <c r="D413" s="28" t="n">
        <v>46036</v>
      </c>
      <c r="E413" t="inlineStr">
        <is>
          <t>현대EP_fast</t>
        </is>
      </c>
      <c r="F413" t="inlineStr">
        <is>
          <t>류광희</t>
        </is>
      </c>
      <c r="G413" t="inlineStr">
        <is>
          <t>010-9947-2402</t>
        </is>
      </c>
      <c r="H413" t="inlineStr">
        <is>
          <t>16더0512</t>
        </is>
      </c>
      <c r="I413" t="n">
        <v>6700000</v>
      </c>
      <c r="J413" t="n">
        <v>0.073</v>
      </c>
      <c r="K413" t="n">
        <v>1.76</v>
      </c>
      <c r="L413" t="n">
        <v>0.13</v>
      </c>
      <c r="M413" t="n">
        <v>1.63</v>
      </c>
      <c r="P413" t="inlineStr">
        <is>
          <t>정광호</t>
        </is>
      </c>
      <c r="Q413" t="inlineStr">
        <is>
          <t>홈서비스 24개월</t>
        </is>
      </c>
      <c r="Z413" t="n">
        <v>0</v>
      </c>
      <c r="AB413" t="inlineStr">
        <is>
          <t>홈서비스</t>
        </is>
      </c>
      <c r="AC413" t="n">
        <v>117920</v>
      </c>
      <c r="AD413" t="n">
        <v>8710</v>
      </c>
      <c r="AE413" t="n">
        <v>109210</v>
      </c>
      <c r="AF413" t="n">
        <v>107200</v>
      </c>
      <c r="AG413" t="n">
        <v>8710</v>
      </c>
      <c r="AH413" t="n">
        <v>98490</v>
      </c>
      <c r="AI413" t="n">
        <v>1</v>
      </c>
    </row>
    <row r="414">
      <c r="A414" t="inlineStr">
        <is>
          <t>1월</t>
        </is>
      </c>
      <c r="B414" t="inlineStr">
        <is>
          <t>3주차</t>
        </is>
      </c>
      <c r="C414" t="inlineStr">
        <is>
          <t>IM</t>
        </is>
      </c>
      <c r="D414" s="28" t="n">
        <v>46036</v>
      </c>
      <c r="E414" t="inlineStr">
        <is>
          <t>IM캐피탈</t>
        </is>
      </c>
      <c r="F414" t="inlineStr">
        <is>
          <t>권석원</t>
        </is>
      </c>
      <c r="G414" t="inlineStr">
        <is>
          <t>010-3232-4087</t>
        </is>
      </c>
      <c r="H414" t="inlineStr">
        <is>
          <t>107버5338</t>
        </is>
      </c>
      <c r="I414" t="n">
        <v>41600000</v>
      </c>
      <c r="J414" t="n">
        <v>0.049</v>
      </c>
      <c r="K414" t="n">
        <v>0.55</v>
      </c>
      <c r="L414" t="n">
        <v>0.13</v>
      </c>
      <c r="M414" t="n">
        <v>0.42</v>
      </c>
      <c r="P414" t="inlineStr">
        <is>
          <t>장진경</t>
        </is>
      </c>
      <c r="Q414" t="inlineStr">
        <is>
          <t>선상담 / 홈서비스 60개월 사유 : 부대비용 추가진행</t>
        </is>
      </c>
      <c r="Z414" t="n">
        <v>0</v>
      </c>
      <c r="AB414" t="inlineStr">
        <is>
          <t>홈서비스</t>
        </is>
      </c>
      <c r="AC414" t="n">
        <v>228800</v>
      </c>
      <c r="AD414" t="n">
        <v>54080</v>
      </c>
      <c r="AE414" t="n">
        <v>174720</v>
      </c>
      <c r="AF414" t="n">
        <v>208000</v>
      </c>
      <c r="AG414" t="n">
        <v>54080</v>
      </c>
      <c r="AH414" t="n">
        <v>153920</v>
      </c>
      <c r="AI414" t="n">
        <v>1</v>
      </c>
    </row>
    <row r="415">
      <c r="A415" t="inlineStr">
        <is>
          <t>1월</t>
        </is>
      </c>
      <c r="B415" t="inlineStr">
        <is>
          <t>3주차</t>
        </is>
      </c>
      <c r="C415" t="inlineStr">
        <is>
          <t>EP</t>
        </is>
      </c>
      <c r="D415" s="28" t="n">
        <v>46036</v>
      </c>
      <c r="E415" t="inlineStr">
        <is>
          <t>현대EP_fast</t>
        </is>
      </c>
      <c r="F415" t="inlineStr">
        <is>
          <t>이상원</t>
        </is>
      </c>
      <c r="G415" t="inlineStr">
        <is>
          <t>010-6621-9494</t>
        </is>
      </c>
      <c r="H415" t="inlineStr">
        <is>
          <t>191부4545</t>
        </is>
      </c>
      <c r="I415" t="n">
        <v>10700000</v>
      </c>
      <c r="J415" t="n">
        <v>0.093</v>
      </c>
      <c r="K415" t="n">
        <v>1.76</v>
      </c>
      <c r="L415" t="n">
        <v>0.13</v>
      </c>
      <c r="M415" t="n">
        <v>1.63</v>
      </c>
      <c r="P415" t="inlineStr">
        <is>
          <t>최혁</t>
        </is>
      </c>
      <c r="Q415" t="inlineStr">
        <is>
          <t>홈서비스24개월</t>
        </is>
      </c>
      <c r="Z415" t="n">
        <v>0</v>
      </c>
      <c r="AB415" t="inlineStr">
        <is>
          <t>홈서비스</t>
        </is>
      </c>
      <c r="AC415" t="n">
        <v>188320</v>
      </c>
      <c r="AD415" t="n">
        <v>13910</v>
      </c>
      <c r="AE415" t="n">
        <v>174410</v>
      </c>
      <c r="AF415" t="n">
        <v>171200</v>
      </c>
      <c r="AG415" t="n">
        <v>13910</v>
      </c>
      <c r="AH415" t="n">
        <v>157290</v>
      </c>
      <c r="AI415" t="n">
        <v>1</v>
      </c>
    </row>
    <row r="416">
      <c r="A416" t="inlineStr">
        <is>
          <t>1월</t>
        </is>
      </c>
      <c r="B416" t="inlineStr">
        <is>
          <t>3주차</t>
        </is>
      </c>
      <c r="C416" t="inlineStr">
        <is>
          <t>IM</t>
        </is>
      </c>
      <c r="D416" s="28" t="n">
        <v>46037</v>
      </c>
      <c r="E416" t="inlineStr">
        <is>
          <t>IM캐피탈</t>
        </is>
      </c>
      <c r="F416" t="inlineStr">
        <is>
          <t>문준수</t>
        </is>
      </c>
      <c r="G416" t="inlineStr">
        <is>
          <t>010-6641-3577</t>
        </is>
      </c>
      <c r="H416" t="inlineStr">
        <is>
          <t>66서2594</t>
        </is>
      </c>
      <c r="I416" t="n">
        <v>23000000</v>
      </c>
      <c r="J416" t="n">
        <v>0.08</v>
      </c>
      <c r="K416" t="n">
        <v>0.55</v>
      </c>
      <c r="L416" t="n">
        <v>0.13</v>
      </c>
      <c r="M416" t="n">
        <v>0.42</v>
      </c>
      <c r="P416" t="inlineStr">
        <is>
          <t>황채이</t>
        </is>
      </c>
      <c r="Q416" t="inlineStr">
        <is>
          <t>홈서비스 60개월</t>
        </is>
      </c>
      <c r="Z416" t="n">
        <v>0</v>
      </c>
      <c r="AB416" t="inlineStr">
        <is>
          <t>홈서비스</t>
        </is>
      </c>
      <c r="AC416" t="n">
        <v>126500</v>
      </c>
      <c r="AD416" t="n">
        <v>29900</v>
      </c>
      <c r="AE416" t="n">
        <v>96600</v>
      </c>
      <c r="AF416" t="n">
        <v>115000</v>
      </c>
      <c r="AG416" t="n">
        <v>29900</v>
      </c>
      <c r="AH416" t="n">
        <v>85100</v>
      </c>
      <c r="AI416" t="n">
        <v>1</v>
      </c>
    </row>
    <row r="417">
      <c r="A417" t="inlineStr">
        <is>
          <t>1월</t>
        </is>
      </c>
      <c r="B417" t="inlineStr">
        <is>
          <t>3주차</t>
        </is>
      </c>
      <c r="C417" t="inlineStr">
        <is>
          <t>IM</t>
        </is>
      </c>
      <c r="D417" s="28" t="n">
        <v>46037</v>
      </c>
      <c r="E417" t="inlineStr">
        <is>
          <t>IM캐피탈</t>
        </is>
      </c>
      <c r="F417" t="inlineStr">
        <is>
          <t>김민준</t>
        </is>
      </c>
      <c r="G417" t="n">
        <v>1043145802</v>
      </c>
      <c r="H417" t="inlineStr">
        <is>
          <t>61보0635</t>
        </is>
      </c>
      <c r="I417" t="n">
        <v>5900000</v>
      </c>
      <c r="J417" t="n">
        <v>0.053</v>
      </c>
      <c r="K417" t="n">
        <v>0.55</v>
      </c>
      <c r="L417" t="n">
        <v>0.13</v>
      </c>
      <c r="M417" t="n">
        <v>0.42</v>
      </c>
      <c r="P417" t="inlineStr">
        <is>
          <t>김나윤</t>
        </is>
      </c>
      <c r="Q417" t="inlineStr">
        <is>
          <t>사유 : 금리불만 / 홈서비스24개월</t>
        </is>
      </c>
      <c r="Z417" t="n">
        <v>0</v>
      </c>
      <c r="AB417" t="inlineStr">
        <is>
          <t>홈서비스</t>
        </is>
      </c>
      <c r="AC417" t="n">
        <v>32450</v>
      </c>
      <c r="AD417" t="n">
        <v>7670</v>
      </c>
      <c r="AE417" t="n">
        <v>24780</v>
      </c>
      <c r="AF417" t="n">
        <v>29500</v>
      </c>
      <c r="AG417" t="n">
        <v>7670</v>
      </c>
      <c r="AH417" t="n">
        <v>21830</v>
      </c>
      <c r="AI417" t="n">
        <v>0</v>
      </c>
    </row>
    <row r="418">
      <c r="A418" t="inlineStr">
        <is>
          <t>1월</t>
        </is>
      </c>
      <c r="B418" t="inlineStr">
        <is>
          <t>3주차</t>
        </is>
      </c>
      <c r="C418" t="inlineStr">
        <is>
          <t>EP</t>
        </is>
      </c>
      <c r="D418" s="28" t="n">
        <v>46036</v>
      </c>
      <c r="E418" t="inlineStr">
        <is>
          <t>현대EP_fast</t>
        </is>
      </c>
      <c r="F418" t="inlineStr">
        <is>
          <t>정재진</t>
        </is>
      </c>
      <c r="G418" t="inlineStr">
        <is>
          <t>010-3121-5822</t>
        </is>
      </c>
      <c r="H418" t="inlineStr">
        <is>
          <t>174다9049</t>
        </is>
      </c>
      <c r="I418" t="n">
        <v>40000000</v>
      </c>
      <c r="J418" t="n">
        <v>0.081</v>
      </c>
      <c r="K418" t="n">
        <v>1.76</v>
      </c>
      <c r="L418" t="n">
        <v>0.4</v>
      </c>
      <c r="M418" t="n">
        <v>1.36</v>
      </c>
      <c r="P418" t="inlineStr">
        <is>
          <t>박현민</t>
        </is>
      </c>
      <c r="Z418" t="n">
        <v>0</v>
      </c>
      <c r="AB418" t="inlineStr">
        <is>
          <t>엔카</t>
        </is>
      </c>
      <c r="AC418" t="n">
        <v>704000</v>
      </c>
      <c r="AD418" t="n">
        <v>160000</v>
      </c>
      <c r="AE418" t="n">
        <v>544000</v>
      </c>
      <c r="AF418" t="n">
        <v>640000</v>
      </c>
      <c r="AG418" t="n">
        <v>160000</v>
      </c>
      <c r="AH418" t="n">
        <v>480000</v>
      </c>
      <c r="AI418" t="n">
        <v>0</v>
      </c>
    </row>
    <row r="419">
      <c r="A419" t="inlineStr">
        <is>
          <t>1월</t>
        </is>
      </c>
      <c r="B419" t="inlineStr">
        <is>
          <t>3주차</t>
        </is>
      </c>
      <c r="C419" t="inlineStr">
        <is>
          <t>EP</t>
        </is>
      </c>
      <c r="D419" s="28" t="n">
        <v>46037</v>
      </c>
      <c r="E419" t="inlineStr">
        <is>
          <t>현대EP_fast</t>
        </is>
      </c>
      <c r="F419" t="inlineStr">
        <is>
          <t>최현우</t>
        </is>
      </c>
      <c r="G419" t="inlineStr">
        <is>
          <t>010-5602-1043</t>
        </is>
      </c>
      <c r="H419" t="inlineStr">
        <is>
          <t>32다7155</t>
        </is>
      </c>
      <c r="I419" t="n">
        <v>12900000</v>
      </c>
      <c r="J419" t="n">
        <v>0.111</v>
      </c>
      <c r="K419" t="n">
        <v>1.76</v>
      </c>
      <c r="L419" t="n">
        <v>0.13</v>
      </c>
      <c r="M419" t="n">
        <v>1.63</v>
      </c>
      <c r="P419" t="inlineStr">
        <is>
          <t>정하은</t>
        </is>
      </c>
      <c r="Q419" t="inlineStr">
        <is>
          <t>선상담 / 홈서비스 48개월</t>
        </is>
      </c>
      <c r="Z419" t="n">
        <v>0</v>
      </c>
      <c r="AB419" t="inlineStr">
        <is>
          <t>홈서비스</t>
        </is>
      </c>
      <c r="AC419" t="n">
        <v>227040</v>
      </c>
      <c r="AD419" t="n">
        <v>16770</v>
      </c>
      <c r="AE419" t="n">
        <v>210270</v>
      </c>
      <c r="AF419" t="n">
        <v>206400</v>
      </c>
      <c r="AG419" t="n">
        <v>16770</v>
      </c>
      <c r="AH419" t="n">
        <v>189630</v>
      </c>
      <c r="AI419" t="n">
        <v>0</v>
      </c>
    </row>
    <row r="420">
      <c r="A420" t="inlineStr">
        <is>
          <t>1월</t>
        </is>
      </c>
      <c r="B420" t="inlineStr">
        <is>
          <t>3주차</t>
        </is>
      </c>
      <c r="C420" t="inlineStr">
        <is>
          <t>EP</t>
        </is>
      </c>
      <c r="D420" s="28" t="n">
        <v>46036</v>
      </c>
      <c r="E420" t="inlineStr">
        <is>
          <t>현대EP</t>
        </is>
      </c>
      <c r="F420" t="inlineStr">
        <is>
          <t>고현준</t>
        </is>
      </c>
      <c r="G420" t="inlineStr">
        <is>
          <t>010-7245-0444</t>
        </is>
      </c>
      <c r="H420" t="inlineStr">
        <is>
          <t>284서9044</t>
        </is>
      </c>
      <c r="I420" t="n">
        <v>20000000</v>
      </c>
      <c r="J420" t="n">
        <v>0.06900000000000001</v>
      </c>
      <c r="K420" t="n">
        <v>1.76</v>
      </c>
      <c r="L420" t="n">
        <v>0.13</v>
      </c>
      <c r="M420" t="n">
        <v>1.63</v>
      </c>
      <c r="P420" t="inlineStr">
        <is>
          <t>정세빈</t>
        </is>
      </c>
      <c r="Q420" t="inlineStr">
        <is>
          <t>홈서비스 36개월</t>
        </is>
      </c>
      <c r="Z420" t="n">
        <v>0</v>
      </c>
      <c r="AB420" t="inlineStr">
        <is>
          <t>홈서비스</t>
        </is>
      </c>
      <c r="AC420" t="n">
        <v>352000</v>
      </c>
      <c r="AD420" t="n">
        <v>26000</v>
      </c>
      <c r="AE420" t="n">
        <v>326000</v>
      </c>
      <c r="AF420" t="n">
        <v>320000</v>
      </c>
      <c r="AG420" t="n">
        <v>26000</v>
      </c>
      <c r="AH420" t="n">
        <v>294000</v>
      </c>
      <c r="AI420" t="n">
        <v>0</v>
      </c>
    </row>
    <row r="421">
      <c r="A421" t="inlineStr">
        <is>
          <t>1월</t>
        </is>
      </c>
      <c r="B421" t="inlineStr">
        <is>
          <t>3주차</t>
        </is>
      </c>
      <c r="C421" t="inlineStr">
        <is>
          <t>EP</t>
        </is>
      </c>
      <c r="D421" s="28" t="n">
        <v>46037</v>
      </c>
      <c r="E421" t="inlineStr">
        <is>
          <t>제이비EP</t>
        </is>
      </c>
      <c r="F421" t="inlineStr">
        <is>
          <t>서형일</t>
        </is>
      </c>
      <c r="G421" t="inlineStr">
        <is>
          <t>010-9328-1027</t>
        </is>
      </c>
      <c r="H421" t="inlineStr">
        <is>
          <t>12무5463</t>
        </is>
      </c>
      <c r="I421" t="n">
        <v>3500000</v>
      </c>
      <c r="J421" t="n">
        <v>0.08799999999999999</v>
      </c>
      <c r="K421" t="n">
        <v>1.65</v>
      </c>
      <c r="L421" t="n">
        <v>0.4</v>
      </c>
      <c r="M421" t="n">
        <v>1.25</v>
      </c>
      <c r="P421" t="inlineStr">
        <is>
          <t>박현민</t>
        </is>
      </c>
      <c r="Z421" t="n">
        <v>0</v>
      </c>
      <c r="AB421" t="inlineStr">
        <is>
          <t>엔카</t>
        </is>
      </c>
      <c r="AC421" t="n">
        <v>57750</v>
      </c>
      <c r="AD421" t="n">
        <v>14000</v>
      </c>
      <c r="AE421" t="n">
        <v>43750</v>
      </c>
      <c r="AF421" t="n">
        <v>52500</v>
      </c>
      <c r="AG421" t="n">
        <v>14000</v>
      </c>
      <c r="AH421" t="n">
        <v>38500</v>
      </c>
    </row>
    <row r="422">
      <c r="A422" t="inlineStr">
        <is>
          <t>1월</t>
        </is>
      </c>
      <c r="B422" t="inlineStr">
        <is>
          <t>3주차</t>
        </is>
      </c>
      <c r="C422" t="inlineStr">
        <is>
          <t>EP</t>
        </is>
      </c>
      <c r="D422" s="28" t="n">
        <v>46037</v>
      </c>
      <c r="E422" t="inlineStr">
        <is>
          <t>현대EP_fast</t>
        </is>
      </c>
      <c r="F422" t="inlineStr">
        <is>
          <t>김현자</t>
        </is>
      </c>
      <c r="G422" t="n">
        <v>1039556266</v>
      </c>
      <c r="H422" t="inlineStr">
        <is>
          <t>60조0150</t>
        </is>
      </c>
      <c r="I422" t="n">
        <v>8500000</v>
      </c>
      <c r="J422" t="n">
        <v>0.08699999999999999</v>
      </c>
      <c r="K422" t="n">
        <v>1.76</v>
      </c>
      <c r="L422" t="n">
        <v>0.13</v>
      </c>
      <c r="M422" t="n">
        <v>1.63</v>
      </c>
      <c r="P422" t="inlineStr">
        <is>
          <t>김나윤</t>
        </is>
      </c>
      <c r="Q422" t="inlineStr">
        <is>
          <t>홈서비스48개월</t>
        </is>
      </c>
      <c r="Z422" t="n">
        <v>0</v>
      </c>
      <c r="AB422" t="inlineStr">
        <is>
          <t>홈서비스</t>
        </is>
      </c>
      <c r="AC422" t="n">
        <v>149600</v>
      </c>
      <c r="AD422" t="n">
        <v>11050</v>
      </c>
      <c r="AE422" t="n">
        <v>138550</v>
      </c>
      <c r="AF422" t="n">
        <v>136000</v>
      </c>
      <c r="AG422" t="n">
        <v>11050</v>
      </c>
      <c r="AH422" t="n">
        <v>124950</v>
      </c>
      <c r="AI422" t="n">
        <v>0</v>
      </c>
    </row>
    <row r="423">
      <c r="A423" t="inlineStr">
        <is>
          <t>1월</t>
        </is>
      </c>
      <c r="B423" t="inlineStr">
        <is>
          <t>3주차</t>
        </is>
      </c>
      <c r="C423" t="inlineStr">
        <is>
          <t>EP</t>
        </is>
      </c>
      <c r="D423" s="28" t="n">
        <v>46036</v>
      </c>
      <c r="E423" t="inlineStr">
        <is>
          <t>BNKEP</t>
        </is>
      </c>
      <c r="F423" t="inlineStr">
        <is>
          <t>이동현</t>
        </is>
      </c>
      <c r="G423" t="inlineStr">
        <is>
          <t>010-6311-3331</t>
        </is>
      </c>
      <c r="H423" t="inlineStr">
        <is>
          <t>124너2133</t>
        </is>
      </c>
      <c r="I423" t="n">
        <v>55300000</v>
      </c>
      <c r="J423" t="n">
        <v>0.089</v>
      </c>
      <c r="K423" t="n">
        <v>1.65</v>
      </c>
      <c r="L423" t="n">
        <v>0.4</v>
      </c>
      <c r="M423" t="n">
        <v>1.25</v>
      </c>
      <c r="P423" t="inlineStr">
        <is>
          <t>장현경</t>
        </is>
      </c>
      <c r="Q423" t="inlineStr">
        <is>
          <t>* 철회 20260114</t>
        </is>
      </c>
      <c r="Z423" t="n">
        <v>0</v>
      </c>
      <c r="AB423" t="inlineStr">
        <is>
          <t>엔카</t>
        </is>
      </c>
      <c r="AC423" t="n">
        <v>912450</v>
      </c>
      <c r="AD423" t="n">
        <v>221200</v>
      </c>
      <c r="AE423" t="n">
        <v>691250</v>
      </c>
      <c r="AF423" t="n">
        <v>829500</v>
      </c>
      <c r="AG423" t="n">
        <v>221200</v>
      </c>
      <c r="AH423" t="n">
        <v>608300</v>
      </c>
      <c r="AI423" t="n">
        <v>0</v>
      </c>
      <c r="AK423" t="inlineStr">
        <is>
          <t>대출철회</t>
        </is>
      </c>
    </row>
    <row r="424">
      <c r="A424" t="inlineStr">
        <is>
          <t>1월</t>
        </is>
      </c>
      <c r="B424" t="inlineStr">
        <is>
          <t>3주차</t>
        </is>
      </c>
      <c r="C424" t="inlineStr">
        <is>
          <t>IM</t>
        </is>
      </c>
      <c r="D424" s="28" t="n">
        <v>46037</v>
      </c>
      <c r="E424" t="inlineStr">
        <is>
          <t>IM캐피탈</t>
        </is>
      </c>
      <c r="F424" t="inlineStr">
        <is>
          <t>정용일</t>
        </is>
      </c>
      <c r="G424" t="inlineStr">
        <is>
          <t>010-8814-6675</t>
        </is>
      </c>
      <c r="H424" t="inlineStr">
        <is>
          <t>64수7074</t>
        </is>
      </c>
      <c r="I424" t="n">
        <v>13500000</v>
      </c>
      <c r="J424" t="n">
        <v>0.039</v>
      </c>
      <c r="K424" t="n">
        <v>0.55</v>
      </c>
      <c r="L424" t="n">
        <v>0.4</v>
      </c>
      <c r="M424" t="n">
        <v>0.15</v>
      </c>
      <c r="P424" t="inlineStr">
        <is>
          <t>정하은</t>
        </is>
      </c>
      <c r="Z424" t="n">
        <v>0</v>
      </c>
      <c r="AB424" t="inlineStr">
        <is>
          <t>엔카</t>
        </is>
      </c>
      <c r="AC424" t="n">
        <v>74250</v>
      </c>
      <c r="AD424" t="n">
        <v>54000</v>
      </c>
      <c r="AE424" t="n">
        <v>20250</v>
      </c>
      <c r="AF424" t="n">
        <v>67500</v>
      </c>
      <c r="AG424" t="n">
        <v>54000</v>
      </c>
      <c r="AH424" t="n">
        <v>13500</v>
      </c>
    </row>
    <row r="425">
      <c r="A425" t="inlineStr">
        <is>
          <t>1월</t>
        </is>
      </c>
      <c r="B425" t="inlineStr">
        <is>
          <t>3주차</t>
        </is>
      </c>
      <c r="C425" t="inlineStr">
        <is>
          <t>IM</t>
        </is>
      </c>
      <c r="D425" s="28" t="n">
        <v>46036</v>
      </c>
      <c r="E425" t="inlineStr">
        <is>
          <t>IM캐피탈</t>
        </is>
      </c>
      <c r="F425" t="inlineStr">
        <is>
          <t>이종경</t>
        </is>
      </c>
      <c r="G425" t="inlineStr">
        <is>
          <t>010-6568-9632</t>
        </is>
      </c>
      <c r="H425" t="inlineStr">
        <is>
          <t>333다2402</t>
        </is>
      </c>
      <c r="I425" t="n">
        <v>29000000</v>
      </c>
      <c r="J425" t="n">
        <v>0.049</v>
      </c>
      <c r="K425" t="n">
        <v>0.55</v>
      </c>
      <c r="L425" t="n">
        <v>0.4</v>
      </c>
      <c r="M425" t="n">
        <v>0.15</v>
      </c>
      <c r="P425" t="inlineStr">
        <is>
          <t>임대경</t>
        </is>
      </c>
      <c r="Q425" t="inlineStr">
        <is>
          <t>사유 : 현대 금리 불만</t>
        </is>
      </c>
      <c r="Z425" t="n">
        <v>0</v>
      </c>
      <c r="AB425" t="inlineStr">
        <is>
          <t>엔카</t>
        </is>
      </c>
      <c r="AC425" t="n">
        <v>159500</v>
      </c>
      <c r="AD425" t="n">
        <v>116000</v>
      </c>
      <c r="AE425" t="n">
        <v>43500</v>
      </c>
      <c r="AF425" t="n">
        <v>145000</v>
      </c>
      <c r="AG425" t="n">
        <v>116000</v>
      </c>
      <c r="AH425" t="n">
        <v>29000</v>
      </c>
      <c r="AI425" t="n">
        <v>0</v>
      </c>
    </row>
    <row r="426">
      <c r="A426" t="inlineStr">
        <is>
          <t>1월</t>
        </is>
      </c>
      <c r="B426" t="inlineStr">
        <is>
          <t>3주차</t>
        </is>
      </c>
      <c r="C426" t="inlineStr">
        <is>
          <t>IM</t>
        </is>
      </c>
      <c r="D426" s="28" t="n">
        <v>46036</v>
      </c>
      <c r="E426" t="inlineStr">
        <is>
          <t>IM캐피탈</t>
        </is>
      </c>
      <c r="F426" t="inlineStr">
        <is>
          <t>윤형식</t>
        </is>
      </c>
      <c r="G426" t="inlineStr">
        <is>
          <t>010-9154-8209</t>
        </is>
      </c>
      <c r="H426" t="inlineStr">
        <is>
          <t>39마2117</t>
        </is>
      </c>
      <c r="I426" t="n">
        <v>13900000</v>
      </c>
      <c r="J426" t="n">
        <v>0.039</v>
      </c>
      <c r="K426" t="n">
        <v>0.55</v>
      </c>
      <c r="L426" t="n">
        <v>0.13</v>
      </c>
      <c r="M426" t="n">
        <v>0.42</v>
      </c>
      <c r="P426" t="inlineStr">
        <is>
          <t>최혁</t>
        </is>
      </c>
      <c r="Q426" t="inlineStr">
        <is>
          <t>홈서비스36개월/사유 기승인건</t>
        </is>
      </c>
      <c r="Z426" t="n">
        <v>0</v>
      </c>
      <c r="AB426" t="inlineStr">
        <is>
          <t>홈서비스</t>
        </is>
      </c>
      <c r="AC426" t="n">
        <v>76450</v>
      </c>
      <c r="AD426" t="n">
        <v>18070</v>
      </c>
      <c r="AE426" t="n">
        <v>58380</v>
      </c>
      <c r="AF426" t="n">
        <v>69500</v>
      </c>
      <c r="AG426" t="n">
        <v>18070</v>
      </c>
      <c r="AH426" t="n">
        <v>51430</v>
      </c>
    </row>
    <row r="427">
      <c r="A427" t="inlineStr">
        <is>
          <t>1월</t>
        </is>
      </c>
      <c r="B427" t="inlineStr">
        <is>
          <t>3주차</t>
        </is>
      </c>
      <c r="C427" t="inlineStr">
        <is>
          <t>EP</t>
        </is>
      </c>
      <c r="D427" s="28" t="n">
        <v>46037</v>
      </c>
      <c r="E427" t="inlineStr">
        <is>
          <t>현대EP_fast</t>
        </is>
      </c>
      <c r="F427" t="inlineStr">
        <is>
          <t>김민수</t>
        </is>
      </c>
      <c r="G427" t="inlineStr">
        <is>
          <t>010-7144-3772</t>
        </is>
      </c>
      <c r="H427" t="inlineStr">
        <is>
          <t>37수9690</t>
        </is>
      </c>
      <c r="I427" t="n">
        <v>12500000</v>
      </c>
      <c r="J427" t="n">
        <v>0.075</v>
      </c>
      <c r="K427" t="n">
        <v>1.76</v>
      </c>
      <c r="L427" t="n">
        <v>0.4</v>
      </c>
      <c r="M427" t="n">
        <v>1.36</v>
      </c>
      <c r="P427" t="inlineStr">
        <is>
          <t>장진경</t>
        </is>
      </c>
      <c r="Z427" t="n">
        <v>0</v>
      </c>
      <c r="AB427" t="inlineStr">
        <is>
          <t>엔카</t>
        </is>
      </c>
      <c r="AC427" t="n">
        <v>220000</v>
      </c>
      <c r="AD427" t="n">
        <v>50000</v>
      </c>
      <c r="AE427" t="n">
        <v>170000</v>
      </c>
      <c r="AF427" t="n">
        <v>200000</v>
      </c>
      <c r="AG427" t="n">
        <v>50000</v>
      </c>
      <c r="AH427" t="n">
        <v>150000</v>
      </c>
    </row>
    <row r="428">
      <c r="A428" t="inlineStr">
        <is>
          <t>1월</t>
        </is>
      </c>
      <c r="B428" t="inlineStr">
        <is>
          <t>3주차</t>
        </is>
      </c>
      <c r="C428" t="inlineStr">
        <is>
          <t>IM</t>
        </is>
      </c>
      <c r="D428" s="28" t="n">
        <v>46035</v>
      </c>
      <c r="E428" t="inlineStr">
        <is>
          <t>IM캐피탈</t>
        </is>
      </c>
      <c r="F428" t="inlineStr">
        <is>
          <t>김남용</t>
        </is>
      </c>
      <c r="G428" t="inlineStr">
        <is>
          <t>010-4943-6268</t>
        </is>
      </c>
      <c r="H428" t="inlineStr">
        <is>
          <t>21누1279</t>
        </is>
      </c>
      <c r="I428" t="n">
        <v>10000000</v>
      </c>
      <c r="J428" t="n">
        <v>0.049</v>
      </c>
      <c r="K428" t="n">
        <v>0.55</v>
      </c>
      <c r="L428" t="n">
        <v>0.13</v>
      </c>
      <c r="M428" t="n">
        <v>0.42</v>
      </c>
      <c r="P428" t="inlineStr">
        <is>
          <t>박보람</t>
        </is>
      </c>
      <c r="Q428" t="inlineStr">
        <is>
          <t>선상담 / 홈서비스 60개월</t>
        </is>
      </c>
      <c r="Z428" t="n">
        <v>0</v>
      </c>
      <c r="AB428" t="inlineStr">
        <is>
          <t>홈서비스</t>
        </is>
      </c>
      <c r="AC428" t="n">
        <v>55000</v>
      </c>
      <c r="AD428" t="n">
        <v>13000</v>
      </c>
      <c r="AE428" t="n">
        <v>42000</v>
      </c>
      <c r="AF428" t="n">
        <v>50000</v>
      </c>
      <c r="AG428" t="n">
        <v>13000</v>
      </c>
      <c r="AH428" t="n">
        <v>37000</v>
      </c>
      <c r="AI428" t="n">
        <v>0</v>
      </c>
    </row>
    <row r="429">
      <c r="A429" t="inlineStr">
        <is>
          <t>1월</t>
        </is>
      </c>
      <c r="B429" t="inlineStr">
        <is>
          <t>3주차</t>
        </is>
      </c>
      <c r="C429" t="inlineStr">
        <is>
          <t>EP</t>
        </is>
      </c>
      <c r="D429" s="28" t="n">
        <v>46037</v>
      </c>
      <c r="E429" t="inlineStr">
        <is>
          <t>현대EP_fast</t>
        </is>
      </c>
      <c r="F429" t="inlineStr">
        <is>
          <t>노청화</t>
        </is>
      </c>
      <c r="G429" t="inlineStr">
        <is>
          <t>010-8867-4952</t>
        </is>
      </c>
      <c r="H429" t="inlineStr">
        <is>
          <t>08모2006</t>
        </is>
      </c>
      <c r="I429" t="n">
        <v>15000000</v>
      </c>
      <c r="J429" t="n">
        <v>0.081</v>
      </c>
      <c r="K429" t="n">
        <v>1.76</v>
      </c>
      <c r="L429" t="n">
        <v>0.13</v>
      </c>
      <c r="M429" t="n">
        <v>1.63</v>
      </c>
      <c r="P429" t="inlineStr">
        <is>
          <t>최혁</t>
        </is>
      </c>
      <c r="Q429" t="inlineStr">
        <is>
          <t>홈서비스36개월</t>
        </is>
      </c>
      <c r="Z429" t="n">
        <v>0</v>
      </c>
      <c r="AB429" t="inlineStr">
        <is>
          <t>홈서비스</t>
        </is>
      </c>
      <c r="AC429" t="n">
        <v>264000</v>
      </c>
      <c r="AD429" t="n">
        <v>19500</v>
      </c>
      <c r="AE429" t="n">
        <v>244500</v>
      </c>
      <c r="AF429" t="n">
        <v>240000</v>
      </c>
      <c r="AG429" t="n">
        <v>19500</v>
      </c>
      <c r="AH429" t="n">
        <v>220500</v>
      </c>
    </row>
    <row r="430">
      <c r="A430" t="inlineStr">
        <is>
          <t>1월</t>
        </is>
      </c>
      <c r="B430" t="inlineStr">
        <is>
          <t>3주차</t>
        </is>
      </c>
      <c r="C430" t="inlineStr">
        <is>
          <t>IM</t>
        </is>
      </c>
      <c r="D430" s="28" t="n">
        <v>46037</v>
      </c>
      <c r="E430" t="inlineStr">
        <is>
          <t>IM캐피탈</t>
        </is>
      </c>
      <c r="F430" t="inlineStr">
        <is>
          <t>정재운</t>
        </is>
      </c>
      <c r="G430" t="inlineStr">
        <is>
          <t>010-9721-7887</t>
        </is>
      </c>
      <c r="H430" t="inlineStr">
        <is>
          <t>64소3659</t>
        </is>
      </c>
      <c r="I430" t="n">
        <v>13000000</v>
      </c>
      <c r="J430" t="n">
        <v>0.053</v>
      </c>
      <c r="K430" t="n">
        <v>0.55</v>
      </c>
      <c r="L430" t="n">
        <v>0.13</v>
      </c>
      <c r="M430" t="n">
        <v>0.42</v>
      </c>
      <c r="P430" t="inlineStr">
        <is>
          <t>박현민</t>
        </is>
      </c>
      <c r="Q430" t="inlineStr">
        <is>
          <t>홈서비스 60개월</t>
        </is>
      </c>
      <c r="Z430" t="n">
        <v>0</v>
      </c>
      <c r="AB430" t="inlineStr">
        <is>
          <t>홈서비스</t>
        </is>
      </c>
      <c r="AC430" t="n">
        <v>71500</v>
      </c>
      <c r="AD430" t="n">
        <v>16900</v>
      </c>
      <c r="AE430" t="n">
        <v>54600</v>
      </c>
      <c r="AF430" t="n">
        <v>65000</v>
      </c>
      <c r="AG430" t="n">
        <v>16900</v>
      </c>
      <c r="AH430" t="n">
        <v>48100</v>
      </c>
    </row>
    <row r="431">
      <c r="A431" t="inlineStr">
        <is>
          <t>1월</t>
        </is>
      </c>
      <c r="B431" t="inlineStr">
        <is>
          <t>3주차</t>
        </is>
      </c>
      <c r="C431" t="inlineStr">
        <is>
          <t>IM</t>
        </is>
      </c>
      <c r="D431" s="28" t="n">
        <v>46037</v>
      </c>
      <c r="E431" t="inlineStr">
        <is>
          <t>IM캐피탈</t>
        </is>
      </c>
      <c r="F431" t="inlineStr">
        <is>
          <t>박봉규</t>
        </is>
      </c>
      <c r="G431" t="inlineStr">
        <is>
          <t>010-7257-7587</t>
        </is>
      </c>
      <c r="H431" t="inlineStr">
        <is>
          <t>209서8491</t>
        </is>
      </c>
      <c r="I431" t="n">
        <v>17000000</v>
      </c>
      <c r="J431" t="n">
        <v>0.075</v>
      </c>
      <c r="K431" t="n">
        <v>0.55</v>
      </c>
      <c r="L431" t="n">
        <v>0.4</v>
      </c>
      <c r="M431" t="n">
        <v>0.15</v>
      </c>
      <c r="P431" t="inlineStr">
        <is>
          <t>정하은</t>
        </is>
      </c>
      <c r="Q431" t="inlineStr">
        <is>
          <t>부대비용추가진행</t>
        </is>
      </c>
      <c r="Z431" t="n">
        <v>0</v>
      </c>
      <c r="AB431" t="inlineStr">
        <is>
          <t>엔카</t>
        </is>
      </c>
      <c r="AC431" t="n">
        <v>93500</v>
      </c>
      <c r="AD431" t="n">
        <v>68000</v>
      </c>
      <c r="AE431" t="n">
        <v>25500</v>
      </c>
      <c r="AF431" t="n">
        <v>85000</v>
      </c>
      <c r="AG431" t="n">
        <v>68000</v>
      </c>
      <c r="AH431" t="n">
        <v>17000</v>
      </c>
      <c r="AI431" t="n">
        <v>0</v>
      </c>
    </row>
    <row r="432">
      <c r="A432" t="inlineStr">
        <is>
          <t>1월</t>
        </is>
      </c>
      <c r="B432" t="inlineStr">
        <is>
          <t>3주차</t>
        </is>
      </c>
      <c r="C432" t="inlineStr">
        <is>
          <t>EP</t>
        </is>
      </c>
      <c r="D432" s="28" t="n">
        <v>46037</v>
      </c>
      <c r="E432" t="inlineStr">
        <is>
          <t>현대EP_fast</t>
        </is>
      </c>
      <c r="F432" t="inlineStr">
        <is>
          <t>방명식</t>
        </is>
      </c>
      <c r="G432" t="inlineStr">
        <is>
          <t>010-4659-9461</t>
        </is>
      </c>
      <c r="H432" t="inlineStr">
        <is>
          <t>49저0177</t>
        </is>
      </c>
      <c r="I432" t="n">
        <v>11500000</v>
      </c>
      <c r="J432" t="n">
        <v>0.08699999999999999</v>
      </c>
      <c r="K432" t="n">
        <v>1.76</v>
      </c>
      <c r="L432" t="n">
        <v>0.13</v>
      </c>
      <c r="M432" t="n">
        <v>1.63</v>
      </c>
      <c r="P432" t="inlineStr">
        <is>
          <t>장진경</t>
        </is>
      </c>
      <c r="Q432" t="inlineStr">
        <is>
          <t>선상담 / 홈서비스 24개월</t>
        </is>
      </c>
      <c r="Z432" t="n">
        <v>0</v>
      </c>
      <c r="AB432" t="inlineStr">
        <is>
          <t>홈서비스</t>
        </is>
      </c>
      <c r="AC432" t="n">
        <v>202400</v>
      </c>
      <c r="AD432" t="n">
        <v>14950</v>
      </c>
      <c r="AE432" t="n">
        <v>187450</v>
      </c>
      <c r="AF432" t="n">
        <v>184000</v>
      </c>
      <c r="AG432" t="n">
        <v>14950</v>
      </c>
      <c r="AH432" t="n">
        <v>169050</v>
      </c>
      <c r="AI432" t="n">
        <v>0</v>
      </c>
    </row>
    <row r="433">
      <c r="A433" t="inlineStr">
        <is>
          <t>1월</t>
        </is>
      </c>
      <c r="B433" t="inlineStr">
        <is>
          <t>3주차</t>
        </is>
      </c>
      <c r="C433" t="inlineStr">
        <is>
          <t>EP</t>
        </is>
      </c>
      <c r="D433" s="28" t="n">
        <v>46037</v>
      </c>
      <c r="E433" t="inlineStr">
        <is>
          <t>현대EP_fast</t>
        </is>
      </c>
      <c r="F433" t="inlineStr">
        <is>
          <t>윤희준</t>
        </is>
      </c>
      <c r="G433" t="inlineStr">
        <is>
          <t>010-5646-0017</t>
        </is>
      </c>
      <c r="H433" t="inlineStr">
        <is>
          <t>194저3735</t>
        </is>
      </c>
      <c r="I433" t="n">
        <v>17900000</v>
      </c>
      <c r="J433" t="n">
        <v>0.115</v>
      </c>
      <c r="K433" t="n">
        <v>1.76</v>
      </c>
      <c r="L433" t="n">
        <v>0.13</v>
      </c>
      <c r="M433" t="n">
        <v>1.63</v>
      </c>
      <c r="P433" t="inlineStr">
        <is>
          <t>황채이</t>
        </is>
      </c>
      <c r="Q433" t="inlineStr">
        <is>
          <t>홈서비스 48개월</t>
        </is>
      </c>
      <c r="Z433" t="n">
        <v>0</v>
      </c>
      <c r="AB433" t="inlineStr">
        <is>
          <t>홈서비스</t>
        </is>
      </c>
      <c r="AC433" t="n">
        <v>315040</v>
      </c>
      <c r="AD433" t="n">
        <v>23270</v>
      </c>
      <c r="AE433" t="n">
        <v>291770</v>
      </c>
      <c r="AF433" t="n">
        <v>286400</v>
      </c>
      <c r="AG433" t="n">
        <v>23270</v>
      </c>
      <c r="AH433" t="n">
        <v>263130</v>
      </c>
      <c r="AI433" t="n">
        <v>0</v>
      </c>
    </row>
    <row r="434">
      <c r="A434" t="inlineStr">
        <is>
          <t>1월</t>
        </is>
      </c>
      <c r="B434" t="inlineStr">
        <is>
          <t>3주차</t>
        </is>
      </c>
      <c r="C434" t="inlineStr">
        <is>
          <t>EP</t>
        </is>
      </c>
      <c r="D434" s="28" t="n">
        <v>46037</v>
      </c>
      <c r="E434" t="inlineStr">
        <is>
          <t>현대EP_fast</t>
        </is>
      </c>
      <c r="F434" t="inlineStr">
        <is>
          <t>정비호</t>
        </is>
      </c>
      <c r="G434" t="inlineStr">
        <is>
          <t>010-5799-5630</t>
        </is>
      </c>
      <c r="H434" t="inlineStr">
        <is>
          <t>67두0298</t>
        </is>
      </c>
      <c r="I434" t="n">
        <v>15000000</v>
      </c>
      <c r="J434" t="n">
        <v>0.097</v>
      </c>
      <c r="K434" t="n">
        <v>1.76</v>
      </c>
      <c r="L434" t="n">
        <v>0.4</v>
      </c>
      <c r="M434" t="n">
        <v>1.36</v>
      </c>
      <c r="P434" t="inlineStr">
        <is>
          <t>장진경</t>
        </is>
      </c>
      <c r="Z434" t="n">
        <v>0</v>
      </c>
      <c r="AB434" t="inlineStr">
        <is>
          <t>엔카</t>
        </is>
      </c>
      <c r="AC434" t="n">
        <v>264000</v>
      </c>
      <c r="AD434" t="n">
        <v>60000</v>
      </c>
      <c r="AE434" t="n">
        <v>204000</v>
      </c>
      <c r="AF434" t="n">
        <v>240000</v>
      </c>
      <c r="AG434" t="n">
        <v>60000</v>
      </c>
      <c r="AH434" t="n">
        <v>180000</v>
      </c>
      <c r="AI434" t="n">
        <v>0</v>
      </c>
    </row>
    <row r="435">
      <c r="A435" t="inlineStr">
        <is>
          <t>1월</t>
        </is>
      </c>
      <c r="B435" t="inlineStr">
        <is>
          <t>3주차</t>
        </is>
      </c>
      <c r="C435" t="inlineStr">
        <is>
          <t>EP</t>
        </is>
      </c>
      <c r="D435" s="28" t="n">
        <v>46037</v>
      </c>
      <c r="E435" t="inlineStr">
        <is>
          <t>현대EP_fast</t>
        </is>
      </c>
      <c r="F435" t="inlineStr">
        <is>
          <t>김영산</t>
        </is>
      </c>
      <c r="G435" t="inlineStr">
        <is>
          <t>010-3030-2616</t>
        </is>
      </c>
      <c r="H435" t="inlineStr">
        <is>
          <t>36구9633</t>
        </is>
      </c>
      <c r="I435" t="n">
        <v>12900000</v>
      </c>
      <c r="J435" t="n">
        <v>0.099</v>
      </c>
      <c r="K435" t="n">
        <v>1.76</v>
      </c>
      <c r="L435" t="n">
        <v>0.13</v>
      </c>
      <c r="M435" t="n">
        <v>1.63</v>
      </c>
      <c r="P435" t="inlineStr">
        <is>
          <t>최혁</t>
        </is>
      </c>
      <c r="Q435" t="inlineStr">
        <is>
          <t>홈서비스48개월</t>
        </is>
      </c>
      <c r="Z435" t="n">
        <v>0</v>
      </c>
      <c r="AB435" t="inlineStr">
        <is>
          <t>홈서비스</t>
        </is>
      </c>
      <c r="AC435" t="n">
        <v>227040</v>
      </c>
      <c r="AD435" t="n">
        <v>16770</v>
      </c>
      <c r="AE435" t="n">
        <v>210270</v>
      </c>
      <c r="AF435" t="n">
        <v>206400</v>
      </c>
      <c r="AG435" t="n">
        <v>16770</v>
      </c>
      <c r="AH435" t="n">
        <v>189630</v>
      </c>
      <c r="AI435" t="n">
        <v>0</v>
      </c>
    </row>
    <row r="436">
      <c r="A436" t="inlineStr">
        <is>
          <t>1월</t>
        </is>
      </c>
      <c r="B436" t="inlineStr">
        <is>
          <t>3주차</t>
        </is>
      </c>
      <c r="C436" t="inlineStr">
        <is>
          <t>EP</t>
        </is>
      </c>
      <c r="D436" s="28" t="n">
        <v>46037</v>
      </c>
      <c r="E436" t="inlineStr">
        <is>
          <t>현대EP_fast</t>
        </is>
      </c>
      <c r="F436" t="inlineStr">
        <is>
          <t>최한섭</t>
        </is>
      </c>
      <c r="G436" t="inlineStr">
        <is>
          <t>010-5871-1144</t>
        </is>
      </c>
      <c r="H436" t="inlineStr">
        <is>
          <t>04머4240</t>
        </is>
      </c>
      <c r="I436" t="n">
        <v>6000000</v>
      </c>
      <c r="J436" t="n">
        <v>0.097</v>
      </c>
      <c r="K436" t="n">
        <v>1.76</v>
      </c>
      <c r="L436" t="n">
        <v>0.13</v>
      </c>
      <c r="M436" t="n">
        <v>1.63</v>
      </c>
      <c r="P436" t="inlineStr">
        <is>
          <t>최혁</t>
        </is>
      </c>
      <c r="Q436" t="inlineStr">
        <is>
          <t>홈서비스36개월</t>
        </is>
      </c>
      <c r="Z436" t="n">
        <v>0</v>
      </c>
      <c r="AB436" t="inlineStr">
        <is>
          <t>홈서비스</t>
        </is>
      </c>
      <c r="AC436" t="n">
        <v>105600</v>
      </c>
      <c r="AD436" t="n">
        <v>7800</v>
      </c>
      <c r="AE436" t="n">
        <v>97800</v>
      </c>
      <c r="AF436" t="n">
        <v>96000</v>
      </c>
      <c r="AG436" t="n">
        <v>7800</v>
      </c>
      <c r="AH436" t="n">
        <v>88200</v>
      </c>
    </row>
    <row r="437">
      <c r="A437" t="inlineStr">
        <is>
          <t>1월</t>
        </is>
      </c>
      <c r="B437" t="inlineStr">
        <is>
          <t>3주차</t>
        </is>
      </c>
      <c r="C437" t="inlineStr">
        <is>
          <t>IM</t>
        </is>
      </c>
      <c r="D437" s="28" t="n">
        <v>46035</v>
      </c>
      <c r="E437" t="inlineStr">
        <is>
          <t>IM캐피탈</t>
        </is>
      </c>
      <c r="F437" t="inlineStr">
        <is>
          <t>김성은</t>
        </is>
      </c>
      <c r="G437" t="inlineStr">
        <is>
          <t>010-9162-3259</t>
        </is>
      </c>
      <c r="H437" t="inlineStr">
        <is>
          <t>36도7123</t>
        </is>
      </c>
      <c r="I437" t="n">
        <v>-24500000</v>
      </c>
      <c r="J437" t="n">
        <v>0.056</v>
      </c>
      <c r="K437" t="n">
        <v>0.55</v>
      </c>
      <c r="L437" t="n">
        <v>0.13</v>
      </c>
      <c r="M437" t="n">
        <v>0.42</v>
      </c>
      <c r="P437" t="inlineStr">
        <is>
          <t>박소현</t>
        </is>
      </c>
      <c r="Q437" t="inlineStr">
        <is>
          <t>선상담 /홈서비스 60개월 / *철회 20260121</t>
        </is>
      </c>
      <c r="Z437" t="n">
        <v>0</v>
      </c>
      <c r="AB437" t="inlineStr">
        <is>
          <t>홈서비스</t>
        </is>
      </c>
      <c r="AC437" t="n">
        <v>-134750</v>
      </c>
      <c r="AD437" t="n">
        <v>-31850</v>
      </c>
      <c r="AE437" t="n">
        <v>-102900</v>
      </c>
      <c r="AF437" t="n">
        <v>-122500</v>
      </c>
      <c r="AG437" t="n">
        <v>-31850</v>
      </c>
      <c r="AH437" t="n">
        <v>-90650</v>
      </c>
      <c r="AI437" t="n">
        <v>0</v>
      </c>
      <c r="AK437" t="inlineStr">
        <is>
          <t>대출철회</t>
        </is>
      </c>
    </row>
    <row r="438">
      <c r="A438" t="inlineStr">
        <is>
          <t>1월</t>
        </is>
      </c>
      <c r="B438" t="inlineStr">
        <is>
          <t>3주차</t>
        </is>
      </c>
      <c r="C438" t="inlineStr">
        <is>
          <t>EP</t>
        </is>
      </c>
      <c r="D438" s="28" t="n">
        <v>46036</v>
      </c>
      <c r="E438" t="inlineStr">
        <is>
          <t>현대EP_fast</t>
        </is>
      </c>
      <c r="F438" t="inlineStr">
        <is>
          <t>민중호</t>
        </is>
      </c>
      <c r="G438" t="inlineStr">
        <is>
          <t>010-8854-6081</t>
        </is>
      </c>
      <c r="H438" t="inlineStr">
        <is>
          <t>82무3410</t>
        </is>
      </c>
      <c r="I438" t="n">
        <v>4400000</v>
      </c>
      <c r="J438" t="n">
        <v>0.137</v>
      </c>
      <c r="K438" t="n">
        <v>1.76</v>
      </c>
      <c r="L438" t="n">
        <v>0.4</v>
      </c>
      <c r="M438" t="n">
        <v>1.36</v>
      </c>
      <c r="P438" t="inlineStr">
        <is>
          <t>박소현</t>
        </is>
      </c>
      <c r="Z438" t="n">
        <v>0</v>
      </c>
      <c r="AB438" t="inlineStr">
        <is>
          <t>엔카</t>
        </is>
      </c>
      <c r="AC438" t="n">
        <v>77440</v>
      </c>
      <c r="AD438" t="n">
        <v>17600</v>
      </c>
      <c r="AE438" t="n">
        <v>59840</v>
      </c>
      <c r="AF438" t="n">
        <v>70400</v>
      </c>
      <c r="AG438" t="n">
        <v>17600</v>
      </c>
      <c r="AH438" t="n">
        <v>52800</v>
      </c>
      <c r="AI438" t="n">
        <v>0</v>
      </c>
    </row>
    <row r="439">
      <c r="A439" t="inlineStr">
        <is>
          <t>1월</t>
        </is>
      </c>
      <c r="B439" t="inlineStr">
        <is>
          <t>3주차</t>
        </is>
      </c>
      <c r="C439" t="inlineStr">
        <is>
          <t>IM</t>
        </is>
      </c>
      <c r="D439" s="28" t="n">
        <v>46038</v>
      </c>
      <c r="E439" t="inlineStr">
        <is>
          <t>IM캐피탈</t>
        </is>
      </c>
      <c r="F439" t="inlineStr">
        <is>
          <t>김하누리</t>
        </is>
      </c>
      <c r="G439" t="inlineStr">
        <is>
          <t>010-6689-1608</t>
        </is>
      </c>
      <c r="H439" t="inlineStr">
        <is>
          <t>730보2748</t>
        </is>
      </c>
      <c r="I439" t="n">
        <v>30400000</v>
      </c>
      <c r="J439" t="n">
        <v>0.039</v>
      </c>
      <c r="K439" t="n">
        <v>0.55</v>
      </c>
      <c r="L439" t="n">
        <v>0.13</v>
      </c>
      <c r="M439" t="n">
        <v>0.42</v>
      </c>
      <c r="P439" t="inlineStr">
        <is>
          <t>박소현</t>
        </is>
      </c>
      <c r="Q439" t="inlineStr">
        <is>
          <t>선상담 /홈서비스84개월</t>
        </is>
      </c>
      <c r="Z439" t="n">
        <v>0</v>
      </c>
      <c r="AB439" t="inlineStr">
        <is>
          <t>홈서비스</t>
        </is>
      </c>
      <c r="AC439" t="n">
        <v>167200</v>
      </c>
      <c r="AD439" t="n">
        <v>39520</v>
      </c>
      <c r="AE439" t="n">
        <v>127680</v>
      </c>
      <c r="AF439" t="n">
        <v>152000</v>
      </c>
      <c r="AG439" t="n">
        <v>39520</v>
      </c>
      <c r="AH439" t="n">
        <v>112480</v>
      </c>
      <c r="AI439" t="n">
        <v>0</v>
      </c>
    </row>
    <row r="440">
      <c r="A440" t="inlineStr">
        <is>
          <t>1월</t>
        </is>
      </c>
      <c r="B440" t="inlineStr">
        <is>
          <t>3주차</t>
        </is>
      </c>
      <c r="C440" t="inlineStr">
        <is>
          <t>IM</t>
        </is>
      </c>
      <c r="D440" s="28" t="n">
        <v>46037</v>
      </c>
      <c r="E440" t="inlineStr">
        <is>
          <t>IM캐피탈</t>
        </is>
      </c>
      <c r="F440" t="inlineStr">
        <is>
          <t>김명훈</t>
        </is>
      </c>
      <c r="G440" t="n">
        <v>1028299718</v>
      </c>
      <c r="H440" t="inlineStr">
        <is>
          <t>13두6456</t>
        </is>
      </c>
      <c r="I440" t="n">
        <v>27000000</v>
      </c>
      <c r="J440" t="n">
        <v>0.067</v>
      </c>
      <c r="K440" t="n">
        <v>0.55</v>
      </c>
      <c r="L440" t="n">
        <v>0.13</v>
      </c>
      <c r="M440" t="n">
        <v>0.42</v>
      </c>
      <c r="P440" t="inlineStr">
        <is>
          <t>김나윤</t>
        </is>
      </c>
      <c r="Q440" t="inlineStr">
        <is>
          <t>사유 : 기승인건 / 홈서비스72개월</t>
        </is>
      </c>
      <c r="Z440" t="n">
        <v>0</v>
      </c>
      <c r="AB440" t="inlineStr">
        <is>
          <t>홈서비스</t>
        </is>
      </c>
      <c r="AC440" t="n">
        <v>148500</v>
      </c>
      <c r="AD440" t="n">
        <v>35100</v>
      </c>
      <c r="AE440" t="n">
        <v>113400</v>
      </c>
      <c r="AF440" t="n">
        <v>135000</v>
      </c>
      <c r="AG440" t="n">
        <v>35100</v>
      </c>
      <c r="AH440" t="n">
        <v>99900</v>
      </c>
    </row>
    <row r="441">
      <c r="A441" t="inlineStr">
        <is>
          <t>1월</t>
        </is>
      </c>
      <c r="B441" t="inlineStr">
        <is>
          <t>3주차</t>
        </is>
      </c>
      <c r="C441" t="inlineStr">
        <is>
          <t>EP</t>
        </is>
      </c>
      <c r="D441" s="28" t="n">
        <v>46036</v>
      </c>
      <c r="E441" t="inlineStr">
        <is>
          <t>현대EP</t>
        </is>
      </c>
      <c r="F441" t="inlineStr">
        <is>
          <t>김기태</t>
        </is>
      </c>
      <c r="G441" t="inlineStr">
        <is>
          <t>010-6479-4089</t>
        </is>
      </c>
      <c r="H441" t="inlineStr">
        <is>
          <t>254소2428</t>
        </is>
      </c>
      <c r="I441" t="n">
        <v>7600000</v>
      </c>
      <c r="J441" t="n">
        <v>0.057</v>
      </c>
      <c r="K441" t="n">
        <v>1.76</v>
      </c>
      <c r="L441" t="n">
        <v>0.13</v>
      </c>
      <c r="M441" t="n">
        <v>1.63</v>
      </c>
      <c r="P441" t="inlineStr">
        <is>
          <t>정세빈</t>
        </is>
      </c>
      <c r="Q441" t="inlineStr">
        <is>
          <t>홈서비스 60개월</t>
        </is>
      </c>
      <c r="Z441" t="n">
        <v>0</v>
      </c>
      <c r="AB441" t="inlineStr">
        <is>
          <t>홈서비스</t>
        </is>
      </c>
      <c r="AC441" t="n">
        <v>133760</v>
      </c>
      <c r="AD441" t="n">
        <v>9880</v>
      </c>
      <c r="AE441" t="n">
        <v>123880</v>
      </c>
      <c r="AF441" t="n">
        <v>121600</v>
      </c>
      <c r="AG441" t="n">
        <v>9880</v>
      </c>
      <c r="AH441" t="n">
        <v>111720</v>
      </c>
      <c r="AI441" t="n">
        <v>0</v>
      </c>
    </row>
    <row r="442">
      <c r="A442" t="inlineStr">
        <is>
          <t>1월</t>
        </is>
      </c>
      <c r="B442" t="inlineStr">
        <is>
          <t>3주차</t>
        </is>
      </c>
      <c r="C442" t="inlineStr">
        <is>
          <t>WC</t>
        </is>
      </c>
      <c r="D442" s="28" t="n">
        <v>46037</v>
      </c>
      <c r="E442" t="inlineStr">
        <is>
          <t>웰컴저축은행</t>
        </is>
      </c>
      <c r="F442" t="inlineStr">
        <is>
          <t>힌재열</t>
        </is>
      </c>
      <c r="G442" t="inlineStr">
        <is>
          <t>010-4074-0910</t>
        </is>
      </c>
      <c r="H442" t="inlineStr">
        <is>
          <t>259어8245</t>
        </is>
      </c>
      <c r="I442" t="n">
        <v>35700000</v>
      </c>
      <c r="J442" t="n">
        <v>0.139</v>
      </c>
      <c r="K442" t="n">
        <v>0</v>
      </c>
      <c r="L442" t="n">
        <v>0.13</v>
      </c>
      <c r="M442" t="n">
        <v>-0.13</v>
      </c>
      <c r="P442" t="inlineStr">
        <is>
          <t>최혁</t>
        </is>
      </c>
      <c r="Q442" t="inlineStr">
        <is>
          <t>홈서비스72개월/사유 현대부결</t>
        </is>
      </c>
      <c r="Z442" t="n">
        <v>0</v>
      </c>
      <c r="AB442" t="inlineStr">
        <is>
          <t>홈서비스</t>
        </is>
      </c>
      <c r="AC442" t="n">
        <v>0</v>
      </c>
      <c r="AD442" t="n">
        <v>46410</v>
      </c>
      <c r="AE442" t="n">
        <v>-46410</v>
      </c>
      <c r="AF442" t="n">
        <v>0</v>
      </c>
      <c r="AG442" t="n">
        <v>46410</v>
      </c>
      <c r="AH442" t="n">
        <v>-46410</v>
      </c>
    </row>
    <row r="443">
      <c r="A443" t="inlineStr">
        <is>
          <t>1월</t>
        </is>
      </c>
      <c r="B443" t="inlineStr">
        <is>
          <t>3주차</t>
        </is>
      </c>
      <c r="C443" t="inlineStr">
        <is>
          <t>EP</t>
        </is>
      </c>
      <c r="D443" s="28" t="n">
        <v>46037</v>
      </c>
      <c r="E443" t="inlineStr">
        <is>
          <t>현대EP_fast</t>
        </is>
      </c>
      <c r="F443" t="inlineStr">
        <is>
          <t>한영남</t>
        </is>
      </c>
      <c r="G443" t="inlineStr">
        <is>
          <t>010-8218-3679</t>
        </is>
      </c>
      <c r="H443" t="inlineStr">
        <is>
          <t>246서1884</t>
        </is>
      </c>
      <c r="I443" t="n">
        <v>27900000</v>
      </c>
      <c r="J443" t="n">
        <v>0.073</v>
      </c>
      <c r="K443" t="n">
        <v>1.76</v>
      </c>
      <c r="L443" t="n">
        <v>0.13</v>
      </c>
      <c r="M443" t="n">
        <v>1.63</v>
      </c>
      <c r="P443" t="inlineStr">
        <is>
          <t>정광호</t>
        </is>
      </c>
      <c r="Q443" t="inlineStr">
        <is>
          <t>홈서비스 60개월</t>
        </is>
      </c>
      <c r="Z443" t="n">
        <v>0</v>
      </c>
      <c r="AB443" t="inlineStr">
        <is>
          <t>홈서비스</t>
        </is>
      </c>
      <c r="AC443" t="n">
        <v>491040</v>
      </c>
      <c r="AD443" t="n">
        <v>36270</v>
      </c>
      <c r="AE443" t="n">
        <v>454770</v>
      </c>
      <c r="AF443" t="n">
        <v>446400</v>
      </c>
      <c r="AG443" t="n">
        <v>36270</v>
      </c>
      <c r="AH443" t="n">
        <v>410130</v>
      </c>
      <c r="AI443" t="n">
        <v>0</v>
      </c>
    </row>
    <row r="444">
      <c r="A444" t="inlineStr">
        <is>
          <t>1월</t>
        </is>
      </c>
      <c r="B444" t="inlineStr">
        <is>
          <t>3주차</t>
        </is>
      </c>
      <c r="C444" t="inlineStr">
        <is>
          <t>EP</t>
        </is>
      </c>
      <c r="D444" s="28" t="n">
        <v>46037</v>
      </c>
      <c r="E444" t="inlineStr">
        <is>
          <t>현대EP_fast</t>
        </is>
      </c>
      <c r="F444" t="inlineStr">
        <is>
          <t>신오룡</t>
        </is>
      </c>
      <c r="G444" t="n">
        <v>1055085611</v>
      </c>
      <c r="H444" t="inlineStr">
        <is>
          <t>84어9570</t>
        </is>
      </c>
      <c r="I444" t="n">
        <v>7500000</v>
      </c>
      <c r="J444" t="n">
        <v>0.073</v>
      </c>
      <c r="K444" t="n">
        <v>1.76</v>
      </c>
      <c r="L444" t="n">
        <v>0.13</v>
      </c>
      <c r="M444" t="n">
        <v>1.63</v>
      </c>
      <c r="P444" t="inlineStr">
        <is>
          <t>김나윤</t>
        </is>
      </c>
      <c r="Q444" t="inlineStr">
        <is>
          <t>홈서비스48개월</t>
        </is>
      </c>
      <c r="Z444" t="n">
        <v>0</v>
      </c>
      <c r="AB444" t="inlineStr">
        <is>
          <t>홈서비스</t>
        </is>
      </c>
      <c r="AC444" t="n">
        <v>132000</v>
      </c>
      <c r="AD444" t="n">
        <v>9750</v>
      </c>
      <c r="AE444" t="n">
        <v>122250</v>
      </c>
      <c r="AF444" t="n">
        <v>120000</v>
      </c>
      <c r="AG444" t="n">
        <v>9750</v>
      </c>
      <c r="AH444" t="n">
        <v>110250</v>
      </c>
    </row>
    <row r="445">
      <c r="A445" t="inlineStr">
        <is>
          <t>1월</t>
        </is>
      </c>
      <c r="B445" t="inlineStr">
        <is>
          <t>3주차</t>
        </is>
      </c>
      <c r="C445" t="inlineStr">
        <is>
          <t>EP</t>
        </is>
      </c>
      <c r="D445" s="28" t="n">
        <v>46037</v>
      </c>
      <c r="E445" t="inlineStr">
        <is>
          <t>현대EP</t>
        </is>
      </c>
      <c r="F445" t="inlineStr">
        <is>
          <t>권경하</t>
        </is>
      </c>
      <c r="G445" t="inlineStr">
        <is>
          <t>010-4662-6911</t>
        </is>
      </c>
      <c r="H445" t="inlineStr">
        <is>
          <t>360노3420</t>
        </is>
      </c>
      <c r="I445" t="n">
        <v>12000000</v>
      </c>
      <c r="J445" t="n">
        <v>0.073</v>
      </c>
      <c r="K445" t="n">
        <v>1.76</v>
      </c>
      <c r="L445" t="n">
        <v>0.13</v>
      </c>
      <c r="M445" t="n">
        <v>1.63</v>
      </c>
      <c r="P445" t="inlineStr">
        <is>
          <t>김나윤</t>
        </is>
      </c>
      <c r="Q445" t="inlineStr">
        <is>
          <t>홈서비스 60개월</t>
        </is>
      </c>
      <c r="Z445" t="n">
        <v>0</v>
      </c>
      <c r="AB445" t="inlineStr">
        <is>
          <t>홈서비스</t>
        </is>
      </c>
      <c r="AC445" t="n">
        <v>211200</v>
      </c>
      <c r="AD445" t="n">
        <v>15600</v>
      </c>
      <c r="AE445" t="n">
        <v>195600</v>
      </c>
      <c r="AF445" t="n">
        <v>192000</v>
      </c>
      <c r="AG445" t="n">
        <v>15600</v>
      </c>
      <c r="AH445" t="n">
        <v>176400</v>
      </c>
      <c r="AI445" t="n">
        <v>1</v>
      </c>
    </row>
    <row r="446">
      <c r="A446" t="inlineStr">
        <is>
          <t>1월</t>
        </is>
      </c>
      <c r="B446" t="inlineStr">
        <is>
          <t>3주차</t>
        </is>
      </c>
      <c r="C446" t="inlineStr">
        <is>
          <t>EP</t>
        </is>
      </c>
      <c r="D446" s="28" t="n">
        <v>46036</v>
      </c>
      <c r="E446" t="inlineStr">
        <is>
          <t>현대EP</t>
        </is>
      </c>
      <c r="F446" t="inlineStr">
        <is>
          <t>장춘근</t>
        </is>
      </c>
      <c r="G446" t="inlineStr">
        <is>
          <t>010-7776-0983</t>
        </is>
      </c>
      <c r="H446" t="inlineStr">
        <is>
          <t>36오3141</t>
        </is>
      </c>
      <c r="I446" t="n">
        <v>6500000</v>
      </c>
      <c r="J446" t="n">
        <v>0.073</v>
      </c>
      <c r="K446" t="n">
        <v>1.76</v>
      </c>
      <c r="L446" t="n">
        <v>0.13</v>
      </c>
      <c r="M446" t="n">
        <v>1.63</v>
      </c>
      <c r="P446" t="inlineStr">
        <is>
          <t>최형주</t>
        </is>
      </c>
      <c r="Q446" t="inlineStr">
        <is>
          <t>홈서비스 60개월</t>
        </is>
      </c>
      <c r="Z446" t="n">
        <v>0</v>
      </c>
      <c r="AB446" t="inlineStr">
        <is>
          <t>홈서비스</t>
        </is>
      </c>
      <c r="AC446" t="n">
        <v>114400</v>
      </c>
      <c r="AD446" t="n">
        <v>8450</v>
      </c>
      <c r="AE446" t="n">
        <v>105950</v>
      </c>
      <c r="AF446" t="n">
        <v>104000</v>
      </c>
      <c r="AG446" t="n">
        <v>8450</v>
      </c>
      <c r="AH446" t="n">
        <v>95550</v>
      </c>
      <c r="AI446" t="n">
        <v>1</v>
      </c>
    </row>
    <row r="447">
      <c r="A447" t="inlineStr">
        <is>
          <t>1월</t>
        </is>
      </c>
      <c r="B447" t="inlineStr">
        <is>
          <t>3주차</t>
        </is>
      </c>
      <c r="C447" t="inlineStr">
        <is>
          <t>EP</t>
        </is>
      </c>
      <c r="D447" s="28" t="n">
        <v>46037</v>
      </c>
      <c r="E447" t="inlineStr">
        <is>
          <t>현대EP</t>
        </is>
      </c>
      <c r="F447" t="inlineStr">
        <is>
          <t>오경식</t>
        </is>
      </c>
      <c r="G447" t="inlineStr">
        <is>
          <t>010-3188-9493</t>
        </is>
      </c>
      <c r="H447" t="inlineStr">
        <is>
          <t>29거1669</t>
        </is>
      </c>
      <c r="I447" t="n">
        <v>4900000</v>
      </c>
      <c r="J447" t="n">
        <v>0.06900000000000001</v>
      </c>
      <c r="K447" t="n">
        <v>1.76</v>
      </c>
      <c r="L447" t="n">
        <v>0.13</v>
      </c>
      <c r="M447" t="n">
        <v>1.63</v>
      </c>
      <c r="P447" t="inlineStr">
        <is>
          <t>김나윤</t>
        </is>
      </c>
      <c r="Q447" t="inlineStr">
        <is>
          <t>홈서비스 48개월</t>
        </is>
      </c>
      <c r="Z447" t="n">
        <v>0</v>
      </c>
      <c r="AB447" t="inlineStr">
        <is>
          <t>홈서비스</t>
        </is>
      </c>
      <c r="AC447" t="n">
        <v>86240</v>
      </c>
      <c r="AD447" t="n">
        <v>6370</v>
      </c>
      <c r="AE447" t="n">
        <v>79870</v>
      </c>
      <c r="AF447" t="n">
        <v>78400</v>
      </c>
      <c r="AG447" t="n">
        <v>6370</v>
      </c>
      <c r="AH447" t="n">
        <v>72030</v>
      </c>
      <c r="AI447" t="n">
        <v>1</v>
      </c>
    </row>
    <row r="448">
      <c r="A448" t="inlineStr">
        <is>
          <t>1월</t>
        </is>
      </c>
      <c r="B448" t="inlineStr">
        <is>
          <t>3주차</t>
        </is>
      </c>
      <c r="C448" t="inlineStr">
        <is>
          <t>IM</t>
        </is>
      </c>
      <c r="D448" s="28" t="n">
        <v>46036</v>
      </c>
      <c r="E448" t="inlineStr">
        <is>
          <t>IM캐피탈</t>
        </is>
      </c>
      <c r="F448" t="inlineStr">
        <is>
          <t>김지수</t>
        </is>
      </c>
      <c r="G448" t="inlineStr">
        <is>
          <t>010-2941-1097</t>
        </is>
      </c>
      <c r="H448" t="inlineStr">
        <is>
          <t>246누1995</t>
        </is>
      </c>
      <c r="I448" t="n">
        <v>9500000</v>
      </c>
      <c r="J448" t="n">
        <v>0.049</v>
      </c>
      <c r="K448" t="n">
        <v>0.55</v>
      </c>
      <c r="L448" t="n">
        <v>0.13</v>
      </c>
      <c r="M448" t="n">
        <v>0.42</v>
      </c>
      <c r="P448" t="inlineStr">
        <is>
          <t>박보람</t>
        </is>
      </c>
      <c r="Q448" t="inlineStr">
        <is>
          <t>선상담 / 홈서비스 48개월 / 사유 : 금리불만</t>
        </is>
      </c>
      <c r="Z448" t="n">
        <v>0</v>
      </c>
      <c r="AB448" t="inlineStr">
        <is>
          <t>홈서비스</t>
        </is>
      </c>
      <c r="AC448" t="n">
        <v>52250</v>
      </c>
      <c r="AD448" t="n">
        <v>12350</v>
      </c>
      <c r="AE448" t="n">
        <v>39900</v>
      </c>
      <c r="AF448" t="n">
        <v>47500</v>
      </c>
      <c r="AG448" t="n">
        <v>12350</v>
      </c>
      <c r="AH448" t="n">
        <v>35150</v>
      </c>
    </row>
    <row r="449">
      <c r="A449" t="inlineStr">
        <is>
          <t>1월</t>
        </is>
      </c>
      <c r="B449" t="inlineStr">
        <is>
          <t>3주차</t>
        </is>
      </c>
      <c r="C449" t="inlineStr">
        <is>
          <t>IM</t>
        </is>
      </c>
      <c r="D449" s="28" t="n">
        <v>46037</v>
      </c>
      <c r="E449" t="inlineStr">
        <is>
          <t>IM캐피탈</t>
        </is>
      </c>
      <c r="F449" t="inlineStr">
        <is>
          <t>이효선</t>
        </is>
      </c>
      <c r="G449" t="inlineStr">
        <is>
          <t>010-5095-5387</t>
        </is>
      </c>
      <c r="H449" t="inlineStr">
        <is>
          <t>250소2438</t>
        </is>
      </c>
      <c r="I449" t="n">
        <v>18200000</v>
      </c>
      <c r="J449" t="n">
        <v>0.039</v>
      </c>
      <c r="K449" t="n">
        <v>0.55</v>
      </c>
      <c r="L449" t="n">
        <v>0.4</v>
      </c>
      <c r="M449" t="n">
        <v>0.15</v>
      </c>
      <c r="P449" t="inlineStr">
        <is>
          <t>박현민</t>
        </is>
      </c>
      <c r="Z449" t="n">
        <v>0</v>
      </c>
      <c r="AB449" t="inlineStr">
        <is>
          <t>엔카</t>
        </is>
      </c>
      <c r="AC449" t="n">
        <v>100100</v>
      </c>
      <c r="AD449" t="n">
        <v>72800</v>
      </c>
      <c r="AE449" t="n">
        <v>27300</v>
      </c>
      <c r="AF449" t="n">
        <v>91000</v>
      </c>
      <c r="AG449" t="n">
        <v>72800</v>
      </c>
      <c r="AH449" t="n">
        <v>18200</v>
      </c>
    </row>
    <row r="450">
      <c r="A450" t="inlineStr">
        <is>
          <t>1월</t>
        </is>
      </c>
      <c r="B450" t="inlineStr">
        <is>
          <t>3주차</t>
        </is>
      </c>
      <c r="C450" t="inlineStr">
        <is>
          <t>EP</t>
        </is>
      </c>
      <c r="D450" s="28" t="n">
        <v>46037</v>
      </c>
      <c r="E450" t="inlineStr">
        <is>
          <t>현대EP</t>
        </is>
      </c>
      <c r="F450" t="inlineStr">
        <is>
          <t>오세원</t>
        </is>
      </c>
      <c r="G450" t="inlineStr">
        <is>
          <t>010-6234-6327</t>
        </is>
      </c>
      <c r="H450" t="inlineStr">
        <is>
          <t>339어5024</t>
        </is>
      </c>
      <c r="I450" t="n">
        <v>14800000</v>
      </c>
      <c r="J450" t="n">
        <v>0.06900000000000001</v>
      </c>
      <c r="K450" t="n">
        <v>1.76</v>
      </c>
      <c r="L450" t="n">
        <v>0.13</v>
      </c>
      <c r="M450" t="n">
        <v>1.63</v>
      </c>
      <c r="P450" t="inlineStr">
        <is>
          <t>김나윤</t>
        </is>
      </c>
      <c r="Q450" t="inlineStr">
        <is>
          <t>홈서비스 60개월</t>
        </is>
      </c>
      <c r="Z450" t="n">
        <v>0</v>
      </c>
      <c r="AB450" t="inlineStr">
        <is>
          <t>홈서비스</t>
        </is>
      </c>
      <c r="AC450" t="n">
        <v>260480</v>
      </c>
      <c r="AD450" t="n">
        <v>19240</v>
      </c>
      <c r="AE450" t="n">
        <v>241240</v>
      </c>
      <c r="AF450" t="n">
        <v>236800</v>
      </c>
      <c r="AG450" t="n">
        <v>19240</v>
      </c>
      <c r="AH450" t="n">
        <v>217560</v>
      </c>
    </row>
    <row r="451">
      <c r="A451" t="inlineStr">
        <is>
          <t>1월</t>
        </is>
      </c>
      <c r="B451" t="inlineStr">
        <is>
          <t>3주차</t>
        </is>
      </c>
      <c r="C451" t="inlineStr">
        <is>
          <t>EP</t>
        </is>
      </c>
      <c r="D451" s="28" t="n">
        <v>46038</v>
      </c>
      <c r="E451" t="inlineStr">
        <is>
          <t>현대EP_fast</t>
        </is>
      </c>
      <c r="F451" t="inlineStr">
        <is>
          <t>이근영</t>
        </is>
      </c>
      <c r="G451" t="n">
        <v>1053374649</v>
      </c>
      <c r="H451" t="inlineStr">
        <is>
          <t>290모1475</t>
        </is>
      </c>
      <c r="I451" t="n">
        <v>5600000</v>
      </c>
      <c r="J451" t="n">
        <v>0.08699999999999999</v>
      </c>
      <c r="K451" t="n">
        <v>1.76</v>
      </c>
      <c r="L451" t="n">
        <v>0.13</v>
      </c>
      <c r="M451" t="n">
        <v>1.63</v>
      </c>
      <c r="P451" t="inlineStr">
        <is>
          <t>김나윤</t>
        </is>
      </c>
      <c r="Q451" t="inlineStr">
        <is>
          <t>홈서비스60개월</t>
        </is>
      </c>
      <c r="Z451" t="n">
        <v>0</v>
      </c>
      <c r="AB451" t="inlineStr">
        <is>
          <t>홈서비스</t>
        </is>
      </c>
      <c r="AC451" t="n">
        <v>98560</v>
      </c>
      <c r="AD451" t="n">
        <v>7280</v>
      </c>
      <c r="AE451" t="n">
        <v>91280</v>
      </c>
      <c r="AF451" t="n">
        <v>89600</v>
      </c>
      <c r="AG451" t="n">
        <v>7280</v>
      </c>
      <c r="AH451" t="n">
        <v>82320</v>
      </c>
    </row>
    <row r="452">
      <c r="A452" t="inlineStr">
        <is>
          <t>1월</t>
        </is>
      </c>
      <c r="B452" t="inlineStr">
        <is>
          <t>3주차</t>
        </is>
      </c>
      <c r="C452" t="inlineStr">
        <is>
          <t>IM</t>
        </is>
      </c>
      <c r="D452" s="28" t="n">
        <v>46037</v>
      </c>
      <c r="E452" t="inlineStr">
        <is>
          <t>IM캐피탈</t>
        </is>
      </c>
      <c r="F452" t="inlineStr">
        <is>
          <t>조연화</t>
        </is>
      </c>
      <c r="G452" t="inlineStr">
        <is>
          <t>010-4676-1928</t>
        </is>
      </c>
      <c r="H452" t="inlineStr">
        <is>
          <t>273소9787</t>
        </is>
      </c>
      <c r="I452" t="n">
        <v>33700000</v>
      </c>
      <c r="J452" t="n">
        <v>0.067</v>
      </c>
      <c r="K452" t="n">
        <v>0.55</v>
      </c>
      <c r="L452" t="n">
        <v>0.4</v>
      </c>
      <c r="M452" t="n">
        <v>0.15</v>
      </c>
      <c r="P452" t="inlineStr">
        <is>
          <t>장진경</t>
        </is>
      </c>
      <c r="Q452" t="inlineStr">
        <is>
          <t>사유 : 부대비용 추가진행</t>
        </is>
      </c>
      <c r="Z452" t="n">
        <v>0</v>
      </c>
      <c r="AB452" t="inlineStr">
        <is>
          <t>엔카</t>
        </is>
      </c>
      <c r="AC452" t="n">
        <v>185350</v>
      </c>
      <c r="AD452" t="n">
        <v>134800</v>
      </c>
      <c r="AE452" t="n">
        <v>50550</v>
      </c>
      <c r="AF452" t="n">
        <v>168500</v>
      </c>
      <c r="AG452" t="n">
        <v>134800</v>
      </c>
      <c r="AH452" t="n">
        <v>33700</v>
      </c>
    </row>
    <row r="453">
      <c r="A453" t="inlineStr">
        <is>
          <t>1월</t>
        </is>
      </c>
      <c r="B453" t="inlineStr">
        <is>
          <t>3주차</t>
        </is>
      </c>
      <c r="C453" t="inlineStr">
        <is>
          <t>OR</t>
        </is>
      </c>
      <c r="D453" s="28" t="n">
        <v>46038</v>
      </c>
      <c r="E453" t="inlineStr">
        <is>
          <t>오릭스</t>
        </is>
      </c>
      <c r="F453" t="inlineStr">
        <is>
          <t>허찬범</t>
        </is>
      </c>
      <c r="G453" t="inlineStr">
        <is>
          <t>010-7684-5300</t>
        </is>
      </c>
      <c r="H453" t="inlineStr">
        <is>
          <t>54서2496</t>
        </is>
      </c>
      <c r="I453" t="n">
        <v>7700000</v>
      </c>
      <c r="J453" t="n">
        <v>0.063</v>
      </c>
      <c r="K453" t="n">
        <v>1.65</v>
      </c>
      <c r="L453" t="n">
        <v>0.13</v>
      </c>
      <c r="M453" t="n">
        <v>1.52</v>
      </c>
      <c r="P453" t="inlineStr">
        <is>
          <t>황채이</t>
        </is>
      </c>
      <c r="Q453" t="inlineStr">
        <is>
          <t>홈서비스 24개월</t>
        </is>
      </c>
      <c r="Z453" t="n">
        <v>0</v>
      </c>
      <c r="AB453" t="inlineStr">
        <is>
          <t>홈서비스</t>
        </is>
      </c>
      <c r="AC453" t="n">
        <v>127050</v>
      </c>
      <c r="AD453" t="n">
        <v>10010</v>
      </c>
      <c r="AE453" t="n">
        <v>117040</v>
      </c>
      <c r="AF453" t="n">
        <v>115500</v>
      </c>
      <c r="AG453" t="n">
        <v>10010</v>
      </c>
      <c r="AH453" t="n">
        <v>105490</v>
      </c>
    </row>
    <row r="454">
      <c r="A454" t="inlineStr">
        <is>
          <t>1월</t>
        </is>
      </c>
      <c r="B454" t="inlineStr">
        <is>
          <t>3주차</t>
        </is>
      </c>
      <c r="C454" t="inlineStr">
        <is>
          <t>IM</t>
        </is>
      </c>
      <c r="D454" s="28" t="n">
        <v>46038</v>
      </c>
      <c r="E454" t="inlineStr">
        <is>
          <t>IM캐피탈</t>
        </is>
      </c>
      <c r="F454" t="inlineStr">
        <is>
          <t>경승민</t>
        </is>
      </c>
      <c r="G454" t="inlineStr">
        <is>
          <t>010-7684-5300</t>
        </is>
      </c>
      <c r="H454" t="inlineStr">
        <is>
          <t>61마3495</t>
        </is>
      </c>
      <c r="I454" t="n">
        <v>24500000</v>
      </c>
      <c r="J454" t="n">
        <v>0.039</v>
      </c>
      <c r="K454" t="n">
        <v>0.55</v>
      </c>
      <c r="L454" t="n">
        <v>0.13</v>
      </c>
      <c r="M454" t="n">
        <v>0.42</v>
      </c>
      <c r="P454" t="inlineStr">
        <is>
          <t>황채이</t>
        </is>
      </c>
      <c r="Q454" t="inlineStr">
        <is>
          <t>홈서비스 60개월</t>
        </is>
      </c>
      <c r="Z454" t="n">
        <v>0</v>
      </c>
      <c r="AB454" t="inlineStr">
        <is>
          <t>홈서비스</t>
        </is>
      </c>
      <c r="AC454" t="n">
        <v>134750</v>
      </c>
      <c r="AD454" t="n">
        <v>31850</v>
      </c>
      <c r="AE454" t="n">
        <v>102900</v>
      </c>
      <c r="AF454" t="n">
        <v>122500</v>
      </c>
      <c r="AG454" t="n">
        <v>31850</v>
      </c>
      <c r="AH454" t="n">
        <v>90650</v>
      </c>
    </row>
    <row r="455">
      <c r="A455" t="inlineStr">
        <is>
          <t>1월</t>
        </is>
      </c>
      <c r="B455" t="inlineStr">
        <is>
          <t>3주차</t>
        </is>
      </c>
      <c r="C455" t="inlineStr">
        <is>
          <t>IM</t>
        </is>
      </c>
      <c r="D455" s="28" t="n">
        <v>46038</v>
      </c>
      <c r="E455" t="inlineStr">
        <is>
          <t>IM캐피탈</t>
        </is>
      </c>
      <c r="F455" t="inlineStr">
        <is>
          <t>이창범</t>
        </is>
      </c>
      <c r="G455" t="inlineStr">
        <is>
          <t>010-9066-0401</t>
        </is>
      </c>
      <c r="H455" t="inlineStr">
        <is>
          <t>30소2268</t>
        </is>
      </c>
      <c r="I455" t="n">
        <v>3800000</v>
      </c>
      <c r="J455" t="n">
        <v>0.06</v>
      </c>
      <c r="K455" t="n">
        <v>0.55</v>
      </c>
      <c r="L455" t="n">
        <v>0.13</v>
      </c>
      <c r="M455" t="n">
        <v>0.42</v>
      </c>
      <c r="P455" t="inlineStr">
        <is>
          <t>황채이</t>
        </is>
      </c>
      <c r="Q455" t="inlineStr">
        <is>
          <t>홈서비스 48개월</t>
        </is>
      </c>
      <c r="Z455" t="n">
        <v>0</v>
      </c>
      <c r="AB455" t="inlineStr">
        <is>
          <t>홈서비스</t>
        </is>
      </c>
      <c r="AC455" t="n">
        <v>20900</v>
      </c>
      <c r="AD455" t="n">
        <v>4940</v>
      </c>
      <c r="AE455" t="n">
        <v>15960</v>
      </c>
      <c r="AF455" t="n">
        <v>19000</v>
      </c>
      <c r="AG455" t="n">
        <v>4940</v>
      </c>
      <c r="AH455" t="n">
        <v>14060</v>
      </c>
      <c r="AI455" t="n">
        <v>0</v>
      </c>
    </row>
    <row r="456">
      <c r="A456" t="inlineStr">
        <is>
          <t>1월</t>
        </is>
      </c>
      <c r="B456" t="inlineStr">
        <is>
          <t>3주차</t>
        </is>
      </c>
      <c r="C456" t="inlineStr">
        <is>
          <t>EP</t>
        </is>
      </c>
      <c r="D456" s="28" t="n">
        <v>46038</v>
      </c>
      <c r="E456" t="inlineStr">
        <is>
          <t>현대EP_fast</t>
        </is>
      </c>
      <c r="F456" t="inlineStr">
        <is>
          <t>정다운</t>
        </is>
      </c>
      <c r="G456" t="n">
        <v>1089882322</v>
      </c>
      <c r="H456" t="inlineStr">
        <is>
          <t>62누1998</t>
        </is>
      </c>
      <c r="I456" t="n">
        <v>11400000</v>
      </c>
      <c r="J456" t="n">
        <v>0.115</v>
      </c>
      <c r="K456" t="n">
        <v>1.76</v>
      </c>
      <c r="L456" t="n">
        <v>0.13</v>
      </c>
      <c r="M456" t="n">
        <v>1.63</v>
      </c>
      <c r="P456" t="inlineStr">
        <is>
          <t>김나윤</t>
        </is>
      </c>
      <c r="Q456" t="inlineStr">
        <is>
          <t>홈서비스 48개월</t>
        </is>
      </c>
      <c r="Z456" t="n">
        <v>0</v>
      </c>
      <c r="AB456" t="inlineStr">
        <is>
          <t>홈서비스</t>
        </is>
      </c>
      <c r="AC456" t="n">
        <v>200640</v>
      </c>
      <c r="AD456" t="n">
        <v>14820</v>
      </c>
      <c r="AE456" t="n">
        <v>185820</v>
      </c>
      <c r="AF456" t="n">
        <v>182400</v>
      </c>
      <c r="AG456" t="n">
        <v>14820</v>
      </c>
      <c r="AH456" t="n">
        <v>167580</v>
      </c>
      <c r="AI456" t="n">
        <v>0</v>
      </c>
    </row>
    <row r="457">
      <c r="A457" t="inlineStr">
        <is>
          <t>1월</t>
        </is>
      </c>
      <c r="B457" t="inlineStr">
        <is>
          <t>3주차</t>
        </is>
      </c>
      <c r="C457" t="inlineStr">
        <is>
          <t>IM</t>
        </is>
      </c>
      <c r="D457" s="28" t="n">
        <v>46037</v>
      </c>
      <c r="E457" t="inlineStr">
        <is>
          <t>IM캐피탈</t>
        </is>
      </c>
      <c r="F457" t="inlineStr">
        <is>
          <t>김지훈</t>
        </is>
      </c>
      <c r="G457" t="inlineStr">
        <is>
          <t>010-4519-6544</t>
        </is>
      </c>
      <c r="H457" t="inlineStr">
        <is>
          <t>65서6027</t>
        </is>
      </c>
      <c r="I457" t="n">
        <v>47800000</v>
      </c>
      <c r="J457" t="n">
        <v>0.07199999999999999</v>
      </c>
      <c r="K457" t="n">
        <v>0.55</v>
      </c>
      <c r="L457" t="n">
        <v>0.13</v>
      </c>
      <c r="M457" t="n">
        <v>0.42</v>
      </c>
      <c r="P457" t="inlineStr">
        <is>
          <t>정하은</t>
        </is>
      </c>
      <c r="Q457" t="inlineStr">
        <is>
          <t>홈서비스 60개월</t>
        </is>
      </c>
      <c r="Z457" t="n">
        <v>0</v>
      </c>
      <c r="AB457" t="inlineStr">
        <is>
          <t>홈서비스</t>
        </is>
      </c>
      <c r="AC457" t="n">
        <v>262900</v>
      </c>
      <c r="AD457" t="n">
        <v>62140</v>
      </c>
      <c r="AE457" t="n">
        <v>200760</v>
      </c>
      <c r="AF457" t="n">
        <v>239000</v>
      </c>
      <c r="AG457" t="n">
        <v>62140</v>
      </c>
      <c r="AH457" t="n">
        <v>176860</v>
      </c>
    </row>
    <row r="458">
      <c r="A458" t="inlineStr">
        <is>
          <t>1월</t>
        </is>
      </c>
      <c r="B458" t="inlineStr">
        <is>
          <t>3주차</t>
        </is>
      </c>
      <c r="C458" t="inlineStr">
        <is>
          <t>EP</t>
        </is>
      </c>
      <c r="D458" s="28" t="n">
        <v>46037</v>
      </c>
      <c r="E458" t="inlineStr">
        <is>
          <t>제이비EP</t>
        </is>
      </c>
      <c r="F458" t="inlineStr">
        <is>
          <t>민응선</t>
        </is>
      </c>
      <c r="G458" t="inlineStr">
        <is>
          <t>010-9071-2105</t>
        </is>
      </c>
      <c r="H458" t="inlineStr">
        <is>
          <t>09로6253</t>
        </is>
      </c>
      <c r="I458" t="n">
        <v>9000000</v>
      </c>
      <c r="J458" t="n">
        <v>0.094</v>
      </c>
      <c r="K458" t="n">
        <v>1.65</v>
      </c>
      <c r="L458" t="n">
        <v>0.4</v>
      </c>
      <c r="M458" t="n">
        <v>1.25</v>
      </c>
      <c r="P458" t="inlineStr">
        <is>
          <t>정하은</t>
        </is>
      </c>
      <c r="Z458" t="n">
        <v>0</v>
      </c>
      <c r="AB458" t="inlineStr">
        <is>
          <t>엔카</t>
        </is>
      </c>
      <c r="AC458" t="n">
        <v>148500</v>
      </c>
      <c r="AD458" t="n">
        <v>36000</v>
      </c>
      <c r="AE458" t="n">
        <v>112500</v>
      </c>
      <c r="AF458" t="n">
        <v>135000</v>
      </c>
      <c r="AG458" t="n">
        <v>36000</v>
      </c>
      <c r="AH458" t="n">
        <v>99000</v>
      </c>
    </row>
    <row r="459">
      <c r="A459" t="inlineStr">
        <is>
          <t>1월</t>
        </is>
      </c>
      <c r="B459" t="inlineStr">
        <is>
          <t>3주차</t>
        </is>
      </c>
      <c r="C459" t="inlineStr">
        <is>
          <t>EP</t>
        </is>
      </c>
      <c r="D459" s="28" t="n">
        <v>46038</v>
      </c>
      <c r="E459" t="inlineStr">
        <is>
          <t>현대EP_fast</t>
        </is>
      </c>
      <c r="F459" t="inlineStr">
        <is>
          <t>백성진</t>
        </is>
      </c>
      <c r="G459" t="n">
        <v>1024809425</v>
      </c>
      <c r="H459" t="inlineStr">
        <is>
          <t>174두5302</t>
        </is>
      </c>
      <c r="I459" t="n">
        <v>18200000</v>
      </c>
      <c r="J459" t="n">
        <v>0.082</v>
      </c>
      <c r="K459" t="n">
        <v>1.76</v>
      </c>
      <c r="L459" t="n">
        <v>0.13</v>
      </c>
      <c r="M459" t="n">
        <v>1.63</v>
      </c>
      <c r="P459" t="inlineStr">
        <is>
          <t>김나윤</t>
        </is>
      </c>
      <c r="Q459" t="inlineStr">
        <is>
          <t>홈서비스 60개월</t>
        </is>
      </c>
      <c r="Z459" t="n">
        <v>0</v>
      </c>
      <c r="AB459" t="inlineStr">
        <is>
          <t>홈서비스</t>
        </is>
      </c>
      <c r="AC459" t="n">
        <v>320320</v>
      </c>
      <c r="AD459" t="n">
        <v>23660</v>
      </c>
      <c r="AE459" t="n">
        <v>296660</v>
      </c>
      <c r="AF459" t="n">
        <v>291200</v>
      </c>
      <c r="AG459" t="n">
        <v>23660</v>
      </c>
      <c r="AH459" t="n">
        <v>267540</v>
      </c>
      <c r="AI459" t="n">
        <v>0</v>
      </c>
    </row>
    <row r="460">
      <c r="A460" t="inlineStr">
        <is>
          <t>1월</t>
        </is>
      </c>
      <c r="B460" t="inlineStr">
        <is>
          <t>3주차</t>
        </is>
      </c>
      <c r="C460" t="inlineStr">
        <is>
          <t>EP</t>
        </is>
      </c>
      <c r="D460" s="28" t="n">
        <v>46037</v>
      </c>
      <c r="E460" t="inlineStr">
        <is>
          <t>현대EP_fast</t>
        </is>
      </c>
      <c r="F460" t="inlineStr">
        <is>
          <t>전예민</t>
        </is>
      </c>
      <c r="G460" t="inlineStr">
        <is>
          <t>010-3933-0961</t>
        </is>
      </c>
      <c r="H460" t="inlineStr">
        <is>
          <t>168너6122</t>
        </is>
      </c>
      <c r="I460" t="n">
        <v>20000000</v>
      </c>
      <c r="J460" t="n">
        <v>0.07199999999999999</v>
      </c>
      <c r="K460" t="n">
        <v>1.76</v>
      </c>
      <c r="L460" t="n">
        <v>0.13</v>
      </c>
      <c r="M460" t="n">
        <v>1.63</v>
      </c>
      <c r="P460" t="inlineStr">
        <is>
          <t>정세빈</t>
        </is>
      </c>
      <c r="Q460" t="inlineStr">
        <is>
          <t>홈서비스 36개월</t>
        </is>
      </c>
      <c r="Z460" t="n">
        <v>0</v>
      </c>
      <c r="AB460" t="inlineStr">
        <is>
          <t>홈서비스</t>
        </is>
      </c>
      <c r="AC460" t="n">
        <v>352000</v>
      </c>
      <c r="AD460" t="n">
        <v>26000</v>
      </c>
      <c r="AE460" t="n">
        <v>326000</v>
      </c>
      <c r="AF460" t="n">
        <v>320000</v>
      </c>
      <c r="AG460" t="n">
        <v>26000</v>
      </c>
      <c r="AH460" t="n">
        <v>294000</v>
      </c>
      <c r="AI460" t="n">
        <v>0</v>
      </c>
    </row>
    <row r="461">
      <c r="A461" t="inlineStr">
        <is>
          <t>1월</t>
        </is>
      </c>
      <c r="B461" t="inlineStr">
        <is>
          <t>3주차</t>
        </is>
      </c>
      <c r="C461" t="inlineStr">
        <is>
          <t>IM</t>
        </is>
      </c>
      <c r="D461" s="28" t="n">
        <v>46037</v>
      </c>
      <c r="E461" t="inlineStr">
        <is>
          <t>IM캐피탈</t>
        </is>
      </c>
      <c r="F461" t="inlineStr">
        <is>
          <t>복주리</t>
        </is>
      </c>
      <c r="G461" t="inlineStr">
        <is>
          <t>010-5571-5055</t>
        </is>
      </c>
      <c r="H461" t="inlineStr">
        <is>
          <t>107도1476</t>
        </is>
      </c>
      <c r="I461" t="n">
        <v>15000000</v>
      </c>
      <c r="J461" t="n">
        <v>0.049</v>
      </c>
      <c r="K461" t="n">
        <v>0.55</v>
      </c>
      <c r="L461" t="n">
        <v>0.4</v>
      </c>
      <c r="M461" t="n">
        <v>0.15</v>
      </c>
      <c r="P461" t="inlineStr">
        <is>
          <t>장진경</t>
        </is>
      </c>
      <c r="Q461" t="inlineStr">
        <is>
          <t>사유 : 현대금리불만</t>
        </is>
      </c>
      <c r="Z461" t="n">
        <v>0</v>
      </c>
      <c r="AB461" t="inlineStr">
        <is>
          <t>엔카</t>
        </is>
      </c>
      <c r="AC461" t="n">
        <v>82500</v>
      </c>
      <c r="AD461" t="n">
        <v>60000</v>
      </c>
      <c r="AE461" t="n">
        <v>22500</v>
      </c>
      <c r="AF461" t="n">
        <v>75000</v>
      </c>
      <c r="AG461" t="n">
        <v>60000</v>
      </c>
      <c r="AH461" t="n">
        <v>15000</v>
      </c>
      <c r="AI461" t="n">
        <v>0</v>
      </c>
    </row>
    <row r="462">
      <c r="A462" t="inlineStr">
        <is>
          <t>1월</t>
        </is>
      </c>
      <c r="B462" t="inlineStr">
        <is>
          <t>3주차</t>
        </is>
      </c>
      <c r="C462" t="inlineStr">
        <is>
          <t>EP</t>
        </is>
      </c>
      <c r="D462" s="28" t="n">
        <v>46037</v>
      </c>
      <c r="E462" t="inlineStr">
        <is>
          <t>현대EP</t>
        </is>
      </c>
      <c r="F462" t="inlineStr">
        <is>
          <t>김영식</t>
        </is>
      </c>
      <c r="G462" t="inlineStr">
        <is>
          <t>010-8906-1369</t>
        </is>
      </c>
      <c r="H462" t="inlineStr">
        <is>
          <t>73고2933</t>
        </is>
      </c>
      <c r="I462" t="n">
        <v>4000000</v>
      </c>
      <c r="J462" t="n">
        <v>0.083</v>
      </c>
      <c r="K462" t="n">
        <v>1.76</v>
      </c>
      <c r="L462" t="n">
        <v>0.13</v>
      </c>
      <c r="M462" t="n">
        <v>1.63</v>
      </c>
      <c r="P462" t="inlineStr">
        <is>
          <t>정세빈</t>
        </is>
      </c>
      <c r="Q462" t="inlineStr">
        <is>
          <t>홈서비스 24개월</t>
        </is>
      </c>
      <c r="Z462" t="n">
        <v>0</v>
      </c>
      <c r="AB462" t="inlineStr">
        <is>
          <t>홈서비스</t>
        </is>
      </c>
      <c r="AC462" t="n">
        <v>70400</v>
      </c>
      <c r="AD462" t="n">
        <v>5200</v>
      </c>
      <c r="AE462" t="n">
        <v>65200</v>
      </c>
      <c r="AF462" t="n">
        <v>64000</v>
      </c>
      <c r="AG462" t="n">
        <v>5200</v>
      </c>
      <c r="AH462" t="n">
        <v>58800</v>
      </c>
      <c r="AI462" t="n">
        <v>0</v>
      </c>
    </row>
    <row r="463">
      <c r="A463" t="inlineStr">
        <is>
          <t>1월</t>
        </is>
      </c>
      <c r="B463" t="inlineStr">
        <is>
          <t>3주차</t>
        </is>
      </c>
      <c r="C463" t="inlineStr">
        <is>
          <t>EP</t>
        </is>
      </c>
      <c r="D463" s="28" t="n">
        <v>46037</v>
      </c>
      <c r="E463" t="inlineStr">
        <is>
          <t>현대EP_fast</t>
        </is>
      </c>
      <c r="F463" t="inlineStr">
        <is>
          <t>박민서</t>
        </is>
      </c>
      <c r="G463" t="inlineStr">
        <is>
          <t>010-7114-4794</t>
        </is>
      </c>
      <c r="H463" t="inlineStr">
        <is>
          <t>108부6083</t>
        </is>
      </c>
      <c r="I463" t="n">
        <v>24900000</v>
      </c>
      <c r="J463" t="n">
        <v>0.06900000000000001</v>
      </c>
      <c r="K463" t="n">
        <v>1.76</v>
      </c>
      <c r="L463" t="n">
        <v>0.13</v>
      </c>
      <c r="M463" t="n">
        <v>1.63</v>
      </c>
      <c r="P463" t="inlineStr">
        <is>
          <t>정광호</t>
        </is>
      </c>
      <c r="Q463" t="inlineStr">
        <is>
          <t>홈서비스 60개월</t>
        </is>
      </c>
      <c r="Z463" t="n">
        <v>0</v>
      </c>
      <c r="AB463" t="inlineStr">
        <is>
          <t>홈서비스</t>
        </is>
      </c>
      <c r="AC463" t="n">
        <v>438240</v>
      </c>
      <c r="AD463" t="n">
        <v>32370</v>
      </c>
      <c r="AE463" t="n">
        <v>405870</v>
      </c>
      <c r="AF463" t="n">
        <v>398400</v>
      </c>
      <c r="AG463" t="n">
        <v>32370</v>
      </c>
      <c r="AH463" t="n">
        <v>366030</v>
      </c>
      <c r="AI463" t="n">
        <v>0</v>
      </c>
    </row>
    <row r="464">
      <c r="A464" t="inlineStr">
        <is>
          <t>1월</t>
        </is>
      </c>
      <c r="B464" t="inlineStr">
        <is>
          <t>3주차</t>
        </is>
      </c>
      <c r="C464" t="inlineStr">
        <is>
          <t>WC</t>
        </is>
      </c>
      <c r="D464" s="28" t="n">
        <v>46038</v>
      </c>
      <c r="E464" t="inlineStr">
        <is>
          <t>웰컴저축은행</t>
        </is>
      </c>
      <c r="F464" t="inlineStr">
        <is>
          <t>김정민</t>
        </is>
      </c>
      <c r="G464" t="inlineStr">
        <is>
          <t>010-3193-6130</t>
        </is>
      </c>
      <c r="H464" t="inlineStr">
        <is>
          <t>26도9312</t>
        </is>
      </c>
      <c r="I464" t="n">
        <v>24800000</v>
      </c>
      <c r="J464" t="n">
        <v>0.159</v>
      </c>
      <c r="K464" t="n">
        <v>0</v>
      </c>
      <c r="L464" t="n">
        <v>0.13</v>
      </c>
      <c r="M464" t="n">
        <v>-0.13</v>
      </c>
      <c r="P464" t="inlineStr">
        <is>
          <t>황채이</t>
        </is>
      </c>
      <c r="Q464" t="inlineStr">
        <is>
          <t>홈서비스 60개월</t>
        </is>
      </c>
      <c r="Z464" t="n">
        <v>0</v>
      </c>
      <c r="AB464" t="inlineStr">
        <is>
          <t>홈서비스</t>
        </is>
      </c>
      <c r="AC464" t="n">
        <v>0</v>
      </c>
      <c r="AD464" t="n">
        <v>32240</v>
      </c>
      <c r="AE464" t="n">
        <v>-32240</v>
      </c>
      <c r="AF464" t="n">
        <v>0</v>
      </c>
      <c r="AG464" t="n">
        <v>32240</v>
      </c>
      <c r="AH464" t="n">
        <v>-32240</v>
      </c>
    </row>
    <row r="465">
      <c r="A465" t="inlineStr">
        <is>
          <t>1월</t>
        </is>
      </c>
      <c r="B465" t="inlineStr">
        <is>
          <t>3주차</t>
        </is>
      </c>
      <c r="C465" t="inlineStr">
        <is>
          <t>IM</t>
        </is>
      </c>
      <c r="D465" s="28" t="n">
        <v>46038</v>
      </c>
      <c r="E465" t="inlineStr">
        <is>
          <t>IM캐피탈</t>
        </is>
      </c>
      <c r="F465" t="inlineStr">
        <is>
          <t>윤종훈</t>
        </is>
      </c>
      <c r="G465" t="inlineStr">
        <is>
          <t>010-6815-0821</t>
        </is>
      </c>
      <c r="H465" t="inlineStr">
        <is>
          <t>192노9300</t>
        </is>
      </c>
      <c r="I465" t="n">
        <v>37000000</v>
      </c>
      <c r="J465" t="n">
        <v>0.056</v>
      </c>
      <c r="K465" t="n">
        <v>0.55</v>
      </c>
      <c r="L465" t="n">
        <v>0.4</v>
      </c>
      <c r="M465" t="n">
        <v>0.15</v>
      </c>
      <c r="P465" t="inlineStr">
        <is>
          <t>박소현</t>
        </is>
      </c>
      <c r="Z465" t="n">
        <v>0</v>
      </c>
      <c r="AB465" t="inlineStr">
        <is>
          <t>엔카</t>
        </is>
      </c>
      <c r="AC465" t="n">
        <v>203500</v>
      </c>
      <c r="AD465" t="n">
        <v>148000</v>
      </c>
      <c r="AE465" t="n">
        <v>55500</v>
      </c>
      <c r="AF465" t="n">
        <v>185000</v>
      </c>
      <c r="AG465" t="n">
        <v>148000</v>
      </c>
      <c r="AH465" t="n">
        <v>37000</v>
      </c>
    </row>
    <row r="466">
      <c r="A466" t="inlineStr">
        <is>
          <t>1월</t>
        </is>
      </c>
      <c r="B466" t="inlineStr">
        <is>
          <t>3주차</t>
        </is>
      </c>
      <c r="C466" t="inlineStr">
        <is>
          <t>WC</t>
        </is>
      </c>
      <c r="D466" s="28" t="n">
        <v>46037</v>
      </c>
      <c r="E466" t="inlineStr">
        <is>
          <t>웰컴저축은행</t>
        </is>
      </c>
      <c r="F466" t="inlineStr">
        <is>
          <t>이정훈</t>
        </is>
      </c>
      <c r="G466" t="inlineStr">
        <is>
          <t>010-6826-1344</t>
        </is>
      </c>
      <c r="H466" t="inlineStr">
        <is>
          <t>236더6237</t>
        </is>
      </c>
      <c r="I466" t="n">
        <v>23200000</v>
      </c>
      <c r="J466" t="n">
        <v>0.185</v>
      </c>
      <c r="K466" t="n">
        <v>0</v>
      </c>
      <c r="L466" t="n">
        <v>0.4</v>
      </c>
      <c r="M466" t="n">
        <v>-0.4</v>
      </c>
      <c r="P466" t="inlineStr">
        <is>
          <t>구성완</t>
        </is>
      </c>
      <c r="Q466" t="inlineStr">
        <is>
          <t>금융플러스 :서상민 현대부결 웰컴으로진행 차량변경</t>
        </is>
      </c>
      <c r="Z466" t="n">
        <v>0</v>
      </c>
      <c r="AB466" t="inlineStr">
        <is>
          <t>딜러유입</t>
        </is>
      </c>
      <c r="AC466" t="n">
        <v>0</v>
      </c>
      <c r="AD466" t="n">
        <v>92800</v>
      </c>
      <c r="AE466" t="n">
        <v>-92800</v>
      </c>
      <c r="AF466" t="n">
        <v>0</v>
      </c>
      <c r="AG466" t="n">
        <v>92800</v>
      </c>
      <c r="AH466" t="n">
        <v>-92800</v>
      </c>
    </row>
    <row r="467">
      <c r="A467" t="inlineStr">
        <is>
          <t>1월</t>
        </is>
      </c>
      <c r="B467" t="inlineStr">
        <is>
          <t>3주차</t>
        </is>
      </c>
      <c r="C467" t="inlineStr">
        <is>
          <t>IM</t>
        </is>
      </c>
      <c r="D467" s="28" t="n">
        <v>46037</v>
      </c>
      <c r="E467" t="inlineStr">
        <is>
          <t>IM캐피탈</t>
        </is>
      </c>
      <c r="F467" t="inlineStr">
        <is>
          <t>김형근</t>
        </is>
      </c>
      <c r="G467" t="inlineStr">
        <is>
          <t>010-5066-0599</t>
        </is>
      </c>
      <c r="H467" t="inlineStr">
        <is>
          <t>163주1112</t>
        </is>
      </c>
      <c r="I467" t="n">
        <v>76800000</v>
      </c>
      <c r="J467" t="n">
        <v>0.056</v>
      </c>
      <c r="K467" t="n">
        <v>0.55</v>
      </c>
      <c r="L467" t="n">
        <v>0.4</v>
      </c>
      <c r="M467" t="n">
        <v>0.15</v>
      </c>
      <c r="P467" t="inlineStr">
        <is>
          <t>구성완</t>
        </is>
      </c>
      <c r="Q467" t="inlineStr">
        <is>
          <t>사유 : 기조회건</t>
        </is>
      </c>
      <c r="Z467" t="n">
        <v>0</v>
      </c>
      <c r="AB467" t="inlineStr">
        <is>
          <t>엔카</t>
        </is>
      </c>
      <c r="AC467" t="n">
        <v>422400</v>
      </c>
      <c r="AD467" t="n">
        <v>307200</v>
      </c>
      <c r="AE467" t="n">
        <v>115200</v>
      </c>
      <c r="AF467" t="n">
        <v>384000</v>
      </c>
      <c r="AG467" t="n">
        <v>307200</v>
      </c>
      <c r="AH467" t="n">
        <v>76800</v>
      </c>
      <c r="AI467" t="n">
        <v>0</v>
      </c>
    </row>
    <row r="468">
      <c r="A468" t="inlineStr">
        <is>
          <t>1월</t>
        </is>
      </c>
      <c r="B468" t="inlineStr">
        <is>
          <t>3주차</t>
        </is>
      </c>
      <c r="C468" t="inlineStr">
        <is>
          <t>IM</t>
        </is>
      </c>
      <c r="D468" s="28" t="n">
        <v>46037</v>
      </c>
      <c r="E468" t="inlineStr">
        <is>
          <t>IM캐피탈</t>
        </is>
      </c>
      <c r="F468" t="inlineStr">
        <is>
          <t>김시연</t>
        </is>
      </c>
      <c r="G468" t="inlineStr">
        <is>
          <t>010-8343-2809</t>
        </is>
      </c>
      <c r="H468" t="inlineStr">
        <is>
          <t>13머7203</t>
        </is>
      </c>
      <c r="I468" t="n">
        <v>4900000</v>
      </c>
      <c r="J468" t="n">
        <v>0.056</v>
      </c>
      <c r="K468" t="n">
        <v>0.55</v>
      </c>
      <c r="L468" t="n">
        <v>0.13</v>
      </c>
      <c r="M468" t="n">
        <v>0.42</v>
      </c>
      <c r="P468" t="inlineStr">
        <is>
          <t>박현민</t>
        </is>
      </c>
      <c r="Q468" t="inlineStr">
        <is>
          <t>홈서비스 24개월</t>
        </is>
      </c>
      <c r="Z468" t="n">
        <v>0</v>
      </c>
      <c r="AB468" t="inlineStr">
        <is>
          <t>홈서비스</t>
        </is>
      </c>
      <c r="AC468" t="n">
        <v>26950</v>
      </c>
      <c r="AD468" t="n">
        <v>6370</v>
      </c>
      <c r="AE468" t="n">
        <v>20580</v>
      </c>
      <c r="AF468" t="n">
        <v>24500</v>
      </c>
      <c r="AG468" t="n">
        <v>6370</v>
      </c>
      <c r="AH468" t="n">
        <v>18130</v>
      </c>
    </row>
    <row r="469">
      <c r="A469" t="inlineStr">
        <is>
          <t>1월</t>
        </is>
      </c>
      <c r="B469" t="inlineStr">
        <is>
          <t>3주차</t>
        </is>
      </c>
      <c r="C469" t="inlineStr">
        <is>
          <t>EP</t>
        </is>
      </c>
      <c r="D469" s="28" t="n">
        <v>46038</v>
      </c>
      <c r="E469" t="inlineStr">
        <is>
          <t>현대EP_fast</t>
        </is>
      </c>
      <c r="F469" t="inlineStr">
        <is>
          <t>안계현</t>
        </is>
      </c>
      <c r="G469" t="inlineStr">
        <is>
          <t>010-8948-2013</t>
        </is>
      </c>
      <c r="H469" t="inlineStr">
        <is>
          <t>161로5330</t>
        </is>
      </c>
      <c r="I469" t="n">
        <v>16500000</v>
      </c>
      <c r="J469" t="n">
        <v>0.06900000000000001</v>
      </c>
      <c r="K469" t="n">
        <v>1.76</v>
      </c>
      <c r="L469" t="n">
        <v>0.13</v>
      </c>
      <c r="M469" t="n">
        <v>1.63</v>
      </c>
      <c r="P469" t="inlineStr">
        <is>
          <t>정하은</t>
        </is>
      </c>
      <c r="Q469" t="inlineStr">
        <is>
          <t>홈서비스60개월</t>
        </is>
      </c>
      <c r="Z469" t="n">
        <v>0</v>
      </c>
      <c r="AB469" t="inlineStr">
        <is>
          <t>홈서비스</t>
        </is>
      </c>
      <c r="AC469" t="n">
        <v>290400</v>
      </c>
      <c r="AD469" t="n">
        <v>21450</v>
      </c>
      <c r="AE469" t="n">
        <v>268950</v>
      </c>
      <c r="AF469" t="n">
        <v>264000</v>
      </c>
      <c r="AG469" t="n">
        <v>21450</v>
      </c>
      <c r="AH469" t="n">
        <v>242550</v>
      </c>
      <c r="AI469" t="n">
        <v>0</v>
      </c>
    </row>
    <row r="470">
      <c r="A470" t="inlineStr">
        <is>
          <t>1월</t>
        </is>
      </c>
      <c r="B470" t="inlineStr">
        <is>
          <t>3주차</t>
        </is>
      </c>
      <c r="C470" t="inlineStr">
        <is>
          <t>EP</t>
        </is>
      </c>
      <c r="D470" s="28" t="n">
        <v>46038</v>
      </c>
      <c r="E470" t="inlineStr">
        <is>
          <t>현대EP_fast</t>
        </is>
      </c>
      <c r="F470" t="inlineStr">
        <is>
          <t>이석원</t>
        </is>
      </c>
      <c r="G470" t="inlineStr">
        <is>
          <t>010-9992-1453</t>
        </is>
      </c>
      <c r="H470" t="inlineStr">
        <is>
          <t>174마2885</t>
        </is>
      </c>
      <c r="I470" t="n">
        <v>25000000</v>
      </c>
      <c r="J470" t="n">
        <v>0.073</v>
      </c>
      <c r="K470" t="n">
        <v>1.76</v>
      </c>
      <c r="L470" t="n">
        <v>0.13</v>
      </c>
      <c r="M470" t="n">
        <v>1.63</v>
      </c>
      <c r="P470" t="inlineStr">
        <is>
          <t>최형주</t>
        </is>
      </c>
      <c r="Q470" t="inlineStr">
        <is>
          <t>홈서비스 60개월</t>
        </is>
      </c>
      <c r="Z470" t="n">
        <v>0</v>
      </c>
      <c r="AB470" t="inlineStr">
        <is>
          <t>홈서비스</t>
        </is>
      </c>
      <c r="AC470" t="n">
        <v>440000</v>
      </c>
      <c r="AD470" t="n">
        <v>32500</v>
      </c>
      <c r="AE470" t="n">
        <v>407500</v>
      </c>
      <c r="AF470" t="n">
        <v>400000</v>
      </c>
      <c r="AG470" t="n">
        <v>32500</v>
      </c>
      <c r="AH470" t="n">
        <v>367500</v>
      </c>
    </row>
    <row r="471">
      <c r="A471" t="inlineStr">
        <is>
          <t>1월</t>
        </is>
      </c>
      <c r="B471" t="inlineStr">
        <is>
          <t>3주차</t>
        </is>
      </c>
      <c r="C471" t="inlineStr">
        <is>
          <t>EP</t>
        </is>
      </c>
      <c r="D471" s="28" t="n">
        <v>46038</v>
      </c>
      <c r="E471" t="inlineStr">
        <is>
          <t>제이비EP</t>
        </is>
      </c>
      <c r="F471" t="inlineStr">
        <is>
          <t>강명원</t>
        </is>
      </c>
      <c r="G471" t="inlineStr">
        <is>
          <t>010-3911-4195</t>
        </is>
      </c>
      <c r="H471" t="inlineStr">
        <is>
          <t>15두8975</t>
        </is>
      </c>
      <c r="I471" t="n">
        <v>4600000</v>
      </c>
      <c r="J471" t="n">
        <v>0.08799999999999999</v>
      </c>
      <c r="K471" t="n">
        <v>1.65</v>
      </c>
      <c r="L471" t="n">
        <v>0.4</v>
      </c>
      <c r="M471" t="n">
        <v>1.25</v>
      </c>
      <c r="P471" t="inlineStr">
        <is>
          <t>박현민</t>
        </is>
      </c>
      <c r="Z471" t="n">
        <v>0</v>
      </c>
      <c r="AB471" t="inlineStr">
        <is>
          <t>엔카</t>
        </is>
      </c>
      <c r="AC471" t="n">
        <v>75900</v>
      </c>
      <c r="AD471" t="n">
        <v>18400</v>
      </c>
      <c r="AE471" t="n">
        <v>57500</v>
      </c>
      <c r="AF471" t="n">
        <v>69000</v>
      </c>
      <c r="AG471" t="n">
        <v>18400</v>
      </c>
      <c r="AH471" t="n">
        <v>50600</v>
      </c>
    </row>
    <row r="472">
      <c r="A472" t="inlineStr">
        <is>
          <t>1월</t>
        </is>
      </c>
      <c r="B472" t="inlineStr">
        <is>
          <t>3주차</t>
        </is>
      </c>
      <c r="C472" t="inlineStr">
        <is>
          <t>IM</t>
        </is>
      </c>
      <c r="D472" s="28" t="n">
        <v>46038</v>
      </c>
      <c r="E472" t="inlineStr">
        <is>
          <t>IM캐피탈</t>
        </is>
      </c>
      <c r="F472" t="inlineStr">
        <is>
          <t>손향기</t>
        </is>
      </c>
      <c r="G472" t="inlineStr">
        <is>
          <t>010-5526-2904</t>
        </is>
      </c>
      <c r="H472" t="inlineStr">
        <is>
          <t>56서9782</t>
        </is>
      </c>
      <c r="I472" t="n">
        <v>4600000</v>
      </c>
      <c r="J472" t="n">
        <v>0.08</v>
      </c>
      <c r="K472" t="n">
        <v>0.55</v>
      </c>
      <c r="L472" t="n">
        <v>0.13</v>
      </c>
      <c r="M472" t="n">
        <v>0.42</v>
      </c>
      <c r="P472" t="inlineStr">
        <is>
          <t>박현민</t>
        </is>
      </c>
      <c r="Q472" t="inlineStr">
        <is>
          <t>홈서비스36개월</t>
        </is>
      </c>
      <c r="Z472" t="n">
        <v>0</v>
      </c>
      <c r="AB472" t="inlineStr">
        <is>
          <t>홈서비스</t>
        </is>
      </c>
      <c r="AC472" t="n">
        <v>25300</v>
      </c>
      <c r="AD472" t="n">
        <v>5980</v>
      </c>
      <c r="AE472" t="n">
        <v>19320</v>
      </c>
      <c r="AF472" t="n">
        <v>23000</v>
      </c>
      <c r="AG472" t="n">
        <v>5980</v>
      </c>
      <c r="AH472" t="n">
        <v>17020</v>
      </c>
      <c r="AI472" t="n">
        <v>0</v>
      </c>
    </row>
    <row r="473">
      <c r="A473" t="inlineStr">
        <is>
          <t>1월</t>
        </is>
      </c>
      <c r="B473" t="inlineStr">
        <is>
          <t>3주차</t>
        </is>
      </c>
      <c r="C473" t="inlineStr">
        <is>
          <t>EP</t>
        </is>
      </c>
      <c r="D473" s="28" t="n">
        <v>46038</v>
      </c>
      <c r="E473" t="inlineStr">
        <is>
          <t>현대EP_fast</t>
        </is>
      </c>
      <c r="F473" t="inlineStr">
        <is>
          <t>이승호</t>
        </is>
      </c>
      <c r="G473" t="inlineStr">
        <is>
          <t>010-8037-9403</t>
        </is>
      </c>
      <c r="H473" t="inlineStr">
        <is>
          <t>35보6598</t>
        </is>
      </c>
      <c r="I473" t="n">
        <v>11200000</v>
      </c>
      <c r="J473" t="n">
        <v>0.131</v>
      </c>
      <c r="K473" t="n">
        <v>1.76</v>
      </c>
      <c r="L473" t="n">
        <v>0.13</v>
      </c>
      <c r="M473" t="n">
        <v>1.63</v>
      </c>
      <c r="P473" t="inlineStr">
        <is>
          <t>정세빈</t>
        </is>
      </c>
      <c r="Q473" t="inlineStr">
        <is>
          <t>홈서비스 36개월</t>
        </is>
      </c>
      <c r="Z473" t="n">
        <v>0</v>
      </c>
      <c r="AB473" t="inlineStr">
        <is>
          <t>홈서비스</t>
        </is>
      </c>
      <c r="AC473" t="n">
        <v>197120</v>
      </c>
      <c r="AD473" t="n">
        <v>14560</v>
      </c>
      <c r="AE473" t="n">
        <v>182560</v>
      </c>
      <c r="AF473" t="n">
        <v>179200</v>
      </c>
      <c r="AG473" t="n">
        <v>14560</v>
      </c>
      <c r="AH473" t="n">
        <v>164640</v>
      </c>
      <c r="AI473" t="n">
        <v>0</v>
      </c>
    </row>
    <row r="474">
      <c r="A474" t="inlineStr">
        <is>
          <t>1월</t>
        </is>
      </c>
      <c r="B474" t="inlineStr">
        <is>
          <t>3주차</t>
        </is>
      </c>
      <c r="C474" t="inlineStr">
        <is>
          <t>IM</t>
        </is>
      </c>
      <c r="D474" s="28" t="n">
        <v>46038</v>
      </c>
      <c r="E474" t="inlineStr">
        <is>
          <t>IM캐피탈</t>
        </is>
      </c>
      <c r="F474" t="inlineStr">
        <is>
          <t>김보영</t>
        </is>
      </c>
      <c r="G474" t="inlineStr">
        <is>
          <t>010-7666-3478</t>
        </is>
      </c>
      <c r="H474" t="inlineStr">
        <is>
          <t>348소9759</t>
        </is>
      </c>
      <c r="I474" t="n">
        <v>32000000</v>
      </c>
      <c r="J474" t="n">
        <v>0.039</v>
      </c>
      <c r="K474" t="n">
        <v>2.475</v>
      </c>
      <c r="L474" t="n">
        <v>0.4</v>
      </c>
      <c r="M474" t="n">
        <v>2.075</v>
      </c>
      <c r="N474" t="inlineStr">
        <is>
          <t>이철민</t>
        </is>
      </c>
      <c r="O474" t="inlineStr">
        <is>
          <t>지급</t>
        </is>
      </c>
      <c r="P474" t="inlineStr">
        <is>
          <t>정하은</t>
        </is>
      </c>
      <c r="Z474" t="e">
        <v>#VALUE!</v>
      </c>
      <c r="AB474" t="inlineStr">
        <is>
          <t>엔카</t>
        </is>
      </c>
      <c r="AC474" t="n">
        <v>792000</v>
      </c>
      <c r="AD474" t="n">
        <v>128000</v>
      </c>
      <c r="AE474" t="n">
        <v>664000</v>
      </c>
      <c r="AF474" t="n">
        <v>720000</v>
      </c>
      <c r="AG474" t="n">
        <v>128000</v>
      </c>
      <c r="AH474" t="n">
        <v>592000</v>
      </c>
      <c r="AI474" t="n">
        <v>0</v>
      </c>
    </row>
    <row r="475">
      <c r="A475" t="inlineStr">
        <is>
          <t>1월</t>
        </is>
      </c>
      <c r="B475" t="inlineStr">
        <is>
          <t>3주차</t>
        </is>
      </c>
      <c r="C475" t="inlineStr">
        <is>
          <t>OR</t>
        </is>
      </c>
      <c r="D475" s="28" t="n">
        <v>46038</v>
      </c>
      <c r="E475" t="inlineStr">
        <is>
          <t>오릭스</t>
        </is>
      </c>
      <c r="F475" t="inlineStr">
        <is>
          <t>이푸름</t>
        </is>
      </c>
      <c r="G475" t="inlineStr">
        <is>
          <t>010-2493-7943</t>
        </is>
      </c>
      <c r="H475" t="inlineStr">
        <is>
          <t>325고5268</t>
        </is>
      </c>
      <c r="I475" t="n">
        <v>8900000</v>
      </c>
      <c r="J475" t="n">
        <v>0.08</v>
      </c>
      <c r="K475" t="n">
        <v>1.65</v>
      </c>
      <c r="L475" t="n">
        <v>0.13</v>
      </c>
      <c r="M475" t="n">
        <v>1.52</v>
      </c>
      <c r="P475" t="inlineStr">
        <is>
          <t>정세빈</t>
        </is>
      </c>
      <c r="Q475" t="inlineStr">
        <is>
          <t>홈서비스 48개월 / 사유 : 현대 약정 오류</t>
        </is>
      </c>
      <c r="Z475" t="n">
        <v>0</v>
      </c>
      <c r="AB475" t="inlineStr">
        <is>
          <t>홈서비스</t>
        </is>
      </c>
      <c r="AC475" t="n">
        <v>146850</v>
      </c>
      <c r="AD475" t="n">
        <v>11570</v>
      </c>
      <c r="AE475" t="n">
        <v>135280</v>
      </c>
      <c r="AF475" t="n">
        <v>133500</v>
      </c>
      <c r="AG475" t="n">
        <v>11570</v>
      </c>
      <c r="AH475" t="n">
        <v>121930</v>
      </c>
    </row>
    <row r="476">
      <c r="A476" t="inlineStr">
        <is>
          <t>1월</t>
        </is>
      </c>
      <c r="B476" t="inlineStr">
        <is>
          <t>3주차</t>
        </is>
      </c>
      <c r="C476" t="inlineStr">
        <is>
          <t>EP</t>
        </is>
      </c>
      <c r="D476" s="28" t="n">
        <v>46038</v>
      </c>
      <c r="E476" t="inlineStr">
        <is>
          <t>제이비EP</t>
        </is>
      </c>
      <c r="F476" t="inlineStr">
        <is>
          <t>조정민</t>
        </is>
      </c>
      <c r="G476" t="inlineStr">
        <is>
          <t>010-3822-2348</t>
        </is>
      </c>
      <c r="H476" t="inlineStr">
        <is>
          <t>372버6816</t>
        </is>
      </c>
      <c r="I476" t="n">
        <v>14000000</v>
      </c>
      <c r="J476" t="n">
        <v>0.077</v>
      </c>
      <c r="K476" t="n">
        <v>1.65</v>
      </c>
      <c r="L476" t="n">
        <v>0.4</v>
      </c>
      <c r="M476" t="n">
        <v>1.25</v>
      </c>
      <c r="P476" t="inlineStr">
        <is>
          <t>박소현</t>
        </is>
      </c>
      <c r="Z476" t="n">
        <v>0</v>
      </c>
      <c r="AB476" t="inlineStr">
        <is>
          <t>엔카</t>
        </is>
      </c>
      <c r="AC476" t="n">
        <v>231000</v>
      </c>
      <c r="AD476" t="n">
        <v>56000</v>
      </c>
      <c r="AE476" t="n">
        <v>175000</v>
      </c>
      <c r="AF476" t="n">
        <v>210000</v>
      </c>
      <c r="AG476" t="n">
        <v>56000</v>
      </c>
      <c r="AH476" t="n">
        <v>154000</v>
      </c>
      <c r="AI476" t="n">
        <v>0</v>
      </c>
    </row>
    <row r="477">
      <c r="A477" t="inlineStr">
        <is>
          <t>1월</t>
        </is>
      </c>
      <c r="B477" t="inlineStr">
        <is>
          <t>3주차</t>
        </is>
      </c>
      <c r="C477" t="inlineStr">
        <is>
          <t>IM</t>
        </is>
      </c>
      <c r="D477" s="28" t="n">
        <v>46037</v>
      </c>
      <c r="E477" t="inlineStr">
        <is>
          <t>IM캐피탈</t>
        </is>
      </c>
      <c r="F477" t="inlineStr">
        <is>
          <t>배민정</t>
        </is>
      </c>
      <c r="G477" t="inlineStr">
        <is>
          <t>010-2842-6759</t>
        </is>
      </c>
      <c r="H477" t="inlineStr">
        <is>
          <t>35우2132</t>
        </is>
      </c>
      <c r="I477" t="n">
        <v>14800000</v>
      </c>
      <c r="J477" t="n">
        <v>0.07199999999999999</v>
      </c>
      <c r="K477" t="n">
        <v>0.55</v>
      </c>
      <c r="L477" t="n">
        <v>0.13</v>
      </c>
      <c r="M477" t="n">
        <v>0.42</v>
      </c>
      <c r="P477" t="inlineStr">
        <is>
          <t>박보람</t>
        </is>
      </c>
      <c r="Q477" t="inlineStr">
        <is>
          <t>선상담 / 홈서비스 48개월 / 사유 : 기승인건 / 현금전산</t>
        </is>
      </c>
      <c r="Z477" t="n">
        <v>0</v>
      </c>
      <c r="AB477" t="inlineStr">
        <is>
          <t>홈서비스</t>
        </is>
      </c>
      <c r="AC477" t="n">
        <v>81400</v>
      </c>
      <c r="AD477" t="n">
        <v>19240</v>
      </c>
      <c r="AE477" t="n">
        <v>62160</v>
      </c>
      <c r="AF477" t="n">
        <v>74000</v>
      </c>
      <c r="AG477" t="n">
        <v>19240</v>
      </c>
      <c r="AH477" t="n">
        <v>54760</v>
      </c>
    </row>
    <row r="478">
      <c r="A478" t="inlineStr">
        <is>
          <t>1월</t>
        </is>
      </c>
      <c r="B478" t="inlineStr">
        <is>
          <t>3주차</t>
        </is>
      </c>
      <c r="C478" t="inlineStr">
        <is>
          <t>EP</t>
        </is>
      </c>
      <c r="D478" s="28" t="n">
        <v>46038</v>
      </c>
      <c r="E478" t="inlineStr">
        <is>
          <t>현대EP_fast</t>
        </is>
      </c>
      <c r="F478" t="inlineStr">
        <is>
          <t>양충렬</t>
        </is>
      </c>
      <c r="G478" t="inlineStr">
        <is>
          <t>010-9946-4246</t>
        </is>
      </c>
      <c r="H478" t="inlineStr">
        <is>
          <t>56조4036</t>
        </is>
      </c>
      <c r="I478" t="n">
        <v>4000000</v>
      </c>
      <c r="J478" t="n">
        <v>0.075</v>
      </c>
      <c r="K478" t="n">
        <v>1.76</v>
      </c>
      <c r="L478" t="n">
        <v>0.13</v>
      </c>
      <c r="M478" t="n">
        <v>1.63</v>
      </c>
      <c r="P478" t="inlineStr">
        <is>
          <t>최형주</t>
        </is>
      </c>
      <c r="Q478" t="inlineStr">
        <is>
          <t>홈서비스 36개월</t>
        </is>
      </c>
      <c r="Z478" t="n">
        <v>0</v>
      </c>
      <c r="AB478" t="inlineStr">
        <is>
          <t>홈서비스</t>
        </is>
      </c>
      <c r="AC478" t="n">
        <v>70400</v>
      </c>
      <c r="AD478" t="n">
        <v>5200</v>
      </c>
      <c r="AE478" t="n">
        <v>65200</v>
      </c>
      <c r="AF478" t="n">
        <v>64000</v>
      </c>
      <c r="AG478" t="n">
        <v>5200</v>
      </c>
      <c r="AH478" t="n">
        <v>58800</v>
      </c>
    </row>
    <row r="479">
      <c r="A479" t="inlineStr">
        <is>
          <t>1월</t>
        </is>
      </c>
      <c r="B479" t="inlineStr">
        <is>
          <t>3주차</t>
        </is>
      </c>
      <c r="C479" t="inlineStr">
        <is>
          <t>IM</t>
        </is>
      </c>
      <c r="D479" s="28" t="n">
        <v>46036</v>
      </c>
      <c r="E479" t="inlineStr">
        <is>
          <t>IM캐피탈</t>
        </is>
      </c>
      <c r="F479" t="inlineStr">
        <is>
          <t>최민</t>
        </is>
      </c>
      <c r="G479" t="inlineStr">
        <is>
          <t>010-9508-3589</t>
        </is>
      </c>
      <c r="H479" t="inlineStr">
        <is>
          <t>156라8799</t>
        </is>
      </c>
      <c r="I479" t="n">
        <v>10000000</v>
      </c>
      <c r="J479" t="n">
        <v>0.067</v>
      </c>
      <c r="K479" t="n">
        <v>0.55</v>
      </c>
      <c r="L479" t="n">
        <v>0.4</v>
      </c>
      <c r="M479" t="n">
        <v>0.15</v>
      </c>
      <c r="P479" t="inlineStr">
        <is>
          <t>임대경</t>
        </is>
      </c>
      <c r="Q479" t="inlineStr">
        <is>
          <t>사유 : 현대 금리 불만</t>
        </is>
      </c>
      <c r="Z479" t="n">
        <v>0</v>
      </c>
      <c r="AB479" t="inlineStr">
        <is>
          <t>엔카</t>
        </is>
      </c>
      <c r="AC479" t="n">
        <v>55000</v>
      </c>
      <c r="AD479" t="n">
        <v>40000</v>
      </c>
      <c r="AE479" t="n">
        <v>15000</v>
      </c>
      <c r="AF479" t="n">
        <v>50000</v>
      </c>
      <c r="AG479" t="n">
        <v>40000</v>
      </c>
      <c r="AH479" t="n">
        <v>10000</v>
      </c>
    </row>
    <row r="480">
      <c r="A480" t="inlineStr">
        <is>
          <t>1월</t>
        </is>
      </c>
      <c r="B480" t="inlineStr">
        <is>
          <t>3주차</t>
        </is>
      </c>
      <c r="C480" t="inlineStr">
        <is>
          <t>IM</t>
        </is>
      </c>
      <c r="D480" s="28" t="n">
        <v>46037</v>
      </c>
      <c r="E480" t="inlineStr">
        <is>
          <t>IM캐피탈</t>
        </is>
      </c>
      <c r="F480" t="inlineStr">
        <is>
          <t>이동진</t>
        </is>
      </c>
      <c r="G480" t="inlineStr">
        <is>
          <t>010-6483-5701</t>
        </is>
      </c>
      <c r="H480" t="inlineStr">
        <is>
          <t>25라4085</t>
        </is>
      </c>
      <c r="I480" t="n">
        <v>18000000</v>
      </c>
      <c r="J480" t="n">
        <v>0.049</v>
      </c>
      <c r="K480" t="n">
        <v>0.55</v>
      </c>
      <c r="L480" t="n">
        <v>0.4</v>
      </c>
      <c r="M480" t="n">
        <v>0.15</v>
      </c>
      <c r="P480" t="inlineStr">
        <is>
          <t>임대경</t>
        </is>
      </c>
      <c r="Q480" t="inlineStr">
        <is>
          <t>사유:현대금리불만</t>
        </is>
      </c>
      <c r="Z480" t="n">
        <v>0</v>
      </c>
      <c r="AB480" t="inlineStr">
        <is>
          <t>엔카</t>
        </is>
      </c>
      <c r="AC480" t="n">
        <v>99000</v>
      </c>
      <c r="AD480" t="n">
        <v>72000</v>
      </c>
      <c r="AE480" t="n">
        <v>27000</v>
      </c>
      <c r="AF480" t="n">
        <v>90000</v>
      </c>
      <c r="AG480" t="n">
        <v>72000</v>
      </c>
      <c r="AH480" t="n">
        <v>18000</v>
      </c>
    </row>
    <row r="481">
      <c r="A481" t="inlineStr">
        <is>
          <t>1월</t>
        </is>
      </c>
      <c r="B481" t="inlineStr">
        <is>
          <t>3주차</t>
        </is>
      </c>
      <c r="C481" t="inlineStr">
        <is>
          <t>EP</t>
        </is>
      </c>
      <c r="D481" s="28" t="n">
        <v>46039</v>
      </c>
      <c r="E481" t="inlineStr">
        <is>
          <t>현대EP_fast</t>
        </is>
      </c>
      <c r="F481" t="inlineStr">
        <is>
          <t>이은경</t>
        </is>
      </c>
      <c r="G481" t="inlineStr">
        <is>
          <t>010-5624-3606</t>
        </is>
      </c>
      <c r="H481" t="inlineStr">
        <is>
          <t>239수1309</t>
        </is>
      </c>
      <c r="I481" t="n">
        <v>39900000</v>
      </c>
      <c r="J481" t="n">
        <v>0.08500000000000001</v>
      </c>
      <c r="K481" t="n">
        <v>1.76</v>
      </c>
      <c r="L481" t="n">
        <v>0.4</v>
      </c>
      <c r="M481" t="n">
        <v>1.36</v>
      </c>
      <c r="P481" t="inlineStr">
        <is>
          <t>임대경</t>
        </is>
      </c>
      <c r="Z481" t="n">
        <v>0</v>
      </c>
      <c r="AB481" t="inlineStr">
        <is>
          <t>엔카</t>
        </is>
      </c>
      <c r="AC481" t="n">
        <v>702240</v>
      </c>
      <c r="AD481" t="n">
        <v>159600</v>
      </c>
      <c r="AE481" t="n">
        <v>542640</v>
      </c>
      <c r="AF481" t="n">
        <v>638400</v>
      </c>
      <c r="AG481" t="n">
        <v>159600</v>
      </c>
      <c r="AH481" t="n">
        <v>478800</v>
      </c>
      <c r="AI481" t="n">
        <v>1</v>
      </c>
    </row>
    <row r="482">
      <c r="A482" t="inlineStr">
        <is>
          <t>1월</t>
        </is>
      </c>
      <c r="B482" t="inlineStr">
        <is>
          <t>3주차</t>
        </is>
      </c>
      <c r="C482" t="inlineStr">
        <is>
          <t>EP</t>
        </is>
      </c>
      <c r="D482" s="28" t="n">
        <v>46038</v>
      </c>
      <c r="E482" t="inlineStr">
        <is>
          <t>현대EP_fast</t>
        </is>
      </c>
      <c r="F482" t="inlineStr">
        <is>
          <t>최은숙</t>
        </is>
      </c>
      <c r="G482" t="inlineStr">
        <is>
          <t>010-3301-5568</t>
        </is>
      </c>
      <c r="H482" t="inlineStr">
        <is>
          <t>387노8335</t>
        </is>
      </c>
      <c r="I482" t="n">
        <v>56000000</v>
      </c>
      <c r="J482" t="n">
        <v>0.076</v>
      </c>
      <c r="K482" t="n">
        <v>1.76</v>
      </c>
      <c r="L482" t="n">
        <v>0.4</v>
      </c>
      <c r="M482" t="n">
        <v>1.36</v>
      </c>
      <c r="P482" t="inlineStr">
        <is>
          <t>박보람</t>
        </is>
      </c>
      <c r="Q482" t="inlineStr">
        <is>
          <t>금융플러스 : 이철민</t>
        </is>
      </c>
      <c r="Z482" t="n">
        <v>0</v>
      </c>
      <c r="AB482" t="inlineStr">
        <is>
          <t>딜러유입</t>
        </is>
      </c>
      <c r="AC482" t="n">
        <v>985600</v>
      </c>
      <c r="AD482" t="n">
        <v>224000</v>
      </c>
      <c r="AE482" t="n">
        <v>761600</v>
      </c>
      <c r="AF482" t="n">
        <v>896000</v>
      </c>
      <c r="AG482" t="n">
        <v>224000</v>
      </c>
      <c r="AH482" t="n">
        <v>672000</v>
      </c>
      <c r="AI482" t="n">
        <v>1</v>
      </c>
    </row>
    <row r="483">
      <c r="A483" t="inlineStr">
        <is>
          <t>1월</t>
        </is>
      </c>
      <c r="B483" t="inlineStr">
        <is>
          <t>3주차</t>
        </is>
      </c>
      <c r="C483" t="inlineStr">
        <is>
          <t>IM</t>
        </is>
      </c>
      <c r="D483" s="28" t="n">
        <v>46038</v>
      </c>
      <c r="E483" t="inlineStr">
        <is>
          <t>IM캐피탈</t>
        </is>
      </c>
      <c r="F483" t="inlineStr">
        <is>
          <t>임지현</t>
        </is>
      </c>
      <c r="G483" t="inlineStr">
        <is>
          <t>010-4247-6333</t>
        </is>
      </c>
      <c r="H483" t="inlineStr">
        <is>
          <t>377노2941</t>
        </is>
      </c>
      <c r="I483" t="n">
        <v>12300000</v>
      </c>
      <c r="J483" t="n">
        <v>0.056</v>
      </c>
      <c r="K483" t="n">
        <v>0.55</v>
      </c>
      <c r="L483" t="n">
        <v>0.13</v>
      </c>
      <c r="M483" t="n">
        <v>0.42</v>
      </c>
      <c r="P483" t="inlineStr">
        <is>
          <t>박소현</t>
        </is>
      </c>
      <c r="Q483" t="inlineStr">
        <is>
          <t>홈서비스 60개월</t>
        </is>
      </c>
      <c r="Z483" t="n">
        <v>0</v>
      </c>
      <c r="AB483" t="inlineStr">
        <is>
          <t>홈서비스</t>
        </is>
      </c>
      <c r="AC483" t="n">
        <v>67650</v>
      </c>
      <c r="AD483" t="n">
        <v>15990</v>
      </c>
      <c r="AE483" t="n">
        <v>51660</v>
      </c>
      <c r="AF483" t="n">
        <v>61500</v>
      </c>
      <c r="AG483" t="n">
        <v>15990</v>
      </c>
      <c r="AH483" t="n">
        <v>45510</v>
      </c>
      <c r="AI483" t="n">
        <v>1</v>
      </c>
    </row>
    <row r="484">
      <c r="A484" t="inlineStr">
        <is>
          <t>1월</t>
        </is>
      </c>
      <c r="B484" t="inlineStr">
        <is>
          <t>3주차</t>
        </is>
      </c>
      <c r="C484" t="inlineStr">
        <is>
          <t>IM</t>
        </is>
      </c>
      <c r="D484" s="28" t="n">
        <v>46037</v>
      </c>
      <c r="E484" t="inlineStr">
        <is>
          <t>IM캐피탈</t>
        </is>
      </c>
      <c r="F484" t="inlineStr">
        <is>
          <t>김우진</t>
        </is>
      </c>
      <c r="G484" t="inlineStr">
        <is>
          <t>010-7187-8799</t>
        </is>
      </c>
      <c r="H484" t="inlineStr">
        <is>
          <t>64고0353</t>
        </is>
      </c>
      <c r="I484" t="n">
        <v>12600000</v>
      </c>
      <c r="J484" t="n">
        <v>0.053</v>
      </c>
      <c r="K484" t="n">
        <v>0.55</v>
      </c>
      <c r="L484" t="n">
        <v>0.13</v>
      </c>
      <c r="M484" t="n">
        <v>0.42</v>
      </c>
      <c r="P484" t="inlineStr">
        <is>
          <t>최혁</t>
        </is>
      </c>
      <c r="Q484" t="inlineStr">
        <is>
          <t>안심거래존건</t>
        </is>
      </c>
      <c r="Z484" t="n">
        <v>0</v>
      </c>
      <c r="AB484" t="inlineStr">
        <is>
          <t>믿고</t>
        </is>
      </c>
      <c r="AC484" t="n">
        <v>69300</v>
      </c>
      <c r="AD484" t="n">
        <v>16380</v>
      </c>
      <c r="AE484" t="n">
        <v>52920</v>
      </c>
      <c r="AF484" t="n">
        <v>63000</v>
      </c>
      <c r="AG484" t="n">
        <v>16380</v>
      </c>
      <c r="AH484" t="n">
        <v>46620</v>
      </c>
      <c r="AI484" t="n">
        <v>1</v>
      </c>
    </row>
    <row r="485">
      <c r="A485" t="inlineStr">
        <is>
          <t>1월</t>
        </is>
      </c>
      <c r="B485" t="inlineStr">
        <is>
          <t>3주차</t>
        </is>
      </c>
      <c r="C485" t="inlineStr">
        <is>
          <t>EP</t>
        </is>
      </c>
      <c r="D485" s="28" t="n">
        <v>46038</v>
      </c>
      <c r="E485" t="inlineStr">
        <is>
          <t>현대EP_fast</t>
        </is>
      </c>
      <c r="F485" t="inlineStr">
        <is>
          <t>남지선</t>
        </is>
      </c>
      <c r="G485" t="n">
        <v>1029399607</v>
      </c>
      <c r="H485" t="inlineStr">
        <is>
          <t>42소2400</t>
        </is>
      </c>
      <c r="I485" t="n">
        <v>4000000</v>
      </c>
      <c r="J485" t="n">
        <v>0.07199999999999999</v>
      </c>
      <c r="K485" t="n">
        <v>1.76</v>
      </c>
      <c r="L485" t="n">
        <v>0.13</v>
      </c>
      <c r="M485" t="n">
        <v>1.63</v>
      </c>
      <c r="P485" t="inlineStr">
        <is>
          <t>김나윤</t>
        </is>
      </c>
      <c r="Q485" t="inlineStr">
        <is>
          <t>홈서비스 36개월 /*당월철회 20260123</t>
        </is>
      </c>
      <c r="Z485" t="n">
        <v>0</v>
      </c>
      <c r="AB485" t="inlineStr">
        <is>
          <t>홈서비스</t>
        </is>
      </c>
      <c r="AC485" t="n">
        <v>70400</v>
      </c>
      <c r="AD485" t="n">
        <v>5200</v>
      </c>
      <c r="AE485" t="n">
        <v>65200</v>
      </c>
      <c r="AF485" t="n">
        <v>64000</v>
      </c>
      <c r="AG485" t="n">
        <v>5200</v>
      </c>
      <c r="AH485" t="n">
        <v>58800</v>
      </c>
      <c r="AI485" t="n">
        <v>1</v>
      </c>
      <c r="AK485" t="inlineStr">
        <is>
          <t>대출철회</t>
        </is>
      </c>
    </row>
    <row r="486">
      <c r="A486" t="inlineStr">
        <is>
          <t>1월</t>
        </is>
      </c>
      <c r="B486" t="inlineStr">
        <is>
          <t>3주차</t>
        </is>
      </c>
      <c r="C486" t="inlineStr">
        <is>
          <t>IM</t>
        </is>
      </c>
      <c r="D486" s="28" t="n">
        <v>46038</v>
      </c>
      <c r="E486" t="inlineStr">
        <is>
          <t>IM캐피탈</t>
        </is>
      </c>
      <c r="F486" t="inlineStr">
        <is>
          <t>김태곤</t>
        </is>
      </c>
      <c r="G486" t="inlineStr">
        <is>
          <t>010-5606-3988</t>
        </is>
      </c>
      <c r="H486" t="inlineStr">
        <is>
          <t>16도7658</t>
        </is>
      </c>
      <c r="I486" t="n">
        <v>10000000</v>
      </c>
      <c r="J486" t="n">
        <v>0.056</v>
      </c>
      <c r="K486" t="n">
        <v>0.55</v>
      </c>
      <c r="L486" t="n">
        <v>0.13</v>
      </c>
      <c r="M486" t="n">
        <v>0.42</v>
      </c>
      <c r="P486" t="inlineStr">
        <is>
          <t>최형주</t>
        </is>
      </c>
      <c r="Q486" t="inlineStr">
        <is>
          <t>홈서비스 48개월</t>
        </is>
      </c>
      <c r="Z486" t="n">
        <v>0</v>
      </c>
      <c r="AB486" t="inlineStr">
        <is>
          <t>홈서비스</t>
        </is>
      </c>
      <c r="AC486" t="n">
        <v>55000</v>
      </c>
      <c r="AD486" t="n">
        <v>13000</v>
      </c>
      <c r="AE486" t="n">
        <v>42000</v>
      </c>
      <c r="AF486" t="n">
        <v>50000</v>
      </c>
      <c r="AG486" t="n">
        <v>13000</v>
      </c>
      <c r="AH486" t="n">
        <v>37000</v>
      </c>
      <c r="AI486" t="n">
        <v>1</v>
      </c>
    </row>
    <row r="487">
      <c r="A487" t="inlineStr">
        <is>
          <t>1월</t>
        </is>
      </c>
      <c r="B487" t="inlineStr">
        <is>
          <t>3주차</t>
        </is>
      </c>
      <c r="C487" t="inlineStr">
        <is>
          <t>EP</t>
        </is>
      </c>
      <c r="D487" s="28" t="n">
        <v>46038</v>
      </c>
      <c r="E487" t="inlineStr">
        <is>
          <t>현대EP</t>
        </is>
      </c>
      <c r="F487" t="inlineStr">
        <is>
          <t>박성호</t>
        </is>
      </c>
      <c r="G487" t="inlineStr">
        <is>
          <t>010-7115-4586</t>
        </is>
      </c>
      <c r="H487" t="inlineStr">
        <is>
          <t>399조7425</t>
        </is>
      </c>
      <c r="I487" t="n">
        <v>29900000</v>
      </c>
      <c r="J487" t="n">
        <v>0.097</v>
      </c>
      <c r="K487" t="n">
        <v>1.76</v>
      </c>
      <c r="L487" t="n">
        <v>0.13</v>
      </c>
      <c r="M487" t="n">
        <v>1.63</v>
      </c>
      <c r="P487" t="inlineStr">
        <is>
          <t>황채이</t>
        </is>
      </c>
      <c r="Q487" t="inlineStr">
        <is>
          <t>홈서비스 60개월</t>
        </is>
      </c>
      <c r="Z487" t="n">
        <v>0</v>
      </c>
      <c r="AB487" t="inlineStr">
        <is>
          <t>홈서비스</t>
        </is>
      </c>
      <c r="AC487" t="n">
        <v>526240</v>
      </c>
      <c r="AD487" t="n">
        <v>38870</v>
      </c>
      <c r="AE487" t="n">
        <v>487370</v>
      </c>
      <c r="AF487" t="n">
        <v>478400</v>
      </c>
      <c r="AG487" t="n">
        <v>38870</v>
      </c>
      <c r="AH487" t="n">
        <v>439530</v>
      </c>
      <c r="AI487" t="n">
        <v>1</v>
      </c>
    </row>
    <row r="488">
      <c r="A488" t="inlineStr">
        <is>
          <t>1월</t>
        </is>
      </c>
      <c r="B488" t="inlineStr">
        <is>
          <t>3주차</t>
        </is>
      </c>
      <c r="C488" t="inlineStr">
        <is>
          <t>EP</t>
        </is>
      </c>
      <c r="D488" s="28" t="n">
        <v>46038</v>
      </c>
      <c r="E488" t="inlineStr">
        <is>
          <t>현대EP</t>
        </is>
      </c>
      <c r="F488" t="inlineStr">
        <is>
          <t>신동일</t>
        </is>
      </c>
      <c r="G488" t="inlineStr">
        <is>
          <t>010-8964-2236</t>
        </is>
      </c>
      <c r="H488" t="inlineStr">
        <is>
          <t>143더4837</t>
        </is>
      </c>
      <c r="I488" t="n">
        <v>11000000</v>
      </c>
      <c r="J488" t="n">
        <v>0.07199999999999999</v>
      </c>
      <c r="K488" t="n">
        <v>1.76</v>
      </c>
      <c r="L488" t="n">
        <v>0.13</v>
      </c>
      <c r="M488" t="n">
        <v>1.63</v>
      </c>
      <c r="P488" t="inlineStr">
        <is>
          <t>황채이</t>
        </is>
      </c>
      <c r="Q488" t="inlineStr">
        <is>
          <t>홈서비스 48개월</t>
        </is>
      </c>
      <c r="Z488" t="n">
        <v>0</v>
      </c>
      <c r="AB488" t="inlineStr">
        <is>
          <t>홈서비스</t>
        </is>
      </c>
      <c r="AC488" t="n">
        <v>193600</v>
      </c>
      <c r="AD488" t="n">
        <v>14300</v>
      </c>
      <c r="AE488" t="n">
        <v>179300</v>
      </c>
      <c r="AF488" t="n">
        <v>176000</v>
      </c>
      <c r="AG488" t="n">
        <v>14300</v>
      </c>
      <c r="AH488" t="n">
        <v>161700</v>
      </c>
      <c r="AI488" t="n">
        <v>1</v>
      </c>
    </row>
    <row r="489">
      <c r="A489" t="inlineStr">
        <is>
          <t>1월</t>
        </is>
      </c>
      <c r="B489" t="inlineStr">
        <is>
          <t>3주차</t>
        </is>
      </c>
      <c r="C489" t="inlineStr">
        <is>
          <t>EP</t>
        </is>
      </c>
      <c r="D489" s="28" t="n">
        <v>46038</v>
      </c>
      <c r="E489" t="inlineStr">
        <is>
          <t>BNKEP</t>
        </is>
      </c>
      <c r="F489" t="inlineStr">
        <is>
          <t>윤도현</t>
        </is>
      </c>
      <c r="G489" t="n">
        <v>1062051778</v>
      </c>
      <c r="H489" t="inlineStr">
        <is>
          <t>17부4181</t>
        </is>
      </c>
      <c r="I489" t="n">
        <v>9800000</v>
      </c>
      <c r="J489" t="n">
        <v>0.097</v>
      </c>
      <c r="K489" t="n">
        <v>1.65</v>
      </c>
      <c r="L489" t="n">
        <v>0.13</v>
      </c>
      <c r="M489" t="n">
        <v>1.52</v>
      </c>
      <c r="P489" t="inlineStr">
        <is>
          <t>김나윤</t>
        </is>
      </c>
      <c r="Q489" t="inlineStr">
        <is>
          <t>사유 : 한도 금리 불만 / 홈서비스 24개월</t>
        </is>
      </c>
      <c r="Z489" t="n">
        <v>0</v>
      </c>
      <c r="AB489" t="inlineStr">
        <is>
          <t>홈서비스</t>
        </is>
      </c>
      <c r="AC489" t="n">
        <v>161700</v>
      </c>
      <c r="AD489" t="n">
        <v>12740</v>
      </c>
      <c r="AE489" t="n">
        <v>148960</v>
      </c>
      <c r="AF489" t="n">
        <v>147000</v>
      </c>
      <c r="AG489" t="n">
        <v>12740</v>
      </c>
      <c r="AH489" t="n">
        <v>134260</v>
      </c>
    </row>
    <row r="490">
      <c r="A490" t="inlineStr">
        <is>
          <t>1월</t>
        </is>
      </c>
      <c r="B490" t="inlineStr">
        <is>
          <t>3주차</t>
        </is>
      </c>
      <c r="C490" t="inlineStr">
        <is>
          <t>EP</t>
        </is>
      </c>
      <c r="D490" s="28" t="n">
        <v>46038</v>
      </c>
      <c r="E490" t="inlineStr">
        <is>
          <t>현대EP</t>
        </is>
      </c>
      <c r="F490" t="inlineStr">
        <is>
          <t>김지현</t>
        </is>
      </c>
      <c r="G490" t="inlineStr">
        <is>
          <t>010-9113-2566</t>
        </is>
      </c>
      <c r="H490" t="inlineStr">
        <is>
          <t>281로9698</t>
        </is>
      </c>
      <c r="I490" t="n">
        <v>36900000</v>
      </c>
      <c r="J490" t="n">
        <v>0.068</v>
      </c>
      <c r="K490" t="n">
        <v>1.76</v>
      </c>
      <c r="L490" t="n">
        <v>0.13</v>
      </c>
      <c r="M490" t="n">
        <v>1.63</v>
      </c>
      <c r="P490" t="inlineStr">
        <is>
          <t>김나윤</t>
        </is>
      </c>
      <c r="Q490" t="inlineStr">
        <is>
          <t>홈서비스 60개월</t>
        </is>
      </c>
      <c r="Z490" t="n">
        <v>0</v>
      </c>
      <c r="AB490" t="inlineStr">
        <is>
          <t>홈서비스</t>
        </is>
      </c>
      <c r="AC490" t="n">
        <v>649440</v>
      </c>
      <c r="AD490" t="n">
        <v>47970</v>
      </c>
      <c r="AE490" t="n">
        <v>601470</v>
      </c>
      <c r="AF490" t="n">
        <v>590400</v>
      </c>
      <c r="AG490" t="n">
        <v>47970</v>
      </c>
      <c r="AH490" t="n">
        <v>542430</v>
      </c>
    </row>
    <row r="491">
      <c r="A491" t="inlineStr">
        <is>
          <t>1월</t>
        </is>
      </c>
      <c r="B491" t="inlineStr">
        <is>
          <t>3주차</t>
        </is>
      </c>
      <c r="C491" t="inlineStr">
        <is>
          <t>EP</t>
        </is>
      </c>
      <c r="D491" s="28" t="n">
        <v>46038</v>
      </c>
      <c r="E491" t="inlineStr">
        <is>
          <t>현대EP</t>
        </is>
      </c>
      <c r="F491" t="inlineStr">
        <is>
          <t>엄서빈</t>
        </is>
      </c>
      <c r="G491" t="inlineStr">
        <is>
          <t>010-2866-6300</t>
        </is>
      </c>
      <c r="H491" t="inlineStr">
        <is>
          <t>60도2810</t>
        </is>
      </c>
      <c r="I491" t="n">
        <v>17500000</v>
      </c>
      <c r="J491" t="n">
        <v>0.097</v>
      </c>
      <c r="K491" t="n">
        <v>1.76</v>
      </c>
      <c r="L491" t="n">
        <v>0.13</v>
      </c>
      <c r="M491" t="n">
        <v>1.63</v>
      </c>
      <c r="P491" t="inlineStr">
        <is>
          <t>김나윤</t>
        </is>
      </c>
      <c r="Q491" t="inlineStr">
        <is>
          <t>홈서비스 24개월</t>
        </is>
      </c>
      <c r="Z491" t="n">
        <v>0</v>
      </c>
      <c r="AB491" t="inlineStr">
        <is>
          <t>홈서비스</t>
        </is>
      </c>
      <c r="AC491" t="n">
        <v>308000</v>
      </c>
      <c r="AD491" t="n">
        <v>22750</v>
      </c>
      <c r="AE491" t="n">
        <v>285250</v>
      </c>
      <c r="AF491" t="n">
        <v>280000</v>
      </c>
      <c r="AG491" t="n">
        <v>22750</v>
      </c>
      <c r="AH491" t="n">
        <v>257250</v>
      </c>
      <c r="AI491" t="n">
        <v>0</v>
      </c>
    </row>
    <row r="492">
      <c r="A492" t="inlineStr">
        <is>
          <t>1월</t>
        </is>
      </c>
      <c r="B492" t="inlineStr">
        <is>
          <t>3주차</t>
        </is>
      </c>
      <c r="C492" t="inlineStr">
        <is>
          <t>EP</t>
        </is>
      </c>
      <c r="D492" s="28" t="n">
        <v>46037</v>
      </c>
      <c r="E492" t="inlineStr">
        <is>
          <t>현대EP</t>
        </is>
      </c>
      <c r="F492" t="inlineStr">
        <is>
          <t>김형진</t>
        </is>
      </c>
      <c r="G492" t="inlineStr">
        <is>
          <t>010-4208-9686</t>
        </is>
      </c>
      <c r="H492" t="inlineStr">
        <is>
          <t>46너2338</t>
        </is>
      </c>
      <c r="I492" t="n">
        <v>21900000</v>
      </c>
      <c r="J492" t="n">
        <v>0.083</v>
      </c>
      <c r="K492" t="n">
        <v>1.76</v>
      </c>
      <c r="L492" t="n">
        <v>0.13</v>
      </c>
      <c r="M492" t="n">
        <v>1.63</v>
      </c>
      <c r="P492" t="inlineStr">
        <is>
          <t>최혁</t>
        </is>
      </c>
      <c r="Q492" t="inlineStr">
        <is>
          <t>홈서비스 60개월</t>
        </is>
      </c>
      <c r="Z492" t="n">
        <v>0</v>
      </c>
      <c r="AB492" t="inlineStr">
        <is>
          <t>홈서비스</t>
        </is>
      </c>
      <c r="AC492" t="n">
        <v>385440</v>
      </c>
      <c r="AD492" t="n">
        <v>28470</v>
      </c>
      <c r="AE492" t="n">
        <v>356970</v>
      </c>
      <c r="AF492" t="n">
        <v>350400</v>
      </c>
      <c r="AG492" t="n">
        <v>28470</v>
      </c>
      <c r="AH492" t="n">
        <v>321930</v>
      </c>
      <c r="AI492" t="n">
        <v>0</v>
      </c>
    </row>
    <row r="493">
      <c r="A493" t="inlineStr">
        <is>
          <t>1월</t>
        </is>
      </c>
      <c r="B493" t="inlineStr">
        <is>
          <t>3주차</t>
        </is>
      </c>
      <c r="C493" t="inlineStr">
        <is>
          <t>EP</t>
        </is>
      </c>
      <c r="D493" s="28" t="n">
        <v>46038</v>
      </c>
      <c r="E493" t="inlineStr">
        <is>
          <t>현대EP</t>
        </is>
      </c>
      <c r="F493" t="inlineStr">
        <is>
          <t>박기완</t>
        </is>
      </c>
      <c r="G493" t="inlineStr">
        <is>
          <t>010-9406-9194</t>
        </is>
      </c>
      <c r="H493" t="inlineStr">
        <is>
          <t>321서7195</t>
        </is>
      </c>
      <c r="I493" t="n">
        <v>5100000</v>
      </c>
      <c r="J493" t="n">
        <v>0.075</v>
      </c>
      <c r="K493" t="n">
        <v>1.76</v>
      </c>
      <c r="L493" t="n">
        <v>0.13</v>
      </c>
      <c r="M493" t="n">
        <v>1.63</v>
      </c>
      <c r="P493" t="inlineStr">
        <is>
          <t>최형주</t>
        </is>
      </c>
      <c r="Q493" t="inlineStr">
        <is>
          <t>홈서비스 24개월</t>
        </is>
      </c>
      <c r="Z493" t="n">
        <v>0</v>
      </c>
      <c r="AB493" t="inlineStr">
        <is>
          <t>홈서비스</t>
        </is>
      </c>
      <c r="AC493" t="n">
        <v>89760</v>
      </c>
      <c r="AD493" t="n">
        <v>6630</v>
      </c>
      <c r="AE493" t="n">
        <v>83130</v>
      </c>
      <c r="AF493" t="n">
        <v>81600</v>
      </c>
      <c r="AG493" t="n">
        <v>6630</v>
      </c>
      <c r="AH493" t="n">
        <v>74970</v>
      </c>
      <c r="AI493" t="n">
        <v>0</v>
      </c>
    </row>
    <row r="494">
      <c r="A494" t="inlineStr">
        <is>
          <t>1월</t>
        </is>
      </c>
      <c r="B494" t="inlineStr">
        <is>
          <t>3주차</t>
        </is>
      </c>
      <c r="C494" t="inlineStr">
        <is>
          <t>EP</t>
        </is>
      </c>
      <c r="D494" s="28" t="n">
        <v>46037</v>
      </c>
      <c r="E494" t="inlineStr">
        <is>
          <t>현대EP</t>
        </is>
      </c>
      <c r="F494" t="inlineStr">
        <is>
          <t>신용섭</t>
        </is>
      </c>
      <c r="G494" t="inlineStr">
        <is>
          <t>010-6700-2409</t>
        </is>
      </c>
      <c r="H494" t="inlineStr">
        <is>
          <t>151우2883</t>
        </is>
      </c>
      <c r="I494" t="n">
        <v>26400000</v>
      </c>
      <c r="J494" t="n">
        <v>0.06900000000000001</v>
      </c>
      <c r="K494" t="n">
        <v>1.76</v>
      </c>
      <c r="L494" t="n">
        <v>0.13</v>
      </c>
      <c r="M494" t="n">
        <v>1.63</v>
      </c>
      <c r="P494" t="inlineStr">
        <is>
          <t>정광호</t>
        </is>
      </c>
      <c r="Q494" t="inlineStr">
        <is>
          <t>홈서비스 60개월</t>
        </is>
      </c>
      <c r="Z494" t="n">
        <v>0</v>
      </c>
      <c r="AB494" t="inlineStr">
        <is>
          <t>홈서비스</t>
        </is>
      </c>
      <c r="AC494" t="n">
        <v>464640</v>
      </c>
      <c r="AD494" t="n">
        <v>34320</v>
      </c>
      <c r="AE494" t="n">
        <v>430320</v>
      </c>
      <c r="AF494" t="n">
        <v>422400</v>
      </c>
      <c r="AG494" t="n">
        <v>34320</v>
      </c>
      <c r="AH494" t="n">
        <v>388080</v>
      </c>
    </row>
    <row r="495">
      <c r="A495" t="inlineStr">
        <is>
          <t>1월</t>
        </is>
      </c>
      <c r="B495" t="inlineStr">
        <is>
          <t>3주차</t>
        </is>
      </c>
      <c r="C495" t="inlineStr">
        <is>
          <t>EP</t>
        </is>
      </c>
      <c r="D495" s="28" t="n">
        <v>46038</v>
      </c>
      <c r="E495" t="inlineStr">
        <is>
          <t>현대EP_fast</t>
        </is>
      </c>
      <c r="F495" t="inlineStr">
        <is>
          <t>이인성</t>
        </is>
      </c>
      <c r="G495" t="inlineStr">
        <is>
          <t>010-6371-3279</t>
        </is>
      </c>
      <c r="H495" t="inlineStr">
        <is>
          <t>222나6396</t>
        </is>
      </c>
      <c r="I495" t="n">
        <v>8000000</v>
      </c>
      <c r="J495" t="n">
        <v>0.111</v>
      </c>
      <c r="K495" t="n">
        <v>1.76</v>
      </c>
      <c r="L495" t="n">
        <v>0.13</v>
      </c>
      <c r="M495" t="n">
        <v>1.63</v>
      </c>
      <c r="P495" t="inlineStr">
        <is>
          <t>정광호</t>
        </is>
      </c>
      <c r="Q495" t="inlineStr">
        <is>
          <t>홈서비스36개월</t>
        </is>
      </c>
      <c r="Z495" t="n">
        <v>0</v>
      </c>
      <c r="AB495" t="inlineStr">
        <is>
          <t>홈서비스</t>
        </is>
      </c>
      <c r="AC495" t="n">
        <v>140800</v>
      </c>
      <c r="AD495" t="n">
        <v>10400</v>
      </c>
      <c r="AE495" t="n">
        <v>130400</v>
      </c>
      <c r="AF495" t="n">
        <v>128000</v>
      </c>
      <c r="AG495" t="n">
        <v>10400</v>
      </c>
      <c r="AH495" t="n">
        <v>117600</v>
      </c>
    </row>
    <row r="496">
      <c r="A496" t="inlineStr">
        <is>
          <t>1월</t>
        </is>
      </c>
      <c r="B496" t="inlineStr">
        <is>
          <t>3주차</t>
        </is>
      </c>
      <c r="C496" t="inlineStr">
        <is>
          <t>EP</t>
        </is>
      </c>
      <c r="D496" s="28" t="n">
        <v>46038</v>
      </c>
      <c r="E496" t="inlineStr">
        <is>
          <t>현대EP</t>
        </is>
      </c>
      <c r="F496" t="inlineStr">
        <is>
          <t>윤양호</t>
        </is>
      </c>
      <c r="G496" t="inlineStr">
        <is>
          <t>010-8973-0563</t>
        </is>
      </c>
      <c r="H496" t="inlineStr">
        <is>
          <t>13도0225</t>
        </is>
      </c>
      <c r="I496" t="n">
        <v>7900000</v>
      </c>
      <c r="J496" t="n">
        <v>0.105</v>
      </c>
      <c r="K496" t="n">
        <v>1.76</v>
      </c>
      <c r="L496" t="n">
        <v>0.13</v>
      </c>
      <c r="M496" t="n">
        <v>1.63</v>
      </c>
      <c r="P496" t="inlineStr">
        <is>
          <t>최형주</t>
        </is>
      </c>
      <c r="Q496" t="inlineStr">
        <is>
          <t>홈서비스 60개월</t>
        </is>
      </c>
      <c r="Z496" t="n">
        <v>0</v>
      </c>
      <c r="AB496" t="inlineStr">
        <is>
          <t>홈서비스</t>
        </is>
      </c>
      <c r="AC496" t="n">
        <v>139040</v>
      </c>
      <c r="AD496" t="n">
        <v>10270</v>
      </c>
      <c r="AE496" t="n">
        <v>128770</v>
      </c>
      <c r="AF496" t="n">
        <v>126400</v>
      </c>
      <c r="AG496" t="n">
        <v>10270</v>
      </c>
      <c r="AH496" t="n">
        <v>116130</v>
      </c>
      <c r="AI496" t="n">
        <v>0</v>
      </c>
    </row>
    <row r="497">
      <c r="A497" t="inlineStr">
        <is>
          <t>1월</t>
        </is>
      </c>
      <c r="B497" t="inlineStr">
        <is>
          <t>3주차</t>
        </is>
      </c>
      <c r="C497" t="inlineStr">
        <is>
          <t>EP</t>
        </is>
      </c>
      <c r="D497" s="28" t="n">
        <v>46038</v>
      </c>
      <c r="E497" t="inlineStr">
        <is>
          <t>현대EP</t>
        </is>
      </c>
      <c r="F497" t="inlineStr">
        <is>
          <t>김상현</t>
        </is>
      </c>
      <c r="G497" t="inlineStr">
        <is>
          <t>010-3288-1101</t>
        </is>
      </c>
      <c r="H497" t="inlineStr">
        <is>
          <t>297가1625</t>
        </is>
      </c>
      <c r="I497" t="n">
        <v>12000000</v>
      </c>
      <c r="J497" t="n">
        <v>0.067</v>
      </c>
      <c r="K497" t="n">
        <v>1.76</v>
      </c>
      <c r="L497" t="n">
        <v>0.13</v>
      </c>
      <c r="M497" t="n">
        <v>1.63</v>
      </c>
      <c r="P497" t="inlineStr">
        <is>
          <t>최혁</t>
        </is>
      </c>
      <c r="Q497" t="inlineStr">
        <is>
          <t>홈서비스 60개월</t>
        </is>
      </c>
      <c r="Z497" t="n">
        <v>0</v>
      </c>
      <c r="AB497" t="inlineStr">
        <is>
          <t>홈서비스</t>
        </is>
      </c>
      <c r="AC497" t="n">
        <v>211200</v>
      </c>
      <c r="AD497" t="n">
        <v>15600</v>
      </c>
      <c r="AE497" t="n">
        <v>195600</v>
      </c>
      <c r="AF497" t="n">
        <v>192000</v>
      </c>
      <c r="AG497" t="n">
        <v>15600</v>
      </c>
      <c r="AH497" t="n">
        <v>176400</v>
      </c>
      <c r="AI497" t="n">
        <v>0</v>
      </c>
    </row>
    <row r="498">
      <c r="A498" t="inlineStr">
        <is>
          <t>1월</t>
        </is>
      </c>
      <c r="B498" t="inlineStr">
        <is>
          <t>3주차</t>
        </is>
      </c>
      <c r="C498" t="inlineStr">
        <is>
          <t>EP</t>
        </is>
      </c>
      <c r="D498" s="28" t="n">
        <v>46038</v>
      </c>
      <c r="E498" t="inlineStr">
        <is>
          <t>현대EP</t>
        </is>
      </c>
      <c r="F498" t="inlineStr">
        <is>
          <t>황용진</t>
        </is>
      </c>
      <c r="G498" t="inlineStr">
        <is>
          <t>010-5485-7069</t>
        </is>
      </c>
      <c r="H498" t="inlineStr">
        <is>
          <t>42노6596</t>
        </is>
      </c>
      <c r="I498" t="n">
        <v>4900000</v>
      </c>
      <c r="J498" t="n">
        <v>0.082</v>
      </c>
      <c r="K498" t="n">
        <v>1.76</v>
      </c>
      <c r="L498" t="n">
        <v>0.13</v>
      </c>
      <c r="M498" t="n">
        <v>1.63</v>
      </c>
      <c r="P498" t="inlineStr">
        <is>
          <t>황채이</t>
        </is>
      </c>
      <c r="Q498" t="inlineStr">
        <is>
          <t>홈서비스 24개월</t>
        </is>
      </c>
      <c r="Z498" t="n">
        <v>0</v>
      </c>
      <c r="AB498" t="inlineStr">
        <is>
          <t>홈서비스</t>
        </is>
      </c>
      <c r="AC498" t="n">
        <v>86240</v>
      </c>
      <c r="AD498" t="n">
        <v>6370</v>
      </c>
      <c r="AE498" t="n">
        <v>79870</v>
      </c>
      <c r="AF498" t="n">
        <v>78400</v>
      </c>
      <c r="AG498" t="n">
        <v>6370</v>
      </c>
      <c r="AH498" t="n">
        <v>72030</v>
      </c>
      <c r="AI498" t="n">
        <v>0</v>
      </c>
    </row>
    <row r="499">
      <c r="A499" t="inlineStr">
        <is>
          <t>1월</t>
        </is>
      </c>
      <c r="B499" t="inlineStr">
        <is>
          <t>3주차</t>
        </is>
      </c>
      <c r="C499" t="inlineStr">
        <is>
          <t>EP</t>
        </is>
      </c>
      <c r="D499" s="28" t="n">
        <v>46038</v>
      </c>
      <c r="E499" t="inlineStr">
        <is>
          <t>현대EP_fast</t>
        </is>
      </c>
      <c r="F499" t="inlineStr">
        <is>
          <t>최윤영</t>
        </is>
      </c>
      <c r="G499" t="inlineStr">
        <is>
          <t>010-5350-0033</t>
        </is>
      </c>
      <c r="H499" t="inlineStr">
        <is>
          <t>10마0972</t>
        </is>
      </c>
      <c r="I499" t="n">
        <v>12800000</v>
      </c>
      <c r="J499" t="n">
        <v>0.111</v>
      </c>
      <c r="K499" t="n">
        <v>1.76</v>
      </c>
      <c r="L499" t="n">
        <v>0.13</v>
      </c>
      <c r="M499" t="n">
        <v>1.63</v>
      </c>
      <c r="P499" t="inlineStr">
        <is>
          <t>정세빈</t>
        </is>
      </c>
      <c r="Q499" t="inlineStr">
        <is>
          <t>홈서비스 24개월</t>
        </is>
      </c>
      <c r="Z499" t="n">
        <v>0</v>
      </c>
      <c r="AB499" t="inlineStr">
        <is>
          <t>홈서비스</t>
        </is>
      </c>
      <c r="AC499" t="n">
        <v>225280</v>
      </c>
      <c r="AD499" t="n">
        <v>16640</v>
      </c>
      <c r="AE499" t="n">
        <v>208640</v>
      </c>
      <c r="AF499" t="n">
        <v>204800</v>
      </c>
      <c r="AG499" t="n">
        <v>16640</v>
      </c>
      <c r="AH499" t="n">
        <v>188160</v>
      </c>
      <c r="AI499" t="n">
        <v>0</v>
      </c>
    </row>
    <row r="500">
      <c r="A500" t="inlineStr">
        <is>
          <t>1월</t>
        </is>
      </c>
      <c r="B500" t="inlineStr">
        <is>
          <t>3주차</t>
        </is>
      </c>
      <c r="C500" t="inlineStr">
        <is>
          <t>EP</t>
        </is>
      </c>
      <c r="D500" s="28" t="n">
        <v>46038</v>
      </c>
      <c r="E500" t="inlineStr">
        <is>
          <t>현대EP_fast</t>
        </is>
      </c>
      <c r="F500" t="inlineStr">
        <is>
          <t>오정현</t>
        </is>
      </c>
      <c r="G500" t="inlineStr">
        <is>
          <t>010-3829-9510</t>
        </is>
      </c>
      <c r="H500" t="inlineStr">
        <is>
          <t>134무6358</t>
        </is>
      </c>
      <c r="I500" t="n">
        <v>8900000</v>
      </c>
      <c r="J500" t="n">
        <v>0.093</v>
      </c>
      <c r="K500" t="n">
        <v>1.76</v>
      </c>
      <c r="L500" t="n">
        <v>0.13</v>
      </c>
      <c r="M500" t="n">
        <v>1.63</v>
      </c>
      <c r="P500" t="inlineStr">
        <is>
          <t>정하은</t>
        </is>
      </c>
      <c r="Q500" t="inlineStr">
        <is>
          <t>홈서비스36개월</t>
        </is>
      </c>
      <c r="Z500" t="n">
        <v>0</v>
      </c>
      <c r="AB500" t="inlineStr">
        <is>
          <t>홈서비스</t>
        </is>
      </c>
      <c r="AC500" t="n">
        <v>156640</v>
      </c>
      <c r="AD500" t="n">
        <v>11570</v>
      </c>
      <c r="AE500" t="n">
        <v>145070</v>
      </c>
      <c r="AF500" t="n">
        <v>142400</v>
      </c>
      <c r="AG500" t="n">
        <v>11570</v>
      </c>
      <c r="AH500" t="n">
        <v>130830</v>
      </c>
      <c r="AI500" t="n">
        <v>0</v>
      </c>
    </row>
    <row r="501">
      <c r="A501" t="inlineStr">
        <is>
          <t>1월</t>
        </is>
      </c>
      <c r="B501" t="inlineStr">
        <is>
          <t>3주차</t>
        </is>
      </c>
      <c r="C501" t="inlineStr">
        <is>
          <t>EP</t>
        </is>
      </c>
      <c r="D501" s="28" t="n">
        <v>46038</v>
      </c>
      <c r="E501" t="inlineStr">
        <is>
          <t>제이비EP</t>
        </is>
      </c>
      <c r="F501" t="inlineStr">
        <is>
          <t>성영한</t>
        </is>
      </c>
      <c r="G501" t="inlineStr">
        <is>
          <t>010-4762-5545</t>
        </is>
      </c>
      <c r="H501" t="inlineStr">
        <is>
          <t>12저8245</t>
        </is>
      </c>
      <c r="I501" t="n">
        <v>30500000</v>
      </c>
      <c r="J501" t="n">
        <v>0.094</v>
      </c>
      <c r="K501" t="n">
        <v>1.65</v>
      </c>
      <c r="L501" t="n">
        <v>0.4</v>
      </c>
      <c r="M501" t="n">
        <v>1.25</v>
      </c>
      <c r="P501" t="inlineStr">
        <is>
          <t>박현민</t>
        </is>
      </c>
      <c r="Z501" t="n">
        <v>0</v>
      </c>
      <c r="AB501" t="inlineStr">
        <is>
          <t>엔카</t>
        </is>
      </c>
      <c r="AC501" t="n">
        <v>503250</v>
      </c>
      <c r="AD501" t="n">
        <v>122000</v>
      </c>
      <c r="AE501" t="n">
        <v>381250</v>
      </c>
      <c r="AF501" t="n">
        <v>457500</v>
      </c>
      <c r="AG501" t="n">
        <v>122000</v>
      </c>
      <c r="AH501" t="n">
        <v>335500</v>
      </c>
      <c r="AI501" t="n">
        <v>0</v>
      </c>
    </row>
    <row r="502">
      <c r="A502" t="inlineStr">
        <is>
          <t>1월</t>
        </is>
      </c>
      <c r="B502" t="inlineStr">
        <is>
          <t>3주차</t>
        </is>
      </c>
      <c r="C502" t="inlineStr">
        <is>
          <t>EP</t>
        </is>
      </c>
      <c r="D502" s="28" t="n">
        <v>46038</v>
      </c>
      <c r="E502" t="inlineStr">
        <is>
          <t>현대EP</t>
        </is>
      </c>
      <c r="F502" t="inlineStr">
        <is>
          <t>이지훈</t>
        </is>
      </c>
      <c r="G502" t="inlineStr">
        <is>
          <t>010-3377-7866</t>
        </is>
      </c>
      <c r="H502" t="inlineStr">
        <is>
          <t>36조7449</t>
        </is>
      </c>
      <c r="I502" t="n">
        <v>15000000</v>
      </c>
      <c r="J502" t="n">
        <v>0.082</v>
      </c>
      <c r="K502" t="n">
        <v>1.76</v>
      </c>
      <c r="L502" t="n">
        <v>0.13</v>
      </c>
      <c r="M502" t="n">
        <v>1.63</v>
      </c>
      <c r="P502" t="inlineStr">
        <is>
          <t>최형주</t>
        </is>
      </c>
      <c r="Q502" t="inlineStr">
        <is>
          <t>홈서비스 60개월</t>
        </is>
      </c>
      <c r="Z502" t="n">
        <v>0</v>
      </c>
      <c r="AB502" t="inlineStr">
        <is>
          <t>홈서비스</t>
        </is>
      </c>
      <c r="AC502" t="n">
        <v>264000</v>
      </c>
      <c r="AD502" t="n">
        <v>19500</v>
      </c>
      <c r="AE502" t="n">
        <v>244500</v>
      </c>
      <c r="AF502" t="n">
        <v>240000</v>
      </c>
      <c r="AG502" t="n">
        <v>19500</v>
      </c>
      <c r="AH502" t="n">
        <v>220500</v>
      </c>
      <c r="AI502" t="n">
        <v>0</v>
      </c>
    </row>
    <row r="503">
      <c r="A503" t="inlineStr">
        <is>
          <t>1월</t>
        </is>
      </c>
      <c r="B503" t="inlineStr">
        <is>
          <t>3주차</t>
        </is>
      </c>
      <c r="C503" t="inlineStr">
        <is>
          <t>EP</t>
        </is>
      </c>
      <c r="D503" s="28" t="n">
        <v>46038</v>
      </c>
      <c r="E503" t="inlineStr">
        <is>
          <t>현대EP_fast</t>
        </is>
      </c>
      <c r="F503" t="inlineStr">
        <is>
          <t>강준기</t>
        </is>
      </c>
      <c r="G503" t="inlineStr">
        <is>
          <t>010-4622-9517</t>
        </is>
      </c>
      <c r="H503" t="inlineStr">
        <is>
          <t>289노8326</t>
        </is>
      </c>
      <c r="I503" t="n">
        <v>30000000</v>
      </c>
      <c r="J503" t="n">
        <v>0.093</v>
      </c>
      <c r="K503" t="n">
        <v>1.76</v>
      </c>
      <c r="L503" t="n">
        <v>0.13</v>
      </c>
      <c r="M503" t="n">
        <v>1.63</v>
      </c>
      <c r="P503" t="inlineStr">
        <is>
          <t>정세빈</t>
        </is>
      </c>
      <c r="Q503" t="inlineStr">
        <is>
          <t>홈서비스 60개월 /*당월철회 20260126</t>
        </is>
      </c>
      <c r="Z503" t="n">
        <v>0</v>
      </c>
      <c r="AB503" t="inlineStr">
        <is>
          <t>홈서비스</t>
        </is>
      </c>
      <c r="AC503" t="n">
        <v>528000</v>
      </c>
      <c r="AD503" t="n">
        <v>39000</v>
      </c>
      <c r="AE503" t="n">
        <v>489000</v>
      </c>
      <c r="AF503" t="n">
        <v>480000</v>
      </c>
      <c r="AG503" t="n">
        <v>39000</v>
      </c>
      <c r="AH503" t="n">
        <v>441000</v>
      </c>
      <c r="AI503" t="n">
        <v>0</v>
      </c>
      <c r="AK503" t="inlineStr">
        <is>
          <t>대출철회</t>
        </is>
      </c>
    </row>
    <row r="504">
      <c r="A504" t="inlineStr">
        <is>
          <t>1월</t>
        </is>
      </c>
      <c r="B504" t="inlineStr">
        <is>
          <t>3주차</t>
        </is>
      </c>
      <c r="C504" t="inlineStr">
        <is>
          <t>EP</t>
        </is>
      </c>
      <c r="D504" s="28" t="n">
        <v>46039</v>
      </c>
      <c r="E504" t="inlineStr">
        <is>
          <t>현대EP</t>
        </is>
      </c>
      <c r="F504" t="inlineStr">
        <is>
          <t>조민우</t>
        </is>
      </c>
      <c r="G504" t="inlineStr">
        <is>
          <t>010-2226-1865</t>
        </is>
      </c>
      <c r="H504" t="inlineStr">
        <is>
          <t>35고2172</t>
        </is>
      </c>
      <c r="I504" t="n">
        <v>30700000</v>
      </c>
      <c r="J504" t="n">
        <v>0.082</v>
      </c>
      <c r="K504" t="n">
        <v>1.76</v>
      </c>
      <c r="L504" t="n">
        <v>0.13</v>
      </c>
      <c r="M504" t="n">
        <v>1.63</v>
      </c>
      <c r="P504" t="inlineStr">
        <is>
          <t>최형주</t>
        </is>
      </c>
      <c r="Q504" t="inlineStr">
        <is>
          <t>홈서비스 60개월</t>
        </is>
      </c>
      <c r="Z504" t="n">
        <v>0</v>
      </c>
      <c r="AB504" t="inlineStr">
        <is>
          <t>홈서비스</t>
        </is>
      </c>
      <c r="AC504" t="n">
        <v>540320</v>
      </c>
      <c r="AD504" t="n">
        <v>39910</v>
      </c>
      <c r="AE504" t="n">
        <v>500410</v>
      </c>
      <c r="AF504" t="n">
        <v>491200</v>
      </c>
      <c r="AG504" t="n">
        <v>39910</v>
      </c>
      <c r="AH504" t="n">
        <v>451290</v>
      </c>
      <c r="AI504" t="n">
        <v>0</v>
      </c>
    </row>
    <row r="505">
      <c r="A505" t="inlineStr">
        <is>
          <t>1월</t>
        </is>
      </c>
      <c r="B505" t="inlineStr">
        <is>
          <t>3주차</t>
        </is>
      </c>
      <c r="C505" t="inlineStr">
        <is>
          <t>EP</t>
        </is>
      </c>
      <c r="D505" s="28" t="n">
        <v>46038</v>
      </c>
      <c r="E505" t="inlineStr">
        <is>
          <t>현대EP</t>
        </is>
      </c>
      <c r="F505" t="inlineStr">
        <is>
          <t>유한별</t>
        </is>
      </c>
      <c r="G505" t="inlineStr">
        <is>
          <t>010-4495-6472</t>
        </is>
      </c>
      <c r="H505" t="inlineStr">
        <is>
          <t>15다7006</t>
        </is>
      </c>
      <c r="I505" t="n">
        <v>5000000</v>
      </c>
      <c r="J505" t="n">
        <v>0.111</v>
      </c>
      <c r="K505" t="n">
        <v>1.76</v>
      </c>
      <c r="L505" t="n">
        <v>0.13</v>
      </c>
      <c r="M505" t="n">
        <v>1.63</v>
      </c>
      <c r="P505" t="inlineStr">
        <is>
          <t>최혁</t>
        </is>
      </c>
      <c r="Q505" t="inlineStr">
        <is>
          <t>홈서비스 36개월</t>
        </is>
      </c>
      <c r="Z505" t="n">
        <v>0</v>
      </c>
      <c r="AB505" t="inlineStr">
        <is>
          <t>홈서비스</t>
        </is>
      </c>
      <c r="AC505" t="n">
        <v>88000</v>
      </c>
      <c r="AD505" t="n">
        <v>6500</v>
      </c>
      <c r="AE505" t="n">
        <v>81500</v>
      </c>
      <c r="AF505" t="n">
        <v>80000</v>
      </c>
      <c r="AG505" t="n">
        <v>6500</v>
      </c>
      <c r="AH505" t="n">
        <v>73500</v>
      </c>
    </row>
    <row r="506">
      <c r="A506" t="inlineStr">
        <is>
          <t>1월</t>
        </is>
      </c>
      <c r="B506" t="inlineStr">
        <is>
          <t>3주차</t>
        </is>
      </c>
      <c r="C506" t="inlineStr">
        <is>
          <t>EP</t>
        </is>
      </c>
      <c r="D506" s="28" t="n">
        <v>46039</v>
      </c>
      <c r="E506" t="inlineStr">
        <is>
          <t>현대EP</t>
        </is>
      </c>
      <c r="F506" t="inlineStr">
        <is>
          <t>김은정</t>
        </is>
      </c>
      <c r="G506" t="inlineStr">
        <is>
          <t>010-4178-3432</t>
        </is>
      </c>
      <c r="H506" t="inlineStr">
        <is>
          <t>269부6212</t>
        </is>
      </c>
      <c r="I506" t="n">
        <v>6000000</v>
      </c>
      <c r="J506" t="n">
        <v>0.073</v>
      </c>
      <c r="K506" t="n">
        <v>1.76</v>
      </c>
      <c r="L506" t="n">
        <v>0.13</v>
      </c>
      <c r="M506" t="n">
        <v>1.63</v>
      </c>
      <c r="P506" t="inlineStr">
        <is>
          <t>정세빈</t>
        </is>
      </c>
      <c r="Q506" t="inlineStr">
        <is>
          <t>홈서비스 36개월</t>
        </is>
      </c>
      <c r="Z506" t="n">
        <v>0</v>
      </c>
      <c r="AB506" t="inlineStr">
        <is>
          <t>홈서비스</t>
        </is>
      </c>
      <c r="AC506" t="n">
        <v>105600</v>
      </c>
      <c r="AD506" t="n">
        <v>7800</v>
      </c>
      <c r="AE506" t="n">
        <v>97800</v>
      </c>
      <c r="AF506" t="n">
        <v>96000</v>
      </c>
      <c r="AG506" t="n">
        <v>7800</v>
      </c>
      <c r="AH506" t="n">
        <v>88200</v>
      </c>
      <c r="AI506" t="n">
        <v>0</v>
      </c>
    </row>
    <row r="507">
      <c r="A507" t="inlineStr">
        <is>
          <t>1월</t>
        </is>
      </c>
      <c r="B507" t="inlineStr">
        <is>
          <t>3주차</t>
        </is>
      </c>
      <c r="C507" t="inlineStr">
        <is>
          <t>EP</t>
        </is>
      </c>
      <c r="D507" s="28" t="n">
        <v>46039</v>
      </c>
      <c r="E507" t="inlineStr">
        <is>
          <t>현대EP_fast</t>
        </is>
      </c>
      <c r="F507" t="inlineStr">
        <is>
          <t>이우림</t>
        </is>
      </c>
      <c r="G507" t="inlineStr">
        <is>
          <t>010-2709-6730</t>
        </is>
      </c>
      <c r="H507" t="inlineStr">
        <is>
          <t>395가5543</t>
        </is>
      </c>
      <c r="I507" t="n">
        <v>11000000</v>
      </c>
      <c r="J507" t="n">
        <v>0.083</v>
      </c>
      <c r="K507" t="n">
        <v>1.76</v>
      </c>
      <c r="L507" t="n">
        <v>0.4</v>
      </c>
      <c r="M507" t="n">
        <v>1.36</v>
      </c>
      <c r="P507" t="inlineStr">
        <is>
          <t>임대경</t>
        </is>
      </c>
      <c r="Z507" t="n">
        <v>0</v>
      </c>
      <c r="AB507" t="inlineStr">
        <is>
          <t>엔카</t>
        </is>
      </c>
      <c r="AC507" t="n">
        <v>193600</v>
      </c>
      <c r="AD507" t="n">
        <v>44000</v>
      </c>
      <c r="AE507" t="n">
        <v>149600</v>
      </c>
      <c r="AF507" t="n">
        <v>176000</v>
      </c>
      <c r="AG507" t="n">
        <v>44000</v>
      </c>
      <c r="AH507" t="n">
        <v>132000</v>
      </c>
      <c r="AI507" t="n">
        <v>0</v>
      </c>
    </row>
    <row r="508">
      <c r="A508" t="inlineStr">
        <is>
          <t>1월</t>
        </is>
      </c>
      <c r="B508" t="inlineStr">
        <is>
          <t>3주차</t>
        </is>
      </c>
      <c r="C508" t="inlineStr">
        <is>
          <t>IM</t>
        </is>
      </c>
      <c r="D508" s="28" t="n">
        <v>46038</v>
      </c>
      <c r="E508" t="inlineStr">
        <is>
          <t>IM캐피탈</t>
        </is>
      </c>
      <c r="F508" t="inlineStr">
        <is>
          <t>조범진</t>
        </is>
      </c>
      <c r="G508" t="inlineStr">
        <is>
          <t>010-3997-6665</t>
        </is>
      </c>
      <c r="H508" t="inlineStr">
        <is>
          <t>142무2369</t>
        </is>
      </c>
      <c r="I508" t="n">
        <v>39900000</v>
      </c>
      <c r="J508" t="n">
        <v>0.049</v>
      </c>
      <c r="K508" t="n">
        <v>0.55</v>
      </c>
      <c r="L508" t="n">
        <v>0.13</v>
      </c>
      <c r="M508" t="n">
        <v>0.42</v>
      </c>
      <c r="P508" t="inlineStr">
        <is>
          <t>구성완</t>
        </is>
      </c>
      <c r="Q508" t="inlineStr">
        <is>
          <t>안심거래존건건</t>
        </is>
      </c>
      <c r="Z508" t="n">
        <v>0</v>
      </c>
      <c r="AB508" t="inlineStr">
        <is>
          <t>믿고</t>
        </is>
      </c>
      <c r="AC508" t="n">
        <v>219450</v>
      </c>
      <c r="AD508" t="n">
        <v>51870</v>
      </c>
      <c r="AE508" t="n">
        <v>167580</v>
      </c>
      <c r="AF508" t="n">
        <v>199500</v>
      </c>
      <c r="AG508" t="n">
        <v>51870</v>
      </c>
      <c r="AH508" t="n">
        <v>147630</v>
      </c>
    </row>
    <row r="509">
      <c r="A509" t="inlineStr">
        <is>
          <t>1월</t>
        </is>
      </c>
      <c r="B509" t="inlineStr">
        <is>
          <t>3주차</t>
        </is>
      </c>
      <c r="C509" t="inlineStr">
        <is>
          <t>EP</t>
        </is>
      </c>
      <c r="D509" s="28" t="n">
        <v>46038</v>
      </c>
      <c r="E509" t="inlineStr">
        <is>
          <t>현대EP_fast</t>
        </is>
      </c>
      <c r="F509" t="inlineStr">
        <is>
          <t>박현경</t>
        </is>
      </c>
      <c r="G509" t="inlineStr">
        <is>
          <t>010-8949-5048</t>
        </is>
      </c>
      <c r="H509" t="inlineStr">
        <is>
          <t>174다7557</t>
        </is>
      </c>
      <c r="I509" t="n">
        <v>10000000</v>
      </c>
      <c r="J509" t="n">
        <v>0.067</v>
      </c>
      <c r="K509" t="n">
        <v>1.76</v>
      </c>
      <c r="L509" t="n">
        <v>0.13</v>
      </c>
      <c r="M509" t="n">
        <v>1.63</v>
      </c>
      <c r="P509" t="inlineStr">
        <is>
          <t>정하은</t>
        </is>
      </c>
      <c r="Q509" t="inlineStr">
        <is>
          <t>홈서비스 60개월</t>
        </is>
      </c>
      <c r="Z509" t="n">
        <v>0</v>
      </c>
      <c r="AB509" t="inlineStr">
        <is>
          <t>홈서비스</t>
        </is>
      </c>
      <c r="AC509" t="n">
        <v>176000</v>
      </c>
      <c r="AD509" t="n">
        <v>13000</v>
      </c>
      <c r="AE509" t="n">
        <v>163000</v>
      </c>
      <c r="AF509" t="n">
        <v>160000</v>
      </c>
      <c r="AG509" t="n">
        <v>13000</v>
      </c>
      <c r="AH509" t="n">
        <v>147000</v>
      </c>
      <c r="AI509" t="n">
        <v>0</v>
      </c>
    </row>
    <row r="510">
      <c r="A510" t="inlineStr">
        <is>
          <t>1월</t>
        </is>
      </c>
      <c r="B510" t="inlineStr">
        <is>
          <t>3주차</t>
        </is>
      </c>
      <c r="C510" t="inlineStr">
        <is>
          <t>EP</t>
        </is>
      </c>
      <c r="D510" s="28" t="n">
        <v>46038</v>
      </c>
      <c r="E510" t="inlineStr">
        <is>
          <t>현대EP</t>
        </is>
      </c>
      <c r="F510" t="inlineStr">
        <is>
          <t>유관민</t>
        </is>
      </c>
      <c r="G510" t="inlineStr">
        <is>
          <t>010-7409-3454</t>
        </is>
      </c>
      <c r="H510" t="inlineStr">
        <is>
          <t>45너7236</t>
        </is>
      </c>
      <c r="I510" t="n">
        <v>3600000</v>
      </c>
      <c r="J510" t="n">
        <v>0.093</v>
      </c>
      <c r="K510" t="n">
        <v>1.76</v>
      </c>
      <c r="L510" t="n">
        <v>0.13</v>
      </c>
      <c r="M510" t="n">
        <v>1.63</v>
      </c>
      <c r="P510" t="inlineStr">
        <is>
          <t>김나윤</t>
        </is>
      </c>
      <c r="Q510" t="inlineStr">
        <is>
          <t>홈서비스 60개월</t>
        </is>
      </c>
      <c r="Z510" t="n">
        <v>0</v>
      </c>
      <c r="AB510" t="inlineStr">
        <is>
          <t>홈서비스</t>
        </is>
      </c>
      <c r="AC510" t="n">
        <v>63360</v>
      </c>
      <c r="AD510" t="n">
        <v>4680</v>
      </c>
      <c r="AE510" t="n">
        <v>58680</v>
      </c>
      <c r="AF510" t="n">
        <v>57600</v>
      </c>
      <c r="AG510" t="n">
        <v>4680</v>
      </c>
      <c r="AH510" t="n">
        <v>52920</v>
      </c>
      <c r="AI510" t="n">
        <v>0</v>
      </c>
    </row>
    <row r="511">
      <c r="A511" t="inlineStr">
        <is>
          <t>1월</t>
        </is>
      </c>
      <c r="B511" t="inlineStr">
        <is>
          <t>3주차</t>
        </is>
      </c>
      <c r="C511" t="inlineStr">
        <is>
          <t>IM</t>
        </is>
      </c>
      <c r="D511" s="28" t="n">
        <v>46039</v>
      </c>
      <c r="E511" t="inlineStr">
        <is>
          <t>IM캐피탈</t>
        </is>
      </c>
      <c r="F511" t="inlineStr">
        <is>
          <t>박주희</t>
        </is>
      </c>
      <c r="G511" t="inlineStr">
        <is>
          <t>010-8648-8370</t>
        </is>
      </c>
      <c r="H511" t="inlineStr">
        <is>
          <t>21구9044</t>
        </is>
      </c>
      <c r="I511" t="n">
        <v>14600000</v>
      </c>
      <c r="J511" t="n">
        <v>0.053</v>
      </c>
      <c r="K511" t="n">
        <v>0.55</v>
      </c>
      <c r="L511" t="n">
        <v>0.13</v>
      </c>
      <c r="M511" t="n">
        <v>0.42</v>
      </c>
      <c r="P511" t="inlineStr">
        <is>
          <t>임대경</t>
        </is>
      </c>
      <c r="Z511" t="n">
        <v>0</v>
      </c>
      <c r="AB511" t="inlineStr">
        <is>
          <t>믿고</t>
        </is>
      </c>
      <c r="AC511" t="n">
        <v>80300</v>
      </c>
      <c r="AD511" t="n">
        <v>18980</v>
      </c>
      <c r="AE511" t="n">
        <v>61320</v>
      </c>
      <c r="AF511" t="n">
        <v>73000</v>
      </c>
      <c r="AG511" t="n">
        <v>18980</v>
      </c>
      <c r="AH511" t="n">
        <v>54020</v>
      </c>
      <c r="AI511" t="n">
        <v>0</v>
      </c>
    </row>
    <row r="512">
      <c r="A512" t="inlineStr">
        <is>
          <t>1월</t>
        </is>
      </c>
      <c r="B512" t="inlineStr">
        <is>
          <t>3주차</t>
        </is>
      </c>
      <c r="C512" t="inlineStr">
        <is>
          <t>EP</t>
        </is>
      </c>
      <c r="D512" s="28" t="n">
        <v>46039</v>
      </c>
      <c r="E512" t="inlineStr">
        <is>
          <t>현대EP</t>
        </is>
      </c>
      <c r="F512" t="inlineStr">
        <is>
          <t>황영진</t>
        </is>
      </c>
      <c r="G512" t="inlineStr">
        <is>
          <t>010-9404-0384</t>
        </is>
      </c>
      <c r="H512" t="inlineStr">
        <is>
          <t>304루1540</t>
        </is>
      </c>
      <c r="I512" t="n">
        <v>27000000</v>
      </c>
      <c r="J512" t="n">
        <v>0.06900000000000001</v>
      </c>
      <c r="K512" t="n">
        <v>1.76</v>
      </c>
      <c r="L512" t="n">
        <v>0.13</v>
      </c>
      <c r="M512" t="n">
        <v>1.63</v>
      </c>
      <c r="P512" t="inlineStr">
        <is>
          <t>정세빈</t>
        </is>
      </c>
      <c r="Q512" t="inlineStr">
        <is>
          <t>홈서비스 60개월</t>
        </is>
      </c>
      <c r="Z512" t="n">
        <v>0</v>
      </c>
      <c r="AB512" t="inlineStr">
        <is>
          <t>홈서비스</t>
        </is>
      </c>
      <c r="AC512" t="n">
        <v>475200</v>
      </c>
      <c r="AD512" t="n">
        <v>35100</v>
      </c>
      <c r="AE512" t="n">
        <v>440100</v>
      </c>
      <c r="AF512" t="n">
        <v>432000</v>
      </c>
      <c r="AG512" t="n">
        <v>35100</v>
      </c>
      <c r="AH512" t="n">
        <v>396900</v>
      </c>
      <c r="AI512" t="n">
        <v>0</v>
      </c>
    </row>
    <row r="513">
      <c r="A513" t="inlineStr">
        <is>
          <t>1월</t>
        </is>
      </c>
      <c r="B513" t="inlineStr">
        <is>
          <t>3주차</t>
        </is>
      </c>
      <c r="C513" t="inlineStr">
        <is>
          <t>IM</t>
        </is>
      </c>
      <c r="D513" s="28" t="n">
        <v>46038</v>
      </c>
      <c r="E513" t="inlineStr">
        <is>
          <t>IM캐피탈</t>
        </is>
      </c>
      <c r="F513" t="inlineStr">
        <is>
          <t>김동욱</t>
        </is>
      </c>
      <c r="G513" t="inlineStr">
        <is>
          <t>010-6444-4478</t>
        </is>
      </c>
      <c r="H513" t="inlineStr">
        <is>
          <t>128소3201</t>
        </is>
      </c>
      <c r="I513" t="n">
        <v>42700000</v>
      </c>
      <c r="J513" t="n">
        <v>0.053</v>
      </c>
      <c r="K513" t="n">
        <v>0.55</v>
      </c>
      <c r="L513" t="n">
        <v>0.4</v>
      </c>
      <c r="M513" t="n">
        <v>0.15</v>
      </c>
      <c r="P513" t="inlineStr">
        <is>
          <t>장진경</t>
        </is>
      </c>
      <c r="Q513" t="inlineStr">
        <is>
          <t>사유 : 금리 불만</t>
        </is>
      </c>
      <c r="Z513" t="n">
        <v>0</v>
      </c>
      <c r="AB513" t="inlineStr">
        <is>
          <t>엔카</t>
        </is>
      </c>
      <c r="AC513" t="n">
        <v>234850</v>
      </c>
      <c r="AD513" t="n">
        <v>170800</v>
      </c>
      <c r="AE513" t="n">
        <v>64050</v>
      </c>
      <c r="AF513" t="n">
        <v>213500</v>
      </c>
      <c r="AG513" t="n">
        <v>170800</v>
      </c>
      <c r="AH513" t="n">
        <v>42700</v>
      </c>
      <c r="AI513" t="n">
        <v>0</v>
      </c>
    </row>
    <row r="514">
      <c r="A514" t="inlineStr">
        <is>
          <t>1월</t>
        </is>
      </c>
      <c r="B514" t="inlineStr">
        <is>
          <t>3주차</t>
        </is>
      </c>
      <c r="C514" t="inlineStr">
        <is>
          <t>EP</t>
        </is>
      </c>
      <c r="D514" s="28" t="n">
        <v>46038</v>
      </c>
      <c r="E514" t="inlineStr">
        <is>
          <t>제이비EP</t>
        </is>
      </c>
      <c r="F514" t="inlineStr">
        <is>
          <t>김영락</t>
        </is>
      </c>
      <c r="G514" t="inlineStr">
        <is>
          <t>010-4539-1569</t>
        </is>
      </c>
      <c r="H514" t="inlineStr">
        <is>
          <t>90조3034</t>
        </is>
      </c>
      <c r="I514" t="n">
        <v>-46000000</v>
      </c>
      <c r="J514" t="n">
        <v>0.094</v>
      </c>
      <c r="K514" t="n">
        <v>1.65</v>
      </c>
      <c r="L514" t="n">
        <v>0.4</v>
      </c>
      <c r="M514" t="n">
        <v>1.25</v>
      </c>
      <c r="P514" t="inlineStr">
        <is>
          <t>박보람</t>
        </is>
      </c>
      <c r="Q514" t="inlineStr">
        <is>
          <t>사유 : 금리 불만 / 재접수건 별도O/ *철회 20260116</t>
        </is>
      </c>
      <c r="Z514" t="n">
        <v>0</v>
      </c>
      <c r="AB514" t="inlineStr">
        <is>
          <t>엔카</t>
        </is>
      </c>
      <c r="AC514" t="n">
        <v>-759000</v>
      </c>
      <c r="AD514" t="n">
        <v>-184000</v>
      </c>
      <c r="AE514" t="n">
        <v>-575000</v>
      </c>
      <c r="AF514" t="n">
        <v>-690000</v>
      </c>
      <c r="AG514" t="n">
        <v>-184000</v>
      </c>
      <c r="AH514" t="n">
        <v>-506000</v>
      </c>
      <c r="AI514" t="n">
        <v>0</v>
      </c>
      <c r="AK514" t="inlineStr">
        <is>
          <t>대출철회</t>
        </is>
      </c>
    </row>
    <row r="515">
      <c r="A515" t="inlineStr">
        <is>
          <t>1월</t>
        </is>
      </c>
      <c r="B515" t="inlineStr">
        <is>
          <t>3주차</t>
        </is>
      </c>
      <c r="C515" t="inlineStr">
        <is>
          <t>EP</t>
        </is>
      </c>
      <c r="D515" s="28" t="n">
        <v>46038</v>
      </c>
      <c r="E515" t="inlineStr">
        <is>
          <t>현대EP</t>
        </is>
      </c>
      <c r="F515" t="inlineStr">
        <is>
          <t>이정준</t>
        </is>
      </c>
      <c r="G515" t="inlineStr">
        <is>
          <t>010-6395-1215</t>
        </is>
      </c>
      <c r="H515" t="inlineStr">
        <is>
          <t>327저4796</t>
        </is>
      </c>
      <c r="I515" t="n">
        <v>6500000</v>
      </c>
      <c r="J515" t="n">
        <v>0.073</v>
      </c>
      <c r="K515" t="n">
        <v>1.76</v>
      </c>
      <c r="L515" t="n">
        <v>0.13</v>
      </c>
      <c r="M515" t="n">
        <v>1.63</v>
      </c>
      <c r="P515" t="inlineStr">
        <is>
          <t>정광호</t>
        </is>
      </c>
      <c r="Q515" t="inlineStr">
        <is>
          <t>홈서비스 24개월</t>
        </is>
      </c>
      <c r="Z515" t="n">
        <v>0</v>
      </c>
      <c r="AB515" t="inlineStr">
        <is>
          <t>홈서비스</t>
        </is>
      </c>
      <c r="AC515" t="n">
        <v>114400</v>
      </c>
      <c r="AD515" t="n">
        <v>8450</v>
      </c>
      <c r="AE515" t="n">
        <v>105950</v>
      </c>
      <c r="AF515" t="n">
        <v>104000</v>
      </c>
      <c r="AG515" t="n">
        <v>8450</v>
      </c>
      <c r="AH515" t="n">
        <v>95550</v>
      </c>
    </row>
    <row r="516">
      <c r="A516" t="inlineStr">
        <is>
          <t>1월</t>
        </is>
      </c>
      <c r="B516" t="inlineStr">
        <is>
          <t>4주차</t>
        </is>
      </c>
      <c r="C516" t="inlineStr">
        <is>
          <t>EP</t>
        </is>
      </c>
      <c r="D516" s="28" t="n">
        <v>46041</v>
      </c>
      <c r="E516" t="inlineStr">
        <is>
          <t>현대EP_fast</t>
        </is>
      </c>
      <c r="F516" t="inlineStr">
        <is>
          <t>양동현</t>
        </is>
      </c>
      <c r="G516" t="inlineStr">
        <is>
          <t>010-6376-0559</t>
        </is>
      </c>
      <c r="H516" t="inlineStr">
        <is>
          <t>65러7435</t>
        </is>
      </c>
      <c r="I516" t="n">
        <v>15600000</v>
      </c>
      <c r="J516" t="n">
        <v>0.073</v>
      </c>
      <c r="K516" t="n">
        <v>1.76</v>
      </c>
      <c r="L516" t="n">
        <v>0.13</v>
      </c>
      <c r="M516" t="n">
        <v>1.63</v>
      </c>
      <c r="P516" t="inlineStr">
        <is>
          <t>임대경</t>
        </is>
      </c>
      <c r="Q516" t="inlineStr">
        <is>
          <t>홈서비스 60개월</t>
        </is>
      </c>
      <c r="Z516" t="n">
        <v>0</v>
      </c>
      <c r="AB516" t="inlineStr">
        <is>
          <t>홈서비스</t>
        </is>
      </c>
      <c r="AC516" t="n">
        <v>274560</v>
      </c>
      <c r="AD516" t="n">
        <v>20280</v>
      </c>
      <c r="AE516" t="n">
        <v>254280</v>
      </c>
      <c r="AF516" t="n">
        <v>249600</v>
      </c>
      <c r="AG516" t="n">
        <v>20280</v>
      </c>
      <c r="AH516" t="n">
        <v>229320</v>
      </c>
      <c r="AI516" t="n">
        <v>1</v>
      </c>
    </row>
    <row r="517">
      <c r="A517" t="inlineStr">
        <is>
          <t>1월</t>
        </is>
      </c>
      <c r="B517" t="inlineStr">
        <is>
          <t>3주차</t>
        </is>
      </c>
      <c r="C517" t="inlineStr">
        <is>
          <t>EP</t>
        </is>
      </c>
      <c r="D517" s="28" t="n">
        <v>46038</v>
      </c>
      <c r="E517" t="inlineStr">
        <is>
          <t>현대EP</t>
        </is>
      </c>
      <c r="F517" t="inlineStr">
        <is>
          <t>유선형</t>
        </is>
      </c>
      <c r="G517" t="inlineStr">
        <is>
          <t>010-7413-6996</t>
        </is>
      </c>
      <c r="H517" t="inlineStr">
        <is>
          <t>324러8437</t>
        </is>
      </c>
      <c r="I517" t="n">
        <v>29800000</v>
      </c>
      <c r="J517" t="n">
        <v>0.083</v>
      </c>
      <c r="K517" t="n">
        <v>1.76</v>
      </c>
      <c r="L517" t="n">
        <v>0.13</v>
      </c>
      <c r="M517" t="n">
        <v>1.63</v>
      </c>
      <c r="P517" t="inlineStr">
        <is>
          <t>김나윤</t>
        </is>
      </c>
      <c r="Q517" t="inlineStr">
        <is>
          <t>홈서비스 48개월</t>
        </is>
      </c>
      <c r="Z517" t="n">
        <v>0</v>
      </c>
      <c r="AB517" t="inlineStr">
        <is>
          <t>홈서비스</t>
        </is>
      </c>
      <c r="AC517" t="n">
        <v>524480</v>
      </c>
      <c r="AD517" t="n">
        <v>38740</v>
      </c>
      <c r="AE517" t="n">
        <v>485740</v>
      </c>
      <c r="AF517" t="n">
        <v>476800</v>
      </c>
      <c r="AG517" t="n">
        <v>38740</v>
      </c>
      <c r="AH517" t="n">
        <v>438060</v>
      </c>
      <c r="AI517" t="n">
        <v>1</v>
      </c>
    </row>
    <row r="518">
      <c r="A518" t="inlineStr">
        <is>
          <t>1월</t>
        </is>
      </c>
      <c r="B518" t="inlineStr">
        <is>
          <t>4주차</t>
        </is>
      </c>
      <c r="C518" t="inlineStr">
        <is>
          <t>EP</t>
        </is>
      </c>
      <c r="D518" s="28" t="n">
        <v>46041</v>
      </c>
      <c r="E518" t="inlineStr">
        <is>
          <t>현대EP_fast</t>
        </is>
      </c>
      <c r="F518" t="inlineStr">
        <is>
          <t>윤혜림</t>
        </is>
      </c>
      <c r="G518" t="n">
        <v>1065680221</v>
      </c>
      <c r="H518" t="inlineStr">
        <is>
          <t>51주3138</t>
        </is>
      </c>
      <c r="I518" t="n">
        <v>10900000</v>
      </c>
      <c r="J518" t="n">
        <v>0.06900000000000001</v>
      </c>
      <c r="K518" t="n">
        <v>1.76</v>
      </c>
      <c r="L518" t="n">
        <v>0.13</v>
      </c>
      <c r="M518" t="n">
        <v>1.63</v>
      </c>
      <c r="P518" t="inlineStr">
        <is>
          <t>김나윤</t>
        </is>
      </c>
      <c r="Q518" t="inlineStr">
        <is>
          <t>홈서비스 36개월</t>
        </is>
      </c>
      <c r="Z518" t="n">
        <v>0</v>
      </c>
      <c r="AB518" t="inlineStr">
        <is>
          <t>홈서비스</t>
        </is>
      </c>
      <c r="AC518" t="n">
        <v>191840</v>
      </c>
      <c r="AD518" t="n">
        <v>14170</v>
      </c>
      <c r="AE518" t="n">
        <v>177670</v>
      </c>
      <c r="AF518" t="n">
        <v>174400</v>
      </c>
      <c r="AG518" t="n">
        <v>14170</v>
      </c>
      <c r="AH518" t="n">
        <v>160230</v>
      </c>
      <c r="AI518" t="n">
        <v>1</v>
      </c>
    </row>
    <row r="519">
      <c r="A519" t="inlineStr">
        <is>
          <t>1월</t>
        </is>
      </c>
      <c r="B519" t="inlineStr">
        <is>
          <t>3주차</t>
        </is>
      </c>
      <c r="C519" t="inlineStr">
        <is>
          <t>IM</t>
        </is>
      </c>
      <c r="D519" s="28" t="n">
        <v>46039</v>
      </c>
      <c r="E519" t="inlineStr">
        <is>
          <t>IM캐피탈</t>
        </is>
      </c>
      <c r="F519" t="inlineStr">
        <is>
          <t>이완우</t>
        </is>
      </c>
      <c r="G519" t="inlineStr">
        <is>
          <t>010-9165-0961</t>
        </is>
      </c>
      <c r="H519" t="inlineStr">
        <is>
          <t>368머5768</t>
        </is>
      </c>
      <c r="I519" t="n">
        <v>23000000</v>
      </c>
      <c r="J519" t="n">
        <v>0.053</v>
      </c>
      <c r="K519" t="n">
        <v>0.55</v>
      </c>
      <c r="L519" t="n">
        <v>0.4</v>
      </c>
      <c r="M519" t="n">
        <v>0.15</v>
      </c>
      <c r="P519" t="inlineStr">
        <is>
          <t>박보람</t>
        </is>
      </c>
      <c r="Q519" t="inlineStr">
        <is>
          <t>사유 : 금리 불만</t>
        </is>
      </c>
      <c r="Z519" t="n">
        <v>0</v>
      </c>
      <c r="AB519" t="inlineStr">
        <is>
          <t>엔카</t>
        </is>
      </c>
      <c r="AC519" t="n">
        <v>126500</v>
      </c>
      <c r="AD519" t="n">
        <v>92000</v>
      </c>
      <c r="AE519" t="n">
        <v>34500</v>
      </c>
      <c r="AF519" t="n">
        <v>115000</v>
      </c>
      <c r="AG519" t="n">
        <v>92000</v>
      </c>
      <c r="AH519" t="n">
        <v>23000</v>
      </c>
      <c r="AI519" t="n">
        <v>1</v>
      </c>
    </row>
    <row r="520">
      <c r="A520" t="inlineStr">
        <is>
          <t>1월</t>
        </is>
      </c>
      <c r="B520" t="inlineStr">
        <is>
          <t>3주차</t>
        </is>
      </c>
      <c r="C520" t="inlineStr">
        <is>
          <t>EP</t>
        </is>
      </c>
      <c r="D520" s="28" t="n">
        <v>46038</v>
      </c>
      <c r="E520" t="inlineStr">
        <is>
          <t>제이비EP</t>
        </is>
      </c>
      <c r="F520" t="inlineStr">
        <is>
          <t>복경수</t>
        </is>
      </c>
      <c r="G520" t="inlineStr">
        <is>
          <t>010-2538-4482</t>
        </is>
      </c>
      <c r="H520" t="inlineStr">
        <is>
          <t>309로2655</t>
        </is>
      </c>
      <c r="I520" t="n">
        <v>17500000</v>
      </c>
      <c r="J520" t="n">
        <v>0.08799999999999999</v>
      </c>
      <c r="K520" t="n">
        <v>1.65</v>
      </c>
      <c r="L520" t="n">
        <v>0.13</v>
      </c>
      <c r="M520" t="n">
        <v>1.52</v>
      </c>
      <c r="P520" t="inlineStr">
        <is>
          <t>구성완</t>
        </is>
      </c>
      <c r="Q520" t="inlineStr">
        <is>
          <t>안심거래존건건</t>
        </is>
      </c>
      <c r="Z520" t="n">
        <v>0</v>
      </c>
      <c r="AB520" t="inlineStr">
        <is>
          <t>믿고</t>
        </is>
      </c>
      <c r="AC520" t="n">
        <v>288750</v>
      </c>
      <c r="AD520" t="n">
        <v>22750</v>
      </c>
      <c r="AE520" t="n">
        <v>266000</v>
      </c>
      <c r="AF520" t="n">
        <v>262500</v>
      </c>
      <c r="AG520" t="n">
        <v>22750</v>
      </c>
      <c r="AH520" t="n">
        <v>239750</v>
      </c>
    </row>
    <row r="521">
      <c r="A521" t="inlineStr">
        <is>
          <t>1월</t>
        </is>
      </c>
      <c r="B521" t="inlineStr">
        <is>
          <t>3주차</t>
        </is>
      </c>
      <c r="C521" t="inlineStr">
        <is>
          <t>EP</t>
        </is>
      </c>
      <c r="D521" s="28" t="n">
        <v>46040</v>
      </c>
      <c r="E521" t="inlineStr">
        <is>
          <t>현대EP</t>
        </is>
      </c>
      <c r="F521" t="inlineStr">
        <is>
          <t>오상현</t>
        </is>
      </c>
      <c r="G521" t="inlineStr">
        <is>
          <t>010-2393-5790</t>
        </is>
      </c>
      <c r="H521" t="inlineStr">
        <is>
          <t>105버2856</t>
        </is>
      </c>
      <c r="I521" t="n">
        <v>11700000</v>
      </c>
      <c r="J521" t="n">
        <v>0.124</v>
      </c>
      <c r="K521" t="n">
        <v>1.76</v>
      </c>
      <c r="L521" t="n">
        <v>0.13</v>
      </c>
      <c r="M521" t="n">
        <v>1.63</v>
      </c>
      <c r="P521" t="inlineStr">
        <is>
          <t>구성완</t>
        </is>
      </c>
      <c r="Q521" t="inlineStr">
        <is>
          <t>안심거래존건</t>
        </is>
      </c>
      <c r="Z521" t="n">
        <v>0</v>
      </c>
      <c r="AB521" t="inlineStr">
        <is>
          <t>믿고</t>
        </is>
      </c>
      <c r="AC521" t="n">
        <v>205920</v>
      </c>
      <c r="AD521" t="n">
        <v>15210</v>
      </c>
      <c r="AE521" t="n">
        <v>190710</v>
      </c>
      <c r="AF521" t="n">
        <v>187200</v>
      </c>
      <c r="AG521" t="n">
        <v>15210</v>
      </c>
      <c r="AH521" t="n">
        <v>171990</v>
      </c>
    </row>
    <row r="522">
      <c r="A522" t="inlineStr">
        <is>
          <t>1월</t>
        </is>
      </c>
      <c r="B522" t="inlineStr">
        <is>
          <t>3주차</t>
        </is>
      </c>
      <c r="C522" t="inlineStr">
        <is>
          <t>EP</t>
        </is>
      </c>
      <c r="D522" s="28" t="n">
        <v>46039</v>
      </c>
      <c r="E522" t="inlineStr">
        <is>
          <t>현대EP</t>
        </is>
      </c>
      <c r="F522" t="inlineStr">
        <is>
          <t>윤석현</t>
        </is>
      </c>
      <c r="G522" t="inlineStr">
        <is>
          <t>010-5590-7653</t>
        </is>
      </c>
      <c r="H522" t="inlineStr">
        <is>
          <t>20서6857</t>
        </is>
      </c>
      <c r="I522" t="n">
        <v>19100000</v>
      </c>
      <c r="J522" t="n">
        <v>0.067</v>
      </c>
      <c r="K522" t="n">
        <v>1.76</v>
      </c>
      <c r="L522" t="n">
        <v>0.13</v>
      </c>
      <c r="M522" t="n">
        <v>1.63</v>
      </c>
      <c r="P522" t="inlineStr">
        <is>
          <t>정하은</t>
        </is>
      </c>
      <c r="Q522" t="inlineStr">
        <is>
          <t>홈서비스 36개월</t>
        </is>
      </c>
      <c r="Z522" t="n">
        <v>0</v>
      </c>
      <c r="AB522" t="inlineStr">
        <is>
          <t>홈서비스</t>
        </is>
      </c>
      <c r="AC522" t="n">
        <v>336160</v>
      </c>
      <c r="AD522" t="n">
        <v>24830</v>
      </c>
      <c r="AE522" t="n">
        <v>311330</v>
      </c>
      <c r="AF522" t="n">
        <v>305600</v>
      </c>
      <c r="AG522" t="n">
        <v>24830</v>
      </c>
      <c r="AH522" t="n">
        <v>280770</v>
      </c>
    </row>
    <row r="523">
      <c r="A523" t="inlineStr">
        <is>
          <t>1월</t>
        </is>
      </c>
      <c r="B523" t="inlineStr">
        <is>
          <t>3주차</t>
        </is>
      </c>
      <c r="C523" t="inlineStr">
        <is>
          <t>EP</t>
        </is>
      </c>
      <c r="D523" s="28" t="n">
        <v>46040</v>
      </c>
      <c r="E523" t="inlineStr">
        <is>
          <t>현대EP</t>
        </is>
      </c>
      <c r="F523" t="inlineStr">
        <is>
          <t>백승열</t>
        </is>
      </c>
      <c r="G523" t="inlineStr">
        <is>
          <t>010-7727-5933</t>
        </is>
      </c>
      <c r="H523" t="inlineStr">
        <is>
          <t>138오7794</t>
        </is>
      </c>
      <c r="I523" t="n">
        <v>45000000</v>
      </c>
      <c r="J523" t="n">
        <v>0.081</v>
      </c>
      <c r="K523" t="n">
        <v>1.76</v>
      </c>
      <c r="L523" t="n">
        <v>0.13</v>
      </c>
      <c r="M523" t="n">
        <v>1.63</v>
      </c>
      <c r="P523" t="inlineStr">
        <is>
          <t>최형주</t>
        </is>
      </c>
      <c r="Q523" t="inlineStr">
        <is>
          <t>홈서비스 60개월</t>
        </is>
      </c>
      <c r="Z523" t="n">
        <v>0</v>
      </c>
      <c r="AB523" t="inlineStr">
        <is>
          <t>홈서비스</t>
        </is>
      </c>
      <c r="AC523" t="n">
        <v>792000</v>
      </c>
      <c r="AD523" t="n">
        <v>58500</v>
      </c>
      <c r="AE523" t="n">
        <v>733500</v>
      </c>
      <c r="AF523" t="n">
        <v>720000</v>
      </c>
      <c r="AG523" t="n">
        <v>58500</v>
      </c>
      <c r="AH523" t="n">
        <v>661500</v>
      </c>
      <c r="AI523" t="n">
        <v>0</v>
      </c>
    </row>
    <row r="524">
      <c r="A524" t="inlineStr">
        <is>
          <t>1월</t>
        </is>
      </c>
      <c r="B524" t="inlineStr">
        <is>
          <t>4주차</t>
        </is>
      </c>
      <c r="C524" t="inlineStr">
        <is>
          <t>EP</t>
        </is>
      </c>
      <c r="D524" s="28" t="n">
        <v>46041</v>
      </c>
      <c r="E524" t="inlineStr">
        <is>
          <t>현대EP_fast</t>
        </is>
      </c>
      <c r="F524" t="inlineStr">
        <is>
          <t>이승건</t>
        </is>
      </c>
      <c r="G524" t="inlineStr">
        <is>
          <t>010-9829-0246</t>
        </is>
      </c>
      <c r="H524" t="inlineStr">
        <is>
          <t>40무5185</t>
        </is>
      </c>
      <c r="I524" t="n">
        <v>9400000</v>
      </c>
      <c r="J524" t="n">
        <v>0.097</v>
      </c>
      <c r="K524" t="n">
        <v>1.76</v>
      </c>
      <c r="L524" t="n">
        <v>0.13</v>
      </c>
      <c r="M524" t="n">
        <v>1.63</v>
      </c>
      <c r="P524" t="inlineStr">
        <is>
          <t>정세빈</t>
        </is>
      </c>
      <c r="Q524" t="inlineStr">
        <is>
          <t>홈서비스 60개월</t>
        </is>
      </c>
      <c r="Z524" t="n">
        <v>0</v>
      </c>
      <c r="AB524" t="inlineStr">
        <is>
          <t>홈서비스</t>
        </is>
      </c>
      <c r="AC524" t="n">
        <v>165440</v>
      </c>
      <c r="AD524" t="n">
        <v>12220</v>
      </c>
      <c r="AE524" t="n">
        <v>153220</v>
      </c>
      <c r="AF524" t="n">
        <v>150400</v>
      </c>
      <c r="AG524" t="n">
        <v>12220</v>
      </c>
      <c r="AH524" t="n">
        <v>138180</v>
      </c>
    </row>
    <row r="525">
      <c r="A525" t="inlineStr">
        <is>
          <t>1월</t>
        </is>
      </c>
      <c r="B525" t="inlineStr">
        <is>
          <t>4주차</t>
        </is>
      </c>
      <c r="C525" t="inlineStr">
        <is>
          <t>IM</t>
        </is>
      </c>
      <c r="D525" s="28" t="n">
        <v>46041</v>
      </c>
      <c r="E525" t="inlineStr">
        <is>
          <t>IM캐피탈</t>
        </is>
      </c>
      <c r="F525" t="inlineStr">
        <is>
          <t>김지호</t>
        </is>
      </c>
      <c r="G525" t="inlineStr">
        <is>
          <t>010-5231-0000</t>
        </is>
      </c>
      <c r="H525" t="inlineStr">
        <is>
          <t>01모2972</t>
        </is>
      </c>
      <c r="I525" t="n">
        <v>33500000</v>
      </c>
      <c r="J525" t="n">
        <v>0.053</v>
      </c>
      <c r="K525" t="n">
        <v>0.55</v>
      </c>
      <c r="L525" t="n">
        <v>0.13</v>
      </c>
      <c r="M525" t="n">
        <v>0.42</v>
      </c>
      <c r="P525" t="inlineStr">
        <is>
          <t>임대경</t>
        </is>
      </c>
      <c r="Q525" t="inlineStr">
        <is>
          <t>홈서비스 60개월/ 사유 : 현대금리불만</t>
        </is>
      </c>
      <c r="Z525" t="n">
        <v>0</v>
      </c>
      <c r="AB525" t="inlineStr">
        <is>
          <t>홈서비스</t>
        </is>
      </c>
      <c r="AC525" t="n">
        <v>184250</v>
      </c>
      <c r="AD525" t="n">
        <v>43550</v>
      </c>
      <c r="AE525" t="n">
        <v>140700</v>
      </c>
      <c r="AF525" t="n">
        <v>167500</v>
      </c>
      <c r="AG525" t="n">
        <v>43550</v>
      </c>
      <c r="AH525" t="n">
        <v>123950</v>
      </c>
    </row>
    <row r="526">
      <c r="A526" t="inlineStr">
        <is>
          <t>1월</t>
        </is>
      </c>
      <c r="B526" t="inlineStr">
        <is>
          <t>3주차</t>
        </is>
      </c>
      <c r="C526" t="inlineStr">
        <is>
          <t>IM</t>
        </is>
      </c>
      <c r="D526" s="28" t="n">
        <v>46038</v>
      </c>
      <c r="E526" t="inlineStr">
        <is>
          <t>IM캐피탈</t>
        </is>
      </c>
      <c r="F526" t="inlineStr">
        <is>
          <t>김신영</t>
        </is>
      </c>
      <c r="G526" t="inlineStr">
        <is>
          <t>010-7696-4442</t>
        </is>
      </c>
      <c r="H526" t="inlineStr">
        <is>
          <t>273무3166</t>
        </is>
      </c>
      <c r="I526" t="n">
        <v>30000000</v>
      </c>
      <c r="J526" t="n">
        <v>0.049</v>
      </c>
      <c r="K526" t="n">
        <v>0.55</v>
      </c>
      <c r="L526" t="n">
        <v>0.4</v>
      </c>
      <c r="M526" t="n">
        <v>0.15</v>
      </c>
      <c r="P526" t="inlineStr">
        <is>
          <t>박소현</t>
        </is>
      </c>
      <c r="Z526" t="n">
        <v>0</v>
      </c>
      <c r="AB526" t="inlineStr">
        <is>
          <t>엔카</t>
        </is>
      </c>
      <c r="AC526" t="n">
        <v>165000</v>
      </c>
      <c r="AD526" t="n">
        <v>120000</v>
      </c>
      <c r="AE526" t="n">
        <v>45000</v>
      </c>
      <c r="AF526" t="n">
        <v>150000</v>
      </c>
      <c r="AG526" t="n">
        <v>120000</v>
      </c>
      <c r="AH526" t="n">
        <v>30000</v>
      </c>
    </row>
    <row r="527">
      <c r="A527" t="inlineStr">
        <is>
          <t>1월</t>
        </is>
      </c>
      <c r="B527" t="inlineStr">
        <is>
          <t>3주차</t>
        </is>
      </c>
      <c r="C527" t="inlineStr">
        <is>
          <t>EP</t>
        </is>
      </c>
      <c r="D527" s="28" t="n">
        <v>46036</v>
      </c>
      <c r="E527" t="inlineStr">
        <is>
          <t>BNKEP</t>
        </is>
      </c>
      <c r="F527" t="inlineStr">
        <is>
          <t>이동현</t>
        </is>
      </c>
      <c r="G527" t="inlineStr">
        <is>
          <t>010-6311-3331</t>
        </is>
      </c>
      <c r="H527" t="inlineStr">
        <is>
          <t>124너2133</t>
        </is>
      </c>
      <c r="I527" t="n">
        <v>-55300000</v>
      </c>
      <c r="J527" t="n">
        <v>0.089</v>
      </c>
      <c r="K527" t="n">
        <v>1.65</v>
      </c>
      <c r="L527" t="n">
        <v>0.4</v>
      </c>
      <c r="M527" t="n">
        <v>1.25</v>
      </c>
      <c r="P527" t="inlineStr">
        <is>
          <t>장현경</t>
        </is>
      </c>
      <c r="Q527" t="inlineStr">
        <is>
          <t>* 철회 20260114</t>
        </is>
      </c>
      <c r="Z527" t="n">
        <v>0</v>
      </c>
      <c r="AB527" t="inlineStr">
        <is>
          <t>엔카</t>
        </is>
      </c>
      <c r="AC527" t="n">
        <v>-912450</v>
      </c>
      <c r="AD527" t="n">
        <v>-221200</v>
      </c>
      <c r="AE527" t="n">
        <v>-691250</v>
      </c>
      <c r="AF527" t="n">
        <v>-829500</v>
      </c>
      <c r="AG527" t="n">
        <v>-221200</v>
      </c>
      <c r="AH527" t="n">
        <v>-608300</v>
      </c>
      <c r="AK527" t="inlineStr">
        <is>
          <t>대출철회</t>
        </is>
      </c>
    </row>
    <row r="528">
      <c r="A528" t="inlineStr">
        <is>
          <t>1월</t>
        </is>
      </c>
      <c r="B528" t="inlineStr">
        <is>
          <t>3주차</t>
        </is>
      </c>
      <c r="C528" t="inlineStr">
        <is>
          <t>IM</t>
        </is>
      </c>
      <c r="D528" s="28" t="n">
        <v>46038</v>
      </c>
      <c r="E528" t="inlineStr">
        <is>
          <t>IM캐피탈</t>
        </is>
      </c>
      <c r="F528" t="inlineStr">
        <is>
          <t>조세인</t>
        </is>
      </c>
      <c r="G528" t="inlineStr">
        <is>
          <t>010-6325-1515</t>
        </is>
      </c>
      <c r="H528" t="inlineStr">
        <is>
          <t>290소9788</t>
        </is>
      </c>
      <c r="I528" t="n">
        <v>26000000</v>
      </c>
      <c r="J528" t="n">
        <v>0.049</v>
      </c>
      <c r="K528" t="n">
        <v>0.55</v>
      </c>
      <c r="L528" t="n">
        <v>0.13</v>
      </c>
      <c r="M528" t="n">
        <v>0.42</v>
      </c>
      <c r="P528" t="inlineStr">
        <is>
          <t>박현민</t>
        </is>
      </c>
      <c r="Q528" t="inlineStr">
        <is>
          <t>홈서비스 60개월</t>
        </is>
      </c>
      <c r="Z528" t="n">
        <v>0</v>
      </c>
      <c r="AB528" t="inlineStr">
        <is>
          <t>홈서비스</t>
        </is>
      </c>
      <c r="AC528" t="n">
        <v>143000</v>
      </c>
      <c r="AD528" t="n">
        <v>33800</v>
      </c>
      <c r="AE528" t="n">
        <v>109200</v>
      </c>
      <c r="AF528" t="n">
        <v>130000</v>
      </c>
      <c r="AG528" t="n">
        <v>33800</v>
      </c>
      <c r="AH528" t="n">
        <v>96200</v>
      </c>
      <c r="AI528" t="n">
        <v>0</v>
      </c>
    </row>
    <row r="529">
      <c r="A529" t="inlineStr">
        <is>
          <t>1월</t>
        </is>
      </c>
      <c r="B529" t="inlineStr">
        <is>
          <t>3주차</t>
        </is>
      </c>
      <c r="C529" t="inlineStr">
        <is>
          <t>EP</t>
        </is>
      </c>
      <c r="D529" s="28" t="n">
        <v>46039</v>
      </c>
      <c r="E529" t="inlineStr">
        <is>
          <t>현대EP</t>
        </is>
      </c>
      <c r="F529" t="inlineStr">
        <is>
          <t>정윤호</t>
        </is>
      </c>
      <c r="G529" t="inlineStr">
        <is>
          <t>010-5258-3590</t>
        </is>
      </c>
      <c r="H529" t="inlineStr">
        <is>
          <t>43머0977</t>
        </is>
      </c>
      <c r="I529" t="n">
        <v>6000000</v>
      </c>
      <c r="J529" t="n">
        <v>0.06900000000000001</v>
      </c>
      <c r="K529" t="n">
        <v>1.76</v>
      </c>
      <c r="L529" t="n">
        <v>0.13</v>
      </c>
      <c r="M529" t="n">
        <v>1.63</v>
      </c>
      <c r="P529" t="inlineStr">
        <is>
          <t>박현민</t>
        </is>
      </c>
      <c r="Q529" t="inlineStr">
        <is>
          <t>홈서비스 24개월/ *중도상환 20260130</t>
        </is>
      </c>
      <c r="Z529" t="n">
        <v>0</v>
      </c>
      <c r="AB529" t="inlineStr">
        <is>
          <t>홈서비스</t>
        </is>
      </c>
      <c r="AC529" t="n">
        <v>105600</v>
      </c>
      <c r="AD529" t="n">
        <v>7800</v>
      </c>
      <c r="AE529" t="n">
        <v>97800</v>
      </c>
      <c r="AF529" t="n">
        <v>96000</v>
      </c>
      <c r="AG529" t="n">
        <v>7800</v>
      </c>
      <c r="AH529" t="n">
        <v>88200</v>
      </c>
      <c r="AK529" t="inlineStr">
        <is>
          <t>중도상환</t>
        </is>
      </c>
    </row>
    <row r="530">
      <c r="A530" t="inlineStr">
        <is>
          <t>1월</t>
        </is>
      </c>
      <c r="B530" t="inlineStr">
        <is>
          <t>4주차</t>
        </is>
      </c>
      <c r="C530" t="inlineStr">
        <is>
          <t>EP</t>
        </is>
      </c>
      <c r="D530" s="28" t="n">
        <v>46041</v>
      </c>
      <c r="E530" t="inlineStr">
        <is>
          <t>현대EP_fast</t>
        </is>
      </c>
      <c r="F530" t="inlineStr">
        <is>
          <t>박광혁</t>
        </is>
      </c>
      <c r="G530" t="inlineStr">
        <is>
          <t>010-3219-3008</t>
        </is>
      </c>
      <c r="H530" t="inlineStr">
        <is>
          <t>48서6834</t>
        </is>
      </c>
      <c r="I530" t="n">
        <v>35900000</v>
      </c>
      <c r="J530" t="n">
        <v>0.081</v>
      </c>
      <c r="K530" t="n">
        <v>1.76</v>
      </c>
      <c r="L530" t="n">
        <v>0.13</v>
      </c>
      <c r="M530" t="n">
        <v>1.63</v>
      </c>
      <c r="P530" t="inlineStr">
        <is>
          <t>황채이</t>
        </is>
      </c>
      <c r="Q530" t="inlineStr">
        <is>
          <t>홈서비스 60개월</t>
        </is>
      </c>
      <c r="Z530" t="n">
        <v>0</v>
      </c>
      <c r="AB530" t="inlineStr">
        <is>
          <t>홈서비스</t>
        </is>
      </c>
      <c r="AC530" t="n">
        <v>631840</v>
      </c>
      <c r="AD530" t="n">
        <v>46670</v>
      </c>
      <c r="AE530" t="n">
        <v>585170</v>
      </c>
      <c r="AF530" t="n">
        <v>574400</v>
      </c>
      <c r="AG530" t="n">
        <v>46670</v>
      </c>
      <c r="AH530" t="n">
        <v>527730</v>
      </c>
      <c r="AI530" t="n">
        <v>0</v>
      </c>
    </row>
    <row r="531">
      <c r="A531" t="inlineStr">
        <is>
          <t>1월</t>
        </is>
      </c>
      <c r="B531" t="inlineStr">
        <is>
          <t>3주차</t>
        </is>
      </c>
      <c r="C531" t="inlineStr">
        <is>
          <t>OR</t>
        </is>
      </c>
      <c r="D531" s="28" t="n">
        <v>46038</v>
      </c>
      <c r="E531" t="inlineStr">
        <is>
          <t>오릭스</t>
        </is>
      </c>
      <c r="F531" t="inlineStr">
        <is>
          <t>김대민</t>
        </is>
      </c>
      <c r="G531" t="inlineStr">
        <is>
          <t>010-9307-3869</t>
        </is>
      </c>
      <c r="H531" t="inlineStr">
        <is>
          <t>32마1151</t>
        </is>
      </c>
      <c r="I531" t="n">
        <v>20000000</v>
      </c>
      <c r="J531" t="n">
        <v>0.07199999999999999</v>
      </c>
      <c r="K531" t="n">
        <v>1.65</v>
      </c>
      <c r="L531" t="n">
        <v>0.4</v>
      </c>
      <c r="M531" t="n">
        <v>1.25</v>
      </c>
      <c r="P531" t="inlineStr">
        <is>
          <t>장진경</t>
        </is>
      </c>
      <c r="Q531" t="inlineStr">
        <is>
          <t>사유 : 엔카매물 아닌 차량</t>
        </is>
      </c>
      <c r="Z531" t="n">
        <v>0</v>
      </c>
      <c r="AB531" t="inlineStr">
        <is>
          <t>엔카</t>
        </is>
      </c>
      <c r="AC531" t="n">
        <v>330000</v>
      </c>
      <c r="AD531" t="n">
        <v>80000</v>
      </c>
      <c r="AE531" t="n">
        <v>250000</v>
      </c>
      <c r="AF531" t="n">
        <v>300000</v>
      </c>
      <c r="AG531" t="n">
        <v>80000</v>
      </c>
      <c r="AH531" t="n">
        <v>220000</v>
      </c>
    </row>
    <row r="532">
      <c r="A532" t="inlineStr">
        <is>
          <t>1월</t>
        </is>
      </c>
      <c r="B532" t="inlineStr">
        <is>
          <t>4주차</t>
        </is>
      </c>
      <c r="C532" t="inlineStr">
        <is>
          <t>EP</t>
        </is>
      </c>
      <c r="D532" s="28" t="n">
        <v>46041</v>
      </c>
      <c r="E532" t="inlineStr">
        <is>
          <t>현대EP_fast</t>
        </is>
      </c>
      <c r="F532" t="inlineStr">
        <is>
          <t>박초훈</t>
        </is>
      </c>
      <c r="G532" t="inlineStr">
        <is>
          <t>00-2996-3815</t>
        </is>
      </c>
      <c r="H532" t="inlineStr">
        <is>
          <t>40버7771</t>
        </is>
      </c>
      <c r="I532" t="n">
        <v>6000000</v>
      </c>
      <c r="J532" t="n">
        <v>0.073</v>
      </c>
      <c r="K532" t="n">
        <v>1.76</v>
      </c>
      <c r="L532" t="n">
        <v>0.13</v>
      </c>
      <c r="M532" t="n">
        <v>1.63</v>
      </c>
      <c r="P532" t="inlineStr">
        <is>
          <t>장진경</t>
        </is>
      </c>
      <c r="Q532" t="inlineStr">
        <is>
          <t>선상담 / 홈서비스 36개월</t>
        </is>
      </c>
      <c r="Z532" t="n">
        <v>0</v>
      </c>
      <c r="AB532" t="inlineStr">
        <is>
          <t>홈서비스</t>
        </is>
      </c>
      <c r="AC532" t="n">
        <v>105600</v>
      </c>
      <c r="AD532" t="n">
        <v>7800</v>
      </c>
      <c r="AE532" t="n">
        <v>97800</v>
      </c>
      <c r="AF532" t="n">
        <v>96000</v>
      </c>
      <c r="AG532" t="n">
        <v>7800</v>
      </c>
      <c r="AH532" t="n">
        <v>88200</v>
      </c>
      <c r="AI532" t="n">
        <v>0</v>
      </c>
    </row>
    <row r="533">
      <c r="A533" t="inlineStr">
        <is>
          <t>1월</t>
        </is>
      </c>
      <c r="B533" t="inlineStr">
        <is>
          <t>4주차</t>
        </is>
      </c>
      <c r="C533" t="inlineStr">
        <is>
          <t>IM</t>
        </is>
      </c>
      <c r="D533" s="28" t="n">
        <v>46041</v>
      </c>
      <c r="E533" t="inlineStr">
        <is>
          <t>IM캐피탈</t>
        </is>
      </c>
      <c r="F533" t="inlineStr">
        <is>
          <t>김소희</t>
        </is>
      </c>
      <c r="G533" t="inlineStr">
        <is>
          <t>010-4336-5667</t>
        </is>
      </c>
      <c r="H533" t="inlineStr">
        <is>
          <t>174부2684</t>
        </is>
      </c>
      <c r="I533" t="n">
        <v>22000000</v>
      </c>
      <c r="J533" t="n">
        <v>0.075</v>
      </c>
      <c r="K533" t="n">
        <v>0.55</v>
      </c>
      <c r="L533" t="n">
        <v>0.13</v>
      </c>
      <c r="M533" t="n">
        <v>0.42</v>
      </c>
      <c r="P533" t="inlineStr">
        <is>
          <t>임대경</t>
        </is>
      </c>
      <c r="Q533" t="inlineStr">
        <is>
          <t>홈서비스 72개월/사유 : 현대금리불만</t>
        </is>
      </c>
      <c r="Z533" t="n">
        <v>0</v>
      </c>
      <c r="AB533" t="inlineStr">
        <is>
          <t>홈서비스</t>
        </is>
      </c>
      <c r="AC533" t="n">
        <v>121000</v>
      </c>
      <c r="AD533" t="n">
        <v>28600</v>
      </c>
      <c r="AE533" t="n">
        <v>92400</v>
      </c>
      <c r="AF533" t="n">
        <v>110000</v>
      </c>
      <c r="AG533" t="n">
        <v>28600</v>
      </c>
      <c r="AH533" t="n">
        <v>81400</v>
      </c>
      <c r="AI533" t="n">
        <v>0</v>
      </c>
    </row>
    <row r="534">
      <c r="A534" t="inlineStr">
        <is>
          <t>1월</t>
        </is>
      </c>
      <c r="B534" t="inlineStr">
        <is>
          <t>4주차</t>
        </is>
      </c>
      <c r="C534" t="inlineStr">
        <is>
          <t>IM</t>
        </is>
      </c>
      <c r="D534" s="28" t="n">
        <v>46041</v>
      </c>
      <c r="E534" t="inlineStr">
        <is>
          <t>IM캐피탈</t>
        </is>
      </c>
      <c r="F534" t="inlineStr">
        <is>
          <t>최보성</t>
        </is>
      </c>
      <c r="G534" t="n">
        <v>1066328603</v>
      </c>
      <c r="H534" t="inlineStr">
        <is>
          <t>33더4585</t>
        </is>
      </c>
      <c r="I534" t="n">
        <v>5900000</v>
      </c>
      <c r="J534" t="n">
        <v>0.056</v>
      </c>
      <c r="K534" t="n">
        <v>0.55</v>
      </c>
      <c r="L534" t="n">
        <v>0.13</v>
      </c>
      <c r="M534" t="n">
        <v>0.42</v>
      </c>
      <c r="P534" t="inlineStr">
        <is>
          <t>김나윤</t>
        </is>
      </c>
      <c r="Q534" t="inlineStr">
        <is>
          <t>사유 : 금리불만 / 홈서비스36개월</t>
        </is>
      </c>
      <c r="Z534" t="n">
        <v>0</v>
      </c>
      <c r="AB534" t="inlineStr">
        <is>
          <t>홈서비스</t>
        </is>
      </c>
      <c r="AC534" t="n">
        <v>32450</v>
      </c>
      <c r="AD534" t="n">
        <v>7670</v>
      </c>
      <c r="AE534" t="n">
        <v>24780</v>
      </c>
      <c r="AF534" t="n">
        <v>29500</v>
      </c>
      <c r="AG534" t="n">
        <v>7670</v>
      </c>
      <c r="AH534" t="n">
        <v>21830</v>
      </c>
      <c r="AI534" t="n">
        <v>0</v>
      </c>
    </row>
    <row r="535">
      <c r="A535" t="inlineStr">
        <is>
          <t>1월</t>
        </is>
      </c>
      <c r="B535" t="inlineStr">
        <is>
          <t>4주차</t>
        </is>
      </c>
      <c r="C535" t="inlineStr">
        <is>
          <t>IM</t>
        </is>
      </c>
      <c r="D535" s="28" t="n">
        <v>46041</v>
      </c>
      <c r="E535" t="inlineStr">
        <is>
          <t>IM캐피탈</t>
        </is>
      </c>
      <c r="F535" t="inlineStr">
        <is>
          <t>박나래</t>
        </is>
      </c>
      <c r="G535" t="inlineStr">
        <is>
          <t>010-7117-4806</t>
        </is>
      </c>
      <c r="H535" t="inlineStr">
        <is>
          <t>89고3247</t>
        </is>
      </c>
      <c r="I535" t="n">
        <v>10000000</v>
      </c>
      <c r="J535" t="n">
        <v>0.039</v>
      </c>
      <c r="K535" t="n">
        <v>0.55</v>
      </c>
      <c r="L535" t="n">
        <v>0.4</v>
      </c>
      <c r="M535" t="n">
        <v>0.15</v>
      </c>
      <c r="P535" t="inlineStr">
        <is>
          <t>박보람</t>
        </is>
      </c>
      <c r="Q535" t="inlineStr">
        <is>
          <t>개인간거래</t>
        </is>
      </c>
      <c r="Z535" t="n">
        <v>0</v>
      </c>
      <c r="AB535" t="inlineStr">
        <is>
          <t>엔카</t>
        </is>
      </c>
      <c r="AC535" t="n">
        <v>55000</v>
      </c>
      <c r="AD535" t="n">
        <v>40000</v>
      </c>
      <c r="AE535" t="n">
        <v>15000</v>
      </c>
      <c r="AF535" t="n">
        <v>50000</v>
      </c>
      <c r="AG535" t="n">
        <v>40000</v>
      </c>
      <c r="AH535" t="n">
        <v>10000</v>
      </c>
      <c r="AI535" t="n">
        <v>0</v>
      </c>
    </row>
    <row r="536">
      <c r="A536" t="inlineStr">
        <is>
          <t>1월</t>
        </is>
      </c>
      <c r="B536" t="inlineStr">
        <is>
          <t>4주차</t>
        </is>
      </c>
      <c r="C536" t="inlineStr">
        <is>
          <t>EP</t>
        </is>
      </c>
      <c r="D536" s="28" t="n">
        <v>46041</v>
      </c>
      <c r="E536" t="inlineStr">
        <is>
          <t>제이비EP</t>
        </is>
      </c>
      <c r="F536" t="inlineStr">
        <is>
          <t>김영락</t>
        </is>
      </c>
      <c r="G536" t="inlineStr">
        <is>
          <t>010-4539-1569</t>
        </is>
      </c>
      <c r="H536" t="inlineStr">
        <is>
          <t>87너0241</t>
        </is>
      </c>
      <c r="I536" t="n">
        <v>16000000</v>
      </c>
      <c r="J536" t="n">
        <v>0.094</v>
      </c>
      <c r="K536" t="n">
        <v>1.65</v>
      </c>
      <c r="L536" t="n">
        <v>0.4</v>
      </c>
      <c r="M536" t="n">
        <v>1.25</v>
      </c>
      <c r="P536" t="inlineStr">
        <is>
          <t>박보람</t>
        </is>
      </c>
      <c r="Q536" t="inlineStr">
        <is>
          <t>사유 : 금리 불만</t>
        </is>
      </c>
      <c r="Z536" t="n">
        <v>0</v>
      </c>
      <c r="AB536" t="inlineStr">
        <is>
          <t>엔카</t>
        </is>
      </c>
      <c r="AC536" t="n">
        <v>264000</v>
      </c>
      <c r="AD536" t="n">
        <v>64000</v>
      </c>
      <c r="AE536" t="n">
        <v>200000</v>
      </c>
      <c r="AF536" t="n">
        <v>240000</v>
      </c>
      <c r="AG536" t="n">
        <v>64000</v>
      </c>
      <c r="AH536" t="n">
        <v>176000</v>
      </c>
      <c r="AI536" t="n">
        <v>0</v>
      </c>
    </row>
    <row r="537">
      <c r="A537" t="inlineStr">
        <is>
          <t>1월</t>
        </is>
      </c>
      <c r="B537" t="inlineStr">
        <is>
          <t>3주차</t>
        </is>
      </c>
      <c r="C537" t="inlineStr">
        <is>
          <t>EP</t>
        </is>
      </c>
      <c r="D537" s="28" t="n">
        <v>46038</v>
      </c>
      <c r="E537" t="inlineStr">
        <is>
          <t>현대EP</t>
        </is>
      </c>
      <c r="F537" t="inlineStr">
        <is>
          <t>한서영</t>
        </is>
      </c>
      <c r="G537" t="inlineStr">
        <is>
          <t>010-5115-7644</t>
        </is>
      </c>
      <c r="H537" t="inlineStr">
        <is>
          <t>395고9525</t>
        </is>
      </c>
      <c r="I537" t="n">
        <v>27900000</v>
      </c>
      <c r="J537" t="n">
        <v>0.111</v>
      </c>
      <c r="K537" t="n">
        <v>1.76</v>
      </c>
      <c r="L537" t="n">
        <v>0.13</v>
      </c>
      <c r="M537" t="n">
        <v>1.63</v>
      </c>
      <c r="P537" t="inlineStr">
        <is>
          <t>최혁</t>
        </is>
      </c>
      <c r="Q537" t="inlineStr">
        <is>
          <t>홈서비스 60개월</t>
        </is>
      </c>
      <c r="Z537" t="n">
        <v>0</v>
      </c>
      <c r="AB537" t="inlineStr">
        <is>
          <t>홈서비스</t>
        </is>
      </c>
      <c r="AC537" t="n">
        <v>491040</v>
      </c>
      <c r="AD537" t="n">
        <v>36270</v>
      </c>
      <c r="AE537" t="n">
        <v>454770</v>
      </c>
      <c r="AF537" t="n">
        <v>446400</v>
      </c>
      <c r="AG537" t="n">
        <v>36270</v>
      </c>
      <c r="AH537" t="n">
        <v>410130</v>
      </c>
      <c r="AI537" t="n">
        <v>0</v>
      </c>
    </row>
    <row r="538">
      <c r="A538" t="inlineStr">
        <is>
          <t>1월</t>
        </is>
      </c>
      <c r="B538" t="inlineStr">
        <is>
          <t>3주차</t>
        </is>
      </c>
      <c r="C538" t="inlineStr">
        <is>
          <t>EP</t>
        </is>
      </c>
      <c r="D538" s="28" t="n">
        <v>46040</v>
      </c>
      <c r="E538" t="inlineStr">
        <is>
          <t>현대EP</t>
        </is>
      </c>
      <c r="F538" t="inlineStr">
        <is>
          <t>허혜정</t>
        </is>
      </c>
      <c r="G538" t="inlineStr">
        <is>
          <t>010-5669-2000</t>
        </is>
      </c>
      <c r="H538" t="inlineStr">
        <is>
          <t>18너4907</t>
        </is>
      </c>
      <c r="I538" t="n">
        <v>19700000</v>
      </c>
      <c r="J538" t="n">
        <v>0.08500000000000001</v>
      </c>
      <c r="K538" t="n">
        <v>1.76</v>
      </c>
      <c r="L538" t="n">
        <v>0.13</v>
      </c>
      <c r="M538" t="n">
        <v>1.63</v>
      </c>
      <c r="P538" t="inlineStr">
        <is>
          <t>최혁</t>
        </is>
      </c>
      <c r="Q538" t="inlineStr">
        <is>
          <t>홈서비스 60개월</t>
        </is>
      </c>
      <c r="Z538" t="n">
        <v>0</v>
      </c>
      <c r="AB538" t="inlineStr">
        <is>
          <t>홈서비스</t>
        </is>
      </c>
      <c r="AC538" t="n">
        <v>346720</v>
      </c>
      <c r="AD538" t="n">
        <v>25610</v>
      </c>
      <c r="AE538" t="n">
        <v>321110</v>
      </c>
      <c r="AF538" t="n">
        <v>315200</v>
      </c>
      <c r="AG538" t="n">
        <v>25610</v>
      </c>
      <c r="AH538" t="n">
        <v>289590</v>
      </c>
      <c r="AI538" t="n">
        <v>0</v>
      </c>
    </row>
    <row r="539">
      <c r="A539" t="inlineStr">
        <is>
          <t>1월</t>
        </is>
      </c>
      <c r="B539" t="inlineStr">
        <is>
          <t>4주차</t>
        </is>
      </c>
      <c r="C539" t="inlineStr">
        <is>
          <t>EP</t>
        </is>
      </c>
      <c r="D539" s="28" t="n">
        <v>46041</v>
      </c>
      <c r="E539" t="inlineStr">
        <is>
          <t>현대EP_fast</t>
        </is>
      </c>
      <c r="F539" t="inlineStr">
        <is>
          <t>기라성</t>
        </is>
      </c>
      <c r="G539" t="inlineStr">
        <is>
          <t>010-9081-5355</t>
        </is>
      </c>
      <c r="H539" t="inlineStr">
        <is>
          <t>63버0387</t>
        </is>
      </c>
      <c r="I539" t="n">
        <v>5000000</v>
      </c>
      <c r="J539" t="n">
        <v>0.07199999999999999</v>
      </c>
      <c r="K539" t="n">
        <v>1.76</v>
      </c>
      <c r="L539" t="n">
        <v>0.13</v>
      </c>
      <c r="M539" t="n">
        <v>1.63</v>
      </c>
      <c r="P539" t="inlineStr">
        <is>
          <t>정세빈</t>
        </is>
      </c>
      <c r="Q539" t="inlineStr">
        <is>
          <t>홈서비스 36개월</t>
        </is>
      </c>
      <c r="Z539" t="n">
        <v>0</v>
      </c>
      <c r="AB539" t="inlineStr">
        <is>
          <t>홈서비스</t>
        </is>
      </c>
      <c r="AC539" t="n">
        <v>88000</v>
      </c>
      <c r="AD539" t="n">
        <v>6500</v>
      </c>
      <c r="AE539" t="n">
        <v>81500</v>
      </c>
      <c r="AF539" t="n">
        <v>80000</v>
      </c>
      <c r="AG539" t="n">
        <v>6500</v>
      </c>
      <c r="AH539" t="n">
        <v>73500</v>
      </c>
      <c r="AI539" t="n">
        <v>0</v>
      </c>
    </row>
    <row r="540">
      <c r="A540" t="inlineStr">
        <is>
          <t>1월</t>
        </is>
      </c>
      <c r="B540" t="inlineStr">
        <is>
          <t>4주차</t>
        </is>
      </c>
      <c r="C540" t="inlineStr">
        <is>
          <t>IM</t>
        </is>
      </c>
      <c r="D540" s="28" t="n">
        <v>46041</v>
      </c>
      <c r="E540" t="inlineStr">
        <is>
          <t>IM캐피탈</t>
        </is>
      </c>
      <c r="F540" t="inlineStr">
        <is>
          <t>김한웅</t>
        </is>
      </c>
      <c r="G540" t="inlineStr">
        <is>
          <t>010-3531-4697</t>
        </is>
      </c>
      <c r="H540" t="inlineStr">
        <is>
          <t>112무3972</t>
        </is>
      </c>
      <c r="I540" t="n">
        <v>29000000</v>
      </c>
      <c r="J540" t="n">
        <v>0.049</v>
      </c>
      <c r="K540" t="n">
        <v>0.55</v>
      </c>
      <c r="L540" t="n">
        <v>0.13</v>
      </c>
      <c r="M540" t="n">
        <v>0.42</v>
      </c>
      <c r="P540" t="inlineStr">
        <is>
          <t>장진경</t>
        </is>
      </c>
      <c r="Q540" t="inlineStr">
        <is>
          <t>선상담 / 홈서비스 60개월 / 사유 : 금리불만 / 현대 7.2%/ *철회 20260121</t>
        </is>
      </c>
      <c r="Z540" t="n">
        <v>0</v>
      </c>
      <c r="AB540" t="inlineStr">
        <is>
          <t>홈서비스</t>
        </is>
      </c>
      <c r="AC540" t="n">
        <v>159500</v>
      </c>
      <c r="AD540" t="n">
        <v>37700</v>
      </c>
      <c r="AE540" t="n">
        <v>121800</v>
      </c>
      <c r="AF540" t="n">
        <v>145000</v>
      </c>
      <c r="AG540" t="n">
        <v>37700</v>
      </c>
      <c r="AH540" t="n">
        <v>107300</v>
      </c>
      <c r="AI540" t="n">
        <v>0</v>
      </c>
      <c r="AK540" t="inlineStr">
        <is>
          <t>대출철회</t>
        </is>
      </c>
    </row>
    <row r="541">
      <c r="A541" t="inlineStr">
        <is>
          <t>1월</t>
        </is>
      </c>
      <c r="B541" t="inlineStr">
        <is>
          <t>4주차</t>
        </is>
      </c>
      <c r="C541" t="inlineStr">
        <is>
          <t>IM</t>
        </is>
      </c>
      <c r="D541" s="28" t="n">
        <v>46041</v>
      </c>
      <c r="E541" t="inlineStr">
        <is>
          <t>IM캐피탈</t>
        </is>
      </c>
      <c r="F541" t="inlineStr">
        <is>
          <t>조철진</t>
        </is>
      </c>
      <c r="G541" t="inlineStr">
        <is>
          <t>010-8665-0064</t>
        </is>
      </c>
      <c r="H541" t="inlineStr">
        <is>
          <t>234수5893</t>
        </is>
      </c>
      <c r="I541" t="n">
        <v>37000000</v>
      </c>
      <c r="J541" t="n">
        <v>0.049</v>
      </c>
      <c r="K541" t="n">
        <v>0.55</v>
      </c>
      <c r="L541" t="n">
        <v>0.13</v>
      </c>
      <c r="M541" t="n">
        <v>0.42</v>
      </c>
      <c r="P541" t="inlineStr">
        <is>
          <t>최혁</t>
        </is>
      </c>
      <c r="Q541" t="inlineStr">
        <is>
          <t>홈서비스48개월/사유 금리불만/*철회 20260127</t>
        </is>
      </c>
      <c r="Z541" t="n">
        <v>0</v>
      </c>
      <c r="AB541" t="inlineStr">
        <is>
          <t>홈서비스</t>
        </is>
      </c>
      <c r="AC541" t="n">
        <v>203500</v>
      </c>
      <c r="AD541" t="n">
        <v>48100</v>
      </c>
      <c r="AE541" t="n">
        <v>155400</v>
      </c>
      <c r="AF541" t="n">
        <v>185000</v>
      </c>
      <c r="AG541" t="n">
        <v>48100</v>
      </c>
      <c r="AH541" t="n">
        <v>136900</v>
      </c>
      <c r="AK541" t="inlineStr">
        <is>
          <t>대출철회</t>
        </is>
      </c>
    </row>
    <row r="542">
      <c r="A542" t="inlineStr">
        <is>
          <t>1월</t>
        </is>
      </c>
      <c r="B542" t="inlineStr">
        <is>
          <t>4주차</t>
        </is>
      </c>
      <c r="C542" t="inlineStr">
        <is>
          <t>IM</t>
        </is>
      </c>
      <c r="D542" s="28" t="n">
        <v>46041</v>
      </c>
      <c r="E542" t="inlineStr">
        <is>
          <t>IM캐피탈</t>
        </is>
      </c>
      <c r="F542" t="inlineStr">
        <is>
          <t>홍정아</t>
        </is>
      </c>
      <c r="G542" t="inlineStr">
        <is>
          <t>010-8205-3050</t>
        </is>
      </c>
      <c r="H542" t="inlineStr">
        <is>
          <t>46머1548</t>
        </is>
      </c>
      <c r="I542" t="n">
        <v>40000000</v>
      </c>
      <c r="J542" t="n">
        <v>0.053</v>
      </c>
      <c r="K542" t="n">
        <v>0.55</v>
      </c>
      <c r="L542" t="n">
        <v>0.4</v>
      </c>
      <c r="M542" t="n">
        <v>0.15</v>
      </c>
      <c r="P542" t="inlineStr">
        <is>
          <t>임대경</t>
        </is>
      </c>
      <c r="Q542" t="inlineStr">
        <is>
          <t>사유 : 부대비용까지 진행</t>
        </is>
      </c>
      <c r="Z542" t="n">
        <v>0</v>
      </c>
      <c r="AB542" t="inlineStr">
        <is>
          <t>엔카</t>
        </is>
      </c>
      <c r="AC542" t="n">
        <v>220000</v>
      </c>
      <c r="AD542" t="n">
        <v>160000</v>
      </c>
      <c r="AE542" t="n">
        <v>60000</v>
      </c>
      <c r="AF542" t="n">
        <v>200000</v>
      </c>
      <c r="AG542" t="n">
        <v>160000</v>
      </c>
      <c r="AH542" t="n">
        <v>40000</v>
      </c>
    </row>
    <row r="543">
      <c r="A543" t="inlineStr">
        <is>
          <t>1월</t>
        </is>
      </c>
      <c r="B543" t="inlineStr">
        <is>
          <t>4주차</t>
        </is>
      </c>
      <c r="C543" t="inlineStr">
        <is>
          <t>IM</t>
        </is>
      </c>
      <c r="D543" s="28" t="n">
        <v>46041</v>
      </c>
      <c r="E543" t="inlineStr">
        <is>
          <t>IM캐피탈</t>
        </is>
      </c>
      <c r="F543" t="inlineStr">
        <is>
          <t>김규동</t>
        </is>
      </c>
      <c r="G543" t="inlineStr">
        <is>
          <t>010-4080-8580</t>
        </is>
      </c>
      <c r="H543" t="inlineStr">
        <is>
          <t>125머6602</t>
        </is>
      </c>
      <c r="I543" t="n">
        <v>48500000</v>
      </c>
      <c r="J543" t="n">
        <v>0.07199999999999999</v>
      </c>
      <c r="K543" t="n">
        <v>0.55</v>
      </c>
      <c r="L543" t="n">
        <v>0.4</v>
      </c>
      <c r="M543" t="n">
        <v>0.15</v>
      </c>
      <c r="P543" t="inlineStr">
        <is>
          <t>박소현</t>
        </is>
      </c>
      <c r="Z543" t="n">
        <v>0</v>
      </c>
      <c r="AB543" t="inlineStr">
        <is>
          <t>엔카</t>
        </is>
      </c>
      <c r="AC543" t="n">
        <v>266750</v>
      </c>
      <c r="AD543" t="n">
        <v>194000</v>
      </c>
      <c r="AE543" t="n">
        <v>72750</v>
      </c>
      <c r="AF543" t="n">
        <v>242500</v>
      </c>
      <c r="AG543" t="n">
        <v>194000</v>
      </c>
      <c r="AH543" t="n">
        <v>48500</v>
      </c>
      <c r="AI543" t="n">
        <v>0</v>
      </c>
    </row>
    <row r="544">
      <c r="A544" t="inlineStr">
        <is>
          <t>1월</t>
        </is>
      </c>
      <c r="B544" t="inlineStr">
        <is>
          <t>3주차</t>
        </is>
      </c>
      <c r="C544" t="inlineStr">
        <is>
          <t>EP</t>
        </is>
      </c>
      <c r="D544" s="28" t="n">
        <v>46037</v>
      </c>
      <c r="E544" t="inlineStr">
        <is>
          <t>현대EP_fast</t>
        </is>
      </c>
      <c r="F544" t="inlineStr">
        <is>
          <t>정진아</t>
        </is>
      </c>
      <c r="G544" t="inlineStr">
        <is>
          <t>010-9500-7675</t>
        </is>
      </c>
      <c r="H544" t="inlineStr">
        <is>
          <t>100수1651</t>
        </is>
      </c>
      <c r="I544" t="n">
        <v>16000000</v>
      </c>
      <c r="J544" t="n">
        <v>0.115</v>
      </c>
      <c r="K544" t="n">
        <v>1.76</v>
      </c>
      <c r="L544" t="n">
        <v>0.4</v>
      </c>
      <c r="M544" t="n">
        <v>1.36</v>
      </c>
      <c r="P544" t="inlineStr">
        <is>
          <t>장현경</t>
        </is>
      </c>
      <c r="AB544" t="inlineStr">
        <is>
          <t>엔카</t>
        </is>
      </c>
      <c r="AC544" t="n">
        <v>281600</v>
      </c>
      <c r="AD544" t="n">
        <v>64000</v>
      </c>
      <c r="AE544" t="n">
        <v>217600</v>
      </c>
      <c r="AF544" t="n">
        <v>256000</v>
      </c>
      <c r="AG544" t="n">
        <v>64000</v>
      </c>
      <c r="AH544" t="n">
        <v>192000</v>
      </c>
      <c r="AI544" t="n">
        <v>0</v>
      </c>
    </row>
    <row r="545">
      <c r="A545" t="inlineStr">
        <is>
          <t>1월</t>
        </is>
      </c>
      <c r="B545" t="inlineStr">
        <is>
          <t>4주차</t>
        </is>
      </c>
      <c r="C545" t="inlineStr">
        <is>
          <t>OR</t>
        </is>
      </c>
      <c r="D545" s="28" t="n">
        <v>46041</v>
      </c>
      <c r="E545" t="inlineStr">
        <is>
          <t>오릭스</t>
        </is>
      </c>
      <c r="F545" t="inlineStr">
        <is>
          <t>박상순</t>
        </is>
      </c>
      <c r="G545" t="inlineStr">
        <is>
          <t>010-3673-9450</t>
        </is>
      </c>
      <c r="H545" t="inlineStr">
        <is>
          <t>49무5760</t>
        </is>
      </c>
      <c r="I545" t="n">
        <v>11500000</v>
      </c>
      <c r="J545" t="n">
        <v>0.064</v>
      </c>
      <c r="K545" t="n">
        <v>1.65</v>
      </c>
      <c r="L545" t="n">
        <v>0.13</v>
      </c>
      <c r="M545" t="n">
        <v>1.52</v>
      </c>
      <c r="P545" t="inlineStr">
        <is>
          <t>장현경</t>
        </is>
      </c>
      <c r="Q545" t="inlineStr">
        <is>
          <t>선상담 / 홈서비스 48개월</t>
        </is>
      </c>
      <c r="AB545" t="inlineStr">
        <is>
          <t>홈서비스</t>
        </is>
      </c>
      <c r="AC545" t="n">
        <v>189750</v>
      </c>
      <c r="AD545" t="n">
        <v>14950</v>
      </c>
      <c r="AE545" t="n">
        <v>174800</v>
      </c>
      <c r="AF545" t="n">
        <v>172500</v>
      </c>
      <c r="AG545" t="n">
        <v>14950</v>
      </c>
      <c r="AH545" t="n">
        <v>157550</v>
      </c>
    </row>
    <row r="546">
      <c r="A546" t="inlineStr">
        <is>
          <t>1월</t>
        </is>
      </c>
      <c r="B546" t="inlineStr">
        <is>
          <t>4주차</t>
        </is>
      </c>
      <c r="C546" t="inlineStr">
        <is>
          <t>IM</t>
        </is>
      </c>
      <c r="D546" s="28" t="n">
        <v>46041</v>
      </c>
      <c r="E546" t="inlineStr">
        <is>
          <t>IM캐피탈</t>
        </is>
      </c>
      <c r="F546" t="inlineStr">
        <is>
          <t>한중수</t>
        </is>
      </c>
      <c r="G546" t="inlineStr">
        <is>
          <t>010-9537-0916</t>
        </is>
      </c>
      <c r="H546" t="inlineStr">
        <is>
          <t>346소2421</t>
        </is>
      </c>
      <c r="I546" t="n">
        <v>35400000</v>
      </c>
      <c r="J546" t="n">
        <v>0.049</v>
      </c>
      <c r="K546" t="n">
        <v>0.55</v>
      </c>
      <c r="L546" t="n">
        <v>0.13</v>
      </c>
      <c r="M546" t="n">
        <v>0.42</v>
      </c>
      <c r="P546" t="inlineStr">
        <is>
          <t>황채이</t>
        </is>
      </c>
      <c r="Q546" t="inlineStr">
        <is>
          <t>홈서비스 60개월 / 사유 : 금리불만</t>
        </is>
      </c>
      <c r="AB546" t="inlineStr">
        <is>
          <t>홈서비스</t>
        </is>
      </c>
      <c r="AC546" t="n">
        <v>194700</v>
      </c>
      <c r="AD546" t="n">
        <v>46020</v>
      </c>
      <c r="AE546" t="n">
        <v>148680</v>
      </c>
      <c r="AF546" t="n">
        <v>177000</v>
      </c>
      <c r="AG546" t="n">
        <v>46020</v>
      </c>
      <c r="AH546" t="n">
        <v>130980</v>
      </c>
      <c r="AI546" t="n">
        <v>1</v>
      </c>
    </row>
    <row r="547">
      <c r="A547" t="inlineStr">
        <is>
          <t>1월</t>
        </is>
      </c>
      <c r="B547" t="inlineStr">
        <is>
          <t>4주차</t>
        </is>
      </c>
      <c r="C547" t="inlineStr">
        <is>
          <t>IM</t>
        </is>
      </c>
      <c r="D547" s="28" t="n">
        <v>46041</v>
      </c>
      <c r="E547" t="inlineStr">
        <is>
          <t>IM캐피탈</t>
        </is>
      </c>
      <c r="F547" t="inlineStr">
        <is>
          <t>박웅열</t>
        </is>
      </c>
      <c r="G547" t="inlineStr">
        <is>
          <t>010-3672-1238</t>
        </is>
      </c>
      <c r="H547" t="inlineStr">
        <is>
          <t>164저2943</t>
        </is>
      </c>
      <c r="I547" t="n">
        <v>23600000</v>
      </c>
      <c r="J547" t="n">
        <v>0.049</v>
      </c>
      <c r="K547" t="n">
        <v>0.55</v>
      </c>
      <c r="L547" t="n">
        <v>0.13</v>
      </c>
      <c r="M547" t="n">
        <v>0.42</v>
      </c>
      <c r="P547" t="inlineStr">
        <is>
          <t>황채이</t>
        </is>
      </c>
      <c r="Q547" t="inlineStr">
        <is>
          <t>홈서비스 60개월 / 사유 : 금리불만</t>
        </is>
      </c>
      <c r="AB547" t="inlineStr">
        <is>
          <t>홈서비스</t>
        </is>
      </c>
      <c r="AC547" t="n">
        <v>129800</v>
      </c>
      <c r="AD547" t="n">
        <v>30680</v>
      </c>
      <c r="AE547" t="n">
        <v>99120</v>
      </c>
      <c r="AF547" t="n">
        <v>118000</v>
      </c>
      <c r="AG547" t="n">
        <v>30680</v>
      </c>
      <c r="AH547" t="n">
        <v>87320</v>
      </c>
      <c r="AI547" t="n">
        <v>0</v>
      </c>
    </row>
    <row r="548">
      <c r="A548" t="inlineStr">
        <is>
          <t>1월</t>
        </is>
      </c>
      <c r="B548" t="inlineStr">
        <is>
          <t>4주차</t>
        </is>
      </c>
      <c r="C548" t="inlineStr">
        <is>
          <t>IM</t>
        </is>
      </c>
      <c r="D548" s="28" t="n">
        <v>46041</v>
      </c>
      <c r="E548" t="inlineStr">
        <is>
          <t>IM캐피탈</t>
        </is>
      </c>
      <c r="F548" t="inlineStr">
        <is>
          <t>김지현</t>
        </is>
      </c>
      <c r="G548" t="inlineStr">
        <is>
          <t>010-7741-2952</t>
        </is>
      </c>
      <c r="H548" t="inlineStr">
        <is>
          <t>389다2481</t>
        </is>
      </c>
      <c r="I548" t="n">
        <v>44500000</v>
      </c>
      <c r="J548" t="n">
        <v>0.039</v>
      </c>
      <c r="K548" t="n">
        <v>0.55</v>
      </c>
      <c r="L548" t="n">
        <v>0.13</v>
      </c>
      <c r="M548" t="n">
        <v>0.42</v>
      </c>
      <c r="P548" t="inlineStr">
        <is>
          <t>정세빈</t>
        </is>
      </c>
      <c r="Q548" t="inlineStr">
        <is>
          <t>홈서비스 60개월 / 사유 : 금리불만 / *철회 20260123</t>
        </is>
      </c>
      <c r="AB548" t="inlineStr">
        <is>
          <t>홈서비스</t>
        </is>
      </c>
      <c r="AC548" t="n">
        <v>244750</v>
      </c>
      <c r="AD548" t="n">
        <v>57850</v>
      </c>
      <c r="AE548" t="n">
        <v>186900</v>
      </c>
      <c r="AF548" t="n">
        <v>222500</v>
      </c>
      <c r="AG548" t="n">
        <v>57850</v>
      </c>
      <c r="AH548" t="n">
        <v>164650</v>
      </c>
      <c r="AI548" t="n">
        <v>0</v>
      </c>
      <c r="AK548" t="inlineStr">
        <is>
          <t>대출철회</t>
        </is>
      </c>
    </row>
    <row r="549">
      <c r="A549" t="inlineStr">
        <is>
          <t>1월</t>
        </is>
      </c>
      <c r="B549" t="inlineStr">
        <is>
          <t>4주차</t>
        </is>
      </c>
      <c r="C549" t="inlineStr">
        <is>
          <t>EP</t>
        </is>
      </c>
      <c r="D549" s="28" t="n">
        <v>46041</v>
      </c>
      <c r="E549" t="inlineStr">
        <is>
          <t>현대EP_fast</t>
        </is>
      </c>
      <c r="F549" t="inlineStr">
        <is>
          <t>박수현</t>
        </is>
      </c>
      <c r="G549" t="inlineStr">
        <is>
          <t>010-2912-5096</t>
        </is>
      </c>
      <c r="H549" t="inlineStr">
        <is>
          <t>238러9272</t>
        </is>
      </c>
      <c r="I549" t="n">
        <v>35900000</v>
      </c>
      <c r="J549" t="n">
        <v>0.073</v>
      </c>
      <c r="K549" t="n">
        <v>1.76</v>
      </c>
      <c r="L549" t="n">
        <v>0.13</v>
      </c>
      <c r="M549" t="n">
        <v>1.63</v>
      </c>
      <c r="P549" t="inlineStr">
        <is>
          <t>최형주</t>
        </is>
      </c>
      <c r="Q549" t="inlineStr">
        <is>
          <t>홈서비스 60개월</t>
        </is>
      </c>
      <c r="AB549" t="inlineStr">
        <is>
          <t>홈서비스</t>
        </is>
      </c>
      <c r="AC549" t="n">
        <v>631840</v>
      </c>
      <c r="AD549" t="n">
        <v>46670</v>
      </c>
      <c r="AE549" t="n">
        <v>585170</v>
      </c>
      <c r="AF549" t="n">
        <v>574400</v>
      </c>
      <c r="AG549" t="n">
        <v>46670</v>
      </c>
      <c r="AH549" t="n">
        <v>527730</v>
      </c>
      <c r="AI549" t="n">
        <v>0</v>
      </c>
    </row>
    <row r="550">
      <c r="A550" t="inlineStr">
        <is>
          <t>1월</t>
        </is>
      </c>
      <c r="B550" t="inlineStr">
        <is>
          <t>4주차</t>
        </is>
      </c>
      <c r="C550" t="inlineStr">
        <is>
          <t>IM</t>
        </is>
      </c>
      <c r="D550" s="28" t="n">
        <v>46041</v>
      </c>
      <c r="E550" t="inlineStr">
        <is>
          <t>IM캐피탈</t>
        </is>
      </c>
      <c r="F550" t="inlineStr">
        <is>
          <t>지정웅</t>
        </is>
      </c>
      <c r="G550" t="inlineStr">
        <is>
          <t>010-3882-8934</t>
        </is>
      </c>
      <c r="H550" t="inlineStr">
        <is>
          <t>396구8652</t>
        </is>
      </c>
      <c r="I550" t="n">
        <v>30900000</v>
      </c>
      <c r="J550" t="n">
        <v>0.053</v>
      </c>
      <c r="K550" t="n">
        <v>0.55</v>
      </c>
      <c r="L550" t="n">
        <v>0.13</v>
      </c>
      <c r="M550" t="n">
        <v>0.42</v>
      </c>
      <c r="P550" t="inlineStr">
        <is>
          <t>최혁</t>
        </is>
      </c>
      <c r="Q550" t="inlineStr">
        <is>
          <t>홈서비스60개월/사유 금리불만</t>
        </is>
      </c>
      <c r="AB550" t="inlineStr">
        <is>
          <t>홈서비스</t>
        </is>
      </c>
      <c r="AC550" t="n">
        <v>169950</v>
      </c>
      <c r="AD550" t="n">
        <v>40170</v>
      </c>
      <c r="AE550" t="n">
        <v>129780</v>
      </c>
      <c r="AF550" t="n">
        <v>154500</v>
      </c>
      <c r="AG550" t="n">
        <v>40170</v>
      </c>
      <c r="AH550" t="n">
        <v>114330</v>
      </c>
    </row>
    <row r="551">
      <c r="A551" t="inlineStr">
        <is>
          <t>1월</t>
        </is>
      </c>
      <c r="B551" t="inlineStr">
        <is>
          <t>4주차</t>
        </is>
      </c>
      <c r="C551" t="inlineStr">
        <is>
          <t>EP</t>
        </is>
      </c>
      <c r="D551" s="28" t="n">
        <v>46041</v>
      </c>
      <c r="E551" t="inlineStr">
        <is>
          <t>현대EP_fast</t>
        </is>
      </c>
      <c r="F551" t="inlineStr">
        <is>
          <t>최한결</t>
        </is>
      </c>
      <c r="G551" t="inlineStr">
        <is>
          <t>010-7106-2417</t>
        </is>
      </c>
      <c r="H551" t="inlineStr">
        <is>
          <t>102거9777</t>
        </is>
      </c>
      <c r="I551" t="n">
        <v>4600000</v>
      </c>
      <c r="J551" t="n">
        <v>0.057</v>
      </c>
      <c r="K551" t="n">
        <v>1.76</v>
      </c>
      <c r="L551" t="n">
        <v>0.13</v>
      </c>
      <c r="M551" t="n">
        <v>1.63</v>
      </c>
      <c r="P551" t="inlineStr">
        <is>
          <t>최혁</t>
        </is>
      </c>
      <c r="Q551" t="inlineStr">
        <is>
          <t>홈서비스48개월 /*당월철회 20260119</t>
        </is>
      </c>
      <c r="AB551" t="inlineStr">
        <is>
          <t>홈서비스</t>
        </is>
      </c>
      <c r="AC551" t="n">
        <v>80960</v>
      </c>
      <c r="AD551" t="n">
        <v>5980</v>
      </c>
      <c r="AE551" t="n">
        <v>74980</v>
      </c>
      <c r="AF551" t="n">
        <v>73600</v>
      </c>
      <c r="AG551" t="n">
        <v>5980</v>
      </c>
      <c r="AH551" t="n">
        <v>67620</v>
      </c>
      <c r="AI551" t="n">
        <v>0</v>
      </c>
      <c r="AK551" t="inlineStr">
        <is>
          <t>대출철회</t>
        </is>
      </c>
    </row>
    <row r="552">
      <c r="A552" t="inlineStr">
        <is>
          <t>1월</t>
        </is>
      </c>
      <c r="B552" t="inlineStr">
        <is>
          <t>4주차</t>
        </is>
      </c>
      <c r="C552" t="inlineStr">
        <is>
          <t>EP</t>
        </is>
      </c>
      <c r="D552" s="28" t="n">
        <v>46041</v>
      </c>
      <c r="E552" t="inlineStr">
        <is>
          <t>현대EP_fast</t>
        </is>
      </c>
      <c r="F552" t="inlineStr">
        <is>
          <t>고대원</t>
        </is>
      </c>
      <c r="G552" t="n">
        <v>1020131660</v>
      </c>
      <c r="H552" t="inlineStr">
        <is>
          <t>57나3080</t>
        </is>
      </c>
      <c r="I552" t="n">
        <v>9600000</v>
      </c>
      <c r="J552" t="n">
        <v>0.073</v>
      </c>
      <c r="K552" t="n">
        <v>1.76</v>
      </c>
      <c r="L552" t="n">
        <v>0.13</v>
      </c>
      <c r="M552" t="n">
        <v>1.63</v>
      </c>
      <c r="P552" t="inlineStr">
        <is>
          <t>김나윤</t>
        </is>
      </c>
      <c r="Q552" t="inlineStr">
        <is>
          <t>홈서비스60개월</t>
        </is>
      </c>
      <c r="AB552" t="inlineStr">
        <is>
          <t>홈서비스</t>
        </is>
      </c>
      <c r="AC552" t="n">
        <v>168960</v>
      </c>
      <c r="AD552" t="n">
        <v>12480</v>
      </c>
      <c r="AE552" t="n">
        <v>156480</v>
      </c>
      <c r="AF552" t="n">
        <v>153600</v>
      </c>
      <c r="AG552" t="n">
        <v>12480</v>
      </c>
      <c r="AH552" t="n">
        <v>141120</v>
      </c>
      <c r="AI552" t="n">
        <v>0</v>
      </c>
    </row>
    <row r="553">
      <c r="A553" t="inlineStr">
        <is>
          <t>1월</t>
        </is>
      </c>
      <c r="B553" t="inlineStr">
        <is>
          <t>4주차</t>
        </is>
      </c>
      <c r="C553" t="inlineStr">
        <is>
          <t>EP</t>
        </is>
      </c>
      <c r="D553" s="28" t="n">
        <v>46041</v>
      </c>
      <c r="E553" t="inlineStr">
        <is>
          <t>현대EP_fast</t>
        </is>
      </c>
      <c r="F553" t="inlineStr">
        <is>
          <t>양현우</t>
        </is>
      </c>
      <c r="G553" t="inlineStr">
        <is>
          <t>010-5120-2879</t>
        </is>
      </c>
      <c r="H553" t="inlineStr">
        <is>
          <t>56마9329</t>
        </is>
      </c>
      <c r="I553" t="n">
        <v>6200000</v>
      </c>
      <c r="J553" t="n">
        <v>0.141</v>
      </c>
      <c r="K553" t="n">
        <v>1.76</v>
      </c>
      <c r="L553" t="n">
        <v>0.13</v>
      </c>
      <c r="M553" t="n">
        <v>1.63</v>
      </c>
      <c r="P553" t="inlineStr">
        <is>
          <t>임대경</t>
        </is>
      </c>
      <c r="Q553" t="inlineStr">
        <is>
          <t>홈서비스 48개월</t>
        </is>
      </c>
      <c r="AB553" t="inlineStr">
        <is>
          <t>홈서비스</t>
        </is>
      </c>
      <c r="AC553" t="n">
        <v>109120</v>
      </c>
      <c r="AD553" t="n">
        <v>8060</v>
      </c>
      <c r="AE553" t="n">
        <v>101060</v>
      </c>
      <c r="AF553" t="n">
        <v>99200</v>
      </c>
      <c r="AG553" t="n">
        <v>8060</v>
      </c>
      <c r="AH553" t="n">
        <v>91140</v>
      </c>
      <c r="AI553" t="n">
        <v>0</v>
      </c>
    </row>
    <row r="554">
      <c r="A554" t="inlineStr">
        <is>
          <t>1월</t>
        </is>
      </c>
      <c r="B554" t="inlineStr">
        <is>
          <t>4주차</t>
        </is>
      </c>
      <c r="C554" t="inlineStr">
        <is>
          <t>EP</t>
        </is>
      </c>
      <c r="D554" s="28" t="n">
        <v>46041</v>
      </c>
      <c r="E554" t="inlineStr">
        <is>
          <t>현대EP</t>
        </is>
      </c>
      <c r="F554" t="inlineStr">
        <is>
          <t>김대준</t>
        </is>
      </c>
      <c r="G554" t="inlineStr">
        <is>
          <t>010-5372-1244</t>
        </is>
      </c>
      <c r="H554" t="inlineStr">
        <is>
          <t>228저6055</t>
        </is>
      </c>
      <c r="I554" t="n">
        <v>15400000</v>
      </c>
      <c r="J554" t="n">
        <v>0.075</v>
      </c>
      <c r="K554" t="n">
        <v>1.76</v>
      </c>
      <c r="L554" t="n">
        <v>0.13</v>
      </c>
      <c r="M554" t="n">
        <v>1.63</v>
      </c>
      <c r="P554" t="inlineStr">
        <is>
          <t>최혁</t>
        </is>
      </c>
      <c r="Q554" t="inlineStr">
        <is>
          <t>홈서비스 36개월</t>
        </is>
      </c>
      <c r="AB554" t="inlineStr">
        <is>
          <t>홈서비스</t>
        </is>
      </c>
      <c r="AC554" t="n">
        <v>271040</v>
      </c>
      <c r="AD554" t="n">
        <v>20020</v>
      </c>
      <c r="AE554" t="n">
        <v>251020</v>
      </c>
      <c r="AF554" t="n">
        <v>246400</v>
      </c>
      <c r="AG554" t="n">
        <v>20020</v>
      </c>
      <c r="AH554" t="n">
        <v>226380</v>
      </c>
      <c r="AI554" t="n">
        <v>0</v>
      </c>
    </row>
    <row r="555">
      <c r="A555" t="inlineStr">
        <is>
          <t>1월</t>
        </is>
      </c>
      <c r="B555" t="inlineStr">
        <is>
          <t>4주차</t>
        </is>
      </c>
      <c r="C555" t="inlineStr">
        <is>
          <t>EP</t>
        </is>
      </c>
      <c r="D555" s="28" t="n">
        <v>46041</v>
      </c>
      <c r="E555" t="inlineStr">
        <is>
          <t>현대EP</t>
        </is>
      </c>
      <c r="F555" t="inlineStr">
        <is>
          <t>김윤우</t>
        </is>
      </c>
      <c r="G555" t="inlineStr">
        <is>
          <t>010-4011-7146</t>
        </is>
      </c>
      <c r="H555" t="inlineStr">
        <is>
          <t>157구3059</t>
        </is>
      </c>
      <c r="I555" t="n">
        <v>16300000</v>
      </c>
      <c r="J555" t="n">
        <v>0.08699999999999999</v>
      </c>
      <c r="K555" t="n">
        <v>1.76</v>
      </c>
      <c r="L555" t="n">
        <v>0.13</v>
      </c>
      <c r="M555" t="n">
        <v>1.63</v>
      </c>
      <c r="P555" t="inlineStr">
        <is>
          <t>황채이</t>
        </is>
      </c>
      <c r="Q555" t="inlineStr">
        <is>
          <t>홈서비스 36개월</t>
        </is>
      </c>
      <c r="AB555" t="inlineStr">
        <is>
          <t>홈서비스</t>
        </is>
      </c>
      <c r="AC555" t="n">
        <v>286880</v>
      </c>
      <c r="AD555" t="n">
        <v>21190</v>
      </c>
      <c r="AE555" t="n">
        <v>265690</v>
      </c>
      <c r="AF555" t="n">
        <v>260800</v>
      </c>
      <c r="AG555" t="n">
        <v>21190</v>
      </c>
      <c r="AH555" t="n">
        <v>239610</v>
      </c>
    </row>
    <row r="556">
      <c r="A556" t="inlineStr">
        <is>
          <t>1월</t>
        </is>
      </c>
      <c r="B556" t="inlineStr">
        <is>
          <t>4주차</t>
        </is>
      </c>
      <c r="C556" t="inlineStr">
        <is>
          <t>EP</t>
        </is>
      </c>
      <c r="D556" s="28" t="n">
        <v>46041</v>
      </c>
      <c r="E556" t="inlineStr">
        <is>
          <t>현대EP_fast</t>
        </is>
      </c>
      <c r="F556" t="inlineStr">
        <is>
          <t>양승학</t>
        </is>
      </c>
      <c r="G556" t="n">
        <v>1054924595</v>
      </c>
      <c r="H556" t="inlineStr">
        <is>
          <t>102너7661</t>
        </is>
      </c>
      <c r="I556" t="n">
        <v>25900000</v>
      </c>
      <c r="J556" t="n">
        <v>0.073</v>
      </c>
      <c r="K556" t="n">
        <v>1.76</v>
      </c>
      <c r="L556" t="n">
        <v>0.13</v>
      </c>
      <c r="M556" t="n">
        <v>1.63</v>
      </c>
      <c r="P556" t="inlineStr">
        <is>
          <t>김나윤</t>
        </is>
      </c>
      <c r="Q556" t="inlineStr">
        <is>
          <t>홈서비스60개월</t>
        </is>
      </c>
      <c r="AB556" t="inlineStr">
        <is>
          <t>홈서비스</t>
        </is>
      </c>
      <c r="AC556" t="n">
        <v>455840</v>
      </c>
      <c r="AD556" t="n">
        <v>33670</v>
      </c>
      <c r="AE556" t="n">
        <v>422170</v>
      </c>
      <c r="AF556" t="n">
        <v>414400</v>
      </c>
      <c r="AG556" t="n">
        <v>33670</v>
      </c>
      <c r="AH556" t="n">
        <v>380730</v>
      </c>
    </row>
    <row r="557">
      <c r="A557" t="inlineStr">
        <is>
          <t>1월</t>
        </is>
      </c>
      <c r="B557" t="inlineStr">
        <is>
          <t>4주차</t>
        </is>
      </c>
      <c r="C557" t="inlineStr">
        <is>
          <t>EP</t>
        </is>
      </c>
      <c r="D557" s="28" t="n">
        <v>46041</v>
      </c>
      <c r="E557" t="inlineStr">
        <is>
          <t>현대EP</t>
        </is>
      </c>
      <c r="F557" t="inlineStr">
        <is>
          <t>김병진</t>
        </is>
      </c>
      <c r="G557" t="inlineStr">
        <is>
          <t>010-6677-3872</t>
        </is>
      </c>
      <c r="H557" t="inlineStr">
        <is>
          <t>21모3592</t>
        </is>
      </c>
      <c r="I557" t="n">
        <v>9900000</v>
      </c>
      <c r="J557" t="n">
        <v>0.093</v>
      </c>
      <c r="K557" t="n">
        <v>1.76</v>
      </c>
      <c r="L557" t="n">
        <v>0.13</v>
      </c>
      <c r="M557" t="n">
        <v>1.63</v>
      </c>
      <c r="P557" t="inlineStr">
        <is>
          <t>최혁</t>
        </is>
      </c>
      <c r="Q557" t="inlineStr">
        <is>
          <t>홈서비스 60개월</t>
        </is>
      </c>
      <c r="AB557" t="inlineStr">
        <is>
          <t>홈서비스</t>
        </is>
      </c>
      <c r="AC557" t="n">
        <v>174240</v>
      </c>
      <c r="AD557" t="n">
        <v>12870</v>
      </c>
      <c r="AE557" t="n">
        <v>161370</v>
      </c>
      <c r="AF557" t="n">
        <v>158400</v>
      </c>
      <c r="AG557" t="n">
        <v>12870</v>
      </c>
      <c r="AH557" t="n">
        <v>145530</v>
      </c>
    </row>
    <row r="558">
      <c r="A558" t="inlineStr">
        <is>
          <t>1월</t>
        </is>
      </c>
      <c r="B558" t="inlineStr">
        <is>
          <t>4주차</t>
        </is>
      </c>
      <c r="C558" t="inlineStr">
        <is>
          <t>EP</t>
        </is>
      </c>
      <c r="D558" s="28" t="n">
        <v>46041</v>
      </c>
      <c r="E558" t="inlineStr">
        <is>
          <t>현대EP</t>
        </is>
      </c>
      <c r="F558" t="inlineStr">
        <is>
          <t>강규진</t>
        </is>
      </c>
      <c r="G558" t="inlineStr">
        <is>
          <t>010-5910-0997</t>
        </is>
      </c>
      <c r="H558" t="inlineStr">
        <is>
          <t>294도9513</t>
        </is>
      </c>
      <c r="I558" t="n">
        <v>17000000</v>
      </c>
      <c r="J558" t="n">
        <v>0.093</v>
      </c>
      <c r="K558" t="n">
        <v>1.76</v>
      </c>
      <c r="L558" t="n">
        <v>0.13</v>
      </c>
      <c r="M558" t="n">
        <v>1.63</v>
      </c>
      <c r="P558" t="inlineStr">
        <is>
          <t>최형주</t>
        </is>
      </c>
      <c r="Q558" t="inlineStr">
        <is>
          <t>홈서비스 24개월 / *카피아알선상사</t>
        </is>
      </c>
      <c r="AB558" t="inlineStr">
        <is>
          <t>홈서비스</t>
        </is>
      </c>
      <c r="AC558" t="n">
        <v>299200</v>
      </c>
      <c r="AD558" t="n">
        <v>22100</v>
      </c>
      <c r="AE558" t="n">
        <v>277100</v>
      </c>
      <c r="AF558" t="n">
        <v>272000</v>
      </c>
      <c r="AG558" t="n">
        <v>22100</v>
      </c>
      <c r="AH558" t="n">
        <v>249900</v>
      </c>
    </row>
    <row r="559">
      <c r="A559" t="inlineStr">
        <is>
          <t>1월</t>
        </is>
      </c>
      <c r="B559" t="inlineStr">
        <is>
          <t>3주차</t>
        </is>
      </c>
      <c r="C559" t="inlineStr">
        <is>
          <t>EP</t>
        </is>
      </c>
      <c r="D559" s="28" t="n">
        <v>46038</v>
      </c>
      <c r="E559" t="inlineStr">
        <is>
          <t>현대EP</t>
        </is>
      </c>
      <c r="F559" t="inlineStr">
        <is>
          <t>이정호</t>
        </is>
      </c>
      <c r="G559" t="inlineStr">
        <is>
          <t>010-9049-4508</t>
        </is>
      </c>
      <c r="H559" t="inlineStr">
        <is>
          <t>181마8202</t>
        </is>
      </c>
      <c r="I559" t="n">
        <v>7000000</v>
      </c>
      <c r="J559" t="n">
        <v>0.093</v>
      </c>
      <c r="K559" t="n">
        <v>1.76</v>
      </c>
      <c r="L559" t="n">
        <v>0.13</v>
      </c>
      <c r="M559" t="n">
        <v>1.63</v>
      </c>
      <c r="P559" t="inlineStr">
        <is>
          <t>정광호</t>
        </is>
      </c>
      <c r="Q559" t="inlineStr">
        <is>
          <t>홈서비스 48개월</t>
        </is>
      </c>
      <c r="AB559" t="inlineStr">
        <is>
          <t>홈서비스</t>
        </is>
      </c>
      <c r="AC559" t="n">
        <v>123200</v>
      </c>
      <c r="AD559" t="n">
        <v>9100</v>
      </c>
      <c r="AE559" t="n">
        <v>114100</v>
      </c>
      <c r="AF559" t="n">
        <v>112000</v>
      </c>
      <c r="AG559" t="n">
        <v>9100</v>
      </c>
      <c r="AH559" t="n">
        <v>102900</v>
      </c>
    </row>
    <row r="560">
      <c r="A560" t="inlineStr">
        <is>
          <t>1월</t>
        </is>
      </c>
      <c r="B560" t="inlineStr">
        <is>
          <t>4주차</t>
        </is>
      </c>
      <c r="C560" t="inlineStr">
        <is>
          <t>EP</t>
        </is>
      </c>
      <c r="D560" s="28" t="n">
        <v>46041</v>
      </c>
      <c r="E560" t="inlineStr">
        <is>
          <t>현대EP_fast</t>
        </is>
      </c>
      <c r="F560" t="inlineStr">
        <is>
          <t>이철우</t>
        </is>
      </c>
      <c r="G560" t="inlineStr">
        <is>
          <t>010-4322-6692</t>
        </is>
      </c>
      <c r="H560" t="inlineStr">
        <is>
          <t>182조8244</t>
        </is>
      </c>
      <c r="I560" t="n">
        <v>15000000</v>
      </c>
      <c r="J560" t="n">
        <v>0.115</v>
      </c>
      <c r="K560" t="n">
        <v>1.76</v>
      </c>
      <c r="L560" t="n">
        <v>0.13</v>
      </c>
      <c r="M560" t="n">
        <v>1.63</v>
      </c>
      <c r="P560" t="inlineStr">
        <is>
          <t>정광호</t>
        </is>
      </c>
      <c r="Q560" t="inlineStr">
        <is>
          <t>홈서비스 60개월</t>
        </is>
      </c>
      <c r="AB560" t="inlineStr">
        <is>
          <t>홈서비스</t>
        </is>
      </c>
      <c r="AC560" t="n">
        <v>264000</v>
      </c>
      <c r="AD560" t="n">
        <v>19500</v>
      </c>
      <c r="AE560" t="n">
        <v>244500</v>
      </c>
      <c r="AF560" t="n">
        <v>240000</v>
      </c>
      <c r="AG560" t="n">
        <v>19500</v>
      </c>
      <c r="AH560" t="n">
        <v>220500</v>
      </c>
      <c r="AI560" t="n">
        <v>0</v>
      </c>
    </row>
    <row r="561">
      <c r="A561" t="inlineStr">
        <is>
          <t>1월</t>
        </is>
      </c>
      <c r="B561" t="inlineStr">
        <is>
          <t>4주차</t>
        </is>
      </c>
      <c r="C561" t="inlineStr">
        <is>
          <t>EP</t>
        </is>
      </c>
      <c r="D561" s="28" t="n">
        <v>46041</v>
      </c>
      <c r="E561" t="inlineStr">
        <is>
          <t>현대EP</t>
        </is>
      </c>
      <c r="F561" t="inlineStr">
        <is>
          <t>박준우</t>
        </is>
      </c>
      <c r="G561" t="inlineStr">
        <is>
          <t>010-3888-7845</t>
        </is>
      </c>
      <c r="H561" t="inlineStr">
        <is>
          <t>68다5907</t>
        </is>
      </c>
      <c r="I561" t="n">
        <v>7300000</v>
      </c>
      <c r="J561" t="n">
        <v>0.06900000000000001</v>
      </c>
      <c r="K561" t="n">
        <v>1.76</v>
      </c>
      <c r="L561" t="n">
        <v>0.13</v>
      </c>
      <c r="M561" t="n">
        <v>1.63</v>
      </c>
      <c r="P561" t="inlineStr">
        <is>
          <t>최형주</t>
        </is>
      </c>
      <c r="Q561" t="inlineStr">
        <is>
          <t>홈서비스 60개월</t>
        </is>
      </c>
      <c r="AB561" t="inlineStr">
        <is>
          <t>홈서비스</t>
        </is>
      </c>
      <c r="AC561" t="n">
        <v>128480</v>
      </c>
      <c r="AD561" t="n">
        <v>9490</v>
      </c>
      <c r="AE561" t="n">
        <v>118990</v>
      </c>
      <c r="AF561" t="n">
        <v>116800</v>
      </c>
      <c r="AG561" t="n">
        <v>9490</v>
      </c>
      <c r="AH561" t="n">
        <v>107310</v>
      </c>
      <c r="AI561" t="n">
        <v>0</v>
      </c>
    </row>
    <row r="562">
      <c r="A562" t="inlineStr">
        <is>
          <t>1월</t>
        </is>
      </c>
      <c r="B562" t="inlineStr">
        <is>
          <t>4주차</t>
        </is>
      </c>
      <c r="C562" t="inlineStr">
        <is>
          <t>EP</t>
        </is>
      </c>
      <c r="D562" s="28" t="n">
        <v>46041</v>
      </c>
      <c r="E562" t="inlineStr">
        <is>
          <t>현대EP</t>
        </is>
      </c>
      <c r="F562" t="inlineStr">
        <is>
          <t>정은옥</t>
        </is>
      </c>
      <c r="G562" t="inlineStr">
        <is>
          <t>010-5367-5873</t>
        </is>
      </c>
      <c r="H562" t="inlineStr">
        <is>
          <t>52노1981</t>
        </is>
      </c>
      <c r="I562" t="n">
        <v>12000000</v>
      </c>
      <c r="J562" t="n">
        <v>0.097</v>
      </c>
      <c r="K562" t="n">
        <v>1.76</v>
      </c>
      <c r="L562" t="n">
        <v>0.13</v>
      </c>
      <c r="M562" t="n">
        <v>1.63</v>
      </c>
      <c r="P562" t="inlineStr">
        <is>
          <t>최형주</t>
        </is>
      </c>
      <c r="Q562" t="inlineStr">
        <is>
          <t>홈서비스 60개월</t>
        </is>
      </c>
      <c r="AB562" t="inlineStr">
        <is>
          <t>홈서비스</t>
        </is>
      </c>
      <c r="AC562" t="n">
        <v>211200</v>
      </c>
      <c r="AD562" t="n">
        <v>15600</v>
      </c>
      <c r="AE562" t="n">
        <v>195600</v>
      </c>
      <c r="AF562" t="n">
        <v>192000</v>
      </c>
      <c r="AG562" t="n">
        <v>15600</v>
      </c>
      <c r="AH562" t="n">
        <v>176400</v>
      </c>
      <c r="AI562" t="n">
        <v>0</v>
      </c>
    </row>
    <row r="563">
      <c r="A563" t="inlineStr">
        <is>
          <t>1월</t>
        </is>
      </c>
      <c r="B563" t="inlineStr">
        <is>
          <t>4주차</t>
        </is>
      </c>
      <c r="C563" t="inlineStr">
        <is>
          <t>IM</t>
        </is>
      </c>
      <c r="D563" s="28" t="n">
        <v>46041</v>
      </c>
      <c r="E563" t="inlineStr">
        <is>
          <t>IM캐피탈</t>
        </is>
      </c>
      <c r="F563" t="inlineStr">
        <is>
          <t>이무빈</t>
        </is>
      </c>
      <c r="G563" t="inlineStr">
        <is>
          <t>010-6692-5512</t>
        </is>
      </c>
      <c r="H563" t="inlineStr">
        <is>
          <t>327나2853</t>
        </is>
      </c>
      <c r="I563" t="n">
        <v>8600000</v>
      </c>
      <c r="J563" t="n">
        <v>0.067</v>
      </c>
      <c r="K563" t="n">
        <v>0.55</v>
      </c>
      <c r="L563" t="n">
        <v>0.13</v>
      </c>
      <c r="M563" t="n">
        <v>0.42</v>
      </c>
      <c r="P563" t="inlineStr">
        <is>
          <t>정하은</t>
        </is>
      </c>
      <c r="Q563" t="inlineStr">
        <is>
          <t>홈서비스 36개월</t>
        </is>
      </c>
      <c r="AB563" t="inlineStr">
        <is>
          <t>홈서비스</t>
        </is>
      </c>
      <c r="AC563" t="n">
        <v>47300</v>
      </c>
      <c r="AD563" t="n">
        <v>11180</v>
      </c>
      <c r="AE563" t="n">
        <v>36120</v>
      </c>
      <c r="AF563" t="n">
        <v>43000</v>
      </c>
      <c r="AG563" t="n">
        <v>11180</v>
      </c>
      <c r="AH563" t="n">
        <v>31820</v>
      </c>
    </row>
    <row r="564">
      <c r="A564" t="inlineStr">
        <is>
          <t>1월</t>
        </is>
      </c>
      <c r="B564" t="inlineStr">
        <is>
          <t>4주차</t>
        </is>
      </c>
      <c r="C564" t="inlineStr">
        <is>
          <t>IM</t>
        </is>
      </c>
      <c r="D564" s="28" t="n">
        <v>46041</v>
      </c>
      <c r="E564" t="inlineStr">
        <is>
          <t>IM캐피탈</t>
        </is>
      </c>
      <c r="F564" t="inlineStr">
        <is>
          <t>이민오</t>
        </is>
      </c>
      <c r="G564" t="inlineStr">
        <is>
          <t>010-3340-7177</t>
        </is>
      </c>
      <c r="H564" t="inlineStr">
        <is>
          <t>232구4806</t>
        </is>
      </c>
      <c r="I564" t="n">
        <v>37000000</v>
      </c>
      <c r="J564" t="n">
        <v>0.06</v>
      </c>
      <c r="K564" t="n">
        <v>0.55</v>
      </c>
      <c r="L564" t="n">
        <v>0.4</v>
      </c>
      <c r="M564" t="n">
        <v>0.15</v>
      </c>
      <c r="P564" t="inlineStr">
        <is>
          <t>장진경</t>
        </is>
      </c>
      <c r="Q564" t="inlineStr">
        <is>
          <t>사유 : 부대비용 추가진행</t>
        </is>
      </c>
      <c r="AB564" t="inlineStr">
        <is>
          <t>엔카</t>
        </is>
      </c>
      <c r="AC564" t="n">
        <v>203500</v>
      </c>
      <c r="AD564" t="n">
        <v>148000</v>
      </c>
      <c r="AE564" t="n">
        <v>55500</v>
      </c>
      <c r="AF564" t="n">
        <v>185000</v>
      </c>
      <c r="AG564" t="n">
        <v>148000</v>
      </c>
      <c r="AH564" t="n">
        <v>37000</v>
      </c>
      <c r="AI564" t="n">
        <v>0</v>
      </c>
    </row>
    <row r="565">
      <c r="A565" t="inlineStr">
        <is>
          <t>1월</t>
        </is>
      </c>
      <c r="B565" t="inlineStr">
        <is>
          <t>4주차</t>
        </is>
      </c>
      <c r="C565" t="inlineStr">
        <is>
          <t>EP</t>
        </is>
      </c>
      <c r="D565" s="28" t="n">
        <v>46041</v>
      </c>
      <c r="E565" t="inlineStr">
        <is>
          <t>현대EP_fast</t>
        </is>
      </c>
      <c r="F565" t="inlineStr">
        <is>
          <t>권혁모</t>
        </is>
      </c>
      <c r="G565" t="inlineStr">
        <is>
          <t>010-2186-8496</t>
        </is>
      </c>
      <c r="H565" t="inlineStr">
        <is>
          <t>186노4266</t>
        </is>
      </c>
      <c r="I565" t="n">
        <v>34000000</v>
      </c>
      <c r="J565" t="n">
        <v>0.093</v>
      </c>
      <c r="K565" t="n">
        <v>1.76</v>
      </c>
      <c r="L565" t="n">
        <v>0.13</v>
      </c>
      <c r="M565" t="n">
        <v>1.63</v>
      </c>
      <c r="P565" t="inlineStr">
        <is>
          <t>박현민</t>
        </is>
      </c>
      <c r="Q565" t="inlineStr">
        <is>
          <t>선상담 / 홈서비스 48개월</t>
        </is>
      </c>
      <c r="AB565" t="inlineStr">
        <is>
          <t>홈서비스</t>
        </is>
      </c>
      <c r="AC565" t="n">
        <v>598400</v>
      </c>
      <c r="AD565" t="n">
        <v>44200</v>
      </c>
      <c r="AE565" t="n">
        <v>554200</v>
      </c>
      <c r="AF565" t="n">
        <v>544000</v>
      </c>
      <c r="AG565" t="n">
        <v>44200</v>
      </c>
      <c r="AH565" t="n">
        <v>499800</v>
      </c>
      <c r="AI565" t="n">
        <v>0</v>
      </c>
    </row>
    <row r="566">
      <c r="A566" t="inlineStr">
        <is>
          <t>1월</t>
        </is>
      </c>
      <c r="B566" t="inlineStr">
        <is>
          <t>4주차</t>
        </is>
      </c>
      <c r="C566" t="inlineStr">
        <is>
          <t>EP</t>
        </is>
      </c>
      <c r="D566" s="28" t="n">
        <v>46041</v>
      </c>
      <c r="E566" t="inlineStr">
        <is>
          <t>현대EP</t>
        </is>
      </c>
      <c r="F566" t="inlineStr">
        <is>
          <t>최성민</t>
        </is>
      </c>
      <c r="G566" t="inlineStr">
        <is>
          <t>010-9324-6554</t>
        </is>
      </c>
      <c r="H566" t="inlineStr">
        <is>
          <t>28조6115</t>
        </is>
      </c>
      <c r="I566" t="n">
        <v>8100000</v>
      </c>
      <c r="J566" t="n">
        <v>0.125</v>
      </c>
      <c r="K566" t="n">
        <v>1.76</v>
      </c>
      <c r="L566" t="n">
        <v>0.13</v>
      </c>
      <c r="M566" t="n">
        <v>1.63</v>
      </c>
      <c r="P566" t="inlineStr">
        <is>
          <t>최형주</t>
        </is>
      </c>
      <c r="Q566" t="inlineStr">
        <is>
          <t>홈서비스 24개월</t>
        </is>
      </c>
      <c r="AB566" t="inlineStr">
        <is>
          <t>홈서비스</t>
        </is>
      </c>
      <c r="AC566" t="n">
        <v>142560</v>
      </c>
      <c r="AD566" t="n">
        <v>10530</v>
      </c>
      <c r="AE566" t="n">
        <v>132030</v>
      </c>
      <c r="AF566" t="n">
        <v>129600</v>
      </c>
      <c r="AG566" t="n">
        <v>10530</v>
      </c>
      <c r="AH566" t="n">
        <v>119070</v>
      </c>
    </row>
    <row r="567">
      <c r="A567" t="inlineStr">
        <is>
          <t>1월</t>
        </is>
      </c>
      <c r="B567" t="inlineStr">
        <is>
          <t>4주차</t>
        </is>
      </c>
      <c r="C567" t="inlineStr">
        <is>
          <t>EP</t>
        </is>
      </c>
      <c r="D567" s="28" t="n">
        <v>46041</v>
      </c>
      <c r="E567" t="inlineStr">
        <is>
          <t>현대EP_fast</t>
        </is>
      </c>
      <c r="F567" t="inlineStr">
        <is>
          <t>조한나</t>
        </is>
      </c>
      <c r="G567" t="inlineStr">
        <is>
          <t>010-9052-7041</t>
        </is>
      </c>
      <c r="H567" t="inlineStr">
        <is>
          <t>20러0256</t>
        </is>
      </c>
      <c r="I567" t="n">
        <v>23000000</v>
      </c>
      <c r="J567" t="n">
        <v>0.097</v>
      </c>
      <c r="K567" t="n">
        <v>1.76</v>
      </c>
      <c r="L567" t="n">
        <v>0.13</v>
      </c>
      <c r="M567" t="n">
        <v>1.63</v>
      </c>
      <c r="P567" t="inlineStr">
        <is>
          <t>정하은</t>
        </is>
      </c>
      <c r="Q567" t="inlineStr">
        <is>
          <t>홈서비스 36개월 /*당월철회 20260123</t>
        </is>
      </c>
      <c r="AB567" t="inlineStr">
        <is>
          <t>홈서비스</t>
        </is>
      </c>
      <c r="AC567" t="n">
        <v>404800</v>
      </c>
      <c r="AD567" t="n">
        <v>29900</v>
      </c>
      <c r="AE567" t="n">
        <v>374900</v>
      </c>
      <c r="AF567" t="n">
        <v>368000</v>
      </c>
      <c r="AG567" t="n">
        <v>29900</v>
      </c>
      <c r="AH567" t="n">
        <v>338100</v>
      </c>
      <c r="AK567" t="inlineStr">
        <is>
          <t>대출철회</t>
        </is>
      </c>
    </row>
    <row r="568">
      <c r="A568" t="inlineStr">
        <is>
          <t>1월</t>
        </is>
      </c>
      <c r="B568" t="inlineStr">
        <is>
          <t>4주차</t>
        </is>
      </c>
      <c r="C568" t="inlineStr">
        <is>
          <t>IM</t>
        </is>
      </c>
      <c r="D568" s="28" t="n">
        <v>46041</v>
      </c>
      <c r="E568" t="inlineStr">
        <is>
          <t>IM캐피탈</t>
        </is>
      </c>
      <c r="F568" t="inlineStr">
        <is>
          <t>김빛나라</t>
        </is>
      </c>
      <c r="G568" t="inlineStr">
        <is>
          <t>010-2616-0234</t>
        </is>
      </c>
      <c r="H568" t="inlineStr">
        <is>
          <t>62라7813</t>
        </is>
      </c>
      <c r="I568" t="n">
        <v>5800000</v>
      </c>
      <c r="J568" t="n">
        <v>0.049</v>
      </c>
      <c r="K568" t="n">
        <v>0.55</v>
      </c>
      <c r="L568" t="n">
        <v>0.4</v>
      </c>
      <c r="M568" t="n">
        <v>0.15</v>
      </c>
      <c r="P568" t="inlineStr">
        <is>
          <t>정세빈</t>
        </is>
      </c>
      <c r="Q568" t="inlineStr">
        <is>
          <t>공동명의 / 사유 : 금리불만 / 현대 6.7%</t>
        </is>
      </c>
      <c r="AB568" t="inlineStr">
        <is>
          <t>엔카</t>
        </is>
      </c>
      <c r="AC568" t="n">
        <v>31900</v>
      </c>
      <c r="AD568" t="n">
        <v>23200</v>
      </c>
      <c r="AE568" t="n">
        <v>8700</v>
      </c>
      <c r="AF568" t="n">
        <v>29000</v>
      </c>
      <c r="AG568" t="n">
        <v>23200</v>
      </c>
      <c r="AH568" t="n">
        <v>5800</v>
      </c>
      <c r="AI568" t="n">
        <v>0</v>
      </c>
    </row>
    <row r="569">
      <c r="A569" t="inlineStr">
        <is>
          <t>1월</t>
        </is>
      </c>
      <c r="B569" t="inlineStr">
        <is>
          <t>4주차</t>
        </is>
      </c>
      <c r="C569" t="inlineStr">
        <is>
          <t>OR</t>
        </is>
      </c>
      <c r="D569" s="28" t="n">
        <v>46042</v>
      </c>
      <c r="E569" t="inlineStr">
        <is>
          <t>오릭스</t>
        </is>
      </c>
      <c r="F569" t="inlineStr">
        <is>
          <t>박민성</t>
        </is>
      </c>
      <c r="G569" t="inlineStr">
        <is>
          <t>010-3058-9161</t>
        </is>
      </c>
      <c r="H569" t="inlineStr">
        <is>
          <t>13우7307</t>
        </is>
      </c>
      <c r="I569" t="n">
        <v>6700000</v>
      </c>
      <c r="J569" t="n">
        <v>0.067</v>
      </c>
      <c r="K569" t="n">
        <v>1.65</v>
      </c>
      <c r="L569" t="n">
        <v>0.13</v>
      </c>
      <c r="M569" t="n">
        <v>1.52</v>
      </c>
      <c r="P569" t="inlineStr">
        <is>
          <t>정하은</t>
        </is>
      </c>
      <c r="Q569" t="inlineStr">
        <is>
          <t>홈서비스 48개월/사유:금리불만/현대8.7%</t>
        </is>
      </c>
      <c r="AB569" t="inlineStr">
        <is>
          <t>홈서비스</t>
        </is>
      </c>
      <c r="AC569" t="n">
        <v>110550</v>
      </c>
      <c r="AD569" t="n">
        <v>8710</v>
      </c>
      <c r="AE569" t="n">
        <v>101840</v>
      </c>
      <c r="AF569" t="n">
        <v>100500</v>
      </c>
      <c r="AG569" t="n">
        <v>8710</v>
      </c>
      <c r="AH569" t="n">
        <v>91790</v>
      </c>
    </row>
    <row r="570">
      <c r="A570" t="inlineStr">
        <is>
          <t>1월</t>
        </is>
      </c>
      <c r="B570" t="inlineStr">
        <is>
          <t>4주차</t>
        </is>
      </c>
      <c r="C570" t="inlineStr">
        <is>
          <t>IM</t>
        </is>
      </c>
      <c r="D570" s="28" t="n">
        <v>46041</v>
      </c>
      <c r="E570" t="inlineStr">
        <is>
          <t>IM캐피탈</t>
        </is>
      </c>
      <c r="F570" t="inlineStr">
        <is>
          <t>김한웅</t>
        </is>
      </c>
      <c r="G570" t="inlineStr">
        <is>
          <t>010-3531-4697</t>
        </is>
      </c>
      <c r="H570" t="inlineStr">
        <is>
          <t>112무3972</t>
        </is>
      </c>
      <c r="I570" t="n">
        <v>-29000000</v>
      </c>
      <c r="J570" t="n">
        <v>0.049</v>
      </c>
      <c r="K570" t="n">
        <v>0.55</v>
      </c>
      <c r="L570" t="n">
        <v>0.13</v>
      </c>
      <c r="M570" t="n">
        <v>0.42</v>
      </c>
      <c r="P570" t="inlineStr">
        <is>
          <t>장진경</t>
        </is>
      </c>
      <c r="Q570" t="inlineStr">
        <is>
          <t>선상담 / 홈서비스 60개월 / 사유 : 금리불만 / 현대 7.2%/ *철회 20260121</t>
        </is>
      </c>
      <c r="AB570" t="inlineStr">
        <is>
          <t>홈서비스</t>
        </is>
      </c>
      <c r="AC570" t="n">
        <v>-159500</v>
      </c>
      <c r="AD570" t="n">
        <v>-37700</v>
      </c>
      <c r="AE570" t="n">
        <v>-121800</v>
      </c>
      <c r="AF570" t="n">
        <v>-145000</v>
      </c>
      <c r="AG570" t="n">
        <v>-37700</v>
      </c>
      <c r="AH570" t="n">
        <v>-107300</v>
      </c>
      <c r="AK570" t="inlineStr">
        <is>
          <t>대출철회</t>
        </is>
      </c>
    </row>
    <row r="571">
      <c r="A571" t="inlineStr">
        <is>
          <t>1월</t>
        </is>
      </c>
      <c r="B571" t="inlineStr">
        <is>
          <t>4주차</t>
        </is>
      </c>
      <c r="C571" t="inlineStr">
        <is>
          <t>EP</t>
        </is>
      </c>
      <c r="D571" s="28" t="n">
        <v>46042</v>
      </c>
      <c r="E571" t="inlineStr">
        <is>
          <t>제이비EP</t>
        </is>
      </c>
      <c r="F571" t="inlineStr">
        <is>
          <t>이주성</t>
        </is>
      </c>
      <c r="G571" t="inlineStr">
        <is>
          <t>010-3540-5759</t>
        </is>
      </c>
      <c r="H571" t="inlineStr">
        <is>
          <t>38노1146</t>
        </is>
      </c>
      <c r="I571" t="n">
        <v>37000000</v>
      </c>
      <c r="J571" t="n">
        <v>0.081</v>
      </c>
      <c r="K571" t="n">
        <v>1.65</v>
      </c>
      <c r="L571" t="n">
        <v>0.4</v>
      </c>
      <c r="M571" t="n">
        <v>1.25</v>
      </c>
      <c r="P571" t="inlineStr">
        <is>
          <t>장진경</t>
        </is>
      </c>
      <c r="Q571" t="inlineStr">
        <is>
          <t>사유 : 현대미협약차량으로 jb조회후 차량변경건 진행</t>
        </is>
      </c>
      <c r="AB571" t="inlineStr">
        <is>
          <t>엔카</t>
        </is>
      </c>
      <c r="AC571" t="n">
        <v>610500</v>
      </c>
      <c r="AD571" t="n">
        <v>148000</v>
      </c>
      <c r="AE571" t="n">
        <v>462500</v>
      </c>
      <c r="AF571" t="n">
        <v>555000</v>
      </c>
      <c r="AG571" t="n">
        <v>148000</v>
      </c>
      <c r="AH571" t="n">
        <v>407000</v>
      </c>
      <c r="AI571" t="n">
        <v>0</v>
      </c>
    </row>
    <row r="572">
      <c r="A572" t="inlineStr">
        <is>
          <t>1월</t>
        </is>
      </c>
      <c r="B572" t="inlineStr">
        <is>
          <t>4주차</t>
        </is>
      </c>
      <c r="C572" t="inlineStr">
        <is>
          <t>EP</t>
        </is>
      </c>
      <c r="D572" s="28" t="n">
        <v>46041</v>
      </c>
      <c r="E572" t="inlineStr">
        <is>
          <t>현대EP_fast</t>
        </is>
      </c>
      <c r="F572" t="inlineStr">
        <is>
          <t>오덕영</t>
        </is>
      </c>
      <c r="G572" t="inlineStr">
        <is>
          <t>010-5160-0468</t>
        </is>
      </c>
      <c r="H572" t="inlineStr">
        <is>
          <t>22주7993</t>
        </is>
      </c>
      <c r="I572" t="n">
        <v>22900000</v>
      </c>
      <c r="J572" t="n">
        <v>0.093</v>
      </c>
      <c r="K572" t="n">
        <v>1.76</v>
      </c>
      <c r="L572" t="n">
        <v>0.13</v>
      </c>
      <c r="M572" t="n">
        <v>1.63</v>
      </c>
      <c r="P572" t="inlineStr">
        <is>
          <t>구성완</t>
        </is>
      </c>
      <c r="Q572" t="inlineStr">
        <is>
          <t>안심거래존건건</t>
        </is>
      </c>
      <c r="AB572" t="inlineStr">
        <is>
          <t>믿고</t>
        </is>
      </c>
      <c r="AC572" t="n">
        <v>403040</v>
      </c>
      <c r="AD572" t="n">
        <v>29770</v>
      </c>
      <c r="AE572" t="n">
        <v>373270</v>
      </c>
      <c r="AF572" t="n">
        <v>366400</v>
      </c>
      <c r="AG572" t="n">
        <v>29770</v>
      </c>
      <c r="AH572" t="n">
        <v>336630</v>
      </c>
      <c r="AI572" t="n">
        <v>0</v>
      </c>
    </row>
    <row r="573">
      <c r="A573" t="inlineStr">
        <is>
          <t>1월</t>
        </is>
      </c>
      <c r="B573" t="inlineStr">
        <is>
          <t>4주차</t>
        </is>
      </c>
      <c r="C573" t="inlineStr">
        <is>
          <t>EP</t>
        </is>
      </c>
      <c r="D573" s="28" t="n">
        <v>46041</v>
      </c>
      <c r="E573" t="inlineStr">
        <is>
          <t>현대EP</t>
        </is>
      </c>
      <c r="F573" t="inlineStr">
        <is>
          <t>김봉주</t>
        </is>
      </c>
      <c r="G573" t="inlineStr">
        <is>
          <t>010-3911-7889</t>
        </is>
      </c>
      <c r="H573" t="inlineStr">
        <is>
          <t>50도3636</t>
        </is>
      </c>
      <c r="I573" t="n">
        <v>9800000</v>
      </c>
      <c r="J573" t="n">
        <v>0.097</v>
      </c>
      <c r="K573" t="n">
        <v>1.76</v>
      </c>
      <c r="L573" t="n">
        <v>0.13</v>
      </c>
      <c r="M573" t="n">
        <v>1.63</v>
      </c>
      <c r="P573" t="inlineStr">
        <is>
          <t>김나윤</t>
        </is>
      </c>
      <c r="Q573" t="inlineStr">
        <is>
          <t>홈서비스 60개월</t>
        </is>
      </c>
      <c r="AB573" t="inlineStr">
        <is>
          <t>홈서비스</t>
        </is>
      </c>
      <c r="AC573" t="n">
        <v>172480</v>
      </c>
      <c r="AD573" t="n">
        <v>12740</v>
      </c>
      <c r="AE573" t="n">
        <v>159740</v>
      </c>
      <c r="AF573" t="n">
        <v>156800</v>
      </c>
      <c r="AG573" t="n">
        <v>12740</v>
      </c>
      <c r="AH573" t="n">
        <v>144060</v>
      </c>
      <c r="AI573" t="n">
        <v>0</v>
      </c>
    </row>
    <row r="574">
      <c r="A574" t="inlineStr">
        <is>
          <t>1월</t>
        </is>
      </c>
      <c r="B574" t="inlineStr">
        <is>
          <t>4주차</t>
        </is>
      </c>
      <c r="C574" t="inlineStr">
        <is>
          <t>EP</t>
        </is>
      </c>
      <c r="D574" s="28" t="n">
        <v>46042</v>
      </c>
      <c r="E574" t="inlineStr">
        <is>
          <t>현대EP_fast</t>
        </is>
      </c>
      <c r="F574" t="inlineStr">
        <is>
          <t>김대용</t>
        </is>
      </c>
      <c r="G574" t="inlineStr">
        <is>
          <t>010-8455-2631</t>
        </is>
      </c>
      <c r="H574" t="inlineStr">
        <is>
          <t>34라2233</t>
        </is>
      </c>
      <c r="I574" t="n">
        <v>9700000</v>
      </c>
      <c r="J574" t="n">
        <v>0.08500000000000001</v>
      </c>
      <c r="K574" t="n">
        <v>1.76</v>
      </c>
      <c r="L574" t="n">
        <v>0.13</v>
      </c>
      <c r="M574" t="n">
        <v>1.63</v>
      </c>
      <c r="P574" t="inlineStr">
        <is>
          <t>정하은</t>
        </is>
      </c>
      <c r="Q574" t="inlineStr">
        <is>
          <t>홈서비스 60개월</t>
        </is>
      </c>
      <c r="AB574" t="inlineStr">
        <is>
          <t>홈서비스</t>
        </is>
      </c>
      <c r="AC574" t="n">
        <v>170720</v>
      </c>
      <c r="AD574" t="n">
        <v>12610</v>
      </c>
      <c r="AE574" t="n">
        <v>158110</v>
      </c>
      <c r="AF574" t="n">
        <v>155200</v>
      </c>
      <c r="AG574" t="n">
        <v>12610</v>
      </c>
      <c r="AH574" t="n">
        <v>142590</v>
      </c>
      <c r="AI574" t="n">
        <v>0</v>
      </c>
    </row>
    <row r="575">
      <c r="A575" t="inlineStr">
        <is>
          <t>1월</t>
        </is>
      </c>
      <c r="B575" t="inlineStr">
        <is>
          <t>4주차</t>
        </is>
      </c>
      <c r="C575" t="inlineStr">
        <is>
          <t>IM</t>
        </is>
      </c>
      <c r="D575" s="28" t="n">
        <v>46041</v>
      </c>
      <c r="E575" t="inlineStr">
        <is>
          <t>IM캐피탈</t>
        </is>
      </c>
      <c r="F575" t="inlineStr">
        <is>
          <t>김지현</t>
        </is>
      </c>
      <c r="G575" t="inlineStr">
        <is>
          <t>010-7741-2952</t>
        </is>
      </c>
      <c r="H575" t="inlineStr">
        <is>
          <t>389다2481</t>
        </is>
      </c>
      <c r="I575" t="n">
        <v>-44500000</v>
      </c>
      <c r="J575" t="n">
        <v>0.039</v>
      </c>
      <c r="K575" t="n">
        <v>0.55</v>
      </c>
      <c r="L575" t="n">
        <v>0.13</v>
      </c>
      <c r="M575" t="n">
        <v>0.42</v>
      </c>
      <c r="P575" t="inlineStr">
        <is>
          <t>정세빈</t>
        </is>
      </c>
      <c r="Q575" t="inlineStr">
        <is>
          <t>홈서비스 60개월 / 사유 : 금리불만 / *철회 20260123</t>
        </is>
      </c>
      <c r="AB575" t="inlineStr">
        <is>
          <t>홈서비스</t>
        </is>
      </c>
      <c r="AC575" t="n">
        <v>-244750</v>
      </c>
      <c r="AD575" t="n">
        <v>-57850</v>
      </c>
      <c r="AE575" t="n">
        <v>-186900</v>
      </c>
      <c r="AF575" t="n">
        <v>-222500</v>
      </c>
      <c r="AG575" t="n">
        <v>-57850</v>
      </c>
      <c r="AH575" t="n">
        <v>-164650</v>
      </c>
      <c r="AK575" t="inlineStr">
        <is>
          <t>대출철회</t>
        </is>
      </c>
    </row>
    <row r="576">
      <c r="A576" t="inlineStr">
        <is>
          <t>1월</t>
        </is>
      </c>
      <c r="B576" t="inlineStr">
        <is>
          <t>4주차</t>
        </is>
      </c>
      <c r="C576" t="inlineStr">
        <is>
          <t>IM</t>
        </is>
      </c>
      <c r="D576" s="28" t="n">
        <v>46042</v>
      </c>
      <c r="E576" t="inlineStr">
        <is>
          <t>IM캐피탈</t>
        </is>
      </c>
      <c r="F576" t="inlineStr">
        <is>
          <t>남용호</t>
        </is>
      </c>
      <c r="G576" t="inlineStr">
        <is>
          <t>010-8321-6285</t>
        </is>
      </c>
      <c r="H576" t="inlineStr">
        <is>
          <t>35머2981</t>
        </is>
      </c>
      <c r="I576" t="n">
        <v>10500000</v>
      </c>
      <c r="J576" t="n">
        <v>0.049</v>
      </c>
      <c r="K576" t="n">
        <v>0.55</v>
      </c>
      <c r="L576" t="n">
        <v>0.4</v>
      </c>
      <c r="M576" t="n">
        <v>0.15</v>
      </c>
      <c r="P576" t="inlineStr">
        <is>
          <t>장진경</t>
        </is>
      </c>
      <c r="Q576" t="inlineStr">
        <is>
          <t>사유 : 금리불만 / 현대 6.4% / 공동명의</t>
        </is>
      </c>
      <c r="AB576" t="inlineStr">
        <is>
          <t>엔카</t>
        </is>
      </c>
      <c r="AC576" t="n">
        <v>57750</v>
      </c>
      <c r="AD576" t="n">
        <v>42000</v>
      </c>
      <c r="AE576" t="n">
        <v>15750</v>
      </c>
      <c r="AF576" t="n">
        <v>52500</v>
      </c>
      <c r="AG576" t="n">
        <v>42000</v>
      </c>
      <c r="AH576" t="n">
        <v>10500</v>
      </c>
    </row>
    <row r="577">
      <c r="A577" t="inlineStr">
        <is>
          <t>1월</t>
        </is>
      </c>
      <c r="B577" t="inlineStr">
        <is>
          <t>4주차</t>
        </is>
      </c>
      <c r="C577" t="inlineStr">
        <is>
          <t>IM</t>
        </is>
      </c>
      <c r="D577" s="28" t="n">
        <v>46042</v>
      </c>
      <c r="E577" t="inlineStr">
        <is>
          <t>IM캐피탈</t>
        </is>
      </c>
      <c r="F577" t="inlineStr">
        <is>
          <t>안준기</t>
        </is>
      </c>
      <c r="G577" t="inlineStr">
        <is>
          <t>010-7161-8273</t>
        </is>
      </c>
      <c r="H577" t="inlineStr">
        <is>
          <t>170오3909</t>
        </is>
      </c>
      <c r="I577" t="n">
        <v>16700000</v>
      </c>
      <c r="J577" t="n">
        <v>0.06</v>
      </c>
      <c r="K577" t="n">
        <v>0.55</v>
      </c>
      <c r="L577" t="n">
        <v>0.13</v>
      </c>
      <c r="M577" t="n">
        <v>0.42</v>
      </c>
      <c r="P577" t="inlineStr">
        <is>
          <t>황채이</t>
        </is>
      </c>
      <c r="Q577" t="inlineStr">
        <is>
          <t xml:space="preserve">사유 : 금리불만 / 현대 8.1% </t>
        </is>
      </c>
      <c r="AB577" t="inlineStr">
        <is>
          <t>홈서비스</t>
        </is>
      </c>
      <c r="AC577" t="n">
        <v>91850</v>
      </c>
      <c r="AD577" t="n">
        <v>21710</v>
      </c>
      <c r="AE577" t="n">
        <v>70140</v>
      </c>
      <c r="AF577" t="n">
        <v>83500</v>
      </c>
      <c r="AG577" t="n">
        <v>21710</v>
      </c>
      <c r="AH577" t="n">
        <v>61790</v>
      </c>
    </row>
    <row r="578">
      <c r="A578" t="inlineStr">
        <is>
          <t>1월</t>
        </is>
      </c>
      <c r="B578" t="inlineStr">
        <is>
          <t>4주차</t>
        </is>
      </c>
      <c r="C578" t="inlineStr">
        <is>
          <t>IM</t>
        </is>
      </c>
      <c r="D578" s="28" t="n">
        <v>46041</v>
      </c>
      <c r="E578" t="inlineStr">
        <is>
          <t>IM캐피탈</t>
        </is>
      </c>
      <c r="F578" t="inlineStr">
        <is>
          <t>박영호</t>
        </is>
      </c>
      <c r="G578" t="inlineStr">
        <is>
          <t>010-8441-6121</t>
        </is>
      </c>
      <c r="H578" t="inlineStr">
        <is>
          <t>288나1260</t>
        </is>
      </c>
      <c r="I578" t="n">
        <v>40000000</v>
      </c>
      <c r="J578" t="n">
        <v>0.039</v>
      </c>
      <c r="K578" t="n">
        <v>0.55</v>
      </c>
      <c r="L578" t="n">
        <v>0.4</v>
      </c>
      <c r="M578" t="n">
        <v>0.15</v>
      </c>
      <c r="P578" t="inlineStr">
        <is>
          <t>임대경</t>
        </is>
      </c>
      <c r="Q578" t="inlineStr">
        <is>
          <t>사유 : 금리불만</t>
        </is>
      </c>
      <c r="AB578" t="inlineStr">
        <is>
          <t>엔카</t>
        </is>
      </c>
      <c r="AC578" t="n">
        <v>220000</v>
      </c>
      <c r="AD578" t="n">
        <v>160000</v>
      </c>
      <c r="AE578" t="n">
        <v>60000</v>
      </c>
      <c r="AF578" t="n">
        <v>200000</v>
      </c>
      <c r="AG578" t="n">
        <v>160000</v>
      </c>
      <c r="AH578" t="n">
        <v>40000</v>
      </c>
    </row>
    <row r="579">
      <c r="A579" t="inlineStr">
        <is>
          <t>1월</t>
        </is>
      </c>
      <c r="B579" t="inlineStr">
        <is>
          <t>4주차</t>
        </is>
      </c>
      <c r="C579" t="inlineStr">
        <is>
          <t>EP</t>
        </is>
      </c>
      <c r="D579" s="28" t="n">
        <v>46041</v>
      </c>
      <c r="E579" t="inlineStr">
        <is>
          <t>현대EP_fast</t>
        </is>
      </c>
      <c r="F579" t="inlineStr">
        <is>
          <t>박영일</t>
        </is>
      </c>
      <c r="G579" t="inlineStr">
        <is>
          <t>010-4239-7002</t>
        </is>
      </c>
      <c r="H579" t="inlineStr">
        <is>
          <t>322오7853</t>
        </is>
      </c>
      <c r="I579" t="n">
        <v>22500000</v>
      </c>
      <c r="J579" t="n">
        <v>0.124</v>
      </c>
      <c r="K579" t="n">
        <v>1.76</v>
      </c>
      <c r="L579" t="n">
        <v>0.13</v>
      </c>
      <c r="M579" t="n">
        <v>1.63</v>
      </c>
      <c r="P579" t="inlineStr">
        <is>
          <t>장현경</t>
        </is>
      </c>
      <c r="Q579" t="inlineStr">
        <is>
          <t>선상담 / 홈서비스 36개월 /*당월철회 20260128</t>
        </is>
      </c>
      <c r="AB579" t="inlineStr">
        <is>
          <t>홈서비스</t>
        </is>
      </c>
      <c r="AC579" t="n">
        <v>396000</v>
      </c>
      <c r="AD579" t="n">
        <v>29250</v>
      </c>
      <c r="AE579" t="n">
        <v>366750</v>
      </c>
      <c r="AF579" t="n">
        <v>360000</v>
      </c>
      <c r="AG579" t="n">
        <v>29250</v>
      </c>
      <c r="AH579" t="n">
        <v>330750</v>
      </c>
      <c r="AI579" t="n">
        <v>1</v>
      </c>
      <c r="AK579" t="inlineStr">
        <is>
          <t>대출철회</t>
        </is>
      </c>
    </row>
    <row r="580">
      <c r="A580" t="inlineStr">
        <is>
          <t>1월</t>
        </is>
      </c>
      <c r="B580" t="inlineStr">
        <is>
          <t>4주차</t>
        </is>
      </c>
      <c r="C580" t="inlineStr">
        <is>
          <t>OR</t>
        </is>
      </c>
      <c r="D580" s="28" t="n">
        <v>46042</v>
      </c>
      <c r="E580" t="inlineStr">
        <is>
          <t>오릭스</t>
        </is>
      </c>
      <c r="F580" t="inlineStr">
        <is>
          <t>이준범</t>
        </is>
      </c>
      <c r="G580" t="inlineStr">
        <is>
          <t>010-6279-0403</t>
        </is>
      </c>
      <c r="H580" t="inlineStr">
        <is>
          <t>37나4586</t>
        </is>
      </c>
      <c r="I580" t="n">
        <v>13000000</v>
      </c>
      <c r="J580" t="n">
        <v>0.08</v>
      </c>
      <c r="K580" t="n">
        <v>1.65</v>
      </c>
      <c r="L580" t="n">
        <v>0.4</v>
      </c>
      <c r="M580" t="n">
        <v>1.25</v>
      </c>
      <c r="P580" t="inlineStr">
        <is>
          <t>정세빈</t>
        </is>
      </c>
      <c r="Q580" t="inlineStr">
        <is>
          <t>사유 : 현대 디비등록 불가 / 현대 11.1%</t>
        </is>
      </c>
      <c r="AB580" t="inlineStr">
        <is>
          <t>엔카</t>
        </is>
      </c>
      <c r="AC580" t="n">
        <v>214500</v>
      </c>
      <c r="AD580" t="n">
        <v>52000</v>
      </c>
      <c r="AE580" t="n">
        <v>162500</v>
      </c>
      <c r="AF580" t="n">
        <v>195000</v>
      </c>
      <c r="AG580" t="n">
        <v>52000</v>
      </c>
      <c r="AH580" t="n">
        <v>143000</v>
      </c>
      <c r="AI580" t="n">
        <v>1</v>
      </c>
    </row>
    <row r="581">
      <c r="A581" t="inlineStr">
        <is>
          <t>1월</t>
        </is>
      </c>
      <c r="B581" t="inlineStr">
        <is>
          <t>4주차</t>
        </is>
      </c>
      <c r="C581" t="inlineStr">
        <is>
          <t>EP</t>
        </is>
      </c>
      <c r="D581" s="28" t="n">
        <v>46041</v>
      </c>
      <c r="E581" t="inlineStr">
        <is>
          <t>현대EP</t>
        </is>
      </c>
      <c r="F581" t="inlineStr">
        <is>
          <t>민효식</t>
        </is>
      </c>
      <c r="G581" t="inlineStr">
        <is>
          <t>010-5236-2415</t>
        </is>
      </c>
      <c r="H581" t="inlineStr">
        <is>
          <t>316소9799</t>
        </is>
      </c>
      <c r="I581" t="n">
        <v>26700000</v>
      </c>
      <c r="J581" t="n">
        <v>0.082</v>
      </c>
      <c r="K581" t="n">
        <v>1.76</v>
      </c>
      <c r="L581" t="n">
        <v>0.13</v>
      </c>
      <c r="M581" t="n">
        <v>1.63</v>
      </c>
      <c r="P581" t="inlineStr">
        <is>
          <t>최혁</t>
        </is>
      </c>
      <c r="Q581" t="inlineStr">
        <is>
          <t>홈서비스 60개월</t>
        </is>
      </c>
      <c r="AB581" t="inlineStr">
        <is>
          <t>홈서비스</t>
        </is>
      </c>
      <c r="AC581" t="n">
        <v>469920</v>
      </c>
      <c r="AD581" t="n">
        <v>34710</v>
      </c>
      <c r="AE581" t="n">
        <v>435210</v>
      </c>
      <c r="AF581" t="n">
        <v>427200</v>
      </c>
      <c r="AG581" t="n">
        <v>34710</v>
      </c>
      <c r="AH581" t="n">
        <v>392490</v>
      </c>
      <c r="AI581" t="n">
        <v>1</v>
      </c>
    </row>
    <row r="582">
      <c r="A582" t="inlineStr">
        <is>
          <t>1월</t>
        </is>
      </c>
      <c r="B582" t="inlineStr">
        <is>
          <t>4주차</t>
        </is>
      </c>
      <c r="C582" t="inlineStr">
        <is>
          <t>EP</t>
        </is>
      </c>
      <c r="D582" s="28" t="n">
        <v>46042</v>
      </c>
      <c r="E582" t="inlineStr">
        <is>
          <t>현대EP_fast</t>
        </is>
      </c>
      <c r="F582" t="inlineStr">
        <is>
          <t>함영진</t>
        </is>
      </c>
      <c r="G582" t="inlineStr">
        <is>
          <t>010-3435-1642</t>
        </is>
      </c>
      <c r="H582" t="inlineStr">
        <is>
          <t>04더9415</t>
        </is>
      </c>
      <c r="I582" t="n">
        <v>10000000</v>
      </c>
      <c r="J582" t="n">
        <v>0.068</v>
      </c>
      <c r="K582" t="n">
        <v>1.76</v>
      </c>
      <c r="L582" t="n">
        <v>0.13</v>
      </c>
      <c r="M582" t="n">
        <v>1.63</v>
      </c>
      <c r="P582" t="inlineStr">
        <is>
          <t>정세빈</t>
        </is>
      </c>
      <c r="Q582" t="inlineStr">
        <is>
          <t>홈서비스 48개월</t>
        </is>
      </c>
      <c r="AB582" t="inlineStr">
        <is>
          <t>홈서비스</t>
        </is>
      </c>
      <c r="AC582" t="n">
        <v>176000</v>
      </c>
      <c r="AD582" t="n">
        <v>13000</v>
      </c>
      <c r="AE582" t="n">
        <v>163000</v>
      </c>
      <c r="AF582" t="n">
        <v>160000</v>
      </c>
      <c r="AG582" t="n">
        <v>13000</v>
      </c>
      <c r="AH582" t="n">
        <v>147000</v>
      </c>
      <c r="AI582" t="n">
        <v>1</v>
      </c>
    </row>
    <row r="583">
      <c r="A583" t="inlineStr">
        <is>
          <t>1월</t>
        </is>
      </c>
      <c r="B583" t="inlineStr">
        <is>
          <t>4주차</t>
        </is>
      </c>
      <c r="C583" t="inlineStr">
        <is>
          <t>IM</t>
        </is>
      </c>
      <c r="D583" s="28" t="n">
        <v>46041</v>
      </c>
      <c r="E583" t="inlineStr">
        <is>
          <t>IM캐피탈</t>
        </is>
      </c>
      <c r="F583" t="inlineStr">
        <is>
          <t>박슬기</t>
        </is>
      </c>
      <c r="G583" t="inlineStr">
        <is>
          <t>010-2540-1848</t>
        </is>
      </c>
      <c r="H583" t="inlineStr">
        <is>
          <t>121노1105</t>
        </is>
      </c>
      <c r="I583" t="n">
        <v>37300000</v>
      </c>
      <c r="J583" t="n">
        <v>0.064</v>
      </c>
      <c r="K583" t="n">
        <v>0.55</v>
      </c>
      <c r="L583" t="n">
        <v>0.4</v>
      </c>
      <c r="M583" t="n">
        <v>0.15</v>
      </c>
      <c r="P583" t="inlineStr">
        <is>
          <t>박현민</t>
        </is>
      </c>
      <c r="AB583" t="inlineStr">
        <is>
          <t>엔카</t>
        </is>
      </c>
      <c r="AC583" t="n">
        <v>205150</v>
      </c>
      <c r="AD583" t="n">
        <v>149200</v>
      </c>
      <c r="AE583" t="n">
        <v>55950</v>
      </c>
      <c r="AF583" t="n">
        <v>186500</v>
      </c>
      <c r="AG583" t="n">
        <v>149200</v>
      </c>
      <c r="AH583" t="n">
        <v>37300</v>
      </c>
    </row>
    <row r="584">
      <c r="A584" t="inlineStr">
        <is>
          <t>1월</t>
        </is>
      </c>
      <c r="B584" t="inlineStr">
        <is>
          <t>4주차</t>
        </is>
      </c>
      <c r="C584" t="inlineStr">
        <is>
          <t>IM</t>
        </is>
      </c>
      <c r="D584" s="28" t="n">
        <v>46041</v>
      </c>
      <c r="E584" t="inlineStr">
        <is>
          <t>IM캐피탈</t>
        </is>
      </c>
      <c r="F584" t="inlineStr">
        <is>
          <t>임수빈</t>
        </is>
      </c>
      <c r="G584" t="inlineStr">
        <is>
          <t>010-4894-8533</t>
        </is>
      </c>
      <c r="H584" t="inlineStr">
        <is>
          <t>372보6884</t>
        </is>
      </c>
      <c r="I584" t="n">
        <v>14700000</v>
      </c>
      <c r="J584" t="n">
        <v>0.053</v>
      </c>
      <c r="K584" t="n">
        <v>0.55</v>
      </c>
      <c r="L584" t="n">
        <v>0.13</v>
      </c>
      <c r="M584" t="n">
        <v>0.42</v>
      </c>
      <c r="P584" t="inlineStr">
        <is>
          <t>박보람</t>
        </is>
      </c>
      <c r="Q584" t="inlineStr">
        <is>
          <t>선상담 / 홈서비스 60개월 / 사유 : 금리불만</t>
        </is>
      </c>
      <c r="Z584" t="n">
        <v>0</v>
      </c>
      <c r="AB584" t="inlineStr">
        <is>
          <t>홈서비스</t>
        </is>
      </c>
      <c r="AC584" t="n">
        <v>80850</v>
      </c>
      <c r="AD584" t="n">
        <v>19110</v>
      </c>
      <c r="AE584" t="n">
        <v>61740</v>
      </c>
      <c r="AF584" t="n">
        <v>73500</v>
      </c>
      <c r="AG584" t="n">
        <v>19110</v>
      </c>
      <c r="AH584" t="n">
        <v>54390</v>
      </c>
      <c r="AI584" t="n">
        <v>0</v>
      </c>
      <c r="AJ584" t="inlineStr">
        <is>
          <t>개인</t>
        </is>
      </c>
    </row>
    <row r="585">
      <c r="A585" t="inlineStr">
        <is>
          <t>1월</t>
        </is>
      </c>
      <c r="B585" t="inlineStr">
        <is>
          <t>4주차</t>
        </is>
      </c>
      <c r="C585" t="inlineStr">
        <is>
          <t>EP</t>
        </is>
      </c>
      <c r="D585" s="28" t="n">
        <v>46042</v>
      </c>
      <c r="E585" t="inlineStr">
        <is>
          <t>현대EP_fast</t>
        </is>
      </c>
      <c r="F585" t="inlineStr">
        <is>
          <t>임수민</t>
        </is>
      </c>
      <c r="G585" t="inlineStr">
        <is>
          <t>010-4071-0155</t>
        </is>
      </c>
      <c r="H585" t="inlineStr">
        <is>
          <t>65부0158</t>
        </is>
      </c>
      <c r="I585" t="n">
        <v>5000000</v>
      </c>
      <c r="J585" t="n">
        <v>0.082</v>
      </c>
      <c r="K585" t="n">
        <v>1.76</v>
      </c>
      <c r="L585" t="n">
        <v>0.13</v>
      </c>
      <c r="M585" t="n">
        <v>1.63</v>
      </c>
      <c r="P585" t="inlineStr">
        <is>
          <t>황채이</t>
        </is>
      </c>
      <c r="Q585" t="inlineStr">
        <is>
          <t>홈서비스 60개월</t>
        </is>
      </c>
      <c r="AB585" t="inlineStr">
        <is>
          <t>홈서비스</t>
        </is>
      </c>
      <c r="AC585" t="n">
        <v>88000</v>
      </c>
      <c r="AD585" t="n">
        <v>6500</v>
      </c>
      <c r="AE585" t="n">
        <v>81500</v>
      </c>
      <c r="AF585" t="n">
        <v>80000</v>
      </c>
      <c r="AG585" t="n">
        <v>6500</v>
      </c>
      <c r="AH585" t="n">
        <v>73500</v>
      </c>
      <c r="AI585" t="n">
        <v>0</v>
      </c>
    </row>
    <row r="586">
      <c r="A586" t="inlineStr">
        <is>
          <t>1월</t>
        </is>
      </c>
      <c r="B586" t="inlineStr">
        <is>
          <t>4주차</t>
        </is>
      </c>
      <c r="C586" t="inlineStr">
        <is>
          <t>IM</t>
        </is>
      </c>
      <c r="D586" s="28" t="n">
        <v>46041</v>
      </c>
      <c r="E586" t="inlineStr">
        <is>
          <t>IM캐피탈</t>
        </is>
      </c>
      <c r="F586" t="inlineStr">
        <is>
          <t>김범윤</t>
        </is>
      </c>
      <c r="G586" t="inlineStr">
        <is>
          <t>010-4000-0968</t>
        </is>
      </c>
      <c r="H586" t="inlineStr">
        <is>
          <t>230로3584</t>
        </is>
      </c>
      <c r="I586" t="n">
        <v>34300000</v>
      </c>
      <c r="J586" t="n">
        <v>0.056</v>
      </c>
      <c r="K586" t="n">
        <v>0.55</v>
      </c>
      <c r="L586" t="n">
        <v>0.4</v>
      </c>
      <c r="M586" t="n">
        <v>0.15</v>
      </c>
      <c r="P586" t="inlineStr">
        <is>
          <t>장현경</t>
        </is>
      </c>
      <c r="Q586" t="inlineStr">
        <is>
          <t>사유 : 기승인건 / 현대 8.0%</t>
        </is>
      </c>
      <c r="AB586" t="inlineStr">
        <is>
          <t>엔카</t>
        </is>
      </c>
      <c r="AC586" t="n">
        <v>188650</v>
      </c>
      <c r="AD586" t="n">
        <v>137200</v>
      </c>
      <c r="AE586" t="n">
        <v>51450</v>
      </c>
      <c r="AF586" t="n">
        <v>171500</v>
      </c>
      <c r="AG586" t="n">
        <v>137200</v>
      </c>
      <c r="AH586" t="n">
        <v>34300</v>
      </c>
      <c r="AI586" t="n">
        <v>0</v>
      </c>
    </row>
    <row r="587">
      <c r="A587" t="inlineStr">
        <is>
          <t>1월</t>
        </is>
      </c>
      <c r="B587" t="inlineStr">
        <is>
          <t>4주차</t>
        </is>
      </c>
      <c r="C587" t="inlineStr">
        <is>
          <t>EP</t>
        </is>
      </c>
      <c r="D587" s="28" t="n">
        <v>46041</v>
      </c>
      <c r="E587" t="inlineStr">
        <is>
          <t>현대EP</t>
        </is>
      </c>
      <c r="F587" t="inlineStr">
        <is>
          <t>김석</t>
        </is>
      </c>
      <c r="G587" t="inlineStr">
        <is>
          <t>010-4811-1419</t>
        </is>
      </c>
      <c r="H587" t="inlineStr">
        <is>
          <t>51라1580</t>
        </is>
      </c>
      <c r="I587" t="n">
        <v>12500000</v>
      </c>
      <c r="J587" t="n">
        <v>0.067</v>
      </c>
      <c r="K587" t="n">
        <v>1.76</v>
      </c>
      <c r="L587" t="n">
        <v>0.13</v>
      </c>
      <c r="M587" t="n">
        <v>1.63</v>
      </c>
      <c r="P587" t="inlineStr">
        <is>
          <t>임대경</t>
        </is>
      </c>
      <c r="Q587" t="inlineStr">
        <is>
          <t>홈서비스 60개월</t>
        </is>
      </c>
      <c r="AB587" t="inlineStr">
        <is>
          <t>홈서비스</t>
        </is>
      </c>
      <c r="AC587" t="n">
        <v>220000</v>
      </c>
      <c r="AD587" t="n">
        <v>16250</v>
      </c>
      <c r="AE587" t="n">
        <v>203750</v>
      </c>
      <c r="AF587" t="n">
        <v>200000</v>
      </c>
      <c r="AG587" t="n">
        <v>16250</v>
      </c>
      <c r="AH587" t="n">
        <v>183750</v>
      </c>
      <c r="AI587" t="n">
        <v>0</v>
      </c>
    </row>
    <row r="588">
      <c r="A588" t="inlineStr">
        <is>
          <t>1월</t>
        </is>
      </c>
      <c r="B588" t="inlineStr">
        <is>
          <t>4주차</t>
        </is>
      </c>
      <c r="C588" t="inlineStr">
        <is>
          <t>EP</t>
        </is>
      </c>
      <c r="D588" s="28" t="n">
        <v>46042</v>
      </c>
      <c r="E588" t="inlineStr">
        <is>
          <t>현대EP_fast</t>
        </is>
      </c>
      <c r="F588" t="inlineStr">
        <is>
          <t>김동민</t>
        </is>
      </c>
      <c r="G588" t="inlineStr">
        <is>
          <t>010-4917-7454</t>
        </is>
      </c>
      <c r="H588" t="inlineStr">
        <is>
          <t>23우2717</t>
        </is>
      </c>
      <c r="I588" t="n">
        <v>6500000</v>
      </c>
      <c r="J588" t="n">
        <v>0.07199999999999999</v>
      </c>
      <c r="K588" t="n">
        <v>1.76</v>
      </c>
      <c r="L588" t="n">
        <v>0.13</v>
      </c>
      <c r="M588" t="n">
        <v>1.63</v>
      </c>
      <c r="P588" t="inlineStr">
        <is>
          <t>정하은</t>
        </is>
      </c>
      <c r="Q588" t="inlineStr">
        <is>
          <t>홈서비스 60개월/고객주도체결</t>
        </is>
      </c>
      <c r="AB588" t="inlineStr">
        <is>
          <t>홈서비스</t>
        </is>
      </c>
      <c r="AC588" t="n">
        <v>114400</v>
      </c>
      <c r="AD588" t="n">
        <v>8450</v>
      </c>
      <c r="AE588" t="n">
        <v>105950</v>
      </c>
      <c r="AF588" t="n">
        <v>104000</v>
      </c>
      <c r="AG588" t="n">
        <v>8450</v>
      </c>
      <c r="AH588" t="n">
        <v>95550</v>
      </c>
      <c r="AI588" t="n">
        <v>1</v>
      </c>
    </row>
    <row r="589">
      <c r="A589" t="inlineStr">
        <is>
          <t>1월</t>
        </is>
      </c>
      <c r="B589" t="inlineStr">
        <is>
          <t>4주차</t>
        </is>
      </c>
      <c r="C589" t="inlineStr">
        <is>
          <t>EP</t>
        </is>
      </c>
      <c r="D589" s="28" t="n">
        <v>46041</v>
      </c>
      <c r="E589" t="inlineStr">
        <is>
          <t>현대EP</t>
        </is>
      </c>
      <c r="F589" t="inlineStr">
        <is>
          <t>이진우</t>
        </is>
      </c>
      <c r="G589" t="inlineStr">
        <is>
          <t>010-3102-5177</t>
        </is>
      </c>
      <c r="H589" t="inlineStr">
        <is>
          <t>197노2017</t>
        </is>
      </c>
      <c r="I589" t="n">
        <v>22700000</v>
      </c>
      <c r="J589" t="n">
        <v>0.073</v>
      </c>
      <c r="K589" t="n">
        <v>1.76</v>
      </c>
      <c r="L589" t="n">
        <v>0.13</v>
      </c>
      <c r="M589" t="n">
        <v>1.63</v>
      </c>
      <c r="P589" t="inlineStr">
        <is>
          <t>정광호</t>
        </is>
      </c>
      <c r="Q589" t="inlineStr">
        <is>
          <t>홈서비스 60개월</t>
        </is>
      </c>
      <c r="AB589" t="inlineStr">
        <is>
          <t>홈서비스</t>
        </is>
      </c>
      <c r="AC589" t="n">
        <v>399520</v>
      </c>
      <c r="AD589" t="n">
        <v>29510</v>
      </c>
      <c r="AE589" t="n">
        <v>370010</v>
      </c>
      <c r="AF589" t="n">
        <v>363200</v>
      </c>
      <c r="AG589" t="n">
        <v>29510</v>
      </c>
      <c r="AH589" t="n">
        <v>333690</v>
      </c>
      <c r="AI589" t="n">
        <v>1</v>
      </c>
    </row>
    <row r="590">
      <c r="A590" t="inlineStr">
        <is>
          <t>1월</t>
        </is>
      </c>
      <c r="B590" t="inlineStr">
        <is>
          <t>4주차</t>
        </is>
      </c>
      <c r="C590" t="inlineStr">
        <is>
          <t>EP</t>
        </is>
      </c>
      <c r="D590" s="28" t="n">
        <v>46042</v>
      </c>
      <c r="E590" t="inlineStr">
        <is>
          <t>현대EP_fast</t>
        </is>
      </c>
      <c r="F590" t="inlineStr">
        <is>
          <t>조병선</t>
        </is>
      </c>
      <c r="G590" t="inlineStr">
        <is>
          <t>010-2799-7915</t>
        </is>
      </c>
      <c r="H590" t="inlineStr">
        <is>
          <t>29저4949</t>
        </is>
      </c>
      <c r="I590" t="n">
        <v>16800000</v>
      </c>
      <c r="J590" t="n">
        <v>0.07199999999999999</v>
      </c>
      <c r="K590" t="n">
        <v>1.76</v>
      </c>
      <c r="L590" t="n">
        <v>0.13</v>
      </c>
      <c r="M590" t="n">
        <v>1.63</v>
      </c>
      <c r="P590" t="inlineStr">
        <is>
          <t>최형주</t>
        </is>
      </c>
      <c r="Q590" t="inlineStr">
        <is>
          <t>홈서비스 60개월</t>
        </is>
      </c>
      <c r="AB590" t="inlineStr">
        <is>
          <t>홈서비스</t>
        </is>
      </c>
      <c r="AC590" t="n">
        <v>295680</v>
      </c>
      <c r="AD590" t="n">
        <v>21840</v>
      </c>
      <c r="AE590" t="n">
        <v>273840</v>
      </c>
      <c r="AF590" t="n">
        <v>268800</v>
      </c>
      <c r="AG590" t="n">
        <v>21840</v>
      </c>
      <c r="AH590" t="n">
        <v>246960</v>
      </c>
      <c r="AI590" t="n">
        <v>1</v>
      </c>
    </row>
    <row r="591">
      <c r="A591" t="inlineStr">
        <is>
          <t>1월</t>
        </is>
      </c>
      <c r="B591" t="inlineStr">
        <is>
          <t>4주차</t>
        </is>
      </c>
      <c r="C591" t="inlineStr">
        <is>
          <t>EP</t>
        </is>
      </c>
      <c r="D591" s="28" t="n">
        <v>46042</v>
      </c>
      <c r="E591" t="inlineStr">
        <is>
          <t>현대EP_fast</t>
        </is>
      </c>
      <c r="F591" t="inlineStr">
        <is>
          <t>문정민</t>
        </is>
      </c>
      <c r="G591" t="inlineStr">
        <is>
          <t>010-2706-7270</t>
        </is>
      </c>
      <c r="H591" t="inlineStr">
        <is>
          <t>42라4785</t>
        </is>
      </c>
      <c r="I591" t="n">
        <v>17900000</v>
      </c>
      <c r="J591" t="n">
        <v>0.097</v>
      </c>
      <c r="K591" t="n">
        <v>1.76</v>
      </c>
      <c r="L591" t="n">
        <v>0.13</v>
      </c>
      <c r="M591" t="n">
        <v>1.63</v>
      </c>
      <c r="P591" t="inlineStr">
        <is>
          <t>정세빈</t>
        </is>
      </c>
      <c r="Q591" t="inlineStr">
        <is>
          <t>홈서비스 48개월</t>
        </is>
      </c>
      <c r="AB591" t="inlineStr">
        <is>
          <t>홈서비스</t>
        </is>
      </c>
      <c r="AC591" t="n">
        <v>315040</v>
      </c>
      <c r="AD591" t="n">
        <v>23270</v>
      </c>
      <c r="AE591" t="n">
        <v>291770</v>
      </c>
      <c r="AF591" t="n">
        <v>286400</v>
      </c>
      <c r="AG591" t="n">
        <v>23270</v>
      </c>
      <c r="AH591" t="n">
        <v>263130</v>
      </c>
      <c r="AI591" t="n">
        <v>0</v>
      </c>
    </row>
    <row r="592">
      <c r="A592" t="inlineStr">
        <is>
          <t>1월</t>
        </is>
      </c>
      <c r="B592" t="inlineStr">
        <is>
          <t>4주차</t>
        </is>
      </c>
      <c r="C592" t="inlineStr">
        <is>
          <t>EP</t>
        </is>
      </c>
      <c r="D592" s="28" t="n">
        <v>46042</v>
      </c>
      <c r="E592" t="inlineStr">
        <is>
          <t>현대EP_fast</t>
        </is>
      </c>
      <c r="F592" t="inlineStr">
        <is>
          <t>권대윤</t>
        </is>
      </c>
      <c r="G592" t="inlineStr">
        <is>
          <t>010-9773-7457</t>
        </is>
      </c>
      <c r="H592" t="inlineStr">
        <is>
          <t>39다9239</t>
        </is>
      </c>
      <c r="I592" t="n">
        <v>32000000</v>
      </c>
      <c r="J592" t="n">
        <v>0.075</v>
      </c>
      <c r="K592" t="n">
        <v>1.76</v>
      </c>
      <c r="L592" t="n">
        <v>0.13</v>
      </c>
      <c r="M592" t="n">
        <v>1.63</v>
      </c>
      <c r="P592" t="inlineStr">
        <is>
          <t>황채이</t>
        </is>
      </c>
      <c r="Q592" t="inlineStr">
        <is>
          <t>홈서비스 36개월 /*당월철회 20260129</t>
        </is>
      </c>
      <c r="AB592" t="inlineStr">
        <is>
          <t>홈서비스</t>
        </is>
      </c>
      <c r="AC592" t="n">
        <v>563200</v>
      </c>
      <c r="AD592" t="n">
        <v>41600</v>
      </c>
      <c r="AE592" t="n">
        <v>521600</v>
      </c>
      <c r="AF592" t="n">
        <v>512000</v>
      </c>
      <c r="AG592" t="n">
        <v>41600</v>
      </c>
      <c r="AH592" t="n">
        <v>470400</v>
      </c>
      <c r="AI592" t="n">
        <v>0</v>
      </c>
      <c r="AK592" t="inlineStr">
        <is>
          <t>대출철회</t>
        </is>
      </c>
    </row>
    <row r="593">
      <c r="A593" t="inlineStr">
        <is>
          <t>1월</t>
        </is>
      </c>
      <c r="B593" t="inlineStr">
        <is>
          <t>4주차</t>
        </is>
      </c>
      <c r="C593" t="inlineStr">
        <is>
          <t>EP</t>
        </is>
      </c>
      <c r="D593" s="28" t="n">
        <v>46042</v>
      </c>
      <c r="E593" t="inlineStr">
        <is>
          <t>현대EP</t>
        </is>
      </c>
      <c r="F593" t="inlineStr">
        <is>
          <t>오정균</t>
        </is>
      </c>
      <c r="G593" t="inlineStr">
        <is>
          <t>010-5424-2511</t>
        </is>
      </c>
      <c r="H593" t="inlineStr">
        <is>
          <t>31누8704</t>
        </is>
      </c>
      <c r="I593" t="n">
        <v>3000000</v>
      </c>
      <c r="J593" t="n">
        <v>0.073</v>
      </c>
      <c r="K593" t="n">
        <v>1.76</v>
      </c>
      <c r="L593" t="n">
        <v>0.13</v>
      </c>
      <c r="M593" t="n">
        <v>1.63</v>
      </c>
      <c r="P593" t="inlineStr">
        <is>
          <t>정광호</t>
        </is>
      </c>
      <c r="Q593" t="inlineStr">
        <is>
          <t>홈서비스 24개월</t>
        </is>
      </c>
      <c r="AB593" t="inlineStr">
        <is>
          <t>홈서비스</t>
        </is>
      </c>
      <c r="AC593" t="n">
        <v>52800</v>
      </c>
      <c r="AD593" t="n">
        <v>3900</v>
      </c>
      <c r="AE593" t="n">
        <v>48900</v>
      </c>
      <c r="AF593" t="n">
        <v>48000</v>
      </c>
      <c r="AG593" t="n">
        <v>3900</v>
      </c>
      <c r="AH593" t="n">
        <v>44100</v>
      </c>
    </row>
    <row r="594">
      <c r="A594" t="inlineStr">
        <is>
          <t>1월</t>
        </is>
      </c>
      <c r="B594" t="inlineStr">
        <is>
          <t>4주차</t>
        </is>
      </c>
      <c r="C594" t="inlineStr">
        <is>
          <t>EP</t>
        </is>
      </c>
      <c r="D594" s="28" t="n">
        <v>46042</v>
      </c>
      <c r="E594" t="inlineStr">
        <is>
          <t>현대EP</t>
        </is>
      </c>
      <c r="F594" t="inlineStr">
        <is>
          <t>고우현</t>
        </is>
      </c>
      <c r="G594" t="inlineStr">
        <is>
          <t>010-9931-1532</t>
        </is>
      </c>
      <c r="H594" t="inlineStr">
        <is>
          <t>109마8421</t>
        </is>
      </c>
      <c r="I594" t="n">
        <v>15700000</v>
      </c>
      <c r="J594" t="n">
        <v>0.097</v>
      </c>
      <c r="K594" t="n">
        <v>1.76</v>
      </c>
      <c r="L594" t="n">
        <v>0.13</v>
      </c>
      <c r="M594" t="n">
        <v>1.63</v>
      </c>
      <c r="P594" t="inlineStr">
        <is>
          <t>황채이</t>
        </is>
      </c>
      <c r="Q594" t="inlineStr">
        <is>
          <t>홈서비스 60개월</t>
        </is>
      </c>
      <c r="AB594" t="inlineStr">
        <is>
          <t>홈서비스</t>
        </is>
      </c>
      <c r="AC594" t="n">
        <v>276320</v>
      </c>
      <c r="AD594" t="n">
        <v>20410</v>
      </c>
      <c r="AE594" t="n">
        <v>255910</v>
      </c>
      <c r="AF594" t="n">
        <v>251200</v>
      </c>
      <c r="AG594" t="n">
        <v>20410</v>
      </c>
      <c r="AH594" t="n">
        <v>230790</v>
      </c>
    </row>
    <row r="595">
      <c r="A595" t="inlineStr">
        <is>
          <t>1월</t>
        </is>
      </c>
      <c r="B595" t="inlineStr">
        <is>
          <t>4주차</t>
        </is>
      </c>
      <c r="C595" t="inlineStr">
        <is>
          <t>EP</t>
        </is>
      </c>
      <c r="D595" s="28" t="n">
        <v>46041</v>
      </c>
      <c r="E595" t="inlineStr">
        <is>
          <t>현대EP</t>
        </is>
      </c>
      <c r="F595" t="inlineStr">
        <is>
          <t>장민호</t>
        </is>
      </c>
      <c r="G595" t="inlineStr">
        <is>
          <t>010-7530-0838</t>
        </is>
      </c>
      <c r="H595" t="inlineStr">
        <is>
          <t>69라4257</t>
        </is>
      </c>
      <c r="I595" t="n">
        <v>13800000</v>
      </c>
      <c r="J595" t="n">
        <v>0.067</v>
      </c>
      <c r="K595" t="n">
        <v>1.76</v>
      </c>
      <c r="L595" t="n">
        <v>0.13</v>
      </c>
      <c r="M595" t="n">
        <v>1.63</v>
      </c>
      <c r="P595" t="inlineStr">
        <is>
          <t>정광호</t>
        </is>
      </c>
      <c r="Q595" t="inlineStr">
        <is>
          <t>홈서비스 24개월</t>
        </is>
      </c>
      <c r="AB595" t="inlineStr">
        <is>
          <t>홈서비스</t>
        </is>
      </c>
      <c r="AC595" t="n">
        <v>242880</v>
      </c>
      <c r="AD595" t="n">
        <v>17940</v>
      </c>
      <c r="AE595" t="n">
        <v>224940</v>
      </c>
      <c r="AF595" t="n">
        <v>220800</v>
      </c>
      <c r="AG595" t="n">
        <v>17940</v>
      </c>
      <c r="AH595" t="n">
        <v>202860</v>
      </c>
    </row>
    <row r="596">
      <c r="A596" t="inlineStr">
        <is>
          <t>1월</t>
        </is>
      </c>
      <c r="B596" t="inlineStr">
        <is>
          <t>4주차</t>
        </is>
      </c>
      <c r="C596" t="inlineStr">
        <is>
          <t>WC</t>
        </is>
      </c>
      <c r="D596" s="28" t="n">
        <v>46042</v>
      </c>
      <c r="E596" t="inlineStr">
        <is>
          <t>웰컴저축은행</t>
        </is>
      </c>
      <c r="F596" t="inlineStr">
        <is>
          <t>이동건</t>
        </is>
      </c>
      <c r="G596" t="inlineStr">
        <is>
          <t>010-9538-2235</t>
        </is>
      </c>
      <c r="H596" t="inlineStr">
        <is>
          <t>111우7021</t>
        </is>
      </c>
      <c r="I596" t="n">
        <v>27000000</v>
      </c>
      <c r="J596" t="n">
        <v>0.192</v>
      </c>
      <c r="K596" t="n">
        <v>0</v>
      </c>
      <c r="L596" t="n">
        <v>0.13</v>
      </c>
      <c r="M596" t="n">
        <v>-0.13</v>
      </c>
      <c r="P596" t="inlineStr">
        <is>
          <t>정세빈</t>
        </is>
      </c>
      <c r="Q596" t="inlineStr">
        <is>
          <t>홈서비스 60개월 / 사유 : 현대부결</t>
        </is>
      </c>
      <c r="AB596" t="inlineStr">
        <is>
          <t>홈서비스</t>
        </is>
      </c>
      <c r="AC596" t="n">
        <v>0</v>
      </c>
      <c r="AD596" t="n">
        <v>35100</v>
      </c>
      <c r="AE596" t="n">
        <v>-35100</v>
      </c>
      <c r="AF596" t="n">
        <v>0</v>
      </c>
      <c r="AG596" t="n">
        <v>35100</v>
      </c>
      <c r="AH596" t="n">
        <v>-35100</v>
      </c>
    </row>
    <row r="597">
      <c r="A597" t="inlineStr">
        <is>
          <t>1월</t>
        </is>
      </c>
      <c r="B597" t="inlineStr">
        <is>
          <t>4주차</t>
        </is>
      </c>
      <c r="C597" t="inlineStr">
        <is>
          <t>EP</t>
        </is>
      </c>
      <c r="D597" s="28" t="n">
        <v>46041</v>
      </c>
      <c r="E597" t="inlineStr">
        <is>
          <t>현대EP</t>
        </is>
      </c>
      <c r="F597" t="inlineStr">
        <is>
          <t>김주영</t>
        </is>
      </c>
      <c r="G597" t="inlineStr">
        <is>
          <t>010-2854-7656</t>
        </is>
      </c>
      <c r="H597" t="inlineStr">
        <is>
          <t>47노2422</t>
        </is>
      </c>
      <c r="I597" t="n">
        <v>16100000</v>
      </c>
      <c r="J597" t="n">
        <v>0.07199999999999999</v>
      </c>
      <c r="K597" t="n">
        <v>1.76</v>
      </c>
      <c r="L597" t="n">
        <v>0.13</v>
      </c>
      <c r="M597" t="n">
        <v>1.63</v>
      </c>
      <c r="P597" t="inlineStr">
        <is>
          <t>김나윤</t>
        </is>
      </c>
      <c r="Q597" t="inlineStr">
        <is>
          <t>홈서비스 60개월</t>
        </is>
      </c>
      <c r="AB597" t="inlineStr">
        <is>
          <t>홈서비스</t>
        </is>
      </c>
      <c r="AC597" t="n">
        <v>283360</v>
      </c>
      <c r="AD597" t="n">
        <v>20930</v>
      </c>
      <c r="AE597" t="n">
        <v>262430</v>
      </c>
      <c r="AF597" t="n">
        <v>257600</v>
      </c>
      <c r="AG597" t="n">
        <v>20930</v>
      </c>
      <c r="AH597" t="n">
        <v>236670</v>
      </c>
      <c r="AI597" t="n">
        <v>0</v>
      </c>
    </row>
    <row r="598">
      <c r="A598" t="inlineStr">
        <is>
          <t>1월</t>
        </is>
      </c>
      <c r="B598" t="inlineStr">
        <is>
          <t>4주차</t>
        </is>
      </c>
      <c r="C598" t="inlineStr">
        <is>
          <t>EP</t>
        </is>
      </c>
      <c r="D598" s="28" t="n">
        <v>46042</v>
      </c>
      <c r="E598" t="inlineStr">
        <is>
          <t>현대EP</t>
        </is>
      </c>
      <c r="F598" t="inlineStr">
        <is>
          <t>김희섭</t>
        </is>
      </c>
      <c r="G598" t="inlineStr">
        <is>
          <t>010-2989-8192</t>
        </is>
      </c>
      <c r="H598" t="inlineStr">
        <is>
          <t>04더0356</t>
        </is>
      </c>
      <c r="I598" t="n">
        <v>18500000</v>
      </c>
      <c r="J598" t="n">
        <v>0.06900000000000001</v>
      </c>
      <c r="K598" t="n">
        <v>1.76</v>
      </c>
      <c r="L598" t="n">
        <v>0.13</v>
      </c>
      <c r="M598" t="n">
        <v>1.63</v>
      </c>
      <c r="P598" t="inlineStr">
        <is>
          <t>황채이</t>
        </is>
      </c>
      <c r="Q598" t="inlineStr">
        <is>
          <t>홈서비스 60개월</t>
        </is>
      </c>
      <c r="AB598" t="inlineStr">
        <is>
          <t>홈서비스</t>
        </is>
      </c>
      <c r="AC598" t="n">
        <v>325600</v>
      </c>
      <c r="AD598" t="n">
        <v>24050</v>
      </c>
      <c r="AE598" t="n">
        <v>301550</v>
      </c>
      <c r="AF598" t="n">
        <v>296000</v>
      </c>
      <c r="AG598" t="n">
        <v>24050</v>
      </c>
      <c r="AH598" t="n">
        <v>271950</v>
      </c>
      <c r="AI598" t="n">
        <v>0</v>
      </c>
    </row>
    <row r="599">
      <c r="A599" t="inlineStr">
        <is>
          <t>1월</t>
        </is>
      </c>
      <c r="B599" t="inlineStr">
        <is>
          <t>4주차</t>
        </is>
      </c>
      <c r="C599" t="inlineStr">
        <is>
          <t>IM</t>
        </is>
      </c>
      <c r="D599" s="28" t="n">
        <v>46042</v>
      </c>
      <c r="E599" t="inlineStr">
        <is>
          <t>IM캐피탈</t>
        </is>
      </c>
      <c r="F599" t="inlineStr">
        <is>
          <t>김기건</t>
        </is>
      </c>
      <c r="G599" t="inlineStr">
        <is>
          <t>010-3168-4080</t>
        </is>
      </c>
      <c r="H599" t="inlineStr">
        <is>
          <t>170가9066</t>
        </is>
      </c>
      <c r="I599" t="n">
        <v>15300000</v>
      </c>
      <c r="J599" t="n">
        <v>0.064</v>
      </c>
      <c r="K599" t="n">
        <v>0.55</v>
      </c>
      <c r="L599" t="n">
        <v>0.4</v>
      </c>
      <c r="M599" t="n">
        <v>0.15</v>
      </c>
      <c r="P599" t="inlineStr">
        <is>
          <t>정광호</t>
        </is>
      </c>
      <c r="Q599" t="inlineStr">
        <is>
          <t>사유 : 금리불만 / 현대 9.7%</t>
        </is>
      </c>
      <c r="AB599" t="inlineStr">
        <is>
          <t>엔카</t>
        </is>
      </c>
      <c r="AC599" t="n">
        <v>84150</v>
      </c>
      <c r="AD599" t="n">
        <v>61200</v>
      </c>
      <c r="AE599" t="n">
        <v>22950</v>
      </c>
      <c r="AF599" t="n">
        <v>76500</v>
      </c>
      <c r="AG599" t="n">
        <v>61200</v>
      </c>
      <c r="AH599" t="n">
        <v>15300</v>
      </c>
    </row>
    <row r="600">
      <c r="A600" t="inlineStr">
        <is>
          <t>1월</t>
        </is>
      </c>
      <c r="B600" t="inlineStr">
        <is>
          <t>4주차</t>
        </is>
      </c>
      <c r="C600" t="inlineStr">
        <is>
          <t>EP</t>
        </is>
      </c>
      <c r="D600" s="28" t="n">
        <v>46042</v>
      </c>
      <c r="E600" t="inlineStr">
        <is>
          <t>현대EP_fast</t>
        </is>
      </c>
      <c r="F600" t="inlineStr">
        <is>
          <t>이현철</t>
        </is>
      </c>
      <c r="G600" t="inlineStr">
        <is>
          <t>010-5357-7184</t>
        </is>
      </c>
      <c r="H600" t="inlineStr">
        <is>
          <t>181러3603</t>
        </is>
      </c>
      <c r="I600" t="n">
        <v>12000000</v>
      </c>
      <c r="J600" t="n">
        <v>0.06900000000000001</v>
      </c>
      <c r="K600" t="n">
        <v>1.76</v>
      </c>
      <c r="L600" t="n">
        <v>0.13</v>
      </c>
      <c r="M600" t="n">
        <v>1.63</v>
      </c>
      <c r="P600" t="inlineStr">
        <is>
          <t>최형주</t>
        </is>
      </c>
      <c r="Q600" t="inlineStr">
        <is>
          <t>홈서비스 36개월</t>
        </is>
      </c>
      <c r="AB600" t="inlineStr">
        <is>
          <t>홈서비스</t>
        </is>
      </c>
      <c r="AC600" t="n">
        <v>211200</v>
      </c>
      <c r="AD600" t="n">
        <v>15600</v>
      </c>
      <c r="AE600" t="n">
        <v>195600</v>
      </c>
      <c r="AF600" t="n">
        <v>192000</v>
      </c>
      <c r="AG600" t="n">
        <v>15600</v>
      </c>
      <c r="AH600" t="n">
        <v>176400</v>
      </c>
      <c r="AI600" t="n">
        <v>0</v>
      </c>
    </row>
    <row r="601">
      <c r="A601" t="inlineStr">
        <is>
          <t>1월</t>
        </is>
      </c>
      <c r="B601" t="inlineStr">
        <is>
          <t>4주차</t>
        </is>
      </c>
      <c r="C601" t="inlineStr">
        <is>
          <t>EP</t>
        </is>
      </c>
      <c r="D601" s="28" t="n">
        <v>46042</v>
      </c>
      <c r="E601" t="inlineStr">
        <is>
          <t>현대EP</t>
        </is>
      </c>
      <c r="F601" t="inlineStr">
        <is>
          <t>김영재</t>
        </is>
      </c>
      <c r="G601" t="inlineStr">
        <is>
          <t>010-5015-8521</t>
        </is>
      </c>
      <c r="H601" t="inlineStr">
        <is>
          <t>40더8705</t>
        </is>
      </c>
      <c r="I601" t="n">
        <v>41000000</v>
      </c>
      <c r="J601" t="n">
        <v>0.075</v>
      </c>
      <c r="K601" t="n">
        <v>1.76</v>
      </c>
      <c r="L601" t="n">
        <v>0.13</v>
      </c>
      <c r="M601" t="n">
        <v>1.63</v>
      </c>
      <c r="P601" t="inlineStr">
        <is>
          <t>정광호</t>
        </is>
      </c>
      <c r="Q601" t="inlineStr">
        <is>
          <t>홈서비스 60개월</t>
        </is>
      </c>
      <c r="AB601" t="inlineStr">
        <is>
          <t>홈서비스</t>
        </is>
      </c>
      <c r="AC601" t="n">
        <v>721600</v>
      </c>
      <c r="AD601" t="n">
        <v>53300</v>
      </c>
      <c r="AE601" t="n">
        <v>668300</v>
      </c>
      <c r="AF601" t="n">
        <v>656000</v>
      </c>
      <c r="AG601" t="n">
        <v>53300</v>
      </c>
      <c r="AH601" t="n">
        <v>602700</v>
      </c>
    </row>
    <row r="602">
      <c r="A602" t="inlineStr">
        <is>
          <t>1월</t>
        </is>
      </c>
      <c r="B602" t="inlineStr">
        <is>
          <t>4주차</t>
        </is>
      </c>
      <c r="C602" t="inlineStr">
        <is>
          <t>EP</t>
        </is>
      </c>
      <c r="D602" s="28" t="n">
        <v>46042</v>
      </c>
      <c r="E602" t="inlineStr">
        <is>
          <t>현대EP</t>
        </is>
      </c>
      <c r="F602" t="inlineStr">
        <is>
          <t>성준기</t>
        </is>
      </c>
      <c r="G602" t="inlineStr">
        <is>
          <t>010-2847-1334</t>
        </is>
      </c>
      <c r="H602" t="inlineStr">
        <is>
          <t>66고8008</t>
        </is>
      </c>
      <c r="I602" t="n">
        <v>10900000</v>
      </c>
      <c r="J602" t="n">
        <v>0.057</v>
      </c>
      <c r="K602" t="n">
        <v>1.76</v>
      </c>
      <c r="L602" t="n">
        <v>0.13</v>
      </c>
      <c r="M602" t="n">
        <v>1.63</v>
      </c>
      <c r="P602" t="inlineStr">
        <is>
          <t>최형주</t>
        </is>
      </c>
      <c r="Q602" t="inlineStr">
        <is>
          <t>홈서비스 60개월</t>
        </is>
      </c>
      <c r="AB602" t="inlineStr">
        <is>
          <t>홈서비스</t>
        </is>
      </c>
      <c r="AC602" t="n">
        <v>191840</v>
      </c>
      <c r="AD602" t="n">
        <v>14170</v>
      </c>
      <c r="AE602" t="n">
        <v>177670</v>
      </c>
      <c r="AF602" t="n">
        <v>174400</v>
      </c>
      <c r="AG602" t="n">
        <v>14170</v>
      </c>
      <c r="AH602" t="n">
        <v>160230</v>
      </c>
    </row>
    <row r="603">
      <c r="A603" t="inlineStr">
        <is>
          <t>1월</t>
        </is>
      </c>
      <c r="B603" t="inlineStr">
        <is>
          <t>4주차</t>
        </is>
      </c>
      <c r="C603" t="inlineStr">
        <is>
          <t>EP</t>
        </is>
      </c>
      <c r="D603" s="28" t="n">
        <v>46042</v>
      </c>
      <c r="E603" t="inlineStr">
        <is>
          <t>현대EP_fast</t>
        </is>
      </c>
      <c r="F603" t="inlineStr">
        <is>
          <t>변정준</t>
        </is>
      </c>
      <c r="G603" t="inlineStr">
        <is>
          <t>010-6257-3201</t>
        </is>
      </c>
      <c r="H603" t="inlineStr">
        <is>
          <t>42서0105</t>
        </is>
      </c>
      <c r="I603" t="n">
        <v>5500000</v>
      </c>
      <c r="J603" t="n">
        <v>0.06900000000000001</v>
      </c>
      <c r="K603" t="n">
        <v>1.76</v>
      </c>
      <c r="L603" t="n">
        <v>0.13</v>
      </c>
      <c r="M603" t="n">
        <v>1.63</v>
      </c>
      <c r="P603" t="inlineStr">
        <is>
          <t>정세빈</t>
        </is>
      </c>
      <c r="Q603" t="inlineStr">
        <is>
          <t>홈서비스 60개월</t>
        </is>
      </c>
      <c r="AB603" t="inlineStr">
        <is>
          <t>홈서비스</t>
        </is>
      </c>
      <c r="AC603" t="n">
        <v>96800</v>
      </c>
      <c r="AD603" t="n">
        <v>7150</v>
      </c>
      <c r="AE603" t="n">
        <v>89650</v>
      </c>
      <c r="AF603" t="n">
        <v>88000</v>
      </c>
      <c r="AG603" t="n">
        <v>7150</v>
      </c>
      <c r="AH603" t="n">
        <v>80850</v>
      </c>
      <c r="AI603" t="n">
        <v>0</v>
      </c>
    </row>
    <row r="604">
      <c r="A604" t="inlineStr">
        <is>
          <t>1월</t>
        </is>
      </c>
      <c r="B604" t="inlineStr">
        <is>
          <t>4주차</t>
        </is>
      </c>
      <c r="C604" t="inlineStr">
        <is>
          <t>EP</t>
        </is>
      </c>
      <c r="D604" s="28" t="n">
        <v>46042</v>
      </c>
      <c r="E604" t="inlineStr">
        <is>
          <t>현대EP</t>
        </is>
      </c>
      <c r="F604" t="inlineStr">
        <is>
          <t>박승렬</t>
        </is>
      </c>
      <c r="G604" t="inlineStr">
        <is>
          <t>010-3439-3939</t>
        </is>
      </c>
      <c r="H604" t="inlineStr">
        <is>
          <t>02머1281</t>
        </is>
      </c>
      <c r="I604" t="n">
        <v>10000000</v>
      </c>
      <c r="J604" t="n">
        <v>0.057</v>
      </c>
      <c r="K604" t="n">
        <v>1.76</v>
      </c>
      <c r="L604" t="n">
        <v>0.13</v>
      </c>
      <c r="M604" t="n">
        <v>1.63</v>
      </c>
      <c r="P604" t="inlineStr">
        <is>
          <t>정광호</t>
        </is>
      </c>
      <c r="Q604" t="inlineStr">
        <is>
          <t>홈서비스 36개월</t>
        </is>
      </c>
      <c r="AB604" t="inlineStr">
        <is>
          <t>홈서비스</t>
        </is>
      </c>
      <c r="AC604" t="n">
        <v>176000</v>
      </c>
      <c r="AD604" t="n">
        <v>13000</v>
      </c>
      <c r="AE604" t="n">
        <v>163000</v>
      </c>
      <c r="AF604" t="n">
        <v>160000</v>
      </c>
      <c r="AG604" t="n">
        <v>13000</v>
      </c>
      <c r="AH604" t="n">
        <v>147000</v>
      </c>
    </row>
    <row r="605">
      <c r="A605" t="inlineStr">
        <is>
          <t>1월</t>
        </is>
      </c>
      <c r="B605" t="inlineStr">
        <is>
          <t>4주차</t>
        </is>
      </c>
      <c r="C605" t="inlineStr">
        <is>
          <t>EP</t>
        </is>
      </c>
      <c r="D605" s="28" t="n">
        <v>46042</v>
      </c>
      <c r="E605" t="inlineStr">
        <is>
          <t>현대EP</t>
        </is>
      </c>
      <c r="F605" t="inlineStr">
        <is>
          <t>윤성준</t>
        </is>
      </c>
      <c r="G605" t="inlineStr">
        <is>
          <t>010-5384-7676</t>
        </is>
      </c>
      <c r="H605" t="inlineStr">
        <is>
          <t>18더2028</t>
        </is>
      </c>
      <c r="I605" t="n">
        <v>17200000</v>
      </c>
      <c r="J605" t="n">
        <v>0.141</v>
      </c>
      <c r="K605" t="n">
        <v>1.76</v>
      </c>
      <c r="L605" t="n">
        <v>0.13</v>
      </c>
      <c r="M605" t="n">
        <v>1.63</v>
      </c>
      <c r="P605" t="inlineStr">
        <is>
          <t>최형주</t>
        </is>
      </c>
      <c r="Q605" t="inlineStr">
        <is>
          <t>홈서비스 36개월</t>
        </is>
      </c>
      <c r="AB605" t="inlineStr">
        <is>
          <t>홈서비스</t>
        </is>
      </c>
      <c r="AC605" t="n">
        <v>302720</v>
      </c>
      <c r="AD605" t="n">
        <v>22360</v>
      </c>
      <c r="AE605" t="n">
        <v>280360</v>
      </c>
      <c r="AF605" t="n">
        <v>275200</v>
      </c>
      <c r="AG605" t="n">
        <v>22360</v>
      </c>
      <c r="AH605" t="n">
        <v>252840</v>
      </c>
    </row>
    <row r="606">
      <c r="A606" t="inlineStr">
        <is>
          <t>1월</t>
        </is>
      </c>
      <c r="B606" t="inlineStr">
        <is>
          <t>4주차</t>
        </is>
      </c>
      <c r="C606" t="inlineStr">
        <is>
          <t>EP</t>
        </is>
      </c>
      <c r="D606" s="28" t="n">
        <v>46042</v>
      </c>
      <c r="E606" t="inlineStr">
        <is>
          <t>현대EP_fast</t>
        </is>
      </c>
      <c r="F606" t="inlineStr">
        <is>
          <t>남승호</t>
        </is>
      </c>
      <c r="G606" t="n">
        <v>1033952893</v>
      </c>
      <c r="H606" t="inlineStr">
        <is>
          <t>16주1318</t>
        </is>
      </c>
      <c r="I606" t="n">
        <v>3000000</v>
      </c>
      <c r="J606" t="n">
        <v>0.099</v>
      </c>
      <c r="K606" t="n">
        <v>1.76</v>
      </c>
      <c r="L606" t="n">
        <v>0.13</v>
      </c>
      <c r="M606" t="n">
        <v>1.63</v>
      </c>
      <c r="P606" t="inlineStr">
        <is>
          <t>김나윤</t>
        </is>
      </c>
      <c r="Q606" t="inlineStr">
        <is>
          <t>홈서비스60개월 /*당월철회 20260128</t>
        </is>
      </c>
      <c r="AB606" t="inlineStr">
        <is>
          <t>홈서비스</t>
        </is>
      </c>
      <c r="AC606" t="n">
        <v>52800</v>
      </c>
      <c r="AD606" t="n">
        <v>3900</v>
      </c>
      <c r="AE606" t="n">
        <v>48900</v>
      </c>
      <c r="AF606" t="n">
        <v>48000</v>
      </c>
      <c r="AG606" t="n">
        <v>3900</v>
      </c>
      <c r="AH606" t="n">
        <v>44100</v>
      </c>
      <c r="AK606" t="inlineStr">
        <is>
          <t>대출철회</t>
        </is>
      </c>
    </row>
    <row r="607">
      <c r="A607" t="inlineStr">
        <is>
          <t>1월</t>
        </is>
      </c>
      <c r="B607" t="inlineStr">
        <is>
          <t>4주차</t>
        </is>
      </c>
      <c r="C607" t="inlineStr">
        <is>
          <t>IM</t>
        </is>
      </c>
      <c r="D607" s="28" t="n">
        <v>46042</v>
      </c>
      <c r="E607" t="inlineStr">
        <is>
          <t>IM캐피탈</t>
        </is>
      </c>
      <c r="F607" t="inlineStr">
        <is>
          <t>박한철</t>
        </is>
      </c>
      <c r="G607" t="inlineStr">
        <is>
          <t>010-6520-5105</t>
        </is>
      </c>
      <c r="H607" t="inlineStr">
        <is>
          <t>238보1958</t>
        </is>
      </c>
      <c r="I607" t="n">
        <v>56600000</v>
      </c>
      <c r="J607" t="n">
        <v>0.064</v>
      </c>
      <c r="K607" t="n">
        <v>0.55</v>
      </c>
      <c r="L607" t="n">
        <v>0.4</v>
      </c>
      <c r="M607" t="n">
        <v>0.15</v>
      </c>
      <c r="P607" t="inlineStr">
        <is>
          <t>박현민</t>
        </is>
      </c>
      <c r="Q607" t="inlineStr">
        <is>
          <t>사유 : 금리불만</t>
        </is>
      </c>
      <c r="AB607" t="inlineStr">
        <is>
          <t>엔카</t>
        </is>
      </c>
      <c r="AC607" t="n">
        <v>311300</v>
      </c>
      <c r="AD607" t="n">
        <v>226400</v>
      </c>
      <c r="AE607" t="n">
        <v>84900</v>
      </c>
      <c r="AF607" t="n">
        <v>283000</v>
      </c>
      <c r="AG607" t="n">
        <v>226400</v>
      </c>
      <c r="AH607" t="n">
        <v>56600</v>
      </c>
    </row>
    <row r="608">
      <c r="A608" t="inlineStr">
        <is>
          <t>1월</t>
        </is>
      </c>
      <c r="B608" t="inlineStr">
        <is>
          <t>4주차</t>
        </is>
      </c>
      <c r="C608" t="inlineStr">
        <is>
          <t>EP</t>
        </is>
      </c>
      <c r="D608" s="28" t="n">
        <v>46042</v>
      </c>
      <c r="E608" t="inlineStr">
        <is>
          <t>현대EP</t>
        </is>
      </c>
      <c r="F608" t="inlineStr">
        <is>
          <t>김주현</t>
        </is>
      </c>
      <c r="G608" t="inlineStr">
        <is>
          <t>010-6417-0570</t>
        </is>
      </c>
      <c r="H608" t="inlineStr">
        <is>
          <t>24구4756</t>
        </is>
      </c>
      <c r="I608" t="n">
        <v>10000000</v>
      </c>
      <c r="J608" t="n">
        <v>0.115</v>
      </c>
      <c r="K608" t="n">
        <v>1.76</v>
      </c>
      <c r="L608" t="n">
        <v>0.13</v>
      </c>
      <c r="M608" t="n">
        <v>1.63</v>
      </c>
      <c r="P608" t="inlineStr">
        <is>
          <t>김나윤</t>
        </is>
      </c>
      <c r="Q608" t="inlineStr">
        <is>
          <t>홈서비스 48개월 /*당월철회 20260122</t>
        </is>
      </c>
      <c r="AB608" t="inlineStr">
        <is>
          <t>홈서비스</t>
        </is>
      </c>
      <c r="AC608" t="n">
        <v>176000</v>
      </c>
      <c r="AD608" t="n">
        <v>13000</v>
      </c>
      <c r="AE608" t="n">
        <v>163000</v>
      </c>
      <c r="AF608" t="n">
        <v>160000</v>
      </c>
      <c r="AG608" t="n">
        <v>13000</v>
      </c>
      <c r="AH608" t="n">
        <v>147000</v>
      </c>
      <c r="AI608" t="n">
        <v>0</v>
      </c>
      <c r="AK608" t="inlineStr">
        <is>
          <t>대출철회</t>
        </is>
      </c>
    </row>
    <row r="609">
      <c r="A609" t="inlineStr">
        <is>
          <t>1월</t>
        </is>
      </c>
      <c r="B609" t="inlineStr">
        <is>
          <t>4주차</t>
        </is>
      </c>
      <c r="C609" t="inlineStr">
        <is>
          <t>IM</t>
        </is>
      </c>
      <c r="D609" s="28" t="n">
        <v>46042</v>
      </c>
      <c r="E609" t="inlineStr">
        <is>
          <t>IM캐피탈</t>
        </is>
      </c>
      <c r="F609" t="inlineStr">
        <is>
          <t>이은총</t>
        </is>
      </c>
      <c r="G609" t="inlineStr">
        <is>
          <t>010-3151-4711</t>
        </is>
      </c>
      <c r="H609" t="inlineStr">
        <is>
          <t>220모2892</t>
        </is>
      </c>
      <c r="I609" t="n">
        <v>34700000</v>
      </c>
      <c r="J609" t="n">
        <v>0.056</v>
      </c>
      <c r="K609" t="n">
        <v>0.55</v>
      </c>
      <c r="L609" t="n">
        <v>0.13</v>
      </c>
      <c r="M609" t="n">
        <v>0.42</v>
      </c>
      <c r="N609" t="inlineStr">
        <is>
          <t>정성현</t>
        </is>
      </c>
      <c r="O609" t="inlineStr">
        <is>
          <t>지급</t>
        </is>
      </c>
      <c r="P609" t="inlineStr">
        <is>
          <t>장현경</t>
        </is>
      </c>
      <c r="Q609" t="inlineStr">
        <is>
          <t>선상담 사유 : 기승인건 / 현대 7.9%/ *철회 20260129</t>
        </is>
      </c>
      <c r="AB609" t="inlineStr">
        <is>
          <t>홈서비스</t>
        </is>
      </c>
      <c r="AC609" t="n">
        <v>190850</v>
      </c>
      <c r="AD609" t="n">
        <v>45110</v>
      </c>
      <c r="AE609" t="n">
        <v>145740</v>
      </c>
      <c r="AF609" t="n">
        <v>173500</v>
      </c>
      <c r="AG609" t="n">
        <v>45110</v>
      </c>
      <c r="AH609" t="n">
        <v>128390</v>
      </c>
      <c r="AK609" t="inlineStr">
        <is>
          <t>대출철회</t>
        </is>
      </c>
    </row>
    <row r="610">
      <c r="A610" t="inlineStr">
        <is>
          <t>1월</t>
        </is>
      </c>
      <c r="B610" t="inlineStr">
        <is>
          <t>4주차</t>
        </is>
      </c>
      <c r="C610" t="inlineStr">
        <is>
          <t>IM</t>
        </is>
      </c>
      <c r="D610" s="28" t="n">
        <v>46042</v>
      </c>
      <c r="E610" t="inlineStr">
        <is>
          <t>IM캐피탈</t>
        </is>
      </c>
      <c r="F610" t="inlineStr">
        <is>
          <t>이은총</t>
        </is>
      </c>
      <c r="G610" t="inlineStr">
        <is>
          <t>010-3151-4711</t>
        </is>
      </c>
      <c r="H610" t="inlineStr">
        <is>
          <t>220모2892</t>
        </is>
      </c>
      <c r="I610" t="n">
        <v>-34700000</v>
      </c>
      <c r="J610" t="n">
        <v>0.056</v>
      </c>
      <c r="K610" t="n">
        <v>0.55</v>
      </c>
      <c r="L610" t="n">
        <v>0.13</v>
      </c>
      <c r="M610" t="n">
        <v>0.42</v>
      </c>
      <c r="P610" t="inlineStr">
        <is>
          <t>장현경</t>
        </is>
      </c>
      <c r="Q610" t="inlineStr">
        <is>
          <t>선상담 사유 : 기승인건 / 현대 7.9%/ *철회 20260129</t>
        </is>
      </c>
      <c r="AB610" t="inlineStr">
        <is>
          <t>홈서비스</t>
        </is>
      </c>
      <c r="AC610" t="n">
        <v>-190850</v>
      </c>
      <c r="AD610" t="n">
        <v>-45110</v>
      </c>
      <c r="AE610" t="n">
        <v>-145740</v>
      </c>
      <c r="AF610" t="n">
        <v>-173500</v>
      </c>
      <c r="AG610" t="n">
        <v>-45110</v>
      </c>
      <c r="AH610" t="n">
        <v>-128390</v>
      </c>
      <c r="AK610" t="inlineStr">
        <is>
          <t>대출철회</t>
        </is>
      </c>
    </row>
    <row r="611">
      <c r="A611" t="inlineStr">
        <is>
          <t>1월</t>
        </is>
      </c>
      <c r="B611" t="inlineStr">
        <is>
          <t>4주차</t>
        </is>
      </c>
      <c r="C611" t="inlineStr">
        <is>
          <t>IM</t>
        </is>
      </c>
      <c r="D611" s="28" t="n">
        <v>46042</v>
      </c>
      <c r="E611" t="inlineStr">
        <is>
          <t>IM캐피탈</t>
        </is>
      </c>
      <c r="F611" t="inlineStr">
        <is>
          <t>이태호</t>
        </is>
      </c>
      <c r="G611" t="inlineStr">
        <is>
          <t>010-3774-2711</t>
        </is>
      </c>
      <c r="H611" t="inlineStr">
        <is>
          <t>171도6452</t>
        </is>
      </c>
      <c r="I611" t="n">
        <v>50000000</v>
      </c>
      <c r="J611" t="n">
        <v>0.049</v>
      </c>
      <c r="K611" t="n">
        <v>0.55</v>
      </c>
      <c r="L611" t="n">
        <v>0.4</v>
      </c>
      <c r="M611" t="n">
        <v>0.15</v>
      </c>
      <c r="P611" t="inlineStr">
        <is>
          <t>임대경</t>
        </is>
      </c>
      <c r="Q611" t="inlineStr">
        <is>
          <t>사유 : 금리불만</t>
        </is>
      </c>
      <c r="AB611" t="inlineStr">
        <is>
          <t>엔카</t>
        </is>
      </c>
      <c r="AC611" t="n">
        <v>275000</v>
      </c>
      <c r="AD611" t="n">
        <v>200000</v>
      </c>
      <c r="AE611" t="n">
        <v>75000</v>
      </c>
      <c r="AF611" t="n">
        <v>250000</v>
      </c>
      <c r="AG611" t="n">
        <v>200000</v>
      </c>
      <c r="AH611" t="n">
        <v>50000</v>
      </c>
    </row>
    <row r="612">
      <c r="A612" t="inlineStr">
        <is>
          <t>1월</t>
        </is>
      </c>
      <c r="B612" t="inlineStr">
        <is>
          <t>4주차</t>
        </is>
      </c>
      <c r="C612" t="inlineStr">
        <is>
          <t>EP</t>
        </is>
      </c>
      <c r="D612" s="28" t="n">
        <v>46041</v>
      </c>
      <c r="E612" t="inlineStr">
        <is>
          <t>제이비EP</t>
        </is>
      </c>
      <c r="F612" t="inlineStr">
        <is>
          <t>최용준</t>
        </is>
      </c>
      <c r="G612" t="inlineStr">
        <is>
          <t>010-9531-0623</t>
        </is>
      </c>
      <c r="H612" t="inlineStr">
        <is>
          <t>196마6768</t>
        </is>
      </c>
      <c r="I612" t="n">
        <v>30000000</v>
      </c>
      <c r="J612" t="n">
        <v>0.094</v>
      </c>
      <c r="K612" t="n">
        <v>1.65</v>
      </c>
      <c r="L612" t="n">
        <v>0.4</v>
      </c>
      <c r="M612" t="n">
        <v>1.25</v>
      </c>
      <c r="P612" t="inlineStr">
        <is>
          <t>박소현</t>
        </is>
      </c>
      <c r="AB612" t="inlineStr">
        <is>
          <t>엔카</t>
        </is>
      </c>
      <c r="AC612" t="n">
        <v>495000</v>
      </c>
      <c r="AD612" t="n">
        <v>120000</v>
      </c>
      <c r="AE612" t="n">
        <v>375000</v>
      </c>
      <c r="AF612" t="n">
        <v>450000</v>
      </c>
      <c r="AG612" t="n">
        <v>120000</v>
      </c>
      <c r="AH612" t="n">
        <v>330000</v>
      </c>
    </row>
    <row r="613">
      <c r="A613" t="inlineStr">
        <is>
          <t>1월</t>
        </is>
      </c>
      <c r="B613" t="inlineStr">
        <is>
          <t>4주차</t>
        </is>
      </c>
      <c r="C613" t="inlineStr">
        <is>
          <t>EP</t>
        </is>
      </c>
      <c r="D613" s="28" t="n">
        <v>46042</v>
      </c>
      <c r="E613" t="inlineStr">
        <is>
          <t>현대EP_fast</t>
        </is>
      </c>
      <c r="F613" t="inlineStr">
        <is>
          <t>김영진</t>
        </is>
      </c>
      <c r="G613" t="inlineStr">
        <is>
          <t>010-2812-5376</t>
        </is>
      </c>
      <c r="H613" t="inlineStr">
        <is>
          <t>258누6610</t>
        </is>
      </c>
      <c r="I613" t="n">
        <v>10000000</v>
      </c>
      <c r="J613" t="n">
        <v>0.073</v>
      </c>
      <c r="K613" t="n">
        <v>1.76</v>
      </c>
      <c r="L613" t="n">
        <v>0.13</v>
      </c>
      <c r="M613" t="n">
        <v>1.63</v>
      </c>
      <c r="P613" t="inlineStr">
        <is>
          <t>임대경</t>
        </is>
      </c>
      <c r="Q613" t="inlineStr">
        <is>
          <t>홈서비스 36개월</t>
        </is>
      </c>
      <c r="AB613" t="inlineStr">
        <is>
          <t>홈서비스</t>
        </is>
      </c>
      <c r="AC613" t="n">
        <v>176000</v>
      </c>
      <c r="AD613" t="n">
        <v>13000</v>
      </c>
      <c r="AE613" t="n">
        <v>163000</v>
      </c>
      <c r="AF613" t="n">
        <v>160000</v>
      </c>
      <c r="AG613" t="n">
        <v>13000</v>
      </c>
      <c r="AH613" t="n">
        <v>147000</v>
      </c>
      <c r="AI613" t="n">
        <v>1</v>
      </c>
    </row>
    <row r="614">
      <c r="A614" t="inlineStr">
        <is>
          <t>1월</t>
        </is>
      </c>
      <c r="B614" t="inlineStr">
        <is>
          <t>4주차</t>
        </is>
      </c>
      <c r="C614" t="inlineStr">
        <is>
          <t>IM</t>
        </is>
      </c>
      <c r="D614" s="28" t="n">
        <v>46041</v>
      </c>
      <c r="E614" t="inlineStr">
        <is>
          <t>IM캐피탈</t>
        </is>
      </c>
      <c r="F614" t="inlineStr">
        <is>
          <t>조철진</t>
        </is>
      </c>
      <c r="G614" t="inlineStr">
        <is>
          <t>010-8665-0064</t>
        </is>
      </c>
      <c r="H614" t="inlineStr">
        <is>
          <t>234수5893</t>
        </is>
      </c>
      <c r="I614" t="n">
        <v>-37000000</v>
      </c>
      <c r="J614" t="n">
        <v>0.049</v>
      </c>
      <c r="K614" t="n">
        <v>0.55</v>
      </c>
      <c r="L614" t="n">
        <v>0.13</v>
      </c>
      <c r="M614" t="n">
        <v>0.42</v>
      </c>
      <c r="P614" t="inlineStr">
        <is>
          <t>최혁</t>
        </is>
      </c>
      <c r="Q614" t="inlineStr">
        <is>
          <t>홈서비스48개월/사유 금리불만/*철회 20260127</t>
        </is>
      </c>
      <c r="AB614" t="inlineStr">
        <is>
          <t>홈서비스</t>
        </is>
      </c>
      <c r="AC614" t="n">
        <v>-203500</v>
      </c>
      <c r="AD614" t="n">
        <v>-48100</v>
      </c>
      <c r="AE614" t="n">
        <v>-155400</v>
      </c>
      <c r="AF614" t="n">
        <v>-185000</v>
      </c>
      <c r="AG614" t="n">
        <v>-48100</v>
      </c>
      <c r="AH614" t="n">
        <v>-136900</v>
      </c>
      <c r="AI614" t="n">
        <v>1</v>
      </c>
      <c r="AK614" t="inlineStr">
        <is>
          <t>대출철회</t>
        </is>
      </c>
    </row>
    <row r="615">
      <c r="A615" t="inlineStr">
        <is>
          <t>1월</t>
        </is>
      </c>
      <c r="B615" t="inlineStr">
        <is>
          <t>4주차</t>
        </is>
      </c>
      <c r="C615" t="inlineStr">
        <is>
          <t>IM</t>
        </is>
      </c>
      <c r="D615" s="28" t="n">
        <v>46042</v>
      </c>
      <c r="E615" t="inlineStr">
        <is>
          <t>IM캐피탈</t>
        </is>
      </c>
      <c r="F615" t="inlineStr">
        <is>
          <t>최성표</t>
        </is>
      </c>
      <c r="G615" t="inlineStr">
        <is>
          <t>010-3144-1442</t>
        </is>
      </c>
      <c r="H615" t="inlineStr">
        <is>
          <t>135무8789</t>
        </is>
      </c>
      <c r="I615" t="n">
        <v>20000000</v>
      </c>
      <c r="J615" t="n">
        <v>0.06</v>
      </c>
      <c r="K615" t="n">
        <v>1.21</v>
      </c>
      <c r="L615" t="n">
        <v>0.13</v>
      </c>
      <c r="M615" t="n">
        <v>1.08</v>
      </c>
      <c r="P615" t="inlineStr">
        <is>
          <t>정하은</t>
        </is>
      </c>
      <c r="Q615" t="inlineStr">
        <is>
          <t>홈서비스60개월/사유 :기승인건</t>
        </is>
      </c>
      <c r="AB615" t="inlineStr">
        <is>
          <t>홈서비스</t>
        </is>
      </c>
      <c r="AC615" t="n">
        <v>242000</v>
      </c>
      <c r="AD615" t="n">
        <v>26000</v>
      </c>
      <c r="AE615" t="n">
        <v>216000</v>
      </c>
      <c r="AF615" t="n">
        <v>220000</v>
      </c>
      <c r="AG615" t="n">
        <v>26000</v>
      </c>
      <c r="AH615" t="n">
        <v>194000</v>
      </c>
      <c r="AI615" t="n">
        <v>1</v>
      </c>
    </row>
    <row r="616">
      <c r="A616" t="inlineStr">
        <is>
          <t>1월</t>
        </is>
      </c>
      <c r="B616" t="inlineStr">
        <is>
          <t>4주차</t>
        </is>
      </c>
      <c r="C616" t="inlineStr">
        <is>
          <t>EP</t>
        </is>
      </c>
      <c r="D616" s="28" t="n">
        <v>46042</v>
      </c>
      <c r="E616" t="inlineStr">
        <is>
          <t>현대EP_fast</t>
        </is>
      </c>
      <c r="F616" t="inlineStr">
        <is>
          <t>이대한</t>
        </is>
      </c>
      <c r="G616" t="inlineStr">
        <is>
          <t>010-9954-2550</t>
        </is>
      </c>
      <c r="H616" t="inlineStr">
        <is>
          <t>228누7594</t>
        </is>
      </c>
      <c r="I616" t="n">
        <v>17000000</v>
      </c>
      <c r="J616" t="n">
        <v>0.06900000000000001</v>
      </c>
      <c r="K616" t="n">
        <v>1.21</v>
      </c>
      <c r="L616" t="n">
        <v>0.13</v>
      </c>
      <c r="M616" t="n">
        <v>1.08</v>
      </c>
      <c r="P616" t="inlineStr">
        <is>
          <t>정하은</t>
        </is>
      </c>
      <c r="Q616" t="inlineStr">
        <is>
          <t>홈서비스 36개월</t>
        </is>
      </c>
      <c r="AB616" t="inlineStr">
        <is>
          <t>홈서비스</t>
        </is>
      </c>
      <c r="AC616" t="n">
        <v>205700</v>
      </c>
      <c r="AD616" t="n">
        <v>22100</v>
      </c>
      <c r="AE616" t="n">
        <v>183600</v>
      </c>
      <c r="AF616" t="n">
        <v>187000</v>
      </c>
      <c r="AG616" t="n">
        <v>22100</v>
      </c>
      <c r="AH616" t="n">
        <v>164900</v>
      </c>
      <c r="AI616" t="n">
        <v>1</v>
      </c>
    </row>
    <row r="617">
      <c r="A617" t="inlineStr">
        <is>
          <t>1월</t>
        </is>
      </c>
      <c r="B617" t="inlineStr">
        <is>
          <t>4주차</t>
        </is>
      </c>
      <c r="C617" t="inlineStr">
        <is>
          <t>IM</t>
        </is>
      </c>
      <c r="D617" s="28" t="n">
        <v>46041</v>
      </c>
      <c r="E617" t="inlineStr">
        <is>
          <t>IM캐피탈</t>
        </is>
      </c>
      <c r="F617" t="inlineStr">
        <is>
          <t>정한나</t>
        </is>
      </c>
      <c r="G617" t="inlineStr">
        <is>
          <t>010-6715-5116</t>
        </is>
      </c>
      <c r="H617" t="inlineStr">
        <is>
          <t>112어2322</t>
        </is>
      </c>
      <c r="I617" t="n">
        <v>27200000</v>
      </c>
      <c r="J617" t="n">
        <v>0.049</v>
      </c>
      <c r="K617" t="n">
        <v>0.55</v>
      </c>
      <c r="L617" t="n">
        <v>0.13</v>
      </c>
      <c r="M617" t="n">
        <v>0.42</v>
      </c>
      <c r="P617" t="inlineStr">
        <is>
          <t>박보람</t>
        </is>
      </c>
      <c r="Q617" t="inlineStr">
        <is>
          <t>선상담 / 홈서비스 72개월 / 사유 : 금리불만</t>
        </is>
      </c>
      <c r="AB617" t="inlineStr">
        <is>
          <t>홈서비스</t>
        </is>
      </c>
      <c r="AC617" t="n">
        <v>149600</v>
      </c>
      <c r="AD617" t="n">
        <v>35360</v>
      </c>
      <c r="AE617" t="n">
        <v>114240</v>
      </c>
      <c r="AF617" t="n">
        <v>136000</v>
      </c>
      <c r="AG617" t="n">
        <v>35360</v>
      </c>
      <c r="AH617" t="n">
        <v>100640</v>
      </c>
      <c r="AI617" t="n">
        <v>1</v>
      </c>
    </row>
    <row r="618">
      <c r="A618" t="inlineStr">
        <is>
          <t>1월</t>
        </is>
      </c>
      <c r="B618" t="inlineStr">
        <is>
          <t>4주차</t>
        </is>
      </c>
      <c r="C618" t="inlineStr">
        <is>
          <t>EP</t>
        </is>
      </c>
      <c r="D618" s="28" t="n">
        <v>46042</v>
      </c>
      <c r="E618" t="inlineStr">
        <is>
          <t>현대EP</t>
        </is>
      </c>
      <c r="F618" t="inlineStr">
        <is>
          <t>김원준</t>
        </is>
      </c>
      <c r="G618" t="inlineStr">
        <is>
          <t>010-5575-7444</t>
        </is>
      </c>
      <c r="H618" t="inlineStr">
        <is>
          <t>61소1876</t>
        </is>
      </c>
      <c r="I618" t="n">
        <v>10300000</v>
      </c>
      <c r="J618" t="n">
        <v>0.073</v>
      </c>
      <c r="K618" t="n">
        <v>1.76</v>
      </c>
      <c r="L618" t="n">
        <v>0.13</v>
      </c>
      <c r="M618" t="n">
        <v>1.63</v>
      </c>
      <c r="P618" t="inlineStr">
        <is>
          <t>정세빈</t>
        </is>
      </c>
      <c r="Q618" t="inlineStr">
        <is>
          <t>홈서비스 48개월</t>
        </is>
      </c>
      <c r="AB618" t="inlineStr">
        <is>
          <t>홈서비스</t>
        </is>
      </c>
      <c r="AC618" t="n">
        <v>181280</v>
      </c>
      <c r="AD618" t="n">
        <v>13390</v>
      </c>
      <c r="AE618" t="n">
        <v>167890</v>
      </c>
      <c r="AF618" t="n">
        <v>164800</v>
      </c>
      <c r="AG618" t="n">
        <v>13390</v>
      </c>
      <c r="AH618" t="n">
        <v>151410</v>
      </c>
      <c r="AI618" t="n">
        <v>1</v>
      </c>
    </row>
    <row r="619">
      <c r="A619" t="inlineStr">
        <is>
          <t>1월</t>
        </is>
      </c>
      <c r="B619" t="inlineStr">
        <is>
          <t>4주차</t>
        </is>
      </c>
      <c r="C619" t="inlineStr">
        <is>
          <t>EP</t>
        </is>
      </c>
      <c r="D619" s="28" t="n">
        <v>46042</v>
      </c>
      <c r="E619" t="inlineStr">
        <is>
          <t>현대EP</t>
        </is>
      </c>
      <c r="F619" t="inlineStr">
        <is>
          <t>황운규</t>
        </is>
      </c>
      <c r="G619" t="inlineStr">
        <is>
          <t>010-2340-9907</t>
        </is>
      </c>
      <c r="H619" t="inlineStr">
        <is>
          <t>69도9120</t>
        </is>
      </c>
      <c r="I619" t="n">
        <v>3900000</v>
      </c>
      <c r="J619" t="n">
        <v>0.08699999999999999</v>
      </c>
      <c r="K619" t="n">
        <v>1.76</v>
      </c>
      <c r="L619" t="n">
        <v>0.13</v>
      </c>
      <c r="M619" t="n">
        <v>1.63</v>
      </c>
      <c r="P619" t="inlineStr">
        <is>
          <t>김나윤</t>
        </is>
      </c>
      <c r="Q619" t="inlineStr">
        <is>
          <t>홈서비스 36개월</t>
        </is>
      </c>
      <c r="AB619" t="inlineStr">
        <is>
          <t>홈서비스</t>
        </is>
      </c>
      <c r="AC619" t="n">
        <v>68640</v>
      </c>
      <c r="AD619" t="n">
        <v>5070</v>
      </c>
      <c r="AE619" t="n">
        <v>63570</v>
      </c>
      <c r="AF619" t="n">
        <v>62400</v>
      </c>
      <c r="AG619" t="n">
        <v>5070</v>
      </c>
      <c r="AH619" t="n">
        <v>57330</v>
      </c>
      <c r="AI619" t="n">
        <v>1</v>
      </c>
    </row>
    <row r="620">
      <c r="A620" t="inlineStr">
        <is>
          <t>1월</t>
        </is>
      </c>
      <c r="B620" t="inlineStr">
        <is>
          <t>4주차</t>
        </is>
      </c>
      <c r="C620" t="inlineStr">
        <is>
          <t>EP</t>
        </is>
      </c>
      <c r="D620" s="28" t="n">
        <v>46042</v>
      </c>
      <c r="E620" t="inlineStr">
        <is>
          <t>현대EP</t>
        </is>
      </c>
      <c r="F620" t="inlineStr">
        <is>
          <t>한성덕</t>
        </is>
      </c>
      <c r="G620" t="inlineStr">
        <is>
          <t>010-4547-8850</t>
        </is>
      </c>
      <c r="H620" t="inlineStr">
        <is>
          <t>04더9499</t>
        </is>
      </c>
      <c r="I620" t="n">
        <v>26700000</v>
      </c>
      <c r="J620" t="n">
        <v>0.075</v>
      </c>
      <c r="K620" t="n">
        <v>1.76</v>
      </c>
      <c r="L620" t="n">
        <v>0.13</v>
      </c>
      <c r="M620" t="n">
        <v>1.63</v>
      </c>
      <c r="P620" t="inlineStr">
        <is>
          <t>최형주</t>
        </is>
      </c>
      <c r="Q620" t="inlineStr">
        <is>
          <t>홈서비스 60개월</t>
        </is>
      </c>
      <c r="AB620" t="inlineStr">
        <is>
          <t>홈서비스</t>
        </is>
      </c>
      <c r="AC620" t="n">
        <v>469920</v>
      </c>
      <c r="AD620" t="n">
        <v>34710</v>
      </c>
      <c r="AE620" t="n">
        <v>435210</v>
      </c>
      <c r="AF620" t="n">
        <v>427200</v>
      </c>
      <c r="AG620" t="n">
        <v>34710</v>
      </c>
      <c r="AH620" t="n">
        <v>392490</v>
      </c>
      <c r="AI620" t="n">
        <v>1</v>
      </c>
    </row>
    <row r="621">
      <c r="A621" t="inlineStr">
        <is>
          <t>1월</t>
        </is>
      </c>
      <c r="B621" t="inlineStr">
        <is>
          <t>4주차</t>
        </is>
      </c>
      <c r="C621" t="inlineStr">
        <is>
          <t>EP</t>
        </is>
      </c>
      <c r="D621" s="28" t="n">
        <v>46042</v>
      </c>
      <c r="E621" t="inlineStr">
        <is>
          <t>현대EP</t>
        </is>
      </c>
      <c r="F621" t="inlineStr">
        <is>
          <t>임찬호</t>
        </is>
      </c>
      <c r="G621" t="inlineStr">
        <is>
          <t>010-9447-8102</t>
        </is>
      </c>
      <c r="H621" t="inlineStr">
        <is>
          <t>24마7665</t>
        </is>
      </c>
      <c r="I621" t="n">
        <v>27000000</v>
      </c>
      <c r="J621" t="n">
        <v>0.07199999999999999</v>
      </c>
      <c r="K621" t="n">
        <v>1.76</v>
      </c>
      <c r="L621" t="n">
        <v>0.13</v>
      </c>
      <c r="M621" t="n">
        <v>1.63</v>
      </c>
      <c r="P621" t="inlineStr">
        <is>
          <t>정광호</t>
        </is>
      </c>
      <c r="Q621" t="inlineStr">
        <is>
          <t>홈서비스 60개월</t>
        </is>
      </c>
      <c r="AB621" t="inlineStr">
        <is>
          <t>홈서비스</t>
        </is>
      </c>
      <c r="AC621" t="n">
        <v>475200</v>
      </c>
      <c r="AD621" t="n">
        <v>35100</v>
      </c>
      <c r="AE621" t="n">
        <v>440100</v>
      </c>
      <c r="AF621" t="n">
        <v>432000</v>
      </c>
      <c r="AG621" t="n">
        <v>35100</v>
      </c>
      <c r="AH621" t="n">
        <v>396900</v>
      </c>
      <c r="AI621" t="n">
        <v>1</v>
      </c>
    </row>
    <row r="622">
      <c r="A622" t="inlineStr">
        <is>
          <t>1월</t>
        </is>
      </c>
      <c r="B622" t="inlineStr">
        <is>
          <t>4주차</t>
        </is>
      </c>
      <c r="C622" t="inlineStr">
        <is>
          <t>EP</t>
        </is>
      </c>
      <c r="D622" s="28" t="n">
        <v>46042</v>
      </c>
      <c r="E622" t="inlineStr">
        <is>
          <t>현대EP</t>
        </is>
      </c>
      <c r="F622" t="inlineStr">
        <is>
          <t>이경준</t>
        </is>
      </c>
      <c r="G622" t="inlineStr">
        <is>
          <t>010-6298-8359</t>
        </is>
      </c>
      <c r="H622" t="inlineStr">
        <is>
          <t>35너3385</t>
        </is>
      </c>
      <c r="I622" t="n">
        <v>9400000</v>
      </c>
      <c r="J622" t="n">
        <v>0.057</v>
      </c>
      <c r="K622" t="n">
        <v>1.76</v>
      </c>
      <c r="L622" t="n">
        <v>0.13</v>
      </c>
      <c r="M622" t="n">
        <v>1.63</v>
      </c>
      <c r="P622" t="inlineStr">
        <is>
          <t>정세빈</t>
        </is>
      </c>
      <c r="Q622" t="inlineStr">
        <is>
          <t>홈서비스 60개월</t>
        </is>
      </c>
      <c r="AB622" t="inlineStr">
        <is>
          <t>홈서비스</t>
        </is>
      </c>
      <c r="AC622" t="n">
        <v>165440</v>
      </c>
      <c r="AD622" t="n">
        <v>12220</v>
      </c>
      <c r="AE622" t="n">
        <v>153220</v>
      </c>
      <c r="AF622" t="n">
        <v>150400</v>
      </c>
      <c r="AG622" t="n">
        <v>12220</v>
      </c>
      <c r="AH622" t="n">
        <v>138180</v>
      </c>
      <c r="AI622" t="n">
        <v>1</v>
      </c>
    </row>
    <row r="623">
      <c r="A623" t="inlineStr">
        <is>
          <t>1월</t>
        </is>
      </c>
      <c r="B623" t="inlineStr">
        <is>
          <t>4주차</t>
        </is>
      </c>
      <c r="C623" t="inlineStr">
        <is>
          <t>IM</t>
        </is>
      </c>
      <c r="D623" s="28" t="n">
        <v>46043</v>
      </c>
      <c r="E623" t="inlineStr">
        <is>
          <t>IM캐피탈</t>
        </is>
      </c>
      <c r="F623" t="inlineStr">
        <is>
          <t>김태훈</t>
        </is>
      </c>
      <c r="G623" t="inlineStr">
        <is>
          <t>010-2264-9826</t>
        </is>
      </c>
      <c r="H623" t="inlineStr">
        <is>
          <t>41마7704</t>
        </is>
      </c>
      <c r="I623" t="n">
        <v>18000000</v>
      </c>
      <c r="J623" t="n">
        <v>0.06</v>
      </c>
      <c r="K623" t="n">
        <v>0.55</v>
      </c>
      <c r="L623" t="n">
        <v>0.13</v>
      </c>
      <c r="M623" t="n">
        <v>0.42</v>
      </c>
      <c r="P623" t="inlineStr">
        <is>
          <t>장현경</t>
        </is>
      </c>
      <c r="Q623" t="inlineStr">
        <is>
          <t>선상담 / 사유 : 기승인건 / 현대캐피탈 11.2%</t>
        </is>
      </c>
      <c r="AB623" t="inlineStr">
        <is>
          <t>홈서비스</t>
        </is>
      </c>
      <c r="AC623" t="n">
        <v>99000</v>
      </c>
      <c r="AD623" t="n">
        <v>23400</v>
      </c>
      <c r="AE623" t="n">
        <v>75600</v>
      </c>
      <c r="AF623" t="n">
        <v>90000</v>
      </c>
      <c r="AG623" t="n">
        <v>23400</v>
      </c>
      <c r="AH623" t="n">
        <v>66600</v>
      </c>
    </row>
    <row r="624">
      <c r="A624" t="inlineStr">
        <is>
          <t>1월</t>
        </is>
      </c>
      <c r="B624" t="inlineStr">
        <is>
          <t>4주차</t>
        </is>
      </c>
      <c r="C624" t="inlineStr">
        <is>
          <t>EP</t>
        </is>
      </c>
      <c r="D624" s="28" t="n">
        <v>46043</v>
      </c>
      <c r="E624" t="inlineStr">
        <is>
          <t>현대EP_fast</t>
        </is>
      </c>
      <c r="F624" t="inlineStr">
        <is>
          <t>황성태</t>
        </is>
      </c>
      <c r="G624" t="inlineStr">
        <is>
          <t>010-4606-6304</t>
        </is>
      </c>
      <c r="H624" t="inlineStr">
        <is>
          <t>12두7669</t>
        </is>
      </c>
      <c r="I624" t="n">
        <v>6900000</v>
      </c>
      <c r="J624" t="n">
        <v>0.141</v>
      </c>
      <c r="K624" t="n">
        <v>1.76</v>
      </c>
      <c r="L624" t="n">
        <v>0.13</v>
      </c>
      <c r="M624" t="n">
        <v>1.63</v>
      </c>
      <c r="P624" t="inlineStr">
        <is>
          <t>황채이</t>
        </is>
      </c>
      <c r="Q624" t="inlineStr">
        <is>
          <t>홈서비스 48개월</t>
        </is>
      </c>
      <c r="AB624" t="inlineStr">
        <is>
          <t>홈서비스</t>
        </is>
      </c>
      <c r="AC624" t="n">
        <v>121440</v>
      </c>
      <c r="AD624" t="n">
        <v>8970</v>
      </c>
      <c r="AE624" t="n">
        <v>112470</v>
      </c>
      <c r="AF624" t="n">
        <v>110400</v>
      </c>
      <c r="AG624" t="n">
        <v>8970</v>
      </c>
      <c r="AH624" t="n">
        <v>101430</v>
      </c>
      <c r="AI624" t="n">
        <v>1</v>
      </c>
    </row>
    <row r="625">
      <c r="A625" t="inlineStr">
        <is>
          <t>1월</t>
        </is>
      </c>
      <c r="B625" t="inlineStr">
        <is>
          <t>4주차</t>
        </is>
      </c>
      <c r="C625" t="inlineStr">
        <is>
          <t>EP</t>
        </is>
      </c>
      <c r="D625" s="28" t="n">
        <v>46043</v>
      </c>
      <c r="E625" t="inlineStr">
        <is>
          <t>현대EP_fast</t>
        </is>
      </c>
      <c r="F625" t="inlineStr">
        <is>
          <t>장영찬</t>
        </is>
      </c>
      <c r="G625" t="inlineStr">
        <is>
          <t>010-4658-0675</t>
        </is>
      </c>
      <c r="H625" t="inlineStr">
        <is>
          <t>31서2568</t>
        </is>
      </c>
      <c r="I625" t="n">
        <v>9400000</v>
      </c>
      <c r="J625" t="n">
        <v>0.068</v>
      </c>
      <c r="K625" t="n">
        <v>1.76</v>
      </c>
      <c r="L625" t="n">
        <v>0.13</v>
      </c>
      <c r="M625" t="n">
        <v>1.63</v>
      </c>
      <c r="P625" t="inlineStr">
        <is>
          <t>정하은</t>
        </is>
      </c>
      <c r="Q625" t="inlineStr">
        <is>
          <t>홈서비스 36개월</t>
        </is>
      </c>
      <c r="AB625" t="inlineStr">
        <is>
          <t>홈서비스</t>
        </is>
      </c>
      <c r="AC625" t="n">
        <v>165440</v>
      </c>
      <c r="AD625" t="n">
        <v>12220</v>
      </c>
      <c r="AE625" t="n">
        <v>153220</v>
      </c>
      <c r="AF625" t="n">
        <v>150400</v>
      </c>
      <c r="AG625" t="n">
        <v>12220</v>
      </c>
      <c r="AH625" t="n">
        <v>138180</v>
      </c>
      <c r="AI625" t="n">
        <v>1</v>
      </c>
    </row>
    <row r="626">
      <c r="A626" t="inlineStr">
        <is>
          <t>1월</t>
        </is>
      </c>
      <c r="B626" t="inlineStr">
        <is>
          <t>4주차</t>
        </is>
      </c>
      <c r="C626" t="inlineStr">
        <is>
          <t>EP</t>
        </is>
      </c>
      <c r="D626" s="28" t="n">
        <v>46043</v>
      </c>
      <c r="E626" t="inlineStr">
        <is>
          <t>현대EP_fast</t>
        </is>
      </c>
      <c r="F626" t="inlineStr">
        <is>
          <t>박성현</t>
        </is>
      </c>
      <c r="G626" t="inlineStr">
        <is>
          <t>010-6354-4108</t>
        </is>
      </c>
      <c r="H626" t="inlineStr">
        <is>
          <t>33보6915</t>
        </is>
      </c>
      <c r="I626" t="n">
        <v>40000000</v>
      </c>
      <c r="J626" t="n">
        <v>0.068</v>
      </c>
      <c r="K626" t="n">
        <v>1.76</v>
      </c>
      <c r="L626" t="n">
        <v>0.13</v>
      </c>
      <c r="M626" t="n">
        <v>1.63</v>
      </c>
      <c r="P626" t="inlineStr">
        <is>
          <t>정세빈</t>
        </is>
      </c>
      <c r="Q626" t="inlineStr">
        <is>
          <t>홈서비스 24개월 / 금리인하 0.5%적용건 (7.3-&gt;6.8)</t>
        </is>
      </c>
      <c r="AB626" t="inlineStr">
        <is>
          <t>홈서비스</t>
        </is>
      </c>
      <c r="AC626" t="n">
        <v>704000</v>
      </c>
      <c r="AD626" t="n">
        <v>52000</v>
      </c>
      <c r="AE626" t="n">
        <v>652000</v>
      </c>
      <c r="AF626" t="n">
        <v>640000</v>
      </c>
      <c r="AG626" t="n">
        <v>52000</v>
      </c>
      <c r="AH626" t="n">
        <v>588000</v>
      </c>
      <c r="AI626" t="n">
        <v>1</v>
      </c>
    </row>
    <row r="627">
      <c r="A627" t="inlineStr">
        <is>
          <t>1월</t>
        </is>
      </c>
      <c r="B627" t="inlineStr">
        <is>
          <t>4주차</t>
        </is>
      </c>
      <c r="C627" t="inlineStr">
        <is>
          <t>OR</t>
        </is>
      </c>
      <c r="D627" s="28" t="n">
        <v>46043</v>
      </c>
      <c r="E627" t="inlineStr">
        <is>
          <t>오릭스</t>
        </is>
      </c>
      <c r="F627" t="inlineStr">
        <is>
          <t>이희락</t>
        </is>
      </c>
      <c r="G627" t="inlineStr">
        <is>
          <t>010-3697-2810</t>
        </is>
      </c>
      <c r="H627" t="inlineStr">
        <is>
          <t>319어9518</t>
        </is>
      </c>
      <c r="I627" t="n">
        <v>29000000</v>
      </c>
      <c r="J627" t="n">
        <v>0.064</v>
      </c>
      <c r="K627" t="n">
        <v>1.65</v>
      </c>
      <c r="L627" t="n">
        <v>0.13</v>
      </c>
      <c r="M627" t="n">
        <v>1.52</v>
      </c>
      <c r="P627" t="inlineStr">
        <is>
          <t>황채이</t>
        </is>
      </c>
      <c r="Q627" t="inlineStr">
        <is>
          <t xml:space="preserve">사유 : 금리불만, 부대비용 추가 진행 / 현대 8.2% </t>
        </is>
      </c>
      <c r="AB627" t="inlineStr">
        <is>
          <t>홈서비스</t>
        </is>
      </c>
      <c r="AC627" t="n">
        <v>478500</v>
      </c>
      <c r="AD627" t="n">
        <v>37700</v>
      </c>
      <c r="AE627" t="n">
        <v>440800</v>
      </c>
      <c r="AF627" t="n">
        <v>435000</v>
      </c>
      <c r="AG627" t="n">
        <v>37700</v>
      </c>
      <c r="AH627" t="n">
        <v>397300</v>
      </c>
      <c r="AI627" t="n">
        <v>1</v>
      </c>
    </row>
    <row r="628">
      <c r="A628" t="inlineStr">
        <is>
          <t>1월</t>
        </is>
      </c>
      <c r="B628" t="inlineStr">
        <is>
          <t>4주차</t>
        </is>
      </c>
      <c r="C628" t="inlineStr">
        <is>
          <t>EP</t>
        </is>
      </c>
      <c r="D628" s="28" t="n">
        <v>46042</v>
      </c>
      <c r="E628" t="inlineStr">
        <is>
          <t>제이비EP</t>
        </is>
      </c>
      <c r="F628" t="inlineStr">
        <is>
          <t>송형식</t>
        </is>
      </c>
      <c r="G628" t="inlineStr">
        <is>
          <t>010-6779-7903</t>
        </is>
      </c>
      <c r="H628" t="inlineStr">
        <is>
          <t>834서5535</t>
        </is>
      </c>
      <c r="I628" t="n">
        <v>9700000</v>
      </c>
      <c r="J628" t="n">
        <v>0.08799999999999999</v>
      </c>
      <c r="K628" t="n">
        <v>1.65</v>
      </c>
      <c r="L628" t="n">
        <v>0.4</v>
      </c>
      <c r="M628" t="n">
        <v>1.25</v>
      </c>
      <c r="P628" t="inlineStr">
        <is>
          <t>박현민</t>
        </is>
      </c>
      <c r="Q628" t="inlineStr">
        <is>
          <t>사유 : 부대비용 필요건</t>
        </is>
      </c>
      <c r="AB628" t="inlineStr">
        <is>
          <t>엔카</t>
        </is>
      </c>
      <c r="AC628" t="n">
        <v>160050</v>
      </c>
      <c r="AD628" t="n">
        <v>38800</v>
      </c>
      <c r="AE628" t="n">
        <v>121250</v>
      </c>
      <c r="AF628" t="n">
        <v>145500</v>
      </c>
      <c r="AG628" t="n">
        <v>38800</v>
      </c>
      <c r="AH628" t="n">
        <v>106700</v>
      </c>
      <c r="AI628" t="n">
        <v>1</v>
      </c>
    </row>
    <row r="629">
      <c r="A629" t="inlineStr">
        <is>
          <t>1월</t>
        </is>
      </c>
      <c r="B629" t="inlineStr">
        <is>
          <t>4주차</t>
        </is>
      </c>
      <c r="C629" t="inlineStr">
        <is>
          <t>EP</t>
        </is>
      </c>
      <c r="D629" s="28" t="n">
        <v>46044</v>
      </c>
      <c r="E629" t="inlineStr">
        <is>
          <t>현대EP_fast</t>
        </is>
      </c>
      <c r="F629" t="inlineStr">
        <is>
          <t>이준성</t>
        </is>
      </c>
      <c r="G629" t="inlineStr">
        <is>
          <t>010-9949-0172</t>
        </is>
      </c>
      <c r="H629" t="inlineStr">
        <is>
          <t>32모9611</t>
        </is>
      </c>
      <c r="I629" t="n">
        <v>11900000</v>
      </c>
      <c r="J629" t="n">
        <v>0.06900000000000001</v>
      </c>
      <c r="K629" t="n">
        <v>1.76</v>
      </c>
      <c r="L629" t="n">
        <v>0.13</v>
      </c>
      <c r="M629" t="n">
        <v>1.63</v>
      </c>
      <c r="P629" t="inlineStr">
        <is>
          <t>황채이</t>
        </is>
      </c>
      <c r="Q629" t="inlineStr">
        <is>
          <t>홈서비스 36개월</t>
        </is>
      </c>
      <c r="AB629" t="inlineStr">
        <is>
          <t>홈서비스</t>
        </is>
      </c>
      <c r="AC629" t="n">
        <v>209440</v>
      </c>
      <c r="AD629" t="n">
        <v>15470</v>
      </c>
      <c r="AE629" t="n">
        <v>193970</v>
      </c>
      <c r="AF629" t="n">
        <v>190400</v>
      </c>
      <c r="AG629" t="n">
        <v>15470</v>
      </c>
      <c r="AH629" t="n">
        <v>174930</v>
      </c>
      <c r="AI629" t="n">
        <v>1</v>
      </c>
    </row>
    <row r="630">
      <c r="A630" t="inlineStr">
        <is>
          <t>1월</t>
        </is>
      </c>
      <c r="B630" t="inlineStr">
        <is>
          <t>4주차</t>
        </is>
      </c>
      <c r="C630" t="inlineStr">
        <is>
          <t>EP</t>
        </is>
      </c>
      <c r="D630" s="28" t="n">
        <v>46042</v>
      </c>
      <c r="E630" t="inlineStr">
        <is>
          <t>현대EP_fast</t>
        </is>
      </c>
      <c r="F630" t="inlineStr">
        <is>
          <t>박겸주</t>
        </is>
      </c>
      <c r="G630" t="inlineStr">
        <is>
          <t>010-3567-6608</t>
        </is>
      </c>
      <c r="H630" t="inlineStr">
        <is>
          <t>52소3933</t>
        </is>
      </c>
      <c r="I630" t="n">
        <v>16600000</v>
      </c>
      <c r="J630" t="n">
        <v>0.115</v>
      </c>
      <c r="K630" t="n">
        <v>1.76</v>
      </c>
      <c r="L630" t="n">
        <v>0.13</v>
      </c>
      <c r="M630" t="n">
        <v>1.63</v>
      </c>
      <c r="P630" t="inlineStr">
        <is>
          <t>최혁</t>
        </is>
      </c>
      <c r="Q630" t="inlineStr">
        <is>
          <t>홈서비스36개월 /*당월철회 20260123</t>
        </is>
      </c>
      <c r="AB630" t="inlineStr">
        <is>
          <t>홈서비스</t>
        </is>
      </c>
      <c r="AC630" t="n">
        <v>292160</v>
      </c>
      <c r="AD630" t="n">
        <v>21580</v>
      </c>
      <c r="AE630" t="n">
        <v>270580</v>
      </c>
      <c r="AF630" t="n">
        <v>265600</v>
      </c>
      <c r="AG630" t="n">
        <v>21580</v>
      </c>
      <c r="AH630" t="n">
        <v>244020</v>
      </c>
      <c r="AI630" t="n">
        <v>1</v>
      </c>
      <c r="AK630" t="inlineStr">
        <is>
          <t>대출철회</t>
        </is>
      </c>
    </row>
    <row r="631">
      <c r="A631" t="inlineStr">
        <is>
          <t>1월</t>
        </is>
      </c>
      <c r="B631" t="inlineStr">
        <is>
          <t>4주차</t>
        </is>
      </c>
      <c r="C631" t="inlineStr">
        <is>
          <t>EP</t>
        </is>
      </c>
      <c r="D631" s="28" t="n">
        <v>46043</v>
      </c>
      <c r="E631" t="inlineStr">
        <is>
          <t>현대EP_fast</t>
        </is>
      </c>
      <c r="F631" t="inlineStr">
        <is>
          <t>강석룡</t>
        </is>
      </c>
      <c r="G631" t="inlineStr">
        <is>
          <t>010-4438-1291</t>
        </is>
      </c>
      <c r="H631" t="inlineStr">
        <is>
          <t>59러8254</t>
        </is>
      </c>
      <c r="I631" t="n">
        <v>28500000</v>
      </c>
      <c r="J631" t="n">
        <v>0.067</v>
      </c>
      <c r="K631" t="n">
        <v>1.76</v>
      </c>
      <c r="L631" t="n">
        <v>0.13</v>
      </c>
      <c r="M631" t="n">
        <v>1.63</v>
      </c>
      <c r="P631" t="inlineStr">
        <is>
          <t>정하은</t>
        </is>
      </c>
      <c r="Q631" t="inlineStr">
        <is>
          <t>홈서비스 24개월</t>
        </is>
      </c>
      <c r="AB631" t="inlineStr">
        <is>
          <t>홈서비스</t>
        </is>
      </c>
      <c r="AC631" t="n">
        <v>501600</v>
      </c>
      <c r="AD631" t="n">
        <v>37050</v>
      </c>
      <c r="AE631" t="n">
        <v>464550</v>
      </c>
      <c r="AF631" t="n">
        <v>456000</v>
      </c>
      <c r="AG631" t="n">
        <v>37050</v>
      </c>
      <c r="AH631" t="n">
        <v>418950</v>
      </c>
      <c r="AI631" t="n">
        <v>1</v>
      </c>
    </row>
    <row r="632">
      <c r="A632" t="inlineStr">
        <is>
          <t>1월</t>
        </is>
      </c>
      <c r="B632" t="inlineStr">
        <is>
          <t>4주차</t>
        </is>
      </c>
      <c r="C632" t="inlineStr">
        <is>
          <t>EP</t>
        </is>
      </c>
      <c r="D632" s="28" t="n">
        <v>46043</v>
      </c>
      <c r="E632" t="inlineStr">
        <is>
          <t>현대EP_fast</t>
        </is>
      </c>
      <c r="F632" t="inlineStr">
        <is>
          <t>이용은</t>
        </is>
      </c>
      <c r="G632" t="inlineStr">
        <is>
          <t>010-6498-3181</t>
        </is>
      </c>
      <c r="H632" t="inlineStr">
        <is>
          <t>07가0969</t>
        </is>
      </c>
      <c r="I632" t="n">
        <v>5000000</v>
      </c>
      <c r="J632" t="n">
        <v>0.093</v>
      </c>
      <c r="K632" t="n">
        <v>1.76</v>
      </c>
      <c r="L632" t="n">
        <v>0.13</v>
      </c>
      <c r="M632" t="n">
        <v>1.63</v>
      </c>
      <c r="P632" t="inlineStr">
        <is>
          <t>최혁</t>
        </is>
      </c>
      <c r="Q632" t="inlineStr">
        <is>
          <t>홈서비스 24개월 /*당월철회 20260126</t>
        </is>
      </c>
      <c r="AB632" t="inlineStr">
        <is>
          <t>홈서비스</t>
        </is>
      </c>
      <c r="AC632" t="n">
        <v>88000</v>
      </c>
      <c r="AD632" t="n">
        <v>6500</v>
      </c>
      <c r="AE632" t="n">
        <v>81500</v>
      </c>
      <c r="AF632" t="n">
        <v>80000</v>
      </c>
      <c r="AG632" t="n">
        <v>6500</v>
      </c>
      <c r="AH632" t="n">
        <v>73500</v>
      </c>
      <c r="AI632" t="n">
        <v>1</v>
      </c>
      <c r="AK632" t="inlineStr">
        <is>
          <t>대출철회</t>
        </is>
      </c>
    </row>
    <row r="633">
      <c r="A633" t="inlineStr">
        <is>
          <t>1월</t>
        </is>
      </c>
      <c r="B633" t="inlineStr">
        <is>
          <t>4주차</t>
        </is>
      </c>
      <c r="C633" t="inlineStr">
        <is>
          <t>EP</t>
        </is>
      </c>
      <c r="D633" s="28" t="n">
        <v>46043</v>
      </c>
      <c r="E633" t="inlineStr">
        <is>
          <t>현대EP_fast</t>
        </is>
      </c>
      <c r="F633" t="inlineStr">
        <is>
          <t>이종준</t>
        </is>
      </c>
      <c r="G633" t="inlineStr">
        <is>
          <t>010-4355-9102</t>
        </is>
      </c>
      <c r="H633" t="inlineStr">
        <is>
          <t>13마3886</t>
        </is>
      </c>
      <c r="I633" t="n">
        <v>27800000</v>
      </c>
      <c r="J633" t="n">
        <v>0.111</v>
      </c>
      <c r="K633" t="n">
        <v>1.76</v>
      </c>
      <c r="L633" t="n">
        <v>0.13</v>
      </c>
      <c r="M633" t="n">
        <v>1.63</v>
      </c>
      <c r="P633" t="inlineStr">
        <is>
          <t>정세빈</t>
        </is>
      </c>
      <c r="Q633" t="inlineStr">
        <is>
          <t>홈서비스 36개월 /*당월철회 20260126</t>
        </is>
      </c>
      <c r="AB633" t="inlineStr">
        <is>
          <t>홈서비스</t>
        </is>
      </c>
      <c r="AC633" t="n">
        <v>489280</v>
      </c>
      <c r="AD633" t="n">
        <v>36140</v>
      </c>
      <c r="AE633" t="n">
        <v>453140</v>
      </c>
      <c r="AF633" t="n">
        <v>444800</v>
      </c>
      <c r="AG633" t="n">
        <v>36140</v>
      </c>
      <c r="AH633" t="n">
        <v>408660</v>
      </c>
      <c r="AI633" t="n">
        <v>1</v>
      </c>
      <c r="AK633" t="inlineStr">
        <is>
          <t>대출철회</t>
        </is>
      </c>
    </row>
    <row r="634">
      <c r="A634" t="inlineStr">
        <is>
          <t>1월</t>
        </is>
      </c>
      <c r="B634" t="inlineStr">
        <is>
          <t>4주차</t>
        </is>
      </c>
      <c r="C634" t="inlineStr">
        <is>
          <t>EP</t>
        </is>
      </c>
      <c r="D634" s="28" t="n">
        <v>46043</v>
      </c>
      <c r="E634" t="inlineStr">
        <is>
          <t>현대EP_fast</t>
        </is>
      </c>
      <c r="F634" t="inlineStr">
        <is>
          <t>전국현</t>
        </is>
      </c>
      <c r="G634" t="inlineStr">
        <is>
          <t>010-5428-5318</t>
        </is>
      </c>
      <c r="H634" t="inlineStr">
        <is>
          <t>108저9562</t>
        </is>
      </c>
      <c r="I634" t="n">
        <v>17000000</v>
      </c>
      <c r="J634" t="n">
        <v>0.067</v>
      </c>
      <c r="K634" t="n">
        <v>1.76</v>
      </c>
      <c r="L634" t="n">
        <v>0.13</v>
      </c>
      <c r="M634" t="n">
        <v>1.63</v>
      </c>
      <c r="P634" t="inlineStr">
        <is>
          <t>정광호</t>
        </is>
      </c>
      <c r="Q634" t="inlineStr">
        <is>
          <t>홈서비스 60개월</t>
        </is>
      </c>
      <c r="AB634" t="inlineStr">
        <is>
          <t>홈서비스</t>
        </is>
      </c>
      <c r="AC634" t="n">
        <v>299200</v>
      </c>
      <c r="AD634" t="n">
        <v>22100</v>
      </c>
      <c r="AE634" t="n">
        <v>277100</v>
      </c>
      <c r="AF634" t="n">
        <v>272000</v>
      </c>
      <c r="AG634" t="n">
        <v>22100</v>
      </c>
      <c r="AH634" t="n">
        <v>249900</v>
      </c>
      <c r="AI634" t="n">
        <v>1</v>
      </c>
    </row>
    <row r="635">
      <c r="A635" t="inlineStr">
        <is>
          <t>1월</t>
        </is>
      </c>
      <c r="B635" t="inlineStr">
        <is>
          <t>4주차</t>
        </is>
      </c>
      <c r="C635" t="inlineStr">
        <is>
          <t>EP</t>
        </is>
      </c>
      <c r="D635" s="28" t="n">
        <v>46043</v>
      </c>
      <c r="E635" t="inlineStr">
        <is>
          <t>현대EP</t>
        </is>
      </c>
      <c r="F635" t="inlineStr">
        <is>
          <t>권규택</t>
        </is>
      </c>
      <c r="G635" t="inlineStr">
        <is>
          <t>010-6660-9206</t>
        </is>
      </c>
      <c r="H635" t="inlineStr">
        <is>
          <t>09어2733</t>
        </is>
      </c>
      <c r="I635" t="n">
        <v>16500000</v>
      </c>
      <c r="J635" t="n">
        <v>0.075</v>
      </c>
      <c r="K635" t="n">
        <v>1.76</v>
      </c>
      <c r="L635" t="n">
        <v>0.13</v>
      </c>
      <c r="M635" t="n">
        <v>1.63</v>
      </c>
      <c r="P635" t="inlineStr">
        <is>
          <t>최혁</t>
        </is>
      </c>
      <c r="Q635" t="inlineStr">
        <is>
          <t>홈서비스 60개월</t>
        </is>
      </c>
      <c r="AB635" t="inlineStr">
        <is>
          <t>홈서비스</t>
        </is>
      </c>
      <c r="AC635" t="n">
        <v>290400</v>
      </c>
      <c r="AD635" t="n">
        <v>21450</v>
      </c>
      <c r="AE635" t="n">
        <v>268950</v>
      </c>
      <c r="AF635" t="n">
        <v>264000</v>
      </c>
      <c r="AG635" t="n">
        <v>21450</v>
      </c>
      <c r="AH635" t="n">
        <v>242550</v>
      </c>
      <c r="AI635" t="n">
        <v>1</v>
      </c>
    </row>
    <row r="636">
      <c r="A636" t="inlineStr">
        <is>
          <t>1월</t>
        </is>
      </c>
      <c r="B636" t="inlineStr">
        <is>
          <t>4주차</t>
        </is>
      </c>
      <c r="C636" t="inlineStr">
        <is>
          <t>EP</t>
        </is>
      </c>
      <c r="D636" s="28" t="n">
        <v>46043</v>
      </c>
      <c r="E636" t="inlineStr">
        <is>
          <t>현대EP</t>
        </is>
      </c>
      <c r="F636" t="inlineStr">
        <is>
          <t>김석중</t>
        </is>
      </c>
      <c r="G636" t="inlineStr">
        <is>
          <t>010-3540-7642</t>
        </is>
      </c>
      <c r="H636" t="inlineStr">
        <is>
          <t>08주1131</t>
        </is>
      </c>
      <c r="I636" t="n">
        <v>5500000</v>
      </c>
      <c r="J636" t="n">
        <v>0.067</v>
      </c>
      <c r="K636" t="n">
        <v>1.76</v>
      </c>
      <c r="L636" t="n">
        <v>0.13</v>
      </c>
      <c r="M636" t="n">
        <v>1.63</v>
      </c>
      <c r="P636" t="inlineStr">
        <is>
          <t>최혁</t>
        </is>
      </c>
      <c r="Q636" t="inlineStr">
        <is>
          <t>홈서비스 24개월</t>
        </is>
      </c>
      <c r="AB636" t="inlineStr">
        <is>
          <t>홈서비스</t>
        </is>
      </c>
      <c r="AC636" t="n">
        <v>96800</v>
      </c>
      <c r="AD636" t="n">
        <v>7150</v>
      </c>
      <c r="AE636" t="n">
        <v>89650</v>
      </c>
      <c r="AF636" t="n">
        <v>88000</v>
      </c>
      <c r="AG636" t="n">
        <v>7150</v>
      </c>
      <c r="AH636" t="n">
        <v>80850</v>
      </c>
      <c r="AI636" t="n">
        <v>1</v>
      </c>
    </row>
    <row r="637">
      <c r="A637" t="inlineStr">
        <is>
          <t>1월</t>
        </is>
      </c>
      <c r="B637" t="inlineStr">
        <is>
          <t>4주차</t>
        </is>
      </c>
      <c r="C637" t="inlineStr">
        <is>
          <t>EP</t>
        </is>
      </c>
      <c r="D637" s="28" t="n">
        <v>46043</v>
      </c>
      <c r="E637" t="inlineStr">
        <is>
          <t>현대EP_fast</t>
        </is>
      </c>
      <c r="F637" t="inlineStr">
        <is>
          <t>금재윤</t>
        </is>
      </c>
      <c r="G637" t="inlineStr">
        <is>
          <t>010-2329-0576</t>
        </is>
      </c>
      <c r="H637" t="inlineStr">
        <is>
          <t>37우0756</t>
        </is>
      </c>
      <c r="I637" t="n">
        <v>7400000</v>
      </c>
      <c r="J637" t="n">
        <v>0.093</v>
      </c>
      <c r="K637" t="n">
        <v>1.76</v>
      </c>
      <c r="L637" t="n">
        <v>0.13</v>
      </c>
      <c r="M637" t="n">
        <v>1.63</v>
      </c>
      <c r="P637" t="inlineStr">
        <is>
          <t>정세빈</t>
        </is>
      </c>
      <c r="Q637" t="inlineStr">
        <is>
          <t>홈서비스 60개월</t>
        </is>
      </c>
      <c r="AB637" t="inlineStr">
        <is>
          <t>홈서비스</t>
        </is>
      </c>
      <c r="AC637" t="n">
        <v>130240</v>
      </c>
      <c r="AD637" t="n">
        <v>9620</v>
      </c>
      <c r="AE637" t="n">
        <v>120620</v>
      </c>
      <c r="AF637" t="n">
        <v>118400</v>
      </c>
      <c r="AG637" t="n">
        <v>9620</v>
      </c>
      <c r="AH637" t="n">
        <v>108780</v>
      </c>
      <c r="AI637" t="n">
        <v>1</v>
      </c>
    </row>
    <row r="638">
      <c r="A638" t="inlineStr">
        <is>
          <t>1월</t>
        </is>
      </c>
      <c r="B638" t="inlineStr">
        <is>
          <t>4주차</t>
        </is>
      </c>
      <c r="C638" t="inlineStr">
        <is>
          <t>EP</t>
        </is>
      </c>
      <c r="D638" s="28" t="n">
        <v>46043</v>
      </c>
      <c r="E638" t="inlineStr">
        <is>
          <t>현대EP_fast</t>
        </is>
      </c>
      <c r="F638" t="inlineStr">
        <is>
          <t>이재원</t>
        </is>
      </c>
      <c r="G638" t="inlineStr">
        <is>
          <t>010-6360-9370</t>
        </is>
      </c>
      <c r="H638" t="inlineStr">
        <is>
          <t>155머9848</t>
        </is>
      </c>
      <c r="I638" t="n">
        <v>4000000</v>
      </c>
      <c r="J638" t="n">
        <v>0.073</v>
      </c>
      <c r="K638" t="n">
        <v>1.76</v>
      </c>
      <c r="L638" t="n">
        <v>0.13</v>
      </c>
      <c r="M638" t="n">
        <v>1.63</v>
      </c>
      <c r="P638" t="inlineStr">
        <is>
          <t>정하은</t>
        </is>
      </c>
      <c r="Q638" t="inlineStr">
        <is>
          <t>홈서비스 48개월</t>
        </is>
      </c>
      <c r="AB638" t="inlineStr">
        <is>
          <t>홈서비스</t>
        </is>
      </c>
      <c r="AC638" t="n">
        <v>70400</v>
      </c>
      <c r="AD638" t="n">
        <v>5200</v>
      </c>
      <c r="AE638" t="n">
        <v>65200</v>
      </c>
      <c r="AF638" t="n">
        <v>64000</v>
      </c>
      <c r="AG638" t="n">
        <v>5200</v>
      </c>
      <c r="AH638" t="n">
        <v>58800</v>
      </c>
      <c r="AI638" t="n">
        <v>1</v>
      </c>
    </row>
    <row r="639">
      <c r="A639" t="inlineStr">
        <is>
          <t>1월</t>
        </is>
      </c>
      <c r="B639" t="inlineStr">
        <is>
          <t>4주차</t>
        </is>
      </c>
      <c r="C639" t="inlineStr">
        <is>
          <t>EP</t>
        </is>
      </c>
      <c r="D639" s="28" t="n">
        <v>46043</v>
      </c>
      <c r="E639" t="inlineStr">
        <is>
          <t>현대EP</t>
        </is>
      </c>
      <c r="F639" t="inlineStr">
        <is>
          <t>김선미</t>
        </is>
      </c>
      <c r="G639" t="inlineStr">
        <is>
          <t>010-5618-8290</t>
        </is>
      </c>
      <c r="H639" t="inlineStr">
        <is>
          <t>53버7012</t>
        </is>
      </c>
      <c r="I639" t="n">
        <v>4700000</v>
      </c>
      <c r="J639" t="n">
        <v>0.093</v>
      </c>
      <c r="K639" t="n">
        <v>1.76</v>
      </c>
      <c r="L639" t="n">
        <v>0.13</v>
      </c>
      <c r="M639" t="n">
        <v>1.63</v>
      </c>
      <c r="P639" t="inlineStr">
        <is>
          <t>정세빈</t>
        </is>
      </c>
      <c r="Q639" t="inlineStr">
        <is>
          <t>홈서비스 24개월</t>
        </is>
      </c>
      <c r="AB639" t="inlineStr">
        <is>
          <t>홈서비스</t>
        </is>
      </c>
      <c r="AC639" t="n">
        <v>82720</v>
      </c>
      <c r="AD639" t="n">
        <v>6110</v>
      </c>
      <c r="AE639" t="n">
        <v>76610</v>
      </c>
      <c r="AF639" t="n">
        <v>75200</v>
      </c>
      <c r="AG639" t="n">
        <v>6110</v>
      </c>
      <c r="AH639" t="n">
        <v>69090</v>
      </c>
      <c r="AI639" t="n">
        <v>1</v>
      </c>
    </row>
    <row r="640">
      <c r="A640" t="inlineStr">
        <is>
          <t>1월</t>
        </is>
      </c>
      <c r="B640" t="inlineStr">
        <is>
          <t>4주차</t>
        </is>
      </c>
      <c r="C640" t="inlineStr">
        <is>
          <t>OR</t>
        </is>
      </c>
      <c r="D640" s="28" t="n">
        <v>46042</v>
      </c>
      <c r="E640" t="inlineStr">
        <is>
          <t>오릭스</t>
        </is>
      </c>
      <c r="F640" t="inlineStr">
        <is>
          <t>정유신</t>
        </is>
      </c>
      <c r="G640" t="inlineStr">
        <is>
          <t>010-6579-2799</t>
        </is>
      </c>
      <c r="H640" t="inlineStr">
        <is>
          <t>01가4099</t>
        </is>
      </c>
      <c r="I640" t="n">
        <v>12300000</v>
      </c>
      <c r="J640" t="n">
        <v>0.07199999999999999</v>
      </c>
      <c r="K640" t="n">
        <v>1.65</v>
      </c>
      <c r="L640" t="n">
        <v>0.4</v>
      </c>
      <c r="M640" t="n">
        <v>1.25</v>
      </c>
      <c r="P640" t="inlineStr">
        <is>
          <t>박보람</t>
        </is>
      </c>
      <c r="Q640" t="inlineStr">
        <is>
          <t>사유 : 금리, 한도 불만</t>
        </is>
      </c>
      <c r="AB640" t="inlineStr">
        <is>
          <t>엔카</t>
        </is>
      </c>
      <c r="AC640" t="n">
        <v>202950</v>
      </c>
      <c r="AD640" t="n">
        <v>49200</v>
      </c>
      <c r="AE640" t="n">
        <v>153750</v>
      </c>
      <c r="AF640" t="n">
        <v>184500</v>
      </c>
      <c r="AG640" t="n">
        <v>49200</v>
      </c>
      <c r="AH640" t="n">
        <v>135300</v>
      </c>
      <c r="AI640" t="n">
        <v>1</v>
      </c>
    </row>
    <row r="641">
      <c r="A641" t="inlineStr">
        <is>
          <t>1월</t>
        </is>
      </c>
      <c r="B641" t="inlineStr">
        <is>
          <t>4주차</t>
        </is>
      </c>
      <c r="C641" t="inlineStr">
        <is>
          <t>EP</t>
        </is>
      </c>
      <c r="D641" s="28" t="n">
        <v>46043</v>
      </c>
      <c r="E641" t="inlineStr">
        <is>
          <t>현대EP</t>
        </is>
      </c>
      <c r="F641" t="inlineStr">
        <is>
          <t>김상철</t>
        </is>
      </c>
      <c r="G641" t="inlineStr">
        <is>
          <t>010-4333-3071</t>
        </is>
      </c>
      <c r="H641" t="inlineStr">
        <is>
          <t>365모9595</t>
        </is>
      </c>
      <c r="I641" t="n">
        <v>13200000</v>
      </c>
      <c r="J641" t="n">
        <v>0.067</v>
      </c>
      <c r="K641" t="n">
        <v>1.76</v>
      </c>
      <c r="L641" t="n">
        <v>0.13</v>
      </c>
      <c r="M641" t="n">
        <v>1.63</v>
      </c>
      <c r="P641" t="inlineStr">
        <is>
          <t>정하은</t>
        </is>
      </c>
      <c r="Q641" t="inlineStr">
        <is>
          <t>홈서비스 60개월 / *당월철회 20260123</t>
        </is>
      </c>
      <c r="AB641" t="inlineStr">
        <is>
          <t>홈서비스</t>
        </is>
      </c>
      <c r="AC641" t="n">
        <v>232320</v>
      </c>
      <c r="AD641" t="n">
        <v>17160</v>
      </c>
      <c r="AE641" t="n">
        <v>215160</v>
      </c>
      <c r="AF641" t="n">
        <v>211200</v>
      </c>
      <c r="AG641" t="n">
        <v>17160</v>
      </c>
      <c r="AH641" t="n">
        <v>194040</v>
      </c>
      <c r="AI641" t="n">
        <v>1</v>
      </c>
      <c r="AK641" t="inlineStr">
        <is>
          <t>대출철회</t>
        </is>
      </c>
    </row>
    <row r="642">
      <c r="A642" t="inlineStr">
        <is>
          <t>1월</t>
        </is>
      </c>
      <c r="B642" t="inlineStr">
        <is>
          <t>4주차</t>
        </is>
      </c>
      <c r="C642" t="inlineStr">
        <is>
          <t>EP</t>
        </is>
      </c>
      <c r="D642" s="28" t="n">
        <v>46043</v>
      </c>
      <c r="E642" t="inlineStr">
        <is>
          <t>현대EP_fast</t>
        </is>
      </c>
      <c r="F642" t="inlineStr">
        <is>
          <t>권홍석</t>
        </is>
      </c>
      <c r="G642" t="inlineStr">
        <is>
          <t>010-3026-0261</t>
        </is>
      </c>
      <c r="H642" t="inlineStr">
        <is>
          <t>326버7723</t>
        </is>
      </c>
      <c r="I642" t="n">
        <v>7000000</v>
      </c>
      <c r="J642" t="n">
        <v>0.111</v>
      </c>
      <c r="K642" t="n">
        <v>1.76</v>
      </c>
      <c r="L642" t="n">
        <v>0.13</v>
      </c>
      <c r="M642" t="n">
        <v>1.63</v>
      </c>
      <c r="P642" t="inlineStr">
        <is>
          <t>정광호</t>
        </is>
      </c>
      <c r="Q642" t="inlineStr">
        <is>
          <t>홈서비스 36개월</t>
        </is>
      </c>
      <c r="AB642" t="inlineStr">
        <is>
          <t>홈서비스</t>
        </is>
      </c>
      <c r="AC642" t="n">
        <v>123200</v>
      </c>
      <c r="AD642" t="n">
        <v>9100</v>
      </c>
      <c r="AE642" t="n">
        <v>114100</v>
      </c>
      <c r="AF642" t="n">
        <v>112000</v>
      </c>
      <c r="AG642" t="n">
        <v>9100</v>
      </c>
      <c r="AH642" t="n">
        <v>102900</v>
      </c>
      <c r="AI642" t="n">
        <v>1</v>
      </c>
    </row>
    <row r="643">
      <c r="A643" t="inlineStr">
        <is>
          <t>1월</t>
        </is>
      </c>
      <c r="B643" t="inlineStr">
        <is>
          <t>4주차</t>
        </is>
      </c>
      <c r="C643" t="inlineStr">
        <is>
          <t>IM</t>
        </is>
      </c>
      <c r="D643" s="28" t="n">
        <v>46041</v>
      </c>
      <c r="E643" t="inlineStr">
        <is>
          <t>IM캐피탈</t>
        </is>
      </c>
      <c r="F643" t="inlineStr">
        <is>
          <t>김환</t>
        </is>
      </c>
      <c r="G643" t="inlineStr">
        <is>
          <t>010-3553-8151</t>
        </is>
      </c>
      <c r="H643" t="inlineStr">
        <is>
          <t>250더9836</t>
        </is>
      </c>
      <c r="I643" t="n">
        <v>31000000</v>
      </c>
      <c r="J643" t="n">
        <v>0.049</v>
      </c>
      <c r="K643" t="n">
        <v>0.55</v>
      </c>
      <c r="L643" t="n">
        <v>0.13</v>
      </c>
      <c r="M643" t="n">
        <v>0.42</v>
      </c>
      <c r="P643" t="inlineStr">
        <is>
          <t>구성완</t>
        </is>
      </c>
      <c r="Q643" t="inlineStr">
        <is>
          <t>안심거래존건건</t>
        </is>
      </c>
      <c r="AB643" t="inlineStr">
        <is>
          <t>믿고</t>
        </is>
      </c>
      <c r="AC643" t="n">
        <v>170500</v>
      </c>
      <c r="AD643" t="n">
        <v>40300</v>
      </c>
      <c r="AE643" t="n">
        <v>130200</v>
      </c>
      <c r="AF643" t="n">
        <v>155000</v>
      </c>
      <c r="AG643" t="n">
        <v>40300</v>
      </c>
      <c r="AH643" t="n">
        <v>114700</v>
      </c>
      <c r="AI643" t="n">
        <v>1</v>
      </c>
    </row>
    <row r="644">
      <c r="A644" t="inlineStr">
        <is>
          <t>1월</t>
        </is>
      </c>
      <c r="B644" t="inlineStr">
        <is>
          <t>4주차</t>
        </is>
      </c>
      <c r="C644" t="inlineStr">
        <is>
          <t>OR</t>
        </is>
      </c>
      <c r="D644" s="28" t="n">
        <v>46042</v>
      </c>
      <c r="E644" t="inlineStr">
        <is>
          <t>오릭스</t>
        </is>
      </c>
      <c r="F644" t="inlineStr">
        <is>
          <t>장민지</t>
        </is>
      </c>
      <c r="G644" t="inlineStr">
        <is>
          <t>010-4582-8301</t>
        </is>
      </c>
      <c r="H644" t="inlineStr">
        <is>
          <t>02부4704</t>
        </is>
      </c>
      <c r="I644" t="n">
        <v>99900000</v>
      </c>
      <c r="J644" t="n">
        <v>0.062</v>
      </c>
      <c r="K644" t="n">
        <v>1.65</v>
      </c>
      <c r="L644" t="n">
        <v>0.4</v>
      </c>
      <c r="M644" t="n">
        <v>1.25</v>
      </c>
      <c r="P644" t="inlineStr">
        <is>
          <t>구성완</t>
        </is>
      </c>
      <c r="Q644" t="inlineStr">
        <is>
          <t>사유 : 금리불만 / 72개월 / 개인매물상상이전후진행</t>
        </is>
      </c>
      <c r="AB644" t="inlineStr">
        <is>
          <t>엔카</t>
        </is>
      </c>
      <c r="AC644" t="n">
        <v>1648350</v>
      </c>
      <c r="AD644" t="n">
        <v>399600</v>
      </c>
      <c r="AE644" t="n">
        <v>1248750</v>
      </c>
      <c r="AF644" t="n">
        <v>1498500</v>
      </c>
      <c r="AG644" t="n">
        <v>399600</v>
      </c>
      <c r="AH644" t="n">
        <v>1098900</v>
      </c>
      <c r="AI644" t="n">
        <v>1</v>
      </c>
    </row>
    <row r="645">
      <c r="A645" t="inlineStr">
        <is>
          <t>1월</t>
        </is>
      </c>
      <c r="B645" t="inlineStr">
        <is>
          <t>4주차</t>
        </is>
      </c>
      <c r="C645" t="inlineStr">
        <is>
          <t>EP</t>
        </is>
      </c>
      <c r="D645" s="28" t="n">
        <v>46043</v>
      </c>
      <c r="E645" t="inlineStr">
        <is>
          <t>현대EP_fast</t>
        </is>
      </c>
      <c r="F645" t="inlineStr">
        <is>
          <t>강민구</t>
        </is>
      </c>
      <c r="G645" t="n">
        <v>1022691727</v>
      </c>
      <c r="H645" t="inlineStr">
        <is>
          <t>332조9966</t>
        </is>
      </c>
      <c r="I645" t="n">
        <v>9900000</v>
      </c>
      <c r="J645" t="n">
        <v>0.073</v>
      </c>
      <c r="K645" t="n">
        <v>1.76</v>
      </c>
      <c r="L645" t="n">
        <v>0.13</v>
      </c>
      <c r="M645" t="n">
        <v>1.63</v>
      </c>
      <c r="P645" t="inlineStr">
        <is>
          <t>김나윤</t>
        </is>
      </c>
      <c r="Q645" t="inlineStr">
        <is>
          <t>홈서비스 60개월/ *차량번호변경건/ 변경전 차량번호 108저9587</t>
        </is>
      </c>
      <c r="AB645" t="inlineStr">
        <is>
          <t>홈서비스</t>
        </is>
      </c>
      <c r="AC645" t="n">
        <v>174240</v>
      </c>
      <c r="AD645" t="n">
        <v>12870</v>
      </c>
      <c r="AE645" t="n">
        <v>161370</v>
      </c>
      <c r="AF645" t="n">
        <v>158400</v>
      </c>
      <c r="AG645" t="n">
        <v>12870</v>
      </c>
      <c r="AH645" t="n">
        <v>145530</v>
      </c>
      <c r="AI645" t="n">
        <v>1</v>
      </c>
    </row>
    <row r="646">
      <c r="A646" t="inlineStr">
        <is>
          <t>1월</t>
        </is>
      </c>
      <c r="B646" t="inlineStr">
        <is>
          <t>4주차</t>
        </is>
      </c>
      <c r="C646" t="inlineStr">
        <is>
          <t>EP</t>
        </is>
      </c>
      <c r="D646" s="28" t="n">
        <v>46043</v>
      </c>
      <c r="E646" t="inlineStr">
        <is>
          <t>현대EP</t>
        </is>
      </c>
      <c r="F646" t="inlineStr">
        <is>
          <t>김태휘</t>
        </is>
      </c>
      <c r="G646" t="inlineStr">
        <is>
          <t>010-6662-3053</t>
        </is>
      </c>
      <c r="H646" t="inlineStr">
        <is>
          <t>10노7235</t>
        </is>
      </c>
      <c r="I646" t="n">
        <v>31900000</v>
      </c>
      <c r="J646" t="n">
        <v>0.07199999999999999</v>
      </c>
      <c r="K646" t="n">
        <v>1.76</v>
      </c>
      <c r="L646" t="n">
        <v>0.13</v>
      </c>
      <c r="M646" t="n">
        <v>1.63</v>
      </c>
      <c r="P646" t="inlineStr">
        <is>
          <t>정광호</t>
        </is>
      </c>
      <c r="Q646" t="inlineStr">
        <is>
          <t>홈서비스 60개월</t>
        </is>
      </c>
      <c r="AB646" t="inlineStr">
        <is>
          <t>홈서비스</t>
        </is>
      </c>
      <c r="AC646" t="n">
        <v>561440</v>
      </c>
      <c r="AD646" t="n">
        <v>41470</v>
      </c>
      <c r="AE646" t="n">
        <v>519970</v>
      </c>
      <c r="AF646" t="n">
        <v>510400</v>
      </c>
      <c r="AG646" t="n">
        <v>41470</v>
      </c>
      <c r="AH646" t="n">
        <v>468930</v>
      </c>
      <c r="AI646" t="n">
        <v>1</v>
      </c>
    </row>
    <row r="647">
      <c r="A647" t="inlineStr">
        <is>
          <t>1월</t>
        </is>
      </c>
      <c r="B647" t="inlineStr">
        <is>
          <t>4주차</t>
        </is>
      </c>
      <c r="C647" t="inlineStr">
        <is>
          <t>EP</t>
        </is>
      </c>
      <c r="D647" s="28" t="n">
        <v>46043</v>
      </c>
      <c r="E647" t="inlineStr">
        <is>
          <t>현대EP_fast</t>
        </is>
      </c>
      <c r="F647" t="inlineStr">
        <is>
          <t>유장헌</t>
        </is>
      </c>
      <c r="G647" t="n">
        <v>1088142124</v>
      </c>
      <c r="H647" t="inlineStr">
        <is>
          <t>36우5875</t>
        </is>
      </c>
      <c r="I647" t="n">
        <v>11900000</v>
      </c>
      <c r="J647" t="n">
        <v>0.07000000000000001</v>
      </c>
      <c r="K647" t="n">
        <v>1.76</v>
      </c>
      <c r="L647" t="n">
        <v>0.13</v>
      </c>
      <c r="M647" t="n">
        <v>1.63</v>
      </c>
      <c r="P647" t="inlineStr">
        <is>
          <t>김나윤</t>
        </is>
      </c>
      <c r="Q647" t="inlineStr">
        <is>
          <t>홈서비스 60개월 / 금리인하 0.5% 적용건(7.5% -&gt; 7%)</t>
        </is>
      </c>
      <c r="AB647" t="inlineStr">
        <is>
          <t>홈서비스</t>
        </is>
      </c>
      <c r="AC647" t="n">
        <v>209440</v>
      </c>
      <c r="AD647" t="n">
        <v>15470</v>
      </c>
      <c r="AE647" t="n">
        <v>193970</v>
      </c>
      <c r="AF647" t="n">
        <v>190400</v>
      </c>
      <c r="AG647" t="n">
        <v>15470</v>
      </c>
      <c r="AH647" t="n">
        <v>174930</v>
      </c>
      <c r="AI647" t="n">
        <v>0</v>
      </c>
    </row>
    <row r="648">
      <c r="A648" t="inlineStr">
        <is>
          <t>1월</t>
        </is>
      </c>
      <c r="B648" t="inlineStr">
        <is>
          <t>4주차</t>
        </is>
      </c>
      <c r="C648" t="inlineStr">
        <is>
          <t>EP</t>
        </is>
      </c>
      <c r="D648" s="28" t="n">
        <v>46044</v>
      </c>
      <c r="E648" t="inlineStr">
        <is>
          <t>현대EP_fast</t>
        </is>
      </c>
      <c r="F648" t="inlineStr">
        <is>
          <t>한지훈</t>
        </is>
      </c>
      <c r="G648" t="n">
        <v>1066351820</v>
      </c>
      <c r="H648" t="inlineStr">
        <is>
          <t>148누6836</t>
        </is>
      </c>
      <c r="I648" t="n">
        <v>34900000</v>
      </c>
      <c r="J648" t="n">
        <v>0.08699999999999999</v>
      </c>
      <c r="K648" t="n">
        <v>1.76</v>
      </c>
      <c r="L648" t="n">
        <v>0.13</v>
      </c>
      <c r="M648" t="n">
        <v>1.63</v>
      </c>
      <c r="P648" t="inlineStr">
        <is>
          <t>김나윤</t>
        </is>
      </c>
      <c r="Q648" t="inlineStr">
        <is>
          <t>홈서비스 60개월</t>
        </is>
      </c>
      <c r="AB648" t="inlineStr">
        <is>
          <t>홈서비스</t>
        </is>
      </c>
      <c r="AC648" t="n">
        <v>614240</v>
      </c>
      <c r="AD648" t="n">
        <v>45370</v>
      </c>
      <c r="AE648" t="n">
        <v>568870</v>
      </c>
      <c r="AF648" t="n">
        <v>558400</v>
      </c>
      <c r="AG648" t="n">
        <v>45370</v>
      </c>
      <c r="AH648" t="n">
        <v>513030</v>
      </c>
    </row>
    <row r="649">
      <c r="A649" t="inlineStr">
        <is>
          <t>1월</t>
        </is>
      </c>
      <c r="B649" t="inlineStr">
        <is>
          <t>4주차</t>
        </is>
      </c>
      <c r="C649" t="inlineStr">
        <is>
          <t>EP</t>
        </is>
      </c>
      <c r="D649" s="28" t="n">
        <v>46044</v>
      </c>
      <c r="E649" t="inlineStr">
        <is>
          <t>현대EP_fast</t>
        </is>
      </c>
      <c r="F649" t="inlineStr">
        <is>
          <t>임현석</t>
        </is>
      </c>
      <c r="G649" t="inlineStr">
        <is>
          <t>010-2758-6451</t>
        </is>
      </c>
      <c r="H649" t="inlineStr">
        <is>
          <t>324어1481</t>
        </is>
      </c>
      <c r="I649" t="n">
        <v>10300000</v>
      </c>
      <c r="J649" t="n">
        <v>0.075</v>
      </c>
      <c r="K649" t="n">
        <v>1.76</v>
      </c>
      <c r="L649" t="n">
        <v>0.13</v>
      </c>
      <c r="M649" t="n">
        <v>1.63</v>
      </c>
      <c r="P649" t="inlineStr">
        <is>
          <t>황채이</t>
        </is>
      </c>
      <c r="Q649" t="inlineStr">
        <is>
          <t>홈서비스 60개월</t>
        </is>
      </c>
      <c r="AB649" t="inlineStr">
        <is>
          <t>홈서비스</t>
        </is>
      </c>
      <c r="AC649" t="n">
        <v>181280</v>
      </c>
      <c r="AD649" t="n">
        <v>13390</v>
      </c>
      <c r="AE649" t="n">
        <v>167890</v>
      </c>
      <c r="AF649" t="n">
        <v>164800</v>
      </c>
      <c r="AG649" t="n">
        <v>13390</v>
      </c>
      <c r="AH649" t="n">
        <v>151410</v>
      </c>
    </row>
    <row r="650">
      <c r="A650" t="inlineStr">
        <is>
          <t>1월</t>
        </is>
      </c>
      <c r="B650" t="inlineStr">
        <is>
          <t>4주차</t>
        </is>
      </c>
      <c r="C650" t="inlineStr">
        <is>
          <t>IM</t>
        </is>
      </c>
      <c r="D650" s="28" t="n">
        <v>46043</v>
      </c>
      <c r="E650" t="inlineStr">
        <is>
          <t>IM캐피탈</t>
        </is>
      </c>
      <c r="F650" t="inlineStr">
        <is>
          <t>김석환</t>
        </is>
      </c>
      <c r="G650" t="inlineStr">
        <is>
          <t>010-4245-3203</t>
        </is>
      </c>
      <c r="H650" t="inlineStr">
        <is>
          <t>13더6500</t>
        </is>
      </c>
      <c r="I650" t="n">
        <v>15200000</v>
      </c>
      <c r="J650" t="n">
        <v>0.049</v>
      </c>
      <c r="K650" t="n">
        <v>0.55</v>
      </c>
      <c r="L650" t="n">
        <v>0.4</v>
      </c>
      <c r="M650" t="n">
        <v>0.15</v>
      </c>
      <c r="P650" t="inlineStr">
        <is>
          <t>박현민</t>
        </is>
      </c>
      <c r="Q650" t="inlineStr">
        <is>
          <t>사유 : 기승인건 / 금리불만</t>
        </is>
      </c>
      <c r="AB650" t="inlineStr">
        <is>
          <t>엔카</t>
        </is>
      </c>
      <c r="AC650" t="n">
        <v>83600</v>
      </c>
      <c r="AD650" t="n">
        <v>60800</v>
      </c>
      <c r="AE650" t="n">
        <v>22800</v>
      </c>
      <c r="AF650" t="n">
        <v>76000</v>
      </c>
      <c r="AG650" t="n">
        <v>60800</v>
      </c>
      <c r="AH650" t="n">
        <v>15200</v>
      </c>
    </row>
    <row r="651">
      <c r="A651" t="inlineStr">
        <is>
          <t>1월</t>
        </is>
      </c>
      <c r="B651" t="inlineStr">
        <is>
          <t>4주차</t>
        </is>
      </c>
      <c r="C651" t="inlineStr">
        <is>
          <t>EP</t>
        </is>
      </c>
      <c r="D651" s="28" t="n">
        <v>46042</v>
      </c>
      <c r="E651" t="inlineStr">
        <is>
          <t>현대EP_fast</t>
        </is>
      </c>
      <c r="F651" t="inlineStr">
        <is>
          <t>안선우</t>
        </is>
      </c>
      <c r="G651" t="inlineStr">
        <is>
          <t>010-9411-2438</t>
        </is>
      </c>
      <c r="H651" t="inlineStr">
        <is>
          <t>36라8280</t>
        </is>
      </c>
      <c r="I651" t="n">
        <v>33800000</v>
      </c>
      <c r="J651" t="n">
        <v>0.073</v>
      </c>
      <c r="K651" t="n">
        <v>1.21</v>
      </c>
      <c r="L651" t="n">
        <v>0.13</v>
      </c>
      <c r="M651" t="n">
        <v>1.08</v>
      </c>
      <c r="P651" t="inlineStr">
        <is>
          <t>장진경</t>
        </is>
      </c>
      <c r="Q651" t="inlineStr">
        <is>
          <t>선상담 / 홈서비스 24개월</t>
        </is>
      </c>
      <c r="AB651" t="inlineStr">
        <is>
          <t>홈서비스</t>
        </is>
      </c>
      <c r="AC651" t="n">
        <v>408980</v>
      </c>
      <c r="AD651" t="n">
        <v>43940</v>
      </c>
      <c r="AE651" t="n">
        <v>365040</v>
      </c>
      <c r="AF651" t="n">
        <v>371800</v>
      </c>
      <c r="AG651" t="n">
        <v>43940</v>
      </c>
      <c r="AH651" t="n">
        <v>327860</v>
      </c>
    </row>
    <row r="652">
      <c r="A652" t="inlineStr">
        <is>
          <t>1월</t>
        </is>
      </c>
      <c r="B652" t="inlineStr">
        <is>
          <t>4주차</t>
        </is>
      </c>
      <c r="C652" t="inlineStr">
        <is>
          <t>EP</t>
        </is>
      </c>
      <c r="D652" s="28" t="n">
        <v>46044</v>
      </c>
      <c r="E652" t="inlineStr">
        <is>
          <t>현대EP_fast</t>
        </is>
      </c>
      <c r="F652" t="inlineStr">
        <is>
          <t>박경범</t>
        </is>
      </c>
      <c r="G652" t="inlineStr">
        <is>
          <t>010-9107-0193</t>
        </is>
      </c>
      <c r="H652" t="inlineStr">
        <is>
          <t>198가9129</t>
        </is>
      </c>
      <c r="I652" t="n">
        <v>17300000</v>
      </c>
      <c r="J652" t="n">
        <v>0.06900000000000001</v>
      </c>
      <c r="K652" t="n">
        <v>1.76</v>
      </c>
      <c r="L652" t="n">
        <v>0.13</v>
      </c>
      <c r="M652" t="n">
        <v>1.63</v>
      </c>
      <c r="P652" t="inlineStr">
        <is>
          <t>황채이</t>
        </is>
      </c>
      <c r="Q652" t="inlineStr">
        <is>
          <t>홈서비스 60개월</t>
        </is>
      </c>
      <c r="AB652" t="inlineStr">
        <is>
          <t>홈서비스</t>
        </is>
      </c>
      <c r="AC652" t="n">
        <v>304480</v>
      </c>
      <c r="AD652" t="n">
        <v>22490</v>
      </c>
      <c r="AE652" t="n">
        <v>281990</v>
      </c>
      <c r="AF652" t="n">
        <v>276800</v>
      </c>
      <c r="AG652" t="n">
        <v>22490</v>
      </c>
      <c r="AH652" t="n">
        <v>254310</v>
      </c>
    </row>
    <row r="653">
      <c r="A653" t="inlineStr">
        <is>
          <t>1월</t>
        </is>
      </c>
      <c r="B653" t="inlineStr">
        <is>
          <t>4주차</t>
        </is>
      </c>
      <c r="C653" t="inlineStr">
        <is>
          <t>OR</t>
        </is>
      </c>
      <c r="D653" s="28" t="n">
        <v>46043</v>
      </c>
      <c r="E653" t="inlineStr">
        <is>
          <t>오릭스</t>
        </is>
      </c>
      <c r="F653" t="inlineStr">
        <is>
          <t>홍기태</t>
        </is>
      </c>
      <c r="G653" t="inlineStr">
        <is>
          <t>010-6853-4200</t>
        </is>
      </c>
      <c r="H653" t="inlineStr">
        <is>
          <t>128루8494</t>
        </is>
      </c>
      <c r="I653" t="n">
        <v>16000000</v>
      </c>
      <c r="J653" t="n">
        <v>0.055</v>
      </c>
      <c r="K653" t="n">
        <v>1.65</v>
      </c>
      <c r="L653" t="n">
        <v>0.4</v>
      </c>
      <c r="M653" t="n">
        <v>1.25</v>
      </c>
      <c r="P653" t="inlineStr">
        <is>
          <t>장현경</t>
        </is>
      </c>
      <c r="Q653" t="inlineStr">
        <is>
          <t>사유 :금리불만  /현대캐피탈 9.6%</t>
        </is>
      </c>
      <c r="AB653" t="inlineStr">
        <is>
          <t>엔카</t>
        </is>
      </c>
      <c r="AC653" t="n">
        <v>264000</v>
      </c>
      <c r="AD653" t="n">
        <v>64000</v>
      </c>
      <c r="AE653" t="n">
        <v>200000</v>
      </c>
      <c r="AF653" t="n">
        <v>240000</v>
      </c>
      <c r="AG653" t="n">
        <v>64000</v>
      </c>
      <c r="AH653" t="n">
        <v>176000</v>
      </c>
      <c r="AI653" t="n">
        <v>0</v>
      </c>
    </row>
    <row r="654">
      <c r="A654" t="inlineStr">
        <is>
          <t>1월</t>
        </is>
      </c>
      <c r="B654" t="inlineStr">
        <is>
          <t>4주차</t>
        </is>
      </c>
      <c r="C654" t="inlineStr">
        <is>
          <t>EP</t>
        </is>
      </c>
      <c r="D654" s="28" t="n">
        <v>46043</v>
      </c>
      <c r="E654" t="inlineStr">
        <is>
          <t>현대EP</t>
        </is>
      </c>
      <c r="F654" t="inlineStr">
        <is>
          <t>이준혁</t>
        </is>
      </c>
      <c r="G654" t="inlineStr">
        <is>
          <t>010-9483-0242</t>
        </is>
      </c>
      <c r="H654" t="inlineStr">
        <is>
          <t>61나7277</t>
        </is>
      </c>
      <c r="I654" t="n">
        <v>12000000</v>
      </c>
      <c r="J654" t="n">
        <v>0.075</v>
      </c>
      <c r="K654" t="n">
        <v>1.76</v>
      </c>
      <c r="L654" t="n">
        <v>0.13</v>
      </c>
      <c r="M654" t="n">
        <v>1.63</v>
      </c>
      <c r="P654" t="inlineStr">
        <is>
          <t>정세빈</t>
        </is>
      </c>
      <c r="Q654" t="inlineStr">
        <is>
          <t>홈서비스 36개월</t>
        </is>
      </c>
      <c r="AB654" t="inlineStr">
        <is>
          <t>홈서비스</t>
        </is>
      </c>
      <c r="AC654" t="n">
        <v>211200</v>
      </c>
      <c r="AD654" t="n">
        <v>15600</v>
      </c>
      <c r="AE654" t="n">
        <v>195600</v>
      </c>
      <c r="AF654" t="n">
        <v>192000</v>
      </c>
      <c r="AG654" t="n">
        <v>15600</v>
      </c>
      <c r="AH654" t="n">
        <v>176400</v>
      </c>
      <c r="AI654" t="n">
        <v>0</v>
      </c>
    </row>
    <row r="655">
      <c r="A655" t="inlineStr">
        <is>
          <t>1월</t>
        </is>
      </c>
      <c r="B655" t="inlineStr">
        <is>
          <t>4주차</t>
        </is>
      </c>
      <c r="C655" t="inlineStr">
        <is>
          <t>OR</t>
        </is>
      </c>
      <c r="D655" s="28" t="n">
        <v>46044</v>
      </c>
      <c r="E655" t="inlineStr">
        <is>
          <t>오릭스</t>
        </is>
      </c>
      <c r="F655" t="inlineStr">
        <is>
          <t>민다연</t>
        </is>
      </c>
      <c r="G655" t="n">
        <v>1065866255</v>
      </c>
      <c r="H655" t="inlineStr">
        <is>
          <t>262버4577</t>
        </is>
      </c>
      <c r="I655" t="n">
        <v>39800000</v>
      </c>
      <c r="J655" t="n">
        <v>0.064</v>
      </c>
      <c r="K655" t="n">
        <v>1.65</v>
      </c>
      <c r="L655" t="n">
        <v>0.13</v>
      </c>
      <c r="M655" t="n">
        <v>1.52</v>
      </c>
      <c r="P655" t="inlineStr">
        <is>
          <t>김나윤</t>
        </is>
      </c>
      <c r="Q655" t="inlineStr">
        <is>
          <t>사유: 부대비용필요 / 홈서비스 60개월</t>
        </is>
      </c>
      <c r="AB655" t="inlineStr">
        <is>
          <t>홈서비스</t>
        </is>
      </c>
      <c r="AC655" t="n">
        <v>656700</v>
      </c>
      <c r="AD655" t="n">
        <v>51740</v>
      </c>
      <c r="AE655" t="n">
        <v>604960</v>
      </c>
      <c r="AF655" t="n">
        <v>597000</v>
      </c>
      <c r="AG655" t="n">
        <v>51740</v>
      </c>
      <c r="AH655" t="n">
        <v>545260</v>
      </c>
      <c r="AI655" t="n">
        <v>0</v>
      </c>
    </row>
    <row r="656">
      <c r="A656" t="inlineStr">
        <is>
          <t>1월</t>
        </is>
      </c>
      <c r="B656" t="inlineStr">
        <is>
          <t>4주차</t>
        </is>
      </c>
      <c r="C656" t="inlineStr">
        <is>
          <t>EP</t>
        </is>
      </c>
      <c r="D656" s="28" t="n">
        <v>46044</v>
      </c>
      <c r="E656" t="inlineStr">
        <is>
          <t>현대EP_fast</t>
        </is>
      </c>
      <c r="F656" t="inlineStr">
        <is>
          <t>송희성</t>
        </is>
      </c>
      <c r="G656" t="inlineStr">
        <is>
          <t>010-3541-0528</t>
        </is>
      </c>
      <c r="H656" t="inlineStr">
        <is>
          <t>161주4376</t>
        </is>
      </c>
      <c r="I656" t="n">
        <v>16900000</v>
      </c>
      <c r="J656" t="n">
        <v>0.093</v>
      </c>
      <c r="K656" t="n">
        <v>1.76</v>
      </c>
      <c r="L656" t="n">
        <v>0.13</v>
      </c>
      <c r="M656" t="n">
        <v>1.63</v>
      </c>
      <c r="P656" t="inlineStr">
        <is>
          <t>황채이</t>
        </is>
      </c>
      <c r="Q656" t="inlineStr">
        <is>
          <t>홈서비스 60개월</t>
        </is>
      </c>
      <c r="AB656" t="inlineStr">
        <is>
          <t>홈서비스</t>
        </is>
      </c>
      <c r="AC656" t="n">
        <v>297440</v>
      </c>
      <c r="AD656" t="n">
        <v>21970</v>
      </c>
      <c r="AE656" t="n">
        <v>275470</v>
      </c>
      <c r="AF656" t="n">
        <v>270400</v>
      </c>
      <c r="AG656" t="n">
        <v>21970</v>
      </c>
      <c r="AH656" t="n">
        <v>248430</v>
      </c>
      <c r="AI656" t="n">
        <v>0</v>
      </c>
    </row>
    <row r="657">
      <c r="A657" t="inlineStr">
        <is>
          <t>1월</t>
        </is>
      </c>
      <c r="B657" t="inlineStr">
        <is>
          <t>4주차</t>
        </is>
      </c>
      <c r="C657" t="inlineStr">
        <is>
          <t>EP</t>
        </is>
      </c>
      <c r="D657" s="28" t="n">
        <v>46043</v>
      </c>
      <c r="E657" t="inlineStr">
        <is>
          <t>현대EP_fast</t>
        </is>
      </c>
      <c r="F657" t="inlineStr">
        <is>
          <t>이규송</t>
        </is>
      </c>
      <c r="G657" t="n">
        <v>1033784165</v>
      </c>
      <c r="H657" t="inlineStr">
        <is>
          <t>11다1990</t>
        </is>
      </c>
      <c r="I657" t="n">
        <v>13900000</v>
      </c>
      <c r="J657" t="n">
        <v>0.067</v>
      </c>
      <c r="K657" t="n">
        <v>1.76</v>
      </c>
      <c r="L657" t="n">
        <v>0.13</v>
      </c>
      <c r="M657" t="n">
        <v>1.63</v>
      </c>
      <c r="P657" t="inlineStr">
        <is>
          <t>최형주</t>
        </is>
      </c>
      <c r="Q657" t="inlineStr">
        <is>
          <t>홈서비스 24개월</t>
        </is>
      </c>
      <c r="AB657" t="inlineStr">
        <is>
          <t>홈서비스</t>
        </is>
      </c>
      <c r="AC657" t="n">
        <v>244640</v>
      </c>
      <c r="AD657" t="n">
        <v>18070</v>
      </c>
      <c r="AE657" t="n">
        <v>226570</v>
      </c>
      <c r="AF657" t="n">
        <v>222400</v>
      </c>
      <c r="AG657" t="n">
        <v>18070</v>
      </c>
      <c r="AH657" t="n">
        <v>204330</v>
      </c>
      <c r="AI657" t="n">
        <v>0</v>
      </c>
    </row>
    <row r="658">
      <c r="A658" t="inlineStr">
        <is>
          <t>1월</t>
        </is>
      </c>
      <c r="B658" t="inlineStr">
        <is>
          <t>4주차</t>
        </is>
      </c>
      <c r="C658" t="inlineStr">
        <is>
          <t>EP</t>
        </is>
      </c>
      <c r="D658" s="28" t="n">
        <v>46044</v>
      </c>
      <c r="E658" t="inlineStr">
        <is>
          <t>현대EP_fast</t>
        </is>
      </c>
      <c r="F658" t="inlineStr">
        <is>
          <t>임재영</t>
        </is>
      </c>
      <c r="G658" t="inlineStr">
        <is>
          <t>010-7345-0527</t>
        </is>
      </c>
      <c r="H658" t="inlineStr">
        <is>
          <t>65거0711</t>
        </is>
      </c>
      <c r="I658" t="n">
        <v>8700000</v>
      </c>
      <c r="J658" t="n">
        <v>0.073</v>
      </c>
      <c r="K658" t="n">
        <v>1.76</v>
      </c>
      <c r="L658" t="n">
        <v>0.13</v>
      </c>
      <c r="M658" t="n">
        <v>1.63</v>
      </c>
      <c r="P658" t="inlineStr">
        <is>
          <t>최형주</t>
        </is>
      </c>
      <c r="Q658" t="inlineStr">
        <is>
          <t>홈서비스 60개월</t>
        </is>
      </c>
      <c r="AB658" t="inlineStr">
        <is>
          <t>홈서비스</t>
        </is>
      </c>
      <c r="AC658" t="n">
        <v>153120</v>
      </c>
      <c r="AD658" t="n">
        <v>11310</v>
      </c>
      <c r="AE658" t="n">
        <v>141810</v>
      </c>
      <c r="AF658" t="n">
        <v>139200</v>
      </c>
      <c r="AG658" t="n">
        <v>11310</v>
      </c>
      <c r="AH658" t="n">
        <v>127890</v>
      </c>
      <c r="AI658" t="n">
        <v>0</v>
      </c>
    </row>
    <row r="659">
      <c r="A659" t="inlineStr">
        <is>
          <t>1월</t>
        </is>
      </c>
      <c r="B659" t="inlineStr">
        <is>
          <t>4주차</t>
        </is>
      </c>
      <c r="C659" t="inlineStr">
        <is>
          <t>EP</t>
        </is>
      </c>
      <c r="D659" s="28" t="n">
        <v>46044</v>
      </c>
      <c r="E659" t="inlineStr">
        <is>
          <t>현대EP_fast</t>
        </is>
      </c>
      <c r="F659" t="inlineStr">
        <is>
          <t>김환수</t>
        </is>
      </c>
      <c r="G659" t="inlineStr">
        <is>
          <t>010-4138-0439</t>
        </is>
      </c>
      <c r="H659" t="inlineStr">
        <is>
          <t>66소4982</t>
        </is>
      </c>
      <c r="I659" t="n">
        <v>32900000</v>
      </c>
      <c r="J659" t="n">
        <v>0.067</v>
      </c>
      <c r="K659" t="n">
        <v>1.76</v>
      </c>
      <c r="L659" t="n">
        <v>0.13</v>
      </c>
      <c r="M659" t="n">
        <v>1.63</v>
      </c>
      <c r="P659" t="inlineStr">
        <is>
          <t>황채이</t>
        </is>
      </c>
      <c r="Q659" t="inlineStr">
        <is>
          <t>홈서비스 48개월 /*당월철회 20260123</t>
        </is>
      </c>
      <c r="AB659" t="inlineStr">
        <is>
          <t>홈서비스</t>
        </is>
      </c>
      <c r="AC659" t="n">
        <v>579040</v>
      </c>
      <c r="AD659" t="n">
        <v>42770</v>
      </c>
      <c r="AE659" t="n">
        <v>536270</v>
      </c>
      <c r="AF659" t="n">
        <v>526400</v>
      </c>
      <c r="AG659" t="n">
        <v>42770</v>
      </c>
      <c r="AH659" t="n">
        <v>483630</v>
      </c>
      <c r="AI659" t="n">
        <v>0</v>
      </c>
      <c r="AK659" t="inlineStr">
        <is>
          <t>대출철회</t>
        </is>
      </c>
    </row>
    <row r="660">
      <c r="A660" t="inlineStr">
        <is>
          <t>1월</t>
        </is>
      </c>
      <c r="B660" t="inlineStr">
        <is>
          <t>4주차</t>
        </is>
      </c>
      <c r="C660" t="inlineStr">
        <is>
          <t>EP</t>
        </is>
      </c>
      <c r="D660" s="28" t="n">
        <v>46044</v>
      </c>
      <c r="E660" t="inlineStr">
        <is>
          <t>현대EP_fast</t>
        </is>
      </c>
      <c r="F660" t="inlineStr">
        <is>
          <t>유인호</t>
        </is>
      </c>
      <c r="G660" t="inlineStr">
        <is>
          <t>010-9811-9429</t>
        </is>
      </c>
      <c r="H660" t="inlineStr">
        <is>
          <t>36서7254</t>
        </is>
      </c>
      <c r="I660" t="n">
        <v>10000000</v>
      </c>
      <c r="J660" t="n">
        <v>0.07199999999999999</v>
      </c>
      <c r="K660" t="n">
        <v>1.76</v>
      </c>
      <c r="L660" t="n">
        <v>0.13</v>
      </c>
      <c r="M660" t="n">
        <v>1.63</v>
      </c>
      <c r="P660" t="inlineStr">
        <is>
          <t>최형주</t>
        </is>
      </c>
      <c r="Q660" t="inlineStr">
        <is>
          <t>홈서비스 60개월</t>
        </is>
      </c>
      <c r="AB660" t="inlineStr">
        <is>
          <t>홈서비스</t>
        </is>
      </c>
      <c r="AC660" t="n">
        <v>176000</v>
      </c>
      <c r="AD660" t="n">
        <v>13000</v>
      </c>
      <c r="AE660" t="n">
        <v>163000</v>
      </c>
      <c r="AF660" t="n">
        <v>160000</v>
      </c>
      <c r="AG660" t="n">
        <v>13000</v>
      </c>
      <c r="AH660" t="n">
        <v>147000</v>
      </c>
    </row>
    <row r="661">
      <c r="A661" t="inlineStr">
        <is>
          <t>1월</t>
        </is>
      </c>
      <c r="B661" t="inlineStr">
        <is>
          <t>4주차</t>
        </is>
      </c>
      <c r="C661" t="inlineStr">
        <is>
          <t>OR</t>
        </is>
      </c>
      <c r="D661" s="28" t="n">
        <v>46043</v>
      </c>
      <c r="E661" t="inlineStr">
        <is>
          <t>오릭스</t>
        </is>
      </c>
      <c r="F661" t="inlineStr">
        <is>
          <t>김기욱</t>
        </is>
      </c>
      <c r="G661" t="inlineStr">
        <is>
          <t>010-4444-7902</t>
        </is>
      </c>
      <c r="H661" t="inlineStr">
        <is>
          <t>102모2353</t>
        </is>
      </c>
      <c r="I661" t="n">
        <v>35000000</v>
      </c>
      <c r="J661" t="n">
        <v>0.07199999999999999</v>
      </c>
      <c r="K661" t="n">
        <v>1.65</v>
      </c>
      <c r="L661" t="n">
        <v>0.4</v>
      </c>
      <c r="M661" t="n">
        <v>1.25</v>
      </c>
      <c r="P661" t="inlineStr">
        <is>
          <t>박현민</t>
        </is>
      </c>
      <c r="Q661" t="inlineStr">
        <is>
          <t>사유 : 금리불만</t>
        </is>
      </c>
      <c r="AB661" t="inlineStr">
        <is>
          <t>엔카</t>
        </is>
      </c>
      <c r="AC661" t="n">
        <v>577500</v>
      </c>
      <c r="AD661" t="n">
        <v>140000</v>
      </c>
      <c r="AE661" t="n">
        <v>437500</v>
      </c>
      <c r="AF661" t="n">
        <v>525000</v>
      </c>
      <c r="AG661" t="n">
        <v>140000</v>
      </c>
      <c r="AH661" t="n">
        <v>385000</v>
      </c>
    </row>
    <row r="662">
      <c r="A662" t="inlineStr">
        <is>
          <t>1월</t>
        </is>
      </c>
      <c r="B662" t="inlineStr">
        <is>
          <t>4주차</t>
        </is>
      </c>
      <c r="C662" t="inlineStr">
        <is>
          <t>EP</t>
        </is>
      </c>
      <c r="D662" s="28" t="n">
        <v>46043</v>
      </c>
      <c r="E662" t="inlineStr">
        <is>
          <t>현대EP</t>
        </is>
      </c>
      <c r="F662" t="inlineStr">
        <is>
          <t>정수진</t>
        </is>
      </c>
      <c r="G662" t="inlineStr">
        <is>
          <t>010-9198-1056</t>
        </is>
      </c>
      <c r="H662" t="inlineStr">
        <is>
          <t>31노2484</t>
        </is>
      </c>
      <c r="I662" t="n">
        <v>5800000</v>
      </c>
      <c r="J662" t="n">
        <v>0.075</v>
      </c>
      <c r="K662" t="n">
        <v>1.21</v>
      </c>
      <c r="L662" t="n">
        <v>0.13</v>
      </c>
      <c r="M662" t="n">
        <v>1.08</v>
      </c>
      <c r="P662" t="inlineStr">
        <is>
          <t>정하은</t>
        </is>
      </c>
      <c r="Q662" t="inlineStr">
        <is>
          <t>홈서비스 36개월</t>
        </is>
      </c>
      <c r="AB662" t="inlineStr">
        <is>
          <t>홈서비스</t>
        </is>
      </c>
      <c r="AC662" t="n">
        <v>70180</v>
      </c>
      <c r="AD662" t="n">
        <v>7540</v>
      </c>
      <c r="AE662" t="n">
        <v>62640</v>
      </c>
      <c r="AF662" t="n">
        <v>63800</v>
      </c>
      <c r="AG662" t="n">
        <v>7540</v>
      </c>
      <c r="AH662" t="n">
        <v>56260</v>
      </c>
      <c r="AI662" t="n">
        <v>0</v>
      </c>
    </row>
    <row r="663">
      <c r="A663" t="inlineStr">
        <is>
          <t>1월</t>
        </is>
      </c>
      <c r="B663" t="inlineStr">
        <is>
          <t>4주차</t>
        </is>
      </c>
      <c r="C663" t="inlineStr">
        <is>
          <t>EP</t>
        </is>
      </c>
      <c r="D663" s="28" t="n">
        <v>46044</v>
      </c>
      <c r="E663" t="inlineStr">
        <is>
          <t>현대EP_fast</t>
        </is>
      </c>
      <c r="F663" t="inlineStr">
        <is>
          <t>송원복</t>
        </is>
      </c>
      <c r="G663" t="inlineStr">
        <is>
          <t>010-5028-9490</t>
        </is>
      </c>
      <c r="H663" t="inlineStr">
        <is>
          <t>216다2511</t>
        </is>
      </c>
      <c r="I663" t="n">
        <v>45500000</v>
      </c>
      <c r="J663" t="n">
        <v>0.073</v>
      </c>
      <c r="K663" t="n">
        <v>1.76</v>
      </c>
      <c r="L663" t="n">
        <v>0.13</v>
      </c>
      <c r="M663" t="n">
        <v>1.63</v>
      </c>
      <c r="P663" t="inlineStr">
        <is>
          <t>정광호</t>
        </is>
      </c>
      <c r="Q663" t="inlineStr">
        <is>
          <t>홈서비스 60개월</t>
        </is>
      </c>
      <c r="AB663" t="inlineStr">
        <is>
          <t>홈서비스</t>
        </is>
      </c>
      <c r="AC663" t="n">
        <v>800800</v>
      </c>
      <c r="AD663" t="n">
        <v>59150</v>
      </c>
      <c r="AE663" t="n">
        <v>741650</v>
      </c>
      <c r="AF663" t="n">
        <v>728000</v>
      </c>
      <c r="AG663" t="n">
        <v>59150</v>
      </c>
      <c r="AH663" t="n">
        <v>668850</v>
      </c>
      <c r="AI663" t="n">
        <v>0</v>
      </c>
    </row>
    <row r="664">
      <c r="A664" t="inlineStr">
        <is>
          <t>1월</t>
        </is>
      </c>
      <c r="B664" t="inlineStr">
        <is>
          <t>4주차</t>
        </is>
      </c>
      <c r="C664" t="inlineStr">
        <is>
          <t>OR</t>
        </is>
      </c>
      <c r="D664" s="28" t="n">
        <v>46044</v>
      </c>
      <c r="E664" t="inlineStr">
        <is>
          <t>오릭스</t>
        </is>
      </c>
      <c r="F664" t="inlineStr">
        <is>
          <t>이태훈</t>
        </is>
      </c>
      <c r="G664" t="inlineStr">
        <is>
          <t>010-8007-7302</t>
        </is>
      </c>
      <c r="H664" t="inlineStr">
        <is>
          <t>103수9644</t>
        </is>
      </c>
      <c r="I664" t="n">
        <v>38500000</v>
      </c>
      <c r="J664" t="n">
        <v>0.08</v>
      </c>
      <c r="K664" t="n">
        <v>1.65</v>
      </c>
      <c r="L664" t="n">
        <v>0.4</v>
      </c>
      <c r="M664" t="n">
        <v>1.25</v>
      </c>
      <c r="P664" t="inlineStr">
        <is>
          <t>구성완</t>
        </is>
      </c>
      <c r="Q664" t="inlineStr">
        <is>
          <t>사유 : 금리불만 개월수부족</t>
        </is>
      </c>
      <c r="AB664" t="inlineStr">
        <is>
          <t>엔카</t>
        </is>
      </c>
      <c r="AC664" t="n">
        <v>635250</v>
      </c>
      <c r="AD664" t="n">
        <v>154000</v>
      </c>
      <c r="AE664" t="n">
        <v>481250</v>
      </c>
      <c r="AF664" t="n">
        <v>577500</v>
      </c>
      <c r="AG664" t="n">
        <v>154000</v>
      </c>
      <c r="AH664" t="n">
        <v>423500</v>
      </c>
      <c r="AI664" t="n">
        <v>0</v>
      </c>
    </row>
    <row r="665">
      <c r="A665" t="inlineStr">
        <is>
          <t>1월</t>
        </is>
      </c>
      <c r="B665" t="inlineStr">
        <is>
          <t>4주차</t>
        </is>
      </c>
      <c r="C665" t="inlineStr">
        <is>
          <t>EP</t>
        </is>
      </c>
      <c r="D665" s="28" t="n">
        <v>46044</v>
      </c>
      <c r="E665" t="inlineStr">
        <is>
          <t>현대EP_fast</t>
        </is>
      </c>
      <c r="F665" t="inlineStr">
        <is>
          <t>최기철</t>
        </is>
      </c>
      <c r="G665" t="inlineStr">
        <is>
          <t>010-6288-8478</t>
        </is>
      </c>
      <c r="H665" t="inlineStr">
        <is>
          <t>02너7230</t>
        </is>
      </c>
      <c r="I665" t="n">
        <v>7900000</v>
      </c>
      <c r="J665" t="n">
        <v>0.078</v>
      </c>
      <c r="K665" t="n">
        <v>1.76</v>
      </c>
      <c r="L665" t="n">
        <v>0.13</v>
      </c>
      <c r="M665" t="n">
        <v>1.63</v>
      </c>
      <c r="P665" t="inlineStr">
        <is>
          <t>황채이</t>
        </is>
      </c>
      <c r="Q665" t="inlineStr">
        <is>
          <t>홈서비스 60개월</t>
        </is>
      </c>
      <c r="AB665" t="inlineStr">
        <is>
          <t>홈서비스</t>
        </is>
      </c>
      <c r="AC665" t="n">
        <v>139040</v>
      </c>
      <c r="AD665" t="n">
        <v>10270</v>
      </c>
      <c r="AE665" t="n">
        <v>128770</v>
      </c>
      <c r="AF665" t="n">
        <v>126400</v>
      </c>
      <c r="AG665" t="n">
        <v>10270</v>
      </c>
      <c r="AH665" t="n">
        <v>116130</v>
      </c>
      <c r="AI665" t="n">
        <v>0</v>
      </c>
    </row>
    <row r="666">
      <c r="A666" t="inlineStr">
        <is>
          <t>1월</t>
        </is>
      </c>
      <c r="B666" t="inlineStr">
        <is>
          <t>4주차</t>
        </is>
      </c>
      <c r="C666" t="inlineStr">
        <is>
          <t>EP</t>
        </is>
      </c>
      <c r="D666" s="28" t="n">
        <v>46044</v>
      </c>
      <c r="E666" t="inlineStr">
        <is>
          <t>현대EP_fast</t>
        </is>
      </c>
      <c r="F666" t="inlineStr">
        <is>
          <t>홍민의</t>
        </is>
      </c>
      <c r="G666" t="inlineStr">
        <is>
          <t>010-8889-4448</t>
        </is>
      </c>
      <c r="H666" t="inlineStr">
        <is>
          <t>37우3354</t>
        </is>
      </c>
      <c r="I666" t="n">
        <v>5000000</v>
      </c>
      <c r="J666" t="n">
        <v>0.075</v>
      </c>
      <c r="K666" t="n">
        <v>1.21</v>
      </c>
      <c r="L666" t="n">
        <v>0.13</v>
      </c>
      <c r="M666" t="n">
        <v>1.08</v>
      </c>
      <c r="P666" t="inlineStr">
        <is>
          <t>황채이</t>
        </is>
      </c>
      <c r="Q666" t="inlineStr">
        <is>
          <t>홈서비스 60개월 /*당월철회 20260123</t>
        </is>
      </c>
      <c r="AB666" t="inlineStr">
        <is>
          <t>홈서비스</t>
        </is>
      </c>
      <c r="AC666" t="n">
        <v>60500</v>
      </c>
      <c r="AD666" t="n">
        <v>6500</v>
      </c>
      <c r="AE666" t="n">
        <v>54000</v>
      </c>
      <c r="AF666" t="n">
        <v>55000</v>
      </c>
      <c r="AG666" t="n">
        <v>6500</v>
      </c>
      <c r="AH666" t="n">
        <v>48500</v>
      </c>
      <c r="AI666" t="n">
        <v>0</v>
      </c>
      <c r="AK666" t="inlineStr">
        <is>
          <t>대출철회</t>
        </is>
      </c>
    </row>
    <row r="667">
      <c r="A667" t="inlineStr">
        <is>
          <t>1월</t>
        </is>
      </c>
      <c r="B667" t="inlineStr">
        <is>
          <t>4주차</t>
        </is>
      </c>
      <c r="C667" t="inlineStr">
        <is>
          <t>EP</t>
        </is>
      </c>
      <c r="D667" s="28" t="n">
        <v>46043</v>
      </c>
      <c r="E667" t="inlineStr">
        <is>
          <t>현대EP_fast</t>
        </is>
      </c>
      <c r="F667" t="inlineStr">
        <is>
          <t>김아름</t>
        </is>
      </c>
      <c r="G667" t="inlineStr">
        <is>
          <t>010-4510-9888</t>
        </is>
      </c>
      <c r="H667" t="inlineStr">
        <is>
          <t>309마3227</t>
        </is>
      </c>
      <c r="I667" t="n">
        <v>24000000</v>
      </c>
      <c r="J667" t="n">
        <v>0.073</v>
      </c>
      <c r="K667" t="n">
        <v>1.76</v>
      </c>
      <c r="L667" t="n">
        <v>0.13</v>
      </c>
      <c r="M667" t="n">
        <v>1.63</v>
      </c>
      <c r="P667" t="inlineStr">
        <is>
          <t>장현경</t>
        </is>
      </c>
      <c r="Q667" t="inlineStr">
        <is>
          <t>선상담/ 홈서비스 60개월</t>
        </is>
      </c>
      <c r="AB667" t="inlineStr">
        <is>
          <t>홈서비스</t>
        </is>
      </c>
      <c r="AC667" t="n">
        <v>422400</v>
      </c>
      <c r="AD667" t="n">
        <v>31200</v>
      </c>
      <c r="AE667" t="n">
        <v>391200</v>
      </c>
      <c r="AF667" t="n">
        <v>384000</v>
      </c>
      <c r="AG667" t="n">
        <v>31200</v>
      </c>
      <c r="AH667" t="n">
        <v>352800</v>
      </c>
      <c r="AI667" t="n">
        <v>0</v>
      </c>
    </row>
    <row r="668">
      <c r="A668" t="inlineStr">
        <is>
          <t>1월</t>
        </is>
      </c>
      <c r="B668" t="inlineStr">
        <is>
          <t>4주차</t>
        </is>
      </c>
      <c r="C668" t="inlineStr">
        <is>
          <t>IM</t>
        </is>
      </c>
      <c r="D668" s="28" t="n">
        <v>46042</v>
      </c>
      <c r="E668" t="inlineStr">
        <is>
          <t>IM캐피탈</t>
        </is>
      </c>
      <c r="F668" t="inlineStr">
        <is>
          <t>간현미</t>
        </is>
      </c>
      <c r="G668" t="inlineStr">
        <is>
          <t>010-7759-5256</t>
        </is>
      </c>
      <c r="H668" t="inlineStr">
        <is>
          <t>28부9452</t>
        </is>
      </c>
      <c r="I668" t="n">
        <v>10000000</v>
      </c>
      <c r="J668" t="n">
        <v>0.049</v>
      </c>
      <c r="K668" t="n">
        <v>0.55</v>
      </c>
      <c r="L668" t="n">
        <v>0.4</v>
      </c>
      <c r="M668" t="n">
        <v>0.15</v>
      </c>
      <c r="P668" t="inlineStr">
        <is>
          <t>장진경</t>
        </is>
      </c>
      <c r="Q668" t="inlineStr">
        <is>
          <t>사유 : 부대비용 추가진행건 / 현대 6.4%</t>
        </is>
      </c>
      <c r="AB668" t="inlineStr">
        <is>
          <t>엔카</t>
        </is>
      </c>
      <c r="AC668" t="n">
        <v>55000</v>
      </c>
      <c r="AD668" t="n">
        <v>40000</v>
      </c>
      <c r="AE668" t="n">
        <v>15000</v>
      </c>
      <c r="AF668" t="n">
        <v>50000</v>
      </c>
      <c r="AG668" t="n">
        <v>40000</v>
      </c>
      <c r="AH668" t="n">
        <v>10000</v>
      </c>
      <c r="AI668" t="n">
        <v>0</v>
      </c>
    </row>
    <row r="669">
      <c r="A669" t="inlineStr">
        <is>
          <t>1월</t>
        </is>
      </c>
      <c r="B669" t="inlineStr">
        <is>
          <t>4주차</t>
        </is>
      </c>
      <c r="C669" t="inlineStr">
        <is>
          <t>EP</t>
        </is>
      </c>
      <c r="D669" s="28" t="n">
        <v>46044</v>
      </c>
      <c r="E669" t="inlineStr">
        <is>
          <t>현대EP_fast</t>
        </is>
      </c>
      <c r="F669" t="inlineStr">
        <is>
          <t>박민재</t>
        </is>
      </c>
      <c r="G669" t="inlineStr">
        <is>
          <t>010-5874-0316</t>
        </is>
      </c>
      <c r="H669" t="inlineStr">
        <is>
          <t>360구7080</t>
        </is>
      </c>
      <c r="I669" t="n">
        <v>16000000</v>
      </c>
      <c r="J669" t="n">
        <v>0.075</v>
      </c>
      <c r="K669" t="n">
        <v>1.76</v>
      </c>
      <c r="L669" t="n">
        <v>0.13</v>
      </c>
      <c r="M669" t="n">
        <v>1.63</v>
      </c>
      <c r="P669" t="inlineStr">
        <is>
          <t>장진경</t>
        </is>
      </c>
      <c r="Q669" t="inlineStr">
        <is>
          <t>선상담 / 홈서비스 60개월</t>
        </is>
      </c>
      <c r="AB669" t="inlineStr">
        <is>
          <t>홈서비스</t>
        </is>
      </c>
      <c r="AC669" t="n">
        <v>281600</v>
      </c>
      <c r="AD669" t="n">
        <v>64000</v>
      </c>
      <c r="AE669" t="n">
        <v>260800</v>
      </c>
      <c r="AF669" t="n">
        <v>256000</v>
      </c>
      <c r="AG669" t="n">
        <v>64000</v>
      </c>
      <c r="AH669" t="n">
        <v>192000</v>
      </c>
    </row>
    <row r="670">
      <c r="A670" t="inlineStr">
        <is>
          <t>1월</t>
        </is>
      </c>
      <c r="B670" t="inlineStr">
        <is>
          <t>4주차</t>
        </is>
      </c>
      <c r="C670" t="inlineStr">
        <is>
          <t>EP</t>
        </is>
      </c>
      <c r="D670" s="28" t="n">
        <v>46043</v>
      </c>
      <c r="E670" t="inlineStr">
        <is>
          <t>현대EP</t>
        </is>
      </c>
      <c r="F670" t="inlineStr">
        <is>
          <t>백용걸</t>
        </is>
      </c>
      <c r="G670" t="inlineStr">
        <is>
          <t>010-2608-9405</t>
        </is>
      </c>
      <c r="H670" t="inlineStr">
        <is>
          <t>299모6310</t>
        </is>
      </c>
      <c r="I670" t="n">
        <v>51000000</v>
      </c>
      <c r="J670" t="n">
        <v>0.08699999999999999</v>
      </c>
      <c r="K670" t="n">
        <v>1.76</v>
      </c>
      <c r="L670" t="n">
        <v>0.13</v>
      </c>
      <c r="M670" t="n">
        <v>1.63</v>
      </c>
      <c r="P670" t="inlineStr">
        <is>
          <t>최혁</t>
        </is>
      </c>
      <c r="Q670" t="inlineStr">
        <is>
          <t>홈서비스 60개월</t>
        </is>
      </c>
      <c r="AB670" t="inlineStr">
        <is>
          <t>홈서비스</t>
        </is>
      </c>
      <c r="AC670" t="n">
        <v>897600</v>
      </c>
      <c r="AD670" t="n">
        <v>66300</v>
      </c>
      <c r="AE670" t="n">
        <v>831300</v>
      </c>
      <c r="AF670" t="n">
        <v>816000</v>
      </c>
      <c r="AG670" t="n">
        <v>66300</v>
      </c>
      <c r="AH670" t="n">
        <v>749700</v>
      </c>
    </row>
    <row r="671">
      <c r="A671" t="inlineStr">
        <is>
          <t>1월</t>
        </is>
      </c>
      <c r="B671" t="inlineStr">
        <is>
          <t>4주차</t>
        </is>
      </c>
      <c r="C671" t="inlineStr">
        <is>
          <t>IM</t>
        </is>
      </c>
      <c r="D671" s="28" t="n">
        <v>46044</v>
      </c>
      <c r="E671" t="inlineStr">
        <is>
          <t>IM캐피탈</t>
        </is>
      </c>
      <c r="F671" t="inlineStr">
        <is>
          <t>김민수</t>
        </is>
      </c>
      <c r="G671" t="inlineStr">
        <is>
          <t>010-4621-7604</t>
        </is>
      </c>
      <c r="H671" t="inlineStr">
        <is>
          <t>112로7703</t>
        </is>
      </c>
      <c r="I671" t="n">
        <v>17900000</v>
      </c>
      <c r="J671" t="n">
        <v>0.049</v>
      </c>
      <c r="K671" t="n">
        <v>0.55</v>
      </c>
      <c r="L671" t="n">
        <v>0.13</v>
      </c>
      <c r="M671" t="n">
        <v>0.42</v>
      </c>
      <c r="P671" t="inlineStr">
        <is>
          <t>정세빈</t>
        </is>
      </c>
      <c r="Q671" t="inlineStr">
        <is>
          <t>홈서비스 60개월 / 사유: 기승인건</t>
        </is>
      </c>
      <c r="AB671" t="inlineStr">
        <is>
          <t>홈서비스</t>
        </is>
      </c>
      <c r="AC671" t="n">
        <v>98450</v>
      </c>
      <c r="AD671" t="n">
        <v>23270</v>
      </c>
      <c r="AE671" t="n">
        <v>75180</v>
      </c>
      <c r="AF671" t="n">
        <v>89500</v>
      </c>
      <c r="AG671" t="n">
        <v>23270</v>
      </c>
      <c r="AH671" t="n">
        <v>66230</v>
      </c>
    </row>
    <row r="672">
      <c r="A672" t="inlineStr">
        <is>
          <t>1월</t>
        </is>
      </c>
      <c r="B672" t="inlineStr">
        <is>
          <t>4주차</t>
        </is>
      </c>
      <c r="C672" t="inlineStr">
        <is>
          <t>EP</t>
        </is>
      </c>
      <c r="D672" s="28" t="n">
        <v>46044</v>
      </c>
      <c r="E672" t="inlineStr">
        <is>
          <t>현대EP_fast</t>
        </is>
      </c>
      <c r="F672" t="inlineStr">
        <is>
          <t>채현민</t>
        </is>
      </c>
      <c r="G672" t="inlineStr">
        <is>
          <t>010-9525-9921</t>
        </is>
      </c>
      <c r="H672" t="inlineStr">
        <is>
          <t>60두3745</t>
        </is>
      </c>
      <c r="I672" t="n">
        <v>4900000</v>
      </c>
      <c r="J672" t="n">
        <v>0.062</v>
      </c>
      <c r="K672" t="n">
        <v>1.76</v>
      </c>
      <c r="L672" t="n">
        <v>0.13</v>
      </c>
      <c r="M672" t="n">
        <v>1.63</v>
      </c>
      <c r="P672" t="inlineStr">
        <is>
          <t>정세빈</t>
        </is>
      </c>
      <c r="Q672" t="inlineStr">
        <is>
          <t>홈서비스 24개월 / 금리인하 0.5%적용건 (6.7-&gt;6.2)</t>
        </is>
      </c>
      <c r="AB672" t="inlineStr">
        <is>
          <t>홈서비스</t>
        </is>
      </c>
      <c r="AC672" t="n">
        <v>86240</v>
      </c>
      <c r="AD672" t="n">
        <v>6370</v>
      </c>
      <c r="AE672" t="n">
        <v>79870</v>
      </c>
      <c r="AF672" t="n">
        <v>78400</v>
      </c>
      <c r="AG672" t="n">
        <v>6370</v>
      </c>
      <c r="AH672" t="n">
        <v>72030</v>
      </c>
    </row>
    <row r="673">
      <c r="A673" t="inlineStr">
        <is>
          <t>1월</t>
        </is>
      </c>
      <c r="B673" t="inlineStr">
        <is>
          <t>4주차</t>
        </is>
      </c>
      <c r="C673" t="inlineStr">
        <is>
          <t>EP</t>
        </is>
      </c>
      <c r="D673" s="28" t="n">
        <v>46044</v>
      </c>
      <c r="E673" t="inlineStr">
        <is>
          <t>현대EP_fast</t>
        </is>
      </c>
      <c r="F673" t="inlineStr">
        <is>
          <t>전민성</t>
        </is>
      </c>
      <c r="G673" t="inlineStr">
        <is>
          <t>010-3339-0764</t>
        </is>
      </c>
      <c r="H673" t="inlineStr">
        <is>
          <t>129더5865</t>
        </is>
      </c>
      <c r="I673" t="n">
        <v>8500000</v>
      </c>
      <c r="J673" t="n">
        <v>0.073</v>
      </c>
      <c r="K673" t="n">
        <v>1.76</v>
      </c>
      <c r="L673" t="n">
        <v>0.13</v>
      </c>
      <c r="M673" t="n">
        <v>1.63</v>
      </c>
      <c r="P673" t="inlineStr">
        <is>
          <t>최형주</t>
        </is>
      </c>
      <c r="Q673" t="inlineStr">
        <is>
          <t>홈서비스 24개월</t>
        </is>
      </c>
      <c r="AB673" t="inlineStr">
        <is>
          <t>홈서비스</t>
        </is>
      </c>
      <c r="AC673" t="n">
        <v>149600</v>
      </c>
      <c r="AD673" t="n">
        <v>11050</v>
      </c>
      <c r="AE673" t="n">
        <v>138550</v>
      </c>
      <c r="AF673" t="n">
        <v>136000</v>
      </c>
      <c r="AG673" t="n">
        <v>11050</v>
      </c>
      <c r="AH673" t="n">
        <v>124950</v>
      </c>
    </row>
    <row r="674">
      <c r="A674" t="inlineStr">
        <is>
          <t>1월</t>
        </is>
      </c>
      <c r="B674" t="inlineStr">
        <is>
          <t>4주차</t>
        </is>
      </c>
      <c r="C674" t="inlineStr">
        <is>
          <t>EP</t>
        </is>
      </c>
      <c r="D674" s="28" t="n">
        <v>46044</v>
      </c>
      <c r="E674" t="inlineStr">
        <is>
          <t>현대EP</t>
        </is>
      </c>
      <c r="F674" t="inlineStr">
        <is>
          <t>조옥선</t>
        </is>
      </c>
      <c r="G674" t="inlineStr">
        <is>
          <t>010-6394-1061</t>
        </is>
      </c>
      <c r="H674" t="inlineStr">
        <is>
          <t>33우2993</t>
        </is>
      </c>
      <c r="I674" t="n">
        <v>3300000</v>
      </c>
      <c r="J674" t="n">
        <v>0.067</v>
      </c>
      <c r="K674" t="n">
        <v>1.21</v>
      </c>
      <c r="L674" t="n">
        <v>0.13</v>
      </c>
      <c r="M674" t="n">
        <v>1.08</v>
      </c>
      <c r="P674" t="inlineStr">
        <is>
          <t>황채이</t>
        </is>
      </c>
      <c r="Q674" t="inlineStr">
        <is>
          <t>홈서비스 60개월</t>
        </is>
      </c>
      <c r="AB674" t="inlineStr">
        <is>
          <t>홈서비스</t>
        </is>
      </c>
      <c r="AC674" t="n">
        <v>39930</v>
      </c>
      <c r="AD674" t="n">
        <v>4290</v>
      </c>
      <c r="AE674" t="n">
        <v>35640</v>
      </c>
      <c r="AF674" t="n">
        <v>36300</v>
      </c>
      <c r="AG674" t="n">
        <v>4290</v>
      </c>
      <c r="AH674" t="n">
        <v>32010</v>
      </c>
      <c r="AI674" t="n">
        <v>0</v>
      </c>
    </row>
    <row r="675">
      <c r="A675" t="inlineStr">
        <is>
          <t>1월</t>
        </is>
      </c>
      <c r="B675" t="inlineStr">
        <is>
          <t>4주차</t>
        </is>
      </c>
      <c r="C675" t="inlineStr">
        <is>
          <t>EP</t>
        </is>
      </c>
      <c r="D675" s="28" t="n">
        <v>46043</v>
      </c>
      <c r="E675" t="inlineStr">
        <is>
          <t>현대EP</t>
        </is>
      </c>
      <c r="F675" t="inlineStr">
        <is>
          <t>김현오</t>
        </is>
      </c>
      <c r="G675" t="inlineStr">
        <is>
          <t>010-8500-4473</t>
        </is>
      </c>
      <c r="H675" t="inlineStr">
        <is>
          <t>63노3067</t>
        </is>
      </c>
      <c r="I675" t="n">
        <v>5400000</v>
      </c>
      <c r="J675" t="n">
        <v>0.111</v>
      </c>
      <c r="K675" t="n">
        <v>1.76</v>
      </c>
      <c r="L675" t="n">
        <v>0.13</v>
      </c>
      <c r="M675" t="n">
        <v>1.63</v>
      </c>
      <c r="P675" t="inlineStr">
        <is>
          <t>최혁</t>
        </is>
      </c>
      <c r="Q675" t="inlineStr">
        <is>
          <t>홈서비스 60개월</t>
        </is>
      </c>
      <c r="AB675" t="inlineStr">
        <is>
          <t>홈서비스</t>
        </is>
      </c>
      <c r="AC675" t="n">
        <v>95040</v>
      </c>
      <c r="AD675" t="n">
        <v>7020</v>
      </c>
      <c r="AE675" t="n">
        <v>88020</v>
      </c>
      <c r="AF675" t="n">
        <v>86400</v>
      </c>
      <c r="AG675" t="n">
        <v>7020</v>
      </c>
      <c r="AH675" t="n">
        <v>79380</v>
      </c>
      <c r="AI675" t="n">
        <v>0</v>
      </c>
    </row>
    <row r="676">
      <c r="A676" t="inlineStr">
        <is>
          <t>1월</t>
        </is>
      </c>
      <c r="B676" t="inlineStr">
        <is>
          <t>4주차</t>
        </is>
      </c>
      <c r="C676" t="inlineStr">
        <is>
          <t>EP</t>
        </is>
      </c>
      <c r="D676" s="28" t="n">
        <v>46044</v>
      </c>
      <c r="E676" t="inlineStr">
        <is>
          <t>현대EP</t>
        </is>
      </c>
      <c r="F676" t="inlineStr">
        <is>
          <t>고재윤</t>
        </is>
      </c>
      <c r="G676" t="inlineStr">
        <is>
          <t>010-4229-8485</t>
        </is>
      </c>
      <c r="H676" t="inlineStr">
        <is>
          <t>334노1752</t>
        </is>
      </c>
      <c r="I676" t="n">
        <v>18900000</v>
      </c>
      <c r="J676" t="n">
        <v>0.06900000000000001</v>
      </c>
      <c r="K676" t="n">
        <v>1.76</v>
      </c>
      <c r="L676" t="n">
        <v>0.13</v>
      </c>
      <c r="M676" t="n">
        <v>1.63</v>
      </c>
      <c r="P676" t="inlineStr">
        <is>
          <t>정세빈</t>
        </is>
      </c>
      <c r="Q676" t="inlineStr">
        <is>
          <t>홈서비스 60개월</t>
        </is>
      </c>
      <c r="AB676" t="inlineStr">
        <is>
          <t>홈서비스</t>
        </is>
      </c>
      <c r="AC676" t="n">
        <v>332640</v>
      </c>
      <c r="AD676" t="n">
        <v>24570</v>
      </c>
      <c r="AE676" t="n">
        <v>308070</v>
      </c>
      <c r="AF676" t="n">
        <v>302400</v>
      </c>
      <c r="AG676" t="n">
        <v>24570</v>
      </c>
      <c r="AH676" t="n">
        <v>277830</v>
      </c>
      <c r="AI676" t="n">
        <v>0</v>
      </c>
    </row>
    <row r="677">
      <c r="A677" t="inlineStr">
        <is>
          <t>1월</t>
        </is>
      </c>
      <c r="B677" t="inlineStr">
        <is>
          <t>4주차</t>
        </is>
      </c>
      <c r="C677" t="inlineStr">
        <is>
          <t>EP</t>
        </is>
      </c>
      <c r="D677" s="28" t="n">
        <v>46044</v>
      </c>
      <c r="E677" t="inlineStr">
        <is>
          <t>현대EP</t>
        </is>
      </c>
      <c r="F677" t="inlineStr">
        <is>
          <t>곽희주</t>
        </is>
      </c>
      <c r="G677" t="inlineStr">
        <is>
          <t>010-8604-7735</t>
        </is>
      </c>
      <c r="H677" t="inlineStr">
        <is>
          <t>111구6303</t>
        </is>
      </c>
      <c r="I677" t="n">
        <v>29200000</v>
      </c>
      <c r="J677" t="n">
        <v>0.124</v>
      </c>
      <c r="K677" t="n">
        <v>1.76</v>
      </c>
      <c r="L677" t="n">
        <v>0.13</v>
      </c>
      <c r="M677" t="n">
        <v>1.63</v>
      </c>
      <c r="P677" t="inlineStr">
        <is>
          <t>정세빈</t>
        </is>
      </c>
      <c r="Q677" t="inlineStr">
        <is>
          <t>홈서비스 60개월</t>
        </is>
      </c>
      <c r="AB677" t="inlineStr">
        <is>
          <t>홈서비스</t>
        </is>
      </c>
      <c r="AC677" t="n">
        <v>513920</v>
      </c>
      <c r="AD677" t="n">
        <v>37960</v>
      </c>
      <c r="AE677" t="n">
        <v>475960</v>
      </c>
      <c r="AF677" t="n">
        <v>467200</v>
      </c>
      <c r="AG677" t="n">
        <v>37960</v>
      </c>
      <c r="AH677" t="n">
        <v>429240</v>
      </c>
    </row>
    <row r="678">
      <c r="A678" t="inlineStr">
        <is>
          <t>1월</t>
        </is>
      </c>
      <c r="B678" t="inlineStr">
        <is>
          <t>4주차</t>
        </is>
      </c>
      <c r="C678" t="inlineStr">
        <is>
          <t>EP</t>
        </is>
      </c>
      <c r="D678" s="28" t="n">
        <v>46044</v>
      </c>
      <c r="E678" t="inlineStr">
        <is>
          <t>현대EP</t>
        </is>
      </c>
      <c r="F678" t="inlineStr">
        <is>
          <t>최정도</t>
        </is>
      </c>
      <c r="G678" t="inlineStr">
        <is>
          <t>010-8802-5237</t>
        </is>
      </c>
      <c r="H678" t="inlineStr">
        <is>
          <t>46도0407</t>
        </is>
      </c>
      <c r="I678" t="n">
        <v>7000000</v>
      </c>
      <c r="J678" t="n">
        <v>0.093</v>
      </c>
      <c r="K678" t="n">
        <v>1.76</v>
      </c>
      <c r="L678" t="n">
        <v>0.13</v>
      </c>
      <c r="M678" t="n">
        <v>1.63</v>
      </c>
      <c r="P678" t="inlineStr">
        <is>
          <t>정세빈</t>
        </is>
      </c>
      <c r="Q678" t="inlineStr">
        <is>
          <t>홈서비스 48개월</t>
        </is>
      </c>
      <c r="AB678" t="inlineStr">
        <is>
          <t>홈서비스</t>
        </is>
      </c>
      <c r="AC678" t="n">
        <v>123200</v>
      </c>
      <c r="AD678" t="n">
        <v>9100</v>
      </c>
      <c r="AE678" t="n">
        <v>114100</v>
      </c>
      <c r="AF678" t="n">
        <v>112000</v>
      </c>
      <c r="AG678" t="n">
        <v>9100</v>
      </c>
      <c r="AH678" t="n">
        <v>102900</v>
      </c>
    </row>
    <row r="679">
      <c r="A679" t="inlineStr">
        <is>
          <t>1월</t>
        </is>
      </c>
      <c r="B679" t="inlineStr">
        <is>
          <t>4주차</t>
        </is>
      </c>
      <c r="C679" t="inlineStr">
        <is>
          <t>WC</t>
        </is>
      </c>
      <c r="D679" s="28" t="n">
        <v>46044</v>
      </c>
      <c r="E679" t="inlineStr">
        <is>
          <t>웰컴저축은행</t>
        </is>
      </c>
      <c r="F679" t="inlineStr">
        <is>
          <t>유광현</t>
        </is>
      </c>
      <c r="G679" t="inlineStr">
        <is>
          <t>010-8378-8149</t>
        </is>
      </c>
      <c r="H679" t="inlineStr">
        <is>
          <t>09두0551</t>
        </is>
      </c>
      <c r="I679" t="n">
        <v>12700000</v>
      </c>
      <c r="J679" t="n">
        <v>0.192</v>
      </c>
      <c r="K679" t="n">
        <v>0</v>
      </c>
      <c r="L679" t="n">
        <v>0.4</v>
      </c>
      <c r="M679" t="n">
        <v>-0.4</v>
      </c>
      <c r="P679" t="inlineStr">
        <is>
          <t>박현민</t>
        </is>
      </c>
      <c r="Q679" t="inlineStr">
        <is>
          <t>사유 : 현대부결</t>
        </is>
      </c>
      <c r="AB679" t="inlineStr">
        <is>
          <t>엔카</t>
        </is>
      </c>
      <c r="AC679" t="n">
        <v>0</v>
      </c>
      <c r="AD679" t="n">
        <v>50800</v>
      </c>
      <c r="AE679" t="n">
        <v>-50800</v>
      </c>
      <c r="AF679" t="n">
        <v>0</v>
      </c>
      <c r="AG679" t="n">
        <v>50800</v>
      </c>
      <c r="AH679" t="n">
        <v>-50800</v>
      </c>
      <c r="AI679" t="n">
        <v>0</v>
      </c>
    </row>
    <row r="680">
      <c r="A680" t="inlineStr">
        <is>
          <t>1월</t>
        </is>
      </c>
      <c r="B680" t="inlineStr">
        <is>
          <t>4주차</t>
        </is>
      </c>
      <c r="C680" t="inlineStr">
        <is>
          <t>EP</t>
        </is>
      </c>
      <c r="D680" s="28" t="n">
        <v>46044</v>
      </c>
      <c r="E680" t="inlineStr">
        <is>
          <t>현대EP_fast</t>
        </is>
      </c>
      <c r="F680" t="inlineStr">
        <is>
          <t>송철흥</t>
        </is>
      </c>
      <c r="G680" t="inlineStr">
        <is>
          <t>010-5196-2533</t>
        </is>
      </c>
      <c r="H680" t="inlineStr">
        <is>
          <t>11두9849</t>
        </is>
      </c>
      <c r="I680" t="n">
        <v>5000000</v>
      </c>
      <c r="J680" t="n">
        <v>0.073</v>
      </c>
      <c r="K680" t="n">
        <v>1.76</v>
      </c>
      <c r="L680" t="n">
        <v>0.4</v>
      </c>
      <c r="M680" t="n">
        <v>1.36</v>
      </c>
      <c r="P680" t="inlineStr">
        <is>
          <t>장진경</t>
        </is>
      </c>
      <c r="AB680" t="inlineStr">
        <is>
          <t>엔카</t>
        </is>
      </c>
      <c r="AC680" t="n">
        <v>88000</v>
      </c>
      <c r="AD680" t="n">
        <v>20000</v>
      </c>
      <c r="AE680" t="n">
        <v>68000</v>
      </c>
      <c r="AF680" t="n">
        <v>80000</v>
      </c>
      <c r="AG680" t="n">
        <v>20000</v>
      </c>
      <c r="AH680" t="n">
        <v>60000</v>
      </c>
      <c r="AI680" t="n">
        <v>0</v>
      </c>
    </row>
    <row r="681">
      <c r="A681" t="inlineStr">
        <is>
          <t>1월</t>
        </is>
      </c>
      <c r="B681" t="inlineStr">
        <is>
          <t>4주차</t>
        </is>
      </c>
      <c r="C681" t="inlineStr">
        <is>
          <t>IM</t>
        </is>
      </c>
      <c r="D681" s="28" t="n">
        <v>46041</v>
      </c>
      <c r="E681" t="inlineStr">
        <is>
          <t>IM캐피탈</t>
        </is>
      </c>
      <c r="F681" t="inlineStr">
        <is>
          <t>김민정</t>
        </is>
      </c>
      <c r="G681" t="inlineStr">
        <is>
          <t>010-8879-6655</t>
        </is>
      </c>
      <c r="H681" t="inlineStr">
        <is>
          <t>288조5186</t>
        </is>
      </c>
      <c r="I681" t="n">
        <v>20000000</v>
      </c>
      <c r="J681" t="n">
        <v>0.039</v>
      </c>
      <c r="K681" t="n">
        <v>0.55</v>
      </c>
      <c r="L681" t="n">
        <v>0.4</v>
      </c>
      <c r="M681" t="n">
        <v>0.15</v>
      </c>
      <c r="P681" t="inlineStr">
        <is>
          <t>박소현</t>
        </is>
      </c>
      <c r="Q681" t="inlineStr">
        <is>
          <t>사유 : 기승인건</t>
        </is>
      </c>
      <c r="AB681" t="inlineStr">
        <is>
          <t>엔카</t>
        </is>
      </c>
      <c r="AC681" t="n">
        <v>110000</v>
      </c>
      <c r="AD681" t="n">
        <v>80000</v>
      </c>
      <c r="AE681" t="n">
        <v>30000</v>
      </c>
      <c r="AF681" t="n">
        <v>100000</v>
      </c>
      <c r="AG681" t="n">
        <v>80000</v>
      </c>
      <c r="AH681" t="n">
        <v>20000</v>
      </c>
      <c r="AI681" t="n">
        <v>0</v>
      </c>
    </row>
    <row r="682">
      <c r="A682" t="inlineStr">
        <is>
          <t>1월</t>
        </is>
      </c>
      <c r="B682" t="inlineStr">
        <is>
          <t>4주차</t>
        </is>
      </c>
      <c r="C682" t="inlineStr">
        <is>
          <t>EP</t>
        </is>
      </c>
      <c r="D682" s="28" t="n">
        <v>46044</v>
      </c>
      <c r="E682" t="inlineStr">
        <is>
          <t>현대EP_fast</t>
        </is>
      </c>
      <c r="F682" t="inlineStr">
        <is>
          <t>김미라</t>
        </is>
      </c>
      <c r="G682" t="inlineStr">
        <is>
          <t>010-9022-7390</t>
        </is>
      </c>
      <c r="H682" t="inlineStr">
        <is>
          <t>24버3999</t>
        </is>
      </c>
      <c r="I682" t="n">
        <v>5000000</v>
      </c>
      <c r="J682" t="n">
        <v>0.06900000000000001</v>
      </c>
      <c r="K682" t="n">
        <v>1.76</v>
      </c>
      <c r="L682" t="n">
        <v>0.13</v>
      </c>
      <c r="M682" t="n">
        <v>1.63</v>
      </c>
      <c r="P682" t="inlineStr">
        <is>
          <t>정광호</t>
        </is>
      </c>
      <c r="Q682" t="inlineStr">
        <is>
          <t>홈서비스 48개월</t>
        </is>
      </c>
      <c r="AB682" t="inlineStr">
        <is>
          <t>홈서비스</t>
        </is>
      </c>
      <c r="AC682" t="n">
        <v>88000</v>
      </c>
      <c r="AD682" t="n">
        <v>6500</v>
      </c>
      <c r="AE682" t="n">
        <v>81500</v>
      </c>
      <c r="AF682" t="n">
        <v>80000</v>
      </c>
      <c r="AG682" t="n">
        <v>6500</v>
      </c>
      <c r="AH682" t="n">
        <v>73500</v>
      </c>
      <c r="AI682" t="n">
        <v>1</v>
      </c>
    </row>
    <row r="683">
      <c r="A683" t="inlineStr">
        <is>
          <t>1월</t>
        </is>
      </c>
      <c r="B683" t="inlineStr">
        <is>
          <t>4주차</t>
        </is>
      </c>
      <c r="C683" t="inlineStr">
        <is>
          <t>OR</t>
        </is>
      </c>
      <c r="D683" s="28" t="n">
        <v>46044</v>
      </c>
      <c r="E683" t="inlineStr">
        <is>
          <t>오릭스</t>
        </is>
      </c>
      <c r="F683" t="inlineStr">
        <is>
          <t>장홍국</t>
        </is>
      </c>
      <c r="G683" t="n">
        <v>1023314080</v>
      </c>
      <c r="H683" t="inlineStr">
        <is>
          <t>103가9743</t>
        </is>
      </c>
      <c r="I683" t="n">
        <v>4000000</v>
      </c>
      <c r="J683" t="n">
        <v>0.065</v>
      </c>
      <c r="K683" t="n">
        <v>1.21</v>
      </c>
      <c r="L683" t="n">
        <v>0.13</v>
      </c>
      <c r="M683" t="n">
        <v>1.08</v>
      </c>
      <c r="P683" t="inlineStr">
        <is>
          <t>구성완</t>
        </is>
      </c>
      <c r="Q683" t="inlineStr">
        <is>
          <t>강서 안심거래존건</t>
        </is>
      </c>
      <c r="AB683" t="inlineStr">
        <is>
          <t>믿고</t>
        </is>
      </c>
      <c r="AC683" t="n">
        <v>48400</v>
      </c>
      <c r="AD683" t="n">
        <v>5200</v>
      </c>
      <c r="AE683" t="n">
        <v>43200</v>
      </c>
      <c r="AF683" t="n">
        <v>44000</v>
      </c>
      <c r="AG683" t="n">
        <v>5200</v>
      </c>
      <c r="AH683" t="n">
        <v>38800</v>
      </c>
      <c r="AI683" t="n">
        <v>1</v>
      </c>
    </row>
    <row r="684">
      <c r="A684" t="inlineStr">
        <is>
          <t>1월</t>
        </is>
      </c>
      <c r="B684" t="inlineStr">
        <is>
          <t>4주차</t>
        </is>
      </c>
      <c r="C684" t="inlineStr">
        <is>
          <t>EP</t>
        </is>
      </c>
      <c r="D684" s="28" t="n">
        <v>46043</v>
      </c>
      <c r="E684" t="inlineStr">
        <is>
          <t>제이비EP</t>
        </is>
      </c>
      <c r="F684" t="inlineStr">
        <is>
          <t>김현</t>
        </is>
      </c>
      <c r="G684" t="inlineStr">
        <is>
          <t>010-9850-1739</t>
        </is>
      </c>
      <c r="H684" t="inlineStr">
        <is>
          <t>32라3882</t>
        </is>
      </c>
      <c r="I684" t="n">
        <v>11700000</v>
      </c>
      <c r="J684" t="n">
        <v>0.094</v>
      </c>
      <c r="K684" t="n">
        <v>1.21</v>
      </c>
      <c r="L684" t="n">
        <v>0.13</v>
      </c>
      <c r="M684" t="n">
        <v>1.08</v>
      </c>
      <c r="P684" t="inlineStr">
        <is>
          <t>박보람</t>
        </is>
      </c>
      <c r="Q684" t="inlineStr">
        <is>
          <t>선상담 / 사유 : 기승인건 / 현대캐피탈 11.8%</t>
        </is>
      </c>
      <c r="AB684" t="inlineStr">
        <is>
          <t>홈서비스</t>
        </is>
      </c>
      <c r="AC684" t="n">
        <v>141570</v>
      </c>
      <c r="AD684" t="n">
        <v>15210</v>
      </c>
      <c r="AE684" t="n">
        <v>126360</v>
      </c>
      <c r="AF684" t="n">
        <v>128700</v>
      </c>
      <c r="AG684" t="n">
        <v>15210</v>
      </c>
      <c r="AH684" t="n">
        <v>113490</v>
      </c>
      <c r="AI684" t="n">
        <v>1</v>
      </c>
    </row>
    <row r="685">
      <c r="A685" t="inlineStr">
        <is>
          <t>1월</t>
        </is>
      </c>
      <c r="B685" t="inlineStr">
        <is>
          <t>4주차</t>
        </is>
      </c>
      <c r="C685" t="inlineStr">
        <is>
          <t>EP</t>
        </is>
      </c>
      <c r="D685" s="28" t="n">
        <v>46044</v>
      </c>
      <c r="E685" t="inlineStr">
        <is>
          <t>현대EP</t>
        </is>
      </c>
      <c r="F685" t="inlineStr">
        <is>
          <t>서유삼</t>
        </is>
      </c>
      <c r="G685" t="inlineStr">
        <is>
          <t>010-7473-6363</t>
        </is>
      </c>
      <c r="H685" t="inlineStr">
        <is>
          <t>178로7646</t>
        </is>
      </c>
      <c r="I685" t="n">
        <v>31000000</v>
      </c>
      <c r="J685" t="n">
        <v>0.075</v>
      </c>
      <c r="K685" t="n">
        <v>1.76</v>
      </c>
      <c r="L685" t="n">
        <v>0.13</v>
      </c>
      <c r="M685" t="n">
        <v>1.63</v>
      </c>
      <c r="P685" t="inlineStr">
        <is>
          <t>정광호</t>
        </is>
      </c>
      <c r="Q685" t="inlineStr">
        <is>
          <t>홈서비스 48개월/ *누락 추가기재</t>
        </is>
      </c>
      <c r="AB685" t="inlineStr">
        <is>
          <t>홈서비스</t>
        </is>
      </c>
      <c r="AC685" t="n">
        <v>545600</v>
      </c>
      <c r="AD685" t="n">
        <v>40300</v>
      </c>
      <c r="AE685" t="n">
        <v>505300</v>
      </c>
      <c r="AF685" t="n">
        <v>496000</v>
      </c>
      <c r="AG685" t="n">
        <v>40300</v>
      </c>
      <c r="AH685" t="n">
        <v>455700</v>
      </c>
    </row>
    <row r="686">
      <c r="A686" t="inlineStr">
        <is>
          <t>1월</t>
        </is>
      </c>
      <c r="B686" t="inlineStr">
        <is>
          <t>4주차</t>
        </is>
      </c>
      <c r="C686" t="inlineStr">
        <is>
          <t>EP</t>
        </is>
      </c>
      <c r="D686" s="28" t="n">
        <v>46045</v>
      </c>
      <c r="E686" t="inlineStr">
        <is>
          <t>현대EP_fast</t>
        </is>
      </c>
      <c r="F686" t="inlineStr">
        <is>
          <t>유승일</t>
        </is>
      </c>
      <c r="G686" t="inlineStr">
        <is>
          <t>010-7770-7997</t>
        </is>
      </c>
      <c r="H686" t="inlineStr">
        <is>
          <t>12저9620</t>
        </is>
      </c>
      <c r="I686" t="n">
        <v>4000000</v>
      </c>
      <c r="J686" t="n">
        <v>0.068</v>
      </c>
      <c r="K686" t="n">
        <v>1.76</v>
      </c>
      <c r="L686" t="n">
        <v>0.13</v>
      </c>
      <c r="M686" t="n">
        <v>1.63</v>
      </c>
      <c r="P686" t="inlineStr">
        <is>
          <t>정세빈</t>
        </is>
      </c>
      <c r="Q686" t="inlineStr">
        <is>
          <t>홈서비스 36개월 / 금리인하 0.5%적용건 (7.3-&gt;6.8)</t>
        </is>
      </c>
      <c r="AB686" t="inlineStr">
        <is>
          <t>홈서비스</t>
        </is>
      </c>
      <c r="AC686" t="n">
        <v>70400</v>
      </c>
      <c r="AD686" t="n">
        <v>5200</v>
      </c>
      <c r="AE686" t="n">
        <v>65200</v>
      </c>
      <c r="AF686" t="n">
        <v>64000</v>
      </c>
      <c r="AG686" t="n">
        <v>5200</v>
      </c>
      <c r="AH686" t="n">
        <v>58800</v>
      </c>
      <c r="AI686" t="n">
        <v>0</v>
      </c>
    </row>
    <row r="687">
      <c r="A687" t="inlineStr">
        <is>
          <t>1월</t>
        </is>
      </c>
      <c r="B687" t="inlineStr">
        <is>
          <t>4주차</t>
        </is>
      </c>
      <c r="C687" t="inlineStr">
        <is>
          <t>EP</t>
        </is>
      </c>
      <c r="D687" s="28" t="n">
        <v>46044</v>
      </c>
      <c r="E687" t="inlineStr">
        <is>
          <t>현대EP_fast</t>
        </is>
      </c>
      <c r="F687" t="inlineStr">
        <is>
          <t>김현수</t>
        </is>
      </c>
      <c r="G687" t="inlineStr">
        <is>
          <t>010-4628-6905</t>
        </is>
      </c>
      <c r="H687" t="inlineStr">
        <is>
          <t>53로3106</t>
        </is>
      </c>
      <c r="I687" t="n">
        <v>12000000</v>
      </c>
      <c r="J687" t="n">
        <v>0.08500000000000001</v>
      </c>
      <c r="K687" t="n">
        <v>1.76</v>
      </c>
      <c r="L687" t="n">
        <v>0.13</v>
      </c>
      <c r="M687" t="n">
        <v>1.63</v>
      </c>
      <c r="P687" t="inlineStr">
        <is>
          <t>정하은</t>
        </is>
      </c>
      <c r="Q687" t="inlineStr">
        <is>
          <t>홈서비스 48개월</t>
        </is>
      </c>
      <c r="AB687" t="inlineStr">
        <is>
          <t>홈서비스</t>
        </is>
      </c>
      <c r="AC687" t="n">
        <v>211200</v>
      </c>
      <c r="AD687" t="n">
        <v>15600</v>
      </c>
      <c r="AE687" t="n">
        <v>195600</v>
      </c>
      <c r="AF687" t="n">
        <v>192000</v>
      </c>
      <c r="AG687" t="n">
        <v>15600</v>
      </c>
      <c r="AH687" t="n">
        <v>176400</v>
      </c>
    </row>
    <row r="688">
      <c r="A688" t="inlineStr">
        <is>
          <t>1월</t>
        </is>
      </c>
      <c r="B688" t="inlineStr">
        <is>
          <t>4주차</t>
        </is>
      </c>
      <c r="C688" t="inlineStr">
        <is>
          <t>EP</t>
        </is>
      </c>
      <c r="D688" s="28" t="n">
        <v>46044</v>
      </c>
      <c r="E688" t="inlineStr">
        <is>
          <t>현대EP</t>
        </is>
      </c>
      <c r="F688" t="inlineStr">
        <is>
          <t>반병현</t>
        </is>
      </c>
      <c r="G688" t="inlineStr">
        <is>
          <t>010-9786-5114</t>
        </is>
      </c>
      <c r="H688" t="inlineStr">
        <is>
          <t>15머3506</t>
        </is>
      </c>
      <c r="I688" t="n">
        <v>24300000</v>
      </c>
      <c r="J688" t="n">
        <v>0.07199999999999999</v>
      </c>
      <c r="K688" t="n">
        <v>1.76</v>
      </c>
      <c r="L688" t="n">
        <v>0.13</v>
      </c>
      <c r="M688" t="n">
        <v>1.63</v>
      </c>
      <c r="P688" t="inlineStr">
        <is>
          <t>최형주</t>
        </is>
      </c>
      <c r="Q688" t="inlineStr">
        <is>
          <t>홈서비스 48개월</t>
        </is>
      </c>
      <c r="AB688" t="inlineStr">
        <is>
          <t>홈서비스</t>
        </is>
      </c>
      <c r="AC688" t="n">
        <v>427680</v>
      </c>
      <c r="AD688" t="n">
        <v>31590</v>
      </c>
      <c r="AE688" t="n">
        <v>396090</v>
      </c>
      <c r="AF688" t="n">
        <v>388800</v>
      </c>
      <c r="AG688" t="n">
        <v>31590</v>
      </c>
      <c r="AH688" t="n">
        <v>357210</v>
      </c>
      <c r="AI688" t="n">
        <v>0</v>
      </c>
    </row>
    <row r="689">
      <c r="A689" t="inlineStr">
        <is>
          <t>1월</t>
        </is>
      </c>
      <c r="B689" t="inlineStr">
        <is>
          <t>4주차</t>
        </is>
      </c>
      <c r="C689" t="inlineStr">
        <is>
          <t>EP</t>
        </is>
      </c>
      <c r="D689" s="28" t="n">
        <v>46045</v>
      </c>
      <c r="E689" t="inlineStr">
        <is>
          <t>현대EP_fast</t>
        </is>
      </c>
      <c r="F689" t="inlineStr">
        <is>
          <t>최문석</t>
        </is>
      </c>
      <c r="G689" t="inlineStr">
        <is>
          <t>010-4560-1986</t>
        </is>
      </c>
      <c r="H689" t="inlineStr">
        <is>
          <t>228보2164</t>
        </is>
      </c>
      <c r="I689" t="n">
        <v>20000000</v>
      </c>
      <c r="J689" t="n">
        <v>0.057</v>
      </c>
      <c r="K689" t="n">
        <v>1.21</v>
      </c>
      <c r="L689" t="n">
        <v>0.13</v>
      </c>
      <c r="M689" t="n">
        <v>1.08</v>
      </c>
      <c r="P689" t="inlineStr">
        <is>
          <t>정광호</t>
        </is>
      </c>
      <c r="Q689" t="inlineStr">
        <is>
          <t>홈서비스 36개월</t>
        </is>
      </c>
      <c r="AB689" t="inlineStr">
        <is>
          <t>홈서비스</t>
        </is>
      </c>
      <c r="AC689" t="n">
        <v>242000</v>
      </c>
      <c r="AD689" t="n">
        <v>26000</v>
      </c>
      <c r="AE689" t="n">
        <v>216000</v>
      </c>
      <c r="AF689" t="n">
        <v>220000</v>
      </c>
      <c r="AG689" t="n">
        <v>26000</v>
      </c>
      <c r="AH689" t="n">
        <v>194000</v>
      </c>
      <c r="AI689" t="n">
        <v>0</v>
      </c>
    </row>
    <row r="690">
      <c r="A690" t="inlineStr">
        <is>
          <t>1월</t>
        </is>
      </c>
      <c r="B690" t="inlineStr">
        <is>
          <t>4주차</t>
        </is>
      </c>
      <c r="C690" t="inlineStr">
        <is>
          <t>EP</t>
        </is>
      </c>
      <c r="D690" s="28" t="n">
        <v>46045</v>
      </c>
      <c r="E690" t="inlineStr">
        <is>
          <t>현대EP_fast</t>
        </is>
      </c>
      <c r="F690" t="inlineStr">
        <is>
          <t>맹예준</t>
        </is>
      </c>
      <c r="G690" t="inlineStr">
        <is>
          <t>010-7632-8867</t>
        </is>
      </c>
      <c r="H690" t="inlineStr">
        <is>
          <t>235나3723</t>
        </is>
      </c>
      <c r="I690" t="n">
        <v>10000000</v>
      </c>
      <c r="J690" t="n">
        <v>0.083</v>
      </c>
      <c r="K690" t="n">
        <v>1.76</v>
      </c>
      <c r="L690" t="n">
        <v>0.13</v>
      </c>
      <c r="M690" t="n">
        <v>1.63</v>
      </c>
      <c r="P690" t="inlineStr">
        <is>
          <t>최형주</t>
        </is>
      </c>
      <c r="Q690" t="inlineStr">
        <is>
          <t>홈서비스 36개월</t>
        </is>
      </c>
      <c r="AB690" t="inlineStr">
        <is>
          <t>홈서비스</t>
        </is>
      </c>
      <c r="AC690" t="n">
        <v>176000</v>
      </c>
      <c r="AD690" t="n">
        <v>13000</v>
      </c>
      <c r="AE690" t="n">
        <v>163000</v>
      </c>
      <c r="AF690" t="n">
        <v>160000</v>
      </c>
      <c r="AG690" t="n">
        <v>13000</v>
      </c>
      <c r="AH690" t="n">
        <v>147000</v>
      </c>
    </row>
    <row r="691">
      <c r="A691" t="inlineStr">
        <is>
          <t>1월</t>
        </is>
      </c>
      <c r="B691" t="inlineStr">
        <is>
          <t>4주차</t>
        </is>
      </c>
      <c r="C691" t="inlineStr">
        <is>
          <t>EP</t>
        </is>
      </c>
      <c r="D691" s="28" t="n">
        <v>46045</v>
      </c>
      <c r="E691" t="inlineStr">
        <is>
          <t>현대EP_fast</t>
        </is>
      </c>
      <c r="F691" t="inlineStr">
        <is>
          <t>이재복</t>
        </is>
      </c>
      <c r="G691" t="inlineStr">
        <is>
          <t>010-4947-4144</t>
        </is>
      </c>
      <c r="H691" t="inlineStr">
        <is>
          <t>61너4439</t>
        </is>
      </c>
      <c r="I691" t="n">
        <v>22600000</v>
      </c>
      <c r="J691" t="n">
        <v>0.099</v>
      </c>
      <c r="K691" t="n">
        <v>1.76</v>
      </c>
      <c r="L691" t="n">
        <v>0.13</v>
      </c>
      <c r="M691" t="n">
        <v>1.63</v>
      </c>
      <c r="P691" t="inlineStr">
        <is>
          <t>정세빈</t>
        </is>
      </c>
      <c r="Q691" t="inlineStr">
        <is>
          <t>홈서비스 60개월</t>
        </is>
      </c>
      <c r="AB691" t="inlineStr">
        <is>
          <t>홈서비스</t>
        </is>
      </c>
      <c r="AC691" t="n">
        <v>397760</v>
      </c>
      <c r="AD691" t="n">
        <v>29380</v>
      </c>
      <c r="AE691" t="n">
        <v>368380</v>
      </c>
      <c r="AF691" t="n">
        <v>361600</v>
      </c>
      <c r="AG691" t="n">
        <v>29380</v>
      </c>
      <c r="AH691" t="n">
        <v>332220</v>
      </c>
    </row>
    <row r="692">
      <c r="A692" t="inlineStr">
        <is>
          <t>1월</t>
        </is>
      </c>
      <c r="B692" t="inlineStr">
        <is>
          <t>4주차</t>
        </is>
      </c>
      <c r="C692" t="inlineStr">
        <is>
          <t>EP</t>
        </is>
      </c>
      <c r="D692" s="28" t="n">
        <v>46045</v>
      </c>
      <c r="E692" t="inlineStr">
        <is>
          <t>현대EP_fast</t>
        </is>
      </c>
      <c r="F692" t="inlineStr">
        <is>
          <t>김소라</t>
        </is>
      </c>
      <c r="G692" t="inlineStr">
        <is>
          <t>010-3382-0214</t>
        </is>
      </c>
      <c r="H692" t="inlineStr">
        <is>
          <t>58보7759</t>
        </is>
      </c>
      <c r="I692" t="n">
        <v>5500000</v>
      </c>
      <c r="J692" t="n">
        <v>0.082</v>
      </c>
      <c r="K692" t="n">
        <v>1.21</v>
      </c>
      <c r="L692" t="n">
        <v>0.13</v>
      </c>
      <c r="M692" t="n">
        <v>1.08</v>
      </c>
      <c r="P692" t="inlineStr">
        <is>
          <t>황채이</t>
        </is>
      </c>
      <c r="Q692" t="inlineStr">
        <is>
          <t>홈서비스 48개월 / 금리인하 0.5%적용건(8.7-&gt;8.2) /*중도상환 20260129</t>
        </is>
      </c>
      <c r="AB692" t="inlineStr">
        <is>
          <t>홈서비스</t>
        </is>
      </c>
      <c r="AC692" t="n">
        <v>66550</v>
      </c>
      <c r="AD692" t="n">
        <v>7150</v>
      </c>
      <c r="AE692" t="n">
        <v>59400</v>
      </c>
      <c r="AF692" t="n">
        <v>60500</v>
      </c>
      <c r="AG692" t="n">
        <v>7150</v>
      </c>
      <c r="AH692" t="n">
        <v>53350</v>
      </c>
      <c r="AI692" t="n">
        <v>0</v>
      </c>
      <c r="AK692" t="inlineStr">
        <is>
          <t>중도상환</t>
        </is>
      </c>
    </row>
    <row r="693">
      <c r="A693" t="inlineStr">
        <is>
          <t>1월</t>
        </is>
      </c>
      <c r="B693" t="inlineStr">
        <is>
          <t>4주차</t>
        </is>
      </c>
      <c r="C693" t="inlineStr">
        <is>
          <t>EP</t>
        </is>
      </c>
      <c r="D693" s="28" t="n">
        <v>46045</v>
      </c>
      <c r="E693" t="inlineStr">
        <is>
          <t>현대EP_fast</t>
        </is>
      </c>
      <c r="F693" t="inlineStr">
        <is>
          <t>김윤경</t>
        </is>
      </c>
      <c r="G693" t="inlineStr">
        <is>
          <t>010-5460-7815</t>
        </is>
      </c>
      <c r="H693" t="inlineStr">
        <is>
          <t>101라8611</t>
        </is>
      </c>
      <c r="I693" t="n">
        <v>10000000</v>
      </c>
      <c r="J693" t="n">
        <v>0.067</v>
      </c>
      <c r="K693" t="n">
        <v>1.76</v>
      </c>
      <c r="L693" t="n">
        <v>0.13</v>
      </c>
      <c r="M693" t="n">
        <v>1.63</v>
      </c>
      <c r="P693" t="inlineStr">
        <is>
          <t>최형주</t>
        </is>
      </c>
      <c r="Q693" t="inlineStr">
        <is>
          <t>홈서비스 60개월</t>
        </is>
      </c>
      <c r="AB693" t="inlineStr">
        <is>
          <t>홈서비스</t>
        </is>
      </c>
      <c r="AC693" t="n">
        <v>176000</v>
      </c>
      <c r="AD693" t="n">
        <v>13000</v>
      </c>
      <c r="AE693" t="n">
        <v>163000</v>
      </c>
      <c r="AF693" t="n">
        <v>160000</v>
      </c>
      <c r="AG693" t="n">
        <v>13000</v>
      </c>
      <c r="AH693" t="n">
        <v>147000</v>
      </c>
      <c r="AI693" t="n">
        <v>0</v>
      </c>
    </row>
    <row r="694">
      <c r="A694" t="inlineStr">
        <is>
          <t>1월</t>
        </is>
      </c>
      <c r="B694" t="inlineStr">
        <is>
          <t>4주차</t>
        </is>
      </c>
      <c r="C694" t="inlineStr">
        <is>
          <t>WC</t>
        </is>
      </c>
      <c r="D694" s="28" t="n">
        <v>46044</v>
      </c>
      <c r="E694" t="inlineStr">
        <is>
          <t>웰컴저축은행</t>
        </is>
      </c>
      <c r="F694" t="inlineStr">
        <is>
          <t>강준호</t>
        </is>
      </c>
      <c r="G694" t="inlineStr">
        <is>
          <t>010-6447-1337</t>
        </is>
      </c>
      <c r="H694" t="inlineStr">
        <is>
          <t>124보4693</t>
        </is>
      </c>
      <c r="I694" t="n">
        <v>33200000</v>
      </c>
      <c r="J694" t="n">
        <v>0.192</v>
      </c>
      <c r="K694" t="n">
        <v>0</v>
      </c>
      <c r="L694" t="n">
        <v>0.4</v>
      </c>
      <c r="M694" t="n">
        <v>-0.4</v>
      </c>
      <c r="P694" t="inlineStr">
        <is>
          <t>구성완</t>
        </is>
      </c>
      <c r="AB694" t="inlineStr">
        <is>
          <t>엔카</t>
        </is>
      </c>
      <c r="AC694" t="n">
        <v>0</v>
      </c>
      <c r="AD694" t="n">
        <v>132800</v>
      </c>
      <c r="AE694" t="n">
        <v>-132800</v>
      </c>
      <c r="AF694" t="n">
        <v>0</v>
      </c>
      <c r="AG694" t="n">
        <v>132800</v>
      </c>
      <c r="AH694" t="n">
        <v>-132800</v>
      </c>
    </row>
    <row r="695">
      <c r="A695" t="inlineStr">
        <is>
          <t>1월</t>
        </is>
      </c>
      <c r="B695" t="inlineStr">
        <is>
          <t>4주차</t>
        </is>
      </c>
      <c r="C695" t="inlineStr">
        <is>
          <t>IM</t>
        </is>
      </c>
      <c r="D695" s="28" t="n">
        <v>46045</v>
      </c>
      <c r="E695" t="inlineStr">
        <is>
          <t>IM캐피탈</t>
        </is>
      </c>
      <c r="F695" t="inlineStr">
        <is>
          <t>김주규</t>
        </is>
      </c>
      <c r="G695" t="inlineStr">
        <is>
          <t>010-2416-7280</t>
        </is>
      </c>
      <c r="H695" t="inlineStr">
        <is>
          <t>51노1605</t>
        </is>
      </c>
      <c r="I695" t="n">
        <v>13000000</v>
      </c>
      <c r="J695" t="n">
        <v>0.06</v>
      </c>
      <c r="K695" t="n">
        <v>0.55</v>
      </c>
      <c r="L695" t="n">
        <v>0.13</v>
      </c>
      <c r="M695" t="n">
        <v>0.42</v>
      </c>
      <c r="P695" t="inlineStr">
        <is>
          <t>구성완</t>
        </is>
      </c>
      <c r="Q695" t="inlineStr">
        <is>
          <t>강서 안심거래존건 / 사유: 기승인건</t>
        </is>
      </c>
      <c r="AB695" t="inlineStr">
        <is>
          <t>믿고</t>
        </is>
      </c>
      <c r="AC695" t="n">
        <v>71500</v>
      </c>
      <c r="AD695" t="n">
        <v>16900</v>
      </c>
      <c r="AE695" t="n">
        <v>54600</v>
      </c>
      <c r="AF695" t="n">
        <v>65000</v>
      </c>
      <c r="AG695" t="n">
        <v>16900</v>
      </c>
      <c r="AH695" t="n">
        <v>48100</v>
      </c>
      <c r="AI695" t="n">
        <v>0</v>
      </c>
    </row>
    <row r="696">
      <c r="A696" t="inlineStr">
        <is>
          <t>1월</t>
        </is>
      </c>
      <c r="B696" t="inlineStr">
        <is>
          <t>4주차</t>
        </is>
      </c>
      <c r="C696" t="inlineStr">
        <is>
          <t>EP</t>
        </is>
      </c>
      <c r="D696" s="28" t="n">
        <v>46043</v>
      </c>
      <c r="E696" t="inlineStr">
        <is>
          <t>현대EP_fast</t>
        </is>
      </c>
      <c r="F696" t="inlineStr">
        <is>
          <t>송동현</t>
        </is>
      </c>
      <c r="G696" t="inlineStr">
        <is>
          <t>010-3191-2366</t>
        </is>
      </c>
      <c r="H696" t="inlineStr">
        <is>
          <t>132가2631</t>
        </is>
      </c>
      <c r="I696" t="n">
        <v>68500000</v>
      </c>
      <c r="J696" t="n">
        <v>0.08500000000000001</v>
      </c>
      <c r="K696" t="n">
        <v>1.76</v>
      </c>
      <c r="L696" t="n">
        <v>0.4</v>
      </c>
      <c r="M696" t="n">
        <v>1.36</v>
      </c>
      <c r="P696" t="inlineStr">
        <is>
          <t>박소현</t>
        </is>
      </c>
      <c r="Q696" t="inlineStr">
        <is>
          <t>금융플러스 : 정성현</t>
        </is>
      </c>
      <c r="AB696" t="inlineStr">
        <is>
          <t>딜러유입</t>
        </is>
      </c>
      <c r="AC696" t="n">
        <v>1205600</v>
      </c>
      <c r="AD696" t="n">
        <v>274000</v>
      </c>
      <c r="AE696" t="n">
        <v>931600</v>
      </c>
      <c r="AF696" t="n">
        <v>1096000</v>
      </c>
      <c r="AG696" t="n">
        <v>274000</v>
      </c>
      <c r="AH696" t="n">
        <v>822000</v>
      </c>
      <c r="AI696" t="n">
        <v>0</v>
      </c>
    </row>
    <row r="697">
      <c r="A697" t="inlineStr">
        <is>
          <t>1월</t>
        </is>
      </c>
      <c r="B697" t="inlineStr">
        <is>
          <t>4주차</t>
        </is>
      </c>
      <c r="C697" t="inlineStr">
        <is>
          <t>EP</t>
        </is>
      </c>
      <c r="D697" s="28" t="n">
        <v>46045</v>
      </c>
      <c r="E697" t="inlineStr">
        <is>
          <t>현대EP_fast</t>
        </is>
      </c>
      <c r="F697" t="inlineStr">
        <is>
          <t>정영주</t>
        </is>
      </c>
      <c r="G697" t="inlineStr">
        <is>
          <t>010-8584-6614</t>
        </is>
      </c>
      <c r="H697" t="inlineStr">
        <is>
          <t>166무1527</t>
        </is>
      </c>
      <c r="I697" t="n">
        <v>19700000</v>
      </c>
      <c r="J697" t="n">
        <v>0.067</v>
      </c>
      <c r="K697" t="n">
        <v>1.76</v>
      </c>
      <c r="L697" t="n">
        <v>0.13</v>
      </c>
      <c r="M697" t="n">
        <v>1.63</v>
      </c>
      <c r="P697" t="inlineStr">
        <is>
          <t>최형주</t>
        </is>
      </c>
      <c r="Q697" t="inlineStr">
        <is>
          <t>홈서비스 60개월</t>
        </is>
      </c>
      <c r="AB697" t="inlineStr">
        <is>
          <t>홈서비스</t>
        </is>
      </c>
      <c r="AC697" t="n">
        <v>346720</v>
      </c>
      <c r="AD697" t="n">
        <v>25610</v>
      </c>
      <c r="AE697" t="n">
        <v>321110</v>
      </c>
      <c r="AF697" t="n">
        <v>315200</v>
      </c>
      <c r="AG697" t="n">
        <v>25610</v>
      </c>
      <c r="AH697" t="n">
        <v>289590</v>
      </c>
      <c r="AI697" t="n">
        <v>0</v>
      </c>
    </row>
    <row r="698">
      <c r="A698" t="inlineStr">
        <is>
          <t>1월</t>
        </is>
      </c>
      <c r="B698" t="inlineStr">
        <is>
          <t>4주차</t>
        </is>
      </c>
      <c r="C698" t="inlineStr">
        <is>
          <t>EP</t>
        </is>
      </c>
      <c r="D698" s="28" t="n">
        <v>46044</v>
      </c>
      <c r="E698" t="inlineStr">
        <is>
          <t>현대EP</t>
        </is>
      </c>
      <c r="F698" t="inlineStr">
        <is>
          <t>조준영</t>
        </is>
      </c>
      <c r="G698" t="inlineStr">
        <is>
          <t>010-4756-0979</t>
        </is>
      </c>
      <c r="H698" t="inlineStr">
        <is>
          <t>180보6261</t>
        </is>
      </c>
      <c r="I698" t="n">
        <v>25000000</v>
      </c>
      <c r="J698" t="n">
        <v>0.06900000000000001</v>
      </c>
      <c r="K698" t="n">
        <v>1.21</v>
      </c>
      <c r="L698" t="n">
        <v>0.13</v>
      </c>
      <c r="M698" t="n">
        <v>1.08</v>
      </c>
      <c r="P698" t="inlineStr">
        <is>
          <t>최혁</t>
        </is>
      </c>
      <c r="Q698" t="inlineStr">
        <is>
          <t>홈서비스 60개월</t>
        </is>
      </c>
      <c r="AB698" t="inlineStr">
        <is>
          <t>홈서비스</t>
        </is>
      </c>
      <c r="AC698" t="n">
        <v>302500</v>
      </c>
      <c r="AD698" t="n">
        <v>32500</v>
      </c>
      <c r="AE698" t="n">
        <v>270000</v>
      </c>
      <c r="AF698" t="n">
        <v>275000</v>
      </c>
      <c r="AG698" t="n">
        <v>32500</v>
      </c>
      <c r="AH698" t="n">
        <v>242500</v>
      </c>
      <c r="AI698" t="n">
        <v>0</v>
      </c>
    </row>
    <row r="699">
      <c r="A699" t="inlineStr">
        <is>
          <t>1월</t>
        </is>
      </c>
      <c r="B699" t="inlineStr">
        <is>
          <t>4주차</t>
        </is>
      </c>
      <c r="C699" t="inlineStr">
        <is>
          <t>OR</t>
        </is>
      </c>
      <c r="D699" s="28" t="n">
        <v>46045</v>
      </c>
      <c r="E699" t="inlineStr">
        <is>
          <t>오릭스</t>
        </is>
      </c>
      <c r="F699" t="inlineStr">
        <is>
          <t>정준휘</t>
        </is>
      </c>
      <c r="G699" t="inlineStr">
        <is>
          <t>010-7251-3778</t>
        </is>
      </c>
      <c r="H699" t="inlineStr">
        <is>
          <t>02마8941</t>
        </is>
      </c>
      <c r="I699" t="n">
        <v>17600000</v>
      </c>
      <c r="J699" t="n">
        <v>0.08</v>
      </c>
      <c r="K699" t="n">
        <v>1.65</v>
      </c>
      <c r="L699" t="n">
        <v>0.13</v>
      </c>
      <c r="M699" t="n">
        <v>1.52</v>
      </c>
      <c r="P699" t="inlineStr">
        <is>
          <t>황채이</t>
        </is>
      </c>
      <c r="Q699" t="inlineStr">
        <is>
          <t>사유 : 금리불만 및 부대비용추가 / 현대 11.1%</t>
        </is>
      </c>
      <c r="AB699" t="inlineStr">
        <is>
          <t>홈서비스</t>
        </is>
      </c>
      <c r="AC699" t="n">
        <v>290400</v>
      </c>
      <c r="AD699" t="n">
        <v>22880</v>
      </c>
      <c r="AE699" t="n">
        <v>267520</v>
      </c>
      <c r="AF699" t="n">
        <v>264000</v>
      </c>
      <c r="AG699" t="n">
        <v>22880</v>
      </c>
      <c r="AH699" t="n">
        <v>241120</v>
      </c>
    </row>
    <row r="700">
      <c r="A700" t="inlineStr">
        <is>
          <t>1월</t>
        </is>
      </c>
      <c r="B700" t="inlineStr">
        <is>
          <t>4주차</t>
        </is>
      </c>
      <c r="C700" t="inlineStr">
        <is>
          <t>EP</t>
        </is>
      </c>
      <c r="D700" s="28" t="n">
        <v>46045</v>
      </c>
      <c r="E700" t="inlineStr">
        <is>
          <t>현대EP_fast</t>
        </is>
      </c>
      <c r="F700" t="inlineStr">
        <is>
          <t>최영철</t>
        </is>
      </c>
      <c r="G700" t="inlineStr">
        <is>
          <t>010-2494-2902</t>
        </is>
      </c>
      <c r="H700" t="inlineStr">
        <is>
          <t>235어6338</t>
        </is>
      </c>
      <c r="I700" t="n">
        <v>11900000</v>
      </c>
      <c r="J700" t="n">
        <v>0.106</v>
      </c>
      <c r="K700" t="n">
        <v>1.76</v>
      </c>
      <c r="L700" t="n">
        <v>0.13</v>
      </c>
      <c r="M700" t="n">
        <v>1.63</v>
      </c>
      <c r="P700" t="inlineStr">
        <is>
          <t>정세빈</t>
        </is>
      </c>
      <c r="Q700" t="inlineStr">
        <is>
          <t>홈서비스 60개월 / 금리인하 0.5%적용건 (11.1-&gt;10.6)</t>
        </is>
      </c>
      <c r="AB700" t="inlineStr">
        <is>
          <t>홈서비스</t>
        </is>
      </c>
      <c r="AC700" t="n">
        <v>209440</v>
      </c>
      <c r="AD700" t="n">
        <v>15470</v>
      </c>
      <c r="AE700" t="n">
        <v>193970</v>
      </c>
      <c r="AF700" t="n">
        <v>190400</v>
      </c>
      <c r="AG700" t="n">
        <v>15470</v>
      </c>
      <c r="AH700" t="n">
        <v>174930</v>
      </c>
      <c r="AI700" t="n">
        <v>0</v>
      </c>
    </row>
    <row r="701">
      <c r="A701" t="inlineStr">
        <is>
          <t>1월</t>
        </is>
      </c>
      <c r="B701" t="inlineStr">
        <is>
          <t>4주차</t>
        </is>
      </c>
      <c r="C701" t="inlineStr">
        <is>
          <t>EP</t>
        </is>
      </c>
      <c r="D701" s="28" t="n">
        <v>46045</v>
      </c>
      <c r="E701" t="inlineStr">
        <is>
          <t>현대EP_fast</t>
        </is>
      </c>
      <c r="F701" t="inlineStr">
        <is>
          <t>성인규</t>
        </is>
      </c>
      <c r="G701" t="inlineStr">
        <is>
          <t>010-8830-0732</t>
        </is>
      </c>
      <c r="H701" t="inlineStr">
        <is>
          <t>55가6684</t>
        </is>
      </c>
      <c r="I701" t="n">
        <v>22600000</v>
      </c>
      <c r="J701" t="n">
        <v>0.137</v>
      </c>
      <c r="K701" t="n">
        <v>1.76</v>
      </c>
      <c r="L701" t="n">
        <v>0.13</v>
      </c>
      <c r="M701" t="n">
        <v>1.63</v>
      </c>
      <c r="P701" t="inlineStr">
        <is>
          <t>최혁</t>
        </is>
      </c>
      <c r="Q701" t="inlineStr">
        <is>
          <t>홈서비스48개월</t>
        </is>
      </c>
      <c r="AB701" t="inlineStr">
        <is>
          <t>홈서비스</t>
        </is>
      </c>
      <c r="AC701" t="n">
        <v>397760</v>
      </c>
      <c r="AD701" t="n">
        <v>29380</v>
      </c>
      <c r="AE701" t="n">
        <v>368380</v>
      </c>
      <c r="AF701" t="n">
        <v>361600</v>
      </c>
      <c r="AG701" t="n">
        <v>29380</v>
      </c>
      <c r="AH701" t="n">
        <v>332220</v>
      </c>
      <c r="AI701" t="n">
        <v>0</v>
      </c>
    </row>
    <row r="702">
      <c r="A702" t="inlineStr">
        <is>
          <t>1월</t>
        </is>
      </c>
      <c r="B702" t="inlineStr">
        <is>
          <t>4주차</t>
        </is>
      </c>
      <c r="C702" t="inlineStr">
        <is>
          <t>EP</t>
        </is>
      </c>
      <c r="D702" s="28" t="n">
        <v>46045</v>
      </c>
      <c r="E702" t="inlineStr">
        <is>
          <t>현대EP_fast</t>
        </is>
      </c>
      <c r="F702" t="inlineStr">
        <is>
          <t>김전식</t>
        </is>
      </c>
      <c r="G702" t="inlineStr">
        <is>
          <t>010-7207-3166</t>
        </is>
      </c>
      <c r="H702" t="inlineStr">
        <is>
          <t>18마3621</t>
        </is>
      </c>
      <c r="I702" t="n">
        <v>13500000</v>
      </c>
      <c r="J702" t="n">
        <v>0.07199999999999999</v>
      </c>
      <c r="K702" t="n">
        <v>1.76</v>
      </c>
      <c r="L702" t="n">
        <v>0.13</v>
      </c>
      <c r="M702" t="n">
        <v>1.63</v>
      </c>
      <c r="P702" t="inlineStr">
        <is>
          <t>최형주</t>
        </is>
      </c>
      <c r="Q702" t="inlineStr">
        <is>
          <t>홈서비스 60개월</t>
        </is>
      </c>
      <c r="AB702" t="inlineStr">
        <is>
          <t>홈서비스</t>
        </is>
      </c>
      <c r="AC702" t="n">
        <v>237600</v>
      </c>
      <c r="AD702" t="n">
        <v>17550</v>
      </c>
      <c r="AE702" t="n">
        <v>220050</v>
      </c>
      <c r="AF702" t="n">
        <v>216000</v>
      </c>
      <c r="AG702" t="n">
        <v>17550</v>
      </c>
      <c r="AH702" t="n">
        <v>198450</v>
      </c>
      <c r="AI702" t="n">
        <v>0</v>
      </c>
    </row>
    <row r="703">
      <c r="A703" t="inlineStr">
        <is>
          <t>1월</t>
        </is>
      </c>
      <c r="B703" t="inlineStr">
        <is>
          <t>4주차</t>
        </is>
      </c>
      <c r="C703" t="inlineStr">
        <is>
          <t>EP</t>
        </is>
      </c>
      <c r="D703" s="28" t="n">
        <v>46044</v>
      </c>
      <c r="E703" t="inlineStr">
        <is>
          <t>현대EP_fast</t>
        </is>
      </c>
      <c r="F703" t="inlineStr">
        <is>
          <t>권기성</t>
        </is>
      </c>
      <c r="G703" t="n">
        <v>1031245615</v>
      </c>
      <c r="H703" t="inlineStr">
        <is>
          <t>324저1915</t>
        </is>
      </c>
      <c r="I703" t="n">
        <v>50000000</v>
      </c>
      <c r="J703" t="n">
        <v>0.067</v>
      </c>
      <c r="K703" t="n">
        <v>1.76</v>
      </c>
      <c r="L703" t="n">
        <v>0.13</v>
      </c>
      <c r="M703" t="n">
        <v>1.63</v>
      </c>
      <c r="P703" t="inlineStr">
        <is>
          <t>김나윤</t>
        </is>
      </c>
      <c r="Q703" t="inlineStr">
        <is>
          <t>홈서비스 60개월</t>
        </is>
      </c>
      <c r="AB703" t="inlineStr">
        <is>
          <t>홈서비스</t>
        </is>
      </c>
      <c r="AC703" t="n">
        <v>880000</v>
      </c>
      <c r="AD703" t="n">
        <v>65000</v>
      </c>
      <c r="AE703" t="n">
        <v>815000</v>
      </c>
      <c r="AF703" t="n">
        <v>800000</v>
      </c>
      <c r="AG703" t="n">
        <v>65000</v>
      </c>
      <c r="AH703" t="n">
        <v>735000</v>
      </c>
      <c r="AI703" t="n">
        <v>0</v>
      </c>
    </row>
    <row r="704">
      <c r="A704" t="inlineStr">
        <is>
          <t>1월</t>
        </is>
      </c>
      <c r="B704" t="inlineStr">
        <is>
          <t>4주차</t>
        </is>
      </c>
      <c r="C704" t="inlineStr">
        <is>
          <t>EP</t>
        </is>
      </c>
      <c r="D704" s="28" t="n">
        <v>46045</v>
      </c>
      <c r="E704" t="inlineStr">
        <is>
          <t>현대EP_fast</t>
        </is>
      </c>
      <c r="F704" t="inlineStr">
        <is>
          <t>하금호</t>
        </is>
      </c>
      <c r="G704" t="inlineStr">
        <is>
          <t>010-2937-5663</t>
        </is>
      </c>
      <c r="H704" t="inlineStr">
        <is>
          <t>314조4963</t>
        </is>
      </c>
      <c r="I704" t="n">
        <v>18900000</v>
      </c>
      <c r="J704" t="n">
        <v>0.06900000000000001</v>
      </c>
      <c r="K704" t="n">
        <v>1.76</v>
      </c>
      <c r="L704" t="n">
        <v>0.13</v>
      </c>
      <c r="M704" t="n">
        <v>1.63</v>
      </c>
      <c r="P704" t="inlineStr">
        <is>
          <t>최혁</t>
        </is>
      </c>
      <c r="Q704" t="inlineStr">
        <is>
          <t>홈서비스48개월/미성년자 오프라인 설정건</t>
        </is>
      </c>
      <c r="AB704" t="inlineStr">
        <is>
          <t>홈서비스</t>
        </is>
      </c>
      <c r="AC704" t="n">
        <v>332640</v>
      </c>
      <c r="AD704" t="n">
        <v>24570</v>
      </c>
      <c r="AE704" t="n">
        <v>308070</v>
      </c>
      <c r="AF704" t="n">
        <v>302400</v>
      </c>
      <c r="AG704" t="n">
        <v>24570</v>
      </c>
      <c r="AH704" t="n">
        <v>277830</v>
      </c>
      <c r="AI704" t="n">
        <v>0</v>
      </c>
    </row>
    <row r="705">
      <c r="A705" t="inlineStr">
        <is>
          <t>1월</t>
        </is>
      </c>
      <c r="B705" t="inlineStr">
        <is>
          <t>4주차</t>
        </is>
      </c>
      <c r="C705" t="inlineStr">
        <is>
          <t>EP</t>
        </is>
      </c>
      <c r="D705" s="28" t="n">
        <v>46045</v>
      </c>
      <c r="E705" t="inlineStr">
        <is>
          <t>현대EP</t>
        </is>
      </c>
      <c r="F705" t="inlineStr">
        <is>
          <t>이정은</t>
        </is>
      </c>
      <c r="G705" t="inlineStr">
        <is>
          <t>010-3943-7680</t>
        </is>
      </c>
      <c r="H705" t="inlineStr">
        <is>
          <t>67주6668</t>
        </is>
      </c>
      <c r="I705" t="n">
        <v>28600000</v>
      </c>
      <c r="J705" t="n">
        <v>0.06900000000000001</v>
      </c>
      <c r="K705" t="n">
        <v>1.76</v>
      </c>
      <c r="L705" t="n">
        <v>0.13</v>
      </c>
      <c r="M705" t="n">
        <v>1.63</v>
      </c>
      <c r="P705" t="inlineStr">
        <is>
          <t>황채이</t>
        </is>
      </c>
      <c r="Q705" t="inlineStr">
        <is>
          <t>홈서비스 36개월</t>
        </is>
      </c>
      <c r="AB705" t="inlineStr">
        <is>
          <t>홈서비스</t>
        </is>
      </c>
      <c r="AC705" t="n">
        <v>503360</v>
      </c>
      <c r="AD705" t="n">
        <v>37180</v>
      </c>
      <c r="AE705" t="n">
        <v>466180</v>
      </c>
      <c r="AF705" t="n">
        <v>457600</v>
      </c>
      <c r="AG705" t="n">
        <v>37180</v>
      </c>
      <c r="AH705" t="n">
        <v>420420</v>
      </c>
      <c r="AI705" t="n">
        <v>0</v>
      </c>
    </row>
    <row r="706">
      <c r="A706" t="inlineStr">
        <is>
          <t>1월</t>
        </is>
      </c>
      <c r="B706" t="inlineStr">
        <is>
          <t>4주차</t>
        </is>
      </c>
      <c r="C706" t="inlineStr">
        <is>
          <t>OR</t>
        </is>
      </c>
      <c r="D706" s="28" t="n">
        <v>46044</v>
      </c>
      <c r="E706" t="inlineStr">
        <is>
          <t>오릭스</t>
        </is>
      </c>
      <c r="F706" t="inlineStr">
        <is>
          <t>김진섭</t>
        </is>
      </c>
      <c r="G706" t="n">
        <v>1063245168</v>
      </c>
      <c r="H706" t="inlineStr">
        <is>
          <t>88라0824</t>
        </is>
      </c>
      <c r="I706" t="n">
        <v>19800000</v>
      </c>
      <c r="J706" t="n">
        <v>0.054</v>
      </c>
      <c r="K706" t="n">
        <v>1.65</v>
      </c>
      <c r="L706" t="n">
        <v>0.13</v>
      </c>
      <c r="M706" t="n">
        <v>1.52</v>
      </c>
      <c r="P706" t="inlineStr">
        <is>
          <t>김나윤</t>
        </is>
      </c>
      <c r="Q706" t="inlineStr">
        <is>
          <t>사유: 금리불만 / 홈서비스 60개월 / 현대캐피탈 6.9%</t>
        </is>
      </c>
      <c r="AB706" t="inlineStr">
        <is>
          <t>홈서비스</t>
        </is>
      </c>
      <c r="AC706" t="n">
        <v>326700</v>
      </c>
      <c r="AD706" t="n">
        <v>25740</v>
      </c>
      <c r="AE706" t="n">
        <v>300960</v>
      </c>
      <c r="AF706" t="n">
        <v>297000</v>
      </c>
      <c r="AG706" t="n">
        <v>25740</v>
      </c>
      <c r="AH706" t="n">
        <v>271260</v>
      </c>
      <c r="AI706" t="n">
        <v>0</v>
      </c>
    </row>
    <row r="707">
      <c r="A707" t="inlineStr">
        <is>
          <t>1월</t>
        </is>
      </c>
      <c r="B707" t="inlineStr">
        <is>
          <t>4주차</t>
        </is>
      </c>
      <c r="C707" t="inlineStr">
        <is>
          <t>IM</t>
        </is>
      </c>
      <c r="D707" s="28" t="n">
        <v>46043</v>
      </c>
      <c r="E707" t="inlineStr">
        <is>
          <t>IM캐피탈</t>
        </is>
      </c>
      <c r="F707" t="inlineStr">
        <is>
          <t>박문수</t>
        </is>
      </c>
      <c r="G707" t="inlineStr">
        <is>
          <t>010-5505-5199</t>
        </is>
      </c>
      <c r="H707" t="inlineStr">
        <is>
          <t>114머1639</t>
        </is>
      </c>
      <c r="I707" t="n">
        <v>26000000</v>
      </c>
      <c r="J707" t="n">
        <v>0.053</v>
      </c>
      <c r="K707" t="n">
        <v>0.55</v>
      </c>
      <c r="L707" t="n">
        <v>0.4</v>
      </c>
      <c r="M707" t="n">
        <v>0.15</v>
      </c>
      <c r="P707" t="inlineStr">
        <is>
          <t>임대경</t>
        </is>
      </c>
      <c r="Q707" t="inlineStr">
        <is>
          <t>사유: 금리불만 /현대캐피탈 7.5%/기승인건</t>
        </is>
      </c>
      <c r="AB707" t="inlineStr">
        <is>
          <t>엔카</t>
        </is>
      </c>
      <c r="AC707" t="n">
        <v>143000</v>
      </c>
      <c r="AD707" t="n">
        <v>104000</v>
      </c>
      <c r="AE707" t="n">
        <v>39000</v>
      </c>
      <c r="AF707" t="n">
        <v>130000</v>
      </c>
      <c r="AG707" t="n">
        <v>104000</v>
      </c>
      <c r="AH707" t="n">
        <v>26000</v>
      </c>
    </row>
    <row r="708">
      <c r="A708" t="inlineStr">
        <is>
          <t>1월</t>
        </is>
      </c>
      <c r="B708" t="inlineStr">
        <is>
          <t>4주차</t>
        </is>
      </c>
      <c r="C708" t="inlineStr">
        <is>
          <t>EP</t>
        </is>
      </c>
      <c r="D708" s="28" t="n">
        <v>46045</v>
      </c>
      <c r="E708" t="inlineStr">
        <is>
          <t>현대EP_fast</t>
        </is>
      </c>
      <c r="F708" t="inlineStr">
        <is>
          <t>박찬호</t>
        </is>
      </c>
      <c r="G708" t="inlineStr">
        <is>
          <t>010-8480-5431</t>
        </is>
      </c>
      <c r="H708" t="inlineStr">
        <is>
          <t>238오9005</t>
        </is>
      </c>
      <c r="I708" t="n">
        <v>7000000</v>
      </c>
      <c r="J708" t="n">
        <v>0.07199999999999999</v>
      </c>
      <c r="K708" t="n">
        <v>1.76</v>
      </c>
      <c r="L708" t="n">
        <v>0.13</v>
      </c>
      <c r="M708" t="n">
        <v>1.63</v>
      </c>
      <c r="P708" t="inlineStr">
        <is>
          <t>정세빈</t>
        </is>
      </c>
      <c r="Q708" t="inlineStr">
        <is>
          <t>홈서비스 24개월</t>
        </is>
      </c>
      <c r="AB708" t="inlineStr">
        <is>
          <t>홈서비스</t>
        </is>
      </c>
      <c r="AC708" t="n">
        <v>123200</v>
      </c>
      <c r="AD708" t="n">
        <v>9100</v>
      </c>
      <c r="AE708" t="n">
        <v>114100</v>
      </c>
      <c r="AF708" t="n">
        <v>112000</v>
      </c>
      <c r="AG708" t="n">
        <v>9100</v>
      </c>
      <c r="AH708" t="n">
        <v>102900</v>
      </c>
      <c r="AI708" t="n">
        <v>0</v>
      </c>
    </row>
    <row r="709">
      <c r="A709" t="inlineStr">
        <is>
          <t>1월</t>
        </is>
      </c>
      <c r="B709" t="inlineStr">
        <is>
          <t>4주차</t>
        </is>
      </c>
      <c r="C709" t="inlineStr">
        <is>
          <t>EP</t>
        </is>
      </c>
      <c r="D709" s="28" t="n">
        <v>46045</v>
      </c>
      <c r="E709" t="inlineStr">
        <is>
          <t>현대EP</t>
        </is>
      </c>
      <c r="F709" t="inlineStr">
        <is>
          <t>김현성</t>
        </is>
      </c>
      <c r="G709" t="inlineStr">
        <is>
          <t>010-9439-6726</t>
        </is>
      </c>
      <c r="H709" t="inlineStr">
        <is>
          <t>124버6286</t>
        </is>
      </c>
      <c r="I709" t="n">
        <v>38900000</v>
      </c>
      <c r="J709" t="n">
        <v>0.06900000000000001</v>
      </c>
      <c r="K709" t="n">
        <v>1.76</v>
      </c>
      <c r="L709" t="n">
        <v>0.13</v>
      </c>
      <c r="M709" t="n">
        <v>1.63</v>
      </c>
      <c r="P709" t="inlineStr">
        <is>
          <t>김나윤</t>
        </is>
      </c>
      <c r="Q709" t="inlineStr">
        <is>
          <t>홈서비스 36개월</t>
        </is>
      </c>
      <c r="AB709" t="inlineStr">
        <is>
          <t>홈서비스</t>
        </is>
      </c>
      <c r="AC709" t="n">
        <v>684640</v>
      </c>
      <c r="AD709" t="n">
        <v>50570</v>
      </c>
      <c r="AE709" t="n">
        <v>634070</v>
      </c>
      <c r="AF709" t="n">
        <v>622400</v>
      </c>
      <c r="AG709" t="n">
        <v>50570</v>
      </c>
      <c r="AH709" t="n">
        <v>571830</v>
      </c>
      <c r="AI709" t="n">
        <v>0</v>
      </c>
    </row>
    <row r="710">
      <c r="A710" t="inlineStr">
        <is>
          <t>1월</t>
        </is>
      </c>
      <c r="B710" t="inlineStr">
        <is>
          <t>4주차</t>
        </is>
      </c>
      <c r="C710" t="inlineStr">
        <is>
          <t>EP</t>
        </is>
      </c>
      <c r="D710" s="28" t="n">
        <v>46044</v>
      </c>
      <c r="E710" t="inlineStr">
        <is>
          <t>현대EP_fast</t>
        </is>
      </c>
      <c r="F710" t="inlineStr">
        <is>
          <t>고재환</t>
        </is>
      </c>
      <c r="G710" t="inlineStr">
        <is>
          <t>010-3232-7327</t>
        </is>
      </c>
      <c r="H710" t="inlineStr">
        <is>
          <t>383러2247</t>
        </is>
      </c>
      <c r="I710" t="n">
        <v>14500000</v>
      </c>
      <c r="J710" t="n">
        <v>0.115</v>
      </c>
      <c r="K710" t="n">
        <v>1.76</v>
      </c>
      <c r="L710" t="n">
        <v>0.13</v>
      </c>
      <c r="M710" t="n">
        <v>1.63</v>
      </c>
      <c r="P710" t="inlineStr">
        <is>
          <t>정하은</t>
        </is>
      </c>
      <c r="Q710" t="inlineStr">
        <is>
          <t>홈서비스 48개월</t>
        </is>
      </c>
      <c r="AB710" t="inlineStr">
        <is>
          <t>홈서비스</t>
        </is>
      </c>
      <c r="AC710" t="n">
        <v>255200</v>
      </c>
      <c r="AD710" t="n">
        <v>18850</v>
      </c>
      <c r="AE710" t="n">
        <v>236350</v>
      </c>
      <c r="AF710" t="n">
        <v>232000</v>
      </c>
      <c r="AG710" t="n">
        <v>18850</v>
      </c>
      <c r="AH710" t="n">
        <v>213150</v>
      </c>
      <c r="AI710" t="n">
        <v>0</v>
      </c>
    </row>
    <row r="711">
      <c r="A711" t="inlineStr">
        <is>
          <t>1월</t>
        </is>
      </c>
      <c r="B711" t="inlineStr">
        <is>
          <t>4주차</t>
        </is>
      </c>
      <c r="C711" t="inlineStr">
        <is>
          <t>EP</t>
        </is>
      </c>
      <c r="D711" s="28" t="n">
        <v>46045</v>
      </c>
      <c r="E711" t="inlineStr">
        <is>
          <t>현대EP</t>
        </is>
      </c>
      <c r="F711" t="inlineStr">
        <is>
          <t>김성일</t>
        </is>
      </c>
      <c r="G711" t="inlineStr">
        <is>
          <t>010-8893-7863</t>
        </is>
      </c>
      <c r="H711" t="inlineStr">
        <is>
          <t>169무9672</t>
        </is>
      </c>
      <c r="I711" t="n">
        <v>10000000</v>
      </c>
      <c r="J711" t="n">
        <v>0.06900000000000001</v>
      </c>
      <c r="K711" t="n">
        <v>1.76</v>
      </c>
      <c r="L711" t="n">
        <v>0.13</v>
      </c>
      <c r="M711" t="n">
        <v>1.63</v>
      </c>
      <c r="P711" t="inlineStr">
        <is>
          <t>최형주</t>
        </is>
      </c>
      <c r="Q711" t="inlineStr">
        <is>
          <t>홈서비스 48개월</t>
        </is>
      </c>
      <c r="AB711" t="inlineStr">
        <is>
          <t>홈서비스</t>
        </is>
      </c>
      <c r="AC711" t="n">
        <v>176000</v>
      </c>
      <c r="AD711" t="n">
        <v>13000</v>
      </c>
      <c r="AE711" t="n">
        <v>163000</v>
      </c>
      <c r="AF711" t="n">
        <v>160000</v>
      </c>
      <c r="AG711" t="n">
        <v>13000</v>
      </c>
      <c r="AH711" t="n">
        <v>147000</v>
      </c>
      <c r="AI711" t="n">
        <v>0</v>
      </c>
    </row>
    <row r="712">
      <c r="A712" t="inlineStr">
        <is>
          <t>1월</t>
        </is>
      </c>
      <c r="B712" t="inlineStr">
        <is>
          <t>4주차</t>
        </is>
      </c>
      <c r="C712" t="inlineStr">
        <is>
          <t>EP</t>
        </is>
      </c>
      <c r="D712" s="28" t="n">
        <v>46045</v>
      </c>
      <c r="E712" t="inlineStr">
        <is>
          <t>현대EP</t>
        </is>
      </c>
      <c r="F712" t="inlineStr">
        <is>
          <t>유성현</t>
        </is>
      </c>
      <c r="G712" t="inlineStr">
        <is>
          <t>010-6528-7775</t>
        </is>
      </c>
      <c r="H712" t="inlineStr">
        <is>
          <t>102어7174</t>
        </is>
      </c>
      <c r="I712" t="n">
        <v>15400000</v>
      </c>
      <c r="J712" t="n">
        <v>0.075</v>
      </c>
      <c r="K712" t="n">
        <v>1.76</v>
      </c>
      <c r="L712" t="n">
        <v>0.13</v>
      </c>
      <c r="M712" t="n">
        <v>1.63</v>
      </c>
      <c r="P712" t="inlineStr">
        <is>
          <t>최혁</t>
        </is>
      </c>
      <c r="Q712" t="inlineStr">
        <is>
          <t>홈서비스 36개월</t>
        </is>
      </c>
      <c r="AB712" t="inlineStr">
        <is>
          <t>홈서비스</t>
        </is>
      </c>
      <c r="AC712" t="n">
        <v>271040</v>
      </c>
      <c r="AD712" t="n">
        <v>20020</v>
      </c>
      <c r="AE712" t="n">
        <v>251020</v>
      </c>
      <c r="AF712" t="n">
        <v>246400</v>
      </c>
      <c r="AG712" t="n">
        <v>20020</v>
      </c>
      <c r="AH712" t="n">
        <v>226380</v>
      </c>
      <c r="AI712" t="n">
        <v>0</v>
      </c>
    </row>
    <row r="713">
      <c r="A713" t="inlineStr">
        <is>
          <t>1월</t>
        </is>
      </c>
      <c r="B713" t="inlineStr">
        <is>
          <t>4주차</t>
        </is>
      </c>
      <c r="C713" t="inlineStr">
        <is>
          <t>EP</t>
        </is>
      </c>
      <c r="D713" s="28" t="n">
        <v>46046</v>
      </c>
      <c r="E713" t="inlineStr">
        <is>
          <t>현대EP_fast</t>
        </is>
      </c>
      <c r="F713" t="inlineStr">
        <is>
          <t>어명규</t>
        </is>
      </c>
      <c r="G713" t="inlineStr">
        <is>
          <t>010-5706-4800</t>
        </is>
      </c>
      <c r="H713" t="inlineStr">
        <is>
          <t>16라5450</t>
        </is>
      </c>
      <c r="I713" t="n">
        <v>8000000</v>
      </c>
      <c r="J713" t="n">
        <v>0.067</v>
      </c>
      <c r="K713" t="n">
        <v>1.76</v>
      </c>
      <c r="L713" t="n">
        <v>0.13</v>
      </c>
      <c r="M713" t="n">
        <v>1.63</v>
      </c>
      <c r="P713" t="inlineStr">
        <is>
          <t>정세빈</t>
        </is>
      </c>
      <c r="Q713" t="inlineStr">
        <is>
          <t>강서 안심거래존건</t>
        </is>
      </c>
      <c r="AB713" t="inlineStr">
        <is>
          <t>믿고</t>
        </is>
      </c>
      <c r="AC713" t="n">
        <v>140800</v>
      </c>
      <c r="AD713" t="n">
        <v>10400</v>
      </c>
      <c r="AE713" t="n">
        <v>130400</v>
      </c>
      <c r="AF713" t="n">
        <v>128000</v>
      </c>
      <c r="AG713" t="n">
        <v>10400</v>
      </c>
      <c r="AH713" t="n">
        <v>117600</v>
      </c>
    </row>
    <row r="714">
      <c r="A714" t="inlineStr">
        <is>
          <t>1월</t>
        </is>
      </c>
      <c r="B714" t="inlineStr">
        <is>
          <t>4주차</t>
        </is>
      </c>
      <c r="C714" t="inlineStr">
        <is>
          <t>IM</t>
        </is>
      </c>
      <c r="D714" s="28" t="n">
        <v>46044</v>
      </c>
      <c r="E714" t="inlineStr">
        <is>
          <t>IM캐피탈</t>
        </is>
      </c>
      <c r="F714" t="inlineStr">
        <is>
          <t>김승환</t>
        </is>
      </c>
      <c r="G714" t="inlineStr">
        <is>
          <t>010-3014-1600</t>
        </is>
      </c>
      <c r="H714" t="inlineStr">
        <is>
          <t>33주7024</t>
        </is>
      </c>
      <c r="I714" t="n">
        <v>6000000</v>
      </c>
      <c r="J714" t="n">
        <v>0.075</v>
      </c>
      <c r="K714" t="n">
        <v>0.55</v>
      </c>
      <c r="L714" t="n">
        <v>0.4</v>
      </c>
      <c r="M714" t="n">
        <v>0.15</v>
      </c>
      <c r="P714" t="inlineStr">
        <is>
          <t>장현경</t>
        </is>
      </c>
      <c r="Q714" t="inlineStr">
        <is>
          <t>사유:기승인건</t>
        </is>
      </c>
      <c r="AB714" t="inlineStr">
        <is>
          <t>엔카</t>
        </is>
      </c>
      <c r="AC714" t="n">
        <v>33000</v>
      </c>
      <c r="AD714" t="n">
        <v>24000</v>
      </c>
      <c r="AE714" t="n">
        <v>9000</v>
      </c>
      <c r="AF714" t="n">
        <v>30000</v>
      </c>
      <c r="AG714" t="n">
        <v>24000</v>
      </c>
      <c r="AH714" t="n">
        <v>6000</v>
      </c>
      <c r="AI714" t="n">
        <v>0</v>
      </c>
    </row>
    <row r="715">
      <c r="A715" t="inlineStr">
        <is>
          <t>1월</t>
        </is>
      </c>
      <c r="B715" t="inlineStr">
        <is>
          <t>4주차</t>
        </is>
      </c>
      <c r="C715" t="inlineStr">
        <is>
          <t>EP</t>
        </is>
      </c>
      <c r="D715" s="28" t="n">
        <v>46045</v>
      </c>
      <c r="E715" t="inlineStr">
        <is>
          <t>현대EP_fast</t>
        </is>
      </c>
      <c r="F715" t="inlineStr">
        <is>
          <t>전인수</t>
        </is>
      </c>
      <c r="G715" t="inlineStr">
        <is>
          <t>010-5892-2564</t>
        </is>
      </c>
      <c r="H715" t="inlineStr">
        <is>
          <t>34라1968</t>
        </is>
      </c>
      <c r="I715" t="n">
        <v>45400000</v>
      </c>
      <c r="J715" t="n">
        <v>0.062</v>
      </c>
      <c r="K715" t="n">
        <v>1.76</v>
      </c>
      <c r="L715" t="n">
        <v>0.4</v>
      </c>
      <c r="M715" t="n">
        <v>1.36</v>
      </c>
      <c r="P715" t="inlineStr">
        <is>
          <t>장진경</t>
        </is>
      </c>
      <c r="Q715" t="inlineStr">
        <is>
          <t>금리인하 0.5%적용건 (6.7-&gt;6.2)</t>
        </is>
      </c>
      <c r="AB715" t="inlineStr">
        <is>
          <t>엔카</t>
        </is>
      </c>
      <c r="AC715" t="n">
        <v>799040</v>
      </c>
      <c r="AD715" t="n">
        <v>181600</v>
      </c>
      <c r="AE715" t="n">
        <v>617440</v>
      </c>
      <c r="AF715" t="n">
        <v>726400</v>
      </c>
      <c r="AG715" t="n">
        <v>181600</v>
      </c>
      <c r="AH715" t="n">
        <v>544800</v>
      </c>
    </row>
    <row r="716">
      <c r="A716" t="inlineStr">
        <is>
          <t>1월</t>
        </is>
      </c>
      <c r="B716" t="inlineStr">
        <is>
          <t>4주차</t>
        </is>
      </c>
      <c r="C716" t="inlineStr">
        <is>
          <t>EP</t>
        </is>
      </c>
      <c r="D716" s="28" t="n">
        <v>46047</v>
      </c>
      <c r="E716" t="inlineStr">
        <is>
          <t>현대EP</t>
        </is>
      </c>
      <c r="F716" t="inlineStr">
        <is>
          <t>신재옥</t>
        </is>
      </c>
      <c r="G716" t="inlineStr">
        <is>
          <t>010-5060-0540</t>
        </is>
      </c>
      <c r="H716" t="inlineStr">
        <is>
          <t>11로0933</t>
        </is>
      </c>
      <c r="I716" t="n">
        <v>9700000</v>
      </c>
      <c r="J716" t="n">
        <v>0.111</v>
      </c>
      <c r="K716" t="n">
        <v>1.21</v>
      </c>
      <c r="L716" t="n">
        <v>0.13</v>
      </c>
      <c r="M716" t="n">
        <v>1.08</v>
      </c>
      <c r="P716" t="inlineStr">
        <is>
          <t>최형주</t>
        </is>
      </c>
      <c r="Q716" t="inlineStr">
        <is>
          <t>홈서비스 48개월</t>
        </is>
      </c>
      <c r="AB716" t="inlineStr">
        <is>
          <t>홈서비스</t>
        </is>
      </c>
      <c r="AC716" t="n">
        <v>117370</v>
      </c>
      <c r="AD716" t="n">
        <v>12610</v>
      </c>
      <c r="AE716" t="n">
        <v>104760</v>
      </c>
      <c r="AF716" t="n">
        <v>106700</v>
      </c>
      <c r="AG716" t="n">
        <v>12610</v>
      </c>
      <c r="AH716" t="n">
        <v>94090</v>
      </c>
    </row>
    <row r="717">
      <c r="A717" t="inlineStr">
        <is>
          <t>1월</t>
        </is>
      </c>
      <c r="B717" t="inlineStr">
        <is>
          <t>4주차</t>
        </is>
      </c>
      <c r="C717" t="inlineStr">
        <is>
          <t>OR</t>
        </is>
      </c>
      <c r="D717" s="28" t="n">
        <v>46045</v>
      </c>
      <c r="E717" t="inlineStr">
        <is>
          <t>오릭스</t>
        </is>
      </c>
      <c r="F717" t="inlineStr">
        <is>
          <t>노홍식</t>
        </is>
      </c>
      <c r="G717" t="inlineStr">
        <is>
          <t>010-3563-1603</t>
        </is>
      </c>
      <c r="H717" t="inlineStr">
        <is>
          <t>280무5416</t>
        </is>
      </c>
      <c r="I717" t="n">
        <v>17200000</v>
      </c>
      <c r="J717" t="n">
        <v>0.055</v>
      </c>
      <c r="K717" t="n">
        <v>1.21</v>
      </c>
      <c r="L717" t="n">
        <v>0.13</v>
      </c>
      <c r="M717" t="n">
        <v>1.08</v>
      </c>
      <c r="P717" t="inlineStr">
        <is>
          <t>장진경</t>
        </is>
      </c>
      <c r="Q717" t="inlineStr">
        <is>
          <t>선상담 / 홈서비스 60개월 / 사유 : 론진행 / 현대 7.5%</t>
        </is>
      </c>
      <c r="AB717" t="inlineStr">
        <is>
          <t>홈서비스</t>
        </is>
      </c>
      <c r="AC717" t="n">
        <v>208120</v>
      </c>
      <c r="AD717" t="n">
        <v>22360</v>
      </c>
      <c r="AE717" t="n">
        <v>185760</v>
      </c>
      <c r="AF717" t="n">
        <v>189200</v>
      </c>
      <c r="AG717" t="n">
        <v>22360</v>
      </c>
      <c r="AH717" t="n">
        <v>166840</v>
      </c>
    </row>
    <row r="718">
      <c r="A718" t="inlineStr">
        <is>
          <t>1월</t>
        </is>
      </c>
      <c r="B718" t="inlineStr">
        <is>
          <t>5주차</t>
        </is>
      </c>
      <c r="C718" t="inlineStr">
        <is>
          <t>EP</t>
        </is>
      </c>
      <c r="D718" s="28" t="n">
        <v>46048</v>
      </c>
      <c r="E718" t="inlineStr">
        <is>
          <t>현대EP_fast</t>
        </is>
      </c>
      <c r="F718" t="inlineStr">
        <is>
          <t>김민</t>
        </is>
      </c>
      <c r="G718" t="inlineStr">
        <is>
          <t>010-3579-4512</t>
        </is>
      </c>
      <c r="H718" t="inlineStr">
        <is>
          <t>41수0603</t>
        </is>
      </c>
      <c r="I718" t="n">
        <v>9500000</v>
      </c>
      <c r="J718" t="n">
        <v>0.082</v>
      </c>
      <c r="K718" t="n">
        <v>1.21</v>
      </c>
      <c r="L718" t="n">
        <v>0.13</v>
      </c>
      <c r="M718" t="n">
        <v>1.08</v>
      </c>
      <c r="P718" t="inlineStr">
        <is>
          <t>황채이</t>
        </is>
      </c>
      <c r="Q718" t="inlineStr">
        <is>
          <t>고객주도체결건</t>
        </is>
      </c>
      <c r="AB718" t="inlineStr">
        <is>
          <t>홈서비스</t>
        </is>
      </c>
      <c r="AC718" t="n">
        <v>114950</v>
      </c>
      <c r="AD718" t="n">
        <v>12350</v>
      </c>
      <c r="AE718" t="n">
        <v>102600</v>
      </c>
      <c r="AF718" t="n">
        <v>104500</v>
      </c>
      <c r="AG718" t="n">
        <v>12350</v>
      </c>
      <c r="AH718" t="n">
        <v>92150</v>
      </c>
      <c r="AI718" t="n">
        <v>0</v>
      </c>
    </row>
    <row r="719">
      <c r="A719" t="inlineStr">
        <is>
          <t>1월</t>
        </is>
      </c>
      <c r="B719" t="inlineStr">
        <is>
          <t>4주차</t>
        </is>
      </c>
      <c r="C719" t="inlineStr">
        <is>
          <t>OR</t>
        </is>
      </c>
      <c r="D719" s="28" t="n">
        <v>46045</v>
      </c>
      <c r="E719" t="inlineStr">
        <is>
          <t>오릭스</t>
        </is>
      </c>
      <c r="F719" t="inlineStr">
        <is>
          <t>김대훈</t>
        </is>
      </c>
      <c r="G719" t="inlineStr">
        <is>
          <t>010-3947-6655</t>
        </is>
      </c>
      <c r="H719" t="inlineStr">
        <is>
          <t>267거2674</t>
        </is>
      </c>
      <c r="I719" t="n">
        <v>11200000</v>
      </c>
      <c r="J719" t="n">
        <v>0.064</v>
      </c>
      <c r="K719" t="n">
        <v>1.65</v>
      </c>
      <c r="L719" t="n">
        <v>0.4</v>
      </c>
      <c r="M719" t="n">
        <v>1.25</v>
      </c>
      <c r="P719" t="inlineStr">
        <is>
          <t>박소현</t>
        </is>
      </c>
      <c r="Q719" t="inlineStr">
        <is>
          <t>사유 :금리불만/ 현대 8.2%</t>
        </is>
      </c>
      <c r="AB719" t="inlineStr">
        <is>
          <t>엔카</t>
        </is>
      </c>
      <c r="AC719" t="n">
        <v>184800</v>
      </c>
      <c r="AD719" t="n">
        <v>44800</v>
      </c>
      <c r="AE719" t="n">
        <v>140000</v>
      </c>
      <c r="AF719" t="n">
        <v>168000</v>
      </c>
      <c r="AG719" t="n">
        <v>44800</v>
      </c>
      <c r="AH719" t="n">
        <v>123200</v>
      </c>
      <c r="AI719" t="n">
        <v>0</v>
      </c>
    </row>
    <row r="720">
      <c r="A720" t="inlineStr">
        <is>
          <t>1월</t>
        </is>
      </c>
      <c r="B720" t="inlineStr">
        <is>
          <t>4주차</t>
        </is>
      </c>
      <c r="C720" t="inlineStr">
        <is>
          <t>IM</t>
        </is>
      </c>
      <c r="D720" s="28" t="n">
        <v>46044</v>
      </c>
      <c r="E720" t="inlineStr">
        <is>
          <t>IM캐피탈</t>
        </is>
      </c>
      <c r="F720" t="inlineStr">
        <is>
          <t>이동우</t>
        </is>
      </c>
      <c r="G720" t="inlineStr">
        <is>
          <t>010-4797-7970</t>
        </is>
      </c>
      <c r="H720" t="inlineStr">
        <is>
          <t>240나6905</t>
        </is>
      </c>
      <c r="I720" t="n">
        <v>32000000</v>
      </c>
      <c r="J720" t="n">
        <v>0.064</v>
      </c>
      <c r="K720" t="n">
        <v>0.55</v>
      </c>
      <c r="L720" t="n">
        <v>0.4</v>
      </c>
      <c r="M720" t="n">
        <v>0.15</v>
      </c>
      <c r="P720" t="inlineStr">
        <is>
          <t>장현경</t>
        </is>
      </c>
      <c r="Q720" t="inlineStr">
        <is>
          <t>사유: 부대비용추가, 최장개월 수 희망 / 현대: 7.5%</t>
        </is>
      </c>
      <c r="AB720" t="inlineStr">
        <is>
          <t>엔카</t>
        </is>
      </c>
      <c r="AC720" t="n">
        <v>176000</v>
      </c>
      <c r="AD720" t="n">
        <v>128000</v>
      </c>
      <c r="AE720" t="n">
        <v>48000</v>
      </c>
      <c r="AF720" t="n">
        <v>160000</v>
      </c>
      <c r="AG720" t="n">
        <v>128000</v>
      </c>
      <c r="AH720" t="n">
        <v>32000</v>
      </c>
      <c r="AI720" t="n">
        <v>0</v>
      </c>
    </row>
    <row r="721">
      <c r="A721" t="inlineStr">
        <is>
          <t>1월</t>
        </is>
      </c>
      <c r="B721" t="inlineStr">
        <is>
          <t>4주차</t>
        </is>
      </c>
      <c r="C721" t="inlineStr">
        <is>
          <t>EP</t>
        </is>
      </c>
      <c r="D721" s="28" t="n">
        <v>46047</v>
      </c>
      <c r="E721" t="inlineStr">
        <is>
          <t>현대EP</t>
        </is>
      </c>
      <c r="F721" t="inlineStr">
        <is>
          <t>김재헌</t>
        </is>
      </c>
      <c r="G721" t="inlineStr">
        <is>
          <t>010-4912-4343</t>
        </is>
      </c>
      <c r="H721" t="inlineStr">
        <is>
          <t>135조2461</t>
        </is>
      </c>
      <c r="I721" t="n">
        <v>25000000</v>
      </c>
      <c r="J721" t="n">
        <v>0.08699999999999999</v>
      </c>
      <c r="K721" t="n">
        <v>1.76</v>
      </c>
      <c r="L721" t="n">
        <v>0.13</v>
      </c>
      <c r="M721" t="n">
        <v>1.63</v>
      </c>
      <c r="P721" t="inlineStr">
        <is>
          <t>정세빈</t>
        </is>
      </c>
      <c r="Q721" t="inlineStr">
        <is>
          <t>홈서비스 60개월</t>
        </is>
      </c>
      <c r="AB721" t="inlineStr">
        <is>
          <t>홈서비스</t>
        </is>
      </c>
      <c r="AC721" t="n">
        <v>440000</v>
      </c>
      <c r="AD721" t="n">
        <v>32500</v>
      </c>
      <c r="AE721" t="n">
        <v>407500</v>
      </c>
      <c r="AF721" t="n">
        <v>400000</v>
      </c>
      <c r="AG721" t="n">
        <v>32500</v>
      </c>
      <c r="AH721" t="n">
        <v>367500</v>
      </c>
    </row>
    <row r="722">
      <c r="A722" t="inlineStr">
        <is>
          <t>1월</t>
        </is>
      </c>
      <c r="B722" t="inlineStr">
        <is>
          <t>5주차</t>
        </is>
      </c>
      <c r="C722" t="inlineStr">
        <is>
          <t>EP</t>
        </is>
      </c>
      <c r="D722" s="28" t="n">
        <v>46048</v>
      </c>
      <c r="E722" t="inlineStr">
        <is>
          <t>현대EP_fast</t>
        </is>
      </c>
      <c r="F722" t="inlineStr">
        <is>
          <t>이원철</t>
        </is>
      </c>
      <c r="G722" t="inlineStr">
        <is>
          <t>010-3003-9431</t>
        </is>
      </c>
      <c r="H722" t="inlineStr">
        <is>
          <t>183루1010</t>
        </is>
      </c>
      <c r="I722" t="n">
        <v>11000000</v>
      </c>
      <c r="J722" t="n">
        <v>0.075</v>
      </c>
      <c r="K722" t="n">
        <v>1.76</v>
      </c>
      <c r="L722" t="n">
        <v>0.13</v>
      </c>
      <c r="M722" t="n">
        <v>1.63</v>
      </c>
      <c r="P722" t="inlineStr">
        <is>
          <t>최형주</t>
        </is>
      </c>
      <c r="Q722" t="inlineStr">
        <is>
          <t>홈서비스 60개월 /*당월철회 20260126</t>
        </is>
      </c>
      <c r="AB722" t="inlineStr">
        <is>
          <t>홈서비스</t>
        </is>
      </c>
      <c r="AC722" t="n">
        <v>193600</v>
      </c>
      <c r="AD722" t="n">
        <v>14300</v>
      </c>
      <c r="AE722" t="n">
        <v>179300</v>
      </c>
      <c r="AF722" t="n">
        <v>176000</v>
      </c>
      <c r="AG722" t="n">
        <v>14300</v>
      </c>
      <c r="AH722" t="n">
        <v>161700</v>
      </c>
      <c r="AK722" t="inlineStr">
        <is>
          <t>대출철회</t>
        </is>
      </c>
    </row>
    <row r="723">
      <c r="A723" t="inlineStr">
        <is>
          <t>1월</t>
        </is>
      </c>
      <c r="B723" t="inlineStr">
        <is>
          <t>4주차</t>
        </is>
      </c>
      <c r="C723" t="inlineStr">
        <is>
          <t>EP</t>
        </is>
      </c>
      <c r="D723" s="28" t="n">
        <v>46045</v>
      </c>
      <c r="E723" t="inlineStr">
        <is>
          <t>현대EP</t>
        </is>
      </c>
      <c r="F723" t="inlineStr">
        <is>
          <t>현미미</t>
        </is>
      </c>
      <c r="G723" t="inlineStr">
        <is>
          <t>010-6800-5141</t>
        </is>
      </c>
      <c r="H723" t="inlineStr">
        <is>
          <t>05머7631</t>
        </is>
      </c>
      <c r="I723" t="n">
        <v>8900000</v>
      </c>
      <c r="J723" t="n">
        <v>0.06900000000000001</v>
      </c>
      <c r="K723" t="n">
        <v>1.76</v>
      </c>
      <c r="L723" t="n">
        <v>0.13</v>
      </c>
      <c r="M723" t="n">
        <v>1.63</v>
      </c>
      <c r="P723" t="inlineStr">
        <is>
          <t>김나윤</t>
        </is>
      </c>
      <c r="Q723" t="inlineStr">
        <is>
          <t>홈서비스 36개월</t>
        </is>
      </c>
      <c r="AB723" t="inlineStr">
        <is>
          <t>홈서비스</t>
        </is>
      </c>
      <c r="AC723" t="n">
        <v>156640</v>
      </c>
      <c r="AD723" t="n">
        <v>11570</v>
      </c>
      <c r="AE723" t="n">
        <v>145070</v>
      </c>
      <c r="AF723" t="n">
        <v>142400</v>
      </c>
      <c r="AG723" t="n">
        <v>11570</v>
      </c>
      <c r="AH723" t="n">
        <v>130830</v>
      </c>
      <c r="AI723" t="n">
        <v>0</v>
      </c>
    </row>
    <row r="724">
      <c r="A724" t="inlineStr">
        <is>
          <t>1월</t>
        </is>
      </c>
      <c r="B724" t="inlineStr">
        <is>
          <t>4주차</t>
        </is>
      </c>
      <c r="C724" t="inlineStr">
        <is>
          <t>OR</t>
        </is>
      </c>
      <c r="D724" s="28" t="n">
        <v>46045</v>
      </c>
      <c r="E724" t="inlineStr">
        <is>
          <t>오릭스</t>
        </is>
      </c>
      <c r="F724" t="inlineStr">
        <is>
          <t>최성수</t>
        </is>
      </c>
      <c r="G724" t="inlineStr">
        <is>
          <t>010-4153-9550</t>
        </is>
      </c>
      <c r="H724" t="inlineStr">
        <is>
          <t>176노6125</t>
        </is>
      </c>
      <c r="I724" t="n">
        <v>5800000</v>
      </c>
      <c r="J724" t="n">
        <v>0.063</v>
      </c>
      <c r="K724" t="n">
        <v>1.65</v>
      </c>
      <c r="L724" t="n">
        <v>0.13</v>
      </c>
      <c r="M724" t="n">
        <v>1.52</v>
      </c>
      <c r="P724" t="inlineStr">
        <is>
          <t>구성완</t>
        </is>
      </c>
      <c r="Q724" t="inlineStr">
        <is>
          <t>일산 안심거래존</t>
        </is>
      </c>
      <c r="AB724" t="inlineStr">
        <is>
          <t>믿고</t>
        </is>
      </c>
      <c r="AC724" t="n">
        <v>95700</v>
      </c>
      <c r="AD724" t="n">
        <v>7540</v>
      </c>
      <c r="AE724" t="n">
        <v>88160</v>
      </c>
      <c r="AF724" t="n">
        <v>87000</v>
      </c>
      <c r="AG724" t="n">
        <v>7540</v>
      </c>
      <c r="AH724" t="n">
        <v>79460</v>
      </c>
      <c r="AI724" t="n">
        <v>0</v>
      </c>
    </row>
    <row r="725">
      <c r="A725" t="inlineStr">
        <is>
          <t>1월</t>
        </is>
      </c>
      <c r="B725" t="inlineStr">
        <is>
          <t>4주차</t>
        </is>
      </c>
      <c r="C725" t="inlineStr">
        <is>
          <t>EP</t>
        </is>
      </c>
      <c r="D725" s="28" t="n">
        <v>46045</v>
      </c>
      <c r="E725" t="inlineStr">
        <is>
          <t>현대EP_fast</t>
        </is>
      </c>
      <c r="F725" t="inlineStr">
        <is>
          <t>권혁일</t>
        </is>
      </c>
      <c r="G725" t="inlineStr">
        <is>
          <t>010-2203-2177</t>
        </is>
      </c>
      <c r="H725" t="inlineStr">
        <is>
          <t>333모1188</t>
        </is>
      </c>
      <c r="I725" t="n">
        <v>9500000</v>
      </c>
      <c r="J725" t="n">
        <v>0.064</v>
      </c>
      <c r="K725" t="n">
        <v>1.76</v>
      </c>
      <c r="L725" t="n">
        <v>0.4</v>
      </c>
      <c r="M725" t="n">
        <v>1.36</v>
      </c>
      <c r="P725" t="inlineStr">
        <is>
          <t>구성완</t>
        </is>
      </c>
      <c r="Q725" t="inlineStr">
        <is>
          <t>금리인하 0.5%적용건(6.9&gt;6.4)</t>
        </is>
      </c>
      <c r="AB725" t="inlineStr">
        <is>
          <t>엔카</t>
        </is>
      </c>
      <c r="AC725" t="n">
        <v>167200</v>
      </c>
      <c r="AD725" t="n">
        <v>38000</v>
      </c>
      <c r="AE725" t="n">
        <v>129200</v>
      </c>
      <c r="AF725" t="n">
        <v>152000</v>
      </c>
      <c r="AG725" t="n">
        <v>38000</v>
      </c>
      <c r="AH725" t="n">
        <v>114000</v>
      </c>
      <c r="AI725" t="n">
        <v>0</v>
      </c>
    </row>
    <row r="726">
      <c r="A726" t="inlineStr">
        <is>
          <t>1월</t>
        </is>
      </c>
      <c r="B726" t="inlineStr">
        <is>
          <t>5주차</t>
        </is>
      </c>
      <c r="C726" t="inlineStr">
        <is>
          <t>EP</t>
        </is>
      </c>
      <c r="D726" s="28" t="n">
        <v>46048</v>
      </c>
      <c r="E726" t="inlineStr">
        <is>
          <t>현대EP_fast</t>
        </is>
      </c>
      <c r="F726" t="inlineStr">
        <is>
          <t>김경민</t>
        </is>
      </c>
      <c r="G726" t="inlineStr">
        <is>
          <t>010-4817-4667</t>
        </is>
      </c>
      <c r="H726" t="inlineStr">
        <is>
          <t>35수2331</t>
        </is>
      </c>
      <c r="I726" t="n">
        <v>4900000</v>
      </c>
      <c r="J726" t="n">
        <v>0.06900000000000001</v>
      </c>
      <c r="K726" t="n">
        <v>1.76</v>
      </c>
      <c r="L726" t="n">
        <v>0.13</v>
      </c>
      <c r="M726" t="n">
        <v>1.63</v>
      </c>
      <c r="P726" t="inlineStr">
        <is>
          <t>최형주</t>
        </is>
      </c>
      <c r="Q726" t="inlineStr">
        <is>
          <t>홈서비스 60개월</t>
        </is>
      </c>
      <c r="AB726" t="inlineStr">
        <is>
          <t>홈서비스</t>
        </is>
      </c>
      <c r="AC726" t="n">
        <v>86240</v>
      </c>
      <c r="AD726" t="n">
        <v>6370</v>
      </c>
      <c r="AE726" t="n">
        <v>79870</v>
      </c>
      <c r="AF726" t="n">
        <v>78400</v>
      </c>
      <c r="AG726" t="n">
        <v>6370</v>
      </c>
      <c r="AH726" t="n">
        <v>72030</v>
      </c>
      <c r="AI726" t="n">
        <v>0</v>
      </c>
    </row>
    <row r="727">
      <c r="A727" t="inlineStr">
        <is>
          <t>1월</t>
        </is>
      </c>
      <c r="B727" t="inlineStr">
        <is>
          <t>5주차</t>
        </is>
      </c>
      <c r="C727" t="inlineStr">
        <is>
          <t>OR</t>
        </is>
      </c>
      <c r="D727" s="28" t="n">
        <v>46048</v>
      </c>
      <c r="E727" t="inlineStr">
        <is>
          <t>오릭스</t>
        </is>
      </c>
      <c r="F727" t="inlineStr">
        <is>
          <t>최준영</t>
        </is>
      </c>
      <c r="G727" t="inlineStr">
        <is>
          <t>010-6266-0904</t>
        </is>
      </c>
      <c r="H727" t="inlineStr">
        <is>
          <t>106버7889</t>
        </is>
      </c>
      <c r="I727" t="n">
        <v>14500000</v>
      </c>
      <c r="J727" t="n">
        <v>0.068</v>
      </c>
      <c r="K727" t="n">
        <v>1.21</v>
      </c>
      <c r="L727" t="n">
        <v>0.4</v>
      </c>
      <c r="M727" t="n">
        <v>0.8100000000000001</v>
      </c>
      <c r="P727" t="inlineStr">
        <is>
          <t>장진경</t>
        </is>
      </c>
      <c r="Q727" t="inlineStr">
        <is>
          <t>사유 : 금리불만 / 24개월 진행</t>
        </is>
      </c>
      <c r="AB727" t="inlineStr">
        <is>
          <t>엔카</t>
        </is>
      </c>
      <c r="AC727" t="n">
        <v>175450</v>
      </c>
      <c r="AD727" t="n">
        <v>58000</v>
      </c>
      <c r="AE727" t="n">
        <v>117450</v>
      </c>
      <c r="AF727" t="n">
        <v>159500</v>
      </c>
      <c r="AG727" t="n">
        <v>58000</v>
      </c>
      <c r="AH727" t="n">
        <v>101500</v>
      </c>
      <c r="AI727" t="n">
        <v>0</v>
      </c>
    </row>
    <row r="728">
      <c r="A728" t="inlineStr">
        <is>
          <t>1월</t>
        </is>
      </c>
      <c r="B728" t="inlineStr">
        <is>
          <t>5주차</t>
        </is>
      </c>
      <c r="C728" t="inlineStr">
        <is>
          <t>EP</t>
        </is>
      </c>
      <c r="D728" s="28" t="n">
        <v>46048</v>
      </c>
      <c r="E728" t="inlineStr">
        <is>
          <t>현대EP_fast</t>
        </is>
      </c>
      <c r="F728" t="inlineStr">
        <is>
          <t>구본준</t>
        </is>
      </c>
      <c r="G728" t="inlineStr">
        <is>
          <t>010-2924-9762</t>
        </is>
      </c>
      <c r="H728" t="inlineStr">
        <is>
          <t>12무4338</t>
        </is>
      </c>
      <c r="I728" t="n">
        <v>11200000</v>
      </c>
      <c r="J728" t="n">
        <v>0.082</v>
      </c>
      <c r="K728" t="n">
        <v>1.76</v>
      </c>
      <c r="L728" t="n">
        <v>0.13</v>
      </c>
      <c r="M728" t="n">
        <v>1.63</v>
      </c>
      <c r="P728" t="inlineStr">
        <is>
          <t>정세빈</t>
        </is>
      </c>
      <c r="Q728" t="inlineStr">
        <is>
          <t>홈서비스 24개월</t>
        </is>
      </c>
      <c r="AB728" t="inlineStr">
        <is>
          <t>홈서비스</t>
        </is>
      </c>
      <c r="AC728" t="n">
        <v>197120</v>
      </c>
      <c r="AD728" t="n">
        <v>14560</v>
      </c>
      <c r="AE728" t="n">
        <v>182560</v>
      </c>
      <c r="AF728" t="n">
        <v>179200</v>
      </c>
      <c r="AG728" t="n">
        <v>14560</v>
      </c>
      <c r="AH728" t="n">
        <v>164640</v>
      </c>
      <c r="AI728" t="n">
        <v>0</v>
      </c>
    </row>
    <row r="729">
      <c r="A729" t="inlineStr">
        <is>
          <t>1월</t>
        </is>
      </c>
      <c r="B729" t="inlineStr">
        <is>
          <t>4주차</t>
        </is>
      </c>
      <c r="C729" t="inlineStr">
        <is>
          <t>EP</t>
        </is>
      </c>
      <c r="D729" s="28" t="n">
        <v>46045</v>
      </c>
      <c r="E729" t="inlineStr">
        <is>
          <t>현대EP_fast</t>
        </is>
      </c>
      <c r="F729" t="inlineStr">
        <is>
          <t>정승화</t>
        </is>
      </c>
      <c r="G729" t="inlineStr">
        <is>
          <t>010-4542-1233</t>
        </is>
      </c>
      <c r="H729" t="inlineStr">
        <is>
          <t>241마5038</t>
        </is>
      </c>
      <c r="I729" t="n">
        <v>31200000</v>
      </c>
      <c r="J729" t="n">
        <v>0.073</v>
      </c>
      <c r="K729" t="n">
        <v>1.76</v>
      </c>
      <c r="L729" t="n">
        <v>0.13</v>
      </c>
      <c r="M729" t="n">
        <v>1.63</v>
      </c>
      <c r="P729" t="inlineStr">
        <is>
          <t>정광호</t>
        </is>
      </c>
      <c r="Q729" t="inlineStr">
        <is>
          <t>홈서비스 48개월</t>
        </is>
      </c>
      <c r="AB729" t="inlineStr">
        <is>
          <t>홈서비스</t>
        </is>
      </c>
      <c r="AC729" t="n">
        <v>549120</v>
      </c>
      <c r="AD729" t="n">
        <v>40560</v>
      </c>
      <c r="AE729" t="n">
        <v>508560</v>
      </c>
      <c r="AF729" t="n">
        <v>499200</v>
      </c>
      <c r="AG729" t="n">
        <v>40560</v>
      </c>
      <c r="AH729" t="n">
        <v>458640</v>
      </c>
      <c r="AI729" t="n">
        <v>0</v>
      </c>
    </row>
    <row r="730">
      <c r="A730" t="inlineStr">
        <is>
          <t>1월</t>
        </is>
      </c>
      <c r="B730" t="inlineStr">
        <is>
          <t>4주차</t>
        </is>
      </c>
      <c r="C730" t="inlineStr">
        <is>
          <t>EP</t>
        </is>
      </c>
      <c r="D730" s="28" t="n">
        <v>46045</v>
      </c>
      <c r="E730" t="inlineStr">
        <is>
          <t>현대EP_fast</t>
        </is>
      </c>
      <c r="F730" t="inlineStr">
        <is>
          <t>박우재</t>
        </is>
      </c>
      <c r="G730" t="inlineStr">
        <is>
          <t>010-4607-4475</t>
        </is>
      </c>
      <c r="H730" t="inlineStr">
        <is>
          <t>288노3474</t>
        </is>
      </c>
      <c r="I730" t="n">
        <v>19000000</v>
      </c>
      <c r="J730" t="n">
        <v>0.077</v>
      </c>
      <c r="K730" t="n">
        <v>1.21</v>
      </c>
      <c r="L730" t="n">
        <v>0.4</v>
      </c>
      <c r="M730" t="n">
        <v>0.8100000000000001</v>
      </c>
      <c r="P730" t="inlineStr">
        <is>
          <t>정하은</t>
        </is>
      </c>
      <c r="Q730" t="inlineStr">
        <is>
          <t>금리인하 0.5%적용건 (8.2-&gt;7.7)</t>
        </is>
      </c>
      <c r="AB730" t="inlineStr">
        <is>
          <t>엔카</t>
        </is>
      </c>
      <c r="AC730" t="n">
        <v>229900</v>
      </c>
      <c r="AD730" t="n">
        <v>76000</v>
      </c>
      <c r="AE730" t="n">
        <v>153900</v>
      </c>
      <c r="AF730" t="n">
        <v>209000</v>
      </c>
      <c r="AG730" t="n">
        <v>76000</v>
      </c>
      <c r="AH730" t="n">
        <v>133000</v>
      </c>
      <c r="AI730" t="n">
        <v>0</v>
      </c>
    </row>
    <row r="731">
      <c r="A731" t="inlineStr">
        <is>
          <t>1월</t>
        </is>
      </c>
      <c r="B731" t="inlineStr">
        <is>
          <t>4주차</t>
        </is>
      </c>
      <c r="C731" t="inlineStr">
        <is>
          <t>OR</t>
        </is>
      </c>
      <c r="D731" s="28" t="n">
        <v>46045</v>
      </c>
      <c r="E731" t="inlineStr">
        <is>
          <t>오릭스</t>
        </is>
      </c>
      <c r="F731" t="inlineStr">
        <is>
          <t>노미선</t>
        </is>
      </c>
      <c r="G731" t="inlineStr">
        <is>
          <t>010-2327-2335</t>
        </is>
      </c>
      <c r="H731" t="inlineStr">
        <is>
          <t>25머4224</t>
        </is>
      </c>
      <c r="I731" t="n">
        <v>18500000</v>
      </c>
      <c r="J731" t="n">
        <v>0.058</v>
      </c>
      <c r="K731" t="n">
        <v>1.21</v>
      </c>
      <c r="L731" t="n">
        <v>0.13</v>
      </c>
      <c r="M731" t="n">
        <v>1.08</v>
      </c>
      <c r="P731" t="inlineStr">
        <is>
          <t>박현민</t>
        </is>
      </c>
      <c r="Q731" t="inlineStr">
        <is>
          <t>홈서비스 36개월 / 사유 : 금리불만</t>
        </is>
      </c>
      <c r="AB731" t="inlineStr">
        <is>
          <t>홈서비스</t>
        </is>
      </c>
      <c r="AC731" t="n">
        <v>223850</v>
      </c>
      <c r="AD731" t="n">
        <v>24050</v>
      </c>
      <c r="AE731" t="n">
        <v>199800</v>
      </c>
      <c r="AF731" t="n">
        <v>203500</v>
      </c>
      <c r="AG731" t="n">
        <v>24050</v>
      </c>
      <c r="AH731" t="n">
        <v>179450</v>
      </c>
    </row>
    <row r="732">
      <c r="A732" t="inlineStr">
        <is>
          <t>1월</t>
        </is>
      </c>
      <c r="B732" t="inlineStr">
        <is>
          <t>4주차</t>
        </is>
      </c>
      <c r="C732" t="inlineStr">
        <is>
          <t>EP</t>
        </is>
      </c>
      <c r="D732" s="28" t="n">
        <v>46045</v>
      </c>
      <c r="E732" t="inlineStr">
        <is>
          <t>현대EP_fast</t>
        </is>
      </c>
      <c r="F732" t="inlineStr">
        <is>
          <t>강선학</t>
        </is>
      </c>
      <c r="G732" t="inlineStr">
        <is>
          <t>010-5025-5347</t>
        </is>
      </c>
      <c r="H732" t="inlineStr">
        <is>
          <t>18어4758</t>
        </is>
      </c>
      <c r="I732" t="n">
        <v>29900000</v>
      </c>
      <c r="J732" t="n">
        <v>0.068</v>
      </c>
      <c r="K732" t="n">
        <v>1.21</v>
      </c>
      <c r="L732" t="n">
        <v>0.13</v>
      </c>
      <c r="M732" t="n">
        <v>1.08</v>
      </c>
      <c r="P732" t="inlineStr">
        <is>
          <t>정광호</t>
        </is>
      </c>
      <c r="Q732" t="inlineStr">
        <is>
          <t>홈서비스 48개월</t>
        </is>
      </c>
      <c r="AB732" t="inlineStr">
        <is>
          <t>홈서비스</t>
        </is>
      </c>
      <c r="AC732" t="n">
        <v>361790</v>
      </c>
      <c r="AD732" t="n">
        <v>38870</v>
      </c>
      <c r="AE732" t="n">
        <v>322920</v>
      </c>
      <c r="AF732" t="n">
        <v>328900</v>
      </c>
      <c r="AG732" t="n">
        <v>38870</v>
      </c>
      <c r="AH732" t="n">
        <v>290030</v>
      </c>
      <c r="AI732" t="n">
        <v>0</v>
      </c>
    </row>
    <row r="733">
      <c r="A733" t="inlineStr">
        <is>
          <t>1월</t>
        </is>
      </c>
      <c r="B733" t="inlineStr">
        <is>
          <t>5주차</t>
        </is>
      </c>
      <c r="C733" t="inlineStr">
        <is>
          <t>IM</t>
        </is>
      </c>
      <c r="D733" s="28" t="n">
        <v>46048</v>
      </c>
      <c r="E733" t="inlineStr">
        <is>
          <t>IM캐피탈</t>
        </is>
      </c>
      <c r="F733" t="inlineStr">
        <is>
          <t>유연</t>
        </is>
      </c>
      <c r="G733" t="inlineStr">
        <is>
          <t>010-2706-1241</t>
        </is>
      </c>
      <c r="H733" t="inlineStr">
        <is>
          <t>264서5846</t>
        </is>
      </c>
      <c r="I733" t="n">
        <v>34000000</v>
      </c>
      <c r="J733" t="n">
        <v>0.039</v>
      </c>
      <c r="K733" t="n">
        <v>0.55</v>
      </c>
      <c r="L733" t="n">
        <v>0.4</v>
      </c>
      <c r="M733" t="n">
        <v>0.15</v>
      </c>
      <c r="P733" t="inlineStr">
        <is>
          <t>장진경</t>
        </is>
      </c>
      <c r="Q733" t="inlineStr">
        <is>
          <t>사유 : 기승인건</t>
        </is>
      </c>
      <c r="AB733" t="inlineStr">
        <is>
          <t>엔카</t>
        </is>
      </c>
      <c r="AC733" t="n">
        <v>187000</v>
      </c>
      <c r="AD733" t="n">
        <v>136000</v>
      </c>
      <c r="AE733" t="n">
        <v>51000</v>
      </c>
      <c r="AF733" t="n">
        <v>170000</v>
      </c>
      <c r="AG733" t="n">
        <v>136000</v>
      </c>
      <c r="AH733" t="n">
        <v>34000</v>
      </c>
      <c r="AI733" t="n">
        <v>0</v>
      </c>
    </row>
    <row r="734">
      <c r="A734" t="inlineStr">
        <is>
          <t>1월</t>
        </is>
      </c>
      <c r="B734" t="inlineStr">
        <is>
          <t>5주차</t>
        </is>
      </c>
      <c r="C734" t="inlineStr">
        <is>
          <t>EP</t>
        </is>
      </c>
      <c r="D734" s="28" t="n">
        <v>46048</v>
      </c>
      <c r="E734" t="inlineStr">
        <is>
          <t>현대EP_fast</t>
        </is>
      </c>
      <c r="F734" t="inlineStr">
        <is>
          <t>김지오</t>
        </is>
      </c>
      <c r="G734" t="inlineStr">
        <is>
          <t>010-9128-9881</t>
        </is>
      </c>
      <c r="H734" t="inlineStr">
        <is>
          <t>58서1917</t>
        </is>
      </c>
      <c r="I734" t="n">
        <v>8200000</v>
      </c>
      <c r="J734" t="n">
        <v>0.077</v>
      </c>
      <c r="K734" t="n">
        <v>1.76</v>
      </c>
      <c r="L734" t="n">
        <v>0.13</v>
      </c>
      <c r="M734" t="n">
        <v>1.63</v>
      </c>
      <c r="P734" t="inlineStr">
        <is>
          <t>황채이</t>
        </is>
      </c>
      <c r="Q734" t="inlineStr">
        <is>
          <t>홈서비스 48개월</t>
        </is>
      </c>
      <c r="AB734" t="inlineStr">
        <is>
          <t>홈서비스</t>
        </is>
      </c>
      <c r="AC734" t="n">
        <v>144320</v>
      </c>
      <c r="AD734" t="n">
        <v>10660</v>
      </c>
      <c r="AE734" t="n">
        <v>133660</v>
      </c>
      <c r="AF734" t="n">
        <v>131200</v>
      </c>
      <c r="AG734" t="n">
        <v>10660</v>
      </c>
      <c r="AH734" t="n">
        <v>120540</v>
      </c>
      <c r="AI734" t="n">
        <v>0</v>
      </c>
    </row>
    <row r="735">
      <c r="A735" t="inlineStr">
        <is>
          <t>1월</t>
        </is>
      </c>
      <c r="B735" t="inlineStr">
        <is>
          <t>4주차</t>
        </is>
      </c>
      <c r="C735" t="inlineStr">
        <is>
          <t>IM</t>
        </is>
      </c>
      <c r="D735" s="28" t="n">
        <v>46045</v>
      </c>
      <c r="E735" t="inlineStr">
        <is>
          <t>IM캐피탈</t>
        </is>
      </c>
      <c r="F735" t="inlineStr">
        <is>
          <t>김종학</t>
        </is>
      </c>
      <c r="G735" t="inlineStr">
        <is>
          <t>010-5398-3327</t>
        </is>
      </c>
      <c r="H735" t="inlineStr">
        <is>
          <t>37라0789</t>
        </is>
      </c>
      <c r="I735" t="n">
        <v>27000000</v>
      </c>
      <c r="J735" t="n">
        <v>0.053</v>
      </c>
      <c r="K735" t="n">
        <v>0.55</v>
      </c>
      <c r="L735" t="n">
        <v>0.4</v>
      </c>
      <c r="M735" t="n">
        <v>0.15</v>
      </c>
      <c r="P735" t="inlineStr">
        <is>
          <t>박소현</t>
        </is>
      </c>
      <c r="Q735" t="inlineStr">
        <is>
          <t>사유 :기승인건 /현대 6.9%</t>
        </is>
      </c>
      <c r="AB735" t="inlineStr">
        <is>
          <t>엔카</t>
        </is>
      </c>
      <c r="AC735" t="n">
        <v>148500</v>
      </c>
      <c r="AD735" t="n">
        <v>108000</v>
      </c>
      <c r="AE735" t="n">
        <v>40500</v>
      </c>
      <c r="AF735" t="n">
        <v>135000</v>
      </c>
      <c r="AG735" t="n">
        <v>108000</v>
      </c>
      <c r="AH735" t="n">
        <v>27000</v>
      </c>
    </row>
    <row r="736">
      <c r="A736" t="inlineStr">
        <is>
          <t>1월</t>
        </is>
      </c>
      <c r="B736" t="inlineStr">
        <is>
          <t>5주차</t>
        </is>
      </c>
      <c r="C736" t="inlineStr">
        <is>
          <t>EP</t>
        </is>
      </c>
      <c r="D736" s="28" t="n">
        <v>46048</v>
      </c>
      <c r="E736" t="inlineStr">
        <is>
          <t>현대EP_fast</t>
        </is>
      </c>
      <c r="F736" t="inlineStr">
        <is>
          <t>천태정</t>
        </is>
      </c>
      <c r="G736" t="inlineStr">
        <is>
          <t>010-9340-2496</t>
        </is>
      </c>
      <c r="H736" t="inlineStr">
        <is>
          <t>21나9127</t>
        </is>
      </c>
      <c r="I736" t="n">
        <v>27900000</v>
      </c>
      <c r="J736" t="n">
        <v>0.07000000000000001</v>
      </c>
      <c r="K736" t="n">
        <v>1.76</v>
      </c>
      <c r="L736" t="n">
        <v>0.4</v>
      </c>
      <c r="M736" t="n">
        <v>1.36</v>
      </c>
      <c r="P736" t="inlineStr">
        <is>
          <t>박소현</t>
        </is>
      </c>
      <c r="Q736" t="inlineStr">
        <is>
          <t>금리인하 0.5%적용건(7.5-&gt;7.0)</t>
        </is>
      </c>
      <c r="AB736" t="inlineStr">
        <is>
          <t>엔카</t>
        </is>
      </c>
      <c r="AC736" t="n">
        <v>491040</v>
      </c>
      <c r="AD736" t="n">
        <v>111600</v>
      </c>
      <c r="AE736" t="n">
        <v>379440</v>
      </c>
      <c r="AF736" t="n">
        <v>446400</v>
      </c>
      <c r="AG736" t="n">
        <v>111600</v>
      </c>
      <c r="AH736" t="n">
        <v>334800</v>
      </c>
      <c r="AI736" t="n">
        <v>0</v>
      </c>
    </row>
    <row r="737">
      <c r="A737" t="inlineStr">
        <is>
          <t>1월</t>
        </is>
      </c>
      <c r="B737" t="inlineStr">
        <is>
          <t>5주차</t>
        </is>
      </c>
      <c r="C737" t="inlineStr">
        <is>
          <t>EP</t>
        </is>
      </c>
      <c r="D737" s="28" t="n">
        <v>46048</v>
      </c>
      <c r="E737" t="inlineStr">
        <is>
          <t>현대EP_fast</t>
        </is>
      </c>
      <c r="F737" t="inlineStr">
        <is>
          <t>김홍택</t>
        </is>
      </c>
      <c r="G737" t="inlineStr">
        <is>
          <t>010-3042-9762</t>
        </is>
      </c>
      <c r="H737" t="inlineStr">
        <is>
          <t>275도2224</t>
        </is>
      </c>
      <c r="I737" t="n">
        <v>23500000</v>
      </c>
      <c r="J737" t="n">
        <v>0.119</v>
      </c>
      <c r="K737" t="n">
        <v>1.76</v>
      </c>
      <c r="L737" t="n">
        <v>0.4</v>
      </c>
      <c r="M737" t="n">
        <v>1.36</v>
      </c>
      <c r="P737" t="inlineStr">
        <is>
          <t>박소현</t>
        </is>
      </c>
      <c r="Q737" t="inlineStr">
        <is>
          <t>금리인하 0.5%적용건(12.4&gt;11.9)</t>
        </is>
      </c>
      <c r="AB737" t="inlineStr">
        <is>
          <t>엔카</t>
        </is>
      </c>
      <c r="AC737" t="n">
        <v>413600</v>
      </c>
      <c r="AD737" t="n">
        <v>94000</v>
      </c>
      <c r="AE737" t="n">
        <v>319600</v>
      </c>
      <c r="AF737" t="n">
        <v>376000</v>
      </c>
      <c r="AG737" t="n">
        <v>94000</v>
      </c>
      <c r="AH737" t="n">
        <v>282000</v>
      </c>
    </row>
    <row r="738">
      <c r="A738" t="inlineStr">
        <is>
          <t>1월</t>
        </is>
      </c>
      <c r="B738" t="inlineStr">
        <is>
          <t>4주차</t>
        </is>
      </c>
      <c r="C738" t="inlineStr">
        <is>
          <t>IM</t>
        </is>
      </c>
      <c r="D738" s="28" t="n">
        <v>46043</v>
      </c>
      <c r="E738" t="inlineStr">
        <is>
          <t>IM캐피탈</t>
        </is>
      </c>
      <c r="F738" t="inlineStr">
        <is>
          <t>류건</t>
        </is>
      </c>
      <c r="G738" t="inlineStr">
        <is>
          <t>010-5195-1090</t>
        </is>
      </c>
      <c r="H738" t="inlineStr">
        <is>
          <t>225모3002</t>
        </is>
      </c>
      <c r="I738" t="n">
        <v>30000000</v>
      </c>
      <c r="J738" t="n">
        <v>0.07199999999999999</v>
      </c>
      <c r="K738" t="n">
        <v>0.55</v>
      </c>
      <c r="L738" t="n">
        <v>0.4</v>
      </c>
      <c r="M738" t="n">
        <v>0.15</v>
      </c>
      <c r="P738" t="inlineStr">
        <is>
          <t>임대경</t>
        </is>
      </c>
      <c r="Q738" t="inlineStr">
        <is>
          <t>사유: 기승인건</t>
        </is>
      </c>
      <c r="AB738" t="inlineStr">
        <is>
          <t>엔카</t>
        </is>
      </c>
      <c r="AC738" t="n">
        <v>165000</v>
      </c>
      <c r="AD738" t="n">
        <v>120000</v>
      </c>
      <c r="AE738" t="n">
        <v>45000</v>
      </c>
      <c r="AF738" t="n">
        <v>150000</v>
      </c>
      <c r="AG738" t="n">
        <v>120000</v>
      </c>
      <c r="AH738" t="n">
        <v>30000</v>
      </c>
    </row>
    <row r="739">
      <c r="A739" t="inlineStr">
        <is>
          <t>1월</t>
        </is>
      </c>
      <c r="B739" t="inlineStr">
        <is>
          <t>4주차</t>
        </is>
      </c>
      <c r="C739" t="inlineStr">
        <is>
          <t>EP</t>
        </is>
      </c>
      <c r="D739" s="28" t="n">
        <v>46047</v>
      </c>
      <c r="E739" t="inlineStr">
        <is>
          <t>현대EP</t>
        </is>
      </c>
      <c r="F739" t="inlineStr">
        <is>
          <t>성우제</t>
        </is>
      </c>
      <c r="G739" t="inlineStr">
        <is>
          <t>010-4919-9979</t>
        </is>
      </c>
      <c r="H739" t="inlineStr">
        <is>
          <t>06마1033</t>
        </is>
      </c>
      <c r="I739" t="n">
        <v>48900000</v>
      </c>
      <c r="J739" t="n">
        <v>0.08699999999999999</v>
      </c>
      <c r="K739" t="n">
        <v>1.76</v>
      </c>
      <c r="L739" t="n">
        <v>0.13</v>
      </c>
      <c r="M739" t="n">
        <v>1.63</v>
      </c>
      <c r="P739" t="inlineStr">
        <is>
          <t>김나윤</t>
        </is>
      </c>
      <c r="Q739" t="inlineStr">
        <is>
          <t>홈서비스 60개월</t>
        </is>
      </c>
      <c r="AB739" t="inlineStr">
        <is>
          <t>홈서비스</t>
        </is>
      </c>
      <c r="AC739" t="n">
        <v>860640</v>
      </c>
      <c r="AD739" t="n">
        <v>63570</v>
      </c>
      <c r="AE739" t="n">
        <v>797070</v>
      </c>
      <c r="AF739" t="n">
        <v>782400</v>
      </c>
      <c r="AG739" t="n">
        <v>63570</v>
      </c>
      <c r="AH739" t="n">
        <v>718830</v>
      </c>
      <c r="AI739" t="n">
        <v>0</v>
      </c>
    </row>
    <row r="740">
      <c r="A740" t="inlineStr">
        <is>
          <t>1월</t>
        </is>
      </c>
      <c r="B740" t="inlineStr">
        <is>
          <t>5주차</t>
        </is>
      </c>
      <c r="C740" t="inlineStr">
        <is>
          <t>EP</t>
        </is>
      </c>
      <c r="D740" s="28" t="n">
        <v>46048</v>
      </c>
      <c r="E740" t="inlineStr">
        <is>
          <t>현대EP_fast</t>
        </is>
      </c>
      <c r="F740" t="inlineStr">
        <is>
          <t>남민호</t>
        </is>
      </c>
      <c r="G740" t="inlineStr">
        <is>
          <t>010-2442-5401</t>
        </is>
      </c>
      <c r="H740" t="inlineStr">
        <is>
          <t>12저9686</t>
        </is>
      </c>
      <c r="I740" t="n">
        <v>7900000</v>
      </c>
      <c r="J740" t="n">
        <v>0.097</v>
      </c>
      <c r="K740" t="n">
        <v>1.76</v>
      </c>
      <c r="L740" t="n">
        <v>0.13</v>
      </c>
      <c r="M740" t="n">
        <v>1.63</v>
      </c>
      <c r="P740" t="inlineStr">
        <is>
          <t>최형주</t>
        </is>
      </c>
      <c r="Q740" t="inlineStr">
        <is>
          <t>홈서비스 48개월</t>
        </is>
      </c>
      <c r="AB740" t="inlineStr">
        <is>
          <t>홈서비스</t>
        </is>
      </c>
      <c r="AC740" t="n">
        <v>139040</v>
      </c>
      <c r="AD740" t="n">
        <v>10270</v>
      </c>
      <c r="AE740" t="n">
        <v>128770</v>
      </c>
      <c r="AF740" t="n">
        <v>126400</v>
      </c>
      <c r="AG740" t="n">
        <v>10270</v>
      </c>
      <c r="AH740" t="n">
        <v>116130</v>
      </c>
    </row>
    <row r="741">
      <c r="A741" t="inlineStr">
        <is>
          <t>1월</t>
        </is>
      </c>
      <c r="B741" t="inlineStr">
        <is>
          <t>5주차</t>
        </is>
      </c>
      <c r="C741" t="inlineStr">
        <is>
          <t>EP</t>
        </is>
      </c>
      <c r="D741" s="28" t="n">
        <v>46048</v>
      </c>
      <c r="E741" t="inlineStr">
        <is>
          <t>현대EP_fast</t>
        </is>
      </c>
      <c r="F741" t="inlineStr">
        <is>
          <t>정동훈</t>
        </is>
      </c>
      <c r="G741" t="inlineStr">
        <is>
          <t>010-9602-3333</t>
        </is>
      </c>
      <c r="H741" t="inlineStr">
        <is>
          <t>174마9892</t>
        </is>
      </c>
      <c r="I741" t="n">
        <v>28000000</v>
      </c>
      <c r="J741" t="n">
        <v>0.07199999999999999</v>
      </c>
      <c r="K741" t="n">
        <v>1.76</v>
      </c>
      <c r="L741" t="n">
        <v>0.13</v>
      </c>
      <c r="M741" t="n">
        <v>1.63</v>
      </c>
      <c r="P741" t="inlineStr">
        <is>
          <t>최형주</t>
        </is>
      </c>
      <c r="Q741" t="inlineStr">
        <is>
          <t>홈서비스 60개월</t>
        </is>
      </c>
      <c r="AB741" t="inlineStr">
        <is>
          <t>홈서비스</t>
        </is>
      </c>
      <c r="AC741" t="n">
        <v>492800</v>
      </c>
      <c r="AD741" t="n">
        <v>36400</v>
      </c>
      <c r="AE741" t="n">
        <v>456400</v>
      </c>
      <c r="AF741" t="n">
        <v>448000</v>
      </c>
      <c r="AG741" t="n">
        <v>36400</v>
      </c>
      <c r="AH741" t="n">
        <v>411600</v>
      </c>
    </row>
    <row r="742">
      <c r="A742" t="inlineStr">
        <is>
          <t>1월</t>
        </is>
      </c>
      <c r="B742" t="inlineStr">
        <is>
          <t>5주차</t>
        </is>
      </c>
      <c r="C742" t="inlineStr">
        <is>
          <t>EP</t>
        </is>
      </c>
      <c r="D742" s="28" t="n">
        <v>46048</v>
      </c>
      <c r="E742" t="inlineStr">
        <is>
          <t>현대EP_fast</t>
        </is>
      </c>
      <c r="F742" t="inlineStr">
        <is>
          <t>방혜란</t>
        </is>
      </c>
      <c r="G742" t="n">
        <v>1048460816</v>
      </c>
      <c r="H742" t="inlineStr">
        <is>
          <t>298조3464</t>
        </is>
      </c>
      <c r="I742" t="n">
        <v>8900000</v>
      </c>
      <c r="J742" t="n">
        <v>0.067</v>
      </c>
      <c r="K742" t="n">
        <v>1.76</v>
      </c>
      <c r="L742" t="n">
        <v>0.13</v>
      </c>
      <c r="M742" t="n">
        <v>1.63</v>
      </c>
      <c r="P742" t="inlineStr">
        <is>
          <t>김나윤</t>
        </is>
      </c>
      <c r="Q742" t="inlineStr">
        <is>
          <t>홈서비스 60개월</t>
        </is>
      </c>
      <c r="AB742" t="inlineStr">
        <is>
          <t>홈서비스</t>
        </is>
      </c>
      <c r="AC742" t="n">
        <v>156640</v>
      </c>
      <c r="AD742" t="n">
        <v>11570</v>
      </c>
      <c r="AE742" t="n">
        <v>145070</v>
      </c>
      <c r="AF742" t="n">
        <v>142400</v>
      </c>
      <c r="AG742" t="n">
        <v>11570</v>
      </c>
      <c r="AH742" t="n">
        <v>130830</v>
      </c>
      <c r="AI742" t="n">
        <v>0</v>
      </c>
    </row>
    <row r="743">
      <c r="A743" t="inlineStr">
        <is>
          <t>1월</t>
        </is>
      </c>
      <c r="B743" t="inlineStr">
        <is>
          <t>5주차</t>
        </is>
      </c>
      <c r="C743" t="inlineStr">
        <is>
          <t>OR</t>
        </is>
      </c>
      <c r="D743" s="28" t="n">
        <v>46048</v>
      </c>
      <c r="E743" t="inlineStr">
        <is>
          <t>오릭스</t>
        </is>
      </c>
      <c r="F743" t="inlineStr">
        <is>
          <t>전제환</t>
        </is>
      </c>
      <c r="G743" t="inlineStr">
        <is>
          <t>010-8724-9168</t>
        </is>
      </c>
      <c r="H743" t="inlineStr">
        <is>
          <t>147너6233</t>
        </is>
      </c>
      <c r="I743" t="n">
        <v>13500000</v>
      </c>
      <c r="J743" t="n">
        <v>0.057</v>
      </c>
      <c r="K743" t="n">
        <v>1.65</v>
      </c>
      <c r="L743" t="n">
        <v>0.4</v>
      </c>
      <c r="M743" t="n">
        <v>1.25</v>
      </c>
      <c r="P743" t="inlineStr">
        <is>
          <t>구성완</t>
        </is>
      </c>
      <c r="Q743" t="inlineStr">
        <is>
          <t>사유 : 타사금리비교</t>
        </is>
      </c>
      <c r="AB743" t="inlineStr">
        <is>
          <t>엔카</t>
        </is>
      </c>
      <c r="AC743" t="n">
        <v>222750</v>
      </c>
      <c r="AD743" t="n">
        <v>54000</v>
      </c>
      <c r="AE743" t="n">
        <v>168750</v>
      </c>
      <c r="AF743" t="n">
        <v>202500</v>
      </c>
      <c r="AG743" t="n">
        <v>54000</v>
      </c>
      <c r="AH743" t="n">
        <v>148500</v>
      </c>
      <c r="AI743" t="n">
        <v>1</v>
      </c>
    </row>
    <row r="744">
      <c r="A744" t="inlineStr">
        <is>
          <t>1월</t>
        </is>
      </c>
      <c r="B744" t="inlineStr">
        <is>
          <t>5주차</t>
        </is>
      </c>
      <c r="C744" t="inlineStr">
        <is>
          <t>EP</t>
        </is>
      </c>
      <c r="D744" s="28" t="n">
        <v>46048</v>
      </c>
      <c r="E744" t="inlineStr">
        <is>
          <t>현대EP_fast</t>
        </is>
      </c>
      <c r="F744" t="inlineStr">
        <is>
          <t>신정호</t>
        </is>
      </c>
      <c r="G744" t="inlineStr">
        <is>
          <t>010-3204-0157</t>
        </is>
      </c>
      <c r="H744" t="inlineStr">
        <is>
          <t>347거3194</t>
        </is>
      </c>
      <c r="I744" t="n">
        <v>20000000</v>
      </c>
      <c r="J744" t="n">
        <v>0.06900000000000001</v>
      </c>
      <c r="K744" t="n">
        <v>1.76</v>
      </c>
      <c r="L744" t="n">
        <v>0.13</v>
      </c>
      <c r="M744" t="n">
        <v>1.63</v>
      </c>
      <c r="P744" t="inlineStr">
        <is>
          <t>최형주</t>
        </is>
      </c>
      <c r="Q744" t="inlineStr">
        <is>
          <t>홈서비스 60개월</t>
        </is>
      </c>
      <c r="AB744" t="inlineStr">
        <is>
          <t>홈서비스</t>
        </is>
      </c>
      <c r="AC744" t="n">
        <v>352000</v>
      </c>
      <c r="AD744" t="n">
        <v>26000</v>
      </c>
      <c r="AE744" t="n">
        <v>326000</v>
      </c>
      <c r="AF744" t="n">
        <v>320000</v>
      </c>
      <c r="AG744" t="n">
        <v>26000</v>
      </c>
      <c r="AH744" t="n">
        <v>294000</v>
      </c>
      <c r="AI744" t="n">
        <v>1</v>
      </c>
    </row>
    <row r="745">
      <c r="A745" t="inlineStr">
        <is>
          <t>1월</t>
        </is>
      </c>
      <c r="B745" t="inlineStr">
        <is>
          <t>5주차</t>
        </is>
      </c>
      <c r="C745" t="inlineStr">
        <is>
          <t>EP</t>
        </is>
      </c>
      <c r="D745" s="28" t="n">
        <v>46048</v>
      </c>
      <c r="E745" t="inlineStr">
        <is>
          <t>현대EP_fast</t>
        </is>
      </c>
      <c r="F745" t="inlineStr">
        <is>
          <t>조세형</t>
        </is>
      </c>
      <c r="G745" t="n">
        <v>1071071104</v>
      </c>
      <c r="H745" t="inlineStr">
        <is>
          <t>159서2725</t>
        </is>
      </c>
      <c r="I745" t="n">
        <v>50000000</v>
      </c>
      <c r="J745" t="n">
        <v>0.06900000000000001</v>
      </c>
      <c r="K745" t="n">
        <v>1.76</v>
      </c>
      <c r="L745" t="n">
        <v>0.13</v>
      </c>
      <c r="M745" t="n">
        <v>1.63</v>
      </c>
      <c r="P745" t="inlineStr">
        <is>
          <t>김나윤</t>
        </is>
      </c>
      <c r="Q745" t="inlineStr">
        <is>
          <t>홈서비스 60개월</t>
        </is>
      </c>
      <c r="AB745" t="inlineStr">
        <is>
          <t>홈서비스</t>
        </is>
      </c>
      <c r="AC745" t="n">
        <v>880000</v>
      </c>
      <c r="AD745" t="n">
        <v>65000</v>
      </c>
      <c r="AE745" t="n">
        <v>815000</v>
      </c>
      <c r="AF745" t="n">
        <v>800000</v>
      </c>
      <c r="AG745" t="n">
        <v>65000</v>
      </c>
      <c r="AH745" t="n">
        <v>735000</v>
      </c>
      <c r="AI745" t="n">
        <v>1</v>
      </c>
    </row>
    <row r="746">
      <c r="A746" t="inlineStr">
        <is>
          <t>1월</t>
        </is>
      </c>
      <c r="B746" t="inlineStr">
        <is>
          <t>5주차</t>
        </is>
      </c>
      <c r="C746" t="inlineStr">
        <is>
          <t>EP</t>
        </is>
      </c>
      <c r="D746" s="28" t="n">
        <v>46048</v>
      </c>
      <c r="E746" t="inlineStr">
        <is>
          <t>현대EP_fast</t>
        </is>
      </c>
      <c r="F746" t="inlineStr">
        <is>
          <t>윤성태</t>
        </is>
      </c>
      <c r="G746" t="inlineStr">
        <is>
          <t>010-7379-8080</t>
        </is>
      </c>
      <c r="H746" t="inlineStr">
        <is>
          <t>127머9065</t>
        </is>
      </c>
      <c r="I746" t="n">
        <v>6600000</v>
      </c>
      <c r="J746" t="n">
        <v>0.093</v>
      </c>
      <c r="K746" t="n">
        <v>1.76</v>
      </c>
      <c r="L746" t="n">
        <v>0.13</v>
      </c>
      <c r="M746" t="n">
        <v>1.63</v>
      </c>
      <c r="P746" t="inlineStr">
        <is>
          <t>정광호</t>
        </is>
      </c>
      <c r="Q746" t="inlineStr">
        <is>
          <t>홈서비스 48개월/ *중도상환 20260127</t>
        </is>
      </c>
      <c r="AB746" t="inlineStr">
        <is>
          <t>홈서비스</t>
        </is>
      </c>
      <c r="AC746" t="n">
        <v>116160</v>
      </c>
      <c r="AD746" t="n">
        <v>8580</v>
      </c>
      <c r="AE746" t="n">
        <v>107580</v>
      </c>
      <c r="AF746" t="n">
        <v>105600</v>
      </c>
      <c r="AG746" t="n">
        <v>8580</v>
      </c>
      <c r="AH746" t="n">
        <v>97020</v>
      </c>
      <c r="AI746" t="n">
        <v>1</v>
      </c>
      <c r="AK746" t="inlineStr">
        <is>
          <t>중도상환</t>
        </is>
      </c>
    </row>
    <row r="747">
      <c r="A747" t="inlineStr">
        <is>
          <t>1월</t>
        </is>
      </c>
      <c r="B747" t="inlineStr">
        <is>
          <t>5주차</t>
        </is>
      </c>
      <c r="C747" t="inlineStr">
        <is>
          <t>IM</t>
        </is>
      </c>
      <c r="D747" s="28" t="n">
        <v>46048</v>
      </c>
      <c r="E747" t="inlineStr">
        <is>
          <t>IM캐피탈</t>
        </is>
      </c>
      <c r="F747" t="inlineStr">
        <is>
          <t>이현진</t>
        </is>
      </c>
      <c r="G747" t="inlineStr">
        <is>
          <t>010-9438-7155</t>
        </is>
      </c>
      <c r="H747" t="inlineStr">
        <is>
          <t>271보2164</t>
        </is>
      </c>
      <c r="I747" t="n">
        <v>27300000</v>
      </c>
      <c r="J747" t="n">
        <v>0.07199999999999999</v>
      </c>
      <c r="K747" t="n">
        <v>0.55</v>
      </c>
      <c r="L747" t="n">
        <v>0.4</v>
      </c>
      <c r="M747" t="n">
        <v>0.15</v>
      </c>
      <c r="P747" t="inlineStr">
        <is>
          <t>장진경</t>
        </is>
      </c>
      <c r="Q747" t="inlineStr">
        <is>
          <t xml:space="preserve">사유 : 기승인건 </t>
        </is>
      </c>
      <c r="AB747" t="inlineStr">
        <is>
          <t>엔카</t>
        </is>
      </c>
      <c r="AC747" t="n">
        <v>150150</v>
      </c>
      <c r="AD747" t="n">
        <v>109200</v>
      </c>
      <c r="AE747" t="n">
        <v>40950</v>
      </c>
      <c r="AF747" t="n">
        <v>136500</v>
      </c>
      <c r="AG747" t="n">
        <v>109200</v>
      </c>
      <c r="AH747" t="n">
        <v>27300</v>
      </c>
      <c r="AI747" t="n">
        <v>1</v>
      </c>
    </row>
    <row r="748">
      <c r="A748" t="inlineStr">
        <is>
          <t>1월</t>
        </is>
      </c>
      <c r="B748" t="inlineStr">
        <is>
          <t>5주차</t>
        </is>
      </c>
      <c r="C748" t="inlineStr">
        <is>
          <t>EP</t>
        </is>
      </c>
      <c r="D748" s="28" t="n">
        <v>46048</v>
      </c>
      <c r="E748" t="inlineStr">
        <is>
          <t>현대EP_fast</t>
        </is>
      </c>
      <c r="F748" t="inlineStr">
        <is>
          <t>김신원</t>
        </is>
      </c>
      <c r="G748" t="inlineStr">
        <is>
          <t>010-2163-9984</t>
        </is>
      </c>
      <c r="H748" t="inlineStr">
        <is>
          <t>368어4769</t>
        </is>
      </c>
      <c r="I748" t="n">
        <v>49900000</v>
      </c>
      <c r="J748" t="n">
        <v>0.076</v>
      </c>
      <c r="K748" t="n">
        <v>1.76</v>
      </c>
      <c r="L748" t="n">
        <v>0.13</v>
      </c>
      <c r="M748" t="n">
        <v>1.63</v>
      </c>
      <c r="P748" t="inlineStr">
        <is>
          <t>정세빈</t>
        </is>
      </c>
      <c r="Q748" t="inlineStr">
        <is>
          <t>홈서비스 60개월 / 금리인하 0.5%적용건 (8.1-&gt;7.6)</t>
        </is>
      </c>
      <c r="AB748" t="inlineStr">
        <is>
          <t>홈서비스</t>
        </is>
      </c>
      <c r="AC748" t="n">
        <v>878240</v>
      </c>
      <c r="AD748" t="n">
        <v>64870</v>
      </c>
      <c r="AE748" t="n">
        <v>813370</v>
      </c>
      <c r="AF748" t="n">
        <v>798400</v>
      </c>
      <c r="AG748" t="n">
        <v>64870</v>
      </c>
      <c r="AH748" t="n">
        <v>733530</v>
      </c>
      <c r="AI748" t="n">
        <v>1</v>
      </c>
    </row>
    <row r="749">
      <c r="A749" t="inlineStr">
        <is>
          <t>1월</t>
        </is>
      </c>
      <c r="B749" t="inlineStr">
        <is>
          <t>5주차</t>
        </is>
      </c>
      <c r="C749" t="inlineStr">
        <is>
          <t>EP</t>
        </is>
      </c>
      <c r="D749" s="28" t="n">
        <v>46048</v>
      </c>
      <c r="E749" t="inlineStr">
        <is>
          <t>현대EP_fast</t>
        </is>
      </c>
      <c r="F749" t="inlineStr">
        <is>
          <t>김구희</t>
        </is>
      </c>
      <c r="G749" t="n">
        <v>1075023608</v>
      </c>
      <c r="H749" t="inlineStr">
        <is>
          <t>16버4773</t>
        </is>
      </c>
      <c r="I749" t="n">
        <v>3000000</v>
      </c>
      <c r="J749" t="n">
        <v>0.068</v>
      </c>
      <c r="K749" t="n">
        <v>1.76</v>
      </c>
      <c r="L749" t="n">
        <v>0.13</v>
      </c>
      <c r="M749" t="n">
        <v>1.63</v>
      </c>
      <c r="P749" t="inlineStr">
        <is>
          <t>김나윤</t>
        </is>
      </c>
      <c r="Q749" t="inlineStr">
        <is>
          <t>홈서비스 24개월 / 고객주도체결</t>
        </is>
      </c>
      <c r="AB749" t="inlineStr">
        <is>
          <t>홈서비스</t>
        </is>
      </c>
      <c r="AC749" t="n">
        <v>52800</v>
      </c>
      <c r="AD749" t="n">
        <v>3900</v>
      </c>
      <c r="AE749" t="n">
        <v>48900</v>
      </c>
      <c r="AF749" t="n">
        <v>48000</v>
      </c>
      <c r="AG749" t="n">
        <v>3900</v>
      </c>
      <c r="AH749" t="n">
        <v>44100</v>
      </c>
      <c r="AI749" t="n">
        <v>0</v>
      </c>
    </row>
    <row r="750">
      <c r="A750" t="inlineStr">
        <is>
          <t>1월</t>
        </is>
      </c>
      <c r="B750" t="inlineStr">
        <is>
          <t>5주차</t>
        </is>
      </c>
      <c r="C750" t="inlineStr">
        <is>
          <t>EP</t>
        </is>
      </c>
      <c r="D750" s="28" t="n">
        <v>46048</v>
      </c>
      <c r="E750" t="inlineStr">
        <is>
          <t>현대EP</t>
        </is>
      </c>
      <c r="F750" t="inlineStr">
        <is>
          <t>이도경</t>
        </is>
      </c>
      <c r="G750" t="inlineStr">
        <is>
          <t>010-5213-6649</t>
        </is>
      </c>
      <c r="H750" t="inlineStr">
        <is>
          <t>281오1474</t>
        </is>
      </c>
      <c r="I750" t="n">
        <v>20000000</v>
      </c>
      <c r="J750" t="n">
        <v>0.099</v>
      </c>
      <c r="K750" t="n">
        <v>1.76</v>
      </c>
      <c r="L750" t="n">
        <v>0.13</v>
      </c>
      <c r="M750" t="n">
        <v>1.63</v>
      </c>
      <c r="P750" t="inlineStr">
        <is>
          <t>김나윤</t>
        </is>
      </c>
      <c r="Q750" t="inlineStr">
        <is>
          <t>홈서비스 24개월</t>
        </is>
      </c>
      <c r="AB750" t="inlineStr">
        <is>
          <t>홈서비스</t>
        </is>
      </c>
      <c r="AC750" t="n">
        <v>352000</v>
      </c>
      <c r="AD750" t="n">
        <v>26000</v>
      </c>
      <c r="AE750" t="n">
        <v>326000</v>
      </c>
      <c r="AF750" t="n">
        <v>320000</v>
      </c>
      <c r="AG750" t="n">
        <v>26000</v>
      </c>
      <c r="AH750" t="n">
        <v>294000</v>
      </c>
      <c r="AI750" t="n">
        <v>0</v>
      </c>
    </row>
    <row r="751">
      <c r="A751" t="inlineStr">
        <is>
          <t>1월</t>
        </is>
      </c>
      <c r="B751" t="inlineStr">
        <is>
          <t>5주차</t>
        </is>
      </c>
      <c r="C751" t="inlineStr">
        <is>
          <t>IM</t>
        </is>
      </c>
      <c r="D751" s="28" t="n">
        <v>46048</v>
      </c>
      <c r="E751" t="inlineStr">
        <is>
          <t>IM캐피탈</t>
        </is>
      </c>
      <c r="F751" t="inlineStr">
        <is>
          <t>김동휘</t>
        </is>
      </c>
      <c r="G751" t="inlineStr">
        <is>
          <t>010-4508-7809</t>
        </is>
      </c>
      <c r="H751" t="inlineStr">
        <is>
          <t>06더8831</t>
        </is>
      </c>
      <c r="I751" t="n">
        <v>18000000</v>
      </c>
      <c r="J751" t="n">
        <v>0.053</v>
      </c>
      <c r="K751" t="n">
        <v>0.55</v>
      </c>
      <c r="L751" t="n">
        <v>0.4</v>
      </c>
      <c r="M751" t="n">
        <v>0.15</v>
      </c>
      <c r="P751" t="inlineStr">
        <is>
          <t>박소현</t>
        </is>
      </c>
      <c r="Q751" t="inlineStr">
        <is>
          <t>사유 : 기승인건 / 현대 6.9%</t>
        </is>
      </c>
      <c r="AB751" t="inlineStr">
        <is>
          <t>엔카</t>
        </is>
      </c>
      <c r="AC751" t="n">
        <v>99000</v>
      </c>
      <c r="AD751" t="n">
        <v>72000</v>
      </c>
      <c r="AE751" t="n">
        <v>27000</v>
      </c>
      <c r="AF751" t="n">
        <v>90000</v>
      </c>
      <c r="AG751" t="n">
        <v>72000</v>
      </c>
      <c r="AH751" t="n">
        <v>18000</v>
      </c>
      <c r="AI751" t="n">
        <v>0</v>
      </c>
    </row>
    <row r="752">
      <c r="A752" t="inlineStr">
        <is>
          <t>1월</t>
        </is>
      </c>
      <c r="B752" t="inlineStr">
        <is>
          <t>5주차</t>
        </is>
      </c>
      <c r="C752" t="inlineStr">
        <is>
          <t>EP</t>
        </is>
      </c>
      <c r="D752" s="28" t="n">
        <v>46048</v>
      </c>
      <c r="E752" t="inlineStr">
        <is>
          <t>현대EP</t>
        </is>
      </c>
      <c r="F752" t="inlineStr">
        <is>
          <t>김동준</t>
        </is>
      </c>
      <c r="G752" t="inlineStr">
        <is>
          <t>010-8790-5755</t>
        </is>
      </c>
      <c r="H752" t="inlineStr">
        <is>
          <t>169가4214</t>
        </is>
      </c>
      <c r="I752" t="n">
        <v>3000000</v>
      </c>
      <c r="J752" t="n">
        <v>0.082</v>
      </c>
      <c r="K752" t="n">
        <v>1.76</v>
      </c>
      <c r="L752" t="n">
        <v>0.13</v>
      </c>
      <c r="M752" t="n">
        <v>1.63</v>
      </c>
      <c r="P752" t="inlineStr">
        <is>
          <t>황채이</t>
        </is>
      </c>
      <c r="Q752" t="inlineStr">
        <is>
          <t>홈서비스 24개월</t>
        </is>
      </c>
      <c r="AB752" t="inlineStr">
        <is>
          <t>홈서비스</t>
        </is>
      </c>
      <c r="AC752" t="n">
        <v>52800</v>
      </c>
      <c r="AD752" t="n">
        <v>3900</v>
      </c>
      <c r="AE752" t="n">
        <v>48900</v>
      </c>
      <c r="AF752" t="n">
        <v>48000</v>
      </c>
      <c r="AG752" t="n">
        <v>3900</v>
      </c>
      <c r="AH752" t="n">
        <v>44100</v>
      </c>
      <c r="AI752" t="n">
        <v>0</v>
      </c>
    </row>
    <row r="753">
      <c r="A753" t="inlineStr">
        <is>
          <t>1월</t>
        </is>
      </c>
      <c r="B753" t="inlineStr">
        <is>
          <t>5주차</t>
        </is>
      </c>
      <c r="C753" t="inlineStr">
        <is>
          <t>EP</t>
        </is>
      </c>
      <c r="D753" s="28" t="n">
        <v>46048</v>
      </c>
      <c r="E753" t="inlineStr">
        <is>
          <t>현대EP_fast</t>
        </is>
      </c>
      <c r="F753" t="inlineStr">
        <is>
          <t>전성복</t>
        </is>
      </c>
      <c r="G753" t="inlineStr">
        <is>
          <t>010-9701-7859</t>
        </is>
      </c>
      <c r="H753" t="inlineStr">
        <is>
          <t>14누7270</t>
        </is>
      </c>
      <c r="I753" t="n">
        <v>4600000</v>
      </c>
      <c r="J753" t="n">
        <v>0.115</v>
      </c>
      <c r="K753" t="n">
        <v>1.76</v>
      </c>
      <c r="L753" t="n">
        <v>0.13</v>
      </c>
      <c r="M753" t="n">
        <v>1.63</v>
      </c>
      <c r="P753" t="inlineStr">
        <is>
          <t>정세빈</t>
        </is>
      </c>
      <c r="Q753" t="inlineStr">
        <is>
          <t>홈서비스 36개월</t>
        </is>
      </c>
      <c r="AB753" t="inlineStr">
        <is>
          <t>홈서비스</t>
        </is>
      </c>
      <c r="AC753" t="n">
        <v>80960</v>
      </c>
      <c r="AD753" t="n">
        <v>5980</v>
      </c>
      <c r="AE753" t="n">
        <v>74980</v>
      </c>
      <c r="AF753" t="n">
        <v>73600</v>
      </c>
      <c r="AG753" t="n">
        <v>5980</v>
      </c>
      <c r="AH753" t="n">
        <v>67620</v>
      </c>
      <c r="AI753" t="n">
        <v>0</v>
      </c>
    </row>
    <row r="754">
      <c r="A754" t="inlineStr">
        <is>
          <t>1월</t>
        </is>
      </c>
      <c r="B754" t="inlineStr">
        <is>
          <t>5주차</t>
        </is>
      </c>
      <c r="C754" t="inlineStr">
        <is>
          <t>OR</t>
        </is>
      </c>
      <c r="D754" s="28" t="n">
        <v>46048</v>
      </c>
      <c r="E754" t="inlineStr">
        <is>
          <t>오릭스</t>
        </is>
      </c>
      <c r="F754" t="inlineStr">
        <is>
          <t>유승한</t>
        </is>
      </c>
      <c r="G754" t="inlineStr">
        <is>
          <t>010-7375-8150</t>
        </is>
      </c>
      <c r="H754" t="inlineStr">
        <is>
          <t>263머3361</t>
        </is>
      </c>
      <c r="I754" t="n">
        <v>27000000</v>
      </c>
      <c r="J754" t="n">
        <v>0.054</v>
      </c>
      <c r="K754" t="n">
        <v>1.65</v>
      </c>
      <c r="L754" t="n">
        <v>0.13</v>
      </c>
      <c r="M754" t="n">
        <v>1.52</v>
      </c>
      <c r="P754" t="inlineStr">
        <is>
          <t>최형주</t>
        </is>
      </c>
      <c r="Q754" t="inlineStr">
        <is>
          <t>홈서비스 60개월 / 사유: 금리불만</t>
        </is>
      </c>
      <c r="AB754" t="inlineStr">
        <is>
          <t>홈서비스</t>
        </is>
      </c>
      <c r="AC754" t="n">
        <v>445500</v>
      </c>
      <c r="AD754" t="n">
        <v>35100</v>
      </c>
      <c r="AE754" t="n">
        <v>410400</v>
      </c>
      <c r="AF754" t="n">
        <v>405000</v>
      </c>
      <c r="AG754" t="n">
        <v>35100</v>
      </c>
      <c r="AH754" t="n">
        <v>369900</v>
      </c>
      <c r="AI754" t="n">
        <v>0</v>
      </c>
    </row>
    <row r="755">
      <c r="A755" t="inlineStr">
        <is>
          <t>1월</t>
        </is>
      </c>
      <c r="B755" t="inlineStr">
        <is>
          <t>5주차</t>
        </is>
      </c>
      <c r="C755" t="inlineStr">
        <is>
          <t>EP</t>
        </is>
      </c>
      <c r="D755" s="28" t="n">
        <v>46048</v>
      </c>
      <c r="E755" t="inlineStr">
        <is>
          <t>현대EP_fast</t>
        </is>
      </c>
      <c r="F755" t="inlineStr">
        <is>
          <t>장담미</t>
        </is>
      </c>
      <c r="G755" t="n">
        <v>1045784601</v>
      </c>
      <c r="H755" t="inlineStr">
        <is>
          <t>74보6710</t>
        </is>
      </c>
      <c r="I755" t="n">
        <v>12000000</v>
      </c>
      <c r="J755" t="n">
        <v>0.112</v>
      </c>
      <c r="K755" t="n">
        <v>1.76</v>
      </c>
      <c r="L755" t="n">
        <v>0.13</v>
      </c>
      <c r="M755" t="n">
        <v>1.63</v>
      </c>
      <c r="P755" t="inlineStr">
        <is>
          <t>김나윤</t>
        </is>
      </c>
      <c r="Q755" t="inlineStr">
        <is>
          <t>홈서비스 60개월</t>
        </is>
      </c>
      <c r="AB755" t="inlineStr">
        <is>
          <t>홈서비스</t>
        </is>
      </c>
      <c r="AC755" t="n">
        <v>211200</v>
      </c>
      <c r="AD755" t="n">
        <v>15600</v>
      </c>
      <c r="AE755" t="n">
        <v>195600</v>
      </c>
      <c r="AF755" t="n">
        <v>192000</v>
      </c>
      <c r="AG755" t="n">
        <v>15600</v>
      </c>
      <c r="AH755" t="n">
        <v>176400</v>
      </c>
    </row>
    <row r="756">
      <c r="A756" t="inlineStr">
        <is>
          <t>1월</t>
        </is>
      </c>
      <c r="B756" t="inlineStr">
        <is>
          <t>5주차</t>
        </is>
      </c>
      <c r="C756" t="inlineStr">
        <is>
          <t>EP</t>
        </is>
      </c>
      <c r="D756" s="28" t="n">
        <v>46048</v>
      </c>
      <c r="E756" t="inlineStr">
        <is>
          <t>현대EP</t>
        </is>
      </c>
      <c r="F756" t="inlineStr">
        <is>
          <t>김태완</t>
        </is>
      </c>
      <c r="G756" t="inlineStr">
        <is>
          <t>010-2655-0508</t>
        </is>
      </c>
      <c r="H756" t="inlineStr">
        <is>
          <t>287조2561</t>
        </is>
      </c>
      <c r="I756" t="n">
        <v>24300000</v>
      </c>
      <c r="J756" t="n">
        <v>0.068</v>
      </c>
      <c r="K756" t="n">
        <v>1.76</v>
      </c>
      <c r="L756" t="n">
        <v>0.13</v>
      </c>
      <c r="M756" t="n">
        <v>1.63</v>
      </c>
      <c r="P756" t="inlineStr">
        <is>
          <t>최형주</t>
        </is>
      </c>
      <c r="Q756" t="inlineStr">
        <is>
          <t>홈서비스 24개월</t>
        </is>
      </c>
      <c r="AB756" t="inlineStr">
        <is>
          <t>홈서비스</t>
        </is>
      </c>
      <c r="AC756" t="n">
        <v>427680</v>
      </c>
      <c r="AD756" t="n">
        <v>31590</v>
      </c>
      <c r="AE756" t="n">
        <v>396090</v>
      </c>
      <c r="AF756" t="n">
        <v>388800</v>
      </c>
      <c r="AG756" t="n">
        <v>31590</v>
      </c>
      <c r="AH756" t="n">
        <v>357210</v>
      </c>
    </row>
    <row r="757">
      <c r="A757" t="inlineStr">
        <is>
          <t>1월</t>
        </is>
      </c>
      <c r="B757" t="inlineStr">
        <is>
          <t>5주차</t>
        </is>
      </c>
      <c r="C757" t="inlineStr">
        <is>
          <t>EP</t>
        </is>
      </c>
      <c r="D757" s="28" t="n">
        <v>46048</v>
      </c>
      <c r="E757" t="inlineStr">
        <is>
          <t>현대EP_fast</t>
        </is>
      </c>
      <c r="F757" t="inlineStr">
        <is>
          <t>김원준</t>
        </is>
      </c>
      <c r="G757" t="inlineStr">
        <is>
          <t>010-4555-4601</t>
        </is>
      </c>
      <c r="H757" t="inlineStr">
        <is>
          <t>43우4686</t>
        </is>
      </c>
      <c r="I757" t="n">
        <v>40000000</v>
      </c>
      <c r="J757" t="n">
        <v>0.092</v>
      </c>
      <c r="K757" t="n">
        <v>1.76</v>
      </c>
      <c r="L757" t="n">
        <v>0.4</v>
      </c>
      <c r="M757" t="n">
        <v>1.36</v>
      </c>
      <c r="P757" t="inlineStr">
        <is>
          <t>장진경</t>
        </is>
      </c>
      <c r="Q757" t="inlineStr">
        <is>
          <t>금리인하 0.5%적용건 (9.7-&gt;9.2)</t>
        </is>
      </c>
      <c r="AB757" t="inlineStr">
        <is>
          <t>엔카</t>
        </is>
      </c>
      <c r="AC757" t="n">
        <v>704000</v>
      </c>
      <c r="AD757" t="n">
        <v>160000</v>
      </c>
      <c r="AE757" t="n">
        <v>544000</v>
      </c>
      <c r="AF757" t="n">
        <v>640000</v>
      </c>
      <c r="AG757" t="n">
        <v>160000</v>
      </c>
      <c r="AH757" t="n">
        <v>480000</v>
      </c>
    </row>
    <row r="758">
      <c r="A758" t="inlineStr">
        <is>
          <t>1월</t>
        </is>
      </c>
      <c r="B758" t="inlineStr">
        <is>
          <t>5주차</t>
        </is>
      </c>
      <c r="C758" t="inlineStr">
        <is>
          <t>OR</t>
        </is>
      </c>
      <c r="D758" s="28" t="n">
        <v>46048</v>
      </c>
      <c r="E758" t="inlineStr">
        <is>
          <t>오릭스</t>
        </is>
      </c>
      <c r="F758" t="inlineStr">
        <is>
          <t>장홍서</t>
        </is>
      </c>
      <c r="G758" t="n">
        <v>1023727962</v>
      </c>
      <c r="H758" t="inlineStr">
        <is>
          <t>283우3605</t>
        </is>
      </c>
      <c r="I758" t="n">
        <v>9000000</v>
      </c>
      <c r="J758" t="n">
        <v>0.07199999999999999</v>
      </c>
      <c r="K758" t="n">
        <v>1.65</v>
      </c>
      <c r="L758" t="n">
        <v>0.13</v>
      </c>
      <c r="M758" t="n">
        <v>1.52</v>
      </c>
      <c r="P758" t="inlineStr">
        <is>
          <t>김나윤</t>
        </is>
      </c>
      <c r="Q758" t="inlineStr">
        <is>
          <t>사유: 현대부결 / 홈서비스 60개월</t>
        </is>
      </c>
      <c r="AB758" t="inlineStr">
        <is>
          <t>홈서비스</t>
        </is>
      </c>
      <c r="AC758" t="n">
        <v>148500</v>
      </c>
      <c r="AD758" t="n">
        <v>11700</v>
      </c>
      <c r="AE758" t="n">
        <v>136800</v>
      </c>
      <c r="AF758" t="n">
        <v>135000</v>
      </c>
      <c r="AG758" t="n">
        <v>11700</v>
      </c>
      <c r="AH758" t="n">
        <v>123300</v>
      </c>
      <c r="AI758" t="n">
        <v>0</v>
      </c>
    </row>
    <row r="759">
      <c r="A759" t="inlineStr">
        <is>
          <t>1월</t>
        </is>
      </c>
      <c r="B759" t="inlineStr">
        <is>
          <t>5주차</t>
        </is>
      </c>
      <c r="C759" t="inlineStr">
        <is>
          <t>EP</t>
        </is>
      </c>
      <c r="D759" s="28" t="n">
        <v>46048</v>
      </c>
      <c r="E759" t="inlineStr">
        <is>
          <t>현대EP</t>
        </is>
      </c>
      <c r="F759" t="inlineStr">
        <is>
          <t>김형종</t>
        </is>
      </c>
      <c r="G759" t="inlineStr">
        <is>
          <t>010-9685-5654</t>
        </is>
      </c>
      <c r="H759" t="inlineStr">
        <is>
          <t>256러5293</t>
        </is>
      </c>
      <c r="I759" t="n">
        <v>28700000</v>
      </c>
      <c r="J759" t="n">
        <v>0.07199999999999999</v>
      </c>
      <c r="K759" t="n">
        <v>1.76</v>
      </c>
      <c r="L759" t="n">
        <v>0.13</v>
      </c>
      <c r="M759" t="n">
        <v>1.63</v>
      </c>
      <c r="P759" t="inlineStr">
        <is>
          <t>김나윤</t>
        </is>
      </c>
      <c r="Q759" t="inlineStr">
        <is>
          <t>홈서비스 60개월</t>
        </is>
      </c>
      <c r="AB759" t="inlineStr">
        <is>
          <t>홈서비스</t>
        </is>
      </c>
      <c r="AC759" t="n">
        <v>505120</v>
      </c>
      <c r="AD759" t="n">
        <v>37310</v>
      </c>
      <c r="AE759" t="n">
        <v>467810</v>
      </c>
      <c r="AF759" t="n">
        <v>459200</v>
      </c>
      <c r="AG759" t="n">
        <v>37310</v>
      </c>
      <c r="AH759" t="n">
        <v>421890</v>
      </c>
      <c r="AI759" t="n">
        <v>0</v>
      </c>
    </row>
    <row r="760">
      <c r="A760" t="inlineStr">
        <is>
          <t>1월</t>
        </is>
      </c>
      <c r="B760" t="inlineStr">
        <is>
          <t>5주차</t>
        </is>
      </c>
      <c r="C760" t="inlineStr">
        <is>
          <t>EP</t>
        </is>
      </c>
      <c r="D760" s="28" t="n">
        <v>46048</v>
      </c>
      <c r="E760" t="inlineStr">
        <is>
          <t>현대EP</t>
        </is>
      </c>
      <c r="F760" t="inlineStr">
        <is>
          <t>신진영</t>
        </is>
      </c>
      <c r="G760" t="inlineStr">
        <is>
          <t>010-3340-0652</t>
        </is>
      </c>
      <c r="H760" t="inlineStr">
        <is>
          <t>55어0732</t>
        </is>
      </c>
      <c r="I760" t="n">
        <v>11800000</v>
      </c>
      <c r="J760" t="n">
        <v>0.07199999999999999</v>
      </c>
      <c r="K760" t="n">
        <v>1.76</v>
      </c>
      <c r="L760" t="n">
        <v>0.13</v>
      </c>
      <c r="M760" t="n">
        <v>1.63</v>
      </c>
      <c r="P760" t="inlineStr">
        <is>
          <t>김나윤</t>
        </is>
      </c>
      <c r="Q760" t="inlineStr">
        <is>
          <t>홈서비스 60개월</t>
        </is>
      </c>
      <c r="AB760" t="inlineStr">
        <is>
          <t>홈서비스</t>
        </is>
      </c>
      <c r="AC760" t="n">
        <v>207680</v>
      </c>
      <c r="AD760" t="n">
        <v>15340</v>
      </c>
      <c r="AE760" t="n">
        <v>192340</v>
      </c>
      <c r="AF760" t="n">
        <v>188800</v>
      </c>
      <c r="AG760" t="n">
        <v>15340</v>
      </c>
      <c r="AH760" t="n">
        <v>173460</v>
      </c>
      <c r="AI760" t="n">
        <v>0</v>
      </c>
    </row>
    <row r="761">
      <c r="A761" t="inlineStr">
        <is>
          <t>1월</t>
        </is>
      </c>
      <c r="B761" t="inlineStr">
        <is>
          <t>5주차</t>
        </is>
      </c>
      <c r="C761" t="inlineStr">
        <is>
          <t>IM</t>
        </is>
      </c>
      <c r="D761" s="28" t="n">
        <v>46048</v>
      </c>
      <c r="E761" t="inlineStr">
        <is>
          <t>IM캐피탈</t>
        </is>
      </c>
      <c r="F761" t="inlineStr">
        <is>
          <t>임철균</t>
        </is>
      </c>
      <c r="G761" t="inlineStr">
        <is>
          <t>010-2445-7720</t>
        </is>
      </c>
      <c r="H761" t="inlineStr">
        <is>
          <t>124다4296</t>
        </is>
      </c>
      <c r="I761" t="n">
        <v>15000000</v>
      </c>
      <c r="J761" t="n">
        <v>0.039</v>
      </c>
      <c r="K761" t="n">
        <v>1.21</v>
      </c>
      <c r="L761" t="n">
        <v>0.4</v>
      </c>
      <c r="M761" t="n">
        <v>0.8100000000000001</v>
      </c>
      <c r="P761" t="inlineStr">
        <is>
          <t>정세빈</t>
        </is>
      </c>
      <c r="Q761" t="inlineStr">
        <is>
          <t>사유 : 기승인건 / 현대 7.5%</t>
        </is>
      </c>
      <c r="AB761" t="inlineStr">
        <is>
          <t>엔카</t>
        </is>
      </c>
      <c r="AC761" t="n">
        <v>181500</v>
      </c>
      <c r="AD761" t="n">
        <v>60000</v>
      </c>
      <c r="AE761" t="n">
        <v>121500</v>
      </c>
      <c r="AF761" t="n">
        <v>165000</v>
      </c>
      <c r="AG761" t="n">
        <v>60000</v>
      </c>
      <c r="AH761" t="n">
        <v>105000</v>
      </c>
    </row>
    <row r="762">
      <c r="A762" t="inlineStr">
        <is>
          <t>1월</t>
        </is>
      </c>
      <c r="B762" t="inlineStr">
        <is>
          <t>5주차</t>
        </is>
      </c>
      <c r="C762" t="inlineStr">
        <is>
          <t>EP</t>
        </is>
      </c>
      <c r="D762" s="28" t="n">
        <v>46048</v>
      </c>
      <c r="E762" t="inlineStr">
        <is>
          <t>현대EP</t>
        </is>
      </c>
      <c r="F762" t="inlineStr">
        <is>
          <t>임정자</t>
        </is>
      </c>
      <c r="G762" t="inlineStr">
        <is>
          <t>010-4430-3435</t>
        </is>
      </c>
      <c r="H762" t="inlineStr">
        <is>
          <t>32마0248</t>
        </is>
      </c>
      <c r="I762" t="n">
        <v>4500000</v>
      </c>
      <c r="J762" t="n">
        <v>0.073</v>
      </c>
      <c r="K762" t="n">
        <v>1.76</v>
      </c>
      <c r="L762" t="n">
        <v>0.13</v>
      </c>
      <c r="M762" t="n">
        <v>1.63</v>
      </c>
      <c r="P762" t="inlineStr">
        <is>
          <t>황채이</t>
        </is>
      </c>
      <c r="Q762" t="inlineStr">
        <is>
          <t>홈서비스 48개월</t>
        </is>
      </c>
      <c r="AB762" t="inlineStr">
        <is>
          <t>홈서비스</t>
        </is>
      </c>
      <c r="AC762" t="n">
        <v>79200</v>
      </c>
      <c r="AD762" t="n">
        <v>5850</v>
      </c>
      <c r="AE762" t="n">
        <v>73350</v>
      </c>
      <c r="AF762" t="n">
        <v>72000</v>
      </c>
      <c r="AG762" t="n">
        <v>5850</v>
      </c>
      <c r="AH762" t="n">
        <v>66150</v>
      </c>
      <c r="AI762" t="n">
        <v>0</v>
      </c>
    </row>
    <row r="763">
      <c r="A763" t="inlineStr">
        <is>
          <t>1월</t>
        </is>
      </c>
      <c r="B763" t="inlineStr">
        <is>
          <t>5주차</t>
        </is>
      </c>
      <c r="C763" t="inlineStr">
        <is>
          <t>EP</t>
        </is>
      </c>
      <c r="D763" s="28" t="n">
        <v>46048</v>
      </c>
      <c r="E763" t="inlineStr">
        <is>
          <t>현대EP</t>
        </is>
      </c>
      <c r="F763" t="inlineStr">
        <is>
          <t>박지훈</t>
        </is>
      </c>
      <c r="G763" t="inlineStr">
        <is>
          <t>010-9801-3621</t>
        </is>
      </c>
      <c r="H763" t="inlineStr">
        <is>
          <t>383머8080</t>
        </is>
      </c>
      <c r="I763" t="n">
        <v>9000000</v>
      </c>
      <c r="J763" t="n">
        <v>0.07199999999999999</v>
      </c>
      <c r="K763" t="n">
        <v>1.76</v>
      </c>
      <c r="L763" t="n">
        <v>0.13</v>
      </c>
      <c r="M763" t="n">
        <v>1.63</v>
      </c>
      <c r="P763" t="inlineStr">
        <is>
          <t>최형주</t>
        </is>
      </c>
      <c r="Q763" t="inlineStr">
        <is>
          <t>홈서비스 60개월</t>
        </is>
      </c>
      <c r="AB763" t="inlineStr">
        <is>
          <t>홈서비스</t>
        </is>
      </c>
      <c r="AC763" t="n">
        <v>158400</v>
      </c>
      <c r="AD763" t="n">
        <v>11700</v>
      </c>
      <c r="AE763" t="n">
        <v>146700</v>
      </c>
      <c r="AF763" t="n">
        <v>144000</v>
      </c>
      <c r="AG763" t="n">
        <v>11700</v>
      </c>
      <c r="AH763" t="n">
        <v>132300</v>
      </c>
      <c r="AI763" t="n">
        <v>0</v>
      </c>
    </row>
    <row r="764">
      <c r="A764" t="inlineStr">
        <is>
          <t>1월</t>
        </is>
      </c>
      <c r="B764" t="inlineStr">
        <is>
          <t>5주차</t>
        </is>
      </c>
      <c r="C764" t="inlineStr">
        <is>
          <t>EP</t>
        </is>
      </c>
      <c r="D764" s="28" t="n">
        <v>46048</v>
      </c>
      <c r="E764" t="inlineStr">
        <is>
          <t>현대EP</t>
        </is>
      </c>
      <c r="F764" t="inlineStr">
        <is>
          <t>김충원</t>
        </is>
      </c>
      <c r="G764" t="inlineStr">
        <is>
          <t>010-3417-7902</t>
        </is>
      </c>
      <c r="H764" t="inlineStr">
        <is>
          <t>292로8373</t>
        </is>
      </c>
      <c r="I764" t="n">
        <v>25800000</v>
      </c>
      <c r="J764" t="n">
        <v>0.057</v>
      </c>
      <c r="K764" t="n">
        <v>1.76</v>
      </c>
      <c r="L764" t="n">
        <v>0.13</v>
      </c>
      <c r="M764" t="n">
        <v>1.63</v>
      </c>
      <c r="P764" t="inlineStr">
        <is>
          <t>정세빈</t>
        </is>
      </c>
      <c r="Q764" t="inlineStr">
        <is>
          <t>홈서비스 60개월</t>
        </is>
      </c>
      <c r="AB764" t="inlineStr">
        <is>
          <t>홈서비스</t>
        </is>
      </c>
      <c r="AC764" t="n">
        <v>454080</v>
      </c>
      <c r="AD764" t="n">
        <v>33540</v>
      </c>
      <c r="AE764" t="n">
        <v>420540</v>
      </c>
      <c r="AF764" t="n">
        <v>412800</v>
      </c>
      <c r="AG764" t="n">
        <v>33540</v>
      </c>
      <c r="AH764" t="n">
        <v>379260</v>
      </c>
      <c r="AI764" t="n">
        <v>0</v>
      </c>
    </row>
    <row r="765">
      <c r="A765" t="inlineStr">
        <is>
          <t>1월</t>
        </is>
      </c>
      <c r="B765" t="inlineStr">
        <is>
          <t>5주차</t>
        </is>
      </c>
      <c r="C765" t="inlineStr">
        <is>
          <t>EP</t>
        </is>
      </c>
      <c r="D765" s="28" t="n">
        <v>46048</v>
      </c>
      <c r="E765" t="inlineStr">
        <is>
          <t>현대EP</t>
        </is>
      </c>
      <c r="F765" t="inlineStr">
        <is>
          <t>차귀영</t>
        </is>
      </c>
      <c r="G765" t="inlineStr">
        <is>
          <t>010-8907-7138</t>
        </is>
      </c>
      <c r="H765" t="inlineStr">
        <is>
          <t>394누8207</t>
        </is>
      </c>
      <c r="I765" t="n">
        <v>12800000</v>
      </c>
      <c r="J765" t="n">
        <v>0.093</v>
      </c>
      <c r="K765" t="n">
        <v>1.76</v>
      </c>
      <c r="L765" t="n">
        <v>0.13</v>
      </c>
      <c r="M765" t="n">
        <v>1.63</v>
      </c>
      <c r="P765" t="inlineStr">
        <is>
          <t>황채이</t>
        </is>
      </c>
      <c r="Q765" t="inlineStr">
        <is>
          <t>홈서비스 48개월</t>
        </is>
      </c>
      <c r="AB765" t="inlineStr">
        <is>
          <t>홈서비스</t>
        </is>
      </c>
      <c r="AC765" t="n">
        <v>225280</v>
      </c>
      <c r="AD765" t="n">
        <v>16640</v>
      </c>
      <c r="AE765" t="n">
        <v>208640</v>
      </c>
      <c r="AF765" t="n">
        <v>204800</v>
      </c>
      <c r="AG765" t="n">
        <v>16640</v>
      </c>
      <c r="AH765" t="n">
        <v>188160</v>
      </c>
      <c r="AI765" t="n">
        <v>0</v>
      </c>
    </row>
    <row r="766">
      <c r="A766" t="inlineStr">
        <is>
          <t>1월</t>
        </is>
      </c>
      <c r="B766" t="inlineStr">
        <is>
          <t>5주차</t>
        </is>
      </c>
      <c r="C766" t="inlineStr">
        <is>
          <t>EP</t>
        </is>
      </c>
      <c r="D766" s="28" t="n">
        <v>46048</v>
      </c>
      <c r="E766" t="inlineStr">
        <is>
          <t>현대EP</t>
        </is>
      </c>
      <c r="F766" t="inlineStr">
        <is>
          <t>안효빈</t>
        </is>
      </c>
      <c r="G766" t="inlineStr">
        <is>
          <t>010-9624-0440</t>
        </is>
      </c>
      <c r="H766" t="inlineStr">
        <is>
          <t>29머0792</t>
        </is>
      </c>
      <c r="I766" t="n">
        <v>9000000</v>
      </c>
      <c r="J766" t="n">
        <v>0.111</v>
      </c>
      <c r="K766" t="n">
        <v>1.76</v>
      </c>
      <c r="L766" t="n">
        <v>0.13</v>
      </c>
      <c r="M766" t="n">
        <v>1.63</v>
      </c>
      <c r="P766" t="inlineStr">
        <is>
          <t>김나윤</t>
        </is>
      </c>
      <c r="Q766" t="inlineStr">
        <is>
          <t>홈서비스 48개월</t>
        </is>
      </c>
      <c r="AB766" t="inlineStr">
        <is>
          <t>홈서비스</t>
        </is>
      </c>
      <c r="AC766" t="n">
        <v>158400</v>
      </c>
      <c r="AD766" t="n">
        <v>11700</v>
      </c>
      <c r="AE766" t="n">
        <v>146700</v>
      </c>
      <c r="AF766" t="n">
        <v>144000</v>
      </c>
      <c r="AG766" t="n">
        <v>11700</v>
      </c>
      <c r="AH766" t="n">
        <v>132300</v>
      </c>
    </row>
    <row r="767">
      <c r="A767" t="inlineStr">
        <is>
          <t>1월</t>
        </is>
      </c>
      <c r="B767" t="inlineStr">
        <is>
          <t>5주차</t>
        </is>
      </c>
      <c r="C767" t="inlineStr">
        <is>
          <t>OR</t>
        </is>
      </c>
      <c r="D767" s="28" t="n">
        <v>46048</v>
      </c>
      <c r="E767" t="inlineStr">
        <is>
          <t>오릭스</t>
        </is>
      </c>
      <c r="F767" t="inlineStr">
        <is>
          <t>김효성</t>
        </is>
      </c>
      <c r="G767" t="inlineStr">
        <is>
          <t>010-8994-6432</t>
        </is>
      </c>
      <c r="H767" t="inlineStr">
        <is>
          <t>226두5675</t>
        </is>
      </c>
      <c r="I767" t="n">
        <v>39400000</v>
      </c>
      <c r="J767" t="n">
        <v>0.064</v>
      </c>
      <c r="K767" t="n">
        <v>1.65</v>
      </c>
      <c r="L767" t="n">
        <v>0.13</v>
      </c>
      <c r="M767" t="n">
        <v>1.52</v>
      </c>
      <c r="P767" t="inlineStr">
        <is>
          <t>장진경</t>
        </is>
      </c>
      <c r="Q767" t="inlineStr">
        <is>
          <t>선상담 / 홈서비스 60개월 / 사유 : 금리불만 현대 8.2%</t>
        </is>
      </c>
      <c r="AB767" t="inlineStr">
        <is>
          <t>홈서비스</t>
        </is>
      </c>
      <c r="AC767" t="n">
        <v>650100</v>
      </c>
      <c r="AD767" t="n">
        <v>51220</v>
      </c>
      <c r="AE767" t="n">
        <v>598880</v>
      </c>
      <c r="AF767" t="n">
        <v>591000</v>
      </c>
      <c r="AG767" t="n">
        <v>51220</v>
      </c>
      <c r="AH767" t="n">
        <v>539780</v>
      </c>
      <c r="AI767" t="n">
        <v>0</v>
      </c>
    </row>
    <row r="768">
      <c r="A768" t="inlineStr">
        <is>
          <t>1월</t>
        </is>
      </c>
      <c r="B768" t="inlineStr">
        <is>
          <t>5주차</t>
        </is>
      </c>
      <c r="C768" t="inlineStr">
        <is>
          <t>EP</t>
        </is>
      </c>
      <c r="D768" s="28" t="n">
        <v>46048</v>
      </c>
      <c r="E768" t="inlineStr">
        <is>
          <t>현대EP_fast</t>
        </is>
      </c>
      <c r="F768" t="inlineStr">
        <is>
          <t>도형준</t>
        </is>
      </c>
      <c r="G768" t="inlineStr">
        <is>
          <t>010-2108-2106</t>
        </is>
      </c>
      <c r="H768" t="inlineStr">
        <is>
          <t>171조6847</t>
        </is>
      </c>
      <c r="I768" t="n">
        <v>34000000</v>
      </c>
      <c r="J768" t="n">
        <v>0.105</v>
      </c>
      <c r="K768" t="n">
        <v>1.76</v>
      </c>
      <c r="L768" t="n">
        <v>0.13</v>
      </c>
      <c r="M768" t="n">
        <v>1.63</v>
      </c>
      <c r="P768" t="inlineStr">
        <is>
          <t>정광호</t>
        </is>
      </c>
      <c r="Q768" t="inlineStr">
        <is>
          <t>홈서비스 60개월</t>
        </is>
      </c>
      <c r="AB768" t="inlineStr">
        <is>
          <t>홈서비스</t>
        </is>
      </c>
      <c r="AC768" t="n">
        <v>598400</v>
      </c>
      <c r="AD768" t="n">
        <v>44200</v>
      </c>
      <c r="AE768" t="n">
        <v>554200</v>
      </c>
      <c r="AF768" t="n">
        <v>544000</v>
      </c>
      <c r="AG768" t="n">
        <v>44200</v>
      </c>
      <c r="AH768" t="n">
        <v>499800</v>
      </c>
    </row>
    <row r="769">
      <c r="A769" t="inlineStr">
        <is>
          <t>1월</t>
        </is>
      </c>
      <c r="B769" t="inlineStr">
        <is>
          <t>4주차</t>
        </is>
      </c>
      <c r="C769" t="inlineStr">
        <is>
          <t>EP</t>
        </is>
      </c>
      <c r="D769" s="28" t="n">
        <v>46046</v>
      </c>
      <c r="E769" t="inlineStr">
        <is>
          <t>현대EP_fast</t>
        </is>
      </c>
      <c r="F769" t="inlineStr">
        <is>
          <t>임용택</t>
        </is>
      </c>
      <c r="G769" t="inlineStr">
        <is>
          <t>010-3558-9495</t>
        </is>
      </c>
      <c r="H769" t="inlineStr">
        <is>
          <t>66어0440</t>
        </is>
      </c>
      <c r="I769" t="n">
        <v>10500000</v>
      </c>
      <c r="J769" t="n">
        <v>0.094</v>
      </c>
      <c r="K769" t="n">
        <v>1.76</v>
      </c>
      <c r="L769" t="n">
        <v>0.4</v>
      </c>
      <c r="M769" t="n">
        <v>1.36</v>
      </c>
      <c r="P769" t="inlineStr">
        <is>
          <t>최혁</t>
        </is>
      </c>
      <c r="AB769" t="inlineStr">
        <is>
          <t>엔카</t>
        </is>
      </c>
      <c r="AC769" t="n">
        <v>184800</v>
      </c>
      <c r="AD769" t="n">
        <v>42000</v>
      </c>
      <c r="AE769" t="n">
        <v>142800</v>
      </c>
      <c r="AF769" t="n">
        <v>168000</v>
      </c>
      <c r="AG769" t="n">
        <v>42000</v>
      </c>
      <c r="AH769" t="n">
        <v>126000</v>
      </c>
    </row>
    <row r="770">
      <c r="A770" t="inlineStr">
        <is>
          <t>1월</t>
        </is>
      </c>
      <c r="B770" t="inlineStr">
        <is>
          <t>4주차</t>
        </is>
      </c>
      <c r="C770" t="inlineStr">
        <is>
          <t>EP</t>
        </is>
      </c>
      <c r="D770" s="28" t="n">
        <v>46047</v>
      </c>
      <c r="E770" t="inlineStr">
        <is>
          <t>현대EP</t>
        </is>
      </c>
      <c r="F770" t="inlineStr">
        <is>
          <t>송효진</t>
        </is>
      </c>
      <c r="G770" t="inlineStr">
        <is>
          <t>010-2599-0412</t>
        </is>
      </c>
      <c r="H770" t="inlineStr">
        <is>
          <t>108무6149</t>
        </is>
      </c>
      <c r="I770" t="n">
        <v>10000000</v>
      </c>
      <c r="J770" t="n">
        <v>0.07199999999999999</v>
      </c>
      <c r="K770" t="n">
        <v>1.76</v>
      </c>
      <c r="L770" t="n">
        <v>0.13</v>
      </c>
      <c r="M770" t="n">
        <v>1.63</v>
      </c>
      <c r="P770" t="inlineStr">
        <is>
          <t>정하은</t>
        </is>
      </c>
      <c r="Q770" t="inlineStr">
        <is>
          <t>홈서비스 60개월</t>
        </is>
      </c>
      <c r="AB770" t="inlineStr">
        <is>
          <t>홈서비스</t>
        </is>
      </c>
      <c r="AC770" t="n">
        <v>176000</v>
      </c>
      <c r="AD770" t="n">
        <v>13000</v>
      </c>
      <c r="AE770" t="n">
        <v>163000</v>
      </c>
      <c r="AF770" t="n">
        <v>160000</v>
      </c>
      <c r="AG770" t="n">
        <v>13000</v>
      </c>
      <c r="AH770" t="n">
        <v>147000</v>
      </c>
      <c r="AI770" t="n">
        <v>0</v>
      </c>
    </row>
    <row r="771">
      <c r="A771" t="inlineStr">
        <is>
          <t>1월</t>
        </is>
      </c>
      <c r="B771" t="inlineStr">
        <is>
          <t>5주차</t>
        </is>
      </c>
      <c r="C771" t="inlineStr">
        <is>
          <t>OR</t>
        </is>
      </c>
      <c r="D771" s="28" t="n">
        <v>46048</v>
      </c>
      <c r="E771" t="inlineStr">
        <is>
          <t>오릭스</t>
        </is>
      </c>
      <c r="F771" t="inlineStr">
        <is>
          <t>김성학</t>
        </is>
      </c>
      <c r="G771" t="inlineStr">
        <is>
          <t>010-7600-2335</t>
        </is>
      </c>
      <c r="H771" t="inlineStr">
        <is>
          <t>233소6589</t>
        </is>
      </c>
      <c r="I771" t="n">
        <v>35000000</v>
      </c>
      <c r="J771" t="n">
        <v>0.054</v>
      </c>
      <c r="K771" t="n">
        <v>1.65</v>
      </c>
      <c r="L771" t="n">
        <v>0.4</v>
      </c>
      <c r="M771" t="n">
        <v>1.25</v>
      </c>
      <c r="P771" t="inlineStr">
        <is>
          <t>장현경</t>
        </is>
      </c>
      <c r="Q771" t="inlineStr">
        <is>
          <t xml:space="preserve"> 사유 : 론진행</t>
        </is>
      </c>
      <c r="AB771" t="inlineStr">
        <is>
          <t>엔카</t>
        </is>
      </c>
      <c r="AC771" t="n">
        <v>577500</v>
      </c>
      <c r="AD771" t="n">
        <v>140000</v>
      </c>
      <c r="AE771" t="n">
        <v>437500</v>
      </c>
      <c r="AF771" t="n">
        <v>525000</v>
      </c>
      <c r="AG771" t="n">
        <v>140000</v>
      </c>
      <c r="AH771" t="n">
        <v>385000</v>
      </c>
      <c r="AI771" t="n">
        <v>0</v>
      </c>
    </row>
    <row r="772">
      <c r="A772" t="inlineStr">
        <is>
          <t>5월</t>
        </is>
      </c>
      <c r="B772" t="inlineStr">
        <is>
          <t>21주차</t>
        </is>
      </c>
      <c r="C772" t="inlineStr">
        <is>
          <t>EP</t>
        </is>
      </c>
      <c r="D772" s="28" t="n">
        <v>46162</v>
      </c>
      <c r="E772" t="inlineStr">
        <is>
          <t>현대EP_fast</t>
        </is>
      </c>
      <c r="F772" t="inlineStr">
        <is>
          <t>경동식</t>
        </is>
      </c>
      <c r="G772" t="inlineStr">
        <is>
          <t>010-4657-3695</t>
        </is>
      </c>
      <c r="H772" t="inlineStr">
        <is>
          <t>65구8655</t>
        </is>
      </c>
      <c r="I772" t="n">
        <v>7200000</v>
      </c>
      <c r="J772" t="n">
        <v>0.08799999999999999</v>
      </c>
      <c r="K772" t="n">
        <v>1.76</v>
      </c>
      <c r="L772" t="n">
        <v>0.4</v>
      </c>
      <c r="M772" t="n">
        <v>1.36</v>
      </c>
      <c r="P772" t="inlineStr">
        <is>
          <t>박보람</t>
        </is>
      </c>
      <c r="AB772" t="inlineStr">
        <is>
          <t>엔카</t>
        </is>
      </c>
      <c r="AC772" t="n">
        <v>126720</v>
      </c>
      <c r="AD772" t="n">
        <v>28800</v>
      </c>
      <c r="AE772" t="n">
        <v>97920</v>
      </c>
      <c r="AF772" t="n">
        <v>115200</v>
      </c>
      <c r="AG772" t="n">
        <v>28800</v>
      </c>
      <c r="AH772" t="n">
        <v>86400</v>
      </c>
    </row>
    <row r="773">
      <c r="A773" t="inlineStr">
        <is>
          <t>1월</t>
        </is>
      </c>
      <c r="B773" t="inlineStr">
        <is>
          <t>5주차</t>
        </is>
      </c>
      <c r="C773" t="inlineStr">
        <is>
          <t>EP</t>
        </is>
      </c>
      <c r="D773" s="28" t="n">
        <v>46048</v>
      </c>
      <c r="E773" t="inlineStr">
        <is>
          <t>현대EP</t>
        </is>
      </c>
      <c r="F773" t="inlineStr">
        <is>
          <t>최곤호</t>
        </is>
      </c>
      <c r="G773" t="inlineStr">
        <is>
          <t>010-5427-9179</t>
        </is>
      </c>
      <c r="H773" t="inlineStr">
        <is>
          <t>376주9056</t>
        </is>
      </c>
      <c r="I773" t="n">
        <v>55900000</v>
      </c>
      <c r="J773" t="n">
        <v>0.093</v>
      </c>
      <c r="K773" t="n">
        <v>1.76</v>
      </c>
      <c r="L773" t="n">
        <v>0.13</v>
      </c>
      <c r="M773" t="n">
        <v>1.63</v>
      </c>
      <c r="P773" t="inlineStr">
        <is>
          <t>김나윤</t>
        </is>
      </c>
      <c r="Q773" t="inlineStr">
        <is>
          <t>홈서비스 60개월</t>
        </is>
      </c>
      <c r="AB773" t="inlineStr">
        <is>
          <t>홈서비스</t>
        </is>
      </c>
      <c r="AC773" t="n">
        <v>983840</v>
      </c>
      <c r="AD773" t="n">
        <v>72670</v>
      </c>
      <c r="AE773" t="n">
        <v>911170</v>
      </c>
      <c r="AF773" t="n">
        <v>894400</v>
      </c>
      <c r="AG773" t="n">
        <v>72670</v>
      </c>
      <c r="AH773" t="n">
        <v>821730</v>
      </c>
      <c r="AI773" t="n">
        <v>0</v>
      </c>
    </row>
    <row r="774">
      <c r="A774" t="inlineStr">
        <is>
          <t>1월</t>
        </is>
      </c>
      <c r="B774" t="inlineStr">
        <is>
          <t>5주차</t>
        </is>
      </c>
      <c r="C774" t="inlineStr">
        <is>
          <t>OR</t>
        </is>
      </c>
      <c r="D774" s="28" t="n">
        <v>46049</v>
      </c>
      <c r="E774" t="inlineStr">
        <is>
          <t>오릭스</t>
        </is>
      </c>
      <c r="F774" t="inlineStr">
        <is>
          <t>진지연</t>
        </is>
      </c>
      <c r="G774" t="n">
        <v>1050964327</v>
      </c>
      <c r="H774" t="inlineStr">
        <is>
          <t>14모3964</t>
        </is>
      </c>
      <c r="I774" t="n">
        <v>24500000</v>
      </c>
      <c r="J774" t="n">
        <v>0.054</v>
      </c>
      <c r="K774" t="n">
        <v>1.65</v>
      </c>
      <c r="L774" t="n">
        <v>0.13</v>
      </c>
      <c r="M774" t="n">
        <v>1.52</v>
      </c>
      <c r="P774" t="inlineStr">
        <is>
          <t>김나윤</t>
        </is>
      </c>
      <c r="Q774" t="inlineStr">
        <is>
          <t>사유: 금리불만 / 현대 6.7% / 홈서비스 60개월</t>
        </is>
      </c>
      <c r="AB774" t="inlineStr">
        <is>
          <t>홈서비스</t>
        </is>
      </c>
      <c r="AC774" t="n">
        <v>404250</v>
      </c>
      <c r="AD774" t="n">
        <v>31850</v>
      </c>
      <c r="AE774" t="n">
        <v>372400</v>
      </c>
      <c r="AF774" t="n">
        <v>367500</v>
      </c>
      <c r="AG774" t="n">
        <v>31850</v>
      </c>
      <c r="AH774" t="n">
        <v>335650</v>
      </c>
      <c r="AI774" t="n">
        <v>0</v>
      </c>
    </row>
    <row r="775">
      <c r="A775" t="inlineStr">
        <is>
          <t>1월</t>
        </is>
      </c>
      <c r="B775" t="inlineStr">
        <is>
          <t>5주차</t>
        </is>
      </c>
      <c r="C775" t="inlineStr">
        <is>
          <t>OR</t>
        </is>
      </c>
      <c r="D775" s="28" t="n">
        <v>46049</v>
      </c>
      <c r="E775" t="inlineStr">
        <is>
          <t>오릭스</t>
        </is>
      </c>
      <c r="F775" t="inlineStr">
        <is>
          <t>장태승</t>
        </is>
      </c>
      <c r="G775" t="n">
        <v>1098931608</v>
      </c>
      <c r="H775" t="inlineStr">
        <is>
          <t>364모3027</t>
        </is>
      </c>
      <c r="I775" t="n">
        <v>28200000</v>
      </c>
      <c r="J775" t="n">
        <v>0.08</v>
      </c>
      <c r="K775" t="n">
        <v>1.65</v>
      </c>
      <c r="L775" t="n">
        <v>0.13</v>
      </c>
      <c r="M775" t="n">
        <v>1.52</v>
      </c>
      <c r="P775" t="inlineStr">
        <is>
          <t>김나윤</t>
        </is>
      </c>
      <c r="Q775" t="inlineStr">
        <is>
          <t>사유: 부대비용 필요 / 홈서비스 60개월</t>
        </is>
      </c>
      <c r="AB775" t="inlineStr">
        <is>
          <t>홈서비스</t>
        </is>
      </c>
      <c r="AC775" t="n">
        <v>465300</v>
      </c>
      <c r="AD775" t="n">
        <v>36660</v>
      </c>
      <c r="AE775" t="n">
        <v>428640</v>
      </c>
      <c r="AF775" t="n">
        <v>423000</v>
      </c>
      <c r="AG775" t="n">
        <v>36660</v>
      </c>
      <c r="AH775" t="n">
        <v>386340</v>
      </c>
      <c r="AI775" t="n">
        <v>1</v>
      </c>
    </row>
    <row r="776">
      <c r="A776" t="inlineStr">
        <is>
          <t>1월</t>
        </is>
      </c>
      <c r="B776" t="inlineStr">
        <is>
          <t>4주차</t>
        </is>
      </c>
      <c r="C776" t="inlineStr">
        <is>
          <t>EP</t>
        </is>
      </c>
      <c r="D776" s="28" t="n">
        <v>46046</v>
      </c>
      <c r="E776" t="inlineStr">
        <is>
          <t>현대EP</t>
        </is>
      </c>
      <c r="F776" t="inlineStr">
        <is>
          <t>김경희</t>
        </is>
      </c>
      <c r="G776" t="inlineStr">
        <is>
          <t>010-4797-9444</t>
        </is>
      </c>
      <c r="H776" t="inlineStr">
        <is>
          <t>134주8407</t>
        </is>
      </c>
      <c r="I776" t="n">
        <v>37700000</v>
      </c>
      <c r="J776" t="n">
        <v>0.067</v>
      </c>
      <c r="K776" t="n">
        <v>1.76</v>
      </c>
      <c r="L776" t="n">
        <v>0.13</v>
      </c>
      <c r="M776" t="n">
        <v>1.63</v>
      </c>
      <c r="P776" t="inlineStr">
        <is>
          <t>임대경</t>
        </is>
      </c>
      <c r="Q776" t="inlineStr">
        <is>
          <t>홈서비스 60개월</t>
        </is>
      </c>
      <c r="AB776" t="inlineStr">
        <is>
          <t>홈서비스</t>
        </is>
      </c>
      <c r="AC776" t="n">
        <v>663520</v>
      </c>
      <c r="AD776" t="n">
        <v>49010</v>
      </c>
      <c r="AE776" t="n">
        <v>614510</v>
      </c>
      <c r="AF776" t="n">
        <v>603200</v>
      </c>
      <c r="AG776" t="n">
        <v>49010</v>
      </c>
      <c r="AH776" t="n">
        <v>554190</v>
      </c>
      <c r="AI776" t="n">
        <v>1</v>
      </c>
    </row>
    <row r="777">
      <c r="A777" t="inlineStr">
        <is>
          <t>1월</t>
        </is>
      </c>
      <c r="B777" t="inlineStr">
        <is>
          <t>5주차</t>
        </is>
      </c>
      <c r="C777" t="inlineStr">
        <is>
          <t>EP</t>
        </is>
      </c>
      <c r="D777" s="28" t="n">
        <v>46048</v>
      </c>
      <c r="E777" t="inlineStr">
        <is>
          <t>현대EP</t>
        </is>
      </c>
      <c r="F777" t="inlineStr">
        <is>
          <t>전용진</t>
        </is>
      </c>
      <c r="G777" t="inlineStr">
        <is>
          <t>010-9293-3813</t>
        </is>
      </c>
      <c r="H777" t="inlineStr">
        <is>
          <t>129너7758</t>
        </is>
      </c>
      <c r="I777" t="n">
        <v>11000000</v>
      </c>
      <c r="J777" t="n">
        <v>0.081</v>
      </c>
      <c r="K777" t="n">
        <v>1.21</v>
      </c>
      <c r="L777" t="n">
        <v>0.13</v>
      </c>
      <c r="M777" t="n">
        <v>1.08</v>
      </c>
      <c r="P777" t="inlineStr">
        <is>
          <t>최형주</t>
        </is>
      </c>
      <c r="Q777" t="inlineStr">
        <is>
          <t>홈서비스 60개월</t>
        </is>
      </c>
      <c r="AB777" t="inlineStr">
        <is>
          <t>홈서비스</t>
        </is>
      </c>
      <c r="AC777" t="n">
        <v>133100</v>
      </c>
      <c r="AD777" t="n">
        <v>14300</v>
      </c>
      <c r="AE777" t="n">
        <v>118800</v>
      </c>
      <c r="AF777" t="n">
        <v>121000</v>
      </c>
      <c r="AG777" t="n">
        <v>14300</v>
      </c>
      <c r="AH777" t="n">
        <v>106700</v>
      </c>
      <c r="AI777" t="n">
        <v>1</v>
      </c>
    </row>
    <row r="778">
      <c r="A778" t="inlineStr">
        <is>
          <t>1월</t>
        </is>
      </c>
      <c r="B778" t="inlineStr">
        <is>
          <t>5주차</t>
        </is>
      </c>
      <c r="C778" t="inlineStr">
        <is>
          <t>IM</t>
        </is>
      </c>
      <c r="D778" s="28" t="n">
        <v>46049</v>
      </c>
      <c r="E778" t="inlineStr">
        <is>
          <t>IM캐피탈</t>
        </is>
      </c>
      <c r="F778" t="inlineStr">
        <is>
          <t>황경상</t>
        </is>
      </c>
      <c r="G778" t="inlineStr">
        <is>
          <t>010-9393-5678</t>
        </is>
      </c>
      <c r="H778" t="inlineStr">
        <is>
          <t>41가5700</t>
        </is>
      </c>
      <c r="I778" t="n">
        <v>30300000</v>
      </c>
      <c r="J778" t="n">
        <v>0.039</v>
      </c>
      <c r="K778" t="n">
        <v>0.55</v>
      </c>
      <c r="L778" t="n">
        <v>0.13</v>
      </c>
      <c r="M778" t="n">
        <v>0.42</v>
      </c>
      <c r="P778" t="inlineStr">
        <is>
          <t>최형주</t>
        </is>
      </c>
      <c r="Q778" t="inlineStr">
        <is>
          <t>홈서비스 36개월 / 사유: 기승인건</t>
        </is>
      </c>
      <c r="AB778" t="inlineStr">
        <is>
          <t>홈서비스</t>
        </is>
      </c>
      <c r="AC778" t="n">
        <v>166650</v>
      </c>
      <c r="AD778" t="n">
        <v>39390</v>
      </c>
      <c r="AE778" t="n">
        <v>127260</v>
      </c>
      <c r="AF778" t="n">
        <v>151500</v>
      </c>
      <c r="AG778" t="n">
        <v>39390</v>
      </c>
      <c r="AH778" t="n">
        <v>112110</v>
      </c>
      <c r="AI778" t="n">
        <v>1</v>
      </c>
    </row>
    <row r="779">
      <c r="A779" t="inlineStr">
        <is>
          <t>1월</t>
        </is>
      </c>
      <c r="B779" t="inlineStr">
        <is>
          <t>5주차</t>
        </is>
      </c>
      <c r="C779" t="inlineStr">
        <is>
          <t>EP</t>
        </is>
      </c>
      <c r="D779" s="28" t="n">
        <v>46048</v>
      </c>
      <c r="E779" t="inlineStr">
        <is>
          <t>현대EP_fast</t>
        </is>
      </c>
      <c r="F779" t="inlineStr">
        <is>
          <t>김솔</t>
        </is>
      </c>
      <c r="G779" t="inlineStr">
        <is>
          <t>010-7177-0770</t>
        </is>
      </c>
      <c r="H779" t="inlineStr">
        <is>
          <t>15모2194</t>
        </is>
      </c>
      <c r="I779" t="n">
        <v>4500000</v>
      </c>
      <c r="J779" t="n">
        <v>0.08699999999999999</v>
      </c>
      <c r="K779" t="n">
        <v>1.76</v>
      </c>
      <c r="L779" t="n">
        <v>0.4</v>
      </c>
      <c r="M779" t="n">
        <v>1.36</v>
      </c>
      <c r="P779" t="inlineStr">
        <is>
          <t>박소현</t>
        </is>
      </c>
      <c r="AB779" t="inlineStr">
        <is>
          <t>엔카</t>
        </is>
      </c>
      <c r="AC779" t="n">
        <v>79200</v>
      </c>
      <c r="AD779" t="n">
        <v>18000</v>
      </c>
      <c r="AE779" t="n">
        <v>61200</v>
      </c>
      <c r="AF779" t="n">
        <v>72000</v>
      </c>
      <c r="AG779" t="n">
        <v>18000</v>
      </c>
      <c r="AH779" t="n">
        <v>54000</v>
      </c>
      <c r="AI779" t="n">
        <v>1</v>
      </c>
    </row>
    <row r="780">
      <c r="A780" t="inlineStr">
        <is>
          <t>1월</t>
        </is>
      </c>
      <c r="B780" t="inlineStr">
        <is>
          <t>5주차</t>
        </is>
      </c>
      <c r="C780" t="inlineStr">
        <is>
          <t>EP</t>
        </is>
      </c>
      <c r="D780" s="28" t="n">
        <v>46048</v>
      </c>
      <c r="E780" t="inlineStr">
        <is>
          <t>현대EP</t>
        </is>
      </c>
      <c r="F780" t="inlineStr">
        <is>
          <t>이태일</t>
        </is>
      </c>
      <c r="G780" t="inlineStr">
        <is>
          <t>010-9175-0944</t>
        </is>
      </c>
      <c r="H780" t="inlineStr">
        <is>
          <t>227부9923</t>
        </is>
      </c>
      <c r="I780" t="n">
        <v>6400000</v>
      </c>
      <c r="J780" t="n">
        <v>0.068</v>
      </c>
      <c r="K780" t="n">
        <v>1.76</v>
      </c>
      <c r="L780" t="n">
        <v>0.13</v>
      </c>
      <c r="M780" t="n">
        <v>1.63</v>
      </c>
      <c r="P780" t="inlineStr">
        <is>
          <t>정세빈</t>
        </is>
      </c>
      <c r="Q780" t="inlineStr">
        <is>
          <t>홈서비스 36개월</t>
        </is>
      </c>
      <c r="AB780" t="inlineStr">
        <is>
          <t>홈서비스</t>
        </is>
      </c>
      <c r="AC780" t="n">
        <v>112640</v>
      </c>
      <c r="AD780" t="n">
        <v>8320</v>
      </c>
      <c r="AE780" t="n">
        <v>104320</v>
      </c>
      <c r="AF780" t="n">
        <v>102400</v>
      </c>
      <c r="AG780" t="n">
        <v>8320</v>
      </c>
      <c r="AH780" t="n">
        <v>94080</v>
      </c>
      <c r="AI780" t="n">
        <v>1</v>
      </c>
    </row>
    <row r="781">
      <c r="A781" t="inlineStr">
        <is>
          <t>1월</t>
        </is>
      </c>
      <c r="B781" t="inlineStr">
        <is>
          <t>5주차</t>
        </is>
      </c>
      <c r="C781" t="inlineStr">
        <is>
          <t>EP</t>
        </is>
      </c>
      <c r="D781" s="28" t="n">
        <v>46048</v>
      </c>
      <c r="E781" t="inlineStr">
        <is>
          <t>현대EP</t>
        </is>
      </c>
      <c r="F781" t="inlineStr">
        <is>
          <t>정승훈</t>
        </is>
      </c>
      <c r="G781" t="inlineStr">
        <is>
          <t>010-7979-5861</t>
        </is>
      </c>
      <c r="H781" t="inlineStr">
        <is>
          <t>397우6974</t>
        </is>
      </c>
      <c r="I781" t="n">
        <v>8100000</v>
      </c>
      <c r="J781" t="n">
        <v>0.067</v>
      </c>
      <c r="K781" t="n">
        <v>1.76</v>
      </c>
      <c r="L781" t="n">
        <v>0.13</v>
      </c>
      <c r="M781" t="n">
        <v>1.63</v>
      </c>
      <c r="P781" t="inlineStr">
        <is>
          <t>정세빈</t>
        </is>
      </c>
      <c r="Q781" t="inlineStr">
        <is>
          <t>홈서비스 24개월</t>
        </is>
      </c>
      <c r="AB781" t="inlineStr">
        <is>
          <t>홈서비스</t>
        </is>
      </c>
      <c r="AC781" t="n">
        <v>142560</v>
      </c>
      <c r="AD781" t="n">
        <v>10530</v>
      </c>
      <c r="AE781" t="n">
        <v>132030</v>
      </c>
      <c r="AF781" t="n">
        <v>129600</v>
      </c>
      <c r="AG781" t="n">
        <v>10530</v>
      </c>
      <c r="AH781" t="n">
        <v>119070</v>
      </c>
      <c r="AI781" t="n">
        <v>1</v>
      </c>
    </row>
    <row r="782">
      <c r="A782" t="inlineStr">
        <is>
          <t>1월</t>
        </is>
      </c>
      <c r="B782" t="inlineStr">
        <is>
          <t>5주차</t>
        </is>
      </c>
      <c r="C782" t="inlineStr">
        <is>
          <t>EP</t>
        </is>
      </c>
      <c r="D782" s="28" t="n">
        <v>46048</v>
      </c>
      <c r="E782" t="inlineStr">
        <is>
          <t>현대EP_fast</t>
        </is>
      </c>
      <c r="F782" t="inlineStr">
        <is>
          <t>서수빈</t>
        </is>
      </c>
      <c r="G782" t="inlineStr">
        <is>
          <t>010-2120-7370</t>
        </is>
      </c>
      <c r="H782" t="inlineStr">
        <is>
          <t>275너7811</t>
        </is>
      </c>
      <c r="I782" t="n">
        <v>28900000</v>
      </c>
      <c r="J782" t="n">
        <v>0.111</v>
      </c>
      <c r="K782" t="n">
        <v>1.76</v>
      </c>
      <c r="L782" t="n">
        <v>0.13</v>
      </c>
      <c r="M782" t="n">
        <v>1.63</v>
      </c>
      <c r="P782" t="inlineStr">
        <is>
          <t>정광호</t>
        </is>
      </c>
      <c r="Q782" t="inlineStr">
        <is>
          <t>홈서비스 60개월</t>
        </is>
      </c>
      <c r="AB782" t="inlineStr">
        <is>
          <t>홈서비스</t>
        </is>
      </c>
      <c r="AC782" t="n">
        <v>508640</v>
      </c>
      <c r="AD782" t="n">
        <v>37570</v>
      </c>
      <c r="AE782" t="n">
        <v>471070</v>
      </c>
      <c r="AF782" t="n">
        <v>462400</v>
      </c>
      <c r="AG782" t="n">
        <v>37570</v>
      </c>
      <c r="AH782" t="n">
        <v>424830</v>
      </c>
      <c r="AI782" t="n">
        <v>1</v>
      </c>
    </row>
    <row r="783">
      <c r="A783" t="inlineStr">
        <is>
          <t>1월</t>
        </is>
      </c>
      <c r="B783" t="inlineStr">
        <is>
          <t>5주차</t>
        </is>
      </c>
      <c r="C783" t="inlineStr">
        <is>
          <t>EP</t>
        </is>
      </c>
      <c r="D783" s="28" t="n">
        <v>46049</v>
      </c>
      <c r="E783" t="inlineStr">
        <is>
          <t>현대EP_fast</t>
        </is>
      </c>
      <c r="F783" t="inlineStr">
        <is>
          <t>임선영</t>
        </is>
      </c>
      <c r="G783" t="n">
        <v>1063525372</v>
      </c>
      <c r="H783" t="inlineStr">
        <is>
          <t>13마3886</t>
        </is>
      </c>
      <c r="I783" t="n">
        <v>5500000</v>
      </c>
      <c r="J783" t="n">
        <v>0.057</v>
      </c>
      <c r="K783" t="n">
        <v>1.76</v>
      </c>
      <c r="L783" t="n">
        <v>0.13</v>
      </c>
      <c r="M783" t="n">
        <v>1.63</v>
      </c>
      <c r="P783" t="inlineStr">
        <is>
          <t>김나윤</t>
        </is>
      </c>
      <c r="Q783" t="inlineStr">
        <is>
          <t>홈서비스 36개월</t>
        </is>
      </c>
      <c r="AB783" t="inlineStr">
        <is>
          <t>홈서비스</t>
        </is>
      </c>
      <c r="AC783" t="n">
        <v>96800</v>
      </c>
      <c r="AD783" t="n">
        <v>7150</v>
      </c>
      <c r="AE783" t="n">
        <v>89650</v>
      </c>
      <c r="AF783" t="n">
        <v>88000</v>
      </c>
      <c r="AG783" t="n">
        <v>7150</v>
      </c>
      <c r="AH783" t="n">
        <v>80850</v>
      </c>
      <c r="AI783" t="n">
        <v>1</v>
      </c>
    </row>
    <row r="784">
      <c r="A784" t="inlineStr">
        <is>
          <t>1월</t>
        </is>
      </c>
      <c r="B784" t="inlineStr">
        <is>
          <t>5주차</t>
        </is>
      </c>
      <c r="C784" t="inlineStr">
        <is>
          <t>IM</t>
        </is>
      </c>
      <c r="D784" s="28" t="n">
        <v>46049</v>
      </c>
      <c r="E784" t="inlineStr">
        <is>
          <t>IM캐피탈</t>
        </is>
      </c>
      <c r="F784" t="inlineStr">
        <is>
          <t>전규리</t>
        </is>
      </c>
      <c r="G784" t="inlineStr">
        <is>
          <t>010-6553-2529</t>
        </is>
      </c>
      <c r="H784" t="inlineStr">
        <is>
          <t>18저3261</t>
        </is>
      </c>
      <c r="I784" t="n">
        <v>19300000</v>
      </c>
      <c r="J784" t="n">
        <v>0.07199999999999999</v>
      </c>
      <c r="K784" t="n">
        <v>0.55</v>
      </c>
      <c r="L784" t="n">
        <v>0.13</v>
      </c>
      <c r="M784" t="n">
        <v>0.42</v>
      </c>
      <c r="P784" t="inlineStr">
        <is>
          <t>박소현</t>
        </is>
      </c>
      <c r="Q784" t="inlineStr">
        <is>
          <t>선상담 / 홈서비스 60개월 / 사유 : 기승인건</t>
        </is>
      </c>
      <c r="AB784" t="inlineStr">
        <is>
          <t>홈서비스</t>
        </is>
      </c>
      <c r="AC784" t="n">
        <v>106150</v>
      </c>
      <c r="AD784" t="n">
        <v>25090</v>
      </c>
      <c r="AE784" t="n">
        <v>81060</v>
      </c>
      <c r="AF784" t="n">
        <v>96500</v>
      </c>
      <c r="AG784" t="n">
        <v>25090</v>
      </c>
      <c r="AH784" t="n">
        <v>71410</v>
      </c>
      <c r="AI784" t="n">
        <v>0</v>
      </c>
    </row>
    <row r="785">
      <c r="A785" t="inlineStr">
        <is>
          <t>1월</t>
        </is>
      </c>
      <c r="B785" t="inlineStr">
        <is>
          <t>5주차</t>
        </is>
      </c>
      <c r="C785" t="inlineStr">
        <is>
          <t>WC</t>
        </is>
      </c>
      <c r="D785" s="28" t="n">
        <v>46049</v>
      </c>
      <c r="E785" t="inlineStr">
        <is>
          <t>웰컴저축은행</t>
        </is>
      </c>
      <c r="F785" t="inlineStr">
        <is>
          <t>이동억</t>
        </is>
      </c>
      <c r="G785" t="inlineStr">
        <is>
          <t>010-2406-5697</t>
        </is>
      </c>
      <c r="H785" t="inlineStr">
        <is>
          <t>04소3975</t>
        </is>
      </c>
      <c r="I785" t="n">
        <v>13400000</v>
      </c>
      <c r="J785" t="n">
        <v>0.119</v>
      </c>
      <c r="K785" t="n">
        <v>0</v>
      </c>
      <c r="L785" t="n">
        <v>0.13</v>
      </c>
      <c r="M785" t="n">
        <v>-0.13</v>
      </c>
      <c r="P785" t="inlineStr">
        <is>
          <t>황채이</t>
        </is>
      </c>
      <c r="Q785" t="inlineStr">
        <is>
          <t>홈서비스 72개월 / 현대 부결건</t>
        </is>
      </c>
      <c r="AB785" t="inlineStr">
        <is>
          <t>홈서비스</t>
        </is>
      </c>
      <c r="AC785" t="n">
        <v>0</v>
      </c>
      <c r="AD785" t="n">
        <v>17420</v>
      </c>
      <c r="AE785" t="n">
        <v>-17420</v>
      </c>
      <c r="AF785" t="n">
        <v>0</v>
      </c>
      <c r="AG785" t="n">
        <v>17420</v>
      </c>
      <c r="AH785" t="n">
        <v>-17420</v>
      </c>
      <c r="AI785" t="n">
        <v>0</v>
      </c>
    </row>
    <row r="786">
      <c r="A786" t="inlineStr">
        <is>
          <t>1월</t>
        </is>
      </c>
      <c r="B786" t="inlineStr">
        <is>
          <t>5주차</t>
        </is>
      </c>
      <c r="C786" t="inlineStr">
        <is>
          <t>EP</t>
        </is>
      </c>
      <c r="D786" s="28" t="n">
        <v>46049</v>
      </c>
      <c r="E786" t="inlineStr">
        <is>
          <t>현대EP_fast</t>
        </is>
      </c>
      <c r="F786" t="inlineStr">
        <is>
          <t>엄태헌</t>
        </is>
      </c>
      <c r="G786" t="n">
        <v>1041012541</v>
      </c>
      <c r="H786" t="inlineStr">
        <is>
          <t>49나3312</t>
        </is>
      </c>
      <c r="I786" t="n">
        <v>7000000</v>
      </c>
      <c r="J786" t="n">
        <v>0.081</v>
      </c>
      <c r="K786" t="n">
        <v>1.76</v>
      </c>
      <c r="L786" t="n">
        <v>0.13</v>
      </c>
      <c r="M786" t="n">
        <v>1.63</v>
      </c>
      <c r="P786" t="inlineStr">
        <is>
          <t>김나윤</t>
        </is>
      </c>
      <c r="Q786" t="inlineStr">
        <is>
          <t>홈서비스 24개월</t>
        </is>
      </c>
      <c r="AB786" t="inlineStr">
        <is>
          <t>홈서비스</t>
        </is>
      </c>
      <c r="AC786" t="n">
        <v>123200</v>
      </c>
      <c r="AD786" t="n">
        <v>9100</v>
      </c>
      <c r="AE786" t="n">
        <v>114100</v>
      </c>
      <c r="AF786" t="n">
        <v>112000</v>
      </c>
      <c r="AG786" t="n">
        <v>9100</v>
      </c>
      <c r="AH786" t="n">
        <v>102900</v>
      </c>
      <c r="AI786" t="n">
        <v>0</v>
      </c>
    </row>
    <row r="787">
      <c r="A787" t="inlineStr">
        <is>
          <t>1월</t>
        </is>
      </c>
      <c r="B787" t="inlineStr">
        <is>
          <t>5주차</t>
        </is>
      </c>
      <c r="C787" t="inlineStr">
        <is>
          <t>EP</t>
        </is>
      </c>
      <c r="D787" s="28" t="n">
        <v>46048</v>
      </c>
      <c r="E787" t="inlineStr">
        <is>
          <t>현대EP</t>
        </is>
      </c>
      <c r="F787" t="inlineStr">
        <is>
          <t>홍준기</t>
        </is>
      </c>
      <c r="G787" t="inlineStr">
        <is>
          <t>010-2544-9196</t>
        </is>
      </c>
      <c r="H787" t="inlineStr">
        <is>
          <t>328누2827</t>
        </is>
      </c>
      <c r="I787" t="n">
        <v>13700000</v>
      </c>
      <c r="J787" t="n">
        <v>0.131</v>
      </c>
      <c r="K787" t="n">
        <v>1.76</v>
      </c>
      <c r="L787" t="n">
        <v>0.13</v>
      </c>
      <c r="M787" t="n">
        <v>1.63</v>
      </c>
      <c r="P787" t="inlineStr">
        <is>
          <t>최혁</t>
        </is>
      </c>
      <c r="Q787" t="inlineStr">
        <is>
          <t>홈서비스 36개월</t>
        </is>
      </c>
      <c r="AB787" t="inlineStr">
        <is>
          <t>홈서비스</t>
        </is>
      </c>
      <c r="AC787" t="n">
        <v>241120</v>
      </c>
      <c r="AD787" t="n">
        <v>17810</v>
      </c>
      <c r="AE787" t="n">
        <v>223310</v>
      </c>
      <c r="AF787" t="n">
        <v>219200</v>
      </c>
      <c r="AG787" t="n">
        <v>17810</v>
      </c>
      <c r="AH787" t="n">
        <v>201390</v>
      </c>
      <c r="AI787" t="n">
        <v>0</v>
      </c>
    </row>
    <row r="788">
      <c r="A788" t="inlineStr">
        <is>
          <t>1월</t>
        </is>
      </c>
      <c r="B788" t="inlineStr">
        <is>
          <t>5주차</t>
        </is>
      </c>
      <c r="C788" t="inlineStr">
        <is>
          <t>EP</t>
        </is>
      </c>
      <c r="D788" s="28" t="n">
        <v>46049</v>
      </c>
      <c r="E788" t="inlineStr">
        <is>
          <t>현대EP_fast</t>
        </is>
      </c>
      <c r="F788" t="inlineStr">
        <is>
          <t>유지현</t>
        </is>
      </c>
      <c r="G788" t="n">
        <v>1087204314</v>
      </c>
      <c r="H788" t="inlineStr">
        <is>
          <t>39러0422</t>
        </is>
      </c>
      <c r="I788" t="n">
        <v>7600000</v>
      </c>
      <c r="J788" t="n">
        <v>0.097</v>
      </c>
      <c r="K788" t="n">
        <v>1.76</v>
      </c>
      <c r="L788" t="n">
        <v>0.13</v>
      </c>
      <c r="M788" t="n">
        <v>1.63</v>
      </c>
      <c r="P788" t="inlineStr">
        <is>
          <t>김나윤</t>
        </is>
      </c>
      <c r="Q788" t="inlineStr">
        <is>
          <t>홈서비스 48개월</t>
        </is>
      </c>
      <c r="AB788" t="inlineStr">
        <is>
          <t>홈서비스</t>
        </is>
      </c>
      <c r="AC788" t="n">
        <v>133760</v>
      </c>
      <c r="AD788" t="n">
        <v>9880</v>
      </c>
      <c r="AE788" t="n">
        <v>123880</v>
      </c>
      <c r="AF788" t="n">
        <v>121600</v>
      </c>
      <c r="AG788" t="n">
        <v>9880</v>
      </c>
      <c r="AH788" t="n">
        <v>111720</v>
      </c>
      <c r="AI788" t="n">
        <v>0</v>
      </c>
    </row>
    <row r="789">
      <c r="A789" t="inlineStr">
        <is>
          <t>1월</t>
        </is>
      </c>
      <c r="B789" t="inlineStr">
        <is>
          <t>4주차</t>
        </is>
      </c>
      <c r="C789" t="inlineStr">
        <is>
          <t>IM</t>
        </is>
      </c>
      <c r="D789" s="28" t="n">
        <v>46044</v>
      </c>
      <c r="E789" t="inlineStr">
        <is>
          <t>IM캐피탈</t>
        </is>
      </c>
      <c r="F789" t="inlineStr">
        <is>
          <t>장천룡</t>
        </is>
      </c>
      <c r="G789" t="inlineStr">
        <is>
          <t>010-5266-3159</t>
        </is>
      </c>
      <c r="H789" t="inlineStr">
        <is>
          <t>22소2222</t>
        </is>
      </c>
      <c r="I789" t="n">
        <v>67000000</v>
      </c>
      <c r="J789" t="n">
        <v>0.049</v>
      </c>
      <c r="K789" t="n">
        <v>0.55</v>
      </c>
      <c r="L789" t="n">
        <v>0.4</v>
      </c>
      <c r="M789" t="n">
        <v>0.15</v>
      </c>
      <c r="P789" t="inlineStr">
        <is>
          <t>박보람</t>
        </is>
      </c>
      <c r="Q789" t="inlineStr">
        <is>
          <t>개인간거래/사유: 기승인건/이전완료</t>
        </is>
      </c>
      <c r="AB789" t="inlineStr">
        <is>
          <t>엔카</t>
        </is>
      </c>
      <c r="AC789" t="n">
        <v>368500</v>
      </c>
      <c r="AD789" t="n">
        <v>268000</v>
      </c>
      <c r="AE789" t="n">
        <v>100500</v>
      </c>
      <c r="AF789" t="n">
        <v>335000</v>
      </c>
      <c r="AG789" t="n">
        <v>268000</v>
      </c>
      <c r="AH789" t="n">
        <v>67000</v>
      </c>
    </row>
    <row r="790">
      <c r="A790" t="inlineStr">
        <is>
          <t>1월</t>
        </is>
      </c>
      <c r="B790" t="inlineStr">
        <is>
          <t>4주차</t>
        </is>
      </c>
      <c r="C790" t="inlineStr">
        <is>
          <t>OR</t>
        </is>
      </c>
      <c r="D790" s="28" t="n">
        <v>46045</v>
      </c>
      <c r="E790" t="inlineStr">
        <is>
          <t>오릭스</t>
        </is>
      </c>
      <c r="F790" t="inlineStr">
        <is>
          <t>노미선</t>
        </is>
      </c>
      <c r="G790" t="inlineStr">
        <is>
          <t>010-2327-2335</t>
        </is>
      </c>
      <c r="H790" t="inlineStr">
        <is>
          <t>25머4224</t>
        </is>
      </c>
      <c r="I790" t="n">
        <v>-18500000</v>
      </c>
      <c r="J790" t="n">
        <v>0.058</v>
      </c>
      <c r="K790" t="n">
        <v>1.65</v>
      </c>
      <c r="L790" t="n">
        <v>0.13</v>
      </c>
      <c r="M790" t="n">
        <v>1.52</v>
      </c>
      <c r="P790" t="inlineStr">
        <is>
          <t>박현민</t>
        </is>
      </c>
      <c r="Q790" t="inlineStr">
        <is>
          <t>홈서비스 36개월 / 사유 : 금리불만 / *철회 20260203</t>
        </is>
      </c>
      <c r="AB790" t="inlineStr">
        <is>
          <t>홈서비스</t>
        </is>
      </c>
      <c r="AC790" t="n">
        <v>-305250</v>
      </c>
      <c r="AD790" t="n">
        <v>-24050</v>
      </c>
      <c r="AE790" t="n">
        <v>-281200</v>
      </c>
      <c r="AF790" t="n">
        <v>-277500</v>
      </c>
      <c r="AG790" t="n">
        <v>-24050</v>
      </c>
      <c r="AH790" t="n">
        <v>-253450</v>
      </c>
      <c r="AI790" t="n">
        <v>0</v>
      </c>
      <c r="AK790" t="inlineStr">
        <is>
          <t>대출철회</t>
        </is>
      </c>
    </row>
    <row r="791">
      <c r="A791" t="inlineStr">
        <is>
          <t>1월</t>
        </is>
      </c>
      <c r="B791" t="inlineStr">
        <is>
          <t>2주차</t>
        </is>
      </c>
      <c r="C791" t="inlineStr">
        <is>
          <t>상환</t>
        </is>
      </c>
      <c r="D791" t="inlineStr">
        <is>
          <t>2026-01-08</t>
        </is>
      </c>
      <c r="E791" t="inlineStr">
        <is>
          <t>현대EP상환</t>
        </is>
      </c>
      <c r="F791" t="inlineStr">
        <is>
          <t>이한준</t>
        </is>
      </c>
      <c r="G791" t="inlineStr">
        <is>
          <t>010-5220-3418</t>
        </is>
      </c>
      <c r="H791" t="inlineStr">
        <is>
          <t>55너1083</t>
        </is>
      </c>
      <c r="I791" t="n">
        <v>-8200000</v>
      </c>
      <c r="J791" t="n">
        <v>0.101</v>
      </c>
      <c r="K791" t="n">
        <v>1.76</v>
      </c>
      <c r="L791" t="n">
        <v>0.13</v>
      </c>
      <c r="M791" t="n">
        <v>1.63</v>
      </c>
      <c r="P791" t="inlineStr">
        <is>
          <t>박보람</t>
        </is>
      </c>
      <c r="Q791" t="inlineStr">
        <is>
          <t>홈서비스 48개월 / *12월실행 1월 중도상환 20260108</t>
        </is>
      </c>
      <c r="AB791" t="inlineStr">
        <is>
          <t>홈서비스</t>
        </is>
      </c>
      <c r="AC791" t="n">
        <v>-144320</v>
      </c>
      <c r="AD791" t="n">
        <v>-10660</v>
      </c>
      <c r="AE791" t="n">
        <v>-133660</v>
      </c>
      <c r="AF791" t="n">
        <v>-131200</v>
      </c>
      <c r="AG791" t="n">
        <v>-10660</v>
      </c>
      <c r="AH791" t="n">
        <v>-120540</v>
      </c>
      <c r="AI791" t="n">
        <v>0</v>
      </c>
      <c r="AK791" t="inlineStr">
        <is>
          <t>중도상환</t>
        </is>
      </c>
    </row>
    <row r="792">
      <c r="A792" t="inlineStr">
        <is>
          <t>1월</t>
        </is>
      </c>
      <c r="B792" t="inlineStr">
        <is>
          <t>5주차</t>
        </is>
      </c>
      <c r="C792" t="inlineStr">
        <is>
          <t>EP</t>
        </is>
      </c>
      <c r="D792" s="28" t="n">
        <v>46049</v>
      </c>
      <c r="E792" t="inlineStr">
        <is>
          <t>현대EP_fast</t>
        </is>
      </c>
      <c r="F792" t="inlineStr">
        <is>
          <t>김명환</t>
        </is>
      </c>
      <c r="G792" t="inlineStr">
        <is>
          <t>010-2949-2461</t>
        </is>
      </c>
      <c r="H792" t="inlineStr">
        <is>
          <t>317무5785</t>
        </is>
      </c>
      <c r="I792" t="n">
        <v>18000000</v>
      </c>
      <c r="J792" t="n">
        <v>0.077</v>
      </c>
      <c r="K792" t="n">
        <v>1.76</v>
      </c>
      <c r="L792" t="n">
        <v>0.13</v>
      </c>
      <c r="M792" t="n">
        <v>1.63</v>
      </c>
      <c r="P792" t="inlineStr">
        <is>
          <t>정세빈</t>
        </is>
      </c>
      <c r="Q792" t="inlineStr">
        <is>
          <t>홈서비스 60개월 / 금리인하 0.5%적용건 (8.2-&gt;7.7)</t>
        </is>
      </c>
      <c r="AB792" t="inlineStr">
        <is>
          <t>홈서비스</t>
        </is>
      </c>
      <c r="AC792" t="n">
        <v>316800</v>
      </c>
      <c r="AD792" t="n">
        <v>23400</v>
      </c>
      <c r="AE792" t="n">
        <v>293400</v>
      </c>
      <c r="AF792" t="n">
        <v>288000</v>
      </c>
      <c r="AG792" t="n">
        <v>23400</v>
      </c>
      <c r="AH792" t="n">
        <v>264600</v>
      </c>
      <c r="AI792" t="n">
        <v>0</v>
      </c>
    </row>
    <row r="793">
      <c r="A793" t="inlineStr">
        <is>
          <t>1월</t>
        </is>
      </c>
      <c r="B793" t="inlineStr">
        <is>
          <t>5주차</t>
        </is>
      </c>
      <c r="C793" t="inlineStr">
        <is>
          <t>EP</t>
        </is>
      </c>
      <c r="D793" s="28" t="n">
        <v>46049</v>
      </c>
      <c r="E793" t="inlineStr">
        <is>
          <t>현대EP_fast</t>
        </is>
      </c>
      <c r="F793" t="inlineStr">
        <is>
          <t>이창훈</t>
        </is>
      </c>
      <c r="G793" t="inlineStr">
        <is>
          <t>010-2823-3893</t>
        </is>
      </c>
      <c r="H793" t="inlineStr">
        <is>
          <t>28두1931</t>
        </is>
      </c>
      <c r="I793" t="n">
        <v>3700000</v>
      </c>
      <c r="J793" t="n">
        <v>0.093</v>
      </c>
      <c r="K793" t="n">
        <v>1.21</v>
      </c>
      <c r="L793" t="n">
        <v>0.13</v>
      </c>
      <c r="M793" t="n">
        <v>1.08</v>
      </c>
      <c r="P793" t="inlineStr">
        <is>
          <t>정세빈</t>
        </is>
      </c>
      <c r="Q793" t="inlineStr">
        <is>
          <t>홈서비스 60개월</t>
        </is>
      </c>
      <c r="AB793" t="inlineStr">
        <is>
          <t>홈서비스</t>
        </is>
      </c>
      <c r="AC793" t="n">
        <v>44770</v>
      </c>
      <c r="AD793" t="n">
        <v>4810</v>
      </c>
      <c r="AE793" t="n">
        <v>39960</v>
      </c>
      <c r="AF793" t="n">
        <v>40700</v>
      </c>
      <c r="AG793" t="n">
        <v>4810</v>
      </c>
      <c r="AH793" t="n">
        <v>35890</v>
      </c>
      <c r="AI793" t="n">
        <v>0</v>
      </c>
    </row>
    <row r="794">
      <c r="A794" t="inlineStr">
        <is>
          <t>1월</t>
        </is>
      </c>
      <c r="B794" t="inlineStr">
        <is>
          <t>5주차</t>
        </is>
      </c>
      <c r="C794" t="inlineStr">
        <is>
          <t>EP</t>
        </is>
      </c>
      <c r="D794" s="28" t="n">
        <v>46049</v>
      </c>
      <c r="E794" t="inlineStr">
        <is>
          <t>현대EP_fast</t>
        </is>
      </c>
      <c r="F794" t="inlineStr">
        <is>
          <t>백용란</t>
        </is>
      </c>
      <c r="G794" t="inlineStr">
        <is>
          <t>010-8422-9311</t>
        </is>
      </c>
      <c r="H794" t="inlineStr">
        <is>
          <t>33마0665</t>
        </is>
      </c>
      <c r="I794" t="n">
        <v>5900000</v>
      </c>
      <c r="J794" t="n">
        <v>0.08699999999999999</v>
      </c>
      <c r="K794" t="n">
        <v>1.76</v>
      </c>
      <c r="L794" t="n">
        <v>0.13</v>
      </c>
      <c r="M794" t="n">
        <v>1.63</v>
      </c>
      <c r="P794" t="inlineStr">
        <is>
          <t>최형주</t>
        </is>
      </c>
      <c r="Q794" t="inlineStr">
        <is>
          <t>홈서비스 60개월</t>
        </is>
      </c>
      <c r="AB794" t="inlineStr">
        <is>
          <t>홈서비스</t>
        </is>
      </c>
      <c r="AC794" t="n">
        <v>103840</v>
      </c>
      <c r="AD794" t="n">
        <v>7670</v>
      </c>
      <c r="AE794" t="n">
        <v>96170</v>
      </c>
      <c r="AF794" t="n">
        <v>94400</v>
      </c>
      <c r="AG794" t="n">
        <v>7670</v>
      </c>
      <c r="AH794" t="n">
        <v>86730</v>
      </c>
      <c r="AI794" t="n">
        <v>0</v>
      </c>
    </row>
    <row r="795">
      <c r="A795" t="inlineStr">
        <is>
          <t>1월</t>
        </is>
      </c>
      <c r="B795" t="inlineStr">
        <is>
          <t>5주차</t>
        </is>
      </c>
      <c r="C795" t="inlineStr">
        <is>
          <t>EP</t>
        </is>
      </c>
      <c r="D795" s="28" t="n">
        <v>46048</v>
      </c>
      <c r="E795" t="inlineStr">
        <is>
          <t>현대EP</t>
        </is>
      </c>
      <c r="F795" t="inlineStr">
        <is>
          <t>방현석</t>
        </is>
      </c>
      <c r="G795" t="inlineStr">
        <is>
          <t>010-9962-9904</t>
        </is>
      </c>
      <c r="H795" t="inlineStr">
        <is>
          <t>192저3393</t>
        </is>
      </c>
      <c r="I795" t="n">
        <v>22800000</v>
      </c>
      <c r="J795" t="n">
        <v>0.067</v>
      </c>
      <c r="K795" t="n">
        <v>1.76</v>
      </c>
      <c r="L795" t="n">
        <v>0.13</v>
      </c>
      <c r="M795" t="n">
        <v>1.63</v>
      </c>
      <c r="P795" t="inlineStr">
        <is>
          <t>장진경</t>
        </is>
      </c>
      <c r="Q795" t="inlineStr">
        <is>
          <t>홈서비스 60개월</t>
        </is>
      </c>
      <c r="AB795" t="inlineStr">
        <is>
          <t>홈서비스</t>
        </is>
      </c>
      <c r="AC795" t="n">
        <v>401280</v>
      </c>
      <c r="AD795" t="n">
        <v>29640</v>
      </c>
      <c r="AE795" t="n">
        <v>371640</v>
      </c>
      <c r="AF795" t="n">
        <v>364800</v>
      </c>
      <c r="AG795" t="n">
        <v>29640</v>
      </c>
      <c r="AH795" t="n">
        <v>335160</v>
      </c>
    </row>
    <row r="796">
      <c r="A796" t="inlineStr">
        <is>
          <t>1월</t>
        </is>
      </c>
      <c r="B796" t="inlineStr">
        <is>
          <t>5주차</t>
        </is>
      </c>
      <c r="C796" t="inlineStr">
        <is>
          <t>EP</t>
        </is>
      </c>
      <c r="D796" s="28" t="n">
        <v>46048</v>
      </c>
      <c r="E796" t="inlineStr">
        <is>
          <t>현대EP</t>
        </is>
      </c>
      <c r="F796" t="inlineStr">
        <is>
          <t>한재민</t>
        </is>
      </c>
      <c r="G796" t="inlineStr">
        <is>
          <t>010-4734-5295</t>
        </is>
      </c>
      <c r="H796" t="inlineStr">
        <is>
          <t>170라7362</t>
        </is>
      </c>
      <c r="I796" t="n">
        <v>19500000</v>
      </c>
      <c r="J796" t="n">
        <v>0.083</v>
      </c>
      <c r="K796" t="n">
        <v>1.76</v>
      </c>
      <c r="L796" t="n">
        <v>0.13</v>
      </c>
      <c r="M796" t="n">
        <v>1.63</v>
      </c>
      <c r="P796" t="inlineStr">
        <is>
          <t>장진경</t>
        </is>
      </c>
      <c r="Q796" t="inlineStr">
        <is>
          <t>홈서비스 60개월</t>
        </is>
      </c>
      <c r="AB796" t="inlineStr">
        <is>
          <t>홈서비스</t>
        </is>
      </c>
      <c r="AC796" t="n">
        <v>343200</v>
      </c>
      <c r="AD796" t="n">
        <v>25350</v>
      </c>
      <c r="AE796" t="n">
        <v>317850</v>
      </c>
      <c r="AF796" t="n">
        <v>312000</v>
      </c>
      <c r="AG796" t="n">
        <v>25350</v>
      </c>
      <c r="AH796" t="n">
        <v>286650</v>
      </c>
    </row>
    <row r="797">
      <c r="A797" t="inlineStr">
        <is>
          <t>1월</t>
        </is>
      </c>
      <c r="B797" t="inlineStr">
        <is>
          <t>5주차</t>
        </is>
      </c>
      <c r="C797" t="inlineStr">
        <is>
          <t>IM</t>
        </is>
      </c>
      <c r="D797" s="28" t="n">
        <v>46049</v>
      </c>
      <c r="E797" t="inlineStr">
        <is>
          <t>IM캐피탈</t>
        </is>
      </c>
      <c r="F797" t="inlineStr">
        <is>
          <t>김지현</t>
        </is>
      </c>
      <c r="G797" t="inlineStr">
        <is>
          <t>010-7741-2952</t>
        </is>
      </c>
      <c r="H797" t="inlineStr">
        <is>
          <t>226더7249</t>
        </is>
      </c>
      <c r="I797" t="n">
        <v>48000000</v>
      </c>
      <c r="J797" t="n">
        <v>0.039</v>
      </c>
      <c r="K797" t="n">
        <v>1.21</v>
      </c>
      <c r="L797" t="n">
        <v>0.4</v>
      </c>
      <c r="M797" t="n">
        <v>0.8100000000000001</v>
      </c>
      <c r="P797" t="inlineStr">
        <is>
          <t>정세빈</t>
        </is>
      </c>
      <c r="Q797" t="inlineStr">
        <is>
          <t>사유 : 기승인건, 협약 불가능 론진행 / 현대 5.7%</t>
        </is>
      </c>
      <c r="AB797" t="inlineStr">
        <is>
          <t>엔카</t>
        </is>
      </c>
      <c r="AC797" t="n">
        <v>580800</v>
      </c>
      <c r="AD797" t="n">
        <v>192000</v>
      </c>
      <c r="AE797" t="n">
        <v>388800</v>
      </c>
      <c r="AF797" t="n">
        <v>528000</v>
      </c>
      <c r="AG797" t="n">
        <v>192000</v>
      </c>
      <c r="AH797" t="n">
        <v>336000</v>
      </c>
    </row>
    <row r="798">
      <c r="A798" t="inlineStr">
        <is>
          <t>1월</t>
        </is>
      </c>
      <c r="B798" t="inlineStr">
        <is>
          <t>5주차</t>
        </is>
      </c>
      <c r="C798" t="inlineStr">
        <is>
          <t>EP</t>
        </is>
      </c>
      <c r="D798" s="28" t="n">
        <v>46049</v>
      </c>
      <c r="E798" t="inlineStr">
        <is>
          <t>현대EP</t>
        </is>
      </c>
      <c r="F798" t="inlineStr">
        <is>
          <t>김만조</t>
        </is>
      </c>
      <c r="G798" t="inlineStr">
        <is>
          <t>010-5517-7837</t>
        </is>
      </c>
      <c r="H798" t="inlineStr">
        <is>
          <t>31머9291</t>
        </is>
      </c>
      <c r="I798" t="n">
        <v>3000000</v>
      </c>
      <c r="J798" t="n">
        <v>0.057</v>
      </c>
      <c r="K798" t="n">
        <v>1.76</v>
      </c>
      <c r="L798" t="n">
        <v>0.13</v>
      </c>
      <c r="M798" t="n">
        <v>1.63</v>
      </c>
      <c r="P798" t="inlineStr">
        <is>
          <t>정광호</t>
        </is>
      </c>
      <c r="Q798" t="inlineStr">
        <is>
          <t>홈서비스 36개월</t>
        </is>
      </c>
      <c r="AB798" t="inlineStr">
        <is>
          <t>홈서비스</t>
        </is>
      </c>
      <c r="AC798" t="n">
        <v>52800</v>
      </c>
      <c r="AD798" t="n">
        <v>3900</v>
      </c>
      <c r="AE798" t="n">
        <v>48900</v>
      </c>
      <c r="AF798" t="n">
        <v>48000</v>
      </c>
      <c r="AG798" t="n">
        <v>3900</v>
      </c>
      <c r="AH798" t="n">
        <v>44100</v>
      </c>
    </row>
    <row r="799">
      <c r="A799" t="inlineStr">
        <is>
          <t>1월</t>
        </is>
      </c>
      <c r="B799" t="inlineStr">
        <is>
          <t>5주차</t>
        </is>
      </c>
      <c r="C799" t="inlineStr">
        <is>
          <t>OR</t>
        </is>
      </c>
      <c r="D799" s="28" t="n">
        <v>46048</v>
      </c>
      <c r="E799" t="inlineStr">
        <is>
          <t>오릭스</t>
        </is>
      </c>
      <c r="F799" t="inlineStr">
        <is>
          <t>김동진</t>
        </is>
      </c>
      <c r="G799" t="inlineStr">
        <is>
          <t>010-7592-1636</t>
        </is>
      </c>
      <c r="H799" t="inlineStr">
        <is>
          <t>382나7281</t>
        </is>
      </c>
      <c r="I799" t="n">
        <v>39900000</v>
      </c>
      <c r="J799" t="n">
        <v>0.07199999999999999</v>
      </c>
      <c r="K799" t="n">
        <v>1.21</v>
      </c>
      <c r="L799" t="n">
        <v>0.13</v>
      </c>
      <c r="M799" t="n">
        <v>1.08</v>
      </c>
      <c r="P799" t="inlineStr">
        <is>
          <t>박현민</t>
        </is>
      </c>
      <c r="Q799" t="inlineStr">
        <is>
          <t>홈서비스 60개월 / 사유 : 금리불만</t>
        </is>
      </c>
      <c r="AB799" t="inlineStr">
        <is>
          <t>홈서비스</t>
        </is>
      </c>
      <c r="AC799" t="n">
        <v>482790</v>
      </c>
      <c r="AD799" t="n">
        <v>51870</v>
      </c>
      <c r="AE799" t="n">
        <v>430920</v>
      </c>
      <c r="AF799" t="n">
        <v>438900</v>
      </c>
      <c r="AG799" t="n">
        <v>51870</v>
      </c>
      <c r="AH799" t="n">
        <v>387030</v>
      </c>
      <c r="AI799" t="n">
        <v>0</v>
      </c>
    </row>
    <row r="800">
      <c r="A800" t="inlineStr">
        <is>
          <t>1월</t>
        </is>
      </c>
      <c r="B800" t="inlineStr">
        <is>
          <t>5주차</t>
        </is>
      </c>
      <c r="C800" t="inlineStr">
        <is>
          <t>EP</t>
        </is>
      </c>
      <c r="D800" s="28" t="n">
        <v>46049</v>
      </c>
      <c r="E800" t="inlineStr">
        <is>
          <t>제이비EP</t>
        </is>
      </c>
      <c r="F800" t="inlineStr">
        <is>
          <t>박준예</t>
        </is>
      </c>
      <c r="G800" t="inlineStr">
        <is>
          <t>010-2764-3805</t>
        </is>
      </c>
      <c r="H800" t="inlineStr">
        <is>
          <t>344구9432</t>
        </is>
      </c>
      <c r="I800" t="n">
        <v>9500000</v>
      </c>
      <c r="J800" t="n">
        <v>0.114</v>
      </c>
      <c r="K800" t="n">
        <v>1.21</v>
      </c>
      <c r="L800" t="n">
        <v>0.4</v>
      </c>
      <c r="M800" t="n">
        <v>0.8100000000000001</v>
      </c>
      <c r="P800" t="inlineStr">
        <is>
          <t>박현민</t>
        </is>
      </c>
      <c r="Q800" t="inlineStr">
        <is>
          <t>사유 : 부대비용필요 / 현대 14.1%</t>
        </is>
      </c>
      <c r="AB800" t="inlineStr">
        <is>
          <t>엔카</t>
        </is>
      </c>
      <c r="AC800" t="n">
        <v>114950</v>
      </c>
      <c r="AD800" t="n">
        <v>38000</v>
      </c>
      <c r="AE800" t="n">
        <v>76950</v>
      </c>
      <c r="AF800" t="n">
        <v>104500</v>
      </c>
      <c r="AG800" t="n">
        <v>38000</v>
      </c>
      <c r="AH800" t="n">
        <v>66500</v>
      </c>
    </row>
    <row r="801">
      <c r="A801" t="inlineStr">
        <is>
          <t>1월</t>
        </is>
      </c>
      <c r="B801" t="inlineStr">
        <is>
          <t>5주차</t>
        </is>
      </c>
      <c r="C801" t="inlineStr">
        <is>
          <t>EP</t>
        </is>
      </c>
      <c r="D801" s="28" t="n">
        <v>46049</v>
      </c>
      <c r="E801" t="inlineStr">
        <is>
          <t>현대EP</t>
        </is>
      </c>
      <c r="F801" t="inlineStr">
        <is>
          <t>정원영</t>
        </is>
      </c>
      <c r="G801" t="inlineStr">
        <is>
          <t>010-3258-1429</t>
        </is>
      </c>
      <c r="H801" t="inlineStr">
        <is>
          <t>16고2285</t>
        </is>
      </c>
      <c r="I801" t="n">
        <v>15000000</v>
      </c>
      <c r="J801" t="n">
        <v>0.083</v>
      </c>
      <c r="K801" t="n">
        <v>1.76</v>
      </c>
      <c r="L801" t="n">
        <v>0.13</v>
      </c>
      <c r="M801" t="n">
        <v>1.63</v>
      </c>
      <c r="P801" t="inlineStr">
        <is>
          <t>정광호</t>
        </is>
      </c>
      <c r="Q801" t="inlineStr">
        <is>
          <t>홈서비스 36개월</t>
        </is>
      </c>
      <c r="AB801" t="inlineStr">
        <is>
          <t>홈서비스</t>
        </is>
      </c>
      <c r="AC801" t="n">
        <v>264000</v>
      </c>
      <c r="AD801" t="n">
        <v>19500</v>
      </c>
      <c r="AE801" t="n">
        <v>244500</v>
      </c>
      <c r="AF801" t="n">
        <v>240000</v>
      </c>
      <c r="AG801" t="n">
        <v>19500</v>
      </c>
      <c r="AH801" t="n">
        <v>220500</v>
      </c>
    </row>
    <row r="802">
      <c r="A802" t="inlineStr">
        <is>
          <t>1월</t>
        </is>
      </c>
      <c r="B802" t="inlineStr">
        <is>
          <t>5주차</t>
        </is>
      </c>
      <c r="C802" t="inlineStr">
        <is>
          <t>EP</t>
        </is>
      </c>
      <c r="D802" s="28" t="n">
        <v>46049</v>
      </c>
      <c r="E802" t="inlineStr">
        <is>
          <t>현대EP_fast</t>
        </is>
      </c>
      <c r="F802" t="inlineStr">
        <is>
          <t>이혜룡</t>
        </is>
      </c>
      <c r="G802" t="inlineStr">
        <is>
          <t>010-3525-9554</t>
        </is>
      </c>
      <c r="H802" t="inlineStr">
        <is>
          <t>47부2383</t>
        </is>
      </c>
      <c r="I802" t="n">
        <v>13400000</v>
      </c>
      <c r="J802" t="n">
        <v>0.08500000000000001</v>
      </c>
      <c r="K802" t="n">
        <v>1.76</v>
      </c>
      <c r="L802" t="n">
        <v>0.13</v>
      </c>
      <c r="M802" t="n">
        <v>1.63</v>
      </c>
      <c r="P802" t="inlineStr">
        <is>
          <t>정세빈</t>
        </is>
      </c>
      <c r="Q802" t="inlineStr">
        <is>
          <t>홈서비스 60개월</t>
        </is>
      </c>
      <c r="AB802" t="inlineStr">
        <is>
          <t>홈서비스</t>
        </is>
      </c>
      <c r="AC802" t="n">
        <v>235840</v>
      </c>
      <c r="AD802" t="n">
        <v>17420</v>
      </c>
      <c r="AE802" t="n">
        <v>218420</v>
      </c>
      <c r="AF802" t="n">
        <v>214400</v>
      </c>
      <c r="AG802" t="n">
        <v>17420</v>
      </c>
      <c r="AH802" t="n">
        <v>196980</v>
      </c>
    </row>
    <row r="803">
      <c r="A803" t="inlineStr">
        <is>
          <t>1월</t>
        </is>
      </c>
      <c r="B803" t="inlineStr">
        <is>
          <t>5주차</t>
        </is>
      </c>
      <c r="C803" t="inlineStr">
        <is>
          <t>EP</t>
        </is>
      </c>
      <c r="D803" s="28" t="n">
        <v>46049</v>
      </c>
      <c r="E803" t="inlineStr">
        <is>
          <t>현대EP_fast</t>
        </is>
      </c>
      <c r="F803" t="inlineStr">
        <is>
          <t>이준봉</t>
        </is>
      </c>
      <c r="G803" t="inlineStr">
        <is>
          <t>010-8818-5295</t>
        </is>
      </c>
      <c r="H803" t="inlineStr">
        <is>
          <t>392오7023</t>
        </is>
      </c>
      <c r="I803" t="n">
        <v>37900000</v>
      </c>
      <c r="J803" t="n">
        <v>0.08500000000000001</v>
      </c>
      <c r="K803" t="n">
        <v>1.76</v>
      </c>
      <c r="L803" t="n">
        <v>0.4</v>
      </c>
      <c r="M803" t="n">
        <v>1.36</v>
      </c>
      <c r="P803" t="inlineStr">
        <is>
          <t>장진경</t>
        </is>
      </c>
      <c r="Q803" t="inlineStr">
        <is>
          <t>공동명의</t>
        </is>
      </c>
      <c r="AB803" t="inlineStr">
        <is>
          <t>엔카</t>
        </is>
      </c>
      <c r="AC803" t="n">
        <v>667040</v>
      </c>
      <c r="AD803" t="n">
        <v>151600</v>
      </c>
      <c r="AE803" t="n">
        <v>515440</v>
      </c>
      <c r="AF803" t="n">
        <v>606400</v>
      </c>
      <c r="AG803" t="n">
        <v>151600</v>
      </c>
      <c r="AH803" t="n">
        <v>454800</v>
      </c>
      <c r="AI803" t="n">
        <v>0</v>
      </c>
    </row>
    <row r="804">
      <c r="A804" t="inlineStr">
        <is>
          <t>1월</t>
        </is>
      </c>
      <c r="B804" t="inlineStr">
        <is>
          <t>5주차</t>
        </is>
      </c>
      <c r="C804" t="inlineStr">
        <is>
          <t>EP</t>
        </is>
      </c>
      <c r="D804" s="28" t="n">
        <v>46048</v>
      </c>
      <c r="E804" t="inlineStr">
        <is>
          <t>현대EP</t>
        </is>
      </c>
      <c r="F804" t="inlineStr">
        <is>
          <t>홍성봉</t>
        </is>
      </c>
      <c r="G804" t="inlineStr">
        <is>
          <t>010-9677-0705</t>
        </is>
      </c>
      <c r="H804" t="inlineStr">
        <is>
          <t>362노1720</t>
        </is>
      </c>
      <c r="I804" t="n">
        <v>22900000</v>
      </c>
      <c r="J804" t="n">
        <v>0.083</v>
      </c>
      <c r="K804" t="n">
        <v>1.76</v>
      </c>
      <c r="L804" t="n">
        <v>0.13</v>
      </c>
      <c r="M804" t="n">
        <v>1.63</v>
      </c>
      <c r="P804" t="inlineStr">
        <is>
          <t>정광호</t>
        </is>
      </c>
      <c r="Q804" t="inlineStr">
        <is>
          <t>홈서비스 60개월</t>
        </is>
      </c>
      <c r="AB804" t="inlineStr">
        <is>
          <t>홈서비스</t>
        </is>
      </c>
      <c r="AC804" t="n">
        <v>403040</v>
      </c>
      <c r="AD804" t="n">
        <v>29770</v>
      </c>
      <c r="AE804" t="n">
        <v>373270</v>
      </c>
      <c r="AF804" t="n">
        <v>366400</v>
      </c>
      <c r="AG804" t="n">
        <v>29770</v>
      </c>
      <c r="AH804" t="n">
        <v>336630</v>
      </c>
      <c r="AI804" t="n">
        <v>0</v>
      </c>
    </row>
    <row r="805">
      <c r="A805" t="inlineStr">
        <is>
          <t>1월</t>
        </is>
      </c>
      <c r="B805" t="inlineStr">
        <is>
          <t>5주차</t>
        </is>
      </c>
      <c r="C805" t="inlineStr">
        <is>
          <t>OR</t>
        </is>
      </c>
      <c r="D805" s="28" t="n">
        <v>46049</v>
      </c>
      <c r="E805" t="inlineStr">
        <is>
          <t>오릭스</t>
        </is>
      </c>
      <c r="F805" t="inlineStr">
        <is>
          <t>김성림</t>
        </is>
      </c>
      <c r="G805" t="inlineStr">
        <is>
          <t>010-5850-4454</t>
        </is>
      </c>
      <c r="H805" t="inlineStr">
        <is>
          <t>249노5186</t>
        </is>
      </c>
      <c r="I805" t="n">
        <v>20900000</v>
      </c>
      <c r="J805" t="n">
        <v>0.064</v>
      </c>
      <c r="K805" t="n">
        <v>1.65</v>
      </c>
      <c r="L805" t="n">
        <v>0.13</v>
      </c>
      <c r="M805" t="n">
        <v>1.52</v>
      </c>
      <c r="P805" t="inlineStr">
        <is>
          <t>최형주</t>
        </is>
      </c>
      <c r="Q805" t="inlineStr">
        <is>
          <t>홈서비스 60개월 / 사유 : 금리불만</t>
        </is>
      </c>
      <c r="AB805" t="inlineStr">
        <is>
          <t>홈서비스</t>
        </is>
      </c>
      <c r="AC805" t="n">
        <v>344850</v>
      </c>
      <c r="AD805" t="n">
        <v>27170</v>
      </c>
      <c r="AE805" t="n">
        <v>317680</v>
      </c>
      <c r="AF805" t="n">
        <v>313500</v>
      </c>
      <c r="AG805" t="n">
        <v>27170</v>
      </c>
      <c r="AH805" t="n">
        <v>286330</v>
      </c>
    </row>
    <row r="806">
      <c r="A806" t="inlineStr">
        <is>
          <t>1월</t>
        </is>
      </c>
      <c r="B806" t="inlineStr">
        <is>
          <t>5주차</t>
        </is>
      </c>
      <c r="C806" t="inlineStr">
        <is>
          <t>EP</t>
        </is>
      </c>
      <c r="D806" s="28" t="n">
        <v>46049</v>
      </c>
      <c r="E806" t="inlineStr">
        <is>
          <t>현대EP</t>
        </is>
      </c>
      <c r="F806" t="inlineStr">
        <is>
          <t>김종길</t>
        </is>
      </c>
      <c r="G806" t="inlineStr">
        <is>
          <t>010-5509-4432</t>
        </is>
      </c>
      <c r="H806" t="inlineStr">
        <is>
          <t>360누5851</t>
        </is>
      </c>
      <c r="I806" t="n">
        <v>25000000</v>
      </c>
      <c r="J806" t="n">
        <v>0.073</v>
      </c>
      <c r="K806" t="n">
        <v>1.76</v>
      </c>
      <c r="L806" t="n">
        <v>0.13</v>
      </c>
      <c r="M806" t="n">
        <v>1.63</v>
      </c>
      <c r="P806" t="inlineStr">
        <is>
          <t>황채이</t>
        </is>
      </c>
      <c r="Q806" t="inlineStr">
        <is>
          <t>홈서비스 60개월</t>
        </is>
      </c>
      <c r="AB806" t="inlineStr">
        <is>
          <t>홈서비스</t>
        </is>
      </c>
      <c r="AC806" t="n">
        <v>440000</v>
      </c>
      <c r="AD806" t="n">
        <v>32500</v>
      </c>
      <c r="AE806" t="n">
        <v>407500</v>
      </c>
      <c r="AF806" t="n">
        <v>400000</v>
      </c>
      <c r="AG806" t="n">
        <v>32500</v>
      </c>
      <c r="AH806" t="n">
        <v>367500</v>
      </c>
      <c r="AI806" t="n">
        <v>0</v>
      </c>
    </row>
    <row r="807">
      <c r="A807" t="inlineStr">
        <is>
          <t>1월</t>
        </is>
      </c>
      <c r="B807" t="inlineStr">
        <is>
          <t>5주차</t>
        </is>
      </c>
      <c r="C807" t="inlineStr">
        <is>
          <t>EP</t>
        </is>
      </c>
      <c r="D807" s="28" t="n">
        <v>46048</v>
      </c>
      <c r="E807" t="inlineStr">
        <is>
          <t>현대EP_fast</t>
        </is>
      </c>
      <c r="F807" t="inlineStr">
        <is>
          <t>주은미</t>
        </is>
      </c>
      <c r="G807" t="inlineStr">
        <is>
          <t>010-4927-4324</t>
        </is>
      </c>
      <c r="H807" t="inlineStr">
        <is>
          <t>711버7993</t>
        </is>
      </c>
      <c r="I807" t="n">
        <v>24900000</v>
      </c>
      <c r="J807" t="n">
        <v>0.067</v>
      </c>
      <c r="K807" t="n">
        <v>1.76</v>
      </c>
      <c r="L807" t="n">
        <v>0.13</v>
      </c>
      <c r="M807" t="n">
        <v>1.63</v>
      </c>
      <c r="P807" t="inlineStr">
        <is>
          <t>정하은</t>
        </is>
      </c>
      <c r="Q807" t="inlineStr">
        <is>
          <t>홈서비스 60개월</t>
        </is>
      </c>
      <c r="AB807" t="inlineStr">
        <is>
          <t>홈서비스</t>
        </is>
      </c>
      <c r="AC807" t="n">
        <v>438240</v>
      </c>
      <c r="AD807" t="n">
        <v>32370</v>
      </c>
      <c r="AE807" t="n">
        <v>405870</v>
      </c>
      <c r="AF807" t="n">
        <v>398400</v>
      </c>
      <c r="AG807" t="n">
        <v>32370</v>
      </c>
      <c r="AH807" t="n">
        <v>366030</v>
      </c>
      <c r="AI807" t="n">
        <v>0</v>
      </c>
    </row>
    <row r="808">
      <c r="A808" t="inlineStr">
        <is>
          <t>1월</t>
        </is>
      </c>
      <c r="B808" t="inlineStr">
        <is>
          <t>5주차</t>
        </is>
      </c>
      <c r="C808" t="inlineStr">
        <is>
          <t>EP</t>
        </is>
      </c>
      <c r="D808" s="28" t="n">
        <v>46049</v>
      </c>
      <c r="E808" t="inlineStr">
        <is>
          <t>현대EP_fast</t>
        </is>
      </c>
      <c r="F808" t="inlineStr">
        <is>
          <t>함민형</t>
        </is>
      </c>
      <c r="G808" t="inlineStr">
        <is>
          <t>010-7637-1771</t>
        </is>
      </c>
      <c r="H808" t="inlineStr">
        <is>
          <t>106너8515</t>
        </is>
      </c>
      <c r="I808" t="n">
        <v>6500000</v>
      </c>
      <c r="J808" t="n">
        <v>0.073</v>
      </c>
      <c r="K808" t="n">
        <v>1.76</v>
      </c>
      <c r="L808" t="n">
        <v>0.13</v>
      </c>
      <c r="M808" t="n">
        <v>1.63</v>
      </c>
      <c r="P808" t="inlineStr">
        <is>
          <t>정광호</t>
        </is>
      </c>
      <c r="Q808" t="inlineStr">
        <is>
          <t>홈서비스 60개월</t>
        </is>
      </c>
      <c r="AB808" t="inlineStr">
        <is>
          <t>홈서비스</t>
        </is>
      </c>
      <c r="AC808" t="n">
        <v>114400</v>
      </c>
      <c r="AD808" t="n">
        <v>8450</v>
      </c>
      <c r="AE808" t="n">
        <v>105950</v>
      </c>
      <c r="AF808" t="n">
        <v>104000</v>
      </c>
      <c r="AG808" t="n">
        <v>8450</v>
      </c>
      <c r="AH808" t="n">
        <v>95550</v>
      </c>
      <c r="AI808" t="n">
        <v>0</v>
      </c>
    </row>
    <row r="809">
      <c r="A809" t="inlineStr">
        <is>
          <t>1월</t>
        </is>
      </c>
      <c r="B809" t="inlineStr">
        <is>
          <t>5주차</t>
        </is>
      </c>
      <c r="C809" t="inlineStr">
        <is>
          <t>EP</t>
        </is>
      </c>
      <c r="D809" s="28" t="n">
        <v>46048</v>
      </c>
      <c r="E809" t="inlineStr">
        <is>
          <t>현대EP</t>
        </is>
      </c>
      <c r="F809" t="inlineStr">
        <is>
          <t>김영우</t>
        </is>
      </c>
      <c r="G809" t="inlineStr">
        <is>
          <t>010-9229-0781</t>
        </is>
      </c>
      <c r="H809" t="inlineStr">
        <is>
          <t>143수1511</t>
        </is>
      </c>
      <c r="I809" t="n">
        <v>16400000</v>
      </c>
      <c r="J809" t="n">
        <v>0.06900000000000001</v>
      </c>
      <c r="K809" t="n">
        <v>1.76</v>
      </c>
      <c r="L809" t="n">
        <v>0.13</v>
      </c>
      <c r="M809" t="n">
        <v>1.63</v>
      </c>
      <c r="P809" t="inlineStr">
        <is>
          <t>최혁</t>
        </is>
      </c>
      <c r="Q809" t="inlineStr">
        <is>
          <t>/ *누락 추가기재</t>
        </is>
      </c>
      <c r="AB809" t="inlineStr">
        <is>
          <t>홈서비스</t>
        </is>
      </c>
      <c r="AC809" t="n">
        <v>288640</v>
      </c>
      <c r="AD809" t="n">
        <v>21320</v>
      </c>
      <c r="AE809" t="n">
        <v>267320</v>
      </c>
      <c r="AF809" t="n">
        <v>262400</v>
      </c>
      <c r="AG809" t="n">
        <v>21320</v>
      </c>
      <c r="AH809" t="n">
        <v>241080</v>
      </c>
    </row>
    <row r="810">
      <c r="A810" t="inlineStr">
        <is>
          <t>1월</t>
        </is>
      </c>
      <c r="B810" t="inlineStr">
        <is>
          <t>5주차</t>
        </is>
      </c>
      <c r="C810" t="inlineStr">
        <is>
          <t>EP</t>
        </is>
      </c>
      <c r="D810" s="28" t="n">
        <v>46048</v>
      </c>
      <c r="E810" t="inlineStr">
        <is>
          <t>현대EP_fast</t>
        </is>
      </c>
      <c r="F810" t="inlineStr">
        <is>
          <t>조정기</t>
        </is>
      </c>
      <c r="G810" t="inlineStr">
        <is>
          <t>010-5646-9433</t>
        </is>
      </c>
      <c r="H810" t="inlineStr">
        <is>
          <t>63모3936</t>
        </is>
      </c>
      <c r="I810" t="n">
        <v>22000000</v>
      </c>
      <c r="J810" t="n">
        <v>0.106</v>
      </c>
      <c r="K810" t="n">
        <v>1.76</v>
      </c>
      <c r="L810" t="n">
        <v>0.4</v>
      </c>
      <c r="M810" t="n">
        <v>1.36</v>
      </c>
      <c r="P810" t="inlineStr">
        <is>
          <t>장현경</t>
        </is>
      </c>
      <c r="Q810" t="inlineStr">
        <is>
          <t>0.5% 네고진행</t>
        </is>
      </c>
      <c r="AB810" t="inlineStr">
        <is>
          <t>엔카</t>
        </is>
      </c>
      <c r="AC810" t="n">
        <v>387200</v>
      </c>
      <c r="AD810" t="n">
        <v>88000</v>
      </c>
      <c r="AE810" t="n">
        <v>299200</v>
      </c>
      <c r="AF810" t="n">
        <v>352000</v>
      </c>
      <c r="AG810" t="n">
        <v>88000</v>
      </c>
      <c r="AH810" t="n">
        <v>264000</v>
      </c>
    </row>
    <row r="811">
      <c r="A811" t="inlineStr">
        <is>
          <t>1월</t>
        </is>
      </c>
      <c r="B811" t="inlineStr">
        <is>
          <t>5주차</t>
        </is>
      </c>
      <c r="C811" t="inlineStr">
        <is>
          <t>EP</t>
        </is>
      </c>
      <c r="D811" s="28" t="n">
        <v>46050</v>
      </c>
      <c r="E811" t="inlineStr">
        <is>
          <t>현대EP_fast</t>
        </is>
      </c>
      <c r="F811" t="inlineStr">
        <is>
          <t>정연두</t>
        </is>
      </c>
      <c r="G811" t="inlineStr">
        <is>
          <t>010-7573-5505</t>
        </is>
      </c>
      <c r="H811" t="inlineStr">
        <is>
          <t>15노6191</t>
        </is>
      </c>
      <c r="I811" t="n">
        <v>12000000</v>
      </c>
      <c r="J811" t="n">
        <v>0.073</v>
      </c>
      <c r="K811" t="n">
        <v>1.76</v>
      </c>
      <c r="L811" t="n">
        <v>0.13</v>
      </c>
      <c r="M811" t="n">
        <v>1.63</v>
      </c>
      <c r="P811" t="inlineStr">
        <is>
          <t>황채이</t>
        </is>
      </c>
      <c r="Q811" t="inlineStr">
        <is>
          <t>홈서비스 24개월</t>
        </is>
      </c>
      <c r="AB811" t="inlineStr">
        <is>
          <t>홈서비스</t>
        </is>
      </c>
      <c r="AC811" t="n">
        <v>211200</v>
      </c>
      <c r="AD811" t="n">
        <v>15600</v>
      </c>
      <c r="AE811" t="n">
        <v>195600</v>
      </c>
      <c r="AF811" t="n">
        <v>192000</v>
      </c>
      <c r="AG811" t="n">
        <v>15600</v>
      </c>
      <c r="AH811" t="n">
        <v>176400</v>
      </c>
    </row>
    <row r="812">
      <c r="A812" t="inlineStr">
        <is>
          <t>1월</t>
        </is>
      </c>
      <c r="B812" t="inlineStr">
        <is>
          <t>5주차</t>
        </is>
      </c>
      <c r="C812" t="inlineStr">
        <is>
          <t>EP</t>
        </is>
      </c>
      <c r="D812" s="28" t="n">
        <v>46050</v>
      </c>
      <c r="E812" t="inlineStr">
        <is>
          <t>현대EP_fast</t>
        </is>
      </c>
      <c r="F812" t="inlineStr">
        <is>
          <t>도병철</t>
        </is>
      </c>
      <c r="G812" t="inlineStr">
        <is>
          <t>010-6890-3337</t>
        </is>
      </c>
      <c r="H812" t="inlineStr">
        <is>
          <t>231버7009</t>
        </is>
      </c>
      <c r="I812" t="n">
        <v>26900000</v>
      </c>
      <c r="J812" t="n">
        <v>0.07199999999999999</v>
      </c>
      <c r="K812" t="n">
        <v>1.76</v>
      </c>
      <c r="L812" t="n">
        <v>0.13</v>
      </c>
      <c r="M812" t="n">
        <v>1.63</v>
      </c>
      <c r="P812" t="inlineStr">
        <is>
          <t>정광호</t>
        </is>
      </c>
      <c r="Q812" t="inlineStr">
        <is>
          <t>홈서비스 60개월</t>
        </is>
      </c>
      <c r="AB812" t="inlineStr">
        <is>
          <t>홈서비스</t>
        </is>
      </c>
      <c r="AC812" t="n">
        <v>473440</v>
      </c>
      <c r="AD812" t="n">
        <v>34970</v>
      </c>
      <c r="AE812" t="n">
        <v>438470</v>
      </c>
      <c r="AF812" t="n">
        <v>430400</v>
      </c>
      <c r="AG812" t="n">
        <v>34970</v>
      </c>
      <c r="AH812" t="n">
        <v>395430</v>
      </c>
      <c r="AI812" t="n">
        <v>0</v>
      </c>
    </row>
    <row r="813">
      <c r="A813" t="inlineStr">
        <is>
          <t>1월</t>
        </is>
      </c>
      <c r="B813" t="inlineStr">
        <is>
          <t>5주차</t>
        </is>
      </c>
      <c r="C813" t="inlineStr">
        <is>
          <t>EP</t>
        </is>
      </c>
      <c r="D813" s="28" t="n">
        <v>46050</v>
      </c>
      <c r="E813" t="inlineStr">
        <is>
          <t>현대EP_fast</t>
        </is>
      </c>
      <c r="F813" t="inlineStr">
        <is>
          <t>박동규</t>
        </is>
      </c>
      <c r="G813" t="inlineStr">
        <is>
          <t>010-6228-2538</t>
        </is>
      </c>
      <c r="H813" t="inlineStr">
        <is>
          <t>204구8836</t>
        </is>
      </c>
      <c r="I813" t="n">
        <v>10000000</v>
      </c>
      <c r="J813" t="n">
        <v>0.08500000000000001</v>
      </c>
      <c r="K813" t="n">
        <v>1.76</v>
      </c>
      <c r="L813" t="n">
        <v>0.13</v>
      </c>
      <c r="M813" t="n">
        <v>1.63</v>
      </c>
      <c r="P813" t="inlineStr">
        <is>
          <t>황채이</t>
        </is>
      </c>
      <c r="Q813" t="inlineStr">
        <is>
          <t>홈서비스 60개월</t>
        </is>
      </c>
      <c r="AB813" t="inlineStr">
        <is>
          <t>홈서비스</t>
        </is>
      </c>
      <c r="AC813" t="n">
        <v>176000</v>
      </c>
      <c r="AD813" t="n">
        <v>13000</v>
      </c>
      <c r="AE813" t="n">
        <v>163000</v>
      </c>
      <c r="AF813" t="n">
        <v>160000</v>
      </c>
      <c r="AG813" t="n">
        <v>13000</v>
      </c>
      <c r="AH813" t="n">
        <v>147000</v>
      </c>
    </row>
    <row r="814">
      <c r="A814" t="inlineStr">
        <is>
          <t>1월</t>
        </is>
      </c>
      <c r="B814" t="inlineStr">
        <is>
          <t>5주차</t>
        </is>
      </c>
      <c r="C814" t="inlineStr">
        <is>
          <t>OR</t>
        </is>
      </c>
      <c r="D814" s="28" t="n">
        <v>46049</v>
      </c>
      <c r="E814" t="inlineStr">
        <is>
          <t>오릭스</t>
        </is>
      </c>
      <c r="F814" t="inlineStr">
        <is>
          <t>박경수</t>
        </is>
      </c>
      <c r="G814" t="inlineStr">
        <is>
          <t>010-7589-4966</t>
        </is>
      </c>
      <c r="H814" t="inlineStr">
        <is>
          <t>141부9151</t>
        </is>
      </c>
      <c r="I814" t="n">
        <v>25200000</v>
      </c>
      <c r="J814" t="n">
        <v>0.054</v>
      </c>
      <c r="K814" t="n">
        <v>1.65</v>
      </c>
      <c r="L814" t="n">
        <v>0.4</v>
      </c>
      <c r="M814" t="n">
        <v>1.25</v>
      </c>
      <c r="P814" t="inlineStr">
        <is>
          <t>박현민</t>
        </is>
      </c>
      <c r="Q814" t="inlineStr">
        <is>
          <t>사유 : 금리불만</t>
        </is>
      </c>
      <c r="AB814" t="inlineStr">
        <is>
          <t>엔카</t>
        </is>
      </c>
      <c r="AC814" t="n">
        <v>415800</v>
      </c>
      <c r="AD814" t="n">
        <v>100800</v>
      </c>
      <c r="AE814" t="n">
        <v>315000</v>
      </c>
      <c r="AF814" t="n">
        <v>378000</v>
      </c>
      <c r="AG814" t="n">
        <v>100800</v>
      </c>
      <c r="AH814" t="n">
        <v>277200</v>
      </c>
      <c r="AI814" t="n">
        <v>0</v>
      </c>
    </row>
    <row r="815">
      <c r="A815" t="inlineStr">
        <is>
          <t>1월</t>
        </is>
      </c>
      <c r="B815" t="inlineStr">
        <is>
          <t>5주차</t>
        </is>
      </c>
      <c r="C815" t="inlineStr">
        <is>
          <t>OR</t>
        </is>
      </c>
      <c r="D815" s="28" t="n">
        <v>46050</v>
      </c>
      <c r="E815" t="inlineStr">
        <is>
          <t>오릭스</t>
        </is>
      </c>
      <c r="F815" t="inlineStr">
        <is>
          <t>이정우</t>
        </is>
      </c>
      <c r="G815" t="inlineStr">
        <is>
          <t>010-4155-2604</t>
        </is>
      </c>
      <c r="H815" t="inlineStr">
        <is>
          <t>42버1727</t>
        </is>
      </c>
      <c r="I815" t="n">
        <v>35000000</v>
      </c>
      <c r="J815" t="n">
        <v>0.059</v>
      </c>
      <c r="K815" t="n">
        <v>1.65</v>
      </c>
      <c r="L815" t="n">
        <v>0.13</v>
      </c>
      <c r="M815" t="n">
        <v>1.52</v>
      </c>
      <c r="P815" t="inlineStr">
        <is>
          <t>황채이</t>
        </is>
      </c>
      <c r="Q815" t="inlineStr">
        <is>
          <t>사유 : 금리불만 / 현대 6.8% / 홈서비스 60개월</t>
        </is>
      </c>
      <c r="AB815" t="inlineStr">
        <is>
          <t>홈서비스</t>
        </is>
      </c>
      <c r="AC815" t="n">
        <v>577500</v>
      </c>
      <c r="AD815" t="n">
        <v>45500</v>
      </c>
      <c r="AE815" t="n">
        <v>532000</v>
      </c>
      <c r="AF815" t="n">
        <v>525000</v>
      </c>
      <c r="AG815" t="n">
        <v>45500</v>
      </c>
      <c r="AH815" t="n">
        <v>479500</v>
      </c>
      <c r="AI815" t="n">
        <v>0</v>
      </c>
    </row>
    <row r="816">
      <c r="A816" t="inlineStr">
        <is>
          <t>1월</t>
        </is>
      </c>
      <c r="B816" t="inlineStr">
        <is>
          <t>4주차</t>
        </is>
      </c>
      <c r="C816" t="inlineStr">
        <is>
          <t>EP</t>
        </is>
      </c>
      <c r="D816" s="28" t="n">
        <v>46045</v>
      </c>
      <c r="E816" t="inlineStr">
        <is>
          <t>현대EP_fast</t>
        </is>
      </c>
      <c r="F816" t="inlineStr">
        <is>
          <t>김종찬</t>
        </is>
      </c>
      <c r="G816" t="inlineStr">
        <is>
          <t>010-7637-4114</t>
        </is>
      </c>
      <c r="H816" t="inlineStr">
        <is>
          <t>165로6069</t>
        </is>
      </c>
      <c r="I816" t="n">
        <v>18500000</v>
      </c>
      <c r="J816" t="n">
        <v>0.099</v>
      </c>
      <c r="K816" t="n">
        <v>1.76</v>
      </c>
      <c r="L816" t="n">
        <v>0.4</v>
      </c>
      <c r="M816" t="n">
        <v>1.36</v>
      </c>
      <c r="P816" t="inlineStr">
        <is>
          <t>박보람</t>
        </is>
      </c>
      <c r="AB816" t="inlineStr">
        <is>
          <t>엔카</t>
        </is>
      </c>
      <c r="AC816" t="n">
        <v>325600</v>
      </c>
      <c r="AD816" t="n">
        <v>74000</v>
      </c>
      <c r="AE816" t="n">
        <v>251600</v>
      </c>
      <c r="AF816" t="n">
        <v>296000</v>
      </c>
      <c r="AG816" t="n">
        <v>74000</v>
      </c>
      <c r="AH816" t="n">
        <v>222000</v>
      </c>
    </row>
    <row r="817">
      <c r="A817" t="inlineStr">
        <is>
          <t>1월</t>
        </is>
      </c>
      <c r="B817" t="inlineStr">
        <is>
          <t>5주차</t>
        </is>
      </c>
      <c r="C817" t="inlineStr">
        <is>
          <t>IM</t>
        </is>
      </c>
      <c r="D817" s="28" t="n">
        <v>46049</v>
      </c>
      <c r="E817" t="inlineStr">
        <is>
          <t>IM캐피탈</t>
        </is>
      </c>
      <c r="F817" t="inlineStr">
        <is>
          <t>이나영</t>
        </is>
      </c>
      <c r="G817" t="n">
        <v>1090004277</v>
      </c>
      <c r="H817" t="inlineStr">
        <is>
          <t>153어7235</t>
        </is>
      </c>
      <c r="I817" t="n">
        <v>36500000</v>
      </c>
      <c r="J817" t="n">
        <v>0.053</v>
      </c>
      <c r="K817" t="n">
        <v>0.55</v>
      </c>
      <c r="L817" t="n">
        <v>0.13</v>
      </c>
      <c r="M817" t="n">
        <v>0.42</v>
      </c>
      <c r="P817" t="inlineStr">
        <is>
          <t>김나윤</t>
        </is>
      </c>
      <c r="Q817" t="inlineStr">
        <is>
          <t>사유: 기승인건 / 현대 6.7% / 홈서비스 48개월</t>
        </is>
      </c>
      <c r="AB817" t="inlineStr">
        <is>
          <t>홈서비스</t>
        </is>
      </c>
      <c r="AC817" t="n">
        <v>200750</v>
      </c>
      <c r="AD817" t="n">
        <v>47450</v>
      </c>
      <c r="AE817" t="n">
        <v>153300</v>
      </c>
      <c r="AF817" t="n">
        <v>182500</v>
      </c>
      <c r="AG817" t="n">
        <v>47450</v>
      </c>
      <c r="AH817" t="n">
        <v>135050</v>
      </c>
    </row>
    <row r="818">
      <c r="A818" t="inlineStr">
        <is>
          <t>1월</t>
        </is>
      </c>
      <c r="B818" t="inlineStr">
        <is>
          <t>5주차</t>
        </is>
      </c>
      <c r="C818" t="inlineStr">
        <is>
          <t>OR</t>
        </is>
      </c>
      <c r="D818" s="28" t="n">
        <v>46049</v>
      </c>
      <c r="E818" t="inlineStr">
        <is>
          <t>오릭스</t>
        </is>
      </c>
      <c r="F818" t="inlineStr">
        <is>
          <t>김수희</t>
        </is>
      </c>
      <c r="G818" t="n">
        <v>1066059229</v>
      </c>
      <c r="H818" t="inlineStr">
        <is>
          <t>203우2222</t>
        </is>
      </c>
      <c r="I818" t="n">
        <v>15900000</v>
      </c>
      <c r="J818" t="n">
        <v>0.055</v>
      </c>
      <c r="K818" t="n">
        <v>1.21</v>
      </c>
      <c r="L818" t="n">
        <v>0.13</v>
      </c>
      <c r="M818" t="n">
        <v>1.08</v>
      </c>
      <c r="P818" t="inlineStr">
        <is>
          <t>김나윤</t>
        </is>
      </c>
      <c r="Q818" t="inlineStr">
        <is>
          <t>사유: 금리불만 / 현대 8.1% / 홈서비스 60개월</t>
        </is>
      </c>
      <c r="AB818" t="inlineStr">
        <is>
          <t>홈서비스</t>
        </is>
      </c>
      <c r="AC818" t="n">
        <v>192390</v>
      </c>
      <c r="AD818" t="n">
        <v>20670</v>
      </c>
      <c r="AE818" t="n">
        <v>171720</v>
      </c>
      <c r="AF818" t="n">
        <v>174900</v>
      </c>
      <c r="AG818" t="n">
        <v>20670</v>
      </c>
      <c r="AH818" t="n">
        <v>154230</v>
      </c>
    </row>
    <row r="819">
      <c r="A819" t="inlineStr">
        <is>
          <t>1월</t>
        </is>
      </c>
      <c r="B819" t="inlineStr">
        <is>
          <t>5주차</t>
        </is>
      </c>
      <c r="C819" t="inlineStr">
        <is>
          <t>OR</t>
        </is>
      </c>
      <c r="D819" s="28" t="n">
        <v>46049</v>
      </c>
      <c r="E819" t="inlineStr">
        <is>
          <t>오릭스</t>
        </is>
      </c>
      <c r="F819" t="inlineStr">
        <is>
          <t>이중엽</t>
        </is>
      </c>
      <c r="G819" t="inlineStr">
        <is>
          <t>010-3443-0236</t>
        </is>
      </c>
      <c r="H819" t="inlineStr">
        <is>
          <t>293두4658</t>
        </is>
      </c>
      <c r="I819" t="n">
        <v>12900000</v>
      </c>
      <c r="J819" t="n">
        <v>0.054</v>
      </c>
      <c r="K819" t="n">
        <v>1.65</v>
      </c>
      <c r="L819" t="n">
        <v>0.13</v>
      </c>
      <c r="M819" t="n">
        <v>1.52</v>
      </c>
      <c r="P819" t="inlineStr">
        <is>
          <t>박소현</t>
        </is>
      </c>
      <c r="Q819" t="inlineStr">
        <is>
          <t>선상담 / 홈서비스 60개월 / 사유 : 금리불만</t>
        </is>
      </c>
      <c r="AB819" t="inlineStr">
        <is>
          <t>홈서비스</t>
        </is>
      </c>
      <c r="AC819" t="n">
        <v>212850</v>
      </c>
      <c r="AD819" t="n">
        <v>16770</v>
      </c>
      <c r="AE819" t="n">
        <v>196080</v>
      </c>
      <c r="AF819" t="n">
        <v>193500</v>
      </c>
      <c r="AG819" t="n">
        <v>16770</v>
      </c>
      <c r="AH819" t="n">
        <v>176730</v>
      </c>
    </row>
    <row r="820">
      <c r="A820" t="inlineStr">
        <is>
          <t>1월</t>
        </is>
      </c>
      <c r="B820" t="inlineStr">
        <is>
          <t>5주차</t>
        </is>
      </c>
      <c r="C820" t="inlineStr">
        <is>
          <t>EP</t>
        </is>
      </c>
      <c r="D820" s="28" t="n">
        <v>46050</v>
      </c>
      <c r="E820" t="inlineStr">
        <is>
          <t>현대EP_fast</t>
        </is>
      </c>
      <c r="F820" t="inlineStr">
        <is>
          <t>이건희</t>
        </is>
      </c>
      <c r="G820" t="inlineStr">
        <is>
          <t>010-7778-7276</t>
        </is>
      </c>
      <c r="H820" t="inlineStr">
        <is>
          <t>157서1102</t>
        </is>
      </c>
      <c r="I820" t="n">
        <v>18900000</v>
      </c>
      <c r="J820" t="n">
        <v>0.097</v>
      </c>
      <c r="K820" t="n">
        <v>1.76</v>
      </c>
      <c r="L820" t="n">
        <v>0.13</v>
      </c>
      <c r="M820" t="n">
        <v>1.63</v>
      </c>
      <c r="P820" t="inlineStr">
        <is>
          <t>황채이</t>
        </is>
      </c>
      <c r="Q820" t="inlineStr">
        <is>
          <t>홈서비스 60개월</t>
        </is>
      </c>
      <c r="AB820" t="inlineStr">
        <is>
          <t>홈서비스</t>
        </is>
      </c>
      <c r="AC820" t="n">
        <v>332640</v>
      </c>
      <c r="AD820" t="n">
        <v>24570</v>
      </c>
      <c r="AE820" t="n">
        <v>308070</v>
      </c>
      <c r="AF820" t="n">
        <v>302400</v>
      </c>
      <c r="AG820" t="n">
        <v>24570</v>
      </c>
      <c r="AH820" t="n">
        <v>277830</v>
      </c>
      <c r="AI820" t="n">
        <v>0</v>
      </c>
    </row>
    <row r="821">
      <c r="A821" t="inlineStr">
        <is>
          <t>1월</t>
        </is>
      </c>
      <c r="B821" t="inlineStr">
        <is>
          <t>5주차</t>
        </is>
      </c>
      <c r="C821" t="inlineStr">
        <is>
          <t>EP</t>
        </is>
      </c>
      <c r="D821" s="28" t="n">
        <v>46049</v>
      </c>
      <c r="E821" t="inlineStr">
        <is>
          <t>제이비EP</t>
        </is>
      </c>
      <c r="F821" t="inlineStr">
        <is>
          <t>조광호</t>
        </is>
      </c>
      <c r="G821" t="inlineStr">
        <is>
          <t>010-5459-3118</t>
        </is>
      </c>
      <c r="H821" t="inlineStr">
        <is>
          <t>179어8935</t>
        </is>
      </c>
      <c r="I821" t="n">
        <v>21800000</v>
      </c>
      <c r="J821" t="n">
        <v>0.07099999999999999</v>
      </c>
      <c r="K821" t="n">
        <v>1.21</v>
      </c>
      <c r="L821" t="n">
        <v>0.4</v>
      </c>
      <c r="M821" t="n">
        <v>0.8100000000000001</v>
      </c>
      <c r="P821" t="inlineStr">
        <is>
          <t>박보람</t>
        </is>
      </c>
      <c r="Q821" t="inlineStr">
        <is>
          <t>사유 : 법인 / 전산 이현준 / (주)엑소젠</t>
        </is>
      </c>
      <c r="AB821" t="inlineStr">
        <is>
          <t>엔카</t>
        </is>
      </c>
      <c r="AC821" t="n">
        <v>263780</v>
      </c>
      <c r="AD821" t="n">
        <v>87200</v>
      </c>
      <c r="AE821" t="n">
        <v>176580</v>
      </c>
      <c r="AF821" t="n">
        <v>239800</v>
      </c>
      <c r="AG821" t="n">
        <v>87200</v>
      </c>
      <c r="AH821" t="n">
        <v>152600</v>
      </c>
    </row>
    <row r="822">
      <c r="A822" t="inlineStr">
        <is>
          <t>1월</t>
        </is>
      </c>
      <c r="B822" t="inlineStr">
        <is>
          <t>5주차</t>
        </is>
      </c>
      <c r="C822" t="inlineStr">
        <is>
          <t>EP</t>
        </is>
      </c>
      <c r="D822" s="28" t="n">
        <v>46050</v>
      </c>
      <c r="E822" t="inlineStr">
        <is>
          <t>현대EP_fast</t>
        </is>
      </c>
      <c r="F822" t="inlineStr">
        <is>
          <t>신진수</t>
        </is>
      </c>
      <c r="G822" t="inlineStr">
        <is>
          <t>010-6485-4515</t>
        </is>
      </c>
      <c r="H822" t="inlineStr">
        <is>
          <t>107로7445</t>
        </is>
      </c>
      <c r="I822" t="n">
        <v>10000000</v>
      </c>
      <c r="J822" t="n">
        <v>0.057</v>
      </c>
      <c r="K822" t="n">
        <v>1.21</v>
      </c>
      <c r="L822" t="n">
        <v>0.13</v>
      </c>
      <c r="M822" t="n">
        <v>1.08</v>
      </c>
      <c r="P822" t="inlineStr">
        <is>
          <t>정세빈</t>
        </is>
      </c>
      <c r="Q822" t="inlineStr">
        <is>
          <t>홈서비스 36개월</t>
        </is>
      </c>
      <c r="AB822" t="inlineStr">
        <is>
          <t>홈서비스</t>
        </is>
      </c>
      <c r="AC822" t="n">
        <v>121000</v>
      </c>
      <c r="AD822" t="n">
        <v>13000</v>
      </c>
      <c r="AE822" t="n">
        <v>108000</v>
      </c>
      <c r="AF822" t="n">
        <v>110000</v>
      </c>
      <c r="AG822" t="n">
        <v>13000</v>
      </c>
      <c r="AH822" t="n">
        <v>97000</v>
      </c>
    </row>
    <row r="823">
      <c r="A823" t="inlineStr">
        <is>
          <t>1월</t>
        </is>
      </c>
      <c r="B823" t="inlineStr">
        <is>
          <t>5주차</t>
        </is>
      </c>
      <c r="C823" t="inlineStr">
        <is>
          <t>EP</t>
        </is>
      </c>
      <c r="D823" s="28" t="n">
        <v>46050</v>
      </c>
      <c r="E823" t="inlineStr">
        <is>
          <t>현대EP_fast</t>
        </is>
      </c>
      <c r="F823" t="inlineStr">
        <is>
          <t>장영진</t>
        </is>
      </c>
      <c r="G823" t="inlineStr">
        <is>
          <t>010-5288-8062</t>
        </is>
      </c>
      <c r="H823" t="inlineStr">
        <is>
          <t>224조7359</t>
        </is>
      </c>
      <c r="I823" t="n">
        <v>14000000</v>
      </c>
      <c r="J823" t="n">
        <v>0.097</v>
      </c>
      <c r="K823" t="n">
        <v>1.76</v>
      </c>
      <c r="L823" t="n">
        <v>0.13</v>
      </c>
      <c r="M823" t="n">
        <v>1.63</v>
      </c>
      <c r="P823" t="inlineStr">
        <is>
          <t>정광호</t>
        </is>
      </c>
      <c r="Q823" t="inlineStr">
        <is>
          <t>홈서비스 60개월</t>
        </is>
      </c>
      <c r="AB823" t="inlineStr">
        <is>
          <t>홈서비스</t>
        </is>
      </c>
      <c r="AC823" t="n">
        <v>246400</v>
      </c>
      <c r="AD823" t="n">
        <v>18200</v>
      </c>
      <c r="AE823" t="n">
        <v>228200</v>
      </c>
      <c r="AF823" t="n">
        <v>224000</v>
      </c>
      <c r="AG823" t="n">
        <v>18200</v>
      </c>
      <c r="AH823" t="n">
        <v>205800</v>
      </c>
      <c r="AI823" t="n">
        <v>0</v>
      </c>
    </row>
    <row r="824">
      <c r="A824" t="inlineStr">
        <is>
          <t>1월</t>
        </is>
      </c>
      <c r="B824" t="inlineStr">
        <is>
          <t>5주차</t>
        </is>
      </c>
      <c r="C824" t="inlineStr">
        <is>
          <t>EP</t>
        </is>
      </c>
      <c r="D824" s="28" t="n">
        <v>46050</v>
      </c>
      <c r="E824" t="inlineStr">
        <is>
          <t>현대EP_fast</t>
        </is>
      </c>
      <c r="F824" t="inlineStr">
        <is>
          <t>장민주</t>
        </is>
      </c>
      <c r="G824" t="inlineStr">
        <is>
          <t>010-9249-4874</t>
        </is>
      </c>
      <c r="H824" t="inlineStr">
        <is>
          <t>34우7209</t>
        </is>
      </c>
      <c r="I824" t="n">
        <v>7800000</v>
      </c>
      <c r="J824" t="n">
        <v>0.092</v>
      </c>
      <c r="K824" t="n">
        <v>1.76</v>
      </c>
      <c r="L824" t="n">
        <v>0.13</v>
      </c>
      <c r="M824" t="n">
        <v>1.63</v>
      </c>
      <c r="P824" t="inlineStr">
        <is>
          <t>정세빈</t>
        </is>
      </c>
      <c r="Q824" t="inlineStr">
        <is>
          <t>홈서비스 36개월 / 금리인하 0.5% 적용건 (9.7-&gt;9.2)</t>
        </is>
      </c>
      <c r="AB824" t="inlineStr">
        <is>
          <t>홈서비스</t>
        </is>
      </c>
      <c r="AC824" t="n">
        <v>137280</v>
      </c>
      <c r="AD824" t="n">
        <v>10140</v>
      </c>
      <c r="AE824" t="n">
        <v>127140</v>
      </c>
      <c r="AF824" t="n">
        <v>124800</v>
      </c>
      <c r="AG824" t="n">
        <v>10140</v>
      </c>
      <c r="AH824" t="n">
        <v>114660</v>
      </c>
    </row>
    <row r="825">
      <c r="A825" t="inlineStr">
        <is>
          <t>1월</t>
        </is>
      </c>
      <c r="B825" t="inlineStr">
        <is>
          <t>5주차</t>
        </is>
      </c>
      <c r="C825" t="inlineStr">
        <is>
          <t>EP</t>
        </is>
      </c>
      <c r="D825" s="28" t="n">
        <v>46050</v>
      </c>
      <c r="E825" t="inlineStr">
        <is>
          <t>현대EP_fast</t>
        </is>
      </c>
      <c r="F825" t="inlineStr">
        <is>
          <t>남영철</t>
        </is>
      </c>
      <c r="G825" t="inlineStr">
        <is>
          <t>010-8597-5158</t>
        </is>
      </c>
      <c r="H825" t="inlineStr">
        <is>
          <t>151수9853</t>
        </is>
      </c>
      <c r="I825" t="n">
        <v>40000000</v>
      </c>
      <c r="J825" t="n">
        <v>0.096</v>
      </c>
      <c r="K825" t="n">
        <v>1.76</v>
      </c>
      <c r="L825" t="n">
        <v>0.13</v>
      </c>
      <c r="M825" t="n">
        <v>1.63</v>
      </c>
      <c r="P825" t="inlineStr">
        <is>
          <t>정세빈</t>
        </is>
      </c>
      <c r="Q825" t="inlineStr">
        <is>
          <t>홈서비스 36개월</t>
        </is>
      </c>
      <c r="AB825" t="inlineStr">
        <is>
          <t>홈서비스</t>
        </is>
      </c>
      <c r="AC825" t="n">
        <v>704000</v>
      </c>
      <c r="AD825" t="n">
        <v>52000</v>
      </c>
      <c r="AE825" t="n">
        <v>652000</v>
      </c>
      <c r="AF825" t="n">
        <v>640000</v>
      </c>
      <c r="AG825" t="n">
        <v>52000</v>
      </c>
      <c r="AH825" t="n">
        <v>588000</v>
      </c>
      <c r="AI825" t="n">
        <v>0</v>
      </c>
    </row>
    <row r="826">
      <c r="A826" t="inlineStr">
        <is>
          <t>1월</t>
        </is>
      </c>
      <c r="B826" t="inlineStr">
        <is>
          <t>5주차</t>
        </is>
      </c>
      <c r="C826" t="inlineStr">
        <is>
          <t>OR</t>
        </is>
      </c>
      <c r="D826" s="28" t="n">
        <v>46050</v>
      </c>
      <c r="E826" t="inlineStr">
        <is>
          <t>오릭스</t>
        </is>
      </c>
      <c r="F826" t="inlineStr">
        <is>
          <t>이창진</t>
        </is>
      </c>
      <c r="G826" t="n">
        <v>1041519208</v>
      </c>
      <c r="H826" t="inlineStr">
        <is>
          <t>272루8200</t>
        </is>
      </c>
      <c r="I826" t="n">
        <v>28600000</v>
      </c>
      <c r="J826" t="n">
        <v>0.059</v>
      </c>
      <c r="K826" t="n">
        <v>1.65</v>
      </c>
      <c r="L826" t="n">
        <v>0.13</v>
      </c>
      <c r="M826" t="n">
        <v>1.52</v>
      </c>
      <c r="P826" t="inlineStr">
        <is>
          <t>김나윤</t>
        </is>
      </c>
      <c r="Q826" t="inlineStr">
        <is>
          <t>사유: 금리불만 / 현대 6.9% / 홈서비스 60개월</t>
        </is>
      </c>
      <c r="AB826" t="inlineStr">
        <is>
          <t>홈서비스</t>
        </is>
      </c>
      <c r="AC826" t="n">
        <v>471900</v>
      </c>
      <c r="AD826" t="n">
        <v>37180</v>
      </c>
      <c r="AE826" t="n">
        <v>434720</v>
      </c>
      <c r="AF826" t="n">
        <v>429000</v>
      </c>
      <c r="AG826" t="n">
        <v>37180</v>
      </c>
      <c r="AH826" t="n">
        <v>391820</v>
      </c>
    </row>
    <row r="827">
      <c r="A827" t="inlineStr">
        <is>
          <t>1월</t>
        </is>
      </c>
      <c r="B827" t="inlineStr">
        <is>
          <t>5주차</t>
        </is>
      </c>
      <c r="C827" t="inlineStr">
        <is>
          <t>EP</t>
        </is>
      </c>
      <c r="D827" s="28" t="n">
        <v>46050</v>
      </c>
      <c r="E827" t="inlineStr">
        <is>
          <t>현대EP_fast</t>
        </is>
      </c>
      <c r="F827" t="inlineStr">
        <is>
          <t>임동욱</t>
        </is>
      </c>
      <c r="G827" t="inlineStr">
        <is>
          <t>010-7382-8119</t>
        </is>
      </c>
      <c r="H827" t="inlineStr">
        <is>
          <t>55버3413</t>
        </is>
      </c>
      <c r="I827" t="n">
        <v>4900000</v>
      </c>
      <c r="J827" t="n">
        <v>0.067</v>
      </c>
      <c r="K827" t="n">
        <v>1.76</v>
      </c>
      <c r="L827" t="n">
        <v>0.13</v>
      </c>
      <c r="M827" t="n">
        <v>1.63</v>
      </c>
      <c r="P827" t="inlineStr">
        <is>
          <t>정광호</t>
        </is>
      </c>
      <c r="Q827" t="inlineStr">
        <is>
          <t>홈서비스 24개월</t>
        </is>
      </c>
      <c r="AB827" t="inlineStr">
        <is>
          <t>홈서비스</t>
        </is>
      </c>
      <c r="AC827" t="n">
        <v>86240</v>
      </c>
      <c r="AD827" t="n">
        <v>6370</v>
      </c>
      <c r="AE827" t="n">
        <v>79870</v>
      </c>
      <c r="AF827" t="n">
        <v>78400</v>
      </c>
      <c r="AG827" t="n">
        <v>6370</v>
      </c>
      <c r="AH827" t="n">
        <v>72030</v>
      </c>
      <c r="AI827" t="n">
        <v>0</v>
      </c>
      <c r="AJ827" t="inlineStr">
        <is>
          <t>개인</t>
        </is>
      </c>
    </row>
    <row r="828">
      <c r="A828" t="inlineStr">
        <is>
          <t>1월</t>
        </is>
      </c>
      <c r="B828" t="inlineStr">
        <is>
          <t>5주차</t>
        </is>
      </c>
      <c r="C828" t="inlineStr">
        <is>
          <t>EP</t>
        </is>
      </c>
      <c r="D828" s="28" t="n">
        <v>46049</v>
      </c>
      <c r="E828" t="inlineStr">
        <is>
          <t>현대EP_fast</t>
        </is>
      </c>
      <c r="F828" t="inlineStr">
        <is>
          <t>허재혁</t>
        </is>
      </c>
      <c r="G828" t="inlineStr">
        <is>
          <t>010-9985-1953</t>
        </is>
      </c>
      <c r="H828" t="inlineStr">
        <is>
          <t>61도3658</t>
        </is>
      </c>
      <c r="I828" t="n">
        <v>8900000</v>
      </c>
      <c r="J828" t="n">
        <v>0.083</v>
      </c>
      <c r="K828" t="n">
        <v>1.76</v>
      </c>
      <c r="L828" t="n">
        <v>0.13</v>
      </c>
      <c r="M828" t="n">
        <v>1.63</v>
      </c>
      <c r="P828" t="inlineStr">
        <is>
          <t>정하은</t>
        </is>
      </c>
      <c r="Q828" t="inlineStr">
        <is>
          <t>홈서비스 60개월</t>
        </is>
      </c>
      <c r="AB828" t="inlineStr">
        <is>
          <t>홈서비스</t>
        </is>
      </c>
      <c r="AC828" t="n">
        <v>156640</v>
      </c>
      <c r="AD828" t="n">
        <v>11570</v>
      </c>
      <c r="AE828" t="n">
        <v>145070</v>
      </c>
      <c r="AF828" t="n">
        <v>142400</v>
      </c>
      <c r="AG828" t="n">
        <v>11570</v>
      </c>
      <c r="AH828" t="n">
        <v>130830</v>
      </c>
      <c r="AI828" t="n">
        <v>0</v>
      </c>
    </row>
    <row r="829">
      <c r="A829" t="inlineStr">
        <is>
          <t>1월</t>
        </is>
      </c>
      <c r="B829" t="inlineStr">
        <is>
          <t>5주차</t>
        </is>
      </c>
      <c r="C829" t="inlineStr">
        <is>
          <t>OR</t>
        </is>
      </c>
      <c r="D829" s="28" t="n">
        <v>46049</v>
      </c>
      <c r="E829" t="inlineStr">
        <is>
          <t>오릭스</t>
        </is>
      </c>
      <c r="F829" t="inlineStr">
        <is>
          <t>김성림</t>
        </is>
      </c>
      <c r="G829" t="inlineStr">
        <is>
          <t>010-5850-4454</t>
        </is>
      </c>
      <c r="H829" t="inlineStr">
        <is>
          <t>249노5186</t>
        </is>
      </c>
      <c r="I829" t="n">
        <v>-20900000</v>
      </c>
      <c r="J829" t="n">
        <v>0.064</v>
      </c>
      <c r="K829" t="n">
        <v>1.21</v>
      </c>
      <c r="L829" t="n">
        <v>0.13</v>
      </c>
      <c r="M829" t="n">
        <v>1.08</v>
      </c>
      <c r="P829" t="inlineStr">
        <is>
          <t>최형주</t>
        </is>
      </c>
      <c r="Q829" t="inlineStr">
        <is>
          <t>홈서비스 60개월 / 사유 : 금리불만 / *철회 20260206</t>
        </is>
      </c>
      <c r="AB829" t="inlineStr">
        <is>
          <t>홈서비스</t>
        </is>
      </c>
      <c r="AC829" t="n">
        <v>-252890</v>
      </c>
      <c r="AD829" t="n">
        <v>-27170</v>
      </c>
      <c r="AE829" t="n">
        <v>-225720</v>
      </c>
      <c r="AF829" t="n">
        <v>-229900</v>
      </c>
      <c r="AG829" t="n">
        <v>-27170</v>
      </c>
      <c r="AH829" t="n">
        <v>-202730</v>
      </c>
      <c r="AK829" t="inlineStr">
        <is>
          <t>대출철회</t>
        </is>
      </c>
    </row>
    <row r="830">
      <c r="A830" t="inlineStr">
        <is>
          <t>1월</t>
        </is>
      </c>
      <c r="B830" t="inlineStr">
        <is>
          <t>5주차</t>
        </is>
      </c>
      <c r="C830" t="inlineStr">
        <is>
          <t>OR</t>
        </is>
      </c>
      <c r="D830" s="28" t="n">
        <v>46050</v>
      </c>
      <c r="E830" t="inlineStr">
        <is>
          <t>오릭스</t>
        </is>
      </c>
      <c r="F830" t="inlineStr">
        <is>
          <t>기민정</t>
        </is>
      </c>
      <c r="G830" t="inlineStr">
        <is>
          <t>010-9239-2072</t>
        </is>
      </c>
      <c r="H830" t="inlineStr">
        <is>
          <t>277주2595</t>
        </is>
      </c>
      <c r="I830" t="n">
        <v>5000000</v>
      </c>
      <c r="J830" t="n">
        <v>0.067</v>
      </c>
      <c r="K830" t="n">
        <v>1.65</v>
      </c>
      <c r="L830" t="n">
        <v>0.13</v>
      </c>
      <c r="M830" t="n">
        <v>1.52</v>
      </c>
      <c r="P830" t="inlineStr">
        <is>
          <t>최형주</t>
        </is>
      </c>
      <c r="Q830" t="inlineStr">
        <is>
          <t>홈서비스 48개월 / 사유: 금리불만</t>
        </is>
      </c>
      <c r="AB830" t="inlineStr">
        <is>
          <t>홈서비스</t>
        </is>
      </c>
      <c r="AC830" t="n">
        <v>82500</v>
      </c>
      <c r="AD830" t="n">
        <v>6500</v>
      </c>
      <c r="AE830" t="n">
        <v>76000</v>
      </c>
      <c r="AF830" t="n">
        <v>75000</v>
      </c>
      <c r="AG830" t="n">
        <v>6500</v>
      </c>
      <c r="AH830" t="n">
        <v>68500</v>
      </c>
      <c r="AI830" t="n">
        <v>0</v>
      </c>
    </row>
    <row r="831">
      <c r="A831" t="inlineStr">
        <is>
          <t>1월</t>
        </is>
      </c>
      <c r="B831" t="inlineStr">
        <is>
          <t>5주차</t>
        </is>
      </c>
      <c r="C831" t="inlineStr">
        <is>
          <t>EP</t>
        </is>
      </c>
      <c r="D831" s="28" t="n">
        <v>46050</v>
      </c>
      <c r="E831" t="inlineStr">
        <is>
          <t>현대EP</t>
        </is>
      </c>
      <c r="F831" t="inlineStr">
        <is>
          <t>강요셉</t>
        </is>
      </c>
      <c r="G831" t="inlineStr">
        <is>
          <t>010-7540-1506</t>
        </is>
      </c>
      <c r="H831" t="inlineStr">
        <is>
          <t>12라8457</t>
        </is>
      </c>
      <c r="I831" t="n">
        <v>29800000</v>
      </c>
      <c r="J831" t="n">
        <v>0.073</v>
      </c>
      <c r="K831" t="n">
        <v>1.76</v>
      </c>
      <c r="L831" t="n">
        <v>0.13</v>
      </c>
      <c r="M831" t="n">
        <v>1.63</v>
      </c>
      <c r="P831" t="inlineStr">
        <is>
          <t>황채이</t>
        </is>
      </c>
      <c r="Q831" t="inlineStr">
        <is>
          <t>홈서비스 60개월</t>
        </is>
      </c>
      <c r="AB831" t="inlineStr">
        <is>
          <t>홈서비스</t>
        </is>
      </c>
      <c r="AC831" t="n">
        <v>524480</v>
      </c>
      <c r="AD831" t="n">
        <v>38740</v>
      </c>
      <c r="AE831" t="n">
        <v>485740</v>
      </c>
      <c r="AF831" t="n">
        <v>476800</v>
      </c>
      <c r="AG831" t="n">
        <v>38740</v>
      </c>
      <c r="AH831" t="n">
        <v>438060</v>
      </c>
      <c r="AI831" t="n">
        <v>1</v>
      </c>
    </row>
    <row r="832">
      <c r="A832" t="inlineStr">
        <is>
          <t>1월</t>
        </is>
      </c>
      <c r="B832" t="inlineStr">
        <is>
          <t>5주차</t>
        </is>
      </c>
      <c r="C832" t="inlineStr">
        <is>
          <t>EP</t>
        </is>
      </c>
      <c r="D832" s="28" t="n">
        <v>46050</v>
      </c>
      <c r="E832" t="inlineStr">
        <is>
          <t>현대EP_fast</t>
        </is>
      </c>
      <c r="F832" t="inlineStr">
        <is>
          <t>김동수</t>
        </is>
      </c>
      <c r="G832" t="inlineStr">
        <is>
          <t>010-5387-9604</t>
        </is>
      </c>
      <c r="H832" t="inlineStr">
        <is>
          <t>323모7165</t>
        </is>
      </c>
      <c r="I832" t="n">
        <v>23800000</v>
      </c>
      <c r="J832" t="n">
        <v>0.078</v>
      </c>
      <c r="K832" t="n">
        <v>1.76</v>
      </c>
      <c r="L832" t="n">
        <v>0.13</v>
      </c>
      <c r="M832" t="n">
        <v>1.63</v>
      </c>
      <c r="P832" t="inlineStr">
        <is>
          <t>정세빈</t>
        </is>
      </c>
      <c r="Q832" t="inlineStr">
        <is>
          <t>홈서비스 60개월 / 금리인하 0.5% 적용건 (8.3-&gt;7.8)</t>
        </is>
      </c>
      <c r="AB832" t="inlineStr">
        <is>
          <t>홈서비스</t>
        </is>
      </c>
      <c r="AC832" t="n">
        <v>418880</v>
      </c>
      <c r="AD832" t="n">
        <v>30940</v>
      </c>
      <c r="AE832" t="n">
        <v>387940</v>
      </c>
      <c r="AF832" t="n">
        <v>380800</v>
      </c>
      <c r="AG832" t="n">
        <v>30940</v>
      </c>
      <c r="AH832" t="n">
        <v>349860</v>
      </c>
      <c r="AI832" t="n">
        <v>1</v>
      </c>
    </row>
    <row r="833">
      <c r="A833" t="inlineStr">
        <is>
          <t>1월</t>
        </is>
      </c>
      <c r="B833" t="inlineStr">
        <is>
          <t>5주차</t>
        </is>
      </c>
      <c r="C833" t="inlineStr">
        <is>
          <t>OR</t>
        </is>
      </c>
      <c r="D833" s="28" t="n">
        <v>46048</v>
      </c>
      <c r="E833" t="inlineStr">
        <is>
          <t>오릭스</t>
        </is>
      </c>
      <c r="F833" t="inlineStr">
        <is>
          <t>이태승</t>
        </is>
      </c>
      <c r="G833" t="inlineStr">
        <is>
          <t>010-3124-2203</t>
        </is>
      </c>
      <c r="H833" t="inlineStr">
        <is>
          <t>28마7142</t>
        </is>
      </c>
      <c r="I833" t="n">
        <v>25600000</v>
      </c>
      <c r="J833" t="n">
        <v>0.064</v>
      </c>
      <c r="K833" t="n">
        <v>1.65</v>
      </c>
      <c r="L833" t="n">
        <v>0.4</v>
      </c>
      <c r="M833" t="n">
        <v>1.25</v>
      </c>
      <c r="P833" t="inlineStr">
        <is>
          <t>구성완</t>
        </is>
      </c>
      <c r="Q833" t="inlineStr">
        <is>
          <t>사유 : 기승인건</t>
        </is>
      </c>
      <c r="AB833" t="inlineStr">
        <is>
          <t>엔카</t>
        </is>
      </c>
      <c r="AC833" t="n">
        <v>422400</v>
      </c>
      <c r="AD833" t="n">
        <v>102400</v>
      </c>
      <c r="AE833" t="n">
        <v>320000</v>
      </c>
      <c r="AF833" t="n">
        <v>384000</v>
      </c>
      <c r="AG833" t="n">
        <v>102400</v>
      </c>
      <c r="AH833" t="n">
        <v>281600</v>
      </c>
      <c r="AI833" t="n">
        <v>1</v>
      </c>
    </row>
    <row r="834">
      <c r="A834" t="inlineStr">
        <is>
          <t>1월</t>
        </is>
      </c>
      <c r="B834" t="inlineStr">
        <is>
          <t>5주차</t>
        </is>
      </c>
      <c r="C834" t="inlineStr">
        <is>
          <t>EP</t>
        </is>
      </c>
      <c r="D834" s="28" t="n">
        <v>46048</v>
      </c>
      <c r="E834" t="inlineStr">
        <is>
          <t>현대EP_fast</t>
        </is>
      </c>
      <c r="F834" t="inlineStr">
        <is>
          <t>한병산</t>
        </is>
      </c>
      <c r="G834" t="inlineStr">
        <is>
          <t>010-7605-9292</t>
        </is>
      </c>
      <c r="H834" t="inlineStr">
        <is>
          <t>48소5245</t>
        </is>
      </c>
      <c r="I834" t="n">
        <v>7300000</v>
      </c>
      <c r="J834" t="n">
        <v>0.124</v>
      </c>
      <c r="K834" t="n">
        <v>1.76</v>
      </c>
      <c r="L834" t="n">
        <v>0.4</v>
      </c>
      <c r="M834" t="n">
        <v>1.36</v>
      </c>
      <c r="P834" t="inlineStr">
        <is>
          <t>임대경</t>
        </is>
      </c>
      <c r="AB834" t="inlineStr">
        <is>
          <t>엔카</t>
        </is>
      </c>
      <c r="AC834" t="n">
        <v>128480</v>
      </c>
      <c r="AD834" t="n">
        <v>29200</v>
      </c>
      <c r="AE834" t="n">
        <v>99280</v>
      </c>
      <c r="AF834" t="n">
        <v>116800</v>
      </c>
      <c r="AG834" t="n">
        <v>29200</v>
      </c>
      <c r="AH834" t="n">
        <v>87600</v>
      </c>
      <c r="AI834" t="n">
        <v>1</v>
      </c>
    </row>
    <row r="835">
      <c r="A835" t="inlineStr">
        <is>
          <t>1월</t>
        </is>
      </c>
      <c r="B835" t="inlineStr">
        <is>
          <t>5주차</t>
        </is>
      </c>
      <c r="C835" t="inlineStr">
        <is>
          <t>EP</t>
        </is>
      </c>
      <c r="D835" s="28" t="n">
        <v>46050</v>
      </c>
      <c r="E835" t="inlineStr">
        <is>
          <t>현대EP_fast</t>
        </is>
      </c>
      <c r="F835" t="inlineStr">
        <is>
          <t>김명숙</t>
        </is>
      </c>
      <c r="G835" t="inlineStr">
        <is>
          <t>010-6324-2482</t>
        </is>
      </c>
      <c r="H835" t="inlineStr">
        <is>
          <t>104수8006</t>
        </is>
      </c>
      <c r="I835" t="n">
        <v>15600000</v>
      </c>
      <c r="J835" t="n">
        <v>0.067</v>
      </c>
      <c r="K835" t="n">
        <v>1.76</v>
      </c>
      <c r="L835" t="n">
        <v>0.13</v>
      </c>
      <c r="M835" t="n">
        <v>1.63</v>
      </c>
      <c r="P835" t="inlineStr">
        <is>
          <t>정광호</t>
        </is>
      </c>
      <c r="Q835" t="inlineStr">
        <is>
          <t>홈서비스 60개월</t>
        </is>
      </c>
      <c r="AB835" t="inlineStr">
        <is>
          <t>홈서비스</t>
        </is>
      </c>
      <c r="AC835" t="n">
        <v>274560</v>
      </c>
      <c r="AD835" t="n">
        <v>20280</v>
      </c>
      <c r="AE835" t="n">
        <v>254280</v>
      </c>
      <c r="AF835" t="n">
        <v>249600</v>
      </c>
      <c r="AG835" t="n">
        <v>20280</v>
      </c>
      <c r="AH835" t="n">
        <v>229320</v>
      </c>
      <c r="AI835" t="n">
        <v>1</v>
      </c>
    </row>
    <row r="836">
      <c r="A836" t="inlineStr">
        <is>
          <t>1월</t>
        </is>
      </c>
      <c r="B836" t="inlineStr">
        <is>
          <t>5주차</t>
        </is>
      </c>
      <c r="C836" t="inlineStr">
        <is>
          <t>EP</t>
        </is>
      </c>
      <c r="D836" s="28" t="n">
        <v>46050</v>
      </c>
      <c r="E836" t="inlineStr">
        <is>
          <t>현대EP_fast</t>
        </is>
      </c>
      <c r="F836" t="inlineStr">
        <is>
          <t>김도훈</t>
        </is>
      </c>
      <c r="G836" t="inlineStr">
        <is>
          <t>010-8518-5156</t>
        </is>
      </c>
      <c r="H836" t="inlineStr">
        <is>
          <t>39어5168</t>
        </is>
      </c>
      <c r="I836" t="n">
        <v>9000000</v>
      </c>
      <c r="J836" t="n">
        <v>0.068</v>
      </c>
      <c r="K836" t="n">
        <v>1.76</v>
      </c>
      <c r="L836" t="n">
        <v>0.13</v>
      </c>
      <c r="M836" t="n">
        <v>1.63</v>
      </c>
      <c r="P836" t="inlineStr">
        <is>
          <t>정세빈</t>
        </is>
      </c>
      <c r="Q836" t="inlineStr">
        <is>
          <t>홈서비스 60개월 / 금리인하 0.5% 적용건 (7.3-&gt;6.8)</t>
        </is>
      </c>
      <c r="AB836" t="inlineStr">
        <is>
          <t>홈서비스</t>
        </is>
      </c>
      <c r="AC836" t="n">
        <v>158400</v>
      </c>
      <c r="AD836" t="n">
        <v>11700</v>
      </c>
      <c r="AE836" t="n">
        <v>146700</v>
      </c>
      <c r="AF836" t="n">
        <v>144000</v>
      </c>
      <c r="AG836" t="n">
        <v>11700</v>
      </c>
      <c r="AH836" t="n">
        <v>132300</v>
      </c>
      <c r="AI836" t="n">
        <v>1</v>
      </c>
    </row>
    <row r="837">
      <c r="A837" t="inlineStr">
        <is>
          <t>1월</t>
        </is>
      </c>
      <c r="B837" t="inlineStr">
        <is>
          <t>5주차</t>
        </is>
      </c>
      <c r="C837" t="inlineStr">
        <is>
          <t>EP</t>
        </is>
      </c>
      <c r="D837" s="28" t="n">
        <v>46050</v>
      </c>
      <c r="E837" t="inlineStr">
        <is>
          <t>현대EP_fast</t>
        </is>
      </c>
      <c r="F837" t="inlineStr">
        <is>
          <t>김다빈</t>
        </is>
      </c>
      <c r="G837" t="inlineStr">
        <is>
          <t>010-5209-7172</t>
        </is>
      </c>
      <c r="H837" t="inlineStr">
        <is>
          <t>36수2904</t>
        </is>
      </c>
      <c r="I837" t="n">
        <v>31000000</v>
      </c>
      <c r="J837" t="n">
        <v>0.073</v>
      </c>
      <c r="K837" t="n">
        <v>1.76</v>
      </c>
      <c r="L837" t="n">
        <v>0.13</v>
      </c>
      <c r="M837" t="n">
        <v>1.63</v>
      </c>
      <c r="P837" t="inlineStr">
        <is>
          <t>정광호</t>
        </is>
      </c>
      <c r="Q837" t="inlineStr">
        <is>
          <t>홈서비스 60개월</t>
        </is>
      </c>
      <c r="AB837" t="inlineStr">
        <is>
          <t>홈서비스</t>
        </is>
      </c>
      <c r="AC837" t="n">
        <v>545600</v>
      </c>
      <c r="AD837" t="n">
        <v>40300</v>
      </c>
      <c r="AE837" t="n">
        <v>505300</v>
      </c>
      <c r="AF837" t="n">
        <v>496000</v>
      </c>
      <c r="AG837" t="n">
        <v>40300</v>
      </c>
      <c r="AH837" t="n">
        <v>455700</v>
      </c>
      <c r="AI837" t="n">
        <v>1</v>
      </c>
    </row>
    <row r="838">
      <c r="A838" t="inlineStr">
        <is>
          <t>1월</t>
        </is>
      </c>
      <c r="B838" t="inlineStr">
        <is>
          <t>5주차</t>
        </is>
      </c>
      <c r="C838" t="inlineStr">
        <is>
          <t>EP</t>
        </is>
      </c>
      <c r="D838" s="28" t="n">
        <v>46050</v>
      </c>
      <c r="E838" t="inlineStr">
        <is>
          <t>현대EP_fast</t>
        </is>
      </c>
      <c r="F838" t="inlineStr">
        <is>
          <t>장미연</t>
        </is>
      </c>
      <c r="G838" t="n">
        <v>1095561504</v>
      </c>
      <c r="H838" t="inlineStr">
        <is>
          <t>53우9290</t>
        </is>
      </c>
      <c r="I838" t="n">
        <v>5000000</v>
      </c>
      <c r="J838" t="n">
        <v>0.08699999999999999</v>
      </c>
      <c r="K838" t="n">
        <v>1.76</v>
      </c>
      <c r="L838" t="n">
        <v>0.13</v>
      </c>
      <c r="M838" t="n">
        <v>1.63</v>
      </c>
      <c r="P838" t="inlineStr">
        <is>
          <t>김나윤</t>
        </is>
      </c>
      <c r="Q838" t="inlineStr">
        <is>
          <t>홈서비스 24개월</t>
        </is>
      </c>
      <c r="AB838" t="inlineStr">
        <is>
          <t>홈서비스</t>
        </is>
      </c>
      <c r="AC838" t="n">
        <v>88000</v>
      </c>
      <c r="AD838" t="n">
        <v>6500</v>
      </c>
      <c r="AE838" t="n">
        <v>81500</v>
      </c>
      <c r="AF838" t="n">
        <v>80000</v>
      </c>
      <c r="AG838" t="n">
        <v>6500</v>
      </c>
      <c r="AH838" t="n">
        <v>73500</v>
      </c>
      <c r="AI838" t="n">
        <v>1</v>
      </c>
    </row>
    <row r="839">
      <c r="A839" t="inlineStr">
        <is>
          <t>1월</t>
        </is>
      </c>
      <c r="B839" t="inlineStr">
        <is>
          <t>5주차</t>
        </is>
      </c>
      <c r="C839" t="inlineStr">
        <is>
          <t>EP</t>
        </is>
      </c>
      <c r="D839" s="28" t="n">
        <v>46049</v>
      </c>
      <c r="E839" t="inlineStr">
        <is>
          <t>현대EP</t>
        </is>
      </c>
      <c r="F839" t="inlineStr">
        <is>
          <t>김현우</t>
        </is>
      </c>
      <c r="G839" t="inlineStr">
        <is>
          <t>010-9429-3127</t>
        </is>
      </c>
      <c r="H839" t="inlineStr">
        <is>
          <t>324조8084</t>
        </is>
      </c>
      <c r="I839" t="n">
        <v>14300000</v>
      </c>
      <c r="J839" t="n">
        <v>0.093</v>
      </c>
      <c r="K839" t="n">
        <v>1.76</v>
      </c>
      <c r="L839" t="n">
        <v>0.13</v>
      </c>
      <c r="M839" t="n">
        <v>1.63</v>
      </c>
      <c r="P839" t="inlineStr">
        <is>
          <t>정하은</t>
        </is>
      </c>
      <c r="Q839" t="inlineStr">
        <is>
          <t>홈서비스 36개월</t>
        </is>
      </c>
      <c r="AB839" t="inlineStr">
        <is>
          <t>홈서비스</t>
        </is>
      </c>
      <c r="AC839" t="n">
        <v>251680</v>
      </c>
      <c r="AD839" t="n">
        <v>18590</v>
      </c>
      <c r="AE839" t="n">
        <v>233090</v>
      </c>
      <c r="AF839" t="n">
        <v>228800</v>
      </c>
      <c r="AG839" t="n">
        <v>18590</v>
      </c>
      <c r="AH839" t="n">
        <v>210210</v>
      </c>
      <c r="AI839" t="n">
        <v>1</v>
      </c>
    </row>
    <row r="840">
      <c r="A840" t="inlineStr">
        <is>
          <t>1월</t>
        </is>
      </c>
      <c r="B840" t="inlineStr">
        <is>
          <t>5주차</t>
        </is>
      </c>
      <c r="C840" t="inlineStr">
        <is>
          <t>EP</t>
        </is>
      </c>
      <c r="D840" s="28" t="n">
        <v>46050</v>
      </c>
      <c r="E840" t="inlineStr">
        <is>
          <t>현대EP_fast</t>
        </is>
      </c>
      <c r="F840" t="inlineStr">
        <is>
          <t>서동균</t>
        </is>
      </c>
      <c r="G840" t="inlineStr">
        <is>
          <t>010-3012-9956</t>
        </is>
      </c>
      <c r="H840" t="inlineStr">
        <is>
          <t>07주2247</t>
        </is>
      </c>
      <c r="I840" t="n">
        <v>7100000</v>
      </c>
      <c r="J840" t="n">
        <v>0.082</v>
      </c>
      <c r="K840" t="n">
        <v>1.76</v>
      </c>
      <c r="L840" t="n">
        <v>0.13</v>
      </c>
      <c r="M840" t="n">
        <v>1.63</v>
      </c>
      <c r="P840" t="inlineStr">
        <is>
          <t>최형주</t>
        </is>
      </c>
      <c r="Q840" t="inlineStr">
        <is>
          <t>홈서비스 60개월</t>
        </is>
      </c>
      <c r="AB840" t="inlineStr">
        <is>
          <t>홈서비스</t>
        </is>
      </c>
      <c r="AC840" t="n">
        <v>124960</v>
      </c>
      <c r="AD840" t="n">
        <v>9230</v>
      </c>
      <c r="AE840" t="n">
        <v>115730</v>
      </c>
      <c r="AF840" t="n">
        <v>113600</v>
      </c>
      <c r="AG840" t="n">
        <v>9230</v>
      </c>
      <c r="AH840" t="n">
        <v>104370</v>
      </c>
      <c r="AI840" t="n">
        <v>1</v>
      </c>
    </row>
    <row r="841">
      <c r="A841" t="inlineStr">
        <is>
          <t>1월</t>
        </is>
      </c>
      <c r="B841" t="inlineStr">
        <is>
          <t>5주차</t>
        </is>
      </c>
      <c r="C841" t="inlineStr">
        <is>
          <t>EP</t>
        </is>
      </c>
      <c r="D841" s="28" t="n">
        <v>46050</v>
      </c>
      <c r="E841" t="inlineStr">
        <is>
          <t>제이비EP</t>
        </is>
      </c>
      <c r="F841" t="inlineStr">
        <is>
          <t>이민호</t>
        </is>
      </c>
      <c r="G841" t="inlineStr">
        <is>
          <t>010-2333-1200</t>
        </is>
      </c>
      <c r="H841" t="inlineStr">
        <is>
          <t>138오7767</t>
        </is>
      </c>
      <c r="I841" t="n">
        <v>14000000</v>
      </c>
      <c r="J841" t="n">
        <v>0.094</v>
      </c>
      <c r="K841" t="n">
        <v>1.65</v>
      </c>
      <c r="L841" t="n">
        <v>0.4</v>
      </c>
      <c r="M841" t="n">
        <v>1.25</v>
      </c>
      <c r="P841" t="inlineStr">
        <is>
          <t>정하은</t>
        </is>
      </c>
      <c r="Q841" t="inlineStr">
        <is>
          <t>사유: 일반차량</t>
        </is>
      </c>
      <c r="AB841" t="inlineStr">
        <is>
          <t>엔카</t>
        </is>
      </c>
      <c r="AC841" t="n">
        <v>231000</v>
      </c>
      <c r="AD841" t="n">
        <v>56000</v>
      </c>
      <c r="AE841" t="n">
        <v>175000</v>
      </c>
      <c r="AF841" t="n">
        <v>210000</v>
      </c>
      <c r="AG841" t="n">
        <v>56000</v>
      </c>
      <c r="AH841" t="n">
        <v>154000</v>
      </c>
      <c r="AI841" t="n">
        <v>1</v>
      </c>
    </row>
    <row r="842">
      <c r="A842" t="inlineStr">
        <is>
          <t>1월</t>
        </is>
      </c>
      <c r="B842" t="inlineStr">
        <is>
          <t>5주차</t>
        </is>
      </c>
      <c r="C842" t="inlineStr">
        <is>
          <t>EP</t>
        </is>
      </c>
      <c r="D842" s="28" t="n">
        <v>46050</v>
      </c>
      <c r="E842" t="inlineStr">
        <is>
          <t>현대EP</t>
        </is>
      </c>
      <c r="F842" t="inlineStr">
        <is>
          <t>이승갑</t>
        </is>
      </c>
      <c r="G842" t="inlineStr">
        <is>
          <t>010-4860-4134</t>
        </is>
      </c>
      <c r="H842" t="inlineStr">
        <is>
          <t>48다0797</t>
        </is>
      </c>
      <c r="I842" t="n">
        <v>5900000</v>
      </c>
      <c r="J842" t="n">
        <v>0.097</v>
      </c>
      <c r="K842" t="n">
        <v>1.76</v>
      </c>
      <c r="L842" t="n">
        <v>0.13</v>
      </c>
      <c r="M842" t="n">
        <v>1.63</v>
      </c>
      <c r="P842" t="inlineStr">
        <is>
          <t>정하은</t>
        </is>
      </c>
      <c r="Q842" t="inlineStr">
        <is>
          <t>홈서비스 60개월</t>
        </is>
      </c>
      <c r="AB842" t="inlineStr">
        <is>
          <t>홈서비스</t>
        </is>
      </c>
      <c r="AC842" t="n">
        <v>103840</v>
      </c>
      <c r="AD842" t="n">
        <v>7670</v>
      </c>
      <c r="AE842" t="n">
        <v>96170</v>
      </c>
      <c r="AF842" t="n">
        <v>94400</v>
      </c>
      <c r="AG842" t="n">
        <v>7670</v>
      </c>
      <c r="AH842" t="n">
        <v>86730</v>
      </c>
      <c r="AI842" t="n">
        <v>1</v>
      </c>
    </row>
    <row r="843">
      <c r="A843" t="inlineStr">
        <is>
          <t>1월</t>
        </is>
      </c>
      <c r="B843" t="inlineStr">
        <is>
          <t>5주차</t>
        </is>
      </c>
      <c r="C843" t="inlineStr">
        <is>
          <t>EP</t>
        </is>
      </c>
      <c r="D843" s="28" t="n">
        <v>46050</v>
      </c>
      <c r="E843" t="inlineStr">
        <is>
          <t>현대EP</t>
        </is>
      </c>
      <c r="F843" t="inlineStr">
        <is>
          <t>류민우</t>
        </is>
      </c>
      <c r="G843" t="inlineStr">
        <is>
          <t>010-3625-9082</t>
        </is>
      </c>
      <c r="H843" t="inlineStr">
        <is>
          <t>388소8144</t>
        </is>
      </c>
      <c r="I843" t="n">
        <v>49900000</v>
      </c>
      <c r="J843" t="n">
        <v>0.057</v>
      </c>
      <c r="K843" t="n">
        <v>1.76</v>
      </c>
      <c r="L843" t="n">
        <v>0.13</v>
      </c>
      <c r="M843" t="n">
        <v>1.63</v>
      </c>
      <c r="P843" t="inlineStr">
        <is>
          <t>정광호</t>
        </is>
      </c>
      <c r="Q843" t="inlineStr">
        <is>
          <t>홈서비스 60개월</t>
        </is>
      </c>
      <c r="AB843" t="inlineStr">
        <is>
          <t>홈서비스</t>
        </is>
      </c>
      <c r="AC843" t="n">
        <v>878240</v>
      </c>
      <c r="AD843" t="n">
        <v>64870</v>
      </c>
      <c r="AE843" t="n">
        <v>813370</v>
      </c>
      <c r="AF843" t="n">
        <v>798400</v>
      </c>
      <c r="AG843" t="n">
        <v>64870</v>
      </c>
      <c r="AH843" t="n">
        <v>733530</v>
      </c>
      <c r="AI843" t="n">
        <v>0</v>
      </c>
    </row>
    <row r="844">
      <c r="A844" t="inlineStr">
        <is>
          <t>1월</t>
        </is>
      </c>
      <c r="B844" t="inlineStr">
        <is>
          <t>5주차</t>
        </is>
      </c>
      <c r="C844" t="inlineStr">
        <is>
          <t>EP</t>
        </is>
      </c>
      <c r="D844" s="28" t="n">
        <v>46051</v>
      </c>
      <c r="E844" t="inlineStr">
        <is>
          <t>현대EP_fast</t>
        </is>
      </c>
      <c r="F844" t="inlineStr">
        <is>
          <t>이재복</t>
        </is>
      </c>
      <c r="G844" t="inlineStr">
        <is>
          <t>010-7176-7227</t>
        </is>
      </c>
      <c r="H844" t="inlineStr">
        <is>
          <t>265나8540</t>
        </is>
      </c>
      <c r="I844" t="n">
        <v>15000000</v>
      </c>
      <c r="J844" t="n">
        <v>0.067</v>
      </c>
      <c r="K844" t="n">
        <v>1.21</v>
      </c>
      <c r="L844" t="n">
        <v>0.13</v>
      </c>
      <c r="M844" t="n">
        <v>1.08</v>
      </c>
      <c r="P844" t="inlineStr">
        <is>
          <t>황채이</t>
        </is>
      </c>
      <c r="Q844" t="inlineStr">
        <is>
          <t>홈서비스 36개월</t>
        </is>
      </c>
      <c r="AB844" t="inlineStr">
        <is>
          <t>홈서비스</t>
        </is>
      </c>
      <c r="AC844" t="n">
        <v>181500</v>
      </c>
      <c r="AD844" t="n">
        <v>19500</v>
      </c>
      <c r="AE844" t="n">
        <v>162000</v>
      </c>
      <c r="AF844" t="n">
        <v>165000</v>
      </c>
      <c r="AG844" t="n">
        <v>19500</v>
      </c>
      <c r="AH844" t="n">
        <v>145500</v>
      </c>
      <c r="AI844" t="n">
        <v>0</v>
      </c>
    </row>
    <row r="845">
      <c r="A845" t="inlineStr">
        <is>
          <t>1월</t>
        </is>
      </c>
      <c r="B845" t="inlineStr">
        <is>
          <t>5주차</t>
        </is>
      </c>
      <c r="C845" t="inlineStr">
        <is>
          <t>IM</t>
        </is>
      </c>
      <c r="D845" s="28" t="n">
        <v>46048</v>
      </c>
      <c r="E845" t="inlineStr">
        <is>
          <t>IM캐피탈</t>
        </is>
      </c>
      <c r="F845" t="inlineStr">
        <is>
          <t>민성욱</t>
        </is>
      </c>
      <c r="G845" t="inlineStr">
        <is>
          <t>010-7172-0177</t>
        </is>
      </c>
      <c r="H845" t="inlineStr">
        <is>
          <t>46버4912</t>
        </is>
      </c>
      <c r="I845" t="n">
        <v>24000000</v>
      </c>
      <c r="J845" t="n">
        <v>0.049</v>
      </c>
      <c r="K845" t="n">
        <v>0.55</v>
      </c>
      <c r="L845" t="n">
        <v>0.4</v>
      </c>
      <c r="M845" t="n">
        <v>0.15</v>
      </c>
      <c r="P845" t="inlineStr">
        <is>
          <t>구성완</t>
        </is>
      </c>
      <c r="Q845" t="inlineStr">
        <is>
          <t>사유 : 금리비교 인녕과장님승인진행</t>
        </is>
      </c>
      <c r="AB845" t="inlineStr">
        <is>
          <t>엔카</t>
        </is>
      </c>
      <c r="AC845" t="n">
        <v>132000</v>
      </c>
      <c r="AD845" t="n">
        <v>96000</v>
      </c>
      <c r="AE845" t="n">
        <v>36000</v>
      </c>
      <c r="AF845" t="n">
        <v>120000</v>
      </c>
      <c r="AG845" t="n">
        <v>96000</v>
      </c>
      <c r="AH845" t="n">
        <v>24000</v>
      </c>
      <c r="AI845" t="n">
        <v>0</v>
      </c>
    </row>
    <row r="846">
      <c r="A846" t="inlineStr">
        <is>
          <t>1월</t>
        </is>
      </c>
      <c r="B846" t="inlineStr">
        <is>
          <t>5주차</t>
        </is>
      </c>
      <c r="C846" t="inlineStr">
        <is>
          <t>IM</t>
        </is>
      </c>
      <c r="D846" s="28" t="n">
        <v>46051</v>
      </c>
      <c r="E846" t="inlineStr">
        <is>
          <t>IM캐피탈</t>
        </is>
      </c>
      <c r="F846" t="inlineStr">
        <is>
          <t>윤정훈</t>
        </is>
      </c>
      <c r="G846" t="inlineStr">
        <is>
          <t>010-6337-7728</t>
        </is>
      </c>
      <c r="H846" t="inlineStr">
        <is>
          <t>37가0404</t>
        </is>
      </c>
      <c r="I846" t="n">
        <v>5900000</v>
      </c>
      <c r="J846" t="n">
        <v>0.049</v>
      </c>
      <c r="K846" t="n">
        <v>0.55</v>
      </c>
      <c r="L846" t="n">
        <v>0.4</v>
      </c>
      <c r="M846" t="n">
        <v>0.15</v>
      </c>
      <c r="P846" t="inlineStr">
        <is>
          <t>정하은</t>
        </is>
      </c>
      <c r="Q846" t="inlineStr">
        <is>
          <t>사유: 부대비용필요</t>
        </is>
      </c>
      <c r="AB846" t="inlineStr">
        <is>
          <t>엔카</t>
        </is>
      </c>
      <c r="AC846" t="n">
        <v>32450</v>
      </c>
      <c r="AD846" t="n">
        <v>23600</v>
      </c>
      <c r="AE846" t="n">
        <v>8850</v>
      </c>
      <c r="AF846" t="n">
        <v>29500</v>
      </c>
      <c r="AG846" t="n">
        <v>23600</v>
      </c>
      <c r="AH846" t="n">
        <v>5900</v>
      </c>
      <c r="AI846" t="n">
        <v>0</v>
      </c>
    </row>
    <row r="847">
      <c r="A847" t="inlineStr">
        <is>
          <t>1월</t>
        </is>
      </c>
      <c r="B847" t="inlineStr">
        <is>
          <t>5주차</t>
        </is>
      </c>
      <c r="C847" t="inlineStr">
        <is>
          <t>EP</t>
        </is>
      </c>
      <c r="D847" s="28" t="n">
        <v>46049</v>
      </c>
      <c r="E847" t="inlineStr">
        <is>
          <t>현대EP_fast</t>
        </is>
      </c>
      <c r="F847" t="inlineStr">
        <is>
          <t>황건하</t>
        </is>
      </c>
      <c r="G847" t="inlineStr">
        <is>
          <t>010-5488-1824</t>
        </is>
      </c>
      <c r="H847" t="inlineStr">
        <is>
          <t>312머2226</t>
        </is>
      </c>
      <c r="I847" t="n">
        <v>26500000</v>
      </c>
      <c r="J847" t="n">
        <v>0.076</v>
      </c>
      <c r="K847" t="n">
        <v>1.76</v>
      </c>
      <c r="L847" t="n">
        <v>0.4</v>
      </c>
      <c r="M847" t="n">
        <v>1.36</v>
      </c>
      <c r="P847" t="inlineStr">
        <is>
          <t>장진경</t>
        </is>
      </c>
      <c r="Q847" t="inlineStr">
        <is>
          <t>금리인하 0.5%적용건 (8.1-&gt;7.6)</t>
        </is>
      </c>
      <c r="AB847" t="inlineStr">
        <is>
          <t>엔카</t>
        </is>
      </c>
      <c r="AC847" t="n">
        <v>466400</v>
      </c>
      <c r="AD847" t="n">
        <v>106000</v>
      </c>
      <c r="AE847" t="n">
        <v>360400</v>
      </c>
      <c r="AF847" t="n">
        <v>424000</v>
      </c>
      <c r="AG847" t="n">
        <v>106000</v>
      </c>
      <c r="AH847" t="n">
        <v>318000</v>
      </c>
      <c r="AI847" t="n">
        <v>0</v>
      </c>
    </row>
    <row r="848">
      <c r="A848" t="inlineStr">
        <is>
          <t>1월</t>
        </is>
      </c>
      <c r="B848" t="inlineStr">
        <is>
          <t>5주차</t>
        </is>
      </c>
      <c r="C848" t="inlineStr">
        <is>
          <t>EP</t>
        </is>
      </c>
      <c r="D848" s="28" t="n">
        <v>46049</v>
      </c>
      <c r="E848" t="inlineStr">
        <is>
          <t>현대EP_fast</t>
        </is>
      </c>
      <c r="F848" t="inlineStr">
        <is>
          <t>김동녘</t>
        </is>
      </c>
      <c r="G848" t="inlineStr">
        <is>
          <t>010-6271-5819</t>
        </is>
      </c>
      <c r="H848" t="inlineStr">
        <is>
          <t>373마4992</t>
        </is>
      </c>
      <c r="I848" t="n">
        <v>18300000</v>
      </c>
      <c r="J848" t="n">
        <v>0.06900000000000001</v>
      </c>
      <c r="K848" t="n">
        <v>1.76</v>
      </c>
      <c r="L848" t="n">
        <v>0.13</v>
      </c>
      <c r="M848" t="n">
        <v>1.63</v>
      </c>
      <c r="P848" t="inlineStr">
        <is>
          <t>김수연</t>
        </is>
      </c>
      <c r="Q848" t="inlineStr">
        <is>
          <t>홈서비스 60개월</t>
        </is>
      </c>
      <c r="AB848" t="inlineStr">
        <is>
          <t>홈서비스</t>
        </is>
      </c>
      <c r="AC848" t="n">
        <v>322080</v>
      </c>
      <c r="AD848" t="n">
        <v>23790</v>
      </c>
      <c r="AE848" t="n">
        <v>298290</v>
      </c>
      <c r="AF848" t="n">
        <v>292800</v>
      </c>
      <c r="AG848" t="n">
        <v>23790</v>
      </c>
      <c r="AH848" t="n">
        <v>269010</v>
      </c>
      <c r="AI848" t="n">
        <v>0</v>
      </c>
    </row>
    <row r="849">
      <c r="A849" t="inlineStr">
        <is>
          <t>1월</t>
        </is>
      </c>
      <c r="B849" t="inlineStr">
        <is>
          <t>5주차</t>
        </is>
      </c>
      <c r="C849" t="inlineStr">
        <is>
          <t>EP</t>
        </is>
      </c>
      <c r="D849" s="28" t="n">
        <v>46050</v>
      </c>
      <c r="E849" t="inlineStr">
        <is>
          <t>현대EP</t>
        </is>
      </c>
      <c r="F849" t="inlineStr">
        <is>
          <t>박종성</t>
        </is>
      </c>
      <c r="G849" t="inlineStr">
        <is>
          <t>010-5184-9939</t>
        </is>
      </c>
      <c r="H849" t="inlineStr">
        <is>
          <t>30수7555</t>
        </is>
      </c>
      <c r="I849" t="n">
        <v>6900000</v>
      </c>
      <c r="J849" t="n">
        <v>0.073</v>
      </c>
      <c r="K849" t="n">
        <v>1.76</v>
      </c>
      <c r="L849" t="n">
        <v>0.13</v>
      </c>
      <c r="M849" t="n">
        <v>1.63</v>
      </c>
      <c r="P849" t="inlineStr">
        <is>
          <t>정광호</t>
        </is>
      </c>
      <c r="Q849" t="inlineStr">
        <is>
          <t>홈서비스 60개월</t>
        </is>
      </c>
      <c r="AB849" t="inlineStr">
        <is>
          <t>홈서비스</t>
        </is>
      </c>
      <c r="AC849" t="n">
        <v>121440</v>
      </c>
      <c r="AD849" t="n">
        <v>8970</v>
      </c>
      <c r="AE849" t="n">
        <v>112470</v>
      </c>
      <c r="AF849" t="n">
        <v>110400</v>
      </c>
      <c r="AG849" t="n">
        <v>8970</v>
      </c>
      <c r="AH849" t="n">
        <v>101430</v>
      </c>
      <c r="AI849" t="n">
        <v>0</v>
      </c>
    </row>
    <row r="850">
      <c r="A850" t="inlineStr">
        <is>
          <t>1월</t>
        </is>
      </c>
      <c r="B850" t="inlineStr">
        <is>
          <t>5주차</t>
        </is>
      </c>
      <c r="C850" t="inlineStr">
        <is>
          <t>EP</t>
        </is>
      </c>
      <c r="D850" s="28" t="n">
        <v>46050</v>
      </c>
      <c r="E850" t="inlineStr">
        <is>
          <t>현대EP</t>
        </is>
      </c>
      <c r="F850" t="inlineStr">
        <is>
          <t>장대철</t>
        </is>
      </c>
      <c r="G850" t="inlineStr">
        <is>
          <t>010-4820-9497</t>
        </is>
      </c>
      <c r="H850" t="inlineStr">
        <is>
          <t>305누3201</t>
        </is>
      </c>
      <c r="I850" t="n">
        <v>20000000</v>
      </c>
      <c r="J850" t="n">
        <v>0.07000000000000001</v>
      </c>
      <c r="K850" t="n">
        <v>1.76</v>
      </c>
      <c r="L850" t="n">
        <v>0.13</v>
      </c>
      <c r="M850" t="n">
        <v>1.63</v>
      </c>
      <c r="P850" t="inlineStr">
        <is>
          <t>최형주</t>
        </is>
      </c>
      <c r="Q850" t="inlineStr">
        <is>
          <t>홈서비스 60개월</t>
        </is>
      </c>
      <c r="AB850" t="inlineStr">
        <is>
          <t>홈서비스</t>
        </is>
      </c>
      <c r="AC850" t="n">
        <v>352000</v>
      </c>
      <c r="AD850" t="n">
        <v>26000</v>
      </c>
      <c r="AE850" t="n">
        <v>326000</v>
      </c>
      <c r="AF850" t="n">
        <v>320000</v>
      </c>
      <c r="AG850" t="n">
        <v>26000</v>
      </c>
      <c r="AH850" t="n">
        <v>294000</v>
      </c>
      <c r="AI850" t="n">
        <v>0</v>
      </c>
    </row>
    <row r="851">
      <c r="A851" t="inlineStr">
        <is>
          <t>1월</t>
        </is>
      </c>
      <c r="B851" t="inlineStr">
        <is>
          <t>5주차</t>
        </is>
      </c>
      <c r="C851" t="inlineStr">
        <is>
          <t>EP</t>
        </is>
      </c>
      <c r="D851" s="28" t="n">
        <v>46049</v>
      </c>
      <c r="E851" t="inlineStr">
        <is>
          <t>현대EP_fast</t>
        </is>
      </c>
      <c r="F851" t="inlineStr">
        <is>
          <t>박선홍</t>
        </is>
      </c>
      <c r="G851" t="inlineStr">
        <is>
          <t>010-2613-2181</t>
        </is>
      </c>
      <c r="H851" t="inlineStr">
        <is>
          <t>45나9654</t>
        </is>
      </c>
      <c r="I851" t="n">
        <v>11400000</v>
      </c>
      <c r="J851" t="n">
        <v>0.124</v>
      </c>
      <c r="K851" t="n">
        <v>1.76</v>
      </c>
      <c r="L851" t="n">
        <v>0.4</v>
      </c>
      <c r="M851" t="n">
        <v>1.36</v>
      </c>
      <c r="P851" t="inlineStr">
        <is>
          <t>임대경</t>
        </is>
      </c>
      <c r="AB851" t="inlineStr">
        <is>
          <t>엔카</t>
        </is>
      </c>
      <c r="AC851" t="n">
        <v>200640</v>
      </c>
      <c r="AD851" t="n">
        <v>45600</v>
      </c>
      <c r="AE851" t="n">
        <v>155040</v>
      </c>
      <c r="AF851" t="n">
        <v>182400</v>
      </c>
      <c r="AG851" t="n">
        <v>45600</v>
      </c>
      <c r="AH851" t="n">
        <v>136800</v>
      </c>
      <c r="AI851" t="n">
        <v>0</v>
      </c>
    </row>
    <row r="852">
      <c r="A852" t="inlineStr">
        <is>
          <t>4월</t>
        </is>
      </c>
      <c r="B852" t="inlineStr">
        <is>
          <t>14주차</t>
        </is>
      </c>
      <c r="C852" t="inlineStr">
        <is>
          <t>IM</t>
        </is>
      </c>
      <c r="D852" s="28" t="n">
        <v>46115</v>
      </c>
      <c r="E852" t="inlineStr">
        <is>
          <t>IM캐피탈</t>
        </is>
      </c>
      <c r="F852" t="inlineStr">
        <is>
          <t>조은아</t>
        </is>
      </c>
      <c r="G852" t="inlineStr">
        <is>
          <t>010-8787-0105</t>
        </is>
      </c>
      <c r="H852" t="inlineStr">
        <is>
          <t>06소3177</t>
        </is>
      </c>
      <c r="I852" t="n">
        <v>-16300000</v>
      </c>
      <c r="J852" t="n">
        <v>0.049</v>
      </c>
      <c r="K852" t="n">
        <v>1.1</v>
      </c>
      <c r="L852" t="n">
        <v>0.07000000000000001</v>
      </c>
      <c r="M852" t="n">
        <v>1.03</v>
      </c>
      <c r="P852" t="inlineStr">
        <is>
          <t>최형주</t>
        </is>
      </c>
      <c r="Q852" t="inlineStr">
        <is>
          <t>홈서비스 60개월 / 부대비용 추가진행</t>
        </is>
      </c>
      <c r="AB852" t="inlineStr">
        <is>
          <t>홈서비스</t>
        </is>
      </c>
      <c r="AC852" t="n">
        <v>-179300</v>
      </c>
      <c r="AD852" t="n">
        <v>-11410</v>
      </c>
      <c r="AE852" t="n">
        <v>-167890</v>
      </c>
      <c r="AF852" t="n">
        <v>-163000</v>
      </c>
      <c r="AG852" t="n">
        <v>-11410</v>
      </c>
      <c r="AH852" t="n">
        <v>-151590</v>
      </c>
    </row>
    <row r="853">
      <c r="A853" t="inlineStr">
        <is>
          <t>1월</t>
        </is>
      </c>
      <c r="B853" t="inlineStr">
        <is>
          <t>5주차</t>
        </is>
      </c>
      <c r="C853" t="inlineStr">
        <is>
          <t>EP</t>
        </is>
      </c>
      <c r="D853" s="28" t="n">
        <v>46051</v>
      </c>
      <c r="E853" t="inlineStr">
        <is>
          <t>현대EP_fast</t>
        </is>
      </c>
      <c r="F853" t="inlineStr">
        <is>
          <t>김광욱</t>
        </is>
      </c>
      <c r="G853" t="inlineStr">
        <is>
          <t>010-9111-5468</t>
        </is>
      </c>
      <c r="H853" t="inlineStr">
        <is>
          <t>322소7331</t>
        </is>
      </c>
      <c r="I853" t="n">
        <v>8200000</v>
      </c>
      <c r="J853" t="n">
        <v>0.093</v>
      </c>
      <c r="K853" t="n">
        <v>1.76</v>
      </c>
      <c r="L853" t="n">
        <v>0.13</v>
      </c>
      <c r="M853" t="n">
        <v>1.63</v>
      </c>
      <c r="P853" t="inlineStr">
        <is>
          <t>최형주</t>
        </is>
      </c>
      <c r="Q853" t="inlineStr">
        <is>
          <t>홈서비스 60개월</t>
        </is>
      </c>
      <c r="AB853" t="inlineStr">
        <is>
          <t>홈서비스</t>
        </is>
      </c>
      <c r="AC853" t="n">
        <v>144320</v>
      </c>
      <c r="AD853" t="n">
        <v>10660</v>
      </c>
      <c r="AE853" t="n">
        <v>133660</v>
      </c>
      <c r="AF853" t="n">
        <v>131200</v>
      </c>
      <c r="AG853" t="n">
        <v>10660</v>
      </c>
      <c r="AH853" t="n">
        <v>120540</v>
      </c>
      <c r="AI853" t="n">
        <v>0</v>
      </c>
    </row>
    <row r="854">
      <c r="A854" t="inlineStr">
        <is>
          <t>1월</t>
        </is>
      </c>
      <c r="B854" t="inlineStr">
        <is>
          <t>5주차</t>
        </is>
      </c>
      <c r="C854" t="inlineStr">
        <is>
          <t>OR</t>
        </is>
      </c>
      <c r="D854" s="28" t="n">
        <v>46050</v>
      </c>
      <c r="E854" t="inlineStr">
        <is>
          <t>오릭스</t>
        </is>
      </c>
      <c r="F854" t="inlineStr">
        <is>
          <t>강정민</t>
        </is>
      </c>
      <c r="G854" t="n">
        <v>1056001617</v>
      </c>
      <c r="H854" t="inlineStr">
        <is>
          <t>115어8835</t>
        </is>
      </c>
      <c r="I854" t="n">
        <v>19500000</v>
      </c>
      <c r="J854" t="n">
        <v>0.049</v>
      </c>
      <c r="K854" t="n">
        <v>1.65</v>
      </c>
      <c r="L854" t="n">
        <v>0.13</v>
      </c>
      <c r="M854" t="n">
        <v>1.52</v>
      </c>
      <c r="P854" t="inlineStr">
        <is>
          <t>김나윤</t>
        </is>
      </c>
      <c r="Q854" t="inlineStr">
        <is>
          <t>사유: 금리불만 / 홈서비스 60개월</t>
        </is>
      </c>
      <c r="AB854" t="inlineStr">
        <is>
          <t>홈서비스</t>
        </is>
      </c>
      <c r="AC854" t="n">
        <v>321750</v>
      </c>
      <c r="AD854" t="n">
        <v>25350</v>
      </c>
      <c r="AE854" t="n">
        <v>296400</v>
      </c>
      <c r="AF854" t="n">
        <v>292500</v>
      </c>
      <c r="AG854" t="n">
        <v>25350</v>
      </c>
      <c r="AH854" t="n">
        <v>267150</v>
      </c>
      <c r="AI854" t="n">
        <v>0</v>
      </c>
    </row>
    <row r="855">
      <c r="A855" t="inlineStr">
        <is>
          <t>1월</t>
        </is>
      </c>
      <c r="B855" t="inlineStr">
        <is>
          <t>5주차</t>
        </is>
      </c>
      <c r="C855" t="inlineStr">
        <is>
          <t>EP</t>
        </is>
      </c>
      <c r="D855" s="28" t="n">
        <v>46051</v>
      </c>
      <c r="E855" t="inlineStr">
        <is>
          <t>현대EP_fast</t>
        </is>
      </c>
      <c r="F855" t="inlineStr">
        <is>
          <t>이명호</t>
        </is>
      </c>
      <c r="G855" t="inlineStr">
        <is>
          <t>010-4323-7551</t>
        </is>
      </c>
      <c r="H855" t="inlineStr">
        <is>
          <t>352수3176</t>
        </is>
      </c>
      <c r="I855" t="n">
        <v>8900000</v>
      </c>
      <c r="J855" t="n">
        <v>0.073</v>
      </c>
      <c r="K855" t="n">
        <v>1.21</v>
      </c>
      <c r="L855" t="n">
        <v>0.13</v>
      </c>
      <c r="M855" t="n">
        <v>1.08</v>
      </c>
      <c r="P855" t="inlineStr">
        <is>
          <t>황채이</t>
        </is>
      </c>
      <c r="Q855" t="inlineStr">
        <is>
          <t xml:space="preserve">홈서비스 60개월 </t>
        </is>
      </c>
      <c r="AB855" t="inlineStr">
        <is>
          <t>홈서비스</t>
        </is>
      </c>
      <c r="AC855" t="n">
        <v>107690</v>
      </c>
      <c r="AD855" t="n">
        <v>11570</v>
      </c>
      <c r="AE855" t="n">
        <v>96120</v>
      </c>
      <c r="AF855" t="n">
        <v>97900</v>
      </c>
      <c r="AG855" t="n">
        <v>11570</v>
      </c>
      <c r="AH855" t="n">
        <v>86330</v>
      </c>
    </row>
    <row r="856">
      <c r="A856" t="inlineStr">
        <is>
          <t>1월</t>
        </is>
      </c>
      <c r="B856" t="inlineStr">
        <is>
          <t>5주차</t>
        </is>
      </c>
      <c r="C856" t="inlineStr">
        <is>
          <t>EP</t>
        </is>
      </c>
      <c r="D856" s="28" t="n">
        <v>46050</v>
      </c>
      <c r="E856" t="inlineStr">
        <is>
          <t>현대EP_fast</t>
        </is>
      </c>
      <c r="F856" t="inlineStr">
        <is>
          <t>심양호</t>
        </is>
      </c>
      <c r="G856" t="inlineStr">
        <is>
          <t>010-9035-4424</t>
        </is>
      </c>
      <c r="H856" t="inlineStr">
        <is>
          <t>294보5140</t>
        </is>
      </c>
      <c r="I856" t="n">
        <v>17000000</v>
      </c>
      <c r="J856" t="n">
        <v>0.094</v>
      </c>
      <c r="K856" t="n">
        <v>1.76</v>
      </c>
      <c r="L856" t="n">
        <v>0.4</v>
      </c>
      <c r="M856" t="n">
        <v>1.36</v>
      </c>
      <c r="P856" t="inlineStr">
        <is>
          <t>박현민</t>
        </is>
      </c>
      <c r="Q856" t="inlineStr">
        <is>
          <t>금리인하 0.5%적용건 (9.9-&gt;9.4)</t>
        </is>
      </c>
      <c r="AB856" t="inlineStr">
        <is>
          <t>엔카</t>
        </is>
      </c>
      <c r="AC856" t="n">
        <v>299200</v>
      </c>
      <c r="AD856" t="n">
        <v>68000</v>
      </c>
      <c r="AE856" t="n">
        <v>231200</v>
      </c>
      <c r="AF856" t="n">
        <v>272000</v>
      </c>
      <c r="AG856" t="n">
        <v>68000</v>
      </c>
      <c r="AH856" t="n">
        <v>204000</v>
      </c>
      <c r="AI856" t="n">
        <v>0</v>
      </c>
    </row>
    <row r="857">
      <c r="A857" t="inlineStr">
        <is>
          <t>1월</t>
        </is>
      </c>
      <c r="B857" t="inlineStr">
        <is>
          <t>5주차</t>
        </is>
      </c>
      <c r="C857" t="inlineStr">
        <is>
          <t>EP</t>
        </is>
      </c>
      <c r="D857" s="28" t="n">
        <v>46051</v>
      </c>
      <c r="E857" t="inlineStr">
        <is>
          <t>현대EP_fast</t>
        </is>
      </c>
      <c r="F857" t="inlineStr">
        <is>
          <t>민병국</t>
        </is>
      </c>
      <c r="G857" t="inlineStr">
        <is>
          <t>010-8737-0011</t>
        </is>
      </c>
      <c r="H857" t="inlineStr">
        <is>
          <t>64거1275</t>
        </is>
      </c>
      <c r="I857" t="n">
        <v>11000000</v>
      </c>
      <c r="J857" t="n">
        <v>0.07199999999999999</v>
      </c>
      <c r="K857" t="n">
        <v>1.21</v>
      </c>
      <c r="L857" t="n">
        <v>0.13</v>
      </c>
      <c r="M857" t="n">
        <v>1.08</v>
      </c>
      <c r="P857" t="inlineStr">
        <is>
          <t>최형주</t>
        </is>
      </c>
      <c r="Q857" t="inlineStr">
        <is>
          <t>홈서비스 36개월</t>
        </is>
      </c>
      <c r="AB857" t="inlineStr">
        <is>
          <t>홈서비스</t>
        </is>
      </c>
      <c r="AC857" t="n">
        <v>133100</v>
      </c>
      <c r="AD857" t="n">
        <v>14300</v>
      </c>
      <c r="AE857" t="n">
        <v>118800</v>
      </c>
      <c r="AF857" t="n">
        <v>121000</v>
      </c>
      <c r="AG857" t="n">
        <v>14300</v>
      </c>
      <c r="AH857" t="n">
        <v>106700</v>
      </c>
      <c r="AI857" t="n">
        <v>0</v>
      </c>
    </row>
    <row r="858">
      <c r="A858" t="inlineStr">
        <is>
          <t>1월</t>
        </is>
      </c>
      <c r="B858" t="inlineStr">
        <is>
          <t>5주차</t>
        </is>
      </c>
      <c r="C858" t="inlineStr">
        <is>
          <t>EP</t>
        </is>
      </c>
      <c r="D858" s="28" t="n">
        <v>46050</v>
      </c>
      <c r="E858" t="inlineStr">
        <is>
          <t>현대EP</t>
        </is>
      </c>
      <c r="F858" t="inlineStr">
        <is>
          <t>백관우</t>
        </is>
      </c>
      <c r="G858" t="inlineStr">
        <is>
          <t>010-9007-7234</t>
        </is>
      </c>
      <c r="H858" t="inlineStr">
        <is>
          <t>22두7684</t>
        </is>
      </c>
      <c r="I858" t="n">
        <v>3000000</v>
      </c>
      <c r="J858" t="n">
        <v>0.083</v>
      </c>
      <c r="K858" t="n">
        <v>1.76</v>
      </c>
      <c r="L858" t="n">
        <v>0.13</v>
      </c>
      <c r="M858" t="n">
        <v>1.63</v>
      </c>
      <c r="P858" t="inlineStr">
        <is>
          <t>김나윤</t>
        </is>
      </c>
      <c r="Q858" t="inlineStr">
        <is>
          <t>홈서비스 36개월</t>
        </is>
      </c>
      <c r="AB858" t="inlineStr">
        <is>
          <t>홈서비스</t>
        </is>
      </c>
      <c r="AC858" t="n">
        <v>52800</v>
      </c>
      <c r="AD858" t="n">
        <v>3900</v>
      </c>
      <c r="AE858" t="n">
        <v>48900</v>
      </c>
      <c r="AF858" t="n">
        <v>48000</v>
      </c>
      <c r="AG858" t="n">
        <v>3900</v>
      </c>
      <c r="AH858" t="n">
        <v>44100</v>
      </c>
      <c r="AI858" t="n">
        <v>0</v>
      </c>
    </row>
    <row r="859">
      <c r="A859" t="inlineStr">
        <is>
          <t>1월</t>
        </is>
      </c>
      <c r="B859" t="inlineStr">
        <is>
          <t>5주차</t>
        </is>
      </c>
      <c r="C859" t="inlineStr">
        <is>
          <t>EP</t>
        </is>
      </c>
      <c r="D859" s="28" t="n">
        <v>46051</v>
      </c>
      <c r="E859" t="inlineStr">
        <is>
          <t>현대EP_fast</t>
        </is>
      </c>
      <c r="F859" t="inlineStr">
        <is>
          <t>황수빈</t>
        </is>
      </c>
      <c r="G859" t="inlineStr">
        <is>
          <t>010-7185-5267</t>
        </is>
      </c>
      <c r="H859" t="inlineStr">
        <is>
          <t>22거0422</t>
        </is>
      </c>
      <c r="I859" t="n">
        <v>6900000</v>
      </c>
      <c r="J859" t="n">
        <v>0.073</v>
      </c>
      <c r="K859" t="n">
        <v>1.76</v>
      </c>
      <c r="L859" t="n">
        <v>0.13</v>
      </c>
      <c r="M859" t="n">
        <v>1.63</v>
      </c>
      <c r="P859" t="inlineStr">
        <is>
          <t>최형주</t>
        </is>
      </c>
      <c r="Q859" t="inlineStr">
        <is>
          <t>홈서비스 36개월</t>
        </is>
      </c>
      <c r="AB859" t="inlineStr">
        <is>
          <t>홈서비스</t>
        </is>
      </c>
      <c r="AC859" t="n">
        <v>121440</v>
      </c>
      <c r="AD859" t="n">
        <v>8970</v>
      </c>
      <c r="AE859" t="n">
        <v>112470</v>
      </c>
      <c r="AF859" t="n">
        <v>110400</v>
      </c>
      <c r="AG859" t="n">
        <v>8970</v>
      </c>
      <c r="AH859" t="n">
        <v>101430</v>
      </c>
      <c r="AI859" t="n">
        <v>0</v>
      </c>
    </row>
    <row r="860">
      <c r="A860" t="inlineStr">
        <is>
          <t>1월</t>
        </is>
      </c>
      <c r="B860" t="inlineStr">
        <is>
          <t>5주차</t>
        </is>
      </c>
      <c r="C860" t="inlineStr">
        <is>
          <t>EP</t>
        </is>
      </c>
      <c r="D860" s="28" t="n">
        <v>46051</v>
      </c>
      <c r="E860" t="inlineStr">
        <is>
          <t>현대EP_fast</t>
        </is>
      </c>
      <c r="F860" t="inlineStr">
        <is>
          <t>김강영</t>
        </is>
      </c>
      <c r="G860" t="inlineStr">
        <is>
          <t>010-2356-5857</t>
        </is>
      </c>
      <c r="H860" t="inlineStr">
        <is>
          <t>112머8139</t>
        </is>
      </c>
      <c r="I860" t="n">
        <v>25500000</v>
      </c>
      <c r="J860" t="n">
        <v>0.07000000000000001</v>
      </c>
      <c r="K860" t="n">
        <v>1.76</v>
      </c>
      <c r="L860" t="n">
        <v>0.13</v>
      </c>
      <c r="M860" t="n">
        <v>1.63</v>
      </c>
      <c r="P860" t="inlineStr">
        <is>
          <t>황채이</t>
        </is>
      </c>
      <c r="Q860" t="inlineStr">
        <is>
          <t>홈서비스 48개월</t>
        </is>
      </c>
      <c r="AB860" t="inlineStr">
        <is>
          <t>홈서비스</t>
        </is>
      </c>
      <c r="AC860" t="n">
        <v>448800</v>
      </c>
      <c r="AD860" t="n">
        <v>33150</v>
      </c>
      <c r="AE860" t="n">
        <v>415650</v>
      </c>
      <c r="AF860" t="n">
        <v>408000</v>
      </c>
      <c r="AG860" t="n">
        <v>33150</v>
      </c>
      <c r="AH860" t="n">
        <v>374850</v>
      </c>
    </row>
    <row r="861">
      <c r="A861" t="inlineStr">
        <is>
          <t>1월</t>
        </is>
      </c>
      <c r="B861" t="inlineStr">
        <is>
          <t>5주차</t>
        </is>
      </c>
      <c r="C861" t="inlineStr">
        <is>
          <t>EP</t>
        </is>
      </c>
      <c r="D861" s="28" t="n">
        <v>46050</v>
      </c>
      <c r="E861" t="inlineStr">
        <is>
          <t>현대EP</t>
        </is>
      </c>
      <c r="F861" t="inlineStr">
        <is>
          <t>김도희</t>
        </is>
      </c>
      <c r="G861" t="inlineStr">
        <is>
          <t>010-9945-9753</t>
        </is>
      </c>
      <c r="H861" t="inlineStr">
        <is>
          <t>47가3074</t>
        </is>
      </c>
      <c r="I861" t="n">
        <v>11000000</v>
      </c>
      <c r="J861" t="n">
        <v>0.063</v>
      </c>
      <c r="K861" t="n">
        <v>1.21</v>
      </c>
      <c r="L861" t="n">
        <v>0.13</v>
      </c>
      <c r="M861" t="n">
        <v>1.08</v>
      </c>
      <c r="P861" t="inlineStr">
        <is>
          <t>정세빈</t>
        </is>
      </c>
      <c r="Q861" t="inlineStr">
        <is>
          <t>홈서비스 48개월</t>
        </is>
      </c>
      <c r="AB861" t="inlineStr">
        <is>
          <t>홈서비스</t>
        </is>
      </c>
      <c r="AC861" t="n">
        <v>133100</v>
      </c>
      <c r="AD861" t="n">
        <v>14300</v>
      </c>
      <c r="AE861" t="n">
        <v>118800</v>
      </c>
      <c r="AF861" t="n">
        <v>121000</v>
      </c>
      <c r="AG861" t="n">
        <v>14300</v>
      </c>
      <c r="AH861" t="n">
        <v>106700</v>
      </c>
      <c r="AI861" t="n">
        <v>0</v>
      </c>
    </row>
    <row r="862">
      <c r="A862" t="inlineStr">
        <is>
          <t>1월</t>
        </is>
      </c>
      <c r="B862" t="inlineStr">
        <is>
          <t>5주차</t>
        </is>
      </c>
      <c r="C862" t="inlineStr">
        <is>
          <t>EP</t>
        </is>
      </c>
      <c r="D862" s="28" t="n">
        <v>46049</v>
      </c>
      <c r="E862" t="inlineStr">
        <is>
          <t>현대EP_fast</t>
        </is>
      </c>
      <c r="F862" t="inlineStr">
        <is>
          <t>김매화</t>
        </is>
      </c>
      <c r="G862" t="inlineStr">
        <is>
          <t>010-3212-3947</t>
        </is>
      </c>
      <c r="H862" t="inlineStr">
        <is>
          <t>82무0970</t>
        </is>
      </c>
      <c r="I862" t="n">
        <v>13800000</v>
      </c>
      <c r="J862" t="n">
        <v>0.08699999999999999</v>
      </c>
      <c r="K862" t="n">
        <v>1.76</v>
      </c>
      <c r="L862" t="n">
        <v>0.13</v>
      </c>
      <c r="M862" t="n">
        <v>1.63</v>
      </c>
      <c r="P862" t="inlineStr">
        <is>
          <t>김수연</t>
        </is>
      </c>
      <c r="Q862" t="inlineStr">
        <is>
          <t>홈서비스 36개월 /공동명의</t>
        </is>
      </c>
      <c r="AB862" t="inlineStr">
        <is>
          <t>홈서비스</t>
        </is>
      </c>
      <c r="AC862" t="n">
        <v>242880</v>
      </c>
      <c r="AD862" t="n">
        <v>17940</v>
      </c>
      <c r="AE862" t="n">
        <v>224940</v>
      </c>
      <c r="AF862" t="n">
        <v>220800</v>
      </c>
      <c r="AG862" t="n">
        <v>17940</v>
      </c>
      <c r="AH862" t="n">
        <v>202860</v>
      </c>
      <c r="AI862" t="n">
        <v>0</v>
      </c>
    </row>
    <row r="863">
      <c r="A863" t="inlineStr">
        <is>
          <t>1월</t>
        </is>
      </c>
      <c r="B863" t="inlineStr">
        <is>
          <t>5주차</t>
        </is>
      </c>
      <c r="C863" t="inlineStr">
        <is>
          <t>EP</t>
        </is>
      </c>
      <c r="D863" s="28" t="n">
        <v>46051</v>
      </c>
      <c r="E863" t="inlineStr">
        <is>
          <t>현대EP_fast</t>
        </is>
      </c>
      <c r="F863" t="inlineStr">
        <is>
          <t>조장한</t>
        </is>
      </c>
      <c r="G863" t="inlineStr">
        <is>
          <t>010-4153-9449</t>
        </is>
      </c>
      <c r="H863" t="inlineStr">
        <is>
          <t>176부3585</t>
        </is>
      </c>
      <c r="I863" t="n">
        <v>10000000</v>
      </c>
      <c r="J863" t="n">
        <v>0.057</v>
      </c>
      <c r="K863" t="n">
        <v>1.76</v>
      </c>
      <c r="L863" t="n">
        <v>0.13</v>
      </c>
      <c r="M863" t="n">
        <v>1.63</v>
      </c>
      <c r="P863" t="inlineStr">
        <is>
          <t>정광호</t>
        </is>
      </c>
      <c r="Q863" t="inlineStr">
        <is>
          <t>홈서비스 24개월</t>
        </is>
      </c>
      <c r="AB863" t="inlineStr">
        <is>
          <t>홈서비스</t>
        </is>
      </c>
      <c r="AC863" t="n">
        <v>176000</v>
      </c>
      <c r="AD863" t="n">
        <v>13000</v>
      </c>
      <c r="AE863" t="n">
        <v>163000</v>
      </c>
      <c r="AF863" t="n">
        <v>160000</v>
      </c>
      <c r="AG863" t="n">
        <v>13000</v>
      </c>
      <c r="AH863" t="n">
        <v>147000</v>
      </c>
      <c r="AI863" t="n">
        <v>0</v>
      </c>
    </row>
    <row r="864">
      <c r="A864" t="inlineStr">
        <is>
          <t>1월</t>
        </is>
      </c>
      <c r="B864" t="inlineStr">
        <is>
          <t>5주차</t>
        </is>
      </c>
      <c r="C864" t="inlineStr">
        <is>
          <t>IM</t>
        </is>
      </c>
      <c r="D864" s="28" t="n">
        <v>46051</v>
      </c>
      <c r="E864" t="inlineStr">
        <is>
          <t>IM캐피탈</t>
        </is>
      </c>
      <c r="F864" t="inlineStr">
        <is>
          <t>노승왕</t>
        </is>
      </c>
      <c r="G864" t="inlineStr">
        <is>
          <t>010-4418-7087</t>
        </is>
      </c>
      <c r="H864" t="inlineStr">
        <is>
          <t>169보7874</t>
        </is>
      </c>
      <c r="I864" t="n">
        <v>32000000</v>
      </c>
      <c r="J864" t="n">
        <v>0.053</v>
      </c>
      <c r="K864" t="n">
        <v>1.21</v>
      </c>
      <c r="L864" t="n">
        <v>0.4</v>
      </c>
      <c r="M864" t="n">
        <v>0.8100000000000001</v>
      </c>
      <c r="P864" t="inlineStr">
        <is>
          <t>구성완</t>
        </is>
      </c>
      <c r="Q864" t="inlineStr">
        <is>
          <t xml:space="preserve">사유: 금리불만. 72개월 </t>
        </is>
      </c>
      <c r="AB864" t="inlineStr">
        <is>
          <t>엔카</t>
        </is>
      </c>
      <c r="AC864" t="n">
        <v>387200</v>
      </c>
      <c r="AD864" t="n">
        <v>128000</v>
      </c>
      <c r="AE864" t="n">
        <v>259200</v>
      </c>
      <c r="AF864" t="n">
        <v>352000</v>
      </c>
      <c r="AG864" t="n">
        <v>128000</v>
      </c>
      <c r="AH864" t="n">
        <v>224000</v>
      </c>
      <c r="AI864" t="n">
        <v>0</v>
      </c>
    </row>
    <row r="865">
      <c r="A865" t="inlineStr">
        <is>
          <t>1월</t>
        </is>
      </c>
      <c r="B865" t="inlineStr">
        <is>
          <t>5주차</t>
        </is>
      </c>
      <c r="C865" t="inlineStr">
        <is>
          <t>EP</t>
        </is>
      </c>
      <c r="D865" s="28" t="n">
        <v>46051</v>
      </c>
      <c r="E865" t="inlineStr">
        <is>
          <t>현대EP_fast</t>
        </is>
      </c>
      <c r="F865" t="inlineStr">
        <is>
          <t>명영은</t>
        </is>
      </c>
      <c r="G865" t="inlineStr">
        <is>
          <t>010-4629-3851</t>
        </is>
      </c>
      <c r="H865" t="inlineStr">
        <is>
          <t>13서0128</t>
        </is>
      </c>
      <c r="I865" t="n">
        <v>3000000</v>
      </c>
      <c r="J865" t="n">
        <v>0.115</v>
      </c>
      <c r="K865" t="n">
        <v>1.76</v>
      </c>
      <c r="L865" t="n">
        <v>0.13</v>
      </c>
      <c r="M865" t="n">
        <v>1.63</v>
      </c>
      <c r="P865" t="inlineStr">
        <is>
          <t>정광호</t>
        </is>
      </c>
      <c r="Q865" t="inlineStr">
        <is>
          <t>홈서비스 36개월</t>
        </is>
      </c>
      <c r="AB865" t="inlineStr">
        <is>
          <t>홈서비스</t>
        </is>
      </c>
      <c r="AC865" t="n">
        <v>52800</v>
      </c>
      <c r="AD865" t="n">
        <v>3900</v>
      </c>
      <c r="AE865" t="n">
        <v>48900</v>
      </c>
      <c r="AF865" t="n">
        <v>48000</v>
      </c>
      <c r="AG865" t="n">
        <v>3900</v>
      </c>
      <c r="AH865" t="n">
        <v>44100</v>
      </c>
    </row>
    <row r="866">
      <c r="A866" t="inlineStr">
        <is>
          <t>1월</t>
        </is>
      </c>
      <c r="B866" t="inlineStr">
        <is>
          <t>5주차</t>
        </is>
      </c>
      <c r="C866" t="inlineStr">
        <is>
          <t>EP</t>
        </is>
      </c>
      <c r="D866" s="28" t="n">
        <v>46051</v>
      </c>
      <c r="E866" t="inlineStr">
        <is>
          <t>현대EP_fast</t>
        </is>
      </c>
      <c r="F866" t="inlineStr">
        <is>
          <t>고찬규</t>
        </is>
      </c>
      <c r="G866" t="inlineStr">
        <is>
          <t>010-4211-6768</t>
        </is>
      </c>
      <c r="H866" t="inlineStr">
        <is>
          <t>60노4265</t>
        </is>
      </c>
      <c r="I866" t="n">
        <v>15700000</v>
      </c>
      <c r="J866" t="n">
        <v>0.111</v>
      </c>
      <c r="K866" t="n">
        <v>1.76</v>
      </c>
      <c r="L866" t="n">
        <v>0.13</v>
      </c>
      <c r="M866" t="n">
        <v>1.63</v>
      </c>
      <c r="P866" t="inlineStr">
        <is>
          <t>정광호</t>
        </is>
      </c>
      <c r="Q866" t="inlineStr">
        <is>
          <t>홈서비스 60개월</t>
        </is>
      </c>
      <c r="AB866" t="inlineStr">
        <is>
          <t>홈서비스</t>
        </is>
      </c>
      <c r="AC866" t="n">
        <v>276320</v>
      </c>
      <c r="AD866" t="n">
        <v>20410</v>
      </c>
      <c r="AE866" t="n">
        <v>255910</v>
      </c>
      <c r="AF866" t="n">
        <v>251200</v>
      </c>
      <c r="AG866" t="n">
        <v>20410</v>
      </c>
      <c r="AH866" t="n">
        <v>230790</v>
      </c>
      <c r="AI866" t="n">
        <v>0</v>
      </c>
    </row>
    <row r="867">
      <c r="A867" t="inlineStr">
        <is>
          <t>1월</t>
        </is>
      </c>
      <c r="B867" t="inlineStr">
        <is>
          <t>5주차</t>
        </is>
      </c>
      <c r="C867" t="inlineStr">
        <is>
          <t>OR</t>
        </is>
      </c>
      <c r="D867" s="28" t="n">
        <v>46050</v>
      </c>
      <c r="E867" t="inlineStr">
        <is>
          <t>오릭스</t>
        </is>
      </c>
      <c r="F867" t="inlineStr">
        <is>
          <t>이학봉</t>
        </is>
      </c>
      <c r="G867" t="inlineStr">
        <is>
          <t>010-9995-7845</t>
        </is>
      </c>
      <c r="H867" t="inlineStr">
        <is>
          <t>87보1398</t>
        </is>
      </c>
      <c r="I867" t="n">
        <v>15900000</v>
      </c>
      <c r="J867" t="n">
        <v>0.053</v>
      </c>
      <c r="K867" t="n">
        <v>1.65</v>
      </c>
      <c r="L867" t="n">
        <v>0.4</v>
      </c>
      <c r="M867" t="n">
        <v>1.25</v>
      </c>
      <c r="P867" t="inlineStr">
        <is>
          <t>박보람</t>
        </is>
      </c>
      <c r="Q867" t="inlineStr">
        <is>
          <t>사유 : 기승인건</t>
        </is>
      </c>
      <c r="AB867" t="inlineStr">
        <is>
          <t>엔카</t>
        </is>
      </c>
      <c r="AC867" t="n">
        <v>262350</v>
      </c>
      <c r="AD867" t="n">
        <v>63600</v>
      </c>
      <c r="AE867" t="n">
        <v>198750</v>
      </c>
      <c r="AF867" t="n">
        <v>238500</v>
      </c>
      <c r="AG867" t="n">
        <v>63600</v>
      </c>
      <c r="AH867" t="n">
        <v>174900</v>
      </c>
      <c r="AI867" t="n">
        <v>0</v>
      </c>
    </row>
    <row r="868">
      <c r="A868" t="inlineStr">
        <is>
          <t>1월</t>
        </is>
      </c>
      <c r="B868" t="inlineStr">
        <is>
          <t>5주차</t>
        </is>
      </c>
      <c r="C868" t="inlineStr">
        <is>
          <t>EP</t>
        </is>
      </c>
      <c r="D868" s="28" t="n">
        <v>46050</v>
      </c>
      <c r="E868" t="inlineStr">
        <is>
          <t>현대EP_fast</t>
        </is>
      </c>
      <c r="F868" t="inlineStr">
        <is>
          <t>김종찬</t>
        </is>
      </c>
      <c r="G868" t="inlineStr">
        <is>
          <t>010-2474-5626</t>
        </is>
      </c>
      <c r="H868" t="inlineStr">
        <is>
          <t>321더9306</t>
        </is>
      </c>
      <c r="I868" t="n">
        <v>5000000</v>
      </c>
      <c r="J868" t="n">
        <v>0.067</v>
      </c>
      <c r="K868" t="n">
        <v>1.76</v>
      </c>
      <c r="L868" t="n">
        <v>0.4</v>
      </c>
      <c r="M868" t="n">
        <v>1.36</v>
      </c>
      <c r="P868" t="inlineStr">
        <is>
          <t>장진경</t>
        </is>
      </c>
      <c r="Q868" t="inlineStr">
        <is>
          <t>*차량번호 변경건/ 변경전 차량번호 54다8739</t>
        </is>
      </c>
      <c r="AB868" t="inlineStr">
        <is>
          <t>엔카</t>
        </is>
      </c>
      <c r="AC868" t="n">
        <v>88000</v>
      </c>
      <c r="AD868" t="n">
        <v>20000</v>
      </c>
      <c r="AE868" t="n">
        <v>68000</v>
      </c>
      <c r="AF868" t="n">
        <v>80000</v>
      </c>
      <c r="AG868" t="n">
        <v>20000</v>
      </c>
      <c r="AH868" t="n">
        <v>60000</v>
      </c>
    </row>
    <row r="869">
      <c r="A869" t="inlineStr">
        <is>
          <t>1월</t>
        </is>
      </c>
      <c r="B869" t="inlineStr">
        <is>
          <t>5주차</t>
        </is>
      </c>
      <c r="C869" t="inlineStr">
        <is>
          <t>OR</t>
        </is>
      </c>
      <c r="D869" s="28" t="n">
        <v>46051</v>
      </c>
      <c r="E869" t="inlineStr">
        <is>
          <t>오릭스</t>
        </is>
      </c>
      <c r="F869" t="inlineStr">
        <is>
          <t>하영주</t>
        </is>
      </c>
      <c r="G869" t="n">
        <v>1023204782</v>
      </c>
      <c r="H869" t="inlineStr">
        <is>
          <t>100도1569</t>
        </is>
      </c>
      <c r="I869" t="n">
        <v>13800000</v>
      </c>
      <c r="J869" t="n">
        <v>0.07199999999999999</v>
      </c>
      <c r="K869" t="n">
        <v>1.65</v>
      </c>
      <c r="L869" t="n">
        <v>0.13</v>
      </c>
      <c r="M869" t="n">
        <v>1.52</v>
      </c>
      <c r="P869" t="inlineStr">
        <is>
          <t>김나윤</t>
        </is>
      </c>
      <c r="Q869" t="inlineStr">
        <is>
          <t>사유: 부대비용필요 / 홈서비스 60개월</t>
        </is>
      </c>
      <c r="AB869" t="inlineStr">
        <is>
          <t>홈서비스</t>
        </is>
      </c>
      <c r="AC869" t="n">
        <v>227700</v>
      </c>
      <c r="AD869" t="n">
        <v>17940</v>
      </c>
      <c r="AE869" t="n">
        <v>209760</v>
      </c>
      <c r="AF869" t="n">
        <v>207000</v>
      </c>
      <c r="AG869" t="n">
        <v>17940</v>
      </c>
      <c r="AH869" t="n">
        <v>189060</v>
      </c>
      <c r="AI869" t="n">
        <v>0</v>
      </c>
    </row>
    <row r="870">
      <c r="A870" t="inlineStr">
        <is>
          <t>1월</t>
        </is>
      </c>
      <c r="B870" t="inlineStr">
        <is>
          <t>5주차</t>
        </is>
      </c>
      <c r="C870" t="inlineStr">
        <is>
          <t>OR</t>
        </is>
      </c>
      <c r="D870" s="28" t="n">
        <v>46049</v>
      </c>
      <c r="E870" t="inlineStr">
        <is>
          <t>오릭스</t>
        </is>
      </c>
      <c r="F870" t="inlineStr">
        <is>
          <t>박상훈</t>
        </is>
      </c>
      <c r="G870" t="inlineStr">
        <is>
          <t>010-5464-3871</t>
        </is>
      </c>
      <c r="H870" t="inlineStr">
        <is>
          <t>265서5058</t>
        </is>
      </c>
      <c r="I870" t="n">
        <v>24900000</v>
      </c>
      <c r="J870" t="n">
        <v>0.06900000000000001</v>
      </c>
      <c r="K870" t="n">
        <v>1.65</v>
      </c>
      <c r="L870" t="n">
        <v>0.4</v>
      </c>
      <c r="M870" t="n">
        <v>1.25</v>
      </c>
      <c r="P870" t="inlineStr">
        <is>
          <t>박소현</t>
        </is>
      </c>
      <c r="Q870" t="inlineStr">
        <is>
          <t>사유 : 부대비용필요건 /현대 9.3%</t>
        </is>
      </c>
      <c r="AB870" t="inlineStr">
        <is>
          <t>엔카</t>
        </is>
      </c>
      <c r="AC870" t="n">
        <v>410850</v>
      </c>
      <c r="AD870" t="n">
        <v>99600</v>
      </c>
      <c r="AE870" t="n">
        <v>311250</v>
      </c>
      <c r="AF870" t="n">
        <v>373500</v>
      </c>
      <c r="AG870" t="n">
        <v>99600</v>
      </c>
      <c r="AH870" t="n">
        <v>273900</v>
      </c>
      <c r="AI870" t="n">
        <v>0</v>
      </c>
    </row>
    <row r="871">
      <c r="A871" t="inlineStr">
        <is>
          <t>1월</t>
        </is>
      </c>
      <c r="B871" t="inlineStr">
        <is>
          <t>5주차</t>
        </is>
      </c>
      <c r="C871" t="inlineStr">
        <is>
          <t>EP</t>
        </is>
      </c>
      <c r="D871" s="28" t="n">
        <v>46050</v>
      </c>
      <c r="E871" t="inlineStr">
        <is>
          <t>현대EP</t>
        </is>
      </c>
      <c r="F871" t="inlineStr">
        <is>
          <t>박성란</t>
        </is>
      </c>
      <c r="G871" t="inlineStr">
        <is>
          <t>010-4348-2022</t>
        </is>
      </c>
      <c r="H871" t="inlineStr">
        <is>
          <t>10소9082</t>
        </is>
      </c>
      <c r="I871" t="n">
        <v>7600000</v>
      </c>
      <c r="J871" t="n">
        <v>0.057</v>
      </c>
      <c r="K871" t="n">
        <v>1.76</v>
      </c>
      <c r="L871" t="n">
        <v>0.13</v>
      </c>
      <c r="M871" t="n">
        <v>1.63</v>
      </c>
      <c r="P871" t="inlineStr">
        <is>
          <t>정세빈</t>
        </is>
      </c>
      <c r="Q871" t="inlineStr">
        <is>
          <t>홈서비스 24개월</t>
        </is>
      </c>
      <c r="AB871" t="inlineStr">
        <is>
          <t>홈서비스</t>
        </is>
      </c>
      <c r="AC871" t="n">
        <v>133760</v>
      </c>
      <c r="AD871" t="n">
        <v>9880</v>
      </c>
      <c r="AE871" t="n">
        <v>123880</v>
      </c>
      <c r="AF871" t="n">
        <v>121600</v>
      </c>
      <c r="AG871" t="n">
        <v>9880</v>
      </c>
      <c r="AH871" t="n">
        <v>111720</v>
      </c>
      <c r="AI871" t="n">
        <v>0</v>
      </c>
    </row>
    <row r="872">
      <c r="A872" t="inlineStr">
        <is>
          <t>1월</t>
        </is>
      </c>
      <c r="B872" t="inlineStr">
        <is>
          <t>5주차</t>
        </is>
      </c>
      <c r="C872" t="inlineStr">
        <is>
          <t>EP</t>
        </is>
      </c>
      <c r="D872" s="28" t="n">
        <v>46051</v>
      </c>
      <c r="E872" t="inlineStr">
        <is>
          <t>현대EP_fast</t>
        </is>
      </c>
      <c r="F872" t="inlineStr">
        <is>
          <t>김경남</t>
        </is>
      </c>
      <c r="G872" t="inlineStr">
        <is>
          <t>010-2013-3654</t>
        </is>
      </c>
      <c r="H872" t="inlineStr">
        <is>
          <t>160더3349</t>
        </is>
      </c>
      <c r="I872" t="n">
        <v>33900000</v>
      </c>
      <c r="J872" t="n">
        <v>0.08500000000000001</v>
      </c>
      <c r="K872" t="n">
        <v>1.76</v>
      </c>
      <c r="L872" t="n">
        <v>0.13</v>
      </c>
      <c r="M872" t="n">
        <v>1.63</v>
      </c>
      <c r="P872" t="inlineStr">
        <is>
          <t>김수연</t>
        </is>
      </c>
      <c r="Q872" t="inlineStr">
        <is>
          <t>홈서비스 60개월</t>
        </is>
      </c>
      <c r="AB872" t="inlineStr">
        <is>
          <t>홈서비스</t>
        </is>
      </c>
      <c r="AC872" t="n">
        <v>596640</v>
      </c>
      <c r="AD872" t="n">
        <v>44070</v>
      </c>
      <c r="AE872" t="n">
        <v>552570</v>
      </c>
      <c r="AF872" t="n">
        <v>542400</v>
      </c>
      <c r="AG872" t="n">
        <v>44070</v>
      </c>
      <c r="AH872" t="n">
        <v>498330</v>
      </c>
      <c r="AI872" t="n">
        <v>0</v>
      </c>
    </row>
    <row r="873">
      <c r="A873" t="inlineStr">
        <is>
          <t>1월</t>
        </is>
      </c>
      <c r="B873" t="inlineStr">
        <is>
          <t>5주차</t>
        </is>
      </c>
      <c r="C873" t="inlineStr">
        <is>
          <t>OR</t>
        </is>
      </c>
      <c r="D873" s="28" t="n">
        <v>46051</v>
      </c>
      <c r="E873" t="inlineStr">
        <is>
          <t>오릭스</t>
        </is>
      </c>
      <c r="F873" t="inlineStr">
        <is>
          <t>이정욱</t>
        </is>
      </c>
      <c r="G873" t="inlineStr">
        <is>
          <t>010-9445-6591</t>
        </is>
      </c>
      <c r="H873" t="inlineStr">
        <is>
          <t>111노9239</t>
        </is>
      </c>
      <c r="I873" t="n">
        <v>4000000</v>
      </c>
      <c r="J873" t="n">
        <v>0.07099999999999999</v>
      </c>
      <c r="K873" t="n">
        <v>1.65</v>
      </c>
      <c r="L873" t="n">
        <v>0.13</v>
      </c>
      <c r="M873" t="n">
        <v>1.52</v>
      </c>
      <c r="P873" t="inlineStr">
        <is>
          <t>황채이</t>
        </is>
      </c>
      <c r="Q873" t="inlineStr">
        <is>
          <t>사유 : 금리불만 / 현대 11.5% / 홈서비스 48개월</t>
        </is>
      </c>
      <c r="AB873" t="inlineStr">
        <is>
          <t>홈서비스</t>
        </is>
      </c>
      <c r="AC873" t="n">
        <v>66000</v>
      </c>
      <c r="AD873" t="n">
        <v>5200</v>
      </c>
      <c r="AE873" t="n">
        <v>60800</v>
      </c>
      <c r="AF873" t="n">
        <v>60000</v>
      </c>
      <c r="AG873" t="n">
        <v>5200</v>
      </c>
      <c r="AH873" t="n">
        <v>54800</v>
      </c>
      <c r="AI873" t="n">
        <v>0</v>
      </c>
    </row>
    <row r="874">
      <c r="A874" t="inlineStr">
        <is>
          <t>1월</t>
        </is>
      </c>
      <c r="B874" t="inlineStr">
        <is>
          <t>5주차</t>
        </is>
      </c>
      <c r="C874" t="inlineStr">
        <is>
          <t>WC</t>
        </is>
      </c>
      <c r="D874" s="28" t="n">
        <v>46051</v>
      </c>
      <c r="E874" t="inlineStr">
        <is>
          <t>웰컴저축은행</t>
        </is>
      </c>
      <c r="F874" t="inlineStr">
        <is>
          <t>유혜정</t>
        </is>
      </c>
      <c r="G874" t="inlineStr">
        <is>
          <t>010-4642-0174</t>
        </is>
      </c>
      <c r="H874" t="inlineStr">
        <is>
          <t>153다4160</t>
        </is>
      </c>
      <c r="I874" t="n">
        <v>25000000</v>
      </c>
      <c r="J874" t="n">
        <v>0.192</v>
      </c>
      <c r="K874" t="n">
        <v>0</v>
      </c>
      <c r="L874" t="n">
        <v>0.13</v>
      </c>
      <c r="M874" t="n">
        <v>-0.13</v>
      </c>
      <c r="P874" t="inlineStr">
        <is>
          <t>정하은</t>
        </is>
      </c>
      <c r="Q874" t="inlineStr">
        <is>
          <t>홈서비스60개월 /사유 : 현대부결 / 철회시 중도수수료안내완</t>
        </is>
      </c>
      <c r="AB874" t="inlineStr">
        <is>
          <t>홈서비스</t>
        </is>
      </c>
      <c r="AC874" t="n">
        <v>0</v>
      </c>
      <c r="AD874" t="n">
        <v>32500</v>
      </c>
      <c r="AE874" t="n">
        <v>-32500</v>
      </c>
      <c r="AF874" t="n">
        <v>0</v>
      </c>
      <c r="AG874" t="n">
        <v>32500</v>
      </c>
      <c r="AH874" t="n">
        <v>-32500</v>
      </c>
      <c r="AI874" t="n">
        <v>1</v>
      </c>
      <c r="AK874" t="inlineStr">
        <is>
          <t>중도상환</t>
        </is>
      </c>
    </row>
    <row r="875">
      <c r="A875" t="inlineStr">
        <is>
          <t>1월</t>
        </is>
      </c>
      <c r="B875" t="inlineStr">
        <is>
          <t>5주차</t>
        </is>
      </c>
      <c r="C875" t="inlineStr">
        <is>
          <t>IM</t>
        </is>
      </c>
      <c r="D875" s="28" t="n">
        <v>46051</v>
      </c>
      <c r="E875" t="inlineStr">
        <is>
          <t>IM캐피탈</t>
        </is>
      </c>
      <c r="F875" t="inlineStr">
        <is>
          <t>이진영</t>
        </is>
      </c>
      <c r="G875" t="inlineStr">
        <is>
          <t>010-3843-8270</t>
        </is>
      </c>
      <c r="H875" t="inlineStr">
        <is>
          <t>241버6144</t>
        </is>
      </c>
      <c r="I875" t="n">
        <v>28200000</v>
      </c>
      <c r="J875" t="n">
        <v>0.08</v>
      </c>
      <c r="K875" t="n">
        <v>0.55</v>
      </c>
      <c r="L875" t="n">
        <v>0.13</v>
      </c>
      <c r="M875" t="n">
        <v>0.42</v>
      </c>
      <c r="P875" t="inlineStr">
        <is>
          <t>정광호</t>
        </is>
      </c>
      <c r="Q875" t="inlineStr">
        <is>
          <t>홈서비스 72개월 / 사유 : 금리불만</t>
        </is>
      </c>
      <c r="AB875" t="inlineStr">
        <is>
          <t>홈서비스</t>
        </is>
      </c>
      <c r="AC875" t="n">
        <v>155100</v>
      </c>
      <c r="AD875" t="n">
        <v>36660</v>
      </c>
      <c r="AE875" t="n">
        <v>118440</v>
      </c>
      <c r="AF875" t="n">
        <v>141000</v>
      </c>
      <c r="AG875" t="n">
        <v>36660</v>
      </c>
      <c r="AH875" t="n">
        <v>104340</v>
      </c>
      <c r="AI875" t="n">
        <v>1</v>
      </c>
    </row>
    <row r="876">
      <c r="A876" t="inlineStr">
        <is>
          <t>1월</t>
        </is>
      </c>
      <c r="B876" t="inlineStr">
        <is>
          <t>5주차</t>
        </is>
      </c>
      <c r="C876" t="inlineStr">
        <is>
          <t>EP</t>
        </is>
      </c>
      <c r="D876" s="28" t="n">
        <v>46051</v>
      </c>
      <c r="E876" t="inlineStr">
        <is>
          <t>현대EP</t>
        </is>
      </c>
      <c r="F876" t="inlineStr">
        <is>
          <t>김승규</t>
        </is>
      </c>
      <c r="G876" t="inlineStr">
        <is>
          <t>010-8844-5036</t>
        </is>
      </c>
      <c r="H876" t="inlineStr">
        <is>
          <t>242거9788</t>
        </is>
      </c>
      <c r="I876" t="n">
        <v>19200000</v>
      </c>
      <c r="J876" t="n">
        <v>0.097</v>
      </c>
      <c r="K876" t="n">
        <v>1.76</v>
      </c>
      <c r="L876" t="n">
        <v>0.13</v>
      </c>
      <c r="M876" t="n">
        <v>1.63</v>
      </c>
      <c r="P876" t="inlineStr">
        <is>
          <t>황채이</t>
        </is>
      </c>
      <c r="AB876" t="inlineStr">
        <is>
          <t>홈서비스</t>
        </is>
      </c>
      <c r="AC876" t="n">
        <v>337920</v>
      </c>
      <c r="AD876" t="n">
        <v>24960</v>
      </c>
      <c r="AE876" t="n">
        <v>312960</v>
      </c>
      <c r="AF876" t="n">
        <v>307200</v>
      </c>
      <c r="AG876" t="n">
        <v>24960</v>
      </c>
      <c r="AH876" t="n">
        <v>282240</v>
      </c>
      <c r="AI876" t="n">
        <v>1</v>
      </c>
    </row>
    <row r="877">
      <c r="A877" t="inlineStr">
        <is>
          <t>1월</t>
        </is>
      </c>
      <c r="B877" t="inlineStr">
        <is>
          <t>5주차</t>
        </is>
      </c>
      <c r="C877" t="inlineStr">
        <is>
          <t>EP</t>
        </is>
      </c>
      <c r="D877" s="28" t="n">
        <v>46051</v>
      </c>
      <c r="E877" t="inlineStr">
        <is>
          <t>현대EP_fast</t>
        </is>
      </c>
      <c r="F877" t="inlineStr">
        <is>
          <t>조세진</t>
        </is>
      </c>
      <c r="G877" t="inlineStr">
        <is>
          <t>010-7210-2715</t>
        </is>
      </c>
      <c r="H877" t="inlineStr">
        <is>
          <t>64구8443</t>
        </is>
      </c>
      <c r="I877" t="n">
        <v>3900000</v>
      </c>
      <c r="J877" t="n">
        <v>0.115</v>
      </c>
      <c r="K877" t="n">
        <v>1.76</v>
      </c>
      <c r="L877" t="n">
        <v>0.13</v>
      </c>
      <c r="M877" t="n">
        <v>1.63</v>
      </c>
      <c r="P877" t="inlineStr">
        <is>
          <t>최형주</t>
        </is>
      </c>
      <c r="Q877" t="inlineStr">
        <is>
          <t>홈서비스 48개월</t>
        </is>
      </c>
      <c r="AB877" t="inlineStr">
        <is>
          <t>홈서비스</t>
        </is>
      </c>
      <c r="AC877" t="n">
        <v>68640</v>
      </c>
      <c r="AD877" t="n">
        <v>5070</v>
      </c>
      <c r="AE877" t="n">
        <v>63570</v>
      </c>
      <c r="AF877" t="n">
        <v>62400</v>
      </c>
      <c r="AG877" t="n">
        <v>5070</v>
      </c>
      <c r="AH877" t="n">
        <v>57330</v>
      </c>
      <c r="AI877" t="n">
        <v>1</v>
      </c>
    </row>
    <row r="878">
      <c r="A878" t="inlineStr">
        <is>
          <t>1월</t>
        </is>
      </c>
      <c r="B878" t="inlineStr">
        <is>
          <t>5주차</t>
        </is>
      </c>
      <c r="C878" t="inlineStr">
        <is>
          <t>EP</t>
        </is>
      </c>
      <c r="D878" s="28" t="n">
        <v>46051</v>
      </c>
      <c r="E878" t="inlineStr">
        <is>
          <t>현대EP</t>
        </is>
      </c>
      <c r="F878" t="inlineStr">
        <is>
          <t>김용희</t>
        </is>
      </c>
      <c r="G878" t="inlineStr">
        <is>
          <t>010-3700-9564</t>
        </is>
      </c>
      <c r="H878" t="inlineStr">
        <is>
          <t>329버2848</t>
        </is>
      </c>
      <c r="I878" t="n">
        <v>10100000</v>
      </c>
      <c r="J878" t="n">
        <v>0.093</v>
      </c>
      <c r="K878" t="n">
        <v>1.76</v>
      </c>
      <c r="L878" t="n">
        <v>0.13</v>
      </c>
      <c r="M878" t="n">
        <v>1.63</v>
      </c>
      <c r="P878" t="inlineStr">
        <is>
          <t>최형주</t>
        </is>
      </c>
      <c r="AB878" t="inlineStr">
        <is>
          <t>홈서비스</t>
        </is>
      </c>
      <c r="AC878" t="n">
        <v>177760</v>
      </c>
      <c r="AD878" t="n">
        <v>13130</v>
      </c>
      <c r="AE878" t="n">
        <v>164630</v>
      </c>
      <c r="AF878" t="n">
        <v>161600</v>
      </c>
      <c r="AG878" t="n">
        <v>13130</v>
      </c>
      <c r="AH878" t="n">
        <v>148470</v>
      </c>
      <c r="AI878" t="n">
        <v>1</v>
      </c>
    </row>
    <row r="879">
      <c r="A879" t="inlineStr">
        <is>
          <t>1월</t>
        </is>
      </c>
      <c r="B879" t="inlineStr">
        <is>
          <t>5주차</t>
        </is>
      </c>
      <c r="C879" t="inlineStr">
        <is>
          <t>EP</t>
        </is>
      </c>
      <c r="D879" s="28" t="n">
        <v>46051</v>
      </c>
      <c r="E879" t="inlineStr">
        <is>
          <t>현대EP</t>
        </is>
      </c>
      <c r="F879" t="inlineStr">
        <is>
          <t>김준호</t>
        </is>
      </c>
      <c r="G879" t="inlineStr">
        <is>
          <t>010-6438-0177</t>
        </is>
      </c>
      <c r="H879" t="inlineStr">
        <is>
          <t>21고6641</t>
        </is>
      </c>
      <c r="I879" t="n">
        <v>65000000</v>
      </c>
      <c r="J879" t="n">
        <v>0.073</v>
      </c>
      <c r="K879" t="n">
        <v>1.76</v>
      </c>
      <c r="L879" t="n">
        <v>0.13</v>
      </c>
      <c r="M879" t="n">
        <v>1.63</v>
      </c>
      <c r="P879" t="inlineStr">
        <is>
          <t>황채이</t>
        </is>
      </c>
      <c r="AB879" t="inlineStr">
        <is>
          <t>홈서비스</t>
        </is>
      </c>
      <c r="AC879" t="n">
        <v>1144000</v>
      </c>
      <c r="AD879" t="n">
        <v>84500</v>
      </c>
      <c r="AE879" t="n">
        <v>1059500</v>
      </c>
      <c r="AF879" t="n">
        <v>1040000</v>
      </c>
      <c r="AG879" t="n">
        <v>84500</v>
      </c>
      <c r="AH879" t="n">
        <v>955500</v>
      </c>
      <c r="AI879" t="n">
        <v>1</v>
      </c>
    </row>
    <row r="880">
      <c r="A880" t="inlineStr">
        <is>
          <t>1월</t>
        </is>
      </c>
      <c r="B880" t="inlineStr">
        <is>
          <t>5주차</t>
        </is>
      </c>
      <c r="C880" t="inlineStr">
        <is>
          <t>EP</t>
        </is>
      </c>
      <c r="D880" s="28" t="n">
        <v>46051</v>
      </c>
      <c r="E880" t="inlineStr">
        <is>
          <t>현대EP</t>
        </is>
      </c>
      <c r="F880" t="inlineStr">
        <is>
          <t>김유찬</t>
        </is>
      </c>
      <c r="G880" t="inlineStr">
        <is>
          <t>010-6450-0146</t>
        </is>
      </c>
      <c r="H880" t="inlineStr">
        <is>
          <t>126서2602</t>
        </is>
      </c>
      <c r="I880" t="n">
        <v>34800000</v>
      </c>
      <c r="J880" t="n">
        <v>0.082</v>
      </c>
      <c r="K880" t="n">
        <v>1.76</v>
      </c>
      <c r="L880" t="n">
        <v>0.13</v>
      </c>
      <c r="M880" t="n">
        <v>1.63</v>
      </c>
      <c r="P880" t="inlineStr">
        <is>
          <t>최형주</t>
        </is>
      </c>
      <c r="AB880" t="inlineStr">
        <is>
          <t>홈서비스</t>
        </is>
      </c>
      <c r="AC880" t="n">
        <v>612480</v>
      </c>
      <c r="AD880" t="n">
        <v>45240</v>
      </c>
      <c r="AE880" t="n">
        <v>567240</v>
      </c>
      <c r="AF880" t="n">
        <v>556800</v>
      </c>
      <c r="AG880" t="n">
        <v>45240</v>
      </c>
      <c r="AH880" t="n">
        <v>511560</v>
      </c>
      <c r="AI880" t="n">
        <v>1</v>
      </c>
    </row>
    <row r="881">
      <c r="A881" t="inlineStr">
        <is>
          <t>1월</t>
        </is>
      </c>
      <c r="B881" t="inlineStr">
        <is>
          <t>5주차</t>
        </is>
      </c>
      <c r="C881" t="inlineStr">
        <is>
          <t>EP</t>
        </is>
      </c>
      <c r="D881" s="28" t="n">
        <v>46051</v>
      </c>
      <c r="E881" t="inlineStr">
        <is>
          <t>현대EP_fast</t>
        </is>
      </c>
      <c r="F881" t="inlineStr">
        <is>
          <t>송민우</t>
        </is>
      </c>
      <c r="G881" t="inlineStr">
        <is>
          <t>010-5768-7505</t>
        </is>
      </c>
      <c r="H881" t="inlineStr">
        <is>
          <t>146저3096</t>
        </is>
      </c>
      <c r="I881" t="n">
        <v>7800000</v>
      </c>
      <c r="J881" t="n">
        <v>0.068</v>
      </c>
      <c r="K881" t="n">
        <v>1.76</v>
      </c>
      <c r="L881" t="n">
        <v>0.13</v>
      </c>
      <c r="M881" t="n">
        <v>1.63</v>
      </c>
      <c r="P881" t="inlineStr">
        <is>
          <t>김수연</t>
        </is>
      </c>
      <c r="Q881" t="inlineStr">
        <is>
          <t>홈서비스 36개월</t>
        </is>
      </c>
      <c r="AB881" t="inlineStr">
        <is>
          <t>홈서비스</t>
        </is>
      </c>
      <c r="AC881" t="n">
        <v>137280</v>
      </c>
      <c r="AD881" t="n">
        <v>10140</v>
      </c>
      <c r="AE881" t="n">
        <v>127140</v>
      </c>
      <c r="AF881" t="n">
        <v>124800</v>
      </c>
      <c r="AG881" t="n">
        <v>10140</v>
      </c>
      <c r="AH881" t="n">
        <v>114660</v>
      </c>
      <c r="AI881" t="n">
        <v>1</v>
      </c>
    </row>
    <row r="882">
      <c r="A882" t="inlineStr">
        <is>
          <t>1월</t>
        </is>
      </c>
      <c r="B882" t="inlineStr">
        <is>
          <t>5주차</t>
        </is>
      </c>
      <c r="C882" t="inlineStr">
        <is>
          <t>OR</t>
        </is>
      </c>
      <c r="D882" s="28" t="n">
        <v>46049</v>
      </c>
      <c r="E882" t="inlineStr">
        <is>
          <t>오릭스</t>
        </is>
      </c>
      <c r="F882" t="inlineStr">
        <is>
          <t>이혁진</t>
        </is>
      </c>
      <c r="G882" t="inlineStr">
        <is>
          <t>010-5480-2013</t>
        </is>
      </c>
      <c r="H882" t="inlineStr">
        <is>
          <t>48마5981</t>
        </is>
      </c>
      <c r="I882" t="n">
        <v>10000000</v>
      </c>
      <c r="J882" t="n">
        <v>0.07199999999999999</v>
      </c>
      <c r="K882" t="n">
        <v>1.21</v>
      </c>
      <c r="L882" t="n">
        <v>0.4</v>
      </c>
      <c r="M882" t="n">
        <v>0.8100000000000001</v>
      </c>
      <c r="P882" t="inlineStr">
        <is>
          <t>장현경</t>
        </is>
      </c>
      <c r="Q882" t="inlineStr">
        <is>
          <t>사유 : 부대비용 추가진행</t>
        </is>
      </c>
      <c r="AB882" t="inlineStr">
        <is>
          <t>엔카</t>
        </is>
      </c>
      <c r="AC882" t="n">
        <v>121000</v>
      </c>
      <c r="AD882" t="n">
        <v>40000</v>
      </c>
      <c r="AE882" t="n">
        <v>81000</v>
      </c>
      <c r="AF882" t="n">
        <v>110000</v>
      </c>
      <c r="AG882" t="n">
        <v>40000</v>
      </c>
      <c r="AH882" t="n">
        <v>70000</v>
      </c>
      <c r="AI882" t="n">
        <v>1</v>
      </c>
    </row>
    <row r="883">
      <c r="A883" t="inlineStr">
        <is>
          <t>1월</t>
        </is>
      </c>
      <c r="B883" t="inlineStr">
        <is>
          <t>5주차</t>
        </is>
      </c>
      <c r="C883" t="inlineStr">
        <is>
          <t>EP</t>
        </is>
      </c>
      <c r="D883" s="28" t="n">
        <v>46051</v>
      </c>
      <c r="E883" t="inlineStr">
        <is>
          <t>현대EP</t>
        </is>
      </c>
      <c r="F883" t="inlineStr">
        <is>
          <t>류혜미</t>
        </is>
      </c>
      <c r="G883" t="inlineStr">
        <is>
          <t>010-8200-0447</t>
        </is>
      </c>
      <c r="H883" t="inlineStr">
        <is>
          <t>33노4778</t>
        </is>
      </c>
      <c r="I883" t="n">
        <v>16300000</v>
      </c>
      <c r="J883" t="n">
        <v>0.08699999999999999</v>
      </c>
      <c r="K883" t="n">
        <v>1.76</v>
      </c>
      <c r="L883" t="n">
        <v>0.13</v>
      </c>
      <c r="M883" t="n">
        <v>1.63</v>
      </c>
      <c r="P883" t="inlineStr">
        <is>
          <t>최형주</t>
        </is>
      </c>
      <c r="AB883" t="inlineStr">
        <is>
          <t>홈서비스</t>
        </is>
      </c>
      <c r="AC883" t="n">
        <v>286880</v>
      </c>
      <c r="AD883" t="n">
        <v>21190</v>
      </c>
      <c r="AE883" t="n">
        <v>265690</v>
      </c>
      <c r="AF883" t="n">
        <v>260800</v>
      </c>
      <c r="AG883" t="n">
        <v>21190</v>
      </c>
      <c r="AH883" t="n">
        <v>239610</v>
      </c>
      <c r="AI883" t="n">
        <v>0</v>
      </c>
    </row>
    <row r="884">
      <c r="A884" t="inlineStr">
        <is>
          <t>1월</t>
        </is>
      </c>
      <c r="B884" t="inlineStr">
        <is>
          <t>5주차</t>
        </is>
      </c>
      <c r="C884" t="inlineStr">
        <is>
          <t>EP</t>
        </is>
      </c>
      <c r="D884" s="28" t="n">
        <v>46051</v>
      </c>
      <c r="E884" t="inlineStr">
        <is>
          <t>현대EP_fast</t>
        </is>
      </c>
      <c r="F884" t="inlineStr">
        <is>
          <t>이중행</t>
        </is>
      </c>
      <c r="G884" t="inlineStr">
        <is>
          <t>010-2153-7847</t>
        </is>
      </c>
      <c r="H884" t="inlineStr">
        <is>
          <t>68로9576</t>
        </is>
      </c>
      <c r="I884" t="n">
        <v>4800000</v>
      </c>
      <c r="J884" t="n">
        <v>0.083</v>
      </c>
      <c r="K884" t="n">
        <v>1.76</v>
      </c>
      <c r="L884" t="n">
        <v>0.13</v>
      </c>
      <c r="M884" t="n">
        <v>1.63</v>
      </c>
      <c r="P884" t="inlineStr">
        <is>
          <t>김수연</t>
        </is>
      </c>
      <c r="Q884" t="inlineStr">
        <is>
          <t>홈서비스 24개월</t>
        </is>
      </c>
      <c r="AB884" t="inlineStr">
        <is>
          <t>홈서비스</t>
        </is>
      </c>
      <c r="AC884" t="n">
        <v>84480</v>
      </c>
      <c r="AD884" t="n">
        <v>6240</v>
      </c>
      <c r="AE884" t="n">
        <v>78240</v>
      </c>
      <c r="AF884" t="n">
        <v>76800</v>
      </c>
      <c r="AG884" t="n">
        <v>6240</v>
      </c>
      <c r="AH884" t="n">
        <v>70560</v>
      </c>
      <c r="AI884" t="n">
        <v>0</v>
      </c>
    </row>
    <row r="885">
      <c r="A885" t="inlineStr">
        <is>
          <t>1월</t>
        </is>
      </c>
      <c r="B885" t="inlineStr">
        <is>
          <t>5주차</t>
        </is>
      </c>
      <c r="C885" t="inlineStr">
        <is>
          <t>OR</t>
        </is>
      </c>
      <c r="D885" s="28" t="n">
        <v>46051</v>
      </c>
      <c r="E885" t="inlineStr">
        <is>
          <t>오릭스</t>
        </is>
      </c>
      <c r="F885" t="inlineStr">
        <is>
          <t>전선우</t>
        </is>
      </c>
      <c r="G885" t="inlineStr">
        <is>
          <t>010-3090-8690</t>
        </is>
      </c>
      <c r="H885" t="inlineStr">
        <is>
          <t>85루4229</t>
        </is>
      </c>
      <c r="I885" t="n">
        <v>18000000</v>
      </c>
      <c r="J885" t="n">
        <v>0.067</v>
      </c>
      <c r="K885" t="n">
        <v>1.65</v>
      </c>
      <c r="L885" t="n">
        <v>0.4</v>
      </c>
      <c r="M885" t="n">
        <v>1.25</v>
      </c>
      <c r="P885" t="inlineStr">
        <is>
          <t>구성완</t>
        </is>
      </c>
      <c r="Q885" t="inlineStr">
        <is>
          <t>사유: 금리불만</t>
        </is>
      </c>
      <c r="AB885" t="inlineStr">
        <is>
          <t>엔카</t>
        </is>
      </c>
      <c r="AC885" t="n">
        <v>297000</v>
      </c>
      <c r="AD885" t="n">
        <v>72000</v>
      </c>
      <c r="AE885" t="n">
        <v>225000</v>
      </c>
      <c r="AF885" t="n">
        <v>270000</v>
      </c>
      <c r="AG885" t="n">
        <v>72000</v>
      </c>
      <c r="AH885" t="n">
        <v>198000</v>
      </c>
      <c r="AI885" t="n">
        <v>0</v>
      </c>
    </row>
    <row r="886">
      <c r="A886" t="inlineStr">
        <is>
          <t>1월</t>
        </is>
      </c>
      <c r="B886" t="inlineStr">
        <is>
          <t>5주차</t>
        </is>
      </c>
      <c r="C886" t="inlineStr">
        <is>
          <t>EP</t>
        </is>
      </c>
      <c r="D886" s="28" t="n">
        <v>46049</v>
      </c>
      <c r="E886" t="inlineStr">
        <is>
          <t>현대EP_fast</t>
        </is>
      </c>
      <c r="F886" t="inlineStr">
        <is>
          <t>신세영</t>
        </is>
      </c>
      <c r="G886" t="inlineStr">
        <is>
          <t>010-5348-7256</t>
        </is>
      </c>
      <c r="H886" t="inlineStr">
        <is>
          <t>54누5808</t>
        </is>
      </c>
      <c r="I886" t="n">
        <v>20900000</v>
      </c>
      <c r="J886" t="n">
        <v>0.093</v>
      </c>
      <c r="K886" t="n">
        <v>1.21</v>
      </c>
      <c r="L886" t="n">
        <v>0.13</v>
      </c>
      <c r="M886" t="n">
        <v>1.08</v>
      </c>
      <c r="P886" t="inlineStr">
        <is>
          <t>최혁</t>
        </is>
      </c>
      <c r="Q886" t="inlineStr">
        <is>
          <t>홈서비스60개월</t>
        </is>
      </c>
      <c r="AB886" t="inlineStr">
        <is>
          <t>홈서비스</t>
        </is>
      </c>
      <c r="AC886" t="n">
        <v>252890</v>
      </c>
      <c r="AD886" t="n">
        <v>27170</v>
      </c>
      <c r="AE886" t="n">
        <v>225720</v>
      </c>
      <c r="AF886" t="n">
        <v>229900</v>
      </c>
      <c r="AG886" t="n">
        <v>27170</v>
      </c>
      <c r="AH886" t="n">
        <v>202730</v>
      </c>
      <c r="AI886" t="n">
        <v>0</v>
      </c>
    </row>
    <row r="887">
      <c r="A887" t="inlineStr">
        <is>
          <t>1월</t>
        </is>
      </c>
      <c r="B887" t="inlineStr">
        <is>
          <t>5주차</t>
        </is>
      </c>
      <c r="C887" t="inlineStr">
        <is>
          <t>EP</t>
        </is>
      </c>
      <c r="D887" s="28" t="n">
        <v>46051</v>
      </c>
      <c r="E887" t="inlineStr">
        <is>
          <t>현대EP</t>
        </is>
      </c>
      <c r="F887" t="inlineStr">
        <is>
          <t>방현실</t>
        </is>
      </c>
      <c r="G887" t="inlineStr">
        <is>
          <t>010-6396-2922</t>
        </is>
      </c>
      <c r="H887" t="inlineStr">
        <is>
          <t>243나2104</t>
        </is>
      </c>
      <c r="I887" t="n">
        <v>13000000</v>
      </c>
      <c r="J887" t="n">
        <v>0.057</v>
      </c>
      <c r="K887" t="n">
        <v>1.76</v>
      </c>
      <c r="L887" t="n">
        <v>0.13</v>
      </c>
      <c r="M887" t="n">
        <v>1.63</v>
      </c>
      <c r="P887" t="inlineStr">
        <is>
          <t>김수연</t>
        </is>
      </c>
      <c r="AB887" t="inlineStr">
        <is>
          <t>홈서비스</t>
        </is>
      </c>
      <c r="AC887" t="n">
        <v>228800</v>
      </c>
      <c r="AD887" t="n">
        <v>16900</v>
      </c>
      <c r="AE887" t="n">
        <v>211900</v>
      </c>
      <c r="AF887" t="n">
        <v>208000</v>
      </c>
      <c r="AG887" t="n">
        <v>16900</v>
      </c>
      <c r="AH887" t="n">
        <v>191100</v>
      </c>
      <c r="AI887" t="n">
        <v>0</v>
      </c>
    </row>
    <row r="888">
      <c r="A888" t="inlineStr">
        <is>
          <t>1월</t>
        </is>
      </c>
      <c r="B888" t="inlineStr">
        <is>
          <t>5주차</t>
        </is>
      </c>
      <c r="C888" t="inlineStr">
        <is>
          <t>EP</t>
        </is>
      </c>
      <c r="D888" s="28" t="n">
        <v>46051</v>
      </c>
      <c r="E888" t="inlineStr">
        <is>
          <t>현대EP_fast</t>
        </is>
      </c>
      <c r="F888" t="inlineStr">
        <is>
          <t>김대용</t>
        </is>
      </c>
      <c r="G888" t="inlineStr">
        <is>
          <t>010-2709-9614</t>
        </is>
      </c>
      <c r="H888" t="inlineStr">
        <is>
          <t>37우3054</t>
        </is>
      </c>
      <c r="I888" t="n">
        <v>22900000</v>
      </c>
      <c r="J888" t="n">
        <v>0.082</v>
      </c>
      <c r="K888" t="n">
        <v>1.76</v>
      </c>
      <c r="L888" t="n">
        <v>0.13</v>
      </c>
      <c r="M888" t="n">
        <v>1.63</v>
      </c>
      <c r="P888" t="inlineStr">
        <is>
          <t>장진경</t>
        </is>
      </c>
      <c r="Q888" t="inlineStr">
        <is>
          <t>선상담 / 홈서비스 60개월</t>
        </is>
      </c>
      <c r="AB888" t="inlineStr">
        <is>
          <t>홈서비스</t>
        </is>
      </c>
      <c r="AC888" t="n">
        <v>403040</v>
      </c>
      <c r="AD888" t="n">
        <v>29770</v>
      </c>
      <c r="AE888" t="n">
        <v>373270</v>
      </c>
      <c r="AF888" t="n">
        <v>366400</v>
      </c>
      <c r="AG888" t="n">
        <v>29770</v>
      </c>
      <c r="AH888" t="n">
        <v>336630</v>
      </c>
      <c r="AI888" t="n">
        <v>0</v>
      </c>
    </row>
    <row r="889">
      <c r="A889" t="inlineStr">
        <is>
          <t>1월</t>
        </is>
      </c>
      <c r="B889" t="inlineStr">
        <is>
          <t>5주차</t>
        </is>
      </c>
      <c r="C889" t="inlineStr">
        <is>
          <t>EP</t>
        </is>
      </c>
      <c r="D889" s="28" t="n">
        <v>46052</v>
      </c>
      <c r="E889" t="inlineStr">
        <is>
          <t>현대EP_fast</t>
        </is>
      </c>
      <c r="F889" t="inlineStr">
        <is>
          <t>이국연</t>
        </is>
      </c>
      <c r="G889" t="inlineStr">
        <is>
          <t>010-3026-3496</t>
        </is>
      </c>
      <c r="H889" t="inlineStr">
        <is>
          <t>27모9199</t>
        </is>
      </c>
      <c r="I889" t="n">
        <v>8200000</v>
      </c>
      <c r="J889" t="n">
        <v>0.136</v>
      </c>
      <c r="K889" t="n">
        <v>1.76</v>
      </c>
      <c r="L889" t="n">
        <v>0.13</v>
      </c>
      <c r="M889" t="n">
        <v>1.63</v>
      </c>
      <c r="P889" t="inlineStr">
        <is>
          <t>황채이</t>
        </is>
      </c>
      <c r="Q889" t="inlineStr">
        <is>
          <t>홈서비스 48개월 / 금리인하 0.5% 적용건 (14.1 -&gt; 13.6)</t>
        </is>
      </c>
      <c r="AB889" t="inlineStr">
        <is>
          <t>홈서비스</t>
        </is>
      </c>
      <c r="AC889" t="n">
        <v>144320</v>
      </c>
      <c r="AD889" t="n">
        <v>10660</v>
      </c>
      <c r="AE889" t="n">
        <v>133660</v>
      </c>
      <c r="AF889" t="n">
        <v>131200</v>
      </c>
      <c r="AG889" t="n">
        <v>10660</v>
      </c>
      <c r="AH889" t="n">
        <v>120540</v>
      </c>
    </row>
    <row r="890">
      <c r="A890" t="inlineStr">
        <is>
          <t>1월</t>
        </is>
      </c>
      <c r="B890" t="inlineStr">
        <is>
          <t>5주차</t>
        </is>
      </c>
      <c r="C890" t="inlineStr">
        <is>
          <t>EP</t>
        </is>
      </c>
      <c r="D890" s="28" t="n">
        <v>46051</v>
      </c>
      <c r="E890" t="inlineStr">
        <is>
          <t>현대EP</t>
        </is>
      </c>
      <c r="F890" t="inlineStr">
        <is>
          <t>장수진</t>
        </is>
      </c>
      <c r="G890" t="inlineStr">
        <is>
          <t>010-9850-4432</t>
        </is>
      </c>
      <c r="H890" t="inlineStr">
        <is>
          <t>175나1409</t>
        </is>
      </c>
      <c r="I890" t="n">
        <v>33900000</v>
      </c>
      <c r="J890" t="n">
        <v>0.067</v>
      </c>
      <c r="K890" t="n">
        <v>1.76</v>
      </c>
      <c r="L890" t="n">
        <v>0.13</v>
      </c>
      <c r="M890" t="n">
        <v>1.63</v>
      </c>
      <c r="P890" t="inlineStr">
        <is>
          <t>최형주</t>
        </is>
      </c>
      <c r="AB890" t="inlineStr">
        <is>
          <t>홈서비스</t>
        </is>
      </c>
      <c r="AC890" t="n">
        <v>596640</v>
      </c>
      <c r="AD890" t="n">
        <v>44070</v>
      </c>
      <c r="AE890" t="n">
        <v>552570</v>
      </c>
      <c r="AF890" t="n">
        <v>542400</v>
      </c>
      <c r="AG890" t="n">
        <v>44070</v>
      </c>
      <c r="AH890" t="n">
        <v>498330</v>
      </c>
      <c r="AI890" t="n">
        <v>0</v>
      </c>
    </row>
    <row r="891">
      <c r="A891" t="inlineStr">
        <is>
          <t>1월</t>
        </is>
      </c>
      <c r="B891" t="inlineStr">
        <is>
          <t>5주차</t>
        </is>
      </c>
      <c r="C891" t="inlineStr">
        <is>
          <t>EP</t>
        </is>
      </c>
      <c r="D891" s="28" t="n">
        <v>46050</v>
      </c>
      <c r="E891" t="inlineStr">
        <is>
          <t>현대EP_fast</t>
        </is>
      </c>
      <c r="F891" t="inlineStr">
        <is>
          <t>김서윤</t>
        </is>
      </c>
      <c r="G891" t="inlineStr">
        <is>
          <t>010-9962-8871</t>
        </is>
      </c>
      <c r="H891" t="inlineStr">
        <is>
          <t>132주9212</t>
        </is>
      </c>
      <c r="I891" t="n">
        <v>26900000</v>
      </c>
      <c r="J891" t="n">
        <v>0.073</v>
      </c>
      <c r="K891" t="n">
        <v>1.76</v>
      </c>
      <c r="L891" t="n">
        <v>0.13</v>
      </c>
      <c r="M891" t="n">
        <v>1.63</v>
      </c>
      <c r="P891" t="inlineStr">
        <is>
          <t>박현민</t>
        </is>
      </c>
      <c r="Q891" t="inlineStr">
        <is>
          <t>홈서비스 60개월</t>
        </is>
      </c>
      <c r="AB891" t="inlineStr">
        <is>
          <t>홈서비스</t>
        </is>
      </c>
      <c r="AC891" t="n">
        <v>473440</v>
      </c>
      <c r="AD891" t="n">
        <v>34970</v>
      </c>
      <c r="AE891" t="n">
        <v>438470</v>
      </c>
      <c r="AF891" t="n">
        <v>430400</v>
      </c>
      <c r="AG891" t="n">
        <v>34970</v>
      </c>
      <c r="AH891" t="n">
        <v>395430</v>
      </c>
      <c r="AI891" t="n">
        <v>0</v>
      </c>
    </row>
    <row r="892">
      <c r="A892" t="inlineStr">
        <is>
          <t>4월</t>
        </is>
      </c>
      <c r="B892" t="inlineStr">
        <is>
          <t>16주차</t>
        </is>
      </c>
      <c r="C892" t="inlineStr">
        <is>
          <t>IM</t>
        </is>
      </c>
      <c r="D892" s="28" t="n">
        <v>46127</v>
      </c>
      <c r="E892" t="inlineStr">
        <is>
          <t>IM캐피탈</t>
        </is>
      </c>
      <c r="F892" t="inlineStr">
        <is>
          <t>김종구</t>
        </is>
      </c>
      <c r="G892" t="inlineStr">
        <is>
          <t>010-4606-0608</t>
        </is>
      </c>
      <c r="H892" t="inlineStr">
        <is>
          <t>139조9529</t>
        </is>
      </c>
      <c r="I892" t="n">
        <v>-10000000</v>
      </c>
      <c r="J892" t="n">
        <v>0.039</v>
      </c>
      <c r="K892" t="n">
        <v>1.1</v>
      </c>
      <c r="L892" t="n">
        <v>0.07000000000000001</v>
      </c>
      <c r="M892" t="n">
        <v>1.03</v>
      </c>
      <c r="P892" t="inlineStr">
        <is>
          <t>최형주</t>
        </is>
      </c>
      <c r="Q892" t="inlineStr">
        <is>
          <t>홈서비스 48개월 / 현대 6.2</t>
        </is>
      </c>
      <c r="AB892" t="inlineStr">
        <is>
          <t>홈서비스</t>
        </is>
      </c>
      <c r="AC892" t="n">
        <v>-110000</v>
      </c>
      <c r="AD892" t="n">
        <v>-7000</v>
      </c>
      <c r="AE892" t="n">
        <v>-103000</v>
      </c>
      <c r="AF892" t="n">
        <v>-100000</v>
      </c>
      <c r="AG892" t="n">
        <v>-7000</v>
      </c>
      <c r="AH892" t="n">
        <v>-93000</v>
      </c>
      <c r="AI892" t="n">
        <v>0</v>
      </c>
    </row>
    <row r="893">
      <c r="A893" t="inlineStr">
        <is>
          <t>1월</t>
        </is>
      </c>
      <c r="B893" t="inlineStr">
        <is>
          <t>5주차</t>
        </is>
      </c>
      <c r="C893" t="inlineStr">
        <is>
          <t>EP</t>
        </is>
      </c>
      <c r="D893" s="28" t="n">
        <v>46051</v>
      </c>
      <c r="E893" t="inlineStr">
        <is>
          <t>제이비EP</t>
        </is>
      </c>
      <c r="F893" t="inlineStr">
        <is>
          <t>안길함</t>
        </is>
      </c>
      <c r="G893" t="inlineStr">
        <is>
          <t>010-7325-0410</t>
        </is>
      </c>
      <c r="H893" t="inlineStr">
        <is>
          <t>24더6194</t>
        </is>
      </c>
      <c r="I893" t="n">
        <v>11600000</v>
      </c>
      <c r="J893" t="n">
        <v>0.094</v>
      </c>
      <c r="K893" t="n">
        <v>1.65</v>
      </c>
      <c r="L893" t="n">
        <v>0.4</v>
      </c>
      <c r="M893" t="n">
        <v>1.25</v>
      </c>
      <c r="P893" t="inlineStr">
        <is>
          <t>장진경</t>
        </is>
      </c>
      <c r="Q893" t="inlineStr">
        <is>
          <t>사유 : 부대비용 추가진행</t>
        </is>
      </c>
      <c r="AB893" t="inlineStr">
        <is>
          <t>엔카</t>
        </is>
      </c>
      <c r="AC893" t="n">
        <v>191400</v>
      </c>
      <c r="AD893" t="n">
        <v>46400</v>
      </c>
      <c r="AE893" t="n">
        <v>145000</v>
      </c>
      <c r="AF893" t="n">
        <v>174000</v>
      </c>
      <c r="AG893" t="n">
        <v>46400</v>
      </c>
      <c r="AH893" t="n">
        <v>127600</v>
      </c>
      <c r="AI893" t="n">
        <v>0</v>
      </c>
    </row>
    <row r="894">
      <c r="A894" t="inlineStr">
        <is>
          <t>1월</t>
        </is>
      </c>
      <c r="B894" t="inlineStr">
        <is>
          <t>5주차</t>
        </is>
      </c>
      <c r="C894" t="inlineStr">
        <is>
          <t>OR</t>
        </is>
      </c>
      <c r="D894" s="28" t="n">
        <v>46051</v>
      </c>
      <c r="E894" t="inlineStr">
        <is>
          <t>오릭스</t>
        </is>
      </c>
      <c r="F894" t="inlineStr">
        <is>
          <t>김창욱</t>
        </is>
      </c>
      <c r="G894" t="inlineStr">
        <is>
          <t>010-3000-2384</t>
        </is>
      </c>
      <c r="H894" t="inlineStr">
        <is>
          <t>53노1061</t>
        </is>
      </c>
      <c r="I894" t="n">
        <v>6800000</v>
      </c>
      <c r="J894" t="n">
        <v>0.057</v>
      </c>
      <c r="K894" t="n">
        <v>1.65</v>
      </c>
      <c r="L894" t="n">
        <v>0.13</v>
      </c>
      <c r="M894" t="n">
        <v>1.52</v>
      </c>
      <c r="P894" t="inlineStr">
        <is>
          <t>정세빈</t>
        </is>
      </c>
      <c r="AB894" t="inlineStr">
        <is>
          <t>홈서비스</t>
        </is>
      </c>
      <c r="AC894" t="n">
        <v>112200</v>
      </c>
      <c r="AD894" t="n">
        <v>8840</v>
      </c>
      <c r="AE894" t="n">
        <v>103360</v>
      </c>
      <c r="AF894" t="n">
        <v>102000</v>
      </c>
      <c r="AG894" t="n">
        <v>8840</v>
      </c>
      <c r="AH894" t="n">
        <v>93160</v>
      </c>
      <c r="AI894" t="n">
        <v>0</v>
      </c>
    </row>
    <row r="895">
      <c r="A895" t="inlineStr">
        <is>
          <t>1월</t>
        </is>
      </c>
      <c r="B895" t="inlineStr">
        <is>
          <t>5주차</t>
        </is>
      </c>
      <c r="C895" t="inlineStr">
        <is>
          <t>IM</t>
        </is>
      </c>
      <c r="D895" s="28" t="n">
        <v>46050</v>
      </c>
      <c r="E895" t="inlineStr">
        <is>
          <t>IM캐피탈</t>
        </is>
      </c>
      <c r="F895" t="inlineStr">
        <is>
          <t>지종현</t>
        </is>
      </c>
      <c r="G895" t="inlineStr">
        <is>
          <t>010-2207-3044</t>
        </is>
      </c>
      <c r="H895" t="inlineStr">
        <is>
          <t>02오6319</t>
        </is>
      </c>
      <c r="I895" t="n">
        <v>38200000</v>
      </c>
      <c r="J895" t="n">
        <v>0.064</v>
      </c>
      <c r="K895" t="n">
        <v>0.55</v>
      </c>
      <c r="L895" t="n">
        <v>0.4</v>
      </c>
      <c r="M895" t="n">
        <v>0.15</v>
      </c>
      <c r="P895" t="inlineStr">
        <is>
          <t>장현경</t>
        </is>
      </c>
      <c r="Q895" t="inlineStr">
        <is>
          <t>사유:기승인건, im만원함</t>
        </is>
      </c>
      <c r="AB895" t="inlineStr">
        <is>
          <t>엔카</t>
        </is>
      </c>
      <c r="AC895" t="n">
        <v>210100</v>
      </c>
      <c r="AD895" t="n">
        <v>152800</v>
      </c>
      <c r="AE895" t="n">
        <v>57300</v>
      </c>
      <c r="AF895" t="n">
        <v>191000</v>
      </c>
      <c r="AG895" t="n">
        <v>152800</v>
      </c>
      <c r="AH895" t="n">
        <v>38200</v>
      </c>
      <c r="AI895" t="n">
        <v>0</v>
      </c>
    </row>
    <row r="896">
      <c r="A896" t="inlineStr">
        <is>
          <t>1월</t>
        </is>
      </c>
      <c r="B896" t="inlineStr">
        <is>
          <t>5주차</t>
        </is>
      </c>
      <c r="C896" t="inlineStr">
        <is>
          <t>OR</t>
        </is>
      </c>
      <c r="D896" s="28" t="n">
        <v>46051</v>
      </c>
      <c r="E896" t="inlineStr">
        <is>
          <t>오릭스</t>
        </is>
      </c>
      <c r="F896" t="inlineStr">
        <is>
          <t>이남종</t>
        </is>
      </c>
      <c r="G896" t="n">
        <v>1076894110</v>
      </c>
      <c r="H896" t="inlineStr">
        <is>
          <t>308무4613</t>
        </is>
      </c>
      <c r="I896" t="n">
        <v>16800000</v>
      </c>
      <c r="J896" t="n">
        <v>0.055</v>
      </c>
      <c r="K896" t="n">
        <v>1.65</v>
      </c>
      <c r="L896" t="n">
        <v>0.13</v>
      </c>
      <c r="M896" t="n">
        <v>1.52</v>
      </c>
      <c r="P896" t="inlineStr">
        <is>
          <t>김나윤</t>
        </is>
      </c>
      <c r="Q896" t="inlineStr">
        <is>
          <t>사유: 금리불만 / 현대 7.3% / 홈서비스 60개월</t>
        </is>
      </c>
      <c r="AB896" t="inlineStr">
        <is>
          <t>홈서비스</t>
        </is>
      </c>
      <c r="AC896" t="n">
        <v>277200</v>
      </c>
      <c r="AD896" t="n">
        <v>21840</v>
      </c>
      <c r="AE896" t="n">
        <v>255360</v>
      </c>
      <c r="AF896" t="n">
        <v>252000</v>
      </c>
      <c r="AG896" t="n">
        <v>21840</v>
      </c>
      <c r="AH896" t="n">
        <v>230160</v>
      </c>
    </row>
    <row r="897">
      <c r="A897" t="inlineStr">
        <is>
          <t>1월</t>
        </is>
      </c>
      <c r="B897" t="inlineStr">
        <is>
          <t>5주차</t>
        </is>
      </c>
      <c r="C897" t="inlineStr">
        <is>
          <t>IM</t>
        </is>
      </c>
      <c r="D897" s="28" t="n">
        <v>46052</v>
      </c>
      <c r="E897" t="inlineStr">
        <is>
          <t>IM캐피탈</t>
        </is>
      </c>
      <c r="F897" t="inlineStr">
        <is>
          <t>강석민</t>
        </is>
      </c>
      <c r="G897" t="inlineStr">
        <is>
          <t>010-4941-8606</t>
        </is>
      </c>
      <c r="H897" t="inlineStr">
        <is>
          <t>17부5697</t>
        </is>
      </c>
      <c r="I897" t="n">
        <v>16000000</v>
      </c>
      <c r="J897" t="n">
        <v>0.049</v>
      </c>
      <c r="K897" t="n">
        <v>1.1</v>
      </c>
      <c r="L897" t="n">
        <v>0.13</v>
      </c>
      <c r="M897" t="n">
        <v>0.97</v>
      </c>
      <c r="P897" t="inlineStr">
        <is>
          <t>김수연</t>
        </is>
      </c>
      <c r="Q897" t="inlineStr">
        <is>
          <t>홈서비스 60개월/금리불만 현대6.7%</t>
        </is>
      </c>
      <c r="AB897" t="inlineStr">
        <is>
          <t>홈서비스</t>
        </is>
      </c>
      <c r="AC897" t="n">
        <v>176000</v>
      </c>
      <c r="AD897" t="n">
        <v>20800</v>
      </c>
      <c r="AE897" t="n">
        <v>155200</v>
      </c>
      <c r="AF897" t="n">
        <v>160000</v>
      </c>
      <c r="AG897" t="n">
        <v>20800</v>
      </c>
      <c r="AH897" t="n">
        <v>139200</v>
      </c>
    </row>
    <row r="898">
      <c r="A898" t="inlineStr">
        <is>
          <t>1월</t>
        </is>
      </c>
      <c r="B898" t="inlineStr">
        <is>
          <t>5주차</t>
        </is>
      </c>
      <c r="C898" t="inlineStr">
        <is>
          <t>OR</t>
        </is>
      </c>
      <c r="D898" s="28" t="n">
        <v>46051</v>
      </c>
      <c r="E898" t="inlineStr">
        <is>
          <t>오릭스</t>
        </is>
      </c>
      <c r="F898" t="inlineStr">
        <is>
          <t>김창욱</t>
        </is>
      </c>
      <c r="G898" t="inlineStr">
        <is>
          <t>010-3000-2384</t>
        </is>
      </c>
      <c r="H898" t="inlineStr">
        <is>
          <t>53노1061</t>
        </is>
      </c>
      <c r="I898" t="n">
        <v>6800000</v>
      </c>
      <c r="J898" t="n">
        <v>0.057</v>
      </c>
      <c r="K898" t="n">
        <v>1.65</v>
      </c>
      <c r="L898" t="n">
        <v>0.13</v>
      </c>
      <c r="M898" t="n">
        <v>1.52</v>
      </c>
      <c r="P898" t="inlineStr">
        <is>
          <t>정세빈</t>
        </is>
      </c>
      <c r="AB898" t="inlineStr">
        <is>
          <t>홈서비스</t>
        </is>
      </c>
      <c r="AC898" t="n">
        <v>112200</v>
      </c>
      <c r="AD898" t="n">
        <v>8840</v>
      </c>
      <c r="AE898" t="n">
        <v>103360</v>
      </c>
      <c r="AF898" t="n">
        <v>102000</v>
      </c>
      <c r="AG898" t="n">
        <v>8840</v>
      </c>
      <c r="AH898" t="n">
        <v>93160</v>
      </c>
      <c r="AI898" t="n">
        <v>0</v>
      </c>
    </row>
    <row r="899">
      <c r="A899" t="inlineStr">
        <is>
          <t>1월</t>
        </is>
      </c>
      <c r="B899" t="inlineStr">
        <is>
          <t>5주차</t>
        </is>
      </c>
      <c r="C899" t="inlineStr">
        <is>
          <t>EP</t>
        </is>
      </c>
      <c r="D899" s="28" t="n">
        <v>46050</v>
      </c>
      <c r="E899" t="inlineStr">
        <is>
          <t>현대EP_fast</t>
        </is>
      </c>
      <c r="F899" t="inlineStr">
        <is>
          <t>김동연</t>
        </is>
      </c>
      <c r="G899" t="inlineStr">
        <is>
          <t>010-9798-5897</t>
        </is>
      </c>
      <c r="H899" t="inlineStr">
        <is>
          <t>378노5927</t>
        </is>
      </c>
      <c r="I899" t="n">
        <v>13000000</v>
      </c>
      <c r="J899" t="n">
        <v>0.132</v>
      </c>
      <c r="K899" t="n">
        <v>1.76</v>
      </c>
      <c r="L899" t="n">
        <v>0.4</v>
      </c>
      <c r="M899" t="n">
        <v>1.36</v>
      </c>
      <c r="P899" t="inlineStr">
        <is>
          <t>박보람</t>
        </is>
      </c>
      <c r="Q899" t="inlineStr">
        <is>
          <t>금리인하 0.5% 적용건 (13.7-&gt;13.2)</t>
        </is>
      </c>
      <c r="AB899" t="inlineStr">
        <is>
          <t>엔카</t>
        </is>
      </c>
      <c r="AC899" t="n">
        <v>228800</v>
      </c>
      <c r="AD899" t="n">
        <v>52000</v>
      </c>
      <c r="AE899" t="n">
        <v>176800</v>
      </c>
      <c r="AF899" t="n">
        <v>208000</v>
      </c>
      <c r="AG899" t="n">
        <v>52000</v>
      </c>
      <c r="AH899" t="n">
        <v>156000</v>
      </c>
    </row>
    <row r="900">
      <c r="A900" t="inlineStr">
        <is>
          <t>1월</t>
        </is>
      </c>
      <c r="B900" t="inlineStr">
        <is>
          <t>5주차</t>
        </is>
      </c>
      <c r="C900" t="inlineStr">
        <is>
          <t>EP</t>
        </is>
      </c>
      <c r="D900" s="28" t="n">
        <v>46052</v>
      </c>
      <c r="E900" t="inlineStr">
        <is>
          <t>현대EP_fast</t>
        </is>
      </c>
      <c r="F900" t="inlineStr">
        <is>
          <t>임종훈</t>
        </is>
      </c>
      <c r="G900" t="inlineStr">
        <is>
          <t>010-6610-3727</t>
        </is>
      </c>
      <c r="H900" t="inlineStr">
        <is>
          <t>117더3551</t>
        </is>
      </c>
      <c r="I900" t="n">
        <v>8300000</v>
      </c>
      <c r="J900" t="n">
        <v>0.08699999999999999</v>
      </c>
      <c r="K900" t="n">
        <v>1.76</v>
      </c>
      <c r="L900" t="n">
        <v>0.13</v>
      </c>
      <c r="M900" t="n">
        <v>1.63</v>
      </c>
      <c r="P900" t="inlineStr">
        <is>
          <t>최형주</t>
        </is>
      </c>
      <c r="Q900" t="inlineStr">
        <is>
          <t>홈서비스 60개월</t>
        </is>
      </c>
      <c r="AB900" t="inlineStr">
        <is>
          <t>홈서비스</t>
        </is>
      </c>
      <c r="AC900" t="n">
        <v>146080</v>
      </c>
      <c r="AD900" t="n">
        <v>10790</v>
      </c>
      <c r="AE900" t="n">
        <v>135290</v>
      </c>
      <c r="AF900" t="n">
        <v>132800</v>
      </c>
      <c r="AG900" t="n">
        <v>10790</v>
      </c>
      <c r="AH900" t="n">
        <v>122010</v>
      </c>
      <c r="AI900" t="n">
        <v>0</v>
      </c>
    </row>
    <row r="901">
      <c r="A901" t="inlineStr">
        <is>
          <t>1월</t>
        </is>
      </c>
      <c r="B901" t="inlineStr">
        <is>
          <t>5주차</t>
        </is>
      </c>
      <c r="C901" t="inlineStr">
        <is>
          <t>EP</t>
        </is>
      </c>
      <c r="D901" s="28" t="n">
        <v>46050</v>
      </c>
      <c r="E901" t="inlineStr">
        <is>
          <t>현대EP</t>
        </is>
      </c>
      <c r="F901" t="inlineStr">
        <is>
          <t>김한규</t>
        </is>
      </c>
      <c r="G901" t="inlineStr">
        <is>
          <t>010-4802-5147</t>
        </is>
      </c>
      <c r="H901" t="inlineStr">
        <is>
          <t>338모2215</t>
        </is>
      </c>
      <c r="I901" t="n">
        <v>41900000</v>
      </c>
      <c r="J901" t="n">
        <v>0.067</v>
      </c>
      <c r="K901" t="n">
        <v>1.21</v>
      </c>
      <c r="L901" t="n">
        <v>0.13</v>
      </c>
      <c r="M901" t="n">
        <v>1.08</v>
      </c>
      <c r="P901" t="inlineStr">
        <is>
          <t>임대경</t>
        </is>
      </c>
      <c r="Q901" t="inlineStr">
        <is>
          <t>홈서비스 60개월</t>
        </is>
      </c>
      <c r="AB901" t="inlineStr">
        <is>
          <t>홈서비스</t>
        </is>
      </c>
      <c r="AC901" t="n">
        <v>506990</v>
      </c>
      <c r="AD901" t="n">
        <v>54470</v>
      </c>
      <c r="AE901" t="n">
        <v>452520</v>
      </c>
      <c r="AF901" t="n">
        <v>460900</v>
      </c>
      <c r="AG901" t="n">
        <v>54470</v>
      </c>
      <c r="AH901" t="n">
        <v>406430</v>
      </c>
      <c r="AI901" t="n">
        <v>0</v>
      </c>
    </row>
    <row r="902">
      <c r="A902" t="inlineStr">
        <is>
          <t>1월</t>
        </is>
      </c>
      <c r="B902" t="inlineStr">
        <is>
          <t>5주차</t>
        </is>
      </c>
      <c r="C902" t="inlineStr">
        <is>
          <t>EP</t>
        </is>
      </c>
      <c r="D902" s="28" t="n">
        <v>46051</v>
      </c>
      <c r="E902" t="inlineStr">
        <is>
          <t>현대EP_fast</t>
        </is>
      </c>
      <c r="F902" t="inlineStr">
        <is>
          <t>손상진</t>
        </is>
      </c>
      <c r="G902" t="inlineStr">
        <is>
          <t>010-6608-7009</t>
        </is>
      </c>
      <c r="H902" t="inlineStr">
        <is>
          <t>177루9552</t>
        </is>
      </c>
      <c r="I902" t="n">
        <v>25000000</v>
      </c>
      <c r="J902" t="n">
        <v>0.076</v>
      </c>
      <c r="K902" t="n">
        <v>1.21</v>
      </c>
      <c r="L902" t="n">
        <v>0.4</v>
      </c>
      <c r="M902" t="n">
        <v>0.8100000000000001</v>
      </c>
      <c r="P902" t="inlineStr">
        <is>
          <t>구성완</t>
        </is>
      </c>
      <c r="Q902" t="inlineStr">
        <is>
          <t>금리인하 0.5% 적용건 (8.1-&gt;7.6)</t>
        </is>
      </c>
      <c r="AB902" t="inlineStr">
        <is>
          <t>엔카</t>
        </is>
      </c>
      <c r="AC902" t="n">
        <v>302500</v>
      </c>
      <c r="AD902" t="n">
        <v>100000</v>
      </c>
      <c r="AE902" t="n">
        <v>202500</v>
      </c>
      <c r="AF902" t="n">
        <v>275000</v>
      </c>
      <c r="AG902" t="n">
        <v>100000</v>
      </c>
      <c r="AH902" t="n">
        <v>175000</v>
      </c>
    </row>
    <row r="903">
      <c r="A903" t="inlineStr">
        <is>
          <t>1월</t>
        </is>
      </c>
      <c r="B903" t="inlineStr">
        <is>
          <t>5주차</t>
        </is>
      </c>
      <c r="C903" t="inlineStr">
        <is>
          <t>EP</t>
        </is>
      </c>
      <c r="D903" s="28" t="n">
        <v>46050</v>
      </c>
      <c r="E903" t="inlineStr">
        <is>
          <t>현대EP_fast</t>
        </is>
      </c>
      <c r="F903" t="inlineStr">
        <is>
          <t>고영우</t>
        </is>
      </c>
      <c r="G903" t="inlineStr">
        <is>
          <t>010-9908-7344</t>
        </is>
      </c>
      <c r="H903" t="inlineStr">
        <is>
          <t>36어8753</t>
        </is>
      </c>
      <c r="I903" t="n">
        <v>37500000</v>
      </c>
      <c r="J903" t="n">
        <v>0.081</v>
      </c>
      <c r="K903" t="n">
        <v>1.76</v>
      </c>
      <c r="L903" t="n">
        <v>0.13</v>
      </c>
      <c r="M903" t="n">
        <v>1.63</v>
      </c>
      <c r="P903" t="inlineStr">
        <is>
          <t>박소현</t>
        </is>
      </c>
      <c r="Q903" t="inlineStr">
        <is>
          <t>선상담 / 홈서비스 60개월</t>
        </is>
      </c>
      <c r="AB903" t="inlineStr">
        <is>
          <t>홈서비스</t>
        </is>
      </c>
      <c r="AC903" t="n">
        <v>660000</v>
      </c>
      <c r="AD903" t="n">
        <v>48750</v>
      </c>
      <c r="AE903" t="n">
        <v>611250</v>
      </c>
      <c r="AF903" t="n">
        <v>600000</v>
      </c>
      <c r="AG903" t="n">
        <v>48750</v>
      </c>
      <c r="AH903" t="n">
        <v>551250</v>
      </c>
      <c r="AI903" t="n">
        <v>0</v>
      </c>
    </row>
    <row r="904">
      <c r="A904" t="inlineStr">
        <is>
          <t>1월</t>
        </is>
      </c>
      <c r="B904" t="inlineStr">
        <is>
          <t>5주차</t>
        </is>
      </c>
      <c r="C904" t="inlineStr">
        <is>
          <t>EP</t>
        </is>
      </c>
      <c r="D904" s="28" t="n">
        <v>46052</v>
      </c>
      <c r="E904" t="inlineStr">
        <is>
          <t>제이비EP</t>
        </is>
      </c>
      <c r="F904" t="inlineStr">
        <is>
          <t>곽영란</t>
        </is>
      </c>
      <c r="G904" t="inlineStr">
        <is>
          <t>010-8918-5953</t>
        </is>
      </c>
      <c r="H904" t="inlineStr">
        <is>
          <t>57나7523</t>
        </is>
      </c>
      <c r="I904" t="n">
        <v>18900000</v>
      </c>
      <c r="J904" t="n">
        <v>0.08799999999999999</v>
      </c>
      <c r="K904" t="n">
        <v>1.21</v>
      </c>
      <c r="L904" t="n">
        <v>0.4</v>
      </c>
      <c r="M904" t="n">
        <v>0.8100000000000001</v>
      </c>
      <c r="P904" t="inlineStr">
        <is>
          <t>장진경</t>
        </is>
      </c>
      <c r="Q904" t="inlineStr">
        <is>
          <t>사유 : 부대비용 추가진행</t>
        </is>
      </c>
      <c r="AB904" t="inlineStr">
        <is>
          <t>엔카</t>
        </is>
      </c>
      <c r="AC904" t="n">
        <v>228690</v>
      </c>
      <c r="AD904" t="n">
        <v>75600</v>
      </c>
      <c r="AE904" t="n">
        <v>153090</v>
      </c>
      <c r="AF904" t="n">
        <v>207900</v>
      </c>
      <c r="AG904" t="n">
        <v>75600</v>
      </c>
      <c r="AH904" t="n">
        <v>132300</v>
      </c>
      <c r="AI904" t="n">
        <v>0</v>
      </c>
    </row>
    <row r="905">
      <c r="A905" t="inlineStr">
        <is>
          <t>1월</t>
        </is>
      </c>
      <c r="B905" t="inlineStr">
        <is>
          <t>5주차</t>
        </is>
      </c>
      <c r="C905" t="inlineStr">
        <is>
          <t>EP</t>
        </is>
      </c>
      <c r="D905" s="28" t="n">
        <v>46052</v>
      </c>
      <c r="E905" t="inlineStr">
        <is>
          <t>현대EP_fast</t>
        </is>
      </c>
      <c r="F905" t="inlineStr">
        <is>
          <t>김용우</t>
        </is>
      </c>
      <c r="G905" t="inlineStr">
        <is>
          <t>010-9955-1513</t>
        </is>
      </c>
      <c r="H905" t="inlineStr">
        <is>
          <t>32보1960</t>
        </is>
      </c>
      <c r="I905" t="n">
        <v>8300000</v>
      </c>
      <c r="J905" t="n">
        <v>0.057</v>
      </c>
      <c r="K905" t="n">
        <v>1.76</v>
      </c>
      <c r="L905" t="n">
        <v>0.13</v>
      </c>
      <c r="M905" t="n">
        <v>1.63</v>
      </c>
      <c r="P905" t="inlineStr">
        <is>
          <t>최형주</t>
        </is>
      </c>
      <c r="Q905" t="inlineStr">
        <is>
          <t>홈서비스 24개월</t>
        </is>
      </c>
      <c r="AB905" t="inlineStr">
        <is>
          <t>홈서비스</t>
        </is>
      </c>
      <c r="AC905" t="n">
        <v>146080</v>
      </c>
      <c r="AD905" t="n">
        <v>10790</v>
      </c>
      <c r="AE905" t="n">
        <v>135290</v>
      </c>
      <c r="AF905" t="n">
        <v>132800</v>
      </c>
      <c r="AG905" t="n">
        <v>10790</v>
      </c>
      <c r="AH905" t="n">
        <v>122010</v>
      </c>
    </row>
    <row r="906">
      <c r="A906" t="inlineStr">
        <is>
          <t>1월</t>
        </is>
      </c>
      <c r="B906" t="inlineStr">
        <is>
          <t>5주차</t>
        </is>
      </c>
      <c r="C906" t="inlineStr">
        <is>
          <t>IM</t>
        </is>
      </c>
      <c r="D906" s="28" t="n">
        <v>46051</v>
      </c>
      <c r="E906" t="inlineStr">
        <is>
          <t>IM캐피탈</t>
        </is>
      </c>
      <c r="F906" t="inlineStr">
        <is>
          <t>김형섭</t>
        </is>
      </c>
      <c r="G906" t="inlineStr">
        <is>
          <t>010-8899-2088</t>
        </is>
      </c>
      <c r="H906" t="inlineStr">
        <is>
          <t>250보6879</t>
        </is>
      </c>
      <c r="I906" t="n">
        <v>16000000</v>
      </c>
      <c r="J906" t="n">
        <v>0.049</v>
      </c>
      <c r="K906" t="n">
        <v>0.55</v>
      </c>
      <c r="L906" t="n">
        <v>0.4</v>
      </c>
      <c r="M906" t="n">
        <v>0.15</v>
      </c>
      <c r="P906" t="inlineStr">
        <is>
          <t>임대경</t>
        </is>
      </c>
      <c r="Q906" t="inlineStr">
        <is>
          <t>사유: 금리불만</t>
        </is>
      </c>
      <c r="AB906" t="inlineStr">
        <is>
          <t>엔카</t>
        </is>
      </c>
      <c r="AC906" t="n">
        <v>88000</v>
      </c>
      <c r="AD906" t="n">
        <v>64000</v>
      </c>
      <c r="AE906" t="n">
        <v>24000</v>
      </c>
      <c r="AF906" t="n">
        <v>80000</v>
      </c>
      <c r="AG906" t="n">
        <v>64000</v>
      </c>
      <c r="AH906" t="n">
        <v>16000</v>
      </c>
      <c r="AI906" t="n">
        <v>0</v>
      </c>
    </row>
    <row r="907">
      <c r="A907" t="inlineStr">
        <is>
          <t>1월</t>
        </is>
      </c>
      <c r="B907" t="inlineStr">
        <is>
          <t>5주차</t>
        </is>
      </c>
      <c r="C907" t="inlineStr">
        <is>
          <t>OR</t>
        </is>
      </c>
      <c r="D907" s="28" t="n">
        <v>46052</v>
      </c>
      <c r="E907" t="inlineStr">
        <is>
          <t>오릭스</t>
        </is>
      </c>
      <c r="F907" t="inlineStr">
        <is>
          <t>강동훈</t>
        </is>
      </c>
      <c r="G907" t="inlineStr">
        <is>
          <t>010-6808-4585</t>
        </is>
      </c>
      <c r="H907" t="inlineStr">
        <is>
          <t>128가3331</t>
        </is>
      </c>
      <c r="I907" t="n">
        <v>16800000</v>
      </c>
      <c r="J907" t="n">
        <v>0.064</v>
      </c>
      <c r="K907" t="n">
        <v>1.65</v>
      </c>
      <c r="L907" t="n">
        <v>0.13</v>
      </c>
      <c r="M907" t="n">
        <v>1.52</v>
      </c>
      <c r="P907" t="inlineStr">
        <is>
          <t>장진경</t>
        </is>
      </c>
      <c r="Q907" t="inlineStr">
        <is>
          <t>선상담 / 홈서비스 60개월 / 사유 : 기승인건</t>
        </is>
      </c>
      <c r="AB907" t="inlineStr">
        <is>
          <t>홈서비스</t>
        </is>
      </c>
      <c r="AC907" t="n">
        <v>277200</v>
      </c>
      <c r="AD907" t="n">
        <v>21840</v>
      </c>
      <c r="AE907" t="n">
        <v>255360</v>
      </c>
      <c r="AF907" t="n">
        <v>252000</v>
      </c>
      <c r="AG907" t="n">
        <v>21840</v>
      </c>
      <c r="AH907" t="n">
        <v>230160</v>
      </c>
      <c r="AI907" t="n">
        <v>0</v>
      </c>
      <c r="AJ907" t="inlineStr">
        <is>
          <t>개인</t>
        </is>
      </c>
    </row>
    <row r="908">
      <c r="A908" t="inlineStr">
        <is>
          <t>1월</t>
        </is>
      </c>
      <c r="B908" t="inlineStr">
        <is>
          <t>5주차</t>
        </is>
      </c>
      <c r="C908" t="inlineStr">
        <is>
          <t>EP</t>
        </is>
      </c>
      <c r="D908" s="28" t="n">
        <v>46052</v>
      </c>
      <c r="E908" t="inlineStr">
        <is>
          <t>현대EP</t>
        </is>
      </c>
      <c r="F908" t="inlineStr">
        <is>
          <t>김미연</t>
        </is>
      </c>
      <c r="G908" t="inlineStr">
        <is>
          <t>010-2645-0056</t>
        </is>
      </c>
      <c r="H908" t="inlineStr">
        <is>
          <t>324나8592</t>
        </is>
      </c>
      <c r="I908" t="n">
        <v>19900000</v>
      </c>
      <c r="J908" t="n">
        <v>0.067</v>
      </c>
      <c r="K908" t="n">
        <v>1.76</v>
      </c>
      <c r="L908" t="n">
        <v>0.13</v>
      </c>
      <c r="M908" t="n">
        <v>1.63</v>
      </c>
      <c r="P908" t="inlineStr">
        <is>
          <t>정세빈</t>
        </is>
      </c>
      <c r="Q908" t="inlineStr">
        <is>
          <t>홈서비스 60개월</t>
        </is>
      </c>
      <c r="AB908" t="inlineStr">
        <is>
          <t>홈서비스</t>
        </is>
      </c>
      <c r="AC908" t="n">
        <v>350240</v>
      </c>
      <c r="AD908" t="n">
        <v>25870</v>
      </c>
      <c r="AE908" t="n">
        <v>324370</v>
      </c>
      <c r="AF908" t="n">
        <v>318400</v>
      </c>
      <c r="AG908" t="n">
        <v>25870</v>
      </c>
      <c r="AH908" t="n">
        <v>292530</v>
      </c>
      <c r="AI908" t="n">
        <v>1</v>
      </c>
    </row>
    <row r="909">
      <c r="A909" t="inlineStr">
        <is>
          <t>1월</t>
        </is>
      </c>
      <c r="B909" t="inlineStr">
        <is>
          <t>5주차</t>
        </is>
      </c>
      <c r="C909" t="inlineStr">
        <is>
          <t>IM</t>
        </is>
      </c>
      <c r="D909" s="28" t="n">
        <v>46052</v>
      </c>
      <c r="E909" t="inlineStr">
        <is>
          <t>IM캐피탈</t>
        </is>
      </c>
      <c r="F909" t="inlineStr">
        <is>
          <t>최진열</t>
        </is>
      </c>
      <c r="G909" t="inlineStr">
        <is>
          <t>010-8574-2003</t>
        </is>
      </c>
      <c r="H909" t="inlineStr">
        <is>
          <t>86더2877</t>
        </is>
      </c>
      <c r="I909" t="n">
        <v>24500000</v>
      </c>
      <c r="J909" t="n">
        <v>0.049</v>
      </c>
      <c r="K909" t="n">
        <v>1.1</v>
      </c>
      <c r="L909" t="n">
        <v>0.4</v>
      </c>
      <c r="M909" t="n">
        <v>0.7</v>
      </c>
      <c r="P909" t="inlineStr">
        <is>
          <t>장진경</t>
        </is>
      </c>
      <c r="Q909" t="inlineStr">
        <is>
          <t>사유 : 부대비용 추가진행</t>
        </is>
      </c>
      <c r="AB909" t="inlineStr">
        <is>
          <t>엔카</t>
        </is>
      </c>
      <c r="AC909" t="n">
        <v>269500</v>
      </c>
      <c r="AD909" t="n">
        <v>98000</v>
      </c>
      <c r="AE909" t="n">
        <v>171500</v>
      </c>
      <c r="AF909" t="n">
        <v>245000</v>
      </c>
      <c r="AG909" t="n">
        <v>98000</v>
      </c>
      <c r="AH909" t="n">
        <v>147000</v>
      </c>
      <c r="AI909" t="n">
        <v>1</v>
      </c>
    </row>
    <row r="910">
      <c r="A910" t="inlineStr">
        <is>
          <t>1월</t>
        </is>
      </c>
      <c r="B910" t="inlineStr">
        <is>
          <t>5주차</t>
        </is>
      </c>
      <c r="C910" t="inlineStr">
        <is>
          <t>EP</t>
        </is>
      </c>
      <c r="D910" s="28" t="n">
        <v>46052</v>
      </c>
      <c r="E910" t="inlineStr">
        <is>
          <t>현대EP_fast</t>
        </is>
      </c>
      <c r="F910" t="inlineStr">
        <is>
          <t>김은주</t>
        </is>
      </c>
      <c r="G910" t="inlineStr">
        <is>
          <t>010-9893-7342</t>
        </is>
      </c>
      <c r="H910" t="inlineStr">
        <is>
          <t>100마1749</t>
        </is>
      </c>
      <c r="I910" t="n">
        <v>11400000</v>
      </c>
      <c r="J910" t="n">
        <v>0.137</v>
      </c>
      <c r="K910" t="n">
        <v>1.76</v>
      </c>
      <c r="L910" t="n">
        <v>0.4</v>
      </c>
      <c r="M910" t="n">
        <v>1.36</v>
      </c>
      <c r="P910" t="inlineStr">
        <is>
          <t>임대경</t>
        </is>
      </c>
      <c r="AB910" t="inlineStr">
        <is>
          <t>엔카</t>
        </is>
      </c>
      <c r="AC910" t="n">
        <v>200640</v>
      </c>
      <c r="AD910" t="n">
        <v>45600</v>
      </c>
      <c r="AE910" t="n">
        <v>155040</v>
      </c>
      <c r="AF910" t="n">
        <v>182400</v>
      </c>
      <c r="AG910" t="n">
        <v>45600</v>
      </c>
      <c r="AH910" t="n">
        <v>136800</v>
      </c>
      <c r="AI910" t="n">
        <v>1</v>
      </c>
    </row>
    <row r="911">
      <c r="A911" t="inlineStr">
        <is>
          <t>1월</t>
        </is>
      </c>
      <c r="B911" t="inlineStr">
        <is>
          <t>5주차</t>
        </is>
      </c>
      <c r="C911" t="inlineStr">
        <is>
          <t>EP</t>
        </is>
      </c>
      <c r="D911" s="28" t="n">
        <v>46052</v>
      </c>
      <c r="E911" t="inlineStr">
        <is>
          <t>현대EP_fast</t>
        </is>
      </c>
      <c r="F911" t="inlineStr">
        <is>
          <t>김영백</t>
        </is>
      </c>
      <c r="G911" t="inlineStr">
        <is>
          <t>010-9275-3759</t>
        </is>
      </c>
      <c r="H911" t="inlineStr">
        <is>
          <t>114주1086</t>
        </is>
      </c>
      <c r="I911" t="n">
        <v>24000000</v>
      </c>
      <c r="J911" t="n">
        <v>0.067</v>
      </c>
      <c r="K911" t="n">
        <v>1.76</v>
      </c>
      <c r="L911" t="n">
        <v>0.4</v>
      </c>
      <c r="M911" t="n">
        <v>1.36</v>
      </c>
      <c r="P911" t="inlineStr">
        <is>
          <t>구성완</t>
        </is>
      </c>
      <c r="Q911" t="inlineStr">
        <is>
          <t>금리인하 0.5% 적용건 (7.2-&gt;6.7)</t>
        </is>
      </c>
      <c r="AB911" t="inlineStr">
        <is>
          <t>엔카</t>
        </is>
      </c>
      <c r="AC911" t="n">
        <v>422400</v>
      </c>
      <c r="AD911" t="n">
        <v>96000</v>
      </c>
      <c r="AE911" t="n">
        <v>326400</v>
      </c>
      <c r="AF911" t="n">
        <v>384000</v>
      </c>
      <c r="AG911" t="n">
        <v>96000</v>
      </c>
      <c r="AH911" t="n">
        <v>288000</v>
      </c>
      <c r="AI911" t="n">
        <v>1</v>
      </c>
    </row>
    <row r="912">
      <c r="A912" t="inlineStr">
        <is>
          <t>1월</t>
        </is>
      </c>
      <c r="B912" t="inlineStr">
        <is>
          <t>5주차</t>
        </is>
      </c>
      <c r="C912" t="inlineStr">
        <is>
          <t>EP</t>
        </is>
      </c>
      <c r="D912" s="28" t="n">
        <v>46052</v>
      </c>
      <c r="E912" t="inlineStr">
        <is>
          <t>현대EP</t>
        </is>
      </c>
      <c r="F912" t="inlineStr">
        <is>
          <t>정재하</t>
        </is>
      </c>
      <c r="G912" t="inlineStr">
        <is>
          <t>010-3838-7832</t>
        </is>
      </c>
      <c r="H912" t="inlineStr">
        <is>
          <t>67소0978</t>
        </is>
      </c>
      <c r="I912" t="n">
        <v>12600000</v>
      </c>
      <c r="J912" t="n">
        <v>0.068</v>
      </c>
      <c r="K912" t="n">
        <v>1.76</v>
      </c>
      <c r="L912" t="n">
        <v>0.13</v>
      </c>
      <c r="M912" t="n">
        <v>1.63</v>
      </c>
      <c r="P912" t="inlineStr">
        <is>
          <t>정세빈</t>
        </is>
      </c>
      <c r="Q912" t="inlineStr">
        <is>
          <t>홈서비스 36개월</t>
        </is>
      </c>
      <c r="AB912" t="inlineStr">
        <is>
          <t>홈서비스</t>
        </is>
      </c>
      <c r="AC912" t="n">
        <v>221760</v>
      </c>
      <c r="AD912" t="n">
        <v>16380</v>
      </c>
      <c r="AE912" t="n">
        <v>205380</v>
      </c>
      <c r="AF912" t="n">
        <v>201600</v>
      </c>
      <c r="AG912" t="n">
        <v>16380</v>
      </c>
      <c r="AH912" t="n">
        <v>185220</v>
      </c>
      <c r="AI912" t="n">
        <v>0</v>
      </c>
    </row>
    <row r="913">
      <c r="A913" t="inlineStr">
        <is>
          <t>1월</t>
        </is>
      </c>
      <c r="B913" t="inlineStr">
        <is>
          <t>5주차</t>
        </is>
      </c>
      <c r="C913" t="inlineStr">
        <is>
          <t>EP</t>
        </is>
      </c>
      <c r="D913" s="28" t="n">
        <v>46052</v>
      </c>
      <c r="E913" t="inlineStr">
        <is>
          <t>현대EP_fast</t>
        </is>
      </c>
      <c r="F913" t="inlineStr">
        <is>
          <t>이예림</t>
        </is>
      </c>
      <c r="G913" t="inlineStr">
        <is>
          <t>010-7603-7130</t>
        </is>
      </c>
      <c r="H913" t="inlineStr">
        <is>
          <t>144러2117</t>
        </is>
      </c>
      <c r="I913" t="n">
        <v>29700000</v>
      </c>
      <c r="J913" t="n">
        <v>0.078</v>
      </c>
      <c r="K913" t="n">
        <v>1.76</v>
      </c>
      <c r="L913" t="n">
        <v>0.4</v>
      </c>
      <c r="M913" t="n">
        <v>1.36</v>
      </c>
      <c r="P913" t="inlineStr">
        <is>
          <t>임대경</t>
        </is>
      </c>
      <c r="Q913" t="inlineStr">
        <is>
          <t>금리인하 0.5%적용건(8.3-&gt;7.8)</t>
        </is>
      </c>
      <c r="AB913" t="inlineStr">
        <is>
          <t>엔카</t>
        </is>
      </c>
      <c r="AC913" t="n">
        <v>522720</v>
      </c>
      <c r="AD913" t="n">
        <v>118800</v>
      </c>
      <c r="AE913" t="n">
        <v>403920</v>
      </c>
      <c r="AF913" t="n">
        <v>475200</v>
      </c>
      <c r="AG913" t="n">
        <v>118800</v>
      </c>
      <c r="AH913" t="n">
        <v>356400</v>
      </c>
      <c r="AI913" t="n">
        <v>0</v>
      </c>
    </row>
    <row r="914">
      <c r="A914" t="inlineStr">
        <is>
          <t>1월</t>
        </is>
      </c>
      <c r="B914" t="inlineStr">
        <is>
          <t>5주차</t>
        </is>
      </c>
      <c r="C914" t="inlineStr">
        <is>
          <t>EP</t>
        </is>
      </c>
      <c r="D914" s="28" t="n">
        <v>46052</v>
      </c>
      <c r="E914" t="inlineStr">
        <is>
          <t>현대EP_fast</t>
        </is>
      </c>
      <c r="F914" t="inlineStr">
        <is>
          <t>윤병웅</t>
        </is>
      </c>
      <c r="G914" t="inlineStr">
        <is>
          <t>010-5812-1707</t>
        </is>
      </c>
      <c r="H914" t="inlineStr">
        <is>
          <t>47구3546</t>
        </is>
      </c>
      <c r="I914" t="n">
        <v>13500000</v>
      </c>
      <c r="J914" t="n">
        <v>0.115</v>
      </c>
      <c r="K914" t="n">
        <v>1.21</v>
      </c>
      <c r="L914" t="n">
        <v>0.13</v>
      </c>
      <c r="M914" t="n">
        <v>1.08</v>
      </c>
      <c r="P914" t="inlineStr">
        <is>
          <t>정세빈</t>
        </is>
      </c>
      <c r="Q914" t="inlineStr">
        <is>
          <t>홈서비스 60개월</t>
        </is>
      </c>
      <c r="AB914" t="inlineStr">
        <is>
          <t>홈서비스</t>
        </is>
      </c>
      <c r="AC914" t="n">
        <v>163350</v>
      </c>
      <c r="AD914" t="n">
        <v>17550</v>
      </c>
      <c r="AE914" t="n">
        <v>145800</v>
      </c>
      <c r="AF914" t="n">
        <v>148500</v>
      </c>
      <c r="AG914" t="n">
        <v>17550</v>
      </c>
      <c r="AH914" t="n">
        <v>130950</v>
      </c>
      <c r="AI914" t="n">
        <v>0</v>
      </c>
    </row>
    <row r="915">
      <c r="A915" t="inlineStr">
        <is>
          <t>1월</t>
        </is>
      </c>
      <c r="B915" t="inlineStr">
        <is>
          <t>5주차</t>
        </is>
      </c>
      <c r="C915" t="inlineStr">
        <is>
          <t>EP</t>
        </is>
      </c>
      <c r="D915" s="28" t="n">
        <v>46052</v>
      </c>
      <c r="E915" t="inlineStr">
        <is>
          <t>현대EP_fast</t>
        </is>
      </c>
      <c r="F915" t="inlineStr">
        <is>
          <t>홍성민</t>
        </is>
      </c>
      <c r="G915" t="inlineStr">
        <is>
          <t>010-6782-2510</t>
        </is>
      </c>
      <c r="H915" t="inlineStr">
        <is>
          <t>195저8510</t>
        </is>
      </c>
      <c r="I915" t="n">
        <v>20000000</v>
      </c>
      <c r="J915" t="n">
        <v>0.078</v>
      </c>
      <c r="K915" t="n">
        <v>1.76</v>
      </c>
      <c r="L915" t="n">
        <v>0.13</v>
      </c>
      <c r="M915" t="n">
        <v>1.63</v>
      </c>
      <c r="P915" t="inlineStr">
        <is>
          <t>최형주</t>
        </is>
      </c>
      <c r="Q915" t="inlineStr">
        <is>
          <t>홈서비스 60개월 / 금리인하 0.5% 적용건 ( 8.3-&gt; 7.8)</t>
        </is>
      </c>
      <c r="AB915" t="inlineStr">
        <is>
          <t>홈서비스</t>
        </is>
      </c>
      <c r="AC915" t="n">
        <v>352000</v>
      </c>
      <c r="AD915" t="n">
        <v>26000</v>
      </c>
      <c r="AE915" t="n">
        <v>326000</v>
      </c>
      <c r="AF915" t="n">
        <v>320000</v>
      </c>
      <c r="AG915" t="n">
        <v>26000</v>
      </c>
      <c r="AH915" t="n">
        <v>294000</v>
      </c>
    </row>
    <row r="916">
      <c r="A916" t="inlineStr">
        <is>
          <t>1월</t>
        </is>
      </c>
      <c r="B916" t="inlineStr">
        <is>
          <t>5주차</t>
        </is>
      </c>
      <c r="C916" t="inlineStr">
        <is>
          <t>EP</t>
        </is>
      </c>
      <c r="D916" s="28" t="n">
        <v>46052</v>
      </c>
      <c r="E916" t="inlineStr">
        <is>
          <t>현대EP</t>
        </is>
      </c>
      <c r="F916" t="inlineStr">
        <is>
          <t>남경표</t>
        </is>
      </c>
      <c r="G916" t="inlineStr">
        <is>
          <t>010-2769-1949</t>
        </is>
      </c>
      <c r="H916" t="inlineStr">
        <is>
          <t>30머6681</t>
        </is>
      </c>
      <c r="I916" t="n">
        <v>13000000</v>
      </c>
      <c r="J916" t="n">
        <v>0.07199999999999999</v>
      </c>
      <c r="K916" t="n">
        <v>1.76</v>
      </c>
      <c r="L916" t="n">
        <v>0.13</v>
      </c>
      <c r="M916" t="n">
        <v>1.63</v>
      </c>
      <c r="P916" t="inlineStr">
        <is>
          <t>최형주</t>
        </is>
      </c>
      <c r="Q916" t="inlineStr">
        <is>
          <t>홈서비스 36개월</t>
        </is>
      </c>
      <c r="AB916" t="inlineStr">
        <is>
          <t>홈서비스</t>
        </is>
      </c>
      <c r="AC916" t="n">
        <v>228800</v>
      </c>
      <c r="AD916" t="n">
        <v>16900</v>
      </c>
      <c r="AE916" t="n">
        <v>211900</v>
      </c>
      <c r="AF916" t="n">
        <v>208000</v>
      </c>
      <c r="AG916" t="n">
        <v>16900</v>
      </c>
      <c r="AH916" t="n">
        <v>191100</v>
      </c>
      <c r="AI916" t="n">
        <v>0</v>
      </c>
    </row>
    <row r="917">
      <c r="A917" t="inlineStr">
        <is>
          <t>1월</t>
        </is>
      </c>
      <c r="B917" t="inlineStr">
        <is>
          <t>5주차</t>
        </is>
      </c>
      <c r="C917" t="inlineStr">
        <is>
          <t>EP</t>
        </is>
      </c>
      <c r="D917" s="28" t="n">
        <v>46052</v>
      </c>
      <c r="E917" t="inlineStr">
        <is>
          <t>현대EP_fast</t>
        </is>
      </c>
      <c r="F917" t="inlineStr">
        <is>
          <t>김세걸</t>
        </is>
      </c>
      <c r="G917" t="inlineStr">
        <is>
          <t>010-5476-8349</t>
        </is>
      </c>
      <c r="H917" t="inlineStr">
        <is>
          <t>299너9753</t>
        </is>
      </c>
      <c r="I917" t="n">
        <v>12700000</v>
      </c>
      <c r="J917" t="n">
        <v>0.06900000000000001</v>
      </c>
      <c r="K917" t="n">
        <v>1.21</v>
      </c>
      <c r="L917" t="n">
        <v>0.13</v>
      </c>
      <c r="M917" t="n">
        <v>1.08</v>
      </c>
      <c r="P917" t="inlineStr">
        <is>
          <t>김수연</t>
        </is>
      </c>
      <c r="Q917" t="inlineStr">
        <is>
          <t>홈서비스 48개월</t>
        </is>
      </c>
      <c r="AB917" t="inlineStr">
        <is>
          <t>홈서비스</t>
        </is>
      </c>
      <c r="AC917" t="n">
        <v>153670</v>
      </c>
      <c r="AD917" t="n">
        <v>16510</v>
      </c>
      <c r="AE917" t="n">
        <v>137160</v>
      </c>
      <c r="AF917" t="n">
        <v>139700</v>
      </c>
      <c r="AG917" t="n">
        <v>16510</v>
      </c>
      <c r="AH917" t="n">
        <v>123190</v>
      </c>
      <c r="AI917" t="n">
        <v>0</v>
      </c>
    </row>
    <row r="918">
      <c r="A918" t="inlineStr">
        <is>
          <t>1월</t>
        </is>
      </c>
      <c r="B918" t="inlineStr">
        <is>
          <t>5주차</t>
        </is>
      </c>
      <c r="C918" t="inlineStr">
        <is>
          <t>OR</t>
        </is>
      </c>
      <c r="D918" s="28" t="n">
        <v>46051</v>
      </c>
      <c r="E918" t="inlineStr">
        <is>
          <t>오릭스</t>
        </is>
      </c>
      <c r="F918" t="inlineStr">
        <is>
          <t>이남종</t>
        </is>
      </c>
      <c r="G918" t="n">
        <v>1076894110</v>
      </c>
      <c r="H918" t="inlineStr">
        <is>
          <t>308무4613</t>
        </is>
      </c>
      <c r="I918" t="n">
        <v>-16800000</v>
      </c>
      <c r="J918" t="n">
        <v>0.055</v>
      </c>
      <c r="K918" t="n">
        <v>1.65</v>
      </c>
      <c r="L918" t="n">
        <v>0.13</v>
      </c>
      <c r="M918" t="n">
        <v>1.52</v>
      </c>
      <c r="P918" t="inlineStr">
        <is>
          <t>김나윤</t>
        </is>
      </c>
      <c r="Q918" t="inlineStr">
        <is>
          <t>사유: 금리불만 / 현대 7.3% / 홈서비스 60개월 / *철회 20260204</t>
        </is>
      </c>
      <c r="AB918" t="inlineStr">
        <is>
          <t>홈서비스</t>
        </is>
      </c>
      <c r="AC918" t="n">
        <v>-277200</v>
      </c>
      <c r="AD918" t="n">
        <v>-21840</v>
      </c>
      <c r="AE918" t="n">
        <v>-255360</v>
      </c>
      <c r="AF918" t="n">
        <v>-252000</v>
      </c>
      <c r="AG918" t="n">
        <v>-21840</v>
      </c>
      <c r="AH918" t="n">
        <v>-230160</v>
      </c>
      <c r="AI918" t="n">
        <v>0</v>
      </c>
      <c r="AK918" t="inlineStr">
        <is>
          <t>대출철회</t>
        </is>
      </c>
    </row>
    <row r="919">
      <c r="A919" t="inlineStr">
        <is>
          <t>1월</t>
        </is>
      </c>
      <c r="B919" t="inlineStr">
        <is>
          <t>5주차</t>
        </is>
      </c>
      <c r="C919" t="inlineStr">
        <is>
          <t>IM</t>
        </is>
      </c>
      <c r="D919" s="28" t="n">
        <v>46052</v>
      </c>
      <c r="E919" t="inlineStr">
        <is>
          <t>IM캐피탈</t>
        </is>
      </c>
      <c r="F919" t="inlineStr">
        <is>
          <t>박성민</t>
        </is>
      </c>
      <c r="G919" t="inlineStr">
        <is>
          <t>010-7116-7386</t>
        </is>
      </c>
      <c r="H919" t="inlineStr">
        <is>
          <t>25누4950</t>
        </is>
      </c>
      <c r="I919" t="n">
        <v>14800000</v>
      </c>
      <c r="J919" t="n">
        <v>0.039</v>
      </c>
      <c r="K919" t="n">
        <v>1.1</v>
      </c>
      <c r="L919" t="n">
        <v>0.13</v>
      </c>
      <c r="M919" t="n">
        <v>0.97</v>
      </c>
      <c r="P919" t="inlineStr">
        <is>
          <t>정세빈</t>
        </is>
      </c>
      <c r="Q919" t="inlineStr">
        <is>
          <t>홈서비스 36개월 / 사유:금리불만 / 현대 7.3%</t>
        </is>
      </c>
      <c r="AB919" t="inlineStr">
        <is>
          <t>홈서비스</t>
        </is>
      </c>
      <c r="AC919" t="n">
        <v>162800</v>
      </c>
      <c r="AD919" t="n">
        <v>19240</v>
      </c>
      <c r="AE919" t="n">
        <v>143560</v>
      </c>
      <c r="AF919" t="n">
        <v>148000</v>
      </c>
      <c r="AG919" t="n">
        <v>19240</v>
      </c>
      <c r="AH919" t="n">
        <v>128760</v>
      </c>
      <c r="AI919" t="n">
        <v>0</v>
      </c>
    </row>
    <row r="920">
      <c r="A920" t="inlineStr">
        <is>
          <t>1월</t>
        </is>
      </c>
      <c r="B920" t="inlineStr">
        <is>
          <t>5주차</t>
        </is>
      </c>
      <c r="C920" t="inlineStr">
        <is>
          <t>IM</t>
        </is>
      </c>
      <c r="D920" s="28" t="n">
        <v>46052</v>
      </c>
      <c r="E920" t="inlineStr">
        <is>
          <t>IM캐피탈</t>
        </is>
      </c>
      <c r="F920" t="inlineStr">
        <is>
          <t>양동환</t>
        </is>
      </c>
      <c r="G920" t="n">
        <v>1094077421</v>
      </c>
      <c r="H920" t="inlineStr">
        <is>
          <t>73우0963</t>
        </is>
      </c>
      <c r="I920" t="n">
        <v>15100000</v>
      </c>
      <c r="J920" t="n">
        <v>0.049</v>
      </c>
      <c r="K920" t="n">
        <v>1.1</v>
      </c>
      <c r="L920" t="n">
        <v>0.13</v>
      </c>
      <c r="M920" t="n">
        <v>0.97</v>
      </c>
      <c r="P920" t="inlineStr">
        <is>
          <t>김나윤</t>
        </is>
      </c>
      <c r="Q920" t="inlineStr">
        <is>
          <t>사유: 부대비용 필요 / 홈서비스 84개월</t>
        </is>
      </c>
      <c r="AB920" t="inlineStr">
        <is>
          <t>홈서비스</t>
        </is>
      </c>
      <c r="AC920" t="n">
        <v>166100</v>
      </c>
      <c r="AD920" t="n">
        <v>19630</v>
      </c>
      <c r="AE920" t="n">
        <v>146470</v>
      </c>
      <c r="AF920" t="n">
        <v>151000</v>
      </c>
      <c r="AG920" t="n">
        <v>19630</v>
      </c>
      <c r="AH920" t="n">
        <v>131370</v>
      </c>
      <c r="AI920" t="n">
        <v>0</v>
      </c>
    </row>
    <row r="921">
      <c r="A921" t="inlineStr">
        <is>
          <t>1월</t>
        </is>
      </c>
      <c r="B921" t="inlineStr">
        <is>
          <t>5주차</t>
        </is>
      </c>
      <c r="C921" t="inlineStr">
        <is>
          <t>EP</t>
        </is>
      </c>
      <c r="D921" s="28" t="n">
        <v>46052</v>
      </c>
      <c r="E921" t="inlineStr">
        <is>
          <t>현대EP</t>
        </is>
      </c>
      <c r="F921" t="inlineStr">
        <is>
          <t>신상원</t>
        </is>
      </c>
      <c r="G921" t="inlineStr">
        <is>
          <t>010-2484-3398</t>
        </is>
      </c>
      <c r="H921" t="inlineStr">
        <is>
          <t>121어8012</t>
        </is>
      </c>
      <c r="I921" t="n">
        <v>8000000</v>
      </c>
      <c r="J921" t="n">
        <v>0.057</v>
      </c>
      <c r="K921" t="n">
        <v>1.76</v>
      </c>
      <c r="L921" t="n">
        <v>0.13</v>
      </c>
      <c r="M921" t="n">
        <v>1.63</v>
      </c>
      <c r="P921" t="inlineStr">
        <is>
          <t>최형주</t>
        </is>
      </c>
      <c r="Q921" t="inlineStr">
        <is>
          <t>홈서비스 60개월</t>
        </is>
      </c>
      <c r="AB921" t="inlineStr">
        <is>
          <t>홈서비스</t>
        </is>
      </c>
      <c r="AC921" t="n">
        <v>140800</v>
      </c>
      <c r="AD921" t="n">
        <v>10400</v>
      </c>
      <c r="AE921" t="n">
        <v>130400</v>
      </c>
      <c r="AF921" t="n">
        <v>128000</v>
      </c>
      <c r="AG921" t="n">
        <v>10400</v>
      </c>
      <c r="AH921" t="n">
        <v>117600</v>
      </c>
    </row>
    <row r="922">
      <c r="A922" t="inlineStr">
        <is>
          <t>1월</t>
        </is>
      </c>
      <c r="B922" t="inlineStr">
        <is>
          <t>5주차</t>
        </is>
      </c>
      <c r="C922" t="inlineStr">
        <is>
          <t>EP</t>
        </is>
      </c>
      <c r="D922" s="28" t="n">
        <v>46052</v>
      </c>
      <c r="E922" t="inlineStr">
        <is>
          <t>현대EP</t>
        </is>
      </c>
      <c r="F922" t="inlineStr">
        <is>
          <t>표진욱</t>
        </is>
      </c>
      <c r="G922" t="inlineStr">
        <is>
          <t>010-5779-5642</t>
        </is>
      </c>
      <c r="H922" t="inlineStr">
        <is>
          <t>130무2225</t>
        </is>
      </c>
      <c r="I922" t="n">
        <v>30000000</v>
      </c>
      <c r="J922" t="n">
        <v>0.067</v>
      </c>
      <c r="K922" t="n">
        <v>1.76</v>
      </c>
      <c r="L922" t="n">
        <v>0.13</v>
      </c>
      <c r="M922" t="n">
        <v>1.63</v>
      </c>
      <c r="P922" t="inlineStr">
        <is>
          <t>최형주</t>
        </is>
      </c>
      <c r="Q922" t="inlineStr">
        <is>
          <t>홈서비스 60개월</t>
        </is>
      </c>
      <c r="AB922" t="inlineStr">
        <is>
          <t>홈서비스</t>
        </is>
      </c>
      <c r="AC922" t="n">
        <v>528000</v>
      </c>
      <c r="AD922" t="n">
        <v>39000</v>
      </c>
      <c r="AE922" t="n">
        <v>489000</v>
      </c>
      <c r="AF922" t="n">
        <v>480000</v>
      </c>
      <c r="AG922" t="n">
        <v>39000</v>
      </c>
      <c r="AH922" t="n">
        <v>441000</v>
      </c>
    </row>
    <row r="923">
      <c r="A923" t="inlineStr">
        <is>
          <t>1월</t>
        </is>
      </c>
      <c r="B923" t="inlineStr">
        <is>
          <t>5주차</t>
        </is>
      </c>
      <c r="C923" t="inlineStr">
        <is>
          <t>EP</t>
        </is>
      </c>
      <c r="D923" s="28" t="n">
        <v>46053</v>
      </c>
      <c r="E923" t="inlineStr">
        <is>
          <t>현대EP_fast</t>
        </is>
      </c>
      <c r="F923" t="inlineStr">
        <is>
          <t>한헤진</t>
        </is>
      </c>
      <c r="G923" t="inlineStr">
        <is>
          <t>010-5805-7391</t>
        </is>
      </c>
      <c r="H923" t="inlineStr">
        <is>
          <t>09다6635</t>
        </is>
      </c>
      <c r="I923" t="n">
        <v>10500000</v>
      </c>
      <c r="J923" t="n">
        <v>0.077</v>
      </c>
      <c r="K923" t="n">
        <v>1.76</v>
      </c>
      <c r="L923" t="n">
        <v>0.4</v>
      </c>
      <c r="M923" t="n">
        <v>1.36</v>
      </c>
      <c r="P923" t="inlineStr">
        <is>
          <t>정세빈</t>
        </is>
      </c>
      <c r="Q923" t="inlineStr">
        <is>
          <t>금리인하 0.5%적용건(8.2-&gt;7.7)</t>
        </is>
      </c>
      <c r="AB923" t="inlineStr">
        <is>
          <t>엔카</t>
        </is>
      </c>
      <c r="AC923" t="n">
        <v>184800</v>
      </c>
      <c r="AD923" t="n">
        <v>42000</v>
      </c>
      <c r="AE923" t="n">
        <v>142800</v>
      </c>
      <c r="AF923" t="n">
        <v>168000</v>
      </c>
      <c r="AG923" t="n">
        <v>42000</v>
      </c>
      <c r="AH923" t="n">
        <v>126000</v>
      </c>
      <c r="AI923" t="n">
        <v>0</v>
      </c>
    </row>
    <row r="924">
      <c r="A924" t="inlineStr">
        <is>
          <t>1월</t>
        </is>
      </c>
      <c r="B924" t="inlineStr">
        <is>
          <t>5주차</t>
        </is>
      </c>
      <c r="C924" t="inlineStr">
        <is>
          <t>EP</t>
        </is>
      </c>
      <c r="D924" s="28" t="n">
        <v>46053</v>
      </c>
      <c r="E924" t="inlineStr">
        <is>
          <t>현대EP</t>
        </is>
      </c>
      <c r="F924" t="inlineStr">
        <is>
          <t>차재민</t>
        </is>
      </c>
      <c r="G924" t="inlineStr">
        <is>
          <t>010-4635-2787</t>
        </is>
      </c>
      <c r="H924" t="inlineStr">
        <is>
          <t>143루3427</t>
        </is>
      </c>
      <c r="I924" t="n">
        <v>11100000</v>
      </c>
      <c r="J924" t="n">
        <v>0.073</v>
      </c>
      <c r="K924" t="n">
        <v>1.76</v>
      </c>
      <c r="L924" t="n">
        <v>0.13</v>
      </c>
      <c r="M924" t="n">
        <v>1.63</v>
      </c>
      <c r="P924" t="inlineStr">
        <is>
          <t>황채이</t>
        </is>
      </c>
      <c r="Q924" t="inlineStr">
        <is>
          <t>홈서비스 60개월</t>
        </is>
      </c>
      <c r="AB924" t="inlineStr">
        <is>
          <t>홈서비스</t>
        </is>
      </c>
      <c r="AC924" t="n">
        <v>195360</v>
      </c>
      <c r="AD924" t="n">
        <v>14430</v>
      </c>
      <c r="AE924" t="n">
        <v>180930</v>
      </c>
      <c r="AF924" t="n">
        <v>177600</v>
      </c>
      <c r="AG924" t="n">
        <v>14430</v>
      </c>
      <c r="AH924" t="n">
        <v>163170</v>
      </c>
    </row>
    <row r="925">
      <c r="A925" t="inlineStr">
        <is>
          <t>1월</t>
        </is>
      </c>
      <c r="B925" t="inlineStr">
        <is>
          <t>5주차</t>
        </is>
      </c>
      <c r="C925" t="inlineStr">
        <is>
          <t>EP</t>
        </is>
      </c>
      <c r="D925" s="28" t="n">
        <v>46053</v>
      </c>
      <c r="E925" t="inlineStr">
        <is>
          <t>현대EP_fast</t>
        </is>
      </c>
      <c r="F925" t="inlineStr">
        <is>
          <t>김경묵</t>
        </is>
      </c>
      <c r="G925" t="inlineStr">
        <is>
          <t>010-7229-3055</t>
        </is>
      </c>
      <c r="H925" t="inlineStr">
        <is>
          <t>219거6203</t>
        </is>
      </c>
      <c r="I925" t="n">
        <v>11400000</v>
      </c>
      <c r="J925" t="n">
        <v>0.07199999999999999</v>
      </c>
      <c r="K925" t="n">
        <v>1.76</v>
      </c>
      <c r="L925" t="n">
        <v>0.13</v>
      </c>
      <c r="M925" t="n">
        <v>1.63</v>
      </c>
      <c r="P925" t="inlineStr">
        <is>
          <t>정세빈</t>
        </is>
      </c>
      <c r="Q925" t="inlineStr">
        <is>
          <t>홈서비스 48개월 / 카피아알선</t>
        </is>
      </c>
      <c r="AB925" t="inlineStr">
        <is>
          <t>홈서비스</t>
        </is>
      </c>
      <c r="AC925" t="n">
        <v>200640</v>
      </c>
      <c r="AD925" t="n">
        <v>14820</v>
      </c>
      <c r="AE925" t="n">
        <v>185820</v>
      </c>
      <c r="AF925" t="n">
        <v>182400</v>
      </c>
      <c r="AG925" t="n">
        <v>14820</v>
      </c>
      <c r="AH925" t="n">
        <v>167580</v>
      </c>
    </row>
    <row r="926">
      <c r="A926" t="inlineStr">
        <is>
          <t>1월</t>
        </is>
      </c>
      <c r="B926" t="inlineStr">
        <is>
          <t>5주차</t>
        </is>
      </c>
      <c r="C926" t="inlineStr">
        <is>
          <t>EP</t>
        </is>
      </c>
      <c r="D926" s="28" t="n">
        <v>46051</v>
      </c>
      <c r="E926" t="inlineStr">
        <is>
          <t>현대EP</t>
        </is>
      </c>
      <c r="F926" t="inlineStr">
        <is>
          <t>국선경</t>
        </is>
      </c>
      <c r="G926" t="inlineStr">
        <is>
          <t>010-9605-1704</t>
        </is>
      </c>
      <c r="H926" t="inlineStr">
        <is>
          <t>102도1454</t>
        </is>
      </c>
      <c r="I926" t="n">
        <v>19500000</v>
      </c>
      <c r="J926" t="n">
        <v>0.083</v>
      </c>
      <c r="K926" t="n">
        <v>1.76</v>
      </c>
      <c r="L926" t="n">
        <v>0.13</v>
      </c>
      <c r="M926" t="n">
        <v>1.63</v>
      </c>
      <c r="P926" t="inlineStr">
        <is>
          <t>정광호</t>
        </is>
      </c>
      <c r="AB926" t="inlineStr">
        <is>
          <t>홈서비스</t>
        </is>
      </c>
      <c r="AC926" t="n">
        <v>343200</v>
      </c>
      <c r="AD926" t="n">
        <v>25350</v>
      </c>
      <c r="AE926" t="n">
        <v>317850</v>
      </c>
      <c r="AF926" t="n">
        <v>312000</v>
      </c>
      <c r="AG926" t="n">
        <v>25350</v>
      </c>
      <c r="AH926" t="n">
        <v>286650</v>
      </c>
      <c r="AI926" t="n">
        <v>0</v>
      </c>
    </row>
    <row r="927">
      <c r="A927" t="inlineStr">
        <is>
          <t>2월</t>
        </is>
      </c>
      <c r="B927" t="inlineStr">
        <is>
          <t>6주차</t>
        </is>
      </c>
      <c r="C927" t="inlineStr">
        <is>
          <t>EP</t>
        </is>
      </c>
      <c r="D927" s="28" t="n">
        <v>46057</v>
      </c>
      <c r="E927" t="inlineStr">
        <is>
          <t>현대EP_fast</t>
        </is>
      </c>
      <c r="F927" t="inlineStr">
        <is>
          <t>김광욱</t>
        </is>
      </c>
      <c r="G927" t="inlineStr">
        <is>
          <t>010-9111-5468</t>
        </is>
      </c>
      <c r="H927" t="inlineStr">
        <is>
          <t>322소7331</t>
        </is>
      </c>
      <c r="I927" t="n">
        <v>-8200000</v>
      </c>
      <c r="J927" t="n">
        <v>0.093</v>
      </c>
      <c r="K927" t="n">
        <v>1.76</v>
      </c>
      <c r="L927" t="n">
        <v>0.14</v>
      </c>
      <c r="M927" t="n">
        <v>1.62</v>
      </c>
      <c r="P927" t="inlineStr">
        <is>
          <t>최형주</t>
        </is>
      </c>
      <c r="Q927" t="inlineStr">
        <is>
          <t>홈서비스 60개월</t>
        </is>
      </c>
      <c r="AB927" t="inlineStr">
        <is>
          <t>홈서비스</t>
        </is>
      </c>
      <c r="AC927" t="n">
        <v>-144320</v>
      </c>
      <c r="AD927" t="n">
        <v>-11480</v>
      </c>
      <c r="AE927" t="n">
        <v>-132840</v>
      </c>
      <c r="AF927" t="n">
        <v>-131200</v>
      </c>
      <c r="AG927" t="n">
        <v>-11480</v>
      </c>
      <c r="AH927" t="n">
        <v>-119720</v>
      </c>
      <c r="AI927" t="n">
        <v>0</v>
      </c>
    </row>
    <row r="928">
      <c r="A928" t="inlineStr">
        <is>
          <t>1월</t>
        </is>
      </c>
      <c r="B928" t="inlineStr">
        <is>
          <t>5주차</t>
        </is>
      </c>
      <c r="C928" t="inlineStr">
        <is>
          <t>EP</t>
        </is>
      </c>
      <c r="D928" s="28" t="n">
        <v>46051</v>
      </c>
      <c r="E928" t="inlineStr">
        <is>
          <t>현대EP_fast</t>
        </is>
      </c>
      <c r="F928" t="inlineStr">
        <is>
          <t>김채윤</t>
        </is>
      </c>
      <c r="G928" t="inlineStr">
        <is>
          <t>010-2496-5249</t>
        </is>
      </c>
      <c r="H928" t="inlineStr">
        <is>
          <t>285보6186</t>
        </is>
      </c>
      <c r="I928" t="n">
        <v>21100000</v>
      </c>
      <c r="J928" t="n">
        <v>0.082</v>
      </c>
      <c r="K928" t="n">
        <v>1.76</v>
      </c>
      <c r="L928" t="n">
        <v>0.4</v>
      </c>
      <c r="M928" t="n">
        <v>1.36</v>
      </c>
      <c r="P928" t="inlineStr">
        <is>
          <t>박보람</t>
        </is>
      </c>
      <c r="Q928" t="inlineStr">
        <is>
          <t>금리인하 0.5% 적용건 (8.7-&gt;8.2)</t>
        </is>
      </c>
      <c r="AB928" t="inlineStr">
        <is>
          <t>엔카</t>
        </is>
      </c>
      <c r="AC928" t="n">
        <v>371360</v>
      </c>
      <c r="AD928" t="n">
        <v>84400</v>
      </c>
      <c r="AE928" t="n">
        <v>286960</v>
      </c>
      <c r="AF928" t="n">
        <v>337600</v>
      </c>
      <c r="AG928" t="n">
        <v>84400</v>
      </c>
      <c r="AH928" t="n">
        <v>253200</v>
      </c>
      <c r="AI928" t="n">
        <v>0</v>
      </c>
    </row>
    <row r="929">
      <c r="A929" t="inlineStr">
        <is>
          <t>2월</t>
        </is>
      </c>
      <c r="B929" t="inlineStr">
        <is>
          <t>6주차</t>
        </is>
      </c>
      <c r="C929" t="inlineStr">
        <is>
          <t>EP</t>
        </is>
      </c>
      <c r="D929" s="28" t="n">
        <v>46055</v>
      </c>
      <c r="E929" t="inlineStr">
        <is>
          <t>BNKEP</t>
        </is>
      </c>
      <c r="F929" t="inlineStr">
        <is>
          <t>조래근</t>
        </is>
      </c>
      <c r="G929" t="inlineStr">
        <is>
          <t>010-3673-3596</t>
        </is>
      </c>
      <c r="H929" t="inlineStr">
        <is>
          <t>162어8602</t>
        </is>
      </c>
      <c r="I929" t="n">
        <v>9900000</v>
      </c>
      <c r="J929" t="n">
        <v>0.073</v>
      </c>
      <c r="K929" t="n">
        <v>1.65</v>
      </c>
      <c r="L929" t="n">
        <v>0.14</v>
      </c>
      <c r="M929" t="n">
        <v>1.51</v>
      </c>
      <c r="P929" t="inlineStr">
        <is>
          <t>황채이</t>
        </is>
      </c>
      <c r="Q929" t="inlineStr">
        <is>
          <t>사유 : 금리불만 / 현대 8.2% / 홈서비스 48개월</t>
        </is>
      </c>
      <c r="AB929" t="inlineStr">
        <is>
          <t>홈서비스</t>
        </is>
      </c>
      <c r="AC929" t="n">
        <v>163350</v>
      </c>
      <c r="AD929" t="n">
        <v>13860</v>
      </c>
      <c r="AE929" t="n">
        <v>149490</v>
      </c>
      <c r="AF929" t="n">
        <v>148500</v>
      </c>
      <c r="AG929" t="n">
        <v>13860</v>
      </c>
      <c r="AH929" t="n">
        <v>134640</v>
      </c>
      <c r="AI929" t="n">
        <v>0</v>
      </c>
    </row>
    <row r="930">
      <c r="A930" t="inlineStr">
        <is>
          <t>2월</t>
        </is>
      </c>
      <c r="B930" t="inlineStr">
        <is>
          <t>6주차</t>
        </is>
      </c>
      <c r="C930" t="inlineStr">
        <is>
          <t>EP</t>
        </is>
      </c>
      <c r="D930" s="28" t="n">
        <v>46060</v>
      </c>
      <c r="E930" t="inlineStr">
        <is>
          <t>현대EP</t>
        </is>
      </c>
      <c r="F930" t="inlineStr">
        <is>
          <t>박미현</t>
        </is>
      </c>
      <c r="G930" t="inlineStr">
        <is>
          <t>010-9601-7423</t>
        </is>
      </c>
      <c r="H930" t="inlineStr">
        <is>
          <t>48누5223</t>
        </is>
      </c>
      <c r="I930" t="n">
        <v>3000000</v>
      </c>
      <c r="J930" t="n">
        <v>0.099</v>
      </c>
      <c r="K930" t="n">
        <v>1.76</v>
      </c>
      <c r="L930" t="n">
        <v>0.14</v>
      </c>
      <c r="M930" t="n">
        <v>1.62</v>
      </c>
      <c r="P930" t="inlineStr">
        <is>
          <t>최형주</t>
        </is>
      </c>
      <c r="Q930" t="inlineStr">
        <is>
          <t>홈서비스 36개월</t>
        </is>
      </c>
      <c r="AB930" t="inlineStr">
        <is>
          <t>홈서비스</t>
        </is>
      </c>
      <c r="AC930" t="n">
        <v>52800</v>
      </c>
      <c r="AD930" t="n">
        <v>4200</v>
      </c>
      <c r="AE930" t="n">
        <v>48600</v>
      </c>
      <c r="AF930" t="n">
        <v>48000</v>
      </c>
      <c r="AG930" t="n">
        <v>4200</v>
      </c>
      <c r="AH930" t="n">
        <v>43800</v>
      </c>
      <c r="AI930" t="n">
        <v>0</v>
      </c>
    </row>
    <row r="931">
      <c r="A931" t="inlineStr">
        <is>
          <t>1월</t>
        </is>
      </c>
      <c r="B931" t="inlineStr">
        <is>
          <t>5주차</t>
        </is>
      </c>
      <c r="C931" t="inlineStr">
        <is>
          <t>EP</t>
        </is>
      </c>
      <c r="D931" s="28" t="n">
        <v>46052</v>
      </c>
      <c r="E931" t="inlineStr">
        <is>
          <t>현대EP</t>
        </is>
      </c>
      <c r="F931" t="inlineStr">
        <is>
          <t>이충훈</t>
        </is>
      </c>
      <c r="G931" t="inlineStr">
        <is>
          <t>010-7579-0929</t>
        </is>
      </c>
      <c r="H931" t="inlineStr">
        <is>
          <t>63다3377</t>
        </is>
      </c>
      <c r="I931" t="n">
        <v>43800000</v>
      </c>
      <c r="J931" t="n">
        <v>0.068</v>
      </c>
      <c r="K931" t="n">
        <v>1.76</v>
      </c>
      <c r="L931" t="n">
        <v>0.13</v>
      </c>
      <c r="M931" t="n">
        <v>1.63</v>
      </c>
      <c r="P931" t="inlineStr">
        <is>
          <t>김나윤</t>
        </is>
      </c>
      <c r="Q931" t="inlineStr">
        <is>
          <t>홈서비스 48개월</t>
        </is>
      </c>
      <c r="AB931" t="inlineStr">
        <is>
          <t>홈서비스</t>
        </is>
      </c>
      <c r="AC931" t="n">
        <v>770880</v>
      </c>
      <c r="AD931" t="n">
        <v>56940</v>
      </c>
      <c r="AE931" t="n">
        <v>713940</v>
      </c>
      <c r="AF931" t="n">
        <v>700800</v>
      </c>
      <c r="AG931" t="n">
        <v>56940</v>
      </c>
      <c r="AH931" t="n">
        <v>643860</v>
      </c>
      <c r="AI931" t="n">
        <v>0</v>
      </c>
    </row>
    <row r="932">
      <c r="A932" t="inlineStr">
        <is>
          <t>2월</t>
        </is>
      </c>
      <c r="B932" t="inlineStr">
        <is>
          <t>5주차</t>
        </is>
      </c>
      <c r="C932" t="inlineStr">
        <is>
          <t>EP</t>
        </is>
      </c>
      <c r="D932" s="28" t="n">
        <v>46054</v>
      </c>
      <c r="E932" t="inlineStr">
        <is>
          <t>현대EP</t>
        </is>
      </c>
      <c r="F932" t="inlineStr">
        <is>
          <t>김영민</t>
        </is>
      </c>
      <c r="G932" t="inlineStr">
        <is>
          <t>010-6661-1997</t>
        </is>
      </c>
      <c r="H932" t="inlineStr">
        <is>
          <t>42수2324</t>
        </is>
      </c>
      <c r="I932" t="n">
        <v>3900000</v>
      </c>
      <c r="J932" t="n">
        <v>0.067</v>
      </c>
      <c r="K932" t="n">
        <v>1.76</v>
      </c>
      <c r="L932" t="n">
        <v>0.14</v>
      </c>
      <c r="M932" t="n">
        <v>1.62</v>
      </c>
      <c r="P932" t="inlineStr">
        <is>
          <t>정세빈</t>
        </is>
      </c>
      <c r="Q932" t="inlineStr">
        <is>
          <t>홈서비스 24개월</t>
        </is>
      </c>
      <c r="AB932" t="inlineStr">
        <is>
          <t>홈서비스</t>
        </is>
      </c>
      <c r="AC932" t="n">
        <v>68640</v>
      </c>
      <c r="AD932" t="n">
        <v>5460</v>
      </c>
      <c r="AE932" t="n">
        <v>63180</v>
      </c>
      <c r="AF932" t="n">
        <v>62400</v>
      </c>
      <c r="AG932" t="n">
        <v>5460</v>
      </c>
      <c r="AH932" t="n">
        <v>56940</v>
      </c>
      <c r="AI932" t="n">
        <v>0</v>
      </c>
    </row>
    <row r="933">
      <c r="A933" t="inlineStr">
        <is>
          <t>2월</t>
        </is>
      </c>
      <c r="B933" t="inlineStr">
        <is>
          <t>6주차</t>
        </is>
      </c>
      <c r="C933" t="inlineStr">
        <is>
          <t>EP</t>
        </is>
      </c>
      <c r="D933" s="28" t="n">
        <v>46055</v>
      </c>
      <c r="E933" t="inlineStr">
        <is>
          <t>BNKEP</t>
        </is>
      </c>
      <c r="F933" t="inlineStr">
        <is>
          <t>이호진</t>
        </is>
      </c>
      <c r="G933" t="inlineStr">
        <is>
          <t>010-5005-0017</t>
        </is>
      </c>
      <c r="H933" t="inlineStr">
        <is>
          <t>94루9416</t>
        </is>
      </c>
      <c r="I933" t="n">
        <v>5900000</v>
      </c>
      <c r="J933" t="n">
        <v>0.097</v>
      </c>
      <c r="K933" t="n">
        <v>1.65</v>
      </c>
      <c r="L933" t="n">
        <v>0.14</v>
      </c>
      <c r="M933" t="n">
        <v>1.51</v>
      </c>
      <c r="P933" t="inlineStr">
        <is>
          <t>황채이</t>
        </is>
      </c>
      <c r="Q933" t="inlineStr">
        <is>
          <t>홈서비스 36개월</t>
        </is>
      </c>
      <c r="AB933" t="inlineStr">
        <is>
          <t>홈서비스</t>
        </is>
      </c>
      <c r="AC933" t="n">
        <v>97350</v>
      </c>
      <c r="AD933" t="n">
        <v>8260</v>
      </c>
      <c r="AE933" t="n">
        <v>89090</v>
      </c>
      <c r="AF933" t="n">
        <v>88500</v>
      </c>
      <c r="AG933" t="n">
        <v>8260</v>
      </c>
      <c r="AH933" t="n">
        <v>80240</v>
      </c>
      <c r="AI933" t="n">
        <v>0</v>
      </c>
    </row>
    <row r="934">
      <c r="A934" t="inlineStr">
        <is>
          <t>2월</t>
        </is>
      </c>
      <c r="B934" t="inlineStr">
        <is>
          <t>7주차</t>
        </is>
      </c>
      <c r="C934" t="inlineStr">
        <is>
          <t>EP</t>
        </is>
      </c>
      <c r="D934" s="28" t="n">
        <v>46064</v>
      </c>
      <c r="E934" t="inlineStr">
        <is>
          <t>현대EP_fast</t>
        </is>
      </c>
      <c r="F934" t="inlineStr">
        <is>
          <t>김재연</t>
        </is>
      </c>
      <c r="G934" t="inlineStr">
        <is>
          <t>010-7648-9949</t>
        </is>
      </c>
      <c r="H934" t="inlineStr">
        <is>
          <t>185나5597</t>
        </is>
      </c>
      <c r="I934" t="n">
        <v>9100000</v>
      </c>
      <c r="J934" t="n">
        <v>0.115</v>
      </c>
      <c r="K934" t="n">
        <v>1.76</v>
      </c>
      <c r="L934" t="n">
        <v>0.14</v>
      </c>
      <c r="M934" t="n">
        <v>1.62</v>
      </c>
      <c r="P934" t="inlineStr">
        <is>
          <t>김나윤</t>
        </is>
      </c>
      <c r="Q934" t="inlineStr">
        <is>
          <t>홈서비스 48개월</t>
        </is>
      </c>
      <c r="AB934" t="inlineStr">
        <is>
          <t>홈서비스</t>
        </is>
      </c>
      <c r="AC934" t="n">
        <v>160160</v>
      </c>
      <c r="AD934" t="n">
        <v>12740</v>
      </c>
      <c r="AE934" t="n">
        <v>147420</v>
      </c>
      <c r="AF934" t="n">
        <v>145600</v>
      </c>
      <c r="AG934" t="n">
        <v>12740</v>
      </c>
      <c r="AH934" t="n">
        <v>132860</v>
      </c>
      <c r="AI934" t="n">
        <v>0</v>
      </c>
    </row>
    <row r="935">
      <c r="A935" t="inlineStr">
        <is>
          <t>2월</t>
        </is>
      </c>
      <c r="B935" t="inlineStr">
        <is>
          <t>6주차</t>
        </is>
      </c>
      <c r="C935" t="inlineStr">
        <is>
          <t>IM</t>
        </is>
      </c>
      <c r="D935" s="28" t="n">
        <v>46055</v>
      </c>
      <c r="E935" t="inlineStr">
        <is>
          <t>IM캐피탈</t>
        </is>
      </c>
      <c r="F935" t="inlineStr">
        <is>
          <t>문상현</t>
        </is>
      </c>
      <c r="G935" t="inlineStr">
        <is>
          <t>010-5325-6900</t>
        </is>
      </c>
      <c r="H935" t="inlineStr">
        <is>
          <t>103모8884</t>
        </is>
      </c>
      <c r="I935" t="n">
        <v>39000000</v>
      </c>
      <c r="J935" t="n">
        <v>0.049</v>
      </c>
      <c r="K935" t="n">
        <v>1.1</v>
      </c>
      <c r="L935" t="n">
        <v>0.14</v>
      </c>
      <c r="M935" t="n">
        <v>0.96</v>
      </c>
      <c r="P935" t="inlineStr">
        <is>
          <t>황채이</t>
        </is>
      </c>
      <c r="Q935" t="inlineStr">
        <is>
          <t>홈서비스 60개월</t>
        </is>
      </c>
      <c r="AB935" t="inlineStr">
        <is>
          <t>홈서비스</t>
        </is>
      </c>
      <c r="AC935" t="n">
        <v>429000</v>
      </c>
      <c r="AD935" t="n">
        <v>54600</v>
      </c>
      <c r="AE935" t="n">
        <v>374400</v>
      </c>
      <c r="AF935" t="n">
        <v>390000</v>
      </c>
      <c r="AG935" t="n">
        <v>54600</v>
      </c>
      <c r="AH935" t="n">
        <v>335400</v>
      </c>
      <c r="AI935" t="n">
        <v>0</v>
      </c>
    </row>
    <row r="936">
      <c r="A936" t="inlineStr">
        <is>
          <t>2월</t>
        </is>
      </c>
      <c r="B936" t="inlineStr">
        <is>
          <t>7주차</t>
        </is>
      </c>
      <c r="C936" t="inlineStr">
        <is>
          <t>EP</t>
        </is>
      </c>
      <c r="D936" s="28" t="n">
        <v>46064</v>
      </c>
      <c r="E936" t="inlineStr">
        <is>
          <t>현대EP_fast</t>
        </is>
      </c>
      <c r="F936" t="inlineStr">
        <is>
          <t>김재연</t>
        </is>
      </c>
      <c r="G936" t="inlineStr">
        <is>
          <t>010-7648-9949</t>
        </is>
      </c>
      <c r="H936" t="inlineStr">
        <is>
          <t>185나5597</t>
        </is>
      </c>
      <c r="I936" t="n">
        <v>-9100000</v>
      </c>
      <c r="J936" t="n">
        <v>0.115</v>
      </c>
      <c r="K936" t="n">
        <v>1.76</v>
      </c>
      <c r="L936" t="n">
        <v>0.14</v>
      </c>
      <c r="M936" t="n">
        <v>1.62</v>
      </c>
      <c r="P936" t="inlineStr">
        <is>
          <t>김나윤</t>
        </is>
      </c>
      <c r="Q936" t="inlineStr">
        <is>
          <t>홈서비스 48개월</t>
        </is>
      </c>
      <c r="AB936" t="inlineStr">
        <is>
          <t>홈서비스</t>
        </is>
      </c>
      <c r="AC936" t="n">
        <v>-160160</v>
      </c>
      <c r="AD936" t="n">
        <v>-12740</v>
      </c>
      <c r="AE936" t="n">
        <v>-147420</v>
      </c>
      <c r="AF936" t="n">
        <v>-145600</v>
      </c>
      <c r="AG936" t="n">
        <v>-12740</v>
      </c>
      <c r="AH936" t="n">
        <v>-132860</v>
      </c>
      <c r="AI936" t="n">
        <v>0</v>
      </c>
    </row>
    <row r="937">
      <c r="A937" t="inlineStr">
        <is>
          <t>2월</t>
        </is>
      </c>
      <c r="B937" t="inlineStr">
        <is>
          <t>7주차</t>
        </is>
      </c>
      <c r="C937" t="inlineStr">
        <is>
          <t>EP</t>
        </is>
      </c>
      <c r="D937" s="28" t="n">
        <v>46064</v>
      </c>
      <c r="E937" t="inlineStr">
        <is>
          <t>현대EP_fast</t>
        </is>
      </c>
      <c r="F937" t="inlineStr">
        <is>
          <t>김영훈</t>
        </is>
      </c>
      <c r="G937" t="inlineStr">
        <is>
          <t>010-9900-0523</t>
        </is>
      </c>
      <c r="H937" t="inlineStr">
        <is>
          <t>11모5129</t>
        </is>
      </c>
      <c r="I937" t="n">
        <v>5000000</v>
      </c>
      <c r="J937" t="n">
        <v>0.079</v>
      </c>
      <c r="K937" t="n">
        <v>1.76</v>
      </c>
      <c r="L937" t="n">
        <v>0.14</v>
      </c>
      <c r="M937" t="n">
        <v>1.62</v>
      </c>
      <c r="P937" t="inlineStr">
        <is>
          <t>정광호</t>
        </is>
      </c>
      <c r="Q937" t="inlineStr">
        <is>
          <t>홈서비스 24개월</t>
        </is>
      </c>
      <c r="AB937" t="inlineStr">
        <is>
          <t>홈서비스</t>
        </is>
      </c>
      <c r="AC937" t="n">
        <v>88000</v>
      </c>
      <c r="AD937" t="n">
        <v>7000</v>
      </c>
      <c r="AE937" t="n">
        <v>81000</v>
      </c>
      <c r="AF937" t="n">
        <v>80000</v>
      </c>
      <c r="AG937" t="n">
        <v>7000</v>
      </c>
      <c r="AH937" t="n">
        <v>73000</v>
      </c>
      <c r="AI937" t="n">
        <v>0</v>
      </c>
    </row>
    <row r="938">
      <c r="A938" t="inlineStr">
        <is>
          <t>1월</t>
        </is>
      </c>
      <c r="B938" t="inlineStr">
        <is>
          <t>5주차</t>
        </is>
      </c>
      <c r="C938" t="inlineStr">
        <is>
          <t>IM</t>
        </is>
      </c>
      <c r="D938" s="28" t="n">
        <v>46051</v>
      </c>
      <c r="E938" t="inlineStr">
        <is>
          <t>IM캐피탈</t>
        </is>
      </c>
      <c r="F938" t="inlineStr">
        <is>
          <t>김문수</t>
        </is>
      </c>
      <c r="G938" t="inlineStr">
        <is>
          <t>010-9343-4192</t>
        </is>
      </c>
      <c r="H938" t="inlineStr">
        <is>
          <t>168가9924</t>
        </is>
      </c>
      <c r="I938" t="n">
        <v>-40000000</v>
      </c>
      <c r="J938" t="n">
        <v>0.049</v>
      </c>
      <c r="K938" t="n">
        <v>0.55</v>
      </c>
      <c r="L938" t="n">
        <v>0.13</v>
      </c>
      <c r="M938" t="n">
        <v>0.42</v>
      </c>
      <c r="P938" t="inlineStr">
        <is>
          <t>정광호</t>
        </is>
      </c>
      <c r="Q938" t="inlineStr">
        <is>
          <t>홈서비스 60개월 / 사유 : 금리불만/ *철회 20260205</t>
        </is>
      </c>
      <c r="AB938" t="inlineStr">
        <is>
          <t>홈서비스</t>
        </is>
      </c>
      <c r="AC938" t="n">
        <v>-220000</v>
      </c>
      <c r="AD938" t="n">
        <v>-52000</v>
      </c>
      <c r="AE938" t="n">
        <v>-168000</v>
      </c>
      <c r="AF938" t="n">
        <v>-200000</v>
      </c>
      <c r="AG938" t="n">
        <v>-52000</v>
      </c>
      <c r="AH938" t="n">
        <v>-148000</v>
      </c>
      <c r="AK938" t="inlineStr">
        <is>
          <t>대출철회</t>
        </is>
      </c>
    </row>
    <row r="939">
      <c r="A939" t="inlineStr">
        <is>
          <t>1월</t>
        </is>
      </c>
      <c r="B939" t="inlineStr">
        <is>
          <t>5주차</t>
        </is>
      </c>
      <c r="C939" t="inlineStr">
        <is>
          <t>EP</t>
        </is>
      </c>
      <c r="D939" s="28" t="n">
        <v>46051</v>
      </c>
      <c r="E939" t="inlineStr">
        <is>
          <t>현대EP_fast</t>
        </is>
      </c>
      <c r="F939" t="inlineStr">
        <is>
          <t>서희주</t>
        </is>
      </c>
      <c r="G939" t="inlineStr">
        <is>
          <t>010-5699-5241</t>
        </is>
      </c>
      <c r="H939" t="inlineStr">
        <is>
          <t>110누9121</t>
        </is>
      </c>
      <c r="I939" t="n">
        <v>11900000</v>
      </c>
      <c r="J939" t="n">
        <v>0.111</v>
      </c>
      <c r="K939" t="n">
        <v>1.76</v>
      </c>
      <c r="L939" t="n">
        <v>0.13</v>
      </c>
      <c r="M939" t="n">
        <v>1.63</v>
      </c>
      <c r="P939" t="inlineStr">
        <is>
          <t>박소현</t>
        </is>
      </c>
      <c r="Q939" t="inlineStr">
        <is>
          <t>선상담 / 홈서비스 36개월</t>
        </is>
      </c>
      <c r="AB939" t="inlineStr">
        <is>
          <t>홈서비스</t>
        </is>
      </c>
      <c r="AC939" t="n">
        <v>209440</v>
      </c>
      <c r="AD939" t="n">
        <v>15470</v>
      </c>
      <c r="AE939" t="n">
        <v>193970</v>
      </c>
      <c r="AF939" t="n">
        <v>190400</v>
      </c>
      <c r="AG939" t="n">
        <v>15470</v>
      </c>
      <c r="AH939" t="n">
        <v>174930</v>
      </c>
      <c r="AI939" t="n">
        <v>1</v>
      </c>
    </row>
    <row r="940">
      <c r="A940" t="inlineStr">
        <is>
          <t>2월</t>
        </is>
      </c>
      <c r="B940" t="inlineStr">
        <is>
          <t>6주차</t>
        </is>
      </c>
      <c r="C940" t="inlineStr">
        <is>
          <t>IM</t>
        </is>
      </c>
      <c r="D940" s="28" t="n">
        <v>46059</v>
      </c>
      <c r="E940" t="inlineStr">
        <is>
          <t>IM캐피탈</t>
        </is>
      </c>
      <c r="F940" t="inlineStr">
        <is>
          <t>김민석</t>
        </is>
      </c>
      <c r="G940" t="inlineStr">
        <is>
          <t>010-6707-3261</t>
        </is>
      </c>
      <c r="H940" t="inlineStr">
        <is>
          <t>24더2011</t>
        </is>
      </c>
      <c r="I940" t="n">
        <v>12600000</v>
      </c>
      <c r="J940" t="n">
        <v>0.056</v>
      </c>
      <c r="K940" t="n">
        <v>1.1</v>
      </c>
      <c r="L940" t="n">
        <v>0.14</v>
      </c>
      <c r="M940" t="n">
        <v>0.96</v>
      </c>
      <c r="P940" t="inlineStr">
        <is>
          <t>정광호</t>
        </is>
      </c>
      <c r="Q940" t="inlineStr">
        <is>
          <t>홈서비스 72개월</t>
        </is>
      </c>
      <c r="AB940" t="inlineStr">
        <is>
          <t>홈서비스</t>
        </is>
      </c>
      <c r="AC940" t="n">
        <v>138600</v>
      </c>
      <c r="AD940" t="n">
        <v>17640</v>
      </c>
      <c r="AE940" t="n">
        <v>120960</v>
      </c>
      <c r="AF940" t="n">
        <v>126000</v>
      </c>
      <c r="AG940" t="n">
        <v>17640</v>
      </c>
      <c r="AH940" t="n">
        <v>108360</v>
      </c>
      <c r="AI940" t="n">
        <v>1</v>
      </c>
    </row>
    <row r="941">
      <c r="A941" t="inlineStr">
        <is>
          <t>2월</t>
        </is>
      </c>
      <c r="B941" t="inlineStr">
        <is>
          <t>7주차</t>
        </is>
      </c>
      <c r="C941" t="inlineStr">
        <is>
          <t>EP</t>
        </is>
      </c>
      <c r="D941" s="28" t="n">
        <v>46062</v>
      </c>
      <c r="E941" t="inlineStr">
        <is>
          <t>현대EP_fast</t>
        </is>
      </c>
      <c r="F941" t="inlineStr">
        <is>
          <t>윤석용</t>
        </is>
      </c>
      <c r="G941" t="inlineStr">
        <is>
          <t>010-2787-8007</t>
        </is>
      </c>
      <c r="H941" t="inlineStr">
        <is>
          <t>107보6904</t>
        </is>
      </c>
      <c r="I941" t="n">
        <v>14500000</v>
      </c>
      <c r="J941" t="n">
        <v>0.097</v>
      </c>
      <c r="K941" t="n">
        <v>1.76</v>
      </c>
      <c r="L941" t="n">
        <v>0.14</v>
      </c>
      <c r="M941" t="n">
        <v>1.62</v>
      </c>
      <c r="P941" t="inlineStr">
        <is>
          <t>정하은</t>
        </is>
      </c>
      <c r="Q941" t="inlineStr">
        <is>
          <t>홈서비스60개월 /고객주도체결</t>
        </is>
      </c>
      <c r="AB941" t="inlineStr">
        <is>
          <t>홈서비스</t>
        </is>
      </c>
      <c r="AC941" t="n">
        <v>255200</v>
      </c>
      <c r="AD941" t="n">
        <v>20300</v>
      </c>
      <c r="AE941" t="n">
        <v>234900</v>
      </c>
      <c r="AF941" t="n">
        <v>232000</v>
      </c>
      <c r="AG941" t="n">
        <v>20300</v>
      </c>
      <c r="AH941" t="n">
        <v>211700</v>
      </c>
      <c r="AI941" t="n">
        <v>1</v>
      </c>
    </row>
    <row r="942">
      <c r="A942" t="inlineStr">
        <is>
          <t>2월</t>
        </is>
      </c>
      <c r="B942" t="inlineStr">
        <is>
          <t>5주차</t>
        </is>
      </c>
      <c r="C942" t="inlineStr">
        <is>
          <t>EP</t>
        </is>
      </c>
      <c r="D942" s="28" t="n">
        <v>46054</v>
      </c>
      <c r="E942" t="inlineStr">
        <is>
          <t>현대EP</t>
        </is>
      </c>
      <c r="F942" t="inlineStr">
        <is>
          <t>김보라</t>
        </is>
      </c>
      <c r="G942" t="inlineStr">
        <is>
          <t>010-2043-9425</t>
        </is>
      </c>
      <c r="H942" t="inlineStr">
        <is>
          <t>15주7337</t>
        </is>
      </c>
      <c r="I942" t="n">
        <v>4900000</v>
      </c>
      <c r="J942" t="n">
        <v>0.068</v>
      </c>
      <c r="K942" t="n">
        <v>1.76</v>
      </c>
      <c r="L942" t="n">
        <v>0.14</v>
      </c>
      <c r="M942" t="n">
        <v>1.62</v>
      </c>
      <c r="P942" t="inlineStr">
        <is>
          <t>정세빈</t>
        </is>
      </c>
      <c r="Q942" t="inlineStr">
        <is>
          <t>홈서비스 36개월</t>
        </is>
      </c>
      <c r="AB942" t="inlineStr">
        <is>
          <t>홈서비스</t>
        </is>
      </c>
      <c r="AC942" t="n">
        <v>86240</v>
      </c>
      <c r="AD942" t="n">
        <v>6860</v>
      </c>
      <c r="AE942" t="n">
        <v>79380</v>
      </c>
      <c r="AF942" t="n">
        <v>78400</v>
      </c>
      <c r="AG942" t="n">
        <v>6860</v>
      </c>
      <c r="AH942" t="n">
        <v>71540</v>
      </c>
      <c r="AI942" t="n">
        <v>1</v>
      </c>
    </row>
    <row r="943">
      <c r="A943" t="inlineStr">
        <is>
          <t>2월</t>
        </is>
      </c>
      <c r="B943" t="inlineStr">
        <is>
          <t>6주차</t>
        </is>
      </c>
      <c r="C943" t="inlineStr">
        <is>
          <t>IM</t>
        </is>
      </c>
      <c r="D943" s="28" t="n">
        <v>46055</v>
      </c>
      <c r="E943" t="inlineStr">
        <is>
          <t>IM캐피탈</t>
        </is>
      </c>
      <c r="F943" t="inlineStr">
        <is>
          <t>이영환</t>
        </is>
      </c>
      <c r="G943" t="inlineStr">
        <is>
          <t>010-8763-2410</t>
        </is>
      </c>
      <c r="H943" t="inlineStr">
        <is>
          <t>133도2393</t>
        </is>
      </c>
      <c r="I943" t="n">
        <v>45800000</v>
      </c>
      <c r="J943" t="n">
        <v>0.039</v>
      </c>
      <c r="K943" t="n">
        <v>1.1</v>
      </c>
      <c r="L943" t="n">
        <v>0.14</v>
      </c>
      <c r="M943" t="n">
        <v>0.96</v>
      </c>
      <c r="P943" t="inlineStr">
        <is>
          <t>황채이</t>
        </is>
      </c>
      <c r="Q943" t="inlineStr">
        <is>
          <t>홈서비스 72개월</t>
        </is>
      </c>
      <c r="AB943" t="inlineStr">
        <is>
          <t>홈서비스</t>
        </is>
      </c>
      <c r="AC943" t="n">
        <v>503800</v>
      </c>
      <c r="AD943" t="n">
        <v>64120</v>
      </c>
      <c r="AE943" t="n">
        <v>439680</v>
      </c>
      <c r="AF943" t="n">
        <v>458000</v>
      </c>
      <c r="AG943" t="n">
        <v>64120</v>
      </c>
      <c r="AH943" t="n">
        <v>393880</v>
      </c>
      <c r="AI943" t="n">
        <v>1</v>
      </c>
    </row>
    <row r="944">
      <c r="A944" t="inlineStr">
        <is>
          <t>2월</t>
        </is>
      </c>
      <c r="B944" t="inlineStr">
        <is>
          <t>7주차</t>
        </is>
      </c>
      <c r="C944" t="inlineStr">
        <is>
          <t>EP</t>
        </is>
      </c>
      <c r="D944" s="28" t="n">
        <v>46068</v>
      </c>
      <c r="E944" t="inlineStr">
        <is>
          <t>현대EP</t>
        </is>
      </c>
      <c r="F944" t="inlineStr">
        <is>
          <t>박정훈</t>
        </is>
      </c>
      <c r="G944" t="inlineStr">
        <is>
          <t>010-3678-3145</t>
        </is>
      </c>
      <c r="H944" t="inlineStr">
        <is>
          <t>53보4891</t>
        </is>
      </c>
      <c r="I944" t="n">
        <v>13500000</v>
      </c>
      <c r="J944" t="n">
        <v>0.068</v>
      </c>
      <c r="K944" t="n">
        <v>1.76</v>
      </c>
      <c r="L944" t="n">
        <v>0.14</v>
      </c>
      <c r="M944" t="n">
        <v>1.62</v>
      </c>
      <c r="P944" t="inlineStr">
        <is>
          <t>김수연</t>
        </is>
      </c>
      <c r="Q944" t="inlineStr">
        <is>
          <t>홈서비스 60개월</t>
        </is>
      </c>
      <c r="AB944" t="inlineStr">
        <is>
          <t>홈서비스</t>
        </is>
      </c>
      <c r="AC944" t="n">
        <v>237600</v>
      </c>
      <c r="AD944" t="n">
        <v>18900</v>
      </c>
      <c r="AE944" t="n">
        <v>218700</v>
      </c>
      <c r="AF944" t="n">
        <v>216000</v>
      </c>
      <c r="AG944" t="n">
        <v>18900</v>
      </c>
      <c r="AH944" t="n">
        <v>197100</v>
      </c>
      <c r="AI944" t="n">
        <v>1</v>
      </c>
    </row>
    <row r="945">
      <c r="A945" t="inlineStr">
        <is>
          <t>2월</t>
        </is>
      </c>
      <c r="B945" t="inlineStr">
        <is>
          <t>7주차</t>
        </is>
      </c>
      <c r="C945" t="inlineStr">
        <is>
          <t>EP</t>
        </is>
      </c>
      <c r="D945" s="28" t="n">
        <v>46068</v>
      </c>
      <c r="E945" t="inlineStr">
        <is>
          <t>현대EP</t>
        </is>
      </c>
      <c r="F945" t="inlineStr">
        <is>
          <t>윤재옥</t>
        </is>
      </c>
      <c r="G945" t="inlineStr">
        <is>
          <t>010-3794-5620</t>
        </is>
      </c>
      <c r="H945" t="inlineStr">
        <is>
          <t>232마6573</t>
        </is>
      </c>
      <c r="I945" t="n">
        <v>15200000</v>
      </c>
      <c r="J945" t="n">
        <v>0.141</v>
      </c>
      <c r="K945" t="n">
        <v>1.76</v>
      </c>
      <c r="L945" t="n">
        <v>0.14</v>
      </c>
      <c r="M945" t="n">
        <v>1.62</v>
      </c>
      <c r="P945" t="inlineStr">
        <is>
          <t>최형주</t>
        </is>
      </c>
      <c r="Q945" t="inlineStr">
        <is>
          <t>홈서비스 48개월</t>
        </is>
      </c>
      <c r="AB945" t="inlineStr">
        <is>
          <t>홈서비스</t>
        </is>
      </c>
      <c r="AC945" t="n">
        <v>267520</v>
      </c>
      <c r="AD945" t="n">
        <v>21280</v>
      </c>
      <c r="AE945" t="n">
        <v>246240</v>
      </c>
      <c r="AF945" t="n">
        <v>243200</v>
      </c>
      <c r="AG945" t="n">
        <v>21280</v>
      </c>
      <c r="AH945" t="n">
        <v>221920</v>
      </c>
      <c r="AI945" t="n">
        <v>1</v>
      </c>
    </row>
    <row r="946">
      <c r="A946" t="inlineStr">
        <is>
          <t>1월</t>
        </is>
      </c>
      <c r="B946" t="inlineStr">
        <is>
          <t>5주차</t>
        </is>
      </c>
      <c r="C946" t="inlineStr">
        <is>
          <t>IM</t>
        </is>
      </c>
      <c r="D946" s="28" t="n">
        <v>46051</v>
      </c>
      <c r="E946" t="inlineStr">
        <is>
          <t>IM캐피탈</t>
        </is>
      </c>
      <c r="F946" t="inlineStr">
        <is>
          <t>문석진</t>
        </is>
      </c>
      <c r="G946" t="inlineStr">
        <is>
          <t>010-5961-1562</t>
        </is>
      </c>
      <c r="H946" t="inlineStr">
        <is>
          <t>269무1664</t>
        </is>
      </c>
      <c r="I946" t="n">
        <v>80000000</v>
      </c>
      <c r="J946" t="n">
        <v>0.056</v>
      </c>
      <c r="K946" t="n">
        <v>0.55</v>
      </c>
      <c r="L946" t="n">
        <v>0.4</v>
      </c>
      <c r="M946" t="n">
        <v>0.15</v>
      </c>
      <c r="P946" t="inlineStr">
        <is>
          <t>정하은</t>
        </is>
      </c>
      <c r="Q946" t="inlineStr">
        <is>
          <t>사유: 부대비용필요</t>
        </is>
      </c>
      <c r="AB946" t="inlineStr">
        <is>
          <t>엔카</t>
        </is>
      </c>
      <c r="AC946" t="n">
        <v>440000</v>
      </c>
      <c r="AD946" t="n">
        <v>320000</v>
      </c>
      <c r="AE946" t="n">
        <v>120000</v>
      </c>
      <c r="AF946" t="n">
        <v>400000</v>
      </c>
      <c r="AG946" t="n">
        <v>320000</v>
      </c>
      <c r="AH946" t="n">
        <v>80000</v>
      </c>
      <c r="AI946" t="n">
        <v>1</v>
      </c>
    </row>
    <row r="947">
      <c r="A947" t="inlineStr">
        <is>
          <t>2월</t>
        </is>
      </c>
      <c r="B947" t="inlineStr">
        <is>
          <t>8주차</t>
        </is>
      </c>
      <c r="C947" t="inlineStr">
        <is>
          <t>EP</t>
        </is>
      </c>
      <c r="D947" s="28" t="n">
        <v>46072</v>
      </c>
      <c r="E947" t="inlineStr">
        <is>
          <t>현대EP</t>
        </is>
      </c>
      <c r="F947" t="inlineStr">
        <is>
          <t>이민형</t>
        </is>
      </c>
      <c r="G947" t="inlineStr">
        <is>
          <t>010-9456-3530</t>
        </is>
      </c>
      <c r="H947" t="inlineStr">
        <is>
          <t>336주3314</t>
        </is>
      </c>
      <c r="I947" t="n">
        <v>15900000</v>
      </c>
      <c r="J947" t="n">
        <v>0.059</v>
      </c>
      <c r="K947" t="n">
        <v>1.76</v>
      </c>
      <c r="L947" t="n">
        <v>0.14</v>
      </c>
      <c r="M947" t="n">
        <v>1.62</v>
      </c>
      <c r="P947" t="inlineStr">
        <is>
          <t>황채이</t>
        </is>
      </c>
      <c r="Q947" t="inlineStr">
        <is>
          <t>홈서비스 36개월</t>
        </is>
      </c>
      <c r="AB947" t="inlineStr">
        <is>
          <t>홈서비스</t>
        </is>
      </c>
      <c r="AC947" t="n">
        <v>279840</v>
      </c>
      <c r="AD947" t="n">
        <v>22260</v>
      </c>
      <c r="AE947" t="n">
        <v>257580</v>
      </c>
      <c r="AF947" t="n">
        <v>254400</v>
      </c>
      <c r="AG947" t="n">
        <v>22260</v>
      </c>
      <c r="AH947" t="n">
        <v>232140</v>
      </c>
      <c r="AI947" t="n">
        <v>1</v>
      </c>
    </row>
    <row r="948">
      <c r="A948" t="inlineStr">
        <is>
          <t>1월</t>
        </is>
      </c>
      <c r="B948" t="inlineStr">
        <is>
          <t>5주차</t>
        </is>
      </c>
      <c r="C948" t="inlineStr">
        <is>
          <t>EP</t>
        </is>
      </c>
      <c r="D948" s="28" t="n">
        <v>46051</v>
      </c>
      <c r="E948" t="inlineStr">
        <is>
          <t>현대EP</t>
        </is>
      </c>
      <c r="F948" t="inlineStr">
        <is>
          <t>장민우</t>
        </is>
      </c>
      <c r="G948" t="inlineStr">
        <is>
          <t>010-5660-2267</t>
        </is>
      </c>
      <c r="H948" t="inlineStr">
        <is>
          <t>171두2306</t>
        </is>
      </c>
      <c r="I948" t="n">
        <v>17000000</v>
      </c>
      <c r="J948" t="n">
        <v>0.083</v>
      </c>
      <c r="K948" t="n">
        <v>1.76</v>
      </c>
      <c r="L948" t="n">
        <v>0.13</v>
      </c>
      <c r="M948" t="n">
        <v>1.63</v>
      </c>
      <c r="P948" t="inlineStr">
        <is>
          <t>장현경</t>
        </is>
      </c>
      <c r="AB948" t="inlineStr">
        <is>
          <t>홈서비스</t>
        </is>
      </c>
      <c r="AC948" t="n">
        <v>299200</v>
      </c>
      <c r="AD948" t="n">
        <v>22100</v>
      </c>
      <c r="AE948" t="n">
        <v>277100</v>
      </c>
      <c r="AF948" t="n">
        <v>272000</v>
      </c>
      <c r="AG948" t="n">
        <v>22100</v>
      </c>
      <c r="AH948" t="n">
        <v>249900</v>
      </c>
    </row>
    <row r="949">
      <c r="A949" t="inlineStr">
        <is>
          <t>1월</t>
        </is>
      </c>
      <c r="B949" t="inlineStr">
        <is>
          <t>5주차</t>
        </is>
      </c>
      <c r="C949" t="inlineStr">
        <is>
          <t>EP</t>
        </is>
      </c>
      <c r="D949" s="28" t="n">
        <v>46052</v>
      </c>
      <c r="E949" t="inlineStr">
        <is>
          <t>제이비EP</t>
        </is>
      </c>
      <c r="F949" t="inlineStr">
        <is>
          <t>오영민</t>
        </is>
      </c>
      <c r="G949" t="inlineStr">
        <is>
          <t>010-5000-1871</t>
        </is>
      </c>
      <c r="H949" t="inlineStr">
        <is>
          <t>371버3195</t>
        </is>
      </c>
      <c r="I949" t="n">
        <v>12600000</v>
      </c>
      <c r="J949" t="n">
        <v>0.094</v>
      </c>
      <c r="K949" t="n">
        <v>1.65</v>
      </c>
      <c r="L949" t="n">
        <v>0.4</v>
      </c>
      <c r="M949" t="n">
        <v>1.25</v>
      </c>
      <c r="P949" t="inlineStr">
        <is>
          <t>정하은</t>
        </is>
      </c>
      <c r="Q949" t="inlineStr">
        <is>
          <t>사유 : 패스트미협약상사</t>
        </is>
      </c>
      <c r="AB949" t="inlineStr">
        <is>
          <t>엔카</t>
        </is>
      </c>
      <c r="AC949" t="n">
        <v>207900</v>
      </c>
      <c r="AD949" t="n">
        <v>50400</v>
      </c>
      <c r="AE949" t="n">
        <v>157500</v>
      </c>
      <c r="AF949" t="n">
        <v>189000</v>
      </c>
      <c r="AG949" t="n">
        <v>50400</v>
      </c>
      <c r="AH949" t="n">
        <v>138600</v>
      </c>
      <c r="AI949" t="n">
        <v>0</v>
      </c>
    </row>
    <row r="950">
      <c r="A950" t="inlineStr">
        <is>
          <t>1월</t>
        </is>
      </c>
      <c r="B950" t="inlineStr">
        <is>
          <t>5주차</t>
        </is>
      </c>
      <c r="C950" t="inlineStr">
        <is>
          <t>IM</t>
        </is>
      </c>
      <c r="D950" s="28" t="n">
        <v>46052</v>
      </c>
      <c r="E950" t="inlineStr">
        <is>
          <t>IM캐피탈</t>
        </is>
      </c>
      <c r="F950" t="inlineStr">
        <is>
          <t>강남석</t>
        </is>
      </c>
      <c r="G950" t="inlineStr">
        <is>
          <t>010-8289-3437</t>
        </is>
      </c>
      <c r="H950" t="inlineStr">
        <is>
          <t>811부7390</t>
        </is>
      </c>
      <c r="I950" t="n">
        <v>16800000</v>
      </c>
      <c r="J950" t="n">
        <v>0.049</v>
      </c>
      <c r="K950" t="n">
        <v>1.1</v>
      </c>
      <c r="L950" t="n">
        <v>0.4</v>
      </c>
      <c r="M950" t="n">
        <v>0.7</v>
      </c>
      <c r="P950" t="inlineStr">
        <is>
          <t>박소현</t>
        </is>
      </c>
      <c r="Q950" t="inlineStr">
        <is>
          <t xml:space="preserve">사유: 금리불만 .부대비용 필요 </t>
        </is>
      </c>
      <c r="AB950" t="inlineStr">
        <is>
          <t>엔카</t>
        </is>
      </c>
      <c r="AC950" t="n">
        <v>184800</v>
      </c>
      <c r="AD950" t="n">
        <v>67200</v>
      </c>
      <c r="AE950" t="n">
        <v>117600</v>
      </c>
      <c r="AF950" t="n">
        <v>168000</v>
      </c>
      <c r="AG950" t="n">
        <v>67200</v>
      </c>
      <c r="AH950" t="n">
        <v>100800</v>
      </c>
    </row>
    <row r="951">
      <c r="A951" t="inlineStr">
        <is>
          <t>1월</t>
        </is>
      </c>
      <c r="B951" t="inlineStr">
        <is>
          <t>5주차</t>
        </is>
      </c>
      <c r="C951" t="inlineStr">
        <is>
          <t>IM</t>
        </is>
      </c>
      <c r="D951" s="28" t="n">
        <v>46052</v>
      </c>
      <c r="E951" t="inlineStr">
        <is>
          <t>IM캐피탈</t>
        </is>
      </c>
      <c r="F951" t="inlineStr">
        <is>
          <t>임효선</t>
        </is>
      </c>
      <c r="G951" t="inlineStr">
        <is>
          <t>010-5305-4263</t>
        </is>
      </c>
      <c r="H951" t="inlineStr">
        <is>
          <t>27부1786</t>
        </is>
      </c>
      <c r="I951" t="n">
        <v>9400000</v>
      </c>
      <c r="J951" t="n">
        <v>0.056</v>
      </c>
      <c r="K951" t="n">
        <v>1.1</v>
      </c>
      <c r="L951" t="n">
        <v>0.4</v>
      </c>
      <c r="M951" t="n">
        <v>0.7</v>
      </c>
      <c r="P951" t="inlineStr">
        <is>
          <t>장진경</t>
        </is>
      </c>
      <c r="Q951" t="inlineStr">
        <is>
          <t>사유 : 부대비용 추가진행 , 론진행 현대 7.3%</t>
        </is>
      </c>
      <c r="AB951" t="inlineStr">
        <is>
          <t>엔카</t>
        </is>
      </c>
      <c r="AC951" t="n">
        <v>103400</v>
      </c>
      <c r="AD951" t="n">
        <v>37600</v>
      </c>
      <c r="AE951" t="n">
        <v>65800</v>
      </c>
      <c r="AF951" t="n">
        <v>94000</v>
      </c>
      <c r="AG951" t="n">
        <v>37600</v>
      </c>
      <c r="AH951" t="n">
        <v>56400</v>
      </c>
      <c r="AI951" t="n">
        <v>0</v>
      </c>
    </row>
    <row r="952">
      <c r="A952" t="inlineStr">
        <is>
          <t>2월</t>
        </is>
      </c>
      <c r="B952" t="inlineStr">
        <is>
          <t>8주차</t>
        </is>
      </c>
      <c r="C952" t="inlineStr">
        <is>
          <t>EP</t>
        </is>
      </c>
      <c r="D952" s="28" t="n">
        <v>46073</v>
      </c>
      <c r="E952" t="inlineStr">
        <is>
          <t>현대EP</t>
        </is>
      </c>
      <c r="F952" t="inlineStr">
        <is>
          <t>김정현</t>
        </is>
      </c>
      <c r="G952" t="inlineStr">
        <is>
          <t>010-9621-2110</t>
        </is>
      </c>
      <c r="H952" t="inlineStr">
        <is>
          <t>202저3364</t>
        </is>
      </c>
      <c r="I952" t="n">
        <v>36900000</v>
      </c>
      <c r="J952" t="n">
        <v>0.102</v>
      </c>
      <c r="K952" t="n">
        <v>1.76</v>
      </c>
      <c r="L952" t="n">
        <v>0.14</v>
      </c>
      <c r="M952" t="n">
        <v>1.62</v>
      </c>
      <c r="P952" t="inlineStr">
        <is>
          <t>정세빈</t>
        </is>
      </c>
      <c r="Q952" t="inlineStr">
        <is>
          <t>홈서비스 60개월</t>
        </is>
      </c>
      <c r="AB952" t="inlineStr">
        <is>
          <t>홈서비스</t>
        </is>
      </c>
      <c r="AC952" t="n">
        <v>649440</v>
      </c>
      <c r="AD952" t="n">
        <v>51660</v>
      </c>
      <c r="AE952" t="n">
        <v>597780</v>
      </c>
      <c r="AF952" t="n">
        <v>590400</v>
      </c>
      <c r="AG952" t="n">
        <v>51660</v>
      </c>
      <c r="AH952" t="n">
        <v>538740</v>
      </c>
      <c r="AI952" t="n">
        <v>0</v>
      </c>
    </row>
    <row r="953">
      <c r="A953" t="inlineStr">
        <is>
          <t>2월</t>
        </is>
      </c>
      <c r="B953" t="inlineStr">
        <is>
          <t>8주차</t>
        </is>
      </c>
      <c r="C953" t="inlineStr">
        <is>
          <t>IM</t>
        </is>
      </c>
      <c r="D953" s="28" t="n">
        <v>46073</v>
      </c>
      <c r="E953" t="inlineStr">
        <is>
          <t>IM캐피탈</t>
        </is>
      </c>
      <c r="F953" t="inlineStr">
        <is>
          <t>강진관</t>
        </is>
      </c>
      <c r="G953" t="inlineStr">
        <is>
          <t>010-4798-9289</t>
        </is>
      </c>
      <c r="H953" t="inlineStr">
        <is>
          <t>45두7811</t>
        </is>
      </c>
      <c r="I953" t="n">
        <v>18400000</v>
      </c>
      <c r="J953" t="n">
        <v>0.099</v>
      </c>
      <c r="K953" t="n">
        <v>1.1</v>
      </c>
      <c r="L953" t="n">
        <v>0.14</v>
      </c>
      <c r="M953" t="n">
        <v>0.96</v>
      </c>
      <c r="P953" t="inlineStr">
        <is>
          <t>김수연</t>
        </is>
      </c>
      <c r="Q953" t="inlineStr">
        <is>
          <t>홈서비스 60개월</t>
        </is>
      </c>
      <c r="AB953" t="inlineStr">
        <is>
          <t>홈서비스</t>
        </is>
      </c>
      <c r="AC953" t="n">
        <v>202400</v>
      </c>
      <c r="AD953" t="n">
        <v>25760</v>
      </c>
      <c r="AE953" t="n">
        <v>176640</v>
      </c>
      <c r="AF953" t="n">
        <v>184000</v>
      </c>
      <c r="AG953" t="n">
        <v>25760</v>
      </c>
      <c r="AH953" t="n">
        <v>158240</v>
      </c>
      <c r="AI953" t="n">
        <v>0</v>
      </c>
    </row>
    <row r="954">
      <c r="A954" t="inlineStr">
        <is>
          <t>2월</t>
        </is>
      </c>
      <c r="B954" t="inlineStr">
        <is>
          <t>6주차</t>
        </is>
      </c>
      <c r="C954" t="inlineStr">
        <is>
          <t>IM</t>
        </is>
      </c>
      <c r="D954" s="28" t="n">
        <v>46055</v>
      </c>
      <c r="E954" t="inlineStr">
        <is>
          <t>IM캐피탈</t>
        </is>
      </c>
      <c r="F954" t="inlineStr">
        <is>
          <t>권오영</t>
        </is>
      </c>
      <c r="G954" t="inlineStr">
        <is>
          <t>010-2244-2540</t>
        </is>
      </c>
      <c r="H954" t="inlineStr">
        <is>
          <t>47주4623</t>
        </is>
      </c>
      <c r="I954" t="n">
        <v>15900000</v>
      </c>
      <c r="J954" t="n">
        <v>0.049</v>
      </c>
      <c r="K954" t="n">
        <v>1.1</v>
      </c>
      <c r="L954" t="n">
        <v>0.14</v>
      </c>
      <c r="M954" t="n">
        <v>0.96</v>
      </c>
      <c r="P954" t="inlineStr">
        <is>
          <t>정세빈</t>
        </is>
      </c>
      <c r="Q954" t="inlineStr">
        <is>
          <t>홈서비스 36개월</t>
        </is>
      </c>
      <c r="AB954" t="inlineStr">
        <is>
          <t>홈서비스</t>
        </is>
      </c>
      <c r="AC954" t="n">
        <v>174900</v>
      </c>
      <c r="AD954" t="n">
        <v>22260</v>
      </c>
      <c r="AE954" t="n">
        <v>152640</v>
      </c>
      <c r="AF954" t="n">
        <v>159000</v>
      </c>
      <c r="AG954" t="n">
        <v>22260</v>
      </c>
      <c r="AH954" t="n">
        <v>136740</v>
      </c>
      <c r="AI954" t="n">
        <v>0</v>
      </c>
      <c r="AJ954" t="inlineStr">
        <is>
          <t>개인</t>
        </is>
      </c>
    </row>
    <row r="955">
      <c r="A955" t="inlineStr">
        <is>
          <t>1월</t>
        </is>
      </c>
      <c r="B955" t="inlineStr">
        <is>
          <t>5주차</t>
        </is>
      </c>
      <c r="C955" t="inlineStr">
        <is>
          <t>EP</t>
        </is>
      </c>
      <c r="D955" s="28" t="n">
        <v>46052</v>
      </c>
      <c r="E955" t="inlineStr">
        <is>
          <t>현대EP</t>
        </is>
      </c>
      <c r="F955" t="inlineStr">
        <is>
          <t>최상식</t>
        </is>
      </c>
      <c r="G955" t="inlineStr">
        <is>
          <t>010-6263-7971</t>
        </is>
      </c>
      <c r="H955" t="inlineStr">
        <is>
          <t>161조2036</t>
        </is>
      </c>
      <c r="I955" t="n">
        <v>13000000</v>
      </c>
      <c r="J955" t="n">
        <v>0.093</v>
      </c>
      <c r="K955" t="n">
        <v>1.76</v>
      </c>
      <c r="L955" t="n">
        <v>0.13</v>
      </c>
      <c r="M955" t="n">
        <v>1.63</v>
      </c>
      <c r="P955" t="inlineStr">
        <is>
          <t>김나윤</t>
        </is>
      </c>
      <c r="Q955" t="inlineStr">
        <is>
          <t>홈서비스 36개월</t>
        </is>
      </c>
      <c r="AB955" t="inlineStr">
        <is>
          <t>홈서비스</t>
        </is>
      </c>
      <c r="AC955" t="n">
        <v>228800</v>
      </c>
      <c r="AD955" t="n">
        <v>16900</v>
      </c>
      <c r="AE955" t="n">
        <v>211900</v>
      </c>
      <c r="AF955" t="n">
        <v>208000</v>
      </c>
      <c r="AG955" t="n">
        <v>16900</v>
      </c>
      <c r="AH955" t="n">
        <v>191100</v>
      </c>
    </row>
    <row r="956">
      <c r="A956" t="inlineStr">
        <is>
          <t>2월</t>
        </is>
      </c>
      <c r="B956" t="inlineStr">
        <is>
          <t>6주차</t>
        </is>
      </c>
      <c r="C956" t="inlineStr">
        <is>
          <t>OR</t>
        </is>
      </c>
      <c r="D956" s="28" t="n">
        <v>46055</v>
      </c>
      <c r="E956" t="inlineStr">
        <is>
          <t>오릭스</t>
        </is>
      </c>
      <c r="F956" t="inlineStr">
        <is>
          <t>박성수</t>
        </is>
      </c>
      <c r="G956" t="inlineStr">
        <is>
          <t>010-7179-5623</t>
        </is>
      </c>
      <c r="H956" t="inlineStr">
        <is>
          <t>68수7666</t>
        </is>
      </c>
      <c r="I956" t="n">
        <v>10400000</v>
      </c>
      <c r="J956" t="n">
        <v>0.059</v>
      </c>
      <c r="K956" t="n">
        <v>1.21</v>
      </c>
      <c r="L956" t="n">
        <v>0.4</v>
      </c>
      <c r="M956" t="n">
        <v>0.8100000000000001</v>
      </c>
      <c r="P956" t="inlineStr">
        <is>
          <t>정하은</t>
        </is>
      </c>
      <c r="Q956" t="inlineStr">
        <is>
          <t>부대비용추가진행</t>
        </is>
      </c>
      <c r="AB956" t="inlineStr">
        <is>
          <t>엔카</t>
        </is>
      </c>
      <c r="AC956" t="n">
        <v>125840</v>
      </c>
      <c r="AD956" t="n">
        <v>41600</v>
      </c>
      <c r="AE956" t="n">
        <v>84240</v>
      </c>
      <c r="AF956" t="n">
        <v>114400</v>
      </c>
      <c r="AG956" t="n">
        <v>41600</v>
      </c>
      <c r="AH956" t="n">
        <v>72800</v>
      </c>
      <c r="AI956" t="n">
        <v>0</v>
      </c>
    </row>
    <row r="957">
      <c r="A957" t="inlineStr">
        <is>
          <t>2월</t>
        </is>
      </c>
      <c r="B957" t="inlineStr">
        <is>
          <t>9주차</t>
        </is>
      </c>
      <c r="C957" t="inlineStr">
        <is>
          <t>EP</t>
        </is>
      </c>
      <c r="D957" s="28" t="n">
        <v>46076</v>
      </c>
      <c r="E957" t="inlineStr">
        <is>
          <t>현대EP</t>
        </is>
      </c>
      <c r="F957" t="inlineStr">
        <is>
          <t>심현옥</t>
        </is>
      </c>
      <c r="G957" t="inlineStr">
        <is>
          <t>010-3781-4880</t>
        </is>
      </c>
      <c r="H957" t="inlineStr">
        <is>
          <t>07마2750</t>
        </is>
      </c>
      <c r="I957" t="n">
        <v>10500000</v>
      </c>
      <c r="J957" t="n">
        <v>0.124</v>
      </c>
      <c r="K957" t="n">
        <v>1.76</v>
      </c>
      <c r="L957" t="n">
        <v>0.14</v>
      </c>
      <c r="M957" t="n">
        <v>1.62</v>
      </c>
      <c r="P957" t="inlineStr">
        <is>
          <t>최형주</t>
        </is>
      </c>
      <c r="Q957" t="inlineStr">
        <is>
          <t>홈서비스 36개월</t>
        </is>
      </c>
      <c r="AB957" t="inlineStr">
        <is>
          <t>홈서비스</t>
        </is>
      </c>
      <c r="AC957" t="n">
        <v>184800</v>
      </c>
      <c r="AD957" t="n">
        <v>14700</v>
      </c>
      <c r="AE957" t="n">
        <v>170100</v>
      </c>
      <c r="AF957" t="n">
        <v>168000</v>
      </c>
      <c r="AG957" t="n">
        <v>14700</v>
      </c>
      <c r="AH957" t="n">
        <v>153300</v>
      </c>
      <c r="AI957" t="n">
        <v>0</v>
      </c>
    </row>
    <row r="958">
      <c r="A958" t="inlineStr">
        <is>
          <t>2월</t>
        </is>
      </c>
      <c r="B958" t="inlineStr">
        <is>
          <t>6주차</t>
        </is>
      </c>
      <c r="C958" t="inlineStr">
        <is>
          <t>EP</t>
        </is>
      </c>
      <c r="D958" s="28" t="n">
        <v>46055</v>
      </c>
      <c r="E958" t="inlineStr">
        <is>
          <t>BNKEP</t>
        </is>
      </c>
      <c r="F958" t="inlineStr">
        <is>
          <t>남궁동희</t>
        </is>
      </c>
      <c r="G958" t="n">
        <v>1047242472</v>
      </c>
      <c r="H958" t="inlineStr">
        <is>
          <t>102거9777</t>
        </is>
      </c>
      <c r="I958" t="n">
        <v>23000000</v>
      </c>
      <c r="J958" t="n">
        <v>0.097</v>
      </c>
      <c r="K958" t="n">
        <v>1.21</v>
      </c>
      <c r="L958" t="n">
        <v>0.14</v>
      </c>
      <c r="M958" t="n">
        <v>1.07</v>
      </c>
      <c r="P958" t="inlineStr">
        <is>
          <t>김나윤</t>
        </is>
      </c>
      <c r="Q958" t="inlineStr">
        <is>
          <t>사유: 금리불만 / 현대 11.5% / 홈서비스 48개월</t>
        </is>
      </c>
      <c r="AB958" t="inlineStr">
        <is>
          <t>홈서비스</t>
        </is>
      </c>
      <c r="AC958" t="n">
        <v>278300</v>
      </c>
      <c r="AD958" t="n">
        <v>32200</v>
      </c>
      <c r="AE958" t="n">
        <v>246100</v>
      </c>
      <c r="AF958" t="n">
        <v>253000</v>
      </c>
      <c r="AG958" t="n">
        <v>32200</v>
      </c>
      <c r="AH958" t="n">
        <v>220800</v>
      </c>
      <c r="AI958" t="n">
        <v>0</v>
      </c>
    </row>
    <row r="959">
      <c r="A959" t="inlineStr">
        <is>
          <t>2월</t>
        </is>
      </c>
      <c r="B959" t="inlineStr">
        <is>
          <t>9주차</t>
        </is>
      </c>
      <c r="C959" t="inlineStr">
        <is>
          <t>IM</t>
        </is>
      </c>
      <c r="D959" s="28" t="n">
        <v>46079</v>
      </c>
      <c r="E959" t="inlineStr">
        <is>
          <t>IM캐피탈</t>
        </is>
      </c>
      <c r="F959" t="inlineStr">
        <is>
          <t>김영태</t>
        </is>
      </c>
      <c r="G959" t="inlineStr">
        <is>
          <t>010-4245-1457</t>
        </is>
      </c>
      <c r="H959" t="inlineStr">
        <is>
          <t>69저0966</t>
        </is>
      </c>
      <c r="I959" t="n">
        <v>10400000</v>
      </c>
      <c r="J959" t="n">
        <v>0.059</v>
      </c>
      <c r="K959" t="n">
        <v>1.21</v>
      </c>
      <c r="L959" t="n">
        <v>0.14</v>
      </c>
      <c r="M959" t="n">
        <v>1.07</v>
      </c>
      <c r="P959" t="inlineStr">
        <is>
          <t>김나윤</t>
        </is>
      </c>
      <c r="Q959" t="inlineStr">
        <is>
          <t>홈서비스 48개월</t>
        </is>
      </c>
      <c r="AB959" t="inlineStr">
        <is>
          <t>홈서비스</t>
        </is>
      </c>
      <c r="AC959" t="n">
        <v>125840</v>
      </c>
      <c r="AD959" t="n">
        <v>14560</v>
      </c>
      <c r="AE959" t="n">
        <v>111280</v>
      </c>
      <c r="AF959" t="n">
        <v>114400</v>
      </c>
      <c r="AG959" t="n">
        <v>14560</v>
      </c>
      <c r="AH959" t="n">
        <v>99840</v>
      </c>
      <c r="AI959" t="n">
        <v>0</v>
      </c>
    </row>
    <row r="960">
      <c r="A960" t="inlineStr">
        <is>
          <t>2월</t>
        </is>
      </c>
      <c r="B960" t="inlineStr">
        <is>
          <t>6주차</t>
        </is>
      </c>
      <c r="C960" t="inlineStr">
        <is>
          <t>EP</t>
        </is>
      </c>
      <c r="D960" s="28" t="n">
        <v>46056</v>
      </c>
      <c r="E960" t="inlineStr">
        <is>
          <t>현대EP</t>
        </is>
      </c>
      <c r="F960" t="inlineStr">
        <is>
          <t>이한별</t>
        </is>
      </c>
      <c r="G960" t="inlineStr">
        <is>
          <t>010-4609-8447</t>
        </is>
      </c>
      <c r="H960" t="inlineStr">
        <is>
          <t>261부3488</t>
        </is>
      </c>
      <c r="I960" t="n">
        <v>5900000</v>
      </c>
      <c r="J960" t="n">
        <v>0.062</v>
      </c>
      <c r="K960" t="n">
        <v>1.21</v>
      </c>
      <c r="L960" t="n">
        <v>0.14</v>
      </c>
      <c r="M960" t="n">
        <v>1.07</v>
      </c>
      <c r="P960" t="inlineStr">
        <is>
          <t>황채이</t>
        </is>
      </c>
      <c r="Q960" t="inlineStr">
        <is>
          <t>홈서비스 24개월</t>
        </is>
      </c>
      <c r="AB960" t="inlineStr">
        <is>
          <t>홈서비스</t>
        </is>
      </c>
      <c r="AC960" t="n">
        <v>71390</v>
      </c>
      <c r="AD960" t="n">
        <v>8260</v>
      </c>
      <c r="AE960" t="n">
        <v>63130</v>
      </c>
      <c r="AF960" t="n">
        <v>64900</v>
      </c>
      <c r="AG960" t="n">
        <v>8260</v>
      </c>
      <c r="AH960" t="n">
        <v>56640</v>
      </c>
    </row>
    <row r="961">
      <c r="A961" t="inlineStr">
        <is>
          <t>1월</t>
        </is>
      </c>
      <c r="B961" t="inlineStr">
        <is>
          <t>5주차</t>
        </is>
      </c>
      <c r="C961" t="inlineStr">
        <is>
          <t>IM</t>
        </is>
      </c>
      <c r="D961" s="28" t="n">
        <v>46052</v>
      </c>
      <c r="E961" t="inlineStr">
        <is>
          <t>IM캐피탈</t>
        </is>
      </c>
      <c r="F961" t="inlineStr">
        <is>
          <t>유재영</t>
        </is>
      </c>
      <c r="G961" t="inlineStr">
        <is>
          <t>010-8852-1587</t>
        </is>
      </c>
      <c r="H961" t="inlineStr">
        <is>
          <t>183루8434</t>
        </is>
      </c>
      <c r="I961" t="n">
        <v>58000000</v>
      </c>
      <c r="J961" t="n">
        <v>0.039</v>
      </c>
      <c r="K961" t="n">
        <v>1.21</v>
      </c>
      <c r="L961" t="n">
        <v>0.4</v>
      </c>
      <c r="M961" t="n">
        <v>0.8100000000000001</v>
      </c>
      <c r="P961" t="inlineStr">
        <is>
          <t>구성완</t>
        </is>
      </c>
      <c r="Q961" t="inlineStr">
        <is>
          <t xml:space="preserve">사유: 금리불만 .부대비용 필요 </t>
        </is>
      </c>
      <c r="AB961" t="inlineStr">
        <is>
          <t>엔카</t>
        </is>
      </c>
      <c r="AC961" t="n">
        <v>701800</v>
      </c>
      <c r="AD961" t="n">
        <v>232000</v>
      </c>
      <c r="AE961" t="n">
        <v>469800</v>
      </c>
      <c r="AF961" t="n">
        <v>638000</v>
      </c>
      <c r="AG961" t="n">
        <v>232000</v>
      </c>
      <c r="AH961" t="n">
        <v>406000</v>
      </c>
    </row>
    <row r="962">
      <c r="A962" t="inlineStr">
        <is>
          <t>2월</t>
        </is>
      </c>
      <c r="B962" t="inlineStr">
        <is>
          <t>9주차</t>
        </is>
      </c>
      <c r="C962" t="inlineStr">
        <is>
          <t>EP</t>
        </is>
      </c>
      <c r="D962" s="28" t="n">
        <v>46077</v>
      </c>
      <c r="E962" t="inlineStr">
        <is>
          <t>제이비EP</t>
        </is>
      </c>
      <c r="F962" t="inlineStr">
        <is>
          <t>이동현</t>
        </is>
      </c>
      <c r="G962" t="inlineStr">
        <is>
          <t>010-6311-3331</t>
        </is>
      </c>
      <c r="H962" t="inlineStr">
        <is>
          <t>69두2614</t>
        </is>
      </c>
      <c r="I962" t="n">
        <v>7900000</v>
      </c>
      <c r="J962" t="n">
        <v>0.092</v>
      </c>
      <c r="K962" t="n">
        <v>1.65</v>
      </c>
      <c r="L962" t="n">
        <v>0.4</v>
      </c>
      <c r="M962" t="n">
        <v>1.25</v>
      </c>
      <c r="P962" t="inlineStr">
        <is>
          <t>장현경</t>
        </is>
      </c>
      <c r="AB962" t="inlineStr">
        <is>
          <t>엔카</t>
        </is>
      </c>
      <c r="AC962" t="n">
        <v>130350</v>
      </c>
      <c r="AD962" t="n">
        <v>31600</v>
      </c>
      <c r="AE962" t="n">
        <v>98750</v>
      </c>
      <c r="AF962" t="n">
        <v>118500</v>
      </c>
      <c r="AG962" t="n">
        <v>31600</v>
      </c>
      <c r="AH962" t="n">
        <v>86900</v>
      </c>
      <c r="AI962" t="n">
        <v>0</v>
      </c>
    </row>
    <row r="963">
      <c r="A963" t="inlineStr">
        <is>
          <t>2월</t>
        </is>
      </c>
      <c r="B963" t="inlineStr">
        <is>
          <t>9주차</t>
        </is>
      </c>
      <c r="C963" t="inlineStr">
        <is>
          <t>EP</t>
        </is>
      </c>
      <c r="D963" s="28" t="n">
        <v>46077</v>
      </c>
      <c r="E963" t="inlineStr">
        <is>
          <t>현대EP</t>
        </is>
      </c>
      <c r="F963" t="inlineStr">
        <is>
          <t>이규애</t>
        </is>
      </c>
      <c r="G963" t="inlineStr">
        <is>
          <t>010-3126-2517</t>
        </is>
      </c>
      <c r="H963" t="inlineStr">
        <is>
          <t>344오4209</t>
        </is>
      </c>
      <c r="I963" t="n">
        <v>25600000</v>
      </c>
      <c r="J963" t="n">
        <v>0.059</v>
      </c>
      <c r="K963" t="n">
        <v>1.76</v>
      </c>
      <c r="L963" t="n">
        <v>0.14</v>
      </c>
      <c r="M963" t="n">
        <v>1.62</v>
      </c>
      <c r="P963" t="inlineStr">
        <is>
          <t>최형주</t>
        </is>
      </c>
      <c r="Q963" t="inlineStr">
        <is>
          <t>홈서비스 24개월</t>
        </is>
      </c>
      <c r="AB963" t="inlineStr">
        <is>
          <t>홈서비스</t>
        </is>
      </c>
      <c r="AC963" t="n">
        <v>450560</v>
      </c>
      <c r="AD963" t="n">
        <v>35840</v>
      </c>
      <c r="AE963" t="n">
        <v>414720</v>
      </c>
      <c r="AF963" t="n">
        <v>409600</v>
      </c>
      <c r="AG963" t="n">
        <v>35840</v>
      </c>
      <c r="AH963" t="n">
        <v>373760</v>
      </c>
    </row>
    <row r="964">
      <c r="A964" t="inlineStr">
        <is>
          <t>2월</t>
        </is>
      </c>
      <c r="B964" t="inlineStr">
        <is>
          <t>9주차</t>
        </is>
      </c>
      <c r="C964" t="inlineStr">
        <is>
          <t>EP</t>
        </is>
      </c>
      <c r="D964" s="28" t="n">
        <v>46077</v>
      </c>
      <c r="E964" t="inlineStr">
        <is>
          <t>현대EP_fast</t>
        </is>
      </c>
      <c r="F964" t="inlineStr">
        <is>
          <t>이병수</t>
        </is>
      </c>
      <c r="G964" t="inlineStr">
        <is>
          <t>010-2048-5893</t>
        </is>
      </c>
      <c r="H964" t="inlineStr">
        <is>
          <t>351우1898</t>
        </is>
      </c>
      <c r="I964" t="n">
        <v>11000000</v>
      </c>
      <c r="J964" t="n">
        <v>0.064</v>
      </c>
      <c r="K964" t="n">
        <v>1.76</v>
      </c>
      <c r="L964" t="n">
        <v>0.14</v>
      </c>
      <c r="M964" t="n">
        <v>1.62</v>
      </c>
      <c r="P964" t="inlineStr">
        <is>
          <t>황채이</t>
        </is>
      </c>
      <c r="Q964" t="inlineStr">
        <is>
          <t>홈서비스 24개월 / 금리인하 0.5% 적용건 ( 6.9&gt; 6.4 )</t>
        </is>
      </c>
      <c r="AB964" t="inlineStr">
        <is>
          <t>홈서비스</t>
        </is>
      </c>
      <c r="AC964" t="n">
        <v>193600</v>
      </c>
      <c r="AD964" t="n">
        <v>15400</v>
      </c>
      <c r="AE964" t="n">
        <v>178200</v>
      </c>
      <c r="AF964" t="n">
        <v>176000</v>
      </c>
      <c r="AG964" t="n">
        <v>15400</v>
      </c>
      <c r="AH964" t="n">
        <v>160600</v>
      </c>
      <c r="AI964" t="n">
        <v>0</v>
      </c>
    </row>
    <row r="965">
      <c r="A965" t="inlineStr">
        <is>
          <t>2월</t>
        </is>
      </c>
      <c r="B965" t="inlineStr">
        <is>
          <t>9주차</t>
        </is>
      </c>
      <c r="C965" t="inlineStr">
        <is>
          <t>IM</t>
        </is>
      </c>
      <c r="D965" s="28" t="n">
        <v>46078</v>
      </c>
      <c r="E965" t="inlineStr">
        <is>
          <t>IM캐피탈</t>
        </is>
      </c>
      <c r="F965" t="inlineStr">
        <is>
          <t>임상규</t>
        </is>
      </c>
      <c r="G965" t="inlineStr">
        <is>
          <t>010-5275-8772</t>
        </is>
      </c>
      <c r="H965" t="inlineStr">
        <is>
          <t>294구6247</t>
        </is>
      </c>
      <c r="I965" t="n">
        <v>16000000</v>
      </c>
      <c r="J965" t="n">
        <v>0.039</v>
      </c>
      <c r="K965" t="n">
        <v>1.1</v>
      </c>
      <c r="L965" t="n">
        <v>0.4</v>
      </c>
      <c r="M965" t="n">
        <v>0.7</v>
      </c>
      <c r="P965" t="inlineStr">
        <is>
          <t>박보람</t>
        </is>
      </c>
      <c r="AB965" t="inlineStr">
        <is>
          <t>엔카</t>
        </is>
      </c>
      <c r="AC965" t="n">
        <v>176000</v>
      </c>
      <c r="AD965" t="n">
        <v>64000</v>
      </c>
      <c r="AE965" t="n">
        <v>112000</v>
      </c>
      <c r="AF965" t="n">
        <v>160000</v>
      </c>
      <c r="AG965" t="n">
        <v>64000</v>
      </c>
      <c r="AH965" t="n">
        <v>96000</v>
      </c>
      <c r="AI965" t="n">
        <v>0</v>
      </c>
    </row>
    <row r="966">
      <c r="A966" t="inlineStr">
        <is>
          <t>1월</t>
        </is>
      </c>
      <c r="B966" t="inlineStr">
        <is>
          <t>5주차</t>
        </is>
      </c>
      <c r="C966" t="inlineStr">
        <is>
          <t>EP</t>
        </is>
      </c>
      <c r="D966" s="28" t="n">
        <v>46052</v>
      </c>
      <c r="E966" t="inlineStr">
        <is>
          <t>현대EP_fast</t>
        </is>
      </c>
      <c r="F966" t="inlineStr">
        <is>
          <t>김학영</t>
        </is>
      </c>
      <c r="G966" t="inlineStr">
        <is>
          <t>010-6373-7225</t>
        </is>
      </c>
      <c r="H966" t="inlineStr">
        <is>
          <t>18두0571</t>
        </is>
      </c>
      <c r="I966" t="n">
        <v>4000000</v>
      </c>
      <c r="J966" t="n">
        <v>0.08500000000000001</v>
      </c>
      <c r="K966" t="n">
        <v>1.76</v>
      </c>
      <c r="L966" t="n">
        <v>0.13</v>
      </c>
      <c r="M966" t="n">
        <v>1.63</v>
      </c>
      <c r="P966" t="inlineStr">
        <is>
          <t>김수연</t>
        </is>
      </c>
      <c r="Q966" t="inlineStr">
        <is>
          <t>홈서비스 36개월</t>
        </is>
      </c>
      <c r="AB966" t="inlineStr">
        <is>
          <t>홈서비스</t>
        </is>
      </c>
      <c r="AC966" t="n">
        <v>70400</v>
      </c>
      <c r="AD966" t="n">
        <v>5200</v>
      </c>
      <c r="AE966" t="n">
        <v>65200</v>
      </c>
      <c r="AF966" t="n">
        <v>64000</v>
      </c>
      <c r="AG966" t="n">
        <v>5200</v>
      </c>
      <c r="AH966" t="n">
        <v>58800</v>
      </c>
      <c r="AI966" t="n">
        <v>0</v>
      </c>
    </row>
    <row r="967">
      <c r="A967" t="inlineStr">
        <is>
          <t>2월</t>
        </is>
      </c>
      <c r="B967" t="inlineStr">
        <is>
          <t>6주차</t>
        </is>
      </c>
      <c r="C967" t="inlineStr">
        <is>
          <t>EP</t>
        </is>
      </c>
      <c r="D967" s="28" t="n">
        <v>46055</v>
      </c>
      <c r="E967" t="inlineStr">
        <is>
          <t>현대EP_fast</t>
        </is>
      </c>
      <c r="F967" t="inlineStr">
        <is>
          <t>김주선</t>
        </is>
      </c>
      <c r="G967" t="inlineStr">
        <is>
          <t>010-6345-5005</t>
        </is>
      </c>
      <c r="H967" t="inlineStr">
        <is>
          <t>60나4064</t>
        </is>
      </c>
      <c r="I967" t="n">
        <v>9700000</v>
      </c>
      <c r="J967" t="n">
        <v>0.093</v>
      </c>
      <c r="K967" t="n">
        <v>1.76</v>
      </c>
      <c r="L967" t="n">
        <v>0.14</v>
      </c>
      <c r="M967" t="n">
        <v>1.62</v>
      </c>
      <c r="P967" t="inlineStr">
        <is>
          <t>정세빈</t>
        </is>
      </c>
      <c r="Q967" t="inlineStr">
        <is>
          <t>홈서비스 24개월</t>
        </is>
      </c>
      <c r="AB967" t="inlineStr">
        <is>
          <t>홈서비스</t>
        </is>
      </c>
      <c r="AC967" t="n">
        <v>170720</v>
      </c>
      <c r="AD967" t="n">
        <v>13580</v>
      </c>
      <c r="AE967" t="n">
        <v>157140</v>
      </c>
      <c r="AF967" t="n">
        <v>155200</v>
      </c>
      <c r="AG967" t="n">
        <v>13580</v>
      </c>
      <c r="AH967" t="n">
        <v>141620</v>
      </c>
      <c r="AI967" t="n">
        <v>0</v>
      </c>
    </row>
    <row r="968">
      <c r="A968" t="inlineStr">
        <is>
          <t>2월</t>
        </is>
      </c>
      <c r="B968" t="inlineStr">
        <is>
          <t>6주차</t>
        </is>
      </c>
      <c r="C968" t="inlineStr">
        <is>
          <t>EP</t>
        </is>
      </c>
      <c r="D968" s="28" t="n">
        <v>46056</v>
      </c>
      <c r="E968" t="inlineStr">
        <is>
          <t>현대EP</t>
        </is>
      </c>
      <c r="F968" t="inlineStr">
        <is>
          <t>엄재은</t>
        </is>
      </c>
      <c r="G968" t="inlineStr">
        <is>
          <t>010-2842-0133</t>
        </is>
      </c>
      <c r="H968" t="inlineStr">
        <is>
          <t>18고3214</t>
        </is>
      </c>
      <c r="I968" t="n">
        <v>-5400000</v>
      </c>
      <c r="J968" t="n">
        <v>0.07199999999999999</v>
      </c>
      <c r="K968" t="n">
        <v>1.76</v>
      </c>
      <c r="L968" t="n">
        <v>0.14</v>
      </c>
      <c r="M968" t="n">
        <v>1.62</v>
      </c>
      <c r="P968" t="inlineStr">
        <is>
          <t>정광호</t>
        </is>
      </c>
      <c r="Q968" t="inlineStr">
        <is>
          <t>홈서비스 60개월</t>
        </is>
      </c>
      <c r="AB968" t="inlineStr">
        <is>
          <t>홈서비스</t>
        </is>
      </c>
      <c r="AC968" t="n">
        <v>-95040</v>
      </c>
      <c r="AD968" t="n">
        <v>-7560</v>
      </c>
      <c r="AE968" t="n">
        <v>-87480</v>
      </c>
      <c r="AF968" t="n">
        <v>-86400</v>
      </c>
      <c r="AG968" t="n">
        <v>-7560</v>
      </c>
      <c r="AH968" t="n">
        <v>-78840</v>
      </c>
      <c r="AI968" t="n">
        <v>0</v>
      </c>
    </row>
    <row r="969">
      <c r="A969" t="inlineStr">
        <is>
          <t>2월</t>
        </is>
      </c>
      <c r="B969" t="inlineStr">
        <is>
          <t>6주차</t>
        </is>
      </c>
      <c r="C969" t="inlineStr">
        <is>
          <t>EP</t>
        </is>
      </c>
      <c r="D969" s="28" t="n">
        <v>46056</v>
      </c>
      <c r="E969" t="inlineStr">
        <is>
          <t>현대EP</t>
        </is>
      </c>
      <c r="F969" t="inlineStr">
        <is>
          <t>김창회</t>
        </is>
      </c>
      <c r="G969" t="inlineStr">
        <is>
          <t>010-7535-2533</t>
        </is>
      </c>
      <c r="H969" t="inlineStr">
        <is>
          <t>51도7674</t>
        </is>
      </c>
      <c r="I969" t="n">
        <v>-6000000</v>
      </c>
      <c r="J969" t="n">
        <v>0.081</v>
      </c>
      <c r="K969" t="n">
        <v>1.76</v>
      </c>
      <c r="L969" t="n">
        <v>0.14</v>
      </c>
      <c r="M969" t="n">
        <v>1.62</v>
      </c>
      <c r="P969" t="inlineStr">
        <is>
          <t>최형주</t>
        </is>
      </c>
      <c r="Q969" t="inlineStr">
        <is>
          <t>홈서비스60개월</t>
        </is>
      </c>
      <c r="AB969" t="inlineStr">
        <is>
          <t>홈서비스</t>
        </is>
      </c>
      <c r="AC969" t="n">
        <v>-105600</v>
      </c>
      <c r="AD969" t="n">
        <v>-8400</v>
      </c>
      <c r="AE969" t="n">
        <v>-97200</v>
      </c>
      <c r="AF969" t="n">
        <v>-96000</v>
      </c>
      <c r="AG969" t="n">
        <v>-8400</v>
      </c>
      <c r="AH969" t="n">
        <v>-87600</v>
      </c>
      <c r="AI969" t="n">
        <v>1</v>
      </c>
    </row>
    <row r="970">
      <c r="A970" t="inlineStr">
        <is>
          <t>2월</t>
        </is>
      </c>
      <c r="B970" t="inlineStr">
        <is>
          <t>6주차</t>
        </is>
      </c>
      <c r="C970" t="inlineStr">
        <is>
          <t>EP</t>
        </is>
      </c>
      <c r="D970" s="28" t="n">
        <v>46057</v>
      </c>
      <c r="E970" t="inlineStr">
        <is>
          <t>현대EP_fast</t>
        </is>
      </c>
      <c r="F970" t="inlineStr">
        <is>
          <t>김민석</t>
        </is>
      </c>
      <c r="G970" t="inlineStr">
        <is>
          <t>010-3114-4915</t>
        </is>
      </c>
      <c r="H970" t="inlineStr">
        <is>
          <t>239수6449</t>
        </is>
      </c>
      <c r="I970" t="n">
        <v>35500000</v>
      </c>
      <c r="J970" t="n">
        <v>0.067</v>
      </c>
      <c r="K970" t="n">
        <v>1.76</v>
      </c>
      <c r="L970" t="n">
        <v>0.14</v>
      </c>
      <c r="M970" t="n">
        <v>1.62</v>
      </c>
      <c r="P970" t="inlineStr">
        <is>
          <t>황채이</t>
        </is>
      </c>
      <c r="Q970" t="inlineStr">
        <is>
          <t>홈서비스 60개월</t>
        </is>
      </c>
      <c r="AB970" t="inlineStr">
        <is>
          <t>홈서비스</t>
        </is>
      </c>
      <c r="AC970" t="n">
        <v>624800</v>
      </c>
      <c r="AD970" t="n">
        <v>49700</v>
      </c>
      <c r="AE970" t="n">
        <v>575100</v>
      </c>
      <c r="AF970" t="n">
        <v>568000</v>
      </c>
      <c r="AG970" t="n">
        <v>49700</v>
      </c>
      <c r="AH970" t="n">
        <v>518300</v>
      </c>
      <c r="AI970" t="n">
        <v>1</v>
      </c>
    </row>
    <row r="971">
      <c r="A971" t="inlineStr">
        <is>
          <t>2월</t>
        </is>
      </c>
      <c r="B971" t="inlineStr">
        <is>
          <t>6주차</t>
        </is>
      </c>
      <c r="C971" t="inlineStr">
        <is>
          <t>EP</t>
        </is>
      </c>
      <c r="D971" s="28" t="n">
        <v>46055</v>
      </c>
      <c r="E971" t="inlineStr">
        <is>
          <t>현대EP_fast</t>
        </is>
      </c>
      <c r="F971" t="inlineStr">
        <is>
          <t>윤수연</t>
        </is>
      </c>
      <c r="G971" t="inlineStr">
        <is>
          <t>010-7409-8569</t>
        </is>
      </c>
      <c r="H971" t="inlineStr">
        <is>
          <t>63조2699</t>
        </is>
      </c>
      <c r="I971" t="n">
        <v>7000000</v>
      </c>
      <c r="J971" t="n">
        <v>0.06900000000000001</v>
      </c>
      <c r="K971" t="n">
        <v>1.76</v>
      </c>
      <c r="L971" t="n">
        <v>0.14</v>
      </c>
      <c r="M971" t="n">
        <v>1.62</v>
      </c>
      <c r="P971" t="inlineStr">
        <is>
          <t>박현민</t>
        </is>
      </c>
      <c r="Q971" t="inlineStr">
        <is>
          <t>홈서비스 24개월</t>
        </is>
      </c>
      <c r="AB971" t="inlineStr">
        <is>
          <t>홈서비스</t>
        </is>
      </c>
      <c r="AC971" t="n">
        <v>123200</v>
      </c>
      <c r="AD971" t="n">
        <v>9800</v>
      </c>
      <c r="AE971" t="n">
        <v>113400</v>
      </c>
      <c r="AF971" t="n">
        <v>112000</v>
      </c>
      <c r="AG971" t="n">
        <v>9800</v>
      </c>
      <c r="AH971" t="n">
        <v>102200</v>
      </c>
      <c r="AI971" t="n">
        <v>1</v>
      </c>
    </row>
    <row r="972">
      <c r="A972" t="inlineStr">
        <is>
          <t>2월</t>
        </is>
      </c>
      <c r="B972" t="inlineStr">
        <is>
          <t>6주차</t>
        </is>
      </c>
      <c r="C972" t="inlineStr">
        <is>
          <t>EP</t>
        </is>
      </c>
      <c r="D972" s="28" t="n">
        <v>46056</v>
      </c>
      <c r="E972" t="inlineStr">
        <is>
          <t>현대EP_fast</t>
        </is>
      </c>
      <c r="F972" t="inlineStr">
        <is>
          <t>임동욱</t>
        </is>
      </c>
      <c r="G972" t="inlineStr">
        <is>
          <t>010-7382-8119</t>
        </is>
      </c>
      <c r="H972" t="inlineStr">
        <is>
          <t>55버3413</t>
        </is>
      </c>
      <c r="I972" t="n">
        <v>-4900000</v>
      </c>
      <c r="J972" t="n">
        <v>0.067</v>
      </c>
      <c r="K972" t="n">
        <v>1.76</v>
      </c>
      <c r="L972" t="n">
        <v>0.14</v>
      </c>
      <c r="M972" t="n">
        <v>1.62</v>
      </c>
      <c r="P972" t="inlineStr">
        <is>
          <t>정광호</t>
        </is>
      </c>
      <c r="Q972" t="inlineStr">
        <is>
          <t>홈서비스 24개월</t>
        </is>
      </c>
      <c r="AB972" t="inlineStr">
        <is>
          <t>홈서비스</t>
        </is>
      </c>
      <c r="AC972" t="n">
        <v>-86240</v>
      </c>
      <c r="AD972" t="n">
        <v>-6860</v>
      </c>
      <c r="AE972" t="n">
        <v>-79380</v>
      </c>
      <c r="AF972" t="n">
        <v>-78400</v>
      </c>
      <c r="AG972" t="n">
        <v>-6860</v>
      </c>
      <c r="AH972" t="n">
        <v>-71540</v>
      </c>
      <c r="AI972" t="n">
        <v>1</v>
      </c>
    </row>
    <row r="973">
      <c r="A973" t="inlineStr">
        <is>
          <t>2월</t>
        </is>
      </c>
      <c r="B973" t="inlineStr">
        <is>
          <t>6주차</t>
        </is>
      </c>
      <c r="C973" t="inlineStr">
        <is>
          <t>IM</t>
        </is>
      </c>
      <c r="D973" s="28" t="n">
        <v>46055</v>
      </c>
      <c r="E973" t="inlineStr">
        <is>
          <t>IM캐피탈</t>
        </is>
      </c>
      <c r="F973" t="inlineStr">
        <is>
          <t>진기호</t>
        </is>
      </c>
      <c r="G973" t="inlineStr">
        <is>
          <t>010-5378-6624</t>
        </is>
      </c>
      <c r="H973" t="inlineStr">
        <is>
          <t>16루1029</t>
        </is>
      </c>
      <c r="I973" t="n">
        <v>17800000</v>
      </c>
      <c r="J973" t="n">
        <v>0.049</v>
      </c>
      <c r="K973" t="n">
        <v>1.1</v>
      </c>
      <c r="L973" t="n">
        <v>0.4</v>
      </c>
      <c r="M973" t="n">
        <v>0.7</v>
      </c>
      <c r="P973" t="inlineStr">
        <is>
          <t>정하은</t>
        </is>
      </c>
      <c r="Q973" t="inlineStr">
        <is>
          <t>부대비용추가진행</t>
        </is>
      </c>
      <c r="AB973" t="inlineStr">
        <is>
          <t>엔카</t>
        </is>
      </c>
      <c r="AC973" t="n">
        <v>195800</v>
      </c>
      <c r="AD973" t="n">
        <v>71200</v>
      </c>
      <c r="AE973" t="n">
        <v>124600</v>
      </c>
      <c r="AF973" t="n">
        <v>178000</v>
      </c>
      <c r="AG973" t="n">
        <v>71200</v>
      </c>
      <c r="AH973" t="n">
        <v>106800</v>
      </c>
      <c r="AI973" t="n">
        <v>0</v>
      </c>
    </row>
    <row r="974">
      <c r="A974" t="inlineStr">
        <is>
          <t>2월</t>
        </is>
      </c>
      <c r="B974" t="inlineStr">
        <is>
          <t>6주차</t>
        </is>
      </c>
      <c r="C974" t="inlineStr">
        <is>
          <t>EP</t>
        </is>
      </c>
      <c r="D974" s="28" t="n">
        <v>46055</v>
      </c>
      <c r="E974" t="inlineStr">
        <is>
          <t>현대EP_fast</t>
        </is>
      </c>
      <c r="F974" t="inlineStr">
        <is>
          <t>김유정</t>
        </is>
      </c>
      <c r="G974" t="inlineStr">
        <is>
          <t>010-5733-2767</t>
        </is>
      </c>
      <c r="H974" t="inlineStr">
        <is>
          <t>29주6605</t>
        </is>
      </c>
      <c r="I974" t="n">
        <v>8800000</v>
      </c>
      <c r="J974" t="n">
        <v>0.093</v>
      </c>
      <c r="K974" t="n">
        <v>1.76</v>
      </c>
      <c r="L974" t="n">
        <v>0.14</v>
      </c>
      <c r="M974" t="n">
        <v>1.62</v>
      </c>
      <c r="P974" t="inlineStr">
        <is>
          <t>박현민</t>
        </is>
      </c>
      <c r="Q974" t="inlineStr">
        <is>
          <t>홈서비스 48개월</t>
        </is>
      </c>
      <c r="AB974" t="inlineStr">
        <is>
          <t>홈서비스</t>
        </is>
      </c>
      <c r="AC974" t="n">
        <v>154880</v>
      </c>
      <c r="AD974" t="n">
        <v>12320</v>
      </c>
      <c r="AE974" t="n">
        <v>142560</v>
      </c>
      <c r="AF974" t="n">
        <v>140800</v>
      </c>
      <c r="AG974" t="n">
        <v>12320</v>
      </c>
      <c r="AH974" t="n">
        <v>128480</v>
      </c>
      <c r="AI974" t="n">
        <v>1</v>
      </c>
    </row>
    <row r="975">
      <c r="A975" t="inlineStr">
        <is>
          <t>1월</t>
        </is>
      </c>
      <c r="B975" t="inlineStr">
        <is>
          <t>5주차</t>
        </is>
      </c>
      <c r="C975" t="inlineStr">
        <is>
          <t>IM</t>
        </is>
      </c>
      <c r="D975" s="28" t="n">
        <v>46053</v>
      </c>
      <c r="E975" t="inlineStr">
        <is>
          <t>IM캐피탈</t>
        </is>
      </c>
      <c r="F975" t="inlineStr">
        <is>
          <t>정동주</t>
        </is>
      </c>
      <c r="G975" t="inlineStr">
        <is>
          <t>010-2256-2487</t>
        </is>
      </c>
      <c r="H975" t="inlineStr">
        <is>
          <t>206소9186</t>
        </is>
      </c>
      <c r="I975" t="n">
        <v>40000000</v>
      </c>
      <c r="J975" t="n">
        <v>0.049</v>
      </c>
      <c r="K975" t="n">
        <v>1.1</v>
      </c>
      <c r="L975" t="n">
        <v>0.4</v>
      </c>
      <c r="M975" t="n">
        <v>0.7</v>
      </c>
      <c r="P975" t="inlineStr">
        <is>
          <t>구성완</t>
        </is>
      </c>
      <c r="Q975" t="inlineStr">
        <is>
          <t>사유: 금리불만</t>
        </is>
      </c>
      <c r="AB975" t="inlineStr">
        <is>
          <t>엔카</t>
        </is>
      </c>
      <c r="AC975" t="n">
        <v>440000</v>
      </c>
      <c r="AD975" t="n">
        <v>160000</v>
      </c>
      <c r="AE975" t="n">
        <v>280000</v>
      </c>
      <c r="AF975" t="n">
        <v>400000</v>
      </c>
      <c r="AG975" t="n">
        <v>160000</v>
      </c>
      <c r="AH975" t="n">
        <v>240000</v>
      </c>
      <c r="AI975" t="n">
        <v>1</v>
      </c>
    </row>
    <row r="976">
      <c r="A976" t="inlineStr">
        <is>
          <t>2월</t>
        </is>
      </c>
      <c r="B976" t="inlineStr">
        <is>
          <t>6주차</t>
        </is>
      </c>
      <c r="C976" t="inlineStr">
        <is>
          <t>OR</t>
        </is>
      </c>
      <c r="D976" s="28" t="n">
        <v>46055</v>
      </c>
      <c r="E976" t="inlineStr">
        <is>
          <t>오릭스</t>
        </is>
      </c>
      <c r="F976" t="inlineStr">
        <is>
          <t>이재민</t>
        </is>
      </c>
      <c r="G976" t="inlineStr">
        <is>
          <t>010-4820-8616</t>
        </is>
      </c>
      <c r="H976" t="inlineStr">
        <is>
          <t>59머4349</t>
        </is>
      </c>
      <c r="I976" t="n">
        <v>25500000</v>
      </c>
      <c r="J976" t="n">
        <v>0.08400000000000001</v>
      </c>
      <c r="K976" t="n">
        <v>1.65</v>
      </c>
      <c r="L976" t="n">
        <v>0.4</v>
      </c>
      <c r="M976" t="n">
        <v>1.25</v>
      </c>
      <c r="P976" t="inlineStr">
        <is>
          <t>구성완</t>
        </is>
      </c>
      <c r="Q976" t="inlineStr">
        <is>
          <t>부대비포함 진행</t>
        </is>
      </c>
      <c r="AB976" t="inlineStr">
        <is>
          <t>엔카</t>
        </is>
      </c>
      <c r="AC976" t="n">
        <v>420750</v>
      </c>
      <c r="AD976" t="n">
        <v>102000</v>
      </c>
      <c r="AE976" t="n">
        <v>318750</v>
      </c>
      <c r="AF976" t="n">
        <v>382500</v>
      </c>
      <c r="AG976" t="n">
        <v>102000</v>
      </c>
      <c r="AH976" t="n">
        <v>280500</v>
      </c>
      <c r="AI976" t="n">
        <v>0</v>
      </c>
    </row>
    <row r="977">
      <c r="A977" t="inlineStr">
        <is>
          <t>2월</t>
        </is>
      </c>
      <c r="B977" t="inlineStr">
        <is>
          <t>6주차</t>
        </is>
      </c>
      <c r="C977" t="inlineStr">
        <is>
          <t>WC</t>
        </is>
      </c>
      <c r="D977" s="28" t="n">
        <v>46055</v>
      </c>
      <c r="E977" t="inlineStr">
        <is>
          <t>웰컴저축은행</t>
        </is>
      </c>
      <c r="F977" t="inlineStr">
        <is>
          <t>최용원</t>
        </is>
      </c>
      <c r="G977" t="inlineStr">
        <is>
          <t>010-4686-0991</t>
        </is>
      </c>
      <c r="H977" t="inlineStr">
        <is>
          <t>67나0449</t>
        </is>
      </c>
      <c r="I977" t="n">
        <v>12500000</v>
      </c>
      <c r="J977" t="n">
        <v>0.197</v>
      </c>
      <c r="K977" t="n">
        <v>0</v>
      </c>
      <c r="L977" t="n">
        <v>0.14</v>
      </c>
      <c r="M977" t="n">
        <v>-0.14</v>
      </c>
      <c r="P977" t="inlineStr">
        <is>
          <t>황채이</t>
        </is>
      </c>
      <c r="Q977" t="inlineStr">
        <is>
          <t>홈서비스 60개월</t>
        </is>
      </c>
      <c r="AB977" t="inlineStr">
        <is>
          <t>홈서비스</t>
        </is>
      </c>
      <c r="AC977" t="n">
        <v>0</v>
      </c>
      <c r="AD977" t="n">
        <v>17500</v>
      </c>
      <c r="AE977" t="n">
        <v>-17500</v>
      </c>
      <c r="AF977" t="n">
        <v>0</v>
      </c>
      <c r="AG977" t="n">
        <v>17500</v>
      </c>
      <c r="AH977" t="n">
        <v>-17500</v>
      </c>
    </row>
    <row r="978">
      <c r="A978" t="inlineStr">
        <is>
          <t>2월</t>
        </is>
      </c>
      <c r="B978" t="inlineStr">
        <is>
          <t>6주차</t>
        </is>
      </c>
      <c r="C978" t="inlineStr">
        <is>
          <t>EP</t>
        </is>
      </c>
      <c r="D978" s="28" t="n">
        <v>46057</v>
      </c>
      <c r="E978" t="inlineStr">
        <is>
          <t>현대EP</t>
        </is>
      </c>
      <c r="F978" t="inlineStr">
        <is>
          <t>이재용</t>
        </is>
      </c>
      <c r="G978" t="inlineStr">
        <is>
          <t>010-3727-1916</t>
        </is>
      </c>
      <c r="H978" t="inlineStr">
        <is>
          <t>324조8068</t>
        </is>
      </c>
      <c r="I978" t="n">
        <v>16000000</v>
      </c>
      <c r="J978" t="n">
        <v>0.067</v>
      </c>
      <c r="K978" t="n">
        <v>1.76</v>
      </c>
      <c r="L978" t="n">
        <v>0.14</v>
      </c>
      <c r="M978" t="n">
        <v>1.62</v>
      </c>
      <c r="P978" t="inlineStr">
        <is>
          <t>황채이</t>
        </is>
      </c>
      <c r="Q978" t="inlineStr">
        <is>
          <t>홈서비스 36개월</t>
        </is>
      </c>
      <c r="AB978" t="inlineStr">
        <is>
          <t>홈서비스</t>
        </is>
      </c>
      <c r="AC978" t="n">
        <v>281600</v>
      </c>
      <c r="AD978" t="n">
        <v>22400</v>
      </c>
      <c r="AE978" t="n">
        <v>259200</v>
      </c>
      <c r="AF978" t="n">
        <v>256000</v>
      </c>
      <c r="AG978" t="n">
        <v>22400</v>
      </c>
      <c r="AH978" t="n">
        <v>233600</v>
      </c>
    </row>
    <row r="979">
      <c r="A979" t="inlineStr">
        <is>
          <t>1월</t>
        </is>
      </c>
      <c r="B979" t="inlineStr">
        <is>
          <t>5주차</t>
        </is>
      </c>
      <c r="C979" t="inlineStr">
        <is>
          <t>IM</t>
        </is>
      </c>
      <c r="D979" s="28" t="n">
        <v>46052</v>
      </c>
      <c r="E979" t="inlineStr">
        <is>
          <t>IM캐피탈</t>
        </is>
      </c>
      <c r="F979" t="inlineStr">
        <is>
          <t>여승재</t>
        </is>
      </c>
      <c r="G979" t="inlineStr">
        <is>
          <t>010-3540-4495</t>
        </is>
      </c>
      <c r="H979" t="inlineStr">
        <is>
          <t>17수4507</t>
        </is>
      </c>
      <c r="I979" t="n">
        <v>64700000</v>
      </c>
      <c r="J979" t="n">
        <v>0.049</v>
      </c>
      <c r="K979" t="n">
        <v>1.1</v>
      </c>
      <c r="L979" t="n">
        <v>0.13</v>
      </c>
      <c r="M979" t="n">
        <v>0.97</v>
      </c>
      <c r="P979" t="inlineStr">
        <is>
          <t>박보람</t>
        </is>
      </c>
      <c r="Q979" t="inlineStr">
        <is>
          <t>기승인건 / 사유 : 금리불만 / 현대 : 7.9%</t>
        </is>
      </c>
      <c r="AB979" t="inlineStr">
        <is>
          <t>홈서비스</t>
        </is>
      </c>
      <c r="AC979" t="n">
        <v>711700</v>
      </c>
      <c r="AD979" t="n">
        <v>84110</v>
      </c>
      <c r="AE979" t="n">
        <v>627590</v>
      </c>
      <c r="AF979" t="n">
        <v>647000</v>
      </c>
      <c r="AG979" t="n">
        <v>84110</v>
      </c>
      <c r="AH979" t="n">
        <v>562890</v>
      </c>
      <c r="AI979" t="n">
        <v>0</v>
      </c>
    </row>
    <row r="980">
      <c r="A980" t="inlineStr">
        <is>
          <t>2월</t>
        </is>
      </c>
      <c r="B980" t="inlineStr">
        <is>
          <t>6주차</t>
        </is>
      </c>
      <c r="C980" t="inlineStr">
        <is>
          <t>EP</t>
        </is>
      </c>
      <c r="D980" s="28" t="n">
        <v>46055</v>
      </c>
      <c r="E980" t="inlineStr">
        <is>
          <t>현대EP</t>
        </is>
      </c>
      <c r="F980" t="inlineStr">
        <is>
          <t>양판승</t>
        </is>
      </c>
      <c r="G980" t="inlineStr">
        <is>
          <t>010-9310-4346</t>
        </is>
      </c>
      <c r="H980" t="inlineStr">
        <is>
          <t>371주6170</t>
        </is>
      </c>
      <c r="I980" t="n">
        <v>20000000</v>
      </c>
      <c r="J980" t="n">
        <v>0.07199999999999999</v>
      </c>
      <c r="K980" t="n">
        <v>1.76</v>
      </c>
      <c r="L980" t="n">
        <v>0.14</v>
      </c>
      <c r="M980" t="n">
        <v>1.62</v>
      </c>
      <c r="P980" t="inlineStr">
        <is>
          <t>임대경</t>
        </is>
      </c>
      <c r="Q980" t="inlineStr">
        <is>
          <t>홈서비스 36개월</t>
        </is>
      </c>
      <c r="AB980" t="inlineStr">
        <is>
          <t>홈서비스</t>
        </is>
      </c>
      <c r="AC980" t="n">
        <v>352000</v>
      </c>
      <c r="AD980" t="n">
        <v>28000</v>
      </c>
      <c r="AE980" t="n">
        <v>324000</v>
      </c>
      <c r="AF980" t="n">
        <v>320000</v>
      </c>
      <c r="AG980" t="n">
        <v>28000</v>
      </c>
      <c r="AH980" t="n">
        <v>292000</v>
      </c>
    </row>
    <row r="981">
      <c r="A981" t="inlineStr">
        <is>
          <t>2월</t>
        </is>
      </c>
      <c r="B981" t="inlineStr">
        <is>
          <t>6주차</t>
        </is>
      </c>
      <c r="C981" t="inlineStr">
        <is>
          <t>EP</t>
        </is>
      </c>
      <c r="D981" s="28" t="n">
        <v>46057</v>
      </c>
      <c r="E981" t="inlineStr">
        <is>
          <t>현대EP_fast</t>
        </is>
      </c>
      <c r="F981" t="inlineStr">
        <is>
          <t>권수환</t>
        </is>
      </c>
      <c r="G981" t="inlineStr">
        <is>
          <t>010-2702-4902</t>
        </is>
      </c>
      <c r="H981" t="inlineStr">
        <is>
          <t>182어5661</t>
        </is>
      </c>
      <c r="I981" t="n">
        <v>16200000</v>
      </c>
      <c r="J981" t="n">
        <v>0.083</v>
      </c>
      <c r="K981" t="n">
        <v>1.76</v>
      </c>
      <c r="L981" t="n">
        <v>0.14</v>
      </c>
      <c r="M981" t="n">
        <v>1.62</v>
      </c>
      <c r="P981" t="inlineStr">
        <is>
          <t>정광호</t>
        </is>
      </c>
      <c r="Q981" t="inlineStr">
        <is>
          <t>홈서비스 60개월</t>
        </is>
      </c>
      <c r="AB981" t="inlineStr">
        <is>
          <t>홈서비스</t>
        </is>
      </c>
      <c r="AC981" t="n">
        <v>285120</v>
      </c>
      <c r="AD981" t="n">
        <v>22680</v>
      </c>
      <c r="AE981" t="n">
        <v>262440</v>
      </c>
      <c r="AF981" t="n">
        <v>259200</v>
      </c>
      <c r="AG981" t="n">
        <v>22680</v>
      </c>
      <c r="AH981" t="n">
        <v>236520</v>
      </c>
    </row>
    <row r="982">
      <c r="A982" t="inlineStr">
        <is>
          <t>2월</t>
        </is>
      </c>
      <c r="B982" t="inlineStr">
        <is>
          <t>6주차</t>
        </is>
      </c>
      <c r="C982" t="inlineStr">
        <is>
          <t>EP</t>
        </is>
      </c>
      <c r="D982" s="28" t="n">
        <v>46057</v>
      </c>
      <c r="E982" t="inlineStr">
        <is>
          <t>현대EP_fast</t>
        </is>
      </c>
      <c r="F982" t="inlineStr">
        <is>
          <t>박예은</t>
        </is>
      </c>
      <c r="G982" t="n">
        <v>1023675285</v>
      </c>
      <c r="H982" t="inlineStr">
        <is>
          <t>46수0458</t>
        </is>
      </c>
      <c r="I982" t="n">
        <v>4100000</v>
      </c>
      <c r="J982" t="n">
        <v>0.073</v>
      </c>
      <c r="K982" t="n">
        <v>1.76</v>
      </c>
      <c r="L982" t="n">
        <v>0.14</v>
      </c>
      <c r="M982" t="n">
        <v>1.62</v>
      </c>
      <c r="P982" t="inlineStr">
        <is>
          <t>김나윤</t>
        </is>
      </c>
      <c r="Q982" t="inlineStr">
        <is>
          <t>홈서비스 24개월</t>
        </is>
      </c>
      <c r="AB982" t="inlineStr">
        <is>
          <t>홈서비스</t>
        </is>
      </c>
      <c r="AC982" t="n">
        <v>72160</v>
      </c>
      <c r="AD982" t="n">
        <v>5740</v>
      </c>
      <c r="AE982" t="n">
        <v>66420</v>
      </c>
      <c r="AF982" t="n">
        <v>65600</v>
      </c>
      <c r="AG982" t="n">
        <v>5740</v>
      </c>
      <c r="AH982" t="n">
        <v>59860</v>
      </c>
      <c r="AI982" t="n">
        <v>0</v>
      </c>
    </row>
    <row r="983">
      <c r="A983" t="inlineStr">
        <is>
          <t>2월</t>
        </is>
      </c>
      <c r="B983" t="inlineStr">
        <is>
          <t>6주차</t>
        </is>
      </c>
      <c r="C983" t="inlineStr">
        <is>
          <t>EP</t>
        </is>
      </c>
      <c r="D983" s="28" t="n">
        <v>46055</v>
      </c>
      <c r="E983" t="inlineStr">
        <is>
          <t>현대EP</t>
        </is>
      </c>
      <c r="F983" t="inlineStr">
        <is>
          <t>조영재</t>
        </is>
      </c>
      <c r="G983" t="inlineStr">
        <is>
          <t>010-4734-8240</t>
        </is>
      </c>
      <c r="H983" t="inlineStr">
        <is>
          <t>239무2387</t>
        </is>
      </c>
      <c r="I983" t="n">
        <v>15400000</v>
      </c>
      <c r="J983" t="n">
        <v>0.068</v>
      </c>
      <c r="K983" t="n">
        <v>1.76</v>
      </c>
      <c r="L983" t="n">
        <v>0.14</v>
      </c>
      <c r="M983" t="n">
        <v>1.62</v>
      </c>
      <c r="P983" t="inlineStr">
        <is>
          <t>김나윤</t>
        </is>
      </c>
      <c r="Q983" t="inlineStr">
        <is>
          <t>홈서비스 36개월</t>
        </is>
      </c>
      <c r="AB983" t="inlineStr">
        <is>
          <t>홈서비스</t>
        </is>
      </c>
      <c r="AC983" t="n">
        <v>271040</v>
      </c>
      <c r="AD983" t="n">
        <v>21560</v>
      </c>
      <c r="AE983" t="n">
        <v>249480</v>
      </c>
      <c r="AF983" t="n">
        <v>246400</v>
      </c>
      <c r="AG983" t="n">
        <v>21560</v>
      </c>
      <c r="AH983" t="n">
        <v>224840</v>
      </c>
    </row>
    <row r="984">
      <c r="A984" t="inlineStr">
        <is>
          <t>2월</t>
        </is>
      </c>
      <c r="B984" t="inlineStr">
        <is>
          <t>6주차</t>
        </is>
      </c>
      <c r="C984" t="inlineStr">
        <is>
          <t>EP</t>
        </is>
      </c>
      <c r="D984" s="28" t="n">
        <v>46055</v>
      </c>
      <c r="E984" t="inlineStr">
        <is>
          <t>현대EP_fast</t>
        </is>
      </c>
      <c r="F984" t="inlineStr">
        <is>
          <t>김명환</t>
        </is>
      </c>
      <c r="G984" t="inlineStr">
        <is>
          <t>010-2949-2461</t>
        </is>
      </c>
      <c r="H984" t="inlineStr">
        <is>
          <t>317무5785</t>
        </is>
      </c>
      <c r="I984" t="n">
        <v>-18000000</v>
      </c>
      <c r="J984" t="n">
        <v>0.077</v>
      </c>
      <c r="K984" t="n">
        <v>1.76</v>
      </c>
      <c r="L984" t="n">
        <v>0.14</v>
      </c>
      <c r="M984" t="n">
        <v>1.62</v>
      </c>
      <c r="P984" t="inlineStr">
        <is>
          <t>정세빈</t>
        </is>
      </c>
      <c r="Q984" t="inlineStr">
        <is>
          <t>홈서비스 60개월 / 금리인하 0.5%적용건 (8.2-&gt;7.7)</t>
        </is>
      </c>
      <c r="AB984" t="inlineStr">
        <is>
          <t>홈서비스</t>
        </is>
      </c>
      <c r="AC984" t="n">
        <v>-316800</v>
      </c>
      <c r="AD984" t="n">
        <v>-25200</v>
      </c>
      <c r="AE984" t="n">
        <v>-291600</v>
      </c>
      <c r="AF984" t="n">
        <v>-288000</v>
      </c>
      <c r="AG984" t="n">
        <v>-25200</v>
      </c>
      <c r="AH984" t="n">
        <v>-262800</v>
      </c>
    </row>
    <row r="985">
      <c r="A985" t="inlineStr">
        <is>
          <t>2월</t>
        </is>
      </c>
      <c r="B985" t="inlineStr">
        <is>
          <t>6주차</t>
        </is>
      </c>
      <c r="C985" t="inlineStr">
        <is>
          <t>EP</t>
        </is>
      </c>
      <c r="D985" s="28" t="n">
        <v>46055</v>
      </c>
      <c r="E985" t="inlineStr">
        <is>
          <t>현대EP</t>
        </is>
      </c>
      <c r="F985" t="inlineStr">
        <is>
          <t>정종헌</t>
        </is>
      </c>
      <c r="G985" t="inlineStr">
        <is>
          <t>010-8224-0717</t>
        </is>
      </c>
      <c r="H985" t="inlineStr">
        <is>
          <t>23라0554</t>
        </is>
      </c>
      <c r="I985" t="n">
        <v>11900000</v>
      </c>
      <c r="J985" t="n">
        <v>0.068</v>
      </c>
      <c r="K985" t="n">
        <v>1.76</v>
      </c>
      <c r="L985" t="n">
        <v>0.14</v>
      </c>
      <c r="M985" t="n">
        <v>1.62</v>
      </c>
      <c r="P985" t="inlineStr">
        <is>
          <t>김수연</t>
        </is>
      </c>
      <c r="Q985" t="inlineStr">
        <is>
          <t>홈서비스 60개월</t>
        </is>
      </c>
      <c r="AB985" t="inlineStr">
        <is>
          <t>홈서비스</t>
        </is>
      </c>
      <c r="AC985" t="n">
        <v>209440</v>
      </c>
      <c r="AD985" t="n">
        <v>16660</v>
      </c>
      <c r="AE985" t="n">
        <v>192780</v>
      </c>
      <c r="AF985" t="n">
        <v>190400</v>
      </c>
      <c r="AG985" t="n">
        <v>16660</v>
      </c>
      <c r="AH985" t="n">
        <v>173740</v>
      </c>
      <c r="AI985" t="n">
        <v>0</v>
      </c>
    </row>
    <row r="986">
      <c r="A986" t="inlineStr">
        <is>
          <t>2월</t>
        </is>
      </c>
      <c r="B986" t="inlineStr">
        <is>
          <t>6주차</t>
        </is>
      </c>
      <c r="C986" t="inlineStr">
        <is>
          <t>EP</t>
        </is>
      </c>
      <c r="D986" s="28" t="n">
        <v>46055</v>
      </c>
      <c r="E986" t="inlineStr">
        <is>
          <t>현대EP_fast</t>
        </is>
      </c>
      <c r="F986" t="inlineStr">
        <is>
          <t>김부겸</t>
        </is>
      </c>
      <c r="G986" t="inlineStr">
        <is>
          <t>010-9343-4575</t>
        </is>
      </c>
      <c r="H986" t="inlineStr">
        <is>
          <t>51어0340</t>
        </is>
      </c>
      <c r="I986" t="n">
        <v>-4200000</v>
      </c>
      <c r="J986" t="n">
        <v>0.068</v>
      </c>
      <c r="K986" t="n">
        <v>1.76</v>
      </c>
      <c r="L986" t="n">
        <v>0.14</v>
      </c>
      <c r="M986" t="n">
        <v>1.62</v>
      </c>
      <c r="P986" t="inlineStr">
        <is>
          <t>최형주</t>
        </is>
      </c>
      <c r="Q986" t="inlineStr">
        <is>
          <t>홈서비스 36개월</t>
        </is>
      </c>
      <c r="AB986" t="inlineStr">
        <is>
          <t>홈서비스</t>
        </is>
      </c>
      <c r="AC986" t="n">
        <v>-73920</v>
      </c>
      <c r="AD986" t="n">
        <v>-5880</v>
      </c>
      <c r="AE986" t="n">
        <v>-68040</v>
      </c>
      <c r="AF986" t="n">
        <v>-67200</v>
      </c>
      <c r="AG986" t="n">
        <v>-5880</v>
      </c>
      <c r="AH986" t="n">
        <v>-61320</v>
      </c>
      <c r="AI986" t="n">
        <v>0</v>
      </c>
    </row>
    <row r="987">
      <c r="A987" t="inlineStr">
        <is>
          <t>2월</t>
        </is>
      </c>
      <c r="B987" t="inlineStr">
        <is>
          <t>6주차</t>
        </is>
      </c>
      <c r="C987" t="inlineStr">
        <is>
          <t>EP</t>
        </is>
      </c>
      <c r="D987" s="28" t="n">
        <v>46058</v>
      </c>
      <c r="E987" t="inlineStr">
        <is>
          <t>현대EP</t>
        </is>
      </c>
      <c r="F987" t="inlineStr">
        <is>
          <t>이하성</t>
        </is>
      </c>
      <c r="G987" t="inlineStr">
        <is>
          <t>010-2881-3225</t>
        </is>
      </c>
      <c r="H987" t="inlineStr">
        <is>
          <t>61부7143</t>
        </is>
      </c>
      <c r="I987" t="n">
        <v>6500000</v>
      </c>
      <c r="J987" t="n">
        <v>0.073</v>
      </c>
      <c r="K987" t="n">
        <v>1.76</v>
      </c>
      <c r="L987" t="n">
        <v>0.14</v>
      </c>
      <c r="M987" t="n">
        <v>1.62</v>
      </c>
      <c r="P987" t="inlineStr">
        <is>
          <t>정광호</t>
        </is>
      </c>
      <c r="Q987" t="inlineStr">
        <is>
          <t>홈서비스 60개월</t>
        </is>
      </c>
      <c r="AB987" t="inlineStr">
        <is>
          <t>홈서비스</t>
        </is>
      </c>
      <c r="AC987" t="n">
        <v>114400</v>
      </c>
      <c r="AD987" t="n">
        <v>9100</v>
      </c>
      <c r="AE987" t="n">
        <v>105300</v>
      </c>
      <c r="AF987" t="n">
        <v>104000</v>
      </c>
      <c r="AG987" t="n">
        <v>9100</v>
      </c>
      <c r="AH987" t="n">
        <v>94900</v>
      </c>
    </row>
    <row r="988">
      <c r="A988" t="inlineStr">
        <is>
          <t>2월</t>
        </is>
      </c>
      <c r="B988" t="inlineStr">
        <is>
          <t>6주차</t>
        </is>
      </c>
      <c r="C988" t="inlineStr">
        <is>
          <t>IM</t>
        </is>
      </c>
      <c r="D988" s="28" t="n">
        <v>46055</v>
      </c>
      <c r="E988" t="inlineStr">
        <is>
          <t>IM캐피탈</t>
        </is>
      </c>
      <c r="F988" t="inlineStr">
        <is>
          <t>임경수</t>
        </is>
      </c>
      <c r="G988" t="inlineStr">
        <is>
          <t>010-3026-6403</t>
        </is>
      </c>
      <c r="H988" t="inlineStr">
        <is>
          <t>35거6090</t>
        </is>
      </c>
      <c r="I988" t="n">
        <v>4700000</v>
      </c>
      <c r="J988" t="n">
        <v>0.059</v>
      </c>
      <c r="K988" t="n">
        <v>1.1</v>
      </c>
      <c r="L988" t="n">
        <v>0.4</v>
      </c>
      <c r="M988" t="n">
        <v>0.7</v>
      </c>
      <c r="P988" t="inlineStr">
        <is>
          <t>장진경</t>
        </is>
      </c>
      <c r="Q988" t="inlineStr">
        <is>
          <t>론진행</t>
        </is>
      </c>
      <c r="AB988" t="inlineStr">
        <is>
          <t>엔카</t>
        </is>
      </c>
      <c r="AC988" t="n">
        <v>51700</v>
      </c>
      <c r="AD988" t="n">
        <v>18800</v>
      </c>
      <c r="AE988" t="n">
        <v>32900</v>
      </c>
      <c r="AF988" t="n">
        <v>47000</v>
      </c>
      <c r="AG988" t="n">
        <v>18800</v>
      </c>
      <c r="AH988" t="n">
        <v>28200</v>
      </c>
    </row>
    <row r="989">
      <c r="A989" t="inlineStr">
        <is>
          <t>2월</t>
        </is>
      </c>
      <c r="B989" t="inlineStr">
        <is>
          <t>6주차</t>
        </is>
      </c>
      <c r="C989" t="inlineStr">
        <is>
          <t>EP</t>
        </is>
      </c>
      <c r="D989" s="28" t="n">
        <v>46058</v>
      </c>
      <c r="E989" t="inlineStr">
        <is>
          <t>현대EP</t>
        </is>
      </c>
      <c r="F989" t="inlineStr">
        <is>
          <t>강미르</t>
        </is>
      </c>
      <c r="G989" t="inlineStr">
        <is>
          <t>010-4462-8424</t>
        </is>
      </c>
      <c r="H989" t="inlineStr">
        <is>
          <t>32가5332</t>
        </is>
      </c>
      <c r="I989" t="n">
        <v>7600000</v>
      </c>
      <c r="J989" t="n">
        <v>0.131</v>
      </c>
      <c r="K989" t="n">
        <v>1.76</v>
      </c>
      <c r="L989" t="n">
        <v>0.14</v>
      </c>
      <c r="M989" t="n">
        <v>1.62</v>
      </c>
      <c r="P989" t="inlineStr">
        <is>
          <t>최형주</t>
        </is>
      </c>
      <c r="Q989" t="inlineStr">
        <is>
          <t>홈서비스 36개월</t>
        </is>
      </c>
      <c r="AB989" t="inlineStr">
        <is>
          <t>홈서비스</t>
        </is>
      </c>
      <c r="AC989" t="n">
        <v>133760</v>
      </c>
      <c r="AD989" t="n">
        <v>10640</v>
      </c>
      <c r="AE989" t="n">
        <v>123120</v>
      </c>
      <c r="AF989" t="n">
        <v>121600</v>
      </c>
      <c r="AG989" t="n">
        <v>10640</v>
      </c>
      <c r="AH989" t="n">
        <v>110960</v>
      </c>
    </row>
    <row r="990">
      <c r="A990" t="inlineStr">
        <is>
          <t>2월</t>
        </is>
      </c>
      <c r="B990" t="inlineStr">
        <is>
          <t>6주차</t>
        </is>
      </c>
      <c r="C990" t="inlineStr">
        <is>
          <t>EP</t>
        </is>
      </c>
      <c r="D990" s="28" t="n">
        <v>46058</v>
      </c>
      <c r="E990" t="inlineStr">
        <is>
          <t>현대EP_fast</t>
        </is>
      </c>
      <c r="F990" t="inlineStr">
        <is>
          <t>김종우</t>
        </is>
      </c>
      <c r="G990" t="inlineStr">
        <is>
          <t>010-9060-2126</t>
        </is>
      </c>
      <c r="H990" t="inlineStr">
        <is>
          <t>18모2906</t>
        </is>
      </c>
      <c r="I990" t="n">
        <v>8500000</v>
      </c>
      <c r="J990" t="n">
        <v>0.073</v>
      </c>
      <c r="K990" t="n">
        <v>1.76</v>
      </c>
      <c r="L990" t="n">
        <v>0.14</v>
      </c>
      <c r="M990" t="n">
        <v>1.62</v>
      </c>
      <c r="P990" t="inlineStr">
        <is>
          <t>정세빈</t>
        </is>
      </c>
      <c r="Q990" t="inlineStr">
        <is>
          <t>홈서비스 60개월</t>
        </is>
      </c>
      <c r="AB990" t="inlineStr">
        <is>
          <t>홈서비스</t>
        </is>
      </c>
      <c r="AC990" t="n">
        <v>149600</v>
      </c>
      <c r="AD990" t="n">
        <v>11900</v>
      </c>
      <c r="AE990" t="n">
        <v>137700</v>
      </c>
      <c r="AF990" t="n">
        <v>136000</v>
      </c>
      <c r="AG990" t="n">
        <v>11900</v>
      </c>
      <c r="AH990" t="n">
        <v>124100</v>
      </c>
    </row>
    <row r="991">
      <c r="A991" t="inlineStr">
        <is>
          <t>2월</t>
        </is>
      </c>
      <c r="B991" t="inlineStr">
        <is>
          <t>6주차</t>
        </is>
      </c>
      <c r="C991" t="inlineStr">
        <is>
          <t>EP</t>
        </is>
      </c>
      <c r="D991" s="28" t="n">
        <v>46058</v>
      </c>
      <c r="E991" t="inlineStr">
        <is>
          <t>현대EP_fast</t>
        </is>
      </c>
      <c r="F991" t="inlineStr">
        <is>
          <t>심군</t>
        </is>
      </c>
      <c r="G991" t="inlineStr">
        <is>
          <t>010-8695-7247</t>
        </is>
      </c>
      <c r="H991" t="inlineStr">
        <is>
          <t>135라7202</t>
        </is>
      </c>
      <c r="I991" t="n">
        <v>5000000</v>
      </c>
      <c r="J991" t="n">
        <v>0.093</v>
      </c>
      <c r="K991" t="n">
        <v>1.76</v>
      </c>
      <c r="L991" t="n">
        <v>0.14</v>
      </c>
      <c r="M991" t="n">
        <v>1.62</v>
      </c>
      <c r="P991" t="inlineStr">
        <is>
          <t>박소현</t>
        </is>
      </c>
      <c r="Q991" t="inlineStr">
        <is>
          <t>선상담 /홈서비스 60개월</t>
        </is>
      </c>
      <c r="AB991" t="inlineStr">
        <is>
          <t>홈서비스</t>
        </is>
      </c>
      <c r="AC991" t="n">
        <v>88000</v>
      </c>
      <c r="AD991" t="n">
        <v>7000</v>
      </c>
      <c r="AE991" t="n">
        <v>81000</v>
      </c>
      <c r="AF991" t="n">
        <v>80000</v>
      </c>
      <c r="AG991" t="n">
        <v>7000</v>
      </c>
      <c r="AH991" t="n">
        <v>73000</v>
      </c>
      <c r="AI991" t="n">
        <v>0</v>
      </c>
      <c r="AJ991" t="inlineStr">
        <is>
          <t>개인</t>
        </is>
      </c>
    </row>
    <row r="992">
      <c r="A992" t="inlineStr">
        <is>
          <t>2월</t>
        </is>
      </c>
      <c r="B992" t="inlineStr">
        <is>
          <t>7주차</t>
        </is>
      </c>
      <c r="C992" t="inlineStr">
        <is>
          <t>IM</t>
        </is>
      </c>
      <c r="D992" s="28" t="n">
        <v>46062</v>
      </c>
      <c r="E992" t="inlineStr">
        <is>
          <t>IM캐피탈</t>
        </is>
      </c>
      <c r="F992" t="inlineStr">
        <is>
          <t>양영제</t>
        </is>
      </c>
      <c r="G992" t="n">
        <v>1055011997</v>
      </c>
      <c r="H992" t="inlineStr">
        <is>
          <t>137조4360</t>
        </is>
      </c>
      <c r="I992" t="n">
        <v>-22000000</v>
      </c>
      <c r="J992" t="n">
        <v>0.056</v>
      </c>
      <c r="K992" t="n">
        <v>1.21</v>
      </c>
      <c r="L992" t="n">
        <v>0.14</v>
      </c>
      <c r="M992" t="n">
        <v>1.07</v>
      </c>
      <c r="P992" t="inlineStr">
        <is>
          <t>김나윤</t>
        </is>
      </c>
      <c r="Q992" t="inlineStr">
        <is>
          <t>홈서비스 60개월/*철회 20260210</t>
        </is>
      </c>
      <c r="AB992" t="inlineStr">
        <is>
          <t>홈서비스</t>
        </is>
      </c>
      <c r="AC992" t="n">
        <v>-266200</v>
      </c>
      <c r="AD992" t="n">
        <v>-30800</v>
      </c>
      <c r="AE992" t="n">
        <v>-235400</v>
      </c>
      <c r="AF992" t="n">
        <v>-242000</v>
      </c>
      <c r="AG992" t="n">
        <v>-30800</v>
      </c>
      <c r="AH992" t="n">
        <v>-211200</v>
      </c>
      <c r="AI992" t="n">
        <v>1</v>
      </c>
      <c r="AK992" t="inlineStr">
        <is>
          <t>대출철회</t>
        </is>
      </c>
    </row>
    <row r="993">
      <c r="A993" t="inlineStr">
        <is>
          <t>2월</t>
        </is>
      </c>
      <c r="B993" t="inlineStr">
        <is>
          <t>7주차</t>
        </is>
      </c>
      <c r="C993" t="inlineStr">
        <is>
          <t>EP</t>
        </is>
      </c>
      <c r="D993" s="28" t="n">
        <v>46063</v>
      </c>
      <c r="E993" t="inlineStr">
        <is>
          <t>현대EP</t>
        </is>
      </c>
      <c r="F993" t="inlineStr">
        <is>
          <t>한정훈</t>
        </is>
      </c>
      <c r="G993" t="inlineStr">
        <is>
          <t>010-8636-9004</t>
        </is>
      </c>
      <c r="H993" t="inlineStr">
        <is>
          <t>192부6194</t>
        </is>
      </c>
      <c r="I993" t="n">
        <v>14000000</v>
      </c>
      <c r="J993" t="n">
        <v>0.067</v>
      </c>
      <c r="K993" t="n">
        <v>1.21</v>
      </c>
      <c r="L993" t="n">
        <v>0.14</v>
      </c>
      <c r="M993" t="n">
        <v>1.07</v>
      </c>
      <c r="P993" t="inlineStr">
        <is>
          <t>황채이</t>
        </is>
      </c>
      <c r="Q993" t="inlineStr">
        <is>
          <t>홈서비스 48개월</t>
        </is>
      </c>
      <c r="AB993" t="inlineStr">
        <is>
          <t>홈서비스</t>
        </is>
      </c>
      <c r="AC993" t="n">
        <v>169400</v>
      </c>
      <c r="AD993" t="n">
        <v>19600</v>
      </c>
      <c r="AE993" t="n">
        <v>149800</v>
      </c>
      <c r="AF993" t="n">
        <v>154000</v>
      </c>
      <c r="AG993" t="n">
        <v>19600</v>
      </c>
      <c r="AH993" t="n">
        <v>134400</v>
      </c>
      <c r="AI993" t="n">
        <v>1</v>
      </c>
    </row>
    <row r="994">
      <c r="A994" t="inlineStr">
        <is>
          <t>2월</t>
        </is>
      </c>
      <c r="B994" t="inlineStr">
        <is>
          <t>7주차</t>
        </is>
      </c>
      <c r="C994" t="inlineStr">
        <is>
          <t>IM</t>
        </is>
      </c>
      <c r="D994" s="28" t="n">
        <v>46063</v>
      </c>
      <c r="E994" t="inlineStr">
        <is>
          <t>IM캐피탈</t>
        </is>
      </c>
      <c r="F994" t="inlineStr">
        <is>
          <t>이창선</t>
        </is>
      </c>
      <c r="G994" t="inlineStr">
        <is>
          <t>010-7360-2015</t>
        </is>
      </c>
      <c r="H994" t="inlineStr">
        <is>
          <t>252서4119</t>
        </is>
      </c>
      <c r="I994" t="n">
        <v>17000000</v>
      </c>
      <c r="J994" t="n">
        <v>0.066</v>
      </c>
      <c r="K994" t="n">
        <v>1.1</v>
      </c>
      <c r="L994" t="n">
        <v>0.14</v>
      </c>
      <c r="M994" t="n">
        <v>0.96</v>
      </c>
      <c r="P994" t="inlineStr">
        <is>
          <t>정광호</t>
        </is>
      </c>
      <c r="Q994" t="inlineStr">
        <is>
          <t>홈서비스 72개월</t>
        </is>
      </c>
      <c r="AB994" t="inlineStr">
        <is>
          <t>홈서비스</t>
        </is>
      </c>
      <c r="AC994" t="n">
        <v>187000</v>
      </c>
      <c r="AD994" t="n">
        <v>23800</v>
      </c>
      <c r="AE994" t="n">
        <v>163200</v>
      </c>
      <c r="AF994" t="n">
        <v>170000</v>
      </c>
      <c r="AG994" t="n">
        <v>23800</v>
      </c>
      <c r="AH994" t="n">
        <v>146200</v>
      </c>
      <c r="AI994" t="n">
        <v>1</v>
      </c>
    </row>
    <row r="995">
      <c r="A995" t="inlineStr">
        <is>
          <t>2월</t>
        </is>
      </c>
      <c r="B995" t="inlineStr">
        <is>
          <t>8주차</t>
        </is>
      </c>
      <c r="C995" t="inlineStr">
        <is>
          <t>EP</t>
        </is>
      </c>
      <c r="D995" s="28" t="n">
        <v>46072</v>
      </c>
      <c r="E995" t="inlineStr">
        <is>
          <t>현대EP</t>
        </is>
      </c>
      <c r="F995" t="inlineStr">
        <is>
          <t>노재혁</t>
        </is>
      </c>
      <c r="G995" t="inlineStr">
        <is>
          <t>010-2302-7337</t>
        </is>
      </c>
      <c r="H995" t="inlineStr">
        <is>
          <t>195조9274</t>
        </is>
      </c>
      <c r="I995" t="n">
        <v>-12900000</v>
      </c>
      <c r="J995" t="n">
        <v>0.068</v>
      </c>
      <c r="K995" t="n">
        <v>1.76</v>
      </c>
      <c r="L995" t="n">
        <v>0.14</v>
      </c>
      <c r="M995" t="n">
        <v>1.62</v>
      </c>
      <c r="P995" t="inlineStr">
        <is>
          <t>최형주</t>
        </is>
      </c>
      <c r="Q995" t="inlineStr">
        <is>
          <t>홈서비스 60개월</t>
        </is>
      </c>
      <c r="AB995" t="inlineStr">
        <is>
          <t>홈서비스</t>
        </is>
      </c>
      <c r="AC995" t="n">
        <v>-227040</v>
      </c>
      <c r="AD995" t="n">
        <v>-18060</v>
      </c>
      <c r="AE995" t="n">
        <v>-208980</v>
      </c>
      <c r="AF995" t="n">
        <v>-206400</v>
      </c>
      <c r="AG995" t="n">
        <v>-18060</v>
      </c>
      <c r="AH995" t="n">
        <v>-188340</v>
      </c>
      <c r="AI995" t="n">
        <v>1</v>
      </c>
    </row>
    <row r="996">
      <c r="A996" t="inlineStr">
        <is>
          <t>2월</t>
        </is>
      </c>
      <c r="B996" t="inlineStr">
        <is>
          <t>9주차</t>
        </is>
      </c>
      <c r="C996" t="inlineStr">
        <is>
          <t>EP</t>
        </is>
      </c>
      <c r="D996" s="28" t="n">
        <v>46076</v>
      </c>
      <c r="E996" t="inlineStr">
        <is>
          <t>현대EP_fast</t>
        </is>
      </c>
      <c r="F996" t="inlineStr">
        <is>
          <t>최지웅</t>
        </is>
      </c>
      <c r="G996" t="inlineStr">
        <is>
          <t>010-9898-0939</t>
        </is>
      </c>
      <c r="H996" t="inlineStr">
        <is>
          <t>14소1326</t>
        </is>
      </c>
      <c r="I996" t="n">
        <v>16000000</v>
      </c>
      <c r="J996" t="n">
        <v>0.067</v>
      </c>
      <c r="K996" t="n">
        <v>1.76</v>
      </c>
      <c r="L996" t="n">
        <v>0.14</v>
      </c>
      <c r="M996" t="n">
        <v>1.62</v>
      </c>
      <c r="P996" t="inlineStr">
        <is>
          <t>황채이</t>
        </is>
      </c>
      <c r="Q996" t="inlineStr">
        <is>
          <t>홈서비스 48개월 / 금리인하 0.5% 적용건 ( 7.2 &gt; 6.7)</t>
        </is>
      </c>
      <c r="AB996" t="inlineStr">
        <is>
          <t>홈서비스</t>
        </is>
      </c>
      <c r="AC996" t="n">
        <v>281600</v>
      </c>
      <c r="AD996" t="n">
        <v>22400</v>
      </c>
      <c r="AE996" t="n">
        <v>259200</v>
      </c>
      <c r="AF996" t="n">
        <v>256000</v>
      </c>
      <c r="AG996" t="n">
        <v>22400</v>
      </c>
      <c r="AH996" t="n">
        <v>233600</v>
      </c>
      <c r="AI996" t="n">
        <v>1</v>
      </c>
    </row>
    <row r="997">
      <c r="A997" t="inlineStr">
        <is>
          <t>1월</t>
        </is>
      </c>
      <c r="B997" t="inlineStr">
        <is>
          <t>5주차</t>
        </is>
      </c>
      <c r="C997" t="inlineStr">
        <is>
          <t>EP</t>
        </is>
      </c>
      <c r="D997" s="28" t="n">
        <v>46053</v>
      </c>
      <c r="E997" t="inlineStr">
        <is>
          <t>현대EP</t>
        </is>
      </c>
      <c r="F997" t="inlineStr">
        <is>
          <t>서인원</t>
        </is>
      </c>
      <c r="G997" t="inlineStr">
        <is>
          <t>010-9052-3599</t>
        </is>
      </c>
      <c r="H997" t="inlineStr">
        <is>
          <t>56거1820</t>
        </is>
      </c>
      <c r="I997" t="n">
        <v>17000000</v>
      </c>
      <c r="J997" t="n">
        <v>0.08699999999999999</v>
      </c>
      <c r="K997" t="n">
        <v>1.21</v>
      </c>
      <c r="L997" t="n">
        <v>0.13</v>
      </c>
      <c r="M997" t="n">
        <v>1.08</v>
      </c>
      <c r="P997" t="inlineStr">
        <is>
          <t>정세빈</t>
        </is>
      </c>
      <c r="Q997" t="inlineStr">
        <is>
          <t>홈서비스 60개월</t>
        </is>
      </c>
      <c r="AB997" t="inlineStr">
        <is>
          <t>홈서비스</t>
        </is>
      </c>
      <c r="AC997" t="n">
        <v>205700</v>
      </c>
      <c r="AD997" t="n">
        <v>22100</v>
      </c>
      <c r="AE997" t="n">
        <v>183600</v>
      </c>
      <c r="AF997" t="n">
        <v>187000</v>
      </c>
      <c r="AG997" t="n">
        <v>22100</v>
      </c>
      <c r="AH997" t="n">
        <v>164900</v>
      </c>
    </row>
    <row r="998">
      <c r="A998" t="inlineStr">
        <is>
          <t>2월</t>
        </is>
      </c>
      <c r="B998" t="inlineStr">
        <is>
          <t>6주차</t>
        </is>
      </c>
      <c r="C998" t="inlineStr">
        <is>
          <t>OR</t>
        </is>
      </c>
      <c r="D998" s="28" t="n">
        <v>46056</v>
      </c>
      <c r="E998" t="inlineStr">
        <is>
          <t>오릭스</t>
        </is>
      </c>
      <c r="F998" t="inlineStr">
        <is>
          <t>조영재</t>
        </is>
      </c>
      <c r="G998" t="n">
        <v>1098002212</v>
      </c>
      <c r="H998" t="inlineStr">
        <is>
          <t>168수9930</t>
        </is>
      </c>
      <c r="I998" t="n">
        <v>14700000</v>
      </c>
      <c r="J998" t="n">
        <v>0.064</v>
      </c>
      <c r="K998" t="n">
        <v>1.65</v>
      </c>
      <c r="L998" t="n">
        <v>0.14</v>
      </c>
      <c r="M998" t="n">
        <v>1.51</v>
      </c>
      <c r="P998" t="inlineStr">
        <is>
          <t>김나윤</t>
        </is>
      </c>
      <c r="Q998" t="inlineStr">
        <is>
          <t>홈서비스 60개월</t>
        </is>
      </c>
      <c r="AB998" t="inlineStr">
        <is>
          <t>홈서비스</t>
        </is>
      </c>
      <c r="AC998" t="n">
        <v>242550</v>
      </c>
      <c r="AD998" t="n">
        <v>20580</v>
      </c>
      <c r="AE998" t="n">
        <v>221970</v>
      </c>
      <c r="AF998" t="n">
        <v>220500</v>
      </c>
      <c r="AG998" t="n">
        <v>20580</v>
      </c>
      <c r="AH998" t="n">
        <v>199920</v>
      </c>
      <c r="AI998" t="n">
        <v>1</v>
      </c>
    </row>
    <row r="999">
      <c r="A999" t="inlineStr">
        <is>
          <t>1월</t>
        </is>
      </c>
      <c r="B999" t="inlineStr">
        <is>
          <t>5주차</t>
        </is>
      </c>
      <c r="C999" t="inlineStr">
        <is>
          <t>EP</t>
        </is>
      </c>
      <c r="D999" s="28" t="n">
        <v>46053</v>
      </c>
      <c r="E999" t="inlineStr">
        <is>
          <t>현대EP</t>
        </is>
      </c>
      <c r="F999" t="inlineStr">
        <is>
          <t>김갑성</t>
        </is>
      </c>
      <c r="G999" t="inlineStr">
        <is>
          <t>010-6235-1190</t>
        </is>
      </c>
      <c r="H999" t="inlineStr">
        <is>
          <t>196두3120</t>
        </is>
      </c>
      <c r="I999" t="n">
        <v>20000000</v>
      </c>
      <c r="J999" t="n">
        <v>0.06900000000000001</v>
      </c>
      <c r="K999" t="n">
        <v>1.76</v>
      </c>
      <c r="L999" t="n">
        <v>0.13</v>
      </c>
      <c r="M999" t="n">
        <v>1.63</v>
      </c>
      <c r="P999" t="inlineStr">
        <is>
          <t>최형주</t>
        </is>
      </c>
      <c r="Q999" t="inlineStr">
        <is>
          <t>홈서비스 60개월</t>
        </is>
      </c>
      <c r="AB999" t="inlineStr">
        <is>
          <t>홈서비스</t>
        </is>
      </c>
      <c r="AC999" t="n">
        <v>352000</v>
      </c>
      <c r="AD999" t="n">
        <v>26000</v>
      </c>
      <c r="AE999" t="n">
        <v>326000</v>
      </c>
      <c r="AF999" t="n">
        <v>320000</v>
      </c>
      <c r="AG999" t="n">
        <v>26000</v>
      </c>
      <c r="AH999" t="n">
        <v>294000</v>
      </c>
      <c r="AI999" t="n">
        <v>1</v>
      </c>
    </row>
    <row r="1000">
      <c r="A1000" t="inlineStr">
        <is>
          <t>1월</t>
        </is>
      </c>
      <c r="B1000" t="inlineStr">
        <is>
          <t>5주차</t>
        </is>
      </c>
      <c r="C1000" t="inlineStr">
        <is>
          <t>EP</t>
        </is>
      </c>
      <c r="D1000" s="28" t="n">
        <v>46052</v>
      </c>
      <c r="E1000" t="inlineStr">
        <is>
          <t>현대EP</t>
        </is>
      </c>
      <c r="F1000" t="inlineStr">
        <is>
          <t>윤화식</t>
        </is>
      </c>
      <c r="G1000" t="inlineStr">
        <is>
          <t>010-3102-4732</t>
        </is>
      </c>
      <c r="H1000" t="inlineStr">
        <is>
          <t>153주1740</t>
        </is>
      </c>
      <c r="I1000" t="n">
        <v>26900000</v>
      </c>
      <c r="J1000" t="n">
        <v>0.067</v>
      </c>
      <c r="K1000" t="n">
        <v>1.76</v>
      </c>
      <c r="L1000" t="n">
        <v>0.13</v>
      </c>
      <c r="M1000" t="n">
        <v>1.63</v>
      </c>
      <c r="P1000" t="inlineStr">
        <is>
          <t>김수연</t>
        </is>
      </c>
      <c r="Q1000" t="inlineStr">
        <is>
          <t>홈서비스 60개월</t>
        </is>
      </c>
      <c r="AB1000" t="inlineStr">
        <is>
          <t>홈서비스</t>
        </is>
      </c>
      <c r="AC1000" t="n">
        <v>473440</v>
      </c>
      <c r="AD1000" t="n">
        <v>34970</v>
      </c>
      <c r="AE1000" t="n">
        <v>438470</v>
      </c>
      <c r="AF1000" t="n">
        <v>430400</v>
      </c>
      <c r="AG1000" t="n">
        <v>34970</v>
      </c>
      <c r="AH1000" t="n">
        <v>395430</v>
      </c>
      <c r="AI1000" t="n">
        <v>1</v>
      </c>
    </row>
    <row r="1001">
      <c r="A1001" t="inlineStr">
        <is>
          <t>2월</t>
        </is>
      </c>
      <c r="B1001" t="inlineStr">
        <is>
          <t>6주차</t>
        </is>
      </c>
      <c r="C1001" t="inlineStr">
        <is>
          <t>IM</t>
        </is>
      </c>
      <c r="D1001" s="28" t="n">
        <v>46055</v>
      </c>
      <c r="E1001" t="inlineStr">
        <is>
          <t>IM캐피탈</t>
        </is>
      </c>
      <c r="F1001" t="inlineStr">
        <is>
          <t>이상묵</t>
        </is>
      </c>
      <c r="G1001" t="n">
        <v>1075642134</v>
      </c>
      <c r="H1001" t="inlineStr">
        <is>
          <t>31우3767</t>
        </is>
      </c>
      <c r="I1001" t="n">
        <v>13000000</v>
      </c>
      <c r="J1001" t="n">
        <v>0.059</v>
      </c>
      <c r="K1001" t="n">
        <v>1.21</v>
      </c>
      <c r="L1001" t="n">
        <v>0.14</v>
      </c>
      <c r="M1001" t="n">
        <v>1.07</v>
      </c>
      <c r="P1001" t="inlineStr">
        <is>
          <t>김나윤</t>
        </is>
      </c>
      <c r="Q1001" t="inlineStr">
        <is>
          <t>홈서비스 36개월</t>
        </is>
      </c>
      <c r="AB1001" t="inlineStr">
        <is>
          <t>홈서비스</t>
        </is>
      </c>
      <c r="AC1001" t="n">
        <v>157300</v>
      </c>
      <c r="AD1001" t="n">
        <v>18200</v>
      </c>
      <c r="AE1001" t="n">
        <v>139100</v>
      </c>
      <c r="AF1001" t="n">
        <v>143000</v>
      </c>
      <c r="AG1001" t="n">
        <v>18200</v>
      </c>
      <c r="AH1001" t="n">
        <v>124800</v>
      </c>
      <c r="AI1001" t="n">
        <v>1</v>
      </c>
    </row>
    <row r="1002">
      <c r="A1002" t="inlineStr">
        <is>
          <t>2월</t>
        </is>
      </c>
      <c r="B1002" t="inlineStr">
        <is>
          <t>6주차</t>
        </is>
      </c>
      <c r="C1002" t="inlineStr">
        <is>
          <t>EP</t>
        </is>
      </c>
      <c r="D1002" s="28" t="n">
        <v>46055</v>
      </c>
      <c r="E1002" t="inlineStr">
        <is>
          <t>현대EP_fast</t>
        </is>
      </c>
      <c r="F1002" t="inlineStr">
        <is>
          <t>김영훈</t>
        </is>
      </c>
      <c r="G1002" t="inlineStr">
        <is>
          <t>010-9900-0523</t>
        </is>
      </c>
      <c r="H1002" t="inlineStr">
        <is>
          <t>69두2918</t>
        </is>
      </c>
      <c r="I1002" t="n">
        <v>6000000</v>
      </c>
      <c r="J1002" t="n">
        <v>0.075</v>
      </c>
      <c r="K1002" t="n">
        <v>1.76</v>
      </c>
      <c r="L1002" t="n">
        <v>0.4</v>
      </c>
      <c r="M1002" t="n">
        <v>1.36</v>
      </c>
      <c r="P1002" t="inlineStr">
        <is>
          <t>박소현</t>
        </is>
      </c>
      <c r="AB1002" t="inlineStr">
        <is>
          <t>엔카</t>
        </is>
      </c>
      <c r="AC1002" t="n">
        <v>105600</v>
      </c>
      <c r="AD1002" t="n">
        <v>24000</v>
      </c>
      <c r="AE1002" t="n">
        <v>81600</v>
      </c>
      <c r="AF1002" t="n">
        <v>96000</v>
      </c>
      <c r="AG1002" t="n">
        <v>24000</v>
      </c>
      <c r="AH1002" t="n">
        <v>72000</v>
      </c>
      <c r="AI1002" t="n">
        <v>1</v>
      </c>
    </row>
    <row r="1003">
      <c r="A1003" t="inlineStr">
        <is>
          <t>2월</t>
        </is>
      </c>
      <c r="B1003" t="inlineStr">
        <is>
          <t>5주차</t>
        </is>
      </c>
      <c r="C1003" t="inlineStr">
        <is>
          <t>OR</t>
        </is>
      </c>
      <c r="D1003" s="28" t="n">
        <v>46054</v>
      </c>
      <c r="E1003" t="inlineStr">
        <is>
          <t>오릭스</t>
        </is>
      </c>
      <c r="F1003" t="inlineStr">
        <is>
          <t>김희애</t>
        </is>
      </c>
      <c r="G1003" t="inlineStr">
        <is>
          <t>010-4787-5206</t>
        </is>
      </c>
      <c r="H1003" t="inlineStr">
        <is>
          <t>369노2611</t>
        </is>
      </c>
      <c r="I1003" t="n">
        <v>12900000</v>
      </c>
      <c r="J1003" t="n">
        <v>0.08500000000000001</v>
      </c>
      <c r="K1003" t="n">
        <v>1.65</v>
      </c>
      <c r="L1003" t="n">
        <v>0.4</v>
      </c>
      <c r="M1003" t="n">
        <v>1.25</v>
      </c>
      <c r="P1003" t="inlineStr">
        <is>
          <t>박보람</t>
        </is>
      </c>
      <c r="AB1003" t="inlineStr">
        <is>
          <t>엔카</t>
        </is>
      </c>
      <c r="AC1003" t="n">
        <v>212850</v>
      </c>
      <c r="AD1003" t="n">
        <v>51600</v>
      </c>
      <c r="AE1003" t="n">
        <v>161250</v>
      </c>
      <c r="AF1003" t="n">
        <v>193500</v>
      </c>
      <c r="AG1003" t="n">
        <v>51600</v>
      </c>
      <c r="AH1003" t="n">
        <v>141900</v>
      </c>
      <c r="AI1003" t="n">
        <v>1</v>
      </c>
    </row>
    <row r="1004">
      <c r="A1004" t="inlineStr">
        <is>
          <t>1월</t>
        </is>
      </c>
      <c r="B1004" t="inlineStr">
        <is>
          <t>5주차</t>
        </is>
      </c>
      <c r="C1004" t="inlineStr">
        <is>
          <t>EP</t>
        </is>
      </c>
      <c r="D1004" s="28" t="n">
        <v>46052</v>
      </c>
      <c r="E1004" t="inlineStr">
        <is>
          <t>현대EP_fast</t>
        </is>
      </c>
      <c r="F1004" t="inlineStr">
        <is>
          <t>고대현</t>
        </is>
      </c>
      <c r="G1004" t="inlineStr">
        <is>
          <t>010-2303-9017</t>
        </is>
      </c>
      <c r="H1004" t="inlineStr">
        <is>
          <t>160가9908</t>
        </is>
      </c>
      <c r="I1004" t="n">
        <v>9000000</v>
      </c>
      <c r="J1004" t="n">
        <v>0.08699999999999999</v>
      </c>
      <c r="K1004" t="n">
        <v>1.76</v>
      </c>
      <c r="L1004" t="n">
        <v>0.13</v>
      </c>
      <c r="M1004" t="n">
        <v>1.63</v>
      </c>
      <c r="P1004" t="inlineStr">
        <is>
          <t>최혁</t>
        </is>
      </c>
      <c r="Q1004" t="inlineStr">
        <is>
          <t>홈서비스60개월</t>
        </is>
      </c>
      <c r="AB1004" t="inlineStr">
        <is>
          <t>홈서비스</t>
        </is>
      </c>
      <c r="AC1004" t="n">
        <v>158400</v>
      </c>
      <c r="AD1004" t="n">
        <v>11700</v>
      </c>
      <c r="AE1004" t="n">
        <v>146700</v>
      </c>
      <c r="AF1004" t="n">
        <v>144000</v>
      </c>
      <c r="AG1004" t="n">
        <v>11700</v>
      </c>
      <c r="AH1004" t="n">
        <v>132300</v>
      </c>
    </row>
    <row r="1005">
      <c r="A1005" t="inlineStr">
        <is>
          <t>2월</t>
        </is>
      </c>
      <c r="B1005" t="inlineStr">
        <is>
          <t>6주차</t>
        </is>
      </c>
      <c r="C1005" t="inlineStr">
        <is>
          <t>EP</t>
        </is>
      </c>
      <c r="D1005" s="28" t="n">
        <v>46056</v>
      </c>
      <c r="E1005" t="inlineStr">
        <is>
          <t>현대EP</t>
        </is>
      </c>
      <c r="F1005" t="inlineStr">
        <is>
          <t>이정수</t>
        </is>
      </c>
      <c r="G1005" t="inlineStr">
        <is>
          <t>010-5285-3777</t>
        </is>
      </c>
      <c r="H1005" t="inlineStr">
        <is>
          <t>04거3889</t>
        </is>
      </c>
      <c r="I1005" t="n">
        <v>18900000</v>
      </c>
      <c r="J1005" t="n">
        <v>0.068</v>
      </c>
      <c r="K1005" t="n">
        <v>1.76</v>
      </c>
      <c r="L1005" t="n">
        <v>0.14</v>
      </c>
      <c r="M1005" t="n">
        <v>1.62</v>
      </c>
      <c r="P1005" t="inlineStr">
        <is>
          <t>황채이</t>
        </is>
      </c>
      <c r="Q1005" t="inlineStr">
        <is>
          <t>홈서비스 36개월</t>
        </is>
      </c>
      <c r="AB1005" t="inlineStr">
        <is>
          <t>홈서비스</t>
        </is>
      </c>
      <c r="AC1005" t="n">
        <v>332640</v>
      </c>
      <c r="AD1005" t="n">
        <v>26460</v>
      </c>
      <c r="AE1005" t="n">
        <v>306180</v>
      </c>
      <c r="AF1005" t="n">
        <v>302400</v>
      </c>
      <c r="AG1005" t="n">
        <v>26460</v>
      </c>
      <c r="AH1005" t="n">
        <v>275940</v>
      </c>
      <c r="AI1005" t="n">
        <v>0</v>
      </c>
    </row>
    <row r="1006">
      <c r="A1006" t="inlineStr">
        <is>
          <t>2월</t>
        </is>
      </c>
      <c r="B1006" t="inlineStr">
        <is>
          <t>6주차</t>
        </is>
      </c>
      <c r="C1006" t="inlineStr">
        <is>
          <t>OR</t>
        </is>
      </c>
      <c r="D1006" s="28" t="n">
        <v>46056</v>
      </c>
      <c r="E1006" t="inlineStr">
        <is>
          <t>오릭스</t>
        </is>
      </c>
      <c r="F1006" t="inlineStr">
        <is>
          <t>이동행</t>
        </is>
      </c>
      <c r="G1006" t="inlineStr">
        <is>
          <t>010-9173-3765</t>
        </is>
      </c>
      <c r="H1006" t="inlineStr">
        <is>
          <t>03오2261</t>
        </is>
      </c>
      <c r="I1006" t="n">
        <v>24000000</v>
      </c>
      <c r="J1006" t="n">
        <v>0.07199999999999999</v>
      </c>
      <c r="K1006" t="n">
        <v>1.65</v>
      </c>
      <c r="L1006" t="n">
        <v>0.4</v>
      </c>
      <c r="M1006" t="n">
        <v>1.25</v>
      </c>
      <c r="P1006" t="inlineStr">
        <is>
          <t>박현민</t>
        </is>
      </c>
      <c r="Q1006" t="inlineStr">
        <is>
          <t>부대비용추가진행</t>
        </is>
      </c>
      <c r="AB1006" t="inlineStr">
        <is>
          <t>엔카</t>
        </is>
      </c>
      <c r="AC1006" t="n">
        <v>396000</v>
      </c>
      <c r="AD1006" t="n">
        <v>96000</v>
      </c>
      <c r="AE1006" t="n">
        <v>300000</v>
      </c>
      <c r="AF1006" t="n">
        <v>360000</v>
      </c>
      <c r="AG1006" t="n">
        <v>96000</v>
      </c>
      <c r="AH1006" t="n">
        <v>264000</v>
      </c>
    </row>
    <row r="1007">
      <c r="A1007" t="inlineStr">
        <is>
          <t>2월</t>
        </is>
      </c>
      <c r="B1007" t="inlineStr">
        <is>
          <t>6주차</t>
        </is>
      </c>
      <c r="C1007" t="inlineStr">
        <is>
          <t>EP</t>
        </is>
      </c>
      <c r="D1007" s="28" t="n">
        <v>46056</v>
      </c>
      <c r="E1007" t="inlineStr">
        <is>
          <t>현대EP_fast</t>
        </is>
      </c>
      <c r="F1007" t="inlineStr">
        <is>
          <t>윤연희</t>
        </is>
      </c>
      <c r="G1007" t="inlineStr">
        <is>
          <t>010-3286-5322</t>
        </is>
      </c>
      <c r="H1007" t="inlineStr">
        <is>
          <t>06주5699</t>
        </is>
      </c>
      <c r="I1007" t="n">
        <v>69900000</v>
      </c>
      <c r="J1007" t="n">
        <v>0.099</v>
      </c>
      <c r="K1007" t="n">
        <v>1.21</v>
      </c>
      <c r="L1007" t="n">
        <v>0.4</v>
      </c>
      <c r="M1007" t="n">
        <v>0.8100000000000001</v>
      </c>
      <c r="P1007" t="inlineStr">
        <is>
          <t>장진경</t>
        </is>
      </c>
      <c r="Q1007" t="inlineStr">
        <is>
          <t>고객주도체결</t>
        </is>
      </c>
      <c r="AB1007" t="inlineStr">
        <is>
          <t>엔카</t>
        </is>
      </c>
      <c r="AC1007" t="n">
        <v>845790</v>
      </c>
      <c r="AD1007" t="n">
        <v>279600</v>
      </c>
      <c r="AE1007" t="n">
        <v>566190</v>
      </c>
      <c r="AF1007" t="n">
        <v>768900</v>
      </c>
      <c r="AG1007" t="n">
        <v>279600</v>
      </c>
      <c r="AH1007" t="n">
        <v>489300</v>
      </c>
    </row>
    <row r="1008">
      <c r="A1008" t="inlineStr">
        <is>
          <t>2월</t>
        </is>
      </c>
      <c r="B1008" t="inlineStr">
        <is>
          <t>6주차</t>
        </is>
      </c>
      <c r="C1008" t="inlineStr">
        <is>
          <t>EP</t>
        </is>
      </c>
      <c r="D1008" s="28" t="n">
        <v>46055</v>
      </c>
      <c r="E1008" t="inlineStr">
        <is>
          <t>현대EP_fast</t>
        </is>
      </c>
      <c r="F1008" t="inlineStr">
        <is>
          <t>우정애</t>
        </is>
      </c>
      <c r="G1008" t="inlineStr">
        <is>
          <t>010-6298-9412</t>
        </is>
      </c>
      <c r="H1008" t="inlineStr">
        <is>
          <t>62주5634</t>
        </is>
      </c>
      <c r="I1008" t="n">
        <v>12500000</v>
      </c>
      <c r="J1008" t="n">
        <v>0.06900000000000001</v>
      </c>
      <c r="K1008" t="n">
        <v>1.76</v>
      </c>
      <c r="L1008" t="n">
        <v>0.14</v>
      </c>
      <c r="M1008" t="n">
        <v>1.62</v>
      </c>
      <c r="P1008" t="inlineStr">
        <is>
          <t>김수연</t>
        </is>
      </c>
      <c r="Q1008" t="inlineStr">
        <is>
          <t>홈서비스 60개월</t>
        </is>
      </c>
      <c r="AB1008" t="inlineStr">
        <is>
          <t>홈서비스</t>
        </is>
      </c>
      <c r="AC1008" t="n">
        <v>220000</v>
      </c>
      <c r="AD1008" t="n">
        <v>17500</v>
      </c>
      <c r="AE1008" t="n">
        <v>202500</v>
      </c>
      <c r="AF1008" t="n">
        <v>200000</v>
      </c>
      <c r="AG1008" t="n">
        <v>17500</v>
      </c>
      <c r="AH1008" t="n">
        <v>182500</v>
      </c>
      <c r="AI1008" t="n">
        <v>0</v>
      </c>
    </row>
    <row r="1009">
      <c r="A1009" t="inlineStr">
        <is>
          <t>2월</t>
        </is>
      </c>
      <c r="B1009" t="inlineStr">
        <is>
          <t>6주차</t>
        </is>
      </c>
      <c r="C1009" t="inlineStr">
        <is>
          <t>EP</t>
        </is>
      </c>
      <c r="D1009" s="28" t="n">
        <v>46058</v>
      </c>
      <c r="E1009" t="inlineStr">
        <is>
          <t>현대EP_fast</t>
        </is>
      </c>
      <c r="F1009" t="inlineStr">
        <is>
          <t>우나영</t>
        </is>
      </c>
      <c r="G1009" t="inlineStr">
        <is>
          <t>010-8570-5260</t>
        </is>
      </c>
      <c r="H1009" t="inlineStr">
        <is>
          <t>383거1526</t>
        </is>
      </c>
      <c r="I1009" t="n">
        <v>-21000000</v>
      </c>
      <c r="J1009" t="n">
        <v>0.115</v>
      </c>
      <c r="K1009" t="n">
        <v>1.76</v>
      </c>
      <c r="L1009" t="n">
        <v>0.14</v>
      </c>
      <c r="M1009" t="n">
        <v>1.62</v>
      </c>
      <c r="P1009" t="inlineStr">
        <is>
          <t>김수연</t>
        </is>
      </c>
      <c r="Q1009" t="inlineStr">
        <is>
          <t>홈서비스 36개월</t>
        </is>
      </c>
      <c r="AB1009" t="inlineStr">
        <is>
          <t>홈서비스</t>
        </is>
      </c>
      <c r="AC1009" t="n">
        <v>-369600</v>
      </c>
      <c r="AD1009" t="n">
        <v>-29400</v>
      </c>
      <c r="AE1009" t="n">
        <v>-340200</v>
      </c>
      <c r="AF1009" t="n">
        <v>-336000</v>
      </c>
      <c r="AG1009" t="n">
        <v>-29400</v>
      </c>
      <c r="AH1009" t="n">
        <v>-306600</v>
      </c>
      <c r="AI1009" t="n">
        <v>0</v>
      </c>
    </row>
    <row r="1010">
      <c r="A1010" t="inlineStr">
        <is>
          <t>2월</t>
        </is>
      </c>
      <c r="B1010" t="inlineStr">
        <is>
          <t>6주차</t>
        </is>
      </c>
      <c r="C1010" t="inlineStr">
        <is>
          <t>EP</t>
        </is>
      </c>
      <c r="D1010" s="28" t="n">
        <v>46056</v>
      </c>
      <c r="E1010" t="inlineStr">
        <is>
          <t>현대EP_fast</t>
        </is>
      </c>
      <c r="F1010" t="inlineStr">
        <is>
          <t>손유현</t>
        </is>
      </c>
      <c r="G1010" t="inlineStr">
        <is>
          <t>010-3258-3015</t>
        </is>
      </c>
      <c r="H1010" t="inlineStr">
        <is>
          <t>329거6452</t>
        </is>
      </c>
      <c r="I1010" t="n">
        <v>17500000</v>
      </c>
      <c r="J1010" t="n">
        <v>0.141</v>
      </c>
      <c r="K1010" t="n">
        <v>1.76</v>
      </c>
      <c r="L1010" t="n">
        <v>0.4</v>
      </c>
      <c r="M1010" t="n">
        <v>1.36</v>
      </c>
      <c r="P1010" t="inlineStr">
        <is>
          <t>장진경</t>
        </is>
      </c>
      <c r="AB1010" t="inlineStr">
        <is>
          <t>엔카</t>
        </is>
      </c>
      <c r="AC1010" t="n">
        <v>308000</v>
      </c>
      <c r="AD1010" t="n">
        <v>70000</v>
      </c>
      <c r="AE1010" t="n">
        <v>238000</v>
      </c>
      <c r="AF1010" t="n">
        <v>280000</v>
      </c>
      <c r="AG1010" t="n">
        <v>70000</v>
      </c>
      <c r="AH1010" t="n">
        <v>210000</v>
      </c>
      <c r="AI1010" t="n">
        <v>0</v>
      </c>
    </row>
    <row r="1011">
      <c r="A1011" t="inlineStr">
        <is>
          <t>2월</t>
        </is>
      </c>
      <c r="B1011" t="inlineStr">
        <is>
          <t>6주차</t>
        </is>
      </c>
      <c r="C1011" t="inlineStr">
        <is>
          <t>EP</t>
        </is>
      </c>
      <c r="D1011" s="28" t="n">
        <v>46058</v>
      </c>
      <c r="E1011" t="inlineStr">
        <is>
          <t>현대EP_fast</t>
        </is>
      </c>
      <c r="F1011" t="inlineStr">
        <is>
          <t>이용</t>
        </is>
      </c>
      <c r="G1011" t="n">
        <v>1064430308</v>
      </c>
      <c r="H1011" t="inlineStr">
        <is>
          <t>174주4133</t>
        </is>
      </c>
      <c r="I1011" t="n">
        <v>8800000</v>
      </c>
      <c r="J1011" t="n">
        <v>0.111</v>
      </c>
      <c r="K1011" t="n">
        <v>1.76</v>
      </c>
      <c r="L1011" t="n">
        <v>0.14</v>
      </c>
      <c r="M1011" t="n">
        <v>1.62</v>
      </c>
      <c r="P1011" t="inlineStr">
        <is>
          <t>김나윤</t>
        </is>
      </c>
      <c r="Q1011" t="inlineStr">
        <is>
          <t>홈서비스 36개월</t>
        </is>
      </c>
      <c r="AB1011" t="inlineStr">
        <is>
          <t>홈서비스</t>
        </is>
      </c>
      <c r="AC1011" t="n">
        <v>154880</v>
      </c>
      <c r="AD1011" t="n">
        <v>12320</v>
      </c>
      <c r="AE1011" t="n">
        <v>142560</v>
      </c>
      <c r="AF1011" t="n">
        <v>140800</v>
      </c>
      <c r="AG1011" t="n">
        <v>12320</v>
      </c>
      <c r="AH1011" t="n">
        <v>128480</v>
      </c>
      <c r="AI1011" t="n">
        <v>0</v>
      </c>
    </row>
    <row r="1012">
      <c r="A1012" t="inlineStr">
        <is>
          <t>2월</t>
        </is>
      </c>
      <c r="B1012" t="inlineStr">
        <is>
          <t>6주차</t>
        </is>
      </c>
      <c r="C1012" t="inlineStr">
        <is>
          <t>OR</t>
        </is>
      </c>
      <c r="D1012" s="28" t="n">
        <v>46060</v>
      </c>
      <c r="E1012" t="inlineStr">
        <is>
          <t>오릭스</t>
        </is>
      </c>
      <c r="F1012" t="inlineStr">
        <is>
          <t>박호진</t>
        </is>
      </c>
      <c r="G1012" t="inlineStr">
        <is>
          <t>010-8232-6855</t>
        </is>
      </c>
      <c r="H1012" t="inlineStr">
        <is>
          <t>370서5391</t>
        </is>
      </c>
      <c r="I1012" t="n">
        <v>11600000</v>
      </c>
      <c r="J1012" t="n">
        <v>0.055</v>
      </c>
      <c r="K1012" t="n">
        <v>1.65</v>
      </c>
      <c r="L1012" t="n">
        <v>0.14</v>
      </c>
      <c r="M1012" t="n">
        <v>1.51</v>
      </c>
      <c r="P1012" t="inlineStr">
        <is>
          <t>정세빈</t>
        </is>
      </c>
      <c r="Q1012" t="inlineStr">
        <is>
          <t>홈서비스 60개월</t>
        </is>
      </c>
      <c r="AB1012" t="inlineStr">
        <is>
          <t>홈서비스</t>
        </is>
      </c>
      <c r="AC1012" t="n">
        <v>191400</v>
      </c>
      <c r="AD1012" t="n">
        <v>16240</v>
      </c>
      <c r="AE1012" t="n">
        <v>175160</v>
      </c>
      <c r="AF1012" t="n">
        <v>174000</v>
      </c>
      <c r="AG1012" t="n">
        <v>16240</v>
      </c>
      <c r="AH1012" t="n">
        <v>157760</v>
      </c>
      <c r="AI1012" t="n">
        <v>0</v>
      </c>
    </row>
    <row r="1013">
      <c r="A1013" t="inlineStr">
        <is>
          <t>2월</t>
        </is>
      </c>
      <c r="B1013" t="inlineStr">
        <is>
          <t>6주차</t>
        </is>
      </c>
      <c r="C1013" t="inlineStr">
        <is>
          <t>OR</t>
        </is>
      </c>
      <c r="D1013" s="28" t="n">
        <v>46056</v>
      </c>
      <c r="E1013" t="inlineStr">
        <is>
          <t>오릭스</t>
        </is>
      </c>
      <c r="F1013" t="inlineStr">
        <is>
          <t>최영혁</t>
        </is>
      </c>
      <c r="G1013" t="inlineStr">
        <is>
          <t>010-3371-1464</t>
        </is>
      </c>
      <c r="H1013" t="inlineStr">
        <is>
          <t>15조6862</t>
        </is>
      </c>
      <c r="I1013" t="n">
        <v>4600000</v>
      </c>
      <c r="J1013" t="n">
        <v>0.058</v>
      </c>
      <c r="K1013" t="n">
        <v>1.65</v>
      </c>
      <c r="L1013" t="n">
        <v>0.4</v>
      </c>
      <c r="M1013" t="n">
        <v>1.25</v>
      </c>
      <c r="P1013" t="inlineStr">
        <is>
          <t>박현민</t>
        </is>
      </c>
      <c r="AB1013" t="inlineStr">
        <is>
          <t>엔카</t>
        </is>
      </c>
      <c r="AC1013" t="n">
        <v>75900</v>
      </c>
      <c r="AD1013" t="n">
        <v>18400</v>
      </c>
      <c r="AE1013" t="n">
        <v>57500</v>
      </c>
      <c r="AF1013" t="n">
        <v>69000</v>
      </c>
      <c r="AG1013" t="n">
        <v>18400</v>
      </c>
      <c r="AH1013" t="n">
        <v>50600</v>
      </c>
    </row>
    <row r="1014">
      <c r="A1014" t="inlineStr">
        <is>
          <t>2월</t>
        </is>
      </c>
      <c r="B1014" t="inlineStr">
        <is>
          <t>6주차</t>
        </is>
      </c>
      <c r="C1014" t="inlineStr">
        <is>
          <t>EP</t>
        </is>
      </c>
      <c r="D1014" s="28" t="n">
        <v>46056</v>
      </c>
      <c r="E1014" t="inlineStr">
        <is>
          <t>현대EP_fast</t>
        </is>
      </c>
      <c r="F1014" t="inlineStr">
        <is>
          <t>박현빈</t>
        </is>
      </c>
      <c r="G1014" t="inlineStr">
        <is>
          <t>010-8475-1720</t>
        </is>
      </c>
      <c r="H1014" t="inlineStr">
        <is>
          <t>52무5094</t>
        </is>
      </c>
      <c r="I1014" t="n">
        <v>22300000</v>
      </c>
      <c r="J1014" t="n">
        <v>0.097</v>
      </c>
      <c r="K1014" t="n">
        <v>1.76</v>
      </c>
      <c r="L1014" t="n">
        <v>0.14</v>
      </c>
      <c r="M1014" t="n">
        <v>1.62</v>
      </c>
      <c r="P1014" t="inlineStr">
        <is>
          <t>정세빈</t>
        </is>
      </c>
      <c r="Q1014" t="inlineStr">
        <is>
          <t>홈서비스 60개월</t>
        </is>
      </c>
      <c r="AB1014" t="inlineStr">
        <is>
          <t>홈서비스</t>
        </is>
      </c>
      <c r="AC1014" t="n">
        <v>392480</v>
      </c>
      <c r="AD1014" t="n">
        <v>31220</v>
      </c>
      <c r="AE1014" t="n">
        <v>361260</v>
      </c>
      <c r="AF1014" t="n">
        <v>356800</v>
      </c>
      <c r="AG1014" t="n">
        <v>31220</v>
      </c>
      <c r="AH1014" t="n">
        <v>325580</v>
      </c>
      <c r="AI1014" t="n">
        <v>0</v>
      </c>
    </row>
    <row r="1015">
      <c r="A1015" t="inlineStr">
        <is>
          <t>2월</t>
        </is>
      </c>
      <c r="B1015" t="inlineStr">
        <is>
          <t>6주차</t>
        </is>
      </c>
      <c r="C1015" t="inlineStr">
        <is>
          <t>IM</t>
        </is>
      </c>
      <c r="D1015" s="28" t="n">
        <v>46056</v>
      </c>
      <c r="E1015" t="inlineStr">
        <is>
          <t>IM캐피탈</t>
        </is>
      </c>
      <c r="F1015" t="inlineStr">
        <is>
          <t>김민규</t>
        </is>
      </c>
      <c r="G1015" t="inlineStr">
        <is>
          <t>010-8240-0329</t>
        </is>
      </c>
      <c r="H1015" t="inlineStr">
        <is>
          <t>237도2220</t>
        </is>
      </c>
      <c r="I1015" t="n">
        <v>8700000</v>
      </c>
      <c r="J1015" t="n">
        <v>0.089</v>
      </c>
      <c r="K1015" t="n">
        <v>1.1</v>
      </c>
      <c r="L1015" t="n">
        <v>0.14</v>
      </c>
      <c r="M1015" t="n">
        <v>0.96</v>
      </c>
      <c r="P1015" t="inlineStr">
        <is>
          <t>김수연</t>
        </is>
      </c>
      <c r="Q1015" t="inlineStr">
        <is>
          <t>홈서비스 60개월</t>
        </is>
      </c>
      <c r="AB1015" t="inlineStr">
        <is>
          <t>홈서비스</t>
        </is>
      </c>
      <c r="AC1015" t="n">
        <v>95700</v>
      </c>
      <c r="AD1015" t="n">
        <v>12180</v>
      </c>
      <c r="AE1015" t="n">
        <v>83520</v>
      </c>
      <c r="AF1015" t="n">
        <v>87000</v>
      </c>
      <c r="AG1015" t="n">
        <v>12180</v>
      </c>
      <c r="AH1015" t="n">
        <v>74820</v>
      </c>
    </row>
    <row r="1016">
      <c r="A1016" t="inlineStr">
        <is>
          <t>2월</t>
        </is>
      </c>
      <c r="B1016" t="inlineStr">
        <is>
          <t>7주차</t>
        </is>
      </c>
      <c r="C1016" t="inlineStr">
        <is>
          <t>IM</t>
        </is>
      </c>
      <c r="D1016" s="28" t="n">
        <v>46062</v>
      </c>
      <c r="E1016" t="inlineStr">
        <is>
          <t>IM캐피탈</t>
        </is>
      </c>
      <c r="F1016" t="inlineStr">
        <is>
          <t>양지애</t>
        </is>
      </c>
      <c r="G1016" t="n">
        <v>1039747881</v>
      </c>
      <c r="H1016" t="inlineStr">
        <is>
          <t>34거8715</t>
        </is>
      </c>
      <c r="I1016" t="n">
        <v>11700000</v>
      </c>
      <c r="J1016" t="n">
        <v>0.049</v>
      </c>
      <c r="K1016" t="n">
        <v>1.1</v>
      </c>
      <c r="L1016" t="n">
        <v>0.14</v>
      </c>
      <c r="M1016" t="n">
        <v>0.96</v>
      </c>
      <c r="P1016" t="inlineStr">
        <is>
          <t>최형주</t>
        </is>
      </c>
      <c r="Q1016" t="inlineStr">
        <is>
          <t>홈서비스 72개월</t>
        </is>
      </c>
      <c r="AB1016" t="inlineStr">
        <is>
          <t>홈서비스</t>
        </is>
      </c>
      <c r="AC1016" t="n">
        <v>128700</v>
      </c>
      <c r="AD1016" t="n">
        <v>16380</v>
      </c>
      <c r="AE1016" t="n">
        <v>112320</v>
      </c>
      <c r="AF1016" t="n">
        <v>117000</v>
      </c>
      <c r="AG1016" t="n">
        <v>16380</v>
      </c>
      <c r="AH1016" t="n">
        <v>100620</v>
      </c>
      <c r="AI1016" t="n">
        <v>0</v>
      </c>
    </row>
    <row r="1017">
      <c r="A1017" t="inlineStr">
        <is>
          <t>2월</t>
        </is>
      </c>
      <c r="B1017" t="inlineStr">
        <is>
          <t>6주차</t>
        </is>
      </c>
      <c r="C1017" t="inlineStr">
        <is>
          <t>EP</t>
        </is>
      </c>
      <c r="D1017" s="28" t="n">
        <v>46056</v>
      </c>
      <c r="E1017" t="inlineStr">
        <is>
          <t>현대EP</t>
        </is>
      </c>
      <c r="F1017" t="inlineStr">
        <is>
          <t>백승철</t>
        </is>
      </c>
      <c r="G1017" t="inlineStr">
        <is>
          <t>010-8834-0222</t>
        </is>
      </c>
      <c r="H1017" t="inlineStr">
        <is>
          <t>148라1474</t>
        </is>
      </c>
      <c r="I1017" t="n">
        <v>32000000</v>
      </c>
      <c r="J1017" t="n">
        <v>0.111</v>
      </c>
      <c r="K1017" t="n">
        <v>1.76</v>
      </c>
      <c r="L1017" t="n">
        <v>0.14</v>
      </c>
      <c r="M1017" t="n">
        <v>1.62</v>
      </c>
      <c r="P1017" t="inlineStr">
        <is>
          <t>정세빈</t>
        </is>
      </c>
      <c r="Q1017" t="inlineStr">
        <is>
          <t>홈서비스 48개월</t>
        </is>
      </c>
      <c r="AB1017" t="inlineStr">
        <is>
          <t>홈서비스</t>
        </is>
      </c>
      <c r="AC1017" t="n">
        <v>563200</v>
      </c>
      <c r="AD1017" t="n">
        <v>44800</v>
      </c>
      <c r="AE1017" t="n">
        <v>518400</v>
      </c>
      <c r="AF1017" t="n">
        <v>512000</v>
      </c>
      <c r="AG1017" t="n">
        <v>44800</v>
      </c>
      <c r="AH1017" t="n">
        <v>467200</v>
      </c>
      <c r="AI1017" t="n">
        <v>0</v>
      </c>
    </row>
    <row r="1018">
      <c r="A1018" t="inlineStr">
        <is>
          <t>1월</t>
        </is>
      </c>
      <c r="B1018" t="inlineStr">
        <is>
          <t>5주차</t>
        </is>
      </c>
      <c r="C1018" t="inlineStr">
        <is>
          <t>IM</t>
        </is>
      </c>
      <c r="D1018" s="28" t="n">
        <v>46052</v>
      </c>
      <c r="E1018" t="inlineStr">
        <is>
          <t>IM캐피탈</t>
        </is>
      </c>
      <c r="F1018" t="inlineStr">
        <is>
          <t>이향미</t>
        </is>
      </c>
      <c r="G1018" t="n">
        <v>1092638715</v>
      </c>
      <c r="H1018" t="inlineStr">
        <is>
          <t>148너2171</t>
        </is>
      </c>
      <c r="I1018" t="n">
        <v>35800000</v>
      </c>
      <c r="J1018" t="n">
        <v>0.056</v>
      </c>
      <c r="K1018" t="n">
        <v>1.1</v>
      </c>
      <c r="L1018" t="n">
        <v>0.4</v>
      </c>
      <c r="M1018" t="n">
        <v>0.7</v>
      </c>
      <c r="P1018" t="inlineStr">
        <is>
          <t>장현경</t>
        </is>
      </c>
      <c r="Q1018" t="inlineStr">
        <is>
          <t xml:space="preserve"> 사유 : 론진행, 금리불만 현대 7.5%</t>
        </is>
      </c>
      <c r="AB1018" t="inlineStr">
        <is>
          <t>엔카</t>
        </is>
      </c>
      <c r="AC1018" t="n">
        <v>393800</v>
      </c>
      <c r="AD1018" t="n">
        <v>143200</v>
      </c>
      <c r="AE1018" t="n">
        <v>250600</v>
      </c>
      <c r="AF1018" t="n">
        <v>358000</v>
      </c>
      <c r="AG1018" t="n">
        <v>143200</v>
      </c>
      <c r="AH1018" t="n">
        <v>214800</v>
      </c>
    </row>
    <row r="1019">
      <c r="A1019" t="inlineStr">
        <is>
          <t>2월</t>
        </is>
      </c>
      <c r="B1019" t="inlineStr">
        <is>
          <t>6주차</t>
        </is>
      </c>
      <c r="C1019" t="inlineStr">
        <is>
          <t>EP</t>
        </is>
      </c>
      <c r="D1019" s="28" t="n">
        <v>46055</v>
      </c>
      <c r="E1019" t="inlineStr">
        <is>
          <t>현대EP_fast</t>
        </is>
      </c>
      <c r="F1019" t="inlineStr">
        <is>
          <t>김영훈</t>
        </is>
      </c>
      <c r="G1019" t="inlineStr">
        <is>
          <t>010-9900-0523</t>
        </is>
      </c>
      <c r="H1019" t="inlineStr">
        <is>
          <t>69두2918</t>
        </is>
      </c>
      <c r="I1019" t="n">
        <v>-6000000</v>
      </c>
      <c r="J1019" t="n">
        <v>0.075</v>
      </c>
      <c r="K1019" t="n">
        <v>1.76</v>
      </c>
      <c r="L1019" t="n">
        <v>0.4</v>
      </c>
      <c r="M1019" t="n">
        <v>1.36</v>
      </c>
      <c r="P1019" t="inlineStr">
        <is>
          <t>박소현</t>
        </is>
      </c>
      <c r="AB1019" t="inlineStr">
        <is>
          <t>엔카</t>
        </is>
      </c>
      <c r="AC1019" t="n">
        <v>-105600</v>
      </c>
      <c r="AD1019" t="n">
        <v>-24000</v>
      </c>
      <c r="AE1019" t="n">
        <v>-81600</v>
      </c>
      <c r="AF1019" t="n">
        <v>-96000</v>
      </c>
      <c r="AG1019" t="n">
        <v>-24000</v>
      </c>
      <c r="AH1019" t="n">
        <v>-72000</v>
      </c>
    </row>
    <row r="1020">
      <c r="A1020" t="inlineStr">
        <is>
          <t>2월</t>
        </is>
      </c>
      <c r="B1020" t="inlineStr">
        <is>
          <t>6주차</t>
        </is>
      </c>
      <c r="C1020" t="inlineStr">
        <is>
          <t>EP</t>
        </is>
      </c>
      <c r="D1020" s="28" t="n">
        <v>46056</v>
      </c>
      <c r="E1020" t="inlineStr">
        <is>
          <t>현대EP_fast</t>
        </is>
      </c>
      <c r="F1020" t="inlineStr">
        <is>
          <t>김대여</t>
        </is>
      </c>
      <c r="G1020" t="n">
        <v>1048967105</v>
      </c>
      <c r="H1020" t="inlineStr">
        <is>
          <t>242구3776</t>
        </is>
      </c>
      <c r="I1020" t="n">
        <v>14500000</v>
      </c>
      <c r="J1020" t="n">
        <v>0.093</v>
      </c>
      <c r="K1020" t="n">
        <v>1.76</v>
      </c>
      <c r="L1020" t="n">
        <v>0.14</v>
      </c>
      <c r="M1020" t="n">
        <v>1.62</v>
      </c>
      <c r="P1020" t="inlineStr">
        <is>
          <t>김나윤</t>
        </is>
      </c>
      <c r="Q1020" t="inlineStr">
        <is>
          <t>홈서비스 24개월</t>
        </is>
      </c>
      <c r="AB1020" t="inlineStr">
        <is>
          <t>홈서비스</t>
        </is>
      </c>
      <c r="AC1020" t="n">
        <v>255200</v>
      </c>
      <c r="AD1020" t="n">
        <v>20300</v>
      </c>
      <c r="AE1020" t="n">
        <v>234900</v>
      </c>
      <c r="AF1020" t="n">
        <v>232000</v>
      </c>
      <c r="AG1020" t="n">
        <v>20300</v>
      </c>
      <c r="AH1020" t="n">
        <v>211700</v>
      </c>
      <c r="AI1020" t="n">
        <v>0</v>
      </c>
    </row>
    <row r="1021">
      <c r="A1021" t="inlineStr">
        <is>
          <t>2월</t>
        </is>
      </c>
      <c r="B1021" t="inlineStr">
        <is>
          <t>6주차</t>
        </is>
      </c>
      <c r="C1021" t="inlineStr">
        <is>
          <t>IM</t>
        </is>
      </c>
      <c r="D1021" s="28" t="n">
        <v>46057</v>
      </c>
      <c r="E1021" t="inlineStr">
        <is>
          <t>IM캐피탈</t>
        </is>
      </c>
      <c r="F1021" t="inlineStr">
        <is>
          <t>김동환</t>
        </is>
      </c>
      <c r="G1021" t="inlineStr">
        <is>
          <t>010-8455-5021</t>
        </is>
      </c>
      <c r="H1021" t="inlineStr">
        <is>
          <t>45소9360</t>
        </is>
      </c>
      <c r="I1021" t="n">
        <v>4000000</v>
      </c>
      <c r="J1021" t="n">
        <v>0.066</v>
      </c>
      <c r="K1021" t="n">
        <v>1.1</v>
      </c>
      <c r="L1021" t="n">
        <v>0.14</v>
      </c>
      <c r="M1021" t="n">
        <v>0.96</v>
      </c>
      <c r="P1021" t="inlineStr">
        <is>
          <t>김수연</t>
        </is>
      </c>
      <c r="Q1021" t="inlineStr">
        <is>
          <t>홈서비스 36개월</t>
        </is>
      </c>
      <c r="AB1021" t="inlineStr">
        <is>
          <t>홈서비스</t>
        </is>
      </c>
      <c r="AC1021" t="n">
        <v>44000</v>
      </c>
      <c r="AD1021" t="n">
        <v>5600</v>
      </c>
      <c r="AE1021" t="n">
        <v>38400</v>
      </c>
      <c r="AF1021" t="n">
        <v>40000</v>
      </c>
      <c r="AG1021" t="n">
        <v>5600</v>
      </c>
      <c r="AH1021" t="n">
        <v>34400</v>
      </c>
    </row>
    <row r="1022">
      <c r="A1022" t="inlineStr">
        <is>
          <t>2월</t>
        </is>
      </c>
      <c r="B1022" t="inlineStr">
        <is>
          <t>6주차</t>
        </is>
      </c>
      <c r="C1022" t="inlineStr">
        <is>
          <t>IM</t>
        </is>
      </c>
      <c r="D1022" s="28" t="n">
        <v>46056</v>
      </c>
      <c r="E1022" t="inlineStr">
        <is>
          <t>IM캐피탈</t>
        </is>
      </c>
      <c r="F1022" t="inlineStr">
        <is>
          <t>안흥섭</t>
        </is>
      </c>
      <c r="G1022" t="inlineStr">
        <is>
          <t>010-9774-1078</t>
        </is>
      </c>
      <c r="H1022" t="inlineStr">
        <is>
          <t>324무7555</t>
        </is>
      </c>
      <c r="I1022" t="n">
        <v>36500000</v>
      </c>
      <c r="J1022" t="n">
        <v>0.039</v>
      </c>
      <c r="K1022" t="n">
        <v>1.1</v>
      </c>
      <c r="L1022" t="n">
        <v>0.4</v>
      </c>
      <c r="M1022" t="n">
        <v>0.7</v>
      </c>
      <c r="P1022" t="inlineStr">
        <is>
          <t>임대경</t>
        </is>
      </c>
      <c r="AB1022" t="inlineStr">
        <is>
          <t>엔카</t>
        </is>
      </c>
      <c r="AC1022" t="n">
        <v>401500</v>
      </c>
      <c r="AD1022" t="n">
        <v>146000</v>
      </c>
      <c r="AE1022" t="n">
        <v>255500</v>
      </c>
      <c r="AF1022" t="n">
        <v>365000</v>
      </c>
      <c r="AG1022" t="n">
        <v>146000</v>
      </c>
      <c r="AH1022" t="n">
        <v>219000</v>
      </c>
      <c r="AI1022" t="n">
        <v>0</v>
      </c>
    </row>
    <row r="1023">
      <c r="A1023" t="inlineStr">
        <is>
          <t>2월</t>
        </is>
      </c>
      <c r="B1023" t="inlineStr">
        <is>
          <t>7주차</t>
        </is>
      </c>
      <c r="C1023" t="inlineStr">
        <is>
          <t>EP</t>
        </is>
      </c>
      <c r="D1023" s="28" t="n">
        <v>46063</v>
      </c>
      <c r="E1023" t="inlineStr">
        <is>
          <t>현대EP</t>
        </is>
      </c>
      <c r="F1023" t="inlineStr">
        <is>
          <t>하장호</t>
        </is>
      </c>
      <c r="G1023" t="inlineStr">
        <is>
          <t>010-2288-7825</t>
        </is>
      </c>
      <c r="H1023" t="inlineStr">
        <is>
          <t>65머1733</t>
        </is>
      </c>
      <c r="I1023" t="n">
        <v>16300000</v>
      </c>
      <c r="J1023" t="n">
        <v>0.068</v>
      </c>
      <c r="K1023" t="n">
        <v>1.76</v>
      </c>
      <c r="L1023" t="n">
        <v>0.14</v>
      </c>
      <c r="M1023" t="n">
        <v>1.62</v>
      </c>
      <c r="P1023" t="inlineStr">
        <is>
          <t>황채이</t>
        </is>
      </c>
      <c r="Q1023" t="inlineStr">
        <is>
          <t>홈서비스 60개월</t>
        </is>
      </c>
      <c r="AB1023" t="inlineStr">
        <is>
          <t>홈서비스</t>
        </is>
      </c>
      <c r="AC1023" t="n">
        <v>286880</v>
      </c>
      <c r="AD1023" t="n">
        <v>22820</v>
      </c>
      <c r="AE1023" t="n">
        <v>264060</v>
      </c>
      <c r="AF1023" t="n">
        <v>260800</v>
      </c>
      <c r="AG1023" t="n">
        <v>22820</v>
      </c>
      <c r="AH1023" t="n">
        <v>237980</v>
      </c>
      <c r="AI1023" t="n">
        <v>0</v>
      </c>
    </row>
    <row r="1024">
      <c r="A1024" t="inlineStr">
        <is>
          <t>2월</t>
        </is>
      </c>
      <c r="B1024" t="inlineStr">
        <is>
          <t>6주차</t>
        </is>
      </c>
      <c r="C1024" t="inlineStr">
        <is>
          <t>EP</t>
        </is>
      </c>
      <c r="D1024" s="28" t="n">
        <v>46056</v>
      </c>
      <c r="E1024" t="inlineStr">
        <is>
          <t>현대EP_fast</t>
        </is>
      </c>
      <c r="F1024" t="inlineStr">
        <is>
          <t>현지산</t>
        </is>
      </c>
      <c r="G1024" t="inlineStr">
        <is>
          <t>010-2794-2810</t>
        </is>
      </c>
      <c r="H1024" t="inlineStr">
        <is>
          <t>68루3511</t>
        </is>
      </c>
      <c r="I1024" t="n">
        <v>24600000</v>
      </c>
      <c r="J1024" t="n">
        <v>0.112</v>
      </c>
      <c r="K1024" t="n">
        <v>1.76</v>
      </c>
      <c r="L1024" t="n">
        <v>0.4</v>
      </c>
      <c r="M1024" t="n">
        <v>1.36</v>
      </c>
      <c r="P1024" t="inlineStr">
        <is>
          <t>임대경</t>
        </is>
      </c>
      <c r="Q1024" t="inlineStr">
        <is>
          <t xml:space="preserve">        </t>
        </is>
      </c>
      <c r="AB1024" t="inlineStr">
        <is>
          <t>엔카</t>
        </is>
      </c>
      <c r="AC1024" t="n">
        <v>432960</v>
      </c>
      <c r="AD1024" t="n">
        <v>98400</v>
      </c>
      <c r="AE1024" t="n">
        <v>334560</v>
      </c>
      <c r="AF1024" t="n">
        <v>393600</v>
      </c>
      <c r="AG1024" t="n">
        <v>98400</v>
      </c>
      <c r="AH1024" t="n">
        <v>295200</v>
      </c>
      <c r="AI1024" t="n">
        <v>0</v>
      </c>
    </row>
    <row r="1025">
      <c r="A1025" t="inlineStr">
        <is>
          <t>2월</t>
        </is>
      </c>
      <c r="B1025" t="inlineStr">
        <is>
          <t>6주차</t>
        </is>
      </c>
      <c r="C1025" t="inlineStr">
        <is>
          <t>IM</t>
        </is>
      </c>
      <c r="D1025" s="28" t="n">
        <v>46057</v>
      </c>
      <c r="E1025" t="inlineStr">
        <is>
          <t>IM캐피탈</t>
        </is>
      </c>
      <c r="F1025" t="inlineStr">
        <is>
          <t>임동민</t>
        </is>
      </c>
      <c r="G1025" t="n">
        <v>1055853125</v>
      </c>
      <c r="H1025" t="inlineStr">
        <is>
          <t>176머6534</t>
        </is>
      </c>
      <c r="I1025" t="n">
        <v>27800000</v>
      </c>
      <c r="J1025" t="n">
        <v>0.049</v>
      </c>
      <c r="K1025" t="n">
        <v>1.1</v>
      </c>
      <c r="L1025" t="n">
        <v>0.14</v>
      </c>
      <c r="M1025" t="n">
        <v>0.96</v>
      </c>
      <c r="P1025" t="inlineStr">
        <is>
          <t>김나윤</t>
        </is>
      </c>
      <c r="Q1025" t="inlineStr">
        <is>
          <t>홈서비스 72개월</t>
        </is>
      </c>
      <c r="AB1025" t="inlineStr">
        <is>
          <t>홈서비스</t>
        </is>
      </c>
      <c r="AC1025" t="n">
        <v>305800</v>
      </c>
      <c r="AD1025" t="n">
        <v>38920</v>
      </c>
      <c r="AE1025" t="n">
        <v>266880</v>
      </c>
      <c r="AF1025" t="n">
        <v>278000</v>
      </c>
      <c r="AG1025" t="n">
        <v>38920</v>
      </c>
      <c r="AH1025" t="n">
        <v>239080</v>
      </c>
      <c r="AI1025" t="n">
        <v>0</v>
      </c>
    </row>
    <row r="1026">
      <c r="A1026" t="inlineStr">
        <is>
          <t>2월</t>
        </is>
      </c>
      <c r="B1026" t="inlineStr">
        <is>
          <t>7주차</t>
        </is>
      </c>
      <c r="C1026" t="inlineStr">
        <is>
          <t>EP</t>
        </is>
      </c>
      <c r="D1026" s="28" t="n">
        <v>46062</v>
      </c>
      <c r="E1026" t="inlineStr">
        <is>
          <t>현대EP_fast</t>
        </is>
      </c>
      <c r="F1026" t="inlineStr">
        <is>
          <t>이지혜</t>
        </is>
      </c>
      <c r="G1026" t="inlineStr">
        <is>
          <t>010-5005-0957</t>
        </is>
      </c>
      <c r="H1026" t="inlineStr">
        <is>
          <t>121조1338</t>
        </is>
      </c>
      <c r="I1026" t="n">
        <v>-5500000</v>
      </c>
      <c r="J1026" t="n">
        <v>0.068</v>
      </c>
      <c r="K1026" t="n">
        <v>1.76</v>
      </c>
      <c r="L1026" t="n">
        <v>0.14</v>
      </c>
      <c r="M1026" t="n">
        <v>1.62</v>
      </c>
      <c r="P1026" t="inlineStr">
        <is>
          <t>정세빈</t>
        </is>
      </c>
      <c r="Q1026" t="inlineStr">
        <is>
          <t>홈서비스 24개월</t>
        </is>
      </c>
      <c r="AB1026" t="inlineStr">
        <is>
          <t>홈서비스</t>
        </is>
      </c>
      <c r="AC1026" t="n">
        <v>-96800</v>
      </c>
      <c r="AD1026" t="n">
        <v>-7700</v>
      </c>
      <c r="AE1026" t="n">
        <v>-89100</v>
      </c>
      <c r="AF1026" t="n">
        <v>-88000</v>
      </c>
      <c r="AG1026" t="n">
        <v>-7700</v>
      </c>
      <c r="AH1026" t="n">
        <v>-80300</v>
      </c>
    </row>
    <row r="1027">
      <c r="A1027" t="inlineStr">
        <is>
          <t>2월</t>
        </is>
      </c>
      <c r="B1027" t="inlineStr">
        <is>
          <t>6주차</t>
        </is>
      </c>
      <c r="C1027" t="inlineStr">
        <is>
          <t>OR</t>
        </is>
      </c>
      <c r="D1027" s="28" t="n">
        <v>46057</v>
      </c>
      <c r="E1027" t="inlineStr">
        <is>
          <t>오릭스</t>
        </is>
      </c>
      <c r="F1027" t="inlineStr">
        <is>
          <t>이소희</t>
        </is>
      </c>
      <c r="G1027" t="inlineStr">
        <is>
          <t>010-9697-5015</t>
        </is>
      </c>
      <c r="H1027" t="inlineStr">
        <is>
          <t>348어4798</t>
        </is>
      </c>
      <c r="I1027" t="n">
        <v>23800000</v>
      </c>
      <c r="J1027" t="n">
        <v>0.07199999999999999</v>
      </c>
      <c r="K1027" t="n">
        <v>1.65</v>
      </c>
      <c r="L1027" t="n">
        <v>0.14</v>
      </c>
      <c r="M1027" t="n">
        <v>1.51</v>
      </c>
      <c r="P1027" t="inlineStr">
        <is>
          <t>장진경</t>
        </is>
      </c>
      <c r="Q1027" t="inlineStr">
        <is>
          <t>선상담 / 홈서비스 60개월 / 부대비용 추가진행</t>
        </is>
      </c>
      <c r="AB1027" t="inlineStr">
        <is>
          <t>홈서비스</t>
        </is>
      </c>
      <c r="AC1027" t="n">
        <v>392700</v>
      </c>
      <c r="AD1027" t="n">
        <v>33320</v>
      </c>
      <c r="AE1027" t="n">
        <v>359380</v>
      </c>
      <c r="AF1027" t="n">
        <v>357000</v>
      </c>
      <c r="AG1027" t="n">
        <v>33320</v>
      </c>
      <c r="AH1027" t="n">
        <v>323680</v>
      </c>
      <c r="AI1027" t="n">
        <v>1</v>
      </c>
    </row>
    <row r="1028">
      <c r="A1028" t="inlineStr">
        <is>
          <t>2월</t>
        </is>
      </c>
      <c r="B1028" t="inlineStr">
        <is>
          <t>7주차</t>
        </is>
      </c>
      <c r="C1028" t="inlineStr">
        <is>
          <t>EP</t>
        </is>
      </c>
      <c r="D1028" s="28" t="n">
        <v>46063</v>
      </c>
      <c r="E1028" t="inlineStr">
        <is>
          <t>현대EP_fast</t>
        </is>
      </c>
      <c r="F1028" t="inlineStr">
        <is>
          <t>김태현</t>
        </is>
      </c>
      <c r="G1028" t="n">
        <v>1056219831</v>
      </c>
      <c r="H1028" t="inlineStr">
        <is>
          <t>139무8827</t>
        </is>
      </c>
      <c r="I1028" t="n">
        <v>31200000</v>
      </c>
      <c r="J1028" t="n">
        <v>0.137</v>
      </c>
      <c r="K1028" t="n">
        <v>1.76</v>
      </c>
      <c r="L1028" t="n">
        <v>0.14</v>
      </c>
      <c r="M1028" t="n">
        <v>1.62</v>
      </c>
      <c r="P1028" t="inlineStr">
        <is>
          <t>김나윤</t>
        </is>
      </c>
      <c r="Q1028" t="inlineStr">
        <is>
          <t>홈서비스 60개월</t>
        </is>
      </c>
      <c r="AB1028" t="inlineStr">
        <is>
          <t>홈서비스</t>
        </is>
      </c>
      <c r="AC1028" t="n">
        <v>549120</v>
      </c>
      <c r="AD1028" t="n">
        <v>43680</v>
      </c>
      <c r="AE1028" t="n">
        <v>505440</v>
      </c>
      <c r="AF1028" t="n">
        <v>499200</v>
      </c>
      <c r="AG1028" t="n">
        <v>43680</v>
      </c>
      <c r="AH1028" t="n">
        <v>455520</v>
      </c>
      <c r="AI1028" t="n">
        <v>1</v>
      </c>
    </row>
    <row r="1029">
      <c r="A1029" t="inlineStr">
        <is>
          <t>2월</t>
        </is>
      </c>
      <c r="B1029" t="inlineStr">
        <is>
          <t>7주차</t>
        </is>
      </c>
      <c r="C1029" t="inlineStr">
        <is>
          <t>IM</t>
        </is>
      </c>
      <c r="D1029" s="28" t="n">
        <v>46063</v>
      </c>
      <c r="E1029" t="inlineStr">
        <is>
          <t>IM캐피탈</t>
        </is>
      </c>
      <c r="F1029" t="inlineStr">
        <is>
          <t>이창선</t>
        </is>
      </c>
      <c r="G1029" t="inlineStr">
        <is>
          <t>010-7360-2015</t>
        </is>
      </c>
      <c r="H1029" t="inlineStr">
        <is>
          <t>252서4119</t>
        </is>
      </c>
      <c r="I1029" t="n">
        <v>-17000000</v>
      </c>
      <c r="J1029" t="n">
        <v>0.066</v>
      </c>
      <c r="K1029" t="n">
        <v>1.1</v>
      </c>
      <c r="L1029" t="n">
        <v>0.14</v>
      </c>
      <c r="M1029" t="n">
        <v>0.96</v>
      </c>
      <c r="P1029" t="inlineStr">
        <is>
          <t>정광호</t>
        </is>
      </c>
      <c r="Q1029" t="inlineStr">
        <is>
          <t>홈서비스 72개월/*철회 20260220</t>
        </is>
      </c>
      <c r="AB1029" t="inlineStr">
        <is>
          <t>홈서비스</t>
        </is>
      </c>
      <c r="AC1029" t="n">
        <v>-187000</v>
      </c>
      <c r="AD1029" t="n">
        <v>-23800</v>
      </c>
      <c r="AE1029" t="n">
        <v>-163200</v>
      </c>
      <c r="AF1029" t="n">
        <v>-170000</v>
      </c>
      <c r="AG1029" t="n">
        <v>-23800</v>
      </c>
      <c r="AH1029" t="n">
        <v>-146200</v>
      </c>
      <c r="AI1029" t="n">
        <v>1</v>
      </c>
      <c r="AK1029" t="inlineStr">
        <is>
          <t>대출철회</t>
        </is>
      </c>
    </row>
    <row r="1030">
      <c r="A1030" t="inlineStr">
        <is>
          <t>2월</t>
        </is>
      </c>
      <c r="B1030" t="inlineStr">
        <is>
          <t>7주차</t>
        </is>
      </c>
      <c r="C1030" t="inlineStr">
        <is>
          <t>IM</t>
        </is>
      </c>
      <c r="D1030" s="28" t="n">
        <v>46063</v>
      </c>
      <c r="E1030" t="inlineStr">
        <is>
          <t>IM캐피탈</t>
        </is>
      </c>
      <c r="F1030" t="inlineStr">
        <is>
          <t>최현주</t>
        </is>
      </c>
      <c r="G1030" t="inlineStr">
        <is>
          <t>010-2505-6189</t>
        </is>
      </c>
      <c r="H1030" t="inlineStr">
        <is>
          <t>214보1219</t>
        </is>
      </c>
      <c r="I1030" t="n">
        <v>22000000</v>
      </c>
      <c r="J1030" t="n">
        <v>0.06900000000000001</v>
      </c>
      <c r="K1030" t="n">
        <v>1.1</v>
      </c>
      <c r="L1030" t="n">
        <v>0.14</v>
      </c>
      <c r="M1030" t="n">
        <v>0.96</v>
      </c>
      <c r="P1030" t="inlineStr">
        <is>
          <t>김수연</t>
        </is>
      </c>
      <c r="Q1030" t="inlineStr">
        <is>
          <t>홈서비스 48개월</t>
        </is>
      </c>
      <c r="AB1030" t="inlineStr">
        <is>
          <t>홈서비스</t>
        </is>
      </c>
      <c r="AC1030" t="n">
        <v>242000</v>
      </c>
      <c r="AD1030" t="n">
        <v>30800</v>
      </c>
      <c r="AE1030" t="n">
        <v>211200</v>
      </c>
      <c r="AF1030" t="n">
        <v>220000</v>
      </c>
      <c r="AG1030" t="n">
        <v>30800</v>
      </c>
      <c r="AH1030" t="n">
        <v>189200</v>
      </c>
      <c r="AI1030" t="n">
        <v>1</v>
      </c>
    </row>
    <row r="1031">
      <c r="A1031" t="inlineStr">
        <is>
          <t>2월</t>
        </is>
      </c>
      <c r="B1031" t="inlineStr">
        <is>
          <t>7주차</t>
        </is>
      </c>
      <c r="C1031" t="inlineStr">
        <is>
          <t>EP</t>
        </is>
      </c>
      <c r="D1031" s="28" t="n">
        <v>46064</v>
      </c>
      <c r="E1031" t="inlineStr">
        <is>
          <t>현대EP</t>
        </is>
      </c>
      <c r="F1031" t="inlineStr">
        <is>
          <t>김동연</t>
        </is>
      </c>
      <c r="G1031" t="inlineStr">
        <is>
          <t>010-6565-4444</t>
        </is>
      </c>
      <c r="H1031" t="inlineStr">
        <is>
          <t>116모5691</t>
        </is>
      </c>
      <c r="I1031" t="n">
        <v>28700000</v>
      </c>
      <c r="J1031" t="n">
        <v>0.067</v>
      </c>
      <c r="K1031" t="n">
        <v>1.76</v>
      </c>
      <c r="L1031" t="n">
        <v>0.14</v>
      </c>
      <c r="M1031" t="n">
        <v>1.62</v>
      </c>
      <c r="P1031" t="inlineStr">
        <is>
          <t>정광호</t>
        </is>
      </c>
      <c r="Q1031" t="inlineStr">
        <is>
          <t>홈서비스 60개월</t>
        </is>
      </c>
      <c r="AB1031" t="inlineStr">
        <is>
          <t>홈서비스</t>
        </is>
      </c>
      <c r="AC1031" t="n">
        <v>505120</v>
      </c>
      <c r="AD1031" t="n">
        <v>40180</v>
      </c>
      <c r="AE1031" t="n">
        <v>464940</v>
      </c>
      <c r="AF1031" t="n">
        <v>459200</v>
      </c>
      <c r="AG1031" t="n">
        <v>40180</v>
      </c>
      <c r="AH1031" t="n">
        <v>419020</v>
      </c>
      <c r="AI1031" t="n">
        <v>1</v>
      </c>
    </row>
    <row r="1032">
      <c r="A1032" t="inlineStr">
        <is>
          <t>2월</t>
        </is>
      </c>
      <c r="B1032" t="inlineStr">
        <is>
          <t>7주차</t>
        </is>
      </c>
      <c r="C1032" t="inlineStr">
        <is>
          <t>IM</t>
        </is>
      </c>
      <c r="D1032" s="28" t="n">
        <v>46064</v>
      </c>
      <c r="E1032" t="inlineStr">
        <is>
          <t>IM캐피탈</t>
        </is>
      </c>
      <c r="F1032" t="inlineStr">
        <is>
          <t>신재욱</t>
        </is>
      </c>
      <c r="G1032" t="inlineStr">
        <is>
          <t>010-6208-9613</t>
        </is>
      </c>
      <c r="H1032" t="inlineStr">
        <is>
          <t>163모7251</t>
        </is>
      </c>
      <c r="I1032" t="n">
        <v>14700000</v>
      </c>
      <c r="J1032" t="n">
        <v>0.06900000000000001</v>
      </c>
      <c r="K1032" t="n">
        <v>1.1</v>
      </c>
      <c r="L1032" t="n">
        <v>0.14</v>
      </c>
      <c r="M1032" t="n">
        <v>0.96</v>
      </c>
      <c r="P1032" t="inlineStr">
        <is>
          <t>최형주</t>
        </is>
      </c>
      <c r="Q1032" t="inlineStr">
        <is>
          <t>홈서비스 36개월</t>
        </is>
      </c>
      <c r="AB1032" t="inlineStr">
        <is>
          <t>홈서비스</t>
        </is>
      </c>
      <c r="AC1032" t="n">
        <v>161700</v>
      </c>
      <c r="AD1032" t="n">
        <v>20580</v>
      </c>
      <c r="AE1032" t="n">
        <v>141120</v>
      </c>
      <c r="AF1032" t="n">
        <v>147000</v>
      </c>
      <c r="AG1032" t="n">
        <v>20580</v>
      </c>
      <c r="AH1032" t="n">
        <v>126420</v>
      </c>
      <c r="AI1032" t="n">
        <v>1</v>
      </c>
    </row>
    <row r="1033">
      <c r="A1033" t="inlineStr">
        <is>
          <t>2월</t>
        </is>
      </c>
      <c r="B1033" t="inlineStr">
        <is>
          <t>7주차</t>
        </is>
      </c>
      <c r="C1033" t="inlineStr">
        <is>
          <t>EP</t>
        </is>
      </c>
      <c r="D1033" s="28" t="n">
        <v>46066</v>
      </c>
      <c r="E1033" t="inlineStr">
        <is>
          <t>현대EP</t>
        </is>
      </c>
      <c r="F1033" t="inlineStr">
        <is>
          <t>이상윤</t>
        </is>
      </c>
      <c r="G1033" t="inlineStr">
        <is>
          <t>010-4447-5915</t>
        </is>
      </c>
      <c r="H1033" t="inlineStr">
        <is>
          <t>254무3988</t>
        </is>
      </c>
      <c r="I1033" t="n">
        <v>28500000</v>
      </c>
      <c r="J1033" t="n">
        <v>0.068</v>
      </c>
      <c r="K1033" t="n">
        <v>1.76</v>
      </c>
      <c r="L1033" t="n">
        <v>0.14</v>
      </c>
      <c r="M1033" t="n">
        <v>1.62</v>
      </c>
      <c r="P1033" t="inlineStr">
        <is>
          <t>황채이</t>
        </is>
      </c>
      <c r="Q1033" t="inlineStr">
        <is>
          <t>홈서비스 60개월</t>
        </is>
      </c>
      <c r="AB1033" t="inlineStr">
        <is>
          <t>홈서비스</t>
        </is>
      </c>
      <c r="AC1033" t="n">
        <v>501600</v>
      </c>
      <c r="AD1033" t="n">
        <v>39900</v>
      </c>
      <c r="AE1033" t="n">
        <v>461700</v>
      </c>
      <c r="AF1033" t="n">
        <v>456000</v>
      </c>
      <c r="AG1033" t="n">
        <v>39900</v>
      </c>
      <c r="AH1033" t="n">
        <v>416100</v>
      </c>
      <c r="AI1033" t="n">
        <v>1</v>
      </c>
    </row>
    <row r="1034">
      <c r="A1034" t="inlineStr">
        <is>
          <t>2월</t>
        </is>
      </c>
      <c r="B1034" t="inlineStr">
        <is>
          <t>7주차</t>
        </is>
      </c>
      <c r="C1034" t="inlineStr">
        <is>
          <t>IM</t>
        </is>
      </c>
      <c r="D1034" s="28" t="n">
        <v>46066</v>
      </c>
      <c r="E1034" t="inlineStr">
        <is>
          <t>IM캐피탈</t>
        </is>
      </c>
      <c r="F1034" t="inlineStr">
        <is>
          <t>김수형</t>
        </is>
      </c>
      <c r="G1034" t="inlineStr">
        <is>
          <t>010-8385-5241</t>
        </is>
      </c>
      <c r="H1034" t="inlineStr">
        <is>
          <t>69수8674</t>
        </is>
      </c>
      <c r="I1034" t="n">
        <v>6600000</v>
      </c>
      <c r="J1034" t="n">
        <v>0.08599999999999999</v>
      </c>
      <c r="K1034" t="n">
        <v>1.1</v>
      </c>
      <c r="L1034" t="n">
        <v>0.14</v>
      </c>
      <c r="M1034" t="n">
        <v>0.96</v>
      </c>
      <c r="P1034" t="inlineStr">
        <is>
          <t>정광호</t>
        </is>
      </c>
      <c r="Q1034" t="inlineStr">
        <is>
          <t>홈서비스 36개월</t>
        </is>
      </c>
      <c r="AB1034" t="inlineStr">
        <is>
          <t>홈서비스</t>
        </is>
      </c>
      <c r="AC1034" t="n">
        <v>72600</v>
      </c>
      <c r="AD1034" t="n">
        <v>9240</v>
      </c>
      <c r="AE1034" t="n">
        <v>63360</v>
      </c>
      <c r="AF1034" t="n">
        <v>66000</v>
      </c>
      <c r="AG1034" t="n">
        <v>9240</v>
      </c>
      <c r="AH1034" t="n">
        <v>56760</v>
      </c>
      <c r="AI1034" t="n">
        <v>1</v>
      </c>
    </row>
    <row r="1035">
      <c r="A1035" t="inlineStr">
        <is>
          <t>2월</t>
        </is>
      </c>
      <c r="B1035" t="inlineStr">
        <is>
          <t>7주차</t>
        </is>
      </c>
      <c r="C1035" t="inlineStr">
        <is>
          <t>EP</t>
        </is>
      </c>
      <c r="D1035" s="28" t="n">
        <v>46066</v>
      </c>
      <c r="E1035" t="inlineStr">
        <is>
          <t>현대EP_fast</t>
        </is>
      </c>
      <c r="F1035" t="inlineStr">
        <is>
          <t>이성근</t>
        </is>
      </c>
      <c r="G1035" t="inlineStr">
        <is>
          <t>010-2719-8210</t>
        </is>
      </c>
      <c r="H1035" t="inlineStr">
        <is>
          <t>156모8006</t>
        </is>
      </c>
      <c r="I1035" t="n">
        <v>3000000</v>
      </c>
      <c r="J1035" t="n">
        <v>0.089</v>
      </c>
      <c r="K1035" t="n">
        <v>1.76</v>
      </c>
      <c r="L1035" t="n">
        <v>0.14</v>
      </c>
      <c r="M1035" t="n">
        <v>1.62</v>
      </c>
      <c r="P1035" t="inlineStr">
        <is>
          <t>정광호</t>
        </is>
      </c>
      <c r="Q1035" t="inlineStr">
        <is>
          <t>홈서비스 24개월</t>
        </is>
      </c>
      <c r="AB1035" t="inlineStr">
        <is>
          <t>홈서비스</t>
        </is>
      </c>
      <c r="AC1035" t="n">
        <v>52800</v>
      </c>
      <c r="AD1035" t="n">
        <v>4200</v>
      </c>
      <c r="AE1035" t="n">
        <v>48600</v>
      </c>
      <c r="AF1035" t="n">
        <v>48000</v>
      </c>
      <c r="AG1035" t="n">
        <v>4200</v>
      </c>
      <c r="AH1035" t="n">
        <v>43800</v>
      </c>
      <c r="AI1035" t="n">
        <v>1</v>
      </c>
    </row>
    <row r="1036">
      <c r="A1036" t="inlineStr">
        <is>
          <t>2월</t>
        </is>
      </c>
      <c r="B1036" t="inlineStr">
        <is>
          <t>6주차</t>
        </is>
      </c>
      <c r="C1036" t="inlineStr">
        <is>
          <t>EP</t>
        </is>
      </c>
      <c r="D1036" s="28" t="n">
        <v>46057</v>
      </c>
      <c r="E1036" t="inlineStr">
        <is>
          <t>제이비EP</t>
        </is>
      </c>
      <c r="F1036" t="inlineStr">
        <is>
          <t>김승재</t>
        </is>
      </c>
      <c r="G1036" t="inlineStr">
        <is>
          <t>010-3589-7975</t>
        </is>
      </c>
      <c r="H1036" t="inlineStr">
        <is>
          <t>15로0104</t>
        </is>
      </c>
      <c r="I1036" t="n">
        <v>11000000</v>
      </c>
      <c r="J1036" t="n">
        <v>0.081</v>
      </c>
      <c r="K1036" t="n">
        <v>1.65</v>
      </c>
      <c r="L1036" t="n">
        <v>0.4</v>
      </c>
      <c r="M1036" t="n">
        <v>1.25</v>
      </c>
      <c r="P1036" t="inlineStr">
        <is>
          <t>장진경</t>
        </is>
      </c>
      <c r="AB1036" t="inlineStr">
        <is>
          <t>엔카</t>
        </is>
      </c>
      <c r="AC1036" t="n">
        <v>181500</v>
      </c>
      <c r="AD1036" t="n">
        <v>44000</v>
      </c>
      <c r="AE1036" t="n">
        <v>137500</v>
      </c>
      <c r="AF1036" t="n">
        <v>165000</v>
      </c>
      <c r="AG1036" t="n">
        <v>44000</v>
      </c>
      <c r="AH1036" t="n">
        <v>121000</v>
      </c>
      <c r="AI1036" t="n">
        <v>0</v>
      </c>
    </row>
    <row r="1037">
      <c r="A1037" t="inlineStr">
        <is>
          <t>2월</t>
        </is>
      </c>
      <c r="B1037" t="inlineStr">
        <is>
          <t>6주차</t>
        </is>
      </c>
      <c r="C1037" t="inlineStr">
        <is>
          <t>EP</t>
        </is>
      </c>
      <c r="D1037" s="28" t="n">
        <v>46057</v>
      </c>
      <c r="E1037" t="inlineStr">
        <is>
          <t>현대EP</t>
        </is>
      </c>
      <c r="F1037" t="inlineStr">
        <is>
          <t>김민준</t>
        </is>
      </c>
      <c r="G1037" t="inlineStr">
        <is>
          <t>010-7158-1085</t>
        </is>
      </c>
      <c r="H1037" t="inlineStr">
        <is>
          <t>384거2924</t>
        </is>
      </c>
      <c r="I1037" t="n">
        <v>13200000</v>
      </c>
      <c r="J1037" t="n">
        <v>0.07199999999999999</v>
      </c>
      <c r="K1037" t="n">
        <v>1.76</v>
      </c>
      <c r="L1037" t="n">
        <v>0.14</v>
      </c>
      <c r="M1037" t="n">
        <v>1.62</v>
      </c>
      <c r="P1037" t="inlineStr">
        <is>
          <t>임대경</t>
        </is>
      </c>
      <c r="Q1037" t="inlineStr">
        <is>
          <t>홈서비스 60개월</t>
        </is>
      </c>
      <c r="AB1037" t="inlineStr">
        <is>
          <t>홈서비스</t>
        </is>
      </c>
      <c r="AC1037" t="n">
        <v>232320</v>
      </c>
      <c r="AD1037" t="n">
        <v>18480</v>
      </c>
      <c r="AE1037" t="n">
        <v>213840</v>
      </c>
      <c r="AF1037" t="n">
        <v>211200</v>
      </c>
      <c r="AG1037" t="n">
        <v>18480</v>
      </c>
      <c r="AH1037" t="n">
        <v>192720</v>
      </c>
      <c r="AI1037" t="n">
        <v>0</v>
      </c>
    </row>
    <row r="1038">
      <c r="A1038" t="inlineStr">
        <is>
          <t>2월</t>
        </is>
      </c>
      <c r="B1038" t="inlineStr">
        <is>
          <t>6주차</t>
        </is>
      </c>
      <c r="C1038" t="inlineStr">
        <is>
          <t>EP</t>
        </is>
      </c>
      <c r="D1038" s="28" t="n">
        <v>46057</v>
      </c>
      <c r="E1038" t="inlineStr">
        <is>
          <t>현대EP_fast</t>
        </is>
      </c>
      <c r="F1038" t="inlineStr">
        <is>
          <t>이태훈</t>
        </is>
      </c>
      <c r="G1038" t="inlineStr">
        <is>
          <t>010-8691-5480</t>
        </is>
      </c>
      <c r="H1038" t="inlineStr">
        <is>
          <t>96나0527</t>
        </is>
      </c>
      <c r="I1038" t="n">
        <v>12000000</v>
      </c>
      <c r="J1038" t="n">
        <v>0.083</v>
      </c>
      <c r="K1038" t="n">
        <v>1.76</v>
      </c>
      <c r="L1038" t="n">
        <v>0.14</v>
      </c>
      <c r="M1038" t="n">
        <v>1.62</v>
      </c>
      <c r="P1038" t="inlineStr">
        <is>
          <t>김수연</t>
        </is>
      </c>
      <c r="Q1038" t="inlineStr">
        <is>
          <t>홈서비스 36개월</t>
        </is>
      </c>
      <c r="AB1038" t="inlineStr">
        <is>
          <t>홈서비스</t>
        </is>
      </c>
      <c r="AC1038" t="n">
        <v>211200</v>
      </c>
      <c r="AD1038" t="n">
        <v>16800</v>
      </c>
      <c r="AE1038" t="n">
        <v>194400</v>
      </c>
      <c r="AF1038" t="n">
        <v>192000</v>
      </c>
      <c r="AG1038" t="n">
        <v>16800</v>
      </c>
      <c r="AH1038" t="n">
        <v>175200</v>
      </c>
    </row>
    <row r="1039">
      <c r="A1039" t="inlineStr">
        <is>
          <t>2월</t>
        </is>
      </c>
      <c r="B1039" t="inlineStr">
        <is>
          <t>6주차</t>
        </is>
      </c>
      <c r="C1039" t="inlineStr">
        <is>
          <t>IM</t>
        </is>
      </c>
      <c r="D1039" s="28" t="n">
        <v>46056</v>
      </c>
      <c r="E1039" t="inlineStr">
        <is>
          <t>IM캐피탈</t>
        </is>
      </c>
      <c r="F1039" t="inlineStr">
        <is>
          <t>유혜연</t>
        </is>
      </c>
      <c r="G1039" t="inlineStr">
        <is>
          <t>010-8424-8400</t>
        </is>
      </c>
      <c r="H1039" t="inlineStr">
        <is>
          <t>260수8048</t>
        </is>
      </c>
      <c r="I1039" t="n">
        <v>28000000</v>
      </c>
      <c r="J1039" t="n">
        <v>0.06900000000000001</v>
      </c>
      <c r="K1039" t="n">
        <v>1.1</v>
      </c>
      <c r="L1039" t="n">
        <v>0.14</v>
      </c>
      <c r="M1039" t="n">
        <v>0.96</v>
      </c>
      <c r="P1039" t="inlineStr">
        <is>
          <t>구성완</t>
        </is>
      </c>
      <c r="Q1039" t="inlineStr">
        <is>
          <t>안심거래존건</t>
        </is>
      </c>
      <c r="AB1039" t="inlineStr">
        <is>
          <t>믿고</t>
        </is>
      </c>
      <c r="AC1039" t="n">
        <v>308000</v>
      </c>
      <c r="AD1039" t="n">
        <v>39200</v>
      </c>
      <c r="AE1039" t="n">
        <v>268800</v>
      </c>
      <c r="AF1039" t="n">
        <v>280000</v>
      </c>
      <c r="AG1039" t="n">
        <v>39200</v>
      </c>
      <c r="AH1039" t="n">
        <v>240800</v>
      </c>
      <c r="AI1039" t="n">
        <v>0</v>
      </c>
    </row>
    <row r="1040">
      <c r="A1040" t="inlineStr">
        <is>
          <t>2월</t>
        </is>
      </c>
      <c r="B1040" t="inlineStr">
        <is>
          <t>6주차</t>
        </is>
      </c>
      <c r="C1040" t="inlineStr">
        <is>
          <t>IM</t>
        </is>
      </c>
      <c r="D1040" s="28" t="n">
        <v>46056</v>
      </c>
      <c r="E1040" t="inlineStr">
        <is>
          <t>IM캐피탈</t>
        </is>
      </c>
      <c r="F1040" t="inlineStr">
        <is>
          <t>이준호</t>
        </is>
      </c>
      <c r="G1040" t="inlineStr">
        <is>
          <t>010-5929-9948</t>
        </is>
      </c>
      <c r="H1040" t="inlineStr">
        <is>
          <t>10누1470</t>
        </is>
      </c>
      <c r="I1040" t="n">
        <v>13000000</v>
      </c>
      <c r="J1040" t="n">
        <v>0.056</v>
      </c>
      <c r="K1040" t="n">
        <v>1.1</v>
      </c>
      <c r="L1040" t="n">
        <v>0.4</v>
      </c>
      <c r="M1040" t="n">
        <v>0.7</v>
      </c>
      <c r="P1040" t="inlineStr">
        <is>
          <t>박보람</t>
        </is>
      </c>
      <c r="AB1040" t="inlineStr">
        <is>
          <t>엔카</t>
        </is>
      </c>
      <c r="AC1040" t="n">
        <v>143000</v>
      </c>
      <c r="AD1040" t="n">
        <v>52000</v>
      </c>
      <c r="AE1040" t="n">
        <v>91000</v>
      </c>
      <c r="AF1040" t="n">
        <v>130000</v>
      </c>
      <c r="AG1040" t="n">
        <v>52000</v>
      </c>
      <c r="AH1040" t="n">
        <v>78000</v>
      </c>
      <c r="AI1040" t="n">
        <v>0</v>
      </c>
    </row>
    <row r="1041">
      <c r="A1041" t="inlineStr">
        <is>
          <t>2월</t>
        </is>
      </c>
      <c r="B1041" t="inlineStr">
        <is>
          <t>6주차</t>
        </is>
      </c>
      <c r="C1041" t="inlineStr">
        <is>
          <t>OR</t>
        </is>
      </c>
      <c r="D1041" s="28" t="n">
        <v>46057</v>
      </c>
      <c r="E1041" t="inlineStr">
        <is>
          <t>오릭스</t>
        </is>
      </c>
      <c r="F1041" t="inlineStr">
        <is>
          <t>김단홍</t>
        </is>
      </c>
      <c r="G1041" t="inlineStr">
        <is>
          <t>010-9264-1945</t>
        </is>
      </c>
      <c r="H1041" t="inlineStr">
        <is>
          <t>199가9123</t>
        </is>
      </c>
      <c r="I1041" t="n">
        <v>29000000</v>
      </c>
      <c r="J1041" t="n">
        <v>0.055</v>
      </c>
      <c r="K1041" t="n">
        <v>1.65</v>
      </c>
      <c r="L1041" t="n">
        <v>0.4</v>
      </c>
      <c r="M1041" t="n">
        <v>1.25</v>
      </c>
      <c r="P1041" t="inlineStr">
        <is>
          <t>박현민</t>
        </is>
      </c>
      <c r="Q1041" t="inlineStr">
        <is>
          <t>부대비용추가진행</t>
        </is>
      </c>
      <c r="AB1041" t="inlineStr">
        <is>
          <t>엔카</t>
        </is>
      </c>
      <c r="AC1041" t="n">
        <v>478500</v>
      </c>
      <c r="AD1041" t="n">
        <v>116000</v>
      </c>
      <c r="AE1041" t="n">
        <v>362500</v>
      </c>
      <c r="AF1041" t="n">
        <v>435000</v>
      </c>
      <c r="AG1041" t="n">
        <v>116000</v>
      </c>
      <c r="AH1041" t="n">
        <v>319000</v>
      </c>
      <c r="AI1041" t="n">
        <v>0</v>
      </c>
    </row>
    <row r="1042">
      <c r="A1042" t="inlineStr">
        <is>
          <t>2월</t>
        </is>
      </c>
      <c r="B1042" t="inlineStr">
        <is>
          <t>6주차</t>
        </is>
      </c>
      <c r="C1042" t="inlineStr">
        <is>
          <t>EP</t>
        </is>
      </c>
      <c r="D1042" s="28" t="n">
        <v>46057</v>
      </c>
      <c r="E1042" t="inlineStr">
        <is>
          <t>현대EP_fast</t>
        </is>
      </c>
      <c r="F1042" t="inlineStr">
        <is>
          <t>서재우</t>
        </is>
      </c>
      <c r="G1042" t="n">
        <v>1079278027</v>
      </c>
      <c r="H1042" t="inlineStr">
        <is>
          <t>86로1566</t>
        </is>
      </c>
      <c r="I1042" t="n">
        <v>18300000</v>
      </c>
      <c r="J1042" t="n">
        <v>0.111</v>
      </c>
      <c r="K1042" t="n">
        <v>1.76</v>
      </c>
      <c r="L1042" t="n">
        <v>0.14</v>
      </c>
      <c r="M1042" t="n">
        <v>1.62</v>
      </c>
      <c r="P1042" t="inlineStr">
        <is>
          <t>김나윤</t>
        </is>
      </c>
      <c r="Q1042" t="inlineStr">
        <is>
          <t>홈서비스 60개월</t>
        </is>
      </c>
      <c r="AB1042" t="inlineStr">
        <is>
          <t>홈서비스</t>
        </is>
      </c>
      <c r="AC1042" t="n">
        <v>322080</v>
      </c>
      <c r="AD1042" t="n">
        <v>25620</v>
      </c>
      <c r="AE1042" t="n">
        <v>296460</v>
      </c>
      <c r="AF1042" t="n">
        <v>292800</v>
      </c>
      <c r="AG1042" t="n">
        <v>25620</v>
      </c>
      <c r="AH1042" t="n">
        <v>267180</v>
      </c>
      <c r="AI1042" t="n">
        <v>0</v>
      </c>
    </row>
    <row r="1043">
      <c r="A1043" t="inlineStr">
        <is>
          <t>2월</t>
        </is>
      </c>
      <c r="B1043" t="inlineStr">
        <is>
          <t>7주차</t>
        </is>
      </c>
      <c r="C1043" t="inlineStr">
        <is>
          <t>IM</t>
        </is>
      </c>
      <c r="D1043" s="28" t="n">
        <v>46066</v>
      </c>
      <c r="E1043" t="inlineStr">
        <is>
          <t>IM캐피탈</t>
        </is>
      </c>
      <c r="F1043" t="inlineStr">
        <is>
          <t>이시현</t>
        </is>
      </c>
      <c r="G1043" t="inlineStr">
        <is>
          <t>010-8325-3932</t>
        </is>
      </c>
      <c r="H1043" t="inlineStr">
        <is>
          <t>177거7366</t>
        </is>
      </c>
      <c r="I1043" t="n">
        <v>16500000</v>
      </c>
      <c r="J1043" t="n">
        <v>0.075</v>
      </c>
      <c r="K1043" t="n">
        <v>1.1</v>
      </c>
      <c r="L1043" t="n">
        <v>0.14</v>
      </c>
      <c r="M1043" t="n">
        <v>0.96</v>
      </c>
      <c r="P1043" t="inlineStr">
        <is>
          <t>김수연</t>
        </is>
      </c>
      <c r="Q1043" t="inlineStr">
        <is>
          <t>홈서비스 72개월</t>
        </is>
      </c>
      <c r="AB1043" t="inlineStr">
        <is>
          <t>홈서비스</t>
        </is>
      </c>
      <c r="AC1043" t="n">
        <v>181500</v>
      </c>
      <c r="AD1043" t="n">
        <v>23100</v>
      </c>
      <c r="AE1043" t="n">
        <v>158400</v>
      </c>
      <c r="AF1043" t="n">
        <v>165000</v>
      </c>
      <c r="AG1043" t="n">
        <v>23100</v>
      </c>
      <c r="AH1043" t="n">
        <v>141900</v>
      </c>
      <c r="AI1043" t="n">
        <v>0</v>
      </c>
    </row>
    <row r="1044">
      <c r="A1044" t="inlineStr">
        <is>
          <t>2월</t>
        </is>
      </c>
      <c r="B1044" t="inlineStr">
        <is>
          <t>8주차</t>
        </is>
      </c>
      <c r="C1044" t="inlineStr">
        <is>
          <t>EP</t>
        </is>
      </c>
      <c r="D1044" s="28" t="n">
        <v>46070</v>
      </c>
      <c r="E1044" t="inlineStr">
        <is>
          <t>현대EP</t>
        </is>
      </c>
      <c r="F1044" t="inlineStr">
        <is>
          <t>유세진</t>
        </is>
      </c>
      <c r="G1044" t="inlineStr">
        <is>
          <t>010-3004-0286</t>
        </is>
      </c>
      <c r="H1044" t="inlineStr">
        <is>
          <t>26조4704</t>
        </is>
      </c>
      <c r="I1044" t="n">
        <v>7900000</v>
      </c>
      <c r="J1044" t="n">
        <v>0.068</v>
      </c>
      <c r="K1044" t="n">
        <v>1.76</v>
      </c>
      <c r="L1044" t="n">
        <v>0.14</v>
      </c>
      <c r="M1044" t="n">
        <v>1.62</v>
      </c>
      <c r="P1044" t="inlineStr">
        <is>
          <t>황채이</t>
        </is>
      </c>
      <c r="Q1044" t="inlineStr">
        <is>
          <t>홈서비스 60개월</t>
        </is>
      </c>
      <c r="AB1044" t="inlineStr">
        <is>
          <t>홈서비스</t>
        </is>
      </c>
      <c r="AC1044" t="n">
        <v>139040</v>
      </c>
      <c r="AD1044" t="n">
        <v>11060</v>
      </c>
      <c r="AE1044" t="n">
        <v>127980</v>
      </c>
      <c r="AF1044" t="n">
        <v>126400</v>
      </c>
      <c r="AG1044" t="n">
        <v>11060</v>
      </c>
      <c r="AH1044" t="n">
        <v>115340</v>
      </c>
      <c r="AI1044" t="n">
        <v>0</v>
      </c>
    </row>
    <row r="1045">
      <c r="A1045" t="inlineStr">
        <is>
          <t>2월</t>
        </is>
      </c>
      <c r="B1045" t="inlineStr">
        <is>
          <t>8주차</t>
        </is>
      </c>
      <c r="C1045" t="inlineStr">
        <is>
          <t>IM</t>
        </is>
      </c>
      <c r="D1045" s="28" t="n">
        <v>46072</v>
      </c>
      <c r="E1045" t="inlineStr">
        <is>
          <t>IM캐피탈</t>
        </is>
      </c>
      <c r="F1045" t="inlineStr">
        <is>
          <t>이상권</t>
        </is>
      </c>
      <c r="G1045" t="inlineStr">
        <is>
          <t>0103108-2173</t>
        </is>
      </c>
      <c r="H1045" t="inlineStr">
        <is>
          <t>49루7273</t>
        </is>
      </c>
      <c r="I1045" t="n">
        <v>30900000</v>
      </c>
      <c r="J1045" t="n">
        <v>0.06900000000000001</v>
      </c>
      <c r="K1045" t="n">
        <v>1.1</v>
      </c>
      <c r="L1045" t="n">
        <v>0.14</v>
      </c>
      <c r="M1045" t="n">
        <v>0.96</v>
      </c>
      <c r="P1045" t="inlineStr">
        <is>
          <t>김수연</t>
        </is>
      </c>
      <c r="Q1045" t="inlineStr">
        <is>
          <t>홈서비스 60개월</t>
        </is>
      </c>
      <c r="AB1045" t="inlineStr">
        <is>
          <t>홈서비스</t>
        </is>
      </c>
      <c r="AC1045" t="n">
        <v>339900</v>
      </c>
      <c r="AD1045" t="n">
        <v>43260</v>
      </c>
      <c r="AE1045" t="n">
        <v>296640</v>
      </c>
      <c r="AF1045" t="n">
        <v>309000</v>
      </c>
      <c r="AG1045" t="n">
        <v>43260</v>
      </c>
      <c r="AH1045" t="n">
        <v>265740</v>
      </c>
    </row>
    <row r="1046">
      <c r="A1046" t="inlineStr">
        <is>
          <t>2월</t>
        </is>
      </c>
      <c r="B1046" t="inlineStr">
        <is>
          <t>6주차</t>
        </is>
      </c>
      <c r="C1046" t="inlineStr">
        <is>
          <t>EP</t>
        </is>
      </c>
      <c r="D1046" s="28" t="n">
        <v>46057</v>
      </c>
      <c r="E1046" t="inlineStr">
        <is>
          <t>현대EP_fast</t>
        </is>
      </c>
      <c r="F1046" t="inlineStr">
        <is>
          <t>김대용</t>
        </is>
      </c>
      <c r="G1046" t="inlineStr">
        <is>
          <t>010-2709-9614</t>
        </is>
      </c>
      <c r="H1046" t="inlineStr">
        <is>
          <t>37우3054</t>
        </is>
      </c>
      <c r="I1046" t="n">
        <v>-22900000</v>
      </c>
      <c r="J1046" t="n">
        <v>0.082</v>
      </c>
      <c r="K1046" t="n">
        <v>1.76</v>
      </c>
      <c r="L1046" t="n">
        <v>0.14</v>
      </c>
      <c r="M1046" t="n">
        <v>1.62</v>
      </c>
      <c r="P1046" t="inlineStr">
        <is>
          <t>장진경</t>
        </is>
      </c>
      <c r="Q1046" t="inlineStr">
        <is>
          <t>선상담 / 홈서비스 60개월</t>
        </is>
      </c>
      <c r="AB1046" t="inlineStr">
        <is>
          <t>홈서비스</t>
        </is>
      </c>
      <c r="AC1046" t="n">
        <v>-403040</v>
      </c>
      <c r="AD1046" t="n">
        <v>-32060</v>
      </c>
      <c r="AE1046" t="n">
        <v>-370980</v>
      </c>
      <c r="AF1046" t="n">
        <v>-366400</v>
      </c>
      <c r="AG1046" t="n">
        <v>-32060</v>
      </c>
      <c r="AH1046" t="n">
        <v>-334340</v>
      </c>
      <c r="AI1046" t="n">
        <v>0</v>
      </c>
    </row>
    <row r="1047">
      <c r="A1047" t="inlineStr">
        <is>
          <t>2월</t>
        </is>
      </c>
      <c r="B1047" t="inlineStr">
        <is>
          <t>6주차</t>
        </is>
      </c>
      <c r="C1047" t="inlineStr">
        <is>
          <t>IM</t>
        </is>
      </c>
      <c r="D1047" s="28" t="n">
        <v>46057</v>
      </c>
      <c r="E1047" t="inlineStr">
        <is>
          <t>IM캐피탈</t>
        </is>
      </c>
      <c r="F1047" t="inlineStr">
        <is>
          <t>배찬영</t>
        </is>
      </c>
      <c r="G1047" t="inlineStr">
        <is>
          <t>010-5615-8968</t>
        </is>
      </c>
      <c r="H1047" t="inlineStr">
        <is>
          <t>180서5201</t>
        </is>
      </c>
      <c r="I1047" t="n">
        <v>33400000</v>
      </c>
      <c r="J1047" t="n">
        <v>0.056</v>
      </c>
      <c r="K1047" t="n">
        <v>1.1</v>
      </c>
      <c r="L1047" t="n">
        <v>0.4</v>
      </c>
      <c r="M1047" t="n">
        <v>0.7</v>
      </c>
      <c r="P1047" t="inlineStr">
        <is>
          <t>박현민</t>
        </is>
      </c>
      <c r="Q1047" t="inlineStr">
        <is>
          <t>부대비용추가진행</t>
        </is>
      </c>
      <c r="AB1047" t="inlineStr">
        <is>
          <t>엔카</t>
        </is>
      </c>
      <c r="AC1047" t="n">
        <v>367400</v>
      </c>
      <c r="AD1047" t="n">
        <v>133600</v>
      </c>
      <c r="AE1047" t="n">
        <v>233800</v>
      </c>
      <c r="AF1047" t="n">
        <v>334000</v>
      </c>
      <c r="AG1047" t="n">
        <v>133600</v>
      </c>
      <c r="AH1047" t="n">
        <v>200400</v>
      </c>
      <c r="AI1047" t="n">
        <v>0</v>
      </c>
    </row>
    <row r="1048">
      <c r="A1048" t="inlineStr">
        <is>
          <t>2월</t>
        </is>
      </c>
      <c r="B1048" t="inlineStr">
        <is>
          <t>8주차</t>
        </is>
      </c>
      <c r="C1048" t="inlineStr">
        <is>
          <t>EP</t>
        </is>
      </c>
      <c r="D1048" s="28" t="n">
        <v>46072</v>
      </c>
      <c r="E1048" t="inlineStr">
        <is>
          <t>현대EP</t>
        </is>
      </c>
      <c r="F1048" t="inlineStr">
        <is>
          <t>김성현</t>
        </is>
      </c>
      <c r="G1048" t="inlineStr">
        <is>
          <t>010-7471-1750</t>
        </is>
      </c>
      <c r="H1048" t="inlineStr">
        <is>
          <t>52도4142</t>
        </is>
      </c>
      <c r="I1048" t="n">
        <v>8000000</v>
      </c>
      <c r="J1048" t="n">
        <v>0.059</v>
      </c>
      <c r="K1048" t="n">
        <v>1.76</v>
      </c>
      <c r="L1048" t="n">
        <v>0.14</v>
      </c>
      <c r="M1048" t="n">
        <v>1.62</v>
      </c>
      <c r="P1048" t="inlineStr">
        <is>
          <t>최형주</t>
        </is>
      </c>
      <c r="Q1048" t="inlineStr">
        <is>
          <t>홈서비스 24개월</t>
        </is>
      </c>
      <c r="AB1048" t="inlineStr">
        <is>
          <t>홈서비스</t>
        </is>
      </c>
      <c r="AC1048" t="n">
        <v>140800</v>
      </c>
      <c r="AD1048" t="n">
        <v>11200</v>
      </c>
      <c r="AE1048" t="n">
        <v>129600</v>
      </c>
      <c r="AF1048" t="n">
        <v>128000</v>
      </c>
      <c r="AG1048" t="n">
        <v>11200</v>
      </c>
      <c r="AH1048" t="n">
        <v>116800</v>
      </c>
      <c r="AI1048" t="n">
        <v>0</v>
      </c>
    </row>
    <row r="1049">
      <c r="A1049" t="inlineStr">
        <is>
          <t>2월</t>
        </is>
      </c>
      <c r="B1049" t="inlineStr">
        <is>
          <t>8주차</t>
        </is>
      </c>
      <c r="C1049" t="inlineStr">
        <is>
          <t>EP</t>
        </is>
      </c>
      <c r="D1049" s="28" t="n">
        <v>46072</v>
      </c>
      <c r="E1049" t="inlineStr">
        <is>
          <t>현대EP</t>
        </is>
      </c>
      <c r="F1049" t="inlineStr">
        <is>
          <t>김동선</t>
        </is>
      </c>
      <c r="G1049" t="inlineStr">
        <is>
          <t>010-5389-6889</t>
        </is>
      </c>
      <c r="H1049" t="inlineStr">
        <is>
          <t>381주7481</t>
        </is>
      </c>
      <c r="I1049" t="n">
        <v>30000000</v>
      </c>
      <c r="J1049" t="n">
        <v>0.068</v>
      </c>
      <c r="K1049" t="n">
        <v>1.76</v>
      </c>
      <c r="L1049" t="n">
        <v>0.14</v>
      </c>
      <c r="M1049" t="n">
        <v>1.62</v>
      </c>
      <c r="P1049" t="inlineStr">
        <is>
          <t>황채이</t>
        </is>
      </c>
      <c r="Q1049" t="inlineStr">
        <is>
          <t>홈서비스 60개월</t>
        </is>
      </c>
      <c r="AB1049" t="inlineStr">
        <is>
          <t>홈서비스</t>
        </is>
      </c>
      <c r="AC1049" t="n">
        <v>528000</v>
      </c>
      <c r="AD1049" t="n">
        <v>42000</v>
      </c>
      <c r="AE1049" t="n">
        <v>486000</v>
      </c>
      <c r="AF1049" t="n">
        <v>480000</v>
      </c>
      <c r="AG1049" t="n">
        <v>42000</v>
      </c>
      <c r="AH1049" t="n">
        <v>438000</v>
      </c>
      <c r="AI1049" t="n">
        <v>0</v>
      </c>
    </row>
    <row r="1050">
      <c r="A1050" t="inlineStr">
        <is>
          <t>2월</t>
        </is>
      </c>
      <c r="B1050" t="inlineStr">
        <is>
          <t>6주차</t>
        </is>
      </c>
      <c r="C1050" t="inlineStr">
        <is>
          <t>IM</t>
        </is>
      </c>
      <c r="D1050" s="28" t="n">
        <v>46056</v>
      </c>
      <c r="E1050" t="inlineStr">
        <is>
          <t>IM캐피탈</t>
        </is>
      </c>
      <c r="F1050" t="inlineStr">
        <is>
          <t>박미란</t>
        </is>
      </c>
      <c r="G1050" t="inlineStr">
        <is>
          <t>010-3550-1146</t>
        </is>
      </c>
      <c r="H1050" t="inlineStr">
        <is>
          <t>197도7339</t>
        </is>
      </c>
      <c r="I1050" t="n">
        <v>10000000</v>
      </c>
      <c r="J1050" t="n">
        <v>0.049</v>
      </c>
      <c r="K1050" t="n">
        <v>1.1</v>
      </c>
      <c r="L1050" t="n">
        <v>0.14</v>
      </c>
      <c r="M1050" t="n">
        <v>0.96</v>
      </c>
      <c r="P1050" t="inlineStr">
        <is>
          <t>정하은</t>
        </is>
      </c>
      <c r="Q1050" t="inlineStr">
        <is>
          <t>홈서비스 48개월</t>
        </is>
      </c>
      <c r="AB1050" t="inlineStr">
        <is>
          <t>홈서비스</t>
        </is>
      </c>
      <c r="AC1050" t="n">
        <v>110000</v>
      </c>
      <c r="AD1050" t="n">
        <v>14000</v>
      </c>
      <c r="AE1050" t="n">
        <v>96000</v>
      </c>
      <c r="AF1050" t="n">
        <v>100000</v>
      </c>
      <c r="AG1050" t="n">
        <v>14000</v>
      </c>
      <c r="AH1050" t="n">
        <v>86000</v>
      </c>
    </row>
    <row r="1051">
      <c r="A1051" t="inlineStr">
        <is>
          <t>2월</t>
        </is>
      </c>
      <c r="B1051" t="inlineStr">
        <is>
          <t>6주차</t>
        </is>
      </c>
      <c r="C1051" t="inlineStr">
        <is>
          <t>IM</t>
        </is>
      </c>
      <c r="D1051" s="28" t="n">
        <v>46056</v>
      </c>
      <c r="E1051" t="inlineStr">
        <is>
          <t>IM캐피탈</t>
        </is>
      </c>
      <c r="F1051" t="inlineStr">
        <is>
          <t>박미란</t>
        </is>
      </c>
      <c r="G1051" t="inlineStr">
        <is>
          <t>010-3550-1146</t>
        </is>
      </c>
      <c r="H1051" t="inlineStr">
        <is>
          <t>197도7339</t>
        </is>
      </c>
      <c r="I1051" t="n">
        <v>-10000000</v>
      </c>
      <c r="J1051" t="n">
        <v>0.049</v>
      </c>
      <c r="K1051" t="n">
        <v>1.1</v>
      </c>
      <c r="L1051" t="n">
        <v>0.14</v>
      </c>
      <c r="M1051" t="n">
        <v>0.96</v>
      </c>
      <c r="P1051" t="inlineStr">
        <is>
          <t>정하은</t>
        </is>
      </c>
      <c r="Q1051" t="inlineStr">
        <is>
          <t>홈서비스 48개월/*철회 20260212</t>
        </is>
      </c>
      <c r="AB1051" t="inlineStr">
        <is>
          <t>홈서비스</t>
        </is>
      </c>
      <c r="AC1051" t="n">
        <v>-110000</v>
      </c>
      <c r="AD1051" t="n">
        <v>-14000</v>
      </c>
      <c r="AE1051" t="n">
        <v>-96000</v>
      </c>
      <c r="AF1051" t="n">
        <v>-100000</v>
      </c>
      <c r="AG1051" t="n">
        <v>-14000</v>
      </c>
      <c r="AH1051" t="n">
        <v>-86000</v>
      </c>
      <c r="AK1051" t="inlineStr">
        <is>
          <t>대출철회</t>
        </is>
      </c>
    </row>
    <row r="1052">
      <c r="A1052" t="inlineStr">
        <is>
          <t>2월</t>
        </is>
      </c>
      <c r="B1052" t="inlineStr">
        <is>
          <t>6주차</t>
        </is>
      </c>
      <c r="C1052" t="inlineStr">
        <is>
          <t>EP</t>
        </is>
      </c>
      <c r="D1052" s="28" t="n">
        <v>46058</v>
      </c>
      <c r="E1052" t="inlineStr">
        <is>
          <t>제이비EP</t>
        </is>
      </c>
      <c r="F1052" t="inlineStr">
        <is>
          <t>전성우</t>
        </is>
      </c>
      <c r="G1052" t="inlineStr">
        <is>
          <t>010-8394-5994</t>
        </is>
      </c>
      <c r="H1052" t="inlineStr">
        <is>
          <t>61마8777</t>
        </is>
      </c>
      <c r="I1052" t="n">
        <v>7100000</v>
      </c>
      <c r="J1052" t="n">
        <v>0.092</v>
      </c>
      <c r="K1052" t="n">
        <v>1.65</v>
      </c>
      <c r="L1052" t="n">
        <v>0.4</v>
      </c>
      <c r="M1052" t="n">
        <v>1.25</v>
      </c>
      <c r="P1052" t="inlineStr">
        <is>
          <t>정하은</t>
        </is>
      </c>
      <c r="Q1052" t="inlineStr">
        <is>
          <t>부대비용 추가진행</t>
        </is>
      </c>
      <c r="AB1052" t="inlineStr">
        <is>
          <t>엔카</t>
        </is>
      </c>
      <c r="AC1052" t="n">
        <v>117150</v>
      </c>
      <c r="AD1052" t="n">
        <v>28400</v>
      </c>
      <c r="AE1052" t="n">
        <v>88750</v>
      </c>
      <c r="AF1052" t="n">
        <v>106500</v>
      </c>
      <c r="AG1052" t="n">
        <v>28400</v>
      </c>
      <c r="AH1052" t="n">
        <v>78100</v>
      </c>
      <c r="AI1052" t="n">
        <v>0</v>
      </c>
    </row>
    <row r="1053">
      <c r="A1053" t="inlineStr">
        <is>
          <t>2월</t>
        </is>
      </c>
      <c r="B1053" t="inlineStr">
        <is>
          <t>6주차</t>
        </is>
      </c>
      <c r="C1053" t="inlineStr">
        <is>
          <t>EP</t>
        </is>
      </c>
      <c r="D1053" s="28" t="n">
        <v>46058</v>
      </c>
      <c r="E1053" t="inlineStr">
        <is>
          <t>제이비EP</t>
        </is>
      </c>
      <c r="F1053" t="inlineStr">
        <is>
          <t>문은진</t>
        </is>
      </c>
      <c r="G1053" t="inlineStr">
        <is>
          <t>010-2791-5382</t>
        </is>
      </c>
      <c r="H1053" t="inlineStr">
        <is>
          <t>62수8610</t>
        </is>
      </c>
      <c r="I1053" t="n">
        <v>4900000</v>
      </c>
      <c r="J1053" t="n">
        <v>0.08599999999999999</v>
      </c>
      <c r="K1053" t="n">
        <v>1.65</v>
      </c>
      <c r="L1053" t="n">
        <v>0.4</v>
      </c>
      <c r="M1053" t="n">
        <v>1.25</v>
      </c>
      <c r="P1053" t="inlineStr">
        <is>
          <t>정하은</t>
        </is>
      </c>
      <c r="AB1053" t="inlineStr">
        <is>
          <t>엔카</t>
        </is>
      </c>
      <c r="AC1053" t="n">
        <v>80850</v>
      </c>
      <c r="AD1053" t="n">
        <v>19600</v>
      </c>
      <c r="AE1053" t="n">
        <v>61250</v>
      </c>
      <c r="AF1053" t="n">
        <v>73500</v>
      </c>
      <c r="AG1053" t="n">
        <v>19600</v>
      </c>
      <c r="AH1053" t="n">
        <v>53900</v>
      </c>
      <c r="AI1053" t="n">
        <v>0</v>
      </c>
    </row>
    <row r="1054">
      <c r="A1054" t="inlineStr">
        <is>
          <t>2월</t>
        </is>
      </c>
      <c r="B1054" t="inlineStr">
        <is>
          <t>6주차</t>
        </is>
      </c>
      <c r="C1054" t="inlineStr">
        <is>
          <t>OR</t>
        </is>
      </c>
      <c r="D1054" s="28" t="n">
        <v>46055</v>
      </c>
      <c r="E1054" t="inlineStr">
        <is>
          <t>오릭스</t>
        </is>
      </c>
      <c r="F1054" t="inlineStr">
        <is>
          <t>임은준</t>
        </is>
      </c>
      <c r="G1054" t="inlineStr">
        <is>
          <t>010-8728-0026</t>
        </is>
      </c>
      <c r="H1054" t="inlineStr">
        <is>
          <t>09머1595</t>
        </is>
      </c>
      <c r="I1054" t="n">
        <v>11000000</v>
      </c>
      <c r="J1054" t="n">
        <v>0.064</v>
      </c>
      <c r="K1054" t="n">
        <v>1.65</v>
      </c>
      <c r="L1054" t="n">
        <v>0.4</v>
      </c>
      <c r="M1054" t="n">
        <v>1.25</v>
      </c>
      <c r="P1054" t="inlineStr">
        <is>
          <t>장현경</t>
        </is>
      </c>
      <c r="AB1054" t="inlineStr">
        <is>
          <t>엔카</t>
        </is>
      </c>
      <c r="AC1054" t="n">
        <v>181500</v>
      </c>
      <c r="AD1054" t="n">
        <v>44000</v>
      </c>
      <c r="AE1054" t="n">
        <v>137500</v>
      </c>
      <c r="AF1054" t="n">
        <v>165000</v>
      </c>
      <c r="AG1054" t="n">
        <v>44000</v>
      </c>
      <c r="AH1054" t="n">
        <v>121000</v>
      </c>
      <c r="AI1054" t="n">
        <v>0</v>
      </c>
    </row>
    <row r="1055">
      <c r="A1055" t="inlineStr">
        <is>
          <t>2월</t>
        </is>
      </c>
      <c r="B1055" t="inlineStr">
        <is>
          <t>8주차</t>
        </is>
      </c>
      <c r="C1055" t="inlineStr">
        <is>
          <t>EP</t>
        </is>
      </c>
      <c r="D1055" s="28" t="n">
        <v>46072</v>
      </c>
      <c r="E1055" t="inlineStr">
        <is>
          <t>현대EP</t>
        </is>
      </c>
      <c r="F1055" t="inlineStr">
        <is>
          <t>김현일</t>
        </is>
      </c>
      <c r="G1055" t="inlineStr">
        <is>
          <t>010-5052-4577</t>
        </is>
      </c>
      <c r="H1055" t="inlineStr">
        <is>
          <t>54저1575</t>
        </is>
      </c>
      <c r="I1055" t="n">
        <v>17500000</v>
      </c>
      <c r="J1055" t="n">
        <v>0.068</v>
      </c>
      <c r="K1055" t="n">
        <v>1.76</v>
      </c>
      <c r="L1055" t="n">
        <v>0.14</v>
      </c>
      <c r="M1055" t="n">
        <v>1.62</v>
      </c>
      <c r="P1055" t="inlineStr">
        <is>
          <t>황채이</t>
        </is>
      </c>
      <c r="Q1055" t="inlineStr">
        <is>
          <t>홈서비스 60개월</t>
        </is>
      </c>
      <c r="AB1055" t="inlineStr">
        <is>
          <t>홈서비스</t>
        </is>
      </c>
      <c r="AC1055" t="n">
        <v>308000</v>
      </c>
      <c r="AD1055" t="n">
        <v>24500</v>
      </c>
      <c r="AE1055" t="n">
        <v>283500</v>
      </c>
      <c r="AF1055" t="n">
        <v>280000</v>
      </c>
      <c r="AG1055" t="n">
        <v>24500</v>
      </c>
      <c r="AH1055" t="n">
        <v>255500</v>
      </c>
      <c r="AI1055" t="n">
        <v>0</v>
      </c>
    </row>
    <row r="1056">
      <c r="A1056" t="inlineStr">
        <is>
          <t>2월</t>
        </is>
      </c>
      <c r="B1056" t="inlineStr">
        <is>
          <t>6주차</t>
        </is>
      </c>
      <c r="C1056" t="inlineStr">
        <is>
          <t>EP</t>
        </is>
      </c>
      <c r="D1056" s="28" t="n">
        <v>46057</v>
      </c>
      <c r="E1056" t="inlineStr">
        <is>
          <t>현대EP_fast</t>
        </is>
      </c>
      <c r="F1056" t="inlineStr">
        <is>
          <t>황보경</t>
        </is>
      </c>
      <c r="G1056" t="inlineStr">
        <is>
          <t>010-2815-8823</t>
        </is>
      </c>
      <c r="H1056" t="inlineStr">
        <is>
          <t>169조8469</t>
        </is>
      </c>
      <c r="I1056" t="n">
        <v>18500000</v>
      </c>
      <c r="J1056" t="n">
        <v>0.093</v>
      </c>
      <c r="K1056" t="n">
        <v>1.76</v>
      </c>
      <c r="L1056" t="n">
        <v>0.14</v>
      </c>
      <c r="M1056" t="n">
        <v>1.62</v>
      </c>
      <c r="P1056" t="inlineStr">
        <is>
          <t>정세빈</t>
        </is>
      </c>
      <c r="Q1056" t="inlineStr">
        <is>
          <t>홈서비스 60개월</t>
        </is>
      </c>
      <c r="AB1056" t="inlineStr">
        <is>
          <t>홈서비스</t>
        </is>
      </c>
      <c r="AC1056" t="n">
        <v>325600</v>
      </c>
      <c r="AD1056" t="n">
        <v>25900</v>
      </c>
      <c r="AE1056" t="n">
        <v>299700</v>
      </c>
      <c r="AF1056" t="n">
        <v>296000</v>
      </c>
      <c r="AG1056" t="n">
        <v>25900</v>
      </c>
      <c r="AH1056" t="n">
        <v>270100</v>
      </c>
      <c r="AI1056" t="n">
        <v>0</v>
      </c>
    </row>
    <row r="1057">
      <c r="A1057" t="inlineStr">
        <is>
          <t>2월</t>
        </is>
      </c>
      <c r="B1057" t="inlineStr">
        <is>
          <t>8주차</t>
        </is>
      </c>
      <c r="C1057" t="inlineStr">
        <is>
          <t>EP</t>
        </is>
      </c>
      <c r="D1057" s="28" t="n">
        <v>46072</v>
      </c>
      <c r="E1057" t="inlineStr">
        <is>
          <t>현대EP</t>
        </is>
      </c>
      <c r="F1057" t="inlineStr">
        <is>
          <t>김난희</t>
        </is>
      </c>
      <c r="G1057" t="inlineStr">
        <is>
          <t>010-4752-0760</t>
        </is>
      </c>
      <c r="H1057" t="inlineStr">
        <is>
          <t>38모9725</t>
        </is>
      </c>
      <c r="I1057" t="n">
        <v>13000000</v>
      </c>
      <c r="J1057" t="n">
        <v>0.068</v>
      </c>
      <c r="K1057" t="n">
        <v>1.76</v>
      </c>
      <c r="L1057" t="n">
        <v>0.14</v>
      </c>
      <c r="M1057" t="n">
        <v>1.62</v>
      </c>
      <c r="P1057" t="inlineStr">
        <is>
          <t>최형주</t>
        </is>
      </c>
      <c r="Q1057" t="inlineStr">
        <is>
          <t>홈서비스 60개월</t>
        </is>
      </c>
      <c r="AB1057" t="inlineStr">
        <is>
          <t>홈서비스</t>
        </is>
      </c>
      <c r="AC1057" t="n">
        <v>228800</v>
      </c>
      <c r="AD1057" t="n">
        <v>18200</v>
      </c>
      <c r="AE1057" t="n">
        <v>210600</v>
      </c>
      <c r="AF1057" t="n">
        <v>208000</v>
      </c>
      <c r="AG1057" t="n">
        <v>18200</v>
      </c>
      <c r="AH1057" t="n">
        <v>189800</v>
      </c>
      <c r="AI1057" t="n">
        <v>0</v>
      </c>
    </row>
    <row r="1058">
      <c r="A1058" t="inlineStr">
        <is>
          <t>2월</t>
        </is>
      </c>
      <c r="B1058" t="inlineStr">
        <is>
          <t>7주차</t>
        </is>
      </c>
      <c r="C1058" t="inlineStr">
        <is>
          <t>EP</t>
        </is>
      </c>
      <c r="D1058" s="28" t="n">
        <v>46068</v>
      </c>
      <c r="E1058" t="inlineStr">
        <is>
          <t>현대EP</t>
        </is>
      </c>
      <c r="F1058" t="inlineStr">
        <is>
          <t>정현우</t>
        </is>
      </c>
      <c r="G1058" t="inlineStr">
        <is>
          <t>010-9512-6217</t>
        </is>
      </c>
      <c r="H1058" t="inlineStr">
        <is>
          <t>07부8943</t>
        </is>
      </c>
      <c r="I1058" t="n">
        <v>40000000</v>
      </c>
      <c r="J1058" t="n">
        <v>0.06900000000000001</v>
      </c>
      <c r="K1058" t="n">
        <v>1.76</v>
      </c>
      <c r="L1058" t="n">
        <v>0.14</v>
      </c>
      <c r="M1058" t="n">
        <v>1.62</v>
      </c>
      <c r="P1058" t="inlineStr">
        <is>
          <t>김수연</t>
        </is>
      </c>
      <c r="Q1058" t="inlineStr">
        <is>
          <t>홈서비스 60개월</t>
        </is>
      </c>
      <c r="AB1058" t="inlineStr">
        <is>
          <t>홈서비스</t>
        </is>
      </c>
      <c r="AC1058" t="n">
        <v>704000</v>
      </c>
      <c r="AD1058" t="n">
        <v>56000</v>
      </c>
      <c r="AE1058" t="n">
        <v>648000</v>
      </c>
      <c r="AF1058" t="n">
        <v>640000</v>
      </c>
      <c r="AG1058" t="n">
        <v>56000</v>
      </c>
      <c r="AH1058" t="n">
        <v>584000</v>
      </c>
      <c r="AI1058" t="n">
        <v>0</v>
      </c>
    </row>
    <row r="1059">
      <c r="A1059" t="inlineStr">
        <is>
          <t>2월</t>
        </is>
      </c>
      <c r="B1059" t="inlineStr">
        <is>
          <t>6주차</t>
        </is>
      </c>
      <c r="C1059" t="inlineStr">
        <is>
          <t>EP</t>
        </is>
      </c>
      <c r="D1059" s="28" t="n">
        <v>46057</v>
      </c>
      <c r="E1059" t="inlineStr">
        <is>
          <t>현대EP_fast</t>
        </is>
      </c>
      <c r="F1059" t="inlineStr">
        <is>
          <t>도병철</t>
        </is>
      </c>
      <c r="G1059" t="inlineStr">
        <is>
          <t>010-6890-3337</t>
        </is>
      </c>
      <c r="H1059" t="inlineStr">
        <is>
          <t>231버7009</t>
        </is>
      </c>
      <c r="I1059" t="n">
        <v>-26900000</v>
      </c>
      <c r="J1059" t="n">
        <v>0.07199999999999999</v>
      </c>
      <c r="K1059" t="n">
        <v>1.76</v>
      </c>
      <c r="L1059" t="n">
        <v>0.14</v>
      </c>
      <c r="M1059" t="n">
        <v>1.62</v>
      </c>
      <c r="P1059" t="inlineStr">
        <is>
          <t>정광호</t>
        </is>
      </c>
      <c r="Q1059" t="inlineStr">
        <is>
          <t>홈서비스 60개월</t>
        </is>
      </c>
      <c r="AB1059" t="inlineStr">
        <is>
          <t>홈서비스</t>
        </is>
      </c>
      <c r="AC1059" t="n">
        <v>-473440</v>
      </c>
      <c r="AD1059" t="n">
        <v>-37660</v>
      </c>
      <c r="AE1059" t="n">
        <v>-435780</v>
      </c>
      <c r="AF1059" t="n">
        <v>-430400</v>
      </c>
      <c r="AG1059" t="n">
        <v>-37660</v>
      </c>
      <c r="AH1059" t="n">
        <v>-392740</v>
      </c>
      <c r="AI1059" t="n">
        <v>0</v>
      </c>
    </row>
    <row r="1060">
      <c r="A1060" t="inlineStr">
        <is>
          <t>2월</t>
        </is>
      </c>
      <c r="B1060" t="inlineStr">
        <is>
          <t>6주차</t>
        </is>
      </c>
      <c r="C1060" t="inlineStr">
        <is>
          <t>IM</t>
        </is>
      </c>
      <c r="D1060" s="28" t="n">
        <v>46057</v>
      </c>
      <c r="E1060" t="inlineStr">
        <is>
          <t>IM캐피탈</t>
        </is>
      </c>
      <c r="F1060" t="inlineStr">
        <is>
          <t>송진규</t>
        </is>
      </c>
      <c r="G1060" t="inlineStr">
        <is>
          <t>010-3254-8179</t>
        </is>
      </c>
      <c r="H1060" t="inlineStr">
        <is>
          <t>837마8761</t>
        </is>
      </c>
      <c r="I1060" t="n">
        <v>13500000</v>
      </c>
      <c r="J1060" t="n">
        <v>0.056</v>
      </c>
      <c r="K1060" t="n">
        <v>1.1</v>
      </c>
      <c r="L1060" t="n">
        <v>0.4</v>
      </c>
      <c r="M1060" t="n">
        <v>0.7</v>
      </c>
      <c r="P1060" t="inlineStr">
        <is>
          <t>박보람</t>
        </is>
      </c>
      <c r="AB1060" t="inlineStr">
        <is>
          <t>엔카</t>
        </is>
      </c>
      <c r="AC1060" t="n">
        <v>148500</v>
      </c>
      <c r="AD1060" t="n">
        <v>54000</v>
      </c>
      <c r="AE1060" t="n">
        <v>94500</v>
      </c>
      <c r="AF1060" t="n">
        <v>135000</v>
      </c>
      <c r="AG1060" t="n">
        <v>54000</v>
      </c>
      <c r="AH1060" t="n">
        <v>81000</v>
      </c>
      <c r="AI1060" t="n">
        <v>0</v>
      </c>
    </row>
    <row r="1061">
      <c r="A1061" t="inlineStr">
        <is>
          <t>2월</t>
        </is>
      </c>
      <c r="B1061" t="inlineStr">
        <is>
          <t>8주차</t>
        </is>
      </c>
      <c r="C1061" t="inlineStr">
        <is>
          <t>WC</t>
        </is>
      </c>
      <c r="D1061" s="28" t="n">
        <v>46072</v>
      </c>
      <c r="E1061" t="inlineStr">
        <is>
          <t>웰컴저축은행</t>
        </is>
      </c>
      <c r="F1061" t="inlineStr">
        <is>
          <t>황경섭</t>
        </is>
      </c>
      <c r="G1061" t="inlineStr">
        <is>
          <t>010-6206-6462</t>
        </is>
      </c>
      <c r="H1061" t="inlineStr">
        <is>
          <t>379저8786</t>
        </is>
      </c>
      <c r="I1061" t="n">
        <v>10000000</v>
      </c>
      <c r="J1061" t="n">
        <v>0.159</v>
      </c>
      <c r="K1061" t="n">
        <v>0</v>
      </c>
      <c r="L1061" t="n">
        <v>0.14</v>
      </c>
      <c r="M1061" t="n">
        <v>-0.14</v>
      </c>
      <c r="P1061" t="inlineStr">
        <is>
          <t>김수연</t>
        </is>
      </c>
      <c r="Q1061" t="inlineStr">
        <is>
          <t>홈서비스 60개월</t>
        </is>
      </c>
      <c r="AB1061" t="inlineStr">
        <is>
          <t>홈서비스</t>
        </is>
      </c>
      <c r="AC1061" t="n">
        <v>0</v>
      </c>
      <c r="AD1061" t="n">
        <v>14000</v>
      </c>
      <c r="AE1061" t="n">
        <v>-14000</v>
      </c>
      <c r="AF1061" t="n">
        <v>0</v>
      </c>
      <c r="AG1061" t="n">
        <v>14000</v>
      </c>
      <c r="AH1061" t="n">
        <v>-14000</v>
      </c>
      <c r="AI1061" t="n">
        <v>0</v>
      </c>
    </row>
    <row r="1062">
      <c r="A1062" t="inlineStr">
        <is>
          <t>2월</t>
        </is>
      </c>
      <c r="B1062" t="inlineStr">
        <is>
          <t>8주차</t>
        </is>
      </c>
      <c r="C1062" t="inlineStr">
        <is>
          <t>EP</t>
        </is>
      </c>
      <c r="D1062" s="28" t="n">
        <v>46073</v>
      </c>
      <c r="E1062" t="inlineStr">
        <is>
          <t>현대EP_fast</t>
        </is>
      </c>
      <c r="F1062" t="inlineStr">
        <is>
          <t>김지연</t>
        </is>
      </c>
      <c r="G1062" t="inlineStr">
        <is>
          <t>010-4755-0425</t>
        </is>
      </c>
      <c r="H1062" t="inlineStr">
        <is>
          <t>66루6025</t>
        </is>
      </c>
      <c r="I1062" t="n">
        <v>3900000</v>
      </c>
      <c r="J1062" t="n">
        <v>0.067</v>
      </c>
      <c r="K1062" t="n">
        <v>1.76</v>
      </c>
      <c r="L1062" t="n">
        <v>0.14</v>
      </c>
      <c r="M1062" t="n">
        <v>1.62</v>
      </c>
      <c r="P1062" t="inlineStr">
        <is>
          <t>최형주</t>
        </is>
      </c>
      <c r="Q1062" t="inlineStr">
        <is>
          <t>홈서비스 36개월</t>
        </is>
      </c>
      <c r="AB1062" t="inlineStr">
        <is>
          <t>홈서비스</t>
        </is>
      </c>
      <c r="AC1062" t="n">
        <v>68640</v>
      </c>
      <c r="AD1062" t="n">
        <v>5460</v>
      </c>
      <c r="AE1062" t="n">
        <v>63180</v>
      </c>
      <c r="AF1062" t="n">
        <v>62400</v>
      </c>
      <c r="AG1062" t="n">
        <v>5460</v>
      </c>
      <c r="AH1062" t="n">
        <v>56940</v>
      </c>
      <c r="AI1062" t="n">
        <v>0</v>
      </c>
    </row>
    <row r="1063">
      <c r="A1063" t="inlineStr">
        <is>
          <t>2월</t>
        </is>
      </c>
      <c r="B1063" t="inlineStr">
        <is>
          <t>6주차</t>
        </is>
      </c>
      <c r="C1063" t="inlineStr">
        <is>
          <t>IM</t>
        </is>
      </c>
      <c r="D1063" s="28" t="n">
        <v>46057</v>
      </c>
      <c r="E1063" t="inlineStr">
        <is>
          <t>IM캐피탈</t>
        </is>
      </c>
      <c r="F1063" t="inlineStr">
        <is>
          <t>이성호</t>
        </is>
      </c>
      <c r="G1063" t="inlineStr">
        <is>
          <t>010-8653-3216</t>
        </is>
      </c>
      <c r="H1063" t="inlineStr">
        <is>
          <t>21버9177</t>
        </is>
      </c>
      <c r="I1063" t="n">
        <v>25000000</v>
      </c>
      <c r="J1063" t="n">
        <v>0.039</v>
      </c>
      <c r="K1063" t="n">
        <v>1.1</v>
      </c>
      <c r="L1063" t="n">
        <v>0.4</v>
      </c>
      <c r="M1063" t="n">
        <v>0.7</v>
      </c>
      <c r="P1063" t="inlineStr">
        <is>
          <t>박소현</t>
        </is>
      </c>
      <c r="Q1063" t="inlineStr">
        <is>
          <t>개인간거래 /이전완료</t>
        </is>
      </c>
      <c r="AB1063" t="inlineStr">
        <is>
          <t>엔카</t>
        </is>
      </c>
      <c r="AC1063" t="n">
        <v>275000</v>
      </c>
      <c r="AD1063" t="n">
        <v>100000</v>
      </c>
      <c r="AE1063" t="n">
        <v>175000</v>
      </c>
      <c r="AF1063" t="n">
        <v>250000</v>
      </c>
      <c r="AG1063" t="n">
        <v>100000</v>
      </c>
      <c r="AH1063" t="n">
        <v>150000</v>
      </c>
      <c r="AI1063" t="n">
        <v>1</v>
      </c>
    </row>
    <row r="1064">
      <c r="A1064" t="inlineStr">
        <is>
          <t>2월</t>
        </is>
      </c>
      <c r="B1064" t="inlineStr">
        <is>
          <t>6주차</t>
        </is>
      </c>
      <c r="C1064" t="inlineStr">
        <is>
          <t>EP</t>
        </is>
      </c>
      <c r="D1064" s="28" t="n">
        <v>46058</v>
      </c>
      <c r="E1064" t="inlineStr">
        <is>
          <t>현대EP_fast</t>
        </is>
      </c>
      <c r="F1064" t="inlineStr">
        <is>
          <t>정연권</t>
        </is>
      </c>
      <c r="G1064" t="inlineStr">
        <is>
          <t>010-9561-9569</t>
        </is>
      </c>
      <c r="H1064" t="inlineStr">
        <is>
          <t>09도4409</t>
        </is>
      </c>
      <c r="I1064" t="n">
        <v>9400000</v>
      </c>
      <c r="J1064" t="n">
        <v>0.067</v>
      </c>
      <c r="K1064" t="n">
        <v>1.76</v>
      </c>
      <c r="L1064" t="n">
        <v>0.14</v>
      </c>
      <c r="M1064" t="n">
        <v>1.62</v>
      </c>
      <c r="P1064" t="inlineStr">
        <is>
          <t>정광호</t>
        </is>
      </c>
      <c r="Q1064" t="inlineStr">
        <is>
          <t>홈서비스 36개월</t>
        </is>
      </c>
      <c r="AB1064" t="inlineStr">
        <is>
          <t>홈서비스</t>
        </is>
      </c>
      <c r="AC1064" t="n">
        <v>165440</v>
      </c>
      <c r="AD1064" t="n">
        <v>13160</v>
      </c>
      <c r="AE1064" t="n">
        <v>152280</v>
      </c>
      <c r="AF1064" t="n">
        <v>150400</v>
      </c>
      <c r="AG1064" t="n">
        <v>13160</v>
      </c>
      <c r="AH1064" t="n">
        <v>137240</v>
      </c>
      <c r="AI1064" t="n">
        <v>1</v>
      </c>
    </row>
    <row r="1065">
      <c r="A1065" t="inlineStr">
        <is>
          <t>2월</t>
        </is>
      </c>
      <c r="B1065" t="inlineStr">
        <is>
          <t>6주차</t>
        </is>
      </c>
      <c r="C1065" t="inlineStr">
        <is>
          <t>EP</t>
        </is>
      </c>
      <c r="D1065" s="28" t="n">
        <v>46057</v>
      </c>
      <c r="E1065" t="inlineStr">
        <is>
          <t>현대EP</t>
        </is>
      </c>
      <c r="F1065" t="inlineStr">
        <is>
          <t>이미경</t>
        </is>
      </c>
      <c r="G1065" t="inlineStr">
        <is>
          <t>010-4707-4808</t>
        </is>
      </c>
      <c r="H1065" t="inlineStr">
        <is>
          <t>150고2432</t>
        </is>
      </c>
      <c r="I1065" t="n">
        <v>35800000</v>
      </c>
      <c r="J1065" t="n">
        <v>0.082</v>
      </c>
      <c r="K1065" t="n">
        <v>1.76</v>
      </c>
      <c r="L1065" t="n">
        <v>0.14</v>
      </c>
      <c r="M1065" t="n">
        <v>1.62</v>
      </c>
      <c r="P1065" t="inlineStr">
        <is>
          <t>임대경</t>
        </is>
      </c>
      <c r="Q1065" t="inlineStr">
        <is>
          <t>홈서비스 60개월</t>
        </is>
      </c>
      <c r="AB1065" t="inlineStr">
        <is>
          <t>홈서비스</t>
        </is>
      </c>
      <c r="AC1065" t="n">
        <v>630080</v>
      </c>
      <c r="AD1065" t="n">
        <v>50120</v>
      </c>
      <c r="AE1065" t="n">
        <v>579960</v>
      </c>
      <c r="AF1065" t="n">
        <v>572800</v>
      </c>
      <c r="AG1065" t="n">
        <v>50120</v>
      </c>
      <c r="AH1065" t="n">
        <v>522680</v>
      </c>
      <c r="AI1065" t="n">
        <v>1</v>
      </c>
    </row>
    <row r="1066">
      <c r="A1066" t="inlineStr">
        <is>
          <t>2월</t>
        </is>
      </c>
      <c r="B1066" t="inlineStr">
        <is>
          <t>8주차</t>
        </is>
      </c>
      <c r="C1066" t="inlineStr">
        <is>
          <t>EP</t>
        </is>
      </c>
      <c r="D1066" s="28" t="n">
        <v>46073</v>
      </c>
      <c r="E1066" t="inlineStr">
        <is>
          <t>현대EP_fast</t>
        </is>
      </c>
      <c r="F1066" t="inlineStr">
        <is>
          <t>한수정</t>
        </is>
      </c>
      <c r="G1066" t="inlineStr">
        <is>
          <t>010-4038-2430</t>
        </is>
      </c>
      <c r="H1066" t="inlineStr">
        <is>
          <t>224두4861</t>
        </is>
      </c>
      <c r="I1066" t="n">
        <v>17900000</v>
      </c>
      <c r="J1066" t="n">
        <v>0.068</v>
      </c>
      <c r="K1066" t="n">
        <v>1.76</v>
      </c>
      <c r="L1066" t="n">
        <v>0.14</v>
      </c>
      <c r="M1066" t="n">
        <v>1.62</v>
      </c>
      <c r="P1066" t="inlineStr">
        <is>
          <t>최형주</t>
        </is>
      </c>
      <c r="Q1066" t="inlineStr">
        <is>
          <t>홈서비스 60개월</t>
        </is>
      </c>
      <c r="AB1066" t="inlineStr">
        <is>
          <t>홈서비스</t>
        </is>
      </c>
      <c r="AC1066" t="n">
        <v>315040</v>
      </c>
      <c r="AD1066" t="n">
        <v>25060</v>
      </c>
      <c r="AE1066" t="n">
        <v>289980</v>
      </c>
      <c r="AF1066" t="n">
        <v>286400</v>
      </c>
      <c r="AG1066" t="n">
        <v>25060</v>
      </c>
      <c r="AH1066" t="n">
        <v>261340</v>
      </c>
      <c r="AI1066" t="n">
        <v>1</v>
      </c>
    </row>
    <row r="1067">
      <c r="A1067" t="inlineStr">
        <is>
          <t>2월</t>
        </is>
      </c>
      <c r="B1067" t="inlineStr">
        <is>
          <t>8주차</t>
        </is>
      </c>
      <c r="C1067" t="inlineStr">
        <is>
          <t>EP</t>
        </is>
      </c>
      <c r="D1067" s="28" t="n">
        <v>46072</v>
      </c>
      <c r="E1067" t="inlineStr">
        <is>
          <t>현대EP</t>
        </is>
      </c>
      <c r="F1067" t="inlineStr">
        <is>
          <t>주호규</t>
        </is>
      </c>
      <c r="G1067" t="inlineStr">
        <is>
          <t>010-9739-1912</t>
        </is>
      </c>
      <c r="H1067" t="inlineStr">
        <is>
          <t>17노2144</t>
        </is>
      </c>
      <c r="I1067" t="n">
        <v>6200000</v>
      </c>
      <c r="J1067" t="n">
        <v>0.116</v>
      </c>
      <c r="K1067" t="n">
        <v>1.76</v>
      </c>
      <c r="L1067" t="n">
        <v>0.14</v>
      </c>
      <c r="M1067" t="n">
        <v>1.62</v>
      </c>
      <c r="P1067" t="inlineStr">
        <is>
          <t>정세빈</t>
        </is>
      </c>
      <c r="Q1067" t="inlineStr">
        <is>
          <t>홈서비스 36개월</t>
        </is>
      </c>
      <c r="AB1067" t="inlineStr">
        <is>
          <t>홈서비스</t>
        </is>
      </c>
      <c r="AC1067" t="n">
        <v>109120</v>
      </c>
      <c r="AD1067" t="n">
        <v>8680</v>
      </c>
      <c r="AE1067" t="n">
        <v>100440</v>
      </c>
      <c r="AF1067" t="n">
        <v>99200</v>
      </c>
      <c r="AG1067" t="n">
        <v>8680</v>
      </c>
      <c r="AH1067" t="n">
        <v>90520</v>
      </c>
      <c r="AI1067" t="n">
        <v>1</v>
      </c>
    </row>
    <row r="1068">
      <c r="A1068" t="inlineStr">
        <is>
          <t>2월</t>
        </is>
      </c>
      <c r="B1068" t="inlineStr">
        <is>
          <t>8주차</t>
        </is>
      </c>
      <c r="C1068" t="inlineStr">
        <is>
          <t>EP</t>
        </is>
      </c>
      <c r="D1068" s="28" t="n">
        <v>46073</v>
      </c>
      <c r="E1068" t="inlineStr">
        <is>
          <t>현대EP</t>
        </is>
      </c>
      <c r="F1068" t="inlineStr">
        <is>
          <t>최민국</t>
        </is>
      </c>
      <c r="G1068" t="inlineStr">
        <is>
          <t>010-5125-4712</t>
        </is>
      </c>
      <c r="H1068" t="inlineStr">
        <is>
          <t>203다9172</t>
        </is>
      </c>
      <c r="I1068" t="n">
        <v>24900000</v>
      </c>
      <c r="J1068" t="n">
        <v>0.068</v>
      </c>
      <c r="K1068" t="n">
        <v>1.76</v>
      </c>
      <c r="L1068" t="n">
        <v>0.14</v>
      </c>
      <c r="M1068" t="n">
        <v>1.62</v>
      </c>
      <c r="P1068" t="inlineStr">
        <is>
          <t>황채이</t>
        </is>
      </c>
      <c r="Q1068" t="inlineStr">
        <is>
          <t>홈서비스 48개월</t>
        </is>
      </c>
      <c r="AB1068" t="inlineStr">
        <is>
          <t>홈서비스</t>
        </is>
      </c>
      <c r="AC1068" t="n">
        <v>438240</v>
      </c>
      <c r="AD1068" t="n">
        <v>34860</v>
      </c>
      <c r="AE1068" t="n">
        <v>403380</v>
      </c>
      <c r="AF1068" t="n">
        <v>398400</v>
      </c>
      <c r="AG1068" t="n">
        <v>34860</v>
      </c>
      <c r="AH1068" t="n">
        <v>363540</v>
      </c>
      <c r="AI1068" t="n">
        <v>1</v>
      </c>
    </row>
    <row r="1069">
      <c r="A1069" t="inlineStr">
        <is>
          <t>2월</t>
        </is>
      </c>
      <c r="B1069" t="inlineStr">
        <is>
          <t>8주차</t>
        </is>
      </c>
      <c r="C1069" t="inlineStr">
        <is>
          <t>IM</t>
        </is>
      </c>
      <c r="D1069" s="28" t="n">
        <v>46072</v>
      </c>
      <c r="E1069" t="inlineStr">
        <is>
          <t>IM캐피탈</t>
        </is>
      </c>
      <c r="F1069" t="inlineStr">
        <is>
          <t>김동휘</t>
        </is>
      </c>
      <c r="G1069" t="inlineStr">
        <is>
          <t>010-6262-5199</t>
        </is>
      </c>
      <c r="H1069" t="inlineStr">
        <is>
          <t>252소8125</t>
        </is>
      </c>
      <c r="I1069" t="n">
        <v>34800000</v>
      </c>
      <c r="J1069" t="n">
        <v>0.049</v>
      </c>
      <c r="K1069" t="n">
        <v>1.1</v>
      </c>
      <c r="L1069" t="n">
        <v>0.14</v>
      </c>
      <c r="M1069" t="n">
        <v>0.96</v>
      </c>
      <c r="P1069" t="inlineStr">
        <is>
          <t>임대경</t>
        </is>
      </c>
      <c r="Q1069" t="inlineStr">
        <is>
          <t>홈서비스 60개월</t>
        </is>
      </c>
      <c r="AB1069" t="inlineStr">
        <is>
          <t>홈서비스</t>
        </is>
      </c>
      <c r="AC1069" t="n">
        <v>382800</v>
      </c>
      <c r="AD1069" t="n">
        <v>48720</v>
      </c>
      <c r="AE1069" t="n">
        <v>334080</v>
      </c>
      <c r="AF1069" t="n">
        <v>348000</v>
      </c>
      <c r="AG1069" t="n">
        <v>48720</v>
      </c>
      <c r="AH1069" t="n">
        <v>299280</v>
      </c>
      <c r="AI1069" t="n">
        <v>0</v>
      </c>
    </row>
    <row r="1070">
      <c r="A1070" t="inlineStr">
        <is>
          <t>2월</t>
        </is>
      </c>
      <c r="B1070" t="inlineStr">
        <is>
          <t>8주차</t>
        </is>
      </c>
      <c r="C1070" t="inlineStr">
        <is>
          <t>IM</t>
        </is>
      </c>
      <c r="D1070" s="28" t="n">
        <v>46073</v>
      </c>
      <c r="E1070" t="inlineStr">
        <is>
          <t>IM캐피탈</t>
        </is>
      </c>
      <c r="F1070" t="inlineStr">
        <is>
          <t>김지원</t>
        </is>
      </c>
      <c r="G1070" t="inlineStr">
        <is>
          <t>010-9237-2844</t>
        </is>
      </c>
      <c r="H1070" t="inlineStr">
        <is>
          <t>31우1773</t>
        </is>
      </c>
      <c r="I1070" t="n">
        <v>14700000</v>
      </c>
      <c r="J1070" t="n">
        <v>0.075</v>
      </c>
      <c r="K1070" t="n">
        <v>1.1</v>
      </c>
      <c r="L1070" t="n">
        <v>0.14</v>
      </c>
      <c r="M1070" t="n">
        <v>0.96</v>
      </c>
      <c r="P1070" t="inlineStr">
        <is>
          <t>김수연</t>
        </is>
      </c>
      <c r="Q1070" t="inlineStr">
        <is>
          <t>홈서비스 60개월</t>
        </is>
      </c>
      <c r="AB1070" t="inlineStr">
        <is>
          <t>홈서비스</t>
        </is>
      </c>
      <c r="AC1070" t="n">
        <v>161700</v>
      </c>
      <c r="AD1070" t="n">
        <v>20580</v>
      </c>
      <c r="AE1070" t="n">
        <v>141120</v>
      </c>
      <c r="AF1070" t="n">
        <v>147000</v>
      </c>
      <c r="AG1070" t="n">
        <v>20580</v>
      </c>
      <c r="AH1070" t="n">
        <v>126420</v>
      </c>
    </row>
    <row r="1071">
      <c r="A1071" t="inlineStr">
        <is>
          <t>2월</t>
        </is>
      </c>
      <c r="B1071" t="inlineStr">
        <is>
          <t>8주차</t>
        </is>
      </c>
      <c r="C1071" t="inlineStr">
        <is>
          <t>IM</t>
        </is>
      </c>
      <c r="D1071" s="28" t="n">
        <v>46073</v>
      </c>
      <c r="E1071" t="inlineStr">
        <is>
          <t>IM캐피탈</t>
        </is>
      </c>
      <c r="F1071" t="inlineStr">
        <is>
          <t>손기웅</t>
        </is>
      </c>
      <c r="G1071" t="inlineStr">
        <is>
          <t>010-8642-6531</t>
        </is>
      </c>
      <c r="H1071" t="inlineStr">
        <is>
          <t>35부9701</t>
        </is>
      </c>
      <c r="I1071" t="n">
        <v>3200000</v>
      </c>
      <c r="J1071" t="n">
        <v>0.075</v>
      </c>
      <c r="K1071" t="n">
        <v>1.1</v>
      </c>
      <c r="L1071" t="n">
        <v>0.4</v>
      </c>
      <c r="M1071" t="n">
        <v>0.7</v>
      </c>
      <c r="P1071" t="inlineStr">
        <is>
          <t>임대경</t>
        </is>
      </c>
      <c r="AB1071" t="inlineStr">
        <is>
          <t>엔카</t>
        </is>
      </c>
      <c r="AC1071" t="n">
        <v>35200</v>
      </c>
      <c r="AD1071" t="n">
        <v>12800</v>
      </c>
      <c r="AE1071" t="n">
        <v>22400</v>
      </c>
      <c r="AF1071" t="n">
        <v>32000</v>
      </c>
      <c r="AG1071" t="n">
        <v>12800</v>
      </c>
      <c r="AH1071" t="n">
        <v>19200</v>
      </c>
      <c r="AI1071" t="n">
        <v>0</v>
      </c>
    </row>
    <row r="1072">
      <c r="A1072" t="inlineStr">
        <is>
          <t>2월</t>
        </is>
      </c>
      <c r="B1072" t="inlineStr">
        <is>
          <t>8주차</t>
        </is>
      </c>
      <c r="C1072" t="inlineStr">
        <is>
          <t>EP</t>
        </is>
      </c>
      <c r="D1072" s="28" t="n">
        <v>46073</v>
      </c>
      <c r="E1072" t="inlineStr">
        <is>
          <t>현대EP_fast</t>
        </is>
      </c>
      <c r="F1072" t="inlineStr">
        <is>
          <t>이재복</t>
        </is>
      </c>
      <c r="G1072" t="inlineStr">
        <is>
          <t>010-4947-4144</t>
        </is>
      </c>
      <c r="H1072" t="inlineStr">
        <is>
          <t>61너4439</t>
        </is>
      </c>
      <c r="I1072" t="n">
        <v>-22600000</v>
      </c>
      <c r="J1072" t="n">
        <v>0.099</v>
      </c>
      <c r="K1072" t="n">
        <v>1.76</v>
      </c>
      <c r="L1072" t="n">
        <v>0.14</v>
      </c>
      <c r="M1072" t="n">
        <v>1.62</v>
      </c>
      <c r="P1072" t="inlineStr">
        <is>
          <t>정세빈</t>
        </is>
      </c>
      <c r="Q1072" t="inlineStr">
        <is>
          <t>홈서비스 60개월</t>
        </is>
      </c>
      <c r="AB1072" t="inlineStr">
        <is>
          <t>홈서비스</t>
        </is>
      </c>
      <c r="AC1072" t="n">
        <v>-397760</v>
      </c>
      <c r="AD1072" t="n">
        <v>-31640</v>
      </c>
      <c r="AE1072" t="n">
        <v>-366120</v>
      </c>
      <c r="AF1072" t="n">
        <v>-361600</v>
      </c>
      <c r="AG1072" t="n">
        <v>-31640</v>
      </c>
      <c r="AH1072" t="n">
        <v>-329960</v>
      </c>
      <c r="AI1072" t="n">
        <v>0</v>
      </c>
    </row>
    <row r="1073">
      <c r="A1073" t="inlineStr">
        <is>
          <t>2월</t>
        </is>
      </c>
      <c r="B1073" t="inlineStr">
        <is>
          <t>8주차</t>
        </is>
      </c>
      <c r="C1073" t="inlineStr">
        <is>
          <t>EP</t>
        </is>
      </c>
      <c r="D1073" s="28" t="n">
        <v>46073</v>
      </c>
      <c r="E1073" t="inlineStr">
        <is>
          <t>현대EP_fast</t>
        </is>
      </c>
      <c r="F1073" t="inlineStr">
        <is>
          <t>도성수</t>
        </is>
      </c>
      <c r="G1073" t="inlineStr">
        <is>
          <t>010-6558-3030</t>
        </is>
      </c>
      <c r="H1073" t="inlineStr">
        <is>
          <t>328다4961</t>
        </is>
      </c>
      <c r="I1073" t="n">
        <v>-20000000</v>
      </c>
      <c r="J1073" t="n">
        <v>0.068</v>
      </c>
      <c r="K1073" t="n">
        <v>1.76</v>
      </c>
      <c r="L1073" t="n">
        <v>0.4</v>
      </c>
      <c r="M1073" t="n">
        <v>1.36</v>
      </c>
      <c r="P1073" t="inlineStr">
        <is>
          <t>최형주</t>
        </is>
      </c>
      <c r="AB1073" t="inlineStr">
        <is>
          <t>엔카</t>
        </is>
      </c>
      <c r="AC1073" t="n">
        <v>-352000</v>
      </c>
      <c r="AD1073" t="n">
        <v>-80000</v>
      </c>
      <c r="AE1073" t="n">
        <v>-272000</v>
      </c>
      <c r="AF1073" t="n">
        <v>-320000</v>
      </c>
      <c r="AG1073" t="n">
        <v>-80000</v>
      </c>
      <c r="AH1073" t="n">
        <v>-240000</v>
      </c>
    </row>
    <row r="1074">
      <c r="A1074" t="inlineStr">
        <is>
          <t>2월</t>
        </is>
      </c>
      <c r="B1074" t="inlineStr">
        <is>
          <t>9주차</t>
        </is>
      </c>
      <c r="C1074" t="inlineStr">
        <is>
          <t>EP</t>
        </is>
      </c>
      <c r="D1074" s="28" t="n">
        <v>46076</v>
      </c>
      <c r="E1074" t="inlineStr">
        <is>
          <t>현대EP</t>
        </is>
      </c>
      <c r="F1074" t="inlineStr">
        <is>
          <t>조용환</t>
        </is>
      </c>
      <c r="G1074" t="inlineStr">
        <is>
          <t>010-5392-2011</t>
        </is>
      </c>
      <c r="H1074" t="inlineStr">
        <is>
          <t>332가4959</t>
        </is>
      </c>
      <c r="I1074" t="n">
        <v>14500000</v>
      </c>
      <c r="J1074" t="n">
        <v>0.059</v>
      </c>
      <c r="K1074" t="n">
        <v>1.76</v>
      </c>
      <c r="L1074" t="n">
        <v>0.14</v>
      </c>
      <c r="M1074" t="n">
        <v>1.62</v>
      </c>
      <c r="P1074" t="inlineStr">
        <is>
          <t>김수연</t>
        </is>
      </c>
      <c r="Q1074" t="inlineStr">
        <is>
          <t>홈서비스 60개월</t>
        </is>
      </c>
      <c r="AB1074" t="inlineStr">
        <is>
          <t>홈서비스</t>
        </is>
      </c>
      <c r="AC1074" t="n">
        <v>255200</v>
      </c>
      <c r="AD1074" t="n">
        <v>20300</v>
      </c>
      <c r="AE1074" t="n">
        <v>234900</v>
      </c>
      <c r="AF1074" t="n">
        <v>232000</v>
      </c>
      <c r="AG1074" t="n">
        <v>20300</v>
      </c>
      <c r="AH1074" t="n">
        <v>211700</v>
      </c>
      <c r="AI1074" t="n">
        <v>0</v>
      </c>
    </row>
    <row r="1075">
      <c r="A1075" t="inlineStr">
        <is>
          <t>2월</t>
        </is>
      </c>
      <c r="B1075" t="inlineStr">
        <is>
          <t>6주차</t>
        </is>
      </c>
      <c r="C1075" t="inlineStr">
        <is>
          <t>OR</t>
        </is>
      </c>
      <c r="D1075" s="28" t="n">
        <v>46058</v>
      </c>
      <c r="E1075" t="inlineStr">
        <is>
          <t>오릭스</t>
        </is>
      </c>
      <c r="F1075" t="inlineStr">
        <is>
          <t>최동훈</t>
        </is>
      </c>
      <c r="G1075" t="inlineStr">
        <is>
          <t>010-9902-9358</t>
        </is>
      </c>
      <c r="H1075" t="inlineStr">
        <is>
          <t>08저4330</t>
        </is>
      </c>
      <c r="I1075" t="n">
        <v>12300000</v>
      </c>
      <c r="J1075" t="n">
        <v>0.064</v>
      </c>
      <c r="K1075" t="n">
        <v>1.65</v>
      </c>
      <c r="L1075" t="n">
        <v>0.4</v>
      </c>
      <c r="M1075" t="n">
        <v>1.25</v>
      </c>
      <c r="P1075" t="inlineStr">
        <is>
          <t>정하은</t>
        </is>
      </c>
      <c r="Q1075" t="inlineStr">
        <is>
          <t>오토론진행</t>
        </is>
      </c>
      <c r="AB1075" t="inlineStr">
        <is>
          <t>엔카</t>
        </is>
      </c>
      <c r="AC1075" t="n">
        <v>202950</v>
      </c>
      <c r="AD1075" t="n">
        <v>49200</v>
      </c>
      <c r="AE1075" t="n">
        <v>153750</v>
      </c>
      <c r="AF1075" t="n">
        <v>184500</v>
      </c>
      <c r="AG1075" t="n">
        <v>49200</v>
      </c>
      <c r="AH1075" t="n">
        <v>135300</v>
      </c>
    </row>
    <row r="1076">
      <c r="A1076" t="inlineStr">
        <is>
          <t>2월</t>
        </is>
      </c>
      <c r="B1076" t="inlineStr">
        <is>
          <t>6주차</t>
        </is>
      </c>
      <c r="C1076" t="inlineStr">
        <is>
          <t>IM</t>
        </is>
      </c>
      <c r="D1076" s="28" t="n">
        <v>46058</v>
      </c>
      <c r="E1076" t="inlineStr">
        <is>
          <t>IM캐피탈</t>
        </is>
      </c>
      <c r="F1076" t="inlineStr">
        <is>
          <t>박준영</t>
        </is>
      </c>
      <c r="G1076" t="inlineStr">
        <is>
          <t>010-6220-9220</t>
        </is>
      </c>
      <c r="H1076" t="inlineStr">
        <is>
          <t>17도1293</t>
        </is>
      </c>
      <c r="I1076" t="n">
        <v>25000000</v>
      </c>
      <c r="J1076" t="n">
        <v>0.056</v>
      </c>
      <c r="K1076" t="n">
        <v>1.1</v>
      </c>
      <c r="L1076" t="n">
        <v>0.4</v>
      </c>
      <c r="M1076" t="n">
        <v>0.7</v>
      </c>
      <c r="P1076" t="inlineStr">
        <is>
          <t>장진경</t>
        </is>
      </c>
      <c r="Q1076" t="inlineStr">
        <is>
          <t>부대비용 추가진행</t>
        </is>
      </c>
      <c r="AB1076" t="inlineStr">
        <is>
          <t>엔카</t>
        </is>
      </c>
      <c r="AC1076" t="n">
        <v>275000</v>
      </c>
      <c r="AD1076" t="n">
        <v>100000</v>
      </c>
      <c r="AE1076" t="n">
        <v>175000</v>
      </c>
      <c r="AF1076" t="n">
        <v>250000</v>
      </c>
      <c r="AG1076" t="n">
        <v>100000</v>
      </c>
      <c r="AH1076" t="n">
        <v>150000</v>
      </c>
      <c r="AI1076" t="n">
        <v>0</v>
      </c>
    </row>
    <row r="1077">
      <c r="A1077" t="inlineStr">
        <is>
          <t>2월</t>
        </is>
      </c>
      <c r="B1077" t="inlineStr">
        <is>
          <t>9주차</t>
        </is>
      </c>
      <c r="C1077" t="inlineStr">
        <is>
          <t>EP</t>
        </is>
      </c>
      <c r="D1077" s="28" t="n">
        <v>46077</v>
      </c>
      <c r="E1077" t="inlineStr">
        <is>
          <t>현대EP_fast</t>
        </is>
      </c>
      <c r="F1077" t="inlineStr">
        <is>
          <t>송민상</t>
        </is>
      </c>
      <c r="G1077" t="inlineStr">
        <is>
          <t>010-5330-3513</t>
        </is>
      </c>
      <c r="H1077" t="inlineStr">
        <is>
          <t>09누1977</t>
        </is>
      </c>
      <c r="I1077" t="n">
        <v>50000000</v>
      </c>
      <c r="J1077" t="n">
        <v>0.064</v>
      </c>
      <c r="K1077" t="n">
        <v>1.76</v>
      </c>
      <c r="L1077" t="n">
        <v>0.14</v>
      </c>
      <c r="M1077" t="n">
        <v>1.62</v>
      </c>
      <c r="P1077" t="inlineStr">
        <is>
          <t>최형주</t>
        </is>
      </c>
      <c r="Q1077" t="inlineStr">
        <is>
          <t>홈서비스 60개월 / 금리인하 0.5% 적용건 ( 6.9&gt; 6.4 ) /*차량번호변경건/ 변경전 차량번호01호4773</t>
        </is>
      </c>
      <c r="AB1077" t="inlineStr">
        <is>
          <t>홈서비스</t>
        </is>
      </c>
      <c r="AC1077" t="n">
        <v>880000</v>
      </c>
      <c r="AD1077" t="n">
        <v>70000</v>
      </c>
      <c r="AE1077" t="n">
        <v>810000</v>
      </c>
      <c r="AF1077" t="n">
        <v>800000</v>
      </c>
      <c r="AG1077" t="n">
        <v>70000</v>
      </c>
      <c r="AH1077" t="n">
        <v>730000</v>
      </c>
      <c r="AI1077" t="n">
        <v>0</v>
      </c>
    </row>
    <row r="1078">
      <c r="A1078" t="inlineStr">
        <is>
          <t>2월</t>
        </is>
      </c>
      <c r="B1078" t="inlineStr">
        <is>
          <t>6주차</t>
        </is>
      </c>
      <c r="C1078" t="inlineStr">
        <is>
          <t>EP</t>
        </is>
      </c>
      <c r="D1078" s="28" t="n">
        <v>46058</v>
      </c>
      <c r="E1078" t="inlineStr">
        <is>
          <t>현대EP</t>
        </is>
      </c>
      <c r="F1078" t="inlineStr">
        <is>
          <t>진승종</t>
        </is>
      </c>
      <c r="G1078" t="inlineStr">
        <is>
          <t>010-8877-1443</t>
        </is>
      </c>
      <c r="H1078" t="inlineStr">
        <is>
          <t>54우7013</t>
        </is>
      </c>
      <c r="I1078" t="n">
        <v>4600000</v>
      </c>
      <c r="J1078" t="n">
        <v>0.097</v>
      </c>
      <c r="K1078" t="n">
        <v>1.76</v>
      </c>
      <c r="L1078" t="n">
        <v>0.14</v>
      </c>
      <c r="M1078" t="n">
        <v>1.62</v>
      </c>
      <c r="P1078" t="inlineStr">
        <is>
          <t>정세빈</t>
        </is>
      </c>
      <c r="Q1078" t="inlineStr">
        <is>
          <t>홈서비스 36개월</t>
        </is>
      </c>
      <c r="AB1078" t="inlineStr">
        <is>
          <t>홈서비스</t>
        </is>
      </c>
      <c r="AC1078" t="n">
        <v>80960</v>
      </c>
      <c r="AD1078" t="n">
        <v>6440</v>
      </c>
      <c r="AE1078" t="n">
        <v>74520</v>
      </c>
      <c r="AF1078" t="n">
        <v>73600</v>
      </c>
      <c r="AG1078" t="n">
        <v>6440</v>
      </c>
      <c r="AH1078" t="n">
        <v>67160</v>
      </c>
    </row>
    <row r="1079">
      <c r="A1079" t="inlineStr">
        <is>
          <t>2월</t>
        </is>
      </c>
      <c r="B1079" t="inlineStr">
        <is>
          <t>6주차</t>
        </is>
      </c>
      <c r="C1079" t="inlineStr">
        <is>
          <t>IM</t>
        </is>
      </c>
      <c r="D1079" s="28" t="n">
        <v>46058</v>
      </c>
      <c r="E1079" t="inlineStr">
        <is>
          <t>IM캐피탈</t>
        </is>
      </c>
      <c r="F1079" t="inlineStr">
        <is>
          <t>홍원기</t>
        </is>
      </c>
      <c r="G1079" t="inlineStr">
        <is>
          <t>010-2610-3509</t>
        </is>
      </c>
      <c r="H1079" t="inlineStr">
        <is>
          <t>294무6241</t>
        </is>
      </c>
      <c r="I1079" t="n">
        <v>35600000</v>
      </c>
      <c r="J1079" t="n">
        <v>0.099</v>
      </c>
      <c r="K1079" t="n">
        <v>1.1</v>
      </c>
      <c r="L1079" t="n">
        <v>0.4</v>
      </c>
      <c r="M1079" t="n">
        <v>0.7</v>
      </c>
      <c r="P1079" t="inlineStr">
        <is>
          <t>정하은</t>
        </is>
      </c>
      <c r="Q1079" t="inlineStr">
        <is>
          <t>오토론진행</t>
        </is>
      </c>
      <c r="AB1079" t="inlineStr">
        <is>
          <t>엔카</t>
        </is>
      </c>
      <c r="AC1079" t="n">
        <v>391600</v>
      </c>
      <c r="AD1079" t="n">
        <v>142400</v>
      </c>
      <c r="AE1079" t="n">
        <v>249200</v>
      </c>
      <c r="AF1079" t="n">
        <v>356000</v>
      </c>
      <c r="AG1079" t="n">
        <v>142400</v>
      </c>
      <c r="AH1079" t="n">
        <v>213600</v>
      </c>
      <c r="AI1079" t="n">
        <v>0</v>
      </c>
    </row>
    <row r="1080">
      <c r="A1080" t="inlineStr">
        <is>
          <t>2월</t>
        </is>
      </c>
      <c r="B1080" t="inlineStr">
        <is>
          <t>6주차</t>
        </is>
      </c>
      <c r="C1080" t="inlineStr">
        <is>
          <t>OR</t>
        </is>
      </c>
      <c r="D1080" s="28" t="n">
        <v>46057</v>
      </c>
      <c r="E1080" t="inlineStr">
        <is>
          <t>오릭스</t>
        </is>
      </c>
      <c r="F1080" t="inlineStr">
        <is>
          <t>조상익</t>
        </is>
      </c>
      <c r="G1080" t="inlineStr">
        <is>
          <t>010-8755-8797</t>
        </is>
      </c>
      <c r="H1080" t="inlineStr">
        <is>
          <t>134고5796</t>
        </is>
      </c>
      <c r="I1080" t="n">
        <v>15500000</v>
      </c>
      <c r="J1080" t="n">
        <v>0.07199999999999999</v>
      </c>
      <c r="K1080" t="n">
        <v>1.65</v>
      </c>
      <c r="L1080" t="n">
        <v>0.14</v>
      </c>
      <c r="M1080" t="n">
        <v>1.51</v>
      </c>
      <c r="P1080" t="inlineStr">
        <is>
          <t>장현경</t>
        </is>
      </c>
      <c r="Q1080" t="inlineStr">
        <is>
          <t>선상담 / 홈서비스 60개월</t>
        </is>
      </c>
      <c r="AB1080" t="inlineStr">
        <is>
          <t>홈서비스</t>
        </is>
      </c>
      <c r="AC1080" t="n">
        <v>255750</v>
      </c>
      <c r="AD1080" t="n">
        <v>21700</v>
      </c>
      <c r="AE1080" t="n">
        <v>234050</v>
      </c>
      <c r="AF1080" t="n">
        <v>232500</v>
      </c>
      <c r="AG1080" t="n">
        <v>21700</v>
      </c>
      <c r="AH1080" t="n">
        <v>210800</v>
      </c>
      <c r="AI1080" t="n">
        <v>0</v>
      </c>
    </row>
    <row r="1081">
      <c r="A1081" t="inlineStr">
        <is>
          <t>2월</t>
        </is>
      </c>
      <c r="B1081" t="inlineStr">
        <is>
          <t>6주차</t>
        </is>
      </c>
      <c r="C1081" t="inlineStr">
        <is>
          <t>EP</t>
        </is>
      </c>
      <c r="D1081" s="28" t="n">
        <v>46058</v>
      </c>
      <c r="E1081" t="inlineStr">
        <is>
          <t>현대EP_fast</t>
        </is>
      </c>
      <c r="F1081" t="inlineStr">
        <is>
          <t>홍승우</t>
        </is>
      </c>
      <c r="G1081" t="inlineStr">
        <is>
          <t>010-5018-2678</t>
        </is>
      </c>
      <c r="H1081" t="inlineStr">
        <is>
          <t>83부4006</t>
        </is>
      </c>
      <c r="I1081" t="n">
        <v>31800000</v>
      </c>
      <c r="J1081" t="n">
        <v>0.099</v>
      </c>
      <c r="K1081" t="n">
        <v>1.76</v>
      </c>
      <c r="L1081" t="n">
        <v>0.14</v>
      </c>
      <c r="M1081" t="n">
        <v>1.62</v>
      </c>
      <c r="P1081" t="inlineStr">
        <is>
          <t>정광호</t>
        </is>
      </c>
      <c r="Q1081" t="inlineStr">
        <is>
          <t>홈서비스 24개월</t>
        </is>
      </c>
      <c r="AB1081" t="inlineStr">
        <is>
          <t>홈서비스</t>
        </is>
      </c>
      <c r="AC1081" t="n">
        <v>559680</v>
      </c>
      <c r="AD1081" t="n">
        <v>44520</v>
      </c>
      <c r="AE1081" t="n">
        <v>515160</v>
      </c>
      <c r="AF1081" t="n">
        <v>508800</v>
      </c>
      <c r="AG1081" t="n">
        <v>44520</v>
      </c>
      <c r="AH1081" t="n">
        <v>464280</v>
      </c>
      <c r="AI1081" t="n">
        <v>0</v>
      </c>
    </row>
    <row r="1082">
      <c r="A1082" t="inlineStr">
        <is>
          <t>2월</t>
        </is>
      </c>
      <c r="B1082" t="inlineStr">
        <is>
          <t>6주차</t>
        </is>
      </c>
      <c r="C1082" t="inlineStr">
        <is>
          <t>IM</t>
        </is>
      </c>
      <c r="D1082" s="28" t="n">
        <v>46057</v>
      </c>
      <c r="E1082" t="inlineStr">
        <is>
          <t>IM캐피탈</t>
        </is>
      </c>
      <c r="F1082" t="inlineStr">
        <is>
          <t>배명진</t>
        </is>
      </c>
      <c r="G1082" t="inlineStr">
        <is>
          <t>010-4197-9226</t>
        </is>
      </c>
      <c r="H1082" t="inlineStr">
        <is>
          <t>123가5888</t>
        </is>
      </c>
      <c r="I1082" t="n">
        <v>68000000</v>
      </c>
      <c r="J1082" t="n">
        <v>0.039</v>
      </c>
      <c r="K1082" t="n">
        <v>1.1</v>
      </c>
      <c r="L1082" t="n">
        <v>0.4</v>
      </c>
      <c r="M1082" t="n">
        <v>0.7</v>
      </c>
      <c r="P1082" t="inlineStr">
        <is>
          <t>최혁</t>
        </is>
      </c>
      <c r="Q1082" t="inlineStr">
        <is>
          <t>론진행</t>
        </is>
      </c>
      <c r="AB1082" t="inlineStr">
        <is>
          <t>엔카</t>
        </is>
      </c>
      <c r="AC1082" t="n">
        <v>748000</v>
      </c>
      <c r="AD1082" t="n">
        <v>272000</v>
      </c>
      <c r="AE1082" t="n">
        <v>476000</v>
      </c>
      <c r="AF1082" t="n">
        <v>680000</v>
      </c>
      <c r="AG1082" t="n">
        <v>272000</v>
      </c>
      <c r="AH1082" t="n">
        <v>408000</v>
      </c>
    </row>
    <row r="1083">
      <c r="A1083" t="inlineStr">
        <is>
          <t>2월</t>
        </is>
      </c>
      <c r="B1083" t="inlineStr">
        <is>
          <t>8주차</t>
        </is>
      </c>
      <c r="C1083" t="inlineStr">
        <is>
          <t>EP</t>
        </is>
      </c>
      <c r="D1083" s="28" t="n">
        <v>46073</v>
      </c>
      <c r="E1083" t="inlineStr">
        <is>
          <t>현대EP_fast</t>
        </is>
      </c>
      <c r="F1083" t="inlineStr">
        <is>
          <t>정현선</t>
        </is>
      </c>
      <c r="G1083" t="inlineStr">
        <is>
          <t>010-5579-6021</t>
        </is>
      </c>
      <c r="H1083" t="inlineStr">
        <is>
          <t>149오2374</t>
        </is>
      </c>
      <c r="I1083" t="n">
        <v>15900000</v>
      </c>
      <c r="J1083" t="n">
        <v>0.073</v>
      </c>
      <c r="K1083" t="n">
        <v>1.76</v>
      </c>
      <c r="L1083" t="n">
        <v>0.14</v>
      </c>
      <c r="M1083" t="n">
        <v>1.62</v>
      </c>
      <c r="P1083" t="inlineStr">
        <is>
          <t>정광호</t>
        </is>
      </c>
      <c r="Q1083" t="inlineStr">
        <is>
          <t>홈서비스 60개월</t>
        </is>
      </c>
      <c r="AB1083" t="inlineStr">
        <is>
          <t>홈서비스</t>
        </is>
      </c>
      <c r="AC1083" t="n">
        <v>279840</v>
      </c>
      <c r="AD1083" t="n">
        <v>22260</v>
      </c>
      <c r="AE1083" t="n">
        <v>257580</v>
      </c>
      <c r="AF1083" t="n">
        <v>254400</v>
      </c>
      <c r="AG1083" t="n">
        <v>22260</v>
      </c>
      <c r="AH1083" t="n">
        <v>232140</v>
      </c>
    </row>
    <row r="1084">
      <c r="A1084" t="inlineStr">
        <is>
          <t>2월</t>
        </is>
      </c>
      <c r="B1084" t="inlineStr">
        <is>
          <t>9주차</t>
        </is>
      </c>
      <c r="C1084" t="inlineStr">
        <is>
          <t>EP</t>
        </is>
      </c>
      <c r="D1084" s="28" t="n">
        <v>46077</v>
      </c>
      <c r="E1084" t="inlineStr">
        <is>
          <t>현대EP_fast</t>
        </is>
      </c>
      <c r="F1084" t="inlineStr">
        <is>
          <t>양영호</t>
        </is>
      </c>
      <c r="G1084" t="inlineStr">
        <is>
          <t>010-4933-3363</t>
        </is>
      </c>
      <c r="H1084" t="inlineStr">
        <is>
          <t>300버2873</t>
        </is>
      </c>
      <c r="I1084" t="n">
        <v>7000000</v>
      </c>
      <c r="J1084" t="n">
        <v>0.068</v>
      </c>
      <c r="K1084" t="n">
        <v>1.76</v>
      </c>
      <c r="L1084" t="n">
        <v>0.14</v>
      </c>
      <c r="M1084" t="n">
        <v>1.62</v>
      </c>
      <c r="P1084" t="inlineStr">
        <is>
          <t>최형주</t>
        </is>
      </c>
      <c r="Q1084" t="inlineStr">
        <is>
          <t>홈서비스 24개월</t>
        </is>
      </c>
      <c r="AB1084" t="inlineStr">
        <is>
          <t>홈서비스</t>
        </is>
      </c>
      <c r="AC1084" t="n">
        <v>123200</v>
      </c>
      <c r="AD1084" t="n">
        <v>9800</v>
      </c>
      <c r="AE1084" t="n">
        <v>113400</v>
      </c>
      <c r="AF1084" t="n">
        <v>112000</v>
      </c>
      <c r="AG1084" t="n">
        <v>9800</v>
      </c>
      <c r="AH1084" t="n">
        <v>102200</v>
      </c>
      <c r="AI1084" t="n">
        <v>0</v>
      </c>
    </row>
    <row r="1085">
      <c r="A1085" t="inlineStr">
        <is>
          <t>2월</t>
        </is>
      </c>
      <c r="B1085" t="inlineStr">
        <is>
          <t>6주차</t>
        </is>
      </c>
      <c r="C1085" t="inlineStr">
        <is>
          <t>EP</t>
        </is>
      </c>
      <c r="D1085" s="28" t="n">
        <v>46058</v>
      </c>
      <c r="E1085" t="inlineStr">
        <is>
          <t>제이비EP</t>
        </is>
      </c>
      <c r="F1085" t="inlineStr">
        <is>
          <t>이용석</t>
        </is>
      </c>
      <c r="G1085" t="inlineStr">
        <is>
          <t>010-8725-6546</t>
        </is>
      </c>
      <c r="H1085" t="inlineStr">
        <is>
          <t>92무4125</t>
        </is>
      </c>
      <c r="I1085" t="n">
        <v>22900000</v>
      </c>
      <c r="J1085" t="n">
        <v>0.08599999999999999</v>
      </c>
      <c r="K1085" t="n">
        <v>1.65</v>
      </c>
      <c r="L1085" t="n">
        <v>0.4</v>
      </c>
      <c r="M1085" t="n">
        <v>1.25</v>
      </c>
      <c r="P1085" t="inlineStr">
        <is>
          <t>박보람</t>
        </is>
      </c>
      <c r="AB1085" t="inlineStr">
        <is>
          <t>엔카</t>
        </is>
      </c>
      <c r="AC1085" t="n">
        <v>377850</v>
      </c>
      <c r="AD1085" t="n">
        <v>91600</v>
      </c>
      <c r="AE1085" t="n">
        <v>286250</v>
      </c>
      <c r="AF1085" t="n">
        <v>343500</v>
      </c>
      <c r="AG1085" t="n">
        <v>91600</v>
      </c>
      <c r="AH1085" t="n">
        <v>251900</v>
      </c>
      <c r="AI1085" t="n">
        <v>0</v>
      </c>
    </row>
    <row r="1086">
      <c r="A1086" t="inlineStr">
        <is>
          <t>2월</t>
        </is>
      </c>
      <c r="B1086" t="inlineStr">
        <is>
          <t>6주차</t>
        </is>
      </c>
      <c r="C1086" t="inlineStr">
        <is>
          <t>IM</t>
        </is>
      </c>
      <c r="D1086" s="28" t="n">
        <v>46056</v>
      </c>
      <c r="E1086" t="inlineStr">
        <is>
          <t>IM캐피탈</t>
        </is>
      </c>
      <c r="F1086" t="inlineStr">
        <is>
          <t>지명환</t>
        </is>
      </c>
      <c r="G1086" t="inlineStr">
        <is>
          <t>010-6290-5019</t>
        </is>
      </c>
      <c r="H1086" t="inlineStr">
        <is>
          <t>255구7025</t>
        </is>
      </c>
      <c r="I1086" t="n">
        <v>20000000</v>
      </c>
      <c r="J1086" t="n">
        <v>0.059</v>
      </c>
      <c r="K1086" t="n">
        <v>1.1</v>
      </c>
      <c r="L1086" t="n">
        <v>0.14</v>
      </c>
      <c r="M1086" t="n">
        <v>0.96</v>
      </c>
      <c r="P1086" t="inlineStr">
        <is>
          <t>구성완</t>
        </is>
      </c>
      <c r="Q1086" t="inlineStr">
        <is>
          <t>안심거래존건</t>
        </is>
      </c>
      <c r="AB1086" t="inlineStr">
        <is>
          <t>믿고</t>
        </is>
      </c>
      <c r="AC1086" t="n">
        <v>220000</v>
      </c>
      <c r="AD1086" t="n">
        <v>28000</v>
      </c>
      <c r="AE1086" t="n">
        <v>192000</v>
      </c>
      <c r="AF1086" t="n">
        <v>200000</v>
      </c>
      <c r="AG1086" t="n">
        <v>28000</v>
      </c>
      <c r="AH1086" t="n">
        <v>172000</v>
      </c>
      <c r="AI1086" t="n">
        <v>0</v>
      </c>
    </row>
    <row r="1087">
      <c r="A1087" t="inlineStr">
        <is>
          <t>2월</t>
        </is>
      </c>
      <c r="B1087" t="inlineStr">
        <is>
          <t>9주차</t>
        </is>
      </c>
      <c r="C1087" t="inlineStr">
        <is>
          <t>EP</t>
        </is>
      </c>
      <c r="D1087" s="28" t="n">
        <v>46077</v>
      </c>
      <c r="E1087" t="inlineStr">
        <is>
          <t>현대EP_fast</t>
        </is>
      </c>
      <c r="F1087" t="inlineStr">
        <is>
          <t>고은주</t>
        </is>
      </c>
      <c r="G1087" t="inlineStr">
        <is>
          <t>010-5054-6375</t>
        </is>
      </c>
      <c r="H1087" t="inlineStr">
        <is>
          <t>325누7428</t>
        </is>
      </c>
      <c r="I1087" t="n">
        <v>5000000</v>
      </c>
      <c r="J1087" t="n">
        <v>0.068</v>
      </c>
      <c r="K1087" t="n">
        <v>1.76</v>
      </c>
      <c r="L1087" t="n">
        <v>0.14</v>
      </c>
      <c r="M1087" t="n">
        <v>1.62</v>
      </c>
      <c r="P1087" t="inlineStr">
        <is>
          <t>최형주</t>
        </is>
      </c>
      <c r="Q1087" t="inlineStr">
        <is>
          <t>홈서비스 24개월</t>
        </is>
      </c>
      <c r="AB1087" t="inlineStr">
        <is>
          <t>홈서비스</t>
        </is>
      </c>
      <c r="AC1087" t="n">
        <v>88000</v>
      </c>
      <c r="AD1087" t="n">
        <v>7000</v>
      </c>
      <c r="AE1087" t="n">
        <v>81000</v>
      </c>
      <c r="AF1087" t="n">
        <v>80000</v>
      </c>
      <c r="AG1087" t="n">
        <v>7000</v>
      </c>
      <c r="AH1087" t="n">
        <v>73000</v>
      </c>
    </row>
    <row r="1088">
      <c r="A1088" t="inlineStr">
        <is>
          <t>2월</t>
        </is>
      </c>
      <c r="B1088" t="inlineStr">
        <is>
          <t>6주차</t>
        </is>
      </c>
      <c r="C1088" t="inlineStr">
        <is>
          <t>EP</t>
        </is>
      </c>
      <c r="D1088" s="28" t="n">
        <v>46058</v>
      </c>
      <c r="E1088" t="inlineStr">
        <is>
          <t>현대EP_fast</t>
        </is>
      </c>
      <c r="F1088" t="inlineStr">
        <is>
          <t>이용</t>
        </is>
      </c>
      <c r="G1088" t="n">
        <v>1064430308</v>
      </c>
      <c r="H1088" t="inlineStr">
        <is>
          <t>174주4133</t>
        </is>
      </c>
      <c r="I1088" t="n">
        <v>-8800000</v>
      </c>
      <c r="J1088" t="n">
        <v>0.111</v>
      </c>
      <c r="K1088" t="n">
        <v>1.76</v>
      </c>
      <c r="L1088" t="n">
        <v>0.14</v>
      </c>
      <c r="M1088" t="n">
        <v>1.62</v>
      </c>
      <c r="P1088" t="inlineStr">
        <is>
          <t>김나윤</t>
        </is>
      </c>
      <c r="Q1088" t="inlineStr">
        <is>
          <t>홈서비스 36개월</t>
        </is>
      </c>
      <c r="AB1088" t="inlineStr">
        <is>
          <t>홈서비스</t>
        </is>
      </c>
      <c r="AC1088" t="n">
        <v>-154880</v>
      </c>
      <c r="AD1088" t="n">
        <v>-12320</v>
      </c>
      <c r="AE1088" t="n">
        <v>-142560</v>
      </c>
      <c r="AF1088" t="n">
        <v>-140800</v>
      </c>
      <c r="AG1088" t="n">
        <v>-12320</v>
      </c>
      <c r="AH1088" t="n">
        <v>-128480</v>
      </c>
      <c r="AI1088" t="n">
        <v>1</v>
      </c>
    </row>
    <row r="1089">
      <c r="A1089" t="inlineStr">
        <is>
          <t>2월</t>
        </is>
      </c>
      <c r="B1089" t="inlineStr">
        <is>
          <t>9주차</t>
        </is>
      </c>
      <c r="C1089" t="inlineStr">
        <is>
          <t>EP</t>
        </is>
      </c>
      <c r="D1089" s="28" t="n">
        <v>46077</v>
      </c>
      <c r="E1089" t="inlineStr">
        <is>
          <t>현대EP_fast</t>
        </is>
      </c>
      <c r="F1089" t="inlineStr">
        <is>
          <t>문지환</t>
        </is>
      </c>
      <c r="G1089" t="inlineStr">
        <is>
          <t>010-9211-1958</t>
        </is>
      </c>
      <c r="H1089" t="inlineStr">
        <is>
          <t>20조2590</t>
        </is>
      </c>
      <c r="I1089" t="n">
        <v>11900000</v>
      </c>
      <c r="J1089" t="n">
        <v>0.102</v>
      </c>
      <c r="K1089" t="n">
        <v>1.76</v>
      </c>
      <c r="L1089" t="n">
        <v>0.14</v>
      </c>
      <c r="M1089" t="n">
        <v>1.62</v>
      </c>
      <c r="P1089" t="inlineStr">
        <is>
          <t>김나윤</t>
        </is>
      </c>
      <c r="Q1089" t="inlineStr">
        <is>
          <t>홈서비스 60개월</t>
        </is>
      </c>
      <c r="AB1089" t="inlineStr">
        <is>
          <t>홈서비스</t>
        </is>
      </c>
      <c r="AC1089" t="n">
        <v>209440</v>
      </c>
      <c r="AD1089" t="n">
        <v>16660</v>
      </c>
      <c r="AE1089" t="n">
        <v>192780</v>
      </c>
      <c r="AF1089" t="n">
        <v>190400</v>
      </c>
      <c r="AG1089" t="n">
        <v>16660</v>
      </c>
      <c r="AH1089" t="n">
        <v>173740</v>
      </c>
      <c r="AI1089" t="n">
        <v>1</v>
      </c>
    </row>
    <row r="1090">
      <c r="A1090" t="inlineStr">
        <is>
          <t>2월</t>
        </is>
      </c>
      <c r="B1090" t="inlineStr">
        <is>
          <t>9주차</t>
        </is>
      </c>
      <c r="C1090" t="inlineStr">
        <is>
          <t>EP</t>
        </is>
      </c>
      <c r="D1090" s="28" t="n">
        <v>46077</v>
      </c>
      <c r="E1090" t="inlineStr">
        <is>
          <t>현대EP_fast</t>
        </is>
      </c>
      <c r="F1090" t="inlineStr">
        <is>
          <t>백승진</t>
        </is>
      </c>
      <c r="G1090" t="inlineStr">
        <is>
          <t>010-3942-5902</t>
        </is>
      </c>
      <c r="H1090" t="inlineStr">
        <is>
          <t xml:space="preserve"> 320보3206</t>
        </is>
      </c>
      <c r="I1090" t="n">
        <v>-18200000</v>
      </c>
      <c r="J1090" t="n">
        <v>0.08699999999999999</v>
      </c>
      <c r="K1090" t="n">
        <v>1.76</v>
      </c>
      <c r="L1090" t="n">
        <v>0.14</v>
      </c>
      <c r="M1090" t="n">
        <v>1.62</v>
      </c>
      <c r="P1090" t="inlineStr">
        <is>
          <t>최형주</t>
        </is>
      </c>
      <c r="Q1090" t="inlineStr">
        <is>
          <t>홈서비스 60개월</t>
        </is>
      </c>
      <c r="AB1090" t="inlineStr">
        <is>
          <t>홈서비스</t>
        </is>
      </c>
      <c r="AC1090" t="n">
        <v>-320320</v>
      </c>
      <c r="AD1090" t="n">
        <v>-25480</v>
      </c>
      <c r="AE1090" t="n">
        <v>-294840</v>
      </c>
      <c r="AF1090" t="n">
        <v>-291200</v>
      </c>
      <c r="AG1090" t="n">
        <v>-25480</v>
      </c>
      <c r="AH1090" t="n">
        <v>-265720</v>
      </c>
      <c r="AI1090" t="n">
        <v>1</v>
      </c>
    </row>
    <row r="1091">
      <c r="A1091" t="inlineStr">
        <is>
          <t>2월</t>
        </is>
      </c>
      <c r="B1091" t="inlineStr">
        <is>
          <t>6주차</t>
        </is>
      </c>
      <c r="C1091" t="inlineStr">
        <is>
          <t>EP</t>
        </is>
      </c>
      <c r="D1091" s="28" t="n">
        <v>46059</v>
      </c>
      <c r="E1091" t="inlineStr">
        <is>
          <t>현대EP</t>
        </is>
      </c>
      <c r="F1091" t="inlineStr">
        <is>
          <t>안소라</t>
        </is>
      </c>
      <c r="G1091" t="inlineStr">
        <is>
          <t>010-9929-7216</t>
        </is>
      </c>
      <c r="H1091" t="inlineStr">
        <is>
          <t>270다7522</t>
        </is>
      </c>
      <c r="I1091" t="n">
        <v>37900000</v>
      </c>
      <c r="J1091" t="n">
        <v>0.067</v>
      </c>
      <c r="K1091" t="n">
        <v>1.76</v>
      </c>
      <c r="L1091" t="n">
        <v>0.14</v>
      </c>
      <c r="M1091" t="n">
        <v>1.62</v>
      </c>
      <c r="P1091" t="inlineStr">
        <is>
          <t>정세빈</t>
        </is>
      </c>
      <c r="Q1091" t="inlineStr">
        <is>
          <t>홈서비스 60개월</t>
        </is>
      </c>
      <c r="AB1091" t="inlineStr">
        <is>
          <t>홈서비스</t>
        </is>
      </c>
      <c r="AC1091" t="n">
        <v>667040</v>
      </c>
      <c r="AD1091" t="n">
        <v>53060</v>
      </c>
      <c r="AE1091" t="n">
        <v>613980</v>
      </c>
      <c r="AF1091" t="n">
        <v>606400</v>
      </c>
      <c r="AG1091" t="n">
        <v>53060</v>
      </c>
      <c r="AH1091" t="n">
        <v>553340</v>
      </c>
      <c r="AI1091" t="n">
        <v>1</v>
      </c>
    </row>
    <row r="1092">
      <c r="A1092" t="inlineStr">
        <is>
          <t>2월</t>
        </is>
      </c>
      <c r="B1092" t="inlineStr">
        <is>
          <t>6주차</t>
        </is>
      </c>
      <c r="C1092" t="inlineStr">
        <is>
          <t>OR</t>
        </is>
      </c>
      <c r="D1092" s="28" t="n">
        <v>46059</v>
      </c>
      <c r="E1092" t="inlineStr">
        <is>
          <t>오릭스</t>
        </is>
      </c>
      <c r="F1092" t="inlineStr">
        <is>
          <t>임채근</t>
        </is>
      </c>
      <c r="G1092" t="inlineStr">
        <is>
          <t>010-3379-8277</t>
        </is>
      </c>
      <c r="H1092" t="inlineStr">
        <is>
          <t>253루7470</t>
        </is>
      </c>
      <c r="I1092" t="n">
        <v>11900000</v>
      </c>
      <c r="J1092" t="n">
        <v>0.059</v>
      </c>
      <c r="K1092" t="n">
        <v>1.65</v>
      </c>
      <c r="L1092" t="n">
        <v>0.14</v>
      </c>
      <c r="M1092" t="n">
        <v>1.51</v>
      </c>
      <c r="P1092" t="inlineStr">
        <is>
          <t>정세빈</t>
        </is>
      </c>
      <c r="Q1092" t="inlineStr">
        <is>
          <t>홈서비스 60개월</t>
        </is>
      </c>
      <c r="AB1092" t="inlineStr">
        <is>
          <t>홈서비스</t>
        </is>
      </c>
      <c r="AC1092" t="n">
        <v>196350</v>
      </c>
      <c r="AD1092" t="n">
        <v>16660</v>
      </c>
      <c r="AE1092" t="n">
        <v>179690</v>
      </c>
      <c r="AF1092" t="n">
        <v>178500</v>
      </c>
      <c r="AG1092" t="n">
        <v>16660</v>
      </c>
      <c r="AH1092" t="n">
        <v>161840</v>
      </c>
    </row>
    <row r="1093">
      <c r="A1093" t="inlineStr">
        <is>
          <t>2월</t>
        </is>
      </c>
      <c r="B1093" t="inlineStr">
        <is>
          <t>9주차</t>
        </is>
      </c>
      <c r="C1093" t="inlineStr">
        <is>
          <t>EP</t>
        </is>
      </c>
      <c r="D1093" s="28" t="n">
        <v>46078</v>
      </c>
      <c r="E1093" t="inlineStr">
        <is>
          <t>현대EP</t>
        </is>
      </c>
      <c r="F1093" t="inlineStr">
        <is>
          <t>오준혁</t>
        </is>
      </c>
      <c r="G1093" t="inlineStr">
        <is>
          <t>010-5444-0718</t>
        </is>
      </c>
      <c r="H1093" t="inlineStr">
        <is>
          <t>61로3098</t>
        </is>
      </c>
      <c r="I1093" t="n">
        <v>30000000</v>
      </c>
      <c r="J1093" t="n">
        <v>0.068</v>
      </c>
      <c r="K1093" t="n">
        <v>1.76</v>
      </c>
      <c r="L1093" t="n">
        <v>0.14</v>
      </c>
      <c r="M1093" t="n">
        <v>1.62</v>
      </c>
      <c r="P1093" t="inlineStr">
        <is>
          <t>최형주</t>
        </is>
      </c>
      <c r="Q1093" t="inlineStr">
        <is>
          <t>홈서비스 60개월</t>
        </is>
      </c>
      <c r="AB1093" t="inlineStr">
        <is>
          <t>홈서비스</t>
        </is>
      </c>
      <c r="AC1093" t="n">
        <v>528000</v>
      </c>
      <c r="AD1093" t="n">
        <v>42000</v>
      </c>
      <c r="AE1093" t="n">
        <v>486000</v>
      </c>
      <c r="AF1093" t="n">
        <v>480000</v>
      </c>
      <c r="AG1093" t="n">
        <v>42000</v>
      </c>
      <c r="AH1093" t="n">
        <v>438000</v>
      </c>
      <c r="AI1093" t="n">
        <v>0</v>
      </c>
    </row>
    <row r="1094">
      <c r="A1094" t="inlineStr">
        <is>
          <t>2월</t>
        </is>
      </c>
      <c r="B1094" t="inlineStr">
        <is>
          <t>6주차</t>
        </is>
      </c>
      <c r="C1094" t="inlineStr">
        <is>
          <t>IM</t>
        </is>
      </c>
      <c r="D1094" s="28" t="n">
        <v>46059</v>
      </c>
      <c r="E1094" t="inlineStr">
        <is>
          <t>IM캐피탈</t>
        </is>
      </c>
      <c r="F1094" t="inlineStr">
        <is>
          <t>김종우</t>
        </is>
      </c>
      <c r="G1094" t="inlineStr">
        <is>
          <t>010-7167-8461</t>
        </is>
      </c>
      <c r="H1094" t="inlineStr">
        <is>
          <t>336저7691</t>
        </is>
      </c>
      <c r="I1094" t="n">
        <v>53700000</v>
      </c>
      <c r="J1094" t="n">
        <v>0.056</v>
      </c>
      <c r="K1094" t="n">
        <v>1.1</v>
      </c>
      <c r="L1094" t="n">
        <v>0.4</v>
      </c>
      <c r="M1094" t="n">
        <v>0.7</v>
      </c>
      <c r="P1094" t="inlineStr">
        <is>
          <t>정하은</t>
        </is>
      </c>
      <c r="Q1094" t="inlineStr">
        <is>
          <t>부대비용추가진행</t>
        </is>
      </c>
      <c r="AB1094" t="inlineStr">
        <is>
          <t>엔카</t>
        </is>
      </c>
      <c r="AC1094" t="n">
        <v>590700</v>
      </c>
      <c r="AD1094" t="n">
        <v>214800</v>
      </c>
      <c r="AE1094" t="n">
        <v>375900</v>
      </c>
      <c r="AF1094" t="n">
        <v>537000</v>
      </c>
      <c r="AG1094" t="n">
        <v>214800</v>
      </c>
      <c r="AH1094" t="n">
        <v>322200</v>
      </c>
      <c r="AI1094" t="n">
        <v>0</v>
      </c>
    </row>
    <row r="1095">
      <c r="A1095" t="inlineStr">
        <is>
          <t>2월</t>
        </is>
      </c>
      <c r="B1095" t="inlineStr">
        <is>
          <t>6주차</t>
        </is>
      </c>
      <c r="C1095" t="inlineStr">
        <is>
          <t>OR</t>
        </is>
      </c>
      <c r="D1095" s="28" t="n">
        <v>46058</v>
      </c>
      <c r="E1095" t="inlineStr">
        <is>
          <t>오릭스</t>
        </is>
      </c>
      <c r="F1095" t="inlineStr">
        <is>
          <t>신희재</t>
        </is>
      </c>
      <c r="G1095" t="inlineStr">
        <is>
          <t>010-4967-5131</t>
        </is>
      </c>
      <c r="H1095" t="inlineStr">
        <is>
          <t>369구7833</t>
        </is>
      </c>
      <c r="I1095" t="n">
        <v>23000000</v>
      </c>
      <c r="J1095" t="n">
        <v>0.059</v>
      </c>
      <c r="K1095" t="n">
        <v>1.65</v>
      </c>
      <c r="L1095" t="n">
        <v>0.4</v>
      </c>
      <c r="M1095" t="n">
        <v>1.25</v>
      </c>
      <c r="P1095" t="inlineStr">
        <is>
          <t>구성완</t>
        </is>
      </c>
      <c r="AB1095" t="inlineStr">
        <is>
          <t>엔카</t>
        </is>
      </c>
      <c r="AC1095" t="n">
        <v>379500</v>
      </c>
      <c r="AD1095" t="n">
        <v>92000</v>
      </c>
      <c r="AE1095" t="n">
        <v>287500</v>
      </c>
      <c r="AF1095" t="n">
        <v>345000</v>
      </c>
      <c r="AG1095" t="n">
        <v>92000</v>
      </c>
      <c r="AH1095" t="n">
        <v>253000</v>
      </c>
    </row>
    <row r="1096">
      <c r="A1096" t="inlineStr">
        <is>
          <t>2월</t>
        </is>
      </c>
      <c r="B1096" t="inlineStr">
        <is>
          <t>6주차</t>
        </is>
      </c>
      <c r="C1096" t="inlineStr">
        <is>
          <t>EP</t>
        </is>
      </c>
      <c r="D1096" s="28" t="n">
        <v>46058</v>
      </c>
      <c r="E1096" t="inlineStr">
        <is>
          <t>제이비EP</t>
        </is>
      </c>
      <c r="F1096" t="inlineStr">
        <is>
          <t>차수민</t>
        </is>
      </c>
      <c r="G1096" t="inlineStr">
        <is>
          <t>010-5963-0899</t>
        </is>
      </c>
      <c r="H1096" t="inlineStr">
        <is>
          <t>340수3968</t>
        </is>
      </c>
      <c r="I1096" t="n">
        <v>11800000</v>
      </c>
      <c r="J1096" t="n">
        <v>0.092</v>
      </c>
      <c r="K1096" t="n">
        <v>1.65</v>
      </c>
      <c r="L1096" t="n">
        <v>0.4</v>
      </c>
      <c r="M1096" t="n">
        <v>1.25</v>
      </c>
      <c r="P1096" t="inlineStr">
        <is>
          <t>박보람</t>
        </is>
      </c>
      <c r="AB1096" t="inlineStr">
        <is>
          <t>엔카</t>
        </is>
      </c>
      <c r="AC1096" t="n">
        <v>194700</v>
      </c>
      <c r="AD1096" t="n">
        <v>47200</v>
      </c>
      <c r="AE1096" t="n">
        <v>147500</v>
      </c>
      <c r="AF1096" t="n">
        <v>177000</v>
      </c>
      <c r="AG1096" t="n">
        <v>47200</v>
      </c>
      <c r="AH1096" t="n">
        <v>129800</v>
      </c>
    </row>
    <row r="1097">
      <c r="A1097" t="inlineStr">
        <is>
          <t>2월</t>
        </is>
      </c>
      <c r="B1097" t="inlineStr">
        <is>
          <t>6주차</t>
        </is>
      </c>
      <c r="C1097" t="inlineStr">
        <is>
          <t>WC</t>
        </is>
      </c>
      <c r="D1097" s="28" t="n">
        <v>46058</v>
      </c>
      <c r="E1097" t="inlineStr">
        <is>
          <t>웰컴저축은행</t>
        </is>
      </c>
      <c r="F1097" t="inlineStr">
        <is>
          <t>한진우</t>
        </is>
      </c>
      <c r="G1097" t="inlineStr">
        <is>
          <t>010-5654-9733</t>
        </is>
      </c>
      <c r="H1097" t="inlineStr">
        <is>
          <t>03저7760</t>
        </is>
      </c>
      <c r="I1097" t="n">
        <v>4000000</v>
      </c>
      <c r="J1097" t="n">
        <v>0.139</v>
      </c>
      <c r="K1097" t="n">
        <v>0</v>
      </c>
      <c r="L1097" t="n">
        <v>0.14</v>
      </c>
      <c r="M1097" t="n">
        <v>-0.14</v>
      </c>
      <c r="P1097" t="inlineStr">
        <is>
          <t>장현경</t>
        </is>
      </c>
      <c r="Q1097" t="inlineStr">
        <is>
          <t>선상담 /홈서비스 60개월</t>
        </is>
      </c>
      <c r="AB1097" t="inlineStr">
        <is>
          <t>홈서비스</t>
        </is>
      </c>
      <c r="AC1097" t="n">
        <v>0</v>
      </c>
      <c r="AD1097" t="n">
        <v>5600</v>
      </c>
      <c r="AE1097" t="n">
        <v>-5600</v>
      </c>
      <c r="AF1097" t="n">
        <v>0</v>
      </c>
      <c r="AG1097" t="n">
        <v>5600</v>
      </c>
      <c r="AH1097" t="n">
        <v>-5600</v>
      </c>
      <c r="AI1097" t="n">
        <v>0</v>
      </c>
    </row>
    <row r="1098">
      <c r="A1098" t="inlineStr">
        <is>
          <t>2월</t>
        </is>
      </c>
      <c r="B1098" t="inlineStr">
        <is>
          <t>9주차</t>
        </is>
      </c>
      <c r="C1098" t="inlineStr">
        <is>
          <t>IM</t>
        </is>
      </c>
      <c r="D1098" s="28" t="n">
        <v>46078</v>
      </c>
      <c r="E1098" t="inlineStr">
        <is>
          <t>IM캐피탈</t>
        </is>
      </c>
      <c r="F1098" t="inlineStr">
        <is>
          <t>이도현</t>
        </is>
      </c>
      <c r="G1098" t="inlineStr">
        <is>
          <t>010-4443-4842</t>
        </is>
      </c>
      <c r="H1098" t="inlineStr">
        <is>
          <t>42오2780</t>
        </is>
      </c>
      <c r="I1098" t="n">
        <v>-26800000</v>
      </c>
      <c r="J1098" t="n">
        <v>0.059</v>
      </c>
      <c r="K1098" t="n">
        <v>1.1</v>
      </c>
      <c r="L1098" t="n">
        <v>0.14</v>
      </c>
      <c r="M1098" t="n">
        <v>0.96</v>
      </c>
      <c r="P1098" t="inlineStr">
        <is>
          <t>최형주</t>
        </is>
      </c>
      <c r="Q1098" t="inlineStr">
        <is>
          <t>홈서비스 36개월/*철회 20260303</t>
        </is>
      </c>
      <c r="AB1098" t="inlineStr">
        <is>
          <t>홈서비스</t>
        </is>
      </c>
      <c r="AC1098" t="n">
        <v>-294800</v>
      </c>
      <c r="AD1098" t="n">
        <v>-37520</v>
      </c>
      <c r="AE1098" t="n">
        <v>-257280</v>
      </c>
      <c r="AF1098" t="n">
        <v>-268000</v>
      </c>
      <c r="AG1098" t="n">
        <v>-37520</v>
      </c>
      <c r="AH1098" t="n">
        <v>-230480</v>
      </c>
      <c r="AK1098" t="inlineStr">
        <is>
          <t>대출철회</t>
        </is>
      </c>
    </row>
    <row r="1099">
      <c r="A1099" t="inlineStr">
        <is>
          <t>2월</t>
        </is>
      </c>
      <c r="B1099" t="inlineStr">
        <is>
          <t>6주차</t>
        </is>
      </c>
      <c r="C1099" t="inlineStr">
        <is>
          <t>IM</t>
        </is>
      </c>
      <c r="D1099" s="28" t="n">
        <v>46059</v>
      </c>
      <c r="E1099" t="inlineStr">
        <is>
          <t>IM캐피탈</t>
        </is>
      </c>
      <c r="F1099" t="inlineStr">
        <is>
          <t>유지훈</t>
        </is>
      </c>
      <c r="G1099" t="inlineStr">
        <is>
          <t>010-7666-2042</t>
        </is>
      </c>
      <c r="H1099" t="inlineStr">
        <is>
          <t>149저3630</t>
        </is>
      </c>
      <c r="I1099" t="n">
        <v>28000000</v>
      </c>
      <c r="J1099" t="n">
        <v>0.056</v>
      </c>
      <c r="K1099" t="n">
        <v>1.1</v>
      </c>
      <c r="L1099" t="n">
        <v>0.14</v>
      </c>
      <c r="M1099" t="n">
        <v>0.96</v>
      </c>
      <c r="P1099" t="inlineStr">
        <is>
          <t>정세빈</t>
        </is>
      </c>
      <c r="Q1099" t="inlineStr">
        <is>
          <t>홈서비스 72개월</t>
        </is>
      </c>
      <c r="AB1099" t="inlineStr">
        <is>
          <t>홈서비스</t>
        </is>
      </c>
      <c r="AC1099" t="n">
        <v>308000</v>
      </c>
      <c r="AD1099" t="n">
        <v>39200</v>
      </c>
      <c r="AE1099" t="n">
        <v>268800</v>
      </c>
      <c r="AF1099" t="n">
        <v>280000</v>
      </c>
      <c r="AG1099" t="n">
        <v>39200</v>
      </c>
      <c r="AH1099" t="n">
        <v>240800</v>
      </c>
      <c r="AI1099" t="n">
        <v>0</v>
      </c>
    </row>
    <row r="1100">
      <c r="A1100" t="inlineStr">
        <is>
          <t>2월</t>
        </is>
      </c>
      <c r="B1100" t="inlineStr">
        <is>
          <t>9주차</t>
        </is>
      </c>
      <c r="C1100" t="inlineStr">
        <is>
          <t>IM</t>
        </is>
      </c>
      <c r="D1100" s="28" t="n">
        <v>46078</v>
      </c>
      <c r="E1100" t="inlineStr">
        <is>
          <t>IM캐피탈</t>
        </is>
      </c>
      <c r="F1100" t="inlineStr">
        <is>
          <t>홍동환</t>
        </is>
      </c>
      <c r="G1100" t="inlineStr">
        <is>
          <t>010-9965-1789</t>
        </is>
      </c>
      <c r="H1100" t="inlineStr">
        <is>
          <t>198두7257</t>
        </is>
      </c>
      <c r="I1100" t="n">
        <v>18000000</v>
      </c>
      <c r="J1100" t="n">
        <v>0.049</v>
      </c>
      <c r="K1100" t="n">
        <v>1.1</v>
      </c>
      <c r="L1100" t="n">
        <v>0.14</v>
      </c>
      <c r="M1100" t="n">
        <v>0.96</v>
      </c>
      <c r="P1100" t="inlineStr">
        <is>
          <t>정세빈</t>
        </is>
      </c>
      <c r="Q1100" t="inlineStr">
        <is>
          <t>홈서비스 60개월</t>
        </is>
      </c>
      <c r="AB1100" t="inlineStr">
        <is>
          <t>홈서비스</t>
        </is>
      </c>
      <c r="AC1100" t="n">
        <v>198000</v>
      </c>
      <c r="AD1100" t="n">
        <v>25200</v>
      </c>
      <c r="AE1100" t="n">
        <v>172800</v>
      </c>
      <c r="AF1100" t="n">
        <v>180000</v>
      </c>
      <c r="AG1100" t="n">
        <v>25200</v>
      </c>
      <c r="AH1100" t="n">
        <v>154800</v>
      </c>
      <c r="AI1100" t="n">
        <v>0</v>
      </c>
    </row>
    <row r="1101">
      <c r="A1101" t="inlineStr">
        <is>
          <t>2월</t>
        </is>
      </c>
      <c r="B1101" t="inlineStr">
        <is>
          <t>6주차</t>
        </is>
      </c>
      <c r="C1101" t="inlineStr">
        <is>
          <t>IM</t>
        </is>
      </c>
      <c r="D1101" s="28" t="n">
        <v>46059</v>
      </c>
      <c r="E1101" t="inlineStr">
        <is>
          <t>IM캐피탈</t>
        </is>
      </c>
      <c r="F1101" t="inlineStr">
        <is>
          <t>최지호</t>
        </is>
      </c>
      <c r="G1101" t="inlineStr">
        <is>
          <t>010-7144-8991</t>
        </is>
      </c>
      <c r="H1101" t="inlineStr">
        <is>
          <t>28노7131</t>
        </is>
      </c>
      <c r="I1101" t="n">
        <v>50000000</v>
      </c>
      <c r="J1101" t="n">
        <v>0.059</v>
      </c>
      <c r="K1101" t="n">
        <v>1.1</v>
      </c>
      <c r="L1101" t="n">
        <v>0.4</v>
      </c>
      <c r="M1101" t="n">
        <v>0.7</v>
      </c>
      <c r="P1101" t="inlineStr">
        <is>
          <t>박보람</t>
        </is>
      </c>
      <c r="AB1101" t="inlineStr">
        <is>
          <t>엔카</t>
        </is>
      </c>
      <c r="AC1101" t="n">
        <v>550000</v>
      </c>
      <c r="AD1101" t="n">
        <v>200000</v>
      </c>
      <c r="AE1101" t="n">
        <v>350000</v>
      </c>
      <c r="AF1101" t="n">
        <v>500000</v>
      </c>
      <c r="AG1101" t="n">
        <v>200000</v>
      </c>
      <c r="AH1101" t="n">
        <v>300000</v>
      </c>
    </row>
    <row r="1102">
      <c r="A1102" t="inlineStr">
        <is>
          <t>2월</t>
        </is>
      </c>
      <c r="B1102" t="inlineStr">
        <is>
          <t>6주차</t>
        </is>
      </c>
      <c r="C1102" t="inlineStr">
        <is>
          <t>EP</t>
        </is>
      </c>
      <c r="D1102" s="28" t="n">
        <v>46058</v>
      </c>
      <c r="E1102" t="inlineStr">
        <is>
          <t>BNKEP</t>
        </is>
      </c>
      <c r="F1102" t="inlineStr">
        <is>
          <t>이지훈</t>
        </is>
      </c>
      <c r="G1102" t="inlineStr">
        <is>
          <t>010-2821-1901</t>
        </is>
      </c>
      <c r="H1102" t="inlineStr">
        <is>
          <t>320루5003</t>
        </is>
      </c>
      <c r="I1102" t="n">
        <v>25000000</v>
      </c>
      <c r="J1102" t="n">
        <v>0.075</v>
      </c>
      <c r="K1102" t="n">
        <v>1.65</v>
      </c>
      <c r="L1102" t="n">
        <v>0.4</v>
      </c>
      <c r="M1102" t="n">
        <v>1.25</v>
      </c>
      <c r="P1102" t="inlineStr">
        <is>
          <t>박소현</t>
        </is>
      </c>
      <c r="AB1102" t="inlineStr">
        <is>
          <t>엔카</t>
        </is>
      </c>
      <c r="AC1102" t="n">
        <v>412500</v>
      </c>
      <c r="AD1102" t="n">
        <v>100000</v>
      </c>
      <c r="AE1102" t="n">
        <v>312500</v>
      </c>
      <c r="AF1102" t="n">
        <v>375000</v>
      </c>
      <c r="AG1102" t="n">
        <v>100000</v>
      </c>
      <c r="AH1102" t="n">
        <v>275000</v>
      </c>
    </row>
    <row r="1103">
      <c r="A1103" t="inlineStr">
        <is>
          <t>2월</t>
        </is>
      </c>
      <c r="B1103" t="inlineStr">
        <is>
          <t>9주차</t>
        </is>
      </c>
      <c r="C1103" t="inlineStr">
        <is>
          <t>IM</t>
        </is>
      </c>
      <c r="D1103" s="28" t="n">
        <v>46078</v>
      </c>
      <c r="E1103" t="inlineStr">
        <is>
          <t>IM캐피탈</t>
        </is>
      </c>
      <c r="F1103" t="inlineStr">
        <is>
          <t>노수영</t>
        </is>
      </c>
      <c r="G1103" t="inlineStr">
        <is>
          <t>010-3415-3720</t>
        </is>
      </c>
      <c r="H1103" t="inlineStr">
        <is>
          <t>02버6047</t>
        </is>
      </c>
      <c r="I1103" t="n">
        <v>10000000</v>
      </c>
      <c r="J1103" t="n">
        <v>0.049</v>
      </c>
      <c r="K1103" t="n">
        <v>1.1</v>
      </c>
      <c r="L1103" t="n">
        <v>0.14</v>
      </c>
      <c r="M1103" t="n">
        <v>0.96</v>
      </c>
      <c r="P1103" t="inlineStr">
        <is>
          <t>정광호</t>
        </is>
      </c>
      <c r="Q1103" t="inlineStr">
        <is>
          <t>홈서비스 48개월</t>
        </is>
      </c>
      <c r="AB1103" t="inlineStr">
        <is>
          <t>홈서비스</t>
        </is>
      </c>
      <c r="AC1103" t="n">
        <v>110000</v>
      </c>
      <c r="AD1103" t="n">
        <v>14000</v>
      </c>
      <c r="AE1103" t="n">
        <v>96000</v>
      </c>
      <c r="AF1103" t="n">
        <v>100000</v>
      </c>
      <c r="AG1103" t="n">
        <v>14000</v>
      </c>
      <c r="AH1103" t="n">
        <v>86000</v>
      </c>
      <c r="AI1103" t="n">
        <v>0</v>
      </c>
    </row>
    <row r="1104">
      <c r="A1104" t="inlineStr">
        <is>
          <t>2월</t>
        </is>
      </c>
      <c r="B1104" t="inlineStr">
        <is>
          <t>9주차</t>
        </is>
      </c>
      <c r="C1104" t="inlineStr">
        <is>
          <t>EP</t>
        </is>
      </c>
      <c r="D1104" s="28" t="n">
        <v>46079</v>
      </c>
      <c r="E1104" t="inlineStr">
        <is>
          <t>현대EP_fast</t>
        </is>
      </c>
      <c r="F1104" t="inlineStr">
        <is>
          <t>임재현</t>
        </is>
      </c>
      <c r="G1104" t="inlineStr">
        <is>
          <t>010-9698-9096</t>
        </is>
      </c>
      <c r="H1104" t="inlineStr">
        <is>
          <t>45부8745</t>
        </is>
      </c>
      <c r="I1104" t="n">
        <v>9500000</v>
      </c>
      <c r="J1104" t="n">
        <v>0.137</v>
      </c>
      <c r="K1104" t="n">
        <v>1.76</v>
      </c>
      <c r="L1104" t="n">
        <v>0.14</v>
      </c>
      <c r="M1104" t="n">
        <v>1.62</v>
      </c>
      <c r="P1104" t="inlineStr">
        <is>
          <t>최형주</t>
        </is>
      </c>
      <c r="Q1104" t="inlineStr">
        <is>
          <t>홈서비스 48개월</t>
        </is>
      </c>
      <c r="AB1104" t="inlineStr">
        <is>
          <t>홈서비스</t>
        </is>
      </c>
      <c r="AC1104" t="n">
        <v>167200</v>
      </c>
      <c r="AD1104" t="n">
        <v>13300</v>
      </c>
      <c r="AE1104" t="n">
        <v>153900</v>
      </c>
      <c r="AF1104" t="n">
        <v>152000</v>
      </c>
      <c r="AG1104" t="n">
        <v>13300</v>
      </c>
      <c r="AH1104" t="n">
        <v>138700</v>
      </c>
      <c r="AI1104" t="n">
        <v>0</v>
      </c>
      <c r="AJ1104" t="inlineStr">
        <is>
          <t>개인</t>
        </is>
      </c>
    </row>
    <row r="1105">
      <c r="A1105" t="inlineStr">
        <is>
          <t>2월</t>
        </is>
      </c>
      <c r="B1105" t="inlineStr">
        <is>
          <t>6주차</t>
        </is>
      </c>
      <c r="C1105" t="inlineStr">
        <is>
          <t>EP</t>
        </is>
      </c>
      <c r="D1105" s="28" t="n">
        <v>46055</v>
      </c>
      <c r="E1105" t="inlineStr">
        <is>
          <t>현대EP_fast</t>
        </is>
      </c>
      <c r="F1105" t="inlineStr">
        <is>
          <t>조경훈</t>
        </is>
      </c>
      <c r="G1105" t="inlineStr">
        <is>
          <t>010-7104-7483</t>
        </is>
      </c>
      <c r="H1105" t="inlineStr">
        <is>
          <t>368다7916</t>
        </is>
      </c>
      <c r="I1105" t="n">
        <v>15000000</v>
      </c>
      <c r="J1105" t="n">
        <v>0.07199999999999999</v>
      </c>
      <c r="K1105" t="n">
        <v>1.76</v>
      </c>
      <c r="L1105" t="n">
        <v>0.14</v>
      </c>
      <c r="M1105" t="n">
        <v>1.62</v>
      </c>
      <c r="P1105" t="inlineStr">
        <is>
          <t>정광호</t>
        </is>
      </c>
      <c r="Q1105" t="inlineStr">
        <is>
          <t>홈서비스 36개월</t>
        </is>
      </c>
      <c r="AB1105" t="inlineStr">
        <is>
          <t>홈서비스</t>
        </is>
      </c>
      <c r="AC1105" t="n">
        <v>264000</v>
      </c>
      <c r="AD1105" t="n">
        <v>21000</v>
      </c>
      <c r="AE1105" t="n">
        <v>243000</v>
      </c>
      <c r="AF1105" t="n">
        <v>240000</v>
      </c>
      <c r="AG1105" t="n">
        <v>21000</v>
      </c>
      <c r="AH1105" t="n">
        <v>219000</v>
      </c>
    </row>
    <row r="1106">
      <c r="A1106" t="inlineStr">
        <is>
          <t>1월</t>
        </is>
      </c>
      <c r="B1106" t="inlineStr">
        <is>
          <t>5주차</t>
        </is>
      </c>
      <c r="C1106" t="inlineStr">
        <is>
          <t>OR</t>
        </is>
      </c>
      <c r="D1106" s="28" t="n">
        <v>46051</v>
      </c>
      <c r="E1106" t="inlineStr">
        <is>
          <t>오릭스</t>
        </is>
      </c>
      <c r="F1106" t="inlineStr">
        <is>
          <t>최정문</t>
        </is>
      </c>
      <c r="G1106" t="inlineStr">
        <is>
          <t>010-8615-3721</t>
        </is>
      </c>
      <c r="H1106" t="inlineStr">
        <is>
          <t>120수5810</t>
        </is>
      </c>
      <c r="I1106" t="n">
        <v>35900000</v>
      </c>
      <c r="J1106" t="n">
        <v>0.068</v>
      </c>
      <c r="K1106" t="n">
        <v>1.65</v>
      </c>
      <c r="L1106" t="n">
        <v>0.4</v>
      </c>
      <c r="M1106" t="n">
        <v>1.25</v>
      </c>
      <c r="P1106" t="inlineStr">
        <is>
          <t>박현민</t>
        </is>
      </c>
      <c r="Q1106" t="inlineStr">
        <is>
          <t>사유: 부대비용필요</t>
        </is>
      </c>
      <c r="AB1106" t="inlineStr">
        <is>
          <t>엔카</t>
        </is>
      </c>
      <c r="AC1106" t="n">
        <v>592350</v>
      </c>
      <c r="AD1106" t="n">
        <v>143600</v>
      </c>
      <c r="AE1106" t="n">
        <v>448750</v>
      </c>
      <c r="AF1106" t="n">
        <v>538500</v>
      </c>
      <c r="AG1106" t="n">
        <v>143600</v>
      </c>
      <c r="AH1106" t="n">
        <v>394900</v>
      </c>
      <c r="AI1106" t="n">
        <v>0</v>
      </c>
    </row>
    <row r="1107">
      <c r="A1107" t="inlineStr">
        <is>
          <t>2월</t>
        </is>
      </c>
      <c r="B1107" t="inlineStr">
        <is>
          <t>6주차</t>
        </is>
      </c>
      <c r="C1107" t="inlineStr">
        <is>
          <t>IM</t>
        </is>
      </c>
      <c r="D1107" s="28" t="n">
        <v>46059</v>
      </c>
      <c r="E1107" t="inlineStr">
        <is>
          <t>IM캐피탈</t>
        </is>
      </c>
      <c r="F1107" t="inlineStr">
        <is>
          <t>이보희</t>
        </is>
      </c>
      <c r="G1107" t="inlineStr">
        <is>
          <t>010-9184-6709</t>
        </is>
      </c>
      <c r="H1107" t="inlineStr">
        <is>
          <t>93고3358</t>
        </is>
      </c>
      <c r="I1107" t="n">
        <v>15000000</v>
      </c>
      <c r="J1107" t="n">
        <v>0.049</v>
      </c>
      <c r="K1107" t="n">
        <v>1.1</v>
      </c>
      <c r="L1107" t="n">
        <v>0.4</v>
      </c>
      <c r="M1107" t="n">
        <v>0.7</v>
      </c>
      <c r="P1107" t="inlineStr">
        <is>
          <t>장현경</t>
        </is>
      </c>
      <c r="AB1107" t="inlineStr">
        <is>
          <t>엔카</t>
        </is>
      </c>
      <c r="AC1107" t="n">
        <v>165000</v>
      </c>
      <c r="AD1107" t="n">
        <v>60000</v>
      </c>
      <c r="AE1107" t="n">
        <v>105000</v>
      </c>
      <c r="AF1107" t="n">
        <v>150000</v>
      </c>
      <c r="AG1107" t="n">
        <v>60000</v>
      </c>
      <c r="AH1107" t="n">
        <v>90000</v>
      </c>
    </row>
    <row r="1108">
      <c r="A1108" t="inlineStr">
        <is>
          <t>2월</t>
        </is>
      </c>
      <c r="B1108" t="inlineStr">
        <is>
          <t>6주차</t>
        </is>
      </c>
      <c r="C1108" t="inlineStr">
        <is>
          <t>EP</t>
        </is>
      </c>
      <c r="D1108" s="28" t="n">
        <v>46059</v>
      </c>
      <c r="E1108" t="inlineStr">
        <is>
          <t>현대EP</t>
        </is>
      </c>
      <c r="F1108" t="inlineStr">
        <is>
          <t>양진범</t>
        </is>
      </c>
      <c r="G1108" t="inlineStr">
        <is>
          <t>010-4644-3704</t>
        </is>
      </c>
      <c r="H1108" t="inlineStr">
        <is>
          <t>03도3078</t>
        </is>
      </c>
      <c r="I1108" t="n">
        <v>19200000</v>
      </c>
      <c r="J1108" t="n">
        <v>0.093</v>
      </c>
      <c r="K1108" t="n">
        <v>1.76</v>
      </c>
      <c r="L1108" t="n">
        <v>0.14</v>
      </c>
      <c r="M1108" t="n">
        <v>1.62</v>
      </c>
      <c r="P1108" t="inlineStr">
        <is>
          <t>정세빈</t>
        </is>
      </c>
      <c r="Q1108" t="inlineStr">
        <is>
          <t>홈서비스 60개월</t>
        </is>
      </c>
      <c r="AB1108" t="inlineStr">
        <is>
          <t>홈서비스</t>
        </is>
      </c>
      <c r="AC1108" t="n">
        <v>337920</v>
      </c>
      <c r="AD1108" t="n">
        <v>26880</v>
      </c>
      <c r="AE1108" t="n">
        <v>311040</v>
      </c>
      <c r="AF1108" t="n">
        <v>307200</v>
      </c>
      <c r="AG1108" t="n">
        <v>26880</v>
      </c>
      <c r="AH1108" t="n">
        <v>280320</v>
      </c>
      <c r="AI1108" t="n">
        <v>0</v>
      </c>
    </row>
    <row r="1109">
      <c r="A1109" t="inlineStr">
        <is>
          <t>1월</t>
        </is>
      </c>
      <c r="B1109" t="inlineStr">
        <is>
          <t>5주차</t>
        </is>
      </c>
      <c r="C1109" t="inlineStr">
        <is>
          <t>EP</t>
        </is>
      </c>
      <c r="D1109" s="28" t="n">
        <v>46049</v>
      </c>
      <c r="E1109" t="inlineStr">
        <is>
          <t>현대EP</t>
        </is>
      </c>
      <c r="F1109" t="inlineStr">
        <is>
          <t>최윤헌</t>
        </is>
      </c>
      <c r="G1109" t="inlineStr">
        <is>
          <t>010-4173-0114</t>
        </is>
      </c>
      <c r="H1109" t="inlineStr">
        <is>
          <t>14러1941</t>
        </is>
      </c>
      <c r="I1109" t="n">
        <v>54500000</v>
      </c>
      <c r="J1109" t="n">
        <v>0.075</v>
      </c>
      <c r="K1109" t="n">
        <v>1.76</v>
      </c>
      <c r="L1109" t="n">
        <v>0.13</v>
      </c>
      <c r="M1109" t="n">
        <v>1.63</v>
      </c>
      <c r="P1109" t="inlineStr">
        <is>
          <t>최혁</t>
        </is>
      </c>
      <c r="Q1109" t="inlineStr">
        <is>
          <t>홈서비스 60개월</t>
        </is>
      </c>
      <c r="AB1109" t="inlineStr">
        <is>
          <t>홈서비스</t>
        </is>
      </c>
      <c r="AC1109" t="n">
        <v>959200</v>
      </c>
      <c r="AD1109" t="n">
        <v>70850</v>
      </c>
      <c r="AE1109" t="n">
        <v>888350</v>
      </c>
      <c r="AF1109" t="n">
        <v>872000</v>
      </c>
      <c r="AG1109" t="n">
        <v>70850</v>
      </c>
      <c r="AH1109" t="n">
        <v>801150</v>
      </c>
    </row>
    <row r="1110">
      <c r="A1110" t="inlineStr">
        <is>
          <t>2월</t>
        </is>
      </c>
      <c r="B1110" t="inlineStr">
        <is>
          <t>6주차</t>
        </is>
      </c>
      <c r="C1110" t="inlineStr">
        <is>
          <t>EP</t>
        </is>
      </c>
      <c r="D1110" s="28" t="n">
        <v>46055</v>
      </c>
      <c r="E1110" t="inlineStr">
        <is>
          <t>현대EP_fast</t>
        </is>
      </c>
      <c r="F1110" t="inlineStr">
        <is>
          <t>최윤정</t>
        </is>
      </c>
      <c r="G1110" t="inlineStr">
        <is>
          <t>010-9172-3234</t>
        </is>
      </c>
      <c r="H1110" t="inlineStr">
        <is>
          <t>43더7794</t>
        </is>
      </c>
      <c r="I1110" t="n">
        <v>19500000</v>
      </c>
      <c r="J1110" t="n">
        <v>0.067</v>
      </c>
      <c r="K1110" t="n">
        <v>1.76</v>
      </c>
      <c r="L1110" t="n">
        <v>0.14</v>
      </c>
      <c r="M1110" t="n">
        <v>1.62</v>
      </c>
      <c r="P1110" t="inlineStr">
        <is>
          <t>김수연</t>
        </is>
      </c>
      <c r="Q1110" t="inlineStr">
        <is>
          <t>홈서비스 60개월</t>
        </is>
      </c>
      <c r="AB1110" t="inlineStr">
        <is>
          <t>홈서비스</t>
        </is>
      </c>
      <c r="AC1110" t="n">
        <v>343200</v>
      </c>
      <c r="AD1110" t="n">
        <v>27300</v>
      </c>
      <c r="AE1110" t="n">
        <v>315900</v>
      </c>
      <c r="AF1110" t="n">
        <v>312000</v>
      </c>
      <c r="AG1110" t="n">
        <v>27300</v>
      </c>
      <c r="AH1110" t="n">
        <v>284700</v>
      </c>
      <c r="AI1110" t="n">
        <v>0</v>
      </c>
    </row>
    <row r="1111">
      <c r="A1111" t="inlineStr">
        <is>
          <t>2월</t>
        </is>
      </c>
      <c r="B1111" t="inlineStr">
        <is>
          <t>6주차</t>
        </is>
      </c>
      <c r="C1111" t="inlineStr">
        <is>
          <t>EP</t>
        </is>
      </c>
      <c r="D1111" s="28" t="n">
        <v>46060</v>
      </c>
      <c r="E1111" t="inlineStr">
        <is>
          <t>현대EP_fast</t>
        </is>
      </c>
      <c r="F1111" t="inlineStr">
        <is>
          <t>황우빈</t>
        </is>
      </c>
      <c r="G1111" t="inlineStr">
        <is>
          <t>010-8899-6663</t>
        </is>
      </c>
      <c r="H1111" t="inlineStr">
        <is>
          <t>169주1924</t>
        </is>
      </c>
      <c r="I1111" t="n">
        <v>8000000</v>
      </c>
      <c r="J1111" t="n">
        <v>0.097</v>
      </c>
      <c r="K1111" t="n">
        <v>1.76</v>
      </c>
      <c r="L1111" t="n">
        <v>0.14</v>
      </c>
      <c r="M1111" t="n">
        <v>1.62</v>
      </c>
      <c r="P1111" t="inlineStr">
        <is>
          <t>정세빈</t>
        </is>
      </c>
      <c r="Q1111" t="inlineStr">
        <is>
          <t>홈서비스 48개월</t>
        </is>
      </c>
      <c r="AB1111" t="inlineStr">
        <is>
          <t>홈서비스</t>
        </is>
      </c>
      <c r="AC1111" t="n">
        <v>140800</v>
      </c>
      <c r="AD1111" t="n">
        <v>11200</v>
      </c>
      <c r="AE1111" t="n">
        <v>129600</v>
      </c>
      <c r="AF1111" t="n">
        <v>128000</v>
      </c>
      <c r="AG1111" t="n">
        <v>11200</v>
      </c>
      <c r="AH1111" t="n">
        <v>116800</v>
      </c>
      <c r="AI1111" t="n">
        <v>0</v>
      </c>
      <c r="AJ1111" t="inlineStr">
        <is>
          <t>개인</t>
        </is>
      </c>
    </row>
    <row r="1112">
      <c r="A1112" t="inlineStr">
        <is>
          <t>2월</t>
        </is>
      </c>
      <c r="B1112" t="inlineStr">
        <is>
          <t>6주차</t>
        </is>
      </c>
      <c r="C1112" t="inlineStr">
        <is>
          <t>IM</t>
        </is>
      </c>
      <c r="D1112" s="28" t="n">
        <v>46056</v>
      </c>
      <c r="E1112" t="inlineStr">
        <is>
          <t>IM캐피탈</t>
        </is>
      </c>
      <c r="F1112" t="inlineStr">
        <is>
          <t>안지은</t>
        </is>
      </c>
      <c r="G1112" t="inlineStr">
        <is>
          <t>010-3409-0327</t>
        </is>
      </c>
      <c r="H1112" t="inlineStr">
        <is>
          <t>363무3717</t>
        </is>
      </c>
      <c r="I1112" t="n">
        <v>22200000</v>
      </c>
      <c r="J1112" t="n">
        <v>0.049</v>
      </c>
      <c r="K1112" t="n">
        <v>1.1</v>
      </c>
      <c r="L1112" t="n">
        <v>0.14</v>
      </c>
      <c r="M1112" t="n">
        <v>0.96</v>
      </c>
      <c r="P1112" t="inlineStr">
        <is>
          <t>최형주</t>
        </is>
      </c>
      <c r="Q1112" t="inlineStr">
        <is>
          <t>홈서비스 60개월 / *철회</t>
        </is>
      </c>
      <c r="AB1112" t="inlineStr">
        <is>
          <t>홈서비스</t>
        </is>
      </c>
      <c r="AC1112" t="n">
        <v>244200</v>
      </c>
      <c r="AD1112" t="n">
        <v>31080</v>
      </c>
      <c r="AE1112" t="n">
        <v>213120</v>
      </c>
      <c r="AF1112" t="n">
        <v>222000</v>
      </c>
      <c r="AG1112" t="n">
        <v>31080</v>
      </c>
      <c r="AH1112" t="n">
        <v>190920</v>
      </c>
      <c r="AI1112" t="n">
        <v>0</v>
      </c>
      <c r="AK1112" t="inlineStr">
        <is>
          <t>대출철회</t>
        </is>
      </c>
    </row>
    <row r="1113">
      <c r="A1113" t="inlineStr">
        <is>
          <t>2월</t>
        </is>
      </c>
      <c r="B1113" t="inlineStr">
        <is>
          <t>6주차</t>
        </is>
      </c>
      <c r="C1113" t="inlineStr">
        <is>
          <t>EP</t>
        </is>
      </c>
      <c r="D1113" s="28" t="n">
        <v>46058</v>
      </c>
      <c r="E1113" t="inlineStr">
        <is>
          <t>현대EP</t>
        </is>
      </c>
      <c r="F1113" t="inlineStr">
        <is>
          <t>윤태균</t>
        </is>
      </c>
      <c r="G1113" t="inlineStr">
        <is>
          <t>010-6743-1322</t>
        </is>
      </c>
      <c r="H1113" t="inlineStr">
        <is>
          <t>97수2959</t>
        </is>
      </c>
      <c r="I1113" t="n">
        <v>10000000</v>
      </c>
      <c r="J1113" t="n">
        <v>0.057</v>
      </c>
      <c r="K1113" t="n">
        <v>1.21</v>
      </c>
      <c r="L1113" t="n">
        <v>0.14</v>
      </c>
      <c r="M1113" t="n">
        <v>1.07</v>
      </c>
      <c r="P1113" t="inlineStr">
        <is>
          <t>최형주</t>
        </is>
      </c>
      <c r="Q1113" t="inlineStr">
        <is>
          <t>홈서비스 60개월</t>
        </is>
      </c>
      <c r="AB1113" t="inlineStr">
        <is>
          <t>홈서비스</t>
        </is>
      </c>
      <c r="AC1113" t="n">
        <v>121000</v>
      </c>
      <c r="AD1113" t="n">
        <v>14000</v>
      </c>
      <c r="AE1113" t="n">
        <v>107000</v>
      </c>
      <c r="AF1113" t="n">
        <v>110000</v>
      </c>
      <c r="AG1113" t="n">
        <v>14000</v>
      </c>
      <c r="AH1113" t="n">
        <v>96000</v>
      </c>
    </row>
    <row r="1114">
      <c r="A1114" t="inlineStr">
        <is>
          <t>2월</t>
        </is>
      </c>
      <c r="B1114" t="inlineStr">
        <is>
          <t>7주차</t>
        </is>
      </c>
      <c r="C1114" t="inlineStr">
        <is>
          <t>EP</t>
        </is>
      </c>
      <c r="D1114" s="28" t="n">
        <v>46062</v>
      </c>
      <c r="E1114" t="inlineStr">
        <is>
          <t>현대EP</t>
        </is>
      </c>
      <c r="F1114" t="inlineStr">
        <is>
          <t>이민규</t>
        </is>
      </c>
      <c r="G1114" t="inlineStr">
        <is>
          <t>010-6763-0414</t>
        </is>
      </c>
      <c r="H1114" t="inlineStr">
        <is>
          <t>398머3192</t>
        </is>
      </c>
      <c r="I1114" t="n">
        <v>20000000</v>
      </c>
      <c r="J1114" t="n">
        <v>0.06900000000000001</v>
      </c>
      <c r="K1114" t="n">
        <v>1.21</v>
      </c>
      <c r="L1114" t="n">
        <v>0.14</v>
      </c>
      <c r="M1114" t="n">
        <v>1.07</v>
      </c>
      <c r="P1114" t="inlineStr">
        <is>
          <t>황채이</t>
        </is>
      </c>
      <c r="Q1114" t="inlineStr">
        <is>
          <t>홈서비스 60개월</t>
        </is>
      </c>
      <c r="AB1114" t="inlineStr">
        <is>
          <t>홈서비스</t>
        </is>
      </c>
      <c r="AC1114" t="n">
        <v>242000</v>
      </c>
      <c r="AD1114" t="n">
        <v>28000</v>
      </c>
      <c r="AE1114" t="n">
        <v>214000</v>
      </c>
      <c r="AF1114" t="n">
        <v>220000</v>
      </c>
      <c r="AG1114" t="n">
        <v>28000</v>
      </c>
      <c r="AH1114" t="n">
        <v>192000</v>
      </c>
    </row>
    <row r="1115">
      <c r="A1115" t="inlineStr">
        <is>
          <t>2월</t>
        </is>
      </c>
      <c r="B1115" t="inlineStr">
        <is>
          <t>7주차</t>
        </is>
      </c>
      <c r="C1115" t="inlineStr">
        <is>
          <t>EP</t>
        </is>
      </c>
      <c r="D1115" s="28" t="n">
        <v>46064</v>
      </c>
      <c r="E1115" t="inlineStr">
        <is>
          <t>현대EP</t>
        </is>
      </c>
      <c r="F1115" t="inlineStr">
        <is>
          <t>박호연</t>
        </is>
      </c>
      <c r="G1115" t="inlineStr">
        <is>
          <t>010-6680-7009</t>
        </is>
      </c>
      <c r="H1115" t="inlineStr">
        <is>
          <t>378저2558</t>
        </is>
      </c>
      <c r="I1115" t="n">
        <v>8700000</v>
      </c>
      <c r="J1115" t="n">
        <v>0.068</v>
      </c>
      <c r="K1115" t="n">
        <v>1.76</v>
      </c>
      <c r="L1115" t="n">
        <v>0.14</v>
      </c>
      <c r="M1115" t="n">
        <v>1.62</v>
      </c>
      <c r="P1115" t="inlineStr">
        <is>
          <t>정광호</t>
        </is>
      </c>
      <c r="Q1115" t="inlineStr">
        <is>
          <t>홈서비스 24개월</t>
        </is>
      </c>
      <c r="AB1115" t="inlineStr">
        <is>
          <t>홈서비스</t>
        </is>
      </c>
      <c r="AC1115" t="n">
        <v>153120</v>
      </c>
      <c r="AD1115" t="n">
        <v>12180</v>
      </c>
      <c r="AE1115" t="n">
        <v>140940</v>
      </c>
      <c r="AF1115" t="n">
        <v>139200</v>
      </c>
      <c r="AG1115" t="n">
        <v>12180</v>
      </c>
      <c r="AH1115" t="n">
        <v>127020</v>
      </c>
    </row>
    <row r="1116">
      <c r="A1116" t="inlineStr">
        <is>
          <t>2월</t>
        </is>
      </c>
      <c r="B1116" t="inlineStr">
        <is>
          <t>7주차</t>
        </is>
      </c>
      <c r="C1116" t="inlineStr">
        <is>
          <t>EP</t>
        </is>
      </c>
      <c r="D1116" s="28" t="n">
        <v>46063</v>
      </c>
      <c r="E1116" t="inlineStr">
        <is>
          <t>현대EP_fast</t>
        </is>
      </c>
      <c r="F1116" t="inlineStr">
        <is>
          <t>김영소</t>
        </is>
      </c>
      <c r="G1116" t="inlineStr">
        <is>
          <t>010-4943-2036</t>
        </is>
      </c>
      <c r="H1116" t="inlineStr">
        <is>
          <t>116저2930</t>
        </is>
      </c>
      <c r="I1116" t="n">
        <v>31000000</v>
      </c>
      <c r="J1116" t="n">
        <v>0.08500000000000001</v>
      </c>
      <c r="K1116" t="n">
        <v>1.76</v>
      </c>
      <c r="L1116" t="n">
        <v>0.14</v>
      </c>
      <c r="M1116" t="n">
        <v>1.62</v>
      </c>
      <c r="P1116" t="inlineStr">
        <is>
          <t>최형주</t>
        </is>
      </c>
      <c r="Q1116" t="inlineStr">
        <is>
          <t>홈서비스 60개월</t>
        </is>
      </c>
      <c r="AB1116" t="inlineStr">
        <is>
          <t>홈서비스</t>
        </is>
      </c>
      <c r="AC1116" t="n">
        <v>545600</v>
      </c>
      <c r="AD1116" t="n">
        <v>43400</v>
      </c>
      <c r="AE1116" t="n">
        <v>502200</v>
      </c>
      <c r="AF1116" t="n">
        <v>496000</v>
      </c>
      <c r="AG1116" t="n">
        <v>43400</v>
      </c>
      <c r="AH1116" t="n">
        <v>452600</v>
      </c>
      <c r="AI1116" t="n">
        <v>0</v>
      </c>
    </row>
    <row r="1117">
      <c r="A1117" t="inlineStr">
        <is>
          <t>2월</t>
        </is>
      </c>
      <c r="B1117" t="inlineStr">
        <is>
          <t>6주차</t>
        </is>
      </c>
      <c r="C1117" t="inlineStr">
        <is>
          <t>IM</t>
        </is>
      </c>
      <c r="D1117" s="28" t="n">
        <v>46059</v>
      </c>
      <c r="E1117" t="inlineStr">
        <is>
          <t>IM캐피탈</t>
        </is>
      </c>
      <c r="F1117" t="inlineStr">
        <is>
          <t>조민정</t>
        </is>
      </c>
      <c r="G1117" t="inlineStr">
        <is>
          <t>010-3980-0031</t>
        </is>
      </c>
      <c r="H1117" t="inlineStr">
        <is>
          <t>23노0763</t>
        </is>
      </c>
      <c r="I1117" t="n">
        <v>7500000</v>
      </c>
      <c r="J1117" t="n">
        <v>0.059</v>
      </c>
      <c r="K1117" t="n">
        <v>1.1</v>
      </c>
      <c r="L1117" t="n">
        <v>0.4</v>
      </c>
      <c r="M1117" t="n">
        <v>0.7</v>
      </c>
      <c r="P1117" t="inlineStr">
        <is>
          <t>박보람</t>
        </is>
      </c>
      <c r="AB1117" t="inlineStr">
        <is>
          <t>엔카</t>
        </is>
      </c>
      <c r="AC1117" t="n">
        <v>82500</v>
      </c>
      <c r="AD1117" t="n">
        <v>30000</v>
      </c>
      <c r="AE1117" t="n">
        <v>52500</v>
      </c>
      <c r="AF1117" t="n">
        <v>75000</v>
      </c>
      <c r="AG1117" t="n">
        <v>30000</v>
      </c>
      <c r="AH1117" t="n">
        <v>45000</v>
      </c>
      <c r="AI1117" t="n">
        <v>0</v>
      </c>
    </row>
    <row r="1118">
      <c r="A1118" t="inlineStr">
        <is>
          <t>2월</t>
        </is>
      </c>
      <c r="B1118" t="inlineStr">
        <is>
          <t>7주차</t>
        </is>
      </c>
      <c r="C1118" t="inlineStr">
        <is>
          <t>WC</t>
        </is>
      </c>
      <c r="D1118" s="28" t="n">
        <v>46064</v>
      </c>
      <c r="E1118" t="inlineStr">
        <is>
          <t>웰컴저축은행</t>
        </is>
      </c>
      <c r="F1118" t="inlineStr">
        <is>
          <t>김동환</t>
        </is>
      </c>
      <c r="G1118" t="inlineStr">
        <is>
          <t>010-9514-0142</t>
        </is>
      </c>
      <c r="H1118" t="inlineStr">
        <is>
          <t>320조9152</t>
        </is>
      </c>
      <c r="I1118" t="n">
        <v>18000000</v>
      </c>
      <c r="J1118" t="n">
        <v>0.179</v>
      </c>
      <c r="K1118" t="n">
        <v>0</v>
      </c>
      <c r="L1118" t="n">
        <v>0.14</v>
      </c>
      <c r="M1118" t="n">
        <v>-0.14</v>
      </c>
      <c r="P1118" t="inlineStr">
        <is>
          <t>정하은</t>
        </is>
      </c>
      <c r="Q1118" t="inlineStr">
        <is>
          <t>선상담 / 홈서비스 60개월</t>
        </is>
      </c>
      <c r="AB1118" t="inlineStr">
        <is>
          <t>홈서비스</t>
        </is>
      </c>
      <c r="AC1118" t="n">
        <v>0</v>
      </c>
      <c r="AD1118" t="n">
        <v>25200</v>
      </c>
      <c r="AE1118" t="n">
        <v>-25200</v>
      </c>
      <c r="AF1118" t="n">
        <v>0</v>
      </c>
      <c r="AG1118" t="n">
        <v>25200</v>
      </c>
      <c r="AH1118" t="n">
        <v>-25200</v>
      </c>
      <c r="AI1118" t="n">
        <v>0</v>
      </c>
    </row>
    <row r="1119">
      <c r="A1119" t="inlineStr">
        <is>
          <t>2월</t>
        </is>
      </c>
      <c r="B1119" t="inlineStr">
        <is>
          <t>7주차</t>
        </is>
      </c>
      <c r="C1119" t="inlineStr">
        <is>
          <t>EP</t>
        </is>
      </c>
      <c r="D1119" s="28" t="n">
        <v>46065</v>
      </c>
      <c r="E1119" t="inlineStr">
        <is>
          <t>현대EP</t>
        </is>
      </c>
      <c r="F1119" t="inlineStr">
        <is>
          <t>강진민</t>
        </is>
      </c>
      <c r="G1119" t="inlineStr">
        <is>
          <t>010-3511-2176</t>
        </is>
      </c>
      <c r="H1119" t="inlineStr">
        <is>
          <t>51러7959</t>
        </is>
      </c>
      <c r="I1119" t="n">
        <v>4000000</v>
      </c>
      <c r="J1119" t="n">
        <v>0.057</v>
      </c>
      <c r="K1119" t="n">
        <v>1.76</v>
      </c>
      <c r="L1119" t="n">
        <v>0.14</v>
      </c>
      <c r="M1119" t="n">
        <v>1.62</v>
      </c>
      <c r="P1119" t="inlineStr">
        <is>
          <t>김나윤</t>
        </is>
      </c>
      <c r="Q1119" t="inlineStr">
        <is>
          <t>홈서비스 24개월</t>
        </is>
      </c>
      <c r="AB1119" t="inlineStr">
        <is>
          <t>홈서비스</t>
        </is>
      </c>
      <c r="AC1119" t="n">
        <v>70400</v>
      </c>
      <c r="AD1119" t="n">
        <v>5600</v>
      </c>
      <c r="AE1119" t="n">
        <v>64800</v>
      </c>
      <c r="AF1119" t="n">
        <v>64000</v>
      </c>
      <c r="AG1119" t="n">
        <v>5600</v>
      </c>
      <c r="AH1119" t="n">
        <v>58400</v>
      </c>
      <c r="AI1119" t="n">
        <v>1</v>
      </c>
    </row>
    <row r="1120">
      <c r="A1120" t="inlineStr">
        <is>
          <t>2월</t>
        </is>
      </c>
      <c r="B1120" t="inlineStr">
        <is>
          <t>7주차</t>
        </is>
      </c>
      <c r="C1120" t="inlineStr">
        <is>
          <t>IM</t>
        </is>
      </c>
      <c r="D1120" s="28" t="n">
        <v>46065</v>
      </c>
      <c r="E1120" t="inlineStr">
        <is>
          <t>IM캐피탈</t>
        </is>
      </c>
      <c r="F1120" t="inlineStr">
        <is>
          <t>홍석진</t>
        </is>
      </c>
      <c r="G1120" t="inlineStr">
        <is>
          <t>010-4214-7087</t>
        </is>
      </c>
      <c r="H1120" t="inlineStr">
        <is>
          <t>26거4967</t>
        </is>
      </c>
      <c r="I1120" t="n">
        <v>27800000</v>
      </c>
      <c r="J1120" t="n">
        <v>0.049</v>
      </c>
      <c r="K1120" t="n">
        <v>1.1</v>
      </c>
      <c r="L1120" t="n">
        <v>0.14</v>
      </c>
      <c r="M1120" t="n">
        <v>0.96</v>
      </c>
      <c r="P1120" t="inlineStr">
        <is>
          <t>정광호</t>
        </is>
      </c>
      <c r="Q1120" t="inlineStr">
        <is>
          <t>홈서비스 72개월</t>
        </is>
      </c>
      <c r="AB1120" t="inlineStr">
        <is>
          <t>홈서비스</t>
        </is>
      </c>
      <c r="AC1120" t="n">
        <v>305800</v>
      </c>
      <c r="AD1120" t="n">
        <v>38920</v>
      </c>
      <c r="AE1120" t="n">
        <v>266880</v>
      </c>
      <c r="AF1120" t="n">
        <v>278000</v>
      </c>
      <c r="AG1120" t="n">
        <v>38920</v>
      </c>
      <c r="AH1120" t="n">
        <v>239080</v>
      </c>
      <c r="AI1120" t="n">
        <v>1</v>
      </c>
    </row>
    <row r="1121">
      <c r="A1121" t="inlineStr">
        <is>
          <t>2월</t>
        </is>
      </c>
      <c r="B1121" t="inlineStr">
        <is>
          <t>7주차</t>
        </is>
      </c>
      <c r="C1121" t="inlineStr">
        <is>
          <t>EP</t>
        </is>
      </c>
      <c r="D1121" s="28" t="n">
        <v>46066</v>
      </c>
      <c r="E1121" t="inlineStr">
        <is>
          <t>현대EP_fast</t>
        </is>
      </c>
      <c r="F1121" t="inlineStr">
        <is>
          <t>이현규</t>
        </is>
      </c>
      <c r="G1121" t="inlineStr">
        <is>
          <t>010-6633-7889</t>
        </is>
      </c>
      <c r="H1121" t="inlineStr">
        <is>
          <t>248조2009</t>
        </is>
      </c>
      <c r="I1121" t="n">
        <v>46900000</v>
      </c>
      <c r="J1121" t="n">
        <v>0.083</v>
      </c>
      <c r="K1121" t="n">
        <v>1.76</v>
      </c>
      <c r="L1121" t="n">
        <v>0.14</v>
      </c>
      <c r="M1121" t="n">
        <v>1.62</v>
      </c>
      <c r="P1121" t="inlineStr">
        <is>
          <t>김수연</t>
        </is>
      </c>
      <c r="Q1121" t="inlineStr">
        <is>
          <t>홈서비스 60개월</t>
        </is>
      </c>
      <c r="AB1121" t="inlineStr">
        <is>
          <t>홈서비스</t>
        </is>
      </c>
      <c r="AC1121" t="n">
        <v>825440</v>
      </c>
      <c r="AD1121" t="n">
        <v>65660</v>
      </c>
      <c r="AE1121" t="n">
        <v>759780</v>
      </c>
      <c r="AF1121" t="n">
        <v>750400</v>
      </c>
      <c r="AG1121" t="n">
        <v>65660</v>
      </c>
      <c r="AH1121" t="n">
        <v>684740</v>
      </c>
      <c r="AI1121" t="n">
        <v>1</v>
      </c>
    </row>
    <row r="1122">
      <c r="A1122" t="inlineStr">
        <is>
          <t>2월</t>
        </is>
      </c>
      <c r="B1122" t="inlineStr">
        <is>
          <t>7주차</t>
        </is>
      </c>
      <c r="C1122" t="inlineStr">
        <is>
          <t>IM</t>
        </is>
      </c>
      <c r="D1122" s="28" t="n">
        <v>46066</v>
      </c>
      <c r="E1122" t="inlineStr">
        <is>
          <t>IM캐피탈</t>
        </is>
      </c>
      <c r="F1122" t="inlineStr">
        <is>
          <t>최희연</t>
        </is>
      </c>
      <c r="G1122" t="inlineStr">
        <is>
          <t>010-2887-4119</t>
        </is>
      </c>
      <c r="H1122" t="inlineStr">
        <is>
          <t>48나7031</t>
        </is>
      </c>
      <c r="I1122" t="n">
        <v>13000000</v>
      </c>
      <c r="J1122" t="n">
        <v>0.049</v>
      </c>
      <c r="K1122" t="n">
        <v>1.21</v>
      </c>
      <c r="L1122" t="n">
        <v>0.14</v>
      </c>
      <c r="M1122" t="n">
        <v>1.07</v>
      </c>
      <c r="P1122" t="inlineStr">
        <is>
          <t>김나윤</t>
        </is>
      </c>
      <c r="Q1122" t="inlineStr">
        <is>
          <t>홈서비스 48개월</t>
        </is>
      </c>
      <c r="AB1122" t="inlineStr">
        <is>
          <t>홈서비스</t>
        </is>
      </c>
      <c r="AC1122" t="n">
        <v>157300</v>
      </c>
      <c r="AD1122" t="n">
        <v>18200</v>
      </c>
      <c r="AE1122" t="n">
        <v>139100</v>
      </c>
      <c r="AF1122" t="n">
        <v>143000</v>
      </c>
      <c r="AG1122" t="n">
        <v>18200</v>
      </c>
      <c r="AH1122" t="n">
        <v>124800</v>
      </c>
      <c r="AI1122" t="n">
        <v>1</v>
      </c>
    </row>
    <row r="1123">
      <c r="A1123" t="inlineStr">
        <is>
          <t>2월</t>
        </is>
      </c>
      <c r="B1123" t="inlineStr">
        <is>
          <t>8주차</t>
        </is>
      </c>
      <c r="C1123" t="inlineStr">
        <is>
          <t>EP</t>
        </is>
      </c>
      <c r="D1123" s="28" t="n">
        <v>46074</v>
      </c>
      <c r="E1123" t="inlineStr">
        <is>
          <t>현대EP</t>
        </is>
      </c>
      <c r="F1123" t="inlineStr">
        <is>
          <t>정성권</t>
        </is>
      </c>
      <c r="G1123" t="inlineStr">
        <is>
          <t>010-5228-5210</t>
        </is>
      </c>
      <c r="H1123" t="inlineStr">
        <is>
          <t>225구7894</t>
        </is>
      </c>
      <c r="I1123" t="n">
        <v>18000000</v>
      </c>
      <c r="J1123" t="n">
        <v>0.06900000000000001</v>
      </c>
      <c r="K1123" t="n">
        <v>1.21</v>
      </c>
      <c r="L1123" t="n">
        <v>0.14</v>
      </c>
      <c r="M1123" t="n">
        <v>1.07</v>
      </c>
      <c r="P1123" t="inlineStr">
        <is>
          <t>황채이</t>
        </is>
      </c>
      <c r="Q1123" t="inlineStr">
        <is>
          <t>홈서비스 60개월</t>
        </is>
      </c>
      <c r="AB1123" t="inlineStr">
        <is>
          <t>홈서비스</t>
        </is>
      </c>
      <c r="AC1123" t="n">
        <v>217800</v>
      </c>
      <c r="AD1123" t="n">
        <v>25200</v>
      </c>
      <c r="AE1123" t="n">
        <v>192600</v>
      </c>
      <c r="AF1123" t="n">
        <v>198000</v>
      </c>
      <c r="AG1123" t="n">
        <v>25200</v>
      </c>
      <c r="AH1123" t="n">
        <v>172800</v>
      </c>
      <c r="AI1123" t="n">
        <v>1</v>
      </c>
    </row>
    <row r="1124">
      <c r="A1124" t="inlineStr">
        <is>
          <t>2월</t>
        </is>
      </c>
      <c r="B1124" t="inlineStr">
        <is>
          <t>6주차</t>
        </is>
      </c>
      <c r="C1124" t="inlineStr">
        <is>
          <t>EP</t>
        </is>
      </c>
      <c r="D1124" s="28" t="n">
        <v>46059</v>
      </c>
      <c r="E1124" t="inlineStr">
        <is>
          <t>현대EP_fast</t>
        </is>
      </c>
      <c r="F1124" t="inlineStr">
        <is>
          <t>박현범</t>
        </is>
      </c>
      <c r="G1124" t="inlineStr">
        <is>
          <t>010-7721-9881</t>
        </is>
      </c>
      <c r="H1124" t="inlineStr">
        <is>
          <t>73로1841</t>
        </is>
      </c>
      <c r="I1124" t="n">
        <v>7400000</v>
      </c>
      <c r="J1124" t="n">
        <v>0.115</v>
      </c>
      <c r="K1124" t="n">
        <v>1.76</v>
      </c>
      <c r="L1124" t="n">
        <v>0.4</v>
      </c>
      <c r="M1124" t="n">
        <v>1.36</v>
      </c>
      <c r="P1124" t="inlineStr">
        <is>
          <t>장현경</t>
        </is>
      </c>
      <c r="AB1124" t="inlineStr">
        <is>
          <t>엔카</t>
        </is>
      </c>
      <c r="AC1124" t="n">
        <v>130240</v>
      </c>
      <c r="AD1124" t="n">
        <v>29600</v>
      </c>
      <c r="AE1124" t="n">
        <v>100640</v>
      </c>
      <c r="AF1124" t="n">
        <v>118400</v>
      </c>
      <c r="AG1124" t="n">
        <v>29600</v>
      </c>
      <c r="AH1124" t="n">
        <v>88800</v>
      </c>
    </row>
    <row r="1125">
      <c r="A1125" t="inlineStr">
        <is>
          <t>2월</t>
        </is>
      </c>
      <c r="B1125" t="inlineStr">
        <is>
          <t>9주차</t>
        </is>
      </c>
      <c r="C1125" t="inlineStr">
        <is>
          <t>EP</t>
        </is>
      </c>
      <c r="D1125" s="28" t="n">
        <v>46077</v>
      </c>
      <c r="E1125" t="inlineStr">
        <is>
          <t>현대EP</t>
        </is>
      </c>
      <c r="F1125" t="inlineStr">
        <is>
          <t>이재현</t>
        </is>
      </c>
      <c r="G1125" t="inlineStr">
        <is>
          <t>010-6779-4371</t>
        </is>
      </c>
      <c r="H1125" t="inlineStr">
        <is>
          <t>347두6262</t>
        </is>
      </c>
      <c r="I1125" t="n">
        <v>10000000</v>
      </c>
      <c r="J1125" t="n">
        <v>0.068</v>
      </c>
      <c r="K1125" t="n">
        <v>1.76</v>
      </c>
      <c r="L1125" t="n">
        <v>0.14</v>
      </c>
      <c r="M1125" t="n">
        <v>1.62</v>
      </c>
      <c r="P1125" t="inlineStr">
        <is>
          <t>최형주</t>
        </is>
      </c>
      <c r="Q1125" t="inlineStr">
        <is>
          <t>홈서비스 36개월</t>
        </is>
      </c>
      <c r="AB1125" t="inlineStr">
        <is>
          <t>홈서비스</t>
        </is>
      </c>
      <c r="AC1125" t="n">
        <v>176000</v>
      </c>
      <c r="AD1125" t="n">
        <v>14000</v>
      </c>
      <c r="AE1125" t="n">
        <v>162000</v>
      </c>
      <c r="AF1125" t="n">
        <v>160000</v>
      </c>
      <c r="AG1125" t="n">
        <v>14000</v>
      </c>
      <c r="AH1125" t="n">
        <v>146000</v>
      </c>
    </row>
    <row r="1126">
      <c r="A1126" t="inlineStr">
        <is>
          <t>2월</t>
        </is>
      </c>
      <c r="B1126" t="inlineStr">
        <is>
          <t>9주차</t>
        </is>
      </c>
      <c r="C1126" t="inlineStr">
        <is>
          <t>EP</t>
        </is>
      </c>
      <c r="D1126" s="28" t="n">
        <v>46077</v>
      </c>
      <c r="E1126" t="inlineStr">
        <is>
          <t>제이비EP</t>
        </is>
      </c>
      <c r="F1126" t="inlineStr">
        <is>
          <t>이동현</t>
        </is>
      </c>
      <c r="G1126" t="inlineStr">
        <is>
          <t>010-6311-3331</t>
        </is>
      </c>
      <c r="H1126" t="inlineStr">
        <is>
          <t>69두2614</t>
        </is>
      </c>
      <c r="I1126" t="n">
        <v>-7900000</v>
      </c>
      <c r="J1126" t="n">
        <v>0.092</v>
      </c>
      <c r="K1126" t="n">
        <v>1.21</v>
      </c>
      <c r="L1126" t="n">
        <v>0.4</v>
      </c>
      <c r="M1126" t="n">
        <v>0.8100000000000001</v>
      </c>
      <c r="P1126" t="inlineStr">
        <is>
          <t>장현경</t>
        </is>
      </c>
      <c r="Q1126" t="inlineStr">
        <is>
          <t>*철회 0227</t>
        </is>
      </c>
      <c r="AB1126" t="inlineStr">
        <is>
          <t>엔카</t>
        </is>
      </c>
      <c r="AC1126" t="n">
        <v>-95590</v>
      </c>
      <c r="AD1126" t="n">
        <v>-31600</v>
      </c>
      <c r="AE1126" t="n">
        <v>-63990</v>
      </c>
      <c r="AF1126" t="n">
        <v>-86900</v>
      </c>
      <c r="AG1126" t="n">
        <v>-31600</v>
      </c>
      <c r="AH1126" t="n">
        <v>-55300</v>
      </c>
      <c r="AI1126" t="n">
        <v>0</v>
      </c>
      <c r="AK1126" t="inlineStr">
        <is>
          <t>대출철회</t>
        </is>
      </c>
    </row>
    <row r="1127">
      <c r="A1127" t="inlineStr">
        <is>
          <t>2월</t>
        </is>
      </c>
      <c r="B1127" t="inlineStr">
        <is>
          <t>7주차</t>
        </is>
      </c>
      <c r="C1127" t="inlineStr">
        <is>
          <t>EP</t>
        </is>
      </c>
      <c r="D1127" s="28" t="n">
        <v>46064</v>
      </c>
      <c r="E1127" t="inlineStr">
        <is>
          <t>현대EP_fast</t>
        </is>
      </c>
      <c r="F1127" t="inlineStr">
        <is>
          <t>윤지형</t>
        </is>
      </c>
      <c r="G1127" t="inlineStr">
        <is>
          <t>010-2563-2322</t>
        </is>
      </c>
      <c r="H1127" t="inlineStr">
        <is>
          <t>38가8291</t>
        </is>
      </c>
      <c r="I1127" t="n">
        <v>19900000</v>
      </c>
      <c r="J1127" t="n">
        <v>0.126</v>
      </c>
      <c r="K1127" t="n">
        <v>1.76</v>
      </c>
      <c r="L1127" t="n">
        <v>0.4</v>
      </c>
      <c r="M1127" t="n">
        <v>1.36</v>
      </c>
      <c r="P1127" t="inlineStr">
        <is>
          <t>장현경</t>
        </is>
      </c>
      <c r="Q1127" t="inlineStr">
        <is>
          <t>금리인하 0.5% 적용건 (13.1  &gt; 12.6)</t>
        </is>
      </c>
      <c r="AB1127" t="inlineStr">
        <is>
          <t>엔카</t>
        </is>
      </c>
      <c r="AC1127" t="n">
        <v>350240</v>
      </c>
      <c r="AD1127" t="n">
        <v>79600</v>
      </c>
      <c r="AE1127" t="n">
        <v>270640</v>
      </c>
      <c r="AF1127" t="n">
        <v>318400</v>
      </c>
      <c r="AG1127" t="n">
        <v>79600</v>
      </c>
      <c r="AH1127" t="n">
        <v>238800</v>
      </c>
      <c r="AI1127" t="n">
        <v>0</v>
      </c>
    </row>
    <row r="1128">
      <c r="A1128" t="inlineStr">
        <is>
          <t>2월</t>
        </is>
      </c>
      <c r="B1128" t="inlineStr">
        <is>
          <t>7주차</t>
        </is>
      </c>
      <c r="C1128" t="inlineStr">
        <is>
          <t>IM</t>
        </is>
      </c>
      <c r="D1128" s="28" t="n">
        <v>46062</v>
      </c>
      <c r="E1128" t="inlineStr">
        <is>
          <t>IM캐피탈</t>
        </is>
      </c>
      <c r="F1128" t="inlineStr">
        <is>
          <t>여호준</t>
        </is>
      </c>
      <c r="G1128" t="inlineStr">
        <is>
          <t>010-2485-4447</t>
        </is>
      </c>
      <c r="H1128" t="inlineStr">
        <is>
          <t>378부2629</t>
        </is>
      </c>
      <c r="I1128" t="n">
        <v>38100000</v>
      </c>
      <c r="J1128" t="n">
        <v>0.056</v>
      </c>
      <c r="K1128" t="n">
        <v>1.1</v>
      </c>
      <c r="L1128" t="n">
        <v>0.14</v>
      </c>
      <c r="M1128" t="n">
        <v>0.96</v>
      </c>
      <c r="P1128" t="inlineStr">
        <is>
          <t>황채이</t>
        </is>
      </c>
      <c r="Q1128" t="inlineStr">
        <is>
          <t>홈서비스 60개월</t>
        </is>
      </c>
      <c r="AB1128" t="inlineStr">
        <is>
          <t>홈서비스</t>
        </is>
      </c>
      <c r="AC1128" t="n">
        <v>419100</v>
      </c>
      <c r="AD1128" t="n">
        <v>53340</v>
      </c>
      <c r="AE1128" t="n">
        <v>365760</v>
      </c>
      <c r="AF1128" t="n">
        <v>381000</v>
      </c>
      <c r="AG1128" t="n">
        <v>53340</v>
      </c>
      <c r="AH1128" t="n">
        <v>327660</v>
      </c>
    </row>
    <row r="1129">
      <c r="A1129" t="inlineStr">
        <is>
          <t>2월</t>
        </is>
      </c>
      <c r="B1129" t="inlineStr">
        <is>
          <t>6주차</t>
        </is>
      </c>
      <c r="C1129" t="inlineStr">
        <is>
          <t>EP</t>
        </is>
      </c>
      <c r="D1129" s="28" t="n">
        <v>46058</v>
      </c>
      <c r="E1129" t="inlineStr">
        <is>
          <t>현대EP_fast</t>
        </is>
      </c>
      <c r="F1129" t="inlineStr">
        <is>
          <t>홍승진</t>
        </is>
      </c>
      <c r="G1129" t="inlineStr">
        <is>
          <t>010-3834-3426</t>
        </is>
      </c>
      <c r="H1129" t="inlineStr">
        <is>
          <t>60주5801</t>
        </is>
      </c>
      <c r="I1129" t="n">
        <v>10300000</v>
      </c>
      <c r="J1129" t="n">
        <v>0.141</v>
      </c>
      <c r="K1129" t="n">
        <v>1.76</v>
      </c>
      <c r="L1129" t="n">
        <v>0.4</v>
      </c>
      <c r="M1129" t="n">
        <v>1.36</v>
      </c>
      <c r="P1129" t="inlineStr">
        <is>
          <t>장진경</t>
        </is>
      </c>
      <c r="Q1129" t="inlineStr">
        <is>
          <t>고객주도체결</t>
        </is>
      </c>
      <c r="AB1129" t="inlineStr">
        <is>
          <t>엔카</t>
        </is>
      </c>
      <c r="AC1129" t="n">
        <v>181280</v>
      </c>
      <c r="AD1129" t="n">
        <v>41200</v>
      </c>
      <c r="AE1129" t="n">
        <v>140080</v>
      </c>
      <c r="AF1129" t="n">
        <v>164800</v>
      </c>
      <c r="AG1129" t="n">
        <v>41200</v>
      </c>
      <c r="AH1129" t="n">
        <v>123600</v>
      </c>
      <c r="AI1129" t="n">
        <v>0</v>
      </c>
    </row>
    <row r="1130">
      <c r="A1130" t="inlineStr">
        <is>
          <t>2월</t>
        </is>
      </c>
      <c r="B1130" t="inlineStr">
        <is>
          <t>9주차</t>
        </is>
      </c>
      <c r="C1130" t="inlineStr">
        <is>
          <t>OR</t>
        </is>
      </c>
      <c r="D1130" s="28" t="n">
        <v>46076</v>
      </c>
      <c r="E1130" t="inlineStr">
        <is>
          <t>오릭스</t>
        </is>
      </c>
      <c r="F1130" t="inlineStr">
        <is>
          <t>최규황</t>
        </is>
      </c>
      <c r="G1130" t="inlineStr">
        <is>
          <t>010-8347-8005</t>
        </is>
      </c>
      <c r="H1130" t="inlineStr">
        <is>
          <t>08더3801</t>
        </is>
      </c>
      <c r="I1130" t="n">
        <v>25000000</v>
      </c>
      <c r="J1130" t="n">
        <v>0.08500000000000001</v>
      </c>
      <c r="K1130" t="n">
        <v>1.65</v>
      </c>
      <c r="L1130" t="n">
        <v>0.14</v>
      </c>
      <c r="M1130" t="n">
        <v>1.51</v>
      </c>
      <c r="P1130" t="inlineStr">
        <is>
          <t>장현경</t>
        </is>
      </c>
      <c r="Q1130" t="inlineStr">
        <is>
          <t>선상담 / 홈서비스 60개월</t>
        </is>
      </c>
      <c r="AB1130" t="inlineStr">
        <is>
          <t>홈서비스</t>
        </is>
      </c>
      <c r="AC1130" t="n">
        <v>412500</v>
      </c>
      <c r="AD1130" t="n">
        <v>35000</v>
      </c>
      <c r="AE1130" t="n">
        <v>377500</v>
      </c>
      <c r="AF1130" t="n">
        <v>375000</v>
      </c>
      <c r="AG1130" t="n">
        <v>35000</v>
      </c>
      <c r="AH1130" t="n">
        <v>340000</v>
      </c>
    </row>
    <row r="1131">
      <c r="A1131" t="inlineStr">
        <is>
          <t>2월</t>
        </is>
      </c>
      <c r="B1131" t="inlineStr">
        <is>
          <t>9주차</t>
        </is>
      </c>
      <c r="C1131" t="inlineStr">
        <is>
          <t>OR</t>
        </is>
      </c>
      <c r="D1131" s="28" t="n">
        <v>46078</v>
      </c>
      <c r="E1131" t="inlineStr">
        <is>
          <t>오릭스</t>
        </is>
      </c>
      <c r="F1131" t="inlineStr">
        <is>
          <t>조담희</t>
        </is>
      </c>
      <c r="G1131" t="inlineStr">
        <is>
          <t>010-7667-2419</t>
        </is>
      </c>
      <c r="H1131" t="inlineStr">
        <is>
          <t>50라9566</t>
        </is>
      </c>
      <c r="I1131" t="n">
        <v>3100000</v>
      </c>
      <c r="J1131" t="n">
        <v>0.075</v>
      </c>
      <c r="K1131" t="n">
        <v>1.21</v>
      </c>
      <c r="L1131" t="n">
        <v>0.4</v>
      </c>
      <c r="M1131" t="n">
        <v>0.8100000000000001</v>
      </c>
      <c r="P1131" t="inlineStr">
        <is>
          <t>박현민</t>
        </is>
      </c>
      <c r="AB1131" t="inlineStr">
        <is>
          <t>엔카</t>
        </is>
      </c>
      <c r="AC1131" t="n">
        <v>37510</v>
      </c>
      <c r="AD1131" t="n">
        <v>12400</v>
      </c>
      <c r="AE1131" t="n">
        <v>25110</v>
      </c>
      <c r="AF1131" t="n">
        <v>34100</v>
      </c>
      <c r="AG1131" t="n">
        <v>12400</v>
      </c>
      <c r="AH1131" t="n">
        <v>21700</v>
      </c>
      <c r="AI1131" t="n">
        <v>0</v>
      </c>
    </row>
    <row r="1132">
      <c r="A1132" t="inlineStr">
        <is>
          <t>2월</t>
        </is>
      </c>
      <c r="B1132" t="inlineStr">
        <is>
          <t>6주차</t>
        </is>
      </c>
      <c r="C1132" t="inlineStr">
        <is>
          <t>EP</t>
        </is>
      </c>
      <c r="D1132" s="28" t="n">
        <v>46059</v>
      </c>
      <c r="E1132" t="inlineStr">
        <is>
          <t>현대EP_fast</t>
        </is>
      </c>
      <c r="F1132" t="inlineStr">
        <is>
          <t>조윤성</t>
        </is>
      </c>
      <c r="G1132" t="n">
        <v>1044117151</v>
      </c>
      <c r="H1132" t="inlineStr">
        <is>
          <t>05마2801</t>
        </is>
      </c>
      <c r="I1132" t="n">
        <v>12000000</v>
      </c>
      <c r="J1132" t="n">
        <v>0.124</v>
      </c>
      <c r="K1132" t="n">
        <v>1.76</v>
      </c>
      <c r="L1132" t="n">
        <v>0.14</v>
      </c>
      <c r="M1132" t="n">
        <v>1.62</v>
      </c>
      <c r="P1132" t="inlineStr">
        <is>
          <t>김나윤</t>
        </is>
      </c>
      <c r="Q1132" t="inlineStr">
        <is>
          <t>홈서비스 60개월</t>
        </is>
      </c>
      <c r="AB1132" t="inlineStr">
        <is>
          <t>홈서비스</t>
        </is>
      </c>
      <c r="AC1132" t="n">
        <v>211200</v>
      </c>
      <c r="AD1132" t="n">
        <v>16800</v>
      </c>
      <c r="AE1132" t="n">
        <v>194400</v>
      </c>
      <c r="AF1132" t="n">
        <v>192000</v>
      </c>
      <c r="AG1132" t="n">
        <v>16800</v>
      </c>
      <c r="AH1132" t="n">
        <v>175200</v>
      </c>
    </row>
    <row r="1133">
      <c r="A1133" t="inlineStr">
        <is>
          <t>2월</t>
        </is>
      </c>
      <c r="B1133" t="inlineStr">
        <is>
          <t>7주차</t>
        </is>
      </c>
      <c r="C1133" t="inlineStr">
        <is>
          <t>EP</t>
        </is>
      </c>
      <c r="D1133" s="28" t="n">
        <v>46062</v>
      </c>
      <c r="E1133" t="inlineStr">
        <is>
          <t>현대EP_fast</t>
        </is>
      </c>
      <c r="F1133" t="inlineStr">
        <is>
          <t>황보영균</t>
        </is>
      </c>
      <c r="G1133" t="n">
        <v>1032549904</v>
      </c>
      <c r="H1133" t="inlineStr">
        <is>
          <t>74고0672</t>
        </is>
      </c>
      <c r="I1133" t="n">
        <v>20700000</v>
      </c>
      <c r="J1133" t="n">
        <v>0.057</v>
      </c>
      <c r="K1133" t="n">
        <v>1.76</v>
      </c>
      <c r="L1133" t="n">
        <v>0.14</v>
      </c>
      <c r="M1133" t="n">
        <v>1.62</v>
      </c>
      <c r="P1133" t="inlineStr">
        <is>
          <t>최형주</t>
        </is>
      </c>
      <c r="Q1133" t="inlineStr">
        <is>
          <t>홈서비스 60개월</t>
        </is>
      </c>
      <c r="AB1133" t="inlineStr">
        <is>
          <t>홈서비스</t>
        </is>
      </c>
      <c r="AC1133" t="n">
        <v>364320</v>
      </c>
      <c r="AD1133" t="n">
        <v>28980</v>
      </c>
      <c r="AE1133" t="n">
        <v>335340</v>
      </c>
      <c r="AF1133" t="n">
        <v>331200</v>
      </c>
      <c r="AG1133" t="n">
        <v>28980</v>
      </c>
      <c r="AH1133" t="n">
        <v>302220</v>
      </c>
      <c r="AI1133" t="n">
        <v>0</v>
      </c>
    </row>
    <row r="1134">
      <c r="A1134" t="inlineStr">
        <is>
          <t>2월</t>
        </is>
      </c>
      <c r="B1134" t="inlineStr">
        <is>
          <t>6주차</t>
        </is>
      </c>
      <c r="C1134" t="inlineStr">
        <is>
          <t>EP</t>
        </is>
      </c>
      <c r="D1134" s="28" t="n">
        <v>46059</v>
      </c>
      <c r="E1134" t="inlineStr">
        <is>
          <t>제이비EP</t>
        </is>
      </c>
      <c r="F1134" t="inlineStr">
        <is>
          <t>이세민</t>
        </is>
      </c>
      <c r="G1134" t="inlineStr">
        <is>
          <t>010-7913-2414</t>
        </is>
      </c>
      <c r="H1134" t="inlineStr">
        <is>
          <t>800소3545</t>
        </is>
      </c>
      <c r="I1134" t="n">
        <v>11000000</v>
      </c>
      <c r="J1134" t="n">
        <v>0.092</v>
      </c>
      <c r="K1134" t="n">
        <v>1.21</v>
      </c>
      <c r="L1134" t="n">
        <v>0.4</v>
      </c>
      <c r="M1134" t="n">
        <v>0.8100000000000001</v>
      </c>
      <c r="P1134" t="inlineStr">
        <is>
          <t>구성완</t>
        </is>
      </c>
      <c r="AB1134" t="inlineStr">
        <is>
          <t>엔카</t>
        </is>
      </c>
      <c r="AC1134" t="n">
        <v>133100</v>
      </c>
      <c r="AD1134" t="n">
        <v>44000</v>
      </c>
      <c r="AE1134" t="n">
        <v>89100</v>
      </c>
      <c r="AF1134" t="n">
        <v>121000</v>
      </c>
      <c r="AG1134" t="n">
        <v>44000</v>
      </c>
      <c r="AH1134" t="n">
        <v>77000</v>
      </c>
    </row>
    <row r="1135">
      <c r="A1135" t="inlineStr">
        <is>
          <t>2월</t>
        </is>
      </c>
      <c r="B1135" t="inlineStr">
        <is>
          <t>9주차</t>
        </is>
      </c>
      <c r="C1135" t="inlineStr">
        <is>
          <t>IM</t>
        </is>
      </c>
      <c r="D1135" s="28" t="n">
        <v>46078</v>
      </c>
      <c r="E1135" t="inlineStr">
        <is>
          <t>IM캐피탈</t>
        </is>
      </c>
      <c r="F1135" t="inlineStr">
        <is>
          <t>최호철</t>
        </is>
      </c>
      <c r="G1135" t="inlineStr">
        <is>
          <t>010-2636-2758</t>
        </is>
      </c>
      <c r="H1135" t="inlineStr">
        <is>
          <t>46조7031</t>
        </is>
      </c>
      <c r="I1135" t="n">
        <v>36000000</v>
      </c>
      <c r="J1135" t="n">
        <v>0.059</v>
      </c>
      <c r="K1135" t="n">
        <v>1.1</v>
      </c>
      <c r="L1135" t="n">
        <v>0.14</v>
      </c>
      <c r="M1135" t="n">
        <v>0.96</v>
      </c>
      <c r="P1135" t="inlineStr">
        <is>
          <t>김나윤</t>
        </is>
      </c>
      <c r="Q1135" t="inlineStr">
        <is>
          <t>홈서비스 60개월</t>
        </is>
      </c>
      <c r="AB1135" t="inlineStr">
        <is>
          <t>홈서비스</t>
        </is>
      </c>
      <c r="AC1135" t="n">
        <v>396000</v>
      </c>
      <c r="AD1135" t="n">
        <v>50400</v>
      </c>
      <c r="AE1135" t="n">
        <v>345600</v>
      </c>
      <c r="AF1135" t="n">
        <v>360000</v>
      </c>
      <c r="AG1135" t="n">
        <v>50400</v>
      </c>
      <c r="AH1135" t="n">
        <v>309600</v>
      </c>
      <c r="AI1135" t="n">
        <v>0</v>
      </c>
    </row>
    <row r="1136">
      <c r="A1136" t="inlineStr">
        <is>
          <t>2월</t>
        </is>
      </c>
      <c r="B1136" t="inlineStr">
        <is>
          <t>6주차</t>
        </is>
      </c>
      <c r="C1136" t="inlineStr">
        <is>
          <t>EP</t>
        </is>
      </c>
      <c r="D1136" s="28" t="n">
        <v>46061</v>
      </c>
      <c r="E1136" t="inlineStr">
        <is>
          <t>현대EP</t>
        </is>
      </c>
      <c r="F1136" t="inlineStr">
        <is>
          <t>홍성범</t>
        </is>
      </c>
      <c r="G1136" t="inlineStr">
        <is>
          <t>010-6417-7143</t>
        </is>
      </c>
      <c r="H1136" t="inlineStr">
        <is>
          <t>58무2553</t>
        </is>
      </c>
      <c r="I1136" t="n">
        <v>5900000</v>
      </c>
      <c r="J1136" t="n">
        <v>0.07199999999999999</v>
      </c>
      <c r="K1136" t="n">
        <v>1.76</v>
      </c>
      <c r="L1136" t="n">
        <v>0.14</v>
      </c>
      <c r="M1136" t="n">
        <v>1.62</v>
      </c>
      <c r="P1136" t="inlineStr">
        <is>
          <t>김나윤</t>
        </is>
      </c>
      <c r="Q1136" t="inlineStr">
        <is>
          <t>홈서비스 60개월</t>
        </is>
      </c>
      <c r="AB1136" t="inlineStr">
        <is>
          <t>홈서비스</t>
        </is>
      </c>
      <c r="AC1136" t="n">
        <v>103840</v>
      </c>
      <c r="AD1136" t="n">
        <v>8260</v>
      </c>
      <c r="AE1136" t="n">
        <v>95580</v>
      </c>
      <c r="AF1136" t="n">
        <v>94400</v>
      </c>
      <c r="AG1136" t="n">
        <v>8260</v>
      </c>
      <c r="AH1136" t="n">
        <v>86140</v>
      </c>
    </row>
    <row r="1137">
      <c r="A1137" t="inlineStr">
        <is>
          <t>2월</t>
        </is>
      </c>
      <c r="B1137" t="inlineStr">
        <is>
          <t>7주차</t>
        </is>
      </c>
      <c r="C1137" t="inlineStr">
        <is>
          <t>OR</t>
        </is>
      </c>
      <c r="D1137" s="28" t="n">
        <v>46062</v>
      </c>
      <c r="E1137" t="inlineStr">
        <is>
          <t>오릭스</t>
        </is>
      </c>
      <c r="F1137" t="inlineStr">
        <is>
          <t>유현정</t>
        </is>
      </c>
      <c r="G1137" t="inlineStr">
        <is>
          <t>010-3612-1110</t>
        </is>
      </c>
      <c r="H1137" t="inlineStr">
        <is>
          <t>38버6232</t>
        </is>
      </c>
      <c r="I1137" t="n">
        <v>4900000</v>
      </c>
      <c r="J1137" t="n">
        <v>0.08599999999999999</v>
      </c>
      <c r="K1137" t="n">
        <v>1.65</v>
      </c>
      <c r="L1137" t="n">
        <v>0.14</v>
      </c>
      <c r="M1137" t="n">
        <v>1.51</v>
      </c>
      <c r="P1137" t="inlineStr">
        <is>
          <t>황채이</t>
        </is>
      </c>
      <c r="Q1137" t="inlineStr">
        <is>
          <t>홈서비스 24개월</t>
        </is>
      </c>
      <c r="AB1137" t="inlineStr">
        <is>
          <t>홈서비스</t>
        </is>
      </c>
      <c r="AC1137" t="n">
        <v>80850</v>
      </c>
      <c r="AD1137" t="n">
        <v>6860</v>
      </c>
      <c r="AE1137" t="n">
        <v>73990</v>
      </c>
      <c r="AF1137" t="n">
        <v>73500</v>
      </c>
      <c r="AG1137" t="n">
        <v>6860</v>
      </c>
      <c r="AH1137" t="n">
        <v>66640</v>
      </c>
      <c r="AI1137" t="n">
        <v>0</v>
      </c>
    </row>
    <row r="1138">
      <c r="A1138" t="inlineStr">
        <is>
          <t>2월</t>
        </is>
      </c>
      <c r="B1138" t="inlineStr">
        <is>
          <t>9주차</t>
        </is>
      </c>
      <c r="C1138" t="inlineStr">
        <is>
          <t>EP</t>
        </is>
      </c>
      <c r="D1138" s="28" t="n">
        <v>46080</v>
      </c>
      <c r="E1138" t="inlineStr">
        <is>
          <t>현대EP_fast</t>
        </is>
      </c>
      <c r="F1138" t="inlineStr">
        <is>
          <t>한다슬</t>
        </is>
      </c>
      <c r="G1138" t="inlineStr">
        <is>
          <t>010-5879-1036</t>
        </is>
      </c>
      <c r="H1138" t="inlineStr">
        <is>
          <t>321나7774</t>
        </is>
      </c>
      <c r="I1138" t="n">
        <v>9800000</v>
      </c>
      <c r="J1138" t="n">
        <v>0.07099999999999999</v>
      </c>
      <c r="K1138" t="n">
        <v>1.76</v>
      </c>
      <c r="L1138" t="n">
        <v>0.14</v>
      </c>
      <c r="M1138" t="n">
        <v>1.62</v>
      </c>
      <c r="P1138" t="inlineStr">
        <is>
          <t>황채이</t>
        </is>
      </c>
      <c r="Q1138" t="inlineStr">
        <is>
          <t>홈서비스 60개월 / 금리인하 0.5% 적용건 (7.6 &gt; 7.1)</t>
        </is>
      </c>
      <c r="AB1138" t="inlineStr">
        <is>
          <t>홈서비스</t>
        </is>
      </c>
      <c r="AC1138" t="n">
        <v>172480</v>
      </c>
      <c r="AD1138" t="n">
        <v>13720</v>
      </c>
      <c r="AE1138" t="n">
        <v>158760</v>
      </c>
      <c r="AF1138" t="n">
        <v>156800</v>
      </c>
      <c r="AG1138" t="n">
        <v>13720</v>
      </c>
      <c r="AH1138" t="n">
        <v>143080</v>
      </c>
      <c r="AI1138" t="n">
        <v>0</v>
      </c>
    </row>
    <row r="1139">
      <c r="A1139" t="inlineStr">
        <is>
          <t>1월</t>
        </is>
      </c>
      <c r="B1139" t="inlineStr">
        <is>
          <t>5주차</t>
        </is>
      </c>
      <c r="C1139" t="inlineStr">
        <is>
          <t>OR</t>
        </is>
      </c>
      <c r="D1139" s="28" t="n">
        <v>46051</v>
      </c>
      <c r="E1139" t="inlineStr">
        <is>
          <t>오릭스</t>
        </is>
      </c>
      <c r="F1139" t="inlineStr">
        <is>
          <t>배민준</t>
        </is>
      </c>
      <c r="G1139" t="inlineStr">
        <is>
          <t>010-7657-5121</t>
        </is>
      </c>
      <c r="H1139" t="inlineStr">
        <is>
          <t>172라6316</t>
        </is>
      </c>
      <c r="I1139" t="n">
        <v>26000000</v>
      </c>
      <c r="J1139" t="n">
        <v>0.07199999999999999</v>
      </c>
      <c r="K1139" t="n">
        <v>1.65</v>
      </c>
      <c r="L1139" t="n">
        <v>0.13</v>
      </c>
      <c r="M1139" t="n">
        <v>1.52</v>
      </c>
      <c r="P1139" t="inlineStr">
        <is>
          <t>정세빈</t>
        </is>
      </c>
      <c r="Q1139" t="inlineStr">
        <is>
          <t>홈서비스 60개월 / 사유:금리불만</t>
        </is>
      </c>
      <c r="AB1139" t="inlineStr">
        <is>
          <t>홈서비스</t>
        </is>
      </c>
      <c r="AC1139" t="n">
        <v>429000</v>
      </c>
      <c r="AD1139" t="n">
        <v>33800</v>
      </c>
      <c r="AE1139" t="n">
        <v>395200</v>
      </c>
      <c r="AF1139" t="n">
        <v>390000</v>
      </c>
      <c r="AG1139" t="n">
        <v>33800</v>
      </c>
      <c r="AH1139" t="n">
        <v>356200</v>
      </c>
    </row>
    <row r="1140">
      <c r="A1140" t="inlineStr">
        <is>
          <t>2월</t>
        </is>
      </c>
      <c r="B1140" t="inlineStr">
        <is>
          <t>6주차</t>
        </is>
      </c>
      <c r="C1140" t="inlineStr">
        <is>
          <t>EP</t>
        </is>
      </c>
      <c r="D1140" s="28" t="n">
        <v>46055</v>
      </c>
      <c r="E1140" t="inlineStr">
        <is>
          <t>현대EP_fast</t>
        </is>
      </c>
      <c r="F1140" t="inlineStr">
        <is>
          <t>김현석</t>
        </is>
      </c>
      <c r="G1140" t="inlineStr">
        <is>
          <t>010-4518-8411</t>
        </is>
      </c>
      <c r="H1140" t="inlineStr">
        <is>
          <t>275루5831</t>
        </is>
      </c>
      <c r="I1140" t="n">
        <v>55600000</v>
      </c>
      <c r="J1140" t="n">
        <v>0.07199999999999999</v>
      </c>
      <c r="K1140" t="n">
        <v>1.76</v>
      </c>
      <c r="L1140" t="n">
        <v>0.14</v>
      </c>
      <c r="M1140" t="n">
        <v>1.62</v>
      </c>
      <c r="P1140" t="inlineStr">
        <is>
          <t>황채이</t>
        </is>
      </c>
      <c r="Q1140" t="inlineStr">
        <is>
          <t>홈서비스 60개월</t>
        </is>
      </c>
      <c r="AB1140" t="inlineStr">
        <is>
          <t>홈서비스</t>
        </is>
      </c>
      <c r="AC1140" t="n">
        <v>978560</v>
      </c>
      <c r="AD1140" t="n">
        <v>77840</v>
      </c>
      <c r="AE1140" t="n">
        <v>900720</v>
      </c>
      <c r="AF1140" t="n">
        <v>889600</v>
      </c>
      <c r="AG1140" t="n">
        <v>77840</v>
      </c>
      <c r="AH1140" t="n">
        <v>811760</v>
      </c>
    </row>
    <row r="1141">
      <c r="A1141" t="inlineStr">
        <is>
          <t>2월</t>
        </is>
      </c>
      <c r="B1141" t="inlineStr">
        <is>
          <t>6주차</t>
        </is>
      </c>
      <c r="C1141" t="inlineStr">
        <is>
          <t>EP</t>
        </is>
      </c>
      <c r="D1141" s="28" t="n">
        <v>46055</v>
      </c>
      <c r="E1141" t="inlineStr">
        <is>
          <t>현대EP_fast</t>
        </is>
      </c>
      <c r="F1141" t="inlineStr">
        <is>
          <t>김부겸</t>
        </is>
      </c>
      <c r="G1141" t="inlineStr">
        <is>
          <t>010-9343-4575</t>
        </is>
      </c>
      <c r="H1141" t="inlineStr">
        <is>
          <t>51어0340</t>
        </is>
      </c>
      <c r="I1141" t="n">
        <v>4200000</v>
      </c>
      <c r="J1141" t="n">
        <v>0.068</v>
      </c>
      <c r="K1141" t="n">
        <v>1.76</v>
      </c>
      <c r="L1141" t="n">
        <v>0.14</v>
      </c>
      <c r="M1141" t="n">
        <v>1.62</v>
      </c>
      <c r="P1141" t="inlineStr">
        <is>
          <t>최형주</t>
        </is>
      </c>
      <c r="Q1141" t="inlineStr">
        <is>
          <t>홈서비스 36개월</t>
        </is>
      </c>
      <c r="AB1141" t="inlineStr">
        <is>
          <t>홈서비스</t>
        </is>
      </c>
      <c r="AC1141" t="n">
        <v>73920</v>
      </c>
      <c r="AD1141" t="n">
        <v>5880</v>
      </c>
      <c r="AE1141" t="n">
        <v>68040</v>
      </c>
      <c r="AF1141" t="n">
        <v>67200</v>
      </c>
      <c r="AG1141" t="n">
        <v>5880</v>
      </c>
      <c r="AH1141" t="n">
        <v>61320</v>
      </c>
      <c r="AI1141" t="n">
        <v>0</v>
      </c>
    </row>
    <row r="1142">
      <c r="A1142" t="inlineStr">
        <is>
          <t>2월</t>
        </is>
      </c>
      <c r="B1142" t="inlineStr">
        <is>
          <t>6주차</t>
        </is>
      </c>
      <c r="C1142" t="inlineStr">
        <is>
          <t>IM</t>
        </is>
      </c>
      <c r="D1142" s="28" t="n">
        <v>46059</v>
      </c>
      <c r="E1142" t="inlineStr">
        <is>
          <t>IM캐피탈</t>
        </is>
      </c>
      <c r="F1142" t="inlineStr">
        <is>
          <t>심재은</t>
        </is>
      </c>
      <c r="G1142" t="inlineStr">
        <is>
          <t>010-9608-1471</t>
        </is>
      </c>
      <c r="H1142" t="inlineStr">
        <is>
          <t>145가5968</t>
        </is>
      </c>
      <c r="I1142" t="n">
        <v>16900000</v>
      </c>
      <c r="J1142" t="n">
        <v>0.049</v>
      </c>
      <c r="K1142" t="n">
        <v>1.1</v>
      </c>
      <c r="L1142" t="n">
        <v>0.14</v>
      </c>
      <c r="M1142" t="n">
        <v>0.96</v>
      </c>
      <c r="P1142" t="inlineStr">
        <is>
          <t>장진경</t>
        </is>
      </c>
      <c r="Q1142" t="inlineStr">
        <is>
          <t>선상담 / 홈서비스 60개월</t>
        </is>
      </c>
      <c r="AB1142" t="inlineStr">
        <is>
          <t>홈서비스</t>
        </is>
      </c>
      <c r="AC1142" t="n">
        <v>185900</v>
      </c>
      <c r="AD1142" t="n">
        <v>23660</v>
      </c>
      <c r="AE1142" t="n">
        <v>162240</v>
      </c>
      <c r="AF1142" t="n">
        <v>169000</v>
      </c>
      <c r="AG1142" t="n">
        <v>23660</v>
      </c>
      <c r="AH1142" t="n">
        <v>145340</v>
      </c>
    </row>
    <row r="1143">
      <c r="A1143" t="inlineStr">
        <is>
          <t>1월</t>
        </is>
      </c>
      <c r="B1143" t="inlineStr">
        <is>
          <t>5주차</t>
        </is>
      </c>
      <c r="C1143" t="inlineStr">
        <is>
          <t>EP</t>
        </is>
      </c>
      <c r="D1143" s="28" t="n">
        <v>46053</v>
      </c>
      <c r="E1143" t="inlineStr">
        <is>
          <t>현대EP_fast</t>
        </is>
      </c>
      <c r="F1143" t="inlineStr">
        <is>
          <t>김서희</t>
        </is>
      </c>
      <c r="G1143" t="inlineStr">
        <is>
          <t>010-5611-5640</t>
        </is>
      </c>
      <c r="H1143" t="inlineStr">
        <is>
          <t>10노4367</t>
        </is>
      </c>
      <c r="I1143" t="n">
        <v>20000000</v>
      </c>
      <c r="J1143" t="n">
        <v>0.075</v>
      </c>
      <c r="K1143" t="n">
        <v>1.76</v>
      </c>
      <c r="L1143" t="n">
        <v>0.4</v>
      </c>
      <c r="M1143" t="n">
        <v>1.36</v>
      </c>
      <c r="P1143" t="inlineStr">
        <is>
          <t>임대경</t>
        </is>
      </c>
      <c r="AB1143" t="inlineStr">
        <is>
          <t>엔카</t>
        </is>
      </c>
      <c r="AC1143" t="n">
        <v>352000</v>
      </c>
      <c r="AD1143" t="n">
        <v>80000</v>
      </c>
      <c r="AE1143" t="n">
        <v>272000</v>
      </c>
      <c r="AF1143" t="n">
        <v>320000</v>
      </c>
      <c r="AG1143" t="n">
        <v>80000</v>
      </c>
      <c r="AH1143" t="n">
        <v>240000</v>
      </c>
      <c r="AI1143" t="n">
        <v>0</v>
      </c>
    </row>
    <row r="1144">
      <c r="A1144" t="inlineStr">
        <is>
          <t>2월</t>
        </is>
      </c>
      <c r="B1144" t="inlineStr">
        <is>
          <t>6주차</t>
        </is>
      </c>
      <c r="C1144" t="inlineStr">
        <is>
          <t>OR</t>
        </is>
      </c>
      <c r="D1144" s="28" t="n">
        <v>46060</v>
      </c>
      <c r="E1144" t="inlineStr">
        <is>
          <t>오릭스</t>
        </is>
      </c>
      <c r="F1144" t="inlineStr">
        <is>
          <t>임지순</t>
        </is>
      </c>
      <c r="G1144" t="inlineStr">
        <is>
          <t>010-3797-9921</t>
        </is>
      </c>
      <c r="H1144" t="inlineStr">
        <is>
          <t>253거3937</t>
        </is>
      </c>
      <c r="I1144" t="n">
        <v>14500000</v>
      </c>
      <c r="J1144" t="n">
        <v>0.055</v>
      </c>
      <c r="K1144" t="n">
        <v>1.65</v>
      </c>
      <c r="L1144" t="n">
        <v>0.14</v>
      </c>
      <c r="M1144" t="n">
        <v>1.51</v>
      </c>
      <c r="P1144" t="inlineStr">
        <is>
          <t>장현경</t>
        </is>
      </c>
      <c r="Q1144" t="inlineStr">
        <is>
          <t>안심거래존건</t>
        </is>
      </c>
      <c r="AB1144" t="inlineStr">
        <is>
          <t>믿고</t>
        </is>
      </c>
      <c r="AC1144" t="n">
        <v>239250</v>
      </c>
      <c r="AD1144" t="n">
        <v>20300</v>
      </c>
      <c r="AE1144" t="n">
        <v>218950</v>
      </c>
      <c r="AF1144" t="n">
        <v>217500</v>
      </c>
      <c r="AG1144" t="n">
        <v>20300</v>
      </c>
      <c r="AH1144" t="n">
        <v>197200</v>
      </c>
      <c r="AI1144" t="n">
        <v>0</v>
      </c>
    </row>
    <row r="1145">
      <c r="A1145" t="inlineStr">
        <is>
          <t>2월</t>
        </is>
      </c>
      <c r="B1145" t="inlineStr">
        <is>
          <t>6주차</t>
        </is>
      </c>
      <c r="C1145" t="inlineStr">
        <is>
          <t>IM</t>
        </is>
      </c>
      <c r="D1145" s="28" t="n">
        <v>46058</v>
      </c>
      <c r="E1145" t="inlineStr">
        <is>
          <t>IM캐피탈</t>
        </is>
      </c>
      <c r="F1145" t="inlineStr">
        <is>
          <t>최경식</t>
        </is>
      </c>
      <c r="G1145" t="inlineStr">
        <is>
          <t>010-7113-6343</t>
        </is>
      </c>
      <c r="H1145" t="inlineStr">
        <is>
          <t>21모0285</t>
        </is>
      </c>
      <c r="I1145" t="n">
        <v>14000000</v>
      </c>
      <c r="J1145" t="n">
        <v>0.049</v>
      </c>
      <c r="K1145" t="n">
        <v>1.1</v>
      </c>
      <c r="L1145" t="n">
        <v>0.4</v>
      </c>
      <c r="M1145" t="n">
        <v>0.7</v>
      </c>
      <c r="P1145" t="inlineStr">
        <is>
          <t>임대경</t>
        </is>
      </c>
      <c r="Q1145" t="inlineStr">
        <is>
          <t>부대비용 추가진행</t>
        </is>
      </c>
      <c r="AB1145" t="inlineStr">
        <is>
          <t>엔카</t>
        </is>
      </c>
      <c r="AC1145" t="n">
        <v>154000</v>
      </c>
      <c r="AD1145" t="n">
        <v>56000</v>
      </c>
      <c r="AE1145" t="n">
        <v>98000</v>
      </c>
      <c r="AF1145" t="n">
        <v>140000</v>
      </c>
      <c r="AG1145" t="n">
        <v>56000</v>
      </c>
      <c r="AH1145" t="n">
        <v>84000</v>
      </c>
      <c r="AI1145" t="n">
        <v>0</v>
      </c>
    </row>
    <row r="1146">
      <c r="A1146" t="inlineStr">
        <is>
          <t>2월</t>
        </is>
      </c>
      <c r="B1146" t="inlineStr">
        <is>
          <t>7주차</t>
        </is>
      </c>
      <c r="C1146" t="inlineStr">
        <is>
          <t>IM</t>
        </is>
      </c>
      <c r="D1146" s="28" t="n">
        <v>46062</v>
      </c>
      <c r="E1146" t="inlineStr">
        <is>
          <t>IM캐피탈</t>
        </is>
      </c>
      <c r="F1146" t="inlineStr">
        <is>
          <t>양영제</t>
        </is>
      </c>
      <c r="G1146" t="n">
        <v>1055011997</v>
      </c>
      <c r="H1146" t="inlineStr">
        <is>
          <t>137조4360</t>
        </is>
      </c>
      <c r="I1146" t="n">
        <v>22000000</v>
      </c>
      <c r="J1146" t="n">
        <v>0.056</v>
      </c>
      <c r="K1146" t="n">
        <v>1.1</v>
      </c>
      <c r="L1146" t="n">
        <v>0.14</v>
      </c>
      <c r="M1146" t="n">
        <v>0.96</v>
      </c>
      <c r="P1146" t="inlineStr">
        <is>
          <t>김나윤</t>
        </is>
      </c>
      <c r="Q1146" t="inlineStr">
        <is>
          <t>홈서비스 60개월</t>
        </is>
      </c>
      <c r="AB1146" t="inlineStr">
        <is>
          <t>홈서비스</t>
        </is>
      </c>
      <c r="AC1146" t="n">
        <v>242000</v>
      </c>
      <c r="AD1146" t="n">
        <v>30800</v>
      </c>
      <c r="AE1146" t="n">
        <v>211200</v>
      </c>
      <c r="AF1146" t="n">
        <v>220000</v>
      </c>
      <c r="AG1146" t="n">
        <v>30800</v>
      </c>
      <c r="AH1146" t="n">
        <v>189200</v>
      </c>
    </row>
    <row r="1147">
      <c r="A1147" t="inlineStr">
        <is>
          <t>2월</t>
        </is>
      </c>
      <c r="B1147" t="inlineStr">
        <is>
          <t>6주차</t>
        </is>
      </c>
      <c r="C1147" t="inlineStr">
        <is>
          <t>EP</t>
        </is>
      </c>
      <c r="D1147" s="28" t="n">
        <v>46055</v>
      </c>
      <c r="E1147" t="inlineStr">
        <is>
          <t>현대EP</t>
        </is>
      </c>
      <c r="F1147" t="inlineStr">
        <is>
          <t>조세형</t>
        </is>
      </c>
      <c r="G1147" t="inlineStr">
        <is>
          <t>010-5555-2909</t>
        </is>
      </c>
      <c r="H1147" t="inlineStr">
        <is>
          <t>07로1739</t>
        </is>
      </c>
      <c r="I1147" t="n">
        <v>10500000</v>
      </c>
      <c r="J1147" t="n">
        <v>0.112</v>
      </c>
      <c r="K1147" t="n">
        <v>1.76</v>
      </c>
      <c r="L1147" t="n">
        <v>0.14</v>
      </c>
      <c r="M1147" t="n">
        <v>1.62</v>
      </c>
      <c r="P1147" t="inlineStr">
        <is>
          <t>정광호</t>
        </is>
      </c>
      <c r="Q1147" t="inlineStr">
        <is>
          <t>홈서비스 36개월</t>
        </is>
      </c>
      <c r="AB1147" t="inlineStr">
        <is>
          <t>홈서비스</t>
        </is>
      </c>
      <c r="AC1147" t="n">
        <v>184800</v>
      </c>
      <c r="AD1147" t="n">
        <v>14700</v>
      </c>
      <c r="AE1147" t="n">
        <v>170100</v>
      </c>
      <c r="AF1147" t="n">
        <v>168000</v>
      </c>
      <c r="AG1147" t="n">
        <v>14700</v>
      </c>
      <c r="AH1147" t="n">
        <v>153300</v>
      </c>
      <c r="AI1147" t="n">
        <v>0</v>
      </c>
    </row>
    <row r="1148">
      <c r="A1148" t="inlineStr">
        <is>
          <t>2월</t>
        </is>
      </c>
      <c r="B1148" t="inlineStr">
        <is>
          <t>6주차</t>
        </is>
      </c>
      <c r="C1148" t="inlineStr">
        <is>
          <t>IM</t>
        </is>
      </c>
      <c r="D1148" s="28" t="n">
        <v>46057</v>
      </c>
      <c r="E1148" t="inlineStr">
        <is>
          <t>IM캐피탈</t>
        </is>
      </c>
      <c r="F1148" t="inlineStr">
        <is>
          <t>윤현준</t>
        </is>
      </c>
      <c r="G1148" t="inlineStr">
        <is>
          <t>010-9751-1304</t>
        </is>
      </c>
      <c r="H1148" t="inlineStr">
        <is>
          <t>171오7965</t>
        </is>
      </c>
      <c r="I1148" t="n">
        <v>15000000</v>
      </c>
      <c r="J1148" t="n">
        <v>0.039</v>
      </c>
      <c r="K1148" t="n">
        <v>1.1</v>
      </c>
      <c r="L1148" t="n">
        <v>0.14</v>
      </c>
      <c r="M1148" t="n">
        <v>0.96</v>
      </c>
      <c r="P1148" t="inlineStr">
        <is>
          <t>박소현</t>
        </is>
      </c>
      <c r="Q1148" t="inlineStr">
        <is>
          <t>선상담 / 홈서비스 36개월</t>
        </is>
      </c>
      <c r="AB1148" t="inlineStr">
        <is>
          <t>홈서비스</t>
        </is>
      </c>
      <c r="AC1148" t="n">
        <v>165000</v>
      </c>
      <c r="AD1148" t="n">
        <v>21000</v>
      </c>
      <c r="AE1148" t="n">
        <v>144000</v>
      </c>
      <c r="AF1148" t="n">
        <v>150000</v>
      </c>
      <c r="AG1148" t="n">
        <v>21000</v>
      </c>
      <c r="AH1148" t="n">
        <v>129000</v>
      </c>
      <c r="AI1148" t="n">
        <v>0</v>
      </c>
    </row>
    <row r="1149">
      <c r="A1149" t="inlineStr">
        <is>
          <t>2월</t>
        </is>
      </c>
      <c r="B1149" t="inlineStr">
        <is>
          <t>6주차</t>
        </is>
      </c>
      <c r="C1149" t="inlineStr">
        <is>
          <t>IM</t>
        </is>
      </c>
      <c r="D1149" s="28" t="n">
        <v>46057</v>
      </c>
      <c r="E1149" t="inlineStr">
        <is>
          <t>IM캐피탈</t>
        </is>
      </c>
      <c r="F1149" t="inlineStr">
        <is>
          <t>이지선</t>
        </is>
      </c>
      <c r="G1149" t="inlineStr">
        <is>
          <t>010-43008689</t>
        </is>
      </c>
      <c r="H1149" t="inlineStr">
        <is>
          <t>111거8210</t>
        </is>
      </c>
      <c r="I1149" t="n">
        <v>13900000</v>
      </c>
      <c r="J1149" t="n">
        <v>0.049</v>
      </c>
      <c r="K1149" t="n">
        <v>1.1</v>
      </c>
      <c r="L1149" t="n">
        <v>0.4</v>
      </c>
      <c r="M1149" t="n">
        <v>0.7</v>
      </c>
      <c r="P1149" t="inlineStr">
        <is>
          <t>임대경</t>
        </is>
      </c>
      <c r="AB1149" t="inlineStr">
        <is>
          <t>엔카</t>
        </is>
      </c>
      <c r="AC1149" t="n">
        <v>152900</v>
      </c>
      <c r="AD1149" t="n">
        <v>55600</v>
      </c>
      <c r="AE1149" t="n">
        <v>97300</v>
      </c>
      <c r="AF1149" t="n">
        <v>139000</v>
      </c>
      <c r="AG1149" t="n">
        <v>55600</v>
      </c>
      <c r="AH1149" t="n">
        <v>83400</v>
      </c>
    </row>
    <row r="1150">
      <c r="A1150" t="inlineStr">
        <is>
          <t>2월</t>
        </is>
      </c>
      <c r="B1150" t="inlineStr">
        <is>
          <t>6주차</t>
        </is>
      </c>
      <c r="C1150" t="inlineStr">
        <is>
          <t>OR</t>
        </is>
      </c>
      <c r="D1150" s="28" t="n">
        <v>46059</v>
      </c>
      <c r="E1150" t="inlineStr">
        <is>
          <t>오릭스</t>
        </is>
      </c>
      <c r="F1150" t="inlineStr">
        <is>
          <t>유지현</t>
        </is>
      </c>
      <c r="G1150" t="inlineStr">
        <is>
          <t>010-7987-2546</t>
        </is>
      </c>
      <c r="H1150" t="inlineStr">
        <is>
          <t>337두5466</t>
        </is>
      </c>
      <c r="I1150" t="n">
        <v>25000000</v>
      </c>
      <c r="J1150" t="n">
        <v>0.08</v>
      </c>
      <c r="K1150" t="n">
        <v>1.65</v>
      </c>
      <c r="L1150" t="n">
        <v>0.4</v>
      </c>
      <c r="M1150" t="n">
        <v>1.25</v>
      </c>
      <c r="P1150" t="inlineStr">
        <is>
          <t>구성완</t>
        </is>
      </c>
      <c r="Q1150" t="inlineStr">
        <is>
          <t>공동명의</t>
        </is>
      </c>
      <c r="AB1150" t="inlineStr">
        <is>
          <t>엔카</t>
        </is>
      </c>
      <c r="AC1150" t="n">
        <v>412500</v>
      </c>
      <c r="AD1150" t="n">
        <v>100000</v>
      </c>
      <c r="AE1150" t="n">
        <v>312500</v>
      </c>
      <c r="AF1150" t="n">
        <v>375000</v>
      </c>
      <c r="AG1150" t="n">
        <v>100000</v>
      </c>
      <c r="AH1150" t="n">
        <v>275000</v>
      </c>
      <c r="AI1150" t="n">
        <v>0</v>
      </c>
    </row>
    <row r="1151">
      <c r="A1151" t="inlineStr">
        <is>
          <t>2월</t>
        </is>
      </c>
      <c r="B1151" t="inlineStr">
        <is>
          <t>7주차</t>
        </is>
      </c>
      <c r="C1151" t="inlineStr">
        <is>
          <t>OR</t>
        </is>
      </c>
      <c r="D1151" s="28" t="n">
        <v>46062</v>
      </c>
      <c r="E1151" t="inlineStr">
        <is>
          <t>오릭스</t>
        </is>
      </c>
      <c r="F1151" t="inlineStr">
        <is>
          <t>이성민</t>
        </is>
      </c>
      <c r="G1151" t="inlineStr">
        <is>
          <t>010-4043-6045</t>
        </is>
      </c>
      <c r="H1151" t="inlineStr">
        <is>
          <t>09라5838</t>
        </is>
      </c>
      <c r="I1151" t="n">
        <v>7000000</v>
      </c>
      <c r="J1151" t="n">
        <v>0.061</v>
      </c>
      <c r="K1151" t="n">
        <v>1.65</v>
      </c>
      <c r="L1151" t="n">
        <v>0.14</v>
      </c>
      <c r="M1151" t="n">
        <v>1.51</v>
      </c>
      <c r="P1151" t="inlineStr">
        <is>
          <t>구성완</t>
        </is>
      </c>
      <c r="Q1151" t="inlineStr">
        <is>
          <t>안심거래존건</t>
        </is>
      </c>
      <c r="AB1151" t="inlineStr">
        <is>
          <t>믿고</t>
        </is>
      </c>
      <c r="AC1151" t="n">
        <v>115500</v>
      </c>
      <c r="AD1151" t="n">
        <v>9800</v>
      </c>
      <c r="AE1151" t="n">
        <v>105700</v>
      </c>
      <c r="AF1151" t="n">
        <v>105000</v>
      </c>
      <c r="AG1151" t="n">
        <v>9800</v>
      </c>
      <c r="AH1151" t="n">
        <v>95200</v>
      </c>
      <c r="AI1151" t="n">
        <v>0</v>
      </c>
    </row>
    <row r="1152">
      <c r="A1152" t="inlineStr">
        <is>
          <t>2월</t>
        </is>
      </c>
      <c r="B1152" t="inlineStr">
        <is>
          <t>7주차</t>
        </is>
      </c>
      <c r="C1152" t="inlineStr">
        <is>
          <t>IM</t>
        </is>
      </c>
      <c r="D1152" s="28" t="n">
        <v>46062</v>
      </c>
      <c r="E1152" t="inlineStr">
        <is>
          <t>IM캐피탈</t>
        </is>
      </c>
      <c r="F1152" t="inlineStr">
        <is>
          <t>전경식</t>
        </is>
      </c>
      <c r="G1152" t="n">
        <v>1035130913</v>
      </c>
      <c r="H1152" t="inlineStr">
        <is>
          <t>725누8790</t>
        </is>
      </c>
      <c r="I1152" t="n">
        <v>36000000</v>
      </c>
      <c r="J1152" t="n">
        <v>0.049</v>
      </c>
      <c r="K1152" t="n">
        <v>1.1</v>
      </c>
      <c r="L1152" t="n">
        <v>0.14</v>
      </c>
      <c r="M1152" t="n">
        <v>0.96</v>
      </c>
      <c r="P1152" t="inlineStr">
        <is>
          <t>김나윤</t>
        </is>
      </c>
      <c r="Q1152" t="inlineStr">
        <is>
          <t>홈서비스 48개월</t>
        </is>
      </c>
      <c r="AB1152" t="inlineStr">
        <is>
          <t>홈서비스</t>
        </is>
      </c>
      <c r="AC1152" t="n">
        <v>396000</v>
      </c>
      <c r="AD1152" t="n">
        <v>50400</v>
      </c>
      <c r="AE1152" t="n">
        <v>345600</v>
      </c>
      <c r="AF1152" t="n">
        <v>360000</v>
      </c>
      <c r="AG1152" t="n">
        <v>50400</v>
      </c>
      <c r="AH1152" t="n">
        <v>309600</v>
      </c>
      <c r="AI1152" t="n">
        <v>0</v>
      </c>
    </row>
    <row r="1153">
      <c r="A1153" t="inlineStr">
        <is>
          <t>2월</t>
        </is>
      </c>
      <c r="B1153" t="inlineStr">
        <is>
          <t>7주차</t>
        </is>
      </c>
      <c r="C1153" t="inlineStr">
        <is>
          <t>IM</t>
        </is>
      </c>
      <c r="D1153" s="28" t="n">
        <v>46062</v>
      </c>
      <c r="E1153" t="inlineStr">
        <is>
          <t>IM캐피탈</t>
        </is>
      </c>
      <c r="F1153" t="inlineStr">
        <is>
          <t>임지은</t>
        </is>
      </c>
      <c r="G1153" t="n">
        <v>1082946178</v>
      </c>
      <c r="H1153" t="inlineStr">
        <is>
          <t>105버7761</t>
        </is>
      </c>
      <c r="I1153" t="n">
        <v>23100000</v>
      </c>
      <c r="J1153" t="n">
        <v>0.075</v>
      </c>
      <c r="K1153" t="n">
        <v>1.1</v>
      </c>
      <c r="L1153" t="n">
        <v>0.14</v>
      </c>
      <c r="M1153" t="n">
        <v>0.96</v>
      </c>
      <c r="P1153" t="inlineStr">
        <is>
          <t>김나윤</t>
        </is>
      </c>
      <c r="Q1153" t="inlineStr">
        <is>
          <t>홈서비스 60개월</t>
        </is>
      </c>
      <c r="AB1153" t="inlineStr">
        <is>
          <t>홈서비스</t>
        </is>
      </c>
      <c r="AC1153" t="n">
        <v>254100</v>
      </c>
      <c r="AD1153" t="n">
        <v>32340</v>
      </c>
      <c r="AE1153" t="n">
        <v>221760</v>
      </c>
      <c r="AF1153" t="n">
        <v>231000</v>
      </c>
      <c r="AG1153" t="n">
        <v>32340</v>
      </c>
      <c r="AH1153" t="n">
        <v>198660</v>
      </c>
      <c r="AI1153" t="n">
        <v>0</v>
      </c>
    </row>
    <row r="1154">
      <c r="A1154" t="inlineStr">
        <is>
          <t>2월</t>
        </is>
      </c>
      <c r="B1154" t="inlineStr">
        <is>
          <t>7주차</t>
        </is>
      </c>
      <c r="C1154" t="inlineStr">
        <is>
          <t>IM</t>
        </is>
      </c>
      <c r="D1154" s="28" t="n">
        <v>46062</v>
      </c>
      <c r="E1154" t="inlineStr">
        <is>
          <t>IM캐피탈</t>
        </is>
      </c>
      <c r="F1154" t="inlineStr">
        <is>
          <t>김원석</t>
        </is>
      </c>
      <c r="G1154" t="inlineStr">
        <is>
          <t>010-4853-7117</t>
        </is>
      </c>
      <c r="H1154" t="inlineStr">
        <is>
          <t>130나1313</t>
        </is>
      </c>
      <c r="I1154" t="n">
        <v>15800000</v>
      </c>
      <c r="J1154" t="n">
        <v>0.049</v>
      </c>
      <c r="K1154" t="n">
        <v>1.1</v>
      </c>
      <c r="L1154" t="n">
        <v>0.14</v>
      </c>
      <c r="M1154" t="n">
        <v>0.96</v>
      </c>
      <c r="P1154" t="inlineStr">
        <is>
          <t>장진경</t>
        </is>
      </c>
      <c r="Q1154" t="inlineStr">
        <is>
          <t>선상담 / 홈서비스 72개월</t>
        </is>
      </c>
      <c r="AB1154" t="inlineStr">
        <is>
          <t>홈서비스</t>
        </is>
      </c>
      <c r="AC1154" t="n">
        <v>173800</v>
      </c>
      <c r="AD1154" t="n">
        <v>22120</v>
      </c>
      <c r="AE1154" t="n">
        <v>151680</v>
      </c>
      <c r="AF1154" t="n">
        <v>158000</v>
      </c>
      <c r="AG1154" t="n">
        <v>22120</v>
      </c>
      <c r="AH1154" t="n">
        <v>135880</v>
      </c>
      <c r="AI1154" t="n">
        <v>0</v>
      </c>
    </row>
    <row r="1155">
      <c r="A1155" t="inlineStr">
        <is>
          <t>2월</t>
        </is>
      </c>
      <c r="B1155" t="inlineStr">
        <is>
          <t>6주차</t>
        </is>
      </c>
      <c r="C1155" t="inlineStr">
        <is>
          <t>OR</t>
        </is>
      </c>
      <c r="D1155" s="28" t="n">
        <v>46057</v>
      </c>
      <c r="E1155" t="inlineStr">
        <is>
          <t>오릭스</t>
        </is>
      </c>
      <c r="F1155" t="inlineStr">
        <is>
          <t>심미자</t>
        </is>
      </c>
      <c r="G1155" t="n">
        <v>1072981881</v>
      </c>
      <c r="H1155" t="inlineStr">
        <is>
          <t>155머9887</t>
        </is>
      </c>
      <c r="I1155" t="n">
        <v>24100000</v>
      </c>
      <c r="J1155" t="n">
        <v>0.08</v>
      </c>
      <c r="K1155" t="n">
        <v>1.65</v>
      </c>
      <c r="L1155" t="n">
        <v>0.14</v>
      </c>
      <c r="M1155" t="n">
        <v>1.51</v>
      </c>
      <c r="P1155" t="inlineStr">
        <is>
          <t>김나윤</t>
        </is>
      </c>
      <c r="Q1155" t="inlineStr">
        <is>
          <t>홈서비스 60개월</t>
        </is>
      </c>
      <c r="AB1155" t="inlineStr">
        <is>
          <t>홈서비스</t>
        </is>
      </c>
      <c r="AC1155" t="n">
        <v>397650</v>
      </c>
      <c r="AD1155" t="n">
        <v>33740</v>
      </c>
      <c r="AE1155" t="n">
        <v>363910</v>
      </c>
      <c r="AF1155" t="n">
        <v>361500</v>
      </c>
      <c r="AG1155" t="n">
        <v>33740</v>
      </c>
      <c r="AH1155" t="n">
        <v>327760</v>
      </c>
      <c r="AI1155" t="n">
        <v>1</v>
      </c>
    </row>
    <row r="1156">
      <c r="A1156" t="inlineStr">
        <is>
          <t>2월</t>
        </is>
      </c>
      <c r="B1156" t="inlineStr">
        <is>
          <t>6주차</t>
        </is>
      </c>
      <c r="C1156" t="inlineStr">
        <is>
          <t>EP</t>
        </is>
      </c>
      <c r="D1156" s="28" t="n">
        <v>46059</v>
      </c>
      <c r="E1156" t="inlineStr">
        <is>
          <t>현대EP</t>
        </is>
      </c>
      <c r="F1156" t="inlineStr">
        <is>
          <t>류현수</t>
        </is>
      </c>
      <c r="G1156" t="inlineStr">
        <is>
          <t>010-9077-0013</t>
        </is>
      </c>
      <c r="H1156" t="inlineStr">
        <is>
          <t>352루6670</t>
        </is>
      </c>
      <c r="I1156" t="n">
        <v>16000000</v>
      </c>
      <c r="J1156" t="n">
        <v>0.082</v>
      </c>
      <c r="K1156" t="n">
        <v>1.76</v>
      </c>
      <c r="L1156" t="n">
        <v>0.14</v>
      </c>
      <c r="M1156" t="n">
        <v>1.62</v>
      </c>
      <c r="P1156" t="inlineStr">
        <is>
          <t>김수연</t>
        </is>
      </c>
      <c r="Q1156" t="inlineStr">
        <is>
          <t>홈서비스 60개월</t>
        </is>
      </c>
      <c r="AB1156" t="inlineStr">
        <is>
          <t>홈서비스</t>
        </is>
      </c>
      <c r="AC1156" t="n">
        <v>281600</v>
      </c>
      <c r="AD1156" t="n">
        <v>22400</v>
      </c>
      <c r="AE1156" t="n">
        <v>259200</v>
      </c>
      <c r="AF1156" t="n">
        <v>256000</v>
      </c>
      <c r="AG1156" t="n">
        <v>22400</v>
      </c>
      <c r="AH1156" t="n">
        <v>233600</v>
      </c>
      <c r="AI1156" t="n">
        <v>1</v>
      </c>
    </row>
    <row r="1157">
      <c r="A1157" t="inlineStr">
        <is>
          <t>2월</t>
        </is>
      </c>
      <c r="B1157" t="inlineStr">
        <is>
          <t>6주차</t>
        </is>
      </c>
      <c r="C1157" t="inlineStr">
        <is>
          <t>IM</t>
        </is>
      </c>
      <c r="D1157" s="28" t="n">
        <v>46057</v>
      </c>
      <c r="E1157" t="inlineStr">
        <is>
          <t>IM캐피탈</t>
        </is>
      </c>
      <c r="F1157" t="inlineStr">
        <is>
          <t>조성구</t>
        </is>
      </c>
      <c r="G1157" t="inlineStr">
        <is>
          <t>010-5064-0455</t>
        </is>
      </c>
      <c r="H1157" t="inlineStr">
        <is>
          <t>02소4694</t>
        </is>
      </c>
      <c r="I1157" t="n">
        <v>-11500000</v>
      </c>
      <c r="J1157" t="n">
        <v>0.056</v>
      </c>
      <c r="K1157" t="n">
        <v>1.1</v>
      </c>
      <c r="L1157" t="n">
        <v>0.14</v>
      </c>
      <c r="M1157" t="n">
        <v>0.96</v>
      </c>
      <c r="P1157" t="inlineStr">
        <is>
          <t>정세빈</t>
        </is>
      </c>
      <c r="Q1157" t="inlineStr">
        <is>
          <t>홈서비스 48개월/*철회 20260212</t>
        </is>
      </c>
      <c r="AB1157" t="inlineStr">
        <is>
          <t>홈서비스</t>
        </is>
      </c>
      <c r="AC1157" t="n">
        <v>-126500</v>
      </c>
      <c r="AD1157" t="n">
        <v>-16100</v>
      </c>
      <c r="AE1157" t="n">
        <v>-110400</v>
      </c>
      <c r="AF1157" t="n">
        <v>-115000</v>
      </c>
      <c r="AG1157" t="n">
        <v>-16100</v>
      </c>
      <c r="AH1157" t="n">
        <v>-98900</v>
      </c>
      <c r="AK1157" t="inlineStr">
        <is>
          <t>대출철회</t>
        </is>
      </c>
    </row>
    <row r="1158">
      <c r="A1158" t="inlineStr">
        <is>
          <t>2월</t>
        </is>
      </c>
      <c r="B1158" t="inlineStr">
        <is>
          <t>7주차</t>
        </is>
      </c>
      <c r="C1158" t="inlineStr">
        <is>
          <t>IM</t>
        </is>
      </c>
      <c r="D1158" s="28" t="n">
        <v>46062</v>
      </c>
      <c r="E1158" t="inlineStr">
        <is>
          <t>IM캐피탈</t>
        </is>
      </c>
      <c r="F1158" t="inlineStr">
        <is>
          <t>권선범</t>
        </is>
      </c>
      <c r="G1158" t="inlineStr">
        <is>
          <t>010-2803-7081</t>
        </is>
      </c>
      <c r="H1158" t="inlineStr">
        <is>
          <t>06서4986</t>
        </is>
      </c>
      <c r="I1158" t="n">
        <v>15000000</v>
      </c>
      <c r="J1158" t="n">
        <v>0.049</v>
      </c>
      <c r="K1158" t="n">
        <v>1.1</v>
      </c>
      <c r="L1158" t="n">
        <v>0.14</v>
      </c>
      <c r="M1158" t="n">
        <v>0.96</v>
      </c>
      <c r="P1158" t="inlineStr">
        <is>
          <t>장현경</t>
        </is>
      </c>
      <c r="Q1158" t="inlineStr">
        <is>
          <t>선상담 / 홈서비스 60개월</t>
        </is>
      </c>
      <c r="AB1158" t="inlineStr">
        <is>
          <t>홈서비스</t>
        </is>
      </c>
      <c r="AC1158" t="n">
        <v>165000</v>
      </c>
      <c r="AD1158" t="n">
        <v>21000</v>
      </c>
      <c r="AE1158" t="n">
        <v>144000</v>
      </c>
      <c r="AF1158" t="n">
        <v>150000</v>
      </c>
      <c r="AG1158" t="n">
        <v>21000</v>
      </c>
      <c r="AH1158" t="n">
        <v>129000</v>
      </c>
      <c r="AI1158" t="n">
        <v>1</v>
      </c>
    </row>
    <row r="1159">
      <c r="A1159" t="inlineStr">
        <is>
          <t>2월</t>
        </is>
      </c>
      <c r="B1159" t="inlineStr">
        <is>
          <t>6주차</t>
        </is>
      </c>
      <c r="C1159" t="inlineStr">
        <is>
          <t>OR</t>
        </is>
      </c>
      <c r="D1159" s="28" t="n">
        <v>46058</v>
      </c>
      <c r="E1159" t="inlineStr">
        <is>
          <t>오릭스</t>
        </is>
      </c>
      <c r="F1159" t="inlineStr">
        <is>
          <t>강민성</t>
        </is>
      </c>
      <c r="G1159" t="inlineStr">
        <is>
          <t>010-2599-9396</t>
        </is>
      </c>
      <c r="H1159" t="inlineStr">
        <is>
          <t>807부2891</t>
        </is>
      </c>
      <c r="I1159" t="n">
        <v>32000000</v>
      </c>
      <c r="J1159" t="n">
        <v>0.059</v>
      </c>
      <c r="K1159" t="n">
        <v>1.65</v>
      </c>
      <c r="L1159" t="n">
        <v>0.14</v>
      </c>
      <c r="M1159" t="n">
        <v>1.51</v>
      </c>
      <c r="P1159" t="inlineStr">
        <is>
          <t>박현민</t>
        </is>
      </c>
      <c r="Q1159" t="inlineStr">
        <is>
          <t>홈서비스 60개월</t>
        </is>
      </c>
      <c r="AB1159" t="inlineStr">
        <is>
          <t>홈서비스</t>
        </is>
      </c>
      <c r="AC1159" t="n">
        <v>528000</v>
      </c>
      <c r="AD1159" t="n">
        <v>44800</v>
      </c>
      <c r="AE1159" t="n">
        <v>483200</v>
      </c>
      <c r="AF1159" t="n">
        <v>480000</v>
      </c>
      <c r="AG1159" t="n">
        <v>44800</v>
      </c>
      <c r="AH1159" t="n">
        <v>435200</v>
      </c>
      <c r="AI1159" t="n">
        <v>1</v>
      </c>
    </row>
    <row r="1160">
      <c r="A1160" t="inlineStr">
        <is>
          <t>2월</t>
        </is>
      </c>
      <c r="B1160" t="inlineStr">
        <is>
          <t>7주차</t>
        </is>
      </c>
      <c r="C1160" t="inlineStr">
        <is>
          <t>OR</t>
        </is>
      </c>
      <c r="D1160" s="28" t="n">
        <v>46062</v>
      </c>
      <c r="E1160" t="inlineStr">
        <is>
          <t>오릭스</t>
        </is>
      </c>
      <c r="F1160" t="inlineStr">
        <is>
          <t>박재형</t>
        </is>
      </c>
      <c r="G1160" t="inlineStr">
        <is>
          <t>010-3231-8231</t>
        </is>
      </c>
      <c r="H1160" t="inlineStr">
        <is>
          <t>23너7281</t>
        </is>
      </c>
      <c r="I1160" t="n">
        <v>26300000</v>
      </c>
      <c r="J1160" t="n">
        <v>0.064</v>
      </c>
      <c r="K1160" t="n">
        <v>1.65</v>
      </c>
      <c r="L1160" t="n">
        <v>0.14</v>
      </c>
      <c r="M1160" t="n">
        <v>1.51</v>
      </c>
      <c r="P1160" t="inlineStr">
        <is>
          <t>황채이</t>
        </is>
      </c>
      <c r="Q1160" t="inlineStr">
        <is>
          <t>홈서비스 60개월</t>
        </is>
      </c>
      <c r="AB1160" t="inlineStr">
        <is>
          <t>홈서비스</t>
        </is>
      </c>
      <c r="AC1160" t="n">
        <v>433950</v>
      </c>
      <c r="AD1160" t="n">
        <v>36820</v>
      </c>
      <c r="AE1160" t="n">
        <v>397130</v>
      </c>
      <c r="AF1160" t="n">
        <v>394500</v>
      </c>
      <c r="AG1160" t="n">
        <v>36820</v>
      </c>
      <c r="AH1160" t="n">
        <v>357680</v>
      </c>
      <c r="AI1160" t="n">
        <v>1</v>
      </c>
    </row>
    <row r="1161">
      <c r="A1161" t="inlineStr">
        <is>
          <t>2월</t>
        </is>
      </c>
      <c r="B1161" t="inlineStr">
        <is>
          <t>7주차</t>
        </is>
      </c>
      <c r="C1161" t="inlineStr">
        <is>
          <t>EP</t>
        </is>
      </c>
      <c r="D1161" s="28" t="n">
        <v>46062</v>
      </c>
      <c r="E1161" t="inlineStr">
        <is>
          <t>현대EP_fast</t>
        </is>
      </c>
      <c r="F1161" t="inlineStr">
        <is>
          <t>이지혜</t>
        </is>
      </c>
      <c r="G1161" t="inlineStr">
        <is>
          <t>010-5005-0957</t>
        </is>
      </c>
      <c r="H1161" t="inlineStr">
        <is>
          <t>121조1338</t>
        </is>
      </c>
      <c r="I1161" t="n">
        <v>5500000</v>
      </c>
      <c r="J1161" t="n">
        <v>0.068</v>
      </c>
      <c r="K1161" t="n">
        <v>1.76</v>
      </c>
      <c r="L1161" t="n">
        <v>0.14</v>
      </c>
      <c r="M1161" t="n">
        <v>1.62</v>
      </c>
      <c r="P1161" t="inlineStr">
        <is>
          <t>정세빈</t>
        </is>
      </c>
      <c r="Q1161" t="inlineStr">
        <is>
          <t>홈서비스 24개월</t>
        </is>
      </c>
      <c r="AB1161" t="inlineStr">
        <is>
          <t>홈서비스</t>
        </is>
      </c>
      <c r="AC1161" t="n">
        <v>96800</v>
      </c>
      <c r="AD1161" t="n">
        <v>7700</v>
      </c>
      <c r="AE1161" t="n">
        <v>89100</v>
      </c>
      <c r="AF1161" t="n">
        <v>88000</v>
      </c>
      <c r="AG1161" t="n">
        <v>7700</v>
      </c>
      <c r="AH1161" t="n">
        <v>80300</v>
      </c>
      <c r="AI1161" t="n">
        <v>1</v>
      </c>
    </row>
    <row r="1162">
      <c r="A1162" t="inlineStr">
        <is>
          <t>2월</t>
        </is>
      </c>
      <c r="B1162" t="inlineStr">
        <is>
          <t>6주차</t>
        </is>
      </c>
      <c r="C1162" t="inlineStr">
        <is>
          <t>EP</t>
        </is>
      </c>
      <c r="D1162" s="28" t="n">
        <v>46059</v>
      </c>
      <c r="E1162" t="inlineStr">
        <is>
          <t>현대EP</t>
        </is>
      </c>
      <c r="F1162" t="inlineStr">
        <is>
          <t>진용우</t>
        </is>
      </c>
      <c r="G1162" t="inlineStr">
        <is>
          <t>010-2953-8430</t>
        </is>
      </c>
      <c r="H1162" t="inlineStr">
        <is>
          <t>45주0938</t>
        </is>
      </c>
      <c r="I1162" t="n">
        <v>5900000</v>
      </c>
      <c r="J1162" t="n">
        <v>0.068</v>
      </c>
      <c r="K1162" t="n">
        <v>1.76</v>
      </c>
      <c r="L1162" t="n">
        <v>0.14</v>
      </c>
      <c r="M1162" t="n">
        <v>1.62</v>
      </c>
      <c r="P1162" t="inlineStr">
        <is>
          <t>김나윤</t>
        </is>
      </c>
      <c r="Q1162" t="inlineStr">
        <is>
          <t>홈서비스 48개월</t>
        </is>
      </c>
      <c r="AB1162" t="inlineStr">
        <is>
          <t>홈서비스</t>
        </is>
      </c>
      <c r="AC1162" t="n">
        <v>103840</v>
      </c>
      <c r="AD1162" t="n">
        <v>8260</v>
      </c>
      <c r="AE1162" t="n">
        <v>95580</v>
      </c>
      <c r="AF1162" t="n">
        <v>94400</v>
      </c>
      <c r="AG1162" t="n">
        <v>8260</v>
      </c>
      <c r="AH1162" t="n">
        <v>86140</v>
      </c>
      <c r="AI1162" t="n">
        <v>1</v>
      </c>
    </row>
    <row r="1163">
      <c r="A1163" t="inlineStr">
        <is>
          <t>2월</t>
        </is>
      </c>
      <c r="B1163" t="inlineStr">
        <is>
          <t>6주차</t>
        </is>
      </c>
      <c r="C1163" t="inlineStr">
        <is>
          <t>EP</t>
        </is>
      </c>
      <c r="D1163" s="28" t="n">
        <v>46059</v>
      </c>
      <c r="E1163" t="inlineStr">
        <is>
          <t>현대EP</t>
        </is>
      </c>
      <c r="F1163" t="inlineStr">
        <is>
          <t>김수영</t>
        </is>
      </c>
      <c r="G1163" t="inlineStr">
        <is>
          <t>010-4724-4202</t>
        </is>
      </c>
      <c r="H1163" t="inlineStr">
        <is>
          <t>47고2884</t>
        </is>
      </c>
      <c r="I1163" t="n">
        <v>29500000</v>
      </c>
      <c r="J1163" t="n">
        <v>0.081</v>
      </c>
      <c r="K1163" t="n">
        <v>1.76</v>
      </c>
      <c r="L1163" t="n">
        <v>0.14</v>
      </c>
      <c r="M1163" t="n">
        <v>1.62</v>
      </c>
      <c r="P1163" t="inlineStr">
        <is>
          <t>김나윤</t>
        </is>
      </c>
      <c r="Q1163" t="inlineStr">
        <is>
          <t>홈서비스 60개월</t>
        </is>
      </c>
      <c r="AB1163" t="inlineStr">
        <is>
          <t>홈서비스</t>
        </is>
      </c>
      <c r="AC1163" t="n">
        <v>519200</v>
      </c>
      <c r="AD1163" t="n">
        <v>41300</v>
      </c>
      <c r="AE1163" t="n">
        <v>477900</v>
      </c>
      <c r="AF1163" t="n">
        <v>472000</v>
      </c>
      <c r="AG1163" t="n">
        <v>41300</v>
      </c>
      <c r="AH1163" t="n">
        <v>430700</v>
      </c>
      <c r="AI1163" t="n">
        <v>1</v>
      </c>
    </row>
    <row r="1164">
      <c r="A1164" t="inlineStr">
        <is>
          <t>2월</t>
        </is>
      </c>
      <c r="B1164" t="inlineStr">
        <is>
          <t>7주차</t>
        </is>
      </c>
      <c r="C1164" t="inlineStr">
        <is>
          <t>OR</t>
        </is>
      </c>
      <c r="D1164" s="28" t="n">
        <v>46062</v>
      </c>
      <c r="E1164" t="inlineStr">
        <is>
          <t>오릭스</t>
        </is>
      </c>
      <c r="F1164" t="inlineStr">
        <is>
          <t>박준원</t>
        </is>
      </c>
      <c r="G1164" t="n">
        <v>1041356689</v>
      </c>
      <c r="H1164" t="inlineStr">
        <is>
          <t>64부7289</t>
        </is>
      </c>
      <c r="I1164" t="n">
        <v>7000000</v>
      </c>
      <c r="J1164" t="n">
        <v>0.075</v>
      </c>
      <c r="K1164" t="n">
        <v>1.65</v>
      </c>
      <c r="L1164" t="n">
        <v>0.14</v>
      </c>
      <c r="M1164" t="n">
        <v>1.51</v>
      </c>
      <c r="P1164" t="inlineStr">
        <is>
          <t>김나윤</t>
        </is>
      </c>
      <c r="Q1164" t="inlineStr">
        <is>
          <t>홈서비스 48개월</t>
        </is>
      </c>
      <c r="AB1164" t="inlineStr">
        <is>
          <t>홈서비스</t>
        </is>
      </c>
      <c r="AC1164" t="n">
        <v>115500</v>
      </c>
      <c r="AD1164" t="n">
        <v>9800</v>
      </c>
      <c r="AE1164" t="n">
        <v>105700</v>
      </c>
      <c r="AF1164" t="n">
        <v>105000</v>
      </c>
      <c r="AG1164" t="n">
        <v>9800</v>
      </c>
      <c r="AH1164" t="n">
        <v>95200</v>
      </c>
      <c r="AI1164" t="n">
        <v>1</v>
      </c>
    </row>
    <row r="1165">
      <c r="A1165" t="inlineStr">
        <is>
          <t>2월</t>
        </is>
      </c>
      <c r="B1165" t="inlineStr">
        <is>
          <t>7주차</t>
        </is>
      </c>
      <c r="C1165" t="inlineStr">
        <is>
          <t>EP</t>
        </is>
      </c>
      <c r="D1165" s="28" t="n">
        <v>46063</v>
      </c>
      <c r="E1165" t="inlineStr">
        <is>
          <t>현대EP_fast</t>
        </is>
      </c>
      <c r="F1165" t="inlineStr">
        <is>
          <t>김정현</t>
        </is>
      </c>
      <c r="G1165" t="inlineStr">
        <is>
          <t>010-2797-8428</t>
        </is>
      </c>
      <c r="H1165" t="inlineStr">
        <is>
          <t>31조7875</t>
        </is>
      </c>
      <c r="I1165" t="n">
        <v>9600000</v>
      </c>
      <c r="J1165" t="n">
        <v>0.068</v>
      </c>
      <c r="K1165" t="n">
        <v>1.76</v>
      </c>
      <c r="L1165" t="n">
        <v>0.14</v>
      </c>
      <c r="M1165" t="n">
        <v>1.62</v>
      </c>
      <c r="P1165" t="inlineStr">
        <is>
          <t>최형주</t>
        </is>
      </c>
      <c r="Q1165" t="inlineStr">
        <is>
          <t>홈서비스 60개월</t>
        </is>
      </c>
      <c r="AB1165" t="inlineStr">
        <is>
          <t>홈서비스</t>
        </is>
      </c>
      <c r="AC1165" t="n">
        <v>168960</v>
      </c>
      <c r="AD1165" t="n">
        <v>13440</v>
      </c>
      <c r="AE1165" t="n">
        <v>155520</v>
      </c>
      <c r="AF1165" t="n">
        <v>153600</v>
      </c>
      <c r="AG1165" t="n">
        <v>13440</v>
      </c>
      <c r="AH1165" t="n">
        <v>140160</v>
      </c>
    </row>
    <row r="1166">
      <c r="A1166" t="inlineStr">
        <is>
          <t>2월</t>
        </is>
      </c>
      <c r="B1166" t="inlineStr">
        <is>
          <t>7주차</t>
        </is>
      </c>
      <c r="C1166" t="inlineStr">
        <is>
          <t>EP</t>
        </is>
      </c>
      <c r="D1166" s="28" t="n">
        <v>46062</v>
      </c>
      <c r="E1166" t="inlineStr">
        <is>
          <t>현대EP</t>
        </is>
      </c>
      <c r="F1166" t="inlineStr">
        <is>
          <t>유경환</t>
        </is>
      </c>
      <c r="G1166" t="inlineStr">
        <is>
          <t>010-9193-0424</t>
        </is>
      </c>
      <c r="H1166" t="inlineStr">
        <is>
          <t>04더0583</t>
        </is>
      </c>
      <c r="I1166" t="n">
        <v>6000000</v>
      </c>
      <c r="J1166" t="n">
        <v>0.099</v>
      </c>
      <c r="K1166" t="n">
        <v>1.76</v>
      </c>
      <c r="L1166" t="n">
        <v>0.14</v>
      </c>
      <c r="M1166" t="n">
        <v>1.62</v>
      </c>
      <c r="P1166" t="inlineStr">
        <is>
          <t>김수연</t>
        </is>
      </c>
      <c r="Q1166" t="inlineStr">
        <is>
          <t>홈서비스 36개월</t>
        </is>
      </c>
      <c r="AB1166" t="inlineStr">
        <is>
          <t>홈서비스</t>
        </is>
      </c>
      <c r="AC1166" t="n">
        <v>105600</v>
      </c>
      <c r="AD1166" t="n">
        <v>8400</v>
      </c>
      <c r="AE1166" t="n">
        <v>97200</v>
      </c>
      <c r="AF1166" t="n">
        <v>96000</v>
      </c>
      <c r="AG1166" t="n">
        <v>8400</v>
      </c>
      <c r="AH1166" t="n">
        <v>87600</v>
      </c>
    </row>
    <row r="1167">
      <c r="A1167" t="inlineStr">
        <is>
          <t>2월</t>
        </is>
      </c>
      <c r="B1167" t="inlineStr">
        <is>
          <t>7주차</t>
        </is>
      </c>
      <c r="C1167" t="inlineStr">
        <is>
          <t>EP</t>
        </is>
      </c>
      <c r="D1167" s="28" t="n">
        <v>46063</v>
      </c>
      <c r="E1167" t="inlineStr">
        <is>
          <t>현대EP</t>
        </is>
      </c>
      <c r="F1167" t="inlineStr">
        <is>
          <t>김제철</t>
        </is>
      </c>
      <c r="G1167" t="inlineStr">
        <is>
          <t>010-2981-8086</t>
        </is>
      </c>
      <c r="H1167" t="inlineStr">
        <is>
          <t>37도7275</t>
        </is>
      </c>
      <c r="I1167" t="n">
        <v>3800000</v>
      </c>
      <c r="J1167" t="n">
        <v>0.137</v>
      </c>
      <c r="K1167" t="n">
        <v>1.76</v>
      </c>
      <c r="L1167" t="n">
        <v>0.14</v>
      </c>
      <c r="M1167" t="n">
        <v>1.62</v>
      </c>
      <c r="P1167" t="inlineStr">
        <is>
          <t>김나윤</t>
        </is>
      </c>
      <c r="Q1167" t="inlineStr">
        <is>
          <t>홈서비스 24개월</t>
        </is>
      </c>
      <c r="AB1167" t="inlineStr">
        <is>
          <t>홈서비스</t>
        </is>
      </c>
      <c r="AC1167" t="n">
        <v>66880</v>
      </c>
      <c r="AD1167" t="n">
        <v>5320</v>
      </c>
      <c r="AE1167" t="n">
        <v>61560</v>
      </c>
      <c r="AF1167" t="n">
        <v>60800</v>
      </c>
      <c r="AG1167" t="n">
        <v>5320</v>
      </c>
      <c r="AH1167" t="n">
        <v>55480</v>
      </c>
    </row>
    <row r="1168">
      <c r="A1168" t="inlineStr">
        <is>
          <t>2월</t>
        </is>
      </c>
      <c r="B1168" t="inlineStr">
        <is>
          <t>8주차</t>
        </is>
      </c>
      <c r="C1168" t="inlineStr">
        <is>
          <t>EP</t>
        </is>
      </c>
      <c r="D1168" s="28" t="n">
        <v>46070</v>
      </c>
      <c r="E1168" t="inlineStr">
        <is>
          <t>현대EP</t>
        </is>
      </c>
      <c r="F1168" t="inlineStr">
        <is>
          <t>김준호</t>
        </is>
      </c>
      <c r="G1168" t="inlineStr">
        <is>
          <t>010-3472-1969</t>
        </is>
      </c>
      <c r="H1168" t="inlineStr">
        <is>
          <t>87라0803</t>
        </is>
      </c>
      <c r="I1168" t="n">
        <v>6700000</v>
      </c>
      <c r="J1168" t="n">
        <v>0.078</v>
      </c>
      <c r="K1168" t="n">
        <v>1.76</v>
      </c>
      <c r="L1168" t="n">
        <v>0.14</v>
      </c>
      <c r="M1168" t="n">
        <v>1.62</v>
      </c>
      <c r="P1168" t="inlineStr">
        <is>
          <t>정광호</t>
        </is>
      </c>
      <c r="Q1168" t="inlineStr">
        <is>
          <t>홈서비스 60개월</t>
        </is>
      </c>
      <c r="AB1168" t="inlineStr">
        <is>
          <t>홈서비스</t>
        </is>
      </c>
      <c r="AC1168" t="n">
        <v>117920</v>
      </c>
      <c r="AD1168" t="n">
        <v>9380</v>
      </c>
      <c r="AE1168" t="n">
        <v>108540</v>
      </c>
      <c r="AF1168" t="n">
        <v>107200</v>
      </c>
      <c r="AG1168" t="n">
        <v>9380</v>
      </c>
      <c r="AH1168" t="n">
        <v>97820</v>
      </c>
      <c r="AI1168" t="n">
        <v>0</v>
      </c>
    </row>
    <row r="1169">
      <c r="A1169" t="inlineStr">
        <is>
          <t>2월</t>
        </is>
      </c>
      <c r="B1169" t="inlineStr">
        <is>
          <t>8주차</t>
        </is>
      </c>
      <c r="C1169" t="inlineStr">
        <is>
          <t>EP</t>
        </is>
      </c>
      <c r="D1169" s="28" t="n">
        <v>46072</v>
      </c>
      <c r="E1169" t="inlineStr">
        <is>
          <t>현대EP_fast</t>
        </is>
      </c>
      <c r="F1169" t="inlineStr">
        <is>
          <t>손경석</t>
        </is>
      </c>
      <c r="G1169" t="inlineStr">
        <is>
          <t>010-7767-4333</t>
        </is>
      </c>
      <c r="H1169" t="inlineStr">
        <is>
          <t>62라6216</t>
        </is>
      </c>
      <c r="I1169" t="n">
        <v>7900000</v>
      </c>
      <c r="J1169" t="n">
        <v>0.102</v>
      </c>
      <c r="K1169" t="n">
        <v>1.76</v>
      </c>
      <c r="L1169" t="n">
        <v>0.14</v>
      </c>
      <c r="M1169" t="n">
        <v>1.62</v>
      </c>
      <c r="P1169" t="inlineStr">
        <is>
          <t>정광호</t>
        </is>
      </c>
      <c r="Q1169" t="inlineStr">
        <is>
          <t>홈서비스 60개월</t>
        </is>
      </c>
      <c r="AB1169" t="inlineStr">
        <is>
          <t>홈서비스</t>
        </is>
      </c>
      <c r="AC1169" t="n">
        <v>139040</v>
      </c>
      <c r="AD1169" t="n">
        <v>11060</v>
      </c>
      <c r="AE1169" t="n">
        <v>127980</v>
      </c>
      <c r="AF1169" t="n">
        <v>126400</v>
      </c>
      <c r="AG1169" t="n">
        <v>11060</v>
      </c>
      <c r="AH1169" t="n">
        <v>115340</v>
      </c>
    </row>
    <row r="1170">
      <c r="A1170" t="inlineStr">
        <is>
          <t>2월</t>
        </is>
      </c>
      <c r="B1170" t="inlineStr">
        <is>
          <t>9주차</t>
        </is>
      </c>
      <c r="C1170" t="inlineStr">
        <is>
          <t>EP</t>
        </is>
      </c>
      <c r="D1170" s="28" t="n">
        <v>46076</v>
      </c>
      <c r="E1170" t="inlineStr">
        <is>
          <t>현대EP</t>
        </is>
      </c>
      <c r="F1170" t="inlineStr">
        <is>
          <t>정석훈</t>
        </is>
      </c>
      <c r="G1170" t="inlineStr">
        <is>
          <t>010-6471-8794</t>
        </is>
      </c>
      <c r="H1170" t="inlineStr">
        <is>
          <t>233구2250</t>
        </is>
      </c>
      <c r="I1170" t="n">
        <v>50000000</v>
      </c>
      <c r="J1170" t="n">
        <v>0.102</v>
      </c>
      <c r="K1170" t="n">
        <v>1.76</v>
      </c>
      <c r="L1170" t="n">
        <v>0.14</v>
      </c>
      <c r="M1170" t="n">
        <v>1.62</v>
      </c>
      <c r="P1170" t="inlineStr">
        <is>
          <t>정광호</t>
        </is>
      </c>
      <c r="Q1170" t="inlineStr">
        <is>
          <t>홈서비스 60개월</t>
        </is>
      </c>
      <c r="AB1170" t="inlineStr">
        <is>
          <t>홈서비스</t>
        </is>
      </c>
      <c r="AC1170" t="n">
        <v>880000</v>
      </c>
      <c r="AD1170" t="n">
        <v>70000</v>
      </c>
      <c r="AE1170" t="n">
        <v>810000</v>
      </c>
      <c r="AF1170" t="n">
        <v>800000</v>
      </c>
      <c r="AG1170" t="n">
        <v>70000</v>
      </c>
      <c r="AH1170" t="n">
        <v>730000</v>
      </c>
    </row>
    <row r="1171">
      <c r="A1171" t="inlineStr">
        <is>
          <t>2월</t>
        </is>
      </c>
      <c r="B1171" t="inlineStr">
        <is>
          <t>9주차</t>
        </is>
      </c>
      <c r="C1171" t="inlineStr">
        <is>
          <t>IM</t>
        </is>
      </c>
      <c r="D1171" s="28" t="n">
        <v>46077</v>
      </c>
      <c r="E1171" t="inlineStr">
        <is>
          <t>IM캐피탈</t>
        </is>
      </c>
      <c r="F1171" t="inlineStr">
        <is>
          <t>강재영</t>
        </is>
      </c>
      <c r="G1171" t="inlineStr">
        <is>
          <t>010-2841-8587</t>
        </is>
      </c>
      <c r="H1171" t="inlineStr">
        <is>
          <t>191노6887</t>
        </is>
      </c>
      <c r="I1171" t="n">
        <v>30700000</v>
      </c>
      <c r="J1171" t="n">
        <v>0.049</v>
      </c>
      <c r="K1171" t="n">
        <v>1.1</v>
      </c>
      <c r="L1171" t="n">
        <v>0.14</v>
      </c>
      <c r="M1171" t="n">
        <v>0.96</v>
      </c>
      <c r="P1171" t="inlineStr">
        <is>
          <t>김수연</t>
        </is>
      </c>
      <c r="Q1171" t="inlineStr">
        <is>
          <t>홈서비스 60개월</t>
        </is>
      </c>
      <c r="AB1171" t="inlineStr">
        <is>
          <t>홈서비스</t>
        </is>
      </c>
      <c r="AC1171" t="n">
        <v>337700</v>
      </c>
      <c r="AD1171" t="n">
        <v>42980</v>
      </c>
      <c r="AE1171" t="n">
        <v>294720</v>
      </c>
      <c r="AF1171" t="n">
        <v>307000</v>
      </c>
      <c r="AG1171" t="n">
        <v>42980</v>
      </c>
      <c r="AH1171" t="n">
        <v>264020</v>
      </c>
      <c r="AI1171" t="n">
        <v>0</v>
      </c>
    </row>
    <row r="1172">
      <c r="A1172" t="inlineStr">
        <is>
          <t>2월</t>
        </is>
      </c>
      <c r="B1172" t="inlineStr">
        <is>
          <t>9주차</t>
        </is>
      </c>
      <c r="C1172" t="inlineStr">
        <is>
          <t>EP</t>
        </is>
      </c>
      <c r="D1172" s="28" t="n">
        <v>46079</v>
      </c>
      <c r="E1172" t="inlineStr">
        <is>
          <t>현대EP</t>
        </is>
      </c>
      <c r="F1172" t="inlineStr">
        <is>
          <t>박동민</t>
        </is>
      </c>
      <c r="G1172" t="inlineStr">
        <is>
          <t>010-9038-7239</t>
        </is>
      </c>
      <c r="H1172" t="inlineStr">
        <is>
          <t>224조7358</t>
        </is>
      </c>
      <c r="I1172" t="n">
        <v>21900000</v>
      </c>
      <c r="J1172" t="n">
        <v>0.07199999999999999</v>
      </c>
      <c r="K1172" t="n">
        <v>1.76</v>
      </c>
      <c r="L1172" t="n">
        <v>0.14</v>
      </c>
      <c r="M1172" t="n">
        <v>1.62</v>
      </c>
      <c r="P1172" t="inlineStr">
        <is>
          <t>황채이</t>
        </is>
      </c>
      <c r="Q1172" t="inlineStr">
        <is>
          <t>홈서비스 60개월</t>
        </is>
      </c>
      <c r="AB1172" t="inlineStr">
        <is>
          <t>홈서비스</t>
        </is>
      </c>
      <c r="AC1172" t="n">
        <v>385440</v>
      </c>
      <c r="AD1172" t="n">
        <v>30660</v>
      </c>
      <c r="AE1172" t="n">
        <v>354780</v>
      </c>
      <c r="AF1172" t="n">
        <v>350400</v>
      </c>
      <c r="AG1172" t="n">
        <v>30660</v>
      </c>
      <c r="AH1172" t="n">
        <v>319740</v>
      </c>
      <c r="AI1172" t="n">
        <v>0</v>
      </c>
    </row>
    <row r="1173">
      <c r="A1173" t="inlineStr">
        <is>
          <t>2월</t>
        </is>
      </c>
      <c r="B1173" t="inlineStr">
        <is>
          <t>9주차</t>
        </is>
      </c>
      <c r="C1173" t="inlineStr">
        <is>
          <t>EP</t>
        </is>
      </c>
      <c r="D1173" s="28" t="n">
        <v>46079</v>
      </c>
      <c r="E1173" t="inlineStr">
        <is>
          <t>현대EP</t>
        </is>
      </c>
      <c r="F1173" t="inlineStr">
        <is>
          <t>정성훈</t>
        </is>
      </c>
      <c r="G1173" t="inlineStr">
        <is>
          <t>010-4530-1045</t>
        </is>
      </c>
      <c r="H1173" t="inlineStr">
        <is>
          <t>41두2681</t>
        </is>
      </c>
      <c r="I1173" t="n">
        <v>8200000</v>
      </c>
      <c r="J1173" t="n">
        <v>0.135</v>
      </c>
      <c r="K1173" t="n">
        <v>1.76</v>
      </c>
      <c r="L1173" t="n">
        <v>0.14</v>
      </c>
      <c r="M1173" t="n">
        <v>1.62</v>
      </c>
      <c r="P1173" t="inlineStr">
        <is>
          <t>정광호</t>
        </is>
      </c>
      <c r="Q1173" t="inlineStr">
        <is>
          <t>홈서비스 48개월</t>
        </is>
      </c>
      <c r="AB1173" t="inlineStr">
        <is>
          <t>홈서비스</t>
        </is>
      </c>
      <c r="AC1173" t="n">
        <v>144320</v>
      </c>
      <c r="AD1173" t="n">
        <v>11480</v>
      </c>
      <c r="AE1173" t="n">
        <v>132840</v>
      </c>
      <c r="AF1173" t="n">
        <v>131200</v>
      </c>
      <c r="AG1173" t="n">
        <v>11480</v>
      </c>
      <c r="AH1173" t="n">
        <v>119720</v>
      </c>
      <c r="AI1173" t="n">
        <v>0</v>
      </c>
    </row>
    <row r="1174">
      <c r="A1174" t="inlineStr">
        <is>
          <t>2월</t>
        </is>
      </c>
      <c r="B1174" t="inlineStr">
        <is>
          <t>6주차</t>
        </is>
      </c>
      <c r="C1174" t="inlineStr">
        <is>
          <t>EP</t>
        </is>
      </c>
      <c r="D1174" s="28" t="n">
        <v>46059</v>
      </c>
      <c r="E1174" t="inlineStr">
        <is>
          <t>현대EP_fast</t>
        </is>
      </c>
      <c r="F1174" t="inlineStr">
        <is>
          <t>원치영</t>
        </is>
      </c>
      <c r="G1174" t="inlineStr">
        <is>
          <t>010-3296-8006</t>
        </is>
      </c>
      <c r="H1174" t="inlineStr">
        <is>
          <t>17다0830</t>
        </is>
      </c>
      <c r="I1174" t="n">
        <v>3900000</v>
      </c>
      <c r="J1174" t="n">
        <v>0.081</v>
      </c>
      <c r="K1174" t="n">
        <v>1.76</v>
      </c>
      <c r="L1174" t="n">
        <v>0.4</v>
      </c>
      <c r="M1174" t="n">
        <v>1.36</v>
      </c>
      <c r="P1174" t="inlineStr">
        <is>
          <t>임대경</t>
        </is>
      </c>
      <c r="AB1174" t="inlineStr">
        <is>
          <t>엔카</t>
        </is>
      </c>
      <c r="AC1174" t="n">
        <v>68640</v>
      </c>
      <c r="AD1174" t="n">
        <v>15600</v>
      </c>
      <c r="AE1174" t="n">
        <v>53040</v>
      </c>
      <c r="AF1174" t="n">
        <v>62400</v>
      </c>
      <c r="AG1174" t="n">
        <v>15600</v>
      </c>
      <c r="AH1174" t="n">
        <v>46800</v>
      </c>
      <c r="AI1174" t="n">
        <v>0</v>
      </c>
    </row>
    <row r="1175">
      <c r="A1175" t="inlineStr">
        <is>
          <t>2월</t>
        </is>
      </c>
      <c r="B1175" t="inlineStr">
        <is>
          <t>9주차</t>
        </is>
      </c>
      <c r="C1175" t="inlineStr">
        <is>
          <t>EP</t>
        </is>
      </c>
      <c r="D1175" s="28" t="n">
        <v>46080</v>
      </c>
      <c r="E1175" t="inlineStr">
        <is>
          <t>현대EP</t>
        </is>
      </c>
      <c r="F1175" t="inlineStr">
        <is>
          <t>변주희</t>
        </is>
      </c>
      <c r="G1175" t="inlineStr">
        <is>
          <t>010-4901-7958</t>
        </is>
      </c>
      <c r="H1175" t="inlineStr">
        <is>
          <t>228모4704</t>
        </is>
      </c>
      <c r="I1175" t="n">
        <v>3000000</v>
      </c>
      <c r="J1175" t="n">
        <v>0.07199999999999999</v>
      </c>
      <c r="K1175" t="n">
        <v>1.76</v>
      </c>
      <c r="L1175" t="n">
        <v>0.14</v>
      </c>
      <c r="M1175" t="n">
        <v>1.62</v>
      </c>
      <c r="P1175" t="inlineStr">
        <is>
          <t>황채이</t>
        </is>
      </c>
      <c r="Q1175" t="inlineStr">
        <is>
          <t>홈서비스 24개월</t>
        </is>
      </c>
      <c r="AB1175" t="inlineStr">
        <is>
          <t>홈서비스</t>
        </is>
      </c>
      <c r="AC1175" t="n">
        <v>52800</v>
      </c>
      <c r="AD1175" t="n">
        <v>4200</v>
      </c>
      <c r="AE1175" t="n">
        <v>48600</v>
      </c>
      <c r="AF1175" t="n">
        <v>48000</v>
      </c>
      <c r="AG1175" t="n">
        <v>4200</v>
      </c>
      <c r="AH1175" t="n">
        <v>43800</v>
      </c>
      <c r="AI1175" t="n">
        <v>0</v>
      </c>
    </row>
    <row r="1176">
      <c r="A1176" t="inlineStr">
        <is>
          <t>2월</t>
        </is>
      </c>
      <c r="B1176" t="inlineStr">
        <is>
          <t>7주차</t>
        </is>
      </c>
      <c r="C1176" t="inlineStr">
        <is>
          <t>EP</t>
        </is>
      </c>
      <c r="D1176" s="28" t="n">
        <v>46062</v>
      </c>
      <c r="E1176" t="inlineStr">
        <is>
          <t>현대EP_fast</t>
        </is>
      </c>
      <c r="F1176" t="inlineStr">
        <is>
          <t>윤범우</t>
        </is>
      </c>
      <c r="G1176" t="inlineStr">
        <is>
          <t>010-8908-2556</t>
        </is>
      </c>
      <c r="H1176" t="inlineStr">
        <is>
          <t>170거9040</t>
        </is>
      </c>
      <c r="I1176" t="n">
        <v>24900000</v>
      </c>
      <c r="J1176" t="n">
        <v>0.131</v>
      </c>
      <c r="K1176" t="n">
        <v>1.76</v>
      </c>
      <c r="L1176" t="n">
        <v>0.14</v>
      </c>
      <c r="M1176" t="n">
        <v>1.62</v>
      </c>
      <c r="P1176" t="inlineStr">
        <is>
          <t>김수연</t>
        </is>
      </c>
      <c r="Q1176" t="inlineStr">
        <is>
          <t>홈서비스 48개월</t>
        </is>
      </c>
      <c r="AB1176" t="inlineStr">
        <is>
          <t>홈서비스</t>
        </is>
      </c>
      <c r="AC1176" t="n">
        <v>438240</v>
      </c>
      <c r="AD1176" t="n">
        <v>34860</v>
      </c>
      <c r="AE1176" t="n">
        <v>403380</v>
      </c>
      <c r="AF1176" t="n">
        <v>398400</v>
      </c>
      <c r="AG1176" t="n">
        <v>34860</v>
      </c>
      <c r="AH1176" t="n">
        <v>363540</v>
      </c>
      <c r="AI1176" t="n">
        <v>0</v>
      </c>
    </row>
    <row r="1177">
      <c r="A1177" t="inlineStr">
        <is>
          <t>2월</t>
        </is>
      </c>
      <c r="B1177" t="inlineStr">
        <is>
          <t>9주차</t>
        </is>
      </c>
      <c r="C1177" t="inlineStr">
        <is>
          <t>WC</t>
        </is>
      </c>
      <c r="D1177" s="28" t="n">
        <v>46080</v>
      </c>
      <c r="E1177" t="inlineStr">
        <is>
          <t>웰컴저축은행</t>
        </is>
      </c>
      <c r="F1177" t="inlineStr">
        <is>
          <t>김지희</t>
        </is>
      </c>
      <c r="G1177" t="inlineStr">
        <is>
          <t>010-9601-3134</t>
        </is>
      </c>
      <c r="H1177" t="inlineStr">
        <is>
          <t>13주9485</t>
        </is>
      </c>
      <c r="I1177" t="n">
        <v>20000000</v>
      </c>
      <c r="J1177" t="n">
        <v>0.197</v>
      </c>
      <c r="K1177" t="n">
        <v>0</v>
      </c>
      <c r="L1177" t="n">
        <v>0.4</v>
      </c>
      <c r="M1177" t="n">
        <v>-0.4</v>
      </c>
      <c r="P1177" t="inlineStr">
        <is>
          <t>장현경</t>
        </is>
      </c>
      <c r="AB1177" t="inlineStr">
        <is>
          <t>엔카</t>
        </is>
      </c>
      <c r="AC1177" t="n">
        <v>0</v>
      </c>
      <c r="AD1177" t="n">
        <v>80000</v>
      </c>
      <c r="AE1177" t="n">
        <v>-80000</v>
      </c>
      <c r="AF1177" t="n">
        <v>0</v>
      </c>
      <c r="AG1177" t="n">
        <v>80000</v>
      </c>
      <c r="AH1177" t="n">
        <v>-80000</v>
      </c>
      <c r="AI1177" t="n">
        <v>0</v>
      </c>
    </row>
    <row r="1178">
      <c r="A1178" t="inlineStr">
        <is>
          <t>2월</t>
        </is>
      </c>
      <c r="B1178" t="inlineStr">
        <is>
          <t>7주차</t>
        </is>
      </c>
      <c r="C1178" t="inlineStr">
        <is>
          <t>EP</t>
        </is>
      </c>
      <c r="D1178" s="28" t="n">
        <v>46062</v>
      </c>
      <c r="E1178" t="inlineStr">
        <is>
          <t>현대EP_fast</t>
        </is>
      </c>
      <c r="F1178" t="inlineStr">
        <is>
          <t>윤정권</t>
        </is>
      </c>
      <c r="G1178" t="inlineStr">
        <is>
          <t>010-7601-0486</t>
        </is>
      </c>
      <c r="H1178" t="inlineStr">
        <is>
          <t>127모4008</t>
        </is>
      </c>
      <c r="I1178" t="n">
        <v>4000000</v>
      </c>
      <c r="J1178" t="n">
        <v>0.089</v>
      </c>
      <c r="K1178" t="n">
        <v>1.76</v>
      </c>
      <c r="L1178" t="n">
        <v>0.14</v>
      </c>
      <c r="M1178" t="n">
        <v>1.62</v>
      </c>
      <c r="P1178" t="inlineStr">
        <is>
          <t>장진경</t>
        </is>
      </c>
      <c r="Q1178" t="inlineStr">
        <is>
          <t>선상담 / 홈서비스 36개월</t>
        </is>
      </c>
      <c r="AB1178" t="inlineStr">
        <is>
          <t>홈서비스</t>
        </is>
      </c>
      <c r="AC1178" t="n">
        <v>70400</v>
      </c>
      <c r="AD1178" t="n">
        <v>5600</v>
      </c>
      <c r="AE1178" t="n">
        <v>64800</v>
      </c>
      <c r="AF1178" t="n">
        <v>64000</v>
      </c>
      <c r="AG1178" t="n">
        <v>5600</v>
      </c>
      <c r="AH1178" t="n">
        <v>58400</v>
      </c>
      <c r="AI1178" t="n">
        <v>0</v>
      </c>
    </row>
    <row r="1179">
      <c r="A1179" t="inlineStr">
        <is>
          <t>2월</t>
        </is>
      </c>
      <c r="B1179" t="inlineStr">
        <is>
          <t>7주차</t>
        </is>
      </c>
      <c r="C1179" t="inlineStr">
        <is>
          <t>OR</t>
        </is>
      </c>
      <c r="D1179" s="28" t="n">
        <v>46062</v>
      </c>
      <c r="E1179" t="inlineStr">
        <is>
          <t>오릭스</t>
        </is>
      </c>
      <c r="F1179" t="inlineStr">
        <is>
          <t>감동호</t>
        </is>
      </c>
      <c r="G1179" t="inlineStr">
        <is>
          <t>010-9184-8624</t>
        </is>
      </c>
      <c r="H1179" t="inlineStr">
        <is>
          <t>13더8534</t>
        </is>
      </c>
      <c r="I1179" t="n">
        <v>6400000</v>
      </c>
      <c r="J1179" t="n">
        <v>0.075</v>
      </c>
      <c r="K1179" t="n">
        <v>1.65</v>
      </c>
      <c r="L1179" t="n">
        <v>0.4</v>
      </c>
      <c r="M1179" t="n">
        <v>1.25</v>
      </c>
      <c r="P1179" t="inlineStr">
        <is>
          <t>장현경</t>
        </is>
      </c>
      <c r="AB1179" t="inlineStr">
        <is>
          <t>엔카</t>
        </is>
      </c>
      <c r="AC1179" t="n">
        <v>105600</v>
      </c>
      <c r="AD1179" t="n">
        <v>25600</v>
      </c>
      <c r="AE1179" t="n">
        <v>80000</v>
      </c>
      <c r="AF1179" t="n">
        <v>96000</v>
      </c>
      <c r="AG1179" t="n">
        <v>25600</v>
      </c>
      <c r="AH1179" t="n">
        <v>70400</v>
      </c>
      <c r="AI1179" t="n">
        <v>0</v>
      </c>
    </row>
    <row r="1180">
      <c r="A1180" t="inlineStr">
        <is>
          <t>2월</t>
        </is>
      </c>
      <c r="B1180" t="inlineStr">
        <is>
          <t>6주차</t>
        </is>
      </c>
      <c r="C1180" t="inlineStr">
        <is>
          <t>IM</t>
        </is>
      </c>
      <c r="D1180" s="28" t="n">
        <v>46057</v>
      </c>
      <c r="E1180" t="inlineStr">
        <is>
          <t>IM캐피탈</t>
        </is>
      </c>
      <c r="F1180" t="inlineStr">
        <is>
          <t>김민서</t>
        </is>
      </c>
      <c r="G1180" t="n">
        <v>1057626807</v>
      </c>
      <c r="H1180" t="inlineStr">
        <is>
          <t>196루4597</t>
        </is>
      </c>
      <c r="I1180" t="n">
        <v>25000000</v>
      </c>
      <c r="J1180" t="n">
        <v>0.056</v>
      </c>
      <c r="K1180" t="n">
        <v>1.1</v>
      </c>
      <c r="L1180" t="n">
        <v>0.14</v>
      </c>
      <c r="M1180" t="n">
        <v>0.96</v>
      </c>
      <c r="P1180" t="inlineStr">
        <is>
          <t>김나윤</t>
        </is>
      </c>
      <c r="Q1180" t="inlineStr">
        <is>
          <t>홈서비스 72개월</t>
        </is>
      </c>
      <c r="AB1180" t="inlineStr">
        <is>
          <t>홈서비스</t>
        </is>
      </c>
      <c r="AC1180" t="n">
        <v>275000</v>
      </c>
      <c r="AD1180" t="n">
        <v>35000</v>
      </c>
      <c r="AE1180" t="n">
        <v>240000</v>
      </c>
      <c r="AF1180" t="n">
        <v>250000</v>
      </c>
      <c r="AG1180" t="n">
        <v>35000</v>
      </c>
      <c r="AH1180" t="n">
        <v>215000</v>
      </c>
      <c r="AI1180" t="n">
        <v>0</v>
      </c>
    </row>
    <row r="1181">
      <c r="A1181" t="inlineStr">
        <is>
          <t>2월</t>
        </is>
      </c>
      <c r="B1181" t="inlineStr">
        <is>
          <t>6주차</t>
        </is>
      </c>
      <c r="C1181" t="inlineStr">
        <is>
          <t>IM</t>
        </is>
      </c>
      <c r="D1181" s="28" t="n">
        <v>46058</v>
      </c>
      <c r="E1181" t="inlineStr">
        <is>
          <t>IM캐피탈</t>
        </is>
      </c>
      <c r="F1181" t="inlineStr">
        <is>
          <t>이동욱</t>
        </is>
      </c>
      <c r="G1181" t="inlineStr">
        <is>
          <t>010-7375-7603</t>
        </is>
      </c>
      <c r="H1181" t="inlineStr">
        <is>
          <t>385조2255</t>
        </is>
      </c>
      <c r="I1181" t="n">
        <v>3100000</v>
      </c>
      <c r="J1181" t="n">
        <v>0.039</v>
      </c>
      <c r="K1181" t="n">
        <v>1.1</v>
      </c>
      <c r="L1181" t="n">
        <v>0.14</v>
      </c>
      <c r="M1181" t="n">
        <v>0.96</v>
      </c>
      <c r="P1181" t="inlineStr">
        <is>
          <t>정세빈</t>
        </is>
      </c>
      <c r="Q1181" t="inlineStr">
        <is>
          <t>홈서비스 24개월</t>
        </is>
      </c>
      <c r="AB1181" t="inlineStr">
        <is>
          <t>홈서비스</t>
        </is>
      </c>
      <c r="AC1181" t="n">
        <v>34100</v>
      </c>
      <c r="AD1181" t="n">
        <v>4340</v>
      </c>
      <c r="AE1181" t="n">
        <v>29760</v>
      </c>
      <c r="AF1181" t="n">
        <v>31000</v>
      </c>
      <c r="AG1181" t="n">
        <v>4340</v>
      </c>
      <c r="AH1181" t="n">
        <v>26660</v>
      </c>
      <c r="AI1181" t="n">
        <v>0</v>
      </c>
    </row>
    <row r="1182">
      <c r="A1182" t="inlineStr">
        <is>
          <t>2월</t>
        </is>
      </c>
      <c r="B1182" t="inlineStr">
        <is>
          <t>7주차</t>
        </is>
      </c>
      <c r="C1182" t="inlineStr">
        <is>
          <t>IM</t>
        </is>
      </c>
      <c r="D1182" s="28" t="n">
        <v>46062</v>
      </c>
      <c r="E1182" t="inlineStr">
        <is>
          <t>IM캐피탈</t>
        </is>
      </c>
      <c r="F1182" t="inlineStr">
        <is>
          <t>송기혁</t>
        </is>
      </c>
      <c r="G1182" t="inlineStr">
        <is>
          <t>010-3737-5254</t>
        </is>
      </c>
      <c r="H1182" t="inlineStr">
        <is>
          <t>62누5129</t>
        </is>
      </c>
      <c r="I1182" t="n">
        <v>3000000</v>
      </c>
      <c r="J1182" t="n">
        <v>0.049</v>
      </c>
      <c r="K1182" t="n">
        <v>1.1</v>
      </c>
      <c r="L1182" t="n">
        <v>0.4</v>
      </c>
      <c r="M1182" t="n">
        <v>0.7</v>
      </c>
      <c r="P1182" t="inlineStr">
        <is>
          <t>임대경</t>
        </is>
      </c>
      <c r="AB1182" t="inlineStr">
        <is>
          <t>엔카</t>
        </is>
      </c>
      <c r="AC1182" t="n">
        <v>33000</v>
      </c>
      <c r="AD1182" t="n">
        <v>12000</v>
      </c>
      <c r="AE1182" t="n">
        <v>21000</v>
      </c>
      <c r="AF1182" t="n">
        <v>30000</v>
      </c>
      <c r="AG1182" t="n">
        <v>12000</v>
      </c>
      <c r="AH1182" t="n">
        <v>18000</v>
      </c>
    </row>
    <row r="1183">
      <c r="A1183" t="inlineStr">
        <is>
          <t>2월</t>
        </is>
      </c>
      <c r="B1183" t="inlineStr">
        <is>
          <t>7주차</t>
        </is>
      </c>
      <c r="C1183" t="inlineStr">
        <is>
          <t>EP</t>
        </is>
      </c>
      <c r="D1183" s="28" t="n">
        <v>46062</v>
      </c>
      <c r="E1183" t="inlineStr">
        <is>
          <t>현대EP</t>
        </is>
      </c>
      <c r="F1183" t="inlineStr">
        <is>
          <t>배정한</t>
        </is>
      </c>
      <c r="G1183" t="inlineStr">
        <is>
          <t>010-8867-7399</t>
        </is>
      </c>
      <c r="H1183" t="inlineStr">
        <is>
          <t>41보1376</t>
        </is>
      </c>
      <c r="I1183" t="n">
        <v>24500000</v>
      </c>
      <c r="J1183" t="n">
        <v>0.093</v>
      </c>
      <c r="K1183" t="n">
        <v>1.76</v>
      </c>
      <c r="L1183" t="n">
        <v>0.14</v>
      </c>
      <c r="M1183" t="n">
        <v>1.62</v>
      </c>
      <c r="P1183" t="inlineStr">
        <is>
          <t>정광호</t>
        </is>
      </c>
      <c r="Q1183" t="inlineStr">
        <is>
          <t>홈서비스 36개월</t>
        </is>
      </c>
      <c r="AB1183" t="inlineStr">
        <is>
          <t>홈서비스</t>
        </is>
      </c>
      <c r="AC1183" t="n">
        <v>431200</v>
      </c>
      <c r="AD1183" t="n">
        <v>34300</v>
      </c>
      <c r="AE1183" t="n">
        <v>396900</v>
      </c>
      <c r="AF1183" t="n">
        <v>392000</v>
      </c>
      <c r="AG1183" t="n">
        <v>34300</v>
      </c>
      <c r="AH1183" t="n">
        <v>357700</v>
      </c>
      <c r="AI1183" t="n">
        <v>0</v>
      </c>
    </row>
    <row r="1184">
      <c r="A1184" t="inlineStr">
        <is>
          <t>2월</t>
        </is>
      </c>
      <c r="B1184" t="inlineStr">
        <is>
          <t>6주차</t>
        </is>
      </c>
      <c r="C1184" t="inlineStr">
        <is>
          <t>EP</t>
        </is>
      </c>
      <c r="D1184" s="28" t="n">
        <v>46058</v>
      </c>
      <c r="E1184" t="inlineStr">
        <is>
          <t>현대EP</t>
        </is>
      </c>
      <c r="F1184" t="inlineStr">
        <is>
          <t>김범수</t>
        </is>
      </c>
      <c r="G1184" t="inlineStr">
        <is>
          <t>010-5469-9229</t>
        </is>
      </c>
      <c r="H1184" t="inlineStr">
        <is>
          <t>38모0273</t>
        </is>
      </c>
      <c r="I1184" t="n">
        <v>10500000</v>
      </c>
      <c r="J1184" t="n">
        <v>0.06900000000000001</v>
      </c>
      <c r="K1184" t="n">
        <v>1.76</v>
      </c>
      <c r="L1184" t="n">
        <v>0.14</v>
      </c>
      <c r="M1184" t="n">
        <v>1.62</v>
      </c>
      <c r="P1184" t="inlineStr">
        <is>
          <t>최형주</t>
        </is>
      </c>
      <c r="Q1184" t="inlineStr">
        <is>
          <t>홈서비스 48개월</t>
        </is>
      </c>
      <c r="AB1184" t="inlineStr">
        <is>
          <t>홈서비스</t>
        </is>
      </c>
      <c r="AC1184" t="n">
        <v>184800</v>
      </c>
      <c r="AD1184" t="n">
        <v>14700</v>
      </c>
      <c r="AE1184" t="n">
        <v>170100</v>
      </c>
      <c r="AF1184" t="n">
        <v>168000</v>
      </c>
      <c r="AG1184" t="n">
        <v>14700</v>
      </c>
      <c r="AH1184" t="n">
        <v>153300</v>
      </c>
      <c r="AI1184" t="n">
        <v>0</v>
      </c>
    </row>
    <row r="1185">
      <c r="A1185" t="inlineStr">
        <is>
          <t>2월</t>
        </is>
      </c>
      <c r="B1185" t="inlineStr">
        <is>
          <t>6주차</t>
        </is>
      </c>
      <c r="C1185" t="inlineStr">
        <is>
          <t>EP</t>
        </is>
      </c>
      <c r="D1185" s="28" t="n">
        <v>46058</v>
      </c>
      <c r="E1185" t="inlineStr">
        <is>
          <t>현대EP</t>
        </is>
      </c>
      <c r="F1185" t="inlineStr">
        <is>
          <t>이준응</t>
        </is>
      </c>
      <c r="G1185" t="inlineStr">
        <is>
          <t>010-4762-3119</t>
        </is>
      </c>
      <c r="H1185" t="inlineStr">
        <is>
          <t>133가4275</t>
        </is>
      </c>
      <c r="I1185" t="n">
        <v>21200000</v>
      </c>
      <c r="J1185" t="n">
        <v>0.073</v>
      </c>
      <c r="K1185" t="n">
        <v>1.76</v>
      </c>
      <c r="L1185" t="n">
        <v>0.14</v>
      </c>
      <c r="M1185" t="n">
        <v>1.62</v>
      </c>
      <c r="P1185" t="inlineStr">
        <is>
          <t>황채이</t>
        </is>
      </c>
      <c r="Q1185" t="inlineStr">
        <is>
          <t>홈서비스 48개월</t>
        </is>
      </c>
      <c r="AB1185" t="inlineStr">
        <is>
          <t>홈서비스</t>
        </is>
      </c>
      <c r="AC1185" t="n">
        <v>373120</v>
      </c>
      <c r="AD1185" t="n">
        <v>29680</v>
      </c>
      <c r="AE1185" t="n">
        <v>343440</v>
      </c>
      <c r="AF1185" t="n">
        <v>339200</v>
      </c>
      <c r="AG1185" t="n">
        <v>29680</v>
      </c>
      <c r="AH1185" t="n">
        <v>309520</v>
      </c>
      <c r="AI1185" t="n">
        <v>0</v>
      </c>
    </row>
    <row r="1186">
      <c r="A1186" t="inlineStr">
        <is>
          <t>2월</t>
        </is>
      </c>
      <c r="B1186" t="inlineStr">
        <is>
          <t>7주차</t>
        </is>
      </c>
      <c r="C1186" t="inlineStr">
        <is>
          <t>EP</t>
        </is>
      </c>
      <c r="D1186" s="28" t="n">
        <v>46062</v>
      </c>
      <c r="E1186" t="inlineStr">
        <is>
          <t>현대EP</t>
        </is>
      </c>
      <c r="F1186" t="inlineStr">
        <is>
          <t>이현진</t>
        </is>
      </c>
      <c r="G1186" t="inlineStr">
        <is>
          <t>010-6249-3387</t>
        </is>
      </c>
      <c r="H1186" t="inlineStr">
        <is>
          <t>68다7075</t>
        </is>
      </c>
      <c r="I1186" t="n">
        <v>-29900000</v>
      </c>
      <c r="J1186" t="n">
        <v>0.075</v>
      </c>
      <c r="K1186" t="n">
        <v>1.76</v>
      </c>
      <c r="L1186" t="n">
        <v>0.14</v>
      </c>
      <c r="M1186" t="n">
        <v>1.62</v>
      </c>
      <c r="P1186" t="inlineStr">
        <is>
          <t>정광호</t>
        </is>
      </c>
      <c r="Q1186" t="inlineStr">
        <is>
          <t>홈서비스 60개월</t>
        </is>
      </c>
      <c r="AB1186" t="inlineStr">
        <is>
          <t>홈서비스</t>
        </is>
      </c>
      <c r="AC1186" t="n">
        <v>-526240</v>
      </c>
      <c r="AD1186" t="n">
        <v>-41860</v>
      </c>
      <c r="AE1186" t="n">
        <v>-484380</v>
      </c>
      <c r="AF1186" t="n">
        <v>-478400</v>
      </c>
      <c r="AG1186" t="n">
        <v>-41860</v>
      </c>
      <c r="AH1186" t="n">
        <v>-436540</v>
      </c>
      <c r="AI1186" t="n">
        <v>1</v>
      </c>
    </row>
    <row r="1187">
      <c r="A1187" t="inlineStr">
        <is>
          <t>2월</t>
        </is>
      </c>
      <c r="B1187" t="inlineStr">
        <is>
          <t>7주차</t>
        </is>
      </c>
      <c r="C1187" t="inlineStr">
        <is>
          <t>EP</t>
        </is>
      </c>
      <c r="D1187" s="28" t="n">
        <v>46062</v>
      </c>
      <c r="E1187" t="inlineStr">
        <is>
          <t>현대EP_fast</t>
        </is>
      </c>
      <c r="F1187" t="inlineStr">
        <is>
          <t>임유리</t>
        </is>
      </c>
      <c r="G1187" t="n">
        <v>1062983611</v>
      </c>
      <c r="H1187" t="inlineStr">
        <is>
          <t>220모2841</t>
        </is>
      </c>
      <c r="I1187" t="n">
        <v>-14200000</v>
      </c>
      <c r="J1187" t="n">
        <v>0.093</v>
      </c>
      <c r="K1187" t="n">
        <v>1.76</v>
      </c>
      <c r="L1187" t="n">
        <v>0.14</v>
      </c>
      <c r="M1187" t="n">
        <v>1.62</v>
      </c>
      <c r="P1187" t="inlineStr">
        <is>
          <t>김나윤</t>
        </is>
      </c>
      <c r="Q1187" t="inlineStr">
        <is>
          <t>홈서비스 60개월</t>
        </is>
      </c>
      <c r="AB1187" t="inlineStr">
        <is>
          <t>홈서비스</t>
        </is>
      </c>
      <c r="AC1187" t="n">
        <v>-249920</v>
      </c>
      <c r="AD1187" t="n">
        <v>-19880</v>
      </c>
      <c r="AE1187" t="n">
        <v>-230040</v>
      </c>
      <c r="AF1187" t="n">
        <v>-227200</v>
      </c>
      <c r="AG1187" t="n">
        <v>-19880</v>
      </c>
      <c r="AH1187" t="n">
        <v>-207320</v>
      </c>
      <c r="AI1187" t="n">
        <v>1</v>
      </c>
    </row>
    <row r="1188">
      <c r="A1188" t="inlineStr">
        <is>
          <t>2월</t>
        </is>
      </c>
      <c r="B1188" t="inlineStr">
        <is>
          <t>6주차</t>
        </is>
      </c>
      <c r="C1188" t="inlineStr">
        <is>
          <t>EP</t>
        </is>
      </c>
      <c r="D1188" s="28" t="n">
        <v>46058</v>
      </c>
      <c r="E1188" t="inlineStr">
        <is>
          <t>BNKEP</t>
        </is>
      </c>
      <c r="F1188" t="inlineStr">
        <is>
          <t>김지훈</t>
        </is>
      </c>
      <c r="G1188" t="inlineStr">
        <is>
          <t>010-7112-0731</t>
        </is>
      </c>
      <c r="H1188" t="inlineStr">
        <is>
          <t>10누2232</t>
        </is>
      </c>
      <c r="I1188" t="n">
        <v>18900000</v>
      </c>
      <c r="J1188" t="n">
        <v>0.075</v>
      </c>
      <c r="K1188" t="n">
        <v>1.65</v>
      </c>
      <c r="L1188" t="n">
        <v>0.14</v>
      </c>
      <c r="M1188" t="n">
        <v>1.51</v>
      </c>
      <c r="P1188" t="inlineStr">
        <is>
          <t>정광호</t>
        </is>
      </c>
      <c r="Q1188" t="inlineStr">
        <is>
          <t>홈서비스 60개월</t>
        </is>
      </c>
      <c r="AB1188" t="inlineStr">
        <is>
          <t>홈서비스</t>
        </is>
      </c>
      <c r="AC1188" t="n">
        <v>311850</v>
      </c>
      <c r="AD1188" t="n">
        <v>26460</v>
      </c>
      <c r="AE1188" t="n">
        <v>285390</v>
      </c>
      <c r="AF1188" t="n">
        <v>283500</v>
      </c>
      <c r="AG1188" t="n">
        <v>26460</v>
      </c>
      <c r="AH1188" t="n">
        <v>257040</v>
      </c>
      <c r="AI1188" t="n">
        <v>1</v>
      </c>
    </row>
    <row r="1189">
      <c r="A1189" t="inlineStr">
        <is>
          <t>2월</t>
        </is>
      </c>
      <c r="B1189" t="inlineStr">
        <is>
          <t>7주차</t>
        </is>
      </c>
      <c r="C1189" t="inlineStr">
        <is>
          <t>EP</t>
        </is>
      </c>
      <c r="D1189" s="28" t="n">
        <v>46062</v>
      </c>
      <c r="E1189" t="inlineStr">
        <is>
          <t>현대EP_fast</t>
        </is>
      </c>
      <c r="F1189" t="inlineStr">
        <is>
          <t>최영환</t>
        </is>
      </c>
      <c r="G1189" t="inlineStr">
        <is>
          <t>010-2010-7127</t>
        </is>
      </c>
      <c r="H1189" t="inlineStr">
        <is>
          <t>192무8045</t>
        </is>
      </c>
      <c r="I1189" t="n">
        <v>17900000</v>
      </c>
      <c r="J1189" t="n">
        <v>0.141</v>
      </c>
      <c r="K1189" t="n">
        <v>1.76</v>
      </c>
      <c r="L1189" t="n">
        <v>0.14</v>
      </c>
      <c r="M1189" t="n">
        <v>1.62</v>
      </c>
      <c r="P1189" t="inlineStr">
        <is>
          <t>장현경</t>
        </is>
      </c>
      <c r="Q1189" t="inlineStr">
        <is>
          <t>선상담 / 홈서비스 48개월</t>
        </is>
      </c>
      <c r="AB1189" t="inlineStr">
        <is>
          <t>홈서비스</t>
        </is>
      </c>
      <c r="AC1189" t="n">
        <v>315040</v>
      </c>
      <c r="AD1189" t="n">
        <v>25060</v>
      </c>
      <c r="AE1189" t="n">
        <v>289980</v>
      </c>
      <c r="AF1189" t="n">
        <v>286400</v>
      </c>
      <c r="AG1189" t="n">
        <v>25060</v>
      </c>
      <c r="AH1189" t="n">
        <v>261340</v>
      </c>
      <c r="AI1189" t="n">
        <v>1</v>
      </c>
    </row>
    <row r="1190">
      <c r="A1190" t="inlineStr">
        <is>
          <t>2월</t>
        </is>
      </c>
      <c r="B1190" t="inlineStr">
        <is>
          <t>7주차</t>
        </is>
      </c>
      <c r="C1190" t="inlineStr">
        <is>
          <t>EP</t>
        </is>
      </c>
      <c r="D1190" s="28" t="n">
        <v>46062</v>
      </c>
      <c r="E1190" t="inlineStr">
        <is>
          <t>현대EP_fast</t>
        </is>
      </c>
      <c r="F1190" t="inlineStr">
        <is>
          <t>유상기</t>
        </is>
      </c>
      <c r="G1190" t="inlineStr">
        <is>
          <t>010-3654-6265</t>
        </is>
      </c>
      <c r="H1190" t="inlineStr">
        <is>
          <t>64부6105</t>
        </is>
      </c>
      <c r="I1190" t="n">
        <v>8200000</v>
      </c>
      <c r="J1190" t="n">
        <v>0.097</v>
      </c>
      <c r="K1190" t="n">
        <v>1.76</v>
      </c>
      <c r="L1190" t="n">
        <v>0.4</v>
      </c>
      <c r="M1190" t="n">
        <v>1.36</v>
      </c>
      <c r="P1190" t="inlineStr">
        <is>
          <t>박소현</t>
        </is>
      </c>
      <c r="Q1190" t="inlineStr">
        <is>
          <t>금리 원복 접수진행건 / 일반차량</t>
        </is>
      </c>
      <c r="AB1190" t="inlineStr">
        <is>
          <t>엔카</t>
        </is>
      </c>
      <c r="AC1190" t="n">
        <v>144320</v>
      </c>
      <c r="AD1190" t="n">
        <v>32800</v>
      </c>
      <c r="AE1190" t="n">
        <v>111520</v>
      </c>
      <c r="AF1190" t="n">
        <v>131200</v>
      </c>
      <c r="AG1190" t="n">
        <v>32800</v>
      </c>
      <c r="AH1190" t="n">
        <v>98400</v>
      </c>
      <c r="AI1190" t="n">
        <v>1</v>
      </c>
    </row>
    <row r="1191">
      <c r="A1191" t="inlineStr">
        <is>
          <t>2월</t>
        </is>
      </c>
      <c r="B1191" t="inlineStr">
        <is>
          <t>6주차</t>
        </is>
      </c>
      <c r="C1191" t="inlineStr">
        <is>
          <t>EP</t>
        </is>
      </c>
      <c r="D1191" s="28" t="n">
        <v>46059</v>
      </c>
      <c r="E1191" t="inlineStr">
        <is>
          <t>현대EP_fast</t>
        </is>
      </c>
      <c r="F1191" t="inlineStr">
        <is>
          <t>신영식</t>
        </is>
      </c>
      <c r="G1191" t="inlineStr">
        <is>
          <t>010-6315-7948</t>
        </is>
      </c>
      <c r="H1191" t="inlineStr">
        <is>
          <t>45수6913</t>
        </is>
      </c>
      <c r="I1191" t="n">
        <v>16300000</v>
      </c>
      <c r="J1191" t="n">
        <v>0.067</v>
      </c>
      <c r="K1191" t="n">
        <v>1.76</v>
      </c>
      <c r="L1191" t="n">
        <v>0.14</v>
      </c>
      <c r="M1191" t="n">
        <v>1.62</v>
      </c>
      <c r="P1191" t="inlineStr">
        <is>
          <t>최형주</t>
        </is>
      </c>
      <c r="Q1191" t="inlineStr">
        <is>
          <t>홈서비스60개월</t>
        </is>
      </c>
      <c r="AB1191" t="inlineStr">
        <is>
          <t>홈서비스</t>
        </is>
      </c>
      <c r="AC1191" t="n">
        <v>286880</v>
      </c>
      <c r="AD1191" t="n">
        <v>22820</v>
      </c>
      <c r="AE1191" t="n">
        <v>264060</v>
      </c>
      <c r="AF1191" t="n">
        <v>260800</v>
      </c>
      <c r="AG1191" t="n">
        <v>22820</v>
      </c>
      <c r="AH1191" t="n">
        <v>237980</v>
      </c>
      <c r="AI1191" t="n">
        <v>1</v>
      </c>
    </row>
    <row r="1192">
      <c r="A1192" t="inlineStr">
        <is>
          <t>2월</t>
        </is>
      </c>
      <c r="B1192" t="inlineStr">
        <is>
          <t>6주차</t>
        </is>
      </c>
      <c r="C1192" t="inlineStr">
        <is>
          <t>EP</t>
        </is>
      </c>
      <c r="D1192" s="28" t="n">
        <v>46059</v>
      </c>
      <c r="E1192" t="inlineStr">
        <is>
          <t>현대EP_fast</t>
        </is>
      </c>
      <c r="F1192" t="inlineStr">
        <is>
          <t>김효빈</t>
        </is>
      </c>
      <c r="G1192" t="inlineStr">
        <is>
          <t>010-8619-9486</t>
        </is>
      </c>
      <c r="H1192" t="inlineStr">
        <is>
          <t>362라6615</t>
        </is>
      </c>
      <c r="I1192" t="n">
        <v>9500000</v>
      </c>
      <c r="J1192" t="n">
        <v>0.073</v>
      </c>
      <c r="K1192" t="n">
        <v>1.76</v>
      </c>
      <c r="L1192" t="n">
        <v>0.14</v>
      </c>
      <c r="M1192" t="n">
        <v>1.62</v>
      </c>
      <c r="P1192" t="inlineStr">
        <is>
          <t>최형주</t>
        </is>
      </c>
      <c r="Q1192" t="inlineStr">
        <is>
          <t>홈서비스 24개월</t>
        </is>
      </c>
      <c r="AB1192" t="inlineStr">
        <is>
          <t>홈서비스</t>
        </is>
      </c>
      <c r="AC1192" t="n">
        <v>167200</v>
      </c>
      <c r="AD1192" t="n">
        <v>13300</v>
      </c>
      <c r="AE1192" t="n">
        <v>153900</v>
      </c>
      <c r="AF1192" t="n">
        <v>152000</v>
      </c>
      <c r="AG1192" t="n">
        <v>13300</v>
      </c>
      <c r="AH1192" t="n">
        <v>138700</v>
      </c>
      <c r="AI1192" t="n">
        <v>1</v>
      </c>
    </row>
    <row r="1193">
      <c r="A1193" t="inlineStr">
        <is>
          <t>2월</t>
        </is>
      </c>
      <c r="B1193" t="inlineStr">
        <is>
          <t>6주차</t>
        </is>
      </c>
      <c r="C1193" t="inlineStr">
        <is>
          <t>EP</t>
        </is>
      </c>
      <c r="D1193" s="28" t="n">
        <v>46061</v>
      </c>
      <c r="E1193" t="inlineStr">
        <is>
          <t>현대EP</t>
        </is>
      </c>
      <c r="F1193" t="inlineStr">
        <is>
          <t>김대성</t>
        </is>
      </c>
      <c r="G1193" t="inlineStr">
        <is>
          <t>010-2934-0108</t>
        </is>
      </c>
      <c r="H1193" t="inlineStr">
        <is>
          <t>827루4750</t>
        </is>
      </c>
      <c r="I1193" t="n">
        <v>10000000</v>
      </c>
      <c r="J1193" t="n">
        <v>0.075</v>
      </c>
      <c r="K1193" t="n">
        <v>1.76</v>
      </c>
      <c r="L1193" t="n">
        <v>0.14</v>
      </c>
      <c r="M1193" t="n">
        <v>1.62</v>
      </c>
      <c r="P1193" t="inlineStr">
        <is>
          <t>김수연</t>
        </is>
      </c>
      <c r="Q1193" t="inlineStr">
        <is>
          <t>홈서비스 60개월</t>
        </is>
      </c>
      <c r="AB1193" t="inlineStr">
        <is>
          <t>홈서비스</t>
        </is>
      </c>
      <c r="AC1193" t="n">
        <v>176000</v>
      </c>
      <c r="AD1193" t="n">
        <v>14000</v>
      </c>
      <c r="AE1193" t="n">
        <v>162000</v>
      </c>
      <c r="AF1193" t="n">
        <v>160000</v>
      </c>
      <c r="AG1193" t="n">
        <v>14000</v>
      </c>
      <c r="AH1193" t="n">
        <v>146000</v>
      </c>
      <c r="AI1193" t="n">
        <v>0</v>
      </c>
    </row>
    <row r="1194">
      <c r="A1194" t="inlineStr">
        <is>
          <t>2월</t>
        </is>
      </c>
      <c r="B1194" t="inlineStr">
        <is>
          <t>7주차</t>
        </is>
      </c>
      <c r="C1194" t="inlineStr">
        <is>
          <t>EP</t>
        </is>
      </c>
      <c r="D1194" s="28" t="n">
        <v>46062</v>
      </c>
      <c r="E1194" t="inlineStr">
        <is>
          <t>현대EP_fast</t>
        </is>
      </c>
      <c r="F1194" t="inlineStr">
        <is>
          <t>심규택</t>
        </is>
      </c>
      <c r="G1194" t="inlineStr">
        <is>
          <t>010-4448-0498</t>
        </is>
      </c>
      <c r="H1194" t="inlineStr">
        <is>
          <t>55더6838</t>
        </is>
      </c>
      <c r="I1194" t="n">
        <v>-22000000</v>
      </c>
      <c r="J1194" t="n">
        <v>0.074</v>
      </c>
      <c r="K1194" t="n">
        <v>1.76</v>
      </c>
      <c r="L1194" t="n">
        <v>0.14</v>
      </c>
      <c r="M1194" t="n">
        <v>1.62</v>
      </c>
      <c r="P1194" t="inlineStr">
        <is>
          <t>정세빈</t>
        </is>
      </c>
      <c r="Q1194" t="inlineStr">
        <is>
          <t>홈서비스 60개월</t>
        </is>
      </c>
      <c r="AB1194" t="inlineStr">
        <is>
          <t>홈서비스</t>
        </is>
      </c>
      <c r="AC1194" t="n">
        <v>-387200</v>
      </c>
      <c r="AD1194" t="n">
        <v>-30800</v>
      </c>
      <c r="AE1194" t="n">
        <v>-356400</v>
      </c>
      <c r="AF1194" t="n">
        <v>-352000</v>
      </c>
      <c r="AG1194" t="n">
        <v>-30800</v>
      </c>
      <c r="AH1194" t="n">
        <v>-321200</v>
      </c>
      <c r="AI1194" t="n">
        <v>0</v>
      </c>
    </row>
    <row r="1195">
      <c r="A1195" t="inlineStr">
        <is>
          <t>2월</t>
        </is>
      </c>
      <c r="B1195" t="inlineStr">
        <is>
          <t>7주차</t>
        </is>
      </c>
      <c r="C1195" t="inlineStr">
        <is>
          <t>EP</t>
        </is>
      </c>
      <c r="D1195" s="28" t="n">
        <v>46063</v>
      </c>
      <c r="E1195" t="inlineStr">
        <is>
          <t>현대EP</t>
        </is>
      </c>
      <c r="F1195" t="inlineStr">
        <is>
          <t>허성덕</t>
        </is>
      </c>
      <c r="G1195" t="inlineStr">
        <is>
          <t>010-9773-2940</t>
        </is>
      </c>
      <c r="H1195" t="inlineStr">
        <is>
          <t>142가9825</t>
        </is>
      </c>
      <c r="I1195" t="n">
        <v>40000000</v>
      </c>
      <c r="J1195" t="n">
        <v>0.068</v>
      </c>
      <c r="K1195" t="n">
        <v>1.76</v>
      </c>
      <c r="L1195" t="n">
        <v>0.14</v>
      </c>
      <c r="M1195" t="n">
        <v>1.62</v>
      </c>
      <c r="P1195" t="inlineStr">
        <is>
          <t>정세빈</t>
        </is>
      </c>
      <c r="Q1195" t="inlineStr">
        <is>
          <t>홈서비스 60개월</t>
        </is>
      </c>
      <c r="AB1195" t="inlineStr">
        <is>
          <t>홈서비스</t>
        </is>
      </c>
      <c r="AC1195" t="n">
        <v>704000</v>
      </c>
      <c r="AD1195" t="n">
        <v>56000</v>
      </c>
      <c r="AE1195" t="n">
        <v>648000</v>
      </c>
      <c r="AF1195" t="n">
        <v>640000</v>
      </c>
      <c r="AG1195" t="n">
        <v>56000</v>
      </c>
      <c r="AH1195" t="n">
        <v>584000</v>
      </c>
    </row>
    <row r="1196">
      <c r="A1196" t="inlineStr">
        <is>
          <t>2월</t>
        </is>
      </c>
      <c r="B1196" t="inlineStr">
        <is>
          <t>7주차</t>
        </is>
      </c>
      <c r="C1196" t="inlineStr">
        <is>
          <t>IM</t>
        </is>
      </c>
      <c r="D1196" s="28" t="n">
        <v>46063</v>
      </c>
      <c r="E1196" t="inlineStr">
        <is>
          <t>IM캐피탈</t>
        </is>
      </c>
      <c r="F1196" t="inlineStr">
        <is>
          <t>김대수</t>
        </is>
      </c>
      <c r="G1196" t="inlineStr">
        <is>
          <t>010-3940-6461</t>
        </is>
      </c>
      <c r="H1196" t="inlineStr">
        <is>
          <t>182나6556</t>
        </is>
      </c>
      <c r="I1196" t="n">
        <v>10600000</v>
      </c>
      <c r="J1196" t="n">
        <v>0.059</v>
      </c>
      <c r="K1196" t="n">
        <v>1.1</v>
      </c>
      <c r="L1196" t="n">
        <v>0.14</v>
      </c>
      <c r="M1196" t="n">
        <v>0.96</v>
      </c>
      <c r="P1196" t="inlineStr">
        <is>
          <t>황채이</t>
        </is>
      </c>
      <c r="Q1196" t="inlineStr">
        <is>
          <t>홈서비스 48개월</t>
        </is>
      </c>
      <c r="AB1196" t="inlineStr">
        <is>
          <t>홈서비스</t>
        </is>
      </c>
      <c r="AC1196" t="n">
        <v>116600</v>
      </c>
      <c r="AD1196" t="n">
        <v>14840</v>
      </c>
      <c r="AE1196" t="n">
        <v>101760</v>
      </c>
      <c r="AF1196" t="n">
        <v>106000</v>
      </c>
      <c r="AG1196" t="n">
        <v>14840</v>
      </c>
      <c r="AH1196" t="n">
        <v>91160</v>
      </c>
      <c r="AI1196" t="n">
        <v>0</v>
      </c>
    </row>
    <row r="1197">
      <c r="A1197" t="inlineStr">
        <is>
          <t>2월</t>
        </is>
      </c>
      <c r="B1197" t="inlineStr">
        <is>
          <t>7주차</t>
        </is>
      </c>
      <c r="C1197" t="inlineStr">
        <is>
          <t>EP</t>
        </is>
      </c>
      <c r="D1197" s="28" t="n">
        <v>46063</v>
      </c>
      <c r="E1197" t="inlineStr">
        <is>
          <t>현대EP_fast</t>
        </is>
      </c>
      <c r="F1197" t="inlineStr">
        <is>
          <t>이병대</t>
        </is>
      </c>
      <c r="G1197" t="inlineStr">
        <is>
          <t>010-3254-9904</t>
        </is>
      </c>
      <c r="H1197" t="inlineStr">
        <is>
          <t>53서2743</t>
        </is>
      </c>
      <c r="I1197" t="n">
        <v>3800000</v>
      </c>
      <c r="J1197" t="n">
        <v>0.07199999999999999</v>
      </c>
      <c r="K1197" t="n">
        <v>1.76</v>
      </c>
      <c r="L1197" t="n">
        <v>0.14</v>
      </c>
      <c r="M1197" t="n">
        <v>1.62</v>
      </c>
      <c r="P1197" t="inlineStr">
        <is>
          <t>최형주</t>
        </is>
      </c>
      <c r="Q1197" t="inlineStr">
        <is>
          <t>홈서비스 48개월</t>
        </is>
      </c>
      <c r="AB1197" t="inlineStr">
        <is>
          <t>홈서비스</t>
        </is>
      </c>
      <c r="AC1197" t="n">
        <v>66880</v>
      </c>
      <c r="AD1197" t="n">
        <v>5320</v>
      </c>
      <c r="AE1197" t="n">
        <v>61560</v>
      </c>
      <c r="AF1197" t="n">
        <v>60800</v>
      </c>
      <c r="AG1197" t="n">
        <v>5320</v>
      </c>
      <c r="AH1197" t="n">
        <v>55480</v>
      </c>
      <c r="AI1197" t="n">
        <v>0</v>
      </c>
    </row>
    <row r="1198">
      <c r="A1198" t="inlineStr">
        <is>
          <t>2월</t>
        </is>
      </c>
      <c r="B1198" t="inlineStr">
        <is>
          <t>7주차</t>
        </is>
      </c>
      <c r="C1198" t="inlineStr">
        <is>
          <t>EP</t>
        </is>
      </c>
      <c r="D1198" s="28" t="n">
        <v>46065</v>
      </c>
      <c r="E1198" t="inlineStr">
        <is>
          <t>현대EP</t>
        </is>
      </c>
      <c r="F1198" t="inlineStr">
        <is>
          <t>이종권</t>
        </is>
      </c>
      <c r="G1198" t="inlineStr">
        <is>
          <t>010-2337-2282</t>
        </is>
      </c>
      <c r="H1198" t="inlineStr">
        <is>
          <t>52더3239</t>
        </is>
      </c>
      <c r="I1198" t="n">
        <v>50000000</v>
      </c>
      <c r="J1198" t="n">
        <v>0.073</v>
      </c>
      <c r="K1198" t="n">
        <v>1.76</v>
      </c>
      <c r="L1198" t="n">
        <v>0.14</v>
      </c>
      <c r="M1198" t="n">
        <v>1.62</v>
      </c>
      <c r="P1198" t="inlineStr">
        <is>
          <t>황채이</t>
        </is>
      </c>
      <c r="Q1198" t="inlineStr">
        <is>
          <t>홈서비스 36개월</t>
        </is>
      </c>
      <c r="AB1198" t="inlineStr">
        <is>
          <t>홈서비스</t>
        </is>
      </c>
      <c r="AC1198" t="n">
        <v>880000</v>
      </c>
      <c r="AD1198" t="n">
        <v>70000</v>
      </c>
      <c r="AE1198" t="n">
        <v>810000</v>
      </c>
      <c r="AF1198" t="n">
        <v>800000</v>
      </c>
      <c r="AG1198" t="n">
        <v>70000</v>
      </c>
      <c r="AH1198" t="n">
        <v>730000</v>
      </c>
      <c r="AI1198" t="n">
        <v>0</v>
      </c>
    </row>
    <row r="1199">
      <c r="A1199" t="inlineStr">
        <is>
          <t>2월</t>
        </is>
      </c>
      <c r="B1199" t="inlineStr">
        <is>
          <t>7주차</t>
        </is>
      </c>
      <c r="C1199" t="inlineStr">
        <is>
          <t>EP</t>
        </is>
      </c>
      <c r="D1199" s="28" t="n">
        <v>46063</v>
      </c>
      <c r="E1199" t="inlineStr">
        <is>
          <t>현대EP</t>
        </is>
      </c>
      <c r="F1199" t="inlineStr">
        <is>
          <t>정훈아</t>
        </is>
      </c>
      <c r="G1199" t="inlineStr">
        <is>
          <t>010-8014-2356</t>
        </is>
      </c>
      <c r="H1199" t="inlineStr">
        <is>
          <t>50가3045</t>
        </is>
      </c>
      <c r="I1199" t="n">
        <v>33000000</v>
      </c>
      <c r="J1199" t="n">
        <v>0.07199999999999999</v>
      </c>
      <c r="K1199" t="n">
        <v>1.76</v>
      </c>
      <c r="L1199" t="n">
        <v>0.14</v>
      </c>
      <c r="M1199" t="n">
        <v>1.62</v>
      </c>
      <c r="P1199" t="inlineStr">
        <is>
          <t>김수연</t>
        </is>
      </c>
      <c r="Q1199" t="inlineStr">
        <is>
          <t>홈서비스 60개월</t>
        </is>
      </c>
      <c r="AB1199" t="inlineStr">
        <is>
          <t>홈서비스</t>
        </is>
      </c>
      <c r="AC1199" t="n">
        <v>580800</v>
      </c>
      <c r="AD1199" t="n">
        <v>46200</v>
      </c>
      <c r="AE1199" t="n">
        <v>534600</v>
      </c>
      <c r="AF1199" t="n">
        <v>528000</v>
      </c>
      <c r="AG1199" t="n">
        <v>46200</v>
      </c>
      <c r="AH1199" t="n">
        <v>481800</v>
      </c>
      <c r="AI1199" t="n">
        <v>0</v>
      </c>
    </row>
    <row r="1200">
      <c r="A1200" t="inlineStr">
        <is>
          <t>2월</t>
        </is>
      </c>
      <c r="B1200" t="inlineStr">
        <is>
          <t>7주차</t>
        </is>
      </c>
      <c r="C1200" t="inlineStr">
        <is>
          <t>IM</t>
        </is>
      </c>
      <c r="D1200" s="28" t="n">
        <v>46063</v>
      </c>
      <c r="E1200" t="inlineStr">
        <is>
          <t>IM캐피탈</t>
        </is>
      </c>
      <c r="F1200" t="inlineStr">
        <is>
          <t>조희정</t>
        </is>
      </c>
      <c r="G1200" t="inlineStr">
        <is>
          <t>010-8837-1603</t>
        </is>
      </c>
      <c r="H1200" t="inlineStr">
        <is>
          <t>351주3895</t>
        </is>
      </c>
      <c r="I1200" t="n">
        <v>21900000</v>
      </c>
      <c r="J1200" t="n">
        <v>0.059</v>
      </c>
      <c r="K1200" t="n">
        <v>1.1</v>
      </c>
      <c r="L1200" t="n">
        <v>0.14</v>
      </c>
      <c r="M1200" t="n">
        <v>0.96</v>
      </c>
      <c r="P1200" t="inlineStr">
        <is>
          <t>정세빈</t>
        </is>
      </c>
      <c r="Q1200" t="inlineStr">
        <is>
          <t>홈서비스 48개월</t>
        </is>
      </c>
      <c r="AB1200" t="inlineStr">
        <is>
          <t>홈서비스</t>
        </is>
      </c>
      <c r="AC1200" t="n">
        <v>240900</v>
      </c>
      <c r="AD1200" t="n">
        <v>30660</v>
      </c>
      <c r="AE1200" t="n">
        <v>210240</v>
      </c>
      <c r="AF1200" t="n">
        <v>219000</v>
      </c>
      <c r="AG1200" t="n">
        <v>30660</v>
      </c>
      <c r="AH1200" t="n">
        <v>188340</v>
      </c>
      <c r="AI1200" t="n">
        <v>0</v>
      </c>
    </row>
    <row r="1201">
      <c r="A1201" t="inlineStr">
        <is>
          <t>2월</t>
        </is>
      </c>
      <c r="B1201" t="inlineStr">
        <is>
          <t>7주차</t>
        </is>
      </c>
      <c r="C1201" t="inlineStr">
        <is>
          <t>EP</t>
        </is>
      </c>
      <c r="D1201" s="28" t="n">
        <v>46065</v>
      </c>
      <c r="E1201" t="inlineStr">
        <is>
          <t>현대EP</t>
        </is>
      </c>
      <c r="F1201" t="inlineStr">
        <is>
          <t>지리산</t>
        </is>
      </c>
      <c r="G1201" t="inlineStr">
        <is>
          <t>010-7713-0898</t>
        </is>
      </c>
      <c r="H1201" t="inlineStr">
        <is>
          <t>01더3210</t>
        </is>
      </c>
      <c r="I1201" t="n">
        <v>10000000</v>
      </c>
      <c r="J1201" t="n">
        <v>0.099</v>
      </c>
      <c r="K1201" t="n">
        <v>1.21</v>
      </c>
      <c r="L1201" t="n">
        <v>0.14</v>
      </c>
      <c r="M1201" t="n">
        <v>1.07</v>
      </c>
      <c r="P1201" t="inlineStr">
        <is>
          <t>정광호</t>
        </is>
      </c>
      <c r="Q1201" t="inlineStr">
        <is>
          <t>홈서비스 36개월</t>
        </is>
      </c>
      <c r="AB1201" t="inlineStr">
        <is>
          <t>홈서비스</t>
        </is>
      </c>
      <c r="AC1201" t="n">
        <v>121000</v>
      </c>
      <c r="AD1201" t="n">
        <v>14000</v>
      </c>
      <c r="AE1201" t="n">
        <v>107000</v>
      </c>
      <c r="AF1201" t="n">
        <v>110000</v>
      </c>
      <c r="AG1201" t="n">
        <v>14000</v>
      </c>
      <c r="AH1201" t="n">
        <v>96000</v>
      </c>
    </row>
    <row r="1202">
      <c r="A1202" t="inlineStr">
        <is>
          <t>2월</t>
        </is>
      </c>
      <c r="B1202" t="inlineStr">
        <is>
          <t>7주차</t>
        </is>
      </c>
      <c r="C1202" t="inlineStr">
        <is>
          <t>EP</t>
        </is>
      </c>
      <c r="D1202" s="28" t="n">
        <v>46065</v>
      </c>
      <c r="E1202" t="inlineStr">
        <is>
          <t>현대EP_fast</t>
        </is>
      </c>
      <c r="F1202" t="inlineStr">
        <is>
          <t>이성봉</t>
        </is>
      </c>
      <c r="G1202" t="inlineStr">
        <is>
          <t>010-3943-0156</t>
        </is>
      </c>
      <c r="H1202" t="inlineStr">
        <is>
          <t>62오2059</t>
        </is>
      </c>
      <c r="I1202" t="n">
        <v>5700000</v>
      </c>
      <c r="J1202" t="n">
        <v>0.08699999999999999</v>
      </c>
      <c r="K1202" t="n">
        <v>1.76</v>
      </c>
      <c r="L1202" t="n">
        <v>0.14</v>
      </c>
      <c r="M1202" t="n">
        <v>1.62</v>
      </c>
      <c r="P1202" t="inlineStr">
        <is>
          <t>정세빈</t>
        </is>
      </c>
      <c r="Q1202" t="inlineStr">
        <is>
          <t>홈서비스 48개월</t>
        </is>
      </c>
      <c r="AB1202" t="inlineStr">
        <is>
          <t>홈서비스</t>
        </is>
      </c>
      <c r="AC1202" t="n">
        <v>100320</v>
      </c>
      <c r="AD1202" t="n">
        <v>7980</v>
      </c>
      <c r="AE1202" t="n">
        <v>92340</v>
      </c>
      <c r="AF1202" t="n">
        <v>91200</v>
      </c>
      <c r="AG1202" t="n">
        <v>7980</v>
      </c>
      <c r="AH1202" t="n">
        <v>83220</v>
      </c>
      <c r="AI1202" t="n">
        <v>0</v>
      </c>
    </row>
    <row r="1203">
      <c r="A1203" t="inlineStr">
        <is>
          <t>2월</t>
        </is>
      </c>
      <c r="B1203" t="inlineStr">
        <is>
          <t>8주차</t>
        </is>
      </c>
      <c r="C1203" t="inlineStr">
        <is>
          <t>EP</t>
        </is>
      </c>
      <c r="D1203" s="28" t="n">
        <v>46072</v>
      </c>
      <c r="E1203" t="inlineStr">
        <is>
          <t>현대EP</t>
        </is>
      </c>
      <c r="F1203" t="inlineStr">
        <is>
          <t>김정주</t>
        </is>
      </c>
      <c r="G1203" t="inlineStr">
        <is>
          <t>010-5812-0913</t>
        </is>
      </c>
      <c r="H1203" t="inlineStr">
        <is>
          <t>07버9032</t>
        </is>
      </c>
      <c r="I1203" t="n">
        <v>-9900000</v>
      </c>
      <c r="J1203" t="n">
        <v>0.07199999999999999</v>
      </c>
      <c r="K1203" t="n">
        <v>1.76</v>
      </c>
      <c r="L1203" t="n">
        <v>0.14</v>
      </c>
      <c r="M1203" t="n">
        <v>1.62</v>
      </c>
      <c r="P1203" t="inlineStr">
        <is>
          <t>정광호</t>
        </is>
      </c>
      <c r="Q1203" t="inlineStr">
        <is>
          <t>홈서비스 60개월</t>
        </is>
      </c>
      <c r="AB1203" t="inlineStr">
        <is>
          <t>홈서비스</t>
        </is>
      </c>
      <c r="AC1203" t="n">
        <v>-174240</v>
      </c>
      <c r="AD1203" t="n">
        <v>-13860</v>
      </c>
      <c r="AE1203" t="n">
        <v>-160380</v>
      </c>
      <c r="AF1203" t="n">
        <v>-158400</v>
      </c>
      <c r="AG1203" t="n">
        <v>-13860</v>
      </c>
      <c r="AH1203" t="n">
        <v>-144540</v>
      </c>
    </row>
    <row r="1204">
      <c r="A1204" t="inlineStr">
        <is>
          <t>2월</t>
        </is>
      </c>
      <c r="B1204" t="inlineStr">
        <is>
          <t>8주차</t>
        </is>
      </c>
      <c r="C1204" t="inlineStr">
        <is>
          <t>EP</t>
        </is>
      </c>
      <c r="D1204" s="28" t="n">
        <v>46073</v>
      </c>
      <c r="E1204" t="inlineStr">
        <is>
          <t>현대EP_fast</t>
        </is>
      </c>
      <c r="F1204" t="inlineStr">
        <is>
          <t>홍문기</t>
        </is>
      </c>
      <c r="G1204" t="inlineStr">
        <is>
          <t>010-6876-4082</t>
        </is>
      </c>
      <c r="H1204" t="inlineStr">
        <is>
          <t>16나7683</t>
        </is>
      </c>
      <c r="I1204" t="n">
        <v>6200000</v>
      </c>
      <c r="J1204" t="n">
        <v>0.07199999999999999</v>
      </c>
      <c r="K1204" t="n">
        <v>1.76</v>
      </c>
      <c r="L1204" t="n">
        <v>0.14</v>
      </c>
      <c r="M1204" t="n">
        <v>1.62</v>
      </c>
      <c r="P1204" t="inlineStr">
        <is>
          <t>정광호</t>
        </is>
      </c>
      <c r="Q1204" t="inlineStr">
        <is>
          <t>홈서비스 36개월</t>
        </is>
      </c>
      <c r="AB1204" t="inlineStr">
        <is>
          <t>홈서비스</t>
        </is>
      </c>
      <c r="AC1204" t="n">
        <v>109120</v>
      </c>
      <c r="AD1204" t="n">
        <v>8680</v>
      </c>
      <c r="AE1204" t="n">
        <v>100440</v>
      </c>
      <c r="AF1204" t="n">
        <v>99200</v>
      </c>
      <c r="AG1204" t="n">
        <v>8680</v>
      </c>
      <c r="AH1204" t="n">
        <v>90520</v>
      </c>
    </row>
    <row r="1205">
      <c r="A1205" t="inlineStr">
        <is>
          <t>4월</t>
        </is>
      </c>
      <c r="B1205" t="inlineStr">
        <is>
          <t>18주차</t>
        </is>
      </c>
      <c r="C1205" t="inlineStr">
        <is>
          <t>IM</t>
        </is>
      </c>
      <c r="D1205" s="28" t="n">
        <v>46141</v>
      </c>
      <c r="E1205" t="inlineStr">
        <is>
          <t>IM캐피탈</t>
        </is>
      </c>
      <c r="F1205" t="inlineStr">
        <is>
          <t>신정민</t>
        </is>
      </c>
      <c r="G1205" t="inlineStr">
        <is>
          <t>010-3091-1981</t>
        </is>
      </c>
      <c r="H1205" t="inlineStr">
        <is>
          <t>107수2336</t>
        </is>
      </c>
      <c r="I1205" t="n">
        <v>-30000000</v>
      </c>
      <c r="J1205" t="n">
        <v>0.059</v>
      </c>
      <c r="K1205" t="n">
        <v>1.1</v>
      </c>
      <c r="L1205" t="n">
        <v>0.07000000000000001</v>
      </c>
      <c r="M1205" t="n">
        <v>1.03</v>
      </c>
      <c r="P1205" t="inlineStr">
        <is>
          <t>최혁</t>
        </is>
      </c>
      <c r="AB1205" t="inlineStr">
        <is>
          <t>홈서비스</t>
        </is>
      </c>
      <c r="AC1205" t="n">
        <v>-330000</v>
      </c>
      <c r="AD1205" t="n">
        <v>-21000</v>
      </c>
      <c r="AE1205" t="n">
        <v>-309000</v>
      </c>
      <c r="AF1205" t="n">
        <v>-300000</v>
      </c>
      <c r="AG1205" t="n">
        <v>-21000</v>
      </c>
      <c r="AH1205" t="n">
        <v>-279000</v>
      </c>
    </row>
    <row r="1206">
      <c r="A1206" t="inlineStr">
        <is>
          <t>2월</t>
        </is>
      </c>
      <c r="B1206" t="inlineStr">
        <is>
          <t>9주차</t>
        </is>
      </c>
      <c r="C1206" t="inlineStr">
        <is>
          <t>EP</t>
        </is>
      </c>
      <c r="D1206" s="28" t="n">
        <v>46078</v>
      </c>
      <c r="E1206" t="inlineStr">
        <is>
          <t>현대EP_fast</t>
        </is>
      </c>
      <c r="F1206" t="inlineStr">
        <is>
          <t>한병우</t>
        </is>
      </c>
      <c r="G1206" t="inlineStr">
        <is>
          <t>010-4803-3042</t>
        </is>
      </c>
      <c r="H1206" t="inlineStr">
        <is>
          <t>16보0893</t>
        </is>
      </c>
      <c r="I1206" t="n">
        <v>17000000</v>
      </c>
      <c r="J1206" t="n">
        <v>0.092</v>
      </c>
      <c r="K1206" t="n">
        <v>1.76</v>
      </c>
      <c r="L1206" t="n">
        <v>0.4</v>
      </c>
      <c r="M1206" t="n">
        <v>1.36</v>
      </c>
      <c r="P1206" t="inlineStr">
        <is>
          <t>장진경</t>
        </is>
      </c>
      <c r="AB1206" t="inlineStr">
        <is>
          <t>엔카</t>
        </is>
      </c>
      <c r="AC1206" t="n">
        <v>299200</v>
      </c>
      <c r="AD1206" t="n">
        <v>68000</v>
      </c>
      <c r="AE1206" t="n">
        <v>231200</v>
      </c>
      <c r="AF1206" t="n">
        <v>272000</v>
      </c>
      <c r="AG1206" t="n">
        <v>68000</v>
      </c>
      <c r="AH1206" t="n">
        <v>204000</v>
      </c>
      <c r="AI1206" t="n">
        <v>0</v>
      </c>
    </row>
    <row r="1207">
      <c r="A1207" t="inlineStr">
        <is>
          <t>2월</t>
        </is>
      </c>
      <c r="B1207" t="inlineStr">
        <is>
          <t>7주차</t>
        </is>
      </c>
      <c r="C1207" t="inlineStr">
        <is>
          <t>IM</t>
        </is>
      </c>
      <c r="D1207" s="28" t="n">
        <v>46062</v>
      </c>
      <c r="E1207" t="inlineStr">
        <is>
          <t>IM캐피탈</t>
        </is>
      </c>
      <c r="F1207" t="inlineStr">
        <is>
          <t>하이숙</t>
        </is>
      </c>
      <c r="G1207" t="inlineStr">
        <is>
          <t>010-7127-2092</t>
        </is>
      </c>
      <c r="H1207" t="inlineStr">
        <is>
          <t>12다5913</t>
        </is>
      </c>
      <c r="I1207" t="n">
        <v>6800000</v>
      </c>
      <c r="J1207" t="n">
        <v>0.059</v>
      </c>
      <c r="K1207" t="n">
        <v>1.1</v>
      </c>
      <c r="L1207" t="n">
        <v>0.14</v>
      </c>
      <c r="M1207" t="n">
        <v>0.96</v>
      </c>
      <c r="P1207" t="inlineStr">
        <is>
          <t>정세빈</t>
        </is>
      </c>
      <c r="Q1207" t="inlineStr">
        <is>
          <t>홈서비스 48개월</t>
        </is>
      </c>
      <c r="AB1207" t="inlineStr">
        <is>
          <t>홈서비스</t>
        </is>
      </c>
      <c r="AC1207" t="n">
        <v>74800</v>
      </c>
      <c r="AD1207" t="n">
        <v>9520</v>
      </c>
      <c r="AE1207" t="n">
        <v>65280</v>
      </c>
      <c r="AF1207" t="n">
        <v>68000</v>
      </c>
      <c r="AG1207" t="n">
        <v>9520</v>
      </c>
      <c r="AH1207" t="n">
        <v>58480</v>
      </c>
    </row>
    <row r="1208">
      <c r="A1208" t="inlineStr">
        <is>
          <t>2월</t>
        </is>
      </c>
      <c r="B1208" t="inlineStr">
        <is>
          <t>7주차</t>
        </is>
      </c>
      <c r="C1208" t="inlineStr">
        <is>
          <t>IM</t>
        </is>
      </c>
      <c r="D1208" s="28" t="n">
        <v>46062</v>
      </c>
      <c r="E1208" t="inlineStr">
        <is>
          <t>IM캐피탈</t>
        </is>
      </c>
      <c r="F1208" t="inlineStr">
        <is>
          <t>이장원</t>
        </is>
      </c>
      <c r="G1208" t="inlineStr">
        <is>
          <t>010-9045-5037</t>
        </is>
      </c>
      <c r="H1208" t="inlineStr">
        <is>
          <t>29더6053</t>
        </is>
      </c>
      <c r="I1208" t="n">
        <v>9800000</v>
      </c>
      <c r="J1208" t="n">
        <v>0.049</v>
      </c>
      <c r="K1208" t="n">
        <v>1.1</v>
      </c>
      <c r="L1208" t="n">
        <v>0.14</v>
      </c>
      <c r="M1208" t="n">
        <v>0.96</v>
      </c>
      <c r="P1208" t="inlineStr">
        <is>
          <t>정세빈</t>
        </is>
      </c>
      <c r="Q1208" t="inlineStr">
        <is>
          <t>홈서비스 36개월</t>
        </is>
      </c>
      <c r="AB1208" t="inlineStr">
        <is>
          <t>홈서비스</t>
        </is>
      </c>
      <c r="AC1208" t="n">
        <v>107800</v>
      </c>
      <c r="AD1208" t="n">
        <v>13720</v>
      </c>
      <c r="AE1208" t="n">
        <v>94080</v>
      </c>
      <c r="AF1208" t="n">
        <v>98000</v>
      </c>
      <c r="AG1208" t="n">
        <v>13720</v>
      </c>
      <c r="AH1208" t="n">
        <v>84280</v>
      </c>
      <c r="AI1208" t="n">
        <v>0</v>
      </c>
    </row>
    <row r="1209">
      <c r="A1209" t="inlineStr">
        <is>
          <t>2월</t>
        </is>
      </c>
      <c r="B1209" t="inlineStr">
        <is>
          <t>7주차</t>
        </is>
      </c>
      <c r="C1209" t="inlineStr">
        <is>
          <t>EP</t>
        </is>
      </c>
      <c r="D1209" s="28" t="n">
        <v>46063</v>
      </c>
      <c r="E1209" t="inlineStr">
        <is>
          <t>현대EP_fast</t>
        </is>
      </c>
      <c r="F1209" t="inlineStr">
        <is>
          <t>손현국</t>
        </is>
      </c>
      <c r="G1209" t="inlineStr">
        <is>
          <t>010-8215-0081</t>
        </is>
      </c>
      <c r="H1209" t="inlineStr">
        <is>
          <t>158조1917</t>
        </is>
      </c>
      <c r="I1209" t="n">
        <v>17800000</v>
      </c>
      <c r="J1209" t="n">
        <v>0.115</v>
      </c>
      <c r="K1209" t="n">
        <v>1.76</v>
      </c>
      <c r="L1209" t="n">
        <v>0.14</v>
      </c>
      <c r="M1209" t="n">
        <v>1.62</v>
      </c>
      <c r="P1209" t="inlineStr">
        <is>
          <t>정세빈</t>
        </is>
      </c>
      <c r="Q1209" t="inlineStr">
        <is>
          <t>홈서비스 60개월</t>
        </is>
      </c>
      <c r="AB1209" t="inlineStr">
        <is>
          <t>홈서비스</t>
        </is>
      </c>
      <c r="AC1209" t="n">
        <v>313280</v>
      </c>
      <c r="AD1209" t="n">
        <v>24920</v>
      </c>
      <c r="AE1209" t="n">
        <v>288360</v>
      </c>
      <c r="AF1209" t="n">
        <v>284800</v>
      </c>
      <c r="AG1209" t="n">
        <v>24920</v>
      </c>
      <c r="AH1209" t="n">
        <v>259880</v>
      </c>
    </row>
    <row r="1210">
      <c r="A1210" t="inlineStr">
        <is>
          <t>2월</t>
        </is>
      </c>
      <c r="B1210" t="inlineStr">
        <is>
          <t>7주차</t>
        </is>
      </c>
      <c r="C1210" t="inlineStr">
        <is>
          <t>IM</t>
        </is>
      </c>
      <c r="D1210" s="28" t="n">
        <v>46066</v>
      </c>
      <c r="E1210" t="inlineStr">
        <is>
          <t>IM캐피탈</t>
        </is>
      </c>
      <c r="F1210" t="inlineStr">
        <is>
          <t>조은희</t>
        </is>
      </c>
      <c r="G1210" t="inlineStr">
        <is>
          <t>010-3946-2154</t>
        </is>
      </c>
      <c r="H1210" t="inlineStr">
        <is>
          <t>233오2943</t>
        </is>
      </c>
      <c r="I1210" t="n">
        <v>20000000</v>
      </c>
      <c r="J1210" t="n">
        <v>0.039</v>
      </c>
      <c r="K1210" t="n">
        <v>1.21</v>
      </c>
      <c r="L1210" t="n">
        <v>0.4</v>
      </c>
      <c r="M1210" t="n">
        <v>0.8100000000000001</v>
      </c>
      <c r="P1210" t="inlineStr">
        <is>
          <t>임대경</t>
        </is>
      </c>
      <c r="Q1210" t="inlineStr">
        <is>
          <t>오토론 진행</t>
        </is>
      </c>
      <c r="AB1210" t="inlineStr">
        <is>
          <t>엔카</t>
        </is>
      </c>
      <c r="AC1210" t="n">
        <v>242000</v>
      </c>
      <c r="AD1210" t="n">
        <v>80000</v>
      </c>
      <c r="AE1210" t="n">
        <v>162000</v>
      </c>
      <c r="AF1210" t="n">
        <v>220000</v>
      </c>
      <c r="AG1210" t="n">
        <v>80000</v>
      </c>
      <c r="AH1210" t="n">
        <v>140000</v>
      </c>
      <c r="AI1210" t="n">
        <v>0</v>
      </c>
    </row>
    <row r="1211">
      <c r="A1211" t="inlineStr">
        <is>
          <t>2월</t>
        </is>
      </c>
      <c r="B1211" t="inlineStr">
        <is>
          <t>7주차</t>
        </is>
      </c>
      <c r="C1211" t="inlineStr">
        <is>
          <t>EP</t>
        </is>
      </c>
      <c r="D1211" s="28" t="n">
        <v>46066</v>
      </c>
      <c r="E1211" t="inlineStr">
        <is>
          <t>현대EP</t>
        </is>
      </c>
      <c r="F1211" t="inlineStr">
        <is>
          <t>김충원</t>
        </is>
      </c>
      <c r="G1211" t="inlineStr">
        <is>
          <t>010-3417-7902</t>
        </is>
      </c>
      <c r="H1211" t="inlineStr">
        <is>
          <t>292로8373</t>
        </is>
      </c>
      <c r="I1211" t="n">
        <v>-25800000</v>
      </c>
      <c r="J1211" t="n">
        <v>0.057</v>
      </c>
      <c r="K1211" t="n">
        <v>1.21</v>
      </c>
      <c r="L1211" t="n">
        <v>0.14</v>
      </c>
      <c r="M1211" t="n">
        <v>1.07</v>
      </c>
      <c r="P1211" t="inlineStr">
        <is>
          <t>정세빈</t>
        </is>
      </c>
      <c r="Q1211" t="inlineStr">
        <is>
          <t>홈서비스 60개월</t>
        </is>
      </c>
      <c r="AB1211" t="inlineStr">
        <is>
          <t>홈서비스</t>
        </is>
      </c>
      <c r="AC1211" t="n">
        <v>-312180</v>
      </c>
      <c r="AD1211" t="n">
        <v>-36120</v>
      </c>
      <c r="AE1211" t="n">
        <v>-276060</v>
      </c>
      <c r="AF1211" t="n">
        <v>-283800</v>
      </c>
      <c r="AG1211" t="n">
        <v>-36120</v>
      </c>
      <c r="AH1211" t="n">
        <v>-247680</v>
      </c>
      <c r="AI1211" t="n">
        <v>0</v>
      </c>
    </row>
    <row r="1212">
      <c r="A1212" t="inlineStr">
        <is>
          <t>2월</t>
        </is>
      </c>
      <c r="B1212" t="inlineStr">
        <is>
          <t>8주차</t>
        </is>
      </c>
      <c r="C1212" t="inlineStr">
        <is>
          <t>EP</t>
        </is>
      </c>
      <c r="D1212" s="28" t="n">
        <v>46069</v>
      </c>
      <c r="E1212" t="inlineStr">
        <is>
          <t>현대EP</t>
        </is>
      </c>
      <c r="F1212" t="inlineStr">
        <is>
          <t>김윤희</t>
        </is>
      </c>
      <c r="G1212" t="inlineStr">
        <is>
          <t>010-6632-7600</t>
        </is>
      </c>
      <c r="H1212" t="inlineStr">
        <is>
          <t>239어3995</t>
        </is>
      </c>
      <c r="I1212" t="n">
        <v>15400000</v>
      </c>
      <c r="J1212" t="n">
        <v>0.059</v>
      </c>
      <c r="K1212" t="n">
        <v>1.76</v>
      </c>
      <c r="L1212" t="n">
        <v>0.14</v>
      </c>
      <c r="M1212" t="n">
        <v>1.62</v>
      </c>
      <c r="P1212" t="inlineStr">
        <is>
          <t>김수연</t>
        </is>
      </c>
      <c r="Q1212" t="inlineStr">
        <is>
          <t>홈서비스 36개월</t>
        </is>
      </c>
      <c r="AB1212" t="inlineStr">
        <is>
          <t>홈서비스</t>
        </is>
      </c>
      <c r="AC1212" t="n">
        <v>271040</v>
      </c>
      <c r="AD1212" t="n">
        <v>21560</v>
      </c>
      <c r="AE1212" t="n">
        <v>249480</v>
      </c>
      <c r="AF1212" t="n">
        <v>246400</v>
      </c>
      <c r="AG1212" t="n">
        <v>21560</v>
      </c>
      <c r="AH1212" t="n">
        <v>224840</v>
      </c>
      <c r="AI1212" t="n">
        <v>0</v>
      </c>
    </row>
    <row r="1213">
      <c r="A1213" t="inlineStr">
        <is>
          <t>2월</t>
        </is>
      </c>
      <c r="B1213" t="inlineStr">
        <is>
          <t>8주차</t>
        </is>
      </c>
      <c r="C1213" t="inlineStr">
        <is>
          <t>EP</t>
        </is>
      </c>
      <c r="D1213" s="28" t="n">
        <v>46073</v>
      </c>
      <c r="E1213" t="inlineStr">
        <is>
          <t>현대EP_fast</t>
        </is>
      </c>
      <c r="F1213" t="inlineStr">
        <is>
          <t>김종성</t>
        </is>
      </c>
      <c r="G1213" t="inlineStr">
        <is>
          <t>010-3386-8278</t>
        </is>
      </c>
      <c r="H1213" t="inlineStr">
        <is>
          <t>127보4659</t>
        </is>
      </c>
      <c r="I1213" t="n">
        <v>12400000</v>
      </c>
      <c r="J1213" t="n">
        <v>0.068</v>
      </c>
      <c r="K1213" t="n">
        <v>1.21</v>
      </c>
      <c r="L1213" t="n">
        <v>0.14</v>
      </c>
      <c r="M1213" t="n">
        <v>1.07</v>
      </c>
      <c r="P1213" t="inlineStr">
        <is>
          <t>최형주</t>
        </is>
      </c>
      <c r="Q1213" t="inlineStr">
        <is>
          <t>홈서비스 60개월</t>
        </is>
      </c>
      <c r="AB1213" t="inlineStr">
        <is>
          <t>홈서비스</t>
        </is>
      </c>
      <c r="AC1213" t="n">
        <v>150040</v>
      </c>
      <c r="AD1213" t="n">
        <v>17360</v>
      </c>
      <c r="AE1213" t="n">
        <v>132680</v>
      </c>
      <c r="AF1213" t="n">
        <v>136400</v>
      </c>
      <c r="AG1213" t="n">
        <v>17360</v>
      </c>
      <c r="AH1213" t="n">
        <v>119040</v>
      </c>
      <c r="AI1213" t="n">
        <v>0</v>
      </c>
    </row>
    <row r="1214">
      <c r="A1214" t="inlineStr">
        <is>
          <t>2월</t>
        </is>
      </c>
      <c r="B1214" t="inlineStr">
        <is>
          <t>9주차</t>
        </is>
      </c>
      <c r="C1214" t="inlineStr">
        <is>
          <t>IM</t>
        </is>
      </c>
      <c r="D1214" s="28" t="n">
        <v>46077</v>
      </c>
      <c r="E1214" t="inlineStr">
        <is>
          <t>IM캐피탈</t>
        </is>
      </c>
      <c r="F1214" t="inlineStr">
        <is>
          <t>박근택</t>
        </is>
      </c>
      <c r="G1214" t="inlineStr">
        <is>
          <t>010-5540-8845</t>
        </is>
      </c>
      <c r="H1214" t="inlineStr">
        <is>
          <t>227더3158</t>
        </is>
      </c>
      <c r="I1214" t="n">
        <v>25000000</v>
      </c>
      <c r="J1214" t="n">
        <v>0.075</v>
      </c>
      <c r="K1214" t="n">
        <v>1.1</v>
      </c>
      <c r="L1214" t="n">
        <v>0.14</v>
      </c>
      <c r="M1214" t="n">
        <v>0.96</v>
      </c>
      <c r="P1214" t="inlineStr">
        <is>
          <t>김수연</t>
        </is>
      </c>
      <c r="Q1214" t="inlineStr">
        <is>
          <t>홈서비스 72개월</t>
        </is>
      </c>
      <c r="AB1214" t="inlineStr">
        <is>
          <t>홈서비스</t>
        </is>
      </c>
      <c r="AC1214" t="n">
        <v>275000</v>
      </c>
      <c r="AD1214" t="n">
        <v>35000</v>
      </c>
      <c r="AE1214" t="n">
        <v>240000</v>
      </c>
      <c r="AF1214" t="n">
        <v>250000</v>
      </c>
      <c r="AG1214" t="n">
        <v>35000</v>
      </c>
      <c r="AH1214" t="n">
        <v>215000</v>
      </c>
    </row>
    <row r="1215">
      <c r="A1215" t="inlineStr">
        <is>
          <t>2월</t>
        </is>
      </c>
      <c r="B1215" t="inlineStr">
        <is>
          <t>9주차</t>
        </is>
      </c>
      <c r="C1215" t="inlineStr">
        <is>
          <t>EP</t>
        </is>
      </c>
      <c r="D1215" s="28" t="n">
        <v>46079</v>
      </c>
      <c r="E1215" t="inlineStr">
        <is>
          <t>현대EP_fast</t>
        </is>
      </c>
      <c r="F1215" t="inlineStr">
        <is>
          <t>김동현</t>
        </is>
      </c>
      <c r="G1215" t="inlineStr">
        <is>
          <t>010-7590-0665</t>
        </is>
      </c>
      <c r="H1215" t="inlineStr">
        <is>
          <t>30모8334</t>
        </is>
      </c>
      <c r="I1215" t="n">
        <v>19000000</v>
      </c>
      <c r="J1215" t="n">
        <v>0.074</v>
      </c>
      <c r="K1215" t="n">
        <v>1.76</v>
      </c>
      <c r="L1215" t="n">
        <v>0.14</v>
      </c>
      <c r="M1215" t="n">
        <v>1.62</v>
      </c>
      <c r="P1215" t="inlineStr">
        <is>
          <t>황채이</t>
        </is>
      </c>
      <c r="Q1215" t="inlineStr">
        <is>
          <t>홈서비스 36개월 금리인하 0.5% 적용건 (7.9 &gt; 7.4)</t>
        </is>
      </c>
      <c r="AB1215" t="inlineStr">
        <is>
          <t>홈서비스</t>
        </is>
      </c>
      <c r="AC1215" t="n">
        <v>334400</v>
      </c>
      <c r="AD1215" t="n">
        <v>26600</v>
      </c>
      <c r="AE1215" t="n">
        <v>307800</v>
      </c>
      <c r="AF1215" t="n">
        <v>304000</v>
      </c>
      <c r="AG1215" t="n">
        <v>26600</v>
      </c>
      <c r="AH1215" t="n">
        <v>277400</v>
      </c>
      <c r="AI1215" t="n">
        <v>0</v>
      </c>
    </row>
    <row r="1216">
      <c r="A1216" t="inlineStr">
        <is>
          <t>2월</t>
        </is>
      </c>
      <c r="B1216" t="inlineStr">
        <is>
          <t>7주차</t>
        </is>
      </c>
      <c r="C1216" t="inlineStr">
        <is>
          <t>EP</t>
        </is>
      </c>
      <c r="D1216" s="28" t="n">
        <v>46064</v>
      </c>
      <c r="E1216" t="inlineStr">
        <is>
          <t>현대EP</t>
        </is>
      </c>
      <c r="F1216" t="inlineStr">
        <is>
          <t>나지훈</t>
        </is>
      </c>
      <c r="G1216" t="inlineStr">
        <is>
          <t>010-7180-8094</t>
        </is>
      </c>
      <c r="H1216" t="inlineStr">
        <is>
          <t>57거9374</t>
        </is>
      </c>
      <c r="I1216" t="n">
        <v>6000000</v>
      </c>
      <c r="J1216" t="n">
        <v>0.068</v>
      </c>
      <c r="K1216" t="n">
        <v>1.76</v>
      </c>
      <c r="L1216" t="n">
        <v>0.14</v>
      </c>
      <c r="M1216" t="n">
        <v>1.62</v>
      </c>
      <c r="P1216" t="inlineStr">
        <is>
          <t>김나윤</t>
        </is>
      </c>
      <c r="Q1216" t="inlineStr">
        <is>
          <t>홈서비스 60개월</t>
        </is>
      </c>
      <c r="AB1216" t="inlineStr">
        <is>
          <t>홈서비스</t>
        </is>
      </c>
      <c r="AC1216" t="n">
        <v>105600</v>
      </c>
      <c r="AD1216" t="n">
        <v>8400</v>
      </c>
      <c r="AE1216" t="n">
        <v>97200</v>
      </c>
      <c r="AF1216" t="n">
        <v>96000</v>
      </c>
      <c r="AG1216" t="n">
        <v>8400</v>
      </c>
      <c r="AH1216" t="n">
        <v>87600</v>
      </c>
      <c r="AI1216" t="n">
        <v>0</v>
      </c>
    </row>
    <row r="1217">
      <c r="A1217" t="inlineStr">
        <is>
          <t>2월</t>
        </is>
      </c>
      <c r="B1217" t="inlineStr">
        <is>
          <t>7주차</t>
        </is>
      </c>
      <c r="C1217" t="inlineStr">
        <is>
          <t>EP</t>
        </is>
      </c>
      <c r="D1217" s="28" t="n">
        <v>46063</v>
      </c>
      <c r="E1217" t="inlineStr">
        <is>
          <t>현대EP_진단</t>
        </is>
      </c>
      <c r="F1217" t="inlineStr">
        <is>
          <t>박희봉</t>
        </is>
      </c>
      <c r="G1217" t="inlineStr">
        <is>
          <t>010-8604-1866</t>
        </is>
      </c>
      <c r="H1217" t="inlineStr">
        <is>
          <t>289나3026</t>
        </is>
      </c>
      <c r="I1217" t="n">
        <v>4000000</v>
      </c>
      <c r="J1217" t="n">
        <v>0.148</v>
      </c>
      <c r="K1217" t="n">
        <v>2.475</v>
      </c>
      <c r="L1217" t="n">
        <v>0.4</v>
      </c>
      <c r="M1217" t="n">
        <v>2.075</v>
      </c>
      <c r="P1217" t="inlineStr">
        <is>
          <t>정하은</t>
        </is>
      </c>
      <c r="Q1217" t="inlineStr">
        <is>
          <t>패스트부결 / 일반금리실행</t>
        </is>
      </c>
      <c r="AB1217" t="inlineStr">
        <is>
          <t>엔카</t>
        </is>
      </c>
      <c r="AC1217" t="n">
        <v>99000</v>
      </c>
      <c r="AD1217" t="n">
        <v>16000</v>
      </c>
      <c r="AE1217" t="n">
        <v>83000</v>
      </c>
      <c r="AF1217" t="n">
        <v>90000</v>
      </c>
      <c r="AG1217" t="n">
        <v>16000</v>
      </c>
      <c r="AH1217" t="n">
        <v>74000</v>
      </c>
      <c r="AI1217" t="n">
        <v>0</v>
      </c>
    </row>
    <row r="1218">
      <c r="A1218" t="inlineStr">
        <is>
          <t>2월</t>
        </is>
      </c>
      <c r="B1218" t="inlineStr">
        <is>
          <t>9주차</t>
        </is>
      </c>
      <c r="C1218" t="inlineStr">
        <is>
          <t>OR</t>
        </is>
      </c>
      <c r="D1218" s="28" t="n">
        <v>46079</v>
      </c>
      <c r="E1218" t="inlineStr">
        <is>
          <t>오릭스</t>
        </is>
      </c>
      <c r="F1218" t="inlineStr">
        <is>
          <t>이설빈</t>
        </is>
      </c>
      <c r="G1218" t="inlineStr">
        <is>
          <t>010-9425-8550</t>
        </is>
      </c>
      <c r="H1218" t="inlineStr">
        <is>
          <t>67두4351</t>
        </is>
      </c>
      <c r="I1218" t="n">
        <v>18500000</v>
      </c>
      <c r="J1218" t="n">
        <v>0.059</v>
      </c>
      <c r="K1218" t="n">
        <v>1.65</v>
      </c>
      <c r="L1218" t="n">
        <v>0.4</v>
      </c>
      <c r="M1218" t="n">
        <v>1.25</v>
      </c>
      <c r="P1218" t="inlineStr">
        <is>
          <t>장진경</t>
        </is>
      </c>
      <c r="AB1218" t="inlineStr">
        <is>
          <t>엔카</t>
        </is>
      </c>
      <c r="AC1218" t="n">
        <v>305250</v>
      </c>
      <c r="AD1218" t="n">
        <v>74000</v>
      </c>
      <c r="AE1218" t="n">
        <v>231250</v>
      </c>
      <c r="AF1218" t="n">
        <v>277500</v>
      </c>
      <c r="AG1218" t="n">
        <v>74000</v>
      </c>
      <c r="AH1218" t="n">
        <v>203500</v>
      </c>
      <c r="AI1218" t="n">
        <v>1</v>
      </c>
    </row>
    <row r="1219">
      <c r="A1219" t="inlineStr">
        <is>
          <t>2월</t>
        </is>
      </c>
      <c r="B1219" t="inlineStr">
        <is>
          <t>9주차</t>
        </is>
      </c>
      <c r="C1219" t="inlineStr">
        <is>
          <t>IM</t>
        </is>
      </c>
      <c r="D1219" s="28" t="n">
        <v>46079</v>
      </c>
      <c r="E1219" t="inlineStr">
        <is>
          <t>IM캐피탈</t>
        </is>
      </c>
      <c r="F1219" t="inlineStr">
        <is>
          <t>임우진</t>
        </is>
      </c>
      <c r="G1219" t="inlineStr">
        <is>
          <t>010-4662-2896</t>
        </is>
      </c>
      <c r="H1219" t="inlineStr">
        <is>
          <t>35우1170</t>
        </is>
      </c>
      <c r="I1219" t="n">
        <v>5000000</v>
      </c>
      <c r="J1219" t="n">
        <v>0.056</v>
      </c>
      <c r="K1219" t="n">
        <v>1.1</v>
      </c>
      <c r="L1219" t="n">
        <v>0.14</v>
      </c>
      <c r="M1219" t="n">
        <v>0.96</v>
      </c>
      <c r="P1219" t="inlineStr">
        <is>
          <t>김수연</t>
        </is>
      </c>
      <c r="Q1219" t="inlineStr">
        <is>
          <t>홈서비스 24개월</t>
        </is>
      </c>
      <c r="AB1219" t="inlineStr">
        <is>
          <t>홈서비스</t>
        </is>
      </c>
      <c r="AC1219" t="n">
        <v>55000</v>
      </c>
      <c r="AD1219" t="n">
        <v>7000</v>
      </c>
      <c r="AE1219" t="n">
        <v>48000</v>
      </c>
      <c r="AF1219" t="n">
        <v>50000</v>
      </c>
      <c r="AG1219" t="n">
        <v>7000</v>
      </c>
      <c r="AH1219" t="n">
        <v>43000</v>
      </c>
      <c r="AI1219" t="n">
        <v>1</v>
      </c>
    </row>
    <row r="1220">
      <c r="A1220" t="inlineStr">
        <is>
          <t>2월</t>
        </is>
      </c>
      <c r="B1220" t="inlineStr">
        <is>
          <t>7주차</t>
        </is>
      </c>
      <c r="C1220" t="inlineStr">
        <is>
          <t>EP</t>
        </is>
      </c>
      <c r="D1220" s="28" t="n">
        <v>46064</v>
      </c>
      <c r="E1220" t="inlineStr">
        <is>
          <t>현대EP</t>
        </is>
      </c>
      <c r="F1220" t="inlineStr">
        <is>
          <t>송재현</t>
        </is>
      </c>
      <c r="G1220" t="inlineStr">
        <is>
          <t>010-4534-4530</t>
        </is>
      </c>
      <c r="H1220" t="inlineStr">
        <is>
          <t>119조6144</t>
        </is>
      </c>
      <c r="I1220" t="n">
        <v>31900000</v>
      </c>
      <c r="J1220" t="n">
        <v>0.059</v>
      </c>
      <c r="K1220" t="n">
        <v>1.76</v>
      </c>
      <c r="L1220" t="n">
        <v>0.14</v>
      </c>
      <c r="M1220" t="n">
        <v>1.62</v>
      </c>
      <c r="P1220" t="inlineStr">
        <is>
          <t>정하은</t>
        </is>
      </c>
      <c r="Q1220" t="inlineStr">
        <is>
          <t>홈서비스 60개월</t>
        </is>
      </c>
      <c r="AB1220" t="inlineStr">
        <is>
          <t>홈서비스</t>
        </is>
      </c>
      <c r="AC1220" t="n">
        <v>561440</v>
      </c>
      <c r="AD1220" t="n">
        <v>44660</v>
      </c>
      <c r="AE1220" t="n">
        <v>516780</v>
      </c>
      <c r="AF1220" t="n">
        <v>510400</v>
      </c>
      <c r="AG1220" t="n">
        <v>44660</v>
      </c>
      <c r="AH1220" t="n">
        <v>465740</v>
      </c>
      <c r="AI1220" t="n">
        <v>1</v>
      </c>
    </row>
    <row r="1221">
      <c r="A1221" t="inlineStr">
        <is>
          <t>2월</t>
        </is>
      </c>
      <c r="B1221" t="inlineStr">
        <is>
          <t>9주차</t>
        </is>
      </c>
      <c r="C1221" t="inlineStr">
        <is>
          <t>IM</t>
        </is>
      </c>
      <c r="D1221" s="28" t="n">
        <v>46080</v>
      </c>
      <c r="E1221" t="inlineStr">
        <is>
          <t>IM캐피탈</t>
        </is>
      </c>
      <c r="F1221" t="inlineStr">
        <is>
          <t>공주완</t>
        </is>
      </c>
      <c r="G1221" t="inlineStr">
        <is>
          <t>010-7942-8643</t>
        </is>
      </c>
      <c r="H1221" t="inlineStr">
        <is>
          <t>14로8979</t>
        </is>
      </c>
      <c r="I1221" t="n">
        <v>4300000</v>
      </c>
      <c r="J1221" t="n">
        <v>0.06900000000000001</v>
      </c>
      <c r="K1221" t="n">
        <v>1.1</v>
      </c>
      <c r="L1221" t="n">
        <v>0.14</v>
      </c>
      <c r="M1221" t="n">
        <v>0.96</v>
      </c>
      <c r="P1221" t="inlineStr">
        <is>
          <t>김수연</t>
        </is>
      </c>
      <c r="Q1221" t="inlineStr">
        <is>
          <t>홈서비스 24개월</t>
        </is>
      </c>
      <c r="AB1221" t="inlineStr">
        <is>
          <t>홈서비스</t>
        </is>
      </c>
      <c r="AC1221" t="n">
        <v>47300</v>
      </c>
      <c r="AD1221" t="n">
        <v>6020</v>
      </c>
      <c r="AE1221" t="n">
        <v>41280</v>
      </c>
      <c r="AF1221" t="n">
        <v>43000</v>
      </c>
      <c r="AG1221" t="n">
        <v>6020</v>
      </c>
      <c r="AH1221" t="n">
        <v>36980</v>
      </c>
      <c r="AI1221" t="n">
        <v>1</v>
      </c>
    </row>
    <row r="1222">
      <c r="A1222" t="inlineStr">
        <is>
          <t>2월</t>
        </is>
      </c>
      <c r="B1222" t="inlineStr">
        <is>
          <t>7주차</t>
        </is>
      </c>
      <c r="C1222" t="inlineStr">
        <is>
          <t>IM</t>
        </is>
      </c>
      <c r="D1222" s="28" t="n">
        <v>46064</v>
      </c>
      <c r="E1222" t="inlineStr">
        <is>
          <t>IM캐피탈</t>
        </is>
      </c>
      <c r="F1222" t="inlineStr">
        <is>
          <t>여인혁</t>
        </is>
      </c>
      <c r="G1222" t="inlineStr">
        <is>
          <t>010-7703-3682</t>
        </is>
      </c>
      <c r="H1222" t="inlineStr">
        <is>
          <t>77라6391</t>
        </is>
      </c>
      <c r="I1222" t="n">
        <v>9800000</v>
      </c>
      <c r="J1222" t="n">
        <v>0.049</v>
      </c>
      <c r="K1222" t="n">
        <v>1.1</v>
      </c>
      <c r="L1222" t="n">
        <v>0.14</v>
      </c>
      <c r="M1222" t="n">
        <v>0.96</v>
      </c>
      <c r="P1222" t="inlineStr">
        <is>
          <t>황채이</t>
        </is>
      </c>
      <c r="Q1222" t="inlineStr">
        <is>
          <t>홈서비스 48개월</t>
        </is>
      </c>
      <c r="AB1222" t="inlineStr">
        <is>
          <t>홈서비스</t>
        </is>
      </c>
      <c r="AC1222" t="n">
        <v>107800</v>
      </c>
      <c r="AD1222" t="n">
        <v>13720</v>
      </c>
      <c r="AE1222" t="n">
        <v>94080</v>
      </c>
      <c r="AF1222" t="n">
        <v>98000</v>
      </c>
      <c r="AG1222" t="n">
        <v>13720</v>
      </c>
      <c r="AH1222" t="n">
        <v>84280</v>
      </c>
    </row>
    <row r="1223">
      <c r="A1223" t="inlineStr">
        <is>
          <t>2월</t>
        </is>
      </c>
      <c r="B1223" t="inlineStr">
        <is>
          <t>6주차</t>
        </is>
      </c>
      <c r="C1223" t="inlineStr">
        <is>
          <t>OR</t>
        </is>
      </c>
      <c r="D1223" s="28" t="n">
        <v>46055</v>
      </c>
      <c r="E1223" t="inlineStr">
        <is>
          <t>오릭스</t>
        </is>
      </c>
      <c r="F1223" t="inlineStr">
        <is>
          <t>간주석</t>
        </is>
      </c>
      <c r="G1223" t="inlineStr">
        <is>
          <t>010-7225-3164</t>
        </is>
      </c>
      <c r="H1223" t="inlineStr">
        <is>
          <t>64보0295</t>
        </is>
      </c>
      <c r="I1223" t="n">
        <v>11000000</v>
      </c>
      <c r="J1223" t="n">
        <v>0.064</v>
      </c>
      <c r="K1223" t="n">
        <v>1.65</v>
      </c>
      <c r="L1223" t="n">
        <v>0.4</v>
      </c>
      <c r="M1223" t="n">
        <v>1.25</v>
      </c>
      <c r="P1223" t="inlineStr">
        <is>
          <t>박소현</t>
        </is>
      </c>
      <c r="AB1223" t="inlineStr">
        <is>
          <t>엔카</t>
        </is>
      </c>
      <c r="AC1223" t="n">
        <v>181500</v>
      </c>
      <c r="AD1223" t="n">
        <v>44000</v>
      </c>
      <c r="AE1223" t="n">
        <v>137500</v>
      </c>
      <c r="AF1223" t="n">
        <v>165000</v>
      </c>
      <c r="AG1223" t="n">
        <v>44000</v>
      </c>
      <c r="AH1223" t="n">
        <v>121000</v>
      </c>
      <c r="AI1223" t="n">
        <v>0</v>
      </c>
    </row>
    <row r="1224">
      <c r="A1224" t="inlineStr">
        <is>
          <t>2월</t>
        </is>
      </c>
      <c r="B1224" t="inlineStr">
        <is>
          <t>6주차</t>
        </is>
      </c>
      <c r="C1224" t="inlineStr">
        <is>
          <t>EP</t>
        </is>
      </c>
      <c r="D1224" s="28" t="n">
        <v>46056</v>
      </c>
      <c r="E1224" t="inlineStr">
        <is>
          <t>현대EP</t>
        </is>
      </c>
      <c r="F1224" t="inlineStr">
        <is>
          <t>김현석</t>
        </is>
      </c>
      <c r="G1224" t="inlineStr">
        <is>
          <t>010-5012-2806</t>
        </is>
      </c>
      <c r="H1224" t="inlineStr">
        <is>
          <t>47저8301</t>
        </is>
      </c>
      <c r="I1224" t="n">
        <v>37300000</v>
      </c>
      <c r="J1224" t="n">
        <v>0.067</v>
      </c>
      <c r="K1224" t="n">
        <v>1.76</v>
      </c>
      <c r="L1224" t="n">
        <v>0.14</v>
      </c>
      <c r="M1224" t="n">
        <v>1.62</v>
      </c>
      <c r="P1224" t="inlineStr">
        <is>
          <t>정세빈</t>
        </is>
      </c>
      <c r="Q1224" t="inlineStr">
        <is>
          <t>홈서비스 60개월</t>
        </is>
      </c>
      <c r="AB1224" t="inlineStr">
        <is>
          <t>홈서비스</t>
        </is>
      </c>
      <c r="AC1224" t="n">
        <v>656480</v>
      </c>
      <c r="AD1224" t="n">
        <v>52220</v>
      </c>
      <c r="AE1224" t="n">
        <v>604260</v>
      </c>
      <c r="AF1224" t="n">
        <v>596800</v>
      </c>
      <c r="AG1224" t="n">
        <v>52220</v>
      </c>
      <c r="AH1224" t="n">
        <v>544580</v>
      </c>
      <c r="AI1224" t="n">
        <v>0</v>
      </c>
    </row>
    <row r="1225">
      <c r="A1225" t="inlineStr">
        <is>
          <t>2월</t>
        </is>
      </c>
      <c r="B1225" t="inlineStr">
        <is>
          <t>7주차</t>
        </is>
      </c>
      <c r="C1225" t="inlineStr">
        <is>
          <t>EP</t>
        </is>
      </c>
      <c r="D1225" s="28" t="n">
        <v>46062</v>
      </c>
      <c r="E1225" t="inlineStr">
        <is>
          <t>현대EP</t>
        </is>
      </c>
      <c r="F1225" t="inlineStr">
        <is>
          <t>배영선</t>
        </is>
      </c>
      <c r="G1225" t="inlineStr">
        <is>
          <t>010-8614-9313</t>
        </is>
      </c>
      <c r="H1225" t="inlineStr">
        <is>
          <t>114라6379</t>
        </is>
      </c>
      <c r="I1225" t="n">
        <v>26400000</v>
      </c>
      <c r="J1225" t="n">
        <v>0.137</v>
      </c>
      <c r="K1225" t="n">
        <v>1.76</v>
      </c>
      <c r="L1225" t="n">
        <v>0.14</v>
      </c>
      <c r="M1225" t="n">
        <v>1.62</v>
      </c>
      <c r="P1225" t="inlineStr">
        <is>
          <t>장진경</t>
        </is>
      </c>
      <c r="Q1225" t="inlineStr">
        <is>
          <t>홈서비스 48개월</t>
        </is>
      </c>
      <c r="AB1225" t="inlineStr">
        <is>
          <t>홈서비스</t>
        </is>
      </c>
      <c r="AC1225" t="n">
        <v>464640</v>
      </c>
      <c r="AD1225" t="n">
        <v>36960</v>
      </c>
      <c r="AE1225" t="n">
        <v>427680</v>
      </c>
      <c r="AF1225" t="n">
        <v>422400</v>
      </c>
      <c r="AG1225" t="n">
        <v>36960</v>
      </c>
      <c r="AH1225" t="n">
        <v>385440</v>
      </c>
    </row>
    <row r="1226">
      <c r="A1226" t="inlineStr">
        <is>
          <t>2월</t>
        </is>
      </c>
      <c r="B1226" t="inlineStr">
        <is>
          <t>7주차</t>
        </is>
      </c>
      <c r="C1226" t="inlineStr">
        <is>
          <t>EP</t>
        </is>
      </c>
      <c r="D1226" s="28" t="n">
        <v>46064</v>
      </c>
      <c r="E1226" t="inlineStr">
        <is>
          <t>현대EP_fast</t>
        </is>
      </c>
      <c r="F1226" t="inlineStr">
        <is>
          <t>정인호</t>
        </is>
      </c>
      <c r="G1226" t="inlineStr">
        <is>
          <t>010-2498-2787</t>
        </is>
      </c>
      <c r="H1226" t="inlineStr">
        <is>
          <t xml:space="preserve"> 18노4665</t>
        </is>
      </c>
      <c r="I1226" t="n">
        <v>6500000</v>
      </c>
      <c r="J1226" t="n">
        <v>0.06900000000000001</v>
      </c>
      <c r="K1226" t="n">
        <v>1.76</v>
      </c>
      <c r="L1226" t="n">
        <v>0.14</v>
      </c>
      <c r="M1226" t="n">
        <v>1.62</v>
      </c>
      <c r="P1226" t="inlineStr">
        <is>
          <t>최형주</t>
        </is>
      </c>
      <c r="Q1226" t="inlineStr">
        <is>
          <t>홈서비스 24개월</t>
        </is>
      </c>
      <c r="AB1226" t="inlineStr">
        <is>
          <t>홈서비스</t>
        </is>
      </c>
      <c r="AC1226" t="n">
        <v>114400</v>
      </c>
      <c r="AD1226" t="n">
        <v>9100</v>
      </c>
      <c r="AE1226" t="n">
        <v>105300</v>
      </c>
      <c r="AF1226" t="n">
        <v>104000</v>
      </c>
      <c r="AG1226" t="n">
        <v>9100</v>
      </c>
      <c r="AH1226" t="n">
        <v>94900</v>
      </c>
      <c r="AI1226" t="n">
        <v>0</v>
      </c>
    </row>
    <row r="1227">
      <c r="A1227" t="inlineStr">
        <is>
          <t>2월</t>
        </is>
      </c>
      <c r="B1227" t="inlineStr">
        <is>
          <t>6주차</t>
        </is>
      </c>
      <c r="C1227" t="inlineStr">
        <is>
          <t>EP</t>
        </is>
      </c>
      <c r="D1227" s="28" t="n">
        <v>46059</v>
      </c>
      <c r="E1227" t="inlineStr">
        <is>
          <t>현대EP</t>
        </is>
      </c>
      <c r="F1227" t="inlineStr">
        <is>
          <t>채유석</t>
        </is>
      </c>
      <c r="G1227" t="inlineStr">
        <is>
          <t>010-5149-9668</t>
        </is>
      </c>
      <c r="H1227" t="inlineStr">
        <is>
          <t>103어2320</t>
        </is>
      </c>
      <c r="I1227" t="n">
        <v>6700000</v>
      </c>
      <c r="J1227" t="n">
        <v>0.081</v>
      </c>
      <c r="K1227" t="n">
        <v>1.76</v>
      </c>
      <c r="L1227" t="n">
        <v>0.14</v>
      </c>
      <c r="M1227" t="n">
        <v>1.62</v>
      </c>
      <c r="P1227" t="inlineStr">
        <is>
          <t>김수연</t>
        </is>
      </c>
      <c r="Q1227" t="inlineStr">
        <is>
          <t>홈서비스 36개월</t>
        </is>
      </c>
      <c r="AB1227" t="inlineStr">
        <is>
          <t>홈서비스</t>
        </is>
      </c>
      <c r="AC1227" t="n">
        <v>117920</v>
      </c>
      <c r="AD1227" t="n">
        <v>9380</v>
      </c>
      <c r="AE1227" t="n">
        <v>108540</v>
      </c>
      <c r="AF1227" t="n">
        <v>107200</v>
      </c>
      <c r="AG1227" t="n">
        <v>9380</v>
      </c>
      <c r="AH1227" t="n">
        <v>97820</v>
      </c>
      <c r="AI1227" t="n">
        <v>0</v>
      </c>
    </row>
    <row r="1228">
      <c r="A1228" t="inlineStr">
        <is>
          <t>2월</t>
        </is>
      </c>
      <c r="B1228" t="inlineStr">
        <is>
          <t>7주차</t>
        </is>
      </c>
      <c r="C1228" t="inlineStr">
        <is>
          <t>EP</t>
        </is>
      </c>
      <c r="D1228" s="28" t="n">
        <v>46064</v>
      </c>
      <c r="E1228" t="inlineStr">
        <is>
          <t>현대EP</t>
        </is>
      </c>
      <c r="F1228" t="inlineStr">
        <is>
          <t>박은혜</t>
        </is>
      </c>
      <c r="G1228" t="inlineStr">
        <is>
          <t>010-9866-9278</t>
        </is>
      </c>
      <c r="H1228" t="inlineStr">
        <is>
          <t>378저2512</t>
        </is>
      </c>
      <c r="I1228" t="n">
        <v>9300000</v>
      </c>
      <c r="J1228" t="n">
        <v>0.07199999999999999</v>
      </c>
      <c r="K1228" t="n">
        <v>1.76</v>
      </c>
      <c r="L1228" t="n">
        <v>0.14</v>
      </c>
      <c r="M1228" t="n">
        <v>1.62</v>
      </c>
      <c r="P1228" t="inlineStr">
        <is>
          <t>김나윤</t>
        </is>
      </c>
      <c r="Q1228" t="inlineStr">
        <is>
          <t>홈서비스 36개월</t>
        </is>
      </c>
      <c r="AB1228" t="inlineStr">
        <is>
          <t>홈서비스</t>
        </is>
      </c>
      <c r="AC1228" t="n">
        <v>163680</v>
      </c>
      <c r="AD1228" t="n">
        <v>13020</v>
      </c>
      <c r="AE1228" t="n">
        <v>150660</v>
      </c>
      <c r="AF1228" t="n">
        <v>148800</v>
      </c>
      <c r="AG1228" t="n">
        <v>13020</v>
      </c>
      <c r="AH1228" t="n">
        <v>135780</v>
      </c>
    </row>
    <row r="1229">
      <c r="A1229" t="inlineStr">
        <is>
          <t>2월</t>
        </is>
      </c>
      <c r="B1229" t="inlineStr">
        <is>
          <t>7주차</t>
        </is>
      </c>
      <c r="C1229" t="inlineStr">
        <is>
          <t>EP</t>
        </is>
      </c>
      <c r="D1229" s="28" t="n">
        <v>46062</v>
      </c>
      <c r="E1229" t="inlineStr">
        <is>
          <t>현대EP_fast</t>
        </is>
      </c>
      <c r="F1229" t="inlineStr">
        <is>
          <t>심규택</t>
        </is>
      </c>
      <c r="G1229" t="inlineStr">
        <is>
          <t>010-4448-0498</t>
        </is>
      </c>
      <c r="H1229" t="inlineStr">
        <is>
          <t>55더6838</t>
        </is>
      </c>
      <c r="I1229" t="n">
        <v>22000000</v>
      </c>
      <c r="J1229" t="n">
        <v>0.074</v>
      </c>
      <c r="K1229" t="n">
        <v>1.76</v>
      </c>
      <c r="L1229" t="n">
        <v>0.14</v>
      </c>
      <c r="M1229" t="n">
        <v>1.62</v>
      </c>
      <c r="P1229" t="inlineStr">
        <is>
          <t>정세빈</t>
        </is>
      </c>
      <c r="Q1229" t="inlineStr">
        <is>
          <t>홈서비스 60개월</t>
        </is>
      </c>
      <c r="AB1229" t="inlineStr">
        <is>
          <t>홈서비스</t>
        </is>
      </c>
      <c r="AC1229" t="n">
        <v>387200</v>
      </c>
      <c r="AD1229" t="n">
        <v>30800</v>
      </c>
      <c r="AE1229" t="n">
        <v>356400</v>
      </c>
      <c r="AF1229" t="n">
        <v>352000</v>
      </c>
      <c r="AG1229" t="n">
        <v>30800</v>
      </c>
      <c r="AH1229" t="n">
        <v>321200</v>
      </c>
      <c r="AI1229" t="n">
        <v>0</v>
      </c>
    </row>
    <row r="1230">
      <c r="A1230" t="inlineStr">
        <is>
          <t>2월</t>
        </is>
      </c>
      <c r="B1230" t="inlineStr">
        <is>
          <t>6주차</t>
        </is>
      </c>
      <c r="C1230" t="inlineStr">
        <is>
          <t>EP</t>
        </is>
      </c>
      <c r="D1230" s="28" t="n">
        <v>46059</v>
      </c>
      <c r="E1230" t="inlineStr">
        <is>
          <t>현대EP_fast</t>
        </is>
      </c>
      <c r="F1230" t="inlineStr">
        <is>
          <t>안혜숙</t>
        </is>
      </c>
      <c r="G1230" t="inlineStr">
        <is>
          <t>010-9978-5226</t>
        </is>
      </c>
      <c r="H1230" t="inlineStr">
        <is>
          <t>146마9733</t>
        </is>
      </c>
      <c r="I1230" t="n">
        <v>16200000</v>
      </c>
      <c r="J1230" t="n">
        <v>0.08699999999999999</v>
      </c>
      <c r="K1230" t="n">
        <v>1.76</v>
      </c>
      <c r="L1230" t="n">
        <v>0.14</v>
      </c>
      <c r="M1230" t="n">
        <v>1.62</v>
      </c>
      <c r="P1230" t="inlineStr">
        <is>
          <t>정광호</t>
        </is>
      </c>
      <c r="Q1230" t="inlineStr">
        <is>
          <t>홈서비스 60개월</t>
        </is>
      </c>
      <c r="AB1230" t="inlineStr">
        <is>
          <t>홈서비스</t>
        </is>
      </c>
      <c r="AC1230" t="n">
        <v>285120</v>
      </c>
      <c r="AD1230" t="n">
        <v>22680</v>
      </c>
      <c r="AE1230" t="n">
        <v>262440</v>
      </c>
      <c r="AF1230" t="n">
        <v>259200</v>
      </c>
      <c r="AG1230" t="n">
        <v>22680</v>
      </c>
      <c r="AH1230" t="n">
        <v>236520</v>
      </c>
    </row>
    <row r="1231">
      <c r="A1231" t="inlineStr">
        <is>
          <t>2월</t>
        </is>
      </c>
      <c r="B1231" t="inlineStr">
        <is>
          <t>7주차</t>
        </is>
      </c>
      <c r="C1231" t="inlineStr">
        <is>
          <t>IM</t>
        </is>
      </c>
      <c r="D1231" s="28" t="n">
        <v>46063</v>
      </c>
      <c r="E1231" t="inlineStr">
        <is>
          <t>IM캐피탈</t>
        </is>
      </c>
      <c r="F1231" t="inlineStr">
        <is>
          <t>고윤영</t>
        </is>
      </c>
      <c r="G1231" t="inlineStr">
        <is>
          <t>010-2569-3571</t>
        </is>
      </c>
      <c r="H1231" t="inlineStr">
        <is>
          <t>109더9789</t>
        </is>
      </c>
      <c r="I1231" t="n">
        <v>19000000</v>
      </c>
      <c r="J1231" t="n">
        <v>0.049</v>
      </c>
      <c r="K1231" t="n">
        <v>1.1</v>
      </c>
      <c r="L1231" t="n">
        <v>0.14</v>
      </c>
      <c r="M1231" t="n">
        <v>0.96</v>
      </c>
      <c r="P1231" t="inlineStr">
        <is>
          <t>김수연</t>
        </is>
      </c>
      <c r="Q1231" t="inlineStr">
        <is>
          <t>홈서비스 48개월</t>
        </is>
      </c>
      <c r="AB1231" t="inlineStr">
        <is>
          <t>홈서비스</t>
        </is>
      </c>
      <c r="AC1231" t="n">
        <v>209000</v>
      </c>
      <c r="AD1231" t="n">
        <v>26600</v>
      </c>
      <c r="AE1231" t="n">
        <v>182400</v>
      </c>
      <c r="AF1231" t="n">
        <v>190000</v>
      </c>
      <c r="AG1231" t="n">
        <v>26600</v>
      </c>
      <c r="AH1231" t="n">
        <v>163400</v>
      </c>
      <c r="AI1231" t="n">
        <v>0</v>
      </c>
    </row>
    <row r="1232">
      <c r="A1232" t="inlineStr">
        <is>
          <t>2월</t>
        </is>
      </c>
      <c r="B1232" t="inlineStr">
        <is>
          <t>7주차</t>
        </is>
      </c>
      <c r="C1232" t="inlineStr">
        <is>
          <t>EP</t>
        </is>
      </c>
      <c r="D1232" s="28" t="n">
        <v>46063</v>
      </c>
      <c r="E1232" t="inlineStr">
        <is>
          <t>현대EP</t>
        </is>
      </c>
      <c r="F1232" t="inlineStr">
        <is>
          <t>석형욱</t>
        </is>
      </c>
      <c r="G1232" t="inlineStr">
        <is>
          <t>010-4917-9502</t>
        </is>
      </c>
      <c r="H1232" t="inlineStr">
        <is>
          <t>54버7944</t>
        </is>
      </c>
      <c r="I1232" t="n">
        <v>20000000</v>
      </c>
      <c r="J1232" t="n">
        <v>0.075</v>
      </c>
      <c r="K1232" t="n">
        <v>1.76</v>
      </c>
      <c r="L1232" t="n">
        <v>0.14</v>
      </c>
      <c r="M1232" t="n">
        <v>1.62</v>
      </c>
      <c r="P1232" t="inlineStr">
        <is>
          <t>황채이</t>
        </is>
      </c>
      <c r="Q1232" t="inlineStr">
        <is>
          <t>홈서비스 48개월</t>
        </is>
      </c>
      <c r="AB1232" t="inlineStr">
        <is>
          <t>홈서비스</t>
        </is>
      </c>
      <c r="AC1232" t="n">
        <v>352000</v>
      </c>
      <c r="AD1232" t="n">
        <v>28000</v>
      </c>
      <c r="AE1232" t="n">
        <v>324000</v>
      </c>
      <c r="AF1232" t="n">
        <v>320000</v>
      </c>
      <c r="AG1232" t="n">
        <v>28000</v>
      </c>
      <c r="AH1232" t="n">
        <v>292000</v>
      </c>
      <c r="AI1232" t="n">
        <v>0</v>
      </c>
    </row>
    <row r="1233">
      <c r="A1233" t="inlineStr">
        <is>
          <t>2월</t>
        </is>
      </c>
      <c r="B1233" t="inlineStr">
        <is>
          <t>7주차</t>
        </is>
      </c>
      <c r="C1233" t="inlineStr">
        <is>
          <t>IM</t>
        </is>
      </c>
      <c r="D1233" s="28" t="n">
        <v>46064</v>
      </c>
      <c r="E1233" t="inlineStr">
        <is>
          <t>IM캐피탈</t>
        </is>
      </c>
      <c r="F1233" t="inlineStr">
        <is>
          <t>오태진</t>
        </is>
      </c>
      <c r="G1233" t="inlineStr">
        <is>
          <t>010-2511-9722</t>
        </is>
      </c>
      <c r="H1233" t="inlineStr">
        <is>
          <t>98더7367</t>
        </is>
      </c>
      <c r="I1233" t="n">
        <v>10000000</v>
      </c>
      <c r="J1233" t="n">
        <v>0.056</v>
      </c>
      <c r="K1233" t="n">
        <v>1.21</v>
      </c>
      <c r="L1233" t="n">
        <v>0.14</v>
      </c>
      <c r="M1233" t="n">
        <v>1.07</v>
      </c>
      <c r="P1233" t="inlineStr">
        <is>
          <t>김나윤</t>
        </is>
      </c>
      <c r="Q1233" t="inlineStr">
        <is>
          <t>홈서비스 60개월</t>
        </is>
      </c>
      <c r="AB1233" t="inlineStr">
        <is>
          <t>홈서비스</t>
        </is>
      </c>
      <c r="AC1233" t="n">
        <v>121000</v>
      </c>
      <c r="AD1233" t="n">
        <v>14000</v>
      </c>
      <c r="AE1233" t="n">
        <v>107000</v>
      </c>
      <c r="AF1233" t="n">
        <v>110000</v>
      </c>
      <c r="AG1233" t="n">
        <v>14000</v>
      </c>
      <c r="AH1233" t="n">
        <v>96000</v>
      </c>
      <c r="AI1233" t="n">
        <v>0</v>
      </c>
    </row>
    <row r="1234">
      <c r="A1234" t="inlineStr">
        <is>
          <t>2월</t>
        </is>
      </c>
      <c r="B1234" t="inlineStr">
        <is>
          <t>7주차</t>
        </is>
      </c>
      <c r="C1234" t="inlineStr">
        <is>
          <t>IM</t>
        </is>
      </c>
      <c r="D1234" s="28" t="n">
        <v>46063</v>
      </c>
      <c r="E1234" t="inlineStr">
        <is>
          <t>IM캐피탈</t>
        </is>
      </c>
      <c r="F1234" t="inlineStr">
        <is>
          <t>오승현</t>
        </is>
      </c>
      <c r="G1234" t="inlineStr">
        <is>
          <t>010-9905-1835</t>
        </is>
      </c>
      <c r="H1234" t="inlineStr">
        <is>
          <t>317러7634</t>
        </is>
      </c>
      <c r="I1234" t="n">
        <v>-21500000</v>
      </c>
      <c r="J1234" t="n">
        <v>0.056</v>
      </c>
      <c r="K1234" t="n">
        <v>1.1</v>
      </c>
      <c r="L1234" t="n">
        <v>0.14</v>
      </c>
      <c r="M1234" t="n">
        <v>0.96</v>
      </c>
      <c r="P1234" t="inlineStr">
        <is>
          <t>장현경</t>
        </is>
      </c>
      <c r="Q1234" t="inlineStr">
        <is>
          <t>선상담 /홈서비스 72개월/*철회 20260210</t>
        </is>
      </c>
      <c r="AB1234" t="inlineStr">
        <is>
          <t>홈서비스</t>
        </is>
      </c>
      <c r="AC1234" t="n">
        <v>-236500</v>
      </c>
      <c r="AD1234" t="n">
        <v>-30100</v>
      </c>
      <c r="AE1234" t="n">
        <v>-206400</v>
      </c>
      <c r="AF1234" t="n">
        <v>-215000</v>
      </c>
      <c r="AG1234" t="n">
        <v>-30100</v>
      </c>
      <c r="AH1234" t="n">
        <v>-184900</v>
      </c>
      <c r="AI1234" t="n">
        <v>0</v>
      </c>
      <c r="AK1234" t="inlineStr">
        <is>
          <t>대출철회</t>
        </is>
      </c>
    </row>
    <row r="1235">
      <c r="A1235" t="inlineStr">
        <is>
          <t>2월</t>
        </is>
      </c>
      <c r="B1235" t="inlineStr">
        <is>
          <t>7주차</t>
        </is>
      </c>
      <c r="C1235" t="inlineStr">
        <is>
          <t>EP</t>
        </is>
      </c>
      <c r="D1235" s="28" t="n">
        <v>46063</v>
      </c>
      <c r="E1235" t="inlineStr">
        <is>
          <t>제이비EP</t>
        </is>
      </c>
      <c r="F1235" t="inlineStr">
        <is>
          <t>이순태</t>
        </is>
      </c>
      <c r="G1235" t="inlineStr">
        <is>
          <t>010-5368-7924</t>
        </is>
      </c>
      <c r="H1235" t="inlineStr">
        <is>
          <t>18서1108</t>
        </is>
      </c>
      <c r="I1235" t="n">
        <v>14200000</v>
      </c>
      <c r="J1235" t="n">
        <v>0.08599999999999999</v>
      </c>
      <c r="K1235" t="n">
        <v>1.65</v>
      </c>
      <c r="L1235" t="n">
        <v>0.4</v>
      </c>
      <c r="M1235" t="n">
        <v>1.25</v>
      </c>
      <c r="P1235" t="inlineStr">
        <is>
          <t>장진경</t>
        </is>
      </c>
      <c r="Q1235" t="inlineStr">
        <is>
          <t>부대비용 추가진행</t>
        </is>
      </c>
      <c r="AB1235" t="inlineStr">
        <is>
          <t>엔카</t>
        </is>
      </c>
      <c r="AC1235" t="n">
        <v>234300</v>
      </c>
      <c r="AD1235" t="n">
        <v>56800</v>
      </c>
      <c r="AE1235" t="n">
        <v>177500</v>
      </c>
      <c r="AF1235" t="n">
        <v>213000</v>
      </c>
      <c r="AG1235" t="n">
        <v>56800</v>
      </c>
      <c r="AH1235" t="n">
        <v>156200</v>
      </c>
      <c r="AI1235" t="n">
        <v>0</v>
      </c>
    </row>
    <row r="1236">
      <c r="A1236" t="inlineStr">
        <is>
          <t>2월</t>
        </is>
      </c>
      <c r="B1236" t="inlineStr">
        <is>
          <t>7주차</t>
        </is>
      </c>
      <c r="C1236" t="inlineStr">
        <is>
          <t>IM</t>
        </is>
      </c>
      <c r="D1236" s="28" t="n">
        <v>46064</v>
      </c>
      <c r="E1236" t="inlineStr">
        <is>
          <t>IM캐피탈</t>
        </is>
      </c>
      <c r="F1236" t="inlineStr">
        <is>
          <t>김유태</t>
        </is>
      </c>
      <c r="G1236" t="inlineStr">
        <is>
          <t>010-5634-9275</t>
        </is>
      </c>
      <c r="H1236" t="inlineStr">
        <is>
          <t>122라7830</t>
        </is>
      </c>
      <c r="I1236" t="n">
        <v>46500000</v>
      </c>
      <c r="J1236" t="n">
        <v>0.066</v>
      </c>
      <c r="K1236" t="n">
        <v>1.1</v>
      </c>
      <c r="L1236" t="n">
        <v>0.14</v>
      </c>
      <c r="M1236" t="n">
        <v>0.96</v>
      </c>
      <c r="P1236" t="inlineStr">
        <is>
          <t>황채이</t>
        </is>
      </c>
      <c r="Q1236" t="inlineStr">
        <is>
          <t xml:space="preserve">  홈서비스 84개월</t>
        </is>
      </c>
      <c r="AB1236" t="inlineStr">
        <is>
          <t>홈서비스</t>
        </is>
      </c>
      <c r="AC1236" t="n">
        <v>511500</v>
      </c>
      <c r="AD1236" t="n">
        <v>65100</v>
      </c>
      <c r="AE1236" t="n">
        <v>446400</v>
      </c>
      <c r="AF1236" t="n">
        <v>465000</v>
      </c>
      <c r="AG1236" t="n">
        <v>65100</v>
      </c>
      <c r="AH1236" t="n">
        <v>399900</v>
      </c>
      <c r="AI1236" t="n">
        <v>0</v>
      </c>
    </row>
    <row r="1237">
      <c r="A1237" t="inlineStr">
        <is>
          <t>2월</t>
        </is>
      </c>
      <c r="B1237" t="inlineStr">
        <is>
          <t>8주차</t>
        </is>
      </c>
      <c r="C1237" t="inlineStr">
        <is>
          <t>EP</t>
        </is>
      </c>
      <c r="D1237" s="28" t="n">
        <v>46069</v>
      </c>
      <c r="E1237" t="inlineStr">
        <is>
          <t>현대EP</t>
        </is>
      </c>
      <c r="F1237" t="inlineStr">
        <is>
          <t>박동현</t>
        </is>
      </c>
      <c r="G1237" t="inlineStr">
        <is>
          <t>010-4715-3291</t>
        </is>
      </c>
      <c r="H1237" t="inlineStr">
        <is>
          <t>267로6762</t>
        </is>
      </c>
      <c r="I1237" t="n">
        <v>36000000</v>
      </c>
      <c r="J1237" t="n">
        <v>0.08500000000000001</v>
      </c>
      <c r="K1237" t="n">
        <v>1.76</v>
      </c>
      <c r="L1237" t="n">
        <v>0.14</v>
      </c>
      <c r="M1237" t="n">
        <v>1.62</v>
      </c>
      <c r="P1237" t="inlineStr">
        <is>
          <t>정세빈</t>
        </is>
      </c>
      <c r="Q1237" t="inlineStr">
        <is>
          <t>홈서비스 60개월</t>
        </is>
      </c>
      <c r="AB1237" t="inlineStr">
        <is>
          <t>홈서비스</t>
        </is>
      </c>
      <c r="AC1237" t="n">
        <v>633600</v>
      </c>
      <c r="AD1237" t="n">
        <v>50400</v>
      </c>
      <c r="AE1237" t="n">
        <v>583200</v>
      </c>
      <c r="AF1237" t="n">
        <v>576000</v>
      </c>
      <c r="AG1237" t="n">
        <v>50400</v>
      </c>
      <c r="AH1237" t="n">
        <v>525600</v>
      </c>
      <c r="AI1237" t="n">
        <v>0</v>
      </c>
    </row>
    <row r="1238">
      <c r="A1238" t="inlineStr">
        <is>
          <t>2월</t>
        </is>
      </c>
      <c r="B1238" t="inlineStr">
        <is>
          <t>7주차</t>
        </is>
      </c>
      <c r="C1238" t="inlineStr">
        <is>
          <t>EP</t>
        </is>
      </c>
      <c r="D1238" s="28" t="n">
        <v>46063</v>
      </c>
      <c r="E1238" t="inlineStr">
        <is>
          <t>현대EP</t>
        </is>
      </c>
      <c r="F1238" t="inlineStr">
        <is>
          <t>황승준</t>
        </is>
      </c>
      <c r="G1238" t="inlineStr">
        <is>
          <t>010-6411-4316</t>
        </is>
      </c>
      <c r="H1238" t="inlineStr">
        <is>
          <t>122서8090</t>
        </is>
      </c>
      <c r="I1238" t="n">
        <v>24000000</v>
      </c>
      <c r="J1238" t="n">
        <v>0.093</v>
      </c>
      <c r="K1238" t="n">
        <v>1.76</v>
      </c>
      <c r="L1238" t="n">
        <v>0.14</v>
      </c>
      <c r="M1238" t="n">
        <v>1.62</v>
      </c>
      <c r="P1238" t="inlineStr">
        <is>
          <t>박보람</t>
        </is>
      </c>
      <c r="Q1238" t="inlineStr">
        <is>
          <t>홈서비스 48개월</t>
        </is>
      </c>
      <c r="AB1238" t="inlineStr">
        <is>
          <t>홈서비스</t>
        </is>
      </c>
      <c r="AC1238" t="n">
        <v>422400</v>
      </c>
      <c r="AD1238" t="n">
        <v>33600</v>
      </c>
      <c r="AE1238" t="n">
        <v>388800</v>
      </c>
      <c r="AF1238" t="n">
        <v>384000</v>
      </c>
      <c r="AG1238" t="n">
        <v>33600</v>
      </c>
      <c r="AH1238" t="n">
        <v>350400</v>
      </c>
      <c r="AI1238" t="n">
        <v>0</v>
      </c>
    </row>
    <row r="1239">
      <c r="A1239" t="inlineStr">
        <is>
          <t>2월</t>
        </is>
      </c>
      <c r="B1239" t="inlineStr">
        <is>
          <t>7주차</t>
        </is>
      </c>
      <c r="C1239" t="inlineStr">
        <is>
          <t>EP</t>
        </is>
      </c>
      <c r="D1239" s="28" t="n">
        <v>46064</v>
      </c>
      <c r="E1239" t="inlineStr">
        <is>
          <t>현대EP</t>
        </is>
      </c>
      <c r="F1239" t="inlineStr">
        <is>
          <t>송정원</t>
        </is>
      </c>
      <c r="G1239" t="inlineStr">
        <is>
          <t>010-8737-6712</t>
        </is>
      </c>
      <c r="H1239" t="inlineStr">
        <is>
          <t>100오7114</t>
        </is>
      </c>
      <c r="I1239" t="n">
        <v>6900000</v>
      </c>
      <c r="J1239" t="n">
        <v>0.068</v>
      </c>
      <c r="K1239" t="n">
        <v>1.76</v>
      </c>
      <c r="L1239" t="n">
        <v>0.14</v>
      </c>
      <c r="M1239" t="n">
        <v>1.62</v>
      </c>
      <c r="P1239" t="inlineStr">
        <is>
          <t>김수연</t>
        </is>
      </c>
      <c r="Q1239" t="inlineStr">
        <is>
          <t>홈서비스 24개월</t>
        </is>
      </c>
      <c r="AB1239" t="inlineStr">
        <is>
          <t>홈서비스</t>
        </is>
      </c>
      <c r="AC1239" t="n">
        <v>121440</v>
      </c>
      <c r="AD1239" t="n">
        <v>9660</v>
      </c>
      <c r="AE1239" t="n">
        <v>111780</v>
      </c>
      <c r="AF1239" t="n">
        <v>110400</v>
      </c>
      <c r="AG1239" t="n">
        <v>9660</v>
      </c>
      <c r="AH1239" t="n">
        <v>100740</v>
      </c>
      <c r="AI1239" t="n">
        <v>0</v>
      </c>
    </row>
    <row r="1240">
      <c r="A1240" t="inlineStr">
        <is>
          <t>2월</t>
        </is>
      </c>
      <c r="B1240" t="inlineStr">
        <is>
          <t>7주차</t>
        </is>
      </c>
      <c r="C1240" t="inlineStr">
        <is>
          <t>EP</t>
        </is>
      </c>
      <c r="D1240" s="28" t="n">
        <v>46064</v>
      </c>
      <c r="E1240" t="inlineStr">
        <is>
          <t>현대EP_fast</t>
        </is>
      </c>
      <c r="F1240" t="inlineStr">
        <is>
          <t>박성현</t>
        </is>
      </c>
      <c r="G1240" t="inlineStr">
        <is>
          <t>010-7422-9562</t>
        </is>
      </c>
      <c r="H1240" t="inlineStr">
        <is>
          <t>13모8900</t>
        </is>
      </c>
      <c r="I1240" t="n">
        <v>4500000</v>
      </c>
      <c r="J1240" t="n">
        <v>0.141</v>
      </c>
      <c r="K1240" t="n">
        <v>1.76</v>
      </c>
      <c r="L1240" t="n">
        <v>0.14</v>
      </c>
      <c r="M1240" t="n">
        <v>1.62</v>
      </c>
      <c r="P1240" t="inlineStr">
        <is>
          <t>정광호</t>
        </is>
      </c>
      <c r="Q1240" t="inlineStr">
        <is>
          <t>홈서비스 48개월</t>
        </is>
      </c>
      <c r="AB1240" t="inlineStr">
        <is>
          <t>홈서비스</t>
        </is>
      </c>
      <c r="AC1240" t="n">
        <v>79200</v>
      </c>
      <c r="AD1240" t="n">
        <v>6300</v>
      </c>
      <c r="AE1240" t="n">
        <v>72900</v>
      </c>
      <c r="AF1240" t="n">
        <v>72000</v>
      </c>
      <c r="AG1240" t="n">
        <v>6300</v>
      </c>
      <c r="AH1240" t="n">
        <v>65700</v>
      </c>
    </row>
    <row r="1241">
      <c r="A1241" t="inlineStr">
        <is>
          <t>2월</t>
        </is>
      </c>
      <c r="B1241" t="inlineStr">
        <is>
          <t>7주차</t>
        </is>
      </c>
      <c r="C1241" t="inlineStr">
        <is>
          <t>EP</t>
        </is>
      </c>
      <c r="D1241" s="28" t="n">
        <v>46066</v>
      </c>
      <c r="E1241" t="inlineStr">
        <is>
          <t>현대EP_fast</t>
        </is>
      </c>
      <c r="F1241" t="inlineStr">
        <is>
          <t>김태건</t>
        </is>
      </c>
      <c r="G1241" t="inlineStr">
        <is>
          <t>010-7258-1307</t>
        </is>
      </c>
      <c r="H1241" t="inlineStr">
        <is>
          <t>42두6544</t>
        </is>
      </c>
      <c r="I1241" t="n">
        <v>3500000</v>
      </c>
      <c r="J1241" t="n">
        <v>0.076</v>
      </c>
      <c r="K1241" t="n">
        <v>1.76</v>
      </c>
      <c r="L1241" t="n">
        <v>0.14</v>
      </c>
      <c r="M1241" t="n">
        <v>1.62</v>
      </c>
      <c r="P1241" t="inlineStr">
        <is>
          <t>황채이</t>
        </is>
      </c>
      <c r="Q1241" t="inlineStr">
        <is>
          <t>홈서비스 60개월</t>
        </is>
      </c>
      <c r="AB1241" t="inlineStr">
        <is>
          <t>홈서비스</t>
        </is>
      </c>
      <c r="AC1241" t="n">
        <v>61600</v>
      </c>
      <c r="AD1241" t="n">
        <v>4900</v>
      </c>
      <c r="AE1241" t="n">
        <v>56700</v>
      </c>
      <c r="AF1241" t="n">
        <v>56000</v>
      </c>
      <c r="AG1241" t="n">
        <v>4900</v>
      </c>
      <c r="AH1241" t="n">
        <v>51100</v>
      </c>
    </row>
    <row r="1242">
      <c r="A1242" t="inlineStr">
        <is>
          <t>2월</t>
        </is>
      </c>
      <c r="B1242" t="inlineStr">
        <is>
          <t>8주차</t>
        </is>
      </c>
      <c r="C1242" t="inlineStr">
        <is>
          <t>EP</t>
        </is>
      </c>
      <c r="D1242" s="28" t="n">
        <v>46071</v>
      </c>
      <c r="E1242" t="inlineStr">
        <is>
          <t>현대EP</t>
        </is>
      </c>
      <c r="F1242" t="inlineStr">
        <is>
          <t>이경운</t>
        </is>
      </c>
      <c r="G1242" t="inlineStr">
        <is>
          <t>010-9441-9040</t>
        </is>
      </c>
      <c r="H1242" t="inlineStr">
        <is>
          <t>183로9295</t>
        </is>
      </c>
      <c r="I1242" t="n">
        <v>35000000</v>
      </c>
      <c r="J1242" t="n">
        <v>0.076</v>
      </c>
      <c r="K1242" t="n">
        <v>1.76</v>
      </c>
      <c r="L1242" t="n">
        <v>0.14</v>
      </c>
      <c r="M1242" t="n">
        <v>1.62</v>
      </c>
      <c r="P1242" t="inlineStr">
        <is>
          <t>황채이</t>
        </is>
      </c>
      <c r="Q1242" t="inlineStr">
        <is>
          <t>홈서비스 60개월</t>
        </is>
      </c>
      <c r="AB1242" t="inlineStr">
        <is>
          <t>홈서비스</t>
        </is>
      </c>
      <c r="AC1242" t="n">
        <v>616000</v>
      </c>
      <c r="AD1242" t="n">
        <v>49000</v>
      </c>
      <c r="AE1242" t="n">
        <v>567000</v>
      </c>
      <c r="AF1242" t="n">
        <v>560000</v>
      </c>
      <c r="AG1242" t="n">
        <v>49000</v>
      </c>
      <c r="AH1242" t="n">
        <v>511000</v>
      </c>
      <c r="AI1242" t="n">
        <v>0</v>
      </c>
    </row>
    <row r="1243">
      <c r="A1243" t="inlineStr">
        <is>
          <t>2월</t>
        </is>
      </c>
      <c r="B1243" t="inlineStr">
        <is>
          <t>7주차</t>
        </is>
      </c>
      <c r="C1243" t="inlineStr">
        <is>
          <t>IM</t>
        </is>
      </c>
      <c r="D1243" s="28" t="n">
        <v>46063</v>
      </c>
      <c r="E1243" t="inlineStr">
        <is>
          <t>IM캐피탈</t>
        </is>
      </c>
      <c r="F1243" t="inlineStr">
        <is>
          <t>오승현</t>
        </is>
      </c>
      <c r="G1243" t="inlineStr">
        <is>
          <t>010-9905-1835</t>
        </is>
      </c>
      <c r="H1243" t="inlineStr">
        <is>
          <t>317러7634</t>
        </is>
      </c>
      <c r="I1243" t="n">
        <v>21000000</v>
      </c>
      <c r="J1243" t="n">
        <v>0.056</v>
      </c>
      <c r="K1243" t="n">
        <v>1.1</v>
      </c>
      <c r="L1243" t="n">
        <v>0.14</v>
      </c>
      <c r="M1243" t="n">
        <v>0.96</v>
      </c>
      <c r="P1243" t="inlineStr">
        <is>
          <t>장현경</t>
        </is>
      </c>
      <c r="Q1243" t="inlineStr">
        <is>
          <t>선상담 /홈서비스 72개월</t>
        </is>
      </c>
      <c r="AB1243" t="inlineStr">
        <is>
          <t>홈서비스</t>
        </is>
      </c>
      <c r="AC1243" t="n">
        <v>231000</v>
      </c>
      <c r="AD1243" t="n">
        <v>29400</v>
      </c>
      <c r="AE1243" t="n">
        <v>201600</v>
      </c>
      <c r="AF1243" t="n">
        <v>210000</v>
      </c>
      <c r="AG1243" t="n">
        <v>29400</v>
      </c>
      <c r="AH1243" t="n">
        <v>180600</v>
      </c>
      <c r="AI1243" t="n">
        <v>0</v>
      </c>
    </row>
    <row r="1244">
      <c r="A1244" t="inlineStr">
        <is>
          <t>2월</t>
        </is>
      </c>
      <c r="B1244" t="inlineStr">
        <is>
          <t>7주차</t>
        </is>
      </c>
      <c r="C1244" t="inlineStr">
        <is>
          <t>IM</t>
        </is>
      </c>
      <c r="D1244" s="28" t="n">
        <v>46064</v>
      </c>
      <c r="E1244" t="inlineStr">
        <is>
          <t>IM캐피탈</t>
        </is>
      </c>
      <c r="F1244" t="inlineStr">
        <is>
          <t>이동현</t>
        </is>
      </c>
      <c r="G1244" t="inlineStr">
        <is>
          <t>010-6311-3331</t>
        </is>
      </c>
      <c r="H1244" t="inlineStr">
        <is>
          <t>136누6810</t>
        </is>
      </c>
      <c r="I1244" t="n">
        <v>49900000</v>
      </c>
      <c r="J1244" t="n">
        <v>0.066</v>
      </c>
      <c r="K1244" t="n">
        <v>1.1</v>
      </c>
      <c r="L1244" t="n">
        <v>0.4</v>
      </c>
      <c r="M1244" t="n">
        <v>0.7</v>
      </c>
      <c r="P1244" t="inlineStr">
        <is>
          <t>장현경</t>
        </is>
      </c>
      <c r="AB1244" t="inlineStr">
        <is>
          <t>엔카</t>
        </is>
      </c>
      <c r="AC1244" t="n">
        <v>548900</v>
      </c>
      <c r="AD1244" t="n">
        <v>199600</v>
      </c>
      <c r="AE1244" t="n">
        <v>349300</v>
      </c>
      <c r="AF1244" t="n">
        <v>499000</v>
      </c>
      <c r="AG1244" t="n">
        <v>199600</v>
      </c>
      <c r="AH1244" t="n">
        <v>299400</v>
      </c>
    </row>
    <row r="1245">
      <c r="A1245" t="inlineStr">
        <is>
          <t>2월</t>
        </is>
      </c>
      <c r="B1245" t="inlineStr">
        <is>
          <t>7주차</t>
        </is>
      </c>
      <c r="C1245" t="inlineStr">
        <is>
          <t>EP</t>
        </is>
      </c>
      <c r="D1245" s="28" t="n">
        <v>46064</v>
      </c>
      <c r="E1245" t="inlineStr">
        <is>
          <t>제이비EP</t>
        </is>
      </c>
      <c r="F1245" t="inlineStr">
        <is>
          <t>조인규</t>
        </is>
      </c>
      <c r="G1245" t="inlineStr">
        <is>
          <t>010-8789--2686</t>
        </is>
      </c>
      <c r="H1245" t="inlineStr">
        <is>
          <t>60두4592</t>
        </is>
      </c>
      <c r="I1245" t="n">
        <v>35000000</v>
      </c>
      <c r="J1245" t="n">
        <v>0.08699999999999999</v>
      </c>
      <c r="K1245" t="n">
        <v>1.65</v>
      </c>
      <c r="L1245" t="n">
        <v>0.4</v>
      </c>
      <c r="M1245" t="n">
        <v>1.25</v>
      </c>
      <c r="P1245" t="inlineStr">
        <is>
          <t>장진경</t>
        </is>
      </c>
      <c r="Q1245" t="inlineStr">
        <is>
          <t>금리인하 0.5% 적용건 (9.2  &gt; 8.7)</t>
        </is>
      </c>
      <c r="AB1245" t="inlineStr">
        <is>
          <t>엔카</t>
        </is>
      </c>
      <c r="AC1245" t="n">
        <v>577500</v>
      </c>
      <c r="AD1245" t="n">
        <v>140000</v>
      </c>
      <c r="AE1245" t="n">
        <v>437500</v>
      </c>
      <c r="AF1245" t="n">
        <v>525000</v>
      </c>
      <c r="AG1245" t="n">
        <v>140000</v>
      </c>
      <c r="AH1245" t="n">
        <v>385000</v>
      </c>
    </row>
    <row r="1246">
      <c r="A1246" t="inlineStr">
        <is>
          <t>2월</t>
        </is>
      </c>
      <c r="B1246" t="inlineStr">
        <is>
          <t>7주차</t>
        </is>
      </c>
      <c r="C1246" t="inlineStr">
        <is>
          <t>IM</t>
        </is>
      </c>
      <c r="D1246" s="28" t="n">
        <v>46064</v>
      </c>
      <c r="E1246" t="inlineStr">
        <is>
          <t>IM캐피탈</t>
        </is>
      </c>
      <c r="F1246" t="inlineStr">
        <is>
          <t>조재환</t>
        </is>
      </c>
      <c r="G1246" t="inlineStr">
        <is>
          <t>010-7549-4962</t>
        </is>
      </c>
      <c r="H1246" t="inlineStr">
        <is>
          <t>240버6141</t>
        </is>
      </c>
      <c r="I1246" t="n">
        <v>16700000</v>
      </c>
      <c r="J1246" t="n">
        <v>0.066</v>
      </c>
      <c r="K1246" t="n">
        <v>1.1</v>
      </c>
      <c r="L1246" t="n">
        <v>0.4</v>
      </c>
      <c r="M1246" t="n">
        <v>0.7</v>
      </c>
      <c r="P1246" t="inlineStr">
        <is>
          <t>장현경</t>
        </is>
      </c>
      <c r="AB1246" t="inlineStr">
        <is>
          <t>엔카</t>
        </is>
      </c>
      <c r="AC1246" t="n">
        <v>183700</v>
      </c>
      <c r="AD1246" t="n">
        <v>66800</v>
      </c>
      <c r="AE1246" t="n">
        <v>116900</v>
      </c>
      <c r="AF1246" t="n">
        <v>167000</v>
      </c>
      <c r="AG1246" t="n">
        <v>66800</v>
      </c>
      <c r="AH1246" t="n">
        <v>100200</v>
      </c>
    </row>
    <row r="1247">
      <c r="A1247" t="inlineStr">
        <is>
          <t>2월</t>
        </is>
      </c>
      <c r="B1247" t="inlineStr">
        <is>
          <t>7주차</t>
        </is>
      </c>
      <c r="C1247" t="inlineStr">
        <is>
          <t>EP</t>
        </is>
      </c>
      <c r="D1247" s="28" t="n">
        <v>46062</v>
      </c>
      <c r="E1247" t="inlineStr">
        <is>
          <t>제이비EP</t>
        </is>
      </c>
      <c r="F1247" t="inlineStr">
        <is>
          <t>최봉석</t>
        </is>
      </c>
      <c r="G1247" t="inlineStr">
        <is>
          <t>010-5755-1178</t>
        </is>
      </c>
      <c r="H1247" t="inlineStr">
        <is>
          <t>285다8116</t>
        </is>
      </c>
      <c r="I1247" t="n">
        <v>9900000</v>
      </c>
      <c r="J1247" t="n">
        <v>0.129</v>
      </c>
      <c r="K1247" t="n">
        <v>1.65</v>
      </c>
      <c r="L1247" t="n">
        <v>0.4</v>
      </c>
      <c r="M1247" t="n">
        <v>1.25</v>
      </c>
      <c r="P1247" t="inlineStr">
        <is>
          <t>구성완</t>
        </is>
      </c>
      <c r="Q1247" t="inlineStr">
        <is>
          <t>금리불만 : 철회완료 엔카 관리자 11.4% jb전산 12.9% / *철회</t>
        </is>
      </c>
      <c r="AB1247" t="inlineStr">
        <is>
          <t>엔카</t>
        </is>
      </c>
      <c r="AC1247" t="n">
        <v>163350</v>
      </c>
      <c r="AD1247" t="n">
        <v>39600</v>
      </c>
      <c r="AE1247" t="n">
        <v>123750</v>
      </c>
      <c r="AF1247" t="n">
        <v>148500</v>
      </c>
      <c r="AG1247" t="n">
        <v>39600</v>
      </c>
      <c r="AH1247" t="n">
        <v>108900</v>
      </c>
      <c r="AI1247" t="n">
        <v>0</v>
      </c>
      <c r="AK1247" t="inlineStr">
        <is>
          <t>대출철회</t>
        </is>
      </c>
    </row>
    <row r="1248">
      <c r="A1248" t="inlineStr">
        <is>
          <t>2월</t>
        </is>
      </c>
      <c r="B1248" t="inlineStr">
        <is>
          <t>7주차</t>
        </is>
      </c>
      <c r="C1248" t="inlineStr">
        <is>
          <t>EP</t>
        </is>
      </c>
      <c r="D1248" s="28" t="n">
        <v>46062</v>
      </c>
      <c r="E1248" t="inlineStr">
        <is>
          <t>제이비EP</t>
        </is>
      </c>
      <c r="F1248" t="inlineStr">
        <is>
          <t>최봉석</t>
        </is>
      </c>
      <c r="G1248" t="inlineStr">
        <is>
          <t>010-5755-1178</t>
        </is>
      </c>
      <c r="H1248" t="inlineStr">
        <is>
          <t>285다8116</t>
        </is>
      </c>
      <c r="I1248" t="n">
        <v>-9900000</v>
      </c>
      <c r="J1248" t="n">
        <v>0.129</v>
      </c>
      <c r="K1248" t="n">
        <v>1.65</v>
      </c>
      <c r="L1248" t="n">
        <v>0.4</v>
      </c>
      <c r="M1248" t="n">
        <v>1.25</v>
      </c>
      <c r="P1248" t="inlineStr">
        <is>
          <t>구성완</t>
        </is>
      </c>
      <c r="Q1248" t="inlineStr">
        <is>
          <t>금리불만 : 철회완료 엔카 관리자 11.4% jb전산 12.9% / *철회 260210</t>
        </is>
      </c>
      <c r="AB1248" t="inlineStr">
        <is>
          <t>엔카</t>
        </is>
      </c>
      <c r="AC1248" t="n">
        <v>-163350</v>
      </c>
      <c r="AD1248" t="n">
        <v>-39600</v>
      </c>
      <c r="AE1248" t="n">
        <v>-123750</v>
      </c>
      <c r="AF1248" t="n">
        <v>-148500</v>
      </c>
      <c r="AG1248" t="n">
        <v>-39600</v>
      </c>
      <c r="AH1248" t="n">
        <v>-108900</v>
      </c>
      <c r="AI1248" t="n">
        <v>0</v>
      </c>
      <c r="AK1248" t="inlineStr">
        <is>
          <t>대출철회</t>
        </is>
      </c>
    </row>
    <row r="1249">
      <c r="A1249" t="inlineStr">
        <is>
          <t>2월</t>
        </is>
      </c>
      <c r="B1249" t="inlineStr">
        <is>
          <t>7주차</t>
        </is>
      </c>
      <c r="C1249" t="inlineStr">
        <is>
          <t>EP</t>
        </is>
      </c>
      <c r="D1249" s="28" t="n">
        <v>46064</v>
      </c>
      <c r="E1249" t="inlineStr">
        <is>
          <t>제이비EP</t>
        </is>
      </c>
      <c r="F1249" t="inlineStr">
        <is>
          <t>김종호</t>
        </is>
      </c>
      <c r="G1249" t="inlineStr">
        <is>
          <t>010-9375-4533</t>
        </is>
      </c>
      <c r="H1249" t="inlineStr">
        <is>
          <t>281오1472</t>
        </is>
      </c>
      <c r="I1249" t="n">
        <v>11300000</v>
      </c>
      <c r="J1249" t="n">
        <v>0.08599999999999999</v>
      </c>
      <c r="K1249" t="n">
        <v>1.65</v>
      </c>
      <c r="L1249" t="n">
        <v>0.4</v>
      </c>
      <c r="M1249" t="n">
        <v>1.25</v>
      </c>
      <c r="P1249" t="inlineStr">
        <is>
          <t>구성완</t>
        </is>
      </c>
      <c r="Q1249" t="inlineStr">
        <is>
          <t>부대비진행</t>
        </is>
      </c>
      <c r="AB1249" t="inlineStr">
        <is>
          <t>엔카</t>
        </is>
      </c>
      <c r="AC1249" t="n">
        <v>186450</v>
      </c>
      <c r="AD1249" t="n">
        <v>45200</v>
      </c>
      <c r="AE1249" t="n">
        <v>141250</v>
      </c>
      <c r="AF1249" t="n">
        <v>169500</v>
      </c>
      <c r="AG1249" t="n">
        <v>45200</v>
      </c>
      <c r="AH1249" t="n">
        <v>124300</v>
      </c>
      <c r="AI1249" t="n">
        <v>0</v>
      </c>
    </row>
    <row r="1250">
      <c r="A1250" t="inlineStr">
        <is>
          <t>2월</t>
        </is>
      </c>
      <c r="B1250" t="inlineStr">
        <is>
          <t>7주차</t>
        </is>
      </c>
      <c r="C1250" t="inlineStr">
        <is>
          <t>IM</t>
        </is>
      </c>
      <c r="D1250" s="28" t="n">
        <v>46064</v>
      </c>
      <c r="E1250" t="inlineStr">
        <is>
          <t>IM캐피탈</t>
        </is>
      </c>
      <c r="F1250" t="inlineStr">
        <is>
          <t>배윤희</t>
        </is>
      </c>
      <c r="G1250" t="inlineStr">
        <is>
          <t>010-8074-3330</t>
        </is>
      </c>
      <c r="H1250" t="inlineStr">
        <is>
          <t xml:space="preserve">236노9154 </t>
        </is>
      </c>
      <c r="I1250" t="n">
        <v>24000000</v>
      </c>
      <c r="J1250" t="n">
        <v>0.066</v>
      </c>
      <c r="K1250" t="n">
        <v>1.1</v>
      </c>
      <c r="L1250" t="n">
        <v>0.4</v>
      </c>
      <c r="M1250" t="n">
        <v>0.7</v>
      </c>
      <c r="P1250" t="inlineStr">
        <is>
          <t>장진경</t>
        </is>
      </c>
      <c r="Q1250" t="inlineStr">
        <is>
          <t>부대비용 추가진행</t>
        </is>
      </c>
      <c r="AB1250" t="inlineStr">
        <is>
          <t>엔카</t>
        </is>
      </c>
      <c r="AC1250" t="n">
        <v>264000</v>
      </c>
      <c r="AD1250" t="n">
        <v>96000</v>
      </c>
      <c r="AE1250" t="n">
        <v>168000</v>
      </c>
      <c r="AF1250" t="n">
        <v>240000</v>
      </c>
      <c r="AG1250" t="n">
        <v>96000</v>
      </c>
      <c r="AH1250" t="n">
        <v>144000</v>
      </c>
    </row>
    <row r="1251">
      <c r="A1251" t="inlineStr">
        <is>
          <t>2월</t>
        </is>
      </c>
      <c r="B1251" t="inlineStr">
        <is>
          <t>7주차</t>
        </is>
      </c>
      <c r="C1251" t="inlineStr">
        <is>
          <t>EP</t>
        </is>
      </c>
      <c r="D1251" s="28" t="n">
        <v>46064</v>
      </c>
      <c r="E1251" t="inlineStr">
        <is>
          <t>현대EP_fast</t>
        </is>
      </c>
      <c r="F1251" t="inlineStr">
        <is>
          <t>백영석</t>
        </is>
      </c>
      <c r="G1251" t="inlineStr">
        <is>
          <t>010-3628-6170</t>
        </is>
      </c>
      <c r="H1251" t="inlineStr">
        <is>
          <t>362우5793</t>
        </is>
      </c>
      <c r="I1251" t="n">
        <v>21000000</v>
      </c>
      <c r="J1251" t="n">
        <v>0.06900000000000001</v>
      </c>
      <c r="K1251" t="n">
        <v>1.76</v>
      </c>
      <c r="L1251" t="n">
        <v>0.4</v>
      </c>
      <c r="M1251" t="n">
        <v>1.36</v>
      </c>
      <c r="P1251" t="inlineStr">
        <is>
          <t>박보람</t>
        </is>
      </c>
      <c r="Q1251" t="inlineStr">
        <is>
          <t>금리인하 0.5% 적용건 (7.4 &gt; 6.9)</t>
        </is>
      </c>
      <c r="AB1251" t="inlineStr">
        <is>
          <t>엔카</t>
        </is>
      </c>
      <c r="AC1251" t="n">
        <v>369600</v>
      </c>
      <c r="AD1251" t="n">
        <v>84000</v>
      </c>
      <c r="AE1251" t="n">
        <v>285600</v>
      </c>
      <c r="AF1251" t="n">
        <v>336000</v>
      </c>
      <c r="AG1251" t="n">
        <v>84000</v>
      </c>
      <c r="AH1251" t="n">
        <v>252000</v>
      </c>
    </row>
    <row r="1252">
      <c r="A1252" t="inlineStr">
        <is>
          <t>2월</t>
        </is>
      </c>
      <c r="B1252" t="inlineStr">
        <is>
          <t>8주차</t>
        </is>
      </c>
      <c r="C1252" t="inlineStr">
        <is>
          <t>EP</t>
        </is>
      </c>
      <c r="D1252" s="28" t="n">
        <v>46070</v>
      </c>
      <c r="E1252" t="inlineStr">
        <is>
          <t>현대EP</t>
        </is>
      </c>
      <c r="F1252" t="inlineStr">
        <is>
          <t>구아련</t>
        </is>
      </c>
      <c r="G1252" t="inlineStr">
        <is>
          <t>010-9507-6698</t>
        </is>
      </c>
      <c r="H1252" t="inlineStr">
        <is>
          <t>164어4969</t>
        </is>
      </c>
      <c r="I1252" t="n">
        <v>28900000</v>
      </c>
      <c r="J1252" t="n">
        <v>0.116</v>
      </c>
      <c r="K1252" t="n">
        <v>1.76</v>
      </c>
      <c r="L1252" t="n">
        <v>0.14</v>
      </c>
      <c r="M1252" t="n">
        <v>1.62</v>
      </c>
      <c r="P1252" t="inlineStr">
        <is>
          <t>정광호</t>
        </is>
      </c>
      <c r="Q1252" t="inlineStr">
        <is>
          <t>홈서비스 48개월</t>
        </is>
      </c>
      <c r="AB1252" t="inlineStr">
        <is>
          <t>홈서비스</t>
        </is>
      </c>
      <c r="AC1252" t="n">
        <v>508640</v>
      </c>
      <c r="AD1252" t="n">
        <v>40460</v>
      </c>
      <c r="AE1252" t="n">
        <v>468180</v>
      </c>
      <c r="AF1252" t="n">
        <v>462400</v>
      </c>
      <c r="AG1252" t="n">
        <v>40460</v>
      </c>
      <c r="AH1252" t="n">
        <v>421940</v>
      </c>
      <c r="AI1252" t="n">
        <v>0</v>
      </c>
    </row>
    <row r="1253">
      <c r="A1253" t="inlineStr">
        <is>
          <t>2월</t>
        </is>
      </c>
      <c r="B1253" t="inlineStr">
        <is>
          <t>8주차</t>
        </is>
      </c>
      <c r="C1253" t="inlineStr">
        <is>
          <t>EP</t>
        </is>
      </c>
      <c r="D1253" s="28" t="n">
        <v>46072</v>
      </c>
      <c r="E1253" t="inlineStr">
        <is>
          <t>현대EP_fast</t>
        </is>
      </c>
      <c r="F1253" t="inlineStr">
        <is>
          <t>안윤결</t>
        </is>
      </c>
      <c r="G1253" t="inlineStr">
        <is>
          <t>010-9098-5856</t>
        </is>
      </c>
      <c r="H1253" t="inlineStr">
        <is>
          <t>112어5674</t>
        </is>
      </c>
      <c r="I1253" t="n">
        <v>29500000</v>
      </c>
      <c r="J1253" t="n">
        <v>0.076</v>
      </c>
      <c r="K1253" t="n">
        <v>1.76</v>
      </c>
      <c r="L1253" t="n">
        <v>0.14</v>
      </c>
      <c r="M1253" t="n">
        <v>1.62</v>
      </c>
      <c r="P1253" t="inlineStr">
        <is>
          <t>황채이</t>
        </is>
      </c>
      <c r="Q1253" t="inlineStr">
        <is>
          <t>홈서비스 48개월</t>
        </is>
      </c>
      <c r="AB1253" t="inlineStr">
        <is>
          <t>홈서비스</t>
        </is>
      </c>
      <c r="AC1253" t="n">
        <v>519200</v>
      </c>
      <c r="AD1253" t="n">
        <v>41300</v>
      </c>
      <c r="AE1253" t="n">
        <v>477900</v>
      </c>
      <c r="AF1253" t="n">
        <v>472000</v>
      </c>
      <c r="AG1253" t="n">
        <v>41300</v>
      </c>
      <c r="AH1253" t="n">
        <v>430700</v>
      </c>
    </row>
    <row r="1254">
      <c r="A1254" t="inlineStr">
        <is>
          <t>2월</t>
        </is>
      </c>
      <c r="B1254" t="inlineStr">
        <is>
          <t>8주차</t>
        </is>
      </c>
      <c r="C1254" t="inlineStr">
        <is>
          <t>EP</t>
        </is>
      </c>
      <c r="D1254" s="28" t="n">
        <v>46072</v>
      </c>
      <c r="E1254" t="inlineStr">
        <is>
          <t>현대EP</t>
        </is>
      </c>
      <c r="F1254" t="inlineStr">
        <is>
          <t>이혜연</t>
        </is>
      </c>
      <c r="G1254" t="inlineStr">
        <is>
          <t>010-3017-3243</t>
        </is>
      </c>
      <c r="H1254" t="inlineStr">
        <is>
          <t>91무5252</t>
        </is>
      </c>
      <c r="I1254" t="n">
        <v>25900000</v>
      </c>
      <c r="J1254" t="n">
        <v>0.068</v>
      </c>
      <c r="K1254" t="n">
        <v>1.76</v>
      </c>
      <c r="L1254" t="n">
        <v>0.14</v>
      </c>
      <c r="M1254" t="n">
        <v>1.62</v>
      </c>
      <c r="P1254" t="inlineStr">
        <is>
          <t>김수연</t>
        </is>
      </c>
      <c r="Q1254" t="inlineStr">
        <is>
          <t>홈서비스 60개월</t>
        </is>
      </c>
      <c r="AB1254" t="inlineStr">
        <is>
          <t>홈서비스</t>
        </is>
      </c>
      <c r="AC1254" t="n">
        <v>455840</v>
      </c>
      <c r="AD1254" t="n">
        <v>36260</v>
      </c>
      <c r="AE1254" t="n">
        <v>419580</v>
      </c>
      <c r="AF1254" t="n">
        <v>414400</v>
      </c>
      <c r="AG1254" t="n">
        <v>36260</v>
      </c>
      <c r="AH1254" t="n">
        <v>378140</v>
      </c>
      <c r="AI1254" t="n">
        <v>1</v>
      </c>
    </row>
    <row r="1255">
      <c r="A1255" t="inlineStr">
        <is>
          <t>2월</t>
        </is>
      </c>
      <c r="B1255" t="inlineStr">
        <is>
          <t>8주차</t>
        </is>
      </c>
      <c r="C1255" t="inlineStr">
        <is>
          <t>EP</t>
        </is>
      </c>
      <c r="D1255" s="28" t="n">
        <v>46069</v>
      </c>
      <c r="E1255" t="inlineStr">
        <is>
          <t>현대EP</t>
        </is>
      </c>
      <c r="F1255" t="inlineStr">
        <is>
          <t>윤희원</t>
        </is>
      </c>
      <c r="G1255" t="inlineStr">
        <is>
          <t>010-5455-8580</t>
        </is>
      </c>
      <c r="H1255" t="inlineStr">
        <is>
          <t>64로6255</t>
        </is>
      </c>
      <c r="I1255" t="n">
        <v>5900000</v>
      </c>
      <c r="J1255" t="n">
        <v>0.099</v>
      </c>
      <c r="K1255" t="n">
        <v>1.76</v>
      </c>
      <c r="L1255" t="n">
        <v>0.14</v>
      </c>
      <c r="M1255" t="n">
        <v>1.62</v>
      </c>
      <c r="P1255" t="inlineStr">
        <is>
          <t>김나윤</t>
        </is>
      </c>
      <c r="Q1255" t="inlineStr">
        <is>
          <t>홈서비스 60개월</t>
        </is>
      </c>
      <c r="AB1255" t="inlineStr">
        <is>
          <t>홈서비스</t>
        </is>
      </c>
      <c r="AC1255" t="n">
        <v>103840</v>
      </c>
      <c r="AD1255" t="n">
        <v>8260</v>
      </c>
      <c r="AE1255" t="n">
        <v>95580</v>
      </c>
      <c r="AF1255" t="n">
        <v>94400</v>
      </c>
      <c r="AG1255" t="n">
        <v>8260</v>
      </c>
      <c r="AH1255" t="n">
        <v>86140</v>
      </c>
      <c r="AI1255" t="n">
        <v>1</v>
      </c>
    </row>
    <row r="1256">
      <c r="A1256" t="inlineStr">
        <is>
          <t>2월</t>
        </is>
      </c>
      <c r="B1256" t="inlineStr">
        <is>
          <t>7주차</t>
        </is>
      </c>
      <c r="C1256" t="inlineStr">
        <is>
          <t>EP</t>
        </is>
      </c>
      <c r="D1256" s="28" t="n">
        <v>46065</v>
      </c>
      <c r="E1256" t="inlineStr">
        <is>
          <t>현대EP_fast</t>
        </is>
      </c>
      <c r="F1256" t="inlineStr">
        <is>
          <t>유희상</t>
        </is>
      </c>
      <c r="G1256" t="inlineStr">
        <is>
          <t>010-8971-8711</t>
        </is>
      </c>
      <c r="H1256" t="inlineStr">
        <is>
          <t>31조2199</t>
        </is>
      </c>
      <c r="I1256" t="n">
        <v>4700000</v>
      </c>
      <c r="J1256" t="n">
        <v>0.137</v>
      </c>
      <c r="K1256" t="n">
        <v>1.76</v>
      </c>
      <c r="L1256" t="n">
        <v>0.14</v>
      </c>
      <c r="M1256" t="n">
        <v>1.62</v>
      </c>
      <c r="P1256" t="inlineStr">
        <is>
          <t>최혁</t>
        </is>
      </c>
      <c r="Q1256" t="inlineStr">
        <is>
          <t>홈서비스48개월</t>
        </is>
      </c>
      <c r="AB1256" t="inlineStr">
        <is>
          <t>홈서비스</t>
        </is>
      </c>
      <c r="AC1256" t="n">
        <v>82720</v>
      </c>
      <c r="AD1256" t="n">
        <v>6580</v>
      </c>
      <c r="AE1256" t="n">
        <v>76140</v>
      </c>
      <c r="AF1256" t="n">
        <v>75200</v>
      </c>
      <c r="AG1256" t="n">
        <v>6580</v>
      </c>
      <c r="AH1256" t="n">
        <v>68620</v>
      </c>
      <c r="AI1256" t="n">
        <v>1</v>
      </c>
    </row>
    <row r="1257">
      <c r="A1257" t="inlineStr">
        <is>
          <t>2월</t>
        </is>
      </c>
      <c r="B1257" t="inlineStr">
        <is>
          <t>9주차</t>
        </is>
      </c>
      <c r="C1257" t="inlineStr">
        <is>
          <t>EP</t>
        </is>
      </c>
      <c r="D1257" s="28" t="n">
        <v>46076</v>
      </c>
      <c r="E1257" t="inlineStr">
        <is>
          <t>현대EP_fast</t>
        </is>
      </c>
      <c r="F1257" t="inlineStr">
        <is>
          <t>최지원</t>
        </is>
      </c>
      <c r="G1257" t="inlineStr">
        <is>
          <t>010-8495-6695</t>
        </is>
      </c>
      <c r="H1257" t="inlineStr">
        <is>
          <t>28고0263</t>
        </is>
      </c>
      <c r="I1257" t="n">
        <v>6000000</v>
      </c>
      <c r="J1257" t="n">
        <v>0.068</v>
      </c>
      <c r="K1257" t="n">
        <v>1.21</v>
      </c>
      <c r="L1257" t="n">
        <v>0.14</v>
      </c>
      <c r="M1257" t="n">
        <v>1.07</v>
      </c>
      <c r="P1257" t="inlineStr">
        <is>
          <t>임대경</t>
        </is>
      </c>
      <c r="Q1257" t="inlineStr">
        <is>
          <t>홈서비스 60개월</t>
        </is>
      </c>
      <c r="AB1257" t="inlineStr">
        <is>
          <t>홈서비스</t>
        </is>
      </c>
      <c r="AC1257" t="n">
        <v>72600</v>
      </c>
      <c r="AD1257" t="n">
        <v>8400</v>
      </c>
      <c r="AE1257" t="n">
        <v>64200</v>
      </c>
      <c r="AF1257" t="n">
        <v>66000</v>
      </c>
      <c r="AG1257" t="n">
        <v>8400</v>
      </c>
      <c r="AH1257" t="n">
        <v>57600</v>
      </c>
      <c r="AI1257" t="n">
        <v>1</v>
      </c>
    </row>
    <row r="1258">
      <c r="A1258" t="inlineStr">
        <is>
          <t>2월</t>
        </is>
      </c>
      <c r="B1258" t="inlineStr">
        <is>
          <t>8주차</t>
        </is>
      </c>
      <c r="C1258" t="inlineStr">
        <is>
          <t>IM</t>
        </is>
      </c>
      <c r="D1258" s="28" t="n">
        <v>46072</v>
      </c>
      <c r="E1258" t="inlineStr">
        <is>
          <t>IM캐피탈</t>
        </is>
      </c>
      <c r="F1258" t="inlineStr">
        <is>
          <t>김정훈</t>
        </is>
      </c>
      <c r="G1258" t="inlineStr">
        <is>
          <t>010-8631-0627</t>
        </is>
      </c>
      <c r="H1258" t="inlineStr">
        <is>
          <t>167우6297</t>
        </is>
      </c>
      <c r="I1258" t="n">
        <v>14000000</v>
      </c>
      <c r="J1258" t="n">
        <v>0.056</v>
      </c>
      <c r="K1258" t="n">
        <v>1.1</v>
      </c>
      <c r="L1258" t="n">
        <v>0.14</v>
      </c>
      <c r="M1258" t="n">
        <v>0.96</v>
      </c>
      <c r="P1258" t="inlineStr">
        <is>
          <t>박현민</t>
        </is>
      </c>
      <c r="Q1258" t="inlineStr">
        <is>
          <t>홈서비스 48개월</t>
        </is>
      </c>
      <c r="AB1258" t="inlineStr">
        <is>
          <t>홈서비스</t>
        </is>
      </c>
      <c r="AC1258" t="n">
        <v>154000</v>
      </c>
      <c r="AD1258" t="n">
        <v>19600</v>
      </c>
      <c r="AE1258" t="n">
        <v>134400</v>
      </c>
      <c r="AF1258" t="n">
        <v>140000</v>
      </c>
      <c r="AG1258" t="n">
        <v>19600</v>
      </c>
      <c r="AH1258" t="n">
        <v>120400</v>
      </c>
      <c r="AI1258" t="n">
        <v>1</v>
      </c>
    </row>
    <row r="1259">
      <c r="A1259" t="inlineStr">
        <is>
          <t>2월</t>
        </is>
      </c>
      <c r="B1259" t="inlineStr">
        <is>
          <t>9주차</t>
        </is>
      </c>
      <c r="C1259" t="inlineStr">
        <is>
          <t>IM</t>
        </is>
      </c>
      <c r="D1259" s="28" t="n">
        <v>46076</v>
      </c>
      <c r="E1259" t="inlineStr">
        <is>
          <t>IM캐피탈</t>
        </is>
      </c>
      <c r="F1259" t="inlineStr">
        <is>
          <t>장강원</t>
        </is>
      </c>
      <c r="G1259" t="inlineStr">
        <is>
          <t>010-5185-7598</t>
        </is>
      </c>
      <c r="H1259" t="inlineStr">
        <is>
          <t>307수3157</t>
        </is>
      </c>
      <c r="I1259" t="n">
        <v>38500000</v>
      </c>
      <c r="J1259" t="n">
        <v>0.059</v>
      </c>
      <c r="K1259" t="n">
        <v>1.1</v>
      </c>
      <c r="L1259" t="n">
        <v>0.14</v>
      </c>
      <c r="M1259" t="n">
        <v>0.96</v>
      </c>
      <c r="P1259" t="inlineStr">
        <is>
          <t>김수연</t>
        </is>
      </c>
      <c r="Q1259" t="inlineStr">
        <is>
          <t>홈서비스 60개월</t>
        </is>
      </c>
      <c r="AB1259" t="inlineStr">
        <is>
          <t>홈서비스</t>
        </is>
      </c>
      <c r="AC1259" t="n">
        <v>423500</v>
      </c>
      <c r="AD1259" t="n">
        <v>53900</v>
      </c>
      <c r="AE1259" t="n">
        <v>369600</v>
      </c>
      <c r="AF1259" t="n">
        <v>385000</v>
      </c>
      <c r="AG1259" t="n">
        <v>53900</v>
      </c>
      <c r="AH1259" t="n">
        <v>331100</v>
      </c>
    </row>
    <row r="1260">
      <c r="A1260" t="inlineStr">
        <is>
          <t>2월</t>
        </is>
      </c>
      <c r="B1260" t="inlineStr">
        <is>
          <t>9주차</t>
        </is>
      </c>
      <c r="C1260" t="inlineStr">
        <is>
          <t>EP</t>
        </is>
      </c>
      <c r="D1260" s="28" t="n">
        <v>46077</v>
      </c>
      <c r="E1260" t="inlineStr">
        <is>
          <t>현대EP_fast</t>
        </is>
      </c>
      <c r="F1260" t="inlineStr">
        <is>
          <t>정유경</t>
        </is>
      </c>
      <c r="G1260" t="inlineStr">
        <is>
          <t>010-9664-5466</t>
        </is>
      </c>
      <c r="H1260" t="inlineStr">
        <is>
          <t>43다5067</t>
        </is>
      </c>
      <c r="I1260" t="n">
        <v>5000000</v>
      </c>
      <c r="J1260" t="n">
        <v>0.068</v>
      </c>
      <c r="K1260" t="n">
        <v>1.76</v>
      </c>
      <c r="L1260" t="n">
        <v>0.14</v>
      </c>
      <c r="M1260" t="n">
        <v>1.62</v>
      </c>
      <c r="P1260" t="inlineStr">
        <is>
          <t>정광호</t>
        </is>
      </c>
      <c r="Q1260" t="inlineStr">
        <is>
          <t>홈서비스 60개월</t>
        </is>
      </c>
      <c r="AB1260" t="inlineStr">
        <is>
          <t>홈서비스</t>
        </is>
      </c>
      <c r="AC1260" t="n">
        <v>88000</v>
      </c>
      <c r="AD1260" t="n">
        <v>7000</v>
      </c>
      <c r="AE1260" t="n">
        <v>81000</v>
      </c>
      <c r="AF1260" t="n">
        <v>80000</v>
      </c>
      <c r="AG1260" t="n">
        <v>7000</v>
      </c>
      <c r="AH1260" t="n">
        <v>73000</v>
      </c>
      <c r="AI1260" t="n">
        <v>0</v>
      </c>
    </row>
    <row r="1261">
      <c r="A1261" t="inlineStr">
        <is>
          <t>2월</t>
        </is>
      </c>
      <c r="B1261" t="inlineStr">
        <is>
          <t>9주차</t>
        </is>
      </c>
      <c r="C1261" t="inlineStr">
        <is>
          <t>EP</t>
        </is>
      </c>
      <c r="D1261" s="28" t="n">
        <v>46078</v>
      </c>
      <c r="E1261" t="inlineStr">
        <is>
          <t>현대EP</t>
        </is>
      </c>
      <c r="F1261" t="inlineStr">
        <is>
          <t>곽도진</t>
        </is>
      </c>
      <c r="G1261" t="inlineStr">
        <is>
          <t>010-5665-2904</t>
        </is>
      </c>
      <c r="H1261" t="inlineStr">
        <is>
          <t>119더4042</t>
        </is>
      </c>
      <c r="I1261" t="n">
        <v>-10200000</v>
      </c>
      <c r="J1261" t="n">
        <v>0.08699999999999999</v>
      </c>
      <c r="K1261" t="n">
        <v>1.76</v>
      </c>
      <c r="L1261" t="n">
        <v>0.14</v>
      </c>
      <c r="M1261" t="n">
        <v>1.62</v>
      </c>
      <c r="P1261" t="inlineStr">
        <is>
          <t>정광호</t>
        </is>
      </c>
      <c r="Q1261" t="inlineStr">
        <is>
          <t>홈서비스 24개월</t>
        </is>
      </c>
      <c r="AB1261" t="inlineStr">
        <is>
          <t>홈서비스</t>
        </is>
      </c>
      <c r="AC1261" t="n">
        <v>-179520</v>
      </c>
      <c r="AD1261" t="n">
        <v>-14280</v>
      </c>
      <c r="AE1261" t="n">
        <v>-165240</v>
      </c>
      <c r="AF1261" t="n">
        <v>-163200</v>
      </c>
      <c r="AG1261" t="n">
        <v>-14280</v>
      </c>
      <c r="AH1261" t="n">
        <v>-148920</v>
      </c>
      <c r="AI1261" t="n">
        <v>0</v>
      </c>
    </row>
    <row r="1262">
      <c r="A1262" t="inlineStr">
        <is>
          <t>2월</t>
        </is>
      </c>
      <c r="B1262" t="inlineStr">
        <is>
          <t>7주차</t>
        </is>
      </c>
      <c r="C1262" t="inlineStr">
        <is>
          <t>EP</t>
        </is>
      </c>
      <c r="D1262" s="28" t="n">
        <v>46064</v>
      </c>
      <c r="E1262" t="inlineStr">
        <is>
          <t>제이비EP</t>
        </is>
      </c>
      <c r="F1262" t="inlineStr">
        <is>
          <t>손진경</t>
        </is>
      </c>
      <c r="G1262" t="inlineStr">
        <is>
          <t>010-3228-1232</t>
        </is>
      </c>
      <c r="H1262" t="inlineStr">
        <is>
          <t>02마5582</t>
        </is>
      </c>
      <c r="I1262" t="n">
        <v>50000000</v>
      </c>
      <c r="J1262" t="n">
        <v>0.081</v>
      </c>
      <c r="K1262" t="n">
        <v>1.21</v>
      </c>
      <c r="L1262" t="n">
        <v>0.4</v>
      </c>
      <c r="M1262" t="n">
        <v>0.8100000000000001</v>
      </c>
      <c r="P1262" t="inlineStr">
        <is>
          <t>장현경</t>
        </is>
      </c>
      <c r="AB1262" t="inlineStr">
        <is>
          <t>엔카</t>
        </is>
      </c>
      <c r="AC1262" t="n">
        <v>605000</v>
      </c>
      <c r="AD1262" t="n">
        <v>200000</v>
      </c>
      <c r="AE1262" t="n">
        <v>405000</v>
      </c>
      <c r="AF1262" t="n">
        <v>550000</v>
      </c>
      <c r="AG1262" t="n">
        <v>200000</v>
      </c>
      <c r="AH1262" t="n">
        <v>350000</v>
      </c>
    </row>
    <row r="1263">
      <c r="A1263" t="inlineStr">
        <is>
          <t>2월</t>
        </is>
      </c>
      <c r="B1263" t="inlineStr">
        <is>
          <t>7주차</t>
        </is>
      </c>
      <c r="C1263" t="inlineStr">
        <is>
          <t>IM</t>
        </is>
      </c>
      <c r="D1263" s="28" t="n">
        <v>46064</v>
      </c>
      <c r="E1263" t="inlineStr">
        <is>
          <t>IM캐피탈</t>
        </is>
      </c>
      <c r="F1263" t="inlineStr">
        <is>
          <t>유정훈</t>
        </is>
      </c>
      <c r="G1263" t="inlineStr">
        <is>
          <t>010-9587-7581</t>
        </is>
      </c>
      <c r="H1263" t="inlineStr">
        <is>
          <t>366가2397</t>
        </is>
      </c>
      <c r="I1263" t="n">
        <v>20000000</v>
      </c>
      <c r="J1263" t="n">
        <v>0.056</v>
      </c>
      <c r="K1263" t="n">
        <v>1.1</v>
      </c>
      <c r="L1263" t="n">
        <v>0.14</v>
      </c>
      <c r="M1263" t="n">
        <v>0.96</v>
      </c>
      <c r="P1263" t="inlineStr">
        <is>
          <t>김수연</t>
        </is>
      </c>
      <c r="Q1263" t="inlineStr">
        <is>
          <t>홈서비스 24개월</t>
        </is>
      </c>
      <c r="AB1263" t="inlineStr">
        <is>
          <t>홈서비스</t>
        </is>
      </c>
      <c r="AC1263" t="n">
        <v>220000</v>
      </c>
      <c r="AD1263" t="n">
        <v>28000</v>
      </c>
      <c r="AE1263" t="n">
        <v>192000</v>
      </c>
      <c r="AF1263" t="n">
        <v>200000</v>
      </c>
      <c r="AG1263" t="n">
        <v>28000</v>
      </c>
      <c r="AH1263" t="n">
        <v>172000</v>
      </c>
      <c r="AI1263" t="n">
        <v>0</v>
      </c>
    </row>
    <row r="1264">
      <c r="A1264" t="inlineStr">
        <is>
          <t>2월</t>
        </is>
      </c>
      <c r="B1264" t="inlineStr">
        <is>
          <t>7주차</t>
        </is>
      </c>
      <c r="C1264" t="inlineStr">
        <is>
          <t>EP</t>
        </is>
      </c>
      <c r="D1264" s="28" t="n">
        <v>46067</v>
      </c>
      <c r="E1264" t="inlineStr">
        <is>
          <t>현대EP</t>
        </is>
      </c>
      <c r="F1264" t="inlineStr">
        <is>
          <t>허정민</t>
        </is>
      </c>
      <c r="G1264" t="inlineStr">
        <is>
          <t>010-3344-3187</t>
        </is>
      </c>
      <c r="H1264" t="inlineStr">
        <is>
          <t>67도5315</t>
        </is>
      </c>
      <c r="I1264" t="n">
        <v>6500000</v>
      </c>
      <c r="J1264" t="n">
        <v>0.068</v>
      </c>
      <c r="K1264" t="n">
        <v>1.76</v>
      </c>
      <c r="L1264" t="n">
        <v>0.14</v>
      </c>
      <c r="M1264" t="n">
        <v>1.62</v>
      </c>
      <c r="P1264" t="inlineStr">
        <is>
          <t>정광호</t>
        </is>
      </c>
      <c r="Q1264" t="inlineStr">
        <is>
          <t>홈서비스 48개월</t>
        </is>
      </c>
      <c r="AB1264" t="inlineStr">
        <is>
          <t>홈서비스</t>
        </is>
      </c>
      <c r="AC1264" t="n">
        <v>114400</v>
      </c>
      <c r="AD1264" t="n">
        <v>9100</v>
      </c>
      <c r="AE1264" t="n">
        <v>105300</v>
      </c>
      <c r="AF1264" t="n">
        <v>104000</v>
      </c>
      <c r="AG1264" t="n">
        <v>9100</v>
      </c>
      <c r="AH1264" t="n">
        <v>94900</v>
      </c>
      <c r="AI1264" t="n">
        <v>0</v>
      </c>
    </row>
    <row r="1265">
      <c r="A1265" t="inlineStr">
        <is>
          <t>2월</t>
        </is>
      </c>
      <c r="B1265" t="inlineStr">
        <is>
          <t>8주차</t>
        </is>
      </c>
      <c r="C1265" t="inlineStr">
        <is>
          <t>EP</t>
        </is>
      </c>
      <c r="D1265" s="28" t="n">
        <v>46072</v>
      </c>
      <c r="E1265" t="inlineStr">
        <is>
          <t>현대EP</t>
        </is>
      </c>
      <c r="F1265" t="inlineStr">
        <is>
          <t>김정주</t>
        </is>
      </c>
      <c r="G1265" t="inlineStr">
        <is>
          <t>010-5812-0913</t>
        </is>
      </c>
      <c r="H1265" t="inlineStr">
        <is>
          <t>07버9032</t>
        </is>
      </c>
      <c r="I1265" t="n">
        <v>9900000</v>
      </c>
      <c r="J1265" t="n">
        <v>0.07199999999999999</v>
      </c>
      <c r="K1265" t="n">
        <v>1.76</v>
      </c>
      <c r="L1265" t="n">
        <v>0.14</v>
      </c>
      <c r="M1265" t="n">
        <v>1.62</v>
      </c>
      <c r="P1265" t="inlineStr">
        <is>
          <t>정광호</t>
        </is>
      </c>
      <c r="Q1265" t="inlineStr">
        <is>
          <t>홈서비스 60개월</t>
        </is>
      </c>
      <c r="AB1265" t="inlineStr">
        <is>
          <t>홈서비스</t>
        </is>
      </c>
      <c r="AC1265" t="n">
        <v>174240</v>
      </c>
      <c r="AD1265" t="n">
        <v>13860</v>
      </c>
      <c r="AE1265" t="n">
        <v>160380</v>
      </c>
      <c r="AF1265" t="n">
        <v>158400</v>
      </c>
      <c r="AG1265" t="n">
        <v>13860</v>
      </c>
      <c r="AH1265" t="n">
        <v>144540</v>
      </c>
      <c r="AI1265" t="n">
        <v>0</v>
      </c>
    </row>
    <row r="1266">
      <c r="A1266" t="inlineStr">
        <is>
          <t>2월</t>
        </is>
      </c>
      <c r="B1266" t="inlineStr">
        <is>
          <t>7주차</t>
        </is>
      </c>
      <c r="C1266" t="inlineStr">
        <is>
          <t>OR</t>
        </is>
      </c>
      <c r="D1266" s="28" t="n">
        <v>46064</v>
      </c>
      <c r="E1266" t="inlineStr">
        <is>
          <t>오릭스</t>
        </is>
      </c>
      <c r="F1266" t="inlineStr">
        <is>
          <t>황진영</t>
        </is>
      </c>
      <c r="G1266" t="inlineStr">
        <is>
          <t>010-3218-3383</t>
        </is>
      </c>
      <c r="H1266" t="inlineStr">
        <is>
          <t>31소5175</t>
        </is>
      </c>
      <c r="I1266" t="n">
        <v>17000000</v>
      </c>
      <c r="J1266" t="n">
        <v>0.064</v>
      </c>
      <c r="K1266" t="n">
        <v>1.65</v>
      </c>
      <c r="L1266" t="n">
        <v>0.4</v>
      </c>
      <c r="M1266" t="n">
        <v>1.25</v>
      </c>
      <c r="P1266" t="inlineStr">
        <is>
          <t>구성완</t>
        </is>
      </c>
      <c r="Q1266" t="inlineStr">
        <is>
          <t>부대비진행</t>
        </is>
      </c>
      <c r="AB1266" t="inlineStr">
        <is>
          <t>엔카</t>
        </is>
      </c>
      <c r="AC1266" t="n">
        <v>280500</v>
      </c>
      <c r="AD1266" t="n">
        <v>68000</v>
      </c>
      <c r="AE1266" t="n">
        <v>212500</v>
      </c>
      <c r="AF1266" t="n">
        <v>255000</v>
      </c>
      <c r="AG1266" t="n">
        <v>68000</v>
      </c>
      <c r="AH1266" t="n">
        <v>187000</v>
      </c>
      <c r="AI1266" t="n">
        <v>0</v>
      </c>
    </row>
    <row r="1267">
      <c r="A1267" t="inlineStr">
        <is>
          <t>2월</t>
        </is>
      </c>
      <c r="B1267" t="inlineStr">
        <is>
          <t>8주차</t>
        </is>
      </c>
      <c r="C1267" t="inlineStr">
        <is>
          <t>IM</t>
        </is>
      </c>
      <c r="D1267" s="28" t="n">
        <v>46072</v>
      </c>
      <c r="E1267" t="inlineStr">
        <is>
          <t>IM캐피탈</t>
        </is>
      </c>
      <c r="F1267" t="inlineStr">
        <is>
          <t>정호영</t>
        </is>
      </c>
      <c r="G1267" t="inlineStr">
        <is>
          <t>010-9669-5099</t>
        </is>
      </c>
      <c r="H1267" t="inlineStr">
        <is>
          <t>367마5756</t>
        </is>
      </c>
      <c r="I1267" t="n">
        <v>63500000</v>
      </c>
      <c r="J1267" t="n">
        <v>0.089</v>
      </c>
      <c r="K1267" t="n">
        <v>1.1</v>
      </c>
      <c r="L1267" t="n">
        <v>0.4</v>
      </c>
      <c r="M1267" t="n">
        <v>0.7</v>
      </c>
      <c r="P1267" t="inlineStr">
        <is>
          <t>박보람</t>
        </is>
      </c>
      <c r="AB1267" t="inlineStr">
        <is>
          <t>엔카</t>
        </is>
      </c>
      <c r="AC1267" t="n">
        <v>698500</v>
      </c>
      <c r="AD1267" t="n">
        <v>254000</v>
      </c>
      <c r="AE1267" t="n">
        <v>444500</v>
      </c>
      <c r="AF1267" t="n">
        <v>635000</v>
      </c>
      <c r="AG1267" t="n">
        <v>254000</v>
      </c>
      <c r="AH1267" t="n">
        <v>381000</v>
      </c>
      <c r="AI1267" t="n">
        <v>0</v>
      </c>
    </row>
    <row r="1268">
      <c r="A1268" t="inlineStr">
        <is>
          <t>2월</t>
        </is>
      </c>
      <c r="B1268" t="inlineStr">
        <is>
          <t>9주차</t>
        </is>
      </c>
      <c r="C1268" t="inlineStr">
        <is>
          <t>EP</t>
        </is>
      </c>
      <c r="D1268" s="28" t="n">
        <v>46078</v>
      </c>
      <c r="E1268" t="inlineStr">
        <is>
          <t>현대EP</t>
        </is>
      </c>
      <c r="F1268" t="inlineStr">
        <is>
          <t>나인철</t>
        </is>
      </c>
      <c r="G1268" t="inlineStr">
        <is>
          <t>010-3378-1060</t>
        </is>
      </c>
      <c r="H1268" t="inlineStr">
        <is>
          <t>103모9417</t>
        </is>
      </c>
      <c r="I1268" t="n">
        <v>11000000</v>
      </c>
      <c r="J1268" t="n">
        <v>0.07199999999999999</v>
      </c>
      <c r="K1268" t="n">
        <v>1.76</v>
      </c>
      <c r="L1268" t="n">
        <v>0.14</v>
      </c>
      <c r="M1268" t="n">
        <v>1.62</v>
      </c>
      <c r="P1268" t="inlineStr">
        <is>
          <t>김수연</t>
        </is>
      </c>
      <c r="Q1268" t="inlineStr">
        <is>
          <t>홈서비스 24개월</t>
        </is>
      </c>
      <c r="AB1268" t="inlineStr">
        <is>
          <t>홈서비스</t>
        </is>
      </c>
      <c r="AC1268" t="n">
        <v>193600</v>
      </c>
      <c r="AD1268" t="n">
        <v>15400</v>
      </c>
      <c r="AE1268" t="n">
        <v>178200</v>
      </c>
      <c r="AF1268" t="n">
        <v>176000</v>
      </c>
      <c r="AG1268" t="n">
        <v>15400</v>
      </c>
      <c r="AH1268" t="n">
        <v>160600</v>
      </c>
    </row>
    <row r="1269">
      <c r="A1269" t="inlineStr">
        <is>
          <t>2월</t>
        </is>
      </c>
      <c r="B1269" t="inlineStr">
        <is>
          <t>7주차</t>
        </is>
      </c>
      <c r="C1269" t="inlineStr">
        <is>
          <t>EP</t>
        </is>
      </c>
      <c r="D1269" s="28" t="n">
        <v>46064</v>
      </c>
      <c r="E1269" t="inlineStr">
        <is>
          <t>현대EP</t>
        </is>
      </c>
      <c r="F1269" t="inlineStr">
        <is>
          <t>정동희</t>
        </is>
      </c>
      <c r="G1269" t="inlineStr">
        <is>
          <t>010-9593-6020</t>
        </is>
      </c>
      <c r="H1269" t="inlineStr">
        <is>
          <t>373거2354</t>
        </is>
      </c>
      <c r="I1269" t="n">
        <v>33500000</v>
      </c>
      <c r="J1269" t="n">
        <v>0.068</v>
      </c>
      <c r="K1269" t="n">
        <v>1.76</v>
      </c>
      <c r="L1269" t="n">
        <v>0.14</v>
      </c>
      <c r="M1269" t="n">
        <v>1.62</v>
      </c>
      <c r="P1269" t="inlineStr">
        <is>
          <t>정광호</t>
        </is>
      </c>
      <c r="Q1269" t="inlineStr">
        <is>
          <t>홈서비스 60개월</t>
        </is>
      </c>
      <c r="AB1269" t="inlineStr">
        <is>
          <t>홈서비스</t>
        </is>
      </c>
      <c r="AC1269" t="n">
        <v>589600</v>
      </c>
      <c r="AD1269" t="n">
        <v>46900</v>
      </c>
      <c r="AE1269" t="n">
        <v>542700</v>
      </c>
      <c r="AF1269" t="n">
        <v>536000</v>
      </c>
      <c r="AG1269" t="n">
        <v>46900</v>
      </c>
      <c r="AH1269" t="n">
        <v>489100</v>
      </c>
      <c r="AI1269" t="n">
        <v>0</v>
      </c>
    </row>
    <row r="1270">
      <c r="A1270" t="inlineStr">
        <is>
          <t>2월</t>
        </is>
      </c>
      <c r="B1270" t="inlineStr">
        <is>
          <t>8주차</t>
        </is>
      </c>
      <c r="C1270" t="inlineStr">
        <is>
          <t>EP</t>
        </is>
      </c>
      <c r="D1270" s="28" t="n">
        <v>46072</v>
      </c>
      <c r="E1270" t="inlineStr">
        <is>
          <t>현대EP_fast</t>
        </is>
      </c>
      <c r="F1270" t="inlineStr">
        <is>
          <t>방종진</t>
        </is>
      </c>
      <c r="G1270" t="inlineStr">
        <is>
          <t>010-5698-9665</t>
        </is>
      </c>
      <c r="H1270" t="inlineStr">
        <is>
          <t>358가1684</t>
        </is>
      </c>
      <c r="I1270" t="n">
        <v>3400000</v>
      </c>
      <c r="J1270" t="n">
        <v>0.076</v>
      </c>
      <c r="K1270" t="n">
        <v>1.76</v>
      </c>
      <c r="L1270" t="n">
        <v>0.14</v>
      </c>
      <c r="M1270" t="n">
        <v>1.62</v>
      </c>
      <c r="P1270" t="inlineStr">
        <is>
          <t>정광호</t>
        </is>
      </c>
      <c r="Q1270" t="inlineStr">
        <is>
          <t>홈서비스 24개월</t>
        </is>
      </c>
      <c r="AB1270" t="inlineStr">
        <is>
          <t>홈서비스</t>
        </is>
      </c>
      <c r="AC1270" t="n">
        <v>59840</v>
      </c>
      <c r="AD1270" t="n">
        <v>4760</v>
      </c>
      <c r="AE1270" t="n">
        <v>55080</v>
      </c>
      <c r="AF1270" t="n">
        <v>54400</v>
      </c>
      <c r="AG1270" t="n">
        <v>4760</v>
      </c>
      <c r="AH1270" t="n">
        <v>49640</v>
      </c>
    </row>
    <row r="1271">
      <c r="A1271" t="inlineStr">
        <is>
          <t>2월</t>
        </is>
      </c>
      <c r="B1271" t="inlineStr">
        <is>
          <t>7주차</t>
        </is>
      </c>
      <c r="C1271" t="inlineStr">
        <is>
          <t>EP</t>
        </is>
      </c>
      <c r="D1271" s="28" t="n">
        <v>46063</v>
      </c>
      <c r="E1271" t="inlineStr">
        <is>
          <t>현대EP_fast</t>
        </is>
      </c>
      <c r="F1271" t="inlineStr">
        <is>
          <t>박광덕</t>
        </is>
      </c>
      <c r="G1271" t="inlineStr">
        <is>
          <t>010-3547-7856</t>
        </is>
      </c>
      <c r="H1271" t="inlineStr">
        <is>
          <t>811어7885</t>
        </is>
      </c>
      <c r="I1271" t="n">
        <v>20000000</v>
      </c>
      <c r="J1271" t="n">
        <v>0.097</v>
      </c>
      <c r="K1271" t="n">
        <v>1.76</v>
      </c>
      <c r="L1271" t="n">
        <v>0.4</v>
      </c>
      <c r="M1271" t="n">
        <v>1.36</v>
      </c>
      <c r="P1271" t="inlineStr">
        <is>
          <t>박소현</t>
        </is>
      </c>
      <c r="Q1271" t="inlineStr">
        <is>
          <t>금리 원복 접수진행건</t>
        </is>
      </c>
      <c r="AB1271" t="inlineStr">
        <is>
          <t>엔카</t>
        </is>
      </c>
      <c r="AC1271" t="n">
        <v>352000</v>
      </c>
      <c r="AD1271" t="n">
        <v>80000</v>
      </c>
      <c r="AE1271" t="n">
        <v>272000</v>
      </c>
      <c r="AF1271" t="n">
        <v>320000</v>
      </c>
      <c r="AG1271" t="n">
        <v>80000</v>
      </c>
      <c r="AH1271" t="n">
        <v>240000</v>
      </c>
      <c r="AI1271" t="n">
        <v>0</v>
      </c>
    </row>
    <row r="1272">
      <c r="A1272" t="inlineStr">
        <is>
          <t>2월</t>
        </is>
      </c>
      <c r="B1272" t="inlineStr">
        <is>
          <t>8주차</t>
        </is>
      </c>
      <c r="C1272" t="inlineStr">
        <is>
          <t>EP</t>
        </is>
      </c>
      <c r="D1272" s="28" t="n">
        <v>46074</v>
      </c>
      <c r="E1272" t="inlineStr">
        <is>
          <t>현대EP</t>
        </is>
      </c>
      <c r="F1272" t="inlineStr">
        <is>
          <t>이재남</t>
        </is>
      </c>
      <c r="G1272" t="inlineStr">
        <is>
          <t>010-3441-4470</t>
        </is>
      </c>
      <c r="H1272" t="inlineStr">
        <is>
          <t>301노7467</t>
        </is>
      </c>
      <c r="I1272" t="n">
        <v>12400000</v>
      </c>
      <c r="J1272" t="n">
        <v>0.059</v>
      </c>
      <c r="K1272" t="n">
        <v>1.76</v>
      </c>
      <c r="L1272" t="n">
        <v>0.14</v>
      </c>
      <c r="M1272" t="n">
        <v>1.62</v>
      </c>
      <c r="P1272" t="inlineStr">
        <is>
          <t>정세빈</t>
        </is>
      </c>
      <c r="Q1272" t="inlineStr">
        <is>
          <t>홈서비스 60개월</t>
        </is>
      </c>
      <c r="AB1272" t="inlineStr">
        <is>
          <t>홈서비스</t>
        </is>
      </c>
      <c r="AC1272" t="n">
        <v>218240</v>
      </c>
      <c r="AD1272" t="n">
        <v>17360</v>
      </c>
      <c r="AE1272" t="n">
        <v>200880</v>
      </c>
      <c r="AF1272" t="n">
        <v>198400</v>
      </c>
      <c r="AG1272" t="n">
        <v>17360</v>
      </c>
      <c r="AH1272" t="n">
        <v>181040</v>
      </c>
      <c r="AI1272" t="n">
        <v>0</v>
      </c>
    </row>
    <row r="1273">
      <c r="A1273" t="inlineStr">
        <is>
          <t>2월</t>
        </is>
      </c>
      <c r="B1273" t="inlineStr">
        <is>
          <t>7주차</t>
        </is>
      </c>
      <c r="C1273" t="inlineStr">
        <is>
          <t>EP</t>
        </is>
      </c>
      <c r="D1273" s="28" t="n">
        <v>46064</v>
      </c>
      <c r="E1273" t="inlineStr">
        <is>
          <t>현대EP_fast</t>
        </is>
      </c>
      <c r="F1273" t="inlineStr">
        <is>
          <t>권기섭</t>
        </is>
      </c>
      <c r="G1273" t="inlineStr">
        <is>
          <t>010-2008-1112</t>
        </is>
      </c>
      <c r="H1273" t="inlineStr">
        <is>
          <t>27너1224</t>
        </is>
      </c>
      <c r="I1273" t="n">
        <v>27100000</v>
      </c>
      <c r="J1273" t="n">
        <v>0.076</v>
      </c>
      <c r="K1273" t="n">
        <v>1.76</v>
      </c>
      <c r="L1273" t="n">
        <v>0.4</v>
      </c>
      <c r="M1273" t="n">
        <v>1.36</v>
      </c>
      <c r="P1273" t="inlineStr">
        <is>
          <t>박보람</t>
        </is>
      </c>
      <c r="Q1273" t="inlineStr">
        <is>
          <t>금리인하 0.5% 적용건 (8.1 &gt; 7.6)</t>
        </is>
      </c>
      <c r="AB1273" t="inlineStr">
        <is>
          <t>엔카</t>
        </is>
      </c>
      <c r="AC1273" t="n">
        <v>476960</v>
      </c>
      <c r="AD1273" t="n">
        <v>108400</v>
      </c>
      <c r="AE1273" t="n">
        <v>368560</v>
      </c>
      <c r="AF1273" t="n">
        <v>433600</v>
      </c>
      <c r="AG1273" t="n">
        <v>108400</v>
      </c>
      <c r="AH1273" t="n">
        <v>325200</v>
      </c>
    </row>
    <row r="1274">
      <c r="A1274" t="inlineStr">
        <is>
          <t>2월</t>
        </is>
      </c>
      <c r="B1274" t="inlineStr">
        <is>
          <t>7주차</t>
        </is>
      </c>
      <c r="C1274" t="inlineStr">
        <is>
          <t>IM</t>
        </is>
      </c>
      <c r="D1274" s="28" t="n">
        <v>46064</v>
      </c>
      <c r="E1274" t="inlineStr">
        <is>
          <t>IM캐피탈</t>
        </is>
      </c>
      <c r="F1274" t="inlineStr">
        <is>
          <t>심재명</t>
        </is>
      </c>
      <c r="G1274" t="inlineStr">
        <is>
          <t>010-5460-1196</t>
        </is>
      </c>
      <c r="H1274" t="inlineStr">
        <is>
          <t>332어7129</t>
        </is>
      </c>
      <c r="I1274" t="n">
        <v>39700000</v>
      </c>
      <c r="J1274" t="n">
        <v>0.056</v>
      </c>
      <c r="K1274" t="n">
        <v>1.1</v>
      </c>
      <c r="L1274" t="n">
        <v>0.14</v>
      </c>
      <c r="M1274" t="n">
        <v>0.96</v>
      </c>
      <c r="P1274" t="inlineStr">
        <is>
          <t>구성완</t>
        </is>
      </c>
      <c r="Q1274" t="inlineStr">
        <is>
          <t>3개월뒤 중도상환</t>
        </is>
      </c>
      <c r="AB1274" t="inlineStr">
        <is>
          <t>믿고</t>
        </is>
      </c>
      <c r="AC1274" t="n">
        <v>436700</v>
      </c>
      <c r="AD1274" t="n">
        <v>55580</v>
      </c>
      <c r="AE1274" t="n">
        <v>381120</v>
      </c>
      <c r="AF1274" t="n">
        <v>397000</v>
      </c>
      <c r="AG1274" t="n">
        <v>55580</v>
      </c>
      <c r="AH1274" t="n">
        <v>341420</v>
      </c>
      <c r="AI1274" t="n">
        <v>0</v>
      </c>
      <c r="AK1274" t="inlineStr">
        <is>
          <t>중도상환</t>
        </is>
      </c>
    </row>
    <row r="1275">
      <c r="A1275" t="inlineStr">
        <is>
          <t>2월</t>
        </is>
      </c>
      <c r="B1275" t="inlineStr">
        <is>
          <t>9주차</t>
        </is>
      </c>
      <c r="C1275" t="inlineStr">
        <is>
          <t>IM</t>
        </is>
      </c>
      <c r="D1275" s="28" t="n">
        <v>46076</v>
      </c>
      <c r="E1275" t="inlineStr">
        <is>
          <t>IM캐피탈</t>
        </is>
      </c>
      <c r="F1275" t="inlineStr">
        <is>
          <t>김승규</t>
        </is>
      </c>
      <c r="G1275" t="inlineStr">
        <is>
          <t>010-9387-0211</t>
        </is>
      </c>
      <c r="H1275" t="inlineStr">
        <is>
          <t>63소6858</t>
        </is>
      </c>
      <c r="I1275" t="n">
        <v>4300000</v>
      </c>
      <c r="J1275" t="n">
        <v>0.059</v>
      </c>
      <c r="K1275" t="n">
        <v>1.1</v>
      </c>
      <c r="L1275" t="n">
        <v>0.14</v>
      </c>
      <c r="M1275" t="n">
        <v>0.96</v>
      </c>
      <c r="P1275" t="inlineStr">
        <is>
          <t>박보람</t>
        </is>
      </c>
      <c r="Q1275" t="inlineStr">
        <is>
          <t>선상담 / 홈서비스 24개월</t>
        </is>
      </c>
      <c r="AB1275" t="inlineStr">
        <is>
          <t>홈서비스</t>
        </is>
      </c>
      <c r="AC1275" t="n">
        <v>47300</v>
      </c>
      <c r="AD1275" t="n">
        <v>6020</v>
      </c>
      <c r="AE1275" t="n">
        <v>41280</v>
      </c>
      <c r="AF1275" t="n">
        <v>43000</v>
      </c>
      <c r="AG1275" t="n">
        <v>6020</v>
      </c>
      <c r="AH1275" t="n">
        <v>36980</v>
      </c>
      <c r="AI1275" t="n">
        <v>0</v>
      </c>
    </row>
    <row r="1276">
      <c r="A1276" t="inlineStr">
        <is>
          <t>2월</t>
        </is>
      </c>
      <c r="B1276" t="inlineStr">
        <is>
          <t>7주차</t>
        </is>
      </c>
      <c r="C1276" t="inlineStr">
        <is>
          <t>EP</t>
        </is>
      </c>
      <c r="D1276" s="28" t="n">
        <v>46065</v>
      </c>
      <c r="E1276" t="inlineStr">
        <is>
          <t>현대EP</t>
        </is>
      </c>
      <c r="F1276" t="inlineStr">
        <is>
          <t>황석현</t>
        </is>
      </c>
      <c r="G1276" t="inlineStr">
        <is>
          <t>010-8515-8706</t>
        </is>
      </c>
      <c r="H1276" t="inlineStr">
        <is>
          <t>12나0619</t>
        </is>
      </c>
      <c r="I1276" t="n">
        <v>14700000</v>
      </c>
      <c r="J1276" t="n">
        <v>0.057</v>
      </c>
      <c r="K1276" t="n">
        <v>1.76</v>
      </c>
      <c r="L1276" t="n">
        <v>0.14</v>
      </c>
      <c r="M1276" t="n">
        <v>1.62</v>
      </c>
      <c r="P1276" t="inlineStr">
        <is>
          <t>정광호</t>
        </is>
      </c>
      <c r="Q1276" t="inlineStr">
        <is>
          <t>홈서비스 60개월</t>
        </is>
      </c>
      <c r="AB1276" t="inlineStr">
        <is>
          <t>홈서비스</t>
        </is>
      </c>
      <c r="AC1276" t="n">
        <v>258720</v>
      </c>
      <c r="AD1276" t="n">
        <v>20580</v>
      </c>
      <c r="AE1276" t="n">
        <v>238140</v>
      </c>
      <c r="AF1276" t="n">
        <v>235200</v>
      </c>
      <c r="AG1276" t="n">
        <v>20580</v>
      </c>
      <c r="AH1276" t="n">
        <v>214620</v>
      </c>
      <c r="AI1276" t="n">
        <v>0</v>
      </c>
    </row>
    <row r="1277">
      <c r="A1277" t="inlineStr">
        <is>
          <t>2월</t>
        </is>
      </c>
      <c r="B1277" t="inlineStr">
        <is>
          <t>7주차</t>
        </is>
      </c>
      <c r="C1277" t="inlineStr">
        <is>
          <t>EP</t>
        </is>
      </c>
      <c r="D1277" s="28" t="n">
        <v>46064</v>
      </c>
      <c r="E1277" t="inlineStr">
        <is>
          <t>현대EP_fast</t>
        </is>
      </c>
      <c r="F1277" t="inlineStr">
        <is>
          <t>손민아</t>
        </is>
      </c>
      <c r="G1277" t="inlineStr">
        <is>
          <t>010-4023-0476</t>
        </is>
      </c>
      <c r="H1277" t="inlineStr">
        <is>
          <t>54오0730</t>
        </is>
      </c>
      <c r="I1277" t="n">
        <v>11000000</v>
      </c>
      <c r="J1277" t="n">
        <v>0.141</v>
      </c>
      <c r="K1277" t="n">
        <v>1.76</v>
      </c>
      <c r="L1277" t="n">
        <v>0.4</v>
      </c>
      <c r="M1277" t="n">
        <v>1.36</v>
      </c>
      <c r="P1277" t="inlineStr">
        <is>
          <t>박소현</t>
        </is>
      </c>
      <c r="AB1277" t="inlineStr">
        <is>
          <t>엔카</t>
        </is>
      </c>
      <c r="AC1277" t="n">
        <v>193600</v>
      </c>
      <c r="AD1277" t="n">
        <v>44000</v>
      </c>
      <c r="AE1277" t="n">
        <v>149600</v>
      </c>
      <c r="AF1277" t="n">
        <v>176000</v>
      </c>
      <c r="AG1277" t="n">
        <v>44000</v>
      </c>
      <c r="AH1277" t="n">
        <v>132000</v>
      </c>
      <c r="AI1277" t="n">
        <v>0</v>
      </c>
    </row>
    <row r="1278">
      <c r="A1278" t="inlineStr">
        <is>
          <t>2월</t>
        </is>
      </c>
      <c r="B1278" t="inlineStr">
        <is>
          <t>9주차</t>
        </is>
      </c>
      <c r="C1278" t="inlineStr">
        <is>
          <t>EP</t>
        </is>
      </c>
      <c r="D1278" s="28" t="n">
        <v>46076</v>
      </c>
      <c r="E1278" t="inlineStr">
        <is>
          <t>현대EP_fast</t>
        </is>
      </c>
      <c r="F1278" t="inlineStr">
        <is>
          <t>임유하</t>
        </is>
      </c>
      <c r="G1278" t="inlineStr">
        <is>
          <t>010-4947-8540</t>
        </is>
      </c>
      <c r="H1278" t="inlineStr">
        <is>
          <t>313조2145</t>
        </is>
      </c>
      <c r="I1278" t="n">
        <v>29900000</v>
      </c>
      <c r="J1278" t="n">
        <v>0.076</v>
      </c>
      <c r="K1278" t="n">
        <v>1.76</v>
      </c>
      <c r="L1278" t="n">
        <v>0.14</v>
      </c>
      <c r="M1278" t="n">
        <v>1.62</v>
      </c>
      <c r="P1278" t="inlineStr">
        <is>
          <t>임대경</t>
        </is>
      </c>
      <c r="Q1278" t="inlineStr">
        <is>
          <t>홈서비스 60개월</t>
        </is>
      </c>
      <c r="AB1278" t="inlineStr">
        <is>
          <t>홈서비스</t>
        </is>
      </c>
      <c r="AC1278" t="n">
        <v>526240</v>
      </c>
      <c r="AD1278" t="n">
        <v>41860</v>
      </c>
      <c r="AE1278" t="n">
        <v>484380</v>
      </c>
      <c r="AF1278" t="n">
        <v>478400</v>
      </c>
      <c r="AG1278" t="n">
        <v>41860</v>
      </c>
      <c r="AH1278" t="n">
        <v>436540</v>
      </c>
      <c r="AI1278" t="n">
        <v>0</v>
      </c>
    </row>
    <row r="1279">
      <c r="A1279" t="inlineStr">
        <is>
          <t>2월</t>
        </is>
      </c>
      <c r="B1279" t="inlineStr">
        <is>
          <t>7주차</t>
        </is>
      </c>
      <c r="C1279" t="inlineStr">
        <is>
          <t>IM</t>
        </is>
      </c>
      <c r="D1279" s="28" t="n">
        <v>46065</v>
      </c>
      <c r="E1279" t="inlineStr">
        <is>
          <t>IM캐피탈</t>
        </is>
      </c>
      <c r="F1279" t="inlineStr">
        <is>
          <t>정연석</t>
        </is>
      </c>
      <c r="G1279" t="inlineStr">
        <is>
          <t>010-7702-2965</t>
        </is>
      </c>
      <c r="H1279" t="inlineStr">
        <is>
          <t>375거8897</t>
        </is>
      </c>
      <c r="I1279" t="n">
        <v>25000000</v>
      </c>
      <c r="J1279" t="n">
        <v>0.08599999999999999</v>
      </c>
      <c r="K1279" t="n">
        <v>1.21</v>
      </c>
      <c r="L1279" t="n">
        <v>0.4</v>
      </c>
      <c r="M1279" t="n">
        <v>0.8100000000000001</v>
      </c>
      <c r="P1279" t="inlineStr">
        <is>
          <t>구성완</t>
        </is>
      </c>
      <c r="AB1279" t="inlineStr">
        <is>
          <t>엔카</t>
        </is>
      </c>
      <c r="AC1279" t="n">
        <v>302500</v>
      </c>
      <c r="AD1279" t="n">
        <v>100000</v>
      </c>
      <c r="AE1279" t="n">
        <v>202500</v>
      </c>
      <c r="AF1279" t="n">
        <v>275000</v>
      </c>
      <c r="AG1279" t="n">
        <v>100000</v>
      </c>
      <c r="AH1279" t="n">
        <v>175000</v>
      </c>
      <c r="AI1279" t="n">
        <v>0</v>
      </c>
    </row>
    <row r="1280">
      <c r="A1280" t="inlineStr">
        <is>
          <t>2월</t>
        </is>
      </c>
      <c r="B1280" t="inlineStr">
        <is>
          <t>7주차</t>
        </is>
      </c>
      <c r="C1280" t="inlineStr">
        <is>
          <t>OR</t>
        </is>
      </c>
      <c r="D1280" s="28" t="n">
        <v>46062</v>
      </c>
      <c r="E1280" t="inlineStr">
        <is>
          <t>오릭스</t>
        </is>
      </c>
      <c r="F1280" t="inlineStr">
        <is>
          <t>LI LIDONG</t>
        </is>
      </c>
      <c r="G1280" t="inlineStr">
        <is>
          <t>010-9022-4144</t>
        </is>
      </c>
      <c r="H1280" t="inlineStr">
        <is>
          <t>101마2207</t>
        </is>
      </c>
      <c r="I1280" t="n">
        <v>19500000</v>
      </c>
      <c r="J1280" t="n">
        <v>0.054</v>
      </c>
      <c r="K1280" t="n">
        <v>1.65</v>
      </c>
      <c r="L1280" t="n">
        <v>0.4</v>
      </c>
      <c r="M1280" t="n">
        <v>1.25</v>
      </c>
      <c r="P1280" t="inlineStr">
        <is>
          <t>박현민</t>
        </is>
      </c>
      <c r="AB1280" t="inlineStr">
        <is>
          <t>엔카</t>
        </is>
      </c>
      <c r="AC1280" t="n">
        <v>321750</v>
      </c>
      <c r="AD1280" t="n">
        <v>78000</v>
      </c>
      <c r="AE1280" t="n">
        <v>243750</v>
      </c>
      <c r="AF1280" t="n">
        <v>292500</v>
      </c>
      <c r="AG1280" t="n">
        <v>78000</v>
      </c>
      <c r="AH1280" t="n">
        <v>214500</v>
      </c>
      <c r="AI1280" t="n">
        <v>0</v>
      </c>
    </row>
    <row r="1281">
      <c r="A1281" t="inlineStr">
        <is>
          <t>2월</t>
        </is>
      </c>
      <c r="B1281" t="inlineStr">
        <is>
          <t>9주차</t>
        </is>
      </c>
      <c r="C1281" t="inlineStr">
        <is>
          <t>EP</t>
        </is>
      </c>
      <c r="D1281" s="28" t="n">
        <v>46079</v>
      </c>
      <c r="E1281" t="inlineStr">
        <is>
          <t>현대EP</t>
        </is>
      </c>
      <c r="F1281" t="inlineStr">
        <is>
          <t>공수환</t>
        </is>
      </c>
      <c r="G1281" t="inlineStr">
        <is>
          <t>010-3923-8003</t>
        </is>
      </c>
      <c r="H1281" t="inlineStr">
        <is>
          <t>362버9927</t>
        </is>
      </c>
      <c r="I1281" t="n">
        <v>27400000</v>
      </c>
      <c r="J1281" t="n">
        <v>0.068</v>
      </c>
      <c r="K1281" t="n">
        <v>1.76</v>
      </c>
      <c r="L1281" t="n">
        <v>0.14</v>
      </c>
      <c r="M1281" t="n">
        <v>1.62</v>
      </c>
      <c r="P1281" t="inlineStr">
        <is>
          <t>최형주</t>
        </is>
      </c>
      <c r="Q1281" t="inlineStr">
        <is>
          <t>홈서비스 60개월</t>
        </is>
      </c>
      <c r="AB1281" t="inlineStr">
        <is>
          <t>홈서비스</t>
        </is>
      </c>
      <c r="AC1281" t="n">
        <v>482240</v>
      </c>
      <c r="AD1281" t="n">
        <v>38360</v>
      </c>
      <c r="AE1281" t="n">
        <v>443880</v>
      </c>
      <c r="AF1281" t="n">
        <v>438400</v>
      </c>
      <c r="AG1281" t="n">
        <v>38360</v>
      </c>
      <c r="AH1281" t="n">
        <v>400040</v>
      </c>
    </row>
    <row r="1282">
      <c r="A1282" t="inlineStr">
        <is>
          <t>2월</t>
        </is>
      </c>
      <c r="B1282" t="inlineStr">
        <is>
          <t>9주차</t>
        </is>
      </c>
      <c r="C1282" t="inlineStr">
        <is>
          <t>IM</t>
        </is>
      </c>
      <c r="D1282" s="28" t="n">
        <v>46078</v>
      </c>
      <c r="E1282" t="inlineStr">
        <is>
          <t>IM캐피탈</t>
        </is>
      </c>
      <c r="F1282" t="inlineStr">
        <is>
          <t>김영미</t>
        </is>
      </c>
      <c r="G1282" t="inlineStr">
        <is>
          <t>010-2611-6859</t>
        </is>
      </c>
      <c r="H1282" t="inlineStr">
        <is>
          <t>126우8734</t>
        </is>
      </c>
      <c r="I1282" t="n">
        <v>10000000</v>
      </c>
      <c r="J1282" t="n">
        <v>0.039</v>
      </c>
      <c r="K1282" t="n">
        <v>1.1</v>
      </c>
      <c r="L1282" t="n">
        <v>0.14</v>
      </c>
      <c r="M1282" t="n">
        <v>0.96</v>
      </c>
      <c r="P1282" t="inlineStr">
        <is>
          <t>김수연</t>
        </is>
      </c>
      <c r="Q1282" t="inlineStr">
        <is>
          <t>홈서비스 48개월</t>
        </is>
      </c>
      <c r="AB1282" t="inlineStr">
        <is>
          <t>홈서비스</t>
        </is>
      </c>
      <c r="AC1282" t="n">
        <v>110000</v>
      </c>
      <c r="AD1282" t="n">
        <v>14000</v>
      </c>
      <c r="AE1282" t="n">
        <v>96000</v>
      </c>
      <c r="AF1282" t="n">
        <v>100000</v>
      </c>
      <c r="AG1282" t="n">
        <v>14000</v>
      </c>
      <c r="AH1282" t="n">
        <v>86000</v>
      </c>
      <c r="AI1282" t="n">
        <v>0</v>
      </c>
    </row>
    <row r="1283">
      <c r="A1283" t="inlineStr">
        <is>
          <t>2월</t>
        </is>
      </c>
      <c r="B1283" t="inlineStr">
        <is>
          <t>7주차</t>
        </is>
      </c>
      <c r="C1283" t="inlineStr">
        <is>
          <t>IM</t>
        </is>
      </c>
      <c r="D1283" s="28" t="n">
        <v>46065</v>
      </c>
      <c r="E1283" t="inlineStr">
        <is>
          <t>IM캐피탈</t>
        </is>
      </c>
      <c r="F1283" t="inlineStr">
        <is>
          <t>홍창성</t>
        </is>
      </c>
      <c r="G1283" t="inlineStr">
        <is>
          <t>010-9137-6423</t>
        </is>
      </c>
      <c r="H1283" t="inlineStr">
        <is>
          <t>61더1737</t>
        </is>
      </c>
      <c r="I1283" t="n">
        <v>49900000</v>
      </c>
      <c r="J1283" t="n">
        <v>0.049</v>
      </c>
      <c r="K1283" t="n">
        <v>1.1</v>
      </c>
      <c r="L1283" t="n">
        <v>0.4</v>
      </c>
      <c r="M1283" t="n">
        <v>0.7</v>
      </c>
      <c r="P1283" t="inlineStr">
        <is>
          <t>박소현</t>
        </is>
      </c>
      <c r="AB1283" t="inlineStr">
        <is>
          <t>엔카</t>
        </is>
      </c>
      <c r="AC1283" t="n">
        <v>548900</v>
      </c>
      <c r="AD1283" t="n">
        <v>199600</v>
      </c>
      <c r="AE1283" t="n">
        <v>349300</v>
      </c>
      <c r="AF1283" t="n">
        <v>499000</v>
      </c>
      <c r="AG1283" t="n">
        <v>199600</v>
      </c>
      <c r="AH1283" t="n">
        <v>299400</v>
      </c>
    </row>
    <row r="1284">
      <c r="A1284" t="inlineStr">
        <is>
          <t>2월</t>
        </is>
      </c>
      <c r="B1284" t="inlineStr">
        <is>
          <t>8주차</t>
        </is>
      </c>
      <c r="C1284" t="inlineStr">
        <is>
          <t>IM</t>
        </is>
      </c>
      <c r="D1284" s="28" t="n">
        <v>46073</v>
      </c>
      <c r="E1284" t="inlineStr">
        <is>
          <t>IM캐피탈</t>
        </is>
      </c>
      <c r="F1284" t="inlineStr">
        <is>
          <t>김태인</t>
        </is>
      </c>
      <c r="G1284" t="inlineStr">
        <is>
          <t>010-8304-9195</t>
        </is>
      </c>
      <c r="H1284" t="inlineStr">
        <is>
          <t>168버3797</t>
        </is>
      </c>
      <c r="I1284" t="n">
        <v>12000000</v>
      </c>
      <c r="J1284" t="n">
        <v>0.056</v>
      </c>
      <c r="K1284" t="n">
        <v>1.1</v>
      </c>
      <c r="L1284" t="n">
        <v>0.14</v>
      </c>
      <c r="M1284" t="n">
        <v>0.96</v>
      </c>
      <c r="P1284" t="inlineStr">
        <is>
          <t>정하은</t>
        </is>
      </c>
      <c r="Q1284" t="inlineStr">
        <is>
          <t>홈서비스 60개월</t>
        </is>
      </c>
      <c r="AB1284" t="inlineStr">
        <is>
          <t>홈서비스</t>
        </is>
      </c>
      <c r="AC1284" t="n">
        <v>132000</v>
      </c>
      <c r="AD1284" t="n">
        <v>16800</v>
      </c>
      <c r="AE1284" t="n">
        <v>115200</v>
      </c>
      <c r="AF1284" t="n">
        <v>120000</v>
      </c>
      <c r="AG1284" t="n">
        <v>16800</v>
      </c>
      <c r="AH1284" t="n">
        <v>103200</v>
      </c>
    </row>
    <row r="1285">
      <c r="A1285" t="inlineStr">
        <is>
          <t>2월</t>
        </is>
      </c>
      <c r="B1285" t="inlineStr">
        <is>
          <t>7주차</t>
        </is>
      </c>
      <c r="C1285" t="inlineStr">
        <is>
          <t>IM</t>
        </is>
      </c>
      <c r="D1285" s="28" t="n">
        <v>46065</v>
      </c>
      <c r="E1285" t="inlineStr">
        <is>
          <t>IM캐피탈</t>
        </is>
      </c>
      <c r="F1285" t="inlineStr">
        <is>
          <t>김주민</t>
        </is>
      </c>
      <c r="G1285" t="inlineStr">
        <is>
          <t>010-3111-7745</t>
        </is>
      </c>
      <c r="H1285" t="inlineStr">
        <is>
          <t>396머4293</t>
        </is>
      </c>
      <c r="I1285" t="n">
        <v>20200000</v>
      </c>
      <c r="J1285" t="n">
        <v>0.056</v>
      </c>
      <c r="K1285" t="n">
        <v>1.1</v>
      </c>
      <c r="L1285" t="n">
        <v>0.14</v>
      </c>
      <c r="M1285" t="n">
        <v>0.96</v>
      </c>
      <c r="P1285" t="inlineStr">
        <is>
          <t>황채이</t>
        </is>
      </c>
      <c r="Q1285" t="inlineStr">
        <is>
          <t>홈서비스 72개월</t>
        </is>
      </c>
      <c r="AB1285" t="inlineStr">
        <is>
          <t>홈서비스</t>
        </is>
      </c>
      <c r="AC1285" t="n">
        <v>222200</v>
      </c>
      <c r="AD1285" t="n">
        <v>28280</v>
      </c>
      <c r="AE1285" t="n">
        <v>193920</v>
      </c>
      <c r="AF1285" t="n">
        <v>202000</v>
      </c>
      <c r="AG1285" t="n">
        <v>28280</v>
      </c>
      <c r="AH1285" t="n">
        <v>173720</v>
      </c>
      <c r="AI1285" t="n">
        <v>0</v>
      </c>
    </row>
    <row r="1286">
      <c r="A1286" t="inlineStr">
        <is>
          <t>2월</t>
        </is>
      </c>
      <c r="B1286" t="inlineStr">
        <is>
          <t>6주차</t>
        </is>
      </c>
      <c r="C1286" t="inlineStr">
        <is>
          <t>WC</t>
        </is>
      </c>
      <c r="D1286" s="28" t="n">
        <v>46055</v>
      </c>
      <c r="E1286" t="inlineStr">
        <is>
          <t>웰컴저축은행</t>
        </is>
      </c>
      <c r="F1286" t="inlineStr">
        <is>
          <t>김택수</t>
        </is>
      </c>
      <c r="G1286" t="inlineStr">
        <is>
          <t xml:space="preserve">010-2340-0534 </t>
        </is>
      </c>
      <c r="H1286" t="inlineStr">
        <is>
          <t>65무1650</t>
        </is>
      </c>
      <c r="I1286" t="n">
        <v>5900000</v>
      </c>
      <c r="J1286" t="n">
        <v>0.099</v>
      </c>
      <c r="K1286" t="n">
        <v>0</v>
      </c>
      <c r="L1286" t="n">
        <v>0.14</v>
      </c>
      <c r="M1286" t="n">
        <v>-0.14</v>
      </c>
      <c r="P1286" t="inlineStr">
        <is>
          <t>정광호</t>
        </is>
      </c>
      <c r="Q1286" t="inlineStr">
        <is>
          <t>홈서비스 36개월</t>
        </is>
      </c>
      <c r="AB1286" t="inlineStr">
        <is>
          <t>홈서비스</t>
        </is>
      </c>
      <c r="AC1286" t="n">
        <v>0</v>
      </c>
      <c r="AD1286" t="n">
        <v>8260</v>
      </c>
      <c r="AE1286" t="n">
        <v>-8260</v>
      </c>
      <c r="AF1286" t="n">
        <v>0</v>
      </c>
      <c r="AG1286" t="n">
        <v>8260</v>
      </c>
      <c r="AH1286" t="n">
        <v>-8260</v>
      </c>
      <c r="AI1286" t="n">
        <v>0</v>
      </c>
    </row>
    <row r="1287">
      <c r="A1287" t="inlineStr">
        <is>
          <t>2월</t>
        </is>
      </c>
      <c r="B1287" t="inlineStr">
        <is>
          <t>6주차</t>
        </is>
      </c>
      <c r="C1287" t="inlineStr">
        <is>
          <t>EP</t>
        </is>
      </c>
      <c r="D1287" s="28" t="n">
        <v>46055</v>
      </c>
      <c r="E1287" t="inlineStr">
        <is>
          <t>현대EP</t>
        </is>
      </c>
      <c r="F1287" t="inlineStr">
        <is>
          <t>장완식</t>
        </is>
      </c>
      <c r="G1287" t="inlineStr">
        <is>
          <t>010-7246-4288</t>
        </is>
      </c>
      <c r="H1287" t="inlineStr">
        <is>
          <t>394도3768</t>
        </is>
      </c>
      <c r="I1287" t="n">
        <v>20000000</v>
      </c>
      <c r="J1287" t="n">
        <v>0.125</v>
      </c>
      <c r="K1287" t="n">
        <v>1.76</v>
      </c>
      <c r="L1287" t="n">
        <v>0.14</v>
      </c>
      <c r="M1287" t="n">
        <v>1.62</v>
      </c>
      <c r="P1287" t="inlineStr">
        <is>
          <t>정광호</t>
        </is>
      </c>
      <c r="Q1287" t="inlineStr">
        <is>
          <t>홈서비스 48개월</t>
        </is>
      </c>
      <c r="AB1287" t="inlineStr">
        <is>
          <t>홈서비스</t>
        </is>
      </c>
      <c r="AC1287" t="n">
        <v>352000</v>
      </c>
      <c r="AD1287" t="n">
        <v>28000</v>
      </c>
      <c r="AE1287" t="n">
        <v>324000</v>
      </c>
      <c r="AF1287" t="n">
        <v>320000</v>
      </c>
      <c r="AG1287" t="n">
        <v>28000</v>
      </c>
      <c r="AH1287" t="n">
        <v>292000</v>
      </c>
    </row>
    <row r="1288">
      <c r="A1288" t="inlineStr">
        <is>
          <t>2월</t>
        </is>
      </c>
      <c r="B1288" t="inlineStr">
        <is>
          <t>6주차</t>
        </is>
      </c>
      <c r="C1288" t="inlineStr">
        <is>
          <t>EP</t>
        </is>
      </c>
      <c r="D1288" s="28" t="n">
        <v>46057</v>
      </c>
      <c r="E1288" t="inlineStr">
        <is>
          <t>현대EP_fast</t>
        </is>
      </c>
      <c r="F1288" t="inlineStr">
        <is>
          <t>손주형</t>
        </is>
      </c>
      <c r="G1288" t="inlineStr">
        <is>
          <t>010-9733-1286</t>
        </is>
      </c>
      <c r="H1288" t="inlineStr">
        <is>
          <t>65너6790</t>
        </is>
      </c>
      <c r="I1288" t="n">
        <v>11600000</v>
      </c>
      <c r="J1288" t="n">
        <v>0.067</v>
      </c>
      <c r="K1288" t="n">
        <v>1.21</v>
      </c>
      <c r="L1288" t="n">
        <v>0.14</v>
      </c>
      <c r="M1288" t="n">
        <v>1.07</v>
      </c>
      <c r="P1288" t="inlineStr">
        <is>
          <t>최형주</t>
        </is>
      </c>
      <c r="Q1288" t="inlineStr">
        <is>
          <t>홈서비스 60개월</t>
        </is>
      </c>
      <c r="AB1288" t="inlineStr">
        <is>
          <t>홈서비스</t>
        </is>
      </c>
      <c r="AC1288" t="n">
        <v>140360</v>
      </c>
      <c r="AD1288" t="n">
        <v>16240</v>
      </c>
      <c r="AE1288" t="n">
        <v>124120</v>
      </c>
      <c r="AF1288" t="n">
        <v>127600</v>
      </c>
      <c r="AG1288" t="n">
        <v>16240</v>
      </c>
      <c r="AH1288" t="n">
        <v>111360</v>
      </c>
    </row>
    <row r="1289">
      <c r="A1289" t="inlineStr">
        <is>
          <t>2월</t>
        </is>
      </c>
      <c r="B1289" t="inlineStr">
        <is>
          <t>6주차</t>
        </is>
      </c>
      <c r="C1289" t="inlineStr">
        <is>
          <t>IM</t>
        </is>
      </c>
      <c r="D1289" s="28" t="n">
        <v>46058</v>
      </c>
      <c r="E1289" t="inlineStr">
        <is>
          <t>IM캐피탈</t>
        </is>
      </c>
      <c r="F1289" t="inlineStr">
        <is>
          <t>김용수</t>
        </is>
      </c>
      <c r="G1289" t="inlineStr">
        <is>
          <t>010-6348-5577</t>
        </is>
      </c>
      <c r="H1289" t="inlineStr">
        <is>
          <t>183도7377</t>
        </is>
      </c>
      <c r="I1289" t="n">
        <v>8900000</v>
      </c>
      <c r="J1289" t="n">
        <v>0.089</v>
      </c>
      <c r="K1289" t="n">
        <v>1.1</v>
      </c>
      <c r="L1289" t="n">
        <v>0.4</v>
      </c>
      <c r="M1289" t="n">
        <v>0.7</v>
      </c>
      <c r="P1289" t="inlineStr">
        <is>
          <t>임대경</t>
        </is>
      </c>
      <c r="Q1289" t="inlineStr">
        <is>
          <t>부대비용 추가진행</t>
        </is>
      </c>
      <c r="AB1289" t="inlineStr">
        <is>
          <t>엔카</t>
        </is>
      </c>
      <c r="AC1289" t="n">
        <v>97900</v>
      </c>
      <c r="AD1289" t="n">
        <v>35600</v>
      </c>
      <c r="AE1289" t="n">
        <v>62300</v>
      </c>
      <c r="AF1289" t="n">
        <v>89000</v>
      </c>
      <c r="AG1289" t="n">
        <v>35600</v>
      </c>
      <c r="AH1289" t="n">
        <v>53400</v>
      </c>
    </row>
    <row r="1290">
      <c r="A1290" t="inlineStr">
        <is>
          <t>2월</t>
        </is>
      </c>
      <c r="B1290" t="inlineStr">
        <is>
          <t>6주차</t>
        </is>
      </c>
      <c r="C1290" t="inlineStr">
        <is>
          <t>OR</t>
        </is>
      </c>
      <c r="D1290" s="28" t="n">
        <v>46059</v>
      </c>
      <c r="E1290" t="inlineStr">
        <is>
          <t>오릭스</t>
        </is>
      </c>
      <c r="F1290" t="inlineStr">
        <is>
          <t>김영열</t>
        </is>
      </c>
      <c r="G1290" t="n">
        <v>1076132766</v>
      </c>
      <c r="H1290" t="inlineStr">
        <is>
          <t>364버6973</t>
        </is>
      </c>
      <c r="I1290" t="n">
        <v>19300000</v>
      </c>
      <c r="J1290" t="n">
        <v>0.055</v>
      </c>
      <c r="K1290" t="n">
        <v>1.65</v>
      </c>
      <c r="L1290" t="n">
        <v>0.14</v>
      </c>
      <c r="M1290" t="n">
        <v>1.51</v>
      </c>
      <c r="P1290" t="inlineStr">
        <is>
          <t>김나윤</t>
        </is>
      </c>
      <c r="Q1290" t="inlineStr">
        <is>
          <t>홈서비스 60개월</t>
        </is>
      </c>
      <c r="AB1290" t="inlineStr">
        <is>
          <t>홈서비스</t>
        </is>
      </c>
      <c r="AC1290" t="n">
        <v>318450</v>
      </c>
      <c r="AD1290" t="n">
        <v>27020</v>
      </c>
      <c r="AE1290" t="n">
        <v>291430</v>
      </c>
      <c r="AF1290" t="n">
        <v>289500</v>
      </c>
      <c r="AG1290" t="n">
        <v>27020</v>
      </c>
      <c r="AH1290" t="n">
        <v>262480</v>
      </c>
    </row>
    <row r="1291">
      <c r="A1291" t="inlineStr">
        <is>
          <t>2월</t>
        </is>
      </c>
      <c r="B1291" t="inlineStr">
        <is>
          <t>6주차</t>
        </is>
      </c>
      <c r="C1291" t="inlineStr">
        <is>
          <t>EP</t>
        </is>
      </c>
      <c r="D1291" s="28" t="n">
        <v>46058</v>
      </c>
      <c r="E1291" t="inlineStr">
        <is>
          <t>현대EP_fast</t>
        </is>
      </c>
      <c r="F1291" t="inlineStr">
        <is>
          <t>김학영</t>
        </is>
      </c>
      <c r="G1291" t="inlineStr">
        <is>
          <t>010-6373-7225</t>
        </is>
      </c>
      <c r="H1291" t="inlineStr">
        <is>
          <t>18두0571</t>
        </is>
      </c>
      <c r="I1291" t="n">
        <v>-4000000</v>
      </c>
      <c r="J1291" t="n">
        <v>0.08500000000000001</v>
      </c>
      <c r="K1291" t="n">
        <v>1.76</v>
      </c>
      <c r="L1291" t="n">
        <v>0.14</v>
      </c>
      <c r="M1291" t="n">
        <v>1.62</v>
      </c>
      <c r="P1291" t="inlineStr">
        <is>
          <t>김수연</t>
        </is>
      </c>
      <c r="Q1291" t="inlineStr">
        <is>
          <t>홈서비스 36개월</t>
        </is>
      </c>
      <c r="AB1291" t="inlineStr">
        <is>
          <t>홈서비스</t>
        </is>
      </c>
      <c r="AC1291" t="n">
        <v>-70400</v>
      </c>
      <c r="AD1291" t="n">
        <v>-5600</v>
      </c>
      <c r="AE1291" t="n">
        <v>-64800</v>
      </c>
      <c r="AF1291" t="n">
        <v>-64000</v>
      </c>
      <c r="AG1291" t="n">
        <v>-5600</v>
      </c>
      <c r="AH1291" t="n">
        <v>-58400</v>
      </c>
      <c r="AI1291" t="n">
        <v>0</v>
      </c>
    </row>
    <row r="1292">
      <c r="A1292" t="inlineStr">
        <is>
          <t>2월</t>
        </is>
      </c>
      <c r="B1292" t="inlineStr">
        <is>
          <t>6주차</t>
        </is>
      </c>
      <c r="C1292" t="inlineStr">
        <is>
          <t>EP</t>
        </is>
      </c>
      <c r="D1292" s="28" t="n">
        <v>46055</v>
      </c>
      <c r="E1292" t="inlineStr">
        <is>
          <t>현대EP_fast</t>
        </is>
      </c>
      <c r="F1292" t="inlineStr">
        <is>
          <t>김병우</t>
        </is>
      </c>
      <c r="G1292" t="inlineStr">
        <is>
          <t>010-9472-9426</t>
        </is>
      </c>
      <c r="H1292" t="inlineStr">
        <is>
          <t>15저2940</t>
        </is>
      </c>
      <c r="I1292" t="n">
        <v>23100000</v>
      </c>
      <c r="J1292" t="n">
        <v>0.082</v>
      </c>
      <c r="K1292" t="n">
        <v>1.21</v>
      </c>
      <c r="L1292" t="n">
        <v>0.14</v>
      </c>
      <c r="M1292" t="n">
        <v>1.07</v>
      </c>
      <c r="P1292" t="inlineStr">
        <is>
          <t>황채이</t>
        </is>
      </c>
      <c r="Q1292" t="inlineStr">
        <is>
          <t>홈서비스 60개월</t>
        </is>
      </c>
      <c r="AB1292" t="inlineStr">
        <is>
          <t>홈서비스</t>
        </is>
      </c>
      <c r="AC1292" t="n">
        <v>279510</v>
      </c>
      <c r="AD1292" t="n">
        <v>32340</v>
      </c>
      <c r="AE1292" t="n">
        <v>247170</v>
      </c>
      <c r="AF1292" t="n">
        <v>254100</v>
      </c>
      <c r="AG1292" t="n">
        <v>32340</v>
      </c>
      <c r="AH1292" t="n">
        <v>221760</v>
      </c>
    </row>
    <row r="1293">
      <c r="A1293" t="inlineStr">
        <is>
          <t>2월</t>
        </is>
      </c>
      <c r="B1293" t="inlineStr">
        <is>
          <t>6주차</t>
        </is>
      </c>
      <c r="C1293" t="inlineStr">
        <is>
          <t>IM</t>
        </is>
      </c>
      <c r="D1293" s="28" t="n">
        <v>46057</v>
      </c>
      <c r="E1293" t="inlineStr">
        <is>
          <t>IM캐피탈</t>
        </is>
      </c>
      <c r="F1293" t="inlineStr">
        <is>
          <t>성주환</t>
        </is>
      </c>
      <c r="G1293" t="inlineStr">
        <is>
          <t>010-3120-9458</t>
        </is>
      </c>
      <c r="H1293" t="inlineStr">
        <is>
          <t>330우6124</t>
        </is>
      </c>
      <c r="I1293" t="n">
        <v>50000000</v>
      </c>
      <c r="J1293" t="n">
        <v>0.039</v>
      </c>
      <c r="K1293" t="n">
        <v>1.21</v>
      </c>
      <c r="L1293" t="n">
        <v>0.4</v>
      </c>
      <c r="M1293" t="n">
        <v>0.8100000000000001</v>
      </c>
      <c r="P1293" t="inlineStr">
        <is>
          <t>임대경</t>
        </is>
      </c>
      <c r="AB1293" t="inlineStr">
        <is>
          <t>엔카</t>
        </is>
      </c>
      <c r="AC1293" t="n">
        <v>605000</v>
      </c>
      <c r="AD1293" t="n">
        <v>200000</v>
      </c>
      <c r="AE1293" t="n">
        <v>405000</v>
      </c>
      <c r="AF1293" t="n">
        <v>550000</v>
      </c>
      <c r="AG1293" t="n">
        <v>200000</v>
      </c>
      <c r="AH1293" t="n">
        <v>350000</v>
      </c>
      <c r="AI1293" t="n">
        <v>0</v>
      </c>
    </row>
    <row r="1294">
      <c r="A1294" t="inlineStr">
        <is>
          <t>2월</t>
        </is>
      </c>
      <c r="B1294" t="inlineStr">
        <is>
          <t>6주차</t>
        </is>
      </c>
      <c r="C1294" t="inlineStr">
        <is>
          <t>EP</t>
        </is>
      </c>
      <c r="D1294" s="28" t="n">
        <v>46059</v>
      </c>
      <c r="E1294" t="inlineStr">
        <is>
          <t>현대EP_fast</t>
        </is>
      </c>
      <c r="F1294" t="inlineStr">
        <is>
          <t>박철형</t>
        </is>
      </c>
      <c r="G1294" t="inlineStr">
        <is>
          <t>010-2620-5282</t>
        </is>
      </c>
      <c r="H1294" t="inlineStr">
        <is>
          <t>19두9786</t>
        </is>
      </c>
      <c r="I1294" t="n">
        <v>6800000</v>
      </c>
      <c r="J1294" t="n">
        <v>0.068</v>
      </c>
      <c r="K1294" t="n">
        <v>1.76</v>
      </c>
      <c r="L1294" t="n">
        <v>0.14</v>
      </c>
      <c r="M1294" t="n">
        <v>1.62</v>
      </c>
      <c r="P1294" t="inlineStr">
        <is>
          <t>김수연</t>
        </is>
      </c>
      <c r="Q1294" t="inlineStr">
        <is>
          <t>홈서비스60개월</t>
        </is>
      </c>
      <c r="AB1294" t="inlineStr">
        <is>
          <t>홈서비스</t>
        </is>
      </c>
      <c r="AC1294" t="n">
        <v>119680</v>
      </c>
      <c r="AD1294" t="n">
        <v>9520</v>
      </c>
      <c r="AE1294" t="n">
        <v>110160</v>
      </c>
      <c r="AF1294" t="n">
        <v>108800</v>
      </c>
      <c r="AG1294" t="n">
        <v>9520</v>
      </c>
      <c r="AH1294" t="n">
        <v>99280</v>
      </c>
    </row>
    <row r="1295">
      <c r="A1295" t="inlineStr">
        <is>
          <t>2월</t>
        </is>
      </c>
      <c r="B1295" t="inlineStr">
        <is>
          <t>6주차</t>
        </is>
      </c>
      <c r="C1295" t="inlineStr">
        <is>
          <t>EP</t>
        </is>
      </c>
      <c r="D1295" s="28" t="n">
        <v>46059</v>
      </c>
      <c r="E1295" t="inlineStr">
        <is>
          <t>현대EP_fast</t>
        </is>
      </c>
      <c r="F1295" t="inlineStr">
        <is>
          <t>김동민</t>
        </is>
      </c>
      <c r="G1295" t="inlineStr">
        <is>
          <t>010-3370-7466</t>
        </is>
      </c>
      <c r="H1295" t="inlineStr">
        <is>
          <t>173다5121</t>
        </is>
      </c>
      <c r="I1295" t="n">
        <v>13900000</v>
      </c>
      <c r="J1295" t="n">
        <v>0.073</v>
      </c>
      <c r="K1295" t="n">
        <v>1.76</v>
      </c>
      <c r="L1295" t="n">
        <v>0.14</v>
      </c>
      <c r="M1295" t="n">
        <v>1.62</v>
      </c>
      <c r="P1295" t="inlineStr">
        <is>
          <t>최형주</t>
        </is>
      </c>
      <c r="Q1295" t="inlineStr">
        <is>
          <t>홈서비스 24개월</t>
        </is>
      </c>
      <c r="AB1295" t="inlineStr">
        <is>
          <t>홈서비스</t>
        </is>
      </c>
      <c r="AC1295" t="n">
        <v>244640</v>
      </c>
      <c r="AD1295" t="n">
        <v>19460</v>
      </c>
      <c r="AE1295" t="n">
        <v>225180</v>
      </c>
      <c r="AF1295" t="n">
        <v>222400</v>
      </c>
      <c r="AG1295" t="n">
        <v>19460</v>
      </c>
      <c r="AH1295" t="n">
        <v>202940</v>
      </c>
    </row>
    <row r="1296">
      <c r="A1296" t="inlineStr">
        <is>
          <t>2월</t>
        </is>
      </c>
      <c r="B1296" t="inlineStr">
        <is>
          <t>7주차</t>
        </is>
      </c>
      <c r="C1296" t="inlineStr">
        <is>
          <t>WC</t>
        </is>
      </c>
      <c r="D1296" s="28" t="n">
        <v>46062</v>
      </c>
      <c r="E1296" t="inlineStr">
        <is>
          <t>웰컴저축은행</t>
        </is>
      </c>
      <c r="F1296" t="inlineStr">
        <is>
          <t>안현</t>
        </is>
      </c>
      <c r="G1296" t="inlineStr">
        <is>
          <t>010-7735-8983</t>
        </is>
      </c>
      <c r="H1296" t="inlineStr">
        <is>
          <t>43누0655</t>
        </is>
      </c>
      <c r="I1296" t="n">
        <v>13500000</v>
      </c>
      <c r="J1296" t="n">
        <v>0.159</v>
      </c>
      <c r="K1296" t="n">
        <v>0</v>
      </c>
      <c r="L1296" t="n">
        <v>0.14</v>
      </c>
      <c r="M1296" t="n">
        <v>-0.14</v>
      </c>
      <c r="P1296" t="inlineStr">
        <is>
          <t>김수연</t>
        </is>
      </c>
      <c r="Q1296" t="inlineStr">
        <is>
          <t>홈서비스 60개월</t>
        </is>
      </c>
      <c r="AB1296" t="inlineStr">
        <is>
          <t>홈서비스</t>
        </is>
      </c>
      <c r="AC1296" t="n">
        <v>0</v>
      </c>
      <c r="AD1296" t="n">
        <v>18900</v>
      </c>
      <c r="AE1296" t="n">
        <v>-18900</v>
      </c>
      <c r="AF1296" t="n">
        <v>0</v>
      </c>
      <c r="AG1296" t="n">
        <v>18900</v>
      </c>
      <c r="AH1296" t="n">
        <v>-18900</v>
      </c>
      <c r="AI1296" t="n">
        <v>0</v>
      </c>
    </row>
    <row r="1297">
      <c r="A1297" t="inlineStr">
        <is>
          <t>2월</t>
        </is>
      </c>
      <c r="B1297" t="inlineStr">
        <is>
          <t>7주차</t>
        </is>
      </c>
      <c r="C1297" t="inlineStr">
        <is>
          <t>EP</t>
        </is>
      </c>
      <c r="D1297" s="28" t="n">
        <v>46065</v>
      </c>
      <c r="E1297" t="inlineStr">
        <is>
          <t>제이비EP</t>
        </is>
      </c>
      <c r="F1297" t="inlineStr">
        <is>
          <t>HANDIRAM PEJJALAGE DASUN MADHUSANKA</t>
        </is>
      </c>
      <c r="G1297" t="inlineStr">
        <is>
          <t>010-9788-9405</t>
        </is>
      </c>
      <c r="H1297" t="inlineStr">
        <is>
          <t>35구5286</t>
        </is>
      </c>
      <c r="I1297" t="n">
        <v>3000000</v>
      </c>
      <c r="J1297" t="n">
        <v>0.077</v>
      </c>
      <c r="K1297" t="n">
        <v>1.65</v>
      </c>
      <c r="L1297" t="n">
        <v>0.4</v>
      </c>
      <c r="M1297" t="n">
        <v>1.25</v>
      </c>
      <c r="P1297" t="inlineStr">
        <is>
          <t>박소현</t>
        </is>
      </c>
      <c r="AB1297" t="inlineStr">
        <is>
          <t>엔카</t>
        </is>
      </c>
      <c r="AC1297" t="n">
        <v>49500</v>
      </c>
      <c r="AD1297" t="n">
        <v>12000</v>
      </c>
      <c r="AE1297" t="n">
        <v>37500</v>
      </c>
      <c r="AF1297" t="n">
        <v>45000</v>
      </c>
      <c r="AG1297" t="n">
        <v>12000</v>
      </c>
      <c r="AH1297" t="n">
        <v>33000</v>
      </c>
      <c r="AI1297" t="n">
        <v>0</v>
      </c>
    </row>
    <row r="1298">
      <c r="A1298" t="inlineStr">
        <is>
          <t>2월</t>
        </is>
      </c>
      <c r="B1298" t="inlineStr">
        <is>
          <t>9주차</t>
        </is>
      </c>
      <c r="C1298" t="inlineStr">
        <is>
          <t>EP</t>
        </is>
      </c>
      <c r="D1298" s="28" t="n">
        <v>46077</v>
      </c>
      <c r="E1298" t="inlineStr">
        <is>
          <t>BNKEP</t>
        </is>
      </c>
      <c r="F1298" t="inlineStr">
        <is>
          <t>장미화</t>
        </is>
      </c>
      <c r="G1298" t="inlineStr">
        <is>
          <t>010-3748-0128</t>
        </is>
      </c>
      <c r="H1298" t="inlineStr">
        <is>
          <t>31노7396</t>
        </is>
      </c>
      <c r="I1298" t="n">
        <v>-3200000</v>
      </c>
      <c r="J1298" t="n">
        <v>0.067</v>
      </c>
      <c r="K1298" t="n">
        <v>1.21</v>
      </c>
      <c r="L1298" t="n">
        <v>0.14</v>
      </c>
      <c r="M1298" t="n">
        <v>1.07</v>
      </c>
      <c r="P1298" t="inlineStr">
        <is>
          <t>김나윤</t>
        </is>
      </c>
      <c r="Q1298" t="inlineStr">
        <is>
          <t>홈서비스 60개월 / *철회 260303</t>
        </is>
      </c>
      <c r="AB1298" t="inlineStr">
        <is>
          <t>홈서비스</t>
        </is>
      </c>
      <c r="AC1298" t="n">
        <v>-38720</v>
      </c>
      <c r="AD1298" t="n">
        <v>-4480</v>
      </c>
      <c r="AE1298" t="n">
        <v>-34240</v>
      </c>
      <c r="AF1298" t="n">
        <v>-35200</v>
      </c>
      <c r="AG1298" t="n">
        <v>-4480</v>
      </c>
      <c r="AH1298" t="n">
        <v>-30720</v>
      </c>
      <c r="AK1298" t="inlineStr">
        <is>
          <t>대출철회</t>
        </is>
      </c>
    </row>
    <row r="1299">
      <c r="A1299" t="inlineStr">
        <is>
          <t>2월</t>
        </is>
      </c>
      <c r="B1299" t="inlineStr">
        <is>
          <t>7주차</t>
        </is>
      </c>
      <c r="C1299" t="inlineStr">
        <is>
          <t>EP</t>
        </is>
      </c>
      <c r="D1299" s="28" t="n">
        <v>46064</v>
      </c>
      <c r="E1299" t="inlineStr">
        <is>
          <t>현대EP_fast</t>
        </is>
      </c>
      <c r="F1299" t="inlineStr">
        <is>
          <t>김영수</t>
        </is>
      </c>
      <c r="G1299" t="inlineStr">
        <is>
          <t>010-4842-2363</t>
        </is>
      </c>
      <c r="H1299" t="inlineStr">
        <is>
          <t>58고2043</t>
        </is>
      </c>
      <c r="I1299" t="n">
        <v>21700000</v>
      </c>
      <c r="J1299" t="n">
        <v>0.11</v>
      </c>
      <c r="K1299" t="n">
        <v>1.76</v>
      </c>
      <c r="L1299" t="n">
        <v>0.14</v>
      </c>
      <c r="M1299" t="n">
        <v>1.62</v>
      </c>
      <c r="P1299" t="inlineStr">
        <is>
          <t>장진경</t>
        </is>
      </c>
      <c r="Q1299" t="inlineStr">
        <is>
          <t>선상담 / 홈서비스 48개월 / 금리인하 0.5% 적용건 (11.5 &gt; 11.0)</t>
        </is>
      </c>
      <c r="AB1299" t="inlineStr">
        <is>
          <t>홈서비스</t>
        </is>
      </c>
      <c r="AC1299" t="n">
        <v>381920</v>
      </c>
      <c r="AD1299" t="n">
        <v>30380</v>
      </c>
      <c r="AE1299" t="n">
        <v>351540</v>
      </c>
      <c r="AF1299" t="n">
        <v>347200</v>
      </c>
      <c r="AG1299" t="n">
        <v>30380</v>
      </c>
      <c r="AH1299" t="n">
        <v>316820</v>
      </c>
      <c r="AI1299" t="n">
        <v>0</v>
      </c>
    </row>
    <row r="1300">
      <c r="A1300" t="inlineStr">
        <is>
          <t>2월</t>
        </is>
      </c>
      <c r="B1300" t="inlineStr">
        <is>
          <t>7주차</t>
        </is>
      </c>
      <c r="C1300" t="inlineStr">
        <is>
          <t>EP</t>
        </is>
      </c>
      <c r="D1300" s="28" t="n">
        <v>46064</v>
      </c>
      <c r="E1300" t="inlineStr">
        <is>
          <t>현대EP_fast</t>
        </is>
      </c>
      <c r="F1300" t="inlineStr">
        <is>
          <t>장희현</t>
        </is>
      </c>
      <c r="G1300" t="inlineStr">
        <is>
          <t>010-3150-2041</t>
        </is>
      </c>
      <c r="H1300" t="inlineStr">
        <is>
          <t>52도6436</t>
        </is>
      </c>
      <c r="I1300" t="n">
        <v>12000000</v>
      </c>
      <c r="J1300" t="n">
        <v>0.078</v>
      </c>
      <c r="K1300" t="n">
        <v>1.21</v>
      </c>
      <c r="L1300" t="n">
        <v>0.14</v>
      </c>
      <c r="M1300" t="n">
        <v>1.07</v>
      </c>
      <c r="P1300" t="inlineStr">
        <is>
          <t>김수연</t>
        </is>
      </c>
      <c r="Q1300" t="inlineStr">
        <is>
          <t>홈서비스 36개월</t>
        </is>
      </c>
      <c r="AB1300" t="inlineStr">
        <is>
          <t>홈서비스</t>
        </is>
      </c>
      <c r="AC1300" t="n">
        <v>145200</v>
      </c>
      <c r="AD1300" t="n">
        <v>16800</v>
      </c>
      <c r="AE1300" t="n">
        <v>128400</v>
      </c>
      <c r="AF1300" t="n">
        <v>132000</v>
      </c>
      <c r="AG1300" t="n">
        <v>16800</v>
      </c>
      <c r="AH1300" t="n">
        <v>115200</v>
      </c>
      <c r="AI1300" t="n">
        <v>0</v>
      </c>
    </row>
    <row r="1301">
      <c r="A1301" t="inlineStr">
        <is>
          <t>2월</t>
        </is>
      </c>
      <c r="B1301" t="inlineStr">
        <is>
          <t>7주차</t>
        </is>
      </c>
      <c r="C1301" t="inlineStr">
        <is>
          <t>EP</t>
        </is>
      </c>
      <c r="D1301" s="28" t="n">
        <v>46064</v>
      </c>
      <c r="E1301" t="inlineStr">
        <is>
          <t>현대EP_fast</t>
        </is>
      </c>
      <c r="F1301" t="inlineStr">
        <is>
          <t>김영수</t>
        </is>
      </c>
      <c r="G1301" t="inlineStr">
        <is>
          <t>010-4842-2363</t>
        </is>
      </c>
      <c r="H1301" t="inlineStr">
        <is>
          <t>58고2043</t>
        </is>
      </c>
      <c r="I1301" t="n">
        <v>-21700000</v>
      </c>
      <c r="J1301" t="n">
        <v>0.11</v>
      </c>
      <c r="K1301" t="n">
        <v>1.76</v>
      </c>
      <c r="L1301" t="n">
        <v>0.14</v>
      </c>
      <c r="M1301" t="n">
        <v>1.62</v>
      </c>
      <c r="P1301" t="inlineStr">
        <is>
          <t>장진경</t>
        </is>
      </c>
      <c r="Q1301" t="inlineStr">
        <is>
          <t>선상담 / 홈서비스 48개월 / 금리인하 0.5% 적용건 (11.5 &gt; 11.0)</t>
        </is>
      </c>
      <c r="AB1301" t="inlineStr">
        <is>
          <t>홈서비스</t>
        </is>
      </c>
      <c r="AC1301" t="n">
        <v>-381920</v>
      </c>
      <c r="AD1301" t="n">
        <v>-30380</v>
      </c>
      <c r="AE1301" t="n">
        <v>-351540</v>
      </c>
      <c r="AF1301" t="n">
        <v>-347200</v>
      </c>
      <c r="AG1301" t="n">
        <v>-30380</v>
      </c>
      <c r="AH1301" t="n">
        <v>-316820</v>
      </c>
      <c r="AI1301" t="n">
        <v>0</v>
      </c>
    </row>
    <row r="1302">
      <c r="A1302" t="inlineStr">
        <is>
          <t>2월</t>
        </is>
      </c>
      <c r="B1302" t="inlineStr">
        <is>
          <t>7주차</t>
        </is>
      </c>
      <c r="C1302" t="inlineStr">
        <is>
          <t>IM</t>
        </is>
      </c>
      <c r="D1302" s="28" t="n">
        <v>46064</v>
      </c>
      <c r="E1302" t="inlineStr">
        <is>
          <t>IM캐피탈</t>
        </is>
      </c>
      <c r="F1302" t="inlineStr">
        <is>
          <t>변무언</t>
        </is>
      </c>
      <c r="G1302" t="inlineStr">
        <is>
          <t>010-6359-6686</t>
        </is>
      </c>
      <c r="H1302" t="inlineStr">
        <is>
          <t>52가3510</t>
        </is>
      </c>
      <c r="I1302" t="n">
        <v>-15000000</v>
      </c>
      <c r="J1302" t="n">
        <v>0.056</v>
      </c>
      <c r="K1302" t="n">
        <v>1.1</v>
      </c>
      <c r="L1302" t="n">
        <v>0.14</v>
      </c>
      <c r="M1302" t="n">
        <v>0.96</v>
      </c>
      <c r="P1302" t="inlineStr">
        <is>
          <t>김수연</t>
        </is>
      </c>
      <c r="Q1302" t="inlineStr">
        <is>
          <t>홈서비스 36개월/*철회 20260223</t>
        </is>
      </c>
      <c r="AB1302" t="inlineStr">
        <is>
          <t>홈서비스</t>
        </is>
      </c>
      <c r="AC1302" t="n">
        <v>-165000</v>
      </c>
      <c r="AD1302" t="n">
        <v>-21000</v>
      </c>
      <c r="AE1302" t="n">
        <v>-144000</v>
      </c>
      <c r="AF1302" t="n">
        <v>-150000</v>
      </c>
      <c r="AG1302" t="n">
        <v>-21000</v>
      </c>
      <c r="AH1302" t="n">
        <v>-129000</v>
      </c>
      <c r="AI1302" t="n">
        <v>0</v>
      </c>
      <c r="AK1302" t="inlineStr">
        <is>
          <t>대출철회</t>
        </is>
      </c>
    </row>
    <row r="1303">
      <c r="A1303" t="inlineStr">
        <is>
          <t>2월</t>
        </is>
      </c>
      <c r="B1303" t="inlineStr">
        <is>
          <t>9주차</t>
        </is>
      </c>
      <c r="C1303" t="inlineStr">
        <is>
          <t>EP</t>
        </is>
      </c>
      <c r="D1303" s="28" t="n">
        <v>46079</v>
      </c>
      <c r="E1303" t="inlineStr">
        <is>
          <t>현대EP_fast</t>
        </is>
      </c>
      <c r="F1303" t="inlineStr">
        <is>
          <t>이재균</t>
        </is>
      </c>
      <c r="G1303" t="inlineStr">
        <is>
          <t>010-6863-7944</t>
        </is>
      </c>
      <c r="H1303" t="inlineStr">
        <is>
          <t>332더5674</t>
        </is>
      </c>
      <c r="I1303" t="n">
        <v>24600000</v>
      </c>
      <c r="J1303" t="n">
        <v>0.082</v>
      </c>
      <c r="K1303" t="n">
        <v>1.76</v>
      </c>
      <c r="L1303" t="n">
        <v>0.14</v>
      </c>
      <c r="M1303" t="n">
        <v>1.62</v>
      </c>
      <c r="P1303" t="inlineStr">
        <is>
          <t>황채이</t>
        </is>
      </c>
      <c r="Q1303" t="inlineStr">
        <is>
          <t>홈서비스 60개월 / 금리인하 0.5% 적용건 (8.7 &gt; 8.2)</t>
        </is>
      </c>
      <c r="AB1303" t="inlineStr">
        <is>
          <t>홈서비스</t>
        </is>
      </c>
      <c r="AC1303" t="n">
        <v>432960</v>
      </c>
      <c r="AD1303" t="n">
        <v>34440</v>
      </c>
      <c r="AE1303" t="n">
        <v>398520</v>
      </c>
      <c r="AF1303" t="n">
        <v>393600</v>
      </c>
      <c r="AG1303" t="n">
        <v>34440</v>
      </c>
      <c r="AH1303" t="n">
        <v>359160</v>
      </c>
    </row>
    <row r="1304">
      <c r="A1304" t="inlineStr">
        <is>
          <t>2월</t>
        </is>
      </c>
      <c r="B1304" t="inlineStr">
        <is>
          <t>7주차</t>
        </is>
      </c>
      <c r="C1304" t="inlineStr">
        <is>
          <t>EP</t>
        </is>
      </c>
      <c r="D1304" s="28" t="n">
        <v>46065</v>
      </c>
      <c r="E1304" t="inlineStr">
        <is>
          <t>현대EP</t>
        </is>
      </c>
      <c r="F1304" t="inlineStr">
        <is>
          <t>김용산</t>
        </is>
      </c>
      <c r="G1304" t="inlineStr">
        <is>
          <t>010-6332-7887</t>
        </is>
      </c>
      <c r="H1304" t="inlineStr">
        <is>
          <t>29너2479</t>
        </is>
      </c>
      <c r="I1304" t="n">
        <v>16700000</v>
      </c>
      <c r="J1304" t="n">
        <v>0.057</v>
      </c>
      <c r="K1304" t="n">
        <v>1.76</v>
      </c>
      <c r="L1304" t="n">
        <v>0.14</v>
      </c>
      <c r="M1304" t="n">
        <v>1.62</v>
      </c>
      <c r="P1304" t="inlineStr">
        <is>
          <t>김나윤</t>
        </is>
      </c>
      <c r="Q1304" t="inlineStr">
        <is>
          <t>홈서비스 48개월</t>
        </is>
      </c>
      <c r="AB1304" t="inlineStr">
        <is>
          <t>홈서비스</t>
        </is>
      </c>
      <c r="AC1304" t="n">
        <v>293920</v>
      </c>
      <c r="AD1304" t="n">
        <v>23380</v>
      </c>
      <c r="AE1304" t="n">
        <v>270540</v>
      </c>
      <c r="AF1304" t="n">
        <v>267200</v>
      </c>
      <c r="AG1304" t="n">
        <v>23380</v>
      </c>
      <c r="AH1304" t="n">
        <v>243820</v>
      </c>
    </row>
    <row r="1305">
      <c r="A1305" t="inlineStr">
        <is>
          <t>2월</t>
        </is>
      </c>
      <c r="B1305" t="inlineStr">
        <is>
          <t>9주차</t>
        </is>
      </c>
      <c r="C1305" t="inlineStr">
        <is>
          <t>EP</t>
        </is>
      </c>
      <c r="D1305" s="28" t="n">
        <v>46080</v>
      </c>
      <c r="E1305" t="inlineStr">
        <is>
          <t>현대EP_fast</t>
        </is>
      </c>
      <c r="F1305" t="inlineStr">
        <is>
          <t>한상열</t>
        </is>
      </c>
      <c r="G1305" t="inlineStr">
        <is>
          <t>010-6217-6557</t>
        </is>
      </c>
      <c r="H1305" t="inlineStr">
        <is>
          <t>296어7131</t>
        </is>
      </c>
      <c r="I1305" t="n">
        <v>30000000</v>
      </c>
      <c r="J1305" t="n">
        <v>0.082</v>
      </c>
      <c r="K1305" t="n">
        <v>1.76</v>
      </c>
      <c r="L1305" t="n">
        <v>0.14</v>
      </c>
      <c r="M1305" t="n">
        <v>1.62</v>
      </c>
      <c r="P1305" t="inlineStr">
        <is>
          <t>황채이</t>
        </is>
      </c>
      <c r="Q1305" t="inlineStr">
        <is>
          <t>홈서비스 60개월 / 금리인하 0.5% 적용건 (8.7 &gt; 8.2)</t>
        </is>
      </c>
      <c r="AB1305" t="inlineStr">
        <is>
          <t>홈서비스</t>
        </is>
      </c>
      <c r="AC1305" t="n">
        <v>528000</v>
      </c>
      <c r="AD1305" t="n">
        <v>42000</v>
      </c>
      <c r="AE1305" t="n">
        <v>486000</v>
      </c>
      <c r="AF1305" t="n">
        <v>480000</v>
      </c>
      <c r="AG1305" t="n">
        <v>42000</v>
      </c>
      <c r="AH1305" t="n">
        <v>438000</v>
      </c>
    </row>
    <row r="1306">
      <c r="A1306" t="inlineStr">
        <is>
          <t>2월</t>
        </is>
      </c>
      <c r="B1306" t="inlineStr">
        <is>
          <t>7주차</t>
        </is>
      </c>
      <c r="C1306" t="inlineStr">
        <is>
          <t>EP</t>
        </is>
      </c>
      <c r="D1306" s="28" t="n">
        <v>46065</v>
      </c>
      <c r="E1306" t="inlineStr">
        <is>
          <t>현대EP_fast</t>
        </is>
      </c>
      <c r="F1306" t="inlineStr">
        <is>
          <t>백승희</t>
        </is>
      </c>
      <c r="G1306" t="inlineStr">
        <is>
          <t>010-8546-4571</t>
        </is>
      </c>
      <c r="H1306" t="inlineStr">
        <is>
          <t>207누1970</t>
        </is>
      </c>
      <c r="I1306" t="n">
        <v>37700000</v>
      </c>
      <c r="J1306" t="n">
        <v>0.08400000000000001</v>
      </c>
      <c r="K1306" t="n">
        <v>1.76</v>
      </c>
      <c r="L1306" t="n">
        <v>0.4</v>
      </c>
      <c r="M1306" t="n">
        <v>1.36</v>
      </c>
      <c r="P1306" t="inlineStr">
        <is>
          <t>박현민</t>
        </is>
      </c>
      <c r="Q1306" t="inlineStr">
        <is>
          <t xml:space="preserve"> 금리인하 0.5% 적용건 ( 8.9 &gt; 8.4 )</t>
        </is>
      </c>
      <c r="AB1306" t="inlineStr">
        <is>
          <t>엔카</t>
        </is>
      </c>
      <c r="AC1306" t="n">
        <v>663520</v>
      </c>
      <c r="AD1306" t="n">
        <v>150800</v>
      </c>
      <c r="AE1306" t="n">
        <v>512720</v>
      </c>
      <c r="AF1306" t="n">
        <v>603200</v>
      </c>
      <c r="AG1306" t="n">
        <v>150800</v>
      </c>
      <c r="AH1306" t="n">
        <v>452400</v>
      </c>
    </row>
    <row r="1307">
      <c r="A1307" t="inlineStr">
        <is>
          <t>2월</t>
        </is>
      </c>
      <c r="B1307" t="inlineStr">
        <is>
          <t>7주차</t>
        </is>
      </c>
      <c r="C1307" t="inlineStr">
        <is>
          <t>EP</t>
        </is>
      </c>
      <c r="D1307" s="28" t="n">
        <v>46063</v>
      </c>
      <c r="E1307" t="inlineStr">
        <is>
          <t>현대EP_fast</t>
        </is>
      </c>
      <c r="F1307" t="inlineStr">
        <is>
          <t>나경은</t>
        </is>
      </c>
      <c r="G1307" t="inlineStr">
        <is>
          <t>010-5006-7882</t>
        </is>
      </c>
      <c r="H1307" t="inlineStr">
        <is>
          <t>225저8534</t>
        </is>
      </c>
      <c r="I1307" t="n">
        <v>30600000</v>
      </c>
      <c r="J1307" t="n">
        <v>0.089</v>
      </c>
      <c r="K1307" t="n">
        <v>1.76</v>
      </c>
      <c r="L1307" t="n">
        <v>0.4</v>
      </c>
      <c r="M1307" t="n">
        <v>1.36</v>
      </c>
      <c r="P1307" t="inlineStr">
        <is>
          <t>임대경</t>
        </is>
      </c>
      <c r="AB1307" t="inlineStr">
        <is>
          <t>엔카</t>
        </is>
      </c>
      <c r="AC1307" t="n">
        <v>538560</v>
      </c>
      <c r="AD1307" t="n">
        <v>122400</v>
      </c>
      <c r="AE1307" t="n">
        <v>416160</v>
      </c>
      <c r="AF1307" t="n">
        <v>489600</v>
      </c>
      <c r="AG1307" t="n">
        <v>122400</v>
      </c>
      <c r="AH1307" t="n">
        <v>367200</v>
      </c>
      <c r="AI1307" t="n">
        <v>0</v>
      </c>
    </row>
    <row r="1308">
      <c r="A1308" t="inlineStr">
        <is>
          <t>2월</t>
        </is>
      </c>
      <c r="B1308" t="inlineStr">
        <is>
          <t>6주차</t>
        </is>
      </c>
      <c r="C1308" t="inlineStr">
        <is>
          <t>EP</t>
        </is>
      </c>
      <c r="D1308" s="28" t="n">
        <v>46055</v>
      </c>
      <c r="E1308" t="inlineStr">
        <is>
          <t>현대EP_fast</t>
        </is>
      </c>
      <c r="F1308" t="inlineStr">
        <is>
          <t>조미희</t>
        </is>
      </c>
      <c r="G1308" t="inlineStr">
        <is>
          <t>010-6436-0777</t>
        </is>
      </c>
      <c r="H1308" t="inlineStr">
        <is>
          <t>343저7603</t>
        </is>
      </c>
      <c r="I1308" t="n">
        <v>9600000</v>
      </c>
      <c r="J1308" t="n">
        <v>0.06900000000000001</v>
      </c>
      <c r="K1308" t="n">
        <v>1.76</v>
      </c>
      <c r="L1308" t="n">
        <v>0.14</v>
      </c>
      <c r="M1308" t="n">
        <v>1.62</v>
      </c>
      <c r="P1308" t="inlineStr">
        <is>
          <t>정광호</t>
        </is>
      </c>
      <c r="Q1308" t="inlineStr">
        <is>
          <t>홈서비스 60개월</t>
        </is>
      </c>
      <c r="AB1308" t="inlineStr">
        <is>
          <t>홈서비스</t>
        </is>
      </c>
      <c r="AC1308" t="n">
        <v>168960</v>
      </c>
      <c r="AD1308" t="n">
        <v>13440</v>
      </c>
      <c r="AE1308" t="n">
        <v>155520</v>
      </c>
      <c r="AF1308" t="n">
        <v>153600</v>
      </c>
      <c r="AG1308" t="n">
        <v>13440</v>
      </c>
      <c r="AH1308" t="n">
        <v>140160</v>
      </c>
      <c r="AI1308" t="n">
        <v>0</v>
      </c>
    </row>
    <row r="1309">
      <c r="A1309" t="inlineStr">
        <is>
          <t>2월</t>
        </is>
      </c>
      <c r="B1309" t="inlineStr">
        <is>
          <t>7주차</t>
        </is>
      </c>
      <c r="C1309" t="inlineStr">
        <is>
          <t>OR</t>
        </is>
      </c>
      <c r="D1309" s="28" t="n">
        <v>46066</v>
      </c>
      <c r="E1309" t="inlineStr">
        <is>
          <t>오릭스</t>
        </is>
      </c>
      <c r="F1309" t="inlineStr">
        <is>
          <t>윤선빈</t>
        </is>
      </c>
      <c r="G1309" t="inlineStr">
        <is>
          <t>010-3397-6371</t>
        </is>
      </c>
      <c r="H1309" t="inlineStr">
        <is>
          <t>161오3873</t>
        </is>
      </c>
      <c r="I1309" t="n">
        <v>25000000</v>
      </c>
      <c r="J1309" t="n">
        <v>0.077</v>
      </c>
      <c r="K1309" t="n">
        <v>1.65</v>
      </c>
      <c r="L1309" t="n">
        <v>0.4</v>
      </c>
      <c r="M1309" t="n">
        <v>1.25</v>
      </c>
      <c r="P1309" t="inlineStr">
        <is>
          <t>장진경</t>
        </is>
      </c>
      <c r="AB1309" t="inlineStr">
        <is>
          <t>엔카</t>
        </is>
      </c>
      <c r="AC1309" t="n">
        <v>412500</v>
      </c>
      <c r="AD1309" t="n">
        <v>100000</v>
      </c>
      <c r="AE1309" t="n">
        <v>312500</v>
      </c>
      <c r="AF1309" t="n">
        <v>375000</v>
      </c>
      <c r="AG1309" t="n">
        <v>100000</v>
      </c>
      <c r="AH1309" t="n">
        <v>275000</v>
      </c>
      <c r="AI1309" t="n">
        <v>0</v>
      </c>
    </row>
    <row r="1310">
      <c r="A1310" t="inlineStr">
        <is>
          <t>2월</t>
        </is>
      </c>
      <c r="B1310" t="inlineStr">
        <is>
          <t>7주차</t>
        </is>
      </c>
      <c r="C1310" t="inlineStr">
        <is>
          <t>EP</t>
        </is>
      </c>
      <c r="D1310" s="28" t="n">
        <v>46066</v>
      </c>
      <c r="E1310" t="inlineStr">
        <is>
          <t>현대EP_fast</t>
        </is>
      </c>
      <c r="F1310" t="inlineStr">
        <is>
          <t>김민철</t>
        </is>
      </c>
      <c r="G1310" t="inlineStr">
        <is>
          <t>010-4320-8849</t>
        </is>
      </c>
      <c r="H1310" t="inlineStr">
        <is>
          <t>31루0277</t>
        </is>
      </c>
      <c r="I1310" t="n">
        <v>15500000</v>
      </c>
      <c r="J1310" t="n">
        <v>0.06900000000000001</v>
      </c>
      <c r="K1310" t="n">
        <v>1.76</v>
      </c>
      <c r="L1310" t="n">
        <v>0.14</v>
      </c>
      <c r="M1310" t="n">
        <v>1.62</v>
      </c>
      <c r="P1310" t="inlineStr">
        <is>
          <t>정광호</t>
        </is>
      </c>
      <c r="Q1310" t="inlineStr">
        <is>
          <t>홈서비스 48개월</t>
        </is>
      </c>
      <c r="AB1310" t="inlineStr">
        <is>
          <t>홈서비스</t>
        </is>
      </c>
      <c r="AC1310" t="n">
        <v>272800</v>
      </c>
      <c r="AD1310" t="n">
        <v>21700</v>
      </c>
      <c r="AE1310" t="n">
        <v>251100</v>
      </c>
      <c r="AF1310" t="n">
        <v>248000</v>
      </c>
      <c r="AG1310" t="n">
        <v>21700</v>
      </c>
      <c r="AH1310" t="n">
        <v>226300</v>
      </c>
      <c r="AI1310" t="n">
        <v>0</v>
      </c>
    </row>
    <row r="1311">
      <c r="A1311" t="inlineStr">
        <is>
          <t>2월</t>
        </is>
      </c>
      <c r="B1311" t="inlineStr">
        <is>
          <t>7주차</t>
        </is>
      </c>
      <c r="C1311" t="inlineStr">
        <is>
          <t>EP</t>
        </is>
      </c>
      <c r="D1311" s="28" t="n">
        <v>46065</v>
      </c>
      <c r="E1311" t="inlineStr">
        <is>
          <t>현대EP_fast</t>
        </is>
      </c>
      <c r="F1311" t="inlineStr">
        <is>
          <t>김완섭</t>
        </is>
      </c>
      <c r="G1311" t="inlineStr">
        <is>
          <t>010-8264-7510</t>
        </is>
      </c>
      <c r="H1311" t="inlineStr">
        <is>
          <t>69러7317</t>
        </is>
      </c>
      <c r="I1311" t="n">
        <v>4300000</v>
      </c>
      <c r="J1311" t="n">
        <v>0.089</v>
      </c>
      <c r="K1311" t="n">
        <v>1.76</v>
      </c>
      <c r="L1311" t="n">
        <v>0.4</v>
      </c>
      <c r="M1311" t="n">
        <v>1.36</v>
      </c>
      <c r="P1311" t="inlineStr">
        <is>
          <t>임대경</t>
        </is>
      </c>
      <c r="AB1311" t="inlineStr">
        <is>
          <t>엔카</t>
        </is>
      </c>
      <c r="AC1311" t="n">
        <v>75680</v>
      </c>
      <c r="AD1311" t="n">
        <v>17200</v>
      </c>
      <c r="AE1311" t="n">
        <v>58480</v>
      </c>
      <c r="AF1311" t="n">
        <v>68800</v>
      </c>
      <c r="AG1311" t="n">
        <v>17200</v>
      </c>
      <c r="AH1311" t="n">
        <v>51600</v>
      </c>
    </row>
    <row r="1312">
      <c r="A1312" t="inlineStr">
        <is>
          <t>2월</t>
        </is>
      </c>
      <c r="B1312" t="inlineStr">
        <is>
          <t>7주차</t>
        </is>
      </c>
      <c r="C1312" t="inlineStr">
        <is>
          <t>EP</t>
        </is>
      </c>
      <c r="D1312" s="28" t="n">
        <v>46065</v>
      </c>
      <c r="E1312" t="inlineStr">
        <is>
          <t>현대EP_fast</t>
        </is>
      </c>
      <c r="F1312" t="inlineStr">
        <is>
          <t>한세진</t>
        </is>
      </c>
      <c r="G1312" t="inlineStr">
        <is>
          <t>010-5412-0747</t>
        </is>
      </c>
      <c r="H1312" t="inlineStr">
        <is>
          <t>329마9766</t>
        </is>
      </c>
      <c r="I1312" t="n">
        <v>17000000</v>
      </c>
      <c r="J1312" t="n">
        <v>0.08699999999999999</v>
      </c>
      <c r="K1312" t="n">
        <v>1.76</v>
      </c>
      <c r="L1312" t="n">
        <v>0.14</v>
      </c>
      <c r="M1312" t="n">
        <v>1.62</v>
      </c>
      <c r="P1312" t="inlineStr">
        <is>
          <t>박현민</t>
        </is>
      </c>
      <c r="Q1312" t="inlineStr">
        <is>
          <t>홈서비스 60개월</t>
        </is>
      </c>
      <c r="AB1312" t="inlineStr">
        <is>
          <t>홈서비스</t>
        </is>
      </c>
      <c r="AC1312" t="n">
        <v>299200</v>
      </c>
      <c r="AD1312" t="n">
        <v>23800</v>
      </c>
      <c r="AE1312" t="n">
        <v>275400</v>
      </c>
      <c r="AF1312" t="n">
        <v>272000</v>
      </c>
      <c r="AG1312" t="n">
        <v>23800</v>
      </c>
      <c r="AH1312" t="n">
        <v>248200</v>
      </c>
      <c r="AI1312" t="n">
        <v>0</v>
      </c>
    </row>
    <row r="1313">
      <c r="A1313" t="inlineStr">
        <is>
          <t>2월</t>
        </is>
      </c>
      <c r="B1313" t="inlineStr">
        <is>
          <t>6주차</t>
        </is>
      </c>
      <c r="C1313" t="inlineStr">
        <is>
          <t>EP</t>
        </is>
      </c>
      <c r="D1313" s="28" t="n">
        <v>46055</v>
      </c>
      <c r="E1313" t="inlineStr">
        <is>
          <t>현대EP_fast</t>
        </is>
      </c>
      <c r="F1313" t="inlineStr">
        <is>
          <t>오경숙</t>
        </is>
      </c>
      <c r="G1313" t="inlineStr">
        <is>
          <t>010-3342-1486</t>
        </is>
      </c>
      <c r="H1313" t="inlineStr">
        <is>
          <t>24도9974</t>
        </is>
      </c>
      <c r="I1313" t="n">
        <v>10000000</v>
      </c>
      <c r="J1313" t="n">
        <v>0.07199999999999999</v>
      </c>
      <c r="K1313" t="n">
        <v>1.76</v>
      </c>
      <c r="L1313" t="n">
        <v>0.14</v>
      </c>
      <c r="M1313" t="n">
        <v>1.62</v>
      </c>
      <c r="P1313" t="inlineStr">
        <is>
          <t>최형주</t>
        </is>
      </c>
      <c r="Q1313" t="inlineStr">
        <is>
          <t>홈서비스 36개월</t>
        </is>
      </c>
      <c r="AB1313" t="inlineStr">
        <is>
          <t>홈서비스</t>
        </is>
      </c>
      <c r="AC1313" t="n">
        <v>176000</v>
      </c>
      <c r="AD1313" t="n">
        <v>14000</v>
      </c>
      <c r="AE1313" t="n">
        <v>162000</v>
      </c>
      <c r="AF1313" t="n">
        <v>160000</v>
      </c>
      <c r="AG1313" t="n">
        <v>14000</v>
      </c>
      <c r="AH1313" t="n">
        <v>146000</v>
      </c>
      <c r="AI1313" t="n">
        <v>0</v>
      </c>
    </row>
    <row r="1314">
      <c r="A1314" t="inlineStr">
        <is>
          <t>2월</t>
        </is>
      </c>
      <c r="B1314" t="inlineStr">
        <is>
          <t>6주차</t>
        </is>
      </c>
      <c r="C1314" t="inlineStr">
        <is>
          <t>IM</t>
        </is>
      </c>
      <c r="D1314" s="28" t="n">
        <v>46057</v>
      </c>
      <c r="E1314" t="inlineStr">
        <is>
          <t>IM캐피탈</t>
        </is>
      </c>
      <c r="F1314" t="inlineStr">
        <is>
          <t>최정음</t>
        </is>
      </c>
      <c r="G1314" t="inlineStr">
        <is>
          <t>010-2840-0162</t>
        </is>
      </c>
      <c r="H1314" t="inlineStr">
        <is>
          <t>141루8423</t>
        </is>
      </c>
      <c r="I1314" t="n">
        <v>22300000</v>
      </c>
      <c r="J1314" t="n">
        <v>0.06900000000000001</v>
      </c>
      <c r="K1314" t="n">
        <v>1.1</v>
      </c>
      <c r="L1314" t="n">
        <v>0.14</v>
      </c>
      <c r="M1314" t="n">
        <v>0.96</v>
      </c>
      <c r="P1314" t="inlineStr">
        <is>
          <t>김수연</t>
        </is>
      </c>
      <c r="Q1314" t="inlineStr">
        <is>
          <t>홈서비스 60개월</t>
        </is>
      </c>
      <c r="AB1314" t="inlineStr">
        <is>
          <t>홈서비스</t>
        </is>
      </c>
      <c r="AC1314" t="n">
        <v>245300</v>
      </c>
      <c r="AD1314" t="n">
        <v>31220</v>
      </c>
      <c r="AE1314" t="n">
        <v>214080</v>
      </c>
      <c r="AF1314" t="n">
        <v>223000</v>
      </c>
      <c r="AG1314" t="n">
        <v>31220</v>
      </c>
      <c r="AH1314" t="n">
        <v>191780</v>
      </c>
    </row>
    <row r="1315">
      <c r="A1315" t="inlineStr">
        <is>
          <t>2월</t>
        </is>
      </c>
      <c r="B1315" t="inlineStr">
        <is>
          <t>6주차</t>
        </is>
      </c>
      <c r="C1315" t="inlineStr">
        <is>
          <t>EP</t>
        </is>
      </c>
      <c r="D1315" s="28" t="n">
        <v>46057</v>
      </c>
      <c r="E1315" t="inlineStr">
        <is>
          <t>현대EP_fast</t>
        </is>
      </c>
      <c r="F1315" t="inlineStr">
        <is>
          <t>고도환</t>
        </is>
      </c>
      <c r="G1315" t="inlineStr">
        <is>
          <t>010-6337-7071</t>
        </is>
      </c>
      <c r="H1315" t="inlineStr">
        <is>
          <t>843도6447</t>
        </is>
      </c>
      <c r="I1315" t="n">
        <v>20000000</v>
      </c>
      <c r="J1315" t="n">
        <v>0.067</v>
      </c>
      <c r="K1315" t="n">
        <v>1.76</v>
      </c>
      <c r="L1315" t="n">
        <v>0.14</v>
      </c>
      <c r="M1315" t="n">
        <v>1.62</v>
      </c>
      <c r="P1315" t="inlineStr">
        <is>
          <t>정광호</t>
        </is>
      </c>
      <c r="Q1315" t="inlineStr">
        <is>
          <t>홈서비스 24개월</t>
        </is>
      </c>
      <c r="AB1315" t="inlineStr">
        <is>
          <t>홈서비스</t>
        </is>
      </c>
      <c r="AC1315" t="n">
        <v>352000</v>
      </c>
      <c r="AD1315" t="n">
        <v>28000</v>
      </c>
      <c r="AE1315" t="n">
        <v>324000</v>
      </c>
      <c r="AF1315" t="n">
        <v>320000</v>
      </c>
      <c r="AG1315" t="n">
        <v>28000</v>
      </c>
      <c r="AH1315" t="n">
        <v>292000</v>
      </c>
      <c r="AI1315" t="n">
        <v>0</v>
      </c>
    </row>
    <row r="1316">
      <c r="A1316" t="inlineStr">
        <is>
          <t>2월</t>
        </is>
      </c>
      <c r="B1316" t="inlineStr">
        <is>
          <t>6주차</t>
        </is>
      </c>
      <c r="C1316" t="inlineStr">
        <is>
          <t>IM</t>
        </is>
      </c>
      <c r="D1316" s="28" t="n">
        <v>46057</v>
      </c>
      <c r="E1316" t="inlineStr">
        <is>
          <t>IM캐피탈</t>
        </is>
      </c>
      <c r="F1316" t="inlineStr">
        <is>
          <t>장기상</t>
        </is>
      </c>
      <c r="G1316" t="inlineStr">
        <is>
          <t>010-6413-4092</t>
        </is>
      </c>
      <c r="H1316" t="inlineStr">
        <is>
          <t>152루5200</t>
        </is>
      </c>
      <c r="I1316" t="n">
        <v>-50000000</v>
      </c>
      <c r="J1316" t="n">
        <v>0.049</v>
      </c>
      <c r="K1316" t="n">
        <v>1.1</v>
      </c>
      <c r="L1316" t="n">
        <v>0.14</v>
      </c>
      <c r="M1316" t="n">
        <v>0.96</v>
      </c>
      <c r="P1316" t="inlineStr">
        <is>
          <t>김수연</t>
        </is>
      </c>
      <c r="Q1316" t="inlineStr">
        <is>
          <t>홈서비스 36개월/*철회 20260213</t>
        </is>
      </c>
      <c r="AB1316" t="inlineStr">
        <is>
          <t>홈서비스</t>
        </is>
      </c>
      <c r="AC1316" t="n">
        <v>-550000</v>
      </c>
      <c r="AD1316" t="n">
        <v>-70000</v>
      </c>
      <c r="AE1316" t="n">
        <v>-480000</v>
      </c>
      <c r="AF1316" t="n">
        <v>-500000</v>
      </c>
      <c r="AG1316" t="n">
        <v>-70000</v>
      </c>
      <c r="AH1316" t="n">
        <v>-430000</v>
      </c>
      <c r="AK1316" t="inlineStr">
        <is>
          <t>대출철회</t>
        </is>
      </c>
    </row>
    <row r="1317">
      <c r="A1317" t="inlineStr">
        <is>
          <t>2월</t>
        </is>
      </c>
      <c r="B1317" t="inlineStr">
        <is>
          <t>6주차</t>
        </is>
      </c>
      <c r="C1317" t="inlineStr">
        <is>
          <t>OR</t>
        </is>
      </c>
      <c r="D1317" s="28" t="n">
        <v>46059</v>
      </c>
      <c r="E1317" t="inlineStr">
        <is>
          <t>오릭스</t>
        </is>
      </c>
      <c r="F1317" t="inlineStr">
        <is>
          <t>김영광</t>
        </is>
      </c>
      <c r="G1317" t="inlineStr">
        <is>
          <t>010-9423-7410</t>
        </is>
      </c>
      <c r="H1317" t="inlineStr">
        <is>
          <t>17수2608</t>
        </is>
      </c>
      <c r="I1317" t="n">
        <v>8000000</v>
      </c>
      <c r="J1317" t="n">
        <v>0.137</v>
      </c>
      <c r="K1317" t="n">
        <v>1.65</v>
      </c>
      <c r="L1317" t="n">
        <v>0.14</v>
      </c>
      <c r="M1317" t="n">
        <v>1.51</v>
      </c>
      <c r="P1317" t="inlineStr">
        <is>
          <t>정세빈</t>
        </is>
      </c>
      <c r="Q1317" t="inlineStr">
        <is>
          <t>홈서비스 48개월</t>
        </is>
      </c>
      <c r="AB1317" t="inlineStr">
        <is>
          <t>홈서비스</t>
        </is>
      </c>
      <c r="AC1317" t="n">
        <v>132000</v>
      </c>
      <c r="AD1317" t="n">
        <v>11200</v>
      </c>
      <c r="AE1317" t="n">
        <v>120800</v>
      </c>
      <c r="AF1317" t="n">
        <v>120000</v>
      </c>
      <c r="AG1317" t="n">
        <v>11200</v>
      </c>
      <c r="AH1317" t="n">
        <v>108800</v>
      </c>
      <c r="AI1317" t="n">
        <v>0</v>
      </c>
    </row>
    <row r="1318">
      <c r="A1318" t="inlineStr">
        <is>
          <t>2월</t>
        </is>
      </c>
      <c r="B1318" t="inlineStr">
        <is>
          <t>7주차</t>
        </is>
      </c>
      <c r="C1318" t="inlineStr">
        <is>
          <t>IM</t>
        </is>
      </c>
      <c r="D1318" s="28" t="n">
        <v>46064</v>
      </c>
      <c r="E1318" t="inlineStr">
        <is>
          <t>IM캐피탈</t>
        </is>
      </c>
      <c r="F1318" t="inlineStr">
        <is>
          <t>전지훈</t>
        </is>
      </c>
      <c r="G1318" t="inlineStr">
        <is>
          <t>010-5667-9673</t>
        </is>
      </c>
      <c r="H1318" t="inlineStr">
        <is>
          <t>297러5240</t>
        </is>
      </c>
      <c r="I1318" t="n">
        <v>22900000</v>
      </c>
      <c r="J1318" t="n">
        <v>0.099</v>
      </c>
      <c r="K1318" t="n">
        <v>1.1</v>
      </c>
      <c r="L1318" t="n">
        <v>0.14</v>
      </c>
      <c r="M1318" t="n">
        <v>0.96</v>
      </c>
      <c r="P1318" t="inlineStr">
        <is>
          <t>김나윤</t>
        </is>
      </c>
      <c r="Q1318" t="inlineStr">
        <is>
          <t>홈서비스 24개월</t>
        </is>
      </c>
      <c r="AB1318" t="inlineStr">
        <is>
          <t>홈서비스</t>
        </is>
      </c>
      <c r="AC1318" t="n">
        <v>251900</v>
      </c>
      <c r="AD1318" t="n">
        <v>32060</v>
      </c>
      <c r="AE1318" t="n">
        <v>219840</v>
      </c>
      <c r="AF1318" t="n">
        <v>229000</v>
      </c>
      <c r="AG1318" t="n">
        <v>32060</v>
      </c>
      <c r="AH1318" t="n">
        <v>196940</v>
      </c>
    </row>
    <row r="1319">
      <c r="A1319" t="inlineStr">
        <is>
          <t>2월</t>
        </is>
      </c>
      <c r="B1319" t="inlineStr">
        <is>
          <t>7주차</t>
        </is>
      </c>
      <c r="C1319" t="inlineStr">
        <is>
          <t>IM</t>
        </is>
      </c>
      <c r="D1319" s="28" t="n">
        <v>46063</v>
      </c>
      <c r="E1319" t="inlineStr">
        <is>
          <t>IM캐피탈</t>
        </is>
      </c>
      <c r="F1319" t="inlineStr">
        <is>
          <t>조희정</t>
        </is>
      </c>
      <c r="G1319" t="inlineStr">
        <is>
          <t>010-8837-1603</t>
        </is>
      </c>
      <c r="H1319" t="inlineStr">
        <is>
          <t>351주3895</t>
        </is>
      </c>
      <c r="I1319" t="n">
        <v>-21900000</v>
      </c>
      <c r="J1319" t="n">
        <v>0.059</v>
      </c>
      <c r="K1319" t="n">
        <v>1.1</v>
      </c>
      <c r="L1319" t="n">
        <v>0.14</v>
      </c>
      <c r="M1319" t="n">
        <v>0.96</v>
      </c>
      <c r="P1319" t="inlineStr">
        <is>
          <t>정세빈</t>
        </is>
      </c>
      <c r="Q1319" t="inlineStr">
        <is>
          <t>홈서비스 48개월/*철회 20260212</t>
        </is>
      </c>
      <c r="AB1319" t="inlineStr">
        <is>
          <t>홈서비스</t>
        </is>
      </c>
      <c r="AC1319" t="n">
        <v>-240900</v>
      </c>
      <c r="AD1319" t="n">
        <v>-30660</v>
      </c>
      <c r="AE1319" t="n">
        <v>-210240</v>
      </c>
      <c r="AF1319" t="n">
        <v>-219000</v>
      </c>
      <c r="AG1319" t="n">
        <v>-30660</v>
      </c>
      <c r="AH1319" t="n">
        <v>-188340</v>
      </c>
      <c r="AK1319" t="inlineStr">
        <is>
          <t>대출철회</t>
        </is>
      </c>
    </row>
    <row r="1320">
      <c r="A1320" t="inlineStr">
        <is>
          <t>2월</t>
        </is>
      </c>
      <c r="B1320" t="inlineStr">
        <is>
          <t>7주차</t>
        </is>
      </c>
      <c r="C1320" t="inlineStr">
        <is>
          <t>IM</t>
        </is>
      </c>
      <c r="D1320" s="28" t="n">
        <v>46066</v>
      </c>
      <c r="E1320" t="inlineStr">
        <is>
          <t>IM캐피탈</t>
        </is>
      </c>
      <c r="F1320" t="inlineStr">
        <is>
          <t>민경학</t>
        </is>
      </c>
      <c r="G1320" t="inlineStr">
        <is>
          <t>010-9953-9550</t>
        </is>
      </c>
      <c r="H1320" t="inlineStr">
        <is>
          <t>77저5265</t>
        </is>
      </c>
      <c r="I1320" t="n">
        <v>8400000</v>
      </c>
      <c r="J1320" t="n">
        <v>0.089</v>
      </c>
      <c r="K1320" t="n">
        <v>1.1</v>
      </c>
      <c r="L1320" t="n">
        <v>0.14</v>
      </c>
      <c r="M1320" t="n">
        <v>0.96</v>
      </c>
      <c r="P1320" t="inlineStr">
        <is>
          <t>김수연</t>
        </is>
      </c>
      <c r="Q1320" t="inlineStr">
        <is>
          <t>홈서비스 60개월</t>
        </is>
      </c>
      <c r="AB1320" t="inlineStr">
        <is>
          <t>홈서비스</t>
        </is>
      </c>
      <c r="AC1320" t="n">
        <v>92400</v>
      </c>
      <c r="AD1320" t="n">
        <v>11760</v>
      </c>
      <c r="AE1320" t="n">
        <v>80640</v>
      </c>
      <c r="AF1320" t="n">
        <v>84000</v>
      </c>
      <c r="AG1320" t="n">
        <v>11760</v>
      </c>
      <c r="AH1320" t="n">
        <v>72240</v>
      </c>
      <c r="AI1320" t="n">
        <v>0</v>
      </c>
    </row>
    <row r="1321">
      <c r="A1321" t="inlineStr">
        <is>
          <t>2월</t>
        </is>
      </c>
      <c r="B1321" t="inlineStr">
        <is>
          <t>7주차</t>
        </is>
      </c>
      <c r="C1321" t="inlineStr">
        <is>
          <t>EP</t>
        </is>
      </c>
      <c r="D1321" s="28" t="n">
        <v>46067</v>
      </c>
      <c r="E1321" t="inlineStr">
        <is>
          <t>현대EP</t>
        </is>
      </c>
      <c r="F1321" t="inlineStr">
        <is>
          <t>최명진</t>
        </is>
      </c>
      <c r="G1321" t="inlineStr">
        <is>
          <t>010-6861-8859</t>
        </is>
      </c>
      <c r="H1321" t="inlineStr">
        <is>
          <t>295고8717</t>
        </is>
      </c>
      <c r="I1321" t="n">
        <v>17500000</v>
      </c>
      <c r="J1321" t="n">
        <v>0.068</v>
      </c>
      <c r="K1321" t="n">
        <v>1.76</v>
      </c>
      <c r="L1321" t="n">
        <v>0.14</v>
      </c>
      <c r="M1321" t="n">
        <v>1.62</v>
      </c>
      <c r="P1321" t="inlineStr">
        <is>
          <t>정광호</t>
        </is>
      </c>
      <c r="Q1321" t="inlineStr">
        <is>
          <t>홈서비스 36개월</t>
        </is>
      </c>
      <c r="AB1321" t="inlineStr">
        <is>
          <t>홈서비스</t>
        </is>
      </c>
      <c r="AC1321" t="n">
        <v>308000</v>
      </c>
      <c r="AD1321" t="n">
        <v>24500</v>
      </c>
      <c r="AE1321" t="n">
        <v>283500</v>
      </c>
      <c r="AF1321" t="n">
        <v>280000</v>
      </c>
      <c r="AG1321" t="n">
        <v>24500</v>
      </c>
      <c r="AH1321" t="n">
        <v>255500</v>
      </c>
    </row>
    <row r="1322">
      <c r="A1322" t="inlineStr">
        <is>
          <t>2월</t>
        </is>
      </c>
      <c r="B1322" t="inlineStr">
        <is>
          <t>8주차</t>
        </is>
      </c>
      <c r="C1322" t="inlineStr">
        <is>
          <t>EP</t>
        </is>
      </c>
      <c r="D1322" s="28" t="n">
        <v>46072</v>
      </c>
      <c r="E1322" t="inlineStr">
        <is>
          <t>현대EP</t>
        </is>
      </c>
      <c r="F1322" t="inlineStr">
        <is>
          <t>노재혁</t>
        </is>
      </c>
      <c r="G1322" t="inlineStr">
        <is>
          <t>010-2302-7337</t>
        </is>
      </c>
      <c r="H1322" t="inlineStr">
        <is>
          <t>195조9274</t>
        </is>
      </c>
      <c r="I1322" t="n">
        <v>12900000</v>
      </c>
      <c r="J1322" t="n">
        <v>0.068</v>
      </c>
      <c r="K1322" t="n">
        <v>1.76</v>
      </c>
      <c r="L1322" t="n">
        <v>0.14</v>
      </c>
      <c r="M1322" t="n">
        <v>1.62</v>
      </c>
      <c r="P1322" t="inlineStr">
        <is>
          <t>최형주</t>
        </is>
      </c>
      <c r="Q1322" t="inlineStr">
        <is>
          <t>홈서비스 60개월</t>
        </is>
      </c>
      <c r="AB1322" t="inlineStr">
        <is>
          <t>홈서비스</t>
        </is>
      </c>
      <c r="AC1322" t="n">
        <v>227040</v>
      </c>
      <c r="AD1322" t="n">
        <v>18060</v>
      </c>
      <c r="AE1322" t="n">
        <v>208980</v>
      </c>
      <c r="AF1322" t="n">
        <v>206400</v>
      </c>
      <c r="AG1322" t="n">
        <v>18060</v>
      </c>
      <c r="AH1322" t="n">
        <v>188340</v>
      </c>
    </row>
    <row r="1323">
      <c r="A1323" t="inlineStr">
        <is>
          <t>2월</t>
        </is>
      </c>
      <c r="B1323" t="inlineStr">
        <is>
          <t>8주차</t>
        </is>
      </c>
      <c r="C1323" t="inlineStr">
        <is>
          <t>EP</t>
        </is>
      </c>
      <c r="D1323" s="28" t="n">
        <v>46072</v>
      </c>
      <c r="E1323" t="inlineStr">
        <is>
          <t>현대EP</t>
        </is>
      </c>
      <c r="F1323" t="inlineStr">
        <is>
          <t>채준영</t>
        </is>
      </c>
      <c r="G1323" t="inlineStr">
        <is>
          <t>010-9865-1749</t>
        </is>
      </c>
      <c r="H1323" t="inlineStr">
        <is>
          <t>104더8802</t>
        </is>
      </c>
      <c r="I1323" t="n">
        <v>8000000</v>
      </c>
      <c r="J1323" t="n">
        <v>0.078</v>
      </c>
      <c r="K1323" t="n">
        <v>1.21</v>
      </c>
      <c r="L1323" t="n">
        <v>0.14</v>
      </c>
      <c r="M1323" t="n">
        <v>1.07</v>
      </c>
      <c r="P1323" t="inlineStr">
        <is>
          <t>정광호</t>
        </is>
      </c>
      <c r="Q1323" t="inlineStr">
        <is>
          <t>홈서비스 60개월</t>
        </is>
      </c>
      <c r="AB1323" t="inlineStr">
        <is>
          <t>홈서비스</t>
        </is>
      </c>
      <c r="AC1323" t="n">
        <v>96800</v>
      </c>
      <c r="AD1323" t="n">
        <v>11200</v>
      </c>
      <c r="AE1323" t="n">
        <v>85600</v>
      </c>
      <c r="AF1323" t="n">
        <v>88000</v>
      </c>
      <c r="AG1323" t="n">
        <v>11200</v>
      </c>
      <c r="AH1323" t="n">
        <v>76800</v>
      </c>
      <c r="AI1323" t="n">
        <v>0</v>
      </c>
    </row>
    <row r="1324">
      <c r="A1324" t="inlineStr">
        <is>
          <t>2월</t>
        </is>
      </c>
      <c r="B1324" t="inlineStr">
        <is>
          <t>8주차</t>
        </is>
      </c>
      <c r="C1324" t="inlineStr">
        <is>
          <t>EP</t>
        </is>
      </c>
      <c r="D1324" s="28" t="n">
        <v>46072</v>
      </c>
      <c r="E1324" t="inlineStr">
        <is>
          <t>현대EP_fast</t>
        </is>
      </c>
      <c r="F1324" t="inlineStr">
        <is>
          <t>심재만</t>
        </is>
      </c>
      <c r="G1324" t="inlineStr">
        <is>
          <t>010-8005-1471</t>
        </is>
      </c>
      <c r="H1324" t="inlineStr">
        <is>
          <t>373가3280</t>
        </is>
      </c>
      <c r="I1324" t="n">
        <v>32500000</v>
      </c>
      <c r="J1324" t="n">
        <v>0.102</v>
      </c>
      <c r="K1324" t="n">
        <v>1.21</v>
      </c>
      <c r="L1324" t="n">
        <v>0.14</v>
      </c>
      <c r="M1324" t="n">
        <v>1.07</v>
      </c>
      <c r="P1324" t="inlineStr">
        <is>
          <t>김나윤</t>
        </is>
      </c>
      <c r="Q1324" t="inlineStr">
        <is>
          <t>홈서비스 48개월</t>
        </is>
      </c>
      <c r="AB1324" t="inlineStr">
        <is>
          <t>홈서비스</t>
        </is>
      </c>
      <c r="AC1324" t="n">
        <v>393250</v>
      </c>
      <c r="AD1324" t="n">
        <v>45500</v>
      </c>
      <c r="AE1324" t="n">
        <v>347750</v>
      </c>
      <c r="AF1324" t="n">
        <v>357500</v>
      </c>
      <c r="AG1324" t="n">
        <v>45500</v>
      </c>
      <c r="AH1324" t="n">
        <v>312000</v>
      </c>
      <c r="AI1324" t="n">
        <v>0</v>
      </c>
    </row>
    <row r="1325">
      <c r="A1325" t="inlineStr">
        <is>
          <t>2월</t>
        </is>
      </c>
      <c r="B1325" t="inlineStr">
        <is>
          <t>9주차</t>
        </is>
      </c>
      <c r="C1325" t="inlineStr">
        <is>
          <t>IM</t>
        </is>
      </c>
      <c r="D1325" s="28" t="n">
        <v>46076</v>
      </c>
      <c r="E1325" t="inlineStr">
        <is>
          <t>IM캐피탈</t>
        </is>
      </c>
      <c r="F1325" t="inlineStr">
        <is>
          <t>이종범</t>
        </is>
      </c>
      <c r="G1325" t="inlineStr">
        <is>
          <t>010-9279-4062</t>
        </is>
      </c>
      <c r="H1325" t="inlineStr">
        <is>
          <t>809조6388</t>
        </is>
      </c>
      <c r="I1325" t="n">
        <v>20200000</v>
      </c>
      <c r="J1325" t="n">
        <v>0.049</v>
      </c>
      <c r="K1325" t="n">
        <v>1.21</v>
      </c>
      <c r="L1325" t="n">
        <v>0.14</v>
      </c>
      <c r="M1325" t="n">
        <v>1.07</v>
      </c>
      <c r="P1325" t="inlineStr">
        <is>
          <t>정세빈</t>
        </is>
      </c>
      <c r="Q1325" t="inlineStr">
        <is>
          <t>홈서비스 60개월</t>
        </is>
      </c>
      <c r="AB1325" t="inlineStr">
        <is>
          <t>홈서비스</t>
        </is>
      </c>
      <c r="AC1325" t="n">
        <v>244420</v>
      </c>
      <c r="AD1325" t="n">
        <v>28280</v>
      </c>
      <c r="AE1325" t="n">
        <v>216140</v>
      </c>
      <c r="AF1325" t="n">
        <v>222200</v>
      </c>
      <c r="AG1325" t="n">
        <v>28280</v>
      </c>
      <c r="AH1325" t="n">
        <v>193920</v>
      </c>
      <c r="AI1325" t="n">
        <v>0</v>
      </c>
    </row>
    <row r="1326">
      <c r="A1326" t="inlineStr">
        <is>
          <t>2월</t>
        </is>
      </c>
      <c r="B1326" t="inlineStr">
        <is>
          <t>9주차</t>
        </is>
      </c>
      <c r="C1326" t="inlineStr">
        <is>
          <t>IM</t>
        </is>
      </c>
      <c r="D1326" s="28" t="n">
        <v>46077</v>
      </c>
      <c r="E1326" t="inlineStr">
        <is>
          <t>IM캐피탈</t>
        </is>
      </c>
      <c r="F1326" t="inlineStr">
        <is>
          <t>강은지</t>
        </is>
      </c>
      <c r="G1326" t="inlineStr">
        <is>
          <t>010-3762-9366</t>
        </is>
      </c>
      <c r="H1326" t="inlineStr">
        <is>
          <t>349어1469</t>
        </is>
      </c>
      <c r="I1326" t="n">
        <v>57600000</v>
      </c>
      <c r="J1326" t="n">
        <v>0.049</v>
      </c>
      <c r="K1326" t="n">
        <v>1.21</v>
      </c>
      <c r="L1326" t="n">
        <v>0.14</v>
      </c>
      <c r="M1326" t="n">
        <v>1.07</v>
      </c>
      <c r="P1326" t="inlineStr">
        <is>
          <t>정세빈</t>
        </is>
      </c>
      <c r="Q1326" t="inlineStr">
        <is>
          <t>홈서비스 72개월</t>
        </is>
      </c>
      <c r="AB1326" t="inlineStr">
        <is>
          <t>홈서비스</t>
        </is>
      </c>
      <c r="AC1326" t="n">
        <v>696960</v>
      </c>
      <c r="AD1326" t="n">
        <v>80640</v>
      </c>
      <c r="AE1326" t="n">
        <v>616320</v>
      </c>
      <c r="AF1326" t="n">
        <v>633600</v>
      </c>
      <c r="AG1326" t="n">
        <v>80640</v>
      </c>
      <c r="AH1326" t="n">
        <v>552960</v>
      </c>
      <c r="AI1326" t="n">
        <v>0</v>
      </c>
    </row>
    <row r="1327">
      <c r="A1327" t="inlineStr">
        <is>
          <t>2월</t>
        </is>
      </c>
      <c r="B1327" t="inlineStr">
        <is>
          <t>9주차</t>
        </is>
      </c>
      <c r="C1327" t="inlineStr">
        <is>
          <t>EP</t>
        </is>
      </c>
      <c r="D1327" s="28" t="n">
        <v>46077</v>
      </c>
      <c r="E1327" t="inlineStr">
        <is>
          <t>현대EP_fast</t>
        </is>
      </c>
      <c r="F1327" t="inlineStr">
        <is>
          <t>천용권</t>
        </is>
      </c>
      <c r="G1327" t="inlineStr">
        <is>
          <t>010-3808-4958</t>
        </is>
      </c>
      <c r="H1327" t="inlineStr">
        <is>
          <t>58가7444</t>
        </is>
      </c>
      <c r="I1327" t="n">
        <v>26000000</v>
      </c>
      <c r="J1327" t="n">
        <v>0.102</v>
      </c>
      <c r="K1327" t="n">
        <v>1.21</v>
      </c>
      <c r="L1327" t="n">
        <v>0.14</v>
      </c>
      <c r="M1327" t="n">
        <v>1.07</v>
      </c>
      <c r="P1327" t="inlineStr">
        <is>
          <t>정광호</t>
        </is>
      </c>
      <c r="Q1327" t="inlineStr">
        <is>
          <t>홈서비스 48개월</t>
        </is>
      </c>
      <c r="AB1327" t="inlineStr">
        <is>
          <t>홈서비스</t>
        </is>
      </c>
      <c r="AC1327" t="n">
        <v>314600</v>
      </c>
      <c r="AD1327" t="n">
        <v>36400</v>
      </c>
      <c r="AE1327" t="n">
        <v>278200</v>
      </c>
      <c r="AF1327" t="n">
        <v>286000</v>
      </c>
      <c r="AG1327" t="n">
        <v>36400</v>
      </c>
      <c r="AH1327" t="n">
        <v>249600</v>
      </c>
      <c r="AI1327" t="n">
        <v>0</v>
      </c>
    </row>
    <row r="1328">
      <c r="A1328" t="inlineStr">
        <is>
          <t>2월</t>
        </is>
      </c>
      <c r="B1328" t="inlineStr">
        <is>
          <t>7주차</t>
        </is>
      </c>
      <c r="C1328" t="inlineStr">
        <is>
          <t>EP</t>
        </is>
      </c>
      <c r="D1328" s="28" t="n">
        <v>46065</v>
      </c>
      <c r="E1328" t="inlineStr">
        <is>
          <t>현대EP_fast</t>
        </is>
      </c>
      <c r="F1328" t="inlineStr">
        <is>
          <t>신경준</t>
        </is>
      </c>
      <c r="G1328" t="inlineStr">
        <is>
          <t>010-6266-7229</t>
        </is>
      </c>
      <c r="H1328" t="inlineStr">
        <is>
          <t>03루8113</t>
        </is>
      </c>
      <c r="I1328" t="n">
        <v>15000000</v>
      </c>
      <c r="J1328" t="n">
        <v>0.08400000000000001</v>
      </c>
      <c r="K1328" t="n">
        <v>1.21</v>
      </c>
      <c r="L1328" t="n">
        <v>0.14</v>
      </c>
      <c r="M1328" t="n">
        <v>1.07</v>
      </c>
      <c r="P1328" t="inlineStr">
        <is>
          <t>황채이</t>
        </is>
      </c>
      <c r="Q1328" t="inlineStr">
        <is>
          <t>홈서비스 48개월 / 금리인하 0.5% 적용건 ( 8.9 &gt; 8.4 )</t>
        </is>
      </c>
      <c r="AB1328" t="inlineStr">
        <is>
          <t>홈서비스</t>
        </is>
      </c>
      <c r="AC1328" t="n">
        <v>181500</v>
      </c>
      <c r="AD1328" t="n">
        <v>21000</v>
      </c>
      <c r="AE1328" t="n">
        <v>160500</v>
      </c>
      <c r="AF1328" t="n">
        <v>165000</v>
      </c>
      <c r="AG1328" t="n">
        <v>21000</v>
      </c>
      <c r="AH1328" t="n">
        <v>144000</v>
      </c>
      <c r="AI1328" t="n">
        <v>0</v>
      </c>
    </row>
    <row r="1329">
      <c r="A1329" t="inlineStr">
        <is>
          <t>2월</t>
        </is>
      </c>
      <c r="B1329" t="inlineStr">
        <is>
          <t>7주차</t>
        </is>
      </c>
      <c r="C1329" t="inlineStr">
        <is>
          <t>EP</t>
        </is>
      </c>
      <c r="D1329" s="28" t="n">
        <v>46062</v>
      </c>
      <c r="E1329" t="inlineStr">
        <is>
          <t>현대EP_fast</t>
        </is>
      </c>
      <c r="F1329" t="inlineStr">
        <is>
          <t>김민정</t>
        </is>
      </c>
      <c r="G1329" t="inlineStr">
        <is>
          <t>010-24415665</t>
        </is>
      </c>
      <c r="H1329" t="inlineStr">
        <is>
          <t>155소8897</t>
        </is>
      </c>
      <c r="I1329" t="n">
        <v>17000000</v>
      </c>
      <c r="J1329" t="n">
        <v>0.105</v>
      </c>
      <c r="K1329" t="n">
        <v>1.21</v>
      </c>
      <c r="L1329" t="n">
        <v>0.4</v>
      </c>
      <c r="M1329" t="n">
        <v>0.8100000000000001</v>
      </c>
      <c r="P1329" t="inlineStr">
        <is>
          <t>박현민</t>
        </is>
      </c>
      <c r="Q1329" t="inlineStr">
        <is>
          <t>고객주도체결</t>
        </is>
      </c>
      <c r="AB1329" t="inlineStr">
        <is>
          <t>엔카</t>
        </is>
      </c>
      <c r="AC1329" t="n">
        <v>205700</v>
      </c>
      <c r="AD1329" t="n">
        <v>68000</v>
      </c>
      <c r="AE1329" t="n">
        <v>137700</v>
      </c>
      <c r="AF1329" t="n">
        <v>187000</v>
      </c>
      <c r="AG1329" t="n">
        <v>68000</v>
      </c>
      <c r="AH1329" t="n">
        <v>119000</v>
      </c>
      <c r="AI1329" t="n">
        <v>0</v>
      </c>
    </row>
    <row r="1330">
      <c r="A1330" t="inlineStr">
        <is>
          <t>2월</t>
        </is>
      </c>
      <c r="B1330" t="inlineStr">
        <is>
          <t>7주차</t>
        </is>
      </c>
      <c r="C1330" t="inlineStr">
        <is>
          <t>EP</t>
        </is>
      </c>
      <c r="D1330" s="28" t="n">
        <v>46066</v>
      </c>
      <c r="E1330" t="inlineStr">
        <is>
          <t>현대EP_fast</t>
        </is>
      </c>
      <c r="F1330" t="inlineStr">
        <is>
          <t>유승배</t>
        </is>
      </c>
      <c r="G1330" t="inlineStr">
        <is>
          <t>010-7611-3134</t>
        </is>
      </c>
      <c r="H1330" t="inlineStr">
        <is>
          <t>45조6197</t>
        </is>
      </c>
      <c r="I1330" t="n">
        <v>15900000</v>
      </c>
      <c r="J1330" t="n">
        <v>0.08400000000000001</v>
      </c>
      <c r="K1330" t="n">
        <v>1.21</v>
      </c>
      <c r="L1330" t="n">
        <v>0.14</v>
      </c>
      <c r="M1330" t="n">
        <v>1.07</v>
      </c>
      <c r="P1330" t="inlineStr">
        <is>
          <t>황채이</t>
        </is>
      </c>
      <c r="Q1330" t="inlineStr">
        <is>
          <t>홈서비스 48개월 / 금리인하 0.5% 적용건 ( 8.9&gt; 8.4 )</t>
        </is>
      </c>
      <c r="AB1330" t="inlineStr">
        <is>
          <t>홈서비스</t>
        </is>
      </c>
      <c r="AC1330" t="n">
        <v>192390</v>
      </c>
      <c r="AD1330" t="n">
        <v>22260</v>
      </c>
      <c r="AE1330" t="n">
        <v>170130</v>
      </c>
      <c r="AF1330" t="n">
        <v>174900</v>
      </c>
      <c r="AG1330" t="n">
        <v>22260</v>
      </c>
      <c r="AH1330" t="n">
        <v>152640</v>
      </c>
      <c r="AI1330" t="n">
        <v>0</v>
      </c>
    </row>
    <row r="1331">
      <c r="A1331" t="inlineStr">
        <is>
          <t>2월</t>
        </is>
      </c>
      <c r="B1331" t="inlineStr">
        <is>
          <t>7주차</t>
        </is>
      </c>
      <c r="C1331" t="inlineStr">
        <is>
          <t>OR</t>
        </is>
      </c>
      <c r="D1331" s="28" t="n">
        <v>46064</v>
      </c>
      <c r="E1331" t="inlineStr">
        <is>
          <t>오릭스</t>
        </is>
      </c>
      <c r="F1331" t="inlineStr">
        <is>
          <t>전용주</t>
        </is>
      </c>
      <c r="G1331" t="inlineStr">
        <is>
          <t>010-9276-5612</t>
        </is>
      </c>
      <c r="H1331" t="inlineStr">
        <is>
          <t>19나1727</t>
        </is>
      </c>
      <c r="I1331" t="n">
        <v>13200000</v>
      </c>
      <c r="J1331" t="n">
        <v>0.075</v>
      </c>
      <c r="K1331" t="n">
        <v>1.65</v>
      </c>
      <c r="L1331" t="n">
        <v>0.4</v>
      </c>
      <c r="M1331" t="n">
        <v>1.25</v>
      </c>
      <c r="P1331" t="inlineStr">
        <is>
          <t>박보람</t>
        </is>
      </c>
      <c r="AB1331" t="inlineStr">
        <is>
          <t>엔카</t>
        </is>
      </c>
      <c r="AC1331" t="n">
        <v>217800</v>
      </c>
      <c r="AD1331" t="n">
        <v>52800</v>
      </c>
      <c r="AE1331" t="n">
        <v>165000</v>
      </c>
      <c r="AF1331" t="n">
        <v>198000</v>
      </c>
      <c r="AG1331" t="n">
        <v>52800</v>
      </c>
      <c r="AH1331" t="n">
        <v>145200</v>
      </c>
      <c r="AI1331" t="n">
        <v>0</v>
      </c>
    </row>
    <row r="1332">
      <c r="A1332" t="inlineStr">
        <is>
          <t>2월</t>
        </is>
      </c>
      <c r="B1332" t="inlineStr">
        <is>
          <t>7주차</t>
        </is>
      </c>
      <c r="C1332" t="inlineStr">
        <is>
          <t>OR</t>
        </is>
      </c>
      <c r="D1332" s="28" t="n">
        <v>46065</v>
      </c>
      <c r="E1332" t="inlineStr">
        <is>
          <t>오릭스</t>
        </is>
      </c>
      <c r="F1332" t="inlineStr">
        <is>
          <t>배가람</t>
        </is>
      </c>
      <c r="G1332" t="inlineStr">
        <is>
          <t>010-2027-4003</t>
        </is>
      </c>
      <c r="H1332" t="inlineStr">
        <is>
          <t>307도7965</t>
        </is>
      </c>
      <c r="I1332" t="n">
        <v>36800000</v>
      </c>
      <c r="J1332" t="n">
        <v>0.07099999999999999</v>
      </c>
      <c r="K1332" t="n">
        <v>1.65</v>
      </c>
      <c r="L1332" t="n">
        <v>0.4</v>
      </c>
      <c r="M1332" t="n">
        <v>1.25</v>
      </c>
      <c r="P1332" t="inlineStr">
        <is>
          <t>박보람</t>
        </is>
      </c>
      <c r="Q1332" t="inlineStr">
        <is>
          <t>공동명의</t>
        </is>
      </c>
      <c r="AB1332" t="inlineStr">
        <is>
          <t>엔카</t>
        </is>
      </c>
      <c r="AC1332" t="n">
        <v>607200</v>
      </c>
      <c r="AD1332" t="n">
        <v>147200</v>
      </c>
      <c r="AE1332" t="n">
        <v>460000</v>
      </c>
      <c r="AF1332" t="n">
        <v>552000</v>
      </c>
      <c r="AG1332" t="n">
        <v>147200</v>
      </c>
      <c r="AH1332" t="n">
        <v>404800</v>
      </c>
    </row>
    <row r="1333">
      <c r="A1333" t="inlineStr">
        <is>
          <t>2월</t>
        </is>
      </c>
      <c r="B1333" t="inlineStr">
        <is>
          <t>8주차</t>
        </is>
      </c>
      <c r="C1333" t="inlineStr">
        <is>
          <t>IM</t>
        </is>
      </c>
      <c r="D1333" s="28" t="n">
        <v>46073</v>
      </c>
      <c r="E1333" t="inlineStr">
        <is>
          <t>IM캐피탈</t>
        </is>
      </c>
      <c r="F1333" t="inlineStr">
        <is>
          <t>이영근</t>
        </is>
      </c>
      <c r="G1333" t="inlineStr">
        <is>
          <t>010-4748-2421</t>
        </is>
      </c>
      <c r="H1333" t="inlineStr">
        <is>
          <t>276조7543</t>
        </is>
      </c>
      <c r="I1333" t="n">
        <v>70600000</v>
      </c>
      <c r="J1333" t="n">
        <v>0.049</v>
      </c>
      <c r="K1333" t="n">
        <v>1.1</v>
      </c>
      <c r="L1333" t="n">
        <v>0.4</v>
      </c>
      <c r="M1333" t="n">
        <v>0.7</v>
      </c>
      <c r="P1333" t="inlineStr">
        <is>
          <t>장진경</t>
        </is>
      </c>
      <c r="Q1333" t="inlineStr">
        <is>
          <t>부대비용 추가진행</t>
        </is>
      </c>
      <c r="AB1333" t="inlineStr">
        <is>
          <t>엔카</t>
        </is>
      </c>
      <c r="AC1333" t="n">
        <v>776600</v>
      </c>
      <c r="AD1333" t="n">
        <v>282400</v>
      </c>
      <c r="AE1333" t="n">
        <v>494200</v>
      </c>
      <c r="AF1333" t="n">
        <v>706000</v>
      </c>
      <c r="AG1333" t="n">
        <v>282400</v>
      </c>
      <c r="AH1333" t="n">
        <v>423600</v>
      </c>
    </row>
    <row r="1334">
      <c r="A1334" t="inlineStr">
        <is>
          <t>2월</t>
        </is>
      </c>
      <c r="B1334" t="inlineStr">
        <is>
          <t>9주차</t>
        </is>
      </c>
      <c r="C1334" t="inlineStr">
        <is>
          <t>EP</t>
        </is>
      </c>
      <c r="D1334" s="28" t="n">
        <v>46078</v>
      </c>
      <c r="E1334" t="inlineStr">
        <is>
          <t>현대EP_fast</t>
        </is>
      </c>
      <c r="F1334" t="inlineStr">
        <is>
          <t>이종현</t>
        </is>
      </c>
      <c r="G1334" t="inlineStr">
        <is>
          <t>010-4629-6914</t>
        </is>
      </c>
      <c r="H1334" t="inlineStr">
        <is>
          <t>103서9920</t>
        </is>
      </c>
      <c r="I1334" t="n">
        <v>16900000</v>
      </c>
      <c r="J1334" t="n">
        <v>0.063</v>
      </c>
      <c r="K1334" t="n">
        <v>1.76</v>
      </c>
      <c r="L1334" t="n">
        <v>0.14</v>
      </c>
      <c r="M1334" t="n">
        <v>1.62</v>
      </c>
      <c r="P1334" t="inlineStr">
        <is>
          <t>장현경</t>
        </is>
      </c>
      <c r="Q1334" t="inlineStr">
        <is>
          <t>선상담 홈서비스 48개월 / 금리인하 0.5% 적용건 (6.8 &gt; 6.3)</t>
        </is>
      </c>
      <c r="AB1334" t="inlineStr">
        <is>
          <t>홈서비스</t>
        </is>
      </c>
      <c r="AC1334" t="n">
        <v>297440</v>
      </c>
      <c r="AD1334" t="n">
        <v>23660</v>
      </c>
      <c r="AE1334" t="n">
        <v>273780</v>
      </c>
      <c r="AF1334" t="n">
        <v>270400</v>
      </c>
      <c r="AG1334" t="n">
        <v>23660</v>
      </c>
      <c r="AH1334" t="n">
        <v>246740</v>
      </c>
    </row>
    <row r="1335">
      <c r="A1335" t="inlineStr">
        <is>
          <t>2월</t>
        </is>
      </c>
      <c r="B1335" t="inlineStr">
        <is>
          <t>9주차</t>
        </is>
      </c>
      <c r="C1335" t="inlineStr">
        <is>
          <t>EP</t>
        </is>
      </c>
      <c r="D1335" s="28" t="n">
        <v>46079</v>
      </c>
      <c r="E1335" t="inlineStr">
        <is>
          <t>현대EP</t>
        </is>
      </c>
      <c r="F1335" t="inlineStr">
        <is>
          <t>신예진</t>
        </is>
      </c>
      <c r="G1335" t="inlineStr">
        <is>
          <t>010-2417-4196</t>
        </is>
      </c>
      <c r="H1335" t="inlineStr">
        <is>
          <t>261머7643</t>
        </is>
      </c>
      <c r="I1335" t="n">
        <v>7900000</v>
      </c>
      <c r="J1335" t="n">
        <v>0.124</v>
      </c>
      <c r="K1335" t="n">
        <v>1.76</v>
      </c>
      <c r="L1335" t="n">
        <v>0.14</v>
      </c>
      <c r="M1335" t="n">
        <v>1.62</v>
      </c>
      <c r="P1335" t="inlineStr">
        <is>
          <t>김나윤</t>
        </is>
      </c>
      <c r="Q1335" t="inlineStr">
        <is>
          <t>홈서비스 24개월</t>
        </is>
      </c>
      <c r="AB1335" t="inlineStr">
        <is>
          <t>홈서비스</t>
        </is>
      </c>
      <c r="AC1335" t="n">
        <v>139040</v>
      </c>
      <c r="AD1335" t="n">
        <v>11060</v>
      </c>
      <c r="AE1335" t="n">
        <v>127980</v>
      </c>
      <c r="AF1335" t="n">
        <v>126400</v>
      </c>
      <c r="AG1335" t="n">
        <v>11060</v>
      </c>
      <c r="AH1335" t="n">
        <v>115340</v>
      </c>
      <c r="AI1335" t="n">
        <v>0</v>
      </c>
    </row>
    <row r="1336">
      <c r="A1336" t="inlineStr">
        <is>
          <t>2월</t>
        </is>
      </c>
      <c r="B1336" t="inlineStr">
        <is>
          <t>7주차</t>
        </is>
      </c>
      <c r="C1336" t="inlineStr">
        <is>
          <t>IM</t>
        </is>
      </c>
      <c r="D1336" s="28" t="n">
        <v>46066</v>
      </c>
      <c r="E1336" t="inlineStr">
        <is>
          <t>IM캐피탈</t>
        </is>
      </c>
      <c r="F1336" t="inlineStr">
        <is>
          <t>오세은</t>
        </is>
      </c>
      <c r="G1336" t="inlineStr">
        <is>
          <t>010-6483-4563</t>
        </is>
      </c>
      <c r="H1336" t="inlineStr">
        <is>
          <t>24보0904</t>
        </is>
      </c>
      <c r="I1336" t="n">
        <v>5700000</v>
      </c>
      <c r="J1336" t="n">
        <v>0.082</v>
      </c>
      <c r="K1336" t="n">
        <v>1.1</v>
      </c>
      <c r="L1336" t="n">
        <v>0.4</v>
      </c>
      <c r="M1336" t="n">
        <v>0.7</v>
      </c>
      <c r="P1336" t="inlineStr">
        <is>
          <t>장진경</t>
        </is>
      </c>
      <c r="Q1336" t="inlineStr">
        <is>
          <t>개인간거래</t>
        </is>
      </c>
      <c r="AB1336" t="inlineStr">
        <is>
          <t>엔카</t>
        </is>
      </c>
      <c r="AC1336" t="n">
        <v>62700</v>
      </c>
      <c r="AD1336" t="n">
        <v>22800</v>
      </c>
      <c r="AE1336" t="n">
        <v>39900</v>
      </c>
      <c r="AF1336" t="n">
        <v>57000</v>
      </c>
      <c r="AG1336" t="n">
        <v>22800</v>
      </c>
      <c r="AH1336" t="n">
        <v>34200</v>
      </c>
      <c r="AI1336" t="n">
        <v>0</v>
      </c>
    </row>
    <row r="1337">
      <c r="A1337" t="inlineStr">
        <is>
          <t>2월</t>
        </is>
      </c>
      <c r="B1337" t="inlineStr">
        <is>
          <t>7주차</t>
        </is>
      </c>
      <c r="C1337" t="inlineStr">
        <is>
          <t>IM</t>
        </is>
      </c>
      <c r="D1337" s="28" t="n">
        <v>46063</v>
      </c>
      <c r="E1337" t="inlineStr">
        <is>
          <t>IM캐피탈</t>
        </is>
      </c>
      <c r="F1337" t="inlineStr">
        <is>
          <t>김낙현</t>
        </is>
      </c>
      <c r="G1337" t="inlineStr">
        <is>
          <t>010-6796-0030</t>
        </is>
      </c>
      <c r="H1337" t="inlineStr">
        <is>
          <t>29루6925</t>
        </is>
      </c>
      <c r="I1337" t="n">
        <v>10000000</v>
      </c>
      <c r="J1337" t="n">
        <v>0.059</v>
      </c>
      <c r="K1337" t="n">
        <v>1.1</v>
      </c>
      <c r="L1337" t="n">
        <v>0.14</v>
      </c>
      <c r="M1337" t="n">
        <v>0.96</v>
      </c>
      <c r="P1337" t="inlineStr">
        <is>
          <t>최형주</t>
        </is>
      </c>
      <c r="Q1337" t="inlineStr">
        <is>
          <t>홈서비스 36개월</t>
        </is>
      </c>
      <c r="AB1337" t="inlineStr">
        <is>
          <t>홈서비스</t>
        </is>
      </c>
      <c r="AC1337" t="n">
        <v>110000</v>
      </c>
      <c r="AD1337" t="n">
        <v>14000</v>
      </c>
      <c r="AE1337" t="n">
        <v>96000</v>
      </c>
      <c r="AF1337" t="n">
        <v>100000</v>
      </c>
      <c r="AG1337" t="n">
        <v>14000</v>
      </c>
      <c r="AH1337" t="n">
        <v>86000</v>
      </c>
      <c r="AI1337" t="n">
        <v>0</v>
      </c>
    </row>
    <row r="1338">
      <c r="A1338" t="inlineStr">
        <is>
          <t>2월</t>
        </is>
      </c>
      <c r="B1338" t="inlineStr">
        <is>
          <t>7주차</t>
        </is>
      </c>
      <c r="C1338" t="inlineStr">
        <is>
          <t>IM</t>
        </is>
      </c>
      <c r="D1338" s="28" t="n">
        <v>46065</v>
      </c>
      <c r="E1338" t="inlineStr">
        <is>
          <t>IM캐피탈</t>
        </is>
      </c>
      <c r="F1338" t="inlineStr">
        <is>
          <t>이영환</t>
        </is>
      </c>
      <c r="G1338" t="inlineStr">
        <is>
          <t>010-2852-9229</t>
        </is>
      </c>
      <c r="H1338" t="inlineStr">
        <is>
          <t>362머1599</t>
        </is>
      </c>
      <c r="I1338" t="n">
        <v>20000000</v>
      </c>
      <c r="J1338" t="n">
        <v>0.059</v>
      </c>
      <c r="K1338" t="n">
        <v>1.1</v>
      </c>
      <c r="L1338" t="n">
        <v>0.4</v>
      </c>
      <c r="M1338" t="n">
        <v>0.7</v>
      </c>
      <c r="P1338" t="inlineStr">
        <is>
          <t>박소현</t>
        </is>
      </c>
      <c r="AB1338" t="inlineStr">
        <is>
          <t>엔카</t>
        </is>
      </c>
      <c r="AC1338" t="n">
        <v>220000</v>
      </c>
      <c r="AD1338" t="n">
        <v>80000</v>
      </c>
      <c r="AE1338" t="n">
        <v>140000</v>
      </c>
      <c r="AF1338" t="n">
        <v>200000</v>
      </c>
      <c r="AG1338" t="n">
        <v>80000</v>
      </c>
      <c r="AH1338" t="n">
        <v>120000</v>
      </c>
    </row>
    <row r="1339">
      <c r="A1339" t="inlineStr">
        <is>
          <t>2월</t>
        </is>
      </c>
      <c r="B1339" t="inlineStr">
        <is>
          <t>7주차</t>
        </is>
      </c>
      <c r="C1339" t="inlineStr">
        <is>
          <t>EP</t>
        </is>
      </c>
      <c r="D1339" s="28" t="n">
        <v>46066</v>
      </c>
      <c r="E1339" t="inlineStr">
        <is>
          <t>현대EP</t>
        </is>
      </c>
      <c r="F1339" t="inlineStr">
        <is>
          <t>이희락</t>
        </is>
      </c>
      <c r="G1339" t="inlineStr">
        <is>
          <t>010-3697-2810</t>
        </is>
      </c>
      <c r="H1339" t="inlineStr">
        <is>
          <t>65보2105</t>
        </is>
      </c>
      <c r="I1339" t="n">
        <v>32800000</v>
      </c>
      <c r="J1339" t="n">
        <v>0.08500000000000001</v>
      </c>
      <c r="K1339" t="n">
        <v>1.76</v>
      </c>
      <c r="L1339" t="n">
        <v>0.14</v>
      </c>
      <c r="M1339" t="n">
        <v>1.62</v>
      </c>
      <c r="P1339" t="inlineStr">
        <is>
          <t>황채이</t>
        </is>
      </c>
      <c r="Q1339" t="inlineStr">
        <is>
          <t>홈서비스 60개월</t>
        </is>
      </c>
      <c r="AB1339" t="inlineStr">
        <is>
          <t>홈서비스</t>
        </is>
      </c>
      <c r="AC1339" t="n">
        <v>577280</v>
      </c>
      <c r="AD1339" t="n">
        <v>45920</v>
      </c>
      <c r="AE1339" t="n">
        <v>531360</v>
      </c>
      <c r="AF1339" t="n">
        <v>524800</v>
      </c>
      <c r="AG1339" t="n">
        <v>45920</v>
      </c>
      <c r="AH1339" t="n">
        <v>478880</v>
      </c>
    </row>
    <row r="1340">
      <c r="A1340" t="inlineStr">
        <is>
          <t>2월</t>
        </is>
      </c>
      <c r="B1340" t="inlineStr">
        <is>
          <t>7주차</t>
        </is>
      </c>
      <c r="C1340" t="inlineStr">
        <is>
          <t>EP</t>
        </is>
      </c>
      <c r="D1340" s="28" t="n">
        <v>46066</v>
      </c>
      <c r="E1340" t="inlineStr">
        <is>
          <t>현대EP</t>
        </is>
      </c>
      <c r="F1340" t="inlineStr">
        <is>
          <t>이혜진</t>
        </is>
      </c>
      <c r="G1340" t="inlineStr">
        <is>
          <t>010-4567-3967</t>
        </is>
      </c>
      <c r="H1340" t="inlineStr">
        <is>
          <t>345노2640</t>
        </is>
      </c>
      <c r="I1340" t="n">
        <v>15600000</v>
      </c>
      <c r="J1340" t="n">
        <v>0.073</v>
      </c>
      <c r="K1340" t="n">
        <v>1.76</v>
      </c>
      <c r="L1340" t="n">
        <v>0.14</v>
      </c>
      <c r="M1340" t="n">
        <v>1.62</v>
      </c>
      <c r="P1340" t="inlineStr">
        <is>
          <t>정세빈</t>
        </is>
      </c>
      <c r="Q1340" t="inlineStr">
        <is>
          <t>홈서비스 60개월</t>
        </is>
      </c>
      <c r="AB1340" t="inlineStr">
        <is>
          <t>홈서비스</t>
        </is>
      </c>
      <c r="AC1340" t="n">
        <v>274560</v>
      </c>
      <c r="AD1340" t="n">
        <v>21840</v>
      </c>
      <c r="AE1340" t="n">
        <v>252720</v>
      </c>
      <c r="AF1340" t="n">
        <v>249600</v>
      </c>
      <c r="AG1340" t="n">
        <v>21840</v>
      </c>
      <c r="AH1340" t="n">
        <v>227760</v>
      </c>
      <c r="AI1340" t="n">
        <v>0</v>
      </c>
    </row>
    <row r="1341">
      <c r="A1341" t="inlineStr">
        <is>
          <t>2월</t>
        </is>
      </c>
      <c r="B1341" t="inlineStr">
        <is>
          <t>7주차</t>
        </is>
      </c>
      <c r="C1341" t="inlineStr">
        <is>
          <t>IM</t>
        </is>
      </c>
      <c r="D1341" s="28" t="n">
        <v>46066</v>
      </c>
      <c r="E1341" t="inlineStr">
        <is>
          <t>IM캐피탈</t>
        </is>
      </c>
      <c r="F1341" t="inlineStr">
        <is>
          <t>김형준</t>
        </is>
      </c>
      <c r="G1341" t="inlineStr">
        <is>
          <t>010-4858-7490</t>
        </is>
      </c>
      <c r="H1341" t="inlineStr">
        <is>
          <t>62더4160</t>
        </is>
      </c>
      <c r="I1341" t="n">
        <v>18900000</v>
      </c>
      <c r="J1341" t="n">
        <v>0.059</v>
      </c>
      <c r="K1341" t="n">
        <v>1.1</v>
      </c>
      <c r="L1341" t="n">
        <v>0.4</v>
      </c>
      <c r="M1341" t="n">
        <v>0.7</v>
      </c>
      <c r="P1341" t="inlineStr">
        <is>
          <t>임대경</t>
        </is>
      </c>
      <c r="AB1341" t="inlineStr">
        <is>
          <t>엔카</t>
        </is>
      </c>
      <c r="AC1341" t="n">
        <v>207900</v>
      </c>
      <c r="AD1341" t="n">
        <v>75600</v>
      </c>
      <c r="AE1341" t="n">
        <v>132300</v>
      </c>
      <c r="AF1341" t="n">
        <v>189000</v>
      </c>
      <c r="AG1341" t="n">
        <v>75600</v>
      </c>
      <c r="AH1341" t="n">
        <v>113400</v>
      </c>
    </row>
    <row r="1342">
      <c r="A1342" t="inlineStr">
        <is>
          <t>2월</t>
        </is>
      </c>
      <c r="B1342" t="inlineStr">
        <is>
          <t>8주차</t>
        </is>
      </c>
      <c r="C1342" t="inlineStr">
        <is>
          <t>EP</t>
        </is>
      </c>
      <c r="D1342" s="28" t="n">
        <v>46072</v>
      </c>
      <c r="E1342" t="inlineStr">
        <is>
          <t>현대EP</t>
        </is>
      </c>
      <c r="F1342" t="inlineStr">
        <is>
          <t>안영주</t>
        </is>
      </c>
      <c r="G1342" t="inlineStr">
        <is>
          <t>010-7535-9479</t>
        </is>
      </c>
      <c r="H1342" t="inlineStr">
        <is>
          <t>63모0877</t>
        </is>
      </c>
      <c r="I1342" t="n">
        <v>11500000</v>
      </c>
      <c r="J1342" t="n">
        <v>0.074</v>
      </c>
      <c r="K1342" t="n">
        <v>1.76</v>
      </c>
      <c r="L1342" t="n">
        <v>0.14</v>
      </c>
      <c r="M1342" t="n">
        <v>1.62</v>
      </c>
      <c r="P1342" t="inlineStr">
        <is>
          <t>김수연</t>
        </is>
      </c>
      <c r="Q1342" t="inlineStr">
        <is>
          <t>홈서비스 60개월</t>
        </is>
      </c>
      <c r="AB1342" t="inlineStr">
        <is>
          <t>홈서비스</t>
        </is>
      </c>
      <c r="AC1342" t="n">
        <v>202400</v>
      </c>
      <c r="AD1342" t="n">
        <v>16100</v>
      </c>
      <c r="AE1342" t="n">
        <v>186300</v>
      </c>
      <c r="AF1342" t="n">
        <v>184000</v>
      </c>
      <c r="AG1342" t="n">
        <v>16100</v>
      </c>
      <c r="AH1342" t="n">
        <v>167900</v>
      </c>
      <c r="AI1342" t="n">
        <v>0</v>
      </c>
    </row>
    <row r="1343">
      <c r="A1343" t="inlineStr">
        <is>
          <t>2월</t>
        </is>
      </c>
      <c r="B1343" t="inlineStr">
        <is>
          <t>8주차</t>
        </is>
      </c>
      <c r="C1343" t="inlineStr">
        <is>
          <t>EP</t>
        </is>
      </c>
      <c r="D1343" s="28" t="n">
        <v>46072</v>
      </c>
      <c r="E1343" t="inlineStr">
        <is>
          <t>현대EP</t>
        </is>
      </c>
      <c r="F1343" t="inlineStr">
        <is>
          <t>조영준</t>
        </is>
      </c>
      <c r="G1343" t="inlineStr">
        <is>
          <t>010-3872-0649</t>
        </is>
      </c>
      <c r="H1343" t="inlineStr">
        <is>
          <t>53라3089</t>
        </is>
      </c>
      <c r="I1343" t="n">
        <v>7600000</v>
      </c>
      <c r="J1343" t="n">
        <v>0.079</v>
      </c>
      <c r="K1343" t="n">
        <v>1.76</v>
      </c>
      <c r="L1343" t="n">
        <v>0.14</v>
      </c>
      <c r="M1343" t="n">
        <v>1.62</v>
      </c>
      <c r="P1343" t="inlineStr">
        <is>
          <t>정광호</t>
        </is>
      </c>
      <c r="Q1343" t="inlineStr">
        <is>
          <t>홈서비스 60개월</t>
        </is>
      </c>
      <c r="AB1343" t="inlineStr">
        <is>
          <t>홈서비스</t>
        </is>
      </c>
      <c r="AC1343" t="n">
        <v>133760</v>
      </c>
      <c r="AD1343" t="n">
        <v>10640</v>
      </c>
      <c r="AE1343" t="n">
        <v>123120</v>
      </c>
      <c r="AF1343" t="n">
        <v>121600</v>
      </c>
      <c r="AG1343" t="n">
        <v>10640</v>
      </c>
      <c r="AH1343" t="n">
        <v>110960</v>
      </c>
    </row>
    <row r="1344">
      <c r="A1344" t="inlineStr">
        <is>
          <t>2월</t>
        </is>
      </c>
      <c r="B1344" t="inlineStr">
        <is>
          <t>9주차</t>
        </is>
      </c>
      <c r="C1344" t="inlineStr">
        <is>
          <t>EP</t>
        </is>
      </c>
      <c r="D1344" s="28" t="n">
        <v>46076</v>
      </c>
      <c r="E1344" t="inlineStr">
        <is>
          <t>현대EP_fast</t>
        </is>
      </c>
      <c r="F1344" t="inlineStr">
        <is>
          <t>윤혜연</t>
        </is>
      </c>
      <c r="G1344" t="inlineStr">
        <is>
          <t>010-2952-0913</t>
        </is>
      </c>
      <c r="H1344" t="inlineStr">
        <is>
          <t>31저6315</t>
        </is>
      </c>
      <c r="I1344" t="n">
        <v>5900000</v>
      </c>
      <c r="J1344" t="n">
        <v>0.068</v>
      </c>
      <c r="K1344" t="n">
        <v>1.76</v>
      </c>
      <c r="L1344" t="n">
        <v>0.14</v>
      </c>
      <c r="M1344" t="n">
        <v>1.62</v>
      </c>
      <c r="P1344" t="inlineStr">
        <is>
          <t>정세빈</t>
        </is>
      </c>
      <c r="Q1344" t="inlineStr">
        <is>
          <t>홈서비스 60개월 / 고객주도체결</t>
        </is>
      </c>
      <c r="AB1344" t="inlineStr">
        <is>
          <t>홈서비스</t>
        </is>
      </c>
      <c r="AC1344" t="n">
        <v>103840</v>
      </c>
      <c r="AD1344" t="n">
        <v>8260</v>
      </c>
      <c r="AE1344" t="n">
        <v>95580</v>
      </c>
      <c r="AF1344" t="n">
        <v>94400</v>
      </c>
      <c r="AG1344" t="n">
        <v>8260</v>
      </c>
      <c r="AH1344" t="n">
        <v>86140</v>
      </c>
    </row>
    <row r="1345">
      <c r="A1345" t="inlineStr">
        <is>
          <t>2월</t>
        </is>
      </c>
      <c r="B1345" t="inlineStr">
        <is>
          <t>8주차</t>
        </is>
      </c>
      <c r="C1345" t="inlineStr">
        <is>
          <t>EP</t>
        </is>
      </c>
      <c r="D1345" s="28" t="n">
        <v>46072</v>
      </c>
      <c r="E1345" t="inlineStr">
        <is>
          <t>현대EP_fast</t>
        </is>
      </c>
      <c r="F1345" t="inlineStr">
        <is>
          <t>유세미</t>
        </is>
      </c>
      <c r="G1345" t="inlineStr">
        <is>
          <t>010-6350-7764</t>
        </is>
      </c>
      <c r="H1345" t="inlineStr">
        <is>
          <t>22무1445</t>
        </is>
      </c>
      <c r="I1345" t="n">
        <v>4000000</v>
      </c>
      <c r="J1345" t="n">
        <v>0.082</v>
      </c>
      <c r="K1345" t="n">
        <v>1.76</v>
      </c>
      <c r="L1345" t="n">
        <v>0.14</v>
      </c>
      <c r="M1345" t="n">
        <v>1.62</v>
      </c>
      <c r="P1345" t="inlineStr">
        <is>
          <t>박소현</t>
        </is>
      </c>
      <c r="Q1345" t="inlineStr">
        <is>
          <t>선상담 /홈서비스 60개월 / 금리인하 0.5% 적용건 ( 8.7&gt; 8.2 )</t>
        </is>
      </c>
      <c r="AB1345" t="inlineStr">
        <is>
          <t>홈서비스</t>
        </is>
      </c>
      <c r="AC1345" t="n">
        <v>70400</v>
      </c>
      <c r="AD1345" t="n">
        <v>5600</v>
      </c>
      <c r="AE1345" t="n">
        <v>64800</v>
      </c>
      <c r="AF1345" t="n">
        <v>64000</v>
      </c>
      <c r="AG1345" t="n">
        <v>5600</v>
      </c>
      <c r="AH1345" t="n">
        <v>58400</v>
      </c>
      <c r="AI1345" t="n">
        <v>0</v>
      </c>
    </row>
    <row r="1346">
      <c r="A1346" t="inlineStr">
        <is>
          <t>2월</t>
        </is>
      </c>
      <c r="B1346" t="inlineStr">
        <is>
          <t>9주차</t>
        </is>
      </c>
      <c r="C1346" t="inlineStr">
        <is>
          <t>EP</t>
        </is>
      </c>
      <c r="D1346" s="28" t="n">
        <v>46077</v>
      </c>
      <c r="E1346" t="inlineStr">
        <is>
          <t>현대EP</t>
        </is>
      </c>
      <c r="F1346" t="inlineStr">
        <is>
          <t>최재길</t>
        </is>
      </c>
      <c r="G1346" t="inlineStr">
        <is>
          <t>010-6342-7130</t>
        </is>
      </c>
      <c r="H1346" t="inlineStr">
        <is>
          <t>227머3973</t>
        </is>
      </c>
      <c r="I1346" t="n">
        <v>25300000</v>
      </c>
      <c r="J1346" t="n">
        <v>0.06900000000000001</v>
      </c>
      <c r="K1346" t="n">
        <v>1.76</v>
      </c>
      <c r="L1346" t="n">
        <v>0.14</v>
      </c>
      <c r="M1346" t="n">
        <v>1.62</v>
      </c>
      <c r="P1346" t="inlineStr">
        <is>
          <t>최형주</t>
        </is>
      </c>
      <c r="Q1346" t="inlineStr">
        <is>
          <t>홈서비스 48개월</t>
        </is>
      </c>
      <c r="AB1346" t="inlineStr">
        <is>
          <t>홈서비스</t>
        </is>
      </c>
      <c r="AC1346" t="n">
        <v>445280</v>
      </c>
      <c r="AD1346" t="n">
        <v>35420</v>
      </c>
      <c r="AE1346" t="n">
        <v>409860</v>
      </c>
      <c r="AF1346" t="n">
        <v>404800</v>
      </c>
      <c r="AG1346" t="n">
        <v>35420</v>
      </c>
      <c r="AH1346" t="n">
        <v>369380</v>
      </c>
      <c r="AI1346" t="n">
        <v>0</v>
      </c>
    </row>
    <row r="1347">
      <c r="A1347" t="inlineStr">
        <is>
          <t>2월</t>
        </is>
      </c>
      <c r="B1347" t="inlineStr">
        <is>
          <t>7주차</t>
        </is>
      </c>
      <c r="C1347" t="inlineStr">
        <is>
          <t>OR</t>
        </is>
      </c>
      <c r="D1347" s="28" t="n">
        <v>46065</v>
      </c>
      <c r="E1347" t="inlineStr">
        <is>
          <t>오릭스</t>
        </is>
      </c>
      <c r="F1347" t="inlineStr">
        <is>
          <t>정명의</t>
        </is>
      </c>
      <c r="G1347" t="inlineStr">
        <is>
          <t>010-7662-5300</t>
        </is>
      </c>
      <c r="H1347" t="inlineStr">
        <is>
          <t>30구1910</t>
        </is>
      </c>
      <c r="I1347" t="n">
        <v>11000000</v>
      </c>
      <c r="J1347" t="n">
        <v>0.08</v>
      </c>
      <c r="K1347" t="n">
        <v>1.65</v>
      </c>
      <c r="L1347" t="n">
        <v>0.4</v>
      </c>
      <c r="M1347" t="n">
        <v>1.25</v>
      </c>
      <c r="P1347" t="inlineStr">
        <is>
          <t>구성완</t>
        </is>
      </c>
      <c r="Q1347" t="inlineStr">
        <is>
          <t>일산 안심거래존건</t>
        </is>
      </c>
      <c r="AB1347" t="inlineStr">
        <is>
          <t>엔카</t>
        </is>
      </c>
      <c r="AC1347" t="n">
        <v>181500</v>
      </c>
      <c r="AD1347" t="n">
        <v>44000</v>
      </c>
      <c r="AE1347" t="n">
        <v>137500</v>
      </c>
      <c r="AF1347" t="n">
        <v>165000</v>
      </c>
      <c r="AG1347" t="n">
        <v>44000</v>
      </c>
      <c r="AH1347" t="n">
        <v>121000</v>
      </c>
      <c r="AI1347" t="n">
        <v>0</v>
      </c>
    </row>
    <row r="1348">
      <c r="A1348" t="inlineStr">
        <is>
          <t>2월</t>
        </is>
      </c>
      <c r="B1348" t="inlineStr">
        <is>
          <t>7주차</t>
        </is>
      </c>
      <c r="C1348" t="inlineStr">
        <is>
          <t>OR</t>
        </is>
      </c>
      <c r="D1348" s="28" t="n">
        <v>46065</v>
      </c>
      <c r="E1348" t="inlineStr">
        <is>
          <t>오릭스</t>
        </is>
      </c>
      <c r="F1348" t="inlineStr">
        <is>
          <t>김재희</t>
        </is>
      </c>
      <c r="G1348" t="inlineStr">
        <is>
          <t xml:space="preserve"> 010-7228-1030</t>
        </is>
      </c>
      <c r="H1348" t="inlineStr">
        <is>
          <t>192너6908</t>
        </is>
      </c>
      <c r="I1348" t="n">
        <v>6800000</v>
      </c>
      <c r="J1348" t="n">
        <v>0.083</v>
      </c>
      <c r="K1348" t="n">
        <v>1.65</v>
      </c>
      <c r="L1348" t="n">
        <v>0.14</v>
      </c>
      <c r="M1348" t="n">
        <v>1.51</v>
      </c>
      <c r="P1348" t="inlineStr">
        <is>
          <t>구성완</t>
        </is>
      </c>
      <c r="Q1348" t="inlineStr">
        <is>
          <t>일산 안심거래존건 /엔페차감금리9.4%안내 금리불만</t>
        </is>
      </c>
      <c r="AB1348" t="inlineStr">
        <is>
          <t>믿고</t>
        </is>
      </c>
      <c r="AC1348" t="n">
        <v>112200</v>
      </c>
      <c r="AD1348" t="n">
        <v>9520</v>
      </c>
      <c r="AE1348" t="n">
        <v>102680</v>
      </c>
      <c r="AF1348" t="n">
        <v>102000</v>
      </c>
      <c r="AG1348" t="n">
        <v>9520</v>
      </c>
      <c r="AH1348" t="n">
        <v>92480</v>
      </c>
      <c r="AI1348" t="n">
        <v>0</v>
      </c>
    </row>
    <row r="1349">
      <c r="A1349" t="inlineStr">
        <is>
          <t>2월</t>
        </is>
      </c>
      <c r="B1349" t="inlineStr">
        <is>
          <t>8주차</t>
        </is>
      </c>
      <c r="C1349" t="inlineStr">
        <is>
          <t>EP</t>
        </is>
      </c>
      <c r="D1349" s="28" t="n">
        <v>46072</v>
      </c>
      <c r="E1349" t="inlineStr">
        <is>
          <t>현대EP_fast</t>
        </is>
      </c>
      <c r="F1349" t="inlineStr">
        <is>
          <t>유찬열</t>
        </is>
      </c>
      <c r="G1349" t="inlineStr">
        <is>
          <t>010-3543-5589</t>
        </is>
      </c>
      <c r="H1349" t="inlineStr">
        <is>
          <t>48어0334</t>
        </is>
      </c>
      <c r="I1349" t="n">
        <v>11600000</v>
      </c>
      <c r="J1349" t="n">
        <v>0.083</v>
      </c>
      <c r="K1349" t="n">
        <v>1.76</v>
      </c>
      <c r="L1349" t="n">
        <v>0.14</v>
      </c>
      <c r="M1349" t="n">
        <v>1.62</v>
      </c>
      <c r="P1349" t="inlineStr">
        <is>
          <t>정광호</t>
        </is>
      </c>
      <c r="Q1349" t="inlineStr">
        <is>
          <t>홈서비스 36개월</t>
        </is>
      </c>
      <c r="AB1349" t="inlineStr">
        <is>
          <t>홈서비스</t>
        </is>
      </c>
      <c r="AC1349" t="n">
        <v>204160</v>
      </c>
      <c r="AD1349" t="n">
        <v>16240</v>
      </c>
      <c r="AE1349" t="n">
        <v>187920</v>
      </c>
      <c r="AF1349" t="n">
        <v>185600</v>
      </c>
      <c r="AG1349" t="n">
        <v>16240</v>
      </c>
      <c r="AH1349" t="n">
        <v>169360</v>
      </c>
      <c r="AI1349" t="n">
        <v>0</v>
      </c>
    </row>
    <row r="1350">
      <c r="A1350" t="inlineStr">
        <is>
          <t>2월</t>
        </is>
      </c>
      <c r="B1350" t="inlineStr">
        <is>
          <t>7주차</t>
        </is>
      </c>
      <c r="C1350" t="inlineStr">
        <is>
          <t>IM</t>
        </is>
      </c>
      <c r="D1350" s="28" t="n">
        <v>46066</v>
      </c>
      <c r="E1350" t="inlineStr">
        <is>
          <t>IM캐피탈</t>
        </is>
      </c>
      <c r="F1350" t="inlineStr">
        <is>
          <t>최은정</t>
        </is>
      </c>
      <c r="G1350" t="inlineStr">
        <is>
          <t>010-2611-3925</t>
        </is>
      </c>
      <c r="H1350" t="inlineStr">
        <is>
          <t>134수3711</t>
        </is>
      </c>
      <c r="I1350" t="n">
        <v>9000000</v>
      </c>
      <c r="J1350" t="n">
        <v>0.056</v>
      </c>
      <c r="K1350" t="n">
        <v>1.1</v>
      </c>
      <c r="L1350" t="n">
        <v>0.14</v>
      </c>
      <c r="M1350" t="n">
        <v>0.96</v>
      </c>
      <c r="P1350" t="inlineStr">
        <is>
          <t>장진경</t>
        </is>
      </c>
      <c r="Q1350" t="inlineStr">
        <is>
          <t>선상담 / 홈서비스 60개월</t>
        </is>
      </c>
      <c r="AB1350" t="inlineStr">
        <is>
          <t>홈서비스</t>
        </is>
      </c>
      <c r="AC1350" t="n">
        <v>99000</v>
      </c>
      <c r="AD1350" t="n">
        <v>12600</v>
      </c>
      <c r="AE1350" t="n">
        <v>86400</v>
      </c>
      <c r="AF1350" t="n">
        <v>90000</v>
      </c>
      <c r="AG1350" t="n">
        <v>12600</v>
      </c>
      <c r="AH1350" t="n">
        <v>77400</v>
      </c>
      <c r="AI1350" t="n">
        <v>0</v>
      </c>
    </row>
    <row r="1351">
      <c r="A1351" t="inlineStr">
        <is>
          <t>2월</t>
        </is>
      </c>
      <c r="B1351" t="inlineStr">
        <is>
          <t>9주차</t>
        </is>
      </c>
      <c r="C1351" t="inlineStr">
        <is>
          <t>EP</t>
        </is>
      </c>
      <c r="D1351" s="28" t="n">
        <v>46079</v>
      </c>
      <c r="E1351" t="inlineStr">
        <is>
          <t>현대EP_fast</t>
        </is>
      </c>
      <c r="F1351" t="inlineStr">
        <is>
          <t>정승현</t>
        </is>
      </c>
      <c r="G1351" t="inlineStr">
        <is>
          <t>010-6554-7737</t>
        </is>
      </c>
      <c r="H1351" t="inlineStr">
        <is>
          <t>13가8060</t>
        </is>
      </c>
      <c r="I1351" t="n">
        <v>4600000</v>
      </c>
      <c r="J1351" t="n">
        <v>0.079</v>
      </c>
      <c r="K1351" t="n">
        <v>1.76</v>
      </c>
      <c r="L1351" t="n">
        <v>0.14</v>
      </c>
      <c r="M1351" t="n">
        <v>1.62</v>
      </c>
      <c r="P1351" t="inlineStr">
        <is>
          <t>최형주</t>
        </is>
      </c>
      <c r="Q1351" t="inlineStr">
        <is>
          <t>홈서비스 60개월 / 고객주도체결건</t>
        </is>
      </c>
      <c r="AB1351" t="inlineStr">
        <is>
          <t>홈서비스</t>
        </is>
      </c>
      <c r="AC1351" t="n">
        <v>80960</v>
      </c>
      <c r="AD1351" t="n">
        <v>6440</v>
      </c>
      <c r="AE1351" t="n">
        <v>74520</v>
      </c>
      <c r="AF1351" t="n">
        <v>73600</v>
      </c>
      <c r="AG1351" t="n">
        <v>6440</v>
      </c>
      <c r="AH1351" t="n">
        <v>67160</v>
      </c>
      <c r="AI1351" t="n">
        <v>0</v>
      </c>
    </row>
    <row r="1352">
      <c r="A1352" t="inlineStr">
        <is>
          <t>1월</t>
        </is>
      </c>
      <c r="B1352" t="inlineStr">
        <is>
          <t>5주차</t>
        </is>
      </c>
      <c r="C1352" t="inlineStr">
        <is>
          <t>IM</t>
        </is>
      </c>
      <c r="D1352" s="28" t="n">
        <v>46053</v>
      </c>
      <c r="E1352" t="inlineStr">
        <is>
          <t>IM캐피탈</t>
        </is>
      </c>
      <c r="F1352" t="inlineStr">
        <is>
          <t>김완규</t>
        </is>
      </c>
      <c r="G1352" t="inlineStr">
        <is>
          <t>010-5069-0351</t>
        </is>
      </c>
      <c r="H1352" t="inlineStr">
        <is>
          <t>150나4705</t>
        </is>
      </c>
      <c r="I1352" t="n">
        <v>65000000</v>
      </c>
      <c r="J1352" t="n">
        <v>0.049</v>
      </c>
      <c r="K1352" t="n">
        <v>1.1</v>
      </c>
      <c r="L1352" t="n">
        <v>0.4</v>
      </c>
      <c r="M1352" t="n">
        <v>0.7</v>
      </c>
      <c r="P1352" t="inlineStr">
        <is>
          <t>장진경</t>
        </is>
      </c>
      <c r="Q1352" t="inlineStr">
        <is>
          <t>사유 : 높은신용점수, 저금리 희망</t>
        </is>
      </c>
      <c r="AB1352" t="inlineStr">
        <is>
          <t>엔카</t>
        </is>
      </c>
      <c r="AC1352" t="n">
        <v>715000</v>
      </c>
      <c r="AD1352" t="n">
        <v>260000</v>
      </c>
      <c r="AE1352" t="n">
        <v>455000</v>
      </c>
      <c r="AF1352" t="n">
        <v>650000</v>
      </c>
      <c r="AG1352" t="n">
        <v>260000</v>
      </c>
      <c r="AH1352" t="n">
        <v>390000</v>
      </c>
    </row>
    <row r="1353">
      <c r="A1353" t="inlineStr">
        <is>
          <t>2월</t>
        </is>
      </c>
      <c r="B1353" t="inlineStr">
        <is>
          <t>8주차</t>
        </is>
      </c>
      <c r="C1353" t="inlineStr">
        <is>
          <t>IM</t>
        </is>
      </c>
      <c r="D1353" s="28" t="n">
        <v>46072</v>
      </c>
      <c r="E1353" t="inlineStr">
        <is>
          <t>IM캐피탈</t>
        </is>
      </c>
      <c r="F1353" t="inlineStr">
        <is>
          <t>신대식</t>
        </is>
      </c>
      <c r="G1353" t="inlineStr">
        <is>
          <t>010-2007-1546</t>
        </is>
      </c>
      <c r="H1353" t="inlineStr">
        <is>
          <t>351우1847</t>
        </is>
      </c>
      <c r="I1353" t="n">
        <v>27000000</v>
      </c>
      <c r="J1353" t="n">
        <v>0.059</v>
      </c>
      <c r="K1353" t="n">
        <v>1.1</v>
      </c>
      <c r="L1353" t="n">
        <v>0.14</v>
      </c>
      <c r="M1353" t="n">
        <v>0.96</v>
      </c>
      <c r="P1353" t="inlineStr">
        <is>
          <t>박소현</t>
        </is>
      </c>
      <c r="Q1353" t="inlineStr">
        <is>
          <t>선상담 / 홈서비스 60개월</t>
        </is>
      </c>
      <c r="AB1353" t="inlineStr">
        <is>
          <t>홈서비스</t>
        </is>
      </c>
      <c r="AC1353" t="n">
        <v>297000</v>
      </c>
      <c r="AD1353" t="n">
        <v>37800</v>
      </c>
      <c r="AE1353" t="n">
        <v>259200</v>
      </c>
      <c r="AF1353" t="n">
        <v>270000</v>
      </c>
      <c r="AG1353" t="n">
        <v>37800</v>
      </c>
      <c r="AH1353" t="n">
        <v>232200</v>
      </c>
    </row>
    <row r="1354">
      <c r="A1354" t="inlineStr">
        <is>
          <t>2월</t>
        </is>
      </c>
      <c r="B1354" t="inlineStr">
        <is>
          <t>8주차</t>
        </is>
      </c>
      <c r="C1354" t="inlineStr">
        <is>
          <t>EP</t>
        </is>
      </c>
      <c r="D1354" s="28" t="n">
        <v>46072</v>
      </c>
      <c r="E1354" t="inlineStr">
        <is>
          <t>현대EP</t>
        </is>
      </c>
      <c r="F1354" t="inlineStr">
        <is>
          <t>박성민</t>
        </is>
      </c>
      <c r="G1354" t="inlineStr">
        <is>
          <t>010-3338-3374</t>
        </is>
      </c>
      <c r="H1354" t="inlineStr">
        <is>
          <t>202보6102</t>
        </is>
      </c>
      <c r="I1354" t="n">
        <v>48700000</v>
      </c>
      <c r="J1354" t="n">
        <v>0.076</v>
      </c>
      <c r="K1354" t="n">
        <v>1.76</v>
      </c>
      <c r="L1354" t="n">
        <v>0.14</v>
      </c>
      <c r="M1354" t="n">
        <v>1.62</v>
      </c>
      <c r="P1354" t="inlineStr">
        <is>
          <t>김수연</t>
        </is>
      </c>
      <c r="Q1354" t="inlineStr">
        <is>
          <t>홈서비스 60개월</t>
        </is>
      </c>
      <c r="AB1354" t="inlineStr">
        <is>
          <t>홈서비스</t>
        </is>
      </c>
      <c r="AC1354" t="n">
        <v>857120</v>
      </c>
      <c r="AD1354" t="n">
        <v>68180</v>
      </c>
      <c r="AE1354" t="n">
        <v>788940</v>
      </c>
      <c r="AF1354" t="n">
        <v>779200</v>
      </c>
      <c r="AG1354" t="n">
        <v>68180</v>
      </c>
      <c r="AH1354" t="n">
        <v>711020</v>
      </c>
      <c r="AI1354" t="n">
        <v>0</v>
      </c>
    </row>
    <row r="1355">
      <c r="A1355" t="inlineStr">
        <is>
          <t>2월</t>
        </is>
      </c>
      <c r="B1355" t="inlineStr">
        <is>
          <t>8주차</t>
        </is>
      </c>
      <c r="C1355" t="inlineStr">
        <is>
          <t>EP</t>
        </is>
      </c>
      <c r="D1355" s="28" t="n">
        <v>46071</v>
      </c>
      <c r="E1355" t="inlineStr">
        <is>
          <t>현대EP</t>
        </is>
      </c>
      <c r="F1355" t="inlineStr">
        <is>
          <t>오성진</t>
        </is>
      </c>
      <c r="G1355" t="inlineStr">
        <is>
          <t>010-9229-5738</t>
        </is>
      </c>
      <c r="H1355" t="inlineStr">
        <is>
          <t>67고6722</t>
        </is>
      </c>
      <c r="I1355" t="n">
        <v>15900000</v>
      </c>
      <c r="J1355" t="n">
        <v>0.074</v>
      </c>
      <c r="K1355" t="n">
        <v>1.76</v>
      </c>
      <c r="L1355" t="n">
        <v>0.14</v>
      </c>
      <c r="M1355" t="n">
        <v>1.62</v>
      </c>
      <c r="P1355" t="inlineStr">
        <is>
          <t>정세빈</t>
        </is>
      </c>
      <c r="Q1355" t="inlineStr">
        <is>
          <t>홈서비스 60개월</t>
        </is>
      </c>
      <c r="AB1355" t="inlineStr">
        <is>
          <t>홈서비스</t>
        </is>
      </c>
      <c r="AC1355" t="n">
        <v>279840</v>
      </c>
      <c r="AD1355" t="n">
        <v>22260</v>
      </c>
      <c r="AE1355" t="n">
        <v>257580</v>
      </c>
      <c r="AF1355" t="n">
        <v>254400</v>
      </c>
      <c r="AG1355" t="n">
        <v>22260</v>
      </c>
      <c r="AH1355" t="n">
        <v>232140</v>
      </c>
      <c r="AI1355" t="n">
        <v>0</v>
      </c>
    </row>
    <row r="1356">
      <c r="A1356" t="inlineStr">
        <is>
          <t>2월</t>
        </is>
      </c>
      <c r="B1356" t="inlineStr">
        <is>
          <t>6주차</t>
        </is>
      </c>
      <c r="C1356" t="inlineStr">
        <is>
          <t>EP</t>
        </is>
      </c>
      <c r="D1356" s="28" t="n">
        <v>46055</v>
      </c>
      <c r="E1356" t="inlineStr">
        <is>
          <t>현대EP</t>
        </is>
      </c>
      <c r="F1356" t="inlineStr">
        <is>
          <t>엄기용</t>
        </is>
      </c>
      <c r="G1356" t="inlineStr">
        <is>
          <t>010-4241-4779</t>
        </is>
      </c>
      <c r="H1356" t="inlineStr">
        <is>
          <t>175루7531</t>
        </is>
      </c>
      <c r="I1356" t="n">
        <v>30000000</v>
      </c>
      <c r="J1356" t="n">
        <v>0.081</v>
      </c>
      <c r="K1356" t="n">
        <v>1.76</v>
      </c>
      <c r="L1356" t="n">
        <v>0.14</v>
      </c>
      <c r="M1356" t="n">
        <v>1.62</v>
      </c>
      <c r="P1356" t="inlineStr">
        <is>
          <t>정광호</t>
        </is>
      </c>
      <c r="Q1356" t="inlineStr">
        <is>
          <t>홈서비스 60개월</t>
        </is>
      </c>
      <c r="AB1356" t="inlineStr">
        <is>
          <t>홈서비스</t>
        </is>
      </c>
      <c r="AC1356" t="n">
        <v>528000</v>
      </c>
      <c r="AD1356" t="n">
        <v>42000</v>
      </c>
      <c r="AE1356" t="n">
        <v>486000</v>
      </c>
      <c r="AF1356" t="n">
        <v>480000</v>
      </c>
      <c r="AG1356" t="n">
        <v>42000</v>
      </c>
      <c r="AH1356" t="n">
        <v>438000</v>
      </c>
    </row>
    <row r="1357">
      <c r="A1357" t="inlineStr">
        <is>
          <t>2월</t>
        </is>
      </c>
      <c r="B1357" t="inlineStr">
        <is>
          <t>8주차</t>
        </is>
      </c>
      <c r="C1357" t="inlineStr">
        <is>
          <t>EP</t>
        </is>
      </c>
      <c r="D1357" s="28" t="n">
        <v>46072</v>
      </c>
      <c r="E1357" t="inlineStr">
        <is>
          <t>현대EP_fast</t>
        </is>
      </c>
      <c r="F1357" t="inlineStr">
        <is>
          <t>이동진</t>
        </is>
      </c>
      <c r="G1357" t="inlineStr">
        <is>
          <t>010-5336-0749</t>
        </is>
      </c>
      <c r="H1357" t="inlineStr">
        <is>
          <t>227두2369</t>
        </is>
      </c>
      <c r="I1357" t="n">
        <v>6700000</v>
      </c>
      <c r="J1357" t="n">
        <v>0.083</v>
      </c>
      <c r="K1357" t="n">
        <v>1.76</v>
      </c>
      <c r="L1357" t="n">
        <v>0.14</v>
      </c>
      <c r="M1357" t="n">
        <v>1.62</v>
      </c>
      <c r="P1357" t="inlineStr">
        <is>
          <t>최형주</t>
        </is>
      </c>
      <c r="Q1357" t="inlineStr">
        <is>
          <t>홈서비스 48개월</t>
        </is>
      </c>
      <c r="AB1357" t="inlineStr">
        <is>
          <t>홈서비스</t>
        </is>
      </c>
      <c r="AC1357" t="n">
        <v>117920</v>
      </c>
      <c r="AD1357" t="n">
        <v>9380</v>
      </c>
      <c r="AE1357" t="n">
        <v>108540</v>
      </c>
      <c r="AF1357" t="n">
        <v>107200</v>
      </c>
      <c r="AG1357" t="n">
        <v>9380</v>
      </c>
      <c r="AH1357" t="n">
        <v>97820</v>
      </c>
    </row>
    <row r="1358">
      <c r="A1358" t="inlineStr">
        <is>
          <t>2월</t>
        </is>
      </c>
      <c r="B1358" t="inlineStr">
        <is>
          <t>6주차</t>
        </is>
      </c>
      <c r="C1358" t="inlineStr">
        <is>
          <t>EP</t>
        </is>
      </c>
      <c r="D1358" s="28" t="n">
        <v>46057</v>
      </c>
      <c r="E1358" t="inlineStr">
        <is>
          <t>현대EP_fast</t>
        </is>
      </c>
      <c r="F1358" t="inlineStr">
        <is>
          <t>김용갑</t>
        </is>
      </c>
      <c r="G1358" t="inlineStr">
        <is>
          <t>010-7660-7186</t>
        </is>
      </c>
      <c r="H1358" t="inlineStr">
        <is>
          <t>24모3300</t>
        </is>
      </c>
      <c r="I1358" t="n">
        <v>6900000</v>
      </c>
      <c r="J1358" t="n">
        <v>0.081</v>
      </c>
      <c r="K1358" t="n">
        <v>1.76</v>
      </c>
      <c r="L1358" t="n">
        <v>0.14</v>
      </c>
      <c r="M1358" t="n">
        <v>1.62</v>
      </c>
      <c r="P1358" t="inlineStr">
        <is>
          <t>최형주</t>
        </is>
      </c>
      <c r="Q1358" t="inlineStr">
        <is>
          <t>홈서비스 60개월</t>
        </is>
      </c>
      <c r="AB1358" t="inlineStr">
        <is>
          <t>홈서비스</t>
        </is>
      </c>
      <c r="AC1358" t="n">
        <v>121440</v>
      </c>
      <c r="AD1358" t="n">
        <v>9660</v>
      </c>
      <c r="AE1358" t="n">
        <v>111780</v>
      </c>
      <c r="AF1358" t="n">
        <v>110400</v>
      </c>
      <c r="AG1358" t="n">
        <v>9660</v>
      </c>
      <c r="AH1358" t="n">
        <v>100740</v>
      </c>
    </row>
    <row r="1359">
      <c r="A1359" t="inlineStr">
        <is>
          <t>2월</t>
        </is>
      </c>
      <c r="B1359" t="inlineStr">
        <is>
          <t>6주차</t>
        </is>
      </c>
      <c r="C1359" t="inlineStr">
        <is>
          <t>IM</t>
        </is>
      </c>
      <c r="D1359" s="28" t="n">
        <v>46057</v>
      </c>
      <c r="E1359" t="inlineStr">
        <is>
          <t>IM캐피탈</t>
        </is>
      </c>
      <c r="F1359" t="inlineStr">
        <is>
          <t>조성구</t>
        </is>
      </c>
      <c r="G1359" t="inlineStr">
        <is>
          <t>010-5064-0455</t>
        </is>
      </c>
      <c r="H1359" t="inlineStr">
        <is>
          <t>02소4694</t>
        </is>
      </c>
      <c r="I1359" t="n">
        <v>11500000</v>
      </c>
      <c r="J1359" t="n">
        <v>0.056</v>
      </c>
      <c r="K1359" t="n">
        <v>1.1</v>
      </c>
      <c r="L1359" t="n">
        <v>0.14</v>
      </c>
      <c r="M1359" t="n">
        <v>0.96</v>
      </c>
      <c r="P1359" t="inlineStr">
        <is>
          <t>정세빈</t>
        </is>
      </c>
      <c r="Q1359" t="inlineStr">
        <is>
          <t>홈서비스 48개월</t>
        </is>
      </c>
      <c r="AB1359" t="inlineStr">
        <is>
          <t>홈서비스</t>
        </is>
      </c>
      <c r="AC1359" t="n">
        <v>126500</v>
      </c>
      <c r="AD1359" t="n">
        <v>16100</v>
      </c>
      <c r="AE1359" t="n">
        <v>110400</v>
      </c>
      <c r="AF1359" t="n">
        <v>115000</v>
      </c>
      <c r="AG1359" t="n">
        <v>16100</v>
      </c>
      <c r="AH1359" t="n">
        <v>98900</v>
      </c>
    </row>
    <row r="1360">
      <c r="A1360" t="inlineStr">
        <is>
          <t>2월</t>
        </is>
      </c>
      <c r="B1360" t="inlineStr">
        <is>
          <t>8주차</t>
        </is>
      </c>
      <c r="C1360" t="inlineStr">
        <is>
          <t>EP</t>
        </is>
      </c>
      <c r="D1360" s="28" t="n">
        <v>46071</v>
      </c>
      <c r="E1360" t="inlineStr">
        <is>
          <t>현대EP</t>
        </is>
      </c>
      <c r="F1360" t="inlineStr">
        <is>
          <t>양형진</t>
        </is>
      </c>
      <c r="G1360" t="inlineStr">
        <is>
          <t>010-9808-7458</t>
        </is>
      </c>
      <c r="H1360" t="inlineStr">
        <is>
          <t>238다6170</t>
        </is>
      </c>
      <c r="I1360" t="n">
        <v>31200000</v>
      </c>
      <c r="J1360" t="n">
        <v>0.06900000000000001</v>
      </c>
      <c r="K1360" t="n">
        <v>1.76</v>
      </c>
      <c r="L1360" t="n">
        <v>0.14</v>
      </c>
      <c r="M1360" t="n">
        <v>1.62</v>
      </c>
      <c r="P1360" t="inlineStr">
        <is>
          <t>김나윤</t>
        </is>
      </c>
      <c r="Q1360" t="inlineStr">
        <is>
          <t>홈서비스 48개월</t>
        </is>
      </c>
      <c r="AB1360" t="inlineStr">
        <is>
          <t>홈서비스</t>
        </is>
      </c>
      <c r="AC1360" t="n">
        <v>549120</v>
      </c>
      <c r="AD1360" t="n">
        <v>43680</v>
      </c>
      <c r="AE1360" t="n">
        <v>505440</v>
      </c>
      <c r="AF1360" t="n">
        <v>499200</v>
      </c>
      <c r="AG1360" t="n">
        <v>43680</v>
      </c>
      <c r="AH1360" t="n">
        <v>455520</v>
      </c>
      <c r="AI1360" t="n">
        <v>0</v>
      </c>
    </row>
    <row r="1361">
      <c r="A1361" t="inlineStr">
        <is>
          <t>2월</t>
        </is>
      </c>
      <c r="B1361" t="inlineStr">
        <is>
          <t>6주차</t>
        </is>
      </c>
      <c r="C1361" t="inlineStr">
        <is>
          <t>IM</t>
        </is>
      </c>
      <c r="D1361" s="28" t="n">
        <v>46058</v>
      </c>
      <c r="E1361" t="inlineStr">
        <is>
          <t>IM캐피탈</t>
        </is>
      </c>
      <c r="F1361" t="inlineStr">
        <is>
          <t>송준호</t>
        </is>
      </c>
      <c r="G1361" t="inlineStr">
        <is>
          <t>010-7239-6974</t>
        </is>
      </c>
      <c r="H1361" t="inlineStr">
        <is>
          <t>370구1358</t>
        </is>
      </c>
      <c r="I1361" t="n">
        <v>30000000</v>
      </c>
      <c r="J1361" t="n">
        <v>0.066</v>
      </c>
      <c r="K1361" t="n">
        <v>1.1</v>
      </c>
      <c r="L1361" t="n">
        <v>0.14</v>
      </c>
      <c r="M1361" t="n">
        <v>0.96</v>
      </c>
      <c r="P1361" t="inlineStr">
        <is>
          <t>김수연</t>
        </is>
      </c>
      <c r="Q1361" t="inlineStr">
        <is>
          <t>홈서비스 60개월</t>
        </is>
      </c>
      <c r="AB1361" t="inlineStr">
        <is>
          <t>홈서비스</t>
        </is>
      </c>
      <c r="AC1361" t="n">
        <v>330000</v>
      </c>
      <c r="AD1361" t="n">
        <v>42000</v>
      </c>
      <c r="AE1361" t="n">
        <v>288000</v>
      </c>
      <c r="AF1361" t="n">
        <v>300000</v>
      </c>
      <c r="AG1361" t="n">
        <v>42000</v>
      </c>
      <c r="AH1361" t="n">
        <v>258000</v>
      </c>
      <c r="AI1361" t="n">
        <v>0</v>
      </c>
    </row>
    <row r="1362">
      <c r="A1362" t="inlineStr">
        <is>
          <t>2월</t>
        </is>
      </c>
      <c r="B1362" t="inlineStr">
        <is>
          <t>6주차</t>
        </is>
      </c>
      <c r="C1362" t="inlineStr">
        <is>
          <t>EP</t>
        </is>
      </c>
      <c r="D1362" s="28" t="n">
        <v>46059</v>
      </c>
      <c r="E1362" t="inlineStr">
        <is>
          <t>현대EP_fast</t>
        </is>
      </c>
      <c r="F1362" t="inlineStr">
        <is>
          <t>오영환</t>
        </is>
      </c>
      <c r="G1362" t="inlineStr">
        <is>
          <t>010-7324-2743</t>
        </is>
      </c>
      <c r="H1362" t="inlineStr">
        <is>
          <t>124거3205</t>
        </is>
      </c>
      <c r="I1362" t="n">
        <v>22500000</v>
      </c>
      <c r="J1362" t="n">
        <v>0.067</v>
      </c>
      <c r="K1362" t="n">
        <v>1.76</v>
      </c>
      <c r="L1362" t="n">
        <v>0.14</v>
      </c>
      <c r="M1362" t="n">
        <v>1.62</v>
      </c>
      <c r="P1362" t="inlineStr">
        <is>
          <t>정광호</t>
        </is>
      </c>
      <c r="Q1362" t="inlineStr">
        <is>
          <t>홈서비스 60개월</t>
        </is>
      </c>
      <c r="AB1362" t="inlineStr">
        <is>
          <t>홈서비스</t>
        </is>
      </c>
      <c r="AC1362" t="n">
        <v>396000</v>
      </c>
      <c r="AD1362" t="n">
        <v>31500</v>
      </c>
      <c r="AE1362" t="n">
        <v>364500</v>
      </c>
      <c r="AF1362" t="n">
        <v>360000</v>
      </c>
      <c r="AG1362" t="n">
        <v>31500</v>
      </c>
      <c r="AH1362" t="n">
        <v>328500</v>
      </c>
    </row>
    <row r="1363">
      <c r="A1363" t="inlineStr">
        <is>
          <t>2월</t>
        </is>
      </c>
      <c r="B1363" t="inlineStr">
        <is>
          <t>8주차</t>
        </is>
      </c>
      <c r="C1363" t="inlineStr">
        <is>
          <t>IM</t>
        </is>
      </c>
      <c r="D1363" s="28" t="n">
        <v>46072</v>
      </c>
      <c r="E1363" t="inlineStr">
        <is>
          <t>IM캐피탈</t>
        </is>
      </c>
      <c r="F1363" t="inlineStr">
        <is>
          <t>노상원</t>
        </is>
      </c>
      <c r="G1363" t="inlineStr">
        <is>
          <t>010-8783-0707</t>
        </is>
      </c>
      <c r="H1363" t="inlineStr">
        <is>
          <t>104무8660</t>
        </is>
      </c>
      <c r="I1363" t="n">
        <v>50000000</v>
      </c>
      <c r="J1363" t="n">
        <v>0.049</v>
      </c>
      <c r="K1363" t="n">
        <v>1.1</v>
      </c>
      <c r="L1363" t="n">
        <v>0.4</v>
      </c>
      <c r="M1363" t="n">
        <v>0.7</v>
      </c>
      <c r="P1363" t="inlineStr">
        <is>
          <t>박소현</t>
        </is>
      </c>
      <c r="AB1363" t="inlineStr">
        <is>
          <t>엔카</t>
        </is>
      </c>
      <c r="AC1363" t="n">
        <v>550000</v>
      </c>
      <c r="AD1363" t="n">
        <v>200000</v>
      </c>
      <c r="AE1363" t="n">
        <v>350000</v>
      </c>
      <c r="AF1363" t="n">
        <v>500000</v>
      </c>
      <c r="AG1363" t="n">
        <v>200000</v>
      </c>
      <c r="AH1363" t="n">
        <v>300000</v>
      </c>
      <c r="AI1363" t="n">
        <v>0</v>
      </c>
    </row>
    <row r="1364">
      <c r="A1364" t="inlineStr">
        <is>
          <t>2월</t>
        </is>
      </c>
      <c r="B1364" t="inlineStr">
        <is>
          <t>7주차</t>
        </is>
      </c>
      <c r="C1364" t="inlineStr">
        <is>
          <t>WC</t>
        </is>
      </c>
      <c r="D1364" s="28" t="n">
        <v>46063</v>
      </c>
      <c r="E1364" t="inlineStr">
        <is>
          <t>웰컴저축은행</t>
        </is>
      </c>
      <c r="F1364" t="inlineStr">
        <is>
          <t>우지훈</t>
        </is>
      </c>
      <c r="G1364" t="inlineStr">
        <is>
          <t>010-6401-2513</t>
        </is>
      </c>
      <c r="H1364" t="inlineStr">
        <is>
          <t>134러7761</t>
        </is>
      </c>
      <c r="I1364" t="n">
        <v>5000000</v>
      </c>
      <c r="J1364" t="n">
        <v>0.139</v>
      </c>
      <c r="K1364" t="n">
        <v>0</v>
      </c>
      <c r="L1364" t="n">
        <v>0.14</v>
      </c>
      <c r="M1364" t="n">
        <v>-0.14</v>
      </c>
      <c r="P1364" t="inlineStr">
        <is>
          <t>정세빈</t>
        </is>
      </c>
      <c r="Q1364" t="inlineStr">
        <is>
          <t>홈서비스 60개월</t>
        </is>
      </c>
      <c r="AB1364" t="inlineStr">
        <is>
          <t>홈서비스</t>
        </is>
      </c>
      <c r="AC1364" t="n">
        <v>0</v>
      </c>
      <c r="AD1364" t="n">
        <v>7000</v>
      </c>
      <c r="AE1364" t="n">
        <v>-7000</v>
      </c>
      <c r="AF1364" t="n">
        <v>0</v>
      </c>
      <c r="AG1364" t="n">
        <v>7000</v>
      </c>
      <c r="AH1364" t="n">
        <v>-7000</v>
      </c>
      <c r="AI1364" t="n">
        <v>0</v>
      </c>
    </row>
    <row r="1365">
      <c r="A1365" t="inlineStr">
        <is>
          <t>2월</t>
        </is>
      </c>
      <c r="B1365" t="inlineStr">
        <is>
          <t>8주차</t>
        </is>
      </c>
      <c r="C1365" t="inlineStr">
        <is>
          <t>IM</t>
        </is>
      </c>
      <c r="D1365" s="28" t="n">
        <v>46072</v>
      </c>
      <c r="E1365" t="inlineStr">
        <is>
          <t>IM캐피탈</t>
        </is>
      </c>
      <c r="F1365" t="inlineStr">
        <is>
          <t>정우재</t>
        </is>
      </c>
      <c r="G1365" t="inlineStr">
        <is>
          <t>010-5730-1031</t>
        </is>
      </c>
      <c r="H1365" t="inlineStr">
        <is>
          <t>03모9584</t>
        </is>
      </c>
      <c r="I1365" t="n">
        <v>8800000</v>
      </c>
      <c r="J1365" t="n">
        <v>0.039</v>
      </c>
      <c r="K1365" t="n">
        <v>1.1</v>
      </c>
      <c r="L1365" t="n">
        <v>0.14</v>
      </c>
      <c r="M1365" t="n">
        <v>0.96</v>
      </c>
      <c r="P1365" t="inlineStr">
        <is>
          <t>박소현</t>
        </is>
      </c>
      <c r="Q1365" t="inlineStr">
        <is>
          <t>선상담 /홈서비스 60개월</t>
        </is>
      </c>
      <c r="AB1365" t="inlineStr">
        <is>
          <t>홈서비스</t>
        </is>
      </c>
      <c r="AC1365" t="n">
        <v>96800</v>
      </c>
      <c r="AD1365" t="n">
        <v>12320</v>
      </c>
      <c r="AE1365" t="n">
        <v>84480</v>
      </c>
      <c r="AF1365" t="n">
        <v>88000</v>
      </c>
      <c r="AG1365" t="n">
        <v>12320</v>
      </c>
      <c r="AH1365" t="n">
        <v>75680</v>
      </c>
      <c r="AI1365" t="n">
        <v>0</v>
      </c>
    </row>
    <row r="1366">
      <c r="A1366" t="inlineStr">
        <is>
          <t>2월</t>
        </is>
      </c>
      <c r="B1366" t="inlineStr">
        <is>
          <t>7주차</t>
        </is>
      </c>
      <c r="C1366" t="inlineStr">
        <is>
          <t>IM</t>
        </is>
      </c>
      <c r="D1366" s="28" t="n">
        <v>46066</v>
      </c>
      <c r="E1366" t="inlineStr">
        <is>
          <t>IM캐피탈</t>
        </is>
      </c>
      <c r="F1366" t="inlineStr">
        <is>
          <t>한승민</t>
        </is>
      </c>
      <c r="G1366" t="inlineStr">
        <is>
          <t>010-7524-2000</t>
        </is>
      </c>
      <c r="H1366" t="inlineStr">
        <is>
          <t>25부7414</t>
        </is>
      </c>
      <c r="I1366" t="n">
        <v>19000000</v>
      </c>
      <c r="J1366" t="n">
        <v>0.059</v>
      </c>
      <c r="K1366" t="n">
        <v>1.1</v>
      </c>
      <c r="L1366" t="n">
        <v>0.4</v>
      </c>
      <c r="M1366" t="n">
        <v>0.7</v>
      </c>
      <c r="P1366" t="inlineStr">
        <is>
          <t>박현민</t>
        </is>
      </c>
      <c r="Q1366" t="inlineStr">
        <is>
          <t>부대비용 추가진행</t>
        </is>
      </c>
      <c r="AB1366" t="inlineStr">
        <is>
          <t>엔카</t>
        </is>
      </c>
      <c r="AC1366" t="n">
        <v>209000</v>
      </c>
      <c r="AD1366" t="n">
        <v>76000</v>
      </c>
      <c r="AE1366" t="n">
        <v>133000</v>
      </c>
      <c r="AF1366" t="n">
        <v>190000</v>
      </c>
      <c r="AG1366" t="n">
        <v>76000</v>
      </c>
      <c r="AH1366" t="n">
        <v>114000</v>
      </c>
      <c r="AI1366" t="n">
        <v>0</v>
      </c>
    </row>
    <row r="1367">
      <c r="A1367" t="inlineStr">
        <is>
          <t>2월</t>
        </is>
      </c>
      <c r="B1367" t="inlineStr">
        <is>
          <t>7주차</t>
        </is>
      </c>
      <c r="C1367" t="inlineStr">
        <is>
          <t>EP</t>
        </is>
      </c>
      <c r="D1367" s="28" t="n">
        <v>46066</v>
      </c>
      <c r="E1367" t="inlineStr">
        <is>
          <t>현대EP_fast</t>
        </is>
      </c>
      <c r="F1367" t="inlineStr">
        <is>
          <t>신성희</t>
        </is>
      </c>
      <c r="G1367" t="inlineStr">
        <is>
          <t>010-7321-2879</t>
        </is>
      </c>
      <c r="H1367" t="inlineStr">
        <is>
          <t>07마0704</t>
        </is>
      </c>
      <c r="I1367" t="n">
        <v>12000000</v>
      </c>
      <c r="J1367" t="n">
        <v>0.08400000000000001</v>
      </c>
      <c r="K1367" t="n">
        <v>1.76</v>
      </c>
      <c r="L1367" t="n">
        <v>0.4</v>
      </c>
      <c r="M1367" t="n">
        <v>1.36</v>
      </c>
      <c r="P1367" t="inlineStr">
        <is>
          <t>박보람</t>
        </is>
      </c>
      <c r="Q1367" t="inlineStr">
        <is>
          <t xml:space="preserve"> 금리인하 0.5% 적용건 ( 8.9 &gt; 8.4 )</t>
        </is>
      </c>
      <c r="AB1367" t="inlineStr">
        <is>
          <t>엔카</t>
        </is>
      </c>
      <c r="AC1367" t="n">
        <v>211200</v>
      </c>
      <c r="AD1367" t="n">
        <v>48000</v>
      </c>
      <c r="AE1367" t="n">
        <v>163200</v>
      </c>
      <c r="AF1367" t="n">
        <v>192000</v>
      </c>
      <c r="AG1367" t="n">
        <v>48000</v>
      </c>
      <c r="AH1367" t="n">
        <v>144000</v>
      </c>
      <c r="AI1367" t="n">
        <v>0</v>
      </c>
    </row>
    <row r="1368">
      <c r="A1368" t="inlineStr">
        <is>
          <t>2월</t>
        </is>
      </c>
      <c r="B1368" t="inlineStr">
        <is>
          <t>7주차</t>
        </is>
      </c>
      <c r="C1368" t="inlineStr">
        <is>
          <t>EP</t>
        </is>
      </c>
      <c r="D1368" s="28" t="n">
        <v>46066</v>
      </c>
      <c r="E1368" t="inlineStr">
        <is>
          <t>제이비EP</t>
        </is>
      </c>
      <c r="F1368" t="inlineStr">
        <is>
          <t>한동근</t>
        </is>
      </c>
      <c r="G1368" t="inlineStr">
        <is>
          <t>010-2568-0453</t>
        </is>
      </c>
      <c r="H1368" t="inlineStr">
        <is>
          <t>60버7901</t>
        </is>
      </c>
      <c r="I1368" t="n">
        <v>13000000</v>
      </c>
      <c r="J1368" t="n">
        <v>0.114</v>
      </c>
      <c r="K1368" t="n">
        <v>1.65</v>
      </c>
      <c r="L1368" t="n">
        <v>0.4</v>
      </c>
      <c r="M1368" t="n">
        <v>1.25</v>
      </c>
      <c r="P1368" t="inlineStr">
        <is>
          <t>박현민</t>
        </is>
      </c>
      <c r="Q1368" t="inlineStr">
        <is>
          <t>부대비용 추가 진행</t>
        </is>
      </c>
      <c r="AB1368" t="inlineStr">
        <is>
          <t>엔카</t>
        </is>
      </c>
      <c r="AC1368" t="n">
        <v>214500</v>
      </c>
      <c r="AD1368" t="n">
        <v>52000</v>
      </c>
      <c r="AE1368" t="n">
        <v>162500</v>
      </c>
      <c r="AF1368" t="n">
        <v>195000</v>
      </c>
      <c r="AG1368" t="n">
        <v>52000</v>
      </c>
      <c r="AH1368" t="n">
        <v>143000</v>
      </c>
      <c r="AI1368" t="n">
        <v>0</v>
      </c>
    </row>
    <row r="1369">
      <c r="A1369" t="inlineStr">
        <is>
          <t>1월</t>
        </is>
      </c>
      <c r="B1369" t="inlineStr">
        <is>
          <t>4주차</t>
        </is>
      </c>
      <c r="C1369" t="inlineStr">
        <is>
          <t>EP</t>
        </is>
      </c>
      <c r="D1369" s="28" t="n">
        <v>46043</v>
      </c>
      <c r="E1369" t="inlineStr">
        <is>
          <t>BNKEP</t>
        </is>
      </c>
      <c r="F1369" t="inlineStr">
        <is>
          <t>유현승</t>
        </is>
      </c>
      <c r="G1369" t="inlineStr">
        <is>
          <t>010-9903-9804</t>
        </is>
      </c>
      <c r="H1369" t="inlineStr">
        <is>
          <t>43버5847</t>
        </is>
      </c>
      <c r="I1369" t="n">
        <v>12300000</v>
      </c>
      <c r="J1369" t="n">
        <v>0.061</v>
      </c>
      <c r="K1369" t="n">
        <v>1.65</v>
      </c>
      <c r="L1369" t="n">
        <v>0.13</v>
      </c>
      <c r="M1369" t="n">
        <v>1.52</v>
      </c>
      <c r="P1369" t="inlineStr">
        <is>
          <t>황채이</t>
        </is>
      </c>
      <c r="Q1369" t="inlineStr">
        <is>
          <t>홈서비스 60개월</t>
        </is>
      </c>
      <c r="AB1369" t="inlineStr">
        <is>
          <t>홈서비스</t>
        </is>
      </c>
      <c r="AC1369" t="n">
        <v>202950</v>
      </c>
      <c r="AD1369" t="n">
        <v>15990</v>
      </c>
      <c r="AE1369" t="n">
        <v>186960</v>
      </c>
      <c r="AF1369" t="n">
        <v>184500</v>
      </c>
      <c r="AG1369" t="n">
        <v>15990</v>
      </c>
      <c r="AH1369" t="n">
        <v>168510</v>
      </c>
      <c r="AI1369" t="n">
        <v>0</v>
      </c>
    </row>
    <row r="1370">
      <c r="A1370" t="inlineStr">
        <is>
          <t>2월</t>
        </is>
      </c>
      <c r="B1370" t="inlineStr">
        <is>
          <t>8주차</t>
        </is>
      </c>
      <c r="C1370" t="inlineStr">
        <is>
          <t>EP</t>
        </is>
      </c>
      <c r="D1370" s="28" t="n">
        <v>46070</v>
      </c>
      <c r="E1370" t="inlineStr">
        <is>
          <t>현대EP</t>
        </is>
      </c>
      <c r="F1370" t="inlineStr">
        <is>
          <t>조명국</t>
        </is>
      </c>
      <c r="G1370" t="inlineStr">
        <is>
          <t>010-6788-6095</t>
        </is>
      </c>
      <c r="H1370" t="inlineStr">
        <is>
          <t>396러9228</t>
        </is>
      </c>
      <c r="I1370" t="n">
        <v>20000000</v>
      </c>
      <c r="J1370" t="n">
        <v>0.074</v>
      </c>
      <c r="K1370" t="n">
        <v>1.76</v>
      </c>
      <c r="L1370" t="n">
        <v>0.14</v>
      </c>
      <c r="M1370" t="n">
        <v>1.62</v>
      </c>
      <c r="P1370" t="inlineStr">
        <is>
          <t>임대경</t>
        </is>
      </c>
      <c r="Q1370" t="inlineStr">
        <is>
          <t>홈서비스 60개월</t>
        </is>
      </c>
      <c r="AB1370" t="inlineStr">
        <is>
          <t>홈서비스</t>
        </is>
      </c>
      <c r="AC1370" t="n">
        <v>352000</v>
      </c>
      <c r="AD1370" t="n">
        <v>28000</v>
      </c>
      <c r="AE1370" t="n">
        <v>324000</v>
      </c>
      <c r="AF1370" t="n">
        <v>320000</v>
      </c>
      <c r="AG1370" t="n">
        <v>28000</v>
      </c>
      <c r="AH1370" t="n">
        <v>292000</v>
      </c>
      <c r="AI1370" t="n">
        <v>0</v>
      </c>
    </row>
    <row r="1371">
      <c r="A1371" t="inlineStr">
        <is>
          <t>2월</t>
        </is>
      </c>
      <c r="B1371" t="inlineStr">
        <is>
          <t>8주차</t>
        </is>
      </c>
      <c r="C1371" t="inlineStr">
        <is>
          <t>OR</t>
        </is>
      </c>
      <c r="D1371" s="28" t="n">
        <v>46072</v>
      </c>
      <c r="E1371" t="inlineStr">
        <is>
          <t>오릭스</t>
        </is>
      </c>
      <c r="F1371" t="inlineStr">
        <is>
          <t>이원홍</t>
        </is>
      </c>
      <c r="G1371" t="inlineStr">
        <is>
          <t>010-8603-4537</t>
        </is>
      </c>
      <c r="H1371" t="inlineStr">
        <is>
          <t>346모7924</t>
        </is>
      </c>
      <c r="I1371" t="n">
        <v>36900000</v>
      </c>
      <c r="J1371" t="n">
        <v>0.07199999999999999</v>
      </c>
      <c r="K1371" t="n">
        <v>1.65</v>
      </c>
      <c r="L1371" t="n">
        <v>0.14</v>
      </c>
      <c r="M1371" t="n">
        <v>1.51</v>
      </c>
      <c r="P1371" t="inlineStr">
        <is>
          <t>구성완</t>
        </is>
      </c>
      <c r="AB1371" t="inlineStr">
        <is>
          <t>믿고</t>
        </is>
      </c>
      <c r="AC1371" t="n">
        <v>608850</v>
      </c>
      <c r="AD1371" t="n">
        <v>51660</v>
      </c>
      <c r="AE1371" t="n">
        <v>557190</v>
      </c>
      <c r="AF1371" t="n">
        <v>553500</v>
      </c>
      <c r="AG1371" t="n">
        <v>51660</v>
      </c>
      <c r="AH1371" t="n">
        <v>501840</v>
      </c>
      <c r="AI1371" t="n">
        <v>0</v>
      </c>
    </row>
    <row r="1372">
      <c r="A1372" t="inlineStr">
        <is>
          <t>2월</t>
        </is>
      </c>
      <c r="B1372" t="inlineStr">
        <is>
          <t>8주차</t>
        </is>
      </c>
      <c r="C1372" t="inlineStr">
        <is>
          <t>IM</t>
        </is>
      </c>
      <c r="D1372" s="28" t="n">
        <v>46072</v>
      </c>
      <c r="E1372" t="inlineStr">
        <is>
          <t>IM캐피탈</t>
        </is>
      </c>
      <c r="F1372" t="inlineStr">
        <is>
          <t>배정다</t>
        </is>
      </c>
      <c r="G1372" t="inlineStr">
        <is>
          <t>010-4161-2429</t>
        </is>
      </c>
      <c r="H1372" t="inlineStr">
        <is>
          <t>343두3777</t>
        </is>
      </c>
      <c r="I1372" t="n">
        <v>18500000</v>
      </c>
      <c r="J1372" t="n">
        <v>0.049</v>
      </c>
      <c r="K1372" t="n">
        <v>1.1</v>
      </c>
      <c r="L1372" t="n">
        <v>0.4</v>
      </c>
      <c r="M1372" t="n">
        <v>0.7</v>
      </c>
      <c r="P1372" t="inlineStr">
        <is>
          <t>구성완</t>
        </is>
      </c>
      <c r="Q1372" t="inlineStr">
        <is>
          <t>사유 : 부대비용추가진행</t>
        </is>
      </c>
      <c r="AB1372" t="inlineStr">
        <is>
          <t>엔카</t>
        </is>
      </c>
      <c r="AC1372" t="n">
        <v>203500</v>
      </c>
      <c r="AD1372" t="n">
        <v>74000</v>
      </c>
      <c r="AE1372" t="n">
        <v>129500</v>
      </c>
      <c r="AF1372" t="n">
        <v>185000</v>
      </c>
      <c r="AG1372" t="n">
        <v>74000</v>
      </c>
      <c r="AH1372" t="n">
        <v>111000</v>
      </c>
      <c r="AI1372" t="n">
        <v>0</v>
      </c>
    </row>
    <row r="1373">
      <c r="A1373" t="inlineStr">
        <is>
          <t>2월</t>
        </is>
      </c>
      <c r="B1373" t="inlineStr">
        <is>
          <t>8주차</t>
        </is>
      </c>
      <c r="C1373" t="inlineStr">
        <is>
          <t>IM</t>
        </is>
      </c>
      <c r="D1373" s="28" t="n">
        <v>46072</v>
      </c>
      <c r="E1373" t="inlineStr">
        <is>
          <t>IM캐피탈</t>
        </is>
      </c>
      <c r="F1373" t="inlineStr">
        <is>
          <t>임태용</t>
        </is>
      </c>
      <c r="G1373" t="inlineStr">
        <is>
          <t>010-5119-8048</t>
        </is>
      </c>
      <c r="H1373" t="inlineStr">
        <is>
          <t>107버5376</t>
        </is>
      </c>
      <c r="I1373" t="n">
        <v>20000000</v>
      </c>
      <c r="J1373" t="n">
        <v>0.049</v>
      </c>
      <c r="K1373" t="n">
        <v>1.1</v>
      </c>
      <c r="L1373" t="n">
        <v>0.14</v>
      </c>
      <c r="M1373" t="n">
        <v>0.96</v>
      </c>
      <c r="P1373" t="inlineStr">
        <is>
          <t>김수연</t>
        </is>
      </c>
      <c r="Q1373" t="inlineStr">
        <is>
          <t>홈서비스 60개월</t>
        </is>
      </c>
      <c r="AB1373" t="inlineStr">
        <is>
          <t>홈서비스</t>
        </is>
      </c>
      <c r="AC1373" t="n">
        <v>220000</v>
      </c>
      <c r="AD1373" t="n">
        <v>28000</v>
      </c>
      <c r="AE1373" t="n">
        <v>192000</v>
      </c>
      <c r="AF1373" t="n">
        <v>200000</v>
      </c>
      <c r="AG1373" t="n">
        <v>28000</v>
      </c>
      <c r="AH1373" t="n">
        <v>172000</v>
      </c>
    </row>
    <row r="1374">
      <c r="A1374" t="inlineStr">
        <is>
          <t>2월</t>
        </is>
      </c>
      <c r="B1374" t="inlineStr">
        <is>
          <t>8주차</t>
        </is>
      </c>
      <c r="C1374" t="inlineStr">
        <is>
          <t>EP</t>
        </is>
      </c>
      <c r="D1374" s="28" t="n">
        <v>46070</v>
      </c>
      <c r="E1374" t="inlineStr">
        <is>
          <t>현대EP</t>
        </is>
      </c>
      <c r="F1374" t="inlineStr">
        <is>
          <t>김정원</t>
        </is>
      </c>
      <c r="G1374" t="inlineStr">
        <is>
          <t>010-3430-2818</t>
        </is>
      </c>
      <c r="H1374" t="inlineStr">
        <is>
          <t>57노6368</t>
        </is>
      </c>
      <c r="I1374" t="n">
        <v>9400000</v>
      </c>
      <c r="J1374" t="n">
        <v>0.08500000000000001</v>
      </c>
      <c r="K1374" t="n">
        <v>1.76</v>
      </c>
      <c r="L1374" t="n">
        <v>0.14</v>
      </c>
      <c r="M1374" t="n">
        <v>1.62</v>
      </c>
      <c r="P1374" t="inlineStr">
        <is>
          <t>임대경</t>
        </is>
      </c>
      <c r="Q1374" t="inlineStr">
        <is>
          <t>홈서비스 60개월</t>
        </is>
      </c>
      <c r="AB1374" t="inlineStr">
        <is>
          <t>홈서비스</t>
        </is>
      </c>
      <c r="AC1374" t="n">
        <v>165440</v>
      </c>
      <c r="AD1374" t="n">
        <v>13160</v>
      </c>
      <c r="AE1374" t="n">
        <v>152280</v>
      </c>
      <c r="AF1374" t="n">
        <v>150400</v>
      </c>
      <c r="AG1374" t="n">
        <v>13160</v>
      </c>
      <c r="AH1374" t="n">
        <v>137240</v>
      </c>
    </row>
    <row r="1375">
      <c r="A1375" t="inlineStr">
        <is>
          <t>2월</t>
        </is>
      </c>
      <c r="B1375" t="inlineStr">
        <is>
          <t>6주차</t>
        </is>
      </c>
      <c r="C1375" t="inlineStr">
        <is>
          <t>EP</t>
        </is>
      </c>
      <c r="D1375" s="28" t="n">
        <v>46059</v>
      </c>
      <c r="E1375" t="inlineStr">
        <is>
          <t>현대EP_fast</t>
        </is>
      </c>
      <c r="F1375" t="inlineStr">
        <is>
          <t>심상진</t>
        </is>
      </c>
      <c r="G1375" t="inlineStr">
        <is>
          <t>010-4036-2186</t>
        </is>
      </c>
      <c r="H1375" t="inlineStr">
        <is>
          <t>35버0282</t>
        </is>
      </c>
      <c r="I1375" t="n">
        <v>13000000</v>
      </c>
      <c r="J1375" t="n">
        <v>0.141</v>
      </c>
      <c r="K1375" t="n">
        <v>1.76</v>
      </c>
      <c r="L1375" t="n">
        <v>0.4</v>
      </c>
      <c r="M1375" t="n">
        <v>1.36</v>
      </c>
      <c r="P1375" t="inlineStr">
        <is>
          <t>최혁</t>
        </is>
      </c>
      <c r="AB1375" t="inlineStr">
        <is>
          <t>엔카</t>
        </is>
      </c>
      <c r="AC1375" t="n">
        <v>228800</v>
      </c>
      <c r="AD1375" t="n">
        <v>52000</v>
      </c>
      <c r="AE1375" t="n">
        <v>176800</v>
      </c>
      <c r="AF1375" t="n">
        <v>208000</v>
      </c>
      <c r="AG1375" t="n">
        <v>52000</v>
      </c>
      <c r="AH1375" t="n">
        <v>156000</v>
      </c>
      <c r="AI1375" t="n">
        <v>0</v>
      </c>
    </row>
    <row r="1376">
      <c r="A1376" t="inlineStr">
        <is>
          <t>2월</t>
        </is>
      </c>
      <c r="B1376" t="inlineStr">
        <is>
          <t>8주차</t>
        </is>
      </c>
      <c r="C1376" t="inlineStr">
        <is>
          <t>IM</t>
        </is>
      </c>
      <c r="D1376" s="28" t="n">
        <v>46072</v>
      </c>
      <c r="E1376" t="inlineStr">
        <is>
          <t>IM캐피탈</t>
        </is>
      </c>
      <c r="F1376" t="inlineStr">
        <is>
          <t>차동환</t>
        </is>
      </c>
      <c r="G1376" t="inlineStr">
        <is>
          <t>010-3157-8290</t>
        </is>
      </c>
      <c r="H1376" t="inlineStr">
        <is>
          <t>48구8058</t>
        </is>
      </c>
      <c r="I1376" t="n">
        <v>12000000</v>
      </c>
      <c r="J1376" t="n">
        <v>0.039</v>
      </c>
      <c r="K1376" t="n">
        <v>1.1</v>
      </c>
      <c r="L1376" t="n">
        <v>0.14</v>
      </c>
      <c r="M1376" t="n">
        <v>0.96</v>
      </c>
      <c r="P1376" t="inlineStr">
        <is>
          <t>황채이</t>
        </is>
      </c>
      <c r="Q1376" t="inlineStr">
        <is>
          <t>홈서비스 36개월</t>
        </is>
      </c>
      <c r="AB1376" t="inlineStr">
        <is>
          <t>홈서비스</t>
        </is>
      </c>
      <c r="AC1376" t="n">
        <v>132000</v>
      </c>
      <c r="AD1376" t="n">
        <v>16800</v>
      </c>
      <c r="AE1376" t="n">
        <v>115200</v>
      </c>
      <c r="AF1376" t="n">
        <v>120000</v>
      </c>
      <c r="AG1376" t="n">
        <v>16800</v>
      </c>
      <c r="AH1376" t="n">
        <v>103200</v>
      </c>
    </row>
    <row r="1377">
      <c r="A1377" t="inlineStr">
        <is>
          <t>2월</t>
        </is>
      </c>
      <c r="B1377" t="inlineStr">
        <is>
          <t>7주차</t>
        </is>
      </c>
      <c r="C1377" t="inlineStr">
        <is>
          <t>OR</t>
        </is>
      </c>
      <c r="D1377" s="28" t="n">
        <v>46065</v>
      </c>
      <c r="E1377" t="inlineStr">
        <is>
          <t>오릭스</t>
        </is>
      </c>
      <c r="F1377" t="inlineStr">
        <is>
          <t>문대전</t>
        </is>
      </c>
      <c r="G1377" t="inlineStr">
        <is>
          <t>010-7454-8248</t>
        </is>
      </c>
      <c r="H1377" t="inlineStr">
        <is>
          <t>210어3605</t>
        </is>
      </c>
      <c r="I1377" t="n">
        <v>34700000</v>
      </c>
      <c r="J1377" t="n">
        <v>0.058</v>
      </c>
      <c r="K1377" t="n">
        <v>1.65</v>
      </c>
      <c r="L1377" t="n">
        <v>0.4</v>
      </c>
      <c r="M1377" t="n">
        <v>1.25</v>
      </c>
      <c r="P1377" t="inlineStr">
        <is>
          <t>박현민</t>
        </is>
      </c>
      <c r="Q1377" t="inlineStr">
        <is>
          <t>기승인고객 금리불만</t>
        </is>
      </c>
      <c r="AB1377" t="inlineStr">
        <is>
          <t>엔카</t>
        </is>
      </c>
      <c r="AC1377" t="n">
        <v>572550</v>
      </c>
      <c r="AD1377" t="n">
        <v>138800</v>
      </c>
      <c r="AE1377" t="n">
        <v>433750</v>
      </c>
      <c r="AF1377" t="n">
        <v>520500</v>
      </c>
      <c r="AG1377" t="n">
        <v>138800</v>
      </c>
      <c r="AH1377" t="n">
        <v>381700</v>
      </c>
    </row>
    <row r="1378">
      <c r="A1378" t="inlineStr">
        <is>
          <t>2월</t>
        </is>
      </c>
      <c r="B1378" t="inlineStr">
        <is>
          <t>7주차</t>
        </is>
      </c>
      <c r="C1378" t="inlineStr">
        <is>
          <t>EP</t>
        </is>
      </c>
      <c r="D1378" s="28" t="n">
        <v>46064</v>
      </c>
      <c r="E1378" t="inlineStr">
        <is>
          <t>현대EP_fast</t>
        </is>
      </c>
      <c r="F1378" t="inlineStr">
        <is>
          <t>김수림</t>
        </is>
      </c>
      <c r="G1378" t="inlineStr">
        <is>
          <t>010-3158-2010</t>
        </is>
      </c>
      <c r="H1378" t="inlineStr">
        <is>
          <t>66노2799</t>
        </is>
      </c>
      <c r="I1378" t="n">
        <v>5000000</v>
      </c>
      <c r="J1378" t="n">
        <v>0.089</v>
      </c>
      <c r="K1378" t="n">
        <v>1.76</v>
      </c>
      <c r="L1378" t="n">
        <v>0.14</v>
      </c>
      <c r="M1378" t="n">
        <v>1.62</v>
      </c>
      <c r="P1378" t="inlineStr">
        <is>
          <t>정세빈</t>
        </is>
      </c>
      <c r="Q1378" t="inlineStr">
        <is>
          <t>홈서비스 60개월</t>
        </is>
      </c>
      <c r="AB1378" t="inlineStr">
        <is>
          <t>홈서비스</t>
        </is>
      </c>
      <c r="AC1378" t="n">
        <v>88000</v>
      </c>
      <c r="AD1378" t="n">
        <v>7000</v>
      </c>
      <c r="AE1378" t="n">
        <v>81000</v>
      </c>
      <c r="AF1378" t="n">
        <v>80000</v>
      </c>
      <c r="AG1378" t="n">
        <v>7000</v>
      </c>
      <c r="AH1378" t="n">
        <v>73000</v>
      </c>
      <c r="AI1378" t="n">
        <v>0</v>
      </c>
    </row>
    <row r="1379">
      <c r="A1379" t="inlineStr">
        <is>
          <t>2월</t>
        </is>
      </c>
      <c r="B1379" t="inlineStr">
        <is>
          <t>7주차</t>
        </is>
      </c>
      <c r="C1379" t="inlineStr">
        <is>
          <t>EP</t>
        </is>
      </c>
      <c r="D1379" s="28" t="n">
        <v>46065</v>
      </c>
      <c r="E1379" t="inlineStr">
        <is>
          <t>현대EP</t>
        </is>
      </c>
      <c r="F1379" t="inlineStr">
        <is>
          <t>김나경</t>
        </is>
      </c>
      <c r="G1379" t="inlineStr">
        <is>
          <t>010-9266-6289</t>
        </is>
      </c>
      <c r="H1379" t="inlineStr">
        <is>
          <t>68주7463</t>
        </is>
      </c>
      <c r="I1379" t="n">
        <v>9900000</v>
      </c>
      <c r="J1379" t="n">
        <v>0.08699999999999999</v>
      </c>
      <c r="K1379" t="n">
        <v>1.76</v>
      </c>
      <c r="L1379" t="n">
        <v>0.14</v>
      </c>
      <c r="M1379" t="n">
        <v>1.62</v>
      </c>
      <c r="P1379" t="inlineStr">
        <is>
          <t>황채이</t>
        </is>
      </c>
      <c r="Q1379" t="inlineStr">
        <is>
          <t>홈서비스 60개월</t>
        </is>
      </c>
      <c r="AB1379" t="inlineStr">
        <is>
          <t>홈서비스</t>
        </is>
      </c>
      <c r="AC1379" t="n">
        <v>174240</v>
      </c>
      <c r="AD1379" t="n">
        <v>13860</v>
      </c>
      <c r="AE1379" t="n">
        <v>160380</v>
      </c>
      <c r="AF1379" t="n">
        <v>158400</v>
      </c>
      <c r="AG1379" t="n">
        <v>13860</v>
      </c>
      <c r="AH1379" t="n">
        <v>144540</v>
      </c>
      <c r="AI1379" t="n">
        <v>0</v>
      </c>
    </row>
    <row r="1380">
      <c r="A1380" t="inlineStr">
        <is>
          <t>2월</t>
        </is>
      </c>
      <c r="B1380" t="inlineStr">
        <is>
          <t>7주차</t>
        </is>
      </c>
      <c r="C1380" t="inlineStr">
        <is>
          <t>EP</t>
        </is>
      </c>
      <c r="D1380" s="28" t="n">
        <v>46065</v>
      </c>
      <c r="E1380" t="inlineStr">
        <is>
          <t>현대EP_fast</t>
        </is>
      </c>
      <c r="F1380" t="inlineStr">
        <is>
          <t>이문규</t>
        </is>
      </c>
      <c r="G1380" t="inlineStr">
        <is>
          <t>010-9910-8070</t>
        </is>
      </c>
      <c r="H1380" t="inlineStr">
        <is>
          <t>355조3180</t>
        </is>
      </c>
      <c r="I1380" t="n">
        <v>15400000</v>
      </c>
      <c r="J1380" t="n">
        <v>0.068</v>
      </c>
      <c r="K1380" t="n">
        <v>1.76</v>
      </c>
      <c r="L1380" t="n">
        <v>0.14</v>
      </c>
      <c r="M1380" t="n">
        <v>1.62</v>
      </c>
      <c r="P1380" t="inlineStr">
        <is>
          <t>최형주</t>
        </is>
      </c>
      <c r="Q1380" t="inlineStr">
        <is>
          <t>홈서비스 36개월</t>
        </is>
      </c>
      <c r="AB1380" t="inlineStr">
        <is>
          <t>홈서비스</t>
        </is>
      </c>
      <c r="AC1380" t="n">
        <v>271040</v>
      </c>
      <c r="AD1380" t="n">
        <v>21560</v>
      </c>
      <c r="AE1380" t="n">
        <v>249480</v>
      </c>
      <c r="AF1380" t="n">
        <v>246400</v>
      </c>
      <c r="AG1380" t="n">
        <v>21560</v>
      </c>
      <c r="AH1380" t="n">
        <v>224840</v>
      </c>
    </row>
    <row r="1381">
      <c r="A1381" t="inlineStr">
        <is>
          <t>2월</t>
        </is>
      </c>
      <c r="B1381" t="inlineStr">
        <is>
          <t>8주차</t>
        </is>
      </c>
      <c r="C1381" t="inlineStr">
        <is>
          <t>EP</t>
        </is>
      </c>
      <c r="D1381" s="28" t="n">
        <v>46072</v>
      </c>
      <c r="E1381" t="inlineStr">
        <is>
          <t>현대EP_fast</t>
        </is>
      </c>
      <c r="F1381" t="inlineStr">
        <is>
          <t>김도형</t>
        </is>
      </c>
      <c r="G1381" t="inlineStr">
        <is>
          <t>010-6613-4353</t>
        </is>
      </c>
      <c r="H1381" t="inlineStr">
        <is>
          <t>222수1564</t>
        </is>
      </c>
      <c r="I1381" t="n">
        <v>19500000</v>
      </c>
      <c r="J1381" t="n">
        <v>0.08699999999999999</v>
      </c>
      <c r="K1381" t="n">
        <v>1.76</v>
      </c>
      <c r="L1381" t="n">
        <v>0.14</v>
      </c>
      <c r="M1381" t="n">
        <v>1.62</v>
      </c>
      <c r="P1381" t="inlineStr">
        <is>
          <t>황채이</t>
        </is>
      </c>
      <c r="Q1381" t="inlineStr">
        <is>
          <t>홈서비스 60개월</t>
        </is>
      </c>
      <c r="AB1381" t="inlineStr">
        <is>
          <t>홈서비스</t>
        </is>
      </c>
      <c r="AC1381" t="n">
        <v>343200</v>
      </c>
      <c r="AD1381" t="n">
        <v>27300</v>
      </c>
      <c r="AE1381" t="n">
        <v>315900</v>
      </c>
      <c r="AF1381" t="n">
        <v>312000</v>
      </c>
      <c r="AG1381" t="n">
        <v>27300</v>
      </c>
      <c r="AH1381" t="n">
        <v>284700</v>
      </c>
      <c r="AI1381" t="n">
        <v>0</v>
      </c>
    </row>
    <row r="1382">
      <c r="A1382" t="inlineStr">
        <is>
          <t>2월</t>
        </is>
      </c>
      <c r="B1382" t="inlineStr">
        <is>
          <t>8주차</t>
        </is>
      </c>
      <c r="C1382" t="inlineStr">
        <is>
          <t>EP</t>
        </is>
      </c>
      <c r="D1382" s="28" t="n">
        <v>46072</v>
      </c>
      <c r="E1382" t="inlineStr">
        <is>
          <t>현대EP</t>
        </is>
      </c>
      <c r="F1382" t="inlineStr">
        <is>
          <t>방경찬</t>
        </is>
      </c>
      <c r="G1382" t="inlineStr">
        <is>
          <t>010-3970-2996</t>
        </is>
      </c>
      <c r="H1382" t="inlineStr">
        <is>
          <t>319노4293</t>
        </is>
      </c>
      <c r="I1382" t="n">
        <v>40500000</v>
      </c>
      <c r="J1382" t="n">
        <v>0.075</v>
      </c>
      <c r="K1382" t="n">
        <v>1.76</v>
      </c>
      <c r="L1382" t="n">
        <v>0.14</v>
      </c>
      <c r="M1382" t="n">
        <v>1.62</v>
      </c>
      <c r="P1382" t="inlineStr">
        <is>
          <t>정세빈</t>
        </is>
      </c>
      <c r="Q1382" t="inlineStr">
        <is>
          <t>홈서비스 60개월</t>
        </is>
      </c>
      <c r="AB1382" t="inlineStr">
        <is>
          <t>홈서비스</t>
        </is>
      </c>
      <c r="AC1382" t="n">
        <v>712800</v>
      </c>
      <c r="AD1382" t="n">
        <v>56700</v>
      </c>
      <c r="AE1382" t="n">
        <v>656100</v>
      </c>
      <c r="AF1382" t="n">
        <v>648000</v>
      </c>
      <c r="AG1382" t="n">
        <v>56700</v>
      </c>
      <c r="AH1382" t="n">
        <v>591300</v>
      </c>
      <c r="AI1382" t="n">
        <v>0</v>
      </c>
    </row>
    <row r="1383">
      <c r="A1383" t="inlineStr">
        <is>
          <t>2월</t>
        </is>
      </c>
      <c r="B1383" t="inlineStr">
        <is>
          <t>8주차</t>
        </is>
      </c>
      <c r="C1383" t="inlineStr">
        <is>
          <t>EP</t>
        </is>
      </c>
      <c r="D1383" s="28" t="n">
        <v>46072</v>
      </c>
      <c r="E1383" t="inlineStr">
        <is>
          <t>현대EP</t>
        </is>
      </c>
      <c r="F1383" t="inlineStr">
        <is>
          <t>정윤호</t>
        </is>
      </c>
      <c r="G1383" t="inlineStr">
        <is>
          <t>010-7197-0257</t>
        </is>
      </c>
      <c r="H1383" t="inlineStr">
        <is>
          <t>341조2669</t>
        </is>
      </c>
      <c r="I1383" t="n">
        <v>31200000</v>
      </c>
      <c r="J1383" t="n">
        <v>0.076</v>
      </c>
      <c r="K1383" t="n">
        <v>1.76</v>
      </c>
      <c r="L1383" t="n">
        <v>0.14</v>
      </c>
      <c r="M1383" t="n">
        <v>1.62</v>
      </c>
      <c r="P1383" t="inlineStr">
        <is>
          <t>김나윤</t>
        </is>
      </c>
      <c r="Q1383" t="inlineStr">
        <is>
          <t>홈서비스 60개월</t>
        </is>
      </c>
      <c r="AB1383" t="inlineStr">
        <is>
          <t>홈서비스</t>
        </is>
      </c>
      <c r="AC1383" t="n">
        <v>549120</v>
      </c>
      <c r="AD1383" t="n">
        <v>43680</v>
      </c>
      <c r="AE1383" t="n">
        <v>505440</v>
      </c>
      <c r="AF1383" t="n">
        <v>499200</v>
      </c>
      <c r="AG1383" t="n">
        <v>43680</v>
      </c>
      <c r="AH1383" t="n">
        <v>455520</v>
      </c>
      <c r="AI1383" t="n">
        <v>0</v>
      </c>
    </row>
    <row r="1384">
      <c r="A1384" t="inlineStr">
        <is>
          <t>2월</t>
        </is>
      </c>
      <c r="B1384" t="inlineStr">
        <is>
          <t>8주차</t>
        </is>
      </c>
      <c r="C1384" t="inlineStr">
        <is>
          <t>IM</t>
        </is>
      </c>
      <c r="D1384" s="28" t="n">
        <v>46072</v>
      </c>
      <c r="E1384" t="inlineStr">
        <is>
          <t>IM캐피탈</t>
        </is>
      </c>
      <c r="F1384" t="inlineStr">
        <is>
          <t>박대교</t>
        </is>
      </c>
      <c r="G1384" t="inlineStr">
        <is>
          <t>010-3016-3126</t>
        </is>
      </c>
      <c r="H1384" t="inlineStr">
        <is>
          <t>117라4794</t>
        </is>
      </c>
      <c r="I1384" t="n">
        <v>15000000</v>
      </c>
      <c r="J1384" t="n">
        <v>0.049</v>
      </c>
      <c r="K1384" t="n">
        <v>1.1</v>
      </c>
      <c r="L1384" t="n">
        <v>0.14</v>
      </c>
      <c r="M1384" t="n">
        <v>0.96</v>
      </c>
      <c r="P1384" t="inlineStr">
        <is>
          <t>정광호</t>
        </is>
      </c>
      <c r="Q1384" t="inlineStr">
        <is>
          <t>홈서비스 72개월</t>
        </is>
      </c>
      <c r="AB1384" t="inlineStr">
        <is>
          <t>홈서비스</t>
        </is>
      </c>
      <c r="AC1384" t="n">
        <v>165000</v>
      </c>
      <c r="AD1384" t="n">
        <v>21000</v>
      </c>
      <c r="AE1384" t="n">
        <v>144000</v>
      </c>
      <c r="AF1384" t="n">
        <v>150000</v>
      </c>
      <c r="AG1384" t="n">
        <v>21000</v>
      </c>
      <c r="AH1384" t="n">
        <v>129000</v>
      </c>
      <c r="AI1384" t="n">
        <v>0</v>
      </c>
    </row>
    <row r="1385">
      <c r="A1385" t="inlineStr">
        <is>
          <t>2월</t>
        </is>
      </c>
      <c r="B1385" t="inlineStr">
        <is>
          <t>8주차</t>
        </is>
      </c>
      <c r="C1385" t="inlineStr">
        <is>
          <t>EP</t>
        </is>
      </c>
      <c r="D1385" s="28" t="n">
        <v>46072</v>
      </c>
      <c r="E1385" t="inlineStr">
        <is>
          <t>현대EP_fast</t>
        </is>
      </c>
      <c r="F1385" t="inlineStr">
        <is>
          <t>이하늘</t>
        </is>
      </c>
      <c r="G1385" t="inlineStr">
        <is>
          <t>010-4151-5854</t>
        </is>
      </c>
      <c r="H1385" t="inlineStr">
        <is>
          <t>68마7258</t>
        </is>
      </c>
      <c r="I1385" t="n">
        <v>30000000</v>
      </c>
      <c r="J1385" t="n">
        <v>0.124</v>
      </c>
      <c r="K1385" t="n">
        <v>1.76</v>
      </c>
      <c r="L1385" t="n">
        <v>0.14</v>
      </c>
      <c r="M1385" t="n">
        <v>1.62</v>
      </c>
      <c r="P1385" t="inlineStr">
        <is>
          <t>정세빈</t>
        </is>
      </c>
      <c r="Q1385" t="inlineStr">
        <is>
          <t>홈서비스 36개월</t>
        </is>
      </c>
      <c r="AB1385" t="inlineStr">
        <is>
          <t>홈서비스</t>
        </is>
      </c>
      <c r="AC1385" t="n">
        <v>528000</v>
      </c>
      <c r="AD1385" t="n">
        <v>42000</v>
      </c>
      <c r="AE1385" t="n">
        <v>486000</v>
      </c>
      <c r="AF1385" t="n">
        <v>480000</v>
      </c>
      <c r="AG1385" t="n">
        <v>42000</v>
      </c>
      <c r="AH1385" t="n">
        <v>438000</v>
      </c>
      <c r="AI1385" t="n">
        <v>0</v>
      </c>
      <c r="AJ1385" t="inlineStr">
        <is>
          <t>개인</t>
        </is>
      </c>
    </row>
    <row r="1386">
      <c r="A1386" t="inlineStr">
        <is>
          <t>2월</t>
        </is>
      </c>
      <c r="B1386" t="inlineStr">
        <is>
          <t>9주차</t>
        </is>
      </c>
      <c r="C1386" t="inlineStr">
        <is>
          <t>EP</t>
        </is>
      </c>
      <c r="D1386" s="28" t="n">
        <v>46077</v>
      </c>
      <c r="E1386" t="inlineStr">
        <is>
          <t>현대EP_fast</t>
        </is>
      </c>
      <c r="F1386" t="inlineStr">
        <is>
          <t>이청명</t>
        </is>
      </c>
      <c r="G1386" t="inlineStr">
        <is>
          <t>010-2104-9937</t>
        </is>
      </c>
      <c r="H1386" t="inlineStr">
        <is>
          <t>25누7725</t>
        </is>
      </c>
      <c r="I1386" t="n">
        <v>4900000</v>
      </c>
      <c r="J1386" t="n">
        <v>0.08500000000000001</v>
      </c>
      <c r="K1386" t="n">
        <v>1.76</v>
      </c>
      <c r="L1386" t="n">
        <v>0.14</v>
      </c>
      <c r="M1386" t="n">
        <v>1.62</v>
      </c>
      <c r="P1386" t="inlineStr">
        <is>
          <t>최형주</t>
        </is>
      </c>
      <c r="Q1386" t="inlineStr">
        <is>
          <t>홈서비스 36개월</t>
        </is>
      </c>
      <c r="AB1386" t="inlineStr">
        <is>
          <t>홈서비스</t>
        </is>
      </c>
      <c r="AC1386" t="n">
        <v>86240</v>
      </c>
      <c r="AD1386" t="n">
        <v>6860</v>
      </c>
      <c r="AE1386" t="n">
        <v>79380</v>
      </c>
      <c r="AF1386" t="n">
        <v>78400</v>
      </c>
      <c r="AG1386" t="n">
        <v>6860</v>
      </c>
      <c r="AH1386" t="n">
        <v>71540</v>
      </c>
      <c r="AI1386" t="n">
        <v>0</v>
      </c>
    </row>
    <row r="1387">
      <c r="A1387" t="inlineStr">
        <is>
          <t>2월</t>
        </is>
      </c>
      <c r="B1387" t="inlineStr">
        <is>
          <t>9주차</t>
        </is>
      </c>
      <c r="C1387" t="inlineStr">
        <is>
          <t>EP</t>
        </is>
      </c>
      <c r="D1387" s="28" t="n">
        <v>46077</v>
      </c>
      <c r="E1387" t="inlineStr">
        <is>
          <t>현대EP_fast</t>
        </is>
      </c>
      <c r="F1387" t="inlineStr">
        <is>
          <t>김혜련</t>
        </is>
      </c>
      <c r="G1387" t="inlineStr">
        <is>
          <t>010-7448-7229</t>
        </is>
      </c>
      <c r="H1387" t="inlineStr">
        <is>
          <t>40부1465</t>
        </is>
      </c>
      <c r="I1387" t="n">
        <v>7900000</v>
      </c>
      <c r="J1387" t="n">
        <v>0.124</v>
      </c>
      <c r="K1387" t="n">
        <v>1.76</v>
      </c>
      <c r="L1387" t="n">
        <v>0.14</v>
      </c>
      <c r="M1387" t="n">
        <v>1.62</v>
      </c>
      <c r="P1387" t="inlineStr">
        <is>
          <t>정광호</t>
        </is>
      </c>
      <c r="Q1387" t="inlineStr">
        <is>
          <t>홈서비스 60개월</t>
        </is>
      </c>
      <c r="AB1387" t="inlineStr">
        <is>
          <t>홈서비스</t>
        </is>
      </c>
      <c r="AC1387" t="n">
        <v>139040</v>
      </c>
      <c r="AD1387" t="n">
        <v>11060</v>
      </c>
      <c r="AE1387" t="n">
        <v>127980</v>
      </c>
      <c r="AF1387" t="n">
        <v>126400</v>
      </c>
      <c r="AG1387" t="n">
        <v>11060</v>
      </c>
      <c r="AH1387" t="n">
        <v>115340</v>
      </c>
      <c r="AI1387" t="n">
        <v>0</v>
      </c>
    </row>
    <row r="1388">
      <c r="A1388" t="inlineStr">
        <is>
          <t>2월</t>
        </is>
      </c>
      <c r="B1388" t="inlineStr">
        <is>
          <t>9주차</t>
        </is>
      </c>
      <c r="C1388" t="inlineStr">
        <is>
          <t>EP</t>
        </is>
      </c>
      <c r="D1388" s="28" t="n">
        <v>46078</v>
      </c>
      <c r="E1388" t="inlineStr">
        <is>
          <t>현대EP</t>
        </is>
      </c>
      <c r="F1388" t="inlineStr">
        <is>
          <t>박진철</t>
        </is>
      </c>
      <c r="G1388" t="inlineStr">
        <is>
          <t>010-9032-9959</t>
        </is>
      </c>
      <c r="H1388" t="inlineStr">
        <is>
          <t>72조1238</t>
        </is>
      </c>
      <c r="I1388" t="n">
        <v>27100000</v>
      </c>
      <c r="J1388" t="n">
        <v>0.083</v>
      </c>
      <c r="K1388" t="n">
        <v>1.21</v>
      </c>
      <c r="L1388" t="n">
        <v>0.14</v>
      </c>
      <c r="M1388" t="n">
        <v>1.07</v>
      </c>
      <c r="P1388" t="inlineStr">
        <is>
          <t>정광호</t>
        </is>
      </c>
      <c r="Q1388" t="inlineStr">
        <is>
          <t>홈서비스 60개월</t>
        </is>
      </c>
      <c r="AB1388" t="inlineStr">
        <is>
          <t>홈서비스</t>
        </is>
      </c>
      <c r="AC1388" t="n">
        <v>327910</v>
      </c>
      <c r="AD1388" t="n">
        <v>37940</v>
      </c>
      <c r="AE1388" t="n">
        <v>289970</v>
      </c>
      <c r="AF1388" t="n">
        <v>298100</v>
      </c>
      <c r="AG1388" t="n">
        <v>37940</v>
      </c>
      <c r="AH1388" t="n">
        <v>260160</v>
      </c>
      <c r="AI1388" t="n">
        <v>0</v>
      </c>
    </row>
    <row r="1389">
      <c r="A1389" t="inlineStr">
        <is>
          <t>2월</t>
        </is>
      </c>
      <c r="B1389" t="inlineStr">
        <is>
          <t>9주차</t>
        </is>
      </c>
      <c r="C1389" t="inlineStr">
        <is>
          <t>IM</t>
        </is>
      </c>
      <c r="D1389" s="28" t="n">
        <v>46076</v>
      </c>
      <c r="E1389" t="inlineStr">
        <is>
          <t>IM캐피탈</t>
        </is>
      </c>
      <c r="F1389" t="inlineStr">
        <is>
          <t>권재성</t>
        </is>
      </c>
      <c r="G1389" t="inlineStr">
        <is>
          <t>010-8883-6152</t>
        </is>
      </c>
      <c r="H1389" t="inlineStr">
        <is>
          <t>27무6653</t>
        </is>
      </c>
      <c r="I1389" t="n">
        <v>17500000</v>
      </c>
      <c r="J1389" t="n">
        <v>0.039</v>
      </c>
      <c r="K1389" t="n">
        <v>1.1</v>
      </c>
      <c r="L1389" t="n">
        <v>0.4</v>
      </c>
      <c r="M1389" t="n">
        <v>0.7</v>
      </c>
      <c r="P1389" t="inlineStr">
        <is>
          <t>임대경</t>
        </is>
      </c>
      <c r="AB1389" t="inlineStr">
        <is>
          <t>엔카</t>
        </is>
      </c>
      <c r="AC1389" t="n">
        <v>192500</v>
      </c>
      <c r="AD1389" t="n">
        <v>70000</v>
      </c>
      <c r="AE1389" t="n">
        <v>122500</v>
      </c>
      <c r="AF1389" t="n">
        <v>175000</v>
      </c>
      <c r="AG1389" t="n">
        <v>70000</v>
      </c>
      <c r="AH1389" t="n">
        <v>105000</v>
      </c>
    </row>
    <row r="1390">
      <c r="A1390" t="inlineStr">
        <is>
          <t>2월</t>
        </is>
      </c>
      <c r="B1390" t="inlineStr">
        <is>
          <t>9주차</t>
        </is>
      </c>
      <c r="C1390" t="inlineStr">
        <is>
          <t>EP</t>
        </is>
      </c>
      <c r="D1390" s="28" t="n">
        <v>46078</v>
      </c>
      <c r="E1390" t="inlineStr">
        <is>
          <t>현대EP</t>
        </is>
      </c>
      <c r="F1390" t="inlineStr">
        <is>
          <t>이효택</t>
        </is>
      </c>
      <c r="G1390" t="inlineStr">
        <is>
          <t>010-4916-1682</t>
        </is>
      </c>
      <c r="H1390" t="inlineStr">
        <is>
          <t>149주8277</t>
        </is>
      </c>
      <c r="I1390" t="n">
        <v>12800000</v>
      </c>
      <c r="J1390" t="n">
        <v>0.079</v>
      </c>
      <c r="K1390" t="n">
        <v>1.76</v>
      </c>
      <c r="L1390" t="n">
        <v>0.14</v>
      </c>
      <c r="M1390" t="n">
        <v>1.62</v>
      </c>
      <c r="P1390" t="inlineStr">
        <is>
          <t>임대경</t>
        </is>
      </c>
      <c r="Q1390" t="inlineStr">
        <is>
          <t>홈서비스 48개월</t>
        </is>
      </c>
      <c r="AB1390" t="inlineStr">
        <is>
          <t>홈서비스</t>
        </is>
      </c>
      <c r="AC1390" t="n">
        <v>225280</v>
      </c>
      <c r="AD1390" t="n">
        <v>17920</v>
      </c>
      <c r="AE1390" t="n">
        <v>207360</v>
      </c>
      <c r="AF1390" t="n">
        <v>204800</v>
      </c>
      <c r="AG1390" t="n">
        <v>17920</v>
      </c>
      <c r="AH1390" t="n">
        <v>186880</v>
      </c>
      <c r="AI1390" t="n">
        <v>0</v>
      </c>
    </row>
    <row r="1391">
      <c r="A1391" t="inlineStr">
        <is>
          <t>2월</t>
        </is>
      </c>
      <c r="B1391" t="inlineStr">
        <is>
          <t>9주차</t>
        </is>
      </c>
      <c r="C1391" t="inlineStr">
        <is>
          <t>EP</t>
        </is>
      </c>
      <c r="D1391" s="28" t="n">
        <v>46080</v>
      </c>
      <c r="E1391" t="inlineStr">
        <is>
          <t>현대EP</t>
        </is>
      </c>
      <c r="F1391" t="inlineStr">
        <is>
          <t>정효은</t>
        </is>
      </c>
      <c r="G1391" t="inlineStr">
        <is>
          <t>010-4144-2117</t>
        </is>
      </c>
      <c r="H1391" t="inlineStr">
        <is>
          <t>41조7474</t>
        </is>
      </c>
      <c r="I1391" t="n">
        <v>3500000</v>
      </c>
      <c r="J1391" t="n">
        <v>0.08699999999999999</v>
      </c>
      <c r="K1391" t="n">
        <v>1.76</v>
      </c>
      <c r="L1391" t="n">
        <v>0.14</v>
      </c>
      <c r="M1391" t="n">
        <v>1.62</v>
      </c>
      <c r="P1391" t="inlineStr">
        <is>
          <t>황채이</t>
        </is>
      </c>
      <c r="Q1391" t="inlineStr">
        <is>
          <t>홈서비스 60개월</t>
        </is>
      </c>
      <c r="AB1391" t="inlineStr">
        <is>
          <t>홈서비스</t>
        </is>
      </c>
      <c r="AC1391" t="n">
        <v>61600</v>
      </c>
      <c r="AD1391" t="n">
        <v>4900</v>
      </c>
      <c r="AE1391" t="n">
        <v>56700</v>
      </c>
      <c r="AF1391" t="n">
        <v>56000</v>
      </c>
      <c r="AG1391" t="n">
        <v>4900</v>
      </c>
      <c r="AH1391" t="n">
        <v>51100</v>
      </c>
      <c r="AI1391" t="n">
        <v>0</v>
      </c>
    </row>
    <row r="1392">
      <c r="A1392" t="inlineStr">
        <is>
          <t>2월</t>
        </is>
      </c>
      <c r="B1392" t="inlineStr">
        <is>
          <t>9주차</t>
        </is>
      </c>
      <c r="C1392" t="inlineStr">
        <is>
          <t>IM</t>
        </is>
      </c>
      <c r="D1392" s="28" t="n">
        <v>46080</v>
      </c>
      <c r="E1392" t="inlineStr">
        <is>
          <t>IM캐피탈</t>
        </is>
      </c>
      <c r="F1392" t="inlineStr">
        <is>
          <t xml:space="preserve"> 전의원</t>
        </is>
      </c>
      <c r="G1392" t="inlineStr">
        <is>
          <t>010-6646-6663</t>
        </is>
      </c>
      <c r="H1392" t="inlineStr">
        <is>
          <t>306부6718</t>
        </is>
      </c>
      <c r="I1392" t="n">
        <v>26300000</v>
      </c>
      <c r="J1392" t="n">
        <v>0.049</v>
      </c>
      <c r="K1392" t="n">
        <v>1.1</v>
      </c>
      <c r="L1392" t="n">
        <v>0.14</v>
      </c>
      <c r="M1392" t="n">
        <v>0.96</v>
      </c>
      <c r="P1392" t="inlineStr">
        <is>
          <t>정광호</t>
        </is>
      </c>
      <c r="Q1392" t="inlineStr">
        <is>
          <t>홈서비스 60개월</t>
        </is>
      </c>
      <c r="AB1392" t="inlineStr">
        <is>
          <t>홈서비스</t>
        </is>
      </c>
      <c r="AC1392" t="n">
        <v>289300</v>
      </c>
      <c r="AD1392" t="n">
        <v>36820</v>
      </c>
      <c r="AE1392" t="n">
        <v>252480</v>
      </c>
      <c r="AF1392" t="n">
        <v>263000</v>
      </c>
      <c r="AG1392" t="n">
        <v>36820</v>
      </c>
      <c r="AH1392" t="n">
        <v>226180</v>
      </c>
      <c r="AI1392" t="n">
        <v>0</v>
      </c>
    </row>
    <row r="1393">
      <c r="A1393" t="inlineStr">
        <is>
          <t>2월</t>
        </is>
      </c>
      <c r="B1393" t="inlineStr">
        <is>
          <t>6주차</t>
        </is>
      </c>
      <c r="C1393" t="inlineStr">
        <is>
          <t>IM</t>
        </is>
      </c>
      <c r="D1393" s="28" t="n">
        <v>46055</v>
      </c>
      <c r="E1393" t="inlineStr">
        <is>
          <t>IM캐피탈</t>
        </is>
      </c>
      <c r="F1393" t="inlineStr">
        <is>
          <t>이영우</t>
        </is>
      </c>
      <c r="G1393" t="n">
        <v>1087359459</v>
      </c>
      <c r="H1393" t="inlineStr">
        <is>
          <t>221누4341</t>
        </is>
      </c>
      <c r="I1393" t="n">
        <v>18400000</v>
      </c>
      <c r="J1393" t="n">
        <v>0.049</v>
      </c>
      <c r="K1393" t="n">
        <v>1.1</v>
      </c>
      <c r="L1393" t="n">
        <v>0.14</v>
      </c>
      <c r="M1393" t="n">
        <v>0.96</v>
      </c>
      <c r="P1393" t="inlineStr">
        <is>
          <t>김나윤</t>
        </is>
      </c>
      <c r="Q1393" t="inlineStr">
        <is>
          <t>홈서비스 72개월</t>
        </is>
      </c>
      <c r="AB1393" t="inlineStr">
        <is>
          <t>홈서비스</t>
        </is>
      </c>
      <c r="AC1393" t="n">
        <v>202400</v>
      </c>
      <c r="AD1393" t="n">
        <v>25760</v>
      </c>
      <c r="AE1393" t="n">
        <v>176640</v>
      </c>
      <c r="AF1393" t="n">
        <v>184000</v>
      </c>
      <c r="AG1393" t="n">
        <v>25760</v>
      </c>
      <c r="AH1393" t="n">
        <v>158240</v>
      </c>
      <c r="AI1393" t="n">
        <v>0</v>
      </c>
    </row>
    <row r="1394">
      <c r="A1394" t="inlineStr">
        <is>
          <t>2월</t>
        </is>
      </c>
      <c r="B1394" t="inlineStr">
        <is>
          <t>7주차</t>
        </is>
      </c>
      <c r="C1394" t="inlineStr">
        <is>
          <t>IM</t>
        </is>
      </c>
      <c r="D1394" s="28" t="n">
        <v>46062</v>
      </c>
      <c r="E1394" t="inlineStr">
        <is>
          <t>IM캐피탈</t>
        </is>
      </c>
      <c r="F1394" t="inlineStr">
        <is>
          <t>국반옥</t>
        </is>
      </c>
      <c r="G1394" t="inlineStr">
        <is>
          <t>010-8960-8010</t>
        </is>
      </c>
      <c r="H1394" t="inlineStr">
        <is>
          <t>58구9113</t>
        </is>
      </c>
      <c r="I1394" t="n">
        <v>24000000</v>
      </c>
      <c r="J1394" t="n">
        <v>0.049</v>
      </c>
      <c r="K1394" t="n">
        <v>1.1</v>
      </c>
      <c r="L1394" t="n">
        <v>0.4</v>
      </c>
      <c r="M1394" t="n">
        <v>0.7</v>
      </c>
      <c r="P1394" t="inlineStr">
        <is>
          <t>장진경</t>
        </is>
      </c>
      <c r="AB1394" t="inlineStr">
        <is>
          <t>엔카</t>
        </is>
      </c>
      <c r="AC1394" t="n">
        <v>264000</v>
      </c>
      <c r="AD1394" t="n">
        <v>96000</v>
      </c>
      <c r="AE1394" t="n">
        <v>168000</v>
      </c>
      <c r="AF1394" t="n">
        <v>240000</v>
      </c>
      <c r="AG1394" t="n">
        <v>96000</v>
      </c>
      <c r="AH1394" t="n">
        <v>144000</v>
      </c>
      <c r="AI1394" t="n">
        <v>0</v>
      </c>
    </row>
    <row r="1395">
      <c r="A1395" t="inlineStr">
        <is>
          <t>2월</t>
        </is>
      </c>
      <c r="B1395" t="inlineStr">
        <is>
          <t>7주차</t>
        </is>
      </c>
      <c r="C1395" t="inlineStr">
        <is>
          <t>IM</t>
        </is>
      </c>
      <c r="D1395" s="28" t="n">
        <v>46063</v>
      </c>
      <c r="E1395" t="inlineStr">
        <is>
          <t>IM캐피탈</t>
        </is>
      </c>
      <c r="F1395" t="inlineStr">
        <is>
          <t>김용일</t>
        </is>
      </c>
      <c r="G1395" t="inlineStr">
        <is>
          <t>010-2880-9763</t>
        </is>
      </c>
      <c r="H1395" t="inlineStr">
        <is>
          <t>10소8644</t>
        </is>
      </c>
      <c r="I1395" t="n">
        <v>10000000</v>
      </c>
      <c r="J1395" t="n">
        <v>0.059</v>
      </c>
      <c r="K1395" t="n">
        <v>1.1</v>
      </c>
      <c r="L1395" t="n">
        <v>0.4</v>
      </c>
      <c r="M1395" t="n">
        <v>0.7</v>
      </c>
      <c r="P1395" t="inlineStr">
        <is>
          <t>임대경</t>
        </is>
      </c>
      <c r="AB1395" t="inlineStr">
        <is>
          <t>엔카</t>
        </is>
      </c>
      <c r="AC1395" t="n">
        <v>110000</v>
      </c>
      <c r="AD1395" t="n">
        <v>40000</v>
      </c>
      <c r="AE1395" t="n">
        <v>70000</v>
      </c>
      <c r="AF1395" t="n">
        <v>100000</v>
      </c>
      <c r="AG1395" t="n">
        <v>40000</v>
      </c>
      <c r="AH1395" t="n">
        <v>60000</v>
      </c>
      <c r="AI1395" t="n">
        <v>0</v>
      </c>
    </row>
    <row r="1396">
      <c r="A1396" t="inlineStr">
        <is>
          <t>2월</t>
        </is>
      </c>
      <c r="B1396" t="inlineStr">
        <is>
          <t>7주차</t>
        </is>
      </c>
      <c r="C1396" t="inlineStr">
        <is>
          <t>EP</t>
        </is>
      </c>
      <c r="D1396" s="28" t="n">
        <v>46064</v>
      </c>
      <c r="E1396" t="inlineStr">
        <is>
          <t>현대EP</t>
        </is>
      </c>
      <c r="F1396" t="inlineStr">
        <is>
          <t>이정환</t>
        </is>
      </c>
      <c r="G1396" t="inlineStr">
        <is>
          <t>010-8584-2749</t>
        </is>
      </c>
      <c r="H1396" t="inlineStr">
        <is>
          <t>56주3858</t>
        </is>
      </c>
      <c r="I1396" t="n">
        <v>25500000</v>
      </c>
      <c r="J1396" t="n">
        <v>0.074</v>
      </c>
      <c r="K1396" t="n">
        <v>1.76</v>
      </c>
      <c r="L1396" t="n">
        <v>0.14</v>
      </c>
      <c r="M1396" t="n">
        <v>1.62</v>
      </c>
      <c r="P1396" t="inlineStr">
        <is>
          <t>정세빈</t>
        </is>
      </c>
      <c r="Q1396" t="inlineStr">
        <is>
          <t>홈서비스 60개월</t>
        </is>
      </c>
      <c r="AB1396" t="inlineStr">
        <is>
          <t>홈서비스</t>
        </is>
      </c>
      <c r="AC1396" t="n">
        <v>448800</v>
      </c>
      <c r="AD1396" t="n">
        <v>35700</v>
      </c>
      <c r="AE1396" t="n">
        <v>413100</v>
      </c>
      <c r="AF1396" t="n">
        <v>408000</v>
      </c>
      <c r="AG1396" t="n">
        <v>35700</v>
      </c>
      <c r="AH1396" t="n">
        <v>372300</v>
      </c>
      <c r="AI1396" t="n">
        <v>0</v>
      </c>
    </row>
    <row r="1397">
      <c r="A1397" t="inlineStr">
        <is>
          <t>2월</t>
        </is>
      </c>
      <c r="B1397" t="inlineStr">
        <is>
          <t>7주차</t>
        </is>
      </c>
      <c r="C1397" t="inlineStr">
        <is>
          <t>EP</t>
        </is>
      </c>
      <c r="D1397" s="28" t="n">
        <v>46064</v>
      </c>
      <c r="E1397" t="inlineStr">
        <is>
          <t>현대EP_fast</t>
        </is>
      </c>
      <c r="F1397" t="inlineStr">
        <is>
          <t>신춘섭</t>
        </is>
      </c>
      <c r="G1397" t="inlineStr">
        <is>
          <t>010-6678-7850</t>
        </is>
      </c>
      <c r="H1397" t="inlineStr">
        <is>
          <t>22노1886</t>
        </is>
      </c>
      <c r="I1397" t="n">
        <v>4900000</v>
      </c>
      <c r="J1397" t="n">
        <v>0.083</v>
      </c>
      <c r="K1397" t="n">
        <v>1.76</v>
      </c>
      <c r="L1397" t="n">
        <v>0.14</v>
      </c>
      <c r="M1397" t="n">
        <v>1.62</v>
      </c>
      <c r="P1397" t="inlineStr">
        <is>
          <t>정세빈</t>
        </is>
      </c>
      <c r="Q1397" t="inlineStr">
        <is>
          <t>홈서비스 60개월</t>
        </is>
      </c>
      <c r="AB1397" t="inlineStr">
        <is>
          <t>홈서비스</t>
        </is>
      </c>
      <c r="AC1397" t="n">
        <v>86240</v>
      </c>
      <c r="AD1397" t="n">
        <v>6860</v>
      </c>
      <c r="AE1397" t="n">
        <v>79380</v>
      </c>
      <c r="AF1397" t="n">
        <v>78400</v>
      </c>
      <c r="AG1397" t="n">
        <v>6860</v>
      </c>
      <c r="AH1397" t="n">
        <v>71540</v>
      </c>
      <c r="AI1397" t="n">
        <v>0</v>
      </c>
    </row>
    <row r="1398">
      <c r="A1398" t="inlineStr">
        <is>
          <t>2월</t>
        </is>
      </c>
      <c r="B1398" t="inlineStr">
        <is>
          <t>7주차</t>
        </is>
      </c>
      <c r="C1398" t="inlineStr">
        <is>
          <t>IM</t>
        </is>
      </c>
      <c r="D1398" s="28" t="n">
        <v>46063</v>
      </c>
      <c r="E1398" t="inlineStr">
        <is>
          <t>IM캐피탈</t>
        </is>
      </c>
      <c r="F1398" t="inlineStr">
        <is>
          <t>이재민</t>
        </is>
      </c>
      <c r="G1398" t="inlineStr">
        <is>
          <t>010-8191-8720</t>
        </is>
      </c>
      <c r="H1398" t="inlineStr">
        <is>
          <t>391누6419</t>
        </is>
      </c>
      <c r="I1398" t="n">
        <v>21400000</v>
      </c>
      <c r="J1398" t="n">
        <v>0.082</v>
      </c>
      <c r="K1398" t="n">
        <v>1.1</v>
      </c>
      <c r="L1398" t="n">
        <v>0.4</v>
      </c>
      <c r="M1398" t="n">
        <v>0.7</v>
      </c>
      <c r="P1398" t="inlineStr">
        <is>
          <t>임대경</t>
        </is>
      </c>
      <c r="AB1398" t="inlineStr">
        <is>
          <t>엔카</t>
        </is>
      </c>
      <c r="AC1398" t="n">
        <v>235400</v>
      </c>
      <c r="AD1398" t="n">
        <v>85600</v>
      </c>
      <c r="AE1398" t="n">
        <v>149800</v>
      </c>
      <c r="AF1398" t="n">
        <v>214000</v>
      </c>
      <c r="AG1398" t="n">
        <v>85600</v>
      </c>
      <c r="AH1398" t="n">
        <v>128400</v>
      </c>
      <c r="AI1398" t="n">
        <v>0</v>
      </c>
    </row>
    <row r="1399">
      <c r="A1399" t="inlineStr">
        <is>
          <t>2월</t>
        </is>
      </c>
      <c r="B1399" t="inlineStr">
        <is>
          <t>7주차</t>
        </is>
      </c>
      <c r="C1399" t="inlineStr">
        <is>
          <t>EP</t>
        </is>
      </c>
      <c r="D1399" s="28" t="n">
        <v>46064</v>
      </c>
      <c r="E1399" t="inlineStr">
        <is>
          <t>현대EP</t>
        </is>
      </c>
      <c r="F1399" t="inlineStr">
        <is>
          <t>이정환</t>
        </is>
      </c>
      <c r="G1399" t="inlineStr">
        <is>
          <t>010-8584-2749</t>
        </is>
      </c>
      <c r="H1399" t="inlineStr">
        <is>
          <t>56주3858</t>
        </is>
      </c>
      <c r="I1399" t="n">
        <v>-25500000</v>
      </c>
      <c r="J1399" t="n">
        <v>0.074</v>
      </c>
      <c r="K1399" t="n">
        <v>1.76</v>
      </c>
      <c r="L1399" t="n">
        <v>0.14</v>
      </c>
      <c r="M1399" t="n">
        <v>1.62</v>
      </c>
      <c r="P1399" t="inlineStr">
        <is>
          <t>정세빈</t>
        </is>
      </c>
      <c r="Q1399" t="inlineStr">
        <is>
          <t>홈서비스 60개월</t>
        </is>
      </c>
      <c r="AB1399" t="inlineStr">
        <is>
          <t>홈서비스</t>
        </is>
      </c>
      <c r="AC1399" t="n">
        <v>-448800</v>
      </c>
      <c r="AD1399" t="n">
        <v>-35700</v>
      </c>
      <c r="AE1399" t="n">
        <v>-413100</v>
      </c>
      <c r="AF1399" t="n">
        <v>-408000</v>
      </c>
      <c r="AG1399" t="n">
        <v>-35700</v>
      </c>
      <c r="AH1399" t="n">
        <v>-372300</v>
      </c>
    </row>
    <row r="1400">
      <c r="A1400" t="inlineStr">
        <is>
          <t>2월</t>
        </is>
      </c>
      <c r="B1400" t="inlineStr">
        <is>
          <t>7주차</t>
        </is>
      </c>
      <c r="C1400" t="inlineStr">
        <is>
          <t>EP</t>
        </is>
      </c>
      <c r="D1400" s="28" t="n">
        <v>46066</v>
      </c>
      <c r="E1400" t="inlineStr">
        <is>
          <t>현대EP</t>
        </is>
      </c>
      <c r="F1400" t="inlineStr">
        <is>
          <t>양진희</t>
        </is>
      </c>
      <c r="G1400" t="inlineStr">
        <is>
          <t>010-2553-6943</t>
        </is>
      </c>
      <c r="H1400" t="inlineStr">
        <is>
          <t>144나9436</t>
        </is>
      </c>
      <c r="I1400" t="n">
        <v>22000000</v>
      </c>
      <c r="J1400" t="n">
        <v>0.073</v>
      </c>
      <c r="K1400" t="n">
        <v>1.76</v>
      </c>
      <c r="L1400" t="n">
        <v>0.14</v>
      </c>
      <c r="M1400" t="n">
        <v>1.62</v>
      </c>
      <c r="P1400" t="inlineStr">
        <is>
          <t>정광호</t>
        </is>
      </c>
      <c r="Q1400" t="inlineStr">
        <is>
          <t>홈서비스 60개월</t>
        </is>
      </c>
      <c r="AB1400" t="inlineStr">
        <is>
          <t>홈서비스</t>
        </is>
      </c>
      <c r="AC1400" t="n">
        <v>387200</v>
      </c>
      <c r="AD1400" t="n">
        <v>30800</v>
      </c>
      <c r="AE1400" t="n">
        <v>356400</v>
      </c>
      <c r="AF1400" t="n">
        <v>352000</v>
      </c>
      <c r="AG1400" t="n">
        <v>30800</v>
      </c>
      <c r="AH1400" t="n">
        <v>321200</v>
      </c>
      <c r="AI1400" t="n">
        <v>0</v>
      </c>
    </row>
    <row r="1401">
      <c r="A1401" t="inlineStr">
        <is>
          <t>2월</t>
        </is>
      </c>
      <c r="B1401" t="inlineStr">
        <is>
          <t>8주차</t>
        </is>
      </c>
      <c r="C1401" t="inlineStr">
        <is>
          <t>IM</t>
        </is>
      </c>
      <c r="D1401" s="28" t="n">
        <v>46072</v>
      </c>
      <c r="E1401" t="inlineStr">
        <is>
          <t>IM캐피탈</t>
        </is>
      </c>
      <c r="F1401" t="inlineStr">
        <is>
          <t>장인수</t>
        </is>
      </c>
      <c r="G1401" t="inlineStr">
        <is>
          <t>010-8776-2746</t>
        </is>
      </c>
      <c r="H1401" t="inlineStr">
        <is>
          <t>190어8822</t>
        </is>
      </c>
      <c r="I1401" t="n">
        <v>17200000</v>
      </c>
      <c r="J1401" t="n">
        <v>0.06900000000000001</v>
      </c>
      <c r="K1401" t="n">
        <v>1.1</v>
      </c>
      <c r="L1401" t="n">
        <v>0.14</v>
      </c>
      <c r="M1401" t="n">
        <v>0.96</v>
      </c>
      <c r="P1401" t="inlineStr">
        <is>
          <t>정광호</t>
        </is>
      </c>
      <c r="Q1401" t="inlineStr">
        <is>
          <t>홈서비스 72개월</t>
        </is>
      </c>
      <c r="AB1401" t="inlineStr">
        <is>
          <t>홈서비스</t>
        </is>
      </c>
      <c r="AC1401" t="n">
        <v>189200</v>
      </c>
      <c r="AD1401" t="n">
        <v>24080</v>
      </c>
      <c r="AE1401" t="n">
        <v>165120</v>
      </c>
      <c r="AF1401" t="n">
        <v>172000</v>
      </c>
      <c r="AG1401" t="n">
        <v>24080</v>
      </c>
      <c r="AH1401" t="n">
        <v>147920</v>
      </c>
      <c r="AI1401" t="n">
        <v>0</v>
      </c>
    </row>
    <row r="1402">
      <c r="A1402" t="inlineStr">
        <is>
          <t>2월</t>
        </is>
      </c>
      <c r="B1402" t="inlineStr">
        <is>
          <t>8주차</t>
        </is>
      </c>
      <c r="C1402" t="inlineStr">
        <is>
          <t>EP</t>
        </is>
      </c>
      <c r="D1402" s="28" t="n">
        <v>46073</v>
      </c>
      <c r="E1402" t="inlineStr">
        <is>
          <t>현대EP_fast</t>
        </is>
      </c>
      <c r="F1402" t="inlineStr">
        <is>
          <t>정현</t>
        </is>
      </c>
      <c r="G1402" t="inlineStr">
        <is>
          <t>010-4800-0321</t>
        </is>
      </c>
      <c r="H1402" t="inlineStr">
        <is>
          <t>177노6956</t>
        </is>
      </c>
      <c r="I1402" t="n">
        <v>37500000</v>
      </c>
      <c r="J1402" t="n">
        <v>0.068</v>
      </c>
      <c r="K1402" t="n">
        <v>1.76</v>
      </c>
      <c r="L1402" t="n">
        <v>0.14</v>
      </c>
      <c r="M1402" t="n">
        <v>1.62</v>
      </c>
      <c r="P1402" t="inlineStr">
        <is>
          <t>김수연</t>
        </is>
      </c>
      <c r="Q1402" t="inlineStr">
        <is>
          <t>홈서비스 60개월</t>
        </is>
      </c>
      <c r="AB1402" t="inlineStr">
        <is>
          <t>홈서비스</t>
        </is>
      </c>
      <c r="AC1402" t="n">
        <v>660000</v>
      </c>
      <c r="AD1402" t="n">
        <v>52500</v>
      </c>
      <c r="AE1402" t="n">
        <v>607500</v>
      </c>
      <c r="AF1402" t="n">
        <v>600000</v>
      </c>
      <c r="AG1402" t="n">
        <v>52500</v>
      </c>
      <c r="AH1402" t="n">
        <v>547500</v>
      </c>
      <c r="AI1402" t="n">
        <v>0</v>
      </c>
    </row>
    <row r="1403">
      <c r="A1403" t="inlineStr">
        <is>
          <t>2월</t>
        </is>
      </c>
      <c r="B1403" t="inlineStr">
        <is>
          <t>8주차</t>
        </is>
      </c>
      <c r="C1403" t="inlineStr">
        <is>
          <t>EP</t>
        </is>
      </c>
      <c r="D1403" s="28" t="n">
        <v>46072</v>
      </c>
      <c r="E1403" t="inlineStr">
        <is>
          <t>현대EP_fast</t>
        </is>
      </c>
      <c r="F1403" t="inlineStr">
        <is>
          <t>조성래</t>
        </is>
      </c>
      <c r="G1403" t="inlineStr">
        <is>
          <t>010-2407-3709</t>
        </is>
      </c>
      <c r="H1403" t="inlineStr">
        <is>
          <t>61루3721</t>
        </is>
      </c>
      <c r="I1403" t="n">
        <v>18000000</v>
      </c>
      <c r="J1403" t="n">
        <v>0.115</v>
      </c>
      <c r="K1403" t="n">
        <v>1.76</v>
      </c>
      <c r="L1403" t="n">
        <v>0.14</v>
      </c>
      <c r="M1403" t="n">
        <v>1.62</v>
      </c>
      <c r="P1403" t="inlineStr">
        <is>
          <t>최혁</t>
        </is>
      </c>
      <c r="Q1403" t="inlineStr">
        <is>
          <t>홈서비스36개월</t>
        </is>
      </c>
      <c r="AB1403" t="inlineStr">
        <is>
          <t>홈서비스</t>
        </is>
      </c>
      <c r="AC1403" t="n">
        <v>316800</v>
      </c>
      <c r="AD1403" t="n">
        <v>25200</v>
      </c>
      <c r="AE1403" t="n">
        <v>291600</v>
      </c>
      <c r="AF1403" t="n">
        <v>288000</v>
      </c>
      <c r="AG1403" t="n">
        <v>25200</v>
      </c>
      <c r="AH1403" t="n">
        <v>262800</v>
      </c>
      <c r="AI1403" t="n">
        <v>0</v>
      </c>
    </row>
    <row r="1404">
      <c r="A1404" t="inlineStr">
        <is>
          <t>2월</t>
        </is>
      </c>
      <c r="B1404" t="inlineStr">
        <is>
          <t>9주차</t>
        </is>
      </c>
      <c r="C1404" t="inlineStr">
        <is>
          <t>EP</t>
        </is>
      </c>
      <c r="D1404" s="28" t="n">
        <v>46076</v>
      </c>
      <c r="E1404" t="inlineStr">
        <is>
          <t>현대EP_fast</t>
        </is>
      </c>
      <c r="F1404" t="inlineStr">
        <is>
          <t>임태혁</t>
        </is>
      </c>
      <c r="G1404" t="inlineStr">
        <is>
          <t>010-4180-3490</t>
        </is>
      </c>
      <c r="H1404" t="inlineStr">
        <is>
          <t>42라6045</t>
        </is>
      </c>
      <c r="I1404" t="n">
        <v>28500000</v>
      </c>
      <c r="J1404" t="n">
        <v>0.068</v>
      </c>
      <c r="K1404" t="n">
        <v>1.76</v>
      </c>
      <c r="L1404" t="n">
        <v>0.14</v>
      </c>
      <c r="M1404" t="n">
        <v>1.62</v>
      </c>
      <c r="P1404" t="inlineStr">
        <is>
          <t>김수연</t>
        </is>
      </c>
      <c r="Q1404" t="inlineStr">
        <is>
          <t>홈서비스 60개월</t>
        </is>
      </c>
      <c r="AB1404" t="inlineStr">
        <is>
          <t>홈서비스</t>
        </is>
      </c>
      <c r="AC1404" t="n">
        <v>501600</v>
      </c>
      <c r="AD1404" t="n">
        <v>39900</v>
      </c>
      <c r="AE1404" t="n">
        <v>461700</v>
      </c>
      <c r="AF1404" t="n">
        <v>456000</v>
      </c>
      <c r="AG1404" t="n">
        <v>39900</v>
      </c>
      <c r="AH1404" t="n">
        <v>416100</v>
      </c>
      <c r="AI1404" t="n">
        <v>0</v>
      </c>
    </row>
    <row r="1405">
      <c r="A1405" t="inlineStr">
        <is>
          <t>2월</t>
        </is>
      </c>
      <c r="B1405" t="inlineStr">
        <is>
          <t>8주차</t>
        </is>
      </c>
      <c r="C1405" t="inlineStr">
        <is>
          <t>IM</t>
        </is>
      </c>
      <c r="D1405" s="28" t="n">
        <v>46072</v>
      </c>
      <c r="E1405" t="inlineStr">
        <is>
          <t>IM캐피탈</t>
        </is>
      </c>
      <c r="F1405" t="inlineStr">
        <is>
          <t>고혜진</t>
        </is>
      </c>
      <c r="G1405" t="inlineStr">
        <is>
          <t>010-8418-9798</t>
        </is>
      </c>
      <c r="H1405" t="inlineStr">
        <is>
          <t>58무3530</t>
        </is>
      </c>
      <c r="I1405" t="n">
        <v>6000000</v>
      </c>
      <c r="J1405" t="n">
        <v>0.039</v>
      </c>
      <c r="K1405" t="n">
        <v>1.1</v>
      </c>
      <c r="L1405" t="n">
        <v>0.14</v>
      </c>
      <c r="M1405" t="n">
        <v>0.96</v>
      </c>
      <c r="P1405" t="inlineStr">
        <is>
          <t>임대경</t>
        </is>
      </c>
      <c r="Q1405" t="inlineStr">
        <is>
          <t>홈서비스 60개월</t>
        </is>
      </c>
      <c r="AB1405" t="inlineStr">
        <is>
          <t>홈서비스</t>
        </is>
      </c>
      <c r="AC1405" t="n">
        <v>66000</v>
      </c>
      <c r="AD1405" t="n">
        <v>8400</v>
      </c>
      <c r="AE1405" t="n">
        <v>57600</v>
      </c>
      <c r="AF1405" t="n">
        <v>60000</v>
      </c>
      <c r="AG1405" t="n">
        <v>8400</v>
      </c>
      <c r="AH1405" t="n">
        <v>51600</v>
      </c>
      <c r="AI1405" t="n">
        <v>0</v>
      </c>
    </row>
    <row r="1406">
      <c r="A1406" t="inlineStr">
        <is>
          <t>2월</t>
        </is>
      </c>
      <c r="B1406" t="inlineStr">
        <is>
          <t>9주차</t>
        </is>
      </c>
      <c r="C1406" t="inlineStr">
        <is>
          <t>EP</t>
        </is>
      </c>
      <c r="D1406" s="28" t="n">
        <v>46076</v>
      </c>
      <c r="E1406" t="inlineStr">
        <is>
          <t>현대EP</t>
        </is>
      </c>
      <c r="F1406" t="inlineStr">
        <is>
          <t>박기성</t>
        </is>
      </c>
      <c r="G1406" t="inlineStr">
        <is>
          <t>010-4431-3009</t>
        </is>
      </c>
      <c r="H1406" t="inlineStr">
        <is>
          <t>220수3364</t>
        </is>
      </c>
      <c r="I1406" t="n">
        <v>20000000</v>
      </c>
      <c r="J1406" t="n">
        <v>0.068</v>
      </c>
      <c r="K1406" t="n">
        <v>1.76</v>
      </c>
      <c r="L1406" t="n">
        <v>0.14</v>
      </c>
      <c r="M1406" t="n">
        <v>1.62</v>
      </c>
      <c r="P1406" t="inlineStr">
        <is>
          <t>최형주</t>
        </is>
      </c>
      <c r="Q1406" t="inlineStr">
        <is>
          <t>홈서비스 36개월</t>
        </is>
      </c>
      <c r="AB1406" t="inlineStr">
        <is>
          <t>홈서비스</t>
        </is>
      </c>
      <c r="AC1406" t="n">
        <v>352000</v>
      </c>
      <c r="AD1406" t="n">
        <v>28000</v>
      </c>
      <c r="AE1406" t="n">
        <v>324000</v>
      </c>
      <c r="AF1406" t="n">
        <v>320000</v>
      </c>
      <c r="AG1406" t="n">
        <v>28000</v>
      </c>
      <c r="AH1406" t="n">
        <v>292000</v>
      </c>
      <c r="AI1406" t="n">
        <v>0</v>
      </c>
    </row>
    <row r="1407">
      <c r="A1407" t="inlineStr">
        <is>
          <t>2월</t>
        </is>
      </c>
      <c r="B1407" t="inlineStr">
        <is>
          <t>8주차</t>
        </is>
      </c>
      <c r="C1407" t="inlineStr">
        <is>
          <t>EP</t>
        </is>
      </c>
      <c r="D1407" s="28" t="n">
        <v>46073</v>
      </c>
      <c r="E1407" t="inlineStr">
        <is>
          <t>현대EP_fast</t>
        </is>
      </c>
      <c r="F1407" t="inlineStr">
        <is>
          <t>윤기중</t>
        </is>
      </c>
      <c r="G1407" t="inlineStr">
        <is>
          <t>010-5430-8805</t>
        </is>
      </c>
      <c r="H1407" t="inlineStr">
        <is>
          <t>29도0114</t>
        </is>
      </c>
      <c r="I1407" t="n">
        <v>12700000</v>
      </c>
      <c r="J1407" t="n">
        <v>0.076</v>
      </c>
      <c r="K1407" t="n">
        <v>1.76</v>
      </c>
      <c r="L1407" t="n">
        <v>0.14</v>
      </c>
      <c r="M1407" t="n">
        <v>1.62</v>
      </c>
      <c r="P1407" t="inlineStr">
        <is>
          <t>최혁</t>
        </is>
      </c>
      <c r="Q1407" t="inlineStr">
        <is>
          <t>홈서비스60개월</t>
        </is>
      </c>
      <c r="AB1407" t="inlineStr">
        <is>
          <t>홈서비스</t>
        </is>
      </c>
      <c r="AC1407" t="n">
        <v>223520</v>
      </c>
      <c r="AD1407" t="n">
        <v>17780</v>
      </c>
      <c r="AE1407" t="n">
        <v>205740</v>
      </c>
      <c r="AF1407" t="n">
        <v>203200</v>
      </c>
      <c r="AG1407" t="n">
        <v>17780</v>
      </c>
      <c r="AH1407" t="n">
        <v>185420</v>
      </c>
    </row>
    <row r="1408">
      <c r="A1408" t="inlineStr">
        <is>
          <t>2월</t>
        </is>
      </c>
      <c r="B1408" t="inlineStr">
        <is>
          <t>8주차</t>
        </is>
      </c>
      <c r="C1408" t="inlineStr">
        <is>
          <t>EP</t>
        </is>
      </c>
      <c r="D1408" s="28" t="n">
        <v>46072</v>
      </c>
      <c r="E1408" t="inlineStr">
        <is>
          <t>현대EP_fast</t>
        </is>
      </c>
      <c r="F1408" t="inlineStr">
        <is>
          <t>임현재</t>
        </is>
      </c>
      <c r="G1408" t="inlineStr">
        <is>
          <t>010-2178-9089</t>
        </is>
      </c>
      <c r="H1408" t="inlineStr">
        <is>
          <t>163나5566</t>
        </is>
      </c>
      <c r="I1408" t="n">
        <v>15000000</v>
      </c>
      <c r="J1408" t="n">
        <v>0.111</v>
      </c>
      <c r="K1408" t="n">
        <v>1.76</v>
      </c>
      <c r="L1408" t="n">
        <v>0.4</v>
      </c>
      <c r="M1408" t="n">
        <v>1.36</v>
      </c>
      <c r="P1408" t="inlineStr">
        <is>
          <t>장진경</t>
        </is>
      </c>
      <c r="Q1408" t="inlineStr">
        <is>
          <t xml:space="preserve"> 금리인하 0.5% 적용건 ( 11.6 &gt; 11.1 )</t>
        </is>
      </c>
      <c r="AB1408" t="inlineStr">
        <is>
          <t>엔카</t>
        </is>
      </c>
      <c r="AC1408" t="n">
        <v>264000</v>
      </c>
      <c r="AD1408" t="n">
        <v>60000</v>
      </c>
      <c r="AE1408" t="n">
        <v>204000</v>
      </c>
      <c r="AF1408" t="n">
        <v>240000</v>
      </c>
      <c r="AG1408" t="n">
        <v>60000</v>
      </c>
      <c r="AH1408" t="n">
        <v>180000</v>
      </c>
      <c r="AI1408" t="n">
        <v>0</v>
      </c>
    </row>
    <row r="1409">
      <c r="A1409" t="inlineStr">
        <is>
          <t>2월</t>
        </is>
      </c>
      <c r="B1409" t="inlineStr">
        <is>
          <t>8주차</t>
        </is>
      </c>
      <c r="C1409" t="inlineStr">
        <is>
          <t>EP</t>
        </is>
      </c>
      <c r="D1409" s="28" t="n">
        <v>46073</v>
      </c>
      <c r="E1409" t="inlineStr">
        <is>
          <t>현대EP_fast</t>
        </is>
      </c>
      <c r="F1409" t="inlineStr">
        <is>
          <t>이진혁</t>
        </is>
      </c>
      <c r="G1409" t="inlineStr">
        <is>
          <t>010-7473-2143</t>
        </is>
      </c>
      <c r="H1409" t="inlineStr">
        <is>
          <t>67더0390</t>
        </is>
      </c>
      <c r="I1409" t="n">
        <v>14500000</v>
      </c>
      <c r="J1409" t="n">
        <v>0.089</v>
      </c>
      <c r="K1409" t="n">
        <v>1.76</v>
      </c>
      <c r="L1409" t="n">
        <v>0.4</v>
      </c>
      <c r="M1409" t="n">
        <v>1.36</v>
      </c>
      <c r="P1409" t="inlineStr">
        <is>
          <t>최혁</t>
        </is>
      </c>
      <c r="AB1409" t="inlineStr">
        <is>
          <t>엔카</t>
        </is>
      </c>
      <c r="AC1409" t="n">
        <v>255200</v>
      </c>
      <c r="AD1409" t="n">
        <v>58000</v>
      </c>
      <c r="AE1409" t="n">
        <v>197200</v>
      </c>
      <c r="AF1409" t="n">
        <v>232000</v>
      </c>
      <c r="AG1409" t="n">
        <v>58000</v>
      </c>
      <c r="AH1409" t="n">
        <v>174000</v>
      </c>
      <c r="AI1409" t="n">
        <v>0</v>
      </c>
    </row>
    <row r="1410">
      <c r="A1410" t="inlineStr">
        <is>
          <t>2월</t>
        </is>
      </c>
      <c r="B1410" t="inlineStr">
        <is>
          <t>8주차</t>
        </is>
      </c>
      <c r="C1410" t="inlineStr">
        <is>
          <t>EP</t>
        </is>
      </c>
      <c r="D1410" s="28" t="n">
        <v>46072</v>
      </c>
      <c r="E1410" t="inlineStr">
        <is>
          <t>현대EP</t>
        </is>
      </c>
      <c r="F1410" t="inlineStr">
        <is>
          <t>양효열</t>
        </is>
      </c>
      <c r="G1410" t="inlineStr">
        <is>
          <t>010-3131-8286</t>
        </is>
      </c>
      <c r="H1410" t="inlineStr">
        <is>
          <t>73모8282</t>
        </is>
      </c>
      <c r="I1410" t="n">
        <v>7500000</v>
      </c>
      <c r="J1410" t="n">
        <v>0.124</v>
      </c>
      <c r="K1410" t="n">
        <v>1.76</v>
      </c>
      <c r="L1410" t="n">
        <v>0.14</v>
      </c>
      <c r="M1410" t="n">
        <v>1.62</v>
      </c>
      <c r="P1410" t="inlineStr">
        <is>
          <t>김나윤</t>
        </is>
      </c>
      <c r="Q1410" t="inlineStr">
        <is>
          <t>홈서비스 24개월</t>
        </is>
      </c>
      <c r="AB1410" t="inlineStr">
        <is>
          <t>홈서비스</t>
        </is>
      </c>
      <c r="AC1410" t="n">
        <v>132000</v>
      </c>
      <c r="AD1410" t="n">
        <v>10500</v>
      </c>
      <c r="AE1410" t="n">
        <v>121500</v>
      </c>
      <c r="AF1410" t="n">
        <v>120000</v>
      </c>
      <c r="AG1410" t="n">
        <v>10500</v>
      </c>
      <c r="AH1410" t="n">
        <v>109500</v>
      </c>
      <c r="AI1410" t="n">
        <v>0</v>
      </c>
    </row>
    <row r="1411">
      <c r="A1411" t="inlineStr">
        <is>
          <t>2월</t>
        </is>
      </c>
      <c r="B1411" t="inlineStr">
        <is>
          <t>8주차</t>
        </is>
      </c>
      <c r="C1411" t="inlineStr">
        <is>
          <t>EP</t>
        </is>
      </c>
      <c r="D1411" s="28" t="n">
        <v>46073</v>
      </c>
      <c r="E1411" t="inlineStr">
        <is>
          <t>현대EP_fast</t>
        </is>
      </c>
      <c r="F1411" t="inlineStr">
        <is>
          <t>강수빈</t>
        </is>
      </c>
      <c r="G1411" t="inlineStr">
        <is>
          <t>010-6363-8186</t>
        </is>
      </c>
      <c r="H1411" t="inlineStr">
        <is>
          <t>168마9905</t>
        </is>
      </c>
      <c r="I1411" t="n">
        <v>6200000</v>
      </c>
      <c r="J1411" t="n">
        <v>0.068</v>
      </c>
      <c r="K1411" t="n">
        <v>1.76</v>
      </c>
      <c r="L1411" t="n">
        <v>0.14</v>
      </c>
      <c r="M1411" t="n">
        <v>1.62</v>
      </c>
      <c r="P1411" t="inlineStr">
        <is>
          <t>정세빈</t>
        </is>
      </c>
      <c r="Q1411" t="inlineStr">
        <is>
          <t>홈서비스 48개월</t>
        </is>
      </c>
      <c r="AB1411" t="inlineStr">
        <is>
          <t>홈서비스</t>
        </is>
      </c>
      <c r="AC1411" t="n">
        <v>109120</v>
      </c>
      <c r="AD1411" t="n">
        <v>8680</v>
      </c>
      <c r="AE1411" t="n">
        <v>100440</v>
      </c>
      <c r="AF1411" t="n">
        <v>99200</v>
      </c>
      <c r="AG1411" t="n">
        <v>8680</v>
      </c>
      <c r="AH1411" t="n">
        <v>90520</v>
      </c>
    </row>
    <row r="1412">
      <c r="A1412" t="inlineStr">
        <is>
          <t>2월</t>
        </is>
      </c>
      <c r="B1412" t="inlineStr">
        <is>
          <t>7주차</t>
        </is>
      </c>
      <c r="C1412" t="inlineStr">
        <is>
          <t>EP</t>
        </is>
      </c>
      <c r="D1412" s="28" t="n">
        <v>46065</v>
      </c>
      <c r="E1412" t="inlineStr">
        <is>
          <t>현대EP_fast</t>
        </is>
      </c>
      <c r="F1412" t="inlineStr">
        <is>
          <t>손지원</t>
        </is>
      </c>
      <c r="G1412" t="inlineStr">
        <is>
          <t>010-8339-3746</t>
        </is>
      </c>
      <c r="H1412" t="inlineStr">
        <is>
          <t>51노0514</t>
        </is>
      </c>
      <c r="I1412" t="n">
        <v>8900000</v>
      </c>
      <c r="J1412" t="n">
        <v>0.11</v>
      </c>
      <c r="K1412" t="n">
        <v>1.76</v>
      </c>
      <c r="L1412" t="n">
        <v>0.14</v>
      </c>
      <c r="M1412" t="n">
        <v>1.62</v>
      </c>
      <c r="P1412" t="inlineStr">
        <is>
          <t>정하은</t>
        </is>
      </c>
      <c r="Q1412" t="inlineStr">
        <is>
          <t>홈서비스 60개월 /금리인하 0.5% 적용건 (11.5 &gt; 11 )</t>
        </is>
      </c>
      <c r="AB1412" t="inlineStr">
        <is>
          <t>홈서비스</t>
        </is>
      </c>
      <c r="AC1412" t="n">
        <v>156640</v>
      </c>
      <c r="AD1412" t="n">
        <v>12460</v>
      </c>
      <c r="AE1412" t="n">
        <v>144180</v>
      </c>
      <c r="AF1412" t="n">
        <v>142400</v>
      </c>
      <c r="AG1412" t="n">
        <v>12460</v>
      </c>
      <c r="AH1412" t="n">
        <v>129940</v>
      </c>
      <c r="AI1412" t="n">
        <v>0</v>
      </c>
    </row>
    <row r="1413">
      <c r="A1413" t="inlineStr">
        <is>
          <t>2월</t>
        </is>
      </c>
      <c r="B1413" t="inlineStr">
        <is>
          <t>9주차</t>
        </is>
      </c>
      <c r="C1413" t="inlineStr">
        <is>
          <t>IM</t>
        </is>
      </c>
      <c r="D1413" s="28" t="n">
        <v>46076</v>
      </c>
      <c r="E1413" t="inlineStr">
        <is>
          <t>IM캐피탈</t>
        </is>
      </c>
      <c r="F1413" t="inlineStr">
        <is>
          <t>이건희</t>
        </is>
      </c>
      <c r="G1413" t="inlineStr">
        <is>
          <t>010-7181-7842</t>
        </is>
      </c>
      <c r="H1413" t="inlineStr">
        <is>
          <t>360두7064</t>
        </is>
      </c>
      <c r="I1413" t="n">
        <v>7000000</v>
      </c>
      <c r="J1413" t="n">
        <v>0.049</v>
      </c>
      <c r="K1413" t="n">
        <v>1.1</v>
      </c>
      <c r="L1413" t="n">
        <v>0.14</v>
      </c>
      <c r="M1413" t="n">
        <v>0.96</v>
      </c>
      <c r="P1413" t="inlineStr">
        <is>
          <t>정세빈</t>
        </is>
      </c>
      <c r="Q1413" t="inlineStr">
        <is>
          <t>홈서비스 24개월</t>
        </is>
      </c>
      <c r="AB1413" t="inlineStr">
        <is>
          <t>홈서비스</t>
        </is>
      </c>
      <c r="AC1413" t="n">
        <v>77000</v>
      </c>
      <c r="AD1413" t="n">
        <v>9800</v>
      </c>
      <c r="AE1413" t="n">
        <v>67200</v>
      </c>
      <c r="AF1413" t="n">
        <v>70000</v>
      </c>
      <c r="AG1413" t="n">
        <v>9800</v>
      </c>
      <c r="AH1413" t="n">
        <v>60200</v>
      </c>
    </row>
    <row r="1414">
      <c r="A1414" t="inlineStr">
        <is>
          <t>2월</t>
        </is>
      </c>
      <c r="B1414" t="inlineStr">
        <is>
          <t>9주차</t>
        </is>
      </c>
      <c r="C1414" t="inlineStr">
        <is>
          <t>IM</t>
        </is>
      </c>
      <c r="D1414" s="28" t="n">
        <v>46076</v>
      </c>
      <c r="E1414" t="inlineStr">
        <is>
          <t>IM캐피탈</t>
        </is>
      </c>
      <c r="F1414" t="inlineStr">
        <is>
          <t>김승규</t>
        </is>
      </c>
      <c r="G1414" t="inlineStr">
        <is>
          <t>010-9387-0211</t>
        </is>
      </c>
      <c r="H1414" t="inlineStr">
        <is>
          <t>63소6858</t>
        </is>
      </c>
      <c r="I1414" t="n">
        <v>-4300000</v>
      </c>
      <c r="J1414" t="n">
        <v>0.059</v>
      </c>
      <c r="K1414" t="n">
        <v>1.1</v>
      </c>
      <c r="L1414" t="n">
        <v>0.14</v>
      </c>
      <c r="M1414" t="n">
        <v>0.96</v>
      </c>
      <c r="P1414" t="inlineStr">
        <is>
          <t>박보람</t>
        </is>
      </c>
      <c r="Q1414" t="inlineStr">
        <is>
          <t>선상담 / 홈서비스 24개월/*철회 20260304</t>
        </is>
      </c>
      <c r="AB1414" t="inlineStr">
        <is>
          <t>홈서비스</t>
        </is>
      </c>
      <c r="AC1414" t="n">
        <v>-47300</v>
      </c>
      <c r="AD1414" t="n">
        <v>-6020</v>
      </c>
      <c r="AE1414" t="n">
        <v>-41280</v>
      </c>
      <c r="AF1414" t="n">
        <v>-43000</v>
      </c>
      <c r="AG1414" t="n">
        <v>-6020</v>
      </c>
      <c r="AH1414" t="n">
        <v>-36980</v>
      </c>
      <c r="AI1414" t="n">
        <v>0</v>
      </c>
      <c r="AK1414" t="inlineStr">
        <is>
          <t>대출철회</t>
        </is>
      </c>
    </row>
    <row r="1415">
      <c r="A1415" t="inlineStr">
        <is>
          <t>2월</t>
        </is>
      </c>
      <c r="B1415" t="inlineStr">
        <is>
          <t>8주차</t>
        </is>
      </c>
      <c r="C1415" t="inlineStr">
        <is>
          <t>EP</t>
        </is>
      </c>
      <c r="D1415" s="28" t="n">
        <v>46073</v>
      </c>
      <c r="E1415" t="inlineStr">
        <is>
          <t>현대EP_fast</t>
        </is>
      </c>
      <c r="F1415" t="inlineStr">
        <is>
          <t>오승욱</t>
        </is>
      </c>
      <c r="G1415" t="inlineStr">
        <is>
          <t>010-8033-4381</t>
        </is>
      </c>
      <c r="H1415" t="inlineStr">
        <is>
          <t>28라0595</t>
        </is>
      </c>
      <c r="I1415" t="n">
        <v>13200000</v>
      </c>
      <c r="J1415" t="n">
        <v>0.068</v>
      </c>
      <c r="K1415" t="n">
        <v>1.76</v>
      </c>
      <c r="L1415" t="n">
        <v>0.14</v>
      </c>
      <c r="M1415" t="n">
        <v>1.62</v>
      </c>
      <c r="N1415" t="inlineStr">
        <is>
          <t>문서현</t>
        </is>
      </c>
      <c r="O1415" t="inlineStr">
        <is>
          <t>지급</t>
        </is>
      </c>
      <c r="P1415" t="inlineStr">
        <is>
          <t>김수연</t>
        </is>
      </c>
      <c r="Q1415" t="inlineStr">
        <is>
          <t>홈서비스 60개월</t>
        </is>
      </c>
      <c r="AB1415" t="inlineStr">
        <is>
          <t>홈서비스</t>
        </is>
      </c>
      <c r="AC1415" t="n">
        <v>232320</v>
      </c>
      <c r="AD1415" t="n">
        <v>18480</v>
      </c>
      <c r="AE1415" t="n">
        <v>213840</v>
      </c>
      <c r="AF1415" t="n">
        <v>211200</v>
      </c>
      <c r="AG1415" t="n">
        <v>18480</v>
      </c>
      <c r="AH1415" t="n">
        <v>192720</v>
      </c>
      <c r="AI1415" t="n">
        <v>0</v>
      </c>
    </row>
    <row r="1416">
      <c r="A1416" t="inlineStr">
        <is>
          <t>2월</t>
        </is>
      </c>
      <c r="B1416" t="inlineStr">
        <is>
          <t>9주차</t>
        </is>
      </c>
      <c r="C1416" t="inlineStr">
        <is>
          <t>EP</t>
        </is>
      </c>
      <c r="D1416" s="28" t="n">
        <v>46077</v>
      </c>
      <c r="E1416" t="inlineStr">
        <is>
          <t>현대EP_fast</t>
        </is>
      </c>
      <c r="F1416" t="inlineStr">
        <is>
          <t>조윤재</t>
        </is>
      </c>
      <c r="G1416" t="inlineStr">
        <is>
          <t>010-6670-5675</t>
        </is>
      </c>
      <c r="H1416" t="inlineStr">
        <is>
          <t>05보8765</t>
        </is>
      </c>
      <c r="I1416" t="n">
        <v>10500000</v>
      </c>
      <c r="J1416" t="n">
        <v>0.137</v>
      </c>
      <c r="K1416" t="n">
        <v>1.76</v>
      </c>
      <c r="L1416" t="n">
        <v>0.14</v>
      </c>
      <c r="M1416" t="n">
        <v>1.62</v>
      </c>
      <c r="P1416" t="inlineStr">
        <is>
          <t>정세빈</t>
        </is>
      </c>
      <c r="Q1416" t="inlineStr">
        <is>
          <t>홈서비스 36개월</t>
        </is>
      </c>
      <c r="AB1416" t="inlineStr">
        <is>
          <t>홈서비스</t>
        </is>
      </c>
      <c r="AC1416" t="n">
        <v>184800</v>
      </c>
      <c r="AD1416" t="n">
        <v>14700</v>
      </c>
      <c r="AE1416" t="n">
        <v>170100</v>
      </c>
      <c r="AF1416" t="n">
        <v>168000</v>
      </c>
      <c r="AG1416" t="n">
        <v>14700</v>
      </c>
      <c r="AH1416" t="n">
        <v>153300</v>
      </c>
      <c r="AI1416" t="n">
        <v>0</v>
      </c>
    </row>
    <row r="1417">
      <c r="A1417" t="inlineStr">
        <is>
          <t>2월</t>
        </is>
      </c>
      <c r="B1417" t="inlineStr">
        <is>
          <t>9주차</t>
        </is>
      </c>
      <c r="C1417" t="inlineStr">
        <is>
          <t>EP</t>
        </is>
      </c>
      <c r="D1417" s="28" t="n">
        <v>46078</v>
      </c>
      <c r="E1417" t="inlineStr">
        <is>
          <t>현대EP</t>
        </is>
      </c>
      <c r="F1417" t="inlineStr">
        <is>
          <t>박정인</t>
        </is>
      </c>
      <c r="G1417" t="inlineStr">
        <is>
          <t>010-3262-0785</t>
        </is>
      </c>
      <c r="H1417" t="inlineStr">
        <is>
          <t>168두7168</t>
        </is>
      </c>
      <c r="I1417" t="n">
        <v>10000000</v>
      </c>
      <c r="J1417" t="n">
        <v>0.08699999999999999</v>
      </c>
      <c r="K1417" t="n">
        <v>1.21</v>
      </c>
      <c r="L1417" t="n">
        <v>0.14</v>
      </c>
      <c r="M1417" t="n">
        <v>1.07</v>
      </c>
      <c r="P1417" t="inlineStr">
        <is>
          <t>임대경</t>
        </is>
      </c>
      <c r="Q1417" t="inlineStr">
        <is>
          <t>홈서비스 36개월</t>
        </is>
      </c>
      <c r="AB1417" t="inlineStr">
        <is>
          <t>홈서비스</t>
        </is>
      </c>
      <c r="AC1417" t="n">
        <v>121000</v>
      </c>
      <c r="AD1417" t="n">
        <v>14000</v>
      </c>
      <c r="AE1417" t="n">
        <v>107000</v>
      </c>
      <c r="AF1417" t="n">
        <v>110000</v>
      </c>
      <c r="AG1417" t="n">
        <v>14000</v>
      </c>
      <c r="AH1417" t="n">
        <v>96000</v>
      </c>
    </row>
    <row r="1418">
      <c r="A1418" t="inlineStr">
        <is>
          <t>2월</t>
        </is>
      </c>
      <c r="B1418" t="inlineStr">
        <is>
          <t>9주차</t>
        </is>
      </c>
      <c r="C1418" t="inlineStr">
        <is>
          <t>EP</t>
        </is>
      </c>
      <c r="D1418" s="28" t="n">
        <v>46079</v>
      </c>
      <c r="E1418" t="inlineStr">
        <is>
          <t>현대EP</t>
        </is>
      </c>
      <c r="F1418" t="inlineStr">
        <is>
          <t>김태진</t>
        </is>
      </c>
      <c r="G1418" t="inlineStr">
        <is>
          <t>010-2384-9505</t>
        </is>
      </c>
      <c r="H1418" t="inlineStr">
        <is>
          <t>282거8835</t>
        </is>
      </c>
      <c r="I1418" t="n">
        <v>22100000</v>
      </c>
      <c r="J1418" t="n">
        <v>0.089</v>
      </c>
      <c r="K1418" t="n">
        <v>1.76</v>
      </c>
      <c r="L1418" t="n">
        <v>0.14</v>
      </c>
      <c r="M1418" t="n">
        <v>1.62</v>
      </c>
      <c r="P1418" t="inlineStr">
        <is>
          <t>황채이</t>
        </is>
      </c>
      <c r="Q1418" t="inlineStr">
        <is>
          <t>홈서비스 48개월</t>
        </is>
      </c>
      <c r="AB1418" t="inlineStr">
        <is>
          <t>홈서비스</t>
        </is>
      </c>
      <c r="AC1418" t="n">
        <v>388960</v>
      </c>
      <c r="AD1418" t="n">
        <v>30940</v>
      </c>
      <c r="AE1418" t="n">
        <v>358020</v>
      </c>
      <c r="AF1418" t="n">
        <v>353600</v>
      </c>
      <c r="AG1418" t="n">
        <v>30940</v>
      </c>
      <c r="AH1418" t="n">
        <v>322660</v>
      </c>
    </row>
    <row r="1419">
      <c r="A1419" t="inlineStr">
        <is>
          <t>2월</t>
        </is>
      </c>
      <c r="B1419" t="inlineStr">
        <is>
          <t>9주차</t>
        </is>
      </c>
      <c r="C1419" t="inlineStr">
        <is>
          <t>IM</t>
        </is>
      </c>
      <c r="D1419" s="28" t="n">
        <v>46078</v>
      </c>
      <c r="E1419" t="inlineStr">
        <is>
          <t>IM캐피탈</t>
        </is>
      </c>
      <c r="F1419" t="inlineStr">
        <is>
          <t>차준회</t>
        </is>
      </c>
      <c r="G1419" t="inlineStr">
        <is>
          <t>010-7128-2033</t>
        </is>
      </c>
      <c r="H1419" t="inlineStr">
        <is>
          <t>292무8613</t>
        </is>
      </c>
      <c r="I1419" t="n">
        <v>10000000</v>
      </c>
      <c r="J1419" t="n">
        <v>0.059</v>
      </c>
      <c r="K1419" t="n">
        <v>1.1</v>
      </c>
      <c r="L1419" t="n">
        <v>0.4</v>
      </c>
      <c r="M1419" t="n">
        <v>0.7</v>
      </c>
      <c r="P1419" t="inlineStr">
        <is>
          <t>최혁</t>
        </is>
      </c>
      <c r="AB1419" t="inlineStr">
        <is>
          <t>엔카</t>
        </is>
      </c>
      <c r="AC1419" t="n">
        <v>110000</v>
      </c>
      <c r="AD1419" t="n">
        <v>40000</v>
      </c>
      <c r="AE1419" t="n">
        <v>70000</v>
      </c>
      <c r="AF1419" t="n">
        <v>100000</v>
      </c>
      <c r="AG1419" t="n">
        <v>40000</v>
      </c>
      <c r="AH1419" t="n">
        <v>60000</v>
      </c>
      <c r="AI1419" t="n">
        <v>0</v>
      </c>
    </row>
    <row r="1420">
      <c r="A1420" t="inlineStr">
        <is>
          <t>2월</t>
        </is>
      </c>
      <c r="B1420" t="inlineStr">
        <is>
          <t>8주차</t>
        </is>
      </c>
      <c r="C1420" t="inlineStr">
        <is>
          <t>OR</t>
        </is>
      </c>
      <c r="D1420" s="28" t="n">
        <v>46072</v>
      </c>
      <c r="E1420" t="inlineStr">
        <is>
          <t>오릭스</t>
        </is>
      </c>
      <c r="F1420" t="inlineStr">
        <is>
          <t>김지수</t>
        </is>
      </c>
      <c r="G1420" t="inlineStr">
        <is>
          <t>010-7473-7169</t>
        </is>
      </c>
      <c r="H1420" t="inlineStr">
        <is>
          <t>59러7622</t>
        </is>
      </c>
      <c r="I1420" t="n">
        <v>35000000</v>
      </c>
      <c r="J1420" t="n">
        <v>0.08</v>
      </c>
      <c r="K1420" t="n">
        <v>1.21</v>
      </c>
      <c r="L1420" t="n">
        <v>0.4</v>
      </c>
      <c r="M1420" t="n">
        <v>0.8100000000000001</v>
      </c>
      <c r="P1420" t="inlineStr">
        <is>
          <t>박현민</t>
        </is>
      </c>
      <c r="Q1420" t="inlineStr">
        <is>
          <t>기존승인고객 / 부대비용 추가진행</t>
        </is>
      </c>
      <c r="AB1420" t="inlineStr">
        <is>
          <t>엔카</t>
        </is>
      </c>
      <c r="AC1420" t="n">
        <v>423500</v>
      </c>
      <c r="AD1420" t="n">
        <v>140000</v>
      </c>
      <c r="AE1420" t="n">
        <v>283500</v>
      </c>
      <c r="AF1420" t="n">
        <v>385000</v>
      </c>
      <c r="AG1420" t="n">
        <v>140000</v>
      </c>
      <c r="AH1420" t="n">
        <v>245000</v>
      </c>
      <c r="AI1420" t="n">
        <v>0</v>
      </c>
    </row>
    <row r="1421">
      <c r="A1421" t="inlineStr">
        <is>
          <t>2월</t>
        </is>
      </c>
      <c r="B1421" t="inlineStr">
        <is>
          <t>9주차</t>
        </is>
      </c>
      <c r="C1421" t="inlineStr">
        <is>
          <t>EP</t>
        </is>
      </c>
      <c r="D1421" s="28" t="n">
        <v>46079</v>
      </c>
      <c r="E1421" t="inlineStr">
        <is>
          <t>현대EP</t>
        </is>
      </c>
      <c r="F1421" t="inlineStr">
        <is>
          <t>김곤</t>
        </is>
      </c>
      <c r="G1421" t="inlineStr">
        <is>
          <t>010-9643-1992</t>
        </is>
      </c>
      <c r="H1421" t="inlineStr">
        <is>
          <t>175더2531</t>
        </is>
      </c>
      <c r="I1421" t="n">
        <v>-7000000</v>
      </c>
      <c r="J1421" t="n">
        <v>0.076</v>
      </c>
      <c r="K1421" t="n">
        <v>1.76</v>
      </c>
      <c r="L1421" t="n">
        <v>0.14</v>
      </c>
      <c r="M1421" t="n">
        <v>1.62</v>
      </c>
      <c r="P1421" t="inlineStr">
        <is>
          <t>정광호</t>
        </is>
      </c>
      <c r="Q1421" t="inlineStr">
        <is>
          <t>홈서비스 24개월</t>
        </is>
      </c>
      <c r="AB1421" t="inlineStr">
        <is>
          <t>홈서비스</t>
        </is>
      </c>
      <c r="AC1421" t="n">
        <v>-123200</v>
      </c>
      <c r="AD1421" t="n">
        <v>-9800</v>
      </c>
      <c r="AE1421" t="n">
        <v>-113400</v>
      </c>
      <c r="AF1421" t="n">
        <v>-112000</v>
      </c>
      <c r="AG1421" t="n">
        <v>-9800</v>
      </c>
      <c r="AH1421" t="n">
        <v>-102200</v>
      </c>
      <c r="AI1421" t="n">
        <v>0</v>
      </c>
    </row>
    <row r="1422">
      <c r="A1422" t="inlineStr">
        <is>
          <t>2월</t>
        </is>
      </c>
      <c r="B1422" t="inlineStr">
        <is>
          <t>9주차</t>
        </is>
      </c>
      <c r="C1422" t="inlineStr">
        <is>
          <t>EP</t>
        </is>
      </c>
      <c r="D1422" s="28" t="n">
        <v>46078</v>
      </c>
      <c r="E1422" t="inlineStr">
        <is>
          <t>현대EP</t>
        </is>
      </c>
      <c r="F1422" t="inlineStr">
        <is>
          <t>이혁</t>
        </is>
      </c>
      <c r="G1422" t="inlineStr">
        <is>
          <t>010-3458-0580</t>
        </is>
      </c>
      <c r="H1422" t="inlineStr">
        <is>
          <t>04버4847</t>
        </is>
      </c>
      <c r="I1422" t="n">
        <v>12700000</v>
      </c>
      <c r="J1422" t="n">
        <v>0.068</v>
      </c>
      <c r="K1422" t="n">
        <v>1.76</v>
      </c>
      <c r="L1422" t="n">
        <v>0.14</v>
      </c>
      <c r="M1422" t="n">
        <v>1.62</v>
      </c>
      <c r="P1422" t="inlineStr">
        <is>
          <t>최형주</t>
        </is>
      </c>
      <c r="Q1422" t="inlineStr">
        <is>
          <t>홈서비스 60개월</t>
        </is>
      </c>
      <c r="AB1422" t="inlineStr">
        <is>
          <t>홈서비스</t>
        </is>
      </c>
      <c r="AC1422" t="n">
        <v>223520</v>
      </c>
      <c r="AD1422" t="n">
        <v>17780</v>
      </c>
      <c r="AE1422" t="n">
        <v>205740</v>
      </c>
      <c r="AF1422" t="n">
        <v>203200</v>
      </c>
      <c r="AG1422" t="n">
        <v>17780</v>
      </c>
      <c r="AH1422" t="n">
        <v>185420</v>
      </c>
      <c r="AI1422" t="n">
        <v>0</v>
      </c>
    </row>
    <row r="1423">
      <c r="A1423" t="inlineStr">
        <is>
          <t>1월</t>
        </is>
      </c>
      <c r="B1423" t="inlineStr">
        <is>
          <t>3주차</t>
        </is>
      </c>
      <c r="C1423" t="inlineStr">
        <is>
          <t>IM</t>
        </is>
      </c>
      <c r="D1423" s="28" t="n">
        <v>46039</v>
      </c>
      <c r="E1423" t="inlineStr">
        <is>
          <t>IM캐피탈</t>
        </is>
      </c>
      <c r="F1423" t="inlineStr">
        <is>
          <t>윤지희</t>
        </is>
      </c>
      <c r="G1423" t="inlineStr">
        <is>
          <t>010-5828-8844</t>
        </is>
      </c>
      <c r="H1423" t="inlineStr">
        <is>
          <t>39구3761</t>
        </is>
      </c>
      <c r="I1423" t="n">
        <v>9600000</v>
      </c>
      <c r="J1423" t="n">
        <v>0.039</v>
      </c>
      <c r="K1423" t="n">
        <v>0.55</v>
      </c>
      <c r="L1423" t="n">
        <v>0.4</v>
      </c>
      <c r="M1423" t="n">
        <v>0.15</v>
      </c>
      <c r="P1423" t="inlineStr">
        <is>
          <t>임대경</t>
        </is>
      </c>
      <c r="Q1423" t="inlineStr">
        <is>
          <t>사유 : 현대 금리불만/부대비용추가진행</t>
        </is>
      </c>
      <c r="AB1423" t="inlineStr">
        <is>
          <t>엔카</t>
        </is>
      </c>
      <c r="AC1423" t="n">
        <v>52800</v>
      </c>
      <c r="AD1423" t="n">
        <v>38400</v>
      </c>
      <c r="AE1423" t="n">
        <v>14400</v>
      </c>
      <c r="AF1423" t="n">
        <v>48000</v>
      </c>
      <c r="AG1423" t="n">
        <v>38400</v>
      </c>
      <c r="AH1423" t="n">
        <v>9600</v>
      </c>
      <c r="AI1423" t="n">
        <v>0</v>
      </c>
    </row>
    <row r="1424">
      <c r="A1424" t="inlineStr">
        <is>
          <t>1월</t>
        </is>
      </c>
      <c r="B1424" t="inlineStr">
        <is>
          <t>2주차</t>
        </is>
      </c>
      <c r="C1424" t="inlineStr">
        <is>
          <t>EP</t>
        </is>
      </c>
      <c r="D1424" s="28" t="n">
        <v>46031</v>
      </c>
      <c r="E1424" t="inlineStr">
        <is>
          <t>현대EP_fast</t>
        </is>
      </c>
      <c r="F1424" t="inlineStr">
        <is>
          <t>김은영</t>
        </is>
      </c>
      <c r="G1424" t="inlineStr">
        <is>
          <t>010-7511-3866</t>
        </is>
      </c>
      <c r="H1424" t="inlineStr">
        <is>
          <t>68수0682</t>
        </is>
      </c>
      <c r="I1424" t="n">
        <v>10900000</v>
      </c>
      <c r="J1424" t="n">
        <v>0.099</v>
      </c>
      <c r="K1424" t="n">
        <v>1.76</v>
      </c>
      <c r="L1424" t="n">
        <v>0.4</v>
      </c>
      <c r="M1424" t="n">
        <v>1.36</v>
      </c>
      <c r="P1424" t="inlineStr">
        <is>
          <t>장진경</t>
        </is>
      </c>
      <c r="Q1424" t="inlineStr">
        <is>
          <t>공동명의</t>
        </is>
      </c>
      <c r="AB1424" t="inlineStr">
        <is>
          <t>엔카</t>
        </is>
      </c>
      <c r="AC1424" t="n">
        <v>191840</v>
      </c>
      <c r="AD1424" t="n">
        <v>43600</v>
      </c>
      <c r="AE1424" t="n">
        <v>148240</v>
      </c>
      <c r="AF1424" t="n">
        <v>174400</v>
      </c>
      <c r="AG1424" t="n">
        <v>43600</v>
      </c>
      <c r="AH1424" t="n">
        <v>130800</v>
      </c>
      <c r="AI1424" t="n">
        <v>0</v>
      </c>
    </row>
    <row r="1425">
      <c r="A1425" t="inlineStr">
        <is>
          <t>2월</t>
        </is>
      </c>
      <c r="B1425" t="inlineStr">
        <is>
          <t>9주차</t>
        </is>
      </c>
      <c r="C1425" t="inlineStr">
        <is>
          <t>EP</t>
        </is>
      </c>
      <c r="D1425" s="28" t="n">
        <v>46077</v>
      </c>
      <c r="E1425" t="inlineStr">
        <is>
          <t>제이비EP</t>
        </is>
      </c>
      <c r="F1425" t="inlineStr">
        <is>
          <t>박천호</t>
        </is>
      </c>
      <c r="G1425" t="inlineStr">
        <is>
          <t>010-4912-1005</t>
        </is>
      </c>
      <c r="H1425" t="inlineStr">
        <is>
          <t>34구6781</t>
        </is>
      </c>
      <c r="I1425" t="n">
        <v>16900000</v>
      </c>
      <c r="J1425" t="n">
        <v>0.08599999999999999</v>
      </c>
      <c r="K1425" t="n">
        <v>1.65</v>
      </c>
      <c r="L1425" t="n">
        <v>0.4</v>
      </c>
      <c r="M1425" t="n">
        <v>1.25</v>
      </c>
      <c r="P1425" t="inlineStr">
        <is>
          <t>장진경</t>
        </is>
      </c>
      <c r="AB1425" t="inlineStr">
        <is>
          <t>엔카</t>
        </is>
      </c>
      <c r="AC1425" t="n">
        <v>278850</v>
      </c>
      <c r="AD1425" t="n">
        <v>67600</v>
      </c>
      <c r="AE1425" t="n">
        <v>211250</v>
      </c>
      <c r="AF1425" t="n">
        <v>253500</v>
      </c>
      <c r="AG1425" t="n">
        <v>67600</v>
      </c>
      <c r="AH1425" t="n">
        <v>185900</v>
      </c>
      <c r="AI1425" t="n">
        <v>0</v>
      </c>
    </row>
    <row r="1426">
      <c r="A1426" t="inlineStr">
        <is>
          <t>2월</t>
        </is>
      </c>
      <c r="B1426" t="inlineStr">
        <is>
          <t>8주차</t>
        </is>
      </c>
      <c r="C1426" t="inlineStr">
        <is>
          <t>IM</t>
        </is>
      </c>
      <c r="D1426" s="28" t="n">
        <v>46072</v>
      </c>
      <c r="E1426" t="inlineStr">
        <is>
          <t>IM캐피탈</t>
        </is>
      </c>
      <c r="F1426" t="inlineStr">
        <is>
          <t>이경신</t>
        </is>
      </c>
      <c r="G1426" t="inlineStr">
        <is>
          <t>010-7156-4409</t>
        </is>
      </c>
      <c r="H1426" t="inlineStr">
        <is>
          <t>03무8666</t>
        </is>
      </c>
      <c r="I1426" t="n">
        <v>6900000</v>
      </c>
      <c r="J1426" t="n">
        <v>0.082</v>
      </c>
      <c r="K1426" t="n">
        <v>1.1</v>
      </c>
      <c r="L1426" t="n">
        <v>0.14</v>
      </c>
      <c r="M1426" t="n">
        <v>0.96</v>
      </c>
      <c r="P1426" t="inlineStr">
        <is>
          <t>구성완</t>
        </is>
      </c>
      <c r="AB1426" t="inlineStr">
        <is>
          <t>믿고</t>
        </is>
      </c>
      <c r="AC1426" t="n">
        <v>75900</v>
      </c>
      <c r="AD1426" t="n">
        <v>9660</v>
      </c>
      <c r="AE1426" t="n">
        <v>66240</v>
      </c>
      <c r="AF1426" t="n">
        <v>69000</v>
      </c>
      <c r="AG1426" t="n">
        <v>9660</v>
      </c>
      <c r="AH1426" t="n">
        <v>59340</v>
      </c>
      <c r="AI1426" t="n">
        <v>0</v>
      </c>
    </row>
    <row r="1427">
      <c r="A1427" t="inlineStr">
        <is>
          <t>2월</t>
        </is>
      </c>
      <c r="B1427" t="inlineStr">
        <is>
          <t>6주차</t>
        </is>
      </c>
      <c r="C1427" t="inlineStr">
        <is>
          <t>IM</t>
        </is>
      </c>
      <c r="D1427" s="28" t="n">
        <v>46055</v>
      </c>
      <c r="E1427" t="inlineStr">
        <is>
          <t>IM캐피탈</t>
        </is>
      </c>
      <c r="F1427" t="inlineStr">
        <is>
          <t>오서진</t>
        </is>
      </c>
      <c r="G1427" t="inlineStr">
        <is>
          <t>010-9181-6301</t>
        </is>
      </c>
      <c r="H1427" t="inlineStr">
        <is>
          <t>55더6667</t>
        </is>
      </c>
      <c r="I1427" t="n">
        <v>9700000</v>
      </c>
      <c r="J1427" t="n">
        <v>0.039</v>
      </c>
      <c r="K1427" t="n">
        <v>1.1</v>
      </c>
      <c r="L1427" t="n">
        <v>0.14</v>
      </c>
      <c r="M1427" t="n">
        <v>0.96</v>
      </c>
      <c r="P1427" t="inlineStr">
        <is>
          <t>정세빈</t>
        </is>
      </c>
      <c r="Q1427" t="inlineStr">
        <is>
          <t>홈서비스 36개월</t>
        </is>
      </c>
      <c r="AB1427" t="inlineStr">
        <is>
          <t>홈서비스</t>
        </is>
      </c>
      <c r="AC1427" t="n">
        <v>106700</v>
      </c>
      <c r="AD1427" t="n">
        <v>13580</v>
      </c>
      <c r="AE1427" t="n">
        <v>93120</v>
      </c>
      <c r="AF1427" t="n">
        <v>97000</v>
      </c>
      <c r="AG1427" t="n">
        <v>13580</v>
      </c>
      <c r="AH1427" t="n">
        <v>83420</v>
      </c>
      <c r="AI1427" t="n">
        <v>0</v>
      </c>
    </row>
    <row r="1428">
      <c r="A1428" t="inlineStr">
        <is>
          <t>1월</t>
        </is>
      </c>
      <c r="B1428" t="inlineStr">
        <is>
          <t>5주차</t>
        </is>
      </c>
      <c r="C1428" t="inlineStr">
        <is>
          <t>EP</t>
        </is>
      </c>
      <c r="D1428" s="28" t="n">
        <v>46052</v>
      </c>
      <c r="E1428" t="inlineStr">
        <is>
          <t>현대EP_fast</t>
        </is>
      </c>
      <c r="F1428" t="inlineStr">
        <is>
          <t>임광명</t>
        </is>
      </c>
      <c r="G1428" t="inlineStr">
        <is>
          <t>010-4416-5872</t>
        </is>
      </c>
      <c r="H1428" t="inlineStr">
        <is>
          <t>356머6497</t>
        </is>
      </c>
      <c r="I1428" t="n">
        <v>20000000</v>
      </c>
      <c r="J1428" t="n">
        <v>0.111</v>
      </c>
      <c r="K1428" t="n">
        <v>1.76</v>
      </c>
      <c r="L1428" t="n">
        <v>0.13</v>
      </c>
      <c r="M1428" t="n">
        <v>1.63</v>
      </c>
      <c r="P1428" t="inlineStr">
        <is>
          <t>박현민</t>
        </is>
      </c>
      <c r="Q1428" t="inlineStr">
        <is>
          <t>홈서비스 36개월</t>
        </is>
      </c>
      <c r="AB1428" t="inlineStr">
        <is>
          <t>홈서비스</t>
        </is>
      </c>
      <c r="AC1428" t="n">
        <v>352000</v>
      </c>
      <c r="AD1428" t="n">
        <v>26000</v>
      </c>
      <c r="AE1428" t="n">
        <v>326000</v>
      </c>
      <c r="AF1428" t="n">
        <v>320000</v>
      </c>
      <c r="AG1428" t="n">
        <v>26000</v>
      </c>
      <c r="AH1428" t="n">
        <v>294000</v>
      </c>
    </row>
    <row r="1429">
      <c r="A1429" t="inlineStr">
        <is>
          <t>2월</t>
        </is>
      </c>
      <c r="B1429" t="inlineStr">
        <is>
          <t>6주차</t>
        </is>
      </c>
      <c r="C1429" t="inlineStr">
        <is>
          <t>EP</t>
        </is>
      </c>
      <c r="D1429" s="28" t="n">
        <v>46055</v>
      </c>
      <c r="E1429" t="inlineStr">
        <is>
          <t>현대EP</t>
        </is>
      </c>
      <c r="F1429" t="inlineStr">
        <is>
          <t>조덕</t>
        </is>
      </c>
      <c r="G1429" t="inlineStr">
        <is>
          <t>010-2948-6150</t>
        </is>
      </c>
      <c r="H1429" t="inlineStr">
        <is>
          <t>59거6456</t>
        </is>
      </c>
      <c r="I1429" t="n">
        <v>24900000</v>
      </c>
      <c r="J1429" t="n">
        <v>0.08799999999999999</v>
      </c>
      <c r="K1429" t="n">
        <v>1.76</v>
      </c>
      <c r="L1429" t="n">
        <v>0.14</v>
      </c>
      <c r="M1429" t="n">
        <v>1.62</v>
      </c>
      <c r="P1429" t="inlineStr">
        <is>
          <t>김나윤</t>
        </is>
      </c>
      <c r="Q1429" t="inlineStr">
        <is>
          <t>홈서비스 60개월</t>
        </is>
      </c>
      <c r="AB1429" t="inlineStr">
        <is>
          <t>홈서비스</t>
        </is>
      </c>
      <c r="AC1429" t="n">
        <v>438240</v>
      </c>
      <c r="AD1429" t="n">
        <v>34860</v>
      </c>
      <c r="AE1429" t="n">
        <v>403380</v>
      </c>
      <c r="AF1429" t="n">
        <v>398400</v>
      </c>
      <c r="AG1429" t="n">
        <v>34860</v>
      </c>
      <c r="AH1429" t="n">
        <v>363540</v>
      </c>
      <c r="AI1429" t="n">
        <v>0</v>
      </c>
    </row>
    <row r="1430">
      <c r="A1430" t="inlineStr">
        <is>
          <t>2월</t>
        </is>
      </c>
      <c r="B1430" t="inlineStr">
        <is>
          <t>8주차</t>
        </is>
      </c>
      <c r="C1430" t="inlineStr">
        <is>
          <t>EP</t>
        </is>
      </c>
      <c r="D1430" s="28" t="n">
        <v>46073</v>
      </c>
      <c r="E1430" t="inlineStr">
        <is>
          <t>현대EP_fast</t>
        </is>
      </c>
      <c r="F1430" t="inlineStr">
        <is>
          <t>표진완</t>
        </is>
      </c>
      <c r="G1430" t="inlineStr">
        <is>
          <t>010-9838-7882</t>
        </is>
      </c>
      <c r="H1430" t="inlineStr">
        <is>
          <t>128어3144</t>
        </is>
      </c>
      <c r="I1430" t="n">
        <v>22500000</v>
      </c>
      <c r="J1430" t="n">
        <v>0.124</v>
      </c>
      <c r="K1430" t="n">
        <v>1.76</v>
      </c>
      <c r="L1430" t="n">
        <v>0.4</v>
      </c>
      <c r="M1430" t="n">
        <v>1.36</v>
      </c>
      <c r="P1430" t="inlineStr">
        <is>
          <t>박보람</t>
        </is>
      </c>
      <c r="AB1430" t="inlineStr">
        <is>
          <t>엔카</t>
        </is>
      </c>
      <c r="AC1430" t="n">
        <v>396000</v>
      </c>
      <c r="AD1430" t="n">
        <v>90000</v>
      </c>
      <c r="AE1430" t="n">
        <v>306000</v>
      </c>
      <c r="AF1430" t="n">
        <v>360000</v>
      </c>
      <c r="AG1430" t="n">
        <v>90000</v>
      </c>
      <c r="AH1430" t="n">
        <v>270000</v>
      </c>
    </row>
    <row r="1431">
      <c r="A1431" t="inlineStr">
        <is>
          <t>2월</t>
        </is>
      </c>
      <c r="B1431" t="inlineStr">
        <is>
          <t>6주차</t>
        </is>
      </c>
      <c r="C1431" t="inlineStr">
        <is>
          <t>IM</t>
        </is>
      </c>
      <c r="D1431" s="28" t="n">
        <v>46057</v>
      </c>
      <c r="E1431" t="inlineStr">
        <is>
          <t>IM캐피탈</t>
        </is>
      </c>
      <c r="F1431" t="inlineStr">
        <is>
          <t>김은성</t>
        </is>
      </c>
      <c r="G1431" t="inlineStr">
        <is>
          <t>010-9875-1811</t>
        </is>
      </c>
      <c r="H1431" t="inlineStr">
        <is>
          <t>129루2280</t>
        </is>
      </c>
      <c r="I1431" t="n">
        <v>8600000</v>
      </c>
      <c r="J1431" t="n">
        <v>0.049</v>
      </c>
      <c r="K1431" t="n">
        <v>1.1</v>
      </c>
      <c r="L1431" t="n">
        <v>0.14</v>
      </c>
      <c r="M1431" t="n">
        <v>0.96</v>
      </c>
      <c r="P1431" t="inlineStr">
        <is>
          <t>정세빈</t>
        </is>
      </c>
      <c r="Q1431" t="inlineStr">
        <is>
          <t>홈서비스 48개월</t>
        </is>
      </c>
      <c r="AB1431" t="inlineStr">
        <is>
          <t>홈서비스</t>
        </is>
      </c>
      <c r="AC1431" t="n">
        <v>94600</v>
      </c>
      <c r="AD1431" t="n">
        <v>12040</v>
      </c>
      <c r="AE1431" t="n">
        <v>82560</v>
      </c>
      <c r="AF1431" t="n">
        <v>86000</v>
      </c>
      <c r="AG1431" t="n">
        <v>12040</v>
      </c>
      <c r="AH1431" t="n">
        <v>73960</v>
      </c>
      <c r="AI1431" t="n">
        <v>0</v>
      </c>
    </row>
    <row r="1432">
      <c r="A1432" t="inlineStr">
        <is>
          <t>2월</t>
        </is>
      </c>
      <c r="B1432" t="inlineStr">
        <is>
          <t>8주차</t>
        </is>
      </c>
      <c r="C1432" t="inlineStr">
        <is>
          <t>EP</t>
        </is>
      </c>
      <c r="D1432" s="28" t="n">
        <v>46073</v>
      </c>
      <c r="E1432" t="inlineStr">
        <is>
          <t>현대EP_fast</t>
        </is>
      </c>
      <c r="F1432" t="inlineStr">
        <is>
          <t>정다빈</t>
        </is>
      </c>
      <c r="G1432" t="inlineStr">
        <is>
          <t>010-3485-0121</t>
        </is>
      </c>
      <c r="H1432" t="inlineStr">
        <is>
          <t>356수9644</t>
        </is>
      </c>
      <c r="I1432" t="n">
        <v>17900000</v>
      </c>
      <c r="J1432" t="n">
        <v>0.074</v>
      </c>
      <c r="K1432" t="n">
        <v>1.76</v>
      </c>
      <c r="L1432" t="n">
        <v>0.14</v>
      </c>
      <c r="M1432" t="n">
        <v>1.62</v>
      </c>
      <c r="P1432" t="inlineStr">
        <is>
          <t>최형주</t>
        </is>
      </c>
      <c r="Q1432" t="inlineStr">
        <is>
          <t>홈서비스 60개월</t>
        </is>
      </c>
      <c r="AB1432" t="inlineStr">
        <is>
          <t>홈서비스</t>
        </is>
      </c>
      <c r="AC1432" t="n">
        <v>315040</v>
      </c>
      <c r="AD1432" t="n">
        <v>25060</v>
      </c>
      <c r="AE1432" t="n">
        <v>289980</v>
      </c>
      <c r="AF1432" t="n">
        <v>286400</v>
      </c>
      <c r="AG1432" t="n">
        <v>25060</v>
      </c>
      <c r="AH1432" t="n">
        <v>261340</v>
      </c>
      <c r="AI1432" t="n">
        <v>0</v>
      </c>
    </row>
    <row r="1433">
      <c r="A1433" t="inlineStr">
        <is>
          <t>2월</t>
        </is>
      </c>
      <c r="B1433" t="inlineStr">
        <is>
          <t>8주차</t>
        </is>
      </c>
      <c r="C1433" t="inlineStr">
        <is>
          <t>EP</t>
        </is>
      </c>
      <c r="D1433" s="28" t="n">
        <v>46073</v>
      </c>
      <c r="E1433" t="inlineStr">
        <is>
          <t>현대EP_fast</t>
        </is>
      </c>
      <c r="F1433" t="inlineStr">
        <is>
          <t>황진열</t>
        </is>
      </c>
      <c r="G1433" t="inlineStr">
        <is>
          <t>010-5014-3840</t>
        </is>
      </c>
      <c r="H1433" t="inlineStr">
        <is>
          <t>14저5300</t>
        </is>
      </c>
      <c r="I1433" t="n">
        <v>6200000</v>
      </c>
      <c r="J1433" t="n">
        <v>0.089</v>
      </c>
      <c r="K1433" t="n">
        <v>1.76</v>
      </c>
      <c r="L1433" t="n">
        <v>0.14</v>
      </c>
      <c r="M1433" t="n">
        <v>1.62</v>
      </c>
      <c r="P1433" t="inlineStr">
        <is>
          <t>김수연</t>
        </is>
      </c>
      <c r="Q1433" t="inlineStr">
        <is>
          <t>홈서비스 36개월</t>
        </is>
      </c>
      <c r="AB1433" t="inlineStr">
        <is>
          <t>홈서비스</t>
        </is>
      </c>
      <c r="AC1433" t="n">
        <v>109120</v>
      </c>
      <c r="AD1433" t="n">
        <v>8680</v>
      </c>
      <c r="AE1433" t="n">
        <v>100440</v>
      </c>
      <c r="AF1433" t="n">
        <v>99200</v>
      </c>
      <c r="AG1433" t="n">
        <v>8680</v>
      </c>
      <c r="AH1433" t="n">
        <v>90520</v>
      </c>
      <c r="AI1433" t="n">
        <v>0</v>
      </c>
    </row>
    <row r="1434">
      <c r="A1434" t="inlineStr">
        <is>
          <t>2월</t>
        </is>
      </c>
      <c r="B1434" t="inlineStr">
        <is>
          <t>8주차</t>
        </is>
      </c>
      <c r="C1434" t="inlineStr">
        <is>
          <t>IM</t>
        </is>
      </c>
      <c r="D1434" s="28" t="n">
        <v>46073</v>
      </c>
      <c r="E1434" t="inlineStr">
        <is>
          <t>IM캐피탈</t>
        </is>
      </c>
      <c r="F1434" t="inlineStr">
        <is>
          <t>유영준</t>
        </is>
      </c>
      <c r="G1434" t="inlineStr">
        <is>
          <t>010-8365-9302</t>
        </is>
      </c>
      <c r="H1434" t="inlineStr">
        <is>
          <t>01도8605</t>
        </is>
      </c>
      <c r="I1434" t="n">
        <v>18900000</v>
      </c>
      <c r="J1434" t="n">
        <v>0.06900000000000001</v>
      </c>
      <c r="K1434" t="n">
        <v>1.1</v>
      </c>
      <c r="L1434" t="n">
        <v>0.14</v>
      </c>
      <c r="M1434" t="n">
        <v>0.96</v>
      </c>
      <c r="P1434" t="inlineStr">
        <is>
          <t>황채이</t>
        </is>
      </c>
      <c r="Q1434" t="inlineStr">
        <is>
          <t>홈서비스 36개월</t>
        </is>
      </c>
      <c r="AB1434" t="inlineStr">
        <is>
          <t>홈서비스</t>
        </is>
      </c>
      <c r="AC1434" t="n">
        <v>207900</v>
      </c>
      <c r="AD1434" t="n">
        <v>26460</v>
      </c>
      <c r="AE1434" t="n">
        <v>181440</v>
      </c>
      <c r="AF1434" t="n">
        <v>189000</v>
      </c>
      <c r="AG1434" t="n">
        <v>26460</v>
      </c>
      <c r="AH1434" t="n">
        <v>162540</v>
      </c>
      <c r="AI1434" t="n">
        <v>0</v>
      </c>
    </row>
    <row r="1435">
      <c r="A1435" t="inlineStr">
        <is>
          <t>2월</t>
        </is>
      </c>
      <c r="B1435" t="inlineStr">
        <is>
          <t>8주차</t>
        </is>
      </c>
      <c r="C1435" t="inlineStr">
        <is>
          <t>IM</t>
        </is>
      </c>
      <c r="D1435" s="28" t="n">
        <v>46073</v>
      </c>
      <c r="E1435" t="inlineStr">
        <is>
          <t>IM캐피탈</t>
        </is>
      </c>
      <c r="F1435" t="inlineStr">
        <is>
          <t>서동주</t>
        </is>
      </c>
      <c r="G1435" t="inlineStr">
        <is>
          <t>010-3757-4753</t>
        </is>
      </c>
      <c r="H1435" t="inlineStr">
        <is>
          <t>103어7247</t>
        </is>
      </c>
      <c r="I1435" t="n">
        <v>14000000</v>
      </c>
      <c r="J1435" t="n">
        <v>0.049</v>
      </c>
      <c r="K1435" t="n">
        <v>1.1</v>
      </c>
      <c r="L1435" t="n">
        <v>0.14</v>
      </c>
      <c r="M1435" t="n">
        <v>0.96</v>
      </c>
      <c r="P1435" t="inlineStr">
        <is>
          <t>황채이</t>
        </is>
      </c>
      <c r="Q1435" t="inlineStr">
        <is>
          <t>홈서비스 60개월</t>
        </is>
      </c>
      <c r="AB1435" t="inlineStr">
        <is>
          <t>홈서비스</t>
        </is>
      </c>
      <c r="AC1435" t="n">
        <v>154000</v>
      </c>
      <c r="AD1435" t="n">
        <v>19600</v>
      </c>
      <c r="AE1435" t="n">
        <v>134400</v>
      </c>
      <c r="AF1435" t="n">
        <v>140000</v>
      </c>
      <c r="AG1435" t="n">
        <v>19600</v>
      </c>
      <c r="AH1435" t="n">
        <v>120400</v>
      </c>
      <c r="AI1435" t="n">
        <v>0</v>
      </c>
    </row>
    <row r="1436">
      <c r="A1436" t="inlineStr">
        <is>
          <t>2월</t>
        </is>
      </c>
      <c r="B1436" t="inlineStr">
        <is>
          <t>8주차</t>
        </is>
      </c>
      <c r="C1436" t="inlineStr">
        <is>
          <t>IM</t>
        </is>
      </c>
      <c r="D1436" s="28" t="n">
        <v>46073</v>
      </c>
      <c r="E1436" t="inlineStr">
        <is>
          <t>IM캐피탈</t>
        </is>
      </c>
      <c r="F1436" t="inlineStr">
        <is>
          <t>김재옥</t>
        </is>
      </c>
      <c r="G1436" t="inlineStr">
        <is>
          <t>010-5632-4424</t>
        </is>
      </c>
      <c r="H1436" t="inlineStr">
        <is>
          <t>52우0380</t>
        </is>
      </c>
      <c r="I1436" t="n">
        <v>7600000</v>
      </c>
      <c r="J1436" t="n">
        <v>0.056</v>
      </c>
      <c r="K1436" t="n">
        <v>1.1</v>
      </c>
      <c r="L1436" t="n">
        <v>0.14</v>
      </c>
      <c r="M1436" t="n">
        <v>0.96</v>
      </c>
      <c r="P1436" t="inlineStr">
        <is>
          <t>김수연</t>
        </is>
      </c>
      <c r="Q1436" t="inlineStr">
        <is>
          <t>홈서비스60개월</t>
        </is>
      </c>
      <c r="AB1436" t="inlineStr">
        <is>
          <t>홈서비스</t>
        </is>
      </c>
      <c r="AC1436" t="n">
        <v>83600</v>
      </c>
      <c r="AD1436" t="n">
        <v>10640</v>
      </c>
      <c r="AE1436" t="n">
        <v>72960</v>
      </c>
      <c r="AF1436" t="n">
        <v>76000</v>
      </c>
      <c r="AG1436" t="n">
        <v>10640</v>
      </c>
      <c r="AH1436" t="n">
        <v>65360</v>
      </c>
      <c r="AJ1436" t="inlineStr">
        <is>
          <t>개인</t>
        </is>
      </c>
    </row>
    <row r="1437">
      <c r="A1437" t="inlineStr">
        <is>
          <t>2월</t>
        </is>
      </c>
      <c r="B1437" t="inlineStr">
        <is>
          <t>8주차</t>
        </is>
      </c>
      <c r="C1437" t="inlineStr">
        <is>
          <t>IM</t>
        </is>
      </c>
      <c r="D1437" s="28" t="n">
        <v>46073</v>
      </c>
      <c r="E1437" t="inlineStr">
        <is>
          <t>IM캐피탈</t>
        </is>
      </c>
      <c r="F1437" t="inlineStr">
        <is>
          <t>민정임</t>
        </is>
      </c>
      <c r="G1437" t="inlineStr">
        <is>
          <t>010-3082-3147</t>
        </is>
      </c>
      <c r="H1437" t="inlineStr">
        <is>
          <t>826마3164</t>
        </is>
      </c>
      <c r="I1437" t="n">
        <v>10000000</v>
      </c>
      <c r="J1437" t="n">
        <v>0.06900000000000001</v>
      </c>
      <c r="K1437" t="n">
        <v>1.1</v>
      </c>
      <c r="L1437" t="n">
        <v>0.14</v>
      </c>
      <c r="M1437" t="n">
        <v>0.96</v>
      </c>
      <c r="P1437" t="inlineStr">
        <is>
          <t>김수연</t>
        </is>
      </c>
      <c r="Q1437" t="inlineStr">
        <is>
          <t>홈서비스 36개월</t>
        </is>
      </c>
      <c r="AB1437" t="inlineStr">
        <is>
          <t>홈서비스</t>
        </is>
      </c>
      <c r="AC1437" t="n">
        <v>110000</v>
      </c>
      <c r="AD1437" t="n">
        <v>14000</v>
      </c>
      <c r="AE1437" t="n">
        <v>96000</v>
      </c>
      <c r="AF1437" t="n">
        <v>100000</v>
      </c>
      <c r="AG1437" t="n">
        <v>14000</v>
      </c>
      <c r="AH1437" t="n">
        <v>86000</v>
      </c>
      <c r="AI1437" t="n">
        <v>0</v>
      </c>
    </row>
    <row r="1438">
      <c r="A1438" t="inlineStr">
        <is>
          <t>2월</t>
        </is>
      </c>
      <c r="B1438" t="inlineStr">
        <is>
          <t>6주차</t>
        </is>
      </c>
      <c r="C1438" t="inlineStr">
        <is>
          <t>EP</t>
        </is>
      </c>
      <c r="D1438" s="28" t="n">
        <v>46057</v>
      </c>
      <c r="E1438" t="inlineStr">
        <is>
          <t>현대EP_fast</t>
        </is>
      </c>
      <c r="F1438" t="inlineStr">
        <is>
          <t>현충민</t>
        </is>
      </c>
      <c r="G1438" t="inlineStr">
        <is>
          <t>010-9415-1965</t>
        </is>
      </c>
      <c r="H1438" t="inlineStr">
        <is>
          <t>32우3658</t>
        </is>
      </c>
      <c r="I1438" t="n">
        <v>13900000</v>
      </c>
      <c r="J1438" t="n">
        <v>0.07199999999999999</v>
      </c>
      <c r="K1438" t="n">
        <v>1.76</v>
      </c>
      <c r="L1438" t="n">
        <v>0.4</v>
      </c>
      <c r="M1438" t="n">
        <v>1.36</v>
      </c>
      <c r="P1438" t="inlineStr">
        <is>
          <t>박소현</t>
        </is>
      </c>
      <c r="Q1438" t="inlineStr">
        <is>
          <t>고객주도체결</t>
        </is>
      </c>
      <c r="AB1438" t="inlineStr">
        <is>
          <t>엔카</t>
        </is>
      </c>
      <c r="AC1438" t="n">
        <v>244640</v>
      </c>
      <c r="AD1438" t="n">
        <v>55600</v>
      </c>
      <c r="AE1438" t="n">
        <v>189040</v>
      </c>
      <c r="AF1438" t="n">
        <v>222400</v>
      </c>
      <c r="AG1438" t="n">
        <v>55600</v>
      </c>
      <c r="AH1438" t="n">
        <v>166800</v>
      </c>
    </row>
    <row r="1439">
      <c r="A1439" t="inlineStr">
        <is>
          <t>2월</t>
        </is>
      </c>
      <c r="B1439" t="inlineStr">
        <is>
          <t>7주차</t>
        </is>
      </c>
      <c r="C1439" t="inlineStr">
        <is>
          <t>EP</t>
        </is>
      </c>
      <c r="D1439" s="28" t="n">
        <v>46062</v>
      </c>
      <c r="E1439" t="inlineStr">
        <is>
          <t>현대EP_fast</t>
        </is>
      </c>
      <c r="F1439" t="inlineStr">
        <is>
          <t>김동현</t>
        </is>
      </c>
      <c r="G1439" t="inlineStr">
        <is>
          <t>010-9788-9102</t>
        </is>
      </c>
      <c r="H1439" t="inlineStr">
        <is>
          <t>286오3621</t>
        </is>
      </c>
      <c r="I1439" t="n">
        <v>18900000</v>
      </c>
      <c r="J1439" t="n">
        <v>0.074</v>
      </c>
      <c r="K1439" t="n">
        <v>1.76</v>
      </c>
      <c r="L1439" t="n">
        <v>0.14</v>
      </c>
      <c r="M1439" t="n">
        <v>1.62</v>
      </c>
      <c r="P1439" t="inlineStr">
        <is>
          <t>정세빈</t>
        </is>
      </c>
      <c r="Q1439" t="inlineStr">
        <is>
          <t>홈서비스 36개월</t>
        </is>
      </c>
      <c r="AB1439" t="inlineStr">
        <is>
          <t>홈서비스</t>
        </is>
      </c>
      <c r="AC1439" t="n">
        <v>332640</v>
      </c>
      <c r="AD1439" t="n">
        <v>26460</v>
      </c>
      <c r="AE1439" t="n">
        <v>306180</v>
      </c>
      <c r="AF1439" t="n">
        <v>302400</v>
      </c>
      <c r="AG1439" t="n">
        <v>26460</v>
      </c>
      <c r="AH1439" t="n">
        <v>275940</v>
      </c>
    </row>
    <row r="1440">
      <c r="A1440" t="inlineStr">
        <is>
          <t>2월</t>
        </is>
      </c>
      <c r="B1440" t="inlineStr">
        <is>
          <t>8주차</t>
        </is>
      </c>
      <c r="C1440" t="inlineStr">
        <is>
          <t>IM</t>
        </is>
      </c>
      <c r="D1440" s="28" t="n">
        <v>46073</v>
      </c>
      <c r="E1440" t="inlineStr">
        <is>
          <t>IM캐피탈</t>
        </is>
      </c>
      <c r="F1440" t="inlineStr">
        <is>
          <t>박민성</t>
        </is>
      </c>
      <c r="G1440" t="inlineStr">
        <is>
          <t>010-3527-0431</t>
        </is>
      </c>
      <c r="H1440" t="inlineStr">
        <is>
          <t>03조8356</t>
        </is>
      </c>
      <c r="I1440" t="n">
        <v>12000000</v>
      </c>
      <c r="J1440" t="n">
        <v>0.056</v>
      </c>
      <c r="K1440" t="n">
        <v>1.1</v>
      </c>
      <c r="L1440" t="n">
        <v>0.14</v>
      </c>
      <c r="M1440" t="n">
        <v>0.96</v>
      </c>
      <c r="P1440" t="inlineStr">
        <is>
          <t>황채이</t>
        </is>
      </c>
      <c r="Q1440" t="inlineStr">
        <is>
          <t>홈서비스 48개월 / 공동명의</t>
        </is>
      </c>
      <c r="AB1440" t="inlineStr">
        <is>
          <t>홈서비스</t>
        </is>
      </c>
      <c r="AC1440" t="n">
        <v>132000</v>
      </c>
      <c r="AD1440" t="n">
        <v>16800</v>
      </c>
      <c r="AE1440" t="n">
        <v>115200</v>
      </c>
      <c r="AF1440" t="n">
        <v>120000</v>
      </c>
      <c r="AG1440" t="n">
        <v>16800</v>
      </c>
      <c r="AH1440" t="n">
        <v>103200</v>
      </c>
    </row>
    <row r="1441">
      <c r="A1441" t="inlineStr">
        <is>
          <t>2월</t>
        </is>
      </c>
      <c r="B1441" t="inlineStr">
        <is>
          <t>8주차</t>
        </is>
      </c>
      <c r="C1441" t="inlineStr">
        <is>
          <t>IM</t>
        </is>
      </c>
      <c r="D1441" s="28" t="n">
        <v>46073</v>
      </c>
      <c r="E1441" t="inlineStr">
        <is>
          <t>IM캐피탈</t>
        </is>
      </c>
      <c r="F1441" t="inlineStr">
        <is>
          <t>임규희</t>
        </is>
      </c>
      <c r="G1441" t="inlineStr">
        <is>
          <t>010-9908-3013</t>
        </is>
      </c>
      <c r="H1441" t="inlineStr">
        <is>
          <t>17마1715</t>
        </is>
      </c>
      <c r="I1441" t="n">
        <v>11700000</v>
      </c>
      <c r="J1441" t="n">
        <v>0.066</v>
      </c>
      <c r="K1441" t="n">
        <v>1.1</v>
      </c>
      <c r="L1441" t="n">
        <v>0.14</v>
      </c>
      <c r="M1441" t="n">
        <v>0.96</v>
      </c>
      <c r="P1441" t="inlineStr">
        <is>
          <t>김수연</t>
        </is>
      </c>
      <c r="Q1441" t="inlineStr">
        <is>
          <t>홈서비스 48개월</t>
        </is>
      </c>
      <c r="AB1441" t="inlineStr">
        <is>
          <t>홈서비스</t>
        </is>
      </c>
      <c r="AC1441" t="n">
        <v>128700</v>
      </c>
      <c r="AD1441" t="n">
        <v>16380</v>
      </c>
      <c r="AE1441" t="n">
        <v>112320</v>
      </c>
      <c r="AF1441" t="n">
        <v>117000</v>
      </c>
      <c r="AG1441" t="n">
        <v>16380</v>
      </c>
      <c r="AH1441" t="n">
        <v>100620</v>
      </c>
      <c r="AI1441" t="n">
        <v>0</v>
      </c>
    </row>
    <row r="1442">
      <c r="A1442" t="inlineStr">
        <is>
          <t>2월</t>
        </is>
      </c>
      <c r="B1442" t="inlineStr">
        <is>
          <t>6주차</t>
        </is>
      </c>
      <c r="C1442" t="inlineStr">
        <is>
          <t>IM</t>
        </is>
      </c>
      <c r="D1442" s="28" t="n">
        <v>46059</v>
      </c>
      <c r="E1442" t="inlineStr">
        <is>
          <t>IM캐피탈</t>
        </is>
      </c>
      <c r="F1442" t="inlineStr">
        <is>
          <t>박은하</t>
        </is>
      </c>
      <c r="G1442" t="inlineStr">
        <is>
          <t>010-2527-2290</t>
        </is>
      </c>
      <c r="H1442" t="inlineStr">
        <is>
          <t>82나0875</t>
        </is>
      </c>
      <c r="I1442" t="n">
        <v>26900000</v>
      </c>
      <c r="J1442" t="n">
        <v>0.049</v>
      </c>
      <c r="K1442" t="n">
        <v>1.1</v>
      </c>
      <c r="L1442" t="n">
        <v>0.14</v>
      </c>
      <c r="M1442" t="n">
        <v>0.96</v>
      </c>
      <c r="P1442" t="inlineStr">
        <is>
          <t>정세빈</t>
        </is>
      </c>
      <c r="Q1442" t="inlineStr">
        <is>
          <t>홈서비스 60개월</t>
        </is>
      </c>
      <c r="AB1442" t="inlineStr">
        <is>
          <t>홈서비스</t>
        </is>
      </c>
      <c r="AC1442" t="n">
        <v>295900</v>
      </c>
      <c r="AD1442" t="n">
        <v>37660</v>
      </c>
      <c r="AE1442" t="n">
        <v>258240</v>
      </c>
      <c r="AF1442" t="n">
        <v>269000</v>
      </c>
      <c r="AG1442" t="n">
        <v>37660</v>
      </c>
      <c r="AH1442" t="n">
        <v>231340</v>
      </c>
      <c r="AI1442" t="n">
        <v>0</v>
      </c>
    </row>
    <row r="1443">
      <c r="A1443" t="inlineStr">
        <is>
          <t>2월</t>
        </is>
      </c>
      <c r="B1443" t="inlineStr">
        <is>
          <t>8주차</t>
        </is>
      </c>
      <c r="C1443" t="inlineStr">
        <is>
          <t>IM</t>
        </is>
      </c>
      <c r="D1443" s="28" t="n">
        <v>46072</v>
      </c>
      <c r="E1443" t="inlineStr">
        <is>
          <t>IM캐피탈</t>
        </is>
      </c>
      <c r="F1443" t="inlineStr">
        <is>
          <t>박태헌</t>
        </is>
      </c>
      <c r="G1443" t="inlineStr">
        <is>
          <t>010-8311-2669</t>
        </is>
      </c>
      <c r="H1443" t="inlineStr">
        <is>
          <t>293거7552</t>
        </is>
      </c>
      <c r="I1443" t="n">
        <v>20000000</v>
      </c>
      <c r="J1443" t="n">
        <v>0.056</v>
      </c>
      <c r="K1443" t="n">
        <v>1.1</v>
      </c>
      <c r="L1443" t="n">
        <v>0.4</v>
      </c>
      <c r="M1443" t="n">
        <v>0.7</v>
      </c>
      <c r="P1443" t="inlineStr">
        <is>
          <t>박소현</t>
        </is>
      </c>
      <c r="AB1443" t="inlineStr">
        <is>
          <t>엔카</t>
        </is>
      </c>
      <c r="AC1443" t="n">
        <v>220000</v>
      </c>
      <c r="AD1443" t="n">
        <v>80000</v>
      </c>
      <c r="AE1443" t="n">
        <v>140000</v>
      </c>
      <c r="AF1443" t="n">
        <v>200000</v>
      </c>
      <c r="AG1443" t="n">
        <v>80000</v>
      </c>
      <c r="AH1443" t="n">
        <v>120000</v>
      </c>
    </row>
    <row r="1444">
      <c r="A1444" t="inlineStr">
        <is>
          <t>2월</t>
        </is>
      </c>
      <c r="B1444" t="inlineStr">
        <is>
          <t>8주차</t>
        </is>
      </c>
      <c r="C1444" t="inlineStr">
        <is>
          <t>IM</t>
        </is>
      </c>
      <c r="D1444" s="28" t="n">
        <v>46072</v>
      </c>
      <c r="E1444" t="inlineStr">
        <is>
          <t>IM캐피탈</t>
        </is>
      </c>
      <c r="F1444" t="inlineStr">
        <is>
          <t>이재환</t>
        </is>
      </c>
      <c r="G1444" t="inlineStr">
        <is>
          <t>010-7156-4409</t>
        </is>
      </c>
      <c r="H1444" t="inlineStr">
        <is>
          <t>105노9174</t>
        </is>
      </c>
      <c r="I1444" t="n">
        <v>35000000</v>
      </c>
      <c r="J1444" t="n">
        <v>0.056</v>
      </c>
      <c r="K1444" t="n">
        <v>1.1</v>
      </c>
      <c r="L1444" t="n">
        <v>0.4</v>
      </c>
      <c r="M1444" t="n">
        <v>0.7</v>
      </c>
      <c r="P1444" t="inlineStr">
        <is>
          <t>구성완</t>
        </is>
      </c>
      <c r="Q1444" t="inlineStr">
        <is>
          <t>사유 : 금리불만 상사와금리비교</t>
        </is>
      </c>
      <c r="AB1444" t="inlineStr">
        <is>
          <t>엔카</t>
        </is>
      </c>
      <c r="AC1444" t="n">
        <v>385000</v>
      </c>
      <c r="AD1444" t="n">
        <v>140000</v>
      </c>
      <c r="AE1444" t="n">
        <v>245000</v>
      </c>
      <c r="AF1444" t="n">
        <v>350000</v>
      </c>
      <c r="AG1444" t="n">
        <v>140000</v>
      </c>
      <c r="AH1444" t="n">
        <v>210000</v>
      </c>
      <c r="AI1444" t="n">
        <v>0</v>
      </c>
    </row>
    <row r="1445">
      <c r="A1445" t="inlineStr">
        <is>
          <t>2월</t>
        </is>
      </c>
      <c r="B1445" t="inlineStr">
        <is>
          <t>8주차</t>
        </is>
      </c>
      <c r="C1445" t="inlineStr">
        <is>
          <t>EP</t>
        </is>
      </c>
      <c r="D1445" s="28" t="n">
        <v>46072</v>
      </c>
      <c r="E1445" t="inlineStr">
        <is>
          <t>현대EP_fast</t>
        </is>
      </c>
      <c r="F1445" t="inlineStr">
        <is>
          <t>김남수</t>
        </is>
      </c>
      <c r="G1445" t="inlineStr">
        <is>
          <t>010-5844-1408</t>
        </is>
      </c>
      <c r="H1445" t="inlineStr">
        <is>
          <t>02소4531</t>
        </is>
      </c>
      <c r="I1445" t="n">
        <v>30400000</v>
      </c>
      <c r="J1445" t="n">
        <v>0.094</v>
      </c>
      <c r="K1445" t="n">
        <v>1.76</v>
      </c>
      <c r="L1445" t="n">
        <v>0.14</v>
      </c>
      <c r="M1445" t="n">
        <v>1.62</v>
      </c>
      <c r="P1445" t="inlineStr">
        <is>
          <t>정하은</t>
        </is>
      </c>
      <c r="Q1445" t="inlineStr">
        <is>
          <t>선상담 홈서비스 60개월 / 금리인하 0.5% 적용건 ( 9.9 &gt; 9.4)</t>
        </is>
      </c>
      <c r="AB1445" t="inlineStr">
        <is>
          <t>홈서비스</t>
        </is>
      </c>
      <c r="AC1445" t="n">
        <v>535040</v>
      </c>
      <c r="AD1445" t="n">
        <v>42560</v>
      </c>
      <c r="AE1445" t="n">
        <v>492480</v>
      </c>
      <c r="AF1445" t="n">
        <v>486400</v>
      </c>
      <c r="AG1445" t="n">
        <v>42560</v>
      </c>
      <c r="AH1445" t="n">
        <v>443840</v>
      </c>
    </row>
    <row r="1446">
      <c r="A1446" t="inlineStr">
        <is>
          <t>2월</t>
        </is>
      </c>
      <c r="B1446" t="inlineStr">
        <is>
          <t>7주차</t>
        </is>
      </c>
      <c r="C1446" t="inlineStr">
        <is>
          <t>OR</t>
        </is>
      </c>
      <c r="D1446" s="28" t="n">
        <v>46062</v>
      </c>
      <c r="E1446" t="inlineStr">
        <is>
          <t>오릭스</t>
        </is>
      </c>
      <c r="F1446" t="inlineStr">
        <is>
          <t>원광희</t>
        </is>
      </c>
      <c r="G1446" t="n">
        <v>1097422281</v>
      </c>
      <c r="H1446" t="inlineStr">
        <is>
          <t>136구3133</t>
        </is>
      </c>
      <c r="I1446" t="n">
        <v>7900000</v>
      </c>
      <c r="J1446" t="n">
        <v>0.062</v>
      </c>
      <c r="K1446" t="n">
        <v>1.65</v>
      </c>
      <c r="L1446" t="n">
        <v>0.14</v>
      </c>
      <c r="M1446" t="n">
        <v>1.51</v>
      </c>
      <c r="P1446" t="inlineStr">
        <is>
          <t>김나윤</t>
        </is>
      </c>
      <c r="Q1446" t="inlineStr">
        <is>
          <t>홈서비스 36개월</t>
        </is>
      </c>
      <c r="AB1446" t="inlineStr">
        <is>
          <t>홈서비스</t>
        </is>
      </c>
      <c r="AC1446" t="n">
        <v>130350</v>
      </c>
      <c r="AD1446" t="n">
        <v>11060</v>
      </c>
      <c r="AE1446" t="n">
        <v>119290</v>
      </c>
      <c r="AF1446" t="n">
        <v>118500</v>
      </c>
      <c r="AG1446" t="n">
        <v>11060</v>
      </c>
      <c r="AH1446" t="n">
        <v>107440</v>
      </c>
    </row>
    <row r="1447">
      <c r="A1447" t="inlineStr">
        <is>
          <t>2월</t>
        </is>
      </c>
      <c r="B1447" t="inlineStr">
        <is>
          <t>6주차</t>
        </is>
      </c>
      <c r="C1447" t="inlineStr">
        <is>
          <t>IM</t>
        </is>
      </c>
      <c r="D1447" s="28" t="n">
        <v>46059</v>
      </c>
      <c r="E1447" t="inlineStr">
        <is>
          <t>IM캐피탈</t>
        </is>
      </c>
      <c r="F1447" t="inlineStr">
        <is>
          <t>박용진</t>
        </is>
      </c>
      <c r="G1447" t="inlineStr">
        <is>
          <t>010-9488-9701</t>
        </is>
      </c>
      <c r="H1447" t="inlineStr">
        <is>
          <t>315거7288</t>
        </is>
      </c>
      <c r="I1447" t="n">
        <v>20000000</v>
      </c>
      <c r="J1447" t="n">
        <v>0.049</v>
      </c>
      <c r="K1447" t="n">
        <v>1.1</v>
      </c>
      <c r="L1447" t="n">
        <v>0.4</v>
      </c>
      <c r="M1447" t="n">
        <v>0.7</v>
      </c>
      <c r="P1447" t="inlineStr">
        <is>
          <t>박소현</t>
        </is>
      </c>
      <c r="AB1447" t="inlineStr">
        <is>
          <t>엔카</t>
        </is>
      </c>
      <c r="AC1447" t="n">
        <v>220000</v>
      </c>
      <c r="AD1447" t="n">
        <v>80000</v>
      </c>
      <c r="AE1447" t="n">
        <v>140000</v>
      </c>
      <c r="AF1447" t="n">
        <v>200000</v>
      </c>
      <c r="AG1447" t="n">
        <v>80000</v>
      </c>
      <c r="AH1447" t="n">
        <v>120000</v>
      </c>
    </row>
    <row r="1448">
      <c r="A1448" t="inlineStr">
        <is>
          <t>2월</t>
        </is>
      </c>
      <c r="B1448" t="inlineStr">
        <is>
          <t>7주차</t>
        </is>
      </c>
      <c r="C1448" t="inlineStr">
        <is>
          <t>EP</t>
        </is>
      </c>
      <c r="D1448" s="28" t="n">
        <v>46062</v>
      </c>
      <c r="E1448" t="inlineStr">
        <is>
          <t>현대EP</t>
        </is>
      </c>
      <c r="F1448" t="inlineStr">
        <is>
          <t>이정익</t>
        </is>
      </c>
      <c r="G1448" t="inlineStr">
        <is>
          <t>010-4931-7696</t>
        </is>
      </c>
      <c r="H1448" t="inlineStr">
        <is>
          <t>08구0663</t>
        </is>
      </c>
      <c r="I1448" t="n">
        <v>6200000</v>
      </c>
      <c r="J1448" t="n">
        <v>0.073</v>
      </c>
      <c r="K1448" t="n">
        <v>1.76</v>
      </c>
      <c r="L1448" t="n">
        <v>0.14</v>
      </c>
      <c r="M1448" t="n">
        <v>1.62</v>
      </c>
      <c r="P1448" t="inlineStr">
        <is>
          <t>김수연</t>
        </is>
      </c>
      <c r="Q1448" t="inlineStr">
        <is>
          <t>홈서비스 60개월</t>
        </is>
      </c>
      <c r="AB1448" t="inlineStr">
        <is>
          <t>홈서비스</t>
        </is>
      </c>
      <c r="AC1448" t="n">
        <v>109120</v>
      </c>
      <c r="AD1448" t="n">
        <v>8680</v>
      </c>
      <c r="AE1448" t="n">
        <v>100440</v>
      </c>
      <c r="AF1448" t="n">
        <v>99200</v>
      </c>
      <c r="AG1448" t="n">
        <v>8680</v>
      </c>
      <c r="AH1448" t="n">
        <v>90520</v>
      </c>
      <c r="AI1448" t="n">
        <v>0</v>
      </c>
    </row>
    <row r="1449">
      <c r="A1449" t="inlineStr">
        <is>
          <t>2월</t>
        </is>
      </c>
      <c r="B1449" t="inlineStr">
        <is>
          <t>7주차</t>
        </is>
      </c>
      <c r="C1449" t="inlineStr">
        <is>
          <t>EP</t>
        </is>
      </c>
      <c r="D1449" s="28" t="n">
        <v>46062</v>
      </c>
      <c r="E1449" t="inlineStr">
        <is>
          <t>현대EP_fast</t>
        </is>
      </c>
      <c r="F1449" t="inlineStr">
        <is>
          <t>노승우</t>
        </is>
      </c>
      <c r="G1449" t="inlineStr">
        <is>
          <t>010-6288-6806</t>
        </is>
      </c>
      <c r="H1449" t="inlineStr">
        <is>
          <t>63우8538</t>
        </is>
      </c>
      <c r="I1449" t="n">
        <v>10000000</v>
      </c>
      <c r="J1449" t="n">
        <v>0.059</v>
      </c>
      <c r="K1449" t="n">
        <v>1.21</v>
      </c>
      <c r="L1449" t="n">
        <v>0.14</v>
      </c>
      <c r="M1449" t="n">
        <v>1.07</v>
      </c>
      <c r="P1449" t="inlineStr">
        <is>
          <t>정광호</t>
        </is>
      </c>
      <c r="Q1449" t="inlineStr">
        <is>
          <t>홈서비스 36개월</t>
        </is>
      </c>
      <c r="AB1449" t="inlineStr">
        <is>
          <t>홈서비스</t>
        </is>
      </c>
      <c r="AC1449" t="n">
        <v>121000</v>
      </c>
      <c r="AD1449" t="n">
        <v>14000</v>
      </c>
      <c r="AE1449" t="n">
        <v>107000</v>
      </c>
      <c r="AF1449" t="n">
        <v>110000</v>
      </c>
      <c r="AG1449" t="n">
        <v>14000</v>
      </c>
      <c r="AH1449" t="n">
        <v>96000</v>
      </c>
      <c r="AI1449" t="n">
        <v>0</v>
      </c>
    </row>
    <row r="1450">
      <c r="A1450" t="inlineStr">
        <is>
          <t>2월</t>
        </is>
      </c>
      <c r="B1450" t="inlineStr">
        <is>
          <t>7주차</t>
        </is>
      </c>
      <c r="C1450" t="inlineStr">
        <is>
          <t>EP</t>
        </is>
      </c>
      <c r="D1450" s="28" t="n">
        <v>46063</v>
      </c>
      <c r="E1450" t="inlineStr">
        <is>
          <t>현대EP</t>
        </is>
      </c>
      <c r="F1450" t="inlineStr">
        <is>
          <t>조현철</t>
        </is>
      </c>
      <c r="G1450" t="inlineStr">
        <is>
          <t>010-4964-1887</t>
        </is>
      </c>
      <c r="H1450" t="inlineStr">
        <is>
          <t>716너7064</t>
        </is>
      </c>
      <c r="I1450" t="n">
        <v>20000000</v>
      </c>
      <c r="J1450" t="n">
        <v>0.093</v>
      </c>
      <c r="K1450" t="n">
        <v>1.76</v>
      </c>
      <c r="L1450" t="n">
        <v>0.14</v>
      </c>
      <c r="M1450" t="n">
        <v>1.62</v>
      </c>
      <c r="P1450" t="inlineStr">
        <is>
          <t>황채이</t>
        </is>
      </c>
      <c r="Q1450" t="inlineStr">
        <is>
          <t>홈서비스 36개월</t>
        </is>
      </c>
      <c r="AB1450" t="inlineStr">
        <is>
          <t>홈서비스</t>
        </is>
      </c>
      <c r="AC1450" t="n">
        <v>352000</v>
      </c>
      <c r="AD1450" t="n">
        <v>28000</v>
      </c>
      <c r="AE1450" t="n">
        <v>324000</v>
      </c>
      <c r="AF1450" t="n">
        <v>320000</v>
      </c>
      <c r="AG1450" t="n">
        <v>28000</v>
      </c>
      <c r="AH1450" t="n">
        <v>292000</v>
      </c>
      <c r="AI1450" t="n">
        <v>0</v>
      </c>
    </row>
    <row r="1451">
      <c r="A1451" t="inlineStr">
        <is>
          <t>2월</t>
        </is>
      </c>
      <c r="B1451" t="inlineStr">
        <is>
          <t>8주차</t>
        </is>
      </c>
      <c r="C1451" t="inlineStr">
        <is>
          <t>IM</t>
        </is>
      </c>
      <c r="D1451" s="28" t="n">
        <v>46074</v>
      </c>
      <c r="E1451" t="inlineStr">
        <is>
          <t>IM캐피탈</t>
        </is>
      </c>
      <c r="F1451" t="inlineStr">
        <is>
          <t>김장원</t>
        </is>
      </c>
      <c r="G1451" t="inlineStr">
        <is>
          <t>010-3223-6188</t>
        </is>
      </c>
      <c r="H1451" t="inlineStr">
        <is>
          <t>58고4484</t>
        </is>
      </c>
      <c r="I1451" t="n">
        <v>31500000</v>
      </c>
      <c r="J1451" t="n">
        <v>0.06900000000000001</v>
      </c>
      <c r="K1451" t="n">
        <v>1.21</v>
      </c>
      <c r="L1451" t="n">
        <v>0.4</v>
      </c>
      <c r="M1451" t="n">
        <v>0.8100000000000001</v>
      </c>
      <c r="P1451" t="inlineStr">
        <is>
          <t>정하은</t>
        </is>
      </c>
      <c r="AB1451" t="inlineStr">
        <is>
          <t>엔카</t>
        </is>
      </c>
      <c r="AC1451" t="n">
        <v>381150</v>
      </c>
      <c r="AD1451" t="n">
        <v>126000</v>
      </c>
      <c r="AE1451" t="n">
        <v>255150</v>
      </c>
      <c r="AF1451" t="n">
        <v>346500</v>
      </c>
      <c r="AG1451" t="n">
        <v>126000</v>
      </c>
      <c r="AH1451" t="n">
        <v>220500</v>
      </c>
      <c r="AI1451" t="n">
        <v>0</v>
      </c>
    </row>
    <row r="1452">
      <c r="A1452" t="inlineStr">
        <is>
          <t>2월</t>
        </is>
      </c>
      <c r="B1452" t="inlineStr">
        <is>
          <t>8주차</t>
        </is>
      </c>
      <c r="C1452" t="inlineStr">
        <is>
          <t>IM</t>
        </is>
      </c>
      <c r="D1452" s="28" t="n">
        <v>46073</v>
      </c>
      <c r="E1452" t="inlineStr">
        <is>
          <t>IM캐피탈</t>
        </is>
      </c>
      <c r="F1452" t="inlineStr">
        <is>
          <t>임영진</t>
        </is>
      </c>
      <c r="G1452" t="inlineStr">
        <is>
          <t>010-7742-8766</t>
        </is>
      </c>
      <c r="H1452" t="inlineStr">
        <is>
          <t>155소4294</t>
        </is>
      </c>
      <c r="I1452" t="n">
        <v>21000000</v>
      </c>
      <c r="J1452" t="n">
        <v>0.049</v>
      </c>
      <c r="K1452" t="n">
        <v>1.21</v>
      </c>
      <c r="L1452" t="n">
        <v>0.4</v>
      </c>
      <c r="M1452" t="n">
        <v>0.8100000000000001</v>
      </c>
      <c r="P1452" t="inlineStr">
        <is>
          <t>박현민</t>
        </is>
      </c>
      <c r="Q1452" t="inlineStr">
        <is>
          <t>금융플러스 : 문서현 / 부대비용추가진행</t>
        </is>
      </c>
      <c r="AB1452" t="inlineStr">
        <is>
          <t>딜러유입</t>
        </is>
      </c>
      <c r="AC1452" t="n">
        <v>254100</v>
      </c>
      <c r="AD1452" t="n">
        <v>84000</v>
      </c>
      <c r="AE1452" t="n">
        <v>170100</v>
      </c>
      <c r="AF1452" t="n">
        <v>231000</v>
      </c>
      <c r="AG1452" t="n">
        <v>84000</v>
      </c>
      <c r="AH1452" t="n">
        <v>147000</v>
      </c>
      <c r="AI1452" t="n">
        <v>0</v>
      </c>
    </row>
    <row r="1453">
      <c r="A1453" t="inlineStr">
        <is>
          <t>2월</t>
        </is>
      </c>
      <c r="B1453" t="inlineStr">
        <is>
          <t>6주차</t>
        </is>
      </c>
      <c r="C1453" t="inlineStr">
        <is>
          <t>OR</t>
        </is>
      </c>
      <c r="D1453" s="28" t="n">
        <v>46059</v>
      </c>
      <c r="E1453" t="inlineStr">
        <is>
          <t>오릭스</t>
        </is>
      </c>
      <c r="F1453" t="inlineStr">
        <is>
          <t>연지수</t>
        </is>
      </c>
      <c r="G1453" t="inlineStr">
        <is>
          <t>010-8754-1538</t>
        </is>
      </c>
      <c r="H1453" t="inlineStr">
        <is>
          <t>806고5274</t>
        </is>
      </c>
      <c r="I1453" t="n">
        <v>22700000</v>
      </c>
      <c r="J1453" t="n">
        <v>0.07000000000000001</v>
      </c>
      <c r="K1453" t="n">
        <v>1.65</v>
      </c>
      <c r="L1453" t="n">
        <v>0.4</v>
      </c>
      <c r="M1453" t="n">
        <v>1.25</v>
      </c>
      <c r="P1453" t="inlineStr">
        <is>
          <t>박보람</t>
        </is>
      </c>
      <c r="AB1453" t="inlineStr">
        <is>
          <t>엔카</t>
        </is>
      </c>
      <c r="AC1453" t="n">
        <v>374550</v>
      </c>
      <c r="AD1453" t="n">
        <v>90800</v>
      </c>
      <c r="AE1453" t="n">
        <v>283750</v>
      </c>
      <c r="AF1453" t="n">
        <v>340500</v>
      </c>
      <c r="AG1453" t="n">
        <v>90800</v>
      </c>
      <c r="AH1453" t="n">
        <v>249700</v>
      </c>
    </row>
    <row r="1454">
      <c r="A1454" t="inlineStr">
        <is>
          <t>2월</t>
        </is>
      </c>
      <c r="B1454" t="inlineStr">
        <is>
          <t>7주차</t>
        </is>
      </c>
      <c r="C1454" t="inlineStr">
        <is>
          <t>IM</t>
        </is>
      </c>
      <c r="D1454" s="28" t="n">
        <v>46064</v>
      </c>
      <c r="E1454" t="inlineStr">
        <is>
          <t>IM캐피탈</t>
        </is>
      </c>
      <c r="F1454" t="inlineStr">
        <is>
          <t>이동현</t>
        </is>
      </c>
      <c r="G1454" t="inlineStr">
        <is>
          <t>010-6311-3331</t>
        </is>
      </c>
      <c r="H1454" t="inlineStr">
        <is>
          <t>136누6810</t>
        </is>
      </c>
      <c r="I1454" t="n">
        <v>-49900000</v>
      </c>
      <c r="J1454" t="n">
        <v>0.066</v>
      </c>
      <c r="K1454" t="n">
        <v>1.1</v>
      </c>
      <c r="L1454" t="n">
        <v>0.4</v>
      </c>
      <c r="M1454" t="n">
        <v>0.7</v>
      </c>
      <c r="P1454" t="inlineStr">
        <is>
          <t>장현경</t>
        </is>
      </c>
      <c r="Q1454" t="inlineStr">
        <is>
          <t>/*철회 20260220</t>
        </is>
      </c>
      <c r="AB1454" t="inlineStr">
        <is>
          <t>엔카</t>
        </is>
      </c>
      <c r="AC1454" t="n">
        <v>-548900</v>
      </c>
      <c r="AD1454" t="n">
        <v>-199600</v>
      </c>
      <c r="AE1454" t="n">
        <v>-349300</v>
      </c>
      <c r="AF1454" t="n">
        <v>-499000</v>
      </c>
      <c r="AG1454" t="n">
        <v>-199600</v>
      </c>
      <c r="AH1454" t="n">
        <v>-299400</v>
      </c>
      <c r="AI1454" t="n">
        <v>0</v>
      </c>
      <c r="AK1454" t="inlineStr">
        <is>
          <t>대출철회</t>
        </is>
      </c>
    </row>
    <row r="1455">
      <c r="A1455" t="inlineStr">
        <is>
          <t>2월</t>
        </is>
      </c>
      <c r="B1455" t="inlineStr">
        <is>
          <t>9주차</t>
        </is>
      </c>
      <c r="C1455" t="inlineStr">
        <is>
          <t>EP</t>
        </is>
      </c>
      <c r="D1455" s="28" t="n">
        <v>46076</v>
      </c>
      <c r="E1455" t="inlineStr">
        <is>
          <t>현대EP</t>
        </is>
      </c>
      <c r="F1455" t="inlineStr">
        <is>
          <t>홍영빈</t>
        </is>
      </c>
      <c r="G1455" t="inlineStr">
        <is>
          <t>010-5062-3635</t>
        </is>
      </c>
      <c r="H1455" t="inlineStr">
        <is>
          <t>117주3520</t>
        </is>
      </c>
      <c r="I1455" t="n">
        <v>52400000</v>
      </c>
      <c r="J1455" t="n">
        <v>0.068</v>
      </c>
      <c r="K1455" t="n">
        <v>1.21</v>
      </c>
      <c r="L1455" t="n">
        <v>0.14</v>
      </c>
      <c r="M1455" t="n">
        <v>1.07</v>
      </c>
      <c r="P1455" t="inlineStr">
        <is>
          <t>김수연</t>
        </is>
      </c>
      <c r="Q1455" t="inlineStr">
        <is>
          <t>홈서비스 60개월</t>
        </is>
      </c>
      <c r="AB1455" t="inlineStr">
        <is>
          <t>홈서비스</t>
        </is>
      </c>
      <c r="AC1455" t="n">
        <v>634040</v>
      </c>
      <c r="AD1455" t="n">
        <v>73360</v>
      </c>
      <c r="AE1455" t="n">
        <v>560680</v>
      </c>
      <c r="AF1455" t="n">
        <v>576400</v>
      </c>
      <c r="AG1455" t="n">
        <v>73360</v>
      </c>
      <c r="AH1455" t="n">
        <v>503040</v>
      </c>
    </row>
    <row r="1456">
      <c r="A1456" t="inlineStr">
        <is>
          <t>2월</t>
        </is>
      </c>
      <c r="B1456" t="inlineStr">
        <is>
          <t>7주차</t>
        </is>
      </c>
      <c r="C1456" t="inlineStr">
        <is>
          <t>EP</t>
        </is>
      </c>
      <c r="D1456" s="28" t="n">
        <v>46065</v>
      </c>
      <c r="E1456" t="inlineStr">
        <is>
          <t>현대EP_fast</t>
        </is>
      </c>
      <c r="F1456" t="inlineStr">
        <is>
          <t>오준호</t>
        </is>
      </c>
      <c r="G1456" t="inlineStr">
        <is>
          <t>010-5286-4136</t>
        </is>
      </c>
      <c r="H1456" t="inlineStr">
        <is>
          <t>64도6784</t>
        </is>
      </c>
      <c r="I1456" t="n">
        <v>15200000</v>
      </c>
      <c r="J1456" t="n">
        <v>0.06900000000000001</v>
      </c>
      <c r="K1456" t="n">
        <v>1.76</v>
      </c>
      <c r="L1456" t="n">
        <v>0.4</v>
      </c>
      <c r="M1456" t="n">
        <v>1.36</v>
      </c>
      <c r="P1456" t="inlineStr">
        <is>
          <t>정하은</t>
        </is>
      </c>
      <c r="Q1456" t="inlineStr">
        <is>
          <t>금리인하 0.5% 적용건 (7.4 &gt; 6.9)</t>
        </is>
      </c>
      <c r="AB1456" t="inlineStr">
        <is>
          <t>엔카</t>
        </is>
      </c>
      <c r="AC1456" t="n">
        <v>267520</v>
      </c>
      <c r="AD1456" t="n">
        <v>60800</v>
      </c>
      <c r="AE1456" t="n">
        <v>206720</v>
      </c>
      <c r="AF1456" t="n">
        <v>243200</v>
      </c>
      <c r="AG1456" t="n">
        <v>60800</v>
      </c>
      <c r="AH1456" t="n">
        <v>182400</v>
      </c>
    </row>
    <row r="1457">
      <c r="A1457" t="inlineStr">
        <is>
          <t>2월</t>
        </is>
      </c>
      <c r="B1457" t="inlineStr">
        <is>
          <t>9주차</t>
        </is>
      </c>
      <c r="C1457" t="inlineStr">
        <is>
          <t>EP</t>
        </is>
      </c>
      <c r="D1457" s="28" t="n">
        <v>46076</v>
      </c>
      <c r="E1457" t="inlineStr">
        <is>
          <t>현대EP_fast</t>
        </is>
      </c>
      <c r="F1457" t="inlineStr">
        <is>
          <t>이남영</t>
        </is>
      </c>
      <c r="G1457" t="inlineStr">
        <is>
          <t>010-9504-0993</t>
        </is>
      </c>
      <c r="H1457" t="inlineStr">
        <is>
          <t>258오4625</t>
        </is>
      </c>
      <c r="I1457" t="n">
        <v>48900000</v>
      </c>
      <c r="J1457" t="n">
        <v>0.094</v>
      </c>
      <c r="K1457" t="n">
        <v>1.76</v>
      </c>
      <c r="L1457" t="n">
        <v>0.14</v>
      </c>
      <c r="M1457" t="n">
        <v>1.62</v>
      </c>
      <c r="P1457" t="inlineStr">
        <is>
          <t>황채이</t>
        </is>
      </c>
      <c r="Q1457" t="inlineStr">
        <is>
          <t>홈서비스 60개월 / 금리인하 0.5% 적용건 ( 9.9 &gt; 9.4 )</t>
        </is>
      </c>
      <c r="AB1457" t="inlineStr">
        <is>
          <t>홈서비스</t>
        </is>
      </c>
      <c r="AC1457" t="n">
        <v>860640</v>
      </c>
      <c r="AD1457" t="n">
        <v>68460</v>
      </c>
      <c r="AE1457" t="n">
        <v>792180</v>
      </c>
      <c r="AF1457" t="n">
        <v>782400</v>
      </c>
      <c r="AG1457" t="n">
        <v>68460</v>
      </c>
      <c r="AH1457" t="n">
        <v>713940</v>
      </c>
    </row>
    <row r="1458">
      <c r="A1458" t="inlineStr">
        <is>
          <t>2월</t>
        </is>
      </c>
      <c r="B1458" t="inlineStr">
        <is>
          <t>9주차</t>
        </is>
      </c>
      <c r="C1458" t="inlineStr">
        <is>
          <t>EP</t>
        </is>
      </c>
      <c r="D1458" s="28" t="n">
        <v>46076</v>
      </c>
      <c r="E1458" t="inlineStr">
        <is>
          <t>현대EP_fast</t>
        </is>
      </c>
      <c r="F1458" t="inlineStr">
        <is>
          <t>송상건</t>
        </is>
      </c>
      <c r="G1458" t="inlineStr">
        <is>
          <t>010-3694-9255</t>
        </is>
      </c>
      <c r="H1458" t="inlineStr">
        <is>
          <t>815고2171</t>
        </is>
      </c>
      <c r="I1458" t="n">
        <v>23900000</v>
      </c>
      <c r="J1458" t="n">
        <v>0.083</v>
      </c>
      <c r="K1458" t="n">
        <v>1.76</v>
      </c>
      <c r="L1458" t="n">
        <v>0.14</v>
      </c>
      <c r="M1458" t="n">
        <v>1.62</v>
      </c>
      <c r="P1458" t="inlineStr">
        <is>
          <t>김나윤</t>
        </is>
      </c>
      <c r="Q1458" t="inlineStr">
        <is>
          <t>홈서비스 60개월</t>
        </is>
      </c>
      <c r="AB1458" t="inlineStr">
        <is>
          <t>홈서비스</t>
        </is>
      </c>
      <c r="AC1458" t="n">
        <v>420640</v>
      </c>
      <c r="AD1458" t="n">
        <v>33460</v>
      </c>
      <c r="AE1458" t="n">
        <v>387180</v>
      </c>
      <c r="AF1458" t="n">
        <v>382400</v>
      </c>
      <c r="AG1458" t="n">
        <v>33460</v>
      </c>
      <c r="AH1458" t="n">
        <v>348940</v>
      </c>
      <c r="AI1458" t="n">
        <v>0</v>
      </c>
    </row>
    <row r="1459">
      <c r="A1459" t="inlineStr">
        <is>
          <t>2월</t>
        </is>
      </c>
      <c r="B1459" t="inlineStr">
        <is>
          <t>8주차</t>
        </is>
      </c>
      <c r="C1459" t="inlineStr">
        <is>
          <t>IM</t>
        </is>
      </c>
      <c r="D1459" s="28" t="n">
        <v>46073</v>
      </c>
      <c r="E1459" t="inlineStr">
        <is>
          <t>IM캐피탈</t>
        </is>
      </c>
      <c r="F1459" t="inlineStr">
        <is>
          <t>박선아</t>
        </is>
      </c>
      <c r="G1459" t="inlineStr">
        <is>
          <t>010-8733-2427</t>
        </is>
      </c>
      <c r="H1459" t="inlineStr">
        <is>
          <t>120도8846</t>
        </is>
      </c>
      <c r="I1459" t="n">
        <v>23000000</v>
      </c>
      <c r="J1459" t="n">
        <v>0.075</v>
      </c>
      <c r="K1459" t="n">
        <v>1.1</v>
      </c>
      <c r="L1459" t="n">
        <v>0.4</v>
      </c>
      <c r="M1459" t="n">
        <v>0.7</v>
      </c>
      <c r="P1459" t="inlineStr">
        <is>
          <t>최혁</t>
        </is>
      </c>
      <c r="AB1459" t="inlineStr">
        <is>
          <t>엔카</t>
        </is>
      </c>
      <c r="AC1459" t="n">
        <v>253000</v>
      </c>
      <c r="AD1459" t="n">
        <v>92000</v>
      </c>
      <c r="AE1459" t="n">
        <v>161000</v>
      </c>
      <c r="AF1459" t="n">
        <v>230000</v>
      </c>
      <c r="AG1459" t="n">
        <v>88964</v>
      </c>
      <c r="AH1459" t="n">
        <v>141036</v>
      </c>
    </row>
    <row r="1460">
      <c r="A1460" t="inlineStr">
        <is>
          <t>2월</t>
        </is>
      </c>
      <c r="B1460" t="inlineStr">
        <is>
          <t>9주차</t>
        </is>
      </c>
      <c r="C1460" t="inlineStr">
        <is>
          <t>EP</t>
        </is>
      </c>
      <c r="D1460" s="28" t="n">
        <v>46079</v>
      </c>
      <c r="E1460" t="inlineStr">
        <is>
          <t>현대EP</t>
        </is>
      </c>
      <c r="F1460" t="inlineStr">
        <is>
          <t>김진경</t>
        </is>
      </c>
      <c r="G1460" t="inlineStr">
        <is>
          <t>010-9022-8901</t>
        </is>
      </c>
      <c r="H1460" t="inlineStr">
        <is>
          <t>28고2182</t>
        </is>
      </c>
      <c r="I1460" t="n">
        <v>5000000</v>
      </c>
      <c r="J1460" t="n">
        <v>0.094</v>
      </c>
      <c r="K1460" t="n">
        <v>1.76</v>
      </c>
      <c r="L1460" t="n">
        <v>0.14</v>
      </c>
      <c r="M1460" t="n">
        <v>1.62</v>
      </c>
      <c r="P1460" t="inlineStr">
        <is>
          <t>황채이</t>
        </is>
      </c>
      <c r="Q1460" t="inlineStr">
        <is>
          <t>홈서비스 48개월</t>
        </is>
      </c>
      <c r="AB1460" t="inlineStr">
        <is>
          <t>홈서비스</t>
        </is>
      </c>
      <c r="AC1460" t="n">
        <v>88000</v>
      </c>
      <c r="AD1460" t="n">
        <v>7000</v>
      </c>
      <c r="AE1460" t="n">
        <v>81000</v>
      </c>
      <c r="AF1460" t="n">
        <v>80000</v>
      </c>
      <c r="AG1460" t="n">
        <v>6769</v>
      </c>
      <c r="AH1460" t="n">
        <v>73231</v>
      </c>
      <c r="AI1460" t="n">
        <v>0</v>
      </c>
    </row>
    <row r="1461">
      <c r="A1461" t="inlineStr">
        <is>
          <t>2월</t>
        </is>
      </c>
      <c r="B1461" t="inlineStr">
        <is>
          <t>9주차</t>
        </is>
      </c>
      <c r="C1461" t="inlineStr">
        <is>
          <t>EP</t>
        </is>
      </c>
      <c r="D1461" s="28" t="n">
        <v>46076</v>
      </c>
      <c r="E1461" t="inlineStr">
        <is>
          <t>현대EP</t>
        </is>
      </c>
      <c r="F1461" t="inlineStr">
        <is>
          <t>서승범</t>
        </is>
      </c>
      <c r="G1461" t="inlineStr">
        <is>
          <t>010-3713-1222</t>
        </is>
      </c>
      <c r="H1461" t="inlineStr">
        <is>
          <t>190어3285</t>
        </is>
      </c>
      <c r="I1461" t="n">
        <v>16000000</v>
      </c>
      <c r="J1461" t="n">
        <v>0.079</v>
      </c>
      <c r="K1461" t="n">
        <v>1.76</v>
      </c>
      <c r="L1461" t="n">
        <v>0.14</v>
      </c>
      <c r="M1461" t="n">
        <v>1.62</v>
      </c>
      <c r="P1461" t="inlineStr">
        <is>
          <t>정세빈</t>
        </is>
      </c>
      <c r="Q1461" t="inlineStr">
        <is>
          <t>홈서비스 48개월</t>
        </is>
      </c>
      <c r="AB1461" t="inlineStr">
        <is>
          <t>홈서비스</t>
        </is>
      </c>
      <c r="AC1461" t="n">
        <v>281600</v>
      </c>
      <c r="AD1461" t="n">
        <v>22400</v>
      </c>
      <c r="AE1461" t="n">
        <v>259200</v>
      </c>
      <c r="AF1461" t="n">
        <v>256000</v>
      </c>
      <c r="AG1461" t="n">
        <v>21660.8</v>
      </c>
      <c r="AH1461" t="n">
        <v>234339.2</v>
      </c>
      <c r="AI1461" t="n">
        <v>0</v>
      </c>
    </row>
    <row r="1462">
      <c r="A1462" t="inlineStr">
        <is>
          <t>2월</t>
        </is>
      </c>
      <c r="B1462" t="inlineStr">
        <is>
          <t>6주차</t>
        </is>
      </c>
      <c r="C1462" t="inlineStr">
        <is>
          <t>OR</t>
        </is>
      </c>
      <c r="D1462" s="28" t="n">
        <v>46056</v>
      </c>
      <c r="E1462" t="inlineStr">
        <is>
          <t>오릭스</t>
        </is>
      </c>
      <c r="F1462" t="inlineStr">
        <is>
          <t>신동훈</t>
        </is>
      </c>
      <c r="G1462" t="inlineStr">
        <is>
          <t>010-7479-7163</t>
        </is>
      </c>
      <c r="H1462" t="inlineStr">
        <is>
          <t>126버2906</t>
        </is>
      </c>
      <c r="I1462" t="n">
        <v>50000000</v>
      </c>
      <c r="J1462" t="n">
        <v>0.059</v>
      </c>
      <c r="K1462" t="n">
        <v>1.65</v>
      </c>
      <c r="L1462" t="n">
        <v>0.14</v>
      </c>
      <c r="M1462" t="n">
        <v>1.51</v>
      </c>
      <c r="P1462" t="inlineStr">
        <is>
          <t>정세빈</t>
        </is>
      </c>
      <c r="Q1462" t="inlineStr">
        <is>
          <t>홈서비스 60개월</t>
        </is>
      </c>
      <c r="AB1462" t="inlineStr">
        <is>
          <t>홈서비스</t>
        </is>
      </c>
      <c r="AC1462" t="n">
        <v>825000</v>
      </c>
      <c r="AD1462" t="n">
        <v>70000</v>
      </c>
      <c r="AE1462" t="n">
        <v>755000</v>
      </c>
      <c r="AF1462" t="n">
        <v>750000</v>
      </c>
      <c r="AG1462" t="n">
        <v>67690</v>
      </c>
      <c r="AH1462" t="n">
        <v>682310</v>
      </c>
      <c r="AI1462" t="n">
        <v>0</v>
      </c>
    </row>
    <row r="1463">
      <c r="A1463" t="inlineStr">
        <is>
          <t>2월</t>
        </is>
      </c>
      <c r="B1463" t="inlineStr">
        <is>
          <t>8주차</t>
        </is>
      </c>
      <c r="C1463" t="inlineStr">
        <is>
          <t>EP</t>
        </is>
      </c>
      <c r="D1463" s="28" t="n">
        <v>46073</v>
      </c>
      <c r="E1463" t="inlineStr">
        <is>
          <t>현대EP_fast</t>
        </is>
      </c>
      <c r="F1463" t="inlineStr">
        <is>
          <t>정규</t>
        </is>
      </c>
      <c r="G1463" t="inlineStr">
        <is>
          <t>010-8785-4175</t>
        </is>
      </c>
      <c r="H1463" t="inlineStr">
        <is>
          <t>288머2335</t>
        </is>
      </c>
      <c r="I1463" t="n">
        <v>15700000</v>
      </c>
      <c r="J1463" t="n">
        <v>0.115</v>
      </c>
      <c r="K1463" t="n">
        <v>1.76</v>
      </c>
      <c r="L1463" t="n">
        <v>0.14</v>
      </c>
      <c r="M1463" t="n">
        <v>1.62</v>
      </c>
      <c r="P1463" t="inlineStr">
        <is>
          <t>최혁</t>
        </is>
      </c>
      <c r="Q1463" t="inlineStr">
        <is>
          <t>홈서비스60개월</t>
        </is>
      </c>
      <c r="AB1463" t="inlineStr">
        <is>
          <t>홈서비스</t>
        </is>
      </c>
      <c r="AC1463" t="n">
        <v>276320</v>
      </c>
      <c r="AD1463" t="n">
        <v>21980</v>
      </c>
      <c r="AE1463" t="n">
        <v>254340</v>
      </c>
      <c r="AF1463" t="n">
        <v>251200</v>
      </c>
      <c r="AG1463" t="n">
        <v>21254.66</v>
      </c>
      <c r="AH1463" t="n">
        <v>229945.34</v>
      </c>
      <c r="AI1463" t="n">
        <v>0</v>
      </c>
    </row>
    <row r="1464">
      <c r="A1464" t="inlineStr">
        <is>
          <t>2월</t>
        </is>
      </c>
      <c r="B1464" t="inlineStr">
        <is>
          <t>8주차</t>
        </is>
      </c>
      <c r="C1464" t="inlineStr">
        <is>
          <t>EP</t>
        </is>
      </c>
      <c r="D1464" s="28" t="n">
        <v>46074</v>
      </c>
      <c r="E1464" t="inlineStr">
        <is>
          <t>현대EP_fast</t>
        </is>
      </c>
      <c r="F1464" t="inlineStr">
        <is>
          <t>유창남</t>
        </is>
      </c>
      <c r="G1464" t="inlineStr">
        <is>
          <t>010-9669-1428</t>
        </is>
      </c>
      <c r="H1464" t="inlineStr">
        <is>
          <t>247주8244</t>
        </is>
      </c>
      <c r="I1464" t="n">
        <v>26800000</v>
      </c>
      <c r="J1464" t="n">
        <v>0.078</v>
      </c>
      <c r="K1464" t="n">
        <v>1.21</v>
      </c>
      <c r="L1464" t="n">
        <v>0.4</v>
      </c>
      <c r="M1464" t="n">
        <v>0.8100000000000001</v>
      </c>
      <c r="P1464" t="inlineStr">
        <is>
          <t>박보람</t>
        </is>
      </c>
      <c r="Q1464" t="inlineStr">
        <is>
          <t xml:space="preserve"> 금리인하 0.5% 적용건 ( 8.3 &gt; 7.8 )/*차량번호 변경건/변경전차량번호 274너3485</t>
        </is>
      </c>
      <c r="AB1464" t="inlineStr">
        <is>
          <t>엔카</t>
        </is>
      </c>
      <c r="AC1464" t="n">
        <v>324280</v>
      </c>
      <c r="AD1464" t="n">
        <v>107200</v>
      </c>
      <c r="AE1464" t="n">
        <v>217080</v>
      </c>
      <c r="AF1464" t="n">
        <v>294800</v>
      </c>
      <c r="AG1464" t="n">
        <v>103662.4</v>
      </c>
      <c r="AH1464" t="n">
        <v>191137.6</v>
      </c>
      <c r="AI1464" t="n">
        <v>0</v>
      </c>
    </row>
    <row r="1465">
      <c r="A1465" t="inlineStr">
        <is>
          <t>2월</t>
        </is>
      </c>
      <c r="B1465" t="inlineStr">
        <is>
          <t>6주차</t>
        </is>
      </c>
      <c r="C1465" t="inlineStr">
        <is>
          <t>EP</t>
        </is>
      </c>
      <c r="D1465" s="28" t="n">
        <v>46058</v>
      </c>
      <c r="E1465" t="inlineStr">
        <is>
          <t>현대EP</t>
        </is>
      </c>
      <c r="F1465" t="inlineStr">
        <is>
          <t>한순일</t>
        </is>
      </c>
      <c r="G1465" t="inlineStr">
        <is>
          <t>010-4068-4415</t>
        </is>
      </c>
      <c r="H1465" t="inlineStr">
        <is>
          <t>23서2377</t>
        </is>
      </c>
      <c r="I1465" t="n">
        <v>23000000</v>
      </c>
      <c r="J1465" t="n">
        <v>0.07199999999999999</v>
      </c>
      <c r="K1465" t="n">
        <v>1.76</v>
      </c>
      <c r="L1465" t="n">
        <v>0.14</v>
      </c>
      <c r="M1465" t="n">
        <v>1.62</v>
      </c>
      <c r="P1465" t="inlineStr">
        <is>
          <t>정세빈</t>
        </is>
      </c>
      <c r="Q1465" t="inlineStr">
        <is>
          <t>홈서비스 60개월</t>
        </is>
      </c>
      <c r="AB1465" t="inlineStr">
        <is>
          <t>홈서비스</t>
        </is>
      </c>
      <c r="AC1465" t="n">
        <v>404800</v>
      </c>
      <c r="AD1465" t="n">
        <v>32200</v>
      </c>
      <c r="AE1465" t="n">
        <v>372600</v>
      </c>
      <c r="AF1465" t="n">
        <v>368000</v>
      </c>
      <c r="AG1465" t="n">
        <v>31137.4</v>
      </c>
      <c r="AH1465" t="n">
        <v>336862.6</v>
      </c>
      <c r="AI1465" t="n">
        <v>0</v>
      </c>
    </row>
    <row r="1466">
      <c r="A1466" t="inlineStr">
        <is>
          <t>2월</t>
        </is>
      </c>
      <c r="B1466" t="inlineStr">
        <is>
          <t>6주차</t>
        </is>
      </c>
      <c r="C1466" t="inlineStr">
        <is>
          <t>EP</t>
        </is>
      </c>
      <c r="D1466" s="28" t="n">
        <v>46059</v>
      </c>
      <c r="E1466" t="inlineStr">
        <is>
          <t>현대EP</t>
        </is>
      </c>
      <c r="F1466" t="inlineStr">
        <is>
          <t>김기선</t>
        </is>
      </c>
      <c r="G1466" t="inlineStr">
        <is>
          <t>010-2492-1058</t>
        </is>
      </c>
      <c r="H1466" t="inlineStr">
        <is>
          <t>376다9240</t>
        </is>
      </c>
      <c r="I1466" t="n">
        <v>22000000</v>
      </c>
      <c r="J1466" t="n">
        <v>0.097</v>
      </c>
      <c r="K1466" t="n">
        <v>1.76</v>
      </c>
      <c r="L1466" t="n">
        <v>0.14</v>
      </c>
      <c r="M1466" t="n">
        <v>1.62</v>
      </c>
      <c r="P1466" t="inlineStr">
        <is>
          <t>정세빈</t>
        </is>
      </c>
      <c r="Q1466" t="inlineStr">
        <is>
          <t>홈서비스 60개월</t>
        </is>
      </c>
      <c r="AB1466" t="inlineStr">
        <is>
          <t>홈서비스</t>
        </is>
      </c>
      <c r="AC1466" t="n">
        <v>387200</v>
      </c>
      <c r="AD1466" t="n">
        <v>30800</v>
      </c>
      <c r="AE1466" t="n">
        <v>356400</v>
      </c>
      <c r="AF1466" t="n">
        <v>352000</v>
      </c>
      <c r="AG1466" t="n">
        <v>29783.6</v>
      </c>
      <c r="AH1466" t="n">
        <v>322216.4</v>
      </c>
      <c r="AI1466" t="n">
        <v>0</v>
      </c>
    </row>
    <row r="1467">
      <c r="A1467" t="inlineStr">
        <is>
          <t>2월</t>
        </is>
      </c>
      <c r="B1467" t="inlineStr">
        <is>
          <t>6주차</t>
        </is>
      </c>
      <c r="C1467" t="inlineStr">
        <is>
          <t>EP</t>
        </is>
      </c>
      <c r="D1467" s="28" t="n">
        <v>46059</v>
      </c>
      <c r="E1467" t="inlineStr">
        <is>
          <t>현대EP_fast</t>
        </is>
      </c>
      <c r="F1467" t="inlineStr">
        <is>
          <t>신새미</t>
        </is>
      </c>
      <c r="G1467" t="inlineStr">
        <is>
          <t>010-3944-7866</t>
        </is>
      </c>
      <c r="H1467" t="inlineStr">
        <is>
          <t>49소5551</t>
        </is>
      </c>
      <c r="I1467" t="n">
        <v>5900000</v>
      </c>
      <c r="J1467" t="n">
        <v>0.083</v>
      </c>
      <c r="K1467" t="n">
        <v>1.76</v>
      </c>
      <c r="L1467" t="n">
        <v>0.14</v>
      </c>
      <c r="M1467" t="n">
        <v>1.62</v>
      </c>
      <c r="P1467" t="inlineStr">
        <is>
          <t>정세빈</t>
        </is>
      </c>
      <c r="Q1467" t="inlineStr">
        <is>
          <t>홈서비스 60개월</t>
        </is>
      </c>
      <c r="AB1467" t="inlineStr">
        <is>
          <t>홈서비스</t>
        </is>
      </c>
      <c r="AC1467" t="n">
        <v>103840</v>
      </c>
      <c r="AD1467" t="n">
        <v>8260</v>
      </c>
      <c r="AE1467" t="n">
        <v>95580</v>
      </c>
      <c r="AF1467" t="n">
        <v>94400</v>
      </c>
      <c r="AG1467" t="n">
        <v>7987.42</v>
      </c>
      <c r="AH1467" t="n">
        <v>86412.58</v>
      </c>
      <c r="AI1467" t="n">
        <v>0</v>
      </c>
    </row>
    <row r="1468">
      <c r="A1468" t="inlineStr">
        <is>
          <t>2월</t>
        </is>
      </c>
      <c r="B1468" t="inlineStr">
        <is>
          <t>9주차</t>
        </is>
      </c>
      <c r="C1468" t="inlineStr">
        <is>
          <t>EP</t>
        </is>
      </c>
      <c r="D1468" s="28" t="n">
        <v>46076</v>
      </c>
      <c r="E1468" t="inlineStr">
        <is>
          <t>현대EP_fast</t>
        </is>
      </c>
      <c r="F1468" t="inlineStr">
        <is>
          <t>김진복</t>
        </is>
      </c>
      <c r="G1468" t="inlineStr">
        <is>
          <t>010-4041-4430</t>
        </is>
      </c>
      <c r="H1468" t="inlineStr">
        <is>
          <t>12저9471</t>
        </is>
      </c>
      <c r="I1468" t="n">
        <v>6500000</v>
      </c>
      <c r="J1468" t="n">
        <v>0.089</v>
      </c>
      <c r="K1468" t="n">
        <v>1.76</v>
      </c>
      <c r="L1468" t="n">
        <v>0.14</v>
      </c>
      <c r="M1468" t="n">
        <v>1.62</v>
      </c>
      <c r="P1468" t="inlineStr">
        <is>
          <t>김수연</t>
        </is>
      </c>
      <c r="Q1468" t="inlineStr">
        <is>
          <t>홈서비스 60개월</t>
        </is>
      </c>
      <c r="AB1468" t="inlineStr">
        <is>
          <t>홈서비스</t>
        </is>
      </c>
      <c r="AC1468" t="n">
        <v>114400</v>
      </c>
      <c r="AD1468" t="n">
        <v>9100</v>
      </c>
      <c r="AE1468" t="n">
        <v>105300</v>
      </c>
      <c r="AF1468" t="n">
        <v>104000</v>
      </c>
      <c r="AG1468" t="n">
        <v>8799.700000000001</v>
      </c>
      <c r="AH1468" t="n">
        <v>95200.3</v>
      </c>
      <c r="AI1468" t="n">
        <v>0</v>
      </c>
    </row>
    <row r="1469">
      <c r="A1469" t="inlineStr">
        <is>
          <t>2월</t>
        </is>
      </c>
      <c r="B1469" t="inlineStr">
        <is>
          <t>7주차</t>
        </is>
      </c>
      <c r="C1469" t="inlineStr">
        <is>
          <t>EP</t>
        </is>
      </c>
      <c r="D1469" s="28" t="n">
        <v>46062</v>
      </c>
      <c r="E1469" t="inlineStr">
        <is>
          <t>현대EP</t>
        </is>
      </c>
      <c r="F1469" t="inlineStr">
        <is>
          <t>심현준</t>
        </is>
      </c>
      <c r="G1469" t="inlineStr">
        <is>
          <t>010-9052-6401</t>
        </is>
      </c>
      <c r="H1469" t="inlineStr">
        <is>
          <t>62가6845</t>
        </is>
      </c>
      <c r="I1469" t="n">
        <v>14000000</v>
      </c>
      <c r="J1469" t="n">
        <v>0.067</v>
      </c>
      <c r="K1469" t="n">
        <v>1.21</v>
      </c>
      <c r="L1469" t="n">
        <v>0.14</v>
      </c>
      <c r="M1469" t="n">
        <v>1.07</v>
      </c>
      <c r="P1469" t="inlineStr">
        <is>
          <t>박소현</t>
        </is>
      </c>
      <c r="Q1469" t="inlineStr">
        <is>
          <t>홈서비스 60개월</t>
        </is>
      </c>
      <c r="AB1469" t="inlineStr">
        <is>
          <t>홈서비스</t>
        </is>
      </c>
      <c r="AC1469" t="n">
        <v>169400</v>
      </c>
      <c r="AD1469" t="n">
        <v>19600</v>
      </c>
      <c r="AE1469" t="n">
        <v>149800</v>
      </c>
      <c r="AF1469" t="n">
        <v>154000</v>
      </c>
      <c r="AG1469" t="n">
        <v>18953.2</v>
      </c>
      <c r="AH1469" t="n">
        <v>135046.8</v>
      </c>
    </row>
    <row r="1470">
      <c r="A1470" t="inlineStr">
        <is>
          <t>2월</t>
        </is>
      </c>
      <c r="B1470" t="inlineStr">
        <is>
          <t>9주차</t>
        </is>
      </c>
      <c r="C1470" t="inlineStr">
        <is>
          <t>IM</t>
        </is>
      </c>
      <c r="D1470" s="28" t="n">
        <v>46076</v>
      </c>
      <c r="E1470" t="inlineStr">
        <is>
          <t>IM캐피탈</t>
        </is>
      </c>
      <c r="F1470" t="inlineStr">
        <is>
          <t>황재식</t>
        </is>
      </c>
      <c r="G1470" t="inlineStr">
        <is>
          <t>010-2728-6970</t>
        </is>
      </c>
      <c r="H1470" t="inlineStr">
        <is>
          <t>02보7575</t>
        </is>
      </c>
      <c r="I1470" t="n">
        <v>32900000</v>
      </c>
      <c r="J1470" t="n">
        <v>0.049</v>
      </c>
      <c r="K1470" t="n">
        <v>1.1</v>
      </c>
      <c r="L1470" t="n">
        <v>0.14</v>
      </c>
      <c r="M1470" t="n">
        <v>0.96</v>
      </c>
      <c r="P1470" t="inlineStr">
        <is>
          <t>최혁</t>
        </is>
      </c>
      <c r="Q1470" t="inlineStr">
        <is>
          <t>홈서비스84개월</t>
        </is>
      </c>
      <c r="AB1470" t="inlineStr">
        <is>
          <t>홈서비스</t>
        </is>
      </c>
      <c r="AC1470" t="n">
        <v>361900</v>
      </c>
      <c r="AD1470" t="n">
        <v>46060</v>
      </c>
      <c r="AE1470" t="n">
        <v>315840</v>
      </c>
      <c r="AF1470" t="n">
        <v>329000</v>
      </c>
      <c r="AG1470" t="n">
        <v>44540.02</v>
      </c>
      <c r="AH1470" t="n">
        <v>284459.98</v>
      </c>
    </row>
    <row r="1471">
      <c r="A1471" t="inlineStr">
        <is>
          <t>2월</t>
        </is>
      </c>
      <c r="B1471" t="inlineStr">
        <is>
          <t>6주차</t>
        </is>
      </c>
      <c r="C1471" t="inlineStr">
        <is>
          <t>IM</t>
        </is>
      </c>
      <c r="D1471" s="28" t="n">
        <v>46059</v>
      </c>
      <c r="E1471" t="inlineStr">
        <is>
          <t>IM캐피탈</t>
        </is>
      </c>
      <c r="F1471" t="inlineStr">
        <is>
          <t>양정모</t>
        </is>
      </c>
      <c r="G1471" t="inlineStr">
        <is>
          <t>010-3221-6774</t>
        </is>
      </c>
      <c r="H1471" t="inlineStr">
        <is>
          <t>06우3270</t>
        </is>
      </c>
      <c r="I1471" t="n">
        <v>23000000</v>
      </c>
      <c r="J1471" t="n">
        <v>0.049</v>
      </c>
      <c r="K1471" t="n">
        <v>1.1</v>
      </c>
      <c r="L1471" t="n">
        <v>0.4</v>
      </c>
      <c r="M1471" t="n">
        <v>0.7</v>
      </c>
      <c r="P1471" t="inlineStr">
        <is>
          <t>정하은</t>
        </is>
      </c>
      <c r="Q1471" t="inlineStr">
        <is>
          <t>부대비용추가진행</t>
        </is>
      </c>
      <c r="AB1471" t="inlineStr">
        <is>
          <t>엔카</t>
        </is>
      </c>
      <c r="AC1471" t="n">
        <v>253000</v>
      </c>
      <c r="AD1471" t="n">
        <v>92000</v>
      </c>
      <c r="AE1471" t="n">
        <v>161000</v>
      </c>
      <c r="AF1471" t="n">
        <v>230000</v>
      </c>
      <c r="AG1471" t="n">
        <v>88964</v>
      </c>
      <c r="AH1471" t="n">
        <v>141036</v>
      </c>
      <c r="AI1471" t="n">
        <v>0</v>
      </c>
    </row>
    <row r="1472">
      <c r="A1472" t="inlineStr">
        <is>
          <t>2월</t>
        </is>
      </c>
      <c r="B1472" t="inlineStr">
        <is>
          <t>7주차</t>
        </is>
      </c>
      <c r="C1472" t="inlineStr">
        <is>
          <t>EP</t>
        </is>
      </c>
      <c r="D1472" s="28" t="n">
        <v>46062</v>
      </c>
      <c r="E1472" t="inlineStr">
        <is>
          <t>현대EP_fast</t>
        </is>
      </c>
      <c r="F1472" t="inlineStr">
        <is>
          <t>강민서</t>
        </is>
      </c>
      <c r="G1472" t="inlineStr">
        <is>
          <t>010-5166-5005</t>
        </is>
      </c>
      <c r="H1472" t="inlineStr">
        <is>
          <t>114고8915</t>
        </is>
      </c>
      <c r="I1472" t="n">
        <v>-19600000</v>
      </c>
      <c r="J1472" t="n">
        <v>0.093</v>
      </c>
      <c r="K1472" t="n">
        <v>1.76</v>
      </c>
      <c r="L1472" t="n">
        <v>0.14</v>
      </c>
      <c r="M1472" t="n">
        <v>1.62</v>
      </c>
      <c r="P1472" t="inlineStr">
        <is>
          <t>박소현</t>
        </is>
      </c>
      <c r="Q1472" t="inlineStr">
        <is>
          <t>선상담 /홈서비스 60개월</t>
        </is>
      </c>
      <c r="AB1472" t="inlineStr">
        <is>
          <t>홈서비스</t>
        </is>
      </c>
      <c r="AC1472" t="n">
        <v>-344960</v>
      </c>
      <c r="AD1472" t="n">
        <v>-27440</v>
      </c>
      <c r="AE1472" t="n">
        <v>-317520</v>
      </c>
      <c r="AF1472" t="n">
        <v>-313600</v>
      </c>
      <c r="AG1472" t="n">
        <v>-26534.48</v>
      </c>
      <c r="AH1472" t="n">
        <v>-287065.52</v>
      </c>
      <c r="AI1472" t="n">
        <v>0</v>
      </c>
    </row>
    <row r="1473">
      <c r="A1473" t="inlineStr">
        <is>
          <t>2월</t>
        </is>
      </c>
      <c r="B1473" t="inlineStr">
        <is>
          <t>9주차</t>
        </is>
      </c>
      <c r="C1473" t="inlineStr">
        <is>
          <t>EP</t>
        </is>
      </c>
      <c r="D1473" s="28" t="n">
        <v>46076</v>
      </c>
      <c r="E1473" t="inlineStr">
        <is>
          <t>현대EP_fast</t>
        </is>
      </c>
      <c r="F1473" t="inlineStr">
        <is>
          <t>유다니엘</t>
        </is>
      </c>
      <c r="G1473" t="inlineStr">
        <is>
          <t>010-3056-1783</t>
        </is>
      </c>
      <c r="H1473" t="inlineStr">
        <is>
          <t>42구6072</t>
        </is>
      </c>
      <c r="I1473" t="n">
        <v>21900000</v>
      </c>
      <c r="J1473" t="n">
        <v>0.076</v>
      </c>
      <c r="K1473" t="n">
        <v>1.76</v>
      </c>
      <c r="L1473" t="n">
        <v>0.4</v>
      </c>
      <c r="M1473" t="n">
        <v>1.36</v>
      </c>
      <c r="P1473" t="inlineStr">
        <is>
          <t>박현민</t>
        </is>
      </c>
      <c r="AB1473" t="inlineStr">
        <is>
          <t>엔카</t>
        </is>
      </c>
      <c r="AC1473" t="n">
        <v>385440</v>
      </c>
      <c r="AD1473" t="n">
        <v>87600</v>
      </c>
      <c r="AE1473" t="n">
        <v>297840</v>
      </c>
      <c r="AF1473" t="n">
        <v>350400</v>
      </c>
      <c r="AG1473" t="n">
        <v>84709.2</v>
      </c>
      <c r="AH1473" t="n">
        <v>265690.8</v>
      </c>
      <c r="AI1473" t="n">
        <v>0</v>
      </c>
    </row>
    <row r="1474">
      <c r="A1474" t="inlineStr">
        <is>
          <t>2월</t>
        </is>
      </c>
      <c r="B1474" t="inlineStr">
        <is>
          <t>7주차</t>
        </is>
      </c>
      <c r="C1474" t="inlineStr">
        <is>
          <t>IM</t>
        </is>
      </c>
      <c r="D1474" s="28" t="n">
        <v>46064</v>
      </c>
      <c r="E1474" t="inlineStr">
        <is>
          <t>IM캐피탈</t>
        </is>
      </c>
      <c r="F1474" t="inlineStr">
        <is>
          <t>박성훈</t>
        </is>
      </c>
      <c r="G1474" t="inlineStr">
        <is>
          <t>010-5201-2690</t>
        </is>
      </c>
      <c r="H1474" t="inlineStr">
        <is>
          <t>06고2091</t>
        </is>
      </c>
      <c r="I1474" t="n">
        <v>30000000</v>
      </c>
      <c r="J1474" t="n">
        <v>0.056</v>
      </c>
      <c r="K1474" t="n">
        <v>1.1</v>
      </c>
      <c r="L1474" t="n">
        <v>0.14</v>
      </c>
      <c r="M1474" t="n">
        <v>0.96</v>
      </c>
      <c r="P1474" t="inlineStr">
        <is>
          <t>장현경</t>
        </is>
      </c>
      <c r="Q1474" t="inlineStr">
        <is>
          <t>선상담 / 홈서비스 60개월</t>
        </is>
      </c>
      <c r="AB1474" t="inlineStr">
        <is>
          <t>홈서비스</t>
        </is>
      </c>
      <c r="AC1474" t="n">
        <v>330000</v>
      </c>
      <c r="AD1474" t="n">
        <v>42000</v>
      </c>
      <c r="AE1474" t="n">
        <v>288000</v>
      </c>
      <c r="AF1474" t="n">
        <v>300000</v>
      </c>
      <c r="AG1474" t="n">
        <v>40614</v>
      </c>
      <c r="AH1474" t="n">
        <v>259386</v>
      </c>
      <c r="AI1474" t="n">
        <v>0</v>
      </c>
    </row>
    <row r="1475">
      <c r="A1475" t="inlineStr">
        <is>
          <t>2월</t>
        </is>
      </c>
      <c r="B1475" t="inlineStr">
        <is>
          <t>9주차</t>
        </is>
      </c>
      <c r="C1475" t="inlineStr">
        <is>
          <t>IM</t>
        </is>
      </c>
      <c r="D1475" s="28" t="n">
        <v>46076</v>
      </c>
      <c r="E1475" t="inlineStr">
        <is>
          <t>IM캐피탈</t>
        </is>
      </c>
      <c r="F1475" t="inlineStr">
        <is>
          <t>이종광</t>
        </is>
      </c>
      <c r="G1475" t="inlineStr">
        <is>
          <t>010-4824-2494</t>
        </is>
      </c>
      <c r="H1475" t="inlineStr">
        <is>
          <t>262다5755</t>
        </is>
      </c>
      <c r="I1475" t="n">
        <v>20000000</v>
      </c>
      <c r="J1475" t="n">
        <v>0.039</v>
      </c>
      <c r="K1475" t="n">
        <v>1.1</v>
      </c>
      <c r="L1475" t="n">
        <v>0.4</v>
      </c>
      <c r="M1475" t="n">
        <v>0.7</v>
      </c>
      <c r="P1475" t="inlineStr">
        <is>
          <t>박현민</t>
        </is>
      </c>
      <c r="AB1475" t="inlineStr">
        <is>
          <t>엔카</t>
        </is>
      </c>
      <c r="AC1475" t="n">
        <v>220000</v>
      </c>
      <c r="AD1475" t="n">
        <v>80000</v>
      </c>
      <c r="AE1475" t="n">
        <v>140000</v>
      </c>
      <c r="AF1475" t="n">
        <v>200000</v>
      </c>
      <c r="AG1475" t="n">
        <v>77360</v>
      </c>
      <c r="AH1475" t="n">
        <v>122640</v>
      </c>
      <c r="AI1475" t="n">
        <v>0</v>
      </c>
    </row>
    <row r="1476">
      <c r="A1476" t="inlineStr">
        <is>
          <t>2월</t>
        </is>
      </c>
      <c r="B1476" t="inlineStr">
        <is>
          <t>9주차</t>
        </is>
      </c>
      <c r="C1476" t="inlineStr">
        <is>
          <t>IM</t>
        </is>
      </c>
      <c r="D1476" s="28" t="n">
        <v>46076</v>
      </c>
      <c r="E1476" t="inlineStr">
        <is>
          <t>IM캐피탈</t>
        </is>
      </c>
      <c r="F1476" t="inlineStr">
        <is>
          <t>김동민</t>
        </is>
      </c>
      <c r="G1476" t="inlineStr">
        <is>
          <t>010-5514-1531</t>
        </is>
      </c>
      <c r="H1476" t="inlineStr">
        <is>
          <t>13어0641</t>
        </is>
      </c>
      <c r="I1476" t="n">
        <v>4400000</v>
      </c>
      <c r="J1476" t="n">
        <v>0.059</v>
      </c>
      <c r="K1476" t="n">
        <v>1.1</v>
      </c>
      <c r="L1476" t="n">
        <v>0.14</v>
      </c>
      <c r="M1476" t="n">
        <v>0.96</v>
      </c>
      <c r="P1476" t="inlineStr">
        <is>
          <t>황채이</t>
        </is>
      </c>
      <c r="Q1476" t="inlineStr">
        <is>
          <t>홈서비스 48개월 / 공동명의</t>
        </is>
      </c>
      <c r="AB1476" t="inlineStr">
        <is>
          <t>홈서비스</t>
        </is>
      </c>
      <c r="AC1476" t="n">
        <v>48400</v>
      </c>
      <c r="AD1476" t="n">
        <v>6160</v>
      </c>
      <c r="AE1476" t="n">
        <v>42240</v>
      </c>
      <c r="AF1476" t="n">
        <v>44000</v>
      </c>
      <c r="AG1476" t="n">
        <v>5956.72</v>
      </c>
      <c r="AH1476" t="n">
        <v>38043.28</v>
      </c>
      <c r="AI1476" t="n">
        <v>0</v>
      </c>
    </row>
    <row r="1477">
      <c r="A1477" t="inlineStr">
        <is>
          <t>2월</t>
        </is>
      </c>
      <c r="B1477" t="inlineStr">
        <is>
          <t>8주차</t>
        </is>
      </c>
      <c r="C1477" t="inlineStr">
        <is>
          <t>OR</t>
        </is>
      </c>
      <c r="D1477" s="28" t="n">
        <v>46073</v>
      </c>
      <c r="E1477" t="inlineStr">
        <is>
          <t>오릭스</t>
        </is>
      </c>
      <c r="F1477" t="inlineStr">
        <is>
          <t>임정선</t>
        </is>
      </c>
      <c r="G1477" t="inlineStr">
        <is>
          <t>010-7164-2801</t>
        </is>
      </c>
      <c r="H1477" t="inlineStr">
        <is>
          <t>03모1577</t>
        </is>
      </c>
      <c r="I1477" t="n">
        <v>20000000</v>
      </c>
      <c r="J1477" t="n">
        <v>0.076</v>
      </c>
      <c r="K1477" t="n">
        <v>1.65</v>
      </c>
      <c r="L1477" t="n">
        <v>0.14</v>
      </c>
      <c r="M1477" t="n">
        <v>1.51</v>
      </c>
      <c r="P1477" t="inlineStr">
        <is>
          <t>구성완</t>
        </is>
      </c>
      <c r="Q1477" t="inlineStr">
        <is>
          <t>안심거래존건</t>
        </is>
      </c>
      <c r="AB1477" t="inlineStr">
        <is>
          <t>믿고</t>
        </is>
      </c>
      <c r="AC1477" t="n">
        <v>330000</v>
      </c>
      <c r="AD1477" t="n">
        <v>28000</v>
      </c>
      <c r="AE1477" t="n">
        <v>302000</v>
      </c>
      <c r="AF1477" t="n">
        <v>300000</v>
      </c>
      <c r="AG1477" t="n">
        <v>27076</v>
      </c>
      <c r="AH1477" t="n">
        <v>272924</v>
      </c>
      <c r="AI1477" t="n">
        <v>0</v>
      </c>
    </row>
    <row r="1478">
      <c r="A1478" t="inlineStr">
        <is>
          <t>2월</t>
        </is>
      </c>
      <c r="B1478" t="inlineStr">
        <is>
          <t>9주차</t>
        </is>
      </c>
      <c r="C1478" t="inlineStr">
        <is>
          <t>WC</t>
        </is>
      </c>
      <c r="D1478" s="28" t="n">
        <v>46076</v>
      </c>
      <c r="E1478" t="inlineStr">
        <is>
          <t>웰컴저축은행</t>
        </is>
      </c>
      <c r="F1478" t="inlineStr">
        <is>
          <t>남명동</t>
        </is>
      </c>
      <c r="G1478" t="inlineStr">
        <is>
          <t>010-5931-7137</t>
        </is>
      </c>
      <c r="H1478" t="inlineStr">
        <is>
          <t>45러4326</t>
        </is>
      </c>
      <c r="I1478" t="n">
        <v>25000000</v>
      </c>
      <c r="J1478" t="n">
        <v>0.159</v>
      </c>
      <c r="K1478" t="n">
        <v>1.21</v>
      </c>
      <c r="L1478" t="n">
        <v>0.14</v>
      </c>
      <c r="M1478" t="n">
        <v>1.07</v>
      </c>
      <c r="P1478" t="inlineStr">
        <is>
          <t>김수연</t>
        </is>
      </c>
      <c r="Q1478" t="inlineStr">
        <is>
          <t>홈서비스 60개월</t>
        </is>
      </c>
      <c r="AB1478" t="inlineStr">
        <is>
          <t>홈서비스</t>
        </is>
      </c>
      <c r="AC1478" t="n">
        <v>302500</v>
      </c>
      <c r="AD1478" t="n">
        <v>35000</v>
      </c>
      <c r="AE1478" t="n">
        <v>267500</v>
      </c>
      <c r="AF1478" t="n">
        <v>275000</v>
      </c>
      <c r="AG1478" t="n">
        <v>33845</v>
      </c>
      <c r="AH1478" t="n">
        <v>241155</v>
      </c>
      <c r="AI1478" t="n">
        <v>0</v>
      </c>
    </row>
    <row r="1479">
      <c r="A1479" t="inlineStr">
        <is>
          <t>2월</t>
        </is>
      </c>
      <c r="B1479" t="inlineStr">
        <is>
          <t>9주차</t>
        </is>
      </c>
      <c r="C1479" t="inlineStr">
        <is>
          <t>EP</t>
        </is>
      </c>
      <c r="D1479" s="28" t="n">
        <v>46076</v>
      </c>
      <c r="E1479" t="inlineStr">
        <is>
          <t>현대EP_fast</t>
        </is>
      </c>
      <c r="F1479" t="inlineStr">
        <is>
          <t>임영화</t>
        </is>
      </c>
      <c r="G1479" t="inlineStr">
        <is>
          <t>010-9173-5610</t>
        </is>
      </c>
      <c r="H1479" t="inlineStr">
        <is>
          <t>85가9110</t>
        </is>
      </c>
      <c r="I1479" t="n">
        <v>9800000</v>
      </c>
      <c r="J1479" t="n">
        <v>0.08500000000000001</v>
      </c>
      <c r="K1479" t="n">
        <v>1.76</v>
      </c>
      <c r="L1479" t="n">
        <v>0.14</v>
      </c>
      <c r="M1479" t="n">
        <v>1.62</v>
      </c>
      <c r="P1479" t="inlineStr">
        <is>
          <t>정세빈</t>
        </is>
      </c>
      <c r="Q1479" t="inlineStr">
        <is>
          <t>홈서비스 60개월</t>
        </is>
      </c>
      <c r="AB1479" t="inlineStr">
        <is>
          <t>홈서비스</t>
        </is>
      </c>
      <c r="AC1479" t="n">
        <v>172480</v>
      </c>
      <c r="AD1479" t="n">
        <v>13720</v>
      </c>
      <c r="AE1479" t="n">
        <v>158760</v>
      </c>
      <c r="AF1479" t="n">
        <v>156800</v>
      </c>
      <c r="AG1479" t="n">
        <v>13267.24</v>
      </c>
      <c r="AH1479" t="n">
        <v>143532.76</v>
      </c>
    </row>
    <row r="1480">
      <c r="A1480" t="inlineStr">
        <is>
          <t>2월</t>
        </is>
      </c>
      <c r="B1480" t="inlineStr">
        <is>
          <t>9주차</t>
        </is>
      </c>
      <c r="C1480" t="inlineStr">
        <is>
          <t>IM</t>
        </is>
      </c>
      <c r="D1480" s="28" t="n">
        <v>46076</v>
      </c>
      <c r="E1480" t="inlineStr">
        <is>
          <t>IM캐피탈</t>
        </is>
      </c>
      <c r="F1480" t="inlineStr">
        <is>
          <t>심은경</t>
        </is>
      </c>
      <c r="G1480" t="inlineStr">
        <is>
          <t>010-9288-5368</t>
        </is>
      </c>
      <c r="H1480" t="inlineStr">
        <is>
          <t>41저8118</t>
        </is>
      </c>
      <c r="I1480" t="n">
        <v>24800000</v>
      </c>
      <c r="J1480" t="n">
        <v>0.049</v>
      </c>
      <c r="K1480" t="n">
        <v>1.1</v>
      </c>
      <c r="L1480" t="n">
        <v>0.14</v>
      </c>
      <c r="M1480" t="n">
        <v>0.96</v>
      </c>
      <c r="P1480" t="inlineStr">
        <is>
          <t>정세빈</t>
        </is>
      </c>
      <c r="Q1480" t="inlineStr">
        <is>
          <t>홈서비스 60개월</t>
        </is>
      </c>
      <c r="AB1480" t="inlineStr">
        <is>
          <t>홈서비스</t>
        </is>
      </c>
      <c r="AC1480" t="n">
        <v>272800</v>
      </c>
      <c r="AD1480" t="n">
        <v>34720</v>
      </c>
      <c r="AE1480" t="n">
        <v>238080</v>
      </c>
      <c r="AF1480" t="n">
        <v>248000</v>
      </c>
      <c r="AG1480" t="n">
        <v>33574.24</v>
      </c>
      <c r="AH1480" t="n">
        <v>214425.76</v>
      </c>
      <c r="AI1480" t="n">
        <v>0</v>
      </c>
    </row>
    <row r="1481">
      <c r="A1481" t="inlineStr">
        <is>
          <t>2월</t>
        </is>
      </c>
      <c r="B1481" t="inlineStr">
        <is>
          <t>8주차</t>
        </is>
      </c>
      <c r="C1481" t="inlineStr">
        <is>
          <t>IM</t>
        </is>
      </c>
      <c r="D1481" s="28" t="n">
        <v>46072</v>
      </c>
      <c r="E1481" t="inlineStr">
        <is>
          <t>IM캐피탈</t>
        </is>
      </c>
      <c r="F1481" t="inlineStr">
        <is>
          <t>정홍주</t>
        </is>
      </c>
      <c r="G1481" t="inlineStr">
        <is>
          <t>010-5091-2957</t>
        </is>
      </c>
      <c r="H1481" t="inlineStr">
        <is>
          <t>199가9109</t>
        </is>
      </c>
      <c r="I1481" t="n">
        <v>20000000</v>
      </c>
      <c r="J1481" t="n">
        <v>0.056</v>
      </c>
      <c r="K1481" t="n">
        <v>1.1</v>
      </c>
      <c r="L1481" t="n">
        <v>0.14</v>
      </c>
      <c r="M1481" t="n">
        <v>0.96</v>
      </c>
      <c r="P1481" t="inlineStr">
        <is>
          <t>김나윤</t>
        </is>
      </c>
      <c r="Q1481" t="inlineStr">
        <is>
          <t>홈서비스 60개월</t>
        </is>
      </c>
      <c r="AB1481" t="inlineStr">
        <is>
          <t>홈서비스</t>
        </is>
      </c>
      <c r="AC1481" t="n">
        <v>220000</v>
      </c>
      <c r="AD1481" t="n">
        <v>28000</v>
      </c>
      <c r="AE1481" t="n">
        <v>192000</v>
      </c>
      <c r="AF1481" t="n">
        <v>200000</v>
      </c>
      <c r="AG1481" t="n">
        <v>27076</v>
      </c>
      <c r="AH1481" t="n">
        <v>172924</v>
      </c>
    </row>
    <row r="1482">
      <c r="A1482" t="inlineStr">
        <is>
          <t>2월</t>
        </is>
      </c>
      <c r="B1482" t="inlineStr">
        <is>
          <t>9주차</t>
        </is>
      </c>
      <c r="C1482" t="inlineStr">
        <is>
          <t>IM</t>
        </is>
      </c>
      <c r="D1482" s="28" t="n">
        <v>46076</v>
      </c>
      <c r="E1482" t="inlineStr">
        <is>
          <t>IM캐피탈</t>
        </is>
      </c>
      <c r="F1482" t="inlineStr">
        <is>
          <t>김시우</t>
        </is>
      </c>
      <c r="G1482" t="inlineStr">
        <is>
          <t>010-5652-0211</t>
        </is>
      </c>
      <c r="H1482" t="inlineStr">
        <is>
          <t>60두4537</t>
        </is>
      </c>
      <c r="I1482" t="n">
        <v>27800000</v>
      </c>
      <c r="J1482" t="n">
        <v>0.049</v>
      </c>
      <c r="K1482" t="n">
        <v>1.21</v>
      </c>
      <c r="L1482" t="n">
        <v>0.14</v>
      </c>
      <c r="M1482" t="n">
        <v>1.07</v>
      </c>
      <c r="P1482" t="inlineStr">
        <is>
          <t>박보람</t>
        </is>
      </c>
      <c r="Q1482" t="inlineStr">
        <is>
          <t>선상담 / 홈서비스 60개월 / 공동명의</t>
        </is>
      </c>
      <c r="AB1482" t="inlineStr">
        <is>
          <t>홈서비스</t>
        </is>
      </c>
      <c r="AC1482" t="n">
        <v>336380</v>
      </c>
      <c r="AD1482" t="n">
        <v>38920</v>
      </c>
      <c r="AE1482" t="n">
        <v>297460</v>
      </c>
      <c r="AF1482" t="n">
        <v>305800</v>
      </c>
      <c r="AG1482" t="n">
        <v>37635.64</v>
      </c>
      <c r="AH1482" t="n">
        <v>268164.36</v>
      </c>
    </row>
    <row r="1483">
      <c r="A1483" t="inlineStr">
        <is>
          <t>2월</t>
        </is>
      </c>
      <c r="B1483" t="inlineStr">
        <is>
          <t>8주차</t>
        </is>
      </c>
      <c r="C1483" t="inlineStr">
        <is>
          <t>EP</t>
        </is>
      </c>
      <c r="D1483" s="28" t="n">
        <v>46072</v>
      </c>
      <c r="E1483" t="inlineStr">
        <is>
          <t>현대EP_fast</t>
        </is>
      </c>
      <c r="F1483" t="inlineStr">
        <is>
          <t>임현재</t>
        </is>
      </c>
      <c r="G1483" t="inlineStr">
        <is>
          <t>010-2178-9089</t>
        </is>
      </c>
      <c r="H1483" t="inlineStr">
        <is>
          <t>163나5566</t>
        </is>
      </c>
      <c r="I1483" t="n">
        <v>-15000000</v>
      </c>
      <c r="J1483" t="n">
        <v>0.111</v>
      </c>
      <c r="K1483" t="n">
        <v>1.76</v>
      </c>
      <c r="L1483" t="n">
        <v>0.4</v>
      </c>
      <c r="M1483" t="n">
        <v>1.36</v>
      </c>
      <c r="P1483" t="inlineStr">
        <is>
          <t>장진경</t>
        </is>
      </c>
      <c r="Q1483" t="inlineStr">
        <is>
          <t xml:space="preserve"> 금리인하 0.5% 적용건 ( 11.6 &gt; 11.1 )</t>
        </is>
      </c>
      <c r="AB1483" t="inlineStr">
        <is>
          <t>엔카</t>
        </is>
      </c>
      <c r="AC1483" t="n">
        <v>-264000</v>
      </c>
      <c r="AD1483" t="n">
        <v>-60000</v>
      </c>
      <c r="AE1483" t="n">
        <v>-204000</v>
      </c>
      <c r="AF1483" t="n">
        <v>-240000</v>
      </c>
      <c r="AG1483" t="n">
        <v>-58020</v>
      </c>
      <c r="AH1483" t="n">
        <v>-181980</v>
      </c>
    </row>
    <row r="1484">
      <c r="A1484" t="inlineStr">
        <is>
          <t>2월</t>
        </is>
      </c>
      <c r="B1484" t="inlineStr">
        <is>
          <t>9주차</t>
        </is>
      </c>
      <c r="C1484" t="inlineStr">
        <is>
          <t>EP</t>
        </is>
      </c>
      <c r="D1484" s="28" t="n">
        <v>46076</v>
      </c>
      <c r="E1484" t="inlineStr">
        <is>
          <t>현대EP_fast</t>
        </is>
      </c>
      <c r="F1484" t="inlineStr">
        <is>
          <t>노형택</t>
        </is>
      </c>
      <c r="G1484" t="inlineStr">
        <is>
          <t>010-2926-3714</t>
        </is>
      </c>
      <c r="H1484" t="inlineStr">
        <is>
          <t>02구2621</t>
        </is>
      </c>
      <c r="I1484" t="n">
        <v>10900000</v>
      </c>
      <c r="J1484" t="n">
        <v>0.089</v>
      </c>
      <c r="K1484" t="n">
        <v>1.76</v>
      </c>
      <c r="L1484" t="n">
        <v>0.14</v>
      </c>
      <c r="M1484" t="n">
        <v>1.62</v>
      </c>
      <c r="P1484" t="inlineStr">
        <is>
          <t>최형주</t>
        </is>
      </c>
      <c r="Q1484" t="inlineStr">
        <is>
          <t>홈서비스 60개월</t>
        </is>
      </c>
      <c r="AB1484" t="inlineStr">
        <is>
          <t>홈서비스</t>
        </is>
      </c>
      <c r="AC1484" t="n">
        <v>191840</v>
      </c>
      <c r="AD1484" t="n">
        <v>15260</v>
      </c>
      <c r="AE1484" t="n">
        <v>176580</v>
      </c>
      <c r="AF1484" t="n">
        <v>174400</v>
      </c>
      <c r="AG1484" t="n">
        <v>14756.42</v>
      </c>
      <c r="AH1484" t="n">
        <v>159643.58</v>
      </c>
    </row>
    <row r="1485">
      <c r="A1485" t="inlineStr">
        <is>
          <t>2월</t>
        </is>
      </c>
      <c r="B1485" t="inlineStr">
        <is>
          <t>9주차</t>
        </is>
      </c>
      <c r="C1485" t="inlineStr">
        <is>
          <t>IM</t>
        </is>
      </c>
      <c r="D1485" s="28" t="n">
        <v>46076</v>
      </c>
      <c r="E1485" t="inlineStr">
        <is>
          <t>IM캐피탈</t>
        </is>
      </c>
      <c r="F1485" t="inlineStr">
        <is>
          <t>박세직</t>
        </is>
      </c>
      <c r="G1485" t="inlineStr">
        <is>
          <t>010-7427-9907</t>
        </is>
      </c>
      <c r="H1485" t="inlineStr">
        <is>
          <t>111서8359</t>
        </is>
      </c>
      <c r="I1485" t="n">
        <v>33300000</v>
      </c>
      <c r="J1485" t="n">
        <v>0.066</v>
      </c>
      <c r="K1485" t="n">
        <v>1.1</v>
      </c>
      <c r="L1485" t="n">
        <v>0.14</v>
      </c>
      <c r="M1485" t="n">
        <v>0.96</v>
      </c>
      <c r="P1485" t="inlineStr">
        <is>
          <t>박현민</t>
        </is>
      </c>
      <c r="Q1485" t="inlineStr">
        <is>
          <t>홈서비스 60개월</t>
        </is>
      </c>
      <c r="AB1485" t="inlineStr">
        <is>
          <t>홈서비스</t>
        </is>
      </c>
      <c r="AC1485" t="n">
        <v>366300</v>
      </c>
      <c r="AD1485" t="n">
        <v>46620</v>
      </c>
      <c r="AE1485" t="n">
        <v>319680</v>
      </c>
      <c r="AF1485" t="n">
        <v>333000</v>
      </c>
      <c r="AG1485" t="n">
        <v>45081.54</v>
      </c>
      <c r="AH1485" t="n">
        <v>287918.46</v>
      </c>
    </row>
    <row r="1486">
      <c r="A1486" t="inlineStr">
        <is>
          <t>2월</t>
        </is>
      </c>
      <c r="B1486" t="inlineStr">
        <is>
          <t>9주차</t>
        </is>
      </c>
      <c r="C1486" t="inlineStr">
        <is>
          <t>EP</t>
        </is>
      </c>
      <c r="D1486" s="28" t="n">
        <v>46076</v>
      </c>
      <c r="E1486" t="inlineStr">
        <is>
          <t>현대EP_fast</t>
        </is>
      </c>
      <c r="F1486" t="inlineStr">
        <is>
          <t>박성수</t>
        </is>
      </c>
      <c r="G1486" t="inlineStr">
        <is>
          <t>010-8036-5882</t>
        </is>
      </c>
      <c r="H1486" t="inlineStr">
        <is>
          <t>07모3403</t>
        </is>
      </c>
      <c r="I1486" t="n">
        <v>9500000</v>
      </c>
      <c r="J1486" t="n">
        <v>0.08</v>
      </c>
      <c r="K1486" t="n">
        <v>1.76</v>
      </c>
      <c r="L1486" t="n">
        <v>0.14</v>
      </c>
      <c r="M1486" t="n">
        <v>1.62</v>
      </c>
      <c r="P1486" t="inlineStr">
        <is>
          <t>정하은</t>
        </is>
      </c>
      <c r="Q1486" t="inlineStr">
        <is>
          <t>홈서비스 60개월 / 금리인하 0.5% 적용건 ( 8.5 &gt;8 )</t>
        </is>
      </c>
      <c r="AB1486" t="inlineStr">
        <is>
          <t>홈서비스</t>
        </is>
      </c>
      <c r="AC1486" t="n">
        <v>167200</v>
      </c>
      <c r="AD1486" t="n">
        <v>13300</v>
      </c>
      <c r="AE1486" t="n">
        <v>153900</v>
      </c>
      <c r="AF1486" t="n">
        <v>152000</v>
      </c>
      <c r="AG1486" t="n">
        <v>12861.1</v>
      </c>
      <c r="AH1486" t="n">
        <v>139138.9</v>
      </c>
      <c r="AI1486" t="n">
        <v>0</v>
      </c>
    </row>
    <row r="1487">
      <c r="A1487" t="inlineStr">
        <is>
          <t>2월</t>
        </is>
      </c>
      <c r="B1487" t="inlineStr">
        <is>
          <t>9주차</t>
        </is>
      </c>
      <c r="C1487" t="inlineStr">
        <is>
          <t>EP</t>
        </is>
      </c>
      <c r="D1487" s="28" t="n">
        <v>46078</v>
      </c>
      <c r="E1487" t="inlineStr">
        <is>
          <t>현대EP</t>
        </is>
      </c>
      <c r="F1487" t="inlineStr">
        <is>
          <t>박진수</t>
        </is>
      </c>
      <c r="G1487" t="inlineStr">
        <is>
          <t>010-2966-8263</t>
        </is>
      </c>
      <c r="H1487" t="inlineStr">
        <is>
          <t>357마1617</t>
        </is>
      </c>
      <c r="I1487" t="n">
        <v>15000000</v>
      </c>
      <c r="J1487" t="n">
        <v>0.068</v>
      </c>
      <c r="K1487" t="n">
        <v>1.21</v>
      </c>
      <c r="L1487" t="n">
        <v>0.14</v>
      </c>
      <c r="M1487" t="n">
        <v>1.07</v>
      </c>
      <c r="P1487" t="inlineStr">
        <is>
          <t>김나윤</t>
        </is>
      </c>
      <c r="Q1487" t="inlineStr">
        <is>
          <t>홈서비스 60개월</t>
        </is>
      </c>
      <c r="AB1487" t="inlineStr">
        <is>
          <t>홈서비스</t>
        </is>
      </c>
      <c r="AC1487" t="n">
        <v>181500</v>
      </c>
      <c r="AD1487" t="n">
        <v>21000</v>
      </c>
      <c r="AE1487" t="n">
        <v>160500</v>
      </c>
      <c r="AF1487" t="n">
        <v>165000</v>
      </c>
      <c r="AG1487" t="n">
        <v>20307</v>
      </c>
      <c r="AH1487" t="n">
        <v>144693</v>
      </c>
      <c r="AI1487" t="n">
        <v>0</v>
      </c>
    </row>
    <row r="1488">
      <c r="A1488" t="inlineStr">
        <is>
          <t>2월</t>
        </is>
      </c>
      <c r="B1488" t="inlineStr">
        <is>
          <t>8주차</t>
        </is>
      </c>
      <c r="C1488" t="inlineStr">
        <is>
          <t>EP</t>
        </is>
      </c>
      <c r="D1488" s="28" t="n">
        <v>46073</v>
      </c>
      <c r="E1488" t="inlineStr">
        <is>
          <t>현대EP_fast</t>
        </is>
      </c>
      <c r="F1488" t="inlineStr">
        <is>
          <t>김지안</t>
        </is>
      </c>
      <c r="G1488" t="inlineStr">
        <is>
          <t>010-5604-5766</t>
        </is>
      </c>
      <c r="H1488" t="inlineStr">
        <is>
          <t>180누6254</t>
        </is>
      </c>
      <c r="I1488" t="n">
        <v>29900000</v>
      </c>
      <c r="J1488" t="n">
        <v>0.11</v>
      </c>
      <c r="K1488" t="n">
        <v>1.21</v>
      </c>
      <c r="L1488" t="n">
        <v>0.14</v>
      </c>
      <c r="M1488" t="n">
        <v>1.07</v>
      </c>
      <c r="P1488" t="inlineStr">
        <is>
          <t>장현경</t>
        </is>
      </c>
      <c r="Q1488" t="inlineStr">
        <is>
          <t>선상담 홈서비스 60개월 / 금리인하 0.5% 적용건 ( 11.5 &gt; 11)</t>
        </is>
      </c>
      <c r="AB1488" t="inlineStr">
        <is>
          <t>홈서비스</t>
        </is>
      </c>
      <c r="AC1488" t="n">
        <v>361790</v>
      </c>
      <c r="AD1488" t="n">
        <v>41860</v>
      </c>
      <c r="AE1488" t="n">
        <v>319930</v>
      </c>
      <c r="AF1488" t="n">
        <v>328900</v>
      </c>
      <c r="AG1488" t="n">
        <v>40478.62</v>
      </c>
      <c r="AH1488" t="n">
        <v>288421.38</v>
      </c>
    </row>
    <row r="1489">
      <c r="A1489" t="inlineStr">
        <is>
          <t>2월</t>
        </is>
      </c>
      <c r="B1489" t="inlineStr">
        <is>
          <t>9주차</t>
        </is>
      </c>
      <c r="C1489" t="inlineStr">
        <is>
          <t>EP</t>
        </is>
      </c>
      <c r="D1489" s="28" t="n">
        <v>46076</v>
      </c>
      <c r="E1489" t="inlineStr">
        <is>
          <t>현대EP_fast</t>
        </is>
      </c>
      <c r="F1489" t="inlineStr">
        <is>
          <t>김환욱</t>
        </is>
      </c>
      <c r="G1489" t="inlineStr">
        <is>
          <t>010-9556-6632</t>
        </is>
      </c>
      <c r="H1489" t="inlineStr">
        <is>
          <t>364나5385</t>
        </is>
      </c>
      <c r="I1489" t="n">
        <v>15000000</v>
      </c>
      <c r="J1489" t="n">
        <v>0.068</v>
      </c>
      <c r="K1489" t="n">
        <v>1.76</v>
      </c>
      <c r="L1489" t="n">
        <v>0.14</v>
      </c>
      <c r="M1489" t="n">
        <v>1.62</v>
      </c>
      <c r="P1489" t="inlineStr">
        <is>
          <t>임대경</t>
        </is>
      </c>
      <c r="Q1489" t="inlineStr">
        <is>
          <t>홈서비스 60개월</t>
        </is>
      </c>
      <c r="AB1489" t="inlineStr">
        <is>
          <t>홈서비스</t>
        </is>
      </c>
      <c r="AC1489" t="n">
        <v>264000</v>
      </c>
      <c r="AD1489" t="n">
        <v>21000</v>
      </c>
      <c r="AE1489" t="n">
        <v>243000</v>
      </c>
      <c r="AF1489" t="n">
        <v>240000</v>
      </c>
      <c r="AG1489" t="n">
        <v>20307</v>
      </c>
      <c r="AH1489" t="n">
        <v>219693</v>
      </c>
    </row>
    <row r="1490">
      <c r="A1490" t="inlineStr">
        <is>
          <t>2월</t>
        </is>
      </c>
      <c r="B1490" t="inlineStr">
        <is>
          <t>9주차</t>
        </is>
      </c>
      <c r="C1490" t="inlineStr">
        <is>
          <t>IM</t>
        </is>
      </c>
      <c r="D1490" s="28" t="n">
        <v>46076</v>
      </c>
      <c r="E1490" t="inlineStr">
        <is>
          <t>IM캐피탈</t>
        </is>
      </c>
      <c r="F1490" t="inlineStr">
        <is>
          <t>온대경</t>
        </is>
      </c>
      <c r="G1490" t="inlineStr">
        <is>
          <t>010-5540-8525</t>
        </is>
      </c>
      <c r="H1490" t="inlineStr">
        <is>
          <t>35노0490</t>
        </is>
      </c>
      <c r="I1490" t="n">
        <v>3000000</v>
      </c>
      <c r="J1490" t="n">
        <v>0.056</v>
      </c>
      <c r="K1490" t="n">
        <v>1.1</v>
      </c>
      <c r="L1490" t="n">
        <v>0.14</v>
      </c>
      <c r="M1490" t="n">
        <v>0.96</v>
      </c>
      <c r="P1490" t="inlineStr">
        <is>
          <t>박현민</t>
        </is>
      </c>
      <c r="Q1490" t="inlineStr">
        <is>
          <t>홈서비스 48개월</t>
        </is>
      </c>
      <c r="AB1490" t="inlineStr">
        <is>
          <t>홈서비스</t>
        </is>
      </c>
      <c r="AC1490" t="n">
        <v>33000</v>
      </c>
      <c r="AD1490" t="n">
        <v>4200</v>
      </c>
      <c r="AE1490" t="n">
        <v>28800</v>
      </c>
      <c r="AF1490" t="n">
        <v>30000</v>
      </c>
      <c r="AG1490" t="n">
        <v>4061.4</v>
      </c>
      <c r="AH1490" t="n">
        <v>25938.6</v>
      </c>
      <c r="AI1490" t="n">
        <v>0</v>
      </c>
    </row>
    <row r="1491">
      <c r="A1491" t="inlineStr">
        <is>
          <t>2월</t>
        </is>
      </c>
      <c r="B1491" t="inlineStr">
        <is>
          <t>9주차</t>
        </is>
      </c>
      <c r="C1491" t="inlineStr">
        <is>
          <t>EP</t>
        </is>
      </c>
      <c r="D1491" s="28" t="n">
        <v>46076</v>
      </c>
      <c r="E1491" t="inlineStr">
        <is>
          <t>제이비EP</t>
        </is>
      </c>
      <c r="F1491" t="inlineStr">
        <is>
          <t>LeeYongJin</t>
        </is>
      </c>
      <c r="G1491" t="inlineStr">
        <is>
          <t>010-5275-7996</t>
        </is>
      </c>
      <c r="H1491" t="inlineStr">
        <is>
          <t>45다1738</t>
        </is>
      </c>
      <c r="I1491" t="n">
        <v>21300000</v>
      </c>
      <c r="J1491" t="n">
        <v>0.092</v>
      </c>
      <c r="K1491" t="n">
        <v>1.21</v>
      </c>
      <c r="L1491" t="n">
        <v>0.4</v>
      </c>
      <c r="M1491" t="n">
        <v>0.8100000000000001</v>
      </c>
      <c r="P1491" t="inlineStr">
        <is>
          <t>박현민</t>
        </is>
      </c>
      <c r="AB1491" t="inlineStr">
        <is>
          <t>엔카</t>
        </is>
      </c>
      <c r="AC1491" t="n">
        <v>257730</v>
      </c>
      <c r="AD1491" t="n">
        <v>85200</v>
      </c>
      <c r="AE1491" t="n">
        <v>172530</v>
      </c>
      <c r="AF1491" t="n">
        <v>234300</v>
      </c>
      <c r="AG1491" t="n">
        <v>82388.39999999999</v>
      </c>
      <c r="AH1491" t="n">
        <v>151911.6</v>
      </c>
      <c r="AI1491" t="n">
        <v>0</v>
      </c>
    </row>
    <row r="1492">
      <c r="A1492" t="inlineStr">
        <is>
          <t>2월</t>
        </is>
      </c>
      <c r="B1492" t="inlineStr">
        <is>
          <t>9주차</t>
        </is>
      </c>
      <c r="C1492" t="inlineStr">
        <is>
          <t>EP</t>
        </is>
      </c>
      <c r="D1492" s="28" t="n">
        <v>46079</v>
      </c>
      <c r="E1492" t="inlineStr">
        <is>
          <t>현대EP_fast</t>
        </is>
      </c>
      <c r="F1492" t="inlineStr">
        <is>
          <t>최준봉</t>
        </is>
      </c>
      <c r="G1492" t="inlineStr">
        <is>
          <t>010-3719-4792</t>
        </is>
      </c>
      <c r="H1492" t="inlineStr">
        <is>
          <t>130오2290</t>
        </is>
      </c>
      <c r="I1492" t="n">
        <v>15500000</v>
      </c>
      <c r="J1492" t="n">
        <v>0.097</v>
      </c>
      <c r="K1492" t="n">
        <v>1.76</v>
      </c>
      <c r="L1492" t="n">
        <v>0.14</v>
      </c>
      <c r="M1492" t="n">
        <v>1.62</v>
      </c>
      <c r="P1492" t="inlineStr">
        <is>
          <t>황채이</t>
        </is>
      </c>
      <c r="Q1492" t="inlineStr">
        <is>
          <t>홈서비스 60개월 / 금리인하 0.5% 적용건 (10.2 &gt; 9.7)</t>
        </is>
      </c>
      <c r="AB1492" t="inlineStr">
        <is>
          <t>홈서비스</t>
        </is>
      </c>
      <c r="AC1492" t="n">
        <v>272800</v>
      </c>
      <c r="AD1492" t="n">
        <v>21700</v>
      </c>
      <c r="AE1492" t="n">
        <v>251100</v>
      </c>
      <c r="AF1492" t="n">
        <v>248000</v>
      </c>
      <c r="AG1492" t="n">
        <v>20983.9</v>
      </c>
      <c r="AH1492" t="n">
        <v>227016.1</v>
      </c>
    </row>
    <row r="1493">
      <c r="A1493" t="inlineStr">
        <is>
          <t>2월</t>
        </is>
      </c>
      <c r="B1493" t="inlineStr">
        <is>
          <t>9주차</t>
        </is>
      </c>
      <c r="C1493" t="inlineStr">
        <is>
          <t>EP</t>
        </is>
      </c>
      <c r="D1493" s="28" t="n">
        <v>46078</v>
      </c>
      <c r="E1493" t="inlineStr">
        <is>
          <t>현대EP_fast</t>
        </is>
      </c>
      <c r="F1493" t="inlineStr">
        <is>
          <t>반경환</t>
        </is>
      </c>
      <c r="G1493" t="inlineStr">
        <is>
          <t>010-3019-4845</t>
        </is>
      </c>
      <c r="H1493" t="inlineStr">
        <is>
          <t>21수1746</t>
        </is>
      </c>
      <c r="I1493" t="n">
        <v>12900000</v>
      </c>
      <c r="J1493" t="n">
        <v>0.06900000000000001</v>
      </c>
      <c r="K1493" t="n">
        <v>1.76</v>
      </c>
      <c r="L1493" t="n">
        <v>0.4</v>
      </c>
      <c r="M1493" t="n">
        <v>1.36</v>
      </c>
      <c r="P1493" t="inlineStr">
        <is>
          <t>장현경</t>
        </is>
      </c>
      <c r="AB1493" t="inlineStr">
        <is>
          <t>엔카</t>
        </is>
      </c>
      <c r="AC1493" t="n">
        <v>227040</v>
      </c>
      <c r="AD1493" t="n">
        <v>51600</v>
      </c>
      <c r="AE1493" t="n">
        <v>175440</v>
      </c>
      <c r="AF1493" t="n">
        <v>206400</v>
      </c>
      <c r="AG1493" t="n">
        <v>49897.2</v>
      </c>
      <c r="AH1493" t="n">
        <v>156502.8</v>
      </c>
      <c r="AI1493" t="n">
        <v>0</v>
      </c>
    </row>
    <row r="1494">
      <c r="A1494" t="inlineStr">
        <is>
          <t>2월</t>
        </is>
      </c>
      <c r="B1494" t="inlineStr">
        <is>
          <t>9주차</t>
        </is>
      </c>
      <c r="C1494" t="inlineStr">
        <is>
          <t>EP</t>
        </is>
      </c>
      <c r="D1494" s="28" t="n">
        <v>46077</v>
      </c>
      <c r="E1494" t="inlineStr">
        <is>
          <t>현대EP_fast</t>
        </is>
      </c>
      <c r="F1494" t="inlineStr">
        <is>
          <t>김상현</t>
        </is>
      </c>
      <c r="G1494" t="inlineStr">
        <is>
          <t>010-2231-9988</t>
        </is>
      </c>
      <c r="H1494" t="inlineStr">
        <is>
          <t>77서2508</t>
        </is>
      </c>
      <c r="I1494" t="n">
        <v>13500000</v>
      </c>
      <c r="J1494" t="n">
        <v>0.083</v>
      </c>
      <c r="K1494" t="n">
        <v>1.76</v>
      </c>
      <c r="L1494" t="n">
        <v>0.14</v>
      </c>
      <c r="M1494" t="n">
        <v>1.62</v>
      </c>
      <c r="P1494" t="inlineStr">
        <is>
          <t>정세빈</t>
        </is>
      </c>
      <c r="Q1494" t="inlineStr">
        <is>
          <t>홈서비스 36개월</t>
        </is>
      </c>
      <c r="AB1494" t="inlineStr">
        <is>
          <t>홈서비스</t>
        </is>
      </c>
      <c r="AC1494" t="n">
        <v>237600</v>
      </c>
      <c r="AD1494" t="n">
        <v>18900</v>
      </c>
      <c r="AE1494" t="n">
        <v>218700</v>
      </c>
      <c r="AF1494" t="n">
        <v>216000</v>
      </c>
      <c r="AG1494" t="n">
        <v>18276.3</v>
      </c>
      <c r="AH1494" t="n">
        <v>197723.7</v>
      </c>
      <c r="AI1494" t="n">
        <v>0</v>
      </c>
    </row>
    <row r="1495">
      <c r="A1495" t="inlineStr">
        <is>
          <t>2월</t>
        </is>
      </c>
      <c r="B1495" t="inlineStr">
        <is>
          <t>9주차</t>
        </is>
      </c>
      <c r="C1495" t="inlineStr">
        <is>
          <t>OR</t>
        </is>
      </c>
      <c r="D1495" s="28" t="n">
        <v>46076</v>
      </c>
      <c r="E1495" t="inlineStr">
        <is>
          <t>오릭스</t>
        </is>
      </c>
      <c r="F1495" t="inlineStr">
        <is>
          <t>최중호</t>
        </is>
      </c>
      <c r="G1495" t="inlineStr">
        <is>
          <t>010-4811-8041</t>
        </is>
      </c>
      <c r="H1495" t="inlineStr">
        <is>
          <t>98고8371</t>
        </is>
      </c>
      <c r="I1495" t="n">
        <v>49000000</v>
      </c>
      <c r="J1495" t="n">
        <v>0.052</v>
      </c>
      <c r="K1495" t="n">
        <v>1.65</v>
      </c>
      <c r="L1495" t="n">
        <v>0.4</v>
      </c>
      <c r="M1495" t="n">
        <v>1.25</v>
      </c>
      <c r="P1495" t="inlineStr">
        <is>
          <t>정하은</t>
        </is>
      </c>
      <c r="Q1495" t="inlineStr">
        <is>
          <t>수기대출실행</t>
        </is>
      </c>
      <c r="AB1495" t="inlineStr">
        <is>
          <t>엔카</t>
        </is>
      </c>
      <c r="AC1495" t="n">
        <v>808500</v>
      </c>
      <c r="AD1495" t="n">
        <v>196000</v>
      </c>
      <c r="AE1495" t="n">
        <v>612500</v>
      </c>
      <c r="AF1495" t="n">
        <v>735000</v>
      </c>
      <c r="AG1495" t="n">
        <v>189532</v>
      </c>
      <c r="AH1495" t="n">
        <v>545468</v>
      </c>
      <c r="AI1495" t="n">
        <v>0</v>
      </c>
    </row>
    <row r="1496">
      <c r="A1496" t="inlineStr">
        <is>
          <t>2월</t>
        </is>
      </c>
      <c r="B1496" t="inlineStr">
        <is>
          <t>9주차</t>
        </is>
      </c>
      <c r="C1496" t="inlineStr">
        <is>
          <t>IM</t>
        </is>
      </c>
      <c r="D1496" s="28" t="n">
        <v>46078</v>
      </c>
      <c r="E1496" t="inlineStr">
        <is>
          <t>IM캐피탈</t>
        </is>
      </c>
      <c r="F1496" t="inlineStr">
        <is>
          <t>윤영찬</t>
        </is>
      </c>
      <c r="G1496" t="inlineStr">
        <is>
          <t>010-4000-5439</t>
        </is>
      </c>
      <c r="H1496" t="inlineStr">
        <is>
          <t>233버6164</t>
        </is>
      </c>
      <c r="I1496" t="n">
        <v>40000000</v>
      </c>
      <c r="J1496" t="n">
        <v>0.049</v>
      </c>
      <c r="K1496" t="n">
        <v>1.1</v>
      </c>
      <c r="L1496" t="n">
        <v>0.4</v>
      </c>
      <c r="M1496" t="n">
        <v>0.7</v>
      </c>
      <c r="P1496" t="inlineStr">
        <is>
          <t>장진경</t>
        </is>
      </c>
      <c r="AB1496" t="inlineStr">
        <is>
          <t>엔카</t>
        </is>
      </c>
      <c r="AC1496" t="n">
        <v>440000</v>
      </c>
      <c r="AD1496" t="n">
        <v>160000</v>
      </c>
      <c r="AE1496" t="n">
        <v>280000</v>
      </c>
      <c r="AF1496" t="n">
        <v>400000</v>
      </c>
      <c r="AG1496" t="n">
        <v>154720</v>
      </c>
      <c r="AH1496" t="n">
        <v>245280</v>
      </c>
    </row>
    <row r="1497">
      <c r="A1497" t="inlineStr">
        <is>
          <t>2월</t>
        </is>
      </c>
      <c r="B1497" t="inlineStr">
        <is>
          <t>5주차</t>
        </is>
      </c>
      <c r="C1497" t="inlineStr">
        <is>
          <t>EP</t>
        </is>
      </c>
      <c r="D1497" s="28" t="n">
        <v>46054</v>
      </c>
      <c r="E1497" t="inlineStr">
        <is>
          <t>현대EP</t>
        </is>
      </c>
      <c r="F1497" t="inlineStr">
        <is>
          <t>문지훈</t>
        </is>
      </c>
      <c r="G1497" t="inlineStr">
        <is>
          <t>010-9266-7436</t>
        </is>
      </c>
      <c r="H1497" t="inlineStr">
        <is>
          <t>115서9111</t>
        </is>
      </c>
      <c r="I1497" t="n">
        <v>20000000</v>
      </c>
      <c r="J1497" t="n">
        <v>0.099</v>
      </c>
      <c r="K1497" t="n">
        <v>1.76</v>
      </c>
      <c r="L1497" t="n">
        <v>0.14</v>
      </c>
      <c r="M1497" t="n">
        <v>1.62</v>
      </c>
      <c r="P1497" t="inlineStr">
        <is>
          <t>황채이</t>
        </is>
      </c>
      <c r="Q1497" t="inlineStr">
        <is>
          <t>홈서비스 60개월</t>
        </is>
      </c>
      <c r="AB1497" t="inlineStr">
        <is>
          <t>홈서비스</t>
        </is>
      </c>
      <c r="AC1497" t="n">
        <v>352000</v>
      </c>
      <c r="AD1497" t="n">
        <v>28000</v>
      </c>
      <c r="AE1497" t="n">
        <v>324000</v>
      </c>
      <c r="AF1497" t="n">
        <v>320000</v>
      </c>
      <c r="AG1497" t="n">
        <v>27076</v>
      </c>
      <c r="AH1497" t="n">
        <v>292924</v>
      </c>
    </row>
    <row r="1498">
      <c r="A1498" t="inlineStr">
        <is>
          <t>2월</t>
        </is>
      </c>
      <c r="B1498" t="inlineStr">
        <is>
          <t>6주차</t>
        </is>
      </c>
      <c r="C1498" t="inlineStr">
        <is>
          <t>EP</t>
        </is>
      </c>
      <c r="D1498" s="28" t="n">
        <v>46055</v>
      </c>
      <c r="E1498" t="inlineStr">
        <is>
          <t>현대EP_fast</t>
        </is>
      </c>
      <c r="F1498" t="inlineStr">
        <is>
          <t>김동주</t>
        </is>
      </c>
      <c r="G1498" t="inlineStr">
        <is>
          <t>010-5944-0037</t>
        </is>
      </c>
      <c r="H1498" t="inlineStr">
        <is>
          <t>346버6182</t>
        </is>
      </c>
      <c r="I1498" t="n">
        <v>30900000</v>
      </c>
      <c r="J1498" t="n">
        <v>0.08699999999999999</v>
      </c>
      <c r="K1498" t="n">
        <v>1.76</v>
      </c>
      <c r="L1498" t="n">
        <v>0.4</v>
      </c>
      <c r="M1498" t="n">
        <v>1.36</v>
      </c>
      <c r="P1498" t="inlineStr">
        <is>
          <t>장진경</t>
        </is>
      </c>
      <c r="AB1498" t="inlineStr">
        <is>
          <t>엔카</t>
        </is>
      </c>
      <c r="AC1498" t="n">
        <v>543840</v>
      </c>
      <c r="AD1498" t="n">
        <v>123600</v>
      </c>
      <c r="AE1498" t="n">
        <v>420240</v>
      </c>
      <c r="AF1498" t="n">
        <v>494400</v>
      </c>
      <c r="AG1498" t="n">
        <v>119521.2</v>
      </c>
      <c r="AH1498" t="n">
        <v>374878.8</v>
      </c>
      <c r="AI1498" t="n">
        <v>0</v>
      </c>
    </row>
    <row r="1499">
      <c r="A1499" t="inlineStr">
        <is>
          <t>2월</t>
        </is>
      </c>
      <c r="B1499" t="inlineStr">
        <is>
          <t>6주차</t>
        </is>
      </c>
      <c r="C1499" t="inlineStr">
        <is>
          <t>EP</t>
        </is>
      </c>
      <c r="D1499" s="28" t="n">
        <v>46057</v>
      </c>
      <c r="E1499" t="inlineStr">
        <is>
          <t>현대EP_fast</t>
        </is>
      </c>
      <c r="F1499" t="inlineStr">
        <is>
          <t>채민수</t>
        </is>
      </c>
      <c r="G1499" t="inlineStr">
        <is>
          <t>010-4413-2599</t>
        </is>
      </c>
      <c r="H1499" t="inlineStr">
        <is>
          <t>45라6432</t>
        </is>
      </c>
      <c r="I1499" t="n">
        <v>20000000</v>
      </c>
      <c r="J1499" t="n">
        <v>0.08699999999999999</v>
      </c>
      <c r="K1499" t="n">
        <v>1.76</v>
      </c>
      <c r="L1499" t="n">
        <v>0.14</v>
      </c>
      <c r="M1499" t="n">
        <v>1.62</v>
      </c>
      <c r="P1499" t="inlineStr">
        <is>
          <t>최형주</t>
        </is>
      </c>
      <c r="Q1499" t="inlineStr">
        <is>
          <t>홈서비스 60개월</t>
        </is>
      </c>
      <c r="AB1499" t="inlineStr">
        <is>
          <t>홈서비스</t>
        </is>
      </c>
      <c r="AC1499" t="n">
        <v>352000</v>
      </c>
      <c r="AD1499" t="n">
        <v>28000</v>
      </c>
      <c r="AE1499" t="n">
        <v>324000</v>
      </c>
      <c r="AF1499" t="n">
        <v>320000</v>
      </c>
      <c r="AG1499" t="n">
        <v>27076</v>
      </c>
      <c r="AH1499" t="n">
        <v>292924</v>
      </c>
    </row>
    <row r="1500">
      <c r="A1500" t="inlineStr">
        <is>
          <t>2월</t>
        </is>
      </c>
      <c r="B1500" t="inlineStr">
        <is>
          <t>6주차</t>
        </is>
      </c>
      <c r="C1500" t="inlineStr">
        <is>
          <t>IM</t>
        </is>
      </c>
      <c r="D1500" s="28" t="n">
        <v>46058</v>
      </c>
      <c r="E1500" t="inlineStr">
        <is>
          <t>IM캐피탈</t>
        </is>
      </c>
      <c r="F1500" t="inlineStr">
        <is>
          <t>이승찬</t>
        </is>
      </c>
      <c r="G1500" t="inlineStr">
        <is>
          <t>010-5676-3229</t>
        </is>
      </c>
      <c r="H1500" t="inlineStr">
        <is>
          <t>48다7292</t>
        </is>
      </c>
      <c r="I1500" t="n">
        <v>8600000</v>
      </c>
      <c r="J1500" t="n">
        <v>0.075</v>
      </c>
      <c r="K1500" t="n">
        <v>1.1</v>
      </c>
      <c r="L1500" t="n">
        <v>0.14</v>
      </c>
      <c r="M1500" t="n">
        <v>0.96</v>
      </c>
      <c r="P1500" t="inlineStr">
        <is>
          <t>정광호</t>
        </is>
      </c>
      <c r="Q1500" t="inlineStr">
        <is>
          <t>홈서비스 48개월</t>
        </is>
      </c>
      <c r="AB1500" t="inlineStr">
        <is>
          <t>홈서비스</t>
        </is>
      </c>
      <c r="AC1500" t="n">
        <v>94600</v>
      </c>
      <c r="AD1500" t="n">
        <v>12040</v>
      </c>
      <c r="AE1500" t="n">
        <v>82560</v>
      </c>
      <c r="AF1500" t="n">
        <v>86000</v>
      </c>
      <c r="AG1500" t="n">
        <v>11642.68</v>
      </c>
      <c r="AH1500" t="n">
        <v>74357.32000000001</v>
      </c>
    </row>
    <row r="1501">
      <c r="A1501" t="inlineStr">
        <is>
          <t>2월</t>
        </is>
      </c>
      <c r="B1501" t="inlineStr">
        <is>
          <t>6주차</t>
        </is>
      </c>
      <c r="C1501" t="inlineStr">
        <is>
          <t>EP</t>
        </is>
      </c>
      <c r="D1501" s="28" t="n">
        <v>46059</v>
      </c>
      <c r="E1501" t="inlineStr">
        <is>
          <t>현대EP</t>
        </is>
      </c>
      <c r="F1501" t="inlineStr">
        <is>
          <t>박권재</t>
        </is>
      </c>
      <c r="G1501" t="inlineStr">
        <is>
          <t>010-2043-1083</t>
        </is>
      </c>
      <c r="H1501" t="inlineStr">
        <is>
          <t>66조4390</t>
        </is>
      </c>
      <c r="I1501" t="n">
        <v>11500000</v>
      </c>
      <c r="J1501" t="n">
        <v>0.082</v>
      </c>
      <c r="K1501" t="n">
        <v>1.76</v>
      </c>
      <c r="L1501" t="n">
        <v>0.14</v>
      </c>
      <c r="M1501" t="n">
        <v>1.62</v>
      </c>
      <c r="P1501" t="inlineStr">
        <is>
          <t>최형주</t>
        </is>
      </c>
      <c r="Q1501" t="inlineStr">
        <is>
          <t>홈서비스 60개월</t>
        </is>
      </c>
      <c r="AB1501" t="inlineStr">
        <is>
          <t>홈서비스</t>
        </is>
      </c>
      <c r="AC1501" t="n">
        <v>202400</v>
      </c>
      <c r="AD1501" t="n">
        <v>16100</v>
      </c>
      <c r="AE1501" t="n">
        <v>186300</v>
      </c>
      <c r="AF1501" t="n">
        <v>184000</v>
      </c>
      <c r="AG1501" t="n">
        <v>15568.7</v>
      </c>
      <c r="AH1501" t="n">
        <v>168431.3</v>
      </c>
    </row>
    <row r="1502">
      <c r="A1502" t="inlineStr">
        <is>
          <t>2월</t>
        </is>
      </c>
      <c r="B1502" t="inlineStr">
        <is>
          <t>7주차</t>
        </is>
      </c>
      <c r="C1502" t="inlineStr">
        <is>
          <t>EP</t>
        </is>
      </c>
      <c r="D1502" s="28" t="n">
        <v>46062</v>
      </c>
      <c r="E1502" t="inlineStr">
        <is>
          <t>현대EP_fast</t>
        </is>
      </c>
      <c r="F1502" t="inlineStr">
        <is>
          <t>강진규</t>
        </is>
      </c>
      <c r="G1502" t="inlineStr">
        <is>
          <t>010-5164-4720</t>
        </is>
      </c>
      <c r="H1502" t="inlineStr">
        <is>
          <t>47구2171</t>
        </is>
      </c>
      <c r="I1502" t="n">
        <v>14900000</v>
      </c>
      <c r="J1502" t="n">
        <v>0.099</v>
      </c>
      <c r="K1502" t="n">
        <v>1.76</v>
      </c>
      <c r="L1502" t="n">
        <v>0.14</v>
      </c>
      <c r="M1502" t="n">
        <v>1.62</v>
      </c>
      <c r="P1502" t="inlineStr">
        <is>
          <t>황채이</t>
        </is>
      </c>
      <c r="Q1502" t="inlineStr">
        <is>
          <t>홈서비스 60개월</t>
        </is>
      </c>
      <c r="AB1502" t="inlineStr">
        <is>
          <t>홈서비스</t>
        </is>
      </c>
      <c r="AC1502" t="n">
        <v>262240</v>
      </c>
      <c r="AD1502" t="n">
        <v>20860</v>
      </c>
      <c r="AE1502" t="n">
        <v>241380</v>
      </c>
      <c r="AF1502" t="n">
        <v>238400</v>
      </c>
      <c r="AG1502" t="n">
        <v>20171.62</v>
      </c>
      <c r="AH1502" t="n">
        <v>218228.38</v>
      </c>
      <c r="AI1502" t="n">
        <v>0</v>
      </c>
    </row>
    <row r="1503">
      <c r="A1503" t="inlineStr">
        <is>
          <t>2월</t>
        </is>
      </c>
      <c r="B1503" t="inlineStr">
        <is>
          <t>7주차</t>
        </is>
      </c>
      <c r="C1503" t="inlineStr">
        <is>
          <t>EP</t>
        </is>
      </c>
      <c r="D1503" s="28" t="n">
        <v>46062</v>
      </c>
      <c r="E1503" t="inlineStr">
        <is>
          <t>현대EP</t>
        </is>
      </c>
      <c r="F1503" t="inlineStr">
        <is>
          <t>최현호</t>
        </is>
      </c>
      <c r="G1503" t="inlineStr">
        <is>
          <t>010-9453-3431</t>
        </is>
      </c>
      <c r="H1503" t="inlineStr">
        <is>
          <t>136어8851</t>
        </is>
      </c>
      <c r="I1503" t="n">
        <v>14200000</v>
      </c>
      <c r="J1503" t="n">
        <v>0.082</v>
      </c>
      <c r="K1503" t="n">
        <v>1.76</v>
      </c>
      <c r="L1503" t="n">
        <v>0.14</v>
      </c>
      <c r="M1503" t="n">
        <v>1.62</v>
      </c>
      <c r="P1503" t="inlineStr">
        <is>
          <t>김수연</t>
        </is>
      </c>
      <c r="Q1503" t="inlineStr">
        <is>
          <t>홈서비스 60개월</t>
        </is>
      </c>
      <c r="AB1503" t="inlineStr">
        <is>
          <t>홈서비스</t>
        </is>
      </c>
      <c r="AC1503" t="n">
        <v>249920</v>
      </c>
      <c r="AD1503" t="n">
        <v>19880</v>
      </c>
      <c r="AE1503" t="n">
        <v>230040</v>
      </c>
      <c r="AF1503" t="n">
        <v>227200</v>
      </c>
      <c r="AG1503" t="n">
        <v>19223.96</v>
      </c>
      <c r="AH1503" t="n">
        <v>207976.04</v>
      </c>
      <c r="AI1503" t="n">
        <v>0</v>
      </c>
    </row>
    <row r="1504">
      <c r="A1504" t="inlineStr">
        <is>
          <t>2월</t>
        </is>
      </c>
      <c r="B1504" t="inlineStr">
        <is>
          <t>9주차</t>
        </is>
      </c>
      <c r="C1504" t="inlineStr">
        <is>
          <t>IM</t>
        </is>
      </c>
      <c r="D1504" s="28" t="n">
        <v>46076</v>
      </c>
      <c r="E1504" t="inlineStr">
        <is>
          <t>IM캐피탈</t>
        </is>
      </c>
      <c r="F1504" t="inlineStr">
        <is>
          <t>함문주</t>
        </is>
      </c>
      <c r="G1504" t="inlineStr">
        <is>
          <t>010-5418-8647</t>
        </is>
      </c>
      <c r="H1504" t="inlineStr">
        <is>
          <t>75나9963</t>
        </is>
      </c>
      <c r="I1504" t="n">
        <v>25900000</v>
      </c>
      <c r="J1504" t="n">
        <v>0.056</v>
      </c>
      <c r="K1504" t="n">
        <v>1.1</v>
      </c>
      <c r="L1504" t="n">
        <v>0.14</v>
      </c>
      <c r="M1504" t="n">
        <v>0.96</v>
      </c>
      <c r="P1504" t="inlineStr">
        <is>
          <t>김수연</t>
        </is>
      </c>
      <c r="Q1504" t="inlineStr">
        <is>
          <t>홈서비스 36개월</t>
        </is>
      </c>
      <c r="AB1504" t="inlineStr">
        <is>
          <t>홈서비스</t>
        </is>
      </c>
      <c r="AC1504" t="n">
        <v>284900</v>
      </c>
      <c r="AD1504" t="n">
        <v>36260</v>
      </c>
      <c r="AE1504" t="n">
        <v>248640</v>
      </c>
      <c r="AF1504" t="n">
        <v>259000</v>
      </c>
      <c r="AG1504" t="n">
        <v>35063.42</v>
      </c>
      <c r="AH1504" t="n">
        <v>223936.58</v>
      </c>
      <c r="AI1504" t="n">
        <v>0</v>
      </c>
    </row>
    <row r="1505">
      <c r="A1505" t="inlineStr">
        <is>
          <t>2월</t>
        </is>
      </c>
      <c r="B1505" t="inlineStr">
        <is>
          <t>7주차</t>
        </is>
      </c>
      <c r="C1505" t="inlineStr">
        <is>
          <t>IM</t>
        </is>
      </c>
      <c r="D1505" s="28" t="n">
        <v>46063</v>
      </c>
      <c r="E1505" t="inlineStr">
        <is>
          <t>IM캐피탈</t>
        </is>
      </c>
      <c r="F1505" t="inlineStr">
        <is>
          <t>이준현</t>
        </is>
      </c>
      <c r="G1505" t="inlineStr">
        <is>
          <t>010-2510-0105</t>
        </is>
      </c>
      <c r="H1505" t="inlineStr">
        <is>
          <t>110모4825</t>
        </is>
      </c>
      <c r="I1505" t="n">
        <v>22100000</v>
      </c>
      <c r="J1505" t="n">
        <v>0.056</v>
      </c>
      <c r="K1505" t="n">
        <v>1.1</v>
      </c>
      <c r="L1505" t="n">
        <v>0.14</v>
      </c>
      <c r="M1505" t="n">
        <v>0.96</v>
      </c>
      <c r="P1505" t="inlineStr">
        <is>
          <t>정세빈</t>
        </is>
      </c>
      <c r="Q1505" t="inlineStr">
        <is>
          <t>홈서비스 60개월</t>
        </is>
      </c>
      <c r="AB1505" t="inlineStr">
        <is>
          <t>홈서비스</t>
        </is>
      </c>
      <c r="AC1505" t="n">
        <v>243100</v>
      </c>
      <c r="AD1505" t="n">
        <v>30940</v>
      </c>
      <c r="AE1505" t="n">
        <v>212160</v>
      </c>
      <c r="AF1505" t="n">
        <v>221000</v>
      </c>
      <c r="AG1505" t="n">
        <v>29918.98</v>
      </c>
      <c r="AH1505" t="n">
        <v>191081.02</v>
      </c>
      <c r="AI1505" t="n">
        <v>0</v>
      </c>
    </row>
    <row r="1506">
      <c r="A1506" t="inlineStr">
        <is>
          <t>2월</t>
        </is>
      </c>
      <c r="B1506" t="inlineStr">
        <is>
          <t>7주차</t>
        </is>
      </c>
      <c r="C1506" t="inlineStr">
        <is>
          <t>EP</t>
        </is>
      </c>
      <c r="D1506" s="28" t="n">
        <v>46064</v>
      </c>
      <c r="E1506" t="inlineStr">
        <is>
          <t>현대EP</t>
        </is>
      </c>
      <c r="F1506" t="inlineStr">
        <is>
          <t>조찬휘</t>
        </is>
      </c>
      <c r="G1506" t="inlineStr">
        <is>
          <t>010-3543-5904</t>
        </is>
      </c>
      <c r="H1506" t="inlineStr">
        <is>
          <t>52우1791</t>
        </is>
      </c>
      <c r="I1506" t="n">
        <v>100000000</v>
      </c>
      <c r="J1506" t="n">
        <v>0.075</v>
      </c>
      <c r="K1506" t="n">
        <v>1.76</v>
      </c>
      <c r="L1506" t="n">
        <v>0.14</v>
      </c>
      <c r="M1506" t="n">
        <v>1.62</v>
      </c>
      <c r="P1506" t="inlineStr">
        <is>
          <t>김나윤</t>
        </is>
      </c>
      <c r="Q1506" t="inlineStr">
        <is>
          <t>홈서비스 60개월</t>
        </is>
      </c>
      <c r="AB1506" t="inlineStr">
        <is>
          <t>홈서비스</t>
        </is>
      </c>
      <c r="AC1506" t="n">
        <v>1760000</v>
      </c>
      <c r="AD1506" t="n">
        <v>140000</v>
      </c>
      <c r="AE1506" t="n">
        <v>1620000</v>
      </c>
      <c r="AF1506" t="n">
        <v>1600000</v>
      </c>
      <c r="AG1506" t="n">
        <v>135380</v>
      </c>
      <c r="AH1506" t="n">
        <v>1464620</v>
      </c>
      <c r="AI1506" t="n">
        <v>0</v>
      </c>
    </row>
    <row r="1507">
      <c r="A1507" t="inlineStr">
        <is>
          <t>2월</t>
        </is>
      </c>
      <c r="B1507" t="inlineStr">
        <is>
          <t>7주차</t>
        </is>
      </c>
      <c r="C1507" t="inlineStr">
        <is>
          <t>EP</t>
        </is>
      </c>
      <c r="D1507" s="28" t="n">
        <v>46065</v>
      </c>
      <c r="E1507" t="inlineStr">
        <is>
          <t>현대EP_fast</t>
        </is>
      </c>
      <c r="F1507" t="inlineStr">
        <is>
          <t>권바다</t>
        </is>
      </c>
      <c r="G1507" t="inlineStr">
        <is>
          <t>010-8390-9603</t>
        </is>
      </c>
      <c r="H1507" t="inlineStr">
        <is>
          <t>205러1262</t>
        </is>
      </c>
      <c r="I1507" t="n">
        <v>25000000</v>
      </c>
      <c r="J1507" t="n">
        <v>0.076</v>
      </c>
      <c r="K1507" t="n">
        <v>1.76</v>
      </c>
      <c r="L1507" t="n">
        <v>0.14</v>
      </c>
      <c r="M1507" t="n">
        <v>1.62</v>
      </c>
      <c r="P1507" t="inlineStr">
        <is>
          <t>정광호</t>
        </is>
      </c>
      <c r="Q1507" t="inlineStr">
        <is>
          <t>홈서비스 60개월</t>
        </is>
      </c>
      <c r="AB1507" t="inlineStr">
        <is>
          <t>홈서비스</t>
        </is>
      </c>
      <c r="AC1507" t="n">
        <v>440000</v>
      </c>
      <c r="AD1507" t="n">
        <v>35000</v>
      </c>
      <c r="AE1507" t="n">
        <v>405000</v>
      </c>
      <c r="AF1507" t="n">
        <v>400000</v>
      </c>
      <c r="AG1507" t="n">
        <v>33845</v>
      </c>
      <c r="AH1507" t="n">
        <v>366155</v>
      </c>
      <c r="AI1507" t="n">
        <v>0</v>
      </c>
    </row>
    <row r="1508">
      <c r="A1508" t="inlineStr">
        <is>
          <t>2월</t>
        </is>
      </c>
      <c r="B1508" t="inlineStr">
        <is>
          <t>7주차</t>
        </is>
      </c>
      <c r="C1508" t="inlineStr">
        <is>
          <t>EP</t>
        </is>
      </c>
      <c r="D1508" s="28" t="n">
        <v>46065</v>
      </c>
      <c r="E1508" t="inlineStr">
        <is>
          <t>현대EP_fast</t>
        </is>
      </c>
      <c r="F1508" t="inlineStr">
        <is>
          <t>이대훈</t>
        </is>
      </c>
      <c r="G1508" t="inlineStr">
        <is>
          <t>010-8266-0695</t>
        </is>
      </c>
      <c r="H1508" t="inlineStr">
        <is>
          <t>64주5930</t>
        </is>
      </c>
      <c r="I1508" t="n">
        <v>23400000</v>
      </c>
      <c r="J1508" t="n">
        <v>0.102</v>
      </c>
      <c r="K1508" t="n">
        <v>1.76</v>
      </c>
      <c r="L1508" t="n">
        <v>0.14</v>
      </c>
      <c r="M1508" t="n">
        <v>1.62</v>
      </c>
      <c r="P1508" t="inlineStr">
        <is>
          <t>최형주</t>
        </is>
      </c>
      <c r="Q1508" t="inlineStr">
        <is>
          <t>홈서비스 60개월</t>
        </is>
      </c>
      <c r="AB1508" t="inlineStr">
        <is>
          <t>홈서비스</t>
        </is>
      </c>
      <c r="AC1508" t="n">
        <v>411840</v>
      </c>
      <c r="AD1508" t="n">
        <v>32760</v>
      </c>
      <c r="AE1508" t="n">
        <v>379080</v>
      </c>
      <c r="AF1508" t="n">
        <v>374400</v>
      </c>
      <c r="AG1508" t="n">
        <v>31678.92</v>
      </c>
      <c r="AH1508" t="n">
        <v>342721.08</v>
      </c>
      <c r="AI1508" t="n">
        <v>0</v>
      </c>
    </row>
    <row r="1509">
      <c r="A1509" t="inlineStr">
        <is>
          <t>2월</t>
        </is>
      </c>
      <c r="B1509" t="inlineStr">
        <is>
          <t>9주차</t>
        </is>
      </c>
      <c r="C1509" t="inlineStr">
        <is>
          <t>EP</t>
        </is>
      </c>
      <c r="D1509" s="28" t="n">
        <v>46076</v>
      </c>
      <c r="E1509" t="inlineStr">
        <is>
          <t>현대EP_fast</t>
        </is>
      </c>
      <c r="F1509" t="inlineStr">
        <is>
          <t>방웅</t>
        </is>
      </c>
      <c r="G1509" t="inlineStr">
        <is>
          <t>010-9483-4483</t>
        </is>
      </c>
      <c r="H1509" t="inlineStr">
        <is>
          <t>65가9303</t>
        </is>
      </c>
      <c r="I1509" t="n">
        <v>21900000</v>
      </c>
      <c r="J1509" t="n">
        <v>0.089</v>
      </c>
      <c r="K1509" t="n">
        <v>1.76</v>
      </c>
      <c r="L1509" t="n">
        <v>0.14</v>
      </c>
      <c r="M1509" t="n">
        <v>1.62</v>
      </c>
      <c r="P1509" t="inlineStr">
        <is>
          <t>김나윤</t>
        </is>
      </c>
      <c r="Q1509" t="inlineStr">
        <is>
          <t>홈서비스 60개월</t>
        </is>
      </c>
      <c r="AB1509" t="inlineStr">
        <is>
          <t>홈서비스</t>
        </is>
      </c>
      <c r="AC1509" t="n">
        <v>385440</v>
      </c>
      <c r="AD1509" t="n">
        <v>30660</v>
      </c>
      <c r="AE1509" t="n">
        <v>354780</v>
      </c>
      <c r="AF1509" t="n">
        <v>350400</v>
      </c>
      <c r="AG1509" t="n">
        <v>29648.22</v>
      </c>
      <c r="AH1509" t="n">
        <v>320751.78</v>
      </c>
    </row>
    <row r="1510">
      <c r="A1510" t="inlineStr">
        <is>
          <t>2월</t>
        </is>
      </c>
      <c r="B1510" t="inlineStr">
        <is>
          <t>7주차</t>
        </is>
      </c>
      <c r="C1510" t="inlineStr">
        <is>
          <t>EP</t>
        </is>
      </c>
      <c r="D1510" s="28" t="n">
        <v>46065</v>
      </c>
      <c r="E1510" t="inlineStr">
        <is>
          <t>현대EP</t>
        </is>
      </c>
      <c r="F1510" t="inlineStr">
        <is>
          <t>김일규</t>
        </is>
      </c>
      <c r="G1510" t="inlineStr">
        <is>
          <t>010-2918-1382</t>
        </is>
      </c>
      <c r="H1510" t="inlineStr">
        <is>
          <t>61마5534</t>
        </is>
      </c>
      <c r="I1510" t="n">
        <v>4900000</v>
      </c>
      <c r="J1510" t="n">
        <v>0.06900000000000001</v>
      </c>
      <c r="K1510" t="n">
        <v>1.76</v>
      </c>
      <c r="L1510" t="n">
        <v>0.14</v>
      </c>
      <c r="M1510" t="n">
        <v>1.62</v>
      </c>
      <c r="P1510" t="inlineStr">
        <is>
          <t>김나윤</t>
        </is>
      </c>
      <c r="Q1510" t="inlineStr">
        <is>
          <t>홈서비스 24개월</t>
        </is>
      </c>
      <c r="AB1510" t="inlineStr">
        <is>
          <t>홈서비스</t>
        </is>
      </c>
      <c r="AC1510" t="n">
        <v>86240</v>
      </c>
      <c r="AD1510" t="n">
        <v>6860</v>
      </c>
      <c r="AE1510" t="n">
        <v>79380</v>
      </c>
      <c r="AF1510" t="n">
        <v>78400</v>
      </c>
      <c r="AG1510" t="n">
        <v>6633.62</v>
      </c>
      <c r="AH1510" t="n">
        <v>71766.38</v>
      </c>
      <c r="AI1510" t="n">
        <v>0</v>
      </c>
    </row>
    <row r="1511">
      <c r="A1511" t="inlineStr">
        <is>
          <t>2월</t>
        </is>
      </c>
      <c r="B1511" t="inlineStr">
        <is>
          <t>9주차</t>
        </is>
      </c>
      <c r="C1511" t="inlineStr">
        <is>
          <t>IM</t>
        </is>
      </c>
      <c r="D1511" s="28" t="n">
        <v>46076</v>
      </c>
      <c r="E1511" t="inlineStr">
        <is>
          <t>IM캐피탈</t>
        </is>
      </c>
      <c r="F1511" t="inlineStr">
        <is>
          <t>이종광</t>
        </is>
      </c>
      <c r="G1511" t="inlineStr">
        <is>
          <t>010-4824-2494</t>
        </is>
      </c>
      <c r="H1511" t="inlineStr">
        <is>
          <t>262다5755</t>
        </is>
      </c>
      <c r="I1511" t="n">
        <v>-20000000</v>
      </c>
      <c r="J1511" t="n">
        <v>0.039</v>
      </c>
      <c r="K1511" t="n">
        <v>1.1</v>
      </c>
      <c r="L1511" t="n">
        <v>0.4</v>
      </c>
      <c r="M1511" t="n">
        <v>0.7</v>
      </c>
      <c r="P1511" t="inlineStr">
        <is>
          <t>박현민</t>
        </is>
      </c>
      <c r="Q1511" t="inlineStr">
        <is>
          <t>/*철회 20260302</t>
        </is>
      </c>
      <c r="AB1511" t="inlineStr">
        <is>
          <t>엔카</t>
        </is>
      </c>
      <c r="AC1511" t="n">
        <v>-220000</v>
      </c>
      <c r="AD1511" t="n">
        <v>-80000</v>
      </c>
      <c r="AE1511" t="n">
        <v>-140000</v>
      </c>
      <c r="AF1511" t="n">
        <v>-200000</v>
      </c>
      <c r="AG1511" t="n">
        <v>-77360</v>
      </c>
      <c r="AH1511" t="n">
        <v>-122640</v>
      </c>
      <c r="AI1511" t="n">
        <v>0</v>
      </c>
      <c r="AK1511" t="inlineStr">
        <is>
          <t>대출철회</t>
        </is>
      </c>
    </row>
    <row r="1512">
      <c r="A1512" t="inlineStr">
        <is>
          <t>2월</t>
        </is>
      </c>
      <c r="B1512" t="inlineStr">
        <is>
          <t>9주차</t>
        </is>
      </c>
      <c r="C1512" t="inlineStr">
        <is>
          <t>IM</t>
        </is>
      </c>
      <c r="D1512" s="28" t="n">
        <v>46077</v>
      </c>
      <c r="E1512" t="inlineStr">
        <is>
          <t>IM캐피탈</t>
        </is>
      </c>
      <c r="F1512" t="inlineStr">
        <is>
          <t>표세환</t>
        </is>
      </c>
      <c r="G1512" t="inlineStr">
        <is>
          <t>010-4927-5479</t>
        </is>
      </c>
      <c r="H1512" t="inlineStr">
        <is>
          <t>136러4074</t>
        </is>
      </c>
      <c r="I1512" t="n">
        <v>11000000</v>
      </c>
      <c r="J1512" t="n">
        <v>0.056</v>
      </c>
      <c r="K1512" t="n">
        <v>1.1</v>
      </c>
      <c r="L1512" t="n">
        <v>0.14</v>
      </c>
      <c r="M1512" t="n">
        <v>0.96</v>
      </c>
      <c r="P1512" t="inlineStr">
        <is>
          <t>황채이</t>
        </is>
      </c>
      <c r="Q1512" t="inlineStr">
        <is>
          <t>홈서비스 60개월</t>
        </is>
      </c>
      <c r="AB1512" t="inlineStr">
        <is>
          <t>홈서비스</t>
        </is>
      </c>
      <c r="AC1512" t="n">
        <v>121000</v>
      </c>
      <c r="AD1512" t="n">
        <v>15400</v>
      </c>
      <c r="AE1512" t="n">
        <v>105600</v>
      </c>
      <c r="AF1512" t="n">
        <v>110000</v>
      </c>
      <c r="AG1512" t="n">
        <v>14891.8</v>
      </c>
      <c r="AH1512" t="n">
        <v>95108.2</v>
      </c>
      <c r="AI1512" t="n">
        <v>0</v>
      </c>
    </row>
    <row r="1513">
      <c r="A1513" t="inlineStr">
        <is>
          <t>2월</t>
        </is>
      </c>
      <c r="B1513" t="inlineStr">
        <is>
          <t>8주차</t>
        </is>
      </c>
      <c r="C1513" t="inlineStr">
        <is>
          <t>OR</t>
        </is>
      </c>
      <c r="D1513" s="28" t="n">
        <v>46074</v>
      </c>
      <c r="E1513" t="inlineStr">
        <is>
          <t>오릭스</t>
        </is>
      </c>
      <c r="F1513" t="inlineStr">
        <is>
          <t>KIM DEAN JIN SEOK</t>
        </is>
      </c>
      <c r="G1513" t="inlineStr">
        <is>
          <t>010-8825-6220</t>
        </is>
      </c>
      <c r="H1513" t="inlineStr">
        <is>
          <t>25가4918</t>
        </is>
      </c>
      <c r="I1513" t="n">
        <v>38600000</v>
      </c>
      <c r="J1513" t="n">
        <v>0.054</v>
      </c>
      <c r="K1513" t="n">
        <v>1.65</v>
      </c>
      <c r="L1513" t="n">
        <v>0.4</v>
      </c>
      <c r="M1513" t="n">
        <v>1.25</v>
      </c>
      <c r="P1513" t="inlineStr">
        <is>
          <t>구성완</t>
        </is>
      </c>
      <c r="AB1513" t="inlineStr">
        <is>
          <t>엔카</t>
        </is>
      </c>
      <c r="AC1513" t="n">
        <v>636900</v>
      </c>
      <c r="AD1513" t="n">
        <v>154400</v>
      </c>
      <c r="AE1513" t="n">
        <v>482500</v>
      </c>
      <c r="AF1513" t="n">
        <v>579000</v>
      </c>
      <c r="AG1513" t="n">
        <v>149304.8</v>
      </c>
      <c r="AH1513" t="n">
        <v>429695.2</v>
      </c>
      <c r="AI1513" t="n">
        <v>0</v>
      </c>
    </row>
    <row r="1514">
      <c r="A1514" t="inlineStr">
        <is>
          <t>2월</t>
        </is>
      </c>
      <c r="B1514" t="inlineStr">
        <is>
          <t>8주차</t>
        </is>
      </c>
      <c r="C1514" t="inlineStr">
        <is>
          <t>EP</t>
        </is>
      </c>
      <c r="D1514" s="28" t="n">
        <v>46072</v>
      </c>
      <c r="E1514" t="inlineStr">
        <is>
          <t>현대EP</t>
        </is>
      </c>
      <c r="F1514" t="inlineStr">
        <is>
          <t>이상용</t>
        </is>
      </c>
      <c r="G1514" t="inlineStr">
        <is>
          <t>010-3295-9462</t>
        </is>
      </c>
      <c r="H1514" t="inlineStr">
        <is>
          <t>145모2467</t>
        </is>
      </c>
      <c r="I1514" t="n">
        <v>34500000</v>
      </c>
      <c r="J1514" t="n">
        <v>0.099</v>
      </c>
      <c r="K1514" t="n">
        <v>1.76</v>
      </c>
      <c r="L1514" t="n">
        <v>0.14</v>
      </c>
      <c r="M1514" t="n">
        <v>1.62</v>
      </c>
      <c r="P1514" t="inlineStr">
        <is>
          <t>황채이</t>
        </is>
      </c>
      <c r="Q1514" t="inlineStr">
        <is>
          <t>홈서비스 60개월</t>
        </is>
      </c>
      <c r="AB1514" t="inlineStr">
        <is>
          <t>홈서비스</t>
        </is>
      </c>
      <c r="AC1514" t="n">
        <v>607200</v>
      </c>
      <c r="AD1514" t="n">
        <v>48300</v>
      </c>
      <c r="AE1514" t="n">
        <v>558900</v>
      </c>
      <c r="AF1514" t="n">
        <v>552000</v>
      </c>
      <c r="AG1514" t="n">
        <v>46706.1</v>
      </c>
      <c r="AH1514" t="n">
        <v>505293.9</v>
      </c>
    </row>
    <row r="1515">
      <c r="A1515" t="inlineStr">
        <is>
          <t>2월</t>
        </is>
      </c>
      <c r="B1515" t="inlineStr">
        <is>
          <t>9주차</t>
        </is>
      </c>
      <c r="C1515" t="inlineStr">
        <is>
          <t>IM</t>
        </is>
      </c>
      <c r="D1515" s="28" t="n">
        <v>46076</v>
      </c>
      <c r="E1515" t="inlineStr">
        <is>
          <t>IM캐피탈</t>
        </is>
      </c>
      <c r="F1515" t="inlineStr">
        <is>
          <t>주아라</t>
        </is>
      </c>
      <c r="G1515" t="inlineStr">
        <is>
          <t>010-8791-6052</t>
        </is>
      </c>
      <c r="H1515" t="inlineStr">
        <is>
          <t>168무3959</t>
        </is>
      </c>
      <c r="I1515" t="n">
        <v>11000000</v>
      </c>
      <c r="J1515" t="n">
        <v>0.049</v>
      </c>
      <c r="K1515" t="n">
        <v>1.1</v>
      </c>
      <c r="L1515" t="n">
        <v>0.14</v>
      </c>
      <c r="M1515" t="n">
        <v>0.96</v>
      </c>
      <c r="P1515" t="inlineStr">
        <is>
          <t>김나윤</t>
        </is>
      </c>
      <c r="Q1515" t="inlineStr">
        <is>
          <t>홈서비스 36개월</t>
        </is>
      </c>
      <c r="AB1515" t="inlineStr">
        <is>
          <t>홈서비스</t>
        </is>
      </c>
      <c r="AC1515" t="n">
        <v>121000</v>
      </c>
      <c r="AD1515" t="n">
        <v>15400</v>
      </c>
      <c r="AE1515" t="n">
        <v>105600</v>
      </c>
      <c r="AF1515" t="n">
        <v>110000</v>
      </c>
      <c r="AG1515" t="n">
        <v>14891.8</v>
      </c>
      <c r="AH1515" t="n">
        <v>95108.2</v>
      </c>
    </row>
    <row r="1516">
      <c r="A1516" t="inlineStr">
        <is>
          <t>2월</t>
        </is>
      </c>
      <c r="B1516" t="inlineStr">
        <is>
          <t>9주차</t>
        </is>
      </c>
      <c r="C1516" t="inlineStr">
        <is>
          <t>EP</t>
        </is>
      </c>
      <c r="D1516" s="28" t="n">
        <v>46077</v>
      </c>
      <c r="E1516" t="inlineStr">
        <is>
          <t>현대EP_fast</t>
        </is>
      </c>
      <c r="F1516" t="inlineStr">
        <is>
          <t>양호상</t>
        </is>
      </c>
      <c r="G1516" t="inlineStr">
        <is>
          <t>010-6246-8334</t>
        </is>
      </c>
      <c r="H1516" t="inlineStr">
        <is>
          <t>809조6332</t>
        </is>
      </c>
      <c r="I1516" t="n">
        <v>16500000</v>
      </c>
      <c r="J1516" t="n">
        <v>0.089</v>
      </c>
      <c r="K1516" t="n">
        <v>1.76</v>
      </c>
      <c r="L1516" t="n">
        <v>0.14</v>
      </c>
      <c r="M1516" t="n">
        <v>1.62</v>
      </c>
      <c r="P1516" t="inlineStr">
        <is>
          <t>정세빈</t>
        </is>
      </c>
      <c r="Q1516" t="inlineStr">
        <is>
          <t>홈서비스 60개월</t>
        </is>
      </c>
      <c r="AB1516" t="inlineStr">
        <is>
          <t>홈서비스</t>
        </is>
      </c>
      <c r="AC1516" t="n">
        <v>290400</v>
      </c>
      <c r="AD1516" t="n">
        <v>23100</v>
      </c>
      <c r="AE1516" t="n">
        <v>267300</v>
      </c>
      <c r="AF1516" t="n">
        <v>264000</v>
      </c>
      <c r="AG1516" t="n">
        <v>22337.7</v>
      </c>
      <c r="AH1516" t="n">
        <v>241662.3</v>
      </c>
      <c r="AI1516" t="n">
        <v>0</v>
      </c>
    </row>
    <row r="1517">
      <c r="A1517" t="inlineStr">
        <is>
          <t>2월</t>
        </is>
      </c>
      <c r="B1517" t="inlineStr">
        <is>
          <t>9주차</t>
        </is>
      </c>
      <c r="C1517" t="inlineStr">
        <is>
          <t>EP</t>
        </is>
      </c>
      <c r="D1517" s="28" t="n">
        <v>46076</v>
      </c>
      <c r="E1517" t="inlineStr">
        <is>
          <t>현대EP_fast</t>
        </is>
      </c>
      <c r="F1517" t="inlineStr">
        <is>
          <t>백민정</t>
        </is>
      </c>
      <c r="G1517" t="inlineStr">
        <is>
          <t>010-4184-7496</t>
        </is>
      </c>
      <c r="H1517" t="inlineStr">
        <is>
          <t>37로4121</t>
        </is>
      </c>
      <c r="I1517" t="n">
        <v>16300000</v>
      </c>
      <c r="J1517" t="n">
        <v>0.116</v>
      </c>
      <c r="K1517" t="n">
        <v>1.76</v>
      </c>
      <c r="L1517" t="n">
        <v>0.4</v>
      </c>
      <c r="M1517" t="n">
        <v>1.36</v>
      </c>
      <c r="P1517" t="inlineStr">
        <is>
          <t>장현경</t>
        </is>
      </c>
      <c r="AB1517" t="inlineStr">
        <is>
          <t>엔카</t>
        </is>
      </c>
      <c r="AC1517" t="n">
        <v>286880</v>
      </c>
      <c r="AD1517" t="n">
        <v>65200</v>
      </c>
      <c r="AE1517" t="n">
        <v>221680</v>
      </c>
      <c r="AF1517" t="n">
        <v>260800</v>
      </c>
      <c r="AG1517" t="n">
        <v>63048.4</v>
      </c>
      <c r="AH1517" t="n">
        <v>197751.6</v>
      </c>
      <c r="AI1517" t="n">
        <v>0</v>
      </c>
    </row>
    <row r="1518">
      <c r="A1518" t="inlineStr">
        <is>
          <t>2월</t>
        </is>
      </c>
      <c r="B1518" t="inlineStr">
        <is>
          <t>9주차</t>
        </is>
      </c>
      <c r="C1518" t="inlineStr">
        <is>
          <t>EP</t>
        </is>
      </c>
      <c r="D1518" s="28" t="n">
        <v>46077</v>
      </c>
      <c r="E1518" t="inlineStr">
        <is>
          <t>현대EP_fast</t>
        </is>
      </c>
      <c r="F1518" t="inlineStr">
        <is>
          <t>임종우</t>
        </is>
      </c>
      <c r="G1518" t="inlineStr">
        <is>
          <t>010-5800-5331</t>
        </is>
      </c>
      <c r="H1518" t="inlineStr">
        <is>
          <t>154우6335</t>
        </is>
      </c>
      <c r="I1518" t="n">
        <v>49000000</v>
      </c>
      <c r="J1518" t="n">
        <v>0.07099999999999999</v>
      </c>
      <c r="K1518" t="n">
        <v>1.76</v>
      </c>
      <c r="L1518" t="n">
        <v>0.14</v>
      </c>
      <c r="M1518" t="n">
        <v>1.62</v>
      </c>
      <c r="P1518" t="inlineStr">
        <is>
          <t>장현경</t>
        </is>
      </c>
      <c r="Q1518" t="inlineStr">
        <is>
          <t>선상담 홈서비스 60개월 / 금리인하 0.5% 적용건 ( 7.6&gt; 7.1 )</t>
        </is>
      </c>
      <c r="AB1518" t="inlineStr">
        <is>
          <t>홈서비스</t>
        </is>
      </c>
      <c r="AC1518" t="n">
        <v>862400</v>
      </c>
      <c r="AD1518" t="n">
        <v>68600</v>
      </c>
      <c r="AE1518" t="n">
        <v>793800</v>
      </c>
      <c r="AF1518" t="n">
        <v>784000</v>
      </c>
      <c r="AG1518" t="n">
        <v>66336.2</v>
      </c>
      <c r="AH1518" t="n">
        <v>717663.8</v>
      </c>
      <c r="AI1518" t="n">
        <v>0</v>
      </c>
    </row>
    <row r="1519">
      <c r="A1519" t="inlineStr">
        <is>
          <t>2월</t>
        </is>
      </c>
      <c r="B1519" t="inlineStr">
        <is>
          <t>9주차</t>
        </is>
      </c>
      <c r="C1519" t="inlineStr">
        <is>
          <t>EP</t>
        </is>
      </c>
      <c r="D1519" s="28" t="n">
        <v>46077</v>
      </c>
      <c r="E1519" t="inlineStr">
        <is>
          <t>현대EP_fast</t>
        </is>
      </c>
      <c r="F1519" t="inlineStr">
        <is>
          <t>이지운</t>
        </is>
      </c>
      <c r="G1519" t="inlineStr">
        <is>
          <t>010-3565-9980</t>
        </is>
      </c>
      <c r="H1519" t="inlineStr">
        <is>
          <t>66누8718</t>
        </is>
      </c>
      <c r="I1519" t="n">
        <v>3000000</v>
      </c>
      <c r="J1519" t="n">
        <v>0.076</v>
      </c>
      <c r="K1519" t="n">
        <v>1.76</v>
      </c>
      <c r="L1519" t="n">
        <v>0.14</v>
      </c>
      <c r="M1519" t="n">
        <v>1.62</v>
      </c>
      <c r="P1519" t="inlineStr">
        <is>
          <t>김수연</t>
        </is>
      </c>
      <c r="Q1519" t="inlineStr">
        <is>
          <t>홈서비스 60개월</t>
        </is>
      </c>
      <c r="AB1519" t="inlineStr">
        <is>
          <t>홈서비스</t>
        </is>
      </c>
      <c r="AC1519" t="n">
        <v>52800</v>
      </c>
      <c r="AD1519" t="n">
        <v>4200</v>
      </c>
      <c r="AE1519" t="n">
        <v>48600</v>
      </c>
      <c r="AF1519" t="n">
        <v>48000</v>
      </c>
      <c r="AG1519" t="n">
        <v>4061.4</v>
      </c>
      <c r="AH1519" t="n">
        <v>43938.6</v>
      </c>
      <c r="AI1519" t="n">
        <v>0</v>
      </c>
    </row>
    <row r="1520">
      <c r="A1520" t="inlineStr">
        <is>
          <t>2월</t>
        </is>
      </c>
      <c r="B1520" t="inlineStr">
        <is>
          <t>8주차</t>
        </is>
      </c>
      <c r="C1520" t="inlineStr">
        <is>
          <t>EP</t>
        </is>
      </c>
      <c r="D1520" s="28" t="n">
        <v>46073</v>
      </c>
      <c r="E1520" t="inlineStr">
        <is>
          <t>현대EP_fast</t>
        </is>
      </c>
      <c r="F1520" t="inlineStr">
        <is>
          <t>박동호</t>
        </is>
      </c>
      <c r="G1520" t="inlineStr">
        <is>
          <t>010-6899-5570</t>
        </is>
      </c>
      <c r="H1520" t="inlineStr">
        <is>
          <t>241너6020</t>
        </is>
      </c>
      <c r="I1520" t="n">
        <v>22000000</v>
      </c>
      <c r="J1520" t="n">
        <v>0.08699999999999999</v>
      </c>
      <c r="K1520" t="n">
        <v>1.76</v>
      </c>
      <c r="L1520" t="n">
        <v>0.14</v>
      </c>
      <c r="M1520" t="n">
        <v>1.62</v>
      </c>
      <c r="P1520" t="inlineStr">
        <is>
          <t>정세빈</t>
        </is>
      </c>
      <c r="Q1520" t="inlineStr">
        <is>
          <t>홈서비스 36개월</t>
        </is>
      </c>
      <c r="AB1520" t="inlineStr">
        <is>
          <t>홈서비스</t>
        </is>
      </c>
      <c r="AC1520" t="n">
        <v>387200</v>
      </c>
      <c r="AD1520" t="n">
        <v>30800</v>
      </c>
      <c r="AE1520" t="n">
        <v>356400</v>
      </c>
      <c r="AF1520" t="n">
        <v>352000</v>
      </c>
      <c r="AG1520" t="n">
        <v>29783.6</v>
      </c>
      <c r="AH1520" t="n">
        <v>322216.4</v>
      </c>
    </row>
    <row r="1521">
      <c r="A1521" t="inlineStr">
        <is>
          <t>2월</t>
        </is>
      </c>
      <c r="B1521" t="inlineStr">
        <is>
          <t>9주차</t>
        </is>
      </c>
      <c r="C1521" t="inlineStr">
        <is>
          <t>IM</t>
        </is>
      </c>
      <c r="D1521" s="28" t="n">
        <v>46076</v>
      </c>
      <c r="E1521" t="inlineStr">
        <is>
          <t>IM캐피탈</t>
        </is>
      </c>
      <c r="F1521" t="inlineStr">
        <is>
          <t>양지수</t>
        </is>
      </c>
      <c r="G1521" t="inlineStr">
        <is>
          <t>010-8071-0030</t>
        </is>
      </c>
      <c r="H1521" t="inlineStr">
        <is>
          <t>78노9945</t>
        </is>
      </c>
      <c r="I1521" t="n">
        <v>8900000</v>
      </c>
      <c r="J1521" t="n">
        <v>0.056</v>
      </c>
      <c r="K1521" t="n">
        <v>1.1</v>
      </c>
      <c r="L1521" t="n">
        <v>0.14</v>
      </c>
      <c r="M1521" t="n">
        <v>0.96</v>
      </c>
      <c r="P1521" t="inlineStr">
        <is>
          <t>최형주</t>
        </is>
      </c>
      <c r="Q1521" t="inlineStr">
        <is>
          <t>홈서비스 60개월</t>
        </is>
      </c>
      <c r="AB1521" t="inlineStr">
        <is>
          <t>홈서비스</t>
        </is>
      </c>
      <c r="AC1521" t="n">
        <v>97900</v>
      </c>
      <c r="AD1521" t="n">
        <v>12460</v>
      </c>
      <c r="AE1521" t="n">
        <v>85440</v>
      </c>
      <c r="AF1521" t="n">
        <v>89000</v>
      </c>
      <c r="AG1521" t="n">
        <v>12048.82</v>
      </c>
      <c r="AH1521" t="n">
        <v>76951.17999999999</v>
      </c>
    </row>
    <row r="1522">
      <c r="A1522" t="inlineStr">
        <is>
          <t>2월</t>
        </is>
      </c>
      <c r="B1522" t="inlineStr">
        <is>
          <t>9주차</t>
        </is>
      </c>
      <c r="C1522" t="inlineStr">
        <is>
          <t>EP</t>
        </is>
      </c>
      <c r="D1522" s="28" t="n">
        <v>46076</v>
      </c>
      <c r="E1522" t="inlineStr">
        <is>
          <t>현대EP_fast</t>
        </is>
      </c>
      <c r="F1522" t="inlineStr">
        <is>
          <t>김완욱</t>
        </is>
      </c>
      <c r="G1522" t="inlineStr">
        <is>
          <t>010-3307-4607</t>
        </is>
      </c>
      <c r="H1522" t="inlineStr">
        <is>
          <t>338고8702</t>
        </is>
      </c>
      <c r="I1522" t="n">
        <v>19700000</v>
      </c>
      <c r="J1522" t="n">
        <v>0.097</v>
      </c>
      <c r="K1522" t="n">
        <v>1.76</v>
      </c>
      <c r="L1522" t="n">
        <v>0.4</v>
      </c>
      <c r="M1522" t="n">
        <v>1.36</v>
      </c>
      <c r="P1522" t="inlineStr">
        <is>
          <t>장진경</t>
        </is>
      </c>
      <c r="Q1522" t="inlineStr">
        <is>
          <t>금리인하 0.5% 적용건 ( 10.2 &gt; 9.7)</t>
        </is>
      </c>
      <c r="AB1522" t="inlineStr">
        <is>
          <t>엔카</t>
        </is>
      </c>
      <c r="AC1522" t="n">
        <v>346720</v>
      </c>
      <c r="AD1522" t="n">
        <v>78800</v>
      </c>
      <c r="AE1522" t="n">
        <v>267920</v>
      </c>
      <c r="AF1522" t="n">
        <v>315200</v>
      </c>
      <c r="AG1522" t="n">
        <v>76199.60000000001</v>
      </c>
      <c r="AH1522" t="n">
        <v>239000.4</v>
      </c>
      <c r="AI1522" t="n">
        <v>0</v>
      </c>
    </row>
    <row r="1523">
      <c r="A1523" t="inlineStr">
        <is>
          <t>2월</t>
        </is>
      </c>
      <c r="B1523" t="inlineStr">
        <is>
          <t>9주차</t>
        </is>
      </c>
      <c r="C1523" t="inlineStr">
        <is>
          <t>IM</t>
        </is>
      </c>
      <c r="D1523" s="28" t="n">
        <v>46076</v>
      </c>
      <c r="E1523" t="inlineStr">
        <is>
          <t>IM캐피탈</t>
        </is>
      </c>
      <c r="F1523" t="inlineStr">
        <is>
          <t>김병연</t>
        </is>
      </c>
      <c r="G1523" t="inlineStr">
        <is>
          <t>010-9272-1356</t>
        </is>
      </c>
      <c r="H1523" t="inlineStr">
        <is>
          <t>31모0523</t>
        </is>
      </c>
      <c r="I1523" t="n">
        <v>5000000</v>
      </c>
      <c r="J1523" t="n">
        <v>0.049</v>
      </c>
      <c r="K1523" t="n">
        <v>1.1</v>
      </c>
      <c r="L1523" t="n">
        <v>0.4</v>
      </c>
      <c r="M1523" t="n">
        <v>0.7</v>
      </c>
      <c r="P1523" t="inlineStr">
        <is>
          <t>구성완</t>
        </is>
      </c>
      <c r="Q1523" t="inlineStr">
        <is>
          <t>사유 : 금리 불만</t>
        </is>
      </c>
      <c r="AB1523" t="inlineStr">
        <is>
          <t>엔카</t>
        </is>
      </c>
      <c r="AC1523" t="n">
        <v>55000</v>
      </c>
      <c r="AD1523" t="n">
        <v>20000</v>
      </c>
      <c r="AE1523" t="n">
        <v>35000</v>
      </c>
      <c r="AF1523" t="n">
        <v>50000</v>
      </c>
      <c r="AG1523" t="n">
        <v>19340</v>
      </c>
      <c r="AH1523" t="n">
        <v>30660</v>
      </c>
      <c r="AI1523" t="n">
        <v>0</v>
      </c>
    </row>
    <row r="1524">
      <c r="A1524" t="inlineStr">
        <is>
          <t>2월</t>
        </is>
      </c>
      <c r="B1524" t="inlineStr">
        <is>
          <t>9주차</t>
        </is>
      </c>
      <c r="C1524" t="inlineStr">
        <is>
          <t>OR</t>
        </is>
      </c>
      <c r="D1524" s="28" t="n">
        <v>46077</v>
      </c>
      <c r="E1524" t="inlineStr">
        <is>
          <t>오릭스</t>
        </is>
      </c>
      <c r="F1524" t="inlineStr">
        <is>
          <t>손진환</t>
        </is>
      </c>
      <c r="G1524" t="inlineStr">
        <is>
          <t>010-8393-1127</t>
        </is>
      </c>
      <c r="H1524" t="inlineStr">
        <is>
          <t>62저6777</t>
        </is>
      </c>
      <c r="I1524" t="n">
        <v>20000000</v>
      </c>
      <c r="J1524" t="n">
        <v>0.064</v>
      </c>
      <c r="K1524" t="n">
        <v>1.65</v>
      </c>
      <c r="L1524" t="n">
        <v>0.4</v>
      </c>
      <c r="M1524" t="n">
        <v>1.25</v>
      </c>
      <c r="P1524" t="inlineStr">
        <is>
          <t>박현민</t>
        </is>
      </c>
      <c r="AB1524" t="inlineStr">
        <is>
          <t>엔카</t>
        </is>
      </c>
      <c r="AC1524" t="n">
        <v>330000</v>
      </c>
      <c r="AD1524" t="n">
        <v>80000</v>
      </c>
      <c r="AE1524" t="n">
        <v>250000</v>
      </c>
      <c r="AF1524" t="n">
        <v>300000</v>
      </c>
      <c r="AG1524" t="n">
        <v>77360</v>
      </c>
      <c r="AH1524" t="n">
        <v>222640</v>
      </c>
      <c r="AI1524" t="n">
        <v>0</v>
      </c>
    </row>
    <row r="1525">
      <c r="A1525" t="inlineStr">
        <is>
          <t>2월</t>
        </is>
      </c>
      <c r="B1525" t="inlineStr">
        <is>
          <t>9주차</t>
        </is>
      </c>
      <c r="C1525" t="inlineStr">
        <is>
          <t>EP</t>
        </is>
      </c>
      <c r="D1525" s="28" t="n">
        <v>46078</v>
      </c>
      <c r="E1525" t="inlineStr">
        <is>
          <t>현대EP_fast</t>
        </is>
      </c>
      <c r="F1525" t="inlineStr">
        <is>
          <t>한수현</t>
        </is>
      </c>
      <c r="G1525" t="inlineStr">
        <is>
          <t>010-4681-0937</t>
        </is>
      </c>
      <c r="H1525" t="inlineStr">
        <is>
          <t>362노8258</t>
        </is>
      </c>
      <c r="I1525" t="n">
        <v>24900000</v>
      </c>
      <c r="J1525" t="n">
        <v>0.08699999999999999</v>
      </c>
      <c r="K1525" t="n">
        <v>1.76</v>
      </c>
      <c r="L1525" t="n">
        <v>0.14</v>
      </c>
      <c r="M1525" t="n">
        <v>1.62</v>
      </c>
      <c r="P1525" t="inlineStr">
        <is>
          <t>정광호</t>
        </is>
      </c>
      <c r="Q1525" t="inlineStr">
        <is>
          <t>홈서비스 60개월</t>
        </is>
      </c>
      <c r="AB1525" t="inlineStr">
        <is>
          <t>홈서비스</t>
        </is>
      </c>
      <c r="AC1525" t="n">
        <v>438240</v>
      </c>
      <c r="AD1525" t="n">
        <v>34860</v>
      </c>
      <c r="AE1525" t="n">
        <v>403380</v>
      </c>
      <c r="AF1525" t="n">
        <v>398400</v>
      </c>
      <c r="AG1525" t="n">
        <v>33709.62</v>
      </c>
      <c r="AH1525" t="n">
        <v>364690.38</v>
      </c>
    </row>
    <row r="1526">
      <c r="A1526" t="inlineStr">
        <is>
          <t>2월</t>
        </is>
      </c>
      <c r="B1526" t="inlineStr">
        <is>
          <t>9주차</t>
        </is>
      </c>
      <c r="C1526" t="inlineStr">
        <is>
          <t>IM</t>
        </is>
      </c>
      <c r="D1526" s="28" t="n">
        <v>46077</v>
      </c>
      <c r="E1526" t="inlineStr">
        <is>
          <t>IM캐피탈</t>
        </is>
      </c>
      <c r="F1526" t="inlineStr">
        <is>
          <t>김애경</t>
        </is>
      </c>
      <c r="G1526" t="inlineStr">
        <is>
          <t>010-7713-0381</t>
        </is>
      </c>
      <c r="H1526" t="inlineStr">
        <is>
          <t>273라7774</t>
        </is>
      </c>
      <c r="I1526" t="n">
        <v>15900000</v>
      </c>
      <c r="J1526" t="n">
        <v>0.059</v>
      </c>
      <c r="K1526" t="n">
        <v>1.1</v>
      </c>
      <c r="L1526" t="n">
        <v>0.14</v>
      </c>
      <c r="M1526" t="n">
        <v>0.96</v>
      </c>
      <c r="P1526" t="inlineStr">
        <is>
          <t>김나윤</t>
        </is>
      </c>
      <c r="Q1526" t="inlineStr">
        <is>
          <t>홈서비스 36개월</t>
        </is>
      </c>
      <c r="AB1526" t="inlineStr">
        <is>
          <t>홈서비스</t>
        </is>
      </c>
      <c r="AC1526" t="n">
        <v>174900</v>
      </c>
      <c r="AD1526" t="n">
        <v>22260</v>
      </c>
      <c r="AE1526" t="n">
        <v>152640</v>
      </c>
      <c r="AF1526" t="n">
        <v>159000</v>
      </c>
      <c r="AG1526" t="n">
        <v>21525.42</v>
      </c>
      <c r="AH1526" t="n">
        <v>137474.58</v>
      </c>
      <c r="AI1526" t="n">
        <v>0</v>
      </c>
    </row>
    <row r="1527">
      <c r="A1527" t="inlineStr">
        <is>
          <t>2월</t>
        </is>
      </c>
      <c r="B1527" t="inlineStr">
        <is>
          <t>9주차</t>
        </is>
      </c>
      <c r="C1527" t="inlineStr">
        <is>
          <t>EP</t>
        </is>
      </c>
      <c r="D1527" s="28" t="n">
        <v>46079</v>
      </c>
      <c r="E1527" t="inlineStr">
        <is>
          <t>현대EP_fast</t>
        </is>
      </c>
      <c r="F1527" t="inlineStr">
        <is>
          <t>신상국</t>
        </is>
      </c>
      <c r="G1527" t="inlineStr">
        <is>
          <t>010-6272-7214</t>
        </is>
      </c>
      <c r="H1527" t="inlineStr">
        <is>
          <t>246무7129</t>
        </is>
      </c>
      <c r="I1527" t="n">
        <v>43900000</v>
      </c>
      <c r="J1527" t="n">
        <v>0.08500000000000001</v>
      </c>
      <c r="K1527" t="n">
        <v>1.76</v>
      </c>
      <c r="L1527" t="n">
        <v>0.14</v>
      </c>
      <c r="M1527" t="n">
        <v>1.62</v>
      </c>
      <c r="P1527" t="inlineStr">
        <is>
          <t>최형주</t>
        </is>
      </c>
      <c r="Q1527" t="inlineStr">
        <is>
          <t>홈서비스 60개월</t>
        </is>
      </c>
      <c r="AB1527" t="inlineStr">
        <is>
          <t>홈서비스</t>
        </is>
      </c>
      <c r="AC1527" t="n">
        <v>772640</v>
      </c>
      <c r="AD1527" t="n">
        <v>61460</v>
      </c>
      <c r="AE1527" t="n">
        <v>711180</v>
      </c>
      <c r="AF1527" t="n">
        <v>702400</v>
      </c>
      <c r="AG1527" t="n">
        <v>59431.82</v>
      </c>
      <c r="AH1527" t="n">
        <v>642968.1800000001</v>
      </c>
      <c r="AI1527" t="n">
        <v>0</v>
      </c>
    </row>
    <row r="1528">
      <c r="A1528" t="inlineStr">
        <is>
          <t>2월</t>
        </is>
      </c>
      <c r="B1528" t="inlineStr">
        <is>
          <t>9주차</t>
        </is>
      </c>
      <c r="C1528" t="inlineStr">
        <is>
          <t>IM</t>
        </is>
      </c>
      <c r="D1528" s="28" t="n">
        <v>46077</v>
      </c>
      <c r="E1528" t="inlineStr">
        <is>
          <t>IM캐피탈</t>
        </is>
      </c>
      <c r="F1528" t="inlineStr">
        <is>
          <t>김하연</t>
        </is>
      </c>
      <c r="G1528" t="inlineStr">
        <is>
          <t>010-4181-2864</t>
        </is>
      </c>
      <c r="H1528" t="inlineStr">
        <is>
          <t>125너3702</t>
        </is>
      </c>
      <c r="I1528" t="n">
        <v>12000000</v>
      </c>
      <c r="J1528" t="n">
        <v>0.082</v>
      </c>
      <c r="K1528" t="n">
        <v>1.1</v>
      </c>
      <c r="L1528" t="n">
        <v>0.14</v>
      </c>
      <c r="M1528" t="n">
        <v>0.96</v>
      </c>
      <c r="P1528" t="inlineStr">
        <is>
          <t>김나윤</t>
        </is>
      </c>
      <c r="Q1528" t="inlineStr">
        <is>
          <t>홈서비스 36개월</t>
        </is>
      </c>
      <c r="AB1528" t="inlineStr">
        <is>
          <t>홈서비스</t>
        </is>
      </c>
      <c r="AC1528" t="n">
        <v>132000</v>
      </c>
      <c r="AD1528" t="n">
        <v>16800</v>
      </c>
      <c r="AE1528" t="n">
        <v>115200</v>
      </c>
      <c r="AF1528" t="n">
        <v>120000</v>
      </c>
      <c r="AG1528" t="n">
        <v>16245.6</v>
      </c>
      <c r="AH1528" t="n">
        <v>103754.4</v>
      </c>
      <c r="AI1528" t="n">
        <v>0</v>
      </c>
    </row>
    <row r="1529">
      <c r="A1529" t="inlineStr">
        <is>
          <t>2월</t>
        </is>
      </c>
      <c r="B1529" t="inlineStr">
        <is>
          <t>9주차</t>
        </is>
      </c>
      <c r="C1529" t="inlineStr">
        <is>
          <t>EP</t>
        </is>
      </c>
      <c r="D1529" s="28" t="n">
        <v>46079</v>
      </c>
      <c r="E1529" t="inlineStr">
        <is>
          <t>현대EP_fast</t>
        </is>
      </c>
      <c r="F1529" t="inlineStr">
        <is>
          <t>황지상</t>
        </is>
      </c>
      <c r="G1529" t="inlineStr">
        <is>
          <t>010-8964-2941</t>
        </is>
      </c>
      <c r="H1529" t="inlineStr">
        <is>
          <t>336머6479</t>
        </is>
      </c>
      <c r="I1529" t="n">
        <v>17100000</v>
      </c>
      <c r="J1529" t="n">
        <v>0.07099999999999999</v>
      </c>
      <c r="K1529" t="n">
        <v>1.76</v>
      </c>
      <c r="L1529" t="n">
        <v>0.14</v>
      </c>
      <c r="M1529" t="n">
        <v>1.62</v>
      </c>
      <c r="P1529" t="inlineStr">
        <is>
          <t>박현민</t>
        </is>
      </c>
      <c r="Q1529" t="inlineStr">
        <is>
          <t>홈서비스 60개월</t>
        </is>
      </c>
      <c r="AB1529" t="inlineStr">
        <is>
          <t>홈서비스</t>
        </is>
      </c>
      <c r="AC1529" t="n">
        <v>300960</v>
      </c>
      <c r="AD1529" t="n">
        <v>23940</v>
      </c>
      <c r="AE1529" t="n">
        <v>277020</v>
      </c>
      <c r="AF1529" t="n">
        <v>273600</v>
      </c>
      <c r="AG1529" t="n">
        <v>23149.98</v>
      </c>
      <c r="AH1529" t="n">
        <v>250450.02</v>
      </c>
      <c r="AI1529" t="n">
        <v>0</v>
      </c>
    </row>
    <row r="1530">
      <c r="A1530" t="inlineStr">
        <is>
          <t>2월</t>
        </is>
      </c>
      <c r="B1530" t="inlineStr">
        <is>
          <t>9주차</t>
        </is>
      </c>
      <c r="C1530" t="inlineStr">
        <is>
          <t>EP</t>
        </is>
      </c>
      <c r="D1530" s="28" t="n">
        <v>46076</v>
      </c>
      <c r="E1530" t="inlineStr">
        <is>
          <t>제이비EP</t>
        </is>
      </c>
      <c r="F1530" t="inlineStr">
        <is>
          <t>조민기</t>
        </is>
      </c>
      <c r="G1530" t="inlineStr">
        <is>
          <t>010-7248-8955</t>
        </is>
      </c>
      <c r="H1530" t="inlineStr">
        <is>
          <t>57구8338</t>
        </is>
      </c>
      <c r="I1530" t="n">
        <v>9300000</v>
      </c>
      <c r="J1530" t="n">
        <v>0.07199999999999999</v>
      </c>
      <c r="K1530" t="n">
        <v>1.65</v>
      </c>
      <c r="L1530" t="n">
        <v>0.4</v>
      </c>
      <c r="M1530" t="n">
        <v>1.25</v>
      </c>
      <c r="P1530" t="inlineStr">
        <is>
          <t>정하은</t>
        </is>
      </c>
      <c r="Q1530" t="inlineStr">
        <is>
          <t>공동명의 / 부대비용추가진행 /금리인하 0.5% 적용건 ( 7.7&gt; 7.2)</t>
        </is>
      </c>
      <c r="AB1530" t="inlineStr">
        <is>
          <t>엔카</t>
        </is>
      </c>
      <c r="AC1530" t="n">
        <v>153450</v>
      </c>
      <c r="AD1530" t="n">
        <v>37200</v>
      </c>
      <c r="AE1530" t="n">
        <v>116250</v>
      </c>
      <c r="AF1530" t="n">
        <v>139500</v>
      </c>
      <c r="AG1530" t="n">
        <v>35972.4</v>
      </c>
      <c r="AH1530" t="n">
        <v>103527.6</v>
      </c>
      <c r="AI1530" t="n">
        <v>0</v>
      </c>
    </row>
    <row r="1531">
      <c r="A1531" t="inlineStr">
        <is>
          <t>2월</t>
        </is>
      </c>
      <c r="B1531" t="inlineStr">
        <is>
          <t>9주차</t>
        </is>
      </c>
      <c r="C1531" t="inlineStr">
        <is>
          <t>EP</t>
        </is>
      </c>
      <c r="D1531" s="28" t="n">
        <v>46077</v>
      </c>
      <c r="E1531" t="inlineStr">
        <is>
          <t>현대EP_fast</t>
        </is>
      </c>
      <c r="F1531" t="inlineStr">
        <is>
          <t>김태업</t>
        </is>
      </c>
      <c r="G1531" t="inlineStr">
        <is>
          <t>010-5588-7913</t>
        </is>
      </c>
      <c r="H1531" t="inlineStr">
        <is>
          <t>81너9222</t>
        </is>
      </c>
      <c r="I1531" t="n">
        <v>8500000</v>
      </c>
      <c r="J1531" t="n">
        <v>0.08400000000000001</v>
      </c>
      <c r="K1531" t="n">
        <v>1.76</v>
      </c>
      <c r="L1531" t="n">
        <v>0.4</v>
      </c>
      <c r="M1531" t="n">
        <v>1.36</v>
      </c>
      <c r="P1531" t="inlineStr">
        <is>
          <t>장진경</t>
        </is>
      </c>
      <c r="Q1531" t="inlineStr">
        <is>
          <t>금리인하 0.5% 적용건 ( 8.9&gt; 8.4 )</t>
        </is>
      </c>
      <c r="AB1531" t="inlineStr">
        <is>
          <t>엔카</t>
        </is>
      </c>
      <c r="AC1531" t="n">
        <v>149600</v>
      </c>
      <c r="AD1531" t="n">
        <v>34000</v>
      </c>
      <c r="AE1531" t="n">
        <v>115600</v>
      </c>
      <c r="AF1531" t="n">
        <v>136000</v>
      </c>
      <c r="AG1531" t="n">
        <v>32878</v>
      </c>
      <c r="AH1531" t="n">
        <v>103122</v>
      </c>
      <c r="AI1531" t="n">
        <v>0</v>
      </c>
    </row>
    <row r="1532">
      <c r="A1532" t="inlineStr">
        <is>
          <t>2월</t>
        </is>
      </c>
      <c r="B1532" t="inlineStr">
        <is>
          <t>9주차</t>
        </is>
      </c>
      <c r="C1532" t="inlineStr">
        <is>
          <t>EP</t>
        </is>
      </c>
      <c r="D1532" s="28" t="n">
        <v>46080</v>
      </c>
      <c r="E1532" t="inlineStr">
        <is>
          <t>현대EP</t>
        </is>
      </c>
      <c r="F1532" t="inlineStr">
        <is>
          <t>곽시우</t>
        </is>
      </c>
      <c r="G1532" t="inlineStr">
        <is>
          <t>010-2844-9326</t>
        </is>
      </c>
      <c r="H1532" t="inlineStr">
        <is>
          <t>374소2432</t>
        </is>
      </c>
      <c r="I1532" t="n">
        <v>20000000</v>
      </c>
      <c r="J1532" t="n">
        <v>0.059</v>
      </c>
      <c r="K1532" t="n">
        <v>1.76</v>
      </c>
      <c r="L1532" t="n">
        <v>0.14</v>
      </c>
      <c r="M1532" t="n">
        <v>1.62</v>
      </c>
      <c r="P1532" t="inlineStr">
        <is>
          <t>김나윤</t>
        </is>
      </c>
      <c r="Q1532" t="inlineStr">
        <is>
          <t>홈서비스 60개월</t>
        </is>
      </c>
      <c r="AB1532" t="inlineStr">
        <is>
          <t>홈서비스</t>
        </is>
      </c>
      <c r="AC1532" t="n">
        <v>352000</v>
      </c>
      <c r="AD1532" t="n">
        <v>28000</v>
      </c>
      <c r="AE1532" t="n">
        <v>324000</v>
      </c>
      <c r="AF1532" t="n">
        <v>320000</v>
      </c>
      <c r="AG1532" t="n">
        <v>27076</v>
      </c>
      <c r="AH1532" t="n">
        <v>292924</v>
      </c>
      <c r="AI1532" t="n">
        <v>0</v>
      </c>
    </row>
    <row r="1533">
      <c r="A1533" t="inlineStr">
        <is>
          <t>2월</t>
        </is>
      </c>
      <c r="B1533" t="inlineStr">
        <is>
          <t>7주차</t>
        </is>
      </c>
      <c r="C1533" t="inlineStr">
        <is>
          <t>EP</t>
        </is>
      </c>
      <c r="D1533" s="28" t="n">
        <v>46062</v>
      </c>
      <c r="E1533" t="inlineStr">
        <is>
          <t>현대EP</t>
        </is>
      </c>
      <c r="F1533" t="inlineStr">
        <is>
          <t>서명진</t>
        </is>
      </c>
      <c r="G1533" t="inlineStr">
        <is>
          <t>010-2573-7912</t>
        </is>
      </c>
      <c r="H1533" t="inlineStr">
        <is>
          <t>11너7787</t>
        </is>
      </c>
      <c r="I1533" t="n">
        <v>4200000</v>
      </c>
      <c r="J1533" t="n">
        <v>0.075</v>
      </c>
      <c r="K1533" t="n">
        <v>1.76</v>
      </c>
      <c r="L1533" t="n">
        <v>0.14</v>
      </c>
      <c r="M1533" t="n">
        <v>1.62</v>
      </c>
      <c r="P1533" t="inlineStr">
        <is>
          <t>정세빈</t>
        </is>
      </c>
      <c r="Q1533" t="inlineStr">
        <is>
          <t>홈서비스 60개월</t>
        </is>
      </c>
      <c r="AB1533" t="inlineStr">
        <is>
          <t>홈서비스</t>
        </is>
      </c>
      <c r="AC1533" t="n">
        <v>73920</v>
      </c>
      <c r="AD1533" t="n">
        <v>5880</v>
      </c>
      <c r="AE1533" t="n">
        <v>68040</v>
      </c>
      <c r="AF1533" t="n">
        <v>67200</v>
      </c>
      <c r="AG1533" t="n">
        <v>5685.96</v>
      </c>
      <c r="AH1533" t="n">
        <v>61514.04</v>
      </c>
    </row>
    <row r="1534">
      <c r="A1534" t="inlineStr">
        <is>
          <t>2월</t>
        </is>
      </c>
      <c r="B1534" t="inlineStr">
        <is>
          <t>7주차</t>
        </is>
      </c>
      <c r="C1534" t="inlineStr">
        <is>
          <t>EP</t>
        </is>
      </c>
      <c r="D1534" s="28" t="n">
        <v>46062</v>
      </c>
      <c r="E1534" t="inlineStr">
        <is>
          <t>현대EP_fast</t>
        </is>
      </c>
      <c r="F1534" t="inlineStr">
        <is>
          <t>조재우</t>
        </is>
      </c>
      <c r="G1534" t="inlineStr">
        <is>
          <t>010-7392-0517</t>
        </is>
      </c>
      <c r="H1534" t="inlineStr">
        <is>
          <t>320보3264</t>
        </is>
      </c>
      <c r="I1534" t="n">
        <v>7900000</v>
      </c>
      <c r="J1534" t="n">
        <v>0.093</v>
      </c>
      <c r="K1534" t="n">
        <v>1.76</v>
      </c>
      <c r="L1534" t="n">
        <v>0.14</v>
      </c>
      <c r="M1534" t="n">
        <v>1.62</v>
      </c>
      <c r="P1534" t="inlineStr">
        <is>
          <t>정세빈</t>
        </is>
      </c>
      <c r="Q1534" t="inlineStr">
        <is>
          <t>홈서비스 48개월</t>
        </is>
      </c>
      <c r="AB1534" t="inlineStr">
        <is>
          <t>홈서비스</t>
        </is>
      </c>
      <c r="AC1534" t="n">
        <v>139040</v>
      </c>
      <c r="AD1534" t="n">
        <v>11060</v>
      </c>
      <c r="AE1534" t="n">
        <v>127980</v>
      </c>
      <c r="AF1534" t="n">
        <v>126400</v>
      </c>
      <c r="AG1534" t="n">
        <v>10695.02</v>
      </c>
      <c r="AH1534" t="n">
        <v>115704.98</v>
      </c>
      <c r="AI1534" t="n">
        <v>0</v>
      </c>
    </row>
    <row r="1535">
      <c r="A1535" t="inlineStr">
        <is>
          <t>2월</t>
        </is>
      </c>
      <c r="B1535" t="inlineStr">
        <is>
          <t>9주차</t>
        </is>
      </c>
      <c r="C1535" t="inlineStr">
        <is>
          <t>IM</t>
        </is>
      </c>
      <c r="D1535" s="28" t="n">
        <v>46077</v>
      </c>
      <c r="E1535" t="inlineStr">
        <is>
          <t>IM캐피탈</t>
        </is>
      </c>
      <c r="F1535" t="inlineStr">
        <is>
          <t>이현웅</t>
        </is>
      </c>
      <c r="G1535" t="inlineStr">
        <is>
          <t>010-2303-7840</t>
        </is>
      </c>
      <c r="H1535" t="inlineStr">
        <is>
          <t>81고5570</t>
        </is>
      </c>
      <c r="I1535" t="n">
        <v>10000000</v>
      </c>
      <c r="J1535" t="n">
        <v>0.075</v>
      </c>
      <c r="K1535" t="n">
        <v>1.1</v>
      </c>
      <c r="L1535" t="n">
        <v>0.14</v>
      </c>
      <c r="M1535" t="n">
        <v>0.96</v>
      </c>
      <c r="P1535" t="inlineStr">
        <is>
          <t>황채이</t>
        </is>
      </c>
      <c r="Q1535" t="inlineStr">
        <is>
          <t>홈서비스 24개월</t>
        </is>
      </c>
      <c r="AB1535" t="inlineStr">
        <is>
          <t>홈서비스</t>
        </is>
      </c>
      <c r="AC1535" t="n">
        <v>110000</v>
      </c>
      <c r="AD1535" t="n">
        <v>14000</v>
      </c>
      <c r="AE1535" t="n">
        <v>96000</v>
      </c>
      <c r="AF1535" t="n">
        <v>100000</v>
      </c>
      <c r="AG1535" t="n">
        <v>13538</v>
      </c>
      <c r="AH1535" t="n">
        <v>86462</v>
      </c>
    </row>
    <row r="1536">
      <c r="A1536" t="inlineStr">
        <is>
          <t>2월</t>
        </is>
      </c>
      <c r="B1536" t="inlineStr">
        <is>
          <t>7주차</t>
        </is>
      </c>
      <c r="C1536" t="inlineStr">
        <is>
          <t>EP</t>
        </is>
      </c>
      <c r="D1536" s="28" t="n">
        <v>46064</v>
      </c>
      <c r="E1536" t="inlineStr">
        <is>
          <t>제이비EP</t>
        </is>
      </c>
      <c r="F1536" t="inlineStr">
        <is>
          <t>이복재</t>
        </is>
      </c>
      <c r="G1536" t="inlineStr">
        <is>
          <t>010-5699-1636</t>
        </is>
      </c>
      <c r="H1536" t="inlineStr">
        <is>
          <t>04누0840</t>
        </is>
      </c>
      <c r="I1536" t="n">
        <v>11500000</v>
      </c>
      <c r="J1536" t="n">
        <v>0.07199999999999999</v>
      </c>
      <c r="K1536" t="n">
        <v>1.65</v>
      </c>
      <c r="L1536" t="n">
        <v>0.4</v>
      </c>
      <c r="M1536" t="n">
        <v>1.25</v>
      </c>
      <c r="P1536" t="inlineStr">
        <is>
          <t>장진경</t>
        </is>
      </c>
      <c r="Q1536" t="inlineStr">
        <is>
          <t>부대비용 추가진행 / 금리인하 0.5% 적용건 (7.7 &gt; 7.2)</t>
        </is>
      </c>
      <c r="AB1536" t="inlineStr">
        <is>
          <t>엔카</t>
        </is>
      </c>
      <c r="AC1536" t="n">
        <v>189750</v>
      </c>
      <c r="AD1536" t="n">
        <v>46000</v>
      </c>
      <c r="AE1536" t="n">
        <v>143750</v>
      </c>
      <c r="AF1536" t="n">
        <v>172500</v>
      </c>
      <c r="AG1536" t="n">
        <v>44482</v>
      </c>
      <c r="AH1536" t="n">
        <v>128018</v>
      </c>
      <c r="AI1536" t="n">
        <v>0</v>
      </c>
    </row>
    <row r="1537">
      <c r="A1537" t="inlineStr">
        <is>
          <t>2월</t>
        </is>
      </c>
      <c r="B1537" t="inlineStr">
        <is>
          <t>7주차</t>
        </is>
      </c>
      <c r="C1537" t="inlineStr">
        <is>
          <t>IM</t>
        </is>
      </c>
      <c r="D1537" s="28" t="n">
        <v>46064</v>
      </c>
      <c r="E1537" t="inlineStr">
        <is>
          <t>IM캐피탈</t>
        </is>
      </c>
      <c r="F1537" t="inlineStr">
        <is>
          <t>장훈희</t>
        </is>
      </c>
      <c r="G1537" t="inlineStr">
        <is>
          <t>010-9266-3886</t>
        </is>
      </c>
      <c r="H1537" t="inlineStr">
        <is>
          <t>375주8015</t>
        </is>
      </c>
      <c r="I1537" t="n">
        <v>21000000</v>
      </c>
      <c r="J1537" t="n">
        <v>0.059</v>
      </c>
      <c r="K1537" t="n">
        <v>1.1</v>
      </c>
      <c r="L1537" t="n">
        <v>0.4</v>
      </c>
      <c r="M1537" t="n">
        <v>0.7</v>
      </c>
      <c r="P1537" t="inlineStr">
        <is>
          <t>장진경</t>
        </is>
      </c>
      <c r="Q1537" t="inlineStr">
        <is>
          <t>부대비용 추가진행</t>
        </is>
      </c>
      <c r="AB1537" t="inlineStr">
        <is>
          <t>엔카</t>
        </is>
      </c>
      <c r="AC1537" t="n">
        <v>231000</v>
      </c>
      <c r="AD1537" t="n">
        <v>84000</v>
      </c>
      <c r="AE1537" t="n">
        <v>147000</v>
      </c>
      <c r="AF1537" t="n">
        <v>210000</v>
      </c>
      <c r="AG1537" t="n">
        <v>81228</v>
      </c>
      <c r="AH1537" t="n">
        <v>128772</v>
      </c>
    </row>
    <row r="1538">
      <c r="A1538" t="inlineStr">
        <is>
          <t>2월</t>
        </is>
      </c>
      <c r="B1538" t="inlineStr">
        <is>
          <t>9주차</t>
        </is>
      </c>
      <c r="C1538" t="inlineStr">
        <is>
          <t>EP</t>
        </is>
      </c>
      <c r="D1538" s="28" t="n">
        <v>46077</v>
      </c>
      <c r="E1538" t="inlineStr">
        <is>
          <t>현대EP_fast</t>
        </is>
      </c>
      <c r="F1538" t="inlineStr">
        <is>
          <t>김영진</t>
        </is>
      </c>
      <c r="G1538" t="inlineStr">
        <is>
          <t>010-8181-9628</t>
        </is>
      </c>
      <c r="H1538" t="inlineStr">
        <is>
          <t>135소7576</t>
        </is>
      </c>
      <c r="I1538" t="n">
        <v>16200000</v>
      </c>
      <c r="J1538" t="n">
        <v>0.079</v>
      </c>
      <c r="K1538" t="n">
        <v>1.76</v>
      </c>
      <c r="L1538" t="n">
        <v>0.14</v>
      </c>
      <c r="M1538" t="n">
        <v>1.62</v>
      </c>
      <c r="P1538" t="inlineStr">
        <is>
          <t>박보람</t>
        </is>
      </c>
      <c r="Q1538" t="inlineStr">
        <is>
          <t>선상담 / 홈서비스 60개월 / 자기주도체결</t>
        </is>
      </c>
      <c r="AB1538" t="inlineStr">
        <is>
          <t>홈서비스</t>
        </is>
      </c>
      <c r="AC1538" t="n">
        <v>285120</v>
      </c>
      <c r="AD1538" t="n">
        <v>22680</v>
      </c>
      <c r="AE1538" t="n">
        <v>262440</v>
      </c>
      <c r="AF1538" t="n">
        <v>259200</v>
      </c>
      <c r="AG1538" t="n">
        <v>21931.56</v>
      </c>
      <c r="AH1538" t="n">
        <v>237268.44</v>
      </c>
    </row>
    <row r="1539">
      <c r="A1539" t="inlineStr">
        <is>
          <t>2월</t>
        </is>
      </c>
      <c r="B1539" t="inlineStr">
        <is>
          <t>7주차</t>
        </is>
      </c>
      <c r="C1539" t="inlineStr">
        <is>
          <t>EP</t>
        </is>
      </c>
      <c r="D1539" s="28" t="n">
        <v>46064</v>
      </c>
      <c r="E1539" t="inlineStr">
        <is>
          <t>현대EP_fast</t>
        </is>
      </c>
      <c r="F1539" t="inlineStr">
        <is>
          <t>박혜령</t>
        </is>
      </c>
      <c r="G1539" t="n">
        <v>1071947004</v>
      </c>
      <c r="H1539" t="inlineStr">
        <is>
          <t>68소3915</t>
        </is>
      </c>
      <c r="I1539" t="n">
        <v>11700000</v>
      </c>
      <c r="J1539" t="n">
        <v>0.083</v>
      </c>
      <c r="K1539" t="n">
        <v>1.76</v>
      </c>
      <c r="L1539" t="n">
        <v>0.14</v>
      </c>
      <c r="M1539" t="n">
        <v>1.62</v>
      </c>
      <c r="P1539" t="inlineStr">
        <is>
          <t>김나윤</t>
        </is>
      </c>
      <c r="Q1539" t="inlineStr">
        <is>
          <t>홈서비스 60개월</t>
        </is>
      </c>
      <c r="AB1539" t="inlineStr">
        <is>
          <t>홈서비스</t>
        </is>
      </c>
      <c r="AC1539" t="n">
        <v>205920</v>
      </c>
      <c r="AD1539" t="n">
        <v>16380</v>
      </c>
      <c r="AE1539" t="n">
        <v>189540</v>
      </c>
      <c r="AF1539" t="n">
        <v>187200</v>
      </c>
      <c r="AG1539" t="n">
        <v>15839.46</v>
      </c>
      <c r="AH1539" t="n">
        <v>171360.54</v>
      </c>
      <c r="AI1539" t="n">
        <v>0</v>
      </c>
    </row>
    <row r="1540">
      <c r="A1540" t="inlineStr">
        <is>
          <t>2월</t>
        </is>
      </c>
      <c r="B1540" t="inlineStr">
        <is>
          <t>9주차</t>
        </is>
      </c>
      <c r="C1540" t="inlineStr">
        <is>
          <t>IM</t>
        </is>
      </c>
      <c r="D1540" s="28" t="n">
        <v>46077</v>
      </c>
      <c r="E1540" t="inlineStr">
        <is>
          <t>IM캐피탈</t>
        </is>
      </c>
      <c r="F1540" t="inlineStr">
        <is>
          <t>남민서</t>
        </is>
      </c>
      <c r="G1540" t="inlineStr">
        <is>
          <t>010-9275-5507</t>
        </is>
      </c>
      <c r="H1540" t="inlineStr">
        <is>
          <t>342구6712</t>
        </is>
      </c>
      <c r="I1540" t="n">
        <v>35700000</v>
      </c>
      <c r="J1540" t="n">
        <v>0.059</v>
      </c>
      <c r="K1540" t="n">
        <v>1.1</v>
      </c>
      <c r="L1540" t="n">
        <v>0.14</v>
      </c>
      <c r="M1540" t="n">
        <v>0.96</v>
      </c>
      <c r="P1540" t="inlineStr">
        <is>
          <t>정세빈</t>
        </is>
      </c>
      <c r="Q1540" t="inlineStr">
        <is>
          <t>홈서비스 60개월</t>
        </is>
      </c>
      <c r="AB1540" t="inlineStr">
        <is>
          <t>홈서비스</t>
        </is>
      </c>
      <c r="AC1540" t="n">
        <v>392700</v>
      </c>
      <c r="AD1540" t="n">
        <v>49980</v>
      </c>
      <c r="AE1540" t="n">
        <v>342720</v>
      </c>
      <c r="AF1540" t="n">
        <v>357000</v>
      </c>
      <c r="AG1540" t="n">
        <v>48330.66</v>
      </c>
      <c r="AH1540" t="n">
        <v>308669.34</v>
      </c>
      <c r="AI1540" t="n">
        <v>0</v>
      </c>
    </row>
    <row r="1541">
      <c r="A1541" t="inlineStr">
        <is>
          <t>2월</t>
        </is>
      </c>
      <c r="B1541" t="inlineStr">
        <is>
          <t>7주차</t>
        </is>
      </c>
      <c r="C1541" t="inlineStr">
        <is>
          <t>EP</t>
        </is>
      </c>
      <c r="D1541" s="28" t="n">
        <v>46065</v>
      </c>
      <c r="E1541" t="inlineStr">
        <is>
          <t>현대EP</t>
        </is>
      </c>
      <c r="F1541" t="inlineStr">
        <is>
          <t>김형태</t>
        </is>
      </c>
      <c r="G1541" t="inlineStr">
        <is>
          <t>010-9292-4274</t>
        </is>
      </c>
      <c r="H1541" t="inlineStr">
        <is>
          <t>68더3099</t>
        </is>
      </c>
      <c r="I1541" t="n">
        <v>4200000</v>
      </c>
      <c r="J1541" t="n">
        <v>0.08699999999999999</v>
      </c>
      <c r="K1541" t="n">
        <v>1.76</v>
      </c>
      <c r="L1541" t="n">
        <v>0.14</v>
      </c>
      <c r="M1541" t="n">
        <v>1.62</v>
      </c>
      <c r="P1541" t="inlineStr">
        <is>
          <t>최형주</t>
        </is>
      </c>
      <c r="Q1541" t="inlineStr">
        <is>
          <t>홈서비스 36개월</t>
        </is>
      </c>
      <c r="AB1541" t="inlineStr">
        <is>
          <t>홈서비스</t>
        </is>
      </c>
      <c r="AC1541" t="n">
        <v>73920</v>
      </c>
      <c r="AD1541" t="n">
        <v>5880</v>
      </c>
      <c r="AE1541" t="n">
        <v>68040</v>
      </c>
      <c r="AF1541" t="n">
        <v>67200</v>
      </c>
      <c r="AG1541" t="n">
        <v>5685.96</v>
      </c>
      <c r="AH1541" t="n">
        <v>61514.04</v>
      </c>
      <c r="AI1541" t="n">
        <v>0</v>
      </c>
    </row>
    <row r="1542">
      <c r="A1542" t="inlineStr">
        <is>
          <t>2월</t>
        </is>
      </c>
      <c r="B1542" t="inlineStr">
        <is>
          <t>8주차</t>
        </is>
      </c>
      <c r="C1542" t="inlineStr">
        <is>
          <t>EP</t>
        </is>
      </c>
      <c r="D1542" s="28" t="n">
        <v>46072</v>
      </c>
      <c r="E1542" t="inlineStr">
        <is>
          <t>현대EP</t>
        </is>
      </c>
      <c r="F1542" t="inlineStr">
        <is>
          <t>이호형</t>
        </is>
      </c>
      <c r="G1542" t="inlineStr">
        <is>
          <t>010-7271-4091</t>
        </is>
      </c>
      <c r="H1542" t="inlineStr">
        <is>
          <t>184로1144</t>
        </is>
      </c>
      <c r="I1542" t="n">
        <v>70000000</v>
      </c>
      <c r="J1542" t="n">
        <v>0.08699999999999999</v>
      </c>
      <c r="K1542" t="n">
        <v>1.76</v>
      </c>
      <c r="L1542" t="n">
        <v>0.14</v>
      </c>
      <c r="M1542" t="n">
        <v>1.62</v>
      </c>
      <c r="P1542" t="inlineStr">
        <is>
          <t>김나윤</t>
        </is>
      </c>
      <c r="Q1542" t="inlineStr">
        <is>
          <t>홈서비스 60개월</t>
        </is>
      </c>
      <c r="AB1542" t="inlineStr">
        <is>
          <t>홈서비스</t>
        </is>
      </c>
      <c r="AC1542" t="n">
        <v>1232000</v>
      </c>
      <c r="AD1542" t="n">
        <v>98000</v>
      </c>
      <c r="AE1542" t="n">
        <v>1134000</v>
      </c>
      <c r="AF1542" t="n">
        <v>1120000</v>
      </c>
      <c r="AG1542" t="n">
        <v>94766</v>
      </c>
      <c r="AH1542" t="n">
        <v>1025234</v>
      </c>
      <c r="AI1542" t="n">
        <v>0</v>
      </c>
    </row>
    <row r="1543">
      <c r="A1543" t="inlineStr">
        <is>
          <t>2월</t>
        </is>
      </c>
      <c r="B1543" t="inlineStr">
        <is>
          <t>8주차</t>
        </is>
      </c>
      <c r="C1543" t="inlineStr">
        <is>
          <t>EP</t>
        </is>
      </c>
      <c r="D1543" s="28" t="n">
        <v>46072</v>
      </c>
      <c r="E1543" t="inlineStr">
        <is>
          <t>현대EP</t>
        </is>
      </c>
      <c r="F1543" t="inlineStr">
        <is>
          <t>주은희</t>
        </is>
      </c>
      <c r="G1543" t="inlineStr">
        <is>
          <t>010-9260-1332</t>
        </is>
      </c>
      <c r="H1543" t="inlineStr">
        <is>
          <t>388마6541</t>
        </is>
      </c>
      <c r="I1543" t="n">
        <v>5900000</v>
      </c>
      <c r="J1543" t="n">
        <v>0.08699999999999999</v>
      </c>
      <c r="K1543" t="n">
        <v>1.76</v>
      </c>
      <c r="L1543" t="n">
        <v>0.14</v>
      </c>
      <c r="M1543" t="n">
        <v>1.62</v>
      </c>
      <c r="P1543" t="inlineStr">
        <is>
          <t>정광호</t>
        </is>
      </c>
      <c r="Q1543" t="inlineStr">
        <is>
          <t>홈서비스 60개월</t>
        </is>
      </c>
      <c r="AB1543" t="inlineStr">
        <is>
          <t>홈서비스</t>
        </is>
      </c>
      <c r="AC1543" t="n">
        <v>103840</v>
      </c>
      <c r="AD1543" t="n">
        <v>8260</v>
      </c>
      <c r="AE1543" t="n">
        <v>95580</v>
      </c>
      <c r="AF1543" t="n">
        <v>94400</v>
      </c>
      <c r="AG1543" t="n">
        <v>7987.42</v>
      </c>
      <c r="AH1543" t="n">
        <v>86412.58</v>
      </c>
      <c r="AI1543" t="n">
        <v>0</v>
      </c>
    </row>
    <row r="1544">
      <c r="A1544" t="inlineStr">
        <is>
          <t>2월</t>
        </is>
      </c>
      <c r="B1544" t="inlineStr">
        <is>
          <t>8주차</t>
        </is>
      </c>
      <c r="C1544" t="inlineStr">
        <is>
          <t>IM</t>
        </is>
      </c>
      <c r="D1544" s="28" t="n">
        <v>46072</v>
      </c>
      <c r="E1544" t="inlineStr">
        <is>
          <t>IM캐피탈</t>
        </is>
      </c>
      <c r="F1544" t="inlineStr">
        <is>
          <t>유찬양</t>
        </is>
      </c>
      <c r="G1544" t="inlineStr">
        <is>
          <t>010-3728-1021</t>
        </is>
      </c>
      <c r="H1544" t="inlineStr">
        <is>
          <t>370오4668</t>
        </is>
      </c>
      <c r="I1544" t="n">
        <v>50500000</v>
      </c>
      <c r="J1544" t="n">
        <v>0.075</v>
      </c>
      <c r="K1544" t="n">
        <v>1.1</v>
      </c>
      <c r="L1544" t="n">
        <v>0.14</v>
      </c>
      <c r="M1544" t="n">
        <v>0.96</v>
      </c>
      <c r="P1544" t="inlineStr">
        <is>
          <t>정세빈</t>
        </is>
      </c>
      <c r="Q1544" t="inlineStr">
        <is>
          <t>홈서비스 72개월</t>
        </is>
      </c>
      <c r="AB1544" t="inlineStr">
        <is>
          <t>홈서비스</t>
        </is>
      </c>
      <c r="AC1544" t="n">
        <v>555500</v>
      </c>
      <c r="AD1544" t="n">
        <v>70700</v>
      </c>
      <c r="AE1544" t="n">
        <v>484800</v>
      </c>
      <c r="AF1544" t="n">
        <v>505000</v>
      </c>
      <c r="AG1544" t="n">
        <v>68366.89999999999</v>
      </c>
      <c r="AH1544" t="n">
        <v>436633.1</v>
      </c>
      <c r="AI1544" t="n">
        <v>0</v>
      </c>
    </row>
    <row r="1545">
      <c r="A1545" t="inlineStr">
        <is>
          <t>2월</t>
        </is>
      </c>
      <c r="B1545" t="inlineStr">
        <is>
          <t>8주차</t>
        </is>
      </c>
      <c r="C1545" t="inlineStr">
        <is>
          <t>IM</t>
        </is>
      </c>
      <c r="D1545" s="28" t="n">
        <v>46073</v>
      </c>
      <c r="E1545" t="inlineStr">
        <is>
          <t>IM캐피탈</t>
        </is>
      </c>
      <c r="F1545" t="inlineStr">
        <is>
          <t>문은경</t>
        </is>
      </c>
      <c r="G1545" t="inlineStr">
        <is>
          <t>010-8915-2121</t>
        </is>
      </c>
      <c r="H1545" t="inlineStr">
        <is>
          <t>11누8188</t>
        </is>
      </c>
      <c r="I1545" t="n">
        <v>4900000</v>
      </c>
      <c r="J1545" t="n">
        <v>0.049</v>
      </c>
      <c r="K1545" t="n">
        <v>1.1</v>
      </c>
      <c r="L1545" t="n">
        <v>0.14</v>
      </c>
      <c r="M1545" t="n">
        <v>0.96</v>
      </c>
      <c r="P1545" t="inlineStr">
        <is>
          <t>정세빈</t>
        </is>
      </c>
      <c r="Q1545" t="inlineStr">
        <is>
          <t>홈서비스 48개월</t>
        </is>
      </c>
      <c r="AB1545" t="inlineStr">
        <is>
          <t>홈서비스</t>
        </is>
      </c>
      <c r="AC1545" t="n">
        <v>53900</v>
      </c>
      <c r="AD1545" t="n">
        <v>6860</v>
      </c>
      <c r="AE1545" t="n">
        <v>47040</v>
      </c>
      <c r="AF1545" t="n">
        <v>49000</v>
      </c>
      <c r="AG1545" t="n">
        <v>6633.62</v>
      </c>
      <c r="AH1545" t="n">
        <v>42366.38</v>
      </c>
      <c r="AI1545" t="n">
        <v>0</v>
      </c>
    </row>
    <row r="1546">
      <c r="A1546" t="inlineStr">
        <is>
          <t>2월</t>
        </is>
      </c>
      <c r="B1546" t="inlineStr">
        <is>
          <t>8주차</t>
        </is>
      </c>
      <c r="C1546" t="inlineStr">
        <is>
          <t>EP</t>
        </is>
      </c>
      <c r="D1546" s="28" t="n">
        <v>46074</v>
      </c>
      <c r="E1546" t="inlineStr">
        <is>
          <t>현대EP</t>
        </is>
      </c>
      <c r="F1546" t="inlineStr">
        <is>
          <t>박상혁</t>
        </is>
      </c>
      <c r="G1546" t="inlineStr">
        <is>
          <t>010-9465-6114</t>
        </is>
      </c>
      <c r="H1546" t="inlineStr">
        <is>
          <t>26고5244</t>
        </is>
      </c>
      <c r="I1546" t="n">
        <v>38800000</v>
      </c>
      <c r="J1546" t="n">
        <v>0.102</v>
      </c>
      <c r="K1546" t="n">
        <v>1.76</v>
      </c>
      <c r="L1546" t="n">
        <v>0.14</v>
      </c>
      <c r="M1546" t="n">
        <v>1.62</v>
      </c>
      <c r="P1546" t="inlineStr">
        <is>
          <t>황채이</t>
        </is>
      </c>
      <c r="Q1546" t="inlineStr">
        <is>
          <t>홈서비스 60개월</t>
        </is>
      </c>
      <c r="AB1546" t="inlineStr">
        <is>
          <t>홈서비스</t>
        </is>
      </c>
      <c r="AC1546" t="n">
        <v>682880</v>
      </c>
      <c r="AD1546" t="n">
        <v>54320</v>
      </c>
      <c r="AE1546" t="n">
        <v>628560</v>
      </c>
      <c r="AF1546" t="n">
        <v>620800</v>
      </c>
      <c r="AG1546" t="n">
        <v>52527.44</v>
      </c>
      <c r="AH1546" t="n">
        <v>568272.5600000001</v>
      </c>
      <c r="AI1546" t="n">
        <v>0</v>
      </c>
    </row>
    <row r="1547">
      <c r="A1547" t="inlineStr">
        <is>
          <t>2월</t>
        </is>
      </c>
      <c r="B1547" t="inlineStr">
        <is>
          <t>8주차</t>
        </is>
      </c>
      <c r="C1547" t="inlineStr">
        <is>
          <t>EP</t>
        </is>
      </c>
      <c r="D1547" s="28" t="n">
        <v>46073</v>
      </c>
      <c r="E1547" t="inlineStr">
        <is>
          <t>현대EP_fast</t>
        </is>
      </c>
      <c r="F1547" t="inlineStr">
        <is>
          <t xml:space="preserve"> 최환세</t>
        </is>
      </c>
      <c r="G1547" t="inlineStr">
        <is>
          <t>010-7131-2531</t>
        </is>
      </c>
      <c r="H1547" t="inlineStr">
        <is>
          <t>24부9677</t>
        </is>
      </c>
      <c r="I1547" t="n">
        <v>6200000</v>
      </c>
      <c r="J1547" t="n">
        <v>0.073</v>
      </c>
      <c r="K1547" t="n">
        <v>1.76</v>
      </c>
      <c r="L1547" t="n">
        <v>0.14</v>
      </c>
      <c r="M1547" t="n">
        <v>1.62</v>
      </c>
      <c r="P1547" t="inlineStr">
        <is>
          <t>정광호</t>
        </is>
      </c>
      <c r="Q1547" t="inlineStr">
        <is>
          <t>홈서빗 48개월</t>
        </is>
      </c>
      <c r="AB1547" t="inlineStr">
        <is>
          <t>홈서비스</t>
        </is>
      </c>
      <c r="AC1547" t="n">
        <v>109120</v>
      </c>
      <c r="AD1547" t="n">
        <v>8680</v>
      </c>
      <c r="AE1547" t="n">
        <v>100440</v>
      </c>
      <c r="AF1547" t="n">
        <v>99200</v>
      </c>
      <c r="AG1547" t="n">
        <v>8393.559999999999</v>
      </c>
      <c r="AH1547" t="n">
        <v>90806.44</v>
      </c>
    </row>
    <row r="1548">
      <c r="A1548" t="inlineStr">
        <is>
          <t>2월</t>
        </is>
      </c>
      <c r="B1548" t="inlineStr">
        <is>
          <t>9주차</t>
        </is>
      </c>
      <c r="C1548" t="inlineStr">
        <is>
          <t>EP</t>
        </is>
      </c>
      <c r="D1548" s="28" t="n">
        <v>46078</v>
      </c>
      <c r="E1548" t="inlineStr">
        <is>
          <t>현대EP_fast</t>
        </is>
      </c>
      <c r="F1548" t="inlineStr">
        <is>
          <t>김종규</t>
        </is>
      </c>
      <c r="G1548" t="inlineStr">
        <is>
          <t>010-9169-9506</t>
        </is>
      </c>
      <c r="H1548" t="inlineStr">
        <is>
          <t>54가3677</t>
        </is>
      </c>
      <c r="I1548" t="n">
        <v>14400000</v>
      </c>
      <c r="J1548" t="n">
        <v>0.083</v>
      </c>
      <c r="K1548" t="n">
        <v>1.76</v>
      </c>
      <c r="L1548" t="n">
        <v>0.14</v>
      </c>
      <c r="M1548" t="n">
        <v>1.62</v>
      </c>
      <c r="P1548" t="inlineStr">
        <is>
          <t>정세빈</t>
        </is>
      </c>
      <c r="Q1548" t="inlineStr">
        <is>
          <t>홈서비스 60개월</t>
        </is>
      </c>
      <c r="AB1548" t="inlineStr">
        <is>
          <t>홈서비스</t>
        </is>
      </c>
      <c r="AC1548" t="n">
        <v>253440</v>
      </c>
      <c r="AD1548" t="n">
        <v>20160</v>
      </c>
      <c r="AE1548" t="n">
        <v>233280</v>
      </c>
      <c r="AF1548" t="n">
        <v>230400</v>
      </c>
      <c r="AG1548" t="n">
        <v>19494.72</v>
      </c>
      <c r="AH1548" t="n">
        <v>210905.28</v>
      </c>
    </row>
    <row r="1549">
      <c r="A1549" t="inlineStr">
        <is>
          <t>2월</t>
        </is>
      </c>
      <c r="B1549" t="inlineStr">
        <is>
          <t>9주차</t>
        </is>
      </c>
      <c r="C1549" t="inlineStr">
        <is>
          <t>IM</t>
        </is>
      </c>
      <c r="D1549" s="28" t="n">
        <v>46077</v>
      </c>
      <c r="E1549" t="inlineStr">
        <is>
          <t>IM캐피탈</t>
        </is>
      </c>
      <c r="F1549" t="inlineStr">
        <is>
          <t>조인선</t>
        </is>
      </c>
      <c r="G1549" t="inlineStr">
        <is>
          <t>010-3930-2308</t>
        </is>
      </c>
      <c r="H1549" t="inlineStr">
        <is>
          <t>368루4170</t>
        </is>
      </c>
      <c r="I1549" t="n">
        <v>40000000</v>
      </c>
      <c r="J1549" t="n">
        <v>0.066</v>
      </c>
      <c r="K1549" t="n">
        <v>1.1</v>
      </c>
      <c r="L1549" t="n">
        <v>0.14</v>
      </c>
      <c r="M1549" t="n">
        <v>0.96</v>
      </c>
      <c r="P1549" t="inlineStr">
        <is>
          <t>김나윤</t>
        </is>
      </c>
      <c r="Q1549" t="inlineStr">
        <is>
          <t>홈서비스 60개월</t>
        </is>
      </c>
      <c r="AB1549" t="inlineStr">
        <is>
          <t>홈서비스</t>
        </is>
      </c>
      <c r="AC1549" t="n">
        <v>440000</v>
      </c>
      <c r="AD1549" t="n">
        <v>56000</v>
      </c>
      <c r="AE1549" t="n">
        <v>384000</v>
      </c>
      <c r="AF1549" t="n">
        <v>400000</v>
      </c>
      <c r="AG1549" t="n">
        <v>54152</v>
      </c>
      <c r="AH1549" t="n">
        <v>345848</v>
      </c>
      <c r="AI1549" t="n">
        <v>0</v>
      </c>
    </row>
    <row r="1550">
      <c r="A1550" t="inlineStr">
        <is>
          <t>2월</t>
        </is>
      </c>
      <c r="B1550" t="inlineStr">
        <is>
          <t>8주차</t>
        </is>
      </c>
      <c r="C1550" t="inlineStr">
        <is>
          <t>EP</t>
        </is>
      </c>
      <c r="D1550" s="28" t="n">
        <v>46072</v>
      </c>
      <c r="E1550" t="inlineStr">
        <is>
          <t>현대EP_fast</t>
        </is>
      </c>
      <c r="F1550" t="inlineStr">
        <is>
          <t>유세미</t>
        </is>
      </c>
      <c r="G1550" t="inlineStr">
        <is>
          <t>010-6350-7764</t>
        </is>
      </c>
      <c r="H1550" t="inlineStr">
        <is>
          <t>22무1445</t>
        </is>
      </c>
      <c r="I1550" t="n">
        <v>-4000000</v>
      </c>
      <c r="J1550" t="n">
        <v>0.082</v>
      </c>
      <c r="K1550" t="n">
        <v>1.76</v>
      </c>
      <c r="L1550" t="n">
        <v>0.14</v>
      </c>
      <c r="M1550" t="n">
        <v>1.62</v>
      </c>
      <c r="P1550" t="inlineStr">
        <is>
          <t>박소현</t>
        </is>
      </c>
      <c r="Q1550" t="inlineStr">
        <is>
          <t>선상담 /홈서비스 60개월 / 금리인하 0.5% 적용건 ( 8.7&gt; 8.2 )</t>
        </is>
      </c>
      <c r="AB1550" t="inlineStr">
        <is>
          <t>홈서비스</t>
        </is>
      </c>
      <c r="AC1550" t="n">
        <v>-70400</v>
      </c>
      <c r="AD1550" t="n">
        <v>-5600</v>
      </c>
      <c r="AE1550" t="n">
        <v>-64800</v>
      </c>
      <c r="AF1550" t="n">
        <v>-64000</v>
      </c>
      <c r="AG1550" t="n">
        <v>-5415.2</v>
      </c>
      <c r="AH1550" t="n">
        <v>-58584.8</v>
      </c>
    </row>
    <row r="1551">
      <c r="A1551" t="inlineStr">
        <is>
          <t>2월</t>
        </is>
      </c>
      <c r="B1551" t="inlineStr">
        <is>
          <t>9주차</t>
        </is>
      </c>
      <c r="C1551" t="inlineStr">
        <is>
          <t>EP</t>
        </is>
      </c>
      <c r="D1551" s="28" t="n">
        <v>46077</v>
      </c>
      <c r="E1551" t="inlineStr">
        <is>
          <t>현대EP_fast</t>
        </is>
      </c>
      <c r="F1551" t="inlineStr">
        <is>
          <t>백승진</t>
        </is>
      </c>
      <c r="G1551" t="inlineStr">
        <is>
          <t>010-3942-5902</t>
        </is>
      </c>
      <c r="H1551" t="inlineStr">
        <is>
          <t xml:space="preserve"> 320보3206</t>
        </is>
      </c>
      <c r="I1551" t="n">
        <v>18200000</v>
      </c>
      <c r="J1551" t="n">
        <v>0.08699999999999999</v>
      </c>
      <c r="K1551" t="n">
        <v>1.76</v>
      </c>
      <c r="L1551" t="n">
        <v>0.14</v>
      </c>
      <c r="M1551" t="n">
        <v>1.62</v>
      </c>
      <c r="P1551" t="inlineStr">
        <is>
          <t>최형주</t>
        </is>
      </c>
      <c r="Q1551" t="inlineStr">
        <is>
          <t>홈서비스 60개월</t>
        </is>
      </c>
      <c r="AB1551" t="inlineStr">
        <is>
          <t>홈서비스</t>
        </is>
      </c>
      <c r="AC1551" t="n">
        <v>320320</v>
      </c>
      <c r="AD1551" t="n">
        <v>25480</v>
      </c>
      <c r="AE1551" t="n">
        <v>294840</v>
      </c>
      <c r="AF1551" t="n">
        <v>291200</v>
      </c>
      <c r="AG1551" t="n">
        <v>24639.16</v>
      </c>
      <c r="AH1551" t="n">
        <v>266560.84</v>
      </c>
      <c r="AI1551" t="n">
        <v>0</v>
      </c>
    </row>
    <row r="1552">
      <c r="A1552" t="inlineStr">
        <is>
          <t>2월</t>
        </is>
      </c>
      <c r="B1552" t="inlineStr">
        <is>
          <t>9주차</t>
        </is>
      </c>
      <c r="C1552" t="inlineStr">
        <is>
          <t>EP</t>
        </is>
      </c>
      <c r="D1552" s="28" t="n">
        <v>46077</v>
      </c>
      <c r="E1552" t="inlineStr">
        <is>
          <t>제이비EP</t>
        </is>
      </c>
      <c r="F1552" t="inlineStr">
        <is>
          <t>김용점</t>
        </is>
      </c>
      <c r="G1552" t="inlineStr">
        <is>
          <t>010-7624-9129</t>
        </is>
      </c>
      <c r="H1552" t="inlineStr">
        <is>
          <t>52가2154</t>
        </is>
      </c>
      <c r="I1552" t="n">
        <v>22800000</v>
      </c>
      <c r="J1552" t="n">
        <v>0.092</v>
      </c>
      <c r="K1552" t="n">
        <v>1.65</v>
      </c>
      <c r="L1552" t="n">
        <v>0.4</v>
      </c>
      <c r="M1552" t="n">
        <v>1.25</v>
      </c>
      <c r="P1552" t="inlineStr">
        <is>
          <t>장진경</t>
        </is>
      </c>
      <c r="Q1552" t="inlineStr">
        <is>
          <t>부대비용 추가진행</t>
        </is>
      </c>
      <c r="AB1552" t="inlineStr">
        <is>
          <t>엔카</t>
        </is>
      </c>
      <c r="AC1552" t="n">
        <v>376200</v>
      </c>
      <c r="AD1552" t="n">
        <v>91200</v>
      </c>
      <c r="AE1552" t="n">
        <v>285000</v>
      </c>
      <c r="AF1552" t="n">
        <v>342000</v>
      </c>
      <c r="AG1552" t="n">
        <v>88190.39999999999</v>
      </c>
      <c r="AH1552" t="n">
        <v>253809.6</v>
      </c>
      <c r="AI1552" t="n">
        <v>0</v>
      </c>
    </row>
    <row r="1553">
      <c r="A1553" t="inlineStr">
        <is>
          <t>2월</t>
        </is>
      </c>
      <c r="B1553" t="inlineStr">
        <is>
          <t>9주차</t>
        </is>
      </c>
      <c r="C1553" t="inlineStr">
        <is>
          <t>IM</t>
        </is>
      </c>
      <c r="D1553" s="28" t="n">
        <v>46078</v>
      </c>
      <c r="E1553" t="inlineStr">
        <is>
          <t>IM캐피탈</t>
        </is>
      </c>
      <c r="F1553" t="inlineStr">
        <is>
          <t>조관희</t>
        </is>
      </c>
      <c r="G1553" t="inlineStr">
        <is>
          <t>010-9014-8447</t>
        </is>
      </c>
      <c r="H1553" t="inlineStr">
        <is>
          <t>11도5310</t>
        </is>
      </c>
      <c r="I1553" t="n">
        <v>3800000</v>
      </c>
      <c r="J1553" t="n">
        <v>0.049</v>
      </c>
      <c r="K1553" t="n">
        <v>1.1</v>
      </c>
      <c r="L1553" t="n">
        <v>0.14</v>
      </c>
      <c r="M1553" t="n">
        <v>0.96</v>
      </c>
      <c r="P1553" t="inlineStr">
        <is>
          <t>황채이</t>
        </is>
      </c>
      <c r="Q1553" t="inlineStr">
        <is>
          <t>홈서비스 36개월</t>
        </is>
      </c>
      <c r="AB1553" t="inlineStr">
        <is>
          <t>홈서비스</t>
        </is>
      </c>
      <c r="AC1553" t="n">
        <v>41800</v>
      </c>
      <c r="AD1553" t="n">
        <v>5320</v>
      </c>
      <c r="AE1553" t="n">
        <v>36480</v>
      </c>
      <c r="AF1553" t="n">
        <v>38000</v>
      </c>
      <c r="AG1553" t="n">
        <v>5144.44</v>
      </c>
      <c r="AH1553" t="n">
        <v>32855.56</v>
      </c>
    </row>
    <row r="1554">
      <c r="A1554" t="inlineStr">
        <is>
          <t>2월</t>
        </is>
      </c>
      <c r="B1554" t="inlineStr">
        <is>
          <t>8주차</t>
        </is>
      </c>
      <c r="C1554" t="inlineStr">
        <is>
          <t>IM</t>
        </is>
      </c>
      <c r="D1554" s="28" t="n">
        <v>46074</v>
      </c>
      <c r="E1554" t="inlineStr">
        <is>
          <t>IM캐피탈</t>
        </is>
      </c>
      <c r="F1554" t="inlineStr">
        <is>
          <t>김동희</t>
        </is>
      </c>
      <c r="G1554" t="inlineStr">
        <is>
          <t>010-8867-5359</t>
        </is>
      </c>
      <c r="H1554" t="inlineStr">
        <is>
          <t>244오3702</t>
        </is>
      </c>
      <c r="I1554" t="n">
        <v>18500000</v>
      </c>
      <c r="J1554" t="n">
        <v>0.049</v>
      </c>
      <c r="K1554" t="n">
        <v>1.1</v>
      </c>
      <c r="L1554" t="n">
        <v>0.4</v>
      </c>
      <c r="M1554" t="n">
        <v>0.7</v>
      </c>
      <c r="P1554" t="inlineStr">
        <is>
          <t>박소현</t>
        </is>
      </c>
      <c r="AB1554" t="inlineStr">
        <is>
          <t>엔카</t>
        </is>
      </c>
      <c r="AC1554" t="n">
        <v>203500</v>
      </c>
      <c r="AD1554" t="n">
        <v>74000</v>
      </c>
      <c r="AE1554" t="n">
        <v>129500</v>
      </c>
      <c r="AF1554" t="n">
        <v>185000</v>
      </c>
      <c r="AG1554" t="n">
        <v>71558</v>
      </c>
      <c r="AH1554" t="n">
        <v>113442</v>
      </c>
      <c r="AI1554" t="n">
        <v>0</v>
      </c>
    </row>
    <row r="1555">
      <c r="A1555" t="inlineStr">
        <is>
          <t>2월</t>
        </is>
      </c>
      <c r="B1555" t="inlineStr">
        <is>
          <t>9주차</t>
        </is>
      </c>
      <c r="C1555" t="inlineStr">
        <is>
          <t>IM</t>
        </is>
      </c>
      <c r="D1555" s="28" t="n">
        <v>46076</v>
      </c>
      <c r="E1555" t="inlineStr">
        <is>
          <t>IM캐피탈</t>
        </is>
      </c>
      <c r="F1555" t="inlineStr">
        <is>
          <t>김미선</t>
        </is>
      </c>
      <c r="G1555" t="inlineStr">
        <is>
          <t>010-7506-3880</t>
        </is>
      </c>
      <c r="H1555" t="inlineStr">
        <is>
          <t>134머2424</t>
        </is>
      </c>
      <c r="I1555" t="n">
        <v>10000000</v>
      </c>
      <c r="J1555" t="n">
        <v>0.056</v>
      </c>
      <c r="K1555" t="n">
        <v>1.1</v>
      </c>
      <c r="L1555" t="n">
        <v>0.14</v>
      </c>
      <c r="M1555" t="n">
        <v>0.96</v>
      </c>
      <c r="P1555" t="inlineStr">
        <is>
          <t>최혁</t>
        </is>
      </c>
      <c r="Q1555" t="inlineStr">
        <is>
          <t>홈서비스48개월</t>
        </is>
      </c>
      <c r="AB1555" t="inlineStr">
        <is>
          <t>홈서비스</t>
        </is>
      </c>
      <c r="AC1555" t="n">
        <v>110000</v>
      </c>
      <c r="AD1555" t="n">
        <v>14000</v>
      </c>
      <c r="AE1555" t="n">
        <v>96000</v>
      </c>
      <c r="AF1555" t="n">
        <v>100000</v>
      </c>
      <c r="AG1555" t="n">
        <v>13538</v>
      </c>
      <c r="AH1555" t="n">
        <v>86462</v>
      </c>
    </row>
    <row r="1556">
      <c r="A1556" t="inlineStr">
        <is>
          <t>2월</t>
        </is>
      </c>
      <c r="B1556" t="inlineStr">
        <is>
          <t>9주차</t>
        </is>
      </c>
      <c r="C1556" t="inlineStr">
        <is>
          <t>EP</t>
        </is>
      </c>
      <c r="D1556" s="28" t="n">
        <v>46077</v>
      </c>
      <c r="E1556" t="inlineStr">
        <is>
          <t>현대EP_fast</t>
        </is>
      </c>
      <c r="F1556" t="inlineStr">
        <is>
          <t>하승현</t>
        </is>
      </c>
      <c r="G1556" t="inlineStr">
        <is>
          <t>010-4003-7769</t>
        </is>
      </c>
      <c r="H1556" t="inlineStr">
        <is>
          <t>30모8096</t>
        </is>
      </c>
      <c r="I1556" t="n">
        <v>25000000</v>
      </c>
      <c r="J1556" t="n">
        <v>0.07199999999999999</v>
      </c>
      <c r="K1556" t="n">
        <v>1.76</v>
      </c>
      <c r="L1556" t="n">
        <v>0.14</v>
      </c>
      <c r="M1556" t="n">
        <v>1.62</v>
      </c>
      <c r="P1556" t="inlineStr">
        <is>
          <t>정광호</t>
        </is>
      </c>
      <c r="Q1556" t="inlineStr">
        <is>
          <t>홈서비스 60개월</t>
        </is>
      </c>
      <c r="AB1556" t="inlineStr">
        <is>
          <t>홈서비스</t>
        </is>
      </c>
      <c r="AC1556" t="n">
        <v>440000</v>
      </c>
      <c r="AD1556" t="n">
        <v>35000</v>
      </c>
      <c r="AE1556" t="n">
        <v>405000</v>
      </c>
      <c r="AF1556" t="n">
        <v>400000</v>
      </c>
      <c r="AG1556" t="n">
        <v>33845</v>
      </c>
      <c r="AH1556" t="n">
        <v>366155</v>
      </c>
      <c r="AI1556" t="n">
        <v>0</v>
      </c>
    </row>
    <row r="1557">
      <c r="A1557" t="inlineStr">
        <is>
          <t>2월</t>
        </is>
      </c>
      <c r="B1557" t="inlineStr">
        <is>
          <t>9주차</t>
        </is>
      </c>
      <c r="C1557" t="inlineStr">
        <is>
          <t>IM</t>
        </is>
      </c>
      <c r="D1557" s="28" t="n">
        <v>46077</v>
      </c>
      <c r="E1557" t="inlineStr">
        <is>
          <t>IM캐피탈</t>
        </is>
      </c>
      <c r="F1557" t="inlineStr">
        <is>
          <t>김지원</t>
        </is>
      </c>
      <c r="G1557" t="inlineStr">
        <is>
          <t>010-4733-4392</t>
        </is>
      </c>
      <c r="H1557" t="inlineStr">
        <is>
          <t>58가3794</t>
        </is>
      </c>
      <c r="I1557" t="n">
        <v>25000000</v>
      </c>
      <c r="J1557" t="n">
        <v>0.075</v>
      </c>
      <c r="K1557" t="n">
        <v>1.1</v>
      </c>
      <c r="L1557" t="n">
        <v>0.14</v>
      </c>
      <c r="M1557" t="n">
        <v>0.96</v>
      </c>
      <c r="P1557" t="inlineStr">
        <is>
          <t>박현민</t>
        </is>
      </c>
      <c r="Q1557" t="inlineStr">
        <is>
          <t>홈서비스 60개월</t>
        </is>
      </c>
      <c r="AB1557" t="inlineStr">
        <is>
          <t>홈서비스</t>
        </is>
      </c>
      <c r="AC1557" t="n">
        <v>275000</v>
      </c>
      <c r="AD1557" t="n">
        <v>35000</v>
      </c>
      <c r="AE1557" t="n">
        <v>240000</v>
      </c>
      <c r="AF1557" t="n">
        <v>250000</v>
      </c>
      <c r="AG1557" t="n">
        <v>33845</v>
      </c>
      <c r="AH1557" t="n">
        <v>216155</v>
      </c>
    </row>
    <row r="1558">
      <c r="A1558" t="inlineStr">
        <is>
          <t>2월</t>
        </is>
      </c>
      <c r="B1558" t="inlineStr">
        <is>
          <t>9주차</t>
        </is>
      </c>
      <c r="C1558" t="inlineStr">
        <is>
          <t>EP</t>
        </is>
      </c>
      <c r="D1558" s="28" t="n">
        <v>46078</v>
      </c>
      <c r="E1558" t="inlineStr">
        <is>
          <t>현대EP_fast</t>
        </is>
      </c>
      <c r="F1558" t="inlineStr">
        <is>
          <t>오재우</t>
        </is>
      </c>
      <c r="G1558" t="inlineStr">
        <is>
          <t>010-9625-2050</t>
        </is>
      </c>
      <c r="H1558" t="inlineStr">
        <is>
          <t>362두6237</t>
        </is>
      </c>
      <c r="I1558" t="n">
        <v>5900000</v>
      </c>
      <c r="J1558" t="n">
        <v>0.082</v>
      </c>
      <c r="K1558" t="n">
        <v>1.76</v>
      </c>
      <c r="L1558" t="n">
        <v>0.14</v>
      </c>
      <c r="M1558" t="n">
        <v>1.62</v>
      </c>
      <c r="P1558" t="inlineStr">
        <is>
          <t>김나윤</t>
        </is>
      </c>
      <c r="Q1558" t="inlineStr">
        <is>
          <t>홈서비스 24개월 / 금리인하 0.5% 적용건 (8.7 &gt; 8.2)</t>
        </is>
      </c>
      <c r="AB1558" t="inlineStr">
        <is>
          <t>홈서비스</t>
        </is>
      </c>
      <c r="AC1558" t="n">
        <v>103840</v>
      </c>
      <c r="AD1558" t="n">
        <v>8260</v>
      </c>
      <c r="AE1558" t="n">
        <v>95580</v>
      </c>
      <c r="AF1558" t="n">
        <v>94400</v>
      </c>
      <c r="AG1558" t="n">
        <v>7987.42</v>
      </c>
      <c r="AH1558" t="n">
        <v>86412.58</v>
      </c>
      <c r="AI1558" t="n">
        <v>0</v>
      </c>
    </row>
    <row r="1559">
      <c r="A1559" t="inlineStr">
        <is>
          <t>2월</t>
        </is>
      </c>
      <c r="B1559" t="inlineStr">
        <is>
          <t>9주차</t>
        </is>
      </c>
      <c r="C1559" t="inlineStr">
        <is>
          <t>EP</t>
        </is>
      </c>
      <c r="D1559" s="28" t="n">
        <v>46077</v>
      </c>
      <c r="E1559" t="inlineStr">
        <is>
          <t>제이비EP</t>
        </is>
      </c>
      <c r="F1559" t="inlineStr">
        <is>
          <t>김순석</t>
        </is>
      </c>
      <c r="G1559" t="inlineStr">
        <is>
          <t>010-5246-0030</t>
        </is>
      </c>
      <c r="H1559" t="inlineStr">
        <is>
          <t>10두4026</t>
        </is>
      </c>
      <c r="I1559" t="n">
        <v>34400000</v>
      </c>
      <c r="J1559" t="n">
        <v>0.08599999999999999</v>
      </c>
      <c r="K1559" t="n">
        <v>1.65</v>
      </c>
      <c r="L1559" t="n">
        <v>0.4</v>
      </c>
      <c r="M1559" t="n">
        <v>1.25</v>
      </c>
      <c r="P1559" t="inlineStr">
        <is>
          <t>구성완</t>
        </is>
      </c>
      <c r="Q1559" t="inlineStr">
        <is>
          <t>사유 : 엔페부결</t>
        </is>
      </c>
      <c r="AB1559" t="inlineStr">
        <is>
          <t>엔카</t>
        </is>
      </c>
      <c r="AC1559" t="n">
        <v>567600</v>
      </c>
      <c r="AD1559" t="n">
        <v>137600</v>
      </c>
      <c r="AE1559" t="n">
        <v>430000</v>
      </c>
      <c r="AF1559" t="n">
        <v>516000</v>
      </c>
      <c r="AG1559" t="n">
        <v>133059.2</v>
      </c>
      <c r="AH1559" t="n">
        <v>382940.8</v>
      </c>
      <c r="AI1559" t="n">
        <v>0</v>
      </c>
    </row>
    <row r="1560">
      <c r="A1560" t="inlineStr">
        <is>
          <t>2월</t>
        </is>
      </c>
      <c r="B1560" t="inlineStr">
        <is>
          <t>9주차</t>
        </is>
      </c>
      <c r="C1560" t="inlineStr">
        <is>
          <t>EP</t>
        </is>
      </c>
      <c r="D1560" s="28" t="n">
        <v>46078</v>
      </c>
      <c r="E1560" t="inlineStr">
        <is>
          <t>현대EP_fast</t>
        </is>
      </c>
      <c r="F1560" t="inlineStr">
        <is>
          <t>이경태</t>
        </is>
      </c>
      <c r="G1560" t="inlineStr">
        <is>
          <t>010-4579-3138</t>
        </is>
      </c>
      <c r="H1560" t="inlineStr">
        <is>
          <t>391마9796</t>
        </is>
      </c>
      <c r="I1560" t="n">
        <v>87900000</v>
      </c>
      <c r="J1560" t="n">
        <v>0.092</v>
      </c>
      <c r="K1560" t="n">
        <v>1.76</v>
      </c>
      <c r="L1560" t="n">
        <v>0.14</v>
      </c>
      <c r="M1560" t="n">
        <v>1.62</v>
      </c>
      <c r="P1560" t="inlineStr">
        <is>
          <t>최형주</t>
        </is>
      </c>
      <c r="Q1560" t="inlineStr">
        <is>
          <t>홈서비스 60개월 / 금리인하 0.5% 적용건 (9.7 &gt; 9.2)</t>
        </is>
      </c>
      <c r="AB1560" t="inlineStr">
        <is>
          <t>홈서비스</t>
        </is>
      </c>
      <c r="AC1560" t="n">
        <v>1547040</v>
      </c>
      <c r="AD1560" t="n">
        <v>123060</v>
      </c>
      <c r="AE1560" t="n">
        <v>1423980</v>
      </c>
      <c r="AF1560" t="n">
        <v>1406400</v>
      </c>
      <c r="AG1560" t="n">
        <v>118999.02</v>
      </c>
      <c r="AH1560" t="n">
        <v>1287400.98</v>
      </c>
      <c r="AI1560" t="n">
        <v>0</v>
      </c>
    </row>
    <row r="1561">
      <c r="A1561" t="inlineStr">
        <is>
          <t>2월</t>
        </is>
      </c>
      <c r="B1561" t="inlineStr">
        <is>
          <t>9주차</t>
        </is>
      </c>
      <c r="C1561" t="inlineStr">
        <is>
          <t>EP</t>
        </is>
      </c>
      <c r="D1561" s="28" t="n">
        <v>46078</v>
      </c>
      <c r="E1561" t="inlineStr">
        <is>
          <t>현대EP</t>
        </is>
      </c>
      <c r="F1561" t="inlineStr">
        <is>
          <t>곽도진</t>
        </is>
      </c>
      <c r="G1561" t="inlineStr">
        <is>
          <t>010-5665-2904</t>
        </is>
      </c>
      <c r="H1561" t="inlineStr">
        <is>
          <t>119더4042</t>
        </is>
      </c>
      <c r="I1561" t="n">
        <v>10200000</v>
      </c>
      <c r="J1561" t="n">
        <v>0.08699999999999999</v>
      </c>
      <c r="K1561" t="n">
        <v>1.76</v>
      </c>
      <c r="L1561" t="n">
        <v>0.14</v>
      </c>
      <c r="M1561" t="n">
        <v>1.62</v>
      </c>
      <c r="P1561" t="inlineStr">
        <is>
          <t>정광호</t>
        </is>
      </c>
      <c r="Q1561" t="inlineStr">
        <is>
          <t>홈서비스 24개월</t>
        </is>
      </c>
      <c r="AB1561" t="inlineStr">
        <is>
          <t>홈서비스</t>
        </is>
      </c>
      <c r="AC1561" t="n">
        <v>179520</v>
      </c>
      <c r="AD1561" t="n">
        <v>14280</v>
      </c>
      <c r="AE1561" t="n">
        <v>165240</v>
      </c>
      <c r="AF1561" t="n">
        <v>163200</v>
      </c>
      <c r="AG1561" t="n">
        <v>13808.76</v>
      </c>
      <c r="AH1561" t="n">
        <v>149391.24</v>
      </c>
    </row>
    <row r="1562">
      <c r="A1562" t="inlineStr">
        <is>
          <t>2월</t>
        </is>
      </c>
      <c r="B1562" t="inlineStr">
        <is>
          <t>9주차</t>
        </is>
      </c>
      <c r="C1562" t="inlineStr">
        <is>
          <t>EP</t>
        </is>
      </c>
      <c r="D1562" s="28" t="n">
        <v>46078</v>
      </c>
      <c r="E1562" t="inlineStr">
        <is>
          <t>현대EP_fast</t>
        </is>
      </c>
      <c r="F1562" t="inlineStr">
        <is>
          <t xml:space="preserve"> 정희정</t>
        </is>
      </c>
      <c r="G1562" t="inlineStr">
        <is>
          <t>010-4931-2999</t>
        </is>
      </c>
      <c r="H1562" t="inlineStr">
        <is>
          <t>22서7302</t>
        </is>
      </c>
      <c r="I1562" t="n">
        <v>3700000</v>
      </c>
      <c r="J1562" t="n">
        <v>0.102</v>
      </c>
      <c r="K1562" t="n">
        <v>1.21</v>
      </c>
      <c r="L1562" t="n">
        <v>0.14</v>
      </c>
      <c r="M1562" t="n">
        <v>1.07</v>
      </c>
      <c r="P1562" t="inlineStr">
        <is>
          <t>최형주</t>
        </is>
      </c>
      <c r="Q1562" t="inlineStr">
        <is>
          <t>홈서비스 60개웗</t>
        </is>
      </c>
      <c r="AB1562" t="inlineStr">
        <is>
          <t>홈서비스</t>
        </is>
      </c>
      <c r="AC1562" t="n">
        <v>44770</v>
      </c>
      <c r="AD1562" t="n">
        <v>5180</v>
      </c>
      <c r="AE1562" t="n">
        <v>39590</v>
      </c>
      <c r="AF1562" t="n">
        <v>40700</v>
      </c>
      <c r="AG1562" t="n">
        <v>5009.06</v>
      </c>
      <c r="AH1562" t="n">
        <v>35690.94</v>
      </c>
    </row>
    <row r="1563">
      <c r="A1563" t="inlineStr">
        <is>
          <t>2월</t>
        </is>
      </c>
      <c r="B1563" t="inlineStr">
        <is>
          <t>9주차</t>
        </is>
      </c>
      <c r="C1563" t="inlineStr">
        <is>
          <t>EP</t>
        </is>
      </c>
      <c r="D1563" s="28" t="n">
        <v>46078</v>
      </c>
      <c r="E1563" t="inlineStr">
        <is>
          <t>현대EP_fast</t>
        </is>
      </c>
      <c r="F1563" t="inlineStr">
        <is>
          <t>김범영</t>
        </is>
      </c>
      <c r="G1563" t="inlineStr">
        <is>
          <t>010-2611-8146</t>
        </is>
      </c>
      <c r="H1563" t="inlineStr">
        <is>
          <t>21도6261</t>
        </is>
      </c>
      <c r="I1563" t="n">
        <v>9900000</v>
      </c>
      <c r="J1563" t="n">
        <v>0.097</v>
      </c>
      <c r="K1563" t="n">
        <v>1.76</v>
      </c>
      <c r="L1563" t="n">
        <v>0.14</v>
      </c>
      <c r="M1563" t="n">
        <v>1.62</v>
      </c>
      <c r="P1563" t="inlineStr">
        <is>
          <t>김나윤</t>
        </is>
      </c>
      <c r="Q1563" t="inlineStr">
        <is>
          <t>홈서비스 60개월 / 금리인하 0.5% 적용건 (10.2 &gt; 9.7)</t>
        </is>
      </c>
      <c r="AB1563" t="inlineStr">
        <is>
          <t>홈서비스</t>
        </is>
      </c>
      <c r="AC1563" t="n">
        <v>174240</v>
      </c>
      <c r="AD1563" t="n">
        <v>13860</v>
      </c>
      <c r="AE1563" t="n">
        <v>160380</v>
      </c>
      <c r="AF1563" t="n">
        <v>158400</v>
      </c>
      <c r="AG1563" t="n">
        <v>13402.62</v>
      </c>
      <c r="AH1563" t="n">
        <v>144997.38</v>
      </c>
    </row>
    <row r="1564">
      <c r="A1564" t="inlineStr">
        <is>
          <t>2월</t>
        </is>
      </c>
      <c r="B1564" t="inlineStr">
        <is>
          <t>9주차</t>
        </is>
      </c>
      <c r="C1564" t="inlineStr">
        <is>
          <t>EP</t>
        </is>
      </c>
      <c r="D1564" s="28" t="n">
        <v>46080</v>
      </c>
      <c r="E1564" t="inlineStr">
        <is>
          <t>현대EP_fast</t>
        </is>
      </c>
      <c r="F1564" t="inlineStr">
        <is>
          <t>유승수</t>
        </is>
      </c>
      <c r="G1564" t="inlineStr">
        <is>
          <t>010-5777-2750</t>
        </is>
      </c>
      <c r="H1564" t="inlineStr">
        <is>
          <t>292어7116</t>
        </is>
      </c>
      <c r="I1564" t="n">
        <v>20000000</v>
      </c>
      <c r="J1564" t="n">
        <v>0.07199999999999999</v>
      </c>
      <c r="K1564" t="n">
        <v>1.76</v>
      </c>
      <c r="L1564" t="n">
        <v>0.14</v>
      </c>
      <c r="M1564" t="n">
        <v>1.62</v>
      </c>
      <c r="P1564" t="inlineStr">
        <is>
          <t>정광호</t>
        </is>
      </c>
      <c r="Q1564" t="inlineStr">
        <is>
          <t>홈서비스 24개월</t>
        </is>
      </c>
      <c r="AB1564" t="inlineStr">
        <is>
          <t>홈서비스</t>
        </is>
      </c>
      <c r="AC1564" t="n">
        <v>352000</v>
      </c>
      <c r="AD1564" t="n">
        <v>28000</v>
      </c>
      <c r="AE1564" t="n">
        <v>324000</v>
      </c>
      <c r="AF1564" t="n">
        <v>320000</v>
      </c>
      <c r="AG1564" t="n">
        <v>27076</v>
      </c>
      <c r="AH1564" t="n">
        <v>292924</v>
      </c>
      <c r="AI1564" t="n">
        <v>0</v>
      </c>
    </row>
    <row r="1565">
      <c r="A1565" t="inlineStr">
        <is>
          <t>2월</t>
        </is>
      </c>
      <c r="B1565" t="inlineStr">
        <is>
          <t>9주차</t>
        </is>
      </c>
      <c r="C1565" t="inlineStr">
        <is>
          <t>EP</t>
        </is>
      </c>
      <c r="D1565" s="28" t="n">
        <v>46078</v>
      </c>
      <c r="E1565" t="inlineStr">
        <is>
          <t>현대EP</t>
        </is>
      </c>
      <c r="F1565" t="inlineStr">
        <is>
          <t>김정호</t>
        </is>
      </c>
      <c r="G1565" t="inlineStr">
        <is>
          <t>010-9118-5599</t>
        </is>
      </c>
      <c r="H1565" t="inlineStr">
        <is>
          <t>64수1642</t>
        </is>
      </c>
      <c r="I1565" t="n">
        <v>30000000</v>
      </c>
      <c r="J1565" t="n">
        <v>0.074</v>
      </c>
      <c r="K1565" t="n">
        <v>1.76</v>
      </c>
      <c r="L1565" t="n">
        <v>0.14</v>
      </c>
      <c r="M1565" t="n">
        <v>1.62</v>
      </c>
      <c r="P1565" t="inlineStr">
        <is>
          <t>김수연</t>
        </is>
      </c>
      <c r="Q1565" t="inlineStr">
        <is>
          <t>홈서비스 60개월</t>
        </is>
      </c>
      <c r="AB1565" t="inlineStr">
        <is>
          <t>홈서비스</t>
        </is>
      </c>
      <c r="AC1565" t="n">
        <v>528000</v>
      </c>
      <c r="AD1565" t="n">
        <v>42000</v>
      </c>
      <c r="AE1565" t="n">
        <v>486000</v>
      </c>
      <c r="AF1565" t="n">
        <v>480000</v>
      </c>
      <c r="AG1565" t="n">
        <v>40614</v>
      </c>
      <c r="AH1565" t="n">
        <v>439386</v>
      </c>
      <c r="AI1565" t="n">
        <v>0</v>
      </c>
    </row>
    <row r="1566">
      <c r="A1566" t="inlineStr">
        <is>
          <t>2월</t>
        </is>
      </c>
      <c r="B1566" t="inlineStr">
        <is>
          <t>6주차</t>
        </is>
      </c>
      <c r="C1566" t="inlineStr">
        <is>
          <t>IM</t>
        </is>
      </c>
      <c r="D1566" s="28" t="n">
        <v>46058</v>
      </c>
      <c r="E1566" t="inlineStr">
        <is>
          <t>IM캐피탈</t>
        </is>
      </c>
      <c r="F1566" t="inlineStr">
        <is>
          <t>변주은</t>
        </is>
      </c>
      <c r="G1566" t="inlineStr">
        <is>
          <t>010-3925-0824</t>
        </is>
      </c>
      <c r="H1566" t="inlineStr">
        <is>
          <t>35마0372</t>
        </is>
      </c>
      <c r="I1566" t="n">
        <v>11600000</v>
      </c>
      <c r="J1566" t="n">
        <v>0.056</v>
      </c>
      <c r="K1566" t="n">
        <v>1.1</v>
      </c>
      <c r="L1566" t="n">
        <v>0.4</v>
      </c>
      <c r="M1566" t="n">
        <v>0.7</v>
      </c>
      <c r="P1566" t="inlineStr">
        <is>
          <t>박현민</t>
        </is>
      </c>
      <c r="AB1566" t="inlineStr">
        <is>
          <t>엔카</t>
        </is>
      </c>
      <c r="AC1566" t="n">
        <v>127600</v>
      </c>
      <c r="AD1566" t="n">
        <v>46400</v>
      </c>
      <c r="AE1566" t="n">
        <v>81200</v>
      </c>
      <c r="AF1566" t="n">
        <v>116000</v>
      </c>
      <c r="AG1566" t="n">
        <v>44868.8</v>
      </c>
      <c r="AH1566" t="n">
        <v>71131.2</v>
      </c>
      <c r="AI1566" t="n">
        <v>0</v>
      </c>
    </row>
    <row r="1567">
      <c r="A1567" t="inlineStr">
        <is>
          <t>2월</t>
        </is>
      </c>
      <c r="B1567" t="inlineStr">
        <is>
          <t>6주차</t>
        </is>
      </c>
      <c r="C1567" t="inlineStr">
        <is>
          <t>EP</t>
        </is>
      </c>
      <c r="D1567" s="28" t="n">
        <v>46055</v>
      </c>
      <c r="E1567" t="inlineStr">
        <is>
          <t>현대EP_fast</t>
        </is>
      </c>
      <c r="F1567" t="inlineStr">
        <is>
          <t>최상근</t>
        </is>
      </c>
      <c r="G1567" t="inlineStr">
        <is>
          <t>010-5759-3737</t>
        </is>
      </c>
      <c r="H1567" t="inlineStr">
        <is>
          <t>49구8710</t>
        </is>
      </c>
      <c r="I1567" t="n">
        <v>3800000</v>
      </c>
      <c r="J1567" t="n">
        <v>0.11</v>
      </c>
      <c r="K1567" t="n">
        <v>1.76</v>
      </c>
      <c r="L1567" t="n">
        <v>0.14</v>
      </c>
      <c r="M1567" t="n">
        <v>1.62</v>
      </c>
      <c r="P1567" t="inlineStr">
        <is>
          <t>황채이</t>
        </is>
      </c>
      <c r="Q1567" t="inlineStr">
        <is>
          <t>홈서비스 36개월 /1월30일 금리인하 0.5%적용건(11.5-&gt;11.0)</t>
        </is>
      </c>
      <c r="AB1567" t="inlineStr">
        <is>
          <t>홈서비스</t>
        </is>
      </c>
      <c r="AC1567" t="n">
        <v>66880</v>
      </c>
      <c r="AD1567" t="n">
        <v>5320</v>
      </c>
      <c r="AE1567" t="n">
        <v>61560</v>
      </c>
      <c r="AF1567" t="n">
        <v>60800</v>
      </c>
      <c r="AG1567" t="n">
        <v>5144.44</v>
      </c>
      <c r="AH1567" t="n">
        <v>55655.56</v>
      </c>
      <c r="AI1567" t="n">
        <v>0</v>
      </c>
    </row>
    <row r="1568">
      <c r="A1568" t="inlineStr">
        <is>
          <t>2월</t>
        </is>
      </c>
      <c r="B1568" t="inlineStr">
        <is>
          <t>9주차</t>
        </is>
      </c>
      <c r="C1568" t="inlineStr">
        <is>
          <t>EP</t>
        </is>
      </c>
      <c r="D1568" s="28" t="n">
        <v>46078</v>
      </c>
      <c r="E1568" t="inlineStr">
        <is>
          <t>제이비EP</t>
        </is>
      </c>
      <c r="F1568" t="inlineStr">
        <is>
          <t>박선기</t>
        </is>
      </c>
      <c r="G1568" t="inlineStr">
        <is>
          <t>010-5114-9491</t>
        </is>
      </c>
      <c r="H1568" t="inlineStr">
        <is>
          <t>169너1326</t>
        </is>
      </c>
      <c r="I1568" t="n">
        <v>21500000</v>
      </c>
      <c r="J1568" t="n">
        <v>0.08599999999999999</v>
      </c>
      <c r="K1568" t="n">
        <v>1.65</v>
      </c>
      <c r="L1568" t="n">
        <v>0.14</v>
      </c>
      <c r="M1568" t="n">
        <v>1.51</v>
      </c>
      <c r="P1568" t="inlineStr">
        <is>
          <t>박소현</t>
        </is>
      </c>
      <c r="Q1568" t="inlineStr">
        <is>
          <t>선상담 / 홈서비스 60개월</t>
        </is>
      </c>
      <c r="AB1568" t="inlineStr">
        <is>
          <t>홈서비스</t>
        </is>
      </c>
      <c r="AC1568" t="n">
        <v>354750</v>
      </c>
      <c r="AD1568" t="n">
        <v>30100</v>
      </c>
      <c r="AE1568" t="n">
        <v>324650</v>
      </c>
      <c r="AF1568" t="n">
        <v>322500</v>
      </c>
      <c r="AG1568" t="n">
        <v>29106.7</v>
      </c>
      <c r="AH1568" t="n">
        <v>293393.3</v>
      </c>
      <c r="AI1568" t="n">
        <v>0</v>
      </c>
    </row>
    <row r="1569">
      <c r="A1569" t="inlineStr">
        <is>
          <t>2월</t>
        </is>
      </c>
      <c r="B1569" t="inlineStr">
        <is>
          <t>9주차</t>
        </is>
      </c>
      <c r="C1569" t="inlineStr">
        <is>
          <t>EP</t>
        </is>
      </c>
      <c r="D1569" s="28" t="n">
        <v>46078</v>
      </c>
      <c r="E1569" t="inlineStr">
        <is>
          <t>현대EP</t>
        </is>
      </c>
      <c r="F1569" t="inlineStr">
        <is>
          <t>이준영</t>
        </is>
      </c>
      <c r="G1569" t="inlineStr">
        <is>
          <t>010-9397-8609</t>
        </is>
      </c>
      <c r="H1569" t="inlineStr">
        <is>
          <t>246서1816</t>
        </is>
      </c>
      <c r="I1569" t="n">
        <v>70000000</v>
      </c>
      <c r="J1569" t="n">
        <v>0.078</v>
      </c>
      <c r="K1569" t="n">
        <v>1.76</v>
      </c>
      <c r="L1569" t="n">
        <v>0.14</v>
      </c>
      <c r="M1569" t="n">
        <v>1.62</v>
      </c>
      <c r="P1569" t="inlineStr">
        <is>
          <t>김수연</t>
        </is>
      </c>
      <c r="Q1569" t="inlineStr">
        <is>
          <t>홈서비스 60개월 / *카피아 알선 진행</t>
        </is>
      </c>
      <c r="AB1569" t="inlineStr">
        <is>
          <t>홈서비스</t>
        </is>
      </c>
      <c r="AC1569" t="n">
        <v>1232000</v>
      </c>
      <c r="AD1569" t="n">
        <v>98000</v>
      </c>
      <c r="AE1569" t="n">
        <v>1134000</v>
      </c>
      <c r="AF1569" t="n">
        <v>1120000</v>
      </c>
      <c r="AG1569" t="n">
        <v>94766</v>
      </c>
      <c r="AH1569" t="n">
        <v>1025234</v>
      </c>
      <c r="AI1569" t="n">
        <v>0</v>
      </c>
    </row>
    <row r="1570">
      <c r="A1570" t="inlineStr">
        <is>
          <t>2월</t>
        </is>
      </c>
      <c r="B1570" t="inlineStr">
        <is>
          <t>9주차</t>
        </is>
      </c>
      <c r="C1570" t="inlineStr">
        <is>
          <t>EP</t>
        </is>
      </c>
      <c r="D1570" s="28" t="n">
        <v>46077</v>
      </c>
      <c r="E1570" t="inlineStr">
        <is>
          <t>제이비EP</t>
        </is>
      </c>
      <c r="F1570" t="inlineStr">
        <is>
          <t>이새벽</t>
        </is>
      </c>
      <c r="G1570" t="inlineStr">
        <is>
          <t>010-8434-1784</t>
        </is>
      </c>
      <c r="H1570" t="inlineStr">
        <is>
          <t>122수1552</t>
        </is>
      </c>
      <c r="I1570" t="n">
        <v>22000000</v>
      </c>
      <c r="J1570" t="n">
        <v>0.092</v>
      </c>
      <c r="K1570" t="n">
        <v>1.21</v>
      </c>
      <c r="L1570" t="n">
        <v>0.14</v>
      </c>
      <c r="M1570" t="n">
        <v>1.07</v>
      </c>
      <c r="P1570" t="inlineStr">
        <is>
          <t>박현민</t>
        </is>
      </c>
      <c r="Q1570" t="inlineStr">
        <is>
          <t>홈서비스 60개월</t>
        </is>
      </c>
      <c r="AB1570" t="inlineStr">
        <is>
          <t>홈서비스</t>
        </is>
      </c>
      <c r="AC1570" t="n">
        <v>266200</v>
      </c>
      <c r="AD1570" t="n">
        <v>30800</v>
      </c>
      <c r="AE1570" t="n">
        <v>235400</v>
      </c>
      <c r="AF1570" t="n">
        <v>242000</v>
      </c>
      <c r="AG1570" t="n">
        <v>29783.6</v>
      </c>
      <c r="AH1570" t="n">
        <v>212216.4</v>
      </c>
      <c r="AI1570" t="n">
        <v>0</v>
      </c>
    </row>
    <row r="1571">
      <c r="A1571" t="inlineStr">
        <is>
          <t>2월</t>
        </is>
      </c>
      <c r="B1571" t="inlineStr">
        <is>
          <t>9주차</t>
        </is>
      </c>
      <c r="C1571" t="inlineStr">
        <is>
          <t>WC</t>
        </is>
      </c>
      <c r="D1571" s="28" t="n">
        <v>46077</v>
      </c>
      <c r="E1571" t="inlineStr">
        <is>
          <t>웰컴저축은행</t>
        </is>
      </c>
      <c r="F1571" t="inlineStr">
        <is>
          <t>음준오</t>
        </is>
      </c>
      <c r="G1571" t="inlineStr">
        <is>
          <t>010-5240-9408</t>
        </is>
      </c>
      <c r="H1571" t="inlineStr">
        <is>
          <t>12오7984</t>
        </is>
      </c>
      <c r="I1571" t="n">
        <v>3800000</v>
      </c>
      <c r="J1571" t="n">
        <v>0.139</v>
      </c>
      <c r="K1571" t="n">
        <v>1.21</v>
      </c>
      <c r="L1571" t="n">
        <v>0.4</v>
      </c>
      <c r="M1571" t="n">
        <v>0.8100000000000001</v>
      </c>
      <c r="P1571" t="inlineStr">
        <is>
          <t>정하은</t>
        </is>
      </c>
      <c r="Q1571" t="inlineStr">
        <is>
          <t>부대비용추가진행</t>
        </is>
      </c>
      <c r="AB1571" t="inlineStr">
        <is>
          <t>엔카</t>
        </is>
      </c>
      <c r="AC1571" t="n">
        <v>45980</v>
      </c>
      <c r="AD1571" t="n">
        <v>15200</v>
      </c>
      <c r="AE1571" t="n">
        <v>30780</v>
      </c>
      <c r="AF1571" t="n">
        <v>41800</v>
      </c>
      <c r="AG1571" t="n">
        <v>14698.4</v>
      </c>
      <c r="AH1571" t="n">
        <v>27101.6</v>
      </c>
      <c r="AI1571" t="n">
        <v>0</v>
      </c>
    </row>
    <row r="1572">
      <c r="A1572" t="inlineStr">
        <is>
          <t>2월</t>
        </is>
      </c>
      <c r="B1572" t="inlineStr">
        <is>
          <t>9주차</t>
        </is>
      </c>
      <c r="C1572" t="inlineStr">
        <is>
          <t>OR</t>
        </is>
      </c>
      <c r="D1572" s="28" t="n">
        <v>46077</v>
      </c>
      <c r="E1572" t="inlineStr">
        <is>
          <t>오릭스</t>
        </is>
      </c>
      <c r="F1572" t="inlineStr">
        <is>
          <t>김종훈</t>
        </is>
      </c>
      <c r="G1572" t="inlineStr">
        <is>
          <t>010-8931-5731</t>
        </is>
      </c>
      <c r="H1572" t="inlineStr">
        <is>
          <t>391러6638</t>
        </is>
      </c>
      <c r="I1572" t="n">
        <v>30000000</v>
      </c>
      <c r="J1572" t="n">
        <v>0.07199999999999999</v>
      </c>
      <c r="K1572" t="n">
        <v>1.65</v>
      </c>
      <c r="L1572" t="n">
        <v>0.4</v>
      </c>
      <c r="M1572" t="n">
        <v>1.25</v>
      </c>
      <c r="P1572" t="inlineStr">
        <is>
          <t>정하은</t>
        </is>
      </c>
      <c r="Q1572" t="inlineStr">
        <is>
          <t>부대비용추가진행 /공동명의</t>
        </is>
      </c>
      <c r="AB1572" t="inlineStr">
        <is>
          <t>엔카</t>
        </is>
      </c>
      <c r="AC1572" t="n">
        <v>495000</v>
      </c>
      <c r="AD1572" t="n">
        <v>120000</v>
      </c>
      <c r="AE1572" t="n">
        <v>375000</v>
      </c>
      <c r="AF1572" t="n">
        <v>450000</v>
      </c>
      <c r="AG1572" t="n">
        <v>116040</v>
      </c>
      <c r="AH1572" t="n">
        <v>333960</v>
      </c>
      <c r="AI1572" t="n">
        <v>0</v>
      </c>
    </row>
    <row r="1573">
      <c r="A1573" t="inlineStr">
        <is>
          <t>2월</t>
        </is>
      </c>
      <c r="B1573" t="inlineStr">
        <is>
          <t>9주차</t>
        </is>
      </c>
      <c r="C1573" t="inlineStr">
        <is>
          <t>EP</t>
        </is>
      </c>
      <c r="D1573" s="28" t="n">
        <v>46078</v>
      </c>
      <c r="E1573" t="inlineStr">
        <is>
          <t>현대EP_fast</t>
        </is>
      </c>
      <c r="F1573" t="inlineStr">
        <is>
          <t>최종혁</t>
        </is>
      </c>
      <c r="G1573" t="inlineStr">
        <is>
          <t>010-7522-9988</t>
        </is>
      </c>
      <c r="H1573" t="inlineStr">
        <is>
          <t>28루8015</t>
        </is>
      </c>
      <c r="I1573" t="n">
        <v>12700000</v>
      </c>
      <c r="J1573" t="n">
        <v>0.099</v>
      </c>
      <c r="K1573" t="n">
        <v>1.21</v>
      </c>
      <c r="L1573" t="n">
        <v>0.14</v>
      </c>
      <c r="M1573" t="n">
        <v>1.07</v>
      </c>
      <c r="P1573" t="inlineStr">
        <is>
          <t>정광호</t>
        </is>
      </c>
      <c r="Q1573" t="inlineStr">
        <is>
          <t>홈서비스 48개월</t>
        </is>
      </c>
      <c r="AB1573" t="inlineStr">
        <is>
          <t>홈서비스</t>
        </is>
      </c>
      <c r="AC1573" t="n">
        <v>153670</v>
      </c>
      <c r="AD1573" t="n">
        <v>17780</v>
      </c>
      <c r="AE1573" t="n">
        <v>135890</v>
      </c>
      <c r="AF1573" t="n">
        <v>139700</v>
      </c>
      <c r="AG1573" t="n">
        <v>17193.26</v>
      </c>
      <c r="AH1573" t="n">
        <v>122506.74</v>
      </c>
      <c r="AI1573" t="n">
        <v>0</v>
      </c>
    </row>
    <row r="1574">
      <c r="A1574" t="inlineStr">
        <is>
          <t>2월</t>
        </is>
      </c>
      <c r="B1574" t="inlineStr">
        <is>
          <t>9주차</t>
        </is>
      </c>
      <c r="C1574" t="inlineStr">
        <is>
          <t>EP</t>
        </is>
      </c>
      <c r="D1574" s="28" t="n">
        <v>46077</v>
      </c>
      <c r="E1574" t="inlineStr">
        <is>
          <t>현대EP_fast</t>
        </is>
      </c>
      <c r="F1574" t="inlineStr">
        <is>
          <t>신현재</t>
        </is>
      </c>
      <c r="G1574" t="inlineStr">
        <is>
          <t>010-5031-0706</t>
        </is>
      </c>
      <c r="H1574" t="inlineStr">
        <is>
          <t>65러9417</t>
        </is>
      </c>
      <c r="I1574" t="n">
        <v>10400000</v>
      </c>
      <c r="J1574" t="n">
        <v>0.102</v>
      </c>
      <c r="K1574" t="n">
        <v>1.21</v>
      </c>
      <c r="L1574" t="n">
        <v>0.14</v>
      </c>
      <c r="M1574" t="n">
        <v>1.07</v>
      </c>
      <c r="P1574" t="inlineStr">
        <is>
          <t>최혁</t>
        </is>
      </c>
      <c r="Q1574" t="inlineStr">
        <is>
          <t>홈서비스48개월</t>
        </is>
      </c>
      <c r="AB1574" t="inlineStr">
        <is>
          <t>홈서비스</t>
        </is>
      </c>
      <c r="AC1574" t="n">
        <v>125840</v>
      </c>
      <c r="AD1574" t="n">
        <v>14560</v>
      </c>
      <c r="AE1574" t="n">
        <v>111280</v>
      </c>
      <c r="AF1574" t="n">
        <v>114400</v>
      </c>
      <c r="AG1574" t="n">
        <v>14079.52</v>
      </c>
      <c r="AH1574" t="n">
        <v>100320.48</v>
      </c>
      <c r="AI1574" t="n">
        <v>0</v>
      </c>
    </row>
    <row r="1575">
      <c r="A1575" t="inlineStr">
        <is>
          <t>2월</t>
        </is>
      </c>
      <c r="B1575" t="inlineStr">
        <is>
          <t>7주차</t>
        </is>
      </c>
      <c r="C1575" t="inlineStr">
        <is>
          <t>EP</t>
        </is>
      </c>
      <c r="D1575" s="28" t="n">
        <v>46064</v>
      </c>
      <c r="E1575" t="inlineStr">
        <is>
          <t>현대EP_fast</t>
        </is>
      </c>
      <c r="F1575" t="inlineStr">
        <is>
          <t>강지은</t>
        </is>
      </c>
      <c r="G1575" t="inlineStr">
        <is>
          <t>010-2975-4862</t>
        </is>
      </c>
      <c r="H1575" t="inlineStr">
        <is>
          <t>343너2425</t>
        </is>
      </c>
      <c r="I1575" t="n">
        <v>29800000</v>
      </c>
      <c r="J1575" t="n">
        <v>0.102</v>
      </c>
      <c r="K1575" t="n">
        <v>1.76</v>
      </c>
      <c r="L1575" t="n">
        <v>0.14</v>
      </c>
      <c r="M1575" t="n">
        <v>1.62</v>
      </c>
      <c r="P1575" t="inlineStr">
        <is>
          <t>장진경</t>
        </is>
      </c>
      <c r="Q1575" t="inlineStr">
        <is>
          <t>선상담 / 홈서비스 60개월</t>
        </is>
      </c>
      <c r="AB1575" t="inlineStr">
        <is>
          <t>홈서비스</t>
        </is>
      </c>
      <c r="AC1575" t="n">
        <v>524480</v>
      </c>
      <c r="AD1575" t="n">
        <v>41720</v>
      </c>
      <c r="AE1575" t="n">
        <v>482760</v>
      </c>
      <c r="AF1575" t="n">
        <v>476800</v>
      </c>
      <c r="AG1575" t="n">
        <v>40343.24</v>
      </c>
      <c r="AH1575" t="n">
        <v>436456.76</v>
      </c>
      <c r="AI1575" t="n">
        <v>0</v>
      </c>
    </row>
    <row r="1576">
      <c r="A1576" t="inlineStr">
        <is>
          <t>2월</t>
        </is>
      </c>
      <c r="B1576" t="inlineStr">
        <is>
          <t>7주차</t>
        </is>
      </c>
      <c r="C1576" t="inlineStr">
        <is>
          <t>EP</t>
        </is>
      </c>
      <c r="D1576" s="28" t="n">
        <v>46064</v>
      </c>
      <c r="E1576" t="inlineStr">
        <is>
          <t>현대EP</t>
        </is>
      </c>
      <c r="F1576" t="inlineStr">
        <is>
          <t>송재현</t>
        </is>
      </c>
      <c r="G1576" t="inlineStr">
        <is>
          <t>010-4534-4530</t>
        </is>
      </c>
      <c r="H1576" t="inlineStr">
        <is>
          <t>119조6144</t>
        </is>
      </c>
      <c r="I1576" t="n">
        <v>-31900000</v>
      </c>
      <c r="J1576" t="n">
        <v>0.059</v>
      </c>
      <c r="K1576" t="n">
        <v>1.76</v>
      </c>
      <c r="L1576" t="n">
        <v>0.14</v>
      </c>
      <c r="M1576" t="n">
        <v>1.62</v>
      </c>
      <c r="P1576" t="inlineStr">
        <is>
          <t>정하은</t>
        </is>
      </c>
      <c r="Q1576" t="inlineStr">
        <is>
          <t>홈서비스 60개월</t>
        </is>
      </c>
      <c r="AB1576" t="inlineStr">
        <is>
          <t>홈서비스</t>
        </is>
      </c>
      <c r="AC1576" t="n">
        <v>-561440</v>
      </c>
      <c r="AD1576" t="n">
        <v>-44660</v>
      </c>
      <c r="AE1576" t="n">
        <v>-516780</v>
      </c>
      <c r="AF1576" t="n">
        <v>-510400</v>
      </c>
      <c r="AG1576" t="n">
        <v>-43186.22</v>
      </c>
      <c r="AH1576" t="n">
        <v>-467213.78</v>
      </c>
    </row>
    <row r="1577">
      <c r="A1577" t="inlineStr">
        <is>
          <t>2월</t>
        </is>
      </c>
      <c r="B1577" t="inlineStr">
        <is>
          <t>9주차</t>
        </is>
      </c>
      <c r="C1577" t="inlineStr">
        <is>
          <t>EP</t>
        </is>
      </c>
      <c r="D1577" s="28" t="n">
        <v>46078</v>
      </c>
      <c r="E1577" t="inlineStr">
        <is>
          <t>현대EP_fast</t>
        </is>
      </c>
      <c r="F1577" t="inlineStr">
        <is>
          <t>김소영</t>
        </is>
      </c>
      <c r="G1577" t="inlineStr">
        <is>
          <t>010-8995-7852</t>
        </is>
      </c>
      <c r="H1577" t="inlineStr">
        <is>
          <t>182부8400</t>
        </is>
      </c>
      <c r="I1577" t="n">
        <v>10700000</v>
      </c>
      <c r="J1577" t="n">
        <v>0.102</v>
      </c>
      <c r="K1577" t="n">
        <v>1.76</v>
      </c>
      <c r="L1577" t="n">
        <v>0.14</v>
      </c>
      <c r="M1577" t="n">
        <v>1.62</v>
      </c>
      <c r="P1577" t="inlineStr">
        <is>
          <t>최형주</t>
        </is>
      </c>
      <c r="Q1577" t="inlineStr">
        <is>
          <t>홈서비스 60개월</t>
        </is>
      </c>
      <c r="AB1577" t="inlineStr">
        <is>
          <t>홈서비스</t>
        </is>
      </c>
      <c r="AC1577" t="n">
        <v>188320</v>
      </c>
      <c r="AD1577" t="n">
        <v>14980</v>
      </c>
      <c r="AE1577" t="n">
        <v>173340</v>
      </c>
      <c r="AF1577" t="n">
        <v>171200</v>
      </c>
      <c r="AG1577" t="n">
        <v>14485.66</v>
      </c>
      <c r="AH1577" t="n">
        <v>156714.34</v>
      </c>
      <c r="AI1577" t="n">
        <v>0</v>
      </c>
    </row>
    <row r="1578">
      <c r="A1578" t="inlineStr">
        <is>
          <t>2월</t>
        </is>
      </c>
      <c r="B1578" t="inlineStr">
        <is>
          <t>7주차</t>
        </is>
      </c>
      <c r="C1578" t="inlineStr">
        <is>
          <t>EP</t>
        </is>
      </c>
      <c r="D1578" s="28" t="n">
        <v>46065</v>
      </c>
      <c r="E1578" t="inlineStr">
        <is>
          <t>현대EP_fast</t>
        </is>
      </c>
      <c r="F1578" t="inlineStr">
        <is>
          <t>정하중</t>
        </is>
      </c>
      <c r="G1578" t="inlineStr">
        <is>
          <t>010-5218-8680</t>
        </is>
      </c>
      <c r="H1578" t="inlineStr">
        <is>
          <t>51노9733</t>
        </is>
      </c>
      <c r="I1578" t="n">
        <v>7000000</v>
      </c>
      <c r="J1578" t="n">
        <v>0.07099999999999999</v>
      </c>
      <c r="K1578" t="n">
        <v>1.76</v>
      </c>
      <c r="L1578" t="n">
        <v>0.14</v>
      </c>
      <c r="M1578" t="n">
        <v>1.62</v>
      </c>
      <c r="P1578" t="inlineStr">
        <is>
          <t>장현경</t>
        </is>
      </c>
      <c r="Q1578" t="inlineStr">
        <is>
          <t>선상담 / 홈서비스 60개월</t>
        </is>
      </c>
      <c r="AB1578" t="inlineStr">
        <is>
          <t>홈서비스</t>
        </is>
      </c>
      <c r="AC1578" t="n">
        <v>123200</v>
      </c>
      <c r="AD1578" t="n">
        <v>9800</v>
      </c>
      <c r="AE1578" t="n">
        <v>113400</v>
      </c>
      <c r="AF1578" t="n">
        <v>112000</v>
      </c>
      <c r="AG1578" t="n">
        <v>9476.6</v>
      </c>
      <c r="AH1578" t="n">
        <v>102523.4</v>
      </c>
    </row>
    <row r="1579">
      <c r="A1579" t="inlineStr">
        <is>
          <t>2월</t>
        </is>
      </c>
      <c r="B1579" t="inlineStr">
        <is>
          <t>9주차</t>
        </is>
      </c>
      <c r="C1579" t="inlineStr">
        <is>
          <t>EP</t>
        </is>
      </c>
      <c r="D1579" s="28" t="n">
        <v>46079</v>
      </c>
      <c r="E1579" t="inlineStr">
        <is>
          <t>현대EP_fast</t>
        </is>
      </c>
      <c r="F1579" t="inlineStr">
        <is>
          <t>성지훈</t>
        </is>
      </c>
      <c r="G1579" t="inlineStr">
        <is>
          <t>010-2966-7888</t>
        </is>
      </c>
      <c r="H1579" t="inlineStr">
        <is>
          <t>14보0755</t>
        </is>
      </c>
      <c r="I1579" t="n">
        <v>18500000</v>
      </c>
      <c r="J1579" t="n">
        <v>0.08400000000000001</v>
      </c>
      <c r="K1579" t="n">
        <v>1.76</v>
      </c>
      <c r="L1579" t="n">
        <v>0.4</v>
      </c>
      <c r="M1579" t="n">
        <v>1.36</v>
      </c>
      <c r="P1579" t="inlineStr">
        <is>
          <t>장현경</t>
        </is>
      </c>
      <c r="Q1579" t="inlineStr">
        <is>
          <t xml:space="preserve"> 금리인하 0.5% 적용건 (8.9 &gt; 8.4)</t>
        </is>
      </c>
      <c r="AB1579" t="inlineStr">
        <is>
          <t>엔카</t>
        </is>
      </c>
      <c r="AC1579" t="n">
        <v>325600</v>
      </c>
      <c r="AD1579" t="n">
        <v>74000</v>
      </c>
      <c r="AE1579" t="n">
        <v>251600</v>
      </c>
      <c r="AF1579" t="n">
        <v>296000</v>
      </c>
      <c r="AG1579" t="n">
        <v>71558</v>
      </c>
      <c r="AH1579" t="n">
        <v>224442</v>
      </c>
      <c r="AI1579" t="n">
        <v>0</v>
      </c>
    </row>
    <row r="1580">
      <c r="A1580" t="inlineStr">
        <is>
          <t>2월</t>
        </is>
      </c>
      <c r="B1580" t="inlineStr">
        <is>
          <t>6주차</t>
        </is>
      </c>
      <c r="C1580" t="inlineStr">
        <is>
          <t>EP</t>
        </is>
      </c>
      <c r="D1580" s="28" t="n">
        <v>46056</v>
      </c>
      <c r="E1580" t="inlineStr">
        <is>
          <t>현대EP</t>
        </is>
      </c>
      <c r="F1580" t="inlineStr">
        <is>
          <t>유화종</t>
        </is>
      </c>
      <c r="G1580" t="inlineStr">
        <is>
          <t>010-2023-8015</t>
        </is>
      </c>
      <c r="H1580" t="inlineStr">
        <is>
          <t>52어3712</t>
        </is>
      </c>
      <c r="I1580" t="n">
        <v>19700000</v>
      </c>
      <c r="J1580" t="n">
        <v>0.075</v>
      </c>
      <c r="K1580" t="n">
        <v>1.76</v>
      </c>
      <c r="L1580" t="n">
        <v>0.14</v>
      </c>
      <c r="M1580" t="n">
        <v>1.62</v>
      </c>
      <c r="P1580" t="inlineStr">
        <is>
          <t>정세빈</t>
        </is>
      </c>
      <c r="Q1580" t="inlineStr">
        <is>
          <t>홈서비스 48개월</t>
        </is>
      </c>
      <c r="AB1580" t="inlineStr">
        <is>
          <t>홈서비스</t>
        </is>
      </c>
      <c r="AC1580" t="n">
        <v>346720</v>
      </c>
      <c r="AD1580" t="n">
        <v>27580</v>
      </c>
      <c r="AE1580" t="n">
        <v>319140</v>
      </c>
      <c r="AF1580" t="n">
        <v>315200</v>
      </c>
      <c r="AG1580" t="n">
        <v>26669.86</v>
      </c>
      <c r="AH1580" t="n">
        <v>288530.14</v>
      </c>
      <c r="AI1580" t="n">
        <v>0</v>
      </c>
    </row>
    <row r="1581">
      <c r="A1581" t="inlineStr">
        <is>
          <t>2월</t>
        </is>
      </c>
      <c r="B1581" t="inlineStr">
        <is>
          <t>6주차</t>
        </is>
      </c>
      <c r="C1581" t="inlineStr">
        <is>
          <t>EP</t>
        </is>
      </c>
      <c r="D1581" s="28" t="n">
        <v>46057</v>
      </c>
      <c r="E1581" t="inlineStr">
        <is>
          <t>현대EP</t>
        </is>
      </c>
      <c r="F1581" t="inlineStr">
        <is>
          <t>이진수</t>
        </is>
      </c>
      <c r="G1581" t="inlineStr">
        <is>
          <t>010-4000-5552</t>
        </is>
      </c>
      <c r="H1581" t="inlineStr">
        <is>
          <t>37두8668</t>
        </is>
      </c>
      <c r="I1581" t="n">
        <v>32300000</v>
      </c>
      <c r="J1581" t="n">
        <v>0.07199999999999999</v>
      </c>
      <c r="K1581" t="n">
        <v>1.76</v>
      </c>
      <c r="L1581" t="n">
        <v>0.14</v>
      </c>
      <c r="M1581" t="n">
        <v>1.62</v>
      </c>
      <c r="P1581" t="inlineStr">
        <is>
          <t>김나윤</t>
        </is>
      </c>
      <c r="Q1581" t="inlineStr">
        <is>
          <t>홈서비스 48개월</t>
        </is>
      </c>
      <c r="AB1581" t="inlineStr">
        <is>
          <t>홈서비스</t>
        </is>
      </c>
      <c r="AC1581" t="n">
        <v>568480</v>
      </c>
      <c r="AD1581" t="n">
        <v>45220</v>
      </c>
      <c r="AE1581" t="n">
        <v>523260</v>
      </c>
      <c r="AF1581" t="n">
        <v>516800</v>
      </c>
      <c r="AG1581" t="n">
        <v>43727.74</v>
      </c>
      <c r="AH1581" t="n">
        <v>473072.26</v>
      </c>
      <c r="AI1581" t="n">
        <v>0</v>
      </c>
    </row>
    <row r="1582">
      <c r="A1582" t="inlineStr">
        <is>
          <t>2월</t>
        </is>
      </c>
      <c r="B1582" t="inlineStr">
        <is>
          <t>9주차</t>
        </is>
      </c>
      <c r="C1582" t="inlineStr">
        <is>
          <t>IM</t>
        </is>
      </c>
      <c r="D1582" s="28" t="n">
        <v>46078</v>
      </c>
      <c r="E1582" t="inlineStr">
        <is>
          <t>IM캐피탈</t>
        </is>
      </c>
      <c r="F1582" t="inlineStr">
        <is>
          <t>정민경</t>
        </is>
      </c>
      <c r="G1582" t="inlineStr">
        <is>
          <t>010-5024-7367</t>
        </is>
      </c>
      <c r="H1582" t="inlineStr">
        <is>
          <t>150어5925</t>
        </is>
      </c>
      <c r="I1582" t="n">
        <v>18000000</v>
      </c>
      <c r="J1582" t="n">
        <v>0.039</v>
      </c>
      <c r="K1582" t="n">
        <v>1.1</v>
      </c>
      <c r="L1582" t="n">
        <v>0.14</v>
      </c>
      <c r="M1582" t="n">
        <v>0.96</v>
      </c>
      <c r="P1582" t="inlineStr">
        <is>
          <t>정하은</t>
        </is>
      </c>
      <c r="Q1582" t="inlineStr">
        <is>
          <t>선상담  /홈서비스 48개월</t>
        </is>
      </c>
      <c r="AB1582" t="inlineStr">
        <is>
          <t>홈서비스</t>
        </is>
      </c>
      <c r="AC1582" t="n">
        <v>198000</v>
      </c>
      <c r="AD1582" t="n">
        <v>25200</v>
      </c>
      <c r="AE1582" t="n">
        <v>172800</v>
      </c>
      <c r="AF1582" t="n">
        <v>180000</v>
      </c>
      <c r="AG1582" t="n">
        <v>24368.4</v>
      </c>
      <c r="AH1582" t="n">
        <v>155631.6</v>
      </c>
      <c r="AI1582" t="n">
        <v>0</v>
      </c>
    </row>
    <row r="1583">
      <c r="A1583" t="inlineStr">
        <is>
          <t>2월</t>
        </is>
      </c>
      <c r="B1583" t="inlineStr">
        <is>
          <t>9주차</t>
        </is>
      </c>
      <c r="C1583" t="inlineStr">
        <is>
          <t>OR</t>
        </is>
      </c>
      <c r="D1583" s="28" t="n">
        <v>46078</v>
      </c>
      <c r="E1583" t="inlineStr">
        <is>
          <t>오릭스</t>
        </is>
      </c>
      <c r="F1583" t="inlineStr">
        <is>
          <t>김군호</t>
        </is>
      </c>
      <c r="G1583" t="inlineStr">
        <is>
          <t>010-4880-8701</t>
        </is>
      </c>
      <c r="H1583" t="inlineStr">
        <is>
          <t>243소2514</t>
        </is>
      </c>
      <c r="I1583" t="n">
        <v>16600000</v>
      </c>
      <c r="J1583" t="n">
        <v>0.076</v>
      </c>
      <c r="K1583" t="n">
        <v>1.65</v>
      </c>
      <c r="L1583" t="n">
        <v>0.14</v>
      </c>
      <c r="M1583" t="n">
        <v>1.51</v>
      </c>
      <c r="P1583" t="inlineStr">
        <is>
          <t>황채이</t>
        </is>
      </c>
      <c r="Q1583" t="inlineStr">
        <is>
          <t>홈서비스 36개월 / 부대비용 추가진행</t>
        </is>
      </c>
      <c r="AB1583" t="inlineStr">
        <is>
          <t>홈서비스</t>
        </is>
      </c>
      <c r="AC1583" t="n">
        <v>273900</v>
      </c>
      <c r="AD1583" t="n">
        <v>23240</v>
      </c>
      <c r="AE1583" t="n">
        <v>250660</v>
      </c>
      <c r="AF1583" t="n">
        <v>249000</v>
      </c>
      <c r="AG1583" t="n">
        <v>22473.08</v>
      </c>
      <c r="AH1583" t="n">
        <v>226526.92</v>
      </c>
      <c r="AI1583" t="n">
        <v>0</v>
      </c>
    </row>
    <row r="1584">
      <c r="A1584" t="inlineStr">
        <is>
          <t>1월</t>
        </is>
      </c>
      <c r="B1584" t="inlineStr">
        <is>
          <t>1주차</t>
        </is>
      </c>
      <c r="C1584" t="inlineStr">
        <is>
          <t>EP</t>
        </is>
      </c>
      <c r="D1584" s="28" t="n">
        <v>46024</v>
      </c>
      <c r="E1584" t="inlineStr">
        <is>
          <t>현대EP</t>
        </is>
      </c>
      <c r="F1584" t="inlineStr">
        <is>
          <t>강선희</t>
        </is>
      </c>
      <c r="G1584" t="inlineStr">
        <is>
          <t>010-3861-6083</t>
        </is>
      </c>
      <c r="H1584" t="inlineStr">
        <is>
          <t>379라6973</t>
        </is>
      </c>
      <c r="I1584" t="n">
        <v>29800000</v>
      </c>
      <c r="J1584" t="n">
        <v>0.065</v>
      </c>
      <c r="K1584" t="n">
        <v>1.76</v>
      </c>
      <c r="L1584" t="n">
        <v>0.13</v>
      </c>
      <c r="M1584" t="n">
        <v>1.63</v>
      </c>
      <c r="P1584" t="inlineStr">
        <is>
          <t>정세빈</t>
        </is>
      </c>
      <c r="AB1584" t="inlineStr">
        <is>
          <t>홈서비스</t>
        </is>
      </c>
      <c r="AC1584" t="n">
        <v>524480</v>
      </c>
      <c r="AD1584" t="n">
        <v>38740</v>
      </c>
      <c r="AE1584" t="n">
        <v>485740</v>
      </c>
      <c r="AF1584" t="n">
        <v>476800</v>
      </c>
      <c r="AG1584" t="n">
        <v>37461.58</v>
      </c>
      <c r="AH1584" t="n">
        <v>439338.42</v>
      </c>
      <c r="AI1584" t="n">
        <v>0</v>
      </c>
    </row>
    <row r="1585">
      <c r="A1585" t="inlineStr">
        <is>
          <t>1월</t>
        </is>
      </c>
      <c r="B1585" t="inlineStr">
        <is>
          <t>1주차</t>
        </is>
      </c>
      <c r="C1585" t="inlineStr">
        <is>
          <t>OR</t>
        </is>
      </c>
      <c r="D1585" s="28" t="n">
        <v>46024</v>
      </c>
      <c r="E1585" t="inlineStr">
        <is>
          <t>오릭스</t>
        </is>
      </c>
      <c r="F1585" t="inlineStr">
        <is>
          <t>이주연</t>
        </is>
      </c>
      <c r="G1585" t="inlineStr">
        <is>
          <t>010-8140-5911</t>
        </is>
      </c>
      <c r="H1585" t="inlineStr">
        <is>
          <t>115노5281</t>
        </is>
      </c>
      <c r="I1585" t="n">
        <v>33000000</v>
      </c>
      <c r="J1585" t="n">
        <v>0.054</v>
      </c>
      <c r="K1585" t="n">
        <v>1.65</v>
      </c>
      <c r="L1585" t="n">
        <v>0.4</v>
      </c>
      <c r="M1585" t="n">
        <v>1.25</v>
      </c>
      <c r="P1585" t="inlineStr">
        <is>
          <t>장현경</t>
        </is>
      </c>
      <c r="AB1585" t="inlineStr">
        <is>
          <t>엔카</t>
        </is>
      </c>
      <c r="AC1585" t="n">
        <v>544500</v>
      </c>
      <c r="AD1585" t="n">
        <v>132000</v>
      </c>
      <c r="AE1585" t="n">
        <v>412500</v>
      </c>
      <c r="AF1585" t="n">
        <v>495000</v>
      </c>
      <c r="AG1585" t="n">
        <v>127644</v>
      </c>
      <c r="AH1585" t="n">
        <v>367356</v>
      </c>
    </row>
    <row r="1586">
      <c r="A1586" t="inlineStr">
        <is>
          <t>1월</t>
        </is>
      </c>
      <c r="B1586" t="inlineStr">
        <is>
          <t>1주차</t>
        </is>
      </c>
      <c r="C1586" t="inlineStr">
        <is>
          <t>상환</t>
        </is>
      </c>
      <c r="D1586" s="28" t="n">
        <v>46024</v>
      </c>
      <c r="E1586" t="inlineStr">
        <is>
          <t>현대EP_fast상환</t>
        </is>
      </c>
      <c r="F1586" t="inlineStr">
        <is>
          <t>안희섭</t>
        </is>
      </c>
      <c r="G1586" t="inlineStr">
        <is>
          <t>010-7147-3622</t>
        </is>
      </c>
      <c r="H1586" t="inlineStr">
        <is>
          <t>39러5569</t>
        </is>
      </c>
      <c r="I1586" t="n">
        <v>-14900000</v>
      </c>
      <c r="J1586" t="n">
        <v>0.104</v>
      </c>
      <c r="K1586" t="n">
        <v>1.76</v>
      </c>
      <c r="L1586" t="n">
        <v>0.13</v>
      </c>
      <c r="M1586" t="n">
        <v>1.63</v>
      </c>
      <c r="P1586" t="inlineStr">
        <is>
          <t>황채이</t>
        </is>
      </c>
      <c r="Q1586" t="inlineStr">
        <is>
          <t>홈서비스 48개월 / *전월확정 20251229 당월철회 20260102</t>
        </is>
      </c>
      <c r="AB1586" t="inlineStr">
        <is>
          <t>홈서비스</t>
        </is>
      </c>
      <c r="AC1586" t="n">
        <v>-262240</v>
      </c>
      <c r="AD1586" t="n">
        <v>-19370</v>
      </c>
      <c r="AE1586" t="n">
        <v>-242870</v>
      </c>
      <c r="AF1586" t="n">
        <v>-238400</v>
      </c>
      <c r="AG1586" t="n">
        <v>-18730.79</v>
      </c>
      <c r="AH1586" t="n">
        <v>-219669.21</v>
      </c>
      <c r="AI1586" t="n">
        <v>0</v>
      </c>
      <c r="AK1586" t="inlineStr">
        <is>
          <t>대출철회</t>
        </is>
      </c>
    </row>
    <row r="1587">
      <c r="A1587" t="inlineStr">
        <is>
          <t>1월</t>
        </is>
      </c>
      <c r="B1587" t="inlineStr">
        <is>
          <t>1주차</t>
        </is>
      </c>
      <c r="C1587" t="inlineStr">
        <is>
          <t>EP</t>
        </is>
      </c>
      <c r="D1587" s="28" t="n">
        <v>46024</v>
      </c>
      <c r="E1587" t="inlineStr">
        <is>
          <t>현대EP</t>
        </is>
      </c>
      <c r="F1587" t="inlineStr">
        <is>
          <t>이기남</t>
        </is>
      </c>
      <c r="G1587" t="inlineStr">
        <is>
          <t>010-8985-1027</t>
        </is>
      </c>
      <c r="H1587" t="inlineStr">
        <is>
          <t>264고3068</t>
        </is>
      </c>
      <c r="I1587" t="n">
        <v>42900000</v>
      </c>
      <c r="J1587" t="n">
        <v>0.065</v>
      </c>
      <c r="K1587" t="n">
        <v>1.76</v>
      </c>
      <c r="L1587" t="n">
        <v>0.13</v>
      </c>
      <c r="M1587" t="n">
        <v>1.63</v>
      </c>
      <c r="P1587" t="inlineStr">
        <is>
          <t>김나윤</t>
        </is>
      </c>
      <c r="AB1587" t="inlineStr">
        <is>
          <t>홈서비스</t>
        </is>
      </c>
      <c r="AC1587" t="n">
        <v>755040</v>
      </c>
      <c r="AD1587" t="n">
        <v>55770</v>
      </c>
      <c r="AE1587" t="n">
        <v>699270</v>
      </c>
      <c r="AF1587" t="n">
        <v>686400</v>
      </c>
      <c r="AG1587" t="n">
        <v>53929.59</v>
      </c>
      <c r="AH1587" t="n">
        <v>632470.41</v>
      </c>
      <c r="AI1587" t="n">
        <v>0</v>
      </c>
    </row>
    <row r="1588">
      <c r="A1588" t="inlineStr">
        <is>
          <t>1월</t>
        </is>
      </c>
      <c r="B1588" t="inlineStr">
        <is>
          <t>2주차</t>
        </is>
      </c>
      <c r="C1588" t="inlineStr">
        <is>
          <t>EP</t>
        </is>
      </c>
      <c r="D1588" s="28" t="n">
        <v>46027</v>
      </c>
      <c r="E1588" t="inlineStr">
        <is>
          <t>제이비EP</t>
        </is>
      </c>
      <c r="F1588" t="inlineStr">
        <is>
          <t>김시온</t>
        </is>
      </c>
      <c r="G1588" t="inlineStr">
        <is>
          <t>010-9102-0591</t>
        </is>
      </c>
      <c r="H1588" t="inlineStr">
        <is>
          <t>245다9706</t>
        </is>
      </c>
      <c r="I1588" t="n">
        <v>33900000</v>
      </c>
      <c r="J1588" t="n">
        <v>0.114</v>
      </c>
      <c r="K1588" t="n">
        <v>1.65</v>
      </c>
      <c r="L1588" t="n">
        <v>0.13</v>
      </c>
      <c r="M1588" t="n">
        <v>1.52</v>
      </c>
      <c r="P1588" t="inlineStr">
        <is>
          <t>정세빈</t>
        </is>
      </c>
      <c r="Q1588" t="inlineStr">
        <is>
          <t>홈서비스 60개월</t>
        </is>
      </c>
      <c r="AB1588" t="inlineStr">
        <is>
          <t>홈서비스</t>
        </is>
      </c>
      <c r="AC1588" t="n">
        <v>559350</v>
      </c>
      <c r="AD1588" t="n">
        <v>44070</v>
      </c>
      <c r="AE1588" t="n">
        <v>515280</v>
      </c>
      <c r="AF1588" t="n">
        <v>508500</v>
      </c>
      <c r="AG1588" t="n">
        <v>42615.69</v>
      </c>
      <c r="AH1588" t="n">
        <v>465884.31</v>
      </c>
      <c r="AI1588" t="n">
        <v>0</v>
      </c>
    </row>
    <row r="1589">
      <c r="A1589" t="inlineStr">
        <is>
          <t>1월</t>
        </is>
      </c>
      <c r="B1589" t="inlineStr">
        <is>
          <t>2주차</t>
        </is>
      </c>
      <c r="C1589" t="inlineStr">
        <is>
          <t>EP</t>
        </is>
      </c>
      <c r="D1589" s="28" t="n">
        <v>46028</v>
      </c>
      <c r="E1589" t="inlineStr">
        <is>
          <t>현대EP</t>
        </is>
      </c>
      <c r="F1589" t="inlineStr">
        <is>
          <t>최승훈</t>
        </is>
      </c>
      <c r="G1589" t="inlineStr">
        <is>
          <t>010-8513-7400</t>
        </is>
      </c>
      <c r="H1589" t="inlineStr">
        <is>
          <t>291무3705</t>
        </is>
      </c>
      <c r="I1589" t="n">
        <v>11500000</v>
      </c>
      <c r="J1589" t="n">
        <v>0.081</v>
      </c>
      <c r="K1589" t="n">
        <v>1.76</v>
      </c>
      <c r="L1589" t="n">
        <v>0.13</v>
      </c>
      <c r="M1589" t="n">
        <v>1.63</v>
      </c>
      <c r="P1589" t="inlineStr">
        <is>
          <t>최형주</t>
        </is>
      </c>
      <c r="Q1589" t="inlineStr">
        <is>
          <t>홈서비스 48개월</t>
        </is>
      </c>
      <c r="AB1589" t="inlineStr">
        <is>
          <t>홈서비스</t>
        </is>
      </c>
      <c r="AC1589" t="n">
        <v>202400</v>
      </c>
      <c r="AD1589" t="n">
        <v>14950</v>
      </c>
      <c r="AE1589" t="n">
        <v>187450</v>
      </c>
      <c r="AF1589" t="n">
        <v>184000</v>
      </c>
      <c r="AG1589" t="n">
        <v>14456.65</v>
      </c>
      <c r="AH1589" t="n">
        <v>169543.35</v>
      </c>
      <c r="AI1589" t="n">
        <v>0</v>
      </c>
    </row>
    <row r="1590">
      <c r="A1590" t="inlineStr">
        <is>
          <t>1월</t>
        </is>
      </c>
      <c r="B1590" t="inlineStr">
        <is>
          <t>2주차</t>
        </is>
      </c>
      <c r="C1590" t="inlineStr">
        <is>
          <t>EP</t>
        </is>
      </c>
      <c r="D1590" s="28" t="n">
        <v>46028</v>
      </c>
      <c r="E1590" t="inlineStr">
        <is>
          <t>제이비EP</t>
        </is>
      </c>
      <c r="F1590" t="inlineStr">
        <is>
          <t>배효영</t>
        </is>
      </c>
      <c r="G1590" t="inlineStr">
        <is>
          <t>010-7469-9505</t>
        </is>
      </c>
      <c r="H1590" t="inlineStr">
        <is>
          <t>13저9027</t>
        </is>
      </c>
      <c r="I1590" t="n">
        <v>5500000</v>
      </c>
      <c r="J1590" t="n">
        <v>0.094</v>
      </c>
      <c r="K1590" t="n">
        <v>1.65</v>
      </c>
      <c r="L1590" t="n">
        <v>0.13</v>
      </c>
      <c r="M1590" t="n">
        <v>1.52</v>
      </c>
      <c r="P1590" t="inlineStr">
        <is>
          <t>정세빈</t>
        </is>
      </c>
      <c r="Q1590" t="inlineStr">
        <is>
          <t>홈서비스 24개월 / 공동명의</t>
        </is>
      </c>
      <c r="AB1590" t="inlineStr">
        <is>
          <t>홈서비스</t>
        </is>
      </c>
      <c r="AC1590" t="n">
        <v>90750</v>
      </c>
      <c r="AD1590" t="n">
        <v>7150</v>
      </c>
      <c r="AE1590" t="n">
        <v>83600</v>
      </c>
      <c r="AF1590" t="n">
        <v>82500</v>
      </c>
      <c r="AG1590" t="n">
        <v>6914.05</v>
      </c>
      <c r="AH1590" t="n">
        <v>75585.95</v>
      </c>
    </row>
    <row r="1591">
      <c r="A1591" t="inlineStr">
        <is>
          <t>1월</t>
        </is>
      </c>
      <c r="B1591" t="inlineStr">
        <is>
          <t>2주차</t>
        </is>
      </c>
      <c r="C1591" t="inlineStr">
        <is>
          <t>상환</t>
        </is>
      </c>
      <c r="D1591" s="28" t="n">
        <v>46028</v>
      </c>
      <c r="E1591" t="inlineStr">
        <is>
          <t>현대EP_fast상환</t>
        </is>
      </c>
      <c r="F1591" t="inlineStr">
        <is>
          <t>윤호준</t>
        </is>
      </c>
      <c r="G1591" t="inlineStr">
        <is>
          <t>010-4072-9632</t>
        </is>
      </c>
      <c r="H1591" t="inlineStr">
        <is>
          <t>10나4665</t>
        </is>
      </c>
      <c r="I1591" t="n">
        <v>-12500000</v>
      </c>
      <c r="J1591" t="n">
        <v>0.079</v>
      </c>
      <c r="K1591" t="n">
        <v>1.76</v>
      </c>
      <c r="L1591" t="n">
        <v>0.13</v>
      </c>
      <c r="M1591" t="n">
        <v>1.63</v>
      </c>
      <c r="P1591" t="inlineStr">
        <is>
          <t>최형주</t>
        </is>
      </c>
      <c r="Q1591" t="inlineStr">
        <is>
          <t>홈서비스60개월 / *전월확정 20251230 당월철회 20260106</t>
        </is>
      </c>
      <c r="AB1591" t="inlineStr">
        <is>
          <t>홈서비스</t>
        </is>
      </c>
      <c r="AC1591" t="n">
        <v>-220000</v>
      </c>
      <c r="AD1591" t="n">
        <v>-16250</v>
      </c>
      <c r="AE1591" t="n">
        <v>-203750</v>
      </c>
      <c r="AF1591" t="n">
        <v>-200000</v>
      </c>
      <c r="AG1591" t="n">
        <v>-15713.75</v>
      </c>
      <c r="AH1591" t="n">
        <v>-184286.25</v>
      </c>
      <c r="AI1591" t="n">
        <v>0</v>
      </c>
      <c r="AK1591" t="inlineStr">
        <is>
          <t>대출철회</t>
        </is>
      </c>
    </row>
    <row r="1592">
      <c r="A1592" t="inlineStr">
        <is>
          <t>1월</t>
        </is>
      </c>
      <c r="B1592" t="inlineStr">
        <is>
          <t>2주차</t>
        </is>
      </c>
      <c r="C1592" t="inlineStr">
        <is>
          <t>IM</t>
        </is>
      </c>
      <c r="D1592" s="28" t="n">
        <v>46029</v>
      </c>
      <c r="E1592" t="inlineStr">
        <is>
          <t>IM캐피탈</t>
        </is>
      </c>
      <c r="F1592" t="inlineStr">
        <is>
          <t>김재림</t>
        </is>
      </c>
      <c r="G1592" t="inlineStr">
        <is>
          <t>010-8429-4800</t>
        </is>
      </c>
      <c r="H1592" t="inlineStr">
        <is>
          <t>146더3304</t>
        </is>
      </c>
      <c r="I1592" t="n">
        <v>42900000</v>
      </c>
      <c r="J1592" t="n">
        <v>0.049</v>
      </c>
      <c r="K1592" t="n">
        <v>0.55</v>
      </c>
      <c r="L1592" t="n">
        <v>0.13</v>
      </c>
      <c r="M1592" t="n">
        <v>0.42</v>
      </c>
      <c r="P1592" t="inlineStr">
        <is>
          <t>최혁</t>
        </is>
      </c>
      <c r="Q1592" t="inlineStr">
        <is>
          <t>홈서비스48개월</t>
        </is>
      </c>
      <c r="AB1592" t="inlineStr">
        <is>
          <t>홈서비스</t>
        </is>
      </c>
      <c r="AC1592" t="n">
        <v>235950</v>
      </c>
      <c r="AD1592" t="n">
        <v>55770</v>
      </c>
      <c r="AE1592" t="n">
        <v>180180</v>
      </c>
      <c r="AF1592" t="n">
        <v>214500</v>
      </c>
      <c r="AG1592" t="n">
        <v>53929.59</v>
      </c>
      <c r="AH1592" t="n">
        <v>160570.41</v>
      </c>
    </row>
    <row r="1593">
      <c r="A1593" t="inlineStr">
        <is>
          <t>2월</t>
        </is>
      </c>
      <c r="B1593" t="inlineStr">
        <is>
          <t>9주차</t>
        </is>
      </c>
      <c r="C1593" t="inlineStr">
        <is>
          <t>IM</t>
        </is>
      </c>
      <c r="D1593" s="28" t="n">
        <v>46078</v>
      </c>
      <c r="E1593" t="inlineStr">
        <is>
          <t>IM캐피탈</t>
        </is>
      </c>
      <c r="F1593" t="inlineStr">
        <is>
          <t>최경서</t>
        </is>
      </c>
      <c r="G1593" t="inlineStr">
        <is>
          <t>010-7531-5753</t>
        </is>
      </c>
      <c r="H1593" t="inlineStr">
        <is>
          <t>104노7695</t>
        </is>
      </c>
      <c r="I1593" t="n">
        <v>23000000</v>
      </c>
      <c r="J1593" t="n">
        <v>0.059</v>
      </c>
      <c r="K1593" t="n">
        <v>1.1</v>
      </c>
      <c r="L1593" t="n">
        <v>0.14</v>
      </c>
      <c r="M1593" t="n">
        <v>0.96</v>
      </c>
      <c r="P1593" t="inlineStr">
        <is>
          <t>황채이</t>
        </is>
      </c>
      <c r="Q1593" t="inlineStr">
        <is>
          <t>홈서비스 60개월</t>
        </is>
      </c>
      <c r="AB1593" t="inlineStr">
        <is>
          <t>홈서비스</t>
        </is>
      </c>
      <c r="AC1593" t="n">
        <v>253000</v>
      </c>
      <c r="AD1593" t="n">
        <v>32200</v>
      </c>
      <c r="AE1593" t="n">
        <v>220800</v>
      </c>
      <c r="AF1593" t="n">
        <v>230000</v>
      </c>
      <c r="AG1593" t="n">
        <v>31137.4</v>
      </c>
      <c r="AH1593" t="n">
        <v>198862.6</v>
      </c>
      <c r="AI1593" t="n">
        <v>0</v>
      </c>
    </row>
    <row r="1594">
      <c r="A1594" t="inlineStr">
        <is>
          <t>2월</t>
        </is>
      </c>
      <c r="B1594" t="inlineStr">
        <is>
          <t>9주차</t>
        </is>
      </c>
      <c r="C1594" t="inlineStr">
        <is>
          <t>IM</t>
        </is>
      </c>
      <c r="D1594" s="28" t="n">
        <v>46077</v>
      </c>
      <c r="E1594" t="inlineStr">
        <is>
          <t>IM캐피탈</t>
        </is>
      </c>
      <c r="F1594" t="inlineStr">
        <is>
          <t>장정호</t>
        </is>
      </c>
      <c r="G1594" t="inlineStr">
        <is>
          <t>010-4118-7753</t>
        </is>
      </c>
      <c r="H1594" t="inlineStr">
        <is>
          <t>207오8044</t>
        </is>
      </c>
      <c r="I1594" t="n">
        <v>43200000</v>
      </c>
      <c r="J1594" t="n">
        <v>0.049</v>
      </c>
      <c r="K1594" t="n">
        <v>1.1</v>
      </c>
      <c r="L1594" t="n">
        <v>0.4</v>
      </c>
      <c r="M1594" t="n">
        <v>0.7</v>
      </c>
      <c r="P1594" t="inlineStr">
        <is>
          <t>박보람</t>
        </is>
      </c>
      <c r="AB1594" t="inlineStr">
        <is>
          <t>엔카</t>
        </is>
      </c>
      <c r="AC1594" t="n">
        <v>475200</v>
      </c>
      <c r="AD1594" t="n">
        <v>172800</v>
      </c>
      <c r="AE1594" t="n">
        <v>302400</v>
      </c>
      <c r="AF1594" t="n">
        <v>432000</v>
      </c>
      <c r="AG1594" t="n">
        <v>167097.6</v>
      </c>
      <c r="AH1594" t="n">
        <v>264902.4</v>
      </c>
      <c r="AI1594" t="n">
        <v>0</v>
      </c>
    </row>
    <row r="1595">
      <c r="A1595" t="inlineStr">
        <is>
          <t>1월</t>
        </is>
      </c>
      <c r="B1595" t="inlineStr">
        <is>
          <t>2주차</t>
        </is>
      </c>
      <c r="C1595" t="inlineStr">
        <is>
          <t>EP</t>
        </is>
      </c>
      <c r="D1595" s="28" t="n">
        <v>46028</v>
      </c>
      <c r="E1595" t="inlineStr">
        <is>
          <t>현대EP_fast</t>
        </is>
      </c>
      <c r="F1595" t="inlineStr">
        <is>
          <t>임진섭</t>
        </is>
      </c>
      <c r="G1595" t="inlineStr">
        <is>
          <t>010-5562-9201</t>
        </is>
      </c>
      <c r="H1595" t="inlineStr">
        <is>
          <t>21도0617</t>
        </is>
      </c>
      <c r="I1595" t="n">
        <v>10200000</v>
      </c>
      <c r="J1595" t="n">
        <v>0.097</v>
      </c>
      <c r="K1595" t="n">
        <v>1.76</v>
      </c>
      <c r="L1595" t="n">
        <v>0.13</v>
      </c>
      <c r="M1595" t="n">
        <v>1.63</v>
      </c>
      <c r="P1595" t="inlineStr">
        <is>
          <t>최혁</t>
        </is>
      </c>
      <c r="Q1595" t="inlineStr">
        <is>
          <t>홈서비스60개월</t>
        </is>
      </c>
      <c r="AB1595" t="inlineStr">
        <is>
          <t>홈서비스</t>
        </is>
      </c>
      <c r="AC1595" t="n">
        <v>179520</v>
      </c>
      <c r="AD1595" t="n">
        <v>13260</v>
      </c>
      <c r="AE1595" t="n">
        <v>166260</v>
      </c>
      <c r="AF1595" t="n">
        <v>163200</v>
      </c>
      <c r="AG1595" t="n">
        <v>12822.42</v>
      </c>
      <c r="AH1595" t="n">
        <v>150377.58</v>
      </c>
    </row>
    <row r="1596">
      <c r="A1596" t="inlineStr">
        <is>
          <t>2월</t>
        </is>
      </c>
      <c r="B1596" t="inlineStr">
        <is>
          <t>6주차</t>
        </is>
      </c>
      <c r="C1596" t="inlineStr">
        <is>
          <t>EP</t>
        </is>
      </c>
      <c r="D1596" s="28" t="n">
        <v>46057</v>
      </c>
      <c r="E1596" t="inlineStr">
        <is>
          <t>현대EP</t>
        </is>
      </c>
      <c r="F1596" t="inlineStr">
        <is>
          <t>하홍식</t>
        </is>
      </c>
      <c r="G1596" t="inlineStr">
        <is>
          <t>010-3776-3232</t>
        </is>
      </c>
      <c r="H1596" t="inlineStr">
        <is>
          <t>47부9900</t>
        </is>
      </c>
      <c r="I1596" t="n">
        <v>8400000</v>
      </c>
      <c r="J1596" t="n">
        <v>0.099</v>
      </c>
      <c r="K1596" t="n">
        <v>1.76</v>
      </c>
      <c r="L1596" t="n">
        <v>0.14</v>
      </c>
      <c r="M1596" t="n">
        <v>1.62</v>
      </c>
      <c r="P1596" t="inlineStr">
        <is>
          <t>최형주</t>
        </is>
      </c>
      <c r="Q1596" t="inlineStr">
        <is>
          <t>홈서비스 24개월</t>
        </is>
      </c>
      <c r="AB1596" t="inlineStr">
        <is>
          <t>홈서비스</t>
        </is>
      </c>
      <c r="AC1596" t="n">
        <v>147840</v>
      </c>
      <c r="AD1596" t="n">
        <v>11760</v>
      </c>
      <c r="AE1596" t="n">
        <v>136080</v>
      </c>
      <c r="AF1596" t="n">
        <v>134400</v>
      </c>
      <c r="AG1596" t="n">
        <v>11371.92</v>
      </c>
      <c r="AH1596" t="n">
        <v>123028.08</v>
      </c>
      <c r="AI1596" t="n">
        <v>0</v>
      </c>
    </row>
    <row r="1597">
      <c r="A1597" t="inlineStr">
        <is>
          <t>2월</t>
        </is>
      </c>
      <c r="B1597" t="inlineStr">
        <is>
          <t>9주차</t>
        </is>
      </c>
      <c r="C1597" t="inlineStr">
        <is>
          <t>IM</t>
        </is>
      </c>
      <c r="D1597" s="28" t="n">
        <v>46078</v>
      </c>
      <c r="E1597" t="inlineStr">
        <is>
          <t>IM캐피탈</t>
        </is>
      </c>
      <c r="F1597" t="inlineStr">
        <is>
          <t>이찬우</t>
        </is>
      </c>
      <c r="G1597" t="inlineStr">
        <is>
          <t>010-2266-3262</t>
        </is>
      </c>
      <c r="H1597" t="inlineStr">
        <is>
          <t>46보1296</t>
        </is>
      </c>
      <c r="I1597" t="n">
        <v>80000000</v>
      </c>
      <c r="J1597" t="n">
        <v>0.049</v>
      </c>
      <c r="K1597" t="n">
        <v>1.21</v>
      </c>
      <c r="L1597" t="n">
        <v>0.4</v>
      </c>
      <c r="M1597" t="n">
        <v>0.8100000000000001</v>
      </c>
      <c r="P1597" t="inlineStr">
        <is>
          <t>박소현</t>
        </is>
      </c>
      <c r="AB1597" t="inlineStr">
        <is>
          <t>엔카</t>
        </is>
      </c>
      <c r="AC1597" t="n">
        <v>968000</v>
      </c>
      <c r="AD1597" t="n">
        <v>320000</v>
      </c>
      <c r="AE1597" t="n">
        <v>648000</v>
      </c>
      <c r="AF1597" t="n">
        <v>880000</v>
      </c>
      <c r="AG1597" t="n">
        <v>309440</v>
      </c>
      <c r="AH1597" t="n">
        <v>570560</v>
      </c>
      <c r="AI1597" t="n">
        <v>0</v>
      </c>
    </row>
    <row r="1598">
      <c r="A1598" t="inlineStr">
        <is>
          <t>2월</t>
        </is>
      </c>
      <c r="B1598" t="inlineStr">
        <is>
          <t>9주차</t>
        </is>
      </c>
      <c r="C1598" t="inlineStr">
        <is>
          <t>IM</t>
        </is>
      </c>
      <c r="D1598" s="28" t="n">
        <v>46078</v>
      </c>
      <c r="E1598" t="inlineStr">
        <is>
          <t>IM캐피탈</t>
        </is>
      </c>
      <c r="F1598" t="inlineStr">
        <is>
          <t>정유성</t>
        </is>
      </c>
      <c r="G1598" t="inlineStr">
        <is>
          <t>010-9954-1792</t>
        </is>
      </c>
      <c r="H1598" t="inlineStr">
        <is>
          <t>58조9283</t>
        </is>
      </c>
      <c r="I1598" t="n">
        <v>8400000</v>
      </c>
      <c r="J1598" t="n">
        <v>0.056</v>
      </c>
      <c r="K1598" t="n">
        <v>1.21</v>
      </c>
      <c r="L1598" t="n">
        <v>0.14</v>
      </c>
      <c r="M1598" t="n">
        <v>1.07</v>
      </c>
      <c r="P1598" t="inlineStr">
        <is>
          <t>김수연</t>
        </is>
      </c>
      <c r="Q1598" t="inlineStr">
        <is>
          <t>홈서비스 36개월</t>
        </is>
      </c>
      <c r="AB1598" t="inlineStr">
        <is>
          <t>홈서비스</t>
        </is>
      </c>
      <c r="AC1598" t="n">
        <v>101640</v>
      </c>
      <c r="AD1598" t="n">
        <v>11760</v>
      </c>
      <c r="AE1598" t="n">
        <v>89880</v>
      </c>
      <c r="AF1598" t="n">
        <v>92400</v>
      </c>
      <c r="AG1598" t="n">
        <v>11371.92</v>
      </c>
      <c r="AH1598" t="n">
        <v>81028.08</v>
      </c>
      <c r="AI1598" t="n">
        <v>0</v>
      </c>
    </row>
    <row r="1599">
      <c r="A1599" t="inlineStr">
        <is>
          <t>2월</t>
        </is>
      </c>
      <c r="B1599" t="inlineStr">
        <is>
          <t>9주차</t>
        </is>
      </c>
      <c r="C1599" t="inlineStr">
        <is>
          <t>EP</t>
        </is>
      </c>
      <c r="D1599" s="28" t="n">
        <v>46079</v>
      </c>
      <c r="E1599" t="inlineStr">
        <is>
          <t>현대EP_fast</t>
        </is>
      </c>
      <c r="F1599" t="inlineStr">
        <is>
          <t>김혜영</t>
        </is>
      </c>
      <c r="G1599" t="inlineStr">
        <is>
          <t>010-3176-7391</t>
        </is>
      </c>
      <c r="H1599" t="inlineStr">
        <is>
          <t>95거2201</t>
        </is>
      </c>
      <c r="I1599" t="n">
        <v>7200000</v>
      </c>
      <c r="J1599" t="n">
        <v>0.079</v>
      </c>
      <c r="K1599" t="n">
        <v>1.21</v>
      </c>
      <c r="L1599" t="n">
        <v>0.14</v>
      </c>
      <c r="M1599" t="n">
        <v>1.07</v>
      </c>
      <c r="P1599" t="inlineStr">
        <is>
          <t>김수연</t>
        </is>
      </c>
      <c r="Q1599" t="inlineStr">
        <is>
          <t>홈서비스 36개월</t>
        </is>
      </c>
      <c r="AB1599" t="inlineStr">
        <is>
          <t>홈서비스</t>
        </is>
      </c>
      <c r="AC1599" t="n">
        <v>87120</v>
      </c>
      <c r="AD1599" t="n">
        <v>10080</v>
      </c>
      <c r="AE1599" t="n">
        <v>77040</v>
      </c>
      <c r="AF1599" t="n">
        <v>79200</v>
      </c>
      <c r="AG1599" t="n">
        <v>9747.360000000001</v>
      </c>
      <c r="AH1599" t="n">
        <v>69452.64</v>
      </c>
      <c r="AI1599" t="n">
        <v>0</v>
      </c>
    </row>
    <row r="1600">
      <c r="A1600" t="inlineStr">
        <is>
          <t>2월</t>
        </is>
      </c>
      <c r="B1600" t="inlineStr">
        <is>
          <t>6주차</t>
        </is>
      </c>
      <c r="C1600" t="inlineStr">
        <is>
          <t>EP</t>
        </is>
      </c>
      <c r="D1600" s="28" t="n">
        <v>46058</v>
      </c>
      <c r="E1600" t="inlineStr">
        <is>
          <t>현대EP</t>
        </is>
      </c>
      <c r="F1600" t="inlineStr">
        <is>
          <t>강은덕</t>
        </is>
      </c>
      <c r="G1600" t="inlineStr">
        <is>
          <t>010-4895-1614</t>
        </is>
      </c>
      <c r="H1600" t="inlineStr">
        <is>
          <t>51너0984</t>
        </is>
      </c>
      <c r="I1600" t="n">
        <v>13700000</v>
      </c>
      <c r="J1600" t="n">
        <v>0.067</v>
      </c>
      <c r="K1600" t="n">
        <v>1.76</v>
      </c>
      <c r="L1600" t="n">
        <v>0.14</v>
      </c>
      <c r="M1600" t="n">
        <v>1.62</v>
      </c>
      <c r="P1600" t="inlineStr">
        <is>
          <t>김나윤</t>
        </is>
      </c>
      <c r="Q1600" t="inlineStr">
        <is>
          <t>홈서비스 48개월</t>
        </is>
      </c>
      <c r="AB1600" t="inlineStr">
        <is>
          <t>홈서비스</t>
        </is>
      </c>
      <c r="AC1600" t="n">
        <v>241120</v>
      </c>
      <c r="AD1600" t="n">
        <v>19180</v>
      </c>
      <c r="AE1600" t="n">
        <v>221940</v>
      </c>
      <c r="AF1600" t="n">
        <v>219200</v>
      </c>
      <c r="AG1600" t="n">
        <v>18547.06</v>
      </c>
      <c r="AH1600" t="n">
        <v>200652.94</v>
      </c>
    </row>
    <row r="1601">
      <c r="A1601" t="inlineStr">
        <is>
          <t>2월</t>
        </is>
      </c>
      <c r="B1601" t="inlineStr">
        <is>
          <t>7주차</t>
        </is>
      </c>
      <c r="C1601" t="inlineStr">
        <is>
          <t>EP</t>
        </is>
      </c>
      <c r="D1601" s="28" t="n">
        <v>46063</v>
      </c>
      <c r="E1601" t="inlineStr">
        <is>
          <t>현대EP</t>
        </is>
      </c>
      <c r="F1601" t="inlineStr">
        <is>
          <t>윤성훈</t>
        </is>
      </c>
      <c r="G1601" t="inlineStr">
        <is>
          <t>010-4110-0030</t>
        </is>
      </c>
      <c r="H1601" t="inlineStr">
        <is>
          <t>53도1624</t>
        </is>
      </c>
      <c r="I1601" t="n">
        <v>13900000</v>
      </c>
      <c r="J1601" t="n">
        <v>0.067</v>
      </c>
      <c r="K1601" t="n">
        <v>1.76</v>
      </c>
      <c r="L1601" t="n">
        <v>0.14</v>
      </c>
      <c r="M1601" t="n">
        <v>1.62</v>
      </c>
      <c r="P1601" t="inlineStr">
        <is>
          <t>김나윤</t>
        </is>
      </c>
      <c r="Q1601" t="inlineStr">
        <is>
          <t>홈서비스 60개월</t>
        </is>
      </c>
      <c r="AB1601" t="inlineStr">
        <is>
          <t>홈서비스</t>
        </is>
      </c>
      <c r="AC1601" t="n">
        <v>244640</v>
      </c>
      <c r="AD1601" t="n">
        <v>19460</v>
      </c>
      <c r="AE1601" t="n">
        <v>225180</v>
      </c>
      <c r="AF1601" t="n">
        <v>222400</v>
      </c>
      <c r="AG1601" t="n">
        <v>18817.82</v>
      </c>
      <c r="AH1601" t="n">
        <v>203582.18</v>
      </c>
    </row>
    <row r="1602">
      <c r="A1602" t="inlineStr">
        <is>
          <t>2월</t>
        </is>
      </c>
      <c r="B1602" t="inlineStr">
        <is>
          <t>8주차</t>
        </is>
      </c>
      <c r="C1602" t="inlineStr">
        <is>
          <t>EP</t>
        </is>
      </c>
      <c r="D1602" s="28" t="n">
        <v>46072</v>
      </c>
      <c r="E1602" t="inlineStr">
        <is>
          <t>BNKEP</t>
        </is>
      </c>
      <c r="F1602" t="inlineStr">
        <is>
          <t>신상훈</t>
        </is>
      </c>
      <c r="G1602" t="inlineStr">
        <is>
          <t>010-3433-5346</t>
        </is>
      </c>
      <c r="H1602" t="inlineStr">
        <is>
          <t>08두6045</t>
        </is>
      </c>
      <c r="I1602" t="n">
        <v>24000000</v>
      </c>
      <c r="J1602" t="n">
        <v>0.063</v>
      </c>
      <c r="K1602" t="n">
        <v>1.65</v>
      </c>
      <c r="L1602" t="n">
        <v>0.4</v>
      </c>
      <c r="M1602" t="n">
        <v>1.25</v>
      </c>
      <c r="P1602" t="inlineStr">
        <is>
          <t>장진경</t>
        </is>
      </c>
      <c r="Q1602" t="inlineStr">
        <is>
          <t>론진행 / 부대비용 추가진행</t>
        </is>
      </c>
      <c r="AB1602" t="inlineStr">
        <is>
          <t>엔카</t>
        </is>
      </c>
      <c r="AC1602" t="n">
        <v>396000</v>
      </c>
      <c r="AD1602" t="n">
        <v>96000</v>
      </c>
      <c r="AE1602" t="n">
        <v>300000</v>
      </c>
      <c r="AF1602" t="n">
        <v>360000</v>
      </c>
      <c r="AG1602" t="n">
        <v>92832</v>
      </c>
      <c r="AH1602" t="n">
        <v>267168</v>
      </c>
      <c r="AI1602" t="n">
        <v>0</v>
      </c>
    </row>
    <row r="1603">
      <c r="A1603" t="inlineStr">
        <is>
          <t>2월</t>
        </is>
      </c>
      <c r="B1603" t="inlineStr">
        <is>
          <t>9주차</t>
        </is>
      </c>
      <c r="C1603" t="inlineStr">
        <is>
          <t>EP</t>
        </is>
      </c>
      <c r="D1603" s="28" t="n">
        <v>46078</v>
      </c>
      <c r="E1603" t="inlineStr">
        <is>
          <t>현대EP_fast</t>
        </is>
      </c>
      <c r="F1603" t="inlineStr">
        <is>
          <t>장준건</t>
        </is>
      </c>
      <c r="G1603" t="inlineStr">
        <is>
          <t>010-4250-4361</t>
        </is>
      </c>
      <c r="H1603" t="inlineStr">
        <is>
          <t>39우8656</t>
        </is>
      </c>
      <c r="I1603" t="n">
        <v>48500000</v>
      </c>
      <c r="J1603" t="n">
        <v>0.111</v>
      </c>
      <c r="K1603" t="n">
        <v>1.76</v>
      </c>
      <c r="L1603" t="n">
        <v>0.14</v>
      </c>
      <c r="M1603" t="n">
        <v>1.62</v>
      </c>
      <c r="P1603" t="inlineStr">
        <is>
          <t>황채이</t>
        </is>
      </c>
      <c r="Q1603" t="inlineStr">
        <is>
          <t>홈서비스 60개월 / 금리인하 0.5% 적용건 (11.6 &gt; 11.1)</t>
        </is>
      </c>
      <c r="AB1603" t="inlineStr">
        <is>
          <t>홈서비스</t>
        </is>
      </c>
      <c r="AC1603" t="n">
        <v>853600</v>
      </c>
      <c r="AD1603" t="n">
        <v>67900</v>
      </c>
      <c r="AE1603" t="n">
        <v>785700</v>
      </c>
      <c r="AF1603" t="n">
        <v>776000</v>
      </c>
      <c r="AG1603" t="n">
        <v>65659.3</v>
      </c>
      <c r="AH1603" t="n">
        <v>710340.7</v>
      </c>
    </row>
    <row r="1604">
      <c r="A1604" t="inlineStr">
        <is>
          <t>2월</t>
        </is>
      </c>
      <c r="B1604" t="inlineStr">
        <is>
          <t>9주차</t>
        </is>
      </c>
      <c r="C1604" t="inlineStr">
        <is>
          <t>EP</t>
        </is>
      </c>
      <c r="D1604" s="28" t="n">
        <v>46077</v>
      </c>
      <c r="E1604" t="inlineStr">
        <is>
          <t>제이비EP</t>
        </is>
      </c>
      <c r="F1604" t="inlineStr">
        <is>
          <t>문수영</t>
        </is>
      </c>
      <c r="G1604" t="inlineStr">
        <is>
          <t>010-8807-5247</t>
        </is>
      </c>
      <c r="H1604" t="inlineStr">
        <is>
          <t>236루5073</t>
        </is>
      </c>
      <c r="I1604" t="n">
        <v>14000000</v>
      </c>
      <c r="J1604" t="n">
        <v>0.092</v>
      </c>
      <c r="K1604" t="n">
        <v>1.65</v>
      </c>
      <c r="L1604" t="n">
        <v>0.14</v>
      </c>
      <c r="M1604" t="n">
        <v>1.51</v>
      </c>
      <c r="P1604" t="inlineStr">
        <is>
          <t>구성완</t>
        </is>
      </c>
      <c r="Q1604" t="inlineStr">
        <is>
          <t>안심거래존건</t>
        </is>
      </c>
      <c r="AB1604" t="inlineStr">
        <is>
          <t>믿고</t>
        </is>
      </c>
      <c r="AC1604" t="n">
        <v>231000</v>
      </c>
      <c r="AD1604" t="n">
        <v>19600</v>
      </c>
      <c r="AE1604" t="n">
        <v>211400</v>
      </c>
      <c r="AF1604" t="n">
        <v>210000</v>
      </c>
      <c r="AG1604" t="n">
        <v>18953.2</v>
      </c>
      <c r="AH1604" t="n">
        <v>191046.8</v>
      </c>
      <c r="AI1604" t="n">
        <v>0</v>
      </c>
    </row>
    <row r="1605">
      <c r="A1605" t="inlineStr">
        <is>
          <t>2월</t>
        </is>
      </c>
      <c r="B1605" t="inlineStr">
        <is>
          <t>6주차</t>
        </is>
      </c>
      <c r="C1605" t="inlineStr">
        <is>
          <t>EP</t>
        </is>
      </c>
      <c r="D1605" s="28" t="n">
        <v>46055</v>
      </c>
      <c r="E1605" t="inlineStr">
        <is>
          <t>현대EP_fast</t>
        </is>
      </c>
      <c r="F1605" t="inlineStr">
        <is>
          <t>이동연</t>
        </is>
      </c>
      <c r="G1605" t="inlineStr">
        <is>
          <t>010-9625-6110</t>
        </is>
      </c>
      <c r="H1605" t="inlineStr">
        <is>
          <t>22다1199</t>
        </is>
      </c>
      <c r="I1605" t="n">
        <v>7800000</v>
      </c>
      <c r="J1605" t="n">
        <v>0.083</v>
      </c>
      <c r="K1605" t="n">
        <v>1.76</v>
      </c>
      <c r="L1605" t="n">
        <v>0.14</v>
      </c>
      <c r="M1605" t="n">
        <v>1.62</v>
      </c>
      <c r="P1605" t="inlineStr">
        <is>
          <t>정광호</t>
        </is>
      </c>
      <c r="Q1605" t="inlineStr">
        <is>
          <t>홈서비스 60개월</t>
        </is>
      </c>
      <c r="AB1605" t="inlineStr">
        <is>
          <t>홈서비스</t>
        </is>
      </c>
      <c r="AC1605" t="n">
        <v>137280</v>
      </c>
      <c r="AD1605" t="n">
        <v>10920</v>
      </c>
      <c r="AE1605" t="n">
        <v>126360</v>
      </c>
      <c r="AF1605" t="n">
        <v>124800</v>
      </c>
      <c r="AG1605" t="n">
        <v>10559.64</v>
      </c>
      <c r="AH1605" t="n">
        <v>114240.36</v>
      </c>
      <c r="AI1605" t="n">
        <v>0</v>
      </c>
    </row>
    <row r="1606">
      <c r="A1606" t="inlineStr">
        <is>
          <t>2월</t>
        </is>
      </c>
      <c r="B1606" t="inlineStr">
        <is>
          <t>6주차</t>
        </is>
      </c>
      <c r="C1606" t="inlineStr">
        <is>
          <t>EP</t>
        </is>
      </c>
      <c r="D1606" s="28" t="n">
        <v>46055</v>
      </c>
      <c r="E1606" t="inlineStr">
        <is>
          <t>현대EP</t>
        </is>
      </c>
      <c r="F1606" t="inlineStr">
        <is>
          <t>양판승</t>
        </is>
      </c>
      <c r="G1606" t="inlineStr">
        <is>
          <t>010-9310-4346</t>
        </is>
      </c>
      <c r="H1606" t="inlineStr">
        <is>
          <t>371주6170</t>
        </is>
      </c>
      <c r="I1606" t="n">
        <v>-20000000</v>
      </c>
      <c r="J1606" t="n">
        <v>0.07199999999999999</v>
      </c>
      <c r="K1606" t="n">
        <v>1.76</v>
      </c>
      <c r="L1606" t="n">
        <v>0.14</v>
      </c>
      <c r="M1606" t="n">
        <v>1.62</v>
      </c>
      <c r="P1606" t="inlineStr">
        <is>
          <t>임대경</t>
        </is>
      </c>
      <c r="Q1606" t="inlineStr">
        <is>
          <t>홈서비스 36개월</t>
        </is>
      </c>
      <c r="AB1606" t="inlineStr">
        <is>
          <t>홈서비스</t>
        </is>
      </c>
      <c r="AC1606" t="n">
        <v>-352000</v>
      </c>
      <c r="AD1606" t="n">
        <v>-28000</v>
      </c>
      <c r="AE1606" t="n">
        <v>-324000</v>
      </c>
      <c r="AF1606" t="n">
        <v>-320000</v>
      </c>
      <c r="AG1606" t="n">
        <v>-27076</v>
      </c>
      <c r="AH1606" t="n">
        <v>-292924</v>
      </c>
      <c r="AI1606" t="n">
        <v>0</v>
      </c>
    </row>
    <row r="1607">
      <c r="A1607" t="inlineStr">
        <is>
          <t>2월</t>
        </is>
      </c>
      <c r="B1607" t="inlineStr">
        <is>
          <t>6주차</t>
        </is>
      </c>
      <c r="C1607" t="inlineStr">
        <is>
          <t>EP</t>
        </is>
      </c>
      <c r="D1607" s="28" t="n">
        <v>46055</v>
      </c>
      <c r="E1607" t="inlineStr">
        <is>
          <t>현대EP_fast</t>
        </is>
      </c>
      <c r="F1607" t="inlineStr">
        <is>
          <t>김동주</t>
        </is>
      </c>
      <c r="G1607" t="inlineStr">
        <is>
          <t>010-5538-1391</t>
        </is>
      </c>
      <c r="H1607" t="inlineStr">
        <is>
          <t>31고5581</t>
        </is>
      </c>
      <c r="I1607" t="n">
        <v>6200000</v>
      </c>
      <c r="J1607" t="n">
        <v>0.06900000000000001</v>
      </c>
      <c r="K1607" t="n">
        <v>1.76</v>
      </c>
      <c r="L1607" t="n">
        <v>0.14</v>
      </c>
      <c r="M1607" t="n">
        <v>1.62</v>
      </c>
      <c r="P1607" t="inlineStr">
        <is>
          <t>최혁</t>
        </is>
      </c>
      <c r="Q1607" t="inlineStr">
        <is>
          <t>홈서비스 60개월</t>
        </is>
      </c>
      <c r="AB1607" t="inlineStr">
        <is>
          <t>홈서비스</t>
        </is>
      </c>
      <c r="AC1607" t="n">
        <v>109120</v>
      </c>
      <c r="AD1607" t="n">
        <v>8680</v>
      </c>
      <c r="AE1607" t="n">
        <v>100440</v>
      </c>
      <c r="AF1607" t="n">
        <v>99200</v>
      </c>
      <c r="AG1607" t="n">
        <v>8393.559999999999</v>
      </c>
      <c r="AH1607" t="n">
        <v>90806.44</v>
      </c>
      <c r="AI1607" t="n">
        <v>0</v>
      </c>
    </row>
    <row r="1608">
      <c r="A1608" t="inlineStr">
        <is>
          <t>2월</t>
        </is>
      </c>
      <c r="B1608" t="inlineStr">
        <is>
          <t>6주차</t>
        </is>
      </c>
      <c r="C1608" t="inlineStr">
        <is>
          <t>EP</t>
        </is>
      </c>
      <c r="D1608" s="28" t="n">
        <v>46058</v>
      </c>
      <c r="E1608" t="inlineStr">
        <is>
          <t>현대EP_fast</t>
        </is>
      </c>
      <c r="F1608" t="inlineStr">
        <is>
          <t>권성용</t>
        </is>
      </c>
      <c r="G1608" t="inlineStr">
        <is>
          <t>010-5677-6122</t>
        </is>
      </c>
      <c r="H1608" t="inlineStr">
        <is>
          <t>36어1312</t>
        </is>
      </c>
      <c r="I1608" t="n">
        <v>14900000</v>
      </c>
      <c r="J1608" t="n">
        <v>0.083</v>
      </c>
      <c r="K1608" t="n">
        <v>1.76</v>
      </c>
      <c r="L1608" t="n">
        <v>0.14</v>
      </c>
      <c r="M1608" t="n">
        <v>1.62</v>
      </c>
      <c r="P1608" t="inlineStr">
        <is>
          <t>김수연</t>
        </is>
      </c>
      <c r="Q1608" t="inlineStr">
        <is>
          <t>홈서비스 60개월</t>
        </is>
      </c>
      <c r="AB1608" t="inlineStr">
        <is>
          <t>홈서비스</t>
        </is>
      </c>
      <c r="AC1608" t="n">
        <v>262240</v>
      </c>
      <c r="AD1608" t="n">
        <v>20860</v>
      </c>
      <c r="AE1608" t="n">
        <v>241380</v>
      </c>
      <c r="AF1608" t="n">
        <v>238400</v>
      </c>
      <c r="AG1608" t="n">
        <v>20171.62</v>
      </c>
      <c r="AH1608" t="n">
        <v>218228.38</v>
      </c>
    </row>
    <row r="1609">
      <c r="A1609" t="inlineStr">
        <is>
          <t>2월</t>
        </is>
      </c>
      <c r="B1609" t="inlineStr">
        <is>
          <t>6주차</t>
        </is>
      </c>
      <c r="C1609" t="inlineStr">
        <is>
          <t>IM</t>
        </is>
      </c>
      <c r="D1609" s="28" t="n">
        <v>46059</v>
      </c>
      <c r="E1609" t="inlineStr">
        <is>
          <t>IM캐피탈</t>
        </is>
      </c>
      <c r="F1609" t="inlineStr">
        <is>
          <t>조승현</t>
        </is>
      </c>
      <c r="G1609" t="inlineStr">
        <is>
          <t>010-5794-2237</t>
        </is>
      </c>
      <c r="H1609" t="inlineStr">
        <is>
          <t>131라9415</t>
        </is>
      </c>
      <c r="I1609" t="n">
        <v>30000000</v>
      </c>
      <c r="J1609" t="n">
        <v>0.056</v>
      </c>
      <c r="K1609" t="n">
        <v>1.1</v>
      </c>
      <c r="L1609" t="n">
        <v>0.4</v>
      </c>
      <c r="M1609" t="n">
        <v>0.7</v>
      </c>
      <c r="P1609" t="inlineStr">
        <is>
          <t>장현경</t>
        </is>
      </c>
      <c r="AB1609" t="inlineStr">
        <is>
          <t>엔카</t>
        </is>
      </c>
      <c r="AC1609" t="n">
        <v>330000</v>
      </c>
      <c r="AD1609" t="n">
        <v>120000</v>
      </c>
      <c r="AE1609" t="n">
        <v>210000</v>
      </c>
      <c r="AF1609" t="n">
        <v>300000</v>
      </c>
      <c r="AG1609" t="n">
        <v>116040</v>
      </c>
      <c r="AH1609" t="n">
        <v>183960</v>
      </c>
      <c r="AI1609" t="n">
        <v>0</v>
      </c>
    </row>
    <row r="1610">
      <c r="A1610" t="inlineStr">
        <is>
          <t>2월</t>
        </is>
      </c>
      <c r="B1610" t="inlineStr">
        <is>
          <t>7주차</t>
        </is>
      </c>
      <c r="C1610" t="inlineStr">
        <is>
          <t>EP</t>
        </is>
      </c>
      <c r="D1610" s="28" t="n">
        <v>46063</v>
      </c>
      <c r="E1610" t="inlineStr">
        <is>
          <t>현대EP_fast</t>
        </is>
      </c>
      <c r="F1610" t="inlineStr">
        <is>
          <t>장세희</t>
        </is>
      </c>
      <c r="G1610" t="inlineStr">
        <is>
          <t>010-8981-4559</t>
        </is>
      </c>
      <c r="H1610" t="inlineStr">
        <is>
          <t>54나5436</t>
        </is>
      </c>
      <c r="I1610" t="n">
        <v>20500000</v>
      </c>
      <c r="J1610" t="n">
        <v>0.08699999999999999</v>
      </c>
      <c r="K1610" t="n">
        <v>1.76</v>
      </c>
      <c r="L1610" t="n">
        <v>0.14</v>
      </c>
      <c r="M1610" t="n">
        <v>1.62</v>
      </c>
      <c r="P1610" t="inlineStr">
        <is>
          <t>정세빈</t>
        </is>
      </c>
      <c r="Q1610" t="inlineStr">
        <is>
          <t>홈서비스 36개월</t>
        </is>
      </c>
      <c r="AB1610" t="inlineStr">
        <is>
          <t>홈서비스</t>
        </is>
      </c>
      <c r="AC1610" t="n">
        <v>360800</v>
      </c>
      <c r="AD1610" t="n">
        <v>28700</v>
      </c>
      <c r="AE1610" t="n">
        <v>332100</v>
      </c>
      <c r="AF1610" t="n">
        <v>328000</v>
      </c>
      <c r="AG1610" t="n">
        <v>27752.9</v>
      </c>
      <c r="AH1610" t="n">
        <v>300247.1</v>
      </c>
      <c r="AI1610" t="n">
        <v>0</v>
      </c>
    </row>
    <row r="1611">
      <c r="A1611" t="inlineStr">
        <is>
          <t>2월</t>
        </is>
      </c>
      <c r="B1611" t="inlineStr">
        <is>
          <t>7주차</t>
        </is>
      </c>
      <c r="C1611" t="inlineStr">
        <is>
          <t>EP</t>
        </is>
      </c>
      <c r="D1611" s="28" t="n">
        <v>46064</v>
      </c>
      <c r="E1611" t="inlineStr">
        <is>
          <t>현대EP</t>
        </is>
      </c>
      <c r="F1611" t="inlineStr">
        <is>
          <t>김종산</t>
        </is>
      </c>
      <c r="G1611" t="inlineStr">
        <is>
          <t>010-8921-4615</t>
        </is>
      </c>
      <c r="H1611" t="inlineStr">
        <is>
          <t>34더3030</t>
        </is>
      </c>
      <c r="I1611" t="n">
        <v>25200000</v>
      </c>
      <c r="J1611" t="n">
        <v>0.099</v>
      </c>
      <c r="K1611" t="n">
        <v>1.76</v>
      </c>
      <c r="L1611" t="n">
        <v>0.14</v>
      </c>
      <c r="M1611" t="n">
        <v>1.62</v>
      </c>
      <c r="P1611" t="inlineStr">
        <is>
          <t>김나윤</t>
        </is>
      </c>
      <c r="Q1611" t="inlineStr">
        <is>
          <t>홈서비스 60개월</t>
        </is>
      </c>
      <c r="AB1611" t="inlineStr">
        <is>
          <t>홈서비스</t>
        </is>
      </c>
      <c r="AC1611" t="n">
        <v>443520</v>
      </c>
      <c r="AD1611" t="n">
        <v>35280</v>
      </c>
      <c r="AE1611" t="n">
        <v>408240</v>
      </c>
      <c r="AF1611" t="n">
        <v>403200</v>
      </c>
      <c r="AG1611" t="n">
        <v>34115.76</v>
      </c>
      <c r="AH1611" t="n">
        <v>369084.24</v>
      </c>
      <c r="AI1611" t="n">
        <v>0</v>
      </c>
    </row>
    <row r="1612">
      <c r="A1612" t="inlineStr">
        <is>
          <t>2월</t>
        </is>
      </c>
      <c r="B1612" t="inlineStr">
        <is>
          <t>9주차</t>
        </is>
      </c>
      <c r="C1612" t="inlineStr">
        <is>
          <t>EP</t>
        </is>
      </c>
      <c r="D1612" s="28" t="n">
        <v>46079</v>
      </c>
      <c r="E1612" t="inlineStr">
        <is>
          <t>현대EP_fast</t>
        </is>
      </c>
      <c r="F1612" t="inlineStr">
        <is>
          <t>정다미</t>
        </is>
      </c>
      <c r="G1612" t="inlineStr">
        <is>
          <t>010-8940-2210</t>
        </is>
      </c>
      <c r="H1612" t="inlineStr">
        <is>
          <t>47오5563</t>
        </is>
      </c>
      <c r="I1612" t="n">
        <v>3700000</v>
      </c>
      <c r="J1612" t="n">
        <v>0.099</v>
      </c>
      <c r="K1612" t="n">
        <v>1.76</v>
      </c>
      <c r="L1612" t="n">
        <v>0.14</v>
      </c>
      <c r="M1612" t="n">
        <v>1.62</v>
      </c>
      <c r="P1612" t="inlineStr">
        <is>
          <t>최형주</t>
        </is>
      </c>
      <c r="Q1612" t="inlineStr">
        <is>
          <t>홈서비스 36개월</t>
        </is>
      </c>
      <c r="AB1612" t="inlineStr">
        <is>
          <t>홈서비스</t>
        </is>
      </c>
      <c r="AC1612" t="n">
        <v>65120</v>
      </c>
      <c r="AD1612" t="n">
        <v>5180</v>
      </c>
      <c r="AE1612" t="n">
        <v>59940</v>
      </c>
      <c r="AF1612" t="n">
        <v>59200</v>
      </c>
      <c r="AG1612" t="n">
        <v>5009.06</v>
      </c>
      <c r="AH1612" t="n">
        <v>54190.94</v>
      </c>
    </row>
    <row r="1613">
      <c r="A1613" t="inlineStr">
        <is>
          <t>2월</t>
        </is>
      </c>
      <c r="B1613" t="inlineStr">
        <is>
          <t>9주차</t>
        </is>
      </c>
      <c r="C1613" t="inlineStr">
        <is>
          <t>IM</t>
        </is>
      </c>
      <c r="D1613" s="28" t="n">
        <v>46079</v>
      </c>
      <c r="E1613" t="inlineStr">
        <is>
          <t>IM캐피탈</t>
        </is>
      </c>
      <c r="F1613" t="inlineStr">
        <is>
          <t>서창이</t>
        </is>
      </c>
      <c r="G1613" t="inlineStr">
        <is>
          <t>010-8801-4452</t>
        </is>
      </c>
      <c r="H1613" t="inlineStr">
        <is>
          <t>372마4642</t>
        </is>
      </c>
      <c r="I1613" t="n">
        <v>20200000</v>
      </c>
      <c r="J1613" t="n">
        <v>0.082</v>
      </c>
      <c r="K1613" t="n">
        <v>1.1</v>
      </c>
      <c r="L1613" t="n">
        <v>0.14</v>
      </c>
      <c r="M1613" t="n">
        <v>0.96</v>
      </c>
      <c r="P1613" t="inlineStr">
        <is>
          <t>황채이</t>
        </is>
      </c>
      <c r="Q1613" t="inlineStr">
        <is>
          <t>홈서비스 48개월</t>
        </is>
      </c>
      <c r="AB1613" t="inlineStr">
        <is>
          <t>홈서비스</t>
        </is>
      </c>
      <c r="AC1613" t="n">
        <v>222200</v>
      </c>
      <c r="AD1613" t="n">
        <v>28280</v>
      </c>
      <c r="AE1613" t="n">
        <v>193920</v>
      </c>
      <c r="AF1613" t="n">
        <v>202000</v>
      </c>
      <c r="AG1613" t="n">
        <v>27346.76</v>
      </c>
      <c r="AH1613" t="n">
        <v>174653.24</v>
      </c>
      <c r="AI1613" t="n">
        <v>0</v>
      </c>
    </row>
    <row r="1614">
      <c r="A1614" t="inlineStr">
        <is>
          <t>2월</t>
        </is>
      </c>
      <c r="B1614" t="inlineStr">
        <is>
          <t>8주차</t>
        </is>
      </c>
      <c r="C1614" t="inlineStr">
        <is>
          <t>EP</t>
        </is>
      </c>
      <c r="D1614" s="28" t="n">
        <v>46072</v>
      </c>
      <c r="E1614" t="inlineStr">
        <is>
          <t>현대EP</t>
        </is>
      </c>
      <c r="F1614" t="inlineStr">
        <is>
          <t>박중구</t>
        </is>
      </c>
      <c r="G1614" t="inlineStr">
        <is>
          <t>010-9822-2072</t>
        </is>
      </c>
      <c r="H1614" t="inlineStr">
        <is>
          <t>273우8591</t>
        </is>
      </c>
      <c r="I1614" t="n">
        <v>17200000</v>
      </c>
      <c r="J1614" t="n">
        <v>0.08699999999999999</v>
      </c>
      <c r="K1614" t="n">
        <v>1.76</v>
      </c>
      <c r="L1614" t="n">
        <v>0.14</v>
      </c>
      <c r="M1614" t="n">
        <v>1.62</v>
      </c>
      <c r="P1614" t="inlineStr">
        <is>
          <t>정세빈</t>
        </is>
      </c>
      <c r="Q1614" t="inlineStr">
        <is>
          <t>홈서비스 60개월</t>
        </is>
      </c>
      <c r="AB1614" t="inlineStr">
        <is>
          <t>홈서비스</t>
        </is>
      </c>
      <c r="AC1614" t="n">
        <v>302720</v>
      </c>
      <c r="AD1614" t="n">
        <v>24080</v>
      </c>
      <c r="AE1614" t="n">
        <v>278640</v>
      </c>
      <c r="AF1614" t="n">
        <v>275200</v>
      </c>
      <c r="AG1614" t="n">
        <v>23285.36</v>
      </c>
      <c r="AH1614" t="n">
        <v>251914.64</v>
      </c>
      <c r="AI1614" t="n">
        <v>0</v>
      </c>
    </row>
    <row r="1615">
      <c r="A1615" t="inlineStr">
        <is>
          <t>2월</t>
        </is>
      </c>
      <c r="B1615" t="inlineStr">
        <is>
          <t>9주차</t>
        </is>
      </c>
      <c r="C1615" t="inlineStr">
        <is>
          <t>IM</t>
        </is>
      </c>
      <c r="D1615" s="28" t="n">
        <v>46079</v>
      </c>
      <c r="E1615" t="inlineStr">
        <is>
          <t>IM캐피탈</t>
        </is>
      </c>
      <c r="F1615" t="inlineStr">
        <is>
          <t>김병준</t>
        </is>
      </c>
      <c r="G1615" t="inlineStr">
        <is>
          <t>010-8187-5381</t>
        </is>
      </c>
      <c r="H1615" t="inlineStr">
        <is>
          <t>178루5934</t>
        </is>
      </c>
      <c r="I1615" t="n">
        <v>23000000</v>
      </c>
      <c r="J1615" t="n">
        <v>0.056</v>
      </c>
      <c r="K1615" t="n">
        <v>1.1</v>
      </c>
      <c r="L1615" t="n">
        <v>0.14</v>
      </c>
      <c r="M1615" t="n">
        <v>0.96</v>
      </c>
      <c r="P1615" t="inlineStr">
        <is>
          <t>김수연</t>
        </is>
      </c>
      <c r="Q1615" t="inlineStr">
        <is>
          <t>홈서비스 60개월</t>
        </is>
      </c>
      <c r="AB1615" t="inlineStr">
        <is>
          <t>홈서비스</t>
        </is>
      </c>
      <c r="AC1615" t="n">
        <v>253000</v>
      </c>
      <c r="AD1615" t="n">
        <v>32200</v>
      </c>
      <c r="AE1615" t="n">
        <v>220800</v>
      </c>
      <c r="AF1615" t="n">
        <v>230000</v>
      </c>
      <c r="AG1615" t="n">
        <v>31137.4</v>
      </c>
      <c r="AH1615" t="n">
        <v>198862.6</v>
      </c>
      <c r="AI1615" t="n">
        <v>0</v>
      </c>
    </row>
    <row r="1616">
      <c r="A1616" t="inlineStr">
        <is>
          <t>2월</t>
        </is>
      </c>
      <c r="B1616" t="inlineStr">
        <is>
          <t>7주차</t>
        </is>
      </c>
      <c r="C1616" t="inlineStr">
        <is>
          <t>EP</t>
        </is>
      </c>
      <c r="D1616" s="28" t="n">
        <v>46064</v>
      </c>
      <c r="E1616" t="inlineStr">
        <is>
          <t>현대EP_fast</t>
        </is>
      </c>
      <c r="F1616" t="inlineStr">
        <is>
          <t>정재형</t>
        </is>
      </c>
      <c r="G1616" t="inlineStr">
        <is>
          <t>010-9145-5658</t>
        </is>
      </c>
      <c r="H1616" t="inlineStr">
        <is>
          <t>103거4984</t>
        </is>
      </c>
      <c r="I1616" t="n">
        <v>33000000</v>
      </c>
      <c r="J1616" t="n">
        <v>0.08699999999999999</v>
      </c>
      <c r="K1616" t="n">
        <v>1.76</v>
      </c>
      <c r="L1616" t="n">
        <v>0.14</v>
      </c>
      <c r="M1616" t="n">
        <v>1.62</v>
      </c>
      <c r="P1616" t="inlineStr">
        <is>
          <t>최혁</t>
        </is>
      </c>
      <c r="Q1616" t="inlineStr">
        <is>
          <t>홈서비스60개월</t>
        </is>
      </c>
      <c r="AB1616" t="inlineStr">
        <is>
          <t>홈서비스</t>
        </is>
      </c>
      <c r="AC1616" t="n">
        <v>580800</v>
      </c>
      <c r="AD1616" t="n">
        <v>46200</v>
      </c>
      <c r="AE1616" t="n">
        <v>534600</v>
      </c>
      <c r="AF1616" t="n">
        <v>528000</v>
      </c>
      <c r="AG1616" t="n">
        <v>44675.4</v>
      </c>
      <c r="AH1616" t="n">
        <v>483324.6</v>
      </c>
      <c r="AI1616" t="n">
        <v>0</v>
      </c>
    </row>
    <row r="1617">
      <c r="A1617" t="inlineStr">
        <is>
          <t>2월</t>
        </is>
      </c>
      <c r="B1617" t="inlineStr">
        <is>
          <t>8주차</t>
        </is>
      </c>
      <c r="C1617" t="inlineStr">
        <is>
          <t>IM</t>
        </is>
      </c>
      <c r="D1617" s="28" t="n">
        <v>46073</v>
      </c>
      <c r="E1617" t="inlineStr">
        <is>
          <t>IM캐피탈</t>
        </is>
      </c>
      <c r="F1617" t="inlineStr">
        <is>
          <t>석인제</t>
        </is>
      </c>
      <c r="G1617" t="inlineStr">
        <is>
          <t>010-7646-6729</t>
        </is>
      </c>
      <c r="H1617" t="inlineStr">
        <is>
          <t>289수3925</t>
        </is>
      </c>
      <c r="I1617" t="n">
        <v>26200000</v>
      </c>
      <c r="J1617" t="n">
        <v>0.066</v>
      </c>
      <c r="K1617" t="n">
        <v>1.1</v>
      </c>
      <c r="L1617" t="n">
        <v>0.4</v>
      </c>
      <c r="M1617" t="n">
        <v>0.7</v>
      </c>
      <c r="P1617" t="inlineStr">
        <is>
          <t>최혁</t>
        </is>
      </c>
      <c r="AB1617" t="inlineStr">
        <is>
          <t>엔카</t>
        </is>
      </c>
      <c r="AC1617" t="n">
        <v>288200</v>
      </c>
      <c r="AD1617" t="n">
        <v>104800</v>
      </c>
      <c r="AE1617" t="n">
        <v>183400</v>
      </c>
      <c r="AF1617" t="n">
        <v>262000</v>
      </c>
      <c r="AG1617" t="n">
        <v>101341.6</v>
      </c>
      <c r="AH1617" t="n">
        <v>160658.4</v>
      </c>
      <c r="AI1617" t="n">
        <v>0</v>
      </c>
    </row>
    <row r="1618">
      <c r="A1618" t="inlineStr">
        <is>
          <t>2월</t>
        </is>
      </c>
      <c r="B1618" t="inlineStr">
        <is>
          <t>9주차</t>
        </is>
      </c>
      <c r="C1618" t="inlineStr">
        <is>
          <t>EP</t>
        </is>
      </c>
      <c r="D1618" s="28" t="n">
        <v>46076</v>
      </c>
      <c r="E1618" t="inlineStr">
        <is>
          <t>현대EP</t>
        </is>
      </c>
      <c r="F1618" t="inlineStr">
        <is>
          <t>김수진</t>
        </is>
      </c>
      <c r="G1618" t="inlineStr">
        <is>
          <t>010-9487-3493</t>
        </is>
      </c>
      <c r="H1618" t="inlineStr">
        <is>
          <t>16어2347</t>
        </is>
      </c>
      <c r="I1618" t="n">
        <v>6100000</v>
      </c>
      <c r="J1618" t="n">
        <v>0.115</v>
      </c>
      <c r="K1618" t="n">
        <v>1.76</v>
      </c>
      <c r="L1618" t="n">
        <v>0.14</v>
      </c>
      <c r="M1618" t="n">
        <v>1.62</v>
      </c>
      <c r="P1618" t="inlineStr">
        <is>
          <t>황채이</t>
        </is>
      </c>
      <c r="Q1618" t="inlineStr">
        <is>
          <t>홈서비스 36개월</t>
        </is>
      </c>
      <c r="AB1618" t="inlineStr">
        <is>
          <t>홈서비스</t>
        </is>
      </c>
      <c r="AC1618" t="n">
        <v>107360</v>
      </c>
      <c r="AD1618" t="n">
        <v>8540</v>
      </c>
      <c r="AE1618" t="n">
        <v>98820</v>
      </c>
      <c r="AF1618" t="n">
        <v>97600</v>
      </c>
      <c r="AG1618" t="n">
        <v>8258.18</v>
      </c>
      <c r="AH1618" t="n">
        <v>89341.82000000001</v>
      </c>
      <c r="AI1618" t="n">
        <v>0</v>
      </c>
    </row>
    <row r="1619">
      <c r="A1619" t="inlineStr">
        <is>
          <t>2월</t>
        </is>
      </c>
      <c r="B1619" t="inlineStr">
        <is>
          <t>9주차</t>
        </is>
      </c>
      <c r="C1619" t="inlineStr">
        <is>
          <t>EP</t>
        </is>
      </c>
      <c r="D1619" s="28" t="n">
        <v>46079</v>
      </c>
      <c r="E1619" t="inlineStr">
        <is>
          <t>현대EP_fast</t>
        </is>
      </c>
      <c r="F1619" t="inlineStr">
        <is>
          <t>김재홍</t>
        </is>
      </c>
      <c r="G1619" t="inlineStr">
        <is>
          <t>010-9258-9859</t>
        </is>
      </c>
      <c r="H1619" t="inlineStr">
        <is>
          <t>370로1829</t>
        </is>
      </c>
      <c r="I1619" t="n">
        <v>33500000</v>
      </c>
      <c r="J1619" t="n">
        <v>0.073</v>
      </c>
      <c r="K1619" t="n">
        <v>1.76</v>
      </c>
      <c r="L1619" t="n">
        <v>0.14</v>
      </c>
      <c r="M1619" t="n">
        <v>1.62</v>
      </c>
      <c r="P1619" t="inlineStr">
        <is>
          <t>장진경</t>
        </is>
      </c>
      <c r="Q1619" t="inlineStr">
        <is>
          <t>선상담 / 홈서비스 60개월 / 금리인하 0.5% 적용건 (7.8 &gt; 7.3)</t>
        </is>
      </c>
      <c r="AB1619" t="inlineStr">
        <is>
          <t>홈서비스</t>
        </is>
      </c>
      <c r="AC1619" t="n">
        <v>589600</v>
      </c>
      <c r="AD1619" t="n">
        <v>46900</v>
      </c>
      <c r="AE1619" t="n">
        <v>542700</v>
      </c>
      <c r="AF1619" t="n">
        <v>536000</v>
      </c>
      <c r="AG1619" t="n">
        <v>45352.3</v>
      </c>
      <c r="AH1619" t="n">
        <v>490647.7</v>
      </c>
      <c r="AI1619" t="n">
        <v>0</v>
      </c>
    </row>
    <row r="1620">
      <c r="A1620" t="inlineStr">
        <is>
          <t>2월</t>
        </is>
      </c>
      <c r="B1620" t="inlineStr">
        <is>
          <t>9주차</t>
        </is>
      </c>
      <c r="C1620" t="inlineStr">
        <is>
          <t>EP</t>
        </is>
      </c>
      <c r="D1620" s="28" t="n">
        <v>46077</v>
      </c>
      <c r="E1620" t="inlineStr">
        <is>
          <t>현대EP</t>
        </is>
      </c>
      <c r="F1620" t="inlineStr">
        <is>
          <t>김찬주</t>
        </is>
      </c>
      <c r="G1620" t="inlineStr">
        <is>
          <t>010-7990-2880</t>
        </is>
      </c>
      <c r="H1620" t="inlineStr">
        <is>
          <t>09로0997</t>
        </is>
      </c>
      <c r="I1620" t="n">
        <v>3000000</v>
      </c>
      <c r="J1620" t="n">
        <v>0.089</v>
      </c>
      <c r="K1620" t="n">
        <v>1.76</v>
      </c>
      <c r="L1620" t="n">
        <v>0.14</v>
      </c>
      <c r="M1620" t="n">
        <v>1.62</v>
      </c>
      <c r="P1620" t="inlineStr">
        <is>
          <t>박보람</t>
        </is>
      </c>
      <c r="Q1620" t="inlineStr">
        <is>
          <t>홈서비스 24개월</t>
        </is>
      </c>
      <c r="AB1620" t="inlineStr">
        <is>
          <t>홈서비스</t>
        </is>
      </c>
      <c r="AC1620" t="n">
        <v>52800</v>
      </c>
      <c r="AD1620" t="n">
        <v>4200</v>
      </c>
      <c r="AE1620" t="n">
        <v>48600</v>
      </c>
      <c r="AF1620" t="n">
        <v>48000</v>
      </c>
      <c r="AG1620" t="n">
        <v>4061.4</v>
      </c>
      <c r="AH1620" t="n">
        <v>43938.6</v>
      </c>
      <c r="AI1620" t="n">
        <v>0</v>
      </c>
    </row>
    <row r="1621">
      <c r="A1621" t="inlineStr">
        <is>
          <t>2월</t>
        </is>
      </c>
      <c r="B1621" t="inlineStr">
        <is>
          <t>9주차</t>
        </is>
      </c>
      <c r="C1621" t="inlineStr">
        <is>
          <t>IM</t>
        </is>
      </c>
      <c r="D1621" s="28" t="n">
        <v>46078</v>
      </c>
      <c r="E1621" t="inlineStr">
        <is>
          <t>IM캐피탈</t>
        </is>
      </c>
      <c r="F1621" t="inlineStr">
        <is>
          <t>이도현</t>
        </is>
      </c>
      <c r="G1621" t="inlineStr">
        <is>
          <t>010-4443-4842</t>
        </is>
      </c>
      <c r="H1621" t="inlineStr">
        <is>
          <t>42오2780</t>
        </is>
      </c>
      <c r="I1621" t="n">
        <v>26800000</v>
      </c>
      <c r="J1621" t="n">
        <v>0.059</v>
      </c>
      <c r="K1621" t="n">
        <v>1.1</v>
      </c>
      <c r="L1621" t="n">
        <v>0.14</v>
      </c>
      <c r="M1621" t="n">
        <v>0.96</v>
      </c>
      <c r="P1621" t="inlineStr">
        <is>
          <t>최형주</t>
        </is>
      </c>
      <c r="Q1621" t="inlineStr">
        <is>
          <t>홈서비스 36개월</t>
        </is>
      </c>
      <c r="AB1621" t="inlineStr">
        <is>
          <t>홈서비스</t>
        </is>
      </c>
      <c r="AC1621" t="n">
        <v>294800</v>
      </c>
      <c r="AD1621" t="n">
        <v>37520</v>
      </c>
      <c r="AE1621" t="n">
        <v>257280</v>
      </c>
      <c r="AF1621" t="n">
        <v>268000</v>
      </c>
      <c r="AG1621" t="n">
        <v>36281.84</v>
      </c>
      <c r="AH1621" t="n">
        <v>231718.16</v>
      </c>
      <c r="AI1621" t="n">
        <v>0</v>
      </c>
    </row>
    <row r="1622">
      <c r="A1622" t="inlineStr">
        <is>
          <t>2월</t>
        </is>
      </c>
      <c r="B1622" t="inlineStr">
        <is>
          <t>9주차</t>
        </is>
      </c>
      <c r="C1622" t="inlineStr">
        <is>
          <t>EP</t>
        </is>
      </c>
      <c r="D1622" s="28" t="n">
        <v>46079</v>
      </c>
      <c r="E1622" t="inlineStr">
        <is>
          <t>현대EP_fast</t>
        </is>
      </c>
      <c r="F1622" t="inlineStr">
        <is>
          <t>이정규</t>
        </is>
      </c>
      <c r="G1622" t="inlineStr">
        <is>
          <t>010-4142-4638</t>
        </is>
      </c>
      <c r="H1622" t="inlineStr">
        <is>
          <t>69모0366</t>
        </is>
      </c>
      <c r="I1622" t="n">
        <v>7000000</v>
      </c>
      <c r="J1622" t="n">
        <v>0.08699999999999999</v>
      </c>
      <c r="K1622" t="n">
        <v>1.76</v>
      </c>
      <c r="L1622" t="n">
        <v>0.14</v>
      </c>
      <c r="M1622" t="n">
        <v>1.62</v>
      </c>
      <c r="P1622" t="inlineStr">
        <is>
          <t>임대경</t>
        </is>
      </c>
      <c r="Q1622" t="inlineStr">
        <is>
          <t>홈서비스 60개월</t>
        </is>
      </c>
      <c r="AB1622" t="inlineStr">
        <is>
          <t>홈서비스</t>
        </is>
      </c>
      <c r="AC1622" t="n">
        <v>123200</v>
      </c>
      <c r="AD1622" t="n">
        <v>9800</v>
      </c>
      <c r="AE1622" t="n">
        <v>113400</v>
      </c>
      <c r="AF1622" t="n">
        <v>112000</v>
      </c>
      <c r="AG1622" t="n">
        <v>9476.6</v>
      </c>
      <c r="AH1622" t="n">
        <v>102523.4</v>
      </c>
      <c r="AI1622" t="n">
        <v>0</v>
      </c>
    </row>
    <row r="1623">
      <c r="A1623" t="inlineStr">
        <is>
          <t>2월</t>
        </is>
      </c>
      <c r="B1623" t="inlineStr">
        <is>
          <t>9주차</t>
        </is>
      </c>
      <c r="C1623" t="inlineStr">
        <is>
          <t>EP</t>
        </is>
      </c>
      <c r="D1623" s="28" t="n">
        <v>46078</v>
      </c>
      <c r="E1623" t="inlineStr">
        <is>
          <t>BNKEP</t>
        </is>
      </c>
      <c r="F1623" t="inlineStr">
        <is>
          <t>양갑동</t>
        </is>
      </c>
      <c r="G1623" t="inlineStr">
        <is>
          <t>010-4757-0390</t>
        </is>
      </c>
      <c r="H1623" t="inlineStr">
        <is>
          <t>109라6936</t>
        </is>
      </c>
      <c r="I1623" t="n">
        <v>18000000</v>
      </c>
      <c r="J1623" t="n">
        <v>0.073</v>
      </c>
      <c r="K1623" t="n">
        <v>1.65</v>
      </c>
      <c r="L1623" t="n">
        <v>0.14</v>
      </c>
      <c r="M1623" t="n">
        <v>1.51</v>
      </c>
      <c r="P1623" t="inlineStr">
        <is>
          <t>김나윤</t>
        </is>
      </c>
      <c r="Q1623" t="inlineStr">
        <is>
          <t>홈서비스 60개월</t>
        </is>
      </c>
      <c r="AB1623" t="inlineStr">
        <is>
          <t>홈서비스</t>
        </is>
      </c>
      <c r="AC1623" t="n">
        <v>297000</v>
      </c>
      <c r="AD1623" t="n">
        <v>25200</v>
      </c>
      <c r="AE1623" t="n">
        <v>271800</v>
      </c>
      <c r="AF1623" t="n">
        <v>270000</v>
      </c>
      <c r="AG1623" t="n">
        <v>24368.4</v>
      </c>
      <c r="AH1623" t="n">
        <v>245631.6</v>
      </c>
    </row>
    <row r="1624">
      <c r="A1624" t="inlineStr">
        <is>
          <t>2월</t>
        </is>
      </c>
      <c r="B1624" t="inlineStr">
        <is>
          <t>9주차</t>
        </is>
      </c>
      <c r="C1624" t="inlineStr">
        <is>
          <t>IM</t>
        </is>
      </c>
      <c r="D1624" s="28" t="n">
        <v>46079</v>
      </c>
      <c r="E1624" t="inlineStr">
        <is>
          <t>IM캐피탈</t>
        </is>
      </c>
      <c r="F1624" t="inlineStr">
        <is>
          <t>김성현</t>
        </is>
      </c>
      <c r="G1624" t="inlineStr">
        <is>
          <t>010-5278-8158</t>
        </is>
      </c>
      <c r="H1624" t="inlineStr">
        <is>
          <t>380오2126</t>
        </is>
      </c>
      <c r="I1624" t="n">
        <v>28400000</v>
      </c>
      <c r="J1624" t="n">
        <v>0.059</v>
      </c>
      <c r="K1624" t="n">
        <v>1.1</v>
      </c>
      <c r="L1624" t="n">
        <v>0.14</v>
      </c>
      <c r="M1624" t="n">
        <v>0.96</v>
      </c>
      <c r="P1624" t="inlineStr">
        <is>
          <t>최형주</t>
        </is>
      </c>
      <c r="Q1624" t="inlineStr">
        <is>
          <t>홈서비스 72개월</t>
        </is>
      </c>
      <c r="AB1624" t="inlineStr">
        <is>
          <t>홈서비스</t>
        </is>
      </c>
      <c r="AC1624" t="n">
        <v>312400</v>
      </c>
      <c r="AD1624" t="n">
        <v>39760</v>
      </c>
      <c r="AE1624" t="n">
        <v>272640</v>
      </c>
      <c r="AF1624" t="n">
        <v>284000</v>
      </c>
      <c r="AG1624" t="n">
        <v>38447.92</v>
      </c>
      <c r="AH1624" t="n">
        <v>245552.08</v>
      </c>
    </row>
    <row r="1625">
      <c r="A1625" t="inlineStr">
        <is>
          <t>2월</t>
        </is>
      </c>
      <c r="B1625" t="inlineStr">
        <is>
          <t>9주차</t>
        </is>
      </c>
      <c r="C1625" t="inlineStr">
        <is>
          <t>EP</t>
        </is>
      </c>
      <c r="D1625" s="28" t="n">
        <v>46079</v>
      </c>
      <c r="E1625" t="inlineStr">
        <is>
          <t>현대EP</t>
        </is>
      </c>
      <c r="F1625" t="inlineStr">
        <is>
          <t>이혜준</t>
        </is>
      </c>
      <c r="G1625" t="inlineStr">
        <is>
          <t>010-4001-8985</t>
        </is>
      </c>
      <c r="H1625" t="inlineStr">
        <is>
          <t>64가9337</t>
        </is>
      </c>
      <c r="I1625" t="n">
        <v>3900000</v>
      </c>
      <c r="J1625" t="n">
        <v>0.115</v>
      </c>
      <c r="K1625" t="n">
        <v>1.76</v>
      </c>
      <c r="L1625" t="n">
        <v>0.14</v>
      </c>
      <c r="M1625" t="n">
        <v>1.62</v>
      </c>
      <c r="P1625" t="inlineStr">
        <is>
          <t>황채이</t>
        </is>
      </c>
      <c r="Q1625" t="inlineStr">
        <is>
          <t>홈서비스 60개월</t>
        </is>
      </c>
      <c r="AB1625" t="inlineStr">
        <is>
          <t>홈서비스</t>
        </is>
      </c>
      <c r="AC1625" t="n">
        <v>68640</v>
      </c>
      <c r="AD1625" t="n">
        <v>5460</v>
      </c>
      <c r="AE1625" t="n">
        <v>63180</v>
      </c>
      <c r="AF1625" t="n">
        <v>62400</v>
      </c>
      <c r="AG1625" t="n">
        <v>5279.82</v>
      </c>
      <c r="AH1625" t="n">
        <v>57120.18</v>
      </c>
      <c r="AI1625" t="n">
        <v>0</v>
      </c>
    </row>
    <row r="1626">
      <c r="A1626" t="inlineStr">
        <is>
          <t>2월</t>
        </is>
      </c>
      <c r="B1626" t="inlineStr">
        <is>
          <t>9주차</t>
        </is>
      </c>
      <c r="C1626" t="inlineStr">
        <is>
          <t>EP</t>
        </is>
      </c>
      <c r="D1626" s="28" t="n">
        <v>46080</v>
      </c>
      <c r="E1626" t="inlineStr">
        <is>
          <t>현대EP_fast</t>
        </is>
      </c>
      <c r="F1626" t="inlineStr">
        <is>
          <t>이재연</t>
        </is>
      </c>
      <c r="G1626" t="inlineStr">
        <is>
          <t>010-8230-8843</t>
        </is>
      </c>
      <c r="H1626" t="inlineStr">
        <is>
          <t>28보0785</t>
        </is>
      </c>
      <c r="I1626" t="n">
        <v>5500000</v>
      </c>
      <c r="J1626" t="n">
        <v>0.08400000000000001</v>
      </c>
      <c r="K1626" t="n">
        <v>1.76</v>
      </c>
      <c r="L1626" t="n">
        <v>0.14</v>
      </c>
      <c r="M1626" t="n">
        <v>1.62</v>
      </c>
      <c r="P1626" t="inlineStr">
        <is>
          <t>김나윤</t>
        </is>
      </c>
      <c r="Q1626" t="inlineStr">
        <is>
          <t>홈서비스 60개월 / 금리인하 0.5% 적용건 (8.9 &gt; 8.4)</t>
        </is>
      </c>
      <c r="AB1626" t="inlineStr">
        <is>
          <t>홈서비스</t>
        </is>
      </c>
      <c r="AC1626" t="n">
        <v>96800</v>
      </c>
      <c r="AD1626" t="n">
        <v>7700</v>
      </c>
      <c r="AE1626" t="n">
        <v>89100</v>
      </c>
      <c r="AF1626" t="n">
        <v>88000</v>
      </c>
      <c r="AG1626" t="n">
        <v>7445.9</v>
      </c>
      <c r="AH1626" t="n">
        <v>80554.10000000001</v>
      </c>
    </row>
    <row r="1627">
      <c r="A1627" t="inlineStr">
        <is>
          <t>2월</t>
        </is>
      </c>
      <c r="B1627" t="inlineStr">
        <is>
          <t>9주차</t>
        </is>
      </c>
      <c r="C1627" t="inlineStr">
        <is>
          <t>EP</t>
        </is>
      </c>
      <c r="D1627" s="28" t="n">
        <v>46078</v>
      </c>
      <c r="E1627" t="inlineStr">
        <is>
          <t>제이비EP</t>
        </is>
      </c>
      <c r="F1627" t="inlineStr">
        <is>
          <t>정우진</t>
        </is>
      </c>
      <c r="G1627" t="inlineStr">
        <is>
          <t>010-9176-4008</t>
        </is>
      </c>
      <c r="H1627" t="inlineStr">
        <is>
          <t>47부2759</t>
        </is>
      </c>
      <c r="I1627" t="n">
        <v>14900000</v>
      </c>
      <c r="J1627" t="n">
        <v>0.129</v>
      </c>
      <c r="K1627" t="n">
        <v>1.65</v>
      </c>
      <c r="L1627" t="n">
        <v>0.4</v>
      </c>
      <c r="M1627" t="n">
        <v>1.25</v>
      </c>
      <c r="P1627" t="inlineStr">
        <is>
          <t>박현민</t>
        </is>
      </c>
      <c r="AB1627" t="inlineStr">
        <is>
          <t>엔카</t>
        </is>
      </c>
      <c r="AC1627" t="n">
        <v>245850</v>
      </c>
      <c r="AD1627" t="n">
        <v>59600</v>
      </c>
      <c r="AE1627" t="n">
        <v>186250</v>
      </c>
      <c r="AF1627" t="n">
        <v>223500</v>
      </c>
      <c r="AG1627" t="n">
        <v>57633.2</v>
      </c>
      <c r="AH1627" t="n">
        <v>165866.8</v>
      </c>
    </row>
    <row r="1628">
      <c r="A1628" t="inlineStr">
        <is>
          <t>2월</t>
        </is>
      </c>
      <c r="B1628" t="inlineStr">
        <is>
          <t>7주차</t>
        </is>
      </c>
      <c r="C1628" t="inlineStr">
        <is>
          <t>EP</t>
        </is>
      </c>
      <c r="D1628" s="28" t="n">
        <v>46067</v>
      </c>
      <c r="E1628" t="inlineStr">
        <is>
          <t>현대EP</t>
        </is>
      </c>
      <c r="F1628" t="inlineStr">
        <is>
          <t>강선혜</t>
        </is>
      </c>
      <c r="G1628" t="inlineStr">
        <is>
          <t>010-9475-8923</t>
        </is>
      </c>
      <c r="H1628" t="inlineStr">
        <is>
          <t>13로3715</t>
        </is>
      </c>
      <c r="I1628" t="n">
        <v>15800000</v>
      </c>
      <c r="J1628" t="n">
        <v>0.083</v>
      </c>
      <c r="K1628" t="n">
        <v>1.76</v>
      </c>
      <c r="L1628" t="n">
        <v>0.14</v>
      </c>
      <c r="M1628" t="n">
        <v>1.62</v>
      </c>
      <c r="P1628" t="inlineStr">
        <is>
          <t>정광호</t>
        </is>
      </c>
      <c r="Q1628" t="inlineStr">
        <is>
          <t>홈서비스 60개월</t>
        </is>
      </c>
      <c r="AB1628" t="inlineStr">
        <is>
          <t>홈서비스</t>
        </is>
      </c>
      <c r="AC1628" t="n">
        <v>278080</v>
      </c>
      <c r="AD1628" t="n">
        <v>22120</v>
      </c>
      <c r="AE1628" t="n">
        <v>255960</v>
      </c>
      <c r="AF1628" t="n">
        <v>252800</v>
      </c>
      <c r="AG1628" t="n">
        <v>21390.04</v>
      </c>
      <c r="AH1628" t="n">
        <v>231409.96</v>
      </c>
      <c r="AI1628" t="n">
        <v>0</v>
      </c>
    </row>
    <row r="1629">
      <c r="A1629" t="inlineStr">
        <is>
          <t>2월</t>
        </is>
      </c>
      <c r="B1629" t="inlineStr">
        <is>
          <t>8주차</t>
        </is>
      </c>
      <c r="C1629" t="inlineStr">
        <is>
          <t>EP</t>
        </is>
      </c>
      <c r="D1629" s="28" t="n">
        <v>46072</v>
      </c>
      <c r="E1629" t="inlineStr">
        <is>
          <t>현대EP</t>
        </is>
      </c>
      <c r="F1629" t="inlineStr">
        <is>
          <t>이수현</t>
        </is>
      </c>
      <c r="G1629" t="inlineStr">
        <is>
          <t>010-3341-0360</t>
        </is>
      </c>
      <c r="H1629" t="inlineStr">
        <is>
          <t>60부0516</t>
        </is>
      </c>
      <c r="I1629" t="n">
        <v>5000000</v>
      </c>
      <c r="J1629" t="n">
        <v>0.116</v>
      </c>
      <c r="K1629" t="n">
        <v>1.76</v>
      </c>
      <c r="L1629" t="n">
        <v>0.14</v>
      </c>
      <c r="M1629" t="n">
        <v>1.62</v>
      </c>
      <c r="P1629" t="inlineStr">
        <is>
          <t>황채이</t>
        </is>
      </c>
      <c r="Q1629" t="inlineStr">
        <is>
          <t>홈서비스 36개월</t>
        </is>
      </c>
      <c r="AB1629" t="inlineStr">
        <is>
          <t>홈서비스</t>
        </is>
      </c>
      <c r="AC1629" t="n">
        <v>88000</v>
      </c>
      <c r="AD1629" t="n">
        <v>7000</v>
      </c>
      <c r="AE1629" t="n">
        <v>81000</v>
      </c>
      <c r="AF1629" t="n">
        <v>80000</v>
      </c>
      <c r="AG1629" t="n">
        <v>6769</v>
      </c>
      <c r="AH1629" t="n">
        <v>73231</v>
      </c>
    </row>
    <row r="1630">
      <c r="A1630" t="inlineStr">
        <is>
          <t>2월</t>
        </is>
      </c>
      <c r="B1630" t="inlineStr">
        <is>
          <t>9주차</t>
        </is>
      </c>
      <c r="C1630" t="inlineStr">
        <is>
          <t>OR</t>
        </is>
      </c>
      <c r="D1630" s="28" t="n">
        <v>46078</v>
      </c>
      <c r="E1630" t="inlineStr">
        <is>
          <t>오릭스</t>
        </is>
      </c>
      <c r="F1630" t="inlineStr">
        <is>
          <t>이종훈</t>
        </is>
      </c>
      <c r="G1630" t="inlineStr">
        <is>
          <t>010-5679-9499</t>
        </is>
      </c>
      <c r="H1630" t="inlineStr">
        <is>
          <t>127나8771</t>
        </is>
      </c>
      <c r="I1630" t="n">
        <v>26300000</v>
      </c>
      <c r="J1630" t="n">
        <v>0.064</v>
      </c>
      <c r="K1630" t="n">
        <v>1.65</v>
      </c>
      <c r="L1630" t="n">
        <v>0.4</v>
      </c>
      <c r="M1630" t="n">
        <v>1.25</v>
      </c>
      <c r="P1630" t="inlineStr">
        <is>
          <t>구성완</t>
        </is>
      </c>
      <c r="AB1630" t="inlineStr">
        <is>
          <t>엔카</t>
        </is>
      </c>
      <c r="AC1630" t="n">
        <v>433950</v>
      </c>
      <c r="AD1630" t="n">
        <v>105200</v>
      </c>
      <c r="AE1630" t="n">
        <v>328750</v>
      </c>
      <c r="AF1630" t="n">
        <v>394500</v>
      </c>
      <c r="AG1630" t="n">
        <v>101728.4</v>
      </c>
      <c r="AH1630" t="n">
        <v>292771.6</v>
      </c>
      <c r="AI1630" t="n">
        <v>0</v>
      </c>
    </row>
    <row r="1631">
      <c r="A1631" t="inlineStr">
        <is>
          <t>2월</t>
        </is>
      </c>
      <c r="B1631" t="inlineStr">
        <is>
          <t>9주차</t>
        </is>
      </c>
      <c r="C1631" t="inlineStr">
        <is>
          <t>EP</t>
        </is>
      </c>
      <c r="D1631" s="28" t="n">
        <v>46079</v>
      </c>
      <c r="E1631" t="inlineStr">
        <is>
          <t>현대EP_fast</t>
        </is>
      </c>
      <c r="F1631" t="inlineStr">
        <is>
          <t>고성현</t>
        </is>
      </c>
      <c r="G1631" t="inlineStr">
        <is>
          <t>010-2769-9362</t>
        </is>
      </c>
      <c r="H1631" t="inlineStr">
        <is>
          <t>157너7703</t>
        </is>
      </c>
      <c r="I1631" t="n">
        <v>24000000</v>
      </c>
      <c r="J1631" t="n">
        <v>0.111</v>
      </c>
      <c r="K1631" t="n">
        <v>1.76</v>
      </c>
      <c r="L1631" t="n">
        <v>0.4</v>
      </c>
      <c r="M1631" t="n">
        <v>1.36</v>
      </c>
      <c r="P1631" t="inlineStr">
        <is>
          <t>구성완</t>
        </is>
      </c>
      <c r="Q1631" t="inlineStr">
        <is>
          <t xml:space="preserve"> 금리인하 0.5% 적용건 (11.6 &gt; 11.1)</t>
        </is>
      </c>
      <c r="AB1631" t="inlineStr">
        <is>
          <t>엔카</t>
        </is>
      </c>
      <c r="AC1631" t="n">
        <v>422400</v>
      </c>
      <c r="AD1631" t="n">
        <v>96000</v>
      </c>
      <c r="AE1631" t="n">
        <v>326400</v>
      </c>
      <c r="AF1631" t="n">
        <v>384000</v>
      </c>
      <c r="AG1631" t="n">
        <v>92832</v>
      </c>
      <c r="AH1631" t="n">
        <v>291168</v>
      </c>
    </row>
    <row r="1632">
      <c r="A1632" t="inlineStr">
        <is>
          <t>2월</t>
        </is>
      </c>
      <c r="B1632" t="inlineStr">
        <is>
          <t>9주차</t>
        </is>
      </c>
      <c r="C1632" t="inlineStr">
        <is>
          <t>EP</t>
        </is>
      </c>
      <c r="D1632" s="28" t="n">
        <v>46077</v>
      </c>
      <c r="E1632" t="inlineStr">
        <is>
          <t>현대EP</t>
        </is>
      </c>
      <c r="F1632" t="inlineStr">
        <is>
          <t>이한준</t>
        </is>
      </c>
      <c r="G1632" t="inlineStr">
        <is>
          <t>010-5220-3418</t>
        </is>
      </c>
      <c r="H1632" t="inlineStr">
        <is>
          <t>03구2748</t>
        </is>
      </c>
      <c r="I1632" t="n">
        <v>9000000</v>
      </c>
      <c r="J1632" t="n">
        <v>0.115</v>
      </c>
      <c r="K1632" t="n">
        <v>1.76</v>
      </c>
      <c r="L1632" t="n">
        <v>0.14</v>
      </c>
      <c r="M1632" t="n">
        <v>1.62</v>
      </c>
      <c r="P1632" t="inlineStr">
        <is>
          <t>박보람</t>
        </is>
      </c>
      <c r="Q1632" t="inlineStr">
        <is>
          <t>홈서비스 60개월</t>
        </is>
      </c>
      <c r="AB1632" t="inlineStr">
        <is>
          <t>홈서비스</t>
        </is>
      </c>
      <c r="AC1632" t="n">
        <v>158400</v>
      </c>
      <c r="AD1632" t="n">
        <v>12600</v>
      </c>
      <c r="AE1632" t="n">
        <v>145800</v>
      </c>
      <c r="AF1632" t="n">
        <v>144000</v>
      </c>
      <c r="AG1632" t="n">
        <v>12184.2</v>
      </c>
      <c r="AH1632" t="n">
        <v>131815.8</v>
      </c>
      <c r="AI1632" t="n">
        <v>0</v>
      </c>
    </row>
    <row r="1633">
      <c r="A1633" t="inlineStr">
        <is>
          <t>2월</t>
        </is>
      </c>
      <c r="B1633" t="inlineStr">
        <is>
          <t>8주차</t>
        </is>
      </c>
      <c r="C1633" t="inlineStr">
        <is>
          <t>EP</t>
        </is>
      </c>
      <c r="D1633" s="28" t="n">
        <v>46072</v>
      </c>
      <c r="E1633" t="inlineStr">
        <is>
          <t>현대EP</t>
        </is>
      </c>
      <c r="F1633" t="inlineStr">
        <is>
          <t>송성윤</t>
        </is>
      </c>
      <c r="G1633" t="inlineStr">
        <is>
          <t>010-6359-8341</t>
        </is>
      </c>
      <c r="H1633" t="inlineStr">
        <is>
          <t>62수1381</t>
        </is>
      </c>
      <c r="I1633" t="n">
        <v>13900000</v>
      </c>
      <c r="J1633" t="n">
        <v>0.102</v>
      </c>
      <c r="K1633" t="n">
        <v>1.76</v>
      </c>
      <c r="L1633" t="n">
        <v>0.14</v>
      </c>
      <c r="M1633" t="n">
        <v>1.62</v>
      </c>
      <c r="P1633" t="inlineStr">
        <is>
          <t>정세빈</t>
        </is>
      </c>
      <c r="Q1633" t="inlineStr">
        <is>
          <t>홈서비스 60개월</t>
        </is>
      </c>
      <c r="AB1633" t="inlineStr">
        <is>
          <t>홈서비스</t>
        </is>
      </c>
      <c r="AC1633" t="n">
        <v>244640</v>
      </c>
      <c r="AD1633" t="n">
        <v>19460</v>
      </c>
      <c r="AE1633" t="n">
        <v>225180</v>
      </c>
      <c r="AF1633" t="n">
        <v>222400</v>
      </c>
      <c r="AG1633" t="n">
        <v>18817.82</v>
      </c>
      <c r="AH1633" t="n">
        <v>203582.18</v>
      </c>
      <c r="AI1633" t="n">
        <v>0</v>
      </c>
    </row>
    <row r="1634">
      <c r="A1634" t="inlineStr">
        <is>
          <t>2월</t>
        </is>
      </c>
      <c r="B1634" t="inlineStr">
        <is>
          <t>8주차</t>
        </is>
      </c>
      <c r="C1634" t="inlineStr">
        <is>
          <t>IM</t>
        </is>
      </c>
      <c r="D1634" s="28" t="n">
        <v>46073</v>
      </c>
      <c r="E1634" t="inlineStr">
        <is>
          <t>IM캐피탈</t>
        </is>
      </c>
      <c r="F1634" t="inlineStr">
        <is>
          <t>조성일</t>
        </is>
      </c>
      <c r="G1634" t="inlineStr">
        <is>
          <t>010-8735-2561</t>
        </is>
      </c>
      <c r="H1634" t="inlineStr">
        <is>
          <t>09수2620</t>
        </is>
      </c>
      <c r="I1634" t="n">
        <v>11200000</v>
      </c>
      <c r="J1634" t="n">
        <v>0.049</v>
      </c>
      <c r="K1634" t="n">
        <v>1.1</v>
      </c>
      <c r="L1634" t="n">
        <v>0.14</v>
      </c>
      <c r="M1634" t="n">
        <v>0.96</v>
      </c>
      <c r="P1634" t="inlineStr">
        <is>
          <t>최형주</t>
        </is>
      </c>
      <c r="Q1634" t="inlineStr">
        <is>
          <t>홈서비스 72개월</t>
        </is>
      </c>
      <c r="AB1634" t="inlineStr">
        <is>
          <t>홈서비스</t>
        </is>
      </c>
      <c r="AC1634" t="n">
        <v>123200</v>
      </c>
      <c r="AD1634" t="n">
        <v>15680</v>
      </c>
      <c r="AE1634" t="n">
        <v>107520</v>
      </c>
      <c r="AF1634" t="n">
        <v>112000</v>
      </c>
      <c r="AG1634" t="n">
        <v>15162.56</v>
      </c>
      <c r="AH1634" t="n">
        <v>96837.44</v>
      </c>
    </row>
    <row r="1635">
      <c r="A1635" t="inlineStr">
        <is>
          <t>2월</t>
        </is>
      </c>
      <c r="B1635" t="inlineStr">
        <is>
          <t>8주차</t>
        </is>
      </c>
      <c r="C1635" t="inlineStr">
        <is>
          <t>EP</t>
        </is>
      </c>
      <c r="D1635" s="28" t="n">
        <v>46073</v>
      </c>
      <c r="E1635" t="inlineStr">
        <is>
          <t>현대EP_fast</t>
        </is>
      </c>
      <c r="F1635" t="inlineStr">
        <is>
          <t>김지안</t>
        </is>
      </c>
      <c r="G1635" t="inlineStr">
        <is>
          <t>010-5604-5766</t>
        </is>
      </c>
      <c r="H1635" t="inlineStr">
        <is>
          <t>180누6254</t>
        </is>
      </c>
      <c r="I1635" t="n">
        <v>-29900000</v>
      </c>
      <c r="J1635" t="n">
        <v>0.11</v>
      </c>
      <c r="K1635" t="n">
        <v>1.76</v>
      </c>
      <c r="L1635" t="n">
        <v>0.14</v>
      </c>
      <c r="M1635" t="n">
        <v>1.62</v>
      </c>
      <c r="P1635" t="inlineStr">
        <is>
          <t>장현경</t>
        </is>
      </c>
      <c r="Q1635" t="inlineStr">
        <is>
          <t>선상담 홈서비스 60개월 / 금리인하 0.5% 적용건 ( 11.5 &gt; 11)</t>
        </is>
      </c>
      <c r="AB1635" t="inlineStr">
        <is>
          <t>홈서비스</t>
        </is>
      </c>
      <c r="AC1635" t="n">
        <v>-526240</v>
      </c>
      <c r="AD1635" t="n">
        <v>-41860</v>
      </c>
      <c r="AE1635" t="n">
        <v>-484380</v>
      </c>
      <c r="AF1635" t="n">
        <v>-478400</v>
      </c>
      <c r="AG1635" t="n">
        <v>-40478.62</v>
      </c>
      <c r="AH1635" t="n">
        <v>-437921.38</v>
      </c>
      <c r="AI1635" t="n">
        <v>0</v>
      </c>
    </row>
    <row r="1636">
      <c r="A1636" t="inlineStr">
        <is>
          <t>2월</t>
        </is>
      </c>
      <c r="B1636" t="inlineStr">
        <is>
          <t>9주차</t>
        </is>
      </c>
      <c r="C1636" t="inlineStr">
        <is>
          <t>EP</t>
        </is>
      </c>
      <c r="D1636" s="28" t="n">
        <v>46079</v>
      </c>
      <c r="E1636" t="inlineStr">
        <is>
          <t>현대EP_fast</t>
        </is>
      </c>
      <c r="F1636" t="inlineStr">
        <is>
          <t>백성용</t>
        </is>
      </c>
      <c r="G1636" t="inlineStr">
        <is>
          <t>010-2030-8834</t>
        </is>
      </c>
      <c r="H1636" t="inlineStr">
        <is>
          <t>39라5193</t>
        </is>
      </c>
      <c r="I1636" t="n">
        <v>21000000</v>
      </c>
      <c r="J1636" t="n">
        <v>0.089</v>
      </c>
      <c r="K1636" t="n">
        <v>1.76</v>
      </c>
      <c r="L1636" t="n">
        <v>0.14</v>
      </c>
      <c r="M1636" t="n">
        <v>1.62</v>
      </c>
      <c r="P1636" t="inlineStr">
        <is>
          <t>임대경</t>
        </is>
      </c>
      <c r="Q1636" t="inlineStr">
        <is>
          <t>홈서비스 48개월</t>
        </is>
      </c>
      <c r="AB1636" t="inlineStr">
        <is>
          <t>홈서비스</t>
        </is>
      </c>
      <c r="AC1636" t="n">
        <v>369600</v>
      </c>
      <c r="AD1636" t="n">
        <v>29400</v>
      </c>
      <c r="AE1636" t="n">
        <v>340200</v>
      </c>
      <c r="AF1636" t="n">
        <v>336000</v>
      </c>
      <c r="AG1636" t="n">
        <v>28429.8</v>
      </c>
      <c r="AH1636" t="n">
        <v>307570.2</v>
      </c>
      <c r="AI1636" t="n">
        <v>0</v>
      </c>
    </row>
    <row r="1637">
      <c r="A1637" t="inlineStr">
        <is>
          <t>2월</t>
        </is>
      </c>
      <c r="B1637" t="inlineStr">
        <is>
          <t>6주차</t>
        </is>
      </c>
      <c r="C1637" t="inlineStr">
        <is>
          <t>EP</t>
        </is>
      </c>
      <c r="D1637" s="28" t="n">
        <v>46059</v>
      </c>
      <c r="E1637" t="inlineStr">
        <is>
          <t>현대EP_fast</t>
        </is>
      </c>
      <c r="F1637" t="inlineStr">
        <is>
          <t>이형훈</t>
        </is>
      </c>
      <c r="G1637" t="n">
        <v>1091089057</v>
      </c>
      <c r="H1637" t="inlineStr">
        <is>
          <t>32버9191</t>
        </is>
      </c>
      <c r="I1637" t="n">
        <v>22900000</v>
      </c>
      <c r="J1637" t="n">
        <v>0.07199999999999999</v>
      </c>
      <c r="K1637" t="n">
        <v>1.76</v>
      </c>
      <c r="L1637" t="n">
        <v>0.14</v>
      </c>
      <c r="M1637" t="n">
        <v>1.62</v>
      </c>
      <c r="P1637" t="inlineStr">
        <is>
          <t>김나윤</t>
        </is>
      </c>
      <c r="Q1637" t="inlineStr">
        <is>
          <t>홈서비스 60개월</t>
        </is>
      </c>
      <c r="AB1637" t="inlineStr">
        <is>
          <t>홈서비스</t>
        </is>
      </c>
      <c r="AC1637" t="n">
        <v>403040</v>
      </c>
      <c r="AD1637" t="n">
        <v>32060</v>
      </c>
      <c r="AE1637" t="n">
        <v>370980</v>
      </c>
      <c r="AF1637" t="n">
        <v>366400</v>
      </c>
      <c r="AG1637" t="n">
        <v>31002.02</v>
      </c>
      <c r="AH1637" t="n">
        <v>335397.98</v>
      </c>
    </row>
    <row r="1638">
      <c r="A1638" t="inlineStr">
        <is>
          <t>2월</t>
        </is>
      </c>
      <c r="B1638" t="inlineStr">
        <is>
          <t>9주차</t>
        </is>
      </c>
      <c r="C1638" t="inlineStr">
        <is>
          <t>EP</t>
        </is>
      </c>
      <c r="D1638" s="28" t="n">
        <v>46079</v>
      </c>
      <c r="E1638" t="inlineStr">
        <is>
          <t>현대EP</t>
        </is>
      </c>
      <c r="F1638" t="inlineStr">
        <is>
          <t>홍순호</t>
        </is>
      </c>
      <c r="G1638" t="inlineStr">
        <is>
          <t>010-3817-4492</t>
        </is>
      </c>
      <c r="H1638" t="inlineStr">
        <is>
          <t>09누1490</t>
        </is>
      </c>
      <c r="I1638" t="n">
        <v>12000000</v>
      </c>
      <c r="J1638" t="n">
        <v>0.068</v>
      </c>
      <c r="K1638" t="n">
        <v>1.21</v>
      </c>
      <c r="L1638" t="n">
        <v>0.14</v>
      </c>
      <c r="M1638" t="n">
        <v>1.07</v>
      </c>
      <c r="P1638" t="inlineStr">
        <is>
          <t>정광호</t>
        </is>
      </c>
      <c r="Q1638" t="inlineStr">
        <is>
          <t>홈서비스 48개월</t>
        </is>
      </c>
      <c r="AB1638" t="inlineStr">
        <is>
          <t>홈서비스</t>
        </is>
      </c>
      <c r="AC1638" t="n">
        <v>145200</v>
      </c>
      <c r="AD1638" t="n">
        <v>16800</v>
      </c>
      <c r="AE1638" t="n">
        <v>128400</v>
      </c>
      <c r="AF1638" t="n">
        <v>132000</v>
      </c>
      <c r="AG1638" t="n">
        <v>16245.6</v>
      </c>
      <c r="AH1638" t="n">
        <v>115754.4</v>
      </c>
      <c r="AI1638" t="n">
        <v>0</v>
      </c>
    </row>
    <row r="1639">
      <c r="A1639" t="inlineStr">
        <is>
          <t>2월</t>
        </is>
      </c>
      <c r="B1639" t="inlineStr">
        <is>
          <t>9주차</t>
        </is>
      </c>
      <c r="C1639" t="inlineStr">
        <is>
          <t>IM</t>
        </is>
      </c>
      <c r="D1639" s="28" t="n">
        <v>46079</v>
      </c>
      <c r="E1639" t="inlineStr">
        <is>
          <t>IM캐피탈</t>
        </is>
      </c>
      <c r="F1639" t="inlineStr">
        <is>
          <t>신석민</t>
        </is>
      </c>
      <c r="G1639" t="inlineStr">
        <is>
          <t>010-5168-0744</t>
        </is>
      </c>
      <c r="H1639" t="inlineStr">
        <is>
          <t>65소8374</t>
        </is>
      </c>
      <c r="I1639" t="n">
        <v>9900000</v>
      </c>
      <c r="J1639" t="n">
        <v>0.066</v>
      </c>
      <c r="K1639" t="n">
        <v>1.1</v>
      </c>
      <c r="L1639" t="n">
        <v>0.14</v>
      </c>
      <c r="M1639" t="n">
        <v>0.96</v>
      </c>
      <c r="P1639" t="inlineStr">
        <is>
          <t>김수연</t>
        </is>
      </c>
      <c r="Q1639" t="inlineStr">
        <is>
          <t>홈서비스 60개월</t>
        </is>
      </c>
      <c r="AB1639" t="inlineStr">
        <is>
          <t>홈서비스</t>
        </is>
      </c>
      <c r="AC1639" t="n">
        <v>108900</v>
      </c>
      <c r="AD1639" t="n">
        <v>13860</v>
      </c>
      <c r="AE1639" t="n">
        <v>95040</v>
      </c>
      <c r="AF1639" t="n">
        <v>99000</v>
      </c>
      <c r="AG1639" t="n">
        <v>13402.62</v>
      </c>
      <c r="AH1639" t="n">
        <v>85597.38</v>
      </c>
      <c r="AI1639" t="n">
        <v>0</v>
      </c>
    </row>
    <row r="1640">
      <c r="A1640" t="inlineStr">
        <is>
          <t>2월</t>
        </is>
      </c>
      <c r="B1640" t="inlineStr">
        <is>
          <t>9주차</t>
        </is>
      </c>
      <c r="C1640" t="inlineStr">
        <is>
          <t>EP</t>
        </is>
      </c>
      <c r="D1640" s="28" t="n">
        <v>46079</v>
      </c>
      <c r="E1640" t="inlineStr">
        <is>
          <t>현대EP_fast</t>
        </is>
      </c>
      <c r="F1640" t="inlineStr">
        <is>
          <t>강주원</t>
        </is>
      </c>
      <c r="G1640" t="inlineStr">
        <is>
          <t>010-3249-1414</t>
        </is>
      </c>
      <c r="H1640" t="inlineStr">
        <is>
          <t>385나4540</t>
        </is>
      </c>
      <c r="I1640" t="n">
        <v>34200000</v>
      </c>
      <c r="J1640" t="n">
        <v>0.097</v>
      </c>
      <c r="K1640" t="n">
        <v>1.76</v>
      </c>
      <c r="L1640" t="n">
        <v>0.4</v>
      </c>
      <c r="M1640" t="n">
        <v>1.36</v>
      </c>
      <c r="P1640" t="inlineStr">
        <is>
          <t>장현경</t>
        </is>
      </c>
      <c r="Q1640" t="inlineStr">
        <is>
          <t xml:space="preserve"> 금리인하 0.5% 적용건 (10.2 &gt; 9.7)</t>
        </is>
      </c>
      <c r="AB1640" t="inlineStr">
        <is>
          <t>엔카</t>
        </is>
      </c>
      <c r="AC1640" t="n">
        <v>601920</v>
      </c>
      <c r="AD1640" t="n">
        <v>136800</v>
      </c>
      <c r="AE1640" t="n">
        <v>465120</v>
      </c>
      <c r="AF1640" t="n">
        <v>547200</v>
      </c>
      <c r="AG1640" t="n">
        <v>132285.6</v>
      </c>
      <c r="AH1640" t="n">
        <v>414914.4</v>
      </c>
      <c r="AI1640" t="n">
        <v>0</v>
      </c>
    </row>
    <row r="1641">
      <c r="A1641" t="inlineStr">
        <is>
          <t>2월</t>
        </is>
      </c>
      <c r="B1641" t="inlineStr">
        <is>
          <t>7주차</t>
        </is>
      </c>
      <c r="C1641" t="inlineStr">
        <is>
          <t>EP</t>
        </is>
      </c>
      <c r="D1641" s="28" t="n">
        <v>46062</v>
      </c>
      <c r="E1641" t="inlineStr">
        <is>
          <t>현대EP_fast</t>
        </is>
      </c>
      <c r="F1641" t="inlineStr">
        <is>
          <t>강하늘</t>
        </is>
      </c>
      <c r="G1641" t="inlineStr">
        <is>
          <t>010-6456-8399</t>
        </is>
      </c>
      <c r="H1641" t="inlineStr">
        <is>
          <t>55고0897</t>
        </is>
      </c>
      <c r="I1641" t="n">
        <v>9000000</v>
      </c>
      <c r="J1641" t="n">
        <v>0.124</v>
      </c>
      <c r="K1641" t="n">
        <v>1.76</v>
      </c>
      <c r="L1641" t="n">
        <v>0.14</v>
      </c>
      <c r="M1641" t="n">
        <v>1.62</v>
      </c>
      <c r="P1641" t="inlineStr">
        <is>
          <t>황채이</t>
        </is>
      </c>
      <c r="Q1641" t="inlineStr">
        <is>
          <t>홈서비스 36개월</t>
        </is>
      </c>
      <c r="AB1641" t="inlineStr">
        <is>
          <t>홈서비스</t>
        </is>
      </c>
      <c r="AC1641" t="n">
        <v>158400</v>
      </c>
      <c r="AD1641" t="n">
        <v>12600</v>
      </c>
      <c r="AE1641" t="n">
        <v>145800</v>
      </c>
      <c r="AF1641" t="n">
        <v>144000</v>
      </c>
      <c r="AG1641" t="n">
        <v>12184.2</v>
      </c>
      <c r="AH1641" t="n">
        <v>131815.8</v>
      </c>
      <c r="AI1641" t="n">
        <v>0</v>
      </c>
    </row>
    <row r="1642">
      <c r="A1642" t="inlineStr">
        <is>
          <t>2월</t>
        </is>
      </c>
      <c r="B1642" t="inlineStr">
        <is>
          <t>8주차</t>
        </is>
      </c>
      <c r="C1642" t="inlineStr">
        <is>
          <t>EP</t>
        </is>
      </c>
      <c r="D1642" s="28" t="n">
        <v>46072</v>
      </c>
      <c r="E1642" t="inlineStr">
        <is>
          <t>현대EP_fast</t>
        </is>
      </c>
      <c r="F1642" t="inlineStr">
        <is>
          <t>김영후</t>
        </is>
      </c>
      <c r="G1642" t="inlineStr">
        <is>
          <t>010-9868-6407</t>
        </is>
      </c>
      <c r="H1642" t="inlineStr">
        <is>
          <t>45두0370</t>
        </is>
      </c>
      <c r="I1642" t="n">
        <v>5900000</v>
      </c>
      <c r="J1642" t="n">
        <v>0.115</v>
      </c>
      <c r="K1642" t="n">
        <v>1.76</v>
      </c>
      <c r="L1642" t="n">
        <v>0.14</v>
      </c>
      <c r="M1642" t="n">
        <v>1.62</v>
      </c>
      <c r="P1642" t="inlineStr">
        <is>
          <t>정세빈</t>
        </is>
      </c>
      <c r="Q1642" t="inlineStr">
        <is>
          <t>홈서비스 48개월</t>
        </is>
      </c>
      <c r="AB1642" t="inlineStr">
        <is>
          <t>홈서비스</t>
        </is>
      </c>
      <c r="AC1642" t="n">
        <v>103840</v>
      </c>
      <c r="AD1642" t="n">
        <v>8260</v>
      </c>
      <c r="AE1642" t="n">
        <v>95580</v>
      </c>
      <c r="AF1642" t="n">
        <v>94400</v>
      </c>
      <c r="AG1642" t="n">
        <v>7987.42</v>
      </c>
      <c r="AH1642" t="n">
        <v>86412.58</v>
      </c>
      <c r="AI1642" t="n">
        <v>0</v>
      </c>
    </row>
    <row r="1643">
      <c r="A1643" t="inlineStr">
        <is>
          <t>4월</t>
        </is>
      </c>
      <c r="B1643" t="inlineStr">
        <is>
          <t>17주차</t>
        </is>
      </c>
      <c r="C1643" t="inlineStr">
        <is>
          <t>EP</t>
        </is>
      </c>
      <c r="D1643" s="28" t="n">
        <v>46132</v>
      </c>
      <c r="E1643" t="inlineStr">
        <is>
          <t>현대EP</t>
        </is>
      </c>
      <c r="F1643" t="inlineStr">
        <is>
          <t>이정우</t>
        </is>
      </c>
      <c r="G1643" t="inlineStr">
        <is>
          <t>010-2414-1064</t>
        </is>
      </c>
      <c r="H1643" t="inlineStr">
        <is>
          <t>137러7059</t>
        </is>
      </c>
      <c r="I1643" t="n">
        <v>25200000</v>
      </c>
      <c r="J1643" t="n">
        <v>0.062</v>
      </c>
      <c r="K1643" t="n">
        <v>1.76</v>
      </c>
      <c r="L1643" t="n">
        <v>0.2</v>
      </c>
      <c r="M1643" t="n">
        <v>1.56</v>
      </c>
      <c r="P1643" t="inlineStr">
        <is>
          <t>정광호</t>
        </is>
      </c>
      <c r="AB1643" t="inlineStr">
        <is>
          <t>홈서비스</t>
        </is>
      </c>
      <c r="AC1643" t="n">
        <v>443520</v>
      </c>
      <c r="AD1643" t="n">
        <v>50400</v>
      </c>
      <c r="AE1643" t="n">
        <v>393120</v>
      </c>
      <c r="AF1643" t="n">
        <v>403200</v>
      </c>
      <c r="AG1643" t="n">
        <v>48736.8</v>
      </c>
      <c r="AH1643" t="n">
        <v>354463.2</v>
      </c>
      <c r="AI1643" t="n">
        <v>0</v>
      </c>
    </row>
    <row r="1644">
      <c r="A1644" t="inlineStr">
        <is>
          <t>5월</t>
        </is>
      </c>
      <c r="B1644" t="inlineStr">
        <is>
          <t>22주차</t>
        </is>
      </c>
      <c r="C1644" t="inlineStr">
        <is>
          <t>EP</t>
        </is>
      </c>
      <c r="D1644" s="28" t="n">
        <v>46169</v>
      </c>
      <c r="E1644" t="inlineStr">
        <is>
          <t>현대EP_fast</t>
        </is>
      </c>
      <c r="F1644" t="inlineStr">
        <is>
          <t>김유진</t>
        </is>
      </c>
      <c r="G1644" t="inlineStr">
        <is>
          <t>010-5394-1619</t>
        </is>
      </c>
      <c r="H1644" t="inlineStr">
        <is>
          <t>152우9398</t>
        </is>
      </c>
      <c r="I1644" t="n">
        <v>30300000</v>
      </c>
      <c r="J1644" t="n">
        <v>0.089</v>
      </c>
      <c r="K1644" t="n">
        <v>1.76</v>
      </c>
      <c r="L1644" t="n">
        <v>0.14</v>
      </c>
      <c r="M1644" t="n">
        <v>1.62</v>
      </c>
      <c r="P1644" t="inlineStr">
        <is>
          <t>정세빈</t>
        </is>
      </c>
      <c r="Q1644" t="inlineStr">
        <is>
          <t>홈서비스 60개월</t>
        </is>
      </c>
      <c r="AB1644" t="inlineStr">
        <is>
          <t>홈서비스</t>
        </is>
      </c>
      <c r="AC1644" t="n">
        <v>533280</v>
      </c>
      <c r="AD1644" t="n">
        <v>42420</v>
      </c>
      <c r="AE1644" t="n">
        <v>490860</v>
      </c>
      <c r="AF1644" t="n">
        <v>484800</v>
      </c>
      <c r="AG1644" t="n">
        <v>41020.14</v>
      </c>
      <c r="AH1644" t="n">
        <v>443779.86</v>
      </c>
      <c r="AI1644" t="n">
        <v>0</v>
      </c>
    </row>
    <row r="1645">
      <c r="A1645" t="inlineStr">
        <is>
          <t>1월</t>
        </is>
      </c>
      <c r="B1645" t="inlineStr">
        <is>
          <t>2주차</t>
        </is>
      </c>
      <c r="C1645" t="inlineStr">
        <is>
          <t>상환</t>
        </is>
      </c>
      <c r="D1645" t="inlineStr">
        <is>
          <t>2026-01-06</t>
        </is>
      </c>
      <c r="E1645" t="inlineStr">
        <is>
          <t>현대EP_fast상환</t>
        </is>
      </c>
      <c r="F1645" t="inlineStr">
        <is>
          <t>홍민의</t>
        </is>
      </c>
      <c r="G1645" t="inlineStr">
        <is>
          <t>010-8889-4448</t>
        </is>
      </c>
      <c r="H1645" t="inlineStr">
        <is>
          <t>37우3354</t>
        </is>
      </c>
      <c r="I1645" t="n">
        <v>-5000000</v>
      </c>
      <c r="J1645" t="n">
        <v>0.075</v>
      </c>
      <c r="K1645" t="n">
        <v>1.76</v>
      </c>
      <c r="L1645" t="n">
        <v>0.13</v>
      </c>
      <c r="M1645" t="n">
        <v>1.63</v>
      </c>
      <c r="P1645" t="inlineStr">
        <is>
          <t>황채이</t>
        </is>
      </c>
      <c r="Q1645" t="inlineStr">
        <is>
          <t>홈서비스 60개월 /*당월철회 20260123</t>
        </is>
      </c>
      <c r="AB1645" t="inlineStr">
        <is>
          <t>홈서비스</t>
        </is>
      </c>
      <c r="AC1645" t="n">
        <v>-88000</v>
      </c>
      <c r="AD1645" t="n">
        <v>-6500</v>
      </c>
      <c r="AE1645" t="n">
        <v>-81500</v>
      </c>
      <c r="AF1645" t="n">
        <v>-80000</v>
      </c>
      <c r="AG1645" t="n">
        <v>-6285.5</v>
      </c>
      <c r="AH1645" t="n">
        <v>-73714.5</v>
      </c>
      <c r="AI1645" t="n">
        <v>0</v>
      </c>
      <c r="AK1645" t="inlineStr">
        <is>
          <t>대출철회</t>
        </is>
      </c>
    </row>
    <row r="1646">
      <c r="A1646" t="inlineStr">
        <is>
          <t>4월</t>
        </is>
      </c>
      <c r="B1646" t="inlineStr">
        <is>
          <t>16주차</t>
        </is>
      </c>
      <c r="C1646" t="inlineStr">
        <is>
          <t>EP</t>
        </is>
      </c>
      <c r="D1646" s="28" t="n">
        <v>46131</v>
      </c>
      <c r="E1646" t="inlineStr">
        <is>
          <t>현대EP</t>
        </is>
      </c>
      <c r="F1646" t="inlineStr">
        <is>
          <t>김영복</t>
        </is>
      </c>
      <c r="G1646" t="inlineStr">
        <is>
          <t>010-6391-4570</t>
        </is>
      </c>
      <c r="H1646" t="inlineStr">
        <is>
          <t>167머4094</t>
        </is>
      </c>
      <c r="I1646" t="n">
        <v>15200000</v>
      </c>
      <c r="J1646" t="n">
        <v>0.07099999999999999</v>
      </c>
      <c r="K1646" t="n">
        <v>1.76</v>
      </c>
      <c r="L1646" t="n">
        <v>0.2</v>
      </c>
      <c r="M1646" t="n">
        <v>1.56</v>
      </c>
      <c r="P1646" t="inlineStr">
        <is>
          <t>정광호</t>
        </is>
      </c>
      <c r="AB1646" t="inlineStr">
        <is>
          <t>홈서비스</t>
        </is>
      </c>
      <c r="AC1646" t="n">
        <v>267520</v>
      </c>
      <c r="AD1646" t="n">
        <v>30400</v>
      </c>
      <c r="AE1646" t="n">
        <v>237120</v>
      </c>
      <c r="AF1646" t="n">
        <v>243200</v>
      </c>
      <c r="AG1646" t="n">
        <v>29396.8</v>
      </c>
      <c r="AH1646" t="n">
        <v>213803.2</v>
      </c>
    </row>
    <row r="1647">
      <c r="A1647" t="inlineStr">
        <is>
          <t>1월</t>
        </is>
      </c>
      <c r="B1647" t="inlineStr">
        <is>
          <t>1주차</t>
        </is>
      </c>
      <c r="C1647" t="inlineStr">
        <is>
          <t>상환</t>
        </is>
      </c>
      <c r="D1647" t="inlineStr">
        <is>
          <t>2026-01-02</t>
        </is>
      </c>
      <c r="E1647" t="inlineStr">
        <is>
          <t>현대EP_fast상환</t>
        </is>
      </c>
      <c r="F1647" t="inlineStr">
        <is>
          <t>김원만</t>
        </is>
      </c>
      <c r="G1647" t="inlineStr">
        <is>
          <t>010-2663-2294</t>
        </is>
      </c>
      <c r="H1647" t="inlineStr">
        <is>
          <t>04어1293</t>
        </is>
      </c>
      <c r="I1647" t="n">
        <v>-16800000</v>
      </c>
      <c r="J1647" t="n">
        <v>0.065</v>
      </c>
      <c r="K1647" t="n">
        <v>1.76</v>
      </c>
      <c r="L1647" t="n">
        <v>0.13</v>
      </c>
      <c r="M1647" t="n">
        <v>1.63</v>
      </c>
      <c r="P1647" t="inlineStr">
        <is>
          <t>황채이</t>
        </is>
      </c>
      <c r="Q1647" t="inlineStr">
        <is>
          <t>홈서비스 60개월/ *12월 실행 1월 중도상환 20260102</t>
        </is>
      </c>
      <c r="AB1647" t="inlineStr">
        <is>
          <t>홈서비스</t>
        </is>
      </c>
      <c r="AC1647" t="n">
        <v>-295680</v>
      </c>
      <c r="AD1647" t="n">
        <v>-21840</v>
      </c>
      <c r="AE1647" t="n">
        <v>-273840</v>
      </c>
      <c r="AF1647" t="n">
        <v>-268800</v>
      </c>
      <c r="AG1647" t="n">
        <v>-21119.28</v>
      </c>
      <c r="AH1647" t="n">
        <v>-247680.72</v>
      </c>
      <c r="AI1647" t="n">
        <v>0</v>
      </c>
      <c r="AK1647" t="inlineStr">
        <is>
          <t>중도상환</t>
        </is>
      </c>
    </row>
    <row r="1648">
      <c r="A1648" t="inlineStr">
        <is>
          <t>5월</t>
        </is>
      </c>
      <c r="B1648" t="inlineStr">
        <is>
          <t>22주차</t>
        </is>
      </c>
      <c r="C1648" t="inlineStr">
        <is>
          <t>EP</t>
        </is>
      </c>
      <c r="D1648" s="28" t="n">
        <v>46168</v>
      </c>
      <c r="E1648" t="inlineStr">
        <is>
          <t>현대EP</t>
        </is>
      </c>
      <c r="F1648" t="inlineStr">
        <is>
          <t>박영민</t>
        </is>
      </c>
      <c r="G1648" t="inlineStr">
        <is>
          <t>010-3132-7053</t>
        </is>
      </c>
      <c r="H1648" t="inlineStr">
        <is>
          <t>141무6454</t>
        </is>
      </c>
      <c r="I1648" t="n">
        <v>15000000</v>
      </c>
      <c r="J1648" t="n">
        <v>0.08500000000000001</v>
      </c>
      <c r="K1648" t="n">
        <v>1.76</v>
      </c>
      <c r="L1648" t="n">
        <v>0.14</v>
      </c>
      <c r="M1648" t="n">
        <v>1.62</v>
      </c>
      <c r="P1648" t="inlineStr">
        <is>
          <t>박현민</t>
        </is>
      </c>
      <c r="AB1648" t="inlineStr">
        <is>
          <t>홈서비스</t>
        </is>
      </c>
      <c r="AC1648" t="n">
        <v>264000</v>
      </c>
      <c r="AD1648" t="n">
        <v>21000</v>
      </c>
      <c r="AE1648" t="n">
        <v>243000</v>
      </c>
      <c r="AF1648" t="n">
        <v>240000</v>
      </c>
      <c r="AG1648" t="n">
        <v>20307</v>
      </c>
      <c r="AH1648" t="n">
        <v>219693</v>
      </c>
      <c r="AI1648" t="n">
        <v>0</v>
      </c>
    </row>
    <row r="1649">
      <c r="A1649" t="inlineStr">
        <is>
          <t>5월</t>
        </is>
      </c>
      <c r="B1649" t="inlineStr">
        <is>
          <t>22주차</t>
        </is>
      </c>
      <c r="C1649" t="inlineStr">
        <is>
          <t>EP</t>
        </is>
      </c>
      <c r="D1649" s="28" t="n">
        <v>46169</v>
      </c>
      <c r="E1649" t="inlineStr">
        <is>
          <t>현대EP_fast</t>
        </is>
      </c>
      <c r="F1649" t="inlineStr">
        <is>
          <t>이성재</t>
        </is>
      </c>
      <c r="G1649" t="inlineStr">
        <is>
          <t>010-4697-6514</t>
        </is>
      </c>
      <c r="H1649" t="inlineStr">
        <is>
          <t>10로5263</t>
        </is>
      </c>
      <c r="I1649" t="n">
        <v>27000000</v>
      </c>
      <c r="J1649" t="n">
        <v>0.075</v>
      </c>
      <c r="K1649" t="n">
        <v>1.76</v>
      </c>
      <c r="L1649" t="n">
        <v>0.14</v>
      </c>
      <c r="M1649" t="n">
        <v>1.62</v>
      </c>
      <c r="P1649" t="inlineStr">
        <is>
          <t>김나윤</t>
        </is>
      </c>
      <c r="Q1649" t="inlineStr">
        <is>
          <t>홈서비스 60개월</t>
        </is>
      </c>
      <c r="AB1649" t="inlineStr">
        <is>
          <t>홈서비스</t>
        </is>
      </c>
      <c r="AC1649" t="n">
        <v>475200</v>
      </c>
      <c r="AD1649" t="n">
        <v>37800</v>
      </c>
      <c r="AE1649" t="n">
        <v>437400</v>
      </c>
      <c r="AF1649" t="n">
        <v>432000</v>
      </c>
      <c r="AG1649" t="n">
        <v>36552.6</v>
      </c>
      <c r="AH1649" t="n">
        <v>395447.4</v>
      </c>
      <c r="AI1649" t="n">
        <v>0</v>
      </c>
    </row>
    <row r="1650">
      <c r="A1650" t="inlineStr">
        <is>
          <t>1월</t>
        </is>
      </c>
      <c r="B1650" t="inlineStr">
        <is>
          <t>3주차</t>
        </is>
      </c>
      <c r="C1650" t="inlineStr">
        <is>
          <t>상환</t>
        </is>
      </c>
      <c r="D1650" t="inlineStr">
        <is>
          <t>2026-01-14</t>
        </is>
      </c>
      <c r="E1650" t="inlineStr">
        <is>
          <t>현대EP_fast상환</t>
        </is>
      </c>
      <c r="F1650" t="inlineStr">
        <is>
          <t>이종준</t>
        </is>
      </c>
      <c r="G1650" t="inlineStr">
        <is>
          <t>010-4355-9102</t>
        </is>
      </c>
      <c r="H1650" t="inlineStr">
        <is>
          <t>13마3886</t>
        </is>
      </c>
      <c r="I1650" t="n">
        <v>-27800000</v>
      </c>
      <c r="J1650" t="n">
        <v>0.111</v>
      </c>
      <c r="K1650" t="n">
        <v>1.76</v>
      </c>
      <c r="L1650" t="n">
        <v>0.13</v>
      </c>
      <c r="M1650" t="n">
        <v>1.63</v>
      </c>
      <c r="P1650" t="inlineStr">
        <is>
          <t>정세빈</t>
        </is>
      </c>
      <c r="Q1650" t="inlineStr">
        <is>
          <t>홈서비스 36개월 /*당월철회 20260126</t>
        </is>
      </c>
      <c r="AB1650" t="inlineStr">
        <is>
          <t>홈서비스</t>
        </is>
      </c>
      <c r="AC1650" t="n">
        <v>-489280</v>
      </c>
      <c r="AD1650" t="n">
        <v>-36140</v>
      </c>
      <c r="AE1650" t="n">
        <v>-453140</v>
      </c>
      <c r="AF1650" t="n">
        <v>-444800</v>
      </c>
      <c r="AG1650" t="n">
        <v>-34947.38</v>
      </c>
      <c r="AH1650" t="n">
        <v>-409852.62</v>
      </c>
      <c r="AI1650" t="n">
        <v>0</v>
      </c>
      <c r="AK1650" t="inlineStr">
        <is>
          <t>대출철회</t>
        </is>
      </c>
    </row>
    <row r="1651">
      <c r="A1651" t="inlineStr">
        <is>
          <t>1월</t>
        </is>
      </c>
      <c r="B1651" t="inlineStr">
        <is>
          <t>3주차</t>
        </is>
      </c>
      <c r="C1651" t="inlineStr">
        <is>
          <t>상환</t>
        </is>
      </c>
      <c r="D1651" t="inlineStr">
        <is>
          <t>2026-01-12</t>
        </is>
      </c>
      <c r="E1651" t="inlineStr">
        <is>
          <t>현대EP상환</t>
        </is>
      </c>
      <c r="F1651" t="inlineStr">
        <is>
          <t>김미경</t>
        </is>
      </c>
      <c r="G1651" t="inlineStr">
        <is>
          <t>010-8689-0311</t>
        </is>
      </c>
      <c r="H1651" t="inlineStr">
        <is>
          <t>333누1642</t>
        </is>
      </c>
      <c r="I1651" t="n">
        <v>-33500000</v>
      </c>
      <c r="J1651" t="n">
        <v>0.073</v>
      </c>
      <c r="K1651" t="n">
        <v>1.76</v>
      </c>
      <c r="L1651" t="n">
        <v>0.13</v>
      </c>
      <c r="M1651" t="n">
        <v>1.63</v>
      </c>
      <c r="P1651" t="inlineStr">
        <is>
          <t>김나윤</t>
        </is>
      </c>
      <c r="Q1651" t="inlineStr">
        <is>
          <t>홈서비스 60개월 / *중도상환 20260112</t>
        </is>
      </c>
      <c r="AB1651" t="inlineStr">
        <is>
          <t>홈서비스</t>
        </is>
      </c>
      <c r="AC1651" t="n">
        <v>-589600</v>
      </c>
      <c r="AD1651" t="n">
        <v>-43550</v>
      </c>
      <c r="AE1651" t="n">
        <v>-546050</v>
      </c>
      <c r="AF1651" t="n">
        <v>-536000</v>
      </c>
      <c r="AG1651" t="n">
        <v>-42112.85</v>
      </c>
      <c r="AH1651" t="n">
        <v>-493887.15</v>
      </c>
      <c r="AI1651" t="n">
        <v>0</v>
      </c>
      <c r="AK1651" t="inlineStr">
        <is>
          <t>중도상환</t>
        </is>
      </c>
    </row>
    <row r="1652">
      <c r="A1652" t="inlineStr">
        <is>
          <t>1월</t>
        </is>
      </c>
      <c r="B1652" t="inlineStr">
        <is>
          <t>2주차</t>
        </is>
      </c>
      <c r="C1652" t="inlineStr">
        <is>
          <t>상환</t>
        </is>
      </c>
      <c r="D1652" t="inlineStr">
        <is>
          <t>2026-01-08</t>
        </is>
      </c>
      <c r="E1652" t="inlineStr">
        <is>
          <t>현대EP상환</t>
        </is>
      </c>
      <c r="F1652" t="inlineStr">
        <is>
          <t>최정원</t>
        </is>
      </c>
      <c r="G1652" t="inlineStr">
        <is>
          <t>010-4666-4644</t>
        </is>
      </c>
      <c r="H1652" t="inlineStr">
        <is>
          <t>146거7301</t>
        </is>
      </c>
      <c r="I1652" t="n">
        <v>-10000000</v>
      </c>
      <c r="J1652" t="n">
        <v>0.065</v>
      </c>
      <c r="K1652" t="n">
        <v>1.76</v>
      </c>
      <c r="L1652" t="n">
        <v>0.13</v>
      </c>
      <c r="M1652" t="n">
        <v>1.63</v>
      </c>
      <c r="P1652" t="inlineStr">
        <is>
          <t>정광호</t>
        </is>
      </c>
      <c r="Q1652" t="inlineStr">
        <is>
          <t>홈서비스60개월 /*당월철회 20260106</t>
        </is>
      </c>
      <c r="AB1652" t="inlineStr">
        <is>
          <t>홈서비스</t>
        </is>
      </c>
      <c r="AC1652" t="n">
        <v>-176000</v>
      </c>
      <c r="AD1652" t="n">
        <v>-13000</v>
      </c>
      <c r="AE1652" t="n">
        <v>-163000</v>
      </c>
      <c r="AF1652" t="n">
        <v>-160000</v>
      </c>
      <c r="AG1652" t="n">
        <v>-12571</v>
      </c>
      <c r="AH1652" t="n">
        <v>-147429</v>
      </c>
      <c r="AI1652" t="n">
        <v>0</v>
      </c>
      <c r="AK1652" t="inlineStr">
        <is>
          <t>대출철회</t>
        </is>
      </c>
    </row>
    <row r="1653">
      <c r="A1653" t="inlineStr">
        <is>
          <t>1월</t>
        </is>
      </c>
      <c r="B1653" t="inlineStr">
        <is>
          <t>4주차</t>
        </is>
      </c>
      <c r="C1653" t="inlineStr">
        <is>
          <t>상환</t>
        </is>
      </c>
      <c r="D1653" t="inlineStr">
        <is>
          <t>2026-01-20</t>
        </is>
      </c>
      <c r="E1653" t="inlineStr">
        <is>
          <t>현대EP_fast상환</t>
        </is>
      </c>
      <c r="F1653" t="inlineStr">
        <is>
          <t>권대윤</t>
        </is>
      </c>
      <c r="G1653" t="inlineStr">
        <is>
          <t>010-9773-7457</t>
        </is>
      </c>
      <c r="H1653" t="inlineStr">
        <is>
          <t>39다9239</t>
        </is>
      </c>
      <c r="I1653" t="n">
        <v>-32000000</v>
      </c>
      <c r="J1653" t="n">
        <v>0.075</v>
      </c>
      <c r="K1653" t="n">
        <v>1.76</v>
      </c>
      <c r="L1653" t="n">
        <v>0.13</v>
      </c>
      <c r="M1653" t="n">
        <v>1.63</v>
      </c>
      <c r="P1653" t="inlineStr">
        <is>
          <t>황채이</t>
        </is>
      </c>
      <c r="Q1653" t="inlineStr">
        <is>
          <t>홈서비스 36개월 /*당월철회 20260129</t>
        </is>
      </c>
      <c r="AB1653" t="inlineStr">
        <is>
          <t>홈서비스</t>
        </is>
      </c>
      <c r="AC1653" t="n">
        <v>-563200</v>
      </c>
      <c r="AD1653" t="n">
        <v>-41600</v>
      </c>
      <c r="AE1653" t="n">
        <v>-521600</v>
      </c>
      <c r="AF1653" t="n">
        <v>-512000</v>
      </c>
      <c r="AG1653" t="n">
        <v>-40227.2</v>
      </c>
      <c r="AH1653" t="n">
        <v>-471772.8</v>
      </c>
      <c r="AI1653" t="n">
        <v>0</v>
      </c>
      <c r="AK1653" t="inlineStr">
        <is>
          <t>대출철회</t>
        </is>
      </c>
    </row>
    <row r="1654">
      <c r="A1654" t="inlineStr">
        <is>
          <t>1월</t>
        </is>
      </c>
      <c r="B1654" t="inlineStr">
        <is>
          <t>4주차</t>
        </is>
      </c>
      <c r="C1654" t="inlineStr">
        <is>
          <t>상환</t>
        </is>
      </c>
      <c r="D1654" t="inlineStr">
        <is>
          <t>2026-01-23</t>
        </is>
      </c>
      <c r="E1654" t="inlineStr">
        <is>
          <t>현대EP_fast상환</t>
        </is>
      </c>
      <c r="F1654" t="inlineStr">
        <is>
          <t>김원아</t>
        </is>
      </c>
      <c r="G1654" t="inlineStr">
        <is>
          <t>010-5686-2720</t>
        </is>
      </c>
      <c r="H1654" t="inlineStr">
        <is>
          <t>64오7770</t>
        </is>
      </c>
      <c r="I1654" t="n">
        <v>-38900000</v>
      </c>
      <c r="J1654" t="n">
        <v>0.141</v>
      </c>
      <c r="K1654" t="n">
        <v>1.76</v>
      </c>
      <c r="L1654" t="n">
        <v>0.13</v>
      </c>
      <c r="M1654" t="n">
        <v>1.63</v>
      </c>
      <c r="P1654" t="inlineStr">
        <is>
          <t>정광호</t>
        </is>
      </c>
      <c r="Q1654" t="inlineStr">
        <is>
          <t>홈서비스 48개월 /*당월철회 20260113</t>
        </is>
      </c>
      <c r="AB1654" t="inlineStr">
        <is>
          <t>홈서비스</t>
        </is>
      </c>
      <c r="AC1654" t="n">
        <v>-684640</v>
      </c>
      <c r="AD1654" t="n">
        <v>-50570</v>
      </c>
      <c r="AE1654" t="n">
        <v>-634070</v>
      </c>
      <c r="AF1654" t="n">
        <v>-622400</v>
      </c>
      <c r="AG1654" t="n">
        <v>-48901.19</v>
      </c>
      <c r="AH1654" t="n">
        <v>-573498.8100000001</v>
      </c>
      <c r="AI1654" t="n">
        <v>0</v>
      </c>
      <c r="AK1654" t="inlineStr">
        <is>
          <t>대출철회</t>
        </is>
      </c>
    </row>
    <row r="1655">
      <c r="A1655" t="inlineStr">
        <is>
          <t>1월</t>
        </is>
      </c>
      <c r="B1655" t="inlineStr">
        <is>
          <t>5주차</t>
        </is>
      </c>
      <c r="C1655" t="inlineStr">
        <is>
          <t>상환</t>
        </is>
      </c>
      <c r="D1655" t="inlineStr">
        <is>
          <t>2026-01-26</t>
        </is>
      </c>
      <c r="E1655" t="inlineStr">
        <is>
          <t>현대EP_fast상환</t>
        </is>
      </c>
      <c r="F1655" t="inlineStr">
        <is>
          <t>김보민</t>
        </is>
      </c>
      <c r="G1655" t="inlineStr">
        <is>
          <t>010-5702-8782</t>
        </is>
      </c>
      <c r="H1655" t="inlineStr">
        <is>
          <t>63주0634</t>
        </is>
      </c>
      <c r="I1655" t="n">
        <v>-5000000</v>
      </c>
      <c r="J1655" t="n">
        <v>0.07199999999999999</v>
      </c>
      <c r="K1655" t="n">
        <v>1.76</v>
      </c>
      <c r="L1655" t="n">
        <v>0.13</v>
      </c>
      <c r="M1655" t="n">
        <v>1.63</v>
      </c>
      <c r="P1655" t="inlineStr">
        <is>
          <t>정광호</t>
        </is>
      </c>
      <c r="Q1655" t="inlineStr">
        <is>
          <t>홈서비스 48개월 /*당월철회 20260116</t>
        </is>
      </c>
      <c r="AB1655" t="inlineStr">
        <is>
          <t>홈서비스</t>
        </is>
      </c>
      <c r="AC1655" t="n">
        <v>-88000</v>
      </c>
      <c r="AD1655" t="n">
        <v>-6500</v>
      </c>
      <c r="AE1655" t="n">
        <v>-81500</v>
      </c>
      <c r="AF1655" t="n">
        <v>-80000</v>
      </c>
      <c r="AG1655" t="n">
        <v>-6285.5</v>
      </c>
      <c r="AH1655" t="n">
        <v>-73714.5</v>
      </c>
      <c r="AK1655" t="inlineStr">
        <is>
          <t>대출철회</t>
        </is>
      </c>
    </row>
    <row r="1656">
      <c r="A1656" t="inlineStr">
        <is>
          <t>1월</t>
        </is>
      </c>
      <c r="B1656" t="inlineStr">
        <is>
          <t>3주차</t>
        </is>
      </c>
      <c r="C1656" t="inlineStr">
        <is>
          <t>상환</t>
        </is>
      </c>
      <c r="D1656" t="inlineStr">
        <is>
          <t>2026-01-16</t>
        </is>
      </c>
      <c r="E1656" t="inlineStr">
        <is>
          <t>현대EP상환</t>
        </is>
      </c>
      <c r="F1656" t="inlineStr">
        <is>
          <t>김주현</t>
        </is>
      </c>
      <c r="G1656" t="inlineStr">
        <is>
          <t>010-6417-0570</t>
        </is>
      </c>
      <c r="H1656" t="inlineStr">
        <is>
          <t>24구4756</t>
        </is>
      </c>
      <c r="I1656" t="n">
        <v>-10000000</v>
      </c>
      <c r="J1656" t="n">
        <v>0.115</v>
      </c>
      <c r="K1656" t="n">
        <v>1.76</v>
      </c>
      <c r="L1656" t="n">
        <v>0.13</v>
      </c>
      <c r="M1656" t="n">
        <v>1.63</v>
      </c>
      <c r="P1656" t="inlineStr">
        <is>
          <t>김나윤</t>
        </is>
      </c>
      <c r="Q1656" t="inlineStr">
        <is>
          <t>홈서비스 48개월 /*당월철회 20260122</t>
        </is>
      </c>
      <c r="AB1656" t="inlineStr">
        <is>
          <t>홈서비스</t>
        </is>
      </c>
      <c r="AC1656" t="n">
        <v>-176000</v>
      </c>
      <c r="AD1656" t="n">
        <v>-13000</v>
      </c>
      <c r="AE1656" t="n">
        <v>-163000</v>
      </c>
      <c r="AF1656" t="n">
        <v>-160000</v>
      </c>
      <c r="AG1656" t="n">
        <v>-12571</v>
      </c>
      <c r="AH1656" t="n">
        <v>-147429</v>
      </c>
      <c r="AI1656" t="n">
        <v>0</v>
      </c>
      <c r="AK1656" t="inlineStr">
        <is>
          <t>대출철회</t>
        </is>
      </c>
    </row>
    <row r="1657">
      <c r="A1657" t="inlineStr">
        <is>
          <t>1월</t>
        </is>
      </c>
      <c r="B1657" t="inlineStr">
        <is>
          <t>4주차</t>
        </is>
      </c>
      <c r="C1657" t="inlineStr">
        <is>
          <t>상환</t>
        </is>
      </c>
      <c r="D1657" t="inlineStr">
        <is>
          <t>2026-01-23</t>
        </is>
      </c>
      <c r="E1657" t="inlineStr">
        <is>
          <t>현대EP_fast상환</t>
        </is>
      </c>
      <c r="F1657" t="inlineStr">
        <is>
          <t>정영운</t>
        </is>
      </c>
      <c r="G1657" t="n">
        <v>1052747991</v>
      </c>
      <c r="H1657" t="inlineStr">
        <is>
          <t>31더8849</t>
        </is>
      </c>
      <c r="I1657" t="n">
        <v>-11900000</v>
      </c>
      <c r="J1657" t="n">
        <v>0.06900000000000001</v>
      </c>
      <c r="K1657" t="n">
        <v>1.76</v>
      </c>
      <c r="L1657" t="n">
        <v>0.13</v>
      </c>
      <c r="M1657" t="n">
        <v>1.63</v>
      </c>
      <c r="P1657" t="inlineStr">
        <is>
          <t>김나윤</t>
        </is>
      </c>
      <c r="Q1657" t="inlineStr">
        <is>
          <t>홈서비스 60개월 /*당월철회 20260127</t>
        </is>
      </c>
      <c r="AB1657" t="inlineStr">
        <is>
          <t>홈서비스</t>
        </is>
      </c>
      <c r="AC1657" t="n">
        <v>-209440</v>
      </c>
      <c r="AD1657" t="n">
        <v>-15470</v>
      </c>
      <c r="AE1657" t="n">
        <v>-193970</v>
      </c>
      <c r="AF1657" t="n">
        <v>-190400</v>
      </c>
      <c r="AG1657" t="n">
        <v>-14959.49</v>
      </c>
      <c r="AH1657" t="n">
        <v>-175440.51</v>
      </c>
      <c r="AI1657" t="n">
        <v>0</v>
      </c>
      <c r="AK1657" t="inlineStr">
        <is>
          <t>대출철회</t>
        </is>
      </c>
    </row>
    <row r="1658">
      <c r="A1658" t="inlineStr">
        <is>
          <t>1월</t>
        </is>
      </c>
      <c r="B1658" t="inlineStr">
        <is>
          <t>4주차</t>
        </is>
      </c>
      <c r="C1658" t="inlineStr">
        <is>
          <t>상환</t>
        </is>
      </c>
      <c r="D1658" t="inlineStr">
        <is>
          <t>2026-01-22</t>
        </is>
      </c>
      <c r="E1658" t="inlineStr">
        <is>
          <t>현대EP상환</t>
        </is>
      </c>
      <c r="F1658" t="inlineStr">
        <is>
          <t>우경택</t>
        </is>
      </c>
      <c r="G1658" t="inlineStr">
        <is>
          <t>010-4140-6556</t>
        </is>
      </c>
      <c r="H1658" t="inlineStr">
        <is>
          <t>117무1418</t>
        </is>
      </c>
      <c r="I1658" t="n">
        <v>-4300000</v>
      </c>
      <c r="J1658" t="n">
        <v>0.067</v>
      </c>
      <c r="K1658" t="n">
        <v>1.76</v>
      </c>
      <c r="L1658" t="n">
        <v>0.13</v>
      </c>
      <c r="M1658" t="n">
        <v>1.63</v>
      </c>
      <c r="P1658" t="inlineStr">
        <is>
          <t>정세빈</t>
        </is>
      </c>
      <c r="Q1658" t="inlineStr">
        <is>
          <t>*당월철회 20260105</t>
        </is>
      </c>
      <c r="AB1658" t="inlineStr">
        <is>
          <t>홈서비스</t>
        </is>
      </c>
      <c r="AC1658" t="n">
        <v>-75680</v>
      </c>
      <c r="AD1658" t="n">
        <v>-5590</v>
      </c>
      <c r="AE1658" t="n">
        <v>-70090</v>
      </c>
      <c r="AF1658" t="n">
        <v>-68800</v>
      </c>
      <c r="AG1658" t="n">
        <v>-5405.53</v>
      </c>
      <c r="AH1658" t="n">
        <v>-63394.47</v>
      </c>
      <c r="AK1658" t="inlineStr">
        <is>
          <t>대출철회</t>
        </is>
      </c>
    </row>
    <row r="1659">
      <c r="A1659" t="inlineStr">
        <is>
          <t>5월</t>
        </is>
      </c>
      <c r="B1659" t="inlineStr">
        <is>
          <t>20주차</t>
        </is>
      </c>
      <c r="C1659" t="inlineStr">
        <is>
          <t>EP</t>
        </is>
      </c>
      <c r="D1659" s="28" t="n">
        <v>46154</v>
      </c>
      <c r="E1659" t="inlineStr">
        <is>
          <t>현대EP</t>
        </is>
      </c>
      <c r="F1659" t="inlineStr">
        <is>
          <t>박한웅</t>
        </is>
      </c>
      <c r="G1659" t="inlineStr">
        <is>
          <t>010-7247-5665</t>
        </is>
      </c>
      <c r="H1659" t="inlineStr">
        <is>
          <t>141저7049</t>
        </is>
      </c>
      <c r="I1659" t="n">
        <v>42900000</v>
      </c>
      <c r="J1659" t="n">
        <v>0.06900000000000001</v>
      </c>
      <c r="K1659" t="n">
        <v>1.76</v>
      </c>
      <c r="L1659" t="n">
        <v>0.14</v>
      </c>
      <c r="M1659" t="n">
        <v>1.62</v>
      </c>
      <c r="P1659" t="inlineStr">
        <is>
          <t>정하은</t>
        </is>
      </c>
      <c r="AB1659" t="inlineStr">
        <is>
          <t>홈서비스</t>
        </is>
      </c>
      <c r="AC1659" t="n">
        <v>755040</v>
      </c>
      <c r="AD1659" t="n">
        <v>60060</v>
      </c>
      <c r="AE1659" t="n">
        <v>694980</v>
      </c>
      <c r="AF1659" t="n">
        <v>686400</v>
      </c>
      <c r="AG1659" t="n">
        <v>58078.02</v>
      </c>
      <c r="AH1659" t="n">
        <v>628321.98</v>
      </c>
      <c r="AI1659" t="n">
        <v>0</v>
      </c>
    </row>
    <row r="1660">
      <c r="A1660" t="inlineStr">
        <is>
          <t>1월</t>
        </is>
      </c>
      <c r="B1660" t="inlineStr">
        <is>
          <t>3주차</t>
        </is>
      </c>
      <c r="C1660" t="inlineStr">
        <is>
          <t>상환</t>
        </is>
      </c>
      <c r="D1660" t="inlineStr">
        <is>
          <t>2026-01-13</t>
        </is>
      </c>
      <c r="E1660" t="inlineStr">
        <is>
          <t>현대EP_fast상환</t>
        </is>
      </c>
      <c r="F1660" t="inlineStr">
        <is>
          <t>최한섭</t>
        </is>
      </c>
      <c r="G1660" t="inlineStr">
        <is>
          <t>010-5871-1144</t>
        </is>
      </c>
      <c r="H1660" t="inlineStr">
        <is>
          <t>16주1318</t>
        </is>
      </c>
      <c r="I1660" t="n">
        <v>-5000000</v>
      </c>
      <c r="J1660" t="n">
        <v>0.097</v>
      </c>
      <c r="K1660" t="n">
        <v>1.76</v>
      </c>
      <c r="L1660" t="n">
        <v>0.13</v>
      </c>
      <c r="M1660" t="n">
        <v>1.63</v>
      </c>
      <c r="P1660" t="inlineStr">
        <is>
          <t>최혁</t>
        </is>
      </c>
      <c r="Q1660" t="inlineStr">
        <is>
          <t>홈서비스36개월 /*철회 후 차량변경 재접수/ *당월철회 20260106</t>
        </is>
      </c>
      <c r="AB1660" t="inlineStr">
        <is>
          <t>홈서비스</t>
        </is>
      </c>
      <c r="AC1660" t="n">
        <v>-88000</v>
      </c>
      <c r="AD1660" t="n">
        <v>-6500</v>
      </c>
      <c r="AE1660" t="n">
        <v>-81500</v>
      </c>
      <c r="AF1660" t="n">
        <v>-80000</v>
      </c>
      <c r="AG1660" t="n">
        <v>-6285.5</v>
      </c>
      <c r="AH1660" t="n">
        <v>-73714.5</v>
      </c>
      <c r="AI1660" t="n">
        <v>0</v>
      </c>
      <c r="AK1660" t="inlineStr">
        <is>
          <t>대출철회</t>
        </is>
      </c>
    </row>
    <row r="1661">
      <c r="A1661" t="inlineStr">
        <is>
          <t>5월</t>
        </is>
      </c>
      <c r="B1661" t="inlineStr">
        <is>
          <t>21주차</t>
        </is>
      </c>
      <c r="C1661" t="inlineStr">
        <is>
          <t>EP</t>
        </is>
      </c>
      <c r="D1661" s="28" t="n">
        <v>46160</v>
      </c>
      <c r="E1661" t="inlineStr">
        <is>
          <t>현대EP</t>
        </is>
      </c>
      <c r="F1661" t="inlineStr">
        <is>
          <t>김은주</t>
        </is>
      </c>
      <c r="G1661" t="inlineStr">
        <is>
          <t>010-3474-9599</t>
        </is>
      </c>
      <c r="H1661" t="inlineStr">
        <is>
          <t>351주8294</t>
        </is>
      </c>
      <c r="I1661" t="n">
        <v>30800000</v>
      </c>
      <c r="J1661" t="n">
        <v>0.074</v>
      </c>
      <c r="K1661" t="n">
        <v>1.76</v>
      </c>
      <c r="L1661" t="n">
        <v>0.14</v>
      </c>
      <c r="M1661" t="n">
        <v>1.62</v>
      </c>
      <c r="P1661" t="inlineStr">
        <is>
          <t>장현경</t>
        </is>
      </c>
      <c r="AB1661" t="inlineStr">
        <is>
          <t>홈서비스</t>
        </is>
      </c>
      <c r="AC1661" t="n">
        <v>542080</v>
      </c>
      <c r="AD1661" t="n">
        <v>43120</v>
      </c>
      <c r="AE1661" t="n">
        <v>498960</v>
      </c>
      <c r="AF1661" t="n">
        <v>492800</v>
      </c>
      <c r="AG1661" t="n">
        <v>41697.04</v>
      </c>
      <c r="AH1661" t="n">
        <v>451102.96</v>
      </c>
      <c r="AI1661" t="n">
        <v>0</v>
      </c>
    </row>
    <row r="1662">
      <c r="A1662" t="inlineStr">
        <is>
          <t>1월</t>
        </is>
      </c>
      <c r="B1662" t="inlineStr">
        <is>
          <t>4주차</t>
        </is>
      </c>
      <c r="C1662" t="inlineStr">
        <is>
          <t>상환</t>
        </is>
      </c>
      <c r="D1662" t="inlineStr">
        <is>
          <t>2026-01-23</t>
        </is>
      </c>
      <c r="E1662" t="inlineStr">
        <is>
          <t>현대EP_fast상환</t>
        </is>
      </c>
      <c r="F1662" t="inlineStr">
        <is>
          <t>김현재</t>
        </is>
      </c>
      <c r="G1662" t="n">
        <v>1027603001</v>
      </c>
      <c r="H1662" t="inlineStr">
        <is>
          <t>19누2943</t>
        </is>
      </c>
      <c r="I1662" t="n">
        <v>-32000000</v>
      </c>
      <c r="J1662" t="n">
        <v>0.08699999999999999</v>
      </c>
      <c r="K1662" t="n">
        <v>1.76</v>
      </c>
      <c r="L1662" t="n">
        <v>0.13</v>
      </c>
      <c r="M1662" t="n">
        <v>1.63</v>
      </c>
      <c r="P1662" t="inlineStr">
        <is>
          <t>김나윤</t>
        </is>
      </c>
      <c r="Q1662" t="inlineStr">
        <is>
          <t>홈서비스60개월 /*당월철회 20260114</t>
        </is>
      </c>
      <c r="AB1662" t="inlineStr">
        <is>
          <t>홈서비스</t>
        </is>
      </c>
      <c r="AC1662" t="n">
        <v>-563200</v>
      </c>
      <c r="AD1662" t="n">
        <v>-41600</v>
      </c>
      <c r="AE1662" t="n">
        <v>-521600</v>
      </c>
      <c r="AF1662" t="n">
        <v>-512000</v>
      </c>
      <c r="AG1662" t="n">
        <v>-40227.2</v>
      </c>
      <c r="AH1662" t="n">
        <v>-471772.8</v>
      </c>
      <c r="AI1662" t="n">
        <v>0</v>
      </c>
      <c r="AK1662" t="inlineStr">
        <is>
          <t>대출철회</t>
        </is>
      </c>
    </row>
    <row r="1663">
      <c r="A1663" t="inlineStr">
        <is>
          <t>1월</t>
        </is>
      </c>
      <c r="B1663" t="inlineStr">
        <is>
          <t>3주차</t>
        </is>
      </c>
      <c r="C1663" t="inlineStr">
        <is>
          <t>상환</t>
        </is>
      </c>
      <c r="D1663" t="inlineStr">
        <is>
          <t>2026-01-16</t>
        </is>
      </c>
      <c r="E1663" t="inlineStr">
        <is>
          <t>현대EP_fast상환</t>
        </is>
      </c>
      <c r="F1663" t="inlineStr">
        <is>
          <t>이용은</t>
        </is>
      </c>
      <c r="G1663" t="inlineStr">
        <is>
          <t>010-6498-3181</t>
        </is>
      </c>
      <c r="H1663" t="inlineStr">
        <is>
          <t>07가0969</t>
        </is>
      </c>
      <c r="I1663" t="n">
        <v>-5000000</v>
      </c>
      <c r="J1663" t="n">
        <v>0.093</v>
      </c>
      <c r="K1663" t="n">
        <v>1.76</v>
      </c>
      <c r="L1663" t="n">
        <v>0.13</v>
      </c>
      <c r="M1663" t="n">
        <v>1.63</v>
      </c>
      <c r="P1663" t="inlineStr">
        <is>
          <t>최혁</t>
        </is>
      </c>
      <c r="Q1663" t="inlineStr">
        <is>
          <t>홈서비스 24개월 /*당월철회 20260126</t>
        </is>
      </c>
      <c r="AB1663" t="inlineStr">
        <is>
          <t>홈서비스</t>
        </is>
      </c>
      <c r="AC1663" t="n">
        <v>-88000</v>
      </c>
      <c r="AD1663" t="n">
        <v>-6500</v>
      </c>
      <c r="AE1663" t="n">
        <v>-81500</v>
      </c>
      <c r="AF1663" t="n">
        <v>-80000</v>
      </c>
      <c r="AG1663" t="n">
        <v>-6285.5</v>
      </c>
      <c r="AH1663" t="n">
        <v>-73714.5</v>
      </c>
      <c r="AI1663" t="n">
        <v>0</v>
      </c>
      <c r="AK1663" t="inlineStr">
        <is>
          <t>대출철회</t>
        </is>
      </c>
    </row>
    <row r="1664">
      <c r="A1664" t="inlineStr">
        <is>
          <t>1월</t>
        </is>
      </c>
      <c r="B1664" t="inlineStr">
        <is>
          <t>4주차</t>
        </is>
      </c>
      <c r="C1664" t="inlineStr">
        <is>
          <t>상환</t>
        </is>
      </c>
      <c r="D1664" t="inlineStr">
        <is>
          <t>2026-01-19</t>
        </is>
      </c>
      <c r="E1664" t="inlineStr">
        <is>
          <t>현대EP상환</t>
        </is>
      </c>
      <c r="F1664" t="inlineStr">
        <is>
          <t>권혁일</t>
        </is>
      </c>
      <c r="G1664" t="inlineStr">
        <is>
          <t>010-2203-2177</t>
        </is>
      </c>
      <c r="H1664" t="inlineStr">
        <is>
          <t>153저6285</t>
        </is>
      </c>
      <c r="I1664" t="n">
        <v>-3000000</v>
      </c>
      <c r="J1664" t="n">
        <v>0.067</v>
      </c>
      <c r="K1664" t="n">
        <v>1.76</v>
      </c>
      <c r="L1664" t="n">
        <v>0.13</v>
      </c>
      <c r="M1664" t="n">
        <v>1.63</v>
      </c>
      <c r="P1664" t="inlineStr">
        <is>
          <t>황채이</t>
        </is>
      </c>
      <c r="Q1664" t="inlineStr">
        <is>
          <t>/ *중도상환 20260119</t>
        </is>
      </c>
      <c r="AB1664" t="inlineStr">
        <is>
          <t>홈서비스</t>
        </is>
      </c>
      <c r="AC1664" t="n">
        <v>-52800</v>
      </c>
      <c r="AD1664" t="n">
        <v>-3900</v>
      </c>
      <c r="AE1664" t="n">
        <v>-48900</v>
      </c>
      <c r="AF1664" t="n">
        <v>-48000</v>
      </c>
      <c r="AG1664" t="n">
        <v>-3771.3</v>
      </c>
      <c r="AH1664" t="n">
        <v>-44228.7</v>
      </c>
      <c r="AI1664" t="n">
        <v>0</v>
      </c>
      <c r="AK1664" t="inlineStr">
        <is>
          <t>중도상환</t>
        </is>
      </c>
    </row>
    <row r="1665">
      <c r="A1665" t="inlineStr">
        <is>
          <t>1월</t>
        </is>
      </c>
      <c r="B1665" t="inlineStr">
        <is>
          <t>2주차</t>
        </is>
      </c>
      <c r="C1665" t="inlineStr">
        <is>
          <t>상환</t>
        </is>
      </c>
      <c r="D1665" t="inlineStr">
        <is>
          <t>2026-01-05</t>
        </is>
      </c>
      <c r="E1665" t="inlineStr">
        <is>
          <t>현대EP상환</t>
        </is>
      </c>
      <c r="F1665" t="inlineStr">
        <is>
          <t>김은정</t>
        </is>
      </c>
      <c r="G1665" t="inlineStr">
        <is>
          <t>010-9944-6414</t>
        </is>
      </c>
      <c r="H1665" t="inlineStr">
        <is>
          <t>247모7953</t>
        </is>
      </c>
      <c r="I1665" t="n">
        <v>-22500000</v>
      </c>
      <c r="J1665" t="n">
        <v>0.06900000000000001</v>
      </c>
      <c r="K1665" t="n">
        <v>1.76</v>
      </c>
      <c r="L1665" t="n">
        <v>0.13</v>
      </c>
      <c r="M1665" t="n">
        <v>1.63</v>
      </c>
      <c r="P1665" t="inlineStr">
        <is>
          <t>김나윤</t>
        </is>
      </c>
      <c r="Q1665" t="inlineStr">
        <is>
          <t>홈서비스 48개월 /*당월철회 20260112</t>
        </is>
      </c>
      <c r="AB1665" t="inlineStr">
        <is>
          <t>홈서비스</t>
        </is>
      </c>
      <c r="AC1665" t="n">
        <v>-396000</v>
      </c>
      <c r="AD1665" t="n">
        <v>-29250</v>
      </c>
      <c r="AE1665" t="n">
        <v>-366750</v>
      </c>
      <c r="AF1665" t="n">
        <v>-360000</v>
      </c>
      <c r="AG1665" t="n">
        <v>-28284.75</v>
      </c>
      <c r="AH1665" t="n">
        <v>-331715.25</v>
      </c>
      <c r="AI1665" t="n">
        <v>0</v>
      </c>
      <c r="AK1665" t="inlineStr">
        <is>
          <t>대출철회</t>
        </is>
      </c>
    </row>
    <row r="1666">
      <c r="A1666" t="inlineStr">
        <is>
          <t>5월</t>
        </is>
      </c>
      <c r="B1666" t="inlineStr">
        <is>
          <t>22주차</t>
        </is>
      </c>
      <c r="C1666" t="inlineStr">
        <is>
          <t>EP</t>
        </is>
      </c>
      <c r="D1666" s="28" t="n">
        <v>46169</v>
      </c>
      <c r="E1666" t="inlineStr">
        <is>
          <t>현대EP_fast</t>
        </is>
      </c>
      <c r="F1666" t="inlineStr">
        <is>
          <t>차현정</t>
        </is>
      </c>
      <c r="G1666" t="inlineStr">
        <is>
          <t>010-4567-0204</t>
        </is>
      </c>
      <c r="H1666" t="inlineStr">
        <is>
          <t>93버3815</t>
        </is>
      </c>
      <c r="I1666" t="n">
        <v>13800000</v>
      </c>
      <c r="J1666" t="n">
        <v>0.122</v>
      </c>
      <c r="K1666" t="n">
        <v>1.76</v>
      </c>
      <c r="L1666" t="n">
        <v>0.14</v>
      </c>
      <c r="M1666" t="n">
        <v>1.62</v>
      </c>
      <c r="P1666" t="inlineStr">
        <is>
          <t>최혁</t>
        </is>
      </c>
      <c r="Q1666" t="inlineStr">
        <is>
          <t>홈서비스48개월</t>
        </is>
      </c>
      <c r="AB1666" t="inlineStr">
        <is>
          <t>홈서비스</t>
        </is>
      </c>
      <c r="AC1666" t="n">
        <v>242880</v>
      </c>
      <c r="AD1666" t="n">
        <v>19320</v>
      </c>
      <c r="AE1666" t="n">
        <v>223560</v>
      </c>
      <c r="AF1666" t="n">
        <v>220800</v>
      </c>
      <c r="AG1666" t="n">
        <v>18682.44</v>
      </c>
      <c r="AH1666" t="n">
        <v>202117.56</v>
      </c>
      <c r="AI1666" t="n">
        <v>0</v>
      </c>
    </row>
    <row r="1667">
      <c r="A1667" t="inlineStr">
        <is>
          <t>5월</t>
        </is>
      </c>
      <c r="B1667" t="inlineStr">
        <is>
          <t>22주차</t>
        </is>
      </c>
      <c r="C1667" t="inlineStr">
        <is>
          <t>IM</t>
        </is>
      </c>
      <c r="D1667" s="28" t="n">
        <v>46169</v>
      </c>
      <c r="E1667" t="inlineStr">
        <is>
          <t>IM캐피탈</t>
        </is>
      </c>
      <c r="F1667" t="inlineStr">
        <is>
          <t>김한영</t>
        </is>
      </c>
      <c r="G1667" t="inlineStr">
        <is>
          <t>010-2783-3386</t>
        </is>
      </c>
      <c r="H1667" t="inlineStr">
        <is>
          <t>197우5571</t>
        </is>
      </c>
      <c r="I1667" t="n">
        <v>15000000</v>
      </c>
      <c r="J1667" t="n">
        <v>0.059</v>
      </c>
      <c r="K1667" t="n">
        <v>1.1</v>
      </c>
      <c r="L1667" t="n">
        <v>0.14</v>
      </c>
      <c r="M1667" t="n">
        <v>0.96</v>
      </c>
      <c r="P1667" t="inlineStr">
        <is>
          <t>정세빈</t>
        </is>
      </c>
      <c r="Q1667" t="inlineStr">
        <is>
          <t>홈서비스 60개월</t>
        </is>
      </c>
      <c r="AB1667" t="inlineStr">
        <is>
          <t>홈서비스</t>
        </is>
      </c>
      <c r="AC1667" t="n">
        <v>165000</v>
      </c>
      <c r="AD1667" t="n">
        <v>21000</v>
      </c>
      <c r="AE1667" t="n">
        <v>144000</v>
      </c>
      <c r="AF1667" t="n">
        <v>150000</v>
      </c>
      <c r="AG1667" t="n">
        <v>20307</v>
      </c>
      <c r="AH1667" t="n">
        <v>129693</v>
      </c>
      <c r="AI1667" t="n">
        <v>0</v>
      </c>
    </row>
    <row r="1668">
      <c r="A1668" t="inlineStr">
        <is>
          <t>5월</t>
        </is>
      </c>
      <c r="B1668" t="inlineStr">
        <is>
          <t>19주차</t>
        </is>
      </c>
      <c r="C1668" t="inlineStr">
        <is>
          <t>IM</t>
        </is>
      </c>
      <c r="D1668" s="28" t="n">
        <v>46148</v>
      </c>
      <c r="E1668" t="inlineStr">
        <is>
          <t>IM캐피탈</t>
        </is>
      </c>
      <c r="F1668" t="inlineStr">
        <is>
          <t>권오훈</t>
        </is>
      </c>
      <c r="G1668" t="inlineStr">
        <is>
          <t>010-9075-3066</t>
        </is>
      </c>
      <c r="H1668" t="inlineStr">
        <is>
          <t>156누7218</t>
        </is>
      </c>
      <c r="I1668" t="n">
        <v>7000000</v>
      </c>
      <c r="J1668" t="n">
        <v>0.049</v>
      </c>
      <c r="K1668" t="n">
        <v>1.1</v>
      </c>
      <c r="L1668" t="n">
        <v>0.14</v>
      </c>
      <c r="M1668" t="n">
        <v>0.96</v>
      </c>
      <c r="P1668" t="inlineStr">
        <is>
          <t>정하은</t>
        </is>
      </c>
      <c r="Q1668" t="inlineStr">
        <is>
          <t>홈서비스 36개월</t>
        </is>
      </c>
      <c r="AB1668" t="inlineStr">
        <is>
          <t>홈서비스</t>
        </is>
      </c>
      <c r="AC1668" t="n">
        <v>77000</v>
      </c>
      <c r="AD1668" t="n">
        <v>9800</v>
      </c>
      <c r="AE1668" t="n">
        <v>67200</v>
      </c>
      <c r="AF1668" t="n">
        <v>70000</v>
      </c>
      <c r="AG1668" t="n">
        <v>9476.6</v>
      </c>
      <c r="AH1668" t="n">
        <v>60523.4</v>
      </c>
      <c r="AI1668" t="n">
        <v>0</v>
      </c>
    </row>
    <row r="1669">
      <c r="A1669" t="inlineStr">
        <is>
          <t>1월</t>
        </is>
      </c>
      <c r="B1669" t="inlineStr">
        <is>
          <t>3주차</t>
        </is>
      </c>
      <c r="C1669" t="inlineStr">
        <is>
          <t>상환</t>
        </is>
      </c>
      <c r="D1669" t="inlineStr">
        <is>
          <t>2026-01-12</t>
        </is>
      </c>
      <c r="E1669" t="inlineStr">
        <is>
          <t>현대EP_fast상환</t>
        </is>
      </c>
      <c r="F1669" t="inlineStr">
        <is>
          <t>권민성</t>
        </is>
      </c>
      <c r="G1669" t="inlineStr">
        <is>
          <t>010-9492-9679</t>
        </is>
      </c>
      <c r="H1669" t="inlineStr">
        <is>
          <t>87루1656</t>
        </is>
      </c>
      <c r="I1669" t="n">
        <v>-20800000</v>
      </c>
      <c r="J1669" t="n">
        <v>0.057</v>
      </c>
      <c r="K1669" t="n">
        <v>1.76</v>
      </c>
      <c r="L1669" t="n">
        <v>0.13</v>
      </c>
      <c r="M1669" t="n">
        <v>1.63</v>
      </c>
      <c r="P1669" t="inlineStr">
        <is>
          <t>황채이</t>
        </is>
      </c>
      <c r="Q1669" t="inlineStr">
        <is>
          <t>홈서비스 60개월 /*당월철회 20260109</t>
        </is>
      </c>
      <c r="AB1669" t="inlineStr">
        <is>
          <t>홈서비스</t>
        </is>
      </c>
      <c r="AC1669" t="n">
        <v>-366080</v>
      </c>
      <c r="AD1669" t="n">
        <v>-27040</v>
      </c>
      <c r="AE1669" t="n">
        <v>-339040</v>
      </c>
      <c r="AF1669" t="n">
        <v>-332800</v>
      </c>
      <c r="AG1669" t="n">
        <v>-26147.68</v>
      </c>
      <c r="AH1669" t="n">
        <v>-306652.32</v>
      </c>
      <c r="AI1669" t="n">
        <v>0</v>
      </c>
      <c r="AK1669" t="inlineStr">
        <is>
          <t>대출철회</t>
        </is>
      </c>
    </row>
    <row r="1670">
      <c r="A1670" t="inlineStr">
        <is>
          <t>1월</t>
        </is>
      </c>
      <c r="B1670" t="inlineStr">
        <is>
          <t>2주차</t>
        </is>
      </c>
      <c r="C1670" t="inlineStr">
        <is>
          <t>상환</t>
        </is>
      </c>
      <c r="D1670" t="inlineStr">
        <is>
          <t>2026-01-06</t>
        </is>
      </c>
      <c r="E1670" t="inlineStr">
        <is>
          <t>현대EP_fast상환</t>
        </is>
      </c>
      <c r="F1670" t="inlineStr">
        <is>
          <t>김서윤</t>
        </is>
      </c>
      <c r="G1670" t="inlineStr">
        <is>
          <t>010-9962-8871</t>
        </is>
      </c>
      <c r="H1670" t="inlineStr">
        <is>
          <t>121라4658</t>
        </is>
      </c>
      <c r="I1670" t="n">
        <v>-41500000</v>
      </c>
      <c r="J1670" t="n">
        <v>0.073</v>
      </c>
      <c r="K1670" t="n">
        <v>1.76</v>
      </c>
      <c r="L1670" t="n">
        <v>0.13</v>
      </c>
      <c r="M1670" t="n">
        <v>1.63</v>
      </c>
      <c r="P1670" t="inlineStr">
        <is>
          <t>황채이</t>
        </is>
      </c>
      <c r="Q1670" t="inlineStr">
        <is>
          <t>홈서비스 60개월 /*당월철회 20260113</t>
        </is>
      </c>
      <c r="AB1670" t="inlineStr">
        <is>
          <t>홈서비스</t>
        </is>
      </c>
      <c r="AC1670" t="n">
        <v>-730400</v>
      </c>
      <c r="AD1670" t="n">
        <v>-53950</v>
      </c>
      <c r="AE1670" t="n">
        <v>-676450</v>
      </c>
      <c r="AF1670" t="n">
        <v>-664000</v>
      </c>
      <c r="AG1670" t="n">
        <v>-52169.65</v>
      </c>
      <c r="AH1670" t="n">
        <v>-611830.35</v>
      </c>
      <c r="AI1670" t="n">
        <v>0</v>
      </c>
      <c r="AK1670" t="inlineStr">
        <is>
          <t>대출철회</t>
        </is>
      </c>
    </row>
    <row r="1671">
      <c r="A1671" t="inlineStr">
        <is>
          <t>5월</t>
        </is>
      </c>
      <c r="B1671" t="inlineStr">
        <is>
          <t>21주차</t>
        </is>
      </c>
      <c r="C1671" t="inlineStr">
        <is>
          <t>EP</t>
        </is>
      </c>
      <c r="D1671" s="28" t="n">
        <v>46163</v>
      </c>
      <c r="E1671" t="inlineStr">
        <is>
          <t>현대EP</t>
        </is>
      </c>
      <c r="F1671" t="inlineStr">
        <is>
          <t>박상호</t>
        </is>
      </c>
      <c r="G1671" t="inlineStr">
        <is>
          <t>010-3064-4264</t>
        </is>
      </c>
      <c r="H1671" t="inlineStr">
        <is>
          <t>290부7736</t>
        </is>
      </c>
      <c r="I1671" t="n">
        <v>63500000</v>
      </c>
      <c r="J1671" t="n">
        <v>0.07000000000000001</v>
      </c>
      <c r="K1671" t="n">
        <v>1.76</v>
      </c>
      <c r="L1671" t="n">
        <v>0.14</v>
      </c>
      <c r="M1671" t="n">
        <v>1.62</v>
      </c>
      <c r="P1671" t="inlineStr">
        <is>
          <t>최형주</t>
        </is>
      </c>
      <c r="AB1671" t="inlineStr">
        <is>
          <t>홈서비스</t>
        </is>
      </c>
      <c r="AC1671" t="n">
        <v>1117600</v>
      </c>
      <c r="AD1671" t="n">
        <v>88900</v>
      </c>
      <c r="AE1671" t="n">
        <v>1028700</v>
      </c>
      <c r="AF1671" t="n">
        <v>1016000</v>
      </c>
      <c r="AG1671" t="n">
        <v>85966.3</v>
      </c>
      <c r="AH1671" t="n">
        <v>930033.7</v>
      </c>
      <c r="AI1671" t="n">
        <v>0</v>
      </c>
    </row>
    <row r="1672">
      <c r="A1672" t="inlineStr">
        <is>
          <t>5월</t>
        </is>
      </c>
      <c r="B1672" t="inlineStr">
        <is>
          <t>22주차</t>
        </is>
      </c>
      <c r="C1672" t="inlineStr">
        <is>
          <t>EP</t>
        </is>
      </c>
      <c r="D1672" s="28" t="n">
        <v>46169</v>
      </c>
      <c r="E1672" t="inlineStr">
        <is>
          <t>현대EP_fast</t>
        </is>
      </c>
      <c r="F1672" t="inlineStr">
        <is>
          <t>김성환</t>
        </is>
      </c>
      <c r="G1672" t="inlineStr">
        <is>
          <t>010-4253-0817</t>
        </is>
      </c>
      <c r="H1672" t="inlineStr">
        <is>
          <t>384누2598</t>
        </is>
      </c>
      <c r="I1672" t="n">
        <v>26200000</v>
      </c>
      <c r="J1672" t="n">
        <v>0.075</v>
      </c>
      <c r="K1672" t="n">
        <v>1.76</v>
      </c>
      <c r="L1672" t="n">
        <v>0.14</v>
      </c>
      <c r="M1672" t="n">
        <v>1.62</v>
      </c>
      <c r="P1672" t="inlineStr">
        <is>
          <t>최혁</t>
        </is>
      </c>
      <c r="Q1672" t="inlineStr">
        <is>
          <t>홈서비스60개월</t>
        </is>
      </c>
      <c r="AB1672" t="inlineStr">
        <is>
          <t>홈서비스</t>
        </is>
      </c>
      <c r="AC1672" t="n">
        <v>461120</v>
      </c>
      <c r="AD1672" t="n">
        <v>36680</v>
      </c>
      <c r="AE1672" t="n">
        <v>424440</v>
      </c>
      <c r="AF1672" t="n">
        <v>419200</v>
      </c>
      <c r="AG1672" t="n">
        <v>35469.56</v>
      </c>
      <c r="AH1672" t="n">
        <v>383730.44</v>
      </c>
      <c r="AI1672" t="n">
        <v>0</v>
      </c>
    </row>
    <row r="1673">
      <c r="A1673" t="inlineStr">
        <is>
          <t>1월</t>
        </is>
      </c>
      <c r="B1673" t="inlineStr">
        <is>
          <t>2주차</t>
        </is>
      </c>
      <c r="C1673" t="inlineStr">
        <is>
          <t>EP</t>
        </is>
      </c>
      <c r="D1673" s="28" t="n">
        <v>46030</v>
      </c>
      <c r="E1673" t="inlineStr">
        <is>
          <t>현대EP_fast</t>
        </is>
      </c>
      <c r="F1673" t="inlineStr">
        <is>
          <t>이현태</t>
        </is>
      </c>
      <c r="G1673" t="inlineStr">
        <is>
          <t>010-4567-5195</t>
        </is>
      </c>
      <c r="H1673" t="inlineStr">
        <is>
          <t>08로7150</t>
        </is>
      </c>
      <c r="I1673" t="n">
        <v>27600000</v>
      </c>
      <c r="J1673" t="n">
        <v>0.073</v>
      </c>
      <c r="K1673" t="n">
        <v>1.76</v>
      </c>
      <c r="L1673" t="n">
        <v>0.13</v>
      </c>
      <c r="M1673" t="n">
        <v>1.63</v>
      </c>
      <c r="P1673" t="inlineStr">
        <is>
          <t>최혁</t>
        </is>
      </c>
      <c r="Q1673" t="inlineStr">
        <is>
          <t>홈서비스60개월</t>
        </is>
      </c>
      <c r="AB1673" t="inlineStr">
        <is>
          <t>홈서비스</t>
        </is>
      </c>
      <c r="AC1673" t="n">
        <v>485760</v>
      </c>
      <c r="AD1673" t="n">
        <v>35880</v>
      </c>
      <c r="AE1673" t="n">
        <v>449880</v>
      </c>
      <c r="AF1673" t="n">
        <v>441600</v>
      </c>
      <c r="AG1673" t="n">
        <v>34695.96</v>
      </c>
      <c r="AH1673" t="n">
        <v>406904.04</v>
      </c>
      <c r="AI1673" t="n">
        <v>0</v>
      </c>
    </row>
    <row r="1674">
      <c r="A1674" t="inlineStr">
        <is>
          <t>1월</t>
        </is>
      </c>
      <c r="B1674" t="inlineStr">
        <is>
          <t>4주차</t>
        </is>
      </c>
      <c r="C1674" t="inlineStr">
        <is>
          <t>EP</t>
        </is>
      </c>
      <c r="D1674" s="28" t="n">
        <v>46044</v>
      </c>
      <c r="E1674" t="inlineStr">
        <is>
          <t>현대EP_fast</t>
        </is>
      </c>
      <c r="F1674" t="inlineStr">
        <is>
          <t>이승호</t>
        </is>
      </c>
      <c r="G1674" t="inlineStr">
        <is>
          <t>010-5556-1699</t>
        </is>
      </c>
      <c r="H1674" t="inlineStr">
        <is>
          <t>224두9479</t>
        </is>
      </c>
      <c r="I1674" t="n">
        <v>9900000</v>
      </c>
      <c r="J1674" t="n">
        <v>0.08699999999999999</v>
      </c>
      <c r="K1674" t="n">
        <v>1.76</v>
      </c>
      <c r="L1674" t="n">
        <v>0.13</v>
      </c>
      <c r="M1674" t="n">
        <v>1.63</v>
      </c>
      <c r="P1674" t="inlineStr">
        <is>
          <t>정광호</t>
        </is>
      </c>
      <c r="Q1674" t="inlineStr">
        <is>
          <t>홈서비스 36개월</t>
        </is>
      </c>
      <c r="AB1674" t="inlineStr">
        <is>
          <t>홈서비스</t>
        </is>
      </c>
      <c r="AC1674" t="n">
        <v>174240</v>
      </c>
      <c r="AD1674" t="n">
        <v>12870</v>
      </c>
      <c r="AE1674" t="n">
        <v>161370</v>
      </c>
      <c r="AF1674" t="n">
        <v>158400</v>
      </c>
      <c r="AG1674" t="n">
        <v>12445.29</v>
      </c>
      <c r="AH1674" t="n">
        <v>145954.71</v>
      </c>
      <c r="AI1674" t="n">
        <v>0</v>
      </c>
    </row>
    <row r="1675">
      <c r="A1675" t="inlineStr">
        <is>
          <t>1월</t>
        </is>
      </c>
      <c r="B1675" t="inlineStr">
        <is>
          <t>4주차</t>
        </is>
      </c>
      <c r="C1675" t="inlineStr">
        <is>
          <t>EP</t>
        </is>
      </c>
      <c r="D1675" s="28" t="n">
        <v>46047</v>
      </c>
      <c r="E1675" t="inlineStr">
        <is>
          <t>현대EP</t>
        </is>
      </c>
      <c r="F1675" t="inlineStr">
        <is>
          <t>황진철</t>
        </is>
      </c>
      <c r="G1675" t="inlineStr">
        <is>
          <t>010-2055-1658</t>
        </is>
      </c>
      <c r="H1675" t="inlineStr">
        <is>
          <t>814라2883</t>
        </is>
      </c>
      <c r="I1675" t="n">
        <v>20000000</v>
      </c>
      <c r="J1675" t="n">
        <v>0.067</v>
      </c>
      <c r="K1675" t="n">
        <v>1.76</v>
      </c>
      <c r="L1675" t="n">
        <v>0.13</v>
      </c>
      <c r="M1675" t="n">
        <v>1.63</v>
      </c>
      <c r="P1675" t="inlineStr">
        <is>
          <t>최혁</t>
        </is>
      </c>
      <c r="Q1675" t="inlineStr">
        <is>
          <t>홈서비스 60개월</t>
        </is>
      </c>
      <c r="AB1675" t="inlineStr">
        <is>
          <t>홈서비스</t>
        </is>
      </c>
      <c r="AC1675" t="n">
        <v>352000</v>
      </c>
      <c r="AD1675" t="n">
        <v>26000</v>
      </c>
      <c r="AE1675" t="n">
        <v>326000</v>
      </c>
      <c r="AF1675" t="n">
        <v>320000</v>
      </c>
      <c r="AG1675" t="n">
        <v>25142</v>
      </c>
      <c r="AH1675" t="n">
        <v>294858</v>
      </c>
      <c r="AI1675" t="n">
        <v>0</v>
      </c>
    </row>
    <row r="1676">
      <c r="A1676" t="inlineStr">
        <is>
          <t>2월</t>
        </is>
      </c>
      <c r="B1676" t="inlineStr">
        <is>
          <t>8주차</t>
        </is>
      </c>
      <c r="C1676" t="inlineStr">
        <is>
          <t>EP</t>
        </is>
      </c>
      <c r="D1676" s="28" t="n">
        <v>46072</v>
      </c>
      <c r="E1676" t="inlineStr">
        <is>
          <t>현대EP_fast</t>
        </is>
      </c>
      <c r="F1676" t="inlineStr">
        <is>
          <t>최동성</t>
        </is>
      </c>
      <c r="G1676" t="inlineStr">
        <is>
          <t>010-2552-6692</t>
        </is>
      </c>
      <c r="H1676" t="inlineStr">
        <is>
          <t>242가4905</t>
        </is>
      </c>
      <c r="I1676" t="n">
        <v>18300000</v>
      </c>
      <c r="J1676" t="n">
        <v>0.097</v>
      </c>
      <c r="K1676" t="n">
        <v>1.76</v>
      </c>
      <c r="L1676" t="n">
        <v>0.14</v>
      </c>
      <c r="M1676" t="n">
        <v>1.62</v>
      </c>
      <c r="P1676" t="inlineStr">
        <is>
          <t>김나윤</t>
        </is>
      </c>
      <c r="Q1676" t="inlineStr">
        <is>
          <t>홈서비스 60개월</t>
        </is>
      </c>
      <c r="AB1676" t="inlineStr">
        <is>
          <t>홈서비스</t>
        </is>
      </c>
      <c r="AC1676" t="n">
        <v>322080</v>
      </c>
      <c r="AD1676" t="n">
        <v>25620</v>
      </c>
      <c r="AE1676" t="n">
        <v>296460</v>
      </c>
      <c r="AF1676" t="n">
        <v>292800</v>
      </c>
      <c r="AG1676" t="n">
        <v>24774.54</v>
      </c>
      <c r="AH1676" t="n">
        <v>268025.46</v>
      </c>
      <c r="AI1676" t="n">
        <v>0</v>
      </c>
    </row>
    <row r="1677">
      <c r="A1677" t="inlineStr">
        <is>
          <t>2월</t>
        </is>
      </c>
      <c r="B1677" t="inlineStr">
        <is>
          <t>8주차</t>
        </is>
      </c>
      <c r="C1677" t="inlineStr">
        <is>
          <t>EP</t>
        </is>
      </c>
      <c r="D1677" s="28" t="n">
        <v>46073</v>
      </c>
      <c r="E1677" t="inlineStr">
        <is>
          <t>현대EP_fast</t>
        </is>
      </c>
      <c r="F1677" t="inlineStr">
        <is>
          <t>정진웅</t>
        </is>
      </c>
      <c r="G1677" t="inlineStr">
        <is>
          <t>010-6877-2057</t>
        </is>
      </c>
      <c r="H1677" t="inlineStr">
        <is>
          <t>168노9350</t>
        </is>
      </c>
      <c r="I1677" t="n">
        <v>17000000</v>
      </c>
      <c r="J1677" t="n">
        <v>0.124</v>
      </c>
      <c r="K1677" t="n">
        <v>1.76</v>
      </c>
      <c r="L1677" t="n">
        <v>0.14</v>
      </c>
      <c r="M1677" t="n">
        <v>1.62</v>
      </c>
      <c r="P1677" t="inlineStr">
        <is>
          <t>황채이</t>
        </is>
      </c>
      <c r="Q1677" t="inlineStr">
        <is>
          <t>홈서비스 36개월</t>
        </is>
      </c>
      <c r="AB1677" t="inlineStr">
        <is>
          <t>홈서비스</t>
        </is>
      </c>
      <c r="AC1677" t="n">
        <v>299200</v>
      </c>
      <c r="AD1677" t="n">
        <v>23800</v>
      </c>
      <c r="AE1677" t="n">
        <v>275400</v>
      </c>
      <c r="AF1677" t="n">
        <v>272000</v>
      </c>
      <c r="AG1677" t="n">
        <v>23014.6</v>
      </c>
      <c r="AH1677" t="n">
        <v>248985.4</v>
      </c>
      <c r="AI1677" t="n">
        <v>0</v>
      </c>
    </row>
    <row r="1678">
      <c r="A1678" t="inlineStr">
        <is>
          <t>2월</t>
        </is>
      </c>
      <c r="B1678" t="inlineStr">
        <is>
          <t>8주차</t>
        </is>
      </c>
      <c r="C1678" t="inlineStr">
        <is>
          <t>EP</t>
        </is>
      </c>
      <c r="D1678" s="28" t="n">
        <v>46072</v>
      </c>
      <c r="E1678" t="inlineStr">
        <is>
          <t>현대EP_fast</t>
        </is>
      </c>
      <c r="F1678" t="inlineStr">
        <is>
          <t>서원태</t>
        </is>
      </c>
      <c r="G1678" t="inlineStr">
        <is>
          <t>010-8906-0683</t>
        </is>
      </c>
      <c r="H1678" t="inlineStr">
        <is>
          <t>63어4594</t>
        </is>
      </c>
      <c r="I1678" t="n">
        <v>8000000</v>
      </c>
      <c r="J1678" t="n">
        <v>0.08400000000000001</v>
      </c>
      <c r="K1678" t="n">
        <v>1.76</v>
      </c>
      <c r="L1678" t="n">
        <v>0.4</v>
      </c>
      <c r="M1678" t="n">
        <v>1.36</v>
      </c>
      <c r="P1678" t="inlineStr">
        <is>
          <t>박보람</t>
        </is>
      </c>
      <c r="Q1678" t="inlineStr">
        <is>
          <t xml:space="preserve"> 금리인하 0.5% 적용건 ( 8.9 &gt; 8.4 )</t>
        </is>
      </c>
      <c r="AB1678" t="inlineStr">
        <is>
          <t>엔카</t>
        </is>
      </c>
      <c r="AC1678" t="n">
        <v>140800</v>
      </c>
      <c r="AD1678" t="n">
        <v>32000</v>
      </c>
      <c r="AE1678" t="n">
        <v>108800</v>
      </c>
      <c r="AF1678" t="n">
        <v>128000</v>
      </c>
      <c r="AG1678" t="n">
        <v>30944</v>
      </c>
      <c r="AH1678" t="n">
        <v>97056</v>
      </c>
      <c r="AI1678" t="n">
        <v>0</v>
      </c>
    </row>
    <row r="1679">
      <c r="A1679" t="inlineStr">
        <is>
          <t>2월</t>
        </is>
      </c>
      <c r="B1679" t="inlineStr">
        <is>
          <t>9주차</t>
        </is>
      </c>
      <c r="C1679" t="inlineStr">
        <is>
          <t>EP</t>
        </is>
      </c>
      <c r="D1679" s="28" t="n">
        <v>46076</v>
      </c>
      <c r="E1679" t="inlineStr">
        <is>
          <t>현대EP</t>
        </is>
      </c>
      <c r="F1679" t="inlineStr">
        <is>
          <t>정문수</t>
        </is>
      </c>
      <c r="G1679" t="inlineStr">
        <is>
          <t>010-5590-3677</t>
        </is>
      </c>
      <c r="H1679" t="inlineStr">
        <is>
          <t>227저5457</t>
        </is>
      </c>
      <c r="I1679" t="n">
        <v>28400000</v>
      </c>
      <c r="J1679" t="n">
        <v>0.099</v>
      </c>
      <c r="K1679" t="n">
        <v>1.76</v>
      </c>
      <c r="L1679" t="n">
        <v>0.14</v>
      </c>
      <c r="M1679" t="n">
        <v>1.62</v>
      </c>
      <c r="P1679" t="inlineStr">
        <is>
          <t>최형주</t>
        </is>
      </c>
      <c r="Q1679" t="inlineStr">
        <is>
          <t>홈서비스 60개월</t>
        </is>
      </c>
      <c r="AB1679" t="inlineStr">
        <is>
          <t>홈서비스</t>
        </is>
      </c>
      <c r="AC1679" t="n">
        <v>499840</v>
      </c>
      <c r="AD1679" t="n">
        <v>39760</v>
      </c>
      <c r="AE1679" t="n">
        <v>460080</v>
      </c>
      <c r="AF1679" t="n">
        <v>454400</v>
      </c>
      <c r="AG1679" t="n">
        <v>38447.92</v>
      </c>
      <c r="AH1679" t="n">
        <v>415952.08</v>
      </c>
      <c r="AI1679" t="n">
        <v>0</v>
      </c>
    </row>
    <row r="1680">
      <c r="A1680" t="inlineStr">
        <is>
          <t>2월</t>
        </is>
      </c>
      <c r="B1680" t="inlineStr">
        <is>
          <t>9주차</t>
        </is>
      </c>
      <c r="C1680" t="inlineStr">
        <is>
          <t>EP</t>
        </is>
      </c>
      <c r="D1680" s="28" t="n">
        <v>46077</v>
      </c>
      <c r="E1680" t="inlineStr">
        <is>
          <t>현대EP</t>
        </is>
      </c>
      <c r="F1680" t="inlineStr">
        <is>
          <t>곽수원</t>
        </is>
      </c>
      <c r="G1680" t="inlineStr">
        <is>
          <t>010-2078-5367</t>
        </is>
      </c>
      <c r="H1680" t="inlineStr">
        <is>
          <t>41버0360</t>
        </is>
      </c>
      <c r="I1680" t="n">
        <v>4700000</v>
      </c>
      <c r="J1680" t="n">
        <v>0.076</v>
      </c>
      <c r="K1680" t="n">
        <v>1.76</v>
      </c>
      <c r="L1680" t="n">
        <v>0.14</v>
      </c>
      <c r="M1680" t="n">
        <v>1.62</v>
      </c>
      <c r="P1680" t="inlineStr">
        <is>
          <t>정광호</t>
        </is>
      </c>
      <c r="Q1680" t="inlineStr">
        <is>
          <t>홈서비스 24개월</t>
        </is>
      </c>
      <c r="AB1680" t="inlineStr">
        <is>
          <t>홈서비스</t>
        </is>
      </c>
      <c r="AC1680" t="n">
        <v>82720</v>
      </c>
      <c r="AD1680" t="n">
        <v>6580</v>
      </c>
      <c r="AE1680" t="n">
        <v>76140</v>
      </c>
      <c r="AF1680" t="n">
        <v>75200</v>
      </c>
      <c r="AG1680" t="n">
        <v>6362.86</v>
      </c>
      <c r="AH1680" t="n">
        <v>68837.14</v>
      </c>
      <c r="AI1680" t="n">
        <v>0</v>
      </c>
    </row>
    <row r="1681">
      <c r="A1681" t="inlineStr">
        <is>
          <t>2월</t>
        </is>
      </c>
      <c r="B1681" t="inlineStr">
        <is>
          <t>9주차</t>
        </is>
      </c>
      <c r="C1681" t="inlineStr">
        <is>
          <t>EP</t>
        </is>
      </c>
      <c r="D1681" s="28" t="n">
        <v>46079</v>
      </c>
      <c r="E1681" t="inlineStr">
        <is>
          <t>현대EP</t>
        </is>
      </c>
      <c r="F1681" t="inlineStr">
        <is>
          <t>김곤</t>
        </is>
      </c>
      <c r="G1681" t="inlineStr">
        <is>
          <t>010-9643-1992</t>
        </is>
      </c>
      <c r="H1681" t="inlineStr">
        <is>
          <t>175더2531</t>
        </is>
      </c>
      <c r="I1681" t="n">
        <v>7000000</v>
      </c>
      <c r="J1681" t="n">
        <v>0.076</v>
      </c>
      <c r="K1681" t="n">
        <v>1.21</v>
      </c>
      <c r="L1681" t="n">
        <v>0.14</v>
      </c>
      <c r="M1681" t="n">
        <v>1.07</v>
      </c>
      <c r="P1681" t="inlineStr">
        <is>
          <t>정광호</t>
        </is>
      </c>
      <c r="Q1681" t="inlineStr">
        <is>
          <t>홈서비스 24개월</t>
        </is>
      </c>
      <c r="AB1681" t="inlineStr">
        <is>
          <t>홈서비스</t>
        </is>
      </c>
      <c r="AC1681" t="n">
        <v>84700</v>
      </c>
      <c r="AD1681" t="n">
        <v>9800</v>
      </c>
      <c r="AE1681" t="n">
        <v>74900</v>
      </c>
      <c r="AF1681" t="n">
        <v>77000</v>
      </c>
      <c r="AG1681" t="n">
        <v>9476.6</v>
      </c>
      <c r="AH1681" t="n">
        <v>67523.39999999999</v>
      </c>
    </row>
    <row r="1682">
      <c r="A1682" t="inlineStr">
        <is>
          <t>2월</t>
        </is>
      </c>
      <c r="B1682" t="inlineStr">
        <is>
          <t>9주차</t>
        </is>
      </c>
      <c r="C1682" t="inlineStr">
        <is>
          <t>EP</t>
        </is>
      </c>
      <c r="D1682" s="28" t="n">
        <v>46079</v>
      </c>
      <c r="E1682" t="inlineStr">
        <is>
          <t>현대EP_fast</t>
        </is>
      </c>
      <c r="F1682" t="inlineStr">
        <is>
          <t>배정수</t>
        </is>
      </c>
      <c r="G1682" t="inlineStr">
        <is>
          <t>010-9173-4600</t>
        </is>
      </c>
      <c r="H1682" t="inlineStr">
        <is>
          <t>10저0840</t>
        </is>
      </c>
      <c r="I1682" t="n">
        <v>8200000</v>
      </c>
      <c r="J1682" t="n">
        <v>0.07099999999999999</v>
      </c>
      <c r="K1682" t="n">
        <v>1.76</v>
      </c>
      <c r="L1682" t="n">
        <v>0.14</v>
      </c>
      <c r="M1682" t="n">
        <v>1.62</v>
      </c>
      <c r="P1682" t="inlineStr">
        <is>
          <t>김나윤</t>
        </is>
      </c>
      <c r="Q1682" t="inlineStr">
        <is>
          <t>홈서비스 48개월 금리인하 0.5% 적용건 (7.6 &gt; 7.1)</t>
        </is>
      </c>
      <c r="AB1682" t="inlineStr">
        <is>
          <t>홈서비스</t>
        </is>
      </c>
      <c r="AC1682" t="n">
        <v>144320</v>
      </c>
      <c r="AD1682" t="n">
        <v>11480</v>
      </c>
      <c r="AE1682" t="n">
        <v>132840</v>
      </c>
      <c r="AF1682" t="n">
        <v>131200</v>
      </c>
      <c r="AG1682" t="n">
        <v>11101.16</v>
      </c>
      <c r="AH1682" t="n">
        <v>120098.84</v>
      </c>
      <c r="AI1682" t="n">
        <v>0</v>
      </c>
    </row>
    <row r="1683">
      <c r="A1683" t="inlineStr">
        <is>
          <t>2월</t>
        </is>
      </c>
      <c r="B1683" t="inlineStr">
        <is>
          <t>9주차</t>
        </is>
      </c>
      <c r="C1683" t="inlineStr">
        <is>
          <t>EP</t>
        </is>
      </c>
      <c r="D1683" s="28" t="n">
        <v>46079</v>
      </c>
      <c r="E1683" t="inlineStr">
        <is>
          <t>현대EP_fast</t>
        </is>
      </c>
      <c r="F1683" t="inlineStr">
        <is>
          <t>전하늘</t>
        </is>
      </c>
      <c r="G1683" t="inlineStr">
        <is>
          <t>010-2728-2445</t>
        </is>
      </c>
      <c r="H1683" t="inlineStr">
        <is>
          <t>21버1979</t>
        </is>
      </c>
      <c r="I1683" t="n">
        <v>45000000</v>
      </c>
      <c r="J1683" t="n">
        <v>0.11</v>
      </c>
      <c r="K1683" t="n">
        <v>1.76</v>
      </c>
      <c r="L1683" t="n">
        <v>0.4</v>
      </c>
      <c r="M1683" t="n">
        <v>1.36</v>
      </c>
      <c r="P1683" t="inlineStr">
        <is>
          <t>장현경</t>
        </is>
      </c>
      <c r="Q1683" t="inlineStr">
        <is>
          <t xml:space="preserve"> 금리인하 0.5% 적용건 (11.5 &gt; 11)</t>
        </is>
      </c>
      <c r="AB1683" t="inlineStr">
        <is>
          <t>엔카</t>
        </is>
      </c>
      <c r="AC1683" t="n">
        <v>792000</v>
      </c>
      <c r="AD1683" t="n">
        <v>180000</v>
      </c>
      <c r="AE1683" t="n">
        <v>612000</v>
      </c>
      <c r="AF1683" t="n">
        <v>720000</v>
      </c>
      <c r="AG1683" t="n">
        <v>174060</v>
      </c>
      <c r="AH1683" t="n">
        <v>545940</v>
      </c>
    </row>
    <row r="1684">
      <c r="A1684" t="inlineStr">
        <is>
          <t>2월</t>
        </is>
      </c>
      <c r="B1684" t="inlineStr">
        <is>
          <t>9주차</t>
        </is>
      </c>
      <c r="C1684" t="inlineStr">
        <is>
          <t>IM</t>
        </is>
      </c>
      <c r="D1684" s="28" t="n">
        <v>46080</v>
      </c>
      <c r="E1684" t="inlineStr">
        <is>
          <t>IM캐피탈</t>
        </is>
      </c>
      <c r="F1684" t="inlineStr">
        <is>
          <t>이선무</t>
        </is>
      </c>
      <c r="G1684" t="inlineStr">
        <is>
          <t>010-9131-1262</t>
        </is>
      </c>
      <c r="H1684" t="inlineStr">
        <is>
          <t>125다3451</t>
        </is>
      </c>
      <c r="I1684" t="n">
        <v>-20000000</v>
      </c>
      <c r="J1684" t="n">
        <v>0.049</v>
      </c>
      <c r="K1684" t="n">
        <v>1.1</v>
      </c>
      <c r="L1684" t="n">
        <v>0.14</v>
      </c>
      <c r="M1684" t="n">
        <v>0.96</v>
      </c>
      <c r="P1684" t="inlineStr">
        <is>
          <t>최형주</t>
        </is>
      </c>
      <c r="Q1684" t="inlineStr">
        <is>
          <t>홈서비스 60개월 / 오토론/*철회 20260304</t>
        </is>
      </c>
      <c r="AB1684" t="inlineStr">
        <is>
          <t>홈서비스</t>
        </is>
      </c>
      <c r="AC1684" t="n">
        <v>-220000</v>
      </c>
      <c r="AD1684" t="n">
        <v>-28000</v>
      </c>
      <c r="AE1684" t="n">
        <v>-192000</v>
      </c>
      <c r="AF1684" t="n">
        <v>-200000</v>
      </c>
      <c r="AG1684" t="n">
        <v>-27076</v>
      </c>
      <c r="AH1684" t="n">
        <v>-172924</v>
      </c>
      <c r="AI1684" t="n">
        <v>0</v>
      </c>
      <c r="AK1684" t="inlineStr">
        <is>
          <t>대출철회</t>
        </is>
      </c>
    </row>
    <row r="1685">
      <c r="A1685" t="inlineStr">
        <is>
          <t>2월</t>
        </is>
      </c>
      <c r="B1685" t="inlineStr">
        <is>
          <t>6주차</t>
        </is>
      </c>
      <c r="C1685" t="inlineStr">
        <is>
          <t>EP</t>
        </is>
      </c>
      <c r="D1685" s="28" t="n">
        <v>46055</v>
      </c>
      <c r="E1685" t="inlineStr">
        <is>
          <t>현대EP</t>
        </is>
      </c>
      <c r="F1685" t="inlineStr">
        <is>
          <t>유정일</t>
        </is>
      </c>
      <c r="G1685" t="inlineStr">
        <is>
          <t>010-9211-8342</t>
        </is>
      </c>
      <c r="H1685" t="inlineStr">
        <is>
          <t>33가0499</t>
        </is>
      </c>
      <c r="I1685" t="n">
        <v>6500000</v>
      </c>
      <c r="J1685" t="n">
        <v>0.08699999999999999</v>
      </c>
      <c r="K1685" t="n">
        <v>1.76</v>
      </c>
      <c r="L1685" t="n">
        <v>0.14</v>
      </c>
      <c r="M1685" t="n">
        <v>1.62</v>
      </c>
      <c r="P1685" t="inlineStr">
        <is>
          <t>정광호</t>
        </is>
      </c>
      <c r="Q1685" t="inlineStr">
        <is>
          <t>홈서비스 36개월</t>
        </is>
      </c>
      <c r="AB1685" t="inlineStr">
        <is>
          <t>홈서비스</t>
        </is>
      </c>
      <c r="AC1685" t="n">
        <v>114400</v>
      </c>
      <c r="AD1685" t="n">
        <v>9100</v>
      </c>
      <c r="AE1685" t="n">
        <v>105300</v>
      </c>
      <c r="AF1685" t="n">
        <v>104000</v>
      </c>
      <c r="AG1685" t="n">
        <v>8799.700000000001</v>
      </c>
      <c r="AH1685" t="n">
        <v>95200.3</v>
      </c>
      <c r="AI1685" t="n">
        <v>0</v>
      </c>
    </row>
    <row r="1686">
      <c r="A1686" t="inlineStr">
        <is>
          <t>2월</t>
        </is>
      </c>
      <c r="B1686" t="inlineStr">
        <is>
          <t>7주차</t>
        </is>
      </c>
      <c r="C1686" t="inlineStr">
        <is>
          <t>EP</t>
        </is>
      </c>
      <c r="D1686" s="28" t="n">
        <v>46064</v>
      </c>
      <c r="E1686" t="inlineStr">
        <is>
          <t>현대EP_fast</t>
        </is>
      </c>
      <c r="F1686" t="inlineStr">
        <is>
          <t>조준필</t>
        </is>
      </c>
      <c r="G1686" t="inlineStr">
        <is>
          <t>010-2698-3933</t>
        </is>
      </c>
      <c r="H1686" t="inlineStr">
        <is>
          <t>355모6307</t>
        </is>
      </c>
      <c r="I1686" t="n">
        <v>5900000</v>
      </c>
      <c r="J1686" t="n">
        <v>0.078</v>
      </c>
      <c r="K1686" t="n">
        <v>1.76</v>
      </c>
      <c r="L1686" t="n">
        <v>0.4</v>
      </c>
      <c r="M1686" t="n">
        <v>1.36</v>
      </c>
      <c r="P1686" t="inlineStr">
        <is>
          <t>장현경</t>
        </is>
      </c>
      <c r="Q1686" t="inlineStr">
        <is>
          <t>금리인하 0.5% 적용건 (8.3  &gt; 7.8)</t>
        </is>
      </c>
      <c r="AB1686" t="inlineStr">
        <is>
          <t>엔카</t>
        </is>
      </c>
      <c r="AC1686" t="n">
        <v>103840</v>
      </c>
      <c r="AD1686" t="n">
        <v>23600</v>
      </c>
      <c r="AE1686" t="n">
        <v>80240</v>
      </c>
      <c r="AF1686" t="n">
        <v>94400</v>
      </c>
      <c r="AG1686" t="n">
        <v>22821.2</v>
      </c>
      <c r="AH1686" t="n">
        <v>71578.8</v>
      </c>
    </row>
    <row r="1687">
      <c r="A1687" t="inlineStr">
        <is>
          <t>2월</t>
        </is>
      </c>
      <c r="B1687" t="inlineStr">
        <is>
          <t>6주차</t>
        </is>
      </c>
      <c r="C1687" t="inlineStr">
        <is>
          <t>EP</t>
        </is>
      </c>
      <c r="D1687" s="28" t="n">
        <v>46058</v>
      </c>
      <c r="E1687" t="inlineStr">
        <is>
          <t>현대EP</t>
        </is>
      </c>
      <c r="F1687" t="inlineStr">
        <is>
          <t>유용석</t>
        </is>
      </c>
      <c r="G1687" t="inlineStr">
        <is>
          <t>010-2315-1362</t>
        </is>
      </c>
      <c r="H1687" t="inlineStr">
        <is>
          <t>267루9866</t>
        </is>
      </c>
      <c r="I1687" t="n">
        <v>21800000</v>
      </c>
      <c r="J1687" t="n">
        <v>0.073</v>
      </c>
      <c r="K1687" t="n">
        <v>1.76</v>
      </c>
      <c r="L1687" t="n">
        <v>0.14</v>
      </c>
      <c r="M1687" t="n">
        <v>1.62</v>
      </c>
      <c r="P1687" t="inlineStr">
        <is>
          <t>최형주</t>
        </is>
      </c>
      <c r="Q1687" t="inlineStr">
        <is>
          <t>홈서비스 60개월</t>
        </is>
      </c>
      <c r="AB1687" t="inlineStr">
        <is>
          <t>홈서비스</t>
        </is>
      </c>
      <c r="AC1687" t="n">
        <v>383680</v>
      </c>
      <c r="AD1687" t="n">
        <v>30520</v>
      </c>
      <c r="AE1687" t="n">
        <v>353160</v>
      </c>
      <c r="AF1687" t="n">
        <v>348800</v>
      </c>
      <c r="AG1687" t="n">
        <v>29512.84</v>
      </c>
      <c r="AH1687" t="n">
        <v>319287.16</v>
      </c>
      <c r="AI1687" t="n">
        <v>0</v>
      </c>
    </row>
    <row r="1688">
      <c r="A1688" t="inlineStr">
        <is>
          <t>2월</t>
        </is>
      </c>
      <c r="B1688" t="inlineStr">
        <is>
          <t>7주차</t>
        </is>
      </c>
      <c r="C1688" t="inlineStr">
        <is>
          <t>EP</t>
        </is>
      </c>
      <c r="D1688" s="28" t="n">
        <v>46062</v>
      </c>
      <c r="E1688" t="inlineStr">
        <is>
          <t>현대EP</t>
        </is>
      </c>
      <c r="F1688" t="inlineStr">
        <is>
          <t>강태종</t>
        </is>
      </c>
      <c r="G1688" t="inlineStr">
        <is>
          <t>010-4488-5940</t>
        </is>
      </c>
      <c r="H1688" t="inlineStr">
        <is>
          <t>293노1089</t>
        </is>
      </c>
      <c r="I1688" t="n">
        <v>16500000</v>
      </c>
      <c r="J1688" t="n">
        <v>0.093</v>
      </c>
      <c r="K1688" t="n">
        <v>1.76</v>
      </c>
      <c r="L1688" t="n">
        <v>0.14</v>
      </c>
      <c r="M1688" t="n">
        <v>1.62</v>
      </c>
      <c r="P1688" t="inlineStr">
        <is>
          <t>김수연</t>
        </is>
      </c>
      <c r="Q1688" t="inlineStr">
        <is>
          <t>홈서비스 48개월</t>
        </is>
      </c>
      <c r="AB1688" t="inlineStr">
        <is>
          <t>홈서비스</t>
        </is>
      </c>
      <c r="AC1688" t="n">
        <v>290400</v>
      </c>
      <c r="AD1688" t="n">
        <v>23100</v>
      </c>
      <c r="AE1688" t="n">
        <v>267300</v>
      </c>
      <c r="AF1688" t="n">
        <v>264000</v>
      </c>
      <c r="AG1688" t="n">
        <v>22337.7</v>
      </c>
      <c r="AH1688" t="n">
        <v>241662.3</v>
      </c>
    </row>
    <row r="1689">
      <c r="A1689" t="inlineStr">
        <is>
          <t>2월</t>
        </is>
      </c>
      <c r="B1689" t="inlineStr">
        <is>
          <t>9주차</t>
        </is>
      </c>
      <c r="C1689" t="inlineStr">
        <is>
          <t>IM</t>
        </is>
      </c>
      <c r="D1689" s="28" t="n">
        <v>46079</v>
      </c>
      <c r="E1689" t="inlineStr">
        <is>
          <t>IM캐피탈</t>
        </is>
      </c>
      <c r="F1689" t="inlineStr">
        <is>
          <t>김은자</t>
        </is>
      </c>
      <c r="G1689" t="inlineStr">
        <is>
          <t>010-6299-8180</t>
        </is>
      </c>
      <c r="H1689" t="inlineStr">
        <is>
          <t>364수4814</t>
        </is>
      </c>
      <c r="I1689" t="n">
        <v>60000000</v>
      </c>
      <c r="J1689" t="n">
        <v>0.049</v>
      </c>
      <c r="K1689" t="n">
        <v>1.1</v>
      </c>
      <c r="L1689" t="n">
        <v>0.4</v>
      </c>
      <c r="M1689" t="n">
        <v>0.7</v>
      </c>
      <c r="P1689" t="inlineStr">
        <is>
          <t>박보람</t>
        </is>
      </c>
      <c r="AB1689" t="inlineStr">
        <is>
          <t>엔카</t>
        </is>
      </c>
      <c r="AC1689" t="n">
        <v>660000</v>
      </c>
      <c r="AD1689" t="n">
        <v>240000</v>
      </c>
      <c r="AE1689" t="n">
        <v>420000</v>
      </c>
      <c r="AF1689" t="n">
        <v>600000</v>
      </c>
      <c r="AG1689" t="n">
        <v>232080</v>
      </c>
      <c r="AH1689" t="n">
        <v>367920</v>
      </c>
      <c r="AI1689" t="n">
        <v>0</v>
      </c>
    </row>
    <row r="1690">
      <c r="A1690" t="inlineStr">
        <is>
          <t>2월</t>
        </is>
      </c>
      <c r="B1690" t="inlineStr">
        <is>
          <t>9주차</t>
        </is>
      </c>
      <c r="C1690" t="inlineStr">
        <is>
          <t>EP</t>
        </is>
      </c>
      <c r="D1690" s="28" t="n">
        <v>46080</v>
      </c>
      <c r="E1690" t="inlineStr">
        <is>
          <t>현대EP</t>
        </is>
      </c>
      <c r="F1690" t="inlineStr">
        <is>
          <t>이경래</t>
        </is>
      </c>
      <c r="G1690" t="inlineStr">
        <is>
          <t>010-6419-8997</t>
        </is>
      </c>
      <c r="H1690" t="inlineStr">
        <is>
          <t>22너9321</t>
        </is>
      </c>
      <c r="I1690" t="n">
        <v>21700000</v>
      </c>
      <c r="J1690" t="n">
        <v>0.099</v>
      </c>
      <c r="K1690" t="n">
        <v>1.76</v>
      </c>
      <c r="L1690" t="n">
        <v>0.14</v>
      </c>
      <c r="M1690" t="n">
        <v>1.62</v>
      </c>
      <c r="P1690" t="inlineStr">
        <is>
          <t>김나윤</t>
        </is>
      </c>
      <c r="Q1690" t="inlineStr">
        <is>
          <t>홈서비스 60개월</t>
        </is>
      </c>
      <c r="AB1690" t="inlineStr">
        <is>
          <t>홈서비스</t>
        </is>
      </c>
      <c r="AC1690" t="n">
        <v>381920</v>
      </c>
      <c r="AD1690" t="n">
        <v>30380</v>
      </c>
      <c r="AE1690" t="n">
        <v>351540</v>
      </c>
      <c r="AF1690" t="n">
        <v>347200</v>
      </c>
      <c r="AG1690" t="n">
        <v>29377.46</v>
      </c>
      <c r="AH1690" t="n">
        <v>317822.54</v>
      </c>
    </row>
    <row r="1691">
      <c r="A1691" t="inlineStr">
        <is>
          <t>2월</t>
        </is>
      </c>
      <c r="B1691" t="inlineStr">
        <is>
          <t>9주차</t>
        </is>
      </c>
      <c r="C1691" t="inlineStr">
        <is>
          <t>EP</t>
        </is>
      </c>
      <c r="D1691" s="28" t="n">
        <v>46080</v>
      </c>
      <c r="E1691" t="inlineStr">
        <is>
          <t>현대EP_fast</t>
        </is>
      </c>
      <c r="F1691" t="inlineStr">
        <is>
          <t>정회철</t>
        </is>
      </c>
      <c r="G1691" t="inlineStr">
        <is>
          <t>010-2327-9514</t>
        </is>
      </c>
      <c r="H1691" t="inlineStr">
        <is>
          <t>800무4905</t>
        </is>
      </c>
      <c r="I1691" t="n">
        <v>19000000</v>
      </c>
      <c r="J1691" t="n">
        <v>0.115</v>
      </c>
      <c r="K1691" t="n">
        <v>1.76</v>
      </c>
      <c r="L1691" t="n">
        <v>0.14</v>
      </c>
      <c r="M1691" t="n">
        <v>1.62</v>
      </c>
      <c r="P1691" t="inlineStr">
        <is>
          <t>김나윤</t>
        </is>
      </c>
      <c r="Q1691" t="inlineStr">
        <is>
          <t>홈서비스 60개월</t>
        </is>
      </c>
      <c r="AB1691" t="inlineStr">
        <is>
          <t>홈서비스</t>
        </is>
      </c>
      <c r="AC1691" t="n">
        <v>334400</v>
      </c>
      <c r="AD1691" t="n">
        <v>26600</v>
      </c>
      <c r="AE1691" t="n">
        <v>307800</v>
      </c>
      <c r="AF1691" t="n">
        <v>304000</v>
      </c>
      <c r="AG1691" t="n">
        <v>25722.2</v>
      </c>
      <c r="AH1691" t="n">
        <v>278277.8</v>
      </c>
      <c r="AI1691" t="n">
        <v>0</v>
      </c>
    </row>
    <row r="1692">
      <c r="A1692" t="inlineStr">
        <is>
          <t>2월</t>
        </is>
      </c>
      <c r="B1692" t="inlineStr">
        <is>
          <t>6주차</t>
        </is>
      </c>
      <c r="C1692" t="inlineStr">
        <is>
          <t>IM</t>
        </is>
      </c>
      <c r="D1692" s="28" t="n">
        <v>46059</v>
      </c>
      <c r="E1692" t="inlineStr">
        <is>
          <t>IM캐피탈</t>
        </is>
      </c>
      <c r="F1692" t="inlineStr">
        <is>
          <t>최연모</t>
        </is>
      </c>
      <c r="G1692" t="inlineStr">
        <is>
          <t>010-5348-4716</t>
        </is>
      </c>
      <c r="H1692" t="inlineStr">
        <is>
          <t>377가7386</t>
        </is>
      </c>
      <c r="I1692" t="n">
        <v>40000000</v>
      </c>
      <c r="J1692" t="n">
        <v>0.049</v>
      </c>
      <c r="K1692" t="n">
        <v>1.1</v>
      </c>
      <c r="L1692" t="n">
        <v>0.14</v>
      </c>
      <c r="M1692" t="n">
        <v>0.96</v>
      </c>
      <c r="P1692" t="inlineStr">
        <is>
          <t>최혁</t>
        </is>
      </c>
      <c r="Q1692" t="inlineStr">
        <is>
          <t>홈서비스60개월</t>
        </is>
      </c>
      <c r="AB1692" t="inlineStr">
        <is>
          <t>홈서비스</t>
        </is>
      </c>
      <c r="AC1692" t="n">
        <v>440000</v>
      </c>
      <c r="AD1692" t="n">
        <v>56000</v>
      </c>
      <c r="AE1692" t="n">
        <v>384000</v>
      </c>
      <c r="AF1692" t="n">
        <v>400000</v>
      </c>
      <c r="AG1692" t="n">
        <v>54152</v>
      </c>
      <c r="AH1692" t="n">
        <v>345848</v>
      </c>
      <c r="AI1692" t="n">
        <v>0</v>
      </c>
    </row>
    <row r="1693">
      <c r="A1693" t="inlineStr">
        <is>
          <t>2월</t>
        </is>
      </c>
      <c r="B1693" t="inlineStr">
        <is>
          <t>9주차</t>
        </is>
      </c>
      <c r="C1693" t="inlineStr">
        <is>
          <t>IM</t>
        </is>
      </c>
      <c r="D1693" s="28" t="n">
        <v>46079</v>
      </c>
      <c r="E1693" t="inlineStr">
        <is>
          <t>IM캐피탈</t>
        </is>
      </c>
      <c r="F1693" t="inlineStr">
        <is>
          <t>김미성</t>
        </is>
      </c>
      <c r="G1693" t="inlineStr">
        <is>
          <t>010-3060-6279</t>
        </is>
      </c>
      <c r="H1693" t="inlineStr">
        <is>
          <t>126수2428</t>
        </is>
      </c>
      <c r="I1693" t="n">
        <v>19000000</v>
      </c>
      <c r="J1693" t="n">
        <v>0.06900000000000001</v>
      </c>
      <c r="K1693" t="n">
        <v>1.1</v>
      </c>
      <c r="L1693" t="n">
        <v>0.14</v>
      </c>
      <c r="M1693" t="n">
        <v>0.96</v>
      </c>
      <c r="P1693" t="inlineStr">
        <is>
          <t>정광호</t>
        </is>
      </c>
      <c r="Q1693" t="inlineStr">
        <is>
          <t>홈서비스 60개월</t>
        </is>
      </c>
      <c r="AB1693" t="inlineStr">
        <is>
          <t>홈서비스</t>
        </is>
      </c>
      <c r="AC1693" t="n">
        <v>209000</v>
      </c>
      <c r="AD1693" t="n">
        <v>26600</v>
      </c>
      <c r="AE1693" t="n">
        <v>182400</v>
      </c>
      <c r="AF1693" t="n">
        <v>190000</v>
      </c>
      <c r="AG1693" t="n">
        <v>25722.2</v>
      </c>
      <c r="AH1693" t="n">
        <v>164277.8</v>
      </c>
    </row>
    <row r="1694">
      <c r="A1694" t="inlineStr">
        <is>
          <t>2월</t>
        </is>
      </c>
      <c r="B1694" t="inlineStr">
        <is>
          <t>9주차</t>
        </is>
      </c>
      <c r="C1694" t="inlineStr">
        <is>
          <t>EP</t>
        </is>
      </c>
      <c r="D1694" s="28" t="n">
        <v>46079</v>
      </c>
      <c r="E1694" t="inlineStr">
        <is>
          <t>현대EP_fast</t>
        </is>
      </c>
      <c r="F1694" t="inlineStr">
        <is>
          <t>김현회</t>
        </is>
      </c>
      <c r="G1694" t="inlineStr">
        <is>
          <t>010-3923-6251</t>
        </is>
      </c>
      <c r="H1694" t="inlineStr">
        <is>
          <t>61구4276</t>
        </is>
      </c>
      <c r="I1694" t="n">
        <v>19900000</v>
      </c>
      <c r="J1694" t="n">
        <v>0.076</v>
      </c>
      <c r="K1694" t="n">
        <v>1.21</v>
      </c>
      <c r="L1694" t="n">
        <v>0.14</v>
      </c>
      <c r="M1694" t="n">
        <v>1.07</v>
      </c>
      <c r="P1694" t="inlineStr">
        <is>
          <t>김수연</t>
        </is>
      </c>
      <c r="Q1694" t="inlineStr">
        <is>
          <t>홈서비스 60개월</t>
        </is>
      </c>
      <c r="AB1694" t="inlineStr">
        <is>
          <t>홈서비스</t>
        </is>
      </c>
      <c r="AC1694" t="n">
        <v>240790</v>
      </c>
      <c r="AD1694" t="n">
        <v>27860</v>
      </c>
      <c r="AE1694" t="n">
        <v>212930</v>
      </c>
      <c r="AF1694" t="n">
        <v>218900</v>
      </c>
      <c r="AG1694" t="n">
        <v>26940.62</v>
      </c>
      <c r="AH1694" t="n">
        <v>191959.38</v>
      </c>
    </row>
    <row r="1695">
      <c r="A1695" t="inlineStr">
        <is>
          <t>2월</t>
        </is>
      </c>
      <c r="B1695" t="inlineStr">
        <is>
          <t>9주차</t>
        </is>
      </c>
      <c r="C1695" t="inlineStr">
        <is>
          <t>OR</t>
        </is>
      </c>
      <c r="D1695" s="28" t="n">
        <v>46078</v>
      </c>
      <c r="E1695" t="inlineStr">
        <is>
          <t>오릭스</t>
        </is>
      </c>
      <c r="F1695" t="inlineStr">
        <is>
          <t>윤다운</t>
        </is>
      </c>
      <c r="G1695" t="inlineStr">
        <is>
          <t>010-9539-9593</t>
        </is>
      </c>
      <c r="H1695" t="inlineStr">
        <is>
          <t>51조4918</t>
        </is>
      </c>
      <c r="I1695" t="n">
        <v>59000000</v>
      </c>
      <c r="J1695" t="n">
        <v>0.092</v>
      </c>
      <c r="K1695" t="n">
        <v>1.65</v>
      </c>
      <c r="L1695" t="n">
        <v>0.4</v>
      </c>
      <c r="M1695" t="n">
        <v>1.25</v>
      </c>
      <c r="P1695" t="inlineStr">
        <is>
          <t>정하은</t>
        </is>
      </c>
      <c r="AB1695" t="inlineStr">
        <is>
          <t>엔카</t>
        </is>
      </c>
      <c r="AC1695" t="n">
        <v>973500</v>
      </c>
      <c r="AD1695" t="n">
        <v>236000</v>
      </c>
      <c r="AE1695" t="n">
        <v>737500</v>
      </c>
      <c r="AF1695" t="n">
        <v>885000</v>
      </c>
      <c r="AG1695" t="n">
        <v>228212</v>
      </c>
      <c r="AH1695" t="n">
        <v>656788</v>
      </c>
      <c r="AI1695" t="n">
        <v>0</v>
      </c>
    </row>
    <row r="1696">
      <c r="A1696" t="inlineStr">
        <is>
          <t>2월</t>
        </is>
      </c>
      <c r="B1696" t="inlineStr">
        <is>
          <t>9주차</t>
        </is>
      </c>
      <c r="C1696" t="inlineStr">
        <is>
          <t>IM</t>
        </is>
      </c>
      <c r="D1696" s="28" t="n">
        <v>46079</v>
      </c>
      <c r="E1696" t="inlineStr">
        <is>
          <t>IM캐피탈</t>
        </is>
      </c>
      <c r="F1696" t="inlineStr">
        <is>
          <t>박수민</t>
        </is>
      </c>
      <c r="G1696" t="inlineStr">
        <is>
          <t>010-3324-7014</t>
        </is>
      </c>
      <c r="H1696" t="inlineStr">
        <is>
          <t>136서2843</t>
        </is>
      </c>
      <c r="I1696" t="n">
        <v>11400000</v>
      </c>
      <c r="J1696" t="n">
        <v>0.049</v>
      </c>
      <c r="K1696" t="n">
        <v>1.21</v>
      </c>
      <c r="L1696" t="n">
        <v>0.14</v>
      </c>
      <c r="M1696" t="n">
        <v>1.07</v>
      </c>
      <c r="P1696" t="inlineStr">
        <is>
          <t>박현민</t>
        </is>
      </c>
      <c r="Q1696" t="inlineStr">
        <is>
          <t>홈서비스 84개월</t>
        </is>
      </c>
      <c r="AB1696" t="inlineStr">
        <is>
          <t>홈서비스</t>
        </is>
      </c>
      <c r="AC1696" t="n">
        <v>137940</v>
      </c>
      <c r="AD1696" t="n">
        <v>15960</v>
      </c>
      <c r="AE1696" t="n">
        <v>121980</v>
      </c>
      <c r="AF1696" t="n">
        <v>125400</v>
      </c>
      <c r="AG1696" t="n">
        <v>15433.32</v>
      </c>
      <c r="AH1696" t="n">
        <v>109966.68</v>
      </c>
      <c r="AI1696" t="n">
        <v>0</v>
      </c>
    </row>
    <row r="1697">
      <c r="A1697" t="inlineStr">
        <is>
          <t>2월</t>
        </is>
      </c>
      <c r="B1697" t="inlineStr">
        <is>
          <t>9주차</t>
        </is>
      </c>
      <c r="C1697" t="inlineStr">
        <is>
          <t>EP</t>
        </is>
      </c>
      <c r="D1697" s="28" t="n">
        <v>46080</v>
      </c>
      <c r="E1697" t="inlineStr">
        <is>
          <t>현대EP_fast</t>
        </is>
      </c>
      <c r="F1697" t="inlineStr">
        <is>
          <t>최혜경</t>
        </is>
      </c>
      <c r="G1697" t="inlineStr">
        <is>
          <t>010-4854-8305</t>
        </is>
      </c>
      <c r="H1697" t="inlineStr">
        <is>
          <t>54무9579</t>
        </is>
      </c>
      <c r="I1697" t="n">
        <v>6600000</v>
      </c>
      <c r="J1697" t="n">
        <v>0.099</v>
      </c>
      <c r="K1697" t="n">
        <v>1.76</v>
      </c>
      <c r="L1697" t="n">
        <v>0.14</v>
      </c>
      <c r="M1697" t="n">
        <v>1.62</v>
      </c>
      <c r="P1697" t="inlineStr">
        <is>
          <t>박현민</t>
        </is>
      </c>
      <c r="Q1697" t="inlineStr">
        <is>
          <t>홈서비스 60개월</t>
        </is>
      </c>
      <c r="AB1697" t="inlineStr">
        <is>
          <t>홈서비스</t>
        </is>
      </c>
      <c r="AC1697" t="n">
        <v>116160</v>
      </c>
      <c r="AD1697" t="n">
        <v>9240</v>
      </c>
      <c r="AE1697" t="n">
        <v>106920</v>
      </c>
      <c r="AF1697" t="n">
        <v>105600</v>
      </c>
      <c r="AG1697" t="n">
        <v>8935.08</v>
      </c>
      <c r="AH1697" t="n">
        <v>96664.92</v>
      </c>
      <c r="AI1697" t="n">
        <v>0</v>
      </c>
    </row>
    <row r="1698">
      <c r="A1698" t="inlineStr">
        <is>
          <t>2월</t>
        </is>
      </c>
      <c r="B1698" t="inlineStr">
        <is>
          <t>9주차</t>
        </is>
      </c>
      <c r="C1698" t="inlineStr">
        <is>
          <t>EP</t>
        </is>
      </c>
      <c r="D1698" s="28" t="n">
        <v>46080</v>
      </c>
      <c r="E1698" t="inlineStr">
        <is>
          <t>현대EP</t>
        </is>
      </c>
      <c r="F1698" t="inlineStr">
        <is>
          <t>신동민</t>
        </is>
      </c>
      <c r="G1698" t="inlineStr">
        <is>
          <t>010-3248-1982</t>
        </is>
      </c>
      <c r="H1698" t="inlineStr">
        <is>
          <t>03루0141</t>
        </is>
      </c>
      <c r="I1698" t="n">
        <v>17300000</v>
      </c>
      <c r="J1698" t="n">
        <v>0.068</v>
      </c>
      <c r="K1698" t="n">
        <v>1.76</v>
      </c>
      <c r="L1698" t="n">
        <v>0.14</v>
      </c>
      <c r="M1698" t="n">
        <v>1.62</v>
      </c>
      <c r="P1698" t="inlineStr">
        <is>
          <t>최형주</t>
        </is>
      </c>
      <c r="Q1698" t="inlineStr">
        <is>
          <t>홈서비스 60개월</t>
        </is>
      </c>
      <c r="AB1698" t="inlineStr">
        <is>
          <t>홈서비스</t>
        </is>
      </c>
      <c r="AC1698" t="n">
        <v>304480</v>
      </c>
      <c r="AD1698" t="n">
        <v>24220</v>
      </c>
      <c r="AE1698" t="n">
        <v>280260</v>
      </c>
      <c r="AF1698" t="n">
        <v>276800</v>
      </c>
      <c r="AG1698" t="n">
        <v>23420.74</v>
      </c>
      <c r="AH1698" t="n">
        <v>253379.26</v>
      </c>
    </row>
    <row r="1699">
      <c r="A1699" t="inlineStr">
        <is>
          <t>2월</t>
        </is>
      </c>
      <c r="B1699" t="inlineStr">
        <is>
          <t>7주차</t>
        </is>
      </c>
      <c r="C1699" t="inlineStr">
        <is>
          <t>EP</t>
        </is>
      </c>
      <c r="D1699" s="28" t="n">
        <v>46065</v>
      </c>
      <c r="E1699" t="inlineStr">
        <is>
          <t>현대EP_fast</t>
        </is>
      </c>
      <c r="F1699" t="inlineStr">
        <is>
          <t>고요셉</t>
        </is>
      </c>
      <c r="G1699" t="inlineStr">
        <is>
          <t>010-2456-3990</t>
        </is>
      </c>
      <c r="H1699" t="inlineStr">
        <is>
          <t>69머9024</t>
        </is>
      </c>
      <c r="I1699" t="n">
        <v>8900000</v>
      </c>
      <c r="J1699" t="n">
        <v>0.136</v>
      </c>
      <c r="K1699" t="n">
        <v>1.76</v>
      </c>
      <c r="L1699" t="n">
        <v>0.14</v>
      </c>
      <c r="M1699" t="n">
        <v>1.62</v>
      </c>
      <c r="P1699" t="inlineStr">
        <is>
          <t>황채이</t>
        </is>
      </c>
      <c r="Q1699" t="inlineStr">
        <is>
          <t>홈서비스 48개월 / 금리인하 0.5% 적용건 ( 14.1 &gt; 13.6 )</t>
        </is>
      </c>
      <c r="AB1699" t="inlineStr">
        <is>
          <t>홈서비스</t>
        </is>
      </c>
      <c r="AC1699" t="n">
        <v>156640</v>
      </c>
      <c r="AD1699" t="n">
        <v>12460</v>
      </c>
      <c r="AE1699" t="n">
        <v>144180</v>
      </c>
      <c r="AF1699" t="n">
        <v>142400</v>
      </c>
      <c r="AG1699" t="n">
        <v>12048.82</v>
      </c>
      <c r="AH1699" t="n">
        <v>130351.18</v>
      </c>
    </row>
    <row r="1700">
      <c r="A1700" t="inlineStr">
        <is>
          <t>2월</t>
        </is>
      </c>
      <c r="B1700" t="inlineStr">
        <is>
          <t>9주차</t>
        </is>
      </c>
      <c r="C1700" t="inlineStr">
        <is>
          <t>IM</t>
        </is>
      </c>
      <c r="D1700" s="28" t="n">
        <v>46080</v>
      </c>
      <c r="E1700" t="inlineStr">
        <is>
          <t>IM캐피탈</t>
        </is>
      </c>
      <c r="F1700" t="inlineStr">
        <is>
          <t>이선무</t>
        </is>
      </c>
      <c r="G1700" t="inlineStr">
        <is>
          <t>010-9131-1262</t>
        </is>
      </c>
      <c r="H1700" t="inlineStr">
        <is>
          <t>125다3451</t>
        </is>
      </c>
      <c r="I1700" t="n">
        <v>20000000</v>
      </c>
      <c r="J1700" t="n">
        <v>0.049</v>
      </c>
      <c r="K1700" t="n">
        <v>1.1</v>
      </c>
      <c r="L1700" t="n">
        <v>0.14</v>
      </c>
      <c r="M1700" t="n">
        <v>0.96</v>
      </c>
      <c r="P1700" t="inlineStr">
        <is>
          <t>최형주</t>
        </is>
      </c>
      <c r="Q1700" t="inlineStr">
        <is>
          <t>홈서비스 60개월 / 오토론</t>
        </is>
      </c>
      <c r="AB1700" t="inlineStr">
        <is>
          <t>홈서비스</t>
        </is>
      </c>
      <c r="AC1700" t="n">
        <v>220000</v>
      </c>
      <c r="AD1700" t="n">
        <v>28000</v>
      </c>
      <c r="AE1700" t="n">
        <v>192000</v>
      </c>
      <c r="AF1700" t="n">
        <v>200000</v>
      </c>
      <c r="AG1700" t="n">
        <v>27076</v>
      </c>
      <c r="AH1700" t="n">
        <v>172924</v>
      </c>
      <c r="AI1700" t="n">
        <v>0</v>
      </c>
    </row>
    <row r="1701">
      <c r="A1701" t="inlineStr">
        <is>
          <t>2월</t>
        </is>
      </c>
      <c r="B1701" t="inlineStr">
        <is>
          <t>9주차</t>
        </is>
      </c>
      <c r="C1701" t="inlineStr">
        <is>
          <t>EP</t>
        </is>
      </c>
      <c r="D1701" s="28" t="n">
        <v>46079</v>
      </c>
      <c r="E1701" t="inlineStr">
        <is>
          <t>현대EP_fast</t>
        </is>
      </c>
      <c r="F1701" t="inlineStr">
        <is>
          <t>김성윤</t>
        </is>
      </c>
      <c r="G1701" t="inlineStr">
        <is>
          <t>010-5156-2324</t>
        </is>
      </c>
      <c r="H1701" t="inlineStr">
        <is>
          <t>136저1308</t>
        </is>
      </c>
      <c r="I1701" t="n">
        <v>32000000</v>
      </c>
      <c r="J1701" t="n">
        <v>0.097</v>
      </c>
      <c r="K1701" t="n">
        <v>1.76</v>
      </c>
      <c r="L1701" t="n">
        <v>0.4</v>
      </c>
      <c r="M1701" t="n">
        <v>1.36</v>
      </c>
      <c r="P1701" t="inlineStr">
        <is>
          <t>장진경</t>
        </is>
      </c>
      <c r="Q1701" t="inlineStr">
        <is>
          <t xml:space="preserve"> 금리인하 0.5% 적용건 (10.2 &gt; 9.7)</t>
        </is>
      </c>
      <c r="AB1701" t="inlineStr">
        <is>
          <t>엔카</t>
        </is>
      </c>
      <c r="AC1701" t="n">
        <v>563200</v>
      </c>
      <c r="AD1701" t="n">
        <v>128000</v>
      </c>
      <c r="AE1701" t="n">
        <v>435200</v>
      </c>
      <c r="AF1701" t="n">
        <v>512000</v>
      </c>
      <c r="AG1701" t="n">
        <v>123776</v>
      </c>
      <c r="AH1701" t="n">
        <v>388224</v>
      </c>
      <c r="AI1701" t="n">
        <v>0</v>
      </c>
    </row>
    <row r="1702">
      <c r="A1702" t="inlineStr">
        <is>
          <t>2월</t>
        </is>
      </c>
      <c r="B1702" t="inlineStr">
        <is>
          <t>7주차</t>
        </is>
      </c>
      <c r="C1702" t="inlineStr">
        <is>
          <t>EP</t>
        </is>
      </c>
      <c r="D1702" s="28" t="n">
        <v>46062</v>
      </c>
      <c r="E1702" t="inlineStr">
        <is>
          <t>현대EP_fast</t>
        </is>
      </c>
      <c r="F1702" t="inlineStr">
        <is>
          <t>윤다훈</t>
        </is>
      </c>
      <c r="G1702" t="inlineStr">
        <is>
          <t>010-7396-4151</t>
        </is>
      </c>
      <c r="H1702" t="inlineStr">
        <is>
          <t>30오5451</t>
        </is>
      </c>
      <c r="I1702" t="n">
        <v>4900000</v>
      </c>
      <c r="J1702" t="n">
        <v>0.102</v>
      </c>
      <c r="K1702" t="n">
        <v>1.76</v>
      </c>
      <c r="L1702" t="n">
        <v>0.14</v>
      </c>
      <c r="M1702" t="n">
        <v>1.62</v>
      </c>
      <c r="P1702" t="inlineStr">
        <is>
          <t>정세빈</t>
        </is>
      </c>
      <c r="Q1702" t="inlineStr">
        <is>
          <t>홈서비스 48개월</t>
        </is>
      </c>
      <c r="AB1702" t="inlineStr">
        <is>
          <t>홈서비스</t>
        </is>
      </c>
      <c r="AC1702" t="n">
        <v>86240</v>
      </c>
      <c r="AD1702" t="n">
        <v>6860</v>
      </c>
      <c r="AE1702" t="n">
        <v>79380</v>
      </c>
      <c r="AF1702" t="n">
        <v>78400</v>
      </c>
      <c r="AG1702" t="n">
        <v>6633.62</v>
      </c>
      <c r="AH1702" t="n">
        <v>71766.38</v>
      </c>
      <c r="AI1702" t="n">
        <v>0</v>
      </c>
    </row>
    <row r="1703">
      <c r="A1703" t="inlineStr">
        <is>
          <t>2월</t>
        </is>
      </c>
      <c r="B1703" t="inlineStr">
        <is>
          <t>9주차</t>
        </is>
      </c>
      <c r="C1703" t="inlineStr">
        <is>
          <t>EP</t>
        </is>
      </c>
      <c r="D1703" s="28" t="n">
        <v>46080</v>
      </c>
      <c r="E1703" t="inlineStr">
        <is>
          <t>현대EP_fast</t>
        </is>
      </c>
      <c r="F1703" t="inlineStr">
        <is>
          <t>박정환</t>
        </is>
      </c>
      <c r="G1703" t="inlineStr">
        <is>
          <t>010-4838-7999</t>
        </is>
      </c>
      <c r="H1703" t="inlineStr">
        <is>
          <t>191소9926</t>
        </is>
      </c>
      <c r="I1703" t="n">
        <v>5500000</v>
      </c>
      <c r="J1703" t="n">
        <v>0.135</v>
      </c>
      <c r="K1703" t="n">
        <v>1.76</v>
      </c>
      <c r="L1703" t="n">
        <v>0.4</v>
      </c>
      <c r="M1703" t="n">
        <v>1.36</v>
      </c>
      <c r="P1703" t="inlineStr">
        <is>
          <t>박현민</t>
        </is>
      </c>
      <c r="Q1703" t="inlineStr">
        <is>
          <t>고객주도체결</t>
        </is>
      </c>
      <c r="AB1703" t="inlineStr">
        <is>
          <t>엔카</t>
        </is>
      </c>
      <c r="AC1703" t="n">
        <v>96800</v>
      </c>
      <c r="AD1703" t="n">
        <v>22000</v>
      </c>
      <c r="AE1703" t="n">
        <v>74800</v>
      </c>
      <c r="AF1703" t="n">
        <v>88000</v>
      </c>
      <c r="AG1703" t="n">
        <v>21274</v>
      </c>
      <c r="AH1703" t="n">
        <v>66726</v>
      </c>
      <c r="AI1703" t="n">
        <v>0</v>
      </c>
    </row>
    <row r="1704">
      <c r="A1704" t="inlineStr">
        <is>
          <t>2월</t>
        </is>
      </c>
      <c r="B1704" t="inlineStr">
        <is>
          <t>9주차</t>
        </is>
      </c>
      <c r="C1704" t="inlineStr">
        <is>
          <t>EP</t>
        </is>
      </c>
      <c r="D1704" s="28" t="n">
        <v>46080</v>
      </c>
      <c r="E1704" t="inlineStr">
        <is>
          <t>현대EP</t>
        </is>
      </c>
      <c r="F1704" t="inlineStr">
        <is>
          <t>이태훈</t>
        </is>
      </c>
      <c r="G1704" t="inlineStr">
        <is>
          <t>010-5704-0419</t>
        </is>
      </c>
      <c r="H1704" t="inlineStr">
        <is>
          <t>28버0328</t>
        </is>
      </c>
      <c r="I1704" t="n">
        <v>4900000</v>
      </c>
      <c r="J1704" t="n">
        <v>0.074</v>
      </c>
      <c r="K1704" t="n">
        <v>1.76</v>
      </c>
      <c r="L1704" t="n">
        <v>0.14</v>
      </c>
      <c r="M1704" t="n">
        <v>1.62</v>
      </c>
      <c r="P1704" t="inlineStr">
        <is>
          <t>김수연</t>
        </is>
      </c>
      <c r="Q1704" t="inlineStr">
        <is>
          <t>홈서비스 60개월</t>
        </is>
      </c>
      <c r="AB1704" t="inlineStr">
        <is>
          <t>홈서비스</t>
        </is>
      </c>
      <c r="AC1704" t="n">
        <v>86240</v>
      </c>
      <c r="AD1704" t="n">
        <v>6860</v>
      </c>
      <c r="AE1704" t="n">
        <v>79380</v>
      </c>
      <c r="AF1704" t="n">
        <v>78400</v>
      </c>
      <c r="AG1704" t="n">
        <v>6633.62</v>
      </c>
      <c r="AH1704" t="n">
        <v>71766.38</v>
      </c>
    </row>
    <row r="1705">
      <c r="A1705" t="inlineStr">
        <is>
          <t>2월</t>
        </is>
      </c>
      <c r="B1705" t="inlineStr">
        <is>
          <t>9주차</t>
        </is>
      </c>
      <c r="C1705" t="inlineStr">
        <is>
          <t>EP</t>
        </is>
      </c>
      <c r="D1705" s="28" t="n">
        <v>46080</v>
      </c>
      <c r="E1705" t="inlineStr">
        <is>
          <t>현대EP_fast</t>
        </is>
      </c>
      <c r="F1705" t="inlineStr">
        <is>
          <t>김태임</t>
        </is>
      </c>
      <c r="G1705" t="inlineStr">
        <is>
          <t>010-3850-5744</t>
        </is>
      </c>
      <c r="H1705" t="inlineStr">
        <is>
          <t>40누1839</t>
        </is>
      </c>
      <c r="I1705" t="n">
        <v>8300000</v>
      </c>
      <c r="J1705" t="n">
        <v>0.089</v>
      </c>
      <c r="K1705" t="n">
        <v>1.76</v>
      </c>
      <c r="L1705" t="n">
        <v>0.14</v>
      </c>
      <c r="M1705" t="n">
        <v>1.62</v>
      </c>
      <c r="P1705" t="inlineStr">
        <is>
          <t>정광호</t>
        </is>
      </c>
      <c r="Q1705" t="inlineStr">
        <is>
          <t>홈서비스 24개월</t>
        </is>
      </c>
      <c r="AB1705" t="inlineStr">
        <is>
          <t>홈서비스</t>
        </is>
      </c>
      <c r="AC1705" t="n">
        <v>146080</v>
      </c>
      <c r="AD1705" t="n">
        <v>11620</v>
      </c>
      <c r="AE1705" t="n">
        <v>134460</v>
      </c>
      <c r="AF1705" t="n">
        <v>132800</v>
      </c>
      <c r="AG1705" t="n">
        <v>11236.54</v>
      </c>
      <c r="AH1705" t="n">
        <v>121563.46</v>
      </c>
      <c r="AI1705" t="n">
        <v>0</v>
      </c>
    </row>
    <row r="1706">
      <c r="A1706" t="inlineStr">
        <is>
          <t>2월</t>
        </is>
      </c>
      <c r="B1706" t="inlineStr">
        <is>
          <t>7주차</t>
        </is>
      </c>
      <c r="C1706" t="inlineStr">
        <is>
          <t>IM</t>
        </is>
      </c>
      <c r="D1706" s="28" t="n">
        <v>46062</v>
      </c>
      <c r="E1706" t="inlineStr">
        <is>
          <t>IM캐피탈</t>
        </is>
      </c>
      <c r="F1706" t="inlineStr">
        <is>
          <t>박채림</t>
        </is>
      </c>
      <c r="G1706" t="inlineStr">
        <is>
          <t>010-4918-3226</t>
        </is>
      </c>
      <c r="H1706" t="inlineStr">
        <is>
          <t>270루8918</t>
        </is>
      </c>
      <c r="I1706" t="n">
        <v>6800000</v>
      </c>
      <c r="J1706" t="n">
        <v>0.049</v>
      </c>
      <c r="K1706" t="n">
        <v>1.1</v>
      </c>
      <c r="L1706" t="n">
        <v>0.4</v>
      </c>
      <c r="M1706" t="n">
        <v>0.7</v>
      </c>
      <c r="P1706" t="inlineStr">
        <is>
          <t>장진경</t>
        </is>
      </c>
      <c r="AB1706" t="inlineStr">
        <is>
          <t>엔카</t>
        </is>
      </c>
      <c r="AC1706" t="n">
        <v>74800</v>
      </c>
      <c r="AD1706" t="n">
        <v>27200</v>
      </c>
      <c r="AE1706" t="n">
        <v>47600</v>
      </c>
      <c r="AF1706" t="n">
        <v>68000</v>
      </c>
      <c r="AG1706" t="n">
        <v>26302.4</v>
      </c>
      <c r="AH1706" t="n">
        <v>41697.6</v>
      </c>
      <c r="AI1706" t="n">
        <v>0</v>
      </c>
    </row>
    <row r="1707">
      <c r="A1707" t="inlineStr">
        <is>
          <t>2월</t>
        </is>
      </c>
      <c r="B1707" t="inlineStr">
        <is>
          <t>7주차</t>
        </is>
      </c>
      <c r="C1707" t="inlineStr">
        <is>
          <t>IM</t>
        </is>
      </c>
      <c r="D1707" s="28" t="n">
        <v>46063</v>
      </c>
      <c r="E1707" t="inlineStr">
        <is>
          <t>IM캐피탈</t>
        </is>
      </c>
      <c r="F1707" t="inlineStr">
        <is>
          <t>홍형진</t>
        </is>
      </c>
      <c r="G1707" t="n">
        <v>1031800649</v>
      </c>
      <c r="H1707" t="inlineStr">
        <is>
          <t>43루3118</t>
        </is>
      </c>
      <c r="I1707" t="n">
        <v>8000000</v>
      </c>
      <c r="J1707" t="n">
        <v>0.075</v>
      </c>
      <c r="K1707" t="n">
        <v>1.1</v>
      </c>
      <c r="L1707" t="n">
        <v>0.14</v>
      </c>
      <c r="M1707" t="n">
        <v>0.96</v>
      </c>
      <c r="P1707" t="inlineStr">
        <is>
          <t>김나윤</t>
        </is>
      </c>
      <c r="Q1707" t="inlineStr">
        <is>
          <t>홈서비스 24개월</t>
        </is>
      </c>
      <c r="AB1707" t="inlineStr">
        <is>
          <t>홈서비스</t>
        </is>
      </c>
      <c r="AC1707" t="n">
        <v>88000</v>
      </c>
      <c r="AD1707" t="n">
        <v>11200</v>
      </c>
      <c r="AE1707" t="n">
        <v>76800</v>
      </c>
      <c r="AF1707" t="n">
        <v>80000</v>
      </c>
      <c r="AG1707" t="n">
        <v>10830.4</v>
      </c>
      <c r="AH1707" t="n">
        <v>69169.60000000001</v>
      </c>
      <c r="AI1707" t="n">
        <v>0</v>
      </c>
    </row>
    <row r="1708">
      <c r="A1708" t="inlineStr">
        <is>
          <t>2월</t>
        </is>
      </c>
      <c r="B1708" t="inlineStr">
        <is>
          <t>9주차</t>
        </is>
      </c>
      <c r="C1708" t="inlineStr">
        <is>
          <t>IM</t>
        </is>
      </c>
      <c r="D1708" s="28" t="n">
        <v>46080</v>
      </c>
      <c r="E1708" t="inlineStr">
        <is>
          <t>IM캐피탈</t>
        </is>
      </c>
      <c r="F1708" t="inlineStr">
        <is>
          <t>허유진</t>
        </is>
      </c>
      <c r="G1708" t="inlineStr">
        <is>
          <t>010-2585-5983</t>
        </is>
      </c>
      <c r="H1708" t="inlineStr">
        <is>
          <t>38나4029</t>
        </is>
      </c>
      <c r="I1708" t="n">
        <v>19000000</v>
      </c>
      <c r="J1708" t="n">
        <v>0.059</v>
      </c>
      <c r="K1708" t="n">
        <v>1.1</v>
      </c>
      <c r="L1708" t="n">
        <v>0.4</v>
      </c>
      <c r="M1708" t="n">
        <v>0.7</v>
      </c>
      <c r="P1708" t="inlineStr">
        <is>
          <t>최형주</t>
        </is>
      </c>
      <c r="Q1708" t="inlineStr">
        <is>
          <t xml:space="preserve"> 홈-&gt;상사방문 진행건</t>
        </is>
      </c>
      <c r="AB1708" t="inlineStr">
        <is>
          <t>엔카</t>
        </is>
      </c>
      <c r="AC1708" t="n">
        <v>209000</v>
      </c>
      <c r="AD1708" t="n">
        <v>76000</v>
      </c>
      <c r="AE1708" t="n">
        <v>133000</v>
      </c>
      <c r="AF1708" t="n">
        <v>190000</v>
      </c>
      <c r="AG1708" t="n">
        <v>73492</v>
      </c>
      <c r="AH1708" t="n">
        <v>116508</v>
      </c>
      <c r="AI1708" t="n">
        <v>0</v>
      </c>
    </row>
    <row r="1709">
      <c r="A1709" t="inlineStr">
        <is>
          <t>2월</t>
        </is>
      </c>
      <c r="B1709" t="inlineStr">
        <is>
          <t>7주차</t>
        </is>
      </c>
      <c r="C1709" t="inlineStr">
        <is>
          <t>EP</t>
        </is>
      </c>
      <c r="D1709" s="28" t="n">
        <v>46063</v>
      </c>
      <c r="E1709" t="inlineStr">
        <is>
          <t>현대EP</t>
        </is>
      </c>
      <c r="F1709" t="inlineStr">
        <is>
          <t>오석관</t>
        </is>
      </c>
      <c r="G1709" t="inlineStr">
        <is>
          <t>010-5549-0569</t>
        </is>
      </c>
      <c r="H1709" t="inlineStr">
        <is>
          <t>73수6716</t>
        </is>
      </c>
      <c r="I1709" t="n">
        <v>22800000</v>
      </c>
      <c r="J1709" t="n">
        <v>0.111</v>
      </c>
      <c r="K1709" t="n">
        <v>1.76</v>
      </c>
      <c r="L1709" t="n">
        <v>0.14</v>
      </c>
      <c r="M1709" t="n">
        <v>1.62</v>
      </c>
      <c r="P1709" t="inlineStr">
        <is>
          <t>김나윤</t>
        </is>
      </c>
      <c r="Q1709" t="inlineStr">
        <is>
          <t>홈서비스 60개월</t>
        </is>
      </c>
      <c r="AB1709" t="inlineStr">
        <is>
          <t>홈서비스</t>
        </is>
      </c>
      <c r="AC1709" t="n">
        <v>401280</v>
      </c>
      <c r="AD1709" t="n">
        <v>31920</v>
      </c>
      <c r="AE1709" t="n">
        <v>369360</v>
      </c>
      <c r="AF1709" t="n">
        <v>364800</v>
      </c>
      <c r="AG1709" t="n">
        <v>30866.64</v>
      </c>
      <c r="AH1709" t="n">
        <v>333933.36</v>
      </c>
      <c r="AI1709" t="n">
        <v>0</v>
      </c>
    </row>
    <row r="1710">
      <c r="A1710" t="inlineStr">
        <is>
          <t>2월</t>
        </is>
      </c>
      <c r="B1710" t="inlineStr">
        <is>
          <t>7주차</t>
        </is>
      </c>
      <c r="C1710" t="inlineStr">
        <is>
          <t>EP</t>
        </is>
      </c>
      <c r="D1710" s="28" t="n">
        <v>46063</v>
      </c>
      <c r="E1710" t="inlineStr">
        <is>
          <t>현대EP_fast</t>
        </is>
      </c>
      <c r="F1710" t="inlineStr">
        <is>
          <t>조증한</t>
        </is>
      </c>
      <c r="G1710" t="inlineStr">
        <is>
          <t>010-3866-8218</t>
        </is>
      </c>
      <c r="H1710" t="inlineStr">
        <is>
          <t>62다9645</t>
        </is>
      </c>
      <c r="I1710" t="n">
        <v>14900000</v>
      </c>
      <c r="J1710" t="n">
        <v>0.131</v>
      </c>
      <c r="K1710" t="n">
        <v>1.76</v>
      </c>
      <c r="L1710" t="n">
        <v>0.4</v>
      </c>
      <c r="M1710" t="n">
        <v>1.36</v>
      </c>
      <c r="P1710" t="inlineStr">
        <is>
          <t>최혁</t>
        </is>
      </c>
      <c r="AB1710" t="inlineStr">
        <is>
          <t>엔카</t>
        </is>
      </c>
      <c r="AC1710" t="n">
        <v>262240</v>
      </c>
      <c r="AD1710" t="n">
        <v>59600</v>
      </c>
      <c r="AE1710" t="n">
        <v>202640</v>
      </c>
      <c r="AF1710" t="n">
        <v>238400</v>
      </c>
      <c r="AG1710" t="n">
        <v>57633.2</v>
      </c>
      <c r="AH1710" t="n">
        <v>180766.8</v>
      </c>
      <c r="AI1710" t="n">
        <v>0</v>
      </c>
    </row>
    <row r="1711">
      <c r="A1711" t="inlineStr">
        <is>
          <t>2월</t>
        </is>
      </c>
      <c r="B1711" t="inlineStr">
        <is>
          <t>9주차</t>
        </is>
      </c>
      <c r="C1711" t="inlineStr">
        <is>
          <t>EP</t>
        </is>
      </c>
      <c r="D1711" s="28" t="n">
        <v>46080</v>
      </c>
      <c r="E1711" t="inlineStr">
        <is>
          <t>제이비EP</t>
        </is>
      </c>
      <c r="F1711" t="inlineStr">
        <is>
          <t>석설아</t>
        </is>
      </c>
      <c r="G1711" t="inlineStr">
        <is>
          <t>010-7425-4224</t>
        </is>
      </c>
      <c r="H1711" t="inlineStr">
        <is>
          <t>169소6625</t>
        </is>
      </c>
      <c r="I1711" t="n">
        <v>38100000</v>
      </c>
      <c r="J1711" t="n">
        <v>0.092</v>
      </c>
      <c r="K1711" t="n">
        <v>1.65</v>
      </c>
      <c r="L1711" t="n">
        <v>0.4</v>
      </c>
      <c r="M1711" t="n">
        <v>1.25</v>
      </c>
      <c r="P1711" t="inlineStr">
        <is>
          <t>박현민</t>
        </is>
      </c>
      <c r="AB1711" t="inlineStr">
        <is>
          <t>엔카</t>
        </is>
      </c>
      <c r="AC1711" t="n">
        <v>628650</v>
      </c>
      <c r="AD1711" t="n">
        <v>152400</v>
      </c>
      <c r="AE1711" t="n">
        <v>476250</v>
      </c>
      <c r="AF1711" t="n">
        <v>571500</v>
      </c>
      <c r="AG1711" t="n">
        <v>147370.8</v>
      </c>
      <c r="AH1711" t="n">
        <v>424129.2</v>
      </c>
      <c r="AI1711" t="n">
        <v>0</v>
      </c>
    </row>
    <row r="1712">
      <c r="A1712" t="inlineStr">
        <is>
          <t>2월</t>
        </is>
      </c>
      <c r="B1712" t="inlineStr">
        <is>
          <t>9주차</t>
        </is>
      </c>
      <c r="C1712" t="inlineStr">
        <is>
          <t>OR</t>
        </is>
      </c>
      <c r="D1712" s="28" t="n">
        <v>46077</v>
      </c>
      <c r="E1712" t="inlineStr">
        <is>
          <t>오릭스</t>
        </is>
      </c>
      <c r="F1712" t="inlineStr">
        <is>
          <t>김진영</t>
        </is>
      </c>
      <c r="G1712" t="inlineStr">
        <is>
          <t>010-3699-2567</t>
        </is>
      </c>
      <c r="H1712" t="inlineStr">
        <is>
          <t>370러6002</t>
        </is>
      </c>
      <c r="I1712" t="n">
        <v>20000000</v>
      </c>
      <c r="J1712" t="n">
        <v>0.07199999999999999</v>
      </c>
      <c r="K1712" t="n">
        <v>1.65</v>
      </c>
      <c r="L1712" t="n">
        <v>0.14</v>
      </c>
      <c r="M1712" t="n">
        <v>1.51</v>
      </c>
      <c r="P1712" t="inlineStr">
        <is>
          <t>정세빈</t>
        </is>
      </c>
      <c r="Q1712" t="inlineStr">
        <is>
          <t>홈서비스 60개월</t>
        </is>
      </c>
      <c r="AB1712" t="inlineStr">
        <is>
          <t>홈서비스</t>
        </is>
      </c>
      <c r="AC1712" t="n">
        <v>330000</v>
      </c>
      <c r="AD1712" t="n">
        <v>28000</v>
      </c>
      <c r="AE1712" t="n">
        <v>302000</v>
      </c>
      <c r="AF1712" t="n">
        <v>300000</v>
      </c>
      <c r="AG1712" t="n">
        <v>27076</v>
      </c>
      <c r="AH1712" t="n">
        <v>272924</v>
      </c>
      <c r="AI1712" t="n">
        <v>0</v>
      </c>
    </row>
    <row r="1713">
      <c r="A1713" t="inlineStr">
        <is>
          <t>2월</t>
        </is>
      </c>
      <c r="B1713" t="inlineStr">
        <is>
          <t>9주차</t>
        </is>
      </c>
      <c r="C1713" t="inlineStr">
        <is>
          <t>IM</t>
        </is>
      </c>
      <c r="D1713" s="28" t="n">
        <v>46080</v>
      </c>
      <c r="E1713" t="inlineStr">
        <is>
          <t>IM캐피탈</t>
        </is>
      </c>
      <c r="F1713" t="inlineStr">
        <is>
          <t>강주완</t>
        </is>
      </c>
      <c r="G1713" t="inlineStr">
        <is>
          <t>010-9442-2890</t>
        </is>
      </c>
      <c r="H1713" t="inlineStr">
        <is>
          <t>01우1692</t>
        </is>
      </c>
      <c r="I1713" t="n">
        <v>17600000</v>
      </c>
      <c r="J1713" t="n">
        <v>0.059</v>
      </c>
      <c r="K1713" t="n">
        <v>1.1</v>
      </c>
      <c r="L1713" t="n">
        <v>0.14</v>
      </c>
      <c r="M1713" t="n">
        <v>0.96</v>
      </c>
      <c r="P1713" t="inlineStr">
        <is>
          <t>김나윤</t>
        </is>
      </c>
      <c r="Q1713" t="inlineStr">
        <is>
          <t>홈서비스 84개월</t>
        </is>
      </c>
      <c r="AB1713" t="inlineStr">
        <is>
          <t>홈서비스</t>
        </is>
      </c>
      <c r="AC1713" t="n">
        <v>193600</v>
      </c>
      <c r="AD1713" t="n">
        <v>24640</v>
      </c>
      <c r="AE1713" t="n">
        <v>168960</v>
      </c>
      <c r="AF1713" t="n">
        <v>176000</v>
      </c>
      <c r="AG1713" t="n">
        <v>23826.88</v>
      </c>
      <c r="AH1713" t="n">
        <v>152173.12</v>
      </c>
      <c r="AI1713" t="n">
        <v>0</v>
      </c>
    </row>
    <row r="1714">
      <c r="A1714" t="inlineStr">
        <is>
          <t>2월</t>
        </is>
      </c>
      <c r="B1714" t="inlineStr">
        <is>
          <t>9주차</t>
        </is>
      </c>
      <c r="C1714" t="inlineStr">
        <is>
          <t>IM</t>
        </is>
      </c>
      <c r="D1714" s="28" t="n">
        <v>46079</v>
      </c>
      <c r="E1714" t="inlineStr">
        <is>
          <t>IM캐피탈</t>
        </is>
      </c>
      <c r="F1714" t="inlineStr">
        <is>
          <t>박현준</t>
        </is>
      </c>
      <c r="G1714" t="inlineStr">
        <is>
          <t>010-8881-0237</t>
        </is>
      </c>
      <c r="H1714" t="inlineStr">
        <is>
          <t>170누7551</t>
        </is>
      </c>
      <c r="I1714" t="n">
        <v>47900000</v>
      </c>
      <c r="J1714" t="n">
        <v>0.049</v>
      </c>
      <c r="K1714" t="n">
        <v>1.1</v>
      </c>
      <c r="L1714" t="n">
        <v>0.14</v>
      </c>
      <c r="M1714" t="n">
        <v>0.96</v>
      </c>
      <c r="P1714" t="inlineStr">
        <is>
          <t>장현경</t>
        </is>
      </c>
      <c r="Q1714" t="inlineStr">
        <is>
          <t>선상담  /홈서비스 72개월</t>
        </is>
      </c>
      <c r="AB1714" t="inlineStr">
        <is>
          <t>홈서비스</t>
        </is>
      </c>
      <c r="AC1714" t="n">
        <v>526900</v>
      </c>
      <c r="AD1714" t="n">
        <v>67060</v>
      </c>
      <c r="AE1714" t="n">
        <v>459840</v>
      </c>
      <c r="AF1714" t="n">
        <v>479000</v>
      </c>
      <c r="AG1714" t="n">
        <v>64847.02</v>
      </c>
      <c r="AH1714" t="n">
        <v>414152.98</v>
      </c>
      <c r="AI1714" t="n">
        <v>0</v>
      </c>
    </row>
    <row r="1715">
      <c r="A1715" t="inlineStr">
        <is>
          <t>2월</t>
        </is>
      </c>
      <c r="B1715" t="inlineStr">
        <is>
          <t>9주차</t>
        </is>
      </c>
      <c r="C1715" t="inlineStr">
        <is>
          <t>IM</t>
        </is>
      </c>
      <c r="D1715" s="28" t="n">
        <v>46080</v>
      </c>
      <c r="E1715" t="inlineStr">
        <is>
          <t>IM캐피탈</t>
        </is>
      </c>
      <c r="F1715" t="inlineStr">
        <is>
          <t>김대일</t>
        </is>
      </c>
      <c r="G1715" t="inlineStr">
        <is>
          <t>010-4202-4688</t>
        </is>
      </c>
      <c r="H1715" t="inlineStr">
        <is>
          <t>191모3240</t>
        </is>
      </c>
      <c r="I1715" t="n">
        <v>64200000</v>
      </c>
      <c r="J1715" t="n">
        <v>0.039</v>
      </c>
      <c r="K1715" t="n">
        <v>1.21</v>
      </c>
      <c r="L1715" t="n">
        <v>0.14</v>
      </c>
      <c r="M1715" t="n">
        <v>1.07</v>
      </c>
      <c r="P1715" t="inlineStr">
        <is>
          <t>김나윤</t>
        </is>
      </c>
      <c r="Q1715" t="inlineStr">
        <is>
          <t>홈서비스 60개월</t>
        </is>
      </c>
      <c r="AB1715" t="inlineStr">
        <is>
          <t>홈서비스</t>
        </is>
      </c>
      <c r="AC1715" t="n">
        <v>776820</v>
      </c>
      <c r="AD1715" t="n">
        <v>89880</v>
      </c>
      <c r="AE1715" t="n">
        <v>686940</v>
      </c>
      <c r="AF1715" t="n">
        <v>706200</v>
      </c>
      <c r="AG1715" t="n">
        <v>86913.96000000001</v>
      </c>
      <c r="AH1715" t="n">
        <v>619286.04</v>
      </c>
      <c r="AI1715" t="n">
        <v>0</v>
      </c>
    </row>
    <row r="1716">
      <c r="A1716" t="inlineStr">
        <is>
          <t>2월</t>
        </is>
      </c>
      <c r="B1716" t="inlineStr">
        <is>
          <t>9주차</t>
        </is>
      </c>
      <c r="C1716" t="inlineStr">
        <is>
          <t>EP</t>
        </is>
      </c>
      <c r="D1716" s="28" t="n">
        <v>46079</v>
      </c>
      <c r="E1716" t="inlineStr">
        <is>
          <t>현대EP_fast</t>
        </is>
      </c>
      <c r="F1716" t="inlineStr">
        <is>
          <t>임용수</t>
        </is>
      </c>
      <c r="G1716" t="inlineStr">
        <is>
          <t>010-4198-1919</t>
        </is>
      </c>
      <c r="H1716" t="inlineStr">
        <is>
          <t>343누3303</t>
        </is>
      </c>
      <c r="I1716" t="n">
        <v>15800000</v>
      </c>
      <c r="J1716" t="n">
        <v>0.136</v>
      </c>
      <c r="K1716" t="n">
        <v>1.76</v>
      </c>
      <c r="L1716" t="n">
        <v>0.14</v>
      </c>
      <c r="M1716" t="n">
        <v>1.62</v>
      </c>
      <c r="P1716" t="inlineStr">
        <is>
          <t>장진경</t>
        </is>
      </c>
      <c r="Q1716" t="inlineStr">
        <is>
          <t>선상담 홈서비스 48개월 / 금리인하 0.5% 적용건 (14.1 &gt; 13.6)</t>
        </is>
      </c>
      <c r="AB1716" t="inlineStr">
        <is>
          <t>홈서비스</t>
        </is>
      </c>
      <c r="AC1716" t="n">
        <v>278080</v>
      </c>
      <c r="AD1716" t="n">
        <v>22120</v>
      </c>
      <c r="AE1716" t="n">
        <v>255960</v>
      </c>
      <c r="AF1716" t="n">
        <v>252800</v>
      </c>
      <c r="AG1716" t="n">
        <v>21390.04</v>
      </c>
      <c r="AH1716" t="n">
        <v>231409.96</v>
      </c>
      <c r="AI1716" t="n">
        <v>0</v>
      </c>
    </row>
    <row r="1717">
      <c r="A1717" t="inlineStr">
        <is>
          <t>1월</t>
        </is>
      </c>
      <c r="B1717" t="inlineStr">
        <is>
          <t>4주차</t>
        </is>
      </c>
      <c r="C1717" t="inlineStr">
        <is>
          <t>상환</t>
        </is>
      </c>
      <c r="D1717" t="inlineStr">
        <is>
          <t>2026-01-23</t>
        </is>
      </c>
      <c r="E1717" t="inlineStr">
        <is>
          <t>현대EP상환</t>
        </is>
      </c>
      <c r="F1717" t="inlineStr">
        <is>
          <t>유은상</t>
        </is>
      </c>
      <c r="G1717" t="inlineStr">
        <is>
          <t>010-2314-1569</t>
        </is>
      </c>
      <c r="H1717" t="inlineStr">
        <is>
          <t>49두8698</t>
        </is>
      </c>
      <c r="I1717" t="n">
        <v>-9600000</v>
      </c>
      <c r="J1717" t="n">
        <v>0.065</v>
      </c>
      <c r="K1717" t="n">
        <v>1.76</v>
      </c>
      <c r="L1717" t="n">
        <v>0.13</v>
      </c>
      <c r="M1717" t="n">
        <v>1.63</v>
      </c>
      <c r="P1717" t="inlineStr">
        <is>
          <t>정광호</t>
        </is>
      </c>
      <c r="Q1717" t="inlineStr">
        <is>
          <t>홈서비스 60개월 /*당월철회 20260122</t>
        </is>
      </c>
      <c r="AB1717" t="inlineStr">
        <is>
          <t>홈서비스</t>
        </is>
      </c>
      <c r="AC1717" t="n">
        <v>-168960</v>
      </c>
      <c r="AD1717" t="n">
        <v>-12480</v>
      </c>
      <c r="AE1717" t="n">
        <v>-156480</v>
      </c>
      <c r="AF1717" t="n">
        <v>-153600</v>
      </c>
      <c r="AG1717" t="n">
        <v>-12068.16</v>
      </c>
      <c r="AH1717" t="n">
        <v>-141531.84</v>
      </c>
      <c r="AI1717" t="n">
        <v>0</v>
      </c>
      <c r="AK1717" t="inlineStr">
        <is>
          <t>대출철회</t>
        </is>
      </c>
    </row>
    <row r="1718">
      <c r="A1718" t="inlineStr">
        <is>
          <t>1월</t>
        </is>
      </c>
      <c r="B1718" t="inlineStr">
        <is>
          <t>5주차</t>
        </is>
      </c>
      <c r="C1718" t="inlineStr">
        <is>
          <t>상환</t>
        </is>
      </c>
      <c r="D1718" t="inlineStr">
        <is>
          <t>2026-01-26</t>
        </is>
      </c>
      <c r="E1718" t="inlineStr">
        <is>
          <t>현대EP_fast상환</t>
        </is>
      </c>
      <c r="F1718" t="inlineStr">
        <is>
          <t>최영국</t>
        </is>
      </c>
      <c r="G1718" t="inlineStr">
        <is>
          <t>010-7421-6020</t>
        </is>
      </c>
      <c r="H1718" t="inlineStr">
        <is>
          <t>69소0639</t>
        </is>
      </c>
      <c r="I1718" t="n">
        <v>-4400000</v>
      </c>
      <c r="J1718" t="n">
        <v>0.08699999999999999</v>
      </c>
      <c r="K1718" t="n">
        <v>1.76</v>
      </c>
      <c r="L1718" t="n">
        <v>0.13</v>
      </c>
      <c r="M1718" t="n">
        <v>1.63</v>
      </c>
      <c r="P1718" t="inlineStr">
        <is>
          <t>황채이</t>
        </is>
      </c>
      <c r="Q1718" t="inlineStr">
        <is>
          <t>홈서비스 24개월 /*당월철회 20260116</t>
        </is>
      </c>
      <c r="AB1718" t="inlineStr">
        <is>
          <t>홈서비스</t>
        </is>
      </c>
      <c r="AC1718" t="n">
        <v>-77440</v>
      </c>
      <c r="AD1718" t="n">
        <v>-5720</v>
      </c>
      <c r="AE1718" t="n">
        <v>-71720</v>
      </c>
      <c r="AF1718" t="n">
        <v>-70400</v>
      </c>
      <c r="AG1718" t="n">
        <v>-5531.24</v>
      </c>
      <c r="AH1718" t="n">
        <v>-64868.76</v>
      </c>
      <c r="AI1718" t="n">
        <v>0</v>
      </c>
      <c r="AK1718" t="inlineStr">
        <is>
          <t>대출철회</t>
        </is>
      </c>
    </row>
    <row r="1719">
      <c r="A1719" t="inlineStr">
        <is>
          <t>5월</t>
        </is>
      </c>
      <c r="B1719" t="inlineStr">
        <is>
          <t>22주차</t>
        </is>
      </c>
      <c r="C1719" t="inlineStr">
        <is>
          <t>EP</t>
        </is>
      </c>
      <c r="D1719" s="28" t="n">
        <v>46169</v>
      </c>
      <c r="E1719" t="inlineStr">
        <is>
          <t>현대EP_fast</t>
        </is>
      </c>
      <c r="F1719" t="inlineStr">
        <is>
          <t>박양섭</t>
        </is>
      </c>
      <c r="G1719" t="inlineStr">
        <is>
          <t>010-5239-0444</t>
        </is>
      </c>
      <c r="H1719" t="inlineStr">
        <is>
          <t>17너6426</t>
        </is>
      </c>
      <c r="I1719" t="n">
        <v>19900000</v>
      </c>
      <c r="J1719" t="n">
        <v>0.08699999999999999</v>
      </c>
      <c r="K1719" t="n">
        <v>1.76</v>
      </c>
      <c r="L1719" t="n">
        <v>0.14</v>
      </c>
      <c r="M1719" t="n">
        <v>1.62</v>
      </c>
      <c r="P1719" t="inlineStr">
        <is>
          <t>박현민</t>
        </is>
      </c>
      <c r="Q1719" t="inlineStr">
        <is>
          <t>홈서비스 60개월</t>
        </is>
      </c>
      <c r="AB1719" t="inlineStr">
        <is>
          <t>홈서비스</t>
        </is>
      </c>
      <c r="AC1719" t="n">
        <v>350240</v>
      </c>
      <c r="AD1719" t="n">
        <v>27860</v>
      </c>
      <c r="AE1719" t="n">
        <v>322380</v>
      </c>
      <c r="AF1719" t="n">
        <v>318400</v>
      </c>
      <c r="AG1719" t="n">
        <v>26940.62</v>
      </c>
      <c r="AH1719" t="n">
        <v>291459.38</v>
      </c>
      <c r="AI1719" t="n">
        <v>0</v>
      </c>
    </row>
    <row r="1720">
      <c r="A1720" t="inlineStr">
        <is>
          <t>5월</t>
        </is>
      </c>
      <c r="B1720" t="inlineStr">
        <is>
          <t>21주차</t>
        </is>
      </c>
      <c r="C1720" t="inlineStr">
        <is>
          <t>EP</t>
        </is>
      </c>
      <c r="D1720" s="28" t="n">
        <v>46163</v>
      </c>
      <c r="E1720" t="inlineStr">
        <is>
          <t>현대EP</t>
        </is>
      </c>
      <c r="F1720" t="inlineStr">
        <is>
          <t>이정길</t>
        </is>
      </c>
      <c r="G1720" t="inlineStr">
        <is>
          <t>010-7299-1837</t>
        </is>
      </c>
      <c r="H1720" t="inlineStr">
        <is>
          <t>17보6499</t>
        </is>
      </c>
      <c r="I1720" t="n">
        <v>20900000</v>
      </c>
      <c r="J1720" t="n">
        <v>0.062</v>
      </c>
      <c r="K1720" t="n">
        <v>1.76</v>
      </c>
      <c r="L1720" t="n">
        <v>0.14</v>
      </c>
      <c r="M1720" t="n">
        <v>1.62</v>
      </c>
      <c r="P1720" t="inlineStr">
        <is>
          <t>최형주</t>
        </is>
      </c>
      <c r="AB1720" t="inlineStr">
        <is>
          <t>홈서비스</t>
        </is>
      </c>
      <c r="AC1720" t="n">
        <v>367840</v>
      </c>
      <c r="AD1720" t="n">
        <v>29260</v>
      </c>
      <c r="AE1720" t="n">
        <v>338580</v>
      </c>
      <c r="AF1720" t="n">
        <v>334400</v>
      </c>
      <c r="AG1720" t="n">
        <v>28294.42</v>
      </c>
      <c r="AH1720" t="n">
        <v>306105.58</v>
      </c>
    </row>
    <row r="1721">
      <c r="A1721" t="inlineStr">
        <is>
          <t>5월</t>
        </is>
      </c>
      <c r="B1721" t="inlineStr">
        <is>
          <t>22주차</t>
        </is>
      </c>
      <c r="C1721" t="inlineStr">
        <is>
          <t>EP</t>
        </is>
      </c>
      <c r="D1721" s="28" t="n">
        <v>46169</v>
      </c>
      <c r="E1721" t="inlineStr">
        <is>
          <t>현대EP_fast</t>
        </is>
      </c>
      <c r="F1721" t="inlineStr">
        <is>
          <t>김선범</t>
        </is>
      </c>
      <c r="G1721" t="inlineStr">
        <is>
          <t>010-2168-7116</t>
        </is>
      </c>
      <c r="H1721" t="inlineStr">
        <is>
          <t>143하6873</t>
        </is>
      </c>
      <c r="I1721" t="n">
        <v>23400000</v>
      </c>
      <c r="J1721" t="n">
        <v>0.089</v>
      </c>
      <c r="K1721" t="n">
        <v>1.76</v>
      </c>
      <c r="L1721" t="n">
        <v>0.14</v>
      </c>
      <c r="M1721" t="n">
        <v>1.62</v>
      </c>
      <c r="P1721" t="inlineStr">
        <is>
          <t>김나윤</t>
        </is>
      </c>
      <c r="Q1721" t="inlineStr">
        <is>
          <t>홈서비스 48개월</t>
        </is>
      </c>
      <c r="AB1721" t="inlineStr">
        <is>
          <t>홈서비스</t>
        </is>
      </c>
      <c r="AC1721" t="n">
        <v>411840</v>
      </c>
      <c r="AD1721" t="n">
        <v>32760</v>
      </c>
      <c r="AE1721" t="n">
        <v>379080</v>
      </c>
      <c r="AF1721" t="n">
        <v>374400</v>
      </c>
      <c r="AG1721" t="n">
        <v>31678.92</v>
      </c>
      <c r="AH1721" t="n">
        <v>342721.08</v>
      </c>
    </row>
    <row r="1722">
      <c r="A1722" t="inlineStr">
        <is>
          <t>1월</t>
        </is>
      </c>
      <c r="B1722" t="inlineStr">
        <is>
          <t>3주차</t>
        </is>
      </c>
      <c r="C1722" t="inlineStr">
        <is>
          <t>상환</t>
        </is>
      </c>
      <c r="D1722" t="inlineStr">
        <is>
          <t>2026-01-13</t>
        </is>
      </c>
      <c r="E1722" t="inlineStr">
        <is>
          <t>현대EP_fast상환</t>
        </is>
      </c>
      <c r="F1722" t="inlineStr">
        <is>
          <t>김환수</t>
        </is>
      </c>
      <c r="G1722" t="inlineStr">
        <is>
          <t>010-4138-0439</t>
        </is>
      </c>
      <c r="H1722" t="inlineStr">
        <is>
          <t>66소4982</t>
        </is>
      </c>
      <c r="I1722" t="n">
        <v>-32900000</v>
      </c>
      <c r="J1722" t="n">
        <v>0.067</v>
      </c>
      <c r="K1722" t="n">
        <v>1.76</v>
      </c>
      <c r="L1722" t="n">
        <v>0.13</v>
      </c>
      <c r="M1722" t="n">
        <v>1.63</v>
      </c>
      <c r="P1722" t="inlineStr">
        <is>
          <t>황채이</t>
        </is>
      </c>
      <c r="Q1722" t="inlineStr">
        <is>
          <t>홈서비스 48개월 /*당월철회 20260123</t>
        </is>
      </c>
      <c r="AB1722" t="inlineStr">
        <is>
          <t>홈서비스</t>
        </is>
      </c>
      <c r="AC1722" t="n">
        <v>-579040</v>
      </c>
      <c r="AD1722" t="n">
        <v>-42770</v>
      </c>
      <c r="AE1722" t="n">
        <v>-536270</v>
      </c>
      <c r="AF1722" t="n">
        <v>-526400</v>
      </c>
      <c r="AG1722" t="n">
        <v>-41358.59</v>
      </c>
      <c r="AH1722" t="n">
        <v>-485041.41</v>
      </c>
      <c r="AI1722" t="n">
        <v>0</v>
      </c>
      <c r="AK1722" t="inlineStr">
        <is>
          <t>대출철회</t>
        </is>
      </c>
    </row>
    <row r="1723">
      <c r="A1723" t="inlineStr">
        <is>
          <t>1월</t>
        </is>
      </c>
      <c r="B1723" t="inlineStr">
        <is>
          <t>2주차</t>
        </is>
      </c>
      <c r="C1723" t="inlineStr">
        <is>
          <t>상환</t>
        </is>
      </c>
      <c r="D1723" t="inlineStr">
        <is>
          <t>2026-01-09</t>
        </is>
      </c>
      <c r="E1723" t="inlineStr">
        <is>
          <t>현대EP_fast상환</t>
        </is>
      </c>
      <c r="F1723" t="inlineStr">
        <is>
          <t>이원철</t>
        </is>
      </c>
      <c r="G1723" t="inlineStr">
        <is>
          <t>010-3003-9431</t>
        </is>
      </c>
      <c r="H1723" t="inlineStr">
        <is>
          <t>183루1010</t>
        </is>
      </c>
      <c r="I1723" t="n">
        <v>-11000000</v>
      </c>
      <c r="J1723" t="n">
        <v>0.075</v>
      </c>
      <c r="K1723" t="n">
        <v>1.76</v>
      </c>
      <c r="L1723" t="n">
        <v>0.13</v>
      </c>
      <c r="M1723" t="n">
        <v>1.63</v>
      </c>
      <c r="P1723" t="inlineStr">
        <is>
          <t>최형주</t>
        </is>
      </c>
      <c r="Q1723" t="inlineStr">
        <is>
          <t>홈서비스 60개월 /*당월철회 20260126</t>
        </is>
      </c>
      <c r="AB1723" t="inlineStr">
        <is>
          <t>홈서비스</t>
        </is>
      </c>
      <c r="AC1723" t="n">
        <v>-193600</v>
      </c>
      <c r="AD1723" t="n">
        <v>-14300</v>
      </c>
      <c r="AE1723" t="n">
        <v>-179300</v>
      </c>
      <c r="AF1723" t="n">
        <v>-176000</v>
      </c>
      <c r="AG1723" t="n">
        <v>-13828.1</v>
      </c>
      <c r="AH1723" t="n">
        <v>-162171.9</v>
      </c>
      <c r="AK1723" t="inlineStr">
        <is>
          <t>대출철회</t>
        </is>
      </c>
    </row>
    <row r="1724">
      <c r="A1724" t="inlineStr">
        <is>
          <t>5월</t>
        </is>
      </c>
      <c r="B1724" t="inlineStr">
        <is>
          <t>21주차</t>
        </is>
      </c>
      <c r="C1724" t="inlineStr">
        <is>
          <t>EP</t>
        </is>
      </c>
      <c r="D1724" s="28" t="n">
        <v>46162</v>
      </c>
      <c r="E1724" t="inlineStr">
        <is>
          <t>제이비EP</t>
        </is>
      </c>
      <c r="F1724" t="inlineStr">
        <is>
          <t>김형진</t>
        </is>
      </c>
      <c r="G1724" t="inlineStr">
        <is>
          <t>010-6345-5076</t>
        </is>
      </c>
      <c r="H1724" t="inlineStr">
        <is>
          <t>377라7262</t>
        </is>
      </c>
      <c r="I1724" t="n">
        <v>66500000</v>
      </c>
      <c r="J1724" t="n">
        <v>0.06900000000000001</v>
      </c>
      <c r="K1724" t="n">
        <v>1.65</v>
      </c>
      <c r="L1724" t="n">
        <v>0.4</v>
      </c>
      <c r="M1724" t="n">
        <v>1.25</v>
      </c>
      <c r="P1724" t="inlineStr">
        <is>
          <t>박보람</t>
        </is>
      </c>
      <c r="Q1724" t="inlineStr">
        <is>
          <t>법인할부 / (주)지엠</t>
        </is>
      </c>
      <c r="AB1724" t="inlineStr">
        <is>
          <t>엔카</t>
        </is>
      </c>
      <c r="AC1724" t="n">
        <v>1097250</v>
      </c>
      <c r="AD1724" t="n">
        <v>266000</v>
      </c>
      <c r="AE1724" t="n">
        <v>831250</v>
      </c>
      <c r="AF1724" t="n">
        <v>997500</v>
      </c>
      <c r="AG1724" t="n">
        <v>257222</v>
      </c>
      <c r="AH1724" t="n">
        <v>740278</v>
      </c>
      <c r="AI1724" t="n">
        <v>0</v>
      </c>
    </row>
    <row r="1725">
      <c r="A1725" t="inlineStr">
        <is>
          <t>5월</t>
        </is>
      </c>
      <c r="B1725" t="inlineStr">
        <is>
          <t>22주차</t>
        </is>
      </c>
      <c r="C1725" t="inlineStr">
        <is>
          <t>IM</t>
        </is>
      </c>
      <c r="D1725" s="28" t="n">
        <v>46169</v>
      </c>
      <c r="E1725" t="inlineStr">
        <is>
          <t>IM캐피탈</t>
        </is>
      </c>
      <c r="F1725" t="inlineStr">
        <is>
          <t>강세형</t>
        </is>
      </c>
      <c r="G1725" t="inlineStr">
        <is>
          <t>010-3557-5776</t>
        </is>
      </c>
      <c r="H1725" t="inlineStr">
        <is>
          <t>26가7606</t>
        </is>
      </c>
      <c r="I1725" t="n">
        <v>56000000</v>
      </c>
      <c r="J1725" t="n">
        <v>0.07099999999999999</v>
      </c>
      <c r="K1725" t="n">
        <v>1.1</v>
      </c>
      <c r="L1725" t="n">
        <v>0.14</v>
      </c>
      <c r="M1725" t="n">
        <v>0.96</v>
      </c>
      <c r="P1725" t="inlineStr">
        <is>
          <t>황채이</t>
        </is>
      </c>
      <c r="Q1725" t="inlineStr">
        <is>
          <t>홈서비스 72개월</t>
        </is>
      </c>
      <c r="AB1725" t="inlineStr">
        <is>
          <t>홈서비스</t>
        </is>
      </c>
      <c r="AC1725" t="n">
        <v>616000</v>
      </c>
      <c r="AD1725" t="n">
        <v>78400</v>
      </c>
      <c r="AE1725" t="n">
        <v>537600</v>
      </c>
      <c r="AF1725" t="n">
        <v>560000</v>
      </c>
      <c r="AG1725" t="n">
        <v>75812.8</v>
      </c>
      <c r="AH1725" t="n">
        <v>484187.2</v>
      </c>
    </row>
    <row r="1726">
      <c r="A1726" t="inlineStr">
        <is>
          <t>1월</t>
        </is>
      </c>
      <c r="B1726" t="inlineStr">
        <is>
          <t>2주차</t>
        </is>
      </c>
      <c r="C1726" t="inlineStr">
        <is>
          <t>OR</t>
        </is>
      </c>
      <c r="D1726" s="28" t="n">
        <v>46030</v>
      </c>
      <c r="E1726" t="inlineStr">
        <is>
          <t>오릭스</t>
        </is>
      </c>
      <c r="F1726" t="inlineStr">
        <is>
          <t>이지수</t>
        </is>
      </c>
      <c r="G1726" t="inlineStr">
        <is>
          <t>010-2865-2912</t>
        </is>
      </c>
      <c r="H1726" t="inlineStr">
        <is>
          <t>111주4275</t>
        </is>
      </c>
      <c r="I1726" t="n">
        <v>-9800000</v>
      </c>
      <c r="J1726" t="n">
        <v>0.059</v>
      </c>
      <c r="K1726" t="n">
        <v>1.65</v>
      </c>
      <c r="L1726" t="n">
        <v>0.13</v>
      </c>
      <c r="M1726" t="n">
        <v>1.52</v>
      </c>
      <c r="P1726" t="inlineStr">
        <is>
          <t>황채이</t>
        </is>
      </c>
      <c r="Q1726" t="inlineStr">
        <is>
          <t>홈서비스 60개월 / *철회 20260114</t>
        </is>
      </c>
      <c r="AB1726" t="inlineStr">
        <is>
          <t>홈서비스</t>
        </is>
      </c>
      <c r="AC1726" t="n">
        <v>-161700</v>
      </c>
      <c r="AD1726" t="n">
        <v>-12740</v>
      </c>
      <c r="AE1726" t="n">
        <v>-148960</v>
      </c>
      <c r="AF1726" t="n">
        <v>-147000</v>
      </c>
      <c r="AG1726" t="n">
        <v>-12319.58</v>
      </c>
      <c r="AH1726" t="n">
        <v>-134680.42</v>
      </c>
      <c r="AI1726" t="n">
        <v>0</v>
      </c>
      <c r="AK1726" t="inlineStr">
        <is>
          <t>대출철회</t>
        </is>
      </c>
    </row>
    <row r="1727">
      <c r="A1727" t="inlineStr">
        <is>
          <t>1월</t>
        </is>
      </c>
      <c r="B1727" t="inlineStr">
        <is>
          <t>4주차</t>
        </is>
      </c>
      <c r="C1727" t="inlineStr">
        <is>
          <t>OR</t>
        </is>
      </c>
      <c r="D1727" s="28" t="n">
        <v>46043</v>
      </c>
      <c r="E1727" t="inlineStr">
        <is>
          <t>오릭스</t>
        </is>
      </c>
      <c r="F1727" t="inlineStr">
        <is>
          <t>이희락</t>
        </is>
      </c>
      <c r="G1727" t="inlineStr">
        <is>
          <t>010-3697-2810</t>
        </is>
      </c>
      <c r="H1727" t="inlineStr">
        <is>
          <t>319어9518</t>
        </is>
      </c>
      <c r="I1727" t="n">
        <v>-29000000</v>
      </c>
      <c r="J1727" t="n">
        <v>0.064</v>
      </c>
      <c r="K1727" t="n">
        <v>1.65</v>
      </c>
      <c r="L1727" t="n">
        <v>0.13</v>
      </c>
      <c r="M1727" t="n">
        <v>1.52</v>
      </c>
      <c r="P1727" t="inlineStr">
        <is>
          <t>황채이</t>
        </is>
      </c>
      <c r="Q1727" t="inlineStr">
        <is>
          <t>사유 : 금리불만, 부대비용 추가 진행 / 현대 8.2% / *철회 20260130</t>
        </is>
      </c>
      <c r="AB1727" t="inlineStr">
        <is>
          <t>홈서비스</t>
        </is>
      </c>
      <c r="AC1727" t="n">
        <v>-478500</v>
      </c>
      <c r="AD1727" t="n">
        <v>-37700</v>
      </c>
      <c r="AE1727" t="n">
        <v>-440800</v>
      </c>
      <c r="AF1727" t="n">
        <v>-435000</v>
      </c>
      <c r="AG1727" t="n">
        <v>-36455.9</v>
      </c>
      <c r="AH1727" t="n">
        <v>-398544.1</v>
      </c>
      <c r="AI1727" t="n">
        <v>0</v>
      </c>
      <c r="AK1727" t="inlineStr">
        <is>
          <t>대출철회</t>
        </is>
      </c>
    </row>
    <row r="1728">
      <c r="A1728" t="inlineStr">
        <is>
          <t>1월</t>
        </is>
      </c>
      <c r="B1728" t="inlineStr">
        <is>
          <t>4주차</t>
        </is>
      </c>
      <c r="C1728" t="inlineStr">
        <is>
          <t>IM</t>
        </is>
      </c>
      <c r="D1728" s="28" t="n">
        <v>46044</v>
      </c>
      <c r="E1728" t="inlineStr">
        <is>
          <t>IM캐피탈</t>
        </is>
      </c>
      <c r="F1728" t="inlineStr">
        <is>
          <t>정태원</t>
        </is>
      </c>
      <c r="G1728" t="inlineStr">
        <is>
          <t>010-9251-0155</t>
        </is>
      </c>
      <c r="H1728" t="inlineStr">
        <is>
          <t>33거4458</t>
        </is>
      </c>
      <c r="I1728" t="n">
        <v>14500000</v>
      </c>
      <c r="J1728" t="n">
        <v>0.039</v>
      </c>
      <c r="K1728" t="n">
        <v>0.55</v>
      </c>
      <c r="L1728" t="n">
        <v>0.13</v>
      </c>
      <c r="M1728" t="n">
        <v>0.42</v>
      </c>
      <c r="P1728" t="inlineStr">
        <is>
          <t>박현민</t>
        </is>
      </c>
      <c r="Q1728" t="inlineStr">
        <is>
          <t>홈서비스48개월 / 사유 : 기승인 금리불만</t>
        </is>
      </c>
      <c r="AB1728" t="inlineStr">
        <is>
          <t>홈서비스</t>
        </is>
      </c>
      <c r="AC1728" t="n">
        <v>79750</v>
      </c>
      <c r="AD1728" t="n">
        <v>18850</v>
      </c>
      <c r="AE1728" t="n">
        <v>60900</v>
      </c>
      <c r="AF1728" t="n">
        <v>72500</v>
      </c>
      <c r="AG1728" t="n">
        <v>18227.95</v>
      </c>
      <c r="AH1728" t="n">
        <v>54272.05</v>
      </c>
      <c r="AI1728" t="n">
        <v>0</v>
      </c>
    </row>
    <row r="1729">
      <c r="A1729" t="inlineStr">
        <is>
          <t>1월</t>
        </is>
      </c>
      <c r="B1729" t="inlineStr">
        <is>
          <t>5주차</t>
        </is>
      </c>
      <c r="C1729" t="inlineStr">
        <is>
          <t>EP</t>
        </is>
      </c>
      <c r="D1729" s="28" t="n">
        <v>46049</v>
      </c>
      <c r="E1729" t="inlineStr">
        <is>
          <t>현대EP</t>
        </is>
      </c>
      <c r="F1729" t="inlineStr">
        <is>
          <t>김원영</t>
        </is>
      </c>
      <c r="G1729" t="inlineStr">
        <is>
          <t>010-8895-4285</t>
        </is>
      </c>
      <c r="H1729" t="inlineStr">
        <is>
          <t>54주6111</t>
        </is>
      </c>
      <c r="I1729" t="n">
        <v>5000000</v>
      </c>
      <c r="J1729" t="n">
        <v>0.115</v>
      </c>
      <c r="K1729" t="n">
        <v>1.76</v>
      </c>
      <c r="L1729" t="n">
        <v>0.13</v>
      </c>
      <c r="M1729" t="n">
        <v>1.63</v>
      </c>
      <c r="P1729" t="inlineStr">
        <is>
          <t>최형주</t>
        </is>
      </c>
      <c r="Q1729" t="inlineStr">
        <is>
          <t>홈서비스 24개월</t>
        </is>
      </c>
      <c r="AB1729" t="inlineStr">
        <is>
          <t>홈서비스</t>
        </is>
      </c>
      <c r="AC1729" t="n">
        <v>88000</v>
      </c>
      <c r="AD1729" t="n">
        <v>6500</v>
      </c>
      <c r="AE1729" t="n">
        <v>81500</v>
      </c>
      <c r="AF1729" t="n">
        <v>80000</v>
      </c>
      <c r="AG1729" t="n">
        <v>6285.5</v>
      </c>
      <c r="AH1729" t="n">
        <v>73714.5</v>
      </c>
      <c r="AI1729" t="n">
        <v>0</v>
      </c>
    </row>
    <row r="1730">
      <c r="A1730" t="inlineStr">
        <is>
          <t>1월</t>
        </is>
      </c>
      <c r="B1730" t="inlineStr">
        <is>
          <t>5주차</t>
        </is>
      </c>
      <c r="C1730" t="inlineStr">
        <is>
          <t>EP</t>
        </is>
      </c>
      <c r="D1730" s="28" t="n">
        <v>46051</v>
      </c>
      <c r="E1730" t="inlineStr">
        <is>
          <t>현대EP_fast</t>
        </is>
      </c>
      <c r="F1730" t="inlineStr">
        <is>
          <t>이원호</t>
        </is>
      </c>
      <c r="G1730" t="n">
        <v>1040266565</v>
      </c>
      <c r="H1730" t="inlineStr">
        <is>
          <t>51머6420</t>
        </is>
      </c>
      <c r="I1730" t="n">
        <v>8000000</v>
      </c>
      <c r="J1730" t="n">
        <v>0.08799999999999999</v>
      </c>
      <c r="K1730" t="n">
        <v>1.76</v>
      </c>
      <c r="L1730" t="n">
        <v>0.13</v>
      </c>
      <c r="M1730" t="n">
        <v>1.63</v>
      </c>
      <c r="P1730" t="inlineStr">
        <is>
          <t>김나윤</t>
        </is>
      </c>
      <c r="Q1730" t="inlineStr">
        <is>
          <t>홈서비스 60개월 / 금리인하 0.5% 적용건 (9.3 -&gt; 8.8)</t>
        </is>
      </c>
      <c r="AB1730" t="inlineStr">
        <is>
          <t>홈서비스</t>
        </is>
      </c>
      <c r="AC1730" t="n">
        <v>140800</v>
      </c>
      <c r="AD1730" t="n">
        <v>10400</v>
      </c>
      <c r="AE1730" t="n">
        <v>130400</v>
      </c>
      <c r="AF1730" t="n">
        <v>128000</v>
      </c>
      <c r="AG1730" t="n">
        <v>10056.8</v>
      </c>
      <c r="AH1730" t="n">
        <v>117943.2</v>
      </c>
      <c r="AI1730" t="n">
        <v>0</v>
      </c>
    </row>
    <row r="1731">
      <c r="A1731" t="inlineStr">
        <is>
          <t>1월</t>
        </is>
      </c>
      <c r="B1731" t="inlineStr">
        <is>
          <t>5주차</t>
        </is>
      </c>
      <c r="C1731" t="inlineStr">
        <is>
          <t>EP</t>
        </is>
      </c>
      <c r="D1731" s="28" t="n">
        <v>46051</v>
      </c>
      <c r="E1731" t="inlineStr">
        <is>
          <t>현대EP_fast</t>
        </is>
      </c>
      <c r="F1731" t="inlineStr">
        <is>
          <t>도유림</t>
        </is>
      </c>
      <c r="G1731" t="inlineStr">
        <is>
          <t>010-2684-9146</t>
        </is>
      </c>
      <c r="H1731" t="inlineStr">
        <is>
          <t>129더3344</t>
        </is>
      </c>
      <c r="I1731" t="n">
        <v>9000000</v>
      </c>
      <c r="J1731" t="n">
        <v>0.111</v>
      </c>
      <c r="K1731" t="n">
        <v>1.76</v>
      </c>
      <c r="L1731" t="n">
        <v>0.13</v>
      </c>
      <c r="M1731" t="n">
        <v>1.63</v>
      </c>
      <c r="P1731" t="inlineStr">
        <is>
          <t>정세빈</t>
        </is>
      </c>
      <c r="Q1731" t="inlineStr">
        <is>
          <t>홈서비스 24개월</t>
        </is>
      </c>
      <c r="AB1731" t="inlineStr">
        <is>
          <t>홈서비스</t>
        </is>
      </c>
      <c r="AC1731" t="n">
        <v>158400</v>
      </c>
      <c r="AD1731" t="n">
        <v>11700</v>
      </c>
      <c r="AE1731" t="n">
        <v>146700</v>
      </c>
      <c r="AF1731" t="n">
        <v>144000</v>
      </c>
      <c r="AG1731" t="n">
        <v>11313.9</v>
      </c>
      <c r="AH1731" t="n">
        <v>132686.1</v>
      </c>
      <c r="AI1731" t="n">
        <v>0</v>
      </c>
    </row>
    <row r="1732">
      <c r="A1732" t="inlineStr">
        <is>
          <t>2월</t>
        </is>
      </c>
      <c r="B1732" t="inlineStr">
        <is>
          <t>9주차</t>
        </is>
      </c>
      <c r="C1732" t="inlineStr">
        <is>
          <t>OR</t>
        </is>
      </c>
      <c r="D1732" s="28" t="n">
        <v>46079</v>
      </c>
      <c r="E1732" t="inlineStr">
        <is>
          <t>오릭스</t>
        </is>
      </c>
      <c r="F1732" t="inlineStr">
        <is>
          <t>신미경</t>
        </is>
      </c>
      <c r="G1732" t="inlineStr">
        <is>
          <t>010-4011-8689</t>
        </is>
      </c>
      <c r="H1732" t="inlineStr">
        <is>
          <t>272어3812</t>
        </is>
      </c>
      <c r="I1732" t="n">
        <v>20000000</v>
      </c>
      <c r="J1732" t="n">
        <v>0.07199999999999999</v>
      </c>
      <c r="K1732" t="n">
        <v>1.65</v>
      </c>
      <c r="L1732" t="n">
        <v>0.14</v>
      </c>
      <c r="M1732" t="n">
        <v>1.51</v>
      </c>
      <c r="P1732" t="inlineStr">
        <is>
          <t>구성완</t>
        </is>
      </c>
      <c r="Q1732" t="inlineStr">
        <is>
          <t>안심거래존건</t>
        </is>
      </c>
      <c r="AB1732" t="inlineStr">
        <is>
          <t>믿고</t>
        </is>
      </c>
      <c r="AC1732" t="n">
        <v>330000</v>
      </c>
      <c r="AD1732" t="n">
        <v>28000</v>
      </c>
      <c r="AE1732" t="n">
        <v>302000</v>
      </c>
      <c r="AF1732" t="n">
        <v>300000</v>
      </c>
      <c r="AG1732" t="n">
        <v>27076</v>
      </c>
      <c r="AH1732" t="n">
        <v>272924</v>
      </c>
      <c r="AI1732" t="n">
        <v>0</v>
      </c>
    </row>
    <row r="1733">
      <c r="A1733" t="inlineStr">
        <is>
          <t>2월</t>
        </is>
      </c>
      <c r="B1733" t="inlineStr">
        <is>
          <t>9주차</t>
        </is>
      </c>
      <c r="C1733" t="inlineStr">
        <is>
          <t>EP</t>
        </is>
      </c>
      <c r="D1733" s="28" t="n">
        <v>46080</v>
      </c>
      <c r="E1733" t="inlineStr">
        <is>
          <t>현대EP</t>
        </is>
      </c>
      <c r="F1733" t="inlineStr">
        <is>
          <t>김영준</t>
        </is>
      </c>
      <c r="G1733" t="inlineStr">
        <is>
          <t>010-6427-1008</t>
        </is>
      </c>
      <c r="H1733" t="inlineStr">
        <is>
          <t>111나9489</t>
        </is>
      </c>
      <c r="I1733" t="n">
        <v>73000000</v>
      </c>
      <c r="J1733" t="n">
        <v>0.074</v>
      </c>
      <c r="K1733" t="n">
        <v>1.76</v>
      </c>
      <c r="L1733" t="n">
        <v>0.14</v>
      </c>
      <c r="M1733" t="n">
        <v>1.62</v>
      </c>
      <c r="P1733" t="inlineStr">
        <is>
          <t>장진경</t>
        </is>
      </c>
      <c r="Q1733" t="inlineStr">
        <is>
          <t>홈서비스 60개월</t>
        </is>
      </c>
      <c r="AB1733" t="inlineStr">
        <is>
          <t>홈서비스</t>
        </is>
      </c>
      <c r="AC1733" t="n">
        <v>1284800</v>
      </c>
      <c r="AD1733" t="n">
        <v>102200</v>
      </c>
      <c r="AE1733" t="n">
        <v>1182600</v>
      </c>
      <c r="AF1733" t="n">
        <v>1168000</v>
      </c>
      <c r="AG1733" t="n">
        <v>98827.39999999999</v>
      </c>
      <c r="AH1733" t="n">
        <v>1069172.6</v>
      </c>
      <c r="AI1733" t="n">
        <v>0</v>
      </c>
    </row>
    <row r="1734">
      <c r="A1734" t="inlineStr">
        <is>
          <t>2월</t>
        </is>
      </c>
      <c r="B1734" t="inlineStr">
        <is>
          <t>9주차</t>
        </is>
      </c>
      <c r="C1734" t="inlineStr">
        <is>
          <t>EP</t>
        </is>
      </c>
      <c r="D1734" s="28" t="n">
        <v>46078</v>
      </c>
      <c r="E1734" t="inlineStr">
        <is>
          <t>현대EP_fast</t>
        </is>
      </c>
      <c r="F1734" t="inlineStr">
        <is>
          <t>김원준</t>
        </is>
      </c>
      <c r="G1734" t="inlineStr">
        <is>
          <t>010-2959-7192</t>
        </is>
      </c>
      <c r="H1734" t="inlineStr">
        <is>
          <t>40로2498</t>
        </is>
      </c>
      <c r="I1734" t="n">
        <v>-32500000</v>
      </c>
      <c r="J1734" t="n">
        <v>0.089</v>
      </c>
      <c r="K1734" t="n">
        <v>1.76</v>
      </c>
      <c r="L1734" t="n">
        <v>0.14</v>
      </c>
      <c r="M1734" t="n">
        <v>1.62</v>
      </c>
      <c r="P1734" t="inlineStr">
        <is>
          <t>정세빈</t>
        </is>
      </c>
      <c r="Q1734" t="inlineStr">
        <is>
          <t>홈서비스 60개월</t>
        </is>
      </c>
      <c r="AB1734" t="inlineStr">
        <is>
          <t>홈서비스</t>
        </is>
      </c>
      <c r="AC1734" t="n">
        <v>-572000</v>
      </c>
      <c r="AD1734" t="n">
        <v>-45500</v>
      </c>
      <c r="AE1734" t="n">
        <v>-526500</v>
      </c>
      <c r="AF1734" t="n">
        <v>-520000</v>
      </c>
      <c r="AG1734" t="n">
        <v>-43998.5</v>
      </c>
      <c r="AH1734" t="n">
        <v>-476001.5</v>
      </c>
    </row>
    <row r="1735">
      <c r="A1735" t="inlineStr">
        <is>
          <t>2월</t>
        </is>
      </c>
      <c r="B1735" t="inlineStr">
        <is>
          <t>9주차</t>
        </is>
      </c>
      <c r="C1735" t="inlineStr">
        <is>
          <t>EP</t>
        </is>
      </c>
      <c r="D1735" s="28" t="n">
        <v>46079</v>
      </c>
      <c r="E1735" t="inlineStr">
        <is>
          <t>현대EP</t>
        </is>
      </c>
      <c r="F1735" t="inlineStr">
        <is>
          <t>이성희</t>
        </is>
      </c>
      <c r="G1735" t="inlineStr">
        <is>
          <t>010-3815-1626</t>
        </is>
      </c>
      <c r="H1735" t="inlineStr">
        <is>
          <t>54수0292</t>
        </is>
      </c>
      <c r="I1735" t="n">
        <v>9500000</v>
      </c>
      <c r="J1735" t="n">
        <v>0.068</v>
      </c>
      <c r="K1735" t="n">
        <v>1.76</v>
      </c>
      <c r="L1735" t="n">
        <v>0.14</v>
      </c>
      <c r="M1735" t="n">
        <v>1.62</v>
      </c>
      <c r="P1735" t="inlineStr">
        <is>
          <t>정세빈</t>
        </is>
      </c>
      <c r="Q1735" t="inlineStr">
        <is>
          <t>홈서비스 48개월</t>
        </is>
      </c>
      <c r="AB1735" t="inlineStr">
        <is>
          <t>홈서비스</t>
        </is>
      </c>
      <c r="AC1735" t="n">
        <v>167200</v>
      </c>
      <c r="AD1735" t="n">
        <v>13300</v>
      </c>
      <c r="AE1735" t="n">
        <v>153900</v>
      </c>
      <c r="AF1735" t="n">
        <v>152000</v>
      </c>
      <c r="AG1735" t="n">
        <v>12861.1</v>
      </c>
      <c r="AH1735" t="n">
        <v>139138.9</v>
      </c>
    </row>
    <row r="1736">
      <c r="A1736" t="inlineStr">
        <is>
          <t>3월</t>
        </is>
      </c>
      <c r="B1736" t="inlineStr">
        <is>
          <t>10주차</t>
        </is>
      </c>
      <c r="C1736" t="inlineStr">
        <is>
          <t>EP</t>
        </is>
      </c>
      <c r="D1736" s="28" t="n">
        <v>46087</v>
      </c>
      <c r="E1736" t="inlineStr">
        <is>
          <t>제이비EP</t>
        </is>
      </c>
      <c r="F1736" t="inlineStr">
        <is>
          <t>용석철</t>
        </is>
      </c>
      <c r="G1736" t="inlineStr">
        <is>
          <t>010-4853-1007</t>
        </is>
      </c>
      <c r="H1736" t="inlineStr">
        <is>
          <t>146소7939</t>
        </is>
      </c>
      <c r="I1736" t="n">
        <v>23600000</v>
      </c>
      <c r="J1736" t="n">
        <v>0.073</v>
      </c>
      <c r="K1736" t="n">
        <v>1.65</v>
      </c>
      <c r="L1736" t="n">
        <v>0.4</v>
      </c>
      <c r="M1736" t="n">
        <v>1.25</v>
      </c>
      <c r="P1736" t="inlineStr">
        <is>
          <t>장진경</t>
        </is>
      </c>
      <c r="Q1736" t="inlineStr">
        <is>
          <t>부대비용 추가진행</t>
        </is>
      </c>
      <c r="AB1736" t="inlineStr">
        <is>
          <t>엔카</t>
        </is>
      </c>
      <c r="AC1736" t="n">
        <v>389400</v>
      </c>
      <c r="AD1736" t="n">
        <v>94400</v>
      </c>
      <c r="AE1736" t="n">
        <v>295000</v>
      </c>
      <c r="AF1736" t="n">
        <v>354000</v>
      </c>
      <c r="AG1736" t="n">
        <v>91284.8</v>
      </c>
      <c r="AH1736" t="n">
        <v>262715.2</v>
      </c>
      <c r="AI1736" t="n">
        <v>0</v>
      </c>
    </row>
    <row r="1737">
      <c r="A1737" t="inlineStr">
        <is>
          <t>2월</t>
        </is>
      </c>
      <c r="B1737" t="inlineStr">
        <is>
          <t>9주차</t>
        </is>
      </c>
      <c r="C1737" t="inlineStr">
        <is>
          <t>EP</t>
        </is>
      </c>
      <c r="D1737" s="28" t="n">
        <v>46079</v>
      </c>
      <c r="E1737" t="inlineStr">
        <is>
          <t>현대EP_fast</t>
        </is>
      </c>
      <c r="F1737" t="inlineStr">
        <is>
          <t>조민솔</t>
        </is>
      </c>
      <c r="G1737" t="inlineStr">
        <is>
          <t>010-4129-0384</t>
        </is>
      </c>
      <c r="H1737" t="inlineStr">
        <is>
          <t>107버8515</t>
        </is>
      </c>
      <c r="I1737" t="n">
        <v>20700000</v>
      </c>
      <c r="J1737" t="n">
        <v>0.131</v>
      </c>
      <c r="K1737" t="n">
        <v>1.76</v>
      </c>
      <c r="L1737" t="n">
        <v>0.4</v>
      </c>
      <c r="M1737" t="n">
        <v>1.36</v>
      </c>
      <c r="P1737" t="inlineStr">
        <is>
          <t>임대경</t>
        </is>
      </c>
      <c r="AB1737" t="inlineStr">
        <is>
          <t>엔카</t>
        </is>
      </c>
      <c r="AC1737" t="n">
        <v>364320</v>
      </c>
      <c r="AD1737" t="n">
        <v>82800</v>
      </c>
      <c r="AE1737" t="n">
        <v>281520</v>
      </c>
      <c r="AF1737" t="n">
        <v>331200</v>
      </c>
      <c r="AG1737" t="n">
        <v>80067.60000000001</v>
      </c>
      <c r="AH1737" t="n">
        <v>251132.4</v>
      </c>
      <c r="AI1737" t="n">
        <v>0</v>
      </c>
    </row>
    <row r="1738">
      <c r="A1738" t="inlineStr">
        <is>
          <t>2월</t>
        </is>
      </c>
      <c r="B1738" t="inlineStr">
        <is>
          <t>9주차</t>
        </is>
      </c>
      <c r="C1738" t="inlineStr">
        <is>
          <t>EP</t>
        </is>
      </c>
      <c r="D1738" s="28" t="n">
        <v>46079</v>
      </c>
      <c r="E1738" t="inlineStr">
        <is>
          <t>현대EP_fast</t>
        </is>
      </c>
      <c r="F1738" t="inlineStr">
        <is>
          <t>강규빈</t>
        </is>
      </c>
      <c r="G1738" t="inlineStr">
        <is>
          <t>010-4590-9534</t>
        </is>
      </c>
      <c r="H1738" t="inlineStr">
        <is>
          <t>67보9630</t>
        </is>
      </c>
      <c r="I1738" t="n">
        <v>5800000</v>
      </c>
      <c r="J1738" t="n">
        <v>0.115</v>
      </c>
      <c r="K1738" t="n">
        <v>1.76</v>
      </c>
      <c r="L1738" t="n">
        <v>0.14</v>
      </c>
      <c r="M1738" t="n">
        <v>1.62</v>
      </c>
      <c r="P1738" t="inlineStr">
        <is>
          <t>최형주</t>
        </is>
      </c>
      <c r="Q1738" t="inlineStr">
        <is>
          <t>홈서비스 36개월 / 고객주도체결</t>
        </is>
      </c>
      <c r="AB1738" t="inlineStr">
        <is>
          <t>홈서비스</t>
        </is>
      </c>
      <c r="AC1738" t="n">
        <v>102080</v>
      </c>
      <c r="AD1738" t="n">
        <v>8120</v>
      </c>
      <c r="AE1738" t="n">
        <v>93960</v>
      </c>
      <c r="AF1738" t="n">
        <v>92800</v>
      </c>
      <c r="AG1738" t="n">
        <v>7852.04</v>
      </c>
      <c r="AH1738" t="n">
        <v>84947.96000000001</v>
      </c>
      <c r="AI1738" t="n">
        <v>0</v>
      </c>
    </row>
    <row r="1739">
      <c r="A1739" t="inlineStr">
        <is>
          <t>2월</t>
        </is>
      </c>
      <c r="B1739" t="inlineStr">
        <is>
          <t>6주차</t>
        </is>
      </c>
      <c r="C1739" t="inlineStr">
        <is>
          <t>IM</t>
        </is>
      </c>
      <c r="D1739" s="28" t="n">
        <v>46056</v>
      </c>
      <c r="E1739" t="inlineStr">
        <is>
          <t>IM캐피탈</t>
        </is>
      </c>
      <c r="F1739" t="inlineStr">
        <is>
          <t>신희대</t>
        </is>
      </c>
      <c r="G1739" t="inlineStr">
        <is>
          <t>010-4334-5334</t>
        </is>
      </c>
      <c r="H1739" t="inlineStr">
        <is>
          <t>12라0542</t>
        </is>
      </c>
      <c r="I1739" t="n">
        <v>70000000</v>
      </c>
      <c r="J1739" t="n">
        <v>0.049</v>
      </c>
      <c r="K1739" t="n">
        <v>1.1</v>
      </c>
      <c r="L1739" t="n">
        <v>0.4</v>
      </c>
      <c r="M1739" t="n">
        <v>0.7</v>
      </c>
      <c r="P1739" t="inlineStr">
        <is>
          <t>장진경</t>
        </is>
      </c>
      <c r="AB1739" t="inlineStr">
        <is>
          <t>엔카</t>
        </is>
      </c>
      <c r="AC1739" t="n">
        <v>770000</v>
      </c>
      <c r="AD1739" t="n">
        <v>280000</v>
      </c>
      <c r="AE1739" t="n">
        <v>490000</v>
      </c>
      <c r="AF1739" t="n">
        <v>700000</v>
      </c>
      <c r="AG1739" t="n">
        <v>270760</v>
      </c>
      <c r="AH1739" t="n">
        <v>429240</v>
      </c>
      <c r="AI1739" t="n">
        <v>0</v>
      </c>
    </row>
    <row r="1740">
      <c r="A1740" t="inlineStr">
        <is>
          <t>2월</t>
        </is>
      </c>
      <c r="B1740" t="inlineStr">
        <is>
          <t>6주차</t>
        </is>
      </c>
      <c r="C1740" t="inlineStr">
        <is>
          <t>EP</t>
        </is>
      </c>
      <c r="D1740" s="28" t="n">
        <v>46057</v>
      </c>
      <c r="E1740" t="inlineStr">
        <is>
          <t>현대EP_fast</t>
        </is>
      </c>
      <c r="F1740" t="inlineStr">
        <is>
          <t>노정호</t>
        </is>
      </c>
      <c r="G1740" t="inlineStr">
        <is>
          <t>010-6486-1040</t>
        </is>
      </c>
      <c r="H1740" t="inlineStr">
        <is>
          <t>53소6838</t>
        </is>
      </c>
      <c r="I1740" t="n">
        <v>5500000</v>
      </c>
      <c r="J1740" t="n">
        <v>0.111</v>
      </c>
      <c r="K1740" t="n">
        <v>1.76</v>
      </c>
      <c r="L1740" t="n">
        <v>0.14</v>
      </c>
      <c r="M1740" t="n">
        <v>1.62</v>
      </c>
      <c r="P1740" t="inlineStr">
        <is>
          <t>최형주</t>
        </is>
      </c>
      <c r="Q1740" t="inlineStr">
        <is>
          <t>홈서비스 36개월</t>
        </is>
      </c>
      <c r="AB1740" t="inlineStr">
        <is>
          <t>홈서비스</t>
        </is>
      </c>
      <c r="AC1740" t="n">
        <v>96800</v>
      </c>
      <c r="AD1740" t="n">
        <v>7700</v>
      </c>
      <c r="AE1740" t="n">
        <v>89100</v>
      </c>
      <c r="AF1740" t="n">
        <v>88000</v>
      </c>
      <c r="AG1740" t="n">
        <v>7445.9</v>
      </c>
      <c r="AH1740" t="n">
        <v>80554.10000000001</v>
      </c>
      <c r="AI1740" t="n">
        <v>0</v>
      </c>
    </row>
    <row r="1741">
      <c r="A1741" t="inlineStr">
        <is>
          <t>2월</t>
        </is>
      </c>
      <c r="B1741" t="inlineStr">
        <is>
          <t>6주차</t>
        </is>
      </c>
      <c r="C1741" t="inlineStr">
        <is>
          <t>OR</t>
        </is>
      </c>
      <c r="D1741" s="28" t="n">
        <v>46058</v>
      </c>
      <c r="E1741" t="inlineStr">
        <is>
          <t>오릭스</t>
        </is>
      </c>
      <c r="F1741" t="inlineStr">
        <is>
          <t>안명호</t>
        </is>
      </c>
      <c r="G1741" t="inlineStr">
        <is>
          <t>010-8781-6678</t>
        </is>
      </c>
      <c r="H1741" t="inlineStr">
        <is>
          <t>01도9038</t>
        </is>
      </c>
      <c r="I1741" t="n">
        <v>8000000</v>
      </c>
      <c r="J1741" t="n">
        <v>0.059</v>
      </c>
      <c r="K1741" t="n">
        <v>1.65</v>
      </c>
      <c r="L1741" t="n">
        <v>0.14</v>
      </c>
      <c r="M1741" t="n">
        <v>1.51</v>
      </c>
      <c r="P1741" t="inlineStr">
        <is>
          <t>장진경</t>
        </is>
      </c>
      <c r="Q1741" t="inlineStr">
        <is>
          <t>선상담 / 홈서비스 60개월</t>
        </is>
      </c>
      <c r="AB1741" t="inlineStr">
        <is>
          <t>홈서비스</t>
        </is>
      </c>
      <c r="AC1741" t="n">
        <v>132000</v>
      </c>
      <c r="AD1741" t="n">
        <v>11200</v>
      </c>
      <c r="AE1741" t="n">
        <v>120800</v>
      </c>
      <c r="AF1741" t="n">
        <v>120000</v>
      </c>
      <c r="AG1741" t="n">
        <v>10830.4</v>
      </c>
      <c r="AH1741" t="n">
        <v>109169.6</v>
      </c>
    </row>
    <row r="1742">
      <c r="A1742" t="inlineStr">
        <is>
          <t>2월</t>
        </is>
      </c>
      <c r="B1742" t="inlineStr">
        <is>
          <t>6주차</t>
        </is>
      </c>
      <c r="C1742" t="inlineStr">
        <is>
          <t>EP</t>
        </is>
      </c>
      <c r="D1742" s="28" t="n">
        <v>46058</v>
      </c>
      <c r="E1742" t="inlineStr">
        <is>
          <t>현대EP_fast</t>
        </is>
      </c>
      <c r="F1742" t="inlineStr">
        <is>
          <t>정대장</t>
        </is>
      </c>
      <c r="G1742" t="inlineStr">
        <is>
          <t>010-8534-2938</t>
        </is>
      </c>
      <c r="H1742" t="inlineStr">
        <is>
          <t>15누2623</t>
        </is>
      </c>
      <c r="I1742" t="n">
        <v>17900000</v>
      </c>
      <c r="J1742" t="n">
        <v>0.112</v>
      </c>
      <c r="K1742" t="n">
        <v>1.76</v>
      </c>
      <c r="L1742" t="n">
        <v>0.4</v>
      </c>
      <c r="M1742" t="n">
        <v>1.36</v>
      </c>
      <c r="P1742" t="inlineStr">
        <is>
          <t>최혁</t>
        </is>
      </c>
      <c r="AB1742" t="inlineStr">
        <is>
          <t>엔카</t>
        </is>
      </c>
      <c r="AC1742" t="n">
        <v>315040</v>
      </c>
      <c r="AD1742" t="n">
        <v>71600</v>
      </c>
      <c r="AE1742" t="n">
        <v>243440</v>
      </c>
      <c r="AF1742" t="n">
        <v>286400</v>
      </c>
      <c r="AG1742" t="n">
        <v>69237.2</v>
      </c>
      <c r="AH1742" t="n">
        <v>217162.8</v>
      </c>
      <c r="AI1742" t="n">
        <v>0</v>
      </c>
    </row>
    <row r="1743">
      <c r="A1743" t="inlineStr">
        <is>
          <t>2월</t>
        </is>
      </c>
      <c r="B1743" t="inlineStr">
        <is>
          <t>7주차</t>
        </is>
      </c>
      <c r="C1743" t="inlineStr">
        <is>
          <t>IM</t>
        </is>
      </c>
      <c r="D1743" s="28" t="n">
        <v>46062</v>
      </c>
      <c r="E1743" t="inlineStr">
        <is>
          <t>IM캐피탈</t>
        </is>
      </c>
      <c r="F1743" t="inlineStr">
        <is>
          <t>신선하</t>
        </is>
      </c>
      <c r="G1743" t="inlineStr">
        <is>
          <t>010-7797-4182</t>
        </is>
      </c>
      <c r="H1743" t="inlineStr">
        <is>
          <t>150오7281</t>
        </is>
      </c>
      <c r="I1743" t="n">
        <v>10000000</v>
      </c>
      <c r="J1743" t="n">
        <v>0.039</v>
      </c>
      <c r="K1743" t="n">
        <v>1.21</v>
      </c>
      <c r="L1743" t="n">
        <v>0.14</v>
      </c>
      <c r="M1743" t="n">
        <v>1.07</v>
      </c>
      <c r="P1743" t="inlineStr">
        <is>
          <t>장현경</t>
        </is>
      </c>
      <c r="Q1743" t="inlineStr">
        <is>
          <t>선상담 / 홈서비스 72개월</t>
        </is>
      </c>
      <c r="AB1743" t="inlineStr">
        <is>
          <t>홈서비스</t>
        </is>
      </c>
      <c r="AC1743" t="n">
        <v>121000</v>
      </c>
      <c r="AD1743" t="n">
        <v>14000</v>
      </c>
      <c r="AE1743" t="n">
        <v>107000</v>
      </c>
      <c r="AF1743" t="n">
        <v>110000</v>
      </c>
      <c r="AG1743" t="n">
        <v>13538</v>
      </c>
      <c r="AH1743" t="n">
        <v>96462</v>
      </c>
      <c r="AI1743" t="n">
        <v>0</v>
      </c>
    </row>
    <row r="1744">
      <c r="A1744" t="inlineStr">
        <is>
          <t>2월</t>
        </is>
      </c>
      <c r="B1744" t="inlineStr">
        <is>
          <t>7주차</t>
        </is>
      </c>
      <c r="C1744" t="inlineStr">
        <is>
          <t>IM</t>
        </is>
      </c>
      <c r="D1744" s="28" t="n">
        <v>46063</v>
      </c>
      <c r="E1744" t="inlineStr">
        <is>
          <t>IM캐피탈</t>
        </is>
      </c>
      <c r="F1744" t="inlineStr">
        <is>
          <t>정영로</t>
        </is>
      </c>
      <c r="G1744" t="inlineStr">
        <is>
          <t>010-9913-3479</t>
        </is>
      </c>
      <c r="H1744" t="inlineStr">
        <is>
          <t>248모7115</t>
        </is>
      </c>
      <c r="I1744" t="n">
        <v>23000000</v>
      </c>
      <c r="J1744" t="n">
        <v>0.049</v>
      </c>
      <c r="K1744" t="n">
        <v>1.1</v>
      </c>
      <c r="L1744" t="n">
        <v>0.14</v>
      </c>
      <c r="M1744" t="n">
        <v>0.96</v>
      </c>
      <c r="P1744" t="inlineStr">
        <is>
          <t>박소현</t>
        </is>
      </c>
      <c r="Q1744" t="inlineStr">
        <is>
          <t>선상담 /홈서비스 60개월</t>
        </is>
      </c>
      <c r="AB1744" t="inlineStr">
        <is>
          <t>홈서비스</t>
        </is>
      </c>
      <c r="AC1744" t="n">
        <v>253000</v>
      </c>
      <c r="AD1744" t="n">
        <v>32200</v>
      </c>
      <c r="AE1744" t="n">
        <v>220800</v>
      </c>
      <c r="AF1744" t="n">
        <v>230000</v>
      </c>
      <c r="AG1744" t="n">
        <v>31137.4</v>
      </c>
      <c r="AH1744" t="n">
        <v>198862.6</v>
      </c>
    </row>
    <row r="1745">
      <c r="A1745" t="inlineStr">
        <is>
          <t>2월</t>
        </is>
      </c>
      <c r="B1745" t="inlineStr">
        <is>
          <t>7주차</t>
        </is>
      </c>
      <c r="C1745" t="inlineStr">
        <is>
          <t>EP</t>
        </is>
      </c>
      <c r="D1745" s="28" t="n">
        <v>46064</v>
      </c>
      <c r="E1745" t="inlineStr">
        <is>
          <t>현대EP_fast</t>
        </is>
      </c>
      <c r="F1745" t="inlineStr">
        <is>
          <t>김홍기</t>
        </is>
      </c>
      <c r="G1745" t="inlineStr">
        <is>
          <t>010-5155-2875</t>
        </is>
      </c>
      <c r="H1745" t="inlineStr">
        <is>
          <t>35더8040</t>
        </is>
      </c>
      <c r="I1745" t="n">
        <v>4200000</v>
      </c>
      <c r="J1745" t="n">
        <v>0.06900000000000001</v>
      </c>
      <c r="K1745" t="n">
        <v>1.21</v>
      </c>
      <c r="L1745" t="n">
        <v>0.14</v>
      </c>
      <c r="M1745" t="n">
        <v>1.07</v>
      </c>
      <c r="P1745" t="inlineStr">
        <is>
          <t>정광호</t>
        </is>
      </c>
      <c r="Q1745" t="inlineStr">
        <is>
          <t>홈서비스 24개월</t>
        </is>
      </c>
      <c r="AB1745" t="inlineStr">
        <is>
          <t>홈서비스</t>
        </is>
      </c>
      <c r="AC1745" t="n">
        <v>50820</v>
      </c>
      <c r="AD1745" t="n">
        <v>5880</v>
      </c>
      <c r="AE1745" t="n">
        <v>44940</v>
      </c>
      <c r="AF1745" t="n">
        <v>46200</v>
      </c>
      <c r="AG1745" t="n">
        <v>5685.96</v>
      </c>
      <c r="AH1745" t="n">
        <v>40514.04</v>
      </c>
    </row>
    <row r="1746">
      <c r="A1746" t="inlineStr">
        <is>
          <t>2월</t>
        </is>
      </c>
      <c r="B1746" t="inlineStr">
        <is>
          <t>7주차</t>
        </is>
      </c>
      <c r="C1746" t="inlineStr">
        <is>
          <t>EP</t>
        </is>
      </c>
      <c r="D1746" s="28" t="n">
        <v>46066</v>
      </c>
      <c r="E1746" t="inlineStr">
        <is>
          <t>현대EP_fast</t>
        </is>
      </c>
      <c r="F1746" t="inlineStr">
        <is>
          <t>김태일</t>
        </is>
      </c>
      <c r="G1746" t="inlineStr">
        <is>
          <t>010-6550-0972</t>
        </is>
      </c>
      <c r="H1746" t="inlineStr">
        <is>
          <t>31거3307</t>
        </is>
      </c>
      <c r="I1746" t="n">
        <v>16500000</v>
      </c>
      <c r="J1746" t="n">
        <v>0.099</v>
      </c>
      <c r="K1746" t="n">
        <v>1.76</v>
      </c>
      <c r="L1746" t="n">
        <v>0.14</v>
      </c>
      <c r="M1746" t="n">
        <v>1.62</v>
      </c>
      <c r="P1746" t="inlineStr">
        <is>
          <t>최형주</t>
        </is>
      </c>
      <c r="Q1746" t="inlineStr">
        <is>
          <t>홈서비스 48개월</t>
        </is>
      </c>
      <c r="AB1746" t="inlineStr">
        <is>
          <t>홈서비스</t>
        </is>
      </c>
      <c r="AC1746" t="n">
        <v>290400</v>
      </c>
      <c r="AD1746" t="n">
        <v>23100</v>
      </c>
      <c r="AE1746" t="n">
        <v>267300</v>
      </c>
      <c r="AF1746" t="n">
        <v>264000</v>
      </c>
      <c r="AG1746" t="n">
        <v>22337.7</v>
      </c>
      <c r="AH1746" t="n">
        <v>241662.3</v>
      </c>
    </row>
    <row r="1747">
      <c r="A1747" t="inlineStr">
        <is>
          <t>2월</t>
        </is>
      </c>
      <c r="B1747" t="inlineStr">
        <is>
          <t>6주차</t>
        </is>
      </c>
      <c r="C1747" t="inlineStr">
        <is>
          <t>IM</t>
        </is>
      </c>
      <c r="D1747" s="28" t="n">
        <v>46059</v>
      </c>
      <c r="E1747" t="inlineStr">
        <is>
          <t>IM캐피탈</t>
        </is>
      </c>
      <c r="F1747" t="inlineStr">
        <is>
          <t>연미례</t>
        </is>
      </c>
      <c r="G1747" t="inlineStr">
        <is>
          <t>010-2606-2996</t>
        </is>
      </c>
      <c r="H1747" t="inlineStr">
        <is>
          <t>179마2545</t>
        </is>
      </c>
      <c r="I1747" t="n">
        <v>41500000</v>
      </c>
      <c r="J1747" t="n">
        <v>0.039</v>
      </c>
      <c r="K1747" t="n">
        <v>1.1</v>
      </c>
      <c r="L1747" t="n">
        <v>0.4</v>
      </c>
      <c r="M1747" t="n">
        <v>0.7</v>
      </c>
      <c r="P1747" t="inlineStr">
        <is>
          <t>정하은</t>
        </is>
      </c>
      <c r="Q1747" t="inlineStr">
        <is>
          <t>부대비용추가진행/ 면허보증진행건 (간효석)</t>
        </is>
      </c>
      <c r="AB1747" t="inlineStr">
        <is>
          <t>엔카</t>
        </is>
      </c>
      <c r="AC1747" t="n">
        <v>456500</v>
      </c>
      <c r="AD1747" t="n">
        <v>166000</v>
      </c>
      <c r="AE1747" t="n">
        <v>290500</v>
      </c>
      <c r="AF1747" t="n">
        <v>415000</v>
      </c>
      <c r="AG1747" t="n">
        <v>160522</v>
      </c>
      <c r="AH1747" t="n">
        <v>254478</v>
      </c>
      <c r="AI1747" t="n">
        <v>0</v>
      </c>
    </row>
    <row r="1748">
      <c r="A1748" t="inlineStr">
        <is>
          <t>2월</t>
        </is>
      </c>
      <c r="B1748" t="inlineStr">
        <is>
          <t>9주차</t>
        </is>
      </c>
      <c r="C1748" t="inlineStr">
        <is>
          <t>EP</t>
        </is>
      </c>
      <c r="D1748" s="28" t="n">
        <v>46080</v>
      </c>
      <c r="E1748" t="inlineStr">
        <is>
          <t>현대EP_fast</t>
        </is>
      </c>
      <c r="F1748" t="inlineStr">
        <is>
          <t>김이슬</t>
        </is>
      </c>
      <c r="G1748" t="inlineStr">
        <is>
          <t>010-8295-8003</t>
        </is>
      </c>
      <c r="H1748" t="inlineStr">
        <is>
          <t>45고9881</t>
        </is>
      </c>
      <c r="I1748" t="n">
        <v>6200000</v>
      </c>
      <c r="J1748" t="n">
        <v>0.124</v>
      </c>
      <c r="K1748" t="n">
        <v>1.76</v>
      </c>
      <c r="L1748" t="n">
        <v>0.4</v>
      </c>
      <c r="M1748" t="n">
        <v>1.36</v>
      </c>
      <c r="P1748" t="inlineStr">
        <is>
          <t>장현경</t>
        </is>
      </c>
      <c r="AB1748" t="inlineStr">
        <is>
          <t>엔카</t>
        </is>
      </c>
      <c r="AC1748" t="n">
        <v>109120</v>
      </c>
      <c r="AD1748" t="n">
        <v>24800</v>
      </c>
      <c r="AE1748" t="n">
        <v>84320</v>
      </c>
      <c r="AF1748" t="n">
        <v>99200</v>
      </c>
      <c r="AG1748" t="n">
        <v>23981.6</v>
      </c>
      <c r="AH1748" t="n">
        <v>75218.39999999999</v>
      </c>
    </row>
    <row r="1749">
      <c r="A1749" t="inlineStr">
        <is>
          <t>2월</t>
        </is>
      </c>
      <c r="B1749" t="inlineStr">
        <is>
          <t>9주차</t>
        </is>
      </c>
      <c r="C1749" t="inlineStr">
        <is>
          <t>EP</t>
        </is>
      </c>
      <c r="D1749" s="28" t="n">
        <v>46080</v>
      </c>
      <c r="E1749" t="inlineStr">
        <is>
          <t>현대EP_fast</t>
        </is>
      </c>
      <c r="F1749" t="inlineStr">
        <is>
          <t>공선기</t>
        </is>
      </c>
      <c r="G1749" t="inlineStr">
        <is>
          <t>010-8943-3015</t>
        </is>
      </c>
      <c r="H1749" t="inlineStr">
        <is>
          <t>97나2515</t>
        </is>
      </c>
      <c r="I1749" t="n">
        <v>20500000</v>
      </c>
      <c r="J1749" t="n">
        <v>0.102</v>
      </c>
      <c r="K1749" t="n">
        <v>1.76</v>
      </c>
      <c r="L1749" t="n">
        <v>0.14</v>
      </c>
      <c r="M1749" t="n">
        <v>1.62</v>
      </c>
      <c r="P1749" t="inlineStr">
        <is>
          <t>정광호</t>
        </is>
      </c>
      <c r="Q1749" t="inlineStr">
        <is>
          <t>홈서비스 48개월</t>
        </is>
      </c>
      <c r="AB1749" t="inlineStr">
        <is>
          <t>홈서비스</t>
        </is>
      </c>
      <c r="AC1749" t="n">
        <v>360800</v>
      </c>
      <c r="AD1749" t="n">
        <v>28700</v>
      </c>
      <c r="AE1749" t="n">
        <v>332100</v>
      </c>
      <c r="AF1749" t="n">
        <v>328000</v>
      </c>
      <c r="AG1749" t="n">
        <v>27752.9</v>
      </c>
      <c r="AH1749" t="n">
        <v>300247.1</v>
      </c>
    </row>
    <row r="1750">
      <c r="A1750" t="inlineStr">
        <is>
          <t>3월</t>
        </is>
      </c>
      <c r="B1750" t="inlineStr">
        <is>
          <t>11주차</t>
        </is>
      </c>
      <c r="C1750" t="inlineStr">
        <is>
          <t>EP</t>
        </is>
      </c>
      <c r="D1750" s="28" t="n">
        <v>46090</v>
      </c>
      <c r="E1750" t="inlineStr">
        <is>
          <t>현대EP</t>
        </is>
      </c>
      <c r="F1750" t="inlineStr">
        <is>
          <t>이지혜</t>
        </is>
      </c>
      <c r="G1750" t="inlineStr">
        <is>
          <t>010-5431-5145</t>
        </is>
      </c>
      <c r="H1750" t="inlineStr">
        <is>
          <t>45무8624</t>
        </is>
      </c>
      <c r="I1750" t="n">
        <v>23000000</v>
      </c>
      <c r="J1750" t="n">
        <v>0.054</v>
      </c>
      <c r="K1750" t="n">
        <v>1.76</v>
      </c>
      <c r="L1750" t="n">
        <v>0.14</v>
      </c>
      <c r="M1750" t="n">
        <v>1.62</v>
      </c>
      <c r="P1750" t="inlineStr">
        <is>
          <t>황채이</t>
        </is>
      </c>
      <c r="Q1750" t="inlineStr">
        <is>
          <t>홈서비스 60개월</t>
        </is>
      </c>
      <c r="AB1750" t="inlineStr">
        <is>
          <t>홈서비스</t>
        </is>
      </c>
      <c r="AC1750" t="n">
        <v>404800</v>
      </c>
      <c r="AD1750" t="n">
        <v>32200</v>
      </c>
      <c r="AE1750" t="n">
        <v>372600</v>
      </c>
      <c r="AF1750" t="n">
        <v>368000</v>
      </c>
      <c r="AG1750" t="n">
        <v>31137.4</v>
      </c>
      <c r="AH1750" t="n">
        <v>336862.6</v>
      </c>
      <c r="AI1750" t="n">
        <v>0</v>
      </c>
    </row>
    <row r="1751">
      <c r="A1751" t="inlineStr">
        <is>
          <t>2월</t>
        </is>
      </c>
      <c r="B1751" t="inlineStr">
        <is>
          <t>9주차</t>
        </is>
      </c>
      <c r="C1751" t="inlineStr">
        <is>
          <t>EP</t>
        </is>
      </c>
      <c r="D1751" s="28" t="n">
        <v>46081</v>
      </c>
      <c r="E1751" t="inlineStr">
        <is>
          <t>현대EP</t>
        </is>
      </c>
      <c r="F1751" t="inlineStr">
        <is>
          <t>송승혁</t>
        </is>
      </c>
      <c r="G1751" t="inlineStr">
        <is>
          <t>010-9904-1066</t>
        </is>
      </c>
      <c r="H1751" t="inlineStr">
        <is>
          <t>201루1003</t>
        </is>
      </c>
      <c r="I1751" t="n">
        <v>9000000</v>
      </c>
      <c r="J1751" t="n">
        <v>0.08699999999999999</v>
      </c>
      <c r="K1751" t="n">
        <v>1.76</v>
      </c>
      <c r="L1751" t="n">
        <v>0.14</v>
      </c>
      <c r="M1751" t="n">
        <v>1.62</v>
      </c>
      <c r="P1751" t="inlineStr">
        <is>
          <t>정광호</t>
        </is>
      </c>
      <c r="Q1751" t="inlineStr">
        <is>
          <t>홈서비스 24개월</t>
        </is>
      </c>
      <c r="AB1751" t="inlineStr">
        <is>
          <t>홈서비스</t>
        </is>
      </c>
      <c r="AC1751" t="n">
        <v>158400</v>
      </c>
      <c r="AD1751" t="n">
        <v>12600</v>
      </c>
      <c r="AE1751" t="n">
        <v>145800</v>
      </c>
      <c r="AF1751" t="n">
        <v>144000</v>
      </c>
      <c r="AG1751" t="n">
        <v>12184.2</v>
      </c>
      <c r="AH1751" t="n">
        <v>131815.8</v>
      </c>
    </row>
    <row r="1752">
      <c r="A1752" t="inlineStr">
        <is>
          <t>3월</t>
        </is>
      </c>
      <c r="B1752" t="inlineStr">
        <is>
          <t>10주차</t>
        </is>
      </c>
      <c r="C1752" t="inlineStr">
        <is>
          <t>WC</t>
        </is>
      </c>
      <c r="D1752" s="28" t="n">
        <v>46086</v>
      </c>
      <c r="E1752" t="inlineStr">
        <is>
          <t>웰컴저축은행</t>
        </is>
      </c>
      <c r="F1752" t="inlineStr">
        <is>
          <t>이사랑</t>
        </is>
      </c>
      <c r="G1752" t="inlineStr">
        <is>
          <t>010-5822-5144</t>
        </is>
      </c>
      <c r="H1752" t="inlineStr">
        <is>
          <t>286어7472</t>
        </is>
      </c>
      <c r="I1752" t="n">
        <v>15000000</v>
      </c>
      <c r="J1752" t="n">
        <v>0.099</v>
      </c>
      <c r="K1752" t="n">
        <v>0</v>
      </c>
      <c r="L1752" t="n">
        <v>0.14</v>
      </c>
      <c r="M1752" t="n">
        <v>-0.14</v>
      </c>
      <c r="P1752" t="inlineStr">
        <is>
          <t>김나윤</t>
        </is>
      </c>
      <c r="Q1752" t="inlineStr">
        <is>
          <t>홈서비스 48개월</t>
        </is>
      </c>
      <c r="AB1752" t="inlineStr">
        <is>
          <t>홈서비스</t>
        </is>
      </c>
      <c r="AC1752" t="n">
        <v>0</v>
      </c>
      <c r="AD1752" t="n">
        <v>21000</v>
      </c>
      <c r="AE1752" t="n">
        <v>-21000</v>
      </c>
      <c r="AF1752" t="n">
        <v>0</v>
      </c>
      <c r="AG1752" t="n">
        <v>20307</v>
      </c>
      <c r="AH1752" t="n">
        <v>-20307</v>
      </c>
      <c r="AI1752" t="n">
        <v>0</v>
      </c>
    </row>
    <row r="1753">
      <c r="A1753" t="inlineStr">
        <is>
          <t>3월</t>
        </is>
      </c>
      <c r="B1753" t="inlineStr">
        <is>
          <t>10주차</t>
        </is>
      </c>
      <c r="C1753" t="inlineStr">
        <is>
          <t>EP</t>
        </is>
      </c>
      <c r="D1753" s="28" t="n">
        <v>46086</v>
      </c>
      <c r="E1753" t="inlineStr">
        <is>
          <t>현대EP_fast</t>
        </is>
      </c>
      <c r="F1753" t="inlineStr">
        <is>
          <t>이경태</t>
        </is>
      </c>
      <c r="G1753" t="inlineStr">
        <is>
          <t>010-4579-3138</t>
        </is>
      </c>
      <c r="H1753" t="inlineStr">
        <is>
          <t>391마9796</t>
        </is>
      </c>
      <c r="I1753" t="n">
        <v>-87900000</v>
      </c>
      <c r="J1753" t="n">
        <v>0.092</v>
      </c>
      <c r="K1753" t="n">
        <v>1.76</v>
      </c>
      <c r="L1753" t="n">
        <v>0.14</v>
      </c>
      <c r="M1753" t="n">
        <v>1.62</v>
      </c>
      <c r="P1753" t="inlineStr">
        <is>
          <t>최형주</t>
        </is>
      </c>
      <c r="Q1753" t="inlineStr">
        <is>
          <t>홈서비스 60개월 / 금리인하 0.5% 적용건 (9.7 &gt; 9.2)</t>
        </is>
      </c>
      <c r="AB1753" t="inlineStr">
        <is>
          <t>홈서비스</t>
        </is>
      </c>
      <c r="AC1753" t="n">
        <v>-1547040</v>
      </c>
      <c r="AD1753" t="n">
        <v>-123060</v>
      </c>
      <c r="AE1753" t="n">
        <v>-1423980</v>
      </c>
      <c r="AF1753" t="n">
        <v>-1406400</v>
      </c>
      <c r="AG1753" t="n">
        <v>-118999.02</v>
      </c>
      <c r="AH1753" t="n">
        <v>-1287400.98</v>
      </c>
    </row>
    <row r="1754">
      <c r="A1754" t="inlineStr">
        <is>
          <t>3월</t>
        </is>
      </c>
      <c r="B1754" t="inlineStr">
        <is>
          <t>10주차</t>
        </is>
      </c>
      <c r="C1754" t="inlineStr">
        <is>
          <t>EP</t>
        </is>
      </c>
      <c r="D1754" s="28" t="n">
        <v>46084</v>
      </c>
      <c r="E1754" t="inlineStr">
        <is>
          <t>현대EP_fast</t>
        </is>
      </c>
      <c r="F1754" t="inlineStr">
        <is>
          <t>이수완</t>
        </is>
      </c>
      <c r="G1754" t="inlineStr">
        <is>
          <t>010-6383-8872</t>
        </is>
      </c>
      <c r="H1754" t="inlineStr">
        <is>
          <t>13라1630</t>
        </is>
      </c>
      <c r="I1754" t="n">
        <v>4100000</v>
      </c>
      <c r="J1754" t="n">
        <v>0.075</v>
      </c>
      <c r="K1754" t="n">
        <v>1.76</v>
      </c>
      <c r="L1754" t="n">
        <v>0.14</v>
      </c>
      <c r="M1754" t="n">
        <v>1.62</v>
      </c>
      <c r="P1754" t="inlineStr">
        <is>
          <t>정광호</t>
        </is>
      </c>
      <c r="Q1754" t="inlineStr">
        <is>
          <t>홈서비스 36개월</t>
        </is>
      </c>
      <c r="AB1754" t="inlineStr">
        <is>
          <t>홈서비스</t>
        </is>
      </c>
      <c r="AC1754" t="n">
        <v>72160</v>
      </c>
      <c r="AD1754" t="n">
        <v>5740</v>
      </c>
      <c r="AE1754" t="n">
        <v>66420</v>
      </c>
      <c r="AF1754" t="n">
        <v>65600</v>
      </c>
      <c r="AG1754" t="n">
        <v>5550.58</v>
      </c>
      <c r="AH1754" t="n">
        <v>60049.42</v>
      </c>
    </row>
    <row r="1755">
      <c r="A1755" t="inlineStr">
        <is>
          <t>2월</t>
        </is>
      </c>
      <c r="B1755" t="inlineStr">
        <is>
          <t>9주차</t>
        </is>
      </c>
      <c r="C1755" t="inlineStr">
        <is>
          <t>EP</t>
        </is>
      </c>
      <c r="D1755" s="28" t="n">
        <v>46081</v>
      </c>
      <c r="E1755" t="inlineStr">
        <is>
          <t>현대EP</t>
        </is>
      </c>
      <c r="F1755" t="inlineStr">
        <is>
          <t>엄휘용</t>
        </is>
      </c>
      <c r="G1755" t="inlineStr">
        <is>
          <t>010-7732-1047</t>
        </is>
      </c>
      <c r="H1755" t="inlineStr">
        <is>
          <t>39주7802</t>
        </is>
      </c>
      <c r="I1755" t="n">
        <v>3700000</v>
      </c>
      <c r="J1755" t="n">
        <v>0.124</v>
      </c>
      <c r="K1755" t="n">
        <v>1.76</v>
      </c>
      <c r="L1755" t="n">
        <v>0.14</v>
      </c>
      <c r="M1755" t="n">
        <v>1.62</v>
      </c>
      <c r="P1755" t="inlineStr">
        <is>
          <t>최형주</t>
        </is>
      </c>
      <c r="Q1755" t="inlineStr">
        <is>
          <t>홈서비스 24개월</t>
        </is>
      </c>
      <c r="AB1755" t="inlineStr">
        <is>
          <t>홈서비스</t>
        </is>
      </c>
      <c r="AC1755" t="n">
        <v>65120</v>
      </c>
      <c r="AD1755" t="n">
        <v>5180</v>
      </c>
      <c r="AE1755" t="n">
        <v>59940</v>
      </c>
      <c r="AF1755" t="n">
        <v>59200</v>
      </c>
      <c r="AG1755" t="n">
        <v>5009.06</v>
      </c>
      <c r="AH1755" t="n">
        <v>54190.94</v>
      </c>
    </row>
    <row r="1756">
      <c r="A1756" t="inlineStr">
        <is>
          <t>2월</t>
        </is>
      </c>
      <c r="B1756" t="inlineStr">
        <is>
          <t>9주차</t>
        </is>
      </c>
      <c r="C1756" t="inlineStr">
        <is>
          <t>IM</t>
        </is>
      </c>
      <c r="D1756" s="28" t="n">
        <v>46078</v>
      </c>
      <c r="E1756" t="inlineStr">
        <is>
          <t>IM캐피탈</t>
        </is>
      </c>
      <c r="F1756" t="inlineStr">
        <is>
          <t>이종한</t>
        </is>
      </c>
      <c r="G1756" t="inlineStr">
        <is>
          <t>010-8466-5391</t>
        </is>
      </c>
      <c r="H1756" t="inlineStr">
        <is>
          <t>140두1511</t>
        </is>
      </c>
      <c r="I1756" t="n">
        <v>35000000</v>
      </c>
      <c r="J1756" t="n">
        <v>0.049</v>
      </c>
      <c r="K1756" t="n">
        <v>1.1</v>
      </c>
      <c r="L1756" t="n">
        <v>0.14</v>
      </c>
      <c r="M1756" t="n">
        <v>0.96</v>
      </c>
      <c r="P1756" t="inlineStr">
        <is>
          <t>정하은</t>
        </is>
      </c>
      <c r="Q1756" t="inlineStr">
        <is>
          <t>부대비용추가진행 /홈서비스84개월 /선상담</t>
        </is>
      </c>
      <c r="AB1756" t="inlineStr">
        <is>
          <t>홈서비스</t>
        </is>
      </c>
      <c r="AC1756" t="n">
        <v>385000</v>
      </c>
      <c r="AD1756" t="n">
        <v>49000</v>
      </c>
      <c r="AE1756" t="n">
        <v>336000</v>
      </c>
      <c r="AF1756" t="n">
        <v>350000</v>
      </c>
      <c r="AG1756" t="n">
        <v>47383</v>
      </c>
      <c r="AH1756" t="n">
        <v>302617</v>
      </c>
    </row>
    <row r="1757">
      <c r="A1757" t="inlineStr">
        <is>
          <t>2월</t>
        </is>
      </c>
      <c r="B1757" t="inlineStr">
        <is>
          <t>9주차</t>
        </is>
      </c>
      <c r="C1757" t="inlineStr">
        <is>
          <t>IM</t>
        </is>
      </c>
      <c r="D1757" s="28" t="n">
        <v>46080</v>
      </c>
      <c r="E1757" t="inlineStr">
        <is>
          <t>IM캐피탈</t>
        </is>
      </c>
      <c r="F1757" t="inlineStr">
        <is>
          <t>최유나</t>
        </is>
      </c>
      <c r="G1757" t="inlineStr">
        <is>
          <t>010-8351-2403</t>
        </is>
      </c>
      <c r="H1757" t="inlineStr">
        <is>
          <t>270수4734</t>
        </is>
      </c>
      <c r="I1757" t="n">
        <v>33300000</v>
      </c>
      <c r="J1757" t="n">
        <v>0.056</v>
      </c>
      <c r="K1757" t="n">
        <v>1.1</v>
      </c>
      <c r="L1757" t="n">
        <v>0.14</v>
      </c>
      <c r="M1757" t="n">
        <v>0.96</v>
      </c>
      <c r="P1757" t="inlineStr">
        <is>
          <t>김나윤</t>
        </is>
      </c>
      <c r="Q1757" t="inlineStr">
        <is>
          <t>홈서비스 84개월</t>
        </is>
      </c>
      <c r="AB1757" t="inlineStr">
        <is>
          <t>홈서비스</t>
        </is>
      </c>
      <c r="AC1757" t="n">
        <v>366300</v>
      </c>
      <c r="AD1757" t="n">
        <v>46620</v>
      </c>
      <c r="AE1757" t="n">
        <v>319680</v>
      </c>
      <c r="AF1757" t="n">
        <v>333000</v>
      </c>
      <c r="AG1757" t="n">
        <v>45081.54</v>
      </c>
      <c r="AH1757" t="n">
        <v>287918.46</v>
      </c>
      <c r="AI1757" t="n">
        <v>0</v>
      </c>
    </row>
    <row r="1758">
      <c r="A1758" t="inlineStr">
        <is>
          <t>2월</t>
        </is>
      </c>
      <c r="B1758" t="inlineStr">
        <is>
          <t>9주차</t>
        </is>
      </c>
      <c r="C1758" t="inlineStr">
        <is>
          <t>IM</t>
        </is>
      </c>
      <c r="D1758" s="28" t="n">
        <v>46079</v>
      </c>
      <c r="E1758" t="inlineStr">
        <is>
          <t>IM캐피탈</t>
        </is>
      </c>
      <c r="F1758" t="inlineStr">
        <is>
          <t>김영</t>
        </is>
      </c>
      <c r="G1758" t="inlineStr">
        <is>
          <t>010-4706-2613</t>
        </is>
      </c>
      <c r="H1758" t="inlineStr">
        <is>
          <t>201모2465</t>
        </is>
      </c>
      <c r="I1758" t="n">
        <v>15000000</v>
      </c>
      <c r="J1758" t="n">
        <v>0.135</v>
      </c>
      <c r="K1758" t="n">
        <v>1.1</v>
      </c>
      <c r="L1758" t="n">
        <v>0.14</v>
      </c>
      <c r="M1758" t="n">
        <v>0.96</v>
      </c>
      <c r="P1758" t="inlineStr">
        <is>
          <t>구성완</t>
        </is>
      </c>
      <c r="Q1758" t="inlineStr">
        <is>
          <t>안심거래존건</t>
        </is>
      </c>
      <c r="AB1758" t="inlineStr">
        <is>
          <t>믿고</t>
        </is>
      </c>
      <c r="AC1758" t="n">
        <v>165000</v>
      </c>
      <c r="AD1758" t="n">
        <v>21000</v>
      </c>
      <c r="AE1758" t="n">
        <v>144000</v>
      </c>
      <c r="AF1758" t="n">
        <v>150000</v>
      </c>
      <c r="AG1758" t="n">
        <v>20307</v>
      </c>
      <c r="AH1758" t="n">
        <v>129693</v>
      </c>
    </row>
    <row r="1759">
      <c r="A1759" t="inlineStr">
        <is>
          <t>2월</t>
        </is>
      </c>
      <c r="B1759" t="inlineStr">
        <is>
          <t>9주차</t>
        </is>
      </c>
      <c r="C1759" t="inlineStr">
        <is>
          <t>OR</t>
        </is>
      </c>
      <c r="D1759" s="28" t="n">
        <v>46078</v>
      </c>
      <c r="E1759" t="inlineStr">
        <is>
          <t>오릭스</t>
        </is>
      </c>
      <c r="F1759" t="inlineStr">
        <is>
          <t>김민규</t>
        </is>
      </c>
      <c r="G1759" t="inlineStr">
        <is>
          <t>010-2525-5429</t>
        </is>
      </c>
      <c r="H1759" t="inlineStr">
        <is>
          <t>04라5838</t>
        </is>
      </c>
      <c r="I1759" t="n">
        <v>14700000</v>
      </c>
      <c r="J1759" t="n">
        <v>0.08</v>
      </c>
      <c r="K1759" t="n">
        <v>1.65</v>
      </c>
      <c r="L1759" t="n">
        <v>0.14</v>
      </c>
      <c r="M1759" t="n">
        <v>1.51</v>
      </c>
      <c r="P1759" t="inlineStr">
        <is>
          <t>박소현</t>
        </is>
      </c>
      <c r="Q1759" t="inlineStr">
        <is>
          <t>선상담  /홈서비스 48개월</t>
        </is>
      </c>
      <c r="AB1759" t="inlineStr">
        <is>
          <t>홈서비스</t>
        </is>
      </c>
      <c r="AC1759" t="n">
        <v>242550</v>
      </c>
      <c r="AD1759" t="n">
        <v>20580</v>
      </c>
      <c r="AE1759" t="n">
        <v>221970</v>
      </c>
      <c r="AF1759" t="n">
        <v>220500</v>
      </c>
      <c r="AG1759" t="n">
        <v>19900.86</v>
      </c>
      <c r="AH1759" t="n">
        <v>200599.14</v>
      </c>
      <c r="AI1759" t="n">
        <v>0</v>
      </c>
    </row>
    <row r="1760">
      <c r="A1760" t="inlineStr">
        <is>
          <t>3월</t>
        </is>
      </c>
      <c r="B1760" t="inlineStr">
        <is>
          <t>10주차</t>
        </is>
      </c>
      <c r="C1760" t="inlineStr">
        <is>
          <t>EP</t>
        </is>
      </c>
      <c r="D1760" s="28" t="n">
        <v>46086</v>
      </c>
      <c r="E1760" t="inlineStr">
        <is>
          <t>현대EP</t>
        </is>
      </c>
      <c r="F1760" t="inlineStr">
        <is>
          <t>정인기</t>
        </is>
      </c>
      <c r="G1760" t="inlineStr">
        <is>
          <t>010-9029-7368</t>
        </is>
      </c>
      <c r="H1760" t="inlineStr">
        <is>
          <t>340소9718</t>
        </is>
      </c>
      <c r="I1760" t="n">
        <v>26300000</v>
      </c>
      <c r="J1760" t="n">
        <v>0.062</v>
      </c>
      <c r="K1760" t="n">
        <v>1.76</v>
      </c>
      <c r="L1760" t="n">
        <v>0.14</v>
      </c>
      <c r="M1760" t="n">
        <v>1.62</v>
      </c>
      <c r="P1760" t="inlineStr">
        <is>
          <t>황채이</t>
        </is>
      </c>
      <c r="Q1760" t="inlineStr">
        <is>
          <t>홈서비스 60개월</t>
        </is>
      </c>
      <c r="AB1760" t="inlineStr">
        <is>
          <t>홈서비스</t>
        </is>
      </c>
      <c r="AC1760" t="n">
        <v>462880</v>
      </c>
      <c r="AD1760" t="n">
        <v>36820</v>
      </c>
      <c r="AE1760" t="n">
        <v>426060</v>
      </c>
      <c r="AF1760" t="n">
        <v>420800</v>
      </c>
      <c r="AG1760" t="n">
        <v>35604.94</v>
      </c>
      <c r="AH1760" t="n">
        <v>385195.06</v>
      </c>
      <c r="AI1760" t="n">
        <v>0</v>
      </c>
    </row>
    <row r="1761">
      <c r="A1761" t="inlineStr">
        <is>
          <t>2월</t>
        </is>
      </c>
      <c r="B1761" t="inlineStr">
        <is>
          <t>9주차</t>
        </is>
      </c>
      <c r="C1761" t="inlineStr">
        <is>
          <t>EP</t>
        </is>
      </c>
      <c r="D1761" s="28" t="n">
        <v>46080</v>
      </c>
      <c r="E1761" t="inlineStr">
        <is>
          <t>현대EP</t>
        </is>
      </c>
      <c r="F1761" t="inlineStr">
        <is>
          <t>조근수</t>
        </is>
      </c>
      <c r="G1761" t="inlineStr">
        <is>
          <t>010-3403-0460</t>
        </is>
      </c>
      <c r="H1761" t="inlineStr">
        <is>
          <t>14모2157</t>
        </is>
      </c>
      <c r="I1761" t="n">
        <v>27500000</v>
      </c>
      <c r="J1761" t="n">
        <v>0.116</v>
      </c>
      <c r="K1761" t="n">
        <v>1.76</v>
      </c>
      <c r="L1761" t="n">
        <v>0.14</v>
      </c>
      <c r="M1761" t="n">
        <v>1.62</v>
      </c>
      <c r="P1761" t="inlineStr">
        <is>
          <t>임대경</t>
        </is>
      </c>
      <c r="Q1761" t="inlineStr">
        <is>
          <t>홈서비스 48개월</t>
        </is>
      </c>
      <c r="AB1761" t="inlineStr">
        <is>
          <t>홈서비스</t>
        </is>
      </c>
      <c r="AC1761" t="n">
        <v>484000</v>
      </c>
      <c r="AD1761" t="n">
        <v>38500</v>
      </c>
      <c r="AE1761" t="n">
        <v>445500</v>
      </c>
      <c r="AF1761" t="n">
        <v>440000</v>
      </c>
      <c r="AG1761" t="n">
        <v>37229.5</v>
      </c>
      <c r="AH1761" t="n">
        <v>402770.5</v>
      </c>
      <c r="AI1761" t="n">
        <v>0</v>
      </c>
    </row>
    <row r="1762">
      <c r="A1762" t="inlineStr">
        <is>
          <t>2월</t>
        </is>
      </c>
      <c r="B1762" t="inlineStr">
        <is>
          <t>9주차</t>
        </is>
      </c>
      <c r="C1762" t="inlineStr">
        <is>
          <t>IM</t>
        </is>
      </c>
      <c r="D1762" s="28" t="n">
        <v>46080</v>
      </c>
      <c r="E1762" t="inlineStr">
        <is>
          <t>IM캐피탈</t>
        </is>
      </c>
      <c r="F1762" t="inlineStr">
        <is>
          <t>최유나</t>
        </is>
      </c>
      <c r="G1762" t="inlineStr">
        <is>
          <t>010-8351-2403</t>
        </is>
      </c>
      <c r="H1762" t="inlineStr">
        <is>
          <t>270수4734</t>
        </is>
      </c>
      <c r="I1762" t="n">
        <v>-33300000</v>
      </c>
      <c r="J1762" t="n">
        <v>0.056</v>
      </c>
      <c r="K1762" t="n">
        <v>1.1</v>
      </c>
      <c r="L1762" t="n">
        <v>0.14</v>
      </c>
      <c r="M1762" t="n">
        <v>0.96</v>
      </c>
      <c r="P1762" t="inlineStr">
        <is>
          <t>김나윤</t>
        </is>
      </c>
      <c r="Q1762" t="inlineStr">
        <is>
          <t>홈서비스 84개월/*철회 20260304</t>
        </is>
      </c>
      <c r="AB1762" t="inlineStr">
        <is>
          <t>홈서비스</t>
        </is>
      </c>
      <c r="AC1762" t="n">
        <v>-366300</v>
      </c>
      <c r="AD1762" t="n">
        <v>-46620</v>
      </c>
      <c r="AE1762" t="n">
        <v>-319680</v>
      </c>
      <c r="AF1762" t="n">
        <v>-333000</v>
      </c>
      <c r="AG1762" t="n">
        <v>-45081.54</v>
      </c>
      <c r="AH1762" t="n">
        <v>-287918.46</v>
      </c>
      <c r="AI1762" t="n">
        <v>0</v>
      </c>
      <c r="AK1762" t="inlineStr">
        <is>
          <t>대출철회</t>
        </is>
      </c>
    </row>
    <row r="1763">
      <c r="A1763" t="inlineStr">
        <is>
          <t>2월</t>
        </is>
      </c>
      <c r="B1763" t="inlineStr">
        <is>
          <t>9주차</t>
        </is>
      </c>
      <c r="C1763" t="inlineStr">
        <is>
          <t>EP</t>
        </is>
      </c>
      <c r="D1763" s="28" t="n">
        <v>46080</v>
      </c>
      <c r="E1763" t="inlineStr">
        <is>
          <t>제이비EP</t>
        </is>
      </c>
      <c r="F1763" t="inlineStr">
        <is>
          <t>백상헌</t>
        </is>
      </c>
      <c r="G1763" t="inlineStr">
        <is>
          <t>010-5578-0111</t>
        </is>
      </c>
      <c r="H1763" t="inlineStr">
        <is>
          <t>13러8131</t>
        </is>
      </c>
      <c r="I1763" t="n">
        <v>4500000</v>
      </c>
      <c r="J1763" t="n">
        <v>0.092</v>
      </c>
      <c r="K1763" t="n">
        <v>1.65</v>
      </c>
      <c r="L1763" t="n">
        <v>0.4</v>
      </c>
      <c r="M1763" t="n">
        <v>1.25</v>
      </c>
      <c r="P1763" t="inlineStr">
        <is>
          <t>박현민</t>
        </is>
      </c>
      <c r="AB1763" t="inlineStr">
        <is>
          <t>엔카</t>
        </is>
      </c>
      <c r="AC1763" t="n">
        <v>74250</v>
      </c>
      <c r="AD1763" t="n">
        <v>18000</v>
      </c>
      <c r="AE1763" t="n">
        <v>56250</v>
      </c>
      <c r="AF1763" t="n">
        <v>67500</v>
      </c>
      <c r="AG1763" t="n">
        <v>17406</v>
      </c>
      <c r="AH1763" t="n">
        <v>50094</v>
      </c>
      <c r="AI1763" t="n">
        <v>0</v>
      </c>
    </row>
    <row r="1764">
      <c r="A1764" t="inlineStr">
        <is>
          <t>3월</t>
        </is>
      </c>
      <c r="B1764" t="inlineStr">
        <is>
          <t>10주차</t>
        </is>
      </c>
      <c r="C1764" t="inlineStr">
        <is>
          <t>IM</t>
        </is>
      </c>
      <c r="D1764" s="28" t="n">
        <v>46084</v>
      </c>
      <c r="E1764" t="inlineStr">
        <is>
          <t>IM캐피탈</t>
        </is>
      </c>
      <c r="F1764" t="inlineStr">
        <is>
          <t>박상태</t>
        </is>
      </c>
      <c r="G1764" t="inlineStr">
        <is>
          <t>010-5232-6693</t>
        </is>
      </c>
      <c r="H1764" t="inlineStr">
        <is>
          <t>15저9299</t>
        </is>
      </c>
      <c r="I1764" t="n">
        <v>27500000</v>
      </c>
      <c r="J1764" t="n">
        <v>0.056</v>
      </c>
      <c r="K1764" t="n">
        <v>1.1</v>
      </c>
      <c r="L1764" t="n">
        <v>0.14</v>
      </c>
      <c r="M1764" t="n">
        <v>0.96</v>
      </c>
      <c r="P1764" t="inlineStr">
        <is>
          <t>김나윤</t>
        </is>
      </c>
      <c r="Q1764" t="inlineStr">
        <is>
          <t>홈서비스 60개월</t>
        </is>
      </c>
      <c r="AB1764" t="inlineStr">
        <is>
          <t>홈서비스</t>
        </is>
      </c>
      <c r="AC1764" t="n">
        <v>302500</v>
      </c>
      <c r="AD1764" t="n">
        <v>38500</v>
      </c>
      <c r="AE1764" t="n">
        <v>264000</v>
      </c>
      <c r="AF1764" t="n">
        <v>275000</v>
      </c>
      <c r="AG1764" t="n">
        <v>37229.5</v>
      </c>
      <c r="AH1764" t="n">
        <v>237770.5</v>
      </c>
      <c r="AI1764" t="n">
        <v>0</v>
      </c>
    </row>
    <row r="1765">
      <c r="A1765" t="inlineStr">
        <is>
          <t>3월</t>
        </is>
      </c>
      <c r="B1765" t="inlineStr">
        <is>
          <t>10주차</t>
        </is>
      </c>
      <c r="C1765" t="inlineStr">
        <is>
          <t>EP</t>
        </is>
      </c>
      <c r="D1765" s="28" t="n">
        <v>46087</v>
      </c>
      <c r="E1765" t="inlineStr">
        <is>
          <t>현대EP_fast</t>
        </is>
      </c>
      <c r="F1765" t="inlineStr">
        <is>
          <t>이영도</t>
        </is>
      </c>
      <c r="G1765" t="inlineStr">
        <is>
          <t>010-2395-7647</t>
        </is>
      </c>
      <c r="H1765" t="inlineStr">
        <is>
          <t>18가5307</t>
        </is>
      </c>
      <c r="I1765" t="n">
        <v>11900000</v>
      </c>
      <c r="J1765" t="n">
        <v>0.09</v>
      </c>
      <c r="K1765" t="n">
        <v>1.76</v>
      </c>
      <c r="L1765" t="n">
        <v>0.14</v>
      </c>
      <c r="M1765" t="n">
        <v>1.62</v>
      </c>
      <c r="P1765" t="inlineStr">
        <is>
          <t>김수연</t>
        </is>
      </c>
      <c r="Q1765" t="inlineStr">
        <is>
          <t>홈서비스 60개월</t>
        </is>
      </c>
      <c r="AB1765" t="inlineStr">
        <is>
          <t>홈서비스</t>
        </is>
      </c>
      <c r="AC1765" t="n">
        <v>209440</v>
      </c>
      <c r="AD1765" t="n">
        <v>16660</v>
      </c>
      <c r="AE1765" t="n">
        <v>192780</v>
      </c>
      <c r="AF1765" t="n">
        <v>190400</v>
      </c>
      <c r="AG1765" t="n">
        <v>16110.22</v>
      </c>
      <c r="AH1765" t="n">
        <v>174289.78</v>
      </c>
      <c r="AI1765" t="n">
        <v>0</v>
      </c>
    </row>
    <row r="1766">
      <c r="A1766" t="inlineStr">
        <is>
          <t>3월</t>
        </is>
      </c>
      <c r="B1766" t="inlineStr">
        <is>
          <t>11주차</t>
        </is>
      </c>
      <c r="C1766" t="inlineStr">
        <is>
          <t>EP</t>
        </is>
      </c>
      <c r="D1766" s="28" t="n">
        <v>46090</v>
      </c>
      <c r="E1766" t="inlineStr">
        <is>
          <t>현대EP</t>
        </is>
      </c>
      <c r="F1766" t="inlineStr">
        <is>
          <t>김주원</t>
        </is>
      </c>
      <c r="G1766" t="inlineStr">
        <is>
          <t>010-3886-0511</t>
        </is>
      </c>
      <c r="H1766" t="inlineStr">
        <is>
          <t>17러4298</t>
        </is>
      </c>
      <c r="I1766" t="n">
        <v>10000000</v>
      </c>
      <c r="J1766" t="n">
        <v>0.062</v>
      </c>
      <c r="K1766" t="n">
        <v>1.76</v>
      </c>
      <c r="L1766" t="n">
        <v>0.14</v>
      </c>
      <c r="M1766" t="n">
        <v>1.62</v>
      </c>
      <c r="P1766" t="inlineStr">
        <is>
          <t>황채이</t>
        </is>
      </c>
      <c r="Q1766" t="inlineStr">
        <is>
          <t>홈서비스 60개월</t>
        </is>
      </c>
      <c r="AB1766" t="inlineStr">
        <is>
          <t>홈서비스</t>
        </is>
      </c>
      <c r="AC1766" t="n">
        <v>176000</v>
      </c>
      <c r="AD1766" t="n">
        <v>14000</v>
      </c>
      <c r="AE1766" t="n">
        <v>162000</v>
      </c>
      <c r="AF1766" t="n">
        <v>160000</v>
      </c>
      <c r="AG1766" t="n">
        <v>13538</v>
      </c>
      <c r="AH1766" t="n">
        <v>146462</v>
      </c>
      <c r="AI1766" t="n">
        <v>0</v>
      </c>
    </row>
    <row r="1767">
      <c r="A1767" t="inlineStr">
        <is>
          <t>3월</t>
        </is>
      </c>
      <c r="B1767" t="inlineStr">
        <is>
          <t>10주차</t>
        </is>
      </c>
      <c r="C1767" t="inlineStr">
        <is>
          <t>EP</t>
        </is>
      </c>
      <c r="D1767" s="28" t="n">
        <v>46083</v>
      </c>
      <c r="E1767" t="inlineStr">
        <is>
          <t>현대EP</t>
        </is>
      </c>
      <c r="F1767" t="inlineStr">
        <is>
          <t>심정혁</t>
        </is>
      </c>
      <c r="G1767" t="inlineStr">
        <is>
          <t>010-4578-3406</t>
        </is>
      </c>
      <c r="H1767" t="inlineStr">
        <is>
          <t>65가9359</t>
        </is>
      </c>
      <c r="I1767" t="n">
        <v>41100000</v>
      </c>
      <c r="J1767" t="n">
        <v>0.089</v>
      </c>
      <c r="K1767" t="n">
        <v>1.76</v>
      </c>
      <c r="L1767" t="n">
        <v>0.14</v>
      </c>
      <c r="M1767" t="n">
        <v>1.62</v>
      </c>
      <c r="P1767" t="inlineStr">
        <is>
          <t>정광호</t>
        </is>
      </c>
      <c r="Q1767" t="inlineStr">
        <is>
          <t>홈서비스 60개월</t>
        </is>
      </c>
      <c r="AB1767" t="inlineStr">
        <is>
          <t>홈서비스</t>
        </is>
      </c>
      <c r="AC1767" t="n">
        <v>723360</v>
      </c>
      <c r="AD1767" t="n">
        <v>57540</v>
      </c>
      <c r="AE1767" t="n">
        <v>665820</v>
      </c>
      <c r="AF1767" t="n">
        <v>657600</v>
      </c>
      <c r="AG1767" t="n">
        <v>55641.18</v>
      </c>
      <c r="AH1767" t="n">
        <v>601958.8199999999</v>
      </c>
      <c r="AI1767" t="n">
        <v>0</v>
      </c>
    </row>
    <row r="1768">
      <c r="A1768" t="inlineStr">
        <is>
          <t>2월</t>
        </is>
      </c>
      <c r="B1768" t="inlineStr">
        <is>
          <t>9주차</t>
        </is>
      </c>
      <c r="C1768" t="inlineStr">
        <is>
          <t>EP</t>
        </is>
      </c>
      <c r="D1768" s="28" t="n">
        <v>46081</v>
      </c>
      <c r="E1768" t="inlineStr">
        <is>
          <t>현대EP</t>
        </is>
      </c>
      <c r="F1768" t="inlineStr">
        <is>
          <t>김상호</t>
        </is>
      </c>
      <c r="G1768" t="inlineStr">
        <is>
          <t>010-5119-9036</t>
        </is>
      </c>
      <c r="H1768" t="inlineStr">
        <is>
          <t>53부6138</t>
        </is>
      </c>
      <c r="I1768" t="n">
        <v>11900000</v>
      </c>
      <c r="J1768" t="n">
        <v>0.074</v>
      </c>
      <c r="K1768" t="n">
        <v>1.76</v>
      </c>
      <c r="L1768" t="n">
        <v>0.14</v>
      </c>
      <c r="M1768" t="n">
        <v>1.62</v>
      </c>
      <c r="P1768" t="inlineStr">
        <is>
          <t>김수연</t>
        </is>
      </c>
      <c r="Q1768" t="inlineStr">
        <is>
          <t>홈서비스 36개월</t>
        </is>
      </c>
      <c r="AB1768" t="inlineStr">
        <is>
          <t>홈서비스</t>
        </is>
      </c>
      <c r="AC1768" t="n">
        <v>209440</v>
      </c>
      <c r="AD1768" t="n">
        <v>16660</v>
      </c>
      <c r="AE1768" t="n">
        <v>192780</v>
      </c>
      <c r="AF1768" t="n">
        <v>190400</v>
      </c>
      <c r="AG1768" t="n">
        <v>16110.22</v>
      </c>
      <c r="AH1768" t="n">
        <v>174289.78</v>
      </c>
    </row>
    <row r="1769">
      <c r="A1769" t="inlineStr">
        <is>
          <t>3월</t>
        </is>
      </c>
      <c r="B1769" t="inlineStr">
        <is>
          <t>11주차</t>
        </is>
      </c>
      <c r="C1769" t="inlineStr">
        <is>
          <t>EP</t>
        </is>
      </c>
      <c r="D1769" s="28" t="n">
        <v>46090</v>
      </c>
      <c r="E1769" t="inlineStr">
        <is>
          <t>현대EP_fast</t>
        </is>
      </c>
      <c r="F1769" t="inlineStr">
        <is>
          <t>김영후</t>
        </is>
      </c>
      <c r="G1769" t="inlineStr">
        <is>
          <t>010-9533-9778</t>
        </is>
      </c>
      <c r="H1769" t="inlineStr">
        <is>
          <t>18루8042</t>
        </is>
      </c>
      <c r="I1769" t="n">
        <v>4400000</v>
      </c>
      <c r="J1769" t="n">
        <v>0.118</v>
      </c>
      <c r="K1769" t="n">
        <v>1.21</v>
      </c>
      <c r="L1769" t="n">
        <v>0.14</v>
      </c>
      <c r="M1769" t="n">
        <v>1.07</v>
      </c>
      <c r="P1769" t="inlineStr">
        <is>
          <t>김나윤</t>
        </is>
      </c>
      <c r="Q1769" t="inlineStr">
        <is>
          <t>홈서비스 60개월</t>
        </is>
      </c>
      <c r="AB1769" t="inlineStr">
        <is>
          <t>홈서비스</t>
        </is>
      </c>
      <c r="AC1769" t="n">
        <v>53240</v>
      </c>
      <c r="AD1769" t="n">
        <v>6160</v>
      </c>
      <c r="AE1769" t="n">
        <v>47080</v>
      </c>
      <c r="AF1769" t="n">
        <v>48400</v>
      </c>
      <c r="AG1769" t="n">
        <v>5956.72</v>
      </c>
      <c r="AH1769" t="n">
        <v>42443.28</v>
      </c>
      <c r="AI1769" t="n">
        <v>0</v>
      </c>
    </row>
    <row r="1770">
      <c r="A1770" t="inlineStr">
        <is>
          <t>3월</t>
        </is>
      </c>
      <c r="B1770" t="inlineStr">
        <is>
          <t>10주차</t>
        </is>
      </c>
      <c r="C1770" t="inlineStr">
        <is>
          <t>EP</t>
        </is>
      </c>
      <c r="D1770" s="28" t="n">
        <v>46083</v>
      </c>
      <c r="E1770" t="inlineStr">
        <is>
          <t>현대EP</t>
        </is>
      </c>
      <c r="F1770" t="inlineStr">
        <is>
          <t>서동민</t>
        </is>
      </c>
      <c r="G1770" t="inlineStr">
        <is>
          <t>010-7127-9801</t>
        </is>
      </c>
      <c r="H1770" t="inlineStr">
        <is>
          <t>53부7015</t>
        </is>
      </c>
      <c r="I1770" t="n">
        <v>21500000</v>
      </c>
      <c r="J1770" t="n">
        <v>0.089</v>
      </c>
      <c r="K1770" t="n">
        <v>1.21</v>
      </c>
      <c r="L1770" t="n">
        <v>0.14</v>
      </c>
      <c r="M1770" t="n">
        <v>1.07</v>
      </c>
      <c r="P1770" t="inlineStr">
        <is>
          <t>김수연</t>
        </is>
      </c>
      <c r="Q1770" t="inlineStr">
        <is>
          <t>홈서비스 60개월</t>
        </is>
      </c>
      <c r="AB1770" t="inlineStr">
        <is>
          <t>홈서비스</t>
        </is>
      </c>
      <c r="AC1770" t="n">
        <v>260150</v>
      </c>
      <c r="AD1770" t="n">
        <v>30100</v>
      </c>
      <c r="AE1770" t="n">
        <v>230050</v>
      </c>
      <c r="AF1770" t="n">
        <v>236500</v>
      </c>
      <c r="AG1770" t="n">
        <v>29106.7</v>
      </c>
      <c r="AH1770" t="n">
        <v>207393.3</v>
      </c>
      <c r="AI1770" t="n">
        <v>0</v>
      </c>
    </row>
    <row r="1771">
      <c r="A1771" t="inlineStr">
        <is>
          <t>2월</t>
        </is>
      </c>
      <c r="B1771" t="inlineStr">
        <is>
          <t>9주차</t>
        </is>
      </c>
      <c r="C1771" t="inlineStr">
        <is>
          <t>OR</t>
        </is>
      </c>
      <c r="D1771" s="28" t="n">
        <v>46081</v>
      </c>
      <c r="E1771" t="inlineStr">
        <is>
          <t>오릭스</t>
        </is>
      </c>
      <c r="F1771" t="inlineStr">
        <is>
          <t>박재현</t>
        </is>
      </c>
      <c r="G1771" t="inlineStr">
        <is>
          <t>010-5717-2092</t>
        </is>
      </c>
      <c r="H1771" t="inlineStr">
        <is>
          <t>286가8306</t>
        </is>
      </c>
      <c r="I1771" t="n">
        <v>43900000</v>
      </c>
      <c r="J1771" t="n">
        <v>0.059</v>
      </c>
      <c r="K1771" t="n">
        <v>1.21</v>
      </c>
      <c r="L1771" t="n">
        <v>0.4</v>
      </c>
      <c r="M1771" t="n">
        <v>0.8100000000000001</v>
      </c>
      <c r="P1771" t="inlineStr">
        <is>
          <t>구성완</t>
        </is>
      </c>
      <c r="AB1771" t="inlineStr">
        <is>
          <t>엔카</t>
        </is>
      </c>
      <c r="AC1771" t="n">
        <v>531190</v>
      </c>
      <c r="AD1771" t="n">
        <v>175600</v>
      </c>
      <c r="AE1771" t="n">
        <v>355590</v>
      </c>
      <c r="AF1771" t="n">
        <v>482900</v>
      </c>
      <c r="AG1771" t="n">
        <v>169805.2</v>
      </c>
      <c r="AH1771" t="n">
        <v>313094.8</v>
      </c>
      <c r="AI1771" t="n">
        <v>0</v>
      </c>
    </row>
    <row r="1772">
      <c r="A1772" t="inlineStr">
        <is>
          <t>3월</t>
        </is>
      </c>
      <c r="B1772" t="inlineStr">
        <is>
          <t>11주차</t>
        </is>
      </c>
      <c r="C1772" t="inlineStr">
        <is>
          <t>EP</t>
        </is>
      </c>
      <c r="D1772" s="28" t="n">
        <v>46092</v>
      </c>
      <c r="E1772" t="inlineStr">
        <is>
          <t>현대EP</t>
        </is>
      </c>
      <c r="F1772" t="inlineStr">
        <is>
          <t>김동기</t>
        </is>
      </c>
      <c r="G1772" t="inlineStr">
        <is>
          <t>010-8612-4298</t>
        </is>
      </c>
      <c r="H1772" t="inlineStr">
        <is>
          <t>220소5012</t>
        </is>
      </c>
      <c r="I1772" t="n">
        <v>21000000</v>
      </c>
      <c r="J1772" t="n">
        <v>0.062</v>
      </c>
      <c r="K1772" t="n">
        <v>1.76</v>
      </c>
      <c r="L1772" t="n">
        <v>0.14</v>
      </c>
      <c r="M1772" t="n">
        <v>1.62</v>
      </c>
      <c r="P1772" t="inlineStr">
        <is>
          <t>황채이</t>
        </is>
      </c>
      <c r="Q1772" t="inlineStr">
        <is>
          <t>홈서비스 60개월</t>
        </is>
      </c>
      <c r="AB1772" t="inlineStr">
        <is>
          <t>홈서비스</t>
        </is>
      </c>
      <c r="AC1772" t="n">
        <v>369600</v>
      </c>
      <c r="AD1772" t="n">
        <v>29400</v>
      </c>
      <c r="AE1772" t="n">
        <v>340200</v>
      </c>
      <c r="AF1772" t="n">
        <v>336000</v>
      </c>
      <c r="AG1772" t="n">
        <v>28429.8</v>
      </c>
      <c r="AH1772" t="n">
        <v>307570.2</v>
      </c>
      <c r="AI1772" t="n">
        <v>0</v>
      </c>
    </row>
    <row r="1773">
      <c r="A1773" t="inlineStr">
        <is>
          <t>3월</t>
        </is>
      </c>
      <c r="B1773" t="inlineStr">
        <is>
          <t>10주차</t>
        </is>
      </c>
      <c r="C1773" t="inlineStr">
        <is>
          <t>IM</t>
        </is>
      </c>
      <c r="D1773" s="28" t="n">
        <v>46084</v>
      </c>
      <c r="E1773" t="inlineStr">
        <is>
          <t>IM캐피탈</t>
        </is>
      </c>
      <c r="F1773" t="inlineStr">
        <is>
          <t>이정연</t>
        </is>
      </c>
      <c r="G1773" t="inlineStr">
        <is>
          <t>010-4830-7675</t>
        </is>
      </c>
      <c r="H1773" t="inlineStr">
        <is>
          <t>126더5149</t>
        </is>
      </c>
      <c r="I1773" t="n">
        <v>20000000</v>
      </c>
      <c r="J1773" t="n">
        <v>0.066</v>
      </c>
      <c r="K1773" t="n">
        <v>1.21</v>
      </c>
      <c r="L1773" t="n">
        <v>0.14</v>
      </c>
      <c r="M1773" t="n">
        <v>1.07</v>
      </c>
      <c r="P1773" t="inlineStr">
        <is>
          <t>김나윤</t>
        </is>
      </c>
      <c r="Q1773" t="inlineStr">
        <is>
          <t>홈서비스 60개월</t>
        </is>
      </c>
      <c r="AB1773" t="inlineStr">
        <is>
          <t>홈서비스</t>
        </is>
      </c>
      <c r="AC1773" t="n">
        <v>242000</v>
      </c>
      <c r="AD1773" t="n">
        <v>28000</v>
      </c>
      <c r="AE1773" t="n">
        <v>214000</v>
      </c>
      <c r="AF1773" t="n">
        <v>220000</v>
      </c>
      <c r="AG1773" t="n">
        <v>27076</v>
      </c>
      <c r="AH1773" t="n">
        <v>192924</v>
      </c>
    </row>
    <row r="1774">
      <c r="A1774" t="inlineStr">
        <is>
          <t>3월</t>
        </is>
      </c>
      <c r="B1774" t="inlineStr">
        <is>
          <t>10주차</t>
        </is>
      </c>
      <c r="C1774" t="inlineStr">
        <is>
          <t>EP</t>
        </is>
      </c>
      <c r="D1774" s="28" t="n">
        <v>46084</v>
      </c>
      <c r="E1774" t="inlineStr">
        <is>
          <t>현대EP</t>
        </is>
      </c>
      <c r="F1774" t="inlineStr">
        <is>
          <t>신윤선</t>
        </is>
      </c>
      <c r="G1774" t="inlineStr">
        <is>
          <t>010-3781-8620</t>
        </is>
      </c>
      <c r="H1774" t="inlineStr">
        <is>
          <t>245무2172</t>
        </is>
      </c>
      <c r="I1774" t="n">
        <v>11000000</v>
      </c>
      <c r="J1774" t="n">
        <v>0.063</v>
      </c>
      <c r="K1774" t="n">
        <v>1.21</v>
      </c>
      <c r="L1774" t="n">
        <v>0.14</v>
      </c>
      <c r="M1774" t="n">
        <v>1.07</v>
      </c>
      <c r="P1774" t="inlineStr">
        <is>
          <t>황채이</t>
        </is>
      </c>
      <c r="Q1774" t="inlineStr">
        <is>
          <t>홈서비스 48개월</t>
        </is>
      </c>
      <c r="AB1774" t="inlineStr">
        <is>
          <t>홈서비스</t>
        </is>
      </c>
      <c r="AC1774" t="n">
        <v>133100</v>
      </c>
      <c r="AD1774" t="n">
        <v>15400</v>
      </c>
      <c r="AE1774" t="n">
        <v>117700</v>
      </c>
      <c r="AF1774" t="n">
        <v>121000</v>
      </c>
      <c r="AG1774" t="n">
        <v>14891.8</v>
      </c>
      <c r="AH1774" t="n">
        <v>106108.2</v>
      </c>
      <c r="AI1774" t="n">
        <v>0</v>
      </c>
    </row>
    <row r="1775">
      <c r="A1775" t="inlineStr">
        <is>
          <t>3월</t>
        </is>
      </c>
      <c r="B1775" t="inlineStr">
        <is>
          <t>10주차</t>
        </is>
      </c>
      <c r="C1775" t="inlineStr">
        <is>
          <t>IM</t>
        </is>
      </c>
      <c r="D1775" s="28" t="n">
        <v>46085</v>
      </c>
      <c r="E1775" t="inlineStr">
        <is>
          <t>IM캐피탈</t>
        </is>
      </c>
      <c r="F1775" t="inlineStr">
        <is>
          <t>박병화</t>
        </is>
      </c>
      <c r="G1775" t="inlineStr">
        <is>
          <t>010-5860-0829</t>
        </is>
      </c>
      <c r="H1775" t="inlineStr">
        <is>
          <t>42마1451</t>
        </is>
      </c>
      <c r="I1775" t="n">
        <v>27200000</v>
      </c>
      <c r="J1775" t="n">
        <v>0.049</v>
      </c>
      <c r="K1775" t="n">
        <v>1.1</v>
      </c>
      <c r="L1775" t="n">
        <v>0.14</v>
      </c>
      <c r="M1775" t="n">
        <v>0.96</v>
      </c>
      <c r="P1775" t="inlineStr">
        <is>
          <t>장진경</t>
        </is>
      </c>
      <c r="Q1775" t="inlineStr">
        <is>
          <t>선상담 / 홈서비스 60개월</t>
        </is>
      </c>
      <c r="AB1775" t="inlineStr">
        <is>
          <t>홈서비스</t>
        </is>
      </c>
      <c r="AC1775" t="n">
        <v>299200</v>
      </c>
      <c r="AD1775" t="n">
        <v>38080</v>
      </c>
      <c r="AE1775" t="n">
        <v>261120</v>
      </c>
      <c r="AF1775" t="n">
        <v>272000</v>
      </c>
      <c r="AG1775" t="n">
        <v>36823.36</v>
      </c>
      <c r="AH1775" t="n">
        <v>235176.64</v>
      </c>
      <c r="AI1775" t="n">
        <v>0</v>
      </c>
    </row>
    <row r="1776">
      <c r="A1776" t="inlineStr">
        <is>
          <t>3월</t>
        </is>
      </c>
      <c r="B1776" t="inlineStr">
        <is>
          <t>10주차</t>
        </is>
      </c>
      <c r="C1776" t="inlineStr">
        <is>
          <t>OR</t>
        </is>
      </c>
      <c r="D1776" s="28" t="n">
        <v>46087</v>
      </c>
      <c r="E1776" t="inlineStr">
        <is>
          <t>오릭스</t>
        </is>
      </c>
      <c r="F1776" t="inlineStr">
        <is>
          <t>한진수</t>
        </is>
      </c>
      <c r="G1776" t="inlineStr">
        <is>
          <t>010-3395-1447</t>
        </is>
      </c>
      <c r="H1776" t="inlineStr">
        <is>
          <t>45머3114</t>
        </is>
      </c>
      <c r="I1776" t="n">
        <v>3900000</v>
      </c>
      <c r="J1776" t="n">
        <v>0.06</v>
      </c>
      <c r="K1776" t="n">
        <v>1.65</v>
      </c>
      <c r="L1776" t="n">
        <v>0.14</v>
      </c>
      <c r="M1776" t="n">
        <v>1.51</v>
      </c>
      <c r="P1776" t="inlineStr">
        <is>
          <t>김나윤</t>
        </is>
      </c>
      <c r="Q1776" t="inlineStr">
        <is>
          <t>홈서비스 36개월</t>
        </is>
      </c>
      <c r="AB1776" t="inlineStr">
        <is>
          <t>홈서비스</t>
        </is>
      </c>
      <c r="AC1776" t="n">
        <v>64350</v>
      </c>
      <c r="AD1776" t="n">
        <v>5460</v>
      </c>
      <c r="AE1776" t="n">
        <v>58890</v>
      </c>
      <c r="AF1776" t="n">
        <v>58500</v>
      </c>
      <c r="AG1776" t="n">
        <v>5279.82</v>
      </c>
      <c r="AH1776" t="n">
        <v>53220.18</v>
      </c>
      <c r="AI1776" t="n">
        <v>0</v>
      </c>
    </row>
    <row r="1777">
      <c r="A1777" t="inlineStr">
        <is>
          <t>2월</t>
        </is>
      </c>
      <c r="B1777" t="inlineStr">
        <is>
          <t>9주차</t>
        </is>
      </c>
      <c r="C1777" t="inlineStr">
        <is>
          <t>EP</t>
        </is>
      </c>
      <c r="D1777" s="28" t="n">
        <v>46081</v>
      </c>
      <c r="E1777" t="inlineStr">
        <is>
          <t>현대EP</t>
        </is>
      </c>
      <c r="F1777" t="inlineStr">
        <is>
          <t>이진호</t>
        </is>
      </c>
      <c r="G1777" t="inlineStr">
        <is>
          <t>010-6861-9125</t>
        </is>
      </c>
      <c r="H1777" t="inlineStr">
        <is>
          <t>214노1184</t>
        </is>
      </c>
      <c r="I1777" t="n">
        <v>26200000</v>
      </c>
      <c r="J1777" t="n">
        <v>0.07199999999999999</v>
      </c>
      <c r="K1777" t="n">
        <v>1.76</v>
      </c>
      <c r="L1777" t="n">
        <v>0.14</v>
      </c>
      <c r="M1777" t="n">
        <v>1.62</v>
      </c>
      <c r="P1777" t="inlineStr">
        <is>
          <t>장현경</t>
        </is>
      </c>
      <c r="Q1777" t="inlineStr">
        <is>
          <t>홈서비스 60개월</t>
        </is>
      </c>
      <c r="AB1777" t="inlineStr">
        <is>
          <t>홈서비스</t>
        </is>
      </c>
      <c r="AC1777" t="n">
        <v>461120</v>
      </c>
      <c r="AD1777" t="n">
        <v>36680</v>
      </c>
      <c r="AE1777" t="n">
        <v>424440</v>
      </c>
      <c r="AF1777" t="n">
        <v>419200</v>
      </c>
      <c r="AG1777" t="n">
        <v>35469.56</v>
      </c>
      <c r="AH1777" t="n">
        <v>383730.44</v>
      </c>
      <c r="AJ1777" t="inlineStr">
        <is>
          <t>개인</t>
        </is>
      </c>
    </row>
    <row r="1778">
      <c r="A1778" t="inlineStr">
        <is>
          <t>3월</t>
        </is>
      </c>
      <c r="B1778" t="inlineStr">
        <is>
          <t>10주차</t>
        </is>
      </c>
      <c r="C1778" t="inlineStr">
        <is>
          <t>EP</t>
        </is>
      </c>
      <c r="D1778" s="28" t="n">
        <v>46084</v>
      </c>
      <c r="E1778" t="inlineStr">
        <is>
          <t>현대EP_fast</t>
        </is>
      </c>
      <c r="F1778" t="inlineStr">
        <is>
          <t>김상복</t>
        </is>
      </c>
      <c r="G1778" t="inlineStr">
        <is>
          <t>010-2006-5549</t>
        </is>
      </c>
      <c r="H1778" t="inlineStr">
        <is>
          <t>50모6912</t>
        </is>
      </c>
      <c r="I1778" t="n">
        <v>12100000</v>
      </c>
      <c r="J1778" t="n">
        <v>0.092</v>
      </c>
      <c r="K1778" t="n">
        <v>1.76</v>
      </c>
      <c r="L1778" t="n">
        <v>0.14</v>
      </c>
      <c r="M1778" t="n">
        <v>1.62</v>
      </c>
      <c r="P1778" t="inlineStr">
        <is>
          <t>김나윤</t>
        </is>
      </c>
      <c r="Q1778" t="inlineStr">
        <is>
          <t>누락 건 추가 기재</t>
        </is>
      </c>
      <c r="AB1778" t="inlineStr">
        <is>
          <t>홈서비스</t>
        </is>
      </c>
      <c r="AC1778" t="n">
        <v>212960</v>
      </c>
      <c r="AD1778" t="n">
        <v>16940</v>
      </c>
      <c r="AE1778" t="n">
        <v>196020</v>
      </c>
      <c r="AF1778" t="n">
        <v>193600</v>
      </c>
      <c r="AG1778" t="n">
        <v>16380.98</v>
      </c>
      <c r="AH1778" t="n">
        <v>177219.02</v>
      </c>
    </row>
    <row r="1779">
      <c r="A1779" t="inlineStr">
        <is>
          <t>3월</t>
        </is>
      </c>
      <c r="B1779" t="inlineStr">
        <is>
          <t>10주차</t>
        </is>
      </c>
      <c r="C1779" t="inlineStr">
        <is>
          <t>EP</t>
        </is>
      </c>
      <c r="D1779" s="28" t="n">
        <v>46083</v>
      </c>
      <c r="E1779" t="inlineStr">
        <is>
          <t>현대EP</t>
        </is>
      </c>
      <c r="F1779" t="inlineStr">
        <is>
          <t>김수경</t>
        </is>
      </c>
      <c r="G1779" t="inlineStr">
        <is>
          <t>010-6674-0135</t>
        </is>
      </c>
      <c r="H1779" t="inlineStr">
        <is>
          <t>21서7336</t>
        </is>
      </c>
      <c r="I1779" t="n">
        <v>15800000</v>
      </c>
      <c r="J1779" t="n">
        <v>0.067</v>
      </c>
      <c r="K1779" t="n">
        <v>1.76</v>
      </c>
      <c r="L1779" t="n">
        <v>0.14</v>
      </c>
      <c r="M1779" t="n">
        <v>1.62</v>
      </c>
      <c r="P1779" t="inlineStr">
        <is>
          <t>황채이</t>
        </is>
      </c>
      <c r="Q1779" t="inlineStr">
        <is>
          <t>홈서비스 48개월</t>
        </is>
      </c>
      <c r="AB1779" t="inlineStr">
        <is>
          <t>홈서비스</t>
        </is>
      </c>
      <c r="AC1779" t="n">
        <v>278080</v>
      </c>
      <c r="AD1779" t="n">
        <v>22120</v>
      </c>
      <c r="AE1779" t="n">
        <v>255960</v>
      </c>
      <c r="AF1779" t="n">
        <v>252800</v>
      </c>
      <c r="AG1779" t="n">
        <v>21390.04</v>
      </c>
      <c r="AH1779" t="n">
        <v>231409.96</v>
      </c>
      <c r="AI1779" t="n">
        <v>0</v>
      </c>
    </row>
    <row r="1780">
      <c r="A1780" t="inlineStr">
        <is>
          <t>3월</t>
        </is>
      </c>
      <c r="B1780" t="inlineStr">
        <is>
          <t>10주차</t>
        </is>
      </c>
      <c r="C1780" t="inlineStr">
        <is>
          <t>IM</t>
        </is>
      </c>
      <c r="D1780" s="28" t="n">
        <v>46084</v>
      </c>
      <c r="E1780" t="inlineStr">
        <is>
          <t>IM캐피탈</t>
        </is>
      </c>
      <c r="F1780" t="inlineStr">
        <is>
          <t>박수연</t>
        </is>
      </c>
      <c r="G1780" t="inlineStr">
        <is>
          <t>010-4506-6105</t>
        </is>
      </c>
      <c r="H1780" t="inlineStr">
        <is>
          <t>161소3468</t>
        </is>
      </c>
      <c r="I1780" t="n">
        <v>19600000</v>
      </c>
      <c r="J1780" t="n">
        <v>0.06900000000000001</v>
      </c>
      <c r="K1780" t="n">
        <v>1.1</v>
      </c>
      <c r="L1780" t="n">
        <v>0.14</v>
      </c>
      <c r="M1780" t="n">
        <v>0.96</v>
      </c>
      <c r="P1780" t="inlineStr">
        <is>
          <t>최형주</t>
        </is>
      </c>
      <c r="Q1780" t="inlineStr">
        <is>
          <t>홈서비스 60개월</t>
        </is>
      </c>
      <c r="AB1780" t="inlineStr">
        <is>
          <t>홈서비스</t>
        </is>
      </c>
      <c r="AC1780" t="n">
        <v>215600</v>
      </c>
      <c r="AD1780" t="n">
        <v>27440</v>
      </c>
      <c r="AE1780" t="n">
        <v>188160</v>
      </c>
      <c r="AF1780" t="n">
        <v>196000</v>
      </c>
      <c r="AG1780" t="n">
        <v>26534.48</v>
      </c>
      <c r="AH1780" t="n">
        <v>169465.52</v>
      </c>
    </row>
    <row r="1781">
      <c r="A1781" t="inlineStr">
        <is>
          <t>3월</t>
        </is>
      </c>
      <c r="B1781" t="inlineStr">
        <is>
          <t>10주차</t>
        </is>
      </c>
      <c r="C1781" t="inlineStr">
        <is>
          <t>IM</t>
        </is>
      </c>
      <c r="D1781" s="28" t="n">
        <v>46084</v>
      </c>
      <c r="E1781" t="inlineStr">
        <is>
          <t>IM캐피탈</t>
        </is>
      </c>
      <c r="F1781" t="inlineStr">
        <is>
          <t>이판건</t>
        </is>
      </c>
      <c r="G1781" t="inlineStr">
        <is>
          <t>010-8506-4783</t>
        </is>
      </c>
      <c r="H1781" t="inlineStr">
        <is>
          <t>240가5762</t>
        </is>
      </c>
      <c r="I1781" t="n">
        <v>58000000</v>
      </c>
      <c r="J1781" t="n">
        <v>0.049</v>
      </c>
      <c r="K1781" t="n">
        <v>1.1</v>
      </c>
      <c r="L1781" t="n">
        <v>0.4</v>
      </c>
      <c r="M1781" t="n">
        <v>0.7</v>
      </c>
      <c r="P1781" t="inlineStr">
        <is>
          <t>구성완</t>
        </is>
      </c>
      <c r="AB1781" t="inlineStr">
        <is>
          <t>엔카</t>
        </is>
      </c>
      <c r="AC1781" t="n">
        <v>638000</v>
      </c>
      <c r="AD1781" t="n">
        <v>232000</v>
      </c>
      <c r="AE1781" t="n">
        <v>406000</v>
      </c>
      <c r="AF1781" t="n">
        <v>580000</v>
      </c>
      <c r="AG1781" t="n">
        <v>224344</v>
      </c>
      <c r="AH1781" t="n">
        <v>355656</v>
      </c>
    </row>
    <row r="1782">
      <c r="A1782" t="inlineStr">
        <is>
          <t>3월</t>
        </is>
      </c>
      <c r="B1782" t="inlineStr">
        <is>
          <t>10주차</t>
        </is>
      </c>
      <c r="C1782" t="inlineStr">
        <is>
          <t>IM</t>
        </is>
      </c>
      <c r="D1782" s="28" t="n">
        <v>46084</v>
      </c>
      <c r="E1782" t="inlineStr">
        <is>
          <t>IM캐피탈</t>
        </is>
      </c>
      <c r="F1782" t="inlineStr">
        <is>
          <t>길상윤</t>
        </is>
      </c>
      <c r="G1782" t="inlineStr">
        <is>
          <t>010-3824-5022</t>
        </is>
      </c>
      <c r="H1782" t="inlineStr">
        <is>
          <t>255조8300</t>
        </is>
      </c>
      <c r="I1782" t="n">
        <v>26500000</v>
      </c>
      <c r="J1782" t="n">
        <v>0.066</v>
      </c>
      <c r="K1782" t="n">
        <v>1.1</v>
      </c>
      <c r="L1782" t="n">
        <v>0.14</v>
      </c>
      <c r="M1782" t="n">
        <v>0.96</v>
      </c>
      <c r="P1782" t="inlineStr">
        <is>
          <t>최형주</t>
        </is>
      </c>
      <c r="Q1782" t="inlineStr">
        <is>
          <t xml:space="preserve">홈서비스 60개월 </t>
        </is>
      </c>
      <c r="AB1782" t="inlineStr">
        <is>
          <t>홈서비스</t>
        </is>
      </c>
      <c r="AC1782" t="n">
        <v>291500</v>
      </c>
      <c r="AD1782" t="n">
        <v>37100</v>
      </c>
      <c r="AE1782" t="n">
        <v>254400</v>
      </c>
      <c r="AF1782" t="n">
        <v>265000</v>
      </c>
      <c r="AG1782" t="n">
        <v>35875.7</v>
      </c>
      <c r="AH1782" t="n">
        <v>229124.3</v>
      </c>
    </row>
    <row r="1783">
      <c r="A1783" t="inlineStr">
        <is>
          <t>3월</t>
        </is>
      </c>
      <c r="B1783" t="inlineStr">
        <is>
          <t>10주차</t>
        </is>
      </c>
      <c r="C1783" t="inlineStr">
        <is>
          <t>EP</t>
        </is>
      </c>
      <c r="D1783" s="28" t="n">
        <v>46084</v>
      </c>
      <c r="E1783" t="inlineStr">
        <is>
          <t>현대EP_fast</t>
        </is>
      </c>
      <c r="F1783" t="inlineStr">
        <is>
          <t>김상복</t>
        </is>
      </c>
      <c r="G1783" t="inlineStr">
        <is>
          <t>010-2006-5549</t>
        </is>
      </c>
      <c r="H1783" t="inlineStr">
        <is>
          <t>50모6912</t>
        </is>
      </c>
      <c r="I1783" t="n">
        <v>-12100000</v>
      </c>
      <c r="J1783" t="n">
        <v>0.092</v>
      </c>
      <c r="K1783" t="n">
        <v>1.76</v>
      </c>
      <c r="L1783" t="n">
        <v>0.14</v>
      </c>
      <c r="M1783" t="n">
        <v>1.62</v>
      </c>
      <c r="P1783" t="inlineStr">
        <is>
          <t>김나윤</t>
        </is>
      </c>
      <c r="Q1783" t="inlineStr">
        <is>
          <t>누락 건 추가 기재</t>
        </is>
      </c>
      <c r="AB1783" t="inlineStr">
        <is>
          <t>홈서비스</t>
        </is>
      </c>
      <c r="AC1783" t="n">
        <v>-212960</v>
      </c>
      <c r="AD1783" t="n">
        <v>-16940</v>
      </c>
      <c r="AE1783" t="n">
        <v>-196020</v>
      </c>
      <c r="AF1783" t="n">
        <v>-193600</v>
      </c>
      <c r="AG1783" t="n">
        <v>-16380.98</v>
      </c>
      <c r="AH1783" t="n">
        <v>-177219.02</v>
      </c>
      <c r="AI1783" t="n">
        <v>0</v>
      </c>
    </row>
    <row r="1784">
      <c r="A1784" t="inlineStr">
        <is>
          <t>2월</t>
        </is>
      </c>
      <c r="B1784" t="inlineStr">
        <is>
          <t>9주차</t>
        </is>
      </c>
      <c r="C1784" t="inlineStr">
        <is>
          <t>IM</t>
        </is>
      </c>
      <c r="D1784" s="28" t="n">
        <v>46079</v>
      </c>
      <c r="E1784" t="inlineStr">
        <is>
          <t>IM캐피탈</t>
        </is>
      </c>
      <c r="F1784" t="inlineStr">
        <is>
          <t>최예찬</t>
        </is>
      </c>
      <c r="G1784" t="inlineStr">
        <is>
          <t>010-9865-8765</t>
        </is>
      </c>
      <c r="H1784" t="inlineStr">
        <is>
          <t>05나4369</t>
        </is>
      </c>
      <c r="I1784" t="n">
        <v>16000000</v>
      </c>
      <c r="J1784" t="n">
        <v>0.056</v>
      </c>
      <c r="K1784" t="n">
        <v>1.1</v>
      </c>
      <c r="L1784" t="n">
        <v>0.4</v>
      </c>
      <c r="M1784" t="n">
        <v>0.7</v>
      </c>
      <c r="P1784" t="inlineStr">
        <is>
          <t>박소현</t>
        </is>
      </c>
      <c r="AB1784" t="inlineStr">
        <is>
          <t>엔카</t>
        </is>
      </c>
      <c r="AC1784" t="n">
        <v>176000</v>
      </c>
      <c r="AD1784" t="n">
        <v>64000</v>
      </c>
      <c r="AE1784" t="n">
        <v>112000</v>
      </c>
      <c r="AF1784" t="n">
        <v>160000</v>
      </c>
      <c r="AG1784" t="n">
        <v>61888</v>
      </c>
      <c r="AH1784" t="n">
        <v>98112</v>
      </c>
      <c r="AI1784" t="n">
        <v>0</v>
      </c>
    </row>
    <row r="1785">
      <c r="A1785" t="inlineStr">
        <is>
          <t>3월</t>
        </is>
      </c>
      <c r="B1785" t="inlineStr">
        <is>
          <t>10주차</t>
        </is>
      </c>
      <c r="C1785" t="inlineStr">
        <is>
          <t>IM</t>
        </is>
      </c>
      <c r="D1785" s="28" t="n">
        <v>46084</v>
      </c>
      <c r="E1785" t="inlineStr">
        <is>
          <t>IM캐피탈</t>
        </is>
      </c>
      <c r="F1785" t="inlineStr">
        <is>
          <t>이수민</t>
        </is>
      </c>
      <c r="G1785" t="inlineStr">
        <is>
          <t>010-4410-1907</t>
        </is>
      </c>
      <c r="H1785" t="inlineStr">
        <is>
          <t>132어1576</t>
        </is>
      </c>
      <c r="I1785" t="n">
        <v>10000000</v>
      </c>
      <c r="J1785" t="n">
        <v>0.039</v>
      </c>
      <c r="K1785" t="n">
        <v>1.1</v>
      </c>
      <c r="L1785" t="n">
        <v>0.14</v>
      </c>
      <c r="M1785" t="n">
        <v>0.96</v>
      </c>
      <c r="P1785" t="inlineStr">
        <is>
          <t>김수연</t>
        </is>
      </c>
      <c r="Q1785" t="inlineStr">
        <is>
          <t>홈서비스 60개월</t>
        </is>
      </c>
      <c r="AB1785" t="inlineStr">
        <is>
          <t>홈서비스</t>
        </is>
      </c>
      <c r="AC1785" t="n">
        <v>110000</v>
      </c>
      <c r="AD1785" t="n">
        <v>14000</v>
      </c>
      <c r="AE1785" t="n">
        <v>96000</v>
      </c>
      <c r="AF1785" t="n">
        <v>100000</v>
      </c>
      <c r="AG1785" t="n">
        <v>13538</v>
      </c>
      <c r="AH1785" t="n">
        <v>86462</v>
      </c>
    </row>
    <row r="1786">
      <c r="A1786" t="inlineStr">
        <is>
          <t>3월</t>
        </is>
      </c>
      <c r="B1786" t="inlineStr">
        <is>
          <t>10주차</t>
        </is>
      </c>
      <c r="C1786" t="inlineStr">
        <is>
          <t>EP</t>
        </is>
      </c>
      <c r="D1786" s="28" t="n">
        <v>46085</v>
      </c>
      <c r="E1786" t="inlineStr">
        <is>
          <t>현대EP</t>
        </is>
      </c>
      <c r="F1786" t="inlineStr">
        <is>
          <t>이정훈</t>
        </is>
      </c>
      <c r="G1786" t="inlineStr">
        <is>
          <t>010-2520-1247</t>
        </is>
      </c>
      <c r="H1786" t="inlineStr">
        <is>
          <t>340보4300</t>
        </is>
      </c>
      <c r="I1786" t="n">
        <v>50900000</v>
      </c>
      <c r="J1786" t="n">
        <v>0.094</v>
      </c>
      <c r="K1786" t="n">
        <v>1.76</v>
      </c>
      <c r="L1786" t="n">
        <v>0.14</v>
      </c>
      <c r="M1786" t="n">
        <v>1.62</v>
      </c>
      <c r="P1786" t="inlineStr">
        <is>
          <t>김나윤</t>
        </is>
      </c>
      <c r="Q1786" t="inlineStr">
        <is>
          <t>홈서비스 60개월</t>
        </is>
      </c>
      <c r="AB1786" t="inlineStr">
        <is>
          <t>홈서비스</t>
        </is>
      </c>
      <c r="AC1786" t="n">
        <v>895840</v>
      </c>
      <c r="AD1786" t="n">
        <v>71260</v>
      </c>
      <c r="AE1786" t="n">
        <v>824580</v>
      </c>
      <c r="AF1786" t="n">
        <v>814400</v>
      </c>
      <c r="AG1786" t="n">
        <v>68908.42</v>
      </c>
      <c r="AH1786" t="n">
        <v>745491.58</v>
      </c>
    </row>
    <row r="1787">
      <c r="A1787" t="inlineStr">
        <is>
          <t>3월</t>
        </is>
      </c>
      <c r="B1787" t="inlineStr">
        <is>
          <t>10주차</t>
        </is>
      </c>
      <c r="C1787" t="inlineStr">
        <is>
          <t>EP</t>
        </is>
      </c>
      <c r="D1787" s="28" t="n">
        <v>46088</v>
      </c>
      <c r="E1787" t="inlineStr">
        <is>
          <t>현대EP</t>
        </is>
      </c>
      <c r="F1787" t="inlineStr">
        <is>
          <t>김주현</t>
        </is>
      </c>
      <c r="G1787" t="inlineStr">
        <is>
          <t>010-6330-9966</t>
        </is>
      </c>
      <c r="H1787" t="inlineStr">
        <is>
          <t>05조0491</t>
        </is>
      </c>
      <c r="I1787" t="n">
        <v>11900000</v>
      </c>
      <c r="J1787" t="n">
        <v>0.102</v>
      </c>
      <c r="K1787" t="n">
        <v>1.76</v>
      </c>
      <c r="L1787" t="n">
        <v>0.14</v>
      </c>
      <c r="M1787" t="n">
        <v>1.62</v>
      </c>
      <c r="P1787" t="inlineStr">
        <is>
          <t>김수연</t>
        </is>
      </c>
      <c r="Q1787" t="inlineStr">
        <is>
          <t>홈서비스 60개월</t>
        </is>
      </c>
      <c r="AB1787" t="inlineStr">
        <is>
          <t>홈서비스</t>
        </is>
      </c>
      <c r="AC1787" t="n">
        <v>209440</v>
      </c>
      <c r="AD1787" t="n">
        <v>16660</v>
      </c>
      <c r="AE1787" t="n">
        <v>192780</v>
      </c>
      <c r="AF1787" t="n">
        <v>190400</v>
      </c>
      <c r="AG1787" t="n">
        <v>16110.22</v>
      </c>
      <c r="AH1787" t="n">
        <v>174289.78</v>
      </c>
      <c r="AI1787" t="n">
        <v>0</v>
      </c>
    </row>
    <row r="1788">
      <c r="A1788" t="inlineStr">
        <is>
          <t>3월</t>
        </is>
      </c>
      <c r="B1788" t="inlineStr">
        <is>
          <t>10주차</t>
        </is>
      </c>
      <c r="C1788" t="inlineStr">
        <is>
          <t>OR</t>
        </is>
      </c>
      <c r="D1788" s="28" t="n">
        <v>46084</v>
      </c>
      <c r="E1788" t="inlineStr">
        <is>
          <t>오릭스</t>
        </is>
      </c>
      <c r="F1788" t="inlineStr">
        <is>
          <t>송민선</t>
        </is>
      </c>
      <c r="G1788" t="inlineStr">
        <is>
          <t>010-7494-3655</t>
        </is>
      </c>
      <c r="H1788" t="inlineStr">
        <is>
          <t>327도7181</t>
        </is>
      </c>
      <c r="I1788" t="n">
        <v>29200000</v>
      </c>
      <c r="J1788" t="n">
        <v>0.064</v>
      </c>
      <c r="K1788" t="n">
        <v>1.65</v>
      </c>
      <c r="L1788" t="n">
        <v>0.14</v>
      </c>
      <c r="M1788" t="n">
        <v>1.51</v>
      </c>
      <c r="P1788" t="inlineStr">
        <is>
          <t>황채이</t>
        </is>
      </c>
      <c r="Q1788" t="inlineStr">
        <is>
          <t>홈서비스 60개월</t>
        </is>
      </c>
      <c r="AB1788" t="inlineStr">
        <is>
          <t>홈서비스</t>
        </is>
      </c>
      <c r="AC1788" t="n">
        <v>481800</v>
      </c>
      <c r="AD1788" t="n">
        <v>40880</v>
      </c>
      <c r="AE1788" t="n">
        <v>440920</v>
      </c>
      <c r="AF1788" t="n">
        <v>438000</v>
      </c>
      <c r="AG1788" t="n">
        <v>39530.96</v>
      </c>
      <c r="AH1788" t="n">
        <v>398469.04</v>
      </c>
    </row>
    <row r="1789">
      <c r="A1789" t="inlineStr">
        <is>
          <t>3월</t>
        </is>
      </c>
      <c r="B1789" t="inlineStr">
        <is>
          <t>10주차</t>
        </is>
      </c>
      <c r="C1789" t="inlineStr">
        <is>
          <t>EP</t>
        </is>
      </c>
      <c r="D1789" s="28" t="n">
        <v>46083</v>
      </c>
      <c r="E1789" t="inlineStr">
        <is>
          <t>현대EP_fast</t>
        </is>
      </c>
      <c r="F1789" t="inlineStr">
        <is>
          <t>김정희</t>
        </is>
      </c>
      <c r="G1789" t="inlineStr">
        <is>
          <t>010-7731-3793</t>
        </is>
      </c>
      <c r="H1789" t="inlineStr">
        <is>
          <t>259루9002</t>
        </is>
      </c>
      <c r="I1789" t="n">
        <v>54900000</v>
      </c>
      <c r="J1789" t="n">
        <v>0.083</v>
      </c>
      <c r="K1789" t="n">
        <v>1.76</v>
      </c>
      <c r="L1789" t="n">
        <v>0.4</v>
      </c>
      <c r="M1789" t="n">
        <v>1.36</v>
      </c>
      <c r="P1789" t="inlineStr">
        <is>
          <t>장현경</t>
        </is>
      </c>
      <c r="AB1789" t="inlineStr">
        <is>
          <t>엔카</t>
        </is>
      </c>
      <c r="AC1789" t="n">
        <v>966240</v>
      </c>
      <c r="AD1789" t="n">
        <v>219600</v>
      </c>
      <c r="AE1789" t="n">
        <v>746640</v>
      </c>
      <c r="AF1789" t="n">
        <v>878400</v>
      </c>
      <c r="AG1789" t="n">
        <v>212353.2</v>
      </c>
      <c r="AH1789" t="n">
        <v>666046.8</v>
      </c>
    </row>
    <row r="1790">
      <c r="A1790" t="inlineStr">
        <is>
          <t>3월</t>
        </is>
      </c>
      <c r="B1790" t="inlineStr">
        <is>
          <t>10주차</t>
        </is>
      </c>
      <c r="C1790" t="inlineStr">
        <is>
          <t>IM</t>
        </is>
      </c>
      <c r="D1790" s="28" t="n">
        <v>46084</v>
      </c>
      <c r="E1790" t="inlineStr">
        <is>
          <t>IM캐피탈</t>
        </is>
      </c>
      <c r="F1790" t="inlineStr">
        <is>
          <t>문지선</t>
        </is>
      </c>
      <c r="G1790" t="inlineStr">
        <is>
          <t>010-2940-9522</t>
        </is>
      </c>
      <c r="H1790" t="inlineStr">
        <is>
          <t>03머7276</t>
        </is>
      </c>
      <c r="I1790" t="n">
        <v>26200000</v>
      </c>
      <c r="J1790" t="n">
        <v>0.059</v>
      </c>
      <c r="K1790" t="n">
        <v>1.1</v>
      </c>
      <c r="L1790" t="n">
        <v>0.14</v>
      </c>
      <c r="M1790" t="n">
        <v>0.96</v>
      </c>
      <c r="P1790" t="inlineStr">
        <is>
          <t>김나윤</t>
        </is>
      </c>
      <c r="Q1790" t="inlineStr">
        <is>
          <t>홈서비스 60개월</t>
        </is>
      </c>
      <c r="AB1790" t="inlineStr">
        <is>
          <t>홈서비스</t>
        </is>
      </c>
      <c r="AC1790" t="n">
        <v>288200</v>
      </c>
      <c r="AD1790" t="n">
        <v>36680</v>
      </c>
      <c r="AE1790" t="n">
        <v>251520</v>
      </c>
      <c r="AF1790" t="n">
        <v>262000</v>
      </c>
      <c r="AG1790" t="n">
        <v>35469.56</v>
      </c>
      <c r="AH1790" t="n">
        <v>226530.44</v>
      </c>
    </row>
    <row r="1791">
      <c r="A1791" t="inlineStr">
        <is>
          <t>2월</t>
        </is>
      </c>
      <c r="B1791" t="inlineStr">
        <is>
          <t>9주차</t>
        </is>
      </c>
      <c r="C1791" t="inlineStr">
        <is>
          <t>EP</t>
        </is>
      </c>
      <c r="D1791" s="28" t="n">
        <v>46080</v>
      </c>
      <c r="E1791" t="inlineStr">
        <is>
          <t>제이비EP</t>
        </is>
      </c>
      <c r="F1791" t="inlineStr">
        <is>
          <t>박희훈</t>
        </is>
      </c>
      <c r="G1791" t="inlineStr">
        <is>
          <t>010-3032-1011</t>
        </is>
      </c>
      <c r="H1791" t="inlineStr">
        <is>
          <t>187더7377</t>
        </is>
      </c>
      <c r="I1791" t="n">
        <v>57700000</v>
      </c>
      <c r="J1791" t="n">
        <v>0.07099999999999999</v>
      </c>
      <c r="K1791" t="n">
        <v>1.65</v>
      </c>
      <c r="L1791" t="n">
        <v>0.4</v>
      </c>
      <c r="M1791" t="n">
        <v>1.25</v>
      </c>
      <c r="P1791" t="inlineStr">
        <is>
          <t>장진경</t>
        </is>
      </c>
      <c r="Q1791" t="inlineStr">
        <is>
          <t>법인할부(주식회사 교육은미래다)</t>
        </is>
      </c>
      <c r="AB1791" t="inlineStr">
        <is>
          <t>엔카</t>
        </is>
      </c>
      <c r="AC1791" t="n">
        <v>952050</v>
      </c>
      <c r="AD1791" t="n">
        <v>230800</v>
      </c>
      <c r="AE1791" t="n">
        <v>721250</v>
      </c>
      <c r="AF1791" t="n">
        <v>865500</v>
      </c>
      <c r="AG1791" t="n">
        <v>223183.6</v>
      </c>
      <c r="AH1791" t="n">
        <v>642316.4</v>
      </c>
    </row>
    <row r="1792">
      <c r="A1792" t="inlineStr">
        <is>
          <t>3월</t>
        </is>
      </c>
      <c r="B1792" t="inlineStr">
        <is>
          <t>10주차</t>
        </is>
      </c>
      <c r="C1792" t="inlineStr">
        <is>
          <t>IM</t>
        </is>
      </c>
      <c r="D1792" s="28" t="n">
        <v>46084</v>
      </c>
      <c r="E1792" t="inlineStr">
        <is>
          <t>IM캐피탈</t>
        </is>
      </c>
      <c r="F1792" t="inlineStr">
        <is>
          <t>이수민</t>
        </is>
      </c>
      <c r="G1792" t="inlineStr">
        <is>
          <t>010-4410-1907</t>
        </is>
      </c>
      <c r="H1792" t="inlineStr">
        <is>
          <t>132어1576</t>
        </is>
      </c>
      <c r="I1792" t="n">
        <v>-10000000</v>
      </c>
      <c r="J1792" t="n">
        <v>0.039</v>
      </c>
      <c r="K1792" t="n">
        <v>1.1</v>
      </c>
      <c r="L1792" t="n">
        <v>0.14</v>
      </c>
      <c r="M1792" t="n">
        <v>0.96</v>
      </c>
      <c r="P1792" t="inlineStr">
        <is>
          <t>김수연</t>
        </is>
      </c>
      <c r="Q1792" t="inlineStr">
        <is>
          <t>홈서비스 60개월</t>
        </is>
      </c>
      <c r="AB1792" t="inlineStr">
        <is>
          <t>홈서비스</t>
        </is>
      </c>
      <c r="AC1792" t="n">
        <v>-110000</v>
      </c>
      <c r="AD1792" t="n">
        <v>-14000</v>
      </c>
      <c r="AE1792" t="n">
        <v>-96000</v>
      </c>
      <c r="AF1792" t="n">
        <v>-100000</v>
      </c>
      <c r="AG1792" t="n">
        <v>-13538</v>
      </c>
      <c r="AH1792" t="n">
        <v>-86462</v>
      </c>
      <c r="AI1792" t="n">
        <v>0</v>
      </c>
    </row>
    <row r="1793">
      <c r="A1793" t="inlineStr">
        <is>
          <t>2월</t>
        </is>
      </c>
      <c r="B1793" t="inlineStr">
        <is>
          <t>9주차</t>
        </is>
      </c>
      <c r="C1793" t="inlineStr">
        <is>
          <t>IM</t>
        </is>
      </c>
      <c r="D1793" s="28" t="n">
        <v>46081</v>
      </c>
      <c r="E1793" t="inlineStr">
        <is>
          <t>IM캐피탈</t>
        </is>
      </c>
      <c r="F1793" t="inlineStr">
        <is>
          <t>이인준</t>
        </is>
      </c>
      <c r="G1793" t="inlineStr">
        <is>
          <t>010-5785-5118</t>
        </is>
      </c>
      <c r="H1793" t="inlineStr">
        <is>
          <t>110주1655</t>
        </is>
      </c>
      <c r="I1793" t="n">
        <v>28900000</v>
      </c>
      <c r="J1793" t="n">
        <v>0.056</v>
      </c>
      <c r="K1793" t="n">
        <v>1.1</v>
      </c>
      <c r="L1793" t="n">
        <v>0.14</v>
      </c>
      <c r="M1793" t="n">
        <v>0.96</v>
      </c>
      <c r="P1793" t="inlineStr">
        <is>
          <t>정세빈</t>
        </is>
      </c>
      <c r="Q1793" t="inlineStr">
        <is>
          <t>홈서비스 60개월</t>
        </is>
      </c>
      <c r="AB1793" t="inlineStr">
        <is>
          <t>홈서비스</t>
        </is>
      </c>
      <c r="AC1793" t="n">
        <v>317900</v>
      </c>
      <c r="AD1793" t="n">
        <v>40460</v>
      </c>
      <c r="AE1793" t="n">
        <v>277440</v>
      </c>
      <c r="AF1793" t="n">
        <v>289000</v>
      </c>
      <c r="AG1793" t="n">
        <v>39124.82</v>
      </c>
      <c r="AH1793" t="n">
        <v>249875.18</v>
      </c>
      <c r="AI1793" t="n">
        <v>0</v>
      </c>
    </row>
    <row r="1794">
      <c r="A1794" t="inlineStr">
        <is>
          <t>3월</t>
        </is>
      </c>
      <c r="B1794" t="inlineStr">
        <is>
          <t>10주차</t>
        </is>
      </c>
      <c r="C1794" t="inlineStr">
        <is>
          <t>IM</t>
        </is>
      </c>
      <c r="D1794" s="28" t="n">
        <v>46085</v>
      </c>
      <c r="E1794" t="inlineStr">
        <is>
          <t>IM캐피탈</t>
        </is>
      </c>
      <c r="F1794" t="inlineStr">
        <is>
          <t>이상하</t>
        </is>
      </c>
      <c r="G1794" t="inlineStr">
        <is>
          <t>010-8886-1539</t>
        </is>
      </c>
      <c r="H1794" t="inlineStr">
        <is>
          <t>383버1288</t>
        </is>
      </c>
      <c r="I1794" t="n">
        <v>4000000</v>
      </c>
      <c r="J1794" t="n">
        <v>0.056</v>
      </c>
      <c r="K1794" t="n">
        <v>1.1</v>
      </c>
      <c r="L1794" t="n">
        <v>0.14</v>
      </c>
      <c r="M1794" t="n">
        <v>0.96</v>
      </c>
      <c r="P1794" t="inlineStr">
        <is>
          <t>김수연</t>
        </is>
      </c>
      <c r="Q1794" t="inlineStr">
        <is>
          <t>홈서비스 24개월</t>
        </is>
      </c>
      <c r="AB1794" t="inlineStr">
        <is>
          <t>홈서비스</t>
        </is>
      </c>
      <c r="AC1794" t="n">
        <v>44000</v>
      </c>
      <c r="AD1794" t="n">
        <v>5600</v>
      </c>
      <c r="AE1794" t="n">
        <v>38400</v>
      </c>
      <c r="AF1794" t="n">
        <v>40000</v>
      </c>
      <c r="AG1794" t="n">
        <v>5415.2</v>
      </c>
      <c r="AH1794" t="n">
        <v>34584.8</v>
      </c>
      <c r="AI1794" t="n">
        <v>0</v>
      </c>
    </row>
    <row r="1795">
      <c r="A1795" t="inlineStr">
        <is>
          <t>3월</t>
        </is>
      </c>
      <c r="B1795" t="inlineStr">
        <is>
          <t>10주차</t>
        </is>
      </c>
      <c r="C1795" t="inlineStr">
        <is>
          <t>EP</t>
        </is>
      </c>
      <c r="D1795" s="28" t="n">
        <v>46084</v>
      </c>
      <c r="E1795" t="inlineStr">
        <is>
          <t>현대EP_fast</t>
        </is>
      </c>
      <c r="F1795" t="inlineStr">
        <is>
          <t>이상원</t>
        </is>
      </c>
      <c r="G1795" t="inlineStr">
        <is>
          <t>010-8837-1454</t>
        </is>
      </c>
      <c r="H1795" t="inlineStr">
        <is>
          <t>24버3500</t>
        </is>
      </c>
      <c r="I1795" t="n">
        <v>10700000</v>
      </c>
      <c r="J1795" t="n">
        <v>0.07099999999999999</v>
      </c>
      <c r="K1795" t="n">
        <v>1.76</v>
      </c>
      <c r="L1795" t="n">
        <v>0.14</v>
      </c>
      <c r="M1795" t="n">
        <v>1.62</v>
      </c>
      <c r="P1795" t="inlineStr">
        <is>
          <t>황채이</t>
        </is>
      </c>
      <c r="Q1795" t="inlineStr">
        <is>
          <t>홈서비스 60개월</t>
        </is>
      </c>
      <c r="AB1795" t="inlineStr">
        <is>
          <t>홈서비스</t>
        </is>
      </c>
      <c r="AC1795" t="n">
        <v>188320</v>
      </c>
      <c r="AD1795" t="n">
        <v>14980</v>
      </c>
      <c r="AE1795" t="n">
        <v>173340</v>
      </c>
      <c r="AF1795" t="n">
        <v>171200</v>
      </c>
      <c r="AG1795" t="n">
        <v>14485.66</v>
      </c>
      <c r="AH1795" t="n">
        <v>156714.34</v>
      </c>
      <c r="AI1795" t="n">
        <v>0</v>
      </c>
    </row>
    <row r="1796">
      <c r="A1796" t="inlineStr">
        <is>
          <t>2월</t>
        </is>
      </c>
      <c r="B1796" t="inlineStr">
        <is>
          <t>9주차</t>
        </is>
      </c>
      <c r="C1796" t="inlineStr">
        <is>
          <t>OR</t>
        </is>
      </c>
      <c r="D1796" s="28" t="n">
        <v>46080</v>
      </c>
      <c r="E1796" t="inlineStr">
        <is>
          <t>오릭스</t>
        </is>
      </c>
      <c r="F1796" t="inlineStr">
        <is>
          <t>김승재</t>
        </is>
      </c>
      <c r="G1796" t="inlineStr">
        <is>
          <t>010-3664-7158</t>
        </is>
      </c>
      <c r="H1796" t="inlineStr">
        <is>
          <t>39서1193</t>
        </is>
      </c>
      <c r="I1796" t="n">
        <v>12000000</v>
      </c>
      <c r="J1796" t="n">
        <v>0.055</v>
      </c>
      <c r="K1796" t="n">
        <v>1.65</v>
      </c>
      <c r="L1796" t="n">
        <v>0.4</v>
      </c>
      <c r="M1796" t="n">
        <v>1.25</v>
      </c>
      <c r="P1796" t="inlineStr">
        <is>
          <t>박현민</t>
        </is>
      </c>
      <c r="AB1796" t="inlineStr">
        <is>
          <t>엔카</t>
        </is>
      </c>
      <c r="AC1796" t="n">
        <v>198000</v>
      </c>
      <c r="AD1796" t="n">
        <v>48000</v>
      </c>
      <c r="AE1796" t="n">
        <v>150000</v>
      </c>
      <c r="AF1796" t="n">
        <v>180000</v>
      </c>
      <c r="AG1796" t="n">
        <v>46416</v>
      </c>
      <c r="AH1796" t="n">
        <v>133584</v>
      </c>
      <c r="AI1796" t="n">
        <v>0</v>
      </c>
    </row>
    <row r="1797">
      <c r="A1797" t="inlineStr">
        <is>
          <t>2월</t>
        </is>
      </c>
      <c r="B1797" t="inlineStr">
        <is>
          <t>9주차</t>
        </is>
      </c>
      <c r="C1797" t="inlineStr">
        <is>
          <t>WC</t>
        </is>
      </c>
      <c r="D1797" s="28" t="n">
        <v>46078</v>
      </c>
      <c r="E1797" t="inlineStr">
        <is>
          <t>웰컴저축은행</t>
        </is>
      </c>
      <c r="F1797" t="inlineStr">
        <is>
          <t>여규진</t>
        </is>
      </c>
      <c r="G1797" t="inlineStr">
        <is>
          <t>010-9794-7175</t>
        </is>
      </c>
      <c r="H1797" t="inlineStr">
        <is>
          <t>247수 9631</t>
        </is>
      </c>
      <c r="I1797" t="n">
        <v>15000000</v>
      </c>
      <c r="J1797" t="n">
        <v>0.119</v>
      </c>
      <c r="K1797" t="n">
        <v>0</v>
      </c>
      <c r="L1797" t="n">
        <v>0.4</v>
      </c>
      <c r="M1797" t="n">
        <v>-0.4</v>
      </c>
      <c r="P1797" t="inlineStr">
        <is>
          <t>최혁</t>
        </is>
      </c>
      <c r="AB1797" t="inlineStr">
        <is>
          <t>엔카</t>
        </is>
      </c>
      <c r="AC1797" t="n">
        <v>0</v>
      </c>
      <c r="AD1797" t="n">
        <v>60000</v>
      </c>
      <c r="AE1797" t="n">
        <v>-60000</v>
      </c>
      <c r="AF1797" t="n">
        <v>0</v>
      </c>
      <c r="AG1797" t="n">
        <v>58020</v>
      </c>
      <c r="AH1797" t="n">
        <v>-58020</v>
      </c>
      <c r="AI1797" t="n">
        <v>0</v>
      </c>
    </row>
    <row r="1798">
      <c r="A1798" t="inlineStr">
        <is>
          <t>3월</t>
        </is>
      </c>
      <c r="B1798" t="inlineStr">
        <is>
          <t>10주차</t>
        </is>
      </c>
      <c r="C1798" t="inlineStr">
        <is>
          <t>EP</t>
        </is>
      </c>
      <c r="D1798" s="28" t="n">
        <v>46088</v>
      </c>
      <c r="E1798" t="inlineStr">
        <is>
          <t>현대EP</t>
        </is>
      </c>
      <c r="F1798" t="inlineStr">
        <is>
          <t>문창환</t>
        </is>
      </c>
      <c r="G1798" t="inlineStr">
        <is>
          <t>010-3606-7423</t>
        </is>
      </c>
      <c r="H1798" t="inlineStr">
        <is>
          <t>249로9111</t>
        </is>
      </c>
      <c r="I1798" t="n">
        <v>10000000</v>
      </c>
      <c r="J1798" t="n">
        <v>0.062</v>
      </c>
      <c r="K1798" t="n">
        <v>1.76</v>
      </c>
      <c r="L1798" t="n">
        <v>0.14</v>
      </c>
      <c r="M1798" t="n">
        <v>1.62</v>
      </c>
      <c r="P1798" t="inlineStr">
        <is>
          <t>김수연</t>
        </is>
      </c>
      <c r="Q1798" t="inlineStr">
        <is>
          <t>홈서비스 24개월</t>
        </is>
      </c>
      <c r="AB1798" t="inlineStr">
        <is>
          <t>홈서비스</t>
        </is>
      </c>
      <c r="AC1798" t="n">
        <v>176000</v>
      </c>
      <c r="AD1798" t="n">
        <v>14000</v>
      </c>
      <c r="AE1798" t="n">
        <v>162000</v>
      </c>
      <c r="AF1798" t="n">
        <v>160000</v>
      </c>
      <c r="AG1798" t="n">
        <v>13538</v>
      </c>
      <c r="AH1798" t="n">
        <v>146462</v>
      </c>
      <c r="AI1798" t="n">
        <v>0</v>
      </c>
    </row>
    <row r="1799">
      <c r="A1799" t="inlineStr">
        <is>
          <t>3월</t>
        </is>
      </c>
      <c r="B1799" t="inlineStr">
        <is>
          <t>10주차</t>
        </is>
      </c>
      <c r="C1799" t="inlineStr">
        <is>
          <t>EP</t>
        </is>
      </c>
      <c r="D1799" s="28" t="n">
        <v>46089</v>
      </c>
      <c r="E1799" t="inlineStr">
        <is>
          <t>현대EP</t>
        </is>
      </c>
      <c r="F1799" t="inlineStr">
        <is>
          <t>우철락</t>
        </is>
      </c>
      <c r="G1799" t="inlineStr">
        <is>
          <t>010-3123-7600</t>
        </is>
      </c>
      <c r="H1799" t="inlineStr">
        <is>
          <t>36소4653</t>
        </is>
      </c>
      <c r="I1799" t="n">
        <v>7900000</v>
      </c>
      <c r="J1799" t="n">
        <v>0.07099999999999999</v>
      </c>
      <c r="K1799" t="n">
        <v>1.76</v>
      </c>
      <c r="L1799" t="n">
        <v>0.14</v>
      </c>
      <c r="M1799" t="n">
        <v>1.62</v>
      </c>
      <c r="P1799" t="inlineStr">
        <is>
          <t>황채이</t>
        </is>
      </c>
      <c r="Q1799" t="inlineStr">
        <is>
          <t>홈서비스 36개월</t>
        </is>
      </c>
      <c r="AB1799" t="inlineStr">
        <is>
          <t>홈서비스</t>
        </is>
      </c>
      <c r="AC1799" t="n">
        <v>139040</v>
      </c>
      <c r="AD1799" t="n">
        <v>11060</v>
      </c>
      <c r="AE1799" t="n">
        <v>127980</v>
      </c>
      <c r="AF1799" t="n">
        <v>126400</v>
      </c>
      <c r="AG1799" t="n">
        <v>10695.02</v>
      </c>
      <c r="AH1799" t="n">
        <v>115704.98</v>
      </c>
    </row>
    <row r="1800">
      <c r="A1800" t="inlineStr">
        <is>
          <t>3월</t>
        </is>
      </c>
      <c r="B1800" t="inlineStr">
        <is>
          <t>10주차</t>
        </is>
      </c>
      <c r="C1800" t="inlineStr">
        <is>
          <t>EP</t>
        </is>
      </c>
      <c r="D1800" s="28" t="n">
        <v>46089</v>
      </c>
      <c r="E1800" t="inlineStr">
        <is>
          <t>현대EP</t>
        </is>
      </c>
      <c r="F1800" t="inlineStr">
        <is>
          <t>강보선</t>
        </is>
      </c>
      <c r="G1800" t="inlineStr">
        <is>
          <t>010-3067-3703</t>
        </is>
      </c>
      <c r="H1800" t="inlineStr">
        <is>
          <t>329머8017</t>
        </is>
      </c>
      <c r="I1800" t="n">
        <v>20000000</v>
      </c>
      <c r="J1800" t="n">
        <v>0.07099999999999999</v>
      </c>
      <c r="K1800" t="n">
        <v>1.76</v>
      </c>
      <c r="L1800" t="n">
        <v>0.14</v>
      </c>
      <c r="M1800" t="n">
        <v>1.62</v>
      </c>
      <c r="P1800" t="inlineStr">
        <is>
          <t>김수연</t>
        </is>
      </c>
      <c r="Q1800" t="inlineStr">
        <is>
          <t>홈서비스 60개월</t>
        </is>
      </c>
      <c r="AB1800" t="inlineStr">
        <is>
          <t>홈서비스</t>
        </is>
      </c>
      <c r="AC1800" t="n">
        <v>352000</v>
      </c>
      <c r="AD1800" t="n">
        <v>28000</v>
      </c>
      <c r="AE1800" t="n">
        <v>324000</v>
      </c>
      <c r="AF1800" t="n">
        <v>320000</v>
      </c>
      <c r="AG1800" t="n">
        <v>27076</v>
      </c>
      <c r="AH1800" t="n">
        <v>292924</v>
      </c>
    </row>
    <row r="1801">
      <c r="A1801" t="inlineStr">
        <is>
          <t>3월</t>
        </is>
      </c>
      <c r="B1801" t="inlineStr">
        <is>
          <t>11주차</t>
        </is>
      </c>
      <c r="C1801" t="inlineStr">
        <is>
          <t>EP</t>
        </is>
      </c>
      <c r="D1801" s="28" t="n">
        <v>46090</v>
      </c>
      <c r="E1801" t="inlineStr">
        <is>
          <t>현대EP</t>
        </is>
      </c>
      <c r="F1801" t="inlineStr">
        <is>
          <t>최은주</t>
        </is>
      </c>
      <c r="G1801" t="inlineStr">
        <is>
          <t>010-9794-5106</t>
        </is>
      </c>
      <c r="H1801" t="inlineStr">
        <is>
          <t>387도2255</t>
        </is>
      </c>
      <c r="I1801" t="n">
        <v>43900000</v>
      </c>
      <c r="J1801" t="n">
        <v>0.068</v>
      </c>
      <c r="K1801" t="n">
        <v>1.76</v>
      </c>
      <c r="L1801" t="n">
        <v>0.14</v>
      </c>
      <c r="M1801" t="n">
        <v>1.62</v>
      </c>
      <c r="P1801" t="inlineStr">
        <is>
          <t>김수연</t>
        </is>
      </c>
      <c r="Q1801" t="inlineStr">
        <is>
          <t>홈서비스 60개월</t>
        </is>
      </c>
      <c r="AB1801" t="inlineStr">
        <is>
          <t>홈서비스</t>
        </is>
      </c>
      <c r="AC1801" t="n">
        <v>772640</v>
      </c>
      <c r="AD1801" t="n">
        <v>61460</v>
      </c>
      <c r="AE1801" t="n">
        <v>711180</v>
      </c>
      <c r="AF1801" t="n">
        <v>702400</v>
      </c>
      <c r="AG1801" t="n">
        <v>59431.82</v>
      </c>
      <c r="AH1801" t="n">
        <v>642968.1800000001</v>
      </c>
    </row>
    <row r="1802">
      <c r="A1802" t="inlineStr">
        <is>
          <t>3월</t>
        </is>
      </c>
      <c r="B1802" t="inlineStr">
        <is>
          <t>11주차</t>
        </is>
      </c>
      <c r="C1802" t="inlineStr">
        <is>
          <t>EP</t>
        </is>
      </c>
      <c r="D1802" s="28" t="n">
        <v>46090</v>
      </c>
      <c r="E1802" t="inlineStr">
        <is>
          <t>현대EP_fast</t>
        </is>
      </c>
      <c r="F1802" t="inlineStr">
        <is>
          <t>박정섭</t>
        </is>
      </c>
      <c r="G1802" t="inlineStr">
        <is>
          <t>010-8620-6511</t>
        </is>
      </c>
      <c r="H1802" t="inlineStr">
        <is>
          <t>105부3204</t>
        </is>
      </c>
      <c r="I1802" t="n">
        <v>9500000</v>
      </c>
      <c r="J1802" t="n">
        <v>0.07099999999999999</v>
      </c>
      <c r="K1802" t="n">
        <v>1.76</v>
      </c>
      <c r="L1802" t="n">
        <v>0.14</v>
      </c>
      <c r="M1802" t="n">
        <v>1.62</v>
      </c>
      <c r="P1802" t="inlineStr">
        <is>
          <t>김수연</t>
        </is>
      </c>
      <c r="Q1802" t="inlineStr">
        <is>
          <t>홈서비스 36개월</t>
        </is>
      </c>
      <c r="AB1802" t="inlineStr">
        <is>
          <t>홈서비스</t>
        </is>
      </c>
      <c r="AC1802" t="n">
        <v>167200</v>
      </c>
      <c r="AD1802" t="n">
        <v>13300</v>
      </c>
      <c r="AE1802" t="n">
        <v>153900</v>
      </c>
      <c r="AF1802" t="n">
        <v>152000</v>
      </c>
      <c r="AG1802" t="n">
        <v>12861.1</v>
      </c>
      <c r="AH1802" t="n">
        <v>139138.9</v>
      </c>
    </row>
    <row r="1803">
      <c r="A1803" t="inlineStr">
        <is>
          <t>3월</t>
        </is>
      </c>
      <c r="B1803" t="inlineStr">
        <is>
          <t>11주차</t>
        </is>
      </c>
      <c r="C1803" t="inlineStr">
        <is>
          <t>EP</t>
        </is>
      </c>
      <c r="D1803" s="28" t="n">
        <v>46090</v>
      </c>
      <c r="E1803" t="inlineStr">
        <is>
          <t>현대EP</t>
        </is>
      </c>
      <c r="F1803" t="inlineStr">
        <is>
          <t>백은희</t>
        </is>
      </c>
      <c r="G1803" t="inlineStr">
        <is>
          <t>010-4596-5712</t>
        </is>
      </c>
      <c r="H1803" t="inlineStr">
        <is>
          <t>269서9017</t>
        </is>
      </c>
      <c r="I1803" t="n">
        <v>3000000</v>
      </c>
      <c r="J1803" t="n">
        <v>0.118</v>
      </c>
      <c r="K1803" t="n">
        <v>1.76</v>
      </c>
      <c r="L1803" t="n">
        <v>0.14</v>
      </c>
      <c r="M1803" t="n">
        <v>1.62</v>
      </c>
      <c r="P1803" t="inlineStr">
        <is>
          <t>최형주</t>
        </is>
      </c>
      <c r="Q1803" t="inlineStr">
        <is>
          <t>홈서비스 24개월</t>
        </is>
      </c>
      <c r="AB1803" t="inlineStr">
        <is>
          <t>홈서비스</t>
        </is>
      </c>
      <c r="AC1803" t="n">
        <v>52800</v>
      </c>
      <c r="AD1803" t="n">
        <v>4200</v>
      </c>
      <c r="AE1803" t="n">
        <v>48600</v>
      </c>
      <c r="AF1803" t="n">
        <v>48000</v>
      </c>
      <c r="AG1803" t="n">
        <v>4061.4</v>
      </c>
      <c r="AH1803" t="n">
        <v>43938.6</v>
      </c>
      <c r="AI1803" t="n">
        <v>0</v>
      </c>
    </row>
    <row r="1804">
      <c r="A1804" t="inlineStr">
        <is>
          <t>3월</t>
        </is>
      </c>
      <c r="B1804" t="inlineStr">
        <is>
          <t>10주차</t>
        </is>
      </c>
      <c r="C1804" t="inlineStr">
        <is>
          <t>EP</t>
        </is>
      </c>
      <c r="D1804" s="28" t="n">
        <v>46083</v>
      </c>
      <c r="E1804" t="inlineStr">
        <is>
          <t>현대EP</t>
        </is>
      </c>
      <c r="F1804" t="inlineStr">
        <is>
          <t>서희경</t>
        </is>
      </c>
      <c r="G1804" t="inlineStr">
        <is>
          <t>010-8643-0883</t>
        </is>
      </c>
      <c r="H1804" t="inlineStr">
        <is>
          <t>37부0422</t>
        </is>
      </c>
      <c r="I1804" t="n">
        <v>8800000</v>
      </c>
      <c r="J1804" t="n">
        <v>0.09</v>
      </c>
      <c r="K1804" t="n">
        <v>1.76</v>
      </c>
      <c r="L1804" t="n">
        <v>0.14</v>
      </c>
      <c r="M1804" t="n">
        <v>1.62</v>
      </c>
      <c r="P1804" t="inlineStr">
        <is>
          <t>정세빈</t>
        </is>
      </c>
      <c r="AB1804" t="inlineStr">
        <is>
          <t>믿고</t>
        </is>
      </c>
      <c r="AC1804" t="n">
        <v>154880</v>
      </c>
      <c r="AD1804" t="n">
        <v>12320</v>
      </c>
      <c r="AE1804" t="n">
        <v>142560</v>
      </c>
      <c r="AF1804" t="n">
        <v>140800</v>
      </c>
      <c r="AG1804" t="n">
        <v>11913.44</v>
      </c>
      <c r="AH1804" t="n">
        <v>128886.56</v>
      </c>
      <c r="AI1804" t="n">
        <v>0</v>
      </c>
    </row>
    <row r="1805">
      <c r="A1805" t="inlineStr">
        <is>
          <t>3월</t>
        </is>
      </c>
      <c r="B1805" t="inlineStr">
        <is>
          <t>10주차</t>
        </is>
      </c>
      <c r="C1805" t="inlineStr">
        <is>
          <t>EP</t>
        </is>
      </c>
      <c r="D1805" s="28" t="n">
        <v>46084</v>
      </c>
      <c r="E1805" t="inlineStr">
        <is>
          <t>현대EP</t>
        </is>
      </c>
      <c r="F1805" t="inlineStr">
        <is>
          <t>김흥백</t>
        </is>
      </c>
      <c r="G1805" t="inlineStr">
        <is>
          <t>010-4854-3089</t>
        </is>
      </c>
      <c r="H1805" t="inlineStr">
        <is>
          <t>30로0377</t>
        </is>
      </c>
      <c r="I1805" t="n">
        <v>-8800000</v>
      </c>
      <c r="J1805" t="n">
        <v>0.059</v>
      </c>
      <c r="K1805" t="n">
        <v>1.76</v>
      </c>
      <c r="L1805" t="n">
        <v>0.14</v>
      </c>
      <c r="M1805" t="n">
        <v>1.62</v>
      </c>
      <c r="P1805" t="inlineStr">
        <is>
          <t>정광호</t>
        </is>
      </c>
      <c r="Q1805" t="inlineStr">
        <is>
          <t>홈서비스 60개월</t>
        </is>
      </c>
      <c r="AB1805" t="inlineStr">
        <is>
          <t>홈서비스</t>
        </is>
      </c>
      <c r="AC1805" t="n">
        <v>-154880</v>
      </c>
      <c r="AD1805" t="n">
        <v>-12320</v>
      </c>
      <c r="AE1805" t="n">
        <v>-142560</v>
      </c>
      <c r="AF1805" t="n">
        <v>-140800</v>
      </c>
      <c r="AG1805" t="n">
        <v>-11913.44</v>
      </c>
      <c r="AH1805" t="n">
        <v>-128886.56</v>
      </c>
      <c r="AI1805" t="n">
        <v>0</v>
      </c>
    </row>
    <row r="1806">
      <c r="A1806" t="inlineStr">
        <is>
          <t>3월</t>
        </is>
      </c>
      <c r="B1806" t="inlineStr">
        <is>
          <t>10주차</t>
        </is>
      </c>
      <c r="C1806" t="inlineStr">
        <is>
          <t>EP</t>
        </is>
      </c>
      <c r="D1806" s="28" t="n">
        <v>46084</v>
      </c>
      <c r="E1806" t="inlineStr">
        <is>
          <t>제이비EP</t>
        </is>
      </c>
      <c r="F1806" t="inlineStr">
        <is>
          <t>박준영</t>
        </is>
      </c>
      <c r="G1806" t="inlineStr">
        <is>
          <t>010-2970-5833</t>
        </is>
      </c>
      <c r="H1806" t="inlineStr">
        <is>
          <t>46머3744</t>
        </is>
      </c>
      <c r="I1806" t="n">
        <v>28000000</v>
      </c>
      <c r="J1806" t="n">
        <v>0.092</v>
      </c>
      <c r="K1806" t="n">
        <v>1.65</v>
      </c>
      <c r="L1806" t="n">
        <v>0.4</v>
      </c>
      <c r="M1806" t="n">
        <v>1.25</v>
      </c>
      <c r="P1806" t="inlineStr">
        <is>
          <t>박현민</t>
        </is>
      </c>
      <c r="AB1806" t="inlineStr">
        <is>
          <t>엔카</t>
        </is>
      </c>
      <c r="AC1806" t="n">
        <v>462000</v>
      </c>
      <c r="AD1806" t="n">
        <v>112000</v>
      </c>
      <c r="AE1806" t="n">
        <v>350000</v>
      </c>
      <c r="AF1806" t="n">
        <v>420000</v>
      </c>
      <c r="AG1806" t="n">
        <v>108304</v>
      </c>
      <c r="AH1806" t="n">
        <v>311696</v>
      </c>
      <c r="AI1806" t="n">
        <v>0</v>
      </c>
    </row>
    <row r="1807">
      <c r="A1807" t="inlineStr">
        <is>
          <t>3월</t>
        </is>
      </c>
      <c r="B1807" t="inlineStr">
        <is>
          <t>10주차</t>
        </is>
      </c>
      <c r="C1807" t="inlineStr">
        <is>
          <t>EP</t>
        </is>
      </c>
      <c r="D1807" s="28" t="n">
        <v>46085</v>
      </c>
      <c r="E1807" t="inlineStr">
        <is>
          <t>현대EP</t>
        </is>
      </c>
      <c r="F1807" t="inlineStr">
        <is>
          <t>이예지</t>
        </is>
      </c>
      <c r="G1807" t="inlineStr">
        <is>
          <t>010-5484-0758</t>
        </is>
      </c>
      <c r="H1807" t="inlineStr">
        <is>
          <t>193거8972</t>
        </is>
      </c>
      <c r="I1807" t="n">
        <v>18900000</v>
      </c>
      <c r="J1807" t="n">
        <v>0.064</v>
      </c>
      <c r="K1807" t="n">
        <v>1.76</v>
      </c>
      <c r="L1807" t="n">
        <v>0.14</v>
      </c>
      <c r="M1807" t="n">
        <v>1.62</v>
      </c>
      <c r="P1807" t="inlineStr">
        <is>
          <t>김나윤</t>
        </is>
      </c>
      <c r="Q1807" t="inlineStr">
        <is>
          <t>홈서비스 48개월</t>
        </is>
      </c>
      <c r="AB1807" t="inlineStr">
        <is>
          <t>홈서비스</t>
        </is>
      </c>
      <c r="AC1807" t="n">
        <v>332640</v>
      </c>
      <c r="AD1807" t="n">
        <v>26460</v>
      </c>
      <c r="AE1807" t="n">
        <v>306180</v>
      </c>
      <c r="AF1807" t="n">
        <v>302400</v>
      </c>
      <c r="AG1807" t="n">
        <v>25586.82</v>
      </c>
      <c r="AH1807" t="n">
        <v>276813.18</v>
      </c>
    </row>
    <row r="1808">
      <c r="A1808" t="inlineStr">
        <is>
          <t>3월</t>
        </is>
      </c>
      <c r="B1808" t="inlineStr">
        <is>
          <t>11주차</t>
        </is>
      </c>
      <c r="C1808" t="inlineStr">
        <is>
          <t>EP</t>
        </is>
      </c>
      <c r="D1808" s="28" t="n">
        <v>46090</v>
      </c>
      <c r="E1808" t="inlineStr">
        <is>
          <t>현대EP</t>
        </is>
      </c>
      <c r="F1808" t="inlineStr">
        <is>
          <t>박재숙</t>
        </is>
      </c>
      <c r="G1808" t="inlineStr">
        <is>
          <t>010-6456-5896</t>
        </is>
      </c>
      <c r="H1808" t="inlineStr">
        <is>
          <t>55가7899</t>
        </is>
      </c>
      <c r="I1808" t="n">
        <v>9900000</v>
      </c>
      <c r="J1808" t="n">
        <v>0.118</v>
      </c>
      <c r="K1808" t="n">
        <v>1.76</v>
      </c>
      <c r="L1808" t="n">
        <v>0.14</v>
      </c>
      <c r="M1808" t="n">
        <v>1.62</v>
      </c>
      <c r="P1808" t="inlineStr">
        <is>
          <t>김수연</t>
        </is>
      </c>
      <c r="Q1808" t="inlineStr">
        <is>
          <t>홈서비스 36개월</t>
        </is>
      </c>
      <c r="AB1808" t="inlineStr">
        <is>
          <t>홈서비스</t>
        </is>
      </c>
      <c r="AC1808" t="n">
        <v>174240</v>
      </c>
      <c r="AD1808" t="n">
        <v>13860</v>
      </c>
      <c r="AE1808" t="n">
        <v>160380</v>
      </c>
      <c r="AF1808" t="n">
        <v>158400</v>
      </c>
      <c r="AG1808" t="n">
        <v>13402.62</v>
      </c>
      <c r="AH1808" t="n">
        <v>144997.38</v>
      </c>
      <c r="AI1808" t="n">
        <v>0</v>
      </c>
    </row>
    <row r="1809">
      <c r="A1809" t="inlineStr">
        <is>
          <t>3월</t>
        </is>
      </c>
      <c r="B1809" t="inlineStr">
        <is>
          <t>11주차</t>
        </is>
      </c>
      <c r="C1809" t="inlineStr">
        <is>
          <t>EP</t>
        </is>
      </c>
      <c r="D1809" s="28" t="n">
        <v>46091</v>
      </c>
      <c r="E1809" t="inlineStr">
        <is>
          <t>현대EP_fast</t>
        </is>
      </c>
      <c r="F1809" t="inlineStr">
        <is>
          <t>백유정</t>
        </is>
      </c>
      <c r="G1809" t="inlineStr">
        <is>
          <t>010-7128-9288</t>
        </is>
      </c>
      <c r="H1809" t="inlineStr">
        <is>
          <t>29마2688</t>
        </is>
      </c>
      <c r="I1809" t="n">
        <v>14000000</v>
      </c>
      <c r="J1809" t="n">
        <v>0.07099999999999999</v>
      </c>
      <c r="K1809" t="n">
        <v>1.76</v>
      </c>
      <c r="L1809" t="n">
        <v>0.14</v>
      </c>
      <c r="M1809" t="n">
        <v>1.62</v>
      </c>
      <c r="P1809" t="inlineStr">
        <is>
          <t>최형주</t>
        </is>
      </c>
      <c r="Q1809" t="inlineStr">
        <is>
          <t>홈서비스 60개월</t>
        </is>
      </c>
      <c r="AB1809" t="inlineStr">
        <is>
          <t>홈서비스</t>
        </is>
      </c>
      <c r="AC1809" t="n">
        <v>246400</v>
      </c>
      <c r="AD1809" t="n">
        <v>19600</v>
      </c>
      <c r="AE1809" t="n">
        <v>226800</v>
      </c>
      <c r="AF1809" t="n">
        <v>224000</v>
      </c>
      <c r="AG1809" t="n">
        <v>18953.2</v>
      </c>
      <c r="AH1809" t="n">
        <v>205046.8</v>
      </c>
      <c r="AI1809" t="n">
        <v>0</v>
      </c>
    </row>
    <row r="1810">
      <c r="A1810" t="inlineStr">
        <is>
          <t>3월</t>
        </is>
      </c>
      <c r="B1810" t="inlineStr">
        <is>
          <t>10주차</t>
        </is>
      </c>
      <c r="C1810" t="inlineStr">
        <is>
          <t>EP</t>
        </is>
      </c>
      <c r="D1810" s="28" t="n">
        <v>46084</v>
      </c>
      <c r="E1810" t="inlineStr">
        <is>
          <t>현대EP</t>
        </is>
      </c>
      <c r="F1810" t="inlineStr">
        <is>
          <t>신동민</t>
        </is>
      </c>
      <c r="G1810" t="inlineStr">
        <is>
          <t>010-3248-1982</t>
        </is>
      </c>
      <c r="H1810" t="inlineStr">
        <is>
          <t>03루0141</t>
        </is>
      </c>
      <c r="I1810" t="n">
        <v>-17300000</v>
      </c>
      <c r="J1810" t="n">
        <v>0.068</v>
      </c>
      <c r="K1810" t="n">
        <v>1.76</v>
      </c>
      <c r="L1810" t="n">
        <v>0.14</v>
      </c>
      <c r="M1810" t="n">
        <v>1.62</v>
      </c>
      <c r="P1810" t="inlineStr">
        <is>
          <t>최형주</t>
        </is>
      </c>
      <c r="Q1810" t="inlineStr">
        <is>
          <t>홈서비스 60개월</t>
        </is>
      </c>
      <c r="AB1810" t="inlineStr">
        <is>
          <t>홈서비스</t>
        </is>
      </c>
      <c r="AC1810" t="n">
        <v>-304480</v>
      </c>
      <c r="AD1810" t="n">
        <v>-24220</v>
      </c>
      <c r="AE1810" t="n">
        <v>-280260</v>
      </c>
      <c r="AF1810" t="n">
        <v>-276800</v>
      </c>
      <c r="AG1810" t="n">
        <v>-23420.74</v>
      </c>
      <c r="AH1810" t="n">
        <v>-253379.26</v>
      </c>
    </row>
    <row r="1811">
      <c r="A1811" t="inlineStr">
        <is>
          <t>3월</t>
        </is>
      </c>
      <c r="B1811" t="inlineStr">
        <is>
          <t>11주차</t>
        </is>
      </c>
      <c r="C1811" t="inlineStr">
        <is>
          <t>IM</t>
        </is>
      </c>
      <c r="D1811" s="28" t="n">
        <v>46090</v>
      </c>
      <c r="E1811" t="inlineStr">
        <is>
          <t>IM캐피탈</t>
        </is>
      </c>
      <c r="F1811" t="inlineStr">
        <is>
          <t>김재연</t>
        </is>
      </c>
      <c r="G1811" t="inlineStr">
        <is>
          <t>010-5090-3894</t>
        </is>
      </c>
      <c r="H1811" t="inlineStr">
        <is>
          <t>158주6737</t>
        </is>
      </c>
      <c r="I1811" t="n">
        <v>12000000</v>
      </c>
      <c r="J1811" t="n">
        <v>0.059</v>
      </c>
      <c r="K1811" t="n">
        <v>1.1</v>
      </c>
      <c r="L1811" t="n">
        <v>0.14</v>
      </c>
      <c r="M1811" t="n">
        <v>0.96</v>
      </c>
      <c r="P1811" t="inlineStr">
        <is>
          <t>장현경</t>
        </is>
      </c>
      <c r="Q1811" t="inlineStr">
        <is>
          <t>선상담 /홈서비스36개월</t>
        </is>
      </c>
      <c r="AB1811" t="inlineStr">
        <is>
          <t>홈서비스</t>
        </is>
      </c>
      <c r="AC1811" t="n">
        <v>132000</v>
      </c>
      <c r="AD1811" t="n">
        <v>16800</v>
      </c>
      <c r="AE1811" t="n">
        <v>115200</v>
      </c>
      <c r="AF1811" t="n">
        <v>120000</v>
      </c>
      <c r="AG1811" t="n">
        <v>16245.6</v>
      </c>
      <c r="AH1811" t="n">
        <v>103754.4</v>
      </c>
    </row>
    <row r="1812">
      <c r="A1812" t="inlineStr">
        <is>
          <t>3월</t>
        </is>
      </c>
      <c r="B1812" t="inlineStr">
        <is>
          <t>10주차</t>
        </is>
      </c>
      <c r="C1812" t="inlineStr">
        <is>
          <t>IM</t>
        </is>
      </c>
      <c r="D1812" s="28" t="n">
        <v>46084</v>
      </c>
      <c r="E1812" t="inlineStr">
        <is>
          <t>IM캐피탈</t>
        </is>
      </c>
      <c r="F1812" t="inlineStr">
        <is>
          <t>한철우</t>
        </is>
      </c>
      <c r="G1812" t="inlineStr">
        <is>
          <t>010-4703-8097</t>
        </is>
      </c>
      <c r="H1812" t="inlineStr">
        <is>
          <t>147고9602</t>
        </is>
      </c>
      <c r="I1812" t="n">
        <v>-26400000</v>
      </c>
      <c r="J1812" t="n">
        <v>0.066</v>
      </c>
      <c r="K1812" t="n">
        <v>1.1</v>
      </c>
      <c r="L1812" t="n">
        <v>0.14</v>
      </c>
      <c r="M1812" t="n">
        <v>0.96</v>
      </c>
      <c r="P1812" t="inlineStr">
        <is>
          <t>김수연</t>
        </is>
      </c>
      <c r="Q1812" t="inlineStr">
        <is>
          <t>홈서비스 84개월</t>
        </is>
      </c>
      <c r="AB1812" t="inlineStr">
        <is>
          <t>홈서비스</t>
        </is>
      </c>
      <c r="AC1812" t="n">
        <v>-290400</v>
      </c>
      <c r="AD1812" t="n">
        <v>-36960</v>
      </c>
      <c r="AE1812" t="n">
        <v>-253440</v>
      </c>
      <c r="AF1812" t="n">
        <v>-264000</v>
      </c>
      <c r="AG1812" t="n">
        <v>-35740.32</v>
      </c>
      <c r="AH1812" t="n">
        <v>-228259.68</v>
      </c>
      <c r="AI1812" t="n">
        <v>0</v>
      </c>
    </row>
    <row r="1813">
      <c r="A1813" t="inlineStr">
        <is>
          <t>3월</t>
        </is>
      </c>
      <c r="B1813" t="inlineStr">
        <is>
          <t>10주차</t>
        </is>
      </c>
      <c r="C1813" t="inlineStr">
        <is>
          <t>IM</t>
        </is>
      </c>
      <c r="D1813" s="28" t="n">
        <v>46085</v>
      </c>
      <c r="E1813" t="inlineStr">
        <is>
          <t>IM캐피탈</t>
        </is>
      </c>
      <c r="F1813" t="inlineStr">
        <is>
          <t>조나영</t>
        </is>
      </c>
      <c r="G1813" t="inlineStr">
        <is>
          <t>010-4822-1618</t>
        </is>
      </c>
      <c r="H1813" t="inlineStr">
        <is>
          <t>01주3547</t>
        </is>
      </c>
      <c r="I1813" t="n">
        <v>6100000</v>
      </c>
      <c r="J1813" t="n">
        <v>0.056</v>
      </c>
      <c r="K1813" t="n">
        <v>1.1</v>
      </c>
      <c r="L1813" t="n">
        <v>0.14</v>
      </c>
      <c r="M1813" t="n">
        <v>0.96</v>
      </c>
      <c r="P1813" t="inlineStr">
        <is>
          <t>김수연</t>
        </is>
      </c>
      <c r="Q1813" t="inlineStr">
        <is>
          <t>홈서비스 36개월</t>
        </is>
      </c>
      <c r="AB1813" t="inlineStr">
        <is>
          <t>홈서비스</t>
        </is>
      </c>
      <c r="AC1813" t="n">
        <v>67100</v>
      </c>
      <c r="AD1813" t="n">
        <v>8540</v>
      </c>
      <c r="AE1813" t="n">
        <v>58560</v>
      </c>
      <c r="AF1813" t="n">
        <v>61000</v>
      </c>
      <c r="AG1813" t="n">
        <v>8258.18</v>
      </c>
      <c r="AH1813" t="n">
        <v>52741.82</v>
      </c>
    </row>
    <row r="1814">
      <c r="A1814" t="inlineStr">
        <is>
          <t>3월</t>
        </is>
      </c>
      <c r="B1814" t="inlineStr">
        <is>
          <t>10주차</t>
        </is>
      </c>
      <c r="C1814" t="inlineStr">
        <is>
          <t>EP</t>
        </is>
      </c>
      <c r="D1814" s="28" t="n">
        <v>46085</v>
      </c>
      <c r="E1814" t="inlineStr">
        <is>
          <t>현대EP_fast</t>
        </is>
      </c>
      <c r="F1814" t="inlineStr">
        <is>
          <t>조예찬</t>
        </is>
      </c>
      <c r="G1814" t="inlineStr">
        <is>
          <t>010-9341-8905</t>
        </is>
      </c>
      <c r="H1814" t="inlineStr">
        <is>
          <t>12어7697</t>
        </is>
      </c>
      <c r="I1814" t="n">
        <v>4700000</v>
      </c>
      <c r="J1814" t="n">
        <v>0.07099999999999999</v>
      </c>
      <c r="K1814" t="n">
        <v>1.76</v>
      </c>
      <c r="L1814" t="n">
        <v>0.14</v>
      </c>
      <c r="M1814" t="n">
        <v>1.62</v>
      </c>
      <c r="P1814" t="inlineStr">
        <is>
          <t>박현민</t>
        </is>
      </c>
      <c r="Q1814" t="inlineStr">
        <is>
          <t>홈서비스 60개월</t>
        </is>
      </c>
      <c r="AB1814" t="inlineStr">
        <is>
          <t>홈서비스</t>
        </is>
      </c>
      <c r="AC1814" t="n">
        <v>82720</v>
      </c>
      <c r="AD1814" t="n">
        <v>6580</v>
      </c>
      <c r="AE1814" t="n">
        <v>76140</v>
      </c>
      <c r="AF1814" t="n">
        <v>75200</v>
      </c>
      <c r="AG1814" t="n">
        <v>6362.86</v>
      </c>
      <c r="AH1814" t="n">
        <v>68837.14</v>
      </c>
      <c r="AI1814" t="n">
        <v>0</v>
      </c>
    </row>
    <row r="1815">
      <c r="A1815" t="inlineStr">
        <is>
          <t>3월</t>
        </is>
      </c>
      <c r="B1815" t="inlineStr">
        <is>
          <t>10주차</t>
        </is>
      </c>
      <c r="C1815" t="inlineStr">
        <is>
          <t>EP</t>
        </is>
      </c>
      <c r="D1815" s="28" t="n">
        <v>46085</v>
      </c>
      <c r="E1815" t="inlineStr">
        <is>
          <t>현대EP</t>
        </is>
      </c>
      <c r="F1815" t="inlineStr">
        <is>
          <t>김연준</t>
        </is>
      </c>
      <c r="G1815" t="inlineStr">
        <is>
          <t>010-5074-5417</t>
        </is>
      </c>
      <c r="H1815" t="inlineStr">
        <is>
          <t>165머8290</t>
        </is>
      </c>
      <c r="I1815" t="n">
        <v>29900000</v>
      </c>
      <c r="J1815" t="n">
        <v>0.068</v>
      </c>
      <c r="K1815" t="n">
        <v>1.76</v>
      </c>
      <c r="L1815" t="n">
        <v>0.14</v>
      </c>
      <c r="M1815" t="n">
        <v>1.62</v>
      </c>
      <c r="P1815" t="inlineStr">
        <is>
          <t>김나윤</t>
        </is>
      </c>
      <c r="Q1815" t="inlineStr">
        <is>
          <t>홈서비스 60개월</t>
        </is>
      </c>
      <c r="AB1815" t="inlineStr">
        <is>
          <t>홈서비스</t>
        </is>
      </c>
      <c r="AC1815" t="n">
        <v>526240</v>
      </c>
      <c r="AD1815" t="n">
        <v>41860</v>
      </c>
      <c r="AE1815" t="n">
        <v>484380</v>
      </c>
      <c r="AF1815" t="n">
        <v>478400</v>
      </c>
      <c r="AG1815" t="n">
        <v>40478.62</v>
      </c>
      <c r="AH1815" t="n">
        <v>437921.38</v>
      </c>
    </row>
    <row r="1816">
      <c r="A1816" t="inlineStr">
        <is>
          <t>3월</t>
        </is>
      </c>
      <c r="B1816" t="inlineStr">
        <is>
          <t>10주차</t>
        </is>
      </c>
      <c r="C1816" t="inlineStr">
        <is>
          <t>IM</t>
        </is>
      </c>
      <c r="D1816" s="28" t="n">
        <v>46085</v>
      </c>
      <c r="E1816" t="inlineStr">
        <is>
          <t>IM캐피탈</t>
        </is>
      </c>
      <c r="F1816" t="inlineStr">
        <is>
          <t>이영훈</t>
        </is>
      </c>
      <c r="G1816" t="inlineStr">
        <is>
          <t>010-8351-5080</t>
        </is>
      </c>
      <c r="H1816" t="inlineStr">
        <is>
          <t>01서1451</t>
        </is>
      </c>
      <c r="I1816" t="n">
        <v>11900000</v>
      </c>
      <c r="J1816" t="n">
        <v>0.049</v>
      </c>
      <c r="K1816" t="n">
        <v>1.1</v>
      </c>
      <c r="L1816" t="n">
        <v>0.14</v>
      </c>
      <c r="M1816" t="n">
        <v>0.96</v>
      </c>
      <c r="P1816" t="inlineStr">
        <is>
          <t>김나윤</t>
        </is>
      </c>
      <c r="Q1816" t="inlineStr">
        <is>
          <t>홈서비스 36개월</t>
        </is>
      </c>
      <c r="AB1816" t="inlineStr">
        <is>
          <t>홈서비스</t>
        </is>
      </c>
      <c r="AC1816" t="n">
        <v>130900</v>
      </c>
      <c r="AD1816" t="n">
        <v>16660</v>
      </c>
      <c r="AE1816" t="n">
        <v>114240</v>
      </c>
      <c r="AF1816" t="n">
        <v>119000</v>
      </c>
      <c r="AG1816" t="n">
        <v>16110.22</v>
      </c>
      <c r="AH1816" t="n">
        <v>102889.78</v>
      </c>
      <c r="AI1816" t="n">
        <v>0</v>
      </c>
    </row>
    <row r="1817">
      <c r="A1817" t="inlineStr">
        <is>
          <t>3월</t>
        </is>
      </c>
      <c r="B1817" t="inlineStr">
        <is>
          <t>10주차</t>
        </is>
      </c>
      <c r="C1817" t="inlineStr">
        <is>
          <t>IM</t>
        </is>
      </c>
      <c r="D1817" s="28" t="n">
        <v>46085</v>
      </c>
      <c r="E1817" t="inlineStr">
        <is>
          <t>IM캐피탈</t>
        </is>
      </c>
      <c r="F1817" t="inlineStr">
        <is>
          <t>이달성</t>
        </is>
      </c>
      <c r="G1817" t="inlineStr">
        <is>
          <t>010-3944-1580</t>
        </is>
      </c>
      <c r="H1817" t="inlineStr">
        <is>
          <t>62다8627</t>
        </is>
      </c>
      <c r="I1817" t="n">
        <v>21800000</v>
      </c>
      <c r="J1817" t="n">
        <v>0.049</v>
      </c>
      <c r="K1817" t="n">
        <v>1.1</v>
      </c>
      <c r="L1817" t="n">
        <v>0.14</v>
      </c>
      <c r="M1817" t="n">
        <v>0.96</v>
      </c>
      <c r="P1817" t="inlineStr">
        <is>
          <t>김수연</t>
        </is>
      </c>
      <c r="Q1817" t="inlineStr">
        <is>
          <t>홈서비스 36개월</t>
        </is>
      </c>
      <c r="AB1817" t="inlineStr">
        <is>
          <t>홈서비스</t>
        </is>
      </c>
      <c r="AC1817" t="n">
        <v>239800</v>
      </c>
      <c r="AD1817" t="n">
        <v>30520</v>
      </c>
      <c r="AE1817" t="n">
        <v>209280</v>
      </c>
      <c r="AF1817" t="n">
        <v>218000</v>
      </c>
      <c r="AG1817" t="n">
        <v>29512.84</v>
      </c>
      <c r="AH1817" t="n">
        <v>188487.16</v>
      </c>
    </row>
    <row r="1818">
      <c r="A1818" t="inlineStr">
        <is>
          <t>2월</t>
        </is>
      </c>
      <c r="B1818" t="inlineStr">
        <is>
          <t>9주차</t>
        </is>
      </c>
      <c r="C1818" t="inlineStr">
        <is>
          <t>IM</t>
        </is>
      </c>
      <c r="D1818" s="28" t="n">
        <v>46081</v>
      </c>
      <c r="E1818" t="inlineStr">
        <is>
          <t>IM캐피탈</t>
        </is>
      </c>
      <c r="F1818" t="inlineStr">
        <is>
          <t>최재은</t>
        </is>
      </c>
      <c r="G1818" t="inlineStr">
        <is>
          <t>010-8261-2950</t>
        </is>
      </c>
      <c r="H1818" t="inlineStr">
        <is>
          <t>64도4004</t>
        </is>
      </c>
      <c r="I1818" t="n">
        <v>37700000</v>
      </c>
      <c r="J1818" t="n">
        <v>0.049</v>
      </c>
      <c r="K1818" t="n">
        <v>1.1</v>
      </c>
      <c r="L1818" t="n">
        <v>0.4</v>
      </c>
      <c r="M1818" t="n">
        <v>0.7</v>
      </c>
      <c r="P1818" t="inlineStr">
        <is>
          <t>장진경</t>
        </is>
      </c>
      <c r="AB1818" t="inlineStr">
        <is>
          <t>엔카</t>
        </is>
      </c>
      <c r="AC1818" t="n">
        <v>414700</v>
      </c>
      <c r="AD1818" t="n">
        <v>150800</v>
      </c>
      <c r="AE1818" t="n">
        <v>263900</v>
      </c>
      <c r="AF1818" t="n">
        <v>377000</v>
      </c>
      <c r="AG1818" t="n">
        <v>145823.6</v>
      </c>
      <c r="AH1818" t="n">
        <v>231176.4</v>
      </c>
      <c r="AI1818" t="n">
        <v>0</v>
      </c>
    </row>
    <row r="1819">
      <c r="A1819" t="inlineStr">
        <is>
          <t>3월</t>
        </is>
      </c>
      <c r="B1819" t="inlineStr">
        <is>
          <t>10주차</t>
        </is>
      </c>
      <c r="C1819" t="inlineStr">
        <is>
          <t>IM</t>
        </is>
      </c>
      <c r="D1819" s="28" t="n">
        <v>46085</v>
      </c>
      <c r="E1819" t="inlineStr">
        <is>
          <t>IM캐피탈</t>
        </is>
      </c>
      <c r="F1819" t="inlineStr">
        <is>
          <t>이세미</t>
        </is>
      </c>
      <c r="G1819" t="inlineStr">
        <is>
          <t>010-4739-8752</t>
        </is>
      </c>
      <c r="H1819" t="inlineStr">
        <is>
          <t>101수3983</t>
        </is>
      </c>
      <c r="I1819" t="n">
        <v>15600000</v>
      </c>
      <c r="J1819" t="n">
        <v>0.039</v>
      </c>
      <c r="K1819" t="n">
        <v>1.1</v>
      </c>
      <c r="L1819" t="n">
        <v>0.14</v>
      </c>
      <c r="M1819" t="n">
        <v>0.96</v>
      </c>
      <c r="P1819" t="inlineStr">
        <is>
          <t>김나윤</t>
        </is>
      </c>
      <c r="Q1819" t="inlineStr">
        <is>
          <t>홈서비스 60개월</t>
        </is>
      </c>
      <c r="AB1819" t="inlineStr">
        <is>
          <t>홈서비스</t>
        </is>
      </c>
      <c r="AC1819" t="n">
        <v>171600</v>
      </c>
      <c r="AD1819" t="n">
        <v>21840</v>
      </c>
      <c r="AE1819" t="n">
        <v>149760</v>
      </c>
      <c r="AF1819" t="n">
        <v>156000</v>
      </c>
      <c r="AG1819" t="n">
        <v>21119.28</v>
      </c>
      <c r="AH1819" t="n">
        <v>134880.72</v>
      </c>
    </row>
    <row r="1820">
      <c r="A1820" t="inlineStr">
        <is>
          <t>3월</t>
        </is>
      </c>
      <c r="B1820" t="inlineStr">
        <is>
          <t>10주차</t>
        </is>
      </c>
      <c r="C1820" t="inlineStr">
        <is>
          <t>IM</t>
        </is>
      </c>
      <c r="D1820" s="28" t="n">
        <v>46084</v>
      </c>
      <c r="E1820" t="inlineStr">
        <is>
          <t>IM캐피탈</t>
        </is>
      </c>
      <c r="F1820" t="inlineStr">
        <is>
          <t>백종원</t>
        </is>
      </c>
      <c r="G1820" t="inlineStr">
        <is>
          <t>010-8667-8524</t>
        </is>
      </c>
      <c r="H1820" t="inlineStr">
        <is>
          <t>243오3797</t>
        </is>
      </c>
      <c r="I1820" t="n">
        <v>40000000</v>
      </c>
      <c r="J1820" t="n">
        <v>0.056</v>
      </c>
      <c r="K1820" t="n">
        <v>1.1</v>
      </c>
      <c r="L1820" t="n">
        <v>0.4</v>
      </c>
      <c r="M1820" t="n">
        <v>0.7</v>
      </c>
      <c r="P1820" t="inlineStr">
        <is>
          <t>임대경</t>
        </is>
      </c>
      <c r="Q1820" t="inlineStr">
        <is>
          <t>부대비용추가진행</t>
        </is>
      </c>
      <c r="AB1820" t="inlineStr">
        <is>
          <t>엔카</t>
        </is>
      </c>
      <c r="AC1820" t="n">
        <v>440000</v>
      </c>
      <c r="AD1820" t="n">
        <v>160000</v>
      </c>
      <c r="AE1820" t="n">
        <v>280000</v>
      </c>
      <c r="AF1820" t="n">
        <v>400000</v>
      </c>
      <c r="AG1820" t="n">
        <v>154720</v>
      </c>
      <c r="AH1820" t="n">
        <v>245280</v>
      </c>
    </row>
    <row r="1821">
      <c r="A1821" t="inlineStr">
        <is>
          <t>3월</t>
        </is>
      </c>
      <c r="B1821" t="inlineStr">
        <is>
          <t>11주차</t>
        </is>
      </c>
      <c r="C1821" t="inlineStr">
        <is>
          <t>IM</t>
        </is>
      </c>
      <c r="D1821" s="28" t="n">
        <v>46091</v>
      </c>
      <c r="E1821" t="inlineStr">
        <is>
          <t>IM캐피탈</t>
        </is>
      </c>
      <c r="F1821" t="inlineStr">
        <is>
          <t>배호연</t>
        </is>
      </c>
      <c r="G1821" t="inlineStr">
        <is>
          <t>010-2400-0499</t>
        </is>
      </c>
      <c r="H1821" t="inlineStr">
        <is>
          <t>331오6764</t>
        </is>
      </c>
      <c r="I1821" t="n">
        <v>-13000000</v>
      </c>
      <c r="J1821" t="n">
        <v>0.049</v>
      </c>
      <c r="K1821" t="n">
        <v>1.1</v>
      </c>
      <c r="L1821" t="n">
        <v>0.14</v>
      </c>
      <c r="M1821" t="n">
        <v>0.96</v>
      </c>
      <c r="P1821" t="inlineStr">
        <is>
          <t>김나윤</t>
        </is>
      </c>
      <c r="Q1821" t="inlineStr">
        <is>
          <t>홈서비스 60개월</t>
        </is>
      </c>
      <c r="AB1821" t="inlineStr">
        <is>
          <t>홈서비스</t>
        </is>
      </c>
      <c r="AC1821" t="n">
        <v>-143000</v>
      </c>
      <c r="AD1821" t="n">
        <v>-18200</v>
      </c>
      <c r="AE1821" t="n">
        <v>-124800</v>
      </c>
      <c r="AF1821" t="n">
        <v>-130000</v>
      </c>
      <c r="AG1821" t="n">
        <v>-17599.4</v>
      </c>
      <c r="AH1821" t="n">
        <v>-112400.6</v>
      </c>
      <c r="AI1821" t="n">
        <v>0</v>
      </c>
    </row>
    <row r="1822">
      <c r="A1822" t="inlineStr">
        <is>
          <t>3월</t>
        </is>
      </c>
      <c r="B1822" t="inlineStr">
        <is>
          <t>10주차</t>
        </is>
      </c>
      <c r="C1822" t="inlineStr">
        <is>
          <t>EP</t>
        </is>
      </c>
      <c r="D1822" s="28" t="n">
        <v>46085</v>
      </c>
      <c r="E1822" t="inlineStr">
        <is>
          <t>BNKEP</t>
        </is>
      </c>
      <c r="F1822" t="inlineStr">
        <is>
          <t>조현종</t>
        </is>
      </c>
      <c r="G1822" t="inlineStr">
        <is>
          <t>010-7210-2635</t>
        </is>
      </c>
      <c r="H1822" t="inlineStr">
        <is>
          <t>10마3623</t>
        </is>
      </c>
      <c r="I1822" t="n">
        <v>32200000</v>
      </c>
      <c r="J1822" t="n">
        <v>0.055</v>
      </c>
      <c r="K1822" t="n">
        <v>1.65</v>
      </c>
      <c r="L1822" t="n">
        <v>0.14</v>
      </c>
      <c r="M1822" t="n">
        <v>1.51</v>
      </c>
      <c r="P1822" t="inlineStr">
        <is>
          <t>김나윤</t>
        </is>
      </c>
      <c r="Q1822" t="inlineStr">
        <is>
          <t>홈서비스 60개월</t>
        </is>
      </c>
      <c r="AB1822" t="inlineStr">
        <is>
          <t>홈서비스</t>
        </is>
      </c>
      <c r="AC1822" t="n">
        <v>531300</v>
      </c>
      <c r="AD1822" t="n">
        <v>45080</v>
      </c>
      <c r="AE1822" t="n">
        <v>486220</v>
      </c>
      <c r="AF1822" t="n">
        <v>483000</v>
      </c>
      <c r="AG1822" t="n">
        <v>43592.36</v>
      </c>
      <c r="AH1822" t="n">
        <v>439407.64</v>
      </c>
      <c r="AI1822" t="n">
        <v>0</v>
      </c>
    </row>
    <row r="1823">
      <c r="A1823" t="inlineStr">
        <is>
          <t>2월</t>
        </is>
      </c>
      <c r="B1823" t="inlineStr">
        <is>
          <t>9주차</t>
        </is>
      </c>
      <c r="C1823" t="inlineStr">
        <is>
          <t>EP</t>
        </is>
      </c>
      <c r="D1823" s="28" t="n">
        <v>46080</v>
      </c>
      <c r="E1823" t="inlineStr">
        <is>
          <t>현대EP_fast</t>
        </is>
      </c>
      <c r="F1823" t="inlineStr">
        <is>
          <t>이승호</t>
        </is>
      </c>
      <c r="G1823" t="inlineStr">
        <is>
          <t>010-8640-2757</t>
        </is>
      </c>
      <c r="H1823" t="inlineStr">
        <is>
          <t>15루3197</t>
        </is>
      </c>
      <c r="I1823" t="n">
        <v>6000000</v>
      </c>
      <c r="J1823" t="n">
        <v>0.064</v>
      </c>
      <c r="K1823" t="n">
        <v>1.76</v>
      </c>
      <c r="L1823" t="n">
        <v>0.4</v>
      </c>
      <c r="M1823" t="n">
        <v>1.36</v>
      </c>
      <c r="P1823" t="inlineStr">
        <is>
          <t>박보람</t>
        </is>
      </c>
      <c r="Q1823" t="inlineStr">
        <is>
          <t xml:space="preserve"> 금리인하 0.5% 적용건 (6.9 &gt; 6.4)</t>
        </is>
      </c>
      <c r="AB1823" t="inlineStr">
        <is>
          <t>엔카</t>
        </is>
      </c>
      <c r="AC1823" t="n">
        <v>105600</v>
      </c>
      <c r="AD1823" t="n">
        <v>24000</v>
      </c>
      <c r="AE1823" t="n">
        <v>81600</v>
      </c>
      <c r="AF1823" t="n">
        <v>96000</v>
      </c>
      <c r="AG1823" t="n">
        <v>23208</v>
      </c>
      <c r="AH1823" t="n">
        <v>72792</v>
      </c>
      <c r="AI1823" t="n">
        <v>0</v>
      </c>
    </row>
    <row r="1824">
      <c r="A1824" t="inlineStr">
        <is>
          <t>3월</t>
        </is>
      </c>
      <c r="B1824" t="inlineStr">
        <is>
          <t>10주차</t>
        </is>
      </c>
      <c r="C1824" t="inlineStr">
        <is>
          <t>EP</t>
        </is>
      </c>
      <c r="D1824" s="28" t="n">
        <v>46084</v>
      </c>
      <c r="E1824" t="inlineStr">
        <is>
          <t>현대EP_fast</t>
        </is>
      </c>
      <c r="F1824" t="inlineStr">
        <is>
          <t>정연호</t>
        </is>
      </c>
      <c r="G1824" t="inlineStr">
        <is>
          <t>010-6844-7444</t>
        </is>
      </c>
      <c r="H1824" t="inlineStr">
        <is>
          <t>26서5342</t>
        </is>
      </c>
      <c r="I1824" t="n">
        <v>13000000</v>
      </c>
      <c r="J1824" t="n">
        <v>0.08500000000000001</v>
      </c>
      <c r="K1824" t="n">
        <v>1.76</v>
      </c>
      <c r="L1824" t="n">
        <v>0.4</v>
      </c>
      <c r="M1824" t="n">
        <v>1.36</v>
      </c>
      <c r="P1824" t="inlineStr">
        <is>
          <t>장현경</t>
        </is>
      </c>
      <c r="AB1824" t="inlineStr">
        <is>
          <t>엔카</t>
        </is>
      </c>
      <c r="AC1824" t="n">
        <v>228800</v>
      </c>
      <c r="AD1824" t="n">
        <v>52000</v>
      </c>
      <c r="AE1824" t="n">
        <v>176800</v>
      </c>
      <c r="AF1824" t="n">
        <v>208000</v>
      </c>
      <c r="AG1824" t="n">
        <v>50284</v>
      </c>
      <c r="AH1824" t="n">
        <v>157716</v>
      </c>
      <c r="AI1824" t="n">
        <v>0</v>
      </c>
    </row>
    <row r="1825">
      <c r="A1825" t="inlineStr">
        <is>
          <t>3월</t>
        </is>
      </c>
      <c r="B1825" t="inlineStr">
        <is>
          <t>10주차</t>
        </is>
      </c>
      <c r="C1825" t="inlineStr">
        <is>
          <t>EP</t>
        </is>
      </c>
      <c r="D1825" s="28" t="n">
        <v>46084</v>
      </c>
      <c r="E1825" t="inlineStr">
        <is>
          <t>현대EP_fast</t>
        </is>
      </c>
      <c r="F1825" t="inlineStr">
        <is>
          <t>김용욱</t>
        </is>
      </c>
      <c r="G1825" t="inlineStr">
        <is>
          <t>010-8809-9980</t>
        </is>
      </c>
      <c r="H1825" t="inlineStr">
        <is>
          <t>300두4644</t>
        </is>
      </c>
      <c r="I1825" t="n">
        <v>37000000</v>
      </c>
      <c r="J1825" t="n">
        <v>0.099</v>
      </c>
      <c r="K1825" t="n">
        <v>1.76</v>
      </c>
      <c r="L1825" t="n">
        <v>0.5</v>
      </c>
      <c r="M1825" t="n">
        <v>1.26</v>
      </c>
      <c r="P1825" t="inlineStr">
        <is>
          <t>정하은</t>
        </is>
      </c>
      <c r="Q1825" t="inlineStr">
        <is>
          <t>기조회 금리 원복(10.2 &gt; 9.9)</t>
        </is>
      </c>
      <c r="AB1825" t="inlineStr">
        <is>
          <t>엔카</t>
        </is>
      </c>
      <c r="AC1825" t="n">
        <v>651200</v>
      </c>
      <c r="AD1825" t="n">
        <v>185000</v>
      </c>
      <c r="AE1825" t="n">
        <v>466200</v>
      </c>
      <c r="AF1825" t="n">
        <v>592000</v>
      </c>
      <c r="AG1825" t="n">
        <v>178895</v>
      </c>
      <c r="AH1825" t="n">
        <v>413105</v>
      </c>
      <c r="AI1825" t="n">
        <v>0</v>
      </c>
    </row>
    <row r="1826">
      <c r="A1826" t="inlineStr">
        <is>
          <t>3월</t>
        </is>
      </c>
      <c r="B1826" t="inlineStr">
        <is>
          <t>10주차</t>
        </is>
      </c>
      <c r="C1826" t="inlineStr">
        <is>
          <t>EP</t>
        </is>
      </c>
      <c r="D1826" s="28" t="n">
        <v>46084</v>
      </c>
      <c r="E1826" t="inlineStr">
        <is>
          <t>제이비EP</t>
        </is>
      </c>
      <c r="F1826" t="inlineStr">
        <is>
          <t>정재하</t>
        </is>
      </c>
      <c r="G1826" t="inlineStr">
        <is>
          <t>010-5514-9030</t>
        </is>
      </c>
      <c r="H1826" t="inlineStr">
        <is>
          <t>149어7569</t>
        </is>
      </c>
      <c r="I1826" t="n">
        <v>38400000</v>
      </c>
      <c r="J1826" t="n">
        <v>0.092</v>
      </c>
      <c r="K1826" t="n">
        <v>1.65</v>
      </c>
      <c r="L1826" t="n">
        <v>0.4</v>
      </c>
      <c r="M1826" t="n">
        <v>1.25</v>
      </c>
      <c r="P1826" t="inlineStr">
        <is>
          <t>구성완</t>
        </is>
      </c>
      <c r="AB1826" t="inlineStr">
        <is>
          <t>엔카</t>
        </is>
      </c>
      <c r="AC1826" t="n">
        <v>633600</v>
      </c>
      <c r="AD1826" t="n">
        <v>153600</v>
      </c>
      <c r="AE1826" t="n">
        <v>480000</v>
      </c>
      <c r="AF1826" t="n">
        <v>576000</v>
      </c>
      <c r="AG1826" t="n">
        <v>148531.2</v>
      </c>
      <c r="AH1826" t="n">
        <v>427468.8</v>
      </c>
      <c r="AI1826" t="n">
        <v>0</v>
      </c>
    </row>
    <row r="1827">
      <c r="A1827" t="inlineStr">
        <is>
          <t>3월</t>
        </is>
      </c>
      <c r="B1827" t="inlineStr">
        <is>
          <t>11주차</t>
        </is>
      </c>
      <c r="C1827" t="inlineStr">
        <is>
          <t>OR</t>
        </is>
      </c>
      <c r="D1827" s="28" t="n">
        <v>46091</v>
      </c>
      <c r="E1827" t="inlineStr">
        <is>
          <t>오릭스</t>
        </is>
      </c>
      <c r="F1827" t="inlineStr">
        <is>
          <t>이숙희</t>
        </is>
      </c>
      <c r="G1827" t="inlineStr">
        <is>
          <t>010-8584-6420</t>
        </is>
      </c>
      <c r="H1827" t="inlineStr">
        <is>
          <t>343루1652</t>
        </is>
      </c>
      <c r="I1827" t="n">
        <v>17900000</v>
      </c>
      <c r="J1827" t="n">
        <v>0.053</v>
      </c>
      <c r="K1827" t="n">
        <v>1.65</v>
      </c>
      <c r="L1827" t="n">
        <v>0.14</v>
      </c>
      <c r="M1827" t="n">
        <v>1.51</v>
      </c>
      <c r="P1827" t="inlineStr">
        <is>
          <t>정세빈</t>
        </is>
      </c>
      <c r="Q1827" t="inlineStr">
        <is>
          <t>홈서비스 36개월</t>
        </is>
      </c>
      <c r="AB1827" t="inlineStr">
        <is>
          <t>홈서비스</t>
        </is>
      </c>
      <c r="AC1827" t="n">
        <v>295350</v>
      </c>
      <c r="AD1827" t="n">
        <v>25060</v>
      </c>
      <c r="AE1827" t="n">
        <v>270290</v>
      </c>
      <c r="AF1827" t="n">
        <v>268500</v>
      </c>
      <c r="AG1827" t="n">
        <v>24233.02</v>
      </c>
      <c r="AH1827" t="n">
        <v>244266.98</v>
      </c>
      <c r="AI1827" t="n">
        <v>0</v>
      </c>
    </row>
    <row r="1828">
      <c r="A1828" t="inlineStr">
        <is>
          <t>3월</t>
        </is>
      </c>
      <c r="B1828" t="inlineStr">
        <is>
          <t>10주차</t>
        </is>
      </c>
      <c r="C1828" t="inlineStr">
        <is>
          <t>IM</t>
        </is>
      </c>
      <c r="D1828" s="28" t="n">
        <v>46084</v>
      </c>
      <c r="E1828" t="inlineStr">
        <is>
          <t>IM캐피탈</t>
        </is>
      </c>
      <c r="F1828" t="inlineStr">
        <is>
          <t>이현석</t>
        </is>
      </c>
      <c r="G1828" t="inlineStr">
        <is>
          <t>010-8321-1678</t>
        </is>
      </c>
      <c r="H1828" t="inlineStr">
        <is>
          <t>277우4792</t>
        </is>
      </c>
      <c r="I1828" t="n">
        <v>49900000</v>
      </c>
      <c r="J1828" t="n">
        <v>0.066</v>
      </c>
      <c r="K1828" t="n">
        <v>1.1</v>
      </c>
      <c r="L1828" t="n">
        <v>0.14</v>
      </c>
      <c r="M1828" t="n">
        <v>0.96</v>
      </c>
      <c r="P1828" t="inlineStr">
        <is>
          <t>장진경</t>
        </is>
      </c>
      <c r="Q1828" t="inlineStr">
        <is>
          <t>선상담 / 홈서비스 72개월</t>
        </is>
      </c>
      <c r="AB1828" t="inlineStr">
        <is>
          <t>홈서비스</t>
        </is>
      </c>
      <c r="AC1828" t="n">
        <v>548900</v>
      </c>
      <c r="AD1828" t="n">
        <v>69860</v>
      </c>
      <c r="AE1828" t="n">
        <v>479040</v>
      </c>
      <c r="AF1828" t="n">
        <v>499000</v>
      </c>
      <c r="AG1828" t="n">
        <v>67554.62</v>
      </c>
      <c r="AH1828" t="n">
        <v>431445.38</v>
      </c>
    </row>
    <row r="1829">
      <c r="A1829" t="inlineStr">
        <is>
          <t>3월</t>
        </is>
      </c>
      <c r="B1829" t="inlineStr">
        <is>
          <t>11주차</t>
        </is>
      </c>
      <c r="C1829" t="inlineStr">
        <is>
          <t>EP</t>
        </is>
      </c>
      <c r="D1829" s="28" t="n">
        <v>46093</v>
      </c>
      <c r="E1829" t="inlineStr">
        <is>
          <t>현대EP_fast</t>
        </is>
      </c>
      <c r="F1829" t="inlineStr">
        <is>
          <t>윤철현</t>
        </is>
      </c>
      <c r="G1829" t="inlineStr">
        <is>
          <t>010-6398-1818</t>
        </is>
      </c>
      <c r="H1829" t="inlineStr">
        <is>
          <t>197호9786</t>
        </is>
      </c>
      <c r="I1829" t="n">
        <v>20000000</v>
      </c>
      <c r="J1829" t="n">
        <v>0.07099999999999999</v>
      </c>
      <c r="K1829" t="n">
        <v>1.76</v>
      </c>
      <c r="L1829" t="n">
        <v>0.14</v>
      </c>
      <c r="M1829" t="n">
        <v>1.62</v>
      </c>
      <c r="P1829" t="inlineStr">
        <is>
          <t>황채이</t>
        </is>
      </c>
      <c r="Q1829" t="inlineStr">
        <is>
          <t>홈서비스 60개월</t>
        </is>
      </c>
      <c r="AB1829" t="inlineStr">
        <is>
          <t>홈서비스</t>
        </is>
      </c>
      <c r="AC1829" t="n">
        <v>352000</v>
      </c>
      <c r="AD1829" t="n">
        <v>28000</v>
      </c>
      <c r="AE1829" t="n">
        <v>324000</v>
      </c>
      <c r="AF1829" t="n">
        <v>320000</v>
      </c>
      <c r="AG1829" t="n">
        <v>27076</v>
      </c>
      <c r="AH1829" t="n">
        <v>292924</v>
      </c>
      <c r="AI1829" t="n">
        <v>0</v>
      </c>
    </row>
    <row r="1830">
      <c r="A1830" t="inlineStr">
        <is>
          <t>3월</t>
        </is>
      </c>
      <c r="B1830" t="inlineStr">
        <is>
          <t>10주차</t>
        </is>
      </c>
      <c r="C1830" t="inlineStr">
        <is>
          <t>IM</t>
        </is>
      </c>
      <c r="D1830" s="28" t="n">
        <v>46085</v>
      </c>
      <c r="E1830" t="inlineStr">
        <is>
          <t>IM캐피탈</t>
        </is>
      </c>
      <c r="F1830" t="inlineStr">
        <is>
          <t>권영지</t>
        </is>
      </c>
      <c r="G1830" t="inlineStr">
        <is>
          <t>010-3700-2750</t>
        </is>
      </c>
      <c r="H1830" t="inlineStr">
        <is>
          <t>390저4398</t>
        </is>
      </c>
      <c r="I1830" t="n">
        <v>23000000</v>
      </c>
      <c r="J1830" t="n">
        <v>0.059</v>
      </c>
      <c r="K1830" t="n">
        <v>1.1</v>
      </c>
      <c r="L1830" t="n">
        <v>0.4</v>
      </c>
      <c r="M1830" t="n">
        <v>0.7</v>
      </c>
      <c r="P1830" t="inlineStr">
        <is>
          <t>장진경</t>
        </is>
      </c>
      <c r="AB1830" t="inlineStr">
        <is>
          <t>엔카</t>
        </is>
      </c>
      <c r="AC1830" t="n">
        <v>253000</v>
      </c>
      <c r="AD1830" t="n">
        <v>92000</v>
      </c>
      <c r="AE1830" t="n">
        <v>161000</v>
      </c>
      <c r="AF1830" t="n">
        <v>230000</v>
      </c>
      <c r="AG1830" t="n">
        <v>88964</v>
      </c>
      <c r="AH1830" t="n">
        <v>141036</v>
      </c>
      <c r="AI1830" t="n">
        <v>0</v>
      </c>
    </row>
    <row r="1831">
      <c r="A1831" t="inlineStr">
        <is>
          <t>3월</t>
        </is>
      </c>
      <c r="B1831" t="inlineStr">
        <is>
          <t>10주차</t>
        </is>
      </c>
      <c r="C1831" t="inlineStr">
        <is>
          <t>IM</t>
        </is>
      </c>
      <c r="D1831" s="28" t="n">
        <v>46085</v>
      </c>
      <c r="E1831" t="inlineStr">
        <is>
          <t>IM캐피탈</t>
        </is>
      </c>
      <c r="F1831" t="inlineStr">
        <is>
          <t>윤유석</t>
        </is>
      </c>
      <c r="G1831" t="inlineStr">
        <is>
          <t>010-6490-3018</t>
        </is>
      </c>
      <c r="H1831" t="inlineStr">
        <is>
          <t>54모7014</t>
        </is>
      </c>
      <c r="I1831" t="n">
        <v>4000000</v>
      </c>
      <c r="J1831" t="n">
        <v>0.049</v>
      </c>
      <c r="K1831" t="n">
        <v>1.1</v>
      </c>
      <c r="L1831" t="n">
        <v>0.14</v>
      </c>
      <c r="M1831" t="n">
        <v>0.96</v>
      </c>
      <c r="P1831" t="inlineStr">
        <is>
          <t>황채이</t>
        </is>
      </c>
      <c r="Q1831" t="inlineStr">
        <is>
          <t>홈서비스 24개월</t>
        </is>
      </c>
      <c r="AB1831" t="inlineStr">
        <is>
          <t>홈서비스</t>
        </is>
      </c>
      <c r="AC1831" t="n">
        <v>44000</v>
      </c>
      <c r="AD1831" t="n">
        <v>5600</v>
      </c>
      <c r="AE1831" t="n">
        <v>38400</v>
      </c>
      <c r="AF1831" t="n">
        <v>40000</v>
      </c>
      <c r="AG1831" t="n">
        <v>5415.2</v>
      </c>
      <c r="AH1831" t="n">
        <v>34584.8</v>
      </c>
      <c r="AI1831" t="n">
        <v>0</v>
      </c>
    </row>
    <row r="1832">
      <c r="A1832" t="inlineStr">
        <is>
          <t>3월</t>
        </is>
      </c>
      <c r="B1832" t="inlineStr">
        <is>
          <t>10주차</t>
        </is>
      </c>
      <c r="C1832" t="inlineStr">
        <is>
          <t>EP</t>
        </is>
      </c>
      <c r="D1832" s="28" t="n">
        <v>46084</v>
      </c>
      <c r="E1832" t="inlineStr">
        <is>
          <t>BNKEP</t>
        </is>
      </c>
      <c r="F1832" t="inlineStr">
        <is>
          <t>이동현</t>
        </is>
      </c>
      <c r="G1832" t="inlineStr">
        <is>
          <t>010-6311-3331</t>
        </is>
      </c>
      <c r="H1832" t="inlineStr">
        <is>
          <t>337노8333</t>
        </is>
      </c>
      <c r="I1832" t="n">
        <v>-48000000</v>
      </c>
      <c r="J1832" t="n">
        <v>0.097</v>
      </c>
      <c r="K1832" t="n">
        <v>1.65</v>
      </c>
      <c r="L1832" t="n">
        <v>0.4</v>
      </c>
      <c r="M1832" t="n">
        <v>1.25</v>
      </c>
      <c r="P1832" t="inlineStr">
        <is>
          <t>장현경</t>
        </is>
      </c>
      <c r="AB1832" t="inlineStr">
        <is>
          <t>엔카</t>
        </is>
      </c>
      <c r="AC1832" t="n">
        <v>-792000</v>
      </c>
      <c r="AD1832" t="n">
        <v>-192000</v>
      </c>
      <c r="AE1832" t="n">
        <v>-600000</v>
      </c>
      <c r="AF1832" t="n">
        <v>-720000</v>
      </c>
      <c r="AG1832" t="n">
        <v>-185664</v>
      </c>
      <c r="AH1832" t="n">
        <v>-534336</v>
      </c>
    </row>
    <row r="1833">
      <c r="A1833" t="inlineStr">
        <is>
          <t>3월</t>
        </is>
      </c>
      <c r="B1833" t="inlineStr">
        <is>
          <t>10주차</t>
        </is>
      </c>
      <c r="C1833" t="inlineStr">
        <is>
          <t>IM</t>
        </is>
      </c>
      <c r="D1833" s="28" t="n">
        <v>46085</v>
      </c>
      <c r="E1833" t="inlineStr">
        <is>
          <t>IM캐피탈</t>
        </is>
      </c>
      <c r="F1833" t="inlineStr">
        <is>
          <t>홍창범</t>
        </is>
      </c>
      <c r="G1833" t="inlineStr">
        <is>
          <t>010-6768-7591</t>
        </is>
      </c>
      <c r="H1833" t="inlineStr">
        <is>
          <t>343버8593</t>
        </is>
      </c>
      <c r="I1833" t="n">
        <v>30000000</v>
      </c>
      <c r="J1833" t="n">
        <v>0.056</v>
      </c>
      <c r="K1833" t="n">
        <v>1.1</v>
      </c>
      <c r="L1833" t="n">
        <v>0.4</v>
      </c>
      <c r="M1833" t="n">
        <v>0.7</v>
      </c>
      <c r="P1833" t="inlineStr">
        <is>
          <t>장현경</t>
        </is>
      </c>
      <c r="AB1833" t="inlineStr">
        <is>
          <t>엔카</t>
        </is>
      </c>
      <c r="AC1833" t="n">
        <v>330000</v>
      </c>
      <c r="AD1833" t="n">
        <v>120000</v>
      </c>
      <c r="AE1833" t="n">
        <v>210000</v>
      </c>
      <c r="AF1833" t="n">
        <v>300000</v>
      </c>
      <c r="AG1833" t="n">
        <v>116040</v>
      </c>
      <c r="AH1833" t="n">
        <v>183960</v>
      </c>
      <c r="AI1833" t="n">
        <v>0</v>
      </c>
    </row>
    <row r="1834">
      <c r="A1834" t="inlineStr">
        <is>
          <t>2월</t>
        </is>
      </c>
      <c r="B1834" t="inlineStr">
        <is>
          <t>9주차</t>
        </is>
      </c>
      <c r="C1834" t="inlineStr">
        <is>
          <t>EP</t>
        </is>
      </c>
      <c r="D1834" s="28" t="n">
        <v>46080</v>
      </c>
      <c r="E1834" t="inlineStr">
        <is>
          <t>현대EP_fast</t>
        </is>
      </c>
      <c r="F1834" t="inlineStr">
        <is>
          <t>정해승</t>
        </is>
      </c>
      <c r="G1834" t="inlineStr">
        <is>
          <t>010-3016-9395</t>
        </is>
      </c>
      <c r="H1834" t="inlineStr">
        <is>
          <t>319더3027</t>
        </is>
      </c>
      <c r="I1834" t="n">
        <v>11900000</v>
      </c>
      <c r="J1834" t="n">
        <v>0.089</v>
      </c>
      <c r="K1834" t="n">
        <v>1.76</v>
      </c>
      <c r="L1834" t="n">
        <v>0.4</v>
      </c>
      <c r="M1834" t="n">
        <v>1.36</v>
      </c>
      <c r="P1834" t="inlineStr">
        <is>
          <t>최혁</t>
        </is>
      </c>
      <c r="AB1834" t="inlineStr">
        <is>
          <t>엔카</t>
        </is>
      </c>
      <c r="AC1834" t="n">
        <v>209440</v>
      </c>
      <c r="AD1834" t="n">
        <v>47600</v>
      </c>
      <c r="AE1834" t="n">
        <v>161840</v>
      </c>
      <c r="AF1834" t="n">
        <v>190400</v>
      </c>
      <c r="AG1834" t="n">
        <v>46029.2</v>
      </c>
      <c r="AH1834" t="n">
        <v>144370.8</v>
      </c>
      <c r="AI1834" t="n">
        <v>0</v>
      </c>
    </row>
    <row r="1835">
      <c r="A1835" t="inlineStr">
        <is>
          <t>3월</t>
        </is>
      </c>
      <c r="B1835" t="inlineStr">
        <is>
          <t>10주차</t>
        </is>
      </c>
      <c r="C1835" t="inlineStr">
        <is>
          <t>IM</t>
        </is>
      </c>
      <c r="D1835" s="28" t="n">
        <v>46084</v>
      </c>
      <c r="E1835" t="inlineStr">
        <is>
          <t>IM캐피탈</t>
        </is>
      </c>
      <c r="F1835" t="inlineStr">
        <is>
          <t>정영도</t>
        </is>
      </c>
      <c r="G1835" t="inlineStr">
        <is>
          <t>010-4377-4953</t>
        </is>
      </c>
      <c r="H1835" t="inlineStr">
        <is>
          <t>169로6974</t>
        </is>
      </c>
      <c r="I1835" t="n">
        <v>14000000</v>
      </c>
      <c r="J1835" t="n">
        <v>0.056</v>
      </c>
      <c r="K1835" t="n">
        <v>1.1</v>
      </c>
      <c r="L1835" t="n">
        <v>0.14</v>
      </c>
      <c r="M1835" t="n">
        <v>0.96</v>
      </c>
      <c r="P1835" t="inlineStr">
        <is>
          <t>김나윤</t>
        </is>
      </c>
      <c r="Q1835" t="inlineStr">
        <is>
          <t>홈서비스 72개월</t>
        </is>
      </c>
      <c r="AB1835" t="inlineStr">
        <is>
          <t>홈서비스</t>
        </is>
      </c>
      <c r="AC1835" t="n">
        <v>154000</v>
      </c>
      <c r="AD1835" t="n">
        <v>19600</v>
      </c>
      <c r="AE1835" t="n">
        <v>134400</v>
      </c>
      <c r="AF1835" t="n">
        <v>140000</v>
      </c>
      <c r="AG1835" t="n">
        <v>18953.2</v>
      </c>
      <c r="AH1835" t="n">
        <v>121046.8</v>
      </c>
    </row>
    <row r="1836">
      <c r="A1836" t="inlineStr">
        <is>
          <t>3월</t>
        </is>
      </c>
      <c r="B1836" t="inlineStr">
        <is>
          <t>10주차</t>
        </is>
      </c>
      <c r="C1836" t="inlineStr">
        <is>
          <t>EP</t>
        </is>
      </c>
      <c r="D1836" s="28" t="n">
        <v>46085</v>
      </c>
      <c r="E1836" t="inlineStr">
        <is>
          <t>현대EP_fast</t>
        </is>
      </c>
      <c r="F1836" t="inlineStr">
        <is>
          <t>정의용</t>
        </is>
      </c>
      <c r="G1836" t="inlineStr">
        <is>
          <t>010-8936-7290</t>
        </is>
      </c>
      <c r="H1836" t="inlineStr">
        <is>
          <t>243구5409</t>
        </is>
      </c>
      <c r="I1836" t="n">
        <v>19800000</v>
      </c>
      <c r="J1836" t="n">
        <v>0.07199999999999999</v>
      </c>
      <c r="K1836" t="n">
        <v>1.76</v>
      </c>
      <c r="L1836" t="n">
        <v>0.14</v>
      </c>
      <c r="M1836" t="n">
        <v>1.62</v>
      </c>
      <c r="P1836" t="inlineStr">
        <is>
          <t>황채이</t>
        </is>
      </c>
      <c r="Q1836" t="inlineStr">
        <is>
          <t>홈서비스 36개월</t>
        </is>
      </c>
      <c r="AB1836" t="inlineStr">
        <is>
          <t>홈서비스</t>
        </is>
      </c>
      <c r="AC1836" t="n">
        <v>348480</v>
      </c>
      <c r="AD1836" t="n">
        <v>27720</v>
      </c>
      <c r="AE1836" t="n">
        <v>320760</v>
      </c>
      <c r="AF1836" t="n">
        <v>316800</v>
      </c>
      <c r="AG1836" t="n">
        <v>26805.24</v>
      </c>
      <c r="AH1836" t="n">
        <v>289994.76</v>
      </c>
      <c r="AI1836" t="n">
        <v>0</v>
      </c>
    </row>
    <row r="1837">
      <c r="A1837" t="inlineStr">
        <is>
          <t>3월</t>
        </is>
      </c>
      <c r="B1837" t="inlineStr">
        <is>
          <t>10주차</t>
        </is>
      </c>
      <c r="C1837" t="inlineStr">
        <is>
          <t>EP</t>
        </is>
      </c>
      <c r="D1837" s="28" t="n">
        <v>46085</v>
      </c>
      <c r="E1837" t="inlineStr">
        <is>
          <t>제이비EP</t>
        </is>
      </c>
      <c r="F1837" t="inlineStr">
        <is>
          <t>박요한</t>
        </is>
      </c>
      <c r="G1837" t="inlineStr">
        <is>
          <t>010-4858-3402</t>
        </is>
      </c>
      <c r="H1837" t="inlineStr">
        <is>
          <t>351가8988</t>
        </is>
      </c>
      <c r="I1837" t="n">
        <v>16000000</v>
      </c>
      <c r="J1837" t="n">
        <v>0.129</v>
      </c>
      <c r="K1837" t="n">
        <v>1.65</v>
      </c>
      <c r="L1837" t="n">
        <v>0.14</v>
      </c>
      <c r="M1837" t="n">
        <v>1.51</v>
      </c>
      <c r="P1837" t="inlineStr">
        <is>
          <t>장진경</t>
        </is>
      </c>
      <c r="Q1837" t="inlineStr">
        <is>
          <t>선상담 / 홈서비스 60개월</t>
        </is>
      </c>
      <c r="AB1837" t="inlineStr">
        <is>
          <t>홈서비스</t>
        </is>
      </c>
      <c r="AC1837" t="n">
        <v>264000</v>
      </c>
      <c r="AD1837" t="n">
        <v>22400</v>
      </c>
      <c r="AE1837" t="n">
        <v>241600</v>
      </c>
      <c r="AF1837" t="n">
        <v>240000</v>
      </c>
      <c r="AG1837" t="n">
        <v>21660.8</v>
      </c>
      <c r="AH1837" t="n">
        <v>218339.2</v>
      </c>
    </row>
    <row r="1838">
      <c r="A1838" t="inlineStr">
        <is>
          <t>3월</t>
        </is>
      </c>
      <c r="B1838" t="inlineStr">
        <is>
          <t>10주차</t>
        </is>
      </c>
      <c r="C1838" t="inlineStr">
        <is>
          <t>EP</t>
        </is>
      </c>
      <c r="D1838" s="28" t="n">
        <v>46085</v>
      </c>
      <c r="E1838" t="inlineStr">
        <is>
          <t>현대EP_fast</t>
        </is>
      </c>
      <c r="F1838" t="inlineStr">
        <is>
          <t>엄태현</t>
        </is>
      </c>
      <c r="G1838" t="inlineStr">
        <is>
          <t>010-3072-0948</t>
        </is>
      </c>
      <c r="H1838" t="inlineStr">
        <is>
          <t>393머3682</t>
        </is>
      </c>
      <c r="I1838" t="n">
        <v>10000000</v>
      </c>
      <c r="J1838" t="n">
        <v>0.062</v>
      </c>
      <c r="K1838" t="n">
        <v>1.76</v>
      </c>
      <c r="L1838" t="n">
        <v>0.14</v>
      </c>
      <c r="M1838" t="n">
        <v>1.62</v>
      </c>
      <c r="P1838" t="inlineStr">
        <is>
          <t>정광호</t>
        </is>
      </c>
      <c r="Q1838" t="inlineStr">
        <is>
          <t>홈서비스 60개월</t>
        </is>
      </c>
      <c r="AB1838" t="inlineStr">
        <is>
          <t>홈서비스</t>
        </is>
      </c>
      <c r="AC1838" t="n">
        <v>176000</v>
      </c>
      <c r="AD1838" t="n">
        <v>14000</v>
      </c>
      <c r="AE1838" t="n">
        <v>162000</v>
      </c>
      <c r="AF1838" t="n">
        <v>160000</v>
      </c>
      <c r="AG1838" t="n">
        <v>13538</v>
      </c>
      <c r="AH1838" t="n">
        <v>146462</v>
      </c>
      <c r="AI1838" t="n">
        <v>0</v>
      </c>
    </row>
    <row r="1839">
      <c r="A1839" t="inlineStr">
        <is>
          <t>3월</t>
        </is>
      </c>
      <c r="B1839" t="inlineStr">
        <is>
          <t>10주차</t>
        </is>
      </c>
      <c r="C1839" t="inlineStr">
        <is>
          <t>IM</t>
        </is>
      </c>
      <c r="D1839" s="28" t="n">
        <v>46085</v>
      </c>
      <c r="E1839" t="inlineStr">
        <is>
          <t>IM캐피탈</t>
        </is>
      </c>
      <c r="F1839" t="inlineStr">
        <is>
          <t>박대원</t>
        </is>
      </c>
      <c r="G1839" t="inlineStr">
        <is>
          <t>010-7189-1690</t>
        </is>
      </c>
      <c r="H1839" t="inlineStr">
        <is>
          <t>137소2675</t>
        </is>
      </c>
      <c r="I1839" t="n">
        <v>30000000</v>
      </c>
      <c r="J1839" t="n">
        <v>0.049</v>
      </c>
      <c r="K1839" t="n">
        <v>1.1</v>
      </c>
      <c r="L1839" t="n">
        <v>0.14</v>
      </c>
      <c r="M1839" t="n">
        <v>0.96</v>
      </c>
      <c r="P1839" t="inlineStr">
        <is>
          <t>김수연</t>
        </is>
      </c>
      <c r="Q1839" t="inlineStr">
        <is>
          <t>홈서비스 60개월</t>
        </is>
      </c>
      <c r="AB1839" t="inlineStr">
        <is>
          <t>홈서비스</t>
        </is>
      </c>
      <c r="AC1839" t="n">
        <v>330000</v>
      </c>
      <c r="AD1839" t="n">
        <v>42000</v>
      </c>
      <c r="AE1839" t="n">
        <v>288000</v>
      </c>
      <c r="AF1839" t="n">
        <v>300000</v>
      </c>
      <c r="AG1839" t="n">
        <v>40614</v>
      </c>
      <c r="AH1839" t="n">
        <v>259386</v>
      </c>
      <c r="AI1839" t="n">
        <v>0</v>
      </c>
    </row>
    <row r="1840">
      <c r="A1840" t="inlineStr">
        <is>
          <t>3월</t>
        </is>
      </c>
      <c r="B1840" t="inlineStr">
        <is>
          <t>10주차</t>
        </is>
      </c>
      <c r="C1840" t="inlineStr">
        <is>
          <t>EP</t>
        </is>
      </c>
      <c r="D1840" s="28" t="n">
        <v>46084</v>
      </c>
      <c r="E1840" t="inlineStr">
        <is>
          <t>현대EP_fast</t>
        </is>
      </c>
      <c r="F1840" t="inlineStr">
        <is>
          <t>박성수</t>
        </is>
      </c>
      <c r="G1840" t="inlineStr">
        <is>
          <t>010-8036-5882</t>
        </is>
      </c>
      <c r="H1840" t="inlineStr">
        <is>
          <t>07모3403</t>
        </is>
      </c>
      <c r="I1840" t="n">
        <v>-9500000</v>
      </c>
      <c r="J1840" t="n">
        <v>0.08</v>
      </c>
      <c r="K1840" t="n">
        <v>1.76</v>
      </c>
      <c r="L1840" t="n">
        <v>0.14</v>
      </c>
      <c r="M1840" t="n">
        <v>1.62</v>
      </c>
      <c r="P1840" t="inlineStr">
        <is>
          <t>정하은</t>
        </is>
      </c>
      <c r="Q1840" t="inlineStr">
        <is>
          <t>홈서비스 60개월 / 금리인하 0.5% 적용건 ( 8.5 &gt;8 )</t>
        </is>
      </c>
      <c r="AB1840" t="inlineStr">
        <is>
          <t>홈서비스</t>
        </is>
      </c>
      <c r="AC1840" t="n">
        <v>-167200</v>
      </c>
      <c r="AD1840" t="n">
        <v>-13300</v>
      </c>
      <c r="AE1840" t="n">
        <v>-153900</v>
      </c>
      <c r="AF1840" t="n">
        <v>-152000</v>
      </c>
      <c r="AG1840" t="n">
        <v>-12861.1</v>
      </c>
      <c r="AH1840" t="n">
        <v>-139138.9</v>
      </c>
      <c r="AI1840" t="n">
        <v>0</v>
      </c>
    </row>
    <row r="1841">
      <c r="A1841" t="inlineStr">
        <is>
          <t>3월</t>
        </is>
      </c>
      <c r="B1841" t="inlineStr">
        <is>
          <t>10주차</t>
        </is>
      </c>
      <c r="C1841" t="inlineStr">
        <is>
          <t>EP</t>
        </is>
      </c>
      <c r="D1841" s="28" t="n">
        <v>46084</v>
      </c>
      <c r="E1841" t="inlineStr">
        <is>
          <t>현대EP_fast</t>
        </is>
      </c>
      <c r="F1841" t="inlineStr">
        <is>
          <t>안대희</t>
        </is>
      </c>
      <c r="G1841" t="inlineStr">
        <is>
          <t>010-8277-4950</t>
        </is>
      </c>
      <c r="H1841" t="inlineStr">
        <is>
          <t>193두5569</t>
        </is>
      </c>
      <c r="I1841" t="n">
        <v>14900000</v>
      </c>
      <c r="J1841" t="n">
        <v>0.081</v>
      </c>
      <c r="K1841" t="n">
        <v>1.76</v>
      </c>
      <c r="L1841" t="n">
        <v>0.14</v>
      </c>
      <c r="M1841" t="n">
        <v>1.62</v>
      </c>
      <c r="P1841" t="inlineStr">
        <is>
          <t>정세빈</t>
        </is>
      </c>
      <c r="Q1841" t="inlineStr">
        <is>
          <t>홈서비스 60개월</t>
        </is>
      </c>
      <c r="AB1841" t="inlineStr">
        <is>
          <t>홈서비스</t>
        </is>
      </c>
      <c r="AC1841" t="n">
        <v>262240</v>
      </c>
      <c r="AD1841" t="n">
        <v>20860</v>
      </c>
      <c r="AE1841" t="n">
        <v>241380</v>
      </c>
      <c r="AF1841" t="n">
        <v>238400</v>
      </c>
      <c r="AG1841" t="n">
        <v>20171.62</v>
      </c>
      <c r="AH1841" t="n">
        <v>218228.38</v>
      </c>
      <c r="AI1841" t="n">
        <v>0</v>
      </c>
    </row>
    <row r="1842">
      <c r="A1842" t="inlineStr">
        <is>
          <t>3월</t>
        </is>
      </c>
      <c r="B1842" t="inlineStr">
        <is>
          <t>10주차</t>
        </is>
      </c>
      <c r="C1842" t="inlineStr">
        <is>
          <t>IM</t>
        </is>
      </c>
      <c r="D1842" s="28" t="n">
        <v>46085</v>
      </c>
      <c r="E1842" t="inlineStr">
        <is>
          <t>IM캐피탈</t>
        </is>
      </c>
      <c r="F1842" t="inlineStr">
        <is>
          <t>이상민</t>
        </is>
      </c>
      <c r="G1842" t="inlineStr">
        <is>
          <t>010-4255-6852</t>
        </is>
      </c>
      <c r="H1842" t="inlineStr">
        <is>
          <t>110나7008</t>
        </is>
      </c>
      <c r="I1842" t="n">
        <v>20000000</v>
      </c>
      <c r="J1842" t="n">
        <v>0.049</v>
      </c>
      <c r="K1842" t="n">
        <v>1.1</v>
      </c>
      <c r="L1842" t="n">
        <v>0.4</v>
      </c>
      <c r="M1842" t="n">
        <v>0.7</v>
      </c>
      <c r="P1842" t="inlineStr">
        <is>
          <t>박현민</t>
        </is>
      </c>
      <c r="AB1842" t="inlineStr">
        <is>
          <t>엔카</t>
        </is>
      </c>
      <c r="AC1842" t="n">
        <v>220000</v>
      </c>
      <c r="AD1842" t="n">
        <v>80000</v>
      </c>
      <c r="AE1842" t="n">
        <v>140000</v>
      </c>
      <c r="AF1842" t="n">
        <v>200000</v>
      </c>
      <c r="AG1842" t="n">
        <v>77360</v>
      </c>
      <c r="AH1842" t="n">
        <v>122640</v>
      </c>
      <c r="AI1842" t="n">
        <v>0</v>
      </c>
    </row>
    <row r="1843">
      <c r="A1843" t="inlineStr">
        <is>
          <t>3월</t>
        </is>
      </c>
      <c r="B1843" t="inlineStr">
        <is>
          <t>10주차</t>
        </is>
      </c>
      <c r="C1843" t="inlineStr">
        <is>
          <t>EP</t>
        </is>
      </c>
      <c r="D1843" s="28" t="n">
        <v>46085</v>
      </c>
      <c r="E1843" t="inlineStr">
        <is>
          <t>제이비EP</t>
        </is>
      </c>
      <c r="F1843" t="inlineStr">
        <is>
          <t>양태웅</t>
        </is>
      </c>
      <c r="G1843" t="inlineStr">
        <is>
          <t>010-3194-2122</t>
        </is>
      </c>
      <c r="H1843" t="inlineStr">
        <is>
          <t>111서2666</t>
        </is>
      </c>
      <c r="I1843" t="n">
        <v>47400000</v>
      </c>
      <c r="J1843" t="n">
        <v>0.077</v>
      </c>
      <c r="K1843" t="n">
        <v>1.65</v>
      </c>
      <c r="L1843" t="n">
        <v>0.14</v>
      </c>
      <c r="M1843" t="n">
        <v>1.51</v>
      </c>
      <c r="P1843" t="inlineStr">
        <is>
          <t>황채이</t>
        </is>
      </c>
      <c r="Q1843" t="inlineStr">
        <is>
          <t>홈서비스 60개월</t>
        </is>
      </c>
      <c r="AB1843" t="inlineStr">
        <is>
          <t>홈서비스</t>
        </is>
      </c>
      <c r="AC1843" t="n">
        <v>782100</v>
      </c>
      <c r="AD1843" t="n">
        <v>66360</v>
      </c>
      <c r="AE1843" t="n">
        <v>715740</v>
      </c>
      <c r="AF1843" t="n">
        <v>711000</v>
      </c>
      <c r="AG1843" t="n">
        <v>64170.12</v>
      </c>
      <c r="AH1843" t="n">
        <v>646829.88</v>
      </c>
    </row>
    <row r="1844">
      <c r="A1844" t="inlineStr">
        <is>
          <t>3월</t>
        </is>
      </c>
      <c r="B1844" t="inlineStr">
        <is>
          <t>10주차</t>
        </is>
      </c>
      <c r="C1844" t="inlineStr">
        <is>
          <t>OR</t>
        </is>
      </c>
      <c r="D1844" s="28" t="n">
        <v>46085</v>
      </c>
      <c r="E1844" t="inlineStr">
        <is>
          <t>오릭스</t>
        </is>
      </c>
      <c r="F1844" t="inlineStr">
        <is>
          <t>김연관</t>
        </is>
      </c>
      <c r="G1844" t="inlineStr">
        <is>
          <t>010-3214-5847</t>
        </is>
      </c>
      <c r="H1844" t="inlineStr">
        <is>
          <t>399저8467</t>
        </is>
      </c>
      <c r="I1844" t="n">
        <v>12100000</v>
      </c>
      <c r="J1844" t="n">
        <v>0.064</v>
      </c>
      <c r="K1844" t="n">
        <v>1.65</v>
      </c>
      <c r="L1844" t="n">
        <v>0.14</v>
      </c>
      <c r="M1844" t="n">
        <v>1.51</v>
      </c>
      <c r="P1844" t="inlineStr">
        <is>
          <t>정세빈</t>
        </is>
      </c>
      <c r="Q1844" t="inlineStr">
        <is>
          <t>홈서비스 48개월</t>
        </is>
      </c>
      <c r="AB1844" t="inlineStr">
        <is>
          <t>홈서비스</t>
        </is>
      </c>
      <c r="AC1844" t="n">
        <v>199650</v>
      </c>
      <c r="AD1844" t="n">
        <v>16940</v>
      </c>
      <c r="AE1844" t="n">
        <v>182710</v>
      </c>
      <c r="AF1844" t="n">
        <v>181500</v>
      </c>
      <c r="AG1844" t="n">
        <v>16380.98</v>
      </c>
      <c r="AH1844" t="n">
        <v>165119.02</v>
      </c>
      <c r="AI1844" t="n">
        <v>0</v>
      </c>
    </row>
    <row r="1845">
      <c r="A1845" t="inlineStr">
        <is>
          <t>2월</t>
        </is>
      </c>
      <c r="B1845" t="inlineStr">
        <is>
          <t>9주차</t>
        </is>
      </c>
      <c r="C1845" t="inlineStr">
        <is>
          <t>IM</t>
        </is>
      </c>
      <c r="D1845" s="28" t="n">
        <v>46080</v>
      </c>
      <c r="E1845" t="inlineStr">
        <is>
          <t>IM캐피탈</t>
        </is>
      </c>
      <c r="F1845" t="inlineStr">
        <is>
          <t>이민영</t>
        </is>
      </c>
      <c r="G1845" t="inlineStr">
        <is>
          <t>010-9865-7920</t>
        </is>
      </c>
      <c r="H1845" t="inlineStr">
        <is>
          <t>163구8786</t>
        </is>
      </c>
      <c r="I1845" t="n">
        <v>37600000</v>
      </c>
      <c r="J1845" t="n">
        <v>0.075</v>
      </c>
      <c r="K1845" t="n">
        <v>1.1</v>
      </c>
      <c r="L1845" t="n">
        <v>0.4</v>
      </c>
      <c r="M1845" t="n">
        <v>0.7</v>
      </c>
      <c r="P1845" t="inlineStr">
        <is>
          <t>박보람</t>
        </is>
      </c>
      <c r="Q1845" t="inlineStr">
        <is>
          <t>부대비용추가진행</t>
        </is>
      </c>
      <c r="AB1845" t="inlineStr">
        <is>
          <t>엔카</t>
        </is>
      </c>
      <c r="AC1845" t="n">
        <v>413600</v>
      </c>
      <c r="AD1845" t="n">
        <v>150400</v>
      </c>
      <c r="AE1845" t="n">
        <v>263200</v>
      </c>
      <c r="AF1845" t="n">
        <v>376000</v>
      </c>
      <c r="AG1845" t="n">
        <v>145436.8</v>
      </c>
      <c r="AH1845" t="n">
        <v>230563.2</v>
      </c>
      <c r="AI1845" t="n">
        <v>0</v>
      </c>
    </row>
    <row r="1846">
      <c r="A1846" t="inlineStr">
        <is>
          <t>3월</t>
        </is>
      </c>
      <c r="B1846" t="inlineStr">
        <is>
          <t>10주차</t>
        </is>
      </c>
      <c r="C1846" t="inlineStr">
        <is>
          <t>EP</t>
        </is>
      </c>
      <c r="D1846" s="28" t="n">
        <v>46086</v>
      </c>
      <c r="E1846" t="inlineStr">
        <is>
          <t>현대EP</t>
        </is>
      </c>
      <c r="F1846" t="inlineStr">
        <is>
          <t>정재훈</t>
        </is>
      </c>
      <c r="G1846" t="inlineStr">
        <is>
          <t>010-5769-4564</t>
        </is>
      </c>
      <c r="H1846" t="inlineStr">
        <is>
          <t>373다7159</t>
        </is>
      </c>
      <c r="I1846" t="n">
        <v>28000000</v>
      </c>
      <c r="J1846" t="n">
        <v>0.102</v>
      </c>
      <c r="K1846" t="n">
        <v>1.76</v>
      </c>
      <c r="L1846" t="n">
        <v>0.14</v>
      </c>
      <c r="M1846" t="n">
        <v>1.62</v>
      </c>
      <c r="P1846" t="inlineStr">
        <is>
          <t>정광호</t>
        </is>
      </c>
      <c r="Q1846" t="inlineStr">
        <is>
          <t>홈서비스 60개월</t>
        </is>
      </c>
      <c r="AB1846" t="inlineStr">
        <is>
          <t>홈서비스</t>
        </is>
      </c>
      <c r="AC1846" t="n">
        <v>492800</v>
      </c>
      <c r="AD1846" t="n">
        <v>39200</v>
      </c>
      <c r="AE1846" t="n">
        <v>453600</v>
      </c>
      <c r="AF1846" t="n">
        <v>448000</v>
      </c>
      <c r="AG1846" t="n">
        <v>37906.4</v>
      </c>
      <c r="AH1846" t="n">
        <v>410093.6</v>
      </c>
    </row>
    <row r="1847">
      <c r="A1847" t="inlineStr">
        <is>
          <t>3월</t>
        </is>
      </c>
      <c r="B1847" t="inlineStr">
        <is>
          <t>11주차</t>
        </is>
      </c>
      <c r="C1847" t="inlineStr">
        <is>
          <t>IM</t>
        </is>
      </c>
      <c r="D1847" s="28" t="n">
        <v>46090</v>
      </c>
      <c r="E1847" t="inlineStr">
        <is>
          <t>IM캐피탈</t>
        </is>
      </c>
      <c r="F1847" t="inlineStr">
        <is>
          <t>최유나</t>
        </is>
      </c>
      <c r="G1847" t="inlineStr">
        <is>
          <t>010-8351-2403</t>
        </is>
      </c>
      <c r="H1847" t="inlineStr">
        <is>
          <t>200두9505</t>
        </is>
      </c>
      <c r="I1847" t="n">
        <v>-30500000</v>
      </c>
      <c r="J1847" t="n">
        <v>0.056</v>
      </c>
      <c r="K1847" t="n">
        <v>1.1</v>
      </c>
      <c r="L1847" t="n">
        <v>0.14</v>
      </c>
      <c r="M1847" t="n">
        <v>0.96</v>
      </c>
      <c r="P1847" t="inlineStr">
        <is>
          <t>김나윤</t>
        </is>
      </c>
      <c r="Q1847" t="inlineStr">
        <is>
          <t>홈서비스 84개월</t>
        </is>
      </c>
      <c r="AB1847" t="inlineStr">
        <is>
          <t>홈서비스</t>
        </is>
      </c>
      <c r="AC1847" t="n">
        <v>-335500</v>
      </c>
      <c r="AD1847" t="n">
        <v>-42700</v>
      </c>
      <c r="AE1847" t="n">
        <v>-292800</v>
      </c>
      <c r="AF1847" t="n">
        <v>-305000</v>
      </c>
      <c r="AG1847" t="n">
        <v>-41290.9</v>
      </c>
      <c r="AH1847" t="n">
        <v>-263709.1</v>
      </c>
      <c r="AI1847" t="n">
        <v>0</v>
      </c>
    </row>
    <row r="1848">
      <c r="A1848" t="inlineStr">
        <is>
          <t>3월</t>
        </is>
      </c>
      <c r="B1848" t="inlineStr">
        <is>
          <t>11주차</t>
        </is>
      </c>
      <c r="C1848" t="inlineStr">
        <is>
          <t>EP</t>
        </is>
      </c>
      <c r="D1848" s="28" t="n">
        <v>46091</v>
      </c>
      <c r="E1848" t="inlineStr">
        <is>
          <t>현대EP</t>
        </is>
      </c>
      <c r="F1848" t="inlineStr">
        <is>
          <t>이동환</t>
        </is>
      </c>
      <c r="G1848" t="inlineStr">
        <is>
          <t>010-2366-2589</t>
        </is>
      </c>
      <c r="H1848" t="inlineStr">
        <is>
          <t>03우7774</t>
        </is>
      </c>
      <c r="I1848" t="n">
        <v>5500000</v>
      </c>
      <c r="J1848" t="n">
        <v>0.07099999999999999</v>
      </c>
      <c r="K1848" t="n">
        <v>1.76</v>
      </c>
      <c r="L1848" t="n">
        <v>0.14</v>
      </c>
      <c r="M1848" t="n">
        <v>1.62</v>
      </c>
      <c r="P1848" t="inlineStr">
        <is>
          <t>최형주</t>
        </is>
      </c>
      <c r="Q1848" t="inlineStr">
        <is>
          <t>홈서비스 36개월</t>
        </is>
      </c>
      <c r="AB1848" t="inlineStr">
        <is>
          <t>홈서비스</t>
        </is>
      </c>
      <c r="AC1848" t="n">
        <v>96800</v>
      </c>
      <c r="AD1848" t="n">
        <v>7700</v>
      </c>
      <c r="AE1848" t="n">
        <v>89100</v>
      </c>
      <c r="AF1848" t="n">
        <v>88000</v>
      </c>
      <c r="AG1848" t="n">
        <v>7445.9</v>
      </c>
      <c r="AH1848" t="n">
        <v>80554.10000000001</v>
      </c>
      <c r="AI1848" t="n">
        <v>0</v>
      </c>
    </row>
    <row r="1849">
      <c r="A1849" t="inlineStr">
        <is>
          <t>3월</t>
        </is>
      </c>
      <c r="B1849" t="inlineStr">
        <is>
          <t>10주차</t>
        </is>
      </c>
      <c r="C1849" t="inlineStr">
        <is>
          <t>IM</t>
        </is>
      </c>
      <c r="D1849" s="28" t="n">
        <v>46085</v>
      </c>
      <c r="E1849" t="inlineStr">
        <is>
          <t>IM캐피탈</t>
        </is>
      </c>
      <c r="F1849" t="inlineStr">
        <is>
          <t>전진우</t>
        </is>
      </c>
      <c r="G1849" t="inlineStr">
        <is>
          <t>010-2673-7111</t>
        </is>
      </c>
      <c r="H1849" t="inlineStr">
        <is>
          <t>131마9895</t>
        </is>
      </c>
      <c r="I1849" t="n">
        <v>33000000</v>
      </c>
      <c r="J1849" t="n">
        <v>0.059</v>
      </c>
      <c r="K1849" t="n">
        <v>1.1</v>
      </c>
      <c r="L1849" t="n">
        <v>0.14</v>
      </c>
      <c r="M1849" t="n">
        <v>0.96</v>
      </c>
      <c r="P1849" t="inlineStr">
        <is>
          <t>최형주</t>
        </is>
      </c>
      <c r="Q1849" t="inlineStr">
        <is>
          <t>홈서비스 60개월</t>
        </is>
      </c>
      <c r="AB1849" t="inlineStr">
        <is>
          <t>홈서비스</t>
        </is>
      </c>
      <c r="AC1849" t="n">
        <v>363000</v>
      </c>
      <c r="AD1849" t="n">
        <v>46200</v>
      </c>
      <c r="AE1849" t="n">
        <v>316800</v>
      </c>
      <c r="AF1849" t="n">
        <v>330000</v>
      </c>
      <c r="AG1849" t="n">
        <v>44675.4</v>
      </c>
      <c r="AH1849" t="n">
        <v>285324.6</v>
      </c>
    </row>
    <row r="1850">
      <c r="A1850" t="inlineStr">
        <is>
          <t>3월</t>
        </is>
      </c>
      <c r="B1850" t="inlineStr">
        <is>
          <t>11주차</t>
        </is>
      </c>
      <c r="C1850" t="inlineStr">
        <is>
          <t>EP</t>
        </is>
      </c>
      <c r="D1850" s="28" t="n">
        <v>46090</v>
      </c>
      <c r="E1850" t="inlineStr">
        <is>
          <t>현대EP</t>
        </is>
      </c>
      <c r="F1850" t="inlineStr">
        <is>
          <t>김대섭</t>
        </is>
      </c>
      <c r="G1850" t="inlineStr">
        <is>
          <t>010-2883-0364</t>
        </is>
      </c>
      <c r="H1850" t="inlineStr">
        <is>
          <t>04나7482</t>
        </is>
      </c>
      <c r="I1850" t="n">
        <v>28900000</v>
      </c>
      <c r="J1850" t="n">
        <v>0.07099999999999999</v>
      </c>
      <c r="K1850" t="n">
        <v>1.76</v>
      </c>
      <c r="L1850" t="n">
        <v>0.14</v>
      </c>
      <c r="M1850" t="n">
        <v>1.62</v>
      </c>
      <c r="P1850" t="inlineStr">
        <is>
          <t>김수연</t>
        </is>
      </c>
      <c r="Q1850" t="inlineStr">
        <is>
          <t>홈서비스 60개월</t>
        </is>
      </c>
      <c r="AB1850" t="inlineStr">
        <is>
          <t>홈서비스</t>
        </is>
      </c>
      <c r="AC1850" t="n">
        <v>508640</v>
      </c>
      <c r="AD1850" t="n">
        <v>40460</v>
      </c>
      <c r="AE1850" t="n">
        <v>468180</v>
      </c>
      <c r="AF1850" t="n">
        <v>462400</v>
      </c>
      <c r="AG1850" t="n">
        <v>39124.82</v>
      </c>
      <c r="AH1850" t="n">
        <v>423275.18</v>
      </c>
      <c r="AI1850" t="n">
        <v>0</v>
      </c>
    </row>
    <row r="1851">
      <c r="A1851" t="inlineStr">
        <is>
          <t>3월</t>
        </is>
      </c>
      <c r="B1851" t="inlineStr">
        <is>
          <t>10주차</t>
        </is>
      </c>
      <c r="C1851" t="inlineStr">
        <is>
          <t>IM</t>
        </is>
      </c>
      <c r="D1851" s="28" t="n">
        <v>46084</v>
      </c>
      <c r="E1851" t="inlineStr">
        <is>
          <t>IM캐피탈</t>
        </is>
      </c>
      <c r="F1851" t="inlineStr">
        <is>
          <t>박정열</t>
        </is>
      </c>
      <c r="G1851" t="inlineStr">
        <is>
          <t>010-7615-7412</t>
        </is>
      </c>
      <c r="H1851" t="inlineStr">
        <is>
          <t>57수6152</t>
        </is>
      </c>
      <c r="I1851" t="n">
        <v>10000000</v>
      </c>
      <c r="J1851" t="n">
        <v>0.049</v>
      </c>
      <c r="K1851" t="n">
        <v>1.1</v>
      </c>
      <c r="L1851" t="n">
        <v>0.14</v>
      </c>
      <c r="M1851" t="n">
        <v>0.96</v>
      </c>
      <c r="P1851" t="inlineStr">
        <is>
          <t>김수연</t>
        </is>
      </c>
      <c r="Q1851" t="inlineStr">
        <is>
          <t>홈서비스 60개월</t>
        </is>
      </c>
      <c r="AB1851" t="inlineStr">
        <is>
          <t>홈서비스</t>
        </is>
      </c>
      <c r="AC1851" t="n">
        <v>110000</v>
      </c>
      <c r="AD1851" t="n">
        <v>14000</v>
      </c>
      <c r="AE1851" t="n">
        <v>96000</v>
      </c>
      <c r="AF1851" t="n">
        <v>100000</v>
      </c>
      <c r="AG1851" t="n">
        <v>13538</v>
      </c>
      <c r="AH1851" t="n">
        <v>86462</v>
      </c>
      <c r="AI1851" t="n">
        <v>0</v>
      </c>
    </row>
    <row r="1852">
      <c r="A1852" t="inlineStr">
        <is>
          <t>3월</t>
        </is>
      </c>
      <c r="B1852" t="inlineStr">
        <is>
          <t>10주차</t>
        </is>
      </c>
      <c r="C1852" t="inlineStr">
        <is>
          <t>EP</t>
        </is>
      </c>
      <c r="D1852" s="28" t="n">
        <v>46087</v>
      </c>
      <c r="E1852" t="inlineStr">
        <is>
          <t>현대EP</t>
        </is>
      </c>
      <c r="F1852" t="inlineStr">
        <is>
          <t>정재일</t>
        </is>
      </c>
      <c r="G1852" t="inlineStr">
        <is>
          <t>010-8619-0937</t>
        </is>
      </c>
      <c r="H1852" t="inlineStr">
        <is>
          <t>49나0276</t>
        </is>
      </c>
      <c r="I1852" t="n">
        <v>7200000</v>
      </c>
      <c r="J1852" t="n">
        <v>0.059</v>
      </c>
      <c r="K1852" t="n">
        <v>1.76</v>
      </c>
      <c r="L1852" t="n">
        <v>0.14</v>
      </c>
      <c r="M1852" t="n">
        <v>1.62</v>
      </c>
      <c r="P1852" t="inlineStr">
        <is>
          <t>최형주</t>
        </is>
      </c>
      <c r="Q1852" t="inlineStr">
        <is>
          <t>홈서비스 60개월</t>
        </is>
      </c>
      <c r="AB1852" t="inlineStr">
        <is>
          <t>홈서비스</t>
        </is>
      </c>
      <c r="AC1852" t="n">
        <v>126720</v>
      </c>
      <c r="AD1852" t="n">
        <v>10080</v>
      </c>
      <c r="AE1852" t="n">
        <v>116640</v>
      </c>
      <c r="AF1852" t="n">
        <v>115200</v>
      </c>
      <c r="AG1852" t="n">
        <v>9747.360000000001</v>
      </c>
      <c r="AH1852" t="n">
        <v>105452.64</v>
      </c>
    </row>
    <row r="1853">
      <c r="A1853" t="inlineStr">
        <is>
          <t>3월</t>
        </is>
      </c>
      <c r="B1853" t="inlineStr">
        <is>
          <t>10주차</t>
        </is>
      </c>
      <c r="C1853" t="inlineStr">
        <is>
          <t>EP</t>
        </is>
      </c>
      <c r="D1853" s="28" t="n">
        <v>46086</v>
      </c>
      <c r="E1853" t="inlineStr">
        <is>
          <t>현대EP</t>
        </is>
      </c>
      <c r="F1853" t="inlineStr">
        <is>
          <t>정재훈</t>
        </is>
      </c>
      <c r="G1853" t="inlineStr">
        <is>
          <t>010-5769-4564</t>
        </is>
      </c>
      <c r="H1853" t="inlineStr">
        <is>
          <t>373다7159</t>
        </is>
      </c>
      <c r="I1853" t="n">
        <v>-28000000</v>
      </c>
      <c r="J1853" t="n">
        <v>0.102</v>
      </c>
      <c r="K1853" t="n">
        <v>1.76</v>
      </c>
      <c r="L1853" t="n">
        <v>0.14</v>
      </c>
      <c r="M1853" t="n">
        <v>1.62</v>
      </c>
      <c r="P1853" t="inlineStr">
        <is>
          <t>정광호</t>
        </is>
      </c>
      <c r="Q1853" t="inlineStr">
        <is>
          <t>홈서비스 60개월</t>
        </is>
      </c>
      <c r="AB1853" t="inlineStr">
        <is>
          <t>홈서비스</t>
        </is>
      </c>
      <c r="AC1853" t="n">
        <v>-492800</v>
      </c>
      <c r="AD1853" t="n">
        <v>-39200</v>
      </c>
      <c r="AE1853" t="n">
        <v>-453600</v>
      </c>
      <c r="AF1853" t="n">
        <v>-448000</v>
      </c>
      <c r="AG1853" t="n">
        <v>-37906.4</v>
      </c>
      <c r="AH1853" t="n">
        <v>-410093.6</v>
      </c>
      <c r="AI1853" t="n">
        <v>0</v>
      </c>
    </row>
    <row r="1854">
      <c r="A1854" t="inlineStr">
        <is>
          <t>3월</t>
        </is>
      </c>
      <c r="B1854" t="inlineStr">
        <is>
          <t>10주차</t>
        </is>
      </c>
      <c r="C1854" t="inlineStr">
        <is>
          <t>EP</t>
        </is>
      </c>
      <c r="D1854" s="28" t="n">
        <v>46085</v>
      </c>
      <c r="E1854" t="inlineStr">
        <is>
          <t>제이비EP</t>
        </is>
      </c>
      <c r="F1854" t="inlineStr">
        <is>
          <t>이현규</t>
        </is>
      </c>
      <c r="G1854" t="inlineStr">
        <is>
          <t>010-2523-5697</t>
        </is>
      </c>
      <c r="H1854" t="inlineStr">
        <is>
          <t>803부3139</t>
        </is>
      </c>
      <c r="I1854" t="n">
        <v>21000000</v>
      </c>
      <c r="J1854" t="n">
        <v>0.073</v>
      </c>
      <c r="K1854" t="n">
        <v>1.65</v>
      </c>
      <c r="L1854" t="n">
        <v>0.4</v>
      </c>
      <c r="M1854" t="n">
        <v>1.25</v>
      </c>
      <c r="P1854" t="inlineStr">
        <is>
          <t>장진경</t>
        </is>
      </c>
      <c r="Q1854" t="inlineStr">
        <is>
          <t>부대비용 추가진행</t>
        </is>
      </c>
      <c r="AB1854" t="inlineStr">
        <is>
          <t>엔카</t>
        </is>
      </c>
      <c r="AC1854" t="n">
        <v>346500</v>
      </c>
      <c r="AD1854" t="n">
        <v>84000</v>
      </c>
      <c r="AE1854" t="n">
        <v>262500</v>
      </c>
      <c r="AF1854" t="n">
        <v>315000</v>
      </c>
      <c r="AG1854" t="n">
        <v>81228</v>
      </c>
      <c r="AH1854" t="n">
        <v>233772</v>
      </c>
      <c r="AI1854" t="n">
        <v>0</v>
      </c>
    </row>
    <row r="1855">
      <c r="A1855" t="inlineStr">
        <is>
          <t>3월</t>
        </is>
      </c>
      <c r="B1855" t="inlineStr">
        <is>
          <t>11주차</t>
        </is>
      </c>
      <c r="C1855" t="inlineStr">
        <is>
          <t>EP</t>
        </is>
      </c>
      <c r="D1855" s="28" t="n">
        <v>46091</v>
      </c>
      <c r="E1855" t="inlineStr">
        <is>
          <t>현대EP_fast</t>
        </is>
      </c>
      <c r="F1855" t="inlineStr">
        <is>
          <t>예성화</t>
        </is>
      </c>
      <c r="G1855" t="inlineStr">
        <is>
          <t>010-4520-1717</t>
        </is>
      </c>
      <c r="H1855" t="inlineStr">
        <is>
          <t>49거0777</t>
        </is>
      </c>
      <c r="I1855" t="n">
        <v>47500000</v>
      </c>
      <c r="J1855" t="n">
        <v>0.11</v>
      </c>
      <c r="K1855" t="n">
        <v>1.76</v>
      </c>
      <c r="L1855" t="n">
        <v>0.4</v>
      </c>
      <c r="M1855" t="n">
        <v>1.36</v>
      </c>
      <c r="P1855" t="inlineStr">
        <is>
          <t>박소현</t>
        </is>
      </c>
      <c r="Q1855" t="inlineStr">
        <is>
          <t>공동명의</t>
        </is>
      </c>
      <c r="AB1855" t="inlineStr">
        <is>
          <t>엔카</t>
        </is>
      </c>
      <c r="AC1855" t="n">
        <v>836000</v>
      </c>
      <c r="AD1855" t="n">
        <v>190000</v>
      </c>
      <c r="AE1855" t="n">
        <v>646000</v>
      </c>
      <c r="AF1855" t="n">
        <v>760000</v>
      </c>
      <c r="AG1855" t="n">
        <v>183730</v>
      </c>
      <c r="AH1855" t="n">
        <v>576270</v>
      </c>
      <c r="AI1855" t="n">
        <v>0</v>
      </c>
    </row>
    <row r="1856">
      <c r="A1856" t="inlineStr">
        <is>
          <t>3월</t>
        </is>
      </c>
      <c r="B1856" t="inlineStr">
        <is>
          <t>10주차</t>
        </is>
      </c>
      <c r="C1856" t="inlineStr">
        <is>
          <t>OR</t>
        </is>
      </c>
      <c r="D1856" s="28" t="n">
        <v>46085</v>
      </c>
      <c r="E1856" t="inlineStr">
        <is>
          <t>오릭스</t>
        </is>
      </c>
      <c r="F1856" t="inlineStr">
        <is>
          <t>김정주</t>
        </is>
      </c>
      <c r="G1856" t="inlineStr">
        <is>
          <t>010-8947-2281</t>
        </is>
      </c>
      <c r="H1856" t="inlineStr">
        <is>
          <t>379어2267</t>
        </is>
      </c>
      <c r="I1856" t="n">
        <v>-15000000</v>
      </c>
      <c r="J1856" t="n">
        <v>0.067</v>
      </c>
      <c r="K1856" t="n">
        <v>1.65</v>
      </c>
      <c r="L1856" t="n">
        <v>0.14</v>
      </c>
      <c r="M1856" t="n">
        <v>1.51</v>
      </c>
      <c r="P1856" t="inlineStr">
        <is>
          <t>정세빈</t>
        </is>
      </c>
      <c r="Q1856" t="inlineStr">
        <is>
          <t>홈서비스 24개월</t>
        </is>
      </c>
      <c r="AB1856" t="inlineStr">
        <is>
          <t>홈서비스</t>
        </is>
      </c>
      <c r="AC1856" t="n">
        <v>-247500</v>
      </c>
      <c r="AD1856" t="n">
        <v>-21000</v>
      </c>
      <c r="AE1856" t="n">
        <v>-226500</v>
      </c>
      <c r="AF1856" t="n">
        <v>-225000</v>
      </c>
      <c r="AG1856" t="n">
        <v>-20307</v>
      </c>
      <c r="AH1856" t="n">
        <v>-204693</v>
      </c>
      <c r="AI1856" t="n">
        <v>0</v>
      </c>
    </row>
    <row r="1857">
      <c r="A1857" t="inlineStr">
        <is>
          <t>3월</t>
        </is>
      </c>
      <c r="B1857" t="inlineStr">
        <is>
          <t>10주차</t>
        </is>
      </c>
      <c r="C1857" t="inlineStr">
        <is>
          <t>EP</t>
        </is>
      </c>
      <c r="D1857" s="28" t="n">
        <v>46085</v>
      </c>
      <c r="E1857" t="inlineStr">
        <is>
          <t>제이비EP</t>
        </is>
      </c>
      <c r="F1857" t="inlineStr">
        <is>
          <t>김주형</t>
        </is>
      </c>
      <c r="G1857" t="inlineStr">
        <is>
          <t>010-9871-9413</t>
        </is>
      </c>
      <c r="H1857" t="inlineStr">
        <is>
          <t>105나3767</t>
        </is>
      </c>
      <c r="I1857" t="n">
        <v>48000000</v>
      </c>
      <c r="J1857" t="n">
        <v>0.077</v>
      </c>
      <c r="K1857" t="n">
        <v>1.65</v>
      </c>
      <c r="L1857" t="n">
        <v>0.5</v>
      </c>
      <c r="M1857" t="n">
        <v>1.15</v>
      </c>
      <c r="P1857" t="inlineStr">
        <is>
          <t>정하은</t>
        </is>
      </c>
      <c r="Q1857" t="inlineStr">
        <is>
          <t>부대비용 추가진행</t>
        </is>
      </c>
      <c r="AB1857" t="inlineStr">
        <is>
          <t>엔카</t>
        </is>
      </c>
      <c r="AC1857" t="n">
        <v>792000</v>
      </c>
      <c r="AD1857" t="n">
        <v>240000</v>
      </c>
      <c r="AE1857" t="n">
        <v>552000</v>
      </c>
      <c r="AF1857" t="n">
        <v>720000</v>
      </c>
      <c r="AG1857" t="n">
        <v>232080</v>
      </c>
      <c r="AH1857" t="n">
        <v>487920</v>
      </c>
      <c r="AI1857" t="n">
        <v>0</v>
      </c>
    </row>
    <row r="1858">
      <c r="A1858" t="inlineStr">
        <is>
          <t>3월</t>
        </is>
      </c>
      <c r="B1858" t="inlineStr">
        <is>
          <t>10주차</t>
        </is>
      </c>
      <c r="C1858" t="inlineStr">
        <is>
          <t>EP</t>
        </is>
      </c>
      <c r="D1858" s="28" t="n">
        <v>46084</v>
      </c>
      <c r="E1858" t="inlineStr">
        <is>
          <t>현대EP_fast</t>
        </is>
      </c>
      <c r="F1858" t="inlineStr">
        <is>
          <t>김동훈</t>
        </is>
      </c>
      <c r="G1858" t="inlineStr">
        <is>
          <t>010-8882-9981</t>
        </is>
      </c>
      <c r="H1858" t="inlineStr">
        <is>
          <t>16러0846</t>
        </is>
      </c>
      <c r="I1858" t="n">
        <v>20900000</v>
      </c>
      <c r="J1858" t="n">
        <v>0.118</v>
      </c>
      <c r="K1858" t="n">
        <v>1.76</v>
      </c>
      <c r="L1858" t="n">
        <v>0.4</v>
      </c>
      <c r="M1858" t="n">
        <v>1.36</v>
      </c>
      <c r="P1858" t="inlineStr">
        <is>
          <t>구성완</t>
        </is>
      </c>
      <c r="AB1858" t="inlineStr">
        <is>
          <t>엔카</t>
        </is>
      </c>
      <c r="AC1858" t="n">
        <v>367840</v>
      </c>
      <c r="AD1858" t="n">
        <v>83600</v>
      </c>
      <c r="AE1858" t="n">
        <v>284240</v>
      </c>
      <c r="AF1858" t="n">
        <v>334400</v>
      </c>
      <c r="AG1858" t="n">
        <v>80841.2</v>
      </c>
      <c r="AH1858" t="n">
        <v>253558.8</v>
      </c>
    </row>
    <row r="1859">
      <c r="A1859" t="inlineStr">
        <is>
          <t>3월</t>
        </is>
      </c>
      <c r="B1859" t="inlineStr">
        <is>
          <t>10주차</t>
        </is>
      </c>
      <c r="C1859" t="inlineStr">
        <is>
          <t>EP</t>
        </is>
      </c>
      <c r="D1859" s="28" t="n">
        <v>46085</v>
      </c>
      <c r="E1859" t="inlineStr">
        <is>
          <t>현대EP_fast</t>
        </is>
      </c>
      <c r="F1859" t="inlineStr">
        <is>
          <t>우영규</t>
        </is>
      </c>
      <c r="G1859" t="inlineStr">
        <is>
          <t>010-7756-6966</t>
        </is>
      </c>
      <c r="H1859" t="inlineStr">
        <is>
          <t>142라6326</t>
        </is>
      </c>
      <c r="I1859" t="n">
        <v>-3000000</v>
      </c>
      <c r="J1859" t="n">
        <v>0.092</v>
      </c>
      <c r="K1859" t="n">
        <v>1.76</v>
      </c>
      <c r="L1859" t="n">
        <v>0.14</v>
      </c>
      <c r="M1859" t="n">
        <v>1.62</v>
      </c>
      <c r="P1859" t="inlineStr">
        <is>
          <t>김나윤</t>
        </is>
      </c>
      <c r="Q1859" t="inlineStr">
        <is>
          <t>홈서비스 60개월</t>
        </is>
      </c>
      <c r="AB1859" t="inlineStr">
        <is>
          <t>홈서비스</t>
        </is>
      </c>
      <c r="AC1859" t="n">
        <v>-52800</v>
      </c>
      <c r="AD1859" t="n">
        <v>-4200</v>
      </c>
      <c r="AE1859" t="n">
        <v>-48600</v>
      </c>
      <c r="AF1859" t="n">
        <v>-48000</v>
      </c>
      <c r="AG1859" t="n">
        <v>-4061.4</v>
      </c>
      <c r="AH1859" t="n">
        <v>-43938.6</v>
      </c>
      <c r="AI1859" t="n">
        <v>0</v>
      </c>
    </row>
    <row r="1860">
      <c r="A1860" t="inlineStr">
        <is>
          <t>3월</t>
        </is>
      </c>
      <c r="B1860" t="inlineStr">
        <is>
          <t>10주차</t>
        </is>
      </c>
      <c r="C1860" t="inlineStr">
        <is>
          <t>EP</t>
        </is>
      </c>
      <c r="D1860" s="28" t="n">
        <v>46085</v>
      </c>
      <c r="E1860" t="inlineStr">
        <is>
          <t>현대EP_fast</t>
        </is>
      </c>
      <c r="F1860" t="inlineStr">
        <is>
          <t>신상국</t>
        </is>
      </c>
      <c r="G1860" t="inlineStr">
        <is>
          <t>010-6272-7214</t>
        </is>
      </c>
      <c r="H1860" t="inlineStr">
        <is>
          <t>246무7129</t>
        </is>
      </c>
      <c r="I1860" t="n">
        <v>-43900000</v>
      </c>
      <c r="J1860" t="n">
        <v>0.08500000000000001</v>
      </c>
      <c r="K1860" t="n">
        <v>1.76</v>
      </c>
      <c r="L1860" t="n">
        <v>0.14</v>
      </c>
      <c r="M1860" t="n">
        <v>1.62</v>
      </c>
      <c r="P1860" t="inlineStr">
        <is>
          <t>최형주</t>
        </is>
      </c>
      <c r="Q1860" t="inlineStr">
        <is>
          <t>홈서비스 60개월</t>
        </is>
      </c>
      <c r="AB1860" t="inlineStr">
        <is>
          <t>홈서비스</t>
        </is>
      </c>
      <c r="AC1860" t="n">
        <v>-772640</v>
      </c>
      <c r="AD1860" t="n">
        <v>-61460</v>
      </c>
      <c r="AE1860" t="n">
        <v>-711180</v>
      </c>
      <c r="AF1860" t="n">
        <v>-702400</v>
      </c>
      <c r="AG1860" t="n">
        <v>-59431.82</v>
      </c>
      <c r="AH1860" t="n">
        <v>-642968.1800000001</v>
      </c>
      <c r="AI1860" t="n">
        <v>0</v>
      </c>
    </row>
    <row r="1861">
      <c r="A1861" t="inlineStr">
        <is>
          <t>3월</t>
        </is>
      </c>
      <c r="B1861" t="inlineStr">
        <is>
          <t>10주차</t>
        </is>
      </c>
      <c r="C1861" t="inlineStr">
        <is>
          <t>IM</t>
        </is>
      </c>
      <c r="D1861" s="28" t="n">
        <v>46086</v>
      </c>
      <c r="E1861" t="inlineStr">
        <is>
          <t>IM캐피탈</t>
        </is>
      </c>
      <c r="F1861" t="inlineStr">
        <is>
          <t>홍성표</t>
        </is>
      </c>
      <c r="G1861" t="inlineStr">
        <is>
          <t>010-6286-1278</t>
        </is>
      </c>
      <c r="H1861" t="inlineStr">
        <is>
          <t>22거3353</t>
        </is>
      </c>
      <c r="I1861" t="n">
        <v>-11000000</v>
      </c>
      <c r="J1861" t="n">
        <v>0.049</v>
      </c>
      <c r="K1861" t="n">
        <v>1.1</v>
      </c>
      <c r="L1861" t="n">
        <v>0.14</v>
      </c>
      <c r="M1861" t="n">
        <v>0.96</v>
      </c>
      <c r="P1861" t="inlineStr">
        <is>
          <t>정세빈</t>
        </is>
      </c>
      <c r="Q1861" t="inlineStr">
        <is>
          <t>홈서비스 36개월</t>
        </is>
      </c>
      <c r="AB1861" t="inlineStr">
        <is>
          <t>홈서비스</t>
        </is>
      </c>
      <c r="AC1861" t="n">
        <v>-121000</v>
      </c>
      <c r="AD1861" t="n">
        <v>-15400</v>
      </c>
      <c r="AE1861" t="n">
        <v>-105600</v>
      </c>
      <c r="AF1861" t="n">
        <v>-110000</v>
      </c>
      <c r="AG1861" t="n">
        <v>-14891.8</v>
      </c>
      <c r="AH1861" t="n">
        <v>-95108.2</v>
      </c>
    </row>
    <row r="1862">
      <c r="A1862" t="inlineStr">
        <is>
          <t>3월</t>
        </is>
      </c>
      <c r="B1862" t="inlineStr">
        <is>
          <t>10주차</t>
        </is>
      </c>
      <c r="C1862" t="inlineStr">
        <is>
          <t>EP</t>
        </is>
      </c>
      <c r="D1862" s="28" t="n">
        <v>46085</v>
      </c>
      <c r="E1862" t="inlineStr">
        <is>
          <t>현대EP_fast</t>
        </is>
      </c>
      <c r="F1862" t="inlineStr">
        <is>
          <t>방보국</t>
        </is>
      </c>
      <c r="G1862" t="inlineStr">
        <is>
          <t>010-2769-0914</t>
        </is>
      </c>
      <c r="H1862" t="inlineStr">
        <is>
          <t>269주1767</t>
        </is>
      </c>
      <c r="I1862" t="n">
        <v>10000000</v>
      </c>
      <c r="J1862" t="n">
        <v>0.092</v>
      </c>
      <c r="K1862" t="n">
        <v>1.76</v>
      </c>
      <c r="L1862" t="n">
        <v>0.14</v>
      </c>
      <c r="M1862" t="n">
        <v>1.62</v>
      </c>
      <c r="P1862" t="inlineStr">
        <is>
          <t>정하은</t>
        </is>
      </c>
      <c r="Q1862" t="inlineStr">
        <is>
          <t>선상담 / 홈서비스 60개월</t>
        </is>
      </c>
      <c r="AB1862" t="inlineStr">
        <is>
          <t>홈서비스</t>
        </is>
      </c>
      <c r="AC1862" t="n">
        <v>176000</v>
      </c>
      <c r="AD1862" t="n">
        <v>14000</v>
      </c>
      <c r="AE1862" t="n">
        <v>162000</v>
      </c>
      <c r="AF1862" t="n">
        <v>160000</v>
      </c>
      <c r="AG1862" t="n">
        <v>13538</v>
      </c>
      <c r="AH1862" t="n">
        <v>146462</v>
      </c>
      <c r="AI1862" t="n">
        <v>0</v>
      </c>
    </row>
    <row r="1863">
      <c r="A1863" t="inlineStr">
        <is>
          <t>3월</t>
        </is>
      </c>
      <c r="B1863" t="inlineStr">
        <is>
          <t>10주차</t>
        </is>
      </c>
      <c r="C1863" t="inlineStr">
        <is>
          <t>EP</t>
        </is>
      </c>
      <c r="D1863" s="28" t="n">
        <v>46085</v>
      </c>
      <c r="E1863" t="inlineStr">
        <is>
          <t>현대EP</t>
        </is>
      </c>
      <c r="F1863" t="inlineStr">
        <is>
          <t>이혜진</t>
        </is>
      </c>
      <c r="G1863" t="inlineStr">
        <is>
          <t>010-4567-3967</t>
        </is>
      </c>
      <c r="H1863" t="inlineStr">
        <is>
          <t>345노2640</t>
        </is>
      </c>
      <c r="I1863" t="n">
        <v>-15600000</v>
      </c>
      <c r="J1863" t="n">
        <v>0.073</v>
      </c>
      <c r="K1863" t="n">
        <v>1.76</v>
      </c>
      <c r="L1863" t="n">
        <v>0.14</v>
      </c>
      <c r="M1863" t="n">
        <v>1.62</v>
      </c>
      <c r="P1863" t="inlineStr">
        <is>
          <t>정세빈</t>
        </is>
      </c>
      <c r="Q1863" t="inlineStr">
        <is>
          <t>홈서비스 60개월</t>
        </is>
      </c>
      <c r="AB1863" t="inlineStr">
        <is>
          <t>홈서비스</t>
        </is>
      </c>
      <c r="AC1863" t="n">
        <v>-274560</v>
      </c>
      <c r="AD1863" t="n">
        <v>-21840</v>
      </c>
      <c r="AE1863" t="n">
        <v>-252720</v>
      </c>
      <c r="AF1863" t="n">
        <v>-249600</v>
      </c>
      <c r="AG1863" t="n">
        <v>-21119.28</v>
      </c>
      <c r="AH1863" t="n">
        <v>-228480.72</v>
      </c>
      <c r="AI1863" t="n">
        <v>0</v>
      </c>
    </row>
    <row r="1864">
      <c r="A1864" t="inlineStr">
        <is>
          <t>3월</t>
        </is>
      </c>
      <c r="B1864" t="inlineStr">
        <is>
          <t>11주차</t>
        </is>
      </c>
      <c r="C1864" t="inlineStr">
        <is>
          <t>IM</t>
        </is>
      </c>
      <c r="D1864" s="28" t="n">
        <v>46090</v>
      </c>
      <c r="E1864" t="inlineStr">
        <is>
          <t>IM캐피탈</t>
        </is>
      </c>
      <c r="F1864" t="inlineStr">
        <is>
          <t>진주연</t>
        </is>
      </c>
      <c r="G1864" t="inlineStr">
        <is>
          <t>010-4355-1996</t>
        </is>
      </c>
      <c r="H1864" t="inlineStr">
        <is>
          <t>47도1218</t>
        </is>
      </c>
      <c r="I1864" t="n">
        <v>33900000</v>
      </c>
      <c r="J1864" t="n">
        <v>0.049</v>
      </c>
      <c r="K1864" t="n">
        <v>1.1</v>
      </c>
      <c r="L1864" t="n">
        <v>0.14</v>
      </c>
      <c r="M1864" t="n">
        <v>0.96</v>
      </c>
      <c r="P1864" t="inlineStr">
        <is>
          <t>정광호</t>
        </is>
      </c>
      <c r="Q1864" t="inlineStr">
        <is>
          <t>홈서비스 72개월</t>
        </is>
      </c>
      <c r="AB1864" t="inlineStr">
        <is>
          <t>홈서비스</t>
        </is>
      </c>
      <c r="AC1864" t="n">
        <v>372900</v>
      </c>
      <c r="AD1864" t="n">
        <v>47460</v>
      </c>
      <c r="AE1864" t="n">
        <v>325440</v>
      </c>
      <c r="AF1864" t="n">
        <v>339000</v>
      </c>
      <c r="AG1864" t="n">
        <v>45893.82</v>
      </c>
      <c r="AH1864" t="n">
        <v>293106.18</v>
      </c>
      <c r="AI1864" t="n">
        <v>0</v>
      </c>
    </row>
    <row r="1865">
      <c r="A1865" t="inlineStr">
        <is>
          <t>3월</t>
        </is>
      </c>
      <c r="B1865" t="inlineStr">
        <is>
          <t>10주차</t>
        </is>
      </c>
      <c r="C1865" t="inlineStr">
        <is>
          <t>IM</t>
        </is>
      </c>
      <c r="D1865" s="28" t="n">
        <v>46086</v>
      </c>
      <c r="E1865" t="inlineStr">
        <is>
          <t>IM캐피탈</t>
        </is>
      </c>
      <c r="F1865" t="inlineStr">
        <is>
          <t>서정현</t>
        </is>
      </c>
      <c r="G1865" t="inlineStr">
        <is>
          <t>010-7293-7828</t>
        </is>
      </c>
      <c r="H1865" t="inlineStr">
        <is>
          <t>396고5550</t>
        </is>
      </c>
      <c r="I1865" t="n">
        <v>18000000</v>
      </c>
      <c r="J1865" t="n">
        <v>0.039</v>
      </c>
      <c r="K1865" t="n">
        <v>1.1</v>
      </c>
      <c r="L1865" t="n">
        <v>0.14</v>
      </c>
      <c r="M1865" t="n">
        <v>0.96</v>
      </c>
      <c r="P1865" t="inlineStr">
        <is>
          <t>최형주</t>
        </is>
      </c>
      <c r="Q1865" t="inlineStr">
        <is>
          <t>홈서비스 60개월</t>
        </is>
      </c>
      <c r="AB1865" t="inlineStr">
        <is>
          <t>홈서비스</t>
        </is>
      </c>
      <c r="AC1865" t="n">
        <v>198000</v>
      </c>
      <c r="AD1865" t="n">
        <v>25200</v>
      </c>
      <c r="AE1865" t="n">
        <v>172800</v>
      </c>
      <c r="AF1865" t="n">
        <v>180000</v>
      </c>
      <c r="AG1865" t="n">
        <v>24368.4</v>
      </c>
      <c r="AH1865" t="n">
        <v>155631.6</v>
      </c>
      <c r="AI1865" t="n">
        <v>0</v>
      </c>
    </row>
    <row r="1866">
      <c r="A1866" t="inlineStr">
        <is>
          <t>3월</t>
        </is>
      </c>
      <c r="B1866" t="inlineStr">
        <is>
          <t>10주차</t>
        </is>
      </c>
      <c r="C1866" t="inlineStr">
        <is>
          <t>EP</t>
        </is>
      </c>
      <c r="D1866" s="28" t="n">
        <v>46086</v>
      </c>
      <c r="E1866" t="inlineStr">
        <is>
          <t>BNKEP</t>
        </is>
      </c>
      <c r="F1866" t="inlineStr">
        <is>
          <t>박민식</t>
        </is>
      </c>
      <c r="G1866" t="inlineStr">
        <is>
          <t>010-3904-9147</t>
        </is>
      </c>
      <c r="H1866" t="inlineStr">
        <is>
          <t>271조1898</t>
        </is>
      </c>
      <c r="I1866" t="n">
        <v>39700000</v>
      </c>
      <c r="J1866" t="n">
        <v>0.077</v>
      </c>
      <c r="K1866" t="n">
        <v>1.65</v>
      </c>
      <c r="L1866" t="n">
        <v>0.14</v>
      </c>
      <c r="M1866" t="n">
        <v>1.51</v>
      </c>
      <c r="P1866" t="inlineStr">
        <is>
          <t>황채이</t>
        </is>
      </c>
      <c r="Q1866" t="inlineStr">
        <is>
          <t>홈서비스 60개월</t>
        </is>
      </c>
      <c r="AB1866" t="inlineStr">
        <is>
          <t>홈서비스</t>
        </is>
      </c>
      <c r="AC1866" t="n">
        <v>655050</v>
      </c>
      <c r="AD1866" t="n">
        <v>55580</v>
      </c>
      <c r="AE1866" t="n">
        <v>599470</v>
      </c>
      <c r="AF1866" t="n">
        <v>595500</v>
      </c>
      <c r="AG1866" t="n">
        <v>53745.86</v>
      </c>
      <c r="AH1866" t="n">
        <v>541754.14</v>
      </c>
      <c r="AI1866" t="n">
        <v>0</v>
      </c>
    </row>
    <row r="1867">
      <c r="A1867" t="inlineStr">
        <is>
          <t>3월</t>
        </is>
      </c>
      <c r="B1867" t="inlineStr">
        <is>
          <t>10주차</t>
        </is>
      </c>
      <c r="C1867" t="inlineStr">
        <is>
          <t>IM</t>
        </is>
      </c>
      <c r="D1867" s="28" t="n">
        <v>46087</v>
      </c>
      <c r="E1867" t="inlineStr">
        <is>
          <t>IM캐피탈</t>
        </is>
      </c>
      <c r="F1867" t="inlineStr">
        <is>
          <t>이윤성</t>
        </is>
      </c>
      <c r="G1867" t="inlineStr">
        <is>
          <t>010-5375-7442</t>
        </is>
      </c>
      <c r="H1867" t="inlineStr">
        <is>
          <t>91로5667</t>
        </is>
      </c>
      <c r="I1867" t="n">
        <v>27000000</v>
      </c>
      <c r="J1867" t="n">
        <v>0.056</v>
      </c>
      <c r="K1867" t="n">
        <v>1.1</v>
      </c>
      <c r="L1867" t="n">
        <v>0.4</v>
      </c>
      <c r="M1867" t="n">
        <v>0.7</v>
      </c>
      <c r="P1867" t="inlineStr">
        <is>
          <t>구성완</t>
        </is>
      </c>
      <c r="AB1867" t="inlineStr">
        <is>
          <t>엔카</t>
        </is>
      </c>
      <c r="AC1867" t="n">
        <v>297000</v>
      </c>
      <c r="AD1867" t="n">
        <v>108000</v>
      </c>
      <c r="AE1867" t="n">
        <v>189000</v>
      </c>
      <c r="AF1867" t="n">
        <v>270000</v>
      </c>
      <c r="AG1867" t="n">
        <v>104436</v>
      </c>
      <c r="AH1867" t="n">
        <v>165564</v>
      </c>
      <c r="AI1867" t="n">
        <v>0</v>
      </c>
    </row>
    <row r="1868">
      <c r="A1868" t="inlineStr">
        <is>
          <t>3월</t>
        </is>
      </c>
      <c r="B1868" t="inlineStr">
        <is>
          <t>10주차</t>
        </is>
      </c>
      <c r="C1868" t="inlineStr">
        <is>
          <t>IM</t>
        </is>
      </c>
      <c r="D1868" s="28" t="n">
        <v>46085</v>
      </c>
      <c r="E1868" t="inlineStr">
        <is>
          <t>IM캐피탈</t>
        </is>
      </c>
      <c r="F1868" t="inlineStr">
        <is>
          <t>송낙원</t>
        </is>
      </c>
      <c r="G1868" t="inlineStr">
        <is>
          <t>010-5349-0880</t>
        </is>
      </c>
      <c r="H1868" t="inlineStr">
        <is>
          <t>14노1590</t>
        </is>
      </c>
      <c r="I1868" t="n">
        <v>24000000</v>
      </c>
      <c r="J1868" t="n">
        <v>0.066</v>
      </c>
      <c r="K1868" t="n">
        <v>1.1</v>
      </c>
      <c r="L1868" t="n">
        <v>0.14</v>
      </c>
      <c r="M1868" t="n">
        <v>0.96</v>
      </c>
      <c r="P1868" t="inlineStr">
        <is>
          <t>김수연</t>
        </is>
      </c>
      <c r="Q1868" t="inlineStr">
        <is>
          <t>홈서비스 48개월</t>
        </is>
      </c>
      <c r="AB1868" t="inlineStr">
        <is>
          <t>홈서비스</t>
        </is>
      </c>
      <c r="AC1868" t="n">
        <v>264000</v>
      </c>
      <c r="AD1868" t="n">
        <v>33600</v>
      </c>
      <c r="AE1868" t="n">
        <v>230400</v>
      </c>
      <c r="AF1868" t="n">
        <v>240000</v>
      </c>
      <c r="AG1868" t="n">
        <v>32491.2</v>
      </c>
      <c r="AH1868" t="n">
        <v>207508.8</v>
      </c>
    </row>
    <row r="1869">
      <c r="A1869" t="inlineStr">
        <is>
          <t>3월</t>
        </is>
      </c>
      <c r="B1869" t="inlineStr">
        <is>
          <t>10주차</t>
        </is>
      </c>
      <c r="C1869" t="inlineStr">
        <is>
          <t>EP</t>
        </is>
      </c>
      <c r="D1869" s="28" t="n">
        <v>46086</v>
      </c>
      <c r="E1869" t="inlineStr">
        <is>
          <t>현대EP</t>
        </is>
      </c>
      <c r="F1869" t="inlineStr">
        <is>
          <t>서의정</t>
        </is>
      </c>
      <c r="G1869" t="inlineStr">
        <is>
          <t>010-8792-8850</t>
        </is>
      </c>
      <c r="H1869" t="inlineStr">
        <is>
          <t>390가4937</t>
        </is>
      </c>
      <c r="I1869" t="n">
        <v>11200000</v>
      </c>
      <c r="J1869" t="n">
        <v>0.068</v>
      </c>
      <c r="K1869" t="n">
        <v>1.76</v>
      </c>
      <c r="L1869" t="n">
        <v>0.14</v>
      </c>
      <c r="M1869" t="n">
        <v>1.62</v>
      </c>
      <c r="P1869" t="inlineStr">
        <is>
          <t>김나윤</t>
        </is>
      </c>
      <c r="Q1869" t="inlineStr">
        <is>
          <t>홈서비스 60개월</t>
        </is>
      </c>
      <c r="AB1869" t="inlineStr">
        <is>
          <t>홈서비스</t>
        </is>
      </c>
      <c r="AC1869" t="n">
        <v>197120</v>
      </c>
      <c r="AD1869" t="n">
        <v>15680</v>
      </c>
      <c r="AE1869" t="n">
        <v>181440</v>
      </c>
      <c r="AF1869" t="n">
        <v>179200</v>
      </c>
      <c r="AG1869" t="n">
        <v>15162.56</v>
      </c>
      <c r="AH1869" t="n">
        <v>164037.44</v>
      </c>
      <c r="AI1869" t="n">
        <v>0</v>
      </c>
    </row>
    <row r="1870">
      <c r="A1870" t="inlineStr">
        <is>
          <t>3월</t>
        </is>
      </c>
      <c r="B1870" t="inlineStr">
        <is>
          <t>10주차</t>
        </is>
      </c>
      <c r="C1870" t="inlineStr">
        <is>
          <t>OR</t>
        </is>
      </c>
      <c r="D1870" s="28" t="n">
        <v>46086</v>
      </c>
      <c r="E1870" t="inlineStr">
        <is>
          <t>오릭스</t>
        </is>
      </c>
      <c r="F1870" t="inlineStr">
        <is>
          <t>김종설</t>
        </is>
      </c>
      <c r="G1870" t="inlineStr">
        <is>
          <t>010-2360-0913</t>
        </is>
      </c>
      <c r="H1870" t="inlineStr">
        <is>
          <t>152러6140</t>
        </is>
      </c>
      <c r="I1870" t="n">
        <v>17200000</v>
      </c>
      <c r="J1870" t="n">
        <v>0.07199999999999999</v>
      </c>
      <c r="K1870" t="n">
        <v>1.65</v>
      </c>
      <c r="L1870" t="n">
        <v>0.14</v>
      </c>
      <c r="M1870" t="n">
        <v>1.51</v>
      </c>
      <c r="P1870" t="inlineStr">
        <is>
          <t>정세빈</t>
        </is>
      </c>
      <c r="Q1870" t="inlineStr">
        <is>
          <t>홈서비스 60개월</t>
        </is>
      </c>
      <c r="AB1870" t="inlineStr">
        <is>
          <t>홈서비스</t>
        </is>
      </c>
      <c r="AC1870" t="n">
        <v>283800</v>
      </c>
      <c r="AD1870" t="n">
        <v>24080</v>
      </c>
      <c r="AE1870" t="n">
        <v>259720</v>
      </c>
      <c r="AF1870" t="n">
        <v>258000</v>
      </c>
      <c r="AG1870" t="n">
        <v>23285.36</v>
      </c>
      <c r="AH1870" t="n">
        <v>234714.64</v>
      </c>
      <c r="AI1870" t="n">
        <v>0</v>
      </c>
    </row>
    <row r="1871">
      <c r="A1871" t="inlineStr">
        <is>
          <t>3월</t>
        </is>
      </c>
      <c r="B1871" t="inlineStr">
        <is>
          <t>10주차</t>
        </is>
      </c>
      <c r="C1871" t="inlineStr">
        <is>
          <t>EP</t>
        </is>
      </c>
      <c r="D1871" s="28" t="n">
        <v>46086</v>
      </c>
      <c r="E1871" t="inlineStr">
        <is>
          <t>현대EP</t>
        </is>
      </c>
      <c r="F1871" t="inlineStr">
        <is>
          <t>최병현</t>
        </is>
      </c>
      <c r="G1871" t="inlineStr">
        <is>
          <t>010-7214-5580</t>
        </is>
      </c>
      <c r="H1871" t="inlineStr">
        <is>
          <t>58너0196</t>
        </is>
      </c>
      <c r="I1871" t="n">
        <v>10900000</v>
      </c>
      <c r="J1871" t="n">
        <v>0.06900000000000001</v>
      </c>
      <c r="K1871" t="n">
        <v>1.76</v>
      </c>
      <c r="L1871" t="n">
        <v>0.14</v>
      </c>
      <c r="M1871" t="n">
        <v>1.62</v>
      </c>
      <c r="P1871" t="inlineStr">
        <is>
          <t>김수연</t>
        </is>
      </c>
      <c r="Q1871" t="inlineStr">
        <is>
          <t>홈서비스 36개월</t>
        </is>
      </c>
      <c r="AB1871" t="inlineStr">
        <is>
          <t>홈서비스</t>
        </is>
      </c>
      <c r="AC1871" t="n">
        <v>191840</v>
      </c>
      <c r="AD1871" t="n">
        <v>15260</v>
      </c>
      <c r="AE1871" t="n">
        <v>176580</v>
      </c>
      <c r="AF1871" t="n">
        <v>174400</v>
      </c>
      <c r="AG1871" t="n">
        <v>14756.42</v>
      </c>
      <c r="AH1871" t="n">
        <v>159643.58</v>
      </c>
      <c r="AI1871" t="n">
        <v>0</v>
      </c>
    </row>
    <row r="1872">
      <c r="A1872" t="inlineStr">
        <is>
          <t>3월</t>
        </is>
      </c>
      <c r="B1872" t="inlineStr">
        <is>
          <t>10주차</t>
        </is>
      </c>
      <c r="C1872" t="inlineStr">
        <is>
          <t>EP</t>
        </is>
      </c>
      <c r="D1872" s="28" t="n">
        <v>46086</v>
      </c>
      <c r="E1872" t="inlineStr">
        <is>
          <t>현대EP</t>
        </is>
      </c>
      <c r="F1872" t="inlineStr">
        <is>
          <t>김상원</t>
        </is>
      </c>
      <c r="G1872" t="inlineStr">
        <is>
          <t>010-5366-7756</t>
        </is>
      </c>
      <c r="H1872" t="inlineStr">
        <is>
          <t>59조0665</t>
        </is>
      </c>
      <c r="I1872" t="n">
        <v>6000000</v>
      </c>
      <c r="J1872" t="n">
        <v>0.063</v>
      </c>
      <c r="K1872" t="n">
        <v>1.76</v>
      </c>
      <c r="L1872" t="n">
        <v>0.14</v>
      </c>
      <c r="M1872" t="n">
        <v>1.62</v>
      </c>
      <c r="P1872" t="inlineStr">
        <is>
          <t>장진경</t>
        </is>
      </c>
      <c r="Q1872" t="inlineStr">
        <is>
          <t>홈서비스 24개월</t>
        </is>
      </c>
      <c r="AB1872" t="inlineStr">
        <is>
          <t>홈서비스</t>
        </is>
      </c>
      <c r="AC1872" t="n">
        <v>105600</v>
      </c>
      <c r="AD1872" t="n">
        <v>8400</v>
      </c>
      <c r="AE1872" t="n">
        <v>97200</v>
      </c>
      <c r="AF1872" t="n">
        <v>96000</v>
      </c>
      <c r="AG1872" t="n">
        <v>8122.8</v>
      </c>
      <c r="AH1872" t="n">
        <v>87877.2</v>
      </c>
      <c r="AI1872" t="n">
        <v>0</v>
      </c>
    </row>
    <row r="1873">
      <c r="A1873" t="inlineStr">
        <is>
          <t>3월</t>
        </is>
      </c>
      <c r="B1873" t="inlineStr">
        <is>
          <t>10주차</t>
        </is>
      </c>
      <c r="C1873" t="inlineStr">
        <is>
          <t>IM</t>
        </is>
      </c>
      <c r="D1873" s="28" t="n">
        <v>46085</v>
      </c>
      <c r="E1873" t="inlineStr">
        <is>
          <t>IM캐피탈</t>
        </is>
      </c>
      <c r="F1873" t="inlineStr">
        <is>
          <t>이지훈</t>
        </is>
      </c>
      <c r="G1873" t="inlineStr">
        <is>
          <t>010-9961-9464</t>
        </is>
      </c>
      <c r="H1873" t="inlineStr">
        <is>
          <t>376거1566</t>
        </is>
      </c>
      <c r="I1873" t="n">
        <v>17000000</v>
      </c>
      <c r="J1873" t="n">
        <v>0.059</v>
      </c>
      <c r="K1873" t="n">
        <v>1.1</v>
      </c>
      <c r="L1873" t="n">
        <v>0.14</v>
      </c>
      <c r="M1873" t="n">
        <v>0.96</v>
      </c>
      <c r="P1873" t="inlineStr">
        <is>
          <t>구성완</t>
        </is>
      </c>
      <c r="Q1873" t="inlineStr">
        <is>
          <t>안심거래존건</t>
        </is>
      </c>
      <c r="AB1873" t="inlineStr">
        <is>
          <t>믿고</t>
        </is>
      </c>
      <c r="AC1873" t="n">
        <v>187000</v>
      </c>
      <c r="AD1873" t="n">
        <v>23800</v>
      </c>
      <c r="AE1873" t="n">
        <v>163200</v>
      </c>
      <c r="AF1873" t="n">
        <v>170000</v>
      </c>
      <c r="AG1873" t="n">
        <v>23014.6</v>
      </c>
      <c r="AH1873" t="n">
        <v>146985.4</v>
      </c>
    </row>
    <row r="1874">
      <c r="A1874" t="inlineStr">
        <is>
          <t>3월</t>
        </is>
      </c>
      <c r="B1874" t="inlineStr">
        <is>
          <t>10주차</t>
        </is>
      </c>
      <c r="C1874" t="inlineStr">
        <is>
          <t>OR</t>
        </is>
      </c>
      <c r="D1874" s="28" t="n">
        <v>46086</v>
      </c>
      <c r="E1874" t="inlineStr">
        <is>
          <t>오릭스</t>
        </is>
      </c>
      <c r="F1874" t="inlineStr">
        <is>
          <t>한명신</t>
        </is>
      </c>
      <c r="G1874" t="inlineStr">
        <is>
          <t>010-6893-8020</t>
        </is>
      </c>
      <c r="H1874" t="inlineStr">
        <is>
          <t>01오1338</t>
        </is>
      </c>
      <c r="I1874" t="n">
        <v>15000000</v>
      </c>
      <c r="J1874" t="n">
        <v>0.059</v>
      </c>
      <c r="K1874" t="n">
        <v>1.65</v>
      </c>
      <c r="L1874" t="n">
        <v>0.14</v>
      </c>
      <c r="M1874" t="n">
        <v>1.51</v>
      </c>
      <c r="P1874" t="inlineStr">
        <is>
          <t>정세빈</t>
        </is>
      </c>
      <c r="Q1874" t="inlineStr">
        <is>
          <t>홈서비스 48개월</t>
        </is>
      </c>
      <c r="AB1874" t="inlineStr">
        <is>
          <t>홈서비스</t>
        </is>
      </c>
      <c r="AC1874" t="n">
        <v>247500</v>
      </c>
      <c r="AD1874" t="n">
        <v>21000</v>
      </c>
      <c r="AE1874" t="n">
        <v>226500</v>
      </c>
      <c r="AF1874" t="n">
        <v>225000</v>
      </c>
      <c r="AG1874" t="n">
        <v>20307</v>
      </c>
      <c r="AH1874" t="n">
        <v>204693</v>
      </c>
      <c r="AI1874" t="n">
        <v>0</v>
      </c>
    </row>
    <row r="1875">
      <c r="A1875" t="inlineStr">
        <is>
          <t>3월</t>
        </is>
      </c>
      <c r="B1875" t="inlineStr">
        <is>
          <t>10주차</t>
        </is>
      </c>
      <c r="C1875" t="inlineStr">
        <is>
          <t>EP</t>
        </is>
      </c>
      <c r="D1875" s="28" t="n">
        <v>46084</v>
      </c>
      <c r="E1875" t="inlineStr">
        <is>
          <t>현대EP_fast</t>
        </is>
      </c>
      <c r="F1875" t="inlineStr">
        <is>
          <t>박규상</t>
        </is>
      </c>
      <c r="G1875" t="inlineStr">
        <is>
          <t>010-7518-0757</t>
        </is>
      </c>
      <c r="H1875" t="inlineStr">
        <is>
          <t>127보4578</t>
        </is>
      </c>
      <c r="I1875" t="n">
        <v>10000000</v>
      </c>
      <c r="J1875" t="n">
        <v>0.09</v>
      </c>
      <c r="K1875" t="n">
        <v>1.76</v>
      </c>
      <c r="L1875" t="n">
        <v>0.14</v>
      </c>
      <c r="M1875" t="n">
        <v>1.62</v>
      </c>
      <c r="P1875" t="inlineStr">
        <is>
          <t>임대경</t>
        </is>
      </c>
      <c r="Q1875" t="inlineStr">
        <is>
          <t>홈서비스 60개월</t>
        </is>
      </c>
      <c r="AB1875" t="inlineStr">
        <is>
          <t>홈서비스</t>
        </is>
      </c>
      <c r="AC1875" t="n">
        <v>176000</v>
      </c>
      <c r="AD1875" t="n">
        <v>14000</v>
      </c>
      <c r="AE1875" t="n">
        <v>162000</v>
      </c>
      <c r="AF1875" t="n">
        <v>160000</v>
      </c>
      <c r="AG1875" t="n">
        <v>13538</v>
      </c>
      <c r="AH1875" t="n">
        <v>146462</v>
      </c>
      <c r="AI1875" t="n">
        <v>0</v>
      </c>
    </row>
    <row r="1876">
      <c r="A1876" t="inlineStr">
        <is>
          <t>3월</t>
        </is>
      </c>
      <c r="B1876" t="inlineStr">
        <is>
          <t>10주차</t>
        </is>
      </c>
      <c r="C1876" t="inlineStr">
        <is>
          <t>IM</t>
        </is>
      </c>
      <c r="D1876" s="28" t="n">
        <v>46086</v>
      </c>
      <c r="E1876" t="inlineStr">
        <is>
          <t>IM캐피탈</t>
        </is>
      </c>
      <c r="F1876" t="inlineStr">
        <is>
          <t>이경용</t>
        </is>
      </c>
      <c r="G1876" t="inlineStr">
        <is>
          <t>010-4555-7521</t>
        </is>
      </c>
      <c r="H1876" t="inlineStr">
        <is>
          <t>49주9445</t>
        </is>
      </c>
      <c r="I1876" t="n">
        <v>8200000</v>
      </c>
      <c r="J1876" t="n">
        <v>0.059</v>
      </c>
      <c r="K1876" t="n">
        <v>1.1</v>
      </c>
      <c r="L1876" t="n">
        <v>0.14</v>
      </c>
      <c r="M1876" t="n">
        <v>0.96</v>
      </c>
      <c r="P1876" t="inlineStr">
        <is>
          <t>김나윤</t>
        </is>
      </c>
      <c r="Q1876" t="inlineStr">
        <is>
          <t>홈서비스 60개월</t>
        </is>
      </c>
      <c r="AB1876" t="inlineStr">
        <is>
          <t>홈서비스</t>
        </is>
      </c>
      <c r="AC1876" t="n">
        <v>90200</v>
      </c>
      <c r="AD1876" t="n">
        <v>11480</v>
      </c>
      <c r="AE1876" t="n">
        <v>78720</v>
      </c>
      <c r="AF1876" t="n">
        <v>82000</v>
      </c>
      <c r="AG1876" t="n">
        <v>11101.16</v>
      </c>
      <c r="AH1876" t="n">
        <v>70898.84</v>
      </c>
      <c r="AI1876" t="n">
        <v>0</v>
      </c>
    </row>
    <row r="1877">
      <c r="A1877" t="inlineStr">
        <is>
          <t>3월</t>
        </is>
      </c>
      <c r="B1877" t="inlineStr">
        <is>
          <t>10주차</t>
        </is>
      </c>
      <c r="C1877" t="inlineStr">
        <is>
          <t>IM</t>
        </is>
      </c>
      <c r="D1877" s="28" t="n">
        <v>46086</v>
      </c>
      <c r="E1877" t="inlineStr">
        <is>
          <t>IM캐피탈</t>
        </is>
      </c>
      <c r="F1877" t="inlineStr">
        <is>
          <t>유나경</t>
        </is>
      </c>
      <c r="G1877" t="inlineStr">
        <is>
          <t>010-3123-4109</t>
        </is>
      </c>
      <c r="H1877" t="inlineStr">
        <is>
          <t>257가8887</t>
        </is>
      </c>
      <c r="I1877" t="n">
        <v>16700000</v>
      </c>
      <c r="J1877" t="n">
        <v>0.056</v>
      </c>
      <c r="K1877" t="n">
        <v>1.1</v>
      </c>
      <c r="L1877" t="n">
        <v>0.14</v>
      </c>
      <c r="M1877" t="n">
        <v>0.96</v>
      </c>
      <c r="P1877" t="inlineStr">
        <is>
          <t>김수연</t>
        </is>
      </c>
      <c r="Q1877" t="inlineStr">
        <is>
          <t>홈서비스 72개월</t>
        </is>
      </c>
      <c r="AB1877" t="inlineStr">
        <is>
          <t>홈서비스</t>
        </is>
      </c>
      <c r="AC1877" t="n">
        <v>183700</v>
      </c>
      <c r="AD1877" t="n">
        <v>23380</v>
      </c>
      <c r="AE1877" t="n">
        <v>160320</v>
      </c>
      <c r="AF1877" t="n">
        <v>167000</v>
      </c>
      <c r="AG1877" t="n">
        <v>22608.46</v>
      </c>
      <c r="AH1877" t="n">
        <v>144391.54</v>
      </c>
    </row>
    <row r="1878">
      <c r="A1878" t="inlineStr">
        <is>
          <t>3월</t>
        </is>
      </c>
      <c r="B1878" t="inlineStr">
        <is>
          <t>11주차</t>
        </is>
      </c>
      <c r="C1878" t="inlineStr">
        <is>
          <t>EP</t>
        </is>
      </c>
      <c r="D1878" s="28" t="n">
        <v>46090</v>
      </c>
      <c r="E1878" t="inlineStr">
        <is>
          <t>현대EP</t>
        </is>
      </c>
      <c r="F1878" t="inlineStr">
        <is>
          <t>최은주</t>
        </is>
      </c>
      <c r="G1878" t="inlineStr">
        <is>
          <t>010-9794-5106</t>
        </is>
      </c>
      <c r="H1878" t="inlineStr">
        <is>
          <t>387도2255</t>
        </is>
      </c>
      <c r="I1878" t="n">
        <v>-43900000</v>
      </c>
      <c r="J1878" t="n">
        <v>0.068</v>
      </c>
      <c r="K1878" t="n">
        <v>1.76</v>
      </c>
      <c r="L1878" t="n">
        <v>0.14</v>
      </c>
      <c r="M1878" t="n">
        <v>1.62</v>
      </c>
      <c r="P1878" t="inlineStr">
        <is>
          <t>김수연</t>
        </is>
      </c>
      <c r="Q1878" t="inlineStr">
        <is>
          <t>홈서비스 60개월</t>
        </is>
      </c>
      <c r="AB1878" t="inlineStr">
        <is>
          <t>홈서비스</t>
        </is>
      </c>
      <c r="AC1878" t="n">
        <v>-772640</v>
      </c>
      <c r="AD1878" t="n">
        <v>-61460</v>
      </c>
      <c r="AE1878" t="n">
        <v>-711180</v>
      </c>
      <c r="AF1878" t="n">
        <v>-702400</v>
      </c>
      <c r="AG1878" t="n">
        <v>-59431.82</v>
      </c>
      <c r="AH1878" t="n">
        <v>-642968.1800000001</v>
      </c>
      <c r="AI1878" t="n">
        <v>0</v>
      </c>
    </row>
    <row r="1879">
      <c r="A1879" t="inlineStr">
        <is>
          <t>3월</t>
        </is>
      </c>
      <c r="B1879" t="inlineStr">
        <is>
          <t>11주차</t>
        </is>
      </c>
      <c r="C1879" t="inlineStr">
        <is>
          <t>OR</t>
        </is>
      </c>
      <c r="D1879" s="28" t="n">
        <v>46090</v>
      </c>
      <c r="E1879" t="inlineStr">
        <is>
          <t>오릭스</t>
        </is>
      </c>
      <c r="F1879" t="inlineStr">
        <is>
          <t>강윤정</t>
        </is>
      </c>
      <c r="G1879" t="inlineStr">
        <is>
          <t>010-9081-8266</t>
        </is>
      </c>
      <c r="H1879" t="inlineStr">
        <is>
          <t>371라1278</t>
        </is>
      </c>
      <c r="I1879" t="n">
        <v>16900000</v>
      </c>
      <c r="J1879" t="n">
        <v>0.076</v>
      </c>
      <c r="K1879" t="n">
        <v>1.65</v>
      </c>
      <c r="L1879" t="n">
        <v>0.14</v>
      </c>
      <c r="M1879" t="n">
        <v>1.51</v>
      </c>
      <c r="P1879" t="inlineStr">
        <is>
          <t>장진경</t>
        </is>
      </c>
      <c r="Q1879" t="inlineStr">
        <is>
          <t>선상담 / 홈서비스 36개월</t>
        </is>
      </c>
      <c r="AB1879" t="inlineStr">
        <is>
          <t>홈서비스</t>
        </is>
      </c>
      <c r="AC1879" t="n">
        <v>278850</v>
      </c>
      <c r="AD1879" t="n">
        <v>23660</v>
      </c>
      <c r="AE1879" t="n">
        <v>255190</v>
      </c>
      <c r="AF1879" t="n">
        <v>253500</v>
      </c>
      <c r="AG1879" t="n">
        <v>22879.22</v>
      </c>
      <c r="AH1879" t="n">
        <v>230620.78</v>
      </c>
      <c r="AI1879" t="n">
        <v>0</v>
      </c>
    </row>
    <row r="1880">
      <c r="A1880" t="inlineStr">
        <is>
          <t>3월</t>
        </is>
      </c>
      <c r="B1880" t="inlineStr">
        <is>
          <t>11주차</t>
        </is>
      </c>
      <c r="C1880" t="inlineStr">
        <is>
          <t>EP</t>
        </is>
      </c>
      <c r="D1880" s="28" t="n">
        <v>46092</v>
      </c>
      <c r="E1880" t="inlineStr">
        <is>
          <t>현대EP_fast</t>
        </is>
      </c>
      <c r="F1880" t="inlineStr">
        <is>
          <t>고지우</t>
        </is>
      </c>
      <c r="G1880" t="inlineStr">
        <is>
          <t>010-9645-5800</t>
        </is>
      </c>
      <c r="H1880" t="inlineStr">
        <is>
          <t>362다1723</t>
        </is>
      </c>
      <c r="I1880" t="n">
        <v>27500000</v>
      </c>
      <c r="J1880" t="n">
        <v>0.102</v>
      </c>
      <c r="K1880" t="n">
        <v>1.76</v>
      </c>
      <c r="L1880" t="n">
        <v>0.14</v>
      </c>
      <c r="M1880" t="n">
        <v>1.62</v>
      </c>
      <c r="P1880" t="inlineStr">
        <is>
          <t>최형주</t>
        </is>
      </c>
      <c r="Q1880" t="inlineStr">
        <is>
          <t>홈서비스 60개월</t>
        </is>
      </c>
      <c r="AB1880" t="inlineStr">
        <is>
          <t>홈서비스</t>
        </is>
      </c>
      <c r="AC1880" t="n">
        <v>484000</v>
      </c>
      <c r="AD1880" t="n">
        <v>38500</v>
      </c>
      <c r="AE1880" t="n">
        <v>445500</v>
      </c>
      <c r="AF1880" t="n">
        <v>440000</v>
      </c>
      <c r="AG1880" t="n">
        <v>37229.5</v>
      </c>
      <c r="AH1880" t="n">
        <v>402770.5</v>
      </c>
    </row>
    <row r="1881">
      <c r="A1881" t="inlineStr">
        <is>
          <t>3월</t>
        </is>
      </c>
      <c r="B1881" t="inlineStr">
        <is>
          <t>11주차</t>
        </is>
      </c>
      <c r="C1881" t="inlineStr">
        <is>
          <t>EP</t>
        </is>
      </c>
      <c r="D1881" s="28" t="n">
        <v>46091</v>
      </c>
      <c r="E1881" t="inlineStr">
        <is>
          <t>현대EP</t>
        </is>
      </c>
      <c r="F1881" t="inlineStr">
        <is>
          <t>박시몬</t>
        </is>
      </c>
      <c r="G1881" t="inlineStr">
        <is>
          <t>010-8620-8494</t>
        </is>
      </c>
      <c r="H1881" t="inlineStr">
        <is>
          <t>02마5782</t>
        </is>
      </c>
      <c r="I1881" t="n">
        <v>-3000000</v>
      </c>
      <c r="J1881" t="n">
        <v>0.07099999999999999</v>
      </c>
      <c r="K1881" t="n">
        <v>1.76</v>
      </c>
      <c r="L1881" t="n">
        <v>0.14</v>
      </c>
      <c r="M1881" t="n">
        <v>1.62</v>
      </c>
      <c r="P1881" t="inlineStr">
        <is>
          <t>김수연</t>
        </is>
      </c>
      <c r="Q1881" t="inlineStr">
        <is>
          <t>홈서비스 36개월</t>
        </is>
      </c>
      <c r="AB1881" t="inlineStr">
        <is>
          <t>홈서비스</t>
        </is>
      </c>
      <c r="AC1881" t="n">
        <v>-52800</v>
      </c>
      <c r="AD1881" t="n">
        <v>-4200</v>
      </c>
      <c r="AE1881" t="n">
        <v>-48600</v>
      </c>
      <c r="AF1881" t="n">
        <v>-48000</v>
      </c>
      <c r="AG1881" t="n">
        <v>-4061.4</v>
      </c>
      <c r="AH1881" t="n">
        <v>-43938.6</v>
      </c>
      <c r="AI1881" t="n">
        <v>0</v>
      </c>
    </row>
    <row r="1882">
      <c r="A1882" t="inlineStr">
        <is>
          <t>3월</t>
        </is>
      </c>
      <c r="B1882" t="inlineStr">
        <is>
          <t>11주차</t>
        </is>
      </c>
      <c r="C1882" t="inlineStr">
        <is>
          <t>IM</t>
        </is>
      </c>
      <c r="D1882" s="28" t="n">
        <v>46092</v>
      </c>
      <c r="E1882" t="inlineStr">
        <is>
          <t>IM캐피탈</t>
        </is>
      </c>
      <c r="F1882" t="inlineStr">
        <is>
          <t>김대연</t>
        </is>
      </c>
      <c r="G1882" t="inlineStr">
        <is>
          <t>010-8730-3799</t>
        </is>
      </c>
      <c r="H1882" t="inlineStr">
        <is>
          <t>57노2942</t>
        </is>
      </c>
      <c r="I1882" t="n">
        <v>6000000</v>
      </c>
      <c r="J1882" t="n">
        <v>0.049</v>
      </c>
      <c r="K1882" t="n">
        <v>1.1</v>
      </c>
      <c r="L1882" t="n">
        <v>0.14</v>
      </c>
      <c r="M1882" t="n">
        <v>0.96</v>
      </c>
      <c r="P1882" t="inlineStr">
        <is>
          <t>김나윤</t>
        </is>
      </c>
      <c r="Q1882" t="inlineStr">
        <is>
          <t>홈서비스 60개월</t>
        </is>
      </c>
      <c r="AB1882" t="inlineStr">
        <is>
          <t>홈서비스</t>
        </is>
      </c>
      <c r="AC1882" t="n">
        <v>66000</v>
      </c>
      <c r="AD1882" t="n">
        <v>8400</v>
      </c>
      <c r="AE1882" t="n">
        <v>57600</v>
      </c>
      <c r="AF1882" t="n">
        <v>60000</v>
      </c>
      <c r="AG1882" t="n">
        <v>8122.8</v>
      </c>
      <c r="AH1882" t="n">
        <v>51877.2</v>
      </c>
      <c r="AI1882" t="n">
        <v>0</v>
      </c>
    </row>
    <row r="1883">
      <c r="A1883" t="inlineStr">
        <is>
          <t>3월</t>
        </is>
      </c>
      <c r="B1883" t="inlineStr">
        <is>
          <t>11주차</t>
        </is>
      </c>
      <c r="C1883" t="inlineStr">
        <is>
          <t>EP</t>
        </is>
      </c>
      <c r="D1883" s="28" t="n">
        <v>46093</v>
      </c>
      <c r="E1883" t="inlineStr">
        <is>
          <t>현대EP_fast</t>
        </is>
      </c>
      <c r="F1883" t="inlineStr">
        <is>
          <t>김규진</t>
        </is>
      </c>
      <c r="G1883" t="inlineStr">
        <is>
          <t>010-33365-5300</t>
        </is>
      </c>
      <c r="H1883" t="inlineStr">
        <is>
          <t xml:space="preserve">17보2783 </t>
        </is>
      </c>
      <c r="I1883" t="n">
        <v>35000000</v>
      </c>
      <c r="J1883" t="n">
        <v>0.077</v>
      </c>
      <c r="K1883" t="n">
        <v>1.76</v>
      </c>
      <c r="L1883" t="n">
        <v>0.14</v>
      </c>
      <c r="M1883" t="n">
        <v>1.62</v>
      </c>
      <c r="P1883" t="inlineStr">
        <is>
          <t>최형주</t>
        </is>
      </c>
      <c r="Q1883" t="inlineStr">
        <is>
          <t>홈서비스 48개월</t>
        </is>
      </c>
      <c r="AB1883" t="inlineStr">
        <is>
          <t>홈서비스</t>
        </is>
      </c>
      <c r="AC1883" t="n">
        <v>616000</v>
      </c>
      <c r="AD1883" t="n">
        <v>49000</v>
      </c>
      <c r="AE1883" t="n">
        <v>567000</v>
      </c>
      <c r="AF1883" t="n">
        <v>560000</v>
      </c>
      <c r="AG1883" t="n">
        <v>47383</v>
      </c>
      <c r="AH1883" t="n">
        <v>512617</v>
      </c>
      <c r="AI1883" t="n">
        <v>0</v>
      </c>
    </row>
    <row r="1884">
      <c r="A1884" t="inlineStr">
        <is>
          <t>3월</t>
        </is>
      </c>
      <c r="B1884" t="inlineStr">
        <is>
          <t>10주차</t>
        </is>
      </c>
      <c r="C1884" t="inlineStr">
        <is>
          <t>EP</t>
        </is>
      </c>
      <c r="D1884" s="28" t="n">
        <v>46085</v>
      </c>
      <c r="E1884" t="inlineStr">
        <is>
          <t>현대EP</t>
        </is>
      </c>
      <c r="F1884" t="inlineStr">
        <is>
          <t>송승혁</t>
        </is>
      </c>
      <c r="G1884" t="inlineStr">
        <is>
          <t>010-9904-1066</t>
        </is>
      </c>
      <c r="H1884" t="inlineStr">
        <is>
          <t>201루1003</t>
        </is>
      </c>
      <c r="I1884" t="n">
        <v>-9000000</v>
      </c>
      <c r="J1884" t="n">
        <v>0.08699999999999999</v>
      </c>
      <c r="K1884" t="n">
        <v>1.76</v>
      </c>
      <c r="L1884" t="n">
        <v>0.14</v>
      </c>
      <c r="M1884" t="n">
        <v>1.62</v>
      </c>
      <c r="P1884" t="inlineStr">
        <is>
          <t>정광호</t>
        </is>
      </c>
      <c r="Q1884" t="inlineStr">
        <is>
          <t>홈서비스 24개월</t>
        </is>
      </c>
      <c r="AB1884" t="inlineStr">
        <is>
          <t>홈서비스</t>
        </is>
      </c>
      <c r="AC1884" t="n">
        <v>-158400</v>
      </c>
      <c r="AD1884" t="n">
        <v>-12600</v>
      </c>
      <c r="AE1884" t="n">
        <v>-145800</v>
      </c>
      <c r="AF1884" t="n">
        <v>-144000</v>
      </c>
      <c r="AG1884" t="n">
        <v>-12184.2</v>
      </c>
      <c r="AH1884" t="n">
        <v>-131815.8</v>
      </c>
    </row>
    <row r="1885">
      <c r="A1885" t="inlineStr">
        <is>
          <t>3월</t>
        </is>
      </c>
      <c r="B1885" t="inlineStr">
        <is>
          <t>10주차</t>
        </is>
      </c>
      <c r="C1885" t="inlineStr">
        <is>
          <t>EP</t>
        </is>
      </c>
      <c r="D1885" s="28" t="n">
        <v>46084</v>
      </c>
      <c r="E1885" t="inlineStr">
        <is>
          <t>현대EP</t>
        </is>
      </c>
      <c r="F1885" t="inlineStr">
        <is>
          <t>손경순</t>
        </is>
      </c>
      <c r="G1885" t="inlineStr">
        <is>
          <t>010-5599-3789</t>
        </is>
      </c>
      <c r="H1885" t="inlineStr">
        <is>
          <t>62더3654</t>
        </is>
      </c>
      <c r="I1885" t="n">
        <v>6300000</v>
      </c>
      <c r="J1885" t="n">
        <v>0.068</v>
      </c>
      <c r="K1885" t="n">
        <v>1.76</v>
      </c>
      <c r="L1885" t="n">
        <v>0.14</v>
      </c>
      <c r="M1885" t="n">
        <v>1.62</v>
      </c>
      <c r="P1885" t="inlineStr">
        <is>
          <t>최형주</t>
        </is>
      </c>
      <c r="Q1885" t="inlineStr">
        <is>
          <t>홈서비스 24개월</t>
        </is>
      </c>
      <c r="AB1885" t="inlineStr">
        <is>
          <t>홈서비스</t>
        </is>
      </c>
      <c r="AC1885" t="n">
        <v>110880</v>
      </c>
      <c r="AD1885" t="n">
        <v>8820</v>
      </c>
      <c r="AE1885" t="n">
        <v>102060</v>
      </c>
      <c r="AF1885" t="n">
        <v>100800</v>
      </c>
      <c r="AG1885" t="n">
        <v>8528.940000000001</v>
      </c>
      <c r="AH1885" t="n">
        <v>92271.06</v>
      </c>
      <c r="AI1885" t="n">
        <v>0</v>
      </c>
    </row>
    <row r="1886">
      <c r="A1886" t="inlineStr">
        <is>
          <t>3월</t>
        </is>
      </c>
      <c r="B1886" t="inlineStr">
        <is>
          <t>10주차</t>
        </is>
      </c>
      <c r="C1886" t="inlineStr">
        <is>
          <t>EP</t>
        </is>
      </c>
      <c r="D1886" s="28" t="n">
        <v>46085</v>
      </c>
      <c r="E1886" t="inlineStr">
        <is>
          <t>현대EP</t>
        </is>
      </c>
      <c r="F1886" t="inlineStr">
        <is>
          <t>이학훈</t>
        </is>
      </c>
      <c r="G1886" t="inlineStr">
        <is>
          <t>010-5069-1174</t>
        </is>
      </c>
      <c r="H1886" t="inlineStr">
        <is>
          <t>377거2374</t>
        </is>
      </c>
      <c r="I1886" t="n">
        <v>30000000</v>
      </c>
      <c r="J1886" t="n">
        <v>0.073</v>
      </c>
      <c r="K1886" t="n">
        <v>1.76</v>
      </c>
      <c r="L1886" t="n">
        <v>0.14</v>
      </c>
      <c r="M1886" t="n">
        <v>1.62</v>
      </c>
      <c r="P1886" t="inlineStr">
        <is>
          <t>최형주</t>
        </is>
      </c>
      <c r="Q1886" t="inlineStr">
        <is>
          <t>홈서비스 60개월</t>
        </is>
      </c>
      <c r="AB1886" t="inlineStr">
        <is>
          <t>홈서비스</t>
        </is>
      </c>
      <c r="AC1886" t="n">
        <v>528000</v>
      </c>
      <c r="AD1886" t="n">
        <v>42000</v>
      </c>
      <c r="AE1886" t="n">
        <v>486000</v>
      </c>
      <c r="AF1886" t="n">
        <v>480000</v>
      </c>
      <c r="AG1886" t="n">
        <v>40614</v>
      </c>
      <c r="AH1886" t="n">
        <v>439386</v>
      </c>
      <c r="AI1886" t="n">
        <v>0</v>
      </c>
    </row>
    <row r="1887">
      <c r="A1887" t="inlineStr">
        <is>
          <t>3월</t>
        </is>
      </c>
      <c r="B1887" t="inlineStr">
        <is>
          <t>10주차</t>
        </is>
      </c>
      <c r="C1887" t="inlineStr">
        <is>
          <t>IM</t>
        </is>
      </c>
      <c r="D1887" s="28" t="n">
        <v>46085</v>
      </c>
      <c r="E1887" t="inlineStr">
        <is>
          <t>IM캐피탈</t>
        </is>
      </c>
      <c r="F1887" t="inlineStr">
        <is>
          <t>김혜민</t>
        </is>
      </c>
      <c r="G1887" t="inlineStr">
        <is>
          <t>010-8947-0501</t>
        </is>
      </c>
      <c r="H1887" t="inlineStr">
        <is>
          <t>13로0232</t>
        </is>
      </c>
      <c r="I1887" t="n">
        <v>8600000</v>
      </c>
      <c r="J1887" t="n">
        <v>0.059</v>
      </c>
      <c r="K1887" t="n">
        <v>1.1</v>
      </c>
      <c r="L1887" t="n">
        <v>0.4</v>
      </c>
      <c r="M1887" t="n">
        <v>0.7</v>
      </c>
      <c r="P1887" t="inlineStr">
        <is>
          <t>임대경</t>
        </is>
      </c>
      <c r="Q1887" t="inlineStr">
        <is>
          <t>부대비용 추가진행</t>
        </is>
      </c>
      <c r="AB1887" t="inlineStr">
        <is>
          <t>엔카</t>
        </is>
      </c>
      <c r="AC1887" t="n">
        <v>94600</v>
      </c>
      <c r="AD1887" t="n">
        <v>34400</v>
      </c>
      <c r="AE1887" t="n">
        <v>60200</v>
      </c>
      <c r="AF1887" t="n">
        <v>86000</v>
      </c>
      <c r="AG1887" t="n">
        <v>33264.8</v>
      </c>
      <c r="AH1887" t="n">
        <v>52735.2</v>
      </c>
      <c r="AI1887" t="n">
        <v>0</v>
      </c>
    </row>
    <row r="1888">
      <c r="A1888" t="inlineStr">
        <is>
          <t>3월</t>
        </is>
      </c>
      <c r="B1888" t="inlineStr">
        <is>
          <t>10주차</t>
        </is>
      </c>
      <c r="C1888" t="inlineStr">
        <is>
          <t>IM</t>
        </is>
      </c>
      <c r="D1888" s="28" t="n">
        <v>46086</v>
      </c>
      <c r="E1888" t="inlineStr">
        <is>
          <t>IM캐피탈</t>
        </is>
      </c>
      <c r="F1888" t="inlineStr">
        <is>
          <t>김석순</t>
        </is>
      </c>
      <c r="G1888" t="inlineStr">
        <is>
          <t>010-7470-9958</t>
        </is>
      </c>
      <c r="H1888" t="inlineStr">
        <is>
          <t>282도1441</t>
        </is>
      </c>
      <c r="I1888" t="n">
        <v>46000000</v>
      </c>
      <c r="J1888" t="n">
        <v>0.049</v>
      </c>
      <c r="K1888" t="n">
        <v>1.1</v>
      </c>
      <c r="L1888" t="n">
        <v>0.4</v>
      </c>
      <c r="M1888" t="n">
        <v>0.7</v>
      </c>
      <c r="P1888" t="inlineStr">
        <is>
          <t>임대경</t>
        </is>
      </c>
      <c r="AB1888" t="inlineStr">
        <is>
          <t>엔카</t>
        </is>
      </c>
      <c r="AC1888" t="n">
        <v>506000</v>
      </c>
      <c r="AD1888" t="n">
        <v>184000</v>
      </c>
      <c r="AE1888" t="n">
        <v>322000</v>
      </c>
      <c r="AF1888" t="n">
        <v>460000</v>
      </c>
      <c r="AG1888" t="n">
        <v>177928</v>
      </c>
      <c r="AH1888" t="n">
        <v>282072</v>
      </c>
    </row>
    <row r="1889">
      <c r="A1889" t="inlineStr">
        <is>
          <t>3월</t>
        </is>
      </c>
      <c r="B1889" t="inlineStr">
        <is>
          <t>10주차</t>
        </is>
      </c>
      <c r="C1889" t="inlineStr">
        <is>
          <t>EP</t>
        </is>
      </c>
      <c r="D1889" s="28" t="n">
        <v>46086</v>
      </c>
      <c r="E1889" t="inlineStr">
        <is>
          <t>현대EP_fast</t>
        </is>
      </c>
      <c r="F1889" t="inlineStr">
        <is>
          <t>김연성</t>
        </is>
      </c>
      <c r="G1889" t="inlineStr">
        <is>
          <t>010-8802-8229</t>
        </is>
      </c>
      <c r="H1889" t="inlineStr">
        <is>
          <t>31로8001</t>
        </is>
      </c>
      <c r="I1889" t="n">
        <v>5400000</v>
      </c>
      <c r="J1889" t="n">
        <v>0.08699999999999999</v>
      </c>
      <c r="K1889" t="n">
        <v>1.76</v>
      </c>
      <c r="L1889" t="n">
        <v>0.14</v>
      </c>
      <c r="M1889" t="n">
        <v>1.62</v>
      </c>
      <c r="P1889" t="inlineStr">
        <is>
          <t>정하은</t>
        </is>
      </c>
      <c r="Q1889" t="inlineStr">
        <is>
          <t>선상담 / 홈서비스 60개월 기조회 금리 원복(9% &gt; 8.7%)</t>
        </is>
      </c>
      <c r="AB1889" t="inlineStr">
        <is>
          <t>홈서비스</t>
        </is>
      </c>
      <c r="AC1889" t="n">
        <v>95040</v>
      </c>
      <c r="AD1889" t="n">
        <v>7560</v>
      </c>
      <c r="AE1889" t="n">
        <v>87480</v>
      </c>
      <c r="AF1889" t="n">
        <v>86400</v>
      </c>
      <c r="AG1889" t="n">
        <v>7310.52</v>
      </c>
      <c r="AH1889" t="n">
        <v>79089.48</v>
      </c>
      <c r="AI1889" t="n">
        <v>0</v>
      </c>
    </row>
    <row r="1890">
      <c r="A1890" t="inlineStr">
        <is>
          <t>3월</t>
        </is>
      </c>
      <c r="B1890" t="inlineStr">
        <is>
          <t>10주차</t>
        </is>
      </c>
      <c r="C1890" t="inlineStr">
        <is>
          <t>WC</t>
        </is>
      </c>
      <c r="D1890" s="28" t="n">
        <v>46085</v>
      </c>
      <c r="E1890" t="inlineStr">
        <is>
          <t>웰컴저축은행</t>
        </is>
      </c>
      <c r="F1890" t="inlineStr">
        <is>
          <t>유다슬</t>
        </is>
      </c>
      <c r="G1890" t="inlineStr">
        <is>
          <t>010-8555-4255</t>
        </is>
      </c>
      <c r="H1890" t="inlineStr">
        <is>
          <t>168우3744</t>
        </is>
      </c>
      <c r="I1890" t="n">
        <v>20300000</v>
      </c>
      <c r="J1890" t="n">
        <v>0.179</v>
      </c>
      <c r="K1890" t="n">
        <v>0</v>
      </c>
      <c r="L1890" t="n">
        <v>0.4</v>
      </c>
      <c r="M1890" t="n">
        <v>-0.4</v>
      </c>
      <c r="P1890" t="inlineStr">
        <is>
          <t>장현경</t>
        </is>
      </c>
      <c r="AB1890" t="inlineStr">
        <is>
          <t>엔카</t>
        </is>
      </c>
      <c r="AC1890" t="n">
        <v>0</v>
      </c>
      <c r="AD1890" t="n">
        <v>81200</v>
      </c>
      <c r="AE1890" t="n">
        <v>-81200</v>
      </c>
      <c r="AF1890" t="n">
        <v>0</v>
      </c>
      <c r="AG1890" t="n">
        <v>78520.39999999999</v>
      </c>
      <c r="AH1890" t="n">
        <v>-78520.39999999999</v>
      </c>
    </row>
    <row r="1891">
      <c r="A1891" t="inlineStr">
        <is>
          <t>3월</t>
        </is>
      </c>
      <c r="B1891" t="inlineStr">
        <is>
          <t>10주차</t>
        </is>
      </c>
      <c r="C1891" t="inlineStr">
        <is>
          <t>EP</t>
        </is>
      </c>
      <c r="D1891" s="28" t="n">
        <v>46085</v>
      </c>
      <c r="E1891" t="inlineStr">
        <is>
          <t>현대EP_fast</t>
        </is>
      </c>
      <c r="F1891" t="inlineStr">
        <is>
          <t>이광수</t>
        </is>
      </c>
      <c r="G1891" t="inlineStr">
        <is>
          <t>010-3106-9388</t>
        </is>
      </c>
      <c r="H1891" t="inlineStr">
        <is>
          <t>119누9290</t>
        </is>
      </c>
      <c r="I1891" t="n">
        <v>22500000</v>
      </c>
      <c r="J1891" t="n">
        <v>0.07099999999999999</v>
      </c>
      <c r="K1891" t="n">
        <v>1.76</v>
      </c>
      <c r="L1891" t="n">
        <v>0.14</v>
      </c>
      <c r="M1891" t="n">
        <v>1.62</v>
      </c>
      <c r="P1891" t="inlineStr">
        <is>
          <t>최혁</t>
        </is>
      </c>
      <c r="Q1891" t="inlineStr">
        <is>
          <t>홈서비스60개월</t>
        </is>
      </c>
      <c r="AB1891" t="inlineStr">
        <is>
          <t>홈서비스</t>
        </is>
      </c>
      <c r="AC1891" t="n">
        <v>396000</v>
      </c>
      <c r="AD1891" t="n">
        <v>31500</v>
      </c>
      <c r="AE1891" t="n">
        <v>364500</v>
      </c>
      <c r="AF1891" t="n">
        <v>360000</v>
      </c>
      <c r="AG1891" t="n">
        <v>30460.5</v>
      </c>
      <c r="AH1891" t="n">
        <v>329539.5</v>
      </c>
      <c r="AI1891" t="n">
        <v>0</v>
      </c>
    </row>
    <row r="1892">
      <c r="A1892" t="inlineStr">
        <is>
          <t>3월</t>
        </is>
      </c>
      <c r="B1892" t="inlineStr">
        <is>
          <t>10주차</t>
        </is>
      </c>
      <c r="C1892" t="inlineStr">
        <is>
          <t>IM</t>
        </is>
      </c>
      <c r="D1892" s="28" t="n">
        <v>46087</v>
      </c>
      <c r="E1892" t="inlineStr">
        <is>
          <t>IM캐피탈</t>
        </is>
      </c>
      <c r="F1892" t="inlineStr">
        <is>
          <t>이규민</t>
        </is>
      </c>
      <c r="G1892" t="inlineStr">
        <is>
          <t>010-9981-9076</t>
        </is>
      </c>
      <c r="H1892" t="inlineStr">
        <is>
          <t>09오7689</t>
        </is>
      </c>
      <c r="I1892" t="n">
        <v>15900000</v>
      </c>
      <c r="J1892" t="n">
        <v>0.056</v>
      </c>
      <c r="K1892" t="n">
        <v>1.1</v>
      </c>
      <c r="L1892" t="n">
        <v>0.14</v>
      </c>
      <c r="M1892" t="n">
        <v>0.96</v>
      </c>
      <c r="P1892" t="inlineStr">
        <is>
          <t>황채이</t>
        </is>
      </c>
      <c r="Q1892" t="inlineStr">
        <is>
          <t>홈서비스 60개월</t>
        </is>
      </c>
      <c r="AB1892" t="inlineStr">
        <is>
          <t>홈서비스</t>
        </is>
      </c>
      <c r="AC1892" t="n">
        <v>174900</v>
      </c>
      <c r="AD1892" t="n">
        <v>22260</v>
      </c>
      <c r="AE1892" t="n">
        <v>152640</v>
      </c>
      <c r="AF1892" t="n">
        <v>159000</v>
      </c>
      <c r="AG1892" t="n">
        <v>21525.42</v>
      </c>
      <c r="AH1892" t="n">
        <v>137474.58</v>
      </c>
      <c r="AI1892" t="n">
        <v>0</v>
      </c>
    </row>
    <row r="1893">
      <c r="A1893" t="inlineStr">
        <is>
          <t>3월</t>
        </is>
      </c>
      <c r="B1893" t="inlineStr">
        <is>
          <t>10주차</t>
        </is>
      </c>
      <c r="C1893" t="inlineStr">
        <is>
          <t>EP</t>
        </is>
      </c>
      <c r="D1893" s="28" t="n">
        <v>46086</v>
      </c>
      <c r="E1893" t="inlineStr">
        <is>
          <t>현대EP_fast</t>
        </is>
      </c>
      <c r="F1893" t="inlineStr">
        <is>
          <t>남은채</t>
        </is>
      </c>
      <c r="G1893" t="inlineStr">
        <is>
          <t>010-5552-6668</t>
        </is>
      </c>
      <c r="H1893" t="inlineStr">
        <is>
          <t>41누9786</t>
        </is>
      </c>
      <c r="I1893" t="n">
        <v>24500000</v>
      </c>
      <c r="J1893" t="n">
        <v>0.092</v>
      </c>
      <c r="K1893" t="n">
        <v>1.76</v>
      </c>
      <c r="L1893" t="n">
        <v>0.4</v>
      </c>
      <c r="M1893" t="n">
        <v>1.36</v>
      </c>
      <c r="P1893" t="inlineStr">
        <is>
          <t>장진경</t>
        </is>
      </c>
      <c r="AB1893" t="inlineStr">
        <is>
          <t>엔카</t>
        </is>
      </c>
      <c r="AC1893" t="n">
        <v>431200</v>
      </c>
      <c r="AD1893" t="n">
        <v>98000</v>
      </c>
      <c r="AE1893" t="n">
        <v>333200</v>
      </c>
      <c r="AF1893" t="n">
        <v>392000</v>
      </c>
      <c r="AG1893" t="n">
        <v>94766</v>
      </c>
      <c r="AH1893" t="n">
        <v>297234</v>
      </c>
      <c r="AI1893" t="n">
        <v>0</v>
      </c>
    </row>
    <row r="1894">
      <c r="A1894" t="inlineStr">
        <is>
          <t>3월</t>
        </is>
      </c>
      <c r="B1894" t="inlineStr">
        <is>
          <t>10주차</t>
        </is>
      </c>
      <c r="C1894" t="inlineStr">
        <is>
          <t>EP</t>
        </is>
      </c>
      <c r="D1894" s="28" t="n">
        <v>46086</v>
      </c>
      <c r="E1894" t="inlineStr">
        <is>
          <t>현대EP</t>
        </is>
      </c>
      <c r="F1894" t="inlineStr">
        <is>
          <t>박중구</t>
        </is>
      </c>
      <c r="G1894" t="inlineStr">
        <is>
          <t>010-9822-2072</t>
        </is>
      </c>
      <c r="H1894" t="inlineStr">
        <is>
          <t>273우8591</t>
        </is>
      </c>
      <c r="I1894" t="n">
        <v>-17200000</v>
      </c>
      <c r="J1894" t="n">
        <v>0.08699999999999999</v>
      </c>
      <c r="K1894" t="n">
        <v>1.76</v>
      </c>
      <c r="L1894" t="n">
        <v>0.14</v>
      </c>
      <c r="M1894" t="n">
        <v>1.62</v>
      </c>
      <c r="P1894" t="inlineStr">
        <is>
          <t>정세빈</t>
        </is>
      </c>
      <c r="Q1894" t="inlineStr">
        <is>
          <t>홈서비스 60개월</t>
        </is>
      </c>
      <c r="AB1894" t="inlineStr">
        <is>
          <t>홈서비스</t>
        </is>
      </c>
      <c r="AC1894" t="n">
        <v>-302720</v>
      </c>
      <c r="AD1894" t="n">
        <v>-24080</v>
      </c>
      <c r="AE1894" t="n">
        <v>-278640</v>
      </c>
      <c r="AF1894" t="n">
        <v>-275200</v>
      </c>
      <c r="AG1894" t="n">
        <v>-23285.36</v>
      </c>
      <c r="AH1894" t="n">
        <v>-251914.64</v>
      </c>
      <c r="AI1894" t="n">
        <v>0</v>
      </c>
    </row>
    <row r="1895">
      <c r="A1895" t="inlineStr">
        <is>
          <t>3월</t>
        </is>
      </c>
      <c r="B1895" t="inlineStr">
        <is>
          <t>10주차</t>
        </is>
      </c>
      <c r="C1895" t="inlineStr">
        <is>
          <t>EP</t>
        </is>
      </c>
      <c r="D1895" s="28" t="n">
        <v>46086</v>
      </c>
      <c r="E1895" t="inlineStr">
        <is>
          <t>제이비EP</t>
        </is>
      </c>
      <c r="F1895" t="inlineStr">
        <is>
          <t>김종태</t>
        </is>
      </c>
      <c r="G1895" t="inlineStr">
        <is>
          <t>010-7100-0316</t>
        </is>
      </c>
      <c r="H1895" t="inlineStr">
        <is>
          <t>357가8641</t>
        </is>
      </c>
      <c r="I1895" t="n">
        <v>22000000</v>
      </c>
      <c r="J1895" t="n">
        <v>0.114</v>
      </c>
      <c r="K1895" t="n">
        <v>1.65</v>
      </c>
      <c r="L1895" t="n">
        <v>0.4</v>
      </c>
      <c r="M1895" t="n">
        <v>1.25</v>
      </c>
      <c r="P1895" t="inlineStr">
        <is>
          <t>구성완</t>
        </is>
      </c>
      <c r="AB1895" t="inlineStr">
        <is>
          <t>엔카</t>
        </is>
      </c>
      <c r="AC1895" t="n">
        <v>363000</v>
      </c>
      <c r="AD1895" t="n">
        <v>88000</v>
      </c>
      <c r="AE1895" t="n">
        <v>275000</v>
      </c>
      <c r="AF1895" t="n">
        <v>330000</v>
      </c>
      <c r="AG1895" t="n">
        <v>85096</v>
      </c>
      <c r="AH1895" t="n">
        <v>244904</v>
      </c>
      <c r="AI1895" t="n">
        <v>0</v>
      </c>
    </row>
    <row r="1896">
      <c r="A1896" t="inlineStr">
        <is>
          <t>3월</t>
        </is>
      </c>
      <c r="B1896" t="inlineStr">
        <is>
          <t>10주차</t>
        </is>
      </c>
      <c r="C1896" t="inlineStr">
        <is>
          <t>OR</t>
        </is>
      </c>
      <c r="D1896" s="28" t="n">
        <v>46087</v>
      </c>
      <c r="E1896" t="inlineStr">
        <is>
          <t>오릭스</t>
        </is>
      </c>
      <c r="F1896" t="inlineStr">
        <is>
          <t>이재원</t>
        </is>
      </c>
      <c r="G1896" t="inlineStr">
        <is>
          <t>010-8575-3555</t>
        </is>
      </c>
      <c r="H1896" t="inlineStr">
        <is>
          <t>55수0512</t>
        </is>
      </c>
      <c r="I1896" t="n">
        <v>9000000</v>
      </c>
      <c r="J1896" t="n">
        <v>0.067</v>
      </c>
      <c r="K1896" t="n">
        <v>1.65</v>
      </c>
      <c r="L1896" t="n">
        <v>0.14</v>
      </c>
      <c r="M1896" t="n">
        <v>1.51</v>
      </c>
      <c r="P1896" t="inlineStr">
        <is>
          <t>정세빈</t>
        </is>
      </c>
      <c r="Q1896" t="inlineStr">
        <is>
          <t>홈서비스 36개월</t>
        </is>
      </c>
      <c r="AB1896" t="inlineStr">
        <is>
          <t>홈서비스</t>
        </is>
      </c>
      <c r="AC1896" t="n">
        <v>148500</v>
      </c>
      <c r="AD1896" t="n">
        <v>12600</v>
      </c>
      <c r="AE1896" t="n">
        <v>135900</v>
      </c>
      <c r="AF1896" t="n">
        <v>135000</v>
      </c>
      <c r="AG1896" t="n">
        <v>12184.2</v>
      </c>
      <c r="AH1896" t="n">
        <v>122815.8</v>
      </c>
      <c r="AI1896" t="n">
        <v>0</v>
      </c>
    </row>
    <row r="1897">
      <c r="A1897" t="inlineStr">
        <is>
          <t>3월</t>
        </is>
      </c>
      <c r="B1897" t="inlineStr">
        <is>
          <t>10주차</t>
        </is>
      </c>
      <c r="C1897" t="inlineStr">
        <is>
          <t>EP</t>
        </is>
      </c>
      <c r="D1897" s="28" t="n">
        <v>46086</v>
      </c>
      <c r="E1897" t="inlineStr">
        <is>
          <t>현대EP_fast</t>
        </is>
      </c>
      <c r="F1897" t="inlineStr">
        <is>
          <t>김정석</t>
        </is>
      </c>
      <c r="G1897" t="inlineStr">
        <is>
          <t>010-7677-5038</t>
        </is>
      </c>
      <c r="H1897" t="inlineStr">
        <is>
          <t>17주9301</t>
        </is>
      </c>
      <c r="I1897" t="n">
        <v>4500000</v>
      </c>
      <c r="J1897" t="n">
        <v>0.126</v>
      </c>
      <c r="K1897" t="n">
        <v>1.76</v>
      </c>
      <c r="L1897" t="n">
        <v>0.4</v>
      </c>
      <c r="M1897" t="n">
        <v>1.36</v>
      </c>
      <c r="P1897" t="inlineStr">
        <is>
          <t>장진경</t>
        </is>
      </c>
      <c r="AB1897" t="inlineStr">
        <is>
          <t>엔카</t>
        </is>
      </c>
      <c r="AC1897" t="n">
        <v>79200</v>
      </c>
      <c r="AD1897" t="n">
        <v>18000</v>
      </c>
      <c r="AE1897" t="n">
        <v>61200</v>
      </c>
      <c r="AF1897" t="n">
        <v>72000</v>
      </c>
      <c r="AG1897" t="n">
        <v>17406</v>
      </c>
      <c r="AH1897" t="n">
        <v>54594</v>
      </c>
    </row>
    <row r="1898">
      <c r="A1898" t="inlineStr">
        <is>
          <t>3월</t>
        </is>
      </c>
      <c r="B1898" t="inlineStr">
        <is>
          <t>10주차</t>
        </is>
      </c>
      <c r="C1898" t="inlineStr">
        <is>
          <t>EP</t>
        </is>
      </c>
      <c r="D1898" s="28" t="n">
        <v>46086</v>
      </c>
      <c r="E1898" t="inlineStr">
        <is>
          <t>현대EP</t>
        </is>
      </c>
      <c r="F1898" t="inlineStr">
        <is>
          <t>서의정</t>
        </is>
      </c>
      <c r="G1898" t="inlineStr">
        <is>
          <t>010-8792-8850</t>
        </is>
      </c>
      <c r="H1898" t="inlineStr">
        <is>
          <t>390가4937</t>
        </is>
      </c>
      <c r="I1898" t="n">
        <v>-11200000</v>
      </c>
      <c r="J1898" t="n">
        <v>0.068</v>
      </c>
      <c r="K1898" t="n">
        <v>1.76</v>
      </c>
      <c r="L1898" t="n">
        <v>0.14</v>
      </c>
      <c r="M1898" t="n">
        <v>1.62</v>
      </c>
      <c r="P1898" t="inlineStr">
        <is>
          <t>김나윤</t>
        </is>
      </c>
      <c r="Q1898" t="inlineStr">
        <is>
          <t>홈서비스 60개월</t>
        </is>
      </c>
      <c r="AB1898" t="inlineStr">
        <is>
          <t>홈서비스</t>
        </is>
      </c>
      <c r="AC1898" t="n">
        <v>-197120</v>
      </c>
      <c r="AD1898" t="n">
        <v>-15680</v>
      </c>
      <c r="AE1898" t="n">
        <v>-181440</v>
      </c>
      <c r="AF1898" t="n">
        <v>-179200</v>
      </c>
      <c r="AG1898" t="n">
        <v>-15162.56</v>
      </c>
      <c r="AH1898" t="n">
        <v>-164037.44</v>
      </c>
      <c r="AI1898" t="n">
        <v>0</v>
      </c>
    </row>
    <row r="1899">
      <c r="A1899" t="inlineStr">
        <is>
          <t>3월</t>
        </is>
      </c>
      <c r="B1899" t="inlineStr">
        <is>
          <t>11주차</t>
        </is>
      </c>
      <c r="C1899" t="inlineStr">
        <is>
          <t>EP</t>
        </is>
      </c>
      <c r="D1899" s="28" t="n">
        <v>46090</v>
      </c>
      <c r="E1899" t="inlineStr">
        <is>
          <t>현대EP</t>
        </is>
      </c>
      <c r="F1899" t="inlineStr">
        <is>
          <t>김민</t>
        </is>
      </c>
      <c r="G1899" t="inlineStr">
        <is>
          <t>010-6458-0458</t>
        </is>
      </c>
      <c r="H1899" t="inlineStr">
        <is>
          <t>68라1861</t>
        </is>
      </c>
      <c r="I1899" t="n">
        <v>29500000</v>
      </c>
      <c r="J1899" t="n">
        <v>0.07199999999999999</v>
      </c>
      <c r="K1899" t="n">
        <v>1.76</v>
      </c>
      <c r="L1899" t="n">
        <v>0.14</v>
      </c>
      <c r="M1899" t="n">
        <v>1.62</v>
      </c>
      <c r="P1899" t="inlineStr">
        <is>
          <t>정광호</t>
        </is>
      </c>
      <c r="Q1899" t="inlineStr">
        <is>
          <t>홈서비스 60개월</t>
        </is>
      </c>
      <c r="AB1899" t="inlineStr">
        <is>
          <t>홈서비스</t>
        </is>
      </c>
      <c r="AC1899" t="n">
        <v>519200</v>
      </c>
      <c r="AD1899" t="n">
        <v>41300</v>
      </c>
      <c r="AE1899" t="n">
        <v>477900</v>
      </c>
      <c r="AF1899" t="n">
        <v>472000</v>
      </c>
      <c r="AG1899" t="n">
        <v>39937.1</v>
      </c>
      <c r="AH1899" t="n">
        <v>432062.9</v>
      </c>
      <c r="AI1899" t="n">
        <v>0</v>
      </c>
    </row>
    <row r="1900">
      <c r="A1900" t="inlineStr">
        <is>
          <t>3월</t>
        </is>
      </c>
      <c r="B1900" t="inlineStr">
        <is>
          <t>10주차</t>
        </is>
      </c>
      <c r="C1900" t="inlineStr">
        <is>
          <t>IM</t>
        </is>
      </c>
      <c r="D1900" s="28" t="n">
        <v>46084</v>
      </c>
      <c r="E1900" t="inlineStr">
        <is>
          <t>IM캐피탈</t>
        </is>
      </c>
      <c r="F1900" t="inlineStr">
        <is>
          <t>구기룡</t>
        </is>
      </c>
      <c r="G1900" t="inlineStr">
        <is>
          <t>010-6731-6362</t>
        </is>
      </c>
      <c r="H1900" t="inlineStr">
        <is>
          <t>212서4300</t>
        </is>
      </c>
      <c r="I1900" t="n">
        <v>9000000</v>
      </c>
      <c r="J1900" t="n">
        <v>0.049</v>
      </c>
      <c r="K1900" t="n">
        <v>1.1</v>
      </c>
      <c r="L1900" t="n">
        <v>0.14</v>
      </c>
      <c r="M1900" t="n">
        <v>0.96</v>
      </c>
      <c r="P1900" t="inlineStr">
        <is>
          <t>박소현</t>
        </is>
      </c>
      <c r="Q1900" t="inlineStr">
        <is>
          <t>선상담 /홈서비스 60개월</t>
        </is>
      </c>
      <c r="AB1900" t="inlineStr">
        <is>
          <t>홈서비스</t>
        </is>
      </c>
      <c r="AC1900" t="n">
        <v>99000</v>
      </c>
      <c r="AD1900" t="n">
        <v>12600</v>
      </c>
      <c r="AE1900" t="n">
        <v>86400</v>
      </c>
      <c r="AF1900" t="n">
        <v>90000</v>
      </c>
      <c r="AG1900" t="n">
        <v>12184.2</v>
      </c>
      <c r="AH1900" t="n">
        <v>77815.8</v>
      </c>
      <c r="AI1900" t="n">
        <v>0</v>
      </c>
    </row>
    <row r="1901">
      <c r="A1901" t="inlineStr">
        <is>
          <t>3월</t>
        </is>
      </c>
      <c r="B1901" t="inlineStr">
        <is>
          <t>10주차</t>
        </is>
      </c>
      <c r="C1901" t="inlineStr">
        <is>
          <t>EP</t>
        </is>
      </c>
      <c r="D1901" s="28" t="n">
        <v>46087</v>
      </c>
      <c r="E1901" t="inlineStr">
        <is>
          <t>현대EP_fast</t>
        </is>
      </c>
      <c r="F1901" t="inlineStr">
        <is>
          <t>장지섭</t>
        </is>
      </c>
      <c r="G1901" t="inlineStr">
        <is>
          <t>010-4812-3845</t>
        </is>
      </c>
      <c r="H1901" t="inlineStr">
        <is>
          <t>10로0646</t>
        </is>
      </c>
      <c r="I1901" t="n">
        <v>15000000</v>
      </c>
      <c r="J1901" t="n">
        <v>0.076</v>
      </c>
      <c r="K1901" t="n">
        <v>1.76</v>
      </c>
      <c r="L1901" t="n">
        <v>0.14</v>
      </c>
      <c r="M1901" t="n">
        <v>1.62</v>
      </c>
      <c r="P1901" t="inlineStr">
        <is>
          <t>정세빈</t>
        </is>
      </c>
      <c r="Q1901" t="inlineStr">
        <is>
          <t>홈서비스 36개월</t>
        </is>
      </c>
      <c r="AB1901" t="inlineStr">
        <is>
          <t>홈서비스</t>
        </is>
      </c>
      <c r="AC1901" t="n">
        <v>264000</v>
      </c>
      <c r="AD1901" t="n">
        <v>21000</v>
      </c>
      <c r="AE1901" t="n">
        <v>243000</v>
      </c>
      <c r="AF1901" t="n">
        <v>240000</v>
      </c>
      <c r="AG1901" t="n">
        <v>20307</v>
      </c>
      <c r="AH1901" t="n">
        <v>219693</v>
      </c>
    </row>
    <row r="1902">
      <c r="A1902" t="inlineStr">
        <is>
          <t>3월</t>
        </is>
      </c>
      <c r="B1902" t="inlineStr">
        <is>
          <t>10주차</t>
        </is>
      </c>
      <c r="C1902" t="inlineStr">
        <is>
          <t>EP</t>
        </is>
      </c>
      <c r="D1902" s="28" t="n">
        <v>46087</v>
      </c>
      <c r="E1902" t="inlineStr">
        <is>
          <t>현대EP</t>
        </is>
      </c>
      <c r="F1902" t="inlineStr">
        <is>
          <t>박승우</t>
        </is>
      </c>
      <c r="G1902" t="inlineStr">
        <is>
          <t>010-9287-9112</t>
        </is>
      </c>
      <c r="H1902" t="inlineStr">
        <is>
          <t>35저5792</t>
        </is>
      </c>
      <c r="I1902" t="n">
        <v>6000000</v>
      </c>
      <c r="J1902" t="n">
        <v>0.059</v>
      </c>
      <c r="K1902" t="n">
        <v>1.76</v>
      </c>
      <c r="L1902" t="n">
        <v>0.14</v>
      </c>
      <c r="M1902" t="n">
        <v>1.62</v>
      </c>
      <c r="P1902" t="inlineStr">
        <is>
          <t>김나윤</t>
        </is>
      </c>
      <c r="Q1902" t="inlineStr">
        <is>
          <t>홈서비스 60개월</t>
        </is>
      </c>
      <c r="AB1902" t="inlineStr">
        <is>
          <t>홈서비스</t>
        </is>
      </c>
      <c r="AC1902" t="n">
        <v>105600</v>
      </c>
      <c r="AD1902" t="n">
        <v>8400</v>
      </c>
      <c r="AE1902" t="n">
        <v>97200</v>
      </c>
      <c r="AF1902" t="n">
        <v>96000</v>
      </c>
      <c r="AG1902" t="n">
        <v>8122.8</v>
      </c>
      <c r="AH1902" t="n">
        <v>87877.2</v>
      </c>
      <c r="AI1902" t="n">
        <v>0</v>
      </c>
    </row>
    <row r="1903">
      <c r="A1903" t="inlineStr">
        <is>
          <t>3월</t>
        </is>
      </c>
      <c r="B1903" t="inlineStr">
        <is>
          <t>10주차</t>
        </is>
      </c>
      <c r="C1903" t="inlineStr">
        <is>
          <t>IM</t>
        </is>
      </c>
      <c r="D1903" s="28" t="n">
        <v>46087</v>
      </c>
      <c r="E1903" t="inlineStr">
        <is>
          <t>IM캐피탈</t>
        </is>
      </c>
      <c r="F1903" t="inlineStr">
        <is>
          <t>전혜인</t>
        </is>
      </c>
      <c r="G1903" t="inlineStr">
        <is>
          <t>010-7131-1567</t>
        </is>
      </c>
      <c r="H1903" t="inlineStr">
        <is>
          <t>298주2581</t>
        </is>
      </c>
      <c r="I1903" t="n">
        <v>22800000</v>
      </c>
      <c r="J1903" t="n">
        <v>0.039</v>
      </c>
      <c r="K1903" t="n">
        <v>1.1</v>
      </c>
      <c r="L1903" t="n">
        <v>0.14</v>
      </c>
      <c r="M1903" t="n">
        <v>0.96</v>
      </c>
      <c r="P1903" t="inlineStr">
        <is>
          <t>장진경</t>
        </is>
      </c>
      <c r="Q1903" t="inlineStr">
        <is>
          <t>선상담 / 홈서비스 84개월</t>
        </is>
      </c>
      <c r="AB1903" t="inlineStr">
        <is>
          <t>홈서비스</t>
        </is>
      </c>
      <c r="AC1903" t="n">
        <v>250800</v>
      </c>
      <c r="AD1903" t="n">
        <v>31920</v>
      </c>
      <c r="AE1903" t="n">
        <v>218880</v>
      </c>
      <c r="AF1903" t="n">
        <v>228000</v>
      </c>
      <c r="AG1903" t="n">
        <v>30866.64</v>
      </c>
      <c r="AH1903" t="n">
        <v>197133.36</v>
      </c>
    </row>
    <row r="1904">
      <c r="A1904" t="inlineStr">
        <is>
          <t>3월</t>
        </is>
      </c>
      <c r="B1904" t="inlineStr">
        <is>
          <t>10주차</t>
        </is>
      </c>
      <c r="C1904" t="inlineStr">
        <is>
          <t>IM</t>
        </is>
      </c>
      <c r="D1904" s="28" t="n">
        <v>46086</v>
      </c>
      <c r="E1904" t="inlineStr">
        <is>
          <t>IM캐피탈</t>
        </is>
      </c>
      <c r="F1904" t="inlineStr">
        <is>
          <t>조영상</t>
        </is>
      </c>
      <c r="G1904" t="inlineStr">
        <is>
          <t xml:space="preserve"> 010-2042-6517</t>
        </is>
      </c>
      <c r="H1904" t="inlineStr">
        <is>
          <t>147루1827</t>
        </is>
      </c>
      <c r="I1904" t="n">
        <v>30500000</v>
      </c>
      <c r="J1904" t="n">
        <v>0.049</v>
      </c>
      <c r="K1904" t="n">
        <v>1.1</v>
      </c>
      <c r="L1904" t="n">
        <v>0.14</v>
      </c>
      <c r="M1904" t="n">
        <v>0.96</v>
      </c>
      <c r="P1904" t="inlineStr">
        <is>
          <t>구성완</t>
        </is>
      </c>
      <c r="Q1904" t="inlineStr">
        <is>
          <t>안심거래존건</t>
        </is>
      </c>
      <c r="AB1904" t="inlineStr">
        <is>
          <t>믿고</t>
        </is>
      </c>
      <c r="AC1904" t="n">
        <v>335500</v>
      </c>
      <c r="AD1904" t="n">
        <v>42700</v>
      </c>
      <c r="AE1904" t="n">
        <v>292800</v>
      </c>
      <c r="AF1904" t="n">
        <v>305000</v>
      </c>
      <c r="AG1904" t="n">
        <v>41290.9</v>
      </c>
      <c r="AH1904" t="n">
        <v>263709.1</v>
      </c>
      <c r="AI1904" t="n">
        <v>0</v>
      </c>
    </row>
    <row r="1905">
      <c r="A1905" t="inlineStr">
        <is>
          <t>3월</t>
        </is>
      </c>
      <c r="B1905" t="inlineStr">
        <is>
          <t>10주차</t>
        </is>
      </c>
      <c r="C1905" t="inlineStr">
        <is>
          <t>EP</t>
        </is>
      </c>
      <c r="D1905" s="28" t="n">
        <v>46085</v>
      </c>
      <c r="E1905" t="inlineStr">
        <is>
          <t>현대EP_fast</t>
        </is>
      </c>
      <c r="F1905" t="inlineStr">
        <is>
          <t>홍석완</t>
        </is>
      </c>
      <c r="G1905" t="inlineStr">
        <is>
          <t>010-4115-4073</t>
        </is>
      </c>
      <c r="H1905" t="inlineStr">
        <is>
          <t>211누8422</t>
        </is>
      </c>
      <c r="I1905" t="n">
        <v>15500000</v>
      </c>
      <c r="J1905" t="n">
        <v>0.134</v>
      </c>
      <c r="K1905" t="n">
        <v>1.76</v>
      </c>
      <c r="L1905" t="n">
        <v>0.4</v>
      </c>
      <c r="M1905" t="n">
        <v>1.36</v>
      </c>
      <c r="P1905" t="inlineStr">
        <is>
          <t>박현민</t>
        </is>
      </c>
      <c r="AB1905" t="inlineStr">
        <is>
          <t>엔카</t>
        </is>
      </c>
      <c r="AC1905" t="n">
        <v>272800</v>
      </c>
      <c r="AD1905" t="n">
        <v>62000</v>
      </c>
      <c r="AE1905" t="n">
        <v>210800</v>
      </c>
      <c r="AF1905" t="n">
        <v>248000</v>
      </c>
      <c r="AG1905" t="n">
        <v>59954</v>
      </c>
      <c r="AH1905" t="n">
        <v>188046</v>
      </c>
    </row>
    <row r="1906">
      <c r="A1906" t="inlineStr">
        <is>
          <t>3월</t>
        </is>
      </c>
      <c r="B1906" t="inlineStr">
        <is>
          <t>11주차</t>
        </is>
      </c>
      <c r="C1906" t="inlineStr">
        <is>
          <t>EP</t>
        </is>
      </c>
      <c r="D1906" s="28" t="n">
        <v>46090</v>
      </c>
      <c r="E1906" t="inlineStr">
        <is>
          <t>현대EP_fast</t>
        </is>
      </c>
      <c r="F1906" t="inlineStr">
        <is>
          <t>김동호</t>
        </is>
      </c>
      <c r="G1906" t="inlineStr">
        <is>
          <t>010-4623-6763</t>
        </is>
      </c>
      <c r="H1906" t="inlineStr">
        <is>
          <t>51더1384</t>
        </is>
      </c>
      <c r="I1906" t="n">
        <v>10700000</v>
      </c>
      <c r="J1906" t="n">
        <v>0.075</v>
      </c>
      <c r="K1906" t="n">
        <v>1.76</v>
      </c>
      <c r="L1906" t="n">
        <v>0.14</v>
      </c>
      <c r="M1906" t="n">
        <v>1.62</v>
      </c>
      <c r="P1906" t="inlineStr">
        <is>
          <t>정광호</t>
        </is>
      </c>
      <c r="Q1906" t="inlineStr">
        <is>
          <t>홈서비스 60개월</t>
        </is>
      </c>
      <c r="AB1906" t="inlineStr">
        <is>
          <t>홈서비스</t>
        </is>
      </c>
      <c r="AC1906" t="n">
        <v>188320</v>
      </c>
      <c r="AD1906" t="n">
        <v>14980</v>
      </c>
      <c r="AE1906" t="n">
        <v>173340</v>
      </c>
      <c r="AF1906" t="n">
        <v>171200</v>
      </c>
      <c r="AG1906" t="n">
        <v>14485.66</v>
      </c>
      <c r="AH1906" t="n">
        <v>156714.34</v>
      </c>
      <c r="AI1906" t="n">
        <v>0</v>
      </c>
    </row>
    <row r="1907">
      <c r="A1907" t="inlineStr">
        <is>
          <t>3월</t>
        </is>
      </c>
      <c r="B1907" t="inlineStr">
        <is>
          <t>11주차</t>
        </is>
      </c>
      <c r="C1907" t="inlineStr">
        <is>
          <t>EP</t>
        </is>
      </c>
      <c r="D1907" s="28" t="n">
        <v>46091</v>
      </c>
      <c r="E1907" t="inlineStr">
        <is>
          <t>현대EP_fast</t>
        </is>
      </c>
      <c r="F1907" t="inlineStr">
        <is>
          <t>최희근</t>
        </is>
      </c>
      <c r="G1907" t="inlineStr">
        <is>
          <t>010-7215-7157</t>
        </is>
      </c>
      <c r="H1907" t="inlineStr">
        <is>
          <t>24누0186</t>
        </is>
      </c>
      <c r="I1907" t="n">
        <v>-7500000</v>
      </c>
      <c r="J1907" t="n">
        <v>0.09</v>
      </c>
      <c r="K1907" t="n">
        <v>1.76</v>
      </c>
      <c r="L1907" t="n">
        <v>0.14</v>
      </c>
      <c r="M1907" t="n">
        <v>1.62</v>
      </c>
      <c r="P1907" t="inlineStr">
        <is>
          <t>최형주</t>
        </is>
      </c>
      <c r="Q1907" t="inlineStr">
        <is>
          <t>홈서비스 48개월</t>
        </is>
      </c>
      <c r="AB1907" t="inlineStr">
        <is>
          <t>홈서비스</t>
        </is>
      </c>
      <c r="AC1907" t="n">
        <v>-132000</v>
      </c>
      <c r="AD1907" t="n">
        <v>-10500</v>
      </c>
      <c r="AE1907" t="n">
        <v>-121500</v>
      </c>
      <c r="AF1907" t="n">
        <v>-120000</v>
      </c>
      <c r="AG1907" t="n">
        <v>-10153.5</v>
      </c>
      <c r="AH1907" t="n">
        <v>-109846.5</v>
      </c>
      <c r="AI1907" t="n">
        <v>0</v>
      </c>
    </row>
    <row r="1908">
      <c r="A1908" t="inlineStr">
        <is>
          <t>3월</t>
        </is>
      </c>
      <c r="B1908" t="inlineStr">
        <is>
          <t>10주차</t>
        </is>
      </c>
      <c r="C1908" t="inlineStr">
        <is>
          <t>IM</t>
        </is>
      </c>
      <c r="D1908" s="28" t="n">
        <v>46087</v>
      </c>
      <c r="E1908" t="inlineStr">
        <is>
          <t>IM캐피탈</t>
        </is>
      </c>
      <c r="F1908" t="inlineStr">
        <is>
          <t>심정규</t>
        </is>
      </c>
      <c r="G1908" t="inlineStr">
        <is>
          <t>010-8535-9628</t>
        </is>
      </c>
      <c r="H1908" t="inlineStr">
        <is>
          <t>25모2280</t>
        </is>
      </c>
      <c r="I1908" t="n">
        <v>10000000</v>
      </c>
      <c r="J1908" t="n">
        <v>0.056</v>
      </c>
      <c r="K1908" t="n">
        <v>1.1</v>
      </c>
      <c r="L1908" t="n">
        <v>0.14</v>
      </c>
      <c r="M1908" t="n">
        <v>0.96</v>
      </c>
      <c r="P1908" t="inlineStr">
        <is>
          <t>황채이</t>
        </is>
      </c>
      <c r="Q1908" t="inlineStr">
        <is>
          <t>홈서비스 36개월 / 공동명의</t>
        </is>
      </c>
      <c r="AB1908" t="inlineStr">
        <is>
          <t>홈서비스</t>
        </is>
      </c>
      <c r="AC1908" t="n">
        <v>110000</v>
      </c>
      <c r="AD1908" t="n">
        <v>14000</v>
      </c>
      <c r="AE1908" t="n">
        <v>96000</v>
      </c>
      <c r="AF1908" t="n">
        <v>100000</v>
      </c>
      <c r="AG1908" t="n">
        <v>13538</v>
      </c>
      <c r="AH1908" t="n">
        <v>86462</v>
      </c>
    </row>
    <row r="1909">
      <c r="A1909" t="inlineStr">
        <is>
          <t>3월</t>
        </is>
      </c>
      <c r="B1909" t="inlineStr">
        <is>
          <t>11주차</t>
        </is>
      </c>
      <c r="C1909" t="inlineStr">
        <is>
          <t>IM</t>
        </is>
      </c>
      <c r="D1909" s="28" t="n">
        <v>46092</v>
      </c>
      <c r="E1909" t="inlineStr">
        <is>
          <t>IM캐피탈</t>
        </is>
      </c>
      <c r="F1909" t="inlineStr">
        <is>
          <t>고연우</t>
        </is>
      </c>
      <c r="G1909" t="inlineStr">
        <is>
          <t>010-3949-3336</t>
        </is>
      </c>
      <c r="H1909" t="inlineStr">
        <is>
          <t>05보1411</t>
        </is>
      </c>
      <c r="I1909" t="n">
        <v>21900000</v>
      </c>
      <c r="J1909" t="n">
        <v>0.082</v>
      </c>
      <c r="K1909" t="n">
        <v>1.1</v>
      </c>
      <c r="L1909" t="n">
        <v>0.14</v>
      </c>
      <c r="M1909" t="n">
        <v>0.96</v>
      </c>
      <c r="P1909" t="inlineStr">
        <is>
          <t>김수연</t>
        </is>
      </c>
      <c r="Q1909" t="inlineStr">
        <is>
          <t>홈서비스 36개월/부대비용 추가진행</t>
        </is>
      </c>
      <c r="AB1909" t="inlineStr">
        <is>
          <t>홈서비스</t>
        </is>
      </c>
      <c r="AC1909" t="n">
        <v>240900</v>
      </c>
      <c r="AD1909" t="n">
        <v>30660</v>
      </c>
      <c r="AE1909" t="n">
        <v>210240</v>
      </c>
      <c r="AF1909" t="n">
        <v>219000</v>
      </c>
      <c r="AG1909" t="n">
        <v>29648.22</v>
      </c>
      <c r="AH1909" t="n">
        <v>189351.78</v>
      </c>
      <c r="AI1909" t="n">
        <v>0</v>
      </c>
    </row>
    <row r="1910">
      <c r="A1910" t="inlineStr">
        <is>
          <t>3월</t>
        </is>
      </c>
      <c r="B1910" t="inlineStr">
        <is>
          <t>10주차</t>
        </is>
      </c>
      <c r="C1910" t="inlineStr">
        <is>
          <t>EP</t>
        </is>
      </c>
      <c r="D1910" s="28" t="n">
        <v>46085</v>
      </c>
      <c r="E1910" t="inlineStr">
        <is>
          <t>제이비EP</t>
        </is>
      </c>
      <c r="F1910" t="inlineStr">
        <is>
          <t>문지성</t>
        </is>
      </c>
      <c r="G1910" t="inlineStr">
        <is>
          <t>010-6353-1108</t>
        </is>
      </c>
      <c r="H1910" t="inlineStr">
        <is>
          <t>280러1431</t>
        </is>
      </c>
      <c r="I1910" t="n">
        <v>19900000</v>
      </c>
      <c r="J1910" t="n">
        <v>0.08599999999999999</v>
      </c>
      <c r="K1910" t="n">
        <v>1.65</v>
      </c>
      <c r="L1910" t="n">
        <v>0.14</v>
      </c>
      <c r="M1910" t="n">
        <v>1.51</v>
      </c>
      <c r="P1910" t="inlineStr">
        <is>
          <t>박현민</t>
        </is>
      </c>
      <c r="Q1910" t="inlineStr">
        <is>
          <t>홈서비스 60개월</t>
        </is>
      </c>
      <c r="AB1910" t="inlineStr">
        <is>
          <t>홈서비스</t>
        </is>
      </c>
      <c r="AC1910" t="n">
        <v>328350</v>
      </c>
      <c r="AD1910" t="n">
        <v>27860</v>
      </c>
      <c r="AE1910" t="n">
        <v>300490</v>
      </c>
      <c r="AF1910" t="n">
        <v>298500</v>
      </c>
      <c r="AG1910" t="n">
        <v>26940.62</v>
      </c>
      <c r="AH1910" t="n">
        <v>271559.38</v>
      </c>
    </row>
    <row r="1911">
      <c r="A1911" t="inlineStr">
        <is>
          <t>3월</t>
        </is>
      </c>
      <c r="B1911" t="inlineStr">
        <is>
          <t>10주차</t>
        </is>
      </c>
      <c r="C1911" t="inlineStr">
        <is>
          <t>OR</t>
        </is>
      </c>
      <c r="D1911" s="28" t="n">
        <v>46087</v>
      </c>
      <c r="E1911" t="inlineStr">
        <is>
          <t>오릭스</t>
        </is>
      </c>
      <c r="F1911" t="inlineStr">
        <is>
          <t>조지연</t>
        </is>
      </c>
      <c r="G1911" t="inlineStr">
        <is>
          <t>010-4112-6479</t>
        </is>
      </c>
      <c r="H1911" t="inlineStr">
        <is>
          <t>185라7966</t>
        </is>
      </c>
      <c r="I1911" t="n">
        <v>46500000</v>
      </c>
      <c r="J1911" t="n">
        <v>0.054</v>
      </c>
      <c r="K1911" t="n">
        <v>1.65</v>
      </c>
      <c r="L1911" t="n">
        <v>0.14</v>
      </c>
      <c r="M1911" t="n">
        <v>1.51</v>
      </c>
      <c r="P1911" t="inlineStr">
        <is>
          <t>김나윤</t>
        </is>
      </c>
      <c r="Q1911" t="inlineStr">
        <is>
          <t>홈서비스 60개월</t>
        </is>
      </c>
      <c r="AB1911" t="inlineStr">
        <is>
          <t>홈서비스</t>
        </is>
      </c>
      <c r="AC1911" t="n">
        <v>767250</v>
      </c>
      <c r="AD1911" t="n">
        <v>65100</v>
      </c>
      <c r="AE1911" t="n">
        <v>702150</v>
      </c>
      <c r="AF1911" t="n">
        <v>697500</v>
      </c>
      <c r="AG1911" t="n">
        <v>62951.7</v>
      </c>
      <c r="AH1911" t="n">
        <v>634548.3</v>
      </c>
    </row>
    <row r="1912">
      <c r="A1912" t="inlineStr">
        <is>
          <t>3월</t>
        </is>
      </c>
      <c r="B1912" t="inlineStr">
        <is>
          <t>10주차</t>
        </is>
      </c>
      <c r="C1912" t="inlineStr">
        <is>
          <t>EP</t>
        </is>
      </c>
      <c r="D1912" s="28" t="n">
        <v>46087</v>
      </c>
      <c r="E1912" t="inlineStr">
        <is>
          <t>BNKEP</t>
        </is>
      </c>
      <c r="F1912" t="inlineStr">
        <is>
          <t>서성훈</t>
        </is>
      </c>
      <c r="G1912" t="inlineStr">
        <is>
          <t>010-3748-8777</t>
        </is>
      </c>
      <c r="H1912" t="inlineStr">
        <is>
          <t>31가9109</t>
        </is>
      </c>
      <c r="I1912" t="n">
        <v>14100000</v>
      </c>
      <c r="J1912" t="n">
        <v>0.094</v>
      </c>
      <c r="K1912" t="n">
        <v>1.65</v>
      </c>
      <c r="L1912" t="n">
        <v>0.14</v>
      </c>
      <c r="M1912" t="n">
        <v>1.51</v>
      </c>
      <c r="P1912" t="inlineStr">
        <is>
          <t>황채이</t>
        </is>
      </c>
      <c r="Q1912" t="inlineStr">
        <is>
          <t>홈서비스 60개월</t>
        </is>
      </c>
      <c r="AB1912" t="inlineStr">
        <is>
          <t>홈서비스</t>
        </is>
      </c>
      <c r="AC1912" t="n">
        <v>232650</v>
      </c>
      <c r="AD1912" t="n">
        <v>19740</v>
      </c>
      <c r="AE1912" t="n">
        <v>212910</v>
      </c>
      <c r="AF1912" t="n">
        <v>211500</v>
      </c>
      <c r="AG1912" t="n">
        <v>19088.58</v>
      </c>
      <c r="AH1912" t="n">
        <v>192411.42</v>
      </c>
    </row>
    <row r="1913">
      <c r="A1913" t="inlineStr">
        <is>
          <t>3월</t>
        </is>
      </c>
      <c r="B1913" t="inlineStr">
        <is>
          <t>11주차</t>
        </is>
      </c>
      <c r="C1913" t="inlineStr">
        <is>
          <t>EP</t>
        </is>
      </c>
      <c r="D1913" s="28" t="n">
        <v>46092</v>
      </c>
      <c r="E1913" t="inlineStr">
        <is>
          <t>현대EP_fast</t>
        </is>
      </c>
      <c r="F1913" t="inlineStr">
        <is>
          <t>김백송</t>
        </is>
      </c>
      <c r="G1913" t="inlineStr">
        <is>
          <t>010-2888-5647</t>
        </is>
      </c>
      <c r="H1913" t="inlineStr">
        <is>
          <t>63고6021</t>
        </is>
      </c>
      <c r="I1913" t="n">
        <v>3400000</v>
      </c>
      <c r="J1913" t="n">
        <v>0.075</v>
      </c>
      <c r="K1913" t="n">
        <v>1.76</v>
      </c>
      <c r="L1913" t="n">
        <v>0.14</v>
      </c>
      <c r="M1913" t="n">
        <v>1.62</v>
      </c>
      <c r="P1913" t="inlineStr">
        <is>
          <t>박소현</t>
        </is>
      </c>
      <c r="Q1913" t="inlineStr">
        <is>
          <t>홈서비스 24개월</t>
        </is>
      </c>
      <c r="AB1913" t="inlineStr">
        <is>
          <t>홈서비스</t>
        </is>
      </c>
      <c r="AC1913" t="n">
        <v>59840</v>
      </c>
      <c r="AD1913" t="n">
        <v>4760</v>
      </c>
      <c r="AE1913" t="n">
        <v>55080</v>
      </c>
      <c r="AF1913" t="n">
        <v>54400</v>
      </c>
      <c r="AG1913" t="n">
        <v>4602.92</v>
      </c>
      <c r="AH1913" t="n">
        <v>49797.08</v>
      </c>
    </row>
    <row r="1914">
      <c r="A1914" t="inlineStr">
        <is>
          <t>3월</t>
        </is>
      </c>
      <c r="B1914" t="inlineStr">
        <is>
          <t>10주차</t>
        </is>
      </c>
      <c r="C1914" t="inlineStr">
        <is>
          <t>IM</t>
        </is>
      </c>
      <c r="D1914" s="28" t="n">
        <v>46087</v>
      </c>
      <c r="E1914" t="inlineStr">
        <is>
          <t>IM캐피탈</t>
        </is>
      </c>
      <c r="F1914" t="inlineStr">
        <is>
          <t>송성구</t>
        </is>
      </c>
      <c r="G1914" t="inlineStr">
        <is>
          <t>010-7410-0823</t>
        </is>
      </c>
      <c r="H1914" t="inlineStr">
        <is>
          <t>328나7750</t>
        </is>
      </c>
      <c r="I1914" t="n">
        <v>14000000</v>
      </c>
      <c r="J1914" t="n">
        <v>0.059</v>
      </c>
      <c r="K1914" t="n">
        <v>1.1</v>
      </c>
      <c r="L1914" t="n">
        <v>0.14</v>
      </c>
      <c r="M1914" t="n">
        <v>0.96</v>
      </c>
      <c r="P1914" t="inlineStr">
        <is>
          <t>황채이</t>
        </is>
      </c>
      <c r="Q1914" t="inlineStr">
        <is>
          <t>홈서비스 36개월</t>
        </is>
      </c>
      <c r="AB1914" t="inlineStr">
        <is>
          <t>홈서비스</t>
        </is>
      </c>
      <c r="AC1914" t="n">
        <v>154000</v>
      </c>
      <c r="AD1914" t="n">
        <v>19600</v>
      </c>
      <c r="AE1914" t="n">
        <v>134400</v>
      </c>
      <c r="AF1914" t="n">
        <v>140000</v>
      </c>
      <c r="AG1914" t="n">
        <v>18953.2</v>
      </c>
      <c r="AH1914" t="n">
        <v>121046.8</v>
      </c>
    </row>
    <row r="1915">
      <c r="A1915" t="inlineStr">
        <is>
          <t>3월</t>
        </is>
      </c>
      <c r="B1915" t="inlineStr">
        <is>
          <t>10주차</t>
        </is>
      </c>
      <c r="C1915" t="inlineStr">
        <is>
          <t>EP</t>
        </is>
      </c>
      <c r="D1915" s="28" t="n">
        <v>46086</v>
      </c>
      <c r="E1915" t="inlineStr">
        <is>
          <t>현대EP_fast</t>
        </is>
      </c>
      <c r="F1915" t="inlineStr">
        <is>
          <t>김연성</t>
        </is>
      </c>
      <c r="G1915" t="inlineStr">
        <is>
          <t>010-8802-8229</t>
        </is>
      </c>
      <c r="H1915" t="inlineStr">
        <is>
          <t>31로8001</t>
        </is>
      </c>
      <c r="I1915" t="n">
        <v>-5400000</v>
      </c>
      <c r="J1915" t="n">
        <v>0.08699999999999999</v>
      </c>
      <c r="K1915" t="n">
        <v>1.21</v>
      </c>
      <c r="L1915" t="n">
        <v>0.14</v>
      </c>
      <c r="M1915" t="n">
        <v>1.07</v>
      </c>
      <c r="P1915" t="inlineStr">
        <is>
          <t>정하은</t>
        </is>
      </c>
      <c r="Q1915" t="inlineStr">
        <is>
          <t>선상담 / 홈서비스 60개월 기조회 금리 원복(9% &gt; 8.7%)</t>
        </is>
      </c>
      <c r="AB1915" t="inlineStr">
        <is>
          <t>홈서비스</t>
        </is>
      </c>
      <c r="AC1915" t="n">
        <v>-65340</v>
      </c>
      <c r="AD1915" t="n">
        <v>-7560</v>
      </c>
      <c r="AE1915" t="n">
        <v>-57780</v>
      </c>
      <c r="AF1915" t="n">
        <v>-59400</v>
      </c>
      <c r="AG1915" t="n">
        <v>-7310.52</v>
      </c>
      <c r="AH1915" t="n">
        <v>-52089.48</v>
      </c>
      <c r="AI1915" t="n">
        <v>0</v>
      </c>
    </row>
    <row r="1916">
      <c r="A1916" t="inlineStr">
        <is>
          <t>3월</t>
        </is>
      </c>
      <c r="B1916" t="inlineStr">
        <is>
          <t>10주차</t>
        </is>
      </c>
      <c r="C1916" t="inlineStr">
        <is>
          <t>EP</t>
        </is>
      </c>
      <c r="D1916" s="28" t="n">
        <v>46083</v>
      </c>
      <c r="E1916" t="inlineStr">
        <is>
          <t>현대EP</t>
        </is>
      </c>
      <c r="F1916" t="inlineStr">
        <is>
          <t>이민혁</t>
        </is>
      </c>
      <c r="G1916" t="inlineStr">
        <is>
          <t>010-7696-9992</t>
        </is>
      </c>
      <c r="H1916" t="inlineStr">
        <is>
          <t>283모9597</t>
        </is>
      </c>
      <c r="I1916" t="n">
        <v>15000000</v>
      </c>
      <c r="J1916" t="n">
        <v>0.06900000000000001</v>
      </c>
      <c r="K1916" t="n">
        <v>1.76</v>
      </c>
      <c r="L1916" t="n">
        <v>0.14</v>
      </c>
      <c r="M1916" t="n">
        <v>1.62</v>
      </c>
      <c r="P1916" t="inlineStr">
        <is>
          <t>정세빈</t>
        </is>
      </c>
      <c r="Q1916" t="inlineStr">
        <is>
          <t>홈서비스 60개월</t>
        </is>
      </c>
      <c r="AB1916" t="inlineStr">
        <is>
          <t>홈서비스</t>
        </is>
      </c>
      <c r="AC1916" t="n">
        <v>264000</v>
      </c>
      <c r="AD1916" t="n">
        <v>21000</v>
      </c>
      <c r="AE1916" t="n">
        <v>243000</v>
      </c>
      <c r="AF1916" t="n">
        <v>240000</v>
      </c>
      <c r="AG1916" t="n">
        <v>20307</v>
      </c>
      <c r="AH1916" t="n">
        <v>219693</v>
      </c>
    </row>
    <row r="1917">
      <c r="A1917" t="inlineStr">
        <is>
          <t>3월</t>
        </is>
      </c>
      <c r="B1917" t="inlineStr">
        <is>
          <t>11주차</t>
        </is>
      </c>
      <c r="C1917" t="inlineStr">
        <is>
          <t>EP</t>
        </is>
      </c>
      <c r="D1917" s="28" t="n">
        <v>46090</v>
      </c>
      <c r="E1917" t="inlineStr">
        <is>
          <t>현대EP</t>
        </is>
      </c>
      <c r="F1917" t="inlineStr">
        <is>
          <t>박천순</t>
        </is>
      </c>
      <c r="G1917" t="inlineStr">
        <is>
          <t>010-4011-0707</t>
        </is>
      </c>
      <c r="H1917" t="inlineStr">
        <is>
          <t>28나6581</t>
        </is>
      </c>
      <c r="I1917" t="n">
        <v>42900000</v>
      </c>
      <c r="J1917" t="n">
        <v>0.081</v>
      </c>
      <c r="K1917" t="n">
        <v>1.76</v>
      </c>
      <c r="L1917" t="n">
        <v>0.14</v>
      </c>
      <c r="M1917" t="n">
        <v>1.62</v>
      </c>
      <c r="P1917" t="inlineStr">
        <is>
          <t>황채이</t>
        </is>
      </c>
      <c r="Q1917" t="inlineStr">
        <is>
          <t>홈서비스 60개월</t>
        </is>
      </c>
      <c r="AB1917" t="inlineStr">
        <is>
          <t>홈서비스</t>
        </is>
      </c>
      <c r="AC1917" t="n">
        <v>755040</v>
      </c>
      <c r="AD1917" t="n">
        <v>60060</v>
      </c>
      <c r="AE1917" t="n">
        <v>694980</v>
      </c>
      <c r="AF1917" t="n">
        <v>686400</v>
      </c>
      <c r="AG1917" t="n">
        <v>58078.02</v>
      </c>
      <c r="AH1917" t="n">
        <v>628321.98</v>
      </c>
      <c r="AI1917" t="n">
        <v>0</v>
      </c>
    </row>
    <row r="1918">
      <c r="A1918" t="inlineStr">
        <is>
          <t>3월</t>
        </is>
      </c>
      <c r="B1918" t="inlineStr">
        <is>
          <t>10주차</t>
        </is>
      </c>
      <c r="C1918" t="inlineStr">
        <is>
          <t>IM</t>
        </is>
      </c>
      <c r="D1918" s="28" t="n">
        <v>46087</v>
      </c>
      <c r="E1918" t="inlineStr">
        <is>
          <t>IM캐피탈</t>
        </is>
      </c>
      <c r="F1918" t="inlineStr">
        <is>
          <t>최영현</t>
        </is>
      </c>
      <c r="G1918" t="inlineStr">
        <is>
          <t>010-9866-9611</t>
        </is>
      </c>
      <c r="H1918" t="inlineStr">
        <is>
          <t>103보1910</t>
        </is>
      </c>
      <c r="I1918" t="n">
        <v>9500000</v>
      </c>
      <c r="J1918" t="n">
        <v>0.049</v>
      </c>
      <c r="K1918" t="n">
        <v>1.1</v>
      </c>
      <c r="L1918" t="n">
        <v>0.14</v>
      </c>
      <c r="M1918" t="n">
        <v>0.96</v>
      </c>
      <c r="P1918" t="inlineStr">
        <is>
          <t>정하은</t>
        </is>
      </c>
      <c r="Q1918" t="inlineStr">
        <is>
          <t>선상담 /홈서비스72개월</t>
        </is>
      </c>
      <c r="AB1918" t="inlineStr">
        <is>
          <t>홈서비스</t>
        </is>
      </c>
      <c r="AC1918" t="n">
        <v>104500</v>
      </c>
      <c r="AD1918" t="n">
        <v>13300</v>
      </c>
      <c r="AE1918" t="n">
        <v>91200</v>
      </c>
      <c r="AF1918" t="n">
        <v>95000</v>
      </c>
      <c r="AG1918" t="n">
        <v>12861.1</v>
      </c>
      <c r="AH1918" t="n">
        <v>82138.89999999999</v>
      </c>
      <c r="AI1918" t="n">
        <v>0</v>
      </c>
    </row>
    <row r="1919">
      <c r="A1919" t="inlineStr">
        <is>
          <t>3월</t>
        </is>
      </c>
      <c r="B1919" t="inlineStr">
        <is>
          <t>10주차</t>
        </is>
      </c>
      <c r="C1919" t="inlineStr">
        <is>
          <t>OR</t>
        </is>
      </c>
      <c r="D1919" s="28" t="n">
        <v>46087</v>
      </c>
      <c r="E1919" t="inlineStr">
        <is>
          <t>오릭스</t>
        </is>
      </c>
      <c r="F1919" t="inlineStr">
        <is>
          <t>강정우</t>
        </is>
      </c>
      <c r="G1919" t="inlineStr">
        <is>
          <t>010-4644-9710</t>
        </is>
      </c>
      <c r="H1919" t="inlineStr">
        <is>
          <t>32누6911</t>
        </is>
      </c>
      <c r="I1919" t="n">
        <v>15000000</v>
      </c>
      <c r="J1919" t="n">
        <v>0.064</v>
      </c>
      <c r="K1919" t="n">
        <v>1.65</v>
      </c>
      <c r="L1919" t="n">
        <v>0.4</v>
      </c>
      <c r="M1919" t="n">
        <v>1.25</v>
      </c>
      <c r="P1919" t="inlineStr">
        <is>
          <t>장현경</t>
        </is>
      </c>
      <c r="AB1919" t="inlineStr">
        <is>
          <t>엔카</t>
        </is>
      </c>
      <c r="AC1919" t="n">
        <v>247500</v>
      </c>
      <c r="AD1919" t="n">
        <v>60000</v>
      </c>
      <c r="AE1919" t="n">
        <v>187500</v>
      </c>
      <c r="AF1919" t="n">
        <v>225000</v>
      </c>
      <c r="AG1919" t="n">
        <v>58020</v>
      </c>
      <c r="AH1919" t="n">
        <v>166980</v>
      </c>
      <c r="AI1919" t="n">
        <v>0</v>
      </c>
    </row>
    <row r="1920">
      <c r="A1920" t="inlineStr">
        <is>
          <t>3월</t>
        </is>
      </c>
      <c r="B1920" t="inlineStr">
        <is>
          <t>10주차</t>
        </is>
      </c>
      <c r="C1920" t="inlineStr">
        <is>
          <t>EP</t>
        </is>
      </c>
      <c r="D1920" s="28" t="n">
        <v>46085</v>
      </c>
      <c r="E1920" t="inlineStr">
        <is>
          <t>현대EP</t>
        </is>
      </c>
      <c r="F1920" t="inlineStr">
        <is>
          <t>오영민</t>
        </is>
      </c>
      <c r="G1920" t="inlineStr">
        <is>
          <t>010-9003-6817</t>
        </is>
      </c>
      <c r="H1920" t="inlineStr">
        <is>
          <t>261오7895</t>
        </is>
      </c>
      <c r="I1920" t="n">
        <v>67900000</v>
      </c>
      <c r="J1920" t="n">
        <v>0.079</v>
      </c>
      <c r="K1920" t="n">
        <v>1.76</v>
      </c>
      <c r="L1920" t="n">
        <v>0.14</v>
      </c>
      <c r="M1920" t="n">
        <v>1.62</v>
      </c>
      <c r="P1920" t="inlineStr">
        <is>
          <t>최형주</t>
        </is>
      </c>
      <c r="Q1920" t="inlineStr">
        <is>
          <t>홈서비스 60개월</t>
        </is>
      </c>
      <c r="AB1920" t="inlineStr">
        <is>
          <t>홈서비스</t>
        </is>
      </c>
      <c r="AC1920" t="n">
        <v>1195040</v>
      </c>
      <c r="AD1920" t="n">
        <v>95060</v>
      </c>
      <c r="AE1920" t="n">
        <v>1099980</v>
      </c>
      <c r="AF1920" t="n">
        <v>1086400</v>
      </c>
      <c r="AG1920" t="n">
        <v>91923.02</v>
      </c>
      <c r="AH1920" t="n">
        <v>994476.98</v>
      </c>
      <c r="AI1920" t="n">
        <v>0</v>
      </c>
    </row>
    <row r="1921">
      <c r="A1921" t="inlineStr">
        <is>
          <t>2월</t>
        </is>
      </c>
      <c r="B1921" t="inlineStr">
        <is>
          <t>9주차</t>
        </is>
      </c>
      <c r="C1921" t="inlineStr">
        <is>
          <t>EP</t>
        </is>
      </c>
      <c r="D1921" s="28" t="n">
        <v>46080</v>
      </c>
      <c r="E1921" t="inlineStr">
        <is>
          <t>현대EP_fast</t>
        </is>
      </c>
      <c r="F1921" t="inlineStr">
        <is>
          <t>김지안</t>
        </is>
      </c>
      <c r="G1921" t="inlineStr">
        <is>
          <t>010-5604-5766</t>
        </is>
      </c>
      <c r="H1921" t="inlineStr">
        <is>
          <t>180누6254</t>
        </is>
      </c>
      <c r="I1921" t="n">
        <v>29900000</v>
      </c>
      <c r="J1921" t="n">
        <v>0.11</v>
      </c>
      <c r="K1921" t="n">
        <v>1.76</v>
      </c>
      <c r="L1921" t="n">
        <v>0.14</v>
      </c>
      <c r="M1921" t="n">
        <v>1.62</v>
      </c>
      <c r="P1921" t="inlineStr">
        <is>
          <t>장현경</t>
        </is>
      </c>
      <c r="Q1921" t="inlineStr">
        <is>
          <t>선상담 홈서비스 60개월 / 금리인하 0.5% 적용건 (11.5 &gt; 11)</t>
        </is>
      </c>
      <c r="AB1921" t="inlineStr">
        <is>
          <t>홈서비스</t>
        </is>
      </c>
      <c r="AC1921" t="n">
        <v>526240</v>
      </c>
      <c r="AD1921" t="n">
        <v>41860</v>
      </c>
      <c r="AE1921" t="n">
        <v>484380</v>
      </c>
      <c r="AF1921" t="n">
        <v>478400</v>
      </c>
      <c r="AG1921" t="n">
        <v>40478.62</v>
      </c>
      <c r="AH1921" t="n">
        <v>437921.38</v>
      </c>
      <c r="AI1921" t="n">
        <v>0</v>
      </c>
    </row>
    <row r="1922">
      <c r="A1922" t="inlineStr">
        <is>
          <t>3월</t>
        </is>
      </c>
      <c r="B1922" t="inlineStr">
        <is>
          <t>10주차</t>
        </is>
      </c>
      <c r="C1922" t="inlineStr">
        <is>
          <t>EP</t>
        </is>
      </c>
      <c r="D1922" s="28" t="n">
        <v>46084</v>
      </c>
      <c r="E1922" t="inlineStr">
        <is>
          <t>현대EP</t>
        </is>
      </c>
      <c r="F1922" t="inlineStr">
        <is>
          <t>김연준</t>
        </is>
      </c>
      <c r="G1922" t="inlineStr">
        <is>
          <t>010-2719-9497</t>
        </is>
      </c>
      <c r="H1922" t="inlineStr">
        <is>
          <t>22도6763</t>
        </is>
      </c>
      <c r="I1922" t="n">
        <v>4600000</v>
      </c>
      <c r="J1922" t="n">
        <v>0.079</v>
      </c>
      <c r="K1922" t="n">
        <v>1.76</v>
      </c>
      <c r="L1922" t="n">
        <v>0.14</v>
      </c>
      <c r="M1922" t="n">
        <v>1.62</v>
      </c>
      <c r="P1922" t="inlineStr">
        <is>
          <t>최형주</t>
        </is>
      </c>
      <c r="Q1922" t="inlineStr">
        <is>
          <t>홈서비스 48개월</t>
        </is>
      </c>
      <c r="AB1922" t="inlineStr">
        <is>
          <t>홈서비스</t>
        </is>
      </c>
      <c r="AC1922" t="n">
        <v>80960</v>
      </c>
      <c r="AD1922" t="n">
        <v>6440</v>
      </c>
      <c r="AE1922" t="n">
        <v>74520</v>
      </c>
      <c r="AF1922" t="n">
        <v>73600</v>
      </c>
      <c r="AG1922" t="n">
        <v>6227.48</v>
      </c>
      <c r="AH1922" t="n">
        <v>67372.52</v>
      </c>
    </row>
    <row r="1923">
      <c r="A1923" t="inlineStr">
        <is>
          <t>3월</t>
        </is>
      </c>
      <c r="B1923" t="inlineStr">
        <is>
          <t>10주차</t>
        </is>
      </c>
      <c r="C1923" t="inlineStr">
        <is>
          <t>EP</t>
        </is>
      </c>
      <c r="D1923" s="28" t="n">
        <v>46084</v>
      </c>
      <c r="E1923" t="inlineStr">
        <is>
          <t>BNKEP</t>
        </is>
      </c>
      <c r="F1923" t="inlineStr">
        <is>
          <t>이동현</t>
        </is>
      </c>
      <c r="G1923" t="inlineStr">
        <is>
          <t>010-6311-3331</t>
        </is>
      </c>
      <c r="H1923" t="inlineStr">
        <is>
          <t>337노8333</t>
        </is>
      </c>
      <c r="I1923" t="n">
        <v>48000000</v>
      </c>
      <c r="J1923" t="n">
        <v>0.097</v>
      </c>
      <c r="K1923" t="n">
        <v>1.65</v>
      </c>
      <c r="L1923" t="n">
        <v>0.4</v>
      </c>
      <c r="M1923" t="n">
        <v>1.25</v>
      </c>
      <c r="P1923" t="inlineStr">
        <is>
          <t>장현경</t>
        </is>
      </c>
      <c r="AB1923" t="inlineStr">
        <is>
          <t>엔카</t>
        </is>
      </c>
      <c r="AC1923" t="n">
        <v>792000</v>
      </c>
      <c r="AD1923" t="n">
        <v>192000</v>
      </c>
      <c r="AE1923" t="n">
        <v>600000</v>
      </c>
      <c r="AF1923" t="n">
        <v>720000</v>
      </c>
      <c r="AG1923" t="n">
        <v>185664</v>
      </c>
      <c r="AH1923" t="n">
        <v>534336</v>
      </c>
      <c r="AI1923" t="n">
        <v>0</v>
      </c>
    </row>
    <row r="1924">
      <c r="A1924" t="inlineStr">
        <is>
          <t>3월</t>
        </is>
      </c>
      <c r="B1924" t="inlineStr">
        <is>
          <t>10주차</t>
        </is>
      </c>
      <c r="C1924" t="inlineStr">
        <is>
          <t>EP</t>
        </is>
      </c>
      <c r="D1924" s="28" t="n">
        <v>46084</v>
      </c>
      <c r="E1924" t="inlineStr">
        <is>
          <t>현대EP_fast</t>
        </is>
      </c>
      <c r="F1924" t="inlineStr">
        <is>
          <t>이순영</t>
        </is>
      </c>
      <c r="G1924" t="inlineStr">
        <is>
          <t>010-3340-7678</t>
        </is>
      </c>
      <c r="H1924" t="inlineStr">
        <is>
          <t>42러5658</t>
        </is>
      </c>
      <c r="I1924" t="n">
        <v>3000000</v>
      </c>
      <c r="J1924" t="n">
        <v>0.08500000000000001</v>
      </c>
      <c r="K1924" t="n">
        <v>1.76</v>
      </c>
      <c r="L1924" t="n">
        <v>0.14</v>
      </c>
      <c r="M1924" t="n">
        <v>1.62</v>
      </c>
      <c r="P1924" t="inlineStr">
        <is>
          <t>최형주</t>
        </is>
      </c>
      <c r="Q1924" t="inlineStr">
        <is>
          <t>홈서비스 24개월</t>
        </is>
      </c>
      <c r="AB1924" t="inlineStr">
        <is>
          <t>홈서비스</t>
        </is>
      </c>
      <c r="AC1924" t="n">
        <v>52800</v>
      </c>
      <c r="AD1924" t="n">
        <v>4200</v>
      </c>
      <c r="AE1924" t="n">
        <v>48600</v>
      </c>
      <c r="AF1924" t="n">
        <v>48000</v>
      </c>
      <c r="AG1924" t="n">
        <v>4061.4</v>
      </c>
      <c r="AH1924" t="n">
        <v>43938.6</v>
      </c>
    </row>
    <row r="1925">
      <c r="A1925" t="inlineStr">
        <is>
          <t>3월</t>
        </is>
      </c>
      <c r="B1925" t="inlineStr">
        <is>
          <t>10주차</t>
        </is>
      </c>
      <c r="C1925" t="inlineStr">
        <is>
          <t>EP</t>
        </is>
      </c>
      <c r="D1925" s="28" t="n">
        <v>46087</v>
      </c>
      <c r="E1925" t="inlineStr">
        <is>
          <t>현대EP_fast</t>
        </is>
      </c>
      <c r="F1925" t="inlineStr">
        <is>
          <t>장세정</t>
        </is>
      </c>
      <c r="G1925" t="inlineStr">
        <is>
          <t>010-7148-8795</t>
        </is>
      </c>
      <c r="H1925" t="inlineStr">
        <is>
          <t>51마0229</t>
        </is>
      </c>
      <c r="I1925" t="n">
        <v>5700000</v>
      </c>
      <c r="J1925" t="n">
        <v>0.075</v>
      </c>
      <c r="K1925" t="n">
        <v>1.76</v>
      </c>
      <c r="L1925" t="n">
        <v>0.14</v>
      </c>
      <c r="M1925" t="n">
        <v>1.62</v>
      </c>
      <c r="P1925" t="inlineStr">
        <is>
          <t>최형주</t>
        </is>
      </c>
      <c r="Q1925" t="inlineStr">
        <is>
          <t>홈서비스 60개월</t>
        </is>
      </c>
      <c r="AB1925" t="inlineStr">
        <is>
          <t>홈서비스</t>
        </is>
      </c>
      <c r="AC1925" t="n">
        <v>100320</v>
      </c>
      <c r="AD1925" t="n">
        <v>7980</v>
      </c>
      <c r="AE1925" t="n">
        <v>92340</v>
      </c>
      <c r="AF1925" t="n">
        <v>91200</v>
      </c>
      <c r="AG1925" t="n">
        <v>7716.66</v>
      </c>
      <c r="AH1925" t="n">
        <v>83483.34</v>
      </c>
      <c r="AI1925" t="n">
        <v>0</v>
      </c>
    </row>
    <row r="1926">
      <c r="A1926" t="inlineStr">
        <is>
          <t>3월</t>
        </is>
      </c>
      <c r="B1926" t="inlineStr">
        <is>
          <t>10주차</t>
        </is>
      </c>
      <c r="C1926" t="inlineStr">
        <is>
          <t>EP</t>
        </is>
      </c>
      <c r="D1926" s="28" t="n">
        <v>46087</v>
      </c>
      <c r="E1926" t="inlineStr">
        <is>
          <t>현대EP_fast</t>
        </is>
      </c>
      <c r="F1926" t="inlineStr">
        <is>
          <t>백동현</t>
        </is>
      </c>
      <c r="G1926" t="inlineStr">
        <is>
          <t>010-9996-1930</t>
        </is>
      </c>
      <c r="H1926" t="inlineStr">
        <is>
          <t>293고1475</t>
        </is>
      </c>
      <c r="I1926" t="n">
        <v>31900000</v>
      </c>
      <c r="J1926" t="n">
        <v>0.08500000000000001</v>
      </c>
      <c r="K1926" t="n">
        <v>1.76</v>
      </c>
      <c r="L1926" t="n">
        <v>0.14</v>
      </c>
      <c r="M1926" t="n">
        <v>1.62</v>
      </c>
      <c r="P1926" t="inlineStr">
        <is>
          <t>최형주</t>
        </is>
      </c>
      <c r="Q1926" t="inlineStr">
        <is>
          <t>홈서비스 60개월</t>
        </is>
      </c>
      <c r="AB1926" t="inlineStr">
        <is>
          <t>홈서비스</t>
        </is>
      </c>
      <c r="AC1926" t="n">
        <v>561440</v>
      </c>
      <c r="AD1926" t="n">
        <v>44660</v>
      </c>
      <c r="AE1926" t="n">
        <v>516780</v>
      </c>
      <c r="AF1926" t="n">
        <v>510400</v>
      </c>
      <c r="AG1926" t="n">
        <v>43186.22</v>
      </c>
      <c r="AH1926" t="n">
        <v>467213.78</v>
      </c>
      <c r="AI1926" t="n">
        <v>0</v>
      </c>
    </row>
    <row r="1927">
      <c r="A1927" t="inlineStr">
        <is>
          <t>3월</t>
        </is>
      </c>
      <c r="B1927" t="inlineStr">
        <is>
          <t>10주차</t>
        </is>
      </c>
      <c r="C1927" t="inlineStr">
        <is>
          <t>EP</t>
        </is>
      </c>
      <c r="D1927" s="28" t="n">
        <v>46085</v>
      </c>
      <c r="E1927" t="inlineStr">
        <is>
          <t>현대EP</t>
        </is>
      </c>
      <c r="F1927" t="inlineStr">
        <is>
          <t>김현규</t>
        </is>
      </c>
      <c r="G1927" t="inlineStr">
        <is>
          <t>010-3361-7252</t>
        </is>
      </c>
      <c r="H1927" t="inlineStr">
        <is>
          <t>210고3533</t>
        </is>
      </c>
      <c r="I1927" t="n">
        <v>11200000</v>
      </c>
      <c r="J1927" t="n">
        <v>0.094</v>
      </c>
      <c r="K1927" t="n">
        <v>1.76</v>
      </c>
      <c r="L1927" t="n">
        <v>0.14</v>
      </c>
      <c r="M1927" t="n">
        <v>1.62</v>
      </c>
      <c r="P1927" t="inlineStr">
        <is>
          <t>박보람</t>
        </is>
      </c>
      <c r="Q1927" t="inlineStr">
        <is>
          <t>홈서비스 48개월</t>
        </is>
      </c>
      <c r="AB1927" t="inlineStr">
        <is>
          <t>홈서비스</t>
        </is>
      </c>
      <c r="AC1927" t="n">
        <v>197120</v>
      </c>
      <c r="AD1927" t="n">
        <v>15680</v>
      </c>
      <c r="AE1927" t="n">
        <v>181440</v>
      </c>
      <c r="AF1927" t="n">
        <v>179200</v>
      </c>
      <c r="AG1927" t="n">
        <v>15162.56</v>
      </c>
      <c r="AH1927" t="n">
        <v>164037.44</v>
      </c>
      <c r="AI1927" t="n">
        <v>0</v>
      </c>
    </row>
    <row r="1928">
      <c r="A1928" t="inlineStr">
        <is>
          <t>3월</t>
        </is>
      </c>
      <c r="B1928" t="inlineStr">
        <is>
          <t>11주차</t>
        </is>
      </c>
      <c r="C1928" t="inlineStr">
        <is>
          <t>EP</t>
        </is>
      </c>
      <c r="D1928" s="28" t="n">
        <v>46090</v>
      </c>
      <c r="E1928" t="inlineStr">
        <is>
          <t>현대EP_fast</t>
        </is>
      </c>
      <c r="F1928" t="inlineStr">
        <is>
          <t>윤영진</t>
        </is>
      </c>
      <c r="G1928" t="inlineStr">
        <is>
          <t>010-3377-7516</t>
        </is>
      </c>
      <c r="H1928" t="inlineStr">
        <is>
          <t>22오3255</t>
        </is>
      </c>
      <c r="I1928" t="n">
        <v>7000000</v>
      </c>
      <c r="J1928" t="n">
        <v>0.117</v>
      </c>
      <c r="K1928" t="n">
        <v>1.76</v>
      </c>
      <c r="L1928" t="n">
        <v>0.5</v>
      </c>
      <c r="M1928" t="n">
        <v>1.26</v>
      </c>
      <c r="P1928" t="inlineStr">
        <is>
          <t>정하은</t>
        </is>
      </c>
      <c r="AB1928" t="inlineStr">
        <is>
          <t>엔카</t>
        </is>
      </c>
      <c r="AC1928" t="n">
        <v>123200</v>
      </c>
      <c r="AD1928" t="n">
        <v>35000</v>
      </c>
      <c r="AE1928" t="n">
        <v>88200</v>
      </c>
      <c r="AF1928" t="n">
        <v>112000</v>
      </c>
      <c r="AG1928" t="n">
        <v>33845</v>
      </c>
      <c r="AH1928" t="n">
        <v>78155</v>
      </c>
      <c r="AI1928" t="n">
        <v>0</v>
      </c>
    </row>
    <row r="1929">
      <c r="A1929" t="inlineStr">
        <is>
          <t>3월</t>
        </is>
      </c>
      <c r="B1929" t="inlineStr">
        <is>
          <t>10주차</t>
        </is>
      </c>
      <c r="C1929" t="inlineStr">
        <is>
          <t>IM</t>
        </is>
      </c>
      <c r="D1929" s="28" t="n">
        <v>46088</v>
      </c>
      <c r="E1929" t="inlineStr">
        <is>
          <t>IM캐피탈</t>
        </is>
      </c>
      <c r="F1929" t="inlineStr">
        <is>
          <t>양정모</t>
        </is>
      </c>
      <c r="G1929" t="inlineStr">
        <is>
          <t>010-2950-0859</t>
        </is>
      </c>
      <c r="H1929" t="inlineStr">
        <is>
          <t xml:space="preserve">01나3385 </t>
        </is>
      </c>
      <c r="I1929" t="n">
        <v>27000000</v>
      </c>
      <c r="J1929" t="n">
        <v>0.039</v>
      </c>
      <c r="K1929" t="n">
        <v>1.1</v>
      </c>
      <c r="L1929" t="n">
        <v>0.5</v>
      </c>
      <c r="M1929" t="n">
        <v>0.6</v>
      </c>
      <c r="P1929" t="inlineStr">
        <is>
          <t>정하은</t>
        </is>
      </c>
      <c r="AB1929" t="inlineStr">
        <is>
          <t>엔카</t>
        </is>
      </c>
      <c r="AC1929" t="n">
        <v>297000</v>
      </c>
      <c r="AD1929" t="n">
        <v>135000</v>
      </c>
      <c r="AE1929" t="n">
        <v>162000</v>
      </c>
      <c r="AF1929" t="n">
        <v>270000</v>
      </c>
      <c r="AG1929" t="n">
        <v>130545</v>
      </c>
      <c r="AH1929" t="n">
        <v>139455</v>
      </c>
      <c r="AI1929" t="n">
        <v>0</v>
      </c>
    </row>
    <row r="1930">
      <c r="A1930" t="inlineStr">
        <is>
          <t>3월</t>
        </is>
      </c>
      <c r="B1930" t="inlineStr">
        <is>
          <t>11주차</t>
        </is>
      </c>
      <c r="C1930" t="inlineStr">
        <is>
          <t>EP</t>
        </is>
      </c>
      <c r="D1930" s="28" t="n">
        <v>46091</v>
      </c>
      <c r="E1930" t="inlineStr">
        <is>
          <t>현대EP</t>
        </is>
      </c>
      <c r="F1930" t="inlineStr">
        <is>
          <t>남인우</t>
        </is>
      </c>
      <c r="G1930" t="inlineStr">
        <is>
          <t>010-2407-4589</t>
        </is>
      </c>
      <c r="H1930" t="inlineStr">
        <is>
          <t>46머4871</t>
        </is>
      </c>
      <c r="I1930" t="n">
        <v>17000000</v>
      </c>
      <c r="J1930" t="n">
        <v>0.07199999999999999</v>
      </c>
      <c r="K1930" t="n">
        <v>1.76</v>
      </c>
      <c r="L1930" t="n">
        <v>0.14</v>
      </c>
      <c r="M1930" t="n">
        <v>1.62</v>
      </c>
      <c r="P1930" t="inlineStr">
        <is>
          <t>최형주</t>
        </is>
      </c>
      <c r="Q1930" t="inlineStr">
        <is>
          <t>홈서비스 36개월</t>
        </is>
      </c>
      <c r="AB1930" t="inlineStr">
        <is>
          <t>홈서비스</t>
        </is>
      </c>
      <c r="AC1930" t="n">
        <v>299200</v>
      </c>
      <c r="AD1930" t="n">
        <v>23800</v>
      </c>
      <c r="AE1930" t="n">
        <v>275400</v>
      </c>
      <c r="AF1930" t="n">
        <v>272000</v>
      </c>
      <c r="AG1930" t="n">
        <v>23014.6</v>
      </c>
      <c r="AH1930" t="n">
        <v>248985.4</v>
      </c>
      <c r="AI1930" t="n">
        <v>0</v>
      </c>
    </row>
    <row r="1931">
      <c r="A1931" t="inlineStr">
        <is>
          <t>3월</t>
        </is>
      </c>
      <c r="B1931" t="inlineStr">
        <is>
          <t>10주차</t>
        </is>
      </c>
      <c r="C1931" t="inlineStr">
        <is>
          <t>EP</t>
        </is>
      </c>
      <c r="D1931" s="28" t="n">
        <v>46088</v>
      </c>
      <c r="E1931" t="inlineStr">
        <is>
          <t>현대EP_fast</t>
        </is>
      </c>
      <c r="F1931" t="inlineStr">
        <is>
          <t>김수경</t>
        </is>
      </c>
      <c r="G1931" t="inlineStr">
        <is>
          <t>010-5287-1831</t>
        </is>
      </c>
      <c r="H1931" t="inlineStr">
        <is>
          <t xml:space="preserve">299소5703 </t>
        </is>
      </c>
      <c r="I1931" t="n">
        <v>10000000</v>
      </c>
      <c r="J1931" t="n">
        <v>0.118</v>
      </c>
      <c r="K1931" t="n">
        <v>1.76</v>
      </c>
      <c r="L1931" t="n">
        <v>0.14</v>
      </c>
      <c r="M1931" t="n">
        <v>1.62</v>
      </c>
      <c r="P1931" t="inlineStr">
        <is>
          <t>정하은</t>
        </is>
      </c>
      <c r="Q1931" t="inlineStr">
        <is>
          <t>홈서비스 60개월</t>
        </is>
      </c>
      <c r="AB1931" t="inlineStr">
        <is>
          <t>홈서비스</t>
        </is>
      </c>
      <c r="AC1931" t="n">
        <v>176000</v>
      </c>
      <c r="AD1931" t="n">
        <v>14000</v>
      </c>
      <c r="AE1931" t="n">
        <v>162000</v>
      </c>
      <c r="AF1931" t="n">
        <v>160000</v>
      </c>
      <c r="AG1931" t="n">
        <v>13538</v>
      </c>
      <c r="AH1931" t="n">
        <v>146462</v>
      </c>
    </row>
    <row r="1932">
      <c r="A1932" t="inlineStr">
        <is>
          <t>3월</t>
        </is>
      </c>
      <c r="B1932" t="inlineStr">
        <is>
          <t>10주차</t>
        </is>
      </c>
      <c r="C1932" t="inlineStr">
        <is>
          <t>IM</t>
        </is>
      </c>
      <c r="D1932" s="28" t="n">
        <v>46087</v>
      </c>
      <c r="E1932" t="inlineStr">
        <is>
          <t>IM캐피탈</t>
        </is>
      </c>
      <c r="F1932" t="inlineStr">
        <is>
          <t>장민종</t>
        </is>
      </c>
      <c r="G1932" t="inlineStr">
        <is>
          <t>010-2619-0346</t>
        </is>
      </c>
      <c r="H1932" t="inlineStr">
        <is>
          <t>231다3305</t>
        </is>
      </c>
      <c r="I1932" t="n">
        <v>25000000</v>
      </c>
      <c r="J1932" t="n">
        <v>0.049</v>
      </c>
      <c r="K1932" t="n">
        <v>1.1</v>
      </c>
      <c r="L1932" t="n">
        <v>0.4</v>
      </c>
      <c r="M1932" t="n">
        <v>0.7</v>
      </c>
      <c r="P1932" t="inlineStr">
        <is>
          <t>박현민</t>
        </is>
      </c>
      <c r="AB1932" t="inlineStr">
        <is>
          <t>엔카</t>
        </is>
      </c>
      <c r="AC1932" t="n">
        <v>275000</v>
      </c>
      <c r="AD1932" t="n">
        <v>100000</v>
      </c>
      <c r="AE1932" t="n">
        <v>175000</v>
      </c>
      <c r="AF1932" t="n">
        <v>250000</v>
      </c>
      <c r="AG1932" t="n">
        <v>96700</v>
      </c>
      <c r="AH1932" t="n">
        <v>153300</v>
      </c>
    </row>
    <row r="1933">
      <c r="A1933" t="inlineStr">
        <is>
          <t>3월</t>
        </is>
      </c>
      <c r="B1933" t="inlineStr">
        <is>
          <t>11주차</t>
        </is>
      </c>
      <c r="C1933" t="inlineStr">
        <is>
          <t>EP</t>
        </is>
      </c>
      <c r="D1933" s="28" t="n">
        <v>46092</v>
      </c>
      <c r="E1933" t="inlineStr">
        <is>
          <t>현대EP_fast</t>
        </is>
      </c>
      <c r="F1933" t="inlineStr">
        <is>
          <t>안택규</t>
        </is>
      </c>
      <c r="G1933" t="inlineStr">
        <is>
          <t>010-3653-5871</t>
        </is>
      </c>
      <c r="H1933" t="inlineStr">
        <is>
          <t>83무2616</t>
        </is>
      </c>
      <c r="I1933" t="n">
        <v>11800000</v>
      </c>
      <c r="J1933" t="n">
        <v>0.09</v>
      </c>
      <c r="K1933" t="n">
        <v>1.76</v>
      </c>
      <c r="L1933" t="n">
        <v>0.14</v>
      </c>
      <c r="M1933" t="n">
        <v>1.62</v>
      </c>
      <c r="P1933" t="inlineStr">
        <is>
          <t>정광호</t>
        </is>
      </c>
      <c r="Q1933" t="inlineStr">
        <is>
          <t>홈서비스 36개월</t>
        </is>
      </c>
      <c r="AB1933" t="inlineStr">
        <is>
          <t>홈서비스</t>
        </is>
      </c>
      <c r="AC1933" t="n">
        <v>207680</v>
      </c>
      <c r="AD1933" t="n">
        <v>16520</v>
      </c>
      <c r="AE1933" t="n">
        <v>191160</v>
      </c>
      <c r="AF1933" t="n">
        <v>188800</v>
      </c>
      <c r="AG1933" t="n">
        <v>15974.84</v>
      </c>
      <c r="AH1933" t="n">
        <v>172825.16</v>
      </c>
      <c r="AI1933" t="n">
        <v>0</v>
      </c>
    </row>
    <row r="1934">
      <c r="A1934" t="inlineStr">
        <is>
          <t>3월</t>
        </is>
      </c>
      <c r="B1934" t="inlineStr">
        <is>
          <t>11주차</t>
        </is>
      </c>
      <c r="C1934" t="inlineStr">
        <is>
          <t>EP</t>
        </is>
      </c>
      <c r="D1934" s="28" t="n">
        <v>46090</v>
      </c>
      <c r="E1934" t="inlineStr">
        <is>
          <t>BNKEP</t>
        </is>
      </c>
      <c r="F1934" t="inlineStr">
        <is>
          <t>오덕균</t>
        </is>
      </c>
      <c r="G1934" t="inlineStr">
        <is>
          <t>010-9080-1331</t>
        </is>
      </c>
      <c r="H1934" t="inlineStr">
        <is>
          <t>05가6476</t>
        </is>
      </c>
      <c r="I1934" t="n">
        <v>5000000</v>
      </c>
      <c r="J1934" t="n">
        <v>0.061</v>
      </c>
      <c r="K1934" t="n">
        <v>1.65</v>
      </c>
      <c r="L1934" t="n">
        <v>0.5</v>
      </c>
      <c r="M1934" t="n">
        <v>1.15</v>
      </c>
      <c r="P1934" t="inlineStr">
        <is>
          <t>정하은</t>
        </is>
      </c>
      <c r="AB1934" t="inlineStr">
        <is>
          <t>엔카</t>
        </is>
      </c>
      <c r="AC1934" t="n">
        <v>82500</v>
      </c>
      <c r="AD1934" t="n">
        <v>25000</v>
      </c>
      <c r="AE1934" t="n">
        <v>57500</v>
      </c>
      <c r="AF1934" t="n">
        <v>75000</v>
      </c>
      <c r="AG1934" t="n">
        <v>24175</v>
      </c>
      <c r="AH1934" t="n">
        <v>50825</v>
      </c>
      <c r="AI1934" t="n">
        <v>0</v>
      </c>
    </row>
    <row r="1935">
      <c r="A1935" t="inlineStr">
        <is>
          <t>3월</t>
        </is>
      </c>
      <c r="B1935" t="inlineStr">
        <is>
          <t>10주차</t>
        </is>
      </c>
      <c r="C1935" t="inlineStr">
        <is>
          <t>EP</t>
        </is>
      </c>
      <c r="D1935" s="28" t="n">
        <v>46087</v>
      </c>
      <c r="E1935" t="inlineStr">
        <is>
          <t>현대EP</t>
        </is>
      </c>
      <c r="F1935" t="inlineStr">
        <is>
          <t>박승우</t>
        </is>
      </c>
      <c r="G1935" t="inlineStr">
        <is>
          <t>010-9287-9112</t>
        </is>
      </c>
      <c r="H1935" t="inlineStr">
        <is>
          <t>35저5792</t>
        </is>
      </c>
      <c r="I1935" t="n">
        <v>-6000000</v>
      </c>
      <c r="J1935" t="n">
        <v>0.059</v>
      </c>
      <c r="K1935" t="n">
        <v>1.76</v>
      </c>
      <c r="L1935" t="n">
        <v>0.14</v>
      </c>
      <c r="M1935" t="n">
        <v>1.62</v>
      </c>
      <c r="P1935" t="inlineStr">
        <is>
          <t>김나윤</t>
        </is>
      </c>
      <c r="Q1935" t="inlineStr">
        <is>
          <t>홈서비스 60개월</t>
        </is>
      </c>
      <c r="AB1935" t="inlineStr">
        <is>
          <t>홈서비스</t>
        </is>
      </c>
      <c r="AC1935" t="n">
        <v>-105600</v>
      </c>
      <c r="AD1935" t="n">
        <v>-8400</v>
      </c>
      <c r="AE1935" t="n">
        <v>-97200</v>
      </c>
      <c r="AF1935" t="n">
        <v>-96000</v>
      </c>
      <c r="AG1935" t="n">
        <v>-8122.8</v>
      </c>
      <c r="AH1935" t="n">
        <v>-87877.2</v>
      </c>
    </row>
    <row r="1936">
      <c r="A1936" t="inlineStr">
        <is>
          <t>3월</t>
        </is>
      </c>
      <c r="B1936" t="inlineStr">
        <is>
          <t>11주차</t>
        </is>
      </c>
      <c r="C1936" t="inlineStr">
        <is>
          <t>IM</t>
        </is>
      </c>
      <c r="D1936" s="28" t="n">
        <v>46090</v>
      </c>
      <c r="E1936" t="inlineStr">
        <is>
          <t>IM캐피탈</t>
        </is>
      </c>
      <c r="F1936" t="inlineStr">
        <is>
          <t>황승순</t>
        </is>
      </c>
      <c r="G1936" t="inlineStr">
        <is>
          <t>010-8700-8709</t>
        </is>
      </c>
      <c r="H1936" t="inlineStr">
        <is>
          <t>55더6431</t>
        </is>
      </c>
      <c r="I1936" t="n">
        <v>13800000</v>
      </c>
      <c r="J1936" t="n">
        <v>0.039</v>
      </c>
      <c r="K1936" t="n">
        <v>1.1</v>
      </c>
      <c r="L1936" t="n">
        <v>0.14</v>
      </c>
      <c r="M1936" t="n">
        <v>0.96</v>
      </c>
      <c r="P1936" t="inlineStr">
        <is>
          <t>정하은</t>
        </is>
      </c>
      <c r="Q1936" t="inlineStr">
        <is>
          <t>홈서비스 48개월</t>
        </is>
      </c>
      <c r="AB1936" t="inlineStr">
        <is>
          <t>홈서비스</t>
        </is>
      </c>
      <c r="AC1936" t="n">
        <v>151800</v>
      </c>
      <c r="AD1936" t="n">
        <v>19320</v>
      </c>
      <c r="AE1936" t="n">
        <v>132480</v>
      </c>
      <c r="AF1936" t="n">
        <v>138000</v>
      </c>
      <c r="AG1936" t="n">
        <v>18682.44</v>
      </c>
      <c r="AH1936" t="n">
        <v>119317.56</v>
      </c>
      <c r="AI1936" t="n">
        <v>0</v>
      </c>
    </row>
    <row r="1937">
      <c r="A1937" t="inlineStr">
        <is>
          <t>3월</t>
        </is>
      </c>
      <c r="B1937" t="inlineStr">
        <is>
          <t>11주차</t>
        </is>
      </c>
      <c r="C1937" t="inlineStr">
        <is>
          <t>EP</t>
        </is>
      </c>
      <c r="D1937" s="28" t="n">
        <v>46090</v>
      </c>
      <c r="E1937" t="inlineStr">
        <is>
          <t>현대EP</t>
        </is>
      </c>
      <c r="F1937" t="inlineStr">
        <is>
          <t>김인례</t>
        </is>
      </c>
      <c r="G1937" t="inlineStr">
        <is>
          <t>010-3838-8435</t>
        </is>
      </c>
      <c r="H1937" t="inlineStr">
        <is>
          <t>17머4103</t>
        </is>
      </c>
      <c r="I1937" t="n">
        <v>8000000</v>
      </c>
      <c r="J1937" t="n">
        <v>0.07099999999999999</v>
      </c>
      <c r="K1937" t="n">
        <v>1.76</v>
      </c>
      <c r="L1937" t="n">
        <v>0.14</v>
      </c>
      <c r="M1937" t="n">
        <v>1.62</v>
      </c>
      <c r="P1937" t="inlineStr">
        <is>
          <t>김수연</t>
        </is>
      </c>
      <c r="Q1937" t="inlineStr">
        <is>
          <t>홈서비스 24개월</t>
        </is>
      </c>
      <c r="AB1937" t="inlineStr">
        <is>
          <t>홈서비스</t>
        </is>
      </c>
      <c r="AC1937" t="n">
        <v>140800</v>
      </c>
      <c r="AD1937" t="n">
        <v>11200</v>
      </c>
      <c r="AE1937" t="n">
        <v>129600</v>
      </c>
      <c r="AF1937" t="n">
        <v>128000</v>
      </c>
      <c r="AG1937" t="n">
        <v>10830.4</v>
      </c>
      <c r="AH1937" t="n">
        <v>117169.6</v>
      </c>
      <c r="AI1937" t="n">
        <v>0</v>
      </c>
    </row>
    <row r="1938">
      <c r="A1938" t="inlineStr">
        <is>
          <t>3월</t>
        </is>
      </c>
      <c r="B1938" t="inlineStr">
        <is>
          <t>11주차</t>
        </is>
      </c>
      <c r="C1938" t="inlineStr">
        <is>
          <t>EP</t>
        </is>
      </c>
      <c r="D1938" s="28" t="n">
        <v>46090</v>
      </c>
      <c r="E1938" t="inlineStr">
        <is>
          <t>BNKEP</t>
        </is>
      </c>
      <c r="F1938" t="inlineStr">
        <is>
          <t>이정환</t>
        </is>
      </c>
      <c r="G1938" t="inlineStr">
        <is>
          <t>010-6775-9866</t>
        </is>
      </c>
      <c r="H1938" t="inlineStr">
        <is>
          <t>40조6215</t>
        </is>
      </c>
      <c r="I1938" t="n">
        <v>9000000</v>
      </c>
      <c r="J1938" t="n">
        <v>0.077</v>
      </c>
      <c r="K1938" t="n">
        <v>1.65</v>
      </c>
      <c r="L1938" t="n">
        <v>0.5</v>
      </c>
      <c r="M1938" t="n">
        <v>1.15</v>
      </c>
      <c r="P1938" t="inlineStr">
        <is>
          <t>정하은</t>
        </is>
      </c>
      <c r="Q1938" t="inlineStr">
        <is>
          <t>공동명의 /부대비용추가진행</t>
        </is>
      </c>
      <c r="AB1938" t="inlineStr">
        <is>
          <t>엔카</t>
        </is>
      </c>
      <c r="AC1938" t="n">
        <v>148500</v>
      </c>
      <c r="AD1938" t="n">
        <v>45000</v>
      </c>
      <c r="AE1938" t="n">
        <v>103500</v>
      </c>
      <c r="AF1938" t="n">
        <v>135000</v>
      </c>
      <c r="AG1938" t="n">
        <v>43515</v>
      </c>
      <c r="AH1938" t="n">
        <v>91485</v>
      </c>
    </row>
    <row r="1939">
      <c r="A1939" t="inlineStr">
        <is>
          <t>3월</t>
        </is>
      </c>
      <c r="B1939" t="inlineStr">
        <is>
          <t>11주차</t>
        </is>
      </c>
      <c r="C1939" t="inlineStr">
        <is>
          <t>EP</t>
        </is>
      </c>
      <c r="D1939" s="28" t="n">
        <v>46090</v>
      </c>
      <c r="E1939" t="inlineStr">
        <is>
          <t>현대EP</t>
        </is>
      </c>
      <c r="F1939" t="inlineStr">
        <is>
          <t>한성민</t>
        </is>
      </c>
      <c r="G1939" t="inlineStr">
        <is>
          <t>010-8014-2256</t>
        </is>
      </c>
      <c r="H1939" t="inlineStr">
        <is>
          <t>168조7694</t>
        </is>
      </c>
      <c r="I1939" t="n">
        <v>4900000</v>
      </c>
      <c r="J1939" t="n">
        <v>0.063</v>
      </c>
      <c r="K1939" t="n">
        <v>1.76</v>
      </c>
      <c r="L1939" t="n">
        <v>0.14</v>
      </c>
      <c r="M1939" t="n">
        <v>1.62</v>
      </c>
      <c r="P1939" t="inlineStr">
        <is>
          <t>김나윤</t>
        </is>
      </c>
      <c r="Q1939" t="inlineStr">
        <is>
          <t>홈서비스 24개월</t>
        </is>
      </c>
      <c r="AB1939" t="inlineStr">
        <is>
          <t>홈서비스</t>
        </is>
      </c>
      <c r="AC1939" t="n">
        <v>86240</v>
      </c>
      <c r="AD1939" t="n">
        <v>6860</v>
      </c>
      <c r="AE1939" t="n">
        <v>79380</v>
      </c>
      <c r="AF1939" t="n">
        <v>78400</v>
      </c>
      <c r="AG1939" t="n">
        <v>6633.62</v>
      </c>
      <c r="AH1939" t="n">
        <v>71766.38</v>
      </c>
    </row>
    <row r="1940">
      <c r="A1940" t="inlineStr">
        <is>
          <t>3월</t>
        </is>
      </c>
      <c r="B1940" t="inlineStr">
        <is>
          <t>10주차</t>
        </is>
      </c>
      <c r="C1940" t="inlineStr">
        <is>
          <t>IM</t>
        </is>
      </c>
      <c r="D1940" s="28" t="n">
        <v>46088</v>
      </c>
      <c r="E1940" t="inlineStr">
        <is>
          <t>IM캐피탈</t>
        </is>
      </c>
      <c r="F1940" t="inlineStr">
        <is>
          <t>서창건</t>
        </is>
      </c>
      <c r="G1940" t="inlineStr">
        <is>
          <t>010-9848-9125</t>
        </is>
      </c>
      <c r="H1940" t="inlineStr">
        <is>
          <t>150어5960</t>
        </is>
      </c>
      <c r="I1940" t="n">
        <v>17800000</v>
      </c>
      <c r="J1940" t="n">
        <v>0.049</v>
      </c>
      <c r="K1940" t="n">
        <v>1.1</v>
      </c>
      <c r="L1940" t="n">
        <v>0.14</v>
      </c>
      <c r="M1940" t="n">
        <v>0.96</v>
      </c>
      <c r="P1940" t="inlineStr">
        <is>
          <t>장현경</t>
        </is>
      </c>
      <c r="Q1940" t="inlineStr">
        <is>
          <t>홈서비스 60개월</t>
        </is>
      </c>
      <c r="AB1940" t="inlineStr">
        <is>
          <t>홈서비스</t>
        </is>
      </c>
      <c r="AC1940" t="n">
        <v>195800</v>
      </c>
      <c r="AD1940" t="n">
        <v>24920</v>
      </c>
      <c r="AE1940" t="n">
        <v>170880</v>
      </c>
      <c r="AF1940" t="n">
        <v>178000</v>
      </c>
      <c r="AG1940" t="n">
        <v>24097.64</v>
      </c>
      <c r="AH1940" t="n">
        <v>153902.36</v>
      </c>
    </row>
    <row r="1941">
      <c r="A1941" t="inlineStr">
        <is>
          <t>3월</t>
        </is>
      </c>
      <c r="B1941" t="inlineStr">
        <is>
          <t>10주차</t>
        </is>
      </c>
      <c r="C1941" t="inlineStr">
        <is>
          <t>EP</t>
        </is>
      </c>
      <c r="D1941" s="28" t="n">
        <v>46088</v>
      </c>
      <c r="E1941" t="inlineStr">
        <is>
          <t>현대EP_fast</t>
        </is>
      </c>
      <c r="F1941" t="inlineStr">
        <is>
          <t>안상이</t>
        </is>
      </c>
      <c r="G1941" t="inlineStr">
        <is>
          <t>010-3709-5405</t>
        </is>
      </c>
      <c r="H1941" t="inlineStr">
        <is>
          <t>249거3333</t>
        </is>
      </c>
      <c r="I1941" t="n">
        <v>45900000</v>
      </c>
      <c r="J1941" t="n">
        <v>0.119</v>
      </c>
      <c r="K1941" t="n">
        <v>1.76</v>
      </c>
      <c r="L1941" t="n">
        <v>0.4</v>
      </c>
      <c r="M1941" t="n">
        <v>1.36</v>
      </c>
      <c r="P1941" t="inlineStr">
        <is>
          <t>박보람</t>
        </is>
      </c>
      <c r="AB1941" t="inlineStr">
        <is>
          <t>엔카</t>
        </is>
      </c>
      <c r="AC1941" t="n">
        <v>807840</v>
      </c>
      <c r="AD1941" t="n">
        <v>183600</v>
      </c>
      <c r="AE1941" t="n">
        <v>624240</v>
      </c>
      <c r="AF1941" t="n">
        <v>734400</v>
      </c>
      <c r="AG1941" t="n">
        <v>177541.2</v>
      </c>
      <c r="AH1941" t="n">
        <v>556858.8</v>
      </c>
    </row>
    <row r="1942">
      <c r="A1942" t="inlineStr">
        <is>
          <t>3월</t>
        </is>
      </c>
      <c r="B1942" t="inlineStr">
        <is>
          <t>11주차</t>
        </is>
      </c>
      <c r="C1942" t="inlineStr">
        <is>
          <t>IM</t>
        </is>
      </c>
      <c r="D1942" s="28" t="n">
        <v>46090</v>
      </c>
      <c r="E1942" t="inlineStr">
        <is>
          <t>IM캐피탈</t>
        </is>
      </c>
      <c r="F1942" t="inlineStr">
        <is>
          <t>박상우</t>
        </is>
      </c>
      <c r="G1942" t="inlineStr">
        <is>
          <t>010-6351-9479</t>
        </is>
      </c>
      <c r="H1942" t="inlineStr">
        <is>
          <t>184더8169</t>
        </is>
      </c>
      <c r="I1942" t="n">
        <v>12500000</v>
      </c>
      <c r="J1942" t="n">
        <v>0.049</v>
      </c>
      <c r="K1942" t="n">
        <v>1.1</v>
      </c>
      <c r="L1942" t="n">
        <v>0.14</v>
      </c>
      <c r="M1942" t="n">
        <v>0.96</v>
      </c>
      <c r="P1942" t="inlineStr">
        <is>
          <t>김나윤</t>
        </is>
      </c>
      <c r="Q1942" t="inlineStr">
        <is>
          <t>홈서비스 60개월</t>
        </is>
      </c>
      <c r="AB1942" t="inlineStr">
        <is>
          <t>홈서비스</t>
        </is>
      </c>
      <c r="AC1942" t="n">
        <v>137500</v>
      </c>
      <c r="AD1942" t="n">
        <v>17500</v>
      </c>
      <c r="AE1942" t="n">
        <v>120000</v>
      </c>
      <c r="AF1942" t="n">
        <v>125000</v>
      </c>
      <c r="AG1942" t="n">
        <v>16922.5</v>
      </c>
      <c r="AH1942" t="n">
        <v>108077.5</v>
      </c>
    </row>
    <row r="1943">
      <c r="A1943" t="inlineStr">
        <is>
          <t>3월</t>
        </is>
      </c>
      <c r="B1943" t="inlineStr">
        <is>
          <t>11주차</t>
        </is>
      </c>
      <c r="C1943" t="inlineStr">
        <is>
          <t>OR</t>
        </is>
      </c>
      <c r="D1943" s="28" t="n">
        <v>46090</v>
      </c>
      <c r="E1943" t="inlineStr">
        <is>
          <t>오릭스</t>
        </is>
      </c>
      <c r="F1943" t="inlineStr">
        <is>
          <t>김범석</t>
        </is>
      </c>
      <c r="G1943" t="inlineStr">
        <is>
          <t>010-2902-1480</t>
        </is>
      </c>
      <c r="H1943" t="inlineStr">
        <is>
          <t>209보2858</t>
        </is>
      </c>
      <c r="I1943" t="n">
        <v>40000000</v>
      </c>
      <c r="J1943" t="n">
        <v>0.055</v>
      </c>
      <c r="K1943" t="n">
        <v>1.65</v>
      </c>
      <c r="L1943" t="n">
        <v>0.4</v>
      </c>
      <c r="M1943" t="n">
        <v>1.25</v>
      </c>
      <c r="P1943" t="inlineStr">
        <is>
          <t>장진경</t>
        </is>
      </c>
      <c r="Q1943" t="inlineStr">
        <is>
          <t>부대비용 추가진행</t>
        </is>
      </c>
      <c r="AB1943" t="inlineStr">
        <is>
          <t>엔카</t>
        </is>
      </c>
      <c r="AC1943" t="n">
        <v>660000</v>
      </c>
      <c r="AD1943" t="n">
        <v>160000</v>
      </c>
      <c r="AE1943" t="n">
        <v>500000</v>
      </c>
      <c r="AF1943" t="n">
        <v>600000</v>
      </c>
      <c r="AG1943" t="n">
        <v>154720</v>
      </c>
      <c r="AH1943" t="n">
        <v>445280</v>
      </c>
      <c r="AI1943" t="n">
        <v>0</v>
      </c>
    </row>
    <row r="1944">
      <c r="A1944" t="inlineStr">
        <is>
          <t>3월</t>
        </is>
      </c>
      <c r="B1944" t="inlineStr">
        <is>
          <t>10주차</t>
        </is>
      </c>
      <c r="C1944" t="inlineStr">
        <is>
          <t>EP</t>
        </is>
      </c>
      <c r="D1944" s="28" t="n">
        <v>46087</v>
      </c>
      <c r="E1944" t="inlineStr">
        <is>
          <t>제이비EP</t>
        </is>
      </c>
      <c r="F1944" t="inlineStr">
        <is>
          <t>이규혁</t>
        </is>
      </c>
      <c r="G1944" t="inlineStr">
        <is>
          <t>010-4634-4864</t>
        </is>
      </c>
      <c r="H1944" t="inlineStr">
        <is>
          <t>196루4563</t>
        </is>
      </c>
      <c r="I1944" t="n">
        <v>15900000</v>
      </c>
      <c r="J1944" t="n">
        <v>0.129</v>
      </c>
      <c r="K1944" t="n">
        <v>1.65</v>
      </c>
      <c r="L1944" t="n">
        <v>0.4</v>
      </c>
      <c r="M1944" t="n">
        <v>1.25</v>
      </c>
      <c r="P1944" t="inlineStr">
        <is>
          <t>구성완</t>
        </is>
      </c>
      <c r="AB1944" t="inlineStr">
        <is>
          <t>엔카</t>
        </is>
      </c>
      <c r="AC1944" t="n">
        <v>262350</v>
      </c>
      <c r="AD1944" t="n">
        <v>63600</v>
      </c>
      <c r="AE1944" t="n">
        <v>198750</v>
      </c>
      <c r="AF1944" t="n">
        <v>238500</v>
      </c>
      <c r="AG1944" t="n">
        <v>61501.2</v>
      </c>
      <c r="AH1944" t="n">
        <v>176998.8</v>
      </c>
    </row>
    <row r="1945">
      <c r="A1945" t="inlineStr">
        <is>
          <t>3월</t>
        </is>
      </c>
      <c r="B1945" t="inlineStr">
        <is>
          <t>11주차</t>
        </is>
      </c>
      <c r="C1945" t="inlineStr">
        <is>
          <t>EP</t>
        </is>
      </c>
      <c r="D1945" s="28" t="n">
        <v>46092</v>
      </c>
      <c r="E1945" t="inlineStr">
        <is>
          <t>현대EP</t>
        </is>
      </c>
      <c r="F1945" t="inlineStr">
        <is>
          <t>방준혁</t>
        </is>
      </c>
      <c r="G1945" t="inlineStr">
        <is>
          <t>010-4171-8031</t>
        </is>
      </c>
      <c r="H1945" t="inlineStr">
        <is>
          <t>244머9655</t>
        </is>
      </c>
      <c r="I1945" t="n">
        <v>30300000</v>
      </c>
      <c r="J1945" t="n">
        <v>0.079</v>
      </c>
      <c r="K1945" t="n">
        <v>1.76</v>
      </c>
      <c r="L1945" t="n">
        <v>0.14</v>
      </c>
      <c r="M1945" t="n">
        <v>1.62</v>
      </c>
      <c r="P1945" t="inlineStr">
        <is>
          <t>최형주</t>
        </is>
      </c>
      <c r="Q1945" t="inlineStr">
        <is>
          <t>홈서비스 60개월</t>
        </is>
      </c>
      <c r="AB1945" t="inlineStr">
        <is>
          <t>홈서비스</t>
        </is>
      </c>
      <c r="AC1945" t="n">
        <v>533280</v>
      </c>
      <c r="AD1945" t="n">
        <v>42420</v>
      </c>
      <c r="AE1945" t="n">
        <v>490860</v>
      </c>
      <c r="AF1945" t="n">
        <v>484800</v>
      </c>
      <c r="AG1945" t="n">
        <v>41020.14</v>
      </c>
      <c r="AH1945" t="n">
        <v>443779.86</v>
      </c>
    </row>
    <row r="1946">
      <c r="A1946" t="inlineStr">
        <is>
          <t>3월</t>
        </is>
      </c>
      <c r="B1946" t="inlineStr">
        <is>
          <t>10주차</t>
        </is>
      </c>
      <c r="C1946" t="inlineStr">
        <is>
          <t>OR</t>
        </is>
      </c>
      <c r="D1946" s="28" t="n">
        <v>46084</v>
      </c>
      <c r="E1946" t="inlineStr">
        <is>
          <t>오릭스</t>
        </is>
      </c>
      <c r="F1946" t="inlineStr">
        <is>
          <t>임재현</t>
        </is>
      </c>
      <c r="G1946" t="inlineStr">
        <is>
          <t>010-9529-7204</t>
        </is>
      </c>
      <c r="H1946" t="inlineStr">
        <is>
          <t>24저8108</t>
        </is>
      </c>
      <c r="I1946" t="n">
        <v>5500000</v>
      </c>
      <c r="J1946" t="n">
        <v>0.07000000000000001</v>
      </c>
      <c r="K1946" t="n">
        <v>1.65</v>
      </c>
      <c r="L1946" t="n">
        <v>0.14</v>
      </c>
      <c r="M1946" t="n">
        <v>1.51</v>
      </c>
      <c r="P1946" t="inlineStr">
        <is>
          <t>김나윤</t>
        </is>
      </c>
      <c r="Q1946" t="inlineStr">
        <is>
          <t>홈서비스 36개월</t>
        </is>
      </c>
      <c r="AB1946" t="inlineStr">
        <is>
          <t>홈서비스</t>
        </is>
      </c>
      <c r="AC1946" t="n">
        <v>90750</v>
      </c>
      <c r="AD1946" t="n">
        <v>7700</v>
      </c>
      <c r="AE1946" t="n">
        <v>83050</v>
      </c>
      <c r="AF1946" t="n">
        <v>82500</v>
      </c>
      <c r="AG1946" t="n">
        <v>7445.9</v>
      </c>
      <c r="AH1946" t="n">
        <v>75054.10000000001</v>
      </c>
      <c r="AI1946" t="n">
        <v>0</v>
      </c>
    </row>
    <row r="1947">
      <c r="A1947" t="inlineStr">
        <is>
          <t>3월</t>
        </is>
      </c>
      <c r="B1947" t="inlineStr">
        <is>
          <t>11주차</t>
        </is>
      </c>
      <c r="C1947" t="inlineStr">
        <is>
          <t>EP</t>
        </is>
      </c>
      <c r="D1947" s="28" t="n">
        <v>46090</v>
      </c>
      <c r="E1947" t="inlineStr">
        <is>
          <t>현대EP_fast</t>
        </is>
      </c>
      <c r="F1947" t="inlineStr">
        <is>
          <t>김충환</t>
        </is>
      </c>
      <c r="G1947" t="inlineStr">
        <is>
          <t>010-5505-4304</t>
        </is>
      </c>
      <c r="H1947" t="inlineStr">
        <is>
          <t>41누9307</t>
        </is>
      </c>
      <c r="I1947" t="n">
        <v>23400000</v>
      </c>
      <c r="J1947" t="n">
        <v>0.08500000000000001</v>
      </c>
      <c r="K1947" t="n">
        <v>1.76</v>
      </c>
      <c r="L1947" t="n">
        <v>0.4</v>
      </c>
      <c r="M1947" t="n">
        <v>1.36</v>
      </c>
      <c r="P1947" t="inlineStr">
        <is>
          <t>박보람</t>
        </is>
      </c>
      <c r="AB1947" t="inlineStr">
        <is>
          <t>엔카</t>
        </is>
      </c>
      <c r="AC1947" t="n">
        <v>411840</v>
      </c>
      <c r="AD1947" t="n">
        <v>93600</v>
      </c>
      <c r="AE1947" t="n">
        <v>318240</v>
      </c>
      <c r="AF1947" t="n">
        <v>374400</v>
      </c>
      <c r="AG1947" t="n">
        <v>90511.2</v>
      </c>
      <c r="AH1947" t="n">
        <v>283888.8</v>
      </c>
      <c r="AI1947" t="n">
        <v>0</v>
      </c>
    </row>
    <row r="1948">
      <c r="A1948" t="inlineStr">
        <is>
          <t>3월</t>
        </is>
      </c>
      <c r="B1948" t="inlineStr">
        <is>
          <t>10주차</t>
        </is>
      </c>
      <c r="C1948" t="inlineStr">
        <is>
          <t>IM</t>
        </is>
      </c>
      <c r="D1948" s="28" t="n">
        <v>46087</v>
      </c>
      <c r="E1948" t="inlineStr">
        <is>
          <t>IM캐피탈</t>
        </is>
      </c>
      <c r="F1948" t="inlineStr">
        <is>
          <t>김상도</t>
        </is>
      </c>
      <c r="G1948" t="inlineStr">
        <is>
          <t>010-8648-3261</t>
        </is>
      </c>
      <c r="H1948" t="inlineStr">
        <is>
          <t>65마8886</t>
        </is>
      </c>
      <c r="I1948" t="n">
        <v>-8000000</v>
      </c>
      <c r="J1948" t="n">
        <v>0.056</v>
      </c>
      <c r="K1948" t="n">
        <v>1.1</v>
      </c>
      <c r="L1948" t="n">
        <v>0.14</v>
      </c>
      <c r="M1948" t="n">
        <v>0.96</v>
      </c>
      <c r="P1948" t="inlineStr">
        <is>
          <t>정세빈</t>
        </is>
      </c>
      <c r="Q1948" t="inlineStr">
        <is>
          <t>홈서비스 36개월</t>
        </is>
      </c>
      <c r="AB1948" t="inlineStr">
        <is>
          <t>홈서비스</t>
        </is>
      </c>
      <c r="AC1948" t="n">
        <v>-88000</v>
      </c>
      <c r="AD1948" t="n">
        <v>-11200</v>
      </c>
      <c r="AE1948" t="n">
        <v>-76800</v>
      </c>
      <c r="AF1948" t="n">
        <v>-80000</v>
      </c>
      <c r="AG1948" t="n">
        <v>-10830.4</v>
      </c>
      <c r="AH1948" t="n">
        <v>-69169.60000000001</v>
      </c>
      <c r="AI1948" t="n">
        <v>0</v>
      </c>
    </row>
    <row r="1949">
      <c r="A1949" t="inlineStr">
        <is>
          <t>3월</t>
        </is>
      </c>
      <c r="B1949" t="inlineStr">
        <is>
          <t>10주차</t>
        </is>
      </c>
      <c r="C1949" t="inlineStr">
        <is>
          <t>IM</t>
        </is>
      </c>
      <c r="D1949" s="28" t="n">
        <v>46086</v>
      </c>
      <c r="E1949" t="inlineStr">
        <is>
          <t>IM캐피탈</t>
        </is>
      </c>
      <c r="F1949" t="inlineStr">
        <is>
          <t>고현진</t>
        </is>
      </c>
      <c r="G1949" t="inlineStr">
        <is>
          <t>010-4422-3040</t>
        </is>
      </c>
      <c r="H1949" t="inlineStr">
        <is>
          <t xml:space="preserve">106거2333 </t>
        </is>
      </c>
      <c r="I1949" t="n">
        <v>81000000</v>
      </c>
      <c r="J1949" t="n">
        <v>0.049</v>
      </c>
      <c r="K1949" t="n">
        <v>1.1</v>
      </c>
      <c r="L1949" t="n">
        <v>0.5</v>
      </c>
      <c r="M1949" t="n">
        <v>0.6</v>
      </c>
      <c r="P1949" t="inlineStr">
        <is>
          <t>정하은</t>
        </is>
      </c>
      <c r="Q1949" t="inlineStr">
        <is>
          <t>부대비용 추가진행</t>
        </is>
      </c>
      <c r="AB1949" t="inlineStr">
        <is>
          <t>엔카</t>
        </is>
      </c>
      <c r="AC1949" t="n">
        <v>891000</v>
      </c>
      <c r="AD1949" t="n">
        <v>405000</v>
      </c>
      <c r="AE1949" t="n">
        <v>486000</v>
      </c>
      <c r="AF1949" t="n">
        <v>810000</v>
      </c>
      <c r="AG1949" t="n">
        <v>391635</v>
      </c>
      <c r="AH1949" t="n">
        <v>418365</v>
      </c>
      <c r="AI1949" t="n">
        <v>0</v>
      </c>
    </row>
    <row r="1950">
      <c r="A1950" t="inlineStr">
        <is>
          <t>3월</t>
        </is>
      </c>
      <c r="B1950" t="inlineStr">
        <is>
          <t>11주차</t>
        </is>
      </c>
      <c r="C1950" t="inlineStr">
        <is>
          <t>EP</t>
        </is>
      </c>
      <c r="D1950" s="28" t="n">
        <v>46090</v>
      </c>
      <c r="E1950" t="inlineStr">
        <is>
          <t>현대EP_fast</t>
        </is>
      </c>
      <c r="F1950" t="inlineStr">
        <is>
          <t>류원호</t>
        </is>
      </c>
      <c r="G1950" t="inlineStr">
        <is>
          <t>010-4200-4042</t>
        </is>
      </c>
      <c r="H1950" t="inlineStr">
        <is>
          <t>33모0114</t>
        </is>
      </c>
      <c r="I1950" t="n">
        <v>5900000</v>
      </c>
      <c r="J1950" t="n">
        <v>0.079</v>
      </c>
      <c r="K1950" t="n">
        <v>1.76</v>
      </c>
      <c r="L1950" t="n">
        <v>0.14</v>
      </c>
      <c r="M1950" t="n">
        <v>1.62</v>
      </c>
      <c r="P1950" t="inlineStr">
        <is>
          <t>박현민</t>
        </is>
      </c>
      <c r="Q1950" t="inlineStr">
        <is>
          <t>홈서비스 48개월</t>
        </is>
      </c>
      <c r="AB1950" t="inlineStr">
        <is>
          <t>홈서비스</t>
        </is>
      </c>
      <c r="AC1950" t="n">
        <v>103840</v>
      </c>
      <c r="AD1950" t="n">
        <v>8260</v>
      </c>
      <c r="AE1950" t="n">
        <v>95580</v>
      </c>
      <c r="AF1950" t="n">
        <v>94400</v>
      </c>
      <c r="AG1950" t="n">
        <v>7987.42</v>
      </c>
      <c r="AH1950" t="n">
        <v>86412.58</v>
      </c>
      <c r="AI1950" t="n">
        <v>0</v>
      </c>
    </row>
    <row r="1951">
      <c r="A1951" t="inlineStr">
        <is>
          <t>3월</t>
        </is>
      </c>
      <c r="B1951" t="inlineStr">
        <is>
          <t>11주차</t>
        </is>
      </c>
      <c r="C1951" t="inlineStr">
        <is>
          <t>OR</t>
        </is>
      </c>
      <c r="D1951" s="28" t="n">
        <v>46090</v>
      </c>
      <c r="E1951" t="inlineStr">
        <is>
          <t>오릭스</t>
        </is>
      </c>
      <c r="F1951" t="inlineStr">
        <is>
          <t>박대산</t>
        </is>
      </c>
      <c r="G1951" t="inlineStr">
        <is>
          <t>010-8839-3777</t>
        </is>
      </c>
      <c r="H1951" t="inlineStr">
        <is>
          <t>809오8020</t>
        </is>
      </c>
      <c r="I1951" t="n">
        <v>18000000</v>
      </c>
      <c r="J1951" t="n">
        <v>0.077</v>
      </c>
      <c r="K1951" t="n">
        <v>1.65</v>
      </c>
      <c r="L1951" t="n">
        <v>0.5</v>
      </c>
      <c r="M1951" t="n">
        <v>1.15</v>
      </c>
      <c r="P1951" t="inlineStr">
        <is>
          <t>정하은</t>
        </is>
      </c>
      <c r="Q1951" t="inlineStr">
        <is>
          <t>개인간거래 /부대비용추가진행 / 기고객진행</t>
        </is>
      </c>
      <c r="AB1951" t="inlineStr">
        <is>
          <t>엔카</t>
        </is>
      </c>
      <c r="AC1951" t="n">
        <v>297000</v>
      </c>
      <c r="AD1951" t="n">
        <v>90000</v>
      </c>
      <c r="AE1951" t="n">
        <v>207000</v>
      </c>
      <c r="AF1951" t="n">
        <v>270000</v>
      </c>
      <c r="AG1951" t="n">
        <v>87030</v>
      </c>
      <c r="AH1951" t="n">
        <v>182970</v>
      </c>
      <c r="AI1951" t="n">
        <v>0</v>
      </c>
    </row>
    <row r="1952">
      <c r="A1952" t="inlineStr">
        <is>
          <t>3월</t>
        </is>
      </c>
      <c r="B1952" t="inlineStr">
        <is>
          <t>11주차</t>
        </is>
      </c>
      <c r="C1952" t="inlineStr">
        <is>
          <t>IM</t>
        </is>
      </c>
      <c r="D1952" s="28" t="n">
        <v>46090</v>
      </c>
      <c r="E1952" t="inlineStr">
        <is>
          <t>IM캐피탈</t>
        </is>
      </c>
      <c r="F1952" t="inlineStr">
        <is>
          <t>심승보</t>
        </is>
      </c>
      <c r="G1952" t="inlineStr">
        <is>
          <t>010-9818-8233</t>
        </is>
      </c>
      <c r="H1952" t="inlineStr">
        <is>
          <t>43마4792</t>
        </is>
      </c>
      <c r="I1952" t="n">
        <v>44500000</v>
      </c>
      <c r="J1952" t="n">
        <v>0.056</v>
      </c>
      <c r="K1952" t="n">
        <v>1.1</v>
      </c>
      <c r="L1952" t="n">
        <v>0.4</v>
      </c>
      <c r="M1952" t="n">
        <v>0.7</v>
      </c>
      <c r="P1952" t="inlineStr">
        <is>
          <t>박현민</t>
        </is>
      </c>
      <c r="Q1952" t="inlineStr">
        <is>
          <t>부대비용 추가진행</t>
        </is>
      </c>
      <c r="AB1952" t="inlineStr">
        <is>
          <t>엔카</t>
        </is>
      </c>
      <c r="AC1952" t="n">
        <v>489500</v>
      </c>
      <c r="AD1952" t="n">
        <v>178000</v>
      </c>
      <c r="AE1952" t="n">
        <v>311500</v>
      </c>
      <c r="AF1952" t="n">
        <v>445000</v>
      </c>
      <c r="AG1952" t="n">
        <v>172126</v>
      </c>
      <c r="AH1952" t="n">
        <v>272874</v>
      </c>
      <c r="AI1952" t="n">
        <v>0</v>
      </c>
    </row>
    <row r="1953">
      <c r="A1953" t="inlineStr">
        <is>
          <t>3월</t>
        </is>
      </c>
      <c r="B1953" t="inlineStr">
        <is>
          <t>10주차</t>
        </is>
      </c>
      <c r="C1953" t="inlineStr">
        <is>
          <t>IM</t>
        </is>
      </c>
      <c r="D1953" s="28" t="n">
        <v>46086</v>
      </c>
      <c r="E1953" t="inlineStr">
        <is>
          <t>IM캐피탈</t>
        </is>
      </c>
      <c r="F1953" t="inlineStr">
        <is>
          <t>신정자</t>
        </is>
      </c>
      <c r="G1953" t="inlineStr">
        <is>
          <t>010-4046-4112</t>
        </is>
      </c>
      <c r="H1953" t="inlineStr">
        <is>
          <t>172보2919</t>
        </is>
      </c>
      <c r="I1953" t="n">
        <v>5900000</v>
      </c>
      <c r="J1953" t="n">
        <v>0.066</v>
      </c>
      <c r="K1953" t="n">
        <v>1.1</v>
      </c>
      <c r="L1953" t="n">
        <v>0.14</v>
      </c>
      <c r="M1953" t="n">
        <v>0.96</v>
      </c>
      <c r="P1953" t="inlineStr">
        <is>
          <t>최형주</t>
        </is>
      </c>
      <c r="Q1953" t="inlineStr">
        <is>
          <t>홈서비스 36개월</t>
        </is>
      </c>
      <c r="AB1953" t="inlineStr">
        <is>
          <t>홈서비스</t>
        </is>
      </c>
      <c r="AC1953" t="n">
        <v>64900</v>
      </c>
      <c r="AD1953" t="n">
        <v>8260</v>
      </c>
      <c r="AE1953" t="n">
        <v>56640</v>
      </c>
      <c r="AF1953" t="n">
        <v>59000</v>
      </c>
      <c r="AG1953" t="n">
        <v>7987.42</v>
      </c>
      <c r="AH1953" t="n">
        <v>51012.58</v>
      </c>
      <c r="AI1953" t="n">
        <v>0</v>
      </c>
    </row>
    <row r="1954">
      <c r="A1954" t="inlineStr">
        <is>
          <t>3월</t>
        </is>
      </c>
      <c r="B1954" t="inlineStr">
        <is>
          <t>11주차</t>
        </is>
      </c>
      <c r="C1954" t="inlineStr">
        <is>
          <t>IM</t>
        </is>
      </c>
      <c r="D1954" s="28" t="n">
        <v>46090</v>
      </c>
      <c r="E1954" t="inlineStr">
        <is>
          <t>IM캐피탈</t>
        </is>
      </c>
      <c r="F1954" t="inlineStr">
        <is>
          <t>이주용</t>
        </is>
      </c>
      <c r="G1954" t="inlineStr">
        <is>
          <t>010-9052-8290</t>
        </is>
      </c>
      <c r="H1954" t="inlineStr">
        <is>
          <t>04고9489</t>
        </is>
      </c>
      <c r="I1954" t="n">
        <v>21500000</v>
      </c>
      <c r="J1954" t="n">
        <v>0.066</v>
      </c>
      <c r="K1954" t="n">
        <v>1.1</v>
      </c>
      <c r="L1954" t="n">
        <v>0.14</v>
      </c>
      <c r="M1954" t="n">
        <v>0.96</v>
      </c>
      <c r="P1954" t="inlineStr">
        <is>
          <t>김나윤</t>
        </is>
      </c>
      <c r="Q1954" t="inlineStr">
        <is>
          <t>홈서비스 84개월</t>
        </is>
      </c>
      <c r="AB1954" t="inlineStr">
        <is>
          <t>홈서비스</t>
        </is>
      </c>
      <c r="AC1954" t="n">
        <v>236500</v>
      </c>
      <c r="AD1954" t="n">
        <v>30100</v>
      </c>
      <c r="AE1954" t="n">
        <v>206400</v>
      </c>
      <c r="AF1954" t="n">
        <v>215000</v>
      </c>
      <c r="AG1954" t="n">
        <v>29106.7</v>
      </c>
      <c r="AH1954" t="n">
        <v>185893.3</v>
      </c>
    </row>
    <row r="1955">
      <c r="A1955" t="inlineStr">
        <is>
          <t>3월</t>
        </is>
      </c>
      <c r="B1955" t="inlineStr">
        <is>
          <t>10주차</t>
        </is>
      </c>
      <c r="C1955" t="inlineStr">
        <is>
          <t>EP</t>
        </is>
      </c>
      <c r="D1955" s="28" t="n">
        <v>46084</v>
      </c>
      <c r="E1955" t="inlineStr">
        <is>
          <t>현대EP_fast</t>
        </is>
      </c>
      <c r="F1955" t="inlineStr">
        <is>
          <t>고혁</t>
        </is>
      </c>
      <c r="G1955" t="inlineStr">
        <is>
          <t>010-1697-5852</t>
        </is>
      </c>
      <c r="H1955" t="inlineStr">
        <is>
          <t>11노9145</t>
        </is>
      </c>
      <c r="I1955" t="n">
        <v>6900000</v>
      </c>
      <c r="J1955" t="n">
        <v>0.08799999999999999</v>
      </c>
      <c r="K1955" t="n">
        <v>1.76</v>
      </c>
      <c r="L1955" t="n">
        <v>0.14</v>
      </c>
      <c r="M1955" t="n">
        <v>1.62</v>
      </c>
      <c r="P1955" t="inlineStr">
        <is>
          <t>황채이</t>
        </is>
      </c>
      <c r="Q1955" t="inlineStr">
        <is>
          <t>홈서비스 36개월</t>
        </is>
      </c>
      <c r="AB1955" t="inlineStr">
        <is>
          <t>홈서비스</t>
        </is>
      </c>
      <c r="AC1955" t="n">
        <v>121440</v>
      </c>
      <c r="AD1955" t="n">
        <v>9660</v>
      </c>
      <c r="AE1955" t="n">
        <v>111780</v>
      </c>
      <c r="AF1955" t="n">
        <v>110400</v>
      </c>
      <c r="AG1955" t="n">
        <v>9341.219999999999</v>
      </c>
      <c r="AH1955" t="n">
        <v>101058.78</v>
      </c>
      <c r="AI1955" t="n">
        <v>0</v>
      </c>
    </row>
    <row r="1956">
      <c r="A1956" t="inlineStr">
        <is>
          <t>3월</t>
        </is>
      </c>
      <c r="B1956" t="inlineStr">
        <is>
          <t>11주차</t>
        </is>
      </c>
      <c r="C1956" t="inlineStr">
        <is>
          <t>IM</t>
        </is>
      </c>
      <c r="D1956" s="28" t="n">
        <v>46090</v>
      </c>
      <c r="E1956" t="inlineStr">
        <is>
          <t>IM캐피탈</t>
        </is>
      </c>
      <c r="F1956" t="inlineStr">
        <is>
          <t>방정훈</t>
        </is>
      </c>
      <c r="G1956" t="inlineStr">
        <is>
          <t>010-9068-0711</t>
        </is>
      </c>
      <c r="H1956" t="inlineStr">
        <is>
          <t>14라12597</t>
        </is>
      </c>
      <c r="I1956" t="n">
        <v>6500000</v>
      </c>
      <c r="J1956" t="n">
        <v>0.059</v>
      </c>
      <c r="K1956" t="n">
        <v>1.1</v>
      </c>
      <c r="L1956" t="n">
        <v>0.14</v>
      </c>
      <c r="M1956" t="n">
        <v>0.96</v>
      </c>
      <c r="P1956" t="inlineStr">
        <is>
          <t>황채이</t>
        </is>
      </c>
      <c r="Q1956" t="inlineStr">
        <is>
          <t>홈서비스 48개월</t>
        </is>
      </c>
      <c r="AB1956" t="inlineStr">
        <is>
          <t>홈서비스</t>
        </is>
      </c>
      <c r="AC1956" t="n">
        <v>71500</v>
      </c>
      <c r="AD1956" t="n">
        <v>9100</v>
      </c>
      <c r="AE1956" t="n">
        <v>62400</v>
      </c>
      <c r="AF1956" t="n">
        <v>65000</v>
      </c>
      <c r="AG1956" t="n">
        <v>8799.700000000001</v>
      </c>
      <c r="AH1956" t="n">
        <v>56200.3</v>
      </c>
    </row>
    <row r="1957">
      <c r="A1957" t="inlineStr">
        <is>
          <t>3월</t>
        </is>
      </c>
      <c r="B1957" t="inlineStr">
        <is>
          <t>10주차</t>
        </is>
      </c>
      <c r="C1957" t="inlineStr">
        <is>
          <t>EP</t>
        </is>
      </c>
      <c r="D1957" s="28" t="n">
        <v>46087</v>
      </c>
      <c r="E1957" t="inlineStr">
        <is>
          <t>현대EP_fast</t>
        </is>
      </c>
      <c r="F1957" t="inlineStr">
        <is>
          <t>권민서</t>
        </is>
      </c>
      <c r="G1957" t="inlineStr">
        <is>
          <t>010-8255-2315</t>
        </is>
      </c>
      <c r="H1957" t="inlineStr">
        <is>
          <t>141러2142</t>
        </is>
      </c>
      <c r="I1957" t="n">
        <v>13000000</v>
      </c>
      <c r="J1957" t="n">
        <v>0.08500000000000001</v>
      </c>
      <c r="K1957" t="n">
        <v>1.76</v>
      </c>
      <c r="L1957" t="n">
        <v>0.14</v>
      </c>
      <c r="M1957" t="n">
        <v>1.62</v>
      </c>
      <c r="P1957" t="inlineStr">
        <is>
          <t>최형주</t>
        </is>
      </c>
      <c r="Q1957" t="inlineStr">
        <is>
          <t>홈서비스 48개월</t>
        </is>
      </c>
      <c r="AB1957" t="inlineStr">
        <is>
          <t>홈서비스</t>
        </is>
      </c>
      <c r="AC1957" t="n">
        <v>228800</v>
      </c>
      <c r="AD1957" t="n">
        <v>18200</v>
      </c>
      <c r="AE1957" t="n">
        <v>210600</v>
      </c>
      <c r="AF1957" t="n">
        <v>208000</v>
      </c>
      <c r="AG1957" t="n">
        <v>17599.4</v>
      </c>
      <c r="AH1957" t="n">
        <v>190400.6</v>
      </c>
    </row>
    <row r="1958">
      <c r="A1958" t="inlineStr">
        <is>
          <t>3월</t>
        </is>
      </c>
      <c r="B1958" t="inlineStr">
        <is>
          <t>10주차</t>
        </is>
      </c>
      <c r="C1958" t="inlineStr">
        <is>
          <t>EP</t>
        </is>
      </c>
      <c r="D1958" s="28" t="n">
        <v>46088</v>
      </c>
      <c r="E1958" t="inlineStr">
        <is>
          <t>현대EP_fast</t>
        </is>
      </c>
      <c r="F1958" t="inlineStr">
        <is>
          <t>한정욱</t>
        </is>
      </c>
      <c r="G1958" t="inlineStr">
        <is>
          <t>010-9581-8665</t>
        </is>
      </c>
      <c r="H1958" t="inlineStr">
        <is>
          <t>382노5961</t>
        </is>
      </c>
      <c r="I1958" t="n">
        <v>18700000</v>
      </c>
      <c r="J1958" t="n">
        <v>0.092</v>
      </c>
      <c r="K1958" t="n">
        <v>1.76</v>
      </c>
      <c r="L1958" t="n">
        <v>0.14</v>
      </c>
      <c r="M1958" t="n">
        <v>1.62</v>
      </c>
      <c r="P1958" t="inlineStr">
        <is>
          <t>장현경</t>
        </is>
      </c>
      <c r="Q1958" t="inlineStr">
        <is>
          <t>홈서비스 60개월</t>
        </is>
      </c>
      <c r="AB1958" t="inlineStr">
        <is>
          <t>홈서비스</t>
        </is>
      </c>
      <c r="AC1958" t="n">
        <v>329120</v>
      </c>
      <c r="AD1958" t="n">
        <v>26180</v>
      </c>
      <c r="AE1958" t="n">
        <v>302940</v>
      </c>
      <c r="AF1958" t="n">
        <v>299200</v>
      </c>
      <c r="AG1958" t="n">
        <v>25316.06</v>
      </c>
      <c r="AH1958" t="n">
        <v>273883.94</v>
      </c>
      <c r="AI1958" t="n">
        <v>0</v>
      </c>
    </row>
    <row r="1959">
      <c r="A1959" t="inlineStr">
        <is>
          <t>3월</t>
        </is>
      </c>
      <c r="B1959" t="inlineStr">
        <is>
          <t>11주차</t>
        </is>
      </c>
      <c r="C1959" t="inlineStr">
        <is>
          <t>OR</t>
        </is>
      </c>
      <c r="D1959" s="28" t="n">
        <v>46090</v>
      </c>
      <c r="E1959" t="inlineStr">
        <is>
          <t>오릭스</t>
        </is>
      </c>
      <c r="F1959" t="inlineStr">
        <is>
          <t>한정희</t>
        </is>
      </c>
      <c r="G1959" t="inlineStr">
        <is>
          <t>010-8790-9544</t>
        </is>
      </c>
      <c r="H1959" t="inlineStr">
        <is>
          <t>23무5469</t>
        </is>
      </c>
      <c r="I1959" t="n">
        <v>24600000</v>
      </c>
      <c r="J1959" t="n">
        <v>0.062</v>
      </c>
      <c r="K1959" t="n">
        <v>1.65</v>
      </c>
      <c r="L1959" t="n">
        <v>0.4</v>
      </c>
      <c r="M1959" t="n">
        <v>1.25</v>
      </c>
      <c r="P1959" t="inlineStr">
        <is>
          <t>박보람</t>
        </is>
      </c>
      <c r="AB1959" t="inlineStr">
        <is>
          <t>엔카</t>
        </is>
      </c>
      <c r="AC1959" t="n">
        <v>405900</v>
      </c>
      <c r="AD1959" t="n">
        <v>98400</v>
      </c>
      <c r="AE1959" t="n">
        <v>307500</v>
      </c>
      <c r="AF1959" t="n">
        <v>369000</v>
      </c>
      <c r="AG1959" t="n">
        <v>95152.8</v>
      </c>
      <c r="AH1959" t="n">
        <v>273847.2</v>
      </c>
      <c r="AI1959" t="n">
        <v>0</v>
      </c>
    </row>
    <row r="1960">
      <c r="A1960" t="inlineStr">
        <is>
          <t>3월</t>
        </is>
      </c>
      <c r="B1960" t="inlineStr">
        <is>
          <t>11주차</t>
        </is>
      </c>
      <c r="C1960" t="inlineStr">
        <is>
          <t>EP</t>
        </is>
      </c>
      <c r="D1960" s="28" t="n">
        <v>46091</v>
      </c>
      <c r="E1960" t="inlineStr">
        <is>
          <t>현대EP</t>
        </is>
      </c>
      <c r="F1960" t="inlineStr">
        <is>
          <t>김건태</t>
        </is>
      </c>
      <c r="G1960" t="inlineStr">
        <is>
          <t>010-7931-6966</t>
        </is>
      </c>
      <c r="H1960" t="inlineStr">
        <is>
          <t>92로2610</t>
        </is>
      </c>
      <c r="I1960" t="n">
        <v>4000000</v>
      </c>
      <c r="J1960" t="n">
        <v>0.08799999999999999</v>
      </c>
      <c r="K1960" t="n">
        <v>1.76</v>
      </c>
      <c r="L1960" t="n">
        <v>0.14</v>
      </c>
      <c r="M1960" t="n">
        <v>1.62</v>
      </c>
      <c r="P1960" t="inlineStr">
        <is>
          <t>황채이</t>
        </is>
      </c>
      <c r="Q1960" t="inlineStr">
        <is>
          <t>홈서비스 24개월</t>
        </is>
      </c>
      <c r="AB1960" t="inlineStr">
        <is>
          <t>홈서비스</t>
        </is>
      </c>
      <c r="AC1960" t="n">
        <v>70400</v>
      </c>
      <c r="AD1960" t="n">
        <v>5600</v>
      </c>
      <c r="AE1960" t="n">
        <v>64800</v>
      </c>
      <c r="AF1960" t="n">
        <v>64000</v>
      </c>
      <c r="AG1960" t="n">
        <v>5415.2</v>
      </c>
      <c r="AH1960" t="n">
        <v>58584.8</v>
      </c>
    </row>
    <row r="1961">
      <c r="A1961" t="inlineStr">
        <is>
          <t>3월</t>
        </is>
      </c>
      <c r="B1961" t="inlineStr">
        <is>
          <t>10주차</t>
        </is>
      </c>
      <c r="C1961" t="inlineStr">
        <is>
          <t>EP</t>
        </is>
      </c>
      <c r="D1961" s="28" t="n">
        <v>46088</v>
      </c>
      <c r="E1961" t="inlineStr">
        <is>
          <t>현대EP</t>
        </is>
      </c>
      <c r="F1961" t="inlineStr">
        <is>
          <t>조서현</t>
        </is>
      </c>
      <c r="G1961" t="inlineStr">
        <is>
          <t>010-8980-6470</t>
        </is>
      </c>
      <c r="H1961" t="inlineStr">
        <is>
          <t>23버0382</t>
        </is>
      </c>
      <c r="I1961" t="n">
        <v>5200000</v>
      </c>
      <c r="J1961" t="n">
        <v>0.079</v>
      </c>
      <c r="K1961" t="n">
        <v>1.76</v>
      </c>
      <c r="L1961" t="n">
        <v>0.14</v>
      </c>
      <c r="M1961" t="n">
        <v>1.62</v>
      </c>
      <c r="P1961" t="inlineStr">
        <is>
          <t>정세빈</t>
        </is>
      </c>
      <c r="Q1961" t="inlineStr">
        <is>
          <t>홈서비스 48개월</t>
        </is>
      </c>
      <c r="AB1961" t="inlineStr">
        <is>
          <t>홈서비스</t>
        </is>
      </c>
      <c r="AC1961" t="n">
        <v>91520</v>
      </c>
      <c r="AD1961" t="n">
        <v>7280</v>
      </c>
      <c r="AE1961" t="n">
        <v>84240</v>
      </c>
      <c r="AF1961" t="n">
        <v>83200</v>
      </c>
      <c r="AG1961" t="n">
        <v>7039.76</v>
      </c>
      <c r="AH1961" t="n">
        <v>76160.24000000001</v>
      </c>
      <c r="AI1961" t="n">
        <v>0</v>
      </c>
    </row>
    <row r="1962">
      <c r="A1962" t="inlineStr">
        <is>
          <t>3월</t>
        </is>
      </c>
      <c r="B1962" t="inlineStr">
        <is>
          <t>10주차</t>
        </is>
      </c>
      <c r="C1962" t="inlineStr">
        <is>
          <t>EP</t>
        </is>
      </c>
      <c r="D1962" s="28" t="n">
        <v>46087</v>
      </c>
      <c r="E1962" t="inlineStr">
        <is>
          <t>현대EP_fast</t>
        </is>
      </c>
      <c r="F1962" t="inlineStr">
        <is>
          <t>백동현</t>
        </is>
      </c>
      <c r="G1962" t="inlineStr">
        <is>
          <t>010-9996-1930</t>
        </is>
      </c>
      <c r="H1962" t="inlineStr">
        <is>
          <t>293고1475</t>
        </is>
      </c>
      <c r="I1962" t="n">
        <v>-31900000</v>
      </c>
      <c r="J1962" t="n">
        <v>0.08500000000000001</v>
      </c>
      <c r="K1962" t="n">
        <v>1.76</v>
      </c>
      <c r="L1962" t="n">
        <v>0.14</v>
      </c>
      <c r="M1962" t="n">
        <v>1.62</v>
      </c>
      <c r="P1962" t="inlineStr">
        <is>
          <t>최형주</t>
        </is>
      </c>
      <c r="Q1962" t="inlineStr">
        <is>
          <t>홈서비스 60개월</t>
        </is>
      </c>
      <c r="AB1962" t="inlineStr">
        <is>
          <t>홈서비스</t>
        </is>
      </c>
      <c r="AC1962" t="n">
        <v>-561440</v>
      </c>
      <c r="AD1962" t="n">
        <v>-44660</v>
      </c>
      <c r="AE1962" t="n">
        <v>-516780</v>
      </c>
      <c r="AF1962" t="n">
        <v>-510400</v>
      </c>
      <c r="AG1962" t="n">
        <v>-43186.22</v>
      </c>
      <c r="AH1962" t="n">
        <v>-467213.78</v>
      </c>
      <c r="AI1962" t="n">
        <v>0</v>
      </c>
    </row>
    <row r="1963">
      <c r="A1963" t="inlineStr">
        <is>
          <t>3월</t>
        </is>
      </c>
      <c r="B1963" t="inlineStr">
        <is>
          <t>11주차</t>
        </is>
      </c>
      <c r="C1963" t="inlineStr">
        <is>
          <t>EP</t>
        </is>
      </c>
      <c r="D1963" s="28" t="n">
        <v>46092</v>
      </c>
      <c r="E1963" t="inlineStr">
        <is>
          <t>현대EP_fast</t>
        </is>
      </c>
      <c r="F1963" t="inlineStr">
        <is>
          <t>김재규</t>
        </is>
      </c>
      <c r="G1963" t="inlineStr">
        <is>
          <t>010-7766-0161</t>
        </is>
      </c>
      <c r="H1963" t="inlineStr">
        <is>
          <t>221가6081</t>
        </is>
      </c>
      <c r="I1963" t="n">
        <v>27900000</v>
      </c>
      <c r="J1963" t="n">
        <v>0.08599999999999999</v>
      </c>
      <c r="K1963" t="n">
        <v>1.76</v>
      </c>
      <c r="L1963" t="n">
        <v>0.14</v>
      </c>
      <c r="M1963" t="n">
        <v>1.62</v>
      </c>
      <c r="P1963" t="inlineStr">
        <is>
          <t>최형주</t>
        </is>
      </c>
      <c r="Q1963" t="inlineStr">
        <is>
          <t>홈서비스 60개월</t>
        </is>
      </c>
      <c r="AB1963" t="inlineStr">
        <is>
          <t>홈서비스</t>
        </is>
      </c>
      <c r="AC1963" t="n">
        <v>491040</v>
      </c>
      <c r="AD1963" t="n">
        <v>39060</v>
      </c>
      <c r="AE1963" t="n">
        <v>451980</v>
      </c>
      <c r="AF1963" t="n">
        <v>446400</v>
      </c>
      <c r="AG1963" t="n">
        <v>37771.02</v>
      </c>
      <c r="AH1963" t="n">
        <v>408628.98</v>
      </c>
      <c r="AI1963" t="n">
        <v>0</v>
      </c>
    </row>
    <row r="1964">
      <c r="A1964" t="inlineStr">
        <is>
          <t>2월</t>
        </is>
      </c>
      <c r="B1964" t="inlineStr">
        <is>
          <t>9주차</t>
        </is>
      </c>
      <c r="C1964" t="inlineStr">
        <is>
          <t>IM</t>
        </is>
      </c>
      <c r="D1964" s="28" t="n">
        <v>46080</v>
      </c>
      <c r="E1964" t="inlineStr">
        <is>
          <t>IM캐피탈</t>
        </is>
      </c>
      <c r="F1964" t="inlineStr">
        <is>
          <t>신수호</t>
        </is>
      </c>
      <c r="G1964" t="inlineStr">
        <is>
          <t>010-4028-5785</t>
        </is>
      </c>
      <c r="H1964" t="inlineStr">
        <is>
          <t>359나8542</t>
        </is>
      </c>
      <c r="I1964" t="n">
        <v>15000000</v>
      </c>
      <c r="J1964" t="n">
        <v>0.056</v>
      </c>
      <c r="K1964" t="n">
        <v>1.1</v>
      </c>
      <c r="L1964" t="n">
        <v>0.14</v>
      </c>
      <c r="M1964" t="n">
        <v>0.96</v>
      </c>
      <c r="P1964" t="inlineStr">
        <is>
          <t>김수연</t>
        </is>
      </c>
      <c r="Q1964" t="inlineStr">
        <is>
          <t>홈서비스 60개월</t>
        </is>
      </c>
      <c r="AB1964" t="inlineStr">
        <is>
          <t>홈서비스</t>
        </is>
      </c>
      <c r="AC1964" t="n">
        <v>165000</v>
      </c>
      <c r="AD1964" t="n">
        <v>21000</v>
      </c>
      <c r="AE1964" t="n">
        <v>144000</v>
      </c>
      <c r="AF1964" t="n">
        <v>150000</v>
      </c>
      <c r="AG1964" t="n">
        <v>20307</v>
      </c>
      <c r="AH1964" t="n">
        <v>129693</v>
      </c>
      <c r="AI1964" t="n">
        <v>0</v>
      </c>
    </row>
    <row r="1965">
      <c r="A1965" t="inlineStr">
        <is>
          <t>3월</t>
        </is>
      </c>
      <c r="B1965" t="inlineStr">
        <is>
          <t>11주차</t>
        </is>
      </c>
      <c r="C1965" t="inlineStr">
        <is>
          <t>IM</t>
        </is>
      </c>
      <c r="D1965" s="28" t="n">
        <v>46090</v>
      </c>
      <c r="E1965" t="inlineStr">
        <is>
          <t>IM캐피탈</t>
        </is>
      </c>
      <c r="F1965" t="inlineStr">
        <is>
          <t>최재웅</t>
        </is>
      </c>
      <c r="G1965" t="inlineStr">
        <is>
          <t>010-9147-7307</t>
        </is>
      </c>
      <c r="H1965" t="inlineStr">
        <is>
          <t>150마7576</t>
        </is>
      </c>
      <c r="I1965" t="n">
        <v>15000000</v>
      </c>
      <c r="J1965" t="n">
        <v>0.039</v>
      </c>
      <c r="K1965" t="n">
        <v>1.1</v>
      </c>
      <c r="L1965" t="n">
        <v>0.14</v>
      </c>
      <c r="M1965" t="n">
        <v>0.96</v>
      </c>
      <c r="P1965" t="inlineStr">
        <is>
          <t>정세빈</t>
        </is>
      </c>
      <c r="Q1965" t="inlineStr">
        <is>
          <t>홈서비스 36개월</t>
        </is>
      </c>
      <c r="AB1965" t="inlineStr">
        <is>
          <t>홈서비스</t>
        </is>
      </c>
      <c r="AC1965" t="n">
        <v>165000</v>
      </c>
      <c r="AD1965" t="n">
        <v>21000</v>
      </c>
      <c r="AE1965" t="n">
        <v>144000</v>
      </c>
      <c r="AF1965" t="n">
        <v>150000</v>
      </c>
      <c r="AG1965" t="n">
        <v>20307</v>
      </c>
      <c r="AH1965" t="n">
        <v>129693</v>
      </c>
      <c r="AI1965" t="n">
        <v>0</v>
      </c>
    </row>
    <row r="1966">
      <c r="A1966" t="inlineStr">
        <is>
          <t>2월</t>
        </is>
      </c>
      <c r="B1966" t="inlineStr">
        <is>
          <t>9주차</t>
        </is>
      </c>
      <c r="C1966" t="inlineStr">
        <is>
          <t>EP</t>
        </is>
      </c>
      <c r="D1966" s="28" t="n">
        <v>46080</v>
      </c>
      <c r="E1966" t="inlineStr">
        <is>
          <t>현대EP_fast</t>
        </is>
      </c>
      <c r="F1966" t="inlineStr">
        <is>
          <t>김율</t>
        </is>
      </c>
      <c r="G1966" t="inlineStr">
        <is>
          <t>010-2737-9044</t>
        </is>
      </c>
      <c r="H1966" t="inlineStr">
        <is>
          <t>167고2306</t>
        </is>
      </c>
      <c r="I1966" t="n">
        <v>8000000</v>
      </c>
      <c r="J1966" t="n">
        <v>0.06900000000000001</v>
      </c>
      <c r="K1966" t="n">
        <v>1.76</v>
      </c>
      <c r="L1966" t="n">
        <v>0.14</v>
      </c>
      <c r="M1966" t="n">
        <v>1.62</v>
      </c>
      <c r="P1966" t="inlineStr">
        <is>
          <t>정광호</t>
        </is>
      </c>
      <c r="Q1966" t="inlineStr">
        <is>
          <t>홈서비스 36개월</t>
        </is>
      </c>
      <c r="AB1966" t="inlineStr">
        <is>
          <t>홈서비스</t>
        </is>
      </c>
      <c r="AC1966" t="n">
        <v>140800</v>
      </c>
      <c r="AD1966" t="n">
        <v>11200</v>
      </c>
      <c r="AE1966" t="n">
        <v>129600</v>
      </c>
      <c r="AF1966" t="n">
        <v>128000</v>
      </c>
      <c r="AG1966" t="n">
        <v>10830.4</v>
      </c>
      <c r="AH1966" t="n">
        <v>117169.6</v>
      </c>
      <c r="AI1966" t="n">
        <v>0</v>
      </c>
    </row>
    <row r="1967">
      <c r="A1967" t="inlineStr">
        <is>
          <t>2월</t>
        </is>
      </c>
      <c r="B1967" t="inlineStr">
        <is>
          <t>9주차</t>
        </is>
      </c>
      <c r="C1967" t="inlineStr">
        <is>
          <t>OR</t>
        </is>
      </c>
      <c r="D1967" s="28" t="n">
        <v>46080</v>
      </c>
      <c r="E1967" t="inlineStr">
        <is>
          <t>오릭스</t>
        </is>
      </c>
      <c r="F1967" t="inlineStr">
        <is>
          <t>고시연</t>
        </is>
      </c>
      <c r="G1967" t="inlineStr">
        <is>
          <t>010-3434-3952</t>
        </is>
      </c>
      <c r="H1967" t="inlineStr">
        <is>
          <t>05거8684</t>
        </is>
      </c>
      <c r="I1967" t="n">
        <v>16300000</v>
      </c>
      <c r="J1967" t="n">
        <v>0.07199999999999999</v>
      </c>
      <c r="K1967" t="n">
        <v>1.65</v>
      </c>
      <c r="L1967" t="n">
        <v>0.4</v>
      </c>
      <c r="M1967" t="n">
        <v>1.25</v>
      </c>
      <c r="P1967" t="inlineStr">
        <is>
          <t>정하은</t>
        </is>
      </c>
      <c r="Q1967" t="inlineStr">
        <is>
          <t>부대비용 추가진행/오토론</t>
        </is>
      </c>
      <c r="AB1967" t="inlineStr">
        <is>
          <t>엔카</t>
        </is>
      </c>
      <c r="AC1967" t="n">
        <v>268950</v>
      </c>
      <c r="AD1967" t="n">
        <v>65200</v>
      </c>
      <c r="AE1967" t="n">
        <v>203750</v>
      </c>
      <c r="AF1967" t="n">
        <v>244500</v>
      </c>
      <c r="AG1967" t="n">
        <v>63048.4</v>
      </c>
      <c r="AH1967" t="n">
        <v>181451.6</v>
      </c>
      <c r="AI1967" t="n">
        <v>0</v>
      </c>
    </row>
    <row r="1968">
      <c r="A1968" t="inlineStr">
        <is>
          <t>3월</t>
        </is>
      </c>
      <c r="B1968" t="inlineStr">
        <is>
          <t>10주차</t>
        </is>
      </c>
      <c r="C1968" t="inlineStr">
        <is>
          <t>IM</t>
        </is>
      </c>
      <c r="D1968" s="28" t="n">
        <v>46085</v>
      </c>
      <c r="E1968" t="inlineStr">
        <is>
          <t>IM캐피탈</t>
        </is>
      </c>
      <c r="F1968" t="inlineStr">
        <is>
          <t>이강택</t>
        </is>
      </c>
      <c r="G1968" t="inlineStr">
        <is>
          <t>010-4247-9371</t>
        </is>
      </c>
      <c r="H1968" t="inlineStr">
        <is>
          <t>201마5818</t>
        </is>
      </c>
      <c r="I1968" t="n">
        <v>68000000</v>
      </c>
      <c r="J1968" t="n">
        <v>0.059</v>
      </c>
      <c r="K1968" t="n">
        <v>1.1</v>
      </c>
      <c r="L1968" t="n">
        <v>0.14</v>
      </c>
      <c r="M1968" t="n">
        <v>0.96</v>
      </c>
      <c r="P1968" t="inlineStr">
        <is>
          <t>최혁</t>
        </is>
      </c>
      <c r="Q1968" t="inlineStr">
        <is>
          <t>홈서비스72개월</t>
        </is>
      </c>
      <c r="AB1968" t="inlineStr">
        <is>
          <t>홈서비스</t>
        </is>
      </c>
      <c r="AC1968" t="n">
        <v>748000</v>
      </c>
      <c r="AD1968" t="n">
        <v>95200</v>
      </c>
      <c r="AE1968" t="n">
        <v>652800</v>
      </c>
      <c r="AF1968" t="n">
        <v>680000</v>
      </c>
      <c r="AG1968" t="n">
        <v>92058.39999999999</v>
      </c>
      <c r="AH1968" t="n">
        <v>587941.6</v>
      </c>
      <c r="AI1968" t="n">
        <v>0</v>
      </c>
    </row>
    <row r="1969">
      <c r="A1969" t="inlineStr">
        <is>
          <t>3월</t>
        </is>
      </c>
      <c r="B1969" t="inlineStr">
        <is>
          <t>11주차</t>
        </is>
      </c>
      <c r="C1969" t="inlineStr">
        <is>
          <t>EP</t>
        </is>
      </c>
      <c r="D1969" s="28" t="n">
        <v>46090</v>
      </c>
      <c r="E1969" t="inlineStr">
        <is>
          <t>현대EP_fast</t>
        </is>
      </c>
      <c r="F1969" t="inlineStr">
        <is>
          <t>박금식</t>
        </is>
      </c>
      <c r="G1969" t="inlineStr">
        <is>
          <t>010-4558-6699</t>
        </is>
      </c>
      <c r="H1969" t="inlineStr">
        <is>
          <t>24수5017</t>
        </is>
      </c>
      <c r="I1969" t="n">
        <v>69800000</v>
      </c>
      <c r="J1969" t="n">
        <v>0.077</v>
      </c>
      <c r="K1969" t="n">
        <v>1.76</v>
      </c>
      <c r="L1969" t="n">
        <v>0.4</v>
      </c>
      <c r="M1969" t="n">
        <v>1.36</v>
      </c>
      <c r="P1969" t="inlineStr">
        <is>
          <t>구성완</t>
        </is>
      </c>
      <c r="Q1969" t="inlineStr">
        <is>
          <t>아들한테 위임진행 조무겸(기고객)</t>
        </is>
      </c>
      <c r="AB1969" t="inlineStr">
        <is>
          <t>엔카</t>
        </is>
      </c>
      <c r="AC1969" t="n">
        <v>1228480</v>
      </c>
      <c r="AD1969" t="n">
        <v>279200</v>
      </c>
      <c r="AE1969" t="n">
        <v>949280</v>
      </c>
      <c r="AF1969" t="n">
        <v>1116800</v>
      </c>
      <c r="AG1969" t="n">
        <v>269986.4</v>
      </c>
      <c r="AH1969" t="n">
        <v>846813.6</v>
      </c>
      <c r="AI1969" t="n">
        <v>0</v>
      </c>
    </row>
    <row r="1970">
      <c r="A1970" t="inlineStr">
        <is>
          <t>3월</t>
        </is>
      </c>
      <c r="B1970" t="inlineStr">
        <is>
          <t>11주차</t>
        </is>
      </c>
      <c r="C1970" t="inlineStr">
        <is>
          <t>EP</t>
        </is>
      </c>
      <c r="D1970" s="28" t="n">
        <v>46090</v>
      </c>
      <c r="E1970" t="inlineStr">
        <is>
          <t>현대EP</t>
        </is>
      </c>
      <c r="F1970" t="inlineStr">
        <is>
          <t>남은정</t>
        </is>
      </c>
      <c r="G1970" t="inlineStr">
        <is>
          <t>010-4398-2709</t>
        </is>
      </c>
      <c r="H1970" t="inlineStr">
        <is>
          <t>29머0757</t>
        </is>
      </c>
      <c r="I1970" t="n">
        <v>3900000</v>
      </c>
      <c r="J1970" t="n">
        <v>0.08599999999999999</v>
      </c>
      <c r="K1970" t="n">
        <v>1.76</v>
      </c>
      <c r="L1970" t="n">
        <v>0.14</v>
      </c>
      <c r="M1970" t="n">
        <v>1.62</v>
      </c>
      <c r="P1970" t="inlineStr">
        <is>
          <t>김나윤</t>
        </is>
      </c>
      <c r="Q1970" t="inlineStr">
        <is>
          <t>홈서비스 36개월</t>
        </is>
      </c>
      <c r="AB1970" t="inlineStr">
        <is>
          <t>홈서비스</t>
        </is>
      </c>
      <c r="AC1970" t="n">
        <v>68640</v>
      </c>
      <c r="AD1970" t="n">
        <v>5460</v>
      </c>
      <c r="AE1970" t="n">
        <v>63180</v>
      </c>
      <c r="AF1970" t="n">
        <v>62400</v>
      </c>
      <c r="AG1970" t="n">
        <v>5279.82</v>
      </c>
      <c r="AH1970" t="n">
        <v>57120.18</v>
      </c>
      <c r="AI1970" t="n">
        <v>0</v>
      </c>
    </row>
    <row r="1971">
      <c r="A1971" t="inlineStr">
        <is>
          <t>3월</t>
        </is>
      </c>
      <c r="B1971" t="inlineStr">
        <is>
          <t>10주차</t>
        </is>
      </c>
      <c r="C1971" t="inlineStr">
        <is>
          <t>EP</t>
        </is>
      </c>
      <c r="D1971" s="28" t="n">
        <v>46084</v>
      </c>
      <c r="E1971" t="inlineStr">
        <is>
          <t>현대EP</t>
        </is>
      </c>
      <c r="F1971" t="inlineStr">
        <is>
          <t>김다름</t>
        </is>
      </c>
      <c r="G1971" t="inlineStr">
        <is>
          <t>010-3928-1240</t>
        </is>
      </c>
      <c r="H1971" t="inlineStr">
        <is>
          <t>11주7926</t>
        </is>
      </c>
      <c r="I1971" t="n">
        <v>7300000</v>
      </c>
      <c r="J1971" t="n">
        <v>0.08500000000000001</v>
      </c>
      <c r="K1971" t="n">
        <v>1.76</v>
      </c>
      <c r="L1971" t="n">
        <v>0.14</v>
      </c>
      <c r="M1971" t="n">
        <v>1.62</v>
      </c>
      <c r="P1971" t="inlineStr">
        <is>
          <t>최형주</t>
        </is>
      </c>
      <c r="Q1971" t="inlineStr">
        <is>
          <t>홈서비스 60개월</t>
        </is>
      </c>
      <c r="AB1971" t="inlineStr">
        <is>
          <t>홈서비스</t>
        </is>
      </c>
      <c r="AC1971" t="n">
        <v>128480</v>
      </c>
      <c r="AD1971" t="n">
        <v>10220</v>
      </c>
      <c r="AE1971" t="n">
        <v>118260</v>
      </c>
      <c r="AF1971" t="n">
        <v>116800</v>
      </c>
      <c r="AG1971" t="n">
        <v>9882.74</v>
      </c>
      <c r="AH1971" t="n">
        <v>106917.26</v>
      </c>
    </row>
    <row r="1972">
      <c r="A1972" t="inlineStr">
        <is>
          <t>2월</t>
        </is>
      </c>
      <c r="B1972" t="inlineStr">
        <is>
          <t>9주차</t>
        </is>
      </c>
      <c r="C1972" t="inlineStr">
        <is>
          <t>IM</t>
        </is>
      </c>
      <c r="D1972" s="28" t="n">
        <v>46081</v>
      </c>
      <c r="E1972" t="inlineStr">
        <is>
          <t>IM캐피탈</t>
        </is>
      </c>
      <c r="F1972" t="inlineStr">
        <is>
          <t>허준기</t>
        </is>
      </c>
      <c r="G1972" t="inlineStr">
        <is>
          <t>010-7469-2028</t>
        </is>
      </c>
      <c r="H1972" t="inlineStr">
        <is>
          <t xml:space="preserve">826구4029 </t>
        </is>
      </c>
      <c r="I1972" t="n">
        <v>27900000</v>
      </c>
      <c r="J1972" t="n">
        <v>0.049</v>
      </c>
      <c r="K1972" t="n">
        <v>1.1</v>
      </c>
      <c r="L1972" t="n">
        <v>0.14</v>
      </c>
      <c r="M1972" t="n">
        <v>0.96</v>
      </c>
      <c r="P1972" t="inlineStr">
        <is>
          <t>정세빈</t>
        </is>
      </c>
      <c r="Q1972" t="inlineStr">
        <is>
          <t>홈서비스 60개월</t>
        </is>
      </c>
      <c r="AB1972" t="inlineStr">
        <is>
          <t>홈서비스</t>
        </is>
      </c>
      <c r="AC1972" t="n">
        <v>306900</v>
      </c>
      <c r="AD1972" t="n">
        <v>39060</v>
      </c>
      <c r="AE1972" t="n">
        <v>267840</v>
      </c>
      <c r="AF1972" t="n">
        <v>279000</v>
      </c>
      <c r="AG1972" t="n">
        <v>37771.02</v>
      </c>
      <c r="AH1972" t="n">
        <v>241228.98</v>
      </c>
      <c r="AI1972" t="n">
        <v>0</v>
      </c>
    </row>
    <row r="1973">
      <c r="A1973" t="inlineStr">
        <is>
          <t>3월</t>
        </is>
      </c>
      <c r="B1973" t="inlineStr">
        <is>
          <t>11주차</t>
        </is>
      </c>
      <c r="C1973" t="inlineStr">
        <is>
          <t>EP</t>
        </is>
      </c>
      <c r="D1973" s="28" t="n">
        <v>46090</v>
      </c>
      <c r="E1973" t="inlineStr">
        <is>
          <t>현대EP</t>
        </is>
      </c>
      <c r="F1973" t="inlineStr">
        <is>
          <t>강성열</t>
        </is>
      </c>
      <c r="G1973" t="inlineStr">
        <is>
          <t>010-3194-8180</t>
        </is>
      </c>
      <c r="H1973" t="inlineStr">
        <is>
          <t>17수1885</t>
        </is>
      </c>
      <c r="I1973" t="n">
        <v>6500000</v>
      </c>
      <c r="J1973" t="n">
        <v>0.074</v>
      </c>
      <c r="K1973" t="n">
        <v>1.76</v>
      </c>
      <c r="L1973" t="n">
        <v>0.14</v>
      </c>
      <c r="M1973" t="n">
        <v>1.62</v>
      </c>
      <c r="P1973" t="inlineStr">
        <is>
          <t>김수연</t>
        </is>
      </c>
      <c r="Q1973" t="inlineStr">
        <is>
          <t>홈서비스 60개월</t>
        </is>
      </c>
      <c r="AB1973" t="inlineStr">
        <is>
          <t>홈서비스</t>
        </is>
      </c>
      <c r="AC1973" t="n">
        <v>114400</v>
      </c>
      <c r="AD1973" t="n">
        <v>9100</v>
      </c>
      <c r="AE1973" t="n">
        <v>105300</v>
      </c>
      <c r="AF1973" t="n">
        <v>104000</v>
      </c>
      <c r="AG1973" t="n">
        <v>8799.700000000001</v>
      </c>
      <c r="AH1973" t="n">
        <v>95200.3</v>
      </c>
    </row>
    <row r="1974">
      <c r="A1974" t="inlineStr">
        <is>
          <t>3월</t>
        </is>
      </c>
      <c r="B1974" t="inlineStr">
        <is>
          <t>11주차</t>
        </is>
      </c>
      <c r="C1974" t="inlineStr">
        <is>
          <t>IM</t>
        </is>
      </c>
      <c r="D1974" s="28" t="n">
        <v>46090</v>
      </c>
      <c r="E1974" t="inlineStr">
        <is>
          <t>IM캐피탈</t>
        </is>
      </c>
      <c r="F1974" t="inlineStr">
        <is>
          <t>강경열</t>
        </is>
      </c>
      <c r="G1974" t="inlineStr">
        <is>
          <t>010-6820-4628</t>
        </is>
      </c>
      <c r="H1974" t="inlineStr">
        <is>
          <t>239모4714</t>
        </is>
      </c>
      <c r="I1974" t="n">
        <v>15300000</v>
      </c>
      <c r="J1974" t="n">
        <v>0.089</v>
      </c>
      <c r="K1974" t="n">
        <v>1.1</v>
      </c>
      <c r="L1974" t="n">
        <v>0.4</v>
      </c>
      <c r="M1974" t="n">
        <v>0.7</v>
      </c>
      <c r="P1974" t="inlineStr">
        <is>
          <t>박보람</t>
        </is>
      </c>
      <c r="AB1974" t="inlineStr">
        <is>
          <t>엔카</t>
        </is>
      </c>
      <c r="AC1974" t="n">
        <v>168300</v>
      </c>
      <c r="AD1974" t="n">
        <v>61200</v>
      </c>
      <c r="AE1974" t="n">
        <v>107100</v>
      </c>
      <c r="AF1974" t="n">
        <v>153000</v>
      </c>
      <c r="AG1974" t="n">
        <v>59180.4</v>
      </c>
      <c r="AH1974" t="n">
        <v>93819.60000000001</v>
      </c>
      <c r="AI1974" t="n">
        <v>0</v>
      </c>
    </row>
    <row r="1975">
      <c r="A1975" t="inlineStr">
        <is>
          <t>3월</t>
        </is>
      </c>
      <c r="B1975" t="inlineStr">
        <is>
          <t>11주차</t>
        </is>
      </c>
      <c r="C1975" t="inlineStr">
        <is>
          <t>EP</t>
        </is>
      </c>
      <c r="D1975" s="28" t="n">
        <v>46090</v>
      </c>
      <c r="E1975" t="inlineStr">
        <is>
          <t>현대EP_fast</t>
        </is>
      </c>
      <c r="F1975" t="inlineStr">
        <is>
          <t>서영규</t>
        </is>
      </c>
      <c r="G1975" t="inlineStr">
        <is>
          <t>010-2412-6435</t>
        </is>
      </c>
      <c r="H1975" t="inlineStr">
        <is>
          <t>55머2831</t>
        </is>
      </c>
      <c r="I1975" t="n">
        <v>7000000</v>
      </c>
      <c r="J1975" t="n">
        <v>0.079</v>
      </c>
      <c r="K1975" t="n">
        <v>1.76</v>
      </c>
      <c r="L1975" t="n">
        <v>0.14</v>
      </c>
      <c r="M1975" t="n">
        <v>1.62</v>
      </c>
      <c r="P1975" t="inlineStr">
        <is>
          <t>김수연</t>
        </is>
      </c>
      <c r="Q1975" t="inlineStr">
        <is>
          <t>홈서비스 60개월</t>
        </is>
      </c>
      <c r="AB1975" t="inlineStr">
        <is>
          <t>홈서비스</t>
        </is>
      </c>
      <c r="AC1975" t="n">
        <v>123200</v>
      </c>
      <c r="AD1975" t="n">
        <v>9800</v>
      </c>
      <c r="AE1975" t="n">
        <v>113400</v>
      </c>
      <c r="AF1975" t="n">
        <v>112000</v>
      </c>
      <c r="AG1975" t="n">
        <v>9476.6</v>
      </c>
      <c r="AH1975" t="n">
        <v>102523.4</v>
      </c>
    </row>
    <row r="1976">
      <c r="A1976" t="inlineStr">
        <is>
          <t>3월</t>
        </is>
      </c>
      <c r="B1976" t="inlineStr">
        <is>
          <t>11주차</t>
        </is>
      </c>
      <c r="C1976" t="inlineStr">
        <is>
          <t>EP</t>
        </is>
      </c>
      <c r="D1976" s="28" t="n">
        <v>46090</v>
      </c>
      <c r="E1976" t="inlineStr">
        <is>
          <t>제이비EP</t>
        </is>
      </c>
      <c r="F1976" t="inlineStr">
        <is>
          <t>임대운</t>
        </is>
      </c>
      <c r="G1976" t="inlineStr">
        <is>
          <t>010-6221-4729</t>
        </is>
      </c>
      <c r="H1976" t="inlineStr">
        <is>
          <t>225오5440</t>
        </is>
      </c>
      <c r="I1976" t="n">
        <v>24900000</v>
      </c>
      <c r="J1976" t="n">
        <v>0.092</v>
      </c>
      <c r="K1976" t="n">
        <v>1.65</v>
      </c>
      <c r="L1976" t="n">
        <v>0.5</v>
      </c>
      <c r="M1976" t="n">
        <v>1.15</v>
      </c>
      <c r="P1976" t="inlineStr">
        <is>
          <t>정하은</t>
        </is>
      </c>
      <c r="AB1976" t="inlineStr">
        <is>
          <t>엔카</t>
        </is>
      </c>
      <c r="AC1976" t="n">
        <v>410850</v>
      </c>
      <c r="AD1976" t="n">
        <v>124500</v>
      </c>
      <c r="AE1976" t="n">
        <v>286350</v>
      </c>
      <c r="AF1976" t="n">
        <v>373500</v>
      </c>
      <c r="AG1976" t="n">
        <v>120391.5</v>
      </c>
      <c r="AH1976" t="n">
        <v>253108.5</v>
      </c>
      <c r="AI1976" t="n">
        <v>1</v>
      </c>
    </row>
    <row r="1977">
      <c r="A1977" t="inlineStr">
        <is>
          <t>3월</t>
        </is>
      </c>
      <c r="B1977" t="inlineStr">
        <is>
          <t>11주차</t>
        </is>
      </c>
      <c r="C1977" t="inlineStr">
        <is>
          <t>IM</t>
        </is>
      </c>
      <c r="D1977" s="28" t="n">
        <v>46090</v>
      </c>
      <c r="E1977" t="inlineStr">
        <is>
          <t>IM캐피탈</t>
        </is>
      </c>
      <c r="F1977" t="inlineStr">
        <is>
          <t>김성우</t>
        </is>
      </c>
      <c r="G1977" t="inlineStr">
        <is>
          <t>010-9199-7602</t>
        </is>
      </c>
      <c r="H1977" t="inlineStr">
        <is>
          <t>65저4907</t>
        </is>
      </c>
      <c r="I1977" t="n">
        <v>21000000</v>
      </c>
      <c r="J1977" t="n">
        <v>0.066</v>
      </c>
      <c r="K1977" t="n">
        <v>1.1</v>
      </c>
      <c r="L1977" t="n">
        <v>0.14</v>
      </c>
      <c r="M1977" t="n">
        <v>0.96</v>
      </c>
      <c r="P1977" t="inlineStr">
        <is>
          <t>정하은</t>
        </is>
      </c>
      <c r="Q1977" t="inlineStr">
        <is>
          <t>홈서비스 60개월</t>
        </is>
      </c>
      <c r="AB1977" t="inlineStr">
        <is>
          <t>홈서비스</t>
        </is>
      </c>
      <c r="AC1977" t="n">
        <v>231000</v>
      </c>
      <c r="AD1977" t="n">
        <v>29400</v>
      </c>
      <c r="AE1977" t="n">
        <v>201600</v>
      </c>
      <c r="AF1977" t="n">
        <v>210000</v>
      </c>
      <c r="AG1977" t="n">
        <v>28429.8</v>
      </c>
      <c r="AH1977" t="n">
        <v>181570.2</v>
      </c>
    </row>
    <row r="1978">
      <c r="A1978" t="inlineStr">
        <is>
          <t>3월</t>
        </is>
      </c>
      <c r="B1978" t="inlineStr">
        <is>
          <t>11주차</t>
        </is>
      </c>
      <c r="C1978" t="inlineStr">
        <is>
          <t>EP</t>
        </is>
      </c>
      <c r="D1978" s="28" t="n">
        <v>46090</v>
      </c>
      <c r="E1978" t="inlineStr">
        <is>
          <t>현대EP_fast</t>
        </is>
      </c>
      <c r="F1978" t="inlineStr">
        <is>
          <t>황민호</t>
        </is>
      </c>
      <c r="G1978" t="inlineStr">
        <is>
          <t>010-3441-0215</t>
        </is>
      </c>
      <c r="H1978" t="inlineStr">
        <is>
          <t>277수7222</t>
        </is>
      </c>
      <c r="I1978" t="n">
        <v>11000000</v>
      </c>
      <c r="J1978" t="n">
        <v>0.079</v>
      </c>
      <c r="K1978" t="n">
        <v>1.76</v>
      </c>
      <c r="L1978" t="n">
        <v>0.14</v>
      </c>
      <c r="M1978" t="n">
        <v>1.62</v>
      </c>
      <c r="P1978" t="inlineStr">
        <is>
          <t>정광호</t>
        </is>
      </c>
      <c r="Q1978" t="inlineStr">
        <is>
          <t>홈서비스 48개월</t>
        </is>
      </c>
      <c r="AB1978" t="inlineStr">
        <is>
          <t>홈서비스</t>
        </is>
      </c>
      <c r="AC1978" t="n">
        <v>193600</v>
      </c>
      <c r="AD1978" t="n">
        <v>15400</v>
      </c>
      <c r="AE1978" t="n">
        <v>178200</v>
      </c>
      <c r="AF1978" t="n">
        <v>176000</v>
      </c>
      <c r="AG1978" t="n">
        <v>14891.8</v>
      </c>
      <c r="AH1978" t="n">
        <v>161108.2</v>
      </c>
      <c r="AI1978" t="n">
        <v>0</v>
      </c>
    </row>
    <row r="1979">
      <c r="A1979" t="inlineStr">
        <is>
          <t>3월</t>
        </is>
      </c>
      <c r="B1979" t="inlineStr">
        <is>
          <t>10주차</t>
        </is>
      </c>
      <c r="C1979" t="inlineStr">
        <is>
          <t>EP</t>
        </is>
      </c>
      <c r="D1979" s="28" t="n">
        <v>46084</v>
      </c>
      <c r="E1979" t="inlineStr">
        <is>
          <t>현대EP_fast</t>
        </is>
      </c>
      <c r="F1979" t="inlineStr">
        <is>
          <t>신정현</t>
        </is>
      </c>
      <c r="G1979" t="inlineStr">
        <is>
          <t>010-4193-8212</t>
        </is>
      </c>
      <c r="H1979" t="inlineStr">
        <is>
          <t>68서7176</t>
        </is>
      </c>
      <c r="I1979" t="n">
        <v>25800000</v>
      </c>
      <c r="J1979" t="n">
        <v>0.09</v>
      </c>
      <c r="K1979" t="n">
        <v>1.76</v>
      </c>
      <c r="L1979" t="n">
        <v>0.14</v>
      </c>
      <c r="M1979" t="n">
        <v>1.62</v>
      </c>
      <c r="P1979" t="inlineStr">
        <is>
          <t>황채이</t>
        </is>
      </c>
      <c r="Q1979" t="inlineStr">
        <is>
          <t>홈서비스 60개월</t>
        </is>
      </c>
      <c r="AB1979" t="inlineStr">
        <is>
          <t>홈서비스</t>
        </is>
      </c>
      <c r="AC1979" t="n">
        <v>454080</v>
      </c>
      <c r="AD1979" t="n">
        <v>36120</v>
      </c>
      <c r="AE1979" t="n">
        <v>417960</v>
      </c>
      <c r="AF1979" t="n">
        <v>412800</v>
      </c>
      <c r="AG1979" t="n">
        <v>34928.04</v>
      </c>
      <c r="AH1979" t="n">
        <v>377871.96</v>
      </c>
      <c r="AI1979" t="n">
        <v>0</v>
      </c>
    </row>
    <row r="1980">
      <c r="A1980" t="inlineStr">
        <is>
          <t>3월</t>
        </is>
      </c>
      <c r="B1980" t="inlineStr">
        <is>
          <t>10주차</t>
        </is>
      </c>
      <c r="C1980" t="inlineStr">
        <is>
          <t>IM</t>
        </is>
      </c>
      <c r="D1980" s="28" t="n">
        <v>46083</v>
      </c>
      <c r="E1980" t="inlineStr">
        <is>
          <t>IM캐피탈</t>
        </is>
      </c>
      <c r="F1980" t="inlineStr">
        <is>
          <t>김정휘</t>
        </is>
      </c>
      <c r="G1980" t="inlineStr">
        <is>
          <t>010-4035-8726</t>
        </is>
      </c>
      <c r="H1980" t="inlineStr">
        <is>
          <t>07다9040</t>
        </is>
      </c>
      <c r="I1980" t="n">
        <v>12300000</v>
      </c>
      <c r="J1980" t="n">
        <v>0.049</v>
      </c>
      <c r="K1980" t="n">
        <v>1.1</v>
      </c>
      <c r="L1980" t="n">
        <v>0.4</v>
      </c>
      <c r="M1980" t="n">
        <v>0.7</v>
      </c>
      <c r="P1980" t="inlineStr">
        <is>
          <t>임대경</t>
        </is>
      </c>
      <c r="AB1980" t="inlineStr">
        <is>
          <t>엔카</t>
        </is>
      </c>
      <c r="AC1980" t="n">
        <v>135300</v>
      </c>
      <c r="AD1980" t="n">
        <v>49200</v>
      </c>
      <c r="AE1980" t="n">
        <v>86100</v>
      </c>
      <c r="AF1980" t="n">
        <v>123000</v>
      </c>
      <c r="AG1980" t="n">
        <v>47576.4</v>
      </c>
      <c r="AH1980" t="n">
        <v>75423.60000000001</v>
      </c>
      <c r="AI1980" t="n">
        <v>0</v>
      </c>
    </row>
    <row r="1981">
      <c r="A1981" t="inlineStr">
        <is>
          <t>3월</t>
        </is>
      </c>
      <c r="B1981" t="inlineStr">
        <is>
          <t>10주차</t>
        </is>
      </c>
      <c r="C1981" t="inlineStr">
        <is>
          <t>IM</t>
        </is>
      </c>
      <c r="D1981" s="28" t="n">
        <v>46087</v>
      </c>
      <c r="E1981" t="inlineStr">
        <is>
          <t>IM캐피탈</t>
        </is>
      </c>
      <c r="F1981" t="inlineStr">
        <is>
          <t>전혜인</t>
        </is>
      </c>
      <c r="G1981" t="inlineStr">
        <is>
          <t>010-7131-1567</t>
        </is>
      </c>
      <c r="H1981" t="inlineStr">
        <is>
          <t>298주2581</t>
        </is>
      </c>
      <c r="I1981" t="n">
        <v>-22800000</v>
      </c>
      <c r="J1981" t="n">
        <v>0.039</v>
      </c>
      <c r="K1981" t="n">
        <v>1.1</v>
      </c>
      <c r="L1981" t="n">
        <v>0.14</v>
      </c>
      <c r="M1981" t="n">
        <v>0.96</v>
      </c>
      <c r="P1981" t="inlineStr">
        <is>
          <t>장진경</t>
        </is>
      </c>
      <c r="Q1981" t="inlineStr">
        <is>
          <t>선상담 / 홈서비스 84개월</t>
        </is>
      </c>
      <c r="AB1981" t="inlineStr">
        <is>
          <t>홈서비스</t>
        </is>
      </c>
      <c r="AC1981" t="n">
        <v>-250800</v>
      </c>
      <c r="AD1981" t="n">
        <v>-31920</v>
      </c>
      <c r="AE1981" t="n">
        <v>-218880</v>
      </c>
      <c r="AF1981" t="n">
        <v>-228000</v>
      </c>
      <c r="AG1981" t="n">
        <v>-30866.64</v>
      </c>
      <c r="AH1981" t="n">
        <v>-197133.36</v>
      </c>
      <c r="AI1981" t="n">
        <v>0</v>
      </c>
    </row>
    <row r="1982">
      <c r="A1982" t="inlineStr">
        <is>
          <t>3월</t>
        </is>
      </c>
      <c r="B1982" t="inlineStr">
        <is>
          <t>11주차</t>
        </is>
      </c>
      <c r="C1982" t="inlineStr">
        <is>
          <t>IM</t>
        </is>
      </c>
      <c r="D1982" s="28" t="n">
        <v>46090</v>
      </c>
      <c r="E1982" t="inlineStr">
        <is>
          <t>IM캐피탈</t>
        </is>
      </c>
      <c r="F1982" t="inlineStr">
        <is>
          <t>구규형</t>
        </is>
      </c>
      <c r="G1982" t="inlineStr">
        <is>
          <t>010-9345-7259</t>
        </is>
      </c>
      <c r="H1982" t="inlineStr">
        <is>
          <t>53고0423</t>
        </is>
      </c>
      <c r="I1982" t="n">
        <v>12000000</v>
      </c>
      <c r="J1982" t="n">
        <v>0.049</v>
      </c>
      <c r="K1982" t="n">
        <v>1.1</v>
      </c>
      <c r="L1982" t="n">
        <v>0.14</v>
      </c>
      <c r="M1982" t="n">
        <v>0.96</v>
      </c>
      <c r="P1982" t="inlineStr">
        <is>
          <t>정세빈</t>
        </is>
      </c>
      <c r="Q1982" t="inlineStr">
        <is>
          <t>홈서비스 48개월</t>
        </is>
      </c>
      <c r="AB1982" t="inlineStr">
        <is>
          <t>홈서비스</t>
        </is>
      </c>
      <c r="AC1982" t="n">
        <v>132000</v>
      </c>
      <c r="AD1982" t="n">
        <v>16800</v>
      </c>
      <c r="AE1982" t="n">
        <v>115200</v>
      </c>
      <c r="AF1982" t="n">
        <v>120000</v>
      </c>
      <c r="AG1982" t="n">
        <v>16245.6</v>
      </c>
      <c r="AH1982" t="n">
        <v>103754.4</v>
      </c>
      <c r="AI1982" t="n">
        <v>0</v>
      </c>
    </row>
    <row r="1983">
      <c r="A1983" t="inlineStr">
        <is>
          <t>3월</t>
        </is>
      </c>
      <c r="B1983" t="inlineStr">
        <is>
          <t>11주차</t>
        </is>
      </c>
      <c r="C1983" t="inlineStr">
        <is>
          <t>IM</t>
        </is>
      </c>
      <c r="D1983" s="28" t="n">
        <v>46090</v>
      </c>
      <c r="E1983" t="inlineStr">
        <is>
          <t>IM캐피탈</t>
        </is>
      </c>
      <c r="F1983" t="inlineStr">
        <is>
          <t>손모아</t>
        </is>
      </c>
      <c r="G1983" t="inlineStr">
        <is>
          <t>010-8665-9136</t>
        </is>
      </c>
      <c r="H1983" t="inlineStr">
        <is>
          <t>380거9667</t>
        </is>
      </c>
      <c r="I1983" t="n">
        <v>12200000</v>
      </c>
      <c r="J1983" t="n">
        <v>0.039</v>
      </c>
      <c r="K1983" t="n">
        <v>1.1</v>
      </c>
      <c r="L1983" t="n">
        <v>0.14</v>
      </c>
      <c r="M1983" t="n">
        <v>0.96</v>
      </c>
      <c r="P1983" t="inlineStr">
        <is>
          <t>정세빈</t>
        </is>
      </c>
      <c r="Q1983" t="inlineStr">
        <is>
          <t>홈서비스 48개월</t>
        </is>
      </c>
      <c r="AB1983" t="inlineStr">
        <is>
          <t>홈서비스</t>
        </is>
      </c>
      <c r="AC1983" t="n">
        <v>134200</v>
      </c>
      <c r="AD1983" t="n">
        <v>17080</v>
      </c>
      <c r="AE1983" t="n">
        <v>117120</v>
      </c>
      <c r="AF1983" t="n">
        <v>122000</v>
      </c>
      <c r="AG1983" t="n">
        <v>16516.36</v>
      </c>
      <c r="AH1983" t="n">
        <v>105483.64</v>
      </c>
      <c r="AI1983" t="n">
        <v>0</v>
      </c>
    </row>
    <row r="1984">
      <c r="A1984" t="inlineStr">
        <is>
          <t>3월</t>
        </is>
      </c>
      <c r="B1984" t="inlineStr">
        <is>
          <t>11주차</t>
        </is>
      </c>
      <c r="C1984" t="inlineStr">
        <is>
          <t>IM</t>
        </is>
      </c>
      <c r="D1984" s="28" t="n">
        <v>46090</v>
      </c>
      <c r="E1984" t="inlineStr">
        <is>
          <t>IM캐피탈</t>
        </is>
      </c>
      <c r="F1984" t="inlineStr">
        <is>
          <t>전혜인</t>
        </is>
      </c>
      <c r="G1984" t="inlineStr">
        <is>
          <t>010-7131-1567</t>
        </is>
      </c>
      <c r="H1984" t="inlineStr">
        <is>
          <t>187무8840</t>
        </is>
      </c>
      <c r="I1984" t="n">
        <v>23500000</v>
      </c>
      <c r="J1984" t="n">
        <v>0.039</v>
      </c>
      <c r="K1984" t="n">
        <v>1.1</v>
      </c>
      <c r="L1984" t="n">
        <v>0.14</v>
      </c>
      <c r="M1984" t="n">
        <v>0.96</v>
      </c>
      <c r="P1984" t="inlineStr">
        <is>
          <t>장진경</t>
        </is>
      </c>
      <c r="Q1984" t="inlineStr">
        <is>
          <t>선상담 / 홈서비스 84개월 / 부대비용 추가진행</t>
        </is>
      </c>
      <c r="AB1984" t="inlineStr">
        <is>
          <t>홈서비스</t>
        </is>
      </c>
      <c r="AC1984" t="n">
        <v>258500</v>
      </c>
      <c r="AD1984" t="n">
        <v>32900</v>
      </c>
      <c r="AE1984" t="n">
        <v>225600</v>
      </c>
      <c r="AF1984" t="n">
        <v>235000</v>
      </c>
      <c r="AG1984" t="n">
        <v>31814.3</v>
      </c>
      <c r="AH1984" t="n">
        <v>203185.7</v>
      </c>
      <c r="AI1984" t="n">
        <v>0</v>
      </c>
    </row>
    <row r="1985">
      <c r="A1985" t="inlineStr">
        <is>
          <t>3월</t>
        </is>
      </c>
      <c r="B1985" t="inlineStr">
        <is>
          <t>11주차</t>
        </is>
      </c>
      <c r="C1985" t="inlineStr">
        <is>
          <t>IM</t>
        </is>
      </c>
      <c r="D1985" s="28" t="n">
        <v>46090</v>
      </c>
      <c r="E1985" t="inlineStr">
        <is>
          <t>IM캐피탈</t>
        </is>
      </c>
      <c r="F1985" t="inlineStr">
        <is>
          <t>고기한</t>
        </is>
      </c>
      <c r="G1985" t="inlineStr">
        <is>
          <t>010-5340-4755</t>
        </is>
      </c>
      <c r="H1985" t="inlineStr">
        <is>
          <t>09누2017</t>
        </is>
      </c>
      <c r="I1985" t="n">
        <v>25000000</v>
      </c>
      <c r="J1985" t="n">
        <v>0.056</v>
      </c>
      <c r="K1985" t="n">
        <v>1.1</v>
      </c>
      <c r="L1985" t="n">
        <v>0.14</v>
      </c>
      <c r="M1985" t="n">
        <v>0.96</v>
      </c>
      <c r="P1985" t="inlineStr">
        <is>
          <t>김수연</t>
        </is>
      </c>
      <c r="Q1985" t="inlineStr">
        <is>
          <t>홈서비스 36개월</t>
        </is>
      </c>
      <c r="AB1985" t="inlineStr">
        <is>
          <t>홈서비스</t>
        </is>
      </c>
      <c r="AC1985" t="n">
        <v>275000</v>
      </c>
      <c r="AD1985" t="n">
        <v>35000</v>
      </c>
      <c r="AE1985" t="n">
        <v>240000</v>
      </c>
      <c r="AF1985" t="n">
        <v>250000</v>
      </c>
      <c r="AG1985" t="n">
        <v>33845</v>
      </c>
      <c r="AH1985" t="n">
        <v>216155</v>
      </c>
      <c r="AI1985" t="n">
        <v>0</v>
      </c>
    </row>
    <row r="1986">
      <c r="A1986" t="inlineStr">
        <is>
          <t>3월</t>
        </is>
      </c>
      <c r="B1986" t="inlineStr">
        <is>
          <t>11주차</t>
        </is>
      </c>
      <c r="C1986" t="inlineStr">
        <is>
          <t>IM</t>
        </is>
      </c>
      <c r="D1986" s="28" t="n">
        <v>46090</v>
      </c>
      <c r="E1986" t="inlineStr">
        <is>
          <t>IM캐피탈</t>
        </is>
      </c>
      <c r="F1986" t="inlineStr">
        <is>
          <t>이경민</t>
        </is>
      </c>
      <c r="G1986" t="inlineStr">
        <is>
          <t>010-9380-2734</t>
        </is>
      </c>
      <c r="H1986" t="inlineStr">
        <is>
          <t>171더2441</t>
        </is>
      </c>
      <c r="I1986" t="n">
        <v>15900000</v>
      </c>
      <c r="J1986" t="n">
        <v>0.066</v>
      </c>
      <c r="K1986" t="n">
        <v>1.1</v>
      </c>
      <c r="L1986" t="n">
        <v>0.14</v>
      </c>
      <c r="M1986" t="n">
        <v>0.96</v>
      </c>
      <c r="P1986" t="inlineStr">
        <is>
          <t>김수연</t>
        </is>
      </c>
      <c r="Q1986" t="inlineStr">
        <is>
          <t>홈서비스 24개월</t>
        </is>
      </c>
      <c r="AB1986" t="inlineStr">
        <is>
          <t>홈서비스</t>
        </is>
      </c>
      <c r="AC1986" t="n">
        <v>174900</v>
      </c>
      <c r="AD1986" t="n">
        <v>22260</v>
      </c>
      <c r="AE1986" t="n">
        <v>152640</v>
      </c>
      <c r="AF1986" t="n">
        <v>159000</v>
      </c>
      <c r="AG1986" t="n">
        <v>21525.42</v>
      </c>
      <c r="AH1986" t="n">
        <v>137474.58</v>
      </c>
      <c r="AI1986" t="n">
        <v>0</v>
      </c>
    </row>
    <row r="1987">
      <c r="A1987" t="inlineStr">
        <is>
          <t>3월</t>
        </is>
      </c>
      <c r="B1987" t="inlineStr">
        <is>
          <t>10주차</t>
        </is>
      </c>
      <c r="C1987" t="inlineStr">
        <is>
          <t>IM</t>
        </is>
      </c>
      <c r="D1987" s="28" t="n">
        <v>46084</v>
      </c>
      <c r="E1987" t="inlineStr">
        <is>
          <t>IM캐피탈</t>
        </is>
      </c>
      <c r="F1987" t="inlineStr">
        <is>
          <t>한철우</t>
        </is>
      </c>
      <c r="G1987" t="inlineStr">
        <is>
          <t>010-4703-8097</t>
        </is>
      </c>
      <c r="H1987" t="inlineStr">
        <is>
          <t>147고9602</t>
        </is>
      </c>
      <c r="I1987" t="n">
        <v>26400000</v>
      </c>
      <c r="J1987" t="n">
        <v>0.066</v>
      </c>
      <c r="K1987" t="n">
        <v>1.1</v>
      </c>
      <c r="L1987" t="n">
        <v>0.14</v>
      </c>
      <c r="M1987" t="n">
        <v>0.96</v>
      </c>
      <c r="P1987" t="inlineStr">
        <is>
          <t>김수연</t>
        </is>
      </c>
      <c r="Q1987" t="inlineStr">
        <is>
          <t>홈서비스 84개월</t>
        </is>
      </c>
      <c r="AB1987" t="inlineStr">
        <is>
          <t>홈서비스</t>
        </is>
      </c>
      <c r="AC1987" t="n">
        <v>290400</v>
      </c>
      <c r="AD1987" t="n">
        <v>36960</v>
      </c>
      <c r="AE1987" t="n">
        <v>253440</v>
      </c>
      <c r="AF1987" t="n">
        <v>264000</v>
      </c>
      <c r="AG1987" t="n">
        <v>35740.32</v>
      </c>
      <c r="AH1987" t="n">
        <v>228259.68</v>
      </c>
    </row>
    <row r="1988">
      <c r="A1988" t="inlineStr">
        <is>
          <t>3월</t>
        </is>
      </c>
      <c r="B1988" t="inlineStr">
        <is>
          <t>10주차</t>
        </is>
      </c>
      <c r="C1988" t="inlineStr">
        <is>
          <t>IM</t>
        </is>
      </c>
      <c r="D1988" s="28" t="n">
        <v>46086</v>
      </c>
      <c r="E1988" t="inlineStr">
        <is>
          <t>IM캐피탈</t>
        </is>
      </c>
      <c r="F1988" t="inlineStr">
        <is>
          <t>윤병욱</t>
        </is>
      </c>
      <c r="G1988" t="inlineStr">
        <is>
          <t>010-4915-8280</t>
        </is>
      </c>
      <c r="H1988" t="inlineStr">
        <is>
          <t>04누6867</t>
        </is>
      </c>
      <c r="I1988" t="n">
        <v>14400000</v>
      </c>
      <c r="J1988" t="n">
        <v>0.075</v>
      </c>
      <c r="K1988" t="n">
        <v>1.1</v>
      </c>
      <c r="L1988" t="n">
        <v>0.14</v>
      </c>
      <c r="M1988" t="n">
        <v>0.96</v>
      </c>
      <c r="P1988" t="inlineStr">
        <is>
          <t>김수연</t>
        </is>
      </c>
      <c r="Q1988" t="inlineStr">
        <is>
          <t>홈서비스 24개월</t>
        </is>
      </c>
      <c r="AB1988" t="inlineStr">
        <is>
          <t>홈서비스</t>
        </is>
      </c>
      <c r="AC1988" t="n">
        <v>158400</v>
      </c>
      <c r="AD1988" t="n">
        <v>20160</v>
      </c>
      <c r="AE1988" t="n">
        <v>138240</v>
      </c>
      <c r="AF1988" t="n">
        <v>144000</v>
      </c>
      <c r="AG1988" t="n">
        <v>19494.72</v>
      </c>
      <c r="AH1988" t="n">
        <v>124505.28</v>
      </c>
      <c r="AI1988" t="n">
        <v>0</v>
      </c>
    </row>
    <row r="1989">
      <c r="A1989" t="inlineStr">
        <is>
          <t>3월</t>
        </is>
      </c>
      <c r="B1989" t="inlineStr">
        <is>
          <t>10주차</t>
        </is>
      </c>
      <c r="C1989" t="inlineStr">
        <is>
          <t>IM</t>
        </is>
      </c>
      <c r="D1989" s="28" t="n">
        <v>46086</v>
      </c>
      <c r="E1989" t="inlineStr">
        <is>
          <t>IM캐피탈</t>
        </is>
      </c>
      <c r="F1989" t="inlineStr">
        <is>
          <t>이태곤</t>
        </is>
      </c>
      <c r="G1989" t="inlineStr">
        <is>
          <t>010-4620-4548</t>
        </is>
      </c>
      <c r="H1989" t="inlineStr">
        <is>
          <t>258저3743</t>
        </is>
      </c>
      <c r="I1989" t="n">
        <v>5500000</v>
      </c>
      <c r="J1989" t="n">
        <v>0.049</v>
      </c>
      <c r="K1989" t="n">
        <v>1.1</v>
      </c>
      <c r="L1989" t="n">
        <v>0.14</v>
      </c>
      <c r="M1989" t="n">
        <v>0.96</v>
      </c>
      <c r="P1989" t="inlineStr">
        <is>
          <t>김수연</t>
        </is>
      </c>
      <c r="Q1989" t="inlineStr">
        <is>
          <t>홈서비스 36개월</t>
        </is>
      </c>
      <c r="AB1989" t="inlineStr">
        <is>
          <t>홈서비스</t>
        </is>
      </c>
      <c r="AC1989" t="n">
        <v>60500</v>
      </c>
      <c r="AD1989" t="n">
        <v>7700</v>
      </c>
      <c r="AE1989" t="n">
        <v>52800</v>
      </c>
      <c r="AF1989" t="n">
        <v>55000</v>
      </c>
      <c r="AG1989" t="n">
        <v>7445.9</v>
      </c>
      <c r="AH1989" t="n">
        <v>47554.1</v>
      </c>
      <c r="AI1989" t="n">
        <v>0</v>
      </c>
    </row>
    <row r="1990">
      <c r="A1990" t="inlineStr">
        <is>
          <t>3월</t>
        </is>
      </c>
      <c r="B1990" t="inlineStr">
        <is>
          <t>11주차</t>
        </is>
      </c>
      <c r="C1990" t="inlineStr">
        <is>
          <t>OR</t>
        </is>
      </c>
      <c r="D1990" s="28" t="n">
        <v>46090</v>
      </c>
      <c r="E1990" t="inlineStr">
        <is>
          <t>오릭스</t>
        </is>
      </c>
      <c r="F1990" t="inlineStr">
        <is>
          <t>임형민</t>
        </is>
      </c>
      <c r="G1990" t="inlineStr">
        <is>
          <t>010-6530-2073</t>
        </is>
      </c>
      <c r="H1990" t="inlineStr">
        <is>
          <t>205어1553</t>
        </is>
      </c>
      <c r="I1990" t="n">
        <v>26900000</v>
      </c>
      <c r="J1990" t="n">
        <v>0.057</v>
      </c>
      <c r="K1990" t="n">
        <v>1.65</v>
      </c>
      <c r="L1990" t="n">
        <v>0.5</v>
      </c>
      <c r="M1990" t="n">
        <v>1.15</v>
      </c>
      <c r="P1990" t="inlineStr">
        <is>
          <t>정하은</t>
        </is>
      </c>
      <c r="Q1990" t="inlineStr">
        <is>
          <t>오토론 ㅡㅡ /0.1% 금리차감 고객</t>
        </is>
      </c>
      <c r="AB1990" t="inlineStr">
        <is>
          <t>엔카</t>
        </is>
      </c>
      <c r="AC1990" t="n">
        <v>443850</v>
      </c>
      <c r="AD1990" t="n">
        <v>134500</v>
      </c>
      <c r="AE1990" t="n">
        <v>309350</v>
      </c>
      <c r="AF1990" t="n">
        <v>403500</v>
      </c>
      <c r="AG1990" t="n">
        <v>130061.5</v>
      </c>
      <c r="AH1990" t="n">
        <v>273438.5</v>
      </c>
      <c r="AI1990" t="n">
        <v>0</v>
      </c>
    </row>
    <row r="1991">
      <c r="A1991" t="inlineStr">
        <is>
          <t>3월</t>
        </is>
      </c>
      <c r="B1991" t="inlineStr">
        <is>
          <t>11주차</t>
        </is>
      </c>
      <c r="C1991" t="inlineStr">
        <is>
          <t>IM</t>
        </is>
      </c>
      <c r="D1991" s="28" t="n">
        <v>46090</v>
      </c>
      <c r="E1991" t="inlineStr">
        <is>
          <t>IM캐피탈</t>
        </is>
      </c>
      <c r="F1991" t="inlineStr">
        <is>
          <t>안용현</t>
        </is>
      </c>
      <c r="G1991" t="inlineStr">
        <is>
          <t>010-8578-2907</t>
        </is>
      </c>
      <c r="H1991" t="inlineStr">
        <is>
          <t>55저5386</t>
        </is>
      </c>
      <c r="I1991" t="n">
        <v>4800000</v>
      </c>
      <c r="J1991" t="n">
        <v>0.049</v>
      </c>
      <c r="K1991" t="n">
        <v>1.1</v>
      </c>
      <c r="L1991" t="n">
        <v>0.14</v>
      </c>
      <c r="M1991" t="n">
        <v>0.96</v>
      </c>
      <c r="P1991" t="inlineStr">
        <is>
          <t>김나윤</t>
        </is>
      </c>
      <c r="Q1991" t="inlineStr">
        <is>
          <t>홈서비스 60개월</t>
        </is>
      </c>
      <c r="AB1991" t="inlineStr">
        <is>
          <t>홈서비스</t>
        </is>
      </c>
      <c r="AC1991" t="n">
        <v>52800</v>
      </c>
      <c r="AD1991" t="n">
        <v>6720</v>
      </c>
      <c r="AE1991" t="n">
        <v>46080</v>
      </c>
      <c r="AF1991" t="n">
        <v>48000</v>
      </c>
      <c r="AG1991" t="n">
        <v>6498.24</v>
      </c>
      <c r="AH1991" t="n">
        <v>41501.76</v>
      </c>
      <c r="AI1991" t="n">
        <v>0</v>
      </c>
    </row>
    <row r="1992">
      <c r="A1992" t="inlineStr">
        <is>
          <t>3월</t>
        </is>
      </c>
      <c r="B1992" t="inlineStr">
        <is>
          <t>11주차</t>
        </is>
      </c>
      <c r="C1992" t="inlineStr">
        <is>
          <t>EP</t>
        </is>
      </c>
      <c r="D1992" s="28" t="n">
        <v>46090</v>
      </c>
      <c r="E1992" t="inlineStr">
        <is>
          <t>현대EP_fast</t>
        </is>
      </c>
      <c r="F1992" t="inlineStr">
        <is>
          <t>이힘찬</t>
        </is>
      </c>
      <c r="G1992" t="inlineStr">
        <is>
          <t>010-8619-1095</t>
        </is>
      </c>
      <c r="H1992" t="inlineStr">
        <is>
          <t>53어6060</t>
        </is>
      </c>
      <c r="I1992" t="n">
        <v>30000000</v>
      </c>
      <c r="J1992" t="n">
        <v>0.09</v>
      </c>
      <c r="K1992" t="n">
        <v>1.76</v>
      </c>
      <c r="L1992" t="n">
        <v>0.14</v>
      </c>
      <c r="M1992" t="n">
        <v>1.62</v>
      </c>
      <c r="P1992" t="inlineStr">
        <is>
          <t>황채이</t>
        </is>
      </c>
      <c r="Q1992" t="inlineStr">
        <is>
          <t>홈서비스 36개월</t>
        </is>
      </c>
      <c r="AB1992" t="inlineStr">
        <is>
          <t>홈서비스</t>
        </is>
      </c>
      <c r="AC1992" t="n">
        <v>528000</v>
      </c>
      <c r="AD1992" t="n">
        <v>42000</v>
      </c>
      <c r="AE1992" t="n">
        <v>486000</v>
      </c>
      <c r="AF1992" t="n">
        <v>480000</v>
      </c>
      <c r="AG1992" t="n">
        <v>40614</v>
      </c>
      <c r="AH1992" t="n">
        <v>439386</v>
      </c>
      <c r="AI1992" t="n">
        <v>0</v>
      </c>
    </row>
    <row r="1993">
      <c r="A1993" t="inlineStr">
        <is>
          <t>3월</t>
        </is>
      </c>
      <c r="B1993" t="inlineStr">
        <is>
          <t>11주차</t>
        </is>
      </c>
      <c r="C1993" t="inlineStr">
        <is>
          <t>EP</t>
        </is>
      </c>
      <c r="D1993" s="28" t="n">
        <v>46091</v>
      </c>
      <c r="E1993" t="inlineStr">
        <is>
          <t>현대EP</t>
        </is>
      </c>
      <c r="F1993" t="inlineStr">
        <is>
          <t>이원섭</t>
        </is>
      </c>
      <c r="G1993" t="inlineStr">
        <is>
          <t>010-7655-4609</t>
        </is>
      </c>
      <c r="H1993" t="inlineStr">
        <is>
          <t>22러4266</t>
        </is>
      </c>
      <c r="I1993" t="n">
        <v>16200000</v>
      </c>
      <c r="J1993" t="n">
        <v>0.08500000000000001</v>
      </c>
      <c r="K1993" t="n">
        <v>1.76</v>
      </c>
      <c r="L1993" t="n">
        <v>0.14</v>
      </c>
      <c r="M1993" t="n">
        <v>1.62</v>
      </c>
      <c r="P1993" t="inlineStr">
        <is>
          <t>최형주</t>
        </is>
      </c>
      <c r="Q1993" t="inlineStr">
        <is>
          <t>홈서비스 48개월</t>
        </is>
      </c>
      <c r="AB1993" t="inlineStr">
        <is>
          <t>홈서비스</t>
        </is>
      </c>
      <c r="AC1993" t="n">
        <v>285120</v>
      </c>
      <c r="AD1993" t="n">
        <v>22680</v>
      </c>
      <c r="AE1993" t="n">
        <v>262440</v>
      </c>
      <c r="AF1993" t="n">
        <v>259200</v>
      </c>
      <c r="AG1993" t="n">
        <v>21931.56</v>
      </c>
      <c r="AH1993" t="n">
        <v>237268.44</v>
      </c>
      <c r="AI1993" t="n">
        <v>0</v>
      </c>
    </row>
    <row r="1994">
      <c r="A1994" t="inlineStr">
        <is>
          <t>3월</t>
        </is>
      </c>
      <c r="B1994" t="inlineStr">
        <is>
          <t>11주차</t>
        </is>
      </c>
      <c r="C1994" t="inlineStr">
        <is>
          <t>IM</t>
        </is>
      </c>
      <c r="D1994" s="28" t="n">
        <v>46091</v>
      </c>
      <c r="E1994" t="inlineStr">
        <is>
          <t>IM캐피탈</t>
        </is>
      </c>
      <c r="F1994" t="inlineStr">
        <is>
          <t>이학기</t>
        </is>
      </c>
      <c r="G1994" t="inlineStr">
        <is>
          <t>010-5001-8831</t>
        </is>
      </c>
      <c r="H1994" t="inlineStr">
        <is>
          <t>168우8711</t>
        </is>
      </c>
      <c r="I1994" t="n">
        <v>18000000</v>
      </c>
      <c r="J1994" t="n">
        <v>0.049</v>
      </c>
      <c r="K1994" t="n">
        <v>1.1</v>
      </c>
      <c r="L1994" t="n">
        <v>0.14</v>
      </c>
      <c r="M1994" t="n">
        <v>0.96</v>
      </c>
      <c r="P1994" t="inlineStr">
        <is>
          <t>정광호</t>
        </is>
      </c>
      <c r="Q1994" t="inlineStr">
        <is>
          <t>홈서비스 72개월</t>
        </is>
      </c>
      <c r="AB1994" t="inlineStr">
        <is>
          <t>홈서비스</t>
        </is>
      </c>
      <c r="AC1994" t="n">
        <v>198000</v>
      </c>
      <c r="AD1994" t="n">
        <v>25200</v>
      </c>
      <c r="AE1994" t="n">
        <v>172800</v>
      </c>
      <c r="AF1994" t="n">
        <v>180000</v>
      </c>
      <c r="AG1994" t="n">
        <v>24368.4</v>
      </c>
      <c r="AH1994" t="n">
        <v>155631.6</v>
      </c>
      <c r="AI1994" t="n">
        <v>0</v>
      </c>
    </row>
    <row r="1995">
      <c r="A1995" t="inlineStr">
        <is>
          <t>3월</t>
        </is>
      </c>
      <c r="B1995" t="inlineStr">
        <is>
          <t>11주차</t>
        </is>
      </c>
      <c r="C1995" t="inlineStr">
        <is>
          <t>WC</t>
        </is>
      </c>
      <c r="D1995" s="28" t="n">
        <v>46092</v>
      </c>
      <c r="E1995" t="inlineStr">
        <is>
          <t>웰컴저축은행</t>
        </is>
      </c>
      <c r="F1995" t="inlineStr">
        <is>
          <t>맹진호</t>
        </is>
      </c>
      <c r="G1995" t="inlineStr">
        <is>
          <t>010-2011-3002</t>
        </is>
      </c>
      <c r="H1995" t="inlineStr">
        <is>
          <t>05어4078</t>
        </is>
      </c>
      <c r="I1995" t="n">
        <v>36000000</v>
      </c>
      <c r="J1995" t="n">
        <v>0.139</v>
      </c>
      <c r="K1995" t="n">
        <v>0</v>
      </c>
      <c r="L1995" t="n">
        <v>0.14</v>
      </c>
      <c r="M1995" t="n">
        <v>-0.14</v>
      </c>
      <c r="P1995" t="inlineStr">
        <is>
          <t>김나윤</t>
        </is>
      </c>
      <c r="Q1995" t="inlineStr">
        <is>
          <t>홈서비스 72개월</t>
        </is>
      </c>
      <c r="AB1995" t="inlineStr">
        <is>
          <t>홈서비스</t>
        </is>
      </c>
      <c r="AC1995" t="n">
        <v>0</v>
      </c>
      <c r="AD1995" t="n">
        <v>50400</v>
      </c>
      <c r="AE1995" t="n">
        <v>-50400</v>
      </c>
      <c r="AF1995" t="n">
        <v>0</v>
      </c>
      <c r="AG1995" t="n">
        <v>48736.8</v>
      </c>
      <c r="AH1995" t="n">
        <v>-48736.8</v>
      </c>
      <c r="AI1995" t="n">
        <v>0</v>
      </c>
    </row>
    <row r="1996">
      <c r="A1996" t="inlineStr">
        <is>
          <t>3월</t>
        </is>
      </c>
      <c r="B1996" t="inlineStr">
        <is>
          <t>10주차</t>
        </is>
      </c>
      <c r="C1996" t="inlineStr">
        <is>
          <t>EP</t>
        </is>
      </c>
      <c r="D1996" s="28" t="n">
        <v>46085</v>
      </c>
      <c r="E1996" t="inlineStr">
        <is>
          <t>BNKEP</t>
        </is>
      </c>
      <c r="F1996" t="inlineStr">
        <is>
          <t>정성엽</t>
        </is>
      </c>
      <c r="G1996" t="inlineStr">
        <is>
          <t>010-7748-1761</t>
        </is>
      </c>
      <c r="H1996" t="inlineStr">
        <is>
          <t>84주8656</t>
        </is>
      </c>
      <c r="I1996" t="n">
        <v>7200000</v>
      </c>
      <c r="J1996" t="n">
        <v>0.094</v>
      </c>
      <c r="K1996" t="n">
        <v>1.21</v>
      </c>
      <c r="L1996" t="n">
        <v>0.5</v>
      </c>
      <c r="M1996" t="n">
        <v>0.71</v>
      </c>
      <c r="P1996" t="inlineStr">
        <is>
          <t>정하은</t>
        </is>
      </c>
      <c r="AB1996" t="inlineStr">
        <is>
          <t>엔카</t>
        </is>
      </c>
      <c r="AC1996" t="n">
        <v>87120</v>
      </c>
      <c r="AD1996" t="n">
        <v>36000</v>
      </c>
      <c r="AE1996" t="n">
        <v>51120</v>
      </c>
      <c r="AF1996" t="n">
        <v>79200</v>
      </c>
      <c r="AG1996" t="n">
        <v>34812</v>
      </c>
      <c r="AH1996" t="n">
        <v>44388</v>
      </c>
      <c r="AI1996" t="n">
        <v>0</v>
      </c>
    </row>
    <row r="1997">
      <c r="A1997" t="inlineStr">
        <is>
          <t>3월</t>
        </is>
      </c>
      <c r="B1997" t="inlineStr">
        <is>
          <t>10주차</t>
        </is>
      </c>
      <c r="C1997" t="inlineStr">
        <is>
          <t>OR</t>
        </is>
      </c>
      <c r="D1997" s="28" t="n">
        <v>46085</v>
      </c>
      <c r="E1997" t="inlineStr">
        <is>
          <t>오릭스</t>
        </is>
      </c>
      <c r="F1997" t="inlineStr">
        <is>
          <t>황지훈</t>
        </is>
      </c>
      <c r="G1997" t="inlineStr">
        <is>
          <t>010-5190-1916</t>
        </is>
      </c>
      <c r="H1997" t="inlineStr">
        <is>
          <t>327저4709</t>
        </is>
      </c>
      <c r="I1997" t="n">
        <v>16300000</v>
      </c>
      <c r="J1997" t="n">
        <v>0.064</v>
      </c>
      <c r="K1997" t="n">
        <v>1.65</v>
      </c>
      <c r="L1997" t="n">
        <v>0.14</v>
      </c>
      <c r="M1997" t="n">
        <v>1.51</v>
      </c>
      <c r="P1997" t="inlineStr">
        <is>
          <t>김나윤</t>
        </is>
      </c>
      <c r="Q1997" t="inlineStr">
        <is>
          <t>홈서비스 48개월</t>
        </is>
      </c>
      <c r="AB1997" t="inlineStr">
        <is>
          <t>홈서비스</t>
        </is>
      </c>
      <c r="AC1997" t="n">
        <v>268950</v>
      </c>
      <c r="AD1997" t="n">
        <v>22820</v>
      </c>
      <c r="AE1997" t="n">
        <v>246130</v>
      </c>
      <c r="AF1997" t="n">
        <v>244500</v>
      </c>
      <c r="AG1997" t="n">
        <v>22066.94</v>
      </c>
      <c r="AH1997" t="n">
        <v>222433.06</v>
      </c>
      <c r="AI1997" t="n">
        <v>0</v>
      </c>
    </row>
    <row r="1998">
      <c r="A1998" t="inlineStr">
        <is>
          <t>3월</t>
        </is>
      </c>
      <c r="B1998" t="inlineStr">
        <is>
          <t>10주차</t>
        </is>
      </c>
      <c r="C1998" t="inlineStr">
        <is>
          <t>IM</t>
        </is>
      </c>
      <c r="D1998" s="28" t="n">
        <v>46086</v>
      </c>
      <c r="E1998" t="inlineStr">
        <is>
          <t>IM캐피탈</t>
        </is>
      </c>
      <c r="F1998" t="inlineStr">
        <is>
          <t>황태용</t>
        </is>
      </c>
      <c r="G1998" t="inlineStr">
        <is>
          <t>010-5014-0270</t>
        </is>
      </c>
      <c r="H1998" t="inlineStr">
        <is>
          <t>816라2499</t>
        </is>
      </c>
      <c r="I1998" t="n">
        <v>25000000</v>
      </c>
      <c r="J1998" t="n">
        <v>0.066</v>
      </c>
      <c r="K1998" t="n">
        <v>1.1</v>
      </c>
      <c r="L1998" t="n">
        <v>0.4</v>
      </c>
      <c r="M1998" t="n">
        <v>0.7</v>
      </c>
      <c r="P1998" t="inlineStr">
        <is>
          <t>장진경</t>
        </is>
      </c>
      <c r="Q1998" t="inlineStr">
        <is>
          <t>부대비용 추가진행</t>
        </is>
      </c>
      <c r="AB1998" t="inlineStr">
        <is>
          <t>엔카</t>
        </is>
      </c>
      <c r="AC1998" t="n">
        <v>275000</v>
      </c>
      <c r="AD1998" t="n">
        <v>100000</v>
      </c>
      <c r="AE1998" t="n">
        <v>175000</v>
      </c>
      <c r="AF1998" t="n">
        <v>250000</v>
      </c>
      <c r="AG1998" t="n">
        <v>96700</v>
      </c>
      <c r="AH1998" t="n">
        <v>153300</v>
      </c>
      <c r="AI1998" t="n">
        <v>0</v>
      </c>
    </row>
    <row r="1999">
      <c r="A1999" t="inlineStr">
        <is>
          <t>3월</t>
        </is>
      </c>
      <c r="B1999" t="inlineStr">
        <is>
          <t>10주차</t>
        </is>
      </c>
      <c r="C1999" t="inlineStr">
        <is>
          <t>EP</t>
        </is>
      </c>
      <c r="D1999" s="28" t="n">
        <v>46087</v>
      </c>
      <c r="E1999" t="inlineStr">
        <is>
          <t>현대EP</t>
        </is>
      </c>
      <c r="F1999" t="inlineStr">
        <is>
          <t>서명오</t>
        </is>
      </c>
      <c r="G1999" t="inlineStr">
        <is>
          <t>010-3171-1076</t>
        </is>
      </c>
      <c r="H1999" t="inlineStr">
        <is>
          <t>17마1477</t>
        </is>
      </c>
      <c r="I1999" t="n">
        <v>30000000</v>
      </c>
      <c r="J1999" t="n">
        <v>0.127</v>
      </c>
      <c r="K1999" t="n">
        <v>1.76</v>
      </c>
      <c r="L1999" t="n">
        <v>0.14</v>
      </c>
      <c r="M1999" t="n">
        <v>1.62</v>
      </c>
      <c r="P1999" t="inlineStr">
        <is>
          <t>장현경</t>
        </is>
      </c>
      <c r="Q1999" t="inlineStr">
        <is>
          <t>홈서비스 48개월</t>
        </is>
      </c>
      <c r="AB1999" t="inlineStr">
        <is>
          <t>홈서비스</t>
        </is>
      </c>
      <c r="AC1999" t="n">
        <v>528000</v>
      </c>
      <c r="AD1999" t="n">
        <v>42000</v>
      </c>
      <c r="AE1999" t="n">
        <v>486000</v>
      </c>
      <c r="AF1999" t="n">
        <v>480000</v>
      </c>
      <c r="AG1999" t="n">
        <v>40614</v>
      </c>
      <c r="AH1999" t="n">
        <v>439386</v>
      </c>
      <c r="AI1999" t="n">
        <v>0</v>
      </c>
    </row>
    <row r="2000">
      <c r="A2000" t="inlineStr">
        <is>
          <t>3월</t>
        </is>
      </c>
      <c r="B2000" t="inlineStr">
        <is>
          <t>11주차</t>
        </is>
      </c>
      <c r="C2000" t="inlineStr">
        <is>
          <t>IM</t>
        </is>
      </c>
      <c r="D2000" s="28" t="n">
        <v>46090</v>
      </c>
      <c r="E2000" t="inlineStr">
        <is>
          <t>IM캐피탈</t>
        </is>
      </c>
      <c r="F2000" t="inlineStr">
        <is>
          <t>김현필</t>
        </is>
      </c>
      <c r="G2000" t="inlineStr">
        <is>
          <t>010-2011-6060</t>
        </is>
      </c>
      <c r="H2000" t="inlineStr">
        <is>
          <t>26고5816</t>
        </is>
      </c>
      <c r="I2000" t="n">
        <v>28500000</v>
      </c>
      <c r="J2000" t="n">
        <v>0.049</v>
      </c>
      <c r="K2000" t="n">
        <v>1.1</v>
      </c>
      <c r="L2000" t="n">
        <v>0.14</v>
      </c>
      <c r="M2000" t="n">
        <v>0.96</v>
      </c>
      <c r="P2000" t="inlineStr">
        <is>
          <t>최형주</t>
        </is>
      </c>
      <c r="Q2000" t="inlineStr">
        <is>
          <t>홈서비스 60개월</t>
        </is>
      </c>
      <c r="AB2000" t="inlineStr">
        <is>
          <t>홈서비스</t>
        </is>
      </c>
      <c r="AC2000" t="n">
        <v>313500</v>
      </c>
      <c r="AD2000" t="n">
        <v>39900</v>
      </c>
      <c r="AE2000" t="n">
        <v>273600</v>
      </c>
      <c r="AF2000" t="n">
        <v>285000</v>
      </c>
      <c r="AG2000" t="n">
        <v>38583.3</v>
      </c>
      <c r="AH2000" t="n">
        <v>246416.7</v>
      </c>
      <c r="AI2000" t="n">
        <v>0</v>
      </c>
    </row>
    <row r="2001">
      <c r="A2001" t="inlineStr">
        <is>
          <t>3월</t>
        </is>
      </c>
      <c r="B2001" t="inlineStr">
        <is>
          <t>11주차</t>
        </is>
      </c>
      <c r="C2001" t="inlineStr">
        <is>
          <t>EP</t>
        </is>
      </c>
      <c r="D2001" s="28" t="n">
        <v>46090</v>
      </c>
      <c r="E2001" t="inlineStr">
        <is>
          <t>현대EP_fast</t>
        </is>
      </c>
      <c r="F2001" t="inlineStr">
        <is>
          <t>김순복</t>
        </is>
      </c>
      <c r="G2001" t="inlineStr">
        <is>
          <t>010-9055-7163</t>
        </is>
      </c>
      <c r="H2001" t="inlineStr">
        <is>
          <t>170머5846</t>
        </is>
      </c>
      <c r="I2001" t="n">
        <v>19000000</v>
      </c>
      <c r="J2001" t="n">
        <v>0.092</v>
      </c>
      <c r="K2001" t="n">
        <v>1.76</v>
      </c>
      <c r="L2001" t="n">
        <v>0.14</v>
      </c>
      <c r="M2001" t="n">
        <v>1.62</v>
      </c>
      <c r="P2001" t="inlineStr">
        <is>
          <t>최형주</t>
        </is>
      </c>
      <c r="Q2001" t="inlineStr">
        <is>
          <t>홈서비스 60개월</t>
        </is>
      </c>
      <c r="AB2001" t="inlineStr">
        <is>
          <t>홈서비스</t>
        </is>
      </c>
      <c r="AC2001" t="n">
        <v>334400</v>
      </c>
      <c r="AD2001" t="n">
        <v>26600</v>
      </c>
      <c r="AE2001" t="n">
        <v>307800</v>
      </c>
      <c r="AF2001" t="n">
        <v>304000</v>
      </c>
      <c r="AG2001" t="n">
        <v>25722.2</v>
      </c>
      <c r="AH2001" t="n">
        <v>278277.8</v>
      </c>
      <c r="AI2001" t="n">
        <v>0</v>
      </c>
    </row>
    <row r="2002">
      <c r="A2002" t="inlineStr">
        <is>
          <t>3월</t>
        </is>
      </c>
      <c r="B2002" t="inlineStr">
        <is>
          <t>11주차</t>
        </is>
      </c>
      <c r="C2002" t="inlineStr">
        <is>
          <t>IM</t>
        </is>
      </c>
      <c r="D2002" s="28" t="n">
        <v>46091</v>
      </c>
      <c r="E2002" t="inlineStr">
        <is>
          <t>IM캐피탈</t>
        </is>
      </c>
      <c r="F2002" t="inlineStr">
        <is>
          <t>장준호</t>
        </is>
      </c>
      <c r="G2002" t="inlineStr">
        <is>
          <t>010-4048-0802</t>
        </is>
      </c>
      <c r="H2002" t="inlineStr">
        <is>
          <t>20모4303</t>
        </is>
      </c>
      <c r="I2002" t="n">
        <v>32600000</v>
      </c>
      <c r="J2002" t="n">
        <v>0.059</v>
      </c>
      <c r="K2002" t="n">
        <v>1.1</v>
      </c>
      <c r="L2002" t="n">
        <v>0.14</v>
      </c>
      <c r="M2002" t="n">
        <v>0.96</v>
      </c>
      <c r="P2002" t="inlineStr">
        <is>
          <t>황채이</t>
        </is>
      </c>
      <c r="Q2002" t="inlineStr">
        <is>
          <t>홈서비스 84개월 / 부대비용 추가진행</t>
        </is>
      </c>
      <c r="AB2002" t="inlineStr">
        <is>
          <t>홈서비스</t>
        </is>
      </c>
      <c r="AC2002" t="n">
        <v>358600</v>
      </c>
      <c r="AD2002" t="n">
        <v>45640</v>
      </c>
      <c r="AE2002" t="n">
        <v>312960</v>
      </c>
      <c r="AF2002" t="n">
        <v>326000</v>
      </c>
      <c r="AG2002" t="n">
        <v>44133.88</v>
      </c>
      <c r="AH2002" t="n">
        <v>281866.12</v>
      </c>
      <c r="AI2002" t="n">
        <v>0</v>
      </c>
    </row>
    <row r="2003">
      <c r="A2003" t="inlineStr">
        <is>
          <t>3월</t>
        </is>
      </c>
      <c r="B2003" t="inlineStr">
        <is>
          <t>11주차</t>
        </is>
      </c>
      <c r="C2003" t="inlineStr">
        <is>
          <t>EP</t>
        </is>
      </c>
      <c r="D2003" s="28" t="n">
        <v>46090</v>
      </c>
      <c r="E2003" t="inlineStr">
        <is>
          <t>현대EP</t>
        </is>
      </c>
      <c r="F2003" t="inlineStr">
        <is>
          <t>허지훈</t>
        </is>
      </c>
      <c r="G2003" t="inlineStr">
        <is>
          <t>010-7539-5339</t>
        </is>
      </c>
      <c r="H2003" t="inlineStr">
        <is>
          <t>26라0361</t>
        </is>
      </c>
      <c r="I2003" t="n">
        <v>7000000</v>
      </c>
      <c r="J2003" t="n">
        <v>0.079</v>
      </c>
      <c r="K2003" t="n">
        <v>1.76</v>
      </c>
      <c r="L2003" t="n">
        <v>0.14</v>
      </c>
      <c r="M2003" t="n">
        <v>1.62</v>
      </c>
      <c r="P2003" t="inlineStr">
        <is>
          <t>정광호</t>
        </is>
      </c>
      <c r="Q2003" t="inlineStr">
        <is>
          <t>홈서비스 36개월</t>
        </is>
      </c>
      <c r="AB2003" t="inlineStr">
        <is>
          <t>홈서비스</t>
        </is>
      </c>
      <c r="AC2003" t="n">
        <v>123200</v>
      </c>
      <c r="AD2003" t="n">
        <v>9800</v>
      </c>
      <c r="AE2003" t="n">
        <v>113400</v>
      </c>
      <c r="AF2003" t="n">
        <v>112000</v>
      </c>
      <c r="AG2003" t="n">
        <v>9476.6</v>
      </c>
      <c r="AH2003" t="n">
        <v>102523.4</v>
      </c>
      <c r="AI2003" t="n">
        <v>0</v>
      </c>
    </row>
    <row r="2004">
      <c r="A2004" t="inlineStr">
        <is>
          <t>3월</t>
        </is>
      </c>
      <c r="B2004" t="inlineStr">
        <is>
          <t>11주차</t>
        </is>
      </c>
      <c r="C2004" t="inlineStr">
        <is>
          <t>EP</t>
        </is>
      </c>
      <c r="D2004" s="28" t="n">
        <v>46091</v>
      </c>
      <c r="E2004" t="inlineStr">
        <is>
          <t>현대EP_fast</t>
        </is>
      </c>
      <c r="F2004" t="inlineStr">
        <is>
          <t>최희근</t>
        </is>
      </c>
      <c r="G2004" t="inlineStr">
        <is>
          <t>010-7215-7157</t>
        </is>
      </c>
      <c r="H2004" t="inlineStr">
        <is>
          <t>24누0186</t>
        </is>
      </c>
      <c r="I2004" t="n">
        <v>7500000</v>
      </c>
      <c r="J2004" t="n">
        <v>0.09</v>
      </c>
      <c r="K2004" t="n">
        <v>1.76</v>
      </c>
      <c r="L2004" t="n">
        <v>0.14</v>
      </c>
      <c r="M2004" t="n">
        <v>1.62</v>
      </c>
      <c r="P2004" t="inlineStr">
        <is>
          <t>최형주</t>
        </is>
      </c>
      <c r="Q2004" t="inlineStr">
        <is>
          <t>홈서비스 48개월</t>
        </is>
      </c>
      <c r="AB2004" t="inlineStr">
        <is>
          <t>홈서비스</t>
        </is>
      </c>
      <c r="AC2004" t="n">
        <v>132000</v>
      </c>
      <c r="AD2004" t="n">
        <v>10500</v>
      </c>
      <c r="AE2004" t="n">
        <v>121500</v>
      </c>
      <c r="AF2004" t="n">
        <v>120000</v>
      </c>
      <c r="AG2004" t="n">
        <v>10153.5</v>
      </c>
      <c r="AH2004" t="n">
        <v>109846.5</v>
      </c>
      <c r="AI2004" t="n">
        <v>0</v>
      </c>
    </row>
    <row r="2005">
      <c r="A2005" t="inlineStr">
        <is>
          <t>3월</t>
        </is>
      </c>
      <c r="B2005" t="inlineStr">
        <is>
          <t>11주차</t>
        </is>
      </c>
      <c r="C2005" t="inlineStr">
        <is>
          <t>IM</t>
        </is>
      </c>
      <c r="D2005" s="28" t="n">
        <v>46090</v>
      </c>
      <c r="E2005" t="inlineStr">
        <is>
          <t>IM캐피탈</t>
        </is>
      </c>
      <c r="F2005" t="inlineStr">
        <is>
          <t>송주성</t>
        </is>
      </c>
      <c r="G2005" t="inlineStr">
        <is>
          <t>010-8611-3336</t>
        </is>
      </c>
      <c r="H2005" t="inlineStr">
        <is>
          <t>179너5389</t>
        </is>
      </c>
      <c r="I2005" t="n">
        <v>15600000</v>
      </c>
      <c r="J2005" t="n">
        <v>0.059</v>
      </c>
      <c r="K2005" t="n">
        <v>1.1</v>
      </c>
      <c r="L2005" t="n">
        <v>0.14</v>
      </c>
      <c r="M2005" t="n">
        <v>0.96</v>
      </c>
      <c r="P2005" t="inlineStr">
        <is>
          <t>정세빈</t>
        </is>
      </c>
      <c r="Q2005" t="inlineStr">
        <is>
          <t>홈서비스 24개월</t>
        </is>
      </c>
      <c r="AB2005" t="inlineStr">
        <is>
          <t>홈서비스</t>
        </is>
      </c>
      <c r="AC2005" t="n">
        <v>171600</v>
      </c>
      <c r="AD2005" t="n">
        <v>21840</v>
      </c>
      <c r="AE2005" t="n">
        <v>149760</v>
      </c>
      <c r="AF2005" t="n">
        <v>156000</v>
      </c>
      <c r="AG2005" t="n">
        <v>21119.28</v>
      </c>
      <c r="AH2005" t="n">
        <v>134880.72</v>
      </c>
    </row>
    <row r="2006">
      <c r="A2006" t="inlineStr">
        <is>
          <t>3월</t>
        </is>
      </c>
      <c r="B2006" t="inlineStr">
        <is>
          <t>11주차</t>
        </is>
      </c>
      <c r="C2006" t="inlineStr">
        <is>
          <t>IM</t>
        </is>
      </c>
      <c r="D2006" s="28" t="n">
        <v>46091</v>
      </c>
      <c r="E2006" t="inlineStr">
        <is>
          <t>IM캐피탈</t>
        </is>
      </c>
      <c r="F2006" t="inlineStr">
        <is>
          <t>이희선</t>
        </is>
      </c>
      <c r="G2006" t="inlineStr">
        <is>
          <t>010-8888-7286</t>
        </is>
      </c>
      <c r="H2006" t="inlineStr">
        <is>
          <t>176소1091</t>
        </is>
      </c>
      <c r="I2006" t="n">
        <v>14000000</v>
      </c>
      <c r="J2006" t="n">
        <v>0.049</v>
      </c>
      <c r="K2006" t="n">
        <v>1.1</v>
      </c>
      <c r="L2006" t="n">
        <v>0.14</v>
      </c>
      <c r="M2006" t="n">
        <v>0.96</v>
      </c>
      <c r="P2006" t="inlineStr">
        <is>
          <t>최형주</t>
        </is>
      </c>
      <c r="Q2006" t="inlineStr">
        <is>
          <t>홈서비스 36개월</t>
        </is>
      </c>
      <c r="AB2006" t="inlineStr">
        <is>
          <t>홈서비스</t>
        </is>
      </c>
      <c r="AC2006" t="n">
        <v>-207900</v>
      </c>
      <c r="AD2006" t="n">
        <v>19600</v>
      </c>
      <c r="AE2006" t="n">
        <v>-207900</v>
      </c>
      <c r="AF2006" t="n">
        <v>-189000</v>
      </c>
      <c r="AG2006" t="n">
        <v>18953.2</v>
      </c>
      <c r="AH2006" t="n">
        <v>-207953.2</v>
      </c>
      <c r="AI2006" t="n">
        <v>0</v>
      </c>
    </row>
    <row r="2007">
      <c r="A2007" t="inlineStr">
        <is>
          <t>3월</t>
        </is>
      </c>
      <c r="B2007" t="inlineStr">
        <is>
          <t>11주차</t>
        </is>
      </c>
      <c r="C2007" t="inlineStr">
        <is>
          <t>EP</t>
        </is>
      </c>
      <c r="D2007" s="28" t="n">
        <v>46090</v>
      </c>
      <c r="E2007" t="inlineStr">
        <is>
          <t>현대EP</t>
        </is>
      </c>
      <c r="F2007" t="inlineStr">
        <is>
          <t>김은수</t>
        </is>
      </c>
      <c r="G2007" t="inlineStr">
        <is>
          <t>010-2186-4085</t>
        </is>
      </c>
      <c r="H2007" t="inlineStr">
        <is>
          <t>315러6894</t>
        </is>
      </c>
      <c r="I2007" t="n">
        <v>11800000</v>
      </c>
      <c r="J2007" t="n">
        <v>0.08799999999999999</v>
      </c>
      <c r="K2007" t="n">
        <v>1.76</v>
      </c>
      <c r="L2007" t="n">
        <v>0.14</v>
      </c>
      <c r="M2007" t="n">
        <v>1.62</v>
      </c>
      <c r="P2007" t="inlineStr">
        <is>
          <t>장현경</t>
        </is>
      </c>
      <c r="Q2007" t="inlineStr">
        <is>
          <t>홈서비스 60개월</t>
        </is>
      </c>
      <c r="AB2007" t="inlineStr">
        <is>
          <t>홈서비스</t>
        </is>
      </c>
      <c r="AC2007" t="n">
        <v>207680</v>
      </c>
      <c r="AD2007" t="n">
        <v>16520</v>
      </c>
      <c r="AE2007" t="n">
        <v>191160</v>
      </c>
      <c r="AF2007" t="n">
        <v>188800</v>
      </c>
      <c r="AG2007" t="n">
        <v>15974.84</v>
      </c>
      <c r="AH2007" t="n">
        <v>172825.16</v>
      </c>
    </row>
    <row r="2008">
      <c r="A2008" t="inlineStr">
        <is>
          <t>3월</t>
        </is>
      </c>
      <c r="B2008" t="inlineStr">
        <is>
          <t>11주차</t>
        </is>
      </c>
      <c r="C2008" t="inlineStr">
        <is>
          <t>OR</t>
        </is>
      </c>
      <c r="D2008" s="28" t="n">
        <v>46090</v>
      </c>
      <c r="E2008" t="inlineStr">
        <is>
          <t>오릭스</t>
        </is>
      </c>
      <c r="F2008" t="inlineStr">
        <is>
          <t>오진협</t>
        </is>
      </c>
      <c r="G2008" t="inlineStr">
        <is>
          <t>010-9797-8823</t>
        </is>
      </c>
      <c r="H2008" t="inlineStr">
        <is>
          <t>359마3222</t>
        </is>
      </c>
      <c r="I2008" t="n">
        <v>12100000</v>
      </c>
      <c r="J2008" t="n">
        <v>0.055</v>
      </c>
      <c r="K2008" t="n">
        <v>1.65</v>
      </c>
      <c r="L2008" t="n">
        <v>0.4</v>
      </c>
      <c r="M2008" t="n">
        <v>1.25</v>
      </c>
      <c r="P2008" t="inlineStr">
        <is>
          <t>박보람</t>
        </is>
      </c>
      <c r="Q2008" t="inlineStr">
        <is>
          <t>기고객 임현빈 소개</t>
        </is>
      </c>
      <c r="AB2008" t="inlineStr">
        <is>
          <t>엔카</t>
        </is>
      </c>
      <c r="AC2008" t="n">
        <v>199650</v>
      </c>
      <c r="AD2008" t="n">
        <v>48400</v>
      </c>
      <c r="AE2008" t="n">
        <v>151250</v>
      </c>
      <c r="AF2008" t="n">
        <v>181500</v>
      </c>
      <c r="AG2008" t="n">
        <v>46802.8</v>
      </c>
      <c r="AH2008" t="n">
        <v>134697.2</v>
      </c>
    </row>
    <row r="2009">
      <c r="A2009" t="inlineStr">
        <is>
          <t>3월</t>
        </is>
      </c>
      <c r="B2009" t="inlineStr">
        <is>
          <t>11주차</t>
        </is>
      </c>
      <c r="C2009" t="inlineStr">
        <is>
          <t>EP</t>
        </is>
      </c>
      <c r="D2009" s="28" t="n">
        <v>46091</v>
      </c>
      <c r="E2009" t="inlineStr">
        <is>
          <t>현대EP_fast</t>
        </is>
      </c>
      <c r="F2009" t="inlineStr">
        <is>
          <t>이학율</t>
        </is>
      </c>
      <c r="G2009" t="inlineStr">
        <is>
          <t>010-3852-6883</t>
        </is>
      </c>
      <c r="H2009" t="inlineStr">
        <is>
          <t>257더1431</t>
        </is>
      </c>
      <c r="I2009" t="n">
        <v>7000000</v>
      </c>
      <c r="J2009" t="n">
        <v>0.062</v>
      </c>
      <c r="K2009" t="n">
        <v>1.76</v>
      </c>
      <c r="L2009" t="n">
        <v>0.14</v>
      </c>
      <c r="M2009" t="n">
        <v>1.62</v>
      </c>
      <c r="P2009" t="inlineStr">
        <is>
          <t>김나윤</t>
        </is>
      </c>
      <c r="Q2009" t="inlineStr">
        <is>
          <t>홈서비스 24개월</t>
        </is>
      </c>
      <c r="AB2009" t="inlineStr">
        <is>
          <t>홈서비스</t>
        </is>
      </c>
      <c r="AC2009" t="n">
        <v>123200</v>
      </c>
      <c r="AD2009" t="n">
        <v>9800</v>
      </c>
      <c r="AE2009" t="n">
        <v>113400</v>
      </c>
      <c r="AF2009" t="n">
        <v>112000</v>
      </c>
      <c r="AG2009" t="n">
        <v>9476.6</v>
      </c>
      <c r="AH2009" t="n">
        <v>102523.4</v>
      </c>
      <c r="AI2009" t="n">
        <v>0</v>
      </c>
    </row>
    <row r="2010">
      <c r="A2010" t="inlineStr">
        <is>
          <t>3월</t>
        </is>
      </c>
      <c r="B2010" t="inlineStr">
        <is>
          <t>11주차</t>
        </is>
      </c>
      <c r="C2010" t="inlineStr">
        <is>
          <t>IM</t>
        </is>
      </c>
      <c r="D2010" s="28" t="n">
        <v>46091</v>
      </c>
      <c r="E2010" t="inlineStr">
        <is>
          <t>IM캐피탈</t>
        </is>
      </c>
      <c r="F2010" t="inlineStr">
        <is>
          <t>정성민</t>
        </is>
      </c>
      <c r="G2010" t="inlineStr">
        <is>
          <t>010-4415-1784</t>
        </is>
      </c>
      <c r="H2010" t="inlineStr">
        <is>
          <t>13부1143</t>
        </is>
      </c>
      <c r="I2010" t="n">
        <v>15000000</v>
      </c>
      <c r="J2010" t="n">
        <v>0.056</v>
      </c>
      <c r="K2010" t="n">
        <v>1.1</v>
      </c>
      <c r="L2010" t="n">
        <v>0.14</v>
      </c>
      <c r="M2010" t="n">
        <v>0.96</v>
      </c>
      <c r="P2010" t="inlineStr">
        <is>
          <t>황채이</t>
        </is>
      </c>
      <c r="Q2010" t="inlineStr">
        <is>
          <t>홈서비스 36개월</t>
        </is>
      </c>
      <c r="AB2010" t="inlineStr">
        <is>
          <t>홈서비스</t>
        </is>
      </c>
      <c r="AC2010" t="n">
        <v>165000</v>
      </c>
      <c r="AD2010" t="n">
        <v>21000</v>
      </c>
      <c r="AE2010" t="n">
        <v>144000</v>
      </c>
      <c r="AF2010" t="n">
        <v>150000</v>
      </c>
      <c r="AG2010" t="n">
        <v>20307</v>
      </c>
      <c r="AH2010" t="n">
        <v>129693</v>
      </c>
      <c r="AI2010" t="n">
        <v>0</v>
      </c>
    </row>
    <row r="2011">
      <c r="A2011" t="inlineStr">
        <is>
          <t>3월</t>
        </is>
      </c>
      <c r="B2011" t="inlineStr">
        <is>
          <t>11주차</t>
        </is>
      </c>
      <c r="C2011" t="inlineStr">
        <is>
          <t>EP</t>
        </is>
      </c>
      <c r="D2011" s="28" t="n">
        <v>46091</v>
      </c>
      <c r="E2011" t="inlineStr">
        <is>
          <t>현대EP</t>
        </is>
      </c>
      <c r="F2011" t="inlineStr">
        <is>
          <t>박시몬</t>
        </is>
      </c>
      <c r="G2011" t="inlineStr">
        <is>
          <t>010-8620-8494</t>
        </is>
      </c>
      <c r="H2011" t="inlineStr">
        <is>
          <t>02마5782</t>
        </is>
      </c>
      <c r="I2011" t="n">
        <v>3000000</v>
      </c>
      <c r="J2011" t="n">
        <v>0.07099999999999999</v>
      </c>
      <c r="K2011" t="n">
        <v>1.76</v>
      </c>
      <c r="L2011" t="n">
        <v>0.14</v>
      </c>
      <c r="M2011" t="n">
        <v>1.62</v>
      </c>
      <c r="P2011" t="inlineStr">
        <is>
          <t>김수연</t>
        </is>
      </c>
      <c r="Q2011" t="inlineStr">
        <is>
          <t>홈서비스 36개월</t>
        </is>
      </c>
      <c r="AB2011" t="inlineStr">
        <is>
          <t>홈서비스</t>
        </is>
      </c>
      <c r="AC2011" t="n">
        <v>52800</v>
      </c>
      <c r="AD2011" t="n">
        <v>4200</v>
      </c>
      <c r="AE2011" t="n">
        <v>48600</v>
      </c>
      <c r="AF2011" t="n">
        <v>48000</v>
      </c>
      <c r="AG2011" t="n">
        <v>4061.4</v>
      </c>
      <c r="AH2011" t="n">
        <v>43938.6</v>
      </c>
      <c r="AI2011" t="n">
        <v>0</v>
      </c>
    </row>
    <row r="2012">
      <c r="A2012" t="inlineStr">
        <is>
          <t>3월</t>
        </is>
      </c>
      <c r="B2012" t="inlineStr">
        <is>
          <t>11주차</t>
        </is>
      </c>
      <c r="C2012" t="inlineStr">
        <is>
          <t>OR</t>
        </is>
      </c>
      <c r="D2012" s="28" t="n">
        <v>46090</v>
      </c>
      <c r="E2012" t="inlineStr">
        <is>
          <t>오릭스</t>
        </is>
      </c>
      <c r="F2012" t="inlineStr">
        <is>
          <t>정요엘</t>
        </is>
      </c>
      <c r="G2012" t="inlineStr">
        <is>
          <t>010-7297-4738</t>
        </is>
      </c>
      <c r="H2012" t="inlineStr">
        <is>
          <t>05가7150</t>
        </is>
      </c>
      <c r="I2012" t="n">
        <v>30000000</v>
      </c>
      <c r="J2012" t="n">
        <v>0.07199999999999999</v>
      </c>
      <c r="K2012" t="n">
        <v>1.65</v>
      </c>
      <c r="L2012" t="n">
        <v>0.4</v>
      </c>
      <c r="M2012" t="n">
        <v>1.25</v>
      </c>
      <c r="P2012" t="inlineStr">
        <is>
          <t>구성완</t>
        </is>
      </c>
      <c r="AB2012" t="inlineStr">
        <is>
          <t>엔카</t>
        </is>
      </c>
      <c r="AC2012" t="n">
        <v>495000</v>
      </c>
      <c r="AD2012" t="n">
        <v>120000</v>
      </c>
      <c r="AE2012" t="n">
        <v>375000</v>
      </c>
      <c r="AF2012" t="n">
        <v>450000</v>
      </c>
      <c r="AG2012" t="n">
        <v>116040</v>
      </c>
      <c r="AH2012" t="n">
        <v>333960</v>
      </c>
    </row>
    <row r="2013">
      <c r="A2013" t="inlineStr">
        <is>
          <t>3월</t>
        </is>
      </c>
      <c r="B2013" t="inlineStr">
        <is>
          <t>11주차</t>
        </is>
      </c>
      <c r="C2013" t="inlineStr">
        <is>
          <t>EP</t>
        </is>
      </c>
      <c r="D2013" s="28" t="n">
        <v>46091</v>
      </c>
      <c r="E2013" t="inlineStr">
        <is>
          <t>현대EP</t>
        </is>
      </c>
      <c r="F2013" t="inlineStr">
        <is>
          <t>김동구</t>
        </is>
      </c>
      <c r="G2013" t="inlineStr">
        <is>
          <t>010-5755-2612</t>
        </is>
      </c>
      <c r="H2013" t="inlineStr">
        <is>
          <t>07두4197</t>
        </is>
      </c>
      <c r="I2013" t="n">
        <v>7900000</v>
      </c>
      <c r="J2013" t="n">
        <v>0.07199999999999999</v>
      </c>
      <c r="K2013" t="n">
        <v>1.76</v>
      </c>
      <c r="L2013" t="n">
        <v>0.14</v>
      </c>
      <c r="M2013" t="n">
        <v>1.62</v>
      </c>
      <c r="P2013" t="inlineStr">
        <is>
          <t>김나윤</t>
        </is>
      </c>
      <c r="Q2013" t="inlineStr">
        <is>
          <t>홈서비스 36개월</t>
        </is>
      </c>
      <c r="AB2013" t="inlineStr">
        <is>
          <t>홈서비스</t>
        </is>
      </c>
      <c r="AC2013" t="n">
        <v>139040</v>
      </c>
      <c r="AD2013" t="n">
        <v>11060</v>
      </c>
      <c r="AE2013" t="n">
        <v>127980</v>
      </c>
      <c r="AF2013" t="n">
        <v>126400</v>
      </c>
      <c r="AG2013" t="n">
        <v>10695.02</v>
      </c>
      <c r="AH2013" t="n">
        <v>115704.98</v>
      </c>
    </row>
    <row r="2014">
      <c r="A2014" t="inlineStr">
        <is>
          <t>3월</t>
        </is>
      </c>
      <c r="B2014" t="inlineStr">
        <is>
          <t>11주차</t>
        </is>
      </c>
      <c r="C2014" t="inlineStr">
        <is>
          <t>EP</t>
        </is>
      </c>
      <c r="D2014" s="28" t="n">
        <v>46091</v>
      </c>
      <c r="E2014" t="inlineStr">
        <is>
          <t>현대EP</t>
        </is>
      </c>
      <c r="F2014" t="inlineStr">
        <is>
          <t>이범준</t>
        </is>
      </c>
      <c r="G2014" t="inlineStr">
        <is>
          <t>010-3087-0408</t>
        </is>
      </c>
      <c r="H2014" t="inlineStr">
        <is>
          <t>08가6610</t>
        </is>
      </c>
      <c r="I2014" t="n">
        <v>5500000</v>
      </c>
      <c r="J2014" t="n">
        <v>0.07099999999999999</v>
      </c>
      <c r="K2014" t="n">
        <v>1.76</v>
      </c>
      <c r="L2014" t="n">
        <v>0.14</v>
      </c>
      <c r="M2014" t="n">
        <v>1.62</v>
      </c>
      <c r="P2014" t="inlineStr">
        <is>
          <t>장현경</t>
        </is>
      </c>
      <c r="Q2014" t="inlineStr">
        <is>
          <t>홈서비스 60개월</t>
        </is>
      </c>
      <c r="AB2014" t="inlineStr">
        <is>
          <t>홈서비스</t>
        </is>
      </c>
      <c r="AC2014" t="n">
        <v>96800</v>
      </c>
      <c r="AD2014" t="n">
        <v>7700</v>
      </c>
      <c r="AE2014" t="n">
        <v>89100</v>
      </c>
      <c r="AF2014" t="n">
        <v>88000</v>
      </c>
      <c r="AG2014" t="n">
        <v>7445.9</v>
      </c>
      <c r="AH2014" t="n">
        <v>80554.10000000001</v>
      </c>
      <c r="AI2014" t="n">
        <v>0</v>
      </c>
    </row>
    <row r="2015">
      <c r="A2015" t="inlineStr">
        <is>
          <t>3월</t>
        </is>
      </c>
      <c r="B2015" t="inlineStr">
        <is>
          <t>11주차</t>
        </is>
      </c>
      <c r="C2015" t="inlineStr">
        <is>
          <t>EP</t>
        </is>
      </c>
      <c r="D2015" s="28" t="n">
        <v>46091</v>
      </c>
      <c r="E2015" t="inlineStr">
        <is>
          <t>BNKEP</t>
        </is>
      </c>
      <c r="F2015" t="inlineStr">
        <is>
          <t>김남현</t>
        </is>
      </c>
      <c r="G2015" t="inlineStr">
        <is>
          <t>010-8953-6209</t>
        </is>
      </c>
      <c r="H2015" t="inlineStr">
        <is>
          <t>333도8783</t>
        </is>
      </c>
      <c r="I2015" t="n">
        <v>40000000</v>
      </c>
      <c r="J2015" t="n">
        <v>0.07199999999999999</v>
      </c>
      <c r="K2015" t="n">
        <v>1.65</v>
      </c>
      <c r="L2015" t="n">
        <v>0.14</v>
      </c>
      <c r="M2015" t="n">
        <v>1.51</v>
      </c>
      <c r="P2015" t="inlineStr">
        <is>
          <t>황채이</t>
        </is>
      </c>
      <c r="Q2015" t="inlineStr">
        <is>
          <t>홈서비스 60개월</t>
        </is>
      </c>
      <c r="AB2015" t="inlineStr">
        <is>
          <t>홈서비스</t>
        </is>
      </c>
      <c r="AC2015" t="n">
        <v>660000</v>
      </c>
      <c r="AD2015" t="n">
        <v>56000</v>
      </c>
      <c r="AE2015" t="n">
        <v>604000</v>
      </c>
      <c r="AF2015" t="n">
        <v>600000</v>
      </c>
      <c r="AG2015" t="n">
        <v>54152</v>
      </c>
      <c r="AH2015" t="n">
        <v>545848</v>
      </c>
      <c r="AI2015" t="n">
        <v>0</v>
      </c>
    </row>
    <row r="2016">
      <c r="A2016" t="inlineStr">
        <is>
          <t>3월</t>
        </is>
      </c>
      <c r="B2016" t="inlineStr">
        <is>
          <t>11주차</t>
        </is>
      </c>
      <c r="C2016" t="inlineStr">
        <is>
          <t>EP</t>
        </is>
      </c>
      <c r="D2016" s="28" t="n">
        <v>46090</v>
      </c>
      <c r="E2016" t="inlineStr">
        <is>
          <t>현대EP_fast</t>
        </is>
      </c>
      <c r="F2016" t="inlineStr">
        <is>
          <t>김로운</t>
        </is>
      </c>
      <c r="G2016" t="inlineStr">
        <is>
          <t>010-9928-3922</t>
        </is>
      </c>
      <c r="H2016" t="inlineStr">
        <is>
          <t>03로4599</t>
        </is>
      </c>
      <c r="I2016" t="n">
        <v>32600000</v>
      </c>
      <c r="J2016" t="n">
        <v>0.102</v>
      </c>
      <c r="K2016" t="n">
        <v>1.76</v>
      </c>
      <c r="L2016" t="n">
        <v>0.14</v>
      </c>
      <c r="M2016" t="n">
        <v>1.62</v>
      </c>
      <c r="P2016" t="inlineStr">
        <is>
          <t>박보람</t>
        </is>
      </c>
      <c r="Q2016" t="inlineStr">
        <is>
          <t>선상담 / 홈서비스 60개월</t>
        </is>
      </c>
      <c r="AB2016" t="inlineStr">
        <is>
          <t>홈서비스</t>
        </is>
      </c>
      <c r="AC2016" t="n">
        <v>573760</v>
      </c>
      <c r="AD2016" t="n">
        <v>45640</v>
      </c>
      <c r="AE2016" t="n">
        <v>528120</v>
      </c>
      <c r="AF2016" t="n">
        <v>521600</v>
      </c>
      <c r="AG2016" t="n">
        <v>44133.88</v>
      </c>
      <c r="AH2016" t="n">
        <v>477466.12</v>
      </c>
      <c r="AI2016" t="n">
        <v>0</v>
      </c>
    </row>
    <row r="2017">
      <c r="A2017" t="inlineStr">
        <is>
          <t>3월</t>
        </is>
      </c>
      <c r="B2017" t="inlineStr">
        <is>
          <t>10주차</t>
        </is>
      </c>
      <c r="C2017" t="inlineStr">
        <is>
          <t>EP</t>
        </is>
      </c>
      <c r="D2017" s="28" t="n">
        <v>46084</v>
      </c>
      <c r="E2017" t="inlineStr">
        <is>
          <t>현대EP_fast</t>
        </is>
      </c>
      <c r="F2017" t="inlineStr">
        <is>
          <t>임근웅</t>
        </is>
      </c>
      <c r="G2017" t="inlineStr">
        <is>
          <t>010-2019-2578</t>
        </is>
      </c>
      <c r="H2017" t="inlineStr">
        <is>
          <t>56도0670</t>
        </is>
      </c>
      <c r="I2017" t="n">
        <v>6000000</v>
      </c>
      <c r="J2017" t="n">
        <v>0.116</v>
      </c>
      <c r="K2017" t="n">
        <v>1.76</v>
      </c>
      <c r="L2017" t="n">
        <v>0.14</v>
      </c>
      <c r="M2017" t="n">
        <v>1.62</v>
      </c>
      <c r="P2017" t="inlineStr">
        <is>
          <t>박소현</t>
        </is>
      </c>
      <c r="Q2017" t="inlineStr">
        <is>
          <t>선상담 /홈서비스 60개월 /기조회 금리원복(11.9% &gt;11.6%)</t>
        </is>
      </c>
      <c r="AB2017" t="inlineStr">
        <is>
          <t>홈서비스</t>
        </is>
      </c>
      <c r="AC2017" t="n">
        <v>105600</v>
      </c>
      <c r="AD2017" t="n">
        <v>8400</v>
      </c>
      <c r="AE2017" t="n">
        <v>97200</v>
      </c>
      <c r="AF2017" t="n">
        <v>96000</v>
      </c>
      <c r="AG2017" t="n">
        <v>8122.8</v>
      </c>
      <c r="AH2017" t="n">
        <v>87877.2</v>
      </c>
      <c r="AI2017" t="n">
        <v>0</v>
      </c>
    </row>
    <row r="2018">
      <c r="A2018" t="inlineStr">
        <is>
          <t>3월</t>
        </is>
      </c>
      <c r="B2018" t="inlineStr">
        <is>
          <t>11주차</t>
        </is>
      </c>
      <c r="C2018" t="inlineStr">
        <is>
          <t>IM</t>
        </is>
      </c>
      <c r="D2018" s="28" t="n">
        <v>46090</v>
      </c>
      <c r="E2018" t="inlineStr">
        <is>
          <t>IM캐피탈</t>
        </is>
      </c>
      <c r="F2018" t="inlineStr">
        <is>
          <t>손모아</t>
        </is>
      </c>
      <c r="G2018" t="inlineStr">
        <is>
          <t>010-8665-9136</t>
        </is>
      </c>
      <c r="H2018" t="inlineStr">
        <is>
          <t>380거9667</t>
        </is>
      </c>
      <c r="I2018" t="n">
        <v>-12200000</v>
      </c>
      <c r="J2018" t="n">
        <v>0.039</v>
      </c>
      <c r="K2018" t="n">
        <v>1.1</v>
      </c>
      <c r="L2018" t="n">
        <v>0.14</v>
      </c>
      <c r="M2018" t="n">
        <v>0.96</v>
      </c>
      <c r="P2018" t="inlineStr">
        <is>
          <t>정세빈</t>
        </is>
      </c>
      <c r="Q2018" t="inlineStr">
        <is>
          <t>홈서비스 48개월</t>
        </is>
      </c>
      <c r="AB2018" t="inlineStr">
        <is>
          <t>홈서비스</t>
        </is>
      </c>
      <c r="AC2018" t="n">
        <v>-134200</v>
      </c>
      <c r="AD2018" t="n">
        <v>-17080</v>
      </c>
      <c r="AE2018" t="n">
        <v>-117120</v>
      </c>
      <c r="AF2018" t="n">
        <v>-122000</v>
      </c>
      <c r="AG2018" t="n">
        <v>-16516.36</v>
      </c>
      <c r="AH2018" t="n">
        <v>-105483.64</v>
      </c>
      <c r="AI2018" t="n">
        <v>0</v>
      </c>
    </row>
    <row r="2019">
      <c r="A2019" t="inlineStr">
        <is>
          <t>3월</t>
        </is>
      </c>
      <c r="B2019" t="inlineStr">
        <is>
          <t>11주차</t>
        </is>
      </c>
      <c r="C2019" t="inlineStr">
        <is>
          <t>IM</t>
        </is>
      </c>
      <c r="D2019" s="28" t="n">
        <v>46090</v>
      </c>
      <c r="E2019" t="inlineStr">
        <is>
          <t>IM캐피탈</t>
        </is>
      </c>
      <c r="F2019" t="inlineStr">
        <is>
          <t>박영범</t>
        </is>
      </c>
      <c r="G2019" t="inlineStr">
        <is>
          <t>010-8382-5987</t>
        </is>
      </c>
      <c r="H2019" t="inlineStr">
        <is>
          <t>190라9285</t>
        </is>
      </c>
      <c r="I2019" t="n">
        <v>58000000</v>
      </c>
      <c r="J2019" t="n">
        <v>0.049</v>
      </c>
      <c r="K2019" t="n">
        <v>1.1</v>
      </c>
      <c r="L2019" t="n">
        <v>0.4</v>
      </c>
      <c r="M2019" t="n">
        <v>0.7</v>
      </c>
      <c r="P2019" t="inlineStr">
        <is>
          <t>박현민</t>
        </is>
      </c>
      <c r="AB2019" t="inlineStr">
        <is>
          <t>엔카</t>
        </is>
      </c>
      <c r="AC2019" t="n">
        <v>638000</v>
      </c>
      <c r="AD2019" t="n">
        <v>232000</v>
      </c>
      <c r="AE2019" t="n">
        <v>406000</v>
      </c>
      <c r="AF2019" t="n">
        <v>580000</v>
      </c>
      <c r="AG2019" t="n">
        <v>224344</v>
      </c>
      <c r="AH2019" t="n">
        <v>355656</v>
      </c>
    </row>
    <row r="2020">
      <c r="A2020" t="inlineStr">
        <is>
          <t>3월</t>
        </is>
      </c>
      <c r="B2020" t="inlineStr">
        <is>
          <t>11주차</t>
        </is>
      </c>
      <c r="C2020" t="inlineStr">
        <is>
          <t>IM</t>
        </is>
      </c>
      <c r="D2020" s="28" t="n">
        <v>46091</v>
      </c>
      <c r="E2020" t="inlineStr">
        <is>
          <t>IM캐피탈</t>
        </is>
      </c>
      <c r="F2020" t="inlineStr">
        <is>
          <t>이준우</t>
        </is>
      </c>
      <c r="G2020" t="inlineStr">
        <is>
          <t>010-8701-7893</t>
        </is>
      </c>
      <c r="H2020" t="inlineStr">
        <is>
          <t>189로5294</t>
        </is>
      </c>
      <c r="I2020" t="n">
        <v>10000000</v>
      </c>
      <c r="J2020" t="n">
        <v>0.056</v>
      </c>
      <c r="K2020" t="n">
        <v>1.21</v>
      </c>
      <c r="L2020" t="n">
        <v>0.4</v>
      </c>
      <c r="M2020" t="n">
        <v>0.8100000000000001</v>
      </c>
      <c r="P2020" t="inlineStr">
        <is>
          <t>박보람</t>
        </is>
      </c>
      <c r="AB2020" t="inlineStr">
        <is>
          <t>엔카</t>
        </is>
      </c>
      <c r="AC2020" t="n">
        <v>121000</v>
      </c>
      <c r="AD2020" t="n">
        <v>40000</v>
      </c>
      <c r="AE2020" t="n">
        <v>81000</v>
      </c>
      <c r="AF2020" t="n">
        <v>110000</v>
      </c>
      <c r="AG2020" t="n">
        <v>38680</v>
      </c>
      <c r="AH2020" t="n">
        <v>71320</v>
      </c>
      <c r="AI2020" t="n">
        <v>0</v>
      </c>
    </row>
    <row r="2021">
      <c r="A2021" t="inlineStr">
        <is>
          <t>3월</t>
        </is>
      </c>
      <c r="B2021" t="inlineStr">
        <is>
          <t>10주차</t>
        </is>
      </c>
      <c r="C2021" t="inlineStr">
        <is>
          <t>EP</t>
        </is>
      </c>
      <c r="D2021" s="28" t="n">
        <v>46086</v>
      </c>
      <c r="E2021" t="inlineStr">
        <is>
          <t>현대EP</t>
        </is>
      </c>
      <c r="F2021" t="inlineStr">
        <is>
          <t>송종호</t>
        </is>
      </c>
      <c r="G2021" t="inlineStr">
        <is>
          <t>010-8806-3799</t>
        </is>
      </c>
      <c r="H2021" t="inlineStr">
        <is>
          <t>254루5827</t>
        </is>
      </c>
      <c r="I2021" t="n">
        <v>15000000</v>
      </c>
      <c r="J2021" t="n">
        <v>0.079</v>
      </c>
      <c r="K2021" t="n">
        <v>1.21</v>
      </c>
      <c r="L2021" t="n">
        <v>0.14</v>
      </c>
      <c r="M2021" t="n">
        <v>1.07</v>
      </c>
      <c r="P2021" t="inlineStr">
        <is>
          <t>임대경</t>
        </is>
      </c>
      <c r="Q2021" t="inlineStr">
        <is>
          <t>홈서비스 60개월</t>
        </is>
      </c>
      <c r="AB2021" t="inlineStr">
        <is>
          <t>홈서비스</t>
        </is>
      </c>
      <c r="AC2021" t="n">
        <v>181500</v>
      </c>
      <c r="AD2021" t="n">
        <v>21000</v>
      </c>
      <c r="AE2021" t="n">
        <v>160500</v>
      </c>
      <c r="AF2021" t="n">
        <v>165000</v>
      </c>
      <c r="AG2021" t="n">
        <v>20307</v>
      </c>
      <c r="AH2021" t="n">
        <v>144693</v>
      </c>
    </row>
    <row r="2022">
      <c r="A2022" t="inlineStr">
        <is>
          <t>3월</t>
        </is>
      </c>
      <c r="B2022" t="inlineStr">
        <is>
          <t>11주차</t>
        </is>
      </c>
      <c r="C2022" t="inlineStr">
        <is>
          <t>EP</t>
        </is>
      </c>
      <c r="D2022" s="28" t="n">
        <v>46093</v>
      </c>
      <c r="E2022" t="inlineStr">
        <is>
          <t>현대EP_fast</t>
        </is>
      </c>
      <c r="F2022" t="inlineStr">
        <is>
          <t>서동환</t>
        </is>
      </c>
      <c r="G2022" t="inlineStr">
        <is>
          <t>010-9999-8763</t>
        </is>
      </c>
      <c r="H2022" t="inlineStr">
        <is>
          <t>211고8966</t>
        </is>
      </c>
      <c r="I2022" t="n">
        <v>14200000</v>
      </c>
      <c r="J2022" t="n">
        <v>0.092</v>
      </c>
      <c r="K2022" t="n">
        <v>1.76</v>
      </c>
      <c r="L2022" t="n">
        <v>0.14</v>
      </c>
      <c r="M2022" t="n">
        <v>1.62</v>
      </c>
      <c r="P2022" t="inlineStr">
        <is>
          <t>황채이</t>
        </is>
      </c>
      <c r="Q2022" t="inlineStr">
        <is>
          <t>홈서비스 60개월</t>
        </is>
      </c>
      <c r="AB2022" t="inlineStr">
        <is>
          <t>홈서비스</t>
        </is>
      </c>
      <c r="AC2022" t="n">
        <v>249920</v>
      </c>
      <c r="AD2022" t="n">
        <v>19880</v>
      </c>
      <c r="AE2022" t="n">
        <v>230040</v>
      </c>
      <c r="AF2022" t="n">
        <v>227200</v>
      </c>
      <c r="AG2022" t="n">
        <v>19223.96</v>
      </c>
      <c r="AH2022" t="n">
        <v>207976.04</v>
      </c>
      <c r="AI2022" t="n">
        <v>0</v>
      </c>
    </row>
    <row r="2023">
      <c r="A2023" t="inlineStr">
        <is>
          <t>3월</t>
        </is>
      </c>
      <c r="B2023" t="inlineStr">
        <is>
          <t>11주차</t>
        </is>
      </c>
      <c r="C2023" t="inlineStr">
        <is>
          <t>IM</t>
        </is>
      </c>
      <c r="D2023" s="28" t="n">
        <v>46091</v>
      </c>
      <c r="E2023" t="inlineStr">
        <is>
          <t>IM캐피탈</t>
        </is>
      </c>
      <c r="F2023" t="inlineStr">
        <is>
          <t>박영석</t>
        </is>
      </c>
      <c r="G2023" t="inlineStr">
        <is>
          <t>010-9116-0291</t>
        </is>
      </c>
      <c r="H2023" t="inlineStr">
        <is>
          <t>07소5067</t>
        </is>
      </c>
      <c r="I2023" t="n">
        <v>14700000</v>
      </c>
      <c r="J2023" t="n">
        <v>0.066</v>
      </c>
      <c r="K2023" t="n">
        <v>1.1</v>
      </c>
      <c r="L2023" t="n">
        <v>0.14</v>
      </c>
      <c r="M2023" t="n">
        <v>0.96</v>
      </c>
      <c r="P2023" t="inlineStr">
        <is>
          <t>황채이</t>
        </is>
      </c>
      <c r="Q2023" t="inlineStr">
        <is>
          <t>홈서비스 60개월/26년 3월 총 2건 실행하심(iM, 오릭스)</t>
        </is>
      </c>
      <c r="AB2023" t="inlineStr">
        <is>
          <t>홈서비스</t>
        </is>
      </c>
      <c r="AC2023" t="n">
        <v>161700</v>
      </c>
      <c r="AD2023" t="n">
        <v>20580</v>
      </c>
      <c r="AE2023" t="n">
        <v>141120</v>
      </c>
      <c r="AF2023" t="n">
        <v>147000</v>
      </c>
      <c r="AG2023" t="n">
        <v>19900.86</v>
      </c>
      <c r="AH2023" t="n">
        <v>127099.14</v>
      </c>
      <c r="AI2023" t="n">
        <v>0</v>
      </c>
    </row>
    <row r="2024">
      <c r="A2024" t="inlineStr">
        <is>
          <t>3월</t>
        </is>
      </c>
      <c r="B2024" t="inlineStr">
        <is>
          <t>11주차</t>
        </is>
      </c>
      <c r="C2024" t="inlineStr">
        <is>
          <t>IM</t>
        </is>
      </c>
      <c r="D2024" s="28" t="n">
        <v>46090</v>
      </c>
      <c r="E2024" t="inlineStr">
        <is>
          <t>IM캐피탈</t>
        </is>
      </c>
      <c r="F2024" t="inlineStr">
        <is>
          <t>황승순</t>
        </is>
      </c>
      <c r="G2024" t="inlineStr">
        <is>
          <t>010-8700-8709</t>
        </is>
      </c>
      <c r="H2024" t="inlineStr">
        <is>
          <t>55더6431</t>
        </is>
      </c>
      <c r="I2024" t="n">
        <v>-13800000</v>
      </c>
      <c r="J2024" t="n">
        <v>0.039</v>
      </c>
      <c r="K2024" t="n">
        <v>1.1</v>
      </c>
      <c r="L2024" t="n">
        <v>0.14</v>
      </c>
      <c r="M2024" t="n">
        <v>0.96</v>
      </c>
      <c r="P2024" t="inlineStr">
        <is>
          <t>정하은</t>
        </is>
      </c>
      <c r="Q2024" t="inlineStr">
        <is>
          <t>홈서비스 48개월</t>
        </is>
      </c>
      <c r="AB2024" t="inlineStr">
        <is>
          <t>홈서비스</t>
        </is>
      </c>
      <c r="AC2024" t="n">
        <v>-151800</v>
      </c>
      <c r="AD2024" t="n">
        <v>-19320</v>
      </c>
      <c r="AE2024" t="n">
        <v>-132480</v>
      </c>
      <c r="AF2024" t="n">
        <v>-138000</v>
      </c>
      <c r="AG2024" t="n">
        <v>-18682.44</v>
      </c>
      <c r="AH2024" t="n">
        <v>-119317.56</v>
      </c>
      <c r="AI2024" t="n">
        <v>0</v>
      </c>
    </row>
    <row r="2025">
      <c r="A2025" t="inlineStr">
        <is>
          <t>3월</t>
        </is>
      </c>
      <c r="B2025" t="inlineStr">
        <is>
          <t>10주차</t>
        </is>
      </c>
      <c r="C2025" t="inlineStr">
        <is>
          <t>OR</t>
        </is>
      </c>
      <c r="D2025" s="28" t="n">
        <v>46085</v>
      </c>
      <c r="E2025" t="inlineStr">
        <is>
          <t>오릭스</t>
        </is>
      </c>
      <c r="F2025" t="inlineStr">
        <is>
          <t>권영민</t>
        </is>
      </c>
      <c r="G2025" t="inlineStr">
        <is>
          <t>010-9850-2481</t>
        </is>
      </c>
      <c r="H2025" t="inlineStr">
        <is>
          <t>65보3786</t>
        </is>
      </c>
      <c r="I2025" t="n">
        <v>20000000</v>
      </c>
      <c r="J2025" t="n">
        <v>0.059</v>
      </c>
      <c r="K2025" t="n">
        <v>1.65</v>
      </c>
      <c r="L2025" t="n">
        <v>0.4</v>
      </c>
      <c r="M2025" t="n">
        <v>1.25</v>
      </c>
      <c r="P2025" t="inlineStr">
        <is>
          <t>박보람</t>
        </is>
      </c>
      <c r="Q2025" t="inlineStr">
        <is>
          <t>부대비용 추가진행</t>
        </is>
      </c>
      <c r="AB2025" t="inlineStr">
        <is>
          <t>엔카</t>
        </is>
      </c>
      <c r="AC2025" t="n">
        <v>330000</v>
      </c>
      <c r="AD2025" t="n">
        <v>80000</v>
      </c>
      <c r="AE2025" t="n">
        <v>250000</v>
      </c>
      <c r="AF2025" t="n">
        <v>300000</v>
      </c>
      <c r="AG2025" t="n">
        <v>77360</v>
      </c>
      <c r="AH2025" t="n">
        <v>222640</v>
      </c>
    </row>
    <row r="2026">
      <c r="A2026" t="inlineStr">
        <is>
          <t>3월</t>
        </is>
      </c>
      <c r="B2026" t="inlineStr">
        <is>
          <t>10주차</t>
        </is>
      </c>
      <c r="C2026" t="inlineStr">
        <is>
          <t>IM</t>
        </is>
      </c>
      <c r="D2026" s="28" t="n">
        <v>46085</v>
      </c>
      <c r="E2026" t="inlineStr">
        <is>
          <t>IM캐피탈</t>
        </is>
      </c>
      <c r="F2026" t="inlineStr">
        <is>
          <t>강선구</t>
        </is>
      </c>
      <c r="G2026" t="inlineStr">
        <is>
          <t>010-7334-0518</t>
        </is>
      </c>
      <c r="H2026" t="inlineStr">
        <is>
          <t>105러5390</t>
        </is>
      </c>
      <c r="I2026" t="n">
        <v>20000000</v>
      </c>
      <c r="J2026" t="n">
        <v>0.039</v>
      </c>
      <c r="K2026" t="n">
        <v>1.1</v>
      </c>
      <c r="L2026" t="n">
        <v>0.14</v>
      </c>
      <c r="M2026" t="n">
        <v>0.96</v>
      </c>
      <c r="P2026" t="inlineStr">
        <is>
          <t>김나윤</t>
        </is>
      </c>
      <c r="Q2026" t="inlineStr">
        <is>
          <t>홈서비스 24개월</t>
        </is>
      </c>
      <c r="AB2026" t="inlineStr">
        <is>
          <t>홈서비스</t>
        </is>
      </c>
      <c r="AC2026" t="n">
        <v>220000</v>
      </c>
      <c r="AD2026" t="n">
        <v>28000</v>
      </c>
      <c r="AE2026" t="n">
        <v>192000</v>
      </c>
      <c r="AF2026" t="n">
        <v>200000</v>
      </c>
      <c r="AG2026" t="n">
        <v>27076</v>
      </c>
      <c r="AH2026" t="n">
        <v>172924</v>
      </c>
      <c r="AI2026" t="n">
        <v>0</v>
      </c>
    </row>
    <row r="2027">
      <c r="A2027" t="inlineStr">
        <is>
          <t>3월</t>
        </is>
      </c>
      <c r="B2027" t="inlineStr">
        <is>
          <t>10주차</t>
        </is>
      </c>
      <c r="C2027" t="inlineStr">
        <is>
          <t>OR</t>
        </is>
      </c>
      <c r="D2027" s="28" t="n">
        <v>46084</v>
      </c>
      <c r="E2027" t="inlineStr">
        <is>
          <t>오릭스</t>
        </is>
      </c>
      <c r="F2027" t="inlineStr">
        <is>
          <t>권현관</t>
        </is>
      </c>
      <c r="G2027" t="inlineStr">
        <is>
          <t>010-7479-8806</t>
        </is>
      </c>
      <c r="H2027" t="inlineStr">
        <is>
          <t>20마1052</t>
        </is>
      </c>
      <c r="I2027" t="n">
        <v>18100000</v>
      </c>
      <c r="J2027" t="n">
        <v>0.07199999999999999</v>
      </c>
      <c r="K2027" t="n">
        <v>1.65</v>
      </c>
      <c r="L2027" t="n">
        <v>0.14</v>
      </c>
      <c r="M2027" t="n">
        <v>1.51</v>
      </c>
      <c r="P2027" t="inlineStr">
        <is>
          <t>정하은</t>
        </is>
      </c>
      <c r="Q2027" t="inlineStr">
        <is>
          <t>선상담 / 홈서비스 60개월</t>
        </is>
      </c>
      <c r="AB2027" t="inlineStr">
        <is>
          <t>홈서비스</t>
        </is>
      </c>
      <c r="AC2027" t="n">
        <v>298650</v>
      </c>
      <c r="AD2027" t="n">
        <v>25340</v>
      </c>
      <c r="AE2027" t="n">
        <v>273310</v>
      </c>
      <c r="AF2027" t="n">
        <v>271500</v>
      </c>
      <c r="AG2027" t="n">
        <v>24503.78</v>
      </c>
      <c r="AH2027" t="n">
        <v>246996.22</v>
      </c>
    </row>
    <row r="2028">
      <c r="A2028" t="inlineStr">
        <is>
          <t>3월</t>
        </is>
      </c>
      <c r="B2028" t="inlineStr">
        <is>
          <t>11주차</t>
        </is>
      </c>
      <c r="C2028" t="inlineStr">
        <is>
          <t>IM</t>
        </is>
      </c>
      <c r="D2028" s="28" t="n">
        <v>46091</v>
      </c>
      <c r="E2028" t="inlineStr">
        <is>
          <t>IM캐피탈</t>
        </is>
      </c>
      <c r="F2028" t="inlineStr">
        <is>
          <t>정민영</t>
        </is>
      </c>
      <c r="G2028" t="inlineStr">
        <is>
          <t>010-5536-9741</t>
        </is>
      </c>
      <c r="H2028" t="inlineStr">
        <is>
          <t>14모5062</t>
        </is>
      </c>
      <c r="I2028" t="n">
        <v>6000000</v>
      </c>
      <c r="J2028" t="n">
        <v>0.059</v>
      </c>
      <c r="K2028" t="n">
        <v>1.1</v>
      </c>
      <c r="L2028" t="n">
        <v>0.14</v>
      </c>
      <c r="M2028" t="n">
        <v>0.96</v>
      </c>
      <c r="P2028" t="inlineStr">
        <is>
          <t>정세빈</t>
        </is>
      </c>
      <c r="Q2028" t="inlineStr">
        <is>
          <t>홈서비스 24개월</t>
        </is>
      </c>
      <c r="AB2028" t="inlineStr">
        <is>
          <t>홈서비스</t>
        </is>
      </c>
      <c r="AC2028" t="n">
        <v>66000</v>
      </c>
      <c r="AD2028" t="n">
        <v>8400</v>
      </c>
      <c r="AE2028" t="n">
        <v>57600</v>
      </c>
      <c r="AF2028" t="n">
        <v>60000</v>
      </c>
      <c r="AG2028" t="n">
        <v>8122.8</v>
      </c>
      <c r="AH2028" t="n">
        <v>51877.2</v>
      </c>
    </row>
    <row r="2029">
      <c r="A2029" t="inlineStr">
        <is>
          <t>3월</t>
        </is>
      </c>
      <c r="B2029" t="inlineStr">
        <is>
          <t>10주차</t>
        </is>
      </c>
      <c r="C2029" t="inlineStr">
        <is>
          <t>EP</t>
        </is>
      </c>
      <c r="D2029" s="28" t="n">
        <v>46085</v>
      </c>
      <c r="E2029" t="inlineStr">
        <is>
          <t>현대EP</t>
        </is>
      </c>
      <c r="F2029" t="inlineStr">
        <is>
          <t>김상진</t>
        </is>
      </c>
      <c r="G2029" t="inlineStr">
        <is>
          <t>010-7721-6325</t>
        </is>
      </c>
      <c r="H2029" t="inlineStr">
        <is>
          <t>264구6269</t>
        </is>
      </c>
      <c r="I2029" t="n">
        <v>52500000</v>
      </c>
      <c r="J2029" t="n">
        <v>0.082</v>
      </c>
      <c r="K2029" t="n">
        <v>1.76</v>
      </c>
      <c r="L2029" t="n">
        <v>0.14</v>
      </c>
      <c r="M2029" t="n">
        <v>1.62</v>
      </c>
      <c r="P2029" t="inlineStr">
        <is>
          <t>최형주</t>
        </is>
      </c>
      <c r="Q2029" t="inlineStr">
        <is>
          <t>홈서비스 60개월</t>
        </is>
      </c>
      <c r="AB2029" t="inlineStr">
        <is>
          <t>홈서비스</t>
        </is>
      </c>
      <c r="AC2029" t="n">
        <v>924000</v>
      </c>
      <c r="AD2029" t="n">
        <v>73500</v>
      </c>
      <c r="AE2029" t="n">
        <v>850500</v>
      </c>
      <c r="AF2029" t="n">
        <v>840000</v>
      </c>
      <c r="AG2029" t="n">
        <v>71074.5</v>
      </c>
      <c r="AH2029" t="n">
        <v>768925.5</v>
      </c>
    </row>
    <row r="2030">
      <c r="A2030" t="inlineStr">
        <is>
          <t>3월</t>
        </is>
      </c>
      <c r="B2030" t="inlineStr">
        <is>
          <t>11주차</t>
        </is>
      </c>
      <c r="C2030" t="inlineStr">
        <is>
          <t>EP</t>
        </is>
      </c>
      <c r="D2030" s="28" t="n">
        <v>46090</v>
      </c>
      <c r="E2030" t="inlineStr">
        <is>
          <t>현대EP_fast</t>
        </is>
      </c>
      <c r="F2030" t="inlineStr">
        <is>
          <t>김재덕</t>
        </is>
      </c>
      <c r="G2030" t="inlineStr">
        <is>
          <t>010-8924-9150</t>
        </is>
      </c>
      <c r="H2030" t="inlineStr">
        <is>
          <t>67고5469</t>
        </is>
      </c>
      <c r="I2030" t="n">
        <v>9400000</v>
      </c>
      <c r="J2030" t="n">
        <v>0.119</v>
      </c>
      <c r="K2030" t="n">
        <v>1.76</v>
      </c>
      <c r="L2030" t="n">
        <v>0.4</v>
      </c>
      <c r="M2030" t="n">
        <v>1.36</v>
      </c>
      <c r="P2030" t="inlineStr">
        <is>
          <t>최혁</t>
        </is>
      </c>
      <c r="AB2030" t="inlineStr">
        <is>
          <t>엔카</t>
        </is>
      </c>
      <c r="AC2030" t="n">
        <v>165440</v>
      </c>
      <c r="AD2030" t="n">
        <v>37600</v>
      </c>
      <c r="AE2030" t="n">
        <v>127840</v>
      </c>
      <c r="AF2030" t="n">
        <v>150400</v>
      </c>
      <c r="AG2030" t="n">
        <v>36359.2</v>
      </c>
      <c r="AH2030" t="n">
        <v>114040.8</v>
      </c>
    </row>
    <row r="2031">
      <c r="A2031" t="inlineStr">
        <is>
          <t>3월</t>
        </is>
      </c>
      <c r="B2031" t="inlineStr">
        <is>
          <t>10주차</t>
        </is>
      </c>
      <c r="C2031" t="inlineStr">
        <is>
          <t>EP</t>
        </is>
      </c>
      <c r="D2031" s="28" t="n">
        <v>46086</v>
      </c>
      <c r="E2031" t="inlineStr">
        <is>
          <t>현대EP</t>
        </is>
      </c>
      <c r="F2031" t="inlineStr">
        <is>
          <t>권미경</t>
        </is>
      </c>
      <c r="G2031" t="inlineStr">
        <is>
          <t>010-2826-4610</t>
        </is>
      </c>
      <c r="H2031" t="inlineStr">
        <is>
          <t>176가2500</t>
        </is>
      </c>
      <c r="I2031" t="n">
        <v>15900000</v>
      </c>
      <c r="J2031" t="n">
        <v>0.102</v>
      </c>
      <c r="K2031" t="n">
        <v>1.76</v>
      </c>
      <c r="L2031" t="n">
        <v>0.14</v>
      </c>
      <c r="M2031" t="n">
        <v>1.62</v>
      </c>
      <c r="P2031" t="inlineStr">
        <is>
          <t>황채이</t>
        </is>
      </c>
      <c r="Q2031" t="inlineStr">
        <is>
          <t>홈서비스 60개월</t>
        </is>
      </c>
      <c r="AB2031" t="inlineStr">
        <is>
          <t>홈서비스</t>
        </is>
      </c>
      <c r="AC2031" t="n">
        <v>279840</v>
      </c>
      <c r="AD2031" t="n">
        <v>22260</v>
      </c>
      <c r="AE2031" t="n">
        <v>257580</v>
      </c>
      <c r="AF2031" t="n">
        <v>254400</v>
      </c>
      <c r="AG2031" t="n">
        <v>21525.42</v>
      </c>
      <c r="AH2031" t="n">
        <v>232874.58</v>
      </c>
      <c r="AI2031" t="n">
        <v>0</v>
      </c>
    </row>
    <row r="2032">
      <c r="A2032" t="inlineStr">
        <is>
          <t>3월</t>
        </is>
      </c>
      <c r="B2032" t="inlineStr">
        <is>
          <t>10주차</t>
        </is>
      </c>
      <c r="C2032" t="inlineStr">
        <is>
          <t>EP</t>
        </is>
      </c>
      <c r="D2032" s="28" t="n">
        <v>46085</v>
      </c>
      <c r="E2032" t="inlineStr">
        <is>
          <t>현대EP_fast</t>
        </is>
      </c>
      <c r="F2032" t="inlineStr">
        <is>
          <t>박형진</t>
        </is>
      </c>
      <c r="G2032" t="inlineStr">
        <is>
          <t>010-6409-4938</t>
        </is>
      </c>
      <c r="H2032" t="inlineStr">
        <is>
          <t>32어1448</t>
        </is>
      </c>
      <c r="I2032" t="n">
        <v>-10900000</v>
      </c>
      <c r="J2032" t="n">
        <v>0.07099999999999999</v>
      </c>
      <c r="K2032" t="n">
        <v>1.76</v>
      </c>
      <c r="L2032" t="n">
        <v>0.14</v>
      </c>
      <c r="M2032" t="n">
        <v>1.62</v>
      </c>
      <c r="P2032" t="inlineStr">
        <is>
          <t>정광호</t>
        </is>
      </c>
      <c r="Q2032" t="inlineStr">
        <is>
          <t>홈서비스 48개월</t>
        </is>
      </c>
      <c r="AB2032" t="inlineStr">
        <is>
          <t>홈서비스</t>
        </is>
      </c>
      <c r="AC2032" t="n">
        <v>-191840</v>
      </c>
      <c r="AD2032" t="n">
        <v>-15260</v>
      </c>
      <c r="AE2032" t="n">
        <v>-176580</v>
      </c>
      <c r="AF2032" t="n">
        <v>-174400</v>
      </c>
      <c r="AG2032" t="n">
        <v>-14756.42</v>
      </c>
      <c r="AH2032" t="n">
        <v>-159643.58</v>
      </c>
      <c r="AI2032" t="n">
        <v>0</v>
      </c>
    </row>
    <row r="2033">
      <c r="A2033" t="inlineStr">
        <is>
          <t>3월</t>
        </is>
      </c>
      <c r="B2033" t="inlineStr">
        <is>
          <t>11주차</t>
        </is>
      </c>
      <c r="C2033" t="inlineStr">
        <is>
          <t>EP</t>
        </is>
      </c>
      <c r="D2033" s="28" t="n">
        <v>46091</v>
      </c>
      <c r="E2033" t="inlineStr">
        <is>
          <t>현대EP_fast</t>
        </is>
      </c>
      <c r="F2033" t="inlineStr">
        <is>
          <t>한정연</t>
        </is>
      </c>
      <c r="G2033" t="inlineStr">
        <is>
          <t>010-2150-7357</t>
        </is>
      </c>
      <c r="H2033" t="inlineStr">
        <is>
          <t>205어2353</t>
        </is>
      </c>
      <c r="I2033" t="n">
        <v>13400000</v>
      </c>
      <c r="J2033" t="n">
        <v>0.092</v>
      </c>
      <c r="K2033" t="n">
        <v>1.76</v>
      </c>
      <c r="L2033" t="n">
        <v>0.14</v>
      </c>
      <c r="M2033" t="n">
        <v>1.62</v>
      </c>
      <c r="P2033" t="inlineStr">
        <is>
          <t>장현경</t>
        </is>
      </c>
      <c r="Q2033" t="inlineStr">
        <is>
          <t>선상담 / 홈서비스 60개월</t>
        </is>
      </c>
      <c r="AB2033" t="inlineStr">
        <is>
          <t>홈서비스</t>
        </is>
      </c>
      <c r="AC2033" t="n">
        <v>235840</v>
      </c>
      <c r="AD2033" t="n">
        <v>18760</v>
      </c>
      <c r="AE2033" t="n">
        <v>217080</v>
      </c>
      <c r="AF2033" t="n">
        <v>214400</v>
      </c>
      <c r="AG2033" t="n">
        <v>18140.92</v>
      </c>
      <c r="AH2033" t="n">
        <v>196259.08</v>
      </c>
    </row>
    <row r="2034">
      <c r="A2034" t="inlineStr">
        <is>
          <t>3월</t>
        </is>
      </c>
      <c r="B2034" t="inlineStr">
        <is>
          <t>10주차</t>
        </is>
      </c>
      <c r="C2034" t="inlineStr">
        <is>
          <t>EP</t>
        </is>
      </c>
      <c r="D2034" s="28" t="n">
        <v>46087</v>
      </c>
      <c r="E2034" t="inlineStr">
        <is>
          <t>현대EP_fast</t>
        </is>
      </c>
      <c r="F2034" t="inlineStr">
        <is>
          <t>이영도</t>
        </is>
      </c>
      <c r="G2034" t="inlineStr">
        <is>
          <t>010-2395-7647</t>
        </is>
      </c>
      <c r="H2034" t="inlineStr">
        <is>
          <t>18가5307</t>
        </is>
      </c>
      <c r="I2034" t="n">
        <v>-11900000</v>
      </c>
      <c r="J2034" t="n">
        <v>0.09</v>
      </c>
      <c r="K2034" t="n">
        <v>1.76</v>
      </c>
      <c r="L2034" t="n">
        <v>0.14</v>
      </c>
      <c r="M2034" t="n">
        <v>1.62</v>
      </c>
      <c r="P2034" t="inlineStr">
        <is>
          <t>김수연</t>
        </is>
      </c>
      <c r="Q2034" t="inlineStr">
        <is>
          <t>홈서비스 60개월</t>
        </is>
      </c>
      <c r="AB2034" t="inlineStr">
        <is>
          <t>홈서비스</t>
        </is>
      </c>
      <c r="AC2034" t="n">
        <v>-209440</v>
      </c>
      <c r="AD2034" t="n">
        <v>-16660</v>
      </c>
      <c r="AE2034" t="n">
        <v>-192780</v>
      </c>
      <c r="AF2034" t="n">
        <v>-190400</v>
      </c>
      <c r="AG2034" t="n">
        <v>-16110.22</v>
      </c>
      <c r="AH2034" t="n">
        <v>-174289.78</v>
      </c>
    </row>
    <row r="2035">
      <c r="A2035" t="inlineStr">
        <is>
          <t>3월</t>
        </is>
      </c>
      <c r="B2035" t="inlineStr">
        <is>
          <t>11주차</t>
        </is>
      </c>
      <c r="C2035" t="inlineStr">
        <is>
          <t>EP</t>
        </is>
      </c>
      <c r="D2035" s="28" t="n">
        <v>46090</v>
      </c>
      <c r="E2035" t="inlineStr">
        <is>
          <t>현대EP_fast</t>
        </is>
      </c>
      <c r="F2035" t="inlineStr">
        <is>
          <t>류원호</t>
        </is>
      </c>
      <c r="G2035" t="inlineStr">
        <is>
          <t>010-4200-4042</t>
        </is>
      </c>
      <c r="H2035" t="inlineStr">
        <is>
          <t>33모0114</t>
        </is>
      </c>
      <c r="I2035" t="n">
        <v>-5900000</v>
      </c>
      <c r="J2035" t="n">
        <v>0.079</v>
      </c>
      <c r="K2035" t="n">
        <v>1.76</v>
      </c>
      <c r="L2035" t="n">
        <v>0.14</v>
      </c>
      <c r="M2035" t="n">
        <v>1.62</v>
      </c>
      <c r="P2035" t="inlineStr">
        <is>
          <t>박현민</t>
        </is>
      </c>
      <c r="Q2035" t="inlineStr">
        <is>
          <t>홈서비스 48개월</t>
        </is>
      </c>
      <c r="AB2035" t="inlineStr">
        <is>
          <t>홈서비스</t>
        </is>
      </c>
      <c r="AC2035" t="n">
        <v>-103840</v>
      </c>
      <c r="AD2035" t="n">
        <v>-8260</v>
      </c>
      <c r="AE2035" t="n">
        <v>-95580</v>
      </c>
      <c r="AF2035" t="n">
        <v>-94400</v>
      </c>
      <c r="AG2035" t="n">
        <v>-7987.42</v>
      </c>
      <c r="AH2035" t="n">
        <v>-86412.58</v>
      </c>
      <c r="AI2035" t="n">
        <v>0</v>
      </c>
    </row>
    <row r="2036">
      <c r="A2036" t="inlineStr">
        <is>
          <t>3월</t>
        </is>
      </c>
      <c r="B2036" t="inlineStr">
        <is>
          <t>11주차</t>
        </is>
      </c>
      <c r="C2036" t="inlineStr">
        <is>
          <t>EP</t>
        </is>
      </c>
      <c r="D2036" s="28" t="n">
        <v>46090</v>
      </c>
      <c r="E2036" t="inlineStr">
        <is>
          <t>현대EP</t>
        </is>
      </c>
      <c r="F2036" t="inlineStr">
        <is>
          <t>박지범</t>
        </is>
      </c>
      <c r="G2036" t="inlineStr">
        <is>
          <t>010-2559-4096</t>
        </is>
      </c>
      <c r="H2036" t="inlineStr">
        <is>
          <t>135조2433</t>
        </is>
      </c>
      <c r="I2036" t="n">
        <v>10700000</v>
      </c>
      <c r="J2036" t="n">
        <v>0.092</v>
      </c>
      <c r="K2036" t="n">
        <v>1.76</v>
      </c>
      <c r="L2036" t="n">
        <v>0.14</v>
      </c>
      <c r="M2036" t="n">
        <v>1.62</v>
      </c>
      <c r="P2036" t="inlineStr">
        <is>
          <t>정광호</t>
        </is>
      </c>
      <c r="Q2036" t="inlineStr">
        <is>
          <t>홈서비스 60개월</t>
        </is>
      </c>
      <c r="AB2036" t="inlineStr">
        <is>
          <t>홈서비스</t>
        </is>
      </c>
      <c r="AC2036" t="n">
        <v>188320</v>
      </c>
      <c r="AD2036" t="n">
        <v>14980</v>
      </c>
      <c r="AE2036" t="n">
        <v>173340</v>
      </c>
      <c r="AF2036" t="n">
        <v>171200</v>
      </c>
      <c r="AG2036" t="n">
        <v>14485.66</v>
      </c>
      <c r="AH2036" t="n">
        <v>156714.34</v>
      </c>
      <c r="AI2036" t="n">
        <v>0</v>
      </c>
    </row>
    <row r="2037">
      <c r="A2037" t="inlineStr">
        <is>
          <t>3월</t>
        </is>
      </c>
      <c r="B2037" t="inlineStr">
        <is>
          <t>11주차</t>
        </is>
      </c>
      <c r="C2037" t="inlineStr">
        <is>
          <t>IM</t>
        </is>
      </c>
      <c r="D2037" s="28" t="n">
        <v>46090</v>
      </c>
      <c r="E2037" t="inlineStr">
        <is>
          <t>IM캐피탈</t>
        </is>
      </c>
      <c r="F2037" t="inlineStr">
        <is>
          <t>김찬규</t>
        </is>
      </c>
      <c r="G2037" t="inlineStr">
        <is>
          <t>010-5213-4539</t>
        </is>
      </c>
      <c r="H2037" t="inlineStr">
        <is>
          <t>14서0585</t>
        </is>
      </c>
      <c r="I2037" t="n">
        <v>-9800000</v>
      </c>
      <c r="J2037" t="n">
        <v>0.039</v>
      </c>
      <c r="K2037" t="n">
        <v>1.1</v>
      </c>
      <c r="L2037" t="n">
        <v>0.4</v>
      </c>
      <c r="M2037" t="n">
        <v>0.7</v>
      </c>
      <c r="P2037" t="inlineStr">
        <is>
          <t>최혁</t>
        </is>
      </c>
      <c r="Q2037" t="inlineStr">
        <is>
          <t>론진행</t>
        </is>
      </c>
      <c r="AB2037" t="inlineStr">
        <is>
          <t>엔카</t>
        </is>
      </c>
      <c r="AC2037" t="n">
        <v>-107800</v>
      </c>
      <c r="AD2037" t="n">
        <v>-39200</v>
      </c>
      <c r="AE2037" t="n">
        <v>-68600</v>
      </c>
      <c r="AF2037" t="n">
        <v>-98000</v>
      </c>
      <c r="AG2037" t="n">
        <v>-37906.4</v>
      </c>
      <c r="AH2037" t="n">
        <v>-60093.6</v>
      </c>
      <c r="AI2037" t="n">
        <v>0</v>
      </c>
    </row>
    <row r="2038">
      <c r="A2038" t="inlineStr">
        <is>
          <t>3월</t>
        </is>
      </c>
      <c r="B2038" t="inlineStr">
        <is>
          <t>11주차</t>
        </is>
      </c>
      <c r="C2038" t="inlineStr">
        <is>
          <t>EP</t>
        </is>
      </c>
      <c r="D2038" s="28" t="n">
        <v>46091</v>
      </c>
      <c r="E2038" t="inlineStr">
        <is>
          <t>제이비EP</t>
        </is>
      </c>
      <c r="F2038" t="inlineStr">
        <is>
          <t>윤강욱</t>
        </is>
      </c>
      <c r="G2038" t="inlineStr">
        <is>
          <t>010-3655-8930</t>
        </is>
      </c>
      <c r="H2038" t="inlineStr">
        <is>
          <t>54더4786</t>
        </is>
      </c>
      <c r="I2038" t="n">
        <v>7800000</v>
      </c>
      <c r="J2038" t="n">
        <v>0.079</v>
      </c>
      <c r="K2038" t="n">
        <v>1.65</v>
      </c>
      <c r="L2038" t="n">
        <v>0.14</v>
      </c>
      <c r="M2038" t="n">
        <v>1.51</v>
      </c>
      <c r="P2038" t="inlineStr">
        <is>
          <t>정세빈</t>
        </is>
      </c>
      <c r="Q2038" t="inlineStr">
        <is>
          <t>홈서비스 60개월</t>
        </is>
      </c>
      <c r="AB2038" t="inlineStr">
        <is>
          <t>홈서비스</t>
        </is>
      </c>
      <c r="AC2038" t="n">
        <v>128700</v>
      </c>
      <c r="AD2038" t="n">
        <v>10920</v>
      </c>
      <c r="AE2038" t="n">
        <v>117780</v>
      </c>
      <c r="AF2038" t="n">
        <v>117000</v>
      </c>
      <c r="AG2038" t="n">
        <v>10559.64</v>
      </c>
      <c r="AH2038" t="n">
        <v>106440.36</v>
      </c>
      <c r="AI2038" t="n">
        <v>0</v>
      </c>
    </row>
    <row r="2039">
      <c r="A2039" t="inlineStr">
        <is>
          <t>3월</t>
        </is>
      </c>
      <c r="B2039" t="inlineStr">
        <is>
          <t>11주차</t>
        </is>
      </c>
      <c r="C2039" t="inlineStr">
        <is>
          <t>EP</t>
        </is>
      </c>
      <c r="D2039" s="28" t="n">
        <v>46091</v>
      </c>
      <c r="E2039" t="inlineStr">
        <is>
          <t>현대EP</t>
        </is>
      </c>
      <c r="F2039" t="inlineStr">
        <is>
          <t>김성하</t>
        </is>
      </c>
      <c r="G2039" t="inlineStr">
        <is>
          <t>010-6237-0277</t>
        </is>
      </c>
      <c r="H2039" t="inlineStr">
        <is>
          <t>50우0125</t>
        </is>
      </c>
      <c r="I2039" t="n">
        <v>15600000</v>
      </c>
      <c r="J2039" t="n">
        <v>0.076</v>
      </c>
      <c r="K2039" t="n">
        <v>1.76</v>
      </c>
      <c r="L2039" t="n">
        <v>0.14</v>
      </c>
      <c r="M2039" t="n">
        <v>1.62</v>
      </c>
      <c r="P2039" t="inlineStr">
        <is>
          <t>정광호</t>
        </is>
      </c>
      <c r="Q2039" t="inlineStr">
        <is>
          <t>홈서비스 60개월</t>
        </is>
      </c>
      <c r="AB2039" t="inlineStr">
        <is>
          <t>홈서비스</t>
        </is>
      </c>
      <c r="AC2039" t="n">
        <v>274560</v>
      </c>
      <c r="AD2039" t="n">
        <v>21840</v>
      </c>
      <c r="AE2039" t="n">
        <v>252720</v>
      </c>
      <c r="AF2039" t="n">
        <v>249600</v>
      </c>
      <c r="AG2039" t="n">
        <v>21119.28</v>
      </c>
      <c r="AH2039" t="n">
        <v>228480.72</v>
      </c>
      <c r="AI2039" t="n">
        <v>0</v>
      </c>
    </row>
    <row r="2040">
      <c r="A2040" t="inlineStr">
        <is>
          <t>3월</t>
        </is>
      </c>
      <c r="B2040" t="inlineStr">
        <is>
          <t>11주차</t>
        </is>
      </c>
      <c r="C2040" t="inlineStr">
        <is>
          <t>EP</t>
        </is>
      </c>
      <c r="D2040" s="28" t="n">
        <v>46091</v>
      </c>
      <c r="E2040" t="inlineStr">
        <is>
          <t>현대EP_fast</t>
        </is>
      </c>
      <c r="F2040" t="inlineStr">
        <is>
          <t>박종진</t>
        </is>
      </c>
      <c r="G2040" t="inlineStr">
        <is>
          <t>010-5258-5934</t>
        </is>
      </c>
      <c r="H2040" t="inlineStr">
        <is>
          <t>68고6563</t>
        </is>
      </c>
      <c r="I2040" t="n">
        <v>4300000</v>
      </c>
      <c r="J2040" t="n">
        <v>0.092</v>
      </c>
      <c r="K2040" t="n">
        <v>1.76</v>
      </c>
      <c r="L2040" t="n">
        <v>0.14</v>
      </c>
      <c r="M2040" t="n">
        <v>1.62</v>
      </c>
      <c r="P2040" t="inlineStr">
        <is>
          <t>최형주</t>
        </is>
      </c>
      <c r="Q2040" t="inlineStr">
        <is>
          <t>홈서비스 60개월</t>
        </is>
      </c>
      <c r="AB2040" t="inlineStr">
        <is>
          <t>홈서비스</t>
        </is>
      </c>
      <c r="AC2040" t="n">
        <v>75680</v>
      </c>
      <c r="AD2040" t="n">
        <v>6020</v>
      </c>
      <c r="AE2040" t="n">
        <v>69660</v>
      </c>
      <c r="AF2040" t="n">
        <v>68800</v>
      </c>
      <c r="AG2040" t="n">
        <v>5821.34</v>
      </c>
      <c r="AH2040" t="n">
        <v>62978.66</v>
      </c>
      <c r="AI2040" t="n">
        <v>0</v>
      </c>
    </row>
    <row r="2041">
      <c r="A2041" t="inlineStr">
        <is>
          <t>3월</t>
        </is>
      </c>
      <c r="B2041" t="inlineStr">
        <is>
          <t>11주차</t>
        </is>
      </c>
      <c r="C2041" t="inlineStr">
        <is>
          <t>IM</t>
        </is>
      </c>
      <c r="D2041" s="28" t="n">
        <v>46090</v>
      </c>
      <c r="E2041" t="inlineStr">
        <is>
          <t>IM캐피탈</t>
        </is>
      </c>
      <c r="F2041" t="inlineStr">
        <is>
          <t>문수경</t>
        </is>
      </c>
      <c r="G2041" t="inlineStr">
        <is>
          <t>010-9152-5103</t>
        </is>
      </c>
      <c r="H2041" t="inlineStr">
        <is>
          <t>148노6059</t>
        </is>
      </c>
      <c r="I2041" t="n">
        <v>31900000</v>
      </c>
      <c r="J2041" t="n">
        <v>0.056</v>
      </c>
      <c r="K2041" t="n">
        <v>1.1</v>
      </c>
      <c r="L2041" t="n">
        <v>0.14</v>
      </c>
      <c r="M2041" t="n">
        <v>0.96</v>
      </c>
      <c r="P2041" t="inlineStr">
        <is>
          <t>구성완</t>
        </is>
      </c>
      <c r="Q2041" t="inlineStr">
        <is>
          <t>안심거래존건</t>
        </is>
      </c>
      <c r="AB2041" t="inlineStr">
        <is>
          <t>믿고</t>
        </is>
      </c>
      <c r="AC2041" t="n">
        <v>350900</v>
      </c>
      <c r="AD2041" t="n">
        <v>44660</v>
      </c>
      <c r="AE2041" t="n">
        <v>306240</v>
      </c>
      <c r="AF2041" t="n">
        <v>319000</v>
      </c>
      <c r="AG2041" t="n">
        <v>43186.22</v>
      </c>
      <c r="AH2041" t="n">
        <v>275813.78</v>
      </c>
      <c r="AI2041" t="n">
        <v>0</v>
      </c>
    </row>
    <row r="2042">
      <c r="A2042" t="inlineStr">
        <is>
          <t>3월</t>
        </is>
      </c>
      <c r="B2042" t="inlineStr">
        <is>
          <t>11주차</t>
        </is>
      </c>
      <c r="C2042" t="inlineStr">
        <is>
          <t>EP</t>
        </is>
      </c>
      <c r="D2042" s="28" t="n">
        <v>46090</v>
      </c>
      <c r="E2042" t="inlineStr">
        <is>
          <t>현대EP_fast</t>
        </is>
      </c>
      <c r="F2042" t="inlineStr">
        <is>
          <t>김소라</t>
        </is>
      </c>
      <c r="G2042" t="inlineStr">
        <is>
          <t>010-3382-0214</t>
        </is>
      </c>
      <c r="H2042" t="inlineStr">
        <is>
          <t>41저0815</t>
        </is>
      </c>
      <c r="I2042" t="n">
        <v>5900000</v>
      </c>
      <c r="J2042" t="n">
        <v>0.102</v>
      </c>
      <c r="K2042" t="n">
        <v>1.76</v>
      </c>
      <c r="L2042" t="n">
        <v>0.14</v>
      </c>
      <c r="M2042" t="n">
        <v>1.62</v>
      </c>
      <c r="P2042" t="inlineStr">
        <is>
          <t>황채이</t>
        </is>
      </c>
      <c r="Q2042" t="inlineStr">
        <is>
          <t>홈서비스 48개월</t>
        </is>
      </c>
      <c r="AB2042" t="inlineStr">
        <is>
          <t>홈서비스</t>
        </is>
      </c>
      <c r="AC2042" t="n">
        <v>103840</v>
      </c>
      <c r="AD2042" t="n">
        <v>8260</v>
      </c>
      <c r="AE2042" t="n">
        <v>95580</v>
      </c>
      <c r="AF2042" t="n">
        <v>94400</v>
      </c>
      <c r="AG2042" t="n">
        <v>7987.42</v>
      </c>
      <c r="AH2042" t="n">
        <v>86412.58</v>
      </c>
      <c r="AI2042" t="n">
        <v>0</v>
      </c>
    </row>
    <row r="2043">
      <c r="A2043" t="inlineStr">
        <is>
          <t>3월</t>
        </is>
      </c>
      <c r="B2043" t="inlineStr">
        <is>
          <t>11주차</t>
        </is>
      </c>
      <c r="C2043" t="inlineStr">
        <is>
          <t>EP</t>
        </is>
      </c>
      <c r="D2043" s="28" t="n">
        <v>46091</v>
      </c>
      <c r="E2043" t="inlineStr">
        <is>
          <t>현대EP_fast</t>
        </is>
      </c>
      <c r="F2043" t="inlineStr">
        <is>
          <t>임현민</t>
        </is>
      </c>
      <c r="G2043" t="inlineStr">
        <is>
          <t>010-9691-7422</t>
        </is>
      </c>
      <c r="H2043" t="inlineStr">
        <is>
          <t>19저5586</t>
        </is>
      </c>
      <c r="I2043" t="n">
        <v>7500000</v>
      </c>
      <c r="J2043" t="n">
        <v>0.08500000000000001</v>
      </c>
      <c r="K2043" t="n">
        <v>1.76</v>
      </c>
      <c r="L2043" t="n">
        <v>0.5</v>
      </c>
      <c r="M2043" t="n">
        <v>1.26</v>
      </c>
      <c r="P2043" t="inlineStr">
        <is>
          <t>정하은</t>
        </is>
      </c>
      <c r="Q2043" t="inlineStr">
        <is>
          <t>고객주도체결</t>
        </is>
      </c>
      <c r="AB2043" t="inlineStr">
        <is>
          <t>엔카</t>
        </is>
      </c>
      <c r="AC2043" t="n">
        <v>132000</v>
      </c>
      <c r="AD2043" t="n">
        <v>37500</v>
      </c>
      <c r="AE2043" t="n">
        <v>94500</v>
      </c>
      <c r="AF2043" t="n">
        <v>120000</v>
      </c>
      <c r="AG2043" t="n">
        <v>36262.5</v>
      </c>
      <c r="AH2043" t="n">
        <v>83737.5</v>
      </c>
      <c r="AI2043" t="n">
        <v>0</v>
      </c>
    </row>
    <row r="2044">
      <c r="A2044" t="inlineStr">
        <is>
          <t>3월</t>
        </is>
      </c>
      <c r="B2044" t="inlineStr">
        <is>
          <t>11주차</t>
        </is>
      </c>
      <c r="C2044" t="inlineStr">
        <is>
          <t>IM</t>
        </is>
      </c>
      <c r="D2044" s="28" t="n">
        <v>46091</v>
      </c>
      <c r="E2044" t="inlineStr">
        <is>
          <t>IM캐피탈</t>
        </is>
      </c>
      <c r="F2044" t="inlineStr">
        <is>
          <t>안수진</t>
        </is>
      </c>
      <c r="G2044" t="inlineStr">
        <is>
          <t>010-6865-8213</t>
        </is>
      </c>
      <c r="H2044" t="inlineStr">
        <is>
          <t>317무2953</t>
        </is>
      </c>
      <c r="I2044" t="n">
        <v>42000000</v>
      </c>
      <c r="J2044" t="n">
        <v>0.082</v>
      </c>
      <c r="K2044" t="n">
        <v>1.1</v>
      </c>
      <c r="L2044" t="n">
        <v>0.4</v>
      </c>
      <c r="M2044" t="n">
        <v>0.7</v>
      </c>
      <c r="P2044" t="inlineStr">
        <is>
          <t>장현경</t>
        </is>
      </c>
      <c r="AB2044" t="inlineStr">
        <is>
          <t>엔카</t>
        </is>
      </c>
      <c r="AC2044" t="n">
        <v>462000</v>
      </c>
      <c r="AD2044" t="n">
        <v>168000</v>
      </c>
      <c r="AE2044" t="n">
        <v>294000</v>
      </c>
      <c r="AF2044" t="n">
        <v>420000</v>
      </c>
      <c r="AG2044" t="n">
        <v>162456</v>
      </c>
      <c r="AH2044" t="n">
        <v>257544</v>
      </c>
      <c r="AI2044" t="n">
        <v>0</v>
      </c>
    </row>
    <row r="2045">
      <c r="A2045" t="inlineStr">
        <is>
          <t>3월</t>
        </is>
      </c>
      <c r="B2045" t="inlineStr">
        <is>
          <t>10주차</t>
        </is>
      </c>
      <c r="C2045" t="inlineStr">
        <is>
          <t>OR</t>
        </is>
      </c>
      <c r="D2045" s="28" t="n">
        <v>46087</v>
      </c>
      <c r="E2045" t="inlineStr">
        <is>
          <t>오릭스</t>
        </is>
      </c>
      <c r="F2045" t="inlineStr">
        <is>
          <t>류동석</t>
        </is>
      </c>
      <c r="G2045" t="inlineStr">
        <is>
          <t>010-6650-1950</t>
        </is>
      </c>
      <c r="H2045" t="inlineStr">
        <is>
          <t>30구8156</t>
        </is>
      </c>
      <c r="I2045" t="n">
        <v>27000000</v>
      </c>
      <c r="J2045" t="n">
        <v>0.059</v>
      </c>
      <c r="K2045" t="n">
        <v>1.65</v>
      </c>
      <c r="L2045" t="n">
        <v>0.4</v>
      </c>
      <c r="M2045" t="n">
        <v>1.25</v>
      </c>
      <c r="P2045" t="inlineStr">
        <is>
          <t>박소현</t>
        </is>
      </c>
      <c r="AB2045" t="inlineStr">
        <is>
          <t>엔카</t>
        </is>
      </c>
      <c r="AC2045" t="n">
        <v>445500</v>
      </c>
      <c r="AD2045" t="n">
        <v>108000</v>
      </c>
      <c r="AE2045" t="n">
        <v>337500</v>
      </c>
      <c r="AF2045" t="n">
        <v>405000</v>
      </c>
      <c r="AG2045" t="n">
        <v>104436</v>
      </c>
      <c r="AH2045" t="n">
        <v>300564</v>
      </c>
      <c r="AI2045" t="n">
        <v>0</v>
      </c>
    </row>
    <row r="2046">
      <c r="A2046" t="inlineStr">
        <is>
          <t>3월</t>
        </is>
      </c>
      <c r="B2046" t="inlineStr">
        <is>
          <t>11주차</t>
        </is>
      </c>
      <c r="C2046" t="inlineStr">
        <is>
          <t>IM</t>
        </is>
      </c>
      <c r="D2046" s="28" t="n">
        <v>46091</v>
      </c>
      <c r="E2046" t="inlineStr">
        <is>
          <t>IM캐피탈</t>
        </is>
      </c>
      <c r="F2046" t="inlineStr">
        <is>
          <t>정하늘</t>
        </is>
      </c>
      <c r="G2046" t="inlineStr">
        <is>
          <t>010-4794-2107</t>
        </is>
      </c>
      <c r="H2046" t="inlineStr">
        <is>
          <t>177모3992</t>
        </is>
      </c>
      <c r="I2046" t="n">
        <v>15000000</v>
      </c>
      <c r="J2046" t="n">
        <v>0.059</v>
      </c>
      <c r="K2046" t="n">
        <v>1.1</v>
      </c>
      <c r="L2046" t="n">
        <v>0.14</v>
      </c>
      <c r="M2046" t="n">
        <v>0.96</v>
      </c>
      <c r="P2046" t="inlineStr">
        <is>
          <t>정세빈</t>
        </is>
      </c>
      <c r="Q2046" t="inlineStr">
        <is>
          <t>홈서비스 36개월</t>
        </is>
      </c>
      <c r="AB2046" t="inlineStr">
        <is>
          <t>홈서비스</t>
        </is>
      </c>
      <c r="AC2046" t="n">
        <v>165000</v>
      </c>
      <c r="AD2046" t="n">
        <v>21000</v>
      </c>
      <c r="AE2046" t="n">
        <v>144000</v>
      </c>
      <c r="AF2046" t="n">
        <v>150000</v>
      </c>
      <c r="AG2046" t="n">
        <v>20307</v>
      </c>
      <c r="AH2046" t="n">
        <v>129693</v>
      </c>
      <c r="AI2046" t="n">
        <v>0</v>
      </c>
    </row>
    <row r="2047">
      <c r="A2047" t="inlineStr">
        <is>
          <t>3월</t>
        </is>
      </c>
      <c r="B2047" t="inlineStr">
        <is>
          <t>11주차</t>
        </is>
      </c>
      <c r="C2047" t="inlineStr">
        <is>
          <t>EP</t>
        </is>
      </c>
      <c r="D2047" s="28" t="n">
        <v>46090</v>
      </c>
      <c r="E2047" t="inlineStr">
        <is>
          <t>현대EP_fast</t>
        </is>
      </c>
      <c r="F2047" t="inlineStr">
        <is>
          <t>이경태</t>
        </is>
      </c>
      <c r="G2047" t="inlineStr">
        <is>
          <t>010-4579-3138</t>
        </is>
      </c>
      <c r="H2047" t="inlineStr">
        <is>
          <t>355우8514</t>
        </is>
      </c>
      <c r="I2047" t="n">
        <v>90000000</v>
      </c>
      <c r="J2047" t="n">
        <v>0.092</v>
      </c>
      <c r="K2047" t="n">
        <v>1.76</v>
      </c>
      <c r="L2047" t="n">
        <v>0.14</v>
      </c>
      <c r="M2047" t="n">
        <v>1.62</v>
      </c>
      <c r="P2047" t="inlineStr">
        <is>
          <t>최형주</t>
        </is>
      </c>
      <c r="Q2047" t="inlineStr">
        <is>
          <t>홈서비스 60개월 /기조회 금리 원복 (10-&gt;9.2)</t>
        </is>
      </c>
      <c r="AB2047" t="inlineStr">
        <is>
          <t>홈서비스</t>
        </is>
      </c>
      <c r="AC2047" t="n">
        <v>1584000</v>
      </c>
      <c r="AD2047" t="n">
        <v>126000</v>
      </c>
      <c r="AE2047" t="n">
        <v>1458000</v>
      </c>
      <c r="AF2047" t="n">
        <v>1440000</v>
      </c>
      <c r="AG2047" t="n">
        <v>121842</v>
      </c>
      <c r="AH2047" t="n">
        <v>1318158</v>
      </c>
      <c r="AI2047" t="n">
        <v>0</v>
      </c>
    </row>
    <row r="2048">
      <c r="A2048" t="inlineStr">
        <is>
          <t>3월</t>
        </is>
      </c>
      <c r="B2048" t="inlineStr">
        <is>
          <t>11주차</t>
        </is>
      </c>
      <c r="C2048" t="inlineStr">
        <is>
          <t>IM</t>
        </is>
      </c>
      <c r="D2048" s="28" t="n">
        <v>46090</v>
      </c>
      <c r="E2048" t="inlineStr">
        <is>
          <t>IM캐피탈</t>
        </is>
      </c>
      <c r="F2048" t="inlineStr">
        <is>
          <t>김기덕</t>
        </is>
      </c>
      <c r="G2048" t="inlineStr">
        <is>
          <t>010-6288-9860</t>
        </is>
      </c>
      <c r="H2048" t="inlineStr">
        <is>
          <t>220가1822</t>
        </is>
      </c>
      <c r="I2048" t="n">
        <v>12000000</v>
      </c>
      <c r="J2048" t="n">
        <v>0.056</v>
      </c>
      <c r="K2048" t="n">
        <v>1.1</v>
      </c>
      <c r="L2048" t="n">
        <v>0.4</v>
      </c>
      <c r="M2048" t="n">
        <v>0.7</v>
      </c>
      <c r="P2048" t="inlineStr">
        <is>
          <t>박보람</t>
        </is>
      </c>
      <c r="AB2048" t="inlineStr">
        <is>
          <t>엔카</t>
        </is>
      </c>
      <c r="AC2048" t="n">
        <v>132000</v>
      </c>
      <c r="AD2048" t="n">
        <v>48000</v>
      </c>
      <c r="AE2048" t="n">
        <v>84000</v>
      </c>
      <c r="AF2048" t="n">
        <v>120000</v>
      </c>
      <c r="AG2048" t="n">
        <v>46416</v>
      </c>
      <c r="AH2048" t="n">
        <v>73584</v>
      </c>
      <c r="AI2048" t="n">
        <v>0</v>
      </c>
    </row>
    <row r="2049">
      <c r="A2049" t="inlineStr">
        <is>
          <t>3월</t>
        </is>
      </c>
      <c r="B2049" t="inlineStr">
        <is>
          <t>11주차</t>
        </is>
      </c>
      <c r="C2049" t="inlineStr">
        <is>
          <t>EP</t>
        </is>
      </c>
      <c r="D2049" s="28" t="n">
        <v>46090</v>
      </c>
      <c r="E2049" t="inlineStr">
        <is>
          <t>현대EP_fast</t>
        </is>
      </c>
      <c r="F2049" t="inlineStr">
        <is>
          <t>김진호</t>
        </is>
      </c>
      <c r="G2049" t="inlineStr">
        <is>
          <t>010-9384-0547</t>
        </is>
      </c>
      <c r="H2049" t="inlineStr">
        <is>
          <t>95보0364</t>
        </is>
      </c>
      <c r="I2049" t="n">
        <v>22800000</v>
      </c>
      <c r="J2049" t="n">
        <v>0.102</v>
      </c>
      <c r="K2049" t="n">
        <v>1.76</v>
      </c>
      <c r="L2049" t="n">
        <v>0.4</v>
      </c>
      <c r="M2049" t="n">
        <v>1.36</v>
      </c>
      <c r="P2049" t="inlineStr">
        <is>
          <t>최형주</t>
        </is>
      </c>
      <c r="Q2049" t="inlineStr">
        <is>
          <t xml:space="preserve"> 홈-&gt;상사 탁송 진행건</t>
        </is>
      </c>
      <c r="AB2049" t="inlineStr">
        <is>
          <t>엔카</t>
        </is>
      </c>
      <c r="AC2049" t="n">
        <v>401280</v>
      </c>
      <c r="AD2049" t="n">
        <v>91200</v>
      </c>
      <c r="AE2049" t="n">
        <v>310080</v>
      </c>
      <c r="AF2049" t="n">
        <v>364800</v>
      </c>
      <c r="AG2049" t="n">
        <v>88190.39999999999</v>
      </c>
      <c r="AH2049" t="n">
        <v>276609.6</v>
      </c>
      <c r="AI2049" t="n">
        <v>0</v>
      </c>
    </row>
    <row r="2050">
      <c r="A2050" t="inlineStr">
        <is>
          <t>3월</t>
        </is>
      </c>
      <c r="B2050" t="inlineStr">
        <is>
          <t>11주차</t>
        </is>
      </c>
      <c r="C2050" t="inlineStr">
        <is>
          <t>IM</t>
        </is>
      </c>
      <c r="D2050" s="28" t="n">
        <v>46091</v>
      </c>
      <c r="E2050" t="inlineStr">
        <is>
          <t>IM캐피탈</t>
        </is>
      </c>
      <c r="F2050" t="inlineStr">
        <is>
          <t>김민우</t>
        </is>
      </c>
      <c r="G2050" t="inlineStr">
        <is>
          <t>010-9047-9695</t>
        </is>
      </c>
      <c r="H2050" t="inlineStr">
        <is>
          <t>399부9197</t>
        </is>
      </c>
      <c r="I2050" t="n">
        <v>15700000</v>
      </c>
      <c r="J2050" t="n">
        <v>0.049</v>
      </c>
      <c r="K2050" t="n">
        <v>1.1</v>
      </c>
      <c r="L2050" t="n">
        <v>0.14</v>
      </c>
      <c r="M2050" t="n">
        <v>0.96</v>
      </c>
      <c r="P2050" t="inlineStr">
        <is>
          <t>최형주</t>
        </is>
      </c>
      <c r="Q2050" t="inlineStr">
        <is>
          <t>홈서비스 48개월</t>
        </is>
      </c>
      <c r="AB2050" t="inlineStr">
        <is>
          <t>홈서비스</t>
        </is>
      </c>
      <c r="AC2050" t="n">
        <v>172700</v>
      </c>
      <c r="AD2050" t="n">
        <v>21980</v>
      </c>
      <c r="AE2050" t="n">
        <v>150720</v>
      </c>
      <c r="AF2050" t="n">
        <v>157000</v>
      </c>
      <c r="AG2050" t="n">
        <v>21254.66</v>
      </c>
      <c r="AH2050" t="n">
        <v>135745.34</v>
      </c>
    </row>
    <row r="2051">
      <c r="A2051" t="inlineStr">
        <is>
          <t>3월</t>
        </is>
      </c>
      <c r="B2051" t="inlineStr">
        <is>
          <t>11주차</t>
        </is>
      </c>
      <c r="C2051" t="inlineStr">
        <is>
          <t>IM</t>
        </is>
      </c>
      <c r="D2051" s="28" t="n">
        <v>46091</v>
      </c>
      <c r="E2051" t="inlineStr">
        <is>
          <t>IM캐피탈</t>
        </is>
      </c>
      <c r="F2051" t="inlineStr">
        <is>
          <t>김현진</t>
        </is>
      </c>
      <c r="G2051" t="inlineStr">
        <is>
          <t>010-2881-5362</t>
        </is>
      </c>
      <c r="H2051" t="inlineStr">
        <is>
          <t>238마7369</t>
        </is>
      </c>
      <c r="I2051" t="n">
        <v>18300000</v>
      </c>
      <c r="J2051" t="n">
        <v>0.049</v>
      </c>
      <c r="K2051" t="n">
        <v>1.1</v>
      </c>
      <c r="L2051" t="n">
        <v>0.14</v>
      </c>
      <c r="M2051" t="n">
        <v>0.96</v>
      </c>
      <c r="P2051" t="inlineStr">
        <is>
          <t>정광호</t>
        </is>
      </c>
      <c r="Q2051" t="inlineStr">
        <is>
          <t>홈서비스 60개월</t>
        </is>
      </c>
      <c r="AB2051" t="inlineStr">
        <is>
          <t>홈서비스</t>
        </is>
      </c>
      <c r="AC2051" t="n">
        <v>201300</v>
      </c>
      <c r="AD2051" t="n">
        <v>25620</v>
      </c>
      <c r="AE2051" t="n">
        <v>175680</v>
      </c>
      <c r="AF2051" t="n">
        <v>183000</v>
      </c>
      <c r="AG2051" t="n">
        <v>24774.54</v>
      </c>
      <c r="AH2051" t="n">
        <v>158225.46</v>
      </c>
      <c r="AI2051" t="n">
        <v>0</v>
      </c>
    </row>
    <row r="2052">
      <c r="A2052" t="inlineStr">
        <is>
          <t>3월</t>
        </is>
      </c>
      <c r="B2052" t="inlineStr">
        <is>
          <t>11주차</t>
        </is>
      </c>
      <c r="C2052" t="inlineStr">
        <is>
          <t>EP</t>
        </is>
      </c>
      <c r="D2052" s="28" t="n">
        <v>46092</v>
      </c>
      <c r="E2052" t="inlineStr">
        <is>
          <t>현대EP_fast</t>
        </is>
      </c>
      <c r="F2052" t="inlineStr">
        <is>
          <t>권동재</t>
        </is>
      </c>
      <c r="G2052" t="inlineStr">
        <is>
          <t>010-7367-9182</t>
        </is>
      </c>
      <c r="H2052" t="inlineStr">
        <is>
          <t>47노0763</t>
        </is>
      </c>
      <c r="I2052" t="n">
        <v>4900000</v>
      </c>
      <c r="J2052" t="n">
        <v>0.08799999999999999</v>
      </c>
      <c r="K2052" t="n">
        <v>1.76</v>
      </c>
      <c r="L2052" t="n">
        <v>0.14</v>
      </c>
      <c r="M2052" t="n">
        <v>1.62</v>
      </c>
      <c r="P2052" t="inlineStr">
        <is>
          <t>최형주</t>
        </is>
      </c>
      <c r="Q2052" t="inlineStr">
        <is>
          <t>홈서비스 36개월</t>
        </is>
      </c>
      <c r="AB2052" t="inlineStr">
        <is>
          <t>홈서비스</t>
        </is>
      </c>
      <c r="AC2052" t="n">
        <v>86240</v>
      </c>
      <c r="AD2052" t="n">
        <v>6860</v>
      </c>
      <c r="AE2052" t="n">
        <v>79380</v>
      </c>
      <c r="AF2052" t="n">
        <v>78400</v>
      </c>
      <c r="AG2052" t="n">
        <v>6633.62</v>
      </c>
      <c r="AH2052" t="n">
        <v>71766.38</v>
      </c>
      <c r="AI2052" t="n">
        <v>0</v>
      </c>
    </row>
    <row r="2053">
      <c r="A2053" t="inlineStr">
        <is>
          <t>3월</t>
        </is>
      </c>
      <c r="B2053" t="inlineStr">
        <is>
          <t>11주차</t>
        </is>
      </c>
      <c r="C2053" t="inlineStr">
        <is>
          <t>EP</t>
        </is>
      </c>
      <c r="D2053" s="28" t="n">
        <v>46091</v>
      </c>
      <c r="E2053" t="inlineStr">
        <is>
          <t>현대EP_fast</t>
        </is>
      </c>
      <c r="F2053" t="inlineStr">
        <is>
          <t>정윤</t>
        </is>
      </c>
      <c r="G2053" t="inlineStr">
        <is>
          <t>010-7543-0978</t>
        </is>
      </c>
      <c r="H2053" t="inlineStr">
        <is>
          <t>127주2705</t>
        </is>
      </c>
      <c r="I2053" t="n">
        <v>20600000</v>
      </c>
      <c r="J2053" t="n">
        <v>0.102</v>
      </c>
      <c r="K2053" t="n">
        <v>1.76</v>
      </c>
      <c r="L2053" t="n">
        <v>0.14</v>
      </c>
      <c r="M2053" t="n">
        <v>1.62</v>
      </c>
      <c r="P2053" t="inlineStr">
        <is>
          <t>최형주</t>
        </is>
      </c>
      <c r="Q2053" t="inlineStr">
        <is>
          <t>홈서비스 60개월</t>
        </is>
      </c>
      <c r="AB2053" t="inlineStr">
        <is>
          <t>홈서비스</t>
        </is>
      </c>
      <c r="AC2053" t="n">
        <v>362560</v>
      </c>
      <c r="AD2053" t="n">
        <v>28840</v>
      </c>
      <c r="AE2053" t="n">
        <v>333720</v>
      </c>
      <c r="AF2053" t="n">
        <v>329600</v>
      </c>
      <c r="AG2053" t="n">
        <v>27888.28</v>
      </c>
      <c r="AH2053" t="n">
        <v>301711.72</v>
      </c>
      <c r="AI2053" t="n">
        <v>0</v>
      </c>
    </row>
    <row r="2054">
      <c r="A2054" t="inlineStr">
        <is>
          <t>3월</t>
        </is>
      </c>
      <c r="B2054" t="inlineStr">
        <is>
          <t>11주차</t>
        </is>
      </c>
      <c r="C2054" t="inlineStr">
        <is>
          <t>OR</t>
        </is>
      </c>
      <c r="D2054" s="28" t="n">
        <v>46091</v>
      </c>
      <c r="E2054" t="inlineStr">
        <is>
          <t>오릭스</t>
        </is>
      </c>
      <c r="F2054" t="inlineStr">
        <is>
          <t>윤민석</t>
        </is>
      </c>
      <c r="G2054" t="inlineStr">
        <is>
          <t>010-8013-4914</t>
        </is>
      </c>
      <c r="H2054" t="inlineStr">
        <is>
          <t>140수6628</t>
        </is>
      </c>
      <c r="I2054" t="n">
        <v>8900000</v>
      </c>
      <c r="J2054" t="n">
        <v>0.064</v>
      </c>
      <c r="K2054" t="n">
        <v>1.65</v>
      </c>
      <c r="L2054" t="n">
        <v>0.4</v>
      </c>
      <c r="M2054" t="n">
        <v>1.25</v>
      </c>
      <c r="P2054" t="inlineStr">
        <is>
          <t>박현민</t>
        </is>
      </c>
      <c r="AB2054" t="inlineStr">
        <is>
          <t>엔카</t>
        </is>
      </c>
      <c r="AC2054" t="n">
        <v>146850</v>
      </c>
      <c r="AD2054" t="n">
        <v>35600</v>
      </c>
      <c r="AE2054" t="n">
        <v>111250</v>
      </c>
      <c r="AF2054" t="n">
        <v>133500</v>
      </c>
      <c r="AG2054" t="n">
        <v>34425.2</v>
      </c>
      <c r="AH2054" t="n">
        <v>99074.8</v>
      </c>
      <c r="AI2054" t="n">
        <v>0</v>
      </c>
    </row>
    <row r="2055">
      <c r="A2055" t="inlineStr">
        <is>
          <t>3월</t>
        </is>
      </c>
      <c r="B2055" t="inlineStr">
        <is>
          <t>11주차</t>
        </is>
      </c>
      <c r="C2055" t="inlineStr">
        <is>
          <t>EP</t>
        </is>
      </c>
      <c r="D2055" s="28" t="n">
        <v>46091</v>
      </c>
      <c r="E2055" t="inlineStr">
        <is>
          <t>현대EP_fast</t>
        </is>
      </c>
      <c r="F2055" t="inlineStr">
        <is>
          <t>문성진</t>
        </is>
      </c>
      <c r="G2055" t="inlineStr">
        <is>
          <t>010-9060-6373</t>
        </is>
      </c>
      <c r="H2055" t="inlineStr">
        <is>
          <t>390두2982</t>
        </is>
      </c>
      <c r="I2055" t="n">
        <v>26200000</v>
      </c>
      <c r="J2055" t="n">
        <v>0.105</v>
      </c>
      <c r="K2055" t="n">
        <v>1.76</v>
      </c>
      <c r="L2055" t="n">
        <v>0.14</v>
      </c>
      <c r="M2055" t="n">
        <v>1.62</v>
      </c>
      <c r="P2055" t="inlineStr">
        <is>
          <t>황채이</t>
        </is>
      </c>
      <c r="Q2055" t="inlineStr">
        <is>
          <t>홈서비스 48개월</t>
        </is>
      </c>
      <c r="AB2055" t="inlineStr">
        <is>
          <t>홈서비스</t>
        </is>
      </c>
      <c r="AC2055" t="n">
        <v>461120</v>
      </c>
      <c r="AD2055" t="n">
        <v>36680</v>
      </c>
      <c r="AE2055" t="n">
        <v>424440</v>
      </c>
      <c r="AF2055" t="n">
        <v>419200</v>
      </c>
      <c r="AG2055" t="n">
        <v>35469.56</v>
      </c>
      <c r="AH2055" t="n">
        <v>383730.44</v>
      </c>
      <c r="AI2055" t="n">
        <v>0</v>
      </c>
    </row>
    <row r="2056">
      <c r="A2056" t="inlineStr">
        <is>
          <t>3월</t>
        </is>
      </c>
      <c r="B2056" t="inlineStr">
        <is>
          <t>11주차</t>
        </is>
      </c>
      <c r="C2056" t="inlineStr">
        <is>
          <t>EP</t>
        </is>
      </c>
      <c r="D2056" s="28" t="n">
        <v>46091</v>
      </c>
      <c r="E2056" t="inlineStr">
        <is>
          <t>현대EP</t>
        </is>
      </c>
      <c r="F2056" t="inlineStr">
        <is>
          <t>강영철</t>
        </is>
      </c>
      <c r="G2056" t="inlineStr">
        <is>
          <t>010-9787-4948</t>
        </is>
      </c>
      <c r="H2056" t="inlineStr">
        <is>
          <t>106조7559</t>
        </is>
      </c>
      <c r="I2056" t="n">
        <v>44800000</v>
      </c>
      <c r="J2056" t="n">
        <v>0.077</v>
      </c>
      <c r="K2056" t="n">
        <v>1.76</v>
      </c>
      <c r="L2056" t="n">
        <v>0.14</v>
      </c>
      <c r="M2056" t="n">
        <v>1.62</v>
      </c>
      <c r="P2056" t="inlineStr">
        <is>
          <t>김수연</t>
        </is>
      </c>
      <c r="Q2056" t="inlineStr">
        <is>
          <t>홈서비스 60개월</t>
        </is>
      </c>
      <c r="AB2056" t="inlineStr">
        <is>
          <t>홈서비스</t>
        </is>
      </c>
      <c r="AC2056" t="n">
        <v>788480</v>
      </c>
      <c r="AD2056" t="n">
        <v>62720</v>
      </c>
      <c r="AE2056" t="n">
        <v>725760</v>
      </c>
      <c r="AF2056" t="n">
        <v>716800</v>
      </c>
      <c r="AG2056" t="n">
        <v>60650.24</v>
      </c>
      <c r="AH2056" t="n">
        <v>656149.76</v>
      </c>
      <c r="AI2056" t="n">
        <v>0</v>
      </c>
    </row>
    <row r="2057">
      <c r="A2057" t="inlineStr">
        <is>
          <t>3월</t>
        </is>
      </c>
      <c r="B2057" t="inlineStr">
        <is>
          <t>11주차</t>
        </is>
      </c>
      <c r="C2057" t="inlineStr">
        <is>
          <t>EP</t>
        </is>
      </c>
      <c r="D2057" s="28" t="n">
        <v>46092</v>
      </c>
      <c r="E2057" t="inlineStr">
        <is>
          <t>현대EP_fast</t>
        </is>
      </c>
      <c r="F2057" t="inlineStr">
        <is>
          <t>김효장</t>
        </is>
      </c>
      <c r="G2057" t="inlineStr">
        <is>
          <t>010-9697-4479</t>
        </is>
      </c>
      <c r="H2057" t="inlineStr">
        <is>
          <t>43서3446</t>
        </is>
      </c>
      <c r="I2057" t="n">
        <v>23200000</v>
      </c>
      <c r="J2057" t="n">
        <v>0.105</v>
      </c>
      <c r="K2057" t="n">
        <v>1.76</v>
      </c>
      <c r="L2057" t="n">
        <v>0.14</v>
      </c>
      <c r="M2057" t="n">
        <v>1.62</v>
      </c>
      <c r="P2057" t="inlineStr">
        <is>
          <t>황채이</t>
        </is>
      </c>
      <c r="Q2057" t="inlineStr">
        <is>
          <t>홈서비스 60개월</t>
        </is>
      </c>
      <c r="AB2057" t="inlineStr">
        <is>
          <t>홈서비스</t>
        </is>
      </c>
      <c r="AC2057" t="n">
        <v>408320</v>
      </c>
      <c r="AD2057" t="n">
        <v>32480</v>
      </c>
      <c r="AE2057" t="n">
        <v>375840</v>
      </c>
      <c r="AF2057" t="n">
        <v>371200</v>
      </c>
      <c r="AG2057" t="n">
        <v>31408.16</v>
      </c>
      <c r="AH2057" t="n">
        <v>339791.84</v>
      </c>
      <c r="AI2057" t="n">
        <v>0</v>
      </c>
    </row>
    <row r="2058">
      <c r="A2058" t="inlineStr">
        <is>
          <t>3월</t>
        </is>
      </c>
      <c r="B2058" t="inlineStr">
        <is>
          <t>11주차</t>
        </is>
      </c>
      <c r="C2058" t="inlineStr">
        <is>
          <t>EP</t>
        </is>
      </c>
      <c r="D2058" s="28" t="n">
        <v>46092</v>
      </c>
      <c r="E2058" t="inlineStr">
        <is>
          <t>현대EP</t>
        </is>
      </c>
      <c r="F2058" t="inlineStr">
        <is>
          <t>안성희</t>
        </is>
      </c>
      <c r="G2058" t="inlineStr">
        <is>
          <t>010-8672-8259</t>
        </is>
      </c>
      <c r="H2058" t="inlineStr">
        <is>
          <t>36러1546</t>
        </is>
      </c>
      <c r="I2058" t="n">
        <v>21500000</v>
      </c>
      <c r="J2058" t="n">
        <v>0.105</v>
      </c>
      <c r="K2058" t="n">
        <v>1.76</v>
      </c>
      <c r="L2058" t="n">
        <v>0.14</v>
      </c>
      <c r="M2058" t="n">
        <v>1.62</v>
      </c>
      <c r="P2058" t="inlineStr">
        <is>
          <t>황채이</t>
        </is>
      </c>
      <c r="Q2058" t="inlineStr">
        <is>
          <t>홈서비스 60개월</t>
        </is>
      </c>
      <c r="AB2058" t="inlineStr">
        <is>
          <t>홈서비스</t>
        </is>
      </c>
      <c r="AC2058" t="n">
        <v>378400</v>
      </c>
      <c r="AD2058" t="n">
        <v>30100</v>
      </c>
      <c r="AE2058" t="n">
        <v>348300</v>
      </c>
      <c r="AF2058" t="n">
        <v>344000</v>
      </c>
      <c r="AG2058" t="n">
        <v>29106.7</v>
      </c>
      <c r="AH2058" t="n">
        <v>314893.3</v>
      </c>
    </row>
    <row r="2059">
      <c r="A2059" t="inlineStr">
        <is>
          <t>3월</t>
        </is>
      </c>
      <c r="B2059" t="inlineStr">
        <is>
          <t>11주차</t>
        </is>
      </c>
      <c r="C2059" t="inlineStr">
        <is>
          <t>EP</t>
        </is>
      </c>
      <c r="D2059" s="28" t="n">
        <v>46091</v>
      </c>
      <c r="E2059" t="inlineStr">
        <is>
          <t>현대EP_fast</t>
        </is>
      </c>
      <c r="F2059" t="inlineStr">
        <is>
          <t>이예은</t>
        </is>
      </c>
      <c r="G2059" t="inlineStr">
        <is>
          <t>010-7175-4081</t>
        </is>
      </c>
      <c r="H2059" t="inlineStr">
        <is>
          <t>152너3760</t>
        </is>
      </c>
      <c r="I2059" t="n">
        <v>17900000</v>
      </c>
      <c r="J2059" t="n">
        <v>0.134</v>
      </c>
      <c r="K2059" t="n">
        <v>1.76</v>
      </c>
      <c r="L2059" t="n">
        <v>0.14</v>
      </c>
      <c r="M2059" t="n">
        <v>1.62</v>
      </c>
      <c r="P2059" t="inlineStr">
        <is>
          <t>정세빈</t>
        </is>
      </c>
      <c r="Q2059" t="inlineStr">
        <is>
          <t>홈서비스 48개월</t>
        </is>
      </c>
      <c r="AB2059" t="inlineStr">
        <is>
          <t>홈서비스</t>
        </is>
      </c>
      <c r="AC2059" t="n">
        <v>315040</v>
      </c>
      <c r="AD2059" t="n">
        <v>25060</v>
      </c>
      <c r="AE2059" t="n">
        <v>289980</v>
      </c>
      <c r="AF2059" t="n">
        <v>286400</v>
      </c>
      <c r="AG2059" t="n">
        <v>24233.02</v>
      </c>
      <c r="AH2059" t="n">
        <v>262166.98</v>
      </c>
    </row>
    <row r="2060">
      <c r="A2060" t="inlineStr">
        <is>
          <t>3월</t>
        </is>
      </c>
      <c r="B2060" t="inlineStr">
        <is>
          <t>11주차</t>
        </is>
      </c>
      <c r="C2060" t="inlineStr">
        <is>
          <t>IM</t>
        </is>
      </c>
      <c r="D2060" s="28" t="n">
        <v>46091</v>
      </c>
      <c r="E2060" t="inlineStr">
        <is>
          <t>IM캐피탈</t>
        </is>
      </c>
      <c r="F2060" t="inlineStr">
        <is>
          <t>배호연</t>
        </is>
      </c>
      <c r="G2060" t="inlineStr">
        <is>
          <t>010-2400-0499</t>
        </is>
      </c>
      <c r="H2060" t="inlineStr">
        <is>
          <t>331오6764</t>
        </is>
      </c>
      <c r="I2060" t="n">
        <v>13000000</v>
      </c>
      <c r="J2060" t="n">
        <v>0.049</v>
      </c>
      <c r="K2060" t="n">
        <v>1.1</v>
      </c>
      <c r="L2060" t="n">
        <v>0.14</v>
      </c>
      <c r="M2060" t="n">
        <v>0.96</v>
      </c>
      <c r="P2060" t="inlineStr">
        <is>
          <t>김나윤</t>
        </is>
      </c>
      <c r="Q2060" t="inlineStr">
        <is>
          <t>홈서비스 60개월</t>
        </is>
      </c>
      <c r="AB2060" t="inlineStr">
        <is>
          <t>홈서비스</t>
        </is>
      </c>
      <c r="AC2060" t="n">
        <v>143000</v>
      </c>
      <c r="AD2060" t="n">
        <v>18200</v>
      </c>
      <c r="AE2060" t="n">
        <v>124800</v>
      </c>
      <c r="AF2060" t="n">
        <v>130000</v>
      </c>
      <c r="AG2060" t="n">
        <v>17599.4</v>
      </c>
      <c r="AH2060" t="n">
        <v>112400.6</v>
      </c>
    </row>
    <row r="2061">
      <c r="A2061" t="inlineStr">
        <is>
          <t>3월</t>
        </is>
      </c>
      <c r="B2061" t="inlineStr">
        <is>
          <t>11주차</t>
        </is>
      </c>
      <c r="C2061" t="inlineStr">
        <is>
          <t>EP</t>
        </is>
      </c>
      <c r="D2061" s="28" t="n">
        <v>46091</v>
      </c>
      <c r="E2061" t="inlineStr">
        <is>
          <t>BNKEP</t>
        </is>
      </c>
      <c r="F2061" t="inlineStr">
        <is>
          <t>전민재</t>
        </is>
      </c>
      <c r="G2061" t="inlineStr">
        <is>
          <t>010-2889-1029</t>
        </is>
      </c>
      <c r="H2061" t="inlineStr">
        <is>
          <t>28버1906</t>
        </is>
      </c>
      <c r="I2061" t="n">
        <v>54300000</v>
      </c>
      <c r="J2061" t="n">
        <v>0.07199999999999999</v>
      </c>
      <c r="K2061" t="n">
        <v>1.65</v>
      </c>
      <c r="L2061" t="n">
        <v>0.4</v>
      </c>
      <c r="M2061" t="n">
        <v>1.25</v>
      </c>
      <c r="P2061" t="inlineStr">
        <is>
          <t>장현경</t>
        </is>
      </c>
      <c r="AB2061" t="inlineStr">
        <is>
          <t>엔카</t>
        </is>
      </c>
      <c r="AC2061" t="n">
        <v>895950</v>
      </c>
      <c r="AD2061" t="n">
        <v>217200</v>
      </c>
      <c r="AE2061" t="n">
        <v>678750</v>
      </c>
      <c r="AF2061" t="n">
        <v>814500</v>
      </c>
      <c r="AG2061" t="n">
        <v>210032.4</v>
      </c>
      <c r="AH2061" t="n">
        <v>604467.6</v>
      </c>
    </row>
    <row r="2062">
      <c r="A2062" t="inlineStr">
        <is>
          <t>3월</t>
        </is>
      </c>
      <c r="B2062" t="inlineStr">
        <is>
          <t>11주차</t>
        </is>
      </c>
      <c r="C2062" t="inlineStr">
        <is>
          <t>IM</t>
        </is>
      </c>
      <c r="D2062" s="28" t="n">
        <v>46091</v>
      </c>
      <c r="E2062" t="inlineStr">
        <is>
          <t>IM캐피탈</t>
        </is>
      </c>
      <c r="F2062" t="inlineStr">
        <is>
          <t>최정윤</t>
        </is>
      </c>
      <c r="G2062" t="inlineStr">
        <is>
          <t>010-9058-1988</t>
        </is>
      </c>
      <c r="H2062" t="inlineStr">
        <is>
          <t>381서1126</t>
        </is>
      </c>
      <c r="I2062" t="n">
        <v>-28000000</v>
      </c>
      <c r="J2062" t="n">
        <v>0.049</v>
      </c>
      <c r="K2062" t="n">
        <v>1.1</v>
      </c>
      <c r="L2062" t="n">
        <v>0.14</v>
      </c>
      <c r="M2062" t="n">
        <v>0.96</v>
      </c>
      <c r="P2062" t="inlineStr">
        <is>
          <t>장현경</t>
        </is>
      </c>
      <c r="Q2062" t="inlineStr">
        <is>
          <t>안심거래존건</t>
        </is>
      </c>
      <c r="AB2062" t="inlineStr">
        <is>
          <t>믿고</t>
        </is>
      </c>
      <c r="AC2062" t="n">
        <v>-308000</v>
      </c>
      <c r="AD2062" t="n">
        <v>-39200</v>
      </c>
      <c r="AE2062" t="n">
        <v>-268800</v>
      </c>
      <c r="AF2062" t="n">
        <v>-280000</v>
      </c>
      <c r="AG2062" t="n">
        <v>-37906.4</v>
      </c>
      <c r="AH2062" t="n">
        <v>-242093.6</v>
      </c>
      <c r="AI2062" t="n">
        <v>0</v>
      </c>
    </row>
    <row r="2063">
      <c r="A2063" t="inlineStr">
        <is>
          <t>3월</t>
        </is>
      </c>
      <c r="B2063" t="inlineStr">
        <is>
          <t>11주차</t>
        </is>
      </c>
      <c r="C2063" t="inlineStr">
        <is>
          <t>IM</t>
        </is>
      </c>
      <c r="D2063" s="28" t="n">
        <v>46091</v>
      </c>
      <c r="E2063" t="inlineStr">
        <is>
          <t>IM캐피탈</t>
        </is>
      </c>
      <c r="F2063" t="inlineStr">
        <is>
          <t>장종덕</t>
        </is>
      </c>
      <c r="G2063" t="inlineStr">
        <is>
          <t>010-4529-0573</t>
        </is>
      </c>
      <c r="H2063" t="inlineStr">
        <is>
          <t>244가1704</t>
        </is>
      </c>
      <c r="I2063" t="n">
        <v>50000000</v>
      </c>
      <c r="J2063" t="n">
        <v>0.049</v>
      </c>
      <c r="K2063" t="n">
        <v>1.1</v>
      </c>
      <c r="L2063" t="n">
        <v>0.14</v>
      </c>
      <c r="M2063" t="n">
        <v>0.96</v>
      </c>
      <c r="P2063" t="inlineStr">
        <is>
          <t>최혁</t>
        </is>
      </c>
      <c r="Q2063" t="inlineStr">
        <is>
          <t>홈서비스 48개월</t>
        </is>
      </c>
      <c r="AB2063" t="inlineStr">
        <is>
          <t>홈서비스</t>
        </is>
      </c>
      <c r="AC2063" t="n">
        <v>550000</v>
      </c>
      <c r="AD2063" t="n">
        <v>70000</v>
      </c>
      <c r="AE2063" t="n">
        <v>480000</v>
      </c>
      <c r="AF2063" t="n">
        <v>500000</v>
      </c>
      <c r="AG2063" t="n">
        <v>67690</v>
      </c>
      <c r="AH2063" t="n">
        <v>432310</v>
      </c>
    </row>
    <row r="2064">
      <c r="A2064" t="inlineStr">
        <is>
          <t>3월</t>
        </is>
      </c>
      <c r="B2064" t="inlineStr">
        <is>
          <t>11주차</t>
        </is>
      </c>
      <c r="C2064" t="inlineStr">
        <is>
          <t>EP</t>
        </is>
      </c>
      <c r="D2064" s="28" t="n">
        <v>46091</v>
      </c>
      <c r="E2064" t="inlineStr">
        <is>
          <t>현대EP_fast</t>
        </is>
      </c>
      <c r="F2064" t="inlineStr">
        <is>
          <t>원수연</t>
        </is>
      </c>
      <c r="G2064" t="inlineStr">
        <is>
          <t>010-7193-9719</t>
        </is>
      </c>
      <c r="H2064" t="inlineStr">
        <is>
          <t>75주2787</t>
        </is>
      </c>
      <c r="I2064" t="n">
        <v>-10800000</v>
      </c>
      <c r="J2064" t="n">
        <v>0.09</v>
      </c>
      <c r="K2064" t="n">
        <v>1.76</v>
      </c>
      <c r="L2064" t="n">
        <v>0.14</v>
      </c>
      <c r="M2064" t="n">
        <v>1.62</v>
      </c>
      <c r="P2064" t="inlineStr">
        <is>
          <t>김수연</t>
        </is>
      </c>
      <c r="Q2064" t="inlineStr">
        <is>
          <t>홈서비스 36개월</t>
        </is>
      </c>
      <c r="AB2064" t="inlineStr">
        <is>
          <t>홈서비스</t>
        </is>
      </c>
      <c r="AC2064" t="n">
        <v>-190080</v>
      </c>
      <c r="AD2064" t="n">
        <v>-15120</v>
      </c>
      <c r="AE2064" t="n">
        <v>-174960</v>
      </c>
      <c r="AF2064" t="n">
        <v>-172800</v>
      </c>
      <c r="AG2064" t="n">
        <v>-14621.04</v>
      </c>
      <c r="AH2064" t="n">
        <v>-158178.96</v>
      </c>
      <c r="AI2064" t="n">
        <v>0</v>
      </c>
    </row>
    <row r="2065">
      <c r="A2065" t="inlineStr">
        <is>
          <t>3월</t>
        </is>
      </c>
      <c r="B2065" t="inlineStr">
        <is>
          <t>11주차</t>
        </is>
      </c>
      <c r="C2065" t="inlineStr">
        <is>
          <t>OR</t>
        </is>
      </c>
      <c r="D2065" s="28" t="n">
        <v>46092</v>
      </c>
      <c r="E2065" t="inlineStr">
        <is>
          <t>오릭스</t>
        </is>
      </c>
      <c r="F2065" t="inlineStr">
        <is>
          <t>이선민</t>
        </is>
      </c>
      <c r="G2065" t="inlineStr">
        <is>
          <t>010-4477-7679</t>
        </is>
      </c>
      <c r="H2065" t="inlineStr">
        <is>
          <t>11모5071</t>
        </is>
      </c>
      <c r="I2065" t="n">
        <v>8800000</v>
      </c>
      <c r="J2065" t="n">
        <v>0.08</v>
      </c>
      <c r="K2065" t="n">
        <v>1.65</v>
      </c>
      <c r="L2065" t="n">
        <v>0.14</v>
      </c>
      <c r="M2065" t="n">
        <v>1.51</v>
      </c>
      <c r="P2065" t="inlineStr">
        <is>
          <t>황채이</t>
        </is>
      </c>
      <c r="Q2065" t="inlineStr">
        <is>
          <t>홈서비스 60개월</t>
        </is>
      </c>
      <c r="AB2065" t="inlineStr">
        <is>
          <t>홈서비스</t>
        </is>
      </c>
      <c r="AC2065" t="n">
        <v>145200</v>
      </c>
      <c r="AD2065" t="n">
        <v>12320</v>
      </c>
      <c r="AE2065" t="n">
        <v>132880</v>
      </c>
      <c r="AF2065" t="n">
        <v>132000</v>
      </c>
      <c r="AG2065" t="n">
        <v>11913.44</v>
      </c>
      <c r="AH2065" t="n">
        <v>120086.56</v>
      </c>
    </row>
    <row r="2066">
      <c r="A2066" t="inlineStr">
        <is>
          <t>3월</t>
        </is>
      </c>
      <c r="B2066" t="inlineStr">
        <is>
          <t>10주차</t>
        </is>
      </c>
      <c r="C2066" t="inlineStr">
        <is>
          <t>EP</t>
        </is>
      </c>
      <c r="D2066" s="28" t="n">
        <v>46086</v>
      </c>
      <c r="E2066" t="inlineStr">
        <is>
          <t>현대EP_fast</t>
        </is>
      </c>
      <c r="F2066" t="inlineStr">
        <is>
          <t>최창규</t>
        </is>
      </c>
      <c r="G2066" t="inlineStr">
        <is>
          <t>010-8922-8206</t>
        </is>
      </c>
      <c r="H2066" t="inlineStr">
        <is>
          <t>19저4425</t>
        </is>
      </c>
      <c r="I2066" t="n">
        <v>5400000</v>
      </c>
      <c r="J2066" t="n">
        <v>0.079</v>
      </c>
      <c r="K2066" t="n">
        <v>1.76</v>
      </c>
      <c r="L2066" t="n">
        <v>0.14</v>
      </c>
      <c r="M2066" t="n">
        <v>1.62</v>
      </c>
      <c r="P2066" t="inlineStr">
        <is>
          <t>임대경</t>
        </is>
      </c>
      <c r="Q2066" t="inlineStr">
        <is>
          <t>홈서비스 36개월</t>
        </is>
      </c>
      <c r="AB2066" t="inlineStr">
        <is>
          <t>홈서비스</t>
        </is>
      </c>
      <c r="AC2066" t="n">
        <v>95040</v>
      </c>
      <c r="AD2066" t="n">
        <v>7560</v>
      </c>
      <c r="AE2066" t="n">
        <v>87480</v>
      </c>
      <c r="AF2066" t="n">
        <v>86400</v>
      </c>
      <c r="AG2066" t="n">
        <v>7310.52</v>
      </c>
      <c r="AH2066" t="n">
        <v>79089.48</v>
      </c>
      <c r="AI2066" t="n">
        <v>0</v>
      </c>
    </row>
    <row r="2067">
      <c r="A2067" t="inlineStr">
        <is>
          <t>3월</t>
        </is>
      </c>
      <c r="B2067" t="inlineStr">
        <is>
          <t>11주차</t>
        </is>
      </c>
      <c r="C2067" t="inlineStr">
        <is>
          <t>IM</t>
        </is>
      </c>
      <c r="D2067" s="28" t="n">
        <v>46092</v>
      </c>
      <c r="E2067" t="inlineStr">
        <is>
          <t>IM캐피탈</t>
        </is>
      </c>
      <c r="F2067" t="inlineStr">
        <is>
          <t>문정환</t>
        </is>
      </c>
      <c r="G2067" t="inlineStr">
        <is>
          <t>010-4427-1287</t>
        </is>
      </c>
      <c r="H2067" t="inlineStr">
        <is>
          <t>39버1324</t>
        </is>
      </c>
      <c r="I2067" t="n">
        <v>11300000</v>
      </c>
      <c r="J2067" t="n">
        <v>0.056</v>
      </c>
      <c r="K2067" t="n">
        <v>1.1</v>
      </c>
      <c r="L2067" t="n">
        <v>0.14</v>
      </c>
      <c r="M2067" t="n">
        <v>0.96</v>
      </c>
      <c r="P2067" t="inlineStr">
        <is>
          <t>장현경</t>
        </is>
      </c>
      <c r="Q2067" t="inlineStr">
        <is>
          <t>선상담 / 홈서비스 60개월</t>
        </is>
      </c>
      <c r="AB2067" t="inlineStr">
        <is>
          <t>홈서비스</t>
        </is>
      </c>
      <c r="AC2067" t="n">
        <v>124300</v>
      </c>
      <c r="AD2067" t="n">
        <v>15820</v>
      </c>
      <c r="AE2067" t="n">
        <v>108480</v>
      </c>
      <c r="AF2067" t="n">
        <v>113000</v>
      </c>
      <c r="AG2067" t="n">
        <v>15297.94</v>
      </c>
      <c r="AH2067" t="n">
        <v>97702.06</v>
      </c>
      <c r="AI2067" t="n">
        <v>0</v>
      </c>
    </row>
    <row r="2068">
      <c r="A2068" t="inlineStr">
        <is>
          <t>3월</t>
        </is>
      </c>
      <c r="B2068" t="inlineStr">
        <is>
          <t>11주차</t>
        </is>
      </c>
      <c r="C2068" t="inlineStr">
        <is>
          <t>EP</t>
        </is>
      </c>
      <c r="D2068" s="28" t="n">
        <v>46092</v>
      </c>
      <c r="E2068" t="inlineStr">
        <is>
          <t>현대EP</t>
        </is>
      </c>
      <c r="F2068" t="inlineStr">
        <is>
          <t>유연철</t>
        </is>
      </c>
      <c r="G2068" t="inlineStr">
        <is>
          <t>010-9979-1183</t>
        </is>
      </c>
      <c r="H2068" t="inlineStr">
        <is>
          <t>151저3578</t>
        </is>
      </c>
      <c r="I2068" t="n">
        <v>13900000</v>
      </c>
      <c r="J2068" t="n">
        <v>0.077</v>
      </c>
      <c r="K2068" t="n">
        <v>1.76</v>
      </c>
      <c r="L2068" t="n">
        <v>0.14</v>
      </c>
      <c r="M2068" t="n">
        <v>1.62</v>
      </c>
      <c r="P2068" t="inlineStr">
        <is>
          <t>김수연</t>
        </is>
      </c>
      <c r="Q2068" t="inlineStr">
        <is>
          <t>홈서비스 60개월</t>
        </is>
      </c>
      <c r="AB2068" t="inlineStr">
        <is>
          <t>홈서비스</t>
        </is>
      </c>
      <c r="AC2068" t="n">
        <v>244640</v>
      </c>
      <c r="AD2068" t="n">
        <v>19460</v>
      </c>
      <c r="AE2068" t="n">
        <v>225180</v>
      </c>
      <c r="AF2068" t="n">
        <v>222400</v>
      </c>
      <c r="AG2068" t="n">
        <v>18817.82</v>
      </c>
      <c r="AH2068" t="n">
        <v>203582.18</v>
      </c>
      <c r="AI2068" t="n">
        <v>0</v>
      </c>
    </row>
    <row r="2069">
      <c r="A2069" t="inlineStr">
        <is>
          <t>3월</t>
        </is>
      </c>
      <c r="B2069" t="inlineStr">
        <is>
          <t>11주차</t>
        </is>
      </c>
      <c r="C2069" t="inlineStr">
        <is>
          <t>OR</t>
        </is>
      </c>
      <c r="D2069" s="28" t="n">
        <v>46091</v>
      </c>
      <c r="E2069" t="inlineStr">
        <is>
          <t>오릭스</t>
        </is>
      </c>
      <c r="F2069" t="inlineStr">
        <is>
          <t>정예린</t>
        </is>
      </c>
      <c r="G2069" t="inlineStr">
        <is>
          <t>010-2466-9237</t>
        </is>
      </c>
      <c r="H2069" t="inlineStr">
        <is>
          <t>23버5022</t>
        </is>
      </c>
      <c r="I2069" t="n">
        <v>19000000</v>
      </c>
      <c r="J2069" t="n">
        <v>0.07199999999999999</v>
      </c>
      <c r="K2069" t="n">
        <v>1.65</v>
      </c>
      <c r="L2069" t="n">
        <v>0.14</v>
      </c>
      <c r="M2069" t="n">
        <v>1.51</v>
      </c>
      <c r="P2069" t="inlineStr">
        <is>
          <t>박소현</t>
        </is>
      </c>
      <c r="Q2069" t="inlineStr">
        <is>
          <t>선상담 / 홈서비스 60개월</t>
        </is>
      </c>
      <c r="AB2069" t="inlineStr">
        <is>
          <t>홈서비스</t>
        </is>
      </c>
      <c r="AC2069" t="n">
        <v>313500</v>
      </c>
      <c r="AD2069" t="n">
        <v>26600</v>
      </c>
      <c r="AE2069" t="n">
        <v>286900</v>
      </c>
      <c r="AF2069" t="n">
        <v>285000</v>
      </c>
      <c r="AG2069" t="n">
        <v>25722.2</v>
      </c>
      <c r="AH2069" t="n">
        <v>259277.8</v>
      </c>
      <c r="AI2069" t="n">
        <v>0</v>
      </c>
    </row>
    <row r="2070">
      <c r="A2070" t="inlineStr">
        <is>
          <t>3월</t>
        </is>
      </c>
      <c r="B2070" t="inlineStr">
        <is>
          <t>11주차</t>
        </is>
      </c>
      <c r="C2070" t="inlineStr">
        <is>
          <t>EP</t>
        </is>
      </c>
      <c r="D2070" s="28" t="n">
        <v>46091</v>
      </c>
      <c r="E2070" t="inlineStr">
        <is>
          <t>현대EP_fast</t>
        </is>
      </c>
      <c r="F2070" t="inlineStr">
        <is>
          <t>이학율</t>
        </is>
      </c>
      <c r="G2070" t="inlineStr">
        <is>
          <t>010-3852-6883</t>
        </is>
      </c>
      <c r="H2070" t="inlineStr">
        <is>
          <t>257더1431</t>
        </is>
      </c>
      <c r="I2070" t="n">
        <v>-7000000</v>
      </c>
      <c r="J2070" t="n">
        <v>0.062</v>
      </c>
      <c r="K2070" t="n">
        <v>1.76</v>
      </c>
      <c r="L2070" t="n">
        <v>0.14</v>
      </c>
      <c r="M2070" t="n">
        <v>1.62</v>
      </c>
      <c r="P2070" t="inlineStr">
        <is>
          <t>김나윤</t>
        </is>
      </c>
      <c r="Q2070" t="inlineStr">
        <is>
          <t>홈서비스 24개월</t>
        </is>
      </c>
      <c r="AB2070" t="inlineStr">
        <is>
          <t>홈서비스</t>
        </is>
      </c>
      <c r="AC2070" t="n">
        <v>-123200</v>
      </c>
      <c r="AD2070" t="n">
        <v>-9800</v>
      </c>
      <c r="AE2070" t="n">
        <v>-113400</v>
      </c>
      <c r="AF2070" t="n">
        <v>-112000</v>
      </c>
      <c r="AG2070" t="n">
        <v>-9476.6</v>
      </c>
      <c r="AH2070" t="n">
        <v>-102523.4</v>
      </c>
      <c r="AI2070" t="n">
        <v>0</v>
      </c>
    </row>
    <row r="2071">
      <c r="A2071" t="inlineStr">
        <is>
          <t>3월</t>
        </is>
      </c>
      <c r="B2071" t="inlineStr">
        <is>
          <t>11주차</t>
        </is>
      </c>
      <c r="C2071" t="inlineStr">
        <is>
          <t>EP</t>
        </is>
      </c>
      <c r="D2071" s="28" t="n">
        <v>46091</v>
      </c>
      <c r="E2071" t="inlineStr">
        <is>
          <t>현대EP_fast</t>
        </is>
      </c>
      <c r="F2071" t="inlineStr">
        <is>
          <t>조남열</t>
        </is>
      </c>
      <c r="G2071" t="inlineStr">
        <is>
          <t>010-3460-0199</t>
        </is>
      </c>
      <c r="H2071" t="inlineStr">
        <is>
          <t>56너5005</t>
        </is>
      </c>
      <c r="I2071" t="n">
        <v>3500000</v>
      </c>
      <c r="J2071" t="n">
        <v>0.08599999999999999</v>
      </c>
      <c r="K2071" t="n">
        <v>1.21</v>
      </c>
      <c r="L2071" t="n">
        <v>0.14</v>
      </c>
      <c r="M2071" t="n">
        <v>1.07</v>
      </c>
      <c r="P2071" t="inlineStr">
        <is>
          <t>장진경</t>
        </is>
      </c>
      <c r="Q2071" t="inlineStr">
        <is>
          <t>선상담 / 홈서비스 60개월</t>
        </is>
      </c>
      <c r="AB2071" t="inlineStr">
        <is>
          <t>홈서비스</t>
        </is>
      </c>
      <c r="AC2071" t="n">
        <v>42350</v>
      </c>
      <c r="AD2071" t="n">
        <v>4900</v>
      </c>
      <c r="AE2071" t="n">
        <v>37450</v>
      </c>
      <c r="AF2071" t="n">
        <v>38500</v>
      </c>
      <c r="AG2071" t="n">
        <v>4738.3</v>
      </c>
      <c r="AH2071" t="n">
        <v>33761.7</v>
      </c>
      <c r="AI2071" t="n">
        <v>0</v>
      </c>
    </row>
    <row r="2072">
      <c r="A2072" t="inlineStr">
        <is>
          <t>3월</t>
        </is>
      </c>
      <c r="B2072" t="inlineStr">
        <is>
          <t>11주차</t>
        </is>
      </c>
      <c r="C2072" t="inlineStr">
        <is>
          <t>EP</t>
        </is>
      </c>
      <c r="D2072" s="28" t="n">
        <v>46091</v>
      </c>
      <c r="E2072" t="inlineStr">
        <is>
          <t>제이비EP</t>
        </is>
      </c>
      <c r="F2072" t="inlineStr">
        <is>
          <t>권이지</t>
        </is>
      </c>
      <c r="G2072" t="inlineStr">
        <is>
          <t>010-2126-3271</t>
        </is>
      </c>
      <c r="H2072" t="inlineStr">
        <is>
          <t>259거2635</t>
        </is>
      </c>
      <c r="I2072" t="n">
        <v>7000000</v>
      </c>
      <c r="J2072" t="n">
        <v>0.07199999999999999</v>
      </c>
      <c r="K2072" t="n">
        <v>1.65</v>
      </c>
      <c r="L2072" t="n">
        <v>0.4</v>
      </c>
      <c r="M2072" t="n">
        <v>1.25</v>
      </c>
      <c r="P2072" t="inlineStr">
        <is>
          <t>최혁</t>
        </is>
      </c>
      <c r="AB2072" t="inlineStr">
        <is>
          <t>엔카</t>
        </is>
      </c>
      <c r="AC2072" t="n">
        <v>115500</v>
      </c>
      <c r="AD2072" t="n">
        <v>28000</v>
      </c>
      <c r="AE2072" t="n">
        <v>87500</v>
      </c>
      <c r="AF2072" t="n">
        <v>105000</v>
      </c>
      <c r="AG2072" t="n">
        <v>27076</v>
      </c>
      <c r="AH2072" t="n">
        <v>77924</v>
      </c>
      <c r="AI2072" t="n">
        <v>0</v>
      </c>
    </row>
    <row r="2073">
      <c r="A2073" t="inlineStr">
        <is>
          <t>3월</t>
        </is>
      </c>
      <c r="B2073" t="inlineStr">
        <is>
          <t>11주차</t>
        </is>
      </c>
      <c r="C2073" t="inlineStr">
        <is>
          <t>EP</t>
        </is>
      </c>
      <c r="D2073" s="28" t="n">
        <v>46091</v>
      </c>
      <c r="E2073" t="inlineStr">
        <is>
          <t>현대EP_fast</t>
        </is>
      </c>
      <c r="F2073" t="inlineStr">
        <is>
          <t>고수</t>
        </is>
      </c>
      <c r="G2073" t="inlineStr">
        <is>
          <t>010-2427-8882</t>
        </is>
      </c>
      <c r="H2073" t="inlineStr">
        <is>
          <t>274너3467</t>
        </is>
      </c>
      <c r="I2073" t="n">
        <v>35500000</v>
      </c>
      <c r="J2073" t="n">
        <v>0.102</v>
      </c>
      <c r="K2073" t="n">
        <v>1.76</v>
      </c>
      <c r="L2073" t="n">
        <v>0.14</v>
      </c>
      <c r="M2073" t="n">
        <v>1.62</v>
      </c>
      <c r="P2073" t="inlineStr">
        <is>
          <t>정광호</t>
        </is>
      </c>
      <c r="Q2073" t="inlineStr">
        <is>
          <t>홈서비스 48개월</t>
        </is>
      </c>
      <c r="AB2073" t="inlineStr">
        <is>
          <t>홈서비스</t>
        </is>
      </c>
      <c r="AC2073" t="n">
        <v>624800</v>
      </c>
      <c r="AD2073" t="n">
        <v>49700</v>
      </c>
      <c r="AE2073" t="n">
        <v>575100</v>
      </c>
      <c r="AF2073" t="n">
        <v>568000</v>
      </c>
      <c r="AG2073" t="n">
        <v>48059.9</v>
      </c>
      <c r="AH2073" t="n">
        <v>519940.1</v>
      </c>
      <c r="AI2073" t="n">
        <v>0</v>
      </c>
    </row>
    <row r="2074">
      <c r="A2074" t="inlineStr">
        <is>
          <t>3월</t>
        </is>
      </c>
      <c r="B2074" t="inlineStr">
        <is>
          <t>11주차</t>
        </is>
      </c>
      <c r="C2074" t="inlineStr">
        <is>
          <t>EP</t>
        </is>
      </c>
      <c r="D2074" s="28" t="n">
        <v>46092</v>
      </c>
      <c r="E2074" t="inlineStr">
        <is>
          <t>현대EP</t>
        </is>
      </c>
      <c r="F2074" t="inlineStr">
        <is>
          <t>이상배</t>
        </is>
      </c>
      <c r="G2074" t="inlineStr">
        <is>
          <t>010-6792-3389</t>
        </is>
      </c>
      <c r="H2074" t="inlineStr">
        <is>
          <t>235수2361</t>
        </is>
      </c>
      <c r="I2074" t="n">
        <v>7200000</v>
      </c>
      <c r="J2074" t="n">
        <v>0.07099999999999999</v>
      </c>
      <c r="K2074" t="n">
        <v>1.21</v>
      </c>
      <c r="L2074" t="n">
        <v>0.14</v>
      </c>
      <c r="M2074" t="n">
        <v>1.07</v>
      </c>
      <c r="P2074" t="inlineStr">
        <is>
          <t>김나윤</t>
        </is>
      </c>
      <c r="Q2074" t="inlineStr">
        <is>
          <t>홈서비스 36개월</t>
        </is>
      </c>
      <c r="AB2074" t="inlineStr">
        <is>
          <t>홈서비스</t>
        </is>
      </c>
      <c r="AC2074" t="n">
        <v>87120</v>
      </c>
      <c r="AD2074" t="n">
        <v>10080</v>
      </c>
      <c r="AE2074" t="n">
        <v>77040</v>
      </c>
      <c r="AF2074" t="n">
        <v>79200</v>
      </c>
      <c r="AG2074" t="n">
        <v>9747.360000000001</v>
      </c>
      <c r="AH2074" t="n">
        <v>69452.64</v>
      </c>
    </row>
    <row r="2075">
      <c r="A2075" t="inlineStr">
        <is>
          <t>3월</t>
        </is>
      </c>
      <c r="B2075" t="inlineStr">
        <is>
          <t>11주차</t>
        </is>
      </c>
      <c r="C2075" t="inlineStr">
        <is>
          <t>IM</t>
        </is>
      </c>
      <c r="D2075" s="28" t="n">
        <v>46091</v>
      </c>
      <c r="E2075" t="inlineStr">
        <is>
          <t>IM캐피탈</t>
        </is>
      </c>
      <c r="F2075" t="inlineStr">
        <is>
          <t>조민성</t>
        </is>
      </c>
      <c r="G2075" t="inlineStr">
        <is>
          <t>010-6793-1355</t>
        </is>
      </c>
      <c r="H2075" t="inlineStr">
        <is>
          <t>17구4431</t>
        </is>
      </c>
      <c r="I2075" t="n">
        <v>28300000</v>
      </c>
      <c r="J2075" t="n">
        <v>0.059</v>
      </c>
      <c r="K2075" t="n">
        <v>1.1</v>
      </c>
      <c r="L2075" t="n">
        <v>0.14</v>
      </c>
      <c r="M2075" t="n">
        <v>0.96</v>
      </c>
      <c r="P2075" t="inlineStr">
        <is>
          <t>정하은</t>
        </is>
      </c>
      <c r="Q2075" t="inlineStr">
        <is>
          <t>선상담 / 홈서비스 60개월</t>
        </is>
      </c>
      <c r="AB2075" t="inlineStr">
        <is>
          <t>홈서비스</t>
        </is>
      </c>
      <c r="AC2075" t="n">
        <v>311300</v>
      </c>
      <c r="AD2075" t="n">
        <v>39620</v>
      </c>
      <c r="AE2075" t="n">
        <v>271680</v>
      </c>
      <c r="AF2075" t="n">
        <v>283000</v>
      </c>
      <c r="AG2075" t="n">
        <v>38312.54</v>
      </c>
      <c r="AH2075" t="n">
        <v>244687.46</v>
      </c>
      <c r="AI2075" t="n">
        <v>0</v>
      </c>
    </row>
    <row r="2076">
      <c r="A2076" t="inlineStr">
        <is>
          <t>3월</t>
        </is>
      </c>
      <c r="B2076" t="inlineStr">
        <is>
          <t>10주차</t>
        </is>
      </c>
      <c r="C2076" t="inlineStr">
        <is>
          <t>EP</t>
        </is>
      </c>
      <c r="D2076" s="28" t="n">
        <v>46084</v>
      </c>
      <c r="E2076" t="inlineStr">
        <is>
          <t>현대EP</t>
        </is>
      </c>
      <c r="F2076" t="inlineStr">
        <is>
          <t>이지영</t>
        </is>
      </c>
      <c r="G2076" t="inlineStr">
        <is>
          <t>010-2489-5326</t>
        </is>
      </c>
      <c r="H2076" t="inlineStr">
        <is>
          <t>175가1884</t>
        </is>
      </c>
      <c r="I2076" t="n">
        <v>30800000</v>
      </c>
      <c r="J2076" t="n">
        <v>0.111</v>
      </c>
      <c r="K2076" t="n">
        <v>1.76</v>
      </c>
      <c r="L2076" t="n">
        <v>0.14</v>
      </c>
      <c r="M2076" t="n">
        <v>1.62</v>
      </c>
      <c r="P2076" t="inlineStr">
        <is>
          <t>황채이</t>
        </is>
      </c>
      <c r="Q2076" t="inlineStr">
        <is>
          <t>홈서비스 48개월</t>
        </is>
      </c>
      <c r="AB2076" t="inlineStr">
        <is>
          <t>홈서비스</t>
        </is>
      </c>
      <c r="AC2076" t="n">
        <v>542080</v>
      </c>
      <c r="AD2076" t="n">
        <v>43120</v>
      </c>
      <c r="AE2076" t="n">
        <v>498960</v>
      </c>
      <c r="AF2076" t="n">
        <v>492800</v>
      </c>
      <c r="AG2076" t="n">
        <v>41697.04</v>
      </c>
      <c r="AH2076" t="n">
        <v>451102.96</v>
      </c>
      <c r="AI2076" t="n">
        <v>0</v>
      </c>
    </row>
    <row r="2077">
      <c r="A2077" t="inlineStr">
        <is>
          <t>3월</t>
        </is>
      </c>
      <c r="B2077" t="inlineStr">
        <is>
          <t>11주차</t>
        </is>
      </c>
      <c r="C2077" t="inlineStr">
        <is>
          <t>IM</t>
        </is>
      </c>
      <c r="D2077" s="28" t="n">
        <v>46091</v>
      </c>
      <c r="E2077" t="inlineStr">
        <is>
          <t>IM캐피탈</t>
        </is>
      </c>
      <c r="F2077" t="inlineStr">
        <is>
          <t>박종진</t>
        </is>
      </c>
      <c r="G2077" t="inlineStr">
        <is>
          <t>010-7990-1683</t>
        </is>
      </c>
      <c r="H2077" t="inlineStr">
        <is>
          <t>737가6966</t>
        </is>
      </c>
      <c r="I2077" t="n">
        <v>14000000</v>
      </c>
      <c r="J2077" t="n">
        <v>0.039</v>
      </c>
      <c r="K2077" t="n">
        <v>1.1</v>
      </c>
      <c r="L2077" t="n">
        <v>0.4</v>
      </c>
      <c r="M2077" t="n">
        <v>0.7</v>
      </c>
      <c r="P2077" t="inlineStr">
        <is>
          <t>박보람</t>
        </is>
      </c>
      <c r="AB2077" t="inlineStr">
        <is>
          <t>엔카</t>
        </is>
      </c>
      <c r="AC2077" t="n">
        <v>154000</v>
      </c>
      <c r="AD2077" t="n">
        <v>56000</v>
      </c>
      <c r="AE2077" t="n">
        <v>98000</v>
      </c>
      <c r="AF2077" t="n">
        <v>140000</v>
      </c>
      <c r="AG2077" t="n">
        <v>54152</v>
      </c>
      <c r="AH2077" t="n">
        <v>85848</v>
      </c>
      <c r="AI2077" t="n">
        <v>0</v>
      </c>
    </row>
    <row r="2078">
      <c r="A2078" t="inlineStr">
        <is>
          <t>3월</t>
        </is>
      </c>
      <c r="B2078" t="inlineStr">
        <is>
          <t>11주차</t>
        </is>
      </c>
      <c r="C2078" t="inlineStr">
        <is>
          <t>IM</t>
        </is>
      </c>
      <c r="D2078" s="28" t="n">
        <v>46092</v>
      </c>
      <c r="E2078" t="inlineStr">
        <is>
          <t>IM캐피탈</t>
        </is>
      </c>
      <c r="F2078" t="inlineStr">
        <is>
          <t>전의효</t>
        </is>
      </c>
      <c r="G2078" t="inlineStr">
        <is>
          <t>010-2045-8812</t>
        </is>
      </c>
      <c r="H2078" t="inlineStr">
        <is>
          <t>72머9210</t>
        </is>
      </c>
      <c r="I2078" t="n">
        <v>26100000</v>
      </c>
      <c r="J2078" t="n">
        <v>0.049</v>
      </c>
      <c r="K2078" t="n">
        <v>1.1</v>
      </c>
      <c r="L2078" t="n">
        <v>0.14</v>
      </c>
      <c r="M2078" t="n">
        <v>0.96</v>
      </c>
      <c r="P2078" t="inlineStr">
        <is>
          <t>김나윤</t>
        </is>
      </c>
      <c r="Q2078" t="inlineStr">
        <is>
          <t>홈서비스 60개월 / 부대비용 추가진행</t>
        </is>
      </c>
      <c r="AB2078" t="inlineStr">
        <is>
          <t>홈서비스</t>
        </is>
      </c>
      <c r="AC2078" t="n">
        <v>287100</v>
      </c>
      <c r="AD2078" t="n">
        <v>36540</v>
      </c>
      <c r="AE2078" t="n">
        <v>250560</v>
      </c>
      <c r="AF2078" t="n">
        <v>261000</v>
      </c>
      <c r="AG2078" t="n">
        <v>35334.18</v>
      </c>
      <c r="AH2078" t="n">
        <v>225665.82</v>
      </c>
    </row>
    <row r="2079">
      <c r="A2079" t="inlineStr">
        <is>
          <t>3월</t>
        </is>
      </c>
      <c r="B2079" t="inlineStr">
        <is>
          <t>10주차</t>
        </is>
      </c>
      <c r="C2079" t="inlineStr">
        <is>
          <t>EP</t>
        </is>
      </c>
      <c r="D2079" s="28" t="n">
        <v>46086</v>
      </c>
      <c r="E2079" t="inlineStr">
        <is>
          <t>현대EP</t>
        </is>
      </c>
      <c r="F2079" t="inlineStr">
        <is>
          <t>문예석</t>
        </is>
      </c>
      <c r="G2079" t="inlineStr">
        <is>
          <t>010-5159-1810</t>
        </is>
      </c>
      <c r="H2079" t="inlineStr">
        <is>
          <t>146소7960</t>
        </is>
      </c>
      <c r="I2079" t="n">
        <v>30000000</v>
      </c>
      <c r="J2079" t="n">
        <v>0.111</v>
      </c>
      <c r="K2079" t="n">
        <v>1.76</v>
      </c>
      <c r="L2079" t="n">
        <v>0.14</v>
      </c>
      <c r="M2079" t="n">
        <v>1.62</v>
      </c>
      <c r="P2079" t="inlineStr">
        <is>
          <t>황채이</t>
        </is>
      </c>
      <c r="Q2079" t="inlineStr">
        <is>
          <t>홈서비스 60개월</t>
        </is>
      </c>
      <c r="AB2079" t="inlineStr">
        <is>
          <t>홈서비스</t>
        </is>
      </c>
      <c r="AC2079" t="n">
        <v>528000</v>
      </c>
      <c r="AD2079" t="n">
        <v>42000</v>
      </c>
      <c r="AE2079" t="n">
        <v>486000</v>
      </c>
      <c r="AF2079" t="n">
        <v>480000</v>
      </c>
      <c r="AG2079" t="n">
        <v>40614</v>
      </c>
      <c r="AH2079" t="n">
        <v>439386</v>
      </c>
      <c r="AI2079" t="n">
        <v>0</v>
      </c>
    </row>
    <row r="2080">
      <c r="A2080" t="inlineStr">
        <is>
          <t>3월</t>
        </is>
      </c>
      <c r="B2080" t="inlineStr">
        <is>
          <t>11주차</t>
        </is>
      </c>
      <c r="C2080" t="inlineStr">
        <is>
          <t>IM</t>
        </is>
      </c>
      <c r="D2080" s="28" t="n">
        <v>46092</v>
      </c>
      <c r="E2080" t="inlineStr">
        <is>
          <t>IM캐피탈</t>
        </is>
      </c>
      <c r="F2080" t="inlineStr">
        <is>
          <t>김승리</t>
        </is>
      </c>
      <c r="G2080" t="inlineStr">
        <is>
          <t>010-3993-0202</t>
        </is>
      </c>
      <c r="H2080" t="inlineStr">
        <is>
          <t>113노6850</t>
        </is>
      </c>
      <c r="I2080" t="n">
        <v>20000000</v>
      </c>
      <c r="J2080" t="n">
        <v>0.049</v>
      </c>
      <c r="K2080" t="n">
        <v>1.1</v>
      </c>
      <c r="L2080" t="n">
        <v>0.14</v>
      </c>
      <c r="M2080" t="n">
        <v>0.96</v>
      </c>
      <c r="P2080" t="inlineStr">
        <is>
          <t>장현경</t>
        </is>
      </c>
      <c r="Q2080" t="inlineStr">
        <is>
          <t>선상담 / 홈서비스 48개월</t>
        </is>
      </c>
      <c r="AB2080" t="inlineStr">
        <is>
          <t>홈서비스</t>
        </is>
      </c>
      <c r="AC2080" t="n">
        <v>220000</v>
      </c>
      <c r="AD2080" t="n">
        <v>28000</v>
      </c>
      <c r="AE2080" t="n">
        <v>192000</v>
      </c>
      <c r="AF2080" t="n">
        <v>200000</v>
      </c>
      <c r="AG2080" t="n">
        <v>27076</v>
      </c>
      <c r="AH2080" t="n">
        <v>172924</v>
      </c>
      <c r="AI2080" t="n">
        <v>0</v>
      </c>
    </row>
    <row r="2081">
      <c r="A2081" t="inlineStr">
        <is>
          <t>3월</t>
        </is>
      </c>
      <c r="B2081" t="inlineStr">
        <is>
          <t>10주차</t>
        </is>
      </c>
      <c r="C2081" t="inlineStr">
        <is>
          <t>IM</t>
        </is>
      </c>
      <c r="D2081" s="28" t="n">
        <v>46084</v>
      </c>
      <c r="E2081" t="inlineStr">
        <is>
          <t>IM캐피탈</t>
        </is>
      </c>
      <c r="F2081" t="inlineStr">
        <is>
          <t>조정현</t>
        </is>
      </c>
      <c r="G2081" t="inlineStr">
        <is>
          <t>010-9924-5667</t>
        </is>
      </c>
      <c r="H2081" t="inlineStr">
        <is>
          <t>156구7760</t>
        </is>
      </c>
      <c r="I2081" t="n">
        <v>26000000</v>
      </c>
      <c r="J2081" t="n">
        <v>0.049</v>
      </c>
      <c r="K2081" t="n">
        <v>1.1</v>
      </c>
      <c r="L2081" t="n">
        <v>0.4</v>
      </c>
      <c r="M2081" t="n">
        <v>0.7</v>
      </c>
      <c r="P2081" t="inlineStr">
        <is>
          <t>박소현</t>
        </is>
      </c>
      <c r="AB2081" t="inlineStr">
        <is>
          <t>엔카</t>
        </is>
      </c>
      <c r="AC2081" t="n">
        <v>286000</v>
      </c>
      <c r="AD2081" t="n">
        <v>104000</v>
      </c>
      <c r="AE2081" t="n">
        <v>182000</v>
      </c>
      <c r="AF2081" t="n">
        <v>260000</v>
      </c>
      <c r="AG2081" t="n">
        <v>100568</v>
      </c>
      <c r="AH2081" t="n">
        <v>159432</v>
      </c>
      <c r="AI2081" t="n">
        <v>0</v>
      </c>
    </row>
    <row r="2082">
      <c r="A2082" t="inlineStr">
        <is>
          <t>3월</t>
        </is>
      </c>
      <c r="B2082" t="inlineStr">
        <is>
          <t>11주차</t>
        </is>
      </c>
      <c r="C2082" t="inlineStr">
        <is>
          <t>EP</t>
        </is>
      </c>
      <c r="D2082" s="28" t="n">
        <v>46090</v>
      </c>
      <c r="E2082" t="inlineStr">
        <is>
          <t>제이비EP</t>
        </is>
      </c>
      <c r="F2082" t="inlineStr">
        <is>
          <t>제성용</t>
        </is>
      </c>
      <c r="G2082" t="inlineStr">
        <is>
          <t>010-9428-2320</t>
        </is>
      </c>
      <c r="H2082" t="inlineStr">
        <is>
          <t>384머7895</t>
        </is>
      </c>
      <c r="I2082" t="n">
        <v>22000000</v>
      </c>
      <c r="J2082" t="n">
        <v>0.127</v>
      </c>
      <c r="K2082" t="n">
        <v>1.65</v>
      </c>
      <c r="L2082" t="n">
        <v>0.5</v>
      </c>
      <c r="M2082" t="n">
        <v>1.15</v>
      </c>
      <c r="P2082" t="inlineStr">
        <is>
          <t>정하은</t>
        </is>
      </c>
      <c r="AB2082" t="inlineStr">
        <is>
          <t>엔카</t>
        </is>
      </c>
      <c r="AC2082" t="n">
        <v>363000</v>
      </c>
      <c r="AD2082" t="n">
        <v>110000</v>
      </c>
      <c r="AE2082" t="n">
        <v>253000</v>
      </c>
      <c r="AF2082" t="n">
        <v>330000</v>
      </c>
      <c r="AG2082" t="n">
        <v>106370</v>
      </c>
      <c r="AH2082" t="n">
        <v>223630</v>
      </c>
      <c r="AI2082" t="n">
        <v>0</v>
      </c>
    </row>
    <row r="2083">
      <c r="A2083" t="inlineStr">
        <is>
          <t>3월</t>
        </is>
      </c>
      <c r="B2083" t="inlineStr">
        <is>
          <t>10주차</t>
        </is>
      </c>
      <c r="C2083" t="inlineStr">
        <is>
          <t>IM</t>
        </is>
      </c>
      <c r="D2083" s="28" t="n">
        <v>46084</v>
      </c>
      <c r="E2083" t="inlineStr">
        <is>
          <t>IM캐피탈</t>
        </is>
      </c>
      <c r="F2083" t="inlineStr">
        <is>
          <t>이지연</t>
        </is>
      </c>
      <c r="G2083" t="inlineStr">
        <is>
          <t>010-6368-9028</t>
        </is>
      </c>
      <c r="H2083" t="inlineStr">
        <is>
          <t>202우8778</t>
        </is>
      </c>
      <c r="I2083" t="n">
        <v>36500000</v>
      </c>
      <c r="J2083" t="n">
        <v>0.039</v>
      </c>
      <c r="K2083" t="n">
        <v>1.1</v>
      </c>
      <c r="L2083" t="n">
        <v>0.14</v>
      </c>
      <c r="M2083" t="n">
        <v>0.96</v>
      </c>
      <c r="P2083" t="inlineStr">
        <is>
          <t>구성완</t>
        </is>
      </c>
      <c r="Q2083" t="inlineStr">
        <is>
          <t>안심거래존건</t>
        </is>
      </c>
      <c r="AB2083" t="inlineStr">
        <is>
          <t>믿고</t>
        </is>
      </c>
      <c r="AC2083" t="n">
        <v>401500</v>
      </c>
      <c r="AD2083" t="n">
        <v>51100</v>
      </c>
      <c r="AE2083" t="n">
        <v>350400</v>
      </c>
      <c r="AF2083" t="n">
        <v>365000</v>
      </c>
      <c r="AG2083" t="n">
        <v>49413.7</v>
      </c>
      <c r="AH2083" t="n">
        <v>315586.3</v>
      </c>
    </row>
    <row r="2084">
      <c r="A2084" t="inlineStr">
        <is>
          <t>3월</t>
        </is>
      </c>
      <c r="B2084" t="inlineStr">
        <is>
          <t>10주차</t>
        </is>
      </c>
      <c r="C2084" t="inlineStr">
        <is>
          <t>OR</t>
        </is>
      </c>
      <c r="D2084" s="28" t="n">
        <v>46085</v>
      </c>
      <c r="E2084" t="inlineStr">
        <is>
          <t>오릭스</t>
        </is>
      </c>
      <c r="F2084" t="inlineStr">
        <is>
          <t>김정주</t>
        </is>
      </c>
      <c r="G2084" t="inlineStr">
        <is>
          <t>010-8947-2281</t>
        </is>
      </c>
      <c r="H2084" t="inlineStr">
        <is>
          <t>379어2267</t>
        </is>
      </c>
      <c r="I2084" t="n">
        <v>15000000</v>
      </c>
      <c r="J2084" t="n">
        <v>0.067</v>
      </c>
      <c r="K2084" t="n">
        <v>1.65</v>
      </c>
      <c r="L2084" t="n">
        <v>0.14</v>
      </c>
      <c r="M2084" t="n">
        <v>1.51</v>
      </c>
      <c r="P2084" t="inlineStr">
        <is>
          <t>정세빈</t>
        </is>
      </c>
      <c r="Q2084" t="inlineStr">
        <is>
          <t>홈서비스 24개월</t>
        </is>
      </c>
      <c r="AB2084" t="inlineStr">
        <is>
          <t>홈서비스</t>
        </is>
      </c>
      <c r="AC2084" t="n">
        <v>247500</v>
      </c>
      <c r="AD2084" t="n">
        <v>21000</v>
      </c>
      <c r="AE2084" t="n">
        <v>226500</v>
      </c>
      <c r="AF2084" t="n">
        <v>225000</v>
      </c>
      <c r="AG2084" t="n">
        <v>20307</v>
      </c>
      <c r="AH2084" t="n">
        <v>204693</v>
      </c>
      <c r="AI2084" t="n">
        <v>0</v>
      </c>
    </row>
    <row r="2085">
      <c r="A2085" t="inlineStr">
        <is>
          <t>3월</t>
        </is>
      </c>
      <c r="B2085" t="inlineStr">
        <is>
          <t>11주차</t>
        </is>
      </c>
      <c r="C2085" t="inlineStr">
        <is>
          <t>EP</t>
        </is>
      </c>
      <c r="D2085" s="28" t="n">
        <v>46091</v>
      </c>
      <c r="E2085" t="inlineStr">
        <is>
          <t>현대EP</t>
        </is>
      </c>
      <c r="F2085" t="inlineStr">
        <is>
          <t>전정욱</t>
        </is>
      </c>
      <c r="G2085" t="inlineStr">
        <is>
          <t>010-9193-9484</t>
        </is>
      </c>
      <c r="H2085" t="inlineStr">
        <is>
          <t>79더1108</t>
        </is>
      </c>
      <c r="I2085" t="n">
        <v>7600000</v>
      </c>
      <c r="J2085" t="n">
        <v>0.092</v>
      </c>
      <c r="K2085" t="n">
        <v>1.76</v>
      </c>
      <c r="L2085" t="n">
        <v>0.14</v>
      </c>
      <c r="M2085" t="n">
        <v>1.62</v>
      </c>
      <c r="P2085" t="inlineStr">
        <is>
          <t>박보람</t>
        </is>
      </c>
      <c r="Q2085" t="inlineStr">
        <is>
          <t>홈서비스 60개월</t>
        </is>
      </c>
      <c r="AB2085" t="inlineStr">
        <is>
          <t>홈서비스</t>
        </is>
      </c>
      <c r="AC2085" t="n">
        <v>133760</v>
      </c>
      <c r="AD2085" t="n">
        <v>10640</v>
      </c>
      <c r="AE2085" t="n">
        <v>123120</v>
      </c>
      <c r="AF2085" t="n">
        <v>121600</v>
      </c>
      <c r="AG2085" t="n">
        <v>10288.88</v>
      </c>
      <c r="AH2085" t="n">
        <v>111311.12</v>
      </c>
      <c r="AI2085" t="n">
        <v>0</v>
      </c>
    </row>
    <row r="2086">
      <c r="A2086" t="inlineStr">
        <is>
          <t>3월</t>
        </is>
      </c>
      <c r="B2086" t="inlineStr">
        <is>
          <t>11주차</t>
        </is>
      </c>
      <c r="C2086" t="inlineStr">
        <is>
          <t>IM</t>
        </is>
      </c>
      <c r="D2086" s="28" t="n">
        <v>46092</v>
      </c>
      <c r="E2086" t="inlineStr">
        <is>
          <t>IM캐피탈</t>
        </is>
      </c>
      <c r="F2086" t="inlineStr">
        <is>
          <t>임희정</t>
        </is>
      </c>
      <c r="G2086" t="inlineStr">
        <is>
          <t>010-7907-7664</t>
        </is>
      </c>
      <c r="H2086" t="inlineStr">
        <is>
          <t>32너0221</t>
        </is>
      </c>
      <c r="I2086" t="n">
        <v>4800000</v>
      </c>
      <c r="J2086" t="n">
        <v>0.056</v>
      </c>
      <c r="K2086" t="n">
        <v>1.1</v>
      </c>
      <c r="L2086" t="n">
        <v>0.14</v>
      </c>
      <c r="M2086" t="n">
        <v>0.96</v>
      </c>
      <c r="P2086" t="inlineStr">
        <is>
          <t>박보람</t>
        </is>
      </c>
      <c r="Q2086" t="inlineStr">
        <is>
          <t>선상담 / 홈서비스 48개월 / 부대비용 추가진행</t>
        </is>
      </c>
      <c r="AB2086" t="inlineStr">
        <is>
          <t>홈서비스</t>
        </is>
      </c>
      <c r="AC2086" t="n">
        <v>52800</v>
      </c>
      <c r="AD2086" t="n">
        <v>6720</v>
      </c>
      <c r="AE2086" t="n">
        <v>46080</v>
      </c>
      <c r="AF2086" t="n">
        <v>48000</v>
      </c>
      <c r="AG2086" t="n">
        <v>6498.24</v>
      </c>
      <c r="AH2086" t="n">
        <v>41501.76</v>
      </c>
      <c r="AI2086" t="n">
        <v>0</v>
      </c>
    </row>
    <row r="2087">
      <c r="A2087" t="inlineStr">
        <is>
          <t>3월</t>
        </is>
      </c>
      <c r="B2087" t="inlineStr">
        <is>
          <t>11주차</t>
        </is>
      </c>
      <c r="C2087" t="inlineStr">
        <is>
          <t>EP</t>
        </is>
      </c>
      <c r="D2087" s="28" t="n">
        <v>46092</v>
      </c>
      <c r="E2087" t="inlineStr">
        <is>
          <t>제이비EP</t>
        </is>
      </c>
      <c r="F2087" t="inlineStr">
        <is>
          <t>이시은</t>
        </is>
      </c>
      <c r="G2087" t="inlineStr">
        <is>
          <t>010-4686-7549</t>
        </is>
      </c>
      <c r="H2087" t="inlineStr">
        <is>
          <t>42오0998</t>
        </is>
      </c>
      <c r="I2087" t="n">
        <v>15000000</v>
      </c>
      <c r="J2087" t="n">
        <v>0.07199999999999999</v>
      </c>
      <c r="K2087" t="n">
        <v>1.65</v>
      </c>
      <c r="L2087" t="n">
        <v>0.4</v>
      </c>
      <c r="M2087" t="n">
        <v>1.25</v>
      </c>
      <c r="P2087" t="inlineStr">
        <is>
          <t>장현경</t>
        </is>
      </c>
      <c r="Q2087" t="inlineStr">
        <is>
          <t>부대비용 추가진행</t>
        </is>
      </c>
      <c r="AB2087" t="inlineStr">
        <is>
          <t>엔카</t>
        </is>
      </c>
      <c r="AC2087" t="n">
        <v>247500</v>
      </c>
      <c r="AD2087" t="n">
        <v>60000</v>
      </c>
      <c r="AE2087" t="n">
        <v>187500</v>
      </c>
      <c r="AF2087" t="n">
        <v>225000</v>
      </c>
      <c r="AG2087" t="n">
        <v>58020</v>
      </c>
      <c r="AH2087" t="n">
        <v>166980</v>
      </c>
      <c r="AI2087" t="n">
        <v>0</v>
      </c>
    </row>
    <row r="2088">
      <c r="A2088" t="inlineStr">
        <is>
          <t>3월</t>
        </is>
      </c>
      <c r="B2088" t="inlineStr">
        <is>
          <t>11주차</t>
        </is>
      </c>
      <c r="C2088" t="inlineStr">
        <is>
          <t>IM</t>
        </is>
      </c>
      <c r="D2088" s="28" t="n">
        <v>46092</v>
      </c>
      <c r="E2088" t="inlineStr">
        <is>
          <t>IM캐피탈</t>
        </is>
      </c>
      <c r="F2088" t="inlineStr">
        <is>
          <t>박성용</t>
        </is>
      </c>
      <c r="G2088" t="inlineStr">
        <is>
          <t>010-9571-2245</t>
        </is>
      </c>
      <c r="H2088" t="inlineStr">
        <is>
          <t>21노5350</t>
        </is>
      </c>
      <c r="I2088" t="n">
        <v>20500000</v>
      </c>
      <c r="J2088" t="n">
        <v>0.049</v>
      </c>
      <c r="K2088" t="n">
        <v>1.1</v>
      </c>
      <c r="L2088" t="n">
        <v>0.14</v>
      </c>
      <c r="M2088" t="n">
        <v>0.96</v>
      </c>
      <c r="P2088" t="inlineStr">
        <is>
          <t>김수연</t>
        </is>
      </c>
      <c r="Q2088" t="inlineStr">
        <is>
          <t>홈서비스 60개월</t>
        </is>
      </c>
      <c r="AB2088" t="inlineStr">
        <is>
          <t>홈서비스</t>
        </is>
      </c>
      <c r="AC2088" t="n">
        <v>225500</v>
      </c>
      <c r="AD2088" t="n">
        <v>28700</v>
      </c>
      <c r="AE2088" t="n">
        <v>196800</v>
      </c>
      <c r="AF2088" t="n">
        <v>205000</v>
      </c>
      <c r="AG2088" t="n">
        <v>27752.9</v>
      </c>
      <c r="AH2088" t="n">
        <v>177247.1</v>
      </c>
    </row>
    <row r="2089">
      <c r="A2089" t="inlineStr">
        <is>
          <t>3월</t>
        </is>
      </c>
      <c r="B2089" t="inlineStr">
        <is>
          <t>10주차</t>
        </is>
      </c>
      <c r="C2089" t="inlineStr">
        <is>
          <t>IM</t>
        </is>
      </c>
      <c r="D2089" s="28" t="n">
        <v>46088</v>
      </c>
      <c r="E2089" t="inlineStr">
        <is>
          <t>IM캐피탈</t>
        </is>
      </c>
      <c r="F2089" t="inlineStr">
        <is>
          <t>최원규</t>
        </is>
      </c>
      <c r="G2089" t="inlineStr">
        <is>
          <t>010-5769-9668</t>
        </is>
      </c>
      <c r="H2089" t="inlineStr">
        <is>
          <t>30러1999</t>
        </is>
      </c>
      <c r="I2089" t="n">
        <v>20800000</v>
      </c>
      <c r="J2089" t="n">
        <v>0.049</v>
      </c>
      <c r="K2089" t="n">
        <v>1.1</v>
      </c>
      <c r="L2089" t="n">
        <v>0.14</v>
      </c>
      <c r="M2089" t="n">
        <v>0.96</v>
      </c>
      <c r="P2089" t="inlineStr">
        <is>
          <t>정하은</t>
        </is>
      </c>
      <c r="Q2089" t="inlineStr">
        <is>
          <t>홈서비스 84개월</t>
        </is>
      </c>
      <c r="AB2089" t="inlineStr">
        <is>
          <t>홈서비스</t>
        </is>
      </c>
      <c r="AC2089" t="n">
        <v>228800</v>
      </c>
      <c r="AD2089" t="n">
        <v>29120</v>
      </c>
      <c r="AE2089" t="n">
        <v>199680</v>
      </c>
      <c r="AF2089" t="n">
        <v>208000</v>
      </c>
      <c r="AG2089" t="n">
        <v>28159.04</v>
      </c>
      <c r="AH2089" t="n">
        <v>179840.96</v>
      </c>
      <c r="AI2089" t="n">
        <v>0</v>
      </c>
    </row>
    <row r="2090">
      <c r="A2090" t="inlineStr">
        <is>
          <t>3월</t>
        </is>
      </c>
      <c r="B2090" t="inlineStr">
        <is>
          <t>11주차</t>
        </is>
      </c>
      <c r="C2090" t="inlineStr">
        <is>
          <t>IM</t>
        </is>
      </c>
      <c r="D2090" s="28" t="n">
        <v>46092</v>
      </c>
      <c r="E2090" t="inlineStr">
        <is>
          <t>IM캐피탈</t>
        </is>
      </c>
      <c r="F2090" t="inlineStr">
        <is>
          <t>임훈</t>
        </is>
      </c>
      <c r="G2090" t="inlineStr">
        <is>
          <t>010-6417-1228</t>
        </is>
      </c>
      <c r="H2090" t="inlineStr">
        <is>
          <t>891로6925</t>
        </is>
      </c>
      <c r="I2090" t="n">
        <v>17500000</v>
      </c>
      <c r="J2090" t="n">
        <v>0.056</v>
      </c>
      <c r="K2090" t="n">
        <v>1.1</v>
      </c>
      <c r="L2090" t="n">
        <v>0.4</v>
      </c>
      <c r="M2090" t="n">
        <v>0.7</v>
      </c>
      <c r="P2090" t="inlineStr">
        <is>
          <t>최혁</t>
        </is>
      </c>
      <c r="AB2090" t="inlineStr">
        <is>
          <t>엔카</t>
        </is>
      </c>
      <c r="AC2090" t="n">
        <v>192500</v>
      </c>
      <c r="AD2090" t="n">
        <v>70000</v>
      </c>
      <c r="AE2090" t="n">
        <v>122500</v>
      </c>
      <c r="AF2090" t="n">
        <v>175000</v>
      </c>
      <c r="AG2090" t="n">
        <v>67690</v>
      </c>
      <c r="AH2090" t="n">
        <v>107310</v>
      </c>
      <c r="AI2090" t="n">
        <v>0</v>
      </c>
    </row>
    <row r="2091">
      <c r="A2091" t="inlineStr">
        <is>
          <t>3월</t>
        </is>
      </c>
      <c r="B2091" t="inlineStr">
        <is>
          <t>11주차</t>
        </is>
      </c>
      <c r="C2091" t="inlineStr">
        <is>
          <t>IM</t>
        </is>
      </c>
      <c r="D2091" s="28" t="n">
        <v>46090</v>
      </c>
      <c r="E2091" t="inlineStr">
        <is>
          <t>IM캐피탈</t>
        </is>
      </c>
      <c r="F2091" t="inlineStr">
        <is>
          <t>최유나</t>
        </is>
      </c>
      <c r="G2091" t="inlineStr">
        <is>
          <t>010-8351-2403</t>
        </is>
      </c>
      <c r="H2091" t="inlineStr">
        <is>
          <t>200두9505</t>
        </is>
      </c>
      <c r="I2091" t="n">
        <v>30500000</v>
      </c>
      <c r="J2091" t="n">
        <v>0.056</v>
      </c>
      <c r="K2091" t="n">
        <v>1.1</v>
      </c>
      <c r="L2091" t="n">
        <v>0.14</v>
      </c>
      <c r="M2091" t="n">
        <v>0.96</v>
      </c>
      <c r="P2091" t="inlineStr">
        <is>
          <t>김나윤</t>
        </is>
      </c>
      <c r="Q2091" t="inlineStr">
        <is>
          <t>홈서비스 84개월</t>
        </is>
      </c>
      <c r="AB2091" t="inlineStr">
        <is>
          <t>홈서비스</t>
        </is>
      </c>
      <c r="AC2091" t="n">
        <v>335500</v>
      </c>
      <c r="AD2091" t="n">
        <v>42700</v>
      </c>
      <c r="AE2091" t="n">
        <v>292800</v>
      </c>
      <c r="AF2091" t="n">
        <v>305000</v>
      </c>
      <c r="AG2091" t="n">
        <v>41290.9</v>
      </c>
      <c r="AH2091" t="n">
        <v>263709.1</v>
      </c>
    </row>
    <row r="2092">
      <c r="A2092" t="inlineStr">
        <is>
          <t>3월</t>
        </is>
      </c>
      <c r="B2092" t="inlineStr">
        <is>
          <t>11주차</t>
        </is>
      </c>
      <c r="C2092" t="inlineStr">
        <is>
          <t>IM</t>
        </is>
      </c>
      <c r="D2092" s="28" t="n">
        <v>46090</v>
      </c>
      <c r="E2092" t="inlineStr">
        <is>
          <t>IM캐피탈</t>
        </is>
      </c>
      <c r="F2092" t="inlineStr">
        <is>
          <t>고민석</t>
        </is>
      </c>
      <c r="G2092" t="inlineStr">
        <is>
          <t>010-3961-5734</t>
        </is>
      </c>
      <c r="H2092" t="inlineStr">
        <is>
          <t>229모7250</t>
        </is>
      </c>
      <c r="I2092" t="n">
        <v>33900000</v>
      </c>
      <c r="J2092" t="n">
        <v>0.06900000000000001</v>
      </c>
      <c r="K2092" t="n">
        <v>1.1</v>
      </c>
      <c r="L2092" t="n">
        <v>0.14</v>
      </c>
      <c r="M2092" t="n">
        <v>0.96</v>
      </c>
      <c r="P2092" t="inlineStr">
        <is>
          <t>김수연</t>
        </is>
      </c>
      <c r="Q2092" t="inlineStr">
        <is>
          <t>홈서비스 60개월</t>
        </is>
      </c>
      <c r="AB2092" t="inlineStr">
        <is>
          <t>홈서비스</t>
        </is>
      </c>
      <c r="AC2092" t="n">
        <v>372900</v>
      </c>
      <c r="AD2092" t="n">
        <v>47460</v>
      </c>
      <c r="AE2092" t="n">
        <v>325440</v>
      </c>
      <c r="AF2092" t="n">
        <v>339000</v>
      </c>
      <c r="AG2092" t="n">
        <v>45893.82</v>
      </c>
      <c r="AH2092" t="n">
        <v>293106.18</v>
      </c>
      <c r="AI2092" t="n">
        <v>0</v>
      </c>
    </row>
    <row r="2093">
      <c r="A2093" t="inlineStr">
        <is>
          <t>3월</t>
        </is>
      </c>
      <c r="B2093" t="inlineStr">
        <is>
          <t>11주차</t>
        </is>
      </c>
      <c r="C2093" t="inlineStr">
        <is>
          <t>EP</t>
        </is>
      </c>
      <c r="D2093" s="28" t="n">
        <v>46090</v>
      </c>
      <c r="E2093" t="inlineStr">
        <is>
          <t>현대EP_fast</t>
        </is>
      </c>
      <c r="F2093" t="inlineStr">
        <is>
          <t>김태영</t>
        </is>
      </c>
      <c r="G2093" t="inlineStr">
        <is>
          <t>010-2739-9907</t>
        </is>
      </c>
      <c r="H2093" t="inlineStr">
        <is>
          <t>97노8746</t>
        </is>
      </c>
      <c r="I2093" t="n">
        <v>7500000</v>
      </c>
      <c r="J2093" t="n">
        <v>0.102</v>
      </c>
      <c r="K2093" t="n">
        <v>1.76</v>
      </c>
      <c r="L2093" t="n">
        <v>0.14</v>
      </c>
      <c r="M2093" t="n">
        <v>1.62</v>
      </c>
      <c r="P2093" t="inlineStr">
        <is>
          <t>최형주</t>
        </is>
      </c>
      <c r="Q2093" t="inlineStr">
        <is>
          <t>홈서비스 36개월</t>
        </is>
      </c>
      <c r="AB2093" t="inlineStr">
        <is>
          <t>홈서비스</t>
        </is>
      </c>
      <c r="AC2093" t="n">
        <v>132000</v>
      </c>
      <c r="AD2093" t="n">
        <v>10500</v>
      </c>
      <c r="AE2093" t="n">
        <v>121500</v>
      </c>
      <c r="AF2093" t="n">
        <v>120000</v>
      </c>
      <c r="AG2093" t="n">
        <v>10153.5</v>
      </c>
      <c r="AH2093" t="n">
        <v>109846.5</v>
      </c>
      <c r="AI2093" t="n">
        <v>0</v>
      </c>
    </row>
    <row r="2094">
      <c r="A2094" t="inlineStr">
        <is>
          <t>3월</t>
        </is>
      </c>
      <c r="B2094" t="inlineStr">
        <is>
          <t>11주차</t>
        </is>
      </c>
      <c r="C2094" t="inlineStr">
        <is>
          <t>EP</t>
        </is>
      </c>
      <c r="D2094" s="28" t="n">
        <v>46092</v>
      </c>
      <c r="E2094" t="inlineStr">
        <is>
          <t>현대EP_fast</t>
        </is>
      </c>
      <c r="F2094" t="inlineStr">
        <is>
          <t>원미나</t>
        </is>
      </c>
      <c r="G2094" t="inlineStr">
        <is>
          <t>010-3424-8223</t>
        </is>
      </c>
      <c r="H2094" t="inlineStr">
        <is>
          <t>304도7961</t>
        </is>
      </c>
      <c r="I2094" t="n">
        <v>16400000</v>
      </c>
      <c r="J2094" t="n">
        <v>0.118</v>
      </c>
      <c r="K2094" t="n">
        <v>1.76</v>
      </c>
      <c r="L2094" t="n">
        <v>0.14</v>
      </c>
      <c r="M2094" t="n">
        <v>1.62</v>
      </c>
      <c r="P2094" t="inlineStr">
        <is>
          <t>황채이</t>
        </is>
      </c>
      <c r="Q2094" t="inlineStr">
        <is>
          <t>홈서비스 36개월</t>
        </is>
      </c>
      <c r="AB2094" t="inlineStr">
        <is>
          <t>홈서비스</t>
        </is>
      </c>
      <c r="AC2094" t="n">
        <v>288640</v>
      </c>
      <c r="AD2094" t="n">
        <v>22960</v>
      </c>
      <c r="AE2094" t="n">
        <v>265680</v>
      </c>
      <c r="AF2094" t="n">
        <v>262400</v>
      </c>
      <c r="AG2094" t="n">
        <v>22202.32</v>
      </c>
      <c r="AH2094" t="n">
        <v>240197.68</v>
      </c>
    </row>
    <row r="2095">
      <c r="A2095" t="inlineStr">
        <is>
          <t>3월</t>
        </is>
      </c>
      <c r="B2095" t="inlineStr">
        <is>
          <t>11주차</t>
        </is>
      </c>
      <c r="C2095" t="inlineStr">
        <is>
          <t>OR</t>
        </is>
      </c>
      <c r="D2095" s="28" t="n">
        <v>46092</v>
      </c>
      <c r="E2095" t="inlineStr">
        <is>
          <t>오릭스</t>
        </is>
      </c>
      <c r="F2095" t="inlineStr">
        <is>
          <t>박서아</t>
        </is>
      </c>
      <c r="G2095" t="inlineStr">
        <is>
          <t>010-2287-8783</t>
        </is>
      </c>
      <c r="H2095" t="inlineStr">
        <is>
          <t>14누5859</t>
        </is>
      </c>
      <c r="I2095" t="n">
        <v>6800000</v>
      </c>
      <c r="J2095" t="n">
        <v>0.067</v>
      </c>
      <c r="K2095" t="n">
        <v>1.65</v>
      </c>
      <c r="L2095" t="n">
        <v>0.14</v>
      </c>
      <c r="M2095" t="n">
        <v>1.51</v>
      </c>
      <c r="P2095" t="inlineStr">
        <is>
          <t>박보람</t>
        </is>
      </c>
      <c r="Q2095" t="inlineStr">
        <is>
          <t>선상담 / 홈서비스 48개월</t>
        </is>
      </c>
      <c r="AB2095" t="inlineStr">
        <is>
          <t>홈서비스</t>
        </is>
      </c>
      <c r="AC2095" t="n">
        <v>112200</v>
      </c>
      <c r="AD2095" t="n">
        <v>9520</v>
      </c>
      <c r="AE2095" t="n">
        <v>102680</v>
      </c>
      <c r="AF2095" t="n">
        <v>102000</v>
      </c>
      <c r="AG2095" t="n">
        <v>9205.84</v>
      </c>
      <c r="AH2095" t="n">
        <v>92794.16</v>
      </c>
      <c r="AI2095" t="n">
        <v>0</v>
      </c>
    </row>
    <row r="2096">
      <c r="A2096" t="inlineStr">
        <is>
          <t>3월</t>
        </is>
      </c>
      <c r="B2096" t="inlineStr">
        <is>
          <t>11주차</t>
        </is>
      </c>
      <c r="C2096" t="inlineStr">
        <is>
          <t>EP</t>
        </is>
      </c>
      <c r="D2096" s="28" t="n">
        <v>46093</v>
      </c>
      <c r="E2096" t="inlineStr">
        <is>
          <t>현대EP_fast</t>
        </is>
      </c>
      <c r="F2096" t="inlineStr">
        <is>
          <t>이호현</t>
        </is>
      </c>
      <c r="G2096" t="inlineStr">
        <is>
          <t>010-2795-8121</t>
        </is>
      </c>
      <c r="H2096" t="inlineStr">
        <is>
          <t>26머0614</t>
        </is>
      </c>
      <c r="I2096" t="n">
        <v>8300000</v>
      </c>
      <c r="J2096" t="n">
        <v>0.118</v>
      </c>
      <c r="K2096" t="n">
        <v>1.76</v>
      </c>
      <c r="L2096" t="n">
        <v>0.14</v>
      </c>
      <c r="M2096" t="n">
        <v>1.62</v>
      </c>
      <c r="P2096" t="inlineStr">
        <is>
          <t>황채이</t>
        </is>
      </c>
      <c r="Q2096" t="inlineStr">
        <is>
          <t>홈서비스 48개월</t>
        </is>
      </c>
      <c r="AB2096" t="inlineStr">
        <is>
          <t>홈서비스</t>
        </is>
      </c>
      <c r="AC2096" t="n">
        <v>146080</v>
      </c>
      <c r="AD2096" t="n">
        <v>11620</v>
      </c>
      <c r="AE2096" t="n">
        <v>134460</v>
      </c>
      <c r="AF2096" t="n">
        <v>132800</v>
      </c>
      <c r="AG2096" t="n">
        <v>11236.54</v>
      </c>
      <c r="AH2096" t="n">
        <v>121563.46</v>
      </c>
      <c r="AI2096" t="n">
        <v>0</v>
      </c>
    </row>
    <row r="2097">
      <c r="A2097" t="inlineStr">
        <is>
          <t>3월</t>
        </is>
      </c>
      <c r="B2097" t="inlineStr">
        <is>
          <t>10주차</t>
        </is>
      </c>
      <c r="C2097" t="inlineStr">
        <is>
          <t>WC</t>
        </is>
      </c>
      <c r="D2097" s="28" t="n">
        <v>46085</v>
      </c>
      <c r="E2097" t="inlineStr">
        <is>
          <t>웰컴저축은행</t>
        </is>
      </c>
      <c r="F2097" t="inlineStr">
        <is>
          <t>박영욱</t>
        </is>
      </c>
      <c r="G2097" t="inlineStr">
        <is>
          <t>010-5933-8197</t>
        </is>
      </c>
      <c r="H2097" t="inlineStr">
        <is>
          <t>374마1615</t>
        </is>
      </c>
      <c r="I2097" t="n">
        <v>25000000</v>
      </c>
      <c r="J2097" t="n">
        <v>0.139</v>
      </c>
      <c r="K2097" t="n">
        <v>0</v>
      </c>
      <c r="L2097" t="n">
        <v>0.14</v>
      </c>
      <c r="M2097" t="n">
        <v>-0.14</v>
      </c>
      <c r="P2097" t="inlineStr">
        <is>
          <t>정광호</t>
        </is>
      </c>
      <c r="Q2097" t="inlineStr">
        <is>
          <t>홈서비스 60개월</t>
        </is>
      </c>
      <c r="AB2097" t="inlineStr">
        <is>
          <t>홈서비스</t>
        </is>
      </c>
      <c r="AC2097" t="n">
        <v>0</v>
      </c>
      <c r="AD2097" t="n">
        <v>35000</v>
      </c>
      <c r="AE2097" t="n">
        <v>-35000</v>
      </c>
      <c r="AF2097" t="n">
        <v>0</v>
      </c>
      <c r="AG2097" t="n">
        <v>33845</v>
      </c>
      <c r="AH2097" t="n">
        <v>-33845</v>
      </c>
      <c r="AI2097" t="n">
        <v>0</v>
      </c>
    </row>
    <row r="2098">
      <c r="A2098" t="inlineStr">
        <is>
          <t>3월</t>
        </is>
      </c>
      <c r="B2098" t="inlineStr">
        <is>
          <t>11주차</t>
        </is>
      </c>
      <c r="C2098" t="inlineStr">
        <is>
          <t>EP</t>
        </is>
      </c>
      <c r="D2098" s="28" t="n">
        <v>46091</v>
      </c>
      <c r="E2098" t="inlineStr">
        <is>
          <t>제이비EP</t>
        </is>
      </c>
      <c r="F2098" t="inlineStr">
        <is>
          <t>서봉기</t>
        </is>
      </c>
      <c r="G2098" t="inlineStr">
        <is>
          <t>010-9610-0352</t>
        </is>
      </c>
      <c r="H2098" t="inlineStr">
        <is>
          <t>79무4075</t>
        </is>
      </c>
      <c r="I2098" t="n">
        <v>18400000</v>
      </c>
      <c r="J2098" t="n">
        <v>0.079</v>
      </c>
      <c r="K2098" t="n">
        <v>1.65</v>
      </c>
      <c r="L2098" t="n">
        <v>0.14</v>
      </c>
      <c r="M2098" t="n">
        <v>1.51</v>
      </c>
      <c r="P2098" t="inlineStr">
        <is>
          <t>박현민</t>
        </is>
      </c>
      <c r="Q2098" t="inlineStr">
        <is>
          <t>홈서비스 60개월</t>
        </is>
      </c>
      <c r="AB2098" t="inlineStr">
        <is>
          <t>홈서비스</t>
        </is>
      </c>
      <c r="AC2098" t="n">
        <v>303600</v>
      </c>
      <c r="AD2098" t="n">
        <v>25760</v>
      </c>
      <c r="AE2098" t="n">
        <v>277840</v>
      </c>
      <c r="AF2098" t="n">
        <v>276000</v>
      </c>
      <c r="AG2098" t="n">
        <v>24909.92</v>
      </c>
      <c r="AH2098" t="n">
        <v>251090.08</v>
      </c>
      <c r="AI2098" t="n">
        <v>0</v>
      </c>
    </row>
    <row r="2099">
      <c r="A2099" t="inlineStr">
        <is>
          <t>3월</t>
        </is>
      </c>
      <c r="B2099" t="inlineStr">
        <is>
          <t>11주차</t>
        </is>
      </c>
      <c r="C2099" t="inlineStr">
        <is>
          <t>EP</t>
        </is>
      </c>
      <c r="D2099" s="28" t="n">
        <v>46092</v>
      </c>
      <c r="E2099" t="inlineStr">
        <is>
          <t>현대EP_fast</t>
        </is>
      </c>
      <c r="F2099" t="inlineStr">
        <is>
          <t>송종민</t>
        </is>
      </c>
      <c r="G2099" t="inlineStr">
        <is>
          <t>010-5470-4548</t>
        </is>
      </c>
      <c r="H2099" t="inlineStr">
        <is>
          <t>180서6861</t>
        </is>
      </c>
      <c r="I2099" t="n">
        <v>35500000</v>
      </c>
      <c r="J2099" t="n">
        <v>0.118</v>
      </c>
      <c r="K2099" t="n">
        <v>1.76</v>
      </c>
      <c r="L2099" t="n">
        <v>0.4</v>
      </c>
      <c r="M2099" t="n">
        <v>1.36</v>
      </c>
      <c r="P2099" t="inlineStr">
        <is>
          <t>박보람</t>
        </is>
      </c>
      <c r="AB2099" t="inlineStr">
        <is>
          <t>엔카</t>
        </is>
      </c>
      <c r="AC2099" t="n">
        <v>624800</v>
      </c>
      <c r="AD2099" t="n">
        <v>142000</v>
      </c>
      <c r="AE2099" t="n">
        <v>482800</v>
      </c>
      <c r="AF2099" t="n">
        <v>568000</v>
      </c>
      <c r="AG2099" t="n">
        <v>137314</v>
      </c>
      <c r="AH2099" t="n">
        <v>430686</v>
      </c>
    </row>
    <row r="2100">
      <c r="A2100" t="inlineStr">
        <is>
          <t>3월</t>
        </is>
      </c>
      <c r="B2100" t="inlineStr">
        <is>
          <t>11주차</t>
        </is>
      </c>
      <c r="C2100" t="inlineStr">
        <is>
          <t>EP</t>
        </is>
      </c>
      <c r="D2100" s="28" t="n">
        <v>46092</v>
      </c>
      <c r="E2100" t="inlineStr">
        <is>
          <t>현대EP_fast</t>
        </is>
      </c>
      <c r="F2100" t="inlineStr">
        <is>
          <t>김백송</t>
        </is>
      </c>
      <c r="G2100" t="inlineStr">
        <is>
          <t>010-2888-5647</t>
        </is>
      </c>
      <c r="H2100" t="inlineStr">
        <is>
          <t>63고6021</t>
        </is>
      </c>
      <c r="I2100" t="n">
        <v>-3400000</v>
      </c>
      <c r="J2100" t="n">
        <v>0.075</v>
      </c>
      <c r="K2100" t="n">
        <v>1.76</v>
      </c>
      <c r="L2100" t="n">
        <v>0.14</v>
      </c>
      <c r="M2100" t="n">
        <v>1.62</v>
      </c>
      <c r="P2100" t="inlineStr">
        <is>
          <t>박소현</t>
        </is>
      </c>
      <c r="Q2100" t="inlineStr">
        <is>
          <t>홈서비스 24개월</t>
        </is>
      </c>
      <c r="AB2100" t="inlineStr">
        <is>
          <t>홈서비스</t>
        </is>
      </c>
      <c r="AC2100" t="n">
        <v>-59840</v>
      </c>
      <c r="AD2100" t="n">
        <v>-4760</v>
      </c>
      <c r="AE2100" t="n">
        <v>-55080</v>
      </c>
      <c r="AF2100" t="n">
        <v>-54400</v>
      </c>
      <c r="AG2100" t="n">
        <v>-4602.92</v>
      </c>
      <c r="AH2100" t="n">
        <v>-49797.08</v>
      </c>
      <c r="AI2100" t="n">
        <v>0</v>
      </c>
    </row>
    <row r="2101">
      <c r="A2101" t="inlineStr">
        <is>
          <t>3월</t>
        </is>
      </c>
      <c r="B2101" t="inlineStr">
        <is>
          <t>11주차</t>
        </is>
      </c>
      <c r="C2101" t="inlineStr">
        <is>
          <t>EP</t>
        </is>
      </c>
      <c r="D2101" s="28" t="n">
        <v>46093</v>
      </c>
      <c r="E2101" t="inlineStr">
        <is>
          <t>현대EP_fast</t>
        </is>
      </c>
      <c r="F2101" t="inlineStr">
        <is>
          <t>정지애</t>
        </is>
      </c>
      <c r="G2101" t="inlineStr">
        <is>
          <t>010-7128-9295</t>
        </is>
      </c>
      <c r="H2101" t="inlineStr">
        <is>
          <t>193호9307</t>
        </is>
      </c>
      <c r="I2101" t="n">
        <v>19000000</v>
      </c>
      <c r="J2101" t="n">
        <v>0.077</v>
      </c>
      <c r="K2101" t="n">
        <v>1.76</v>
      </c>
      <c r="L2101" t="n">
        <v>0.14</v>
      </c>
      <c r="M2101" t="n">
        <v>1.62</v>
      </c>
      <c r="P2101" t="inlineStr">
        <is>
          <t>김나윤</t>
        </is>
      </c>
      <c r="Q2101" t="inlineStr">
        <is>
          <t>홈서비스 36개월</t>
        </is>
      </c>
      <c r="AB2101" t="inlineStr">
        <is>
          <t>홈서비스</t>
        </is>
      </c>
      <c r="AC2101" t="n">
        <v>334400</v>
      </c>
      <c r="AD2101" t="n">
        <v>26600</v>
      </c>
      <c r="AE2101" t="n">
        <v>307800</v>
      </c>
      <c r="AF2101" t="n">
        <v>304000</v>
      </c>
      <c r="AG2101" t="n">
        <v>25722.2</v>
      </c>
      <c r="AH2101" t="n">
        <v>278277.8</v>
      </c>
      <c r="AI2101" t="n">
        <v>0</v>
      </c>
    </row>
    <row r="2102">
      <c r="A2102" t="inlineStr">
        <is>
          <t>3월</t>
        </is>
      </c>
      <c r="B2102" t="inlineStr">
        <is>
          <t>10주차</t>
        </is>
      </c>
      <c r="C2102" t="inlineStr">
        <is>
          <t>EP</t>
        </is>
      </c>
      <c r="D2102" s="28" t="n">
        <v>46085</v>
      </c>
      <c r="E2102" t="inlineStr">
        <is>
          <t>제이비EP</t>
        </is>
      </c>
      <c r="F2102" t="inlineStr">
        <is>
          <t>오현상</t>
        </is>
      </c>
      <c r="G2102" t="inlineStr">
        <is>
          <t>010-7785-7211</t>
        </is>
      </c>
      <c r="H2102" t="inlineStr">
        <is>
          <t>15도6267</t>
        </is>
      </c>
      <c r="I2102" t="n">
        <v>54500000</v>
      </c>
      <c r="J2102" t="n">
        <v>0.081</v>
      </c>
      <c r="K2102" t="n">
        <v>1.65</v>
      </c>
      <c r="L2102" t="n">
        <v>0.4</v>
      </c>
      <c r="M2102" t="n">
        <v>1.25</v>
      </c>
      <c r="P2102" t="inlineStr">
        <is>
          <t>박보람</t>
        </is>
      </c>
      <c r="AB2102" t="inlineStr">
        <is>
          <t>엔카</t>
        </is>
      </c>
      <c r="AC2102" t="n">
        <v>899250</v>
      </c>
      <c r="AD2102" t="n">
        <v>218000</v>
      </c>
      <c r="AE2102" t="n">
        <v>681250</v>
      </c>
      <c r="AF2102" t="n">
        <v>817500</v>
      </c>
      <c r="AG2102" t="n">
        <v>210806</v>
      </c>
      <c r="AH2102" t="n">
        <v>606694</v>
      </c>
      <c r="AI2102" t="n">
        <v>0</v>
      </c>
    </row>
    <row r="2103">
      <c r="A2103" t="inlineStr">
        <is>
          <t>3월</t>
        </is>
      </c>
      <c r="B2103" t="inlineStr">
        <is>
          <t>10주차</t>
        </is>
      </c>
      <c r="C2103" t="inlineStr">
        <is>
          <t>IM</t>
        </is>
      </c>
      <c r="D2103" s="28" t="n">
        <v>46087</v>
      </c>
      <c r="E2103" t="inlineStr">
        <is>
          <t>IM캐피탈</t>
        </is>
      </c>
      <c r="F2103" t="inlineStr">
        <is>
          <t>최송주</t>
        </is>
      </c>
      <c r="G2103" t="inlineStr">
        <is>
          <t>010-2549-7486</t>
        </is>
      </c>
      <c r="H2103" t="inlineStr">
        <is>
          <t>106우6119</t>
        </is>
      </c>
      <c r="I2103" t="n">
        <v>43500000</v>
      </c>
      <c r="J2103" t="n">
        <v>0.082</v>
      </c>
      <c r="K2103" t="n">
        <v>1.1</v>
      </c>
      <c r="L2103" t="n">
        <v>0.4</v>
      </c>
      <c r="M2103" t="n">
        <v>0.7</v>
      </c>
      <c r="P2103" t="inlineStr">
        <is>
          <t>최혁</t>
        </is>
      </c>
      <c r="AB2103" t="inlineStr">
        <is>
          <t>엔카</t>
        </is>
      </c>
      <c r="AC2103" t="n">
        <v>478500</v>
      </c>
      <c r="AD2103" t="n">
        <v>174000</v>
      </c>
      <c r="AE2103" t="n">
        <v>304500</v>
      </c>
      <c r="AF2103" t="n">
        <v>435000</v>
      </c>
      <c r="AG2103" t="n">
        <v>168258</v>
      </c>
      <c r="AH2103" t="n">
        <v>266742</v>
      </c>
      <c r="AI2103" t="n">
        <v>0</v>
      </c>
    </row>
    <row r="2104">
      <c r="A2104" t="inlineStr">
        <is>
          <t>3월</t>
        </is>
      </c>
      <c r="B2104" t="inlineStr">
        <is>
          <t>10주차</t>
        </is>
      </c>
      <c r="C2104" t="inlineStr">
        <is>
          <t>OR</t>
        </is>
      </c>
      <c r="D2104" s="28" t="n">
        <v>46086</v>
      </c>
      <c r="E2104" t="inlineStr">
        <is>
          <t>오릭스</t>
        </is>
      </c>
      <c r="F2104" t="inlineStr">
        <is>
          <t>고경강</t>
        </is>
      </c>
      <c r="G2104" t="inlineStr">
        <is>
          <t>010-8181-2926</t>
        </is>
      </c>
      <c r="H2104" t="inlineStr">
        <is>
          <t>169노4567</t>
        </is>
      </c>
      <c r="I2104" t="n">
        <v>9800000</v>
      </c>
      <c r="J2104" t="n">
        <v>0.08</v>
      </c>
      <c r="K2104" t="n">
        <v>1.65</v>
      </c>
      <c r="L2104" t="n">
        <v>0.14</v>
      </c>
      <c r="M2104" t="n">
        <v>1.51</v>
      </c>
      <c r="P2104" t="inlineStr">
        <is>
          <t>장진경</t>
        </is>
      </c>
      <c r="Q2104" t="inlineStr">
        <is>
          <t>선상담 / 홈서비스 60개월</t>
        </is>
      </c>
      <c r="AB2104" t="inlineStr">
        <is>
          <t>홈서비스</t>
        </is>
      </c>
      <c r="AC2104" t="n">
        <v>161700</v>
      </c>
      <c r="AD2104" t="n">
        <v>13720</v>
      </c>
      <c r="AE2104" t="n">
        <v>147980</v>
      </c>
      <c r="AF2104" t="n">
        <v>147000</v>
      </c>
      <c r="AG2104" t="n">
        <v>13267.24</v>
      </c>
      <c r="AH2104" t="n">
        <v>133732.76</v>
      </c>
      <c r="AI2104" t="n">
        <v>0</v>
      </c>
    </row>
    <row r="2105">
      <c r="A2105" t="inlineStr">
        <is>
          <t>3월</t>
        </is>
      </c>
      <c r="B2105" t="inlineStr">
        <is>
          <t>11주차</t>
        </is>
      </c>
      <c r="C2105" t="inlineStr">
        <is>
          <t>IM</t>
        </is>
      </c>
      <c r="D2105" s="28" t="n">
        <v>46092</v>
      </c>
      <c r="E2105" t="inlineStr">
        <is>
          <t>IM캐피탈</t>
        </is>
      </c>
      <c r="F2105" t="inlineStr">
        <is>
          <t>황현진</t>
        </is>
      </c>
      <c r="G2105" t="inlineStr">
        <is>
          <t>010-9722-5537</t>
        </is>
      </c>
      <c r="H2105" t="inlineStr">
        <is>
          <t>40로8205</t>
        </is>
      </c>
      <c r="I2105" t="n">
        <v>6500000</v>
      </c>
      <c r="J2105" t="n">
        <v>0.056</v>
      </c>
      <c r="K2105" t="n">
        <v>1.1</v>
      </c>
      <c r="L2105" t="n">
        <v>0.14</v>
      </c>
      <c r="M2105" t="n">
        <v>0.96</v>
      </c>
      <c r="P2105" t="inlineStr">
        <is>
          <t>김수연</t>
        </is>
      </c>
      <c r="Q2105" t="inlineStr">
        <is>
          <t>홈서비스 36개월</t>
        </is>
      </c>
      <c r="AB2105" t="inlineStr">
        <is>
          <t>홈서비스</t>
        </is>
      </c>
      <c r="AC2105" t="n">
        <v>71500</v>
      </c>
      <c r="AD2105" t="n">
        <v>9100</v>
      </c>
      <c r="AE2105" t="n">
        <v>62400</v>
      </c>
      <c r="AF2105" t="n">
        <v>65000</v>
      </c>
      <c r="AG2105" t="n">
        <v>8799.700000000001</v>
      </c>
      <c r="AH2105" t="n">
        <v>56200.3</v>
      </c>
      <c r="AI2105" t="n">
        <v>0</v>
      </c>
    </row>
    <row r="2106">
      <c r="A2106" t="inlineStr">
        <is>
          <t>3월</t>
        </is>
      </c>
      <c r="B2106" t="inlineStr">
        <is>
          <t>10주차</t>
        </is>
      </c>
      <c r="C2106" t="inlineStr">
        <is>
          <t>EP</t>
        </is>
      </c>
      <c r="D2106" s="28" t="n">
        <v>46085</v>
      </c>
      <c r="E2106" t="inlineStr">
        <is>
          <t>제이비EP</t>
        </is>
      </c>
      <c r="F2106" t="inlineStr">
        <is>
          <t>이승철</t>
        </is>
      </c>
      <c r="G2106" t="inlineStr">
        <is>
          <t>010-6470-2360</t>
        </is>
      </c>
      <c r="H2106" t="inlineStr">
        <is>
          <t>107너7668</t>
        </is>
      </c>
      <c r="I2106" t="n">
        <v>20000000</v>
      </c>
      <c r="J2106" t="n">
        <v>0.092</v>
      </c>
      <c r="K2106" t="n">
        <v>1.65</v>
      </c>
      <c r="L2106" t="n">
        <v>0.4</v>
      </c>
      <c r="M2106" t="n">
        <v>1.25</v>
      </c>
      <c r="P2106" t="inlineStr">
        <is>
          <t>장현경</t>
        </is>
      </c>
      <c r="AB2106" t="inlineStr">
        <is>
          <t>엔카</t>
        </is>
      </c>
      <c r="AC2106" t="n">
        <v>330000</v>
      </c>
      <c r="AD2106" t="n">
        <v>80000</v>
      </c>
      <c r="AE2106" t="n">
        <v>250000</v>
      </c>
      <c r="AF2106" t="n">
        <v>300000</v>
      </c>
      <c r="AG2106" t="n">
        <v>77360</v>
      </c>
      <c r="AH2106" t="n">
        <v>222640</v>
      </c>
      <c r="AI2106" t="n">
        <v>0</v>
      </c>
    </row>
    <row r="2107">
      <c r="A2107" t="inlineStr">
        <is>
          <t>3월</t>
        </is>
      </c>
      <c r="B2107" t="inlineStr">
        <is>
          <t>11주차</t>
        </is>
      </c>
      <c r="C2107" t="inlineStr">
        <is>
          <t>EP</t>
        </is>
      </c>
      <c r="D2107" s="28" t="n">
        <v>46093</v>
      </c>
      <c r="E2107" t="inlineStr">
        <is>
          <t>현대EP_fast</t>
        </is>
      </c>
      <c r="F2107" t="inlineStr">
        <is>
          <t>고영익</t>
        </is>
      </c>
      <c r="G2107" t="inlineStr">
        <is>
          <t>010-3280-6722</t>
        </is>
      </c>
      <c r="H2107" t="inlineStr">
        <is>
          <t>265마6534</t>
        </is>
      </c>
      <c r="I2107" t="n">
        <v>17700000</v>
      </c>
      <c r="J2107" t="n">
        <v>0.07099999999999999</v>
      </c>
      <c r="K2107" t="n">
        <v>1.76</v>
      </c>
      <c r="L2107" t="n">
        <v>0.14</v>
      </c>
      <c r="M2107" t="n">
        <v>1.62</v>
      </c>
      <c r="P2107" t="inlineStr">
        <is>
          <t>정세빈</t>
        </is>
      </c>
      <c r="Q2107" t="inlineStr">
        <is>
          <t>홈서비스 48개월</t>
        </is>
      </c>
      <c r="AB2107" t="inlineStr">
        <is>
          <t>홈서비스</t>
        </is>
      </c>
      <c r="AC2107" t="n">
        <v>311520</v>
      </c>
      <c r="AD2107" t="n">
        <v>24780</v>
      </c>
      <c r="AE2107" t="n">
        <v>286740</v>
      </c>
      <c r="AF2107" t="n">
        <v>283200</v>
      </c>
      <c r="AG2107" t="n">
        <v>23962.26</v>
      </c>
      <c r="AH2107" t="n">
        <v>259237.74</v>
      </c>
    </row>
    <row r="2108">
      <c r="A2108" t="inlineStr">
        <is>
          <t>3월</t>
        </is>
      </c>
      <c r="B2108" t="inlineStr">
        <is>
          <t>10주차</t>
        </is>
      </c>
      <c r="C2108" t="inlineStr">
        <is>
          <t>EP</t>
        </is>
      </c>
      <c r="D2108" s="28" t="n">
        <v>46085</v>
      </c>
      <c r="E2108" t="inlineStr">
        <is>
          <t>제이비EP</t>
        </is>
      </c>
      <c r="F2108" t="inlineStr">
        <is>
          <t>연규영</t>
        </is>
      </c>
      <c r="G2108" t="inlineStr">
        <is>
          <t>010-9946-0969</t>
        </is>
      </c>
      <c r="H2108" t="inlineStr">
        <is>
          <t>394라5342</t>
        </is>
      </c>
      <c r="I2108" t="n">
        <v>11700000</v>
      </c>
      <c r="J2108" t="n">
        <v>0.092</v>
      </c>
      <c r="K2108" t="n">
        <v>1.65</v>
      </c>
      <c r="L2108" t="n">
        <v>0.14</v>
      </c>
      <c r="M2108" t="n">
        <v>1.51</v>
      </c>
      <c r="P2108" t="inlineStr">
        <is>
          <t>박현민</t>
        </is>
      </c>
      <c r="Q2108" t="inlineStr">
        <is>
          <t>홈서비스 60개월</t>
        </is>
      </c>
      <c r="AB2108" t="inlineStr">
        <is>
          <t>홈서비스</t>
        </is>
      </c>
      <c r="AC2108" t="n">
        <v>193050</v>
      </c>
      <c r="AD2108" t="n">
        <v>16380</v>
      </c>
      <c r="AE2108" t="n">
        <v>176670</v>
      </c>
      <c r="AF2108" t="n">
        <v>175500</v>
      </c>
      <c r="AG2108" t="n">
        <v>15839.46</v>
      </c>
      <c r="AH2108" t="n">
        <v>159660.54</v>
      </c>
      <c r="AI2108" t="n">
        <v>0</v>
      </c>
    </row>
    <row r="2109">
      <c r="A2109" t="inlineStr">
        <is>
          <t>3월</t>
        </is>
      </c>
      <c r="B2109" t="inlineStr">
        <is>
          <t>10주차</t>
        </is>
      </c>
      <c r="C2109" t="inlineStr">
        <is>
          <t>EP</t>
        </is>
      </c>
      <c r="D2109" s="28" t="n">
        <v>46087</v>
      </c>
      <c r="E2109" t="inlineStr">
        <is>
          <t>현대EP_fast</t>
        </is>
      </c>
      <c r="F2109" t="inlineStr">
        <is>
          <t>서예령</t>
        </is>
      </c>
      <c r="G2109" t="inlineStr">
        <is>
          <t>010-8646-9872</t>
        </is>
      </c>
      <c r="H2109" t="inlineStr">
        <is>
          <t>193호9409</t>
        </is>
      </c>
      <c r="I2109" t="n">
        <v>18400000</v>
      </c>
      <c r="J2109" t="n">
        <v>0.08799999999999999</v>
      </c>
      <c r="K2109" t="n">
        <v>1.76</v>
      </c>
      <c r="L2109" t="n">
        <v>0.14</v>
      </c>
      <c r="M2109" t="n">
        <v>1.62</v>
      </c>
      <c r="P2109" t="inlineStr">
        <is>
          <t>최형주</t>
        </is>
      </c>
      <c r="Q2109" t="inlineStr">
        <is>
          <t>홈서비스 60개월</t>
        </is>
      </c>
      <c r="AB2109" t="inlineStr">
        <is>
          <t>홈서비스</t>
        </is>
      </c>
      <c r="AC2109" t="n">
        <v>323840</v>
      </c>
      <c r="AD2109" t="n">
        <v>25760</v>
      </c>
      <c r="AE2109" t="n">
        <v>298080</v>
      </c>
      <c r="AF2109" t="n">
        <v>294400</v>
      </c>
      <c r="AG2109" t="n">
        <v>24909.92</v>
      </c>
      <c r="AH2109" t="n">
        <v>269490.08</v>
      </c>
      <c r="AI2109" t="n">
        <v>0</v>
      </c>
    </row>
    <row r="2110">
      <c r="A2110" t="inlineStr">
        <is>
          <t>3월</t>
        </is>
      </c>
      <c r="B2110" t="inlineStr">
        <is>
          <t>11주차</t>
        </is>
      </c>
      <c r="C2110" t="inlineStr">
        <is>
          <t>EP</t>
        </is>
      </c>
      <c r="D2110" s="28" t="n">
        <v>46093</v>
      </c>
      <c r="E2110" t="inlineStr">
        <is>
          <t>현대EP_fast</t>
        </is>
      </c>
      <c r="F2110" t="inlineStr">
        <is>
          <t>박정호</t>
        </is>
      </c>
      <c r="G2110" t="inlineStr">
        <is>
          <t>010-9175-5553</t>
        </is>
      </c>
      <c r="H2110" t="inlineStr">
        <is>
          <t>311어9009</t>
        </is>
      </c>
      <c r="I2110" t="n">
        <v>26500000</v>
      </c>
      <c r="J2110" t="n">
        <v>0.077</v>
      </c>
      <c r="K2110" t="n">
        <v>1.76</v>
      </c>
      <c r="L2110" t="n">
        <v>0.14</v>
      </c>
      <c r="M2110" t="n">
        <v>1.62</v>
      </c>
      <c r="P2110" t="inlineStr">
        <is>
          <t>최형주</t>
        </is>
      </c>
      <c r="Q2110" t="inlineStr">
        <is>
          <t>홈서비스 60개월</t>
        </is>
      </c>
      <c r="AB2110" t="inlineStr">
        <is>
          <t>홈서비스</t>
        </is>
      </c>
      <c r="AC2110" t="n">
        <v>466400</v>
      </c>
      <c r="AD2110" t="n">
        <v>37100</v>
      </c>
      <c r="AE2110" t="n">
        <v>429300</v>
      </c>
      <c r="AF2110" t="n">
        <v>424000</v>
      </c>
      <c r="AG2110" t="n">
        <v>35875.7</v>
      </c>
      <c r="AH2110" t="n">
        <v>388124.3</v>
      </c>
      <c r="AI2110" t="n">
        <v>0</v>
      </c>
    </row>
    <row r="2111">
      <c r="A2111" t="inlineStr">
        <is>
          <t>3월</t>
        </is>
      </c>
      <c r="B2111" t="inlineStr">
        <is>
          <t>11주차</t>
        </is>
      </c>
      <c r="C2111" t="inlineStr">
        <is>
          <t>IM</t>
        </is>
      </c>
      <c r="D2111" s="28" t="n">
        <v>46091</v>
      </c>
      <c r="E2111" t="inlineStr">
        <is>
          <t>IM캐피탈</t>
        </is>
      </c>
      <c r="F2111" t="inlineStr">
        <is>
          <t>조민성</t>
        </is>
      </c>
      <c r="G2111" t="inlineStr">
        <is>
          <t>010-6793-1355</t>
        </is>
      </c>
      <c r="H2111" t="inlineStr">
        <is>
          <t>17구4431</t>
        </is>
      </c>
      <c r="I2111" t="n">
        <v>-28300000</v>
      </c>
      <c r="J2111" t="n">
        <v>0.059</v>
      </c>
      <c r="K2111" t="n">
        <v>1.1</v>
      </c>
      <c r="L2111" t="n">
        <v>0.14</v>
      </c>
      <c r="M2111" t="n">
        <v>0.96</v>
      </c>
      <c r="P2111" t="inlineStr">
        <is>
          <t>정하은</t>
        </is>
      </c>
      <c r="Q2111" t="inlineStr">
        <is>
          <t>선상담 / 홈서비스 60개월</t>
        </is>
      </c>
      <c r="AB2111" t="inlineStr">
        <is>
          <t>홈서비스</t>
        </is>
      </c>
      <c r="AC2111" t="n">
        <v>-311300</v>
      </c>
      <c r="AD2111" t="n">
        <v>-39620</v>
      </c>
      <c r="AE2111" t="n">
        <v>-271680</v>
      </c>
      <c r="AF2111" t="n">
        <v>-283000</v>
      </c>
      <c r="AG2111" t="n">
        <v>-38312.54</v>
      </c>
      <c r="AH2111" t="n">
        <v>-244687.46</v>
      </c>
      <c r="AI2111" t="n">
        <v>0</v>
      </c>
      <c r="AJ2111" t="inlineStr">
        <is>
          <t>개인</t>
        </is>
      </c>
    </row>
    <row r="2112">
      <c r="A2112" t="inlineStr">
        <is>
          <t>3월</t>
        </is>
      </c>
      <c r="B2112" t="inlineStr">
        <is>
          <t>11주차</t>
        </is>
      </c>
      <c r="C2112" t="inlineStr">
        <is>
          <t>EP</t>
        </is>
      </c>
      <c r="D2112" s="28" t="n">
        <v>46093</v>
      </c>
      <c r="E2112" t="inlineStr">
        <is>
          <t>현대EP_fast</t>
        </is>
      </c>
      <c r="F2112" t="inlineStr">
        <is>
          <t>노영목</t>
        </is>
      </c>
      <c r="G2112" t="inlineStr">
        <is>
          <t>010-7564-8961</t>
        </is>
      </c>
      <c r="H2112" t="inlineStr">
        <is>
          <t>64너1292</t>
        </is>
      </c>
      <c r="I2112" t="n">
        <v>36300000</v>
      </c>
      <c r="J2112" t="n">
        <v>0.105</v>
      </c>
      <c r="K2112" t="n">
        <v>1.76</v>
      </c>
      <c r="L2112" t="n">
        <v>0.14</v>
      </c>
      <c r="M2112" t="n">
        <v>1.62</v>
      </c>
      <c r="P2112" t="inlineStr">
        <is>
          <t>정세빈</t>
        </is>
      </c>
      <c r="Q2112" t="inlineStr">
        <is>
          <t>홈서비스 60개월</t>
        </is>
      </c>
      <c r="AB2112" t="inlineStr">
        <is>
          <t>홈서비스</t>
        </is>
      </c>
      <c r="AC2112" t="n">
        <v>638880</v>
      </c>
      <c r="AD2112" t="n">
        <v>50820</v>
      </c>
      <c r="AE2112" t="n">
        <v>588060</v>
      </c>
      <c r="AF2112" t="n">
        <v>580800</v>
      </c>
      <c r="AG2112" t="n">
        <v>49142.94</v>
      </c>
      <c r="AH2112" t="n">
        <v>531657.0600000001</v>
      </c>
      <c r="AI2112" t="n">
        <v>0</v>
      </c>
    </row>
    <row r="2113">
      <c r="A2113" t="inlineStr">
        <is>
          <t>3월</t>
        </is>
      </c>
      <c r="B2113" t="inlineStr">
        <is>
          <t>11주차</t>
        </is>
      </c>
      <c r="C2113" t="inlineStr">
        <is>
          <t>EP</t>
        </is>
      </c>
      <c r="D2113" s="28" t="n">
        <v>46091</v>
      </c>
      <c r="E2113" t="inlineStr">
        <is>
          <t>현대EP_fast</t>
        </is>
      </c>
      <c r="F2113" t="inlineStr">
        <is>
          <t>김성현</t>
        </is>
      </c>
      <c r="G2113" t="inlineStr">
        <is>
          <t>010-9492-1374</t>
        </is>
      </c>
      <c r="H2113" t="inlineStr">
        <is>
          <t>07무1175</t>
        </is>
      </c>
      <c r="I2113" t="n">
        <v>5000000</v>
      </c>
      <c r="J2113" t="n">
        <v>0.105</v>
      </c>
      <c r="K2113" t="n">
        <v>1.76</v>
      </c>
      <c r="L2113" t="n">
        <v>0.4</v>
      </c>
      <c r="M2113" t="n">
        <v>1.36</v>
      </c>
      <c r="P2113" t="inlineStr">
        <is>
          <t>박현민</t>
        </is>
      </c>
      <c r="Q2113" t="inlineStr">
        <is>
          <t>고객주도체결</t>
        </is>
      </c>
      <c r="AB2113" t="inlineStr">
        <is>
          <t>엔카</t>
        </is>
      </c>
      <c r="AC2113" t="n">
        <v>88000</v>
      </c>
      <c r="AD2113" t="n">
        <v>20000</v>
      </c>
      <c r="AE2113" t="n">
        <v>68000</v>
      </c>
      <c r="AF2113" t="n">
        <v>80000</v>
      </c>
      <c r="AG2113" t="n">
        <v>19340</v>
      </c>
      <c r="AH2113" t="n">
        <v>60660</v>
      </c>
      <c r="AI2113" t="n">
        <v>0</v>
      </c>
    </row>
    <row r="2114">
      <c r="A2114" t="inlineStr">
        <is>
          <t>3월</t>
        </is>
      </c>
      <c r="B2114" t="inlineStr">
        <is>
          <t>11주차</t>
        </is>
      </c>
      <c r="C2114" t="inlineStr">
        <is>
          <t>WC</t>
        </is>
      </c>
      <c r="D2114" s="28" t="n">
        <v>46093</v>
      </c>
      <c r="E2114" t="inlineStr">
        <is>
          <t>웰컴저축은행</t>
        </is>
      </c>
      <c r="F2114" t="inlineStr">
        <is>
          <t>이혜진</t>
        </is>
      </c>
      <c r="G2114" t="inlineStr">
        <is>
          <t>010-5717-9840</t>
        </is>
      </c>
      <c r="H2114" t="inlineStr">
        <is>
          <t>290너7655</t>
        </is>
      </c>
      <c r="I2114" t="n">
        <v>25500000</v>
      </c>
      <c r="J2114" t="n">
        <v>0.139</v>
      </c>
      <c r="K2114" t="n">
        <v>0</v>
      </c>
      <c r="L2114" t="n">
        <v>0.14</v>
      </c>
      <c r="M2114" t="n">
        <v>-0.14</v>
      </c>
      <c r="P2114" t="inlineStr">
        <is>
          <t>황채이</t>
        </is>
      </c>
      <c r="Q2114" t="inlineStr">
        <is>
          <t>홈서비스 72개월</t>
        </is>
      </c>
      <c r="AB2114" t="inlineStr">
        <is>
          <t>홈서비스</t>
        </is>
      </c>
      <c r="AC2114" t="n">
        <v>0</v>
      </c>
      <c r="AD2114" t="n">
        <v>35700</v>
      </c>
      <c r="AE2114" t="n">
        <v>-35700</v>
      </c>
      <c r="AF2114" t="n">
        <v>0</v>
      </c>
      <c r="AG2114" t="n">
        <v>34521.9</v>
      </c>
      <c r="AH2114" t="n">
        <v>-34521.9</v>
      </c>
      <c r="AI2114" t="n">
        <v>0</v>
      </c>
    </row>
    <row r="2115">
      <c r="A2115" t="inlineStr">
        <is>
          <t>3월</t>
        </is>
      </c>
      <c r="B2115" t="inlineStr">
        <is>
          <t>11주차</t>
        </is>
      </c>
      <c r="C2115" t="inlineStr">
        <is>
          <t>OR</t>
        </is>
      </c>
      <c r="D2115" s="28" t="n">
        <v>46091</v>
      </c>
      <c r="E2115" t="inlineStr">
        <is>
          <t>오릭스</t>
        </is>
      </c>
      <c r="F2115" t="inlineStr">
        <is>
          <t>이형우</t>
        </is>
      </c>
      <c r="G2115" t="inlineStr">
        <is>
          <t>010-6223-6014</t>
        </is>
      </c>
      <c r="H2115" t="inlineStr">
        <is>
          <t>164조6992</t>
        </is>
      </c>
      <c r="I2115" t="n">
        <v>19900000</v>
      </c>
      <c r="J2115" t="n">
        <v>0.064</v>
      </c>
      <c r="K2115" t="n">
        <v>1.65</v>
      </c>
      <c r="L2115" t="n">
        <v>0.14</v>
      </c>
      <c r="M2115" t="n">
        <v>1.51</v>
      </c>
      <c r="P2115" t="inlineStr">
        <is>
          <t>정세빈</t>
        </is>
      </c>
      <c r="Q2115" t="inlineStr">
        <is>
          <t>홈서비스 48개월</t>
        </is>
      </c>
      <c r="AB2115" t="inlineStr">
        <is>
          <t>홈서비스</t>
        </is>
      </c>
      <c r="AC2115" t="n">
        <v>328350</v>
      </c>
      <c r="AD2115" t="n">
        <v>27860</v>
      </c>
      <c r="AE2115" t="n">
        <v>300490</v>
      </c>
      <c r="AF2115" t="n">
        <v>298500</v>
      </c>
      <c r="AG2115" t="n">
        <v>26940.62</v>
      </c>
      <c r="AH2115" t="n">
        <v>271559.38</v>
      </c>
      <c r="AI2115" t="n">
        <v>0</v>
      </c>
    </row>
    <row r="2116">
      <c r="A2116" t="inlineStr">
        <is>
          <t>3월</t>
        </is>
      </c>
      <c r="B2116" t="inlineStr">
        <is>
          <t>11주차</t>
        </is>
      </c>
      <c r="C2116" t="inlineStr">
        <is>
          <t>EP</t>
        </is>
      </c>
      <c r="D2116" s="28" t="n">
        <v>46093</v>
      </c>
      <c r="E2116" t="inlineStr">
        <is>
          <t>현대EP_fast</t>
        </is>
      </c>
      <c r="F2116" t="inlineStr">
        <is>
          <t>임재섭</t>
        </is>
      </c>
      <c r="G2116" t="inlineStr">
        <is>
          <t>010-5170-6521</t>
        </is>
      </c>
      <c r="H2116" t="inlineStr">
        <is>
          <t>16더8121</t>
        </is>
      </c>
      <c r="I2116" t="n">
        <v>3700000</v>
      </c>
      <c r="J2116" t="n">
        <v>0.079</v>
      </c>
      <c r="K2116" t="n">
        <v>1.76</v>
      </c>
      <c r="L2116" t="n">
        <v>0.14</v>
      </c>
      <c r="M2116" t="n">
        <v>1.62</v>
      </c>
      <c r="P2116" t="inlineStr">
        <is>
          <t>박소현</t>
        </is>
      </c>
      <c r="Q2116" t="inlineStr">
        <is>
          <t xml:space="preserve">선상담 /홈서비스 60개월 </t>
        </is>
      </c>
      <c r="AB2116" t="inlineStr">
        <is>
          <t>홈서비스</t>
        </is>
      </c>
      <c r="AC2116" t="n">
        <v>65120</v>
      </c>
      <c r="AD2116" t="n">
        <v>5180</v>
      </c>
      <c r="AE2116" t="n">
        <v>59940</v>
      </c>
      <c r="AF2116" t="n">
        <v>59200</v>
      </c>
      <c r="AG2116" t="n">
        <v>5009.06</v>
      </c>
      <c r="AH2116" t="n">
        <v>54190.94</v>
      </c>
    </row>
    <row r="2117">
      <c r="A2117" t="inlineStr">
        <is>
          <t>3월</t>
        </is>
      </c>
      <c r="B2117" t="inlineStr">
        <is>
          <t>11주차</t>
        </is>
      </c>
      <c r="C2117" t="inlineStr">
        <is>
          <t>IM</t>
        </is>
      </c>
      <c r="D2117" s="28" t="n">
        <v>46093</v>
      </c>
      <c r="E2117" t="inlineStr">
        <is>
          <t>IM캐피탈</t>
        </is>
      </c>
      <c r="F2117" t="inlineStr">
        <is>
          <t>임경묵</t>
        </is>
      </c>
      <c r="G2117" t="inlineStr">
        <is>
          <t>010-8402-9577</t>
        </is>
      </c>
      <c r="H2117" t="inlineStr">
        <is>
          <t>58로2045</t>
        </is>
      </c>
      <c r="I2117" t="n">
        <v>5000000</v>
      </c>
      <c r="J2117" t="n">
        <v>0.059</v>
      </c>
      <c r="K2117" t="n">
        <v>1.1</v>
      </c>
      <c r="L2117" t="n">
        <v>0.4</v>
      </c>
      <c r="M2117" t="n">
        <v>0.7</v>
      </c>
      <c r="P2117" t="inlineStr">
        <is>
          <t>박현민</t>
        </is>
      </c>
      <c r="AB2117" t="inlineStr">
        <is>
          <t>엔카</t>
        </is>
      </c>
      <c r="AC2117" t="n">
        <v>55000</v>
      </c>
      <c r="AD2117" t="n">
        <v>20000</v>
      </c>
      <c r="AE2117" t="n">
        <v>35000</v>
      </c>
      <c r="AF2117" t="n">
        <v>50000</v>
      </c>
      <c r="AG2117" t="n">
        <v>19340</v>
      </c>
      <c r="AH2117" t="n">
        <v>30660</v>
      </c>
      <c r="AI2117" t="n">
        <v>0</v>
      </c>
    </row>
    <row r="2118">
      <c r="A2118" t="inlineStr">
        <is>
          <t>3월</t>
        </is>
      </c>
      <c r="B2118" t="inlineStr">
        <is>
          <t>10주차</t>
        </is>
      </c>
      <c r="C2118" t="inlineStr">
        <is>
          <t>EP</t>
        </is>
      </c>
      <c r="D2118" s="28" t="n">
        <v>46085</v>
      </c>
      <c r="E2118" t="inlineStr">
        <is>
          <t>현대EP</t>
        </is>
      </c>
      <c r="F2118" t="inlineStr">
        <is>
          <t>김태우</t>
        </is>
      </c>
      <c r="G2118" t="inlineStr">
        <is>
          <t>010-5153-6178</t>
        </is>
      </c>
      <c r="H2118" t="inlineStr">
        <is>
          <t>31우2483</t>
        </is>
      </c>
      <c r="I2118" t="n">
        <v>4200000</v>
      </c>
      <c r="J2118" t="n">
        <v>0.07199999999999999</v>
      </c>
      <c r="K2118" t="n">
        <v>1.76</v>
      </c>
      <c r="L2118" t="n">
        <v>0.14</v>
      </c>
      <c r="M2118" t="n">
        <v>1.62</v>
      </c>
      <c r="P2118" t="inlineStr">
        <is>
          <t>정광호</t>
        </is>
      </c>
      <c r="Q2118" t="inlineStr">
        <is>
          <t>홈서비스 60개월</t>
        </is>
      </c>
      <c r="AB2118" t="inlineStr">
        <is>
          <t>홈서비스</t>
        </is>
      </c>
      <c r="AC2118" t="n">
        <v>73920</v>
      </c>
      <c r="AD2118" t="n">
        <v>5880</v>
      </c>
      <c r="AE2118" t="n">
        <v>68040</v>
      </c>
      <c r="AF2118" t="n">
        <v>67200</v>
      </c>
      <c r="AG2118" t="n">
        <v>5685.96</v>
      </c>
      <c r="AH2118" t="n">
        <v>61514.04</v>
      </c>
      <c r="AI2118" t="n">
        <v>0</v>
      </c>
    </row>
    <row r="2119">
      <c r="A2119" t="inlineStr">
        <is>
          <t>3월</t>
        </is>
      </c>
      <c r="B2119" t="inlineStr">
        <is>
          <t>11주차</t>
        </is>
      </c>
      <c r="C2119" t="inlineStr">
        <is>
          <t>EP</t>
        </is>
      </c>
      <c r="D2119" s="28" t="n">
        <v>46091</v>
      </c>
      <c r="E2119" t="inlineStr">
        <is>
          <t>현대EP</t>
        </is>
      </c>
      <c r="F2119" t="inlineStr">
        <is>
          <t>이상주</t>
        </is>
      </c>
      <c r="G2119" t="inlineStr">
        <is>
          <t>010-4878-0239</t>
        </is>
      </c>
      <c r="H2119" t="inlineStr">
        <is>
          <t>285어3304</t>
        </is>
      </c>
      <c r="I2119" t="n">
        <v>13000000</v>
      </c>
      <c r="J2119" t="n">
        <v>0.092</v>
      </c>
      <c r="K2119" t="n">
        <v>1.76</v>
      </c>
      <c r="L2119" t="n">
        <v>0.14</v>
      </c>
      <c r="M2119" t="n">
        <v>1.62</v>
      </c>
      <c r="P2119" t="inlineStr">
        <is>
          <t>김수연</t>
        </is>
      </c>
      <c r="Q2119" t="inlineStr">
        <is>
          <t>홈서비스 48개월</t>
        </is>
      </c>
      <c r="AB2119" t="inlineStr">
        <is>
          <t>홈서비스</t>
        </is>
      </c>
      <c r="AC2119" t="n">
        <v>228800</v>
      </c>
      <c r="AD2119" t="n">
        <v>18200</v>
      </c>
      <c r="AE2119" t="n">
        <v>210600</v>
      </c>
      <c r="AF2119" t="n">
        <v>208000</v>
      </c>
      <c r="AG2119" t="n">
        <v>17599.4</v>
      </c>
      <c r="AH2119" t="n">
        <v>190400.6</v>
      </c>
      <c r="AI2119" t="n">
        <v>0</v>
      </c>
    </row>
    <row r="2120">
      <c r="A2120" t="inlineStr">
        <is>
          <t>3월</t>
        </is>
      </c>
      <c r="B2120" t="inlineStr">
        <is>
          <t>10주차</t>
        </is>
      </c>
      <c r="C2120" t="inlineStr">
        <is>
          <t>EP</t>
        </is>
      </c>
      <c r="D2120" s="28" t="n">
        <v>46084</v>
      </c>
      <c r="E2120" t="inlineStr">
        <is>
          <t>현대EP</t>
        </is>
      </c>
      <c r="F2120" t="inlineStr">
        <is>
          <t>김흥백</t>
        </is>
      </c>
      <c r="G2120" t="inlineStr">
        <is>
          <t>010-4854-3089</t>
        </is>
      </c>
      <c r="H2120" t="inlineStr">
        <is>
          <t>30로0377</t>
        </is>
      </c>
      <c r="I2120" t="n">
        <v>8800000</v>
      </c>
      <c r="J2120" t="n">
        <v>0.059</v>
      </c>
      <c r="K2120" t="n">
        <v>1.76</v>
      </c>
      <c r="L2120" t="n">
        <v>0.14</v>
      </c>
      <c r="M2120" t="n">
        <v>1.62</v>
      </c>
      <c r="P2120" t="inlineStr">
        <is>
          <t>정광호</t>
        </is>
      </c>
      <c r="Q2120" t="inlineStr">
        <is>
          <t>홈서비스 60개월</t>
        </is>
      </c>
      <c r="AB2120" t="inlineStr">
        <is>
          <t>홈서비스</t>
        </is>
      </c>
      <c r="AC2120" t="n">
        <v>154880</v>
      </c>
      <c r="AD2120" t="n">
        <v>12320</v>
      </c>
      <c r="AE2120" t="n">
        <v>142560</v>
      </c>
      <c r="AF2120" t="n">
        <v>140800</v>
      </c>
      <c r="AG2120" t="n">
        <v>11913.44</v>
      </c>
      <c r="AH2120" t="n">
        <v>128886.56</v>
      </c>
      <c r="AI2120" t="n">
        <v>0</v>
      </c>
    </row>
    <row r="2121">
      <c r="A2121" t="inlineStr">
        <is>
          <t>3월</t>
        </is>
      </c>
      <c r="B2121" t="inlineStr">
        <is>
          <t>11주차</t>
        </is>
      </c>
      <c r="C2121" t="inlineStr">
        <is>
          <t>EP</t>
        </is>
      </c>
      <c r="D2121" s="28" t="n">
        <v>46093</v>
      </c>
      <c r="E2121" t="inlineStr">
        <is>
          <t>현대EP_fast</t>
        </is>
      </c>
      <c r="F2121" t="inlineStr">
        <is>
          <t>김경진</t>
        </is>
      </c>
      <c r="G2121" t="inlineStr">
        <is>
          <t>010-8341-8104</t>
        </is>
      </c>
      <c r="H2121" t="inlineStr">
        <is>
          <t>58모7279</t>
        </is>
      </c>
      <c r="I2121" t="n">
        <v>3900000</v>
      </c>
      <c r="J2121" t="n">
        <v>0.09</v>
      </c>
      <c r="K2121" t="n">
        <v>1.76</v>
      </c>
      <c r="L2121" t="n">
        <v>0.14</v>
      </c>
      <c r="M2121" t="n">
        <v>1.62</v>
      </c>
      <c r="P2121" t="inlineStr">
        <is>
          <t>김나윤</t>
        </is>
      </c>
      <c r="Q2121" t="inlineStr">
        <is>
          <t>홈서비스 36개월</t>
        </is>
      </c>
      <c r="AB2121" t="inlineStr">
        <is>
          <t>홈서비스</t>
        </is>
      </c>
      <c r="AC2121" t="n">
        <v>68640</v>
      </c>
      <c r="AD2121" t="n">
        <v>5460</v>
      </c>
      <c r="AE2121" t="n">
        <v>63180</v>
      </c>
      <c r="AF2121" t="n">
        <v>62400</v>
      </c>
      <c r="AG2121" t="n">
        <v>5279.82</v>
      </c>
      <c r="AH2121" t="n">
        <v>57120.18</v>
      </c>
      <c r="AI2121" t="n">
        <v>0</v>
      </c>
    </row>
    <row r="2122">
      <c r="A2122" t="inlineStr">
        <is>
          <t>3월</t>
        </is>
      </c>
      <c r="B2122" t="inlineStr">
        <is>
          <t>11주차</t>
        </is>
      </c>
      <c r="C2122" t="inlineStr">
        <is>
          <t>IM</t>
        </is>
      </c>
      <c r="D2122" s="28" t="n">
        <v>46093</v>
      </c>
      <c r="E2122" t="inlineStr">
        <is>
          <t>IM캐피탈</t>
        </is>
      </c>
      <c r="F2122" t="inlineStr">
        <is>
          <t>김치훈</t>
        </is>
      </c>
      <c r="G2122" t="inlineStr">
        <is>
          <t>010-9145-0928</t>
        </is>
      </c>
      <c r="H2122" t="inlineStr">
        <is>
          <t>207나6284</t>
        </is>
      </c>
      <c r="I2122" t="n">
        <v>60000000</v>
      </c>
      <c r="J2122" t="n">
        <v>0.039</v>
      </c>
      <c r="K2122" t="n">
        <v>1.1</v>
      </c>
      <c r="L2122" t="n">
        <v>0.14</v>
      </c>
      <c r="M2122" t="n">
        <v>0.96</v>
      </c>
      <c r="P2122" t="inlineStr">
        <is>
          <t>김나윤</t>
        </is>
      </c>
      <c r="Q2122" t="inlineStr">
        <is>
          <t>홈서비스 60개월</t>
        </is>
      </c>
      <c r="AB2122" t="inlineStr">
        <is>
          <t>홈서비스</t>
        </is>
      </c>
      <c r="AC2122" t="n">
        <v>660000</v>
      </c>
      <c r="AD2122" t="n">
        <v>84000</v>
      </c>
      <c r="AE2122" t="n">
        <v>576000</v>
      </c>
      <c r="AF2122" t="n">
        <v>600000</v>
      </c>
      <c r="AG2122" t="n">
        <v>81228</v>
      </c>
      <c r="AH2122" t="n">
        <v>518772</v>
      </c>
      <c r="AI2122" t="n">
        <v>0</v>
      </c>
    </row>
    <row r="2123">
      <c r="A2123" t="inlineStr">
        <is>
          <t>3월</t>
        </is>
      </c>
      <c r="B2123" t="inlineStr">
        <is>
          <t>11주차</t>
        </is>
      </c>
      <c r="C2123" t="inlineStr">
        <is>
          <t>IM</t>
        </is>
      </c>
      <c r="D2123" s="28" t="n">
        <v>46093</v>
      </c>
      <c r="E2123" t="inlineStr">
        <is>
          <t>IM캐피탈</t>
        </is>
      </c>
      <c r="F2123" t="inlineStr">
        <is>
          <t>함성훈</t>
        </is>
      </c>
      <c r="G2123" t="inlineStr">
        <is>
          <t>010-3835-4535</t>
        </is>
      </c>
      <c r="H2123" t="inlineStr">
        <is>
          <t>245서5053</t>
        </is>
      </c>
      <c r="I2123" t="n">
        <v>10400000</v>
      </c>
      <c r="J2123" t="n">
        <v>0.056</v>
      </c>
      <c r="K2123" t="n">
        <v>1.1</v>
      </c>
      <c r="L2123" t="n">
        <v>0.14</v>
      </c>
      <c r="M2123" t="n">
        <v>0.96</v>
      </c>
      <c r="P2123" t="inlineStr">
        <is>
          <t>정세빈</t>
        </is>
      </c>
      <c r="Q2123" t="inlineStr">
        <is>
          <t>홈서비스 24개월</t>
        </is>
      </c>
      <c r="AB2123" t="inlineStr">
        <is>
          <t>홈서비스</t>
        </is>
      </c>
      <c r="AC2123" t="n">
        <v>114400</v>
      </c>
      <c r="AD2123" t="n">
        <v>14560</v>
      </c>
      <c r="AE2123" t="n">
        <v>99840</v>
      </c>
      <c r="AF2123" t="n">
        <v>104000</v>
      </c>
      <c r="AG2123" t="n">
        <v>14079.52</v>
      </c>
      <c r="AH2123" t="n">
        <v>89920.48</v>
      </c>
      <c r="AI2123" t="n">
        <v>0</v>
      </c>
    </row>
    <row r="2124">
      <c r="A2124" t="inlineStr">
        <is>
          <t>3월</t>
        </is>
      </c>
      <c r="B2124" t="inlineStr">
        <is>
          <t>11주차</t>
        </is>
      </c>
      <c r="C2124" t="inlineStr">
        <is>
          <t>EP</t>
        </is>
      </c>
      <c r="D2124" s="28" t="n">
        <v>46090</v>
      </c>
      <c r="E2124" t="inlineStr">
        <is>
          <t>현대EP_fast</t>
        </is>
      </c>
      <c r="F2124" t="inlineStr">
        <is>
          <t>이지완</t>
        </is>
      </c>
      <c r="G2124" t="inlineStr">
        <is>
          <t>010-5804-4412</t>
        </is>
      </c>
      <c r="H2124" t="inlineStr">
        <is>
          <t>232러8432</t>
        </is>
      </c>
      <c r="I2124" t="n">
        <v>7500000</v>
      </c>
      <c r="J2124" t="n">
        <v>0.11</v>
      </c>
      <c r="K2124" t="n">
        <v>1.76</v>
      </c>
      <c r="L2124" t="n">
        <v>0.4</v>
      </c>
      <c r="M2124" t="n">
        <v>1.36</v>
      </c>
      <c r="P2124" t="inlineStr">
        <is>
          <t>임대경</t>
        </is>
      </c>
      <c r="AB2124" t="inlineStr">
        <is>
          <t>엔카</t>
        </is>
      </c>
      <c r="AC2124" t="n">
        <v>132000</v>
      </c>
      <c r="AD2124" t="n">
        <v>30000</v>
      </c>
      <c r="AE2124" t="n">
        <v>102000</v>
      </c>
      <c r="AF2124" t="n">
        <v>120000</v>
      </c>
      <c r="AG2124" t="n">
        <v>29010</v>
      </c>
      <c r="AH2124" t="n">
        <v>90990</v>
      </c>
      <c r="AI2124" t="n">
        <v>0</v>
      </c>
    </row>
    <row r="2125">
      <c r="A2125" t="inlineStr">
        <is>
          <t>3월</t>
        </is>
      </c>
      <c r="B2125" t="inlineStr">
        <is>
          <t>11주차</t>
        </is>
      </c>
      <c r="C2125" t="inlineStr">
        <is>
          <t>EP</t>
        </is>
      </c>
      <c r="D2125" s="28" t="n">
        <v>46091</v>
      </c>
      <c r="E2125" t="inlineStr">
        <is>
          <t>현대EP</t>
        </is>
      </c>
      <c r="F2125" t="inlineStr">
        <is>
          <t>김태준</t>
        </is>
      </c>
      <c r="G2125" t="inlineStr">
        <is>
          <t>010-4669-9119</t>
        </is>
      </c>
      <c r="H2125" t="inlineStr">
        <is>
          <t>49수2727</t>
        </is>
      </c>
      <c r="I2125" t="n">
        <v>5900000</v>
      </c>
      <c r="J2125" t="n">
        <v>0.105</v>
      </c>
      <c r="K2125" t="n">
        <v>1.76</v>
      </c>
      <c r="L2125" t="n">
        <v>0.14</v>
      </c>
      <c r="M2125" t="n">
        <v>1.62</v>
      </c>
      <c r="P2125" t="inlineStr">
        <is>
          <t>김수연</t>
        </is>
      </c>
      <c r="Q2125" t="inlineStr">
        <is>
          <t>홈서비스 24개월</t>
        </is>
      </c>
      <c r="AB2125" t="inlineStr">
        <is>
          <t>홈서비스</t>
        </is>
      </c>
      <c r="AC2125" t="n">
        <v>103840</v>
      </c>
      <c r="AD2125" t="n">
        <v>8260</v>
      </c>
      <c r="AE2125" t="n">
        <v>95580</v>
      </c>
      <c r="AF2125" t="n">
        <v>94400</v>
      </c>
      <c r="AG2125" t="n">
        <v>7987.42</v>
      </c>
      <c r="AH2125" t="n">
        <v>86412.58</v>
      </c>
      <c r="AI2125" t="n">
        <v>0</v>
      </c>
    </row>
    <row r="2126">
      <c r="A2126" t="inlineStr">
        <is>
          <t>3월</t>
        </is>
      </c>
      <c r="B2126" t="inlineStr">
        <is>
          <t>11주차</t>
        </is>
      </c>
      <c r="C2126" t="inlineStr">
        <is>
          <t>IM</t>
        </is>
      </c>
      <c r="D2126" s="28" t="n">
        <v>46093</v>
      </c>
      <c r="E2126" t="inlineStr">
        <is>
          <t>IM캐피탈</t>
        </is>
      </c>
      <c r="F2126" t="inlineStr">
        <is>
          <t>정승영</t>
        </is>
      </c>
      <c r="G2126" t="inlineStr">
        <is>
          <t>010-2659-0518</t>
        </is>
      </c>
      <c r="H2126" t="inlineStr">
        <is>
          <t>254너2952</t>
        </is>
      </c>
      <c r="I2126" t="n">
        <v>73200000</v>
      </c>
      <c r="J2126" t="n">
        <v>0.059</v>
      </c>
      <c r="K2126" t="n">
        <v>1.1</v>
      </c>
      <c r="L2126" t="n">
        <v>0.14</v>
      </c>
      <c r="M2126" t="n">
        <v>0.96</v>
      </c>
      <c r="P2126" t="inlineStr">
        <is>
          <t>정세빈</t>
        </is>
      </c>
      <c r="Q2126" t="inlineStr">
        <is>
          <t>홈서비스 60개월</t>
        </is>
      </c>
      <c r="AB2126" t="inlineStr">
        <is>
          <t>홈서비스</t>
        </is>
      </c>
      <c r="AC2126" t="n">
        <v>805200</v>
      </c>
      <c r="AD2126" t="n">
        <v>102480</v>
      </c>
      <c r="AE2126" t="n">
        <v>702720</v>
      </c>
      <c r="AF2126" t="n">
        <v>732000</v>
      </c>
      <c r="AG2126" t="n">
        <v>99098.16</v>
      </c>
      <c r="AH2126" t="n">
        <v>632901.84</v>
      </c>
      <c r="AI2126" t="n">
        <v>0</v>
      </c>
    </row>
    <row r="2127">
      <c r="A2127" t="inlineStr">
        <is>
          <t>3월</t>
        </is>
      </c>
      <c r="B2127" t="inlineStr">
        <is>
          <t>11주차</t>
        </is>
      </c>
      <c r="C2127" t="inlineStr">
        <is>
          <t>IM</t>
        </is>
      </c>
      <c r="D2127" s="28" t="n">
        <v>46093</v>
      </c>
      <c r="E2127" t="inlineStr">
        <is>
          <t>IM캐피탈</t>
        </is>
      </c>
      <c r="F2127" t="inlineStr">
        <is>
          <t>나석주</t>
        </is>
      </c>
      <c r="G2127" t="inlineStr">
        <is>
          <t>010-3808-1164</t>
        </is>
      </c>
      <c r="H2127" t="inlineStr">
        <is>
          <t>10러6712</t>
        </is>
      </c>
      <c r="I2127" t="n">
        <v>34000000</v>
      </c>
      <c r="J2127" t="n">
        <v>0.06900000000000001</v>
      </c>
      <c r="K2127" t="n">
        <v>1.1</v>
      </c>
      <c r="L2127" t="n">
        <v>0.14</v>
      </c>
      <c r="M2127" t="n">
        <v>0.96</v>
      </c>
      <c r="P2127" t="inlineStr">
        <is>
          <t>김나윤</t>
        </is>
      </c>
      <c r="Q2127" t="inlineStr">
        <is>
          <t>홈서비스 72개월</t>
        </is>
      </c>
      <c r="AB2127" t="inlineStr">
        <is>
          <t>홈서비스</t>
        </is>
      </c>
      <c r="AC2127" t="n">
        <v>374000</v>
      </c>
      <c r="AD2127" t="n">
        <v>47600</v>
      </c>
      <c r="AE2127" t="n">
        <v>326400</v>
      </c>
      <c r="AF2127" t="n">
        <v>340000</v>
      </c>
      <c r="AG2127" t="n">
        <v>46029.2</v>
      </c>
      <c r="AH2127" t="n">
        <v>293970.8</v>
      </c>
      <c r="AI2127" t="n">
        <v>0</v>
      </c>
    </row>
    <row r="2128">
      <c r="A2128" t="inlineStr">
        <is>
          <t>3월</t>
        </is>
      </c>
      <c r="B2128" t="inlineStr">
        <is>
          <t>11주차</t>
        </is>
      </c>
      <c r="C2128" t="inlineStr">
        <is>
          <t>EP</t>
        </is>
      </c>
      <c r="D2128" s="28" t="n">
        <v>46092</v>
      </c>
      <c r="E2128" t="inlineStr">
        <is>
          <t>현대EP_fast</t>
        </is>
      </c>
      <c r="F2128" t="inlineStr">
        <is>
          <t>윤태호</t>
        </is>
      </c>
      <c r="G2128" t="inlineStr">
        <is>
          <t>010-3401-4320</t>
        </is>
      </c>
      <c r="H2128" t="inlineStr">
        <is>
          <t>184오3944</t>
        </is>
      </c>
      <c r="I2128" t="n">
        <v>16900000</v>
      </c>
      <c r="J2128" t="n">
        <v>0.11</v>
      </c>
      <c r="K2128" t="n">
        <v>1.76</v>
      </c>
      <c r="L2128" t="n">
        <v>0.14</v>
      </c>
      <c r="M2128" t="n">
        <v>1.62</v>
      </c>
      <c r="P2128" t="inlineStr">
        <is>
          <t>정광호</t>
        </is>
      </c>
      <c r="Q2128" t="inlineStr">
        <is>
          <t>홈서비스 60개월</t>
        </is>
      </c>
      <c r="AB2128" t="inlineStr">
        <is>
          <t>홈서비스</t>
        </is>
      </c>
      <c r="AC2128" t="n">
        <v>297440</v>
      </c>
      <c r="AD2128" t="n">
        <v>23660</v>
      </c>
      <c r="AE2128" t="n">
        <v>273780</v>
      </c>
      <c r="AF2128" t="n">
        <v>270400</v>
      </c>
      <c r="AG2128" t="n">
        <v>22879.22</v>
      </c>
      <c r="AH2128" t="n">
        <v>247520.78</v>
      </c>
      <c r="AI2128" t="n">
        <v>0</v>
      </c>
    </row>
    <row r="2129">
      <c r="A2129" t="inlineStr">
        <is>
          <t>3월</t>
        </is>
      </c>
      <c r="B2129" t="inlineStr">
        <is>
          <t>11주차</t>
        </is>
      </c>
      <c r="C2129" t="inlineStr">
        <is>
          <t>EP</t>
        </is>
      </c>
      <c r="D2129" s="28" t="n">
        <v>46093</v>
      </c>
      <c r="E2129" t="inlineStr">
        <is>
          <t>현대EP</t>
        </is>
      </c>
      <c r="F2129" t="inlineStr">
        <is>
          <t>변진환</t>
        </is>
      </c>
      <c r="G2129" t="inlineStr">
        <is>
          <t>010-8009-7680</t>
        </is>
      </c>
      <c r="H2129" t="inlineStr">
        <is>
          <t>27서0570</t>
        </is>
      </c>
      <c r="I2129" t="n">
        <v>9900000</v>
      </c>
      <c r="J2129" t="n">
        <v>0.07099999999999999</v>
      </c>
      <c r="K2129" t="n">
        <v>1.76</v>
      </c>
      <c r="L2129" t="n">
        <v>0.14</v>
      </c>
      <c r="M2129" t="n">
        <v>1.62</v>
      </c>
      <c r="P2129" t="inlineStr">
        <is>
          <t>황채이</t>
        </is>
      </c>
      <c r="Q2129" t="inlineStr">
        <is>
          <t>홈서비스 60개월</t>
        </is>
      </c>
      <c r="AB2129" t="inlineStr">
        <is>
          <t>홈서비스</t>
        </is>
      </c>
      <c r="AC2129" t="n">
        <v>174240</v>
      </c>
      <c r="AD2129" t="n">
        <v>13860</v>
      </c>
      <c r="AE2129" t="n">
        <v>160380</v>
      </c>
      <c r="AF2129" t="n">
        <v>158400</v>
      </c>
      <c r="AG2129" t="n">
        <v>13402.62</v>
      </c>
      <c r="AH2129" t="n">
        <v>144997.38</v>
      </c>
      <c r="AI2129" t="n">
        <v>0</v>
      </c>
    </row>
    <row r="2130">
      <c r="A2130" t="inlineStr">
        <is>
          <t>3월</t>
        </is>
      </c>
      <c r="B2130" t="inlineStr">
        <is>
          <t>11주차</t>
        </is>
      </c>
      <c r="C2130" t="inlineStr">
        <is>
          <t>IM</t>
        </is>
      </c>
      <c r="D2130" s="28" t="n">
        <v>46093</v>
      </c>
      <c r="E2130" t="inlineStr">
        <is>
          <t>IM캐피탈</t>
        </is>
      </c>
      <c r="F2130" t="inlineStr">
        <is>
          <t>정인철</t>
        </is>
      </c>
      <c r="G2130" t="inlineStr">
        <is>
          <t>010-5744-3085</t>
        </is>
      </c>
      <c r="H2130" t="inlineStr">
        <is>
          <t>224노5189</t>
        </is>
      </c>
      <c r="I2130" t="n">
        <v>36000000</v>
      </c>
      <c r="J2130" t="n">
        <v>0.066</v>
      </c>
      <c r="K2130" t="n">
        <v>1.1</v>
      </c>
      <c r="L2130" t="n">
        <v>0.14</v>
      </c>
      <c r="M2130" t="n">
        <v>0.96</v>
      </c>
      <c r="P2130" t="inlineStr">
        <is>
          <t>최형주</t>
        </is>
      </c>
      <c r="Q2130" t="inlineStr">
        <is>
          <t>홈서비스 60개월</t>
        </is>
      </c>
      <c r="AB2130" t="inlineStr">
        <is>
          <t>홈서비스</t>
        </is>
      </c>
      <c r="AC2130" t="n">
        <v>396000</v>
      </c>
      <c r="AD2130" t="n">
        <v>50400</v>
      </c>
      <c r="AE2130" t="n">
        <v>345600</v>
      </c>
      <c r="AF2130" t="n">
        <v>360000</v>
      </c>
      <c r="AG2130" t="n">
        <v>48736.8</v>
      </c>
      <c r="AH2130" t="n">
        <v>311263.2</v>
      </c>
      <c r="AI2130" t="n">
        <v>0</v>
      </c>
    </row>
    <row r="2131">
      <c r="A2131" t="inlineStr">
        <is>
          <t>3월</t>
        </is>
      </c>
      <c r="B2131" t="inlineStr">
        <is>
          <t>11주차</t>
        </is>
      </c>
      <c r="C2131" t="inlineStr">
        <is>
          <t>WC</t>
        </is>
      </c>
      <c r="D2131" s="28" t="n">
        <v>46093</v>
      </c>
      <c r="E2131" t="inlineStr">
        <is>
          <t>웰컴저축은행</t>
        </is>
      </c>
      <c r="F2131" t="inlineStr">
        <is>
          <t>이상현</t>
        </is>
      </c>
      <c r="G2131" t="inlineStr">
        <is>
          <t>010-9704-4986</t>
        </is>
      </c>
      <c r="H2131" t="inlineStr">
        <is>
          <t>383소9757</t>
        </is>
      </c>
      <c r="I2131" t="n">
        <v>33000000</v>
      </c>
      <c r="J2131" t="n">
        <v>0.089</v>
      </c>
      <c r="K2131" t="n">
        <v>0</v>
      </c>
      <c r="L2131" t="n">
        <v>0.14</v>
      </c>
      <c r="M2131" t="n">
        <v>-0.14</v>
      </c>
      <c r="P2131" t="inlineStr">
        <is>
          <t>김나윤</t>
        </is>
      </c>
      <c r="Q2131" t="inlineStr">
        <is>
          <t>홈서비스 60개월</t>
        </is>
      </c>
      <c r="AB2131" t="inlineStr">
        <is>
          <t>홈서비스</t>
        </is>
      </c>
      <c r="AC2131" t="n">
        <v>0</v>
      </c>
      <c r="AD2131" t="n">
        <v>46200</v>
      </c>
      <c r="AE2131" t="n">
        <v>-46200</v>
      </c>
      <c r="AF2131" t="n">
        <v>0</v>
      </c>
      <c r="AG2131" t="n">
        <v>44675.4</v>
      </c>
      <c r="AH2131" t="n">
        <v>-44675.4</v>
      </c>
    </row>
    <row r="2132">
      <c r="A2132" t="inlineStr">
        <is>
          <t>3월</t>
        </is>
      </c>
      <c r="B2132" t="inlineStr">
        <is>
          <t>11주차</t>
        </is>
      </c>
      <c r="C2132" t="inlineStr">
        <is>
          <t>EP</t>
        </is>
      </c>
      <c r="D2132" s="28" t="n">
        <v>46093</v>
      </c>
      <c r="E2132" t="inlineStr">
        <is>
          <t>현대EP_fast</t>
        </is>
      </c>
      <c r="F2132" t="inlineStr">
        <is>
          <t>박인아</t>
        </is>
      </c>
      <c r="G2132" t="inlineStr">
        <is>
          <t>010-4446-6775</t>
        </is>
      </c>
      <c r="H2132" t="inlineStr">
        <is>
          <t>06노4625</t>
        </is>
      </c>
      <c r="I2132" t="n">
        <v>66900000</v>
      </c>
      <c r="J2132" t="n">
        <v>0.079</v>
      </c>
      <c r="K2132" t="n">
        <v>1.76</v>
      </c>
      <c r="L2132" t="n">
        <v>0.14</v>
      </c>
      <c r="M2132" t="n">
        <v>1.62</v>
      </c>
      <c r="P2132" t="inlineStr">
        <is>
          <t>김수연</t>
        </is>
      </c>
      <c r="Q2132" t="inlineStr">
        <is>
          <t>홈서비스 60개월</t>
        </is>
      </c>
      <c r="AB2132" t="inlineStr">
        <is>
          <t>홈서비스</t>
        </is>
      </c>
      <c r="AC2132" t="n">
        <v>1177440</v>
      </c>
      <c r="AD2132" t="n">
        <v>93660</v>
      </c>
      <c r="AE2132" t="n">
        <v>1083780</v>
      </c>
      <c r="AF2132" t="n">
        <v>1070400</v>
      </c>
      <c r="AG2132" t="n">
        <v>90569.22</v>
      </c>
      <c r="AH2132" t="n">
        <v>979830.78</v>
      </c>
      <c r="AI2132" t="n">
        <v>0</v>
      </c>
    </row>
    <row r="2133">
      <c r="A2133" t="inlineStr">
        <is>
          <t>3월</t>
        </is>
      </c>
      <c r="B2133" t="inlineStr">
        <is>
          <t>11주차</t>
        </is>
      </c>
      <c r="C2133" t="inlineStr">
        <is>
          <t>EP</t>
        </is>
      </c>
      <c r="D2133" s="28" t="n">
        <v>46093</v>
      </c>
      <c r="E2133" t="inlineStr">
        <is>
          <t>현대EP</t>
        </is>
      </c>
      <c r="F2133" t="inlineStr">
        <is>
          <t>복진룡</t>
        </is>
      </c>
      <c r="G2133" t="inlineStr">
        <is>
          <t>010-4664-9246</t>
        </is>
      </c>
      <c r="H2133" t="inlineStr">
        <is>
          <t>135다1064</t>
        </is>
      </c>
      <c r="I2133" t="n">
        <v>10000000</v>
      </c>
      <c r="J2133" t="n">
        <v>0.075</v>
      </c>
      <c r="K2133" t="n">
        <v>1.76</v>
      </c>
      <c r="L2133" t="n">
        <v>0.14</v>
      </c>
      <c r="M2133" t="n">
        <v>1.62</v>
      </c>
      <c r="P2133" t="inlineStr">
        <is>
          <t>최형주</t>
        </is>
      </c>
      <c r="Q2133" t="inlineStr">
        <is>
          <t>홈서비스 60개월</t>
        </is>
      </c>
      <c r="AB2133" t="inlineStr">
        <is>
          <t>홈서비스</t>
        </is>
      </c>
      <c r="AC2133" t="n">
        <v>176000</v>
      </c>
      <c r="AD2133" t="n">
        <v>14000</v>
      </c>
      <c r="AE2133" t="n">
        <v>162000</v>
      </c>
      <c r="AF2133" t="n">
        <v>160000</v>
      </c>
      <c r="AG2133" t="n">
        <v>13538</v>
      </c>
      <c r="AH2133" t="n">
        <v>146462</v>
      </c>
      <c r="AI2133" t="n">
        <v>0</v>
      </c>
    </row>
    <row r="2134">
      <c r="A2134" t="inlineStr">
        <is>
          <t>3월</t>
        </is>
      </c>
      <c r="B2134" t="inlineStr">
        <is>
          <t>11주차</t>
        </is>
      </c>
      <c r="C2134" t="inlineStr">
        <is>
          <t>IM</t>
        </is>
      </c>
      <c r="D2134" s="28" t="n">
        <v>46093</v>
      </c>
      <c r="E2134" t="inlineStr">
        <is>
          <t>IM캐피탈</t>
        </is>
      </c>
      <c r="F2134" t="inlineStr">
        <is>
          <t>김정수</t>
        </is>
      </c>
      <c r="G2134" t="inlineStr">
        <is>
          <t>010-7707-4770</t>
        </is>
      </c>
      <c r="H2134" t="inlineStr">
        <is>
          <t>31조0748</t>
        </is>
      </c>
      <c r="I2134" t="n">
        <v>3900000</v>
      </c>
      <c r="J2134" t="n">
        <v>0.049</v>
      </c>
      <c r="K2134" t="n">
        <v>1.1</v>
      </c>
      <c r="L2134" t="n">
        <v>0.14</v>
      </c>
      <c r="M2134" t="n">
        <v>0.96</v>
      </c>
      <c r="P2134" t="inlineStr">
        <is>
          <t>김수연</t>
        </is>
      </c>
      <c r="Q2134" t="inlineStr">
        <is>
          <t>홈서비스 36개월</t>
        </is>
      </c>
      <c r="AB2134" t="inlineStr">
        <is>
          <t>홈서비스</t>
        </is>
      </c>
      <c r="AC2134" t="n">
        <v>42900</v>
      </c>
      <c r="AD2134" t="n">
        <v>5460</v>
      </c>
      <c r="AE2134" t="n">
        <v>37440</v>
      </c>
      <c r="AF2134" t="n">
        <v>39000</v>
      </c>
      <c r="AG2134" t="n">
        <v>5279.82</v>
      </c>
      <c r="AH2134" t="n">
        <v>33720.18</v>
      </c>
      <c r="AI2134" t="n">
        <v>0</v>
      </c>
    </row>
    <row r="2135">
      <c r="A2135" t="inlineStr">
        <is>
          <t>3월</t>
        </is>
      </c>
      <c r="B2135" t="inlineStr">
        <is>
          <t>11주차</t>
        </is>
      </c>
      <c r="C2135" t="inlineStr">
        <is>
          <t>EP</t>
        </is>
      </c>
      <c r="D2135" s="28" t="n">
        <v>46093</v>
      </c>
      <c r="E2135" t="inlineStr">
        <is>
          <t>현대EP</t>
        </is>
      </c>
      <c r="F2135" t="inlineStr">
        <is>
          <t>김은지</t>
        </is>
      </c>
      <c r="G2135" t="inlineStr">
        <is>
          <t>010-7399-0106</t>
        </is>
      </c>
      <c r="H2135" t="inlineStr">
        <is>
          <t>29우7368</t>
        </is>
      </c>
      <c r="I2135" t="n">
        <v>9600000</v>
      </c>
      <c r="J2135" t="n">
        <v>0.07099999999999999</v>
      </c>
      <c r="K2135" t="n">
        <v>1.76</v>
      </c>
      <c r="L2135" t="n">
        <v>0.14</v>
      </c>
      <c r="M2135" t="n">
        <v>1.62</v>
      </c>
      <c r="P2135" t="inlineStr">
        <is>
          <t>김나윤</t>
        </is>
      </c>
      <c r="Q2135" t="inlineStr">
        <is>
          <t>홈서비스 48개월</t>
        </is>
      </c>
      <c r="AB2135" t="inlineStr">
        <is>
          <t>홈서비스</t>
        </is>
      </c>
      <c r="AC2135" t="n">
        <v>168960</v>
      </c>
      <c r="AD2135" t="n">
        <v>13440</v>
      </c>
      <c r="AE2135" t="n">
        <v>155520</v>
      </c>
      <c r="AF2135" t="n">
        <v>153600</v>
      </c>
      <c r="AG2135" t="n">
        <v>12996.48</v>
      </c>
      <c r="AH2135" t="n">
        <v>140603.52</v>
      </c>
      <c r="AI2135" t="n">
        <v>0</v>
      </c>
    </row>
    <row r="2136">
      <c r="A2136" t="inlineStr">
        <is>
          <t>3월</t>
        </is>
      </c>
      <c r="B2136" t="inlineStr">
        <is>
          <t>11주차</t>
        </is>
      </c>
      <c r="C2136" t="inlineStr">
        <is>
          <t>IM</t>
        </is>
      </c>
      <c r="D2136" s="28" t="n">
        <v>46092</v>
      </c>
      <c r="E2136" t="inlineStr">
        <is>
          <t>IM캐피탈</t>
        </is>
      </c>
      <c r="F2136" t="inlineStr">
        <is>
          <t>김용현</t>
        </is>
      </c>
      <c r="G2136" t="inlineStr">
        <is>
          <t>010-4018-2691</t>
        </is>
      </c>
      <c r="H2136" t="inlineStr">
        <is>
          <t>363로1803</t>
        </is>
      </c>
      <c r="I2136" t="n">
        <v>12700000</v>
      </c>
      <c r="J2136" t="n">
        <v>0.056</v>
      </c>
      <c r="K2136" t="n">
        <v>1.1</v>
      </c>
      <c r="L2136" t="n">
        <v>0.4</v>
      </c>
      <c r="M2136" t="n">
        <v>0.7</v>
      </c>
      <c r="P2136" t="inlineStr">
        <is>
          <t>장현경</t>
        </is>
      </c>
      <c r="AB2136" t="inlineStr">
        <is>
          <t>엔카</t>
        </is>
      </c>
      <c r="AC2136" t="n">
        <v>139700</v>
      </c>
      <c r="AD2136" t="n">
        <v>50800</v>
      </c>
      <c r="AE2136" t="n">
        <v>88900</v>
      </c>
      <c r="AF2136" t="n">
        <v>127000</v>
      </c>
      <c r="AG2136" t="n">
        <v>49123.6</v>
      </c>
      <c r="AH2136" t="n">
        <v>77876.39999999999</v>
      </c>
      <c r="AI2136" t="n">
        <v>0</v>
      </c>
    </row>
    <row r="2137">
      <c r="A2137" t="inlineStr">
        <is>
          <t>3월</t>
        </is>
      </c>
      <c r="B2137" t="inlineStr">
        <is>
          <t>11주차</t>
        </is>
      </c>
      <c r="C2137" t="inlineStr">
        <is>
          <t>IM</t>
        </is>
      </c>
      <c r="D2137" s="28" t="n">
        <v>46091</v>
      </c>
      <c r="E2137" t="inlineStr">
        <is>
          <t>IM캐피탈</t>
        </is>
      </c>
      <c r="F2137" t="inlineStr">
        <is>
          <t>양동석</t>
        </is>
      </c>
      <c r="G2137" t="inlineStr">
        <is>
          <t>010-2339-9424</t>
        </is>
      </c>
      <c r="H2137" t="inlineStr">
        <is>
          <t>268로8653</t>
        </is>
      </c>
      <c r="I2137" t="n">
        <v>15000000</v>
      </c>
      <c r="J2137" t="n">
        <v>0.049</v>
      </c>
      <c r="K2137" t="n">
        <v>1.1</v>
      </c>
      <c r="L2137" t="n">
        <v>0.4</v>
      </c>
      <c r="M2137" t="n">
        <v>0.7</v>
      </c>
      <c r="P2137" t="inlineStr">
        <is>
          <t>구성완</t>
        </is>
      </c>
      <c r="AB2137" t="inlineStr">
        <is>
          <t>엔카</t>
        </is>
      </c>
      <c r="AC2137" t="n">
        <v>165000</v>
      </c>
      <c r="AD2137" t="n">
        <v>60000</v>
      </c>
      <c r="AE2137" t="n">
        <v>105000</v>
      </c>
      <c r="AF2137" t="n">
        <v>150000</v>
      </c>
      <c r="AG2137" t="n">
        <v>58020</v>
      </c>
      <c r="AH2137" t="n">
        <v>91980</v>
      </c>
      <c r="AI2137" t="n">
        <v>0</v>
      </c>
    </row>
    <row r="2138">
      <c r="A2138" t="inlineStr">
        <is>
          <t>3월</t>
        </is>
      </c>
      <c r="B2138" t="inlineStr">
        <is>
          <t>11주차</t>
        </is>
      </c>
      <c r="C2138" t="inlineStr">
        <is>
          <t>EP</t>
        </is>
      </c>
      <c r="D2138" s="28" t="n">
        <v>46093</v>
      </c>
      <c r="E2138" t="inlineStr">
        <is>
          <t>현대EP</t>
        </is>
      </c>
      <c r="F2138" t="inlineStr">
        <is>
          <t>윤주빈</t>
        </is>
      </c>
      <c r="G2138" t="inlineStr">
        <is>
          <t>010-4772-9821</t>
        </is>
      </c>
      <c r="H2138" t="inlineStr">
        <is>
          <t>204주9330</t>
        </is>
      </c>
      <c r="I2138" t="n">
        <v>42500000</v>
      </c>
      <c r="J2138" t="n">
        <v>0.105</v>
      </c>
      <c r="K2138" t="n">
        <v>1.76</v>
      </c>
      <c r="L2138" t="n">
        <v>0.14</v>
      </c>
      <c r="M2138" t="n">
        <v>1.62</v>
      </c>
      <c r="P2138" t="inlineStr">
        <is>
          <t>김수연</t>
        </is>
      </c>
      <c r="Q2138" t="inlineStr">
        <is>
          <t>홈서비스 60개월</t>
        </is>
      </c>
      <c r="AB2138" t="inlineStr">
        <is>
          <t>홈서비스</t>
        </is>
      </c>
      <c r="AC2138" t="n">
        <v>748000</v>
      </c>
      <c r="AD2138" t="n">
        <v>59500</v>
      </c>
      <c r="AE2138" t="n">
        <v>688500</v>
      </c>
      <c r="AF2138" t="n">
        <v>680000</v>
      </c>
      <c r="AG2138" t="n">
        <v>57536.5</v>
      </c>
      <c r="AH2138" t="n">
        <v>622463.5</v>
      </c>
    </row>
    <row r="2139">
      <c r="A2139" t="inlineStr">
        <is>
          <t>3월</t>
        </is>
      </c>
      <c r="B2139" t="inlineStr">
        <is>
          <t>11주차</t>
        </is>
      </c>
      <c r="C2139" t="inlineStr">
        <is>
          <t>EP</t>
        </is>
      </c>
      <c r="D2139" s="28" t="n">
        <v>46091</v>
      </c>
      <c r="E2139" t="inlineStr">
        <is>
          <t>제이비EP</t>
        </is>
      </c>
      <c r="F2139" t="inlineStr">
        <is>
          <t>김경민</t>
        </is>
      </c>
      <c r="G2139" t="inlineStr">
        <is>
          <t>010-2201-9084</t>
        </is>
      </c>
      <c r="H2139" t="inlineStr">
        <is>
          <t>224수5824</t>
        </is>
      </c>
      <c r="I2139" t="n">
        <v>38000000</v>
      </c>
      <c r="J2139" t="n">
        <v>0.07199999999999999</v>
      </c>
      <c r="K2139" t="n">
        <v>1.65</v>
      </c>
      <c r="L2139" t="n">
        <v>0.4</v>
      </c>
      <c r="M2139" t="n">
        <v>1.25</v>
      </c>
      <c r="P2139" t="inlineStr">
        <is>
          <t>구성완</t>
        </is>
      </c>
      <c r="AB2139" t="inlineStr">
        <is>
          <t>엔카</t>
        </is>
      </c>
      <c r="AC2139" t="n">
        <v>627000</v>
      </c>
      <c r="AD2139" t="n">
        <v>152000</v>
      </c>
      <c r="AE2139" t="n">
        <v>475000</v>
      </c>
      <c r="AF2139" t="n">
        <v>570000</v>
      </c>
      <c r="AG2139" t="n">
        <v>146984</v>
      </c>
      <c r="AH2139" t="n">
        <v>423016</v>
      </c>
      <c r="AI2139" t="n">
        <v>0</v>
      </c>
    </row>
    <row r="2140">
      <c r="A2140" t="inlineStr">
        <is>
          <t>3월</t>
        </is>
      </c>
      <c r="B2140" t="inlineStr">
        <is>
          <t>11주차</t>
        </is>
      </c>
      <c r="C2140" t="inlineStr">
        <is>
          <t>WC</t>
        </is>
      </c>
      <c r="D2140" s="28" t="n">
        <v>46093</v>
      </c>
      <c r="E2140" t="inlineStr">
        <is>
          <t>웰컴저축은행</t>
        </is>
      </c>
      <c r="F2140" t="inlineStr">
        <is>
          <t>이종명</t>
        </is>
      </c>
      <c r="G2140" t="inlineStr">
        <is>
          <t>010-7539-2345</t>
        </is>
      </c>
      <c r="H2140" t="inlineStr">
        <is>
          <t>46노5490</t>
        </is>
      </c>
      <c r="I2140" t="n">
        <v>11900000</v>
      </c>
      <c r="J2140" t="n">
        <v>0.139</v>
      </c>
      <c r="K2140" t="n">
        <v>0</v>
      </c>
      <c r="L2140" t="n">
        <v>0.14</v>
      </c>
      <c r="M2140" t="n">
        <v>-0.14</v>
      </c>
      <c r="P2140" t="inlineStr">
        <is>
          <t>황채이</t>
        </is>
      </c>
      <c r="Q2140" t="inlineStr">
        <is>
          <t>홈서비스 72개월</t>
        </is>
      </c>
      <c r="AB2140" t="inlineStr">
        <is>
          <t>홈서비스</t>
        </is>
      </c>
      <c r="AC2140" t="n">
        <v>0</v>
      </c>
      <c r="AD2140" t="n">
        <v>16660</v>
      </c>
      <c r="AE2140" t="n">
        <v>-16660</v>
      </c>
      <c r="AF2140" t="n">
        <v>0</v>
      </c>
      <c r="AG2140" t="n">
        <v>16110.22</v>
      </c>
      <c r="AH2140" t="n">
        <v>-16110.22</v>
      </c>
      <c r="AI2140" t="n">
        <v>0</v>
      </c>
    </row>
    <row r="2141">
      <c r="A2141" t="inlineStr">
        <is>
          <t>3월</t>
        </is>
      </c>
      <c r="B2141" t="inlineStr">
        <is>
          <t>11주차</t>
        </is>
      </c>
      <c r="C2141" t="inlineStr">
        <is>
          <t>EP</t>
        </is>
      </c>
      <c r="D2141" s="28" t="n">
        <v>46092</v>
      </c>
      <c r="E2141" t="inlineStr">
        <is>
          <t>현대EP_fast</t>
        </is>
      </c>
      <c r="F2141" t="inlineStr">
        <is>
          <t>홍석류</t>
        </is>
      </c>
      <c r="G2141" t="inlineStr">
        <is>
          <t>010-8330-0949</t>
        </is>
      </c>
      <c r="H2141" t="inlineStr">
        <is>
          <t>328거6893</t>
        </is>
      </c>
      <c r="I2141" t="n">
        <v>17900000</v>
      </c>
      <c r="J2141" t="n">
        <v>0.092</v>
      </c>
      <c r="K2141" t="n">
        <v>1.76</v>
      </c>
      <c r="L2141" t="n">
        <v>0.4</v>
      </c>
      <c r="M2141" t="n">
        <v>1.36</v>
      </c>
      <c r="P2141" t="inlineStr">
        <is>
          <t>임대경</t>
        </is>
      </c>
      <c r="AB2141" t="inlineStr">
        <is>
          <t>엔카</t>
        </is>
      </c>
      <c r="AC2141" t="n">
        <v>315040</v>
      </c>
      <c r="AD2141" t="n">
        <v>71600</v>
      </c>
      <c r="AE2141" t="n">
        <v>243440</v>
      </c>
      <c r="AF2141" t="n">
        <v>286400</v>
      </c>
      <c r="AG2141" t="n">
        <v>69237.2</v>
      </c>
      <c r="AH2141" t="n">
        <v>217162.8</v>
      </c>
    </row>
    <row r="2142">
      <c r="A2142" t="inlineStr">
        <is>
          <t>3월</t>
        </is>
      </c>
      <c r="B2142" t="inlineStr">
        <is>
          <t>11주차</t>
        </is>
      </c>
      <c r="C2142" t="inlineStr">
        <is>
          <t>EP</t>
        </is>
      </c>
      <c r="D2142" s="28" t="n">
        <v>46092</v>
      </c>
      <c r="E2142" t="inlineStr">
        <is>
          <t>현대EP_fast</t>
        </is>
      </c>
      <c r="F2142" t="inlineStr">
        <is>
          <t>이말숙</t>
        </is>
      </c>
      <c r="G2142" t="inlineStr">
        <is>
          <t>010-7574-4205</t>
        </is>
      </c>
      <c r="H2142" t="inlineStr">
        <is>
          <t>165하9213</t>
        </is>
      </c>
      <c r="I2142" t="n">
        <v>8000000</v>
      </c>
      <c r="J2142" t="n">
        <v>0.077</v>
      </c>
      <c r="K2142" t="n">
        <v>1.76</v>
      </c>
      <c r="L2142" t="n">
        <v>0.14</v>
      </c>
      <c r="M2142" t="n">
        <v>1.62</v>
      </c>
      <c r="P2142" t="inlineStr">
        <is>
          <t>장진경</t>
        </is>
      </c>
      <c r="Q2142" t="inlineStr">
        <is>
          <t>선상담 / 홈서비스 36개월</t>
        </is>
      </c>
      <c r="AB2142" t="inlineStr">
        <is>
          <t>홈서비스</t>
        </is>
      </c>
      <c r="AC2142" t="n">
        <v>140800</v>
      </c>
      <c r="AD2142" t="n">
        <v>11200</v>
      </c>
      <c r="AE2142" t="n">
        <v>129600</v>
      </c>
      <c r="AF2142" t="n">
        <v>128000</v>
      </c>
      <c r="AG2142" t="n">
        <v>10830.4</v>
      </c>
      <c r="AH2142" t="n">
        <v>117169.6</v>
      </c>
    </row>
    <row r="2143">
      <c r="A2143" t="inlineStr">
        <is>
          <t>3월</t>
        </is>
      </c>
      <c r="B2143" t="inlineStr">
        <is>
          <t>11주차</t>
        </is>
      </c>
      <c r="C2143" t="inlineStr">
        <is>
          <t>IM</t>
        </is>
      </c>
      <c r="D2143" s="28" t="n">
        <v>46093</v>
      </c>
      <c r="E2143" t="inlineStr">
        <is>
          <t>IM캐피탈</t>
        </is>
      </c>
      <c r="F2143" t="inlineStr">
        <is>
          <t>양동기</t>
        </is>
      </c>
      <c r="G2143" t="inlineStr">
        <is>
          <t>010-7181-9090</t>
        </is>
      </c>
      <c r="H2143" t="inlineStr">
        <is>
          <t>174노4521</t>
        </is>
      </c>
      <c r="I2143" t="n">
        <v>23100000</v>
      </c>
      <c r="J2143" t="n">
        <v>0.056</v>
      </c>
      <c r="K2143" t="n">
        <v>1.1</v>
      </c>
      <c r="L2143" t="n">
        <v>0.14</v>
      </c>
      <c r="M2143" t="n">
        <v>0.96</v>
      </c>
      <c r="P2143" t="inlineStr">
        <is>
          <t>정하은</t>
        </is>
      </c>
      <c r="Q2143" t="inlineStr">
        <is>
          <t>선상담 / 홈서비스 72개월</t>
        </is>
      </c>
      <c r="AB2143" t="inlineStr">
        <is>
          <t>홈서비스</t>
        </is>
      </c>
      <c r="AC2143" t="n">
        <v>254100</v>
      </c>
      <c r="AD2143" t="n">
        <v>32340</v>
      </c>
      <c r="AE2143" t="n">
        <v>221760</v>
      </c>
      <c r="AF2143" t="n">
        <v>231000</v>
      </c>
      <c r="AG2143" t="n">
        <v>31272.78</v>
      </c>
      <c r="AH2143" t="n">
        <v>199727.22</v>
      </c>
    </row>
    <row r="2144">
      <c r="A2144" t="inlineStr">
        <is>
          <t>3월</t>
        </is>
      </c>
      <c r="B2144" t="inlineStr">
        <is>
          <t>11주차</t>
        </is>
      </c>
      <c r="C2144" t="inlineStr">
        <is>
          <t>EP</t>
        </is>
      </c>
      <c r="D2144" s="28" t="n">
        <v>46092</v>
      </c>
      <c r="E2144" t="inlineStr">
        <is>
          <t>제이비EP</t>
        </is>
      </c>
      <c r="F2144" t="inlineStr">
        <is>
          <t>정유태</t>
        </is>
      </c>
      <c r="G2144" t="inlineStr">
        <is>
          <t>010-2636-1233</t>
        </is>
      </c>
      <c r="H2144" t="inlineStr">
        <is>
          <t>42마2841</t>
        </is>
      </c>
      <c r="I2144" t="n">
        <v>20900000</v>
      </c>
      <c r="J2144" t="n">
        <v>0.08500000000000001</v>
      </c>
      <c r="K2144" t="n">
        <v>1.65</v>
      </c>
      <c r="L2144" t="n">
        <v>0.14</v>
      </c>
      <c r="M2144" t="n">
        <v>1.51</v>
      </c>
      <c r="P2144" t="inlineStr">
        <is>
          <t>장진경</t>
        </is>
      </c>
      <c r="Q2144" t="inlineStr">
        <is>
          <t>선상담 / 홈서비스 60개월</t>
        </is>
      </c>
      <c r="AB2144" t="inlineStr">
        <is>
          <t>홈서비스</t>
        </is>
      </c>
      <c r="AC2144" t="n">
        <v>344850</v>
      </c>
      <c r="AD2144" t="n">
        <v>29260</v>
      </c>
      <c r="AE2144" t="n">
        <v>315590</v>
      </c>
      <c r="AF2144" t="n">
        <v>313500</v>
      </c>
      <c r="AG2144" t="n">
        <v>28294.42</v>
      </c>
      <c r="AH2144" t="n">
        <v>285205.58</v>
      </c>
      <c r="AI2144" t="n">
        <v>0</v>
      </c>
    </row>
    <row r="2145">
      <c r="A2145" t="inlineStr">
        <is>
          <t>3월</t>
        </is>
      </c>
      <c r="B2145" t="inlineStr">
        <is>
          <t>11주차</t>
        </is>
      </c>
      <c r="C2145" t="inlineStr">
        <is>
          <t>EP</t>
        </is>
      </c>
      <c r="D2145" s="28" t="n">
        <v>46093</v>
      </c>
      <c r="E2145" t="inlineStr">
        <is>
          <t>현대EP</t>
        </is>
      </c>
      <c r="F2145" t="inlineStr">
        <is>
          <t>유위훈</t>
        </is>
      </c>
      <c r="G2145" t="inlineStr">
        <is>
          <t>010-3813-8544</t>
        </is>
      </c>
      <c r="H2145" t="inlineStr">
        <is>
          <t>154마5009</t>
        </is>
      </c>
      <c r="I2145" t="n">
        <v>-53800000</v>
      </c>
      <c r="J2145" t="n">
        <v>0.09</v>
      </c>
      <c r="K2145" t="n">
        <v>1.76</v>
      </c>
      <c r="L2145" t="n">
        <v>0.14</v>
      </c>
      <c r="M2145" t="n">
        <v>1.62</v>
      </c>
      <c r="P2145" t="inlineStr">
        <is>
          <t>최형주</t>
        </is>
      </c>
      <c r="Q2145" t="inlineStr">
        <is>
          <t>홈서비스 60개월</t>
        </is>
      </c>
      <c r="AB2145" t="inlineStr">
        <is>
          <t>홈서비스</t>
        </is>
      </c>
      <c r="AC2145" t="n">
        <v>-946880</v>
      </c>
      <c r="AD2145" t="n">
        <v>-75320</v>
      </c>
      <c r="AE2145" t="n">
        <v>-871560</v>
      </c>
      <c r="AF2145" t="n">
        <v>-860800</v>
      </c>
      <c r="AG2145" t="n">
        <v>-72834.44</v>
      </c>
      <c r="AH2145" t="n">
        <v>-787965.5600000001</v>
      </c>
      <c r="AI2145" t="n">
        <v>0</v>
      </c>
    </row>
    <row r="2146">
      <c r="A2146" t="inlineStr">
        <is>
          <t>3월</t>
        </is>
      </c>
      <c r="B2146" t="inlineStr">
        <is>
          <t>11주차</t>
        </is>
      </c>
      <c r="C2146" t="inlineStr">
        <is>
          <t>IM</t>
        </is>
      </c>
      <c r="D2146" s="28" t="n">
        <v>46094</v>
      </c>
      <c r="E2146" t="inlineStr">
        <is>
          <t>IM캐피탈</t>
        </is>
      </c>
      <c r="F2146" t="inlineStr">
        <is>
          <t>김동진</t>
        </is>
      </c>
      <c r="G2146" t="inlineStr">
        <is>
          <t>010-9626-8816</t>
        </is>
      </c>
      <c r="H2146" t="inlineStr">
        <is>
          <t>387모8766</t>
        </is>
      </c>
      <c r="I2146" t="n">
        <v>9600000</v>
      </c>
      <c r="J2146" t="n">
        <v>0.059</v>
      </c>
      <c r="K2146" t="n">
        <v>1.1</v>
      </c>
      <c r="L2146" t="n">
        <v>0.14</v>
      </c>
      <c r="M2146" t="n">
        <v>0.96</v>
      </c>
      <c r="P2146" t="inlineStr">
        <is>
          <t>황채이</t>
        </is>
      </c>
      <c r="Q2146" t="inlineStr">
        <is>
          <t>홈서비스 36개월</t>
        </is>
      </c>
      <c r="AB2146" t="inlineStr">
        <is>
          <t>홈서비스</t>
        </is>
      </c>
      <c r="AC2146" t="n">
        <v>105600</v>
      </c>
      <c r="AD2146" t="n">
        <v>13440</v>
      </c>
      <c r="AE2146" t="n">
        <v>92160</v>
      </c>
      <c r="AF2146" t="n">
        <v>96000</v>
      </c>
      <c r="AG2146" t="n">
        <v>12996.48</v>
      </c>
      <c r="AH2146" t="n">
        <v>83003.52</v>
      </c>
      <c r="AI2146" t="n">
        <v>0</v>
      </c>
    </row>
    <row r="2147">
      <c r="A2147" t="inlineStr">
        <is>
          <t>3월</t>
        </is>
      </c>
      <c r="B2147" t="inlineStr">
        <is>
          <t>11주차</t>
        </is>
      </c>
      <c r="C2147" t="inlineStr">
        <is>
          <t>OR</t>
        </is>
      </c>
      <c r="D2147" s="28" t="n">
        <v>46094</v>
      </c>
      <c r="E2147" t="inlineStr">
        <is>
          <t>오릭스</t>
        </is>
      </c>
      <c r="F2147" t="inlineStr">
        <is>
          <t>김옥연</t>
        </is>
      </c>
      <c r="G2147" t="inlineStr">
        <is>
          <t>010-9312-2461</t>
        </is>
      </c>
      <c r="H2147" t="inlineStr">
        <is>
          <t>166부3614</t>
        </is>
      </c>
      <c r="I2147" t="n">
        <v>43000000</v>
      </c>
      <c r="J2147" t="n">
        <v>0.055</v>
      </c>
      <c r="K2147" t="n">
        <v>1.65</v>
      </c>
      <c r="L2147" t="n">
        <v>0.4</v>
      </c>
      <c r="M2147" t="n">
        <v>1.25</v>
      </c>
      <c r="P2147" t="inlineStr">
        <is>
          <t>장진경</t>
        </is>
      </c>
      <c r="Q2147" t="inlineStr">
        <is>
          <t xml:space="preserve">공동명의 </t>
        </is>
      </c>
      <c r="AB2147" t="inlineStr">
        <is>
          <t>엔카</t>
        </is>
      </c>
      <c r="AC2147" t="n">
        <v>709500</v>
      </c>
      <c r="AD2147" t="n">
        <v>172000</v>
      </c>
      <c r="AE2147" t="n">
        <v>537500</v>
      </c>
      <c r="AF2147" t="n">
        <v>645000</v>
      </c>
      <c r="AG2147" t="n">
        <v>166324</v>
      </c>
      <c r="AH2147" t="n">
        <v>478676</v>
      </c>
    </row>
    <row r="2148">
      <c r="A2148" t="inlineStr">
        <is>
          <t>3월</t>
        </is>
      </c>
      <c r="B2148" t="inlineStr">
        <is>
          <t>11주차</t>
        </is>
      </c>
      <c r="C2148" t="inlineStr">
        <is>
          <t>EP</t>
        </is>
      </c>
      <c r="D2148" s="28" t="n">
        <v>46092</v>
      </c>
      <c r="E2148" t="inlineStr">
        <is>
          <t>BNKEP</t>
        </is>
      </c>
      <c r="F2148" t="inlineStr">
        <is>
          <t>이재학</t>
        </is>
      </c>
      <c r="G2148" t="inlineStr">
        <is>
          <t>010-5367-8574</t>
        </is>
      </c>
      <c r="H2148" t="inlineStr">
        <is>
          <t>302마2438</t>
        </is>
      </c>
      <c r="I2148" t="n">
        <v>40000000</v>
      </c>
      <c r="J2148" t="n">
        <v>0.08599999999999999</v>
      </c>
      <c r="K2148" t="n">
        <v>1.65</v>
      </c>
      <c r="L2148" t="n">
        <v>0.14</v>
      </c>
      <c r="M2148" t="n">
        <v>1.51</v>
      </c>
      <c r="P2148" t="inlineStr">
        <is>
          <t>장현경</t>
        </is>
      </c>
      <c r="Q2148" t="inlineStr">
        <is>
          <t>선상담 / 홈서비스 48개월</t>
        </is>
      </c>
      <c r="AB2148" t="inlineStr">
        <is>
          <t>홈서비스</t>
        </is>
      </c>
      <c r="AC2148" t="n">
        <v>660000</v>
      </c>
      <c r="AD2148" t="n">
        <v>56000</v>
      </c>
      <c r="AE2148" t="n">
        <v>604000</v>
      </c>
      <c r="AF2148" t="n">
        <v>600000</v>
      </c>
      <c r="AG2148" t="n">
        <v>54152</v>
      </c>
      <c r="AH2148" t="n">
        <v>545848</v>
      </c>
      <c r="AI2148" t="n">
        <v>0</v>
      </c>
    </row>
    <row r="2149">
      <c r="A2149" t="inlineStr">
        <is>
          <t>3월</t>
        </is>
      </c>
      <c r="B2149" t="inlineStr">
        <is>
          <t>11주차</t>
        </is>
      </c>
      <c r="C2149" t="inlineStr">
        <is>
          <t>IM</t>
        </is>
      </c>
      <c r="D2149" s="28" t="n">
        <v>46093</v>
      </c>
      <c r="E2149" t="inlineStr">
        <is>
          <t>IM캐피탈</t>
        </is>
      </c>
      <c r="F2149" t="inlineStr">
        <is>
          <t>양동기</t>
        </is>
      </c>
      <c r="G2149" t="inlineStr">
        <is>
          <t>010-7181-9090</t>
        </is>
      </c>
      <c r="H2149" t="inlineStr">
        <is>
          <t>174노4521</t>
        </is>
      </c>
      <c r="I2149" t="n">
        <v>-23100000</v>
      </c>
      <c r="J2149" t="n">
        <v>0.056</v>
      </c>
      <c r="K2149" t="n">
        <v>1.1</v>
      </c>
      <c r="L2149" t="n">
        <v>0.14</v>
      </c>
      <c r="M2149" t="n">
        <v>0.96</v>
      </c>
      <c r="P2149" t="inlineStr">
        <is>
          <t>정하은</t>
        </is>
      </c>
      <c r="Q2149" t="inlineStr">
        <is>
          <t>선상담 / 홈서비스 72개월</t>
        </is>
      </c>
      <c r="AB2149" t="inlineStr">
        <is>
          <t>홈서비스</t>
        </is>
      </c>
      <c r="AC2149" t="n">
        <v>-254100</v>
      </c>
      <c r="AD2149" t="n">
        <v>-32340</v>
      </c>
      <c r="AE2149" t="n">
        <v>-221760</v>
      </c>
      <c r="AF2149" t="n">
        <v>-231000</v>
      </c>
      <c r="AG2149" t="n">
        <v>-31272.78</v>
      </c>
      <c r="AH2149" t="n">
        <v>-199727.22</v>
      </c>
      <c r="AI2149" t="n">
        <v>0</v>
      </c>
    </row>
    <row r="2150">
      <c r="A2150" t="inlineStr">
        <is>
          <t>3월</t>
        </is>
      </c>
      <c r="B2150" t="inlineStr">
        <is>
          <t>11주차</t>
        </is>
      </c>
      <c r="C2150" t="inlineStr">
        <is>
          <t>EP</t>
        </is>
      </c>
      <c r="D2150" s="28" t="n">
        <v>46094</v>
      </c>
      <c r="E2150" t="inlineStr">
        <is>
          <t>현대EP_fast</t>
        </is>
      </c>
      <c r="F2150" t="inlineStr">
        <is>
          <t>이승환</t>
        </is>
      </c>
      <c r="G2150" t="inlineStr">
        <is>
          <t>010-4102-2031</t>
        </is>
      </c>
      <c r="H2150" t="inlineStr">
        <is>
          <t>203나9420</t>
        </is>
      </c>
      <c r="I2150" t="n">
        <v>15900000</v>
      </c>
      <c r="J2150" t="n">
        <v>0.075</v>
      </c>
      <c r="K2150" t="n">
        <v>1.76</v>
      </c>
      <c r="L2150" t="n">
        <v>0.14</v>
      </c>
      <c r="M2150" t="n">
        <v>1.62</v>
      </c>
      <c r="P2150" t="inlineStr">
        <is>
          <t>황채이</t>
        </is>
      </c>
      <c r="Q2150" t="inlineStr">
        <is>
          <t>홈서비스 60개월 / 공동명의</t>
        </is>
      </c>
      <c r="AB2150" t="inlineStr">
        <is>
          <t>홈서비스</t>
        </is>
      </c>
      <c r="AC2150" t="n">
        <v>279840</v>
      </c>
      <c r="AD2150" t="n">
        <v>22260</v>
      </c>
      <c r="AE2150" t="n">
        <v>257580</v>
      </c>
      <c r="AF2150" t="n">
        <v>254400</v>
      </c>
      <c r="AG2150" t="n">
        <v>21525.42</v>
      </c>
      <c r="AH2150" t="n">
        <v>232874.58</v>
      </c>
      <c r="AI2150" t="n">
        <v>0</v>
      </c>
    </row>
    <row r="2151">
      <c r="A2151" t="inlineStr">
        <is>
          <t>3월</t>
        </is>
      </c>
      <c r="B2151" t="inlineStr">
        <is>
          <t>11주차</t>
        </is>
      </c>
      <c r="C2151" t="inlineStr">
        <is>
          <t>EP</t>
        </is>
      </c>
      <c r="D2151" s="28" t="n">
        <v>46094</v>
      </c>
      <c r="E2151" t="inlineStr">
        <is>
          <t>현대EP_fast</t>
        </is>
      </c>
      <c r="F2151" t="inlineStr">
        <is>
          <t>박주영</t>
        </is>
      </c>
      <c r="G2151" t="inlineStr">
        <is>
          <t>010-4945-9358</t>
        </is>
      </c>
      <c r="H2151" t="inlineStr">
        <is>
          <t>17거7464</t>
        </is>
      </c>
      <c r="I2151" t="n">
        <v>11500000</v>
      </c>
      <c r="J2151" t="n">
        <v>0.154</v>
      </c>
      <c r="K2151" t="n">
        <v>1.76</v>
      </c>
      <c r="L2151" t="n">
        <v>0.14</v>
      </c>
      <c r="M2151" t="n">
        <v>1.62</v>
      </c>
      <c r="P2151" t="inlineStr">
        <is>
          <t>최형주</t>
        </is>
      </c>
      <c r="Q2151" t="inlineStr">
        <is>
          <t>홈서비스 48개월</t>
        </is>
      </c>
      <c r="AB2151" t="inlineStr">
        <is>
          <t>홈서비스</t>
        </is>
      </c>
      <c r="AC2151" t="n">
        <v>202400</v>
      </c>
      <c r="AD2151" t="n">
        <v>16100</v>
      </c>
      <c r="AE2151" t="n">
        <v>186300</v>
      </c>
      <c r="AF2151" t="n">
        <v>184000</v>
      </c>
      <c r="AG2151" t="n">
        <v>15568.7</v>
      </c>
      <c r="AH2151" t="n">
        <v>168431.3</v>
      </c>
      <c r="AI2151" t="n">
        <v>0</v>
      </c>
    </row>
    <row r="2152">
      <c r="A2152" t="inlineStr">
        <is>
          <t>3월</t>
        </is>
      </c>
      <c r="B2152" t="inlineStr">
        <is>
          <t>11주차</t>
        </is>
      </c>
      <c r="C2152" t="inlineStr">
        <is>
          <t>OR</t>
        </is>
      </c>
      <c r="D2152" s="28" t="n">
        <v>46093</v>
      </c>
      <c r="E2152" t="inlineStr">
        <is>
          <t>오릭스</t>
        </is>
      </c>
      <c r="F2152" t="inlineStr">
        <is>
          <t>정대호</t>
        </is>
      </c>
      <c r="G2152" t="inlineStr">
        <is>
          <t>010-8527-5064</t>
        </is>
      </c>
      <c r="H2152" t="inlineStr">
        <is>
          <t>166모4811</t>
        </is>
      </c>
      <c r="I2152" t="n">
        <v>21300000</v>
      </c>
      <c r="J2152" t="n">
        <v>0.075</v>
      </c>
      <c r="K2152" t="n">
        <v>1.65</v>
      </c>
      <c r="L2152" t="n">
        <v>0.4</v>
      </c>
      <c r="M2152" t="n">
        <v>1.25</v>
      </c>
      <c r="P2152" t="inlineStr">
        <is>
          <t>구성완</t>
        </is>
      </c>
      <c r="AB2152" t="inlineStr">
        <is>
          <t>엔카</t>
        </is>
      </c>
      <c r="AC2152" t="n">
        <v>351450</v>
      </c>
      <c r="AD2152" t="n">
        <v>85200</v>
      </c>
      <c r="AE2152" t="n">
        <v>266250</v>
      </c>
      <c r="AF2152" t="n">
        <v>319500</v>
      </c>
      <c r="AG2152" t="n">
        <v>82388.39999999999</v>
      </c>
      <c r="AH2152" t="n">
        <v>237111.6</v>
      </c>
      <c r="AI2152" t="n">
        <v>0</v>
      </c>
    </row>
    <row r="2153">
      <c r="A2153" t="inlineStr">
        <is>
          <t>3월</t>
        </is>
      </c>
      <c r="B2153" t="inlineStr">
        <is>
          <t>11주차</t>
        </is>
      </c>
      <c r="C2153" t="inlineStr">
        <is>
          <t>IM</t>
        </is>
      </c>
      <c r="D2153" s="28" t="n">
        <v>46093</v>
      </c>
      <c r="E2153" t="inlineStr">
        <is>
          <t>IM캐피탈</t>
        </is>
      </c>
      <c r="F2153" t="inlineStr">
        <is>
          <t>김현준</t>
        </is>
      </c>
      <c r="G2153" t="inlineStr">
        <is>
          <t>010-9060-9145</t>
        </is>
      </c>
      <c r="H2153" t="inlineStr">
        <is>
          <t>175수7200</t>
        </is>
      </c>
      <c r="I2153" t="n">
        <v>60500000</v>
      </c>
      <c r="J2153" t="n">
        <v>0.049</v>
      </c>
      <c r="K2153" t="n">
        <v>1.1</v>
      </c>
      <c r="L2153" t="n">
        <v>0.14</v>
      </c>
      <c r="M2153" t="n">
        <v>0.96</v>
      </c>
      <c r="P2153" t="inlineStr">
        <is>
          <t>박소현</t>
        </is>
      </c>
      <c r="Q2153" t="inlineStr">
        <is>
          <t>선상담 / 홈서비스 72개월</t>
        </is>
      </c>
      <c r="AB2153" t="inlineStr">
        <is>
          <t>홈서비스</t>
        </is>
      </c>
      <c r="AC2153" t="n">
        <v>665500</v>
      </c>
      <c r="AD2153" t="n">
        <v>84700</v>
      </c>
      <c r="AE2153" t="n">
        <v>580800</v>
      </c>
      <c r="AF2153" t="n">
        <v>605000</v>
      </c>
      <c r="AG2153" t="n">
        <v>81904.89999999999</v>
      </c>
      <c r="AH2153" t="n">
        <v>523095.1</v>
      </c>
      <c r="AI2153" t="n">
        <v>0</v>
      </c>
    </row>
    <row r="2154">
      <c r="A2154" t="inlineStr">
        <is>
          <t>3월</t>
        </is>
      </c>
      <c r="B2154" t="inlineStr">
        <is>
          <t>11주차</t>
        </is>
      </c>
      <c r="C2154" t="inlineStr">
        <is>
          <t>OR</t>
        </is>
      </c>
      <c r="D2154" s="28" t="n">
        <v>46093</v>
      </c>
      <c r="E2154" t="inlineStr">
        <is>
          <t>오릭스</t>
        </is>
      </c>
      <c r="F2154" t="inlineStr">
        <is>
          <t>김동건</t>
        </is>
      </c>
      <c r="G2154" t="inlineStr">
        <is>
          <t>010-4085-3633</t>
        </is>
      </c>
      <c r="H2154" t="inlineStr">
        <is>
          <t>34구9793</t>
        </is>
      </c>
      <c r="I2154" t="n">
        <v>21700000</v>
      </c>
      <c r="J2154" t="n">
        <v>0.059</v>
      </c>
      <c r="K2154" t="n">
        <v>1.65</v>
      </c>
      <c r="L2154" t="n">
        <v>0.4</v>
      </c>
      <c r="M2154" t="n">
        <v>1.25</v>
      </c>
      <c r="P2154" t="inlineStr">
        <is>
          <t>박소현</t>
        </is>
      </c>
      <c r="AB2154" t="inlineStr">
        <is>
          <t>엔카</t>
        </is>
      </c>
      <c r="AC2154" t="n">
        <v>358050</v>
      </c>
      <c r="AD2154" t="n">
        <v>86800</v>
      </c>
      <c r="AE2154" t="n">
        <v>271250</v>
      </c>
      <c r="AF2154" t="n">
        <v>325500</v>
      </c>
      <c r="AG2154" t="n">
        <v>83935.60000000001</v>
      </c>
      <c r="AH2154" t="n">
        <v>241564.4</v>
      </c>
    </row>
    <row r="2155">
      <c r="A2155" t="inlineStr">
        <is>
          <t>3월</t>
        </is>
      </c>
      <c r="B2155" t="inlineStr">
        <is>
          <t>11주차</t>
        </is>
      </c>
      <c r="C2155" t="inlineStr">
        <is>
          <t>IM</t>
        </is>
      </c>
      <c r="D2155" s="28" t="n">
        <v>46094</v>
      </c>
      <c r="E2155" t="inlineStr">
        <is>
          <t>IM캐피탈</t>
        </is>
      </c>
      <c r="F2155" t="inlineStr">
        <is>
          <t>홍상희</t>
        </is>
      </c>
      <c r="G2155" t="inlineStr">
        <is>
          <t>010-8502-2047</t>
        </is>
      </c>
      <c r="H2155" t="inlineStr">
        <is>
          <t>63루4308</t>
        </is>
      </c>
      <c r="I2155" t="n">
        <v>6800000</v>
      </c>
      <c r="J2155" t="n">
        <v>0.082</v>
      </c>
      <c r="K2155" t="n">
        <v>1.1</v>
      </c>
      <c r="L2155" t="n">
        <v>0.14</v>
      </c>
      <c r="M2155" t="n">
        <v>0.96</v>
      </c>
      <c r="P2155" t="inlineStr">
        <is>
          <t>최형주</t>
        </is>
      </c>
      <c r="Q2155" t="inlineStr">
        <is>
          <t>홈서비스 72개월 / 부대비용 추가진행</t>
        </is>
      </c>
      <c r="AB2155" t="inlineStr">
        <is>
          <t>홈서비스</t>
        </is>
      </c>
      <c r="AC2155" t="n">
        <v>74800</v>
      </c>
      <c r="AD2155" t="n">
        <v>9520</v>
      </c>
      <c r="AE2155" t="n">
        <v>65280</v>
      </c>
      <c r="AF2155" t="n">
        <v>68000</v>
      </c>
      <c r="AG2155" t="n">
        <v>9205.84</v>
      </c>
      <c r="AH2155" t="n">
        <v>58794.16</v>
      </c>
    </row>
    <row r="2156">
      <c r="A2156" t="inlineStr">
        <is>
          <t>3월</t>
        </is>
      </c>
      <c r="B2156" t="inlineStr">
        <is>
          <t>11주차</t>
        </is>
      </c>
      <c r="C2156" t="inlineStr">
        <is>
          <t>IM</t>
        </is>
      </c>
      <c r="D2156" s="28" t="n">
        <v>46092</v>
      </c>
      <c r="E2156" t="inlineStr">
        <is>
          <t>IM캐피탈</t>
        </is>
      </c>
      <c r="F2156" t="inlineStr">
        <is>
          <t>임희정</t>
        </is>
      </c>
      <c r="G2156" t="inlineStr">
        <is>
          <t>010-7907-7664</t>
        </is>
      </c>
      <c r="H2156" t="inlineStr">
        <is>
          <t>32너0221</t>
        </is>
      </c>
      <c r="I2156" t="n">
        <v>-4800000</v>
      </c>
      <c r="J2156" t="n">
        <v>0.056</v>
      </c>
      <c r="K2156" t="n">
        <v>1.1</v>
      </c>
      <c r="L2156" t="n">
        <v>0.14</v>
      </c>
      <c r="M2156" t="n">
        <v>0.96</v>
      </c>
      <c r="P2156" t="inlineStr">
        <is>
          <t>박보람</t>
        </is>
      </c>
      <c r="Q2156" t="inlineStr">
        <is>
          <t>선상담 / 홈서비스 48개월 / 부대비용 추가진행</t>
        </is>
      </c>
      <c r="AB2156" t="inlineStr">
        <is>
          <t>홈서비스</t>
        </is>
      </c>
      <c r="AC2156" t="n">
        <v>-52800</v>
      </c>
      <c r="AD2156" t="n">
        <v>-6720</v>
      </c>
      <c r="AE2156" t="n">
        <v>-46080</v>
      </c>
      <c r="AF2156" t="n">
        <v>-48000</v>
      </c>
      <c r="AG2156" t="n">
        <v>-6498.24</v>
      </c>
      <c r="AH2156" t="n">
        <v>-41501.76</v>
      </c>
    </row>
    <row r="2157">
      <c r="A2157" t="inlineStr">
        <is>
          <t>3월</t>
        </is>
      </c>
      <c r="B2157" t="inlineStr">
        <is>
          <t>11주차</t>
        </is>
      </c>
      <c r="C2157" t="inlineStr">
        <is>
          <t>IM</t>
        </is>
      </c>
      <c r="D2157" s="28" t="n">
        <v>46094</v>
      </c>
      <c r="E2157" t="inlineStr">
        <is>
          <t>IM캐피탈</t>
        </is>
      </c>
      <c r="F2157" t="inlineStr">
        <is>
          <t>박병민</t>
        </is>
      </c>
      <c r="G2157" t="inlineStr">
        <is>
          <t>010-8384-4964</t>
        </is>
      </c>
      <c r="H2157" t="inlineStr">
        <is>
          <t>136더6699</t>
        </is>
      </c>
      <c r="I2157" t="n">
        <v>38900000</v>
      </c>
      <c r="J2157" t="n">
        <v>0.049</v>
      </c>
      <c r="K2157" t="n">
        <v>1.1</v>
      </c>
      <c r="L2157" t="n">
        <v>0.14</v>
      </c>
      <c r="M2157" t="n">
        <v>0.96</v>
      </c>
      <c r="P2157" t="inlineStr">
        <is>
          <t>정하은</t>
        </is>
      </c>
      <c r="Q2157" t="inlineStr">
        <is>
          <t xml:space="preserve">선상담 /홈서비스 60개월 </t>
        </is>
      </c>
      <c r="AB2157" t="inlineStr">
        <is>
          <t>홈서비스</t>
        </is>
      </c>
      <c r="AC2157" t="n">
        <v>427900</v>
      </c>
      <c r="AD2157" t="n">
        <v>54460</v>
      </c>
      <c r="AE2157" t="n">
        <v>373440</v>
      </c>
      <c r="AF2157" t="n">
        <v>389000</v>
      </c>
      <c r="AG2157" t="n">
        <v>52662.82</v>
      </c>
      <c r="AH2157" t="n">
        <v>336337.18</v>
      </c>
    </row>
    <row r="2158">
      <c r="A2158" t="inlineStr">
        <is>
          <t>3월</t>
        </is>
      </c>
      <c r="B2158" t="inlineStr">
        <is>
          <t>11주차</t>
        </is>
      </c>
      <c r="C2158" t="inlineStr">
        <is>
          <t>IM</t>
        </is>
      </c>
      <c r="D2158" s="28" t="n">
        <v>46093</v>
      </c>
      <c r="E2158" t="inlineStr">
        <is>
          <t>IM캐피탈</t>
        </is>
      </c>
      <c r="F2158" t="inlineStr">
        <is>
          <t>김정수</t>
        </is>
      </c>
      <c r="G2158" t="inlineStr">
        <is>
          <t>010-7707-4770</t>
        </is>
      </c>
      <c r="H2158" t="inlineStr">
        <is>
          <t>31조0748</t>
        </is>
      </c>
      <c r="I2158" t="n">
        <v>-3900000</v>
      </c>
      <c r="J2158" t="n">
        <v>0.049</v>
      </c>
      <c r="K2158" t="n">
        <v>1.1</v>
      </c>
      <c r="L2158" t="n">
        <v>0.14</v>
      </c>
      <c r="M2158" t="n">
        <v>0.96</v>
      </c>
      <c r="P2158" t="inlineStr">
        <is>
          <t>김수연</t>
        </is>
      </c>
      <c r="Q2158" t="inlineStr">
        <is>
          <t>홈서비스 36개월</t>
        </is>
      </c>
      <c r="AB2158" t="inlineStr">
        <is>
          <t>홈서비스</t>
        </is>
      </c>
      <c r="AC2158" t="n">
        <v>-42900</v>
      </c>
      <c r="AD2158" t="n">
        <v>-5460</v>
      </c>
      <c r="AE2158" t="n">
        <v>-37440</v>
      </c>
      <c r="AF2158" t="n">
        <v>-39000</v>
      </c>
      <c r="AG2158" t="n">
        <v>-5279.82</v>
      </c>
      <c r="AH2158" t="n">
        <v>-33720.18</v>
      </c>
    </row>
    <row r="2159">
      <c r="A2159" t="inlineStr">
        <is>
          <t>3월</t>
        </is>
      </c>
      <c r="B2159" t="inlineStr">
        <is>
          <t>11주차</t>
        </is>
      </c>
      <c r="C2159" t="inlineStr">
        <is>
          <t>IM</t>
        </is>
      </c>
      <c r="D2159" s="28" t="n">
        <v>46094</v>
      </c>
      <c r="E2159" t="inlineStr">
        <is>
          <t>IM캐피탈</t>
        </is>
      </c>
      <c r="F2159" t="inlineStr">
        <is>
          <t>정찬호</t>
        </is>
      </c>
      <c r="G2159" t="inlineStr">
        <is>
          <t>010-4183-2478</t>
        </is>
      </c>
      <c r="H2159" t="inlineStr">
        <is>
          <t>132로1919</t>
        </is>
      </c>
      <c r="I2159" t="n">
        <v>70000000</v>
      </c>
      <c r="J2159" t="n">
        <v>0.075</v>
      </c>
      <c r="K2159" t="n">
        <v>1.1</v>
      </c>
      <c r="L2159" t="n">
        <v>0.14</v>
      </c>
      <c r="M2159" t="n">
        <v>0.96</v>
      </c>
      <c r="P2159" t="inlineStr">
        <is>
          <t>황채이</t>
        </is>
      </c>
      <c r="Q2159" t="inlineStr">
        <is>
          <t>홈서비스 60개월</t>
        </is>
      </c>
      <c r="AB2159" t="inlineStr">
        <is>
          <t>홈서비스</t>
        </is>
      </c>
      <c r="AC2159" t="n">
        <v>770000</v>
      </c>
      <c r="AD2159" t="n">
        <v>98000</v>
      </c>
      <c r="AE2159" t="n">
        <v>672000</v>
      </c>
      <c r="AF2159" t="n">
        <v>700000</v>
      </c>
      <c r="AG2159" t="n">
        <v>94766</v>
      </c>
      <c r="AH2159" t="n">
        <v>605234</v>
      </c>
      <c r="AI2159" t="n">
        <v>0</v>
      </c>
    </row>
    <row r="2160">
      <c r="A2160" t="inlineStr">
        <is>
          <t>3월</t>
        </is>
      </c>
      <c r="B2160" t="inlineStr">
        <is>
          <t>11주차</t>
        </is>
      </c>
      <c r="C2160" t="inlineStr">
        <is>
          <t>EP</t>
        </is>
      </c>
      <c r="D2160" s="28" t="n">
        <v>46092</v>
      </c>
      <c r="E2160" t="inlineStr">
        <is>
          <t>제이비EP</t>
        </is>
      </c>
      <c r="F2160" t="inlineStr">
        <is>
          <t>양성훈</t>
        </is>
      </c>
      <c r="G2160" t="inlineStr">
        <is>
          <t>010-9283-1515</t>
        </is>
      </c>
      <c r="H2160" t="inlineStr">
        <is>
          <t>18조7737</t>
        </is>
      </c>
      <c r="I2160" t="n">
        <v>9000000</v>
      </c>
      <c r="J2160" t="n">
        <v>0.06900000000000001</v>
      </c>
      <c r="K2160" t="n">
        <v>1.65</v>
      </c>
      <c r="L2160" t="n">
        <v>0.14</v>
      </c>
      <c r="M2160" t="n">
        <v>1.51</v>
      </c>
      <c r="P2160" t="inlineStr">
        <is>
          <t>최혁</t>
        </is>
      </c>
      <c r="Q2160" t="inlineStr">
        <is>
          <t>홈서비스60개월</t>
        </is>
      </c>
      <c r="AB2160" t="inlineStr">
        <is>
          <t>홈서비스</t>
        </is>
      </c>
      <c r="AC2160" t="n">
        <v>148500</v>
      </c>
      <c r="AD2160" t="n">
        <v>12600</v>
      </c>
      <c r="AE2160" t="n">
        <v>135900</v>
      </c>
      <c r="AF2160" t="n">
        <v>135000</v>
      </c>
      <c r="AG2160" t="n">
        <v>12184.2</v>
      </c>
      <c r="AH2160" t="n">
        <v>122815.8</v>
      </c>
    </row>
    <row r="2161">
      <c r="A2161" t="inlineStr">
        <is>
          <t>3월</t>
        </is>
      </c>
      <c r="B2161" t="inlineStr">
        <is>
          <t>11주차</t>
        </is>
      </c>
      <c r="C2161" t="inlineStr">
        <is>
          <t>OR</t>
        </is>
      </c>
      <c r="D2161" s="28" t="n">
        <v>46094</v>
      </c>
      <c r="E2161" t="inlineStr">
        <is>
          <t>오릭스</t>
        </is>
      </c>
      <c r="F2161" t="inlineStr">
        <is>
          <t>공준배</t>
        </is>
      </c>
      <c r="G2161" t="inlineStr">
        <is>
          <t>010-9557-8595</t>
        </is>
      </c>
      <c r="H2161" t="inlineStr">
        <is>
          <t>234로1953</t>
        </is>
      </c>
      <c r="I2161" t="n">
        <v>36700000</v>
      </c>
      <c r="J2161" t="n">
        <v>0.059</v>
      </c>
      <c r="K2161" t="n">
        <v>1.65</v>
      </c>
      <c r="L2161" t="n">
        <v>0.14</v>
      </c>
      <c r="M2161" t="n">
        <v>1.51</v>
      </c>
      <c r="P2161" t="inlineStr">
        <is>
          <t>정하은</t>
        </is>
      </c>
      <c r="Q2161" t="inlineStr">
        <is>
          <t xml:space="preserve">선상담 /홈서비스 60개월 </t>
        </is>
      </c>
      <c r="AB2161" t="inlineStr">
        <is>
          <t>홈서비스</t>
        </is>
      </c>
      <c r="AC2161" t="n">
        <v>605550</v>
      </c>
      <c r="AD2161" t="n">
        <v>51380</v>
      </c>
      <c r="AE2161" t="n">
        <v>554170</v>
      </c>
      <c r="AF2161" t="n">
        <v>550500</v>
      </c>
      <c r="AG2161" t="n">
        <v>49684.46</v>
      </c>
      <c r="AH2161" t="n">
        <v>500815.54</v>
      </c>
      <c r="AI2161" t="n">
        <v>0</v>
      </c>
    </row>
    <row r="2162">
      <c r="A2162" t="inlineStr">
        <is>
          <t>3월</t>
        </is>
      </c>
      <c r="B2162" t="inlineStr">
        <is>
          <t>11주차</t>
        </is>
      </c>
      <c r="C2162" t="inlineStr">
        <is>
          <t>IM</t>
        </is>
      </c>
      <c r="D2162" s="28" t="n">
        <v>46092</v>
      </c>
      <c r="E2162" t="inlineStr">
        <is>
          <t>IM캐피탈</t>
        </is>
      </c>
      <c r="F2162" t="inlineStr">
        <is>
          <t>박진수</t>
        </is>
      </c>
      <c r="G2162" t="inlineStr">
        <is>
          <t>010-3954-6785</t>
        </is>
      </c>
      <c r="H2162" t="inlineStr">
        <is>
          <t>36모3989</t>
        </is>
      </c>
      <c r="I2162" t="n">
        <v>10200000</v>
      </c>
      <c r="J2162" t="n">
        <v>0.039</v>
      </c>
      <c r="K2162" t="n">
        <v>1.1</v>
      </c>
      <c r="L2162" t="n">
        <v>0.14</v>
      </c>
      <c r="M2162" t="n">
        <v>0.96</v>
      </c>
      <c r="P2162" t="inlineStr">
        <is>
          <t>최혁</t>
        </is>
      </c>
      <c r="Q2162" t="inlineStr">
        <is>
          <t>홈서비스36개월</t>
        </is>
      </c>
      <c r="AB2162" t="inlineStr">
        <is>
          <t>홈서비스</t>
        </is>
      </c>
      <c r="AC2162" t="n">
        <v>112200</v>
      </c>
      <c r="AD2162" t="n">
        <v>14280</v>
      </c>
      <c r="AE2162" t="n">
        <v>97920</v>
      </c>
      <c r="AF2162" t="n">
        <v>102000</v>
      </c>
      <c r="AG2162" t="n">
        <v>13808.76</v>
      </c>
      <c r="AH2162" t="n">
        <v>88191.24000000001</v>
      </c>
      <c r="AI2162" t="n">
        <v>0</v>
      </c>
    </row>
    <row r="2163">
      <c r="A2163" t="inlineStr">
        <is>
          <t>3월</t>
        </is>
      </c>
      <c r="B2163" t="inlineStr">
        <is>
          <t>11주차</t>
        </is>
      </c>
      <c r="C2163" t="inlineStr">
        <is>
          <t>IM</t>
        </is>
      </c>
      <c r="D2163" s="28" t="n">
        <v>46094</v>
      </c>
      <c r="E2163" t="inlineStr">
        <is>
          <t>IM캐피탈</t>
        </is>
      </c>
      <c r="F2163" t="inlineStr">
        <is>
          <t>박희진</t>
        </is>
      </c>
      <c r="G2163" t="inlineStr">
        <is>
          <t>010-5596-4151</t>
        </is>
      </c>
      <c r="H2163" t="inlineStr">
        <is>
          <t>120너7316</t>
        </is>
      </c>
      <c r="I2163" t="n">
        <v>17300000</v>
      </c>
      <c r="J2163" t="n">
        <v>0.039</v>
      </c>
      <c r="K2163" t="n">
        <v>1.1</v>
      </c>
      <c r="L2163" t="n">
        <v>0.14</v>
      </c>
      <c r="M2163" t="n">
        <v>0.96</v>
      </c>
      <c r="P2163" t="inlineStr">
        <is>
          <t>정하은</t>
        </is>
      </c>
      <c r="Q2163" t="inlineStr">
        <is>
          <t xml:space="preserve">선상담 /홈서비스 72개월 </t>
        </is>
      </c>
      <c r="AB2163" t="inlineStr">
        <is>
          <t>홈서비스</t>
        </is>
      </c>
      <c r="AC2163" t="n">
        <v>190300</v>
      </c>
      <c r="AD2163" t="n">
        <v>24220</v>
      </c>
      <c r="AE2163" t="n">
        <v>166080</v>
      </c>
      <c r="AF2163" t="n">
        <v>173000</v>
      </c>
      <c r="AG2163" t="n">
        <v>23420.74</v>
      </c>
      <c r="AH2163" t="n">
        <v>149579.26</v>
      </c>
      <c r="AI2163" t="n">
        <v>0</v>
      </c>
    </row>
    <row r="2164">
      <c r="A2164" t="inlineStr">
        <is>
          <t>3월</t>
        </is>
      </c>
      <c r="B2164" t="inlineStr">
        <is>
          <t>11주차</t>
        </is>
      </c>
      <c r="C2164" t="inlineStr">
        <is>
          <t>EP</t>
        </is>
      </c>
      <c r="D2164" s="28" t="n">
        <v>46094</v>
      </c>
      <c r="E2164" t="inlineStr">
        <is>
          <t>현대EP_fast</t>
        </is>
      </c>
      <c r="F2164" t="inlineStr">
        <is>
          <t>이성원</t>
        </is>
      </c>
      <c r="G2164" t="inlineStr">
        <is>
          <t>010-4004-2616</t>
        </is>
      </c>
      <c r="H2164" t="inlineStr">
        <is>
          <t>90거3575</t>
        </is>
      </c>
      <c r="I2164" t="n">
        <v>4900000</v>
      </c>
      <c r="J2164" t="n">
        <v>0.118</v>
      </c>
      <c r="K2164" t="n">
        <v>1.76</v>
      </c>
      <c r="L2164" t="n">
        <v>0.4</v>
      </c>
      <c r="M2164" t="n">
        <v>1.36</v>
      </c>
      <c r="P2164" t="inlineStr">
        <is>
          <t>박소현</t>
        </is>
      </c>
      <c r="Q2164" t="inlineStr">
        <is>
          <t>고객주도체결</t>
        </is>
      </c>
      <c r="AB2164" t="inlineStr">
        <is>
          <t>엔카</t>
        </is>
      </c>
      <c r="AC2164" t="n">
        <v>86240</v>
      </c>
      <c r="AD2164" t="n">
        <v>19600</v>
      </c>
      <c r="AE2164" t="n">
        <v>66640</v>
      </c>
      <c r="AF2164" t="n">
        <v>78400</v>
      </c>
      <c r="AG2164" t="n">
        <v>18953.2</v>
      </c>
      <c r="AH2164" t="n">
        <v>59446.8</v>
      </c>
    </row>
    <row r="2165">
      <c r="A2165" t="inlineStr">
        <is>
          <t>3월</t>
        </is>
      </c>
      <c r="B2165" t="inlineStr">
        <is>
          <t>11주차</t>
        </is>
      </c>
      <c r="C2165" t="inlineStr">
        <is>
          <t>EP</t>
        </is>
      </c>
      <c r="D2165" s="28" t="n">
        <v>46094</v>
      </c>
      <c r="E2165" t="inlineStr">
        <is>
          <t>현대EP</t>
        </is>
      </c>
      <c r="F2165" t="inlineStr">
        <is>
          <t>김대하</t>
        </is>
      </c>
      <c r="G2165" t="inlineStr">
        <is>
          <t>010-3218-0301</t>
        </is>
      </c>
      <c r="H2165" t="inlineStr">
        <is>
          <t>142버5492</t>
        </is>
      </c>
      <c r="I2165" t="n">
        <v>31500000</v>
      </c>
      <c r="J2165" t="n">
        <v>0.07099999999999999</v>
      </c>
      <c r="K2165" t="n">
        <v>1.76</v>
      </c>
      <c r="L2165" t="n">
        <v>0.14</v>
      </c>
      <c r="M2165" t="n">
        <v>1.62</v>
      </c>
      <c r="P2165" t="inlineStr">
        <is>
          <t>황채이</t>
        </is>
      </c>
      <c r="Q2165" t="inlineStr">
        <is>
          <t>홈서비스 60개월</t>
        </is>
      </c>
      <c r="AB2165" t="inlineStr">
        <is>
          <t>홈서비스</t>
        </is>
      </c>
      <c r="AC2165" t="n">
        <v>554400</v>
      </c>
      <c r="AD2165" t="n">
        <v>44100</v>
      </c>
      <c r="AE2165" t="n">
        <v>510300</v>
      </c>
      <c r="AF2165" t="n">
        <v>504000</v>
      </c>
      <c r="AG2165" t="n">
        <v>42644.7</v>
      </c>
      <c r="AH2165" t="n">
        <v>461355.3</v>
      </c>
      <c r="AI2165" t="n">
        <v>0</v>
      </c>
    </row>
    <row r="2166">
      <c r="A2166" t="inlineStr">
        <is>
          <t>3월</t>
        </is>
      </c>
      <c r="B2166" t="inlineStr">
        <is>
          <t>11주차</t>
        </is>
      </c>
      <c r="C2166" t="inlineStr">
        <is>
          <t>IM</t>
        </is>
      </c>
      <c r="D2166" s="28" t="n">
        <v>46093</v>
      </c>
      <c r="E2166" t="inlineStr">
        <is>
          <t>IM캐피탈</t>
        </is>
      </c>
      <c r="F2166" t="inlineStr">
        <is>
          <t>최재원</t>
        </is>
      </c>
      <c r="G2166" t="inlineStr">
        <is>
          <t>010-2579-6770</t>
        </is>
      </c>
      <c r="H2166" t="inlineStr">
        <is>
          <t>155보6117</t>
        </is>
      </c>
      <c r="I2166" t="n">
        <v>100000000</v>
      </c>
      <c r="J2166" t="n">
        <v>0.039</v>
      </c>
      <c r="K2166" t="n">
        <v>1.1</v>
      </c>
      <c r="L2166" t="n">
        <v>0.4</v>
      </c>
      <c r="M2166" t="n">
        <v>0.7</v>
      </c>
      <c r="P2166" t="inlineStr">
        <is>
          <t>장현경</t>
        </is>
      </c>
      <c r="AB2166" t="inlineStr">
        <is>
          <t>엔카</t>
        </is>
      </c>
      <c r="AC2166" t="n">
        <v>1100000</v>
      </c>
      <c r="AD2166" t="n">
        <v>400000</v>
      </c>
      <c r="AE2166" t="n">
        <v>700000</v>
      </c>
      <c r="AF2166" t="n">
        <v>1000000</v>
      </c>
      <c r="AG2166" t="n">
        <v>386800</v>
      </c>
      <c r="AH2166" t="n">
        <v>613200</v>
      </c>
    </row>
    <row r="2167">
      <c r="A2167" t="inlineStr">
        <is>
          <t>3월</t>
        </is>
      </c>
      <c r="B2167" t="inlineStr">
        <is>
          <t>11주차</t>
        </is>
      </c>
      <c r="C2167" t="inlineStr">
        <is>
          <t>EP</t>
        </is>
      </c>
      <c r="D2167" s="28" t="n">
        <v>46093</v>
      </c>
      <c r="E2167" t="inlineStr">
        <is>
          <t>현대EP_fast</t>
        </is>
      </c>
      <c r="F2167" t="inlineStr">
        <is>
          <t>여인혜</t>
        </is>
      </c>
      <c r="G2167" t="inlineStr">
        <is>
          <t>010-3706-6852</t>
        </is>
      </c>
      <c r="H2167" t="inlineStr">
        <is>
          <t>62무2823</t>
        </is>
      </c>
      <c r="I2167" t="n">
        <v>4500000</v>
      </c>
      <c r="J2167" t="n">
        <v>0.08500000000000001</v>
      </c>
      <c r="K2167" t="n">
        <v>1.76</v>
      </c>
      <c r="L2167" t="n">
        <v>0.14</v>
      </c>
      <c r="M2167" t="n">
        <v>1.62</v>
      </c>
      <c r="P2167" t="inlineStr">
        <is>
          <t>정광호</t>
        </is>
      </c>
      <c r="Q2167" t="inlineStr">
        <is>
          <t>홈서비스 36개월</t>
        </is>
      </c>
      <c r="AB2167" t="inlineStr">
        <is>
          <t>홈서비스</t>
        </is>
      </c>
      <c r="AC2167" t="n">
        <v>79200</v>
      </c>
      <c r="AD2167" t="n">
        <v>6300</v>
      </c>
      <c r="AE2167" t="n">
        <v>72900</v>
      </c>
      <c r="AF2167" t="n">
        <v>72000</v>
      </c>
      <c r="AG2167" t="n">
        <v>6092.1</v>
      </c>
      <c r="AH2167" t="n">
        <v>65907.89999999999</v>
      </c>
    </row>
    <row r="2168">
      <c r="A2168" t="inlineStr">
        <is>
          <t>3월</t>
        </is>
      </c>
      <c r="B2168" t="inlineStr">
        <is>
          <t>11주차</t>
        </is>
      </c>
      <c r="C2168" t="inlineStr">
        <is>
          <t>EP</t>
        </is>
      </c>
      <c r="D2168" s="28" t="n">
        <v>46094</v>
      </c>
      <c r="E2168" t="inlineStr">
        <is>
          <t>현대EP</t>
        </is>
      </c>
      <c r="F2168" t="inlineStr">
        <is>
          <t>박준영</t>
        </is>
      </c>
      <c r="G2168" t="inlineStr">
        <is>
          <t>010-9045-9051</t>
        </is>
      </c>
      <c r="H2168" t="inlineStr">
        <is>
          <t>331주3331</t>
        </is>
      </c>
      <c r="I2168" t="n">
        <v>10800000</v>
      </c>
      <c r="J2168" t="n">
        <v>0.118</v>
      </c>
      <c r="K2168" t="n">
        <v>1.76</v>
      </c>
      <c r="L2168" t="n">
        <v>0.14</v>
      </c>
      <c r="M2168" t="n">
        <v>1.62</v>
      </c>
      <c r="P2168" t="inlineStr">
        <is>
          <t>황채이</t>
        </is>
      </c>
      <c r="Q2168" t="inlineStr">
        <is>
          <t>홈서비스 36개월</t>
        </is>
      </c>
      <c r="AB2168" t="inlineStr">
        <is>
          <t>홈서비스</t>
        </is>
      </c>
      <c r="AC2168" t="n">
        <v>190080</v>
      </c>
      <c r="AD2168" t="n">
        <v>15120</v>
      </c>
      <c r="AE2168" t="n">
        <v>174960</v>
      </c>
      <c r="AF2168" t="n">
        <v>172800</v>
      </c>
      <c r="AG2168" t="n">
        <v>14621.04</v>
      </c>
      <c r="AH2168" t="n">
        <v>158178.96</v>
      </c>
      <c r="AI2168" t="n">
        <v>0</v>
      </c>
    </row>
    <row r="2169">
      <c r="A2169" t="inlineStr">
        <is>
          <t>3월</t>
        </is>
      </c>
      <c r="B2169" t="inlineStr">
        <is>
          <t>11주차</t>
        </is>
      </c>
      <c r="C2169" t="inlineStr">
        <is>
          <t>OR</t>
        </is>
      </c>
      <c r="D2169" s="28" t="n">
        <v>46094</v>
      </c>
      <c r="E2169" t="inlineStr">
        <is>
          <t>오릭스</t>
        </is>
      </c>
      <c r="F2169" t="inlineStr">
        <is>
          <t>고현호</t>
        </is>
      </c>
      <c r="G2169" t="inlineStr">
        <is>
          <t>010-9107-2856</t>
        </is>
      </c>
      <c r="H2169" t="inlineStr">
        <is>
          <t>172오9322</t>
        </is>
      </c>
      <c r="I2169" t="n">
        <v>35000000</v>
      </c>
      <c r="J2169" t="n">
        <v>0.064</v>
      </c>
      <c r="K2169" t="n">
        <v>1.65</v>
      </c>
      <c r="L2169" t="n">
        <v>0.14</v>
      </c>
      <c r="M2169" t="n">
        <v>1.51</v>
      </c>
      <c r="P2169" t="inlineStr">
        <is>
          <t>최형주</t>
        </is>
      </c>
      <c r="Q2169" t="inlineStr">
        <is>
          <t xml:space="preserve">홈서비스 60개월 </t>
        </is>
      </c>
      <c r="AB2169" t="inlineStr">
        <is>
          <t>홈서비스</t>
        </is>
      </c>
      <c r="AC2169" t="n">
        <v>577500</v>
      </c>
      <c r="AD2169" t="n">
        <v>49000</v>
      </c>
      <c r="AE2169" t="n">
        <v>528500</v>
      </c>
      <c r="AF2169" t="n">
        <v>525000</v>
      </c>
      <c r="AG2169" t="n">
        <v>47383</v>
      </c>
      <c r="AH2169" t="n">
        <v>477617</v>
      </c>
      <c r="AI2169" t="n">
        <v>0</v>
      </c>
    </row>
    <row r="2170">
      <c r="A2170" t="inlineStr">
        <is>
          <t>3월</t>
        </is>
      </c>
      <c r="B2170" t="inlineStr">
        <is>
          <t>11주차</t>
        </is>
      </c>
      <c r="C2170" t="inlineStr">
        <is>
          <t>EP</t>
        </is>
      </c>
      <c r="D2170" s="28" t="n">
        <v>46094</v>
      </c>
      <c r="E2170" t="inlineStr">
        <is>
          <t>현대EP</t>
        </is>
      </c>
      <c r="F2170" t="inlineStr">
        <is>
          <t>이기민</t>
        </is>
      </c>
      <c r="G2170" t="inlineStr">
        <is>
          <t>010-3329-2271</t>
        </is>
      </c>
      <c r="H2170" t="inlineStr">
        <is>
          <t>386머9892</t>
        </is>
      </c>
      <c r="I2170" t="n">
        <v>13300000</v>
      </c>
      <c r="J2170" t="n">
        <v>0.075</v>
      </c>
      <c r="K2170" t="n">
        <v>1.76</v>
      </c>
      <c r="L2170" t="n">
        <v>0.14</v>
      </c>
      <c r="M2170" t="n">
        <v>1.62</v>
      </c>
      <c r="P2170" t="inlineStr">
        <is>
          <t>황채이</t>
        </is>
      </c>
      <c r="Q2170" t="inlineStr">
        <is>
          <t>홈서비스 48개월</t>
        </is>
      </c>
      <c r="AB2170" t="inlineStr">
        <is>
          <t>홈서비스</t>
        </is>
      </c>
      <c r="AC2170" t="n">
        <v>234080</v>
      </c>
      <c r="AD2170" t="n">
        <v>18620</v>
      </c>
      <c r="AE2170" t="n">
        <v>215460</v>
      </c>
      <c r="AF2170" t="n">
        <v>212800</v>
      </c>
      <c r="AG2170" t="n">
        <v>18005.54</v>
      </c>
      <c r="AH2170" t="n">
        <v>194794.46</v>
      </c>
      <c r="AI2170" t="n">
        <v>0</v>
      </c>
    </row>
    <row r="2171">
      <c r="A2171" t="inlineStr">
        <is>
          <t>3월</t>
        </is>
      </c>
      <c r="B2171" t="inlineStr">
        <is>
          <t>11주차</t>
        </is>
      </c>
      <c r="C2171" t="inlineStr">
        <is>
          <t>IM</t>
        </is>
      </c>
      <c r="D2171" s="28" t="n">
        <v>46095</v>
      </c>
      <c r="E2171" t="inlineStr">
        <is>
          <t>IM캐피탈</t>
        </is>
      </c>
      <c r="F2171" t="inlineStr">
        <is>
          <t>박상희</t>
        </is>
      </c>
      <c r="G2171" t="inlineStr">
        <is>
          <t>010-4345-0140</t>
        </is>
      </c>
      <c r="H2171" t="inlineStr">
        <is>
          <t>33루3610</t>
        </is>
      </c>
      <c r="I2171" t="n">
        <v>13000000</v>
      </c>
      <c r="J2171" t="n">
        <v>0.049</v>
      </c>
      <c r="K2171" t="n">
        <v>1.1</v>
      </c>
      <c r="L2171" t="n">
        <v>0.5</v>
      </c>
      <c r="M2171" t="n">
        <v>0.6</v>
      </c>
      <c r="P2171" t="inlineStr">
        <is>
          <t>정하은</t>
        </is>
      </c>
      <c r="Q2171" t="inlineStr">
        <is>
          <t>부대비용 추가진행</t>
        </is>
      </c>
      <c r="AB2171" t="inlineStr">
        <is>
          <t>엔카</t>
        </is>
      </c>
      <c r="AC2171" t="n">
        <v>143000</v>
      </c>
      <c r="AD2171" t="n">
        <v>65000</v>
      </c>
      <c r="AE2171" t="n">
        <v>78000</v>
      </c>
      <c r="AF2171" t="n">
        <v>130000</v>
      </c>
      <c r="AG2171" t="n">
        <v>62855</v>
      </c>
      <c r="AH2171" t="n">
        <v>67145</v>
      </c>
      <c r="AI2171" t="n">
        <v>0</v>
      </c>
    </row>
    <row r="2172">
      <c r="A2172" t="inlineStr">
        <is>
          <t>3월</t>
        </is>
      </c>
      <c r="B2172" t="inlineStr">
        <is>
          <t>11주차</t>
        </is>
      </c>
      <c r="C2172" t="inlineStr">
        <is>
          <t>IM</t>
        </is>
      </c>
      <c r="D2172" s="28" t="n">
        <v>46094</v>
      </c>
      <c r="E2172" t="inlineStr">
        <is>
          <t>IM캐피탈</t>
        </is>
      </c>
      <c r="F2172" t="inlineStr">
        <is>
          <t>김우식</t>
        </is>
      </c>
      <c r="G2172" t="inlineStr">
        <is>
          <t>010-8586-8568</t>
        </is>
      </c>
      <c r="H2172" t="inlineStr">
        <is>
          <t>63무5228</t>
        </is>
      </c>
      <c r="I2172" t="n">
        <v>6500000</v>
      </c>
      <c r="J2172" t="n">
        <v>0.082</v>
      </c>
      <c r="K2172" t="n">
        <v>1.1</v>
      </c>
      <c r="L2172" t="n">
        <v>0.14</v>
      </c>
      <c r="M2172" t="n">
        <v>0.96</v>
      </c>
      <c r="P2172" t="inlineStr">
        <is>
          <t>김수연</t>
        </is>
      </c>
      <c r="Q2172" t="inlineStr">
        <is>
          <t>홈서비스 24개월</t>
        </is>
      </c>
      <c r="AB2172" t="inlineStr">
        <is>
          <t>홈서비스</t>
        </is>
      </c>
      <c r="AC2172" t="n">
        <v>71500</v>
      </c>
      <c r="AD2172" t="n">
        <v>9100</v>
      </c>
      <c r="AE2172" t="n">
        <v>62400</v>
      </c>
      <c r="AF2172" t="n">
        <v>65000</v>
      </c>
      <c r="AG2172" t="n">
        <v>8799.700000000001</v>
      </c>
      <c r="AH2172" t="n">
        <v>56200.3</v>
      </c>
      <c r="AI2172" t="n">
        <v>0</v>
      </c>
    </row>
    <row r="2173">
      <c r="A2173" t="inlineStr">
        <is>
          <t>3월</t>
        </is>
      </c>
      <c r="B2173" t="inlineStr">
        <is>
          <t>11주차</t>
        </is>
      </c>
      <c r="C2173" t="inlineStr">
        <is>
          <t>EP</t>
        </is>
      </c>
      <c r="D2173" s="28" t="n">
        <v>46093</v>
      </c>
      <c r="E2173" t="inlineStr">
        <is>
          <t>현대EP</t>
        </is>
      </c>
      <c r="F2173" t="inlineStr">
        <is>
          <t>박창하</t>
        </is>
      </c>
      <c r="G2173" t="inlineStr">
        <is>
          <t>010-7355-1112</t>
        </is>
      </c>
      <c r="H2173" t="inlineStr">
        <is>
          <t>46부3819</t>
        </is>
      </c>
      <c r="I2173" t="n">
        <v>10000000</v>
      </c>
      <c r="J2173" t="n">
        <v>0.102</v>
      </c>
      <c r="K2173" t="n">
        <v>1.76</v>
      </c>
      <c r="L2173" t="n">
        <v>0.14</v>
      </c>
      <c r="M2173" t="n">
        <v>1.62</v>
      </c>
      <c r="P2173" t="inlineStr">
        <is>
          <t>정광호</t>
        </is>
      </c>
      <c r="Q2173" t="inlineStr">
        <is>
          <t>홈서비스 60개월</t>
        </is>
      </c>
      <c r="AB2173" t="inlineStr">
        <is>
          <t>홈서비스</t>
        </is>
      </c>
      <c r="AC2173" t="n">
        <v>176000</v>
      </c>
      <c r="AD2173" t="n">
        <v>14000</v>
      </c>
      <c r="AE2173" t="n">
        <v>162000</v>
      </c>
      <c r="AF2173" t="n">
        <v>160000</v>
      </c>
      <c r="AG2173" t="n">
        <v>13538</v>
      </c>
      <c r="AH2173" t="n">
        <v>146462</v>
      </c>
    </row>
    <row r="2174">
      <c r="A2174" t="inlineStr">
        <is>
          <t>3월</t>
        </is>
      </c>
      <c r="B2174" t="inlineStr">
        <is>
          <t>11주차</t>
        </is>
      </c>
      <c r="C2174" t="inlineStr">
        <is>
          <t>EP</t>
        </is>
      </c>
      <c r="D2174" s="28" t="n">
        <v>46096</v>
      </c>
      <c r="E2174" t="inlineStr">
        <is>
          <t>현대EP</t>
        </is>
      </c>
      <c r="F2174" t="inlineStr">
        <is>
          <t>이영호</t>
        </is>
      </c>
      <c r="G2174" t="inlineStr">
        <is>
          <t>010-9045-2399</t>
        </is>
      </c>
      <c r="H2174" t="inlineStr">
        <is>
          <t>19무4550</t>
        </is>
      </c>
      <c r="I2174" t="n">
        <v>3000000</v>
      </c>
      <c r="J2174" t="n">
        <v>0.07099999999999999</v>
      </c>
      <c r="K2174" t="n">
        <v>1.76</v>
      </c>
      <c r="L2174" t="n">
        <v>0.14</v>
      </c>
      <c r="M2174" t="n">
        <v>1.62</v>
      </c>
      <c r="P2174" t="inlineStr">
        <is>
          <t>황채이</t>
        </is>
      </c>
      <c r="Q2174" t="inlineStr">
        <is>
          <t>홈서비스 36개월</t>
        </is>
      </c>
      <c r="AB2174" t="inlineStr">
        <is>
          <t>홈서비스</t>
        </is>
      </c>
      <c r="AC2174" t="n">
        <v>52800</v>
      </c>
      <c r="AD2174" t="n">
        <v>4200</v>
      </c>
      <c r="AE2174" t="n">
        <v>48600</v>
      </c>
      <c r="AF2174" t="n">
        <v>48000</v>
      </c>
      <c r="AG2174" t="n">
        <v>4061.4</v>
      </c>
      <c r="AH2174" t="n">
        <v>43938.6</v>
      </c>
      <c r="AI2174" t="n">
        <v>0</v>
      </c>
    </row>
    <row r="2175">
      <c r="A2175" t="inlineStr">
        <is>
          <t>3월</t>
        </is>
      </c>
      <c r="B2175" t="inlineStr">
        <is>
          <t>11주차</t>
        </is>
      </c>
      <c r="C2175" t="inlineStr">
        <is>
          <t>EP</t>
        </is>
      </c>
      <c r="D2175" s="28" t="n">
        <v>46094</v>
      </c>
      <c r="E2175" t="inlineStr">
        <is>
          <t>현대EP</t>
        </is>
      </c>
      <c r="F2175" t="inlineStr">
        <is>
          <t>신성환</t>
        </is>
      </c>
      <c r="G2175" t="inlineStr">
        <is>
          <t>010-3906-5526</t>
        </is>
      </c>
      <c r="H2175" t="inlineStr">
        <is>
          <t>38러7996</t>
        </is>
      </c>
      <c r="I2175" t="n">
        <v>13000000</v>
      </c>
      <c r="J2175" t="n">
        <v>0.07099999999999999</v>
      </c>
      <c r="K2175" t="n">
        <v>1.76</v>
      </c>
      <c r="L2175" t="n">
        <v>0.14</v>
      </c>
      <c r="M2175" t="n">
        <v>1.62</v>
      </c>
      <c r="P2175" t="inlineStr">
        <is>
          <t>최형주</t>
        </is>
      </c>
      <c r="Q2175" t="inlineStr">
        <is>
          <t>홈서비스 24개월</t>
        </is>
      </c>
      <c r="AB2175" t="inlineStr">
        <is>
          <t>홈서비스</t>
        </is>
      </c>
      <c r="AC2175" t="n">
        <v>228800</v>
      </c>
      <c r="AD2175" t="n">
        <v>18200</v>
      </c>
      <c r="AE2175" t="n">
        <v>210600</v>
      </c>
      <c r="AF2175" t="n">
        <v>208000</v>
      </c>
      <c r="AG2175" t="n">
        <v>17599.4</v>
      </c>
      <c r="AH2175" t="n">
        <v>190400.6</v>
      </c>
      <c r="AI2175" t="n">
        <v>0</v>
      </c>
    </row>
    <row r="2176">
      <c r="A2176" t="inlineStr">
        <is>
          <t>3월</t>
        </is>
      </c>
      <c r="B2176" t="inlineStr">
        <is>
          <t>11주차</t>
        </is>
      </c>
      <c r="C2176" t="inlineStr">
        <is>
          <t>EP</t>
        </is>
      </c>
      <c r="D2176" s="28" t="n">
        <v>46094</v>
      </c>
      <c r="E2176" t="inlineStr">
        <is>
          <t>현대EP</t>
        </is>
      </c>
      <c r="F2176" t="inlineStr">
        <is>
          <t>노동형</t>
        </is>
      </c>
      <c r="G2176" t="inlineStr">
        <is>
          <t>010-3439-6927</t>
        </is>
      </c>
      <c r="H2176" t="inlineStr">
        <is>
          <t>109저1279</t>
        </is>
      </c>
      <c r="I2176" t="n">
        <v>36700000</v>
      </c>
      <c r="J2176" t="n">
        <v>0.09</v>
      </c>
      <c r="K2176" t="n">
        <v>1.76</v>
      </c>
      <c r="L2176" t="n">
        <v>0.14</v>
      </c>
      <c r="M2176" t="n">
        <v>1.62</v>
      </c>
      <c r="P2176" t="inlineStr">
        <is>
          <t>정광호</t>
        </is>
      </c>
      <c r="Q2176" t="inlineStr">
        <is>
          <t>홈서비스 60개월</t>
        </is>
      </c>
      <c r="AB2176" t="inlineStr">
        <is>
          <t>홈서비스</t>
        </is>
      </c>
      <c r="AC2176" t="n">
        <v>645920</v>
      </c>
      <c r="AD2176" t="n">
        <v>51380</v>
      </c>
      <c r="AE2176" t="n">
        <v>594540</v>
      </c>
      <c r="AF2176" t="n">
        <v>587200</v>
      </c>
      <c r="AG2176" t="n">
        <v>49684.46</v>
      </c>
      <c r="AH2176" t="n">
        <v>537515.54</v>
      </c>
      <c r="AI2176" t="n">
        <v>0</v>
      </c>
    </row>
    <row r="2177">
      <c r="A2177" t="inlineStr">
        <is>
          <t>3월</t>
        </is>
      </c>
      <c r="B2177" t="inlineStr">
        <is>
          <t>11주차</t>
        </is>
      </c>
      <c r="C2177" t="inlineStr">
        <is>
          <t>EP</t>
        </is>
      </c>
      <c r="D2177" s="28" t="n">
        <v>46093</v>
      </c>
      <c r="E2177" t="inlineStr">
        <is>
          <t>현대EP</t>
        </is>
      </c>
      <c r="F2177" t="inlineStr">
        <is>
          <t>임현수</t>
        </is>
      </c>
      <c r="G2177" t="inlineStr">
        <is>
          <t>010-7549-2325</t>
        </is>
      </c>
      <c r="H2177" t="inlineStr">
        <is>
          <t>201모8126</t>
        </is>
      </c>
      <c r="I2177" t="n">
        <v>49800000</v>
      </c>
      <c r="J2177" t="n">
        <v>0.07199999999999999</v>
      </c>
      <c r="K2177" t="n">
        <v>1.76</v>
      </c>
      <c r="L2177" t="n">
        <v>0.14</v>
      </c>
      <c r="M2177" t="n">
        <v>1.62</v>
      </c>
      <c r="P2177" t="inlineStr">
        <is>
          <t>김나윤</t>
        </is>
      </c>
      <c r="Q2177" t="inlineStr">
        <is>
          <t>홈서비스 60개월</t>
        </is>
      </c>
      <c r="AB2177" t="inlineStr">
        <is>
          <t>홈서비스</t>
        </is>
      </c>
      <c r="AC2177" t="n">
        <v>876480</v>
      </c>
      <c r="AD2177" t="n">
        <v>69720</v>
      </c>
      <c r="AE2177" t="n">
        <v>806760</v>
      </c>
      <c r="AF2177" t="n">
        <v>796800</v>
      </c>
      <c r="AG2177" t="n">
        <v>67419.24000000001</v>
      </c>
      <c r="AH2177" t="n">
        <v>729380.76</v>
      </c>
      <c r="AI2177" t="n">
        <v>0</v>
      </c>
    </row>
    <row r="2178">
      <c r="A2178" t="inlineStr">
        <is>
          <t>3월</t>
        </is>
      </c>
      <c r="B2178" t="inlineStr">
        <is>
          <t>11주차</t>
        </is>
      </c>
      <c r="C2178" t="inlineStr">
        <is>
          <t>EP</t>
        </is>
      </c>
      <c r="D2178" s="28" t="n">
        <v>46094</v>
      </c>
      <c r="E2178" t="inlineStr">
        <is>
          <t>제이비EP</t>
        </is>
      </c>
      <c r="F2178" t="inlineStr">
        <is>
          <t>김중원</t>
        </is>
      </c>
      <c r="G2178" t="inlineStr">
        <is>
          <t>010-4562-4847</t>
        </is>
      </c>
      <c r="H2178" t="inlineStr">
        <is>
          <t>303더8008</t>
        </is>
      </c>
      <c r="I2178" t="n">
        <v>40000000</v>
      </c>
      <c r="J2178" t="n">
        <v>0.079</v>
      </c>
      <c r="K2178" t="n">
        <v>1.65</v>
      </c>
      <c r="L2178" t="n">
        <v>0.4</v>
      </c>
      <c r="M2178" t="n">
        <v>1.25</v>
      </c>
      <c r="P2178" t="inlineStr">
        <is>
          <t>장진경</t>
        </is>
      </c>
      <c r="Q2178" t="inlineStr">
        <is>
          <t>부대비용 추가진행</t>
        </is>
      </c>
      <c r="AB2178" t="inlineStr">
        <is>
          <t>엔카</t>
        </is>
      </c>
      <c r="AC2178" t="n">
        <v>660000</v>
      </c>
      <c r="AD2178" t="n">
        <v>160000</v>
      </c>
      <c r="AE2178" t="n">
        <v>500000</v>
      </c>
      <c r="AF2178" t="n">
        <v>600000</v>
      </c>
      <c r="AG2178" t="n">
        <v>154720</v>
      </c>
      <c r="AH2178" t="n">
        <v>445280</v>
      </c>
    </row>
    <row r="2179">
      <c r="A2179" t="inlineStr">
        <is>
          <t>3월</t>
        </is>
      </c>
      <c r="B2179" t="inlineStr">
        <is>
          <t>11주차</t>
        </is>
      </c>
      <c r="C2179" t="inlineStr">
        <is>
          <t>EP</t>
        </is>
      </c>
      <c r="D2179" s="28" t="n">
        <v>46096</v>
      </c>
      <c r="E2179" t="inlineStr">
        <is>
          <t>현대EP</t>
        </is>
      </c>
      <c r="F2179" t="inlineStr">
        <is>
          <t>정예조</t>
        </is>
      </c>
      <c r="G2179" t="inlineStr">
        <is>
          <t>010-6680-5644</t>
        </is>
      </c>
      <c r="H2179" t="inlineStr">
        <is>
          <t>34저9459</t>
        </is>
      </c>
      <c r="I2179" t="n">
        <v>3500000</v>
      </c>
      <c r="J2179" t="n">
        <v>0.092</v>
      </c>
      <c r="K2179" t="n">
        <v>1.76</v>
      </c>
      <c r="L2179" t="n">
        <v>0.14</v>
      </c>
      <c r="M2179" t="n">
        <v>1.62</v>
      </c>
      <c r="P2179" t="inlineStr">
        <is>
          <t>최형주</t>
        </is>
      </c>
      <c r="Q2179" t="inlineStr">
        <is>
          <t>홈서비스 60개월</t>
        </is>
      </c>
      <c r="AB2179" t="inlineStr">
        <is>
          <t>홈서비스</t>
        </is>
      </c>
      <c r="AC2179" t="n">
        <v>61600</v>
      </c>
      <c r="AD2179" t="n">
        <v>4900</v>
      </c>
      <c r="AE2179" t="n">
        <v>56700</v>
      </c>
      <c r="AF2179" t="n">
        <v>56000</v>
      </c>
      <c r="AG2179" t="n">
        <v>4738.3</v>
      </c>
      <c r="AH2179" t="n">
        <v>51261.7</v>
      </c>
      <c r="AI2179" t="n">
        <v>0</v>
      </c>
    </row>
    <row r="2180">
      <c r="A2180" t="inlineStr">
        <is>
          <t>3월</t>
        </is>
      </c>
      <c r="B2180" t="inlineStr">
        <is>
          <t>11주차</t>
        </is>
      </c>
      <c r="C2180" t="inlineStr">
        <is>
          <t>EP</t>
        </is>
      </c>
      <c r="D2180" s="28" t="n">
        <v>46093</v>
      </c>
      <c r="E2180" t="inlineStr">
        <is>
          <t>현대EP</t>
        </is>
      </c>
      <c r="F2180" t="inlineStr">
        <is>
          <t>김명재</t>
        </is>
      </c>
      <c r="G2180" t="inlineStr">
        <is>
          <t>010-2435-0853</t>
        </is>
      </c>
      <c r="H2180" t="inlineStr">
        <is>
          <t>45고0368</t>
        </is>
      </c>
      <c r="I2180" t="n">
        <v>12900000</v>
      </c>
      <c r="J2180" t="n">
        <v>0.102</v>
      </c>
      <c r="K2180" t="n">
        <v>1.76</v>
      </c>
      <c r="L2180" t="n">
        <v>0.14</v>
      </c>
      <c r="M2180" t="n">
        <v>1.62</v>
      </c>
      <c r="P2180" t="inlineStr">
        <is>
          <t>정세빈</t>
        </is>
      </c>
      <c r="Q2180" t="inlineStr">
        <is>
          <t>홈서비스 60개월</t>
        </is>
      </c>
      <c r="AB2180" t="inlineStr">
        <is>
          <t>홈서비스</t>
        </is>
      </c>
      <c r="AC2180" t="n">
        <v>227040</v>
      </c>
      <c r="AD2180" t="n">
        <v>18060</v>
      </c>
      <c r="AE2180" t="n">
        <v>208980</v>
      </c>
      <c r="AF2180" t="n">
        <v>206400</v>
      </c>
      <c r="AG2180" t="n">
        <v>17464.02</v>
      </c>
      <c r="AH2180" t="n">
        <v>188935.98</v>
      </c>
      <c r="AI2180" t="n">
        <v>0</v>
      </c>
    </row>
    <row r="2181">
      <c r="A2181" t="inlineStr">
        <is>
          <t>3월</t>
        </is>
      </c>
      <c r="B2181" t="inlineStr">
        <is>
          <t>11주차</t>
        </is>
      </c>
      <c r="C2181" t="inlineStr">
        <is>
          <t>IM</t>
        </is>
      </c>
      <c r="D2181" s="28" t="n">
        <v>46094</v>
      </c>
      <c r="E2181" t="inlineStr">
        <is>
          <t>IM캐피탈</t>
        </is>
      </c>
      <c r="F2181" t="inlineStr">
        <is>
          <t>김명엽</t>
        </is>
      </c>
      <c r="G2181" t="inlineStr">
        <is>
          <t>010-2984-0966</t>
        </is>
      </c>
      <c r="H2181" t="inlineStr">
        <is>
          <t>120루1169</t>
        </is>
      </c>
      <c r="I2181" t="n">
        <v>24500000</v>
      </c>
      <c r="J2181" t="n">
        <v>0.06900000000000001</v>
      </c>
      <c r="K2181" t="n">
        <v>1.1</v>
      </c>
      <c r="L2181" t="n">
        <v>0.14</v>
      </c>
      <c r="M2181" t="n">
        <v>0.96</v>
      </c>
      <c r="P2181" t="inlineStr">
        <is>
          <t>김수연</t>
        </is>
      </c>
      <c r="Q2181" t="inlineStr">
        <is>
          <t>홈서비스 60개월</t>
        </is>
      </c>
      <c r="AB2181" t="inlineStr">
        <is>
          <t>홈서비스</t>
        </is>
      </c>
      <c r="AC2181" t="n">
        <v>269500</v>
      </c>
      <c r="AD2181" t="n">
        <v>34300</v>
      </c>
      <c r="AE2181" t="n">
        <v>235200</v>
      </c>
      <c r="AF2181" t="n">
        <v>245000</v>
      </c>
      <c r="AG2181" t="n">
        <v>33168.1</v>
      </c>
      <c r="AH2181" t="n">
        <v>211831.9</v>
      </c>
      <c r="AI2181" t="n">
        <v>0</v>
      </c>
    </row>
    <row r="2182">
      <c r="A2182" t="inlineStr">
        <is>
          <t>3월</t>
        </is>
      </c>
      <c r="B2182" t="inlineStr">
        <is>
          <t>11주차</t>
        </is>
      </c>
      <c r="C2182" t="inlineStr">
        <is>
          <t>EP</t>
        </is>
      </c>
      <c r="D2182" s="28" t="n">
        <v>46096</v>
      </c>
      <c r="E2182" t="inlineStr">
        <is>
          <t>현대EP</t>
        </is>
      </c>
      <c r="F2182" t="inlineStr">
        <is>
          <t>성종현</t>
        </is>
      </c>
      <c r="G2182" t="inlineStr">
        <is>
          <t>010-8743-7148</t>
        </is>
      </c>
      <c r="H2182" t="inlineStr">
        <is>
          <t>393보4716</t>
        </is>
      </c>
      <c r="I2182" t="n">
        <v>13600000</v>
      </c>
      <c r="J2182" t="n">
        <v>0.07099999999999999</v>
      </c>
      <c r="K2182" t="n">
        <v>1.76</v>
      </c>
      <c r="L2182" t="n">
        <v>0.14</v>
      </c>
      <c r="M2182" t="n">
        <v>1.62</v>
      </c>
      <c r="P2182" t="inlineStr">
        <is>
          <t>정광호</t>
        </is>
      </c>
      <c r="Q2182" t="inlineStr">
        <is>
          <t>홈서비스 36개월</t>
        </is>
      </c>
      <c r="AB2182" t="inlineStr">
        <is>
          <t>홈서비스</t>
        </is>
      </c>
      <c r="AC2182" t="n">
        <v>239360</v>
      </c>
      <c r="AD2182" t="n">
        <v>19040</v>
      </c>
      <c r="AE2182" t="n">
        <v>220320</v>
      </c>
      <c r="AF2182" t="n">
        <v>217600</v>
      </c>
      <c r="AG2182" t="n">
        <v>18411.68</v>
      </c>
      <c r="AH2182" t="n">
        <v>199188.32</v>
      </c>
      <c r="AI2182" t="n">
        <v>0</v>
      </c>
    </row>
    <row r="2183">
      <c r="A2183" t="inlineStr">
        <is>
          <t>3월</t>
        </is>
      </c>
      <c r="B2183" t="inlineStr">
        <is>
          <t>11주차</t>
        </is>
      </c>
      <c r="C2183" t="inlineStr">
        <is>
          <t>EP</t>
        </is>
      </c>
      <c r="D2183" s="28" t="n">
        <v>46095</v>
      </c>
      <c r="E2183" t="inlineStr">
        <is>
          <t>현대EP_fast</t>
        </is>
      </c>
      <c r="F2183" t="inlineStr">
        <is>
          <t>이준석</t>
        </is>
      </c>
      <c r="G2183" t="inlineStr">
        <is>
          <t>010-5471-6596</t>
        </is>
      </c>
      <c r="H2183" t="inlineStr">
        <is>
          <t>101가3319</t>
        </is>
      </c>
      <c r="I2183" t="n">
        <v>34000000</v>
      </c>
      <c r="J2183" t="n">
        <v>0.105</v>
      </c>
      <c r="K2183" t="n">
        <v>1.76</v>
      </c>
      <c r="L2183" t="n">
        <v>0.5</v>
      </c>
      <c r="M2183" t="n">
        <v>1.26</v>
      </c>
      <c r="P2183" t="inlineStr">
        <is>
          <t>정하은</t>
        </is>
      </c>
      <c r="Q2183" t="inlineStr">
        <is>
          <t>일반차량</t>
        </is>
      </c>
      <c r="AB2183" t="inlineStr">
        <is>
          <t>엔카</t>
        </is>
      </c>
      <c r="AC2183" t="n">
        <v>598400</v>
      </c>
      <c r="AD2183" t="n">
        <v>170000</v>
      </c>
      <c r="AE2183" t="n">
        <v>428400</v>
      </c>
      <c r="AF2183" t="n">
        <v>544000</v>
      </c>
      <c r="AG2183" t="n">
        <v>164390</v>
      </c>
      <c r="AH2183" t="n">
        <v>379610</v>
      </c>
      <c r="AI2183" t="n">
        <v>0</v>
      </c>
    </row>
    <row r="2184">
      <c r="A2184" t="inlineStr">
        <is>
          <t>3월</t>
        </is>
      </c>
      <c r="B2184" t="inlineStr">
        <is>
          <t>11주차</t>
        </is>
      </c>
      <c r="C2184" t="inlineStr">
        <is>
          <t>EP</t>
        </is>
      </c>
      <c r="D2184" s="28" t="n">
        <v>46093</v>
      </c>
      <c r="E2184" t="inlineStr">
        <is>
          <t>제이비EP</t>
        </is>
      </c>
      <c r="F2184" t="inlineStr">
        <is>
          <t>최선백</t>
        </is>
      </c>
      <c r="G2184" t="inlineStr">
        <is>
          <t>010-2002-0889</t>
        </is>
      </c>
      <c r="H2184" t="inlineStr">
        <is>
          <t>190구8065</t>
        </is>
      </c>
      <c r="I2184" t="n">
        <v>7700000</v>
      </c>
      <c r="J2184" t="n">
        <v>0.08500000000000001</v>
      </c>
      <c r="K2184" t="n">
        <v>1.65</v>
      </c>
      <c r="L2184" t="n">
        <v>0.4</v>
      </c>
      <c r="M2184" t="n">
        <v>1.25</v>
      </c>
      <c r="P2184" t="inlineStr">
        <is>
          <t>구성완</t>
        </is>
      </c>
      <c r="AB2184" t="inlineStr">
        <is>
          <t>엔카</t>
        </is>
      </c>
      <c r="AC2184" t="n">
        <v>127050</v>
      </c>
      <c r="AD2184" t="n">
        <v>30800</v>
      </c>
      <c r="AE2184" t="n">
        <v>96250</v>
      </c>
      <c r="AF2184" t="n">
        <v>115500</v>
      </c>
      <c r="AG2184" t="n">
        <v>29783.6</v>
      </c>
      <c r="AH2184" t="n">
        <v>85716.39999999999</v>
      </c>
      <c r="AI2184" t="n">
        <v>0</v>
      </c>
    </row>
    <row r="2185">
      <c r="A2185" t="inlineStr">
        <is>
          <t>3월</t>
        </is>
      </c>
      <c r="B2185" t="inlineStr">
        <is>
          <t>11주차</t>
        </is>
      </c>
      <c r="C2185" t="inlineStr">
        <is>
          <t>EP</t>
        </is>
      </c>
      <c r="D2185" s="28" t="n">
        <v>46095</v>
      </c>
      <c r="E2185" t="inlineStr">
        <is>
          <t>현대EP</t>
        </is>
      </c>
      <c r="F2185" t="inlineStr">
        <is>
          <t>정재진</t>
        </is>
      </c>
      <c r="G2185" t="inlineStr">
        <is>
          <t>010-8607-0924</t>
        </is>
      </c>
      <c r="H2185" t="inlineStr">
        <is>
          <t>51머0615</t>
        </is>
      </c>
      <c r="I2185" t="n">
        <v>7800000</v>
      </c>
      <c r="J2185" t="n">
        <v>0.07099999999999999</v>
      </c>
      <c r="K2185" t="n">
        <v>1.76</v>
      </c>
      <c r="L2185" t="n">
        <v>0.14</v>
      </c>
      <c r="M2185" t="n">
        <v>1.62</v>
      </c>
      <c r="P2185" t="inlineStr">
        <is>
          <t>김수연</t>
        </is>
      </c>
      <c r="Q2185" t="inlineStr">
        <is>
          <t>홈서비스 60개월</t>
        </is>
      </c>
      <c r="AB2185" t="inlineStr">
        <is>
          <t>홈서비스</t>
        </is>
      </c>
      <c r="AC2185" t="n">
        <v>137280</v>
      </c>
      <c r="AD2185" t="n">
        <v>10920</v>
      </c>
      <c r="AE2185" t="n">
        <v>126360</v>
      </c>
      <c r="AF2185" t="n">
        <v>124800</v>
      </c>
      <c r="AG2185" t="n">
        <v>10559.64</v>
      </c>
      <c r="AH2185" t="n">
        <v>114240.36</v>
      </c>
      <c r="AI2185" t="n">
        <v>0</v>
      </c>
    </row>
    <row r="2186">
      <c r="A2186" t="inlineStr">
        <is>
          <t>3월</t>
        </is>
      </c>
      <c r="B2186" t="inlineStr">
        <is>
          <t>12주차</t>
        </is>
      </c>
      <c r="C2186" t="inlineStr">
        <is>
          <t>IM</t>
        </is>
      </c>
      <c r="D2186" s="28" t="n">
        <v>46097</v>
      </c>
      <c r="E2186" t="inlineStr">
        <is>
          <t>IM캐피탈</t>
        </is>
      </c>
      <c r="F2186" t="inlineStr">
        <is>
          <t>엄영주</t>
        </is>
      </c>
      <c r="G2186" t="inlineStr">
        <is>
          <t>010-9250-2938</t>
        </is>
      </c>
      <c r="H2186" t="inlineStr">
        <is>
          <t>345더5696</t>
        </is>
      </c>
      <c r="I2186" t="n">
        <v>9000000</v>
      </c>
      <c r="J2186" t="n">
        <v>0.049</v>
      </c>
      <c r="K2186" t="n">
        <v>1.1</v>
      </c>
      <c r="L2186" t="n">
        <v>0.14</v>
      </c>
      <c r="M2186" t="n">
        <v>0.96</v>
      </c>
      <c r="P2186" t="inlineStr">
        <is>
          <t>황채이</t>
        </is>
      </c>
      <c r="Q2186" t="inlineStr">
        <is>
          <t>홈서비스 60개월 / 오토론</t>
        </is>
      </c>
      <c r="AB2186" t="inlineStr">
        <is>
          <t>홈서비스</t>
        </is>
      </c>
      <c r="AC2186" t="n">
        <v>99000</v>
      </c>
      <c r="AD2186" t="n">
        <v>12600</v>
      </c>
      <c r="AE2186" t="n">
        <v>86400</v>
      </c>
      <c r="AF2186" t="n">
        <v>90000</v>
      </c>
      <c r="AG2186" t="n">
        <v>12184.2</v>
      </c>
      <c r="AH2186" t="n">
        <v>77815.8</v>
      </c>
      <c r="AI2186" t="n">
        <v>0</v>
      </c>
    </row>
    <row r="2187">
      <c r="A2187" t="inlineStr">
        <is>
          <t>3월</t>
        </is>
      </c>
      <c r="B2187" t="inlineStr">
        <is>
          <t>11주차</t>
        </is>
      </c>
      <c r="C2187" t="inlineStr">
        <is>
          <t>IM</t>
        </is>
      </c>
      <c r="D2187" s="28" t="n">
        <v>46094</v>
      </c>
      <c r="E2187" t="inlineStr">
        <is>
          <t>IM캐피탈</t>
        </is>
      </c>
      <c r="F2187" t="inlineStr">
        <is>
          <t>문용훈</t>
        </is>
      </c>
      <c r="G2187" t="inlineStr">
        <is>
          <t>010-3167-2040</t>
        </is>
      </c>
      <c r="H2187" t="inlineStr">
        <is>
          <t>100도8773</t>
        </is>
      </c>
      <c r="I2187" t="n">
        <v>19500000</v>
      </c>
      <c r="J2187" t="n">
        <v>0.056</v>
      </c>
      <c r="K2187" t="n">
        <v>1.1</v>
      </c>
      <c r="L2187" t="n">
        <v>0.14</v>
      </c>
      <c r="M2187" t="n">
        <v>0.96</v>
      </c>
      <c r="P2187" t="inlineStr">
        <is>
          <t>구성완</t>
        </is>
      </c>
      <c r="Q2187" t="inlineStr">
        <is>
          <t>안심거래존건</t>
        </is>
      </c>
      <c r="AB2187" t="inlineStr">
        <is>
          <t>믿고</t>
        </is>
      </c>
      <c r="AC2187" t="n">
        <v>214500</v>
      </c>
      <c r="AD2187" t="n">
        <v>27300</v>
      </c>
      <c r="AE2187" t="n">
        <v>187200</v>
      </c>
      <c r="AF2187" t="n">
        <v>195000</v>
      </c>
      <c r="AG2187" t="n">
        <v>26399.1</v>
      </c>
      <c r="AH2187" t="n">
        <v>168600.9</v>
      </c>
      <c r="AI2187" t="n">
        <v>0</v>
      </c>
    </row>
    <row r="2188">
      <c r="A2188" t="inlineStr">
        <is>
          <t>3월</t>
        </is>
      </c>
      <c r="B2188" t="inlineStr">
        <is>
          <t>11주차</t>
        </is>
      </c>
      <c r="C2188" t="inlineStr">
        <is>
          <t>IM</t>
        </is>
      </c>
      <c r="D2188" s="28" t="n">
        <v>46094</v>
      </c>
      <c r="E2188" t="inlineStr">
        <is>
          <t>IM캐피탈</t>
        </is>
      </c>
      <c r="F2188" t="inlineStr">
        <is>
          <t>박중민</t>
        </is>
      </c>
      <c r="G2188" t="inlineStr">
        <is>
          <t>010-5039-5728</t>
        </is>
      </c>
      <c r="H2188" t="inlineStr">
        <is>
          <t>29구8358</t>
        </is>
      </c>
      <c r="I2188" t="n">
        <v>8300000</v>
      </c>
      <c r="J2188" t="n">
        <v>0.049</v>
      </c>
      <c r="K2188" t="n">
        <v>1.1</v>
      </c>
      <c r="L2188" t="n">
        <v>0.14</v>
      </c>
      <c r="M2188" t="n">
        <v>0.96</v>
      </c>
      <c r="P2188" t="inlineStr">
        <is>
          <t>구성완</t>
        </is>
      </c>
      <c r="Q2188" t="inlineStr">
        <is>
          <t>홈서비스 60개월</t>
        </is>
      </c>
      <c r="AB2188" t="inlineStr">
        <is>
          <t>믿고</t>
        </is>
      </c>
      <c r="AC2188" t="n">
        <v>91300</v>
      </c>
      <c r="AD2188" t="n">
        <v>11620</v>
      </c>
      <c r="AE2188" t="n">
        <v>79680</v>
      </c>
      <c r="AF2188" t="n">
        <v>83000</v>
      </c>
      <c r="AG2188" t="n">
        <v>11236.54</v>
      </c>
      <c r="AH2188" t="n">
        <v>71763.46000000001</v>
      </c>
      <c r="AI2188" t="n">
        <v>0</v>
      </c>
    </row>
    <row r="2189">
      <c r="A2189" t="inlineStr">
        <is>
          <t>3월</t>
        </is>
      </c>
      <c r="B2189" t="inlineStr">
        <is>
          <t>11주차</t>
        </is>
      </c>
      <c r="C2189" t="inlineStr">
        <is>
          <t>EP</t>
        </is>
      </c>
      <c r="D2189" s="28" t="n">
        <v>46095</v>
      </c>
      <c r="E2189" t="inlineStr">
        <is>
          <t>현대EP</t>
        </is>
      </c>
      <c r="F2189" t="inlineStr">
        <is>
          <t>김민영</t>
        </is>
      </c>
      <c r="G2189" t="inlineStr">
        <is>
          <t>010-8726-8389</t>
        </is>
      </c>
      <c r="H2189" t="inlineStr">
        <is>
          <t>321두2102</t>
        </is>
      </c>
      <c r="I2189" t="n">
        <v>13000000</v>
      </c>
      <c r="J2189" t="n">
        <v>0.062</v>
      </c>
      <c r="K2189" t="n">
        <v>1.76</v>
      </c>
      <c r="L2189" t="n">
        <v>0.14</v>
      </c>
      <c r="M2189" t="n">
        <v>1.62</v>
      </c>
      <c r="P2189" t="inlineStr">
        <is>
          <t>정하은</t>
        </is>
      </c>
      <c r="Q2189" t="inlineStr">
        <is>
          <t>홈서비스 60개월</t>
        </is>
      </c>
      <c r="AB2189" t="inlineStr">
        <is>
          <t>홈서비스</t>
        </is>
      </c>
      <c r="AC2189" t="n">
        <v>228800</v>
      </c>
      <c r="AD2189" t="n">
        <v>18200</v>
      </c>
      <c r="AE2189" t="n">
        <v>210600</v>
      </c>
      <c r="AF2189" t="n">
        <v>208000</v>
      </c>
      <c r="AG2189" t="n">
        <v>17599.4</v>
      </c>
      <c r="AH2189" t="n">
        <v>190400.6</v>
      </c>
      <c r="AI2189" t="n">
        <v>0</v>
      </c>
    </row>
    <row r="2190">
      <c r="A2190" t="inlineStr">
        <is>
          <t>3월</t>
        </is>
      </c>
      <c r="B2190" t="inlineStr">
        <is>
          <t>11주차</t>
        </is>
      </c>
      <c r="C2190" t="inlineStr">
        <is>
          <t>IM</t>
        </is>
      </c>
      <c r="D2190" s="28" t="n">
        <v>46093</v>
      </c>
      <c r="E2190" t="inlineStr">
        <is>
          <t>IM캐피탈</t>
        </is>
      </c>
      <c r="F2190" t="inlineStr">
        <is>
          <t>김선희</t>
        </is>
      </c>
      <c r="G2190" t="inlineStr">
        <is>
          <t>010-4998-9488</t>
        </is>
      </c>
      <c r="H2190" t="inlineStr">
        <is>
          <t>243마3276</t>
        </is>
      </c>
      <c r="I2190" t="n">
        <v>40800000</v>
      </c>
      <c r="J2190" t="n">
        <v>0.039</v>
      </c>
      <c r="K2190" t="n">
        <v>1.1</v>
      </c>
      <c r="L2190" t="n">
        <v>0.4</v>
      </c>
      <c r="M2190" t="n">
        <v>0.7</v>
      </c>
      <c r="P2190" t="inlineStr">
        <is>
          <t>임대경</t>
        </is>
      </c>
      <c r="AB2190" t="inlineStr">
        <is>
          <t>엔카</t>
        </is>
      </c>
      <c r="AC2190" t="n">
        <v>448800</v>
      </c>
      <c r="AD2190" t="n">
        <v>163200</v>
      </c>
      <c r="AE2190" t="n">
        <v>285600</v>
      </c>
      <c r="AF2190" t="n">
        <v>408000</v>
      </c>
      <c r="AG2190" t="n">
        <v>157814.4</v>
      </c>
      <c r="AH2190" t="n">
        <v>250185.6</v>
      </c>
      <c r="AI2190" t="n">
        <v>0</v>
      </c>
    </row>
    <row r="2191">
      <c r="A2191" t="inlineStr">
        <is>
          <t>3월</t>
        </is>
      </c>
      <c r="B2191" t="inlineStr">
        <is>
          <t>11주차</t>
        </is>
      </c>
      <c r="C2191" t="inlineStr">
        <is>
          <t>IM</t>
        </is>
      </c>
      <c r="D2191" s="28" t="n">
        <v>46095</v>
      </c>
      <c r="E2191" t="inlineStr">
        <is>
          <t>IM캐피탈</t>
        </is>
      </c>
      <c r="F2191" t="inlineStr">
        <is>
          <t>김준호</t>
        </is>
      </c>
      <c r="G2191" t="inlineStr">
        <is>
          <t>010-2128-9856</t>
        </is>
      </c>
      <c r="H2191" t="inlineStr">
        <is>
          <t>354더9672</t>
        </is>
      </c>
      <c r="I2191" t="n">
        <v>63000000</v>
      </c>
      <c r="J2191" t="n">
        <v>0.049</v>
      </c>
      <c r="K2191" t="n">
        <v>1.1</v>
      </c>
      <c r="L2191" t="n">
        <v>0.4</v>
      </c>
      <c r="M2191" t="n">
        <v>0.7</v>
      </c>
      <c r="P2191" t="inlineStr">
        <is>
          <t>최혁</t>
        </is>
      </c>
      <c r="AB2191" t="inlineStr">
        <is>
          <t>엔카</t>
        </is>
      </c>
      <c r="AC2191" t="n">
        <v>693000</v>
      </c>
      <c r="AD2191" t="n">
        <v>252000</v>
      </c>
      <c r="AE2191" t="n">
        <v>441000</v>
      </c>
      <c r="AF2191" t="n">
        <v>630000</v>
      </c>
      <c r="AG2191" t="n">
        <v>243684</v>
      </c>
      <c r="AH2191" t="n">
        <v>386316</v>
      </c>
      <c r="AI2191" t="n">
        <v>0</v>
      </c>
    </row>
    <row r="2192">
      <c r="A2192" t="inlineStr">
        <is>
          <t>3월</t>
        </is>
      </c>
      <c r="B2192" t="inlineStr">
        <is>
          <t>11주차</t>
        </is>
      </c>
      <c r="C2192" t="inlineStr">
        <is>
          <t>EP</t>
        </is>
      </c>
      <c r="D2192" s="28" t="n">
        <v>46094</v>
      </c>
      <c r="E2192" t="inlineStr">
        <is>
          <t>현대EP_fast</t>
        </is>
      </c>
      <c r="F2192" t="inlineStr">
        <is>
          <t>김연식</t>
        </is>
      </c>
      <c r="G2192" t="inlineStr">
        <is>
          <t>010-9550-8159</t>
        </is>
      </c>
      <c r="H2192" t="inlineStr">
        <is>
          <t>30버8993</t>
        </is>
      </c>
      <c r="I2192" t="n">
        <v>6900000</v>
      </c>
      <c r="J2192" t="n">
        <v>0.102</v>
      </c>
      <c r="K2192" t="n">
        <v>1.76</v>
      </c>
      <c r="L2192" t="n">
        <v>0.4</v>
      </c>
      <c r="M2192" t="n">
        <v>1.36</v>
      </c>
      <c r="P2192" t="inlineStr">
        <is>
          <t>박소현</t>
        </is>
      </c>
      <c r="Q2192" t="inlineStr">
        <is>
          <t>공동명의</t>
        </is>
      </c>
      <c r="AB2192" t="inlineStr">
        <is>
          <t>엔카</t>
        </is>
      </c>
      <c r="AC2192" t="n">
        <v>121440</v>
      </c>
      <c r="AD2192" t="n">
        <v>27600</v>
      </c>
      <c r="AE2192" t="n">
        <v>93840</v>
      </c>
      <c r="AF2192" t="n">
        <v>110400</v>
      </c>
      <c r="AG2192" t="n">
        <v>26689.2</v>
      </c>
      <c r="AH2192" t="n">
        <v>83710.8</v>
      </c>
      <c r="AI2192" t="n">
        <v>0</v>
      </c>
    </row>
    <row r="2193">
      <c r="A2193" t="inlineStr">
        <is>
          <t>3월</t>
        </is>
      </c>
      <c r="B2193" t="inlineStr">
        <is>
          <t>12주차</t>
        </is>
      </c>
      <c r="C2193" t="inlineStr">
        <is>
          <t>EP</t>
        </is>
      </c>
      <c r="D2193" s="28" t="n">
        <v>46097</v>
      </c>
      <c r="E2193" t="inlineStr">
        <is>
          <t>현대EP_fast</t>
        </is>
      </c>
      <c r="F2193" t="inlineStr">
        <is>
          <t>윤열</t>
        </is>
      </c>
      <c r="G2193" t="inlineStr">
        <is>
          <t>010-8403-6138</t>
        </is>
      </c>
      <c r="H2193" t="inlineStr">
        <is>
          <t>138수8210</t>
        </is>
      </c>
      <c r="I2193" t="n">
        <v>11200000</v>
      </c>
      <c r="J2193" t="n">
        <v>0.09</v>
      </c>
      <c r="K2193" t="n">
        <v>1.76</v>
      </c>
      <c r="L2193" t="n">
        <v>0.14</v>
      </c>
      <c r="M2193" t="n">
        <v>1.62</v>
      </c>
      <c r="P2193" t="inlineStr">
        <is>
          <t>김수연</t>
        </is>
      </c>
      <c r="Q2193" t="inlineStr">
        <is>
          <t>홈서비스 36개월</t>
        </is>
      </c>
      <c r="AB2193" t="inlineStr">
        <is>
          <t>홈서비스</t>
        </is>
      </c>
      <c r="AC2193" t="n">
        <v>197120</v>
      </c>
      <c r="AD2193" t="n">
        <v>15680</v>
      </c>
      <c r="AE2193" t="n">
        <v>181440</v>
      </c>
      <c r="AF2193" t="n">
        <v>179200</v>
      </c>
      <c r="AG2193" t="n">
        <v>15162.56</v>
      </c>
      <c r="AH2193" t="n">
        <v>164037.44</v>
      </c>
      <c r="AI2193" t="n">
        <v>0</v>
      </c>
    </row>
    <row r="2194">
      <c r="A2194" t="inlineStr">
        <is>
          <t>3월</t>
        </is>
      </c>
      <c r="B2194" t="inlineStr">
        <is>
          <t>12주차</t>
        </is>
      </c>
      <c r="C2194" t="inlineStr">
        <is>
          <t>IM</t>
        </is>
      </c>
      <c r="D2194" s="28" t="n">
        <v>46097</v>
      </c>
      <c r="E2194" t="inlineStr">
        <is>
          <t>IM캐피탈</t>
        </is>
      </c>
      <c r="F2194" t="inlineStr">
        <is>
          <t>전찬호</t>
        </is>
      </c>
      <c r="G2194" t="inlineStr">
        <is>
          <t>010-5731-5043</t>
        </is>
      </c>
      <c r="H2194" t="inlineStr">
        <is>
          <t>153서3586</t>
        </is>
      </c>
      <c r="I2194" t="n">
        <v>20000000</v>
      </c>
      <c r="J2194" t="n">
        <v>0.075</v>
      </c>
      <c r="K2194" t="n">
        <v>1.1</v>
      </c>
      <c r="L2194" t="n">
        <v>0.14</v>
      </c>
      <c r="M2194" t="n">
        <v>0.96</v>
      </c>
      <c r="P2194" t="inlineStr">
        <is>
          <t>황채이</t>
        </is>
      </c>
      <c r="Q2194" t="inlineStr">
        <is>
          <t>홈서비스 60개월 / 공동명의</t>
        </is>
      </c>
      <c r="AB2194" t="inlineStr">
        <is>
          <t>홈서비스</t>
        </is>
      </c>
      <c r="AC2194" t="n">
        <v>220000</v>
      </c>
      <c r="AD2194" t="n">
        <v>28000</v>
      </c>
      <c r="AE2194" t="n">
        <v>192000</v>
      </c>
      <c r="AF2194" t="n">
        <v>200000</v>
      </c>
      <c r="AG2194" t="n">
        <v>27076</v>
      </c>
      <c r="AH2194" t="n">
        <v>172924</v>
      </c>
    </row>
    <row r="2195">
      <c r="A2195" t="inlineStr">
        <is>
          <t>3월</t>
        </is>
      </c>
      <c r="B2195" t="inlineStr">
        <is>
          <t>11주차</t>
        </is>
      </c>
      <c r="C2195" t="inlineStr">
        <is>
          <t>EP</t>
        </is>
      </c>
      <c r="D2195" s="28" t="n">
        <v>46093</v>
      </c>
      <c r="E2195" t="inlineStr">
        <is>
          <t>현대EP</t>
        </is>
      </c>
      <c r="F2195" t="inlineStr">
        <is>
          <t>사영우</t>
        </is>
      </c>
      <c r="G2195" t="inlineStr">
        <is>
          <t>010-5263-2103</t>
        </is>
      </c>
      <c r="H2195" t="inlineStr">
        <is>
          <t>336저4311</t>
        </is>
      </c>
      <c r="I2195" t="n">
        <v>-32900000</v>
      </c>
      <c r="J2195" t="n">
        <v>0.092</v>
      </c>
      <c r="K2195" t="n">
        <v>1.76</v>
      </c>
      <c r="L2195" t="n">
        <v>0.14</v>
      </c>
      <c r="M2195" t="n">
        <v>1.62</v>
      </c>
      <c r="P2195" t="inlineStr">
        <is>
          <t>김나윤</t>
        </is>
      </c>
      <c r="Q2195" t="inlineStr">
        <is>
          <t>홈서비스 60개월</t>
        </is>
      </c>
      <c r="AB2195" t="inlineStr">
        <is>
          <t>홈서비스</t>
        </is>
      </c>
      <c r="AC2195" t="n">
        <v>-579040</v>
      </c>
      <c r="AD2195" t="n">
        <v>-46060</v>
      </c>
      <c r="AE2195" t="n">
        <v>-532980</v>
      </c>
      <c r="AF2195" t="n">
        <v>-526400</v>
      </c>
      <c r="AG2195" t="n">
        <v>-44540.02</v>
      </c>
      <c r="AH2195" t="n">
        <v>-481859.98</v>
      </c>
      <c r="AI2195" t="n">
        <v>0</v>
      </c>
    </row>
    <row r="2196">
      <c r="A2196" t="inlineStr">
        <is>
          <t>3월</t>
        </is>
      </c>
      <c r="B2196" t="inlineStr">
        <is>
          <t>12주차</t>
        </is>
      </c>
      <c r="C2196" t="inlineStr">
        <is>
          <t>IM</t>
        </is>
      </c>
      <c r="D2196" s="28" t="n">
        <v>46097</v>
      </c>
      <c r="E2196" t="inlineStr">
        <is>
          <t>IM캐피탈</t>
        </is>
      </c>
      <c r="F2196" t="inlineStr">
        <is>
          <t>손효승</t>
        </is>
      </c>
      <c r="G2196" t="inlineStr">
        <is>
          <t>010-9037-0848</t>
        </is>
      </c>
      <c r="H2196" t="inlineStr">
        <is>
          <t>210머9863</t>
        </is>
      </c>
      <c r="I2196" t="n">
        <v>25000000</v>
      </c>
      <c r="J2196" t="n">
        <v>0.075</v>
      </c>
      <c r="K2196" t="n">
        <v>1.1</v>
      </c>
      <c r="L2196" t="n">
        <v>0.14</v>
      </c>
      <c r="M2196" t="n">
        <v>0.96</v>
      </c>
      <c r="P2196" t="inlineStr">
        <is>
          <t>황채이</t>
        </is>
      </c>
      <c r="Q2196" t="inlineStr">
        <is>
          <t>홈서비스 60개월</t>
        </is>
      </c>
      <c r="AB2196" t="inlineStr">
        <is>
          <t>홈서비스</t>
        </is>
      </c>
      <c r="AC2196" t="n">
        <v>275000</v>
      </c>
      <c r="AD2196" t="n">
        <v>35000</v>
      </c>
      <c r="AE2196" t="n">
        <v>240000</v>
      </c>
      <c r="AF2196" t="n">
        <v>250000</v>
      </c>
      <c r="AG2196" t="n">
        <v>33845</v>
      </c>
      <c r="AH2196" t="n">
        <v>216155</v>
      </c>
      <c r="AI2196" t="n">
        <v>0</v>
      </c>
    </row>
    <row r="2197">
      <c r="A2197" t="inlineStr">
        <is>
          <t>3월</t>
        </is>
      </c>
      <c r="B2197" t="inlineStr">
        <is>
          <t>12주차</t>
        </is>
      </c>
      <c r="C2197" t="inlineStr">
        <is>
          <t>EP</t>
        </is>
      </c>
      <c r="D2197" s="28" t="n">
        <v>46097</v>
      </c>
      <c r="E2197" t="inlineStr">
        <is>
          <t>현대EP_fast</t>
        </is>
      </c>
      <c r="F2197" t="inlineStr">
        <is>
          <t>권기상</t>
        </is>
      </c>
      <c r="G2197" t="inlineStr">
        <is>
          <t>010-3505-5827</t>
        </is>
      </c>
      <c r="H2197" t="inlineStr">
        <is>
          <t>83수7150</t>
        </is>
      </c>
      <c r="I2197" t="n">
        <v>15900000</v>
      </c>
      <c r="J2197" t="n">
        <v>0.07099999999999999</v>
      </c>
      <c r="K2197" t="n">
        <v>1.76</v>
      </c>
      <c r="L2197" t="n">
        <v>0.14</v>
      </c>
      <c r="M2197" t="n">
        <v>1.62</v>
      </c>
      <c r="P2197" t="inlineStr">
        <is>
          <t>최형주</t>
        </is>
      </c>
      <c r="Q2197" t="inlineStr">
        <is>
          <t>홈서비스 60개월</t>
        </is>
      </c>
      <c r="AB2197" t="inlineStr">
        <is>
          <t>홈서비스</t>
        </is>
      </c>
      <c r="AC2197" t="n">
        <v>279840</v>
      </c>
      <c r="AD2197" t="n">
        <v>22260</v>
      </c>
      <c r="AE2197" t="n">
        <v>257580</v>
      </c>
      <c r="AF2197" t="n">
        <v>254400</v>
      </c>
      <c r="AG2197" t="n">
        <v>21525.42</v>
      </c>
      <c r="AH2197" t="n">
        <v>232874.58</v>
      </c>
      <c r="AI2197" t="n">
        <v>0</v>
      </c>
    </row>
    <row r="2198">
      <c r="A2198" t="inlineStr">
        <is>
          <t>3월</t>
        </is>
      </c>
      <c r="B2198" t="inlineStr">
        <is>
          <t>12주차</t>
        </is>
      </c>
      <c r="C2198" t="inlineStr">
        <is>
          <t>EP</t>
        </is>
      </c>
      <c r="D2198" s="28" t="n">
        <v>46097</v>
      </c>
      <c r="E2198" t="inlineStr">
        <is>
          <t>현대EP_fast</t>
        </is>
      </c>
      <c r="F2198" t="inlineStr">
        <is>
          <t>김소라</t>
        </is>
      </c>
      <c r="G2198" t="inlineStr">
        <is>
          <t>010-3382-0214</t>
        </is>
      </c>
      <c r="H2198" t="inlineStr">
        <is>
          <t>64모9064</t>
        </is>
      </c>
      <c r="I2198" t="n">
        <v>6000000</v>
      </c>
      <c r="J2198" t="n">
        <v>0.102</v>
      </c>
      <c r="K2198" t="n">
        <v>1.76</v>
      </c>
      <c r="L2198" t="n">
        <v>0.14</v>
      </c>
      <c r="M2198" t="n">
        <v>1.62</v>
      </c>
      <c r="P2198" t="inlineStr">
        <is>
          <t>최형주</t>
        </is>
      </c>
      <c r="Q2198" t="inlineStr">
        <is>
          <t>홈서비스 48개월</t>
        </is>
      </c>
      <c r="AB2198" t="inlineStr">
        <is>
          <t>홈서비스</t>
        </is>
      </c>
      <c r="AC2198" t="n">
        <v>105600</v>
      </c>
      <c r="AD2198" t="n">
        <v>8400</v>
      </c>
      <c r="AE2198" t="n">
        <v>97200</v>
      </c>
      <c r="AF2198" t="n">
        <v>96000</v>
      </c>
      <c r="AG2198" t="n">
        <v>8122.8</v>
      </c>
      <c r="AH2198" t="n">
        <v>87877.2</v>
      </c>
      <c r="AI2198" t="n">
        <v>0</v>
      </c>
    </row>
    <row r="2199">
      <c r="A2199" t="inlineStr">
        <is>
          <t>3월</t>
        </is>
      </c>
      <c r="B2199" t="inlineStr">
        <is>
          <t>11주차</t>
        </is>
      </c>
      <c r="C2199" t="inlineStr">
        <is>
          <t>EP</t>
        </is>
      </c>
      <c r="D2199" s="28" t="n">
        <v>46093</v>
      </c>
      <c r="E2199" t="inlineStr">
        <is>
          <t>현대EP</t>
        </is>
      </c>
      <c r="F2199" t="inlineStr">
        <is>
          <t>김명재</t>
        </is>
      </c>
      <c r="G2199" t="inlineStr">
        <is>
          <t>010-2435-0853</t>
        </is>
      </c>
      <c r="H2199" t="inlineStr">
        <is>
          <t>45고0368</t>
        </is>
      </c>
      <c r="I2199" t="n">
        <v>-12900000</v>
      </c>
      <c r="J2199" t="n">
        <v>0.102</v>
      </c>
      <c r="K2199" t="n">
        <v>1.76</v>
      </c>
      <c r="L2199" t="n">
        <v>0.14</v>
      </c>
      <c r="M2199" t="n">
        <v>1.62</v>
      </c>
      <c r="P2199" t="inlineStr">
        <is>
          <t>정세빈</t>
        </is>
      </c>
      <c r="Q2199" t="inlineStr">
        <is>
          <t>홈서비스 60개월</t>
        </is>
      </c>
      <c r="AB2199" t="inlineStr">
        <is>
          <t>홈서비스</t>
        </is>
      </c>
      <c r="AC2199" t="n">
        <v>-227040</v>
      </c>
      <c r="AD2199" t="n">
        <v>-18060</v>
      </c>
      <c r="AE2199" t="n">
        <v>-208980</v>
      </c>
      <c r="AF2199" t="n">
        <v>-206400</v>
      </c>
      <c r="AG2199" t="n">
        <v>-17464.02</v>
      </c>
      <c r="AH2199" t="n">
        <v>-188935.98</v>
      </c>
      <c r="AI2199" t="n">
        <v>0</v>
      </c>
    </row>
    <row r="2200">
      <c r="A2200" t="inlineStr">
        <is>
          <t>3월</t>
        </is>
      </c>
      <c r="B2200" t="inlineStr">
        <is>
          <t>11주차</t>
        </is>
      </c>
      <c r="C2200" t="inlineStr">
        <is>
          <t>EP</t>
        </is>
      </c>
      <c r="D2200" s="28" t="n">
        <v>46093</v>
      </c>
      <c r="E2200" t="inlineStr">
        <is>
          <t>제이비EP</t>
        </is>
      </c>
      <c r="F2200" t="inlineStr">
        <is>
          <t>이정민</t>
        </is>
      </c>
      <c r="G2200" t="inlineStr">
        <is>
          <t>010-4726-4177</t>
        </is>
      </c>
      <c r="H2200" t="inlineStr">
        <is>
          <t>195주5305</t>
        </is>
      </c>
      <c r="I2200" t="n">
        <v>22000000</v>
      </c>
      <c r="J2200" t="n">
        <v>0.06900000000000001</v>
      </c>
      <c r="K2200" t="n">
        <v>1.65</v>
      </c>
      <c r="L2200" t="n">
        <v>0.4</v>
      </c>
      <c r="M2200" t="n">
        <v>1.25</v>
      </c>
      <c r="P2200" t="inlineStr">
        <is>
          <t>박보람</t>
        </is>
      </c>
      <c r="Q2200" t="inlineStr">
        <is>
          <t>부대비용 추가 진행</t>
        </is>
      </c>
      <c r="AB2200" t="inlineStr">
        <is>
          <t>엔카</t>
        </is>
      </c>
      <c r="AC2200" t="n">
        <v>363000</v>
      </c>
      <c r="AD2200" t="n">
        <v>88000</v>
      </c>
      <c r="AE2200" t="n">
        <v>275000</v>
      </c>
      <c r="AF2200" t="n">
        <v>330000</v>
      </c>
      <c r="AG2200" t="n">
        <v>85096</v>
      </c>
      <c r="AH2200" t="n">
        <v>244904</v>
      </c>
      <c r="AI2200" t="n">
        <v>0</v>
      </c>
    </row>
    <row r="2201">
      <c r="A2201" t="inlineStr">
        <is>
          <t>3월</t>
        </is>
      </c>
      <c r="B2201" t="inlineStr">
        <is>
          <t>11주차</t>
        </is>
      </c>
      <c r="C2201" t="inlineStr">
        <is>
          <t>EP</t>
        </is>
      </c>
      <c r="D2201" s="28" t="n">
        <v>46094</v>
      </c>
      <c r="E2201" t="inlineStr">
        <is>
          <t>제이비EP</t>
        </is>
      </c>
      <c r="F2201" t="inlineStr">
        <is>
          <t>MENG YUHE</t>
        </is>
      </c>
      <c r="G2201" t="inlineStr">
        <is>
          <t>010-6389-8908</t>
        </is>
      </c>
      <c r="H2201" t="inlineStr">
        <is>
          <t>248로7764</t>
        </is>
      </c>
      <c r="I2201" t="n">
        <v>98000000</v>
      </c>
      <c r="J2201" t="n">
        <v>0.06900000000000001</v>
      </c>
      <c r="K2201" t="n">
        <v>1.65</v>
      </c>
      <c r="L2201" t="n">
        <v>0.4</v>
      </c>
      <c r="M2201" t="n">
        <v>1.25</v>
      </c>
      <c r="P2201" t="inlineStr">
        <is>
          <t>임대경</t>
        </is>
      </c>
      <c r="AB2201" t="inlineStr">
        <is>
          <t>엔카</t>
        </is>
      </c>
      <c r="AC2201" t="n">
        <v>1617000</v>
      </c>
      <c r="AD2201" t="n">
        <v>392000</v>
      </c>
      <c r="AE2201" t="n">
        <v>1225000</v>
      </c>
      <c r="AF2201" t="n">
        <v>1470000</v>
      </c>
      <c r="AG2201" t="n">
        <v>379064</v>
      </c>
      <c r="AH2201" t="n">
        <v>1090936</v>
      </c>
      <c r="AI2201" t="n">
        <v>0</v>
      </c>
    </row>
    <row r="2202">
      <c r="A2202" t="inlineStr">
        <is>
          <t>3월</t>
        </is>
      </c>
      <c r="B2202" t="inlineStr">
        <is>
          <t>11주차</t>
        </is>
      </c>
      <c r="C2202" t="inlineStr">
        <is>
          <t>IM</t>
        </is>
      </c>
      <c r="D2202" s="28" t="n">
        <v>46096</v>
      </c>
      <c r="E2202" t="inlineStr">
        <is>
          <t>IM캐피탈</t>
        </is>
      </c>
      <c r="F2202" t="inlineStr">
        <is>
          <t>김민형</t>
        </is>
      </c>
      <c r="G2202" t="inlineStr">
        <is>
          <t>010-4741-4347</t>
        </is>
      </c>
      <c r="H2202" t="inlineStr">
        <is>
          <t>231부1252</t>
        </is>
      </c>
      <c r="I2202" t="n">
        <v>58000000</v>
      </c>
      <c r="J2202" t="n">
        <v>0.049</v>
      </c>
      <c r="K2202" t="n">
        <v>1.1</v>
      </c>
      <c r="L2202" t="n">
        <v>0.4</v>
      </c>
      <c r="M2202" t="n">
        <v>0.7</v>
      </c>
      <c r="P2202" t="inlineStr">
        <is>
          <t>박소현</t>
        </is>
      </c>
      <c r="Q2202" t="inlineStr">
        <is>
          <t>공동명의</t>
        </is>
      </c>
      <c r="AB2202" t="inlineStr">
        <is>
          <t>엔카</t>
        </is>
      </c>
      <c r="AC2202" t="n">
        <v>638000</v>
      </c>
      <c r="AD2202" t="n">
        <v>232000</v>
      </c>
      <c r="AE2202" t="n">
        <v>406000</v>
      </c>
      <c r="AF2202" t="n">
        <v>580000</v>
      </c>
      <c r="AG2202" t="n">
        <v>224344</v>
      </c>
      <c r="AH2202" t="n">
        <v>355656</v>
      </c>
      <c r="AI2202" t="n">
        <v>0</v>
      </c>
    </row>
    <row r="2203">
      <c r="A2203" t="inlineStr">
        <is>
          <t>3월</t>
        </is>
      </c>
      <c r="B2203" t="inlineStr">
        <is>
          <t>12주차</t>
        </is>
      </c>
      <c r="C2203" t="inlineStr">
        <is>
          <t>EP</t>
        </is>
      </c>
      <c r="D2203" s="28" t="n">
        <v>46097</v>
      </c>
      <c r="E2203" t="inlineStr">
        <is>
          <t>현대EP_fast</t>
        </is>
      </c>
      <c r="F2203" t="inlineStr">
        <is>
          <t>정규찬</t>
        </is>
      </c>
      <c r="G2203" t="inlineStr">
        <is>
          <t>010-7597-3296</t>
        </is>
      </c>
      <c r="H2203" t="inlineStr">
        <is>
          <t>156소9136</t>
        </is>
      </c>
      <c r="I2203" t="n">
        <v>42500000</v>
      </c>
      <c r="J2203" t="n">
        <v>0.119</v>
      </c>
      <c r="K2203" t="n">
        <v>1.76</v>
      </c>
      <c r="L2203" t="n">
        <v>0.14</v>
      </c>
      <c r="M2203" t="n">
        <v>1.62</v>
      </c>
      <c r="P2203" t="inlineStr">
        <is>
          <t>김수연</t>
        </is>
      </c>
      <c r="Q2203" t="inlineStr">
        <is>
          <t>홈서비스 60개월</t>
        </is>
      </c>
      <c r="AB2203" t="inlineStr">
        <is>
          <t>홈서비스</t>
        </is>
      </c>
      <c r="AC2203" t="n">
        <v>748000</v>
      </c>
      <c r="AD2203" t="n">
        <v>59500</v>
      </c>
      <c r="AE2203" t="n">
        <v>688500</v>
      </c>
      <c r="AF2203" t="n">
        <v>680000</v>
      </c>
      <c r="AG2203" t="n">
        <v>57536.5</v>
      </c>
      <c r="AH2203" t="n">
        <v>622463.5</v>
      </c>
    </row>
    <row r="2204">
      <c r="A2204" t="inlineStr">
        <is>
          <t>3월</t>
        </is>
      </c>
      <c r="B2204" t="inlineStr">
        <is>
          <t>12주차</t>
        </is>
      </c>
      <c r="C2204" t="inlineStr">
        <is>
          <t>IM</t>
        </is>
      </c>
      <c r="D2204" s="28" t="n">
        <v>46097</v>
      </c>
      <c r="E2204" t="inlineStr">
        <is>
          <t>IM캐피탈</t>
        </is>
      </c>
      <c r="F2204" t="inlineStr">
        <is>
          <t>고효진</t>
        </is>
      </c>
      <c r="G2204" t="inlineStr">
        <is>
          <t>010-5545-1226</t>
        </is>
      </c>
      <c r="H2204" t="inlineStr">
        <is>
          <t>25라1331</t>
        </is>
      </c>
      <c r="I2204" t="n">
        <v>8000000</v>
      </c>
      <c r="J2204" t="n">
        <v>0.049</v>
      </c>
      <c r="K2204" t="n">
        <v>1.1</v>
      </c>
      <c r="L2204" t="n">
        <v>0.14</v>
      </c>
      <c r="M2204" t="n">
        <v>0.96</v>
      </c>
      <c r="P2204" t="inlineStr">
        <is>
          <t>김수연</t>
        </is>
      </c>
      <c r="Q2204" t="inlineStr">
        <is>
          <t>홈서비스 60개월</t>
        </is>
      </c>
      <c r="AB2204" t="inlineStr">
        <is>
          <t>홈서비스</t>
        </is>
      </c>
      <c r="AC2204" t="n">
        <v>88000</v>
      </c>
      <c r="AD2204" t="n">
        <v>11200</v>
      </c>
      <c r="AE2204" t="n">
        <v>76800</v>
      </c>
      <c r="AF2204" t="n">
        <v>80000</v>
      </c>
      <c r="AG2204" t="n">
        <v>10830.4</v>
      </c>
      <c r="AH2204" t="n">
        <v>69169.60000000001</v>
      </c>
      <c r="AI2204" t="n">
        <v>0</v>
      </c>
    </row>
    <row r="2205">
      <c r="A2205" t="inlineStr">
        <is>
          <t>3월</t>
        </is>
      </c>
      <c r="B2205" t="inlineStr">
        <is>
          <t>12주차</t>
        </is>
      </c>
      <c r="C2205" t="inlineStr">
        <is>
          <t>EP</t>
        </is>
      </c>
      <c r="D2205" s="28" t="n">
        <v>46097</v>
      </c>
      <c r="E2205" t="inlineStr">
        <is>
          <t>현대EP_fast</t>
        </is>
      </c>
      <c r="F2205" t="inlineStr">
        <is>
          <t>정세준</t>
        </is>
      </c>
      <c r="G2205" t="inlineStr">
        <is>
          <t>010-4608-0813</t>
        </is>
      </c>
      <c r="H2205" t="inlineStr">
        <is>
          <t>60누6925</t>
        </is>
      </c>
      <c r="I2205" t="n">
        <v>3300000</v>
      </c>
      <c r="J2205" t="n">
        <v>0.08599999999999999</v>
      </c>
      <c r="K2205" t="n">
        <v>1.76</v>
      </c>
      <c r="L2205" t="n">
        <v>0.14</v>
      </c>
      <c r="M2205" t="n">
        <v>1.62</v>
      </c>
      <c r="P2205" t="inlineStr">
        <is>
          <t>김수연</t>
        </is>
      </c>
      <c r="Q2205" t="inlineStr">
        <is>
          <t>홈서비스 48개월</t>
        </is>
      </c>
      <c r="AB2205" t="inlineStr">
        <is>
          <t>홈서비스</t>
        </is>
      </c>
      <c r="AC2205" t="n">
        <v>58080</v>
      </c>
      <c r="AD2205" t="n">
        <v>4620</v>
      </c>
      <c r="AE2205" t="n">
        <v>53460</v>
      </c>
      <c r="AF2205" t="n">
        <v>52800</v>
      </c>
      <c r="AG2205" t="n">
        <v>4467.54</v>
      </c>
      <c r="AH2205" t="n">
        <v>48332.46</v>
      </c>
      <c r="AI2205" t="n">
        <v>0</v>
      </c>
    </row>
    <row r="2206">
      <c r="A2206" t="inlineStr">
        <is>
          <t>3월</t>
        </is>
      </c>
      <c r="B2206" t="inlineStr">
        <is>
          <t>11주차</t>
        </is>
      </c>
      <c r="C2206" t="inlineStr">
        <is>
          <t>EP</t>
        </is>
      </c>
      <c r="D2206" s="28" t="n">
        <v>46095</v>
      </c>
      <c r="E2206" t="inlineStr">
        <is>
          <t>현대EP_fast</t>
        </is>
      </c>
      <c r="F2206" t="inlineStr">
        <is>
          <t>임민성</t>
        </is>
      </c>
      <c r="G2206" t="inlineStr">
        <is>
          <t>010-5915-8402</t>
        </is>
      </c>
      <c r="H2206" t="inlineStr">
        <is>
          <t>41부7992</t>
        </is>
      </c>
      <c r="I2206" t="n">
        <v>4700000</v>
      </c>
      <c r="J2206" t="n">
        <v>0.119</v>
      </c>
      <c r="K2206" t="n">
        <v>1.76</v>
      </c>
      <c r="L2206" t="n">
        <v>0.14</v>
      </c>
      <c r="M2206" t="n">
        <v>1.62</v>
      </c>
      <c r="P2206" t="inlineStr">
        <is>
          <t>최혁</t>
        </is>
      </c>
      <c r="Q2206" t="inlineStr">
        <is>
          <t>홈서비스36개월</t>
        </is>
      </c>
      <c r="AB2206" t="inlineStr">
        <is>
          <t>홈서비스</t>
        </is>
      </c>
      <c r="AC2206" t="n">
        <v>82720</v>
      </c>
      <c r="AD2206" t="n">
        <v>6580</v>
      </c>
      <c r="AE2206" t="n">
        <v>76140</v>
      </c>
      <c r="AF2206" t="n">
        <v>75200</v>
      </c>
      <c r="AG2206" t="n">
        <v>6362.86</v>
      </c>
      <c r="AH2206" t="n">
        <v>68837.14</v>
      </c>
      <c r="AI2206" t="n">
        <v>0</v>
      </c>
      <c r="AJ2206" t="inlineStr">
        <is>
          <t>개인</t>
        </is>
      </c>
    </row>
    <row r="2207">
      <c r="A2207" t="inlineStr">
        <is>
          <t>3월</t>
        </is>
      </c>
      <c r="B2207" t="inlineStr">
        <is>
          <t>11주차</t>
        </is>
      </c>
      <c r="C2207" t="inlineStr">
        <is>
          <t>IM</t>
        </is>
      </c>
      <c r="D2207" s="28" t="n">
        <v>46094</v>
      </c>
      <c r="E2207" t="inlineStr">
        <is>
          <t>IM캐피탈</t>
        </is>
      </c>
      <c r="F2207" t="inlineStr">
        <is>
          <t>강인구</t>
        </is>
      </c>
      <c r="G2207" t="inlineStr">
        <is>
          <t>010-3573-3714</t>
        </is>
      </c>
      <c r="H2207" t="inlineStr">
        <is>
          <t>90우8516</t>
        </is>
      </c>
      <c r="I2207" t="n">
        <v>18000000</v>
      </c>
      <c r="J2207" t="n">
        <v>0.049</v>
      </c>
      <c r="K2207" t="n">
        <v>1.1</v>
      </c>
      <c r="L2207" t="n">
        <v>0.14</v>
      </c>
      <c r="M2207" t="n">
        <v>0.96</v>
      </c>
      <c r="P2207" t="inlineStr">
        <is>
          <t>박보람</t>
        </is>
      </c>
      <c r="Q2207" t="inlineStr">
        <is>
          <t>선상담 / 홈서비스 60개월</t>
        </is>
      </c>
      <c r="AB2207" t="inlineStr">
        <is>
          <t>홈서비스</t>
        </is>
      </c>
      <c r="AC2207" t="n">
        <v>198000</v>
      </c>
      <c r="AD2207" t="n">
        <v>25200</v>
      </c>
      <c r="AE2207" t="n">
        <v>172800</v>
      </c>
      <c r="AF2207" t="n">
        <v>180000</v>
      </c>
      <c r="AG2207" t="n">
        <v>24368.4</v>
      </c>
      <c r="AH2207" t="n">
        <v>155631.6</v>
      </c>
      <c r="AI2207" t="n">
        <v>0</v>
      </c>
    </row>
    <row r="2208">
      <c r="A2208" t="inlineStr">
        <is>
          <t>3월</t>
        </is>
      </c>
      <c r="B2208" t="inlineStr">
        <is>
          <t>11주차</t>
        </is>
      </c>
      <c r="C2208" t="inlineStr">
        <is>
          <t>EP</t>
        </is>
      </c>
      <c r="D2208" s="28" t="n">
        <v>46096</v>
      </c>
      <c r="E2208" t="inlineStr">
        <is>
          <t>현대EP</t>
        </is>
      </c>
      <c r="F2208" t="inlineStr">
        <is>
          <t>조춘인</t>
        </is>
      </c>
      <c r="G2208" t="inlineStr">
        <is>
          <t>010-6456-9171</t>
        </is>
      </c>
      <c r="H2208" t="inlineStr">
        <is>
          <t>25모1200</t>
        </is>
      </c>
      <c r="I2208" t="n">
        <v>50000000</v>
      </c>
      <c r="J2208" t="n">
        <v>0.08599999999999999</v>
      </c>
      <c r="K2208" t="n">
        <v>1.76</v>
      </c>
      <c r="L2208" t="n">
        <v>0.14</v>
      </c>
      <c r="M2208" t="n">
        <v>1.62</v>
      </c>
      <c r="P2208" t="inlineStr">
        <is>
          <t>정광호</t>
        </is>
      </c>
      <c r="Q2208" t="inlineStr">
        <is>
          <t>홈서비스 48개월</t>
        </is>
      </c>
      <c r="AB2208" t="inlineStr">
        <is>
          <t>홈서비스</t>
        </is>
      </c>
      <c r="AC2208" t="n">
        <v>880000</v>
      </c>
      <c r="AD2208" t="n">
        <v>70000</v>
      </c>
      <c r="AE2208" t="n">
        <v>810000</v>
      </c>
      <c r="AF2208" t="n">
        <v>800000</v>
      </c>
      <c r="AG2208" t="n">
        <v>67690</v>
      </c>
      <c r="AH2208" t="n">
        <v>732310</v>
      </c>
    </row>
    <row r="2209">
      <c r="A2209" t="inlineStr">
        <is>
          <t>3월</t>
        </is>
      </c>
      <c r="B2209" t="inlineStr">
        <is>
          <t>12주차</t>
        </is>
      </c>
      <c r="C2209" t="inlineStr">
        <is>
          <t>WC</t>
        </is>
      </c>
      <c r="D2209" s="28" t="n">
        <v>46097</v>
      </c>
      <c r="E2209" t="inlineStr">
        <is>
          <t>웰컴저축은행</t>
        </is>
      </c>
      <c r="F2209" t="inlineStr">
        <is>
          <t>김은찬</t>
        </is>
      </c>
      <c r="G2209" t="inlineStr">
        <is>
          <t>010-9673-8582</t>
        </is>
      </c>
      <c r="H2209" t="inlineStr">
        <is>
          <t>250고4075</t>
        </is>
      </c>
      <c r="I2209" t="n">
        <v>28200000</v>
      </c>
      <c r="J2209" t="n">
        <v>0.159</v>
      </c>
      <c r="K2209" t="n">
        <v>0</v>
      </c>
      <c r="L2209" t="n">
        <v>0.14</v>
      </c>
      <c r="M2209" t="n">
        <v>-0.14</v>
      </c>
      <c r="P2209" t="inlineStr">
        <is>
          <t>정광호</t>
        </is>
      </c>
      <c r="Q2209" t="inlineStr">
        <is>
          <t>홈서비스 60개월</t>
        </is>
      </c>
      <c r="AB2209" t="inlineStr">
        <is>
          <t>홈서비스</t>
        </is>
      </c>
      <c r="AC2209" t="n">
        <v>0</v>
      </c>
      <c r="AD2209" t="n">
        <v>39480</v>
      </c>
      <c r="AE2209" t="n">
        <v>-39480</v>
      </c>
      <c r="AF2209" t="n">
        <v>0</v>
      </c>
      <c r="AG2209" t="n">
        <v>38177.16</v>
      </c>
      <c r="AH2209" t="n">
        <v>-38177.16</v>
      </c>
      <c r="AI2209" t="n">
        <v>0</v>
      </c>
    </row>
    <row r="2210">
      <c r="A2210" t="inlineStr">
        <is>
          <t>3월</t>
        </is>
      </c>
      <c r="B2210" t="inlineStr">
        <is>
          <t>12주차</t>
        </is>
      </c>
      <c r="C2210" t="inlineStr">
        <is>
          <t>IM</t>
        </is>
      </c>
      <c r="D2210" s="28" t="n">
        <v>46097</v>
      </c>
      <c r="E2210" t="inlineStr">
        <is>
          <t>IM캐피탈</t>
        </is>
      </c>
      <c r="F2210" t="inlineStr">
        <is>
          <t>권혁주</t>
        </is>
      </c>
      <c r="G2210" t="inlineStr">
        <is>
          <t>010-6649-6377</t>
        </is>
      </c>
      <c r="H2210" t="inlineStr">
        <is>
          <t>25다7862</t>
        </is>
      </c>
      <c r="I2210" t="n">
        <v>10000000</v>
      </c>
      <c r="J2210" t="n">
        <v>0.049</v>
      </c>
      <c r="K2210" t="n">
        <v>1.1</v>
      </c>
      <c r="L2210" t="n">
        <v>0.14</v>
      </c>
      <c r="M2210" t="n">
        <v>0.96</v>
      </c>
      <c r="P2210" t="inlineStr">
        <is>
          <t>정광호</t>
        </is>
      </c>
      <c r="Q2210" t="inlineStr">
        <is>
          <t>홈서비스 24개월</t>
        </is>
      </c>
      <c r="AB2210" t="inlineStr">
        <is>
          <t>홈서비스</t>
        </is>
      </c>
      <c r="AC2210" t="n">
        <v>110000</v>
      </c>
      <c r="AD2210" t="n">
        <v>14000</v>
      </c>
      <c r="AE2210" t="n">
        <v>96000</v>
      </c>
      <c r="AF2210" t="n">
        <v>100000</v>
      </c>
      <c r="AG2210" t="n">
        <v>13538</v>
      </c>
      <c r="AH2210" t="n">
        <v>86462</v>
      </c>
      <c r="AI2210" t="n">
        <v>0</v>
      </c>
    </row>
    <row r="2211">
      <c r="A2211" t="inlineStr">
        <is>
          <t>3월</t>
        </is>
      </c>
      <c r="B2211" t="inlineStr">
        <is>
          <t>12주차</t>
        </is>
      </c>
      <c r="C2211" t="inlineStr">
        <is>
          <t>EP</t>
        </is>
      </c>
      <c r="D2211" s="28" t="n">
        <v>46097</v>
      </c>
      <c r="E2211" t="inlineStr">
        <is>
          <t>BNKEP</t>
        </is>
      </c>
      <c r="F2211" t="inlineStr">
        <is>
          <t>이동재</t>
        </is>
      </c>
      <c r="G2211" t="inlineStr">
        <is>
          <t>010-5871-0010</t>
        </is>
      </c>
      <c r="H2211" t="inlineStr">
        <is>
          <t>46구4784</t>
        </is>
      </c>
      <c r="I2211" t="n">
        <v>49900000</v>
      </c>
      <c r="J2211" t="n">
        <v>0.07199999999999999</v>
      </c>
      <c r="K2211" t="n">
        <v>1.65</v>
      </c>
      <c r="L2211" t="n">
        <v>0.14</v>
      </c>
      <c r="M2211" t="n">
        <v>1.51</v>
      </c>
      <c r="P2211" t="inlineStr">
        <is>
          <t>황채이</t>
        </is>
      </c>
      <c r="Q2211" t="inlineStr">
        <is>
          <t>홈서비스 60개월</t>
        </is>
      </c>
      <c r="AB2211" t="inlineStr">
        <is>
          <t>홈서비스</t>
        </is>
      </c>
      <c r="AC2211" t="n">
        <v>823350</v>
      </c>
      <c r="AD2211" t="n">
        <v>69860</v>
      </c>
      <c r="AE2211" t="n">
        <v>753490</v>
      </c>
      <c r="AF2211" t="n">
        <v>748500</v>
      </c>
      <c r="AG2211" t="n">
        <v>67554.62</v>
      </c>
      <c r="AH2211" t="n">
        <v>680945.38</v>
      </c>
      <c r="AI2211" t="n">
        <v>0</v>
      </c>
    </row>
    <row r="2212">
      <c r="A2212" t="inlineStr">
        <is>
          <t>3월</t>
        </is>
      </c>
      <c r="B2212" t="inlineStr">
        <is>
          <t>11주차</t>
        </is>
      </c>
      <c r="C2212" t="inlineStr">
        <is>
          <t>EP</t>
        </is>
      </c>
      <c r="D2212" s="28" t="n">
        <v>46093</v>
      </c>
      <c r="E2212" t="inlineStr">
        <is>
          <t>BNKEP</t>
        </is>
      </c>
      <c r="F2212" t="inlineStr">
        <is>
          <t>최정민</t>
        </is>
      </c>
      <c r="G2212" t="inlineStr">
        <is>
          <t>010-8568-5300</t>
        </is>
      </c>
      <c r="H2212" t="inlineStr">
        <is>
          <t>61너8594</t>
        </is>
      </c>
      <c r="I2212" t="n">
        <v>7500000</v>
      </c>
      <c r="J2212" t="n">
        <v>0.07000000000000001</v>
      </c>
      <c r="K2212" t="n">
        <v>1.65</v>
      </c>
      <c r="L2212" t="n">
        <v>0.14</v>
      </c>
      <c r="M2212" t="n">
        <v>1.51</v>
      </c>
      <c r="P2212" t="inlineStr">
        <is>
          <t>박현민</t>
        </is>
      </c>
      <c r="Q2212" t="inlineStr">
        <is>
          <t>홈서비스 36개월</t>
        </is>
      </c>
      <c r="AB2212" t="inlineStr">
        <is>
          <t>홈서비스</t>
        </is>
      </c>
      <c r="AC2212" t="n">
        <v>123750</v>
      </c>
      <c r="AD2212" t="n">
        <v>10500</v>
      </c>
      <c r="AE2212" t="n">
        <v>113250</v>
      </c>
      <c r="AF2212" t="n">
        <v>112500</v>
      </c>
      <c r="AG2212" t="n">
        <v>10153.5</v>
      </c>
      <c r="AH2212" t="n">
        <v>102346.5</v>
      </c>
      <c r="AI2212" t="n">
        <v>0</v>
      </c>
    </row>
    <row r="2213">
      <c r="A2213" t="inlineStr">
        <is>
          <t>3월</t>
        </is>
      </c>
      <c r="B2213" t="inlineStr">
        <is>
          <t>12주차</t>
        </is>
      </c>
      <c r="C2213" t="inlineStr">
        <is>
          <t>EP</t>
        </is>
      </c>
      <c r="D2213" s="28" t="n">
        <v>46097</v>
      </c>
      <c r="E2213" t="inlineStr">
        <is>
          <t>현대EP_fast</t>
        </is>
      </c>
      <c r="F2213" t="inlineStr">
        <is>
          <t>신민희</t>
        </is>
      </c>
      <c r="G2213" t="inlineStr">
        <is>
          <t>010-3614-9892</t>
        </is>
      </c>
      <c r="H2213" t="inlineStr">
        <is>
          <t>182우3069</t>
        </is>
      </c>
      <c r="I2213" t="n">
        <v>10000000</v>
      </c>
      <c r="J2213" t="n">
        <v>0.09</v>
      </c>
      <c r="K2213" t="n">
        <v>1.76</v>
      </c>
      <c r="L2213" t="n">
        <v>0.14</v>
      </c>
      <c r="M2213" t="n">
        <v>1.62</v>
      </c>
      <c r="P2213" t="inlineStr">
        <is>
          <t>김나윤</t>
        </is>
      </c>
      <c r="Q2213" t="inlineStr">
        <is>
          <t>홈서비스 36개월</t>
        </is>
      </c>
      <c r="AB2213" t="inlineStr">
        <is>
          <t>홈서비스</t>
        </is>
      </c>
      <c r="AC2213" t="n">
        <v>176000</v>
      </c>
      <c r="AD2213" t="n">
        <v>14000</v>
      </c>
      <c r="AE2213" t="n">
        <v>162000</v>
      </c>
      <c r="AF2213" t="n">
        <v>160000</v>
      </c>
      <c r="AG2213" t="n">
        <v>13538</v>
      </c>
      <c r="AH2213" t="n">
        <v>146462</v>
      </c>
      <c r="AI2213" t="n">
        <v>0</v>
      </c>
    </row>
    <row r="2214">
      <c r="A2214" t="inlineStr">
        <is>
          <t>3월</t>
        </is>
      </c>
      <c r="B2214" t="inlineStr">
        <is>
          <t>12주차</t>
        </is>
      </c>
      <c r="C2214" t="inlineStr">
        <is>
          <t>IM</t>
        </is>
      </c>
      <c r="D2214" s="28" t="n">
        <v>46097</v>
      </c>
      <c r="E2214" t="inlineStr">
        <is>
          <t>IM캐피탈</t>
        </is>
      </c>
      <c r="F2214" t="inlineStr">
        <is>
          <t>백종선</t>
        </is>
      </c>
      <c r="G2214" t="inlineStr">
        <is>
          <t>010-2176-4334</t>
        </is>
      </c>
      <c r="H2214" t="inlineStr">
        <is>
          <t>236무7273</t>
        </is>
      </c>
      <c r="I2214" t="n">
        <v>20000000</v>
      </c>
      <c r="J2214" t="n">
        <v>0.059</v>
      </c>
      <c r="K2214" t="n">
        <v>1.1</v>
      </c>
      <c r="L2214" t="n">
        <v>0.4</v>
      </c>
      <c r="M2214" t="n">
        <v>0.7</v>
      </c>
      <c r="P2214" t="inlineStr">
        <is>
          <t>최혁</t>
        </is>
      </c>
      <c r="AB2214" t="inlineStr">
        <is>
          <t>엔카</t>
        </is>
      </c>
      <c r="AC2214" t="n">
        <v>220000</v>
      </c>
      <c r="AD2214" t="n">
        <v>80000</v>
      </c>
      <c r="AE2214" t="n">
        <v>140000</v>
      </c>
      <c r="AF2214" t="n">
        <v>200000</v>
      </c>
      <c r="AG2214" t="n">
        <v>77360</v>
      </c>
      <c r="AH2214" t="n">
        <v>122640</v>
      </c>
      <c r="AI2214" t="n">
        <v>0</v>
      </c>
    </row>
    <row r="2215">
      <c r="A2215" t="inlineStr">
        <is>
          <t>3월</t>
        </is>
      </c>
      <c r="B2215" t="inlineStr">
        <is>
          <t>11주차</t>
        </is>
      </c>
      <c r="C2215" t="inlineStr">
        <is>
          <t>EP</t>
        </is>
      </c>
      <c r="D2215" s="28" t="n">
        <v>46094</v>
      </c>
      <c r="E2215" t="inlineStr">
        <is>
          <t>현대EP_fast</t>
        </is>
      </c>
      <c r="F2215" t="inlineStr">
        <is>
          <t>이경우</t>
        </is>
      </c>
      <c r="G2215" t="inlineStr">
        <is>
          <t>010-2438-5338</t>
        </is>
      </c>
      <c r="H2215" t="inlineStr">
        <is>
          <t>04소2148</t>
        </is>
      </c>
      <c r="I2215" t="n">
        <v>34500000</v>
      </c>
      <c r="J2215" t="n">
        <v>0.118</v>
      </c>
      <c r="K2215" t="n">
        <v>1.76</v>
      </c>
      <c r="L2215" t="n">
        <v>0.4</v>
      </c>
      <c r="M2215" t="n">
        <v>1.36</v>
      </c>
      <c r="P2215" t="inlineStr">
        <is>
          <t>장현경</t>
        </is>
      </c>
      <c r="AB2215" t="inlineStr">
        <is>
          <t>엔카</t>
        </is>
      </c>
      <c r="AC2215" t="n">
        <v>607200</v>
      </c>
      <c r="AD2215" t="n">
        <v>138000</v>
      </c>
      <c r="AE2215" t="n">
        <v>469200</v>
      </c>
      <c r="AF2215" t="n">
        <v>552000</v>
      </c>
      <c r="AG2215" t="n">
        <v>133446</v>
      </c>
      <c r="AH2215" t="n">
        <v>418554</v>
      </c>
      <c r="AI2215" t="n">
        <v>0</v>
      </c>
    </row>
    <row r="2216">
      <c r="A2216" t="inlineStr">
        <is>
          <t>3월</t>
        </is>
      </c>
      <c r="B2216" t="inlineStr">
        <is>
          <t>12주차</t>
        </is>
      </c>
      <c r="C2216" t="inlineStr">
        <is>
          <t>EP</t>
        </is>
      </c>
      <c r="D2216" s="28" t="n">
        <v>46097</v>
      </c>
      <c r="E2216" t="inlineStr">
        <is>
          <t>현대EP_fast</t>
        </is>
      </c>
      <c r="F2216" t="inlineStr">
        <is>
          <t>김시현</t>
        </is>
      </c>
      <c r="G2216" t="inlineStr">
        <is>
          <t>010-6262-2033</t>
        </is>
      </c>
      <c r="H2216" t="inlineStr">
        <is>
          <t>255조4239</t>
        </is>
      </c>
      <c r="I2216" t="n">
        <v>17500000</v>
      </c>
      <c r="J2216" t="n">
        <v>0.102</v>
      </c>
      <c r="K2216" t="n">
        <v>1.76</v>
      </c>
      <c r="L2216" t="n">
        <v>0.14</v>
      </c>
      <c r="M2216" t="n">
        <v>1.62</v>
      </c>
      <c r="P2216" t="inlineStr">
        <is>
          <t>김나윤</t>
        </is>
      </c>
      <c r="Q2216" t="inlineStr">
        <is>
          <t>홈서비스 60개월</t>
        </is>
      </c>
      <c r="AB2216" t="inlineStr">
        <is>
          <t>홈서비스</t>
        </is>
      </c>
      <c r="AC2216" t="n">
        <v>308000</v>
      </c>
      <c r="AD2216" t="n">
        <v>24500</v>
      </c>
      <c r="AE2216" t="n">
        <v>283500</v>
      </c>
      <c r="AF2216" t="n">
        <v>280000</v>
      </c>
      <c r="AG2216" t="n">
        <v>23691.5</v>
      </c>
      <c r="AH2216" t="n">
        <v>256308.5</v>
      </c>
      <c r="AI2216" t="n">
        <v>0</v>
      </c>
    </row>
    <row r="2217">
      <c r="A2217" t="inlineStr">
        <is>
          <t>3월</t>
        </is>
      </c>
      <c r="B2217" t="inlineStr">
        <is>
          <t>12주차</t>
        </is>
      </c>
      <c r="C2217" t="inlineStr">
        <is>
          <t>EP</t>
        </is>
      </c>
      <c r="D2217" s="28" t="n">
        <v>46097</v>
      </c>
      <c r="E2217" t="inlineStr">
        <is>
          <t>현대EP_fast</t>
        </is>
      </c>
      <c r="F2217" t="inlineStr">
        <is>
          <t>최상원</t>
        </is>
      </c>
      <c r="G2217" t="inlineStr">
        <is>
          <t>010-2702-1190</t>
        </is>
      </c>
      <c r="H2217" t="inlineStr">
        <is>
          <t>23모7456</t>
        </is>
      </c>
      <c r="I2217" t="n">
        <v>4200000</v>
      </c>
      <c r="J2217" t="n">
        <v>0.07099999999999999</v>
      </c>
      <c r="K2217" t="n">
        <v>1.76</v>
      </c>
      <c r="L2217" t="n">
        <v>0.14</v>
      </c>
      <c r="M2217" t="n">
        <v>1.62</v>
      </c>
      <c r="P2217" t="inlineStr">
        <is>
          <t>김나윤</t>
        </is>
      </c>
      <c r="Q2217" t="inlineStr">
        <is>
          <t>홈서비스 60개월</t>
        </is>
      </c>
      <c r="AB2217" t="inlineStr">
        <is>
          <t>홈서비스</t>
        </is>
      </c>
      <c r="AC2217" t="n">
        <v>73920</v>
      </c>
      <c r="AD2217" t="n">
        <v>5880</v>
      </c>
      <c r="AE2217" t="n">
        <v>68040</v>
      </c>
      <c r="AF2217" t="n">
        <v>67200</v>
      </c>
      <c r="AG2217" t="n">
        <v>5685.96</v>
      </c>
      <c r="AH2217" t="n">
        <v>61514.04</v>
      </c>
      <c r="AI2217" t="n">
        <v>0</v>
      </c>
    </row>
    <row r="2218">
      <c r="A2218" t="inlineStr">
        <is>
          <t>3월</t>
        </is>
      </c>
      <c r="B2218" t="inlineStr">
        <is>
          <t>12주차</t>
        </is>
      </c>
      <c r="C2218" t="inlineStr">
        <is>
          <t>IM</t>
        </is>
      </c>
      <c r="D2218" s="28" t="n">
        <v>46097</v>
      </c>
      <c r="E2218" t="inlineStr">
        <is>
          <t>IM캐피탈</t>
        </is>
      </c>
      <c r="F2218" t="inlineStr">
        <is>
          <t>박원제</t>
        </is>
      </c>
      <c r="G2218" t="inlineStr">
        <is>
          <t>010-3811-1078</t>
        </is>
      </c>
      <c r="H2218" t="inlineStr">
        <is>
          <t>15도4179</t>
        </is>
      </c>
      <c r="I2218" t="n">
        <v>7000000</v>
      </c>
      <c r="J2218" t="n">
        <v>0.039</v>
      </c>
      <c r="K2218" t="n">
        <v>1.1</v>
      </c>
      <c r="L2218" t="n">
        <v>0.14</v>
      </c>
      <c r="M2218" t="n">
        <v>0.96</v>
      </c>
      <c r="P2218" t="inlineStr">
        <is>
          <t>김수연</t>
        </is>
      </c>
      <c r="Q2218" t="inlineStr">
        <is>
          <t>홈서비스 24개월</t>
        </is>
      </c>
      <c r="AB2218" t="inlineStr">
        <is>
          <t>홈서비스</t>
        </is>
      </c>
      <c r="AC2218" t="n">
        <v>77000</v>
      </c>
      <c r="AD2218" t="n">
        <v>9800</v>
      </c>
      <c r="AE2218" t="n">
        <v>67200</v>
      </c>
      <c r="AF2218" t="n">
        <v>70000</v>
      </c>
      <c r="AG2218" t="n">
        <v>9476.6</v>
      </c>
      <c r="AH2218" t="n">
        <v>60523.4</v>
      </c>
      <c r="AI2218" t="n">
        <v>0</v>
      </c>
    </row>
    <row r="2219">
      <c r="A2219" t="inlineStr">
        <is>
          <t>3월</t>
        </is>
      </c>
      <c r="B2219" t="inlineStr">
        <is>
          <t>12주차</t>
        </is>
      </c>
      <c r="C2219" t="inlineStr">
        <is>
          <t>IM</t>
        </is>
      </c>
      <c r="D2219" s="28" t="n">
        <v>46097</v>
      </c>
      <c r="E2219" t="inlineStr">
        <is>
          <t>IM캐피탈</t>
        </is>
      </c>
      <c r="F2219" t="inlineStr">
        <is>
          <t>김진영</t>
        </is>
      </c>
      <c r="G2219" t="inlineStr">
        <is>
          <t>010-5421-2902</t>
        </is>
      </c>
      <c r="H2219" t="inlineStr">
        <is>
          <t>390두5498</t>
        </is>
      </c>
      <c r="I2219" t="n">
        <v>30900000</v>
      </c>
      <c r="J2219" t="n">
        <v>0.075</v>
      </c>
      <c r="K2219" t="n">
        <v>1.1</v>
      </c>
      <c r="L2219" t="n">
        <v>0.14</v>
      </c>
      <c r="M2219" t="n">
        <v>0.96</v>
      </c>
      <c r="P2219" t="inlineStr">
        <is>
          <t>정세빈</t>
        </is>
      </c>
      <c r="Q2219" t="inlineStr">
        <is>
          <t>홈서비스 72개월 / 공동명의</t>
        </is>
      </c>
      <c r="AB2219" t="inlineStr">
        <is>
          <t>홈서비스</t>
        </is>
      </c>
      <c r="AC2219" t="n">
        <v>339900</v>
      </c>
      <c r="AD2219" t="n">
        <v>43260</v>
      </c>
      <c r="AE2219" t="n">
        <v>296640</v>
      </c>
      <c r="AF2219" t="n">
        <v>309000</v>
      </c>
      <c r="AG2219" t="n">
        <v>41832.42</v>
      </c>
      <c r="AH2219" t="n">
        <v>267167.58</v>
      </c>
    </row>
    <row r="2220">
      <c r="A2220" t="inlineStr">
        <is>
          <t>3월</t>
        </is>
      </c>
      <c r="B2220" t="inlineStr">
        <is>
          <t>12주차</t>
        </is>
      </c>
      <c r="C2220" t="inlineStr">
        <is>
          <t>EP</t>
        </is>
      </c>
      <c r="D2220" s="28" t="n">
        <v>46097</v>
      </c>
      <c r="E2220" t="inlineStr">
        <is>
          <t>BNKEP</t>
        </is>
      </c>
      <c r="F2220" t="inlineStr">
        <is>
          <t>이승목</t>
        </is>
      </c>
      <c r="G2220" t="inlineStr">
        <is>
          <t>010-3243-3234</t>
        </is>
      </c>
      <c r="H2220" t="inlineStr">
        <is>
          <t>323수6923</t>
        </is>
      </c>
      <c r="I2220" t="n">
        <v>39500000</v>
      </c>
      <c r="J2220" t="n">
        <v>0.07199999999999999</v>
      </c>
      <c r="K2220" t="n">
        <v>1.65</v>
      </c>
      <c r="L2220" t="n">
        <v>0.14</v>
      </c>
      <c r="M2220" t="n">
        <v>1.51</v>
      </c>
      <c r="P2220" t="inlineStr">
        <is>
          <t>정세빈</t>
        </is>
      </c>
      <c r="Q2220" t="inlineStr">
        <is>
          <t>홈서비스 60개월</t>
        </is>
      </c>
      <c r="AB2220" t="inlineStr">
        <is>
          <t>홈서비스</t>
        </is>
      </c>
      <c r="AC2220" t="n">
        <v>651750</v>
      </c>
      <c r="AD2220" t="n">
        <v>55300</v>
      </c>
      <c r="AE2220" t="n">
        <v>596450</v>
      </c>
      <c r="AF2220" t="n">
        <v>592500</v>
      </c>
      <c r="AG2220" t="n">
        <v>53475.1</v>
      </c>
      <c r="AH2220" t="n">
        <v>539024.9</v>
      </c>
    </row>
    <row r="2221">
      <c r="A2221" t="inlineStr">
        <is>
          <t>3월</t>
        </is>
      </c>
      <c r="B2221" t="inlineStr">
        <is>
          <t>12주차</t>
        </is>
      </c>
      <c r="C2221" t="inlineStr">
        <is>
          <t>IM</t>
        </is>
      </c>
      <c r="D2221" s="28" t="n">
        <v>46097</v>
      </c>
      <c r="E2221" t="inlineStr">
        <is>
          <t>IM캐피탈</t>
        </is>
      </c>
      <c r="F2221" t="inlineStr">
        <is>
          <t>신성훈</t>
        </is>
      </c>
      <c r="G2221" t="inlineStr">
        <is>
          <t>010-3596-0152</t>
        </is>
      </c>
      <c r="H2221" t="inlineStr">
        <is>
          <t>161수7351</t>
        </is>
      </c>
      <c r="I2221" t="n">
        <v>12000000</v>
      </c>
      <c r="J2221" t="n">
        <v>0.053</v>
      </c>
      <c r="K2221" t="n">
        <v>1.1</v>
      </c>
      <c r="L2221" t="n">
        <v>0.14</v>
      </c>
      <c r="M2221" t="n">
        <v>0.96</v>
      </c>
      <c r="P2221" t="inlineStr">
        <is>
          <t>최형주</t>
        </is>
      </c>
      <c r="Q2221" t="inlineStr">
        <is>
          <t>홈서비스 24개월</t>
        </is>
      </c>
      <c r="AB2221" t="inlineStr">
        <is>
          <t>홈서비스</t>
        </is>
      </c>
      <c r="AC2221" t="n">
        <v>132000</v>
      </c>
      <c r="AD2221" t="n">
        <v>16800</v>
      </c>
      <c r="AE2221" t="n">
        <v>115200</v>
      </c>
      <c r="AF2221" t="n">
        <v>120000</v>
      </c>
      <c r="AG2221" t="n">
        <v>16245.6</v>
      </c>
      <c r="AH2221" t="n">
        <v>103754.4</v>
      </c>
    </row>
    <row r="2222">
      <c r="A2222" t="inlineStr">
        <is>
          <t>3월</t>
        </is>
      </c>
      <c r="B2222" t="inlineStr">
        <is>
          <t>12주차</t>
        </is>
      </c>
      <c r="C2222" t="inlineStr">
        <is>
          <t>EP</t>
        </is>
      </c>
      <c r="D2222" s="28" t="n">
        <v>46097</v>
      </c>
      <c r="E2222" t="inlineStr">
        <is>
          <t>BNKEP</t>
        </is>
      </c>
      <c r="F2222" t="inlineStr">
        <is>
          <t>제갈창모</t>
        </is>
      </c>
      <c r="G2222" t="inlineStr">
        <is>
          <t>010-2225-5315</t>
        </is>
      </c>
      <c r="H2222" t="inlineStr">
        <is>
          <t>04로3561</t>
        </is>
      </c>
      <c r="I2222" t="n">
        <v>10500000</v>
      </c>
      <c r="J2222" t="n">
        <v>0.08599999999999999</v>
      </c>
      <c r="K2222" t="n">
        <v>1.65</v>
      </c>
      <c r="L2222" t="n">
        <v>0.14</v>
      </c>
      <c r="M2222" t="n">
        <v>1.51</v>
      </c>
      <c r="P2222" t="inlineStr">
        <is>
          <t>황채이</t>
        </is>
      </c>
      <c r="Q2222" t="inlineStr">
        <is>
          <t>홈서비스 60개월 / 부대비용 추가진행 / 공동명의</t>
        </is>
      </c>
      <c r="AB2222" t="inlineStr">
        <is>
          <t>홈서비스</t>
        </is>
      </c>
      <c r="AC2222" t="n">
        <v>173250</v>
      </c>
      <c r="AD2222" t="n">
        <v>14700</v>
      </c>
      <c r="AE2222" t="n">
        <v>158550</v>
      </c>
      <c r="AF2222" t="n">
        <v>157500</v>
      </c>
      <c r="AG2222" t="n">
        <v>14214.9</v>
      </c>
      <c r="AH2222" t="n">
        <v>143285.1</v>
      </c>
      <c r="AI2222" t="n">
        <v>0</v>
      </c>
    </row>
    <row r="2223">
      <c r="A2223" t="inlineStr">
        <is>
          <t>3월</t>
        </is>
      </c>
      <c r="B2223" t="inlineStr">
        <is>
          <t>12주차</t>
        </is>
      </c>
      <c r="C2223" t="inlineStr">
        <is>
          <t>IM</t>
        </is>
      </c>
      <c r="D2223" s="28" t="n">
        <v>46097</v>
      </c>
      <c r="E2223" t="inlineStr">
        <is>
          <t>IM캐피탈</t>
        </is>
      </c>
      <c r="F2223" t="inlineStr">
        <is>
          <t>이승찬</t>
        </is>
      </c>
      <c r="G2223" t="inlineStr">
        <is>
          <t>010-9281-9555</t>
        </is>
      </c>
      <c r="H2223" t="inlineStr">
        <is>
          <t>154주8356</t>
        </is>
      </c>
      <c r="I2223" t="n">
        <v>15000000</v>
      </c>
      <c r="J2223" t="n">
        <v>0.08599999999999999</v>
      </c>
      <c r="K2223" t="n">
        <v>1.1</v>
      </c>
      <c r="L2223" t="n">
        <v>0.14</v>
      </c>
      <c r="M2223" t="n">
        <v>0.96</v>
      </c>
      <c r="P2223" t="inlineStr">
        <is>
          <t>정광호</t>
        </is>
      </c>
      <c r="Q2223" t="inlineStr">
        <is>
          <t>홈서비스 48개월</t>
        </is>
      </c>
      <c r="AB2223" t="inlineStr">
        <is>
          <t>홈서비스</t>
        </is>
      </c>
      <c r="AC2223" t="n">
        <v>165000</v>
      </c>
      <c r="AD2223" t="n">
        <v>21000</v>
      </c>
      <c r="AE2223" t="n">
        <v>144000</v>
      </c>
      <c r="AF2223" t="n">
        <v>150000</v>
      </c>
      <c r="AG2223" t="n">
        <v>20307</v>
      </c>
      <c r="AH2223" t="n">
        <v>129693</v>
      </c>
      <c r="AI2223" t="n">
        <v>0</v>
      </c>
    </row>
    <row r="2224">
      <c r="A2224" t="inlineStr">
        <is>
          <t>3월</t>
        </is>
      </c>
      <c r="B2224" t="inlineStr">
        <is>
          <t>12주차</t>
        </is>
      </c>
      <c r="C2224" t="inlineStr">
        <is>
          <t>EP</t>
        </is>
      </c>
      <c r="D2224" s="28" t="n">
        <v>46097</v>
      </c>
      <c r="E2224" t="inlineStr">
        <is>
          <t>현대EP_fast</t>
        </is>
      </c>
      <c r="F2224" t="inlineStr">
        <is>
          <t>이민희</t>
        </is>
      </c>
      <c r="G2224" t="inlineStr">
        <is>
          <t>010-6374-5727</t>
        </is>
      </c>
      <c r="H2224" t="inlineStr">
        <is>
          <t>10고3721</t>
        </is>
      </c>
      <c r="I2224" t="n">
        <v>11600000</v>
      </c>
      <c r="J2224" t="n">
        <v>0.118</v>
      </c>
      <c r="K2224" t="n">
        <v>1.76</v>
      </c>
      <c r="L2224" t="n">
        <v>0.14</v>
      </c>
      <c r="M2224" t="n">
        <v>1.62</v>
      </c>
      <c r="P2224" t="inlineStr">
        <is>
          <t>김수연</t>
        </is>
      </c>
      <c r="Q2224" t="inlineStr">
        <is>
          <t>홈서비스 60개월</t>
        </is>
      </c>
      <c r="AB2224" t="inlineStr">
        <is>
          <t>홈서비스</t>
        </is>
      </c>
      <c r="AC2224" t="n">
        <v>204160</v>
      </c>
      <c r="AD2224" t="n">
        <v>16240</v>
      </c>
      <c r="AE2224" t="n">
        <v>187920</v>
      </c>
      <c r="AF2224" t="n">
        <v>185600</v>
      </c>
      <c r="AG2224" t="n">
        <v>15704.08</v>
      </c>
      <c r="AH2224" t="n">
        <v>169895.92</v>
      </c>
      <c r="AI2224" t="n">
        <v>0</v>
      </c>
    </row>
    <row r="2225">
      <c r="A2225" t="inlineStr">
        <is>
          <t>3월</t>
        </is>
      </c>
      <c r="B2225" t="inlineStr">
        <is>
          <t>11주차</t>
        </is>
      </c>
      <c r="C2225" t="inlineStr">
        <is>
          <t>EP</t>
        </is>
      </c>
      <c r="D2225" s="28" t="n">
        <v>46094</v>
      </c>
      <c r="E2225" t="inlineStr">
        <is>
          <t>현대EP</t>
        </is>
      </c>
      <c r="F2225" t="inlineStr">
        <is>
          <t>남상권</t>
        </is>
      </c>
      <c r="G2225" t="inlineStr">
        <is>
          <t>010-3941-9787</t>
        </is>
      </c>
      <c r="H2225" t="inlineStr">
        <is>
          <t>38러9135</t>
        </is>
      </c>
      <c r="I2225" t="n">
        <v>50000000</v>
      </c>
      <c r="J2225" t="n">
        <v>0.09</v>
      </c>
      <c r="K2225" t="n">
        <v>1.76</v>
      </c>
      <c r="L2225" t="n">
        <v>0.14</v>
      </c>
      <c r="M2225" t="n">
        <v>1.62</v>
      </c>
      <c r="P2225" t="inlineStr">
        <is>
          <t>장현경</t>
        </is>
      </c>
      <c r="Q2225" t="inlineStr">
        <is>
          <t>홈서비스 60개월</t>
        </is>
      </c>
      <c r="AB2225" t="inlineStr">
        <is>
          <t>홈서비스</t>
        </is>
      </c>
      <c r="AC2225" t="n">
        <v>880000</v>
      </c>
      <c r="AD2225" t="n">
        <v>70000</v>
      </c>
      <c r="AE2225" t="n">
        <v>810000</v>
      </c>
      <c r="AF2225" t="n">
        <v>800000</v>
      </c>
      <c r="AG2225" t="n">
        <v>67690</v>
      </c>
      <c r="AH2225" t="n">
        <v>732310</v>
      </c>
      <c r="AI2225" t="n">
        <v>0</v>
      </c>
    </row>
    <row r="2226">
      <c r="A2226" t="inlineStr">
        <is>
          <t>3월</t>
        </is>
      </c>
      <c r="B2226" t="inlineStr">
        <is>
          <t>12주차</t>
        </is>
      </c>
      <c r="C2226" t="inlineStr">
        <is>
          <t>EP</t>
        </is>
      </c>
      <c r="D2226" s="28" t="n">
        <v>46097</v>
      </c>
      <c r="E2226" t="inlineStr">
        <is>
          <t>제이비EP</t>
        </is>
      </c>
      <c r="F2226" t="inlineStr">
        <is>
          <t>김리안</t>
        </is>
      </c>
      <c r="G2226" t="n">
        <v>1082238723</v>
      </c>
      <c r="H2226" t="inlineStr">
        <is>
          <t>03모1312</t>
        </is>
      </c>
      <c r="I2226" t="n">
        <v>34900000</v>
      </c>
      <c r="J2226" t="n">
        <v>0.11</v>
      </c>
      <c r="K2226" t="n">
        <v>1.65</v>
      </c>
      <c r="L2226" t="n">
        <v>0.4</v>
      </c>
      <c r="M2226" t="n">
        <v>1.25</v>
      </c>
      <c r="P2226" t="inlineStr">
        <is>
          <t>최혁</t>
        </is>
      </c>
      <c r="AB2226" t="inlineStr">
        <is>
          <t>엔카</t>
        </is>
      </c>
      <c r="AC2226" t="n">
        <v>575850</v>
      </c>
      <c r="AD2226" t="n">
        <v>139600</v>
      </c>
      <c r="AE2226" t="n">
        <v>436250</v>
      </c>
      <c r="AF2226" t="n">
        <v>523500</v>
      </c>
      <c r="AG2226" t="n">
        <v>134993.2</v>
      </c>
      <c r="AH2226" t="n">
        <v>388506.8</v>
      </c>
      <c r="AI2226" t="n">
        <v>0</v>
      </c>
    </row>
    <row r="2227">
      <c r="A2227" t="inlineStr">
        <is>
          <t>3월</t>
        </is>
      </c>
      <c r="B2227" t="inlineStr">
        <is>
          <t>12주차</t>
        </is>
      </c>
      <c r="C2227" t="inlineStr">
        <is>
          <t>EP</t>
        </is>
      </c>
      <c r="D2227" s="28" t="n">
        <v>46097</v>
      </c>
      <c r="E2227" t="inlineStr">
        <is>
          <t>현대EP_fast</t>
        </is>
      </c>
      <c r="F2227" t="inlineStr">
        <is>
          <t>임석범</t>
        </is>
      </c>
      <c r="G2227" t="inlineStr">
        <is>
          <t>010-2828-9088</t>
        </is>
      </c>
      <c r="H2227" t="inlineStr">
        <is>
          <t>54라3823</t>
        </is>
      </c>
      <c r="I2227" t="n">
        <v>5800000</v>
      </c>
      <c r="J2227" t="n">
        <v>0.079</v>
      </c>
      <c r="K2227" t="n">
        <v>1.76</v>
      </c>
      <c r="L2227" t="n">
        <v>0.14</v>
      </c>
      <c r="M2227" t="n">
        <v>1.62</v>
      </c>
      <c r="P2227" t="inlineStr">
        <is>
          <t>정광호</t>
        </is>
      </c>
      <c r="Q2227" t="inlineStr">
        <is>
          <t>홈서비스 24개월</t>
        </is>
      </c>
      <c r="AB2227" t="inlineStr">
        <is>
          <t>홈서비스</t>
        </is>
      </c>
      <c r="AC2227" t="n">
        <v>102080</v>
      </c>
      <c r="AD2227" t="n">
        <v>8120</v>
      </c>
      <c r="AE2227" t="n">
        <v>93960</v>
      </c>
      <c r="AF2227" t="n">
        <v>92800</v>
      </c>
      <c r="AG2227" t="n">
        <v>7852.04</v>
      </c>
      <c r="AH2227" t="n">
        <v>84947.96000000001</v>
      </c>
      <c r="AI2227" t="n">
        <v>0</v>
      </c>
    </row>
    <row r="2228">
      <c r="A2228" t="inlineStr">
        <is>
          <t>3월</t>
        </is>
      </c>
      <c r="B2228" t="inlineStr">
        <is>
          <t>12주차</t>
        </is>
      </c>
      <c r="C2228" t="inlineStr">
        <is>
          <t>EP</t>
        </is>
      </c>
      <c r="D2228" s="28" t="n">
        <v>46097</v>
      </c>
      <c r="E2228" t="inlineStr">
        <is>
          <t>현대EP</t>
        </is>
      </c>
      <c r="F2228" t="inlineStr">
        <is>
          <t>김규록</t>
        </is>
      </c>
      <c r="G2228" t="inlineStr">
        <is>
          <t>010-6542-3600</t>
        </is>
      </c>
      <c r="H2228" t="inlineStr">
        <is>
          <t>115더1709</t>
        </is>
      </c>
      <c r="I2228" t="n">
        <v>9400000</v>
      </c>
      <c r="J2228" t="n">
        <v>0.062</v>
      </c>
      <c r="K2228" t="n">
        <v>1.76</v>
      </c>
      <c r="L2228" t="n">
        <v>0.14</v>
      </c>
      <c r="M2228" t="n">
        <v>1.62</v>
      </c>
      <c r="P2228" t="inlineStr">
        <is>
          <t>정광호</t>
        </is>
      </c>
      <c r="Q2228" t="inlineStr">
        <is>
          <t>홈서비스 60개월</t>
        </is>
      </c>
      <c r="AB2228" t="inlineStr">
        <is>
          <t>홈서비스</t>
        </is>
      </c>
      <c r="AC2228" t="n">
        <v>165440</v>
      </c>
      <c r="AD2228" t="n">
        <v>13160</v>
      </c>
      <c r="AE2228" t="n">
        <v>152280</v>
      </c>
      <c r="AF2228" t="n">
        <v>150400</v>
      </c>
      <c r="AG2228" t="n">
        <v>12725.72</v>
      </c>
      <c r="AH2228" t="n">
        <v>137674.28</v>
      </c>
      <c r="AI2228" t="n">
        <v>0</v>
      </c>
    </row>
    <row r="2229">
      <c r="A2229" t="inlineStr">
        <is>
          <t>3월</t>
        </is>
      </c>
      <c r="B2229" t="inlineStr">
        <is>
          <t>12주차</t>
        </is>
      </c>
      <c r="C2229" t="inlineStr">
        <is>
          <t>IM</t>
        </is>
      </c>
      <c r="D2229" s="28" t="n">
        <v>46097</v>
      </c>
      <c r="E2229" t="inlineStr">
        <is>
          <t>IM캐피탈</t>
        </is>
      </c>
      <c r="F2229" t="inlineStr">
        <is>
          <t>강규호</t>
        </is>
      </c>
      <c r="G2229" t="inlineStr">
        <is>
          <t>010-3338-0362</t>
        </is>
      </c>
      <c r="H2229" t="inlineStr">
        <is>
          <t>07러7537</t>
        </is>
      </c>
      <c r="I2229" t="n">
        <v>5000000</v>
      </c>
      <c r="J2229" t="n">
        <v>0.08599999999999999</v>
      </c>
      <c r="K2229" t="n">
        <v>1.1</v>
      </c>
      <c r="L2229" t="n">
        <v>0.14</v>
      </c>
      <c r="M2229" t="n">
        <v>0.96</v>
      </c>
      <c r="P2229" t="inlineStr">
        <is>
          <t>김수연</t>
        </is>
      </c>
      <c r="Q2229" t="inlineStr">
        <is>
          <t>홈서비스 24개월</t>
        </is>
      </c>
      <c r="AB2229" t="inlineStr">
        <is>
          <t>홈서비스</t>
        </is>
      </c>
      <c r="AC2229" t="n">
        <v>55000</v>
      </c>
      <c r="AD2229" t="n">
        <v>7000</v>
      </c>
      <c r="AE2229" t="n">
        <v>48000</v>
      </c>
      <c r="AF2229" t="n">
        <v>50000</v>
      </c>
      <c r="AG2229" t="n">
        <v>6769</v>
      </c>
      <c r="AH2229" t="n">
        <v>43231</v>
      </c>
      <c r="AI2229" t="n">
        <v>0</v>
      </c>
    </row>
    <row r="2230">
      <c r="A2230" t="inlineStr">
        <is>
          <t>3월</t>
        </is>
      </c>
      <c r="B2230" t="inlineStr">
        <is>
          <t>12주차</t>
        </is>
      </c>
      <c r="C2230" t="inlineStr">
        <is>
          <t>EP</t>
        </is>
      </c>
      <c r="D2230" s="28" t="n">
        <v>46097</v>
      </c>
      <c r="E2230" t="inlineStr">
        <is>
          <t>현대EP</t>
        </is>
      </c>
      <c r="F2230" t="inlineStr">
        <is>
          <t>김규형</t>
        </is>
      </c>
      <c r="G2230" t="inlineStr">
        <is>
          <t>010-9021-4242</t>
        </is>
      </c>
      <c r="H2230" t="inlineStr">
        <is>
          <t>339구7029</t>
        </is>
      </c>
      <c r="I2230" t="n">
        <v>43900000</v>
      </c>
      <c r="J2230" t="n">
        <v>0.07199999999999999</v>
      </c>
      <c r="K2230" t="n">
        <v>1.76</v>
      </c>
      <c r="L2230" t="n">
        <v>0.14</v>
      </c>
      <c r="M2230" t="n">
        <v>1.62</v>
      </c>
      <c r="P2230" t="inlineStr">
        <is>
          <t>김수연</t>
        </is>
      </c>
      <c r="Q2230" t="inlineStr">
        <is>
          <t>홈서비스 60개월</t>
        </is>
      </c>
      <c r="AB2230" t="inlineStr">
        <is>
          <t>홈서비스</t>
        </is>
      </c>
      <c r="AC2230" t="n">
        <v>772640</v>
      </c>
      <c r="AD2230" t="n">
        <v>61460</v>
      </c>
      <c r="AE2230" t="n">
        <v>711180</v>
      </c>
      <c r="AF2230" t="n">
        <v>702400</v>
      </c>
      <c r="AG2230" t="n">
        <v>59431.82</v>
      </c>
      <c r="AH2230" t="n">
        <v>642968.1800000001</v>
      </c>
    </row>
    <row r="2231">
      <c r="A2231" t="inlineStr">
        <is>
          <t>3월</t>
        </is>
      </c>
      <c r="B2231" t="inlineStr">
        <is>
          <t>12주차</t>
        </is>
      </c>
      <c r="C2231" t="inlineStr">
        <is>
          <t>EP</t>
        </is>
      </c>
      <c r="D2231" s="28" t="n">
        <v>46097</v>
      </c>
      <c r="E2231" t="inlineStr">
        <is>
          <t>현대EP</t>
        </is>
      </c>
      <c r="F2231" t="inlineStr">
        <is>
          <t>이성규</t>
        </is>
      </c>
      <c r="G2231" t="inlineStr">
        <is>
          <t>010-9327-1206</t>
        </is>
      </c>
      <c r="H2231" t="inlineStr">
        <is>
          <t>36너1153</t>
        </is>
      </c>
      <c r="I2231" t="n">
        <v>6000000</v>
      </c>
      <c r="J2231" t="n">
        <v>0.127</v>
      </c>
      <c r="K2231" t="n">
        <v>1.76</v>
      </c>
      <c r="L2231" t="n">
        <v>0.14</v>
      </c>
      <c r="M2231" t="n">
        <v>1.62</v>
      </c>
      <c r="P2231" t="inlineStr">
        <is>
          <t>정광호</t>
        </is>
      </c>
      <c r="Q2231" t="inlineStr">
        <is>
          <t>홈서비스 36개월</t>
        </is>
      </c>
      <c r="AB2231" t="inlineStr">
        <is>
          <t>홈서비스</t>
        </is>
      </c>
      <c r="AC2231" t="n">
        <v>105600</v>
      </c>
      <c r="AD2231" t="n">
        <v>8400</v>
      </c>
      <c r="AE2231" t="n">
        <v>97200</v>
      </c>
      <c r="AF2231" t="n">
        <v>96000</v>
      </c>
      <c r="AG2231" t="n">
        <v>8122.8</v>
      </c>
      <c r="AH2231" t="n">
        <v>87877.2</v>
      </c>
      <c r="AI2231" t="n">
        <v>0</v>
      </c>
    </row>
    <row r="2232">
      <c r="A2232" t="inlineStr">
        <is>
          <t>3월</t>
        </is>
      </c>
      <c r="B2232" t="inlineStr">
        <is>
          <t>12주차</t>
        </is>
      </c>
      <c r="C2232" t="inlineStr">
        <is>
          <t>EP</t>
        </is>
      </c>
      <c r="D2232" s="28" t="n">
        <v>46097</v>
      </c>
      <c r="E2232" t="inlineStr">
        <is>
          <t>현대EP</t>
        </is>
      </c>
      <c r="F2232" t="inlineStr">
        <is>
          <t>이영훈</t>
        </is>
      </c>
      <c r="G2232" t="inlineStr">
        <is>
          <t>010-3030-2569</t>
        </is>
      </c>
      <c r="H2232" t="inlineStr">
        <is>
          <t>239보8241</t>
        </is>
      </c>
      <c r="I2232" t="n">
        <v>8000000</v>
      </c>
      <c r="J2232" t="n">
        <v>0.08799999999999999</v>
      </c>
      <c r="K2232" t="n">
        <v>1.76</v>
      </c>
      <c r="L2232" t="n">
        <v>0.14</v>
      </c>
      <c r="M2232" t="n">
        <v>1.62</v>
      </c>
      <c r="P2232" t="inlineStr">
        <is>
          <t>정광호</t>
        </is>
      </c>
      <c r="Q2232" t="inlineStr">
        <is>
          <t>홈서비스 60개월</t>
        </is>
      </c>
      <c r="AB2232" t="inlineStr">
        <is>
          <t>홈서비스</t>
        </is>
      </c>
      <c r="AC2232" t="n">
        <v>140800</v>
      </c>
      <c r="AD2232" t="n">
        <v>11200</v>
      </c>
      <c r="AE2232" t="n">
        <v>129600</v>
      </c>
      <c r="AF2232" t="n">
        <v>128000</v>
      </c>
      <c r="AG2232" t="n">
        <v>10830.4</v>
      </c>
      <c r="AH2232" t="n">
        <v>117169.6</v>
      </c>
    </row>
    <row r="2233">
      <c r="A2233" t="inlineStr">
        <is>
          <t>3월</t>
        </is>
      </c>
      <c r="B2233" t="inlineStr">
        <is>
          <t>12주차</t>
        </is>
      </c>
      <c r="C2233" t="inlineStr">
        <is>
          <t>EP</t>
        </is>
      </c>
      <c r="D2233" s="28" t="n">
        <v>46097</v>
      </c>
      <c r="E2233" t="inlineStr">
        <is>
          <t>BNKEP</t>
        </is>
      </c>
      <c r="F2233" t="inlineStr">
        <is>
          <t>오정훈</t>
        </is>
      </c>
      <c r="G2233" t="inlineStr">
        <is>
          <t>010-9294-9674</t>
        </is>
      </c>
      <c r="H2233" t="inlineStr">
        <is>
          <t>63부7043</t>
        </is>
      </c>
      <c r="I2233" t="n">
        <v>10000000</v>
      </c>
      <c r="J2233" t="n">
        <v>0.067</v>
      </c>
      <c r="K2233" t="n">
        <v>1.65</v>
      </c>
      <c r="L2233" t="n">
        <v>0.14</v>
      </c>
      <c r="M2233" t="n">
        <v>1.51</v>
      </c>
      <c r="P2233" t="inlineStr">
        <is>
          <t>김나윤</t>
        </is>
      </c>
      <c r="Q2233" t="inlineStr">
        <is>
          <t>홈서비스 48개월</t>
        </is>
      </c>
      <c r="AB2233" t="inlineStr">
        <is>
          <t>홈서비스</t>
        </is>
      </c>
      <c r="AC2233" t="n">
        <v>165000</v>
      </c>
      <c r="AD2233" t="n">
        <v>14000</v>
      </c>
      <c r="AE2233" t="n">
        <v>151000</v>
      </c>
      <c r="AF2233" t="n">
        <v>150000</v>
      </c>
      <c r="AG2233" t="n">
        <v>13538</v>
      </c>
      <c r="AH2233" t="n">
        <v>136462</v>
      </c>
    </row>
    <row r="2234">
      <c r="A2234" t="inlineStr">
        <is>
          <t>3월</t>
        </is>
      </c>
      <c r="B2234" t="inlineStr">
        <is>
          <t>12주차</t>
        </is>
      </c>
      <c r="C2234" t="inlineStr">
        <is>
          <t>IM</t>
        </is>
      </c>
      <c r="D2234" s="28" t="n">
        <v>46097</v>
      </c>
      <c r="E2234" t="inlineStr">
        <is>
          <t>IM캐피탈</t>
        </is>
      </c>
      <c r="F2234" t="inlineStr">
        <is>
          <t>송선근</t>
        </is>
      </c>
      <c r="G2234" t="inlineStr">
        <is>
          <t>010-7442-8854</t>
        </is>
      </c>
      <c r="H2234" t="inlineStr">
        <is>
          <t>362로3993</t>
        </is>
      </c>
      <c r="I2234" t="n">
        <v>69900000</v>
      </c>
      <c r="J2234" t="n">
        <v>0.049</v>
      </c>
      <c r="K2234" t="n">
        <v>1.1</v>
      </c>
      <c r="L2234" t="n">
        <v>0.4</v>
      </c>
      <c r="M2234" t="n">
        <v>0.7</v>
      </c>
      <c r="P2234" t="inlineStr">
        <is>
          <t>최혁</t>
        </is>
      </c>
      <c r="AB2234" t="inlineStr">
        <is>
          <t>엔카</t>
        </is>
      </c>
      <c r="AC2234" t="n">
        <v>768900</v>
      </c>
      <c r="AD2234" t="n">
        <v>279600</v>
      </c>
      <c r="AE2234" t="n">
        <v>489300</v>
      </c>
      <c r="AF2234" t="n">
        <v>699000</v>
      </c>
      <c r="AG2234" t="n">
        <v>270373.2</v>
      </c>
      <c r="AH2234" t="n">
        <v>428626.8</v>
      </c>
      <c r="AI2234" t="n">
        <v>0</v>
      </c>
    </row>
    <row r="2235">
      <c r="A2235" t="inlineStr">
        <is>
          <t>3월</t>
        </is>
      </c>
      <c r="B2235" t="inlineStr">
        <is>
          <t>12주차</t>
        </is>
      </c>
      <c r="C2235" t="inlineStr">
        <is>
          <t>EP</t>
        </is>
      </c>
      <c r="D2235" s="28" t="n">
        <v>46097</v>
      </c>
      <c r="E2235" t="inlineStr">
        <is>
          <t>현대EP_fast</t>
        </is>
      </c>
      <c r="F2235" t="inlineStr">
        <is>
          <t>신민희</t>
        </is>
      </c>
      <c r="G2235" t="inlineStr">
        <is>
          <t>010-3614-9892</t>
        </is>
      </c>
      <c r="H2235" t="inlineStr">
        <is>
          <t>182우3069</t>
        </is>
      </c>
      <c r="I2235" t="n">
        <v>-10000000</v>
      </c>
      <c r="J2235" t="n">
        <v>0.09</v>
      </c>
      <c r="K2235" t="n">
        <v>1.76</v>
      </c>
      <c r="L2235" t="n">
        <v>0.14</v>
      </c>
      <c r="M2235" t="n">
        <v>1.62</v>
      </c>
      <c r="P2235" t="inlineStr">
        <is>
          <t>김나윤</t>
        </is>
      </c>
      <c r="Q2235" t="inlineStr">
        <is>
          <t>홈서비스 36개월</t>
        </is>
      </c>
      <c r="AB2235" t="inlineStr">
        <is>
          <t>홈서비스</t>
        </is>
      </c>
      <c r="AC2235" t="n">
        <v>-176000</v>
      </c>
      <c r="AD2235" t="n">
        <v>-14000</v>
      </c>
      <c r="AE2235" t="n">
        <v>-162000</v>
      </c>
      <c r="AF2235" t="n">
        <v>-160000</v>
      </c>
      <c r="AG2235" t="n">
        <v>-13538</v>
      </c>
      <c r="AH2235" t="n">
        <v>-146462</v>
      </c>
      <c r="AI2235" t="n">
        <v>0</v>
      </c>
    </row>
    <row r="2236">
      <c r="A2236" t="inlineStr">
        <is>
          <t>3월</t>
        </is>
      </c>
      <c r="B2236" t="inlineStr">
        <is>
          <t>12주차</t>
        </is>
      </c>
      <c r="C2236" t="inlineStr">
        <is>
          <t>EP</t>
        </is>
      </c>
      <c r="D2236" s="28" t="n">
        <v>46098</v>
      </c>
      <c r="E2236" t="inlineStr">
        <is>
          <t>현대EP_fast</t>
        </is>
      </c>
      <c r="F2236" t="inlineStr">
        <is>
          <t>김용학</t>
        </is>
      </c>
      <c r="G2236" t="inlineStr">
        <is>
          <t>010-5315-4972</t>
        </is>
      </c>
      <c r="H2236" t="inlineStr">
        <is>
          <t>67모2534</t>
        </is>
      </c>
      <c r="I2236" t="n">
        <v>4200000</v>
      </c>
      <c r="J2236" t="n">
        <v>0.09</v>
      </c>
      <c r="K2236" t="n">
        <v>1.76</v>
      </c>
      <c r="L2236" t="n">
        <v>0.14</v>
      </c>
      <c r="M2236" t="n">
        <v>1.62</v>
      </c>
      <c r="P2236" t="inlineStr">
        <is>
          <t>김나윤</t>
        </is>
      </c>
      <c r="Q2236" t="inlineStr">
        <is>
          <t>홈서비스 36개월</t>
        </is>
      </c>
      <c r="AB2236" t="inlineStr">
        <is>
          <t>홈서비스</t>
        </is>
      </c>
      <c r="AC2236" t="n">
        <v>73920</v>
      </c>
      <c r="AD2236" t="n">
        <v>5880</v>
      </c>
      <c r="AE2236" t="n">
        <v>68040</v>
      </c>
      <c r="AF2236" t="n">
        <v>67200</v>
      </c>
      <c r="AG2236" t="n">
        <v>5685.96</v>
      </c>
      <c r="AH2236" t="n">
        <v>61514.04</v>
      </c>
    </row>
    <row r="2237">
      <c r="A2237" t="inlineStr">
        <is>
          <t>3월</t>
        </is>
      </c>
      <c r="B2237" t="inlineStr">
        <is>
          <t>12주차</t>
        </is>
      </c>
      <c r="C2237" t="inlineStr">
        <is>
          <t>OR</t>
        </is>
      </c>
      <c r="D2237" s="28" t="n">
        <v>46097</v>
      </c>
      <c r="E2237" t="inlineStr">
        <is>
          <t>오릭스</t>
        </is>
      </c>
      <c r="F2237" t="inlineStr">
        <is>
          <t>이경보</t>
        </is>
      </c>
      <c r="G2237" t="inlineStr">
        <is>
          <t>010-6690-6193</t>
        </is>
      </c>
      <c r="H2237" t="inlineStr">
        <is>
          <t>205너2017</t>
        </is>
      </c>
      <c r="I2237" t="n">
        <v>40900000</v>
      </c>
      <c r="J2237" t="n">
        <v>0.064</v>
      </c>
      <c r="K2237" t="n">
        <v>1.65</v>
      </c>
      <c r="L2237" t="n">
        <v>0.14</v>
      </c>
      <c r="M2237" t="n">
        <v>1.51</v>
      </c>
      <c r="P2237" t="inlineStr">
        <is>
          <t>정세빈</t>
        </is>
      </c>
      <c r="Q2237" t="inlineStr">
        <is>
          <t>홈서비스 60개월</t>
        </is>
      </c>
      <c r="AB2237" t="inlineStr">
        <is>
          <t>홈서비스</t>
        </is>
      </c>
      <c r="AC2237" t="n">
        <v>674850</v>
      </c>
      <c r="AD2237" t="n">
        <v>57260</v>
      </c>
      <c r="AE2237" t="n">
        <v>617590</v>
      </c>
      <c r="AF2237" t="n">
        <v>613500</v>
      </c>
      <c r="AG2237" t="n">
        <v>55370.42</v>
      </c>
      <c r="AH2237" t="n">
        <v>558129.58</v>
      </c>
    </row>
    <row r="2238">
      <c r="A2238" t="inlineStr">
        <is>
          <t>3월</t>
        </is>
      </c>
      <c r="B2238" t="inlineStr">
        <is>
          <t>12주차</t>
        </is>
      </c>
      <c r="C2238" t="inlineStr">
        <is>
          <t>EP</t>
        </is>
      </c>
      <c r="D2238" s="28" t="n">
        <v>46097</v>
      </c>
      <c r="E2238" t="inlineStr">
        <is>
          <t>BNKEP</t>
        </is>
      </c>
      <c r="F2238" t="inlineStr">
        <is>
          <t>정희석</t>
        </is>
      </c>
      <c r="G2238" t="inlineStr">
        <is>
          <t>010-2244-0433</t>
        </is>
      </c>
      <c r="H2238" t="inlineStr">
        <is>
          <t>52무0393</t>
        </is>
      </c>
      <c r="I2238" t="n">
        <v>15000000</v>
      </c>
      <c r="J2238" t="n">
        <v>0.077</v>
      </c>
      <c r="K2238" t="n">
        <v>1.65</v>
      </c>
      <c r="L2238" t="n">
        <v>0.4</v>
      </c>
      <c r="M2238" t="n">
        <v>1.25</v>
      </c>
      <c r="P2238" t="inlineStr">
        <is>
          <t>장현경</t>
        </is>
      </c>
      <c r="AB2238" t="inlineStr">
        <is>
          <t>엔카</t>
        </is>
      </c>
      <c r="AC2238" t="n">
        <v>247500</v>
      </c>
      <c r="AD2238" t="n">
        <v>60000</v>
      </c>
      <c r="AE2238" t="n">
        <v>187500</v>
      </c>
      <c r="AF2238" t="n">
        <v>225000</v>
      </c>
      <c r="AG2238" t="n">
        <v>58020</v>
      </c>
      <c r="AH2238" t="n">
        <v>166980</v>
      </c>
    </row>
    <row r="2239">
      <c r="A2239" t="inlineStr">
        <is>
          <t>3월</t>
        </is>
      </c>
      <c r="B2239" t="inlineStr">
        <is>
          <t>11주차</t>
        </is>
      </c>
      <c r="C2239" t="inlineStr">
        <is>
          <t>EP</t>
        </is>
      </c>
      <c r="D2239" s="28" t="n">
        <v>46093</v>
      </c>
      <c r="E2239" t="inlineStr">
        <is>
          <t>제이비EP</t>
        </is>
      </c>
      <c r="F2239" t="inlineStr">
        <is>
          <t>박한수</t>
        </is>
      </c>
      <c r="G2239" t="inlineStr">
        <is>
          <t>010-5763-1655</t>
        </is>
      </c>
      <c r="H2239" t="inlineStr">
        <is>
          <t>240부5928</t>
        </is>
      </c>
      <c r="I2239" t="n">
        <v>32700000</v>
      </c>
      <c r="J2239" t="n">
        <v>0.079</v>
      </c>
      <c r="K2239" t="n">
        <v>1.65</v>
      </c>
      <c r="L2239" t="n">
        <v>0.14</v>
      </c>
      <c r="M2239" t="n">
        <v>1.51</v>
      </c>
      <c r="P2239" t="inlineStr">
        <is>
          <t>박현민</t>
        </is>
      </c>
      <c r="Q2239" t="inlineStr">
        <is>
          <t>홈서비스 60개월</t>
        </is>
      </c>
      <c r="AB2239" t="inlineStr">
        <is>
          <t>홈서비스</t>
        </is>
      </c>
      <c r="AC2239" t="n">
        <v>539550</v>
      </c>
      <c r="AD2239" t="n">
        <v>45780</v>
      </c>
      <c r="AE2239" t="n">
        <v>493770</v>
      </c>
      <c r="AF2239" t="n">
        <v>490500</v>
      </c>
      <c r="AG2239" t="n">
        <v>44269.26</v>
      </c>
      <c r="AH2239" t="n">
        <v>446230.74</v>
      </c>
      <c r="AI2239" t="n">
        <v>0</v>
      </c>
    </row>
    <row r="2240">
      <c r="A2240" t="inlineStr">
        <is>
          <t>3월</t>
        </is>
      </c>
      <c r="B2240" t="inlineStr">
        <is>
          <t>12주차</t>
        </is>
      </c>
      <c r="C2240" t="inlineStr">
        <is>
          <t>EP</t>
        </is>
      </c>
      <c r="D2240" s="28" t="n">
        <v>46097</v>
      </c>
      <c r="E2240" t="inlineStr">
        <is>
          <t>현대EP</t>
        </is>
      </c>
      <c r="F2240" t="inlineStr">
        <is>
          <t>이은정</t>
        </is>
      </c>
      <c r="G2240" t="inlineStr">
        <is>
          <t>010-4846-9504</t>
        </is>
      </c>
      <c r="H2240" t="inlineStr">
        <is>
          <t>49다3795</t>
        </is>
      </c>
      <c r="I2240" t="n">
        <v>17000000</v>
      </c>
      <c r="J2240" t="n">
        <v>0.1</v>
      </c>
      <c r="K2240" t="n">
        <v>1.76</v>
      </c>
      <c r="L2240" t="n">
        <v>0.14</v>
      </c>
      <c r="M2240" t="n">
        <v>1.62</v>
      </c>
      <c r="P2240" t="inlineStr">
        <is>
          <t>김수연</t>
        </is>
      </c>
      <c r="Q2240" t="inlineStr">
        <is>
          <t>홈서비스 60개월</t>
        </is>
      </c>
      <c r="AB2240" t="inlineStr">
        <is>
          <t>홈서비스</t>
        </is>
      </c>
      <c r="AC2240" t="n">
        <v>299200</v>
      </c>
      <c r="AD2240" t="n">
        <v>23800</v>
      </c>
      <c r="AE2240" t="n">
        <v>275400</v>
      </c>
      <c r="AF2240" t="n">
        <v>272000</v>
      </c>
      <c r="AG2240" t="n">
        <v>23014.6</v>
      </c>
      <c r="AH2240" t="n">
        <v>248985.4</v>
      </c>
      <c r="AI2240" t="n">
        <v>0</v>
      </c>
    </row>
    <row r="2241">
      <c r="A2241" t="inlineStr">
        <is>
          <t>3월</t>
        </is>
      </c>
      <c r="B2241" t="inlineStr">
        <is>
          <t>12주차</t>
        </is>
      </c>
      <c r="C2241" t="inlineStr">
        <is>
          <t>EP</t>
        </is>
      </c>
      <c r="D2241" s="28" t="n">
        <v>46097</v>
      </c>
      <c r="E2241" t="inlineStr">
        <is>
          <t>제이비EP</t>
        </is>
      </c>
      <c r="F2241" t="inlineStr">
        <is>
          <t>김성진</t>
        </is>
      </c>
      <c r="G2241" t="inlineStr">
        <is>
          <t>010-6374-3273</t>
        </is>
      </c>
      <c r="H2241" t="inlineStr">
        <is>
          <t>188구8057</t>
        </is>
      </c>
      <c r="I2241" t="n">
        <v>14400000</v>
      </c>
      <c r="J2241" t="n">
        <v>0.079</v>
      </c>
      <c r="K2241" t="n">
        <v>1.65</v>
      </c>
      <c r="L2241" t="n">
        <v>0.14</v>
      </c>
      <c r="M2241" t="n">
        <v>1.51</v>
      </c>
      <c r="P2241" t="inlineStr">
        <is>
          <t>박소현</t>
        </is>
      </c>
      <c r="Q2241" t="inlineStr">
        <is>
          <t>선상담 / 홈서비스 36개월</t>
        </is>
      </c>
      <c r="AB2241" t="inlineStr">
        <is>
          <t>홈서비스</t>
        </is>
      </c>
      <c r="AC2241" t="n">
        <v>237600</v>
      </c>
      <c r="AD2241" t="n">
        <v>20160</v>
      </c>
      <c r="AE2241" t="n">
        <v>217440</v>
      </c>
      <c r="AF2241" t="n">
        <v>216000</v>
      </c>
      <c r="AG2241" t="n">
        <v>19494.72</v>
      </c>
      <c r="AH2241" t="n">
        <v>196505.28</v>
      </c>
    </row>
    <row r="2242">
      <c r="A2242" t="inlineStr">
        <is>
          <t>3월</t>
        </is>
      </c>
      <c r="B2242" t="inlineStr">
        <is>
          <t>12주차</t>
        </is>
      </c>
      <c r="C2242" t="inlineStr">
        <is>
          <t>OR</t>
        </is>
      </c>
      <c r="D2242" s="28" t="n">
        <v>46097</v>
      </c>
      <c r="E2242" t="inlineStr">
        <is>
          <t>오릭스</t>
        </is>
      </c>
      <c r="F2242" t="inlineStr">
        <is>
          <t>정성민</t>
        </is>
      </c>
      <c r="G2242" t="inlineStr">
        <is>
          <t>010-2942-9760</t>
        </is>
      </c>
      <c r="H2242" t="inlineStr">
        <is>
          <t>15저9345</t>
        </is>
      </c>
      <c r="I2242" t="n">
        <v>21500000</v>
      </c>
      <c r="J2242" t="n">
        <v>0.064</v>
      </c>
      <c r="K2242" t="n">
        <v>1.65</v>
      </c>
      <c r="L2242" t="n">
        <v>0.4</v>
      </c>
      <c r="M2242" t="n">
        <v>1.25</v>
      </c>
      <c r="N2242" t="inlineStr">
        <is>
          <t>한규상</t>
        </is>
      </c>
      <c r="P2242" t="inlineStr">
        <is>
          <t>구성완</t>
        </is>
      </c>
      <c r="AB2242" t="inlineStr">
        <is>
          <t>엔카</t>
        </is>
      </c>
      <c r="AC2242" t="n">
        <v>354750</v>
      </c>
      <c r="AD2242" t="n">
        <v>86000</v>
      </c>
      <c r="AE2242" t="n">
        <v>268750</v>
      </c>
      <c r="AF2242" t="n">
        <v>322500</v>
      </c>
      <c r="AG2242" t="n">
        <v>83162</v>
      </c>
      <c r="AH2242" t="n">
        <v>239338</v>
      </c>
      <c r="AI2242" t="n">
        <v>0</v>
      </c>
    </row>
    <row r="2243">
      <c r="A2243" t="inlineStr">
        <is>
          <t>3월</t>
        </is>
      </c>
      <c r="B2243" t="inlineStr">
        <is>
          <t>11주차</t>
        </is>
      </c>
      <c r="C2243" t="inlineStr">
        <is>
          <t>EP</t>
        </is>
      </c>
      <c r="D2243" s="28" t="n">
        <v>46094</v>
      </c>
      <c r="E2243" t="inlineStr">
        <is>
          <t>제이비EP</t>
        </is>
      </c>
      <c r="F2243" t="inlineStr">
        <is>
          <t>문요한</t>
        </is>
      </c>
      <c r="G2243" t="inlineStr">
        <is>
          <t>010-6877-2962</t>
        </is>
      </c>
      <c r="H2243" t="inlineStr">
        <is>
          <t>05부2690</t>
        </is>
      </c>
      <c r="I2243" t="n">
        <v>17000000</v>
      </c>
      <c r="J2243" t="n">
        <v>0.066</v>
      </c>
      <c r="K2243" t="n">
        <v>1.65</v>
      </c>
      <c r="L2243" t="n">
        <v>0.4</v>
      </c>
      <c r="M2243" t="n">
        <v>1.25</v>
      </c>
      <c r="P2243" t="inlineStr">
        <is>
          <t>장진경</t>
        </is>
      </c>
      <c r="Q2243" t="inlineStr">
        <is>
          <t>부대비용 추가진행</t>
        </is>
      </c>
      <c r="AB2243" t="inlineStr">
        <is>
          <t>엔카</t>
        </is>
      </c>
      <c r="AC2243" t="n">
        <v>280500</v>
      </c>
      <c r="AD2243" t="n">
        <v>68000</v>
      </c>
      <c r="AE2243" t="n">
        <v>212500</v>
      </c>
      <c r="AF2243" t="n">
        <v>255000</v>
      </c>
      <c r="AG2243" t="n">
        <v>65756</v>
      </c>
      <c r="AH2243" t="n">
        <v>189244</v>
      </c>
      <c r="AI2243" t="n">
        <v>0</v>
      </c>
    </row>
    <row r="2244">
      <c r="A2244" t="inlineStr">
        <is>
          <t>3월</t>
        </is>
      </c>
      <c r="B2244" t="inlineStr">
        <is>
          <t>12주차</t>
        </is>
      </c>
      <c r="C2244" t="inlineStr">
        <is>
          <t>IM</t>
        </is>
      </c>
      <c r="D2244" s="28" t="n">
        <v>46097</v>
      </c>
      <c r="E2244" t="inlineStr">
        <is>
          <t>IM캐피탈</t>
        </is>
      </c>
      <c r="F2244" t="inlineStr">
        <is>
          <t>심홍규</t>
        </is>
      </c>
      <c r="G2244" t="inlineStr">
        <is>
          <t>010-9059-3765</t>
        </is>
      </c>
      <c r="H2244" t="inlineStr">
        <is>
          <t>41라2733</t>
        </is>
      </c>
      <c r="I2244" t="n">
        <v>13100000</v>
      </c>
      <c r="J2244" t="n">
        <v>0.075</v>
      </c>
      <c r="K2244" t="n">
        <v>1.1</v>
      </c>
      <c r="L2244" t="n">
        <v>0.14</v>
      </c>
      <c r="M2244" t="n">
        <v>0.96</v>
      </c>
      <c r="P2244" t="inlineStr">
        <is>
          <t>장진경</t>
        </is>
      </c>
      <c r="Q2244" t="inlineStr">
        <is>
          <t>선상담 / 홈서비스 72개월 / 부대비용 추가진행</t>
        </is>
      </c>
      <c r="AB2244" t="inlineStr">
        <is>
          <t>홈서비스</t>
        </is>
      </c>
      <c r="AC2244" t="n">
        <v>144100</v>
      </c>
      <c r="AD2244" t="n">
        <v>18340</v>
      </c>
      <c r="AE2244" t="n">
        <v>125760</v>
      </c>
      <c r="AF2244" t="n">
        <v>131000</v>
      </c>
      <c r="AG2244" t="n">
        <v>17734.78</v>
      </c>
      <c r="AH2244" t="n">
        <v>113265.22</v>
      </c>
      <c r="AI2244" t="n">
        <v>0</v>
      </c>
    </row>
    <row r="2245">
      <c r="A2245" t="inlineStr">
        <is>
          <t>3월</t>
        </is>
      </c>
      <c r="B2245" t="inlineStr">
        <is>
          <t>12주차</t>
        </is>
      </c>
      <c r="C2245" t="inlineStr">
        <is>
          <t>IM</t>
        </is>
      </c>
      <c r="D2245" s="28" t="n">
        <v>46097</v>
      </c>
      <c r="E2245" t="inlineStr">
        <is>
          <t>IM캐피탈</t>
        </is>
      </c>
      <c r="F2245" t="inlineStr">
        <is>
          <t>우희진</t>
        </is>
      </c>
      <c r="G2245" t="inlineStr">
        <is>
          <t>010-7702-9906</t>
        </is>
      </c>
      <c r="H2245" t="inlineStr">
        <is>
          <t>04무6407</t>
        </is>
      </c>
      <c r="I2245" t="n">
        <v>-5900000</v>
      </c>
      <c r="J2245" t="n">
        <v>0.056</v>
      </c>
      <c r="K2245" t="n">
        <v>1.1</v>
      </c>
      <c r="L2245" t="n">
        <v>0.14</v>
      </c>
      <c r="M2245" t="n">
        <v>0.96</v>
      </c>
      <c r="P2245" t="inlineStr">
        <is>
          <t>최형주</t>
        </is>
      </c>
      <c r="Q2245" t="inlineStr">
        <is>
          <t>홈서비스 24개월</t>
        </is>
      </c>
      <c r="AB2245" t="inlineStr">
        <is>
          <t>홈서비스</t>
        </is>
      </c>
      <c r="AC2245" t="n">
        <v>-64900</v>
      </c>
      <c r="AD2245" t="n">
        <v>-8260</v>
      </c>
      <c r="AE2245" t="n">
        <v>-56640</v>
      </c>
      <c r="AF2245" t="n">
        <v>-59000</v>
      </c>
      <c r="AG2245" t="n">
        <v>-7987.42</v>
      </c>
      <c r="AH2245" t="n">
        <v>-51012.58</v>
      </c>
      <c r="AI2245" t="n">
        <v>0</v>
      </c>
    </row>
    <row r="2246">
      <c r="A2246" t="inlineStr">
        <is>
          <t>3월</t>
        </is>
      </c>
      <c r="B2246" t="inlineStr">
        <is>
          <t>12주차</t>
        </is>
      </c>
      <c r="C2246" t="inlineStr">
        <is>
          <t>IM</t>
        </is>
      </c>
      <c r="D2246" s="28" t="n">
        <v>46098</v>
      </c>
      <c r="E2246" t="inlineStr">
        <is>
          <t>IM캐피탈</t>
        </is>
      </c>
      <c r="F2246" t="inlineStr">
        <is>
          <t>박주빈</t>
        </is>
      </c>
      <c r="G2246" t="inlineStr">
        <is>
          <t>010-2406-8448</t>
        </is>
      </c>
      <c r="H2246" t="inlineStr">
        <is>
          <t>145오3194</t>
        </is>
      </c>
      <c r="I2246" t="n">
        <v>10000000</v>
      </c>
      <c r="J2246" t="n">
        <v>0.056</v>
      </c>
      <c r="K2246" t="n">
        <v>1.1</v>
      </c>
      <c r="L2246" t="n">
        <v>0.14</v>
      </c>
      <c r="M2246" t="n">
        <v>0.96</v>
      </c>
      <c r="P2246" t="inlineStr">
        <is>
          <t>김나윤</t>
        </is>
      </c>
      <c r="Q2246" t="inlineStr">
        <is>
          <t>홈서비스 36개월</t>
        </is>
      </c>
      <c r="AB2246" t="inlineStr">
        <is>
          <t>홈서비스</t>
        </is>
      </c>
      <c r="AC2246" t="n">
        <v>110000</v>
      </c>
      <c r="AD2246" t="n">
        <v>14000</v>
      </c>
      <c r="AE2246" t="n">
        <v>96000</v>
      </c>
      <c r="AF2246" t="n">
        <v>100000</v>
      </c>
      <c r="AG2246" t="n">
        <v>13538</v>
      </c>
      <c r="AH2246" t="n">
        <v>86462</v>
      </c>
      <c r="AI2246" t="n">
        <v>0</v>
      </c>
    </row>
    <row r="2247">
      <c r="A2247" t="inlineStr">
        <is>
          <t>3월</t>
        </is>
      </c>
      <c r="B2247" t="inlineStr">
        <is>
          <t>12주차</t>
        </is>
      </c>
      <c r="C2247" t="inlineStr">
        <is>
          <t>EP</t>
        </is>
      </c>
      <c r="D2247" s="28" t="n">
        <v>46097</v>
      </c>
      <c r="E2247" t="inlineStr">
        <is>
          <t>현대EP_fast</t>
        </is>
      </c>
      <c r="F2247" t="inlineStr">
        <is>
          <t>이은석</t>
        </is>
      </c>
      <c r="G2247" t="inlineStr">
        <is>
          <t>010-3542-1426</t>
        </is>
      </c>
      <c r="H2247" t="inlineStr">
        <is>
          <t>50소0398</t>
        </is>
      </c>
      <c r="I2247" t="n">
        <v>-9000000</v>
      </c>
      <c r="J2247" t="n">
        <v>0.134</v>
      </c>
      <c r="K2247" t="n">
        <v>1.76</v>
      </c>
      <c r="L2247" t="n">
        <v>0.14</v>
      </c>
      <c r="M2247" t="n">
        <v>1.62</v>
      </c>
      <c r="P2247" t="inlineStr">
        <is>
          <t>박소현</t>
        </is>
      </c>
      <c r="Q2247" t="inlineStr">
        <is>
          <t>선상담 / 홈서비스 48개월</t>
        </is>
      </c>
      <c r="AB2247" t="inlineStr">
        <is>
          <t>홈서비스</t>
        </is>
      </c>
      <c r="AC2247" t="n">
        <v>-158400</v>
      </c>
      <c r="AD2247" t="n">
        <v>-12600</v>
      </c>
      <c r="AE2247" t="n">
        <v>-145800</v>
      </c>
      <c r="AF2247" t="n">
        <v>-144000</v>
      </c>
      <c r="AG2247" t="n">
        <v>-12184.2</v>
      </c>
      <c r="AH2247" t="n">
        <v>-131815.8</v>
      </c>
      <c r="AI2247" t="n">
        <v>0</v>
      </c>
    </row>
    <row r="2248">
      <c r="A2248" t="inlineStr">
        <is>
          <t>3월</t>
        </is>
      </c>
      <c r="B2248" t="inlineStr">
        <is>
          <t>12주차</t>
        </is>
      </c>
      <c r="C2248" t="inlineStr">
        <is>
          <t>EP</t>
        </is>
      </c>
      <c r="D2248" s="28" t="n">
        <v>46097</v>
      </c>
      <c r="E2248" t="inlineStr">
        <is>
          <t>현대EP</t>
        </is>
      </c>
      <c r="F2248" t="inlineStr">
        <is>
          <t>윤재경</t>
        </is>
      </c>
      <c r="G2248" t="inlineStr">
        <is>
          <t>010-2542-1871</t>
        </is>
      </c>
      <c r="H2248" t="inlineStr">
        <is>
          <t>26루1569</t>
        </is>
      </c>
      <c r="I2248" t="n">
        <v>3500000</v>
      </c>
      <c r="J2248" t="n">
        <v>0.08500000000000001</v>
      </c>
      <c r="K2248" t="n">
        <v>1.76</v>
      </c>
      <c r="L2248" t="n">
        <v>0.14</v>
      </c>
      <c r="M2248" t="n">
        <v>1.62</v>
      </c>
      <c r="P2248" t="inlineStr">
        <is>
          <t>장현경</t>
        </is>
      </c>
      <c r="Q2248" t="inlineStr">
        <is>
          <t>홈서비스 60개월</t>
        </is>
      </c>
      <c r="AB2248" t="inlineStr">
        <is>
          <t>홈서비스</t>
        </is>
      </c>
      <c r="AC2248" t="n">
        <v>61600</v>
      </c>
      <c r="AD2248" t="n">
        <v>4900</v>
      </c>
      <c r="AE2248" t="n">
        <v>56700</v>
      </c>
      <c r="AF2248" t="n">
        <v>56000</v>
      </c>
      <c r="AG2248" t="n">
        <v>4738.3</v>
      </c>
      <c r="AH2248" t="n">
        <v>51261.7</v>
      </c>
      <c r="AI2248" t="n">
        <v>0</v>
      </c>
    </row>
    <row r="2249">
      <c r="A2249" t="inlineStr">
        <is>
          <t>3월</t>
        </is>
      </c>
      <c r="B2249" t="inlineStr">
        <is>
          <t>12주차</t>
        </is>
      </c>
      <c r="C2249" t="inlineStr">
        <is>
          <t>IM</t>
        </is>
      </c>
      <c r="D2249" s="28" t="n">
        <v>46097</v>
      </c>
      <c r="E2249" t="inlineStr">
        <is>
          <t>IM캐피탈</t>
        </is>
      </c>
      <c r="F2249" t="inlineStr">
        <is>
          <t>박현주</t>
        </is>
      </c>
      <c r="G2249" t="inlineStr">
        <is>
          <t>010-5465-4492</t>
        </is>
      </c>
      <c r="H2249" t="inlineStr">
        <is>
          <t>183두8030</t>
        </is>
      </c>
      <c r="I2249" t="n">
        <v>20000000</v>
      </c>
      <c r="J2249" t="n">
        <v>0.056</v>
      </c>
      <c r="K2249" t="n">
        <v>1.1</v>
      </c>
      <c r="L2249" t="n">
        <v>0.5</v>
      </c>
      <c r="M2249" t="n">
        <v>0.6</v>
      </c>
      <c r="P2249" t="inlineStr">
        <is>
          <t>정하은</t>
        </is>
      </c>
      <c r="Q2249" t="inlineStr">
        <is>
          <t>공동명의</t>
        </is>
      </c>
      <c r="AB2249" t="inlineStr">
        <is>
          <t>엔카</t>
        </is>
      </c>
      <c r="AC2249" t="n">
        <v>220000</v>
      </c>
      <c r="AD2249" t="n">
        <v>100000</v>
      </c>
      <c r="AE2249" t="n">
        <v>120000</v>
      </c>
      <c r="AF2249" t="n">
        <v>200000</v>
      </c>
      <c r="AG2249" t="n">
        <v>96700</v>
      </c>
      <c r="AH2249" t="n">
        <v>103300</v>
      </c>
      <c r="AI2249" t="n">
        <v>0</v>
      </c>
    </row>
    <row r="2250">
      <c r="A2250" t="inlineStr">
        <is>
          <t>3월</t>
        </is>
      </c>
      <c r="B2250" t="inlineStr">
        <is>
          <t>12주차</t>
        </is>
      </c>
      <c r="C2250" t="inlineStr">
        <is>
          <t>IM</t>
        </is>
      </c>
      <c r="D2250" s="28" t="n">
        <v>46098</v>
      </c>
      <c r="E2250" t="inlineStr">
        <is>
          <t>IM캐피탈</t>
        </is>
      </c>
      <c r="F2250" t="inlineStr">
        <is>
          <t>최한상</t>
        </is>
      </c>
      <c r="G2250" t="inlineStr">
        <is>
          <t>010-9015-2728</t>
        </is>
      </c>
      <c r="H2250" t="inlineStr">
        <is>
          <t>280러6875</t>
        </is>
      </c>
      <c r="I2250" t="n">
        <v>32200000</v>
      </c>
      <c r="J2250" t="n">
        <v>0.066</v>
      </c>
      <c r="K2250" t="n">
        <v>1.1</v>
      </c>
      <c r="L2250" t="n">
        <v>0.14</v>
      </c>
      <c r="M2250" t="n">
        <v>0.96</v>
      </c>
      <c r="P2250" t="inlineStr">
        <is>
          <t>최형주</t>
        </is>
      </c>
      <c r="Q2250" t="inlineStr">
        <is>
          <t>홈서비스 84개월</t>
        </is>
      </c>
      <c r="AB2250" t="inlineStr">
        <is>
          <t>홈서비스</t>
        </is>
      </c>
      <c r="AC2250" t="n">
        <v>354200</v>
      </c>
      <c r="AD2250" t="n">
        <v>45080</v>
      </c>
      <c r="AE2250" t="n">
        <v>309120</v>
      </c>
      <c r="AF2250" t="n">
        <v>322000</v>
      </c>
      <c r="AG2250" t="n">
        <v>43592.36</v>
      </c>
      <c r="AH2250" t="n">
        <v>278407.64</v>
      </c>
    </row>
    <row r="2251">
      <c r="A2251" t="inlineStr">
        <is>
          <t>3월</t>
        </is>
      </c>
      <c r="B2251" t="inlineStr">
        <is>
          <t>12주차</t>
        </is>
      </c>
      <c r="C2251" t="inlineStr">
        <is>
          <t>EP</t>
        </is>
      </c>
      <c r="D2251" s="28" t="n">
        <v>46097</v>
      </c>
      <c r="E2251" t="inlineStr">
        <is>
          <t>현대EP</t>
        </is>
      </c>
      <c r="F2251" t="inlineStr">
        <is>
          <t>이주현</t>
        </is>
      </c>
      <c r="G2251" t="inlineStr">
        <is>
          <t>010-7708-7595</t>
        </is>
      </c>
      <c r="H2251" t="inlineStr">
        <is>
          <t>109보4360</t>
        </is>
      </c>
      <c r="I2251" t="n">
        <v>45300000</v>
      </c>
      <c r="J2251" t="n">
        <v>0.105</v>
      </c>
      <c r="K2251" t="n">
        <v>1.76</v>
      </c>
      <c r="L2251" t="n">
        <v>0.14</v>
      </c>
      <c r="M2251" t="n">
        <v>1.62</v>
      </c>
      <c r="P2251" t="inlineStr">
        <is>
          <t>김수연</t>
        </is>
      </c>
      <c r="Q2251" t="inlineStr">
        <is>
          <t>홈서비스 60개월</t>
        </is>
      </c>
      <c r="AB2251" t="inlineStr">
        <is>
          <t>홈서비스</t>
        </is>
      </c>
      <c r="AC2251" t="n">
        <v>797280</v>
      </c>
      <c r="AD2251" t="n">
        <v>63420</v>
      </c>
      <c r="AE2251" t="n">
        <v>733860</v>
      </c>
      <c r="AF2251" t="n">
        <v>724800</v>
      </c>
      <c r="AG2251" t="n">
        <v>61327.14</v>
      </c>
      <c r="AH2251" t="n">
        <v>663472.86</v>
      </c>
      <c r="AI2251" t="n">
        <v>0</v>
      </c>
    </row>
    <row r="2252">
      <c r="A2252" t="inlineStr">
        <is>
          <t>3월</t>
        </is>
      </c>
      <c r="B2252" t="inlineStr">
        <is>
          <t>12주차</t>
        </is>
      </c>
      <c r="C2252" t="inlineStr">
        <is>
          <t>EP</t>
        </is>
      </c>
      <c r="D2252" s="28" t="n">
        <v>46098</v>
      </c>
      <c r="E2252" t="inlineStr">
        <is>
          <t>현대EP_fast</t>
        </is>
      </c>
      <c r="F2252" t="inlineStr">
        <is>
          <t>손현민</t>
        </is>
      </c>
      <c r="G2252" t="inlineStr">
        <is>
          <t>010-4154-8487</t>
        </is>
      </c>
      <c r="H2252" t="inlineStr">
        <is>
          <t>30로0138</t>
        </is>
      </c>
      <c r="I2252" t="n">
        <v>11300000</v>
      </c>
      <c r="J2252" t="n">
        <v>0.118</v>
      </c>
      <c r="K2252" t="n">
        <v>1.76</v>
      </c>
      <c r="L2252" t="n">
        <v>0.14</v>
      </c>
      <c r="M2252" t="n">
        <v>1.62</v>
      </c>
      <c r="P2252" t="inlineStr">
        <is>
          <t>최형주</t>
        </is>
      </c>
      <c r="Q2252" t="inlineStr">
        <is>
          <t>홈서비스 36개월</t>
        </is>
      </c>
      <c r="AB2252" t="inlineStr">
        <is>
          <t>홈서비스</t>
        </is>
      </c>
      <c r="AC2252" t="n">
        <v>198880</v>
      </c>
      <c r="AD2252" t="n">
        <v>15820</v>
      </c>
      <c r="AE2252" t="n">
        <v>183060</v>
      </c>
      <c r="AF2252" t="n">
        <v>180800</v>
      </c>
      <c r="AG2252" t="n">
        <v>15297.94</v>
      </c>
      <c r="AH2252" t="n">
        <v>165502.06</v>
      </c>
      <c r="AI2252" t="n">
        <v>0</v>
      </c>
    </row>
    <row r="2253">
      <c r="A2253" t="inlineStr">
        <is>
          <t>3월</t>
        </is>
      </c>
      <c r="B2253" t="inlineStr">
        <is>
          <t>12주차</t>
        </is>
      </c>
      <c r="C2253" t="inlineStr">
        <is>
          <t>IM</t>
        </is>
      </c>
      <c r="D2253" s="28" t="n">
        <v>46098</v>
      </c>
      <c r="E2253" t="inlineStr">
        <is>
          <t>IM캐피탈</t>
        </is>
      </c>
      <c r="F2253" t="inlineStr">
        <is>
          <t>이동준</t>
        </is>
      </c>
      <c r="G2253" t="inlineStr">
        <is>
          <t>010-7433-8124</t>
        </is>
      </c>
      <c r="H2253" t="inlineStr">
        <is>
          <t>27보0995</t>
        </is>
      </c>
      <c r="I2253" t="n">
        <v>14700000</v>
      </c>
      <c r="J2253" t="n">
        <v>0.089</v>
      </c>
      <c r="K2253" t="n">
        <v>1.1</v>
      </c>
      <c r="L2253" t="n">
        <v>0.14</v>
      </c>
      <c r="M2253" t="n">
        <v>0.96</v>
      </c>
      <c r="P2253" t="inlineStr">
        <is>
          <t>황채이</t>
        </is>
      </c>
      <c r="Q2253" t="inlineStr">
        <is>
          <t>홈서비스 48개월 / 부대비용 추가진행</t>
        </is>
      </c>
      <c r="AB2253" t="inlineStr">
        <is>
          <t>홈서비스</t>
        </is>
      </c>
      <c r="AC2253" t="n">
        <v>161700</v>
      </c>
      <c r="AD2253" t="n">
        <v>20580</v>
      </c>
      <c r="AE2253" t="n">
        <v>141120</v>
      </c>
      <c r="AF2253" t="n">
        <v>147000</v>
      </c>
      <c r="AG2253" t="n">
        <v>19900.86</v>
      </c>
      <c r="AH2253" t="n">
        <v>127099.14</v>
      </c>
      <c r="AI2253" t="n">
        <v>0</v>
      </c>
    </row>
    <row r="2254">
      <c r="A2254" t="inlineStr">
        <is>
          <t>3월</t>
        </is>
      </c>
      <c r="B2254" t="inlineStr">
        <is>
          <t>12주차</t>
        </is>
      </c>
      <c r="C2254" t="inlineStr">
        <is>
          <t>EP</t>
        </is>
      </c>
      <c r="D2254" s="28" t="n">
        <v>46097</v>
      </c>
      <c r="E2254" t="inlineStr">
        <is>
          <t>제이비EP</t>
        </is>
      </c>
      <c r="F2254" t="inlineStr">
        <is>
          <t>조태신</t>
        </is>
      </c>
      <c r="G2254" t="inlineStr">
        <is>
          <t>010-7348-7789</t>
        </is>
      </c>
      <c r="H2254" t="inlineStr">
        <is>
          <t>43무0970</t>
        </is>
      </c>
      <c r="I2254" t="n">
        <v>4400000</v>
      </c>
      <c r="J2254" t="n">
        <v>0.08500000000000001</v>
      </c>
      <c r="K2254" t="n">
        <v>1.65</v>
      </c>
      <c r="L2254" t="n">
        <v>0.4</v>
      </c>
      <c r="M2254" t="n">
        <v>1.25</v>
      </c>
      <c r="P2254" t="inlineStr">
        <is>
          <t>임대경</t>
        </is>
      </c>
      <c r="AB2254" t="inlineStr">
        <is>
          <t>엔카</t>
        </is>
      </c>
      <c r="AC2254" t="n">
        <v>72600</v>
      </c>
      <c r="AD2254" t="n">
        <v>17600</v>
      </c>
      <c r="AE2254" t="n">
        <v>55000</v>
      </c>
      <c r="AF2254" t="n">
        <v>66000</v>
      </c>
      <c r="AG2254" t="n">
        <v>17019.2</v>
      </c>
      <c r="AH2254" t="n">
        <v>48980.8</v>
      </c>
      <c r="AI2254" t="n">
        <v>0</v>
      </c>
    </row>
    <row r="2255">
      <c r="A2255" t="inlineStr">
        <is>
          <t>3월</t>
        </is>
      </c>
      <c r="B2255" t="inlineStr">
        <is>
          <t>12주차</t>
        </is>
      </c>
      <c r="C2255" t="inlineStr">
        <is>
          <t>IM</t>
        </is>
      </c>
      <c r="D2255" s="28" t="n">
        <v>46098</v>
      </c>
      <c r="E2255" t="inlineStr">
        <is>
          <t>IM캐피탈</t>
        </is>
      </c>
      <c r="F2255" t="inlineStr">
        <is>
          <t>양승모</t>
        </is>
      </c>
      <c r="G2255" t="inlineStr">
        <is>
          <t>010-2044-3819</t>
        </is>
      </c>
      <c r="H2255" t="inlineStr">
        <is>
          <t>160조3663</t>
        </is>
      </c>
      <c r="I2255" t="n">
        <v>45700000</v>
      </c>
      <c r="J2255" t="n">
        <v>0.089</v>
      </c>
      <c r="K2255" t="n">
        <v>1.1</v>
      </c>
      <c r="L2255" t="n">
        <v>0.14</v>
      </c>
      <c r="M2255" t="n">
        <v>0.96</v>
      </c>
      <c r="P2255" t="inlineStr">
        <is>
          <t>황채이</t>
        </is>
      </c>
      <c r="Q2255" t="inlineStr">
        <is>
          <t>홈서비스 60개월 / 부대비용 추가진행</t>
        </is>
      </c>
      <c r="AB2255" t="inlineStr">
        <is>
          <t>홈서비스</t>
        </is>
      </c>
      <c r="AC2255" t="n">
        <v>502700</v>
      </c>
      <c r="AD2255" t="n">
        <v>63980</v>
      </c>
      <c r="AE2255" t="n">
        <v>438720</v>
      </c>
      <c r="AF2255" t="n">
        <v>457000</v>
      </c>
      <c r="AG2255" t="n">
        <v>61868.66</v>
      </c>
      <c r="AH2255" t="n">
        <v>395131.34</v>
      </c>
    </row>
    <row r="2256">
      <c r="A2256" t="inlineStr">
        <is>
          <t>3월</t>
        </is>
      </c>
      <c r="B2256" t="inlineStr">
        <is>
          <t>12주차</t>
        </is>
      </c>
      <c r="C2256" t="inlineStr">
        <is>
          <t>IM</t>
        </is>
      </c>
      <c r="D2256" s="28" t="n">
        <v>46098</v>
      </c>
      <c r="E2256" t="inlineStr">
        <is>
          <t>IM캐피탈</t>
        </is>
      </c>
      <c r="F2256" t="inlineStr">
        <is>
          <t>박주훈</t>
        </is>
      </c>
      <c r="G2256" t="inlineStr">
        <is>
          <t>010-9300-8999</t>
        </is>
      </c>
      <c r="H2256" t="inlineStr">
        <is>
          <t>232더3247</t>
        </is>
      </c>
      <c r="I2256" t="n">
        <v>42000000</v>
      </c>
      <c r="J2256" t="n">
        <v>0.056</v>
      </c>
      <c r="K2256" t="n">
        <v>1.1</v>
      </c>
      <c r="L2256" t="n">
        <v>0.14</v>
      </c>
      <c r="M2256" t="n">
        <v>0.96</v>
      </c>
      <c r="P2256" t="inlineStr">
        <is>
          <t>장현경</t>
        </is>
      </c>
      <c r="Q2256" t="inlineStr">
        <is>
          <t>선상담 / 홈서비스 60개월 / 부대비용 추가진행</t>
        </is>
      </c>
      <c r="AB2256" t="inlineStr">
        <is>
          <t>홈서비스</t>
        </is>
      </c>
      <c r="AC2256" t="n">
        <v>462000</v>
      </c>
      <c r="AD2256" t="n">
        <v>58800</v>
      </c>
      <c r="AE2256" t="n">
        <v>403200</v>
      </c>
      <c r="AF2256" t="n">
        <v>420000</v>
      </c>
      <c r="AG2256" t="n">
        <v>56859.6</v>
      </c>
      <c r="AH2256" t="n">
        <v>363140.4</v>
      </c>
      <c r="AI2256" t="n">
        <v>0</v>
      </c>
    </row>
    <row r="2257">
      <c r="A2257" t="inlineStr">
        <is>
          <t>3월</t>
        </is>
      </c>
      <c r="B2257" t="inlineStr">
        <is>
          <t>12주차</t>
        </is>
      </c>
      <c r="C2257" t="inlineStr">
        <is>
          <t>IM</t>
        </is>
      </c>
      <c r="D2257" s="28" t="n">
        <v>46097</v>
      </c>
      <c r="E2257" t="inlineStr">
        <is>
          <t>IM캐피탈</t>
        </is>
      </c>
      <c r="F2257" t="inlineStr">
        <is>
          <t>정대운</t>
        </is>
      </c>
      <c r="G2257" t="inlineStr">
        <is>
          <t>010-6781-4521</t>
        </is>
      </c>
      <c r="H2257" t="inlineStr">
        <is>
          <t>311구7888</t>
        </is>
      </c>
      <c r="I2257" t="n">
        <v>66000000</v>
      </c>
      <c r="J2257" t="n">
        <v>0.056</v>
      </c>
      <c r="K2257" t="n">
        <v>1.1</v>
      </c>
      <c r="L2257" t="n">
        <v>0.5</v>
      </c>
      <c r="M2257" t="n">
        <v>0.6</v>
      </c>
      <c r="P2257" t="inlineStr">
        <is>
          <t>정하은</t>
        </is>
      </c>
      <c r="AB2257" t="inlineStr">
        <is>
          <t>엔카</t>
        </is>
      </c>
      <c r="AC2257" t="n">
        <v>726000</v>
      </c>
      <c r="AD2257" t="n">
        <v>330000</v>
      </c>
      <c r="AE2257" t="n">
        <v>396000</v>
      </c>
      <c r="AF2257" t="n">
        <v>660000</v>
      </c>
      <c r="AG2257" t="n">
        <v>319110</v>
      </c>
      <c r="AH2257" t="n">
        <v>340890</v>
      </c>
    </row>
    <row r="2258">
      <c r="A2258" t="inlineStr">
        <is>
          <t>3월</t>
        </is>
      </c>
      <c r="B2258" t="inlineStr">
        <is>
          <t>12주차</t>
        </is>
      </c>
      <c r="C2258" t="inlineStr">
        <is>
          <t>IM</t>
        </is>
      </c>
      <c r="D2258" s="28" t="n">
        <v>46098</v>
      </c>
      <c r="E2258" t="inlineStr">
        <is>
          <t>IM캐피탈</t>
        </is>
      </c>
      <c r="F2258" t="inlineStr">
        <is>
          <t>장현성</t>
        </is>
      </c>
      <c r="G2258" t="inlineStr">
        <is>
          <t>010-9699-2759</t>
        </is>
      </c>
      <c r="H2258" t="inlineStr">
        <is>
          <t>03주1177</t>
        </is>
      </c>
      <c r="I2258" t="n">
        <v>52900000</v>
      </c>
      <c r="J2258" t="n">
        <v>0.099</v>
      </c>
      <c r="K2258" t="n">
        <v>1.1</v>
      </c>
      <c r="L2258" t="n">
        <v>0.14</v>
      </c>
      <c r="M2258" t="n">
        <v>0.96</v>
      </c>
      <c r="P2258" t="inlineStr">
        <is>
          <t>최형주</t>
        </is>
      </c>
      <c r="Q2258" t="inlineStr">
        <is>
          <t>홈서비스 60개월</t>
        </is>
      </c>
      <c r="AB2258" t="inlineStr">
        <is>
          <t>홈서비스</t>
        </is>
      </c>
      <c r="AC2258" t="n">
        <v>581900</v>
      </c>
      <c r="AD2258" t="n">
        <v>74060</v>
      </c>
      <c r="AE2258" t="n">
        <v>507840</v>
      </c>
      <c r="AF2258" t="n">
        <v>529000</v>
      </c>
      <c r="AG2258" t="n">
        <v>71616.02</v>
      </c>
      <c r="AH2258" t="n">
        <v>457383.98</v>
      </c>
      <c r="AI2258" t="n">
        <v>0</v>
      </c>
    </row>
    <row r="2259">
      <c r="A2259" t="inlineStr">
        <is>
          <t>3월</t>
        </is>
      </c>
      <c r="B2259" t="inlineStr">
        <is>
          <t>12주차</t>
        </is>
      </c>
      <c r="C2259" t="inlineStr">
        <is>
          <t>EP</t>
        </is>
      </c>
      <c r="D2259" s="28" t="n">
        <v>46097</v>
      </c>
      <c r="E2259" t="inlineStr">
        <is>
          <t>현대EP</t>
        </is>
      </c>
      <c r="F2259" t="inlineStr">
        <is>
          <t>이명석</t>
        </is>
      </c>
      <c r="G2259" t="inlineStr">
        <is>
          <t>010-7591-5123</t>
        </is>
      </c>
      <c r="H2259" t="inlineStr">
        <is>
          <t>59가2218</t>
        </is>
      </c>
      <c r="I2259" t="n">
        <v>38900000</v>
      </c>
      <c r="J2259" t="n">
        <v>0.07199999999999999</v>
      </c>
      <c r="K2259" t="n">
        <v>1.76</v>
      </c>
      <c r="L2259" t="n">
        <v>0.14</v>
      </c>
      <c r="M2259" t="n">
        <v>1.62</v>
      </c>
      <c r="P2259" t="inlineStr">
        <is>
          <t>최혁</t>
        </is>
      </c>
      <c r="Q2259" t="inlineStr">
        <is>
          <t>홈서비스 60개월</t>
        </is>
      </c>
      <c r="AB2259" t="inlineStr">
        <is>
          <t>홈서비스</t>
        </is>
      </c>
      <c r="AC2259" t="n">
        <v>684640</v>
      </c>
      <c r="AD2259" t="n">
        <v>54460</v>
      </c>
      <c r="AE2259" t="n">
        <v>630180</v>
      </c>
      <c r="AF2259" t="n">
        <v>622400</v>
      </c>
      <c r="AG2259" t="n">
        <v>52662.82</v>
      </c>
      <c r="AH2259" t="n">
        <v>569737.1800000001</v>
      </c>
    </row>
    <row r="2260">
      <c r="A2260" t="inlineStr">
        <is>
          <t>3월</t>
        </is>
      </c>
      <c r="B2260" t="inlineStr">
        <is>
          <t>12주차</t>
        </is>
      </c>
      <c r="C2260" t="inlineStr">
        <is>
          <t>IM</t>
        </is>
      </c>
      <c r="D2260" s="28" t="n">
        <v>46098</v>
      </c>
      <c r="E2260" t="inlineStr">
        <is>
          <t>IM캐피탈</t>
        </is>
      </c>
      <c r="F2260" t="inlineStr">
        <is>
          <t>김태훈</t>
        </is>
      </c>
      <c r="G2260" t="inlineStr">
        <is>
          <t>010-9628-2340</t>
        </is>
      </c>
      <c r="H2260" t="inlineStr">
        <is>
          <t>03두6104</t>
        </is>
      </c>
      <c r="I2260" t="n">
        <v>4400000</v>
      </c>
      <c r="J2260" t="n">
        <v>0.056</v>
      </c>
      <c r="K2260" t="n">
        <v>1.1</v>
      </c>
      <c r="L2260" t="n">
        <v>0.14</v>
      </c>
      <c r="M2260" t="n">
        <v>0.96</v>
      </c>
      <c r="P2260" t="inlineStr">
        <is>
          <t>김수연</t>
        </is>
      </c>
      <c r="Q2260" t="inlineStr">
        <is>
          <t>홈서비스 24개월</t>
        </is>
      </c>
      <c r="AB2260" t="inlineStr">
        <is>
          <t>홈서비스</t>
        </is>
      </c>
      <c r="AC2260" t="n">
        <v>48400</v>
      </c>
      <c r="AD2260" t="n">
        <v>6160</v>
      </c>
      <c r="AE2260" t="n">
        <v>42240</v>
      </c>
      <c r="AF2260" t="n">
        <v>44000</v>
      </c>
      <c r="AG2260" t="n">
        <v>5956.72</v>
      </c>
      <c r="AH2260" t="n">
        <v>38043.28</v>
      </c>
    </row>
    <row r="2261">
      <c r="A2261" t="inlineStr">
        <is>
          <t>3월</t>
        </is>
      </c>
      <c r="B2261" t="inlineStr">
        <is>
          <t>12주차</t>
        </is>
      </c>
      <c r="C2261" t="inlineStr">
        <is>
          <t>EP</t>
        </is>
      </c>
      <c r="D2261" s="28" t="n">
        <v>46098</v>
      </c>
      <c r="E2261" t="inlineStr">
        <is>
          <t>현대EP_fast</t>
        </is>
      </c>
      <c r="F2261" t="inlineStr">
        <is>
          <t>백현우</t>
        </is>
      </c>
      <c r="G2261" t="inlineStr">
        <is>
          <t>010-5889-9104</t>
        </is>
      </c>
      <c r="H2261" t="inlineStr">
        <is>
          <t>344저4352</t>
        </is>
      </c>
      <c r="I2261" t="n">
        <v>10000000</v>
      </c>
      <c r="J2261" t="n">
        <v>0.119</v>
      </c>
      <c r="K2261" t="n">
        <v>1.76</v>
      </c>
      <c r="L2261" t="n">
        <v>0.14</v>
      </c>
      <c r="M2261" t="n">
        <v>1.62</v>
      </c>
      <c r="P2261" t="inlineStr">
        <is>
          <t>최형주</t>
        </is>
      </c>
      <c r="Q2261" t="inlineStr">
        <is>
          <t>홈서비스 36개월</t>
        </is>
      </c>
      <c r="AB2261" t="inlineStr">
        <is>
          <t>홈서비스</t>
        </is>
      </c>
      <c r="AC2261" t="n">
        <v>176000</v>
      </c>
      <c r="AD2261" t="n">
        <v>14000</v>
      </c>
      <c r="AE2261" t="n">
        <v>162000</v>
      </c>
      <c r="AF2261" t="n">
        <v>160000</v>
      </c>
      <c r="AG2261" t="n">
        <v>13538</v>
      </c>
      <c r="AH2261" t="n">
        <v>146462</v>
      </c>
    </row>
    <row r="2262">
      <c r="A2262" t="inlineStr">
        <is>
          <t>3월</t>
        </is>
      </c>
      <c r="B2262" t="inlineStr">
        <is>
          <t>12주차</t>
        </is>
      </c>
      <c r="C2262" t="inlineStr">
        <is>
          <t>IM</t>
        </is>
      </c>
      <c r="D2262" s="28" t="n">
        <v>46097</v>
      </c>
      <c r="E2262" t="inlineStr">
        <is>
          <t>IM캐피탈</t>
        </is>
      </c>
      <c r="F2262" t="inlineStr">
        <is>
          <t>이승찬</t>
        </is>
      </c>
      <c r="G2262" t="inlineStr">
        <is>
          <t>010-9281-9555</t>
        </is>
      </c>
      <c r="H2262" t="inlineStr">
        <is>
          <t>154주8356</t>
        </is>
      </c>
      <c r="I2262" t="n">
        <v>-15000000</v>
      </c>
      <c r="J2262" t="n">
        <v>0.08599999999999999</v>
      </c>
      <c r="K2262" t="n">
        <v>1.1</v>
      </c>
      <c r="L2262" t="n">
        <v>0.14</v>
      </c>
      <c r="M2262" t="n">
        <v>0.96</v>
      </c>
      <c r="P2262" t="inlineStr">
        <is>
          <t>정광호</t>
        </is>
      </c>
      <c r="Q2262" t="inlineStr">
        <is>
          <t>홈서비스 48개월</t>
        </is>
      </c>
      <c r="AB2262" t="inlineStr">
        <is>
          <t>홈서비스</t>
        </is>
      </c>
      <c r="AC2262" t="n">
        <v>-165000</v>
      </c>
      <c r="AD2262" t="n">
        <v>-21000</v>
      </c>
      <c r="AE2262" t="n">
        <v>-144000</v>
      </c>
      <c r="AF2262" t="n">
        <v>-150000</v>
      </c>
      <c r="AG2262" t="n">
        <v>-20307</v>
      </c>
      <c r="AH2262" t="n">
        <v>-129693</v>
      </c>
    </row>
    <row r="2263">
      <c r="A2263" t="inlineStr">
        <is>
          <t>3월</t>
        </is>
      </c>
      <c r="B2263" t="inlineStr">
        <is>
          <t>12주차</t>
        </is>
      </c>
      <c r="C2263" t="inlineStr">
        <is>
          <t>EP</t>
        </is>
      </c>
      <c r="D2263" s="28" t="n">
        <v>46098</v>
      </c>
      <c r="E2263" t="inlineStr">
        <is>
          <t>제이비EP</t>
        </is>
      </c>
      <c r="F2263" t="inlineStr">
        <is>
          <t>유진환</t>
        </is>
      </c>
      <c r="G2263" t="inlineStr">
        <is>
          <t>010-2549-6177</t>
        </is>
      </c>
      <c r="H2263" t="inlineStr">
        <is>
          <t>255서1368</t>
        </is>
      </c>
      <c r="I2263" t="n">
        <v>46500000</v>
      </c>
      <c r="J2263" t="n">
        <v>0.07199999999999999</v>
      </c>
      <c r="K2263" t="n">
        <v>1.65</v>
      </c>
      <c r="L2263" t="n">
        <v>0.4</v>
      </c>
      <c r="M2263" t="n">
        <v>1.25</v>
      </c>
      <c r="P2263" t="inlineStr">
        <is>
          <t>박소현</t>
        </is>
      </c>
      <c r="AB2263" t="inlineStr">
        <is>
          <t>엔카</t>
        </is>
      </c>
      <c r="AC2263" t="n">
        <v>767250</v>
      </c>
      <c r="AD2263" t="n">
        <v>186000</v>
      </c>
      <c r="AE2263" t="n">
        <v>581250</v>
      </c>
      <c r="AF2263" t="n">
        <v>697500</v>
      </c>
      <c r="AG2263" t="n">
        <v>179862</v>
      </c>
      <c r="AH2263" t="n">
        <v>517638</v>
      </c>
      <c r="AI2263" t="n">
        <v>0</v>
      </c>
    </row>
    <row r="2264">
      <c r="A2264" t="inlineStr">
        <is>
          <t>3월</t>
        </is>
      </c>
      <c r="B2264" t="inlineStr">
        <is>
          <t>12주차</t>
        </is>
      </c>
      <c r="C2264" t="inlineStr">
        <is>
          <t>IM</t>
        </is>
      </c>
      <c r="D2264" s="28" t="n">
        <v>46097</v>
      </c>
      <c r="E2264" t="inlineStr">
        <is>
          <t>IM캐피탈</t>
        </is>
      </c>
      <c r="F2264" t="inlineStr">
        <is>
          <t>윤지연</t>
        </is>
      </c>
      <c r="G2264" t="inlineStr">
        <is>
          <t>010-4040-0050</t>
        </is>
      </c>
      <c r="H2264" t="inlineStr">
        <is>
          <t>117주5424</t>
        </is>
      </c>
      <c r="I2264" t="n">
        <v>25000000</v>
      </c>
      <c r="J2264" t="n">
        <v>0.075</v>
      </c>
      <c r="K2264" t="n">
        <v>1.1</v>
      </c>
      <c r="L2264" t="n">
        <v>0.4</v>
      </c>
      <c r="M2264" t="n">
        <v>0.7</v>
      </c>
      <c r="P2264" t="inlineStr">
        <is>
          <t>임대경</t>
        </is>
      </c>
      <c r="AB2264" t="inlineStr">
        <is>
          <t>엔카</t>
        </is>
      </c>
      <c r="AC2264" t="n">
        <v>275000</v>
      </c>
      <c r="AD2264" t="n">
        <v>100000</v>
      </c>
      <c r="AE2264" t="n">
        <v>175000</v>
      </c>
      <c r="AF2264" t="n">
        <v>250000</v>
      </c>
      <c r="AG2264" t="n">
        <v>96700</v>
      </c>
      <c r="AH2264" t="n">
        <v>153300</v>
      </c>
      <c r="AI2264" t="n">
        <v>0</v>
      </c>
    </row>
    <row r="2265">
      <c r="A2265" t="inlineStr">
        <is>
          <t>3월</t>
        </is>
      </c>
      <c r="B2265" t="inlineStr">
        <is>
          <t>12주차</t>
        </is>
      </c>
      <c r="C2265" t="inlineStr">
        <is>
          <t>EP</t>
        </is>
      </c>
      <c r="D2265" s="28" t="n">
        <v>46098</v>
      </c>
      <c r="E2265" t="inlineStr">
        <is>
          <t>현대EP_fast</t>
        </is>
      </c>
      <c r="F2265" t="inlineStr">
        <is>
          <t>장문석</t>
        </is>
      </c>
      <c r="G2265" t="inlineStr">
        <is>
          <t>010-3041-3693</t>
        </is>
      </c>
      <c r="H2265" t="inlineStr">
        <is>
          <t>155로1101</t>
        </is>
      </c>
      <c r="I2265" t="n">
        <v>24000000</v>
      </c>
      <c r="J2265" t="n">
        <v>0.079</v>
      </c>
      <c r="K2265" t="n">
        <v>1.76</v>
      </c>
      <c r="L2265" t="n">
        <v>0.4</v>
      </c>
      <c r="M2265" t="n">
        <v>1.36</v>
      </c>
      <c r="P2265" t="inlineStr">
        <is>
          <t>장진경</t>
        </is>
      </c>
      <c r="AB2265" t="inlineStr">
        <is>
          <t>엔카</t>
        </is>
      </c>
      <c r="AC2265" t="n">
        <v>422400</v>
      </c>
      <c r="AD2265" t="n">
        <v>96000</v>
      </c>
      <c r="AE2265" t="n">
        <v>326400</v>
      </c>
      <c r="AF2265" t="n">
        <v>384000</v>
      </c>
      <c r="AG2265" t="n">
        <v>92832</v>
      </c>
      <c r="AH2265" t="n">
        <v>291168</v>
      </c>
      <c r="AI2265" t="n">
        <v>0</v>
      </c>
    </row>
    <row r="2266">
      <c r="A2266" t="inlineStr">
        <is>
          <t>3월</t>
        </is>
      </c>
      <c r="B2266" t="inlineStr">
        <is>
          <t>12주차</t>
        </is>
      </c>
      <c r="C2266" t="inlineStr">
        <is>
          <t>EP</t>
        </is>
      </c>
      <c r="D2266" s="28" t="n">
        <v>46098</v>
      </c>
      <c r="E2266" t="inlineStr">
        <is>
          <t>현대EP_fast</t>
        </is>
      </c>
      <c r="F2266" t="inlineStr">
        <is>
          <t>김호진</t>
        </is>
      </c>
      <c r="G2266" t="inlineStr">
        <is>
          <t>010-2474-5312</t>
        </is>
      </c>
      <c r="H2266" t="inlineStr">
        <is>
          <t>1117부1100</t>
        </is>
      </c>
      <c r="I2266" t="n">
        <v>7000000</v>
      </c>
      <c r="J2266" t="n">
        <v>0.092</v>
      </c>
      <c r="K2266" t="n">
        <v>1.76</v>
      </c>
      <c r="L2266" t="n">
        <v>0.14</v>
      </c>
      <c r="M2266" t="n">
        <v>1.62</v>
      </c>
      <c r="P2266" t="inlineStr">
        <is>
          <t>황채이</t>
        </is>
      </c>
      <c r="Q2266" t="inlineStr">
        <is>
          <t>홈서비스 36개월</t>
        </is>
      </c>
      <c r="AB2266" t="inlineStr">
        <is>
          <t>홈서비스</t>
        </is>
      </c>
      <c r="AC2266" t="n">
        <v>123200</v>
      </c>
      <c r="AD2266" t="n">
        <v>9800</v>
      </c>
      <c r="AE2266" t="n">
        <v>113400</v>
      </c>
      <c r="AF2266" t="n">
        <v>112000</v>
      </c>
      <c r="AG2266" t="n">
        <v>9476.6</v>
      </c>
      <c r="AH2266" t="n">
        <v>102523.4</v>
      </c>
      <c r="AI2266" t="n">
        <v>0</v>
      </c>
    </row>
    <row r="2267">
      <c r="A2267" t="inlineStr">
        <is>
          <t>3월</t>
        </is>
      </c>
      <c r="B2267" t="inlineStr">
        <is>
          <t>12주차</t>
        </is>
      </c>
      <c r="C2267" t="inlineStr">
        <is>
          <t>EP</t>
        </is>
      </c>
      <c r="D2267" s="28" t="n">
        <v>46098</v>
      </c>
      <c r="E2267" t="inlineStr">
        <is>
          <t>현대EP_fast</t>
        </is>
      </c>
      <c r="F2267" t="inlineStr">
        <is>
          <t>백강현</t>
        </is>
      </c>
      <c r="G2267" t="inlineStr">
        <is>
          <t>010-7210-1640</t>
        </is>
      </c>
      <c r="H2267" t="inlineStr">
        <is>
          <t>138다9172</t>
        </is>
      </c>
      <c r="I2267" t="n">
        <v>31900000</v>
      </c>
      <c r="J2267" t="n">
        <v>0.092</v>
      </c>
      <c r="K2267" t="n">
        <v>1.76</v>
      </c>
      <c r="L2267" t="n">
        <v>0.14</v>
      </c>
      <c r="M2267" t="n">
        <v>1.62</v>
      </c>
      <c r="P2267" t="inlineStr">
        <is>
          <t>김나윤</t>
        </is>
      </c>
      <c r="Q2267" t="inlineStr">
        <is>
          <t>홈서비스 60개월</t>
        </is>
      </c>
      <c r="AB2267" t="inlineStr">
        <is>
          <t>홈서비스</t>
        </is>
      </c>
      <c r="AC2267" t="n">
        <v>561440</v>
      </c>
      <c r="AD2267" t="n">
        <v>44660</v>
      </c>
      <c r="AE2267" t="n">
        <v>516780</v>
      </c>
      <c r="AF2267" t="n">
        <v>510400</v>
      </c>
      <c r="AG2267" t="n">
        <v>43186.22</v>
      </c>
      <c r="AH2267" t="n">
        <v>467213.78</v>
      </c>
      <c r="AI2267" t="n">
        <v>0</v>
      </c>
    </row>
    <row r="2268">
      <c r="A2268" t="inlineStr">
        <is>
          <t>3월</t>
        </is>
      </c>
      <c r="B2268" t="inlineStr">
        <is>
          <t>12주차</t>
        </is>
      </c>
      <c r="C2268" t="inlineStr">
        <is>
          <t>EP</t>
        </is>
      </c>
      <c r="D2268" s="28" t="n">
        <v>46098</v>
      </c>
      <c r="E2268" t="inlineStr">
        <is>
          <t>현대EP_fast</t>
        </is>
      </c>
      <c r="F2268" t="inlineStr">
        <is>
          <t>손영성</t>
        </is>
      </c>
      <c r="G2268" t="inlineStr">
        <is>
          <t>010-9550-3611</t>
        </is>
      </c>
      <c r="H2268" t="inlineStr">
        <is>
          <t>140구3144</t>
        </is>
      </c>
      <c r="I2268" t="n">
        <v>5900000</v>
      </c>
      <c r="J2268" t="n">
        <v>0.09</v>
      </c>
      <c r="K2268" t="n">
        <v>1.76</v>
      </c>
      <c r="L2268" t="n">
        <v>0.14</v>
      </c>
      <c r="M2268" t="n">
        <v>1.62</v>
      </c>
      <c r="P2268" t="inlineStr">
        <is>
          <t>최형주</t>
        </is>
      </c>
      <c r="Q2268" t="inlineStr">
        <is>
          <t>홈서비스 60개월</t>
        </is>
      </c>
      <c r="AB2268" t="inlineStr">
        <is>
          <t>홈서비스</t>
        </is>
      </c>
      <c r="AC2268" t="n">
        <v>103840</v>
      </c>
      <c r="AD2268" t="n">
        <v>8260</v>
      </c>
      <c r="AE2268" t="n">
        <v>95580</v>
      </c>
      <c r="AF2268" t="n">
        <v>94400</v>
      </c>
      <c r="AG2268" t="n">
        <v>7987.42</v>
      </c>
      <c r="AH2268" t="n">
        <v>86412.58</v>
      </c>
    </row>
    <row r="2269">
      <c r="A2269" t="inlineStr">
        <is>
          <t>3월</t>
        </is>
      </c>
      <c r="B2269" t="inlineStr">
        <is>
          <t>12주차</t>
        </is>
      </c>
      <c r="C2269" t="inlineStr">
        <is>
          <t>IM</t>
        </is>
      </c>
      <c r="D2269" s="28" t="n">
        <v>46098</v>
      </c>
      <c r="E2269" t="inlineStr">
        <is>
          <t>IM캐피탈</t>
        </is>
      </c>
      <c r="F2269" t="inlineStr">
        <is>
          <t>신명환</t>
        </is>
      </c>
      <c r="G2269" t="inlineStr">
        <is>
          <t>010-2996-5952</t>
        </is>
      </c>
      <c r="H2269" t="inlineStr">
        <is>
          <t>96우9098</t>
        </is>
      </c>
      <c r="I2269" t="n">
        <v>10000000</v>
      </c>
      <c r="J2269" t="n">
        <v>0.049</v>
      </c>
      <c r="K2269" t="n">
        <v>1.1</v>
      </c>
      <c r="L2269" t="n">
        <v>0.4</v>
      </c>
      <c r="M2269" t="n">
        <v>0.7</v>
      </c>
      <c r="P2269" t="inlineStr">
        <is>
          <t>임대경</t>
        </is>
      </c>
      <c r="Q2269" t="inlineStr">
        <is>
          <t>론진행/이전완료</t>
        </is>
      </c>
      <c r="AB2269" t="inlineStr">
        <is>
          <t>엔카</t>
        </is>
      </c>
      <c r="AC2269" t="n">
        <v>110000</v>
      </c>
      <c r="AD2269" t="n">
        <v>40000</v>
      </c>
      <c r="AE2269" t="n">
        <v>70000</v>
      </c>
      <c r="AF2269" t="n">
        <v>100000</v>
      </c>
      <c r="AG2269" t="n">
        <v>38680</v>
      </c>
      <c r="AH2269" t="n">
        <v>61320</v>
      </c>
      <c r="AI2269" t="n">
        <v>0</v>
      </c>
    </row>
    <row r="2270">
      <c r="A2270" t="inlineStr">
        <is>
          <t>3월</t>
        </is>
      </c>
      <c r="B2270" t="inlineStr">
        <is>
          <t>12주차</t>
        </is>
      </c>
      <c r="C2270" t="inlineStr">
        <is>
          <t>EP</t>
        </is>
      </c>
      <c r="D2270" s="28" t="n">
        <v>46098</v>
      </c>
      <c r="E2270" t="inlineStr">
        <is>
          <t>현대EP_fast</t>
        </is>
      </c>
      <c r="F2270" t="inlineStr">
        <is>
          <t>염태성</t>
        </is>
      </c>
      <c r="G2270" t="inlineStr">
        <is>
          <t>010-2190-1306</t>
        </is>
      </c>
      <c r="H2270" t="inlineStr">
        <is>
          <t>25러6173</t>
        </is>
      </c>
      <c r="I2270" t="n">
        <v>3000000</v>
      </c>
      <c r="J2270" t="n">
        <v>0.105</v>
      </c>
      <c r="K2270" t="n">
        <v>1.76</v>
      </c>
      <c r="L2270" t="n">
        <v>0.14</v>
      </c>
      <c r="M2270" t="n">
        <v>1.62</v>
      </c>
      <c r="P2270" t="inlineStr">
        <is>
          <t>김수연</t>
        </is>
      </c>
      <c r="Q2270" t="inlineStr">
        <is>
          <t>홈서비스 48개월</t>
        </is>
      </c>
      <c r="AB2270" t="inlineStr">
        <is>
          <t>홈서비스</t>
        </is>
      </c>
      <c r="AC2270" t="n">
        <v>52800</v>
      </c>
      <c r="AD2270" t="n">
        <v>4200</v>
      </c>
      <c r="AE2270" t="n">
        <v>48600</v>
      </c>
      <c r="AF2270" t="n">
        <v>48000</v>
      </c>
      <c r="AG2270" t="n">
        <v>4061.4</v>
      </c>
      <c r="AH2270" t="n">
        <v>43938.6</v>
      </c>
      <c r="AI2270" t="n">
        <v>0</v>
      </c>
    </row>
    <row r="2271">
      <c r="A2271" t="inlineStr">
        <is>
          <t>3월</t>
        </is>
      </c>
      <c r="B2271" t="inlineStr">
        <is>
          <t>12주차</t>
        </is>
      </c>
      <c r="C2271" t="inlineStr">
        <is>
          <t>EP</t>
        </is>
      </c>
      <c r="D2271" s="28" t="n">
        <v>46098</v>
      </c>
      <c r="E2271" t="inlineStr">
        <is>
          <t>현대EP_fast</t>
        </is>
      </c>
      <c r="F2271" t="inlineStr">
        <is>
          <t>백동현</t>
        </is>
      </c>
      <c r="G2271" t="inlineStr">
        <is>
          <t>010-9996-1930</t>
        </is>
      </c>
      <c r="H2271" t="inlineStr">
        <is>
          <t>220조4081</t>
        </is>
      </c>
      <c r="I2271" t="n">
        <v>52000000</v>
      </c>
      <c r="J2271" t="n">
        <v>0.08500000000000001</v>
      </c>
      <c r="K2271" t="n">
        <v>1.76</v>
      </c>
      <c r="L2271" t="n">
        <v>0.14</v>
      </c>
      <c r="M2271" t="n">
        <v>1.62</v>
      </c>
      <c r="P2271" t="inlineStr">
        <is>
          <t>최형주</t>
        </is>
      </c>
      <c r="Q2271" t="inlineStr">
        <is>
          <t>홈서비스 60개월</t>
        </is>
      </c>
      <c r="AB2271" t="inlineStr">
        <is>
          <t>홈서비스</t>
        </is>
      </c>
      <c r="AC2271" t="n">
        <v>915200</v>
      </c>
      <c r="AD2271" t="n">
        <v>72800</v>
      </c>
      <c r="AE2271" t="n">
        <v>842400</v>
      </c>
      <c r="AF2271" t="n">
        <v>832000</v>
      </c>
      <c r="AG2271" t="n">
        <v>70397.60000000001</v>
      </c>
      <c r="AH2271" t="n">
        <v>761602.4</v>
      </c>
      <c r="AI2271" t="n">
        <v>0</v>
      </c>
    </row>
    <row r="2272">
      <c r="A2272" t="inlineStr">
        <is>
          <t>3월</t>
        </is>
      </c>
      <c r="B2272" t="inlineStr">
        <is>
          <t>12주차</t>
        </is>
      </c>
      <c r="C2272" t="inlineStr">
        <is>
          <t>EP</t>
        </is>
      </c>
      <c r="D2272" s="28" t="n">
        <v>46097</v>
      </c>
      <c r="E2272" t="inlineStr">
        <is>
          <t>현대EP_fast</t>
        </is>
      </c>
      <c r="F2272" t="inlineStr">
        <is>
          <t>유승수</t>
        </is>
      </c>
      <c r="G2272" t="inlineStr">
        <is>
          <t>010-5777-2750</t>
        </is>
      </c>
      <c r="H2272" t="inlineStr">
        <is>
          <t>292어7116</t>
        </is>
      </c>
      <c r="I2272" t="n">
        <v>-20000000</v>
      </c>
      <c r="J2272" t="n">
        <v>0.07199999999999999</v>
      </c>
      <c r="K2272" t="n">
        <v>1.76</v>
      </c>
      <c r="L2272" t="n">
        <v>0.14</v>
      </c>
      <c r="M2272" t="n">
        <v>1.62</v>
      </c>
      <c r="P2272" t="inlineStr">
        <is>
          <t>정광호</t>
        </is>
      </c>
      <c r="Q2272" t="inlineStr">
        <is>
          <t>홈서비스 24개월</t>
        </is>
      </c>
      <c r="AB2272" t="inlineStr">
        <is>
          <t>홈서비스</t>
        </is>
      </c>
      <c r="AC2272" t="n">
        <v>-352000</v>
      </c>
      <c r="AD2272" t="n">
        <v>-28000</v>
      </c>
      <c r="AE2272" t="n">
        <v>-324000</v>
      </c>
      <c r="AF2272" t="n">
        <v>-320000</v>
      </c>
      <c r="AG2272" t="n">
        <v>-27076</v>
      </c>
      <c r="AH2272" t="n">
        <v>-292924</v>
      </c>
      <c r="AI2272" t="n">
        <v>0</v>
      </c>
    </row>
    <row r="2273">
      <c r="A2273" t="inlineStr">
        <is>
          <t>3월</t>
        </is>
      </c>
      <c r="B2273" t="inlineStr">
        <is>
          <t>12주차</t>
        </is>
      </c>
      <c r="C2273" t="inlineStr">
        <is>
          <t>EP</t>
        </is>
      </c>
      <c r="D2273" s="28" t="n">
        <v>46098</v>
      </c>
      <c r="E2273" t="inlineStr">
        <is>
          <t>현대EP_fast</t>
        </is>
      </c>
      <c r="F2273" t="inlineStr">
        <is>
          <t>최동열</t>
        </is>
      </c>
      <c r="G2273" t="inlineStr">
        <is>
          <t>010-7602-4353</t>
        </is>
      </c>
      <c r="H2273" t="inlineStr">
        <is>
          <t>66구4330</t>
        </is>
      </c>
      <c r="I2273" t="n">
        <v>24800000</v>
      </c>
      <c r="J2273" t="n">
        <v>0.075</v>
      </c>
      <c r="K2273" t="n">
        <v>1.76</v>
      </c>
      <c r="L2273" t="n">
        <v>0.14</v>
      </c>
      <c r="M2273" t="n">
        <v>1.62</v>
      </c>
      <c r="P2273" t="inlineStr">
        <is>
          <t>황채이</t>
        </is>
      </c>
      <c r="Q2273" t="inlineStr">
        <is>
          <t>홈서비스 48개월</t>
        </is>
      </c>
      <c r="AB2273" t="inlineStr">
        <is>
          <t>홈서비스</t>
        </is>
      </c>
      <c r="AC2273" t="n">
        <v>436480</v>
      </c>
      <c r="AD2273" t="n">
        <v>34720</v>
      </c>
      <c r="AE2273" t="n">
        <v>401760</v>
      </c>
      <c r="AF2273" t="n">
        <v>396800</v>
      </c>
      <c r="AG2273" t="n">
        <v>33574.24</v>
      </c>
      <c r="AH2273" t="n">
        <v>363225.76</v>
      </c>
      <c r="AI2273" t="n">
        <v>0</v>
      </c>
    </row>
    <row r="2274">
      <c r="A2274" t="inlineStr">
        <is>
          <t>3월</t>
        </is>
      </c>
      <c r="B2274" t="inlineStr">
        <is>
          <t>12주차</t>
        </is>
      </c>
      <c r="C2274" t="inlineStr">
        <is>
          <t>EP</t>
        </is>
      </c>
      <c r="D2274" s="28" t="n">
        <v>46098</v>
      </c>
      <c r="E2274" t="inlineStr">
        <is>
          <t>제이비EP</t>
        </is>
      </c>
      <c r="F2274" t="inlineStr">
        <is>
          <t>백광석</t>
        </is>
      </c>
      <c r="G2274" t="inlineStr">
        <is>
          <t>010-4527-9611</t>
        </is>
      </c>
      <c r="H2274" t="inlineStr">
        <is>
          <t>131수9864</t>
        </is>
      </c>
      <c r="I2274" t="n">
        <v>22900000</v>
      </c>
      <c r="J2274" t="n">
        <v>0.08500000000000001</v>
      </c>
      <c r="K2274" t="n">
        <v>1.65</v>
      </c>
      <c r="L2274" t="n">
        <v>0.4</v>
      </c>
      <c r="M2274" t="n">
        <v>1.25</v>
      </c>
      <c r="P2274" t="inlineStr">
        <is>
          <t>최혁</t>
        </is>
      </c>
      <c r="Q2274" t="inlineStr">
        <is>
          <t>부대비용추가진행</t>
        </is>
      </c>
      <c r="AB2274" t="inlineStr">
        <is>
          <t>엔카</t>
        </is>
      </c>
      <c r="AC2274" t="n">
        <v>377850</v>
      </c>
      <c r="AD2274" t="n">
        <v>91600</v>
      </c>
      <c r="AE2274" t="n">
        <v>286250</v>
      </c>
      <c r="AF2274" t="n">
        <v>343500</v>
      </c>
      <c r="AG2274" t="n">
        <v>88577.2</v>
      </c>
      <c r="AH2274" t="n">
        <v>254922.8</v>
      </c>
      <c r="AI2274" t="n">
        <v>0</v>
      </c>
    </row>
    <row r="2275">
      <c r="A2275" t="inlineStr">
        <is>
          <t>3월</t>
        </is>
      </c>
      <c r="B2275" t="inlineStr">
        <is>
          <t>12주차</t>
        </is>
      </c>
      <c r="C2275" t="inlineStr">
        <is>
          <t>IM</t>
        </is>
      </c>
      <c r="D2275" s="28" t="n">
        <v>46098</v>
      </c>
      <c r="E2275" t="inlineStr">
        <is>
          <t>IM캐피탈</t>
        </is>
      </c>
      <c r="F2275" t="inlineStr">
        <is>
          <t>원용해</t>
        </is>
      </c>
      <c r="G2275" t="inlineStr">
        <is>
          <t>010-9137-1596</t>
        </is>
      </c>
      <c r="H2275" t="inlineStr">
        <is>
          <t>221어2856</t>
        </is>
      </c>
      <c r="I2275" t="n">
        <v>39200000</v>
      </c>
      <c r="J2275" t="n">
        <v>0.049</v>
      </c>
      <c r="K2275" t="n">
        <v>1.1</v>
      </c>
      <c r="L2275" t="n">
        <v>0.14</v>
      </c>
      <c r="M2275" t="n">
        <v>0.96</v>
      </c>
      <c r="P2275" t="inlineStr">
        <is>
          <t>정광호</t>
        </is>
      </c>
      <c r="Q2275" t="inlineStr">
        <is>
          <t>홈서비스 36개월</t>
        </is>
      </c>
      <c r="AB2275" t="inlineStr">
        <is>
          <t>홈서비스</t>
        </is>
      </c>
      <c r="AC2275" t="n">
        <v>431200</v>
      </c>
      <c r="AD2275" t="n">
        <v>54880</v>
      </c>
      <c r="AE2275" t="n">
        <v>376320</v>
      </c>
      <c r="AF2275" t="n">
        <v>392000</v>
      </c>
      <c r="AG2275" t="n">
        <v>53068.96</v>
      </c>
      <c r="AH2275" t="n">
        <v>338931.04</v>
      </c>
      <c r="AI2275" t="n">
        <v>0</v>
      </c>
    </row>
    <row r="2276">
      <c r="A2276" t="inlineStr">
        <is>
          <t>3월</t>
        </is>
      </c>
      <c r="B2276" t="inlineStr">
        <is>
          <t>12주차</t>
        </is>
      </c>
      <c r="C2276" t="inlineStr">
        <is>
          <t>OR</t>
        </is>
      </c>
      <c r="D2276" s="28" t="n">
        <v>46098</v>
      </c>
      <c r="E2276" t="inlineStr">
        <is>
          <t>오릭스</t>
        </is>
      </c>
      <c r="F2276" t="inlineStr">
        <is>
          <t>임종혁</t>
        </is>
      </c>
      <c r="G2276" t="inlineStr">
        <is>
          <t>010-4585-1069</t>
        </is>
      </c>
      <c r="H2276" t="inlineStr">
        <is>
          <t>172주6898</t>
        </is>
      </c>
      <c r="I2276" t="n">
        <v>20000000</v>
      </c>
      <c r="J2276" t="n">
        <v>0.059</v>
      </c>
      <c r="K2276" t="n">
        <v>1.65</v>
      </c>
      <c r="L2276" t="n">
        <v>0.14</v>
      </c>
      <c r="M2276" t="n">
        <v>1.51</v>
      </c>
      <c r="P2276" t="inlineStr">
        <is>
          <t>최형주</t>
        </is>
      </c>
      <c r="Q2276" t="inlineStr">
        <is>
          <t>홈서비스 60개월</t>
        </is>
      </c>
      <c r="AB2276" t="inlineStr">
        <is>
          <t>홈서비스</t>
        </is>
      </c>
      <c r="AC2276" t="n">
        <v>330000</v>
      </c>
      <c r="AD2276" t="n">
        <v>28000</v>
      </c>
      <c r="AE2276" t="n">
        <v>302000</v>
      </c>
      <c r="AF2276" t="n">
        <v>300000</v>
      </c>
      <c r="AG2276" t="n">
        <v>27076</v>
      </c>
      <c r="AH2276" t="n">
        <v>272924</v>
      </c>
      <c r="AI2276" t="n">
        <v>0</v>
      </c>
    </row>
    <row r="2277">
      <c r="A2277" t="inlineStr">
        <is>
          <t>3월</t>
        </is>
      </c>
      <c r="B2277" t="inlineStr">
        <is>
          <t>12주차</t>
        </is>
      </c>
      <c r="C2277" t="inlineStr">
        <is>
          <t>IM</t>
        </is>
      </c>
      <c r="D2277" s="28" t="n">
        <v>46098</v>
      </c>
      <c r="E2277" t="inlineStr">
        <is>
          <t>IM캐피탈</t>
        </is>
      </c>
      <c r="F2277" t="inlineStr">
        <is>
          <t>김기홍</t>
        </is>
      </c>
      <c r="G2277" t="inlineStr">
        <is>
          <t>010-3375-0958</t>
        </is>
      </c>
      <c r="H2277" t="inlineStr">
        <is>
          <t>395구8641</t>
        </is>
      </c>
      <c r="I2277" t="n">
        <v>45000000</v>
      </c>
      <c r="J2277" t="n">
        <v>0.049</v>
      </c>
      <c r="K2277" t="n">
        <v>1.1</v>
      </c>
      <c r="L2277" t="n">
        <v>0.4</v>
      </c>
      <c r="M2277" t="n">
        <v>0.7</v>
      </c>
      <c r="P2277" t="inlineStr">
        <is>
          <t>임대경</t>
        </is>
      </c>
      <c r="AB2277" t="inlineStr">
        <is>
          <t>엔카</t>
        </is>
      </c>
      <c r="AC2277" t="n">
        <v>495000</v>
      </c>
      <c r="AD2277" t="n">
        <v>180000</v>
      </c>
      <c r="AE2277" t="n">
        <v>315000</v>
      </c>
      <c r="AF2277" t="n">
        <v>450000</v>
      </c>
      <c r="AG2277" t="n">
        <v>174060</v>
      </c>
      <c r="AH2277" t="n">
        <v>275940</v>
      </c>
      <c r="AI2277" t="n">
        <v>0</v>
      </c>
    </row>
    <row r="2278">
      <c r="A2278" t="inlineStr">
        <is>
          <t>3월</t>
        </is>
      </c>
      <c r="B2278" t="inlineStr">
        <is>
          <t>12주차</t>
        </is>
      </c>
      <c r="C2278" t="inlineStr">
        <is>
          <t>EP</t>
        </is>
      </c>
      <c r="D2278" s="28" t="n">
        <v>46098</v>
      </c>
      <c r="E2278" t="inlineStr">
        <is>
          <t>현대EP_fast</t>
        </is>
      </c>
      <c r="F2278" t="inlineStr">
        <is>
          <t>김진호</t>
        </is>
      </c>
      <c r="G2278" t="inlineStr">
        <is>
          <t>010-2925-9820</t>
        </is>
      </c>
      <c r="H2278" t="inlineStr">
        <is>
          <t>27라1947</t>
        </is>
      </c>
      <c r="I2278" t="n">
        <v>3900000</v>
      </c>
      <c r="J2278" t="n">
        <v>0.076</v>
      </c>
      <c r="K2278" t="n">
        <v>1.76</v>
      </c>
      <c r="L2278" t="n">
        <v>0.14</v>
      </c>
      <c r="M2278" t="n">
        <v>1.62</v>
      </c>
      <c r="P2278" t="inlineStr">
        <is>
          <t>김수연</t>
        </is>
      </c>
      <c r="Q2278" t="inlineStr">
        <is>
          <t>홈서비스 24개월</t>
        </is>
      </c>
      <c r="AB2278" t="inlineStr">
        <is>
          <t>홈서비스</t>
        </is>
      </c>
      <c r="AC2278" t="n">
        <v>68640</v>
      </c>
      <c r="AD2278" t="n">
        <v>5460</v>
      </c>
      <c r="AE2278" t="n">
        <v>63180</v>
      </c>
      <c r="AF2278" t="n">
        <v>62400</v>
      </c>
      <c r="AG2278" t="n">
        <v>5279.82</v>
      </c>
      <c r="AH2278" t="n">
        <v>57120.18</v>
      </c>
    </row>
    <row r="2279">
      <c r="A2279" t="inlineStr">
        <is>
          <t>3월</t>
        </is>
      </c>
      <c r="B2279" t="inlineStr">
        <is>
          <t>12주차</t>
        </is>
      </c>
      <c r="C2279" t="inlineStr">
        <is>
          <t>IM</t>
        </is>
      </c>
      <c r="D2279" s="28" t="n">
        <v>46098</v>
      </c>
      <c r="E2279" t="inlineStr">
        <is>
          <t>IM캐피탈</t>
        </is>
      </c>
      <c r="F2279" t="inlineStr">
        <is>
          <t>안우현</t>
        </is>
      </c>
      <c r="G2279" t="inlineStr">
        <is>
          <t>010-6357-8628</t>
        </is>
      </c>
      <c r="H2279" t="inlineStr">
        <is>
          <t>266루4121</t>
        </is>
      </c>
      <c r="I2279" t="n">
        <v>18200000</v>
      </c>
      <c r="J2279" t="n">
        <v>0.049</v>
      </c>
      <c r="K2279" t="n">
        <v>1.1</v>
      </c>
      <c r="L2279" t="n">
        <v>0.14</v>
      </c>
      <c r="M2279" t="n">
        <v>0.96</v>
      </c>
      <c r="P2279" t="inlineStr">
        <is>
          <t>최형주</t>
        </is>
      </c>
      <c r="Q2279" t="inlineStr">
        <is>
          <t>홈서비스 60개월</t>
        </is>
      </c>
      <c r="AB2279" t="inlineStr">
        <is>
          <t>홈서비스</t>
        </is>
      </c>
      <c r="AC2279" t="n">
        <v>200200</v>
      </c>
      <c r="AD2279" t="n">
        <v>25480</v>
      </c>
      <c r="AE2279" t="n">
        <v>174720</v>
      </c>
      <c r="AF2279" t="n">
        <v>182000</v>
      </c>
      <c r="AG2279" t="n">
        <v>24639.16</v>
      </c>
      <c r="AH2279" t="n">
        <v>157360.84</v>
      </c>
      <c r="AI2279" t="n">
        <v>0</v>
      </c>
    </row>
    <row r="2280">
      <c r="A2280" t="inlineStr">
        <is>
          <t>3월</t>
        </is>
      </c>
      <c r="B2280" t="inlineStr">
        <is>
          <t>12주차</t>
        </is>
      </c>
      <c r="C2280" t="inlineStr">
        <is>
          <t>IM</t>
        </is>
      </c>
      <c r="D2280" s="28" t="n">
        <v>46098</v>
      </c>
      <c r="E2280" t="inlineStr">
        <is>
          <t>IM캐피탈</t>
        </is>
      </c>
      <c r="F2280" t="inlineStr">
        <is>
          <t>최용규</t>
        </is>
      </c>
      <c r="G2280" t="inlineStr">
        <is>
          <t>010-5036-9409</t>
        </is>
      </c>
      <c r="H2280" t="inlineStr">
        <is>
          <t>168조6181</t>
        </is>
      </c>
      <c r="I2280" t="n">
        <v>25900000</v>
      </c>
      <c r="J2280" t="n">
        <v>0.066</v>
      </c>
      <c r="K2280" t="n">
        <v>1.1</v>
      </c>
      <c r="L2280" t="n">
        <v>0.14</v>
      </c>
      <c r="M2280" t="n">
        <v>0.96</v>
      </c>
      <c r="P2280" t="inlineStr">
        <is>
          <t>정광호</t>
        </is>
      </c>
      <c r="Q2280" t="inlineStr">
        <is>
          <t>홈서비스 24개월</t>
        </is>
      </c>
      <c r="AB2280" t="inlineStr">
        <is>
          <t>홈서비스</t>
        </is>
      </c>
      <c r="AC2280" t="n">
        <v>284900</v>
      </c>
      <c r="AD2280" t="n">
        <v>36260</v>
      </c>
      <c r="AE2280" t="n">
        <v>248640</v>
      </c>
      <c r="AF2280" t="n">
        <v>259000</v>
      </c>
      <c r="AG2280" t="n">
        <v>35063.42</v>
      </c>
      <c r="AH2280" t="n">
        <v>223936.58</v>
      </c>
      <c r="AI2280" t="n">
        <v>0</v>
      </c>
    </row>
    <row r="2281">
      <c r="A2281" t="inlineStr">
        <is>
          <t>3월</t>
        </is>
      </c>
      <c r="B2281" t="inlineStr">
        <is>
          <t>12주차</t>
        </is>
      </c>
      <c r="C2281" t="inlineStr">
        <is>
          <t>IM</t>
        </is>
      </c>
      <c r="D2281" s="28" t="n">
        <v>46098</v>
      </c>
      <c r="E2281" t="inlineStr">
        <is>
          <t>IM캐피탈</t>
        </is>
      </c>
      <c r="F2281" t="inlineStr">
        <is>
          <t>최인범</t>
        </is>
      </c>
      <c r="G2281" t="inlineStr">
        <is>
          <t>010-4258-4244</t>
        </is>
      </c>
      <c r="H2281" t="inlineStr">
        <is>
          <t>53나6865</t>
        </is>
      </c>
      <c r="I2281" t="n">
        <v>8000000</v>
      </c>
      <c r="J2281" t="n">
        <v>0.089</v>
      </c>
      <c r="K2281" t="n">
        <v>1.1</v>
      </c>
      <c r="L2281" t="n">
        <v>0.14</v>
      </c>
      <c r="M2281" t="n">
        <v>0.96</v>
      </c>
      <c r="P2281" t="inlineStr">
        <is>
          <t>임대경</t>
        </is>
      </c>
      <c r="Q2281" t="inlineStr">
        <is>
          <t>홈서비스 72개월</t>
        </is>
      </c>
      <c r="AB2281" t="inlineStr">
        <is>
          <t>홈서비스</t>
        </is>
      </c>
      <c r="AC2281" t="n">
        <v>88000</v>
      </c>
      <c r="AD2281" t="n">
        <v>11200</v>
      </c>
      <c r="AE2281" t="n">
        <v>76800</v>
      </c>
      <c r="AF2281" t="n">
        <v>80000</v>
      </c>
      <c r="AG2281" t="n">
        <v>10830.4</v>
      </c>
      <c r="AH2281" t="n">
        <v>69169.60000000001</v>
      </c>
      <c r="AI2281" t="n">
        <v>0</v>
      </c>
    </row>
    <row r="2282">
      <c r="A2282" t="inlineStr">
        <is>
          <t>3월</t>
        </is>
      </c>
      <c r="B2282" t="inlineStr">
        <is>
          <t>12주차</t>
        </is>
      </c>
      <c r="C2282" t="inlineStr">
        <is>
          <t>WC</t>
        </is>
      </c>
      <c r="D2282" s="28" t="n">
        <v>46098</v>
      </c>
      <c r="E2282" t="inlineStr">
        <is>
          <t>웰컴저축은행</t>
        </is>
      </c>
      <c r="F2282" t="inlineStr">
        <is>
          <t>이재혁</t>
        </is>
      </c>
      <c r="G2282" t="inlineStr">
        <is>
          <t>010-8877-2498</t>
        </is>
      </c>
      <c r="H2282" t="inlineStr">
        <is>
          <t>21라1583</t>
        </is>
      </c>
      <c r="I2282" t="n">
        <v>17000000</v>
      </c>
      <c r="J2282" t="n">
        <v>0.139</v>
      </c>
      <c r="K2282" t="n">
        <v>0</v>
      </c>
      <c r="L2282" t="n">
        <v>0.14</v>
      </c>
      <c r="M2282" t="n">
        <v>-0.14</v>
      </c>
      <c r="P2282" t="inlineStr">
        <is>
          <t>김수연</t>
        </is>
      </c>
      <c r="Q2282" t="inlineStr">
        <is>
          <t>홈서비스 48개월</t>
        </is>
      </c>
      <c r="AB2282" t="inlineStr">
        <is>
          <t>홈서비스</t>
        </is>
      </c>
      <c r="AC2282" t="n">
        <v>0</v>
      </c>
      <c r="AD2282" t="n">
        <v>23800</v>
      </c>
      <c r="AE2282" t="n">
        <v>-23800</v>
      </c>
      <c r="AF2282" t="n">
        <v>0</v>
      </c>
      <c r="AG2282" t="n">
        <v>23014.6</v>
      </c>
      <c r="AH2282" t="n">
        <v>-23014.6</v>
      </c>
      <c r="AI2282" t="n">
        <v>0</v>
      </c>
    </row>
    <row r="2283">
      <c r="A2283" t="inlineStr">
        <is>
          <t>3월</t>
        </is>
      </c>
      <c r="B2283" t="inlineStr">
        <is>
          <t>12주차</t>
        </is>
      </c>
      <c r="C2283" t="inlineStr">
        <is>
          <t>EP</t>
        </is>
      </c>
      <c r="D2283" s="28" t="n">
        <v>46097</v>
      </c>
      <c r="E2283" t="inlineStr">
        <is>
          <t>BNKEP</t>
        </is>
      </c>
      <c r="F2283" t="inlineStr">
        <is>
          <t>이승목</t>
        </is>
      </c>
      <c r="G2283" t="inlineStr">
        <is>
          <t>010-3243-3234</t>
        </is>
      </c>
      <c r="H2283" t="inlineStr">
        <is>
          <t>323수6923</t>
        </is>
      </c>
      <c r="I2283" t="n">
        <v>-39500000</v>
      </c>
      <c r="J2283" t="n">
        <v>0.07199999999999999</v>
      </c>
      <c r="K2283" t="n">
        <v>1.65</v>
      </c>
      <c r="L2283" t="n">
        <v>0.14</v>
      </c>
      <c r="M2283" t="n">
        <v>1.51</v>
      </c>
      <c r="P2283" t="inlineStr">
        <is>
          <t>정세빈</t>
        </is>
      </c>
      <c r="Q2283" t="inlineStr">
        <is>
          <t>홈서비스 60개월</t>
        </is>
      </c>
      <c r="AB2283" t="inlineStr">
        <is>
          <t>홈서비스</t>
        </is>
      </c>
      <c r="AC2283" t="n">
        <v>-651750</v>
      </c>
      <c r="AD2283" t="n">
        <v>-55300</v>
      </c>
      <c r="AE2283" t="n">
        <v>-596450</v>
      </c>
      <c r="AF2283" t="n">
        <v>-592500</v>
      </c>
      <c r="AG2283" t="n">
        <v>-53475.1</v>
      </c>
      <c r="AH2283" t="n">
        <v>-539024.9</v>
      </c>
      <c r="AI2283" t="n">
        <v>0</v>
      </c>
    </row>
    <row r="2284">
      <c r="A2284" t="inlineStr">
        <is>
          <t>3월</t>
        </is>
      </c>
      <c r="B2284" t="inlineStr">
        <is>
          <t>12주차</t>
        </is>
      </c>
      <c r="C2284" t="inlineStr">
        <is>
          <t>EP</t>
        </is>
      </c>
      <c r="D2284" s="28" t="n">
        <v>46098</v>
      </c>
      <c r="E2284" t="inlineStr">
        <is>
          <t>현대EP</t>
        </is>
      </c>
      <c r="F2284" t="inlineStr">
        <is>
          <t>박세준</t>
        </is>
      </c>
      <c r="G2284" t="inlineStr">
        <is>
          <t>010-5657-4523</t>
        </is>
      </c>
      <c r="H2284" t="inlineStr">
        <is>
          <t>295다3286</t>
        </is>
      </c>
      <c r="I2284" t="n">
        <v>23500000</v>
      </c>
      <c r="J2284" t="n">
        <v>0.118</v>
      </c>
      <c r="K2284" t="n">
        <v>1.76</v>
      </c>
      <c r="L2284" t="n">
        <v>0.14</v>
      </c>
      <c r="M2284" t="n">
        <v>1.62</v>
      </c>
      <c r="P2284" t="inlineStr">
        <is>
          <t>최형주</t>
        </is>
      </c>
      <c r="Q2284" t="inlineStr">
        <is>
          <t>홈서비스 60개월</t>
        </is>
      </c>
      <c r="AB2284" t="inlineStr">
        <is>
          <t>홈서비스</t>
        </is>
      </c>
      <c r="AC2284" t="n">
        <v>413600</v>
      </c>
      <c r="AD2284" t="n">
        <v>32900</v>
      </c>
      <c r="AE2284" t="n">
        <v>380700</v>
      </c>
      <c r="AF2284" t="n">
        <v>376000</v>
      </c>
      <c r="AG2284" t="n">
        <v>31814.3</v>
      </c>
      <c r="AH2284" t="n">
        <v>344185.7</v>
      </c>
      <c r="AI2284" t="n">
        <v>0</v>
      </c>
    </row>
    <row r="2285">
      <c r="A2285" t="inlineStr">
        <is>
          <t>3월</t>
        </is>
      </c>
      <c r="B2285" t="inlineStr">
        <is>
          <t>12주차</t>
        </is>
      </c>
      <c r="C2285" t="inlineStr">
        <is>
          <t>OR</t>
        </is>
      </c>
      <c r="D2285" s="28" t="n">
        <v>46098</v>
      </c>
      <c r="E2285" t="inlineStr">
        <is>
          <t>오릭스</t>
        </is>
      </c>
      <c r="F2285" t="inlineStr">
        <is>
          <t>오지우</t>
        </is>
      </c>
      <c r="G2285" t="inlineStr">
        <is>
          <t>010-6619-4709</t>
        </is>
      </c>
      <c r="H2285" t="inlineStr">
        <is>
          <t>45나4312</t>
        </is>
      </c>
      <c r="I2285" t="n">
        <v>18500000</v>
      </c>
      <c r="J2285" t="n">
        <v>0.055</v>
      </c>
      <c r="K2285" t="n">
        <v>1.65</v>
      </c>
      <c r="L2285" t="n">
        <v>0.5</v>
      </c>
      <c r="M2285" t="n">
        <v>1.15</v>
      </c>
      <c r="P2285" t="inlineStr">
        <is>
          <t>정하은</t>
        </is>
      </c>
      <c r="Q2285" t="inlineStr">
        <is>
          <t>부대비용추가진행</t>
        </is>
      </c>
      <c r="AB2285" t="inlineStr">
        <is>
          <t>엔카</t>
        </is>
      </c>
      <c r="AC2285" t="n">
        <v>305250</v>
      </c>
      <c r="AD2285" t="n">
        <v>92500</v>
      </c>
      <c r="AE2285" t="n">
        <v>212750</v>
      </c>
      <c r="AF2285" t="n">
        <v>277500</v>
      </c>
      <c r="AG2285" t="n">
        <v>89447.5</v>
      </c>
      <c r="AH2285" t="n">
        <v>188052.5</v>
      </c>
      <c r="AI2285" t="n">
        <v>0</v>
      </c>
    </row>
    <row r="2286">
      <c r="A2286" t="inlineStr">
        <is>
          <t>3월</t>
        </is>
      </c>
      <c r="B2286" t="inlineStr">
        <is>
          <t>12주차</t>
        </is>
      </c>
      <c r="C2286" t="inlineStr">
        <is>
          <t>EP</t>
        </is>
      </c>
      <c r="D2286" s="28" t="n">
        <v>46098</v>
      </c>
      <c r="E2286" t="inlineStr">
        <is>
          <t>현대EP_fast</t>
        </is>
      </c>
      <c r="F2286" t="inlineStr">
        <is>
          <t>임창훈</t>
        </is>
      </c>
      <c r="G2286" t="inlineStr">
        <is>
          <t>010-3264-4544</t>
        </is>
      </c>
      <c r="H2286" t="inlineStr">
        <is>
          <t>195마5802</t>
        </is>
      </c>
      <c r="I2286" t="n">
        <v>33000000</v>
      </c>
      <c r="J2286" t="n">
        <v>0.118</v>
      </c>
      <c r="K2286" t="n">
        <v>1.76</v>
      </c>
      <c r="L2286" t="n">
        <v>0.4</v>
      </c>
      <c r="M2286" t="n">
        <v>1.36</v>
      </c>
      <c r="P2286" t="inlineStr">
        <is>
          <t>장현경</t>
        </is>
      </c>
      <c r="AB2286" t="inlineStr">
        <is>
          <t>엔카</t>
        </is>
      </c>
      <c r="AC2286" t="n">
        <v>580800</v>
      </c>
      <c r="AD2286" t="n">
        <v>132000</v>
      </c>
      <c r="AE2286" t="n">
        <v>448800</v>
      </c>
      <c r="AF2286" t="n">
        <v>528000</v>
      </c>
      <c r="AG2286" t="n">
        <v>127644</v>
      </c>
      <c r="AH2286" t="n">
        <v>400356</v>
      </c>
      <c r="AI2286" t="n">
        <v>0</v>
      </c>
    </row>
    <row r="2287">
      <c r="A2287" t="inlineStr">
        <is>
          <t>3월</t>
        </is>
      </c>
      <c r="B2287" t="inlineStr">
        <is>
          <t>12주차</t>
        </is>
      </c>
      <c r="C2287" t="inlineStr">
        <is>
          <t>IM</t>
        </is>
      </c>
      <c r="D2287" s="28" t="n">
        <v>46098</v>
      </c>
      <c r="E2287" t="inlineStr">
        <is>
          <t>IM캐피탈</t>
        </is>
      </c>
      <c r="F2287" t="inlineStr">
        <is>
          <t>최연서</t>
        </is>
      </c>
      <c r="G2287" t="inlineStr">
        <is>
          <t>010-8033-4348</t>
        </is>
      </c>
      <c r="H2287" t="inlineStr">
        <is>
          <t>18로6007</t>
        </is>
      </c>
      <c r="I2287" t="n">
        <v>3000000</v>
      </c>
      <c r="J2287" t="n">
        <v>0.059</v>
      </c>
      <c r="K2287" t="n">
        <v>1.1</v>
      </c>
      <c r="L2287" t="n">
        <v>0.14</v>
      </c>
      <c r="M2287" t="n">
        <v>0.96</v>
      </c>
      <c r="P2287" t="inlineStr">
        <is>
          <t>김나윤</t>
        </is>
      </c>
      <c r="Q2287" t="inlineStr">
        <is>
          <t>누락 건 기재</t>
        </is>
      </c>
      <c r="AB2287" t="inlineStr">
        <is>
          <t>홈서비스</t>
        </is>
      </c>
      <c r="AC2287" t="n">
        <v>33000</v>
      </c>
      <c r="AD2287" t="n">
        <v>4200</v>
      </c>
      <c r="AE2287" t="n">
        <v>28800</v>
      </c>
      <c r="AF2287" t="n">
        <v>30000</v>
      </c>
      <c r="AG2287" t="n">
        <v>4061.4</v>
      </c>
      <c r="AH2287" t="n">
        <v>25938.6</v>
      </c>
      <c r="AI2287" t="n">
        <v>0</v>
      </c>
    </row>
    <row r="2288">
      <c r="A2288" t="inlineStr">
        <is>
          <t>3월</t>
        </is>
      </c>
      <c r="B2288" t="inlineStr">
        <is>
          <t>12주차</t>
        </is>
      </c>
      <c r="C2288" t="inlineStr">
        <is>
          <t>EP</t>
        </is>
      </c>
      <c r="D2288" s="28" t="n">
        <v>46098</v>
      </c>
      <c r="E2288" t="inlineStr">
        <is>
          <t>현대EP</t>
        </is>
      </c>
      <c r="F2288" t="inlineStr">
        <is>
          <t>서병수</t>
        </is>
      </c>
      <c r="G2288" t="inlineStr">
        <is>
          <t>010-4578-6538</t>
        </is>
      </c>
      <c r="H2288" t="inlineStr">
        <is>
          <t>215보9702</t>
        </is>
      </c>
      <c r="I2288" t="n">
        <v>15000000</v>
      </c>
      <c r="J2288" t="n">
        <v>0.075</v>
      </c>
      <c r="K2288" t="n">
        <v>1.76</v>
      </c>
      <c r="L2288" t="n">
        <v>0.14</v>
      </c>
      <c r="M2288" t="n">
        <v>1.62</v>
      </c>
      <c r="P2288" t="inlineStr">
        <is>
          <t>정광호</t>
        </is>
      </c>
      <c r="Q2288" t="inlineStr">
        <is>
          <t>홈서비스 60개월</t>
        </is>
      </c>
      <c r="AB2288" t="inlineStr">
        <is>
          <t>홈서비스</t>
        </is>
      </c>
      <c r="AC2288" t="n">
        <v>264000</v>
      </c>
      <c r="AD2288" t="n">
        <v>21000</v>
      </c>
      <c r="AE2288" t="n">
        <v>243000</v>
      </c>
      <c r="AF2288" t="n">
        <v>240000</v>
      </c>
      <c r="AG2288" t="n">
        <v>20307</v>
      </c>
      <c r="AH2288" t="n">
        <v>219693</v>
      </c>
      <c r="AI2288" t="n">
        <v>0</v>
      </c>
    </row>
    <row r="2289">
      <c r="A2289" t="inlineStr">
        <is>
          <t>3월</t>
        </is>
      </c>
      <c r="B2289" t="inlineStr">
        <is>
          <t>12주차</t>
        </is>
      </c>
      <c r="C2289" t="inlineStr">
        <is>
          <t>IM</t>
        </is>
      </c>
      <c r="D2289" s="28" t="n">
        <v>46098</v>
      </c>
      <c r="E2289" t="inlineStr">
        <is>
          <t>IM캐피탈</t>
        </is>
      </c>
      <c r="F2289" t="inlineStr">
        <is>
          <t>김민기</t>
        </is>
      </c>
      <c r="G2289" t="inlineStr">
        <is>
          <t>010-2109-2221</t>
        </is>
      </c>
      <c r="H2289" t="inlineStr">
        <is>
          <t>19라3887</t>
        </is>
      </c>
      <c r="I2289" t="n">
        <v>15000000</v>
      </c>
      <c r="J2289" t="n">
        <v>0.049</v>
      </c>
      <c r="K2289" t="n">
        <v>1.1</v>
      </c>
      <c r="L2289" t="n">
        <v>0.14</v>
      </c>
      <c r="M2289" t="n">
        <v>0.96</v>
      </c>
      <c r="P2289" t="inlineStr">
        <is>
          <t>정광호</t>
        </is>
      </c>
      <c r="Q2289" t="inlineStr">
        <is>
          <t>실적 누락 건 기재</t>
        </is>
      </c>
      <c r="AB2289" t="inlineStr">
        <is>
          <t>홈서비스</t>
        </is>
      </c>
      <c r="AC2289" t="n">
        <v>165000</v>
      </c>
      <c r="AD2289" t="n">
        <v>21000</v>
      </c>
      <c r="AE2289" t="n">
        <v>144000</v>
      </c>
      <c r="AF2289" t="n">
        <v>150000</v>
      </c>
      <c r="AG2289" t="n">
        <v>20307</v>
      </c>
      <c r="AH2289" t="n">
        <v>129693</v>
      </c>
      <c r="AI2289" t="n">
        <v>0</v>
      </c>
    </row>
    <row r="2290">
      <c r="A2290" t="inlineStr">
        <is>
          <t>3월</t>
        </is>
      </c>
      <c r="B2290" t="inlineStr">
        <is>
          <t>12주차</t>
        </is>
      </c>
      <c r="C2290" t="inlineStr">
        <is>
          <t>OR</t>
        </is>
      </c>
      <c r="D2290" s="28" t="n">
        <v>46098</v>
      </c>
      <c r="E2290" t="inlineStr">
        <is>
          <t>오릭스</t>
        </is>
      </c>
      <c r="F2290" t="inlineStr">
        <is>
          <t>임은수</t>
        </is>
      </c>
      <c r="G2290" t="inlineStr">
        <is>
          <t>010-5417-0368</t>
        </is>
      </c>
      <c r="H2290" t="inlineStr">
        <is>
          <t>49구9989</t>
        </is>
      </c>
      <c r="I2290" t="n">
        <v>7100000</v>
      </c>
      <c r="J2290" t="n">
        <v>0.062</v>
      </c>
      <c r="K2290" t="n">
        <v>1.65</v>
      </c>
      <c r="L2290" t="n">
        <v>0.14</v>
      </c>
      <c r="M2290" t="n">
        <v>1.51</v>
      </c>
      <c r="P2290" t="inlineStr">
        <is>
          <t>정세빈</t>
        </is>
      </c>
      <c r="Q2290" t="inlineStr">
        <is>
          <t>홈서비스 60개월</t>
        </is>
      </c>
      <c r="AB2290" t="inlineStr">
        <is>
          <t>홈서비스</t>
        </is>
      </c>
      <c r="AC2290" t="n">
        <v>117150</v>
      </c>
      <c r="AD2290" t="n">
        <v>9940</v>
      </c>
      <c r="AE2290" t="n">
        <v>107210</v>
      </c>
      <c r="AF2290" t="n">
        <v>106500</v>
      </c>
      <c r="AG2290" t="n">
        <v>9611.98</v>
      </c>
      <c r="AH2290" t="n">
        <v>96888.02</v>
      </c>
    </row>
    <row r="2291">
      <c r="A2291" t="inlineStr">
        <is>
          <t>3월</t>
        </is>
      </c>
      <c r="B2291" t="inlineStr">
        <is>
          <t>12주차</t>
        </is>
      </c>
      <c r="C2291" t="inlineStr">
        <is>
          <t>IM</t>
        </is>
      </c>
      <c r="D2291" s="28" t="n">
        <v>46098</v>
      </c>
      <c r="E2291" t="inlineStr">
        <is>
          <t>IM캐피탈</t>
        </is>
      </c>
      <c r="F2291" t="inlineStr">
        <is>
          <t>최유나</t>
        </is>
      </c>
      <c r="G2291" t="inlineStr">
        <is>
          <t>010-8686-2268</t>
        </is>
      </c>
      <c r="H2291" t="inlineStr">
        <is>
          <t>41너1585</t>
        </is>
      </c>
      <c r="I2291" t="n">
        <v>17500000</v>
      </c>
      <c r="J2291" t="n">
        <v>0.056</v>
      </c>
      <c r="K2291" t="n">
        <v>1.1</v>
      </c>
      <c r="L2291" t="n">
        <v>0.4</v>
      </c>
      <c r="M2291" t="n">
        <v>0.7</v>
      </c>
      <c r="P2291" t="inlineStr">
        <is>
          <t>박소현</t>
        </is>
      </c>
      <c r="Q2291" t="inlineStr">
        <is>
          <t xml:space="preserve">개인간거래 / 현대 7.9% </t>
        </is>
      </c>
      <c r="AB2291" t="inlineStr">
        <is>
          <t>딜러유입</t>
        </is>
      </c>
      <c r="AC2291" t="n">
        <v>192500</v>
      </c>
      <c r="AD2291" t="n">
        <v>70000</v>
      </c>
      <c r="AE2291" t="n">
        <v>122500</v>
      </c>
      <c r="AF2291" t="n">
        <v>175000</v>
      </c>
      <c r="AG2291" t="n">
        <v>67690</v>
      </c>
      <c r="AH2291" t="n">
        <v>107310</v>
      </c>
    </row>
    <row r="2292">
      <c r="A2292" t="inlineStr">
        <is>
          <t>3월</t>
        </is>
      </c>
      <c r="B2292" t="inlineStr">
        <is>
          <t>12주차</t>
        </is>
      </c>
      <c r="C2292" t="inlineStr">
        <is>
          <t>EP</t>
        </is>
      </c>
      <c r="D2292" s="28" t="n">
        <v>46098</v>
      </c>
      <c r="E2292" t="inlineStr">
        <is>
          <t>현대EP_fast</t>
        </is>
      </c>
      <c r="F2292" t="inlineStr">
        <is>
          <t>배정수</t>
        </is>
      </c>
      <c r="G2292" t="inlineStr">
        <is>
          <t>010-9173-4600</t>
        </is>
      </c>
      <c r="H2292" t="inlineStr">
        <is>
          <t>10저0840</t>
        </is>
      </c>
      <c r="I2292" t="n">
        <v>-8200000</v>
      </c>
      <c r="J2292" t="n">
        <v>0.07099999999999999</v>
      </c>
      <c r="K2292" t="n">
        <v>1.76</v>
      </c>
      <c r="L2292" t="n">
        <v>0.14</v>
      </c>
      <c r="M2292" t="n">
        <v>1.62</v>
      </c>
      <c r="P2292" t="inlineStr">
        <is>
          <t>김나윤</t>
        </is>
      </c>
      <c r="Q2292" t="inlineStr">
        <is>
          <t>홈서비스 48개월 금리인하 0.5% 적용건 (7.6 &gt; 7.1)</t>
        </is>
      </c>
      <c r="AB2292" t="inlineStr">
        <is>
          <t>홈서비스</t>
        </is>
      </c>
      <c r="AC2292" t="n">
        <v>-144320</v>
      </c>
      <c r="AD2292" t="n">
        <v>-11480</v>
      </c>
      <c r="AE2292" t="n">
        <v>-132840</v>
      </c>
      <c r="AF2292" t="n">
        <v>-131200</v>
      </c>
      <c r="AG2292" t="n">
        <v>-11101.16</v>
      </c>
      <c r="AH2292" t="n">
        <v>-120098.84</v>
      </c>
    </row>
    <row r="2293">
      <c r="A2293" t="inlineStr">
        <is>
          <t>3월</t>
        </is>
      </c>
      <c r="B2293" t="inlineStr">
        <is>
          <t>12주차</t>
        </is>
      </c>
      <c r="C2293" t="inlineStr">
        <is>
          <t>IM</t>
        </is>
      </c>
      <c r="D2293" s="28" t="n">
        <v>46098</v>
      </c>
      <c r="E2293" t="inlineStr">
        <is>
          <t>IM캐피탈</t>
        </is>
      </c>
      <c r="F2293" t="inlineStr">
        <is>
          <t>정윤아</t>
        </is>
      </c>
      <c r="G2293" t="inlineStr">
        <is>
          <t>010-7537-0245</t>
        </is>
      </c>
      <c r="H2293" t="inlineStr">
        <is>
          <t>238무3783</t>
        </is>
      </c>
      <c r="I2293" t="n">
        <v>100000000</v>
      </c>
      <c r="J2293" t="n">
        <v>0.056</v>
      </c>
      <c r="K2293" t="n">
        <v>1.1</v>
      </c>
      <c r="L2293" t="n">
        <v>0.5</v>
      </c>
      <c r="M2293" t="n">
        <v>0.6</v>
      </c>
      <c r="P2293" t="inlineStr">
        <is>
          <t>정하은</t>
        </is>
      </c>
      <c r="Q2293" t="inlineStr">
        <is>
          <t>오토론진행</t>
        </is>
      </c>
      <c r="AB2293" t="inlineStr">
        <is>
          <t>엔카</t>
        </is>
      </c>
      <c r="AC2293" t="n">
        <v>1100000</v>
      </c>
      <c r="AD2293" t="n">
        <v>500000</v>
      </c>
      <c r="AE2293" t="n">
        <v>600000</v>
      </c>
      <c r="AF2293" t="n">
        <v>1000000</v>
      </c>
      <c r="AG2293" t="n">
        <v>483500</v>
      </c>
      <c r="AH2293" t="n">
        <v>516500</v>
      </c>
      <c r="AI2293" t="n">
        <v>0</v>
      </c>
    </row>
    <row r="2294">
      <c r="A2294" t="inlineStr">
        <is>
          <t>3월</t>
        </is>
      </c>
      <c r="B2294" t="inlineStr">
        <is>
          <t>12주차</t>
        </is>
      </c>
      <c r="C2294" t="inlineStr">
        <is>
          <t>IM</t>
        </is>
      </c>
      <c r="D2294" s="28" t="n">
        <v>46097</v>
      </c>
      <c r="E2294" t="inlineStr">
        <is>
          <t>IM캐피탈</t>
        </is>
      </c>
      <c r="F2294" t="inlineStr">
        <is>
          <t>최정연</t>
        </is>
      </c>
      <c r="G2294" t="inlineStr">
        <is>
          <t>010-2966-5093</t>
        </is>
      </c>
      <c r="H2294" t="inlineStr">
        <is>
          <t>57두6816</t>
        </is>
      </c>
      <c r="I2294" t="n">
        <v>14000000</v>
      </c>
      <c r="J2294" t="n">
        <v>0.049</v>
      </c>
      <c r="K2294" t="n">
        <v>1.1</v>
      </c>
      <c r="L2294" t="n">
        <v>0.14</v>
      </c>
      <c r="M2294" t="n">
        <v>0.96</v>
      </c>
      <c r="P2294" t="inlineStr">
        <is>
          <t>박현민</t>
        </is>
      </c>
      <c r="Q2294" t="inlineStr">
        <is>
          <t>홈서비스 60개월</t>
        </is>
      </c>
      <c r="AB2294" t="inlineStr">
        <is>
          <t>홈서비스</t>
        </is>
      </c>
      <c r="AC2294" t="n">
        <v>154000</v>
      </c>
      <c r="AD2294" t="n">
        <v>19600</v>
      </c>
      <c r="AE2294" t="n">
        <v>134400</v>
      </c>
      <c r="AF2294" t="n">
        <v>140000</v>
      </c>
      <c r="AG2294" t="n">
        <v>18953.2</v>
      </c>
      <c r="AH2294" t="n">
        <v>121046.8</v>
      </c>
    </row>
    <row r="2295">
      <c r="A2295" t="inlineStr">
        <is>
          <t>3월</t>
        </is>
      </c>
      <c r="B2295" t="inlineStr">
        <is>
          <t>12주차</t>
        </is>
      </c>
      <c r="C2295" t="inlineStr">
        <is>
          <t>IM</t>
        </is>
      </c>
      <c r="D2295" s="28" t="n">
        <v>46097</v>
      </c>
      <c r="E2295" t="inlineStr">
        <is>
          <t>IM캐피탈</t>
        </is>
      </c>
      <c r="F2295" t="inlineStr">
        <is>
          <t>박종완</t>
        </is>
      </c>
      <c r="G2295" t="inlineStr">
        <is>
          <t>010-4386-8888</t>
        </is>
      </c>
      <c r="H2295" t="inlineStr">
        <is>
          <t>108누1637</t>
        </is>
      </c>
      <c r="I2295" t="n">
        <v>50000000</v>
      </c>
      <c r="J2295" t="n">
        <v>0.039</v>
      </c>
      <c r="K2295" t="n">
        <v>1.1</v>
      </c>
      <c r="L2295" t="n">
        <v>0.4</v>
      </c>
      <c r="M2295" t="n">
        <v>0.7</v>
      </c>
      <c r="P2295" t="inlineStr">
        <is>
          <t>구성완</t>
        </is>
      </c>
      <c r="AB2295" t="inlineStr">
        <is>
          <t>엔카</t>
        </is>
      </c>
      <c r="AC2295" t="n">
        <v>550000</v>
      </c>
      <c r="AD2295" t="n">
        <v>200000</v>
      </c>
      <c r="AE2295" t="n">
        <v>350000</v>
      </c>
      <c r="AF2295" t="n">
        <v>500000</v>
      </c>
      <c r="AG2295" t="n">
        <v>193400</v>
      </c>
      <c r="AH2295" t="n">
        <v>306600</v>
      </c>
    </row>
    <row r="2296">
      <c r="A2296" t="inlineStr">
        <is>
          <t>3월</t>
        </is>
      </c>
      <c r="B2296" t="inlineStr">
        <is>
          <t>12주차</t>
        </is>
      </c>
      <c r="C2296" t="inlineStr">
        <is>
          <t>EP</t>
        </is>
      </c>
      <c r="D2296" s="28" t="n">
        <v>46098</v>
      </c>
      <c r="E2296" t="inlineStr">
        <is>
          <t>현대EP</t>
        </is>
      </c>
      <c r="F2296" t="inlineStr">
        <is>
          <t>송민관</t>
        </is>
      </c>
      <c r="G2296" t="inlineStr">
        <is>
          <t>010-4766-2054</t>
        </is>
      </c>
      <c r="H2296" t="inlineStr">
        <is>
          <t>161수8190</t>
        </is>
      </c>
      <c r="I2296" t="n">
        <v>20000000</v>
      </c>
      <c r="J2296" t="n">
        <v>0.07099999999999999</v>
      </c>
      <c r="K2296" t="n">
        <v>1.76</v>
      </c>
      <c r="L2296" t="n">
        <v>0.14</v>
      </c>
      <c r="M2296" t="n">
        <v>1.62</v>
      </c>
      <c r="P2296" t="inlineStr">
        <is>
          <t>임대경</t>
        </is>
      </c>
      <c r="Q2296" t="inlineStr">
        <is>
          <t>홈서비스 60개월</t>
        </is>
      </c>
      <c r="AB2296" t="inlineStr">
        <is>
          <t>홈서비스</t>
        </is>
      </c>
      <c r="AC2296" t="n">
        <v>352000</v>
      </c>
      <c r="AD2296" t="n">
        <v>28000</v>
      </c>
      <c r="AE2296" t="n">
        <v>324000</v>
      </c>
      <c r="AF2296" t="n">
        <v>320000</v>
      </c>
      <c r="AG2296" t="n">
        <v>27076</v>
      </c>
      <c r="AH2296" t="n">
        <v>292924</v>
      </c>
      <c r="AI2296" t="n">
        <v>0</v>
      </c>
    </row>
    <row r="2297">
      <c r="A2297" t="inlineStr">
        <is>
          <t>3월</t>
        </is>
      </c>
      <c r="B2297" t="inlineStr">
        <is>
          <t>12주차</t>
        </is>
      </c>
      <c r="C2297" t="inlineStr">
        <is>
          <t>EP</t>
        </is>
      </c>
      <c r="D2297" s="28" t="n">
        <v>46099</v>
      </c>
      <c r="E2297" t="inlineStr">
        <is>
          <t>현대EP_fast</t>
        </is>
      </c>
      <c r="F2297" t="inlineStr">
        <is>
          <t>서재영</t>
        </is>
      </c>
      <c r="G2297" t="inlineStr">
        <is>
          <t>010-4747-1935</t>
        </is>
      </c>
      <c r="H2297" t="inlineStr">
        <is>
          <t>71거7666</t>
        </is>
      </c>
      <c r="I2297" t="n">
        <v>13200000</v>
      </c>
      <c r="J2297" t="n">
        <v>0.119</v>
      </c>
      <c r="K2297" t="n">
        <v>1.76</v>
      </c>
      <c r="L2297" t="n">
        <v>0.14</v>
      </c>
      <c r="M2297" t="n">
        <v>1.62</v>
      </c>
      <c r="P2297" t="inlineStr">
        <is>
          <t>정광호</t>
        </is>
      </c>
      <c r="Q2297" t="inlineStr">
        <is>
          <t>홈서비스 60개월</t>
        </is>
      </c>
      <c r="AB2297" t="inlineStr">
        <is>
          <t>홈서비스</t>
        </is>
      </c>
      <c r="AC2297" t="n">
        <v>232320</v>
      </c>
      <c r="AD2297" t="n">
        <v>18480</v>
      </c>
      <c r="AE2297" t="n">
        <v>213840</v>
      </c>
      <c r="AF2297" t="n">
        <v>211200</v>
      </c>
      <c r="AG2297" t="n">
        <v>17870.16</v>
      </c>
      <c r="AH2297" t="n">
        <v>193329.84</v>
      </c>
    </row>
    <row r="2298">
      <c r="A2298" t="inlineStr">
        <is>
          <t>3월</t>
        </is>
      </c>
      <c r="B2298" t="inlineStr">
        <is>
          <t>12주차</t>
        </is>
      </c>
      <c r="C2298" t="inlineStr">
        <is>
          <t>IM</t>
        </is>
      </c>
      <c r="D2298" s="28" t="n">
        <v>46098</v>
      </c>
      <c r="E2298" t="inlineStr">
        <is>
          <t>IM캐피탈</t>
        </is>
      </c>
      <c r="F2298" t="inlineStr">
        <is>
          <t>김종협</t>
        </is>
      </c>
      <c r="G2298" t="inlineStr">
        <is>
          <t>010-4547-6065</t>
        </is>
      </c>
      <c r="H2298" t="inlineStr">
        <is>
          <t>41나0430</t>
        </is>
      </c>
      <c r="I2298" t="n">
        <v>40000000</v>
      </c>
      <c r="J2298" t="n">
        <v>0.059</v>
      </c>
      <c r="K2298" t="n">
        <v>1.1</v>
      </c>
      <c r="L2298" t="n">
        <v>0.4</v>
      </c>
      <c r="M2298" t="n">
        <v>0.7</v>
      </c>
      <c r="P2298" t="inlineStr">
        <is>
          <t>장진경</t>
        </is>
      </c>
      <c r="AB2298" t="inlineStr">
        <is>
          <t>엔카</t>
        </is>
      </c>
      <c r="AC2298" t="n">
        <v>440000</v>
      </c>
      <c r="AD2298" t="n">
        <v>160000</v>
      </c>
      <c r="AE2298" t="n">
        <v>280000</v>
      </c>
      <c r="AF2298" t="n">
        <v>400000</v>
      </c>
      <c r="AG2298" t="n">
        <v>154720</v>
      </c>
      <c r="AH2298" t="n">
        <v>245280</v>
      </c>
      <c r="AI2298" t="n">
        <v>0</v>
      </c>
    </row>
    <row r="2299">
      <c r="A2299" t="inlineStr">
        <is>
          <t>3월</t>
        </is>
      </c>
      <c r="B2299" t="inlineStr">
        <is>
          <t>12주차</t>
        </is>
      </c>
      <c r="C2299" t="inlineStr">
        <is>
          <t>EP</t>
        </is>
      </c>
      <c r="D2299" s="28" t="n">
        <v>46098</v>
      </c>
      <c r="E2299" t="inlineStr">
        <is>
          <t>제이비EP</t>
        </is>
      </c>
      <c r="F2299" t="inlineStr">
        <is>
          <t>이영진</t>
        </is>
      </c>
      <c r="G2299" t="inlineStr">
        <is>
          <t>010-6231-6208</t>
        </is>
      </c>
      <c r="H2299" t="inlineStr">
        <is>
          <t>205가2679</t>
        </is>
      </c>
      <c r="I2299" t="n">
        <v>50000000</v>
      </c>
      <c r="J2299" t="n">
        <v>0.08500000000000001</v>
      </c>
      <c r="K2299" t="n">
        <v>1.65</v>
      </c>
      <c r="L2299" t="n">
        <v>0.4</v>
      </c>
      <c r="M2299" t="n">
        <v>1.25</v>
      </c>
      <c r="P2299" t="inlineStr">
        <is>
          <t>장진경</t>
        </is>
      </c>
      <c r="AB2299" t="inlineStr">
        <is>
          <t>엔카</t>
        </is>
      </c>
      <c r="AC2299" t="n">
        <v>825000</v>
      </c>
      <c r="AD2299" t="n">
        <v>200000</v>
      </c>
      <c r="AE2299" t="n">
        <v>625000</v>
      </c>
      <c r="AF2299" t="n">
        <v>750000</v>
      </c>
      <c r="AG2299" t="n">
        <v>193400</v>
      </c>
      <c r="AH2299" t="n">
        <v>556600</v>
      </c>
    </row>
    <row r="2300">
      <c r="A2300" t="inlineStr">
        <is>
          <t>3월</t>
        </is>
      </c>
      <c r="B2300" t="inlineStr">
        <is>
          <t>12주차</t>
        </is>
      </c>
      <c r="C2300" t="inlineStr">
        <is>
          <t>EP</t>
        </is>
      </c>
      <c r="D2300" s="28" t="n">
        <v>46099</v>
      </c>
      <c r="E2300" t="inlineStr">
        <is>
          <t>제이비EP</t>
        </is>
      </c>
      <c r="F2300" t="inlineStr">
        <is>
          <t>박민재</t>
        </is>
      </c>
      <c r="G2300" t="inlineStr">
        <is>
          <t>010-9604-7764</t>
        </is>
      </c>
      <c r="H2300" t="inlineStr">
        <is>
          <t>374도1777</t>
        </is>
      </c>
      <c r="I2300" t="n">
        <v>16500000</v>
      </c>
      <c r="J2300" t="n">
        <v>0.06900000000000001</v>
      </c>
      <c r="K2300" t="n">
        <v>1.65</v>
      </c>
      <c r="L2300" t="n">
        <v>0.4</v>
      </c>
      <c r="M2300" t="n">
        <v>1.25</v>
      </c>
      <c r="P2300" t="inlineStr">
        <is>
          <t>장진경</t>
        </is>
      </c>
      <c r="AB2300" t="inlineStr">
        <is>
          <t>엔카</t>
        </is>
      </c>
      <c r="AC2300" t="n">
        <v>272250</v>
      </c>
      <c r="AD2300" t="n">
        <v>66000</v>
      </c>
      <c r="AE2300" t="n">
        <v>206250</v>
      </c>
      <c r="AF2300" t="n">
        <v>247500</v>
      </c>
      <c r="AG2300" t="n">
        <v>63822</v>
      </c>
      <c r="AH2300" t="n">
        <v>183678</v>
      </c>
      <c r="AI2300" t="n">
        <v>0</v>
      </c>
    </row>
    <row r="2301">
      <c r="A2301" t="inlineStr">
        <is>
          <t>3월</t>
        </is>
      </c>
      <c r="B2301" t="inlineStr">
        <is>
          <t>12주차</t>
        </is>
      </c>
      <c r="C2301" t="inlineStr">
        <is>
          <t>EP</t>
        </is>
      </c>
      <c r="D2301" s="28" t="n">
        <v>46099</v>
      </c>
      <c r="E2301" t="inlineStr">
        <is>
          <t>현대EP_fast</t>
        </is>
      </c>
      <c r="F2301" t="inlineStr">
        <is>
          <t>박상현</t>
        </is>
      </c>
      <c r="G2301" t="inlineStr">
        <is>
          <t>010-9937-4998</t>
        </is>
      </c>
      <c r="H2301" t="inlineStr">
        <is>
          <t>152부8548</t>
        </is>
      </c>
      <c r="I2301" t="n">
        <v>28500000</v>
      </c>
      <c r="J2301" t="n">
        <v>0.119</v>
      </c>
      <c r="K2301" t="n">
        <v>1.76</v>
      </c>
      <c r="L2301" t="n">
        <v>0.14</v>
      </c>
      <c r="M2301" t="n">
        <v>1.62</v>
      </c>
      <c r="P2301" t="inlineStr">
        <is>
          <t>정광호</t>
        </is>
      </c>
      <c r="Q2301" t="inlineStr">
        <is>
          <t>홈서비스 48개월</t>
        </is>
      </c>
      <c r="AB2301" t="inlineStr">
        <is>
          <t>홈서비스</t>
        </is>
      </c>
      <c r="AC2301" t="n">
        <v>501600</v>
      </c>
      <c r="AD2301" t="n">
        <v>39900</v>
      </c>
      <c r="AE2301" t="n">
        <v>461700</v>
      </c>
      <c r="AF2301" t="n">
        <v>456000</v>
      </c>
      <c r="AG2301" t="n">
        <v>38583.3</v>
      </c>
      <c r="AH2301" t="n">
        <v>417416.7</v>
      </c>
      <c r="AI2301" t="n">
        <v>0</v>
      </c>
    </row>
    <row r="2302">
      <c r="A2302" t="inlineStr">
        <is>
          <t>3월</t>
        </is>
      </c>
      <c r="B2302" t="inlineStr">
        <is>
          <t>12주차</t>
        </is>
      </c>
      <c r="C2302" t="inlineStr">
        <is>
          <t>IM</t>
        </is>
      </c>
      <c r="D2302" s="28" t="n">
        <v>46099</v>
      </c>
      <c r="E2302" t="inlineStr">
        <is>
          <t>IM캐피탈</t>
        </is>
      </c>
      <c r="F2302" t="inlineStr">
        <is>
          <t>고창수</t>
        </is>
      </c>
      <c r="G2302" t="inlineStr">
        <is>
          <t>010-3749-5890</t>
        </is>
      </c>
      <c r="H2302" t="inlineStr">
        <is>
          <t>347더7237</t>
        </is>
      </c>
      <c r="I2302" t="n">
        <v>41900000</v>
      </c>
      <c r="J2302" t="n">
        <v>0.075</v>
      </c>
      <c r="K2302" t="n">
        <v>1.1</v>
      </c>
      <c r="L2302" t="n">
        <v>0.14</v>
      </c>
      <c r="M2302" t="n">
        <v>0.96</v>
      </c>
      <c r="P2302" t="inlineStr">
        <is>
          <t>정광호</t>
        </is>
      </c>
      <c r="Q2302" t="inlineStr">
        <is>
          <t>홈서비스 60개월</t>
        </is>
      </c>
      <c r="AB2302" t="inlineStr">
        <is>
          <t>홈서비스</t>
        </is>
      </c>
      <c r="AC2302" t="n">
        <v>460900</v>
      </c>
      <c r="AD2302" t="n">
        <v>58660</v>
      </c>
      <c r="AE2302" t="n">
        <v>402240</v>
      </c>
      <c r="AF2302" t="n">
        <v>419000</v>
      </c>
      <c r="AG2302" t="n">
        <v>56724.22</v>
      </c>
      <c r="AH2302" t="n">
        <v>362275.78</v>
      </c>
      <c r="AI2302" t="n">
        <v>0</v>
      </c>
    </row>
    <row r="2303">
      <c r="A2303" t="inlineStr">
        <is>
          <t>3월</t>
        </is>
      </c>
      <c r="B2303" t="inlineStr">
        <is>
          <t>12주차</t>
        </is>
      </c>
      <c r="C2303" t="inlineStr">
        <is>
          <t>IM</t>
        </is>
      </c>
      <c r="D2303" s="28" t="n">
        <v>46099</v>
      </c>
      <c r="E2303" t="inlineStr">
        <is>
          <t>IM캐피탈</t>
        </is>
      </c>
      <c r="F2303" t="inlineStr">
        <is>
          <t>조성찬</t>
        </is>
      </c>
      <c r="G2303" t="inlineStr">
        <is>
          <t>010-4025-9786</t>
        </is>
      </c>
      <c r="H2303" t="inlineStr">
        <is>
          <t>343루1692</t>
        </is>
      </c>
      <c r="I2303" t="n">
        <v>22000000</v>
      </c>
      <c r="J2303" t="n">
        <v>0.06900000000000001</v>
      </c>
      <c r="K2303" t="n">
        <v>1.1</v>
      </c>
      <c r="L2303" t="n">
        <v>0.14</v>
      </c>
      <c r="M2303" t="n">
        <v>0.96</v>
      </c>
      <c r="P2303" t="inlineStr">
        <is>
          <t>김나윤</t>
        </is>
      </c>
      <c r="Q2303" t="inlineStr">
        <is>
          <t>홈서비스 60개월</t>
        </is>
      </c>
      <c r="AB2303" t="inlineStr">
        <is>
          <t>홈서비스</t>
        </is>
      </c>
      <c r="AC2303" t="n">
        <v>242000</v>
      </c>
      <c r="AD2303" t="n">
        <v>30800</v>
      </c>
      <c r="AE2303" t="n">
        <v>211200</v>
      </c>
      <c r="AF2303" t="n">
        <v>220000</v>
      </c>
      <c r="AG2303" t="n">
        <v>29783.6</v>
      </c>
      <c r="AH2303" t="n">
        <v>190216.4</v>
      </c>
      <c r="AI2303" t="n">
        <v>0</v>
      </c>
    </row>
    <row r="2304">
      <c r="A2304" t="inlineStr">
        <is>
          <t>3월</t>
        </is>
      </c>
      <c r="B2304" t="inlineStr">
        <is>
          <t>12주차</t>
        </is>
      </c>
      <c r="C2304" t="inlineStr">
        <is>
          <t>IM</t>
        </is>
      </c>
      <c r="D2304" s="28" t="n">
        <v>46099</v>
      </c>
      <c r="E2304" t="inlineStr">
        <is>
          <t>IM캐피탈</t>
        </is>
      </c>
      <c r="F2304" t="inlineStr">
        <is>
          <t>이성주</t>
        </is>
      </c>
      <c r="G2304" t="inlineStr">
        <is>
          <t>010-8273-4298</t>
        </is>
      </c>
      <c r="H2304" t="inlineStr">
        <is>
          <t>839구8375</t>
        </is>
      </c>
      <c r="I2304" t="n">
        <v>19000000</v>
      </c>
      <c r="J2304" t="n">
        <v>0.056</v>
      </c>
      <c r="K2304" t="n">
        <v>1.1</v>
      </c>
      <c r="L2304" t="n">
        <v>0.14</v>
      </c>
      <c r="M2304" t="n">
        <v>0.96</v>
      </c>
      <c r="P2304" t="inlineStr">
        <is>
          <t>김나윤</t>
        </is>
      </c>
      <c r="Q2304" t="inlineStr">
        <is>
          <t>홈서비스 60개월</t>
        </is>
      </c>
      <c r="AB2304" t="inlineStr">
        <is>
          <t>홈서비스</t>
        </is>
      </c>
      <c r="AC2304" t="n">
        <v>209000</v>
      </c>
      <c r="AD2304" t="n">
        <v>26600</v>
      </c>
      <c r="AE2304" t="n">
        <v>182400</v>
      </c>
      <c r="AF2304" t="n">
        <v>190000</v>
      </c>
      <c r="AG2304" t="n">
        <v>25722.2</v>
      </c>
      <c r="AH2304" t="n">
        <v>164277.8</v>
      </c>
    </row>
    <row r="2305">
      <c r="A2305" t="inlineStr">
        <is>
          <t>3월</t>
        </is>
      </c>
      <c r="B2305" t="inlineStr">
        <is>
          <t>12주차</t>
        </is>
      </c>
      <c r="C2305" t="inlineStr">
        <is>
          <t>EP</t>
        </is>
      </c>
      <c r="D2305" s="28" t="n">
        <v>46099</v>
      </c>
      <c r="E2305" t="inlineStr">
        <is>
          <t>제이비EP</t>
        </is>
      </c>
      <c r="F2305" t="inlineStr">
        <is>
          <t>김연정</t>
        </is>
      </c>
      <c r="G2305" t="inlineStr">
        <is>
          <t>010-6805-3605</t>
        </is>
      </c>
      <c r="H2305" t="inlineStr">
        <is>
          <t>261주9893</t>
        </is>
      </c>
      <c r="I2305" t="n">
        <v>42200000</v>
      </c>
      <c r="J2305" t="n">
        <v>0.07199999999999999</v>
      </c>
      <c r="K2305" t="n">
        <v>1.65</v>
      </c>
      <c r="L2305" t="n">
        <v>0.4</v>
      </c>
      <c r="M2305" t="n">
        <v>1.25</v>
      </c>
      <c r="P2305" t="inlineStr">
        <is>
          <t>장진경</t>
        </is>
      </c>
      <c r="Q2305" t="inlineStr">
        <is>
          <t>부대비용 추가진행</t>
        </is>
      </c>
      <c r="AB2305" t="inlineStr">
        <is>
          <t>엔카</t>
        </is>
      </c>
      <c r="AC2305" t="n">
        <v>696300</v>
      </c>
      <c r="AD2305" t="n">
        <v>168800</v>
      </c>
      <c r="AE2305" t="n">
        <v>527500</v>
      </c>
      <c r="AF2305" t="n">
        <v>633000</v>
      </c>
      <c r="AG2305" t="n">
        <v>163229.6</v>
      </c>
      <c r="AH2305" t="n">
        <v>469770.4</v>
      </c>
      <c r="AI2305" t="n">
        <v>0</v>
      </c>
    </row>
    <row r="2306">
      <c r="A2306" t="inlineStr">
        <is>
          <t>3월</t>
        </is>
      </c>
      <c r="B2306" t="inlineStr">
        <is>
          <t>12주차</t>
        </is>
      </c>
      <c r="C2306" t="inlineStr">
        <is>
          <t>EP</t>
        </is>
      </c>
      <c r="D2306" s="28" t="n">
        <v>46098</v>
      </c>
      <c r="E2306" t="inlineStr">
        <is>
          <t>현대EP</t>
        </is>
      </c>
      <c r="F2306" t="inlineStr">
        <is>
          <t>최원중</t>
        </is>
      </c>
      <c r="G2306" t="inlineStr">
        <is>
          <t>010-3837-4783</t>
        </is>
      </c>
      <c r="H2306" t="inlineStr">
        <is>
          <t>307고1439</t>
        </is>
      </c>
      <c r="I2306" t="n">
        <v>22900000</v>
      </c>
      <c r="J2306" t="n">
        <v>0.077</v>
      </c>
      <c r="K2306" t="n">
        <v>1.76</v>
      </c>
      <c r="L2306" t="n">
        <v>0.14</v>
      </c>
      <c r="M2306" t="n">
        <v>1.62</v>
      </c>
      <c r="P2306" t="inlineStr">
        <is>
          <t>최형주</t>
        </is>
      </c>
      <c r="Q2306" t="inlineStr">
        <is>
          <t>홈서비스 60개월</t>
        </is>
      </c>
      <c r="AB2306" t="inlineStr">
        <is>
          <t>홈서비스</t>
        </is>
      </c>
      <c r="AC2306" t="n">
        <v>403040</v>
      </c>
      <c r="AD2306" t="n">
        <v>32060</v>
      </c>
      <c r="AE2306" t="n">
        <v>370980</v>
      </c>
      <c r="AF2306" t="n">
        <v>366400</v>
      </c>
      <c r="AG2306" t="n">
        <v>31002.02</v>
      </c>
      <c r="AH2306" t="n">
        <v>335397.98</v>
      </c>
      <c r="AI2306" t="n">
        <v>0</v>
      </c>
    </row>
    <row r="2307">
      <c r="A2307" t="inlineStr">
        <is>
          <t>3월</t>
        </is>
      </c>
      <c r="B2307" t="inlineStr">
        <is>
          <t>12주차</t>
        </is>
      </c>
      <c r="C2307" t="inlineStr">
        <is>
          <t>EP</t>
        </is>
      </c>
      <c r="D2307" s="28" t="n">
        <v>46099</v>
      </c>
      <c r="E2307" t="inlineStr">
        <is>
          <t>현대EP_fast</t>
        </is>
      </c>
      <c r="F2307" t="inlineStr">
        <is>
          <t>이원호</t>
        </is>
      </c>
      <c r="G2307" t="inlineStr">
        <is>
          <t>010-6726-3011</t>
        </is>
      </c>
      <c r="H2307" t="inlineStr">
        <is>
          <t>197호6493</t>
        </is>
      </c>
      <c r="I2307" t="n">
        <v>13000000</v>
      </c>
      <c r="J2307" t="n">
        <v>0.07099999999999999</v>
      </c>
      <c r="K2307" t="n">
        <v>1.76</v>
      </c>
      <c r="L2307" t="n">
        <v>0.14</v>
      </c>
      <c r="M2307" t="n">
        <v>1.62</v>
      </c>
      <c r="P2307" t="inlineStr">
        <is>
          <t>정광호</t>
        </is>
      </c>
      <c r="Q2307" t="inlineStr">
        <is>
          <t>홈서비스 60개월</t>
        </is>
      </c>
      <c r="AB2307" t="inlineStr">
        <is>
          <t>홈서비스</t>
        </is>
      </c>
      <c r="AC2307" t="n">
        <v>228800</v>
      </c>
      <c r="AD2307" t="n">
        <v>18200</v>
      </c>
      <c r="AE2307" t="n">
        <v>210600</v>
      </c>
      <c r="AF2307" t="n">
        <v>208000</v>
      </c>
      <c r="AG2307" t="n">
        <v>17599.4</v>
      </c>
      <c r="AH2307" t="n">
        <v>190400.6</v>
      </c>
      <c r="AI2307" t="n">
        <v>0</v>
      </c>
    </row>
    <row r="2308">
      <c r="A2308" t="inlineStr">
        <is>
          <t>3월</t>
        </is>
      </c>
      <c r="B2308" t="inlineStr">
        <is>
          <t>12주차</t>
        </is>
      </c>
      <c r="C2308" t="inlineStr">
        <is>
          <t>EP</t>
        </is>
      </c>
      <c r="D2308" s="28" t="n">
        <v>46099</v>
      </c>
      <c r="E2308" t="inlineStr">
        <is>
          <t>BNKEP</t>
        </is>
      </c>
      <c r="F2308" t="inlineStr">
        <is>
          <t>김재환</t>
        </is>
      </c>
      <c r="G2308" t="inlineStr">
        <is>
          <t>010-7474-3503</t>
        </is>
      </c>
      <c r="H2308" t="inlineStr">
        <is>
          <t>323보6885</t>
        </is>
      </c>
      <c r="I2308" t="n">
        <v>8400000</v>
      </c>
      <c r="J2308" t="n">
        <v>0.063</v>
      </c>
      <c r="K2308" t="n">
        <v>1.65</v>
      </c>
      <c r="L2308" t="n">
        <v>0.14</v>
      </c>
      <c r="M2308" t="n">
        <v>1.51</v>
      </c>
      <c r="P2308" t="inlineStr">
        <is>
          <t>김나윤</t>
        </is>
      </c>
      <c r="Q2308" t="inlineStr">
        <is>
          <t>홈서비스 24개월</t>
        </is>
      </c>
      <c r="AB2308" t="inlineStr">
        <is>
          <t>홈서비스</t>
        </is>
      </c>
      <c r="AC2308" t="n">
        <v>138600</v>
      </c>
      <c r="AD2308" t="n">
        <v>11760</v>
      </c>
      <c r="AE2308" t="n">
        <v>126840</v>
      </c>
      <c r="AF2308" t="n">
        <v>126000</v>
      </c>
      <c r="AG2308" t="n">
        <v>11371.92</v>
      </c>
      <c r="AH2308" t="n">
        <v>114628.08</v>
      </c>
      <c r="AI2308" t="n">
        <v>0</v>
      </c>
    </row>
    <row r="2309">
      <c r="A2309" t="inlineStr">
        <is>
          <t>3월</t>
        </is>
      </c>
      <c r="B2309" t="inlineStr">
        <is>
          <t>12주차</t>
        </is>
      </c>
      <c r="C2309" t="inlineStr">
        <is>
          <t>EP</t>
        </is>
      </c>
      <c r="D2309" s="28" t="n">
        <v>46098</v>
      </c>
      <c r="E2309" t="inlineStr">
        <is>
          <t>현대EP</t>
        </is>
      </c>
      <c r="F2309" t="inlineStr">
        <is>
          <t>최시영</t>
        </is>
      </c>
      <c r="G2309" t="inlineStr">
        <is>
          <t>010-6333-0581</t>
        </is>
      </c>
      <c r="H2309" t="inlineStr">
        <is>
          <t>260주7625</t>
        </is>
      </c>
      <c r="I2309" t="n">
        <v>41100000</v>
      </c>
      <c r="J2309" t="n">
        <v>0.07099999999999999</v>
      </c>
      <c r="K2309" t="n">
        <v>1.76</v>
      </c>
      <c r="L2309" t="n">
        <v>0.14</v>
      </c>
      <c r="M2309" t="n">
        <v>1.62</v>
      </c>
      <c r="P2309" t="inlineStr">
        <is>
          <t>정세빈</t>
        </is>
      </c>
      <c r="Q2309" t="inlineStr">
        <is>
          <t>홈서비스 60개월</t>
        </is>
      </c>
      <c r="AB2309" t="inlineStr">
        <is>
          <t>홈서비스</t>
        </is>
      </c>
      <c r="AC2309" t="n">
        <v>723360</v>
      </c>
      <c r="AD2309" t="n">
        <v>57540</v>
      </c>
      <c r="AE2309" t="n">
        <v>665820</v>
      </c>
      <c r="AF2309" t="n">
        <v>657600</v>
      </c>
      <c r="AG2309" t="n">
        <v>55641.18</v>
      </c>
      <c r="AH2309" t="n">
        <v>601958.8199999999</v>
      </c>
      <c r="AI2309" t="n">
        <v>0</v>
      </c>
    </row>
    <row r="2310">
      <c r="A2310" t="inlineStr">
        <is>
          <t>3월</t>
        </is>
      </c>
      <c r="B2310" t="inlineStr">
        <is>
          <t>12주차</t>
        </is>
      </c>
      <c r="C2310" t="inlineStr">
        <is>
          <t>EP</t>
        </is>
      </c>
      <c r="D2310" s="28" t="n">
        <v>46099</v>
      </c>
      <c r="E2310" t="inlineStr">
        <is>
          <t>현대EP_fast</t>
        </is>
      </c>
      <c r="F2310" t="inlineStr">
        <is>
          <t>김규상</t>
        </is>
      </c>
      <c r="G2310" t="inlineStr">
        <is>
          <t>010-335노8361</t>
        </is>
      </c>
      <c r="H2310" t="inlineStr">
        <is>
          <t>335노8361</t>
        </is>
      </c>
      <c r="I2310" t="n">
        <v>22400000</v>
      </c>
      <c r="J2310" t="n">
        <v>0.075</v>
      </c>
      <c r="K2310" t="n">
        <v>1.76</v>
      </c>
      <c r="L2310" t="n">
        <v>0.14</v>
      </c>
      <c r="M2310" t="n">
        <v>1.62</v>
      </c>
      <c r="P2310" t="inlineStr">
        <is>
          <t>정광호</t>
        </is>
      </c>
      <c r="Q2310" t="inlineStr">
        <is>
          <t>홈서비스 48개월</t>
        </is>
      </c>
      <c r="AB2310" t="inlineStr">
        <is>
          <t>홈서비스</t>
        </is>
      </c>
      <c r="AC2310" t="n">
        <v>394240</v>
      </c>
      <c r="AD2310" t="n">
        <v>31360</v>
      </c>
      <c r="AE2310" t="n">
        <v>362880</v>
      </c>
      <c r="AF2310" t="n">
        <v>358400</v>
      </c>
      <c r="AG2310" t="n">
        <v>30325.12</v>
      </c>
      <c r="AH2310" t="n">
        <v>328074.88</v>
      </c>
      <c r="AI2310" t="n">
        <v>0</v>
      </c>
    </row>
    <row r="2311">
      <c r="A2311" t="inlineStr">
        <is>
          <t>3월</t>
        </is>
      </c>
      <c r="B2311" t="inlineStr">
        <is>
          <t>12주차</t>
        </is>
      </c>
      <c r="C2311" t="inlineStr">
        <is>
          <t>OR</t>
        </is>
      </c>
      <c r="D2311" s="28" t="n">
        <v>46099</v>
      </c>
      <c r="E2311" t="inlineStr">
        <is>
          <t>오릭스</t>
        </is>
      </c>
      <c r="F2311" t="inlineStr">
        <is>
          <t>김기현</t>
        </is>
      </c>
      <c r="G2311" t="inlineStr">
        <is>
          <t>010-4873-8672</t>
        </is>
      </c>
      <c r="H2311" t="inlineStr">
        <is>
          <t>204고7334</t>
        </is>
      </c>
      <c r="I2311" t="n">
        <v>35000000</v>
      </c>
      <c r="J2311" t="n">
        <v>0.07199999999999999</v>
      </c>
      <c r="K2311" t="n">
        <v>1.65</v>
      </c>
      <c r="L2311" t="n">
        <v>0.14</v>
      </c>
      <c r="M2311" t="n">
        <v>1.51</v>
      </c>
      <c r="P2311" t="inlineStr">
        <is>
          <t>최형주</t>
        </is>
      </c>
      <c r="Q2311" t="inlineStr">
        <is>
          <t>홈서비스 60개월</t>
        </is>
      </c>
      <c r="AB2311" t="inlineStr">
        <is>
          <t>홈서비스</t>
        </is>
      </c>
      <c r="AC2311" t="n">
        <v>577500</v>
      </c>
      <c r="AD2311" t="n">
        <v>49000</v>
      </c>
      <c r="AE2311" t="n">
        <v>528500</v>
      </c>
      <c r="AF2311" t="n">
        <v>525000</v>
      </c>
      <c r="AG2311" t="n">
        <v>47383</v>
      </c>
      <c r="AH2311" t="n">
        <v>477617</v>
      </c>
      <c r="AI2311" t="n">
        <v>0</v>
      </c>
    </row>
    <row r="2312">
      <c r="A2312" t="inlineStr">
        <is>
          <t>3월</t>
        </is>
      </c>
      <c r="B2312" t="inlineStr">
        <is>
          <t>12주차</t>
        </is>
      </c>
      <c r="C2312" t="inlineStr">
        <is>
          <t>EP</t>
        </is>
      </c>
      <c r="D2312" s="28" t="n">
        <v>46100</v>
      </c>
      <c r="E2312" t="inlineStr">
        <is>
          <t>제이비EP</t>
        </is>
      </c>
      <c r="F2312" t="inlineStr">
        <is>
          <t>정휘준</t>
        </is>
      </c>
      <c r="G2312" t="inlineStr">
        <is>
          <t>010-7794-9110</t>
        </is>
      </c>
      <c r="H2312" t="inlineStr">
        <is>
          <t>61모7211</t>
        </is>
      </c>
      <c r="I2312" t="n">
        <v>5500000</v>
      </c>
      <c r="J2312" t="n">
        <v>0.07199999999999999</v>
      </c>
      <c r="K2312" t="n">
        <v>1.65</v>
      </c>
      <c r="L2312" t="n">
        <v>0.14</v>
      </c>
      <c r="M2312" t="n">
        <v>1.51</v>
      </c>
      <c r="P2312" t="inlineStr">
        <is>
          <t>황채이</t>
        </is>
      </c>
      <c r="Q2312" t="inlineStr">
        <is>
          <t>홈서비스 24개월</t>
        </is>
      </c>
      <c r="AB2312" t="inlineStr">
        <is>
          <t>홈서비스</t>
        </is>
      </c>
      <c r="AC2312" t="n">
        <v>90750</v>
      </c>
      <c r="AD2312" t="n">
        <v>7700</v>
      </c>
      <c r="AE2312" t="n">
        <v>83050</v>
      </c>
      <c r="AF2312" t="n">
        <v>82500</v>
      </c>
      <c r="AG2312" t="n">
        <v>7445.9</v>
      </c>
      <c r="AH2312" t="n">
        <v>75054.10000000001</v>
      </c>
      <c r="AI2312" t="n">
        <v>0</v>
      </c>
    </row>
    <row r="2313">
      <c r="A2313" t="inlineStr">
        <is>
          <t>3월</t>
        </is>
      </c>
      <c r="B2313" t="inlineStr">
        <is>
          <t>12주차</t>
        </is>
      </c>
      <c r="C2313" t="inlineStr">
        <is>
          <t>EP</t>
        </is>
      </c>
      <c r="D2313" s="28" t="n">
        <v>46099</v>
      </c>
      <c r="E2313" t="inlineStr">
        <is>
          <t>현대EP</t>
        </is>
      </c>
      <c r="F2313" t="inlineStr">
        <is>
          <t>장재혁</t>
        </is>
      </c>
      <c r="G2313" t="inlineStr">
        <is>
          <t>010-9564-9795</t>
        </is>
      </c>
      <c r="H2313" t="inlineStr">
        <is>
          <t>59누0158</t>
        </is>
      </c>
      <c r="I2313" t="n">
        <v>8400000</v>
      </c>
      <c r="J2313" t="n">
        <v>0.105</v>
      </c>
      <c r="K2313" t="n">
        <v>1.76</v>
      </c>
      <c r="L2313" t="n">
        <v>0.14</v>
      </c>
      <c r="M2313" t="n">
        <v>1.62</v>
      </c>
      <c r="P2313" t="inlineStr">
        <is>
          <t>황채이</t>
        </is>
      </c>
      <c r="Q2313" t="inlineStr">
        <is>
          <t>홈서비스 60개월</t>
        </is>
      </c>
      <c r="AB2313" t="inlineStr">
        <is>
          <t>홈서비스</t>
        </is>
      </c>
      <c r="AC2313" t="n">
        <v>147840</v>
      </c>
      <c r="AD2313" t="n">
        <v>11760</v>
      </c>
      <c r="AE2313" t="n">
        <v>136080</v>
      </c>
      <c r="AF2313" t="n">
        <v>134400</v>
      </c>
      <c r="AG2313" t="n">
        <v>11371.92</v>
      </c>
      <c r="AH2313" t="n">
        <v>123028.08</v>
      </c>
      <c r="AI2313" t="n">
        <v>0</v>
      </c>
    </row>
    <row r="2314">
      <c r="A2314" t="inlineStr">
        <is>
          <t>3월</t>
        </is>
      </c>
      <c r="B2314" t="inlineStr">
        <is>
          <t>12주차</t>
        </is>
      </c>
      <c r="C2314" t="inlineStr">
        <is>
          <t>EP</t>
        </is>
      </c>
      <c r="D2314" s="28" t="n">
        <v>46099</v>
      </c>
      <c r="E2314" t="inlineStr">
        <is>
          <t>현대EP_fast</t>
        </is>
      </c>
      <c r="F2314" t="inlineStr">
        <is>
          <t>박건주</t>
        </is>
      </c>
      <c r="G2314" t="inlineStr">
        <is>
          <t>010-3457-3356</t>
        </is>
      </c>
      <c r="H2314" t="inlineStr">
        <is>
          <t>47노6412</t>
        </is>
      </c>
      <c r="I2314" t="n">
        <v>3000000</v>
      </c>
      <c r="J2314" t="n">
        <v>0.07099999999999999</v>
      </c>
      <c r="K2314" t="n">
        <v>1.76</v>
      </c>
      <c r="L2314" t="n">
        <v>0.14</v>
      </c>
      <c r="M2314" t="n">
        <v>1.62</v>
      </c>
      <c r="P2314" t="inlineStr">
        <is>
          <t>정광호</t>
        </is>
      </c>
      <c r="Q2314" t="inlineStr">
        <is>
          <t>홈서비스 24개월</t>
        </is>
      </c>
      <c r="AB2314" t="inlineStr">
        <is>
          <t>홈서비스</t>
        </is>
      </c>
      <c r="AC2314" t="n">
        <v>52800</v>
      </c>
      <c r="AD2314" t="n">
        <v>4200</v>
      </c>
      <c r="AE2314" t="n">
        <v>48600</v>
      </c>
      <c r="AF2314" t="n">
        <v>48000</v>
      </c>
      <c r="AG2314" t="n">
        <v>4061.4</v>
      </c>
      <c r="AH2314" t="n">
        <v>43938.6</v>
      </c>
      <c r="AI2314" t="n">
        <v>0</v>
      </c>
    </row>
    <row r="2315">
      <c r="A2315" t="inlineStr">
        <is>
          <t>3월</t>
        </is>
      </c>
      <c r="B2315" t="inlineStr">
        <is>
          <t>12주차</t>
        </is>
      </c>
      <c r="C2315" t="inlineStr">
        <is>
          <t>IM</t>
        </is>
      </c>
      <c r="D2315" s="28" t="n">
        <v>46099</v>
      </c>
      <c r="E2315" t="inlineStr">
        <is>
          <t>IM캐피탈</t>
        </is>
      </c>
      <c r="F2315" t="inlineStr">
        <is>
          <t>홍성표</t>
        </is>
      </c>
      <c r="G2315" t="inlineStr">
        <is>
          <t>010-6286-1279</t>
        </is>
      </c>
      <c r="H2315" t="inlineStr">
        <is>
          <t>06구2181</t>
        </is>
      </c>
      <c r="I2315" t="n">
        <v>12000000</v>
      </c>
      <c r="J2315" t="n">
        <v>0.049</v>
      </c>
      <c r="K2315" t="n">
        <v>1.1</v>
      </c>
      <c r="L2315" t="n">
        <v>0.14</v>
      </c>
      <c r="M2315" t="n">
        <v>0.96</v>
      </c>
      <c r="P2315" t="inlineStr">
        <is>
          <t>정세빈</t>
        </is>
      </c>
      <c r="Q2315" t="inlineStr">
        <is>
          <t>홉서비스 36개월</t>
        </is>
      </c>
      <c r="AB2315" t="inlineStr">
        <is>
          <t>홈서비스</t>
        </is>
      </c>
      <c r="AC2315" t="n">
        <v>132000</v>
      </c>
      <c r="AD2315" t="n">
        <v>16800</v>
      </c>
      <c r="AE2315" t="n">
        <v>115200</v>
      </c>
      <c r="AF2315" t="n">
        <v>120000</v>
      </c>
      <c r="AG2315" t="n">
        <v>16245.6</v>
      </c>
      <c r="AH2315" t="n">
        <v>103754.4</v>
      </c>
      <c r="AI2315" t="n">
        <v>0</v>
      </c>
    </row>
    <row r="2316">
      <c r="A2316" t="inlineStr">
        <is>
          <t>3월</t>
        </is>
      </c>
      <c r="B2316" t="inlineStr">
        <is>
          <t>12주차</t>
        </is>
      </c>
      <c r="C2316" t="inlineStr">
        <is>
          <t>IM</t>
        </is>
      </c>
      <c r="D2316" s="28" t="n">
        <v>46099</v>
      </c>
      <c r="E2316" t="inlineStr">
        <is>
          <t>IM캐피탈</t>
        </is>
      </c>
      <c r="F2316" t="inlineStr">
        <is>
          <t>양동기</t>
        </is>
      </c>
      <c r="G2316" t="inlineStr">
        <is>
          <t>010-7181-9090</t>
        </is>
      </c>
      <c r="H2316" t="inlineStr">
        <is>
          <t>142라3704</t>
        </is>
      </c>
      <c r="I2316" t="n">
        <v>22200000</v>
      </c>
      <c r="J2316" t="n">
        <v>0.049</v>
      </c>
      <c r="K2316" t="n">
        <v>1.1</v>
      </c>
      <c r="L2316" t="n">
        <v>0.14</v>
      </c>
      <c r="M2316" t="n">
        <v>0.96</v>
      </c>
      <c r="P2316" t="inlineStr">
        <is>
          <t>정하은</t>
        </is>
      </c>
      <c r="Q2316" t="inlineStr">
        <is>
          <t>선상담 / 홈서비스 72개월</t>
        </is>
      </c>
      <c r="AB2316" t="inlineStr">
        <is>
          <t>홈서비스</t>
        </is>
      </c>
      <c r="AC2316" t="n">
        <v>244200</v>
      </c>
      <c r="AD2316" t="n">
        <v>31080</v>
      </c>
      <c r="AE2316" t="n">
        <v>213120</v>
      </c>
      <c r="AF2316" t="n">
        <v>222000</v>
      </c>
      <c r="AG2316" t="n">
        <v>30054.36</v>
      </c>
      <c r="AH2316" t="n">
        <v>191945.64</v>
      </c>
      <c r="AI2316" t="n">
        <v>0</v>
      </c>
    </row>
    <row r="2317">
      <c r="A2317" t="inlineStr">
        <is>
          <t>2월</t>
        </is>
      </c>
      <c r="B2317" t="inlineStr">
        <is>
          <t>9주차</t>
        </is>
      </c>
      <c r="C2317" t="inlineStr">
        <is>
          <t>EP</t>
        </is>
      </c>
      <c r="D2317" s="28" t="n">
        <v>46077</v>
      </c>
      <c r="E2317" t="inlineStr">
        <is>
          <t>BNKEP</t>
        </is>
      </c>
      <c r="F2317" t="inlineStr">
        <is>
          <t>장미화</t>
        </is>
      </c>
      <c r="G2317" t="inlineStr">
        <is>
          <t>010-3748-0128</t>
        </is>
      </c>
      <c r="H2317" t="inlineStr">
        <is>
          <t>31노7396</t>
        </is>
      </c>
      <c r="I2317" t="n">
        <v>3200000</v>
      </c>
      <c r="J2317" t="n">
        <v>0.067</v>
      </c>
      <c r="K2317" t="n">
        <v>1.65</v>
      </c>
      <c r="L2317" t="n">
        <v>0.14</v>
      </c>
      <c r="M2317" t="n">
        <v>1.51</v>
      </c>
      <c r="P2317" t="inlineStr">
        <is>
          <t>김나윤</t>
        </is>
      </c>
      <c r="Q2317" t="inlineStr">
        <is>
          <t>홈서비스 60개월</t>
        </is>
      </c>
      <c r="AB2317" t="inlineStr">
        <is>
          <t>홈서비스</t>
        </is>
      </c>
      <c r="AC2317" t="n">
        <v>52800</v>
      </c>
      <c r="AD2317" t="n">
        <v>4480</v>
      </c>
      <c r="AE2317" t="n">
        <v>48320</v>
      </c>
      <c r="AF2317" t="n">
        <v>48000</v>
      </c>
      <c r="AG2317" t="n">
        <v>4332.16</v>
      </c>
      <c r="AH2317" t="n">
        <v>43667.84</v>
      </c>
      <c r="AI2317" t="n">
        <v>0</v>
      </c>
    </row>
    <row r="2318">
      <c r="A2318" t="inlineStr">
        <is>
          <t>2월</t>
        </is>
      </c>
      <c r="B2318" t="inlineStr">
        <is>
          <t>7주차</t>
        </is>
      </c>
      <c r="C2318" t="inlineStr">
        <is>
          <t>OR</t>
        </is>
      </c>
      <c r="D2318" s="28" t="n">
        <v>46062</v>
      </c>
      <c r="E2318" t="inlineStr">
        <is>
          <t>오릭스</t>
        </is>
      </c>
      <c r="F2318" t="inlineStr">
        <is>
          <t>정호경</t>
        </is>
      </c>
      <c r="G2318" t="inlineStr">
        <is>
          <t>010-7689-7775</t>
        </is>
      </c>
      <c r="H2318" t="inlineStr">
        <is>
          <t>101마2241</t>
        </is>
      </c>
      <c r="I2318" t="n">
        <v>31500000</v>
      </c>
      <c r="J2318" t="n">
        <v>0.062</v>
      </c>
      <c r="K2318" t="n">
        <v>1.65</v>
      </c>
      <c r="L2318" t="n">
        <v>0.4</v>
      </c>
      <c r="M2318" t="n">
        <v>1.25</v>
      </c>
      <c r="P2318" t="inlineStr">
        <is>
          <t>구성완</t>
        </is>
      </c>
      <c r="Q2318" t="inlineStr">
        <is>
          <t>72개월</t>
        </is>
      </c>
      <c r="AB2318" t="inlineStr">
        <is>
          <t>엔카</t>
        </is>
      </c>
      <c r="AC2318" t="n">
        <v>519750</v>
      </c>
      <c r="AD2318" t="n">
        <v>126000</v>
      </c>
      <c r="AE2318" t="n">
        <v>393750</v>
      </c>
      <c r="AF2318" t="n">
        <v>472500</v>
      </c>
      <c r="AG2318" t="n">
        <v>121842</v>
      </c>
      <c r="AH2318" t="n">
        <v>350658</v>
      </c>
      <c r="AI2318" t="n">
        <v>0</v>
      </c>
    </row>
    <row r="2319">
      <c r="A2319" t="inlineStr">
        <is>
          <t>2월</t>
        </is>
      </c>
      <c r="B2319" t="inlineStr">
        <is>
          <t>9주차</t>
        </is>
      </c>
      <c r="C2319" t="inlineStr">
        <is>
          <t>IM</t>
        </is>
      </c>
      <c r="D2319" s="28" t="n">
        <v>46077</v>
      </c>
      <c r="E2319" t="inlineStr">
        <is>
          <t>IM캐피탈</t>
        </is>
      </c>
      <c r="F2319" t="inlineStr">
        <is>
          <t>최고은</t>
        </is>
      </c>
      <c r="G2319" t="inlineStr">
        <is>
          <t>010-8694-1005</t>
        </is>
      </c>
      <c r="H2319" t="inlineStr">
        <is>
          <t>802고1814</t>
        </is>
      </c>
      <c r="I2319" t="n">
        <v>12000000</v>
      </c>
      <c r="J2319" t="n">
        <v>0.056</v>
      </c>
      <c r="K2319" t="n">
        <v>1.1</v>
      </c>
      <c r="L2319" t="n">
        <v>0.4</v>
      </c>
      <c r="M2319" t="n">
        <v>0.7</v>
      </c>
      <c r="P2319" t="inlineStr">
        <is>
          <t>장현경</t>
        </is>
      </c>
      <c r="AB2319" t="inlineStr">
        <is>
          <t>엔카</t>
        </is>
      </c>
      <c r="AC2319" t="n">
        <v>132000</v>
      </c>
      <c r="AD2319" t="n">
        <v>48000</v>
      </c>
      <c r="AE2319" t="n">
        <v>84000</v>
      </c>
      <c r="AF2319" t="n">
        <v>120000</v>
      </c>
      <c r="AG2319" t="n">
        <v>46416</v>
      </c>
      <c r="AH2319" t="n">
        <v>73584</v>
      </c>
    </row>
    <row r="2320">
      <c r="A2320" t="inlineStr">
        <is>
          <t>2월</t>
        </is>
      </c>
      <c r="B2320" t="inlineStr">
        <is>
          <t>6주차</t>
        </is>
      </c>
      <c r="C2320" t="inlineStr">
        <is>
          <t>EP</t>
        </is>
      </c>
      <c r="D2320" s="28" t="n">
        <v>46056</v>
      </c>
      <c r="E2320" t="inlineStr">
        <is>
          <t>현대EP_fast</t>
        </is>
      </c>
      <c r="F2320" t="inlineStr">
        <is>
          <t>진찬</t>
        </is>
      </c>
      <c r="G2320" t="inlineStr">
        <is>
          <t>010-7358-7637</t>
        </is>
      </c>
      <c r="H2320" t="inlineStr">
        <is>
          <t>108가3212</t>
        </is>
      </c>
      <c r="I2320" t="n">
        <v>20000000</v>
      </c>
      <c r="J2320" t="n">
        <v>0.06900000000000001</v>
      </c>
      <c r="K2320" t="n">
        <v>1.76</v>
      </c>
      <c r="L2320" t="n">
        <v>0.14</v>
      </c>
      <c r="M2320" t="n">
        <v>1.62</v>
      </c>
      <c r="P2320" t="inlineStr">
        <is>
          <t>최형주</t>
        </is>
      </c>
      <c r="Q2320" t="inlineStr">
        <is>
          <t>홈서비스 36개월</t>
        </is>
      </c>
      <c r="AB2320" t="inlineStr">
        <is>
          <t>홈서비스</t>
        </is>
      </c>
      <c r="AC2320" t="n">
        <v>352000</v>
      </c>
      <c r="AD2320" t="n">
        <v>28000</v>
      </c>
      <c r="AE2320" t="n">
        <v>324000</v>
      </c>
      <c r="AF2320" t="n">
        <v>320000</v>
      </c>
      <c r="AG2320" t="n">
        <v>27076</v>
      </c>
      <c r="AH2320" t="n">
        <v>292924</v>
      </c>
    </row>
    <row r="2321">
      <c r="A2321" t="inlineStr">
        <is>
          <t>2월</t>
        </is>
      </c>
      <c r="B2321" t="inlineStr">
        <is>
          <t>6주차</t>
        </is>
      </c>
      <c r="C2321" t="inlineStr">
        <is>
          <t>OR</t>
        </is>
      </c>
      <c r="D2321" s="28" t="n">
        <v>46055</v>
      </c>
      <c r="E2321" t="inlineStr">
        <is>
          <t>오릭스</t>
        </is>
      </c>
      <c r="F2321" t="inlineStr">
        <is>
          <t>김혜성</t>
        </is>
      </c>
      <c r="G2321" t="inlineStr">
        <is>
          <t>010-7595-0186</t>
        </is>
      </c>
      <c r="H2321" t="inlineStr">
        <is>
          <t>290구8699</t>
        </is>
      </c>
      <c r="I2321" t="n">
        <v>27000000</v>
      </c>
      <c r="J2321" t="n">
        <v>0.059</v>
      </c>
      <c r="K2321" t="n">
        <v>1.65</v>
      </c>
      <c r="L2321" t="n">
        <v>0.4</v>
      </c>
      <c r="M2321" t="n">
        <v>1.25</v>
      </c>
      <c r="P2321" t="inlineStr">
        <is>
          <t>정하은</t>
        </is>
      </c>
      <c r="AB2321" t="inlineStr">
        <is>
          <t>엔카</t>
        </is>
      </c>
      <c r="AC2321" t="n">
        <v>445500</v>
      </c>
      <c r="AD2321" t="n">
        <v>108000</v>
      </c>
      <c r="AE2321" t="n">
        <v>337500</v>
      </c>
      <c r="AF2321" t="n">
        <v>405000</v>
      </c>
      <c r="AG2321" t="n">
        <v>104436</v>
      </c>
      <c r="AH2321" t="n">
        <v>300564</v>
      </c>
      <c r="AI2321" t="n">
        <v>0</v>
      </c>
    </row>
    <row r="2322">
      <c r="A2322" t="inlineStr">
        <is>
          <t>2월</t>
        </is>
      </c>
      <c r="B2322" t="inlineStr">
        <is>
          <t>6주차</t>
        </is>
      </c>
      <c r="C2322" t="inlineStr">
        <is>
          <t>EP</t>
        </is>
      </c>
      <c r="D2322" s="28" t="n">
        <v>46057</v>
      </c>
      <c r="E2322" t="inlineStr">
        <is>
          <t>현대EP_fast</t>
        </is>
      </c>
      <c r="F2322" t="inlineStr">
        <is>
          <t>조수연</t>
        </is>
      </c>
      <c r="G2322" t="inlineStr">
        <is>
          <t>010-9646-8253</t>
        </is>
      </c>
      <c r="H2322" t="inlineStr">
        <is>
          <t>23너6751</t>
        </is>
      </c>
      <c r="I2322" t="n">
        <v>3500000</v>
      </c>
      <c r="J2322" t="n">
        <v>0.08699999999999999</v>
      </c>
      <c r="K2322" t="n">
        <v>1.76</v>
      </c>
      <c r="L2322" t="n">
        <v>0.14</v>
      </c>
      <c r="M2322" t="n">
        <v>1.62</v>
      </c>
      <c r="P2322" t="inlineStr">
        <is>
          <t>정세빈</t>
        </is>
      </c>
      <c r="Q2322" t="inlineStr">
        <is>
          <t>홈서비스 24개월</t>
        </is>
      </c>
      <c r="AB2322" t="inlineStr">
        <is>
          <t>홈서비스</t>
        </is>
      </c>
      <c r="AC2322" t="n">
        <v>61600</v>
      </c>
      <c r="AD2322" t="n">
        <v>4900</v>
      </c>
      <c r="AE2322" t="n">
        <v>56700</v>
      </c>
      <c r="AF2322" t="n">
        <v>56000</v>
      </c>
      <c r="AG2322" t="n">
        <v>4738.3</v>
      </c>
      <c r="AH2322" t="n">
        <v>51261.7</v>
      </c>
      <c r="AI2322" t="n">
        <v>0</v>
      </c>
    </row>
    <row r="2323">
      <c r="A2323" t="inlineStr">
        <is>
          <t>2월</t>
        </is>
      </c>
      <c r="B2323" t="inlineStr">
        <is>
          <t>6주차</t>
        </is>
      </c>
      <c r="C2323" t="inlineStr">
        <is>
          <t>IM</t>
        </is>
      </c>
      <c r="D2323" s="28" t="n">
        <v>46057</v>
      </c>
      <c r="E2323" t="inlineStr">
        <is>
          <t>IM캐피탈</t>
        </is>
      </c>
      <c r="F2323" t="inlineStr">
        <is>
          <t>장기상</t>
        </is>
      </c>
      <c r="G2323" t="inlineStr">
        <is>
          <t>010-6413-4092</t>
        </is>
      </c>
      <c r="H2323" t="inlineStr">
        <is>
          <t>152루5200</t>
        </is>
      </c>
      <c r="I2323" t="n">
        <v>50000000</v>
      </c>
      <c r="J2323" t="n">
        <v>0.049</v>
      </c>
      <c r="K2323" t="n">
        <v>1.1</v>
      </c>
      <c r="L2323" t="n">
        <v>0.14</v>
      </c>
      <c r="M2323" t="n">
        <v>0.96</v>
      </c>
      <c r="P2323" t="inlineStr">
        <is>
          <t>김수연</t>
        </is>
      </c>
      <c r="Q2323" t="inlineStr">
        <is>
          <t>홈서비스 36개월</t>
        </is>
      </c>
      <c r="AB2323" t="inlineStr">
        <is>
          <t>홈서비스</t>
        </is>
      </c>
      <c r="AC2323" t="n">
        <v>550000</v>
      </c>
      <c r="AD2323" t="n">
        <v>70000</v>
      </c>
      <c r="AE2323" t="n">
        <v>480000</v>
      </c>
      <c r="AF2323" t="n">
        <v>500000</v>
      </c>
      <c r="AG2323" t="n">
        <v>67690</v>
      </c>
      <c r="AH2323" t="n">
        <v>432310</v>
      </c>
    </row>
    <row r="2324">
      <c r="A2324" t="inlineStr">
        <is>
          <t>2월</t>
        </is>
      </c>
      <c r="B2324" t="inlineStr">
        <is>
          <t>7주차</t>
        </is>
      </c>
      <c r="C2324" t="inlineStr">
        <is>
          <t>EP</t>
        </is>
      </c>
      <c r="D2324" s="28" t="n">
        <v>46062</v>
      </c>
      <c r="E2324" t="inlineStr">
        <is>
          <t>현대EP</t>
        </is>
      </c>
      <c r="F2324" t="inlineStr">
        <is>
          <t>윤형규</t>
        </is>
      </c>
      <c r="G2324" t="inlineStr">
        <is>
          <t>010-3558-3089</t>
        </is>
      </c>
      <c r="H2324" t="inlineStr">
        <is>
          <t>45머3618</t>
        </is>
      </c>
      <c r="I2324" t="n">
        <v>3900000</v>
      </c>
      <c r="J2324" t="n">
        <v>0.07199999999999999</v>
      </c>
      <c r="K2324" t="n">
        <v>1.76</v>
      </c>
      <c r="L2324" t="n">
        <v>0.14</v>
      </c>
      <c r="M2324" t="n">
        <v>1.62</v>
      </c>
      <c r="P2324" t="inlineStr">
        <is>
          <t>김나윤</t>
        </is>
      </c>
      <c r="Q2324" t="inlineStr">
        <is>
          <t>홈서비스 36개월</t>
        </is>
      </c>
      <c r="AB2324" t="inlineStr">
        <is>
          <t>홈서비스</t>
        </is>
      </c>
      <c r="AC2324" t="n">
        <v>68640</v>
      </c>
      <c r="AD2324" t="n">
        <v>5460</v>
      </c>
      <c r="AE2324" t="n">
        <v>63180</v>
      </c>
      <c r="AF2324" t="n">
        <v>62400</v>
      </c>
      <c r="AG2324" t="n">
        <v>5279.82</v>
      </c>
      <c r="AH2324" t="n">
        <v>57120.18</v>
      </c>
    </row>
    <row r="2325">
      <c r="A2325" t="inlineStr">
        <is>
          <t>2월</t>
        </is>
      </c>
      <c r="B2325" t="inlineStr">
        <is>
          <t>7주차</t>
        </is>
      </c>
      <c r="C2325" t="inlineStr">
        <is>
          <t>EP</t>
        </is>
      </c>
      <c r="D2325" s="28" t="n">
        <v>46063</v>
      </c>
      <c r="E2325" t="inlineStr">
        <is>
          <t>현대EP_fast</t>
        </is>
      </c>
      <c r="F2325" t="inlineStr">
        <is>
          <t>박민철</t>
        </is>
      </c>
      <c r="G2325" t="inlineStr">
        <is>
          <t>010-7159-0055</t>
        </is>
      </c>
      <c r="H2325" t="inlineStr">
        <is>
          <t>144거9538</t>
        </is>
      </c>
      <c r="I2325" t="n">
        <v>40900000</v>
      </c>
      <c r="J2325" t="n">
        <v>0.099</v>
      </c>
      <c r="K2325" t="n">
        <v>1.76</v>
      </c>
      <c r="L2325" t="n">
        <v>0.14</v>
      </c>
      <c r="M2325" t="n">
        <v>1.62</v>
      </c>
      <c r="P2325" t="inlineStr">
        <is>
          <t>정세빈</t>
        </is>
      </c>
      <c r="Q2325" t="inlineStr">
        <is>
          <t>홈서비스 60개월</t>
        </is>
      </c>
      <c r="AB2325" t="inlineStr">
        <is>
          <t>홈서비스</t>
        </is>
      </c>
      <c r="AC2325" t="n">
        <v>719840</v>
      </c>
      <c r="AD2325" t="n">
        <v>57260</v>
      </c>
      <c r="AE2325" t="n">
        <v>662580</v>
      </c>
      <c r="AF2325" t="n">
        <v>654400</v>
      </c>
      <c r="AG2325" t="n">
        <v>55370.42</v>
      </c>
      <c r="AH2325" t="n">
        <v>599029.58</v>
      </c>
    </row>
    <row r="2326">
      <c r="A2326" t="inlineStr">
        <is>
          <t>2월</t>
        </is>
      </c>
      <c r="B2326" t="inlineStr">
        <is>
          <t>7주차</t>
        </is>
      </c>
      <c r="C2326" t="inlineStr">
        <is>
          <t>IM</t>
        </is>
      </c>
      <c r="D2326" s="28" t="n">
        <v>46063</v>
      </c>
      <c r="E2326" t="inlineStr">
        <is>
          <t>IM캐피탈</t>
        </is>
      </c>
      <c r="F2326" t="inlineStr">
        <is>
          <t>김의숙</t>
        </is>
      </c>
      <c r="G2326" t="inlineStr">
        <is>
          <t>010-9312-9042</t>
        </is>
      </c>
      <c r="H2326" t="inlineStr">
        <is>
          <t>114가5710</t>
        </is>
      </c>
      <c r="I2326" t="n">
        <v>14000000</v>
      </c>
      <c r="J2326" t="n">
        <v>0.039</v>
      </c>
      <c r="K2326" t="n">
        <v>1.1</v>
      </c>
      <c r="L2326" t="n">
        <v>0.14</v>
      </c>
      <c r="M2326" t="n">
        <v>0.96</v>
      </c>
      <c r="P2326" t="inlineStr">
        <is>
          <t>정광호</t>
        </is>
      </c>
      <c r="Q2326" t="inlineStr">
        <is>
          <t>홈서비스 48개월</t>
        </is>
      </c>
      <c r="AB2326" t="inlineStr">
        <is>
          <t>홈서비스</t>
        </is>
      </c>
      <c r="AC2326" t="n">
        <v>154000</v>
      </c>
      <c r="AD2326" t="n">
        <v>19600</v>
      </c>
      <c r="AE2326" t="n">
        <v>134400</v>
      </c>
      <c r="AF2326" t="n">
        <v>140000</v>
      </c>
      <c r="AG2326" t="n">
        <v>18953.2</v>
      </c>
      <c r="AH2326" t="n">
        <v>121046.8</v>
      </c>
      <c r="AI2326" t="n">
        <v>0</v>
      </c>
    </row>
    <row r="2327">
      <c r="A2327" t="inlineStr">
        <is>
          <t>2월</t>
        </is>
      </c>
      <c r="B2327" t="inlineStr">
        <is>
          <t>7주차</t>
        </is>
      </c>
      <c r="C2327" t="inlineStr">
        <is>
          <t>IM</t>
        </is>
      </c>
      <c r="D2327" s="28" t="n">
        <v>46063</v>
      </c>
      <c r="E2327" t="inlineStr">
        <is>
          <t>IM캐피탈</t>
        </is>
      </c>
      <c r="F2327" t="inlineStr">
        <is>
          <t>오승현</t>
        </is>
      </c>
      <c r="G2327" t="inlineStr">
        <is>
          <t>010-9905-1835</t>
        </is>
      </c>
      <c r="H2327" t="inlineStr">
        <is>
          <t>317러7634</t>
        </is>
      </c>
      <c r="I2327" t="n">
        <v>21500000</v>
      </c>
      <c r="J2327" t="n">
        <v>0.056</v>
      </c>
      <c r="K2327" t="n">
        <v>1.1</v>
      </c>
      <c r="L2327" t="n">
        <v>0.14</v>
      </c>
      <c r="M2327" t="n">
        <v>0.96</v>
      </c>
      <c r="P2327" t="inlineStr">
        <is>
          <t>장현경</t>
        </is>
      </c>
      <c r="Q2327" t="inlineStr">
        <is>
          <t>선상담 /홈서비스 72개월</t>
        </is>
      </c>
      <c r="AB2327" t="inlineStr">
        <is>
          <t>홈서비스</t>
        </is>
      </c>
      <c r="AC2327" t="n">
        <v>236500</v>
      </c>
      <c r="AD2327" t="n">
        <v>30100</v>
      </c>
      <c r="AE2327" t="n">
        <v>206400</v>
      </c>
      <c r="AF2327" t="n">
        <v>215000</v>
      </c>
      <c r="AG2327" t="n">
        <v>29106.7</v>
      </c>
      <c r="AH2327" t="n">
        <v>185893.3</v>
      </c>
    </row>
    <row r="2328">
      <c r="A2328" t="inlineStr">
        <is>
          <t>2월</t>
        </is>
      </c>
      <c r="B2328" t="inlineStr">
        <is>
          <t>7주차</t>
        </is>
      </c>
      <c r="C2328" t="inlineStr">
        <is>
          <t>IM</t>
        </is>
      </c>
      <c r="D2328" s="28" t="n">
        <v>46064</v>
      </c>
      <c r="E2328" t="inlineStr">
        <is>
          <t>IM캐피탈</t>
        </is>
      </c>
      <c r="F2328" t="inlineStr">
        <is>
          <t>변무언</t>
        </is>
      </c>
      <c r="G2328" t="inlineStr">
        <is>
          <t>010-6359-6686</t>
        </is>
      </c>
      <c r="H2328" t="inlineStr">
        <is>
          <t>52가3510</t>
        </is>
      </c>
      <c r="I2328" t="n">
        <v>15000000</v>
      </c>
      <c r="J2328" t="n">
        <v>0.056</v>
      </c>
      <c r="K2328" t="n">
        <v>1.1</v>
      </c>
      <c r="L2328" t="n">
        <v>0.14</v>
      </c>
      <c r="M2328" t="n">
        <v>0.96</v>
      </c>
      <c r="P2328" t="inlineStr">
        <is>
          <t>김수연</t>
        </is>
      </c>
      <c r="Q2328" t="inlineStr">
        <is>
          <t>홈서비스 36개월</t>
        </is>
      </c>
      <c r="AB2328" t="inlineStr">
        <is>
          <t>홈서비스</t>
        </is>
      </c>
      <c r="AC2328" t="n">
        <v>165000</v>
      </c>
      <c r="AD2328" t="n">
        <v>21000</v>
      </c>
      <c r="AE2328" t="n">
        <v>144000</v>
      </c>
      <c r="AF2328" t="n">
        <v>150000</v>
      </c>
      <c r="AG2328" t="n">
        <v>20307</v>
      </c>
      <c r="AH2328" t="n">
        <v>129693</v>
      </c>
      <c r="AI2328" t="n">
        <v>0</v>
      </c>
    </row>
    <row r="2329">
      <c r="A2329" t="inlineStr">
        <is>
          <t>2월</t>
        </is>
      </c>
      <c r="B2329" t="inlineStr">
        <is>
          <t>7주차</t>
        </is>
      </c>
      <c r="C2329" t="inlineStr">
        <is>
          <t>EP</t>
        </is>
      </c>
      <c r="D2329" s="28" t="n">
        <v>46064</v>
      </c>
      <c r="E2329" t="inlineStr">
        <is>
          <t>현대EP_fast</t>
        </is>
      </c>
      <c r="F2329" t="inlineStr">
        <is>
          <t>송유림</t>
        </is>
      </c>
      <c r="G2329" t="inlineStr">
        <is>
          <t>010-8286-8174</t>
        </is>
      </c>
      <c r="H2329" t="inlineStr">
        <is>
          <t>46구9696</t>
        </is>
      </c>
      <c r="I2329" t="n">
        <v>7200000</v>
      </c>
      <c r="J2329" t="n">
        <v>0.097</v>
      </c>
      <c r="K2329" t="n">
        <v>1.76</v>
      </c>
      <c r="L2329" t="n">
        <v>0.4</v>
      </c>
      <c r="M2329" t="n">
        <v>1.36</v>
      </c>
      <c r="P2329" t="inlineStr">
        <is>
          <t>장현경</t>
        </is>
      </c>
      <c r="Q2329" t="inlineStr">
        <is>
          <t>금리인하 0.5% 적용건 (10.2  &gt; 9.7)</t>
        </is>
      </c>
      <c r="AB2329" t="inlineStr">
        <is>
          <t>엔카</t>
        </is>
      </c>
      <c r="AC2329" t="n">
        <v>126720</v>
      </c>
      <c r="AD2329" t="n">
        <v>28800</v>
      </c>
      <c r="AE2329" t="n">
        <v>97920</v>
      </c>
      <c r="AF2329" t="n">
        <v>115200</v>
      </c>
      <c r="AG2329" t="n">
        <v>27849.6</v>
      </c>
      <c r="AH2329" t="n">
        <v>87350.39999999999</v>
      </c>
    </row>
    <row r="2330">
      <c r="A2330" t="inlineStr">
        <is>
          <t>2월</t>
        </is>
      </c>
      <c r="B2330" t="inlineStr">
        <is>
          <t>8주차</t>
        </is>
      </c>
      <c r="C2330" t="inlineStr">
        <is>
          <t>IM</t>
        </is>
      </c>
      <c r="D2330" s="28" t="n">
        <v>46072</v>
      </c>
      <c r="E2330" t="inlineStr">
        <is>
          <t>IM캐피탈</t>
        </is>
      </c>
      <c r="F2330" t="inlineStr">
        <is>
          <t>차동환</t>
        </is>
      </c>
      <c r="G2330" t="inlineStr">
        <is>
          <t>010-3157-8290</t>
        </is>
      </c>
      <c r="H2330" t="inlineStr">
        <is>
          <t>48구8058</t>
        </is>
      </c>
      <c r="I2330" t="n">
        <v>-12000000</v>
      </c>
      <c r="J2330" t="n">
        <v>0.039</v>
      </c>
      <c r="K2330" t="n">
        <v>1.1</v>
      </c>
      <c r="L2330" t="n">
        <v>0.14</v>
      </c>
      <c r="M2330" t="n">
        <v>0.96</v>
      </c>
      <c r="P2330" t="inlineStr">
        <is>
          <t>황채이</t>
        </is>
      </c>
      <c r="Q2330" t="inlineStr">
        <is>
          <t>홈서비스 36개월/*철회 20260225</t>
        </is>
      </c>
      <c r="AB2330" t="inlineStr">
        <is>
          <t>홈서비스</t>
        </is>
      </c>
      <c r="AC2330" t="n">
        <v>-132000</v>
      </c>
      <c r="AD2330" t="n">
        <v>-16800</v>
      </c>
      <c r="AE2330" t="n">
        <v>-115200</v>
      </c>
      <c r="AF2330" t="n">
        <v>-120000</v>
      </c>
      <c r="AG2330" t="n">
        <v>-16245.6</v>
      </c>
      <c r="AH2330" t="n">
        <v>-103754.4</v>
      </c>
      <c r="AI2330" t="n">
        <v>0</v>
      </c>
      <c r="AK2330" t="inlineStr">
        <is>
          <t>대출철회</t>
        </is>
      </c>
    </row>
    <row r="2331">
      <c r="A2331" t="inlineStr">
        <is>
          <t>2월</t>
        </is>
      </c>
      <c r="B2331" t="inlineStr">
        <is>
          <t>9주차</t>
        </is>
      </c>
      <c r="C2331" t="inlineStr">
        <is>
          <t>IM</t>
        </is>
      </c>
      <c r="D2331" s="28" t="n">
        <v>46076</v>
      </c>
      <c r="E2331" t="inlineStr">
        <is>
          <t>IM캐피탈</t>
        </is>
      </c>
      <c r="F2331" t="inlineStr">
        <is>
          <t>이수현</t>
        </is>
      </c>
      <c r="G2331" t="inlineStr">
        <is>
          <t>010-3062-2224</t>
        </is>
      </c>
      <c r="H2331" t="inlineStr">
        <is>
          <t>231나6372</t>
        </is>
      </c>
      <c r="I2331" t="n">
        <v>28300000</v>
      </c>
      <c r="J2331" t="n">
        <v>0.049</v>
      </c>
      <c r="K2331" t="n">
        <v>1.1</v>
      </c>
      <c r="L2331" t="n">
        <v>0.14</v>
      </c>
      <c r="M2331" t="n">
        <v>0.96</v>
      </c>
      <c r="P2331" t="inlineStr">
        <is>
          <t>박보람</t>
        </is>
      </c>
      <c r="Q2331" t="inlineStr">
        <is>
          <t>선상담 / 홈서비스 84개월</t>
        </is>
      </c>
      <c r="AB2331" t="inlineStr">
        <is>
          <t>홈서비스</t>
        </is>
      </c>
      <c r="AC2331" t="n">
        <v>311300</v>
      </c>
      <c r="AD2331" t="n">
        <v>39620</v>
      </c>
      <c r="AE2331" t="n">
        <v>271680</v>
      </c>
      <c r="AF2331" t="n">
        <v>283000</v>
      </c>
      <c r="AG2331" t="n">
        <v>38312.54</v>
      </c>
      <c r="AH2331" t="n">
        <v>244687.46</v>
      </c>
      <c r="AI2331" t="n">
        <v>0</v>
      </c>
    </row>
    <row r="2332">
      <c r="A2332" t="inlineStr">
        <is>
          <t>2월</t>
        </is>
      </c>
      <c r="B2332" t="inlineStr">
        <is>
          <t>9주차</t>
        </is>
      </c>
      <c r="C2332" t="inlineStr">
        <is>
          <t>EP</t>
        </is>
      </c>
      <c r="D2332" s="28" t="n">
        <v>46076</v>
      </c>
      <c r="E2332" t="inlineStr">
        <is>
          <t>제이비EP</t>
        </is>
      </c>
      <c r="F2332" t="inlineStr">
        <is>
          <t>김권아</t>
        </is>
      </c>
      <c r="G2332" t="inlineStr">
        <is>
          <t>010-9010-9848</t>
        </is>
      </c>
      <c r="H2332" t="inlineStr">
        <is>
          <t>302노8302</t>
        </is>
      </c>
      <c r="I2332" t="n">
        <v>27500000</v>
      </c>
      <c r="J2332" t="n">
        <v>0.092</v>
      </c>
      <c r="K2332" t="n">
        <v>1.65</v>
      </c>
      <c r="L2332" t="n">
        <v>0.4</v>
      </c>
      <c r="M2332" t="n">
        <v>1.25</v>
      </c>
      <c r="P2332" t="inlineStr">
        <is>
          <t>박현민</t>
        </is>
      </c>
      <c r="Q2332" t="inlineStr">
        <is>
          <t>부대비용 추가진행</t>
        </is>
      </c>
      <c r="AB2332" t="inlineStr">
        <is>
          <t>엔카</t>
        </is>
      </c>
      <c r="AC2332" t="n">
        <v>453750</v>
      </c>
      <c r="AD2332" t="n">
        <v>110000</v>
      </c>
      <c r="AE2332" t="n">
        <v>343750</v>
      </c>
      <c r="AF2332" t="n">
        <v>412500</v>
      </c>
      <c r="AG2332" t="n">
        <v>106370</v>
      </c>
      <c r="AH2332" t="n">
        <v>306130</v>
      </c>
      <c r="AI2332" t="n">
        <v>0</v>
      </c>
    </row>
    <row r="2333">
      <c r="A2333" t="inlineStr">
        <is>
          <t>2월</t>
        </is>
      </c>
      <c r="B2333" t="inlineStr">
        <is>
          <t>9주차</t>
        </is>
      </c>
      <c r="C2333" t="inlineStr">
        <is>
          <t>IM</t>
        </is>
      </c>
      <c r="D2333" s="28" t="n">
        <v>46078</v>
      </c>
      <c r="E2333" t="inlineStr">
        <is>
          <t>IM캐피탈</t>
        </is>
      </c>
      <c r="F2333" t="inlineStr">
        <is>
          <t>조관희</t>
        </is>
      </c>
      <c r="G2333" t="inlineStr">
        <is>
          <t>010-9014-8447</t>
        </is>
      </c>
      <c r="H2333" t="inlineStr">
        <is>
          <t>11도5310</t>
        </is>
      </c>
      <c r="I2333" t="n">
        <v>-3800000</v>
      </c>
      <c r="J2333" t="n">
        <v>0.049</v>
      </c>
      <c r="K2333" t="n">
        <v>1.1</v>
      </c>
      <c r="L2333" t="n">
        <v>0.14</v>
      </c>
      <c r="M2333" t="n">
        <v>0.96</v>
      </c>
      <c r="P2333" t="inlineStr">
        <is>
          <t>황채이</t>
        </is>
      </c>
      <c r="Q2333" t="inlineStr">
        <is>
          <t>홈서비스 36개월/*철회 20260303</t>
        </is>
      </c>
      <c r="AB2333" t="inlineStr">
        <is>
          <t>홈서비스</t>
        </is>
      </c>
      <c r="AC2333" t="n">
        <v>-41800</v>
      </c>
      <c r="AD2333" t="n">
        <v>-5320</v>
      </c>
      <c r="AE2333" t="n">
        <v>-36480</v>
      </c>
      <c r="AF2333" t="n">
        <v>-38000</v>
      </c>
      <c r="AG2333" t="n">
        <v>-5144.44</v>
      </c>
      <c r="AH2333" t="n">
        <v>-32855.56</v>
      </c>
      <c r="AI2333" t="n">
        <v>0</v>
      </c>
      <c r="AK2333" t="inlineStr">
        <is>
          <t>대출철회</t>
        </is>
      </c>
    </row>
    <row r="2334">
      <c r="A2334" t="inlineStr">
        <is>
          <t>2월</t>
        </is>
      </c>
      <c r="B2334" t="inlineStr">
        <is>
          <t>9주차</t>
        </is>
      </c>
      <c r="C2334" t="inlineStr">
        <is>
          <t>EP</t>
        </is>
      </c>
      <c r="D2334" s="28" t="n">
        <v>46078</v>
      </c>
      <c r="E2334" t="inlineStr">
        <is>
          <t>현대EP_fast</t>
        </is>
      </c>
      <c r="F2334" t="inlineStr">
        <is>
          <t>우주연</t>
        </is>
      </c>
      <c r="G2334" t="inlineStr">
        <is>
          <t>010-6579-9360</t>
        </is>
      </c>
      <c r="H2334" t="inlineStr">
        <is>
          <t>03수8012</t>
        </is>
      </c>
      <c r="I2334" t="n">
        <v>7700000</v>
      </c>
      <c r="J2334" t="n">
        <v>0.115</v>
      </c>
      <c r="K2334" t="n">
        <v>1.76</v>
      </c>
      <c r="L2334" t="n">
        <v>0.14</v>
      </c>
      <c r="M2334" t="n">
        <v>1.62</v>
      </c>
      <c r="P2334" t="inlineStr">
        <is>
          <t>최형주</t>
        </is>
      </c>
      <c r="Q2334" t="inlineStr">
        <is>
          <t>홈서비스 60개월</t>
        </is>
      </c>
      <c r="AB2334" t="inlineStr">
        <is>
          <t>홈서비스</t>
        </is>
      </c>
      <c r="AC2334" t="n">
        <v>135520</v>
      </c>
      <c r="AD2334" t="n">
        <v>10780</v>
      </c>
      <c r="AE2334" t="n">
        <v>124740</v>
      </c>
      <c r="AF2334" t="n">
        <v>123200</v>
      </c>
      <c r="AG2334" t="n">
        <v>10424.26</v>
      </c>
      <c r="AH2334" t="n">
        <v>112775.74</v>
      </c>
    </row>
    <row r="2335">
      <c r="A2335" t="inlineStr">
        <is>
          <t>2월</t>
        </is>
      </c>
      <c r="B2335" t="inlineStr">
        <is>
          <t>9주차</t>
        </is>
      </c>
      <c r="C2335" t="inlineStr">
        <is>
          <t>IM</t>
        </is>
      </c>
      <c r="D2335" s="28" t="n">
        <v>46080</v>
      </c>
      <c r="E2335" t="inlineStr">
        <is>
          <t>IM캐피탈</t>
        </is>
      </c>
      <c r="F2335" t="inlineStr">
        <is>
          <t>김대영</t>
        </is>
      </c>
      <c r="G2335" t="inlineStr">
        <is>
          <t>010-8000-4038</t>
        </is>
      </c>
      <c r="H2335" t="inlineStr">
        <is>
          <t>03버8497</t>
        </is>
      </c>
      <c r="I2335" t="n">
        <v>13600000</v>
      </c>
      <c r="J2335" t="n">
        <v>0.059</v>
      </c>
      <c r="K2335" t="n">
        <v>1.1</v>
      </c>
      <c r="L2335" t="n">
        <v>0.14</v>
      </c>
      <c r="M2335" t="n">
        <v>0.96</v>
      </c>
      <c r="P2335" t="inlineStr">
        <is>
          <t>김나윤</t>
        </is>
      </c>
      <c r="Q2335" t="inlineStr">
        <is>
          <t>홈서비스 60개월</t>
        </is>
      </c>
      <c r="AB2335" t="inlineStr">
        <is>
          <t>홈서비스</t>
        </is>
      </c>
      <c r="AC2335" t="n">
        <v>149600</v>
      </c>
      <c r="AD2335" t="n">
        <v>19040</v>
      </c>
      <c r="AE2335" t="n">
        <v>130560</v>
      </c>
      <c r="AF2335" t="n">
        <v>136000</v>
      </c>
      <c r="AG2335" t="n">
        <v>18411.68</v>
      </c>
      <c r="AH2335" t="n">
        <v>117588.32</v>
      </c>
    </row>
    <row r="2336">
      <c r="A2336" t="inlineStr">
        <is>
          <t>2월</t>
        </is>
      </c>
      <c r="B2336" t="inlineStr">
        <is>
          <t>9주차</t>
        </is>
      </c>
      <c r="C2336" t="inlineStr">
        <is>
          <t>WC</t>
        </is>
      </c>
      <c r="D2336" s="28" t="n">
        <v>46080</v>
      </c>
      <c r="E2336" t="inlineStr">
        <is>
          <t>웰컴저축은행</t>
        </is>
      </c>
      <c r="F2336" t="inlineStr">
        <is>
          <t>윤성광</t>
        </is>
      </c>
      <c r="G2336" t="inlineStr">
        <is>
          <t>010-8300-1177</t>
        </is>
      </c>
      <c r="H2336" t="inlineStr">
        <is>
          <t>231라7538</t>
        </is>
      </c>
      <c r="I2336" t="n">
        <v>15900000</v>
      </c>
      <c r="J2336" t="n">
        <v>0.192</v>
      </c>
      <c r="K2336" t="n">
        <v>0</v>
      </c>
      <c r="L2336" t="n">
        <v>0.14</v>
      </c>
      <c r="M2336" t="n">
        <v>-0.14</v>
      </c>
      <c r="P2336" t="inlineStr">
        <is>
          <t>최형주</t>
        </is>
      </c>
      <c r="Q2336" t="inlineStr">
        <is>
          <t>홈서비스 60개월</t>
        </is>
      </c>
      <c r="AB2336" t="inlineStr">
        <is>
          <t>홈서비스</t>
        </is>
      </c>
      <c r="AC2336" t="n">
        <v>0</v>
      </c>
      <c r="AD2336" t="n">
        <v>22260</v>
      </c>
      <c r="AE2336" t="n">
        <v>-22260</v>
      </c>
      <c r="AF2336" t="n">
        <v>0</v>
      </c>
      <c r="AG2336" t="n">
        <v>21525.42</v>
      </c>
      <c r="AH2336" t="n">
        <v>-21525.42</v>
      </c>
    </row>
    <row r="2337">
      <c r="A2337" t="inlineStr">
        <is>
          <t>3월</t>
        </is>
      </c>
      <c r="B2337" t="inlineStr">
        <is>
          <t>12주차</t>
        </is>
      </c>
      <c r="C2337" t="inlineStr">
        <is>
          <t>EP</t>
        </is>
      </c>
      <c r="D2337" s="28" t="n">
        <v>46099</v>
      </c>
      <c r="E2337" t="inlineStr">
        <is>
          <t>현대EP_fast</t>
        </is>
      </c>
      <c r="F2337" t="inlineStr">
        <is>
          <t>문준혁</t>
        </is>
      </c>
      <c r="G2337" t="inlineStr">
        <is>
          <t>010-9514-8460</t>
        </is>
      </c>
      <c r="H2337" t="inlineStr">
        <is>
          <t>28머9832</t>
        </is>
      </c>
      <c r="I2337" t="n">
        <v>17000000</v>
      </c>
      <c r="J2337" t="n">
        <v>0.08500000000000001</v>
      </c>
      <c r="K2337" t="n">
        <v>1.76</v>
      </c>
      <c r="L2337" t="n">
        <v>0.14</v>
      </c>
      <c r="M2337" t="n">
        <v>1.62</v>
      </c>
      <c r="P2337" t="inlineStr">
        <is>
          <t>장현경</t>
        </is>
      </c>
      <c r="Q2337" t="inlineStr">
        <is>
          <t>선상담 / 홈서비스 60개월</t>
        </is>
      </c>
      <c r="AB2337" t="inlineStr">
        <is>
          <t>홈서비스</t>
        </is>
      </c>
      <c r="AC2337" t="n">
        <v>299200</v>
      </c>
      <c r="AD2337" t="n">
        <v>23800</v>
      </c>
      <c r="AE2337" t="n">
        <v>275400</v>
      </c>
      <c r="AF2337" t="n">
        <v>272000</v>
      </c>
      <c r="AG2337" t="n">
        <v>23014.6</v>
      </c>
      <c r="AH2337" t="n">
        <v>248985.4</v>
      </c>
      <c r="AI2337" t="n">
        <v>0</v>
      </c>
    </row>
    <row r="2338">
      <c r="A2338" t="inlineStr">
        <is>
          <t>3월</t>
        </is>
      </c>
      <c r="B2338" t="inlineStr">
        <is>
          <t>12주차</t>
        </is>
      </c>
      <c r="C2338" t="inlineStr">
        <is>
          <t>EP</t>
        </is>
      </c>
      <c r="D2338" s="28" t="n">
        <v>46099</v>
      </c>
      <c r="E2338" t="inlineStr">
        <is>
          <t>BNKEP</t>
        </is>
      </c>
      <c r="F2338" t="inlineStr">
        <is>
          <t>문기덕</t>
        </is>
      </c>
      <c r="G2338" t="inlineStr">
        <is>
          <t>010-8703-3455</t>
        </is>
      </c>
      <c r="H2338" t="inlineStr">
        <is>
          <t>19서0245</t>
        </is>
      </c>
      <c r="I2338" t="n">
        <v>4500000</v>
      </c>
      <c r="J2338" t="n">
        <v>0.07099999999999999</v>
      </c>
      <c r="K2338" t="n">
        <v>1.65</v>
      </c>
      <c r="L2338" t="n">
        <v>0.14</v>
      </c>
      <c r="M2338" t="n">
        <v>1.51</v>
      </c>
      <c r="P2338" t="inlineStr">
        <is>
          <t>정세빈</t>
        </is>
      </c>
      <c r="Q2338" t="inlineStr">
        <is>
          <t>홈서비스 36개월 / 론 진행</t>
        </is>
      </c>
      <c r="AB2338" t="inlineStr">
        <is>
          <t>홈서비스</t>
        </is>
      </c>
      <c r="AC2338" t="n">
        <v>74250</v>
      </c>
      <c r="AD2338" t="n">
        <v>6300</v>
      </c>
      <c r="AE2338" t="n">
        <v>67950</v>
      </c>
      <c r="AF2338" t="n">
        <v>67500</v>
      </c>
      <c r="AG2338" t="n">
        <v>6092.1</v>
      </c>
      <c r="AH2338" t="n">
        <v>61407.9</v>
      </c>
    </row>
    <row r="2339">
      <c r="A2339" t="inlineStr">
        <is>
          <t>3월</t>
        </is>
      </c>
      <c r="B2339" t="inlineStr">
        <is>
          <t>12주차</t>
        </is>
      </c>
      <c r="C2339" t="inlineStr">
        <is>
          <t>EP</t>
        </is>
      </c>
      <c r="D2339" s="28" t="n">
        <v>46099</v>
      </c>
      <c r="E2339" t="inlineStr">
        <is>
          <t>현대EP</t>
        </is>
      </c>
      <c r="F2339" t="inlineStr">
        <is>
          <t>장현규</t>
        </is>
      </c>
      <c r="G2339" t="inlineStr">
        <is>
          <t>010-3131-9933</t>
        </is>
      </c>
      <c r="H2339" t="inlineStr">
        <is>
          <t>50누5630</t>
        </is>
      </c>
      <c r="I2339" t="n">
        <v>10000000</v>
      </c>
      <c r="J2339" t="n">
        <v>0.07199999999999999</v>
      </c>
      <c r="K2339" t="n">
        <v>1.76</v>
      </c>
      <c r="L2339" t="n">
        <v>0.14</v>
      </c>
      <c r="M2339" t="n">
        <v>1.62</v>
      </c>
      <c r="P2339" t="inlineStr">
        <is>
          <t>정광호</t>
        </is>
      </c>
      <c r="Q2339" t="inlineStr">
        <is>
          <t>홈서비스 36개월</t>
        </is>
      </c>
      <c r="AB2339" t="inlineStr">
        <is>
          <t>홈서비스</t>
        </is>
      </c>
      <c r="AC2339" t="n">
        <v>176000</v>
      </c>
      <c r="AD2339" t="n">
        <v>14000</v>
      </c>
      <c r="AE2339" t="n">
        <v>162000</v>
      </c>
      <c r="AF2339" t="n">
        <v>160000</v>
      </c>
      <c r="AG2339" t="n">
        <v>13538</v>
      </c>
      <c r="AH2339" t="n">
        <v>146462</v>
      </c>
      <c r="AI2339" t="n">
        <v>0</v>
      </c>
    </row>
    <row r="2340">
      <c r="A2340" t="inlineStr">
        <is>
          <t>3월</t>
        </is>
      </c>
      <c r="B2340" t="inlineStr">
        <is>
          <t>12주차</t>
        </is>
      </c>
      <c r="C2340" t="inlineStr">
        <is>
          <t>IM</t>
        </is>
      </c>
      <c r="D2340" s="28" t="n">
        <v>46099</v>
      </c>
      <c r="E2340" t="inlineStr">
        <is>
          <t>IM캐피탈</t>
        </is>
      </c>
      <c r="F2340" t="inlineStr">
        <is>
          <t>이경환</t>
        </is>
      </c>
      <c r="G2340" t="inlineStr">
        <is>
          <t>010-7766-9117</t>
        </is>
      </c>
      <c r="H2340" t="inlineStr">
        <is>
          <t>379어1372</t>
        </is>
      </c>
      <c r="I2340" t="n">
        <v>34600000</v>
      </c>
      <c r="J2340" t="n">
        <v>0.056</v>
      </c>
      <c r="K2340" t="n">
        <v>1.1</v>
      </c>
      <c r="L2340" t="n">
        <v>0.14</v>
      </c>
      <c r="M2340" t="n">
        <v>0.96</v>
      </c>
      <c r="P2340" t="inlineStr">
        <is>
          <t>김나윤</t>
        </is>
      </c>
      <c r="Q2340" t="inlineStr">
        <is>
          <t>홈서비스 48개월</t>
        </is>
      </c>
      <c r="AB2340" t="inlineStr">
        <is>
          <t>홈서비스</t>
        </is>
      </c>
      <c r="AC2340" t="n">
        <v>380600</v>
      </c>
      <c r="AD2340" t="n">
        <v>48440</v>
      </c>
      <c r="AE2340" t="n">
        <v>332160</v>
      </c>
      <c r="AF2340" t="n">
        <v>346000</v>
      </c>
      <c r="AG2340" t="n">
        <v>46841.48</v>
      </c>
      <c r="AH2340" t="n">
        <v>299158.52</v>
      </c>
      <c r="AI2340" t="n">
        <v>0</v>
      </c>
    </row>
    <row r="2341">
      <c r="A2341" t="inlineStr">
        <is>
          <t>3월</t>
        </is>
      </c>
      <c r="B2341" t="inlineStr">
        <is>
          <t>12주차</t>
        </is>
      </c>
      <c r="C2341" t="inlineStr">
        <is>
          <t>EP</t>
        </is>
      </c>
      <c r="D2341" s="28" t="n">
        <v>46099</v>
      </c>
      <c r="E2341" t="inlineStr">
        <is>
          <t>현대EP_fast</t>
        </is>
      </c>
      <c r="F2341" t="inlineStr">
        <is>
          <t>김승훈</t>
        </is>
      </c>
      <c r="G2341" t="inlineStr">
        <is>
          <t>010-4474-6333</t>
        </is>
      </c>
      <c r="H2341" t="inlineStr">
        <is>
          <t>45모0902</t>
        </is>
      </c>
      <c r="I2341" t="n">
        <v>5900000</v>
      </c>
      <c r="J2341" t="n">
        <v>0.126</v>
      </c>
      <c r="K2341" t="n">
        <v>1.76</v>
      </c>
      <c r="L2341" t="n">
        <v>0.14</v>
      </c>
      <c r="M2341" t="n">
        <v>1.62</v>
      </c>
      <c r="P2341" t="inlineStr">
        <is>
          <t>김나윤</t>
        </is>
      </c>
      <c r="Q2341" t="inlineStr">
        <is>
          <t>홈서비스 36개월</t>
        </is>
      </c>
      <c r="AB2341" t="inlineStr">
        <is>
          <t>홈서비스</t>
        </is>
      </c>
      <c r="AC2341" t="n">
        <v>103840</v>
      </c>
      <c r="AD2341" t="n">
        <v>8260</v>
      </c>
      <c r="AE2341" t="n">
        <v>95580</v>
      </c>
      <c r="AF2341" t="n">
        <v>94400</v>
      </c>
      <c r="AG2341" t="n">
        <v>7987.42</v>
      </c>
      <c r="AH2341" t="n">
        <v>86412.58</v>
      </c>
      <c r="AI2341" t="n">
        <v>0</v>
      </c>
    </row>
    <row r="2342">
      <c r="A2342" t="inlineStr">
        <is>
          <t>3월</t>
        </is>
      </c>
      <c r="B2342" t="inlineStr">
        <is>
          <t>12주차</t>
        </is>
      </c>
      <c r="C2342" t="inlineStr">
        <is>
          <t>IM</t>
        </is>
      </c>
      <c r="D2342" s="28" t="n">
        <v>46100</v>
      </c>
      <c r="E2342" t="inlineStr">
        <is>
          <t>IM캐피탈</t>
        </is>
      </c>
      <c r="F2342" t="inlineStr">
        <is>
          <t>정경민</t>
        </is>
      </c>
      <c r="G2342" t="inlineStr">
        <is>
          <t>010-8464-1464</t>
        </is>
      </c>
      <c r="H2342" t="inlineStr">
        <is>
          <t>69주0289</t>
        </is>
      </c>
      <c r="I2342" t="n">
        <v>14700000</v>
      </c>
      <c r="J2342" t="n">
        <v>0.056</v>
      </c>
      <c r="K2342" t="n">
        <v>1.1</v>
      </c>
      <c r="L2342" t="n">
        <v>0.14</v>
      </c>
      <c r="M2342" t="n">
        <v>0.96</v>
      </c>
      <c r="P2342" t="inlineStr">
        <is>
          <t>김나윤</t>
        </is>
      </c>
      <c r="Q2342" t="inlineStr">
        <is>
          <t>홈서비스 36개월</t>
        </is>
      </c>
      <c r="AB2342" t="inlineStr">
        <is>
          <t>홈서비스</t>
        </is>
      </c>
      <c r="AC2342" t="n">
        <v>161700</v>
      </c>
      <c r="AD2342" t="n">
        <v>20580</v>
      </c>
      <c r="AE2342" t="n">
        <v>141120</v>
      </c>
      <c r="AF2342" t="n">
        <v>147000</v>
      </c>
      <c r="AG2342" t="n">
        <v>19900.86</v>
      </c>
      <c r="AH2342" t="n">
        <v>127099.14</v>
      </c>
      <c r="AI2342" t="n">
        <v>0</v>
      </c>
    </row>
    <row r="2343">
      <c r="A2343" t="inlineStr">
        <is>
          <t>3월</t>
        </is>
      </c>
      <c r="B2343" t="inlineStr">
        <is>
          <t>12주차</t>
        </is>
      </c>
      <c r="C2343" t="inlineStr">
        <is>
          <t>EP</t>
        </is>
      </c>
      <c r="D2343" s="28" t="n">
        <v>46099</v>
      </c>
      <c r="E2343" t="inlineStr">
        <is>
          <t>현대EP_fast</t>
        </is>
      </c>
      <c r="F2343" t="inlineStr">
        <is>
          <t>문준혁</t>
        </is>
      </c>
      <c r="G2343" t="inlineStr">
        <is>
          <t>010-9514-8460</t>
        </is>
      </c>
      <c r="H2343" t="inlineStr">
        <is>
          <t>28머9832</t>
        </is>
      </c>
      <c r="I2343" t="n">
        <v>-17000000</v>
      </c>
      <c r="J2343" t="n">
        <v>0.08500000000000001</v>
      </c>
      <c r="K2343" t="n">
        <v>1.76</v>
      </c>
      <c r="L2343" t="n">
        <v>0.14</v>
      </c>
      <c r="M2343" t="n">
        <v>1.62</v>
      </c>
      <c r="P2343" t="inlineStr">
        <is>
          <t>장현경</t>
        </is>
      </c>
      <c r="Q2343" t="inlineStr">
        <is>
          <t>선상담 / 홈서비스 60개월</t>
        </is>
      </c>
      <c r="AB2343" t="inlineStr">
        <is>
          <t>홈서비스</t>
        </is>
      </c>
      <c r="AC2343" t="n">
        <v>-299200</v>
      </c>
      <c r="AD2343" t="n">
        <v>-23800</v>
      </c>
      <c r="AE2343" t="n">
        <v>-275400</v>
      </c>
      <c r="AF2343" t="n">
        <v>-272000</v>
      </c>
      <c r="AG2343" t="n">
        <v>-23014.6</v>
      </c>
      <c r="AH2343" t="n">
        <v>-248985.4</v>
      </c>
      <c r="AI2343" t="n">
        <v>0</v>
      </c>
    </row>
    <row r="2344">
      <c r="A2344" t="inlineStr">
        <is>
          <t>3월</t>
        </is>
      </c>
      <c r="B2344" t="inlineStr">
        <is>
          <t>12주차</t>
        </is>
      </c>
      <c r="C2344" t="inlineStr">
        <is>
          <t>OR</t>
        </is>
      </c>
      <c r="D2344" s="28" t="n">
        <v>46098</v>
      </c>
      <c r="E2344" t="inlineStr">
        <is>
          <t>오릭스</t>
        </is>
      </c>
      <c r="F2344" t="inlineStr">
        <is>
          <t>최형욱</t>
        </is>
      </c>
      <c r="G2344" t="inlineStr">
        <is>
          <t>010-9124-0363</t>
        </is>
      </c>
      <c r="H2344" t="inlineStr">
        <is>
          <t>03버0655</t>
        </is>
      </c>
      <c r="I2344" t="n">
        <v>25400000</v>
      </c>
      <c r="J2344" t="n">
        <v>0.08</v>
      </c>
      <c r="K2344" t="n">
        <v>1.65</v>
      </c>
      <c r="L2344" t="n">
        <v>0.4</v>
      </c>
      <c r="M2344" t="n">
        <v>1.25</v>
      </c>
      <c r="P2344" t="inlineStr">
        <is>
          <t>박소현</t>
        </is>
      </c>
      <c r="Q2344" t="inlineStr">
        <is>
          <t>론 / 부대비용추가진행</t>
        </is>
      </c>
      <c r="AB2344" t="inlineStr">
        <is>
          <t>엔카</t>
        </is>
      </c>
      <c r="AC2344" t="n">
        <v>419100</v>
      </c>
      <c r="AD2344" t="n">
        <v>101600</v>
      </c>
      <c r="AE2344" t="n">
        <v>317500</v>
      </c>
      <c r="AF2344" t="n">
        <v>381000</v>
      </c>
      <c r="AG2344" t="n">
        <v>98247.2</v>
      </c>
      <c r="AH2344" t="n">
        <v>282752.8</v>
      </c>
      <c r="AI2344" t="n">
        <v>0</v>
      </c>
    </row>
    <row r="2345">
      <c r="A2345" t="inlineStr">
        <is>
          <t>3월</t>
        </is>
      </c>
      <c r="B2345" t="inlineStr">
        <is>
          <t>12주차</t>
        </is>
      </c>
      <c r="C2345" t="inlineStr">
        <is>
          <t>OR</t>
        </is>
      </c>
      <c r="D2345" s="28" t="n">
        <v>46097</v>
      </c>
      <c r="E2345" t="inlineStr">
        <is>
          <t>오릭스</t>
        </is>
      </c>
      <c r="F2345" t="inlineStr">
        <is>
          <t>이영주</t>
        </is>
      </c>
      <c r="G2345" t="inlineStr">
        <is>
          <t>010-3634-3078</t>
        </is>
      </c>
      <c r="H2345" t="inlineStr">
        <is>
          <t>34보5152</t>
        </is>
      </c>
      <c r="I2345" t="n">
        <v>37800000</v>
      </c>
      <c r="J2345" t="n">
        <v>0.059</v>
      </c>
      <c r="K2345" t="n">
        <v>1.65</v>
      </c>
      <c r="L2345" t="n">
        <v>0.4</v>
      </c>
      <c r="M2345" t="n">
        <v>1.25</v>
      </c>
      <c r="P2345" t="inlineStr">
        <is>
          <t>박보람</t>
        </is>
      </c>
      <c r="Q2345" t="inlineStr">
        <is>
          <t>부대비용 추가진행</t>
        </is>
      </c>
      <c r="AB2345" t="inlineStr">
        <is>
          <t>엔카</t>
        </is>
      </c>
      <c r="AC2345" t="n">
        <v>623700</v>
      </c>
      <c r="AD2345" t="n">
        <v>151200</v>
      </c>
      <c r="AE2345" t="n">
        <v>472500</v>
      </c>
      <c r="AF2345" t="n">
        <v>567000</v>
      </c>
      <c r="AG2345" t="n">
        <v>146210.4</v>
      </c>
      <c r="AH2345" t="n">
        <v>420789.6</v>
      </c>
    </row>
    <row r="2346">
      <c r="A2346" t="inlineStr">
        <is>
          <t>3월</t>
        </is>
      </c>
      <c r="B2346" t="inlineStr">
        <is>
          <t>12주차</t>
        </is>
      </c>
      <c r="C2346" t="inlineStr">
        <is>
          <t>EP</t>
        </is>
      </c>
      <c r="D2346" s="28" t="n">
        <v>46098</v>
      </c>
      <c r="E2346" t="inlineStr">
        <is>
          <t>현대EP</t>
        </is>
      </c>
      <c r="F2346" t="inlineStr">
        <is>
          <t>김창택</t>
        </is>
      </c>
      <c r="G2346" t="inlineStr">
        <is>
          <t>010-3388-9844</t>
        </is>
      </c>
      <c r="H2346" t="inlineStr">
        <is>
          <t>273거7308</t>
        </is>
      </c>
      <c r="I2346" t="n">
        <v>4900000</v>
      </c>
      <c r="J2346" t="n">
        <v>0.09</v>
      </c>
      <c r="K2346" t="n">
        <v>1.76</v>
      </c>
      <c r="L2346" t="n">
        <v>0.14</v>
      </c>
      <c r="M2346" t="n">
        <v>1.62</v>
      </c>
      <c r="P2346" t="inlineStr">
        <is>
          <t>김수연</t>
        </is>
      </c>
      <c r="Q2346" t="inlineStr">
        <is>
          <t>홈서비스 60개월</t>
        </is>
      </c>
      <c r="AB2346" t="inlineStr">
        <is>
          <t>홈서비스</t>
        </is>
      </c>
      <c r="AC2346" t="n">
        <v>86240</v>
      </c>
      <c r="AD2346" t="n">
        <v>6860</v>
      </c>
      <c r="AE2346" t="n">
        <v>79380</v>
      </c>
      <c r="AF2346" t="n">
        <v>78400</v>
      </c>
      <c r="AG2346" t="n">
        <v>6633.62</v>
      </c>
      <c r="AH2346" t="n">
        <v>71766.38</v>
      </c>
    </row>
    <row r="2347">
      <c r="A2347" t="inlineStr">
        <is>
          <t>3월</t>
        </is>
      </c>
      <c r="B2347" t="inlineStr">
        <is>
          <t>12주차</t>
        </is>
      </c>
      <c r="C2347" t="inlineStr">
        <is>
          <t>EP</t>
        </is>
      </c>
      <c r="D2347" s="28" t="n">
        <v>46100</v>
      </c>
      <c r="E2347" t="inlineStr">
        <is>
          <t>현대EP_fast</t>
        </is>
      </c>
      <c r="F2347" t="inlineStr">
        <is>
          <t>최범석</t>
        </is>
      </c>
      <c r="G2347" t="inlineStr">
        <is>
          <t>010-5504-8963</t>
        </is>
      </c>
      <c r="H2347" t="inlineStr">
        <is>
          <t>10조5175</t>
        </is>
      </c>
      <c r="I2347" t="n">
        <v>7600000</v>
      </c>
      <c r="J2347" t="n">
        <v>0.07099999999999999</v>
      </c>
      <c r="K2347" t="n">
        <v>1.76</v>
      </c>
      <c r="L2347" t="n">
        <v>0.14</v>
      </c>
      <c r="M2347" t="n">
        <v>1.62</v>
      </c>
      <c r="P2347" t="inlineStr">
        <is>
          <t>황채이</t>
        </is>
      </c>
      <c r="Q2347" t="inlineStr">
        <is>
          <t>홈서비스 36개월</t>
        </is>
      </c>
      <c r="AB2347" t="inlineStr">
        <is>
          <t>홈서비스</t>
        </is>
      </c>
      <c r="AC2347" t="n">
        <v>133760</v>
      </c>
      <c r="AD2347" t="n">
        <v>10640</v>
      </c>
      <c r="AE2347" t="n">
        <v>123120</v>
      </c>
      <c r="AF2347" t="n">
        <v>121600</v>
      </c>
      <c r="AG2347" t="n">
        <v>10288.88</v>
      </c>
      <c r="AH2347" t="n">
        <v>111311.12</v>
      </c>
      <c r="AI2347" t="n">
        <v>0</v>
      </c>
    </row>
    <row r="2348">
      <c r="A2348" t="inlineStr">
        <is>
          <t>3월</t>
        </is>
      </c>
      <c r="B2348" t="inlineStr">
        <is>
          <t>12주차</t>
        </is>
      </c>
      <c r="C2348" t="inlineStr">
        <is>
          <t>IM</t>
        </is>
      </c>
      <c r="D2348" s="28" t="n">
        <v>46099</v>
      </c>
      <c r="E2348" t="inlineStr">
        <is>
          <t>IM캐피탈</t>
        </is>
      </c>
      <c r="F2348" t="inlineStr">
        <is>
          <t>박수인</t>
        </is>
      </c>
      <c r="G2348" t="inlineStr">
        <is>
          <t>010-9602-1564</t>
        </is>
      </c>
      <c r="H2348" t="inlineStr">
        <is>
          <t>358고1414</t>
        </is>
      </c>
      <c r="I2348" t="n">
        <v>20800000</v>
      </c>
      <c r="J2348" t="n">
        <v>0.06900000000000001</v>
      </c>
      <c r="K2348" t="n">
        <v>1.1</v>
      </c>
      <c r="L2348" t="n">
        <v>0.14</v>
      </c>
      <c r="M2348" t="n">
        <v>0.96</v>
      </c>
      <c r="P2348" t="inlineStr">
        <is>
          <t>정광호</t>
        </is>
      </c>
      <c r="Q2348" t="inlineStr">
        <is>
          <t>실적 누락 건 기재</t>
        </is>
      </c>
      <c r="AB2348" t="inlineStr">
        <is>
          <t>홈서비스</t>
        </is>
      </c>
      <c r="AC2348" t="n">
        <v>228800</v>
      </c>
      <c r="AD2348" t="n">
        <v>29120</v>
      </c>
      <c r="AE2348" t="n">
        <v>199680</v>
      </c>
      <c r="AF2348" t="n">
        <v>208000</v>
      </c>
      <c r="AG2348" t="n">
        <v>28159.04</v>
      </c>
      <c r="AH2348" t="n">
        <v>179840.96</v>
      </c>
      <c r="AI2348" t="n">
        <v>0</v>
      </c>
    </row>
    <row r="2349">
      <c r="A2349" t="inlineStr">
        <is>
          <t>3월</t>
        </is>
      </c>
      <c r="B2349" t="inlineStr">
        <is>
          <t>12주차</t>
        </is>
      </c>
      <c r="C2349" t="inlineStr">
        <is>
          <t>EP</t>
        </is>
      </c>
      <c r="D2349" s="28" t="n">
        <v>46098</v>
      </c>
      <c r="E2349" t="inlineStr">
        <is>
          <t>현대EP</t>
        </is>
      </c>
      <c r="F2349" t="inlineStr">
        <is>
          <t>전정아</t>
        </is>
      </c>
      <c r="G2349" t="inlineStr">
        <is>
          <t>010-9789-5021</t>
        </is>
      </c>
      <c r="H2349" t="inlineStr">
        <is>
          <t>41루9202</t>
        </is>
      </c>
      <c r="I2349" t="n">
        <v>3300000</v>
      </c>
      <c r="J2349" t="n">
        <v>0.105</v>
      </c>
      <c r="K2349" t="n">
        <v>1.76</v>
      </c>
      <c r="L2349" t="n">
        <v>0.14</v>
      </c>
      <c r="M2349" t="n">
        <v>1.62</v>
      </c>
      <c r="P2349" t="inlineStr">
        <is>
          <t>김수연</t>
        </is>
      </c>
      <c r="Q2349" t="inlineStr">
        <is>
          <t>홈서비스 60개월</t>
        </is>
      </c>
      <c r="AB2349" t="inlineStr">
        <is>
          <t>홈서비스</t>
        </is>
      </c>
      <c r="AC2349" t="n">
        <v>58080</v>
      </c>
      <c r="AD2349" t="n">
        <v>4620</v>
      </c>
      <c r="AE2349" t="n">
        <v>53460</v>
      </c>
      <c r="AF2349" t="n">
        <v>52800</v>
      </c>
      <c r="AG2349" t="n">
        <v>4467.54</v>
      </c>
      <c r="AH2349" t="n">
        <v>48332.46</v>
      </c>
      <c r="AI2349" t="n">
        <v>0</v>
      </c>
    </row>
    <row r="2350">
      <c r="A2350" t="inlineStr">
        <is>
          <t>2월</t>
        </is>
      </c>
      <c r="B2350" t="inlineStr">
        <is>
          <t>7주차</t>
        </is>
      </c>
      <c r="C2350" t="inlineStr">
        <is>
          <t>IM</t>
        </is>
      </c>
      <c r="D2350" s="28" t="n">
        <v>46063</v>
      </c>
      <c r="E2350" t="inlineStr">
        <is>
          <t>IM캐피탈</t>
        </is>
      </c>
      <c r="F2350" t="inlineStr">
        <is>
          <t>신지은</t>
        </is>
      </c>
      <c r="G2350" t="inlineStr">
        <is>
          <t>010-2599-4668</t>
        </is>
      </c>
      <c r="H2350" t="inlineStr">
        <is>
          <t>338가9704</t>
        </is>
      </c>
      <c r="I2350" t="n">
        <v>12100000</v>
      </c>
      <c r="J2350" t="n">
        <v>0.049</v>
      </c>
      <c r="K2350" t="n">
        <v>1.1</v>
      </c>
      <c r="L2350" t="n">
        <v>0.14</v>
      </c>
      <c r="M2350" t="n">
        <v>0.96</v>
      </c>
      <c r="P2350" t="inlineStr">
        <is>
          <t>장현경</t>
        </is>
      </c>
      <c r="Q2350" t="inlineStr">
        <is>
          <t>선상담 /홈서비스 36개월 / 공동명의</t>
        </is>
      </c>
      <c r="AB2350" t="inlineStr">
        <is>
          <t>홈서비스</t>
        </is>
      </c>
      <c r="AC2350" t="n">
        <v>133100</v>
      </c>
      <c r="AD2350" t="n">
        <v>16940</v>
      </c>
      <c r="AE2350" t="n">
        <v>116160</v>
      </c>
      <c r="AF2350" t="n">
        <v>121000</v>
      </c>
      <c r="AG2350" t="n">
        <v>16380.98</v>
      </c>
      <c r="AH2350" t="n">
        <v>104619.02</v>
      </c>
      <c r="AI2350" t="n">
        <v>0</v>
      </c>
    </row>
    <row r="2351">
      <c r="A2351" t="inlineStr">
        <is>
          <t>3월</t>
        </is>
      </c>
      <c r="B2351" t="inlineStr">
        <is>
          <t>12주차</t>
        </is>
      </c>
      <c r="C2351" t="inlineStr">
        <is>
          <t>EP</t>
        </is>
      </c>
      <c r="D2351" s="28" t="n">
        <v>46099</v>
      </c>
      <c r="E2351" t="inlineStr">
        <is>
          <t>제이비EP</t>
        </is>
      </c>
      <c r="F2351" t="inlineStr">
        <is>
          <t>원세영</t>
        </is>
      </c>
      <c r="G2351" t="inlineStr">
        <is>
          <t>010-6272-5386</t>
        </is>
      </c>
      <c r="H2351" t="inlineStr">
        <is>
          <t>808거1554</t>
        </is>
      </c>
      <c r="I2351" t="n">
        <v>37000000</v>
      </c>
      <c r="J2351" t="n">
        <v>0.08500000000000001</v>
      </c>
      <c r="K2351" t="n">
        <v>1.65</v>
      </c>
      <c r="L2351" t="n">
        <v>0.5</v>
      </c>
      <c r="M2351" t="n">
        <v>1.15</v>
      </c>
      <c r="P2351" t="inlineStr">
        <is>
          <t>정하은</t>
        </is>
      </c>
      <c r="AB2351" t="inlineStr">
        <is>
          <t>엔카</t>
        </is>
      </c>
      <c r="AC2351" t="n">
        <v>610500</v>
      </c>
      <c r="AD2351" t="n">
        <v>185000</v>
      </c>
      <c r="AE2351" t="n">
        <v>425500</v>
      </c>
      <c r="AF2351" t="n">
        <v>555000</v>
      </c>
      <c r="AG2351" t="n">
        <v>178895</v>
      </c>
      <c r="AH2351" t="n">
        <v>376105</v>
      </c>
    </row>
    <row r="2352">
      <c r="A2352" t="inlineStr">
        <is>
          <t>2월</t>
        </is>
      </c>
      <c r="B2352" t="inlineStr">
        <is>
          <t>8주차</t>
        </is>
      </c>
      <c r="C2352" t="inlineStr">
        <is>
          <t>IM</t>
        </is>
      </c>
      <c r="D2352" s="28" t="n">
        <v>46072</v>
      </c>
      <c r="E2352" t="inlineStr">
        <is>
          <t>IM캐피탈</t>
        </is>
      </c>
      <c r="F2352" t="inlineStr">
        <is>
          <t>배혜리</t>
        </is>
      </c>
      <c r="G2352" t="inlineStr">
        <is>
          <t>010-3458-5767</t>
        </is>
      </c>
      <c r="H2352" t="inlineStr">
        <is>
          <t>114러2029</t>
        </is>
      </c>
      <c r="I2352" t="n">
        <v>19900000</v>
      </c>
      <c r="J2352" t="n">
        <v>0.049</v>
      </c>
      <c r="K2352" t="n">
        <v>1.1</v>
      </c>
      <c r="L2352" t="n">
        <v>0.14</v>
      </c>
      <c r="M2352" t="n">
        <v>0.96</v>
      </c>
      <c r="P2352" t="inlineStr">
        <is>
          <t>최형주</t>
        </is>
      </c>
      <c r="Q2352" t="inlineStr">
        <is>
          <t>홈서비스 48개월</t>
        </is>
      </c>
      <c r="AB2352" t="inlineStr">
        <is>
          <t>홈서비스</t>
        </is>
      </c>
      <c r="AC2352" t="n">
        <v>218900</v>
      </c>
      <c r="AD2352" t="n">
        <v>27860</v>
      </c>
      <c r="AE2352" t="n">
        <v>191040</v>
      </c>
      <c r="AF2352" t="n">
        <v>199000</v>
      </c>
      <c r="AG2352" t="n">
        <v>26940.62</v>
      </c>
      <c r="AH2352" t="n">
        <v>172059.38</v>
      </c>
      <c r="AI2352" t="n">
        <v>0</v>
      </c>
    </row>
    <row r="2353">
      <c r="A2353" t="inlineStr">
        <is>
          <t>2월</t>
        </is>
      </c>
      <c r="B2353" t="inlineStr">
        <is>
          <t>9주차</t>
        </is>
      </c>
      <c r="C2353" t="inlineStr">
        <is>
          <t>IM</t>
        </is>
      </c>
      <c r="D2353" s="28" t="n">
        <v>46077</v>
      </c>
      <c r="E2353" t="inlineStr">
        <is>
          <t>IM캐피탈</t>
        </is>
      </c>
      <c r="F2353" t="inlineStr">
        <is>
          <t>박승배</t>
        </is>
      </c>
      <c r="G2353" t="inlineStr">
        <is>
          <t>010-7774-0716</t>
        </is>
      </c>
      <c r="H2353" t="inlineStr">
        <is>
          <t>319부7872</t>
        </is>
      </c>
      <c r="I2353" t="n">
        <v>13000000</v>
      </c>
      <c r="J2353" t="n">
        <v>0.066</v>
      </c>
      <c r="K2353" t="n">
        <v>1.1</v>
      </c>
      <c r="L2353" t="n">
        <v>0.14</v>
      </c>
      <c r="M2353" t="n">
        <v>0.96</v>
      </c>
      <c r="P2353" t="inlineStr">
        <is>
          <t>황채이</t>
        </is>
      </c>
      <c r="Q2353" t="inlineStr">
        <is>
          <t>홈서비스 48개월</t>
        </is>
      </c>
      <c r="AB2353" t="inlineStr">
        <is>
          <t>홈서비스</t>
        </is>
      </c>
      <c r="AC2353" t="n">
        <v>143000</v>
      </c>
      <c r="AD2353" t="n">
        <v>18200</v>
      </c>
      <c r="AE2353" t="n">
        <v>124800</v>
      </c>
      <c r="AF2353" t="n">
        <v>130000</v>
      </c>
      <c r="AG2353" t="n">
        <v>17599.4</v>
      </c>
      <c r="AH2353" t="n">
        <v>112400.6</v>
      </c>
      <c r="AI2353" t="n">
        <v>0</v>
      </c>
    </row>
    <row r="2354">
      <c r="A2354" t="inlineStr">
        <is>
          <t>2월</t>
        </is>
      </c>
      <c r="B2354" t="inlineStr">
        <is>
          <t>8주차</t>
        </is>
      </c>
      <c r="C2354" t="inlineStr">
        <is>
          <t>EP</t>
        </is>
      </c>
      <c r="D2354" s="28" t="n">
        <v>46072</v>
      </c>
      <c r="E2354" t="inlineStr">
        <is>
          <t>제이비EP</t>
        </is>
      </c>
      <c r="F2354" t="inlineStr">
        <is>
          <t>양석진</t>
        </is>
      </c>
      <c r="G2354" t="inlineStr">
        <is>
          <t>010-8457-4995</t>
        </is>
      </c>
      <c r="H2354" t="inlineStr">
        <is>
          <t>223더7494</t>
        </is>
      </c>
      <c r="I2354" t="n">
        <v>36300000</v>
      </c>
      <c r="J2354" t="n">
        <v>0.092</v>
      </c>
      <c r="K2354" t="n">
        <v>1.65</v>
      </c>
      <c r="L2354" t="n">
        <v>0.14</v>
      </c>
      <c r="M2354" t="n">
        <v>1.51</v>
      </c>
      <c r="P2354" t="inlineStr">
        <is>
          <t>박현민</t>
        </is>
      </c>
      <c r="Q2354" t="inlineStr">
        <is>
          <t>홈서비스 60개월</t>
        </is>
      </c>
      <c r="AB2354" t="inlineStr">
        <is>
          <t>홈서비스</t>
        </is>
      </c>
      <c r="AC2354" t="n">
        <v>598950</v>
      </c>
      <c r="AD2354" t="n">
        <v>50820</v>
      </c>
      <c r="AE2354" t="n">
        <v>548130</v>
      </c>
      <c r="AF2354" t="n">
        <v>544500</v>
      </c>
      <c r="AG2354" t="n">
        <v>49142.94</v>
      </c>
      <c r="AH2354" t="n">
        <v>495357.06</v>
      </c>
      <c r="AI2354" t="n">
        <v>0</v>
      </c>
    </row>
    <row r="2355">
      <c r="A2355" t="inlineStr">
        <is>
          <t>3월</t>
        </is>
      </c>
      <c r="B2355" t="inlineStr">
        <is>
          <t>12주차</t>
        </is>
      </c>
      <c r="C2355" t="inlineStr">
        <is>
          <t>IM</t>
        </is>
      </c>
      <c r="D2355" s="28" t="n">
        <v>46098</v>
      </c>
      <c r="E2355" t="inlineStr">
        <is>
          <t>IM캐피탈</t>
        </is>
      </c>
      <c r="F2355" t="inlineStr">
        <is>
          <t>정민</t>
        </is>
      </c>
      <c r="G2355" t="inlineStr">
        <is>
          <t>010-4855-5433</t>
        </is>
      </c>
      <c r="H2355" t="inlineStr">
        <is>
          <t>152주2518</t>
        </is>
      </c>
      <c r="I2355" t="n">
        <v>-10000000</v>
      </c>
      <c r="J2355" t="n">
        <v>0.049</v>
      </c>
      <c r="K2355" t="n">
        <v>1.1</v>
      </c>
      <c r="L2355" t="n">
        <v>0.14</v>
      </c>
      <c r="M2355" t="n">
        <v>0.96</v>
      </c>
      <c r="P2355" t="inlineStr">
        <is>
          <t>최혁</t>
        </is>
      </c>
      <c r="Q2355" t="inlineStr">
        <is>
          <t>홈서비스 24개월</t>
        </is>
      </c>
      <c r="AB2355" t="inlineStr">
        <is>
          <t>홈서비스</t>
        </is>
      </c>
      <c r="AC2355" t="n">
        <v>-110000</v>
      </c>
      <c r="AD2355" t="n">
        <v>-14000</v>
      </c>
      <c r="AE2355" t="n">
        <v>-96000</v>
      </c>
      <c r="AF2355" t="n">
        <v>-100000</v>
      </c>
      <c r="AG2355" t="n">
        <v>-13538</v>
      </c>
      <c r="AH2355" t="n">
        <v>-86462</v>
      </c>
      <c r="AI2355" t="n">
        <v>0</v>
      </c>
    </row>
    <row r="2356">
      <c r="A2356" t="inlineStr">
        <is>
          <t>3월</t>
        </is>
      </c>
      <c r="B2356" t="inlineStr">
        <is>
          <t>12주차</t>
        </is>
      </c>
      <c r="C2356" t="inlineStr">
        <is>
          <t>EP</t>
        </is>
      </c>
      <c r="D2356" s="28" t="n">
        <v>46100</v>
      </c>
      <c r="E2356" t="inlineStr">
        <is>
          <t>제이비EP</t>
        </is>
      </c>
      <c r="F2356" t="inlineStr">
        <is>
          <t>박상현</t>
        </is>
      </c>
      <c r="G2356" t="inlineStr">
        <is>
          <t>010-4020-2170</t>
        </is>
      </c>
      <c r="H2356" t="inlineStr">
        <is>
          <t>37누0136</t>
        </is>
      </c>
      <c r="I2356" t="n">
        <v>38300000</v>
      </c>
      <c r="J2356" t="n">
        <v>0.079</v>
      </c>
      <c r="K2356" t="n">
        <v>1.65</v>
      </c>
      <c r="L2356" t="n">
        <v>0.5</v>
      </c>
      <c r="M2356" t="n">
        <v>1.15</v>
      </c>
      <c r="P2356" t="inlineStr">
        <is>
          <t>정하은</t>
        </is>
      </c>
      <c r="Q2356" t="inlineStr">
        <is>
          <t>부대비용추가진행</t>
        </is>
      </c>
      <c r="AB2356" t="inlineStr">
        <is>
          <t>엔카</t>
        </is>
      </c>
      <c r="AC2356" t="n">
        <v>631950</v>
      </c>
      <c r="AD2356" t="n">
        <v>191500</v>
      </c>
      <c r="AE2356" t="n">
        <v>440450</v>
      </c>
      <c r="AF2356" t="n">
        <v>574500</v>
      </c>
      <c r="AG2356" t="n">
        <v>185180.5</v>
      </c>
      <c r="AH2356" t="n">
        <v>389319.5</v>
      </c>
      <c r="AI2356" t="n">
        <v>0</v>
      </c>
    </row>
    <row r="2357">
      <c r="A2357" t="inlineStr">
        <is>
          <t>3월</t>
        </is>
      </c>
      <c r="B2357" t="inlineStr">
        <is>
          <t>12주차</t>
        </is>
      </c>
      <c r="C2357" t="inlineStr">
        <is>
          <t>IM</t>
        </is>
      </c>
      <c r="D2357" s="28" t="n">
        <v>46098</v>
      </c>
      <c r="E2357" t="inlineStr">
        <is>
          <t>IM캐피탈</t>
        </is>
      </c>
      <c r="F2357" t="inlineStr">
        <is>
          <t>황이규</t>
        </is>
      </c>
      <c r="G2357" t="inlineStr">
        <is>
          <t>010-3306-8505</t>
        </is>
      </c>
      <c r="H2357" t="inlineStr">
        <is>
          <t>25로8964</t>
        </is>
      </c>
      <c r="I2357" t="n">
        <v>33000000</v>
      </c>
      <c r="J2357" t="n">
        <v>0.056</v>
      </c>
      <c r="K2357" t="n">
        <v>1.1</v>
      </c>
      <c r="L2357" t="n">
        <v>0.4</v>
      </c>
      <c r="M2357" t="n">
        <v>0.7</v>
      </c>
      <c r="P2357" t="inlineStr">
        <is>
          <t>구성완</t>
        </is>
      </c>
      <c r="AB2357" t="inlineStr">
        <is>
          <t>엔카</t>
        </is>
      </c>
      <c r="AC2357" t="n">
        <v>363000</v>
      </c>
      <c r="AD2357" t="n">
        <v>132000</v>
      </c>
      <c r="AE2357" t="n">
        <v>231000</v>
      </c>
      <c r="AF2357" t="n">
        <v>330000</v>
      </c>
      <c r="AG2357" t="n">
        <v>127644</v>
      </c>
      <c r="AH2357" t="n">
        <v>202356</v>
      </c>
    </row>
    <row r="2358">
      <c r="A2358" t="inlineStr">
        <is>
          <t>3월</t>
        </is>
      </c>
      <c r="B2358" t="inlineStr">
        <is>
          <t>12주차</t>
        </is>
      </c>
      <c r="C2358" t="inlineStr">
        <is>
          <t>EP</t>
        </is>
      </c>
      <c r="D2358" s="28" t="n">
        <v>46098</v>
      </c>
      <c r="E2358" t="inlineStr">
        <is>
          <t>현대EP_fast</t>
        </is>
      </c>
      <c r="F2358" t="inlineStr">
        <is>
          <t>남유진</t>
        </is>
      </c>
      <c r="G2358" t="inlineStr">
        <is>
          <t>010-9078-9846</t>
        </is>
      </c>
      <c r="H2358" t="inlineStr">
        <is>
          <t>47저2265</t>
        </is>
      </c>
      <c r="I2358" t="n">
        <v>-3900000</v>
      </c>
      <c r="J2358" t="n">
        <v>0.118</v>
      </c>
      <c r="K2358" t="n">
        <v>1.76</v>
      </c>
      <c r="L2358" t="n">
        <v>0.14</v>
      </c>
      <c r="M2358" t="n">
        <v>1.62</v>
      </c>
      <c r="P2358" t="inlineStr">
        <is>
          <t>최혁</t>
        </is>
      </c>
      <c r="Q2358" t="inlineStr">
        <is>
          <t>홈서비스 36개월</t>
        </is>
      </c>
      <c r="AB2358" t="inlineStr">
        <is>
          <t>홈서비스</t>
        </is>
      </c>
      <c r="AC2358" t="n">
        <v>-68640</v>
      </c>
      <c r="AD2358" t="n">
        <v>-5460</v>
      </c>
      <c r="AE2358" t="n">
        <v>-63180</v>
      </c>
      <c r="AF2358" t="n">
        <v>-62400</v>
      </c>
      <c r="AG2358" t="n">
        <v>-5279.82</v>
      </c>
      <c r="AH2358" t="n">
        <v>-57120.18</v>
      </c>
      <c r="AI2358" t="n">
        <v>0</v>
      </c>
    </row>
    <row r="2359">
      <c r="A2359" t="inlineStr">
        <is>
          <t>3월</t>
        </is>
      </c>
      <c r="B2359" t="inlineStr">
        <is>
          <t>12주차</t>
        </is>
      </c>
      <c r="C2359" t="inlineStr">
        <is>
          <t>EP</t>
        </is>
      </c>
      <c r="D2359" s="28" t="n">
        <v>46099</v>
      </c>
      <c r="E2359" t="inlineStr">
        <is>
          <t>제이비EP</t>
        </is>
      </c>
      <c r="F2359" t="inlineStr">
        <is>
          <t>오문식</t>
        </is>
      </c>
      <c r="G2359" t="inlineStr">
        <is>
          <t>010-5533-4365</t>
        </is>
      </c>
      <c r="H2359" t="inlineStr">
        <is>
          <t>344오9447</t>
        </is>
      </c>
      <c r="I2359" t="n">
        <v>71300000</v>
      </c>
      <c r="J2359" t="n">
        <v>0.067</v>
      </c>
      <c r="K2359" t="n">
        <v>1.65</v>
      </c>
      <c r="L2359" t="n">
        <v>0.4</v>
      </c>
      <c r="M2359" t="n">
        <v>1.25</v>
      </c>
      <c r="P2359" t="inlineStr">
        <is>
          <t>장진경</t>
        </is>
      </c>
      <c r="Q2359" t="inlineStr">
        <is>
          <t>부대비용 추가진행 / 0.5% 네고진행</t>
        </is>
      </c>
      <c r="AB2359" t="inlineStr">
        <is>
          <t>엔카</t>
        </is>
      </c>
      <c r="AC2359" t="n">
        <v>1176450</v>
      </c>
      <c r="AD2359" t="n">
        <v>285200</v>
      </c>
      <c r="AE2359" t="n">
        <v>891250</v>
      </c>
      <c r="AF2359" t="n">
        <v>1069500</v>
      </c>
      <c r="AG2359" t="n">
        <v>275788.4</v>
      </c>
      <c r="AH2359" t="n">
        <v>793711.6</v>
      </c>
      <c r="AI2359" t="n">
        <v>0</v>
      </c>
    </row>
    <row r="2360">
      <c r="A2360" t="inlineStr">
        <is>
          <t>3월</t>
        </is>
      </c>
      <c r="B2360" t="inlineStr">
        <is>
          <t>12주차</t>
        </is>
      </c>
      <c r="C2360" t="inlineStr">
        <is>
          <t>IM</t>
        </is>
      </c>
      <c r="D2360" s="28" t="n">
        <v>46100</v>
      </c>
      <c r="E2360" t="inlineStr">
        <is>
          <t>IM캐피탈</t>
        </is>
      </c>
      <c r="F2360" t="inlineStr">
        <is>
          <t>김국태</t>
        </is>
      </c>
      <c r="G2360" t="inlineStr">
        <is>
          <t>010-8856-3217</t>
        </is>
      </c>
      <c r="H2360" t="inlineStr">
        <is>
          <t>10모1031</t>
        </is>
      </c>
      <c r="I2360" t="n">
        <v>22000000</v>
      </c>
      <c r="J2360" t="n">
        <v>0.049</v>
      </c>
      <c r="K2360" t="n">
        <v>1.1</v>
      </c>
      <c r="L2360" t="n">
        <v>0.14</v>
      </c>
      <c r="M2360" t="n">
        <v>0.96</v>
      </c>
      <c r="P2360" t="inlineStr">
        <is>
          <t>김수연</t>
        </is>
      </c>
      <c r="Q2360" t="inlineStr">
        <is>
          <t>홈서비스 84개월</t>
        </is>
      </c>
      <c r="AB2360" t="inlineStr">
        <is>
          <t>홈서비스</t>
        </is>
      </c>
      <c r="AC2360" t="n">
        <v>242000</v>
      </c>
      <c r="AD2360" t="n">
        <v>30800</v>
      </c>
      <c r="AE2360" t="n">
        <v>211200</v>
      </c>
      <c r="AF2360" t="n">
        <v>220000</v>
      </c>
      <c r="AG2360" t="n">
        <v>29783.6</v>
      </c>
      <c r="AH2360" t="n">
        <v>190216.4</v>
      </c>
      <c r="AI2360" t="n">
        <v>0</v>
      </c>
    </row>
    <row r="2361">
      <c r="A2361" t="inlineStr">
        <is>
          <t>3월</t>
        </is>
      </c>
      <c r="B2361" t="inlineStr">
        <is>
          <t>12주차</t>
        </is>
      </c>
      <c r="C2361" t="inlineStr">
        <is>
          <t>EP</t>
        </is>
      </c>
      <c r="D2361" s="28" t="n">
        <v>46100</v>
      </c>
      <c r="E2361" t="inlineStr">
        <is>
          <t>현대EP_fast</t>
        </is>
      </c>
      <c r="F2361" t="inlineStr">
        <is>
          <t>김경태</t>
        </is>
      </c>
      <c r="G2361" t="inlineStr">
        <is>
          <t>010-5670-2396</t>
        </is>
      </c>
      <c r="H2361" t="inlineStr">
        <is>
          <t>41수8474</t>
        </is>
      </c>
      <c r="I2361" t="n">
        <v>11900000</v>
      </c>
      <c r="J2361" t="n">
        <v>0.09</v>
      </c>
      <c r="K2361" t="n">
        <v>1.76</v>
      </c>
      <c r="L2361" t="n">
        <v>0.14</v>
      </c>
      <c r="M2361" t="n">
        <v>1.62</v>
      </c>
      <c r="P2361" t="inlineStr">
        <is>
          <t>장현경</t>
        </is>
      </c>
      <c r="Q2361" t="inlineStr">
        <is>
          <t>선상담 / 홈서비스 48개월</t>
        </is>
      </c>
      <c r="AB2361" t="inlineStr">
        <is>
          <t>홈서비스</t>
        </is>
      </c>
      <c r="AC2361" t="n">
        <v>209440</v>
      </c>
      <c r="AD2361" t="n">
        <v>16660</v>
      </c>
      <c r="AE2361" t="n">
        <v>192780</v>
      </c>
      <c r="AF2361" t="n">
        <v>190400</v>
      </c>
      <c r="AG2361" t="n">
        <v>16110.22</v>
      </c>
      <c r="AH2361" t="n">
        <v>174289.78</v>
      </c>
    </row>
    <row r="2362">
      <c r="A2362" t="inlineStr">
        <is>
          <t>3월</t>
        </is>
      </c>
      <c r="B2362" t="inlineStr">
        <is>
          <t>12주차</t>
        </is>
      </c>
      <c r="C2362" t="inlineStr">
        <is>
          <t>EP</t>
        </is>
      </c>
      <c r="D2362" s="28" t="n">
        <v>46099</v>
      </c>
      <c r="E2362" t="inlineStr">
        <is>
          <t>현대EP</t>
        </is>
      </c>
      <c r="F2362" t="inlineStr">
        <is>
          <t>조인규</t>
        </is>
      </c>
      <c r="G2362" t="inlineStr">
        <is>
          <t>010-8502-9408</t>
        </is>
      </c>
      <c r="H2362" t="inlineStr">
        <is>
          <t>311모1450</t>
        </is>
      </c>
      <c r="I2362" t="n">
        <v>24800000</v>
      </c>
      <c r="J2362" t="n">
        <v>0.062</v>
      </c>
      <c r="K2362" t="n">
        <v>1.76</v>
      </c>
      <c r="L2362" t="n">
        <v>0.14</v>
      </c>
      <c r="M2362" t="n">
        <v>1.62</v>
      </c>
      <c r="P2362" t="inlineStr">
        <is>
          <t>정세빈</t>
        </is>
      </c>
      <c r="Q2362" t="inlineStr">
        <is>
          <t>홈서비스 60개월</t>
        </is>
      </c>
      <c r="AB2362" t="inlineStr">
        <is>
          <t>홈서비스</t>
        </is>
      </c>
      <c r="AC2362" t="n">
        <v>436480</v>
      </c>
      <c r="AD2362" t="n">
        <v>34720</v>
      </c>
      <c r="AE2362" t="n">
        <v>401760</v>
      </c>
      <c r="AF2362" t="n">
        <v>396800</v>
      </c>
      <c r="AG2362" t="n">
        <v>33574.24</v>
      </c>
      <c r="AH2362" t="n">
        <v>363225.76</v>
      </c>
    </row>
    <row r="2363">
      <c r="A2363" t="inlineStr">
        <is>
          <t>3월</t>
        </is>
      </c>
      <c r="B2363" t="inlineStr">
        <is>
          <t>12주차</t>
        </is>
      </c>
      <c r="C2363" t="inlineStr">
        <is>
          <t>IM</t>
        </is>
      </c>
      <c r="D2363" s="28" t="n">
        <v>46100</v>
      </c>
      <c r="E2363" t="inlineStr">
        <is>
          <t>IM캐피탈</t>
        </is>
      </c>
      <c r="F2363" t="inlineStr">
        <is>
          <t>김선대</t>
        </is>
      </c>
      <c r="G2363" t="inlineStr">
        <is>
          <t>010-9992-5140</t>
        </is>
      </c>
      <c r="H2363" t="inlineStr">
        <is>
          <t>09누1685</t>
        </is>
      </c>
      <c r="I2363" t="n">
        <v>20700000</v>
      </c>
      <c r="J2363" t="n">
        <v>0.056</v>
      </c>
      <c r="K2363" t="n">
        <v>1.1</v>
      </c>
      <c r="L2363" t="n">
        <v>0.14</v>
      </c>
      <c r="M2363" t="n">
        <v>0.96</v>
      </c>
      <c r="P2363" t="inlineStr">
        <is>
          <t>정세빈</t>
        </is>
      </c>
      <c r="Q2363" t="inlineStr">
        <is>
          <t>홈서비스 60개월</t>
        </is>
      </c>
      <c r="AB2363" t="inlineStr">
        <is>
          <t>홈서비스</t>
        </is>
      </c>
      <c r="AC2363" t="n">
        <v>227700</v>
      </c>
      <c r="AD2363" t="n">
        <v>28980</v>
      </c>
      <c r="AE2363" t="n">
        <v>198720</v>
      </c>
      <c r="AF2363" t="n">
        <v>207000</v>
      </c>
      <c r="AG2363" t="n">
        <v>28023.66</v>
      </c>
      <c r="AH2363" t="n">
        <v>178976.34</v>
      </c>
      <c r="AI2363" t="n">
        <v>0</v>
      </c>
    </row>
    <row r="2364">
      <c r="A2364" t="inlineStr">
        <is>
          <t>3월</t>
        </is>
      </c>
      <c r="B2364" t="inlineStr">
        <is>
          <t>12주차</t>
        </is>
      </c>
      <c r="C2364" t="inlineStr">
        <is>
          <t>OR</t>
        </is>
      </c>
      <c r="D2364" s="28" t="n">
        <v>46098</v>
      </c>
      <c r="E2364" t="inlineStr">
        <is>
          <t>오릭스</t>
        </is>
      </c>
      <c r="F2364" t="inlineStr">
        <is>
          <t>정영순</t>
        </is>
      </c>
      <c r="G2364" t="inlineStr">
        <is>
          <t>010-4876-1474</t>
        </is>
      </c>
      <c r="H2364" t="inlineStr">
        <is>
          <t>308모7144</t>
        </is>
      </c>
      <c r="I2364" t="n">
        <v>22000000</v>
      </c>
      <c r="J2364" t="n">
        <v>0.076</v>
      </c>
      <c r="K2364" t="n">
        <v>1.65</v>
      </c>
      <c r="L2364" t="n">
        <v>0.14</v>
      </c>
      <c r="M2364" t="n">
        <v>1.51</v>
      </c>
      <c r="P2364" t="inlineStr">
        <is>
          <t>박현민</t>
        </is>
      </c>
      <c r="Q2364" t="inlineStr">
        <is>
          <t>홈서비스 36개월</t>
        </is>
      </c>
      <c r="AB2364" t="inlineStr">
        <is>
          <t>홈서비스</t>
        </is>
      </c>
      <c r="AC2364" t="n">
        <v>363000</v>
      </c>
      <c r="AD2364" t="n">
        <v>30800</v>
      </c>
      <c r="AE2364" t="n">
        <v>332200</v>
      </c>
      <c r="AF2364" t="n">
        <v>330000</v>
      </c>
      <c r="AG2364" t="n">
        <v>29783.6</v>
      </c>
      <c r="AH2364" t="n">
        <v>300216.4</v>
      </c>
      <c r="AI2364" t="n">
        <v>0</v>
      </c>
    </row>
    <row r="2365">
      <c r="A2365" t="inlineStr">
        <is>
          <t>3월</t>
        </is>
      </c>
      <c r="B2365" t="inlineStr">
        <is>
          <t>12주차</t>
        </is>
      </c>
      <c r="C2365" t="inlineStr">
        <is>
          <t>EP</t>
        </is>
      </c>
      <c r="D2365" s="28" t="n">
        <v>46100</v>
      </c>
      <c r="E2365" t="inlineStr">
        <is>
          <t>현대EP_fast</t>
        </is>
      </c>
      <c r="F2365" t="inlineStr">
        <is>
          <t>차기홍</t>
        </is>
      </c>
      <c r="G2365" t="inlineStr">
        <is>
          <t>010-4352-3151</t>
        </is>
      </c>
      <c r="H2365" t="inlineStr">
        <is>
          <t>07보9499</t>
        </is>
      </c>
      <c r="I2365" t="n">
        <v>12900000</v>
      </c>
      <c r="J2365" t="n">
        <v>0.092</v>
      </c>
      <c r="K2365" t="n">
        <v>1.76</v>
      </c>
      <c r="L2365" t="n">
        <v>0.14</v>
      </c>
      <c r="M2365" t="n">
        <v>1.62</v>
      </c>
      <c r="P2365" t="inlineStr">
        <is>
          <t>정광호</t>
        </is>
      </c>
      <c r="Q2365" t="inlineStr">
        <is>
          <t>홈서비스 48개월</t>
        </is>
      </c>
      <c r="AB2365" t="inlineStr">
        <is>
          <t>홈서비스</t>
        </is>
      </c>
      <c r="AC2365" t="n">
        <v>227040</v>
      </c>
      <c r="AD2365" t="n">
        <v>18060</v>
      </c>
      <c r="AE2365" t="n">
        <v>208980</v>
      </c>
      <c r="AF2365" t="n">
        <v>206400</v>
      </c>
      <c r="AG2365" t="n">
        <v>17464.02</v>
      </c>
      <c r="AH2365" t="n">
        <v>188935.98</v>
      </c>
    </row>
    <row r="2366">
      <c r="A2366" t="inlineStr">
        <is>
          <t>3월</t>
        </is>
      </c>
      <c r="B2366" t="inlineStr">
        <is>
          <t>12주차</t>
        </is>
      </c>
      <c r="C2366" t="inlineStr">
        <is>
          <t>EP</t>
        </is>
      </c>
      <c r="D2366" s="28" t="n">
        <v>46099</v>
      </c>
      <c r="E2366" t="inlineStr">
        <is>
          <t>제이비EP</t>
        </is>
      </c>
      <c r="F2366" t="inlineStr">
        <is>
          <t>김이삭</t>
        </is>
      </c>
      <c r="G2366" t="inlineStr">
        <is>
          <t>010-6256-6478</t>
        </is>
      </c>
      <c r="H2366" t="inlineStr">
        <is>
          <t>248가9978</t>
        </is>
      </c>
      <c r="I2366" t="n">
        <v>25700000</v>
      </c>
      <c r="J2366" t="n">
        <v>0.06900000000000001</v>
      </c>
      <c r="K2366" t="n">
        <v>1.65</v>
      </c>
      <c r="L2366" t="n">
        <v>0.4</v>
      </c>
      <c r="M2366" t="n">
        <v>1.25</v>
      </c>
      <c r="P2366" t="inlineStr">
        <is>
          <t>박현민</t>
        </is>
      </c>
      <c r="AB2366" t="inlineStr">
        <is>
          <t>엔카</t>
        </is>
      </c>
      <c r="AC2366" t="n">
        <v>424050</v>
      </c>
      <c r="AD2366" t="n">
        <v>102800</v>
      </c>
      <c r="AE2366" t="n">
        <v>321250</v>
      </c>
      <c r="AF2366" t="n">
        <v>385500</v>
      </c>
      <c r="AG2366" t="n">
        <v>99407.60000000001</v>
      </c>
      <c r="AH2366" t="n">
        <v>286092.4</v>
      </c>
      <c r="AI2366" t="n">
        <v>0</v>
      </c>
    </row>
    <row r="2367">
      <c r="A2367" t="inlineStr">
        <is>
          <t>3월</t>
        </is>
      </c>
      <c r="B2367" t="inlineStr">
        <is>
          <t>12주차</t>
        </is>
      </c>
      <c r="C2367" t="inlineStr">
        <is>
          <t>IM</t>
        </is>
      </c>
      <c r="D2367" s="28" t="n">
        <v>46100</v>
      </c>
      <c r="E2367" t="inlineStr">
        <is>
          <t>IM캐피탈</t>
        </is>
      </c>
      <c r="F2367" t="inlineStr">
        <is>
          <t>김양수</t>
        </is>
      </c>
      <c r="G2367" t="inlineStr">
        <is>
          <t>010-7666-1929</t>
        </is>
      </c>
      <c r="H2367" t="inlineStr">
        <is>
          <t>34가1787</t>
        </is>
      </c>
      <c r="I2367" t="n">
        <v>30000000</v>
      </c>
      <c r="J2367" t="n">
        <v>0.049</v>
      </c>
      <c r="K2367" t="n">
        <v>1.1</v>
      </c>
      <c r="L2367" t="n">
        <v>0.14</v>
      </c>
      <c r="M2367" t="n">
        <v>0.96</v>
      </c>
      <c r="P2367" t="inlineStr">
        <is>
          <t>김나윤</t>
        </is>
      </c>
      <c r="Q2367" t="inlineStr">
        <is>
          <t>홈서비스 60개월</t>
        </is>
      </c>
      <c r="AB2367" t="inlineStr">
        <is>
          <t>홈서비스</t>
        </is>
      </c>
      <c r="AC2367" t="n">
        <v>330000</v>
      </c>
      <c r="AD2367" t="n">
        <v>42000</v>
      </c>
      <c r="AE2367" t="n">
        <v>288000</v>
      </c>
      <c r="AF2367" t="n">
        <v>300000</v>
      </c>
      <c r="AG2367" t="n">
        <v>40614</v>
      </c>
      <c r="AH2367" t="n">
        <v>259386</v>
      </c>
      <c r="AI2367" t="n">
        <v>0</v>
      </c>
    </row>
    <row r="2368">
      <c r="A2368" t="inlineStr">
        <is>
          <t>3월</t>
        </is>
      </c>
      <c r="B2368" t="inlineStr">
        <is>
          <t>12주차</t>
        </is>
      </c>
      <c r="C2368" t="inlineStr">
        <is>
          <t>IM</t>
        </is>
      </c>
      <c r="D2368" s="28" t="n">
        <v>46100</v>
      </c>
      <c r="E2368" t="inlineStr">
        <is>
          <t>IM캐피탈</t>
        </is>
      </c>
      <c r="F2368" t="inlineStr">
        <is>
          <t>강성진</t>
        </is>
      </c>
      <c r="G2368" t="inlineStr">
        <is>
          <t>010-2638-3732</t>
        </is>
      </c>
      <c r="H2368" t="inlineStr">
        <is>
          <t>104모6323</t>
        </is>
      </c>
      <c r="I2368" t="n">
        <v>36500000</v>
      </c>
      <c r="J2368" t="n">
        <v>0.049</v>
      </c>
      <c r="K2368" t="n">
        <v>1.1</v>
      </c>
      <c r="L2368" t="n">
        <v>0.14</v>
      </c>
      <c r="M2368" t="n">
        <v>0.96</v>
      </c>
      <c r="P2368" t="inlineStr">
        <is>
          <t>정세빈</t>
        </is>
      </c>
      <c r="Q2368" t="inlineStr">
        <is>
          <t>홈서비스 60개월</t>
        </is>
      </c>
      <c r="AB2368" t="inlineStr">
        <is>
          <t>홈서비스</t>
        </is>
      </c>
      <c r="AC2368" t="n">
        <v>401500</v>
      </c>
      <c r="AD2368" t="n">
        <v>51100</v>
      </c>
      <c r="AE2368" t="n">
        <v>350400</v>
      </c>
      <c r="AF2368" t="n">
        <v>365000</v>
      </c>
      <c r="AG2368" t="n">
        <v>49413.7</v>
      </c>
      <c r="AH2368" t="n">
        <v>315586.3</v>
      </c>
      <c r="AI2368" t="n">
        <v>0</v>
      </c>
    </row>
    <row r="2369">
      <c r="A2369" t="inlineStr">
        <is>
          <t>3월</t>
        </is>
      </c>
      <c r="B2369" t="inlineStr">
        <is>
          <t>12주차</t>
        </is>
      </c>
      <c r="C2369" t="inlineStr">
        <is>
          <t>IM</t>
        </is>
      </c>
      <c r="D2369" s="28" t="n">
        <v>46100</v>
      </c>
      <c r="E2369" t="inlineStr">
        <is>
          <t>IM캐피탈</t>
        </is>
      </c>
      <c r="F2369" t="inlineStr">
        <is>
          <t>서지영</t>
        </is>
      </c>
      <c r="G2369" t="inlineStr">
        <is>
          <t>010-8006-8266</t>
        </is>
      </c>
      <c r="H2369" t="inlineStr">
        <is>
          <t>69더1406</t>
        </is>
      </c>
      <c r="I2369" t="n">
        <v>16700000</v>
      </c>
      <c r="J2369" t="n">
        <v>0.039</v>
      </c>
      <c r="K2369" t="n">
        <v>1.1</v>
      </c>
      <c r="L2369" t="n">
        <v>0.14</v>
      </c>
      <c r="M2369" t="n">
        <v>0.96</v>
      </c>
      <c r="P2369" t="inlineStr">
        <is>
          <t>정세빈</t>
        </is>
      </c>
      <c r="Q2369" t="inlineStr">
        <is>
          <t>홈서비스 36개월</t>
        </is>
      </c>
      <c r="AB2369" t="inlineStr">
        <is>
          <t>홈서비스</t>
        </is>
      </c>
      <c r="AC2369" t="n">
        <v>183700</v>
      </c>
      <c r="AD2369" t="n">
        <v>23380</v>
      </c>
      <c r="AE2369" t="n">
        <v>160320</v>
      </c>
      <c r="AF2369" t="n">
        <v>167000</v>
      </c>
      <c r="AG2369" t="n">
        <v>22608.46</v>
      </c>
      <c r="AH2369" t="n">
        <v>144391.54</v>
      </c>
      <c r="AI2369" t="n">
        <v>0</v>
      </c>
    </row>
    <row r="2370">
      <c r="A2370" t="inlineStr">
        <is>
          <t>3월</t>
        </is>
      </c>
      <c r="B2370" t="inlineStr">
        <is>
          <t>12주차</t>
        </is>
      </c>
      <c r="C2370" t="inlineStr">
        <is>
          <t>EP</t>
        </is>
      </c>
      <c r="D2370" s="28" t="n">
        <v>46100</v>
      </c>
      <c r="E2370" t="inlineStr">
        <is>
          <t>현대EP_fast</t>
        </is>
      </c>
      <c r="F2370" t="inlineStr">
        <is>
          <t>박유리</t>
        </is>
      </c>
      <c r="G2370" t="inlineStr">
        <is>
          <t>010-4612-9418</t>
        </is>
      </c>
      <c r="H2370" t="inlineStr">
        <is>
          <t>59조2249</t>
        </is>
      </c>
      <c r="I2370" t="n">
        <v>6900000</v>
      </c>
      <c r="J2370" t="n">
        <v>0.092</v>
      </c>
      <c r="K2370" t="n">
        <v>1.76</v>
      </c>
      <c r="L2370" t="n">
        <v>0.4</v>
      </c>
      <c r="M2370" t="n">
        <v>1.36</v>
      </c>
      <c r="P2370" t="inlineStr">
        <is>
          <t>정광호</t>
        </is>
      </c>
      <c r="Q2370" t="inlineStr">
        <is>
          <t>홈서비스 선 실행 후 직거래 변경</t>
        </is>
      </c>
      <c r="AB2370" t="inlineStr">
        <is>
          <t>엔카</t>
        </is>
      </c>
      <c r="AC2370" t="n">
        <v>121440</v>
      </c>
      <c r="AD2370" t="n">
        <v>27600</v>
      </c>
      <c r="AE2370" t="n">
        <v>93840</v>
      </c>
      <c r="AF2370" t="n">
        <v>110400</v>
      </c>
      <c r="AG2370" t="n">
        <v>26689.2</v>
      </c>
      <c r="AH2370" t="n">
        <v>83710.8</v>
      </c>
      <c r="AI2370" t="n">
        <v>0</v>
      </c>
    </row>
    <row r="2371">
      <c r="A2371" t="inlineStr">
        <is>
          <t>3월</t>
        </is>
      </c>
      <c r="B2371" t="inlineStr">
        <is>
          <t>12주차</t>
        </is>
      </c>
      <c r="C2371" t="inlineStr">
        <is>
          <t>IM</t>
        </is>
      </c>
      <c r="D2371" s="28" t="n">
        <v>46100</v>
      </c>
      <c r="E2371" t="inlineStr">
        <is>
          <t>IM캐피탈</t>
        </is>
      </c>
      <c r="F2371" t="inlineStr">
        <is>
          <t>전진</t>
        </is>
      </c>
      <c r="G2371" t="inlineStr">
        <is>
          <t>010-9955-4921</t>
        </is>
      </c>
      <c r="H2371" t="inlineStr">
        <is>
          <t>55다7290</t>
        </is>
      </c>
      <c r="I2371" t="n">
        <v>11600000</v>
      </c>
      <c r="J2371" t="n">
        <v>0.049</v>
      </c>
      <c r="K2371" t="n">
        <v>1.1</v>
      </c>
      <c r="L2371" t="n">
        <v>0.14</v>
      </c>
      <c r="M2371" t="n">
        <v>0.96</v>
      </c>
      <c r="P2371" t="inlineStr">
        <is>
          <t>김나윤</t>
        </is>
      </c>
      <c r="Q2371" t="inlineStr">
        <is>
          <t>홈서비스 36개월</t>
        </is>
      </c>
      <c r="AB2371" t="inlineStr">
        <is>
          <t>홈서비스</t>
        </is>
      </c>
      <c r="AC2371" t="n">
        <v>127600</v>
      </c>
      <c r="AD2371" t="n">
        <v>16240</v>
      </c>
      <c r="AE2371" t="n">
        <v>111360</v>
      </c>
      <c r="AF2371" t="n">
        <v>116000</v>
      </c>
      <c r="AG2371" t="n">
        <v>15704.08</v>
      </c>
      <c r="AH2371" t="n">
        <v>100295.92</v>
      </c>
      <c r="AI2371" t="n">
        <v>0</v>
      </c>
    </row>
    <row r="2372">
      <c r="A2372" t="inlineStr">
        <is>
          <t>3월</t>
        </is>
      </c>
      <c r="B2372" t="inlineStr">
        <is>
          <t>12주차</t>
        </is>
      </c>
      <c r="C2372" t="inlineStr">
        <is>
          <t>EP</t>
        </is>
      </c>
      <c r="D2372" s="28" t="n">
        <v>46100</v>
      </c>
      <c r="E2372" t="inlineStr">
        <is>
          <t>현대EP</t>
        </is>
      </c>
      <c r="F2372" t="inlineStr">
        <is>
          <t>이승민</t>
        </is>
      </c>
      <c r="G2372" t="inlineStr">
        <is>
          <t>010-7103-0895</t>
        </is>
      </c>
      <c r="H2372" t="inlineStr">
        <is>
          <t>172우5599</t>
        </is>
      </c>
      <c r="I2372" t="n">
        <v>12000000</v>
      </c>
      <c r="J2372" t="n">
        <v>0.07099999999999999</v>
      </c>
      <c r="K2372" t="n">
        <v>1.76</v>
      </c>
      <c r="L2372" t="n">
        <v>0.14</v>
      </c>
      <c r="M2372" t="n">
        <v>1.62</v>
      </c>
      <c r="P2372" t="inlineStr">
        <is>
          <t>황채이</t>
        </is>
      </c>
      <c r="Q2372" t="inlineStr">
        <is>
          <t>홈서비스 36개월</t>
        </is>
      </c>
      <c r="AB2372" t="inlineStr">
        <is>
          <t>홈서비스</t>
        </is>
      </c>
      <c r="AC2372" t="n">
        <v>211200</v>
      </c>
      <c r="AD2372" t="n">
        <v>16800</v>
      </c>
      <c r="AE2372" t="n">
        <v>194400</v>
      </c>
      <c r="AF2372" t="n">
        <v>192000</v>
      </c>
      <c r="AG2372" t="n">
        <v>16245.6</v>
      </c>
      <c r="AH2372" t="n">
        <v>175754.4</v>
      </c>
      <c r="AI2372" t="n">
        <v>0</v>
      </c>
    </row>
    <row r="2373">
      <c r="A2373" t="inlineStr">
        <is>
          <t>3월</t>
        </is>
      </c>
      <c r="B2373" t="inlineStr">
        <is>
          <t>12주차</t>
        </is>
      </c>
      <c r="C2373" t="inlineStr">
        <is>
          <t>EP</t>
        </is>
      </c>
      <c r="D2373" s="28" t="n">
        <v>46100</v>
      </c>
      <c r="E2373" t="inlineStr">
        <is>
          <t>현대EP</t>
        </is>
      </c>
      <c r="F2373" t="inlineStr">
        <is>
          <t>김동영</t>
        </is>
      </c>
      <c r="G2373" t="inlineStr">
        <is>
          <t>010-4388-2960</t>
        </is>
      </c>
      <c r="H2373" t="inlineStr">
        <is>
          <t>354수7246</t>
        </is>
      </c>
      <c r="I2373" t="n">
        <v>17500000</v>
      </c>
      <c r="J2373" t="n">
        <v>0.134</v>
      </c>
      <c r="K2373" t="n">
        <v>1.76</v>
      </c>
      <c r="L2373" t="n">
        <v>0.14</v>
      </c>
      <c r="M2373" t="n">
        <v>1.62</v>
      </c>
      <c r="P2373" t="inlineStr">
        <is>
          <t>정세빈</t>
        </is>
      </c>
      <c r="Q2373" t="inlineStr">
        <is>
          <t>홈서비스 48개월</t>
        </is>
      </c>
      <c r="AB2373" t="inlineStr">
        <is>
          <t>홈서비스</t>
        </is>
      </c>
      <c r="AC2373" t="n">
        <v>308000</v>
      </c>
      <c r="AD2373" t="n">
        <v>24500</v>
      </c>
      <c r="AE2373" t="n">
        <v>283500</v>
      </c>
      <c r="AF2373" t="n">
        <v>280000</v>
      </c>
      <c r="AG2373" t="n">
        <v>23691.5</v>
      </c>
      <c r="AH2373" t="n">
        <v>256308.5</v>
      </c>
      <c r="AI2373" t="n">
        <v>0</v>
      </c>
    </row>
    <row r="2374">
      <c r="A2374" t="inlineStr">
        <is>
          <t>3월</t>
        </is>
      </c>
      <c r="B2374" t="inlineStr">
        <is>
          <t>12주차</t>
        </is>
      </c>
      <c r="C2374" t="inlineStr">
        <is>
          <t>IM</t>
        </is>
      </c>
      <c r="D2374" s="28" t="n">
        <v>46100</v>
      </c>
      <c r="E2374" t="inlineStr">
        <is>
          <t>IM캐피탈</t>
        </is>
      </c>
      <c r="F2374" t="inlineStr">
        <is>
          <t>이수빈</t>
        </is>
      </c>
      <c r="G2374" t="inlineStr">
        <is>
          <t>010-4453-9920</t>
        </is>
      </c>
      <c r="H2374" t="inlineStr">
        <is>
          <t>165가6660</t>
        </is>
      </c>
      <c r="I2374" t="n">
        <v>20000000</v>
      </c>
      <c r="J2374" t="n">
        <v>0.039</v>
      </c>
      <c r="K2374" t="n">
        <v>1.1</v>
      </c>
      <c r="L2374" t="n">
        <v>0.14</v>
      </c>
      <c r="M2374" t="n">
        <v>0.96</v>
      </c>
      <c r="P2374" t="inlineStr">
        <is>
          <t>정광호</t>
        </is>
      </c>
      <c r="Q2374" t="inlineStr">
        <is>
          <t>홈서비스 60개월</t>
        </is>
      </c>
      <c r="AB2374" t="inlineStr">
        <is>
          <t>홈서비스</t>
        </is>
      </c>
      <c r="AC2374" t="n">
        <v>220000</v>
      </c>
      <c r="AD2374" t="n">
        <v>28000</v>
      </c>
      <c r="AE2374" t="n">
        <v>192000</v>
      </c>
      <c r="AF2374" t="n">
        <v>200000</v>
      </c>
      <c r="AG2374" t="n">
        <v>27076</v>
      </c>
      <c r="AH2374" t="n">
        <v>172924</v>
      </c>
      <c r="AI2374" t="n">
        <v>0</v>
      </c>
    </row>
    <row r="2375">
      <c r="A2375" t="inlineStr">
        <is>
          <t>3월</t>
        </is>
      </c>
      <c r="B2375" t="inlineStr">
        <is>
          <t>12주차</t>
        </is>
      </c>
      <c r="C2375" t="inlineStr">
        <is>
          <t>EP</t>
        </is>
      </c>
      <c r="D2375" s="28" t="n">
        <v>46100</v>
      </c>
      <c r="E2375" t="inlineStr">
        <is>
          <t>현대EP</t>
        </is>
      </c>
      <c r="F2375" t="inlineStr">
        <is>
          <t>김은빛</t>
        </is>
      </c>
      <c r="G2375" t="inlineStr">
        <is>
          <t>010-7395-7270</t>
        </is>
      </c>
      <c r="H2375" t="inlineStr">
        <is>
          <t>278조2616</t>
        </is>
      </c>
      <c r="I2375" t="n">
        <v>12800000</v>
      </c>
      <c r="J2375" t="n">
        <v>0.077</v>
      </c>
      <c r="K2375" t="n">
        <v>1.76</v>
      </c>
      <c r="L2375" t="n">
        <v>0.14</v>
      </c>
      <c r="M2375" t="n">
        <v>1.62</v>
      </c>
      <c r="P2375" t="inlineStr">
        <is>
          <t>정광호</t>
        </is>
      </c>
      <c r="Q2375" t="inlineStr">
        <is>
          <t>홈서비스 60개월</t>
        </is>
      </c>
      <c r="AB2375" t="inlineStr">
        <is>
          <t>홈서비스</t>
        </is>
      </c>
      <c r="AC2375" t="n">
        <v>225280</v>
      </c>
      <c r="AD2375" t="n">
        <v>17920</v>
      </c>
      <c r="AE2375" t="n">
        <v>207360</v>
      </c>
      <c r="AF2375" t="n">
        <v>204800</v>
      </c>
      <c r="AG2375" t="n">
        <v>17328.64</v>
      </c>
      <c r="AH2375" t="n">
        <v>187471.36</v>
      </c>
    </row>
    <row r="2376">
      <c r="A2376" t="inlineStr">
        <is>
          <t>3월</t>
        </is>
      </c>
      <c r="B2376" t="inlineStr">
        <is>
          <t>12주차</t>
        </is>
      </c>
      <c r="C2376" t="inlineStr">
        <is>
          <t>IM</t>
        </is>
      </c>
      <c r="D2376" s="28" t="n">
        <v>46099</v>
      </c>
      <c r="E2376" t="inlineStr">
        <is>
          <t>IM캐피탈</t>
        </is>
      </c>
      <c r="F2376" t="inlineStr">
        <is>
          <t>이운용</t>
        </is>
      </c>
      <c r="G2376" t="inlineStr">
        <is>
          <t>010-3839-0482</t>
        </is>
      </c>
      <c r="H2376" t="inlineStr">
        <is>
          <t>180너7773</t>
        </is>
      </c>
      <c r="I2376" t="n">
        <v>31000000</v>
      </c>
      <c r="J2376" t="n">
        <v>0.049</v>
      </c>
      <c r="K2376" t="n">
        <v>1.1</v>
      </c>
      <c r="L2376" t="n">
        <v>0.4</v>
      </c>
      <c r="M2376" t="n">
        <v>0.7</v>
      </c>
      <c r="P2376" t="inlineStr">
        <is>
          <t>장진경</t>
        </is>
      </c>
      <c r="AB2376" t="inlineStr">
        <is>
          <t>엔카</t>
        </is>
      </c>
      <c r="AC2376" t="n">
        <v>341000</v>
      </c>
      <c r="AD2376" t="n">
        <v>124000</v>
      </c>
      <c r="AE2376" t="n">
        <v>217000</v>
      </c>
      <c r="AF2376" t="n">
        <v>310000</v>
      </c>
      <c r="AG2376" t="n">
        <v>119908</v>
      </c>
      <c r="AH2376" t="n">
        <v>190092</v>
      </c>
      <c r="AI2376" t="n">
        <v>0</v>
      </c>
    </row>
    <row r="2377">
      <c r="A2377" t="inlineStr">
        <is>
          <t>3월</t>
        </is>
      </c>
      <c r="B2377" t="inlineStr">
        <is>
          <t>12주차</t>
        </is>
      </c>
      <c r="C2377" t="inlineStr">
        <is>
          <t>EP</t>
        </is>
      </c>
      <c r="D2377" s="28" t="n">
        <v>46097</v>
      </c>
      <c r="E2377" t="inlineStr">
        <is>
          <t>제이비EP</t>
        </is>
      </c>
      <c r="F2377" t="inlineStr">
        <is>
          <t>전현태</t>
        </is>
      </c>
      <c r="G2377" t="inlineStr">
        <is>
          <t>010-6875-5432</t>
        </is>
      </c>
      <c r="H2377" t="inlineStr">
        <is>
          <t>249로7579</t>
        </is>
      </c>
      <c r="I2377" t="n">
        <v>50000000</v>
      </c>
      <c r="J2377" t="n">
        <v>0.07199999999999999</v>
      </c>
      <c r="K2377" t="n">
        <v>1.65</v>
      </c>
      <c r="L2377" t="n">
        <v>0.14</v>
      </c>
      <c r="M2377" t="n">
        <v>1.51</v>
      </c>
      <c r="P2377" t="inlineStr">
        <is>
          <t>박보람</t>
        </is>
      </c>
      <c r="Q2377" t="inlineStr">
        <is>
          <t>선상담 / 홈서비스 60개월</t>
        </is>
      </c>
      <c r="AB2377" t="inlineStr">
        <is>
          <t>홈서비스</t>
        </is>
      </c>
      <c r="AC2377" t="n">
        <v>825000</v>
      </c>
      <c r="AD2377" t="n">
        <v>70000</v>
      </c>
      <c r="AE2377" t="n">
        <v>755000</v>
      </c>
      <c r="AF2377" t="n">
        <v>750000</v>
      </c>
      <c r="AG2377" t="n">
        <v>67690</v>
      </c>
      <c r="AH2377" t="n">
        <v>682310</v>
      </c>
    </row>
    <row r="2378">
      <c r="A2378" t="inlineStr">
        <is>
          <t>3월</t>
        </is>
      </c>
      <c r="B2378" t="inlineStr">
        <is>
          <t>12주차</t>
        </is>
      </c>
      <c r="C2378" t="inlineStr">
        <is>
          <t>EP</t>
        </is>
      </c>
      <c r="D2378" s="28" t="n">
        <v>46100</v>
      </c>
      <c r="E2378" t="inlineStr">
        <is>
          <t>현대EP</t>
        </is>
      </c>
      <c r="F2378" t="inlineStr">
        <is>
          <t>김민구</t>
        </is>
      </c>
      <c r="G2378" t="inlineStr">
        <is>
          <t>010-9385-6477</t>
        </is>
      </c>
      <c r="H2378" t="inlineStr">
        <is>
          <t>314어3879</t>
        </is>
      </c>
      <c r="I2378" t="n">
        <v>23000000</v>
      </c>
      <c r="J2378" t="n">
        <v>0.08500000000000001</v>
      </c>
      <c r="K2378" t="n">
        <v>1.76</v>
      </c>
      <c r="L2378" t="n">
        <v>0.14</v>
      </c>
      <c r="M2378" t="n">
        <v>1.62</v>
      </c>
      <c r="P2378" t="inlineStr">
        <is>
          <t>정세빈</t>
        </is>
      </c>
      <c r="Q2378" t="inlineStr">
        <is>
          <t>홈서비스 60개월</t>
        </is>
      </c>
      <c r="AB2378" t="inlineStr">
        <is>
          <t>홈서비스</t>
        </is>
      </c>
      <c r="AC2378" t="n">
        <v>404800</v>
      </c>
      <c r="AD2378" t="n">
        <v>32200</v>
      </c>
      <c r="AE2378" t="n">
        <v>372600</v>
      </c>
      <c r="AF2378" t="n">
        <v>368000</v>
      </c>
      <c r="AG2378" t="n">
        <v>31137.4</v>
      </c>
      <c r="AH2378" t="n">
        <v>336862.6</v>
      </c>
      <c r="AI2378" t="n">
        <v>0</v>
      </c>
    </row>
    <row r="2379">
      <c r="A2379" t="inlineStr">
        <is>
          <t>3월</t>
        </is>
      </c>
      <c r="B2379" t="inlineStr">
        <is>
          <t>12주차</t>
        </is>
      </c>
      <c r="C2379" t="inlineStr">
        <is>
          <t>EP</t>
        </is>
      </c>
      <c r="D2379" s="28" t="n">
        <v>46100</v>
      </c>
      <c r="E2379" t="inlineStr">
        <is>
          <t>BNKEP</t>
        </is>
      </c>
      <c r="F2379" t="inlineStr">
        <is>
          <t>최향춘</t>
        </is>
      </c>
      <c r="G2379" t="inlineStr">
        <is>
          <t>010-2290-6596</t>
        </is>
      </c>
      <c r="H2379" t="inlineStr">
        <is>
          <t>97고3629</t>
        </is>
      </c>
      <c r="I2379" t="n">
        <v>6300000</v>
      </c>
      <c r="J2379" t="n">
        <v>0.063</v>
      </c>
      <c r="K2379" t="n">
        <v>1.65</v>
      </c>
      <c r="L2379" t="n">
        <v>0.14</v>
      </c>
      <c r="M2379" t="n">
        <v>1.51</v>
      </c>
      <c r="P2379" t="inlineStr">
        <is>
          <t>김나윤</t>
        </is>
      </c>
      <c r="Q2379" t="inlineStr">
        <is>
          <t>홈서비스 60개월</t>
        </is>
      </c>
      <c r="AB2379" t="inlineStr">
        <is>
          <t>홈서비스</t>
        </is>
      </c>
      <c r="AC2379" t="n">
        <v>103950</v>
      </c>
      <c r="AD2379" t="n">
        <v>8820</v>
      </c>
      <c r="AE2379" t="n">
        <v>95130</v>
      </c>
      <c r="AF2379" t="n">
        <v>94500</v>
      </c>
      <c r="AG2379" t="n">
        <v>8528.940000000001</v>
      </c>
      <c r="AH2379" t="n">
        <v>85971.06</v>
      </c>
    </row>
    <row r="2380">
      <c r="A2380" t="inlineStr">
        <is>
          <t>3월</t>
        </is>
      </c>
      <c r="B2380" t="inlineStr">
        <is>
          <t>12주차</t>
        </is>
      </c>
      <c r="C2380" t="inlineStr">
        <is>
          <t>EP</t>
        </is>
      </c>
      <c r="D2380" s="28" t="n">
        <v>46099</v>
      </c>
      <c r="E2380" t="inlineStr">
        <is>
          <t>제이비EP</t>
        </is>
      </c>
      <c r="F2380" t="inlineStr">
        <is>
          <t>김도환</t>
        </is>
      </c>
      <c r="G2380" t="inlineStr">
        <is>
          <t>010-4895-5516</t>
        </is>
      </c>
      <c r="H2380" t="inlineStr">
        <is>
          <t>376러7429</t>
        </is>
      </c>
      <c r="I2380" t="n">
        <v>25000000</v>
      </c>
      <c r="J2380" t="n">
        <v>0.11</v>
      </c>
      <c r="K2380" t="n">
        <v>1.65</v>
      </c>
      <c r="L2380" t="n">
        <v>0.4</v>
      </c>
      <c r="M2380" t="n">
        <v>1.25</v>
      </c>
      <c r="P2380" t="inlineStr">
        <is>
          <t>박소현</t>
        </is>
      </c>
      <c r="Q2380" t="inlineStr">
        <is>
          <t>부대비용추가진행</t>
        </is>
      </c>
      <c r="AB2380" t="inlineStr">
        <is>
          <t>엔카</t>
        </is>
      </c>
      <c r="AC2380" t="n">
        <v>412500</v>
      </c>
      <c r="AD2380" t="n">
        <v>100000</v>
      </c>
      <c r="AE2380" t="n">
        <v>312500</v>
      </c>
      <c r="AF2380" t="n">
        <v>375000</v>
      </c>
      <c r="AG2380" t="n">
        <v>96700</v>
      </c>
      <c r="AH2380" t="n">
        <v>278300</v>
      </c>
      <c r="AI2380" t="n">
        <v>0</v>
      </c>
    </row>
    <row r="2381">
      <c r="A2381" t="inlineStr">
        <is>
          <t>3월</t>
        </is>
      </c>
      <c r="B2381" t="inlineStr">
        <is>
          <t>12주차</t>
        </is>
      </c>
      <c r="C2381" t="inlineStr">
        <is>
          <t>EP</t>
        </is>
      </c>
      <c r="D2381" s="28" t="n">
        <v>46100</v>
      </c>
      <c r="E2381" t="inlineStr">
        <is>
          <t>현대EP</t>
        </is>
      </c>
      <c r="F2381" t="inlineStr">
        <is>
          <t>우수양</t>
        </is>
      </c>
      <c r="G2381" t="inlineStr">
        <is>
          <t>010-3435-6329</t>
        </is>
      </c>
      <c r="H2381" t="inlineStr">
        <is>
          <t>30누3455</t>
        </is>
      </c>
      <c r="I2381" t="n">
        <v>16300000</v>
      </c>
      <c r="J2381" t="n">
        <v>0.062</v>
      </c>
      <c r="K2381" t="n">
        <v>1.76</v>
      </c>
      <c r="L2381" t="n">
        <v>0.14</v>
      </c>
      <c r="M2381" t="n">
        <v>1.62</v>
      </c>
      <c r="P2381" t="inlineStr">
        <is>
          <t>김나윤</t>
        </is>
      </c>
      <c r="Q2381" t="inlineStr">
        <is>
          <t>홈서비스 24개월</t>
        </is>
      </c>
      <c r="AB2381" t="inlineStr">
        <is>
          <t>홈서비스</t>
        </is>
      </c>
      <c r="AC2381" t="n">
        <v>286880</v>
      </c>
      <c r="AD2381" t="n">
        <v>22820</v>
      </c>
      <c r="AE2381" t="n">
        <v>264060</v>
      </c>
      <c r="AF2381" t="n">
        <v>260800</v>
      </c>
      <c r="AG2381" t="n">
        <v>22066.94</v>
      </c>
      <c r="AH2381" t="n">
        <v>238733.06</v>
      </c>
      <c r="AI2381" t="n">
        <v>0</v>
      </c>
    </row>
    <row r="2382">
      <c r="A2382" t="inlineStr">
        <is>
          <t>3월</t>
        </is>
      </c>
      <c r="B2382" t="inlineStr">
        <is>
          <t>12주차</t>
        </is>
      </c>
      <c r="C2382" t="inlineStr">
        <is>
          <t>EP</t>
        </is>
      </c>
      <c r="D2382" s="28" t="n">
        <v>46100</v>
      </c>
      <c r="E2382" t="inlineStr">
        <is>
          <t>제이비EP</t>
        </is>
      </c>
      <c r="F2382" t="inlineStr">
        <is>
          <t>이승희</t>
        </is>
      </c>
      <c r="G2382" t="inlineStr">
        <is>
          <t>010-9211-1416</t>
        </is>
      </c>
      <c r="H2382" t="inlineStr">
        <is>
          <t>17부6140</t>
        </is>
      </c>
      <c r="I2382" t="n">
        <v>17400000</v>
      </c>
      <c r="J2382" t="n">
        <v>0.11</v>
      </c>
      <c r="K2382" t="n">
        <v>1.65</v>
      </c>
      <c r="L2382" t="n">
        <v>0.4</v>
      </c>
      <c r="M2382" t="n">
        <v>1.25</v>
      </c>
      <c r="P2382" t="inlineStr">
        <is>
          <t>박보람</t>
        </is>
      </c>
      <c r="AB2382" t="inlineStr">
        <is>
          <t>엔카</t>
        </is>
      </c>
      <c r="AC2382" t="n">
        <v>287100</v>
      </c>
      <c r="AD2382" t="n">
        <v>69600</v>
      </c>
      <c r="AE2382" t="n">
        <v>217500</v>
      </c>
      <c r="AF2382" t="n">
        <v>261000</v>
      </c>
      <c r="AG2382" t="n">
        <v>67303.2</v>
      </c>
      <c r="AH2382" t="n">
        <v>193696.8</v>
      </c>
      <c r="AI2382" t="n">
        <v>0</v>
      </c>
    </row>
    <row r="2383">
      <c r="A2383" t="inlineStr">
        <is>
          <t>3월</t>
        </is>
      </c>
      <c r="B2383" t="inlineStr">
        <is>
          <t>12주차</t>
        </is>
      </c>
      <c r="C2383" t="inlineStr">
        <is>
          <t>EP</t>
        </is>
      </c>
      <c r="D2383" s="28" t="n">
        <v>46101</v>
      </c>
      <c r="E2383" t="inlineStr">
        <is>
          <t>현대EP_fast</t>
        </is>
      </c>
      <c r="F2383" t="inlineStr">
        <is>
          <t>박찬솔</t>
        </is>
      </c>
      <c r="G2383" t="inlineStr">
        <is>
          <t>010-5373-8906</t>
        </is>
      </c>
      <c r="H2383" t="inlineStr">
        <is>
          <t>142가3347</t>
        </is>
      </c>
      <c r="I2383" t="n">
        <v>27900000</v>
      </c>
      <c r="J2383" t="n">
        <v>0.08500000000000001</v>
      </c>
      <c r="K2383" t="n">
        <v>1.76</v>
      </c>
      <c r="L2383" t="n">
        <v>0.14</v>
      </c>
      <c r="M2383" t="n">
        <v>1.62</v>
      </c>
      <c r="P2383" t="inlineStr">
        <is>
          <t>정광호</t>
        </is>
      </c>
      <c r="Q2383" t="inlineStr">
        <is>
          <t>홈서비스 60개월</t>
        </is>
      </c>
      <c r="AB2383" t="inlineStr">
        <is>
          <t>홈서비스</t>
        </is>
      </c>
      <c r="AC2383" t="n">
        <v>491040</v>
      </c>
      <c r="AD2383" t="n">
        <v>39060</v>
      </c>
      <c r="AE2383" t="n">
        <v>451980</v>
      </c>
      <c r="AF2383" t="n">
        <v>446400</v>
      </c>
      <c r="AG2383" t="n">
        <v>37771.02</v>
      </c>
      <c r="AH2383" t="n">
        <v>408628.98</v>
      </c>
      <c r="AI2383" t="n">
        <v>0</v>
      </c>
    </row>
    <row r="2384">
      <c r="A2384" t="inlineStr">
        <is>
          <t>3월</t>
        </is>
      </c>
      <c r="B2384" t="inlineStr">
        <is>
          <t>12주차</t>
        </is>
      </c>
      <c r="C2384" t="inlineStr">
        <is>
          <t>EP</t>
        </is>
      </c>
      <c r="D2384" s="28" t="n">
        <v>46100</v>
      </c>
      <c r="E2384" t="inlineStr">
        <is>
          <t>현대EP_fast</t>
        </is>
      </c>
      <c r="F2384" t="inlineStr">
        <is>
          <t>김우영</t>
        </is>
      </c>
      <c r="G2384" t="inlineStr">
        <is>
          <t>010-4745-3765</t>
        </is>
      </c>
      <c r="H2384" t="inlineStr">
        <is>
          <t>28저7734</t>
        </is>
      </c>
      <c r="I2384" t="n">
        <v>5900000</v>
      </c>
      <c r="J2384" t="n">
        <v>0.105</v>
      </c>
      <c r="K2384" t="n">
        <v>1.76</v>
      </c>
      <c r="L2384" t="n">
        <v>0.14</v>
      </c>
      <c r="M2384" t="n">
        <v>1.62</v>
      </c>
      <c r="P2384" t="inlineStr">
        <is>
          <t>김수연</t>
        </is>
      </c>
      <c r="Q2384" t="inlineStr">
        <is>
          <t>홈서비스 60개월</t>
        </is>
      </c>
      <c r="AB2384" t="inlineStr">
        <is>
          <t>홈서비스</t>
        </is>
      </c>
      <c r="AC2384" t="n">
        <v>103840</v>
      </c>
      <c r="AD2384" t="n">
        <v>8260</v>
      </c>
      <c r="AE2384" t="n">
        <v>95580</v>
      </c>
      <c r="AF2384" t="n">
        <v>94400</v>
      </c>
      <c r="AG2384" t="n">
        <v>7987.42</v>
      </c>
      <c r="AH2384" t="n">
        <v>86412.58</v>
      </c>
      <c r="AI2384" t="n">
        <v>0</v>
      </c>
    </row>
    <row r="2385">
      <c r="A2385" t="inlineStr">
        <is>
          <t>3월</t>
        </is>
      </c>
      <c r="B2385" t="inlineStr">
        <is>
          <t>12주차</t>
        </is>
      </c>
      <c r="C2385" t="inlineStr">
        <is>
          <t>IM</t>
        </is>
      </c>
      <c r="D2385" s="28" t="n">
        <v>46100</v>
      </c>
      <c r="E2385" t="inlineStr">
        <is>
          <t>IM캐피탈</t>
        </is>
      </c>
      <c r="F2385" t="inlineStr">
        <is>
          <t>김거윤</t>
        </is>
      </c>
      <c r="G2385" t="inlineStr">
        <is>
          <t>010-9079-1036</t>
        </is>
      </c>
      <c r="H2385" t="inlineStr">
        <is>
          <t>22오9935</t>
        </is>
      </c>
      <c r="I2385" t="n">
        <v>5800000</v>
      </c>
      <c r="J2385" t="n">
        <v>0.049</v>
      </c>
      <c r="K2385" t="n">
        <v>1.1</v>
      </c>
      <c r="L2385" t="n">
        <v>0.14</v>
      </c>
      <c r="M2385" t="n">
        <v>0.96</v>
      </c>
      <c r="P2385" t="inlineStr">
        <is>
          <t>김수연</t>
        </is>
      </c>
      <c r="Q2385" t="inlineStr">
        <is>
          <t>홈서비스 24개월</t>
        </is>
      </c>
      <c r="AB2385" t="inlineStr">
        <is>
          <t>홈서비스</t>
        </is>
      </c>
      <c r="AC2385" t="n">
        <v>63800</v>
      </c>
      <c r="AD2385" t="n">
        <v>8120</v>
      </c>
      <c r="AE2385" t="n">
        <v>55680</v>
      </c>
      <c r="AF2385" t="n">
        <v>58000</v>
      </c>
      <c r="AG2385" t="n">
        <v>7852.04</v>
      </c>
      <c r="AH2385" t="n">
        <v>50147.96</v>
      </c>
      <c r="AI2385" t="n">
        <v>0</v>
      </c>
    </row>
    <row r="2386">
      <c r="A2386" t="inlineStr">
        <is>
          <t>3월</t>
        </is>
      </c>
      <c r="B2386" t="inlineStr">
        <is>
          <t>12주차</t>
        </is>
      </c>
      <c r="C2386" t="inlineStr">
        <is>
          <t>EP</t>
        </is>
      </c>
      <c r="D2386" s="28" t="n">
        <v>46101</v>
      </c>
      <c r="E2386" t="inlineStr">
        <is>
          <t>현대EP_fast</t>
        </is>
      </c>
      <c r="F2386" t="inlineStr">
        <is>
          <t>김형우</t>
        </is>
      </c>
      <c r="G2386" t="inlineStr">
        <is>
          <t>010-4448-3995</t>
        </is>
      </c>
      <c r="H2386" t="inlineStr">
        <is>
          <t>123우5456</t>
        </is>
      </c>
      <c r="I2386" t="n">
        <v>30000000</v>
      </c>
      <c r="J2386" t="n">
        <v>0.09</v>
      </c>
      <c r="K2386" t="n">
        <v>1.76</v>
      </c>
      <c r="L2386" t="n">
        <v>0.14</v>
      </c>
      <c r="M2386" t="n">
        <v>1.62</v>
      </c>
      <c r="P2386" t="inlineStr">
        <is>
          <t>김수연</t>
        </is>
      </c>
      <c r="Q2386" t="inlineStr">
        <is>
          <t>홈서비스 24개월</t>
        </is>
      </c>
      <c r="AB2386" t="inlineStr">
        <is>
          <t>홈서비스</t>
        </is>
      </c>
      <c r="AC2386" t="n">
        <v>528000</v>
      </c>
      <c r="AD2386" t="n">
        <v>42000</v>
      </c>
      <c r="AE2386" t="n">
        <v>486000</v>
      </c>
      <c r="AF2386" t="n">
        <v>480000</v>
      </c>
      <c r="AG2386" t="n">
        <v>40614</v>
      </c>
      <c r="AH2386" t="n">
        <v>439386</v>
      </c>
      <c r="AI2386" t="n">
        <v>0</v>
      </c>
    </row>
    <row r="2387">
      <c r="A2387" t="inlineStr">
        <is>
          <t>3월</t>
        </is>
      </c>
      <c r="B2387" t="inlineStr">
        <is>
          <t>12주차</t>
        </is>
      </c>
      <c r="C2387" t="inlineStr">
        <is>
          <t>WC</t>
        </is>
      </c>
      <c r="D2387" s="28" t="n">
        <v>46099</v>
      </c>
      <c r="E2387" t="inlineStr">
        <is>
          <t>웰컴저축은행</t>
        </is>
      </c>
      <c r="F2387" t="inlineStr">
        <is>
          <t>김진오</t>
        </is>
      </c>
      <c r="G2387" t="inlineStr">
        <is>
          <t>010-6779-8470</t>
        </is>
      </c>
      <c r="H2387" t="inlineStr">
        <is>
          <t>136보7539</t>
        </is>
      </c>
      <c r="I2387" t="n">
        <v>19900000</v>
      </c>
      <c r="J2387" t="n">
        <v>0.179</v>
      </c>
      <c r="K2387" t="n">
        <v>0</v>
      </c>
      <c r="L2387" t="n">
        <v>0.14</v>
      </c>
      <c r="M2387" t="n">
        <v>-0.14</v>
      </c>
      <c r="P2387" t="inlineStr">
        <is>
          <t>최형주</t>
        </is>
      </c>
      <c r="Q2387" t="inlineStr">
        <is>
          <t>홈서비스 60개월</t>
        </is>
      </c>
      <c r="AB2387" t="inlineStr">
        <is>
          <t>홈서비스</t>
        </is>
      </c>
      <c r="AC2387" t="n">
        <v>0</v>
      </c>
      <c r="AD2387" t="n">
        <v>27860</v>
      </c>
      <c r="AE2387" t="n">
        <v>-27860</v>
      </c>
      <c r="AF2387" t="n">
        <v>0</v>
      </c>
      <c r="AG2387" t="n">
        <v>26940.62</v>
      </c>
      <c r="AH2387" t="n">
        <v>-26940.62</v>
      </c>
      <c r="AI2387" t="n">
        <v>0</v>
      </c>
    </row>
    <row r="2388">
      <c r="A2388" t="inlineStr">
        <is>
          <t>3월</t>
        </is>
      </c>
      <c r="B2388" t="inlineStr">
        <is>
          <t>12주차</t>
        </is>
      </c>
      <c r="C2388" t="inlineStr">
        <is>
          <t>IM</t>
        </is>
      </c>
      <c r="D2388" s="28" t="n">
        <v>46100</v>
      </c>
      <c r="E2388" t="inlineStr">
        <is>
          <t>IM캐피탈</t>
        </is>
      </c>
      <c r="F2388" t="inlineStr">
        <is>
          <t>문상혁</t>
        </is>
      </c>
      <c r="G2388" t="inlineStr">
        <is>
          <t>010-6265-8841</t>
        </is>
      </c>
      <c r="H2388" t="inlineStr">
        <is>
          <t>370고9284</t>
        </is>
      </c>
      <c r="I2388" t="n">
        <v>20000000</v>
      </c>
      <c r="J2388" t="n">
        <v>0.059</v>
      </c>
      <c r="K2388" t="n">
        <v>1.1</v>
      </c>
      <c r="L2388" t="n">
        <v>0.5</v>
      </c>
      <c r="M2388" t="n">
        <v>0.6</v>
      </c>
      <c r="P2388" t="inlineStr">
        <is>
          <t>정하은</t>
        </is>
      </c>
      <c r="AB2388" t="inlineStr">
        <is>
          <t>엔카</t>
        </is>
      </c>
      <c r="AC2388" t="n">
        <v>220000</v>
      </c>
      <c r="AD2388" t="n">
        <v>100000</v>
      </c>
      <c r="AE2388" t="n">
        <v>120000</v>
      </c>
      <c r="AF2388" t="n">
        <v>200000</v>
      </c>
      <c r="AG2388" t="n">
        <v>96700</v>
      </c>
      <c r="AH2388" t="n">
        <v>103300</v>
      </c>
      <c r="AI2388" t="n">
        <v>0</v>
      </c>
    </row>
    <row r="2389">
      <c r="A2389" t="inlineStr">
        <is>
          <t>3월</t>
        </is>
      </c>
      <c r="B2389" t="inlineStr">
        <is>
          <t>12주차</t>
        </is>
      </c>
      <c r="C2389" t="inlineStr">
        <is>
          <t>EP</t>
        </is>
      </c>
      <c r="D2389" s="28" t="n">
        <v>46100</v>
      </c>
      <c r="E2389" t="inlineStr">
        <is>
          <t>현대EP</t>
        </is>
      </c>
      <c r="F2389" t="inlineStr">
        <is>
          <t>정시현</t>
        </is>
      </c>
      <c r="G2389" t="inlineStr">
        <is>
          <t>010-4513-6651</t>
        </is>
      </c>
      <c r="H2389" t="inlineStr">
        <is>
          <t>07우9784</t>
        </is>
      </c>
      <c r="I2389" t="n">
        <v>5000000</v>
      </c>
      <c r="J2389" t="n">
        <v>0.102</v>
      </c>
      <c r="K2389" t="n">
        <v>1.76</v>
      </c>
      <c r="L2389" t="n">
        <v>0.14</v>
      </c>
      <c r="M2389" t="n">
        <v>1.62</v>
      </c>
      <c r="P2389" t="inlineStr">
        <is>
          <t>정세빈</t>
        </is>
      </c>
      <c r="Q2389" t="inlineStr">
        <is>
          <t>홈서비스 36개월</t>
        </is>
      </c>
      <c r="AB2389" t="inlineStr">
        <is>
          <t>홈서비스</t>
        </is>
      </c>
      <c r="AC2389" t="n">
        <v>88000</v>
      </c>
      <c r="AD2389" t="n">
        <v>7000</v>
      </c>
      <c r="AE2389" t="n">
        <v>81000</v>
      </c>
      <c r="AF2389" t="n">
        <v>80000</v>
      </c>
      <c r="AG2389" t="n">
        <v>6769</v>
      </c>
      <c r="AH2389" t="n">
        <v>73231</v>
      </c>
      <c r="AI2389" t="n">
        <v>0</v>
      </c>
    </row>
    <row r="2390">
      <c r="A2390" t="inlineStr">
        <is>
          <t>3월</t>
        </is>
      </c>
      <c r="B2390" t="inlineStr">
        <is>
          <t>11주차</t>
        </is>
      </c>
      <c r="C2390" t="inlineStr">
        <is>
          <t>OR</t>
        </is>
      </c>
      <c r="D2390" s="28" t="n">
        <v>46093</v>
      </c>
      <c r="E2390" t="inlineStr">
        <is>
          <t>오릭스</t>
        </is>
      </c>
      <c r="F2390" t="inlineStr">
        <is>
          <t>박영석</t>
        </is>
      </c>
      <c r="G2390" t="inlineStr">
        <is>
          <t>010-9116-0291</t>
        </is>
      </c>
      <c r="H2390" t="inlineStr">
        <is>
          <t>03모3725</t>
        </is>
      </c>
      <c r="I2390" t="n">
        <v>23000000</v>
      </c>
      <c r="J2390" t="n">
        <v>0.059</v>
      </c>
      <c r="K2390" t="n">
        <v>1.65</v>
      </c>
      <c r="L2390" t="n">
        <v>0.14</v>
      </c>
      <c r="M2390" t="n">
        <v>1.51</v>
      </c>
      <c r="P2390" t="inlineStr">
        <is>
          <t>황채이</t>
        </is>
      </c>
      <c r="Q2390" t="inlineStr">
        <is>
          <t>홈서비스 60개월/26년 3월 총 2건 실행하심(iM, 오릭스)</t>
        </is>
      </c>
      <c r="AB2390" t="inlineStr">
        <is>
          <t>홈서비스</t>
        </is>
      </c>
      <c r="AC2390" t="n">
        <v>379500</v>
      </c>
      <c r="AD2390" t="n">
        <v>32200</v>
      </c>
      <c r="AE2390" t="n">
        <v>347300</v>
      </c>
      <c r="AF2390" t="n">
        <v>345000</v>
      </c>
      <c r="AG2390" t="n">
        <v>31137.4</v>
      </c>
      <c r="AH2390" t="n">
        <v>313862.6</v>
      </c>
    </row>
    <row r="2391">
      <c r="A2391" t="inlineStr">
        <is>
          <t>3월</t>
        </is>
      </c>
      <c r="B2391" t="inlineStr">
        <is>
          <t>12주차</t>
        </is>
      </c>
      <c r="C2391" t="inlineStr">
        <is>
          <t>EP</t>
        </is>
      </c>
      <c r="D2391" s="28" t="n">
        <v>46100</v>
      </c>
      <c r="E2391" t="inlineStr">
        <is>
          <t>현대EP_fast</t>
        </is>
      </c>
      <c r="F2391" t="inlineStr">
        <is>
          <t>노미연</t>
        </is>
      </c>
      <c r="G2391" t="inlineStr">
        <is>
          <t>010-6788-9189</t>
        </is>
      </c>
      <c r="H2391" t="inlineStr">
        <is>
          <t>07우3988</t>
        </is>
      </c>
      <c r="I2391" t="n">
        <v>3000000</v>
      </c>
      <c r="J2391" t="n">
        <v>0.14</v>
      </c>
      <c r="K2391" t="n">
        <v>1.76</v>
      </c>
      <c r="L2391" t="n">
        <v>0.14</v>
      </c>
      <c r="M2391" t="n">
        <v>1.62</v>
      </c>
      <c r="P2391" t="inlineStr">
        <is>
          <t>정하은</t>
        </is>
      </c>
      <c r="Q2391" t="inlineStr">
        <is>
          <t xml:space="preserve">선상담 /홈서비스 36개월 </t>
        </is>
      </c>
      <c r="AB2391" t="inlineStr">
        <is>
          <t>홈서비스</t>
        </is>
      </c>
      <c r="AC2391" t="n">
        <v>52800</v>
      </c>
      <c r="AD2391" t="n">
        <v>4200</v>
      </c>
      <c r="AE2391" t="n">
        <v>48600</v>
      </c>
      <c r="AF2391" t="n">
        <v>48000</v>
      </c>
      <c r="AG2391" t="n">
        <v>4061.4</v>
      </c>
      <c r="AH2391" t="n">
        <v>43938.6</v>
      </c>
      <c r="AI2391" t="n">
        <v>0</v>
      </c>
    </row>
    <row r="2392">
      <c r="A2392" t="inlineStr">
        <is>
          <t>3월</t>
        </is>
      </c>
      <c r="B2392" t="inlineStr">
        <is>
          <t>12주차</t>
        </is>
      </c>
      <c r="C2392" t="inlineStr">
        <is>
          <t>EP</t>
        </is>
      </c>
      <c r="D2392" s="28" t="n">
        <v>46101</v>
      </c>
      <c r="E2392" t="inlineStr">
        <is>
          <t>현대EP_fast</t>
        </is>
      </c>
      <c r="F2392" t="inlineStr">
        <is>
          <t>박병선</t>
        </is>
      </c>
      <c r="G2392" t="inlineStr">
        <is>
          <t>010-5507-8545</t>
        </is>
      </c>
      <c r="H2392" t="inlineStr">
        <is>
          <t>66구2485</t>
        </is>
      </c>
      <c r="I2392" t="n">
        <v>54500000</v>
      </c>
      <c r="J2392" t="n">
        <v>0.092</v>
      </c>
      <c r="K2392" t="n">
        <v>1.76</v>
      </c>
      <c r="L2392" t="n">
        <v>0.14</v>
      </c>
      <c r="M2392" t="n">
        <v>1.62</v>
      </c>
      <c r="P2392" t="inlineStr">
        <is>
          <t>김수연</t>
        </is>
      </c>
      <c r="Q2392" t="inlineStr">
        <is>
          <t>홈서비스 60개월</t>
        </is>
      </c>
      <c r="AB2392" t="inlineStr">
        <is>
          <t>홈서비스</t>
        </is>
      </c>
      <c r="AC2392" t="n">
        <v>959200</v>
      </c>
      <c r="AD2392" t="n">
        <v>76300</v>
      </c>
      <c r="AE2392" t="n">
        <v>882900</v>
      </c>
      <c r="AF2392" t="n">
        <v>872000</v>
      </c>
      <c r="AG2392" t="n">
        <v>73782.10000000001</v>
      </c>
      <c r="AH2392" t="n">
        <v>798217.9</v>
      </c>
      <c r="AI2392" t="n">
        <v>0</v>
      </c>
    </row>
    <row r="2393">
      <c r="A2393" t="inlineStr">
        <is>
          <t>3월</t>
        </is>
      </c>
      <c r="B2393" t="inlineStr">
        <is>
          <t>12주차</t>
        </is>
      </c>
      <c r="C2393" t="inlineStr">
        <is>
          <t>EP</t>
        </is>
      </c>
      <c r="D2393" s="28" t="n">
        <v>46101</v>
      </c>
      <c r="E2393" t="inlineStr">
        <is>
          <t>현대EP_fast</t>
        </is>
      </c>
      <c r="F2393" t="inlineStr">
        <is>
          <t>이종순</t>
        </is>
      </c>
      <c r="G2393" t="inlineStr">
        <is>
          <t>010-2276-3445</t>
        </is>
      </c>
      <c r="H2393" t="inlineStr">
        <is>
          <t>14노2513</t>
        </is>
      </c>
      <c r="I2393" t="n">
        <v>4200000</v>
      </c>
      <c r="J2393" t="n">
        <v>0.076</v>
      </c>
      <c r="K2393" t="n">
        <v>1.76</v>
      </c>
      <c r="L2393" t="n">
        <v>0.14</v>
      </c>
      <c r="M2393" t="n">
        <v>1.62</v>
      </c>
      <c r="P2393" t="inlineStr">
        <is>
          <t>최형주</t>
        </is>
      </c>
      <c r="Q2393" t="inlineStr">
        <is>
          <t>홈서비스 60개월</t>
        </is>
      </c>
      <c r="AB2393" t="inlineStr">
        <is>
          <t>홈서비스</t>
        </is>
      </c>
      <c r="AC2393" t="n">
        <v>73920</v>
      </c>
      <c r="AD2393" t="n">
        <v>5880</v>
      </c>
      <c r="AE2393" t="n">
        <v>68040</v>
      </c>
      <c r="AF2393" t="n">
        <v>67200</v>
      </c>
      <c r="AG2393" t="n">
        <v>5685.96</v>
      </c>
      <c r="AH2393" t="n">
        <v>61514.04</v>
      </c>
      <c r="AI2393" t="n">
        <v>0</v>
      </c>
    </row>
    <row r="2394">
      <c r="A2394" t="inlineStr">
        <is>
          <t>3월</t>
        </is>
      </c>
      <c r="B2394" t="inlineStr">
        <is>
          <t>12주차</t>
        </is>
      </c>
      <c r="C2394" t="inlineStr">
        <is>
          <t>IM</t>
        </is>
      </c>
      <c r="D2394" s="28" t="n">
        <v>46101</v>
      </c>
      <c r="E2394" t="inlineStr">
        <is>
          <t>IM캐피탈</t>
        </is>
      </c>
      <c r="F2394" t="inlineStr">
        <is>
          <t>김금철</t>
        </is>
      </c>
      <c r="G2394" t="inlineStr">
        <is>
          <t>010-7725-0064</t>
        </is>
      </c>
      <c r="H2394" t="inlineStr">
        <is>
          <t>02나8967</t>
        </is>
      </c>
      <c r="I2394" t="n">
        <v>22500000</v>
      </c>
      <c r="J2394" t="n">
        <v>0.056</v>
      </c>
      <c r="K2394" t="n">
        <v>1.1</v>
      </c>
      <c r="L2394" t="n">
        <v>0.14</v>
      </c>
      <c r="M2394" t="n">
        <v>0.96</v>
      </c>
      <c r="P2394" t="inlineStr">
        <is>
          <t>정세빈</t>
        </is>
      </c>
      <c r="Q2394" t="inlineStr">
        <is>
          <t>홈서비스 60개월 / 부대비용추가대출</t>
        </is>
      </c>
      <c r="AB2394" t="inlineStr">
        <is>
          <t>홈서비스</t>
        </is>
      </c>
      <c r="AC2394" t="n">
        <v>247500</v>
      </c>
      <c r="AD2394" t="n">
        <v>31500</v>
      </c>
      <c r="AE2394" t="n">
        <v>216000</v>
      </c>
      <c r="AF2394" t="n">
        <v>225000</v>
      </c>
      <c r="AG2394" t="n">
        <v>30460.5</v>
      </c>
      <c r="AH2394" t="n">
        <v>194539.5</v>
      </c>
      <c r="AI2394" t="n">
        <v>0</v>
      </c>
    </row>
    <row r="2395">
      <c r="A2395" t="inlineStr">
        <is>
          <t>3월</t>
        </is>
      </c>
      <c r="B2395" t="inlineStr">
        <is>
          <t>12주차</t>
        </is>
      </c>
      <c r="C2395" t="inlineStr">
        <is>
          <t>IM</t>
        </is>
      </c>
      <c r="D2395" s="28" t="n">
        <v>46101</v>
      </c>
      <c r="E2395" t="inlineStr">
        <is>
          <t>IM캐피탈</t>
        </is>
      </c>
      <c r="F2395" t="inlineStr">
        <is>
          <t>박수진</t>
        </is>
      </c>
      <c r="G2395" t="inlineStr">
        <is>
          <t>010-2674-4260</t>
        </is>
      </c>
      <c r="H2395" t="inlineStr">
        <is>
          <t>152보3550</t>
        </is>
      </c>
      <c r="I2395" t="n">
        <v>15500000</v>
      </c>
      <c r="J2395" t="n">
        <v>0.049</v>
      </c>
      <c r="K2395" t="n">
        <v>1.1</v>
      </c>
      <c r="L2395" t="n">
        <v>0.5</v>
      </c>
      <c r="M2395" t="n">
        <v>0.6</v>
      </c>
      <c r="P2395" t="inlineStr">
        <is>
          <t>정하은</t>
        </is>
      </c>
      <c r="AB2395" t="inlineStr">
        <is>
          <t>엔카</t>
        </is>
      </c>
      <c r="AC2395" t="n">
        <v>170500</v>
      </c>
      <c r="AD2395" t="n">
        <v>77500</v>
      </c>
      <c r="AE2395" t="n">
        <v>93000</v>
      </c>
      <c r="AF2395" t="n">
        <v>155000</v>
      </c>
      <c r="AG2395" t="n">
        <v>74942.5</v>
      </c>
      <c r="AH2395" t="n">
        <v>80057.5</v>
      </c>
      <c r="AI2395" t="n">
        <v>0</v>
      </c>
    </row>
    <row r="2396">
      <c r="A2396" t="inlineStr">
        <is>
          <t>1월</t>
        </is>
      </c>
      <c r="B2396" t="inlineStr">
        <is>
          <t>2주차</t>
        </is>
      </c>
      <c r="C2396" t="inlineStr">
        <is>
          <t>EP</t>
        </is>
      </c>
      <c r="D2396" s="28" t="n">
        <v>46028</v>
      </c>
      <c r="E2396" t="inlineStr">
        <is>
          <t>현대EP_fast</t>
        </is>
      </c>
      <c r="F2396" t="inlineStr">
        <is>
          <t>최연호</t>
        </is>
      </c>
      <c r="G2396" t="inlineStr">
        <is>
          <t>010-3949-0528</t>
        </is>
      </c>
      <c r="H2396" t="inlineStr">
        <is>
          <t>397소4895</t>
        </is>
      </c>
      <c r="I2396" t="n">
        <v>21200000</v>
      </c>
      <c r="J2396" t="n">
        <v>0.097</v>
      </c>
      <c r="K2396" t="n">
        <v>1.76</v>
      </c>
      <c r="L2396" t="n">
        <v>0.4</v>
      </c>
      <c r="M2396" t="n">
        <v>1.36</v>
      </c>
      <c r="P2396" t="inlineStr">
        <is>
          <t>장현경</t>
        </is>
      </c>
      <c r="AB2396" t="inlineStr">
        <is>
          <t>엔카</t>
        </is>
      </c>
      <c r="AC2396" t="n">
        <v>373120</v>
      </c>
      <c r="AD2396" t="n">
        <v>84800</v>
      </c>
      <c r="AE2396" t="n">
        <v>288320</v>
      </c>
      <c r="AF2396" t="n">
        <v>339200</v>
      </c>
      <c r="AG2396" t="n">
        <v>82001.60000000001</v>
      </c>
      <c r="AH2396" t="n">
        <v>257198.4</v>
      </c>
      <c r="AI2396" t="n">
        <v>0</v>
      </c>
    </row>
    <row r="2397">
      <c r="A2397" t="inlineStr">
        <is>
          <t>3월</t>
        </is>
      </c>
      <c r="B2397" t="inlineStr">
        <is>
          <t>12주차</t>
        </is>
      </c>
      <c r="C2397" t="inlineStr">
        <is>
          <t>IM</t>
        </is>
      </c>
      <c r="D2397" s="28" t="n">
        <v>46099</v>
      </c>
      <c r="E2397" t="inlineStr">
        <is>
          <t>IM캐피탈</t>
        </is>
      </c>
      <c r="F2397" t="inlineStr">
        <is>
          <t>유충곤</t>
        </is>
      </c>
      <c r="G2397" t="inlineStr">
        <is>
          <t>010-8971-2080</t>
        </is>
      </c>
      <c r="H2397" t="inlineStr">
        <is>
          <t>20고3892</t>
        </is>
      </c>
      <c r="I2397" t="n">
        <v>61000000</v>
      </c>
      <c r="J2397" t="n">
        <v>0.039</v>
      </c>
      <c r="K2397" t="n">
        <v>1.1</v>
      </c>
      <c r="L2397" t="n">
        <v>0.4</v>
      </c>
      <c r="M2397" t="n">
        <v>0.7</v>
      </c>
      <c r="P2397" t="inlineStr">
        <is>
          <t>임대경</t>
        </is>
      </c>
      <c r="AB2397" t="inlineStr">
        <is>
          <t>엔카</t>
        </is>
      </c>
      <c r="AC2397" t="n">
        <v>671000</v>
      </c>
      <c r="AD2397" t="n">
        <v>244000</v>
      </c>
      <c r="AE2397" t="n">
        <v>427000</v>
      </c>
      <c r="AF2397" t="n">
        <v>610000</v>
      </c>
      <c r="AG2397" t="n">
        <v>235948</v>
      </c>
      <c r="AH2397" t="n">
        <v>374052</v>
      </c>
    </row>
    <row r="2398">
      <c r="A2398" t="inlineStr">
        <is>
          <t>3월</t>
        </is>
      </c>
      <c r="B2398" t="inlineStr">
        <is>
          <t>12주차</t>
        </is>
      </c>
      <c r="C2398" t="inlineStr">
        <is>
          <t>OR</t>
        </is>
      </c>
      <c r="D2398" s="28" t="n">
        <v>46099</v>
      </c>
      <c r="E2398" t="inlineStr">
        <is>
          <t>오릭스</t>
        </is>
      </c>
      <c r="F2398" t="inlineStr">
        <is>
          <t>윤종현</t>
        </is>
      </c>
      <c r="G2398" t="inlineStr">
        <is>
          <t>010-2747-3278</t>
        </is>
      </c>
      <c r="H2398" t="inlineStr">
        <is>
          <t>147소9424</t>
        </is>
      </c>
      <c r="I2398" t="n">
        <v>28000000</v>
      </c>
      <c r="J2398" t="n">
        <v>0.055</v>
      </c>
      <c r="K2398" t="n">
        <v>1.65</v>
      </c>
      <c r="L2398" t="n">
        <v>0.4</v>
      </c>
      <c r="M2398" t="n">
        <v>1.25</v>
      </c>
      <c r="P2398" t="inlineStr">
        <is>
          <t>구성완</t>
        </is>
      </c>
      <c r="AB2398" t="inlineStr">
        <is>
          <t>엔카</t>
        </is>
      </c>
      <c r="AC2398" t="n">
        <v>462000</v>
      </c>
      <c r="AD2398" t="n">
        <v>112000</v>
      </c>
      <c r="AE2398" t="n">
        <v>350000</v>
      </c>
      <c r="AF2398" t="n">
        <v>420000</v>
      </c>
      <c r="AG2398" t="n">
        <v>108304</v>
      </c>
      <c r="AH2398" t="n">
        <v>311696</v>
      </c>
    </row>
    <row r="2399">
      <c r="A2399" t="inlineStr">
        <is>
          <t>3월</t>
        </is>
      </c>
      <c r="B2399" t="inlineStr">
        <is>
          <t>12주차</t>
        </is>
      </c>
      <c r="C2399" t="inlineStr">
        <is>
          <t>EP</t>
        </is>
      </c>
      <c r="D2399" s="28" t="n">
        <v>46101</v>
      </c>
      <c r="E2399" t="inlineStr">
        <is>
          <t>제이비EP</t>
        </is>
      </c>
      <c r="F2399" t="inlineStr">
        <is>
          <t>김미숙</t>
        </is>
      </c>
      <c r="G2399" t="inlineStr">
        <is>
          <t>010-3657-0575</t>
        </is>
      </c>
      <c r="H2399" t="inlineStr">
        <is>
          <t>05도2541</t>
        </is>
      </c>
      <c r="I2399" t="n">
        <v>3000000</v>
      </c>
      <c r="J2399" t="n">
        <v>0.11</v>
      </c>
      <c r="K2399" t="n">
        <v>1.65</v>
      </c>
      <c r="L2399" t="n">
        <v>0.14</v>
      </c>
      <c r="M2399" t="n">
        <v>1.51</v>
      </c>
      <c r="P2399" t="inlineStr">
        <is>
          <t>정세빈</t>
        </is>
      </c>
      <c r="Q2399" t="inlineStr">
        <is>
          <t>홈서비스 24개월</t>
        </is>
      </c>
      <c r="AB2399" t="inlineStr">
        <is>
          <t>홈서비스</t>
        </is>
      </c>
      <c r="AC2399" t="n">
        <v>49500</v>
      </c>
      <c r="AD2399" t="n">
        <v>4200</v>
      </c>
      <c r="AE2399" t="n">
        <v>45300</v>
      </c>
      <c r="AF2399" t="n">
        <v>45000</v>
      </c>
      <c r="AG2399" t="n">
        <v>4061.4</v>
      </c>
      <c r="AH2399" t="n">
        <v>40938.6</v>
      </c>
    </row>
    <row r="2400">
      <c r="A2400" t="inlineStr">
        <is>
          <t>3월</t>
        </is>
      </c>
      <c r="B2400" t="inlineStr">
        <is>
          <t>12주차</t>
        </is>
      </c>
      <c r="C2400" t="inlineStr">
        <is>
          <t>IM</t>
        </is>
      </c>
      <c r="D2400" s="28" t="n">
        <v>46101</v>
      </c>
      <c r="E2400" t="inlineStr">
        <is>
          <t>IM캐피탈</t>
        </is>
      </c>
      <c r="F2400" t="inlineStr">
        <is>
          <t>변민수</t>
        </is>
      </c>
      <c r="G2400" t="inlineStr">
        <is>
          <t>010-7387-0010</t>
        </is>
      </c>
      <c r="H2400" t="inlineStr">
        <is>
          <t>128서9118</t>
        </is>
      </c>
      <c r="I2400" t="n">
        <v>29500000</v>
      </c>
      <c r="J2400" t="n">
        <v>0.049</v>
      </c>
      <c r="K2400" t="n">
        <v>1.1</v>
      </c>
      <c r="L2400" t="n">
        <v>0.14</v>
      </c>
      <c r="M2400" t="n">
        <v>0.96</v>
      </c>
      <c r="P2400" t="inlineStr">
        <is>
          <t>정광호</t>
        </is>
      </c>
      <c r="Q2400" t="inlineStr">
        <is>
          <t>홈서비스 60개월</t>
        </is>
      </c>
      <c r="AB2400" t="inlineStr">
        <is>
          <t>홈서비스</t>
        </is>
      </c>
      <c r="AC2400" t="n">
        <v>324500</v>
      </c>
      <c r="AD2400" t="n">
        <v>41300</v>
      </c>
      <c r="AE2400" t="n">
        <v>283200</v>
      </c>
      <c r="AF2400" t="n">
        <v>295000</v>
      </c>
      <c r="AG2400" t="n">
        <v>39937.1</v>
      </c>
      <c r="AH2400" t="n">
        <v>255062.9</v>
      </c>
    </row>
    <row r="2401">
      <c r="A2401" t="inlineStr">
        <is>
          <t>3월</t>
        </is>
      </c>
      <c r="B2401" t="inlineStr">
        <is>
          <t>12주차</t>
        </is>
      </c>
      <c r="C2401" t="inlineStr">
        <is>
          <t>EP</t>
        </is>
      </c>
      <c r="D2401" s="28" t="n">
        <v>46101</v>
      </c>
      <c r="E2401" t="inlineStr">
        <is>
          <t>현대EP_fast</t>
        </is>
      </c>
      <c r="F2401" t="inlineStr">
        <is>
          <t>이현진</t>
        </is>
      </c>
      <c r="G2401" t="inlineStr">
        <is>
          <t>010-6313-7734</t>
        </is>
      </c>
      <c r="H2401" t="inlineStr">
        <is>
          <t>05우7997</t>
        </is>
      </c>
      <c r="I2401" t="n">
        <v>30100000</v>
      </c>
      <c r="J2401" t="n">
        <v>0.102</v>
      </c>
      <c r="K2401" t="n">
        <v>1.76</v>
      </c>
      <c r="L2401" t="n">
        <v>0.14</v>
      </c>
      <c r="M2401" t="n">
        <v>1.62</v>
      </c>
      <c r="P2401" t="inlineStr">
        <is>
          <t>정광호</t>
        </is>
      </c>
      <c r="Q2401" t="inlineStr">
        <is>
          <t>홈서비스 60개월</t>
        </is>
      </c>
      <c r="AB2401" t="inlineStr">
        <is>
          <t>홈서비스</t>
        </is>
      </c>
      <c r="AC2401" t="n">
        <v>529760</v>
      </c>
      <c r="AD2401" t="n">
        <v>42140</v>
      </c>
      <c r="AE2401" t="n">
        <v>487620</v>
      </c>
      <c r="AF2401" t="n">
        <v>481600</v>
      </c>
      <c r="AG2401" t="n">
        <v>40749.38</v>
      </c>
      <c r="AH2401" t="n">
        <v>440850.62</v>
      </c>
    </row>
    <row r="2402">
      <c r="A2402" t="inlineStr">
        <is>
          <t>3월</t>
        </is>
      </c>
      <c r="B2402" t="inlineStr">
        <is>
          <t>12주차</t>
        </is>
      </c>
      <c r="C2402" t="inlineStr">
        <is>
          <t>IM</t>
        </is>
      </c>
      <c r="D2402" s="28" t="n">
        <v>46101</v>
      </c>
      <c r="E2402" t="inlineStr">
        <is>
          <t>IM캐피탈</t>
        </is>
      </c>
      <c r="F2402" t="inlineStr">
        <is>
          <t>최홍택</t>
        </is>
      </c>
      <c r="G2402" t="inlineStr">
        <is>
          <t>010-3733-7478</t>
        </is>
      </c>
      <c r="H2402" t="inlineStr">
        <is>
          <t>340너8989</t>
        </is>
      </c>
      <c r="I2402" t="n">
        <v>90000000</v>
      </c>
      <c r="J2402" t="n">
        <v>0.056</v>
      </c>
      <c r="K2402" t="n">
        <v>1.1</v>
      </c>
      <c r="L2402" t="n">
        <v>0.14</v>
      </c>
      <c r="M2402" t="n">
        <v>0.96</v>
      </c>
      <c r="P2402" t="inlineStr">
        <is>
          <t>정광호</t>
        </is>
      </c>
      <c r="Q2402" t="inlineStr">
        <is>
          <t>홈서비스 60개월</t>
        </is>
      </c>
      <c r="AB2402" t="inlineStr">
        <is>
          <t>홈서비스</t>
        </is>
      </c>
      <c r="AC2402" t="n">
        <v>990000</v>
      </c>
      <c r="AD2402" t="n">
        <v>126000</v>
      </c>
      <c r="AE2402" t="n">
        <v>864000</v>
      </c>
      <c r="AF2402" t="n">
        <v>900000</v>
      </c>
      <c r="AG2402" t="n">
        <v>121842</v>
      </c>
      <c r="AH2402" t="n">
        <v>778158</v>
      </c>
      <c r="AI2402" t="n">
        <v>0</v>
      </c>
    </row>
    <row r="2403">
      <c r="A2403" t="inlineStr">
        <is>
          <t>3월</t>
        </is>
      </c>
      <c r="B2403" t="inlineStr">
        <is>
          <t>12주차</t>
        </is>
      </c>
      <c r="C2403" t="inlineStr">
        <is>
          <t>EP</t>
        </is>
      </c>
      <c r="D2403" s="28" t="n">
        <v>46101</v>
      </c>
      <c r="E2403" t="inlineStr">
        <is>
          <t>현대EP_fast</t>
        </is>
      </c>
      <c r="F2403" t="inlineStr">
        <is>
          <t>이우현</t>
        </is>
      </c>
      <c r="G2403" t="inlineStr">
        <is>
          <t>010-4841-6423</t>
        </is>
      </c>
      <c r="H2403" t="inlineStr">
        <is>
          <t>821부3300</t>
        </is>
      </c>
      <c r="I2403" t="n">
        <v>19000000</v>
      </c>
      <c r="J2403" t="n">
        <v>0.105</v>
      </c>
      <c r="K2403" t="n">
        <v>1.76</v>
      </c>
      <c r="L2403" t="n">
        <v>0.14</v>
      </c>
      <c r="M2403" t="n">
        <v>1.62</v>
      </c>
      <c r="P2403" t="inlineStr">
        <is>
          <t>최형주</t>
        </is>
      </c>
      <c r="Q2403" t="inlineStr">
        <is>
          <t>홈서비스 60개월</t>
        </is>
      </c>
      <c r="AB2403" t="inlineStr">
        <is>
          <t>홈서비스</t>
        </is>
      </c>
      <c r="AC2403" t="n">
        <v>334400</v>
      </c>
      <c r="AD2403" t="n">
        <v>26600</v>
      </c>
      <c r="AE2403" t="n">
        <v>307800</v>
      </c>
      <c r="AF2403" t="n">
        <v>304000</v>
      </c>
      <c r="AG2403" t="n">
        <v>25722.2</v>
      </c>
      <c r="AH2403" t="n">
        <v>278277.8</v>
      </c>
    </row>
    <row r="2404">
      <c r="A2404" t="inlineStr">
        <is>
          <t>3월</t>
        </is>
      </c>
      <c r="B2404" t="inlineStr">
        <is>
          <t>12주차</t>
        </is>
      </c>
      <c r="C2404" t="inlineStr">
        <is>
          <t>EP</t>
        </is>
      </c>
      <c r="D2404" s="28" t="n">
        <v>46101</v>
      </c>
      <c r="E2404" t="inlineStr">
        <is>
          <t>BNKEP</t>
        </is>
      </c>
      <c r="F2404" t="inlineStr">
        <is>
          <t>고성민</t>
        </is>
      </c>
      <c r="G2404" t="inlineStr">
        <is>
          <t>010-9196-4484</t>
        </is>
      </c>
      <c r="H2404" t="inlineStr">
        <is>
          <t>340무7336</t>
        </is>
      </c>
      <c r="I2404" t="n">
        <v>4500000</v>
      </c>
      <c r="J2404" t="n">
        <v>0.063</v>
      </c>
      <c r="K2404" t="n">
        <v>1.65</v>
      </c>
      <c r="L2404" t="n">
        <v>0.14</v>
      </c>
      <c r="M2404" t="n">
        <v>1.51</v>
      </c>
      <c r="P2404" t="inlineStr">
        <is>
          <t>김수연</t>
        </is>
      </c>
      <c r="Q2404" t="inlineStr">
        <is>
          <t>홈서비스 36개월</t>
        </is>
      </c>
      <c r="AB2404" t="inlineStr">
        <is>
          <t>홈서비스</t>
        </is>
      </c>
      <c r="AC2404" t="n">
        <v>74250</v>
      </c>
      <c r="AD2404" t="n">
        <v>6300</v>
      </c>
      <c r="AE2404" t="n">
        <v>67950</v>
      </c>
      <c r="AF2404" t="n">
        <v>67500</v>
      </c>
      <c r="AG2404" t="n">
        <v>6092.1</v>
      </c>
      <c r="AH2404" t="n">
        <v>61407.9</v>
      </c>
    </row>
    <row r="2405">
      <c r="A2405" t="inlineStr">
        <is>
          <t>3월</t>
        </is>
      </c>
      <c r="B2405" t="inlineStr">
        <is>
          <t>12주차</t>
        </is>
      </c>
      <c r="C2405" t="inlineStr">
        <is>
          <t>IM</t>
        </is>
      </c>
      <c r="D2405" s="28" t="n">
        <v>46101</v>
      </c>
      <c r="E2405" t="inlineStr">
        <is>
          <t>IM캐피탈</t>
        </is>
      </c>
      <c r="F2405" t="inlineStr">
        <is>
          <t>황준호</t>
        </is>
      </c>
      <c r="G2405" t="inlineStr">
        <is>
          <t>010-9019-9039</t>
        </is>
      </c>
      <c r="H2405" t="inlineStr">
        <is>
          <t>346너2769</t>
        </is>
      </c>
      <c r="I2405" t="n">
        <v>49300000</v>
      </c>
      <c r="J2405" t="n">
        <v>0.059</v>
      </c>
      <c r="K2405" t="n">
        <v>1.1</v>
      </c>
      <c r="L2405" t="n">
        <v>0.14</v>
      </c>
      <c r="M2405" t="n">
        <v>0.96</v>
      </c>
      <c r="P2405" t="inlineStr">
        <is>
          <t>최형주</t>
        </is>
      </c>
      <c r="Q2405" t="inlineStr">
        <is>
          <t>홈서비스 60개월</t>
        </is>
      </c>
      <c r="AB2405" t="inlineStr">
        <is>
          <t>홈서비스</t>
        </is>
      </c>
      <c r="AC2405" t="n">
        <v>542300</v>
      </c>
      <c r="AD2405" t="n">
        <v>69020</v>
      </c>
      <c r="AE2405" t="n">
        <v>473280</v>
      </c>
      <c r="AF2405" t="n">
        <v>493000</v>
      </c>
      <c r="AG2405" t="n">
        <v>66742.34</v>
      </c>
      <c r="AH2405" t="n">
        <v>426257.66</v>
      </c>
      <c r="AI2405" t="n">
        <v>0</v>
      </c>
    </row>
    <row r="2406">
      <c r="A2406" t="inlineStr">
        <is>
          <t>1월</t>
        </is>
      </c>
      <c r="B2406" t="inlineStr">
        <is>
          <t>3주차</t>
        </is>
      </c>
      <c r="C2406" t="inlineStr">
        <is>
          <t>IM</t>
        </is>
      </c>
      <c r="D2406" s="28" t="n">
        <v>46036</v>
      </c>
      <c r="E2406" t="inlineStr">
        <is>
          <t>IM캐피탈</t>
        </is>
      </c>
      <c r="F2406" t="inlineStr">
        <is>
          <t>강원석</t>
        </is>
      </c>
      <c r="G2406" t="inlineStr">
        <is>
          <t>010-7712-5535</t>
        </is>
      </c>
      <c r="H2406" t="inlineStr">
        <is>
          <t>40다7691</t>
        </is>
      </c>
      <c r="I2406" t="n">
        <v>23000000</v>
      </c>
      <c r="J2406" t="n">
        <v>0.049</v>
      </c>
      <c r="K2406" t="n">
        <v>0.55</v>
      </c>
      <c r="L2406" t="n">
        <v>0.4</v>
      </c>
      <c r="M2406" t="n">
        <v>0.15</v>
      </c>
      <c r="P2406" t="inlineStr">
        <is>
          <t>장현경</t>
        </is>
      </c>
      <c r="Q2406" t="inlineStr">
        <is>
          <t>공동명의</t>
        </is>
      </c>
      <c r="AB2406" t="inlineStr">
        <is>
          <t>엔카</t>
        </is>
      </c>
      <c r="AC2406" t="n">
        <v>126500</v>
      </c>
      <c r="AD2406" t="n">
        <v>92000</v>
      </c>
      <c r="AE2406" t="n">
        <v>34500</v>
      </c>
      <c r="AF2406" t="n">
        <v>115000</v>
      </c>
      <c r="AG2406" t="n">
        <v>88964</v>
      </c>
      <c r="AH2406" t="n">
        <v>26036</v>
      </c>
    </row>
    <row r="2407">
      <c r="A2407" t="inlineStr">
        <is>
          <t>3월</t>
        </is>
      </c>
      <c r="B2407" t="inlineStr">
        <is>
          <t>12주차</t>
        </is>
      </c>
      <c r="C2407" t="inlineStr">
        <is>
          <t>EP</t>
        </is>
      </c>
      <c r="D2407" s="28" t="n">
        <v>46100</v>
      </c>
      <c r="E2407" t="inlineStr">
        <is>
          <t>제이비EP</t>
        </is>
      </c>
      <c r="F2407" t="inlineStr">
        <is>
          <t>김대식</t>
        </is>
      </c>
      <c r="G2407" t="inlineStr">
        <is>
          <t>010-7424-1148</t>
        </is>
      </c>
      <c r="H2407" t="inlineStr">
        <is>
          <t>198어4935</t>
        </is>
      </c>
      <c r="I2407" t="n">
        <v>43000000</v>
      </c>
      <c r="J2407" t="n">
        <v>0.07199999999999999</v>
      </c>
      <c r="K2407" t="n">
        <v>1.65</v>
      </c>
      <c r="L2407" t="n">
        <v>0.4</v>
      </c>
      <c r="M2407" t="n">
        <v>1.25</v>
      </c>
      <c r="P2407" t="inlineStr">
        <is>
          <t>박현민</t>
        </is>
      </c>
      <c r="AB2407" t="inlineStr">
        <is>
          <t>엔카</t>
        </is>
      </c>
      <c r="AC2407" t="n">
        <v>709500</v>
      </c>
      <c r="AD2407" t="n">
        <v>172000</v>
      </c>
      <c r="AE2407" t="n">
        <v>537500</v>
      </c>
      <c r="AF2407" t="n">
        <v>645000</v>
      </c>
      <c r="AG2407" t="n">
        <v>166324</v>
      </c>
      <c r="AH2407" t="n">
        <v>478676</v>
      </c>
      <c r="AI2407" t="n">
        <v>0</v>
      </c>
    </row>
    <row r="2408">
      <c r="A2408" t="inlineStr">
        <is>
          <t>3월</t>
        </is>
      </c>
      <c r="B2408" t="inlineStr">
        <is>
          <t>12주차</t>
        </is>
      </c>
      <c r="C2408" t="inlineStr">
        <is>
          <t>OR</t>
        </is>
      </c>
      <c r="D2408" s="28" t="n">
        <v>46101</v>
      </c>
      <c r="E2408" t="inlineStr">
        <is>
          <t>오릭스</t>
        </is>
      </c>
      <c r="F2408" t="inlineStr">
        <is>
          <t>성유철</t>
        </is>
      </c>
      <c r="G2408" t="inlineStr">
        <is>
          <t>010-4838-6601</t>
        </is>
      </c>
      <c r="H2408" t="inlineStr">
        <is>
          <t>107너4537</t>
        </is>
      </c>
      <c r="I2408" t="n">
        <v>45000000</v>
      </c>
      <c r="J2408" t="n">
        <v>0.059</v>
      </c>
      <c r="K2408" t="n">
        <v>1.65</v>
      </c>
      <c r="L2408" t="n">
        <v>0.4</v>
      </c>
      <c r="M2408" t="n">
        <v>1.25</v>
      </c>
      <c r="P2408" t="inlineStr">
        <is>
          <t>박보람</t>
        </is>
      </c>
      <c r="AB2408" t="inlineStr">
        <is>
          <t>엔카</t>
        </is>
      </c>
      <c r="AC2408" t="n">
        <v>742500</v>
      </c>
      <c r="AD2408" t="n">
        <v>180000</v>
      </c>
      <c r="AE2408" t="n">
        <v>562500</v>
      </c>
      <c r="AF2408" t="n">
        <v>675000</v>
      </c>
      <c r="AG2408" t="n">
        <v>174060</v>
      </c>
      <c r="AH2408" t="n">
        <v>500940</v>
      </c>
      <c r="AI2408" t="n">
        <v>0</v>
      </c>
    </row>
    <row r="2409">
      <c r="A2409" t="inlineStr">
        <is>
          <t>3월</t>
        </is>
      </c>
      <c r="B2409" t="inlineStr">
        <is>
          <t>12주차</t>
        </is>
      </c>
      <c r="C2409" t="inlineStr">
        <is>
          <t>IM</t>
        </is>
      </c>
      <c r="D2409" s="28" t="n">
        <v>46101</v>
      </c>
      <c r="E2409" t="inlineStr">
        <is>
          <t>IM캐피탈</t>
        </is>
      </c>
      <c r="F2409" t="inlineStr">
        <is>
          <t>장은정</t>
        </is>
      </c>
      <c r="G2409" t="inlineStr">
        <is>
          <t>010-4418-2444</t>
        </is>
      </c>
      <c r="H2409" t="inlineStr">
        <is>
          <t>37라7525</t>
        </is>
      </c>
      <c r="I2409" t="n">
        <v>4800000</v>
      </c>
      <c r="J2409" t="n">
        <v>0.056</v>
      </c>
      <c r="K2409" t="n">
        <v>1.1</v>
      </c>
      <c r="L2409" t="n">
        <v>0.14</v>
      </c>
      <c r="M2409" t="n">
        <v>0.96</v>
      </c>
      <c r="P2409" t="inlineStr">
        <is>
          <t>김나윤</t>
        </is>
      </c>
      <c r="Q2409" t="inlineStr">
        <is>
          <t>홈서비스 48개월</t>
        </is>
      </c>
      <c r="AB2409" t="inlineStr">
        <is>
          <t>홈서비스</t>
        </is>
      </c>
      <c r="AC2409" t="n">
        <v>52800</v>
      </c>
      <c r="AD2409" t="n">
        <v>6720</v>
      </c>
      <c r="AE2409" t="n">
        <v>46080</v>
      </c>
      <c r="AF2409" t="n">
        <v>48000</v>
      </c>
      <c r="AG2409" t="n">
        <v>6498.24</v>
      </c>
      <c r="AH2409" t="n">
        <v>41501.76</v>
      </c>
      <c r="AI2409" t="n">
        <v>0</v>
      </c>
    </row>
    <row r="2410">
      <c r="A2410" t="inlineStr">
        <is>
          <t>3월</t>
        </is>
      </c>
      <c r="B2410" t="inlineStr">
        <is>
          <t>12주차</t>
        </is>
      </c>
      <c r="C2410" t="inlineStr">
        <is>
          <t>OR</t>
        </is>
      </c>
      <c r="D2410" s="28" t="n">
        <v>46100</v>
      </c>
      <c r="E2410" t="inlineStr">
        <is>
          <t>오릭스</t>
        </is>
      </c>
      <c r="F2410" t="inlineStr">
        <is>
          <t>김준기</t>
        </is>
      </c>
      <c r="G2410" t="inlineStr">
        <is>
          <t>010-9488-1271</t>
        </is>
      </c>
      <c r="H2410" t="inlineStr">
        <is>
          <t>348어7150</t>
        </is>
      </c>
      <c r="I2410" t="n">
        <v>35500000</v>
      </c>
      <c r="J2410" t="n">
        <v>0.055</v>
      </c>
      <c r="K2410" t="n">
        <v>1.65</v>
      </c>
      <c r="L2410" t="n">
        <v>0.4</v>
      </c>
      <c r="M2410" t="n">
        <v>1.25</v>
      </c>
      <c r="P2410" t="inlineStr">
        <is>
          <t>구성완</t>
        </is>
      </c>
      <c r="Q2410" t="inlineStr">
        <is>
          <t>공동명의</t>
        </is>
      </c>
      <c r="AB2410" t="inlineStr">
        <is>
          <t>엔카</t>
        </is>
      </c>
      <c r="AC2410" t="n">
        <v>585750</v>
      </c>
      <c r="AD2410" t="n">
        <v>142000</v>
      </c>
      <c r="AE2410" t="n">
        <v>443750</v>
      </c>
      <c r="AF2410" t="n">
        <v>532500</v>
      </c>
      <c r="AG2410" t="n">
        <v>137314</v>
      </c>
      <c r="AH2410" t="n">
        <v>395186</v>
      </c>
      <c r="AI2410" t="n">
        <v>0</v>
      </c>
    </row>
    <row r="2411">
      <c r="A2411" t="inlineStr">
        <is>
          <t>1월</t>
        </is>
      </c>
      <c r="B2411" t="inlineStr">
        <is>
          <t>1주차</t>
        </is>
      </c>
      <c r="C2411" t="inlineStr">
        <is>
          <t>EP</t>
        </is>
      </c>
      <c r="D2411" s="28" t="n">
        <v>46024</v>
      </c>
      <c r="E2411" t="inlineStr">
        <is>
          <t>현대EP_fast</t>
        </is>
      </c>
      <c r="F2411" t="inlineStr">
        <is>
          <t>서예준</t>
        </is>
      </c>
      <c r="G2411" t="inlineStr">
        <is>
          <t>010-8965-8082</t>
        </is>
      </c>
      <c r="H2411" t="inlineStr">
        <is>
          <t>122마5981</t>
        </is>
      </c>
      <c r="I2411" t="n">
        <v>31900000</v>
      </c>
      <c r="J2411" t="n">
        <v>0.07199999999999999</v>
      </c>
      <c r="K2411" t="n">
        <v>1.76</v>
      </c>
      <c r="L2411" t="n">
        <v>0.13</v>
      </c>
      <c r="M2411" t="n">
        <v>1.63</v>
      </c>
      <c r="P2411" t="inlineStr">
        <is>
          <t>최혁</t>
        </is>
      </c>
      <c r="Q2411" t="inlineStr">
        <is>
          <t>홈서비스60개월</t>
        </is>
      </c>
      <c r="AB2411" t="inlineStr">
        <is>
          <t>홈서비스</t>
        </is>
      </c>
      <c r="AC2411" t="n">
        <v>561440</v>
      </c>
      <c r="AD2411" t="n">
        <v>41470</v>
      </c>
      <c r="AE2411" t="n">
        <v>519970</v>
      </c>
      <c r="AF2411" t="n">
        <v>510400</v>
      </c>
      <c r="AG2411" t="n">
        <v>40101.49</v>
      </c>
      <c r="AH2411" t="n">
        <v>470298.51</v>
      </c>
      <c r="AI2411" t="n">
        <v>0</v>
      </c>
    </row>
    <row r="2412">
      <c r="A2412" t="inlineStr">
        <is>
          <t>1월</t>
        </is>
      </c>
      <c r="B2412" t="inlineStr">
        <is>
          <t>2주차</t>
        </is>
      </c>
      <c r="C2412" t="inlineStr">
        <is>
          <t>IM</t>
        </is>
      </c>
      <c r="D2412" s="28" t="n">
        <v>46027</v>
      </c>
      <c r="E2412" t="inlineStr">
        <is>
          <t>IM캐피탈</t>
        </is>
      </c>
      <c r="F2412" t="inlineStr">
        <is>
          <t>박근희</t>
        </is>
      </c>
      <c r="G2412" t="inlineStr">
        <is>
          <t>010-9350-9700</t>
        </is>
      </c>
      <c r="H2412" t="inlineStr">
        <is>
          <t>46버1255</t>
        </is>
      </c>
      <c r="I2412" t="n">
        <v>3100000</v>
      </c>
      <c r="J2412" t="n">
        <v>0.053</v>
      </c>
      <c r="K2412" t="n">
        <v>0.55</v>
      </c>
      <c r="L2412" t="n">
        <v>0.13</v>
      </c>
      <c r="M2412" t="n">
        <v>0.42</v>
      </c>
      <c r="P2412" t="inlineStr">
        <is>
          <t>김나윤</t>
        </is>
      </c>
      <c r="Q2412" t="inlineStr">
        <is>
          <t>홈서비스36개월</t>
        </is>
      </c>
      <c r="AB2412" t="inlineStr">
        <is>
          <t>홈서비스</t>
        </is>
      </c>
      <c r="AC2412" t="n">
        <v>17050</v>
      </c>
      <c r="AD2412" t="n">
        <v>4030</v>
      </c>
      <c r="AE2412" t="n">
        <v>13020</v>
      </c>
      <c r="AF2412" t="n">
        <v>15500</v>
      </c>
      <c r="AG2412" t="n">
        <v>3897.01</v>
      </c>
      <c r="AH2412" t="n">
        <v>11602.99</v>
      </c>
      <c r="AI2412" t="n">
        <v>0</v>
      </c>
    </row>
    <row r="2413">
      <c r="A2413" t="inlineStr">
        <is>
          <t>1월</t>
        </is>
      </c>
      <c r="B2413" t="inlineStr">
        <is>
          <t>2주차</t>
        </is>
      </c>
      <c r="C2413" t="inlineStr">
        <is>
          <t>EP</t>
        </is>
      </c>
      <c r="D2413" s="28" t="n">
        <v>46028</v>
      </c>
      <c r="E2413" t="inlineStr">
        <is>
          <t>현대EP</t>
        </is>
      </c>
      <c r="F2413" t="inlineStr">
        <is>
          <t>강은자</t>
        </is>
      </c>
      <c r="G2413" t="inlineStr">
        <is>
          <t>010-2720-0808</t>
        </is>
      </c>
      <c r="H2413" t="inlineStr">
        <is>
          <t>374누9852</t>
        </is>
      </c>
      <c r="I2413" t="n">
        <v>12000000</v>
      </c>
      <c r="J2413" t="n">
        <v>0.065</v>
      </c>
      <c r="K2413" t="n">
        <v>1.76</v>
      </c>
      <c r="L2413" t="n">
        <v>0.13</v>
      </c>
      <c r="M2413" t="n">
        <v>1.63</v>
      </c>
      <c r="P2413" t="inlineStr">
        <is>
          <t>장현경</t>
        </is>
      </c>
      <c r="Q2413" t="inlineStr">
        <is>
          <t>홈서비스 60개월</t>
        </is>
      </c>
      <c r="AB2413" t="inlineStr">
        <is>
          <t>홈서비스</t>
        </is>
      </c>
      <c r="AC2413" t="n">
        <v>211200</v>
      </c>
      <c r="AD2413" t="n">
        <v>15600</v>
      </c>
      <c r="AE2413" t="n">
        <v>195600</v>
      </c>
      <c r="AF2413" t="n">
        <v>192000</v>
      </c>
      <c r="AG2413" t="n">
        <v>15085.2</v>
      </c>
      <c r="AH2413" t="n">
        <v>176914.8</v>
      </c>
      <c r="AI2413" t="n">
        <v>0</v>
      </c>
    </row>
    <row r="2414">
      <c r="A2414" t="inlineStr">
        <is>
          <t>1월</t>
        </is>
      </c>
      <c r="B2414" t="inlineStr">
        <is>
          <t>2주차</t>
        </is>
      </c>
      <c r="C2414" t="inlineStr">
        <is>
          <t>EP</t>
        </is>
      </c>
      <c r="D2414" s="28" t="n">
        <v>46031</v>
      </c>
      <c r="E2414" t="inlineStr">
        <is>
          <t>현대EP_fast</t>
        </is>
      </c>
      <c r="F2414" t="inlineStr">
        <is>
          <t>박신영</t>
        </is>
      </c>
      <c r="G2414" t="inlineStr">
        <is>
          <t>010-8665-1790</t>
        </is>
      </c>
      <c r="H2414" t="inlineStr">
        <is>
          <t>48저3276</t>
        </is>
      </c>
      <c r="I2414" t="n">
        <v>6400000</v>
      </c>
      <c r="J2414" t="n">
        <v>0.115</v>
      </c>
      <c r="K2414" t="n">
        <v>1.76</v>
      </c>
      <c r="L2414" t="n">
        <v>0.13</v>
      </c>
      <c r="M2414" t="n">
        <v>1.63</v>
      </c>
      <c r="P2414" t="inlineStr">
        <is>
          <t>장현경</t>
        </is>
      </c>
      <c r="Q2414" t="inlineStr">
        <is>
          <t>선상담 / 홈서비스 60개월</t>
        </is>
      </c>
      <c r="AB2414" t="inlineStr">
        <is>
          <t>홈서비스</t>
        </is>
      </c>
      <c r="AC2414" t="n">
        <v>112640</v>
      </c>
      <c r="AD2414" t="n">
        <v>8320</v>
      </c>
      <c r="AE2414" t="n">
        <v>104320</v>
      </c>
      <c r="AF2414" t="n">
        <v>102400</v>
      </c>
      <c r="AG2414" t="n">
        <v>8045.44</v>
      </c>
      <c r="AH2414" t="n">
        <v>94354.56</v>
      </c>
      <c r="AI2414" t="n">
        <v>0</v>
      </c>
    </row>
    <row r="2415">
      <c r="A2415" t="inlineStr">
        <is>
          <t>1월</t>
        </is>
      </c>
      <c r="B2415" t="inlineStr">
        <is>
          <t>3주차</t>
        </is>
      </c>
      <c r="C2415" t="inlineStr">
        <is>
          <t>IM</t>
        </is>
      </c>
      <c r="D2415" s="28" t="n">
        <v>46034</v>
      </c>
      <c r="E2415" t="inlineStr">
        <is>
          <t>IM캐피탈</t>
        </is>
      </c>
      <c r="F2415" t="inlineStr">
        <is>
          <t>유석열</t>
        </is>
      </c>
      <c r="G2415" t="n">
        <v>1023716171</v>
      </c>
      <c r="H2415" t="inlineStr">
        <is>
          <t>224두9408</t>
        </is>
      </c>
      <c r="I2415" t="n">
        <v>18700000</v>
      </c>
      <c r="J2415" t="n">
        <v>0.053</v>
      </c>
      <c r="K2415" t="n">
        <v>0.55</v>
      </c>
      <c r="L2415" t="n">
        <v>0.13</v>
      </c>
      <c r="M2415" t="n">
        <v>0.42</v>
      </c>
      <c r="P2415" t="inlineStr">
        <is>
          <t>김나윤</t>
        </is>
      </c>
      <c r="Q2415" t="inlineStr">
        <is>
          <t>홈서비스72개월</t>
        </is>
      </c>
      <c r="AB2415" t="inlineStr">
        <is>
          <t>홈서비스</t>
        </is>
      </c>
      <c r="AC2415" t="n">
        <v>102850</v>
      </c>
      <c r="AD2415" t="n">
        <v>24310</v>
      </c>
      <c r="AE2415" t="n">
        <v>78540</v>
      </c>
      <c r="AF2415" t="n">
        <v>93500</v>
      </c>
      <c r="AG2415" t="n">
        <v>23507.77</v>
      </c>
      <c r="AH2415" t="n">
        <v>69992.23</v>
      </c>
    </row>
    <row r="2416">
      <c r="A2416" t="inlineStr">
        <is>
          <t>1월</t>
        </is>
      </c>
      <c r="B2416" t="inlineStr">
        <is>
          <t>3주차</t>
        </is>
      </c>
      <c r="C2416" t="inlineStr">
        <is>
          <t>IM</t>
        </is>
      </c>
      <c r="D2416" s="28" t="n">
        <v>46034</v>
      </c>
      <c r="E2416" t="inlineStr">
        <is>
          <t>IM캐피탈</t>
        </is>
      </c>
      <c r="F2416" t="inlineStr">
        <is>
          <t>강성훈</t>
        </is>
      </c>
      <c r="G2416" t="inlineStr">
        <is>
          <t>010-3274-0529</t>
        </is>
      </c>
      <c r="H2416" t="inlineStr">
        <is>
          <t>43모4383</t>
        </is>
      </c>
      <c r="I2416" t="n">
        <v>-8900000</v>
      </c>
      <c r="J2416" t="n">
        <v>0.07199999999999999</v>
      </c>
      <c r="K2416" t="n">
        <v>0.55</v>
      </c>
      <c r="L2416" t="n">
        <v>0.13</v>
      </c>
      <c r="M2416" t="n">
        <v>0.42</v>
      </c>
      <c r="P2416" t="inlineStr">
        <is>
          <t>황채이</t>
        </is>
      </c>
      <c r="Q2416" t="inlineStr">
        <is>
          <t>홈서비스 48개월 / *철회 20260116</t>
        </is>
      </c>
      <c r="AB2416" t="inlineStr">
        <is>
          <t>홈서비스</t>
        </is>
      </c>
      <c r="AC2416" t="n">
        <v>-48950</v>
      </c>
      <c r="AD2416" t="n">
        <v>-11570</v>
      </c>
      <c r="AE2416" t="n">
        <v>-37380</v>
      </c>
      <c r="AF2416" t="n">
        <v>-44500</v>
      </c>
      <c r="AG2416" t="n">
        <v>-11188.19</v>
      </c>
      <c r="AH2416" t="n">
        <v>-33311.81</v>
      </c>
      <c r="AI2416" t="n">
        <v>0</v>
      </c>
      <c r="AK2416" t="inlineStr">
        <is>
          <t>대출철회</t>
        </is>
      </c>
    </row>
    <row r="2417">
      <c r="A2417" t="inlineStr">
        <is>
          <t>1월</t>
        </is>
      </c>
      <c r="B2417" t="inlineStr">
        <is>
          <t>3주차</t>
        </is>
      </c>
      <c r="C2417" t="inlineStr">
        <is>
          <t>IM</t>
        </is>
      </c>
      <c r="D2417" s="28" t="n">
        <v>46035</v>
      </c>
      <c r="E2417" t="inlineStr">
        <is>
          <t>IM캐피탈</t>
        </is>
      </c>
      <c r="F2417" t="inlineStr">
        <is>
          <t>김성은</t>
        </is>
      </c>
      <c r="G2417" t="inlineStr">
        <is>
          <t>010-9162-3259</t>
        </is>
      </c>
      <c r="H2417" t="inlineStr">
        <is>
          <t>36도7123</t>
        </is>
      </c>
      <c r="I2417" t="n">
        <v>24500000</v>
      </c>
      <c r="J2417" t="n">
        <v>0.056</v>
      </c>
      <c r="K2417" t="n">
        <v>0.55</v>
      </c>
      <c r="L2417" t="n">
        <v>0.13</v>
      </c>
      <c r="M2417" t="n">
        <v>0.42</v>
      </c>
      <c r="P2417" t="inlineStr">
        <is>
          <t>박소현</t>
        </is>
      </c>
      <c r="Q2417" t="inlineStr">
        <is>
          <t>선상담 /홈서비스 60개월 / *철회 20260121</t>
        </is>
      </c>
      <c r="AB2417" t="inlineStr">
        <is>
          <t>홈서비스</t>
        </is>
      </c>
      <c r="AC2417" t="n">
        <v>134750</v>
      </c>
      <c r="AD2417" t="n">
        <v>31850</v>
      </c>
      <c r="AE2417" t="n">
        <v>102900</v>
      </c>
      <c r="AF2417" t="n">
        <v>122500</v>
      </c>
      <c r="AG2417" t="n">
        <v>30798.95</v>
      </c>
      <c r="AH2417" t="n">
        <v>91701.05</v>
      </c>
      <c r="AI2417" t="n">
        <v>0</v>
      </c>
      <c r="AK2417" t="inlineStr">
        <is>
          <t>대출철회</t>
        </is>
      </c>
    </row>
    <row r="2418">
      <c r="A2418" t="inlineStr">
        <is>
          <t>1월</t>
        </is>
      </c>
      <c r="B2418" t="inlineStr">
        <is>
          <t>3주차</t>
        </is>
      </c>
      <c r="C2418" t="inlineStr">
        <is>
          <t>IM</t>
        </is>
      </c>
      <c r="D2418" s="28" t="n">
        <v>46035</v>
      </c>
      <c r="E2418" t="inlineStr">
        <is>
          <t>IM캐피탈</t>
        </is>
      </c>
      <c r="F2418" t="inlineStr">
        <is>
          <t>안대정</t>
        </is>
      </c>
      <c r="G2418" t="n">
        <v>1055164430</v>
      </c>
      <c r="H2418" t="inlineStr">
        <is>
          <t>39어0499</t>
        </is>
      </c>
      <c r="I2418" t="n">
        <v>6400000</v>
      </c>
      <c r="J2418" t="n">
        <v>0.07199999999999999</v>
      </c>
      <c r="K2418" t="n">
        <v>0.55</v>
      </c>
      <c r="L2418" t="n">
        <v>0.13</v>
      </c>
      <c r="M2418" t="n">
        <v>0.42</v>
      </c>
      <c r="P2418" t="inlineStr">
        <is>
          <t>김나윤</t>
        </is>
      </c>
      <c r="Q2418" t="inlineStr">
        <is>
          <t>홈서비스 60개월/ *철회 20260115</t>
        </is>
      </c>
      <c r="AB2418" t="inlineStr">
        <is>
          <t>홈서비스</t>
        </is>
      </c>
      <c r="AC2418" t="n">
        <v>35200</v>
      </c>
      <c r="AD2418" t="n">
        <v>8320</v>
      </c>
      <c r="AE2418" t="n">
        <v>26880</v>
      </c>
      <c r="AF2418" t="n">
        <v>32000</v>
      </c>
      <c r="AG2418" t="n">
        <v>8045.44</v>
      </c>
      <c r="AH2418" t="n">
        <v>23954.56</v>
      </c>
      <c r="AK2418" t="inlineStr">
        <is>
          <t>대출철회</t>
        </is>
      </c>
    </row>
    <row r="2419">
      <c r="A2419" t="inlineStr">
        <is>
          <t>1월</t>
        </is>
      </c>
      <c r="B2419" t="inlineStr">
        <is>
          <t>3주차</t>
        </is>
      </c>
      <c r="C2419" t="inlineStr">
        <is>
          <t>EP</t>
        </is>
      </c>
      <c r="D2419" s="28" t="n">
        <v>46035</v>
      </c>
      <c r="E2419" t="inlineStr">
        <is>
          <t>현대EP_fast</t>
        </is>
      </c>
      <c r="F2419" t="inlineStr">
        <is>
          <t>유승우</t>
        </is>
      </c>
      <c r="G2419" t="inlineStr">
        <is>
          <t>010-7149-6369</t>
        </is>
      </c>
      <c r="H2419" t="inlineStr">
        <is>
          <t>58고1672</t>
        </is>
      </c>
      <c r="I2419" t="n">
        <v>22400000</v>
      </c>
      <c r="J2419" t="n">
        <v>0.097</v>
      </c>
      <c r="K2419" t="n">
        <v>1.76</v>
      </c>
      <c r="L2419" t="n">
        <v>0.13</v>
      </c>
      <c r="M2419" t="n">
        <v>1.63</v>
      </c>
      <c r="P2419" t="inlineStr">
        <is>
          <t>정하은</t>
        </is>
      </c>
      <c r="Q2419" t="inlineStr">
        <is>
          <t>선상담 /홈서비스 48개월</t>
        </is>
      </c>
      <c r="AB2419" t="inlineStr">
        <is>
          <t>홈서비스</t>
        </is>
      </c>
      <c r="AC2419" t="n">
        <v>394240</v>
      </c>
      <c r="AD2419" t="n">
        <v>29120</v>
      </c>
      <c r="AE2419" t="n">
        <v>365120</v>
      </c>
      <c r="AF2419" t="n">
        <v>358400</v>
      </c>
      <c r="AG2419" t="n">
        <v>28159.04</v>
      </c>
      <c r="AH2419" t="n">
        <v>330240.96</v>
      </c>
      <c r="AI2419" t="n">
        <v>0</v>
      </c>
    </row>
    <row r="2420">
      <c r="A2420" t="inlineStr">
        <is>
          <t>1월</t>
        </is>
      </c>
      <c r="B2420" t="inlineStr">
        <is>
          <t>3주차</t>
        </is>
      </c>
      <c r="C2420" t="inlineStr">
        <is>
          <t>EP</t>
        </is>
      </c>
      <c r="D2420" s="28" t="n">
        <v>46036</v>
      </c>
      <c r="E2420" t="inlineStr">
        <is>
          <t>현대EP</t>
        </is>
      </c>
      <c r="F2420" t="inlineStr">
        <is>
          <t>이지형</t>
        </is>
      </c>
      <c r="G2420" t="inlineStr">
        <is>
          <t>010-7195-6107</t>
        </is>
      </c>
      <c r="H2420" t="inlineStr">
        <is>
          <t>24가7490</t>
        </is>
      </c>
      <c r="I2420" t="n">
        <v>7700000</v>
      </c>
      <c r="J2420" t="n">
        <v>0.07199999999999999</v>
      </c>
      <c r="K2420" t="n">
        <v>1.76</v>
      </c>
      <c r="L2420" t="n">
        <v>0.13</v>
      </c>
      <c r="M2420" t="n">
        <v>1.63</v>
      </c>
      <c r="P2420" t="inlineStr">
        <is>
          <t>김나윤</t>
        </is>
      </c>
      <c r="Q2420" t="inlineStr">
        <is>
          <t>홈서비스 60개월</t>
        </is>
      </c>
      <c r="AB2420" t="inlineStr">
        <is>
          <t>홈서비스</t>
        </is>
      </c>
      <c r="AC2420" t="n">
        <v>135520</v>
      </c>
      <c r="AD2420" t="n">
        <v>10010</v>
      </c>
      <c r="AE2420" t="n">
        <v>125510</v>
      </c>
      <c r="AF2420" t="n">
        <v>123200</v>
      </c>
      <c r="AG2420" t="n">
        <v>9679.67</v>
      </c>
      <c r="AH2420" t="n">
        <v>113520.33</v>
      </c>
    </row>
    <row r="2421">
      <c r="A2421" t="inlineStr">
        <is>
          <t>1월</t>
        </is>
      </c>
      <c r="B2421" t="inlineStr">
        <is>
          <t>4주차</t>
        </is>
      </c>
      <c r="C2421" t="inlineStr">
        <is>
          <t>IM</t>
        </is>
      </c>
      <c r="D2421" s="28" t="n">
        <v>46041</v>
      </c>
      <c r="E2421" t="inlineStr">
        <is>
          <t>IM캐피탈</t>
        </is>
      </c>
      <c r="F2421" t="inlineStr">
        <is>
          <t>김동현</t>
        </is>
      </c>
      <c r="G2421" t="inlineStr">
        <is>
          <t>010-9211-3749</t>
        </is>
      </c>
      <c r="H2421" t="inlineStr">
        <is>
          <t>124마4255</t>
        </is>
      </c>
      <c r="I2421" t="n">
        <v>13500000</v>
      </c>
      <c r="J2421" t="n">
        <v>0.049</v>
      </c>
      <c r="K2421" t="n">
        <v>0.55</v>
      </c>
      <c r="L2421" t="n">
        <v>0.13</v>
      </c>
      <c r="M2421" t="n">
        <v>0.42</v>
      </c>
      <c r="P2421" t="inlineStr">
        <is>
          <t>정세빈</t>
        </is>
      </c>
      <c r="Q2421" t="inlineStr">
        <is>
          <t>홈서비스 60개월 / 사유 : 금리불만</t>
        </is>
      </c>
      <c r="AB2421" t="inlineStr">
        <is>
          <t>홈서비스</t>
        </is>
      </c>
      <c r="AC2421" t="n">
        <v>74250</v>
      </c>
      <c r="AD2421" t="n">
        <v>17550</v>
      </c>
      <c r="AE2421" t="n">
        <v>56700</v>
      </c>
      <c r="AF2421" t="n">
        <v>67500</v>
      </c>
      <c r="AG2421" t="n">
        <v>16970.85</v>
      </c>
      <c r="AH2421" t="n">
        <v>50529.15</v>
      </c>
    </row>
    <row r="2422">
      <c r="A2422" t="inlineStr">
        <is>
          <t>1월</t>
        </is>
      </c>
      <c r="B2422" t="inlineStr">
        <is>
          <t>4주차</t>
        </is>
      </c>
      <c r="C2422" t="inlineStr">
        <is>
          <t>EP</t>
        </is>
      </c>
      <c r="D2422" s="28" t="n">
        <v>46041</v>
      </c>
      <c r="E2422" t="inlineStr">
        <is>
          <t>현대EP_fast</t>
        </is>
      </c>
      <c r="F2422" t="inlineStr">
        <is>
          <t>한지웅</t>
        </is>
      </c>
      <c r="G2422" t="inlineStr">
        <is>
          <t>010-8440-2276</t>
        </is>
      </c>
      <c r="H2422" t="inlineStr">
        <is>
          <t>149더3313</t>
        </is>
      </c>
      <c r="I2422" t="n">
        <v>18800000</v>
      </c>
      <c r="J2422" t="n">
        <v>0.124</v>
      </c>
      <c r="K2422" t="n">
        <v>1.76</v>
      </c>
      <c r="L2422" t="n">
        <v>0.4</v>
      </c>
      <c r="M2422" t="n">
        <v>1.36</v>
      </c>
      <c r="P2422" t="inlineStr">
        <is>
          <t>장진경</t>
        </is>
      </c>
      <c r="AB2422" t="inlineStr">
        <is>
          <t>엔카</t>
        </is>
      </c>
      <c r="AC2422" t="n">
        <v>330880</v>
      </c>
      <c r="AD2422" t="n">
        <v>75200</v>
      </c>
      <c r="AE2422" t="n">
        <v>255680</v>
      </c>
      <c r="AF2422" t="n">
        <v>300800</v>
      </c>
      <c r="AG2422" t="n">
        <v>72718.39999999999</v>
      </c>
      <c r="AH2422" t="n">
        <v>228081.6</v>
      </c>
      <c r="AI2422" t="n">
        <v>0</v>
      </c>
    </row>
    <row r="2423">
      <c r="A2423" t="inlineStr">
        <is>
          <t>1월</t>
        </is>
      </c>
      <c r="B2423" t="inlineStr">
        <is>
          <t>4주차</t>
        </is>
      </c>
      <c r="C2423" t="inlineStr">
        <is>
          <t>EP</t>
        </is>
      </c>
      <c r="D2423" s="28" t="n">
        <v>46041</v>
      </c>
      <c r="E2423" t="inlineStr">
        <is>
          <t>현대EP</t>
        </is>
      </c>
      <c r="F2423" t="inlineStr">
        <is>
          <t>김시현</t>
        </is>
      </c>
      <c r="G2423" t="inlineStr">
        <is>
          <t>010-9461-8398</t>
        </is>
      </c>
      <c r="H2423" t="inlineStr">
        <is>
          <t>123다5049</t>
        </is>
      </c>
      <c r="I2423" t="n">
        <v>21900000</v>
      </c>
      <c r="J2423" t="n">
        <v>0.06900000000000001</v>
      </c>
      <c r="K2423" t="n">
        <v>1.76</v>
      </c>
      <c r="L2423" t="n">
        <v>0.13</v>
      </c>
      <c r="M2423" t="n">
        <v>1.63</v>
      </c>
      <c r="P2423" t="inlineStr">
        <is>
          <t>최혁</t>
        </is>
      </c>
      <c r="Q2423" t="inlineStr">
        <is>
          <t>홈서비스 48개월</t>
        </is>
      </c>
      <c r="AB2423" t="inlineStr">
        <is>
          <t>홈서비스</t>
        </is>
      </c>
      <c r="AC2423" t="n">
        <v>385440</v>
      </c>
      <c r="AD2423" t="n">
        <v>28470</v>
      </c>
      <c r="AE2423" t="n">
        <v>356970</v>
      </c>
      <c r="AF2423" t="n">
        <v>350400</v>
      </c>
      <c r="AG2423" t="n">
        <v>27530.49</v>
      </c>
      <c r="AH2423" t="n">
        <v>322869.51</v>
      </c>
      <c r="AI2423" t="n">
        <v>0</v>
      </c>
    </row>
    <row r="2424">
      <c r="A2424" t="inlineStr">
        <is>
          <t>1월</t>
        </is>
      </c>
      <c r="B2424" t="inlineStr">
        <is>
          <t>4주차</t>
        </is>
      </c>
      <c r="C2424" t="inlineStr">
        <is>
          <t>IM</t>
        </is>
      </c>
      <c r="D2424" s="28" t="n">
        <v>46042</v>
      </c>
      <c r="E2424" t="inlineStr">
        <is>
          <t>IM캐피탈</t>
        </is>
      </c>
      <c r="F2424" t="inlineStr">
        <is>
          <t>양태광</t>
        </is>
      </c>
      <c r="G2424" t="inlineStr">
        <is>
          <t>010-2745-7761</t>
        </is>
      </c>
      <c r="H2424" t="inlineStr">
        <is>
          <t>360버2025</t>
        </is>
      </c>
      <c r="I2424" t="n">
        <v>3000000</v>
      </c>
      <c r="J2424" t="n">
        <v>0.064</v>
      </c>
      <c r="K2424" t="n">
        <v>0.55</v>
      </c>
      <c r="L2424" t="n">
        <v>0.13</v>
      </c>
      <c r="M2424" t="n">
        <v>0.42</v>
      </c>
      <c r="P2424" t="inlineStr">
        <is>
          <t>장현경</t>
        </is>
      </c>
      <c r="Q2424" t="inlineStr">
        <is>
          <t>선상담 사유 : 기승인건 / 현대 10.0%</t>
        </is>
      </c>
      <c r="AB2424" t="inlineStr">
        <is>
          <t>홈서비스</t>
        </is>
      </c>
      <c r="AC2424" t="n">
        <v>16500</v>
      </c>
      <c r="AD2424" t="n">
        <v>3900</v>
      </c>
      <c r="AE2424" t="n">
        <v>12600</v>
      </c>
      <c r="AF2424" t="n">
        <v>15000</v>
      </c>
      <c r="AG2424" t="n">
        <v>3771.3</v>
      </c>
      <c r="AH2424" t="n">
        <v>11228.7</v>
      </c>
      <c r="AI2424" t="n">
        <v>0</v>
      </c>
    </row>
    <row r="2425">
      <c r="A2425" t="inlineStr">
        <is>
          <t>1월</t>
        </is>
      </c>
      <c r="B2425" t="inlineStr">
        <is>
          <t>5주차</t>
        </is>
      </c>
      <c r="C2425" t="inlineStr">
        <is>
          <t>IM</t>
        </is>
      </c>
      <c r="D2425" s="28" t="n">
        <v>46051</v>
      </c>
      <c r="E2425" t="inlineStr">
        <is>
          <t>IM캐피탈</t>
        </is>
      </c>
      <c r="F2425" t="inlineStr">
        <is>
          <t>김문수</t>
        </is>
      </c>
      <c r="G2425" t="inlineStr">
        <is>
          <t>010-9343-4192</t>
        </is>
      </c>
      <c r="H2425" t="inlineStr">
        <is>
          <t>168가9924</t>
        </is>
      </c>
      <c r="I2425" t="n">
        <v>40000000</v>
      </c>
      <c r="J2425" t="n">
        <v>0.049</v>
      </c>
      <c r="K2425" t="n">
        <v>0.55</v>
      </c>
      <c r="L2425" t="n">
        <v>0.13</v>
      </c>
      <c r="M2425" t="n">
        <v>0.42</v>
      </c>
      <c r="P2425" t="inlineStr">
        <is>
          <t>정광호</t>
        </is>
      </c>
      <c r="Q2425" t="inlineStr">
        <is>
          <t>홈서비스 60개월 / 사유 : 금리불만/ *철회 20260205</t>
        </is>
      </c>
      <c r="AB2425" t="inlineStr">
        <is>
          <t>홈서비스</t>
        </is>
      </c>
      <c r="AC2425" t="n">
        <v>220000</v>
      </c>
      <c r="AD2425" t="n">
        <v>52000</v>
      </c>
      <c r="AE2425" t="n">
        <v>168000</v>
      </c>
      <c r="AF2425" t="n">
        <v>200000</v>
      </c>
      <c r="AG2425" t="n">
        <v>50284</v>
      </c>
      <c r="AH2425" t="n">
        <v>149716</v>
      </c>
      <c r="AI2425" t="n">
        <v>0</v>
      </c>
      <c r="AK2425" t="inlineStr">
        <is>
          <t>대출철회</t>
        </is>
      </c>
    </row>
    <row r="2426">
      <c r="A2426" t="inlineStr">
        <is>
          <t>3월</t>
        </is>
      </c>
      <c r="B2426" t="inlineStr">
        <is>
          <t>12주차</t>
        </is>
      </c>
      <c r="C2426" t="inlineStr">
        <is>
          <t>EP</t>
        </is>
      </c>
      <c r="D2426" s="28" t="n">
        <v>46101</v>
      </c>
      <c r="E2426" t="inlineStr">
        <is>
          <t>현대EP_fast</t>
        </is>
      </c>
      <c r="F2426" t="inlineStr">
        <is>
          <t>김민수</t>
        </is>
      </c>
      <c r="G2426" t="inlineStr">
        <is>
          <t>010-9433-1497</t>
        </is>
      </c>
      <c r="H2426" t="inlineStr">
        <is>
          <t>149어5709</t>
        </is>
      </c>
      <c r="I2426" t="n">
        <v>12000000</v>
      </c>
      <c r="J2426" t="n">
        <v>0.1</v>
      </c>
      <c r="K2426" t="n">
        <v>1.76</v>
      </c>
      <c r="L2426" t="n">
        <v>0.14</v>
      </c>
      <c r="M2426" t="n">
        <v>1.62</v>
      </c>
      <c r="P2426" t="inlineStr">
        <is>
          <t>최형주</t>
        </is>
      </c>
      <c r="Q2426" t="inlineStr">
        <is>
          <t>홈서비스 24개월</t>
        </is>
      </c>
      <c r="AB2426" t="inlineStr">
        <is>
          <t>홈서비스</t>
        </is>
      </c>
      <c r="AC2426" t="n">
        <v>211200</v>
      </c>
      <c r="AD2426" t="n">
        <v>16800</v>
      </c>
      <c r="AE2426" t="n">
        <v>194400</v>
      </c>
      <c r="AF2426" t="n">
        <v>192000</v>
      </c>
      <c r="AG2426" t="n">
        <v>16245.6</v>
      </c>
      <c r="AH2426" t="n">
        <v>175754.4</v>
      </c>
      <c r="AI2426" t="n">
        <v>0</v>
      </c>
    </row>
    <row r="2427">
      <c r="A2427" t="inlineStr">
        <is>
          <t>1월</t>
        </is>
      </c>
      <c r="B2427" t="inlineStr">
        <is>
          <t>3주차</t>
        </is>
      </c>
      <c r="C2427" t="inlineStr">
        <is>
          <t>EP</t>
        </is>
      </c>
      <c r="D2427" s="28" t="n">
        <v>46038</v>
      </c>
      <c r="E2427" t="inlineStr">
        <is>
          <t>제이비EP</t>
        </is>
      </c>
      <c r="F2427" t="inlineStr">
        <is>
          <t>김영락</t>
        </is>
      </c>
      <c r="G2427" t="inlineStr">
        <is>
          <t>010-4539-1569</t>
        </is>
      </c>
      <c r="H2427" t="inlineStr">
        <is>
          <t>90조3034</t>
        </is>
      </c>
      <c r="I2427" t="n">
        <v>46000000</v>
      </c>
      <c r="J2427" t="n">
        <v>0.094</v>
      </c>
      <c r="K2427" t="n">
        <v>1.65</v>
      </c>
      <c r="L2427" t="n">
        <v>0.4</v>
      </c>
      <c r="M2427" t="n">
        <v>1.25</v>
      </c>
      <c r="P2427" t="inlineStr">
        <is>
          <t>박보람</t>
        </is>
      </c>
      <c r="Q2427" t="inlineStr">
        <is>
          <t>사유 : 금리 불만 / 재접수건 별도O/ *철회 20260116</t>
        </is>
      </c>
      <c r="AB2427" t="inlineStr">
        <is>
          <t>엔카</t>
        </is>
      </c>
      <c r="AC2427" t="n">
        <v>759000</v>
      </c>
      <c r="AD2427" t="n">
        <v>184000</v>
      </c>
      <c r="AE2427" t="n">
        <v>575000</v>
      </c>
      <c r="AF2427" t="n">
        <v>690000</v>
      </c>
      <c r="AG2427" t="n">
        <v>177928</v>
      </c>
      <c r="AH2427" t="n">
        <v>512072</v>
      </c>
      <c r="AK2427" t="inlineStr">
        <is>
          <t>대출철회</t>
        </is>
      </c>
    </row>
    <row r="2428">
      <c r="A2428" t="inlineStr">
        <is>
          <t>3월</t>
        </is>
      </c>
      <c r="B2428" t="inlineStr">
        <is>
          <t>12주차</t>
        </is>
      </c>
      <c r="C2428" t="inlineStr">
        <is>
          <t>IM</t>
        </is>
      </c>
      <c r="D2428" s="28" t="n">
        <v>46101</v>
      </c>
      <c r="E2428" t="inlineStr">
        <is>
          <t>IM캐피탈</t>
        </is>
      </c>
      <c r="F2428" t="inlineStr">
        <is>
          <t>박경수</t>
        </is>
      </c>
      <c r="G2428" t="inlineStr">
        <is>
          <t>010-9319-4133</t>
        </is>
      </c>
      <c r="H2428" t="inlineStr">
        <is>
          <t>28소5355</t>
        </is>
      </c>
      <c r="I2428" t="n">
        <v>50000000</v>
      </c>
      <c r="J2428" t="n">
        <v>0.049</v>
      </c>
      <c r="K2428" t="n">
        <v>1.1</v>
      </c>
      <c r="L2428" t="n">
        <v>0.4</v>
      </c>
      <c r="M2428" t="n">
        <v>0.7</v>
      </c>
      <c r="P2428" t="inlineStr">
        <is>
          <t>구성완</t>
        </is>
      </c>
      <c r="AB2428" t="inlineStr">
        <is>
          <t>엔카</t>
        </is>
      </c>
      <c r="AC2428" t="n">
        <v>550000</v>
      </c>
      <c r="AD2428" t="n">
        <v>200000</v>
      </c>
      <c r="AE2428" t="n">
        <v>350000</v>
      </c>
      <c r="AF2428" t="n">
        <v>500000</v>
      </c>
      <c r="AG2428" t="n">
        <v>193400</v>
      </c>
      <c r="AH2428" t="n">
        <v>306600</v>
      </c>
      <c r="AI2428" t="n">
        <v>0</v>
      </c>
    </row>
    <row r="2429">
      <c r="A2429" t="inlineStr">
        <is>
          <t>3월</t>
        </is>
      </c>
      <c r="B2429" t="inlineStr">
        <is>
          <t>12주차</t>
        </is>
      </c>
      <c r="C2429" t="inlineStr">
        <is>
          <t>EP</t>
        </is>
      </c>
      <c r="D2429" s="28" t="n">
        <v>46101</v>
      </c>
      <c r="E2429" t="inlineStr">
        <is>
          <t>현대EP_fast</t>
        </is>
      </c>
      <c r="F2429" t="inlineStr">
        <is>
          <t>이주영</t>
        </is>
      </c>
      <c r="G2429" t="inlineStr">
        <is>
          <t>010-2252-1491</t>
        </is>
      </c>
      <c r="H2429" t="inlineStr">
        <is>
          <t>58나9211</t>
        </is>
      </c>
      <c r="I2429" t="n">
        <v>20000000</v>
      </c>
      <c r="J2429" t="n">
        <v>0.134</v>
      </c>
      <c r="K2429" t="n">
        <v>1.76</v>
      </c>
      <c r="L2429" t="n">
        <v>0.14</v>
      </c>
      <c r="M2429" t="n">
        <v>1.62</v>
      </c>
      <c r="P2429" t="inlineStr">
        <is>
          <t>정세빈</t>
        </is>
      </c>
      <c r="Q2429" t="inlineStr">
        <is>
          <t>홈서비스 48개월</t>
        </is>
      </c>
      <c r="AB2429" t="inlineStr">
        <is>
          <t>홈서비스</t>
        </is>
      </c>
      <c r="AC2429" t="n">
        <v>352000</v>
      </c>
      <c r="AD2429" t="n">
        <v>28000</v>
      </c>
      <c r="AE2429" t="n">
        <v>324000</v>
      </c>
      <c r="AF2429" t="n">
        <v>320000</v>
      </c>
      <c r="AG2429" t="n">
        <v>27076</v>
      </c>
      <c r="AH2429" t="n">
        <v>292924</v>
      </c>
      <c r="AI2429" t="n">
        <v>0</v>
      </c>
    </row>
    <row r="2430">
      <c r="A2430" t="inlineStr">
        <is>
          <t>3월</t>
        </is>
      </c>
      <c r="B2430" t="inlineStr">
        <is>
          <t>12주차</t>
        </is>
      </c>
      <c r="C2430" t="inlineStr">
        <is>
          <t>IM</t>
        </is>
      </c>
      <c r="D2430" s="28" t="n">
        <v>46101</v>
      </c>
      <c r="E2430" t="inlineStr">
        <is>
          <t>IM캐피탈</t>
        </is>
      </c>
      <c r="F2430" t="inlineStr">
        <is>
          <t>김치성</t>
        </is>
      </c>
      <c r="G2430" t="inlineStr">
        <is>
          <t>010-6275-9842</t>
        </is>
      </c>
      <c r="H2430" t="inlineStr">
        <is>
          <t>59오5311</t>
        </is>
      </c>
      <c r="I2430" t="n">
        <v>40100000</v>
      </c>
      <c r="J2430" t="n">
        <v>0.049</v>
      </c>
      <c r="K2430" t="n">
        <v>1.1</v>
      </c>
      <c r="L2430" t="n">
        <v>0.14</v>
      </c>
      <c r="M2430" t="n">
        <v>0.96</v>
      </c>
      <c r="P2430" t="inlineStr">
        <is>
          <t>정세빈</t>
        </is>
      </c>
      <c r="Q2430" t="inlineStr">
        <is>
          <t>홈서비스 60개월</t>
        </is>
      </c>
      <c r="AB2430" t="inlineStr">
        <is>
          <t>홈서비스</t>
        </is>
      </c>
      <c r="AC2430" t="n">
        <v>441100</v>
      </c>
      <c r="AD2430" t="n">
        <v>56140</v>
      </c>
      <c r="AE2430" t="n">
        <v>384960</v>
      </c>
      <c r="AF2430" t="n">
        <v>401000</v>
      </c>
      <c r="AG2430" t="n">
        <v>54287.38</v>
      </c>
      <c r="AH2430" t="n">
        <v>346712.62</v>
      </c>
      <c r="AI2430" t="n">
        <v>0</v>
      </c>
    </row>
    <row r="2431">
      <c r="A2431" t="inlineStr">
        <is>
          <t>3월</t>
        </is>
      </c>
      <c r="B2431" t="inlineStr">
        <is>
          <t>12주차</t>
        </is>
      </c>
      <c r="C2431" t="inlineStr">
        <is>
          <t>EP</t>
        </is>
      </c>
      <c r="D2431" s="28" t="n">
        <v>46100</v>
      </c>
      <c r="E2431" t="inlineStr">
        <is>
          <t>제이비EP</t>
        </is>
      </c>
      <c r="F2431" t="inlineStr">
        <is>
          <t>최은숙</t>
        </is>
      </c>
      <c r="G2431" t="inlineStr">
        <is>
          <t>010-8841-3334</t>
        </is>
      </c>
      <c r="H2431" t="inlineStr">
        <is>
          <t>8398고3561</t>
        </is>
      </c>
      <c r="I2431" t="n">
        <v>-23700000</v>
      </c>
      <c r="J2431" t="n">
        <v>0.08500000000000001</v>
      </c>
      <c r="K2431" t="n">
        <v>1.65</v>
      </c>
      <c r="L2431" t="n">
        <v>0.4</v>
      </c>
      <c r="M2431" t="n">
        <v>1.25</v>
      </c>
      <c r="P2431" t="inlineStr">
        <is>
          <t>박현민</t>
        </is>
      </c>
      <c r="AB2431" t="inlineStr">
        <is>
          <t>엔카</t>
        </is>
      </c>
      <c r="AC2431" t="n">
        <v>-391050</v>
      </c>
      <c r="AD2431" t="n">
        <v>-94800</v>
      </c>
      <c r="AE2431" t="n">
        <v>-296250</v>
      </c>
      <c r="AF2431" t="n">
        <v>-355500</v>
      </c>
      <c r="AG2431" t="n">
        <v>-91671.60000000001</v>
      </c>
      <c r="AH2431" t="n">
        <v>-263828.4</v>
      </c>
      <c r="AI2431" t="n">
        <v>0</v>
      </c>
    </row>
    <row r="2432">
      <c r="A2432" t="inlineStr">
        <is>
          <t>3월</t>
        </is>
      </c>
      <c r="B2432" t="inlineStr">
        <is>
          <t>12주차</t>
        </is>
      </c>
      <c r="C2432" t="inlineStr">
        <is>
          <t>IM</t>
        </is>
      </c>
      <c r="D2432" s="28" t="n">
        <v>46101</v>
      </c>
      <c r="E2432" t="inlineStr">
        <is>
          <t>IM캐피탈</t>
        </is>
      </c>
      <c r="F2432" t="inlineStr">
        <is>
          <t>김용진</t>
        </is>
      </c>
      <c r="G2432" t="inlineStr">
        <is>
          <t>010-6357-9916</t>
        </is>
      </c>
      <c r="H2432" t="inlineStr">
        <is>
          <t>63가5540</t>
        </is>
      </c>
      <c r="I2432" t="n">
        <v>47800000</v>
      </c>
      <c r="J2432" t="n">
        <v>0.056</v>
      </c>
      <c r="K2432" t="n">
        <v>1.1</v>
      </c>
      <c r="L2432" t="n">
        <v>0.5</v>
      </c>
      <c r="M2432" t="n">
        <v>0.6</v>
      </c>
      <c r="P2432" t="inlineStr">
        <is>
          <t>정하은</t>
        </is>
      </c>
      <c r="AB2432" t="inlineStr">
        <is>
          <t>엔카</t>
        </is>
      </c>
      <c r="AC2432" t="n">
        <v>525800</v>
      </c>
      <c r="AD2432" t="n">
        <v>239000</v>
      </c>
      <c r="AE2432" t="n">
        <v>286800</v>
      </c>
      <c r="AF2432" t="n">
        <v>478000</v>
      </c>
      <c r="AG2432" t="n">
        <v>231113</v>
      </c>
      <c r="AH2432" t="n">
        <v>246887</v>
      </c>
      <c r="AI2432" t="n">
        <v>0</v>
      </c>
    </row>
    <row r="2433">
      <c r="A2433" t="inlineStr">
        <is>
          <t>3월</t>
        </is>
      </c>
      <c r="B2433" t="inlineStr">
        <is>
          <t>12주차</t>
        </is>
      </c>
      <c r="C2433" t="inlineStr">
        <is>
          <t>IM</t>
        </is>
      </c>
      <c r="D2433" s="28" t="n">
        <v>46100</v>
      </c>
      <c r="E2433" t="inlineStr">
        <is>
          <t>IM캐피탈</t>
        </is>
      </c>
      <c r="F2433" t="inlineStr">
        <is>
          <t>강성호</t>
        </is>
      </c>
      <c r="G2433" t="inlineStr">
        <is>
          <t>010-9977-0158</t>
        </is>
      </c>
      <c r="H2433" t="inlineStr">
        <is>
          <t>168어9904</t>
        </is>
      </c>
      <c r="I2433" t="n">
        <v>-5000000</v>
      </c>
      <c r="J2433" t="n">
        <v>0.059</v>
      </c>
      <c r="K2433" t="n">
        <v>1.1</v>
      </c>
      <c r="L2433" t="n">
        <v>0.14</v>
      </c>
      <c r="M2433" t="n">
        <v>0.96</v>
      </c>
      <c r="P2433" t="inlineStr">
        <is>
          <t>장현경</t>
        </is>
      </c>
      <c r="Q2433" t="inlineStr">
        <is>
          <t>선상담 /홈서비스 48개월</t>
        </is>
      </c>
      <c r="AB2433" t="inlineStr">
        <is>
          <t>홈서비스</t>
        </is>
      </c>
      <c r="AC2433" t="n">
        <v>-55000</v>
      </c>
      <c r="AD2433" t="n">
        <v>-7000</v>
      </c>
      <c r="AE2433" t="n">
        <v>-48000</v>
      </c>
      <c r="AF2433" t="n">
        <v>-50000</v>
      </c>
      <c r="AG2433" t="n">
        <v>-6769</v>
      </c>
      <c r="AH2433" t="n">
        <v>-43231</v>
      </c>
    </row>
    <row r="2434">
      <c r="A2434" t="inlineStr">
        <is>
          <t>3월</t>
        </is>
      </c>
      <c r="B2434" t="inlineStr">
        <is>
          <t>12주차</t>
        </is>
      </c>
      <c r="C2434" t="inlineStr">
        <is>
          <t>IM</t>
        </is>
      </c>
      <c r="D2434" s="28" t="n">
        <v>46101</v>
      </c>
      <c r="E2434" t="inlineStr">
        <is>
          <t>IM캐피탈</t>
        </is>
      </c>
      <c r="F2434" t="inlineStr">
        <is>
          <t>김선미</t>
        </is>
      </c>
      <c r="G2434" t="inlineStr">
        <is>
          <t>010-4695-8684</t>
        </is>
      </c>
      <c r="H2434" t="inlineStr">
        <is>
          <t>291가4939</t>
        </is>
      </c>
      <c r="I2434" t="n">
        <v>13000000</v>
      </c>
      <c r="J2434" t="n">
        <v>0.056</v>
      </c>
      <c r="K2434" t="n">
        <v>1.1</v>
      </c>
      <c r="L2434" t="n">
        <v>0.14</v>
      </c>
      <c r="M2434" t="n">
        <v>0.96</v>
      </c>
      <c r="P2434" t="inlineStr">
        <is>
          <t>정세빈</t>
        </is>
      </c>
      <c r="Q2434" t="inlineStr">
        <is>
          <t>홈서비스 36개월</t>
        </is>
      </c>
      <c r="AB2434" t="inlineStr">
        <is>
          <t>홈서비스</t>
        </is>
      </c>
      <c r="AC2434" t="n">
        <v>143000</v>
      </c>
      <c r="AD2434" t="n">
        <v>18200</v>
      </c>
      <c r="AE2434" t="n">
        <v>124800</v>
      </c>
      <c r="AF2434" t="n">
        <v>130000</v>
      </c>
      <c r="AG2434" t="n">
        <v>17599.4</v>
      </c>
      <c r="AH2434" t="n">
        <v>112400.6</v>
      </c>
    </row>
    <row r="2435">
      <c r="A2435" t="inlineStr">
        <is>
          <t>3월</t>
        </is>
      </c>
      <c r="B2435" t="inlineStr">
        <is>
          <t>12주차</t>
        </is>
      </c>
      <c r="C2435" t="inlineStr">
        <is>
          <t>EP</t>
        </is>
      </c>
      <c r="D2435" s="28" t="n">
        <v>46100</v>
      </c>
      <c r="E2435" t="inlineStr">
        <is>
          <t>제이비EP</t>
        </is>
      </c>
      <c r="F2435" t="inlineStr">
        <is>
          <t>이경환</t>
        </is>
      </c>
      <c r="G2435" t="inlineStr">
        <is>
          <t>010-9459-4810</t>
        </is>
      </c>
      <c r="H2435" t="inlineStr">
        <is>
          <t>116주2621</t>
        </is>
      </c>
      <c r="I2435" t="n">
        <v>6000000</v>
      </c>
      <c r="J2435" t="n">
        <v>0.06900000000000001</v>
      </c>
      <c r="K2435" t="n">
        <v>1.65</v>
      </c>
      <c r="L2435" t="n">
        <v>0.14</v>
      </c>
      <c r="M2435" t="n">
        <v>1.51</v>
      </c>
      <c r="P2435" t="inlineStr">
        <is>
          <t>박소현</t>
        </is>
      </c>
      <c r="Q2435" t="inlineStr">
        <is>
          <t>선상담 / 홈서비스 60개월</t>
        </is>
      </c>
      <c r="AB2435" t="inlineStr">
        <is>
          <t>홈서비스</t>
        </is>
      </c>
      <c r="AC2435" t="n">
        <v>99000</v>
      </c>
      <c r="AD2435" t="n">
        <v>8400</v>
      </c>
      <c r="AE2435" t="n">
        <v>90600</v>
      </c>
      <c r="AF2435" t="n">
        <v>90000</v>
      </c>
      <c r="AG2435" t="n">
        <v>8122.8</v>
      </c>
      <c r="AH2435" t="n">
        <v>81877.2</v>
      </c>
    </row>
    <row r="2436">
      <c r="A2436" t="inlineStr">
        <is>
          <t>3월</t>
        </is>
      </c>
      <c r="B2436" t="inlineStr">
        <is>
          <t>12주차</t>
        </is>
      </c>
      <c r="C2436" t="inlineStr">
        <is>
          <t>EP</t>
        </is>
      </c>
      <c r="D2436" s="28" t="n">
        <v>46101</v>
      </c>
      <c r="E2436" t="inlineStr">
        <is>
          <t>현대EP</t>
        </is>
      </c>
      <c r="F2436" t="inlineStr">
        <is>
          <t>김문정</t>
        </is>
      </c>
      <c r="G2436" t="inlineStr">
        <is>
          <t>010-5394-0597</t>
        </is>
      </c>
      <c r="H2436" t="inlineStr">
        <is>
          <t>33주5152</t>
        </is>
      </c>
      <c r="I2436" t="n">
        <v>5500000</v>
      </c>
      <c r="J2436" t="n">
        <v>0.07199999999999999</v>
      </c>
      <c r="K2436" t="n">
        <v>1.76</v>
      </c>
      <c r="L2436" t="n">
        <v>0.14</v>
      </c>
      <c r="M2436" t="n">
        <v>1.62</v>
      </c>
      <c r="P2436" t="inlineStr">
        <is>
          <t>황채이</t>
        </is>
      </c>
      <c r="Q2436" t="inlineStr">
        <is>
          <t>홈서비스 60개월</t>
        </is>
      </c>
      <c r="AB2436" t="inlineStr">
        <is>
          <t>홈서비스</t>
        </is>
      </c>
      <c r="AC2436" t="n">
        <v>96800</v>
      </c>
      <c r="AD2436" t="n">
        <v>7700</v>
      </c>
      <c r="AE2436" t="n">
        <v>89100</v>
      </c>
      <c r="AF2436" t="n">
        <v>88000</v>
      </c>
      <c r="AG2436" t="n">
        <v>7445.9</v>
      </c>
      <c r="AH2436" t="n">
        <v>80554.10000000001</v>
      </c>
    </row>
    <row r="2437">
      <c r="A2437" t="inlineStr">
        <is>
          <t>3월</t>
        </is>
      </c>
      <c r="B2437" t="inlineStr">
        <is>
          <t>12주차</t>
        </is>
      </c>
      <c r="C2437" t="inlineStr">
        <is>
          <t>EP</t>
        </is>
      </c>
      <c r="D2437" s="28" t="n">
        <v>46101</v>
      </c>
      <c r="E2437" t="inlineStr">
        <is>
          <t>제이비EP</t>
        </is>
      </c>
      <c r="F2437" t="inlineStr">
        <is>
          <t>강진섭</t>
        </is>
      </c>
      <c r="G2437" t="inlineStr">
        <is>
          <t>010-8446-8567</t>
        </is>
      </c>
      <c r="H2437" t="inlineStr">
        <is>
          <t xml:space="preserve"> 268주1702</t>
        </is>
      </c>
      <c r="I2437" t="n">
        <v>3000000</v>
      </c>
      <c r="J2437" t="n">
        <v>0.079</v>
      </c>
      <c r="K2437" t="n">
        <v>1.65</v>
      </c>
      <c r="L2437" t="n">
        <v>0.14</v>
      </c>
      <c r="M2437" t="n">
        <v>1.51</v>
      </c>
      <c r="P2437" t="inlineStr">
        <is>
          <t>최형주</t>
        </is>
      </c>
      <c r="Q2437" t="inlineStr">
        <is>
          <t>홈서비스 24개월</t>
        </is>
      </c>
      <c r="AB2437" t="inlineStr">
        <is>
          <t>홈서비스</t>
        </is>
      </c>
      <c r="AC2437" t="n">
        <v>49500</v>
      </c>
      <c r="AD2437" t="n">
        <v>4200</v>
      </c>
      <c r="AE2437" t="n">
        <v>45300</v>
      </c>
      <c r="AF2437" t="n">
        <v>45000</v>
      </c>
      <c r="AG2437" t="n">
        <v>4061.4</v>
      </c>
      <c r="AH2437" t="n">
        <v>40938.6</v>
      </c>
    </row>
    <row r="2438">
      <c r="A2438" t="inlineStr">
        <is>
          <t>3월</t>
        </is>
      </c>
      <c r="B2438" t="inlineStr">
        <is>
          <t>12주차</t>
        </is>
      </c>
      <c r="C2438" t="inlineStr">
        <is>
          <t>EP</t>
        </is>
      </c>
      <c r="D2438" s="28" t="n">
        <v>46101</v>
      </c>
      <c r="E2438" t="inlineStr">
        <is>
          <t>현대EP</t>
        </is>
      </c>
      <c r="F2438" t="inlineStr">
        <is>
          <t>류민아</t>
        </is>
      </c>
      <c r="G2438" t="inlineStr">
        <is>
          <t>010-8300-7896</t>
        </is>
      </c>
      <c r="H2438" t="inlineStr">
        <is>
          <t>208수5023</t>
        </is>
      </c>
      <c r="I2438" t="n">
        <v>60000000</v>
      </c>
      <c r="J2438" t="n">
        <v>0.07199999999999999</v>
      </c>
      <c r="K2438" t="n">
        <v>1.76</v>
      </c>
      <c r="L2438" t="n">
        <v>0.14</v>
      </c>
      <c r="M2438" t="n">
        <v>1.62</v>
      </c>
      <c r="P2438" t="inlineStr">
        <is>
          <t>최형주</t>
        </is>
      </c>
      <c r="Q2438" t="inlineStr">
        <is>
          <t>홈서비스 36개월</t>
        </is>
      </c>
      <c r="AB2438" t="inlineStr">
        <is>
          <t>홈서비스</t>
        </is>
      </c>
      <c r="AC2438" t="n">
        <v>1056000</v>
      </c>
      <c r="AD2438" t="n">
        <v>84000</v>
      </c>
      <c r="AE2438" t="n">
        <v>972000</v>
      </c>
      <c r="AF2438" t="n">
        <v>960000</v>
      </c>
      <c r="AG2438" t="n">
        <v>81228</v>
      </c>
      <c r="AH2438" t="n">
        <v>878772</v>
      </c>
      <c r="AI2438" t="n">
        <v>0</v>
      </c>
    </row>
    <row r="2439">
      <c r="A2439" t="inlineStr">
        <is>
          <t>3월</t>
        </is>
      </c>
      <c r="B2439" t="inlineStr">
        <is>
          <t>12주차</t>
        </is>
      </c>
      <c r="C2439" t="inlineStr">
        <is>
          <t>EP</t>
        </is>
      </c>
      <c r="D2439" s="28" t="n">
        <v>46101</v>
      </c>
      <c r="E2439" t="inlineStr">
        <is>
          <t>현대EP_fast</t>
        </is>
      </c>
      <c r="F2439" t="inlineStr">
        <is>
          <t>박대설</t>
        </is>
      </c>
      <c r="G2439" t="inlineStr">
        <is>
          <t>010-2044-0960</t>
        </is>
      </c>
      <c r="H2439" t="inlineStr">
        <is>
          <t>122모5457</t>
        </is>
      </c>
      <c r="I2439" t="n">
        <v>11200000</v>
      </c>
      <c r="J2439" t="n">
        <v>0.077</v>
      </c>
      <c r="K2439" t="n">
        <v>1.76</v>
      </c>
      <c r="L2439" t="n">
        <v>0.14</v>
      </c>
      <c r="M2439" t="n">
        <v>1.62</v>
      </c>
      <c r="P2439" t="inlineStr">
        <is>
          <t>김수연</t>
        </is>
      </c>
      <c r="Q2439" t="inlineStr">
        <is>
          <t>홈서비스 48개월</t>
        </is>
      </c>
      <c r="AB2439" t="inlineStr">
        <is>
          <t>홈서비스</t>
        </is>
      </c>
      <c r="AC2439" t="n">
        <v>197120</v>
      </c>
      <c r="AD2439" t="n">
        <v>15680</v>
      </c>
      <c r="AE2439" t="n">
        <v>181440</v>
      </c>
      <c r="AF2439" t="n">
        <v>179200</v>
      </c>
      <c r="AG2439" t="n">
        <v>15162.56</v>
      </c>
      <c r="AH2439" t="n">
        <v>164037.44</v>
      </c>
      <c r="AI2439" t="n">
        <v>0</v>
      </c>
    </row>
    <row r="2440">
      <c r="A2440" t="inlineStr">
        <is>
          <t>3월</t>
        </is>
      </c>
      <c r="B2440" t="inlineStr">
        <is>
          <t>12주차</t>
        </is>
      </c>
      <c r="C2440" t="inlineStr">
        <is>
          <t>OR</t>
        </is>
      </c>
      <c r="D2440" s="28" t="n">
        <v>46101</v>
      </c>
      <c r="E2440" t="inlineStr">
        <is>
          <t>오릭스</t>
        </is>
      </c>
      <c r="F2440" t="inlineStr">
        <is>
          <t>이동규</t>
        </is>
      </c>
      <c r="G2440" t="inlineStr">
        <is>
          <t>010-8000-6655</t>
        </is>
      </c>
      <c r="H2440" t="inlineStr">
        <is>
          <t>185가5819</t>
        </is>
      </c>
      <c r="I2440" t="n">
        <v>37900000</v>
      </c>
      <c r="J2440" t="n">
        <v>0.055</v>
      </c>
      <c r="K2440" t="n">
        <v>1.65</v>
      </c>
      <c r="L2440" t="n">
        <v>0.14</v>
      </c>
      <c r="M2440" t="n">
        <v>1.51</v>
      </c>
      <c r="P2440" t="inlineStr">
        <is>
          <t>정세빈</t>
        </is>
      </c>
      <c r="Q2440" t="inlineStr">
        <is>
          <t>홈서비스 60개월</t>
        </is>
      </c>
      <c r="AB2440" t="inlineStr">
        <is>
          <t>홈서비스</t>
        </is>
      </c>
      <c r="AC2440" t="n">
        <v>625350</v>
      </c>
      <c r="AD2440" t="n">
        <v>53060</v>
      </c>
      <c r="AE2440" t="n">
        <v>572290</v>
      </c>
      <c r="AF2440" t="n">
        <v>568500</v>
      </c>
      <c r="AG2440" t="n">
        <v>51309.02</v>
      </c>
      <c r="AH2440" t="n">
        <v>517190.98</v>
      </c>
      <c r="AI2440" t="n">
        <v>0</v>
      </c>
    </row>
    <row r="2441">
      <c r="A2441" t="inlineStr">
        <is>
          <t>3월</t>
        </is>
      </c>
      <c r="B2441" t="inlineStr">
        <is>
          <t>12주차</t>
        </is>
      </c>
      <c r="C2441" t="inlineStr">
        <is>
          <t>EP</t>
        </is>
      </c>
      <c r="D2441" s="28" t="n">
        <v>46102</v>
      </c>
      <c r="E2441" t="inlineStr">
        <is>
          <t>현대EP_fast</t>
        </is>
      </c>
      <c r="F2441" t="inlineStr">
        <is>
          <t>조성황</t>
        </is>
      </c>
      <c r="G2441" t="inlineStr">
        <is>
          <t>010-5153-6486</t>
        </is>
      </c>
      <c r="H2441" t="inlineStr">
        <is>
          <t>278버8542</t>
        </is>
      </c>
      <c r="I2441" t="n">
        <v>35000000</v>
      </c>
      <c r="J2441" t="n">
        <v>0.08799999999999999</v>
      </c>
      <c r="K2441" t="n">
        <v>1.76</v>
      </c>
      <c r="L2441" t="n">
        <v>0.14</v>
      </c>
      <c r="M2441" t="n">
        <v>1.62</v>
      </c>
      <c r="P2441" t="inlineStr">
        <is>
          <t>정세빈</t>
        </is>
      </c>
      <c r="Q2441" t="inlineStr">
        <is>
          <t>홈서비스 60개월</t>
        </is>
      </c>
      <c r="AB2441" t="inlineStr">
        <is>
          <t>홈서비스</t>
        </is>
      </c>
      <c r="AC2441" t="n">
        <v>616000</v>
      </c>
      <c r="AD2441" t="n">
        <v>49000</v>
      </c>
      <c r="AE2441" t="n">
        <v>567000</v>
      </c>
      <c r="AF2441" t="n">
        <v>560000</v>
      </c>
      <c r="AG2441" t="n">
        <v>47383</v>
      </c>
      <c r="AH2441" t="n">
        <v>512617</v>
      </c>
    </row>
    <row r="2442">
      <c r="A2442" t="inlineStr">
        <is>
          <t>3월</t>
        </is>
      </c>
      <c r="B2442" t="inlineStr">
        <is>
          <t>12주차</t>
        </is>
      </c>
      <c r="C2442" t="inlineStr">
        <is>
          <t>EP</t>
        </is>
      </c>
      <c r="D2442" s="28" t="n">
        <v>46102</v>
      </c>
      <c r="E2442" t="inlineStr">
        <is>
          <t>현대EP</t>
        </is>
      </c>
      <c r="F2442" t="inlineStr">
        <is>
          <t>박동완</t>
        </is>
      </c>
      <c r="G2442" t="inlineStr">
        <is>
          <t>010-5190-9054</t>
        </is>
      </c>
      <c r="H2442" t="inlineStr">
        <is>
          <t>27거1891</t>
        </is>
      </c>
      <c r="I2442" t="n">
        <v>3900000</v>
      </c>
      <c r="J2442" t="n">
        <v>0.105</v>
      </c>
      <c r="K2442" t="n">
        <v>1.76</v>
      </c>
      <c r="L2442" t="n">
        <v>0.14</v>
      </c>
      <c r="M2442" t="n">
        <v>1.62</v>
      </c>
      <c r="P2442" t="inlineStr">
        <is>
          <t>정세빈</t>
        </is>
      </c>
      <c r="Q2442" t="inlineStr">
        <is>
          <t>홈서비스 24개월</t>
        </is>
      </c>
      <c r="AB2442" t="inlineStr">
        <is>
          <t>홈서비스</t>
        </is>
      </c>
      <c r="AC2442" t="n">
        <v>68640</v>
      </c>
      <c r="AD2442" t="n">
        <v>5460</v>
      </c>
      <c r="AE2442" t="n">
        <v>63180</v>
      </c>
      <c r="AF2442" t="n">
        <v>62400</v>
      </c>
      <c r="AG2442" t="n">
        <v>5279.82</v>
      </c>
      <c r="AH2442" t="n">
        <v>57120.18</v>
      </c>
    </row>
    <row r="2443">
      <c r="A2443" t="inlineStr">
        <is>
          <t>3월</t>
        </is>
      </c>
      <c r="B2443" t="inlineStr">
        <is>
          <t>12주차</t>
        </is>
      </c>
      <c r="C2443" t="inlineStr">
        <is>
          <t>EP</t>
        </is>
      </c>
      <c r="D2443" s="28" t="n">
        <v>46101</v>
      </c>
      <c r="E2443" t="inlineStr">
        <is>
          <t>제이비EP</t>
        </is>
      </c>
      <c r="F2443" t="inlineStr">
        <is>
          <t>하용석</t>
        </is>
      </c>
      <c r="G2443" t="inlineStr">
        <is>
          <t>010-8315-2674</t>
        </is>
      </c>
      <c r="H2443" t="inlineStr">
        <is>
          <t>96보6336</t>
        </is>
      </c>
      <c r="I2443" t="n">
        <v>20800000</v>
      </c>
      <c r="J2443" t="n">
        <v>0.08500000000000001</v>
      </c>
      <c r="K2443" t="n">
        <v>1.65</v>
      </c>
      <c r="L2443" t="n">
        <v>0.14</v>
      </c>
      <c r="M2443" t="n">
        <v>1.51</v>
      </c>
      <c r="P2443" t="inlineStr">
        <is>
          <t>최형주</t>
        </is>
      </c>
      <c r="Q2443" t="inlineStr">
        <is>
          <t>실적 누락 추가기재</t>
        </is>
      </c>
      <c r="AB2443" t="inlineStr">
        <is>
          <t>홈서비스</t>
        </is>
      </c>
      <c r="AC2443" t="n">
        <v>343200</v>
      </c>
      <c r="AD2443" t="n">
        <v>29120</v>
      </c>
      <c r="AE2443" t="n">
        <v>314080</v>
      </c>
      <c r="AF2443" t="n">
        <v>312000</v>
      </c>
      <c r="AG2443" t="n">
        <v>28159.04</v>
      </c>
      <c r="AH2443" t="n">
        <v>283840.96</v>
      </c>
      <c r="AI2443" t="n">
        <v>0</v>
      </c>
    </row>
    <row r="2444">
      <c r="A2444" t="inlineStr">
        <is>
          <t>3월</t>
        </is>
      </c>
      <c r="B2444" t="inlineStr">
        <is>
          <t>12주차</t>
        </is>
      </c>
      <c r="C2444" t="inlineStr">
        <is>
          <t>EP</t>
        </is>
      </c>
      <c r="D2444" s="28" t="n">
        <v>46101</v>
      </c>
      <c r="E2444" t="inlineStr">
        <is>
          <t>현대EP_fast</t>
        </is>
      </c>
      <c r="F2444" t="inlineStr">
        <is>
          <t>김진천</t>
        </is>
      </c>
      <c r="G2444" t="inlineStr">
        <is>
          <t>010-5014-9585</t>
        </is>
      </c>
      <c r="H2444" t="inlineStr">
        <is>
          <t>51구5775</t>
        </is>
      </c>
      <c r="I2444" t="n">
        <v>3000000</v>
      </c>
      <c r="J2444" t="n">
        <v>0.118</v>
      </c>
      <c r="K2444" t="n">
        <v>1.76</v>
      </c>
      <c r="L2444" t="n">
        <v>0.14</v>
      </c>
      <c r="M2444" t="n">
        <v>1.62</v>
      </c>
      <c r="P2444" t="inlineStr">
        <is>
          <t>김나윤</t>
        </is>
      </c>
      <c r="Q2444" t="inlineStr">
        <is>
          <t>홈서비스 24개월</t>
        </is>
      </c>
      <c r="AB2444" t="inlineStr">
        <is>
          <t>홈서비스</t>
        </is>
      </c>
      <c r="AC2444" t="n">
        <v>52800</v>
      </c>
      <c r="AD2444" t="n">
        <v>4200</v>
      </c>
      <c r="AE2444" t="n">
        <v>48600</v>
      </c>
      <c r="AF2444" t="n">
        <v>48000</v>
      </c>
      <c r="AG2444" t="n">
        <v>4061.4</v>
      </c>
      <c r="AH2444" t="n">
        <v>43938.6</v>
      </c>
      <c r="AI2444" t="n">
        <v>0</v>
      </c>
    </row>
    <row r="2445">
      <c r="A2445" t="inlineStr">
        <is>
          <t>3월</t>
        </is>
      </c>
      <c r="B2445" t="inlineStr">
        <is>
          <t>12주차</t>
        </is>
      </c>
      <c r="C2445" t="inlineStr">
        <is>
          <t>IM</t>
        </is>
      </c>
      <c r="D2445" s="28" t="n">
        <v>46101</v>
      </c>
      <c r="E2445" t="inlineStr">
        <is>
          <t>IM캐피탈</t>
        </is>
      </c>
      <c r="F2445" t="inlineStr">
        <is>
          <t>조원철</t>
        </is>
      </c>
      <c r="G2445" t="inlineStr">
        <is>
          <t>010-3334-2720</t>
        </is>
      </c>
      <c r="H2445" t="inlineStr">
        <is>
          <t>46누0424</t>
        </is>
      </c>
      <c r="I2445" t="n">
        <v>15000000</v>
      </c>
      <c r="J2445" t="n">
        <v>0.056</v>
      </c>
      <c r="K2445" t="n">
        <v>1.1</v>
      </c>
      <c r="L2445" t="n">
        <v>0.14</v>
      </c>
      <c r="M2445" t="n">
        <v>0.96</v>
      </c>
      <c r="P2445" t="inlineStr">
        <is>
          <t>김나윤</t>
        </is>
      </c>
      <c r="Q2445" t="inlineStr">
        <is>
          <t>홈서비스 60개월</t>
        </is>
      </c>
      <c r="AB2445" t="inlineStr">
        <is>
          <t>홈서비스</t>
        </is>
      </c>
      <c r="AC2445" t="n">
        <v>165000</v>
      </c>
      <c r="AD2445" t="n">
        <v>21000</v>
      </c>
      <c r="AE2445" t="n">
        <v>144000</v>
      </c>
      <c r="AF2445" t="n">
        <v>150000</v>
      </c>
      <c r="AG2445" t="n">
        <v>20307</v>
      </c>
      <c r="AH2445" t="n">
        <v>129693</v>
      </c>
      <c r="AI2445" t="n">
        <v>0</v>
      </c>
    </row>
    <row r="2446">
      <c r="A2446" t="inlineStr">
        <is>
          <t>3월</t>
        </is>
      </c>
      <c r="B2446" t="inlineStr">
        <is>
          <t>12주차</t>
        </is>
      </c>
      <c r="C2446" t="inlineStr">
        <is>
          <t>IM</t>
        </is>
      </c>
      <c r="D2446" s="28" t="n">
        <v>46101</v>
      </c>
      <c r="E2446" t="inlineStr">
        <is>
          <t>IM캐피탈</t>
        </is>
      </c>
      <c r="F2446" t="inlineStr">
        <is>
          <t>김준성</t>
        </is>
      </c>
      <c r="G2446" t="inlineStr">
        <is>
          <t>010-4459-5006</t>
        </is>
      </c>
      <c r="H2446" t="inlineStr">
        <is>
          <t>85무2321</t>
        </is>
      </c>
      <c r="I2446" t="n">
        <v>30000000</v>
      </c>
      <c r="J2446" t="n">
        <v>0.049</v>
      </c>
      <c r="K2446" t="n">
        <v>1.1</v>
      </c>
      <c r="L2446" t="n">
        <v>0.14</v>
      </c>
      <c r="M2446" t="n">
        <v>0.96</v>
      </c>
      <c r="P2446" t="inlineStr">
        <is>
          <t>정광호</t>
        </is>
      </c>
      <c r="Q2446" t="inlineStr">
        <is>
          <t>홈서비스 60개월</t>
        </is>
      </c>
      <c r="AB2446" t="inlineStr">
        <is>
          <t>홈서비스</t>
        </is>
      </c>
      <c r="AC2446" t="n">
        <v>330000</v>
      </c>
      <c r="AD2446" t="n">
        <v>42000</v>
      </c>
      <c r="AE2446" t="n">
        <v>288000</v>
      </c>
      <c r="AF2446" t="n">
        <v>300000</v>
      </c>
      <c r="AG2446" t="n">
        <v>40614</v>
      </c>
      <c r="AH2446" t="n">
        <v>259386</v>
      </c>
      <c r="AI2446" t="n">
        <v>0</v>
      </c>
    </row>
    <row r="2447">
      <c r="A2447" t="inlineStr">
        <is>
          <t>3월</t>
        </is>
      </c>
      <c r="B2447" t="inlineStr">
        <is>
          <t>12주차</t>
        </is>
      </c>
      <c r="C2447" t="inlineStr">
        <is>
          <t>EP</t>
        </is>
      </c>
      <c r="D2447" s="28" t="n">
        <v>46102</v>
      </c>
      <c r="E2447" t="inlineStr">
        <is>
          <t>현대EP</t>
        </is>
      </c>
      <c r="F2447" t="inlineStr">
        <is>
          <t>최상도</t>
        </is>
      </c>
      <c r="G2447" t="inlineStr">
        <is>
          <t>010-2853-8823</t>
        </is>
      </c>
      <c r="H2447" t="inlineStr">
        <is>
          <t>33거3460</t>
        </is>
      </c>
      <c r="I2447" t="n">
        <v>7700000</v>
      </c>
      <c r="J2447" t="n">
        <v>0.08500000000000001</v>
      </c>
      <c r="K2447" t="n">
        <v>1.76</v>
      </c>
      <c r="L2447" t="n">
        <v>0.14</v>
      </c>
      <c r="M2447" t="n">
        <v>1.62</v>
      </c>
      <c r="P2447" t="inlineStr">
        <is>
          <t>최형주</t>
        </is>
      </c>
      <c r="Q2447" t="inlineStr">
        <is>
          <t>홈서비스 24개월</t>
        </is>
      </c>
      <c r="AB2447" t="inlineStr">
        <is>
          <t>홈서비스</t>
        </is>
      </c>
      <c r="AC2447" t="n">
        <v>135520</v>
      </c>
      <c r="AD2447" t="n">
        <v>10780</v>
      </c>
      <c r="AE2447" t="n">
        <v>124740</v>
      </c>
      <c r="AF2447" t="n">
        <v>123200</v>
      </c>
      <c r="AG2447" t="n">
        <v>10424.26</v>
      </c>
      <c r="AH2447" t="n">
        <v>112775.74</v>
      </c>
      <c r="AI2447" t="n">
        <v>0</v>
      </c>
    </row>
    <row r="2448">
      <c r="A2448" t="inlineStr">
        <is>
          <t>3월</t>
        </is>
      </c>
      <c r="B2448" t="inlineStr">
        <is>
          <t>12주차</t>
        </is>
      </c>
      <c r="C2448" t="inlineStr">
        <is>
          <t>EP</t>
        </is>
      </c>
      <c r="D2448" s="28" t="n">
        <v>46103</v>
      </c>
      <c r="E2448" t="inlineStr">
        <is>
          <t>현대EP</t>
        </is>
      </c>
      <c r="F2448" t="inlineStr">
        <is>
          <t>이강희</t>
        </is>
      </c>
      <c r="G2448" t="inlineStr">
        <is>
          <t>010-5383-1172</t>
        </is>
      </c>
      <c r="H2448" t="inlineStr">
        <is>
          <t>107누7490</t>
        </is>
      </c>
      <c r="I2448" t="n">
        <v>47500000</v>
      </c>
      <c r="J2448" t="n">
        <v>0.09</v>
      </c>
      <c r="K2448" t="n">
        <v>1.76</v>
      </c>
      <c r="L2448" t="n">
        <v>0.14</v>
      </c>
      <c r="M2448" t="n">
        <v>1.62</v>
      </c>
      <c r="P2448" t="inlineStr">
        <is>
          <t>황채이</t>
        </is>
      </c>
      <c r="Q2448" t="inlineStr">
        <is>
          <t>홈서비스 60개월</t>
        </is>
      </c>
      <c r="AB2448" t="inlineStr">
        <is>
          <t>홈서비스</t>
        </is>
      </c>
      <c r="AC2448" t="n">
        <v>836000</v>
      </c>
      <c r="AD2448" t="n">
        <v>66500</v>
      </c>
      <c r="AE2448" t="n">
        <v>769500</v>
      </c>
      <c r="AF2448" t="n">
        <v>760000</v>
      </c>
      <c r="AG2448" t="n">
        <v>64305.5</v>
      </c>
      <c r="AH2448" t="n">
        <v>695694.5</v>
      </c>
      <c r="AI2448" t="n">
        <v>0</v>
      </c>
    </row>
    <row r="2449">
      <c r="A2449" t="inlineStr">
        <is>
          <t>3월</t>
        </is>
      </c>
      <c r="B2449" t="inlineStr">
        <is>
          <t>12주차</t>
        </is>
      </c>
      <c r="C2449" t="inlineStr">
        <is>
          <t>EP</t>
        </is>
      </c>
      <c r="D2449" s="28" t="n">
        <v>46103</v>
      </c>
      <c r="E2449" t="inlineStr">
        <is>
          <t>현대EP</t>
        </is>
      </c>
      <c r="F2449" t="inlineStr">
        <is>
          <t>양영웅</t>
        </is>
      </c>
      <c r="G2449" t="inlineStr">
        <is>
          <t>010-8568-2007</t>
        </is>
      </c>
      <c r="H2449" t="inlineStr">
        <is>
          <t>192도4847</t>
        </is>
      </c>
      <c r="I2449" t="n">
        <v>14700000</v>
      </c>
      <c r="J2449" t="n">
        <v>0.09</v>
      </c>
      <c r="K2449" t="n">
        <v>1.76</v>
      </c>
      <c r="L2449" t="n">
        <v>0.14</v>
      </c>
      <c r="M2449" t="n">
        <v>1.62</v>
      </c>
      <c r="P2449" t="inlineStr">
        <is>
          <t>최형주</t>
        </is>
      </c>
      <c r="Q2449" t="inlineStr">
        <is>
          <t>홈서비스 60개월</t>
        </is>
      </c>
      <c r="AB2449" t="inlineStr">
        <is>
          <t>홈서비스</t>
        </is>
      </c>
      <c r="AC2449" t="n">
        <v>258720</v>
      </c>
      <c r="AD2449" t="n">
        <v>20580</v>
      </c>
      <c r="AE2449" t="n">
        <v>238140</v>
      </c>
      <c r="AF2449" t="n">
        <v>235200</v>
      </c>
      <c r="AG2449" t="n">
        <v>19900.86</v>
      </c>
      <c r="AH2449" t="n">
        <v>215299.14</v>
      </c>
      <c r="AI2449" t="n">
        <v>0</v>
      </c>
    </row>
    <row r="2450">
      <c r="A2450" t="inlineStr">
        <is>
          <t>3월</t>
        </is>
      </c>
      <c r="B2450" t="inlineStr">
        <is>
          <t>12주차</t>
        </is>
      </c>
      <c r="C2450" t="inlineStr">
        <is>
          <t>EP</t>
        </is>
      </c>
      <c r="D2450" s="28" t="n">
        <v>46101</v>
      </c>
      <c r="E2450" t="inlineStr">
        <is>
          <t>제이비EP</t>
        </is>
      </c>
      <c r="F2450" t="inlineStr">
        <is>
          <t>김찬영</t>
        </is>
      </c>
      <c r="G2450" t="inlineStr">
        <is>
          <t>010-2344-7102</t>
        </is>
      </c>
      <c r="H2450" t="inlineStr">
        <is>
          <t>156구7728</t>
        </is>
      </c>
      <c r="I2450" t="n">
        <v>26500000</v>
      </c>
      <c r="J2450" t="n">
        <v>0.08500000000000001</v>
      </c>
      <c r="K2450" t="n">
        <v>1.65</v>
      </c>
      <c r="L2450" t="n">
        <v>0.14</v>
      </c>
      <c r="M2450" t="n">
        <v>1.51</v>
      </c>
      <c r="P2450" t="inlineStr">
        <is>
          <t>정하은</t>
        </is>
      </c>
      <c r="Q2450" t="inlineStr">
        <is>
          <t>선상담 / 홈서비스 48개월</t>
        </is>
      </c>
      <c r="AB2450" t="inlineStr">
        <is>
          <t>홈서비스</t>
        </is>
      </c>
      <c r="AC2450" t="n">
        <v>437250</v>
      </c>
      <c r="AD2450" t="n">
        <v>37100</v>
      </c>
      <c r="AE2450" t="n">
        <v>400150</v>
      </c>
      <c r="AF2450" t="n">
        <v>397500</v>
      </c>
      <c r="AG2450" t="n">
        <v>35875.7</v>
      </c>
      <c r="AH2450" t="n">
        <v>361624.3</v>
      </c>
      <c r="AI2450" t="n">
        <v>0</v>
      </c>
    </row>
    <row r="2451">
      <c r="A2451" t="inlineStr">
        <is>
          <t>3월</t>
        </is>
      </c>
      <c r="B2451" t="inlineStr">
        <is>
          <t>12주차</t>
        </is>
      </c>
      <c r="C2451" t="inlineStr">
        <is>
          <t>EP</t>
        </is>
      </c>
      <c r="D2451" s="28" t="n">
        <v>46102</v>
      </c>
      <c r="E2451" t="inlineStr">
        <is>
          <t>현대EP</t>
        </is>
      </c>
      <c r="F2451" t="inlineStr">
        <is>
          <t>정지율</t>
        </is>
      </c>
      <c r="G2451" t="inlineStr">
        <is>
          <t>010-8671-7678</t>
        </is>
      </c>
      <c r="H2451" t="inlineStr">
        <is>
          <t>20노3989</t>
        </is>
      </c>
      <c r="I2451" t="n">
        <v>20500000</v>
      </c>
      <c r="J2451" t="n">
        <v>0.08799999999999999</v>
      </c>
      <c r="K2451" t="n">
        <v>1.76</v>
      </c>
      <c r="L2451" t="n">
        <v>0.14</v>
      </c>
      <c r="M2451" t="n">
        <v>1.62</v>
      </c>
      <c r="P2451" t="inlineStr">
        <is>
          <t>정세빈</t>
        </is>
      </c>
      <c r="Q2451" t="inlineStr">
        <is>
          <t>홈서비스 60개월</t>
        </is>
      </c>
      <c r="AB2451" t="inlineStr">
        <is>
          <t>홈서비스</t>
        </is>
      </c>
      <c r="AC2451" t="n">
        <v>360800</v>
      </c>
      <c r="AD2451" t="n">
        <v>28700</v>
      </c>
      <c r="AE2451" t="n">
        <v>332100</v>
      </c>
      <c r="AF2451" t="n">
        <v>328000</v>
      </c>
      <c r="AG2451" t="n">
        <v>27752.9</v>
      </c>
      <c r="AH2451" t="n">
        <v>300247.1</v>
      </c>
      <c r="AI2451" t="n">
        <v>0</v>
      </c>
    </row>
    <row r="2452">
      <c r="A2452" t="inlineStr">
        <is>
          <t>3월</t>
        </is>
      </c>
      <c r="B2452" t="inlineStr">
        <is>
          <t>12주차</t>
        </is>
      </c>
      <c r="C2452" t="inlineStr">
        <is>
          <t>EP</t>
        </is>
      </c>
      <c r="D2452" s="28" t="n">
        <v>46103</v>
      </c>
      <c r="E2452" t="inlineStr">
        <is>
          <t>현대EP</t>
        </is>
      </c>
      <c r="F2452" t="inlineStr">
        <is>
          <t>김형진</t>
        </is>
      </c>
      <c r="G2452" t="inlineStr">
        <is>
          <t>010-9154-3157</t>
        </is>
      </c>
      <c r="H2452" t="inlineStr">
        <is>
          <t>24라7403</t>
        </is>
      </c>
      <c r="I2452" t="n">
        <v>6500000</v>
      </c>
      <c r="J2452" t="n">
        <v>0.102</v>
      </c>
      <c r="K2452" t="n">
        <v>1.76</v>
      </c>
      <c r="L2452" t="n">
        <v>0.14</v>
      </c>
      <c r="M2452" t="n">
        <v>1.62</v>
      </c>
      <c r="P2452" t="inlineStr">
        <is>
          <t>김나윤</t>
        </is>
      </c>
      <c r="Q2452" t="inlineStr">
        <is>
          <t>홈서비스 48개월</t>
        </is>
      </c>
      <c r="AB2452" t="inlineStr">
        <is>
          <t>홈서비스</t>
        </is>
      </c>
      <c r="AC2452" t="n">
        <v>114400</v>
      </c>
      <c r="AD2452" t="n">
        <v>9100</v>
      </c>
      <c r="AE2452" t="n">
        <v>105300</v>
      </c>
      <c r="AF2452" t="n">
        <v>104000</v>
      </c>
      <c r="AG2452" t="n">
        <v>8799.700000000001</v>
      </c>
      <c r="AH2452" t="n">
        <v>95200.3</v>
      </c>
    </row>
    <row r="2453">
      <c r="A2453" t="inlineStr">
        <is>
          <t>3월</t>
        </is>
      </c>
      <c r="B2453" t="inlineStr">
        <is>
          <t>12주차</t>
        </is>
      </c>
      <c r="C2453" t="inlineStr">
        <is>
          <t>IM</t>
        </is>
      </c>
      <c r="D2453" s="28" t="n">
        <v>46101</v>
      </c>
      <c r="E2453" t="inlineStr">
        <is>
          <t>IM캐피탈</t>
        </is>
      </c>
      <c r="F2453" t="inlineStr">
        <is>
          <t>전지영</t>
        </is>
      </c>
      <c r="G2453" t="inlineStr">
        <is>
          <t>010-9479-3951</t>
        </is>
      </c>
      <c r="H2453" t="inlineStr">
        <is>
          <t>282로5112</t>
        </is>
      </c>
      <c r="I2453" t="n">
        <v>20000000</v>
      </c>
      <c r="J2453" t="n">
        <v>0.049</v>
      </c>
      <c r="K2453" t="n">
        <v>1.1</v>
      </c>
      <c r="L2453" t="n">
        <v>0.4</v>
      </c>
      <c r="M2453" t="n">
        <v>0.7</v>
      </c>
      <c r="P2453" t="inlineStr">
        <is>
          <t>박보람</t>
        </is>
      </c>
      <c r="Q2453" t="inlineStr">
        <is>
          <t>부대비용 추가진행 / 론 진행</t>
        </is>
      </c>
      <c r="AB2453" t="inlineStr">
        <is>
          <t>엔카</t>
        </is>
      </c>
      <c r="AC2453" t="n">
        <v>220000</v>
      </c>
      <c r="AD2453" t="n">
        <v>80000</v>
      </c>
      <c r="AE2453" t="n">
        <v>140000</v>
      </c>
      <c r="AF2453" t="n">
        <v>200000</v>
      </c>
      <c r="AG2453" t="n">
        <v>77360</v>
      </c>
      <c r="AH2453" t="n">
        <v>122640</v>
      </c>
    </row>
    <row r="2454">
      <c r="A2454" t="inlineStr">
        <is>
          <t>3월</t>
        </is>
      </c>
      <c r="B2454" t="inlineStr">
        <is>
          <t>12주차</t>
        </is>
      </c>
      <c r="C2454" t="inlineStr">
        <is>
          <t>OR</t>
        </is>
      </c>
      <c r="D2454" s="28" t="n">
        <v>46102</v>
      </c>
      <c r="E2454" t="inlineStr">
        <is>
          <t>오릭스</t>
        </is>
      </c>
      <c r="F2454" t="inlineStr">
        <is>
          <t>권준혁</t>
        </is>
      </c>
      <c r="G2454" t="inlineStr">
        <is>
          <t>010-2820-3364</t>
        </is>
      </c>
      <c r="H2454" t="inlineStr">
        <is>
          <t>69라4133</t>
        </is>
      </c>
      <c r="I2454" t="n">
        <v>11900000</v>
      </c>
      <c r="J2454" t="n">
        <v>0.064</v>
      </c>
      <c r="K2454" t="n">
        <v>1.65</v>
      </c>
      <c r="L2454" t="n">
        <v>0.5</v>
      </c>
      <c r="M2454" t="n">
        <v>1.15</v>
      </c>
      <c r="P2454" t="inlineStr">
        <is>
          <t>정하은</t>
        </is>
      </c>
      <c r="AB2454" t="inlineStr">
        <is>
          <t>엔카</t>
        </is>
      </c>
      <c r="AC2454" t="n">
        <v>196350</v>
      </c>
      <c r="AD2454" t="n">
        <v>59500</v>
      </c>
      <c r="AE2454" t="n">
        <v>136850</v>
      </c>
      <c r="AF2454" t="n">
        <v>178500</v>
      </c>
      <c r="AG2454" t="n">
        <v>57536.5</v>
      </c>
      <c r="AH2454" t="n">
        <v>120963.5</v>
      </c>
    </row>
    <row r="2455">
      <c r="A2455" t="inlineStr">
        <is>
          <t>3월</t>
        </is>
      </c>
      <c r="B2455" t="inlineStr">
        <is>
          <t>12주차</t>
        </is>
      </c>
      <c r="C2455" t="inlineStr">
        <is>
          <t>EP</t>
        </is>
      </c>
      <c r="D2455" s="28" t="n">
        <v>46103</v>
      </c>
      <c r="E2455" t="inlineStr">
        <is>
          <t>현대EP</t>
        </is>
      </c>
      <c r="F2455" t="inlineStr">
        <is>
          <t>박노명</t>
        </is>
      </c>
      <c r="G2455" t="inlineStr">
        <is>
          <t>010-7440-0573</t>
        </is>
      </c>
      <c r="H2455" t="inlineStr">
        <is>
          <t>62무1201</t>
        </is>
      </c>
      <c r="I2455" t="n">
        <v>23400000</v>
      </c>
      <c r="J2455" t="n">
        <v>0.079</v>
      </c>
      <c r="K2455" t="n">
        <v>1.76</v>
      </c>
      <c r="L2455" t="n">
        <v>0.14</v>
      </c>
      <c r="M2455" t="n">
        <v>1.62</v>
      </c>
      <c r="P2455" t="inlineStr">
        <is>
          <t>김나윤</t>
        </is>
      </c>
      <c r="Q2455" t="inlineStr">
        <is>
          <t>홈서비스 36개월</t>
        </is>
      </c>
      <c r="AB2455" t="inlineStr">
        <is>
          <t>홈서비스</t>
        </is>
      </c>
      <c r="AC2455" t="n">
        <v>411840</v>
      </c>
      <c r="AD2455" t="n">
        <v>32760</v>
      </c>
      <c r="AE2455" t="n">
        <v>379080</v>
      </c>
      <c r="AF2455" t="n">
        <v>374400</v>
      </c>
      <c r="AG2455" t="n">
        <v>31678.92</v>
      </c>
      <c r="AH2455" t="n">
        <v>342721.08</v>
      </c>
      <c r="AI2455" t="n">
        <v>0</v>
      </c>
    </row>
    <row r="2456">
      <c r="A2456" t="inlineStr">
        <is>
          <t>3월</t>
        </is>
      </c>
      <c r="B2456" t="inlineStr">
        <is>
          <t>13주차</t>
        </is>
      </c>
      <c r="C2456" t="inlineStr">
        <is>
          <t>EP</t>
        </is>
      </c>
      <c r="D2456" s="28" t="n">
        <v>46104</v>
      </c>
      <c r="E2456" t="inlineStr">
        <is>
          <t>BNKEP</t>
        </is>
      </c>
      <c r="F2456" t="inlineStr">
        <is>
          <t>이은혜</t>
        </is>
      </c>
      <c r="G2456" t="inlineStr">
        <is>
          <t>010-9149-3165</t>
        </is>
      </c>
      <c r="H2456" t="inlineStr">
        <is>
          <t>28고4897</t>
        </is>
      </c>
      <c r="I2456" t="n">
        <v>15500000</v>
      </c>
      <c r="J2456" t="n">
        <v>0.081</v>
      </c>
      <c r="K2456" t="n">
        <v>1.65</v>
      </c>
      <c r="L2456" t="n">
        <v>0.14</v>
      </c>
      <c r="M2456" t="n">
        <v>1.51</v>
      </c>
      <c r="P2456" t="inlineStr">
        <is>
          <t>황채이</t>
        </is>
      </c>
      <c r="Q2456" t="inlineStr">
        <is>
          <t>홈서비스 60개월 / 부대비용 추가진행</t>
        </is>
      </c>
      <c r="AB2456" t="inlineStr">
        <is>
          <t>홈서비스</t>
        </is>
      </c>
      <c r="AC2456" t="n">
        <v>255750</v>
      </c>
      <c r="AD2456" t="n">
        <v>21700</v>
      </c>
      <c r="AE2456" t="n">
        <v>234050</v>
      </c>
      <c r="AF2456" t="n">
        <v>232500</v>
      </c>
      <c r="AG2456" t="n">
        <v>20983.9</v>
      </c>
      <c r="AH2456" t="n">
        <v>211516.1</v>
      </c>
      <c r="AI2456" t="n">
        <v>0</v>
      </c>
    </row>
    <row r="2457">
      <c r="A2457" t="inlineStr">
        <is>
          <t>3월</t>
        </is>
      </c>
      <c r="B2457" t="inlineStr">
        <is>
          <t>12주차</t>
        </is>
      </c>
      <c r="C2457" t="inlineStr">
        <is>
          <t>EP</t>
        </is>
      </c>
      <c r="D2457" s="28" t="n">
        <v>46102</v>
      </c>
      <c r="E2457" t="inlineStr">
        <is>
          <t>현대EP_fast</t>
        </is>
      </c>
      <c r="F2457" t="inlineStr">
        <is>
          <t>조성황</t>
        </is>
      </c>
      <c r="G2457" t="inlineStr">
        <is>
          <t>010-5153-6486</t>
        </is>
      </c>
      <c r="H2457" t="inlineStr">
        <is>
          <t>278버8542</t>
        </is>
      </c>
      <c r="I2457" t="n">
        <v>-35000000</v>
      </c>
      <c r="J2457" t="n">
        <v>0.08799999999999999</v>
      </c>
      <c r="K2457" t="n">
        <v>1.76</v>
      </c>
      <c r="L2457" t="n">
        <v>0.14</v>
      </c>
      <c r="M2457" t="n">
        <v>1.62</v>
      </c>
      <c r="P2457" t="inlineStr">
        <is>
          <t>정세빈</t>
        </is>
      </c>
      <c r="Q2457" t="inlineStr">
        <is>
          <t>홈서비스 60개월</t>
        </is>
      </c>
      <c r="AB2457" t="inlineStr">
        <is>
          <t>홈서비스</t>
        </is>
      </c>
      <c r="AC2457" t="n">
        <v>-616000</v>
      </c>
      <c r="AD2457" t="n">
        <v>-49000</v>
      </c>
      <c r="AE2457" t="n">
        <v>-567000</v>
      </c>
      <c r="AF2457" t="n">
        <v>-560000</v>
      </c>
      <c r="AG2457" t="n">
        <v>-47383</v>
      </c>
      <c r="AH2457" t="n">
        <v>-512617</v>
      </c>
      <c r="AI2457" t="n">
        <v>0</v>
      </c>
    </row>
    <row r="2458">
      <c r="A2458" t="inlineStr">
        <is>
          <t>3월</t>
        </is>
      </c>
      <c r="B2458" t="inlineStr">
        <is>
          <t>12주차</t>
        </is>
      </c>
      <c r="C2458" t="inlineStr">
        <is>
          <t>OR</t>
        </is>
      </c>
      <c r="D2458" s="28" t="n">
        <v>46100</v>
      </c>
      <c r="E2458" t="inlineStr">
        <is>
          <t>오릭스</t>
        </is>
      </c>
      <c r="F2458" t="inlineStr">
        <is>
          <t>정혜성</t>
        </is>
      </c>
      <c r="G2458" t="inlineStr">
        <is>
          <t>010-5091-4031</t>
        </is>
      </c>
      <c r="H2458" t="inlineStr">
        <is>
          <t>10무1243</t>
        </is>
      </c>
      <c r="I2458" t="n">
        <v>-15200000</v>
      </c>
      <c r="J2458" t="n">
        <v>0.064</v>
      </c>
      <c r="K2458" t="n">
        <v>1.65</v>
      </c>
      <c r="L2458" t="n">
        <v>0.14</v>
      </c>
      <c r="M2458" t="n">
        <v>1.51</v>
      </c>
      <c r="P2458" t="inlineStr">
        <is>
          <t>장현경</t>
        </is>
      </c>
      <c r="Q2458" t="inlineStr">
        <is>
          <t>선상담 / 홈서비스 60개월</t>
        </is>
      </c>
      <c r="AB2458" t="inlineStr">
        <is>
          <t>홈서비스</t>
        </is>
      </c>
      <c r="AC2458" t="n">
        <v>-250800</v>
      </c>
      <c r="AD2458" t="n">
        <v>-21280</v>
      </c>
      <c r="AE2458" t="n">
        <v>-229520</v>
      </c>
      <c r="AF2458" t="n">
        <v>-228000</v>
      </c>
      <c r="AG2458" t="n">
        <v>-20577.76</v>
      </c>
      <c r="AH2458" t="n">
        <v>-207422.24</v>
      </c>
    </row>
    <row r="2459">
      <c r="A2459" t="inlineStr">
        <is>
          <t>3월</t>
        </is>
      </c>
      <c r="B2459" t="inlineStr">
        <is>
          <t>12주차</t>
        </is>
      </c>
      <c r="C2459" t="inlineStr">
        <is>
          <t>EP</t>
        </is>
      </c>
      <c r="D2459" s="28" t="n">
        <v>46100</v>
      </c>
      <c r="E2459" t="inlineStr">
        <is>
          <t>현대EP_fast</t>
        </is>
      </c>
      <c r="F2459" t="inlineStr">
        <is>
          <t>우남영</t>
        </is>
      </c>
      <c r="G2459" t="inlineStr">
        <is>
          <t>010-9385-1488</t>
        </is>
      </c>
      <c r="H2459" t="inlineStr">
        <is>
          <t>105라7035</t>
        </is>
      </c>
      <c r="I2459" t="n">
        <v>26800000</v>
      </c>
      <c r="J2459" t="n">
        <v>0.134</v>
      </c>
      <c r="K2459" t="n">
        <v>1.76</v>
      </c>
      <c r="L2459" t="n">
        <v>0.4</v>
      </c>
      <c r="M2459" t="n">
        <v>1.36</v>
      </c>
      <c r="P2459" t="inlineStr">
        <is>
          <t>장진경</t>
        </is>
      </c>
      <c r="AB2459" t="inlineStr">
        <is>
          <t>엔카</t>
        </is>
      </c>
      <c r="AC2459" t="n">
        <v>471680</v>
      </c>
      <c r="AD2459" t="n">
        <v>107200</v>
      </c>
      <c r="AE2459" t="n">
        <v>364480</v>
      </c>
      <c r="AF2459" t="n">
        <v>428800</v>
      </c>
      <c r="AG2459" t="n">
        <v>103662.4</v>
      </c>
      <c r="AH2459" t="n">
        <v>325137.6</v>
      </c>
    </row>
    <row r="2460">
      <c r="A2460" t="inlineStr">
        <is>
          <t>3월</t>
        </is>
      </c>
      <c r="B2460" t="inlineStr">
        <is>
          <t>13주차</t>
        </is>
      </c>
      <c r="C2460" t="inlineStr">
        <is>
          <t>IM</t>
        </is>
      </c>
      <c r="D2460" s="28" t="n">
        <v>46104</v>
      </c>
      <c r="E2460" t="inlineStr">
        <is>
          <t>IM캐피탈</t>
        </is>
      </c>
      <c r="F2460" t="inlineStr">
        <is>
          <t>홍성욱</t>
        </is>
      </c>
      <c r="G2460" t="inlineStr">
        <is>
          <t>010-7120-9586</t>
        </is>
      </c>
      <c r="H2460" t="inlineStr">
        <is>
          <t>179머8143</t>
        </is>
      </c>
      <c r="I2460" t="n">
        <v>13000000</v>
      </c>
      <c r="J2460" t="n">
        <v>0.059</v>
      </c>
      <c r="K2460" t="n">
        <v>1.1</v>
      </c>
      <c r="L2460" t="n">
        <v>0.14</v>
      </c>
      <c r="M2460" t="n">
        <v>0.96</v>
      </c>
      <c r="P2460" t="inlineStr">
        <is>
          <t>정세빈</t>
        </is>
      </c>
      <c r="Q2460" t="inlineStr">
        <is>
          <t>홈서비스 84개월</t>
        </is>
      </c>
      <c r="AB2460" t="inlineStr">
        <is>
          <t>홈서비스</t>
        </is>
      </c>
      <c r="AC2460" t="n">
        <v>143000</v>
      </c>
      <c r="AD2460" t="n">
        <v>18200</v>
      </c>
      <c r="AE2460" t="n">
        <v>124800</v>
      </c>
      <c r="AF2460" t="n">
        <v>130000</v>
      </c>
      <c r="AG2460" t="n">
        <v>17599.4</v>
      </c>
      <c r="AH2460" t="n">
        <v>112400.6</v>
      </c>
      <c r="AI2460" t="n">
        <v>0</v>
      </c>
    </row>
    <row r="2461">
      <c r="A2461" t="inlineStr">
        <is>
          <t>3월</t>
        </is>
      </c>
      <c r="B2461" t="inlineStr">
        <is>
          <t>12주차</t>
        </is>
      </c>
      <c r="C2461" t="inlineStr">
        <is>
          <t>EP</t>
        </is>
      </c>
      <c r="D2461" s="28" t="n">
        <v>46103</v>
      </c>
      <c r="E2461" t="inlineStr">
        <is>
          <t>현대EP</t>
        </is>
      </c>
      <c r="F2461" t="inlineStr">
        <is>
          <t>양영웅</t>
        </is>
      </c>
      <c r="G2461" t="inlineStr">
        <is>
          <t>010-8568-2007</t>
        </is>
      </c>
      <c r="H2461" t="inlineStr">
        <is>
          <t>192도4847</t>
        </is>
      </c>
      <c r="I2461" t="n">
        <v>-14700000</v>
      </c>
      <c r="J2461" t="n">
        <v>0.09</v>
      </c>
      <c r="K2461" t="n">
        <v>1.76</v>
      </c>
      <c r="L2461" t="n">
        <v>0.14</v>
      </c>
      <c r="M2461" t="n">
        <v>1.62</v>
      </c>
      <c r="P2461" t="inlineStr">
        <is>
          <t>최형주</t>
        </is>
      </c>
      <c r="Q2461" t="inlineStr">
        <is>
          <t>홈서비스 60개월</t>
        </is>
      </c>
      <c r="AB2461" t="inlineStr">
        <is>
          <t>홈서비스</t>
        </is>
      </c>
      <c r="AC2461" t="n">
        <v>-258720</v>
      </c>
      <c r="AD2461" t="n">
        <v>-20580</v>
      </c>
      <c r="AE2461" t="n">
        <v>-238140</v>
      </c>
      <c r="AF2461" t="n">
        <v>-235200</v>
      </c>
      <c r="AG2461" t="n">
        <v>-19900.86</v>
      </c>
      <c r="AH2461" t="n">
        <v>-215299.14</v>
      </c>
      <c r="AI2461" t="n">
        <v>0</v>
      </c>
    </row>
    <row r="2462">
      <c r="A2462" t="inlineStr">
        <is>
          <t>3월</t>
        </is>
      </c>
      <c r="B2462" t="inlineStr">
        <is>
          <t>12주차</t>
        </is>
      </c>
      <c r="C2462" t="inlineStr">
        <is>
          <t>EP</t>
        </is>
      </c>
      <c r="D2462" s="28" t="n">
        <v>46101</v>
      </c>
      <c r="E2462" t="inlineStr">
        <is>
          <t>현대EP</t>
        </is>
      </c>
      <c r="F2462" t="inlineStr">
        <is>
          <t>정오균</t>
        </is>
      </c>
      <c r="G2462" t="inlineStr">
        <is>
          <t>010-8600-1202</t>
        </is>
      </c>
      <c r="H2462" t="inlineStr">
        <is>
          <t>26가1191</t>
        </is>
      </c>
      <c r="I2462" t="n">
        <v>6000000</v>
      </c>
      <c r="J2462" t="n">
        <v>0.102</v>
      </c>
      <c r="K2462" t="n">
        <v>1.76</v>
      </c>
      <c r="L2462" t="n">
        <v>0.14</v>
      </c>
      <c r="M2462" t="n">
        <v>1.62</v>
      </c>
      <c r="P2462" t="inlineStr">
        <is>
          <t>김수연</t>
        </is>
      </c>
      <c r="Q2462" t="inlineStr">
        <is>
          <t>홈서비스 60개월</t>
        </is>
      </c>
      <c r="AB2462" t="inlineStr">
        <is>
          <t>홈서비스</t>
        </is>
      </c>
      <c r="AC2462" t="n">
        <v>105600</v>
      </c>
      <c r="AD2462" t="n">
        <v>8400</v>
      </c>
      <c r="AE2462" t="n">
        <v>97200</v>
      </c>
      <c r="AF2462" t="n">
        <v>96000</v>
      </c>
      <c r="AG2462" t="n">
        <v>8122.8</v>
      </c>
      <c r="AH2462" t="n">
        <v>87877.2</v>
      </c>
      <c r="AI2462" t="n">
        <v>0</v>
      </c>
    </row>
    <row r="2463">
      <c r="A2463" t="inlineStr">
        <is>
          <t>3월</t>
        </is>
      </c>
      <c r="B2463" t="inlineStr">
        <is>
          <t>13주차</t>
        </is>
      </c>
      <c r="C2463" t="inlineStr">
        <is>
          <t>EP</t>
        </is>
      </c>
      <c r="D2463" s="28" t="n">
        <v>46104</v>
      </c>
      <c r="E2463" t="inlineStr">
        <is>
          <t>BNKEP</t>
        </is>
      </c>
      <c r="F2463" t="inlineStr">
        <is>
          <t>정진석</t>
        </is>
      </c>
      <c r="G2463" t="inlineStr">
        <is>
          <t>010-4114-5085</t>
        </is>
      </c>
      <c r="H2463" t="inlineStr">
        <is>
          <t>05마6008</t>
        </is>
      </c>
      <c r="I2463" t="n">
        <v>13700000</v>
      </c>
      <c r="J2463" t="n">
        <v>0.063</v>
      </c>
      <c r="K2463" t="n">
        <v>1.65</v>
      </c>
      <c r="L2463" t="n">
        <v>0.14</v>
      </c>
      <c r="M2463" t="n">
        <v>1.51</v>
      </c>
      <c r="P2463" t="inlineStr">
        <is>
          <t>최형주</t>
        </is>
      </c>
      <c r="Q2463" t="inlineStr">
        <is>
          <t>홈서비스 60개월</t>
        </is>
      </c>
      <c r="AB2463" t="inlineStr">
        <is>
          <t>홈서비스</t>
        </is>
      </c>
      <c r="AC2463" t="n">
        <v>226050</v>
      </c>
      <c r="AD2463" t="n">
        <v>19180</v>
      </c>
      <c r="AE2463" t="n">
        <v>206870</v>
      </c>
      <c r="AF2463" t="n">
        <v>205500</v>
      </c>
      <c r="AG2463" t="n">
        <v>18547.06</v>
      </c>
      <c r="AH2463" t="n">
        <v>186952.94</v>
      </c>
      <c r="AI2463" t="n">
        <v>0</v>
      </c>
    </row>
    <row r="2464">
      <c r="A2464" t="inlineStr">
        <is>
          <t>3월</t>
        </is>
      </c>
      <c r="B2464" t="inlineStr">
        <is>
          <t>13주차</t>
        </is>
      </c>
      <c r="C2464" t="inlineStr">
        <is>
          <t>EP</t>
        </is>
      </c>
      <c r="D2464" s="28" t="n">
        <v>46104</v>
      </c>
      <c r="E2464" t="inlineStr">
        <is>
          <t>현대EP_fast</t>
        </is>
      </c>
      <c r="F2464" t="inlineStr">
        <is>
          <t>이종석</t>
        </is>
      </c>
      <c r="G2464" t="inlineStr">
        <is>
          <t>010-2160-9079</t>
        </is>
      </c>
      <c r="H2464" t="inlineStr">
        <is>
          <t>223오5455</t>
        </is>
      </c>
      <c r="I2464" t="n">
        <v>10000000</v>
      </c>
      <c r="J2464" t="n">
        <v>0.075</v>
      </c>
      <c r="K2464" t="n">
        <v>1.76</v>
      </c>
      <c r="L2464" t="n">
        <v>0.14</v>
      </c>
      <c r="M2464" t="n">
        <v>1.62</v>
      </c>
      <c r="P2464" t="inlineStr">
        <is>
          <t>황채이</t>
        </is>
      </c>
      <c r="Q2464" t="inlineStr">
        <is>
          <t>홈서비스 60개월</t>
        </is>
      </c>
      <c r="AB2464" t="inlineStr">
        <is>
          <t>홈서비스</t>
        </is>
      </c>
      <c r="AC2464" t="n">
        <v>176000</v>
      </c>
      <c r="AD2464" t="n">
        <v>14000</v>
      </c>
      <c r="AE2464" t="n">
        <v>162000</v>
      </c>
      <c r="AF2464" t="n">
        <v>160000</v>
      </c>
      <c r="AG2464" t="n">
        <v>13538</v>
      </c>
      <c r="AH2464" t="n">
        <v>146462</v>
      </c>
    </row>
    <row r="2465">
      <c r="A2465" t="inlineStr">
        <is>
          <t>3월</t>
        </is>
      </c>
      <c r="B2465" t="inlineStr">
        <is>
          <t>12주차</t>
        </is>
      </c>
      <c r="C2465" t="inlineStr">
        <is>
          <t>IM</t>
        </is>
      </c>
      <c r="D2465" s="28" t="n">
        <v>46101</v>
      </c>
      <c r="E2465" t="inlineStr">
        <is>
          <t>IM캐피탈</t>
        </is>
      </c>
      <c r="F2465" t="inlineStr">
        <is>
          <t>전창훈</t>
        </is>
      </c>
      <c r="G2465" t="inlineStr">
        <is>
          <t>010-2588-4455</t>
        </is>
      </c>
      <c r="H2465" t="inlineStr">
        <is>
          <t>344너4312</t>
        </is>
      </c>
      <c r="I2465" t="n">
        <v>37300000</v>
      </c>
      <c r="J2465" t="n">
        <v>0.056</v>
      </c>
      <c r="K2465" t="n">
        <v>1.1</v>
      </c>
      <c r="L2465" t="n">
        <v>0.4</v>
      </c>
      <c r="M2465" t="n">
        <v>0.7</v>
      </c>
      <c r="P2465" t="inlineStr">
        <is>
          <t>박현민</t>
        </is>
      </c>
      <c r="AB2465" t="inlineStr">
        <is>
          <t>엔카</t>
        </is>
      </c>
      <c r="AC2465" t="n">
        <v>410300</v>
      </c>
      <c r="AD2465" t="n">
        <v>149200</v>
      </c>
      <c r="AE2465" t="n">
        <v>261100</v>
      </c>
      <c r="AF2465" t="n">
        <v>373000</v>
      </c>
      <c r="AG2465" t="n">
        <v>144276.4</v>
      </c>
      <c r="AH2465" t="n">
        <v>228723.6</v>
      </c>
      <c r="AI2465" t="n">
        <v>1</v>
      </c>
    </row>
    <row r="2466">
      <c r="A2466" t="inlineStr">
        <is>
          <t>3월</t>
        </is>
      </c>
      <c r="B2466" t="inlineStr">
        <is>
          <t>13주차</t>
        </is>
      </c>
      <c r="C2466" t="inlineStr">
        <is>
          <t>EP</t>
        </is>
      </c>
      <c r="D2466" s="28" t="n">
        <v>46104</v>
      </c>
      <c r="E2466" t="inlineStr">
        <is>
          <t>현대EP_fast</t>
        </is>
      </c>
      <c r="F2466" t="inlineStr">
        <is>
          <t>김선동</t>
        </is>
      </c>
      <c r="G2466" t="inlineStr">
        <is>
          <t>010-5426-1064</t>
        </is>
      </c>
      <c r="H2466" t="inlineStr">
        <is>
          <t>386가8937</t>
        </is>
      </c>
      <c r="I2466" t="n">
        <v>16000000</v>
      </c>
      <c r="J2466" t="n">
        <v>0.07099999999999999</v>
      </c>
      <c r="K2466" t="n">
        <v>1.76</v>
      </c>
      <c r="L2466" t="n">
        <v>0.14</v>
      </c>
      <c r="M2466" t="n">
        <v>1.62</v>
      </c>
      <c r="P2466" t="inlineStr">
        <is>
          <t>황채이</t>
        </is>
      </c>
      <c r="Q2466" t="inlineStr">
        <is>
          <t>홈서비스 36개월</t>
        </is>
      </c>
      <c r="AB2466" t="inlineStr">
        <is>
          <t>홈서비스</t>
        </is>
      </c>
      <c r="AC2466" t="n">
        <v>281600</v>
      </c>
      <c r="AD2466" t="n">
        <v>22400</v>
      </c>
      <c r="AE2466" t="n">
        <v>259200</v>
      </c>
      <c r="AF2466" t="n">
        <v>256000</v>
      </c>
      <c r="AG2466" t="n">
        <v>21660.8</v>
      </c>
      <c r="AH2466" t="n">
        <v>234339.2</v>
      </c>
      <c r="AI2466" t="n">
        <v>0</v>
      </c>
    </row>
    <row r="2467">
      <c r="A2467" t="inlineStr">
        <is>
          <t>3월</t>
        </is>
      </c>
      <c r="B2467" t="inlineStr">
        <is>
          <t>13주차</t>
        </is>
      </c>
      <c r="C2467" t="inlineStr">
        <is>
          <t>EP</t>
        </is>
      </c>
      <c r="D2467" s="28" t="n">
        <v>46104</v>
      </c>
      <c r="E2467" t="inlineStr">
        <is>
          <t>제이비EP</t>
        </is>
      </c>
      <c r="F2467" t="inlineStr">
        <is>
          <t>김지현</t>
        </is>
      </c>
      <c r="G2467" t="inlineStr">
        <is>
          <t>010-9578-0224</t>
        </is>
      </c>
      <c r="H2467" t="inlineStr">
        <is>
          <t>16나0924</t>
        </is>
      </c>
      <c r="I2467" t="n">
        <v>4000000</v>
      </c>
      <c r="J2467" t="n">
        <v>0.08500000000000001</v>
      </c>
      <c r="K2467" t="n">
        <v>1.65</v>
      </c>
      <c r="L2467" t="n">
        <v>0.5</v>
      </c>
      <c r="M2467" t="n">
        <v>1.15</v>
      </c>
      <c r="P2467" t="inlineStr">
        <is>
          <t>정하은</t>
        </is>
      </c>
      <c r="Q2467" t="inlineStr">
        <is>
          <t xml:space="preserve">기승인건 </t>
        </is>
      </c>
      <c r="AB2467" t="inlineStr">
        <is>
          <t>엔카</t>
        </is>
      </c>
      <c r="AC2467" t="n">
        <v>66000</v>
      </c>
      <c r="AD2467" t="n">
        <v>20000</v>
      </c>
      <c r="AE2467" t="n">
        <v>46000</v>
      </c>
      <c r="AF2467" t="n">
        <v>60000</v>
      </c>
      <c r="AG2467" t="n">
        <v>19340</v>
      </c>
      <c r="AH2467" t="n">
        <v>40660</v>
      </c>
    </row>
    <row r="2468">
      <c r="A2468" t="inlineStr">
        <is>
          <t>3월</t>
        </is>
      </c>
      <c r="B2468" t="inlineStr">
        <is>
          <t>12주차</t>
        </is>
      </c>
      <c r="C2468" t="inlineStr">
        <is>
          <t>OR</t>
        </is>
      </c>
      <c r="D2468" s="28" t="n">
        <v>46101</v>
      </c>
      <c r="E2468" t="inlineStr">
        <is>
          <t>오릭스</t>
        </is>
      </c>
      <c r="F2468" t="inlineStr">
        <is>
          <t>문경익</t>
        </is>
      </c>
      <c r="G2468" t="inlineStr">
        <is>
          <t>010-9880-9966</t>
        </is>
      </c>
      <c r="H2468" t="inlineStr">
        <is>
          <t>61오5177</t>
        </is>
      </c>
      <c r="I2468" t="n">
        <v>29400000</v>
      </c>
      <c r="J2468" t="n">
        <v>0.064</v>
      </c>
      <c r="K2468" t="n">
        <v>1.65</v>
      </c>
      <c r="L2468" t="n">
        <v>0.4</v>
      </c>
      <c r="M2468" t="n">
        <v>1.25</v>
      </c>
      <c r="P2468" t="inlineStr">
        <is>
          <t>박보람</t>
        </is>
      </c>
      <c r="Q2468" t="inlineStr">
        <is>
          <t>이철민 딜러님 소개건</t>
        </is>
      </c>
      <c r="AB2468" t="inlineStr">
        <is>
          <t>엔카</t>
        </is>
      </c>
      <c r="AC2468" t="n">
        <v>485100</v>
      </c>
      <c r="AD2468" t="n">
        <v>117600</v>
      </c>
      <c r="AE2468" t="n">
        <v>367500</v>
      </c>
      <c r="AF2468" t="n">
        <v>441000</v>
      </c>
      <c r="AG2468" t="n">
        <v>113719.2</v>
      </c>
      <c r="AH2468" t="n">
        <v>327280.8</v>
      </c>
    </row>
    <row r="2469">
      <c r="A2469" t="inlineStr">
        <is>
          <t>3월</t>
        </is>
      </c>
      <c r="B2469" t="inlineStr">
        <is>
          <t>13주차</t>
        </is>
      </c>
      <c r="C2469" t="inlineStr">
        <is>
          <t>EP</t>
        </is>
      </c>
      <c r="D2469" s="28" t="n">
        <v>46104</v>
      </c>
      <c r="E2469" t="inlineStr">
        <is>
          <t>현대EP</t>
        </is>
      </c>
      <c r="F2469" t="inlineStr">
        <is>
          <t>노진호</t>
        </is>
      </c>
      <c r="G2469" t="inlineStr">
        <is>
          <t>010-8746-2431</t>
        </is>
      </c>
      <c r="H2469" t="inlineStr">
        <is>
          <t>62조5316</t>
        </is>
      </c>
      <c r="I2469" t="n">
        <v>8300000</v>
      </c>
      <c r="J2469" t="n">
        <v>0.102</v>
      </c>
      <c r="K2469" t="n">
        <v>1.76</v>
      </c>
      <c r="L2469" t="n">
        <v>0.4</v>
      </c>
      <c r="M2469" t="n">
        <v>1.36</v>
      </c>
      <c r="P2469" t="inlineStr">
        <is>
          <t>박보람</t>
        </is>
      </c>
      <c r="AB2469" t="inlineStr">
        <is>
          <t>엔카</t>
        </is>
      </c>
      <c r="AC2469" t="n">
        <v>146080</v>
      </c>
      <c r="AD2469" t="n">
        <v>33200</v>
      </c>
      <c r="AE2469" t="n">
        <v>112880</v>
      </c>
      <c r="AF2469" t="n">
        <v>132800</v>
      </c>
      <c r="AG2469" t="n">
        <v>32104.4</v>
      </c>
      <c r="AH2469" t="n">
        <v>100695.6</v>
      </c>
    </row>
    <row r="2470">
      <c r="A2470" t="inlineStr">
        <is>
          <t>3월</t>
        </is>
      </c>
      <c r="B2470" t="inlineStr">
        <is>
          <t>12주차</t>
        </is>
      </c>
      <c r="C2470" t="inlineStr">
        <is>
          <t>EP</t>
        </is>
      </c>
      <c r="D2470" s="28" t="n">
        <v>46101</v>
      </c>
      <c r="E2470" t="inlineStr">
        <is>
          <t>현대EP</t>
        </is>
      </c>
      <c r="F2470" t="inlineStr">
        <is>
          <t>이태한</t>
        </is>
      </c>
      <c r="G2470" t="inlineStr">
        <is>
          <t>010-9588-9623</t>
        </is>
      </c>
      <c r="H2470" t="inlineStr">
        <is>
          <t>13라2806</t>
        </is>
      </c>
      <c r="I2470" t="n">
        <v>14900000</v>
      </c>
      <c r="J2470" t="n">
        <v>0.105</v>
      </c>
      <c r="K2470" t="n">
        <v>1.76</v>
      </c>
      <c r="L2470" t="n">
        <v>0.14</v>
      </c>
      <c r="M2470" t="n">
        <v>1.62</v>
      </c>
      <c r="P2470" t="inlineStr">
        <is>
          <t>김수연</t>
        </is>
      </c>
      <c r="Q2470" t="inlineStr">
        <is>
          <t>홈서비스 60개월</t>
        </is>
      </c>
      <c r="AB2470" t="inlineStr">
        <is>
          <t>홈서비스</t>
        </is>
      </c>
      <c r="AC2470" t="n">
        <v>262240</v>
      </c>
      <c r="AD2470" t="n">
        <v>20860</v>
      </c>
      <c r="AE2470" t="n">
        <v>241380</v>
      </c>
      <c r="AF2470" t="n">
        <v>238400</v>
      </c>
      <c r="AG2470" t="n">
        <v>20171.62</v>
      </c>
      <c r="AH2470" t="n">
        <v>218228.38</v>
      </c>
    </row>
    <row r="2471">
      <c r="A2471" t="inlineStr">
        <is>
          <t>3월</t>
        </is>
      </c>
      <c r="B2471" t="inlineStr">
        <is>
          <t>12주차</t>
        </is>
      </c>
      <c r="C2471" t="inlineStr">
        <is>
          <t>EP</t>
        </is>
      </c>
      <c r="D2471" s="28" t="n">
        <v>46102</v>
      </c>
      <c r="E2471" t="inlineStr">
        <is>
          <t>현대EP_fast</t>
        </is>
      </c>
      <c r="F2471" t="inlineStr">
        <is>
          <t>권영미</t>
        </is>
      </c>
      <c r="G2471" t="inlineStr">
        <is>
          <t>010-9614-5058</t>
        </is>
      </c>
      <c r="H2471" t="inlineStr">
        <is>
          <t>53수0851</t>
        </is>
      </c>
      <c r="I2471" t="n">
        <v>8500000</v>
      </c>
      <c r="J2471" t="n">
        <v>0.118</v>
      </c>
      <c r="K2471" t="n">
        <v>1.76</v>
      </c>
      <c r="L2471" t="n">
        <v>0.14</v>
      </c>
      <c r="M2471" t="n">
        <v>1.62</v>
      </c>
      <c r="P2471" t="inlineStr">
        <is>
          <t>장현경</t>
        </is>
      </c>
      <c r="Q2471" t="inlineStr">
        <is>
          <t>홈서비스 36개월</t>
        </is>
      </c>
      <c r="AB2471" t="inlineStr">
        <is>
          <t>홈서비스</t>
        </is>
      </c>
      <c r="AC2471" t="n">
        <v>149600</v>
      </c>
      <c r="AD2471" t="n">
        <v>11900</v>
      </c>
      <c r="AE2471" t="n">
        <v>137700</v>
      </c>
      <c r="AF2471" t="n">
        <v>136000</v>
      </c>
      <c r="AG2471" t="n">
        <v>11507.3</v>
      </c>
      <c r="AH2471" t="n">
        <v>124492.7</v>
      </c>
    </row>
    <row r="2472">
      <c r="A2472" t="inlineStr">
        <is>
          <t>3월</t>
        </is>
      </c>
      <c r="B2472" t="inlineStr">
        <is>
          <t>13주차</t>
        </is>
      </c>
      <c r="C2472" t="inlineStr">
        <is>
          <t>IM</t>
        </is>
      </c>
      <c r="D2472" s="28" t="n">
        <v>46104</v>
      </c>
      <c r="E2472" t="inlineStr">
        <is>
          <t>IM캐피탈</t>
        </is>
      </c>
      <c r="F2472" t="inlineStr">
        <is>
          <t>정상문</t>
        </is>
      </c>
      <c r="G2472" t="inlineStr">
        <is>
          <t>010-8800-5461</t>
        </is>
      </c>
      <c r="H2472" t="inlineStr">
        <is>
          <t>84어6266</t>
        </is>
      </c>
      <c r="I2472" t="n">
        <v>12200000</v>
      </c>
      <c r="J2472" t="n">
        <v>0.049</v>
      </c>
      <c r="K2472" t="n">
        <v>1.1</v>
      </c>
      <c r="L2472" t="n">
        <v>0.14</v>
      </c>
      <c r="M2472" t="n">
        <v>0.96</v>
      </c>
      <c r="P2472" t="inlineStr">
        <is>
          <t>김수연</t>
        </is>
      </c>
      <c r="Q2472" t="inlineStr">
        <is>
          <t>홈서비스 36개월</t>
        </is>
      </c>
      <c r="AB2472" t="inlineStr">
        <is>
          <t>홈서비스</t>
        </is>
      </c>
      <c r="AC2472" t="n">
        <v>134200</v>
      </c>
      <c r="AD2472" t="n">
        <v>17080</v>
      </c>
      <c r="AE2472" t="n">
        <v>117120</v>
      </c>
      <c r="AF2472" t="n">
        <v>122000</v>
      </c>
      <c r="AG2472" t="n">
        <v>16516.36</v>
      </c>
      <c r="AH2472" t="n">
        <v>105483.64</v>
      </c>
      <c r="AI2472" t="n">
        <v>0</v>
      </c>
    </row>
    <row r="2473">
      <c r="A2473" t="inlineStr">
        <is>
          <t>3월</t>
        </is>
      </c>
      <c r="B2473" t="inlineStr">
        <is>
          <t>13주차</t>
        </is>
      </c>
      <c r="C2473" t="inlineStr">
        <is>
          <t>IM</t>
        </is>
      </c>
      <c r="D2473" s="28" t="n">
        <v>46104</v>
      </c>
      <c r="E2473" t="inlineStr">
        <is>
          <t>IM캐피탈</t>
        </is>
      </c>
      <c r="F2473" t="inlineStr">
        <is>
          <t>김은우</t>
        </is>
      </c>
      <c r="G2473" t="inlineStr">
        <is>
          <t>010-4270-7552</t>
        </is>
      </c>
      <c r="H2473" t="inlineStr">
        <is>
          <t>01라7978</t>
        </is>
      </c>
      <c r="I2473" t="n">
        <v>13800000</v>
      </c>
      <c r="J2473" t="n">
        <v>0.056</v>
      </c>
      <c r="K2473" t="n">
        <v>1.1</v>
      </c>
      <c r="L2473" t="n">
        <v>0.14</v>
      </c>
      <c r="M2473" t="n">
        <v>0.96</v>
      </c>
      <c r="P2473" t="inlineStr">
        <is>
          <t>장현경</t>
        </is>
      </c>
      <c r="Q2473" t="inlineStr">
        <is>
          <t>선상담 / 홈서비스 48개월 / 공동명의</t>
        </is>
      </c>
      <c r="AB2473" t="inlineStr">
        <is>
          <t>홈서비스</t>
        </is>
      </c>
      <c r="AC2473" t="n">
        <v>151800</v>
      </c>
      <c r="AD2473" t="n">
        <v>19320</v>
      </c>
      <c r="AE2473" t="n">
        <v>132480</v>
      </c>
      <c r="AF2473" t="n">
        <v>138000</v>
      </c>
      <c r="AG2473" t="n">
        <v>18682.44</v>
      </c>
      <c r="AH2473" t="n">
        <v>119317.56</v>
      </c>
      <c r="AI2473" t="n">
        <v>0</v>
      </c>
    </row>
    <row r="2474">
      <c r="A2474" t="inlineStr">
        <is>
          <t>3월</t>
        </is>
      </c>
      <c r="B2474" t="inlineStr">
        <is>
          <t>12주차</t>
        </is>
      </c>
      <c r="C2474" t="inlineStr">
        <is>
          <t>EP</t>
        </is>
      </c>
      <c r="D2474" s="28" t="n">
        <v>46099</v>
      </c>
      <c r="E2474" t="inlineStr">
        <is>
          <t>현대EP_fast</t>
        </is>
      </c>
      <c r="F2474" t="inlineStr">
        <is>
          <t>김홍삼</t>
        </is>
      </c>
      <c r="G2474" t="inlineStr">
        <is>
          <t>010-4954-6663</t>
        </is>
      </c>
      <c r="H2474" t="inlineStr">
        <is>
          <t>57서4584</t>
        </is>
      </c>
      <c r="I2474" t="n">
        <v>4000000</v>
      </c>
      <c r="J2474" t="n">
        <v>0.092</v>
      </c>
      <c r="K2474" t="n">
        <v>1.76</v>
      </c>
      <c r="L2474" t="n">
        <v>0.14</v>
      </c>
      <c r="M2474" t="n">
        <v>1.62</v>
      </c>
      <c r="P2474" t="inlineStr">
        <is>
          <t>임대경</t>
        </is>
      </c>
      <c r="Q2474" t="inlineStr">
        <is>
          <t>홈서비스 60개월(현금변경 입금진행)</t>
        </is>
      </c>
      <c r="AB2474" t="inlineStr">
        <is>
          <t>홈서비스</t>
        </is>
      </c>
      <c r="AC2474" t="n">
        <v>70400</v>
      </c>
      <c r="AD2474" t="n">
        <v>5600</v>
      </c>
      <c r="AE2474" t="n">
        <v>64800</v>
      </c>
      <c r="AF2474" t="n">
        <v>64000</v>
      </c>
      <c r="AG2474" t="n">
        <v>5415.2</v>
      </c>
      <c r="AH2474" t="n">
        <v>58584.8</v>
      </c>
    </row>
    <row r="2475">
      <c r="A2475" t="inlineStr">
        <is>
          <t>3월</t>
        </is>
      </c>
      <c r="B2475" t="inlineStr">
        <is>
          <t>13주차</t>
        </is>
      </c>
      <c r="C2475" t="inlineStr">
        <is>
          <t>EP</t>
        </is>
      </c>
      <c r="D2475" s="28" t="n">
        <v>46104</v>
      </c>
      <c r="E2475" t="inlineStr">
        <is>
          <t>현대EP_fast</t>
        </is>
      </c>
      <c r="F2475" t="inlineStr">
        <is>
          <t>안지환</t>
        </is>
      </c>
      <c r="G2475" t="inlineStr">
        <is>
          <t>010-6407-7967</t>
        </is>
      </c>
      <c r="H2475" t="inlineStr">
        <is>
          <t>210머5000</t>
        </is>
      </c>
      <c r="I2475" t="n">
        <v>16600000</v>
      </c>
      <c r="J2475" t="n">
        <v>0.102</v>
      </c>
      <c r="K2475" t="n">
        <v>1.76</v>
      </c>
      <c r="L2475" t="n">
        <v>0.14</v>
      </c>
      <c r="M2475" t="n">
        <v>1.62</v>
      </c>
      <c r="P2475" t="inlineStr">
        <is>
          <t>정세빈</t>
        </is>
      </c>
      <c r="Q2475" t="inlineStr">
        <is>
          <t>홈서비스 36개월</t>
        </is>
      </c>
      <c r="AB2475" t="inlineStr">
        <is>
          <t>홈서비스</t>
        </is>
      </c>
      <c r="AC2475" t="n">
        <v>292160</v>
      </c>
      <c r="AD2475" t="n">
        <v>23240</v>
      </c>
      <c r="AE2475" t="n">
        <v>268920</v>
      </c>
      <c r="AF2475" t="n">
        <v>265600</v>
      </c>
      <c r="AG2475" t="n">
        <v>22473.08</v>
      </c>
      <c r="AH2475" t="n">
        <v>243126.92</v>
      </c>
      <c r="AI2475" t="n">
        <v>0</v>
      </c>
    </row>
    <row r="2476">
      <c r="A2476" t="inlineStr">
        <is>
          <t>3월</t>
        </is>
      </c>
      <c r="B2476" t="inlineStr">
        <is>
          <t>13주차</t>
        </is>
      </c>
      <c r="C2476" t="inlineStr">
        <is>
          <t>EP</t>
        </is>
      </c>
      <c r="D2476" s="28" t="n">
        <v>46104</v>
      </c>
      <c r="E2476" t="inlineStr">
        <is>
          <t>현대EP_fast</t>
        </is>
      </c>
      <c r="F2476" t="inlineStr">
        <is>
          <t>이응문</t>
        </is>
      </c>
      <c r="G2476" t="inlineStr">
        <is>
          <t>010-6660-2667</t>
        </is>
      </c>
      <c r="H2476" t="inlineStr">
        <is>
          <t>233러9268</t>
        </is>
      </c>
      <c r="I2476" t="n">
        <v>13400000</v>
      </c>
      <c r="J2476" t="n">
        <v>0.08500000000000001</v>
      </c>
      <c r="K2476" t="n">
        <v>1.76</v>
      </c>
      <c r="L2476" t="n">
        <v>0.4</v>
      </c>
      <c r="M2476" t="n">
        <v>1.36</v>
      </c>
      <c r="P2476" t="inlineStr">
        <is>
          <t>박보람</t>
        </is>
      </c>
      <c r="AB2476" t="inlineStr">
        <is>
          <t>엔카</t>
        </is>
      </c>
      <c r="AC2476" t="n">
        <v>235840</v>
      </c>
      <c r="AD2476" t="n">
        <v>53600</v>
      </c>
      <c r="AE2476" t="n">
        <v>182240</v>
      </c>
      <c r="AF2476" t="n">
        <v>214400</v>
      </c>
      <c r="AG2476" t="n">
        <v>51831.2</v>
      </c>
      <c r="AH2476" t="n">
        <v>162568.8</v>
      </c>
    </row>
    <row r="2477">
      <c r="A2477" t="inlineStr">
        <is>
          <t>3월</t>
        </is>
      </c>
      <c r="B2477" t="inlineStr">
        <is>
          <t>12주차</t>
        </is>
      </c>
      <c r="C2477" t="inlineStr">
        <is>
          <t>EP</t>
        </is>
      </c>
      <c r="D2477" s="28" t="n">
        <v>46101</v>
      </c>
      <c r="E2477" t="inlineStr">
        <is>
          <t>제이비EP</t>
        </is>
      </c>
      <c r="F2477" t="inlineStr">
        <is>
          <t>박창현</t>
        </is>
      </c>
      <c r="G2477" t="inlineStr">
        <is>
          <t>010-6480-8755</t>
        </is>
      </c>
      <c r="H2477" t="inlineStr">
        <is>
          <t>32가0734</t>
        </is>
      </c>
      <c r="I2477" t="n">
        <v>7900000</v>
      </c>
      <c r="J2477" t="n">
        <v>0.08500000000000001</v>
      </c>
      <c r="K2477" t="n">
        <v>1.65</v>
      </c>
      <c r="L2477" t="n">
        <v>0.4</v>
      </c>
      <c r="M2477" t="n">
        <v>1.25</v>
      </c>
      <c r="P2477" t="inlineStr">
        <is>
          <t>구성완</t>
        </is>
      </c>
      <c r="AB2477" t="inlineStr">
        <is>
          <t>엔카</t>
        </is>
      </c>
      <c r="AC2477" t="n">
        <v>130350</v>
      </c>
      <c r="AD2477" t="n">
        <v>31600</v>
      </c>
      <c r="AE2477" t="n">
        <v>98750</v>
      </c>
      <c r="AF2477" t="n">
        <v>118500</v>
      </c>
      <c r="AG2477" t="n">
        <v>30557.2</v>
      </c>
      <c r="AH2477" t="n">
        <v>87942.8</v>
      </c>
      <c r="AI2477" t="n">
        <v>0</v>
      </c>
    </row>
    <row r="2478">
      <c r="A2478" t="inlineStr">
        <is>
          <t>3월</t>
        </is>
      </c>
      <c r="B2478" t="inlineStr">
        <is>
          <t>13주차</t>
        </is>
      </c>
      <c r="C2478" t="inlineStr">
        <is>
          <t>OR</t>
        </is>
      </c>
      <c r="D2478" s="28" t="n">
        <v>46104</v>
      </c>
      <c r="E2478" t="inlineStr">
        <is>
          <t>오릭스</t>
        </is>
      </c>
      <c r="F2478" t="inlineStr">
        <is>
          <t>박상흠</t>
        </is>
      </c>
      <c r="G2478" t="inlineStr">
        <is>
          <t>010-3559-9088</t>
        </is>
      </c>
      <c r="H2478" t="inlineStr">
        <is>
          <t>82우6131</t>
        </is>
      </c>
      <c r="I2478" t="n">
        <v>16600000</v>
      </c>
      <c r="J2478" t="n">
        <v>0.064</v>
      </c>
      <c r="K2478" t="n">
        <v>1.65</v>
      </c>
      <c r="L2478" t="n">
        <v>0.14</v>
      </c>
      <c r="M2478" t="n">
        <v>1.51</v>
      </c>
      <c r="P2478" t="inlineStr">
        <is>
          <t>최형주</t>
        </is>
      </c>
      <c r="Q2478" t="inlineStr">
        <is>
          <t>홈서비스 60개월</t>
        </is>
      </c>
      <c r="AB2478" t="inlineStr">
        <is>
          <t>홈서비스</t>
        </is>
      </c>
      <c r="AC2478" t="n">
        <v>273900</v>
      </c>
      <c r="AD2478" t="n">
        <v>23240</v>
      </c>
      <c r="AE2478" t="n">
        <v>250660</v>
      </c>
      <c r="AF2478" t="n">
        <v>249000</v>
      </c>
      <c r="AG2478" t="n">
        <v>22473.08</v>
      </c>
      <c r="AH2478" t="n">
        <v>226526.92</v>
      </c>
      <c r="AI2478" t="n">
        <v>0</v>
      </c>
    </row>
    <row r="2479">
      <c r="A2479" t="inlineStr">
        <is>
          <t>3월</t>
        </is>
      </c>
      <c r="B2479" t="inlineStr">
        <is>
          <t>13주차</t>
        </is>
      </c>
      <c r="C2479" t="inlineStr">
        <is>
          <t>EP</t>
        </is>
      </c>
      <c r="D2479" s="28" t="n">
        <v>46104</v>
      </c>
      <c r="E2479" t="inlineStr">
        <is>
          <t>현대EP_fast</t>
        </is>
      </c>
      <c r="F2479" t="inlineStr">
        <is>
          <t>백승현</t>
        </is>
      </c>
      <c r="G2479" t="inlineStr">
        <is>
          <t>010-3311-7691</t>
        </is>
      </c>
      <c r="H2479" t="inlineStr">
        <is>
          <t>32거0932</t>
        </is>
      </c>
      <c r="I2479" t="n">
        <v>10000000</v>
      </c>
      <c r="J2479" t="n">
        <v>0.119</v>
      </c>
      <c r="K2479" t="n">
        <v>1.76</v>
      </c>
      <c r="L2479" t="n">
        <v>0.14</v>
      </c>
      <c r="M2479" t="n">
        <v>1.62</v>
      </c>
      <c r="P2479" t="inlineStr">
        <is>
          <t>황채이</t>
        </is>
      </c>
      <c r="Q2479" t="inlineStr">
        <is>
          <t>홈서비스 60개월</t>
        </is>
      </c>
      <c r="AB2479" t="inlineStr">
        <is>
          <t>홈서비스</t>
        </is>
      </c>
      <c r="AC2479" t="n">
        <v>176000</v>
      </c>
      <c r="AD2479" t="n">
        <v>14000</v>
      </c>
      <c r="AE2479" t="n">
        <v>162000</v>
      </c>
      <c r="AF2479" t="n">
        <v>160000</v>
      </c>
      <c r="AG2479" t="n">
        <v>13538</v>
      </c>
      <c r="AH2479" t="n">
        <v>146462</v>
      </c>
      <c r="AI2479" t="n">
        <v>0</v>
      </c>
    </row>
    <row r="2480">
      <c r="A2480" t="inlineStr">
        <is>
          <t>3월</t>
        </is>
      </c>
      <c r="B2480" t="inlineStr">
        <is>
          <t>13주차</t>
        </is>
      </c>
      <c r="C2480" t="inlineStr">
        <is>
          <t>EP</t>
        </is>
      </c>
      <c r="D2480" s="28" t="n">
        <v>46104</v>
      </c>
      <c r="E2480" t="inlineStr">
        <is>
          <t>현대EP_fast</t>
        </is>
      </c>
      <c r="F2480" t="inlineStr">
        <is>
          <t>손재승</t>
        </is>
      </c>
      <c r="G2480" t="inlineStr">
        <is>
          <t>010-2291-4535</t>
        </is>
      </c>
      <c r="H2480" t="inlineStr">
        <is>
          <t>115가1874</t>
        </is>
      </c>
      <c r="I2480" t="n">
        <v>21500000</v>
      </c>
      <c r="J2480" t="n">
        <v>0.119</v>
      </c>
      <c r="K2480" t="n">
        <v>1.76</v>
      </c>
      <c r="L2480" t="n">
        <v>0.14</v>
      </c>
      <c r="M2480" t="n">
        <v>1.62</v>
      </c>
      <c r="P2480" t="inlineStr">
        <is>
          <t>최형주</t>
        </is>
      </c>
      <c r="Q2480" t="inlineStr">
        <is>
          <t>홈서비스 36개월</t>
        </is>
      </c>
      <c r="AB2480" t="inlineStr">
        <is>
          <t>홈서비스</t>
        </is>
      </c>
      <c r="AC2480" t="n">
        <v>378400</v>
      </c>
      <c r="AD2480" t="n">
        <v>30100</v>
      </c>
      <c r="AE2480" t="n">
        <v>348300</v>
      </c>
      <c r="AF2480" t="n">
        <v>344000</v>
      </c>
      <c r="AG2480" t="n">
        <v>29106.7</v>
      </c>
      <c r="AH2480" t="n">
        <v>314893.3</v>
      </c>
      <c r="AI2480" t="n">
        <v>0</v>
      </c>
    </row>
    <row r="2481">
      <c r="A2481" t="inlineStr">
        <is>
          <t>3월</t>
        </is>
      </c>
      <c r="B2481" t="inlineStr">
        <is>
          <t>13주차</t>
        </is>
      </c>
      <c r="C2481" t="inlineStr">
        <is>
          <t>EP</t>
        </is>
      </c>
      <c r="D2481" s="28" t="n">
        <v>46104</v>
      </c>
      <c r="E2481" t="inlineStr">
        <is>
          <t>BNKEP</t>
        </is>
      </c>
      <c r="F2481" t="inlineStr">
        <is>
          <t>김성호</t>
        </is>
      </c>
      <c r="G2481" t="inlineStr">
        <is>
          <t>010-3370-5180</t>
        </is>
      </c>
      <c r="H2481" t="inlineStr">
        <is>
          <t>56두0847</t>
        </is>
      </c>
      <c r="I2481" t="n">
        <v>3800000</v>
      </c>
      <c r="J2481" t="n">
        <v>0.061</v>
      </c>
      <c r="K2481" t="n">
        <v>1.65</v>
      </c>
      <c r="L2481" t="n">
        <v>0.14</v>
      </c>
      <c r="M2481" t="n">
        <v>1.51</v>
      </c>
      <c r="P2481" t="inlineStr">
        <is>
          <t>김나윤</t>
        </is>
      </c>
      <c r="Q2481" t="inlineStr">
        <is>
          <t>홈서비스 24개월</t>
        </is>
      </c>
      <c r="AB2481" t="inlineStr">
        <is>
          <t>홈서비스</t>
        </is>
      </c>
      <c r="AC2481" t="n">
        <v>62700</v>
      </c>
      <c r="AD2481" t="n">
        <v>5320</v>
      </c>
      <c r="AE2481" t="n">
        <v>57380</v>
      </c>
      <c r="AF2481" t="n">
        <v>57000</v>
      </c>
      <c r="AG2481" t="n">
        <v>5144.44</v>
      </c>
      <c r="AH2481" t="n">
        <v>51855.56</v>
      </c>
      <c r="AI2481" t="n">
        <v>0</v>
      </c>
    </row>
    <row r="2482">
      <c r="A2482" t="inlineStr">
        <is>
          <t>3월</t>
        </is>
      </c>
      <c r="B2482" t="inlineStr">
        <is>
          <t>13주차</t>
        </is>
      </c>
      <c r="C2482" t="inlineStr">
        <is>
          <t>EP</t>
        </is>
      </c>
      <c r="D2482" s="28" t="n">
        <v>46105</v>
      </c>
      <c r="E2482" t="inlineStr">
        <is>
          <t>현대EP_fast</t>
        </is>
      </c>
      <c r="F2482" t="inlineStr">
        <is>
          <t>조호래</t>
        </is>
      </c>
      <c r="G2482" t="inlineStr">
        <is>
          <t>010-2836-7416</t>
        </is>
      </c>
      <c r="H2482" t="inlineStr">
        <is>
          <t>134수3703</t>
        </is>
      </c>
      <c r="I2482" t="n">
        <v>31300000</v>
      </c>
      <c r="J2482" t="n">
        <v>0.09</v>
      </c>
      <c r="K2482" t="n">
        <v>1.76</v>
      </c>
      <c r="L2482" t="n">
        <v>0.14</v>
      </c>
      <c r="M2482" t="n">
        <v>1.62</v>
      </c>
      <c r="P2482" t="inlineStr">
        <is>
          <t>황채이</t>
        </is>
      </c>
      <c r="Q2482" t="inlineStr">
        <is>
          <t>홈서비스 60개월</t>
        </is>
      </c>
      <c r="AB2482" t="inlineStr">
        <is>
          <t>홈서비스</t>
        </is>
      </c>
      <c r="AC2482" t="n">
        <v>550880</v>
      </c>
      <c r="AD2482" t="n">
        <v>43820</v>
      </c>
      <c r="AE2482" t="n">
        <v>507060</v>
      </c>
      <c r="AF2482" t="n">
        <v>500800</v>
      </c>
      <c r="AG2482" t="n">
        <v>42373.94</v>
      </c>
      <c r="AH2482" t="n">
        <v>458426.06</v>
      </c>
    </row>
    <row r="2483">
      <c r="A2483" t="inlineStr">
        <is>
          <t>3월</t>
        </is>
      </c>
      <c r="B2483" t="inlineStr">
        <is>
          <t>13주차</t>
        </is>
      </c>
      <c r="C2483" t="inlineStr">
        <is>
          <t>EP</t>
        </is>
      </c>
      <c r="D2483" s="28" t="n">
        <v>46104</v>
      </c>
      <c r="E2483" t="inlineStr">
        <is>
          <t>BNKEP</t>
        </is>
      </c>
      <c r="F2483" t="inlineStr">
        <is>
          <t>도진호</t>
        </is>
      </c>
      <c r="G2483" t="inlineStr">
        <is>
          <t>010-9292-9076</t>
        </is>
      </c>
      <c r="H2483" t="inlineStr">
        <is>
          <t>372마1595</t>
        </is>
      </c>
      <c r="I2483" t="n">
        <v>6700000</v>
      </c>
      <c r="J2483" t="n">
        <v>0.063</v>
      </c>
      <c r="K2483" t="n">
        <v>1.65</v>
      </c>
      <c r="L2483" t="n">
        <v>0.14</v>
      </c>
      <c r="M2483" t="n">
        <v>1.51</v>
      </c>
      <c r="P2483" t="inlineStr">
        <is>
          <t>정세빈</t>
        </is>
      </c>
      <c r="Q2483" t="inlineStr">
        <is>
          <t>홈서비스 24개월</t>
        </is>
      </c>
      <c r="AB2483" t="inlineStr">
        <is>
          <t>홈서비스</t>
        </is>
      </c>
      <c r="AC2483" t="n">
        <v>110550</v>
      </c>
      <c r="AD2483" t="n">
        <v>9380</v>
      </c>
      <c r="AE2483" t="n">
        <v>101170</v>
      </c>
      <c r="AF2483" t="n">
        <v>100500</v>
      </c>
      <c r="AG2483" t="n">
        <v>9070.459999999999</v>
      </c>
      <c r="AH2483" t="n">
        <v>91429.53999999999</v>
      </c>
      <c r="AI2483" t="n">
        <v>0</v>
      </c>
    </row>
    <row r="2484">
      <c r="A2484" t="inlineStr">
        <is>
          <t>3월</t>
        </is>
      </c>
      <c r="B2484" t="inlineStr">
        <is>
          <t>13주차</t>
        </is>
      </c>
      <c r="C2484" t="inlineStr">
        <is>
          <t>EP</t>
        </is>
      </c>
      <c r="D2484" s="28" t="n">
        <v>46104</v>
      </c>
      <c r="E2484" t="inlineStr">
        <is>
          <t>BNKEP</t>
        </is>
      </c>
      <c r="F2484" t="inlineStr">
        <is>
          <t>조영훈</t>
        </is>
      </c>
      <c r="G2484" t="inlineStr">
        <is>
          <t>010-4998-1123</t>
        </is>
      </c>
      <c r="H2484" t="inlineStr">
        <is>
          <t>15어5955</t>
        </is>
      </c>
      <c r="I2484" t="n">
        <v>8200000</v>
      </c>
      <c r="J2484" t="n">
        <v>0.08599999999999999</v>
      </c>
      <c r="K2484" t="n">
        <v>1.65</v>
      </c>
      <c r="L2484" t="n">
        <v>0.14</v>
      </c>
      <c r="M2484" t="n">
        <v>1.51</v>
      </c>
      <c r="P2484" t="inlineStr">
        <is>
          <t>김수연</t>
        </is>
      </c>
      <c r="Q2484" t="inlineStr">
        <is>
          <t>홈서비스 60개월 / 부대비용 추가진행</t>
        </is>
      </c>
      <c r="AB2484" t="inlineStr">
        <is>
          <t>홈서비스</t>
        </is>
      </c>
      <c r="AC2484" t="n">
        <v>135300</v>
      </c>
      <c r="AD2484" t="n">
        <v>11480</v>
      </c>
      <c r="AE2484" t="n">
        <v>123820</v>
      </c>
      <c r="AF2484" t="n">
        <v>123000</v>
      </c>
      <c r="AG2484" t="n">
        <v>11101.16</v>
      </c>
      <c r="AH2484" t="n">
        <v>111898.84</v>
      </c>
      <c r="AI2484" t="n">
        <v>0</v>
      </c>
    </row>
    <row r="2485">
      <c r="A2485" t="inlineStr">
        <is>
          <t>3월</t>
        </is>
      </c>
      <c r="B2485" t="inlineStr">
        <is>
          <t>13주차</t>
        </is>
      </c>
      <c r="C2485" t="inlineStr">
        <is>
          <t>EP</t>
        </is>
      </c>
      <c r="D2485" s="28" t="n">
        <v>46104</v>
      </c>
      <c r="E2485" t="inlineStr">
        <is>
          <t>현대EP_fast</t>
        </is>
      </c>
      <c r="F2485" t="inlineStr">
        <is>
          <t>이태규</t>
        </is>
      </c>
      <c r="G2485" t="inlineStr">
        <is>
          <t>010-3803-7828</t>
        </is>
      </c>
      <c r="H2485" t="inlineStr">
        <is>
          <t>22로6422</t>
        </is>
      </c>
      <c r="I2485" t="n">
        <v>13900000</v>
      </c>
      <c r="J2485" t="n">
        <v>0.127</v>
      </c>
      <c r="K2485" t="n">
        <v>1.76</v>
      </c>
      <c r="L2485" t="n">
        <v>0.14</v>
      </c>
      <c r="M2485" t="n">
        <v>1.62</v>
      </c>
      <c r="P2485" t="inlineStr">
        <is>
          <t>정세빈</t>
        </is>
      </c>
      <c r="Q2485" t="inlineStr">
        <is>
          <t>홈서비스 48개월</t>
        </is>
      </c>
      <c r="AB2485" t="inlineStr">
        <is>
          <t>홈서비스</t>
        </is>
      </c>
      <c r="AC2485" t="n">
        <v>244640</v>
      </c>
      <c r="AD2485" t="n">
        <v>19460</v>
      </c>
      <c r="AE2485" t="n">
        <v>225180</v>
      </c>
      <c r="AF2485" t="n">
        <v>222400</v>
      </c>
      <c r="AG2485" t="n">
        <v>18817.82</v>
      </c>
      <c r="AH2485" t="n">
        <v>203582.18</v>
      </c>
      <c r="AI2485" t="n">
        <v>0</v>
      </c>
    </row>
    <row r="2486">
      <c r="A2486" t="inlineStr">
        <is>
          <t>3월</t>
        </is>
      </c>
      <c r="B2486" t="inlineStr">
        <is>
          <t>12주차</t>
        </is>
      </c>
      <c r="C2486" t="inlineStr">
        <is>
          <t>IM</t>
        </is>
      </c>
      <c r="D2486" s="28" t="n">
        <v>46101</v>
      </c>
      <c r="E2486" t="inlineStr">
        <is>
          <t>IM캐피탈</t>
        </is>
      </c>
      <c r="F2486" t="inlineStr">
        <is>
          <t>이다인</t>
        </is>
      </c>
      <c r="G2486" t="inlineStr">
        <is>
          <t>010-5620-0388</t>
        </is>
      </c>
      <c r="H2486" t="inlineStr">
        <is>
          <t>03모9550</t>
        </is>
      </c>
      <c r="I2486" t="n">
        <v>25900000</v>
      </c>
      <c r="J2486" t="n">
        <v>0.056</v>
      </c>
      <c r="K2486" t="n">
        <v>1.1</v>
      </c>
      <c r="L2486" t="n">
        <v>0.14</v>
      </c>
      <c r="M2486" t="n">
        <v>0.96</v>
      </c>
      <c r="P2486" t="inlineStr">
        <is>
          <t>정광호</t>
        </is>
      </c>
      <c r="Q2486" t="inlineStr">
        <is>
          <t>홈서비스 60개월</t>
        </is>
      </c>
      <c r="AB2486" t="inlineStr">
        <is>
          <t>홈서비스</t>
        </is>
      </c>
      <c r="AC2486" t="n">
        <v>284900</v>
      </c>
      <c r="AD2486" t="n">
        <v>36260</v>
      </c>
      <c r="AE2486" t="n">
        <v>248640</v>
      </c>
      <c r="AF2486" t="n">
        <v>259000</v>
      </c>
      <c r="AG2486" t="n">
        <v>35063.42</v>
      </c>
      <c r="AH2486" t="n">
        <v>223936.58</v>
      </c>
      <c r="AI2486" t="n">
        <v>0</v>
      </c>
    </row>
    <row r="2487">
      <c r="A2487" t="inlineStr">
        <is>
          <t>3월</t>
        </is>
      </c>
      <c r="B2487" t="inlineStr">
        <is>
          <t>13주차</t>
        </is>
      </c>
      <c r="C2487" t="inlineStr">
        <is>
          <t>EP</t>
        </is>
      </c>
      <c r="D2487" s="28" t="n">
        <v>46104</v>
      </c>
      <c r="E2487" t="inlineStr">
        <is>
          <t>현대EP</t>
        </is>
      </c>
      <c r="F2487" t="inlineStr">
        <is>
          <t>김민재</t>
        </is>
      </c>
      <c r="G2487" t="inlineStr">
        <is>
          <t>010-7558-5401</t>
        </is>
      </c>
      <c r="H2487" t="inlineStr">
        <is>
          <t>208수8677</t>
        </is>
      </c>
      <c r="I2487" t="n">
        <v>7000000</v>
      </c>
      <c r="J2487" t="n">
        <v>0.07099999999999999</v>
      </c>
      <c r="K2487" t="n">
        <v>1.76</v>
      </c>
      <c r="L2487" t="n">
        <v>0.14</v>
      </c>
      <c r="M2487" t="n">
        <v>1.62</v>
      </c>
      <c r="P2487" t="inlineStr">
        <is>
          <t>정세빈</t>
        </is>
      </c>
      <c r="Q2487" t="inlineStr">
        <is>
          <t>홈서비스 60개월</t>
        </is>
      </c>
      <c r="AB2487" t="inlineStr">
        <is>
          <t>홈서비스</t>
        </is>
      </c>
      <c r="AC2487" t="n">
        <v>123200</v>
      </c>
      <c r="AD2487" t="n">
        <v>9800</v>
      </c>
      <c r="AE2487" t="n">
        <v>113400</v>
      </c>
      <c r="AF2487" t="n">
        <v>112000</v>
      </c>
      <c r="AG2487" t="n">
        <v>9476.6</v>
      </c>
      <c r="AH2487" t="n">
        <v>102523.4</v>
      </c>
      <c r="AI2487" t="n">
        <v>0</v>
      </c>
    </row>
    <row r="2488">
      <c r="A2488" t="inlineStr">
        <is>
          <t>3월</t>
        </is>
      </c>
      <c r="B2488" t="inlineStr">
        <is>
          <t>13주차</t>
        </is>
      </c>
      <c r="C2488" t="inlineStr">
        <is>
          <t>EP</t>
        </is>
      </c>
      <c r="D2488" s="28" t="n">
        <v>46104</v>
      </c>
      <c r="E2488" t="inlineStr">
        <is>
          <t>현대EP</t>
        </is>
      </c>
      <c r="F2488" t="inlineStr">
        <is>
          <t>이현우</t>
        </is>
      </c>
      <c r="G2488" t="inlineStr">
        <is>
          <t>010-9141-6825</t>
        </is>
      </c>
      <c r="H2488" t="inlineStr">
        <is>
          <t>209머7367</t>
        </is>
      </c>
      <c r="I2488" t="n">
        <v>41900000</v>
      </c>
      <c r="J2488" t="n">
        <v>0.062</v>
      </c>
      <c r="K2488" t="n">
        <v>1.76</v>
      </c>
      <c r="L2488" t="n">
        <v>0.14</v>
      </c>
      <c r="M2488" t="n">
        <v>1.62</v>
      </c>
      <c r="P2488" t="inlineStr">
        <is>
          <t>황채이</t>
        </is>
      </c>
      <c r="Q2488" t="inlineStr">
        <is>
          <t>홈서비스 60개월</t>
        </is>
      </c>
      <c r="AB2488" t="inlineStr">
        <is>
          <t>홈서비스</t>
        </is>
      </c>
      <c r="AC2488" t="n">
        <v>737440</v>
      </c>
      <c r="AD2488" t="n">
        <v>58660</v>
      </c>
      <c r="AE2488" t="n">
        <v>678780</v>
      </c>
      <c r="AF2488" t="n">
        <v>670400</v>
      </c>
      <c r="AG2488" t="n">
        <v>56724.22</v>
      </c>
      <c r="AH2488" t="n">
        <v>613675.78</v>
      </c>
      <c r="AI2488" t="n">
        <v>0</v>
      </c>
    </row>
    <row r="2489">
      <c r="A2489" t="inlineStr">
        <is>
          <t>3월</t>
        </is>
      </c>
      <c r="B2489" t="inlineStr">
        <is>
          <t>12주차</t>
        </is>
      </c>
      <c r="C2489" t="inlineStr">
        <is>
          <t>EP</t>
        </is>
      </c>
      <c r="D2489" s="28" t="n">
        <v>46103</v>
      </c>
      <c r="E2489" t="inlineStr">
        <is>
          <t>현대EP</t>
        </is>
      </c>
      <c r="F2489" t="inlineStr">
        <is>
          <t>석정미</t>
        </is>
      </c>
      <c r="G2489" t="inlineStr">
        <is>
          <t>010-6515-6711</t>
        </is>
      </c>
      <c r="H2489" t="inlineStr">
        <is>
          <t>134부4382</t>
        </is>
      </c>
      <c r="I2489" t="n">
        <v>29200000</v>
      </c>
      <c r="J2489" t="n">
        <v>0.075</v>
      </c>
      <c r="K2489" t="n">
        <v>1.76</v>
      </c>
      <c r="L2489" t="n">
        <v>0.14</v>
      </c>
      <c r="M2489" t="n">
        <v>1.62</v>
      </c>
      <c r="P2489" t="inlineStr">
        <is>
          <t>정광호</t>
        </is>
      </c>
      <c r="Q2489" t="inlineStr">
        <is>
          <t>홈서비스 60개월</t>
        </is>
      </c>
      <c r="AB2489" t="inlineStr">
        <is>
          <t>홈서비스</t>
        </is>
      </c>
      <c r="AC2489" t="n">
        <v>513920</v>
      </c>
      <c r="AD2489" t="n">
        <v>40880</v>
      </c>
      <c r="AE2489" t="n">
        <v>473040</v>
      </c>
      <c r="AF2489" t="n">
        <v>467200</v>
      </c>
      <c r="AG2489" t="n">
        <v>39530.96</v>
      </c>
      <c r="AH2489" t="n">
        <v>427669.04</v>
      </c>
      <c r="AI2489" t="n">
        <v>0</v>
      </c>
    </row>
    <row r="2490">
      <c r="A2490" t="inlineStr">
        <is>
          <t>3월</t>
        </is>
      </c>
      <c r="B2490" t="inlineStr">
        <is>
          <t>13주차</t>
        </is>
      </c>
      <c r="C2490" t="inlineStr">
        <is>
          <t>IM</t>
        </is>
      </c>
      <c r="D2490" s="28" t="n">
        <v>46104</v>
      </c>
      <c r="E2490" t="inlineStr">
        <is>
          <t>IM캐피탈</t>
        </is>
      </c>
      <c r="F2490" t="inlineStr">
        <is>
          <t>강민범</t>
        </is>
      </c>
      <c r="G2490" t="inlineStr">
        <is>
          <t>010-8893-6614</t>
        </is>
      </c>
      <c r="H2490" t="inlineStr">
        <is>
          <t>18루5679</t>
        </is>
      </c>
      <c r="I2490" t="n">
        <v>60000000</v>
      </c>
      <c r="J2490" t="n">
        <v>0.049</v>
      </c>
      <c r="K2490" t="n">
        <v>1.1</v>
      </c>
      <c r="L2490" t="n">
        <v>0.4</v>
      </c>
      <c r="M2490" t="n">
        <v>0.7</v>
      </c>
      <c r="P2490" t="inlineStr">
        <is>
          <t>박보람</t>
        </is>
      </c>
      <c r="Q2490" t="inlineStr">
        <is>
          <t xml:space="preserve">기승인건 </t>
        </is>
      </c>
      <c r="AB2490" t="inlineStr">
        <is>
          <t>엔카</t>
        </is>
      </c>
      <c r="AC2490" t="n">
        <v>660000</v>
      </c>
      <c r="AD2490" t="n">
        <v>240000</v>
      </c>
      <c r="AE2490" t="n">
        <v>420000</v>
      </c>
      <c r="AF2490" t="n">
        <v>600000</v>
      </c>
      <c r="AG2490" t="n">
        <v>232080</v>
      </c>
      <c r="AH2490" t="n">
        <v>367920</v>
      </c>
      <c r="AI2490" t="n">
        <v>0</v>
      </c>
    </row>
    <row r="2491">
      <c r="A2491" t="inlineStr">
        <is>
          <t>3월</t>
        </is>
      </c>
      <c r="B2491" t="inlineStr">
        <is>
          <t>13주차</t>
        </is>
      </c>
      <c r="C2491" t="inlineStr">
        <is>
          <t>EP</t>
        </is>
      </c>
      <c r="D2491" s="28" t="n">
        <v>46104</v>
      </c>
      <c r="E2491" t="inlineStr">
        <is>
          <t>현대EP</t>
        </is>
      </c>
      <c r="F2491" t="inlineStr">
        <is>
          <t>목종철</t>
        </is>
      </c>
      <c r="G2491" t="inlineStr">
        <is>
          <t>010-9243-1251</t>
        </is>
      </c>
      <c r="H2491" t="inlineStr">
        <is>
          <t>370거9518</t>
        </is>
      </c>
      <c r="I2491" t="n">
        <v>23000000</v>
      </c>
      <c r="J2491" t="n">
        <v>0.07099999999999999</v>
      </c>
      <c r="K2491" t="n">
        <v>1.76</v>
      </c>
      <c r="L2491" t="n">
        <v>0.14</v>
      </c>
      <c r="M2491" t="n">
        <v>1.62</v>
      </c>
      <c r="P2491" t="inlineStr">
        <is>
          <t>정세빈</t>
        </is>
      </c>
      <c r="Q2491" t="inlineStr">
        <is>
          <t>홈서비스 60개월</t>
        </is>
      </c>
      <c r="AB2491" t="inlineStr">
        <is>
          <t>홈서비스</t>
        </is>
      </c>
      <c r="AC2491" t="n">
        <v>404800</v>
      </c>
      <c r="AD2491" t="n">
        <v>32200</v>
      </c>
      <c r="AE2491" t="n">
        <v>372600</v>
      </c>
      <c r="AF2491" t="n">
        <v>368000</v>
      </c>
      <c r="AG2491" t="n">
        <v>31137.4</v>
      </c>
      <c r="AH2491" t="n">
        <v>336862.6</v>
      </c>
      <c r="AI2491" t="n">
        <v>0</v>
      </c>
    </row>
    <row r="2492">
      <c r="A2492" t="inlineStr">
        <is>
          <t>3월</t>
        </is>
      </c>
      <c r="B2492" t="inlineStr">
        <is>
          <t>12주차</t>
        </is>
      </c>
      <c r="C2492" t="inlineStr">
        <is>
          <t>EP</t>
        </is>
      </c>
      <c r="D2492" s="28" t="n">
        <v>46101</v>
      </c>
      <c r="E2492" t="inlineStr">
        <is>
          <t>제이비EP</t>
        </is>
      </c>
      <c r="F2492" t="inlineStr">
        <is>
          <t>김지혜</t>
        </is>
      </c>
      <c r="G2492" t="inlineStr">
        <is>
          <t>010-7685-6557</t>
        </is>
      </c>
      <c r="H2492" t="inlineStr">
        <is>
          <t>306머9664</t>
        </is>
      </c>
      <c r="I2492" t="n">
        <v>40500000</v>
      </c>
      <c r="J2492" t="n">
        <v>0.079</v>
      </c>
      <c r="K2492" t="n">
        <v>1.65</v>
      </c>
      <c r="L2492" t="n">
        <v>0.4</v>
      </c>
      <c r="M2492" t="n">
        <v>1.25</v>
      </c>
      <c r="P2492" t="inlineStr">
        <is>
          <t>장진경</t>
        </is>
      </c>
      <c r="Q2492" t="inlineStr">
        <is>
          <t>부대비용 추가진행</t>
        </is>
      </c>
      <c r="AB2492" t="inlineStr">
        <is>
          <t>엔카</t>
        </is>
      </c>
      <c r="AC2492" t="n">
        <v>668250</v>
      </c>
      <c r="AD2492" t="n">
        <v>162000</v>
      </c>
      <c r="AE2492" t="n">
        <v>506250</v>
      </c>
      <c r="AF2492" t="n">
        <v>607500</v>
      </c>
      <c r="AG2492" t="n">
        <v>156654</v>
      </c>
      <c r="AH2492" t="n">
        <v>450846</v>
      </c>
      <c r="AI2492" t="n">
        <v>0</v>
      </c>
    </row>
    <row r="2493">
      <c r="A2493" t="inlineStr">
        <is>
          <t>3월</t>
        </is>
      </c>
      <c r="B2493" t="inlineStr">
        <is>
          <t>13주차</t>
        </is>
      </c>
      <c r="C2493" t="inlineStr">
        <is>
          <t>EP</t>
        </is>
      </c>
      <c r="D2493" s="28" t="n">
        <v>46105</v>
      </c>
      <c r="E2493" t="inlineStr">
        <is>
          <t>현대EP_fast</t>
        </is>
      </c>
      <c r="F2493" t="inlineStr">
        <is>
          <t>유재영</t>
        </is>
      </c>
      <c r="G2493" t="inlineStr">
        <is>
          <t>010-5568-4564</t>
        </is>
      </c>
      <c r="H2493" t="inlineStr">
        <is>
          <t>398저1901</t>
        </is>
      </c>
      <c r="I2493" t="n">
        <v>21400000</v>
      </c>
      <c r="J2493" t="n">
        <v>0.118</v>
      </c>
      <c r="K2493" t="n">
        <v>1.76</v>
      </c>
      <c r="L2493" t="n">
        <v>0.14</v>
      </c>
      <c r="M2493" t="n">
        <v>1.62</v>
      </c>
      <c r="P2493" t="inlineStr">
        <is>
          <t>황채이</t>
        </is>
      </c>
      <c r="Q2493" t="inlineStr">
        <is>
          <t>홈서비스 48개월</t>
        </is>
      </c>
      <c r="AB2493" t="inlineStr">
        <is>
          <t>홈서비스</t>
        </is>
      </c>
      <c r="AC2493" t="n">
        <v>376640</v>
      </c>
      <c r="AD2493" t="n">
        <v>29960</v>
      </c>
      <c r="AE2493" t="n">
        <v>346680</v>
      </c>
      <c r="AF2493" t="n">
        <v>342400</v>
      </c>
      <c r="AG2493" t="n">
        <v>28971.32</v>
      </c>
      <c r="AH2493" t="n">
        <v>313428.68</v>
      </c>
      <c r="AI2493" t="n">
        <v>0</v>
      </c>
    </row>
    <row r="2494">
      <c r="A2494" t="inlineStr">
        <is>
          <t>3월</t>
        </is>
      </c>
      <c r="B2494" t="inlineStr">
        <is>
          <t>13주차</t>
        </is>
      </c>
      <c r="C2494" t="inlineStr">
        <is>
          <t>EP</t>
        </is>
      </c>
      <c r="D2494" s="28" t="n">
        <v>46105</v>
      </c>
      <c r="E2494" t="inlineStr">
        <is>
          <t>BNKEP</t>
        </is>
      </c>
      <c r="F2494" t="inlineStr">
        <is>
          <t>이병주</t>
        </is>
      </c>
      <c r="G2494" t="inlineStr">
        <is>
          <t>010-7303-9123</t>
        </is>
      </c>
      <c r="H2494" t="inlineStr">
        <is>
          <t>397서2513</t>
        </is>
      </c>
      <c r="I2494" t="n">
        <v>17000000</v>
      </c>
      <c r="J2494" t="n">
        <v>0.055</v>
      </c>
      <c r="K2494" t="n">
        <v>1.65</v>
      </c>
      <c r="L2494" t="n">
        <v>0.14</v>
      </c>
      <c r="M2494" t="n">
        <v>1.51</v>
      </c>
      <c r="P2494" t="inlineStr">
        <is>
          <t>황채이</t>
        </is>
      </c>
      <c r="Q2494" t="inlineStr">
        <is>
          <t>홈서비스 60개월</t>
        </is>
      </c>
      <c r="AB2494" t="inlineStr">
        <is>
          <t>홈서비스</t>
        </is>
      </c>
      <c r="AC2494" t="n">
        <v>280500</v>
      </c>
      <c r="AD2494" t="n">
        <v>23800</v>
      </c>
      <c r="AE2494" t="n">
        <v>256700</v>
      </c>
      <c r="AF2494" t="n">
        <v>255000</v>
      </c>
      <c r="AG2494" t="n">
        <v>23014.6</v>
      </c>
      <c r="AH2494" t="n">
        <v>231985.4</v>
      </c>
      <c r="AI2494" t="n">
        <v>0</v>
      </c>
    </row>
    <row r="2495">
      <c r="A2495" t="inlineStr">
        <is>
          <t>3월</t>
        </is>
      </c>
      <c r="B2495" t="inlineStr">
        <is>
          <t>12주차</t>
        </is>
      </c>
      <c r="C2495" t="inlineStr">
        <is>
          <t>EP</t>
        </is>
      </c>
      <c r="D2495" s="28" t="n">
        <v>46101</v>
      </c>
      <c r="E2495" t="inlineStr">
        <is>
          <t>현대EP_fast</t>
        </is>
      </c>
      <c r="F2495" t="inlineStr">
        <is>
          <t>조성원</t>
        </is>
      </c>
      <c r="G2495" t="inlineStr">
        <is>
          <t>010-7512-0501</t>
        </is>
      </c>
      <c r="H2495" t="inlineStr">
        <is>
          <t>33저0990</t>
        </is>
      </c>
      <c r="I2495" t="n">
        <v>18900000</v>
      </c>
      <c r="J2495" t="n">
        <v>0.119</v>
      </c>
      <c r="K2495" t="n">
        <v>1.76</v>
      </c>
      <c r="L2495" t="n">
        <v>0.4</v>
      </c>
      <c r="M2495" t="n">
        <v>1.36</v>
      </c>
      <c r="P2495" t="inlineStr">
        <is>
          <t>박현민</t>
        </is>
      </c>
      <c r="AB2495" t="inlineStr">
        <is>
          <t>엔카</t>
        </is>
      </c>
      <c r="AC2495" t="n">
        <v>332640</v>
      </c>
      <c r="AD2495" t="n">
        <v>75600</v>
      </c>
      <c r="AE2495" t="n">
        <v>257040</v>
      </c>
      <c r="AF2495" t="n">
        <v>302400</v>
      </c>
      <c r="AG2495" t="n">
        <v>73105.2</v>
      </c>
      <c r="AH2495" t="n">
        <v>229294.8</v>
      </c>
      <c r="AI2495" t="n">
        <v>0</v>
      </c>
    </row>
    <row r="2496">
      <c r="A2496" t="inlineStr">
        <is>
          <t>3월</t>
        </is>
      </c>
      <c r="B2496" t="inlineStr">
        <is>
          <t>13주차</t>
        </is>
      </c>
      <c r="C2496" t="inlineStr">
        <is>
          <t>WC</t>
        </is>
      </c>
      <c r="D2496" s="28" t="n">
        <v>46104</v>
      </c>
      <c r="E2496" t="inlineStr">
        <is>
          <t>웰컴저축은행</t>
        </is>
      </c>
      <c r="F2496" t="inlineStr">
        <is>
          <t>김정필</t>
        </is>
      </c>
      <c r="G2496" t="inlineStr">
        <is>
          <t>010-7918-4337</t>
        </is>
      </c>
      <c r="H2496" t="inlineStr">
        <is>
          <t>02모8671</t>
        </is>
      </c>
      <c r="I2496" t="n">
        <v>9900000</v>
      </c>
      <c r="J2496" t="n">
        <v>0.179</v>
      </c>
      <c r="K2496" t="n">
        <v>0</v>
      </c>
      <c r="L2496" t="n">
        <v>0.14</v>
      </c>
      <c r="M2496" t="n">
        <v>-0.14</v>
      </c>
      <c r="P2496" t="inlineStr">
        <is>
          <t>박현민</t>
        </is>
      </c>
      <c r="Q2496" t="inlineStr">
        <is>
          <t>홈서비스 60개월</t>
        </is>
      </c>
      <c r="AB2496" t="inlineStr">
        <is>
          <t>홈서비스</t>
        </is>
      </c>
      <c r="AC2496" t="n">
        <v>0</v>
      </c>
      <c r="AD2496" t="n">
        <v>13860</v>
      </c>
      <c r="AE2496" t="n">
        <v>-13860</v>
      </c>
      <c r="AF2496" t="n">
        <v>0</v>
      </c>
      <c r="AG2496" t="n">
        <v>13402.62</v>
      </c>
      <c r="AH2496" t="n">
        <v>-13402.62</v>
      </c>
      <c r="AI2496" t="n">
        <v>0</v>
      </c>
    </row>
    <row r="2497">
      <c r="A2497" t="inlineStr">
        <is>
          <t>3월</t>
        </is>
      </c>
      <c r="B2497" t="inlineStr">
        <is>
          <t>13주차</t>
        </is>
      </c>
      <c r="C2497" t="inlineStr">
        <is>
          <t>OR</t>
        </is>
      </c>
      <c r="D2497" s="28" t="n">
        <v>46105</v>
      </c>
      <c r="E2497" t="inlineStr">
        <is>
          <t>오릭스</t>
        </is>
      </c>
      <c r="F2497" t="inlineStr">
        <is>
          <t>최대호</t>
        </is>
      </c>
      <c r="G2497" t="inlineStr">
        <is>
          <t>010-9896-9502</t>
        </is>
      </c>
      <c r="H2497" t="inlineStr">
        <is>
          <t>40다6503</t>
        </is>
      </c>
      <c r="I2497" t="n">
        <v>34000000</v>
      </c>
      <c r="J2497" t="n">
        <v>0.064</v>
      </c>
      <c r="K2497" t="n">
        <v>1.65</v>
      </c>
      <c r="L2497" t="n">
        <v>0.4</v>
      </c>
      <c r="M2497" t="n">
        <v>1.25</v>
      </c>
      <c r="P2497" t="inlineStr">
        <is>
          <t>박현민</t>
        </is>
      </c>
      <c r="AB2497" t="inlineStr">
        <is>
          <t>엔카</t>
        </is>
      </c>
      <c r="AC2497" t="n">
        <v>561000</v>
      </c>
      <c r="AD2497" t="n">
        <v>136000</v>
      </c>
      <c r="AE2497" t="n">
        <v>425000</v>
      </c>
      <c r="AF2497" t="n">
        <v>510000</v>
      </c>
      <c r="AG2497" t="n">
        <v>131512</v>
      </c>
      <c r="AH2497" t="n">
        <v>378488</v>
      </c>
      <c r="AI2497" t="n">
        <v>0</v>
      </c>
    </row>
    <row r="2498">
      <c r="A2498" t="inlineStr">
        <is>
          <t>3월</t>
        </is>
      </c>
      <c r="B2498" t="inlineStr">
        <is>
          <t>13주차</t>
        </is>
      </c>
      <c r="C2498" t="inlineStr">
        <is>
          <t>EP</t>
        </is>
      </c>
      <c r="D2498" s="28" t="n">
        <v>46104</v>
      </c>
      <c r="E2498" t="inlineStr">
        <is>
          <t>현대EP</t>
        </is>
      </c>
      <c r="F2498" t="inlineStr">
        <is>
          <t>김주엽</t>
        </is>
      </c>
      <c r="G2498" t="inlineStr">
        <is>
          <t>010-2551-8689</t>
        </is>
      </c>
      <c r="H2498" t="inlineStr">
        <is>
          <t>306모6329</t>
        </is>
      </c>
      <c r="I2498" t="n">
        <v>7600000</v>
      </c>
      <c r="J2498" t="n">
        <v>0.07199999999999999</v>
      </c>
      <c r="K2498" t="n">
        <v>1.76</v>
      </c>
      <c r="L2498" t="n">
        <v>0.14</v>
      </c>
      <c r="M2498" t="n">
        <v>1.62</v>
      </c>
      <c r="P2498" t="inlineStr">
        <is>
          <t>김수연</t>
        </is>
      </c>
      <c r="Q2498" t="inlineStr">
        <is>
          <t>홈서비스 24개월</t>
        </is>
      </c>
      <c r="AB2498" t="inlineStr">
        <is>
          <t>홈서비스</t>
        </is>
      </c>
      <c r="AC2498" t="n">
        <v>133760</v>
      </c>
      <c r="AD2498" t="n">
        <v>10640</v>
      </c>
      <c r="AE2498" t="n">
        <v>123120</v>
      </c>
      <c r="AF2498" t="n">
        <v>121600</v>
      </c>
      <c r="AG2498" t="n">
        <v>10288.88</v>
      </c>
      <c r="AH2498" t="n">
        <v>111311.12</v>
      </c>
      <c r="AI2498" t="n">
        <v>0</v>
      </c>
    </row>
    <row r="2499">
      <c r="A2499" t="inlineStr">
        <is>
          <t>3월</t>
        </is>
      </c>
      <c r="B2499" t="inlineStr">
        <is>
          <t>12주차</t>
        </is>
      </c>
      <c r="C2499" t="inlineStr">
        <is>
          <t>EP</t>
        </is>
      </c>
      <c r="D2499" s="28" t="n">
        <v>46100</v>
      </c>
      <c r="E2499" t="inlineStr">
        <is>
          <t>제이비EP</t>
        </is>
      </c>
      <c r="F2499" t="inlineStr">
        <is>
          <t>권병욱</t>
        </is>
      </c>
      <c r="G2499" t="inlineStr">
        <is>
          <t>010-4530-2490</t>
        </is>
      </c>
      <c r="H2499" t="inlineStr">
        <is>
          <t>05오8701</t>
        </is>
      </c>
      <c r="I2499" t="n">
        <v>47500000</v>
      </c>
      <c r="J2499" t="n">
        <v>0.06900000000000001</v>
      </c>
      <c r="K2499" t="n">
        <v>1.65</v>
      </c>
      <c r="L2499" t="n">
        <v>0.4</v>
      </c>
      <c r="M2499" t="n">
        <v>1.25</v>
      </c>
      <c r="P2499" t="inlineStr">
        <is>
          <t>최혁</t>
        </is>
      </c>
      <c r="Q2499" t="inlineStr">
        <is>
          <t xml:space="preserve">법인명의진행( 케이앤씨플랜트) </t>
        </is>
      </c>
      <c r="AB2499" t="inlineStr">
        <is>
          <t>엔카</t>
        </is>
      </c>
      <c r="AC2499" t="n">
        <v>783750</v>
      </c>
      <c r="AD2499" t="n">
        <v>190000</v>
      </c>
      <c r="AE2499" t="n">
        <v>593750</v>
      </c>
      <c r="AF2499" t="n">
        <v>712500</v>
      </c>
      <c r="AG2499" t="n">
        <v>183730</v>
      </c>
      <c r="AH2499" t="n">
        <v>528770</v>
      </c>
    </row>
    <row r="2500">
      <c r="A2500" t="inlineStr">
        <is>
          <t>3월</t>
        </is>
      </c>
      <c r="B2500" t="inlineStr">
        <is>
          <t>13주차</t>
        </is>
      </c>
      <c r="C2500" t="inlineStr">
        <is>
          <t>EP</t>
        </is>
      </c>
      <c r="D2500" s="28" t="n">
        <v>46104</v>
      </c>
      <c r="E2500" t="inlineStr">
        <is>
          <t>현대EP</t>
        </is>
      </c>
      <c r="F2500" t="inlineStr">
        <is>
          <t>박고은</t>
        </is>
      </c>
      <c r="G2500" t="inlineStr">
        <is>
          <t>010-4825-0485</t>
        </is>
      </c>
      <c r="H2500" t="inlineStr">
        <is>
          <t>36어1823</t>
        </is>
      </c>
      <c r="I2500" t="n">
        <v>9300000</v>
      </c>
      <c r="J2500" t="n">
        <v>0.079</v>
      </c>
      <c r="K2500" t="n">
        <v>1.76</v>
      </c>
      <c r="L2500" t="n">
        <v>0.14</v>
      </c>
      <c r="M2500" t="n">
        <v>1.62</v>
      </c>
      <c r="P2500" t="inlineStr">
        <is>
          <t>정광호</t>
        </is>
      </c>
      <c r="Q2500" t="inlineStr">
        <is>
          <t>홈서비스 60개월</t>
        </is>
      </c>
      <c r="AB2500" t="inlineStr">
        <is>
          <t>홈서비스</t>
        </is>
      </c>
      <c r="AC2500" t="n">
        <v>163680</v>
      </c>
      <c r="AD2500" t="n">
        <v>13020</v>
      </c>
      <c r="AE2500" t="n">
        <v>150660</v>
      </c>
      <c r="AF2500" t="n">
        <v>148800</v>
      </c>
      <c r="AG2500" t="n">
        <v>12590.34</v>
      </c>
      <c r="AH2500" t="n">
        <v>136209.66</v>
      </c>
    </row>
    <row r="2501">
      <c r="A2501" t="inlineStr">
        <is>
          <t>3월</t>
        </is>
      </c>
      <c r="B2501" t="inlineStr">
        <is>
          <t>13주차</t>
        </is>
      </c>
      <c r="C2501" t="inlineStr">
        <is>
          <t>IM</t>
        </is>
      </c>
      <c r="D2501" s="28" t="n">
        <v>46104</v>
      </c>
      <c r="E2501" t="inlineStr">
        <is>
          <t>IM캐피탈</t>
        </is>
      </c>
      <c r="F2501" t="inlineStr">
        <is>
          <t>남영주</t>
        </is>
      </c>
      <c r="G2501" t="inlineStr">
        <is>
          <t>010-8340-7744</t>
        </is>
      </c>
      <c r="H2501" t="inlineStr">
        <is>
          <t>11머3858</t>
        </is>
      </c>
      <c r="I2501" t="n">
        <v>17000000</v>
      </c>
      <c r="J2501" t="n">
        <v>0.049</v>
      </c>
      <c r="K2501" t="n">
        <v>1.1</v>
      </c>
      <c r="L2501" t="n">
        <v>0.14</v>
      </c>
      <c r="M2501" t="n">
        <v>0.96</v>
      </c>
      <c r="P2501" t="inlineStr">
        <is>
          <t>최형주</t>
        </is>
      </c>
      <c r="Q2501" t="inlineStr">
        <is>
          <t>홈서비스 60개월 / 오토론</t>
        </is>
      </c>
      <c r="AB2501" t="inlineStr">
        <is>
          <t>홈서비스</t>
        </is>
      </c>
      <c r="AC2501" t="n">
        <v>187000</v>
      </c>
      <c r="AD2501" t="n">
        <v>23800</v>
      </c>
      <c r="AE2501" t="n">
        <v>163200</v>
      </c>
      <c r="AF2501" t="n">
        <v>170000</v>
      </c>
      <c r="AG2501" t="n">
        <v>23014.6</v>
      </c>
      <c r="AH2501" t="n">
        <v>146985.4</v>
      </c>
      <c r="AI2501" t="n">
        <v>0</v>
      </c>
    </row>
    <row r="2502">
      <c r="A2502" t="inlineStr">
        <is>
          <t>3월</t>
        </is>
      </c>
      <c r="B2502" t="inlineStr">
        <is>
          <t>13주차</t>
        </is>
      </c>
      <c r="C2502" t="inlineStr">
        <is>
          <t>OR</t>
        </is>
      </c>
      <c r="D2502" s="28" t="n">
        <v>46105</v>
      </c>
      <c r="E2502" t="inlineStr">
        <is>
          <t>오릭스</t>
        </is>
      </c>
      <c r="F2502" t="inlineStr">
        <is>
          <t>박보형</t>
        </is>
      </c>
      <c r="G2502" t="inlineStr">
        <is>
          <t>010-3003-9629</t>
        </is>
      </c>
      <c r="H2502" t="inlineStr">
        <is>
          <t>102라6158</t>
        </is>
      </c>
      <c r="I2502" t="n">
        <v>11000000</v>
      </c>
      <c r="J2502" t="n">
        <v>0.049</v>
      </c>
      <c r="K2502" t="n">
        <v>1.65</v>
      </c>
      <c r="L2502" t="n">
        <v>0.14</v>
      </c>
      <c r="M2502" t="n">
        <v>1.51</v>
      </c>
      <c r="P2502" t="inlineStr">
        <is>
          <t>최형주</t>
        </is>
      </c>
      <c r="Q2502" t="inlineStr">
        <is>
          <t>홈서비스 48개월</t>
        </is>
      </c>
      <c r="AB2502" t="inlineStr">
        <is>
          <t>홈서비스</t>
        </is>
      </c>
      <c r="AC2502" t="n">
        <v>181500</v>
      </c>
      <c r="AD2502" t="n">
        <v>15400</v>
      </c>
      <c r="AE2502" t="n">
        <v>166100</v>
      </c>
      <c r="AF2502" t="n">
        <v>165000</v>
      </c>
      <c r="AG2502" t="n">
        <v>14891.8</v>
      </c>
      <c r="AH2502" t="n">
        <v>150108.2</v>
      </c>
      <c r="AI2502" t="n">
        <v>0</v>
      </c>
    </row>
    <row r="2503">
      <c r="A2503" t="inlineStr">
        <is>
          <t>3월</t>
        </is>
      </c>
      <c r="B2503" t="inlineStr">
        <is>
          <t>13주차</t>
        </is>
      </c>
      <c r="C2503" t="inlineStr">
        <is>
          <t>EP</t>
        </is>
      </c>
      <c r="D2503" s="28" t="n">
        <v>46104</v>
      </c>
      <c r="E2503" t="inlineStr">
        <is>
          <t>현대EP</t>
        </is>
      </c>
      <c r="F2503" t="inlineStr">
        <is>
          <t>홍정수</t>
        </is>
      </c>
      <c r="G2503" t="inlineStr">
        <is>
          <t>010-8546-6058</t>
        </is>
      </c>
      <c r="H2503" t="inlineStr">
        <is>
          <t>57모3119</t>
        </is>
      </c>
      <c r="I2503" t="n">
        <v>85000000</v>
      </c>
      <c r="J2503" t="n">
        <v>0.07099999999999999</v>
      </c>
      <c r="K2503" t="n">
        <v>1.76</v>
      </c>
      <c r="L2503" t="n">
        <v>0.14</v>
      </c>
      <c r="M2503" t="n">
        <v>1.62</v>
      </c>
      <c r="P2503" t="inlineStr">
        <is>
          <t>정세빈</t>
        </is>
      </c>
      <c r="Q2503" t="inlineStr">
        <is>
          <t>홈서비스 60개월</t>
        </is>
      </c>
      <c r="AB2503" t="inlineStr">
        <is>
          <t>홈서비스</t>
        </is>
      </c>
      <c r="AC2503" t="n">
        <v>1496000</v>
      </c>
      <c r="AD2503" t="n">
        <v>119000</v>
      </c>
      <c r="AE2503" t="n">
        <v>1377000</v>
      </c>
      <c r="AF2503" t="n">
        <v>1360000</v>
      </c>
      <c r="AG2503" t="n">
        <v>115073</v>
      </c>
      <c r="AH2503" t="n">
        <v>1244927</v>
      </c>
      <c r="AI2503" t="n">
        <v>0</v>
      </c>
    </row>
    <row r="2504">
      <c r="A2504" t="inlineStr">
        <is>
          <t>3월</t>
        </is>
      </c>
      <c r="B2504" t="inlineStr">
        <is>
          <t>13주차</t>
        </is>
      </c>
      <c r="C2504" t="inlineStr">
        <is>
          <t>IM</t>
        </is>
      </c>
      <c r="D2504" s="28" t="n">
        <v>46105</v>
      </c>
      <c r="E2504" t="inlineStr">
        <is>
          <t>IM캐피탈</t>
        </is>
      </c>
      <c r="F2504" t="inlineStr">
        <is>
          <t>조규상</t>
        </is>
      </c>
      <c r="G2504" t="inlineStr">
        <is>
          <t>010-8556-9408</t>
        </is>
      </c>
      <c r="H2504" t="inlineStr">
        <is>
          <t>285조6748</t>
        </is>
      </c>
      <c r="I2504" t="n">
        <v>11000000</v>
      </c>
      <c r="J2504" t="n">
        <v>0.056</v>
      </c>
      <c r="K2504" t="n">
        <v>1.1</v>
      </c>
      <c r="L2504" t="n">
        <v>0.14</v>
      </c>
      <c r="M2504" t="n">
        <v>0.96</v>
      </c>
      <c r="P2504" t="inlineStr">
        <is>
          <t>최형주</t>
        </is>
      </c>
      <c r="Q2504" t="inlineStr">
        <is>
          <t>홈서비스 36개월</t>
        </is>
      </c>
      <c r="AB2504" t="inlineStr">
        <is>
          <t>홈서비스</t>
        </is>
      </c>
      <c r="AC2504" t="n">
        <v>121000</v>
      </c>
      <c r="AD2504" t="n">
        <v>15400</v>
      </c>
      <c r="AE2504" t="n">
        <v>105600</v>
      </c>
      <c r="AF2504" t="n">
        <v>110000</v>
      </c>
      <c r="AG2504" t="n">
        <v>14891.8</v>
      </c>
      <c r="AH2504" t="n">
        <v>95108.2</v>
      </c>
      <c r="AI2504" t="n">
        <v>0</v>
      </c>
    </row>
    <row r="2505">
      <c r="A2505" t="inlineStr">
        <is>
          <t>3월</t>
        </is>
      </c>
      <c r="B2505" t="inlineStr">
        <is>
          <t>13주차</t>
        </is>
      </c>
      <c r="C2505" t="inlineStr">
        <is>
          <t>EP</t>
        </is>
      </c>
      <c r="D2505" s="28" t="n">
        <v>46104</v>
      </c>
      <c r="E2505" t="inlineStr">
        <is>
          <t>현대EP_fast</t>
        </is>
      </c>
      <c r="F2505" t="inlineStr">
        <is>
          <t>정영모</t>
        </is>
      </c>
      <c r="G2505" t="inlineStr">
        <is>
          <t>010-4193-8978</t>
        </is>
      </c>
      <c r="H2505" t="inlineStr">
        <is>
          <t>18버2724</t>
        </is>
      </c>
      <c r="I2505" t="n">
        <v>10800000</v>
      </c>
      <c r="J2505" t="n">
        <v>0.09</v>
      </c>
      <c r="K2505" t="n">
        <v>1.76</v>
      </c>
      <c r="L2505" t="n">
        <v>0.4</v>
      </c>
      <c r="M2505" t="n">
        <v>1.36</v>
      </c>
      <c r="P2505" t="inlineStr">
        <is>
          <t>장현경</t>
        </is>
      </c>
      <c r="Q2505" t="inlineStr">
        <is>
          <t>고객주도체결</t>
        </is>
      </c>
      <c r="AB2505" t="inlineStr">
        <is>
          <t>엔카</t>
        </is>
      </c>
      <c r="AC2505" t="n">
        <v>190080</v>
      </c>
      <c r="AD2505" t="n">
        <v>43200</v>
      </c>
      <c r="AE2505" t="n">
        <v>146880</v>
      </c>
      <c r="AF2505" t="n">
        <v>172800</v>
      </c>
      <c r="AG2505" t="n">
        <v>41774.4</v>
      </c>
      <c r="AH2505" t="n">
        <v>131025.6</v>
      </c>
      <c r="AI2505" t="n">
        <v>0</v>
      </c>
    </row>
    <row r="2506">
      <c r="A2506" t="inlineStr">
        <is>
          <t>3월</t>
        </is>
      </c>
      <c r="B2506" t="inlineStr">
        <is>
          <t>13주차</t>
        </is>
      </c>
      <c r="C2506" t="inlineStr">
        <is>
          <t>EP</t>
        </is>
      </c>
      <c r="D2506" s="28" t="n">
        <v>46104</v>
      </c>
      <c r="E2506" t="inlineStr">
        <is>
          <t>현대EP_fast</t>
        </is>
      </c>
      <c r="F2506" t="inlineStr">
        <is>
          <t>최칭훈</t>
        </is>
      </c>
      <c r="G2506" t="inlineStr">
        <is>
          <t>010-9336-0689</t>
        </is>
      </c>
      <c r="H2506" t="inlineStr">
        <is>
          <t>92버7503</t>
        </is>
      </c>
      <c r="I2506" t="n">
        <v>7500000</v>
      </c>
      <c r="J2506" t="n">
        <v>0.119</v>
      </c>
      <c r="K2506" t="n">
        <v>1.76</v>
      </c>
      <c r="L2506" t="n">
        <v>0.4</v>
      </c>
      <c r="M2506" t="n">
        <v>1.36</v>
      </c>
      <c r="P2506" t="inlineStr">
        <is>
          <t>장진경</t>
        </is>
      </c>
      <c r="AB2506" t="inlineStr">
        <is>
          <t>엔카</t>
        </is>
      </c>
      <c r="AC2506" t="n">
        <v>132000</v>
      </c>
      <c r="AD2506" t="n">
        <v>30000</v>
      </c>
      <c r="AE2506" t="n">
        <v>102000</v>
      </c>
      <c r="AF2506" t="n">
        <v>120000</v>
      </c>
      <c r="AG2506" t="n">
        <v>29010</v>
      </c>
      <c r="AH2506" t="n">
        <v>90990</v>
      </c>
      <c r="AI2506" t="n">
        <v>0</v>
      </c>
    </row>
    <row r="2507">
      <c r="A2507" t="inlineStr">
        <is>
          <t>3월</t>
        </is>
      </c>
      <c r="B2507" t="inlineStr">
        <is>
          <t>13주차</t>
        </is>
      </c>
      <c r="C2507" t="inlineStr">
        <is>
          <t>EP</t>
        </is>
      </c>
      <c r="D2507" s="28" t="n">
        <v>46105</v>
      </c>
      <c r="E2507" t="inlineStr">
        <is>
          <t>BNKEP</t>
        </is>
      </c>
      <c r="F2507" t="inlineStr">
        <is>
          <t>진정호</t>
        </is>
      </c>
      <c r="G2507" t="inlineStr">
        <is>
          <t>010-3678-5452</t>
        </is>
      </c>
      <c r="H2507" t="inlineStr">
        <is>
          <t>67머5150</t>
        </is>
      </c>
      <c r="I2507" t="n">
        <v>10000000</v>
      </c>
      <c r="J2507" t="n">
        <v>0.055</v>
      </c>
      <c r="K2507" t="n">
        <v>1.65</v>
      </c>
      <c r="L2507" t="n">
        <v>0.14</v>
      </c>
      <c r="M2507" t="n">
        <v>1.51</v>
      </c>
      <c r="P2507" t="inlineStr">
        <is>
          <t>황채이</t>
        </is>
      </c>
      <c r="Q2507" t="inlineStr">
        <is>
          <t>홈서비스 36개월</t>
        </is>
      </c>
      <c r="AB2507" t="inlineStr">
        <is>
          <t>홈서비스</t>
        </is>
      </c>
      <c r="AC2507" t="n">
        <v>165000</v>
      </c>
      <c r="AD2507" t="n">
        <v>14000</v>
      </c>
      <c r="AE2507" t="n">
        <v>151000</v>
      </c>
      <c r="AF2507" t="n">
        <v>150000</v>
      </c>
      <c r="AG2507" t="n">
        <v>13538</v>
      </c>
      <c r="AH2507" t="n">
        <v>136462</v>
      </c>
      <c r="AI2507" t="n">
        <v>0</v>
      </c>
    </row>
    <row r="2508">
      <c r="A2508" t="inlineStr">
        <is>
          <t>3월</t>
        </is>
      </c>
      <c r="B2508" t="inlineStr">
        <is>
          <t>12주차</t>
        </is>
      </c>
      <c r="C2508" t="inlineStr">
        <is>
          <t>EP</t>
        </is>
      </c>
      <c r="D2508" s="28" t="n">
        <v>46100</v>
      </c>
      <c r="E2508" t="inlineStr">
        <is>
          <t>제이비EP</t>
        </is>
      </c>
      <c r="F2508" t="inlineStr">
        <is>
          <t>권순민</t>
        </is>
      </c>
      <c r="G2508" t="inlineStr">
        <is>
          <t>010-9435-0514</t>
        </is>
      </c>
      <c r="H2508" t="inlineStr">
        <is>
          <t>226두2105</t>
        </is>
      </c>
      <c r="I2508" t="n">
        <v>44900000</v>
      </c>
      <c r="J2508" t="n">
        <v>0.11</v>
      </c>
      <c r="K2508" t="n">
        <v>1.65</v>
      </c>
      <c r="L2508" t="n">
        <v>0.4</v>
      </c>
      <c r="M2508" t="n">
        <v>1.25</v>
      </c>
      <c r="P2508" t="inlineStr">
        <is>
          <t>최혁</t>
        </is>
      </c>
      <c r="Q2508" t="inlineStr">
        <is>
          <t>부대비용진행</t>
        </is>
      </c>
      <c r="AB2508" t="inlineStr">
        <is>
          <t>엔카</t>
        </is>
      </c>
      <c r="AC2508" t="n">
        <v>740850</v>
      </c>
      <c r="AD2508" t="n">
        <v>179600</v>
      </c>
      <c r="AE2508" t="n">
        <v>561250</v>
      </c>
      <c r="AF2508" t="n">
        <v>673500</v>
      </c>
      <c r="AG2508" t="n">
        <v>173673.2</v>
      </c>
      <c r="AH2508" t="n">
        <v>499826.8</v>
      </c>
      <c r="AI2508" t="n">
        <v>0</v>
      </c>
    </row>
    <row r="2509">
      <c r="A2509" t="inlineStr">
        <is>
          <t>3월</t>
        </is>
      </c>
      <c r="B2509" t="inlineStr">
        <is>
          <t>13주차</t>
        </is>
      </c>
      <c r="C2509" t="inlineStr">
        <is>
          <t>EP</t>
        </is>
      </c>
      <c r="D2509" s="28" t="n">
        <v>46105</v>
      </c>
      <c r="E2509" t="inlineStr">
        <is>
          <t>현대EP_fast</t>
        </is>
      </c>
      <c r="F2509" t="inlineStr">
        <is>
          <t>안나현</t>
        </is>
      </c>
      <c r="G2509" t="inlineStr">
        <is>
          <t>010-4855-2996</t>
        </is>
      </c>
      <c r="H2509" t="inlineStr">
        <is>
          <t>141거2599</t>
        </is>
      </c>
      <c r="I2509" t="n">
        <v>60000000</v>
      </c>
      <c r="J2509" t="n">
        <v>0.09</v>
      </c>
      <c r="K2509" t="n">
        <v>1.76</v>
      </c>
      <c r="L2509" t="n">
        <v>0.14</v>
      </c>
      <c r="M2509" t="n">
        <v>1.62</v>
      </c>
      <c r="P2509" t="inlineStr">
        <is>
          <t>최형주</t>
        </is>
      </c>
      <c r="Q2509" t="inlineStr">
        <is>
          <t>홈서비스 60개월</t>
        </is>
      </c>
      <c r="AB2509" t="inlineStr">
        <is>
          <t>홈서비스</t>
        </is>
      </c>
      <c r="AC2509" t="n">
        <v>1056000</v>
      </c>
      <c r="AD2509" t="n">
        <v>84000</v>
      </c>
      <c r="AE2509" t="n">
        <v>972000</v>
      </c>
      <c r="AF2509" t="n">
        <v>960000</v>
      </c>
      <c r="AG2509" t="n">
        <v>81228</v>
      </c>
      <c r="AH2509" t="n">
        <v>878772</v>
      </c>
      <c r="AI2509" t="n">
        <v>0</v>
      </c>
    </row>
    <row r="2510">
      <c r="A2510" t="inlineStr">
        <is>
          <t>3월</t>
        </is>
      </c>
      <c r="B2510" t="inlineStr">
        <is>
          <t>13주차</t>
        </is>
      </c>
      <c r="C2510" t="inlineStr">
        <is>
          <t>EP</t>
        </is>
      </c>
      <c r="D2510" s="28" t="n">
        <v>46104</v>
      </c>
      <c r="E2510" t="inlineStr">
        <is>
          <t>현대EP</t>
        </is>
      </c>
      <c r="F2510" t="inlineStr">
        <is>
          <t>정은숙</t>
        </is>
      </c>
      <c r="G2510" t="inlineStr">
        <is>
          <t>010-4523-2812</t>
        </is>
      </c>
      <c r="H2510" t="inlineStr">
        <is>
          <t>163노6103</t>
        </is>
      </c>
      <c r="I2510" t="n">
        <v>23500000</v>
      </c>
      <c r="J2510" t="n">
        <v>0.07099999999999999</v>
      </c>
      <c r="K2510" t="n">
        <v>1.76</v>
      </c>
      <c r="L2510" t="n">
        <v>0.14</v>
      </c>
      <c r="M2510" t="n">
        <v>1.62</v>
      </c>
      <c r="P2510" t="inlineStr">
        <is>
          <t>정광호</t>
        </is>
      </c>
      <c r="Q2510" t="inlineStr">
        <is>
          <t>홈서비스 60개월</t>
        </is>
      </c>
      <c r="AB2510" t="inlineStr">
        <is>
          <t>홈서비스</t>
        </is>
      </c>
      <c r="AC2510" t="n">
        <v>413600</v>
      </c>
      <c r="AD2510" t="n">
        <v>32900</v>
      </c>
      <c r="AE2510" t="n">
        <v>380700</v>
      </c>
      <c r="AF2510" t="n">
        <v>376000</v>
      </c>
      <c r="AG2510" t="n">
        <v>31814.3</v>
      </c>
      <c r="AH2510" t="n">
        <v>344185.7</v>
      </c>
      <c r="AI2510" t="n">
        <v>0</v>
      </c>
    </row>
    <row r="2511">
      <c r="A2511" t="inlineStr">
        <is>
          <t>3월</t>
        </is>
      </c>
      <c r="B2511" t="inlineStr">
        <is>
          <t>13주차</t>
        </is>
      </c>
      <c r="C2511" t="inlineStr">
        <is>
          <t>OR</t>
        </is>
      </c>
      <c r="D2511" s="28" t="n">
        <v>46105</v>
      </c>
      <c r="E2511" t="inlineStr">
        <is>
          <t>오릭스</t>
        </is>
      </c>
      <c r="F2511" t="inlineStr">
        <is>
          <t>고영태</t>
        </is>
      </c>
      <c r="G2511" t="inlineStr">
        <is>
          <t>010-9539-5922</t>
        </is>
      </c>
      <c r="H2511" t="inlineStr">
        <is>
          <t>62구0712</t>
        </is>
      </c>
      <c r="I2511" t="n">
        <v>4700000</v>
      </c>
      <c r="J2511" t="n">
        <v>0.062</v>
      </c>
      <c r="K2511" t="n">
        <v>1.21</v>
      </c>
      <c r="L2511" t="n">
        <v>0.4</v>
      </c>
      <c r="M2511" t="n">
        <v>0.8100000000000001</v>
      </c>
      <c r="P2511" t="inlineStr">
        <is>
          <t>박현민</t>
        </is>
      </c>
      <c r="AB2511" t="inlineStr">
        <is>
          <t>엔카</t>
        </is>
      </c>
      <c r="AC2511" t="n">
        <v>56870</v>
      </c>
      <c r="AD2511" t="n">
        <v>18800</v>
      </c>
      <c r="AE2511" t="n">
        <v>38070</v>
      </c>
      <c r="AF2511" t="n">
        <v>51700</v>
      </c>
      <c r="AG2511" t="n">
        <v>18179.6</v>
      </c>
      <c r="AH2511" t="n">
        <v>33520.4</v>
      </c>
      <c r="AI2511" t="n">
        <v>0</v>
      </c>
    </row>
    <row r="2512">
      <c r="A2512" t="inlineStr">
        <is>
          <t>3월</t>
        </is>
      </c>
      <c r="B2512" t="inlineStr">
        <is>
          <t>13주차</t>
        </is>
      </c>
      <c r="C2512" t="inlineStr">
        <is>
          <t>EP</t>
        </is>
      </c>
      <c r="D2512" s="28" t="n">
        <v>46105</v>
      </c>
      <c r="E2512" t="inlineStr">
        <is>
          <t>제이비EP</t>
        </is>
      </c>
      <c r="F2512" t="inlineStr">
        <is>
          <t>여가영</t>
        </is>
      </c>
      <c r="G2512" t="inlineStr">
        <is>
          <t>010-2462-1960</t>
        </is>
      </c>
      <c r="H2512" t="inlineStr">
        <is>
          <t>210고3523</t>
        </is>
      </c>
      <c r="I2512" t="n">
        <v>18100000</v>
      </c>
      <c r="J2512" t="n">
        <v>0.11</v>
      </c>
      <c r="K2512" t="n">
        <v>1.65</v>
      </c>
      <c r="L2512" t="n">
        <v>0.4</v>
      </c>
      <c r="M2512" t="n">
        <v>1.25</v>
      </c>
      <c r="P2512" t="inlineStr">
        <is>
          <t>박현민</t>
        </is>
      </c>
      <c r="Q2512" t="inlineStr">
        <is>
          <t>부대비용추가진행</t>
        </is>
      </c>
      <c r="AB2512" t="inlineStr">
        <is>
          <t>엔카</t>
        </is>
      </c>
      <c r="AC2512" t="n">
        <v>298650</v>
      </c>
      <c r="AD2512" t="n">
        <v>72400</v>
      </c>
      <c r="AE2512" t="n">
        <v>226250</v>
      </c>
      <c r="AF2512" t="n">
        <v>271500</v>
      </c>
      <c r="AG2512" t="n">
        <v>70010.8</v>
      </c>
      <c r="AH2512" t="n">
        <v>201489.2</v>
      </c>
      <c r="AI2512" t="n">
        <v>0</v>
      </c>
    </row>
    <row r="2513">
      <c r="A2513" t="inlineStr">
        <is>
          <t>3월</t>
        </is>
      </c>
      <c r="B2513" t="inlineStr">
        <is>
          <t>13주차</t>
        </is>
      </c>
      <c r="C2513" t="inlineStr">
        <is>
          <t>EP</t>
        </is>
      </c>
      <c r="D2513" s="28" t="n">
        <v>46104</v>
      </c>
      <c r="E2513" t="inlineStr">
        <is>
          <t>제이비EP</t>
        </is>
      </c>
      <c r="F2513" t="inlineStr">
        <is>
          <t>김현태</t>
        </is>
      </c>
      <c r="G2513" t="inlineStr">
        <is>
          <t>010-6471-6461</t>
        </is>
      </c>
      <c r="H2513" t="inlineStr">
        <is>
          <t>192머5057</t>
        </is>
      </c>
      <c r="I2513" t="n">
        <v>5500000</v>
      </c>
      <c r="J2513" t="n">
        <v>0.06900000000000001</v>
      </c>
      <c r="K2513" t="n">
        <v>1.65</v>
      </c>
      <c r="L2513" t="n">
        <v>0.4</v>
      </c>
      <c r="M2513" t="n">
        <v>1.25</v>
      </c>
      <c r="P2513" t="inlineStr">
        <is>
          <t>박보람</t>
        </is>
      </c>
      <c r="Q2513" t="inlineStr">
        <is>
          <t>기승인건 / 부대비용 추가진행</t>
        </is>
      </c>
      <c r="AB2513" t="inlineStr">
        <is>
          <t>엔카</t>
        </is>
      </c>
      <c r="AC2513" t="n">
        <v>90750</v>
      </c>
      <c r="AD2513" t="n">
        <v>22000</v>
      </c>
      <c r="AE2513" t="n">
        <v>68750</v>
      </c>
      <c r="AF2513" t="n">
        <v>82500</v>
      </c>
      <c r="AG2513" t="n">
        <v>21274</v>
      </c>
      <c r="AH2513" t="n">
        <v>61226</v>
      </c>
      <c r="AI2513" t="n">
        <v>0</v>
      </c>
    </row>
    <row r="2514">
      <c r="A2514" t="inlineStr">
        <is>
          <t>3월</t>
        </is>
      </c>
      <c r="B2514" t="inlineStr">
        <is>
          <t>13주차</t>
        </is>
      </c>
      <c r="C2514" t="inlineStr">
        <is>
          <t>EP</t>
        </is>
      </c>
      <c r="D2514" s="28" t="n">
        <v>46105</v>
      </c>
      <c r="E2514" t="inlineStr">
        <is>
          <t>BNKEP</t>
        </is>
      </c>
      <c r="F2514" t="inlineStr">
        <is>
          <t>곽광홍</t>
        </is>
      </c>
      <c r="G2514" t="inlineStr">
        <is>
          <t>010-4716-1624</t>
        </is>
      </c>
      <c r="H2514" t="inlineStr">
        <is>
          <t>101조8490</t>
        </is>
      </c>
      <c r="I2514" t="n">
        <v>41200000</v>
      </c>
      <c r="J2514" t="n">
        <v>0.061</v>
      </c>
      <c r="K2514" t="n">
        <v>1.65</v>
      </c>
      <c r="L2514" t="n">
        <v>0.14</v>
      </c>
      <c r="M2514" t="n">
        <v>1.51</v>
      </c>
      <c r="P2514" t="inlineStr">
        <is>
          <t>박현민</t>
        </is>
      </c>
      <c r="Q2514" t="inlineStr">
        <is>
          <t>홈서비스 36개월</t>
        </is>
      </c>
      <c r="AB2514" t="inlineStr">
        <is>
          <t>홈서비스</t>
        </is>
      </c>
      <c r="AC2514" t="n">
        <v>679800</v>
      </c>
      <c r="AD2514" t="n">
        <v>57680</v>
      </c>
      <c r="AE2514" t="n">
        <v>622120</v>
      </c>
      <c r="AF2514" t="n">
        <v>618000</v>
      </c>
      <c r="AG2514" t="n">
        <v>55776.56</v>
      </c>
      <c r="AH2514" t="n">
        <v>562223.4399999999</v>
      </c>
      <c r="AI2514" t="n">
        <v>0</v>
      </c>
    </row>
    <row r="2515">
      <c r="A2515" t="inlineStr">
        <is>
          <t>2월</t>
        </is>
      </c>
      <c r="B2515" t="inlineStr">
        <is>
          <t>9주차</t>
        </is>
      </c>
      <c r="C2515" t="inlineStr">
        <is>
          <t>EP</t>
        </is>
      </c>
      <c r="D2515" s="28" t="n">
        <v>46078</v>
      </c>
      <c r="E2515" t="inlineStr">
        <is>
          <t>현대EP_fast</t>
        </is>
      </c>
      <c r="F2515" t="inlineStr">
        <is>
          <t>김원준</t>
        </is>
      </c>
      <c r="G2515" t="inlineStr">
        <is>
          <t>010-2959-7192</t>
        </is>
      </c>
      <c r="H2515" t="inlineStr">
        <is>
          <t>40로2498</t>
        </is>
      </c>
      <c r="I2515" t="n">
        <v>32500000</v>
      </c>
      <c r="J2515" t="n">
        <v>0.089</v>
      </c>
      <c r="K2515" t="n">
        <v>1.76</v>
      </c>
      <c r="L2515" t="n">
        <v>0.14</v>
      </c>
      <c r="M2515" t="n">
        <v>1.62</v>
      </c>
      <c r="P2515" t="inlineStr">
        <is>
          <t>정세빈</t>
        </is>
      </c>
      <c r="Q2515" t="inlineStr">
        <is>
          <t>홈서비스 60개월</t>
        </is>
      </c>
      <c r="AB2515" t="inlineStr">
        <is>
          <t>홈서비스</t>
        </is>
      </c>
      <c r="AC2515" t="n">
        <v>572000</v>
      </c>
      <c r="AD2515" t="n">
        <v>45500</v>
      </c>
      <c r="AE2515" t="n">
        <v>526500</v>
      </c>
      <c r="AF2515" t="n">
        <v>520000</v>
      </c>
      <c r="AG2515" t="n">
        <v>43998.5</v>
      </c>
      <c r="AH2515" t="n">
        <v>476001.5</v>
      </c>
    </row>
    <row r="2516">
      <c r="A2516" t="inlineStr">
        <is>
          <t>2월</t>
        </is>
      </c>
      <c r="B2516" t="inlineStr">
        <is>
          <t>9주차</t>
        </is>
      </c>
      <c r="C2516" t="inlineStr">
        <is>
          <t>EP</t>
        </is>
      </c>
      <c r="D2516" s="28" t="n">
        <v>46076</v>
      </c>
      <c r="E2516" t="inlineStr">
        <is>
          <t>현대EP_fast</t>
        </is>
      </c>
      <c r="F2516" t="inlineStr">
        <is>
          <t>이남영</t>
        </is>
      </c>
      <c r="G2516" t="inlineStr">
        <is>
          <t>010-9504-0993</t>
        </is>
      </c>
      <c r="H2516" t="inlineStr">
        <is>
          <t>258오4625</t>
        </is>
      </c>
      <c r="I2516" t="n">
        <v>-48900000</v>
      </c>
      <c r="J2516" t="n">
        <v>0.094</v>
      </c>
      <c r="K2516" t="n">
        <v>1.76</v>
      </c>
      <c r="L2516" t="n">
        <v>0.14</v>
      </c>
      <c r="M2516" t="n">
        <v>1.62</v>
      </c>
      <c r="P2516" t="inlineStr">
        <is>
          <t>황채이</t>
        </is>
      </c>
      <c r="Q2516" t="inlineStr">
        <is>
          <t>홈서비스 60개월 / 금리인하 0.5% 적용건 ( 9.9 &gt; 9.4 )</t>
        </is>
      </c>
      <c r="AB2516" t="inlineStr">
        <is>
          <t>홈서비스</t>
        </is>
      </c>
      <c r="AC2516" t="n">
        <v>-860640</v>
      </c>
      <c r="AD2516" t="n">
        <v>-68460</v>
      </c>
      <c r="AE2516" t="n">
        <v>-792180</v>
      </c>
      <c r="AF2516" t="n">
        <v>-782400</v>
      </c>
      <c r="AG2516" t="n">
        <v>-66200.82000000001</v>
      </c>
      <c r="AH2516" t="n">
        <v>-716199.1800000001</v>
      </c>
      <c r="AI2516" t="n">
        <v>0</v>
      </c>
    </row>
    <row r="2517">
      <c r="A2517" t="inlineStr">
        <is>
          <t>3월</t>
        </is>
      </c>
      <c r="B2517" t="inlineStr">
        <is>
          <t>13주차</t>
        </is>
      </c>
      <c r="C2517" t="inlineStr">
        <is>
          <t>EP</t>
        </is>
      </c>
      <c r="D2517" s="28" t="n">
        <v>46105</v>
      </c>
      <c r="E2517" t="inlineStr">
        <is>
          <t>현대EP_fast</t>
        </is>
      </c>
      <c r="F2517" t="inlineStr">
        <is>
          <t>정재민</t>
        </is>
      </c>
      <c r="G2517" t="inlineStr">
        <is>
          <t>010-2716-2016</t>
        </is>
      </c>
      <c r="H2517" t="inlineStr">
        <is>
          <t>53소2568</t>
        </is>
      </c>
      <c r="I2517" t="n">
        <v>42900000</v>
      </c>
      <c r="J2517" t="n">
        <v>0.105</v>
      </c>
      <c r="K2517" t="n">
        <v>1.76</v>
      </c>
      <c r="L2517" t="n">
        <v>0.14</v>
      </c>
      <c r="M2517" t="n">
        <v>1.62</v>
      </c>
      <c r="P2517" t="inlineStr">
        <is>
          <t>정광호</t>
        </is>
      </c>
      <c r="Q2517" t="inlineStr">
        <is>
          <t>홈서비스 48개월</t>
        </is>
      </c>
      <c r="AB2517" t="inlineStr">
        <is>
          <t>홈서비스</t>
        </is>
      </c>
      <c r="AC2517" t="n">
        <v>755040</v>
      </c>
      <c r="AD2517" t="n">
        <v>60060</v>
      </c>
      <c r="AE2517" t="n">
        <v>694980</v>
      </c>
      <c r="AF2517" t="n">
        <v>686400</v>
      </c>
      <c r="AG2517" t="n">
        <v>58078.02</v>
      </c>
      <c r="AH2517" t="n">
        <v>628321.98</v>
      </c>
      <c r="AI2517" t="n">
        <v>0</v>
      </c>
    </row>
    <row r="2518">
      <c r="A2518" t="inlineStr">
        <is>
          <t>2월</t>
        </is>
      </c>
      <c r="B2518" t="inlineStr">
        <is>
          <t>8주차</t>
        </is>
      </c>
      <c r="C2518" t="inlineStr">
        <is>
          <t>EP</t>
        </is>
      </c>
      <c r="D2518" s="28" t="n">
        <v>46073</v>
      </c>
      <c r="E2518" t="inlineStr">
        <is>
          <t>현대EP_fast</t>
        </is>
      </c>
      <c r="F2518" t="inlineStr">
        <is>
          <t>배보경</t>
        </is>
      </c>
      <c r="G2518" t="inlineStr">
        <is>
          <t>010-4784-7230</t>
        </is>
      </c>
      <c r="H2518" t="inlineStr">
        <is>
          <t xml:space="preserve"> 14우6343 </t>
        </is>
      </c>
      <c r="I2518" t="n">
        <v>9900000</v>
      </c>
      <c r="J2518" t="n">
        <v>0.116</v>
      </c>
      <c r="K2518" t="n">
        <v>1.76</v>
      </c>
      <c r="L2518" t="n">
        <v>0.14</v>
      </c>
      <c r="M2518" t="n">
        <v>1.62</v>
      </c>
      <c r="P2518" t="inlineStr">
        <is>
          <t>최형주</t>
        </is>
      </c>
      <c r="Q2518" t="inlineStr">
        <is>
          <t>홈서비스 24개월</t>
        </is>
      </c>
      <c r="AB2518" t="inlineStr">
        <is>
          <t>홈서비스</t>
        </is>
      </c>
      <c r="AC2518" t="n">
        <v>174240</v>
      </c>
      <c r="AD2518" t="n">
        <v>13860</v>
      </c>
      <c r="AE2518" t="n">
        <v>160380</v>
      </c>
      <c r="AF2518" t="n">
        <v>158400</v>
      </c>
      <c r="AG2518" t="n">
        <v>13402.62</v>
      </c>
      <c r="AH2518" t="n">
        <v>144997.38</v>
      </c>
      <c r="AI2518" t="n">
        <v>0</v>
      </c>
    </row>
    <row r="2519">
      <c r="A2519" t="inlineStr">
        <is>
          <t>2월</t>
        </is>
      </c>
      <c r="B2519" t="inlineStr">
        <is>
          <t>8주차</t>
        </is>
      </c>
      <c r="C2519" t="inlineStr">
        <is>
          <t>EP</t>
        </is>
      </c>
      <c r="D2519" s="28" t="n">
        <v>46073</v>
      </c>
      <c r="E2519" t="inlineStr">
        <is>
          <t>현대EP_fast</t>
        </is>
      </c>
      <c r="F2519" t="inlineStr">
        <is>
          <t>도성수</t>
        </is>
      </c>
      <c r="G2519" t="inlineStr">
        <is>
          <t>010-6558-3030</t>
        </is>
      </c>
      <c r="H2519" t="inlineStr">
        <is>
          <t>328다4961</t>
        </is>
      </c>
      <c r="I2519" t="n">
        <v>20000000</v>
      </c>
      <c r="J2519" t="n">
        <v>0.068</v>
      </c>
      <c r="K2519" t="n">
        <v>1.76</v>
      </c>
      <c r="L2519" t="n">
        <v>0.4</v>
      </c>
      <c r="M2519" t="n">
        <v>1.36</v>
      </c>
      <c r="P2519" t="inlineStr">
        <is>
          <t>최형주</t>
        </is>
      </c>
      <c r="AB2519" t="inlineStr">
        <is>
          <t>엔카</t>
        </is>
      </c>
      <c r="AC2519" t="n">
        <v>352000</v>
      </c>
      <c r="AD2519" t="n">
        <v>80000</v>
      </c>
      <c r="AE2519" t="n">
        <v>272000</v>
      </c>
      <c r="AF2519" t="n">
        <v>320000</v>
      </c>
      <c r="AG2519" t="n">
        <v>77360</v>
      </c>
      <c r="AH2519" t="n">
        <v>242640</v>
      </c>
      <c r="AI2519" t="n">
        <v>0</v>
      </c>
    </row>
    <row r="2520">
      <c r="A2520" t="inlineStr">
        <is>
          <t>3월</t>
        </is>
      </c>
      <c r="B2520" t="inlineStr">
        <is>
          <t>13주차</t>
        </is>
      </c>
      <c r="C2520" t="inlineStr">
        <is>
          <t>EP</t>
        </is>
      </c>
      <c r="D2520" s="28" t="n">
        <v>46104</v>
      </c>
      <c r="E2520" t="inlineStr">
        <is>
          <t>현대EP</t>
        </is>
      </c>
      <c r="F2520" t="inlineStr">
        <is>
          <t>추성진</t>
        </is>
      </c>
      <c r="G2520" t="inlineStr">
        <is>
          <t>010-7435-5507</t>
        </is>
      </c>
      <c r="H2520" t="inlineStr">
        <is>
          <t>326부1051</t>
        </is>
      </c>
      <c r="I2520" t="n">
        <v>26700000</v>
      </c>
      <c r="J2520" t="n">
        <v>0.118</v>
      </c>
      <c r="K2520" t="n">
        <v>1.76</v>
      </c>
      <c r="L2520" t="n">
        <v>0.14</v>
      </c>
      <c r="M2520" t="n">
        <v>1.62</v>
      </c>
      <c r="P2520" t="inlineStr">
        <is>
          <t>박보람</t>
        </is>
      </c>
      <c r="Q2520" t="inlineStr">
        <is>
          <t>선상담 / 홈서비스 60개월</t>
        </is>
      </c>
      <c r="AB2520" t="inlineStr">
        <is>
          <t>홈서비스</t>
        </is>
      </c>
      <c r="AC2520" t="n">
        <v>469920</v>
      </c>
      <c r="AD2520" t="n">
        <v>37380</v>
      </c>
      <c r="AE2520" t="n">
        <v>432540</v>
      </c>
      <c r="AF2520" t="n">
        <v>427200</v>
      </c>
      <c r="AG2520" t="n">
        <v>36146.46</v>
      </c>
      <c r="AH2520" t="n">
        <v>391053.54</v>
      </c>
      <c r="AI2520" t="n">
        <v>0</v>
      </c>
    </row>
    <row r="2521">
      <c r="A2521" t="inlineStr">
        <is>
          <t>2월</t>
        </is>
      </c>
      <c r="B2521" t="inlineStr">
        <is>
          <t>7주차</t>
        </is>
      </c>
      <c r="C2521" t="inlineStr">
        <is>
          <t>EP</t>
        </is>
      </c>
      <c r="D2521" s="28" t="n">
        <v>46064</v>
      </c>
      <c r="E2521" t="inlineStr">
        <is>
          <t>제이비EP</t>
        </is>
      </c>
      <c r="F2521" t="inlineStr">
        <is>
          <t>강태성</t>
        </is>
      </c>
      <c r="G2521" t="inlineStr">
        <is>
          <t>010-9193-9375</t>
        </is>
      </c>
      <c r="H2521" t="inlineStr">
        <is>
          <t>39무0254</t>
        </is>
      </c>
      <c r="I2521" t="n">
        <v>8100000</v>
      </c>
      <c r="J2521" t="n">
        <v>0.08599999999999999</v>
      </c>
      <c r="K2521" t="n">
        <v>1.65</v>
      </c>
      <c r="L2521" t="n">
        <v>0.4</v>
      </c>
      <c r="M2521" t="n">
        <v>1.25</v>
      </c>
      <c r="P2521" t="inlineStr">
        <is>
          <t>정하은</t>
        </is>
      </c>
      <c r="Q2521" t="inlineStr">
        <is>
          <t>부대비용추가진행</t>
        </is>
      </c>
      <c r="AB2521" t="inlineStr">
        <is>
          <t>엔카</t>
        </is>
      </c>
      <c r="AC2521" t="n">
        <v>133650</v>
      </c>
      <c r="AD2521" t="n">
        <v>32400</v>
      </c>
      <c r="AE2521" t="n">
        <v>101250</v>
      </c>
      <c r="AF2521" t="n">
        <v>121500</v>
      </c>
      <c r="AG2521" t="n">
        <v>31330.8</v>
      </c>
      <c r="AH2521" t="n">
        <v>90169.2</v>
      </c>
      <c r="AI2521" t="n">
        <v>0</v>
      </c>
    </row>
    <row r="2522">
      <c r="A2522" t="inlineStr">
        <is>
          <t>2월</t>
        </is>
      </c>
      <c r="B2522" t="inlineStr">
        <is>
          <t>6주차</t>
        </is>
      </c>
      <c r="C2522" t="inlineStr">
        <is>
          <t>EP</t>
        </is>
      </c>
      <c r="D2522" s="28" t="n">
        <v>46055</v>
      </c>
      <c r="E2522" t="inlineStr">
        <is>
          <t>현대EP</t>
        </is>
      </c>
      <c r="F2522" t="inlineStr">
        <is>
          <t>최선우</t>
        </is>
      </c>
      <c r="G2522" t="inlineStr">
        <is>
          <t>010-8749-3995</t>
        </is>
      </c>
      <c r="H2522" t="inlineStr">
        <is>
          <t>111마7844</t>
        </is>
      </c>
      <c r="I2522" t="n">
        <v>9300000</v>
      </c>
      <c r="J2522" t="n">
        <v>0.083</v>
      </c>
      <c r="K2522" t="n">
        <v>1.76</v>
      </c>
      <c r="L2522" t="n">
        <v>0.14</v>
      </c>
      <c r="M2522" t="n">
        <v>1.62</v>
      </c>
      <c r="P2522" t="inlineStr">
        <is>
          <t>최형주</t>
        </is>
      </c>
      <c r="Q2522" t="inlineStr">
        <is>
          <t>홈서비스 48개월</t>
        </is>
      </c>
      <c r="AB2522" t="inlineStr">
        <is>
          <t>홈서비스</t>
        </is>
      </c>
      <c r="AC2522" t="n">
        <v>163680</v>
      </c>
      <c r="AD2522" t="n">
        <v>13020</v>
      </c>
      <c r="AE2522" t="n">
        <v>150660</v>
      </c>
      <c r="AF2522" t="n">
        <v>148800</v>
      </c>
      <c r="AG2522" t="n">
        <v>12590.34</v>
      </c>
      <c r="AH2522" t="n">
        <v>136209.66</v>
      </c>
      <c r="AI2522" t="n">
        <v>0</v>
      </c>
    </row>
    <row r="2523">
      <c r="A2523" t="inlineStr">
        <is>
          <t>2월</t>
        </is>
      </c>
      <c r="B2523" t="inlineStr">
        <is>
          <t>7주차</t>
        </is>
      </c>
      <c r="C2523" t="inlineStr">
        <is>
          <t>EP</t>
        </is>
      </c>
      <c r="D2523" s="28" t="n">
        <v>46062</v>
      </c>
      <c r="E2523" t="inlineStr">
        <is>
          <t>현대EP_fast</t>
        </is>
      </c>
      <c r="F2523" t="inlineStr">
        <is>
          <t>은현기</t>
        </is>
      </c>
      <c r="G2523" t="inlineStr">
        <is>
          <t>010-9690-9836</t>
        </is>
      </c>
      <c r="H2523" t="inlineStr">
        <is>
          <t>16주3339</t>
        </is>
      </c>
      <c r="I2523" t="n">
        <v>38900000</v>
      </c>
      <c r="J2523" t="n">
        <v>0.102</v>
      </c>
      <c r="K2523" t="n">
        <v>1.76</v>
      </c>
      <c r="L2523" t="n">
        <v>0.14</v>
      </c>
      <c r="M2523" t="n">
        <v>1.62</v>
      </c>
      <c r="P2523" t="inlineStr">
        <is>
          <t>정세빈</t>
        </is>
      </c>
      <c r="Q2523" t="inlineStr">
        <is>
          <t>홈서비스 48개월</t>
        </is>
      </c>
      <c r="AB2523" t="inlineStr">
        <is>
          <t>홈서비스</t>
        </is>
      </c>
      <c r="AC2523" t="n">
        <v>684640</v>
      </c>
      <c r="AD2523" t="n">
        <v>54460</v>
      </c>
      <c r="AE2523" t="n">
        <v>630180</v>
      </c>
      <c r="AF2523" t="n">
        <v>622400</v>
      </c>
      <c r="AG2523" t="n">
        <v>52662.82</v>
      </c>
      <c r="AH2523" t="n">
        <v>569737.1800000001</v>
      </c>
      <c r="AI2523" t="n">
        <v>0</v>
      </c>
    </row>
    <row r="2524">
      <c r="A2524" t="inlineStr">
        <is>
          <t>2월</t>
        </is>
      </c>
      <c r="B2524" t="inlineStr">
        <is>
          <t>8주차</t>
        </is>
      </c>
      <c r="C2524" t="inlineStr">
        <is>
          <t>EP</t>
        </is>
      </c>
      <c r="D2524" s="28" t="n">
        <v>46070</v>
      </c>
      <c r="E2524" t="inlineStr">
        <is>
          <t>현대EP</t>
        </is>
      </c>
      <c r="F2524" t="inlineStr">
        <is>
          <t>유세진</t>
        </is>
      </c>
      <c r="G2524" t="inlineStr">
        <is>
          <t>010-3004-0286</t>
        </is>
      </c>
      <c r="H2524" t="inlineStr">
        <is>
          <t>26조4704</t>
        </is>
      </c>
      <c r="I2524" t="n">
        <v>-7900000</v>
      </c>
      <c r="J2524" t="n">
        <v>0.068</v>
      </c>
      <c r="K2524" t="n">
        <v>1.76</v>
      </c>
      <c r="L2524" t="n">
        <v>0.14</v>
      </c>
      <c r="M2524" t="n">
        <v>1.62</v>
      </c>
      <c r="P2524" t="inlineStr">
        <is>
          <t>황채이</t>
        </is>
      </c>
      <c r="Q2524" t="inlineStr">
        <is>
          <t>홈서비스 60개월</t>
        </is>
      </c>
      <c r="AB2524" t="inlineStr">
        <is>
          <t>홈서비스</t>
        </is>
      </c>
      <c r="AC2524" t="n">
        <v>-139040</v>
      </c>
      <c r="AD2524" t="n">
        <v>-11060</v>
      </c>
      <c r="AE2524" t="n">
        <v>-127980</v>
      </c>
      <c r="AF2524" t="n">
        <v>-126400</v>
      </c>
      <c r="AG2524" t="n">
        <v>-10695.02</v>
      </c>
      <c r="AH2524" t="n">
        <v>-115704.98</v>
      </c>
    </row>
    <row r="2525">
      <c r="A2525" t="inlineStr">
        <is>
          <t>2월</t>
        </is>
      </c>
      <c r="B2525" t="inlineStr">
        <is>
          <t>8주차</t>
        </is>
      </c>
      <c r="C2525" t="inlineStr">
        <is>
          <t>IM</t>
        </is>
      </c>
      <c r="D2525" s="28" t="n">
        <v>46072</v>
      </c>
      <c r="E2525" t="inlineStr">
        <is>
          <t>IM캐피탈</t>
        </is>
      </c>
      <c r="F2525" t="inlineStr">
        <is>
          <t>곽재우</t>
        </is>
      </c>
      <c r="G2525" t="inlineStr">
        <is>
          <t>010-8963-4102</t>
        </is>
      </c>
      <c r="H2525" t="inlineStr">
        <is>
          <t>208머4011</t>
        </is>
      </c>
      <c r="I2525" t="n">
        <v>14500000</v>
      </c>
      <c r="J2525" t="n">
        <v>0.049</v>
      </c>
      <c r="K2525" t="n">
        <v>1.1</v>
      </c>
      <c r="L2525" t="n">
        <v>0.14</v>
      </c>
      <c r="M2525" t="n">
        <v>0.96</v>
      </c>
      <c r="P2525" t="inlineStr">
        <is>
          <t>최형주</t>
        </is>
      </c>
      <c r="Q2525" t="inlineStr">
        <is>
          <t>홈서비스 60개월</t>
        </is>
      </c>
      <c r="AB2525" t="inlineStr">
        <is>
          <t>홈서비스</t>
        </is>
      </c>
      <c r="AC2525" t="n">
        <v>159500</v>
      </c>
      <c r="AD2525" t="n">
        <v>20300</v>
      </c>
      <c r="AE2525" t="n">
        <v>139200</v>
      </c>
      <c r="AF2525" t="n">
        <v>145000</v>
      </c>
      <c r="AG2525" t="n">
        <v>19630.1</v>
      </c>
      <c r="AH2525" t="n">
        <v>125369.9</v>
      </c>
      <c r="AI2525" t="n">
        <v>0</v>
      </c>
    </row>
    <row r="2526">
      <c r="A2526" t="inlineStr">
        <is>
          <t>2월</t>
        </is>
      </c>
      <c r="B2526" t="inlineStr">
        <is>
          <t>8주차</t>
        </is>
      </c>
      <c r="C2526" t="inlineStr">
        <is>
          <t>EP</t>
        </is>
      </c>
      <c r="D2526" s="28" t="n">
        <v>46072</v>
      </c>
      <c r="E2526" t="inlineStr">
        <is>
          <t>현대EP</t>
        </is>
      </c>
      <c r="F2526" t="inlineStr">
        <is>
          <t>김동선</t>
        </is>
      </c>
      <c r="G2526" t="inlineStr">
        <is>
          <t>010-5389-6889</t>
        </is>
      </c>
      <c r="H2526" t="inlineStr">
        <is>
          <t>381주7481</t>
        </is>
      </c>
      <c r="I2526" t="n">
        <v>-30000000</v>
      </c>
      <c r="J2526" t="n">
        <v>0.068</v>
      </c>
      <c r="K2526" t="n">
        <v>1.76</v>
      </c>
      <c r="L2526" t="n">
        <v>0.14</v>
      </c>
      <c r="M2526" t="n">
        <v>1.62</v>
      </c>
      <c r="P2526" t="inlineStr">
        <is>
          <t>황채이</t>
        </is>
      </c>
      <c r="Q2526" t="inlineStr">
        <is>
          <t>홈서비스 60개월</t>
        </is>
      </c>
      <c r="AB2526" t="inlineStr">
        <is>
          <t>홈서비스</t>
        </is>
      </c>
      <c r="AC2526" t="n">
        <v>-528000</v>
      </c>
      <c r="AD2526" t="n">
        <v>-42000</v>
      </c>
      <c r="AE2526" t="n">
        <v>-486000</v>
      </c>
      <c r="AF2526" t="n">
        <v>-480000</v>
      </c>
      <c r="AG2526" t="n">
        <v>-40614</v>
      </c>
      <c r="AH2526" t="n">
        <v>-439386</v>
      </c>
    </row>
    <row r="2527">
      <c r="A2527" t="inlineStr">
        <is>
          <t>2월</t>
        </is>
      </c>
      <c r="B2527" t="inlineStr">
        <is>
          <t>8주차</t>
        </is>
      </c>
      <c r="C2527" t="inlineStr">
        <is>
          <t>EP</t>
        </is>
      </c>
      <c r="D2527" s="28" t="n">
        <v>46072</v>
      </c>
      <c r="E2527" t="inlineStr">
        <is>
          <t>현대EP</t>
        </is>
      </c>
      <c r="F2527" t="inlineStr">
        <is>
          <t>김난희</t>
        </is>
      </c>
      <c r="G2527" t="inlineStr">
        <is>
          <t>010-4752-0760</t>
        </is>
      </c>
      <c r="H2527" t="inlineStr">
        <is>
          <t>38모9725</t>
        </is>
      </c>
      <c r="I2527" t="n">
        <v>-13000000</v>
      </c>
      <c r="J2527" t="n">
        <v>0.068</v>
      </c>
      <c r="K2527" t="n">
        <v>1.76</v>
      </c>
      <c r="L2527" t="n">
        <v>0.14</v>
      </c>
      <c r="M2527" t="n">
        <v>1.62</v>
      </c>
      <c r="P2527" t="inlineStr">
        <is>
          <t>최형주</t>
        </is>
      </c>
      <c r="Q2527" t="inlineStr">
        <is>
          <t>홈서비스 60개월</t>
        </is>
      </c>
      <c r="AB2527" t="inlineStr">
        <is>
          <t>홈서비스</t>
        </is>
      </c>
      <c r="AC2527" t="n">
        <v>-228800</v>
      </c>
      <c r="AD2527" t="n">
        <v>-18200</v>
      </c>
      <c r="AE2527" t="n">
        <v>-210600</v>
      </c>
      <c r="AF2527" t="n">
        <v>-208000</v>
      </c>
      <c r="AG2527" t="n">
        <v>-17599.4</v>
      </c>
      <c r="AH2527" t="n">
        <v>-190400.6</v>
      </c>
      <c r="AI2527" t="n">
        <v>0</v>
      </c>
      <c r="AJ2527" t="inlineStr">
        <is>
          <t>개인</t>
        </is>
      </c>
    </row>
    <row r="2528">
      <c r="A2528" t="inlineStr">
        <is>
          <t>2월</t>
        </is>
      </c>
      <c r="B2528" t="inlineStr">
        <is>
          <t>6주차</t>
        </is>
      </c>
      <c r="C2528" t="inlineStr">
        <is>
          <t>EP</t>
        </is>
      </c>
      <c r="D2528" s="28" t="n">
        <v>46055</v>
      </c>
      <c r="E2528" t="inlineStr">
        <is>
          <t>현대EP_fast</t>
        </is>
      </c>
      <c r="F2528" t="inlineStr">
        <is>
          <t>김현석</t>
        </is>
      </c>
      <c r="G2528" t="inlineStr">
        <is>
          <t>010-4518-8411</t>
        </is>
      </c>
      <c r="H2528" t="inlineStr">
        <is>
          <t>275루5831</t>
        </is>
      </c>
      <c r="I2528" t="n">
        <v>-55600000</v>
      </c>
      <c r="J2528" t="n">
        <v>0.07199999999999999</v>
      </c>
      <c r="K2528" t="n">
        <v>1.76</v>
      </c>
      <c r="L2528" t="n">
        <v>0.14</v>
      </c>
      <c r="M2528" t="n">
        <v>1.62</v>
      </c>
      <c r="P2528" t="inlineStr">
        <is>
          <t>황채이</t>
        </is>
      </c>
      <c r="Q2528" t="inlineStr">
        <is>
          <t>홈서비스 60개월</t>
        </is>
      </c>
      <c r="AB2528" t="inlineStr">
        <is>
          <t>홈서비스</t>
        </is>
      </c>
      <c r="AC2528" t="n">
        <v>-978560</v>
      </c>
      <c r="AD2528" t="n">
        <v>-77840</v>
      </c>
      <c r="AE2528" t="n">
        <v>-900720</v>
      </c>
      <c r="AF2528" t="n">
        <v>-889600</v>
      </c>
      <c r="AG2528" t="n">
        <v>-75271.28</v>
      </c>
      <c r="AH2528" t="n">
        <v>-814328.72</v>
      </c>
      <c r="AI2528" t="n">
        <v>0</v>
      </c>
    </row>
    <row r="2529">
      <c r="A2529" t="inlineStr">
        <is>
          <t>2월</t>
        </is>
      </c>
      <c r="B2529" t="inlineStr">
        <is>
          <t>6주차</t>
        </is>
      </c>
      <c r="C2529" t="inlineStr">
        <is>
          <t>EP</t>
        </is>
      </c>
      <c r="D2529" s="28" t="n">
        <v>46056</v>
      </c>
      <c r="E2529" t="inlineStr">
        <is>
          <t>현대EP</t>
        </is>
      </c>
      <c r="F2529" t="inlineStr">
        <is>
          <t>엄재은</t>
        </is>
      </c>
      <c r="G2529" t="inlineStr">
        <is>
          <t>010-2842-0133</t>
        </is>
      </c>
      <c r="H2529" t="inlineStr">
        <is>
          <t>18고3214</t>
        </is>
      </c>
      <c r="I2529" t="n">
        <v>5400000</v>
      </c>
      <c r="J2529" t="n">
        <v>0.07199999999999999</v>
      </c>
      <c r="K2529" t="n">
        <v>1.76</v>
      </c>
      <c r="L2529" t="n">
        <v>0.14</v>
      </c>
      <c r="M2529" t="n">
        <v>1.62</v>
      </c>
      <c r="P2529" t="inlineStr">
        <is>
          <t>정광호</t>
        </is>
      </c>
      <c r="Q2529" t="inlineStr">
        <is>
          <t>홈서비스 60개월</t>
        </is>
      </c>
      <c r="AB2529" t="inlineStr">
        <is>
          <t>홈서비스</t>
        </is>
      </c>
      <c r="AC2529" t="n">
        <v>95040</v>
      </c>
      <c r="AD2529" t="n">
        <v>7560</v>
      </c>
      <c r="AE2529" t="n">
        <v>87480</v>
      </c>
      <c r="AF2529" t="n">
        <v>86400</v>
      </c>
      <c r="AG2529" t="n">
        <v>7310.52</v>
      </c>
      <c r="AH2529" t="n">
        <v>79089.48</v>
      </c>
      <c r="AI2529" t="n">
        <v>0</v>
      </c>
    </row>
    <row r="2530">
      <c r="A2530" t="inlineStr">
        <is>
          <t>4월</t>
        </is>
      </c>
      <c r="B2530" t="inlineStr">
        <is>
          <t>17주차</t>
        </is>
      </c>
      <c r="C2530" t="inlineStr">
        <is>
          <t>IM</t>
        </is>
      </c>
      <c r="D2530" s="28" t="n">
        <v>46136</v>
      </c>
      <c r="E2530" t="inlineStr">
        <is>
          <t>IM캐피탈</t>
        </is>
      </c>
      <c r="F2530" t="inlineStr">
        <is>
          <t>김명재</t>
        </is>
      </c>
      <c r="G2530" t="inlineStr">
        <is>
          <t>010-9904-0052</t>
        </is>
      </c>
      <c r="H2530" t="inlineStr">
        <is>
          <t>287머5394</t>
        </is>
      </c>
      <c r="I2530" t="n">
        <v>-15000000</v>
      </c>
      <c r="J2530" t="n">
        <v>0.039</v>
      </c>
      <c r="K2530" t="n">
        <v>1.1</v>
      </c>
      <c r="L2530" t="n">
        <v>0.4</v>
      </c>
      <c r="M2530" t="n">
        <v>0.7</v>
      </c>
      <c r="P2530" t="inlineStr">
        <is>
          <t>장현경</t>
        </is>
      </c>
      <c r="AB2530" t="inlineStr">
        <is>
          <t>엔카</t>
        </is>
      </c>
      <c r="AC2530" t="n">
        <v>-165000</v>
      </c>
      <c r="AD2530" t="n">
        <v>-60000</v>
      </c>
      <c r="AE2530" t="n">
        <v>-105000</v>
      </c>
      <c r="AF2530" t="n">
        <v>-150000</v>
      </c>
      <c r="AG2530" t="n">
        <v>-58020</v>
      </c>
      <c r="AH2530" t="n">
        <v>-91980</v>
      </c>
      <c r="AI2530" t="n">
        <v>0</v>
      </c>
    </row>
    <row r="2531">
      <c r="A2531" t="inlineStr">
        <is>
          <t>2월</t>
        </is>
      </c>
      <c r="B2531" t="inlineStr">
        <is>
          <t>7주차</t>
        </is>
      </c>
      <c r="C2531" t="inlineStr">
        <is>
          <t>EP</t>
        </is>
      </c>
      <c r="D2531" s="28" t="n">
        <v>46062</v>
      </c>
      <c r="E2531" t="inlineStr">
        <is>
          <t>현대EP_fast</t>
        </is>
      </c>
      <c r="F2531" t="inlineStr">
        <is>
          <t>임정원</t>
        </is>
      </c>
      <c r="G2531" t="inlineStr">
        <is>
          <t>010-2110-1115</t>
        </is>
      </c>
      <c r="H2531" t="inlineStr">
        <is>
          <t>05라0900</t>
        </is>
      </c>
      <c r="I2531" t="n">
        <v>6600000</v>
      </c>
      <c r="J2531" t="n">
        <v>0.137</v>
      </c>
      <c r="K2531" t="n">
        <v>1.76</v>
      </c>
      <c r="L2531" t="n">
        <v>0.14</v>
      </c>
      <c r="M2531" t="n">
        <v>1.62</v>
      </c>
      <c r="P2531" t="inlineStr">
        <is>
          <t>정세빈</t>
        </is>
      </c>
      <c r="Q2531" t="inlineStr">
        <is>
          <t>홈서비스 48개월</t>
        </is>
      </c>
      <c r="AB2531" t="inlineStr">
        <is>
          <t>홈서비스</t>
        </is>
      </c>
      <c r="AC2531" t="n">
        <v>116160</v>
      </c>
      <c r="AD2531" t="n">
        <v>9240</v>
      </c>
      <c r="AE2531" t="n">
        <v>106920</v>
      </c>
      <c r="AF2531" t="n">
        <v>105600</v>
      </c>
      <c r="AG2531" t="n">
        <v>8935.08</v>
      </c>
      <c r="AH2531" t="n">
        <v>96664.92</v>
      </c>
      <c r="AI2531" t="n">
        <v>0</v>
      </c>
    </row>
    <row r="2532">
      <c r="A2532" t="inlineStr">
        <is>
          <t>4월</t>
        </is>
      </c>
      <c r="B2532" t="inlineStr">
        <is>
          <t>17주차</t>
        </is>
      </c>
      <c r="C2532" t="inlineStr">
        <is>
          <t>IM</t>
        </is>
      </c>
      <c r="D2532" s="28" t="n">
        <v>46136</v>
      </c>
      <c r="E2532" t="inlineStr">
        <is>
          <t>IM캐피탈</t>
        </is>
      </c>
      <c r="F2532" t="inlineStr">
        <is>
          <t>김현삼</t>
        </is>
      </c>
      <c r="G2532" t="inlineStr">
        <is>
          <t>010-6899-2621</t>
        </is>
      </c>
      <c r="H2532" t="inlineStr">
        <is>
          <t>106모3937</t>
        </is>
      </c>
      <c r="I2532" t="n">
        <v>-16900000</v>
      </c>
      <c r="J2532" t="n">
        <v>0.059</v>
      </c>
      <c r="K2532" t="n">
        <v>1.1</v>
      </c>
      <c r="L2532" t="n">
        <v>0.07000000000000001</v>
      </c>
      <c r="M2532" t="n">
        <v>1.03</v>
      </c>
      <c r="P2532" t="inlineStr">
        <is>
          <t>장현경</t>
        </is>
      </c>
      <c r="Q2532" t="inlineStr">
        <is>
          <t>선상담 / 홈서비스 60개월</t>
        </is>
      </c>
      <c r="AB2532" t="inlineStr">
        <is>
          <t>홈서비스</t>
        </is>
      </c>
      <c r="AC2532" t="n">
        <v>-185900</v>
      </c>
      <c r="AD2532" t="n">
        <v>-11830</v>
      </c>
      <c r="AE2532" t="n">
        <v>-174070</v>
      </c>
      <c r="AF2532" t="n">
        <v>-169000</v>
      </c>
      <c r="AG2532" t="n">
        <v>-11439.61</v>
      </c>
      <c r="AH2532" t="n">
        <v>-157560.39</v>
      </c>
      <c r="AI2532" t="n">
        <v>0</v>
      </c>
    </row>
    <row r="2533">
      <c r="A2533" t="inlineStr">
        <is>
          <t>2월</t>
        </is>
      </c>
      <c r="B2533" t="inlineStr">
        <is>
          <t>6주차</t>
        </is>
      </c>
      <c r="C2533" t="inlineStr">
        <is>
          <t>OR</t>
        </is>
      </c>
      <c r="D2533" s="28" t="n">
        <v>46055</v>
      </c>
      <c r="E2533" t="inlineStr">
        <is>
          <t>오릭스</t>
        </is>
      </c>
      <c r="F2533" t="inlineStr">
        <is>
          <t>최일호</t>
        </is>
      </c>
      <c r="G2533" t="inlineStr">
        <is>
          <t>010-4651-9927</t>
        </is>
      </c>
      <c r="H2533" t="inlineStr">
        <is>
          <t>838다4744</t>
        </is>
      </c>
      <c r="I2533" t="n">
        <v>18900000</v>
      </c>
      <c r="J2533" t="n">
        <v>0.063</v>
      </c>
      <c r="K2533" t="n">
        <v>1.65</v>
      </c>
      <c r="L2533" t="n">
        <v>0.4</v>
      </c>
      <c r="M2533" t="n">
        <v>1.25</v>
      </c>
      <c r="P2533" t="inlineStr">
        <is>
          <t>박소현</t>
        </is>
      </c>
      <c r="Q2533" t="inlineStr">
        <is>
          <t>부대비용추가진행</t>
        </is>
      </c>
      <c r="AB2533" t="inlineStr">
        <is>
          <t>엔카</t>
        </is>
      </c>
      <c r="AC2533" t="n">
        <v>311850</v>
      </c>
      <c r="AD2533" t="n">
        <v>75600</v>
      </c>
      <c r="AE2533" t="n">
        <v>236250</v>
      </c>
      <c r="AF2533" t="n">
        <v>283500</v>
      </c>
      <c r="AG2533" t="n">
        <v>73105.2</v>
      </c>
      <c r="AH2533" t="n">
        <v>210394.8</v>
      </c>
      <c r="AI2533" t="n">
        <v>0</v>
      </c>
    </row>
    <row r="2534">
      <c r="A2534" t="inlineStr">
        <is>
          <t>2월</t>
        </is>
      </c>
      <c r="B2534" t="inlineStr">
        <is>
          <t>7주차</t>
        </is>
      </c>
      <c r="C2534" t="inlineStr">
        <is>
          <t>EP</t>
        </is>
      </c>
      <c r="D2534" s="28" t="n">
        <v>46062</v>
      </c>
      <c r="E2534" t="inlineStr">
        <is>
          <t>현대EP</t>
        </is>
      </c>
      <c r="F2534" t="inlineStr">
        <is>
          <t>이현진</t>
        </is>
      </c>
      <c r="G2534" t="inlineStr">
        <is>
          <t>010-6249-3387</t>
        </is>
      </c>
      <c r="H2534" t="inlineStr">
        <is>
          <t>68다7075</t>
        </is>
      </c>
      <c r="I2534" t="n">
        <v>29900000</v>
      </c>
      <c r="J2534" t="n">
        <v>0.075</v>
      </c>
      <c r="K2534" t="n">
        <v>1.76</v>
      </c>
      <c r="L2534" t="n">
        <v>0.14</v>
      </c>
      <c r="M2534" t="n">
        <v>1.62</v>
      </c>
      <c r="P2534" t="inlineStr">
        <is>
          <t>정광호</t>
        </is>
      </c>
      <c r="Q2534" t="inlineStr">
        <is>
          <t>홈서비스 60개월</t>
        </is>
      </c>
      <c r="AB2534" t="inlineStr">
        <is>
          <t>홈서비스</t>
        </is>
      </c>
      <c r="AC2534" t="n">
        <v>526240</v>
      </c>
      <c r="AD2534" t="n">
        <v>41860</v>
      </c>
      <c r="AE2534" t="n">
        <v>484380</v>
      </c>
      <c r="AF2534" t="n">
        <v>478400</v>
      </c>
      <c r="AG2534" t="n">
        <v>40478.62</v>
      </c>
      <c r="AH2534" t="n">
        <v>437921.38</v>
      </c>
      <c r="AI2534" t="n">
        <v>0</v>
      </c>
    </row>
    <row r="2535">
      <c r="A2535" t="inlineStr">
        <is>
          <t>2월</t>
        </is>
      </c>
      <c r="B2535" t="inlineStr">
        <is>
          <t>8주차</t>
        </is>
      </c>
      <c r="C2535" t="inlineStr">
        <is>
          <t>EP</t>
        </is>
      </c>
      <c r="D2535" s="28" t="n">
        <v>46072</v>
      </c>
      <c r="E2535" t="inlineStr">
        <is>
          <t>현대EP_fast</t>
        </is>
      </c>
      <c r="F2535" t="inlineStr">
        <is>
          <t>안윤결</t>
        </is>
      </c>
      <c r="G2535" t="inlineStr">
        <is>
          <t>010-9098-5856</t>
        </is>
      </c>
      <c r="H2535" t="inlineStr">
        <is>
          <t>112어5674</t>
        </is>
      </c>
      <c r="I2535" t="n">
        <v>-29500000</v>
      </c>
      <c r="J2535" t="n">
        <v>0.076</v>
      </c>
      <c r="K2535" t="n">
        <v>1.21</v>
      </c>
      <c r="L2535" t="n">
        <v>0.14</v>
      </c>
      <c r="M2535" t="n">
        <v>1.07</v>
      </c>
      <c r="P2535" t="inlineStr">
        <is>
          <t>황채이</t>
        </is>
      </c>
      <c r="Q2535" t="inlineStr">
        <is>
          <t>홈서비스 48개월</t>
        </is>
      </c>
      <c r="AB2535" t="inlineStr">
        <is>
          <t>홈서비스</t>
        </is>
      </c>
      <c r="AC2535" t="n">
        <v>-356950</v>
      </c>
      <c r="AD2535" t="n">
        <v>-41300</v>
      </c>
      <c r="AE2535" t="n">
        <v>-315650</v>
      </c>
      <c r="AF2535" t="n">
        <v>-324500</v>
      </c>
      <c r="AG2535" t="n">
        <v>-39937.1</v>
      </c>
      <c r="AH2535" t="n">
        <v>-284562.9</v>
      </c>
      <c r="AI2535" t="n">
        <v>0</v>
      </c>
    </row>
    <row r="2536">
      <c r="A2536" t="inlineStr">
        <is>
          <t>2월</t>
        </is>
      </c>
      <c r="B2536" t="inlineStr">
        <is>
          <t>9주차</t>
        </is>
      </c>
      <c r="C2536" t="inlineStr">
        <is>
          <t>EP</t>
        </is>
      </c>
      <c r="D2536" s="28" t="n">
        <v>46077</v>
      </c>
      <c r="E2536" t="inlineStr">
        <is>
          <t>현대EP_fast</t>
        </is>
      </c>
      <c r="F2536" t="inlineStr">
        <is>
          <t>최지윤</t>
        </is>
      </c>
      <c r="G2536" t="inlineStr">
        <is>
          <t>010-8112-4851</t>
        </is>
      </c>
      <c r="H2536" t="inlineStr">
        <is>
          <t>399노9909</t>
        </is>
      </c>
      <c r="I2536" t="n">
        <v>33800000</v>
      </c>
      <c r="J2536" t="n">
        <v>0.102</v>
      </c>
      <c r="K2536" t="n">
        <v>1.21</v>
      </c>
      <c r="L2536" t="n">
        <v>0.14</v>
      </c>
      <c r="M2536" t="n">
        <v>1.07</v>
      </c>
      <c r="P2536" t="inlineStr">
        <is>
          <t>최형주</t>
        </is>
      </c>
      <c r="Q2536" t="inlineStr">
        <is>
          <t>홈서비스 60개월</t>
        </is>
      </c>
      <c r="AB2536" t="inlineStr">
        <is>
          <t>홈서비스</t>
        </is>
      </c>
      <c r="AC2536" t="n">
        <v>408980</v>
      </c>
      <c r="AD2536" t="n">
        <v>47320</v>
      </c>
      <c r="AE2536" t="n">
        <v>361660</v>
      </c>
      <c r="AF2536" t="n">
        <v>371800</v>
      </c>
      <c r="AG2536" t="n">
        <v>45758.44</v>
      </c>
      <c r="AH2536" t="n">
        <v>326041.56</v>
      </c>
      <c r="AI2536" t="n">
        <v>0</v>
      </c>
    </row>
    <row r="2537">
      <c r="A2537" t="inlineStr">
        <is>
          <t>2월</t>
        </is>
      </c>
      <c r="B2537" t="inlineStr">
        <is>
          <t>7주차</t>
        </is>
      </c>
      <c r="C2537" t="inlineStr">
        <is>
          <t>EP</t>
        </is>
      </c>
      <c r="D2537" s="28" t="n">
        <v>46064</v>
      </c>
      <c r="E2537" t="inlineStr">
        <is>
          <t>현대EP_fast</t>
        </is>
      </c>
      <c r="F2537" t="inlineStr">
        <is>
          <t>이석용</t>
        </is>
      </c>
      <c r="G2537" t="inlineStr">
        <is>
          <t>010-7430-6773</t>
        </is>
      </c>
      <c r="H2537" t="inlineStr">
        <is>
          <t>28서4477</t>
        </is>
      </c>
      <c r="I2537" t="n">
        <v>3200000</v>
      </c>
      <c r="J2537" t="n">
        <v>0.102</v>
      </c>
      <c r="K2537" t="n">
        <v>1.76</v>
      </c>
      <c r="L2537" t="n">
        <v>0.14</v>
      </c>
      <c r="M2537" t="n">
        <v>1.62</v>
      </c>
      <c r="P2537" t="inlineStr">
        <is>
          <t>김나윤</t>
        </is>
      </c>
      <c r="Q2537" t="inlineStr">
        <is>
          <t>홈서비스 60개월</t>
        </is>
      </c>
      <c r="AB2537" t="inlineStr">
        <is>
          <t>홈서비스</t>
        </is>
      </c>
      <c r="AC2537" t="n">
        <v>56320</v>
      </c>
      <c r="AD2537" t="n">
        <v>4480</v>
      </c>
      <c r="AE2537" t="n">
        <v>51840</v>
      </c>
      <c r="AF2537" t="n">
        <v>51200</v>
      </c>
      <c r="AG2537" t="n">
        <v>4332.16</v>
      </c>
      <c r="AH2537" t="n">
        <v>46867.84</v>
      </c>
      <c r="AI2537" t="n">
        <v>0</v>
      </c>
    </row>
    <row r="2538">
      <c r="A2538" t="inlineStr">
        <is>
          <t>2월</t>
        </is>
      </c>
      <c r="B2538" t="inlineStr">
        <is>
          <t>7주차</t>
        </is>
      </c>
      <c r="C2538" t="inlineStr">
        <is>
          <t>EP</t>
        </is>
      </c>
      <c r="D2538" s="28" t="n">
        <v>46062</v>
      </c>
      <c r="E2538" t="inlineStr">
        <is>
          <t>현대EP_fast</t>
        </is>
      </c>
      <c r="F2538" t="inlineStr">
        <is>
          <t>임유리</t>
        </is>
      </c>
      <c r="G2538" t="n">
        <v>1062983611</v>
      </c>
      <c r="H2538" t="inlineStr">
        <is>
          <t>220모2841</t>
        </is>
      </c>
      <c r="I2538" t="n">
        <v>14200000</v>
      </c>
      <c r="J2538" t="n">
        <v>0.093</v>
      </c>
      <c r="K2538" t="n">
        <v>1.21</v>
      </c>
      <c r="L2538" t="n">
        <v>0.14</v>
      </c>
      <c r="M2538" t="n">
        <v>1.07</v>
      </c>
      <c r="P2538" t="inlineStr">
        <is>
          <t>김나윤</t>
        </is>
      </c>
      <c r="Q2538" t="inlineStr">
        <is>
          <t>홈서비스 60개월</t>
        </is>
      </c>
      <c r="AB2538" t="inlineStr">
        <is>
          <t>홈서비스</t>
        </is>
      </c>
      <c r="AC2538" t="n">
        <v>171820</v>
      </c>
      <c r="AD2538" t="n">
        <v>19880</v>
      </c>
      <c r="AE2538" t="n">
        <v>151940</v>
      </c>
      <c r="AF2538" t="n">
        <v>156200</v>
      </c>
      <c r="AG2538" t="n">
        <v>19223.96</v>
      </c>
      <c r="AH2538" t="n">
        <v>136976.04</v>
      </c>
      <c r="AI2538" t="n">
        <v>0</v>
      </c>
    </row>
    <row r="2539">
      <c r="A2539" t="inlineStr">
        <is>
          <t>2월</t>
        </is>
      </c>
      <c r="B2539" t="inlineStr">
        <is>
          <t>7주차</t>
        </is>
      </c>
      <c r="C2539" t="inlineStr">
        <is>
          <t>EP</t>
        </is>
      </c>
      <c r="D2539" s="28" t="n">
        <v>46062</v>
      </c>
      <c r="E2539" t="inlineStr">
        <is>
          <t>현대EP_fast</t>
        </is>
      </c>
      <c r="F2539" t="inlineStr">
        <is>
          <t>강민서</t>
        </is>
      </c>
      <c r="G2539" t="inlineStr">
        <is>
          <t>010-5166-5005</t>
        </is>
      </c>
      <c r="H2539" t="inlineStr">
        <is>
          <t>114고8915</t>
        </is>
      </c>
      <c r="I2539" t="n">
        <v>19600000</v>
      </c>
      <c r="J2539" t="n">
        <v>0.093</v>
      </c>
      <c r="K2539" t="n">
        <v>1.76</v>
      </c>
      <c r="L2539" t="n">
        <v>0.14</v>
      </c>
      <c r="M2539" t="n">
        <v>1.62</v>
      </c>
      <c r="P2539" t="inlineStr">
        <is>
          <t>박소현</t>
        </is>
      </c>
      <c r="Q2539" t="inlineStr">
        <is>
          <t>선상담 /홈서비스 60개월</t>
        </is>
      </c>
      <c r="AB2539" t="inlineStr">
        <is>
          <t>홈서비스</t>
        </is>
      </c>
      <c r="AC2539" t="n">
        <v>344960</v>
      </c>
      <c r="AD2539" t="n">
        <v>27440</v>
      </c>
      <c r="AE2539" t="n">
        <v>317520</v>
      </c>
      <c r="AF2539" t="n">
        <v>313600</v>
      </c>
      <c r="AG2539" t="n">
        <v>26534.48</v>
      </c>
      <c r="AH2539" t="n">
        <v>287065.52</v>
      </c>
      <c r="AI2539" t="n">
        <v>0</v>
      </c>
    </row>
    <row r="2540">
      <c r="A2540" t="inlineStr">
        <is>
          <t>2월</t>
        </is>
      </c>
      <c r="B2540" t="inlineStr">
        <is>
          <t>6주차</t>
        </is>
      </c>
      <c r="C2540" t="inlineStr">
        <is>
          <t>EP</t>
        </is>
      </c>
      <c r="D2540" s="28" t="n">
        <v>46058</v>
      </c>
      <c r="E2540" t="inlineStr">
        <is>
          <t>현대EP_fast</t>
        </is>
      </c>
      <c r="F2540" t="inlineStr">
        <is>
          <t>강성구</t>
        </is>
      </c>
      <c r="G2540" t="inlineStr">
        <is>
          <t>010-5304-2518</t>
        </is>
      </c>
      <c r="H2540" t="inlineStr">
        <is>
          <t>274러1954</t>
        </is>
      </c>
      <c r="I2540" t="n">
        <v>17500000</v>
      </c>
      <c r="J2540" t="n">
        <v>0.08699999999999999</v>
      </c>
      <c r="K2540" t="n">
        <v>1.76</v>
      </c>
      <c r="L2540" t="n">
        <v>0.14</v>
      </c>
      <c r="M2540" t="n">
        <v>1.62</v>
      </c>
      <c r="P2540" t="inlineStr">
        <is>
          <t>김수연</t>
        </is>
      </c>
      <c r="Q2540" t="inlineStr">
        <is>
          <t>홈서비스 60개월</t>
        </is>
      </c>
      <c r="AB2540" t="inlineStr">
        <is>
          <t>홈서비스</t>
        </is>
      </c>
      <c r="AC2540" t="n">
        <v>308000</v>
      </c>
      <c r="AD2540" t="n">
        <v>24500</v>
      </c>
      <c r="AE2540" t="n">
        <v>283500</v>
      </c>
      <c r="AF2540" t="n">
        <v>280000</v>
      </c>
      <c r="AG2540" t="n">
        <v>23691.5</v>
      </c>
      <c r="AH2540" t="n">
        <v>256308.5</v>
      </c>
    </row>
    <row r="2541">
      <c r="A2541" t="inlineStr">
        <is>
          <t>2월</t>
        </is>
      </c>
      <c r="B2541" t="inlineStr">
        <is>
          <t>8주차</t>
        </is>
      </c>
      <c r="C2541" t="inlineStr">
        <is>
          <t>EP</t>
        </is>
      </c>
      <c r="D2541" s="28" t="n">
        <v>46072</v>
      </c>
      <c r="E2541" t="inlineStr">
        <is>
          <t>현대EP</t>
        </is>
      </c>
      <c r="F2541" t="inlineStr">
        <is>
          <t>이상용</t>
        </is>
      </c>
      <c r="G2541" t="inlineStr">
        <is>
          <t>010-3295-9462</t>
        </is>
      </c>
      <c r="H2541" t="inlineStr">
        <is>
          <t>145모2467</t>
        </is>
      </c>
      <c r="I2541" t="n">
        <v>-34500000</v>
      </c>
      <c r="J2541" t="n">
        <v>0.099</v>
      </c>
      <c r="K2541" t="n">
        <v>1.21</v>
      </c>
      <c r="L2541" t="n">
        <v>0.14</v>
      </c>
      <c r="M2541" t="n">
        <v>1.07</v>
      </c>
      <c r="P2541" t="inlineStr">
        <is>
          <t>황채이</t>
        </is>
      </c>
      <c r="Q2541" t="inlineStr">
        <is>
          <t>홈서비스 60개월</t>
        </is>
      </c>
      <c r="AB2541" t="inlineStr">
        <is>
          <t>홈서비스</t>
        </is>
      </c>
      <c r="AC2541" t="n">
        <v>-417450</v>
      </c>
      <c r="AD2541" t="n">
        <v>-48300</v>
      </c>
      <c r="AE2541" t="n">
        <v>-369150</v>
      </c>
      <c r="AF2541" t="n">
        <v>-379500</v>
      </c>
      <c r="AG2541" t="n">
        <v>-46706.1</v>
      </c>
      <c r="AH2541" t="n">
        <v>-332793.9</v>
      </c>
      <c r="AI2541" t="n">
        <v>0</v>
      </c>
    </row>
    <row r="2542">
      <c r="A2542" t="inlineStr">
        <is>
          <t>2월</t>
        </is>
      </c>
      <c r="B2542" t="inlineStr">
        <is>
          <t>7주차</t>
        </is>
      </c>
      <c r="C2542" t="inlineStr">
        <is>
          <t>EP</t>
        </is>
      </c>
      <c r="D2542" s="28" t="n">
        <v>46064</v>
      </c>
      <c r="E2542" t="inlineStr">
        <is>
          <t>현대EP_fast</t>
        </is>
      </c>
      <c r="F2542" t="inlineStr">
        <is>
          <t>윤승환</t>
        </is>
      </c>
      <c r="G2542" t="inlineStr">
        <is>
          <t>010-9680-4715</t>
        </is>
      </c>
      <c r="H2542" t="inlineStr">
        <is>
          <t>07로6361</t>
        </is>
      </c>
      <c r="I2542" t="n">
        <v>15900000</v>
      </c>
      <c r="J2542" t="n">
        <v>0.102</v>
      </c>
      <c r="K2542" t="n">
        <v>1.76</v>
      </c>
      <c r="L2542" t="n">
        <v>0.14</v>
      </c>
      <c r="M2542" t="n">
        <v>1.62</v>
      </c>
      <c r="P2542" t="inlineStr">
        <is>
          <t>장진경</t>
        </is>
      </c>
      <c r="Q2542" t="inlineStr">
        <is>
          <t>선상담 / 홈서비스 60개월</t>
        </is>
      </c>
      <c r="AB2542" t="inlineStr">
        <is>
          <t>홈서비스</t>
        </is>
      </c>
      <c r="AC2542" t="n">
        <v>279840</v>
      </c>
      <c r="AD2542" t="n">
        <v>22260</v>
      </c>
      <c r="AE2542" t="n">
        <v>257580</v>
      </c>
      <c r="AF2542" t="n">
        <v>254400</v>
      </c>
      <c r="AG2542" t="n">
        <v>21525.42</v>
      </c>
      <c r="AH2542" t="n">
        <v>232874.58</v>
      </c>
      <c r="AI2542" t="n">
        <v>0</v>
      </c>
    </row>
    <row r="2543">
      <c r="A2543" t="inlineStr">
        <is>
          <t>2월</t>
        </is>
      </c>
      <c r="B2543" t="inlineStr">
        <is>
          <t>8주차</t>
        </is>
      </c>
      <c r="C2543" t="inlineStr">
        <is>
          <t>EP</t>
        </is>
      </c>
      <c r="D2543" s="28" t="n">
        <v>46072</v>
      </c>
      <c r="E2543" t="inlineStr">
        <is>
          <t>현대EP_fast</t>
        </is>
      </c>
      <c r="F2543" t="inlineStr">
        <is>
          <t>문현식</t>
        </is>
      </c>
      <c r="G2543" t="inlineStr">
        <is>
          <t>010-3213-9305</t>
        </is>
      </c>
      <c r="H2543" t="inlineStr">
        <is>
          <t>202도3132</t>
        </is>
      </c>
      <c r="I2543" t="n">
        <v>15300000</v>
      </c>
      <c r="J2543" t="n">
        <v>0.094</v>
      </c>
      <c r="K2543" t="n">
        <v>1.76</v>
      </c>
      <c r="L2543" t="n">
        <v>0.14</v>
      </c>
      <c r="M2543" t="n">
        <v>1.62</v>
      </c>
      <c r="P2543" t="inlineStr">
        <is>
          <t>장현경</t>
        </is>
      </c>
      <c r="Q2543" t="inlineStr">
        <is>
          <t>선상담 홈서비스 60개월 / 금리인하 0.5% 적용건 ( 9.9 &gt; 9.4)</t>
        </is>
      </c>
      <c r="AB2543" t="inlineStr">
        <is>
          <t>홈서비스</t>
        </is>
      </c>
      <c r="AC2543" t="n">
        <v>269280</v>
      </c>
      <c r="AD2543" t="n">
        <v>21420</v>
      </c>
      <c r="AE2543" t="n">
        <v>247860</v>
      </c>
      <c r="AF2543" t="n">
        <v>244800</v>
      </c>
      <c r="AG2543" t="n">
        <v>20713.14</v>
      </c>
      <c r="AH2543" t="n">
        <v>224086.86</v>
      </c>
    </row>
    <row r="2544">
      <c r="A2544" t="inlineStr">
        <is>
          <t>2월</t>
        </is>
      </c>
      <c r="B2544" t="inlineStr">
        <is>
          <t>6주차</t>
        </is>
      </c>
      <c r="C2544" t="inlineStr">
        <is>
          <t>OR</t>
        </is>
      </c>
      <c r="D2544" s="28" t="n">
        <v>46058</v>
      </c>
      <c r="E2544" t="inlineStr">
        <is>
          <t>오릭스</t>
        </is>
      </c>
      <c r="F2544" t="inlineStr">
        <is>
          <t>사승훈</t>
        </is>
      </c>
      <c r="G2544" t="n">
        <v>1090744885</v>
      </c>
      <c r="H2544" t="inlineStr">
        <is>
          <t>344소4036</t>
        </is>
      </c>
      <c r="I2544" t="n">
        <v>21600000</v>
      </c>
      <c r="J2544" t="n">
        <v>0.064</v>
      </c>
      <c r="K2544" t="n">
        <v>1.65</v>
      </c>
      <c r="L2544" t="n">
        <v>0.14</v>
      </c>
      <c r="M2544" t="n">
        <v>1.51</v>
      </c>
      <c r="P2544" t="inlineStr">
        <is>
          <t>김나윤</t>
        </is>
      </c>
      <c r="Q2544" t="inlineStr">
        <is>
          <t>홈서비스 60개월</t>
        </is>
      </c>
      <c r="AB2544" t="inlineStr">
        <is>
          <t>홈서비스</t>
        </is>
      </c>
      <c r="AC2544" t="n">
        <v>356400</v>
      </c>
      <c r="AD2544" t="n">
        <v>30240</v>
      </c>
      <c r="AE2544" t="n">
        <v>326160</v>
      </c>
      <c r="AF2544" t="n">
        <v>324000</v>
      </c>
      <c r="AG2544" t="n">
        <v>29242.08</v>
      </c>
      <c r="AH2544" t="n">
        <v>294757.92</v>
      </c>
      <c r="AI2544" t="n">
        <v>0</v>
      </c>
    </row>
    <row r="2545">
      <c r="A2545" t="inlineStr">
        <is>
          <t>2월</t>
        </is>
      </c>
      <c r="B2545" t="inlineStr">
        <is>
          <t>8주차</t>
        </is>
      </c>
      <c r="C2545" t="inlineStr">
        <is>
          <t>IM</t>
        </is>
      </c>
      <c r="D2545" s="28" t="n">
        <v>46072</v>
      </c>
      <c r="E2545" t="inlineStr">
        <is>
          <t>IM캐피탈</t>
        </is>
      </c>
      <c r="F2545" t="inlineStr">
        <is>
          <t>강성만</t>
        </is>
      </c>
      <c r="G2545" t="inlineStr">
        <is>
          <t>010-6222-1115</t>
        </is>
      </c>
      <c r="H2545" t="inlineStr">
        <is>
          <t>283소7047</t>
        </is>
      </c>
      <c r="I2545" t="n">
        <v>20000000</v>
      </c>
      <c r="J2545" t="n">
        <v>0.039</v>
      </c>
      <c r="K2545" t="n">
        <v>1.21</v>
      </c>
      <c r="L2545" t="n">
        <v>0.4</v>
      </c>
      <c r="M2545" t="n">
        <v>0.8100000000000001</v>
      </c>
      <c r="P2545" t="inlineStr">
        <is>
          <t>장진경</t>
        </is>
      </c>
      <c r="AB2545" t="inlineStr">
        <is>
          <t>엔카</t>
        </is>
      </c>
      <c r="AC2545" t="n">
        <v>242000</v>
      </c>
      <c r="AD2545" t="n">
        <v>80000</v>
      </c>
      <c r="AE2545" t="n">
        <v>162000</v>
      </c>
      <c r="AF2545" t="n">
        <v>220000</v>
      </c>
      <c r="AG2545" t="n">
        <v>77360</v>
      </c>
      <c r="AH2545" t="n">
        <v>142640</v>
      </c>
      <c r="AI2545" t="n">
        <v>0</v>
      </c>
    </row>
    <row r="2546">
      <c r="A2546" t="inlineStr">
        <is>
          <t>3월</t>
        </is>
      </c>
      <c r="B2546" t="inlineStr">
        <is>
          <t>13주차</t>
        </is>
      </c>
      <c r="C2546" t="inlineStr">
        <is>
          <t>EP</t>
        </is>
      </c>
      <c r="D2546" s="28" t="n">
        <v>46105</v>
      </c>
      <c r="E2546" t="inlineStr">
        <is>
          <t>BNKEP</t>
        </is>
      </c>
      <c r="F2546" t="inlineStr">
        <is>
          <t>차병창</t>
        </is>
      </c>
      <c r="G2546" t="inlineStr">
        <is>
          <t>010-4480-0609</t>
        </is>
      </c>
      <c r="H2546" t="inlineStr">
        <is>
          <t>135마9164</t>
        </is>
      </c>
      <c r="I2546" t="n">
        <v>9200000</v>
      </c>
      <c r="J2546" t="n">
        <v>0.067</v>
      </c>
      <c r="K2546" t="n">
        <v>1.65</v>
      </c>
      <c r="L2546" t="n">
        <v>0.14</v>
      </c>
      <c r="M2546" t="n">
        <v>1.51</v>
      </c>
      <c r="P2546" t="inlineStr">
        <is>
          <t>황채이</t>
        </is>
      </c>
      <c r="Q2546" t="inlineStr">
        <is>
          <t>홈서비스 60개월</t>
        </is>
      </c>
      <c r="AB2546" t="inlineStr">
        <is>
          <t>홈서비스</t>
        </is>
      </c>
      <c r="AC2546" t="n">
        <v>151800</v>
      </c>
      <c r="AD2546" t="n">
        <v>12880</v>
      </c>
      <c r="AE2546" t="n">
        <v>138920</v>
      </c>
      <c r="AF2546" t="n">
        <v>138000</v>
      </c>
      <c r="AG2546" t="n">
        <v>12454.96</v>
      </c>
      <c r="AH2546" t="n">
        <v>125545.04</v>
      </c>
      <c r="AI2546" t="n">
        <v>0</v>
      </c>
    </row>
    <row r="2547">
      <c r="A2547" t="inlineStr">
        <is>
          <t>3월</t>
        </is>
      </c>
      <c r="B2547" t="inlineStr">
        <is>
          <t>13주차</t>
        </is>
      </c>
      <c r="C2547" t="inlineStr">
        <is>
          <t>EP</t>
        </is>
      </c>
      <c r="D2547" s="28" t="n">
        <v>46104</v>
      </c>
      <c r="E2547" t="inlineStr">
        <is>
          <t>BNKEP</t>
        </is>
      </c>
      <c r="F2547" t="inlineStr">
        <is>
          <t>도진호</t>
        </is>
      </c>
      <c r="G2547" t="inlineStr">
        <is>
          <t>010-9292-9076</t>
        </is>
      </c>
      <c r="H2547" t="inlineStr">
        <is>
          <t>372마1595</t>
        </is>
      </c>
      <c r="I2547" t="n">
        <v>-6700000</v>
      </c>
      <c r="J2547" t="n">
        <v>0.063</v>
      </c>
      <c r="K2547" t="n">
        <v>1.65</v>
      </c>
      <c r="L2547" t="n">
        <v>0.14</v>
      </c>
      <c r="M2547" t="n">
        <v>1.51</v>
      </c>
      <c r="P2547" t="inlineStr">
        <is>
          <t>정세빈</t>
        </is>
      </c>
      <c r="Q2547" t="inlineStr">
        <is>
          <t>홈서비스 24개월</t>
        </is>
      </c>
      <c r="AB2547" t="inlineStr">
        <is>
          <t>홈서비스</t>
        </is>
      </c>
      <c r="AC2547" t="n">
        <v>-110550</v>
      </c>
      <c r="AD2547" t="n">
        <v>-9380</v>
      </c>
      <c r="AE2547" t="n">
        <v>-101170</v>
      </c>
      <c r="AF2547" t="n">
        <v>-100500</v>
      </c>
      <c r="AG2547" t="n">
        <v>-9070.459999999999</v>
      </c>
      <c r="AH2547" t="n">
        <v>-91429.53999999999</v>
      </c>
      <c r="AI2547" t="n">
        <v>0</v>
      </c>
    </row>
    <row r="2548">
      <c r="A2548" t="inlineStr">
        <is>
          <t>2월</t>
        </is>
      </c>
      <c r="B2548" t="inlineStr">
        <is>
          <t>6주차</t>
        </is>
      </c>
      <c r="C2548" t="inlineStr">
        <is>
          <t>WC</t>
        </is>
      </c>
      <c r="D2548" s="28" t="n">
        <v>46055</v>
      </c>
      <c r="E2548" t="inlineStr">
        <is>
          <t>웰컴저축은행</t>
        </is>
      </c>
      <c r="F2548" t="inlineStr">
        <is>
          <t>박도현</t>
        </is>
      </c>
      <c r="G2548" t="inlineStr">
        <is>
          <t>010-7763-3986</t>
        </is>
      </c>
      <c r="H2548" t="inlineStr">
        <is>
          <t>370수3194</t>
        </is>
      </c>
      <c r="I2548" t="n">
        <v>23000000</v>
      </c>
      <c r="J2548" t="n">
        <v>0.139</v>
      </c>
      <c r="K2548" t="n">
        <v>1.21</v>
      </c>
      <c r="L2548" t="n">
        <v>0.14</v>
      </c>
      <c r="M2548" t="n">
        <v>1.07</v>
      </c>
      <c r="P2548" t="inlineStr">
        <is>
          <t>정세빈</t>
        </is>
      </c>
      <c r="Q2548" t="inlineStr">
        <is>
          <t>홈서비스 72개월</t>
        </is>
      </c>
      <c r="AB2548" t="inlineStr">
        <is>
          <t>홈서비스</t>
        </is>
      </c>
      <c r="AC2548" t="n">
        <v>278300</v>
      </c>
      <c r="AD2548" t="n">
        <v>32200</v>
      </c>
      <c r="AE2548" t="n">
        <v>246100</v>
      </c>
      <c r="AF2548" t="n">
        <v>253000</v>
      </c>
      <c r="AG2548" t="n">
        <v>31137.4</v>
      </c>
      <c r="AH2548" t="n">
        <v>221862.6</v>
      </c>
      <c r="AI2548" t="n">
        <v>0</v>
      </c>
    </row>
    <row r="2549">
      <c r="A2549" t="inlineStr">
        <is>
          <t>2월</t>
        </is>
      </c>
      <c r="B2549" t="inlineStr">
        <is>
          <t>6주차</t>
        </is>
      </c>
      <c r="C2549" t="inlineStr">
        <is>
          <t>EP</t>
        </is>
      </c>
      <c r="D2549" s="28" t="n">
        <v>46057</v>
      </c>
      <c r="E2549" t="inlineStr">
        <is>
          <t>현대EP</t>
        </is>
      </c>
      <c r="F2549" t="inlineStr">
        <is>
          <t>이애향</t>
        </is>
      </c>
      <c r="G2549" t="inlineStr">
        <is>
          <t>010-6368-4712</t>
        </is>
      </c>
      <c r="H2549" t="inlineStr">
        <is>
          <t>116도8113</t>
        </is>
      </c>
      <c r="I2549" t="n">
        <v>50000000</v>
      </c>
      <c r="J2549" t="n">
        <v>0.067</v>
      </c>
      <c r="K2549" t="n">
        <v>1.76</v>
      </c>
      <c r="L2549" t="n">
        <v>0.14</v>
      </c>
      <c r="M2549" t="n">
        <v>1.62</v>
      </c>
      <c r="P2549" t="inlineStr">
        <is>
          <t>정광호</t>
        </is>
      </c>
      <c r="Q2549" t="inlineStr">
        <is>
          <t>홈서비스 48개월</t>
        </is>
      </c>
      <c r="AB2549" t="inlineStr">
        <is>
          <t>홈서비스</t>
        </is>
      </c>
      <c r="AC2549" t="n">
        <v>880000</v>
      </c>
      <c r="AD2549" t="n">
        <v>70000</v>
      </c>
      <c r="AE2549" t="n">
        <v>810000</v>
      </c>
      <c r="AF2549" t="n">
        <v>800000</v>
      </c>
      <c r="AG2549" t="n">
        <v>67690</v>
      </c>
      <c r="AH2549" t="n">
        <v>732310</v>
      </c>
    </row>
    <row r="2550">
      <c r="A2550" t="inlineStr">
        <is>
          <t>2월</t>
        </is>
      </c>
      <c r="B2550" t="inlineStr">
        <is>
          <t>6주차</t>
        </is>
      </c>
      <c r="C2550" t="inlineStr">
        <is>
          <t>EP</t>
        </is>
      </c>
      <c r="D2550" s="28" t="n">
        <v>46056</v>
      </c>
      <c r="E2550" t="inlineStr">
        <is>
          <t>현대EP</t>
        </is>
      </c>
      <c r="F2550" t="inlineStr">
        <is>
          <t>김혁</t>
        </is>
      </c>
      <c r="G2550" t="inlineStr">
        <is>
          <t>010-2270-8280</t>
        </is>
      </c>
      <c r="H2550" t="inlineStr">
        <is>
          <t>72나3842</t>
        </is>
      </c>
      <c r="I2550" t="n">
        <v>5300000</v>
      </c>
      <c r="J2550" t="n">
        <v>0.081</v>
      </c>
      <c r="K2550" t="n">
        <v>1.76</v>
      </c>
      <c r="L2550" t="n">
        <v>0.14</v>
      </c>
      <c r="M2550" t="n">
        <v>1.62</v>
      </c>
      <c r="P2550" t="inlineStr">
        <is>
          <t>정광호</t>
        </is>
      </c>
      <c r="Q2550" t="inlineStr">
        <is>
          <t>홈서비스 60개월</t>
        </is>
      </c>
      <c r="AB2550" t="inlineStr">
        <is>
          <t>홈서비스</t>
        </is>
      </c>
      <c r="AC2550" t="n">
        <v>93280</v>
      </c>
      <c r="AD2550" t="n">
        <v>7420</v>
      </c>
      <c r="AE2550" t="n">
        <v>85860</v>
      </c>
      <c r="AF2550" t="n">
        <v>84800</v>
      </c>
      <c r="AG2550" t="n">
        <v>7175.14</v>
      </c>
      <c r="AH2550" t="n">
        <v>77624.86</v>
      </c>
    </row>
    <row r="2551">
      <c r="A2551" t="inlineStr">
        <is>
          <t>2월</t>
        </is>
      </c>
      <c r="B2551" t="inlineStr">
        <is>
          <t>6주차</t>
        </is>
      </c>
      <c r="C2551" t="inlineStr">
        <is>
          <t>EP</t>
        </is>
      </c>
      <c r="D2551" s="28" t="n">
        <v>46055</v>
      </c>
      <c r="E2551" t="inlineStr">
        <is>
          <t>현대EP_fast</t>
        </is>
      </c>
      <c r="F2551" t="inlineStr">
        <is>
          <t>이건희</t>
        </is>
      </c>
      <c r="G2551" t="inlineStr">
        <is>
          <t>010-7778-7276</t>
        </is>
      </c>
      <c r="H2551" t="inlineStr">
        <is>
          <t>157서1102</t>
        </is>
      </c>
      <c r="I2551" t="n">
        <v>-18900000</v>
      </c>
      <c r="J2551" t="n">
        <v>0.097</v>
      </c>
      <c r="K2551" t="n">
        <v>1.76</v>
      </c>
      <c r="L2551" t="n">
        <v>0.14</v>
      </c>
      <c r="M2551" t="n">
        <v>1.62</v>
      </c>
      <c r="P2551" t="inlineStr">
        <is>
          <t>황채이</t>
        </is>
      </c>
      <c r="Q2551" t="inlineStr">
        <is>
          <t>홈서비스 60개월</t>
        </is>
      </c>
      <c r="AB2551" t="inlineStr">
        <is>
          <t>홈서비스</t>
        </is>
      </c>
      <c r="AC2551" t="n">
        <v>-332640</v>
      </c>
      <c r="AD2551" t="n">
        <v>-26460</v>
      </c>
      <c r="AE2551" t="n">
        <v>-306180</v>
      </c>
      <c r="AF2551" t="n">
        <v>-302400</v>
      </c>
      <c r="AG2551" t="n">
        <v>-25586.82</v>
      </c>
      <c r="AH2551" t="n">
        <v>-276813.18</v>
      </c>
    </row>
    <row r="2552">
      <c r="A2552" t="inlineStr">
        <is>
          <t>2월</t>
        </is>
      </c>
      <c r="B2552" t="inlineStr">
        <is>
          <t>6주차</t>
        </is>
      </c>
      <c r="C2552" t="inlineStr">
        <is>
          <t>IM</t>
        </is>
      </c>
      <c r="D2552" s="28" t="n">
        <v>46057</v>
      </c>
      <c r="E2552" t="inlineStr">
        <is>
          <t>IM캐피탈</t>
        </is>
      </c>
      <c r="F2552" t="inlineStr">
        <is>
          <t>이서경</t>
        </is>
      </c>
      <c r="G2552" t="inlineStr">
        <is>
          <t>010-8488-4539</t>
        </is>
      </c>
      <c r="H2552" t="inlineStr">
        <is>
          <t>161보8389</t>
        </is>
      </c>
      <c r="I2552" t="n">
        <v>16000000</v>
      </c>
      <c r="J2552" t="n">
        <v>0.049</v>
      </c>
      <c r="K2552" t="n">
        <v>1.1</v>
      </c>
      <c r="L2552" t="n">
        <v>0.4</v>
      </c>
      <c r="M2552" t="n">
        <v>0.7</v>
      </c>
      <c r="P2552" t="inlineStr">
        <is>
          <t>장진경</t>
        </is>
      </c>
      <c r="AB2552" t="inlineStr">
        <is>
          <t>엔카</t>
        </is>
      </c>
      <c r="AC2552" t="n">
        <v>176000</v>
      </c>
      <c r="AD2552" t="n">
        <v>64000</v>
      </c>
      <c r="AE2552" t="n">
        <v>112000</v>
      </c>
      <c r="AF2552" t="n">
        <v>160000</v>
      </c>
      <c r="AG2552" t="n">
        <v>61888</v>
      </c>
      <c r="AH2552" t="n">
        <v>98112</v>
      </c>
    </row>
    <row r="2553">
      <c r="A2553" t="inlineStr">
        <is>
          <t>2월</t>
        </is>
      </c>
      <c r="B2553" t="inlineStr">
        <is>
          <t>6주차</t>
        </is>
      </c>
      <c r="C2553" t="inlineStr">
        <is>
          <t>EP</t>
        </is>
      </c>
      <c r="D2553" s="28" t="n">
        <v>46057</v>
      </c>
      <c r="E2553" t="inlineStr">
        <is>
          <t>현대EP</t>
        </is>
      </c>
      <c r="F2553" t="inlineStr">
        <is>
          <t>이성호</t>
        </is>
      </c>
      <c r="G2553" t="inlineStr">
        <is>
          <t>010-7921-1611</t>
        </is>
      </c>
      <c r="H2553" t="inlineStr">
        <is>
          <t>219부7691</t>
        </is>
      </c>
      <c r="I2553" t="n">
        <v>20000000</v>
      </c>
      <c r="J2553" t="n">
        <v>0.141</v>
      </c>
      <c r="K2553" t="n">
        <v>1.76</v>
      </c>
      <c r="L2553" t="n">
        <v>0.14</v>
      </c>
      <c r="M2553" t="n">
        <v>1.62</v>
      </c>
      <c r="P2553" t="inlineStr">
        <is>
          <t>최형주</t>
        </is>
      </c>
      <c r="Q2553" t="inlineStr">
        <is>
          <t>홈서비스 24개월</t>
        </is>
      </c>
      <c r="AB2553" t="inlineStr">
        <is>
          <t>홈서비스</t>
        </is>
      </c>
      <c r="AC2553" t="n">
        <v>352000</v>
      </c>
      <c r="AD2553" t="n">
        <v>28000</v>
      </c>
      <c r="AE2553" t="n">
        <v>324000</v>
      </c>
      <c r="AF2553" t="n">
        <v>320000</v>
      </c>
      <c r="AG2553" t="n">
        <v>27076</v>
      </c>
      <c r="AH2553" t="n">
        <v>292924</v>
      </c>
    </row>
    <row r="2554">
      <c r="A2554" t="inlineStr">
        <is>
          <t>2월</t>
        </is>
      </c>
      <c r="B2554" t="inlineStr">
        <is>
          <t>6주차</t>
        </is>
      </c>
      <c r="C2554" t="inlineStr">
        <is>
          <t>EP</t>
        </is>
      </c>
      <c r="D2554" s="28" t="n">
        <v>46057</v>
      </c>
      <c r="E2554" t="inlineStr">
        <is>
          <t>현대EP_fast</t>
        </is>
      </c>
      <c r="F2554" t="inlineStr">
        <is>
          <t>이명호</t>
        </is>
      </c>
      <c r="G2554" t="inlineStr">
        <is>
          <t>010-4323-7551</t>
        </is>
      </c>
      <c r="H2554" t="inlineStr">
        <is>
          <t>352수3176</t>
        </is>
      </c>
      <c r="I2554" t="n">
        <v>-8900000</v>
      </c>
      <c r="J2554" t="n">
        <v>0.073</v>
      </c>
      <c r="K2554" t="n">
        <v>1.76</v>
      </c>
      <c r="L2554" t="n">
        <v>0.14</v>
      </c>
      <c r="M2554" t="n">
        <v>1.62</v>
      </c>
      <c r="P2554" t="inlineStr">
        <is>
          <t>황채이</t>
        </is>
      </c>
      <c r="Q2554" t="inlineStr">
        <is>
          <t xml:space="preserve">홈서비스 60개월 </t>
        </is>
      </c>
      <c r="AB2554" t="inlineStr">
        <is>
          <t>홈서비스</t>
        </is>
      </c>
      <c r="AC2554" t="n">
        <v>-156640</v>
      </c>
      <c r="AD2554" t="n">
        <v>-12460</v>
      </c>
      <c r="AE2554" t="n">
        <v>-144180</v>
      </c>
      <c r="AF2554" t="n">
        <v>-142400</v>
      </c>
      <c r="AG2554" t="n">
        <v>-12048.82</v>
      </c>
      <c r="AH2554" t="n">
        <v>-130351.18</v>
      </c>
      <c r="AI2554" t="n">
        <v>0</v>
      </c>
    </row>
    <row r="2555">
      <c r="A2555" t="inlineStr">
        <is>
          <t>2월</t>
        </is>
      </c>
      <c r="B2555" t="inlineStr">
        <is>
          <t>6주차</t>
        </is>
      </c>
      <c r="C2555" t="inlineStr">
        <is>
          <t>EP</t>
        </is>
      </c>
      <c r="D2555" s="28" t="n">
        <v>46057</v>
      </c>
      <c r="E2555" t="inlineStr">
        <is>
          <t>현대EP_fast</t>
        </is>
      </c>
      <c r="F2555" t="inlineStr">
        <is>
          <t>이국연</t>
        </is>
      </c>
      <c r="G2555" t="inlineStr">
        <is>
          <t>010-3026-3496</t>
        </is>
      </c>
      <c r="H2555" t="inlineStr">
        <is>
          <t>27모9199</t>
        </is>
      </c>
      <c r="I2555" t="n">
        <v>-8200000</v>
      </c>
      <c r="J2555" t="n">
        <v>0.136</v>
      </c>
      <c r="K2555" t="n">
        <v>1.76</v>
      </c>
      <c r="L2555" t="n">
        <v>0.14</v>
      </c>
      <c r="M2555" t="n">
        <v>1.62</v>
      </c>
      <c r="P2555" t="inlineStr">
        <is>
          <t>황채이</t>
        </is>
      </c>
      <c r="Q2555" t="inlineStr">
        <is>
          <t>홈서비스 48개월 / 금리인하 0.5% 적용건 (14.1 -&gt; 13.6)</t>
        </is>
      </c>
      <c r="AB2555" t="inlineStr">
        <is>
          <t>홈서비스</t>
        </is>
      </c>
      <c r="AC2555" t="n">
        <v>-144320</v>
      </c>
      <c r="AD2555" t="n">
        <v>-11480</v>
      </c>
      <c r="AE2555" t="n">
        <v>-132840</v>
      </c>
      <c r="AF2555" t="n">
        <v>-131200</v>
      </c>
      <c r="AG2555" t="n">
        <v>-11101.16</v>
      </c>
      <c r="AH2555" t="n">
        <v>-120098.84</v>
      </c>
      <c r="AI2555" t="n">
        <v>0</v>
      </c>
    </row>
    <row r="2556">
      <c r="A2556" t="inlineStr">
        <is>
          <t>2월</t>
        </is>
      </c>
      <c r="B2556" t="inlineStr">
        <is>
          <t>6주차</t>
        </is>
      </c>
      <c r="C2556" t="inlineStr">
        <is>
          <t>EP</t>
        </is>
      </c>
      <c r="D2556" s="28" t="n">
        <v>46058</v>
      </c>
      <c r="E2556" t="inlineStr">
        <is>
          <t>현대EP_fast</t>
        </is>
      </c>
      <c r="F2556" t="inlineStr">
        <is>
          <t>우나영</t>
        </is>
      </c>
      <c r="G2556" t="inlineStr">
        <is>
          <t>010-8570-5260</t>
        </is>
      </c>
      <c r="H2556" t="inlineStr">
        <is>
          <t>383거1526</t>
        </is>
      </c>
      <c r="I2556" t="n">
        <v>21000000</v>
      </c>
      <c r="J2556" t="n">
        <v>0.115</v>
      </c>
      <c r="K2556" t="n">
        <v>1.76</v>
      </c>
      <c r="L2556" t="n">
        <v>0.14</v>
      </c>
      <c r="M2556" t="n">
        <v>1.62</v>
      </c>
      <c r="P2556" t="inlineStr">
        <is>
          <t>김수연</t>
        </is>
      </c>
      <c r="Q2556" t="inlineStr">
        <is>
          <t>홈서비스 36개월</t>
        </is>
      </c>
      <c r="AB2556" t="inlineStr">
        <is>
          <t>홈서비스</t>
        </is>
      </c>
      <c r="AC2556" t="n">
        <v>369600</v>
      </c>
      <c r="AD2556" t="n">
        <v>29400</v>
      </c>
      <c r="AE2556" t="n">
        <v>340200</v>
      </c>
      <c r="AF2556" t="n">
        <v>336000</v>
      </c>
      <c r="AG2556" t="n">
        <v>28429.8</v>
      </c>
      <c r="AH2556" t="n">
        <v>307570.2</v>
      </c>
      <c r="AI2556" t="n">
        <v>0</v>
      </c>
    </row>
    <row r="2557">
      <c r="A2557" t="inlineStr">
        <is>
          <t>2월</t>
        </is>
      </c>
      <c r="B2557" t="inlineStr">
        <is>
          <t>6주차</t>
        </is>
      </c>
      <c r="C2557" t="inlineStr">
        <is>
          <t>IM</t>
        </is>
      </c>
      <c r="D2557" s="28" t="n">
        <v>46056</v>
      </c>
      <c r="E2557" t="inlineStr">
        <is>
          <t>IM캐피탈</t>
        </is>
      </c>
      <c r="F2557" t="inlineStr">
        <is>
          <t>안지은</t>
        </is>
      </c>
      <c r="G2557" t="inlineStr">
        <is>
          <t>010-3409-0327</t>
        </is>
      </c>
      <c r="H2557" t="inlineStr">
        <is>
          <t>363무3717</t>
        </is>
      </c>
      <c r="I2557" t="n">
        <v>-22200000</v>
      </c>
      <c r="J2557" t="n">
        <v>0.049</v>
      </c>
      <c r="K2557" t="n">
        <v>1.1</v>
      </c>
      <c r="L2557" t="n">
        <v>0.14</v>
      </c>
      <c r="M2557" t="n">
        <v>0.96</v>
      </c>
      <c r="P2557" t="inlineStr">
        <is>
          <t>최형주</t>
        </is>
      </c>
      <c r="Q2557" t="inlineStr">
        <is>
          <t>홈서비스 60개월/*철회 20260210</t>
        </is>
      </c>
      <c r="AB2557" t="inlineStr">
        <is>
          <t>홈서비스</t>
        </is>
      </c>
      <c r="AC2557" t="n">
        <v>-244200</v>
      </c>
      <c r="AD2557" t="n">
        <v>-31080</v>
      </c>
      <c r="AE2557" t="n">
        <v>-213120</v>
      </c>
      <c r="AF2557" t="n">
        <v>-222000</v>
      </c>
      <c r="AG2557" t="n">
        <v>-30054.36</v>
      </c>
      <c r="AH2557" t="n">
        <v>-191945.64</v>
      </c>
      <c r="AI2557" t="n">
        <v>0</v>
      </c>
      <c r="AK2557" t="inlineStr">
        <is>
          <t>대출철회</t>
        </is>
      </c>
    </row>
    <row r="2558">
      <c r="A2558" t="inlineStr">
        <is>
          <t>2월</t>
        </is>
      </c>
      <c r="B2558" t="inlineStr">
        <is>
          <t>7주차</t>
        </is>
      </c>
      <c r="C2558" t="inlineStr">
        <is>
          <t>EP</t>
        </is>
      </c>
      <c r="D2558" s="28" t="n">
        <v>46064</v>
      </c>
      <c r="E2558" t="inlineStr">
        <is>
          <t>현대EP_fast</t>
        </is>
      </c>
      <c r="F2558" t="inlineStr">
        <is>
          <t>이윤희</t>
        </is>
      </c>
      <c r="G2558" t="inlineStr">
        <is>
          <t>010-2510-4862</t>
        </is>
      </c>
      <c r="H2558" t="inlineStr">
        <is>
          <t>19주7570</t>
        </is>
      </c>
      <c r="I2558" t="n">
        <v>-18900000</v>
      </c>
      <c r="J2558" t="n">
        <v>0.073</v>
      </c>
      <c r="K2558" t="n">
        <v>1.76</v>
      </c>
      <c r="L2558" t="n">
        <v>0.14</v>
      </c>
      <c r="M2558" t="n">
        <v>1.62</v>
      </c>
      <c r="P2558" t="inlineStr">
        <is>
          <t>황채이</t>
        </is>
      </c>
      <c r="Q2558" t="inlineStr">
        <is>
          <t>홈서비스 36개월</t>
        </is>
      </c>
      <c r="AB2558" t="inlineStr">
        <is>
          <t>홈서비스</t>
        </is>
      </c>
      <c r="AC2558" t="n">
        <v>-332640</v>
      </c>
      <c r="AD2558" t="n">
        <v>-26460</v>
      </c>
      <c r="AE2558" t="n">
        <v>-306180</v>
      </c>
      <c r="AF2558" t="n">
        <v>-302400</v>
      </c>
      <c r="AG2558" t="n">
        <v>-25586.82</v>
      </c>
      <c r="AH2558" t="n">
        <v>-276813.18</v>
      </c>
      <c r="AI2558" t="n">
        <v>0</v>
      </c>
    </row>
    <row r="2559">
      <c r="A2559" t="inlineStr">
        <is>
          <t>2월</t>
        </is>
      </c>
      <c r="B2559" t="inlineStr">
        <is>
          <t>8주차</t>
        </is>
      </c>
      <c r="C2559" t="inlineStr">
        <is>
          <t>EP</t>
        </is>
      </c>
      <c r="D2559" s="28" t="n">
        <v>46073</v>
      </c>
      <c r="E2559" t="inlineStr">
        <is>
          <t>현대EP_fast</t>
        </is>
      </c>
      <c r="F2559" t="inlineStr">
        <is>
          <t>김이영</t>
        </is>
      </c>
      <c r="G2559" t="inlineStr">
        <is>
          <t>010-8539-8363</t>
        </is>
      </c>
      <c r="H2559" t="inlineStr">
        <is>
          <t>26노3729</t>
        </is>
      </c>
      <c r="I2559" t="n">
        <v>13800000</v>
      </c>
      <c r="J2559" t="n">
        <v>0.099</v>
      </c>
      <c r="K2559" t="n">
        <v>1.76</v>
      </c>
      <c r="L2559" t="n">
        <v>0.14</v>
      </c>
      <c r="M2559" t="n">
        <v>1.62</v>
      </c>
      <c r="P2559" t="inlineStr">
        <is>
          <t>정세빈</t>
        </is>
      </c>
      <c r="Q2559" t="inlineStr">
        <is>
          <t>홈서비스 48개월</t>
        </is>
      </c>
      <c r="AB2559" t="inlineStr">
        <is>
          <t>홈서비스</t>
        </is>
      </c>
      <c r="AC2559" t="n">
        <v>242880</v>
      </c>
      <c r="AD2559" t="n">
        <v>19320</v>
      </c>
      <c r="AE2559" t="n">
        <v>223560</v>
      </c>
      <c r="AF2559" t="n">
        <v>220800</v>
      </c>
      <c r="AG2559" t="n">
        <v>18682.44</v>
      </c>
      <c r="AH2559" t="n">
        <v>202117.56</v>
      </c>
    </row>
    <row r="2560">
      <c r="A2560" t="inlineStr">
        <is>
          <t>2월</t>
        </is>
      </c>
      <c r="B2560" t="inlineStr">
        <is>
          <t>7주차</t>
        </is>
      </c>
      <c r="C2560" t="inlineStr">
        <is>
          <t>EP</t>
        </is>
      </c>
      <c r="D2560" s="28" t="n">
        <v>46065</v>
      </c>
      <c r="E2560" t="inlineStr">
        <is>
          <t>현대EP_fast</t>
        </is>
      </c>
      <c r="F2560" t="inlineStr">
        <is>
          <t>신현우</t>
        </is>
      </c>
      <c r="G2560" t="inlineStr">
        <is>
          <t>010-7702-2965</t>
        </is>
      </c>
      <c r="H2560" t="inlineStr">
        <is>
          <t>140두8821</t>
        </is>
      </c>
      <c r="I2560" t="n">
        <v>23500000</v>
      </c>
      <c r="J2560" t="n">
        <v>0.089</v>
      </c>
      <c r="K2560" t="n">
        <v>1.21</v>
      </c>
      <c r="L2560" t="n">
        <v>0.14</v>
      </c>
      <c r="M2560" t="n">
        <v>1.07</v>
      </c>
      <c r="P2560" t="inlineStr">
        <is>
          <t>정세빈</t>
        </is>
      </c>
      <c r="Q2560" t="inlineStr">
        <is>
          <t>홈서비스 60개월</t>
        </is>
      </c>
      <c r="AB2560" t="inlineStr">
        <is>
          <t>홈서비스</t>
        </is>
      </c>
      <c r="AC2560" t="n">
        <v>284350</v>
      </c>
      <c r="AD2560" t="n">
        <v>32900</v>
      </c>
      <c r="AE2560" t="n">
        <v>251450</v>
      </c>
      <c r="AF2560" t="n">
        <v>258500</v>
      </c>
      <c r="AG2560" t="n">
        <v>31814.3</v>
      </c>
      <c r="AH2560" t="n">
        <v>226685.7</v>
      </c>
    </row>
    <row r="2561">
      <c r="A2561" t="inlineStr">
        <is>
          <t>3월</t>
        </is>
      </c>
      <c r="B2561" t="inlineStr">
        <is>
          <t>13주차</t>
        </is>
      </c>
      <c r="C2561" t="inlineStr">
        <is>
          <t>EP</t>
        </is>
      </c>
      <c r="D2561" s="28" t="n">
        <v>46104</v>
      </c>
      <c r="E2561" t="inlineStr">
        <is>
          <t>BNKEP</t>
        </is>
      </c>
      <c r="F2561" t="inlineStr">
        <is>
          <t>김현웅</t>
        </is>
      </c>
      <c r="G2561" t="inlineStr">
        <is>
          <t>010-5583-9922</t>
        </is>
      </c>
      <c r="H2561" t="inlineStr">
        <is>
          <t>365조1088</t>
        </is>
      </c>
      <c r="I2561" t="n">
        <v>19500000</v>
      </c>
      <c r="J2561" t="n">
        <v>0.07099999999999999</v>
      </c>
      <c r="K2561" t="n">
        <v>1.65</v>
      </c>
      <c r="L2561" t="n">
        <v>0.14</v>
      </c>
      <c r="M2561" t="n">
        <v>1.51</v>
      </c>
      <c r="P2561" t="inlineStr">
        <is>
          <t>김나윤</t>
        </is>
      </c>
      <c r="Q2561" t="inlineStr">
        <is>
          <t>홈서비스 60개월</t>
        </is>
      </c>
      <c r="AB2561" t="inlineStr">
        <is>
          <t>홈서비스</t>
        </is>
      </c>
      <c r="AC2561" t="n">
        <v>321750</v>
      </c>
      <c r="AD2561" t="n">
        <v>27300</v>
      </c>
      <c r="AE2561" t="n">
        <v>294450</v>
      </c>
      <c r="AF2561" t="n">
        <v>292500</v>
      </c>
      <c r="AG2561" t="n">
        <v>26399.1</v>
      </c>
      <c r="AH2561" t="n">
        <v>266100.9</v>
      </c>
      <c r="AI2561" t="n">
        <v>0</v>
      </c>
    </row>
    <row r="2562">
      <c r="A2562" t="inlineStr">
        <is>
          <t>3월</t>
        </is>
      </c>
      <c r="B2562" t="inlineStr">
        <is>
          <t>13주차</t>
        </is>
      </c>
      <c r="C2562" t="inlineStr">
        <is>
          <t>EP</t>
        </is>
      </c>
      <c r="D2562" s="28" t="n">
        <v>46105</v>
      </c>
      <c r="E2562" t="inlineStr">
        <is>
          <t>BNKEP</t>
        </is>
      </c>
      <c r="F2562" t="inlineStr">
        <is>
          <t>유진호</t>
        </is>
      </c>
      <c r="G2562" t="inlineStr">
        <is>
          <t>010-9229-6928</t>
        </is>
      </c>
      <c r="H2562" t="inlineStr">
        <is>
          <t>45우8261</t>
        </is>
      </c>
      <c r="I2562" t="n">
        <v>21200000</v>
      </c>
      <c r="J2562" t="n">
        <v>0.077</v>
      </c>
      <c r="K2562" t="n">
        <v>1.65</v>
      </c>
      <c r="L2562" t="n">
        <v>0.14</v>
      </c>
      <c r="M2562" t="n">
        <v>1.51</v>
      </c>
      <c r="P2562" t="inlineStr">
        <is>
          <t>정광호</t>
        </is>
      </c>
      <c r="Q2562" t="inlineStr">
        <is>
          <t>홈서비스 60개월</t>
        </is>
      </c>
      <c r="AB2562" t="inlineStr">
        <is>
          <t>홈서비스</t>
        </is>
      </c>
      <c r="AC2562" t="n">
        <v>349800</v>
      </c>
      <c r="AD2562" t="n">
        <v>29680</v>
      </c>
      <c r="AE2562" t="n">
        <v>320120</v>
      </c>
      <c r="AF2562" t="n">
        <v>318000</v>
      </c>
      <c r="AG2562" t="n">
        <v>28700.56</v>
      </c>
      <c r="AH2562" t="n">
        <v>289299.44</v>
      </c>
    </row>
    <row r="2563">
      <c r="A2563" t="inlineStr">
        <is>
          <t>1월</t>
        </is>
      </c>
      <c r="B2563" t="inlineStr">
        <is>
          <t>5주차</t>
        </is>
      </c>
      <c r="C2563" t="inlineStr">
        <is>
          <t>EP</t>
        </is>
      </c>
      <c r="D2563" s="28" t="n">
        <v>46053</v>
      </c>
      <c r="E2563" t="inlineStr">
        <is>
          <t>현대EP_fast</t>
        </is>
      </c>
      <c r="F2563" t="inlineStr">
        <is>
          <t>권완세</t>
        </is>
      </c>
      <c r="G2563" t="inlineStr">
        <is>
          <t>010-3088-6235</t>
        </is>
      </c>
      <c r="H2563" t="inlineStr">
        <is>
          <t>19머0447</t>
        </is>
      </c>
      <c r="I2563" t="n">
        <v>8600000</v>
      </c>
      <c r="J2563" t="n">
        <v>0.137</v>
      </c>
      <c r="K2563" t="n">
        <v>1.76</v>
      </c>
      <c r="L2563" t="n">
        <v>0.4</v>
      </c>
      <c r="M2563" t="n">
        <v>1.36</v>
      </c>
      <c r="P2563" t="inlineStr">
        <is>
          <t>임대경</t>
        </is>
      </c>
      <c r="AB2563" t="inlineStr">
        <is>
          <t>엔카</t>
        </is>
      </c>
      <c r="AC2563" t="n">
        <v>151360</v>
      </c>
      <c r="AD2563" t="n">
        <v>34400</v>
      </c>
      <c r="AE2563" t="n">
        <v>116960</v>
      </c>
      <c r="AF2563" t="n">
        <v>137600</v>
      </c>
      <c r="AG2563" t="n">
        <v>33264.8</v>
      </c>
      <c r="AH2563" t="n">
        <v>104335.2</v>
      </c>
      <c r="AI2563" t="n">
        <v>0</v>
      </c>
    </row>
    <row r="2564">
      <c r="A2564" t="inlineStr">
        <is>
          <t>2월</t>
        </is>
      </c>
      <c r="B2564" t="inlineStr">
        <is>
          <t>8주차</t>
        </is>
      </c>
      <c r="C2564" t="inlineStr">
        <is>
          <t>EP</t>
        </is>
      </c>
      <c r="D2564" s="28" t="n">
        <v>46072</v>
      </c>
      <c r="E2564" t="inlineStr">
        <is>
          <t>현대EP</t>
        </is>
      </c>
      <c r="F2564" t="inlineStr">
        <is>
          <t>장명현</t>
        </is>
      </c>
      <c r="G2564" t="inlineStr">
        <is>
          <t>010-8985-4043</t>
        </is>
      </c>
      <c r="H2564" t="inlineStr">
        <is>
          <t>241우2876</t>
        </is>
      </c>
      <c r="I2564" t="n">
        <v>27300000</v>
      </c>
      <c r="J2564" t="n">
        <v>0.089</v>
      </c>
      <c r="K2564" t="n">
        <v>1.76</v>
      </c>
      <c r="L2564" t="n">
        <v>0.14</v>
      </c>
      <c r="M2564" t="n">
        <v>1.62</v>
      </c>
      <c r="P2564" t="inlineStr">
        <is>
          <t>정광호</t>
        </is>
      </c>
      <c r="Q2564" t="inlineStr">
        <is>
          <t>홈서비스 60개월</t>
        </is>
      </c>
      <c r="AB2564" t="inlineStr">
        <is>
          <t>홈서비스</t>
        </is>
      </c>
      <c r="AC2564" t="n">
        <v>480480</v>
      </c>
      <c r="AD2564" t="n">
        <v>38220</v>
      </c>
      <c r="AE2564" t="n">
        <v>442260</v>
      </c>
      <c r="AF2564" t="n">
        <v>436800</v>
      </c>
      <c r="AG2564" t="n">
        <v>36958.74</v>
      </c>
      <c r="AH2564" t="n">
        <v>399841.26</v>
      </c>
      <c r="AI2564" t="n">
        <v>0</v>
      </c>
    </row>
    <row r="2565">
      <c r="A2565" t="inlineStr">
        <is>
          <t>2월</t>
        </is>
      </c>
      <c r="B2565" t="inlineStr">
        <is>
          <t>7주차</t>
        </is>
      </c>
      <c r="C2565" t="inlineStr">
        <is>
          <t>EP</t>
        </is>
      </c>
      <c r="D2565" s="28" t="n">
        <v>46064</v>
      </c>
      <c r="E2565" t="inlineStr">
        <is>
          <t>현대EP_fast</t>
        </is>
      </c>
      <c r="F2565" t="inlineStr">
        <is>
          <t>이승미</t>
        </is>
      </c>
      <c r="G2565" t="inlineStr">
        <is>
          <t>010-9190-9937</t>
        </is>
      </c>
      <c r="H2565" t="inlineStr">
        <is>
          <t>06고4738</t>
        </is>
      </c>
      <c r="I2565" t="n">
        <v>15600000</v>
      </c>
      <c r="J2565" t="n">
        <v>0.089</v>
      </c>
      <c r="K2565" t="n">
        <v>1.76</v>
      </c>
      <c r="L2565" t="n">
        <v>0.14</v>
      </c>
      <c r="M2565" t="n">
        <v>1.62</v>
      </c>
      <c r="P2565" t="inlineStr">
        <is>
          <t>정세빈</t>
        </is>
      </c>
      <c r="Q2565" t="inlineStr">
        <is>
          <t>홈서비스 60개월</t>
        </is>
      </c>
      <c r="AB2565" t="inlineStr">
        <is>
          <t>홈서비스</t>
        </is>
      </c>
      <c r="AC2565" t="n">
        <v>274560</v>
      </c>
      <c r="AD2565" t="n">
        <v>21840</v>
      </c>
      <c r="AE2565" t="n">
        <v>252720</v>
      </c>
      <c r="AF2565" t="n">
        <v>249600</v>
      </c>
      <c r="AG2565" t="n">
        <v>21119.28</v>
      </c>
      <c r="AH2565" t="n">
        <v>228480.72</v>
      </c>
      <c r="AI2565" t="n">
        <v>0</v>
      </c>
    </row>
    <row r="2566">
      <c r="A2566" t="inlineStr">
        <is>
          <t>2월</t>
        </is>
      </c>
      <c r="B2566" t="inlineStr">
        <is>
          <t>9주차</t>
        </is>
      </c>
      <c r="C2566" t="inlineStr">
        <is>
          <t>EP</t>
        </is>
      </c>
      <c r="D2566" s="28" t="n">
        <v>46079</v>
      </c>
      <c r="E2566" t="inlineStr">
        <is>
          <t>현대EP_fast</t>
        </is>
      </c>
      <c r="F2566" t="inlineStr">
        <is>
          <t>민병란</t>
        </is>
      </c>
      <c r="G2566" t="inlineStr">
        <is>
          <t>010-9799-4349</t>
        </is>
      </c>
      <c r="H2566" t="inlineStr">
        <is>
          <t>244우5503</t>
        </is>
      </c>
      <c r="I2566" t="n">
        <v>25300000</v>
      </c>
      <c r="J2566" t="n">
        <v>0.124</v>
      </c>
      <c r="K2566" t="n">
        <v>1.76</v>
      </c>
      <c r="L2566" t="n">
        <v>0.14</v>
      </c>
      <c r="M2566" t="n">
        <v>1.62</v>
      </c>
      <c r="P2566" t="inlineStr">
        <is>
          <t>정광호</t>
        </is>
      </c>
      <c r="Q2566" t="inlineStr">
        <is>
          <t>홈서비스 60개월</t>
        </is>
      </c>
      <c r="AB2566" t="inlineStr">
        <is>
          <t>홈서비스</t>
        </is>
      </c>
      <c r="AC2566" t="n">
        <v>445280</v>
      </c>
      <c r="AD2566" t="n">
        <v>35420</v>
      </c>
      <c r="AE2566" t="n">
        <v>409860</v>
      </c>
      <c r="AF2566" t="n">
        <v>404800</v>
      </c>
      <c r="AG2566" t="n">
        <v>34251.14</v>
      </c>
      <c r="AH2566" t="n">
        <v>370548.86</v>
      </c>
      <c r="AI2566" t="n">
        <v>0</v>
      </c>
    </row>
    <row r="2567">
      <c r="A2567" t="inlineStr">
        <is>
          <t>2월</t>
        </is>
      </c>
      <c r="B2567" t="inlineStr">
        <is>
          <t>8주차</t>
        </is>
      </c>
      <c r="C2567" t="inlineStr">
        <is>
          <t>IM</t>
        </is>
      </c>
      <c r="D2567" s="28" t="n">
        <v>46072</v>
      </c>
      <c r="E2567" t="inlineStr">
        <is>
          <t>IM캐피탈</t>
        </is>
      </c>
      <c r="F2567" t="inlineStr">
        <is>
          <t>이상재</t>
        </is>
      </c>
      <c r="G2567" t="inlineStr">
        <is>
          <t>010-2722-6899</t>
        </is>
      </c>
      <c r="H2567" t="inlineStr">
        <is>
          <t>186어8734</t>
        </is>
      </c>
      <c r="I2567" t="n">
        <v>38600000</v>
      </c>
      <c r="J2567" t="n">
        <v>0.056</v>
      </c>
      <c r="K2567" t="n">
        <v>1.1</v>
      </c>
      <c r="L2567" t="n">
        <v>0.14</v>
      </c>
      <c r="M2567" t="n">
        <v>0.96</v>
      </c>
      <c r="P2567" t="inlineStr">
        <is>
          <t>박소현</t>
        </is>
      </c>
      <c r="Q2567" t="inlineStr">
        <is>
          <t>선상담 / 홈서비스 60개월</t>
        </is>
      </c>
      <c r="AB2567" t="inlineStr">
        <is>
          <t>홈서비스</t>
        </is>
      </c>
      <c r="AC2567" t="n">
        <v>424600</v>
      </c>
      <c r="AD2567" t="n">
        <v>54040</v>
      </c>
      <c r="AE2567" t="n">
        <v>370560</v>
      </c>
      <c r="AF2567" t="n">
        <v>386000</v>
      </c>
      <c r="AG2567" t="n">
        <v>52256.68</v>
      </c>
      <c r="AH2567" t="n">
        <v>333743.32</v>
      </c>
      <c r="AI2567" t="n">
        <v>0</v>
      </c>
    </row>
    <row r="2568">
      <c r="A2568" t="inlineStr">
        <is>
          <t>2월</t>
        </is>
      </c>
      <c r="B2568" t="inlineStr">
        <is>
          <t>7주차</t>
        </is>
      </c>
      <c r="C2568" t="inlineStr">
        <is>
          <t>EP</t>
        </is>
      </c>
      <c r="D2568" s="28" t="n">
        <v>46065</v>
      </c>
      <c r="E2568" t="inlineStr">
        <is>
          <t>현대EP</t>
        </is>
      </c>
      <c r="F2568" t="inlineStr">
        <is>
          <t>김나경</t>
        </is>
      </c>
      <c r="G2568" t="inlineStr">
        <is>
          <t>010-9266-6289</t>
        </is>
      </c>
      <c r="H2568" t="inlineStr">
        <is>
          <t>68주7463</t>
        </is>
      </c>
      <c r="I2568" t="n">
        <v>-9900000</v>
      </c>
      <c r="J2568" t="n">
        <v>0.08699999999999999</v>
      </c>
      <c r="K2568" t="n">
        <v>1.76</v>
      </c>
      <c r="L2568" t="n">
        <v>0.14</v>
      </c>
      <c r="M2568" t="n">
        <v>1.62</v>
      </c>
      <c r="P2568" t="inlineStr">
        <is>
          <t>황채이</t>
        </is>
      </c>
      <c r="Q2568" t="inlineStr">
        <is>
          <t>홈서비스 60개월</t>
        </is>
      </c>
      <c r="AB2568" t="inlineStr">
        <is>
          <t>홈서비스</t>
        </is>
      </c>
      <c r="AC2568" t="n">
        <v>-174240</v>
      </c>
      <c r="AD2568" t="n">
        <v>-13860</v>
      </c>
      <c r="AE2568" t="n">
        <v>-160380</v>
      </c>
      <c r="AF2568" t="n">
        <v>-158400</v>
      </c>
      <c r="AG2568" t="n">
        <v>-13402.62</v>
      </c>
      <c r="AH2568" t="n">
        <v>-144997.38</v>
      </c>
    </row>
    <row r="2569">
      <c r="A2569" t="inlineStr">
        <is>
          <t>2월</t>
        </is>
      </c>
      <c r="B2569" t="inlineStr">
        <is>
          <t>9주차</t>
        </is>
      </c>
      <c r="C2569" t="inlineStr">
        <is>
          <t>IM</t>
        </is>
      </c>
      <c r="D2569" s="28" t="n">
        <v>46078</v>
      </c>
      <c r="E2569" t="inlineStr">
        <is>
          <t>IM캐피탈</t>
        </is>
      </c>
      <c r="F2569" t="inlineStr">
        <is>
          <t>전우준</t>
        </is>
      </c>
      <c r="G2569" t="inlineStr">
        <is>
          <t>010-5119-2438</t>
        </is>
      </c>
      <c r="H2569" t="inlineStr">
        <is>
          <t>319러6360</t>
        </is>
      </c>
      <c r="I2569" t="n">
        <v>16900000</v>
      </c>
      <c r="J2569" t="n">
        <v>0.056</v>
      </c>
      <c r="K2569" t="n">
        <v>1.1</v>
      </c>
      <c r="L2569" t="n">
        <v>0.14</v>
      </c>
      <c r="M2569" t="n">
        <v>0.96</v>
      </c>
      <c r="P2569" t="inlineStr">
        <is>
          <t>정광호</t>
        </is>
      </c>
      <c r="Q2569" t="inlineStr">
        <is>
          <t>홈서비스 48개월</t>
        </is>
      </c>
      <c r="AB2569" t="inlineStr">
        <is>
          <t>홈서비스</t>
        </is>
      </c>
      <c r="AC2569" t="n">
        <v>185900</v>
      </c>
      <c r="AD2569" t="n">
        <v>23660</v>
      </c>
      <c r="AE2569" t="n">
        <v>162240</v>
      </c>
      <c r="AF2569" t="n">
        <v>169000</v>
      </c>
      <c r="AG2569" t="n">
        <v>22879.22</v>
      </c>
      <c r="AH2569" t="n">
        <v>146120.78</v>
      </c>
    </row>
    <row r="2570">
      <c r="A2570" t="inlineStr">
        <is>
          <t>3월</t>
        </is>
      </c>
      <c r="B2570" t="inlineStr">
        <is>
          <t>13주차</t>
        </is>
      </c>
      <c r="C2570" t="inlineStr">
        <is>
          <t>EP</t>
        </is>
      </c>
      <c r="D2570" s="28" t="n">
        <v>46104</v>
      </c>
      <c r="E2570" t="inlineStr">
        <is>
          <t>BNKEP</t>
        </is>
      </c>
      <c r="F2570" t="inlineStr">
        <is>
          <t>한기상</t>
        </is>
      </c>
      <c r="G2570" t="inlineStr">
        <is>
          <t>010-9317-8415</t>
        </is>
      </c>
      <c r="H2570" t="inlineStr">
        <is>
          <t>28수0832</t>
        </is>
      </c>
      <c r="I2570" t="n">
        <v>8000000</v>
      </c>
      <c r="J2570" t="n">
        <v>0.077</v>
      </c>
      <c r="K2570" t="n">
        <v>1.65</v>
      </c>
      <c r="L2570" t="n">
        <v>0.14</v>
      </c>
      <c r="M2570" t="n">
        <v>1.51</v>
      </c>
      <c r="P2570" t="inlineStr">
        <is>
          <t>정하은</t>
        </is>
      </c>
      <c r="Q2570" t="inlineStr">
        <is>
          <t>선상담 /홈서비스 36개월</t>
        </is>
      </c>
      <c r="AB2570" t="inlineStr">
        <is>
          <t>홈서비스</t>
        </is>
      </c>
      <c r="AC2570" t="n">
        <v>132000</v>
      </c>
      <c r="AD2570" t="n">
        <v>11200</v>
      </c>
      <c r="AE2570" t="n">
        <v>120800</v>
      </c>
      <c r="AF2570" t="n">
        <v>120000</v>
      </c>
      <c r="AG2570" t="n">
        <v>10830.4</v>
      </c>
      <c r="AH2570" t="n">
        <v>109169.6</v>
      </c>
    </row>
    <row r="2571">
      <c r="A2571" t="inlineStr">
        <is>
          <t>3월</t>
        </is>
      </c>
      <c r="B2571" t="inlineStr">
        <is>
          <t>13주차</t>
        </is>
      </c>
      <c r="C2571" t="inlineStr">
        <is>
          <t>EP</t>
        </is>
      </c>
      <c r="D2571" s="28" t="n">
        <v>46104</v>
      </c>
      <c r="E2571" t="inlineStr">
        <is>
          <t>BNKEP</t>
        </is>
      </c>
      <c r="F2571" t="inlineStr">
        <is>
          <t>정갑민</t>
        </is>
      </c>
      <c r="G2571" t="inlineStr">
        <is>
          <t>010-7458-6191</t>
        </is>
      </c>
      <c r="H2571" t="inlineStr">
        <is>
          <t>55러7447</t>
        </is>
      </c>
      <c r="I2571" t="n">
        <v>3000000</v>
      </c>
      <c r="J2571" t="n">
        <v>0.07199999999999999</v>
      </c>
      <c r="K2571" t="n">
        <v>1.65</v>
      </c>
      <c r="L2571" t="n">
        <v>0.14</v>
      </c>
      <c r="M2571" t="n">
        <v>1.51</v>
      </c>
      <c r="P2571" t="inlineStr">
        <is>
          <t>김나윤</t>
        </is>
      </c>
      <c r="Q2571" t="inlineStr">
        <is>
          <t>홈서비스 60개월</t>
        </is>
      </c>
      <c r="AB2571" t="inlineStr">
        <is>
          <t>홈서비스</t>
        </is>
      </c>
      <c r="AC2571" t="n">
        <v>49500</v>
      </c>
      <c r="AD2571" t="n">
        <v>4200</v>
      </c>
      <c r="AE2571" t="n">
        <v>45300</v>
      </c>
      <c r="AF2571" t="n">
        <v>45000</v>
      </c>
      <c r="AG2571" t="n">
        <v>4061.4</v>
      </c>
      <c r="AH2571" t="n">
        <v>40938.6</v>
      </c>
    </row>
    <row r="2572">
      <c r="A2572" t="inlineStr">
        <is>
          <t>3월</t>
        </is>
      </c>
      <c r="B2572" t="inlineStr">
        <is>
          <t>13주차</t>
        </is>
      </c>
      <c r="C2572" t="inlineStr">
        <is>
          <t>EP</t>
        </is>
      </c>
      <c r="D2572" s="28" t="n">
        <v>46105</v>
      </c>
      <c r="E2572" t="inlineStr">
        <is>
          <t>BNKEP</t>
        </is>
      </c>
      <c r="F2572" t="inlineStr">
        <is>
          <t>이승환</t>
        </is>
      </c>
      <c r="G2572" t="inlineStr">
        <is>
          <t>010-2994-4956</t>
        </is>
      </c>
      <c r="H2572" t="inlineStr">
        <is>
          <t>50더1567</t>
        </is>
      </c>
      <c r="I2572" t="n">
        <v>37900000</v>
      </c>
      <c r="J2572" t="n">
        <v>0.07099999999999999</v>
      </c>
      <c r="K2572" t="n">
        <v>1.65</v>
      </c>
      <c r="L2572" t="n">
        <v>0.14</v>
      </c>
      <c r="M2572" t="n">
        <v>1.51</v>
      </c>
      <c r="P2572" t="inlineStr">
        <is>
          <t>김나윤</t>
        </is>
      </c>
      <c r="Q2572" t="inlineStr">
        <is>
          <t>홈서비스 60개월</t>
        </is>
      </c>
      <c r="AB2572" t="inlineStr">
        <is>
          <t>홈서비스</t>
        </is>
      </c>
      <c r="AC2572" t="n">
        <v>625350</v>
      </c>
      <c r="AD2572" t="n">
        <v>53060</v>
      </c>
      <c r="AE2572" t="n">
        <v>572290</v>
      </c>
      <c r="AF2572" t="n">
        <v>568500</v>
      </c>
      <c r="AG2572" t="n">
        <v>51309.02</v>
      </c>
      <c r="AH2572" t="n">
        <v>517190.98</v>
      </c>
      <c r="AI2572" t="n">
        <v>0</v>
      </c>
    </row>
    <row r="2573">
      <c r="A2573" t="inlineStr">
        <is>
          <t>3월</t>
        </is>
      </c>
      <c r="B2573" t="inlineStr">
        <is>
          <t>13주차</t>
        </is>
      </c>
      <c r="C2573" t="inlineStr">
        <is>
          <t>EP</t>
        </is>
      </c>
      <c r="D2573" s="28" t="n">
        <v>46105</v>
      </c>
      <c r="E2573" t="inlineStr">
        <is>
          <t>BNKEP</t>
        </is>
      </c>
      <c r="F2573" t="inlineStr">
        <is>
          <t>강예린</t>
        </is>
      </c>
      <c r="G2573" t="inlineStr">
        <is>
          <t>010-8486-9667</t>
        </is>
      </c>
      <c r="H2573" t="inlineStr">
        <is>
          <t>62모9936</t>
        </is>
      </c>
      <c r="I2573" t="n">
        <v>6900000</v>
      </c>
      <c r="J2573" t="n">
        <v>0.117</v>
      </c>
      <c r="K2573" t="n">
        <v>1.65</v>
      </c>
      <c r="L2573" t="n">
        <v>0.14</v>
      </c>
      <c r="M2573" t="n">
        <v>1.51</v>
      </c>
      <c r="P2573" t="inlineStr">
        <is>
          <t>최형주</t>
        </is>
      </c>
      <c r="Q2573" t="inlineStr">
        <is>
          <t>홈서비스 60개월</t>
        </is>
      </c>
      <c r="AB2573" t="inlineStr">
        <is>
          <t>홈서비스</t>
        </is>
      </c>
      <c r="AC2573" t="n">
        <v>113850</v>
      </c>
      <c r="AD2573" t="n">
        <v>9660</v>
      </c>
      <c r="AE2573" t="n">
        <v>104190</v>
      </c>
      <c r="AF2573" t="n">
        <v>103500</v>
      </c>
      <c r="AG2573" t="n">
        <v>9341.219999999999</v>
      </c>
      <c r="AH2573" t="n">
        <v>94158.78</v>
      </c>
      <c r="AI2573" t="n">
        <v>0</v>
      </c>
    </row>
    <row r="2574">
      <c r="A2574" t="inlineStr">
        <is>
          <t>3월</t>
        </is>
      </c>
      <c r="B2574" t="inlineStr">
        <is>
          <t>13주차</t>
        </is>
      </c>
      <c r="C2574" t="inlineStr">
        <is>
          <t>EP</t>
        </is>
      </c>
      <c r="D2574" s="28" t="n">
        <v>46105</v>
      </c>
      <c r="E2574" t="inlineStr">
        <is>
          <t>BNKEP</t>
        </is>
      </c>
      <c r="F2574" t="inlineStr">
        <is>
          <t>이상현</t>
        </is>
      </c>
      <c r="G2574" t="inlineStr">
        <is>
          <t>010-8354-0855</t>
        </is>
      </c>
      <c r="H2574" t="inlineStr">
        <is>
          <t>306조8332</t>
        </is>
      </c>
      <c r="I2574" t="n">
        <v>10000000</v>
      </c>
      <c r="J2574" t="n">
        <v>0.081</v>
      </c>
      <c r="K2574" t="n">
        <v>1.65</v>
      </c>
      <c r="L2574" t="n">
        <v>0.14</v>
      </c>
      <c r="M2574" t="n">
        <v>1.51</v>
      </c>
      <c r="P2574" t="inlineStr">
        <is>
          <t>김나윤</t>
        </is>
      </c>
      <c r="Q2574" t="inlineStr">
        <is>
          <t>홈서비스 36개월</t>
        </is>
      </c>
      <c r="AB2574" t="inlineStr">
        <is>
          <t>홈서비스</t>
        </is>
      </c>
      <c r="AC2574" t="n">
        <v>165000</v>
      </c>
      <c r="AD2574" t="n">
        <v>14000</v>
      </c>
      <c r="AE2574" t="n">
        <v>151000</v>
      </c>
      <c r="AF2574" t="n">
        <v>150000</v>
      </c>
      <c r="AG2574" t="n">
        <v>13538</v>
      </c>
      <c r="AH2574" t="n">
        <v>136462</v>
      </c>
    </row>
    <row r="2575">
      <c r="A2575" t="inlineStr">
        <is>
          <t>3월</t>
        </is>
      </c>
      <c r="B2575" t="inlineStr">
        <is>
          <t>13주차</t>
        </is>
      </c>
      <c r="C2575" t="inlineStr">
        <is>
          <t>EP</t>
        </is>
      </c>
      <c r="D2575" s="28" t="n">
        <v>46105</v>
      </c>
      <c r="E2575" t="inlineStr">
        <is>
          <t>현대EP_fast</t>
        </is>
      </c>
      <c r="F2575" t="inlineStr">
        <is>
          <t>변선호</t>
        </is>
      </c>
      <c r="G2575" t="inlineStr">
        <is>
          <t>010-5362-6024</t>
        </is>
      </c>
      <c r="H2575" t="inlineStr">
        <is>
          <t>43무8541</t>
        </is>
      </c>
      <c r="I2575" t="n">
        <v>6500000</v>
      </c>
      <c r="J2575" t="n">
        <v>0.079</v>
      </c>
      <c r="K2575" t="n">
        <v>1.76</v>
      </c>
      <c r="L2575" t="n">
        <v>0.14</v>
      </c>
      <c r="M2575" t="n">
        <v>1.62</v>
      </c>
      <c r="P2575" t="inlineStr">
        <is>
          <t>정광호</t>
        </is>
      </c>
      <c r="Q2575" t="inlineStr">
        <is>
          <t>홈서비스 60개월</t>
        </is>
      </c>
      <c r="AB2575" t="inlineStr">
        <is>
          <t>홈서비스</t>
        </is>
      </c>
      <c r="AC2575" t="n">
        <v>114400</v>
      </c>
      <c r="AD2575" t="n">
        <v>9100</v>
      </c>
      <c r="AE2575" t="n">
        <v>105300</v>
      </c>
      <c r="AF2575" t="n">
        <v>104000</v>
      </c>
      <c r="AG2575" t="n">
        <v>8799.700000000001</v>
      </c>
      <c r="AH2575" t="n">
        <v>95200.3</v>
      </c>
    </row>
    <row r="2576">
      <c r="A2576" t="inlineStr">
        <is>
          <t>3월</t>
        </is>
      </c>
      <c r="B2576" t="inlineStr">
        <is>
          <t>13주차</t>
        </is>
      </c>
      <c r="C2576" t="inlineStr">
        <is>
          <t>EP</t>
        </is>
      </c>
      <c r="D2576" s="28" t="n">
        <v>46105</v>
      </c>
      <c r="E2576" t="inlineStr">
        <is>
          <t>BNKEP</t>
        </is>
      </c>
      <c r="F2576" t="inlineStr">
        <is>
          <t>이성민</t>
        </is>
      </c>
      <c r="G2576" t="inlineStr">
        <is>
          <t>010-5601-0616</t>
        </is>
      </c>
      <c r="H2576" t="inlineStr">
        <is>
          <t>49두3842</t>
        </is>
      </c>
      <c r="I2576" t="n">
        <v>3000000</v>
      </c>
      <c r="J2576" t="n">
        <v>0.081</v>
      </c>
      <c r="K2576" t="n">
        <v>1.65</v>
      </c>
      <c r="L2576" t="n">
        <v>0.14</v>
      </c>
      <c r="M2576" t="n">
        <v>1.51</v>
      </c>
      <c r="P2576" t="inlineStr">
        <is>
          <t>정세빈</t>
        </is>
      </c>
      <c r="Q2576" t="inlineStr">
        <is>
          <t>홈서비스 24개월</t>
        </is>
      </c>
      <c r="AB2576" t="inlineStr">
        <is>
          <t>홈서비스</t>
        </is>
      </c>
      <c r="AC2576" t="n">
        <v>49500</v>
      </c>
      <c r="AD2576" t="n">
        <v>4200</v>
      </c>
      <c r="AE2576" t="n">
        <v>45300</v>
      </c>
      <c r="AF2576" t="n">
        <v>45000</v>
      </c>
      <c r="AG2576" t="n">
        <v>4061.4</v>
      </c>
      <c r="AH2576" t="n">
        <v>40938.6</v>
      </c>
      <c r="AI2576" t="n">
        <v>0</v>
      </c>
    </row>
    <row r="2577">
      <c r="A2577" t="inlineStr">
        <is>
          <t>2월</t>
        </is>
      </c>
      <c r="B2577" t="inlineStr">
        <is>
          <t>6주차</t>
        </is>
      </c>
      <c r="C2577" t="inlineStr">
        <is>
          <t>EP</t>
        </is>
      </c>
      <c r="D2577" s="28" t="n">
        <v>46055</v>
      </c>
      <c r="E2577" t="inlineStr">
        <is>
          <t>현대EP_fast</t>
        </is>
      </c>
      <c r="F2577" t="inlineStr">
        <is>
          <t>김은성</t>
        </is>
      </c>
      <c r="G2577" t="inlineStr">
        <is>
          <t>010-3919-4302</t>
        </is>
      </c>
      <c r="H2577" t="inlineStr">
        <is>
          <t>52주3306</t>
        </is>
      </c>
      <c r="I2577" t="n">
        <v>9500000</v>
      </c>
      <c r="J2577" t="n">
        <v>0.124</v>
      </c>
      <c r="K2577" t="n">
        <v>1.76</v>
      </c>
      <c r="L2577" t="n">
        <v>0.14</v>
      </c>
      <c r="M2577" t="n">
        <v>1.62</v>
      </c>
      <c r="P2577" t="inlineStr">
        <is>
          <t>황채이</t>
        </is>
      </c>
      <c r="Q2577" t="inlineStr">
        <is>
          <t>홈서비스 48개월</t>
        </is>
      </c>
      <c r="AB2577" t="inlineStr">
        <is>
          <t>홈서비스</t>
        </is>
      </c>
      <c r="AC2577" t="n">
        <v>167200</v>
      </c>
      <c r="AD2577" t="n">
        <v>13300</v>
      </c>
      <c r="AE2577" t="n">
        <v>153900</v>
      </c>
      <c r="AF2577" t="n">
        <v>152000</v>
      </c>
      <c r="AG2577" t="n">
        <v>12861.1</v>
      </c>
      <c r="AH2577" t="n">
        <v>139138.9</v>
      </c>
      <c r="AI2577" t="n">
        <v>0</v>
      </c>
    </row>
    <row r="2578">
      <c r="A2578" t="inlineStr">
        <is>
          <t>2월</t>
        </is>
      </c>
      <c r="B2578" t="inlineStr">
        <is>
          <t>9주차</t>
        </is>
      </c>
      <c r="C2578" t="inlineStr">
        <is>
          <t>IM</t>
        </is>
      </c>
      <c r="D2578" s="28" t="n">
        <v>46079</v>
      </c>
      <c r="E2578" t="inlineStr">
        <is>
          <t>IM캐피탈</t>
        </is>
      </c>
      <c r="F2578" t="inlineStr">
        <is>
          <t>김정규</t>
        </is>
      </c>
      <c r="G2578" t="inlineStr">
        <is>
          <t>010-3441-3838</t>
        </is>
      </c>
      <c r="H2578" t="inlineStr">
        <is>
          <t>191수3202</t>
        </is>
      </c>
      <c r="I2578" t="n">
        <v>20000000</v>
      </c>
      <c r="J2578" t="n">
        <v>0.056</v>
      </c>
      <c r="K2578" t="n">
        <v>1.1</v>
      </c>
      <c r="L2578" t="n">
        <v>0.14</v>
      </c>
      <c r="M2578" t="n">
        <v>0.96</v>
      </c>
      <c r="P2578" t="inlineStr">
        <is>
          <t>김수연</t>
        </is>
      </c>
      <c r="Q2578" t="inlineStr">
        <is>
          <t>홈서비스 60개월</t>
        </is>
      </c>
      <c r="AB2578" t="inlineStr">
        <is>
          <t>홈서비스</t>
        </is>
      </c>
      <c r="AC2578" t="n">
        <v>220000</v>
      </c>
      <c r="AD2578" t="n">
        <v>28000</v>
      </c>
      <c r="AE2578" t="n">
        <v>192000</v>
      </c>
      <c r="AF2578" t="n">
        <v>200000</v>
      </c>
      <c r="AG2578" t="n">
        <v>27076</v>
      </c>
      <c r="AH2578" t="n">
        <v>172924</v>
      </c>
      <c r="AI2578" t="n">
        <v>0</v>
      </c>
    </row>
    <row r="2579">
      <c r="A2579" t="inlineStr">
        <is>
          <t>2월</t>
        </is>
      </c>
      <c r="B2579" t="inlineStr">
        <is>
          <t>9주차</t>
        </is>
      </c>
      <c r="C2579" t="inlineStr">
        <is>
          <t>IM</t>
        </is>
      </c>
      <c r="D2579" s="28" t="n">
        <v>46076</v>
      </c>
      <c r="E2579" t="inlineStr">
        <is>
          <t>IM캐피탈</t>
        </is>
      </c>
      <c r="F2579" t="inlineStr">
        <is>
          <t>김보라</t>
        </is>
      </c>
      <c r="G2579" t="inlineStr">
        <is>
          <t>0110-6209-9562</t>
        </is>
      </c>
      <c r="H2579" t="inlineStr">
        <is>
          <t>175루5044</t>
        </is>
      </c>
      <c r="I2579" t="n">
        <v>28600000</v>
      </c>
      <c r="J2579" t="n">
        <v>0.075</v>
      </c>
      <c r="K2579" t="n">
        <v>1.1</v>
      </c>
      <c r="L2579" t="n">
        <v>0.14</v>
      </c>
      <c r="M2579" t="n">
        <v>0.96</v>
      </c>
      <c r="P2579" t="inlineStr">
        <is>
          <t>최혁</t>
        </is>
      </c>
      <c r="Q2579" t="inlineStr">
        <is>
          <t>홈서비스60개월</t>
        </is>
      </c>
      <c r="AB2579" t="inlineStr">
        <is>
          <t>홈서비스</t>
        </is>
      </c>
      <c r="AC2579" t="n">
        <v>314600</v>
      </c>
      <c r="AD2579" t="n">
        <v>40040</v>
      </c>
      <c r="AE2579" t="n">
        <v>274560</v>
      </c>
      <c r="AF2579" t="n">
        <v>286000</v>
      </c>
      <c r="AG2579" t="n">
        <v>38718.68</v>
      </c>
      <c r="AH2579" t="n">
        <v>247281.32</v>
      </c>
      <c r="AI2579" t="n">
        <v>0</v>
      </c>
    </row>
    <row r="2580">
      <c r="A2580" t="inlineStr">
        <is>
          <t>3월</t>
        </is>
      </c>
      <c r="B2580" t="inlineStr">
        <is>
          <t>13주차</t>
        </is>
      </c>
      <c r="C2580" t="inlineStr">
        <is>
          <t>EP</t>
        </is>
      </c>
      <c r="D2580" s="28" t="n">
        <v>46105</v>
      </c>
      <c r="E2580" t="inlineStr">
        <is>
          <t>BNKEP</t>
        </is>
      </c>
      <c r="F2580" t="inlineStr">
        <is>
          <t>김해옥</t>
        </is>
      </c>
      <c r="G2580" t="inlineStr">
        <is>
          <t>010-3631-3950</t>
        </is>
      </c>
      <c r="H2580" t="inlineStr">
        <is>
          <t>273머1820</t>
        </is>
      </c>
      <c r="I2580" t="n">
        <v>7000000</v>
      </c>
      <c r="J2580" t="n">
        <v>0.067</v>
      </c>
      <c r="K2580" t="n">
        <v>1.65</v>
      </c>
      <c r="L2580" t="n">
        <v>0.14</v>
      </c>
      <c r="M2580" t="n">
        <v>1.51</v>
      </c>
      <c r="P2580" t="inlineStr">
        <is>
          <t>정세빈</t>
        </is>
      </c>
      <c r="Q2580" t="inlineStr">
        <is>
          <t>홈서비스 36개월</t>
        </is>
      </c>
      <c r="AB2580" t="inlineStr">
        <is>
          <t>홈서비스</t>
        </is>
      </c>
      <c r="AC2580" t="n">
        <v>115500</v>
      </c>
      <c r="AD2580" t="n">
        <v>9800</v>
      </c>
      <c r="AE2580" t="n">
        <v>105700</v>
      </c>
      <c r="AF2580" t="n">
        <v>105000</v>
      </c>
      <c r="AG2580" t="n">
        <v>9476.6</v>
      </c>
      <c r="AH2580" t="n">
        <v>95523.39999999999</v>
      </c>
      <c r="AI2580" t="n">
        <v>0</v>
      </c>
    </row>
    <row r="2581">
      <c r="A2581" t="inlineStr">
        <is>
          <t>3월</t>
        </is>
      </c>
      <c r="B2581" t="inlineStr">
        <is>
          <t>13주차</t>
        </is>
      </c>
      <c r="C2581" t="inlineStr">
        <is>
          <t>IM</t>
        </is>
      </c>
      <c r="D2581" s="28" t="n">
        <v>46104</v>
      </c>
      <c r="E2581" t="inlineStr">
        <is>
          <t>IM캐피탈</t>
        </is>
      </c>
      <c r="F2581" t="inlineStr">
        <is>
          <t>정상문</t>
        </is>
      </c>
      <c r="G2581" t="inlineStr">
        <is>
          <t>010-8800-5461</t>
        </is>
      </c>
      <c r="H2581" t="inlineStr">
        <is>
          <t>84어6266</t>
        </is>
      </c>
      <c r="I2581" t="n">
        <v>-12200000</v>
      </c>
      <c r="J2581" t="n">
        <v>0.049</v>
      </c>
      <c r="K2581" t="n">
        <v>1.1</v>
      </c>
      <c r="L2581" t="n">
        <v>0.14</v>
      </c>
      <c r="M2581" t="n">
        <v>0.96</v>
      </c>
      <c r="P2581" t="inlineStr">
        <is>
          <t>김수연</t>
        </is>
      </c>
      <c r="Q2581" t="inlineStr">
        <is>
          <t>홈서비스 36개월</t>
        </is>
      </c>
      <c r="AB2581" t="inlineStr">
        <is>
          <t>홈서비스</t>
        </is>
      </c>
      <c r="AC2581" t="n">
        <v>-134200</v>
      </c>
      <c r="AD2581" t="n">
        <v>-17080</v>
      </c>
      <c r="AE2581" t="n">
        <v>-117120</v>
      </c>
      <c r="AF2581" t="n">
        <v>-122000</v>
      </c>
      <c r="AG2581" t="n">
        <v>-16516.36</v>
      </c>
      <c r="AH2581" t="n">
        <v>-105483.64</v>
      </c>
      <c r="AI2581" t="n">
        <v>0</v>
      </c>
    </row>
    <row r="2582">
      <c r="A2582" t="inlineStr">
        <is>
          <t>3월</t>
        </is>
      </c>
      <c r="B2582" t="inlineStr">
        <is>
          <t>13주차</t>
        </is>
      </c>
      <c r="C2582" t="inlineStr">
        <is>
          <t>EP</t>
        </is>
      </c>
      <c r="D2582" s="28" t="n">
        <v>46105</v>
      </c>
      <c r="E2582" t="inlineStr">
        <is>
          <t>BNKEP</t>
        </is>
      </c>
      <c r="F2582" t="inlineStr">
        <is>
          <t>한선화</t>
        </is>
      </c>
      <c r="G2582" t="inlineStr">
        <is>
          <t>010-6602-1967</t>
        </is>
      </c>
      <c r="H2582" t="inlineStr">
        <is>
          <t>248무8616</t>
        </is>
      </c>
      <c r="I2582" t="n">
        <v>12900000</v>
      </c>
      <c r="J2582" t="n">
        <v>0.067</v>
      </c>
      <c r="K2582" t="n">
        <v>1.65</v>
      </c>
      <c r="L2582" t="n">
        <v>0.14</v>
      </c>
      <c r="M2582" t="n">
        <v>1.51</v>
      </c>
      <c r="P2582" t="inlineStr">
        <is>
          <t>정세빈</t>
        </is>
      </c>
      <c r="Q2582" t="inlineStr">
        <is>
          <t>홈서비스 60개월 / 전산X</t>
        </is>
      </c>
      <c r="AB2582" t="inlineStr">
        <is>
          <t>홈서비스</t>
        </is>
      </c>
      <c r="AC2582" t="n">
        <v>212850</v>
      </c>
      <c r="AD2582" t="n">
        <v>18060</v>
      </c>
      <c r="AE2582" t="n">
        <v>194790</v>
      </c>
      <c r="AF2582" t="n">
        <v>193500</v>
      </c>
      <c r="AG2582" t="n">
        <v>17464.02</v>
      </c>
      <c r="AH2582" t="n">
        <v>176035.98</v>
      </c>
      <c r="AI2582" t="n">
        <v>0</v>
      </c>
    </row>
    <row r="2583">
      <c r="A2583" t="inlineStr">
        <is>
          <t>3월</t>
        </is>
      </c>
      <c r="B2583" t="inlineStr">
        <is>
          <t>13주차</t>
        </is>
      </c>
      <c r="C2583" t="inlineStr">
        <is>
          <t>EP</t>
        </is>
      </c>
      <c r="D2583" s="28" t="n">
        <v>46105</v>
      </c>
      <c r="E2583" t="inlineStr">
        <is>
          <t>BNKEP</t>
        </is>
      </c>
      <c r="F2583" t="inlineStr">
        <is>
          <t>신경현</t>
        </is>
      </c>
      <c r="G2583" t="inlineStr">
        <is>
          <t>010-4615-8804</t>
        </is>
      </c>
      <c r="H2583" t="inlineStr">
        <is>
          <t>18모2036</t>
        </is>
      </c>
      <c r="I2583" t="n">
        <v>4000000</v>
      </c>
      <c r="J2583" t="n">
        <v>0.07000000000000001</v>
      </c>
      <c r="K2583" t="n">
        <v>1.65</v>
      </c>
      <c r="L2583" t="n">
        <v>0.14</v>
      </c>
      <c r="M2583" t="n">
        <v>1.51</v>
      </c>
      <c r="P2583" t="inlineStr">
        <is>
          <t>정광호</t>
        </is>
      </c>
      <c r="Q2583" t="inlineStr">
        <is>
          <t>홈서비스 36개월</t>
        </is>
      </c>
      <c r="AB2583" t="inlineStr">
        <is>
          <t>홈서비스</t>
        </is>
      </c>
      <c r="AC2583" t="n">
        <v>66000</v>
      </c>
      <c r="AD2583" t="n">
        <v>5600</v>
      </c>
      <c r="AE2583" t="n">
        <v>60400</v>
      </c>
      <c r="AF2583" t="n">
        <v>60000</v>
      </c>
      <c r="AG2583" t="n">
        <v>5415.2</v>
      </c>
      <c r="AH2583" t="n">
        <v>54584.8</v>
      </c>
      <c r="AI2583" t="n">
        <v>0</v>
      </c>
    </row>
    <row r="2584">
      <c r="A2584" t="inlineStr">
        <is>
          <t>3월</t>
        </is>
      </c>
      <c r="B2584" t="inlineStr">
        <is>
          <t>13주차</t>
        </is>
      </c>
      <c r="C2584" t="inlineStr">
        <is>
          <t>OR</t>
        </is>
      </c>
      <c r="D2584" s="28" t="n">
        <v>46105</v>
      </c>
      <c r="E2584" t="inlineStr">
        <is>
          <t>오릭스</t>
        </is>
      </c>
      <c r="F2584" t="inlineStr">
        <is>
          <t>박인창</t>
        </is>
      </c>
      <c r="G2584" t="inlineStr">
        <is>
          <t>010-8914-3244</t>
        </is>
      </c>
      <c r="H2584" t="inlineStr">
        <is>
          <t>02더1100</t>
        </is>
      </c>
      <c r="I2584" t="n">
        <v>27000000</v>
      </c>
      <c r="J2584" t="n">
        <v>0.067</v>
      </c>
      <c r="K2584" t="n">
        <v>1.65</v>
      </c>
      <c r="L2584" t="n">
        <v>0.14</v>
      </c>
      <c r="M2584" t="n">
        <v>1.51</v>
      </c>
      <c r="P2584" t="inlineStr">
        <is>
          <t>정세빈</t>
        </is>
      </c>
      <c r="Q2584" t="inlineStr">
        <is>
          <t>홈서비스 36개월</t>
        </is>
      </c>
      <c r="AB2584" t="inlineStr">
        <is>
          <t>홈서비스</t>
        </is>
      </c>
      <c r="AC2584" t="n">
        <v>445500</v>
      </c>
      <c r="AD2584" t="n">
        <v>37800</v>
      </c>
      <c r="AE2584" t="n">
        <v>407700</v>
      </c>
      <c r="AF2584" t="n">
        <v>405000</v>
      </c>
      <c r="AG2584" t="n">
        <v>36552.6</v>
      </c>
      <c r="AH2584" t="n">
        <v>368447.4</v>
      </c>
      <c r="AI2584" t="n">
        <v>0</v>
      </c>
    </row>
    <row r="2585">
      <c r="A2585" t="inlineStr">
        <is>
          <t>3월</t>
        </is>
      </c>
      <c r="B2585" t="inlineStr">
        <is>
          <t>13주차</t>
        </is>
      </c>
      <c r="C2585" t="inlineStr">
        <is>
          <t>EP</t>
        </is>
      </c>
      <c r="D2585" s="28" t="n">
        <v>46105</v>
      </c>
      <c r="E2585" t="inlineStr">
        <is>
          <t>현대EP_fast</t>
        </is>
      </c>
      <c r="F2585" t="inlineStr">
        <is>
          <t>송등환</t>
        </is>
      </c>
      <c r="G2585" t="inlineStr">
        <is>
          <t>010-3755-7676</t>
        </is>
      </c>
      <c r="H2585" t="inlineStr">
        <is>
          <t>31부0424</t>
        </is>
      </c>
      <c r="I2585" t="n">
        <v>10900000</v>
      </c>
      <c r="J2585" t="n">
        <v>0.102</v>
      </c>
      <c r="K2585" t="n">
        <v>1.76</v>
      </c>
      <c r="L2585" t="n">
        <v>0.14</v>
      </c>
      <c r="M2585" t="n">
        <v>1.62</v>
      </c>
      <c r="P2585" t="inlineStr">
        <is>
          <t>김수연</t>
        </is>
      </c>
      <c r="Q2585" t="inlineStr">
        <is>
          <t>홈서비스 60개월</t>
        </is>
      </c>
      <c r="AB2585" t="inlineStr">
        <is>
          <t>홈서비스</t>
        </is>
      </c>
      <c r="AC2585" t="n">
        <v>191840</v>
      </c>
      <c r="AD2585" t="n">
        <v>15260</v>
      </c>
      <c r="AE2585" t="n">
        <v>176580</v>
      </c>
      <c r="AF2585" t="n">
        <v>174400</v>
      </c>
      <c r="AG2585" t="n">
        <v>14756.42</v>
      </c>
      <c r="AH2585" t="n">
        <v>159643.58</v>
      </c>
      <c r="AI2585" t="n">
        <v>0</v>
      </c>
    </row>
    <row r="2586">
      <c r="A2586" t="inlineStr">
        <is>
          <t>3월</t>
        </is>
      </c>
      <c r="B2586" t="inlineStr">
        <is>
          <t>13주차</t>
        </is>
      </c>
      <c r="C2586" t="inlineStr">
        <is>
          <t>EP</t>
        </is>
      </c>
      <c r="D2586" s="28" t="n">
        <v>46106</v>
      </c>
      <c r="E2586" t="inlineStr">
        <is>
          <t>제이비EP</t>
        </is>
      </c>
      <c r="F2586" t="inlineStr">
        <is>
          <t>김경표</t>
        </is>
      </c>
      <c r="G2586" t="inlineStr">
        <is>
          <t>010-3849-9180</t>
        </is>
      </c>
      <c r="H2586" t="inlineStr">
        <is>
          <t>159구9728</t>
        </is>
      </c>
      <c r="I2586" t="n">
        <v>18100000</v>
      </c>
      <c r="J2586" t="n">
        <v>0.066</v>
      </c>
      <c r="K2586" t="n">
        <v>1.65</v>
      </c>
      <c r="L2586" t="n">
        <v>0.14</v>
      </c>
      <c r="M2586" t="n">
        <v>1.51</v>
      </c>
      <c r="P2586" t="inlineStr">
        <is>
          <t>황채이</t>
        </is>
      </c>
      <c r="Q2586" t="inlineStr">
        <is>
          <t>홈서비스 60개월</t>
        </is>
      </c>
      <c r="AB2586" t="inlineStr">
        <is>
          <t>홈서비스</t>
        </is>
      </c>
      <c r="AC2586" t="n">
        <v>298650</v>
      </c>
      <c r="AD2586" t="n">
        <v>25340</v>
      </c>
      <c r="AE2586" t="n">
        <v>273310</v>
      </c>
      <c r="AF2586" t="n">
        <v>271500</v>
      </c>
      <c r="AG2586" t="n">
        <v>24503.78</v>
      </c>
      <c r="AH2586" t="n">
        <v>246996.22</v>
      </c>
      <c r="AI2586" t="n">
        <v>0</v>
      </c>
    </row>
    <row r="2587">
      <c r="A2587" t="inlineStr">
        <is>
          <t>3월</t>
        </is>
      </c>
      <c r="B2587" t="inlineStr">
        <is>
          <t>13주차</t>
        </is>
      </c>
      <c r="C2587" t="inlineStr">
        <is>
          <t>EP</t>
        </is>
      </c>
      <c r="D2587" s="28" t="n">
        <v>46106</v>
      </c>
      <c r="E2587" t="inlineStr">
        <is>
          <t>현대EP_fast</t>
        </is>
      </c>
      <c r="F2587" t="inlineStr">
        <is>
          <t>박해정</t>
        </is>
      </c>
      <c r="G2587" t="inlineStr">
        <is>
          <t>010-4569-0113</t>
        </is>
      </c>
      <c r="H2587" t="inlineStr">
        <is>
          <t>161러9428</t>
        </is>
      </c>
      <c r="I2587" t="n">
        <v>17500000</v>
      </c>
      <c r="J2587" t="n">
        <v>0.105</v>
      </c>
      <c r="K2587" t="n">
        <v>1.76</v>
      </c>
      <c r="L2587" t="n">
        <v>0.14</v>
      </c>
      <c r="M2587" t="n">
        <v>1.62</v>
      </c>
      <c r="P2587" t="inlineStr">
        <is>
          <t>황채이</t>
        </is>
      </c>
      <c r="Q2587" t="inlineStr">
        <is>
          <t>홈서비스 60개월 / 공동명의</t>
        </is>
      </c>
      <c r="AB2587" t="inlineStr">
        <is>
          <t>홈서비스</t>
        </is>
      </c>
      <c r="AC2587" t="n">
        <v>308000</v>
      </c>
      <c r="AD2587" t="n">
        <v>24500</v>
      </c>
      <c r="AE2587" t="n">
        <v>283500</v>
      </c>
      <c r="AF2587" t="n">
        <v>280000</v>
      </c>
      <c r="AG2587" t="n">
        <v>23691.5</v>
      </c>
      <c r="AH2587" t="n">
        <v>256308.5</v>
      </c>
      <c r="AI2587" t="n">
        <v>0</v>
      </c>
    </row>
    <row r="2588">
      <c r="A2588" t="inlineStr">
        <is>
          <t>3월</t>
        </is>
      </c>
      <c r="B2588" t="inlineStr">
        <is>
          <t>13주차</t>
        </is>
      </c>
      <c r="C2588" t="inlineStr">
        <is>
          <t>EP</t>
        </is>
      </c>
      <c r="D2588" s="28" t="n">
        <v>46105</v>
      </c>
      <c r="E2588" t="inlineStr">
        <is>
          <t>현대EP</t>
        </is>
      </c>
      <c r="F2588" t="inlineStr">
        <is>
          <t>남종규</t>
        </is>
      </c>
      <c r="G2588" t="inlineStr">
        <is>
          <t>010-7186-3961</t>
        </is>
      </c>
      <c r="H2588" t="inlineStr">
        <is>
          <t>14서0995</t>
        </is>
      </c>
      <c r="I2588" t="n">
        <v>10900000</v>
      </c>
      <c r="J2588" t="n">
        <v>0.092</v>
      </c>
      <c r="K2588" t="n">
        <v>1.76</v>
      </c>
      <c r="L2588" t="n">
        <v>0.14</v>
      </c>
      <c r="M2588" t="n">
        <v>1.62</v>
      </c>
      <c r="P2588" t="inlineStr">
        <is>
          <t>정세빈</t>
        </is>
      </c>
      <c r="Q2588" t="inlineStr">
        <is>
          <t>홈서비스 60개월</t>
        </is>
      </c>
      <c r="AB2588" t="inlineStr">
        <is>
          <t>홈서비스</t>
        </is>
      </c>
      <c r="AC2588" t="n">
        <v>191840</v>
      </c>
      <c r="AD2588" t="n">
        <v>15260</v>
      </c>
      <c r="AE2588" t="n">
        <v>176580</v>
      </c>
      <c r="AF2588" t="n">
        <v>174400</v>
      </c>
      <c r="AG2588" t="n">
        <v>14756.42</v>
      </c>
      <c r="AH2588" t="n">
        <v>159643.58</v>
      </c>
      <c r="AI2588" t="n">
        <v>0</v>
      </c>
    </row>
    <row r="2589">
      <c r="A2589" t="inlineStr">
        <is>
          <t>3월</t>
        </is>
      </c>
      <c r="B2589" t="inlineStr">
        <is>
          <t>13주차</t>
        </is>
      </c>
      <c r="C2589" t="inlineStr">
        <is>
          <t>EP</t>
        </is>
      </c>
      <c r="D2589" s="28" t="n">
        <v>46105</v>
      </c>
      <c r="E2589" t="inlineStr">
        <is>
          <t>현대EP</t>
        </is>
      </c>
      <c r="F2589" t="inlineStr">
        <is>
          <t>유경준</t>
        </is>
      </c>
      <c r="G2589" t="inlineStr">
        <is>
          <t>010-4676-5742</t>
        </is>
      </c>
      <c r="H2589" t="inlineStr">
        <is>
          <t>32모4605</t>
        </is>
      </c>
      <c r="I2589" t="n">
        <v>18400000</v>
      </c>
      <c r="J2589" t="n">
        <v>0.105</v>
      </c>
      <c r="K2589" t="n">
        <v>1.76</v>
      </c>
      <c r="L2589" t="n">
        <v>0.14</v>
      </c>
      <c r="M2589" t="n">
        <v>1.62</v>
      </c>
      <c r="P2589" t="inlineStr">
        <is>
          <t>정세빈</t>
        </is>
      </c>
      <c r="Q2589" t="inlineStr">
        <is>
          <t>홈서비스 48개월</t>
        </is>
      </c>
      <c r="AB2589" t="inlineStr">
        <is>
          <t>홈서비스</t>
        </is>
      </c>
      <c r="AC2589" t="n">
        <v>323840</v>
      </c>
      <c r="AD2589" t="n">
        <v>25760</v>
      </c>
      <c r="AE2589" t="n">
        <v>298080</v>
      </c>
      <c r="AF2589" t="n">
        <v>294400</v>
      </c>
      <c r="AG2589" t="n">
        <v>24909.92</v>
      </c>
      <c r="AH2589" t="n">
        <v>269490.08</v>
      </c>
      <c r="AI2589" t="n">
        <v>0</v>
      </c>
    </row>
    <row r="2590">
      <c r="A2590" t="inlineStr">
        <is>
          <t>3월</t>
        </is>
      </c>
      <c r="B2590" t="inlineStr">
        <is>
          <t>13주차</t>
        </is>
      </c>
      <c r="C2590" t="inlineStr">
        <is>
          <t>EP</t>
        </is>
      </c>
      <c r="D2590" s="28" t="n">
        <v>46105</v>
      </c>
      <c r="E2590" t="inlineStr">
        <is>
          <t>BNKEP</t>
        </is>
      </c>
      <c r="F2590" t="inlineStr">
        <is>
          <t>홍정혜</t>
        </is>
      </c>
      <c r="G2590" t="inlineStr">
        <is>
          <t>010-3245-1527</t>
        </is>
      </c>
      <c r="H2590" t="inlineStr">
        <is>
          <t>261가1802</t>
        </is>
      </c>
      <c r="I2590" t="n">
        <v>25000000</v>
      </c>
      <c r="J2590" t="n">
        <v>0.128</v>
      </c>
      <c r="K2590" t="n">
        <v>1.65</v>
      </c>
      <c r="L2590" t="n">
        <v>0.14</v>
      </c>
      <c r="M2590" t="n">
        <v>1.51</v>
      </c>
      <c r="P2590" t="inlineStr">
        <is>
          <t>박현민</t>
        </is>
      </c>
      <c r="Q2590" t="inlineStr">
        <is>
          <t>홈서비스 60개월</t>
        </is>
      </c>
      <c r="AB2590" t="inlineStr">
        <is>
          <t>홈서비스</t>
        </is>
      </c>
      <c r="AC2590" t="n">
        <v>412500</v>
      </c>
      <c r="AD2590" t="n">
        <v>35000</v>
      </c>
      <c r="AE2590" t="n">
        <v>377500</v>
      </c>
      <c r="AF2590" t="n">
        <v>375000</v>
      </c>
      <c r="AG2590" t="n">
        <v>33845</v>
      </c>
      <c r="AH2590" t="n">
        <v>341155</v>
      </c>
    </row>
    <row r="2591">
      <c r="A2591" t="inlineStr">
        <is>
          <t>3월</t>
        </is>
      </c>
      <c r="B2591" t="inlineStr">
        <is>
          <t>13주차</t>
        </is>
      </c>
      <c r="C2591" t="inlineStr">
        <is>
          <t>EP</t>
        </is>
      </c>
      <c r="D2591" s="28" t="n">
        <v>46106</v>
      </c>
      <c r="E2591" t="inlineStr">
        <is>
          <t>현대EP_fast</t>
        </is>
      </c>
      <c r="F2591" t="inlineStr">
        <is>
          <t>오해룡</t>
        </is>
      </c>
      <c r="G2591" t="inlineStr">
        <is>
          <t>010-6639-0663</t>
        </is>
      </c>
      <c r="H2591" t="inlineStr">
        <is>
          <t>33러9323</t>
        </is>
      </c>
      <c r="I2591" t="n">
        <v>13700000</v>
      </c>
      <c r="J2591" t="n">
        <v>0.118</v>
      </c>
      <c r="K2591" t="n">
        <v>1.76</v>
      </c>
      <c r="L2591" t="n">
        <v>0.14</v>
      </c>
      <c r="M2591" t="n">
        <v>1.62</v>
      </c>
      <c r="P2591" t="inlineStr">
        <is>
          <t>정세빈</t>
        </is>
      </c>
      <c r="Q2591" t="inlineStr">
        <is>
          <t>홈서비스 36개월</t>
        </is>
      </c>
      <c r="AB2591" t="inlineStr">
        <is>
          <t>홈서비스</t>
        </is>
      </c>
      <c r="AC2591" t="n">
        <v>241120</v>
      </c>
      <c r="AD2591" t="n">
        <v>19180</v>
      </c>
      <c r="AE2591" t="n">
        <v>221940</v>
      </c>
      <c r="AF2591" t="n">
        <v>219200</v>
      </c>
      <c r="AG2591" t="n">
        <v>18547.06</v>
      </c>
      <c r="AH2591" t="n">
        <v>200652.94</v>
      </c>
      <c r="AI2591" t="n">
        <v>0</v>
      </c>
    </row>
    <row r="2592">
      <c r="A2592" t="inlineStr">
        <is>
          <t>3월</t>
        </is>
      </c>
      <c r="B2592" t="inlineStr">
        <is>
          <t>13주차</t>
        </is>
      </c>
      <c r="C2592" t="inlineStr">
        <is>
          <t>EP</t>
        </is>
      </c>
      <c r="D2592" s="28" t="n">
        <v>46105</v>
      </c>
      <c r="E2592" t="inlineStr">
        <is>
          <t>BNKEP</t>
        </is>
      </c>
      <c r="F2592" t="inlineStr">
        <is>
          <t>조영진</t>
        </is>
      </c>
      <c r="G2592" t="inlineStr">
        <is>
          <t>010-4179-5356</t>
        </is>
      </c>
      <c r="H2592" t="inlineStr">
        <is>
          <t>72서6463</t>
        </is>
      </c>
      <c r="I2592" t="n">
        <v>18000000</v>
      </c>
      <c r="J2592" t="n">
        <v>0.061</v>
      </c>
      <c r="K2592" t="n">
        <v>1.65</v>
      </c>
      <c r="L2592" t="n">
        <v>0.14</v>
      </c>
      <c r="M2592" t="n">
        <v>1.51</v>
      </c>
      <c r="P2592" t="inlineStr">
        <is>
          <t>김나윤</t>
        </is>
      </c>
      <c r="Q2592" t="inlineStr">
        <is>
          <t>홈서비스 36개월</t>
        </is>
      </c>
      <c r="AB2592" t="inlineStr">
        <is>
          <t>홈서비스</t>
        </is>
      </c>
      <c r="AC2592" t="n">
        <v>297000</v>
      </c>
      <c r="AD2592" t="n">
        <v>25200</v>
      </c>
      <c r="AE2592" t="n">
        <v>271800</v>
      </c>
      <c r="AF2592" t="n">
        <v>270000</v>
      </c>
      <c r="AG2592" t="n">
        <v>24368.4</v>
      </c>
      <c r="AH2592" t="n">
        <v>245631.6</v>
      </c>
    </row>
    <row r="2593">
      <c r="A2593" t="inlineStr">
        <is>
          <t>3월</t>
        </is>
      </c>
      <c r="B2593" t="inlineStr">
        <is>
          <t>13주차</t>
        </is>
      </c>
      <c r="C2593" t="inlineStr">
        <is>
          <t>IM</t>
        </is>
      </c>
      <c r="D2593" s="28" t="n">
        <v>46105</v>
      </c>
      <c r="E2593" t="inlineStr">
        <is>
          <t>IM캐피탈</t>
        </is>
      </c>
      <c r="F2593" t="inlineStr">
        <is>
          <t>김형규</t>
        </is>
      </c>
      <c r="G2593" t="inlineStr">
        <is>
          <t>010-9146-0899</t>
        </is>
      </c>
      <c r="H2593" t="inlineStr">
        <is>
          <t>170너3724</t>
        </is>
      </c>
      <c r="I2593" t="n">
        <v>22300000</v>
      </c>
      <c r="J2593" t="n">
        <v>0.049</v>
      </c>
      <c r="K2593" t="n">
        <v>1.1</v>
      </c>
      <c r="L2593" t="n">
        <v>0.14</v>
      </c>
      <c r="M2593" t="n">
        <v>0.96</v>
      </c>
      <c r="P2593" t="inlineStr">
        <is>
          <t>정광호</t>
        </is>
      </c>
      <c r="Q2593" t="inlineStr">
        <is>
          <t>홈서비스 48개월</t>
        </is>
      </c>
      <c r="AB2593" t="inlineStr">
        <is>
          <t>홈서비스</t>
        </is>
      </c>
      <c r="AC2593" t="n">
        <v>245300</v>
      </c>
      <c r="AD2593" t="n">
        <v>31220</v>
      </c>
      <c r="AE2593" t="n">
        <v>214080</v>
      </c>
      <c r="AF2593" t="n">
        <v>223000</v>
      </c>
      <c r="AG2593" t="n">
        <v>30189.74</v>
      </c>
      <c r="AH2593" t="n">
        <v>192810.26</v>
      </c>
    </row>
    <row r="2594">
      <c r="A2594" t="inlineStr">
        <is>
          <t>3월</t>
        </is>
      </c>
      <c r="B2594" t="inlineStr">
        <is>
          <t>13주차</t>
        </is>
      </c>
      <c r="C2594" t="inlineStr">
        <is>
          <t>EP</t>
        </is>
      </c>
      <c r="D2594" s="28" t="n">
        <v>46105</v>
      </c>
      <c r="E2594" t="inlineStr">
        <is>
          <t>BNKEP</t>
        </is>
      </c>
      <c r="F2594" t="inlineStr">
        <is>
          <t>김성진</t>
        </is>
      </c>
      <c r="G2594" t="inlineStr">
        <is>
          <t>010-5513-0824</t>
        </is>
      </c>
      <c r="H2594" t="inlineStr">
        <is>
          <t>368러8472</t>
        </is>
      </c>
      <c r="I2594" t="n">
        <v>-52800000</v>
      </c>
      <c r="J2594" t="n">
        <v>0.077</v>
      </c>
      <c r="K2594" t="n">
        <v>1.65</v>
      </c>
      <c r="L2594" t="n">
        <v>0.14</v>
      </c>
      <c r="M2594" t="n">
        <v>1.51</v>
      </c>
      <c r="P2594" t="inlineStr">
        <is>
          <t>김나윤</t>
        </is>
      </c>
      <c r="Q2594" t="inlineStr">
        <is>
          <t>홈서비스 60개월</t>
        </is>
      </c>
      <c r="AB2594" t="inlineStr">
        <is>
          <t>홈서비스</t>
        </is>
      </c>
      <c r="AC2594" t="n">
        <v>-871200</v>
      </c>
      <c r="AD2594" t="n">
        <v>-73920</v>
      </c>
      <c r="AE2594" t="n">
        <v>-797280</v>
      </c>
      <c r="AF2594" t="n">
        <v>-792000</v>
      </c>
      <c r="AG2594" t="n">
        <v>-71480.64</v>
      </c>
      <c r="AH2594" t="n">
        <v>-720519.36</v>
      </c>
      <c r="AI2594" t="n">
        <v>0</v>
      </c>
    </row>
    <row r="2595">
      <c r="A2595" t="inlineStr">
        <is>
          <t>3월</t>
        </is>
      </c>
      <c r="B2595" t="inlineStr">
        <is>
          <t>13주차</t>
        </is>
      </c>
      <c r="C2595" t="inlineStr">
        <is>
          <t>EP</t>
        </is>
      </c>
      <c r="D2595" s="28" t="n">
        <v>46105</v>
      </c>
      <c r="E2595" t="inlineStr">
        <is>
          <t>현대EP_fast</t>
        </is>
      </c>
      <c r="F2595" t="inlineStr">
        <is>
          <t>신나리</t>
        </is>
      </c>
      <c r="G2595" t="inlineStr">
        <is>
          <t>010-5435-9857</t>
        </is>
      </c>
      <c r="H2595" t="inlineStr">
        <is>
          <t>50너2348</t>
        </is>
      </c>
      <c r="I2595" t="n">
        <v>4000000</v>
      </c>
      <c r="J2595" t="n">
        <v>0.154</v>
      </c>
      <c r="K2595" t="n">
        <v>1.76</v>
      </c>
      <c r="L2595" t="n">
        <v>0.4</v>
      </c>
      <c r="M2595" t="n">
        <v>1.36</v>
      </c>
      <c r="P2595" t="inlineStr">
        <is>
          <t>최혁</t>
        </is>
      </c>
      <c r="AB2595" t="inlineStr">
        <is>
          <t>엔카</t>
        </is>
      </c>
      <c r="AC2595" t="n">
        <v>70400</v>
      </c>
      <c r="AD2595" t="n">
        <v>16000</v>
      </c>
      <c r="AE2595" t="n">
        <v>54400</v>
      </c>
      <c r="AF2595" t="n">
        <v>64000</v>
      </c>
      <c r="AG2595" t="n">
        <v>15472</v>
      </c>
      <c r="AH2595" t="n">
        <v>48528</v>
      </c>
      <c r="AI2595" t="n">
        <v>0</v>
      </c>
    </row>
    <row r="2596">
      <c r="A2596" t="inlineStr">
        <is>
          <t>3월</t>
        </is>
      </c>
      <c r="B2596" t="inlineStr">
        <is>
          <t>13주차</t>
        </is>
      </c>
      <c r="C2596" t="inlineStr">
        <is>
          <t>OR</t>
        </is>
      </c>
      <c r="D2596" s="28" t="n">
        <v>46105</v>
      </c>
      <c r="E2596" t="inlineStr">
        <is>
          <t>오릭스</t>
        </is>
      </c>
      <c r="F2596" t="inlineStr">
        <is>
          <t>최동윤</t>
        </is>
      </c>
      <c r="G2596" t="inlineStr">
        <is>
          <t>010-4396-4448</t>
        </is>
      </c>
      <c r="H2596" t="inlineStr">
        <is>
          <t>337서7479</t>
        </is>
      </c>
      <c r="I2596" t="n">
        <v>30000000</v>
      </c>
      <c r="J2596" t="n">
        <v>0.064</v>
      </c>
      <c r="K2596" t="n">
        <v>1.65</v>
      </c>
      <c r="L2596" t="n">
        <v>0.4</v>
      </c>
      <c r="M2596" t="n">
        <v>1.25</v>
      </c>
      <c r="P2596" t="inlineStr">
        <is>
          <t>장진경</t>
        </is>
      </c>
      <c r="AB2596" t="inlineStr">
        <is>
          <t>엔카</t>
        </is>
      </c>
      <c r="AC2596" t="n">
        <v>495000</v>
      </c>
      <c r="AD2596" t="n">
        <v>120000</v>
      </c>
      <c r="AE2596" t="n">
        <v>375000</v>
      </c>
      <c r="AF2596" t="n">
        <v>450000</v>
      </c>
      <c r="AG2596" t="n">
        <v>116040</v>
      </c>
      <c r="AH2596" t="n">
        <v>333960</v>
      </c>
      <c r="AI2596" t="n">
        <v>0</v>
      </c>
    </row>
    <row r="2597">
      <c r="A2597" t="inlineStr">
        <is>
          <t>3월</t>
        </is>
      </c>
      <c r="B2597" t="inlineStr">
        <is>
          <t>13주차</t>
        </is>
      </c>
      <c r="C2597" t="inlineStr">
        <is>
          <t>EP</t>
        </is>
      </c>
      <c r="D2597" s="28" t="n">
        <v>46106</v>
      </c>
      <c r="E2597" t="inlineStr">
        <is>
          <t>현대EP_fast</t>
        </is>
      </c>
      <c r="F2597" t="inlineStr">
        <is>
          <t>정민규</t>
        </is>
      </c>
      <c r="G2597" t="inlineStr">
        <is>
          <t>010-4282-0289</t>
        </is>
      </c>
      <c r="H2597" t="inlineStr">
        <is>
          <t>143하1105</t>
        </is>
      </c>
      <c r="I2597" t="n">
        <v>25400000</v>
      </c>
      <c r="J2597" t="n">
        <v>0.09</v>
      </c>
      <c r="K2597" t="n">
        <v>1.76</v>
      </c>
      <c r="L2597" t="n">
        <v>0.14</v>
      </c>
      <c r="M2597" t="n">
        <v>1.62</v>
      </c>
      <c r="P2597" t="inlineStr">
        <is>
          <t>정세빈</t>
        </is>
      </c>
      <c r="Q2597" t="inlineStr">
        <is>
          <t>홈서비스 60개월</t>
        </is>
      </c>
      <c r="AB2597" t="inlineStr">
        <is>
          <t>홈서비스</t>
        </is>
      </c>
      <c r="AC2597" t="n">
        <v>447040</v>
      </c>
      <c r="AD2597" t="n">
        <v>35560</v>
      </c>
      <c r="AE2597" t="n">
        <v>411480</v>
      </c>
      <c r="AF2597" t="n">
        <v>406400</v>
      </c>
      <c r="AG2597" t="n">
        <v>34386.52</v>
      </c>
      <c r="AH2597" t="n">
        <v>372013.48</v>
      </c>
      <c r="AI2597" t="n">
        <v>0</v>
      </c>
    </row>
    <row r="2598">
      <c r="A2598" t="inlineStr">
        <is>
          <t>3월</t>
        </is>
      </c>
      <c r="B2598" t="inlineStr">
        <is>
          <t>13주차</t>
        </is>
      </c>
      <c r="C2598" t="inlineStr">
        <is>
          <t>EP</t>
        </is>
      </c>
      <c r="D2598" s="28" t="n">
        <v>46105</v>
      </c>
      <c r="E2598" t="inlineStr">
        <is>
          <t>BNKEP</t>
        </is>
      </c>
      <c r="F2598" t="inlineStr">
        <is>
          <t>강예린</t>
        </is>
      </c>
      <c r="G2598" t="inlineStr">
        <is>
          <t>010-8486-9667</t>
        </is>
      </c>
      <c r="H2598" t="inlineStr">
        <is>
          <t>62모9936</t>
        </is>
      </c>
      <c r="I2598" t="n">
        <v>-6900000</v>
      </c>
      <c r="J2598" t="n">
        <v>0.117</v>
      </c>
      <c r="K2598" t="n">
        <v>1.65</v>
      </c>
      <c r="L2598" t="n">
        <v>0.14</v>
      </c>
      <c r="M2598" t="n">
        <v>1.51</v>
      </c>
      <c r="P2598" t="inlineStr">
        <is>
          <t>최형주</t>
        </is>
      </c>
      <c r="Q2598" t="inlineStr">
        <is>
          <t>홈서비스 60개월</t>
        </is>
      </c>
      <c r="AB2598" t="inlineStr">
        <is>
          <t>홈서비스</t>
        </is>
      </c>
      <c r="AC2598" t="n">
        <v>-113850</v>
      </c>
      <c r="AD2598" t="n">
        <v>-9660</v>
      </c>
      <c r="AE2598" t="n">
        <v>-104190</v>
      </c>
      <c r="AF2598" t="n">
        <v>-103500</v>
      </c>
      <c r="AG2598" t="n">
        <v>-9341.219999999999</v>
      </c>
      <c r="AH2598" t="n">
        <v>-94158.78</v>
      </c>
      <c r="AI2598" t="n">
        <v>0</v>
      </c>
    </row>
    <row r="2599">
      <c r="A2599" t="inlineStr">
        <is>
          <t>3월</t>
        </is>
      </c>
      <c r="B2599" t="inlineStr">
        <is>
          <t>13주차</t>
        </is>
      </c>
      <c r="C2599" t="inlineStr">
        <is>
          <t>EP</t>
        </is>
      </c>
      <c r="D2599" s="28" t="n">
        <v>46105</v>
      </c>
      <c r="E2599" t="inlineStr">
        <is>
          <t>현대EP</t>
        </is>
      </c>
      <c r="F2599" t="inlineStr">
        <is>
          <t>김성원</t>
        </is>
      </c>
      <c r="G2599" t="inlineStr">
        <is>
          <t>010-2191-1592</t>
        </is>
      </c>
      <c r="H2599" t="inlineStr">
        <is>
          <t>142소6777</t>
        </is>
      </c>
      <c r="I2599" t="n">
        <v>-75900000</v>
      </c>
      <c r="J2599" t="n">
        <v>0.077</v>
      </c>
      <c r="K2599" t="n">
        <v>1.76</v>
      </c>
      <c r="L2599" t="n">
        <v>0.14</v>
      </c>
      <c r="M2599" t="n">
        <v>1.62</v>
      </c>
      <c r="P2599" t="inlineStr">
        <is>
          <t>김수연</t>
        </is>
      </c>
      <c r="Q2599" t="inlineStr">
        <is>
          <t>홈서비스 60개월</t>
        </is>
      </c>
      <c r="AB2599" t="inlineStr">
        <is>
          <t>홈서비스</t>
        </is>
      </c>
      <c r="AC2599" t="n">
        <v>-1335840</v>
      </c>
      <c r="AD2599" t="n">
        <v>-106260</v>
      </c>
      <c r="AE2599" t="n">
        <v>-1229580</v>
      </c>
      <c r="AF2599" t="n">
        <v>-1214400</v>
      </c>
      <c r="AG2599" t="n">
        <v>-102753.42</v>
      </c>
      <c r="AH2599" t="n">
        <v>-1111646.58</v>
      </c>
    </row>
    <row r="2600">
      <c r="A2600" t="inlineStr">
        <is>
          <t>3월</t>
        </is>
      </c>
      <c r="B2600" t="inlineStr">
        <is>
          <t>13주차</t>
        </is>
      </c>
      <c r="C2600" t="inlineStr">
        <is>
          <t>EP</t>
        </is>
      </c>
      <c r="D2600" s="28" t="n">
        <v>46105</v>
      </c>
      <c r="E2600" t="inlineStr">
        <is>
          <t>현대EP</t>
        </is>
      </c>
      <c r="F2600" t="inlineStr">
        <is>
          <t>정재웅</t>
        </is>
      </c>
      <c r="G2600" t="inlineStr">
        <is>
          <t>010-3514-7143</t>
        </is>
      </c>
      <c r="H2600" t="inlineStr">
        <is>
          <t>14주3460</t>
        </is>
      </c>
      <c r="I2600" t="n">
        <v>-17400000</v>
      </c>
      <c r="J2600" t="n">
        <v>0.07099999999999999</v>
      </c>
      <c r="K2600" t="n">
        <v>1.76</v>
      </c>
      <c r="L2600" t="n">
        <v>0.14</v>
      </c>
      <c r="M2600" t="n">
        <v>1.62</v>
      </c>
      <c r="P2600" t="inlineStr">
        <is>
          <t>김수연</t>
        </is>
      </c>
      <c r="Q2600" t="inlineStr">
        <is>
          <t>홈서비스 60개월</t>
        </is>
      </c>
      <c r="AB2600" t="inlineStr">
        <is>
          <t>홈서비스</t>
        </is>
      </c>
      <c r="AC2600" t="n">
        <v>-306240</v>
      </c>
      <c r="AD2600" t="n">
        <v>-24360</v>
      </c>
      <c r="AE2600" t="n">
        <v>-281880</v>
      </c>
      <c r="AF2600" t="n">
        <v>-278400</v>
      </c>
      <c r="AG2600" t="n">
        <v>-23556.12</v>
      </c>
      <c r="AH2600" t="n">
        <v>-254843.88</v>
      </c>
      <c r="AI2600" t="n">
        <v>0</v>
      </c>
    </row>
    <row r="2601">
      <c r="A2601" t="inlineStr">
        <is>
          <t>3월</t>
        </is>
      </c>
      <c r="B2601" t="inlineStr">
        <is>
          <t>13주차</t>
        </is>
      </c>
      <c r="C2601" t="inlineStr">
        <is>
          <t>EP</t>
        </is>
      </c>
      <c r="D2601" s="28" t="n">
        <v>46105</v>
      </c>
      <c r="E2601" t="inlineStr">
        <is>
          <t>현대EP</t>
        </is>
      </c>
      <c r="F2601" t="inlineStr">
        <is>
          <t>류은진</t>
        </is>
      </c>
      <c r="G2601" t="inlineStr">
        <is>
          <t>010-8426-6325</t>
        </is>
      </c>
      <c r="H2601" t="inlineStr">
        <is>
          <t>55가5757</t>
        </is>
      </c>
      <c r="I2601" t="n">
        <v>32800000</v>
      </c>
      <c r="J2601" t="n">
        <v>0.075</v>
      </c>
      <c r="K2601" t="n">
        <v>1.76</v>
      </c>
      <c r="L2601" t="n">
        <v>0.14</v>
      </c>
      <c r="M2601" t="n">
        <v>1.62</v>
      </c>
      <c r="P2601" t="inlineStr">
        <is>
          <t>정광호</t>
        </is>
      </c>
      <c r="Q2601" t="inlineStr">
        <is>
          <t>홈서비스 60개월</t>
        </is>
      </c>
      <c r="AB2601" t="inlineStr">
        <is>
          <t>홈서비스</t>
        </is>
      </c>
      <c r="AC2601" t="n">
        <v>577280</v>
      </c>
      <c r="AD2601" t="n">
        <v>45920</v>
      </c>
      <c r="AE2601" t="n">
        <v>531360</v>
      </c>
      <c r="AF2601" t="n">
        <v>524800</v>
      </c>
      <c r="AG2601" t="n">
        <v>44404.64</v>
      </c>
      <c r="AH2601" t="n">
        <v>480395.36</v>
      </c>
    </row>
    <row r="2602">
      <c r="A2602" t="inlineStr">
        <is>
          <t>3월</t>
        </is>
      </c>
      <c r="B2602" t="inlineStr">
        <is>
          <t>13주차</t>
        </is>
      </c>
      <c r="C2602" t="inlineStr">
        <is>
          <t>EP</t>
        </is>
      </c>
      <c r="D2602" s="28" t="n">
        <v>46106</v>
      </c>
      <c r="E2602" t="inlineStr">
        <is>
          <t>BNKEP</t>
        </is>
      </c>
      <c r="F2602" t="inlineStr">
        <is>
          <t>장수인</t>
        </is>
      </c>
      <c r="G2602" t="inlineStr">
        <is>
          <t>010-9932-0472</t>
        </is>
      </c>
      <c r="H2602" t="inlineStr">
        <is>
          <t>247루9236</t>
        </is>
      </c>
      <c r="I2602" t="n">
        <v>16500000</v>
      </c>
      <c r="J2602" t="n">
        <v>0.07000000000000001</v>
      </c>
      <c r="K2602" t="n">
        <v>1.65</v>
      </c>
      <c r="L2602" t="n">
        <v>0.14</v>
      </c>
      <c r="M2602" t="n">
        <v>1.51</v>
      </c>
      <c r="P2602" t="inlineStr">
        <is>
          <t>정세빈</t>
        </is>
      </c>
      <c r="Q2602" t="inlineStr">
        <is>
          <t>홈서비스 60개월 / 공동명의</t>
        </is>
      </c>
      <c r="AB2602" t="inlineStr">
        <is>
          <t>홈서비스</t>
        </is>
      </c>
      <c r="AC2602" t="n">
        <v>272250</v>
      </c>
      <c r="AD2602" t="n">
        <v>23100</v>
      </c>
      <c r="AE2602" t="n">
        <v>249150</v>
      </c>
      <c r="AF2602" t="n">
        <v>247500</v>
      </c>
      <c r="AG2602" t="n">
        <v>22337.7</v>
      </c>
      <c r="AH2602" t="n">
        <v>225162.3</v>
      </c>
    </row>
    <row r="2603">
      <c r="A2603" t="inlineStr">
        <is>
          <t>3월</t>
        </is>
      </c>
      <c r="B2603" t="inlineStr">
        <is>
          <t>13주차</t>
        </is>
      </c>
      <c r="C2603" t="inlineStr">
        <is>
          <t>IM</t>
        </is>
      </c>
      <c r="D2603" s="28" t="n">
        <v>46105</v>
      </c>
      <c r="E2603" t="inlineStr">
        <is>
          <t>IM캐피탈</t>
        </is>
      </c>
      <c r="F2603" t="inlineStr">
        <is>
          <t>서보관</t>
        </is>
      </c>
      <c r="G2603" t="inlineStr">
        <is>
          <t>010-6441-7793</t>
        </is>
      </c>
      <c r="H2603" t="inlineStr">
        <is>
          <t>133조6100</t>
        </is>
      </c>
      <c r="I2603" t="n">
        <v>54900000</v>
      </c>
      <c r="J2603" t="n">
        <v>0.049</v>
      </c>
      <c r="K2603" t="n">
        <v>1.1</v>
      </c>
      <c r="L2603" t="n">
        <v>0.4</v>
      </c>
      <c r="M2603" t="n">
        <v>0.7</v>
      </c>
      <c r="P2603" t="inlineStr">
        <is>
          <t>장진경</t>
        </is>
      </c>
      <c r="AB2603" t="inlineStr">
        <is>
          <t>엔카</t>
        </is>
      </c>
      <c r="AC2603" t="n">
        <v>603900</v>
      </c>
      <c r="AD2603" t="n">
        <v>219600</v>
      </c>
      <c r="AE2603" t="n">
        <v>384300</v>
      </c>
      <c r="AF2603" t="n">
        <v>549000</v>
      </c>
      <c r="AG2603" t="n">
        <v>212353.2</v>
      </c>
      <c r="AH2603" t="n">
        <v>336646.8</v>
      </c>
      <c r="AI2603" t="n">
        <v>0</v>
      </c>
    </row>
    <row r="2604">
      <c r="A2604" t="inlineStr">
        <is>
          <t>3월</t>
        </is>
      </c>
      <c r="B2604" t="inlineStr">
        <is>
          <t>13주차</t>
        </is>
      </c>
      <c r="C2604" t="inlineStr">
        <is>
          <t>EP</t>
        </is>
      </c>
      <c r="D2604" s="28" t="n">
        <v>46106</v>
      </c>
      <c r="E2604" t="inlineStr">
        <is>
          <t>BNKEP</t>
        </is>
      </c>
      <c r="F2604" t="inlineStr">
        <is>
          <t>박종식</t>
        </is>
      </c>
      <c r="G2604" t="inlineStr">
        <is>
          <t>010-2970-6649</t>
        </is>
      </c>
      <c r="H2604" t="inlineStr">
        <is>
          <t>210고3501</t>
        </is>
      </c>
      <c r="I2604" t="n">
        <v>10000000</v>
      </c>
      <c r="J2604" t="n">
        <v>0.07099999999999999</v>
      </c>
      <c r="K2604" t="n">
        <v>1.65</v>
      </c>
      <c r="L2604" t="n">
        <v>0.14</v>
      </c>
      <c r="M2604" t="n">
        <v>1.51</v>
      </c>
      <c r="P2604" t="inlineStr">
        <is>
          <t>김수연</t>
        </is>
      </c>
      <c r="Q2604" t="inlineStr">
        <is>
          <t>홈서비스 48개월</t>
        </is>
      </c>
      <c r="AB2604" t="inlineStr">
        <is>
          <t>홈서비스</t>
        </is>
      </c>
      <c r="AC2604" t="n">
        <v>165000</v>
      </c>
      <c r="AD2604" t="n">
        <v>14000</v>
      </c>
      <c r="AE2604" t="n">
        <v>151000</v>
      </c>
      <c r="AF2604" t="n">
        <v>150000</v>
      </c>
      <c r="AG2604" t="n">
        <v>13538</v>
      </c>
      <c r="AH2604" t="n">
        <v>136462</v>
      </c>
      <c r="AI2604" t="n">
        <v>0</v>
      </c>
    </row>
    <row r="2605">
      <c r="A2605" t="inlineStr">
        <is>
          <t>3월</t>
        </is>
      </c>
      <c r="B2605" t="inlineStr">
        <is>
          <t>13주차</t>
        </is>
      </c>
      <c r="C2605" t="inlineStr">
        <is>
          <t>IM</t>
        </is>
      </c>
      <c r="D2605" s="28" t="n">
        <v>46105</v>
      </c>
      <c r="E2605" t="inlineStr">
        <is>
          <t>IM캐피탈</t>
        </is>
      </c>
      <c r="F2605" t="inlineStr">
        <is>
          <t>이재훈</t>
        </is>
      </c>
      <c r="G2605" t="inlineStr">
        <is>
          <t>010-5077-9293</t>
        </is>
      </c>
      <c r="H2605" t="inlineStr">
        <is>
          <t>179어8151</t>
        </is>
      </c>
      <c r="I2605" t="n">
        <v>50000000</v>
      </c>
      <c r="J2605" t="n">
        <v>0.049</v>
      </c>
      <c r="K2605" t="n">
        <v>1.1</v>
      </c>
      <c r="L2605" t="n">
        <v>0.4</v>
      </c>
      <c r="M2605" t="n">
        <v>0.7</v>
      </c>
      <c r="P2605" t="inlineStr">
        <is>
          <t>최혁</t>
        </is>
      </c>
      <c r="Q2605" t="inlineStr">
        <is>
          <t>론진행건</t>
        </is>
      </c>
      <c r="AB2605" t="inlineStr">
        <is>
          <t>엔카</t>
        </is>
      </c>
      <c r="AC2605" t="n">
        <v>550000</v>
      </c>
      <c r="AD2605" t="n">
        <v>200000</v>
      </c>
      <c r="AE2605" t="n">
        <v>350000</v>
      </c>
      <c r="AF2605" t="n">
        <v>500000</v>
      </c>
      <c r="AG2605" t="n">
        <v>193400</v>
      </c>
      <c r="AH2605" t="n">
        <v>306600</v>
      </c>
      <c r="AI2605" t="n">
        <v>0</v>
      </c>
    </row>
    <row r="2606">
      <c r="A2606" t="inlineStr">
        <is>
          <t>3월</t>
        </is>
      </c>
      <c r="B2606" t="inlineStr">
        <is>
          <t>13주차</t>
        </is>
      </c>
      <c r="C2606" t="inlineStr">
        <is>
          <t>OR</t>
        </is>
      </c>
      <c r="D2606" s="28" t="n">
        <v>46106</v>
      </c>
      <c r="E2606" t="inlineStr">
        <is>
          <t>오릭스</t>
        </is>
      </c>
      <c r="F2606" t="inlineStr">
        <is>
          <t>신효섭</t>
        </is>
      </c>
      <c r="G2606" t="inlineStr">
        <is>
          <t>010-6779-6432</t>
        </is>
      </c>
      <c r="H2606" t="inlineStr">
        <is>
          <t>156라9260</t>
        </is>
      </c>
      <c r="I2606" t="n">
        <v>22000000</v>
      </c>
      <c r="J2606" t="n">
        <v>0.055</v>
      </c>
      <c r="K2606" t="n">
        <v>1.65</v>
      </c>
      <c r="L2606" t="n">
        <v>0.14</v>
      </c>
      <c r="M2606" t="n">
        <v>1.51</v>
      </c>
      <c r="P2606" t="inlineStr">
        <is>
          <t>정세빈</t>
        </is>
      </c>
      <c r="Q2606" t="inlineStr">
        <is>
          <t>홈서비스 48개월</t>
        </is>
      </c>
      <c r="AB2606" t="inlineStr">
        <is>
          <t>홈서비스</t>
        </is>
      </c>
      <c r="AC2606" t="n">
        <v>363000</v>
      </c>
      <c r="AD2606" t="n">
        <v>30800</v>
      </c>
      <c r="AE2606" t="n">
        <v>332200</v>
      </c>
      <c r="AF2606" t="n">
        <v>330000</v>
      </c>
      <c r="AG2606" t="n">
        <v>29783.6</v>
      </c>
      <c r="AH2606" t="n">
        <v>300216.4</v>
      </c>
      <c r="AI2606" t="n">
        <v>0</v>
      </c>
    </row>
    <row r="2607">
      <c r="A2607" t="inlineStr">
        <is>
          <t>3월</t>
        </is>
      </c>
      <c r="B2607" t="inlineStr">
        <is>
          <t>13주차</t>
        </is>
      </c>
      <c r="C2607" t="inlineStr">
        <is>
          <t>EP</t>
        </is>
      </c>
      <c r="D2607" s="28" t="n">
        <v>46105</v>
      </c>
      <c r="E2607" t="inlineStr">
        <is>
          <t>현대EP_fast</t>
        </is>
      </c>
      <c r="F2607" t="inlineStr">
        <is>
          <t>박현길</t>
        </is>
      </c>
      <c r="G2607" t="inlineStr">
        <is>
          <t>010-5909-0876</t>
        </is>
      </c>
      <c r="H2607" t="inlineStr">
        <is>
          <t>399무2987</t>
        </is>
      </c>
      <c r="I2607" t="n">
        <v>13000000</v>
      </c>
      <c r="J2607" t="n">
        <v>0.102</v>
      </c>
      <c r="K2607" t="n">
        <v>1.76</v>
      </c>
      <c r="L2607" t="n">
        <v>0.4</v>
      </c>
      <c r="M2607" t="n">
        <v>1.36</v>
      </c>
      <c r="P2607" t="inlineStr">
        <is>
          <t>박보람</t>
        </is>
      </c>
      <c r="AB2607" t="inlineStr">
        <is>
          <t>엔카</t>
        </is>
      </c>
      <c r="AC2607" t="n">
        <v>228800</v>
      </c>
      <c r="AD2607" t="n">
        <v>52000</v>
      </c>
      <c r="AE2607" t="n">
        <v>176800</v>
      </c>
      <c r="AF2607" t="n">
        <v>208000</v>
      </c>
      <c r="AG2607" t="n">
        <v>50284</v>
      </c>
      <c r="AH2607" t="n">
        <v>157716</v>
      </c>
      <c r="AI2607" t="n">
        <v>0</v>
      </c>
    </row>
    <row r="2608">
      <c r="A2608" t="inlineStr">
        <is>
          <t>3월</t>
        </is>
      </c>
      <c r="B2608" t="inlineStr">
        <is>
          <t>13주차</t>
        </is>
      </c>
      <c r="C2608" t="inlineStr">
        <is>
          <t>OR</t>
        </is>
      </c>
      <c r="D2608" s="28" t="n">
        <v>46105</v>
      </c>
      <c r="E2608" t="inlineStr">
        <is>
          <t>오릭스</t>
        </is>
      </c>
      <c r="F2608" t="inlineStr">
        <is>
          <t>장한별</t>
        </is>
      </c>
      <c r="G2608" t="inlineStr">
        <is>
          <t>010-6887-3399</t>
        </is>
      </c>
      <c r="H2608" t="inlineStr">
        <is>
          <t>241러3515</t>
        </is>
      </c>
      <c r="I2608" t="n">
        <v>-24400000</v>
      </c>
      <c r="J2608" t="n">
        <v>0.064</v>
      </c>
      <c r="K2608" t="n">
        <v>1.65</v>
      </c>
      <c r="L2608" t="n">
        <v>0.14</v>
      </c>
      <c r="M2608" t="n">
        <v>1.51</v>
      </c>
      <c r="P2608" t="inlineStr">
        <is>
          <t>박보람</t>
        </is>
      </c>
      <c r="Q2608" t="inlineStr">
        <is>
          <t>선상담 / 홈서비스 60개월</t>
        </is>
      </c>
      <c r="AB2608" t="inlineStr">
        <is>
          <t>홈서비스</t>
        </is>
      </c>
      <c r="AC2608" t="n">
        <v>-402600</v>
      </c>
      <c r="AD2608" t="n">
        <v>-34160</v>
      </c>
      <c r="AE2608" t="n">
        <v>-368440</v>
      </c>
      <c r="AF2608" t="n">
        <v>-366000</v>
      </c>
      <c r="AG2608" t="n">
        <v>-33032.72</v>
      </c>
      <c r="AH2608" t="n">
        <v>-332967.28</v>
      </c>
      <c r="AI2608" t="n">
        <v>0</v>
      </c>
    </row>
    <row r="2609">
      <c r="A2609" t="inlineStr">
        <is>
          <t>3월</t>
        </is>
      </c>
      <c r="B2609" t="inlineStr">
        <is>
          <t>13주차</t>
        </is>
      </c>
      <c r="C2609" t="inlineStr">
        <is>
          <t>EP</t>
        </is>
      </c>
      <c r="D2609" s="28" t="n">
        <v>46106</v>
      </c>
      <c r="E2609" t="inlineStr">
        <is>
          <t>제이비EP</t>
        </is>
      </c>
      <c r="F2609" t="inlineStr">
        <is>
          <t>이재영</t>
        </is>
      </c>
      <c r="G2609" t="inlineStr">
        <is>
          <t>010-8897-6504</t>
        </is>
      </c>
      <c r="H2609" t="inlineStr">
        <is>
          <t>237나7171</t>
        </is>
      </c>
      <c r="I2609" t="n">
        <v>44600000</v>
      </c>
      <c r="J2609" t="n">
        <v>0.08500000000000001</v>
      </c>
      <c r="K2609" t="n">
        <v>1.65</v>
      </c>
      <c r="L2609" t="n">
        <v>0.4</v>
      </c>
      <c r="M2609" t="n">
        <v>1.25</v>
      </c>
      <c r="P2609" t="inlineStr">
        <is>
          <t>장진경</t>
        </is>
      </c>
      <c r="Q2609" t="inlineStr">
        <is>
          <t xml:space="preserve">부대비용 추가진행 </t>
        </is>
      </c>
      <c r="AB2609" t="inlineStr">
        <is>
          <t>엔카</t>
        </is>
      </c>
      <c r="AC2609" t="n">
        <v>735900</v>
      </c>
      <c r="AD2609" t="n">
        <v>178400</v>
      </c>
      <c r="AE2609" t="n">
        <v>557500</v>
      </c>
      <c r="AF2609" t="n">
        <v>669000</v>
      </c>
      <c r="AG2609" t="n">
        <v>172512.8</v>
      </c>
      <c r="AH2609" t="n">
        <v>496487.2</v>
      </c>
      <c r="AI2609" t="n">
        <v>0</v>
      </c>
    </row>
    <row r="2610">
      <c r="A2610" t="inlineStr">
        <is>
          <t>3월</t>
        </is>
      </c>
      <c r="B2610" t="inlineStr">
        <is>
          <t>13주차</t>
        </is>
      </c>
      <c r="C2610" t="inlineStr">
        <is>
          <t>IM</t>
        </is>
      </c>
      <c r="D2610" s="28" t="n">
        <v>46106</v>
      </c>
      <c r="E2610" t="inlineStr">
        <is>
          <t>IM캐피탈</t>
        </is>
      </c>
      <c r="F2610" t="inlineStr">
        <is>
          <t>조성미</t>
        </is>
      </c>
      <c r="G2610" t="inlineStr">
        <is>
          <t>010-2689-0593</t>
        </is>
      </c>
      <c r="H2610" t="inlineStr">
        <is>
          <t>133머2681</t>
        </is>
      </c>
      <c r="I2610" t="n">
        <v>19500000</v>
      </c>
      <c r="J2610" t="n">
        <v>0.039</v>
      </c>
      <c r="K2610" t="n">
        <v>1.1</v>
      </c>
      <c r="L2610" t="n">
        <v>0.14</v>
      </c>
      <c r="M2610" t="n">
        <v>0.96</v>
      </c>
      <c r="P2610" t="inlineStr">
        <is>
          <t>최형주</t>
        </is>
      </c>
      <c r="Q2610" t="inlineStr">
        <is>
          <t>홈서비스 60개월</t>
        </is>
      </c>
      <c r="AB2610" t="inlineStr">
        <is>
          <t>홈서비스</t>
        </is>
      </c>
      <c r="AC2610" t="n">
        <v>214500</v>
      </c>
      <c r="AD2610" t="n">
        <v>27300</v>
      </c>
      <c r="AE2610" t="n">
        <v>187200</v>
      </c>
      <c r="AF2610" t="n">
        <v>195000</v>
      </c>
      <c r="AG2610" t="n">
        <v>26399.1</v>
      </c>
      <c r="AH2610" t="n">
        <v>168600.9</v>
      </c>
      <c r="AI2610" t="n">
        <v>0</v>
      </c>
    </row>
    <row r="2611">
      <c r="A2611" t="inlineStr">
        <is>
          <t>3월</t>
        </is>
      </c>
      <c r="B2611" t="inlineStr">
        <is>
          <t>13주차</t>
        </is>
      </c>
      <c r="C2611" t="inlineStr">
        <is>
          <t>EP</t>
        </is>
      </c>
      <c r="D2611" s="28" t="n">
        <v>46106</v>
      </c>
      <c r="E2611" t="inlineStr">
        <is>
          <t>현대EP_fast</t>
        </is>
      </c>
      <c r="F2611" t="inlineStr">
        <is>
          <t>이경은</t>
        </is>
      </c>
      <c r="G2611" t="inlineStr">
        <is>
          <t>010-2336-4936</t>
        </is>
      </c>
      <c r="H2611" t="inlineStr">
        <is>
          <t>54나7051</t>
        </is>
      </c>
      <c r="I2611" t="n">
        <v>16000000</v>
      </c>
      <c r="J2611" t="n">
        <v>0.092</v>
      </c>
      <c r="K2611" t="n">
        <v>1.76</v>
      </c>
      <c r="L2611" t="n">
        <v>0.14</v>
      </c>
      <c r="M2611" t="n">
        <v>1.62</v>
      </c>
      <c r="P2611" t="inlineStr">
        <is>
          <t>정세빈</t>
        </is>
      </c>
      <c r="Q2611" t="inlineStr">
        <is>
          <t>홈서비스 48개월</t>
        </is>
      </c>
      <c r="AB2611" t="inlineStr">
        <is>
          <t>홈서비스</t>
        </is>
      </c>
      <c r="AC2611" t="n">
        <v>281600</v>
      </c>
      <c r="AD2611" t="n">
        <v>22400</v>
      </c>
      <c r="AE2611" t="n">
        <v>259200</v>
      </c>
      <c r="AF2611" t="n">
        <v>256000</v>
      </c>
      <c r="AG2611" t="n">
        <v>21660.8</v>
      </c>
      <c r="AH2611" t="n">
        <v>234339.2</v>
      </c>
      <c r="AI2611" t="n">
        <v>0</v>
      </c>
    </row>
    <row r="2612">
      <c r="A2612" t="inlineStr">
        <is>
          <t>3월</t>
        </is>
      </c>
      <c r="B2612" t="inlineStr">
        <is>
          <t>13주차</t>
        </is>
      </c>
      <c r="C2612" t="inlineStr">
        <is>
          <t>OR</t>
        </is>
      </c>
      <c r="D2612" s="28" t="n">
        <v>46106</v>
      </c>
      <c r="E2612" t="inlineStr">
        <is>
          <t>오릭스</t>
        </is>
      </c>
      <c r="F2612" t="inlineStr">
        <is>
          <t>김현수</t>
        </is>
      </c>
      <c r="G2612" t="inlineStr">
        <is>
          <t>010-4283-0702</t>
        </is>
      </c>
      <c r="H2612" t="inlineStr">
        <is>
          <t>181부6038</t>
        </is>
      </c>
      <c r="I2612" t="n">
        <v>38700000</v>
      </c>
      <c r="J2612" t="n">
        <v>0.055</v>
      </c>
      <c r="K2612" t="n">
        <v>1.65</v>
      </c>
      <c r="L2612" t="n">
        <v>0.14</v>
      </c>
      <c r="M2612" t="n">
        <v>1.51</v>
      </c>
      <c r="P2612" t="inlineStr">
        <is>
          <t>정광호</t>
        </is>
      </c>
      <c r="Q2612" t="inlineStr">
        <is>
          <t>홈서비스 60개월</t>
        </is>
      </c>
      <c r="AB2612" t="inlineStr">
        <is>
          <t>홈서비스</t>
        </is>
      </c>
      <c r="AC2612" t="n">
        <v>638550</v>
      </c>
      <c r="AD2612" t="n">
        <v>54180</v>
      </c>
      <c r="AE2612" t="n">
        <v>584370</v>
      </c>
      <c r="AF2612" t="n">
        <v>580500</v>
      </c>
      <c r="AG2612" t="n">
        <v>52392.06</v>
      </c>
      <c r="AH2612" t="n">
        <v>528107.9399999999</v>
      </c>
      <c r="AI2612" t="n">
        <v>0</v>
      </c>
    </row>
    <row r="2613">
      <c r="A2613" t="inlineStr">
        <is>
          <t>3월</t>
        </is>
      </c>
      <c r="B2613" t="inlineStr">
        <is>
          <t>13주차</t>
        </is>
      </c>
      <c r="C2613" t="inlineStr">
        <is>
          <t>EP</t>
        </is>
      </c>
      <c r="D2613" s="28" t="n">
        <v>46105</v>
      </c>
      <c r="E2613" t="inlineStr">
        <is>
          <t>BNKEP</t>
        </is>
      </c>
      <c r="F2613" t="inlineStr">
        <is>
          <t>홍정혜</t>
        </is>
      </c>
      <c r="G2613" t="inlineStr">
        <is>
          <t>010-3245-1527</t>
        </is>
      </c>
      <c r="H2613" t="inlineStr">
        <is>
          <t>261가1802</t>
        </is>
      </c>
      <c r="I2613" t="n">
        <v>-25000000</v>
      </c>
      <c r="J2613" t="n">
        <v>0.128</v>
      </c>
      <c r="K2613" t="n">
        <v>1.65</v>
      </c>
      <c r="L2613" t="n">
        <v>0.14</v>
      </c>
      <c r="M2613" t="n">
        <v>1.51</v>
      </c>
      <c r="P2613" t="inlineStr">
        <is>
          <t>박현민</t>
        </is>
      </c>
      <c r="Q2613" t="inlineStr">
        <is>
          <t>홈서비스 60개월</t>
        </is>
      </c>
      <c r="AB2613" t="inlineStr">
        <is>
          <t>홈서비스</t>
        </is>
      </c>
      <c r="AC2613" t="n">
        <v>-412500</v>
      </c>
      <c r="AD2613" t="n">
        <v>-35000</v>
      </c>
      <c r="AE2613" t="n">
        <v>-377500</v>
      </c>
      <c r="AF2613" t="n">
        <v>-375000</v>
      </c>
      <c r="AG2613" t="n">
        <v>-33845</v>
      </c>
      <c r="AH2613" t="n">
        <v>-341155</v>
      </c>
      <c r="AI2613" t="n">
        <v>0</v>
      </c>
    </row>
    <row r="2614">
      <c r="A2614" t="inlineStr">
        <is>
          <t>3월</t>
        </is>
      </c>
      <c r="B2614" t="inlineStr">
        <is>
          <t>13주차</t>
        </is>
      </c>
      <c r="C2614" t="inlineStr">
        <is>
          <t>IM</t>
        </is>
      </c>
      <c r="D2614" s="28" t="n">
        <v>46106</v>
      </c>
      <c r="E2614" t="inlineStr">
        <is>
          <t>IM캐피탈</t>
        </is>
      </c>
      <c r="F2614" t="inlineStr">
        <is>
          <t>이경미</t>
        </is>
      </c>
      <c r="G2614" t="inlineStr">
        <is>
          <t>010-7675-4443</t>
        </is>
      </c>
      <c r="H2614" t="inlineStr">
        <is>
          <t>389주9063</t>
        </is>
      </c>
      <c r="I2614" t="n">
        <v>14500000</v>
      </c>
      <c r="J2614" t="n">
        <v>0.049</v>
      </c>
      <c r="K2614" t="n">
        <v>1.1</v>
      </c>
      <c r="L2614" t="n">
        <v>0.14</v>
      </c>
      <c r="M2614" t="n">
        <v>0.96</v>
      </c>
      <c r="P2614" t="inlineStr">
        <is>
          <t>박현민</t>
        </is>
      </c>
      <c r="Q2614" t="inlineStr">
        <is>
          <t>홈서비스 48개월</t>
        </is>
      </c>
      <c r="AB2614" t="inlineStr">
        <is>
          <t>홈서비스</t>
        </is>
      </c>
      <c r="AC2614" t="n">
        <v>159500</v>
      </c>
      <c r="AD2614" t="n">
        <v>20300</v>
      </c>
      <c r="AE2614" t="n">
        <v>139200</v>
      </c>
      <c r="AF2614" t="n">
        <v>145000</v>
      </c>
      <c r="AG2614" t="n">
        <v>19630.1</v>
      </c>
      <c r="AH2614" t="n">
        <v>125369.9</v>
      </c>
      <c r="AI2614" t="n">
        <v>0</v>
      </c>
    </row>
    <row r="2615">
      <c r="A2615" t="inlineStr">
        <is>
          <t>3월</t>
        </is>
      </c>
      <c r="B2615" t="inlineStr">
        <is>
          <t>13주차</t>
        </is>
      </c>
      <c r="C2615" t="inlineStr">
        <is>
          <t>OR</t>
        </is>
      </c>
      <c r="D2615" s="28" t="n">
        <v>46106</v>
      </c>
      <c r="E2615" t="inlineStr">
        <is>
          <t>오릭스</t>
        </is>
      </c>
      <c r="F2615" t="inlineStr">
        <is>
          <t>김강목</t>
        </is>
      </c>
      <c r="G2615" t="inlineStr">
        <is>
          <t>010-8761-6951</t>
        </is>
      </c>
      <c r="H2615" t="inlineStr">
        <is>
          <t>229루6625</t>
        </is>
      </c>
      <c r="I2615" t="n">
        <v>23400000</v>
      </c>
      <c r="J2615" t="n">
        <v>0.08</v>
      </c>
      <c r="K2615" t="n">
        <v>1.65</v>
      </c>
      <c r="L2615" t="n">
        <v>0.4</v>
      </c>
      <c r="M2615" t="n">
        <v>1.25</v>
      </c>
      <c r="P2615" t="inlineStr">
        <is>
          <t>최혁</t>
        </is>
      </c>
      <c r="Q2615" t="inlineStr">
        <is>
          <t>론진행</t>
        </is>
      </c>
      <c r="AB2615" t="inlineStr">
        <is>
          <t>엔카</t>
        </is>
      </c>
      <c r="AC2615" t="n">
        <v>386100</v>
      </c>
      <c r="AD2615" t="n">
        <v>93600</v>
      </c>
      <c r="AE2615" t="n">
        <v>292500</v>
      </c>
      <c r="AF2615" t="n">
        <v>351000</v>
      </c>
      <c r="AG2615" t="n">
        <v>90511.2</v>
      </c>
      <c r="AH2615" t="n">
        <v>260488.8</v>
      </c>
      <c r="AI2615" t="n">
        <v>0</v>
      </c>
    </row>
    <row r="2616">
      <c r="A2616" t="inlineStr">
        <is>
          <t>3월</t>
        </is>
      </c>
      <c r="B2616" t="inlineStr">
        <is>
          <t>13주차</t>
        </is>
      </c>
      <c r="C2616" t="inlineStr">
        <is>
          <t>EP</t>
        </is>
      </c>
      <c r="D2616" s="28" t="n">
        <v>46104</v>
      </c>
      <c r="E2616" t="inlineStr">
        <is>
          <t>BNKEP</t>
        </is>
      </c>
      <c r="F2616" t="inlineStr">
        <is>
          <t>한기상</t>
        </is>
      </c>
      <c r="G2616" t="inlineStr">
        <is>
          <t>010-9317-8415</t>
        </is>
      </c>
      <c r="H2616" t="inlineStr">
        <is>
          <t>28수0832</t>
        </is>
      </c>
      <c r="I2616" t="n">
        <v>-8000000</v>
      </c>
      <c r="J2616" t="n">
        <v>0.077</v>
      </c>
      <c r="K2616" t="n">
        <v>1.65</v>
      </c>
      <c r="L2616" t="n">
        <v>0.14</v>
      </c>
      <c r="M2616" t="n">
        <v>1.51</v>
      </c>
      <c r="P2616" t="inlineStr">
        <is>
          <t>정하은</t>
        </is>
      </c>
      <c r="Q2616" t="inlineStr">
        <is>
          <t>선상담 /홈서비스 36개월</t>
        </is>
      </c>
      <c r="AB2616" t="inlineStr">
        <is>
          <t>홈서비스</t>
        </is>
      </c>
      <c r="AC2616" t="n">
        <v>-132000</v>
      </c>
      <c r="AD2616" t="n">
        <v>-11200</v>
      </c>
      <c r="AE2616" t="n">
        <v>-120800</v>
      </c>
      <c r="AF2616" t="n">
        <v>-120000</v>
      </c>
      <c r="AG2616" t="n">
        <v>-10830.4</v>
      </c>
      <c r="AH2616" t="n">
        <v>-109169.6</v>
      </c>
      <c r="AI2616" t="n">
        <v>0</v>
      </c>
    </row>
    <row r="2617">
      <c r="A2617" t="inlineStr">
        <is>
          <t>3월</t>
        </is>
      </c>
      <c r="B2617" t="inlineStr">
        <is>
          <t>13주차</t>
        </is>
      </c>
      <c r="C2617" t="inlineStr">
        <is>
          <t>EP</t>
        </is>
      </c>
      <c r="D2617" s="28" t="n">
        <v>46106</v>
      </c>
      <c r="E2617" t="inlineStr">
        <is>
          <t>현대EP_fast</t>
        </is>
      </c>
      <c r="F2617" t="inlineStr">
        <is>
          <t>김봉찬</t>
        </is>
      </c>
      <c r="G2617" t="inlineStr">
        <is>
          <t>010-8983-5455</t>
        </is>
      </c>
      <c r="H2617" t="inlineStr">
        <is>
          <t>158다1752</t>
        </is>
      </c>
      <c r="I2617" t="n">
        <v>20500000</v>
      </c>
      <c r="J2617" t="n">
        <v>0.105</v>
      </c>
      <c r="K2617" t="n">
        <v>1.76</v>
      </c>
      <c r="L2617" t="n">
        <v>0.14</v>
      </c>
      <c r="M2617" t="n">
        <v>1.62</v>
      </c>
      <c r="P2617" t="inlineStr">
        <is>
          <t>최형주</t>
        </is>
      </c>
      <c r="Q2617" t="inlineStr">
        <is>
          <t>홈서비스 48개월</t>
        </is>
      </c>
      <c r="AB2617" t="inlineStr">
        <is>
          <t>홈서비스</t>
        </is>
      </c>
      <c r="AC2617" t="n">
        <v>360800</v>
      </c>
      <c r="AD2617" t="n">
        <v>28700</v>
      </c>
      <c r="AE2617" t="n">
        <v>332100</v>
      </c>
      <c r="AF2617" t="n">
        <v>328000</v>
      </c>
      <c r="AG2617" t="n">
        <v>27752.9</v>
      </c>
      <c r="AH2617" t="n">
        <v>300247.1</v>
      </c>
      <c r="AI2617" t="n">
        <v>0</v>
      </c>
    </row>
    <row r="2618">
      <c r="A2618" t="inlineStr">
        <is>
          <t>3월</t>
        </is>
      </c>
      <c r="B2618" t="inlineStr">
        <is>
          <t>13주차</t>
        </is>
      </c>
      <c r="C2618" t="inlineStr">
        <is>
          <t>OR</t>
        </is>
      </c>
      <c r="D2618" s="28" t="n">
        <v>46106</v>
      </c>
      <c r="E2618" t="inlineStr">
        <is>
          <t>오릭스</t>
        </is>
      </c>
      <c r="F2618" t="inlineStr">
        <is>
          <t>강준헌</t>
        </is>
      </c>
      <c r="G2618" t="inlineStr">
        <is>
          <t>010-7742-1105</t>
        </is>
      </c>
      <c r="H2618" t="inlineStr">
        <is>
          <t>03거6889</t>
        </is>
      </c>
      <c r="I2618" t="n">
        <v>29000000</v>
      </c>
      <c r="J2618" t="n">
        <v>0.054</v>
      </c>
      <c r="K2618" t="n">
        <v>1.65</v>
      </c>
      <c r="L2618" t="n">
        <v>0.14</v>
      </c>
      <c r="M2618" t="n">
        <v>1.51</v>
      </c>
      <c r="P2618" t="inlineStr">
        <is>
          <t>정세빈</t>
        </is>
      </c>
      <c r="Q2618" t="inlineStr">
        <is>
          <t>홈서비스 60개월</t>
        </is>
      </c>
      <c r="AB2618" t="inlineStr">
        <is>
          <t>홈서비스</t>
        </is>
      </c>
      <c r="AC2618" t="n">
        <v>478500</v>
      </c>
      <c r="AD2618" t="n">
        <v>40600</v>
      </c>
      <c r="AE2618" t="n">
        <v>437900</v>
      </c>
      <c r="AF2618" t="n">
        <v>435000</v>
      </c>
      <c r="AG2618" t="n">
        <v>39260.2</v>
      </c>
      <c r="AH2618" t="n">
        <v>395739.8</v>
      </c>
      <c r="AI2618" t="n">
        <v>0</v>
      </c>
    </row>
    <row r="2619">
      <c r="A2619" t="inlineStr">
        <is>
          <t>3월</t>
        </is>
      </c>
      <c r="B2619" t="inlineStr">
        <is>
          <t>13주차</t>
        </is>
      </c>
      <c r="C2619" t="inlineStr">
        <is>
          <t>EP</t>
        </is>
      </c>
      <c r="D2619" s="28" t="n">
        <v>46106</v>
      </c>
      <c r="E2619" t="inlineStr">
        <is>
          <t>BNKEP</t>
        </is>
      </c>
      <c r="F2619" t="inlineStr">
        <is>
          <t>김용환</t>
        </is>
      </c>
      <c r="G2619" t="inlineStr">
        <is>
          <t>010-7371-3426</t>
        </is>
      </c>
      <c r="H2619" t="inlineStr">
        <is>
          <t>804조1359</t>
        </is>
      </c>
      <c r="I2619" t="n">
        <v>40900000</v>
      </c>
      <c r="J2619" t="n">
        <v>0.061</v>
      </c>
      <c r="K2619" t="n">
        <v>1.65</v>
      </c>
      <c r="L2619" t="n">
        <v>0.14</v>
      </c>
      <c r="M2619" t="n">
        <v>1.51</v>
      </c>
      <c r="P2619" t="inlineStr">
        <is>
          <t>황채이</t>
        </is>
      </c>
      <c r="Q2619" t="inlineStr">
        <is>
          <t>홈서비스 60개월 / 현금접수로진행</t>
        </is>
      </c>
      <c r="AB2619" t="inlineStr">
        <is>
          <t>홈서비스</t>
        </is>
      </c>
      <c r="AC2619" t="n">
        <v>674850</v>
      </c>
      <c r="AD2619" t="n">
        <v>57260</v>
      </c>
      <c r="AE2619" t="n">
        <v>617590</v>
      </c>
      <c r="AF2619" t="n">
        <v>613500</v>
      </c>
      <c r="AG2619" t="n">
        <v>55370.42</v>
      </c>
      <c r="AH2619" t="n">
        <v>558129.58</v>
      </c>
      <c r="AI2619" t="n">
        <v>0</v>
      </c>
    </row>
    <row r="2620">
      <c r="A2620" t="inlineStr">
        <is>
          <t>3월</t>
        </is>
      </c>
      <c r="B2620" t="inlineStr">
        <is>
          <t>13주차</t>
        </is>
      </c>
      <c r="C2620" t="inlineStr">
        <is>
          <t>IM</t>
        </is>
      </c>
      <c r="D2620" s="28" t="n">
        <v>46104</v>
      </c>
      <c r="E2620" t="inlineStr">
        <is>
          <t>IM캐피탈</t>
        </is>
      </c>
      <c r="F2620" t="inlineStr">
        <is>
          <t>김은우</t>
        </is>
      </c>
      <c r="G2620" t="inlineStr">
        <is>
          <t>010-4270-7552</t>
        </is>
      </c>
      <c r="H2620" t="inlineStr">
        <is>
          <t>01라7978</t>
        </is>
      </c>
      <c r="I2620" t="n">
        <v>-13800000</v>
      </c>
      <c r="J2620" t="n">
        <v>0.056</v>
      </c>
      <c r="K2620" t="n">
        <v>1.1</v>
      </c>
      <c r="L2620" t="n">
        <v>0.14</v>
      </c>
      <c r="M2620" t="n">
        <v>0.96</v>
      </c>
      <c r="P2620" t="inlineStr">
        <is>
          <t>장현경</t>
        </is>
      </c>
      <c r="Q2620" t="inlineStr">
        <is>
          <t>선상담 / 홈서비스 48개월 / 공동명의</t>
        </is>
      </c>
      <c r="AB2620" t="inlineStr">
        <is>
          <t>홈서비스</t>
        </is>
      </c>
      <c r="AC2620" t="n">
        <v>-151800</v>
      </c>
      <c r="AD2620" t="n">
        <v>-19320</v>
      </c>
      <c r="AE2620" t="n">
        <v>-132480</v>
      </c>
      <c r="AF2620" t="n">
        <v>-138000</v>
      </c>
      <c r="AG2620" t="n">
        <v>-18682.44</v>
      </c>
      <c r="AH2620" t="n">
        <v>-119317.56</v>
      </c>
      <c r="AI2620" t="n">
        <v>0</v>
      </c>
    </row>
    <row r="2621">
      <c r="A2621" t="inlineStr">
        <is>
          <t>3월</t>
        </is>
      </c>
      <c r="B2621" t="inlineStr">
        <is>
          <t>13주차</t>
        </is>
      </c>
      <c r="C2621" t="inlineStr">
        <is>
          <t>WC</t>
        </is>
      </c>
      <c r="D2621" s="28" t="n">
        <v>46106</v>
      </c>
      <c r="E2621" t="inlineStr">
        <is>
          <t>웰컴저축은행</t>
        </is>
      </c>
      <c r="F2621" t="inlineStr">
        <is>
          <t>채영학</t>
        </is>
      </c>
      <c r="G2621" t="inlineStr">
        <is>
          <t>010-9989-0444</t>
        </is>
      </c>
      <c r="H2621" t="inlineStr">
        <is>
          <t>335너4393</t>
        </is>
      </c>
      <c r="I2621" t="n">
        <v>20000000</v>
      </c>
      <c r="J2621" t="n">
        <v>0.179</v>
      </c>
      <c r="K2621" t="n">
        <v>0</v>
      </c>
      <c r="L2621" t="n">
        <v>0.14</v>
      </c>
      <c r="M2621" t="n">
        <v>-0.14</v>
      </c>
      <c r="P2621" t="inlineStr">
        <is>
          <t>김나윤</t>
        </is>
      </c>
      <c r="Q2621" t="inlineStr">
        <is>
          <t>홈서비스 60개월</t>
        </is>
      </c>
      <c r="AB2621" t="inlineStr">
        <is>
          <t>홈서비스</t>
        </is>
      </c>
      <c r="AC2621" t="n">
        <v>0</v>
      </c>
      <c r="AD2621" t="n">
        <v>28000</v>
      </c>
      <c r="AE2621" t="n">
        <v>-28000</v>
      </c>
      <c r="AF2621" t="n">
        <v>0</v>
      </c>
      <c r="AG2621" t="n">
        <v>27076</v>
      </c>
      <c r="AH2621" t="n">
        <v>-27076</v>
      </c>
      <c r="AI2621" t="n">
        <v>0</v>
      </c>
    </row>
    <row r="2622">
      <c r="A2622" t="inlineStr">
        <is>
          <t>3월</t>
        </is>
      </c>
      <c r="B2622" t="inlineStr">
        <is>
          <t>13주차</t>
        </is>
      </c>
      <c r="C2622" t="inlineStr">
        <is>
          <t>EP</t>
        </is>
      </c>
      <c r="D2622" s="28" t="n">
        <v>46106</v>
      </c>
      <c r="E2622" t="inlineStr">
        <is>
          <t>BNKEP</t>
        </is>
      </c>
      <c r="F2622" t="inlineStr">
        <is>
          <t>손승환</t>
        </is>
      </c>
      <c r="G2622" t="inlineStr">
        <is>
          <t>010-2578-1593</t>
        </is>
      </c>
      <c r="H2622" t="inlineStr">
        <is>
          <t>64도0655</t>
        </is>
      </c>
      <c r="I2622" t="n">
        <v>7700000</v>
      </c>
      <c r="J2622" t="n">
        <v>0.07199999999999999</v>
      </c>
      <c r="K2622" t="n">
        <v>1.65</v>
      </c>
      <c r="L2622" t="n">
        <v>0.14</v>
      </c>
      <c r="M2622" t="n">
        <v>1.51</v>
      </c>
      <c r="P2622" t="inlineStr">
        <is>
          <t>김수연</t>
        </is>
      </c>
      <c r="Q2622" t="inlineStr">
        <is>
          <t>홈서비스 24개월/부대비용추가진행</t>
        </is>
      </c>
      <c r="AB2622" t="inlineStr">
        <is>
          <t>홈서비스</t>
        </is>
      </c>
      <c r="AC2622" t="n">
        <v>127050</v>
      </c>
      <c r="AD2622" t="n">
        <v>10780</v>
      </c>
      <c r="AE2622" t="n">
        <v>116270</v>
      </c>
      <c r="AF2622" t="n">
        <v>115500</v>
      </c>
      <c r="AG2622" t="n">
        <v>10424.26</v>
      </c>
      <c r="AH2622" t="n">
        <v>105075.74</v>
      </c>
      <c r="AI2622" t="n">
        <v>0</v>
      </c>
    </row>
    <row r="2623">
      <c r="A2623" t="inlineStr">
        <is>
          <t>3월</t>
        </is>
      </c>
      <c r="B2623" t="inlineStr">
        <is>
          <t>13주차</t>
        </is>
      </c>
      <c r="C2623" t="inlineStr">
        <is>
          <t>IM</t>
        </is>
      </c>
      <c r="D2623" s="28" t="n">
        <v>46106</v>
      </c>
      <c r="E2623" t="inlineStr">
        <is>
          <t>IM캐피탈</t>
        </is>
      </c>
      <c r="F2623" t="inlineStr">
        <is>
          <t>고유민</t>
        </is>
      </c>
      <c r="G2623" t="inlineStr">
        <is>
          <t>010-5245-6033</t>
        </is>
      </c>
      <c r="H2623" t="inlineStr">
        <is>
          <t>349누6633</t>
        </is>
      </c>
      <c r="I2623" t="n">
        <v>10000000</v>
      </c>
      <c r="J2623" t="n">
        <v>0.049</v>
      </c>
      <c r="K2623" t="n">
        <v>1.1</v>
      </c>
      <c r="L2623" t="n">
        <v>0.14</v>
      </c>
      <c r="M2623" t="n">
        <v>0.96</v>
      </c>
      <c r="P2623" t="inlineStr">
        <is>
          <t>최형주</t>
        </is>
      </c>
      <c r="Q2623" t="inlineStr">
        <is>
          <t>홈서비스 48개월</t>
        </is>
      </c>
      <c r="AB2623" t="inlineStr">
        <is>
          <t>홈서비스</t>
        </is>
      </c>
      <c r="AC2623" t="n">
        <v>110000</v>
      </c>
      <c r="AD2623" t="n">
        <v>14000</v>
      </c>
      <c r="AE2623" t="n">
        <v>96000</v>
      </c>
      <c r="AF2623" t="n">
        <v>100000</v>
      </c>
      <c r="AG2623" t="n">
        <v>13538</v>
      </c>
      <c r="AH2623" t="n">
        <v>86462</v>
      </c>
      <c r="AI2623" t="n">
        <v>0</v>
      </c>
    </row>
    <row r="2624">
      <c r="A2624" t="inlineStr">
        <is>
          <t>3월</t>
        </is>
      </c>
      <c r="B2624" t="inlineStr">
        <is>
          <t>13주차</t>
        </is>
      </c>
      <c r="C2624" t="inlineStr">
        <is>
          <t>EP</t>
        </is>
      </c>
      <c r="D2624" s="28" t="n">
        <v>46106</v>
      </c>
      <c r="E2624" t="inlineStr">
        <is>
          <t>BNKEP</t>
        </is>
      </c>
      <c r="F2624" t="inlineStr">
        <is>
          <t>최일영</t>
        </is>
      </c>
      <c r="G2624" t="inlineStr">
        <is>
          <t>010-5043-6206</t>
        </is>
      </c>
      <c r="H2624" t="inlineStr">
        <is>
          <t>178구4892</t>
        </is>
      </c>
      <c r="I2624" t="n">
        <v>15000000</v>
      </c>
      <c r="J2624" t="n">
        <v>0.061</v>
      </c>
      <c r="K2624" t="n">
        <v>1.65</v>
      </c>
      <c r="L2624" t="n">
        <v>0.14</v>
      </c>
      <c r="M2624" t="n">
        <v>1.51</v>
      </c>
      <c r="P2624" t="inlineStr">
        <is>
          <t>김수연</t>
        </is>
      </c>
      <c r="Q2624" t="inlineStr">
        <is>
          <t>홈서비스24개월</t>
        </is>
      </c>
      <c r="AB2624" t="inlineStr">
        <is>
          <t>홈서비스</t>
        </is>
      </c>
      <c r="AC2624" t="n">
        <v>247500</v>
      </c>
      <c r="AD2624" t="n">
        <v>21000</v>
      </c>
      <c r="AE2624" t="n">
        <v>226500</v>
      </c>
      <c r="AF2624" t="n">
        <v>225000</v>
      </c>
      <c r="AG2624" t="n">
        <v>20307</v>
      </c>
      <c r="AH2624" t="n">
        <v>204693</v>
      </c>
    </row>
    <row r="2625">
      <c r="A2625" t="inlineStr">
        <is>
          <t>3월</t>
        </is>
      </c>
      <c r="B2625" t="inlineStr">
        <is>
          <t>13주차</t>
        </is>
      </c>
      <c r="C2625" t="inlineStr">
        <is>
          <t>OR</t>
        </is>
      </c>
      <c r="D2625" s="28" t="n">
        <v>46106</v>
      </c>
      <c r="E2625" t="inlineStr">
        <is>
          <t>오릭스</t>
        </is>
      </c>
      <c r="F2625" t="inlineStr">
        <is>
          <t>조수제</t>
        </is>
      </c>
      <c r="G2625" t="inlineStr">
        <is>
          <t>010-9725-8872</t>
        </is>
      </c>
      <c r="H2625" t="inlineStr">
        <is>
          <t>340러1171</t>
        </is>
      </c>
      <c r="I2625" t="n">
        <v>10300000</v>
      </c>
      <c r="J2625" t="n">
        <v>0.07199999999999999</v>
      </c>
      <c r="K2625" t="n">
        <v>1.65</v>
      </c>
      <c r="L2625" t="n">
        <v>0.14</v>
      </c>
      <c r="M2625" t="n">
        <v>1.51</v>
      </c>
      <c r="P2625" t="inlineStr">
        <is>
          <t>정세빈</t>
        </is>
      </c>
      <c r="Q2625" t="inlineStr">
        <is>
          <t>홈서비스 60개월</t>
        </is>
      </c>
      <c r="AB2625" t="inlineStr">
        <is>
          <t>홈서비스</t>
        </is>
      </c>
      <c r="AC2625" t="n">
        <v>169950</v>
      </c>
      <c r="AD2625" t="n">
        <v>14420</v>
      </c>
      <c r="AE2625" t="n">
        <v>155530</v>
      </c>
      <c r="AF2625" t="n">
        <v>154500</v>
      </c>
      <c r="AG2625" t="n">
        <v>13944.14</v>
      </c>
      <c r="AH2625" t="n">
        <v>140555.86</v>
      </c>
    </row>
    <row r="2626">
      <c r="A2626" t="inlineStr">
        <is>
          <t>3월</t>
        </is>
      </c>
      <c r="B2626" t="inlineStr">
        <is>
          <t>13주차</t>
        </is>
      </c>
      <c r="C2626" t="inlineStr">
        <is>
          <t>EP</t>
        </is>
      </c>
      <c r="D2626" s="28" t="n">
        <v>46106</v>
      </c>
      <c r="E2626" t="inlineStr">
        <is>
          <t>현대EP_fast</t>
        </is>
      </c>
      <c r="F2626" t="inlineStr">
        <is>
          <t>윤경태</t>
        </is>
      </c>
      <c r="G2626" t="inlineStr">
        <is>
          <t>010-4224-1251</t>
        </is>
      </c>
      <c r="H2626" t="inlineStr">
        <is>
          <t>02러3915</t>
        </is>
      </c>
      <c r="I2626" t="n">
        <v>27700000</v>
      </c>
      <c r="J2626" t="n">
        <v>0.105</v>
      </c>
      <c r="K2626" t="n">
        <v>1.76</v>
      </c>
      <c r="L2626" t="n">
        <v>0.14</v>
      </c>
      <c r="M2626" t="n">
        <v>1.62</v>
      </c>
      <c r="P2626" t="inlineStr">
        <is>
          <t>박현민</t>
        </is>
      </c>
      <c r="Q2626" t="inlineStr">
        <is>
          <t>홈서비스 60개월</t>
        </is>
      </c>
      <c r="AB2626" t="inlineStr">
        <is>
          <t>홈서비스</t>
        </is>
      </c>
      <c r="AC2626" t="n">
        <v>487520</v>
      </c>
      <c r="AD2626" t="n">
        <v>38780</v>
      </c>
      <c r="AE2626" t="n">
        <v>448740</v>
      </c>
      <c r="AF2626" t="n">
        <v>443200</v>
      </c>
      <c r="AG2626" t="n">
        <v>37500.26</v>
      </c>
      <c r="AH2626" t="n">
        <v>405699.74</v>
      </c>
      <c r="AI2626" t="n">
        <v>0</v>
      </c>
    </row>
    <row r="2627">
      <c r="A2627" t="inlineStr">
        <is>
          <t>3월</t>
        </is>
      </c>
      <c r="B2627" t="inlineStr">
        <is>
          <t>12주차</t>
        </is>
      </c>
      <c r="C2627" t="inlineStr">
        <is>
          <t>IM</t>
        </is>
      </c>
      <c r="D2627" s="28" t="n">
        <v>46101</v>
      </c>
      <c r="E2627" t="inlineStr">
        <is>
          <t>IM캐피탈</t>
        </is>
      </c>
      <c r="F2627" t="inlineStr">
        <is>
          <t>박정욱</t>
        </is>
      </c>
      <c r="G2627" t="inlineStr">
        <is>
          <t>010-4270-1600</t>
        </is>
      </c>
      <c r="H2627" t="inlineStr">
        <is>
          <t>367오5419</t>
        </is>
      </c>
      <c r="I2627" t="n">
        <v>4000000</v>
      </c>
      <c r="J2627" t="n">
        <v>0.059</v>
      </c>
      <c r="K2627" t="n">
        <v>1.1</v>
      </c>
      <c r="L2627" t="n">
        <v>0.4</v>
      </c>
      <c r="M2627" t="n">
        <v>0.7</v>
      </c>
      <c r="N2627" t="inlineStr">
        <is>
          <t>신현진</t>
        </is>
      </c>
      <c r="P2627" t="inlineStr">
        <is>
          <t>박소현</t>
        </is>
      </c>
      <c r="AB2627" t="inlineStr">
        <is>
          <t>엔카</t>
        </is>
      </c>
      <c r="AC2627" t="n">
        <v>44000</v>
      </c>
      <c r="AD2627" t="n">
        <v>16000</v>
      </c>
      <c r="AE2627" t="n">
        <v>28000</v>
      </c>
      <c r="AF2627" t="n">
        <v>40000</v>
      </c>
      <c r="AG2627" t="n">
        <v>15472</v>
      </c>
      <c r="AH2627" t="n">
        <v>24528</v>
      </c>
      <c r="AI2627" t="n">
        <v>0</v>
      </c>
    </row>
    <row r="2628">
      <c r="A2628" t="inlineStr">
        <is>
          <t>3월</t>
        </is>
      </c>
      <c r="B2628" t="inlineStr">
        <is>
          <t>13주차</t>
        </is>
      </c>
      <c r="C2628" t="inlineStr">
        <is>
          <t>EP</t>
        </is>
      </c>
      <c r="D2628" s="28" t="n">
        <v>46106</v>
      </c>
      <c r="E2628" t="inlineStr">
        <is>
          <t>BNKEP</t>
        </is>
      </c>
      <c r="F2628" t="inlineStr">
        <is>
          <t>김선준</t>
        </is>
      </c>
      <c r="G2628" t="inlineStr">
        <is>
          <t>010-4277-9907</t>
        </is>
      </c>
      <c r="H2628" t="inlineStr">
        <is>
          <t>69버8972</t>
        </is>
      </c>
      <c r="I2628" t="n">
        <v>16000000</v>
      </c>
      <c r="J2628" t="n">
        <v>0.08599999999999999</v>
      </c>
      <c r="K2628" t="n">
        <v>1.65</v>
      </c>
      <c r="L2628" t="n">
        <v>0.14</v>
      </c>
      <c r="M2628" t="n">
        <v>1.51</v>
      </c>
      <c r="P2628" t="inlineStr">
        <is>
          <t>김나윤</t>
        </is>
      </c>
      <c r="Q2628" t="inlineStr">
        <is>
          <t>홈서비스 60개월</t>
        </is>
      </c>
      <c r="AB2628" t="inlineStr">
        <is>
          <t>홈서비스</t>
        </is>
      </c>
      <c r="AC2628" t="n">
        <v>264000</v>
      </c>
      <c r="AD2628" t="n">
        <v>22400</v>
      </c>
      <c r="AE2628" t="n">
        <v>241600</v>
      </c>
      <c r="AF2628" t="n">
        <v>240000</v>
      </c>
      <c r="AG2628" t="n">
        <v>21660.8</v>
      </c>
      <c r="AH2628" t="n">
        <v>218339.2</v>
      </c>
      <c r="AI2628" t="n">
        <v>0</v>
      </c>
    </row>
    <row r="2629">
      <c r="A2629" t="inlineStr">
        <is>
          <t>3월</t>
        </is>
      </c>
      <c r="B2629" t="inlineStr">
        <is>
          <t>13주차</t>
        </is>
      </c>
      <c r="C2629" t="inlineStr">
        <is>
          <t>IM</t>
        </is>
      </c>
      <c r="D2629" s="28" t="n">
        <v>46105</v>
      </c>
      <c r="E2629" t="inlineStr">
        <is>
          <t>IM캐피탈</t>
        </is>
      </c>
      <c r="F2629" t="inlineStr">
        <is>
          <t>정기량</t>
        </is>
      </c>
      <c r="G2629" t="inlineStr">
        <is>
          <t>010-3626-6424</t>
        </is>
      </c>
      <c r="H2629" t="inlineStr">
        <is>
          <t>239보8211</t>
        </is>
      </c>
      <c r="I2629" t="n">
        <v>16000000</v>
      </c>
      <c r="J2629" t="n">
        <v>0.039</v>
      </c>
      <c r="K2629" t="n">
        <v>1.1</v>
      </c>
      <c r="L2629" t="n">
        <v>0.5</v>
      </c>
      <c r="M2629" t="n">
        <v>0.6</v>
      </c>
      <c r="P2629" t="inlineStr">
        <is>
          <t>정하은</t>
        </is>
      </c>
      <c r="Q2629" t="inlineStr">
        <is>
          <t>오토론진행</t>
        </is>
      </c>
      <c r="AB2629" t="inlineStr">
        <is>
          <t>엔카</t>
        </is>
      </c>
      <c r="AC2629" t="n">
        <v>176000</v>
      </c>
      <c r="AD2629" t="n">
        <v>80000</v>
      </c>
      <c r="AE2629" t="n">
        <v>96000</v>
      </c>
      <c r="AF2629" t="n">
        <v>160000</v>
      </c>
      <c r="AG2629" t="n">
        <v>77360</v>
      </c>
      <c r="AH2629" t="n">
        <v>82640</v>
      </c>
    </row>
    <row r="2630">
      <c r="A2630" t="inlineStr">
        <is>
          <t>3월</t>
        </is>
      </c>
      <c r="B2630" t="inlineStr">
        <is>
          <t>13주차</t>
        </is>
      </c>
      <c r="C2630" t="inlineStr">
        <is>
          <t>IM</t>
        </is>
      </c>
      <c r="D2630" s="28" t="n">
        <v>46106</v>
      </c>
      <c r="E2630" t="inlineStr">
        <is>
          <t>IM캐피탈</t>
        </is>
      </c>
      <c r="F2630" t="inlineStr">
        <is>
          <t>김수진</t>
        </is>
      </c>
      <c r="G2630" t="inlineStr">
        <is>
          <t>010-2250-6087</t>
        </is>
      </c>
      <c r="H2630" t="inlineStr">
        <is>
          <t>07도2302</t>
        </is>
      </c>
      <c r="I2630" t="n">
        <v>24900000</v>
      </c>
      <c r="J2630" t="n">
        <v>0.039</v>
      </c>
      <c r="K2630" t="n">
        <v>1.1</v>
      </c>
      <c r="L2630" t="n">
        <v>0.14</v>
      </c>
      <c r="M2630" t="n">
        <v>0.96</v>
      </c>
      <c r="P2630" t="inlineStr">
        <is>
          <t>정세빈</t>
        </is>
      </c>
      <c r="Q2630" t="inlineStr">
        <is>
          <t>홈서비스 24개월 / 공동명의</t>
        </is>
      </c>
      <c r="AB2630" t="inlineStr">
        <is>
          <t>홈서비스</t>
        </is>
      </c>
      <c r="AC2630" t="n">
        <v>273900</v>
      </c>
      <c r="AD2630" t="n">
        <v>34860</v>
      </c>
      <c r="AE2630" t="n">
        <v>239040</v>
      </c>
      <c r="AF2630" t="n">
        <v>249000</v>
      </c>
      <c r="AG2630" t="n">
        <v>33709.62</v>
      </c>
      <c r="AH2630" t="n">
        <v>215290.38</v>
      </c>
      <c r="AI2630" t="n">
        <v>0</v>
      </c>
    </row>
    <row r="2631">
      <c r="A2631" t="inlineStr">
        <is>
          <t>3월</t>
        </is>
      </c>
      <c r="B2631" t="inlineStr">
        <is>
          <t>13주차</t>
        </is>
      </c>
      <c r="C2631" t="inlineStr">
        <is>
          <t>EP</t>
        </is>
      </c>
      <c r="D2631" s="28" t="n">
        <v>46106</v>
      </c>
      <c r="E2631" t="inlineStr">
        <is>
          <t>BNKEP</t>
        </is>
      </c>
      <c r="F2631" t="inlineStr">
        <is>
          <t>서한길</t>
        </is>
      </c>
      <c r="G2631" t="inlineStr">
        <is>
          <t>010-5665-9332</t>
        </is>
      </c>
      <c r="H2631" t="inlineStr">
        <is>
          <t>238러2739</t>
        </is>
      </c>
      <c r="I2631" t="n">
        <v>21000000</v>
      </c>
      <c r="J2631" t="n">
        <v>0.061</v>
      </c>
      <c r="K2631" t="n">
        <v>1.65</v>
      </c>
      <c r="L2631" t="n">
        <v>0.14</v>
      </c>
      <c r="M2631" t="n">
        <v>1.51</v>
      </c>
      <c r="P2631" t="inlineStr">
        <is>
          <t>정광호</t>
        </is>
      </c>
      <c r="Q2631" t="inlineStr">
        <is>
          <t>홈서비스 60개월</t>
        </is>
      </c>
      <c r="AB2631" t="inlineStr">
        <is>
          <t>홈서비스</t>
        </is>
      </c>
      <c r="AC2631" t="n">
        <v>346500</v>
      </c>
      <c r="AD2631" t="n">
        <v>29400</v>
      </c>
      <c r="AE2631" t="n">
        <v>317100</v>
      </c>
      <c r="AF2631" t="n">
        <v>315000</v>
      </c>
      <c r="AG2631" t="n">
        <v>28429.8</v>
      </c>
      <c r="AH2631" t="n">
        <v>286570.2</v>
      </c>
      <c r="AI2631" t="n">
        <v>0</v>
      </c>
    </row>
    <row r="2632">
      <c r="A2632" t="inlineStr">
        <is>
          <t>3월</t>
        </is>
      </c>
      <c r="B2632" t="inlineStr">
        <is>
          <t>13주차</t>
        </is>
      </c>
      <c r="C2632" t="inlineStr">
        <is>
          <t>IM</t>
        </is>
      </c>
      <c r="D2632" s="28" t="n">
        <v>46106</v>
      </c>
      <c r="E2632" t="inlineStr">
        <is>
          <t>IM캐피탈</t>
        </is>
      </c>
      <c r="F2632" t="inlineStr">
        <is>
          <t>원용해</t>
        </is>
      </c>
      <c r="G2632" t="inlineStr">
        <is>
          <t>010-9137-1596</t>
        </is>
      </c>
      <c r="H2632" t="inlineStr">
        <is>
          <t>221어2856</t>
        </is>
      </c>
      <c r="I2632" t="n">
        <v>-39200000</v>
      </c>
      <c r="J2632" t="n">
        <v>0.049</v>
      </c>
      <c r="K2632" t="n">
        <v>1.1</v>
      </c>
      <c r="L2632" t="n">
        <v>0.14</v>
      </c>
      <c r="M2632" t="n">
        <v>0.96</v>
      </c>
      <c r="P2632" t="inlineStr">
        <is>
          <t>정광호</t>
        </is>
      </c>
      <c r="Q2632" t="inlineStr">
        <is>
          <t>홉서비스 36개월</t>
        </is>
      </c>
      <c r="AB2632" t="inlineStr">
        <is>
          <t>홈서비스</t>
        </is>
      </c>
      <c r="AC2632" t="n">
        <v>-431200</v>
      </c>
      <c r="AD2632" t="n">
        <v>-54880</v>
      </c>
      <c r="AE2632" t="n">
        <v>-376320</v>
      </c>
      <c r="AF2632" t="n">
        <v>-392000</v>
      </c>
      <c r="AG2632" t="n">
        <v>-53068.96</v>
      </c>
      <c r="AH2632" t="n">
        <v>-338931.04</v>
      </c>
      <c r="AI2632" t="n">
        <v>0</v>
      </c>
    </row>
    <row r="2633">
      <c r="A2633" t="inlineStr">
        <is>
          <t>3월</t>
        </is>
      </c>
      <c r="B2633" t="inlineStr">
        <is>
          <t>13주차</t>
        </is>
      </c>
      <c r="C2633" t="inlineStr">
        <is>
          <t>EP</t>
        </is>
      </c>
      <c r="D2633" s="28" t="n">
        <v>46107</v>
      </c>
      <c r="E2633" t="inlineStr">
        <is>
          <t>BNKEP</t>
        </is>
      </c>
      <c r="F2633" t="inlineStr">
        <is>
          <t>유승</t>
        </is>
      </c>
      <c r="G2633" t="inlineStr">
        <is>
          <t>010-4036-6585</t>
        </is>
      </c>
      <c r="H2633" t="inlineStr">
        <is>
          <t>46고3818</t>
        </is>
      </c>
      <c r="I2633" t="n">
        <v>8000000</v>
      </c>
      <c r="J2633" t="n">
        <v>0.061</v>
      </c>
      <c r="K2633" t="n">
        <v>1.65</v>
      </c>
      <c r="L2633" t="n">
        <v>0.14</v>
      </c>
      <c r="M2633" t="n">
        <v>1.51</v>
      </c>
      <c r="P2633" t="inlineStr">
        <is>
          <t>황채이</t>
        </is>
      </c>
      <c r="Q2633" t="inlineStr">
        <is>
          <t>홈서비스 24개월</t>
        </is>
      </c>
      <c r="AB2633" t="inlineStr">
        <is>
          <t>홈서비스</t>
        </is>
      </c>
      <c r="AC2633" t="n">
        <v>132000</v>
      </c>
      <c r="AD2633" t="n">
        <v>11200</v>
      </c>
      <c r="AE2633" t="n">
        <v>120800</v>
      </c>
      <c r="AF2633" t="n">
        <v>120000</v>
      </c>
      <c r="AG2633" t="n">
        <v>10830.4</v>
      </c>
      <c r="AH2633" t="n">
        <v>109169.6</v>
      </c>
      <c r="AI2633" t="n">
        <v>0</v>
      </c>
    </row>
    <row r="2634">
      <c r="A2634" t="inlineStr">
        <is>
          <t>3월</t>
        </is>
      </c>
      <c r="B2634" t="inlineStr">
        <is>
          <t>13주차</t>
        </is>
      </c>
      <c r="C2634" t="inlineStr">
        <is>
          <t>IM</t>
        </is>
      </c>
      <c r="D2634" s="28" t="n">
        <v>46106</v>
      </c>
      <c r="E2634" t="inlineStr">
        <is>
          <t>IM캐피탈</t>
        </is>
      </c>
      <c r="F2634" t="inlineStr">
        <is>
          <t>빈부성</t>
        </is>
      </c>
      <c r="G2634" t="inlineStr">
        <is>
          <t>010-7721-5329</t>
        </is>
      </c>
      <c r="H2634" t="inlineStr">
        <is>
          <t>385나8231</t>
        </is>
      </c>
      <c r="I2634" t="n">
        <v>26200000</v>
      </c>
      <c r="J2634" t="n">
        <v>0.056</v>
      </c>
      <c r="K2634" t="n">
        <v>1.1</v>
      </c>
      <c r="L2634" t="n">
        <v>0.4</v>
      </c>
      <c r="M2634" t="n">
        <v>0.7</v>
      </c>
      <c r="P2634" t="inlineStr">
        <is>
          <t>박보람</t>
        </is>
      </c>
      <c r="Q2634" t="inlineStr">
        <is>
          <t>공동명의 / 부대비용 추가진행</t>
        </is>
      </c>
      <c r="AB2634" t="inlineStr">
        <is>
          <t>엔카</t>
        </is>
      </c>
      <c r="AC2634" t="n">
        <v>288200</v>
      </c>
      <c r="AD2634" t="n">
        <v>104800</v>
      </c>
      <c r="AE2634" t="n">
        <v>183400</v>
      </c>
      <c r="AF2634" t="n">
        <v>262000</v>
      </c>
      <c r="AG2634" t="n">
        <v>101341.6</v>
      </c>
      <c r="AH2634" t="n">
        <v>160658.4</v>
      </c>
    </row>
    <row r="2635">
      <c r="A2635" t="inlineStr">
        <is>
          <t>3월</t>
        </is>
      </c>
      <c r="B2635" t="inlineStr">
        <is>
          <t>13주차</t>
        </is>
      </c>
      <c r="C2635" t="inlineStr">
        <is>
          <t>EP</t>
        </is>
      </c>
      <c r="D2635" s="28" t="n">
        <v>46107</v>
      </c>
      <c r="E2635" t="inlineStr">
        <is>
          <t>BNKEP</t>
        </is>
      </c>
      <c r="F2635" t="inlineStr">
        <is>
          <t>이동준</t>
        </is>
      </c>
      <c r="G2635" t="inlineStr">
        <is>
          <t>010-9696-5040</t>
        </is>
      </c>
      <c r="H2635" t="inlineStr">
        <is>
          <t>40가0454</t>
        </is>
      </c>
      <c r="I2635" t="n">
        <v>4300000</v>
      </c>
      <c r="J2635" t="n">
        <v>0.077</v>
      </c>
      <c r="K2635" t="n">
        <v>1.65</v>
      </c>
      <c r="L2635" t="n">
        <v>0.14</v>
      </c>
      <c r="M2635" t="n">
        <v>1.51</v>
      </c>
      <c r="P2635" t="inlineStr">
        <is>
          <t>정광호</t>
        </is>
      </c>
      <c r="Q2635" t="inlineStr">
        <is>
          <t>홈서비스 24개월</t>
        </is>
      </c>
      <c r="AB2635" t="inlineStr">
        <is>
          <t>홈서비스</t>
        </is>
      </c>
      <c r="AC2635" t="n">
        <v>70950</v>
      </c>
      <c r="AD2635" t="n">
        <v>6020</v>
      </c>
      <c r="AE2635" t="n">
        <v>64930</v>
      </c>
      <c r="AF2635" t="n">
        <v>64500</v>
      </c>
      <c r="AG2635" t="n">
        <v>5821.34</v>
      </c>
      <c r="AH2635" t="n">
        <v>58678.66</v>
      </c>
      <c r="AI2635" t="n">
        <v>0</v>
      </c>
    </row>
    <row r="2636">
      <c r="A2636" t="inlineStr">
        <is>
          <t>3월</t>
        </is>
      </c>
      <c r="B2636" t="inlineStr">
        <is>
          <t>13주차</t>
        </is>
      </c>
      <c r="C2636" t="inlineStr">
        <is>
          <t>OR</t>
        </is>
      </c>
      <c r="D2636" s="28" t="n">
        <v>46107</v>
      </c>
      <c r="E2636" t="inlineStr">
        <is>
          <t>오릭스</t>
        </is>
      </c>
      <c r="F2636" t="inlineStr">
        <is>
          <t>이규강</t>
        </is>
      </c>
      <c r="G2636" t="inlineStr">
        <is>
          <t>010-5392-3775</t>
        </is>
      </c>
      <c r="H2636" t="inlineStr">
        <is>
          <t>48어0720</t>
        </is>
      </c>
      <c r="I2636" t="n">
        <v>5000000</v>
      </c>
      <c r="J2636" t="n">
        <v>0.083</v>
      </c>
      <c r="K2636" t="n">
        <v>1.65</v>
      </c>
      <c r="L2636" t="n">
        <v>0.14</v>
      </c>
      <c r="M2636" t="n">
        <v>1.51</v>
      </c>
      <c r="P2636" t="inlineStr">
        <is>
          <t>황채이</t>
        </is>
      </c>
      <c r="Q2636" t="inlineStr">
        <is>
          <t>홈서비스 48개월</t>
        </is>
      </c>
      <c r="AB2636" t="inlineStr">
        <is>
          <t>홈서비스</t>
        </is>
      </c>
      <c r="AC2636" t="n">
        <v>82500</v>
      </c>
      <c r="AD2636" t="n">
        <v>7000</v>
      </c>
      <c r="AE2636" t="n">
        <v>75500</v>
      </c>
      <c r="AF2636" t="n">
        <v>75000</v>
      </c>
      <c r="AG2636" t="n">
        <v>6769</v>
      </c>
      <c r="AH2636" t="n">
        <v>68231</v>
      </c>
      <c r="AI2636" t="n">
        <v>0</v>
      </c>
    </row>
    <row r="2637">
      <c r="A2637" t="inlineStr">
        <is>
          <t>3월</t>
        </is>
      </c>
      <c r="B2637" t="inlineStr">
        <is>
          <t>13주차</t>
        </is>
      </c>
      <c r="C2637" t="inlineStr">
        <is>
          <t>EP</t>
        </is>
      </c>
      <c r="D2637" s="28" t="n">
        <v>46106</v>
      </c>
      <c r="E2637" t="inlineStr">
        <is>
          <t>현대EP_fast</t>
        </is>
      </c>
      <c r="F2637" t="inlineStr">
        <is>
          <t>김효년</t>
        </is>
      </c>
      <c r="G2637" t="inlineStr">
        <is>
          <t>010-3405-0307</t>
        </is>
      </c>
      <c r="H2637" t="inlineStr">
        <is>
          <t>283버7712</t>
        </is>
      </c>
      <c r="I2637" t="n">
        <v>48700000</v>
      </c>
      <c r="J2637" t="n">
        <v>0.134</v>
      </c>
      <c r="K2637" t="n">
        <v>1.76</v>
      </c>
      <c r="L2637" t="n">
        <v>0.14</v>
      </c>
      <c r="M2637" t="n">
        <v>1.62</v>
      </c>
      <c r="P2637" t="inlineStr">
        <is>
          <t>정하은</t>
        </is>
      </c>
      <c r="Q2637" t="inlineStr">
        <is>
          <t>선상담 / 홈서비스48개월</t>
        </is>
      </c>
      <c r="AB2637" t="inlineStr">
        <is>
          <t>홈서비스</t>
        </is>
      </c>
      <c r="AC2637" t="n">
        <v>857120</v>
      </c>
      <c r="AD2637" t="n">
        <v>68180</v>
      </c>
      <c r="AE2637" t="n">
        <v>788940</v>
      </c>
      <c r="AF2637" t="n">
        <v>779200</v>
      </c>
      <c r="AG2637" t="n">
        <v>65930.06</v>
      </c>
      <c r="AH2637" t="n">
        <v>713269.9399999999</v>
      </c>
    </row>
    <row r="2638">
      <c r="A2638" t="inlineStr">
        <is>
          <t>3월</t>
        </is>
      </c>
      <c r="B2638" t="inlineStr">
        <is>
          <t>12주차</t>
        </is>
      </c>
      <c r="C2638" t="inlineStr">
        <is>
          <t>IM</t>
        </is>
      </c>
      <c r="D2638" s="28" t="n">
        <v>46101</v>
      </c>
      <c r="E2638" t="inlineStr">
        <is>
          <t>IM캐피탈</t>
        </is>
      </c>
      <c r="F2638" t="inlineStr">
        <is>
          <t>송정훈</t>
        </is>
      </c>
      <c r="G2638" t="inlineStr">
        <is>
          <t>010-9910-5370</t>
        </is>
      </c>
      <c r="H2638" t="inlineStr">
        <is>
          <t>322우7798</t>
        </is>
      </c>
      <c r="I2638" t="n">
        <v>34000000</v>
      </c>
      <c r="J2638" t="n">
        <v>0.056</v>
      </c>
      <c r="K2638" t="n">
        <v>1.1</v>
      </c>
      <c r="L2638" t="n">
        <v>0.4</v>
      </c>
      <c r="M2638" t="n">
        <v>0.7</v>
      </c>
      <c r="P2638" t="inlineStr">
        <is>
          <t>구성완</t>
        </is>
      </c>
      <c r="AB2638" t="inlineStr">
        <is>
          <t>엔카</t>
        </is>
      </c>
      <c r="AC2638" t="n">
        <v>374000</v>
      </c>
      <c r="AD2638" t="n">
        <v>136000</v>
      </c>
      <c r="AE2638" t="n">
        <v>238000</v>
      </c>
      <c r="AF2638" t="n">
        <v>340000</v>
      </c>
      <c r="AG2638" t="n">
        <v>131512</v>
      </c>
      <c r="AH2638" t="n">
        <v>208488</v>
      </c>
    </row>
    <row r="2639">
      <c r="A2639" t="inlineStr">
        <is>
          <t>3월</t>
        </is>
      </c>
      <c r="B2639" t="inlineStr">
        <is>
          <t>13주차</t>
        </is>
      </c>
      <c r="C2639" t="inlineStr">
        <is>
          <t>EP</t>
        </is>
      </c>
      <c r="D2639" s="28" t="n">
        <v>46106</v>
      </c>
      <c r="E2639" t="inlineStr">
        <is>
          <t>현대EP</t>
        </is>
      </c>
      <c r="F2639" t="inlineStr">
        <is>
          <t>이정현</t>
        </is>
      </c>
      <c r="G2639" t="inlineStr">
        <is>
          <t>010-5096-1825</t>
        </is>
      </c>
      <c r="H2639" t="inlineStr">
        <is>
          <t>262더6400</t>
        </is>
      </c>
      <c r="I2639" t="n">
        <v>20000000</v>
      </c>
      <c r="J2639" t="n">
        <v>0.092</v>
      </c>
      <c r="K2639" t="n">
        <v>1.76</v>
      </c>
      <c r="L2639" t="n">
        <v>0.14</v>
      </c>
      <c r="M2639" t="n">
        <v>1.62</v>
      </c>
      <c r="P2639" t="inlineStr">
        <is>
          <t>정세빈</t>
        </is>
      </c>
      <c r="Q2639" t="inlineStr">
        <is>
          <t>홈서비스 60개월</t>
        </is>
      </c>
      <c r="AB2639" t="inlineStr">
        <is>
          <t>홈서비스</t>
        </is>
      </c>
      <c r="AC2639" t="n">
        <v>352000</v>
      </c>
      <c r="AD2639" t="n">
        <v>28000</v>
      </c>
      <c r="AE2639" t="n">
        <v>324000</v>
      </c>
      <c r="AF2639" t="n">
        <v>320000</v>
      </c>
      <c r="AG2639" t="n">
        <v>27076</v>
      </c>
      <c r="AH2639" t="n">
        <v>292924</v>
      </c>
      <c r="AI2639" t="n">
        <v>0</v>
      </c>
    </row>
    <row r="2640">
      <c r="A2640" t="inlineStr">
        <is>
          <t>3월</t>
        </is>
      </c>
      <c r="B2640" t="inlineStr">
        <is>
          <t>12주차</t>
        </is>
      </c>
      <c r="C2640" t="inlineStr">
        <is>
          <t>IM</t>
        </is>
      </c>
      <c r="D2640" s="28" t="n">
        <v>46103</v>
      </c>
      <c r="E2640" t="inlineStr">
        <is>
          <t>IM캐피탈</t>
        </is>
      </c>
      <c r="F2640" t="inlineStr">
        <is>
          <t>이상엽</t>
        </is>
      </c>
      <c r="G2640" t="inlineStr">
        <is>
          <t>010-2817-2550</t>
        </is>
      </c>
      <c r="H2640" t="inlineStr">
        <is>
          <t>247부5331</t>
        </is>
      </c>
      <c r="I2640" t="n">
        <v>70000000</v>
      </c>
      <c r="J2640" t="n">
        <v>0.059</v>
      </c>
      <c r="K2640" t="n">
        <v>1.1</v>
      </c>
      <c r="L2640" t="n">
        <v>0.4</v>
      </c>
      <c r="M2640" t="n">
        <v>0.7</v>
      </c>
      <c r="P2640" t="inlineStr">
        <is>
          <t>박소현</t>
        </is>
      </c>
      <c r="Q2640" t="inlineStr">
        <is>
          <t>오토론 / 부대비용추가진행</t>
        </is>
      </c>
      <c r="AB2640" t="inlineStr">
        <is>
          <t>엔카</t>
        </is>
      </c>
      <c r="AC2640" t="n">
        <v>770000</v>
      </c>
      <c r="AD2640" t="n">
        <v>280000</v>
      </c>
      <c r="AE2640" t="n">
        <v>490000</v>
      </c>
      <c r="AF2640" t="n">
        <v>700000</v>
      </c>
      <c r="AG2640" t="n">
        <v>270760</v>
      </c>
      <c r="AH2640" t="n">
        <v>429240</v>
      </c>
    </row>
    <row r="2641">
      <c r="A2641" t="inlineStr">
        <is>
          <t>3월</t>
        </is>
      </c>
      <c r="B2641" t="inlineStr">
        <is>
          <t>14주차</t>
        </is>
      </c>
      <c r="C2641" t="inlineStr">
        <is>
          <t>IM</t>
        </is>
      </c>
      <c r="D2641" s="28" t="n">
        <v>46112</v>
      </c>
      <c r="E2641" t="inlineStr">
        <is>
          <t>IM캐피탈</t>
        </is>
      </c>
      <c r="F2641" t="inlineStr">
        <is>
          <t>박봉수</t>
        </is>
      </c>
      <c r="G2641" t="inlineStr">
        <is>
          <t>010-5059-0367</t>
        </is>
      </c>
      <c r="H2641" t="inlineStr">
        <is>
          <t>69조2430</t>
        </is>
      </c>
      <c r="I2641" t="n">
        <v>13100000</v>
      </c>
      <c r="J2641" t="n">
        <v>0.049</v>
      </c>
      <c r="K2641" t="n">
        <v>1.1</v>
      </c>
      <c r="L2641" t="n">
        <v>0.14</v>
      </c>
      <c r="M2641" t="n">
        <v>0.96</v>
      </c>
      <c r="P2641" t="inlineStr">
        <is>
          <t>박현민</t>
        </is>
      </c>
      <c r="Q2641" t="inlineStr">
        <is>
          <t>선상담 / 홈서비스 60개월</t>
        </is>
      </c>
      <c r="AB2641" t="inlineStr">
        <is>
          <t>홈서비스</t>
        </is>
      </c>
      <c r="AC2641" t="n">
        <v>144100</v>
      </c>
      <c r="AD2641" t="n">
        <v>18340</v>
      </c>
      <c r="AE2641" t="n">
        <v>125760</v>
      </c>
      <c r="AF2641" t="n">
        <v>131000</v>
      </c>
      <c r="AG2641" t="n">
        <v>17734.78</v>
      </c>
      <c r="AH2641" t="n">
        <v>113265.22</v>
      </c>
      <c r="AI2641" t="n">
        <v>0</v>
      </c>
    </row>
    <row r="2642">
      <c r="A2642" t="inlineStr">
        <is>
          <t>3월</t>
        </is>
      </c>
      <c r="B2642" t="inlineStr">
        <is>
          <t>13주차</t>
        </is>
      </c>
      <c r="C2642" t="inlineStr">
        <is>
          <t>EP</t>
        </is>
      </c>
      <c r="D2642" s="28" t="n">
        <v>46106</v>
      </c>
      <c r="E2642" t="inlineStr">
        <is>
          <t>BNKEP</t>
        </is>
      </c>
      <c r="F2642" t="inlineStr">
        <is>
          <t>강석웅</t>
        </is>
      </c>
      <c r="G2642" t="inlineStr">
        <is>
          <t>010-2708-4350</t>
        </is>
      </c>
      <c r="H2642" t="inlineStr">
        <is>
          <t>38고4272</t>
        </is>
      </c>
      <c r="I2642" t="n">
        <v>4700000</v>
      </c>
      <c r="J2642" t="n">
        <v>0.067</v>
      </c>
      <c r="K2642" t="n">
        <v>1.65</v>
      </c>
      <c r="L2642" t="n">
        <v>0.14</v>
      </c>
      <c r="M2642" t="n">
        <v>1.51</v>
      </c>
      <c r="P2642" t="inlineStr">
        <is>
          <t>김나윤</t>
        </is>
      </c>
      <c r="Q2642" t="inlineStr">
        <is>
          <t>홈서비스 24개월</t>
        </is>
      </c>
      <c r="AB2642" t="inlineStr">
        <is>
          <t>홈서비스</t>
        </is>
      </c>
      <c r="AC2642" t="n">
        <v>77550</v>
      </c>
      <c r="AD2642" t="n">
        <v>6580</v>
      </c>
      <c r="AE2642" t="n">
        <v>70970</v>
      </c>
      <c r="AF2642" t="n">
        <v>70500</v>
      </c>
      <c r="AG2642" t="n">
        <v>6362.86</v>
      </c>
      <c r="AH2642" t="n">
        <v>64137.14</v>
      </c>
      <c r="AI2642" t="n">
        <v>0</v>
      </c>
    </row>
    <row r="2643">
      <c r="A2643" t="inlineStr">
        <is>
          <t>3월</t>
        </is>
      </c>
      <c r="B2643" t="inlineStr">
        <is>
          <t>13주차</t>
        </is>
      </c>
      <c r="C2643" t="inlineStr">
        <is>
          <t>IM</t>
        </is>
      </c>
      <c r="D2643" s="28" t="n">
        <v>46107</v>
      </c>
      <c r="E2643" t="inlineStr">
        <is>
          <t>IM캐피탈</t>
        </is>
      </c>
      <c r="F2643" t="inlineStr">
        <is>
          <t>조이선</t>
        </is>
      </c>
      <c r="G2643" t="inlineStr">
        <is>
          <t>010-7585-6203</t>
        </is>
      </c>
      <c r="H2643" t="inlineStr">
        <is>
          <t>263저9258</t>
        </is>
      </c>
      <c r="I2643" t="n">
        <v>44900000</v>
      </c>
      <c r="J2643" t="n">
        <v>0.039</v>
      </c>
      <c r="K2643" t="n">
        <v>1.1</v>
      </c>
      <c r="L2643" t="n">
        <v>0.14</v>
      </c>
      <c r="M2643" t="n">
        <v>0.96</v>
      </c>
      <c r="P2643" t="inlineStr">
        <is>
          <t>정세빈</t>
        </is>
      </c>
      <c r="Q2643" t="inlineStr">
        <is>
          <t>홈서비스 60개월</t>
        </is>
      </c>
      <c r="AB2643" t="inlineStr">
        <is>
          <t>홈서비스</t>
        </is>
      </c>
      <c r="AC2643" t="n">
        <v>493900</v>
      </c>
      <c r="AD2643" t="n">
        <v>62860</v>
      </c>
      <c r="AE2643" t="n">
        <v>431040</v>
      </c>
      <c r="AF2643" t="n">
        <v>449000</v>
      </c>
      <c r="AG2643" t="n">
        <v>60785.62</v>
      </c>
      <c r="AH2643" t="n">
        <v>388214.38</v>
      </c>
      <c r="AI2643" t="n">
        <v>0</v>
      </c>
    </row>
    <row r="2644">
      <c r="A2644" t="inlineStr">
        <is>
          <t>3월</t>
        </is>
      </c>
      <c r="B2644" t="inlineStr">
        <is>
          <t>13주차</t>
        </is>
      </c>
      <c r="C2644" t="inlineStr">
        <is>
          <t>EP</t>
        </is>
      </c>
      <c r="D2644" s="28" t="n">
        <v>46106</v>
      </c>
      <c r="E2644" t="inlineStr">
        <is>
          <t>현대EP_fast</t>
        </is>
      </c>
      <c r="F2644" t="inlineStr">
        <is>
          <t>남유진</t>
        </is>
      </c>
      <c r="G2644" t="inlineStr">
        <is>
          <t>010-9078-9846</t>
        </is>
      </c>
      <c r="H2644" t="inlineStr">
        <is>
          <t>51두9532</t>
        </is>
      </c>
      <c r="I2644" t="n">
        <v>4800000</v>
      </c>
      <c r="J2644" t="n">
        <v>0.118</v>
      </c>
      <c r="K2644" t="n">
        <v>1.76</v>
      </c>
      <c r="L2644" t="n">
        <v>0.14</v>
      </c>
      <c r="M2644" t="n">
        <v>1.62</v>
      </c>
      <c r="P2644" t="inlineStr">
        <is>
          <t>최혁</t>
        </is>
      </c>
      <c r="Q2644" t="inlineStr">
        <is>
          <t>홈서비스24개월</t>
        </is>
      </c>
      <c r="AB2644" t="inlineStr">
        <is>
          <t>홈서비스</t>
        </is>
      </c>
      <c r="AC2644" t="n">
        <v>84480</v>
      </c>
      <c r="AD2644" t="n">
        <v>6720</v>
      </c>
      <c r="AE2644" t="n">
        <v>77760</v>
      </c>
      <c r="AF2644" t="n">
        <v>76800</v>
      </c>
      <c r="AG2644" t="n">
        <v>6498.24</v>
      </c>
      <c r="AH2644" t="n">
        <v>70301.75999999999</v>
      </c>
      <c r="AI2644" t="n">
        <v>0</v>
      </c>
    </row>
    <row r="2645">
      <c r="A2645" t="inlineStr">
        <is>
          <t>3월</t>
        </is>
      </c>
      <c r="B2645" t="inlineStr">
        <is>
          <t>13주차</t>
        </is>
      </c>
      <c r="C2645" t="inlineStr">
        <is>
          <t>EP</t>
        </is>
      </c>
      <c r="D2645" s="28" t="n">
        <v>46106</v>
      </c>
      <c r="E2645" t="inlineStr">
        <is>
          <t>현대EP_fast</t>
        </is>
      </c>
      <c r="F2645" t="inlineStr">
        <is>
          <t>조석진</t>
        </is>
      </c>
      <c r="G2645" t="inlineStr">
        <is>
          <t>010-3219-1844</t>
        </is>
      </c>
      <c r="H2645" t="inlineStr">
        <is>
          <t>42어6691</t>
        </is>
      </c>
      <c r="I2645" t="n">
        <v>4500000</v>
      </c>
      <c r="J2645" t="n">
        <v>0.134</v>
      </c>
      <c r="K2645" t="n">
        <v>1.76</v>
      </c>
      <c r="L2645" t="n">
        <v>0.14</v>
      </c>
      <c r="M2645" t="n">
        <v>1.62</v>
      </c>
      <c r="P2645" t="inlineStr">
        <is>
          <t>최혁</t>
        </is>
      </c>
      <c r="Q2645" t="inlineStr">
        <is>
          <t>홈서비스 48개월</t>
        </is>
      </c>
      <c r="AB2645" t="inlineStr">
        <is>
          <t>홈서비스</t>
        </is>
      </c>
      <c r="AC2645" t="n">
        <v>79200</v>
      </c>
      <c r="AD2645" t="n">
        <v>6300</v>
      </c>
      <c r="AE2645" t="n">
        <v>72900</v>
      </c>
      <c r="AF2645" t="n">
        <v>72000</v>
      </c>
      <c r="AG2645" t="n">
        <v>6092.1</v>
      </c>
      <c r="AH2645" t="n">
        <v>65907.89999999999</v>
      </c>
      <c r="AI2645" t="n">
        <v>0</v>
      </c>
    </row>
    <row r="2646">
      <c r="A2646" t="inlineStr">
        <is>
          <t>3월</t>
        </is>
      </c>
      <c r="B2646" t="inlineStr">
        <is>
          <t>13주차</t>
        </is>
      </c>
      <c r="C2646" t="inlineStr">
        <is>
          <t>EP</t>
        </is>
      </c>
      <c r="D2646" s="28" t="n">
        <v>46107</v>
      </c>
      <c r="E2646" t="inlineStr">
        <is>
          <t>BNKEP</t>
        </is>
      </c>
      <c r="F2646" t="inlineStr">
        <is>
          <t>조미향</t>
        </is>
      </c>
      <c r="G2646" t="inlineStr">
        <is>
          <t>010-3956-1816</t>
        </is>
      </c>
      <c r="H2646" t="inlineStr">
        <is>
          <t>227부7506</t>
        </is>
      </c>
      <c r="I2646" t="n">
        <v>13400000</v>
      </c>
      <c r="J2646" t="n">
        <v>0.063</v>
      </c>
      <c r="K2646" t="n">
        <v>1.65</v>
      </c>
      <c r="L2646" t="n">
        <v>0.14</v>
      </c>
      <c r="M2646" t="n">
        <v>1.51</v>
      </c>
      <c r="P2646" t="inlineStr">
        <is>
          <t>황채이</t>
        </is>
      </c>
      <c r="Q2646" t="inlineStr">
        <is>
          <t>홈서비스 24개월</t>
        </is>
      </c>
      <c r="AB2646" t="inlineStr">
        <is>
          <t>홈서비스</t>
        </is>
      </c>
      <c r="AC2646" t="n">
        <v>221100</v>
      </c>
      <c r="AD2646" t="n">
        <v>18760</v>
      </c>
      <c r="AE2646" t="n">
        <v>202340</v>
      </c>
      <c r="AF2646" t="n">
        <v>201000</v>
      </c>
      <c r="AG2646" t="n">
        <v>18140.92</v>
      </c>
      <c r="AH2646" t="n">
        <v>182859.08</v>
      </c>
      <c r="AI2646" t="n">
        <v>0</v>
      </c>
    </row>
    <row r="2647">
      <c r="A2647" t="inlineStr">
        <is>
          <t>3월</t>
        </is>
      </c>
      <c r="B2647" t="inlineStr">
        <is>
          <t>13주차</t>
        </is>
      </c>
      <c r="C2647" t="inlineStr">
        <is>
          <t>EP</t>
        </is>
      </c>
      <c r="D2647" s="28" t="n">
        <v>46107</v>
      </c>
      <c r="E2647" t="inlineStr">
        <is>
          <t>현대EP_fast</t>
        </is>
      </c>
      <c r="F2647" t="inlineStr">
        <is>
          <t>오수지</t>
        </is>
      </c>
      <c r="G2647" t="inlineStr">
        <is>
          <t>010-6206-0400</t>
        </is>
      </c>
      <c r="H2647" t="inlineStr">
        <is>
          <t>38저2461</t>
        </is>
      </c>
      <c r="I2647" t="n">
        <v>5300000</v>
      </c>
      <c r="J2647" t="n">
        <v>0.127</v>
      </c>
      <c r="K2647" t="n">
        <v>1.76</v>
      </c>
      <c r="L2647" t="n">
        <v>0.5</v>
      </c>
      <c r="M2647" t="n">
        <v>1.26</v>
      </c>
      <c r="P2647" t="inlineStr">
        <is>
          <t>정하은</t>
        </is>
      </c>
      <c r="AB2647" t="inlineStr">
        <is>
          <t>엔카</t>
        </is>
      </c>
      <c r="AC2647" t="n">
        <v>93280</v>
      </c>
      <c r="AD2647" t="n">
        <v>26500</v>
      </c>
      <c r="AE2647" t="n">
        <v>66780</v>
      </c>
      <c r="AF2647" t="n">
        <v>84800</v>
      </c>
      <c r="AG2647" t="n">
        <v>25625.5</v>
      </c>
      <c r="AH2647" t="n">
        <v>59174.5</v>
      </c>
    </row>
    <row r="2648">
      <c r="A2648" t="inlineStr">
        <is>
          <t>3월</t>
        </is>
      </c>
      <c r="B2648" t="inlineStr">
        <is>
          <t>13주차</t>
        </is>
      </c>
      <c r="C2648" t="inlineStr">
        <is>
          <t>EP</t>
        </is>
      </c>
      <c r="D2648" s="28" t="n">
        <v>46106</v>
      </c>
      <c r="E2648" t="inlineStr">
        <is>
          <t>BNKEP</t>
        </is>
      </c>
      <c r="F2648" t="inlineStr">
        <is>
          <t>안나빈</t>
        </is>
      </c>
      <c r="G2648" t="inlineStr">
        <is>
          <t>010-8642-2996</t>
        </is>
      </c>
      <c r="H2648" t="inlineStr">
        <is>
          <t>302부9147</t>
        </is>
      </c>
      <c r="I2648" t="n">
        <v>40000000</v>
      </c>
      <c r="J2648" t="n">
        <v>0.07099999999999999</v>
      </c>
      <c r="K2648" t="n">
        <v>1.65</v>
      </c>
      <c r="L2648" t="n">
        <v>0.14</v>
      </c>
      <c r="M2648" t="n">
        <v>1.51</v>
      </c>
      <c r="P2648" t="inlineStr">
        <is>
          <t>장진경</t>
        </is>
      </c>
      <c r="Q2648" t="inlineStr">
        <is>
          <t>홈서비스 60개월 / 현금전산</t>
        </is>
      </c>
      <c r="AB2648" t="inlineStr">
        <is>
          <t>홈서비스</t>
        </is>
      </c>
      <c r="AC2648" t="n">
        <v>660000</v>
      </c>
      <c r="AD2648" t="n">
        <v>56000</v>
      </c>
      <c r="AE2648" t="n">
        <v>604000</v>
      </c>
      <c r="AF2648" t="n">
        <v>600000</v>
      </c>
      <c r="AG2648" t="n">
        <v>54152</v>
      </c>
      <c r="AH2648" t="n">
        <v>545848</v>
      </c>
    </row>
    <row r="2649">
      <c r="A2649" t="inlineStr">
        <is>
          <t>3월</t>
        </is>
      </c>
      <c r="B2649" t="inlineStr">
        <is>
          <t>13주차</t>
        </is>
      </c>
      <c r="C2649" t="inlineStr">
        <is>
          <t>EP</t>
        </is>
      </c>
      <c r="D2649" s="28" t="n">
        <v>46107</v>
      </c>
      <c r="E2649" t="inlineStr">
        <is>
          <t>BNKEP</t>
        </is>
      </c>
      <c r="F2649" t="inlineStr">
        <is>
          <t>천관웅</t>
        </is>
      </c>
      <c r="G2649" t="inlineStr">
        <is>
          <t>010-4075-2963</t>
        </is>
      </c>
      <c r="H2649" t="inlineStr">
        <is>
          <t>151무2275</t>
        </is>
      </c>
      <c r="I2649" t="n">
        <v>15300000</v>
      </c>
      <c r="J2649" t="n">
        <v>0.063</v>
      </c>
      <c r="K2649" t="n">
        <v>1.65</v>
      </c>
      <c r="L2649" t="n">
        <v>0.14</v>
      </c>
      <c r="M2649" t="n">
        <v>1.51</v>
      </c>
      <c r="P2649" t="inlineStr">
        <is>
          <t>정광호</t>
        </is>
      </c>
      <c r="Q2649" t="inlineStr">
        <is>
          <t>홈서비스 60개월</t>
        </is>
      </c>
      <c r="AB2649" t="inlineStr">
        <is>
          <t>홈서비스</t>
        </is>
      </c>
      <c r="AC2649" t="n">
        <v>252450</v>
      </c>
      <c r="AD2649" t="n">
        <v>21420</v>
      </c>
      <c r="AE2649" t="n">
        <v>231030</v>
      </c>
      <c r="AF2649" t="n">
        <v>229500</v>
      </c>
      <c r="AG2649" t="n">
        <v>20713.14</v>
      </c>
      <c r="AH2649" t="n">
        <v>208786.86</v>
      </c>
    </row>
    <row r="2650">
      <c r="A2650" t="inlineStr">
        <is>
          <t>3월</t>
        </is>
      </c>
      <c r="B2650" t="inlineStr">
        <is>
          <t>13주차</t>
        </is>
      </c>
      <c r="C2650" t="inlineStr">
        <is>
          <t>IM</t>
        </is>
      </c>
      <c r="D2650" s="28" t="n">
        <v>46107</v>
      </c>
      <c r="E2650" t="inlineStr">
        <is>
          <t>IM캐피탈</t>
        </is>
      </c>
      <c r="F2650" t="inlineStr">
        <is>
          <t>채수진</t>
        </is>
      </c>
      <c r="G2650" t="inlineStr">
        <is>
          <t>010-5208-0980</t>
        </is>
      </c>
      <c r="H2650" t="inlineStr">
        <is>
          <t>372부2673</t>
        </is>
      </c>
      <c r="I2650" t="n">
        <v>46800000</v>
      </c>
      <c r="J2650" t="n">
        <v>0.056</v>
      </c>
      <c r="K2650" t="n">
        <v>1.1</v>
      </c>
      <c r="L2650" t="n">
        <v>0.4</v>
      </c>
      <c r="M2650" t="n">
        <v>0.7</v>
      </c>
      <c r="P2650" t="inlineStr">
        <is>
          <t>최혁</t>
        </is>
      </c>
      <c r="AB2650" t="inlineStr">
        <is>
          <t>엔카</t>
        </is>
      </c>
      <c r="AC2650" t="n">
        <v>514800</v>
      </c>
      <c r="AD2650" t="n">
        <v>187200</v>
      </c>
      <c r="AE2650" t="n">
        <v>327600</v>
      </c>
      <c r="AF2650" t="n">
        <v>468000</v>
      </c>
      <c r="AG2650" t="n">
        <v>181022.4</v>
      </c>
      <c r="AH2650" t="n">
        <v>286977.6</v>
      </c>
      <c r="AI2650" t="n">
        <v>0</v>
      </c>
    </row>
    <row r="2651">
      <c r="A2651" t="inlineStr">
        <is>
          <t>3월</t>
        </is>
      </c>
      <c r="B2651" t="inlineStr">
        <is>
          <t>13주차</t>
        </is>
      </c>
      <c r="C2651" t="inlineStr">
        <is>
          <t>IM</t>
        </is>
      </c>
      <c r="D2651" s="28" t="n">
        <v>46106</v>
      </c>
      <c r="E2651" t="inlineStr">
        <is>
          <t>IM캐피탈</t>
        </is>
      </c>
      <c r="F2651" t="inlineStr">
        <is>
          <t>김강산</t>
        </is>
      </c>
      <c r="G2651" t="inlineStr">
        <is>
          <t>010-3870-9716</t>
        </is>
      </c>
      <c r="H2651" t="inlineStr">
        <is>
          <t>316구9468</t>
        </is>
      </c>
      <c r="I2651" t="n">
        <v>15500000</v>
      </c>
      <c r="J2651" t="n">
        <v>0.066</v>
      </c>
      <c r="K2651" t="n">
        <v>1.1</v>
      </c>
      <c r="L2651" t="n">
        <v>0.14</v>
      </c>
      <c r="M2651" t="n">
        <v>0.96</v>
      </c>
      <c r="P2651" t="inlineStr">
        <is>
          <t>김수연</t>
        </is>
      </c>
      <c r="Q2651" t="inlineStr">
        <is>
          <t>홈서비스 36개월</t>
        </is>
      </c>
      <c r="AB2651" t="inlineStr">
        <is>
          <t>홈서비스</t>
        </is>
      </c>
      <c r="AC2651" t="n">
        <v>170500</v>
      </c>
      <c r="AD2651" t="n">
        <v>21700</v>
      </c>
      <c r="AE2651" t="n">
        <v>148800</v>
      </c>
      <c r="AF2651" t="n">
        <v>155000</v>
      </c>
      <c r="AG2651" t="n">
        <v>20983.9</v>
      </c>
      <c r="AH2651" t="n">
        <v>134016.1</v>
      </c>
      <c r="AI2651" t="n">
        <v>0</v>
      </c>
    </row>
    <row r="2652">
      <c r="A2652" t="inlineStr">
        <is>
          <t>3월</t>
        </is>
      </c>
      <c r="B2652" t="inlineStr">
        <is>
          <t>13주차</t>
        </is>
      </c>
      <c r="C2652" t="inlineStr">
        <is>
          <t>EP</t>
        </is>
      </c>
      <c r="D2652" s="28" t="n">
        <v>46106</v>
      </c>
      <c r="E2652" t="inlineStr">
        <is>
          <t>BNKEP</t>
        </is>
      </c>
      <c r="F2652" t="inlineStr">
        <is>
          <t>장성욱</t>
        </is>
      </c>
      <c r="G2652" t="inlineStr">
        <is>
          <t>010-8329-8456</t>
        </is>
      </c>
      <c r="H2652" t="inlineStr">
        <is>
          <t>203모4062</t>
        </is>
      </c>
      <c r="I2652" t="n">
        <v>37900000</v>
      </c>
      <c r="J2652" t="n">
        <v>0.106</v>
      </c>
      <c r="K2652" t="n">
        <v>1.65</v>
      </c>
      <c r="L2652" t="n">
        <v>0.14</v>
      </c>
      <c r="M2652" t="n">
        <v>1.51</v>
      </c>
      <c r="P2652" t="inlineStr">
        <is>
          <t>최형주</t>
        </is>
      </c>
      <c r="Q2652" t="inlineStr">
        <is>
          <t>홈서비스 60개월</t>
        </is>
      </c>
      <c r="AB2652" t="inlineStr">
        <is>
          <t>홈서비스</t>
        </is>
      </c>
      <c r="AC2652" t="n">
        <v>625350</v>
      </c>
      <c r="AD2652" t="n">
        <v>53060</v>
      </c>
      <c r="AE2652" t="n">
        <v>572290</v>
      </c>
      <c r="AF2652" t="n">
        <v>568500</v>
      </c>
      <c r="AG2652" t="n">
        <v>51309.02</v>
      </c>
      <c r="AH2652" t="n">
        <v>517190.98</v>
      </c>
    </row>
    <row r="2653">
      <c r="A2653" t="inlineStr">
        <is>
          <t>3월</t>
        </is>
      </c>
      <c r="B2653" t="inlineStr">
        <is>
          <t>13주차</t>
        </is>
      </c>
      <c r="C2653" t="inlineStr">
        <is>
          <t>EP</t>
        </is>
      </c>
      <c r="D2653" s="28" t="n">
        <v>46107</v>
      </c>
      <c r="E2653" t="inlineStr">
        <is>
          <t>BNKEP</t>
        </is>
      </c>
      <c r="F2653" t="inlineStr">
        <is>
          <t>이기정</t>
        </is>
      </c>
      <c r="G2653" t="inlineStr">
        <is>
          <t>010-7113-0793</t>
        </is>
      </c>
      <c r="H2653" t="inlineStr">
        <is>
          <t>308조5941</t>
        </is>
      </c>
      <c r="I2653" t="n">
        <v>14900000</v>
      </c>
      <c r="J2653" t="n">
        <v>0.063</v>
      </c>
      <c r="K2653" t="n">
        <v>1.65</v>
      </c>
      <c r="L2653" t="n">
        <v>0.14</v>
      </c>
      <c r="M2653" t="n">
        <v>1.51</v>
      </c>
      <c r="P2653" t="inlineStr">
        <is>
          <t>정세빈</t>
        </is>
      </c>
      <c r="Q2653" t="inlineStr">
        <is>
          <t>홈서비스 48개월</t>
        </is>
      </c>
      <c r="AB2653" t="inlineStr">
        <is>
          <t>홈서비스</t>
        </is>
      </c>
      <c r="AC2653" t="n">
        <v>245850</v>
      </c>
      <c r="AD2653" t="n">
        <v>20860</v>
      </c>
      <c r="AE2653" t="n">
        <v>224990</v>
      </c>
      <c r="AF2653" t="n">
        <v>223500</v>
      </c>
      <c r="AG2653" t="n">
        <v>20171.62</v>
      </c>
      <c r="AH2653" t="n">
        <v>203328.38</v>
      </c>
    </row>
    <row r="2654">
      <c r="A2654" t="inlineStr">
        <is>
          <t>3월</t>
        </is>
      </c>
      <c r="B2654" t="inlineStr">
        <is>
          <t>13주차</t>
        </is>
      </c>
      <c r="C2654" t="inlineStr">
        <is>
          <t>IM</t>
        </is>
      </c>
      <c r="D2654" s="28" t="n">
        <v>46107</v>
      </c>
      <c r="E2654" t="inlineStr">
        <is>
          <t>IM캐피탈</t>
        </is>
      </c>
      <c r="F2654" t="inlineStr">
        <is>
          <t>윤태양</t>
        </is>
      </c>
      <c r="G2654" t="inlineStr">
        <is>
          <t>010-4336-4012</t>
        </is>
      </c>
      <c r="H2654" t="inlineStr">
        <is>
          <t>156나2112</t>
        </is>
      </c>
      <c r="I2654" t="n">
        <v>17000000</v>
      </c>
      <c r="J2654" t="n">
        <v>0.056</v>
      </c>
      <c r="K2654" t="n">
        <v>1.1</v>
      </c>
      <c r="L2654" t="n">
        <v>0.14</v>
      </c>
      <c r="M2654" t="n">
        <v>0.96</v>
      </c>
      <c r="P2654" t="inlineStr">
        <is>
          <t>정세빈</t>
        </is>
      </c>
      <c r="Q2654" t="inlineStr">
        <is>
          <t>홈서비스 24개월 / 공동명의</t>
        </is>
      </c>
      <c r="AB2654" t="inlineStr">
        <is>
          <t>홈서비스</t>
        </is>
      </c>
      <c r="AC2654" t="n">
        <v>187000</v>
      </c>
      <c r="AD2654" t="n">
        <v>23800</v>
      </c>
      <c r="AE2654" t="n">
        <v>163200</v>
      </c>
      <c r="AF2654" t="n">
        <v>170000</v>
      </c>
      <c r="AG2654" t="n">
        <v>23014.6</v>
      </c>
      <c r="AH2654" t="n">
        <v>146985.4</v>
      </c>
      <c r="AI2654" t="n">
        <v>0</v>
      </c>
    </row>
    <row r="2655">
      <c r="A2655" t="inlineStr">
        <is>
          <t>3월</t>
        </is>
      </c>
      <c r="B2655" t="inlineStr">
        <is>
          <t>13주차</t>
        </is>
      </c>
      <c r="C2655" t="inlineStr">
        <is>
          <t>OR</t>
        </is>
      </c>
      <c r="D2655" s="28" t="n">
        <v>46107</v>
      </c>
      <c r="E2655" t="inlineStr">
        <is>
          <t>오릭스</t>
        </is>
      </c>
      <c r="F2655" t="inlineStr">
        <is>
          <t>박중현</t>
        </is>
      </c>
      <c r="G2655" t="inlineStr">
        <is>
          <t>010-5494-4653</t>
        </is>
      </c>
      <c r="H2655" t="inlineStr">
        <is>
          <t>228가4985</t>
        </is>
      </c>
      <c r="I2655" t="n">
        <v>14200000</v>
      </c>
      <c r="J2655" t="n">
        <v>0.049</v>
      </c>
      <c r="K2655" t="n">
        <v>1.65</v>
      </c>
      <c r="L2655" t="n">
        <v>0.14</v>
      </c>
      <c r="M2655" t="n">
        <v>1.51</v>
      </c>
      <c r="P2655" t="inlineStr">
        <is>
          <t>최형주</t>
        </is>
      </c>
      <c r="Q2655" t="inlineStr">
        <is>
          <t>홈서비스 60개월</t>
        </is>
      </c>
      <c r="AB2655" t="inlineStr">
        <is>
          <t>홈서비스</t>
        </is>
      </c>
      <c r="AC2655" t="n">
        <v>234300</v>
      </c>
      <c r="AD2655" t="n">
        <v>19880</v>
      </c>
      <c r="AE2655" t="n">
        <v>214420</v>
      </c>
      <c r="AF2655" t="n">
        <v>213000</v>
      </c>
      <c r="AG2655" t="n">
        <v>19223.96</v>
      </c>
      <c r="AH2655" t="n">
        <v>193776.04</v>
      </c>
      <c r="AI2655" t="n">
        <v>0</v>
      </c>
    </row>
    <row r="2656">
      <c r="A2656" t="inlineStr">
        <is>
          <t>3월</t>
        </is>
      </c>
      <c r="B2656" t="inlineStr">
        <is>
          <t>13주차</t>
        </is>
      </c>
      <c r="C2656" t="inlineStr">
        <is>
          <t>IM</t>
        </is>
      </c>
      <c r="D2656" s="28" t="n">
        <v>46105</v>
      </c>
      <c r="E2656" t="inlineStr">
        <is>
          <t>IM캐피탈</t>
        </is>
      </c>
      <c r="F2656" t="inlineStr">
        <is>
          <t>정은송</t>
        </is>
      </c>
      <c r="G2656" t="inlineStr">
        <is>
          <t>010-2230-7370</t>
        </is>
      </c>
      <c r="H2656" t="inlineStr">
        <is>
          <t>350너5292</t>
        </is>
      </c>
      <c r="I2656" t="n">
        <v>8000000</v>
      </c>
      <c r="J2656" t="n">
        <v>0.049</v>
      </c>
      <c r="K2656" t="n">
        <v>1.1</v>
      </c>
      <c r="L2656" t="n">
        <v>0.4</v>
      </c>
      <c r="M2656" t="n">
        <v>0.7</v>
      </c>
      <c r="P2656" t="inlineStr">
        <is>
          <t>장현경</t>
        </is>
      </c>
      <c r="AB2656" t="inlineStr">
        <is>
          <t>엔카</t>
        </is>
      </c>
      <c r="AC2656" t="n">
        <v>88000</v>
      </c>
      <c r="AD2656" t="n">
        <v>32000</v>
      </c>
      <c r="AE2656" t="n">
        <v>56000</v>
      </c>
      <c r="AF2656" t="n">
        <v>80000</v>
      </c>
      <c r="AG2656" t="n">
        <v>30944</v>
      </c>
      <c r="AH2656" t="n">
        <v>49056</v>
      </c>
      <c r="AI2656" t="n">
        <v>0</v>
      </c>
    </row>
    <row r="2657">
      <c r="A2657" t="inlineStr">
        <is>
          <t>3월</t>
        </is>
      </c>
      <c r="B2657" t="inlineStr">
        <is>
          <t>13주차</t>
        </is>
      </c>
      <c r="C2657" t="inlineStr">
        <is>
          <t>EP</t>
        </is>
      </c>
      <c r="D2657" s="28" t="n">
        <v>46107</v>
      </c>
      <c r="E2657" t="inlineStr">
        <is>
          <t>현대EP_fast</t>
        </is>
      </c>
      <c r="F2657" t="inlineStr">
        <is>
          <t>조영욱</t>
        </is>
      </c>
      <c r="G2657" t="inlineStr">
        <is>
          <t>010-4854-1760</t>
        </is>
      </c>
      <c r="H2657" t="inlineStr">
        <is>
          <t>66다0700</t>
        </is>
      </c>
      <c r="I2657" t="n">
        <v>20000000</v>
      </c>
      <c r="J2657" t="n">
        <v>0.092</v>
      </c>
      <c r="K2657" t="n">
        <v>1.76</v>
      </c>
      <c r="L2657" t="n">
        <v>0.14</v>
      </c>
      <c r="M2657" t="n">
        <v>1.62</v>
      </c>
      <c r="P2657" t="inlineStr">
        <is>
          <t>정세빈</t>
        </is>
      </c>
      <c r="Q2657" t="inlineStr">
        <is>
          <t>홈서비스 60개월</t>
        </is>
      </c>
      <c r="AB2657" t="inlineStr">
        <is>
          <t>홈서비스</t>
        </is>
      </c>
      <c r="AC2657" t="n">
        <v>352000</v>
      </c>
      <c r="AD2657" t="n">
        <v>28000</v>
      </c>
      <c r="AE2657" t="n">
        <v>324000</v>
      </c>
      <c r="AF2657" t="n">
        <v>320000</v>
      </c>
      <c r="AG2657" t="n">
        <v>27076</v>
      </c>
      <c r="AH2657" t="n">
        <v>292924</v>
      </c>
      <c r="AI2657" t="n">
        <v>0</v>
      </c>
    </row>
    <row r="2658">
      <c r="A2658" t="inlineStr">
        <is>
          <t>3월</t>
        </is>
      </c>
      <c r="B2658" t="inlineStr">
        <is>
          <t>13주차</t>
        </is>
      </c>
      <c r="C2658" t="inlineStr">
        <is>
          <t>IM</t>
        </is>
      </c>
      <c r="D2658" s="28" t="n">
        <v>46106</v>
      </c>
      <c r="E2658" t="inlineStr">
        <is>
          <t>IM캐피탈</t>
        </is>
      </c>
      <c r="F2658" t="inlineStr">
        <is>
          <t>이영재</t>
        </is>
      </c>
      <c r="G2658" t="inlineStr">
        <is>
          <t>010-4632-5803</t>
        </is>
      </c>
      <c r="H2658" t="inlineStr">
        <is>
          <t>58수1289</t>
        </is>
      </c>
      <c r="I2658" t="n">
        <v>35000000</v>
      </c>
      <c r="J2658" t="n">
        <v>0.039</v>
      </c>
      <c r="K2658" t="n">
        <v>1.1</v>
      </c>
      <c r="L2658" t="n">
        <v>0.4</v>
      </c>
      <c r="M2658" t="n">
        <v>0.7</v>
      </c>
      <c r="P2658" t="inlineStr">
        <is>
          <t>박보람</t>
        </is>
      </c>
      <c r="AB2658" t="inlineStr">
        <is>
          <t>엔카</t>
        </is>
      </c>
      <c r="AC2658" t="n">
        <v>385000</v>
      </c>
      <c r="AD2658" t="n">
        <v>140000</v>
      </c>
      <c r="AE2658" t="n">
        <v>245000</v>
      </c>
      <c r="AF2658" t="n">
        <v>350000</v>
      </c>
      <c r="AG2658" t="n">
        <v>135380</v>
      </c>
      <c r="AH2658" t="n">
        <v>214620</v>
      </c>
      <c r="AI2658" t="n">
        <v>0</v>
      </c>
    </row>
    <row r="2659">
      <c r="A2659" t="inlineStr">
        <is>
          <t>3월</t>
        </is>
      </c>
      <c r="B2659" t="inlineStr">
        <is>
          <t>13주차</t>
        </is>
      </c>
      <c r="C2659" t="inlineStr">
        <is>
          <t>EP</t>
        </is>
      </c>
      <c r="D2659" s="28" t="n">
        <v>46106</v>
      </c>
      <c r="E2659" t="inlineStr">
        <is>
          <t>제이비EP</t>
        </is>
      </c>
      <c r="F2659" t="inlineStr">
        <is>
          <t>김태성</t>
        </is>
      </c>
      <c r="G2659" t="inlineStr">
        <is>
          <t>010-9985-9195</t>
        </is>
      </c>
      <c r="H2659" t="inlineStr">
        <is>
          <t>195주5316</t>
        </is>
      </c>
      <c r="I2659" t="n">
        <v>29000000</v>
      </c>
      <c r="J2659" t="n">
        <v>0.08500000000000001</v>
      </c>
      <c r="K2659" t="n">
        <v>1.65</v>
      </c>
      <c r="L2659" t="n">
        <v>0.4</v>
      </c>
      <c r="M2659" t="n">
        <v>1.25</v>
      </c>
      <c r="P2659" t="inlineStr">
        <is>
          <t>장현경</t>
        </is>
      </c>
      <c r="Q2659" t="inlineStr">
        <is>
          <t>부대비용 추가진행</t>
        </is>
      </c>
      <c r="AB2659" t="inlineStr">
        <is>
          <t>엔카</t>
        </is>
      </c>
      <c r="AC2659" t="n">
        <v>478500</v>
      </c>
      <c r="AD2659" t="n">
        <v>116000</v>
      </c>
      <c r="AE2659" t="n">
        <v>362500</v>
      </c>
      <c r="AF2659" t="n">
        <v>435000</v>
      </c>
      <c r="AG2659" t="n">
        <v>112172</v>
      </c>
      <c r="AH2659" t="n">
        <v>322828</v>
      </c>
      <c r="AI2659" t="n">
        <v>0</v>
      </c>
    </row>
    <row r="2660">
      <c r="A2660" t="inlineStr">
        <is>
          <t>3월</t>
        </is>
      </c>
      <c r="B2660" t="inlineStr">
        <is>
          <t>13주차</t>
        </is>
      </c>
      <c r="C2660" t="inlineStr">
        <is>
          <t>OR</t>
        </is>
      </c>
      <c r="D2660" s="28" t="n">
        <v>46107</v>
      </c>
      <c r="E2660" t="inlineStr">
        <is>
          <t>오릭스</t>
        </is>
      </c>
      <c r="F2660" t="inlineStr">
        <is>
          <t>김현경</t>
        </is>
      </c>
      <c r="G2660" t="inlineStr">
        <is>
          <t>010-5184-6935</t>
        </is>
      </c>
      <c r="H2660" t="inlineStr">
        <is>
          <t>212무2301</t>
        </is>
      </c>
      <c r="I2660" t="n">
        <v>17200000</v>
      </c>
      <c r="J2660" t="n">
        <v>0.059</v>
      </c>
      <c r="K2660" t="n">
        <v>1.65</v>
      </c>
      <c r="L2660" t="n">
        <v>0.14</v>
      </c>
      <c r="M2660" t="n">
        <v>1.51</v>
      </c>
      <c r="P2660" t="inlineStr">
        <is>
          <t>정하은</t>
        </is>
      </c>
      <c r="Q2660" t="inlineStr">
        <is>
          <t>선상담/ 홈서비스60개월</t>
        </is>
      </c>
      <c r="AB2660" t="inlineStr">
        <is>
          <t>홈서비스</t>
        </is>
      </c>
      <c r="AC2660" t="n">
        <v>283800</v>
      </c>
      <c r="AD2660" t="n">
        <v>24080</v>
      </c>
      <c r="AE2660" t="n">
        <v>259720</v>
      </c>
      <c r="AF2660" t="n">
        <v>258000</v>
      </c>
      <c r="AG2660" t="n">
        <v>23285.36</v>
      </c>
      <c r="AH2660" t="n">
        <v>234714.64</v>
      </c>
      <c r="AI2660" t="n">
        <v>0</v>
      </c>
    </row>
    <row r="2661">
      <c r="A2661" t="inlineStr">
        <is>
          <t>3월</t>
        </is>
      </c>
      <c r="B2661" t="inlineStr">
        <is>
          <t>13주차</t>
        </is>
      </c>
      <c r="C2661" t="inlineStr">
        <is>
          <t>EP</t>
        </is>
      </c>
      <c r="D2661" s="28" t="n">
        <v>46107</v>
      </c>
      <c r="E2661" t="inlineStr">
        <is>
          <t>현대EP_fast</t>
        </is>
      </c>
      <c r="F2661" t="inlineStr">
        <is>
          <t>서교식</t>
        </is>
      </c>
      <c r="G2661" t="inlineStr">
        <is>
          <t>010-8575-4013</t>
        </is>
      </c>
      <c r="H2661" t="inlineStr">
        <is>
          <t>160조1165</t>
        </is>
      </c>
      <c r="I2661" t="n">
        <v>10000000</v>
      </c>
      <c r="J2661" t="n">
        <v>0.118</v>
      </c>
      <c r="K2661" t="n">
        <v>1.76</v>
      </c>
      <c r="L2661" t="n">
        <v>0.14</v>
      </c>
      <c r="M2661" t="n">
        <v>1.62</v>
      </c>
      <c r="P2661" t="inlineStr">
        <is>
          <t>최형주</t>
        </is>
      </c>
      <c r="Q2661" t="inlineStr">
        <is>
          <t>홈서비스 36개월</t>
        </is>
      </c>
      <c r="AB2661" t="inlineStr">
        <is>
          <t>홈서비스</t>
        </is>
      </c>
      <c r="AC2661" t="n">
        <v>176000</v>
      </c>
      <c r="AD2661" t="n">
        <v>14000</v>
      </c>
      <c r="AE2661" t="n">
        <v>162000</v>
      </c>
      <c r="AF2661" t="n">
        <v>160000</v>
      </c>
      <c r="AG2661" t="n">
        <v>13538</v>
      </c>
      <c r="AH2661" t="n">
        <v>146462</v>
      </c>
      <c r="AI2661" t="n">
        <v>0</v>
      </c>
    </row>
    <row r="2662">
      <c r="A2662" t="inlineStr">
        <is>
          <t>3월</t>
        </is>
      </c>
      <c r="B2662" t="inlineStr">
        <is>
          <t>13주차</t>
        </is>
      </c>
      <c r="C2662" t="inlineStr">
        <is>
          <t>EP</t>
        </is>
      </c>
      <c r="D2662" s="28" t="n">
        <v>46106</v>
      </c>
      <c r="E2662" t="inlineStr">
        <is>
          <t>BNKEP</t>
        </is>
      </c>
      <c r="F2662" t="inlineStr">
        <is>
          <t>박종식</t>
        </is>
      </c>
      <c r="G2662" t="inlineStr">
        <is>
          <t>010-2970-6649</t>
        </is>
      </c>
      <c r="H2662" t="inlineStr">
        <is>
          <t>210고3501</t>
        </is>
      </c>
      <c r="I2662" t="n">
        <v>-10000000</v>
      </c>
      <c r="J2662" t="n">
        <v>0.07099999999999999</v>
      </c>
      <c r="K2662" t="n">
        <v>1.65</v>
      </c>
      <c r="L2662" t="n">
        <v>0.14</v>
      </c>
      <c r="M2662" t="n">
        <v>1.51</v>
      </c>
      <c r="P2662" t="inlineStr">
        <is>
          <t>김수연</t>
        </is>
      </c>
      <c r="Q2662" t="inlineStr">
        <is>
          <t>홈서비스 48개월</t>
        </is>
      </c>
      <c r="AB2662" t="inlineStr">
        <is>
          <t>홈서비스</t>
        </is>
      </c>
      <c r="AC2662" t="n">
        <v>-165000</v>
      </c>
      <c r="AD2662" t="n">
        <v>-14000</v>
      </c>
      <c r="AE2662" t="n">
        <v>-151000</v>
      </c>
      <c r="AF2662" t="n">
        <v>-150000</v>
      </c>
      <c r="AG2662" t="n">
        <v>-13538</v>
      </c>
      <c r="AH2662" t="n">
        <v>-136462</v>
      </c>
      <c r="AI2662" t="n">
        <v>0</v>
      </c>
    </row>
    <row r="2663">
      <c r="A2663" t="inlineStr">
        <is>
          <t>3월</t>
        </is>
      </c>
      <c r="B2663" t="inlineStr">
        <is>
          <t>13주차</t>
        </is>
      </c>
      <c r="C2663" t="inlineStr">
        <is>
          <t>IM</t>
        </is>
      </c>
      <c r="D2663" s="28" t="n">
        <v>46107</v>
      </c>
      <c r="E2663" t="inlineStr">
        <is>
          <t>IM캐피탈</t>
        </is>
      </c>
      <c r="F2663" t="inlineStr">
        <is>
          <t>이용전</t>
        </is>
      </c>
      <c r="G2663" t="inlineStr">
        <is>
          <t>010-6736-4835</t>
        </is>
      </c>
      <c r="H2663" t="inlineStr">
        <is>
          <t>190노5348</t>
        </is>
      </c>
      <c r="I2663" t="n">
        <v>5900000</v>
      </c>
      <c r="J2663" t="n">
        <v>0.056</v>
      </c>
      <c r="K2663" t="n">
        <v>1.1</v>
      </c>
      <c r="L2663" t="n">
        <v>0.14</v>
      </c>
      <c r="M2663" t="n">
        <v>0.96</v>
      </c>
      <c r="P2663" t="inlineStr">
        <is>
          <t>최형주</t>
        </is>
      </c>
      <c r="Q2663" t="inlineStr">
        <is>
          <t>홈서비스 24개월 / 공동명의</t>
        </is>
      </c>
      <c r="AB2663" t="inlineStr">
        <is>
          <t>홈서비스</t>
        </is>
      </c>
      <c r="AC2663" t="n">
        <v>64900</v>
      </c>
      <c r="AD2663" t="n">
        <v>8260</v>
      </c>
      <c r="AE2663" t="n">
        <v>56640</v>
      </c>
      <c r="AF2663" t="n">
        <v>59000</v>
      </c>
      <c r="AG2663" t="n">
        <v>7987.42</v>
      </c>
      <c r="AH2663" t="n">
        <v>51012.58</v>
      </c>
      <c r="AI2663" t="n">
        <v>0</v>
      </c>
    </row>
    <row r="2664">
      <c r="A2664" t="inlineStr">
        <is>
          <t>3월</t>
        </is>
      </c>
      <c r="B2664" t="inlineStr">
        <is>
          <t>13주차</t>
        </is>
      </c>
      <c r="C2664" t="inlineStr">
        <is>
          <t>EP</t>
        </is>
      </c>
      <c r="D2664" s="28" t="n">
        <v>46107</v>
      </c>
      <c r="E2664" t="inlineStr">
        <is>
          <t>BNKEP</t>
        </is>
      </c>
      <c r="F2664" t="inlineStr">
        <is>
          <t>정윤성</t>
        </is>
      </c>
      <c r="G2664" t="inlineStr">
        <is>
          <t>010-5455-8889</t>
        </is>
      </c>
      <c r="H2664" t="inlineStr">
        <is>
          <t>08주7790</t>
        </is>
      </c>
      <c r="I2664" t="n">
        <v>15300000</v>
      </c>
      <c r="J2664" t="n">
        <v>0.07000000000000001</v>
      </c>
      <c r="K2664" t="n">
        <v>1.65</v>
      </c>
      <c r="L2664" t="n">
        <v>0.14</v>
      </c>
      <c r="M2664" t="n">
        <v>1.51</v>
      </c>
      <c r="P2664" t="inlineStr">
        <is>
          <t>김나윤</t>
        </is>
      </c>
      <c r="Q2664" t="inlineStr">
        <is>
          <t>홈서비스 60개월</t>
        </is>
      </c>
      <c r="AB2664" t="inlineStr">
        <is>
          <t>홈서비스</t>
        </is>
      </c>
      <c r="AC2664" t="n">
        <v>252450</v>
      </c>
      <c r="AD2664" t="n">
        <v>21420</v>
      </c>
      <c r="AE2664" t="n">
        <v>231030</v>
      </c>
      <c r="AF2664" t="n">
        <v>229500</v>
      </c>
      <c r="AG2664" t="n">
        <v>20713.14</v>
      </c>
      <c r="AH2664" t="n">
        <v>208786.86</v>
      </c>
      <c r="AI2664" t="n">
        <v>0</v>
      </c>
    </row>
    <row r="2665">
      <c r="A2665" t="inlineStr">
        <is>
          <t>3월</t>
        </is>
      </c>
      <c r="B2665" t="inlineStr">
        <is>
          <t>13주차</t>
        </is>
      </c>
      <c r="C2665" t="inlineStr">
        <is>
          <t>IM</t>
        </is>
      </c>
      <c r="D2665" s="28" t="n">
        <v>46107</v>
      </c>
      <c r="E2665" t="inlineStr">
        <is>
          <t>IM캐피탈</t>
        </is>
      </c>
      <c r="F2665" t="inlineStr">
        <is>
          <t>오경하</t>
        </is>
      </c>
      <c r="G2665" t="inlineStr">
        <is>
          <t>010-5107-5753</t>
        </is>
      </c>
      <c r="H2665" t="inlineStr">
        <is>
          <t>246부4233</t>
        </is>
      </c>
      <c r="I2665" t="n">
        <v>12100000</v>
      </c>
      <c r="J2665" t="n">
        <v>0.039</v>
      </c>
      <c r="K2665" t="n">
        <v>1.1</v>
      </c>
      <c r="L2665" t="n">
        <v>0.4</v>
      </c>
      <c r="M2665" t="n">
        <v>0.7</v>
      </c>
      <c r="P2665" t="inlineStr">
        <is>
          <t>박소현</t>
        </is>
      </c>
      <c r="Q2665" t="inlineStr">
        <is>
          <t>오토론</t>
        </is>
      </c>
      <c r="AB2665" t="inlineStr">
        <is>
          <t>엔카</t>
        </is>
      </c>
      <c r="AC2665" t="n">
        <v>133100</v>
      </c>
      <c r="AD2665" t="n">
        <v>48400</v>
      </c>
      <c r="AE2665" t="n">
        <v>84700</v>
      </c>
      <c r="AF2665" t="n">
        <v>121000</v>
      </c>
      <c r="AG2665" t="n">
        <v>46802.8</v>
      </c>
      <c r="AH2665" t="n">
        <v>74197.2</v>
      </c>
      <c r="AI2665" t="n">
        <v>0</v>
      </c>
    </row>
    <row r="2666">
      <c r="A2666" t="inlineStr">
        <is>
          <t>3월</t>
        </is>
      </c>
      <c r="B2666" t="inlineStr">
        <is>
          <t>13주차</t>
        </is>
      </c>
      <c r="C2666" t="inlineStr">
        <is>
          <t>EP</t>
        </is>
      </c>
      <c r="D2666" s="28" t="n">
        <v>46107</v>
      </c>
      <c r="E2666" t="inlineStr">
        <is>
          <t>현대EP</t>
        </is>
      </c>
      <c r="F2666" t="inlineStr">
        <is>
          <t>이동준</t>
        </is>
      </c>
      <c r="G2666" t="inlineStr">
        <is>
          <t>010-4100-1960</t>
        </is>
      </c>
      <c r="H2666" t="inlineStr">
        <is>
          <t>333누9035</t>
        </is>
      </c>
      <c r="I2666" t="n">
        <v>38900000</v>
      </c>
      <c r="J2666" t="n">
        <v>0.092</v>
      </c>
      <c r="K2666" t="n">
        <v>1.76</v>
      </c>
      <c r="L2666" t="n">
        <v>0.14</v>
      </c>
      <c r="M2666" t="n">
        <v>1.62</v>
      </c>
      <c r="P2666" t="inlineStr">
        <is>
          <t>최형주</t>
        </is>
      </c>
      <c r="Q2666" t="inlineStr">
        <is>
          <t>홈서비스 60개월</t>
        </is>
      </c>
      <c r="AB2666" t="inlineStr">
        <is>
          <t>홈서비스</t>
        </is>
      </c>
      <c r="AC2666" t="n">
        <v>684640</v>
      </c>
      <c r="AD2666" t="n">
        <v>54460</v>
      </c>
      <c r="AE2666" t="n">
        <v>630180</v>
      </c>
      <c r="AF2666" t="n">
        <v>622400</v>
      </c>
      <c r="AG2666" t="n">
        <v>52662.82</v>
      </c>
      <c r="AH2666" t="n">
        <v>569737.1800000001</v>
      </c>
      <c r="AI2666" t="n">
        <v>0</v>
      </c>
    </row>
    <row r="2667">
      <c r="A2667" t="inlineStr">
        <is>
          <t>3월</t>
        </is>
      </c>
      <c r="B2667" t="inlineStr">
        <is>
          <t>13주차</t>
        </is>
      </c>
      <c r="C2667" t="inlineStr">
        <is>
          <t>EP</t>
        </is>
      </c>
      <c r="D2667" s="28" t="n">
        <v>46107</v>
      </c>
      <c r="E2667" t="inlineStr">
        <is>
          <t>현대EP</t>
        </is>
      </c>
      <c r="F2667" t="inlineStr">
        <is>
          <t>이동준</t>
        </is>
      </c>
      <c r="G2667" t="inlineStr">
        <is>
          <t>010-4100-1960</t>
        </is>
      </c>
      <c r="H2667" t="inlineStr">
        <is>
          <t>333누9035</t>
        </is>
      </c>
      <c r="I2667" t="n">
        <v>-38900000</v>
      </c>
      <c r="J2667" t="n">
        <v>0.092</v>
      </c>
      <c r="K2667" t="n">
        <v>1.76</v>
      </c>
      <c r="L2667" t="n">
        <v>0.14</v>
      </c>
      <c r="M2667" t="n">
        <v>1.62</v>
      </c>
      <c r="P2667" t="inlineStr">
        <is>
          <t>최형주</t>
        </is>
      </c>
      <c r="Q2667" t="inlineStr">
        <is>
          <t>홈서비스 60개월</t>
        </is>
      </c>
      <c r="AB2667" t="inlineStr">
        <is>
          <t>홈서비스</t>
        </is>
      </c>
      <c r="AC2667" t="n">
        <v>-684640</v>
      </c>
      <c r="AD2667" t="n">
        <v>-54460</v>
      </c>
      <c r="AE2667" t="n">
        <v>-630180</v>
      </c>
      <c r="AF2667" t="n">
        <v>-622400</v>
      </c>
      <c r="AG2667" t="n">
        <v>-52662.82</v>
      </c>
      <c r="AH2667" t="n">
        <v>-569737.1800000001</v>
      </c>
      <c r="AI2667" t="n">
        <v>0</v>
      </c>
    </row>
    <row r="2668">
      <c r="A2668" t="inlineStr">
        <is>
          <t>3월</t>
        </is>
      </c>
      <c r="B2668" t="inlineStr">
        <is>
          <t>13주차</t>
        </is>
      </c>
      <c r="C2668" t="inlineStr">
        <is>
          <t>EP</t>
        </is>
      </c>
      <c r="D2668" s="28" t="n">
        <v>46107</v>
      </c>
      <c r="E2668" t="inlineStr">
        <is>
          <t>BNKEP</t>
        </is>
      </c>
      <c r="F2668" t="inlineStr">
        <is>
          <t>이명진</t>
        </is>
      </c>
      <c r="G2668" t="inlineStr">
        <is>
          <t>010-6330-5269</t>
        </is>
      </c>
      <c r="H2668" t="inlineStr">
        <is>
          <t>71조3748</t>
        </is>
      </c>
      <c r="I2668" t="n">
        <v>8900000</v>
      </c>
      <c r="J2668" t="n">
        <v>0.061</v>
      </c>
      <c r="K2668" t="n">
        <v>1.65</v>
      </c>
      <c r="L2668" t="n">
        <v>0.14</v>
      </c>
      <c r="M2668" t="n">
        <v>1.51</v>
      </c>
      <c r="P2668" t="inlineStr">
        <is>
          <t>김나윤</t>
        </is>
      </c>
      <c r="Q2668" t="inlineStr">
        <is>
          <t>홈서비스 60개월</t>
        </is>
      </c>
      <c r="AB2668" t="inlineStr">
        <is>
          <t>홈서비스</t>
        </is>
      </c>
      <c r="AC2668" t="n">
        <v>146850</v>
      </c>
      <c r="AD2668" t="n">
        <v>12460</v>
      </c>
      <c r="AE2668" t="n">
        <v>134390</v>
      </c>
      <c r="AF2668" t="n">
        <v>133500</v>
      </c>
      <c r="AG2668" t="n">
        <v>12048.82</v>
      </c>
      <c r="AH2668" t="n">
        <v>121451.18</v>
      </c>
      <c r="AI2668" t="n">
        <v>0</v>
      </c>
    </row>
    <row r="2669">
      <c r="A2669" t="inlineStr">
        <is>
          <t>3월</t>
        </is>
      </c>
      <c r="B2669" t="inlineStr">
        <is>
          <t>13주차</t>
        </is>
      </c>
      <c r="C2669" t="inlineStr">
        <is>
          <t>WC</t>
        </is>
      </c>
      <c r="D2669" s="28" t="n">
        <v>46106</v>
      </c>
      <c r="E2669" t="inlineStr">
        <is>
          <t>웰컴저축은행</t>
        </is>
      </c>
      <c r="F2669" t="inlineStr">
        <is>
          <t>은준혁</t>
        </is>
      </c>
      <c r="G2669" t="inlineStr">
        <is>
          <t>010-4056-7109</t>
        </is>
      </c>
      <c r="H2669" t="inlineStr">
        <is>
          <t>82거2626</t>
        </is>
      </c>
      <c r="I2669" t="n">
        <v>17000000</v>
      </c>
      <c r="J2669" t="n">
        <v>0.159</v>
      </c>
      <c r="K2669" t="n">
        <v>0</v>
      </c>
      <c r="L2669" t="n">
        <v>0.4</v>
      </c>
      <c r="M2669" t="n">
        <v>-0.4</v>
      </c>
      <c r="P2669" t="inlineStr">
        <is>
          <t>장진경</t>
        </is>
      </c>
      <c r="Q2669" t="inlineStr">
        <is>
          <t>부대비용 추가진행</t>
        </is>
      </c>
      <c r="AB2669" t="inlineStr">
        <is>
          <t>엔카</t>
        </is>
      </c>
      <c r="AC2669" t="n">
        <v>0</v>
      </c>
      <c r="AD2669" t="n">
        <v>68000</v>
      </c>
      <c r="AE2669" t="n">
        <v>-68000</v>
      </c>
      <c r="AF2669" t="n">
        <v>0</v>
      </c>
      <c r="AG2669" t="n">
        <v>65756</v>
      </c>
      <c r="AH2669" t="n">
        <v>-65756</v>
      </c>
    </row>
    <row r="2670">
      <c r="A2670" t="inlineStr">
        <is>
          <t>3월</t>
        </is>
      </c>
      <c r="B2670" t="inlineStr">
        <is>
          <t>13주차</t>
        </is>
      </c>
      <c r="C2670" t="inlineStr">
        <is>
          <t>OR</t>
        </is>
      </c>
      <c r="D2670" s="28" t="n">
        <v>46106</v>
      </c>
      <c r="E2670" t="inlineStr">
        <is>
          <t>오릭스</t>
        </is>
      </c>
      <c r="F2670" t="inlineStr">
        <is>
          <t>조인제</t>
        </is>
      </c>
      <c r="G2670" t="inlineStr">
        <is>
          <t>010-4407-9596</t>
        </is>
      </c>
      <c r="H2670" t="inlineStr">
        <is>
          <t>173라7840</t>
        </is>
      </c>
      <c r="I2670" t="n">
        <v>14000000</v>
      </c>
      <c r="J2670" t="n">
        <v>0.059</v>
      </c>
      <c r="K2670" t="n">
        <v>1.65</v>
      </c>
      <c r="L2670" t="n">
        <v>0.14</v>
      </c>
      <c r="M2670" t="n">
        <v>1.51</v>
      </c>
      <c r="P2670" t="inlineStr">
        <is>
          <t>박현민</t>
        </is>
      </c>
      <c r="Q2670" t="inlineStr">
        <is>
          <t>홈서비스 60개월</t>
        </is>
      </c>
      <c r="AB2670" t="inlineStr">
        <is>
          <t>홈서비스</t>
        </is>
      </c>
      <c r="AC2670" t="n">
        <v>231000</v>
      </c>
      <c r="AD2670" t="n">
        <v>19600</v>
      </c>
      <c r="AE2670" t="n">
        <v>211400</v>
      </c>
      <c r="AF2670" t="n">
        <v>210000</v>
      </c>
      <c r="AG2670" t="n">
        <v>18953.2</v>
      </c>
      <c r="AH2670" t="n">
        <v>191046.8</v>
      </c>
    </row>
    <row r="2671">
      <c r="A2671" t="inlineStr">
        <is>
          <t>3월</t>
        </is>
      </c>
      <c r="B2671" t="inlineStr">
        <is>
          <t>13주차</t>
        </is>
      </c>
      <c r="C2671" t="inlineStr">
        <is>
          <t>EP</t>
        </is>
      </c>
      <c r="D2671" s="28" t="n">
        <v>46108</v>
      </c>
      <c r="E2671" t="inlineStr">
        <is>
          <t>BNKEP</t>
        </is>
      </c>
      <c r="F2671" t="inlineStr">
        <is>
          <t>신준</t>
        </is>
      </c>
      <c r="G2671" t="inlineStr">
        <is>
          <t>010-2822-1903</t>
        </is>
      </c>
      <c r="H2671" t="inlineStr">
        <is>
          <t>189로6954</t>
        </is>
      </c>
      <c r="I2671" t="n">
        <v>20000000</v>
      </c>
      <c r="J2671" t="n">
        <v>0.061</v>
      </c>
      <c r="K2671" t="n">
        <v>1.65</v>
      </c>
      <c r="L2671" t="n">
        <v>0.14</v>
      </c>
      <c r="M2671" t="n">
        <v>1.51</v>
      </c>
      <c r="P2671" t="inlineStr">
        <is>
          <t>황채이</t>
        </is>
      </c>
      <c r="Q2671" t="inlineStr">
        <is>
          <t>홈서비스 60개월</t>
        </is>
      </c>
      <c r="AB2671" t="inlineStr">
        <is>
          <t>홈서비스</t>
        </is>
      </c>
      <c r="AC2671" t="n">
        <v>330000</v>
      </c>
      <c r="AD2671" t="n">
        <v>28000</v>
      </c>
      <c r="AE2671" t="n">
        <v>302000</v>
      </c>
      <c r="AF2671" t="n">
        <v>300000</v>
      </c>
      <c r="AG2671" t="n">
        <v>27076</v>
      </c>
      <c r="AH2671" t="n">
        <v>272924</v>
      </c>
    </row>
    <row r="2672">
      <c r="A2672" t="inlineStr">
        <is>
          <t>3월</t>
        </is>
      </c>
      <c r="B2672" t="inlineStr">
        <is>
          <t>13주차</t>
        </is>
      </c>
      <c r="C2672" t="inlineStr">
        <is>
          <t>EP</t>
        </is>
      </c>
      <c r="D2672" s="28" t="n">
        <v>46104</v>
      </c>
      <c r="E2672" t="inlineStr">
        <is>
          <t>현대EP_fast</t>
        </is>
      </c>
      <c r="F2672" t="inlineStr">
        <is>
          <t>서가빈</t>
        </is>
      </c>
      <c r="G2672" t="inlineStr">
        <is>
          <t>010-5574-0318</t>
        </is>
      </c>
      <c r="H2672" t="inlineStr">
        <is>
          <t>28로1367</t>
        </is>
      </c>
      <c r="I2672" t="n">
        <v>3400000</v>
      </c>
      <c r="J2672" t="n">
        <v>0.105</v>
      </c>
      <c r="K2672" t="n">
        <v>1.76</v>
      </c>
      <c r="L2672" t="n">
        <v>0.4</v>
      </c>
      <c r="M2672" t="n">
        <v>1.36</v>
      </c>
      <c r="P2672" t="inlineStr">
        <is>
          <t>구성완</t>
        </is>
      </c>
      <c r="AB2672" t="inlineStr">
        <is>
          <t>엔카</t>
        </is>
      </c>
      <c r="AC2672" t="n">
        <v>59840</v>
      </c>
      <c r="AD2672" t="n">
        <v>13600</v>
      </c>
      <c r="AE2672" t="n">
        <v>46240</v>
      </c>
      <c r="AF2672" t="n">
        <v>54400</v>
      </c>
      <c r="AG2672" t="n">
        <v>13151.2</v>
      </c>
      <c r="AH2672" t="n">
        <v>41248.8</v>
      </c>
      <c r="AI2672" t="n">
        <v>0</v>
      </c>
    </row>
    <row r="2673">
      <c r="A2673" t="inlineStr">
        <is>
          <t>3월</t>
        </is>
      </c>
      <c r="B2673" t="inlineStr">
        <is>
          <t>13주차</t>
        </is>
      </c>
      <c r="C2673" t="inlineStr">
        <is>
          <t>EP</t>
        </is>
      </c>
      <c r="D2673" s="28" t="n">
        <v>46108</v>
      </c>
      <c r="E2673" t="inlineStr">
        <is>
          <t>BNKEP</t>
        </is>
      </c>
      <c r="F2673" t="inlineStr">
        <is>
          <t>김상환</t>
        </is>
      </c>
      <c r="G2673" t="inlineStr">
        <is>
          <t>010-2590-0258</t>
        </is>
      </c>
      <c r="H2673" t="inlineStr">
        <is>
          <t>142모4752</t>
        </is>
      </c>
      <c r="I2673" t="n">
        <v>15900000</v>
      </c>
      <c r="J2673" t="n">
        <v>0.061</v>
      </c>
      <c r="K2673" t="n">
        <v>1.65</v>
      </c>
      <c r="L2673" t="n">
        <v>0.14</v>
      </c>
      <c r="M2673" t="n">
        <v>1.51</v>
      </c>
      <c r="P2673" t="inlineStr">
        <is>
          <t>최형주</t>
        </is>
      </c>
      <c r="Q2673" t="inlineStr">
        <is>
          <t>홈서비스 24개월</t>
        </is>
      </c>
      <c r="AB2673" t="inlineStr">
        <is>
          <t>홈서비스</t>
        </is>
      </c>
      <c r="AC2673" t="n">
        <v>262350</v>
      </c>
      <c r="AD2673" t="n">
        <v>22260</v>
      </c>
      <c r="AE2673" t="n">
        <v>240090</v>
      </c>
      <c r="AF2673" t="n">
        <v>238500</v>
      </c>
      <c r="AG2673" t="n">
        <v>21525.42</v>
      </c>
      <c r="AH2673" t="n">
        <v>216974.58</v>
      </c>
      <c r="AI2673" t="n">
        <v>0</v>
      </c>
    </row>
    <row r="2674">
      <c r="A2674" t="inlineStr">
        <is>
          <t>3월</t>
        </is>
      </c>
      <c r="B2674" t="inlineStr">
        <is>
          <t>13주차</t>
        </is>
      </c>
      <c r="C2674" t="inlineStr">
        <is>
          <t>IM</t>
        </is>
      </c>
      <c r="D2674" s="28" t="n">
        <v>46107</v>
      </c>
      <c r="E2674" t="inlineStr">
        <is>
          <t>IM캐피탈</t>
        </is>
      </c>
      <c r="F2674" t="inlineStr">
        <is>
          <t>김윤종</t>
        </is>
      </c>
      <c r="G2674" t="inlineStr">
        <is>
          <t>010-6469-6856</t>
        </is>
      </c>
      <c r="H2674" t="inlineStr">
        <is>
          <t>175로9279</t>
        </is>
      </c>
      <c r="I2674" t="n">
        <v>8900000</v>
      </c>
      <c r="J2674" t="n">
        <v>0.066</v>
      </c>
      <c r="K2674" t="n">
        <v>1.1</v>
      </c>
      <c r="L2674" t="n">
        <v>0.4</v>
      </c>
      <c r="M2674" t="n">
        <v>0.7</v>
      </c>
      <c r="P2674" t="inlineStr">
        <is>
          <t>박보람</t>
        </is>
      </c>
      <c r="Q2674" t="inlineStr">
        <is>
          <t>금융플러스 : 신현진</t>
        </is>
      </c>
      <c r="AB2674" t="inlineStr">
        <is>
          <t>딜러유입</t>
        </is>
      </c>
      <c r="AC2674" t="n">
        <v>97900</v>
      </c>
      <c r="AD2674" t="n">
        <v>35600</v>
      </c>
      <c r="AE2674" t="n">
        <v>62300</v>
      </c>
      <c r="AF2674" t="n">
        <v>89000</v>
      </c>
      <c r="AG2674" t="n">
        <v>34425.2</v>
      </c>
      <c r="AH2674" t="n">
        <v>54574.8</v>
      </c>
      <c r="AI2674" t="n">
        <v>0</v>
      </c>
    </row>
    <row r="2675">
      <c r="A2675" t="inlineStr">
        <is>
          <t>3월</t>
        </is>
      </c>
      <c r="B2675" t="inlineStr">
        <is>
          <t>13주차</t>
        </is>
      </c>
      <c r="C2675" t="inlineStr">
        <is>
          <t>EP</t>
        </is>
      </c>
      <c r="D2675" s="28" t="n">
        <v>46107</v>
      </c>
      <c r="E2675" t="inlineStr">
        <is>
          <t>BNKEP</t>
        </is>
      </c>
      <c r="F2675" t="inlineStr">
        <is>
          <t>김태열</t>
        </is>
      </c>
      <c r="G2675" t="inlineStr">
        <is>
          <t>010-5041-1459</t>
        </is>
      </c>
      <c r="H2675" t="inlineStr">
        <is>
          <t>112조8456</t>
        </is>
      </c>
      <c r="I2675" t="n">
        <v>9300000</v>
      </c>
      <c r="J2675" t="n">
        <v>0.117</v>
      </c>
      <c r="K2675" t="n">
        <v>1.65</v>
      </c>
      <c r="L2675" t="n">
        <v>0.14</v>
      </c>
      <c r="M2675" t="n">
        <v>1.51</v>
      </c>
      <c r="P2675" t="inlineStr">
        <is>
          <t>김수연</t>
        </is>
      </c>
      <c r="Q2675" t="inlineStr">
        <is>
          <t>홈서비스 36개월</t>
        </is>
      </c>
      <c r="AB2675" t="inlineStr">
        <is>
          <t>홈서비스</t>
        </is>
      </c>
      <c r="AC2675" t="n">
        <v>153450</v>
      </c>
      <c r="AD2675" t="n">
        <v>13020</v>
      </c>
      <c r="AE2675" t="n">
        <v>140430</v>
      </c>
      <c r="AF2675" t="n">
        <v>139500</v>
      </c>
      <c r="AG2675" t="n">
        <v>12590.34</v>
      </c>
      <c r="AH2675" t="n">
        <v>126909.66</v>
      </c>
      <c r="AI2675" t="n">
        <v>0</v>
      </c>
    </row>
    <row r="2676">
      <c r="A2676" t="inlineStr">
        <is>
          <t>3월</t>
        </is>
      </c>
      <c r="B2676" t="inlineStr">
        <is>
          <t>13주차</t>
        </is>
      </c>
      <c r="C2676" t="inlineStr">
        <is>
          <t>EP</t>
        </is>
      </c>
      <c r="D2676" s="28" t="n">
        <v>46107</v>
      </c>
      <c r="E2676" t="inlineStr">
        <is>
          <t>현대EP</t>
        </is>
      </c>
      <c r="F2676" t="inlineStr">
        <is>
          <t>정우린</t>
        </is>
      </c>
      <c r="G2676" t="inlineStr">
        <is>
          <t>010-2941-7071</t>
        </is>
      </c>
      <c r="H2676" t="inlineStr">
        <is>
          <t>729두5311</t>
        </is>
      </c>
      <c r="I2676" t="n">
        <v>15500000</v>
      </c>
      <c r="J2676" t="n">
        <v>0.07099999999999999</v>
      </c>
      <c r="K2676" t="n">
        <v>1.76</v>
      </c>
      <c r="L2676" t="n">
        <v>0.14</v>
      </c>
      <c r="M2676" t="n">
        <v>1.62</v>
      </c>
      <c r="P2676" t="inlineStr">
        <is>
          <t>김나윤</t>
        </is>
      </c>
      <c r="Q2676" t="inlineStr">
        <is>
          <t>홈서비스 60개월</t>
        </is>
      </c>
      <c r="AB2676" t="inlineStr">
        <is>
          <t>홈서비스</t>
        </is>
      </c>
      <c r="AC2676" t="n">
        <v>272800</v>
      </c>
      <c r="AD2676" t="n">
        <v>21700</v>
      </c>
      <c r="AE2676" t="n">
        <v>251100</v>
      </c>
      <c r="AF2676" t="n">
        <v>248000</v>
      </c>
      <c r="AG2676" t="n">
        <v>20983.9</v>
      </c>
      <c r="AH2676" t="n">
        <v>227016.1</v>
      </c>
      <c r="AI2676" t="n">
        <v>0</v>
      </c>
    </row>
    <row r="2677">
      <c r="A2677" t="inlineStr">
        <is>
          <t>3월</t>
        </is>
      </c>
      <c r="B2677" t="inlineStr">
        <is>
          <t>13주차</t>
        </is>
      </c>
      <c r="C2677" t="inlineStr">
        <is>
          <t>OR</t>
        </is>
      </c>
      <c r="D2677" s="28" t="n">
        <v>46108</v>
      </c>
      <c r="E2677" t="inlineStr">
        <is>
          <t>오릭스</t>
        </is>
      </c>
      <c r="F2677" t="inlineStr">
        <is>
          <t>김정석</t>
        </is>
      </c>
      <c r="G2677" t="inlineStr">
        <is>
          <t>010-3944-6645</t>
        </is>
      </c>
      <c r="H2677" t="inlineStr">
        <is>
          <t>21누1671</t>
        </is>
      </c>
      <c r="I2677" t="n">
        <v>10000000</v>
      </c>
      <c r="J2677" t="n">
        <v>0.055</v>
      </c>
      <c r="K2677" t="n">
        <v>1.65</v>
      </c>
      <c r="L2677" t="n">
        <v>0.14</v>
      </c>
      <c r="M2677" t="n">
        <v>1.51</v>
      </c>
      <c r="P2677" t="inlineStr">
        <is>
          <t>김나윤</t>
        </is>
      </c>
      <c r="Q2677" t="inlineStr">
        <is>
          <t>홈서비스 60개월</t>
        </is>
      </c>
      <c r="AB2677" t="inlineStr">
        <is>
          <t>홈서비스</t>
        </is>
      </c>
      <c r="AC2677" t="n">
        <v>165000</v>
      </c>
      <c r="AD2677" t="n">
        <v>14000</v>
      </c>
      <c r="AE2677" t="n">
        <v>151000</v>
      </c>
      <c r="AF2677" t="n">
        <v>150000</v>
      </c>
      <c r="AG2677" t="n">
        <v>13538</v>
      </c>
      <c r="AH2677" t="n">
        <v>136462</v>
      </c>
      <c r="AI2677" t="n">
        <v>0</v>
      </c>
    </row>
    <row r="2678">
      <c r="A2678" t="inlineStr">
        <is>
          <t>3월</t>
        </is>
      </c>
      <c r="B2678" t="inlineStr">
        <is>
          <t>13주차</t>
        </is>
      </c>
      <c r="C2678" t="inlineStr">
        <is>
          <t>EP</t>
        </is>
      </c>
      <c r="D2678" s="28" t="n">
        <v>46108</v>
      </c>
      <c r="E2678" t="inlineStr">
        <is>
          <t>BNKEP</t>
        </is>
      </c>
      <c r="F2678" t="inlineStr">
        <is>
          <t>이건필</t>
        </is>
      </c>
      <c r="G2678" t="inlineStr">
        <is>
          <t>010-3932-8934</t>
        </is>
      </c>
      <c r="H2678" t="inlineStr">
        <is>
          <t>281거1527</t>
        </is>
      </c>
      <c r="I2678" t="n">
        <v>17900000</v>
      </c>
      <c r="J2678" t="n">
        <v>0.067</v>
      </c>
      <c r="K2678" t="n">
        <v>1.65</v>
      </c>
      <c r="L2678" t="n">
        <v>0.14</v>
      </c>
      <c r="M2678" t="n">
        <v>1.51</v>
      </c>
      <c r="P2678" t="inlineStr">
        <is>
          <t>황채이</t>
        </is>
      </c>
      <c r="Q2678" t="inlineStr">
        <is>
          <t>홈서비스 60개월</t>
        </is>
      </c>
      <c r="AB2678" t="inlineStr">
        <is>
          <t>홈서비스</t>
        </is>
      </c>
      <c r="AC2678" t="n">
        <v>295350</v>
      </c>
      <c r="AD2678" t="n">
        <v>25060</v>
      </c>
      <c r="AE2678" t="n">
        <v>270290</v>
      </c>
      <c r="AF2678" t="n">
        <v>268500</v>
      </c>
      <c r="AG2678" t="n">
        <v>24233.02</v>
      </c>
      <c r="AH2678" t="n">
        <v>244266.98</v>
      </c>
    </row>
    <row r="2679">
      <c r="A2679" t="inlineStr">
        <is>
          <t>3월</t>
        </is>
      </c>
      <c r="B2679" t="inlineStr">
        <is>
          <t>13주차</t>
        </is>
      </c>
      <c r="C2679" t="inlineStr">
        <is>
          <t>EP</t>
        </is>
      </c>
      <c r="D2679" s="28" t="n">
        <v>46107</v>
      </c>
      <c r="E2679" t="inlineStr">
        <is>
          <t>제이비EP</t>
        </is>
      </c>
      <c r="F2679" t="inlineStr">
        <is>
          <t>이재훈</t>
        </is>
      </c>
      <c r="G2679" t="inlineStr">
        <is>
          <t>010-4762-4663</t>
        </is>
      </c>
      <c r="H2679" t="inlineStr">
        <is>
          <t>146도2340</t>
        </is>
      </c>
      <c r="I2679" t="n">
        <v>4600000</v>
      </c>
      <c r="J2679" t="n">
        <v>0.066</v>
      </c>
      <c r="K2679" t="n">
        <v>1.65</v>
      </c>
      <c r="L2679" t="n">
        <v>0.14</v>
      </c>
      <c r="M2679" t="n">
        <v>1.51</v>
      </c>
      <c r="P2679" t="inlineStr">
        <is>
          <t>정광호</t>
        </is>
      </c>
      <c r="Q2679" t="inlineStr">
        <is>
          <t>홈서비스 24개월</t>
        </is>
      </c>
      <c r="AB2679" t="inlineStr">
        <is>
          <t>홈서비스</t>
        </is>
      </c>
      <c r="AC2679" t="n">
        <v>75900</v>
      </c>
      <c r="AD2679" t="n">
        <v>6440</v>
      </c>
      <c r="AE2679" t="n">
        <v>69460</v>
      </c>
      <c r="AF2679" t="n">
        <v>69000</v>
      </c>
      <c r="AG2679" t="n">
        <v>6227.48</v>
      </c>
      <c r="AH2679" t="n">
        <v>62772.52</v>
      </c>
      <c r="AI2679" t="n">
        <v>0</v>
      </c>
    </row>
    <row r="2680">
      <c r="A2680" t="inlineStr">
        <is>
          <t>3월</t>
        </is>
      </c>
      <c r="B2680" t="inlineStr">
        <is>
          <t>13주차</t>
        </is>
      </c>
      <c r="C2680" t="inlineStr">
        <is>
          <t>EP</t>
        </is>
      </c>
      <c r="D2680" s="28" t="n">
        <v>46107</v>
      </c>
      <c r="E2680" t="inlineStr">
        <is>
          <t>현대EP</t>
        </is>
      </c>
      <c r="F2680" t="inlineStr">
        <is>
          <t>남윤우</t>
        </is>
      </c>
      <c r="G2680" t="inlineStr">
        <is>
          <t>010-2716-0566</t>
        </is>
      </c>
      <c r="H2680" t="inlineStr">
        <is>
          <t>48서1266</t>
        </is>
      </c>
      <c r="I2680" t="n">
        <v>22400000</v>
      </c>
      <c r="J2680" t="n">
        <v>0.09</v>
      </c>
      <c r="K2680" t="n">
        <v>1.76</v>
      </c>
      <c r="L2680" t="n">
        <v>0.14</v>
      </c>
      <c r="M2680" t="n">
        <v>1.62</v>
      </c>
      <c r="P2680" t="inlineStr">
        <is>
          <t>김수연</t>
        </is>
      </c>
      <c r="Q2680" t="inlineStr">
        <is>
          <t>홈서비스 60개월</t>
        </is>
      </c>
      <c r="AB2680" t="inlineStr">
        <is>
          <t>홈서비스</t>
        </is>
      </c>
      <c r="AC2680" t="n">
        <v>394240</v>
      </c>
      <c r="AD2680" t="n">
        <v>31360</v>
      </c>
      <c r="AE2680" t="n">
        <v>362880</v>
      </c>
      <c r="AF2680" t="n">
        <v>358400</v>
      </c>
      <c r="AG2680" t="n">
        <v>30325.12</v>
      </c>
      <c r="AH2680" t="n">
        <v>328074.88</v>
      </c>
    </row>
    <row r="2681">
      <c r="A2681" t="inlineStr">
        <is>
          <t>3월</t>
        </is>
      </c>
      <c r="B2681" t="inlineStr">
        <is>
          <t>13주차</t>
        </is>
      </c>
      <c r="C2681" t="inlineStr">
        <is>
          <t>OR</t>
        </is>
      </c>
      <c r="D2681" s="28" t="n">
        <v>46107</v>
      </c>
      <c r="E2681" t="inlineStr">
        <is>
          <t>오릭스</t>
        </is>
      </c>
      <c r="F2681" t="inlineStr">
        <is>
          <t>이재형</t>
        </is>
      </c>
      <c r="G2681" t="inlineStr">
        <is>
          <t>010-2013-6972</t>
        </is>
      </c>
      <c r="H2681" t="inlineStr">
        <is>
          <t>06버2941</t>
        </is>
      </c>
      <c r="I2681" t="n">
        <v>12700000</v>
      </c>
      <c r="J2681" t="n">
        <v>0.064</v>
      </c>
      <c r="K2681" t="n">
        <v>1.65</v>
      </c>
      <c r="L2681" t="n">
        <v>0.14</v>
      </c>
      <c r="M2681" t="n">
        <v>1.51</v>
      </c>
      <c r="P2681" t="inlineStr">
        <is>
          <t>박소현</t>
        </is>
      </c>
      <c r="Q2681" t="inlineStr">
        <is>
          <t>선상담 / 홈서비스 60개월</t>
        </is>
      </c>
      <c r="AB2681" t="inlineStr">
        <is>
          <t>홈서비스</t>
        </is>
      </c>
      <c r="AC2681" t="n">
        <v>209550</v>
      </c>
      <c r="AD2681" t="n">
        <v>17780</v>
      </c>
      <c r="AE2681" t="n">
        <v>191770</v>
      </c>
      <c r="AF2681" t="n">
        <v>190500</v>
      </c>
      <c r="AG2681" t="n">
        <v>17193.26</v>
      </c>
      <c r="AH2681" t="n">
        <v>173306.74</v>
      </c>
    </row>
    <row r="2682">
      <c r="A2682" t="inlineStr">
        <is>
          <t>3월</t>
        </is>
      </c>
      <c r="B2682" t="inlineStr">
        <is>
          <t>13주차</t>
        </is>
      </c>
      <c r="C2682" t="inlineStr">
        <is>
          <t>IM</t>
        </is>
      </c>
      <c r="D2682" s="28" t="n">
        <v>46107</v>
      </c>
      <c r="E2682" t="inlineStr">
        <is>
          <t>IM캐피탈</t>
        </is>
      </c>
      <c r="F2682" t="inlineStr">
        <is>
          <t>김은우</t>
        </is>
      </c>
      <c r="G2682" t="inlineStr">
        <is>
          <t>010-4270-7552</t>
        </is>
      </c>
      <c r="H2682" t="inlineStr">
        <is>
          <t>01너7114</t>
        </is>
      </c>
      <c r="I2682" t="n">
        <v>26500000</v>
      </c>
      <c r="J2682" t="n">
        <v>0.06900000000000001</v>
      </c>
      <c r="K2682" t="n">
        <v>1.1</v>
      </c>
      <c r="L2682" t="n">
        <v>0.14</v>
      </c>
      <c r="M2682" t="n">
        <v>0.96</v>
      </c>
      <c r="P2682" t="inlineStr">
        <is>
          <t>장현경</t>
        </is>
      </c>
      <c r="Q2682" t="inlineStr">
        <is>
          <t>선상담/ 홈서비스48개월 / 공동명의</t>
        </is>
      </c>
      <c r="AB2682" t="inlineStr">
        <is>
          <t>홈서비스</t>
        </is>
      </c>
      <c r="AC2682" t="n">
        <v>291500</v>
      </c>
      <c r="AD2682" t="n">
        <v>37100</v>
      </c>
      <c r="AE2682" t="n">
        <v>254400</v>
      </c>
      <c r="AF2682" t="n">
        <v>265000</v>
      </c>
      <c r="AG2682" t="n">
        <v>35875.7</v>
      </c>
      <c r="AH2682" t="n">
        <v>229124.3</v>
      </c>
      <c r="AI2682" t="n">
        <v>0</v>
      </c>
    </row>
    <row r="2683">
      <c r="A2683" t="inlineStr">
        <is>
          <t>3월</t>
        </is>
      </c>
      <c r="B2683" t="inlineStr">
        <is>
          <t>13주차</t>
        </is>
      </c>
      <c r="C2683" t="inlineStr">
        <is>
          <t>IM</t>
        </is>
      </c>
      <c r="D2683" s="28" t="n">
        <v>46107</v>
      </c>
      <c r="E2683" t="inlineStr">
        <is>
          <t>IM캐피탈</t>
        </is>
      </c>
      <c r="F2683" t="inlineStr">
        <is>
          <t>주상용</t>
        </is>
      </c>
      <c r="G2683" t="inlineStr">
        <is>
          <t>010-4583-8125</t>
        </is>
      </c>
      <c r="H2683" t="inlineStr">
        <is>
          <t>158모2312</t>
        </is>
      </c>
      <c r="I2683" t="n">
        <v>22000000</v>
      </c>
      <c r="J2683" t="n">
        <v>0.049</v>
      </c>
      <c r="K2683" t="n">
        <v>1.1</v>
      </c>
      <c r="L2683" t="n">
        <v>0.14</v>
      </c>
      <c r="M2683" t="n">
        <v>0.96</v>
      </c>
      <c r="P2683" t="inlineStr">
        <is>
          <t>정광호</t>
        </is>
      </c>
      <c r="Q2683" t="inlineStr">
        <is>
          <t>홈서비스 36개월</t>
        </is>
      </c>
      <c r="AB2683" t="inlineStr">
        <is>
          <t>홈서비스</t>
        </is>
      </c>
      <c r="AC2683" t="n">
        <v>242000</v>
      </c>
      <c r="AD2683" t="n">
        <v>30800</v>
      </c>
      <c r="AE2683" t="n">
        <v>211200</v>
      </c>
      <c r="AF2683" t="n">
        <v>220000</v>
      </c>
      <c r="AG2683" t="n">
        <v>29783.6</v>
      </c>
      <c r="AH2683" t="n">
        <v>190216.4</v>
      </c>
    </row>
    <row r="2684">
      <c r="A2684" t="inlineStr">
        <is>
          <t>3월</t>
        </is>
      </c>
      <c r="B2684" t="inlineStr">
        <is>
          <t>13주차</t>
        </is>
      </c>
      <c r="C2684" t="inlineStr">
        <is>
          <t>EP</t>
        </is>
      </c>
      <c r="D2684" s="28" t="n">
        <v>46107</v>
      </c>
      <c r="E2684" t="inlineStr">
        <is>
          <t>현대EP_fast</t>
        </is>
      </c>
      <c r="F2684" t="inlineStr">
        <is>
          <t>박수빈</t>
        </is>
      </c>
      <c r="G2684" t="inlineStr">
        <is>
          <t>010-9341-2296</t>
        </is>
      </c>
      <c r="H2684" t="inlineStr">
        <is>
          <t>137가9909</t>
        </is>
      </c>
      <c r="I2684" t="n">
        <v>5000000</v>
      </c>
      <c r="J2684" t="n">
        <v>0.11</v>
      </c>
      <c r="K2684" t="n">
        <v>1.76</v>
      </c>
      <c r="L2684" t="n">
        <v>0.4</v>
      </c>
      <c r="M2684" t="n">
        <v>1.36</v>
      </c>
      <c r="P2684" t="inlineStr">
        <is>
          <t>박보람</t>
        </is>
      </c>
      <c r="AB2684" t="inlineStr">
        <is>
          <t>엔카</t>
        </is>
      </c>
      <c r="AC2684" t="n">
        <v>88000</v>
      </c>
      <c r="AD2684" t="n">
        <v>20000</v>
      </c>
      <c r="AE2684" t="n">
        <v>68000</v>
      </c>
      <c r="AF2684" t="n">
        <v>80000</v>
      </c>
      <c r="AG2684" t="n">
        <v>19340</v>
      </c>
      <c r="AH2684" t="n">
        <v>60660</v>
      </c>
    </row>
    <row r="2685">
      <c r="A2685" t="inlineStr">
        <is>
          <t>3월</t>
        </is>
      </c>
      <c r="B2685" t="inlineStr">
        <is>
          <t>13주차</t>
        </is>
      </c>
      <c r="C2685" t="inlineStr">
        <is>
          <t>IM</t>
        </is>
      </c>
      <c r="D2685" s="28" t="n">
        <v>46107</v>
      </c>
      <c r="E2685" t="inlineStr">
        <is>
          <t>IM캐피탈</t>
        </is>
      </c>
      <c r="F2685" t="inlineStr">
        <is>
          <t>유경선</t>
        </is>
      </c>
      <c r="G2685" t="inlineStr">
        <is>
          <t>010-8751-7496</t>
        </is>
      </c>
      <c r="H2685" t="inlineStr">
        <is>
          <t>266서1736</t>
        </is>
      </c>
      <c r="I2685" t="n">
        <v>14800000</v>
      </c>
      <c r="J2685" t="n">
        <v>0.039</v>
      </c>
      <c r="K2685" t="n">
        <v>1.1</v>
      </c>
      <c r="L2685" t="n">
        <v>0.4</v>
      </c>
      <c r="M2685" t="n">
        <v>0.7</v>
      </c>
      <c r="P2685" t="inlineStr">
        <is>
          <t>최혁</t>
        </is>
      </c>
      <c r="AB2685" t="inlineStr">
        <is>
          <t>엔카</t>
        </is>
      </c>
      <c r="AC2685" t="n">
        <v>162800</v>
      </c>
      <c r="AD2685" t="n">
        <v>59200</v>
      </c>
      <c r="AE2685" t="n">
        <v>103600</v>
      </c>
      <c r="AF2685" t="n">
        <v>148000</v>
      </c>
      <c r="AG2685" t="n">
        <v>57246.4</v>
      </c>
      <c r="AH2685" t="n">
        <v>90753.60000000001</v>
      </c>
      <c r="AI2685" t="n">
        <v>0</v>
      </c>
    </row>
    <row r="2686">
      <c r="A2686" t="inlineStr">
        <is>
          <t>3월</t>
        </is>
      </c>
      <c r="B2686" t="inlineStr">
        <is>
          <t>13주차</t>
        </is>
      </c>
      <c r="C2686" t="inlineStr">
        <is>
          <t>OR</t>
        </is>
      </c>
      <c r="D2686" s="28" t="n">
        <v>46107</v>
      </c>
      <c r="E2686" t="inlineStr">
        <is>
          <t>오릭스</t>
        </is>
      </c>
      <c r="F2686" t="inlineStr">
        <is>
          <t>마여주</t>
        </is>
      </c>
      <c r="G2686" t="inlineStr">
        <is>
          <t>010-4362-7988</t>
        </is>
      </c>
      <c r="H2686" t="inlineStr">
        <is>
          <t>208부1214</t>
        </is>
      </c>
      <c r="I2686" t="n">
        <v>24900000</v>
      </c>
      <c r="J2686" t="n">
        <v>0.055</v>
      </c>
      <c r="K2686" t="n">
        <v>1.65</v>
      </c>
      <c r="L2686" t="n">
        <v>0.5</v>
      </c>
      <c r="M2686" t="n">
        <v>1.15</v>
      </c>
      <c r="P2686" t="inlineStr">
        <is>
          <t>정하은</t>
        </is>
      </c>
      <c r="AB2686" t="inlineStr">
        <is>
          <t>엔카</t>
        </is>
      </c>
      <c r="AC2686" t="n">
        <v>410850</v>
      </c>
      <c r="AD2686" t="n">
        <v>124500</v>
      </c>
      <c r="AE2686" t="n">
        <v>286350</v>
      </c>
      <c r="AF2686" t="n">
        <v>373500</v>
      </c>
      <c r="AG2686" t="n">
        <v>120391.5</v>
      </c>
      <c r="AH2686" t="n">
        <v>253108.5</v>
      </c>
    </row>
    <row r="2687">
      <c r="A2687" t="inlineStr">
        <is>
          <t>3월</t>
        </is>
      </c>
      <c r="B2687" t="inlineStr">
        <is>
          <t>13주차</t>
        </is>
      </c>
      <c r="C2687" t="inlineStr">
        <is>
          <t>IM</t>
        </is>
      </c>
      <c r="D2687" s="28" t="n">
        <v>46107</v>
      </c>
      <c r="E2687" t="inlineStr">
        <is>
          <t>IM캐피탈</t>
        </is>
      </c>
      <c r="F2687" t="inlineStr">
        <is>
          <t>김은우</t>
        </is>
      </c>
      <c r="G2687" t="inlineStr">
        <is>
          <t>010-4270-7552</t>
        </is>
      </c>
      <c r="H2687" t="inlineStr">
        <is>
          <t>01너7114</t>
        </is>
      </c>
      <c r="I2687" t="n">
        <v>-26500000</v>
      </c>
      <c r="J2687" t="n">
        <v>0.06900000000000001</v>
      </c>
      <c r="K2687" t="n">
        <v>1.1</v>
      </c>
      <c r="L2687" t="n">
        <v>0.14</v>
      </c>
      <c r="M2687" t="n">
        <v>0.96</v>
      </c>
      <c r="P2687" t="inlineStr">
        <is>
          <t>장현경</t>
        </is>
      </c>
      <c r="Q2687" t="inlineStr">
        <is>
          <t>선상담/ 홈서비스48개월 / 공동명의</t>
        </is>
      </c>
      <c r="AB2687" t="inlineStr">
        <is>
          <t>홈서비스</t>
        </is>
      </c>
      <c r="AC2687" t="n">
        <v>-291500</v>
      </c>
      <c r="AD2687" t="n">
        <v>-37100</v>
      </c>
      <c r="AE2687" t="n">
        <v>-254400</v>
      </c>
      <c r="AF2687" t="n">
        <v>-265000</v>
      </c>
      <c r="AG2687" t="n">
        <v>-35875.7</v>
      </c>
      <c r="AH2687" t="n">
        <v>-229124.3</v>
      </c>
    </row>
    <row r="2688">
      <c r="A2688" t="inlineStr">
        <is>
          <t>3월</t>
        </is>
      </c>
      <c r="B2688" t="inlineStr">
        <is>
          <t>13주차</t>
        </is>
      </c>
      <c r="C2688" t="inlineStr">
        <is>
          <t>EP</t>
        </is>
      </c>
      <c r="D2688" s="28" t="n">
        <v>46107</v>
      </c>
      <c r="E2688" t="inlineStr">
        <is>
          <t>제이비EP</t>
        </is>
      </c>
      <c r="F2688" t="inlineStr">
        <is>
          <t>장영진</t>
        </is>
      </c>
      <c r="G2688" t="inlineStr">
        <is>
          <t>010-6216-3489</t>
        </is>
      </c>
      <c r="H2688" t="inlineStr">
        <is>
          <t>390마7985</t>
        </is>
      </c>
      <c r="I2688" t="n">
        <v>21600000</v>
      </c>
      <c r="J2688" t="n">
        <v>0.079</v>
      </c>
      <c r="K2688" t="n">
        <v>1.65</v>
      </c>
      <c r="L2688" t="n">
        <v>0.4</v>
      </c>
      <c r="M2688" t="n">
        <v>1.25</v>
      </c>
      <c r="P2688" t="inlineStr">
        <is>
          <t>최혁</t>
        </is>
      </c>
      <c r="AB2688" t="inlineStr">
        <is>
          <t>엔카</t>
        </is>
      </c>
      <c r="AC2688" t="n">
        <v>356400</v>
      </c>
      <c r="AD2688" t="n">
        <v>86400</v>
      </c>
      <c r="AE2688" t="n">
        <v>270000</v>
      </c>
      <c r="AF2688" t="n">
        <v>324000</v>
      </c>
      <c r="AG2688" t="n">
        <v>83548.8</v>
      </c>
      <c r="AH2688" t="n">
        <v>240451.2</v>
      </c>
      <c r="AI2688" t="n">
        <v>0</v>
      </c>
    </row>
    <row r="2689">
      <c r="A2689" t="inlineStr">
        <is>
          <t>3월</t>
        </is>
      </c>
      <c r="B2689" t="inlineStr">
        <is>
          <t>13주차</t>
        </is>
      </c>
      <c r="C2689" t="inlineStr">
        <is>
          <t>EP</t>
        </is>
      </c>
      <c r="D2689" s="28" t="n">
        <v>46107</v>
      </c>
      <c r="E2689" t="inlineStr">
        <is>
          <t>BNKEP</t>
        </is>
      </c>
      <c r="F2689" t="inlineStr">
        <is>
          <t>전세운</t>
        </is>
      </c>
      <c r="G2689" t="inlineStr">
        <is>
          <t>010-7300-2953</t>
        </is>
      </c>
      <c r="H2689" t="inlineStr">
        <is>
          <t>07라8457</t>
        </is>
      </c>
      <c r="I2689" t="n">
        <v>18000000</v>
      </c>
      <c r="J2689" t="n">
        <v>0.063</v>
      </c>
      <c r="K2689" t="n">
        <v>1.65</v>
      </c>
      <c r="L2689" t="n">
        <v>0.14</v>
      </c>
      <c r="M2689" t="n">
        <v>1.51</v>
      </c>
      <c r="P2689" t="inlineStr">
        <is>
          <t>정세빈</t>
        </is>
      </c>
      <c r="Q2689" t="inlineStr">
        <is>
          <t>홈서비스 48개월</t>
        </is>
      </c>
      <c r="AB2689" t="inlineStr">
        <is>
          <t>홈서비스</t>
        </is>
      </c>
      <c r="AC2689" t="n">
        <v>297000</v>
      </c>
      <c r="AD2689" t="n">
        <v>25200</v>
      </c>
      <c r="AE2689" t="n">
        <v>271800</v>
      </c>
      <c r="AF2689" t="n">
        <v>270000</v>
      </c>
      <c r="AG2689" t="n">
        <v>24368.4</v>
      </c>
      <c r="AH2689" t="n">
        <v>245631.6</v>
      </c>
    </row>
    <row r="2690">
      <c r="A2690" t="inlineStr">
        <is>
          <t>3월</t>
        </is>
      </c>
      <c r="B2690" t="inlineStr">
        <is>
          <t>13주차</t>
        </is>
      </c>
      <c r="C2690" t="inlineStr">
        <is>
          <t>EP</t>
        </is>
      </c>
      <c r="D2690" s="28" t="n">
        <v>46108</v>
      </c>
      <c r="E2690" t="inlineStr">
        <is>
          <t>현대EP_fast</t>
        </is>
      </c>
      <c r="F2690" t="inlineStr">
        <is>
          <t>지승우</t>
        </is>
      </c>
      <c r="G2690" t="inlineStr">
        <is>
          <t>010-4732-8640</t>
        </is>
      </c>
      <c r="H2690" t="inlineStr">
        <is>
          <t>298조7544</t>
        </is>
      </c>
      <c r="I2690" t="n">
        <v>13700000</v>
      </c>
      <c r="J2690" t="n">
        <v>0.092</v>
      </c>
      <c r="K2690" t="n">
        <v>1.76</v>
      </c>
      <c r="L2690" t="n">
        <v>0.14</v>
      </c>
      <c r="M2690" t="n">
        <v>1.62</v>
      </c>
      <c r="P2690" t="inlineStr">
        <is>
          <t>최형주</t>
        </is>
      </c>
      <c r="Q2690" t="inlineStr">
        <is>
          <t>홈서비스 36개월</t>
        </is>
      </c>
      <c r="AB2690" t="inlineStr">
        <is>
          <t>홈서비스</t>
        </is>
      </c>
      <c r="AC2690" t="n">
        <v>241120</v>
      </c>
      <c r="AD2690" t="n">
        <v>19180</v>
      </c>
      <c r="AE2690" t="n">
        <v>221940</v>
      </c>
      <c r="AF2690" t="n">
        <v>219200</v>
      </c>
      <c r="AG2690" t="n">
        <v>18547.06</v>
      </c>
      <c r="AH2690" t="n">
        <v>200652.94</v>
      </c>
      <c r="AI2690" t="n">
        <v>0</v>
      </c>
    </row>
    <row r="2691">
      <c r="A2691" t="inlineStr">
        <is>
          <t>3월</t>
        </is>
      </c>
      <c r="B2691" t="inlineStr">
        <is>
          <t>13주차</t>
        </is>
      </c>
      <c r="C2691" t="inlineStr">
        <is>
          <t>EP</t>
        </is>
      </c>
      <c r="D2691" s="28" t="n">
        <v>46107</v>
      </c>
      <c r="E2691" t="inlineStr">
        <is>
          <t>현대EP_fast</t>
        </is>
      </c>
      <c r="F2691" t="inlineStr">
        <is>
          <t>조영욱</t>
        </is>
      </c>
      <c r="G2691" t="inlineStr">
        <is>
          <t>010-4854-1760</t>
        </is>
      </c>
      <c r="H2691" t="inlineStr">
        <is>
          <t>66다0700</t>
        </is>
      </c>
      <c r="I2691" t="n">
        <v>-20000000</v>
      </c>
      <c r="J2691" t="n">
        <v>0.092</v>
      </c>
      <c r="K2691" t="n">
        <v>1.76</v>
      </c>
      <c r="L2691" t="n">
        <v>0.14</v>
      </c>
      <c r="M2691" t="n">
        <v>1.62</v>
      </c>
      <c r="P2691" t="inlineStr">
        <is>
          <t>정세빈</t>
        </is>
      </c>
      <c r="Q2691" t="inlineStr">
        <is>
          <t>홈서비스 60개월</t>
        </is>
      </c>
      <c r="AB2691" t="inlineStr">
        <is>
          <t>홈서비스</t>
        </is>
      </c>
      <c r="AC2691" t="n">
        <v>-352000</v>
      </c>
      <c r="AD2691" t="n">
        <v>-28000</v>
      </c>
      <c r="AE2691" t="n">
        <v>-324000</v>
      </c>
      <c r="AF2691" t="n">
        <v>-320000</v>
      </c>
      <c r="AG2691" t="n">
        <v>-27076</v>
      </c>
      <c r="AH2691" t="n">
        <v>-292924</v>
      </c>
    </row>
    <row r="2692">
      <c r="A2692" t="inlineStr">
        <is>
          <t>3월</t>
        </is>
      </c>
      <c r="B2692" t="inlineStr">
        <is>
          <t>13주차</t>
        </is>
      </c>
      <c r="C2692" t="inlineStr">
        <is>
          <t>EP</t>
        </is>
      </c>
      <c r="D2692" s="28" t="n">
        <v>46108</v>
      </c>
      <c r="E2692" t="inlineStr">
        <is>
          <t>BNKEP</t>
        </is>
      </c>
      <c r="F2692" t="inlineStr">
        <is>
          <t>최연정</t>
        </is>
      </c>
      <c r="G2692" t="inlineStr">
        <is>
          <t>010-9788-7028</t>
        </is>
      </c>
      <c r="H2692" t="inlineStr">
        <is>
          <t>11모5730</t>
        </is>
      </c>
      <c r="I2692" t="n">
        <v>8000000</v>
      </c>
      <c r="J2692" t="n">
        <v>0.061</v>
      </c>
      <c r="K2692" t="n">
        <v>1.65</v>
      </c>
      <c r="L2692" t="n">
        <v>0.14</v>
      </c>
      <c r="M2692" t="n">
        <v>1.51</v>
      </c>
      <c r="P2692" t="inlineStr">
        <is>
          <t>김수연</t>
        </is>
      </c>
      <c r="Q2692" t="inlineStr">
        <is>
          <t>홈서비스 48개월/부대비용 추가진행</t>
        </is>
      </c>
      <c r="AB2692" t="inlineStr">
        <is>
          <t>홈서비스</t>
        </is>
      </c>
      <c r="AC2692" t="n">
        <v>132000</v>
      </c>
      <c r="AD2692" t="n">
        <v>11200</v>
      </c>
      <c r="AE2692" t="n">
        <v>120800</v>
      </c>
      <c r="AF2692" t="n">
        <v>120000</v>
      </c>
      <c r="AG2692" t="n">
        <v>10830.4</v>
      </c>
      <c r="AH2692" t="n">
        <v>109169.6</v>
      </c>
    </row>
    <row r="2693">
      <c r="A2693" t="inlineStr">
        <is>
          <t>3월</t>
        </is>
      </c>
      <c r="B2693" t="inlineStr">
        <is>
          <t>13주차</t>
        </is>
      </c>
      <c r="C2693" t="inlineStr">
        <is>
          <t>IM</t>
        </is>
      </c>
      <c r="D2693" s="28" t="n">
        <v>46108</v>
      </c>
      <c r="E2693" t="inlineStr">
        <is>
          <t>IM캐피탈</t>
        </is>
      </c>
      <c r="F2693" t="inlineStr">
        <is>
          <t>최오환</t>
        </is>
      </c>
      <c r="G2693" t="inlineStr">
        <is>
          <t>010-9232-5429</t>
        </is>
      </c>
      <c r="H2693" t="inlineStr">
        <is>
          <t>366버2597</t>
        </is>
      </c>
      <c r="I2693" t="n">
        <v>28000000</v>
      </c>
      <c r="J2693" t="n">
        <v>0.049</v>
      </c>
      <c r="K2693" t="n">
        <v>1.1</v>
      </c>
      <c r="L2693" t="n">
        <v>0.14</v>
      </c>
      <c r="M2693" t="n">
        <v>0.96</v>
      </c>
      <c r="P2693" t="inlineStr">
        <is>
          <t>정광호</t>
        </is>
      </c>
      <c r="Q2693" t="inlineStr">
        <is>
          <t>홈서비스 60개월</t>
        </is>
      </c>
      <c r="AB2693" t="inlineStr">
        <is>
          <t>홈서비스</t>
        </is>
      </c>
      <c r="AC2693" t="n">
        <v>308000</v>
      </c>
      <c r="AD2693" t="n">
        <v>39200</v>
      </c>
      <c r="AE2693" t="n">
        <v>268800</v>
      </c>
      <c r="AF2693" t="n">
        <v>280000</v>
      </c>
      <c r="AG2693" t="n">
        <v>37906.4</v>
      </c>
      <c r="AH2693" t="n">
        <v>242093.6</v>
      </c>
    </row>
    <row r="2694">
      <c r="A2694" t="inlineStr">
        <is>
          <t>3월</t>
        </is>
      </c>
      <c r="B2694" t="inlineStr">
        <is>
          <t>13주차</t>
        </is>
      </c>
      <c r="C2694" t="inlineStr">
        <is>
          <t>EP</t>
        </is>
      </c>
      <c r="D2694" s="28" t="n">
        <v>46108</v>
      </c>
      <c r="E2694" t="inlineStr">
        <is>
          <t>BNKEP</t>
        </is>
      </c>
      <c r="F2694" t="inlineStr">
        <is>
          <t>민경재</t>
        </is>
      </c>
      <c r="G2694" t="inlineStr">
        <is>
          <t>010-6878-0094</t>
        </is>
      </c>
      <c r="H2694" t="inlineStr">
        <is>
          <t>48저7717</t>
        </is>
      </c>
      <c r="I2694" t="n">
        <v>15000000</v>
      </c>
      <c r="J2694" t="n">
        <v>0.08599999999999999</v>
      </c>
      <c r="K2694" t="n">
        <v>1.65</v>
      </c>
      <c r="L2694" t="n">
        <v>0.14</v>
      </c>
      <c r="M2694" t="n">
        <v>1.51</v>
      </c>
      <c r="P2694" t="inlineStr">
        <is>
          <t>김나윤</t>
        </is>
      </c>
      <c r="Q2694" t="inlineStr">
        <is>
          <t>홈서비스 60개월</t>
        </is>
      </c>
      <c r="AB2694" t="inlineStr">
        <is>
          <t>홈서비스</t>
        </is>
      </c>
      <c r="AC2694" t="n">
        <v>247500</v>
      </c>
      <c r="AD2694" t="n">
        <v>21000</v>
      </c>
      <c r="AE2694" t="n">
        <v>226500</v>
      </c>
      <c r="AF2694" t="n">
        <v>225000</v>
      </c>
      <c r="AG2694" t="n">
        <v>20307</v>
      </c>
      <c r="AH2694" t="n">
        <v>204693</v>
      </c>
    </row>
    <row r="2695">
      <c r="A2695" t="inlineStr">
        <is>
          <t>3월</t>
        </is>
      </c>
      <c r="B2695" t="inlineStr">
        <is>
          <t>13주차</t>
        </is>
      </c>
      <c r="C2695" t="inlineStr">
        <is>
          <t>WC</t>
        </is>
      </c>
      <c r="D2695" s="28" t="n">
        <v>46108</v>
      </c>
      <c r="E2695" t="inlineStr">
        <is>
          <t>웰컴저축은행</t>
        </is>
      </c>
      <c r="F2695" t="inlineStr">
        <is>
          <t>이주백</t>
        </is>
      </c>
      <c r="G2695" t="inlineStr">
        <is>
          <t>010-7149-1609</t>
        </is>
      </c>
      <c r="H2695" t="inlineStr">
        <is>
          <t>136누1186</t>
        </is>
      </c>
      <c r="I2695" t="n">
        <v>43600000</v>
      </c>
      <c r="J2695" t="n">
        <v>0.159</v>
      </c>
      <c r="K2695" t="n">
        <v>0</v>
      </c>
      <c r="L2695" t="n">
        <v>0.14</v>
      </c>
      <c r="M2695" t="n">
        <v>-0.14</v>
      </c>
      <c r="P2695" t="inlineStr">
        <is>
          <t>정광호</t>
        </is>
      </c>
      <c r="Q2695" t="inlineStr">
        <is>
          <t>홈서비스 60개월 / 현금접수로 진행</t>
        </is>
      </c>
      <c r="AB2695" t="inlineStr">
        <is>
          <t>홈서비스</t>
        </is>
      </c>
      <c r="AC2695" t="n">
        <v>0</v>
      </c>
      <c r="AD2695" t="n">
        <v>61040</v>
      </c>
      <c r="AE2695" t="n">
        <v>-61040</v>
      </c>
      <c r="AF2695" t="n">
        <v>0</v>
      </c>
      <c r="AG2695" t="n">
        <v>59025.68</v>
      </c>
      <c r="AH2695" t="n">
        <v>-59025.68</v>
      </c>
      <c r="AI2695" t="n">
        <v>0</v>
      </c>
    </row>
    <row r="2696">
      <c r="A2696" t="inlineStr">
        <is>
          <t>3월</t>
        </is>
      </c>
      <c r="B2696" t="inlineStr">
        <is>
          <t>12주차</t>
        </is>
      </c>
      <c r="C2696" t="inlineStr">
        <is>
          <t>EP</t>
        </is>
      </c>
      <c r="D2696" s="28" t="n">
        <v>46098</v>
      </c>
      <c r="E2696" t="inlineStr">
        <is>
          <t>현대EP_fast</t>
        </is>
      </c>
      <c r="F2696" t="inlineStr">
        <is>
          <t>최진혁</t>
        </is>
      </c>
      <c r="G2696" t="inlineStr">
        <is>
          <t>010-2239-5925</t>
        </is>
      </c>
      <c r="H2696" t="inlineStr">
        <is>
          <t>389가8188</t>
        </is>
      </c>
      <c r="I2696" t="n">
        <v>28300000</v>
      </c>
      <c r="J2696" t="n">
        <v>0.092</v>
      </c>
      <c r="K2696" t="n">
        <v>1.76</v>
      </c>
      <c r="L2696" t="n">
        <v>0.14</v>
      </c>
      <c r="M2696" t="n">
        <v>1.62</v>
      </c>
      <c r="P2696" t="inlineStr">
        <is>
          <t>김나윤</t>
        </is>
      </c>
      <c r="Q2696" t="inlineStr">
        <is>
          <t>홈서비스 60개월</t>
        </is>
      </c>
      <c r="AB2696" t="inlineStr">
        <is>
          <t>홈서비스</t>
        </is>
      </c>
      <c r="AC2696" t="n">
        <v>498080</v>
      </c>
      <c r="AD2696" t="n">
        <v>39620</v>
      </c>
      <c r="AE2696" t="n">
        <v>458460</v>
      </c>
      <c r="AF2696" t="n">
        <v>452800</v>
      </c>
      <c r="AG2696" t="n">
        <v>38312.54</v>
      </c>
      <c r="AH2696" t="n">
        <v>414487.46</v>
      </c>
      <c r="AI2696" t="n">
        <v>0</v>
      </c>
    </row>
    <row r="2697">
      <c r="A2697" t="inlineStr">
        <is>
          <t>3월</t>
        </is>
      </c>
      <c r="B2697" t="inlineStr">
        <is>
          <t>13주차</t>
        </is>
      </c>
      <c r="C2697" t="inlineStr">
        <is>
          <t>EP</t>
        </is>
      </c>
      <c r="D2697" s="28" t="n">
        <v>46108</v>
      </c>
      <c r="E2697" t="inlineStr">
        <is>
          <t>현대EP</t>
        </is>
      </c>
      <c r="F2697" t="inlineStr">
        <is>
          <t>곽은비</t>
        </is>
      </c>
      <c r="G2697" t="inlineStr">
        <is>
          <t>010-7518-9057</t>
        </is>
      </c>
      <c r="H2697" t="inlineStr">
        <is>
          <t>72라1213</t>
        </is>
      </c>
      <c r="I2697" t="n">
        <v>11200000</v>
      </c>
      <c r="J2697" t="n">
        <v>0.07099999999999999</v>
      </c>
      <c r="K2697" t="n">
        <v>1.76</v>
      </c>
      <c r="L2697" t="n">
        <v>0.14</v>
      </c>
      <c r="M2697" t="n">
        <v>1.62</v>
      </c>
      <c r="P2697" t="inlineStr">
        <is>
          <t>정세빈</t>
        </is>
      </c>
      <c r="Q2697" t="inlineStr">
        <is>
          <t>홈서비스 60개월</t>
        </is>
      </c>
      <c r="AB2697" t="inlineStr">
        <is>
          <t>홈서비스</t>
        </is>
      </c>
      <c r="AC2697" t="n">
        <v>197120</v>
      </c>
      <c r="AD2697" t="n">
        <v>15680</v>
      </c>
      <c r="AE2697" t="n">
        <v>181440</v>
      </c>
      <c r="AF2697" t="n">
        <v>179200</v>
      </c>
      <c r="AG2697" t="n">
        <v>15162.56</v>
      </c>
      <c r="AH2697" t="n">
        <v>164037.44</v>
      </c>
      <c r="AI2697" t="n">
        <v>0</v>
      </c>
    </row>
    <row r="2698">
      <c r="A2698" t="inlineStr">
        <is>
          <t>3월</t>
        </is>
      </c>
      <c r="B2698" t="inlineStr">
        <is>
          <t>13주차</t>
        </is>
      </c>
      <c r="C2698" t="inlineStr">
        <is>
          <t>EP</t>
        </is>
      </c>
      <c r="D2698" s="28" t="n">
        <v>46108</v>
      </c>
      <c r="E2698" t="inlineStr">
        <is>
          <t>현대EP</t>
        </is>
      </c>
      <c r="F2698" t="inlineStr">
        <is>
          <t>임성일</t>
        </is>
      </c>
      <c r="G2698" t="inlineStr">
        <is>
          <t>010-5627-1051</t>
        </is>
      </c>
      <c r="H2698" t="inlineStr">
        <is>
          <t>79조9876</t>
        </is>
      </c>
      <c r="I2698" t="n">
        <v>17500000</v>
      </c>
      <c r="J2698" t="n">
        <v>0.079</v>
      </c>
      <c r="K2698" t="n">
        <v>1.76</v>
      </c>
      <c r="L2698" t="n">
        <v>0.14</v>
      </c>
      <c r="M2698" t="n">
        <v>1.62</v>
      </c>
      <c r="P2698" t="inlineStr">
        <is>
          <t>김나윤</t>
        </is>
      </c>
      <c r="Q2698" t="inlineStr">
        <is>
          <t>홈서비스 36개월</t>
        </is>
      </c>
      <c r="AB2698" t="inlineStr">
        <is>
          <t>홈서비스</t>
        </is>
      </c>
      <c r="AC2698" t="n">
        <v>308000</v>
      </c>
      <c r="AD2698" t="n">
        <v>24500</v>
      </c>
      <c r="AE2698" t="n">
        <v>283500</v>
      </c>
      <c r="AF2698" t="n">
        <v>280000</v>
      </c>
      <c r="AG2698" t="n">
        <v>23691.5</v>
      </c>
      <c r="AH2698" t="n">
        <v>256308.5</v>
      </c>
      <c r="AI2698" t="n">
        <v>0</v>
      </c>
    </row>
    <row r="2699">
      <c r="A2699" t="inlineStr">
        <is>
          <t>3월</t>
        </is>
      </c>
      <c r="B2699" t="inlineStr">
        <is>
          <t>13주차</t>
        </is>
      </c>
      <c r="C2699" t="inlineStr">
        <is>
          <t>EP</t>
        </is>
      </c>
      <c r="D2699" s="28" t="n">
        <v>46108</v>
      </c>
      <c r="E2699" t="inlineStr">
        <is>
          <t>현대EP</t>
        </is>
      </c>
      <c r="F2699" t="inlineStr">
        <is>
          <t>김선영</t>
        </is>
      </c>
      <c r="G2699" t="inlineStr">
        <is>
          <t>010-5483-5605</t>
        </is>
      </c>
      <c r="H2699" t="inlineStr">
        <is>
          <t>333무9138</t>
        </is>
      </c>
      <c r="I2699" t="n">
        <v>29900000</v>
      </c>
      <c r="J2699" t="n">
        <v>0.07099999999999999</v>
      </c>
      <c r="K2699" t="n">
        <v>1.76</v>
      </c>
      <c r="L2699" t="n">
        <v>0.14</v>
      </c>
      <c r="M2699" t="n">
        <v>1.62</v>
      </c>
      <c r="P2699" t="inlineStr">
        <is>
          <t>최형주</t>
        </is>
      </c>
      <c r="Q2699" t="inlineStr">
        <is>
          <t>홈서비스 60개월</t>
        </is>
      </c>
      <c r="AB2699" t="inlineStr">
        <is>
          <t>홈서비스</t>
        </is>
      </c>
      <c r="AC2699" t="n">
        <v>526240</v>
      </c>
      <c r="AD2699" t="n">
        <v>41860</v>
      </c>
      <c r="AE2699" t="n">
        <v>484380</v>
      </c>
      <c r="AF2699" t="n">
        <v>478400</v>
      </c>
      <c r="AG2699" t="n">
        <v>40478.62</v>
      </c>
      <c r="AH2699" t="n">
        <v>437921.38</v>
      </c>
      <c r="AI2699" t="n">
        <v>0</v>
      </c>
    </row>
    <row r="2700">
      <c r="A2700" t="inlineStr">
        <is>
          <t>3월</t>
        </is>
      </c>
      <c r="B2700" t="inlineStr">
        <is>
          <t>13주차</t>
        </is>
      </c>
      <c r="C2700" t="inlineStr">
        <is>
          <t>IM</t>
        </is>
      </c>
      <c r="D2700" s="28" t="n">
        <v>46108</v>
      </c>
      <c r="E2700" t="inlineStr">
        <is>
          <t>IM캐피탈</t>
        </is>
      </c>
      <c r="F2700" t="inlineStr">
        <is>
          <t>고상현</t>
        </is>
      </c>
      <c r="G2700" t="inlineStr">
        <is>
          <t>010-5418-5451</t>
        </is>
      </c>
      <c r="H2700" t="inlineStr">
        <is>
          <t>13너0470</t>
        </is>
      </c>
      <c r="I2700" t="n">
        <v>-10500000</v>
      </c>
      <c r="J2700" t="n">
        <v>0.049</v>
      </c>
      <c r="K2700" t="n">
        <v>1.1</v>
      </c>
      <c r="L2700" t="n">
        <v>0.14</v>
      </c>
      <c r="M2700" t="n">
        <v>0.96</v>
      </c>
      <c r="P2700" t="inlineStr">
        <is>
          <t>김나윤</t>
        </is>
      </c>
      <c r="Q2700" t="inlineStr">
        <is>
          <t>홈서비스 48개월</t>
        </is>
      </c>
      <c r="AB2700" t="inlineStr">
        <is>
          <t>홈서비스</t>
        </is>
      </c>
      <c r="AC2700" t="n">
        <v>-115500</v>
      </c>
      <c r="AD2700" t="n">
        <v>-14700</v>
      </c>
      <c r="AE2700" t="n">
        <v>-100800</v>
      </c>
      <c r="AF2700" t="n">
        <v>-105000</v>
      </c>
      <c r="AG2700" t="n">
        <v>-14214.9</v>
      </c>
      <c r="AH2700" t="n">
        <v>-90785.10000000001</v>
      </c>
      <c r="AI2700" t="n">
        <v>0</v>
      </c>
    </row>
    <row r="2701">
      <c r="A2701" t="inlineStr">
        <is>
          <t>3월</t>
        </is>
      </c>
      <c r="B2701" t="inlineStr">
        <is>
          <t>13주차</t>
        </is>
      </c>
      <c r="C2701" t="inlineStr">
        <is>
          <t>EP</t>
        </is>
      </c>
      <c r="D2701" s="28" t="n">
        <v>46108</v>
      </c>
      <c r="E2701" t="inlineStr">
        <is>
          <t>현대EP</t>
        </is>
      </c>
      <c r="F2701" t="inlineStr">
        <is>
          <t>이혜영</t>
        </is>
      </c>
      <c r="G2701" t="inlineStr">
        <is>
          <t>010-4562-5646</t>
        </is>
      </c>
      <c r="H2701" t="inlineStr">
        <is>
          <t>31소7031</t>
        </is>
      </c>
      <c r="I2701" t="n">
        <v>14400000</v>
      </c>
      <c r="J2701" t="n">
        <v>0.077</v>
      </c>
      <c r="K2701" t="n">
        <v>1.76</v>
      </c>
      <c r="L2701" t="n">
        <v>0.14</v>
      </c>
      <c r="M2701" t="n">
        <v>1.62</v>
      </c>
      <c r="P2701" t="inlineStr">
        <is>
          <t>정광호</t>
        </is>
      </c>
      <c r="Q2701" t="inlineStr">
        <is>
          <t>홈서비스 24개월</t>
        </is>
      </c>
      <c r="AB2701" t="inlineStr">
        <is>
          <t>홈서비스</t>
        </is>
      </c>
      <c r="AC2701" t="n">
        <v>253440</v>
      </c>
      <c r="AD2701" t="n">
        <v>20160</v>
      </c>
      <c r="AE2701" t="n">
        <v>233280</v>
      </c>
      <c r="AF2701" t="n">
        <v>230400</v>
      </c>
      <c r="AG2701" t="n">
        <v>19494.72</v>
      </c>
      <c r="AH2701" t="n">
        <v>210905.28</v>
      </c>
    </row>
    <row r="2702">
      <c r="A2702" t="inlineStr">
        <is>
          <t>3월</t>
        </is>
      </c>
      <c r="B2702" t="inlineStr">
        <is>
          <t>13주차</t>
        </is>
      </c>
      <c r="C2702" t="inlineStr">
        <is>
          <t>EP</t>
        </is>
      </c>
      <c r="D2702" s="28" t="n">
        <v>46108</v>
      </c>
      <c r="E2702" t="inlineStr">
        <is>
          <t>현대EP_fast</t>
        </is>
      </c>
      <c r="F2702" t="inlineStr">
        <is>
          <t>변병수</t>
        </is>
      </c>
      <c r="G2702" t="inlineStr">
        <is>
          <t>010-4576-4597</t>
        </is>
      </c>
      <c r="H2702" t="inlineStr">
        <is>
          <t>163너9158</t>
        </is>
      </c>
      <c r="I2702" t="n">
        <v>15800000</v>
      </c>
      <c r="J2702" t="n">
        <v>0.105</v>
      </c>
      <c r="K2702" t="n">
        <v>1.76</v>
      </c>
      <c r="L2702" t="n">
        <v>0.4</v>
      </c>
      <c r="M2702" t="n">
        <v>1.36</v>
      </c>
      <c r="P2702" t="inlineStr">
        <is>
          <t>장현경</t>
        </is>
      </c>
      <c r="AB2702" t="inlineStr">
        <is>
          <t>엔카</t>
        </is>
      </c>
      <c r="AC2702" t="n">
        <v>278080</v>
      </c>
      <c r="AD2702" t="n">
        <v>63200</v>
      </c>
      <c r="AE2702" t="n">
        <v>214880</v>
      </c>
      <c r="AF2702" t="n">
        <v>252800</v>
      </c>
      <c r="AG2702" t="n">
        <v>61114.4</v>
      </c>
      <c r="AH2702" t="n">
        <v>191685.6</v>
      </c>
      <c r="AI2702" t="n">
        <v>0</v>
      </c>
    </row>
    <row r="2703">
      <c r="A2703" t="inlineStr">
        <is>
          <t>3월</t>
        </is>
      </c>
      <c r="B2703" t="inlineStr">
        <is>
          <t>13주차</t>
        </is>
      </c>
      <c r="C2703" t="inlineStr">
        <is>
          <t>IM</t>
        </is>
      </c>
      <c r="D2703" s="28" t="n">
        <v>46107</v>
      </c>
      <c r="E2703" t="inlineStr">
        <is>
          <t>IM캐피탈</t>
        </is>
      </c>
      <c r="F2703" t="inlineStr">
        <is>
          <t>김영준</t>
        </is>
      </c>
      <c r="G2703" t="inlineStr">
        <is>
          <t>010-4395-2025</t>
        </is>
      </c>
      <c r="H2703" t="inlineStr">
        <is>
          <t>267러1151</t>
        </is>
      </c>
      <c r="I2703" t="n">
        <v>35000000</v>
      </c>
      <c r="J2703" t="n">
        <v>0.049</v>
      </c>
      <c r="K2703" t="n">
        <v>1.1</v>
      </c>
      <c r="L2703" t="n">
        <v>0.14</v>
      </c>
      <c r="M2703" t="n">
        <v>0.96</v>
      </c>
      <c r="P2703" t="inlineStr">
        <is>
          <t>장진경</t>
        </is>
      </c>
      <c r="Q2703" t="inlineStr">
        <is>
          <t>선상담 / 홈서비스 84개월</t>
        </is>
      </c>
      <c r="AB2703" t="inlineStr">
        <is>
          <t>홈서비스</t>
        </is>
      </c>
      <c r="AC2703" t="n">
        <v>385000</v>
      </c>
      <c r="AD2703" t="n">
        <v>49000</v>
      </c>
      <c r="AE2703" t="n">
        <v>336000</v>
      </c>
      <c r="AF2703" t="n">
        <v>350000</v>
      </c>
      <c r="AG2703" t="n">
        <v>47383</v>
      </c>
      <c r="AH2703" t="n">
        <v>302617</v>
      </c>
      <c r="AI2703" t="n">
        <v>0</v>
      </c>
    </row>
    <row r="2704">
      <c r="A2704" t="inlineStr">
        <is>
          <t>3월</t>
        </is>
      </c>
      <c r="B2704" t="inlineStr">
        <is>
          <t>13주차</t>
        </is>
      </c>
      <c r="C2704" t="inlineStr">
        <is>
          <t>EP</t>
        </is>
      </c>
      <c r="D2704" s="28" t="n">
        <v>46109</v>
      </c>
      <c r="E2704" t="inlineStr">
        <is>
          <t>현대EP</t>
        </is>
      </c>
      <c r="F2704" t="inlineStr">
        <is>
          <t>염장미</t>
        </is>
      </c>
      <c r="G2704" t="inlineStr">
        <is>
          <t>010-4458-1307</t>
        </is>
      </c>
      <c r="H2704" t="inlineStr">
        <is>
          <t>23우4891</t>
        </is>
      </c>
      <c r="I2704" t="n">
        <v>20000000</v>
      </c>
      <c r="J2704" t="n">
        <v>0.07099999999999999</v>
      </c>
      <c r="K2704" t="n">
        <v>1.76</v>
      </c>
      <c r="L2704" t="n">
        <v>0.14</v>
      </c>
      <c r="M2704" t="n">
        <v>1.62</v>
      </c>
      <c r="P2704" t="inlineStr">
        <is>
          <t>정광호</t>
        </is>
      </c>
      <c r="Q2704" t="inlineStr">
        <is>
          <t>홈서비스 60개월</t>
        </is>
      </c>
      <c r="AB2704" t="inlineStr">
        <is>
          <t>홈서비스</t>
        </is>
      </c>
      <c r="AC2704" t="n">
        <v>352000</v>
      </c>
      <c r="AD2704" t="n">
        <v>28000</v>
      </c>
      <c r="AE2704" t="n">
        <v>324000</v>
      </c>
      <c r="AF2704" t="n">
        <v>320000</v>
      </c>
      <c r="AG2704" t="n">
        <v>27076</v>
      </c>
      <c r="AH2704" t="n">
        <v>292924</v>
      </c>
      <c r="AI2704" t="n">
        <v>0</v>
      </c>
    </row>
    <row r="2705">
      <c r="A2705" t="inlineStr">
        <is>
          <t>3월</t>
        </is>
      </c>
      <c r="B2705" t="inlineStr">
        <is>
          <t>13주차</t>
        </is>
      </c>
      <c r="C2705" t="inlineStr">
        <is>
          <t>IM</t>
        </is>
      </c>
      <c r="D2705" s="28" t="n">
        <v>46108</v>
      </c>
      <c r="E2705" t="inlineStr">
        <is>
          <t>IM캐피탈</t>
        </is>
      </c>
      <c r="F2705" t="inlineStr">
        <is>
          <t>허승찬</t>
        </is>
      </c>
      <c r="G2705" t="inlineStr">
        <is>
          <t>010-5019-2555</t>
        </is>
      </c>
      <c r="H2705" t="inlineStr">
        <is>
          <t>120무9590</t>
        </is>
      </c>
      <c r="I2705" t="n">
        <v>45000000</v>
      </c>
      <c r="J2705" t="n">
        <v>0.056</v>
      </c>
      <c r="K2705" t="n">
        <v>1.1</v>
      </c>
      <c r="L2705" t="n">
        <v>0.4</v>
      </c>
      <c r="M2705" t="n">
        <v>0.7</v>
      </c>
      <c r="P2705" t="inlineStr">
        <is>
          <t>박보람</t>
        </is>
      </c>
      <c r="Q2705" t="inlineStr">
        <is>
          <t>부대비용 추가진행</t>
        </is>
      </c>
      <c r="AB2705" t="inlineStr">
        <is>
          <t>엔카</t>
        </is>
      </c>
      <c r="AC2705" t="n">
        <v>495000</v>
      </c>
      <c r="AD2705" t="n">
        <v>180000</v>
      </c>
      <c r="AE2705" t="n">
        <v>315000</v>
      </c>
      <c r="AF2705" t="n">
        <v>450000</v>
      </c>
      <c r="AG2705" t="n">
        <v>174060</v>
      </c>
      <c r="AH2705" t="n">
        <v>275940</v>
      </c>
      <c r="AI2705" t="n">
        <v>0</v>
      </c>
    </row>
    <row r="2706">
      <c r="A2706" t="inlineStr">
        <is>
          <t>3월</t>
        </is>
      </c>
      <c r="B2706" t="inlineStr">
        <is>
          <t>13주차</t>
        </is>
      </c>
      <c r="C2706" t="inlineStr">
        <is>
          <t>IM</t>
        </is>
      </c>
      <c r="D2706" s="28" t="n">
        <v>46104</v>
      </c>
      <c r="E2706" t="inlineStr">
        <is>
          <t>IM캐피탈</t>
        </is>
      </c>
      <c r="F2706" t="inlineStr">
        <is>
          <t>서효정</t>
        </is>
      </c>
      <c r="G2706" t="inlineStr">
        <is>
          <t>010-9333-0516</t>
        </is>
      </c>
      <c r="H2706" t="inlineStr">
        <is>
          <t>844노7083</t>
        </is>
      </c>
      <c r="I2706" t="n">
        <v>13000000</v>
      </c>
      <c r="J2706" t="n">
        <v>0.059</v>
      </c>
      <c r="K2706" t="n">
        <v>1.1</v>
      </c>
      <c r="L2706" t="n">
        <v>0.4</v>
      </c>
      <c r="M2706" t="n">
        <v>0.7</v>
      </c>
      <c r="P2706" t="inlineStr">
        <is>
          <t>임대경</t>
        </is>
      </c>
      <c r="AB2706" t="inlineStr">
        <is>
          <t>엔카</t>
        </is>
      </c>
      <c r="AC2706" t="n">
        <v>143000</v>
      </c>
      <c r="AD2706" t="n">
        <v>52000</v>
      </c>
      <c r="AE2706" t="n">
        <v>91000</v>
      </c>
      <c r="AF2706" t="n">
        <v>130000</v>
      </c>
      <c r="AG2706" t="n">
        <v>50284</v>
      </c>
      <c r="AH2706" t="n">
        <v>79716</v>
      </c>
    </row>
    <row r="2707">
      <c r="A2707" t="inlineStr">
        <is>
          <t>3월</t>
        </is>
      </c>
      <c r="B2707" t="inlineStr">
        <is>
          <t>14주차</t>
        </is>
      </c>
      <c r="C2707" t="inlineStr">
        <is>
          <t>EP</t>
        </is>
      </c>
      <c r="D2707" s="28" t="n">
        <v>46111</v>
      </c>
      <c r="E2707" t="inlineStr">
        <is>
          <t>제이비EP</t>
        </is>
      </c>
      <c r="F2707" t="inlineStr">
        <is>
          <t>정영지</t>
        </is>
      </c>
      <c r="G2707" t="inlineStr">
        <is>
          <t>010-8062-0107</t>
        </is>
      </c>
      <c r="H2707" t="inlineStr">
        <is>
          <t>12조1476</t>
        </is>
      </c>
      <c r="I2707" t="n">
        <v>12700000</v>
      </c>
      <c r="J2707" t="n">
        <v>0.07199999999999999</v>
      </c>
      <c r="K2707" t="n">
        <v>1.65</v>
      </c>
      <c r="L2707" t="n">
        <v>0.14</v>
      </c>
      <c r="M2707" t="n">
        <v>1.51</v>
      </c>
      <c r="P2707" t="inlineStr">
        <is>
          <t>황채이</t>
        </is>
      </c>
      <c r="Q2707" t="inlineStr">
        <is>
          <t>홈서비스 60개월 / 부대비용 추가진행 / 공동명의</t>
        </is>
      </c>
      <c r="AB2707" t="inlineStr">
        <is>
          <t>홈서비스</t>
        </is>
      </c>
      <c r="AC2707" t="n">
        <v>209550</v>
      </c>
      <c r="AD2707" t="n">
        <v>17780</v>
      </c>
      <c r="AE2707" t="n">
        <v>191770</v>
      </c>
      <c r="AF2707" t="n">
        <v>190500</v>
      </c>
      <c r="AG2707" t="n">
        <v>17193.26</v>
      </c>
      <c r="AH2707" t="n">
        <v>173306.74</v>
      </c>
      <c r="AI2707" t="n">
        <v>0</v>
      </c>
    </row>
    <row r="2708">
      <c r="A2708" t="inlineStr">
        <is>
          <t>3월</t>
        </is>
      </c>
      <c r="B2708" t="inlineStr">
        <is>
          <t>13주차</t>
        </is>
      </c>
      <c r="C2708" t="inlineStr">
        <is>
          <t>IM</t>
        </is>
      </c>
      <c r="D2708" s="28" t="n">
        <v>46109</v>
      </c>
      <c r="E2708" t="inlineStr">
        <is>
          <t>IM캐피탈</t>
        </is>
      </c>
      <c r="F2708" t="inlineStr">
        <is>
          <t>김리호</t>
        </is>
      </c>
      <c r="G2708" t="inlineStr">
        <is>
          <t>010-5089-4082</t>
        </is>
      </c>
      <c r="H2708" t="inlineStr">
        <is>
          <t>155러2126</t>
        </is>
      </c>
      <c r="I2708" t="n">
        <v>13000000</v>
      </c>
      <c r="J2708" t="n">
        <v>0.039</v>
      </c>
      <c r="K2708" t="n">
        <v>1.1</v>
      </c>
      <c r="L2708" t="n">
        <v>0.14</v>
      </c>
      <c r="M2708" t="n">
        <v>0.96</v>
      </c>
      <c r="P2708" t="inlineStr">
        <is>
          <t>장현경</t>
        </is>
      </c>
      <c r="Q2708" t="inlineStr">
        <is>
          <t>홈서비스 36개월</t>
        </is>
      </c>
      <c r="AB2708" t="inlineStr">
        <is>
          <t>홈서비스</t>
        </is>
      </c>
      <c r="AC2708" t="n">
        <v>143000</v>
      </c>
      <c r="AD2708" t="n">
        <v>18200</v>
      </c>
      <c r="AE2708" t="n">
        <v>124800</v>
      </c>
      <c r="AF2708" t="n">
        <v>130000</v>
      </c>
      <c r="AG2708" t="n">
        <v>17599.4</v>
      </c>
      <c r="AH2708" t="n">
        <v>112400.6</v>
      </c>
      <c r="AI2708" t="n">
        <v>0</v>
      </c>
    </row>
    <row r="2709">
      <c r="A2709" t="inlineStr">
        <is>
          <t>3월</t>
        </is>
      </c>
      <c r="B2709" t="inlineStr">
        <is>
          <t>14주차</t>
        </is>
      </c>
      <c r="C2709" t="inlineStr">
        <is>
          <t>EP</t>
        </is>
      </c>
      <c r="D2709" s="28" t="n">
        <v>46111</v>
      </c>
      <c r="E2709" t="inlineStr">
        <is>
          <t>현대EP_fast</t>
        </is>
      </c>
      <c r="F2709" t="inlineStr">
        <is>
          <t>강영민</t>
        </is>
      </c>
      <c r="G2709" t="inlineStr">
        <is>
          <t>010-2599-6411</t>
        </is>
      </c>
      <c r="H2709" t="inlineStr">
        <is>
          <t>47다2309</t>
        </is>
      </c>
      <c r="I2709" t="n">
        <v>8200000</v>
      </c>
      <c r="J2709" t="n">
        <v>0.118</v>
      </c>
      <c r="K2709" t="n">
        <v>1.76</v>
      </c>
      <c r="L2709" t="n">
        <v>0.14</v>
      </c>
      <c r="M2709" t="n">
        <v>1.62</v>
      </c>
      <c r="P2709" t="inlineStr">
        <is>
          <t>황채이</t>
        </is>
      </c>
      <c r="Q2709" t="inlineStr">
        <is>
          <t>홈서비스 48개월</t>
        </is>
      </c>
      <c r="AB2709" t="inlineStr">
        <is>
          <t>홈서비스</t>
        </is>
      </c>
      <c r="AC2709" t="n">
        <v>144320</v>
      </c>
      <c r="AD2709" t="n">
        <v>11480</v>
      </c>
      <c r="AE2709" t="n">
        <v>132840</v>
      </c>
      <c r="AF2709" t="n">
        <v>131200</v>
      </c>
      <c r="AG2709" t="n">
        <v>11101.16</v>
      </c>
      <c r="AH2709" t="n">
        <v>120098.84</v>
      </c>
      <c r="AI2709" t="n">
        <v>0</v>
      </c>
    </row>
    <row r="2710">
      <c r="A2710" t="inlineStr">
        <is>
          <t>3월</t>
        </is>
      </c>
      <c r="B2710" t="inlineStr">
        <is>
          <t>14주차</t>
        </is>
      </c>
      <c r="C2710" t="inlineStr">
        <is>
          <t>IM</t>
        </is>
      </c>
      <c r="D2710" s="28" t="n">
        <v>46111</v>
      </c>
      <c r="E2710" t="inlineStr">
        <is>
          <t>IM캐피탈</t>
        </is>
      </c>
      <c r="F2710" t="inlineStr">
        <is>
          <t>이영석</t>
        </is>
      </c>
      <c r="G2710" t="inlineStr">
        <is>
          <t>010-4500-9331</t>
        </is>
      </c>
      <c r="H2710" t="inlineStr">
        <is>
          <t>161두6301</t>
        </is>
      </c>
      <c r="I2710" t="n">
        <v>23000000</v>
      </c>
      <c r="J2710" t="n">
        <v>0.059</v>
      </c>
      <c r="K2710" t="n">
        <v>1.1</v>
      </c>
      <c r="L2710" t="n">
        <v>0.14</v>
      </c>
      <c r="M2710" t="n">
        <v>0.96</v>
      </c>
      <c r="P2710" t="inlineStr">
        <is>
          <t>황채이</t>
        </is>
      </c>
      <c r="Q2710" t="inlineStr">
        <is>
          <t>홈서비스 84개월  / 부대비용 추가진행</t>
        </is>
      </c>
      <c r="AB2710" t="inlineStr">
        <is>
          <t>홈서비스</t>
        </is>
      </c>
      <c r="AC2710" t="n">
        <v>253000</v>
      </c>
      <c r="AD2710" t="n">
        <v>32200</v>
      </c>
      <c r="AE2710" t="n">
        <v>220800</v>
      </c>
      <c r="AF2710" t="n">
        <v>230000</v>
      </c>
      <c r="AG2710" t="n">
        <v>31137.4</v>
      </c>
      <c r="AH2710" t="n">
        <v>198862.6</v>
      </c>
      <c r="AI2710" t="n">
        <v>0</v>
      </c>
    </row>
    <row r="2711">
      <c r="A2711" t="inlineStr">
        <is>
          <t>3월</t>
        </is>
      </c>
      <c r="B2711" t="inlineStr">
        <is>
          <t>13주차</t>
        </is>
      </c>
      <c r="C2711" t="inlineStr">
        <is>
          <t>IM</t>
        </is>
      </c>
      <c r="D2711" s="28" t="n">
        <v>46108</v>
      </c>
      <c r="E2711" t="inlineStr">
        <is>
          <t>IM캐피탈</t>
        </is>
      </c>
      <c r="F2711" t="inlineStr">
        <is>
          <t>김재영</t>
        </is>
      </c>
      <c r="G2711" t="inlineStr">
        <is>
          <t>010-4909-5318</t>
        </is>
      </c>
      <c r="H2711" t="inlineStr">
        <is>
          <t>26두2391</t>
        </is>
      </c>
      <c r="I2711" t="n">
        <v>15900000</v>
      </c>
      <c r="J2711" t="n">
        <v>0.049</v>
      </c>
      <c r="K2711" t="n">
        <v>1.1</v>
      </c>
      <c r="L2711" t="n">
        <v>0.14</v>
      </c>
      <c r="M2711" t="n">
        <v>0.96</v>
      </c>
      <c r="P2711" t="inlineStr">
        <is>
          <t>장진경</t>
        </is>
      </c>
      <c r="Q2711" t="inlineStr">
        <is>
          <t>선상담 / 홈서비스 60개월 / 부대비용 추가진행</t>
        </is>
      </c>
      <c r="AB2711" t="inlineStr">
        <is>
          <t>홈서비스</t>
        </is>
      </c>
      <c r="AC2711" t="n">
        <v>174900</v>
      </c>
      <c r="AD2711" t="n">
        <v>22260</v>
      </c>
      <c r="AE2711" t="n">
        <v>152640</v>
      </c>
      <c r="AF2711" t="n">
        <v>159000</v>
      </c>
      <c r="AG2711" t="n">
        <v>21525.42</v>
      </c>
      <c r="AH2711" t="n">
        <v>137474.58</v>
      </c>
    </row>
    <row r="2712">
      <c r="A2712" t="inlineStr">
        <is>
          <t>3월</t>
        </is>
      </c>
      <c r="B2712" t="inlineStr">
        <is>
          <t>13주차</t>
        </is>
      </c>
      <c r="C2712" t="inlineStr">
        <is>
          <t>EP</t>
        </is>
      </c>
      <c r="D2712" s="28" t="n">
        <v>46108</v>
      </c>
      <c r="E2712" t="inlineStr">
        <is>
          <t>현대EP</t>
        </is>
      </c>
      <c r="F2712" t="inlineStr">
        <is>
          <t>송시헌</t>
        </is>
      </c>
      <c r="G2712" t="inlineStr">
        <is>
          <t>010-2005-4968</t>
        </is>
      </c>
      <c r="H2712" t="inlineStr">
        <is>
          <t>47저9129</t>
        </is>
      </c>
      <c r="I2712" t="n">
        <v>48300000</v>
      </c>
      <c r="J2712" t="n">
        <v>0.102</v>
      </c>
      <c r="K2712" t="n">
        <v>1.76</v>
      </c>
      <c r="L2712" t="n">
        <v>0.14</v>
      </c>
      <c r="M2712" t="n">
        <v>1.62</v>
      </c>
      <c r="P2712" t="inlineStr">
        <is>
          <t>정세빈</t>
        </is>
      </c>
      <c r="Q2712" t="inlineStr">
        <is>
          <t>홈서비스 60개월</t>
        </is>
      </c>
      <c r="AB2712" t="inlineStr">
        <is>
          <t>홈서비스</t>
        </is>
      </c>
      <c r="AC2712" t="n">
        <v>850080</v>
      </c>
      <c r="AD2712" t="n">
        <v>67620</v>
      </c>
      <c r="AE2712" t="n">
        <v>782460</v>
      </c>
      <c r="AF2712" t="n">
        <v>772800</v>
      </c>
      <c r="AG2712" t="n">
        <v>65388.54</v>
      </c>
      <c r="AH2712" t="n">
        <v>707411.46</v>
      </c>
    </row>
    <row r="2713">
      <c r="A2713" t="inlineStr">
        <is>
          <t>3월</t>
        </is>
      </c>
      <c r="B2713" t="inlineStr">
        <is>
          <t>13주차</t>
        </is>
      </c>
      <c r="C2713" t="inlineStr">
        <is>
          <t>EP</t>
        </is>
      </c>
      <c r="D2713" s="28" t="n">
        <v>46107</v>
      </c>
      <c r="E2713" t="inlineStr">
        <is>
          <t>BNKEP</t>
        </is>
      </c>
      <c r="F2713" t="inlineStr">
        <is>
          <t>정재민</t>
        </is>
      </c>
      <c r="G2713" t="inlineStr">
        <is>
          <t>010-7515-5634</t>
        </is>
      </c>
      <c r="H2713" t="inlineStr">
        <is>
          <t>04부5095</t>
        </is>
      </c>
      <c r="I2713" t="n">
        <v>-9400000</v>
      </c>
      <c r="J2713" t="n">
        <v>0.067</v>
      </c>
      <c r="K2713" t="n">
        <v>1.65</v>
      </c>
      <c r="L2713" t="n">
        <v>0.5</v>
      </c>
      <c r="M2713" t="n">
        <v>1.15</v>
      </c>
      <c r="P2713" t="inlineStr">
        <is>
          <t>정하은</t>
        </is>
      </c>
      <c r="Q2713" t="inlineStr">
        <is>
          <t>부대비용추가진행</t>
        </is>
      </c>
      <c r="AB2713" t="inlineStr">
        <is>
          <t>엔카</t>
        </is>
      </c>
      <c r="AC2713" t="n">
        <v>-155100</v>
      </c>
      <c r="AD2713" t="n">
        <v>-47000</v>
      </c>
      <c r="AE2713" t="n">
        <v>-108100</v>
      </c>
      <c r="AF2713" t="n">
        <v>-141000</v>
      </c>
      <c r="AG2713" t="n">
        <v>-45449</v>
      </c>
      <c r="AH2713" t="n">
        <v>-95551</v>
      </c>
      <c r="AI2713" t="n">
        <v>0</v>
      </c>
    </row>
    <row r="2714">
      <c r="A2714" t="inlineStr">
        <is>
          <t>3월</t>
        </is>
      </c>
      <c r="B2714" t="inlineStr">
        <is>
          <t>13주차</t>
        </is>
      </c>
      <c r="C2714" t="inlineStr">
        <is>
          <t>EP</t>
        </is>
      </c>
      <c r="D2714" s="28" t="n">
        <v>46109</v>
      </c>
      <c r="E2714" t="inlineStr">
        <is>
          <t>현대EP</t>
        </is>
      </c>
      <c r="F2714" t="inlineStr">
        <is>
          <t>장학영</t>
        </is>
      </c>
      <c r="G2714" t="inlineStr">
        <is>
          <t>010-3387-9262</t>
        </is>
      </c>
      <c r="H2714" t="inlineStr">
        <is>
          <t>68무0277</t>
        </is>
      </c>
      <c r="I2714" t="n">
        <v>5000000</v>
      </c>
      <c r="J2714" t="n">
        <v>0.077</v>
      </c>
      <c r="K2714" t="n">
        <v>1.76</v>
      </c>
      <c r="L2714" t="n">
        <v>0.14</v>
      </c>
      <c r="M2714" t="n">
        <v>1.62</v>
      </c>
      <c r="P2714" t="inlineStr">
        <is>
          <t>김나윤</t>
        </is>
      </c>
      <c r="Q2714" t="inlineStr">
        <is>
          <t>홈서비스 24개월</t>
        </is>
      </c>
      <c r="AB2714" t="inlineStr">
        <is>
          <t>홈서비스</t>
        </is>
      </c>
      <c r="AC2714" t="n">
        <v>88000</v>
      </c>
      <c r="AD2714" t="n">
        <v>7000</v>
      </c>
      <c r="AE2714" t="n">
        <v>81000</v>
      </c>
      <c r="AF2714" t="n">
        <v>80000</v>
      </c>
      <c r="AG2714" t="n">
        <v>6769</v>
      </c>
      <c r="AH2714" t="n">
        <v>73231</v>
      </c>
    </row>
    <row r="2715">
      <c r="A2715" t="inlineStr">
        <is>
          <t>3월</t>
        </is>
      </c>
      <c r="B2715" t="inlineStr">
        <is>
          <t>13주차</t>
        </is>
      </c>
      <c r="C2715" t="inlineStr">
        <is>
          <t>EP</t>
        </is>
      </c>
      <c r="D2715" s="28" t="n">
        <v>46110</v>
      </c>
      <c r="E2715" t="inlineStr">
        <is>
          <t>현대EP</t>
        </is>
      </c>
      <c r="F2715" t="inlineStr">
        <is>
          <t>성지민</t>
        </is>
      </c>
      <c r="G2715" t="inlineStr">
        <is>
          <t>010-3412-3934</t>
        </is>
      </c>
      <c r="H2715" t="inlineStr">
        <is>
          <t>42저0795</t>
        </is>
      </c>
      <c r="I2715" t="n">
        <v>3400000</v>
      </c>
      <c r="J2715" t="n">
        <v>0.08500000000000001</v>
      </c>
      <c r="K2715" t="n">
        <v>1.76</v>
      </c>
      <c r="L2715" t="n">
        <v>0.14</v>
      </c>
      <c r="M2715" t="n">
        <v>1.62</v>
      </c>
      <c r="P2715" t="inlineStr">
        <is>
          <t>김나윤</t>
        </is>
      </c>
      <c r="Q2715" t="inlineStr">
        <is>
          <t>홈서비스 36개월</t>
        </is>
      </c>
      <c r="AB2715" t="inlineStr">
        <is>
          <t>홈서비스</t>
        </is>
      </c>
      <c r="AC2715" t="n">
        <v>59840</v>
      </c>
      <c r="AD2715" t="n">
        <v>4760</v>
      </c>
      <c r="AE2715" t="n">
        <v>55080</v>
      </c>
      <c r="AF2715" t="n">
        <v>54400</v>
      </c>
      <c r="AG2715" t="n">
        <v>4602.92</v>
      </c>
      <c r="AH2715" t="n">
        <v>49797.08</v>
      </c>
    </row>
    <row r="2716">
      <c r="A2716" t="inlineStr">
        <is>
          <t>3월</t>
        </is>
      </c>
      <c r="B2716" t="inlineStr">
        <is>
          <t>13주차</t>
        </is>
      </c>
      <c r="C2716" t="inlineStr">
        <is>
          <t>EP</t>
        </is>
      </c>
      <c r="D2716" s="28" t="n">
        <v>46110</v>
      </c>
      <c r="E2716" t="inlineStr">
        <is>
          <t>현대EP</t>
        </is>
      </c>
      <c r="F2716" t="inlineStr">
        <is>
          <t>김보령</t>
        </is>
      </c>
      <c r="G2716" t="inlineStr">
        <is>
          <t>010-8616-0400</t>
        </is>
      </c>
      <c r="H2716" t="inlineStr">
        <is>
          <t>381보9806</t>
        </is>
      </c>
      <c r="I2716" t="n">
        <v>3100000</v>
      </c>
      <c r="J2716" t="n">
        <v>0.119</v>
      </c>
      <c r="K2716" t="n">
        <v>1.76</v>
      </c>
      <c r="L2716" t="n">
        <v>0.14</v>
      </c>
      <c r="M2716" t="n">
        <v>1.62</v>
      </c>
      <c r="P2716" t="inlineStr">
        <is>
          <t>최형주</t>
        </is>
      </c>
      <c r="Q2716" t="inlineStr">
        <is>
          <t>홈서비스 24개월</t>
        </is>
      </c>
      <c r="AB2716" t="inlineStr">
        <is>
          <t>홈서비스</t>
        </is>
      </c>
      <c r="AC2716" t="n">
        <v>54560</v>
      </c>
      <c r="AD2716" t="n">
        <v>4340</v>
      </c>
      <c r="AE2716" t="n">
        <v>50220</v>
      </c>
      <c r="AF2716" t="n">
        <v>49600</v>
      </c>
      <c r="AG2716" t="n">
        <v>4196.78</v>
      </c>
      <c r="AH2716" t="n">
        <v>45403.22</v>
      </c>
      <c r="AI2716" t="n">
        <v>0</v>
      </c>
    </row>
    <row r="2717">
      <c r="A2717" t="inlineStr">
        <is>
          <t>3월</t>
        </is>
      </c>
      <c r="B2717" t="inlineStr">
        <is>
          <t>14주차</t>
        </is>
      </c>
      <c r="C2717" t="inlineStr">
        <is>
          <t>EP</t>
        </is>
      </c>
      <c r="D2717" s="28" t="n">
        <v>46111</v>
      </c>
      <c r="E2717" t="inlineStr">
        <is>
          <t>제이비EP</t>
        </is>
      </c>
      <c r="F2717" t="inlineStr">
        <is>
          <t>심희재</t>
        </is>
      </c>
      <c r="G2717" t="inlineStr">
        <is>
          <t>010-4129-1901</t>
        </is>
      </c>
      <c r="H2717" t="inlineStr">
        <is>
          <t>257두2025</t>
        </is>
      </c>
      <c r="I2717" t="n">
        <v>18500000</v>
      </c>
      <c r="J2717" t="n">
        <v>0.07199999999999999</v>
      </c>
      <c r="K2717" t="n">
        <v>1.65</v>
      </c>
      <c r="L2717" t="n">
        <v>0.4</v>
      </c>
      <c r="M2717" t="n">
        <v>1.25</v>
      </c>
      <c r="P2717" t="inlineStr">
        <is>
          <t>장진경</t>
        </is>
      </c>
      <c r="Q2717" t="inlineStr">
        <is>
          <t>부대비용 추가진행</t>
        </is>
      </c>
      <c r="AB2717" t="inlineStr">
        <is>
          <t>엔카</t>
        </is>
      </c>
      <c r="AC2717" t="n">
        <v>305250</v>
      </c>
      <c r="AD2717" t="n">
        <v>74000</v>
      </c>
      <c r="AE2717" t="n">
        <v>231250</v>
      </c>
      <c r="AF2717" t="n">
        <v>277500</v>
      </c>
      <c r="AG2717" t="n">
        <v>71558</v>
      </c>
      <c r="AH2717" t="n">
        <v>205942</v>
      </c>
    </row>
    <row r="2718">
      <c r="A2718" t="inlineStr">
        <is>
          <t>3월</t>
        </is>
      </c>
      <c r="B2718" t="inlineStr">
        <is>
          <t>13주차</t>
        </is>
      </c>
      <c r="C2718" t="inlineStr">
        <is>
          <t>EP</t>
        </is>
      </c>
      <c r="D2718" s="28" t="n">
        <v>46110</v>
      </c>
      <c r="E2718" t="inlineStr">
        <is>
          <t>현대EP</t>
        </is>
      </c>
      <c r="F2718" t="inlineStr">
        <is>
          <t>장창규</t>
        </is>
      </c>
      <c r="G2718" t="inlineStr">
        <is>
          <t>010-6595-8268</t>
        </is>
      </c>
      <c r="H2718" t="inlineStr">
        <is>
          <t>209보1230</t>
        </is>
      </c>
      <c r="I2718" t="n">
        <v>44000000</v>
      </c>
      <c r="J2718" t="n">
        <v>0.077</v>
      </c>
      <c r="K2718" t="n">
        <v>1.76</v>
      </c>
      <c r="L2718" t="n">
        <v>0.14</v>
      </c>
      <c r="M2718" t="n">
        <v>1.62</v>
      </c>
      <c r="P2718" t="inlineStr">
        <is>
          <t>정광호</t>
        </is>
      </c>
      <c r="Q2718" t="inlineStr">
        <is>
          <t>홈서비스 24개월</t>
        </is>
      </c>
      <c r="AB2718" t="inlineStr">
        <is>
          <t>홈서비스</t>
        </is>
      </c>
      <c r="AC2718" t="n">
        <v>774400</v>
      </c>
      <c r="AD2718" t="n">
        <v>61600</v>
      </c>
      <c r="AE2718" t="n">
        <v>712800</v>
      </c>
      <c r="AF2718" t="n">
        <v>704000</v>
      </c>
      <c r="AG2718" t="n">
        <v>59567.2</v>
      </c>
      <c r="AH2718" t="n">
        <v>644432.8</v>
      </c>
      <c r="AI2718" t="n">
        <v>0</v>
      </c>
    </row>
    <row r="2719">
      <c r="A2719" t="inlineStr">
        <is>
          <t>3월</t>
        </is>
      </c>
      <c r="B2719" t="inlineStr">
        <is>
          <t>14주차</t>
        </is>
      </c>
      <c r="C2719" t="inlineStr">
        <is>
          <t>EP</t>
        </is>
      </c>
      <c r="D2719" s="28" t="n">
        <v>46111</v>
      </c>
      <c r="E2719" t="inlineStr">
        <is>
          <t>현대EP_fast</t>
        </is>
      </c>
      <c r="F2719" t="inlineStr">
        <is>
          <t>강민구</t>
        </is>
      </c>
      <c r="G2719" t="inlineStr">
        <is>
          <t>010-8489-4077</t>
        </is>
      </c>
      <c r="H2719" t="inlineStr">
        <is>
          <t>66수9456</t>
        </is>
      </c>
      <c r="I2719" t="n">
        <v>6900000</v>
      </c>
      <c r="J2719" t="n">
        <v>0.07099999999999999</v>
      </c>
      <c r="K2719" t="n">
        <v>1.76</v>
      </c>
      <c r="L2719" t="n">
        <v>0.14</v>
      </c>
      <c r="M2719" t="n">
        <v>1.62</v>
      </c>
      <c r="P2719" t="inlineStr">
        <is>
          <t>정광호</t>
        </is>
      </c>
      <c r="Q2719" t="inlineStr">
        <is>
          <t>홈서비스 48개월</t>
        </is>
      </c>
      <c r="AB2719" t="inlineStr">
        <is>
          <t>홈서비스</t>
        </is>
      </c>
      <c r="AC2719" t="n">
        <v>121440</v>
      </c>
      <c r="AD2719" t="n">
        <v>9660</v>
      </c>
      <c r="AE2719" t="n">
        <v>111780</v>
      </c>
      <c r="AF2719" t="n">
        <v>110400</v>
      </c>
      <c r="AG2719" t="n">
        <v>9341.219999999999</v>
      </c>
      <c r="AH2719" t="n">
        <v>101058.78</v>
      </c>
    </row>
    <row r="2720">
      <c r="A2720" t="inlineStr">
        <is>
          <t>3월</t>
        </is>
      </c>
      <c r="B2720" t="inlineStr">
        <is>
          <t>14주차</t>
        </is>
      </c>
      <c r="C2720" t="inlineStr">
        <is>
          <t>EP</t>
        </is>
      </c>
      <c r="D2720" s="28" t="n">
        <v>46111</v>
      </c>
      <c r="E2720" t="inlineStr">
        <is>
          <t>현대EP_fast</t>
        </is>
      </c>
      <c r="F2720" t="inlineStr">
        <is>
          <t>박호준</t>
        </is>
      </c>
      <c r="G2720" t="inlineStr">
        <is>
          <t>010-3427-2787</t>
        </is>
      </c>
      <c r="H2720" t="inlineStr">
        <is>
          <t>104보4577</t>
        </is>
      </c>
      <c r="I2720" t="n">
        <v>5200000</v>
      </c>
      <c r="J2720" t="n">
        <v>0.154</v>
      </c>
      <c r="K2720" t="n">
        <v>1.76</v>
      </c>
      <c r="L2720" t="n">
        <v>0.14</v>
      </c>
      <c r="M2720" t="n">
        <v>1.62</v>
      </c>
      <c r="P2720" t="inlineStr">
        <is>
          <t>김나윤</t>
        </is>
      </c>
      <c r="Q2720" t="inlineStr">
        <is>
          <t>홈서비스 48개월</t>
        </is>
      </c>
      <c r="AB2720" t="inlineStr">
        <is>
          <t>홈서비스</t>
        </is>
      </c>
      <c r="AC2720" t="n">
        <v>91520</v>
      </c>
      <c r="AD2720" t="n">
        <v>7280</v>
      </c>
      <c r="AE2720" t="n">
        <v>84240</v>
      </c>
      <c r="AF2720" t="n">
        <v>83200</v>
      </c>
      <c r="AG2720" t="n">
        <v>7039.76</v>
      </c>
      <c r="AH2720" t="n">
        <v>76160.24000000001</v>
      </c>
    </row>
    <row r="2721">
      <c r="A2721" t="inlineStr">
        <is>
          <t>3월</t>
        </is>
      </c>
      <c r="B2721" t="inlineStr">
        <is>
          <t>14주차</t>
        </is>
      </c>
      <c r="C2721" t="inlineStr">
        <is>
          <t>OR</t>
        </is>
      </c>
      <c r="D2721" s="28" t="n">
        <v>46111</v>
      </c>
      <c r="E2721" t="inlineStr">
        <is>
          <t>오릭스</t>
        </is>
      </c>
      <c r="F2721" t="inlineStr">
        <is>
          <t>최예지</t>
        </is>
      </c>
      <c r="G2721" t="inlineStr">
        <is>
          <t>010-2476-3454</t>
        </is>
      </c>
      <c r="H2721" t="inlineStr">
        <is>
          <t>08머0807</t>
        </is>
      </c>
      <c r="I2721" t="n">
        <v>20500000</v>
      </c>
      <c r="J2721" t="n">
        <v>0.055</v>
      </c>
      <c r="K2721" t="n">
        <v>1.65</v>
      </c>
      <c r="L2721" t="n">
        <v>0.14</v>
      </c>
      <c r="M2721" t="n">
        <v>1.51</v>
      </c>
      <c r="P2721" t="inlineStr">
        <is>
          <t>김나윤</t>
        </is>
      </c>
      <c r="Q2721" t="inlineStr">
        <is>
          <t>홈서비스 60개월</t>
        </is>
      </c>
      <c r="AB2721" t="inlineStr">
        <is>
          <t>홈서비스</t>
        </is>
      </c>
      <c r="AC2721" t="n">
        <v>338250</v>
      </c>
      <c r="AD2721" t="n">
        <v>28700</v>
      </c>
      <c r="AE2721" t="n">
        <v>309550</v>
      </c>
      <c r="AF2721" t="n">
        <v>307500</v>
      </c>
      <c r="AG2721" t="n">
        <v>27752.9</v>
      </c>
      <c r="AH2721" t="n">
        <v>279747.1</v>
      </c>
      <c r="AI2721" t="n">
        <v>0</v>
      </c>
    </row>
    <row r="2722">
      <c r="A2722" t="inlineStr">
        <is>
          <t>3월</t>
        </is>
      </c>
      <c r="B2722" t="inlineStr">
        <is>
          <t>13주차</t>
        </is>
      </c>
      <c r="C2722" t="inlineStr">
        <is>
          <t>OR</t>
        </is>
      </c>
      <c r="D2722" s="28" t="n">
        <v>46108</v>
      </c>
      <c r="E2722" t="inlineStr">
        <is>
          <t>오릭스</t>
        </is>
      </c>
      <c r="F2722" t="inlineStr">
        <is>
          <t>안용준</t>
        </is>
      </c>
      <c r="G2722" t="inlineStr">
        <is>
          <t>010-4328-3561</t>
        </is>
      </c>
      <c r="H2722" t="inlineStr">
        <is>
          <t>327저4706</t>
        </is>
      </c>
      <c r="I2722" t="n">
        <v>9600000</v>
      </c>
      <c r="J2722" t="n">
        <v>0.07199999999999999</v>
      </c>
      <c r="K2722" t="n">
        <v>1.65</v>
      </c>
      <c r="L2722" t="n">
        <v>0.4</v>
      </c>
      <c r="M2722" t="n">
        <v>1.25</v>
      </c>
      <c r="P2722" t="inlineStr">
        <is>
          <t>박보람</t>
        </is>
      </c>
      <c r="Q2722" t="inlineStr">
        <is>
          <t>부대비용 추가진행</t>
        </is>
      </c>
      <c r="AB2722" t="inlineStr">
        <is>
          <t>엔카</t>
        </is>
      </c>
      <c r="AC2722" t="n">
        <v>158400</v>
      </c>
      <c r="AD2722" t="n">
        <v>38400</v>
      </c>
      <c r="AE2722" t="n">
        <v>120000</v>
      </c>
      <c r="AF2722" t="n">
        <v>144000</v>
      </c>
      <c r="AG2722" t="n">
        <v>37132.8</v>
      </c>
      <c r="AH2722" t="n">
        <v>106867.2</v>
      </c>
      <c r="AI2722" t="n">
        <v>0</v>
      </c>
    </row>
    <row r="2723">
      <c r="A2723" t="inlineStr">
        <is>
          <t>3월</t>
        </is>
      </c>
      <c r="B2723" t="inlineStr">
        <is>
          <t>13주차</t>
        </is>
      </c>
      <c r="C2723" t="inlineStr">
        <is>
          <t>EP</t>
        </is>
      </c>
      <c r="D2723" s="28" t="n">
        <v>46108</v>
      </c>
      <c r="E2723" t="inlineStr">
        <is>
          <t>BNKEP</t>
        </is>
      </c>
      <c r="F2723" t="inlineStr">
        <is>
          <t>신승우</t>
        </is>
      </c>
      <c r="G2723" t="inlineStr">
        <is>
          <t>010-2655-9849</t>
        </is>
      </c>
      <c r="H2723" t="inlineStr">
        <is>
          <t>156라9290</t>
        </is>
      </c>
      <c r="I2723" t="n">
        <v>14000000</v>
      </c>
      <c r="J2723" t="n">
        <v>0.077</v>
      </c>
      <c r="K2723" t="n">
        <v>1.65</v>
      </c>
      <c r="L2723" t="n">
        <v>0.14</v>
      </c>
      <c r="M2723" t="n">
        <v>1.51</v>
      </c>
      <c r="P2723" t="inlineStr">
        <is>
          <t>김수연</t>
        </is>
      </c>
      <c r="Q2723" t="inlineStr">
        <is>
          <t>홈서비스 24개월</t>
        </is>
      </c>
      <c r="AB2723" t="inlineStr">
        <is>
          <t>홈서비스</t>
        </is>
      </c>
      <c r="AC2723" t="n">
        <v>231000</v>
      </c>
      <c r="AD2723" t="n">
        <v>19600</v>
      </c>
      <c r="AE2723" t="n">
        <v>211400</v>
      </c>
      <c r="AF2723" t="n">
        <v>210000</v>
      </c>
      <c r="AG2723" t="n">
        <v>18953.2</v>
      </c>
      <c r="AH2723" t="n">
        <v>191046.8</v>
      </c>
    </row>
    <row r="2724">
      <c r="A2724" t="inlineStr">
        <is>
          <t>3월</t>
        </is>
      </c>
      <c r="B2724" t="inlineStr">
        <is>
          <t>14주차</t>
        </is>
      </c>
      <c r="C2724" t="inlineStr">
        <is>
          <t>EP</t>
        </is>
      </c>
      <c r="D2724" s="28" t="n">
        <v>46111</v>
      </c>
      <c r="E2724" t="inlineStr">
        <is>
          <t>BNKEP</t>
        </is>
      </c>
      <c r="F2724" t="inlineStr">
        <is>
          <t>정승우</t>
        </is>
      </c>
      <c r="G2724" t="inlineStr">
        <is>
          <t>010-2222-1049</t>
        </is>
      </c>
      <c r="H2724" t="inlineStr">
        <is>
          <t>382라4502</t>
        </is>
      </c>
      <c r="I2724" t="n">
        <v>42000000</v>
      </c>
      <c r="J2724" t="n">
        <v>0.106</v>
      </c>
      <c r="K2724" t="n">
        <v>1.65</v>
      </c>
      <c r="L2724" t="n">
        <v>0.14</v>
      </c>
      <c r="M2724" t="n">
        <v>1.51</v>
      </c>
      <c r="P2724" t="inlineStr">
        <is>
          <t>장현경</t>
        </is>
      </c>
      <c r="Q2724" t="inlineStr">
        <is>
          <t>선상담 / 홈서비스 72개월 / 부대비용 추가진행</t>
        </is>
      </c>
      <c r="AB2724" t="inlineStr">
        <is>
          <t>홈서비스</t>
        </is>
      </c>
      <c r="AC2724" t="n">
        <v>693000</v>
      </c>
      <c r="AD2724" t="n">
        <v>58800</v>
      </c>
      <c r="AE2724" t="n">
        <v>634200</v>
      </c>
      <c r="AF2724" t="n">
        <v>630000</v>
      </c>
      <c r="AG2724" t="n">
        <v>56859.6</v>
      </c>
      <c r="AH2724" t="n">
        <v>573140.4</v>
      </c>
    </row>
    <row r="2725">
      <c r="A2725" t="inlineStr">
        <is>
          <t>3월</t>
        </is>
      </c>
      <c r="B2725" t="inlineStr">
        <is>
          <t>13주차</t>
        </is>
      </c>
      <c r="C2725" t="inlineStr">
        <is>
          <t>IM</t>
        </is>
      </c>
      <c r="D2725" s="28" t="n">
        <v>46109</v>
      </c>
      <c r="E2725" t="inlineStr">
        <is>
          <t>IM캐피탈</t>
        </is>
      </c>
      <c r="F2725" t="inlineStr">
        <is>
          <t>김우진</t>
        </is>
      </c>
      <c r="G2725" t="inlineStr">
        <is>
          <t>010-8686-1863</t>
        </is>
      </c>
      <c r="H2725" t="inlineStr">
        <is>
          <t>116무7230</t>
        </is>
      </c>
      <c r="I2725" t="n">
        <v>46000000</v>
      </c>
      <c r="J2725" t="n">
        <v>0.049</v>
      </c>
      <c r="K2725" t="n">
        <v>1.1</v>
      </c>
      <c r="L2725" t="n">
        <v>0.4</v>
      </c>
      <c r="M2725" t="n">
        <v>0.7</v>
      </c>
      <c r="P2725" t="inlineStr">
        <is>
          <t>최혁</t>
        </is>
      </c>
      <c r="AB2725" t="inlineStr">
        <is>
          <t>엔카</t>
        </is>
      </c>
      <c r="AC2725" t="n">
        <v>506000</v>
      </c>
      <c r="AD2725" t="n">
        <v>184000</v>
      </c>
      <c r="AE2725" t="n">
        <v>322000</v>
      </c>
      <c r="AF2725" t="n">
        <v>460000</v>
      </c>
      <c r="AG2725" t="n">
        <v>177928</v>
      </c>
      <c r="AH2725" t="n">
        <v>282072</v>
      </c>
    </row>
    <row r="2726">
      <c r="A2726" t="inlineStr">
        <is>
          <t>3월</t>
        </is>
      </c>
      <c r="B2726" t="inlineStr">
        <is>
          <t>13주차</t>
        </is>
      </c>
      <c r="C2726" t="inlineStr">
        <is>
          <t>IM</t>
        </is>
      </c>
      <c r="D2726" s="28" t="n">
        <v>46104</v>
      </c>
      <c r="E2726" t="inlineStr">
        <is>
          <t>IM캐피탈</t>
        </is>
      </c>
      <c r="F2726" t="inlineStr">
        <is>
          <t>서효정</t>
        </is>
      </c>
      <c r="G2726" t="inlineStr">
        <is>
          <t>010-9333-0516</t>
        </is>
      </c>
      <c r="H2726" t="inlineStr">
        <is>
          <t>844노7083</t>
        </is>
      </c>
      <c r="I2726" t="n">
        <v>-13000000</v>
      </c>
      <c r="J2726" t="n">
        <v>0.059</v>
      </c>
      <c r="K2726" t="n">
        <v>1.1</v>
      </c>
      <c r="L2726" t="n">
        <v>0.4</v>
      </c>
      <c r="M2726" t="n">
        <v>0.7</v>
      </c>
      <c r="P2726" t="inlineStr">
        <is>
          <t>임대경</t>
        </is>
      </c>
      <c r="AB2726" t="inlineStr">
        <is>
          <t>엔카</t>
        </is>
      </c>
      <c r="AC2726" t="n">
        <v>-143000</v>
      </c>
      <c r="AD2726" t="n">
        <v>-52000</v>
      </c>
      <c r="AE2726" t="n">
        <v>-91000</v>
      </c>
      <c r="AF2726" t="n">
        <v>-130000</v>
      </c>
      <c r="AG2726" t="n">
        <v>-50284</v>
      </c>
      <c r="AH2726" t="n">
        <v>-79716</v>
      </c>
    </row>
    <row r="2727">
      <c r="A2727" t="inlineStr">
        <is>
          <t>3월</t>
        </is>
      </c>
      <c r="B2727" t="inlineStr">
        <is>
          <t>13주차</t>
        </is>
      </c>
      <c r="C2727" t="inlineStr">
        <is>
          <t>EP</t>
        </is>
      </c>
      <c r="D2727" s="28" t="n">
        <v>46108</v>
      </c>
      <c r="E2727" t="inlineStr">
        <is>
          <t>현대EP</t>
        </is>
      </c>
      <c r="F2727" t="inlineStr">
        <is>
          <t>유동훈</t>
        </is>
      </c>
      <c r="G2727" t="inlineStr">
        <is>
          <t>010-9496-9867</t>
        </is>
      </c>
      <c r="H2727" t="inlineStr">
        <is>
          <t>817저3058</t>
        </is>
      </c>
      <c r="I2727" t="n">
        <v>10000000</v>
      </c>
      <c r="J2727" t="n">
        <v>0.09</v>
      </c>
      <c r="K2727" t="n">
        <v>1.76</v>
      </c>
      <c r="L2727" t="n">
        <v>0.14</v>
      </c>
      <c r="M2727" t="n">
        <v>1.62</v>
      </c>
      <c r="P2727" t="inlineStr">
        <is>
          <t>김수연</t>
        </is>
      </c>
      <c r="Q2727" t="inlineStr">
        <is>
          <t>홈서비스 48개월</t>
        </is>
      </c>
      <c r="AB2727" t="inlineStr">
        <is>
          <t>홈서비스</t>
        </is>
      </c>
      <c r="AC2727" t="n">
        <v>176000</v>
      </c>
      <c r="AD2727" t="n">
        <v>14000</v>
      </c>
      <c r="AE2727" t="n">
        <v>162000</v>
      </c>
      <c r="AF2727" t="n">
        <v>160000</v>
      </c>
      <c r="AG2727" t="n">
        <v>13538</v>
      </c>
      <c r="AH2727" t="n">
        <v>146462</v>
      </c>
      <c r="AI2727" t="n">
        <v>0</v>
      </c>
    </row>
    <row r="2728">
      <c r="A2728" t="inlineStr">
        <is>
          <t>3월</t>
        </is>
      </c>
      <c r="B2728" t="inlineStr">
        <is>
          <t>14주차</t>
        </is>
      </c>
      <c r="C2728" t="inlineStr">
        <is>
          <t>IM</t>
        </is>
      </c>
      <c r="D2728" s="28" t="n">
        <v>46111</v>
      </c>
      <c r="E2728" t="inlineStr">
        <is>
          <t>IM캐피탈</t>
        </is>
      </c>
      <c r="F2728" t="inlineStr">
        <is>
          <t>차우주</t>
        </is>
      </c>
      <c r="G2728" t="inlineStr">
        <is>
          <t>010-5149-5163</t>
        </is>
      </c>
      <c r="H2728" t="inlineStr">
        <is>
          <t>53부5525</t>
        </is>
      </c>
      <c r="I2728" t="n">
        <v>22300000</v>
      </c>
      <c r="J2728" t="n">
        <v>0.066</v>
      </c>
      <c r="K2728" t="n">
        <v>1.1</v>
      </c>
      <c r="L2728" t="n">
        <v>0.14</v>
      </c>
      <c r="M2728" t="n">
        <v>0.96</v>
      </c>
      <c r="P2728" t="inlineStr">
        <is>
          <t>김수연</t>
        </is>
      </c>
      <c r="Q2728" t="inlineStr">
        <is>
          <t>홈서비스 60개월</t>
        </is>
      </c>
      <c r="AB2728" t="inlineStr">
        <is>
          <t>홈서비스</t>
        </is>
      </c>
      <c r="AC2728" t="n">
        <v>245300</v>
      </c>
      <c r="AD2728" t="n">
        <v>31220</v>
      </c>
      <c r="AE2728" t="n">
        <v>214080</v>
      </c>
      <c r="AF2728" t="n">
        <v>223000</v>
      </c>
      <c r="AG2728" t="n">
        <v>30189.74</v>
      </c>
      <c r="AH2728" t="n">
        <v>192810.26</v>
      </c>
      <c r="AI2728" t="n">
        <v>0</v>
      </c>
    </row>
    <row r="2729">
      <c r="A2729" t="inlineStr">
        <is>
          <t>3월</t>
        </is>
      </c>
      <c r="B2729" t="inlineStr">
        <is>
          <t>14주차</t>
        </is>
      </c>
      <c r="C2729" t="inlineStr">
        <is>
          <t>EP</t>
        </is>
      </c>
      <c r="D2729" s="28" t="n">
        <v>46111</v>
      </c>
      <c r="E2729" t="inlineStr">
        <is>
          <t>현대EP_fast</t>
        </is>
      </c>
      <c r="F2729" t="inlineStr">
        <is>
          <t>박준후</t>
        </is>
      </c>
      <c r="G2729" t="inlineStr">
        <is>
          <t>010-47257-0275</t>
        </is>
      </c>
      <c r="H2729" t="inlineStr">
        <is>
          <t>32서0830</t>
        </is>
      </c>
      <c r="I2729" t="n">
        <v>4900000</v>
      </c>
      <c r="J2729" t="n">
        <v>0.105</v>
      </c>
      <c r="K2729" t="n">
        <v>1.76</v>
      </c>
      <c r="L2729" t="n">
        <v>0.14</v>
      </c>
      <c r="M2729" t="n">
        <v>1.62</v>
      </c>
      <c r="P2729" t="inlineStr">
        <is>
          <t>김나윤</t>
        </is>
      </c>
      <c r="Q2729" t="inlineStr">
        <is>
          <t>홈서비스 24개월</t>
        </is>
      </c>
      <c r="AB2729" t="inlineStr">
        <is>
          <t>홈서비스</t>
        </is>
      </c>
      <c r="AC2729" t="n">
        <v>86240</v>
      </c>
      <c r="AD2729" t="n">
        <v>6860</v>
      </c>
      <c r="AE2729" t="n">
        <v>79380</v>
      </c>
      <c r="AF2729" t="n">
        <v>78400</v>
      </c>
      <c r="AG2729" t="n">
        <v>6633.62</v>
      </c>
      <c r="AH2729" t="n">
        <v>71766.38</v>
      </c>
      <c r="AI2729" t="n">
        <v>0</v>
      </c>
    </row>
    <row r="2730">
      <c r="A2730" t="inlineStr">
        <is>
          <t>3월</t>
        </is>
      </c>
      <c r="B2730" t="inlineStr">
        <is>
          <t>14주차</t>
        </is>
      </c>
      <c r="C2730" t="inlineStr">
        <is>
          <t>OR</t>
        </is>
      </c>
      <c r="D2730" s="28" t="n">
        <v>46111</v>
      </c>
      <c r="E2730" t="inlineStr">
        <is>
          <t>오릭스</t>
        </is>
      </c>
      <c r="F2730" t="inlineStr">
        <is>
          <t>고범석</t>
        </is>
      </c>
      <c r="G2730" t="inlineStr">
        <is>
          <t>010-7277-9125</t>
        </is>
      </c>
      <c r="H2730" t="inlineStr">
        <is>
          <t>103모8828</t>
        </is>
      </c>
      <c r="I2730" t="n">
        <v>35000000</v>
      </c>
      <c r="J2730" t="n">
        <v>0.055</v>
      </c>
      <c r="K2730" t="n">
        <v>1.65</v>
      </c>
      <c r="L2730" t="n">
        <v>0.4</v>
      </c>
      <c r="M2730" t="n">
        <v>1.25</v>
      </c>
      <c r="P2730" t="inlineStr">
        <is>
          <t>장진경</t>
        </is>
      </c>
      <c r="Q2730" t="inlineStr">
        <is>
          <t>론진행</t>
        </is>
      </c>
      <c r="AB2730" t="inlineStr">
        <is>
          <t>엔카</t>
        </is>
      </c>
      <c r="AC2730" t="n">
        <v>577500</v>
      </c>
      <c r="AD2730" t="n">
        <v>140000</v>
      </c>
      <c r="AE2730" t="n">
        <v>437500</v>
      </c>
      <c r="AF2730" t="n">
        <v>525000</v>
      </c>
      <c r="AG2730" t="n">
        <v>135380</v>
      </c>
      <c r="AH2730" t="n">
        <v>389620</v>
      </c>
      <c r="AI2730" t="n">
        <v>0</v>
      </c>
    </row>
    <row r="2731">
      <c r="A2731" t="inlineStr">
        <is>
          <t>3월</t>
        </is>
      </c>
      <c r="B2731" t="inlineStr">
        <is>
          <t>14주차</t>
        </is>
      </c>
      <c r="C2731" t="inlineStr">
        <is>
          <t>IM</t>
        </is>
      </c>
      <c r="D2731" s="28" t="n">
        <v>46111</v>
      </c>
      <c r="E2731" t="inlineStr">
        <is>
          <t>IM캐피탈</t>
        </is>
      </c>
      <c r="F2731" t="inlineStr">
        <is>
          <t>오승엽</t>
        </is>
      </c>
      <c r="G2731" t="inlineStr">
        <is>
          <t>010-2991-6876</t>
        </is>
      </c>
      <c r="H2731" t="inlineStr">
        <is>
          <t>58두3266</t>
        </is>
      </c>
      <c r="I2731" t="n">
        <v>24900000</v>
      </c>
      <c r="J2731" t="n">
        <v>0.049</v>
      </c>
      <c r="K2731" t="n">
        <v>1.1</v>
      </c>
      <c r="L2731" t="n">
        <v>0.14</v>
      </c>
      <c r="M2731" t="n">
        <v>0.96</v>
      </c>
      <c r="P2731" t="inlineStr">
        <is>
          <t>황채이</t>
        </is>
      </c>
      <c r="Q2731" t="inlineStr">
        <is>
          <t>홈서비스 60개월</t>
        </is>
      </c>
      <c r="AB2731" t="inlineStr">
        <is>
          <t>홈서비스</t>
        </is>
      </c>
      <c r="AC2731" t="n">
        <v>273900</v>
      </c>
      <c r="AD2731" t="n">
        <v>34860</v>
      </c>
      <c r="AE2731" t="n">
        <v>239040</v>
      </c>
      <c r="AF2731" t="n">
        <v>249000</v>
      </c>
      <c r="AG2731" t="n">
        <v>33709.62</v>
      </c>
      <c r="AH2731" t="n">
        <v>215290.38</v>
      </c>
      <c r="AI2731" t="n">
        <v>0</v>
      </c>
    </row>
    <row r="2732">
      <c r="A2732" t="inlineStr">
        <is>
          <t>3월</t>
        </is>
      </c>
      <c r="B2732" t="inlineStr">
        <is>
          <t>13주차</t>
        </is>
      </c>
      <c r="C2732" t="inlineStr">
        <is>
          <t>EP</t>
        </is>
      </c>
      <c r="D2732" s="28" t="n">
        <v>46107</v>
      </c>
      <c r="E2732" t="inlineStr">
        <is>
          <t>제이비EP</t>
        </is>
      </c>
      <c r="F2732" t="inlineStr">
        <is>
          <t>윤명복</t>
        </is>
      </c>
      <c r="G2732" t="inlineStr">
        <is>
          <t>010-2377-9304</t>
        </is>
      </c>
      <c r="H2732" t="inlineStr">
        <is>
          <t>256누5863</t>
        </is>
      </c>
      <c r="I2732" t="n">
        <v>50000000</v>
      </c>
      <c r="J2732" t="n">
        <v>0.066</v>
      </c>
      <c r="K2732" t="n">
        <v>1.65</v>
      </c>
      <c r="L2732" t="n">
        <v>0.4</v>
      </c>
      <c r="M2732" t="n">
        <v>1.25</v>
      </c>
      <c r="P2732" t="inlineStr">
        <is>
          <t>박소현</t>
        </is>
      </c>
      <c r="Q2732" t="inlineStr">
        <is>
          <t>부대비용추가진행</t>
        </is>
      </c>
      <c r="AB2732" t="inlineStr">
        <is>
          <t>엔카</t>
        </is>
      </c>
      <c r="AC2732" t="n">
        <v>825000</v>
      </c>
      <c r="AD2732" t="n">
        <v>200000</v>
      </c>
      <c r="AE2732" t="n">
        <v>625000</v>
      </c>
      <c r="AF2732" t="n">
        <v>750000</v>
      </c>
      <c r="AG2732" t="n">
        <v>193400</v>
      </c>
      <c r="AH2732" t="n">
        <v>556600</v>
      </c>
      <c r="AI2732" t="n">
        <v>0</v>
      </c>
    </row>
    <row r="2733">
      <c r="A2733" t="inlineStr">
        <is>
          <t>3월</t>
        </is>
      </c>
      <c r="B2733" t="inlineStr">
        <is>
          <t>13주차</t>
        </is>
      </c>
      <c r="C2733" t="inlineStr">
        <is>
          <t>IM</t>
        </is>
      </c>
      <c r="D2733" s="28" t="n">
        <v>46109</v>
      </c>
      <c r="E2733" t="inlineStr">
        <is>
          <t>IM캐피탈</t>
        </is>
      </c>
      <c r="F2733" t="inlineStr">
        <is>
          <t>한재현</t>
        </is>
      </c>
      <c r="G2733" t="inlineStr">
        <is>
          <t>010-9146-8190</t>
        </is>
      </c>
      <c r="H2733" t="inlineStr">
        <is>
          <t>351누6621</t>
        </is>
      </c>
      <c r="I2733" t="n">
        <v>14500000</v>
      </c>
      <c r="J2733" t="n">
        <v>0.049</v>
      </c>
      <c r="K2733" t="n">
        <v>1.1</v>
      </c>
      <c r="L2733" t="n">
        <v>0.5</v>
      </c>
      <c r="M2733" t="n">
        <v>0.6</v>
      </c>
      <c r="P2733" t="inlineStr">
        <is>
          <t>정하은</t>
        </is>
      </c>
      <c r="Q2733" t="inlineStr">
        <is>
          <t>부대비용 추가진행</t>
        </is>
      </c>
      <c r="AB2733" t="inlineStr">
        <is>
          <t>엔카</t>
        </is>
      </c>
      <c r="AC2733" t="n">
        <v>159500</v>
      </c>
      <c r="AD2733" t="n">
        <v>72500</v>
      </c>
      <c r="AE2733" t="n">
        <v>87000</v>
      </c>
      <c r="AF2733" t="n">
        <v>145000</v>
      </c>
      <c r="AG2733" t="n">
        <v>70107.5</v>
      </c>
      <c r="AH2733" t="n">
        <v>74892.5</v>
      </c>
      <c r="AI2733" t="n">
        <v>0</v>
      </c>
    </row>
    <row r="2734">
      <c r="A2734" t="inlineStr">
        <is>
          <t>3월</t>
        </is>
      </c>
      <c r="B2734" t="inlineStr">
        <is>
          <t>14주차</t>
        </is>
      </c>
      <c r="C2734" t="inlineStr">
        <is>
          <t>IM</t>
        </is>
      </c>
      <c r="D2734" s="28" t="n">
        <v>46111</v>
      </c>
      <c r="E2734" t="inlineStr">
        <is>
          <t>IM캐피탈</t>
        </is>
      </c>
      <c r="F2734" t="inlineStr">
        <is>
          <t>정진경</t>
        </is>
      </c>
      <c r="G2734" t="inlineStr">
        <is>
          <t>010-2790-2850</t>
        </is>
      </c>
      <c r="H2734" t="inlineStr">
        <is>
          <t>66수3787</t>
        </is>
      </c>
      <c r="I2734" t="n">
        <v>53000000</v>
      </c>
      <c r="J2734" t="n">
        <v>0.059</v>
      </c>
      <c r="K2734" t="n">
        <v>1.1</v>
      </c>
      <c r="L2734" t="n">
        <v>0.4</v>
      </c>
      <c r="M2734" t="n">
        <v>0.7</v>
      </c>
      <c r="P2734" t="inlineStr">
        <is>
          <t>임대경</t>
        </is>
      </c>
      <c r="AB2734" t="inlineStr">
        <is>
          <t>엔카</t>
        </is>
      </c>
      <c r="AC2734" t="n">
        <v>583000</v>
      </c>
      <c r="AD2734" t="n">
        <v>212000</v>
      </c>
      <c r="AE2734" t="n">
        <v>371000</v>
      </c>
      <c r="AF2734" t="n">
        <v>530000</v>
      </c>
      <c r="AG2734" t="n">
        <v>205004</v>
      </c>
      <c r="AH2734" t="n">
        <v>324996</v>
      </c>
      <c r="AI2734" t="n">
        <v>0</v>
      </c>
    </row>
    <row r="2735">
      <c r="A2735" t="inlineStr">
        <is>
          <t>3월</t>
        </is>
      </c>
      <c r="B2735" t="inlineStr">
        <is>
          <t>14주차</t>
        </is>
      </c>
      <c r="C2735" t="inlineStr">
        <is>
          <t>OR</t>
        </is>
      </c>
      <c r="D2735" s="28" t="n">
        <v>46111</v>
      </c>
      <c r="E2735" t="inlineStr">
        <is>
          <t>오릭스</t>
        </is>
      </c>
      <c r="F2735" t="inlineStr">
        <is>
          <t>이정수</t>
        </is>
      </c>
      <c r="G2735" t="inlineStr">
        <is>
          <t>010-7121-0960</t>
        </is>
      </c>
      <c r="H2735" t="inlineStr">
        <is>
          <t>59너5505</t>
        </is>
      </c>
      <c r="I2735" t="n">
        <v>40000000</v>
      </c>
      <c r="J2735" t="n">
        <v>0.059</v>
      </c>
      <c r="K2735" t="n">
        <v>1.65</v>
      </c>
      <c r="L2735" t="n">
        <v>0.5</v>
      </c>
      <c r="M2735" t="n">
        <v>1.15</v>
      </c>
      <c r="P2735" t="inlineStr">
        <is>
          <t>정하은</t>
        </is>
      </c>
      <c r="Q2735" t="inlineStr">
        <is>
          <t>개인간거래  /사업자론진행/ 이전완료</t>
        </is>
      </c>
      <c r="AB2735" t="inlineStr">
        <is>
          <t>엔카</t>
        </is>
      </c>
      <c r="AC2735" t="n">
        <v>660000</v>
      </c>
      <c r="AD2735" t="n">
        <v>200000</v>
      </c>
      <c r="AE2735" t="n">
        <v>460000</v>
      </c>
      <c r="AF2735" t="n">
        <v>600000</v>
      </c>
      <c r="AG2735" t="n">
        <v>193400</v>
      </c>
      <c r="AH2735" t="n">
        <v>406600</v>
      </c>
      <c r="AI2735" t="n">
        <v>0</v>
      </c>
    </row>
    <row r="2736">
      <c r="A2736" t="inlineStr">
        <is>
          <t>3월</t>
        </is>
      </c>
      <c r="B2736" t="inlineStr">
        <is>
          <t>13주차</t>
        </is>
      </c>
      <c r="C2736" t="inlineStr">
        <is>
          <t>IM</t>
        </is>
      </c>
      <c r="D2736" s="28" t="n">
        <v>46107</v>
      </c>
      <c r="E2736" t="inlineStr">
        <is>
          <t>IM캐피탈</t>
        </is>
      </c>
      <c r="F2736" t="inlineStr">
        <is>
          <t>이진선</t>
        </is>
      </c>
      <c r="G2736" t="inlineStr">
        <is>
          <t>010-9408-0771</t>
        </is>
      </c>
      <c r="H2736" t="inlineStr">
        <is>
          <t>33누5668</t>
        </is>
      </c>
      <c r="I2736" t="n">
        <v>28000000</v>
      </c>
      <c r="J2736" t="n">
        <v>0.059</v>
      </c>
      <c r="K2736" t="n">
        <v>1.1</v>
      </c>
      <c r="L2736" t="n">
        <v>0.4</v>
      </c>
      <c r="M2736" t="n">
        <v>0.7</v>
      </c>
      <c r="P2736" t="inlineStr">
        <is>
          <t>구성완</t>
        </is>
      </c>
      <c r="AB2736" t="inlineStr">
        <is>
          <t>엔카</t>
        </is>
      </c>
      <c r="AC2736" t="n">
        <v>308000</v>
      </c>
      <c r="AD2736" t="n">
        <v>112000</v>
      </c>
      <c r="AE2736" t="n">
        <v>196000</v>
      </c>
      <c r="AF2736" t="n">
        <v>280000</v>
      </c>
      <c r="AG2736" t="n">
        <v>108304</v>
      </c>
      <c r="AH2736" t="n">
        <v>171696</v>
      </c>
      <c r="AI2736" t="n">
        <v>0</v>
      </c>
    </row>
    <row r="2737">
      <c r="A2737" t="inlineStr">
        <is>
          <t>3월</t>
        </is>
      </c>
      <c r="B2737" t="inlineStr">
        <is>
          <t>13주차</t>
        </is>
      </c>
      <c r="C2737" t="inlineStr">
        <is>
          <t>IM</t>
        </is>
      </c>
      <c r="D2737" s="28" t="n">
        <v>46108</v>
      </c>
      <c r="E2737" t="inlineStr">
        <is>
          <t>IM캐피탈</t>
        </is>
      </c>
      <c r="F2737" t="inlineStr">
        <is>
          <t>김대식</t>
        </is>
      </c>
      <c r="G2737" t="inlineStr">
        <is>
          <t>010-4444-2673</t>
        </is>
      </c>
      <c r="H2737" t="inlineStr">
        <is>
          <t>264가4030</t>
        </is>
      </c>
      <c r="I2737" t="n">
        <v>34700000</v>
      </c>
      <c r="J2737" t="n">
        <v>0.056</v>
      </c>
      <c r="K2737" t="n">
        <v>1.1</v>
      </c>
      <c r="L2737" t="n">
        <v>0.4</v>
      </c>
      <c r="M2737" t="n">
        <v>0.7</v>
      </c>
      <c r="P2737" t="inlineStr">
        <is>
          <t>구성완</t>
        </is>
      </c>
      <c r="AB2737" t="inlineStr">
        <is>
          <t>엔카</t>
        </is>
      </c>
      <c r="AC2737" t="n">
        <v>381700</v>
      </c>
      <c r="AD2737" t="n">
        <v>138800</v>
      </c>
      <c r="AE2737" t="n">
        <v>242900</v>
      </c>
      <c r="AF2737" t="n">
        <v>347000</v>
      </c>
      <c r="AG2737" t="n">
        <v>134219.6</v>
      </c>
      <c r="AH2737" t="n">
        <v>212780.4</v>
      </c>
      <c r="AI2737" t="n">
        <v>0</v>
      </c>
    </row>
    <row r="2738">
      <c r="A2738" t="inlineStr">
        <is>
          <t>3월</t>
        </is>
      </c>
      <c r="B2738" t="inlineStr">
        <is>
          <t>14주차</t>
        </is>
      </c>
      <c r="C2738" t="inlineStr">
        <is>
          <t>EP</t>
        </is>
      </c>
      <c r="D2738" s="28" t="n">
        <v>46111</v>
      </c>
      <c r="E2738" t="inlineStr">
        <is>
          <t>현대EP_fast</t>
        </is>
      </c>
      <c r="F2738" t="inlineStr">
        <is>
          <t>이진영</t>
        </is>
      </c>
      <c r="G2738" t="inlineStr">
        <is>
          <t>010-9366-3632</t>
        </is>
      </c>
      <c r="H2738" t="inlineStr">
        <is>
          <t>50어9322</t>
        </is>
      </c>
      <c r="I2738" t="n">
        <v>8000000</v>
      </c>
      <c r="J2738" t="n">
        <v>0.07099999999999999</v>
      </c>
      <c r="K2738" t="n">
        <v>1.76</v>
      </c>
      <c r="L2738" t="n">
        <v>0.14</v>
      </c>
      <c r="M2738" t="n">
        <v>1.62</v>
      </c>
      <c r="P2738" t="inlineStr">
        <is>
          <t>정광호</t>
        </is>
      </c>
      <c r="Q2738" t="inlineStr">
        <is>
          <t>홈서비스 36개월</t>
        </is>
      </c>
      <c r="AB2738" t="inlineStr">
        <is>
          <t>홈서비스</t>
        </is>
      </c>
      <c r="AC2738" t="n">
        <v>140800</v>
      </c>
      <c r="AD2738" t="n">
        <v>11200</v>
      </c>
      <c r="AE2738" t="n">
        <v>129600</v>
      </c>
      <c r="AF2738" t="n">
        <v>128000</v>
      </c>
      <c r="AG2738" t="n">
        <v>10830.4</v>
      </c>
      <c r="AH2738" t="n">
        <v>117169.6</v>
      </c>
      <c r="AI2738" t="n">
        <v>0</v>
      </c>
    </row>
    <row r="2739">
      <c r="A2739" t="inlineStr">
        <is>
          <t>3월</t>
        </is>
      </c>
      <c r="B2739" t="inlineStr">
        <is>
          <t>14주차</t>
        </is>
      </c>
      <c r="C2739" t="inlineStr">
        <is>
          <t>IM</t>
        </is>
      </c>
      <c r="D2739" s="28" t="n">
        <v>46111</v>
      </c>
      <c r="E2739" t="inlineStr">
        <is>
          <t>IM캐피탈</t>
        </is>
      </c>
      <c r="F2739" t="inlineStr">
        <is>
          <t>박문현</t>
        </is>
      </c>
      <c r="G2739" t="inlineStr">
        <is>
          <t>010-8361-8285</t>
        </is>
      </c>
      <c r="H2739" t="inlineStr">
        <is>
          <t>60오6111</t>
        </is>
      </c>
      <c r="I2739" t="n">
        <v>24500000</v>
      </c>
      <c r="J2739" t="n">
        <v>0.049</v>
      </c>
      <c r="K2739" t="n">
        <v>1.1</v>
      </c>
      <c r="L2739" t="n">
        <v>0.14</v>
      </c>
      <c r="M2739" t="n">
        <v>0.96</v>
      </c>
      <c r="P2739" t="inlineStr">
        <is>
          <t>장현경</t>
        </is>
      </c>
      <c r="Q2739" t="inlineStr">
        <is>
          <t xml:space="preserve">선상담 / 홈서비스 84개월 </t>
        </is>
      </c>
      <c r="AB2739" t="inlineStr">
        <is>
          <t>홈서비스</t>
        </is>
      </c>
      <c r="AC2739" t="n">
        <v>269500</v>
      </c>
      <c r="AD2739" t="n">
        <v>34300</v>
      </c>
      <c r="AE2739" t="n">
        <v>235200</v>
      </c>
      <c r="AF2739" t="n">
        <v>245000</v>
      </c>
      <c r="AG2739" t="n">
        <v>33168.1</v>
      </c>
      <c r="AH2739" t="n">
        <v>211831.9</v>
      </c>
      <c r="AI2739" t="n">
        <v>0</v>
      </c>
    </row>
    <row r="2740">
      <c r="A2740" t="inlineStr">
        <is>
          <t>3월</t>
        </is>
      </c>
      <c r="B2740" t="inlineStr">
        <is>
          <t>14주차</t>
        </is>
      </c>
      <c r="C2740" t="inlineStr">
        <is>
          <t>EP</t>
        </is>
      </c>
      <c r="D2740" s="28" t="n">
        <v>46111</v>
      </c>
      <c r="E2740" t="inlineStr">
        <is>
          <t>BNKEP</t>
        </is>
      </c>
      <c r="F2740" t="inlineStr">
        <is>
          <t>김상철</t>
        </is>
      </c>
      <c r="G2740" t="inlineStr">
        <is>
          <t>010-4224-2624</t>
        </is>
      </c>
      <c r="H2740" t="inlineStr">
        <is>
          <t>03우0113</t>
        </is>
      </c>
      <c r="I2740" t="n">
        <v>10900000</v>
      </c>
      <c r="J2740" t="n">
        <v>0.07099999999999999</v>
      </c>
      <c r="K2740" t="n">
        <v>1.65</v>
      </c>
      <c r="L2740" t="n">
        <v>0.14</v>
      </c>
      <c r="M2740" t="n">
        <v>1.51</v>
      </c>
      <c r="P2740" t="inlineStr">
        <is>
          <t>정광호</t>
        </is>
      </c>
      <c r="Q2740" t="inlineStr">
        <is>
          <t>홈서비스 60개월</t>
        </is>
      </c>
      <c r="AB2740" t="inlineStr">
        <is>
          <t>홈서비스</t>
        </is>
      </c>
      <c r="AC2740" t="n">
        <v>179850</v>
      </c>
      <c r="AD2740" t="n">
        <v>15260</v>
      </c>
      <c r="AE2740" t="n">
        <v>164590</v>
      </c>
      <c r="AF2740" t="n">
        <v>163500</v>
      </c>
      <c r="AG2740" t="n">
        <v>14756.42</v>
      </c>
      <c r="AH2740" t="n">
        <v>148743.58</v>
      </c>
      <c r="AI2740" t="n">
        <v>0</v>
      </c>
    </row>
    <row r="2741">
      <c r="A2741" t="inlineStr">
        <is>
          <t>3월</t>
        </is>
      </c>
      <c r="B2741" t="inlineStr">
        <is>
          <t>14주차</t>
        </is>
      </c>
      <c r="C2741" t="inlineStr">
        <is>
          <t>EP</t>
        </is>
      </c>
      <c r="D2741" s="28" t="n">
        <v>46111</v>
      </c>
      <c r="E2741" t="inlineStr">
        <is>
          <t>제이비EP</t>
        </is>
      </c>
      <c r="F2741" t="inlineStr">
        <is>
          <t>허태용</t>
        </is>
      </c>
      <c r="G2741" t="inlineStr">
        <is>
          <t>010-3565-7468</t>
        </is>
      </c>
      <c r="H2741" t="inlineStr">
        <is>
          <t>291노2173</t>
        </is>
      </c>
      <c r="I2741" t="n">
        <v>18100000</v>
      </c>
      <c r="J2741" t="n">
        <v>0.11</v>
      </c>
      <c r="K2741" t="n">
        <v>1.65</v>
      </c>
      <c r="L2741" t="n">
        <v>0.14</v>
      </c>
      <c r="M2741" t="n">
        <v>1.51</v>
      </c>
      <c r="P2741" t="inlineStr">
        <is>
          <t>장현경</t>
        </is>
      </c>
      <c r="Q2741" t="inlineStr">
        <is>
          <t>선상담 / 홈서비스 60개월</t>
        </is>
      </c>
      <c r="AB2741" t="inlineStr">
        <is>
          <t>홈서비스</t>
        </is>
      </c>
      <c r="AC2741" t="n">
        <v>298650</v>
      </c>
      <c r="AD2741" t="n">
        <v>25340</v>
      </c>
      <c r="AE2741" t="n">
        <v>273310</v>
      </c>
      <c r="AF2741" t="n">
        <v>271500</v>
      </c>
      <c r="AG2741" t="n">
        <v>24503.78</v>
      </c>
      <c r="AH2741" t="n">
        <v>246996.22</v>
      </c>
      <c r="AI2741" t="n">
        <v>0</v>
      </c>
    </row>
    <row r="2742">
      <c r="A2742" t="inlineStr">
        <is>
          <t>3월</t>
        </is>
      </c>
      <c r="B2742" t="inlineStr">
        <is>
          <t>13주차</t>
        </is>
      </c>
      <c r="C2742" t="inlineStr">
        <is>
          <t>IM</t>
        </is>
      </c>
      <c r="D2742" s="28" t="n">
        <v>46109</v>
      </c>
      <c r="E2742" t="inlineStr">
        <is>
          <t>IM캐피탈</t>
        </is>
      </c>
      <c r="F2742" t="inlineStr">
        <is>
          <t>이민영</t>
        </is>
      </c>
      <c r="G2742" t="inlineStr">
        <is>
          <t>010-2336-6821</t>
        </is>
      </c>
      <c r="H2742" t="inlineStr">
        <is>
          <t>139오8872</t>
        </is>
      </c>
      <c r="I2742" t="n">
        <v>17000000</v>
      </c>
      <c r="J2742" t="n">
        <v>0.08599999999999999</v>
      </c>
      <c r="K2742" t="n">
        <v>1.1</v>
      </c>
      <c r="L2742" t="n">
        <v>0.14</v>
      </c>
      <c r="M2742" t="n">
        <v>0.96</v>
      </c>
      <c r="P2742" t="inlineStr">
        <is>
          <t>최혁</t>
        </is>
      </c>
      <c r="AB2742" t="inlineStr">
        <is>
          <t>믿고</t>
        </is>
      </c>
      <c r="AC2742" t="n">
        <v>187000</v>
      </c>
      <c r="AD2742" t="n">
        <v>23800</v>
      </c>
      <c r="AE2742" t="n">
        <v>163200</v>
      </c>
      <c r="AF2742" t="n">
        <v>170000</v>
      </c>
      <c r="AG2742" t="n">
        <v>23014.6</v>
      </c>
      <c r="AH2742" t="n">
        <v>146985.4</v>
      </c>
      <c r="AI2742" t="n">
        <v>0</v>
      </c>
    </row>
    <row r="2743">
      <c r="A2743" t="inlineStr">
        <is>
          <t>3월</t>
        </is>
      </c>
      <c r="B2743" t="inlineStr">
        <is>
          <t>13주차</t>
        </is>
      </c>
      <c r="C2743" t="inlineStr">
        <is>
          <t>EP</t>
        </is>
      </c>
      <c r="D2743" s="28" t="n">
        <v>46109</v>
      </c>
      <c r="E2743" t="inlineStr">
        <is>
          <t>현대EP</t>
        </is>
      </c>
      <c r="F2743" t="inlineStr">
        <is>
          <t>장경재</t>
        </is>
      </c>
      <c r="G2743" t="inlineStr">
        <is>
          <t>010-5362-3656</t>
        </is>
      </c>
      <c r="H2743" t="inlineStr">
        <is>
          <t>19거2423</t>
        </is>
      </c>
      <c r="I2743" t="n">
        <v>6200000</v>
      </c>
      <c r="J2743" t="n">
        <v>0.07099999999999999</v>
      </c>
      <c r="K2743" t="n">
        <v>1.76</v>
      </c>
      <c r="L2743" t="n">
        <v>0.14</v>
      </c>
      <c r="M2743" t="n">
        <v>1.62</v>
      </c>
      <c r="P2743" t="inlineStr">
        <is>
          <t>정세빈</t>
        </is>
      </c>
      <c r="Q2743" t="inlineStr">
        <is>
          <t>홈서비스 24개월</t>
        </is>
      </c>
      <c r="AB2743" t="inlineStr">
        <is>
          <t>홈서비스</t>
        </is>
      </c>
      <c r="AC2743" t="n">
        <v>109120</v>
      </c>
      <c r="AD2743" t="n">
        <v>8680</v>
      </c>
      <c r="AE2743" t="n">
        <v>100440</v>
      </c>
      <c r="AF2743" t="n">
        <v>99200</v>
      </c>
      <c r="AG2743" t="n">
        <v>8393.559999999999</v>
      </c>
      <c r="AH2743" t="n">
        <v>90806.44</v>
      </c>
      <c r="AI2743" t="n">
        <v>0</v>
      </c>
    </row>
    <row r="2744">
      <c r="A2744" t="inlineStr">
        <is>
          <t>3월</t>
        </is>
      </c>
      <c r="B2744" t="inlineStr">
        <is>
          <t>12주차</t>
        </is>
      </c>
      <c r="C2744" t="inlineStr">
        <is>
          <t>EP</t>
        </is>
      </c>
      <c r="D2744" s="28" t="n">
        <v>46101</v>
      </c>
      <c r="E2744" t="inlineStr">
        <is>
          <t>현대EP</t>
        </is>
      </c>
      <c r="F2744" t="inlineStr">
        <is>
          <t>윤진우</t>
        </is>
      </c>
      <c r="G2744" t="inlineStr">
        <is>
          <t>010-8568-6021</t>
        </is>
      </c>
      <c r="H2744" t="inlineStr">
        <is>
          <t>48가9428</t>
        </is>
      </c>
      <c r="I2744" t="n">
        <v>8800000</v>
      </c>
      <c r="J2744" t="n">
        <v>0.07099999999999999</v>
      </c>
      <c r="K2744" t="n">
        <v>1.76</v>
      </c>
      <c r="L2744" t="n">
        <v>0.14</v>
      </c>
      <c r="M2744" t="n">
        <v>1.62</v>
      </c>
      <c r="P2744" t="inlineStr">
        <is>
          <t>최형주</t>
        </is>
      </c>
      <c r="Q2744" t="inlineStr">
        <is>
          <t>홈서비스 60개월</t>
        </is>
      </c>
      <c r="AB2744" t="inlineStr">
        <is>
          <t>홈서비스</t>
        </is>
      </c>
      <c r="AC2744" t="n">
        <v>154880</v>
      </c>
      <c r="AD2744" t="n">
        <v>12320</v>
      </c>
      <c r="AE2744" t="n">
        <v>142560</v>
      </c>
      <c r="AF2744" t="n">
        <v>140800</v>
      </c>
      <c r="AG2744" t="n">
        <v>11913.44</v>
      </c>
      <c r="AH2744" t="n">
        <v>128886.56</v>
      </c>
      <c r="AI2744" t="n">
        <v>0</v>
      </c>
    </row>
    <row r="2745">
      <c r="A2745" t="inlineStr">
        <is>
          <t>3월</t>
        </is>
      </c>
      <c r="B2745" t="inlineStr">
        <is>
          <t>13주차</t>
        </is>
      </c>
      <c r="C2745" t="inlineStr">
        <is>
          <t>EP</t>
        </is>
      </c>
      <c r="D2745" s="28" t="n">
        <v>46107</v>
      </c>
      <c r="E2745" t="inlineStr">
        <is>
          <t>BNKEP</t>
        </is>
      </c>
      <c r="F2745" t="inlineStr">
        <is>
          <t>서문성민</t>
        </is>
      </c>
      <c r="G2745" t="inlineStr">
        <is>
          <t>010-5449-2001</t>
        </is>
      </c>
      <c r="H2745" t="inlineStr">
        <is>
          <t>210무3997</t>
        </is>
      </c>
      <c r="I2745" t="n">
        <v>48500000</v>
      </c>
      <c r="J2745" t="n">
        <v>0.081</v>
      </c>
      <c r="K2745" t="n">
        <v>1.65</v>
      </c>
      <c r="L2745" t="n">
        <v>0.4</v>
      </c>
      <c r="M2745" t="n">
        <v>1.25</v>
      </c>
      <c r="P2745" t="inlineStr">
        <is>
          <t>박현민</t>
        </is>
      </c>
      <c r="AB2745" t="inlineStr">
        <is>
          <t>엔카</t>
        </is>
      </c>
      <c r="AC2745" t="n">
        <v>800250</v>
      </c>
      <c r="AD2745" t="n">
        <v>194000</v>
      </c>
      <c r="AE2745" t="n">
        <v>606250</v>
      </c>
      <c r="AF2745" t="n">
        <v>727500</v>
      </c>
      <c r="AG2745" t="n">
        <v>187598</v>
      </c>
      <c r="AH2745" t="n">
        <v>539902</v>
      </c>
      <c r="AI2745" t="n">
        <v>0</v>
      </c>
    </row>
    <row r="2746">
      <c r="A2746" t="inlineStr">
        <is>
          <t>3월</t>
        </is>
      </c>
      <c r="B2746" t="inlineStr">
        <is>
          <t>14주차</t>
        </is>
      </c>
      <c r="C2746" t="inlineStr">
        <is>
          <t>WC</t>
        </is>
      </c>
      <c r="D2746" s="28" t="n">
        <v>46111</v>
      </c>
      <c r="E2746" t="inlineStr">
        <is>
          <t>웰컴저축은행</t>
        </is>
      </c>
      <c r="F2746" t="inlineStr">
        <is>
          <t>박소현</t>
        </is>
      </c>
      <c r="G2746" t="inlineStr">
        <is>
          <t>010-2290-4522</t>
        </is>
      </c>
      <c r="H2746" t="inlineStr">
        <is>
          <t>170루3448</t>
        </is>
      </c>
      <c r="I2746" t="n">
        <v>25000000</v>
      </c>
      <c r="J2746" t="n">
        <v>0.139</v>
      </c>
      <c r="K2746" t="n">
        <v>0</v>
      </c>
      <c r="L2746" t="n">
        <v>0.14</v>
      </c>
      <c r="M2746" t="n">
        <v>-0.14</v>
      </c>
      <c r="P2746" t="inlineStr">
        <is>
          <t>장현경</t>
        </is>
      </c>
      <c r="Q2746" t="inlineStr">
        <is>
          <t>선상담 / 홈서비스 72개월</t>
        </is>
      </c>
      <c r="AB2746" t="inlineStr">
        <is>
          <t>홈서비스</t>
        </is>
      </c>
      <c r="AC2746" t="n">
        <v>0</v>
      </c>
      <c r="AD2746" t="n">
        <v>35000</v>
      </c>
      <c r="AE2746" t="n">
        <v>-35000</v>
      </c>
      <c r="AF2746" t="n">
        <v>0</v>
      </c>
      <c r="AG2746" t="n">
        <v>33845</v>
      </c>
      <c r="AH2746" t="n">
        <v>-33845</v>
      </c>
      <c r="AI2746" t="n">
        <v>0</v>
      </c>
    </row>
    <row r="2747">
      <c r="A2747" t="inlineStr">
        <is>
          <t>3월</t>
        </is>
      </c>
      <c r="B2747" t="inlineStr">
        <is>
          <t>14주차</t>
        </is>
      </c>
      <c r="C2747" t="inlineStr">
        <is>
          <t>OR</t>
        </is>
      </c>
      <c r="D2747" s="28" t="n">
        <v>46111</v>
      </c>
      <c r="E2747" t="inlineStr">
        <is>
          <t>오릭스</t>
        </is>
      </c>
      <c r="F2747" t="inlineStr">
        <is>
          <t>조종신</t>
        </is>
      </c>
      <c r="G2747" t="inlineStr">
        <is>
          <t>010-4157-5750</t>
        </is>
      </c>
      <c r="H2747" t="inlineStr">
        <is>
          <t>313노6780</t>
        </is>
      </c>
      <c r="I2747" t="n">
        <v>10000000</v>
      </c>
      <c r="J2747" t="n">
        <v>0.064</v>
      </c>
      <c r="K2747" t="n">
        <v>1.65</v>
      </c>
      <c r="L2747" t="n">
        <v>0.14</v>
      </c>
      <c r="M2747" t="n">
        <v>1.51</v>
      </c>
      <c r="P2747" t="inlineStr">
        <is>
          <t>정세빈</t>
        </is>
      </c>
      <c r="Q2747" t="inlineStr">
        <is>
          <t>홈서비스 60개월</t>
        </is>
      </c>
      <c r="AB2747" t="inlineStr">
        <is>
          <t>홈서비스</t>
        </is>
      </c>
      <c r="AC2747" t="n">
        <v>165000</v>
      </c>
      <c r="AD2747" t="n">
        <v>14000</v>
      </c>
      <c r="AE2747" t="n">
        <v>151000</v>
      </c>
      <c r="AF2747" t="n">
        <v>150000</v>
      </c>
      <c r="AG2747" t="n">
        <v>13538</v>
      </c>
      <c r="AH2747" t="n">
        <v>136462</v>
      </c>
      <c r="AI2747" t="n">
        <v>0</v>
      </c>
    </row>
    <row r="2748">
      <c r="A2748" t="inlineStr">
        <is>
          <t>3월</t>
        </is>
      </c>
      <c r="B2748" t="inlineStr">
        <is>
          <t>14주차</t>
        </is>
      </c>
      <c r="C2748" t="inlineStr">
        <is>
          <t>IM</t>
        </is>
      </c>
      <c r="D2748" s="28" t="n">
        <v>46111</v>
      </c>
      <c r="E2748" t="inlineStr">
        <is>
          <t>IM캐피탈</t>
        </is>
      </c>
      <c r="F2748" t="inlineStr">
        <is>
          <t>도유리</t>
        </is>
      </c>
      <c r="G2748" t="inlineStr">
        <is>
          <t>010-6591-2034</t>
        </is>
      </c>
      <c r="H2748" t="inlineStr">
        <is>
          <t>32오0409</t>
        </is>
      </c>
      <c r="I2748" t="n">
        <v>6000000</v>
      </c>
      <c r="J2748" t="n">
        <v>0.056</v>
      </c>
      <c r="K2748" t="n">
        <v>1.1</v>
      </c>
      <c r="L2748" t="n">
        <v>0.14</v>
      </c>
      <c r="M2748" t="n">
        <v>0.96</v>
      </c>
      <c r="P2748" t="inlineStr">
        <is>
          <t>김수연</t>
        </is>
      </c>
      <c r="Q2748" t="inlineStr">
        <is>
          <t>홈서비스 48개월</t>
        </is>
      </c>
      <c r="AB2748" t="inlineStr">
        <is>
          <t>홈서비스</t>
        </is>
      </c>
      <c r="AC2748" t="n">
        <v>66000</v>
      </c>
      <c r="AD2748" t="n">
        <v>8400</v>
      </c>
      <c r="AE2748" t="n">
        <v>57600</v>
      </c>
      <c r="AF2748" t="n">
        <v>60000</v>
      </c>
      <c r="AG2748" t="n">
        <v>8122.8</v>
      </c>
      <c r="AH2748" t="n">
        <v>51877.2</v>
      </c>
      <c r="AI2748" t="n">
        <v>0</v>
      </c>
    </row>
    <row r="2749">
      <c r="A2749" t="inlineStr">
        <is>
          <t>3월</t>
        </is>
      </c>
      <c r="B2749" t="inlineStr">
        <is>
          <t>14주차</t>
        </is>
      </c>
      <c r="C2749" t="inlineStr">
        <is>
          <t>IM</t>
        </is>
      </c>
      <c r="D2749" s="28" t="n">
        <v>46111</v>
      </c>
      <c r="E2749" t="inlineStr">
        <is>
          <t>IM캐피탈</t>
        </is>
      </c>
      <c r="F2749" t="inlineStr">
        <is>
          <t>임정섭</t>
        </is>
      </c>
      <c r="G2749" t="inlineStr">
        <is>
          <t>010-4782-2695</t>
        </is>
      </c>
      <c r="H2749" t="inlineStr">
        <is>
          <t>313다2423</t>
        </is>
      </c>
      <c r="I2749" t="n">
        <v>22000000</v>
      </c>
      <c r="J2749" t="n">
        <v>0.049</v>
      </c>
      <c r="K2749" t="n">
        <v>1.1</v>
      </c>
      <c r="L2749" t="n">
        <v>0.14</v>
      </c>
      <c r="M2749" t="n">
        <v>0.96</v>
      </c>
      <c r="P2749" t="inlineStr">
        <is>
          <t>박보람</t>
        </is>
      </c>
      <c r="Q2749" t="inlineStr">
        <is>
          <t>선상담 / 홈서비스 60개월</t>
        </is>
      </c>
      <c r="AB2749" t="inlineStr">
        <is>
          <t>홈서비스</t>
        </is>
      </c>
      <c r="AC2749" t="n">
        <v>242000</v>
      </c>
      <c r="AD2749" t="n">
        <v>30800</v>
      </c>
      <c r="AE2749" t="n">
        <v>211200</v>
      </c>
      <c r="AF2749" t="n">
        <v>220000</v>
      </c>
      <c r="AG2749" t="n">
        <v>29783.6</v>
      </c>
      <c r="AH2749" t="n">
        <v>190216.4</v>
      </c>
      <c r="AI2749" t="n">
        <v>0</v>
      </c>
    </row>
    <row r="2750">
      <c r="A2750" t="inlineStr">
        <is>
          <t>3월</t>
        </is>
      </c>
      <c r="B2750" t="inlineStr">
        <is>
          <t>14주차</t>
        </is>
      </c>
      <c r="C2750" t="inlineStr">
        <is>
          <t>WC</t>
        </is>
      </c>
      <c r="D2750" s="28" t="n">
        <v>46111</v>
      </c>
      <c r="E2750" t="inlineStr">
        <is>
          <t>웰컴저축은행</t>
        </is>
      </c>
      <c r="F2750" t="inlineStr">
        <is>
          <t>이현우</t>
        </is>
      </c>
      <c r="G2750" t="inlineStr">
        <is>
          <t>010-5191-0062</t>
        </is>
      </c>
      <c r="H2750" t="inlineStr">
        <is>
          <t>84어2006</t>
        </is>
      </c>
      <c r="I2750" t="n">
        <v>14600000</v>
      </c>
      <c r="J2750" t="n">
        <v>0.159</v>
      </c>
      <c r="K2750" t="n">
        <v>0</v>
      </c>
      <c r="L2750" t="n">
        <v>0.5</v>
      </c>
      <c r="M2750" t="n">
        <v>-0.5</v>
      </c>
      <c r="P2750" t="inlineStr">
        <is>
          <t>정하은</t>
        </is>
      </c>
      <c r="Q2750" t="inlineStr">
        <is>
          <t>부대비용추가진행</t>
        </is>
      </c>
      <c r="AB2750" t="inlineStr">
        <is>
          <t>엔카</t>
        </is>
      </c>
      <c r="AC2750" t="n">
        <v>0</v>
      </c>
      <c r="AD2750" t="n">
        <v>73000</v>
      </c>
      <c r="AE2750" t="n">
        <v>-73000</v>
      </c>
      <c r="AF2750" t="n">
        <v>0</v>
      </c>
      <c r="AG2750" t="n">
        <v>70591</v>
      </c>
      <c r="AH2750" t="n">
        <v>-70591</v>
      </c>
      <c r="AI2750" t="n">
        <v>0</v>
      </c>
    </row>
    <row r="2751">
      <c r="A2751" t="inlineStr">
        <is>
          <t>3월</t>
        </is>
      </c>
      <c r="B2751" t="inlineStr">
        <is>
          <t>14주차</t>
        </is>
      </c>
      <c r="C2751" t="inlineStr">
        <is>
          <t>EP</t>
        </is>
      </c>
      <c r="D2751" s="28" t="n">
        <v>46111</v>
      </c>
      <c r="E2751" t="inlineStr">
        <is>
          <t>현대EP_fast</t>
        </is>
      </c>
      <c r="F2751" t="inlineStr">
        <is>
          <t>윤형민</t>
        </is>
      </c>
      <c r="G2751" t="inlineStr">
        <is>
          <t>010-2469-0360</t>
        </is>
      </c>
      <c r="H2751" t="inlineStr">
        <is>
          <t>31머2154</t>
        </is>
      </c>
      <c r="I2751" t="n">
        <v>10000000</v>
      </c>
      <c r="J2751" t="n">
        <v>0.07099999999999999</v>
      </c>
      <c r="K2751" t="n">
        <v>1.76</v>
      </c>
      <c r="L2751" t="n">
        <v>0.14</v>
      </c>
      <c r="M2751" t="n">
        <v>1.62</v>
      </c>
      <c r="P2751" t="inlineStr">
        <is>
          <t>김수연</t>
        </is>
      </c>
      <c r="Q2751" t="inlineStr">
        <is>
          <t>홈서비스 24개월</t>
        </is>
      </c>
      <c r="AB2751" t="inlineStr">
        <is>
          <t>홈서비스</t>
        </is>
      </c>
      <c r="AC2751" t="n">
        <v>176000</v>
      </c>
      <c r="AD2751" t="n">
        <v>14000</v>
      </c>
      <c r="AE2751" t="n">
        <v>162000</v>
      </c>
      <c r="AF2751" t="n">
        <v>160000</v>
      </c>
      <c r="AG2751" t="n">
        <v>13538</v>
      </c>
      <c r="AH2751" t="n">
        <v>146462</v>
      </c>
      <c r="AI2751" t="n">
        <v>0</v>
      </c>
    </row>
    <row r="2752">
      <c r="A2752" t="inlineStr">
        <is>
          <t>3월</t>
        </is>
      </c>
      <c r="B2752" t="inlineStr">
        <is>
          <t>14주차</t>
        </is>
      </c>
      <c r="C2752" t="inlineStr">
        <is>
          <t>EP</t>
        </is>
      </c>
      <c r="D2752" s="28" t="n">
        <v>46111</v>
      </c>
      <c r="E2752" t="inlineStr">
        <is>
          <t>BNKEP</t>
        </is>
      </c>
      <c r="F2752" t="inlineStr">
        <is>
          <t>성정우</t>
        </is>
      </c>
      <c r="G2752" t="inlineStr">
        <is>
          <t>010-8853-8083</t>
        </is>
      </c>
      <c r="H2752" t="inlineStr">
        <is>
          <t>274너3484</t>
        </is>
      </c>
      <c r="I2752" t="n">
        <v>15000000</v>
      </c>
      <c r="J2752" t="n">
        <v>0.106</v>
      </c>
      <c r="K2752" t="n">
        <v>1.65</v>
      </c>
      <c r="L2752" t="n">
        <v>0.5</v>
      </c>
      <c r="M2752" t="n">
        <v>1.15</v>
      </c>
      <c r="P2752" t="inlineStr">
        <is>
          <t>정하은</t>
        </is>
      </c>
      <c r="Q2752" t="inlineStr">
        <is>
          <t>부대비용추가진행</t>
        </is>
      </c>
      <c r="AB2752" t="inlineStr">
        <is>
          <t>엔카</t>
        </is>
      </c>
      <c r="AC2752" t="n">
        <v>247500</v>
      </c>
      <c r="AD2752" t="n">
        <v>75000</v>
      </c>
      <c r="AE2752" t="n">
        <v>172500</v>
      </c>
      <c r="AF2752" t="n">
        <v>225000</v>
      </c>
      <c r="AG2752" t="n">
        <v>72525</v>
      </c>
      <c r="AH2752" t="n">
        <v>152475</v>
      </c>
      <c r="AI2752" t="n">
        <v>0</v>
      </c>
    </row>
    <row r="2753">
      <c r="A2753" t="inlineStr">
        <is>
          <t>3월</t>
        </is>
      </c>
      <c r="B2753" t="inlineStr">
        <is>
          <t>14주차</t>
        </is>
      </c>
      <c r="C2753" t="inlineStr">
        <is>
          <t>OR</t>
        </is>
      </c>
      <c r="D2753" s="28" t="n">
        <v>46111</v>
      </c>
      <c r="E2753" t="inlineStr">
        <is>
          <t>오릭스</t>
        </is>
      </c>
      <c r="F2753" t="inlineStr">
        <is>
          <t>박승인</t>
        </is>
      </c>
      <c r="G2753" t="inlineStr">
        <is>
          <t>010-8534-8433</t>
        </is>
      </c>
      <c r="H2753" t="inlineStr">
        <is>
          <t>177나8615</t>
        </is>
      </c>
      <c r="I2753" t="n">
        <v>23000000</v>
      </c>
      <c r="J2753" t="n">
        <v>0.055</v>
      </c>
      <c r="K2753" t="n">
        <v>1.65</v>
      </c>
      <c r="L2753" t="n">
        <v>0.4</v>
      </c>
      <c r="M2753" t="n">
        <v>1.25</v>
      </c>
      <c r="P2753" t="inlineStr">
        <is>
          <t>황채이</t>
        </is>
      </c>
      <c r="AB2753" t="inlineStr">
        <is>
          <t>엔카</t>
        </is>
      </c>
      <c r="AC2753" t="n">
        <v>379500</v>
      </c>
      <c r="AD2753" t="n">
        <v>92000</v>
      </c>
      <c r="AE2753" t="n">
        <v>287500</v>
      </c>
      <c r="AF2753" t="n">
        <v>345000</v>
      </c>
      <c r="AG2753" t="n">
        <v>88964</v>
      </c>
      <c r="AH2753" t="n">
        <v>256036</v>
      </c>
      <c r="AI2753" t="n">
        <v>0</v>
      </c>
    </row>
    <row r="2754">
      <c r="A2754" t="inlineStr">
        <is>
          <t>3월</t>
        </is>
      </c>
      <c r="B2754" t="inlineStr">
        <is>
          <t>14주차</t>
        </is>
      </c>
      <c r="C2754" t="inlineStr">
        <is>
          <t>EP</t>
        </is>
      </c>
      <c r="D2754" s="28" t="n">
        <v>46111</v>
      </c>
      <c r="E2754" t="inlineStr">
        <is>
          <t>BNKEP</t>
        </is>
      </c>
      <c r="F2754" t="inlineStr">
        <is>
          <t>이명진</t>
        </is>
      </c>
      <c r="G2754" t="inlineStr">
        <is>
          <t>010-6330-5269</t>
        </is>
      </c>
      <c r="H2754" t="inlineStr">
        <is>
          <t>73머5525</t>
        </is>
      </c>
      <c r="I2754" t="n">
        <v>6800000</v>
      </c>
      <c r="J2754" t="n">
        <v>0.077</v>
      </c>
      <c r="K2754" t="n">
        <v>1.65</v>
      </c>
      <c r="L2754" t="n">
        <v>0.14</v>
      </c>
      <c r="M2754" t="n">
        <v>1.51</v>
      </c>
      <c r="P2754" t="inlineStr">
        <is>
          <t>김나윤</t>
        </is>
      </c>
      <c r="Q2754" t="inlineStr">
        <is>
          <t>선상담 / 홈서비스 60개월</t>
        </is>
      </c>
      <c r="AB2754" t="inlineStr">
        <is>
          <t>홈서비스</t>
        </is>
      </c>
      <c r="AC2754" t="n">
        <v>112200</v>
      </c>
      <c r="AD2754" t="n">
        <v>9520</v>
      </c>
      <c r="AE2754" t="n">
        <v>102680</v>
      </c>
      <c r="AF2754" t="n">
        <v>102000</v>
      </c>
      <c r="AG2754" t="n">
        <v>9205.84</v>
      </c>
      <c r="AH2754" t="n">
        <v>92794.16</v>
      </c>
      <c r="AI2754" t="n">
        <v>0</v>
      </c>
    </row>
    <row r="2755">
      <c r="A2755" t="inlineStr">
        <is>
          <t>3월</t>
        </is>
      </c>
      <c r="B2755" t="inlineStr">
        <is>
          <t>14주차</t>
        </is>
      </c>
      <c r="C2755" t="inlineStr">
        <is>
          <t>EP</t>
        </is>
      </c>
      <c r="D2755" s="28" t="n">
        <v>46111</v>
      </c>
      <c r="E2755" t="inlineStr">
        <is>
          <t>제이비EP</t>
        </is>
      </c>
      <c r="F2755" t="inlineStr">
        <is>
          <t>윤수진</t>
        </is>
      </c>
      <c r="G2755" t="inlineStr">
        <is>
          <t>010-7107-5887</t>
        </is>
      </c>
      <c r="H2755" t="inlineStr">
        <is>
          <t>08누4481</t>
        </is>
      </c>
      <c r="I2755" t="n">
        <v>4400000</v>
      </c>
      <c r="J2755" t="n">
        <v>0.07199999999999999</v>
      </c>
      <c r="K2755" t="n">
        <v>1.65</v>
      </c>
      <c r="L2755" t="n">
        <v>0.4</v>
      </c>
      <c r="M2755" t="n">
        <v>1.25</v>
      </c>
      <c r="P2755" t="inlineStr">
        <is>
          <t>임대경</t>
        </is>
      </c>
      <c r="AB2755" t="inlineStr">
        <is>
          <t>엔카</t>
        </is>
      </c>
      <c r="AC2755" t="n">
        <v>72600</v>
      </c>
      <c r="AD2755" t="n">
        <v>17600</v>
      </c>
      <c r="AE2755" t="n">
        <v>55000</v>
      </c>
      <c r="AF2755" t="n">
        <v>66000</v>
      </c>
      <c r="AG2755" t="n">
        <v>17019.2</v>
      </c>
      <c r="AH2755" t="n">
        <v>48980.8</v>
      </c>
    </row>
    <row r="2756">
      <c r="A2756" t="inlineStr">
        <is>
          <t>3월</t>
        </is>
      </c>
      <c r="B2756" t="inlineStr">
        <is>
          <t>14주차</t>
        </is>
      </c>
      <c r="C2756" t="inlineStr">
        <is>
          <t>EP</t>
        </is>
      </c>
      <c r="D2756" s="28" t="n">
        <v>46111</v>
      </c>
      <c r="E2756" t="inlineStr">
        <is>
          <t>현대EP_fast</t>
        </is>
      </c>
      <c r="F2756" t="inlineStr">
        <is>
          <t>박종복</t>
        </is>
      </c>
      <c r="G2756" t="inlineStr">
        <is>
          <t>010-7661-3216</t>
        </is>
      </c>
      <c r="H2756" t="inlineStr">
        <is>
          <t>02너0934</t>
        </is>
      </c>
      <c r="I2756" t="n">
        <v>4000000</v>
      </c>
      <c r="J2756" t="n">
        <v>0.07099999999999999</v>
      </c>
      <c r="K2756" t="n">
        <v>1.76</v>
      </c>
      <c r="L2756" t="n">
        <v>0.14</v>
      </c>
      <c r="M2756" t="n">
        <v>1.62</v>
      </c>
      <c r="P2756" t="inlineStr">
        <is>
          <t>정광호</t>
        </is>
      </c>
      <c r="Q2756" t="inlineStr">
        <is>
          <t>홈서비스 48개월</t>
        </is>
      </c>
      <c r="AB2756" t="inlineStr">
        <is>
          <t>홈서비스</t>
        </is>
      </c>
      <c r="AC2756" t="n">
        <v>70400</v>
      </c>
      <c r="AD2756" t="n">
        <v>5600</v>
      </c>
      <c r="AE2756" t="n">
        <v>64800</v>
      </c>
      <c r="AF2756" t="n">
        <v>64000</v>
      </c>
      <c r="AG2756" t="n">
        <v>5415.2</v>
      </c>
      <c r="AH2756" t="n">
        <v>58584.8</v>
      </c>
    </row>
    <row r="2757">
      <c r="A2757" t="inlineStr">
        <is>
          <t>3월</t>
        </is>
      </c>
      <c r="B2757" t="inlineStr">
        <is>
          <t>14주차</t>
        </is>
      </c>
      <c r="C2757" t="inlineStr">
        <is>
          <t>IM</t>
        </is>
      </c>
      <c r="D2757" s="28" t="n">
        <v>46111</v>
      </c>
      <c r="E2757" t="inlineStr">
        <is>
          <t>IM캐피탈</t>
        </is>
      </c>
      <c r="F2757" t="inlineStr">
        <is>
          <t>이민호</t>
        </is>
      </c>
      <c r="G2757" t="inlineStr">
        <is>
          <t>010-5772-3716</t>
        </is>
      </c>
      <c r="H2757" t="inlineStr">
        <is>
          <t>01버5453</t>
        </is>
      </c>
      <c r="I2757" t="n">
        <v>20000000</v>
      </c>
      <c r="J2757" t="n">
        <v>0.056</v>
      </c>
      <c r="K2757" t="n">
        <v>1.1</v>
      </c>
      <c r="L2757" t="n">
        <v>0.14</v>
      </c>
      <c r="M2757" t="n">
        <v>0.96</v>
      </c>
      <c r="P2757" t="inlineStr">
        <is>
          <t>김나윤</t>
        </is>
      </c>
      <c r="Q2757" t="inlineStr">
        <is>
          <t>홈서비스 60개월</t>
        </is>
      </c>
      <c r="AB2757" t="inlineStr">
        <is>
          <t>홈서비스</t>
        </is>
      </c>
      <c r="AC2757" t="n">
        <v>220000</v>
      </c>
      <c r="AD2757" t="n">
        <v>28000</v>
      </c>
      <c r="AE2757" t="n">
        <v>192000</v>
      </c>
      <c r="AF2757" t="n">
        <v>200000</v>
      </c>
      <c r="AG2757" t="n">
        <v>27076</v>
      </c>
      <c r="AH2757" t="n">
        <v>172924</v>
      </c>
    </row>
    <row r="2758">
      <c r="A2758" t="inlineStr">
        <is>
          <t>3월</t>
        </is>
      </c>
      <c r="B2758" t="inlineStr">
        <is>
          <t>14주차</t>
        </is>
      </c>
      <c r="C2758" t="inlineStr">
        <is>
          <t>EP</t>
        </is>
      </c>
      <c r="D2758" s="28" t="n">
        <v>46111</v>
      </c>
      <c r="E2758" t="inlineStr">
        <is>
          <t>현대EP</t>
        </is>
      </c>
      <c r="F2758" t="inlineStr">
        <is>
          <t>김영미</t>
        </is>
      </c>
      <c r="G2758" t="inlineStr">
        <is>
          <t>010-2803-0227</t>
        </is>
      </c>
      <c r="H2758" t="inlineStr">
        <is>
          <t>250누1754</t>
        </is>
      </c>
      <c r="I2758" t="n">
        <v>25200000</v>
      </c>
      <c r="J2758" t="n">
        <v>0.105</v>
      </c>
      <c r="K2758" t="n">
        <v>1.76</v>
      </c>
      <c r="L2758" t="n">
        <v>0.14</v>
      </c>
      <c r="M2758" t="n">
        <v>1.62</v>
      </c>
      <c r="P2758" t="inlineStr">
        <is>
          <t>김나윤</t>
        </is>
      </c>
      <c r="Q2758" t="inlineStr">
        <is>
          <t>홈서비스 60개월</t>
        </is>
      </c>
      <c r="AB2758" t="inlineStr">
        <is>
          <t>홈서비스</t>
        </is>
      </c>
      <c r="AC2758" t="n">
        <v>443520</v>
      </c>
      <c r="AD2758" t="n">
        <v>35280</v>
      </c>
      <c r="AE2758" t="n">
        <v>408240</v>
      </c>
      <c r="AF2758" t="n">
        <v>403200</v>
      </c>
      <c r="AG2758" t="n">
        <v>34115.76</v>
      </c>
      <c r="AH2758" t="n">
        <v>369084.24</v>
      </c>
    </row>
    <row r="2759">
      <c r="A2759" t="inlineStr">
        <is>
          <t>3월</t>
        </is>
      </c>
      <c r="B2759" t="inlineStr">
        <is>
          <t>14주차</t>
        </is>
      </c>
      <c r="C2759" t="inlineStr">
        <is>
          <t>EP</t>
        </is>
      </c>
      <c r="D2759" s="28" t="n">
        <v>46111</v>
      </c>
      <c r="E2759" t="inlineStr">
        <is>
          <t>현대EP</t>
        </is>
      </c>
      <c r="F2759" t="inlineStr">
        <is>
          <t>박성진</t>
        </is>
      </c>
      <c r="G2759" t="inlineStr">
        <is>
          <t>010-2339-7581</t>
        </is>
      </c>
      <c r="H2759" t="inlineStr">
        <is>
          <t>300서1778</t>
        </is>
      </c>
      <c r="I2759" t="n">
        <v>28900000</v>
      </c>
      <c r="J2759" t="n">
        <v>0.07199999999999999</v>
      </c>
      <c r="K2759" t="n">
        <v>1.76</v>
      </c>
      <c r="L2759" t="n">
        <v>0.14</v>
      </c>
      <c r="M2759" t="n">
        <v>1.62</v>
      </c>
      <c r="P2759" t="inlineStr">
        <is>
          <t>김나윤</t>
        </is>
      </c>
      <c r="Q2759" t="inlineStr">
        <is>
          <t>홈서비스 60개월</t>
        </is>
      </c>
      <c r="AB2759" t="inlineStr">
        <is>
          <t>홈서비스</t>
        </is>
      </c>
      <c r="AC2759" t="n">
        <v>508640</v>
      </c>
      <c r="AD2759" t="n">
        <v>40460</v>
      </c>
      <c r="AE2759" t="n">
        <v>468180</v>
      </c>
      <c r="AF2759" t="n">
        <v>462400</v>
      </c>
      <c r="AG2759" t="n">
        <v>39124.82</v>
      </c>
      <c r="AH2759" t="n">
        <v>423275.18</v>
      </c>
      <c r="AI2759" t="n">
        <v>0</v>
      </c>
    </row>
    <row r="2760">
      <c r="A2760" t="inlineStr">
        <is>
          <t>3월</t>
        </is>
      </c>
      <c r="B2760" t="inlineStr">
        <is>
          <t>14주차</t>
        </is>
      </c>
      <c r="C2760" t="inlineStr">
        <is>
          <t>EP</t>
        </is>
      </c>
      <c r="D2760" s="28" t="n">
        <v>46111</v>
      </c>
      <c r="E2760" t="inlineStr">
        <is>
          <t>BNKEP</t>
        </is>
      </c>
      <c r="F2760" t="inlineStr">
        <is>
          <t>정경훈</t>
        </is>
      </c>
      <c r="G2760" t="inlineStr">
        <is>
          <t>010-4441-6314</t>
        </is>
      </c>
      <c r="H2760" t="inlineStr">
        <is>
          <t>37부8818</t>
        </is>
      </c>
      <c r="I2760" t="n">
        <v>4900000</v>
      </c>
      <c r="J2760" t="n">
        <v>0.07199999999999999</v>
      </c>
      <c r="K2760" t="n">
        <v>1.65</v>
      </c>
      <c r="L2760" t="n">
        <v>0.14</v>
      </c>
      <c r="M2760" t="n">
        <v>1.51</v>
      </c>
      <c r="P2760" t="inlineStr">
        <is>
          <t>정광호</t>
        </is>
      </c>
      <c r="Q2760" t="inlineStr">
        <is>
          <t>홈서비스 36개월</t>
        </is>
      </c>
      <c r="AB2760" t="inlineStr">
        <is>
          <t>홈서비스</t>
        </is>
      </c>
      <c r="AC2760" t="n">
        <v>80850</v>
      </c>
      <c r="AD2760" t="n">
        <v>6860</v>
      </c>
      <c r="AE2760" t="n">
        <v>73990</v>
      </c>
      <c r="AF2760" t="n">
        <v>73500</v>
      </c>
      <c r="AG2760" t="n">
        <v>6633.62</v>
      </c>
      <c r="AH2760" t="n">
        <v>66866.38</v>
      </c>
      <c r="AI2760" t="n">
        <v>0</v>
      </c>
    </row>
    <row r="2761">
      <c r="A2761" t="inlineStr">
        <is>
          <t>3월</t>
        </is>
      </c>
      <c r="B2761" t="inlineStr">
        <is>
          <t>14주차</t>
        </is>
      </c>
      <c r="C2761" t="inlineStr">
        <is>
          <t>IM</t>
        </is>
      </c>
      <c r="D2761" s="28" t="n">
        <v>46111</v>
      </c>
      <c r="E2761" t="inlineStr">
        <is>
          <t>IM캐피탈</t>
        </is>
      </c>
      <c r="F2761" t="inlineStr">
        <is>
          <t>박석종</t>
        </is>
      </c>
      <c r="G2761" t="inlineStr">
        <is>
          <t>010-8693-3598</t>
        </is>
      </c>
      <c r="H2761" t="inlineStr">
        <is>
          <t>800러4291</t>
        </is>
      </c>
      <c r="I2761" t="n">
        <v>35000000</v>
      </c>
      <c r="J2761" t="n">
        <v>0.059</v>
      </c>
      <c r="K2761" t="n">
        <v>1.1</v>
      </c>
      <c r="L2761" t="n">
        <v>0.14</v>
      </c>
      <c r="M2761" t="n">
        <v>0.96</v>
      </c>
      <c r="P2761" t="inlineStr">
        <is>
          <t>최형주</t>
        </is>
      </c>
      <c r="Q2761" t="inlineStr">
        <is>
          <t>홈서비스 72개월</t>
        </is>
      </c>
      <c r="AB2761" t="inlineStr">
        <is>
          <t>홈서비스</t>
        </is>
      </c>
      <c r="AC2761" t="n">
        <v>385000</v>
      </c>
      <c r="AD2761" t="n">
        <v>49000</v>
      </c>
      <c r="AE2761" t="n">
        <v>336000</v>
      </c>
      <c r="AF2761" t="n">
        <v>350000</v>
      </c>
      <c r="AG2761" t="n">
        <v>47383</v>
      </c>
      <c r="AH2761" t="n">
        <v>302617</v>
      </c>
    </row>
    <row r="2762">
      <c r="A2762" t="inlineStr">
        <is>
          <t>3월</t>
        </is>
      </c>
      <c r="B2762" t="inlineStr">
        <is>
          <t>14주차</t>
        </is>
      </c>
      <c r="C2762" t="inlineStr">
        <is>
          <t>EP</t>
        </is>
      </c>
      <c r="D2762" s="28" t="n">
        <v>46111</v>
      </c>
      <c r="E2762" t="inlineStr">
        <is>
          <t>제이비EP</t>
        </is>
      </c>
      <c r="F2762" t="inlineStr">
        <is>
          <t>정한선</t>
        </is>
      </c>
      <c r="G2762" t="inlineStr">
        <is>
          <t>010-2475-0825</t>
        </is>
      </c>
      <c r="H2762" t="inlineStr">
        <is>
          <t>55어0101</t>
        </is>
      </c>
      <c r="I2762" t="n">
        <v>19800000</v>
      </c>
      <c r="J2762" t="n">
        <v>0.11</v>
      </c>
      <c r="K2762" t="n">
        <v>1.65</v>
      </c>
      <c r="L2762" t="n">
        <v>0.14</v>
      </c>
      <c r="M2762" t="n">
        <v>1.51</v>
      </c>
      <c r="P2762" t="inlineStr">
        <is>
          <t>정세빈</t>
        </is>
      </c>
      <c r="Q2762" t="inlineStr">
        <is>
          <t>홈서비스 60개월</t>
        </is>
      </c>
      <c r="AB2762" t="inlineStr">
        <is>
          <t>홈서비스</t>
        </is>
      </c>
      <c r="AC2762" t="n">
        <v>326700</v>
      </c>
      <c r="AD2762" t="n">
        <v>27720</v>
      </c>
      <c r="AE2762" t="n">
        <v>298980</v>
      </c>
      <c r="AF2762" t="n">
        <v>297000</v>
      </c>
      <c r="AG2762" t="n">
        <v>26805.24</v>
      </c>
      <c r="AH2762" t="n">
        <v>270194.76</v>
      </c>
      <c r="AI2762" t="n">
        <v>0</v>
      </c>
    </row>
    <row r="2763">
      <c r="A2763" t="inlineStr">
        <is>
          <t>3월</t>
        </is>
      </c>
      <c r="B2763" t="inlineStr">
        <is>
          <t>14주차</t>
        </is>
      </c>
      <c r="C2763" t="inlineStr">
        <is>
          <t>EP</t>
        </is>
      </c>
      <c r="D2763" s="28" t="n">
        <v>46111</v>
      </c>
      <c r="E2763" t="inlineStr">
        <is>
          <t>현대EP</t>
        </is>
      </c>
      <c r="F2763" t="inlineStr">
        <is>
          <t>김정원</t>
        </is>
      </c>
      <c r="G2763" t="inlineStr">
        <is>
          <t>010-3647-0864</t>
        </is>
      </c>
      <c r="H2763" t="inlineStr">
        <is>
          <t>06마8538</t>
        </is>
      </c>
      <c r="I2763" t="n">
        <v>33600000</v>
      </c>
      <c r="J2763" t="n">
        <v>0.062</v>
      </c>
      <c r="K2763" t="n">
        <v>1.76</v>
      </c>
      <c r="L2763" t="n">
        <v>0.14</v>
      </c>
      <c r="M2763" t="n">
        <v>1.62</v>
      </c>
      <c r="P2763" t="inlineStr">
        <is>
          <t>정광호</t>
        </is>
      </c>
      <c r="Q2763" t="inlineStr">
        <is>
          <t>홈서비스 36개월</t>
        </is>
      </c>
      <c r="AB2763" t="inlineStr">
        <is>
          <t>홈서비스</t>
        </is>
      </c>
      <c r="AC2763" t="n">
        <v>591360</v>
      </c>
      <c r="AD2763" t="n">
        <v>47040</v>
      </c>
      <c r="AE2763" t="n">
        <v>544320</v>
      </c>
      <c r="AF2763" t="n">
        <v>537600</v>
      </c>
      <c r="AG2763" t="n">
        <v>45487.68</v>
      </c>
      <c r="AH2763" t="n">
        <v>492112.32</v>
      </c>
      <c r="AI2763" t="n">
        <v>0</v>
      </c>
    </row>
    <row r="2764">
      <c r="A2764" t="inlineStr">
        <is>
          <t>3월</t>
        </is>
      </c>
      <c r="B2764" t="inlineStr">
        <is>
          <t>14주차</t>
        </is>
      </c>
      <c r="C2764" t="inlineStr">
        <is>
          <t>IM</t>
        </is>
      </c>
      <c r="D2764" s="28" t="n">
        <v>46111</v>
      </c>
      <c r="E2764" t="inlineStr">
        <is>
          <t>IM캐피탈</t>
        </is>
      </c>
      <c r="F2764" t="inlineStr">
        <is>
          <t>김은정</t>
        </is>
      </c>
      <c r="G2764" t="inlineStr">
        <is>
          <t>010-5192-0752</t>
        </is>
      </c>
      <c r="H2764" t="inlineStr">
        <is>
          <t>59보6509</t>
        </is>
      </c>
      <c r="I2764" t="n">
        <v>-20000000</v>
      </c>
      <c r="J2764" t="n">
        <v>0.039</v>
      </c>
      <c r="K2764" t="n">
        <v>1.1</v>
      </c>
      <c r="L2764" t="n">
        <v>0.14</v>
      </c>
      <c r="M2764" t="n">
        <v>0.96</v>
      </c>
      <c r="P2764" t="inlineStr">
        <is>
          <t>정세빈</t>
        </is>
      </c>
      <c r="Q2764" t="inlineStr">
        <is>
          <t>홈서비스 48개월</t>
        </is>
      </c>
      <c r="AB2764" t="inlineStr">
        <is>
          <t>홈서비스</t>
        </is>
      </c>
      <c r="AC2764" t="n">
        <v>-220000</v>
      </c>
      <c r="AD2764" t="n">
        <v>-28000</v>
      </c>
      <c r="AE2764" t="n">
        <v>-192000</v>
      </c>
      <c r="AF2764" t="n">
        <v>-200000</v>
      </c>
      <c r="AG2764" t="n">
        <v>-27076</v>
      </c>
      <c r="AH2764" t="n">
        <v>-172924</v>
      </c>
    </row>
    <row r="2765">
      <c r="A2765" t="inlineStr">
        <is>
          <t>3월</t>
        </is>
      </c>
      <c r="B2765" t="inlineStr">
        <is>
          <t>14주차</t>
        </is>
      </c>
      <c r="C2765" t="inlineStr">
        <is>
          <t>EP</t>
        </is>
      </c>
      <c r="D2765" s="28" t="n">
        <v>46111</v>
      </c>
      <c r="E2765" t="inlineStr">
        <is>
          <t>제이비EP</t>
        </is>
      </c>
      <c r="F2765" t="inlineStr">
        <is>
          <t>강나혁</t>
        </is>
      </c>
      <c r="G2765" t="inlineStr">
        <is>
          <t>010-8515-3837</t>
        </is>
      </c>
      <c r="H2765" t="inlineStr">
        <is>
          <t>294수3997</t>
        </is>
      </c>
      <c r="I2765" t="n">
        <v>12000000</v>
      </c>
      <c r="J2765" t="n">
        <v>0.063</v>
      </c>
      <c r="K2765" t="n">
        <v>1.65</v>
      </c>
      <c r="L2765" t="n">
        <v>0.14</v>
      </c>
      <c r="M2765" t="n">
        <v>1.51</v>
      </c>
      <c r="P2765" t="inlineStr">
        <is>
          <t>장현경</t>
        </is>
      </c>
      <c r="Q2765" t="inlineStr">
        <is>
          <t>선상담 / 홈서비스 60개월</t>
        </is>
      </c>
      <c r="AB2765" t="inlineStr">
        <is>
          <t>홈서비스</t>
        </is>
      </c>
      <c r="AC2765" t="n">
        <v>198000</v>
      </c>
      <c r="AD2765" t="n">
        <v>16800</v>
      </c>
      <c r="AE2765" t="n">
        <v>181200</v>
      </c>
      <c r="AF2765" t="n">
        <v>180000</v>
      </c>
      <c r="AG2765" t="n">
        <v>16245.6</v>
      </c>
      <c r="AH2765" t="n">
        <v>163754.4</v>
      </c>
      <c r="AI2765" t="n">
        <v>0</v>
      </c>
    </row>
    <row r="2766">
      <c r="A2766" t="inlineStr">
        <is>
          <t>3월</t>
        </is>
      </c>
      <c r="B2766" t="inlineStr">
        <is>
          <t>14주차</t>
        </is>
      </c>
      <c r="C2766" t="inlineStr">
        <is>
          <t>IM</t>
        </is>
      </c>
      <c r="D2766" s="28" t="n">
        <v>46111</v>
      </c>
      <c r="E2766" t="inlineStr">
        <is>
          <t>IM캐피탈</t>
        </is>
      </c>
      <c r="F2766" t="inlineStr">
        <is>
          <t>이민호</t>
        </is>
      </c>
      <c r="G2766" t="inlineStr">
        <is>
          <t>010-5772-3716</t>
        </is>
      </c>
      <c r="H2766" t="inlineStr">
        <is>
          <t>01버5453</t>
        </is>
      </c>
      <c r="I2766" t="n">
        <v>-20000000</v>
      </c>
      <c r="J2766" t="n">
        <v>0.056</v>
      </c>
      <c r="K2766" t="n">
        <v>1.1</v>
      </c>
      <c r="L2766" t="n">
        <v>0.14</v>
      </c>
      <c r="M2766" t="n">
        <v>0.96</v>
      </c>
      <c r="P2766" t="inlineStr">
        <is>
          <t>김나윤</t>
        </is>
      </c>
      <c r="Q2766" t="inlineStr">
        <is>
          <t>홈서비스 60개월</t>
        </is>
      </c>
      <c r="AB2766" t="inlineStr">
        <is>
          <t>홈서비스</t>
        </is>
      </c>
      <c r="AC2766" t="n">
        <v>-220000</v>
      </c>
      <c r="AD2766" t="n">
        <v>-28000</v>
      </c>
      <c r="AE2766" t="n">
        <v>-192000</v>
      </c>
      <c r="AF2766" t="n">
        <v>-200000</v>
      </c>
      <c r="AG2766" t="n">
        <v>-27076</v>
      </c>
      <c r="AH2766" t="n">
        <v>-172924</v>
      </c>
      <c r="AI2766" t="n">
        <v>0</v>
      </c>
    </row>
    <row r="2767">
      <c r="A2767" t="inlineStr">
        <is>
          <t>3월</t>
        </is>
      </c>
      <c r="B2767" t="inlineStr">
        <is>
          <t>14주차</t>
        </is>
      </c>
      <c r="C2767" t="inlineStr">
        <is>
          <t>EP</t>
        </is>
      </c>
      <c r="D2767" s="28" t="n">
        <v>46111</v>
      </c>
      <c r="E2767" t="inlineStr">
        <is>
          <t>현대EP</t>
        </is>
      </c>
      <c r="F2767" t="inlineStr">
        <is>
          <t>이응규</t>
        </is>
      </c>
      <c r="G2767" t="inlineStr">
        <is>
          <t>010-5258-0189</t>
        </is>
      </c>
      <c r="H2767" t="inlineStr">
        <is>
          <t>55고0869</t>
        </is>
      </c>
      <c r="I2767" t="n">
        <v>-9500000</v>
      </c>
      <c r="J2767" t="n">
        <v>0.07099999999999999</v>
      </c>
      <c r="K2767" t="n">
        <v>1.76</v>
      </c>
      <c r="L2767" t="n">
        <v>0.14</v>
      </c>
      <c r="M2767" t="n">
        <v>1.62</v>
      </c>
      <c r="P2767" t="inlineStr">
        <is>
          <t>정세빈</t>
        </is>
      </c>
      <c r="Q2767" t="inlineStr">
        <is>
          <t>홈서비스 60개월</t>
        </is>
      </c>
      <c r="AB2767" t="inlineStr">
        <is>
          <t>홈서비스</t>
        </is>
      </c>
      <c r="AC2767" t="n">
        <v>-167200</v>
      </c>
      <c r="AD2767" t="n">
        <v>-13300</v>
      </c>
      <c r="AE2767" t="n">
        <v>-153900</v>
      </c>
      <c r="AF2767" t="n">
        <v>-152000</v>
      </c>
      <c r="AG2767" t="n">
        <v>-12861.1</v>
      </c>
      <c r="AH2767" t="n">
        <v>-139138.9</v>
      </c>
      <c r="AI2767" t="n">
        <v>0</v>
      </c>
    </row>
    <row r="2768">
      <c r="A2768" t="inlineStr">
        <is>
          <t>3월</t>
        </is>
      </c>
      <c r="B2768" t="inlineStr">
        <is>
          <t>14주차</t>
        </is>
      </c>
      <c r="C2768" t="inlineStr">
        <is>
          <t>EP</t>
        </is>
      </c>
      <c r="D2768" s="28" t="n">
        <v>46111</v>
      </c>
      <c r="E2768" t="inlineStr">
        <is>
          <t>현대EP</t>
        </is>
      </c>
      <c r="F2768" t="inlineStr">
        <is>
          <t>박성진</t>
        </is>
      </c>
      <c r="G2768" t="inlineStr">
        <is>
          <t>010-2339-7581</t>
        </is>
      </c>
      <c r="H2768" t="inlineStr">
        <is>
          <t>300서1778</t>
        </is>
      </c>
      <c r="I2768" t="n">
        <v>-28900000</v>
      </c>
      <c r="J2768" t="n">
        <v>0.07199999999999999</v>
      </c>
      <c r="K2768" t="n">
        <v>1.76</v>
      </c>
      <c r="L2768" t="n">
        <v>0.14</v>
      </c>
      <c r="M2768" t="n">
        <v>1.62</v>
      </c>
      <c r="P2768" t="inlineStr">
        <is>
          <t>김나윤</t>
        </is>
      </c>
      <c r="Q2768" t="inlineStr">
        <is>
          <t>홈서비스 60개월</t>
        </is>
      </c>
      <c r="AB2768" t="inlineStr">
        <is>
          <t>홈서비스</t>
        </is>
      </c>
      <c r="AC2768" t="n">
        <v>-508640</v>
      </c>
      <c r="AD2768" t="n">
        <v>-40460</v>
      </c>
      <c r="AE2768" t="n">
        <v>-468180</v>
      </c>
      <c r="AF2768" t="n">
        <v>-462400</v>
      </c>
      <c r="AG2768" t="n">
        <v>-39124.82</v>
      </c>
      <c r="AH2768" t="n">
        <v>-423275.18</v>
      </c>
      <c r="AI2768" t="n">
        <v>0</v>
      </c>
    </row>
    <row r="2769">
      <c r="A2769" t="inlineStr">
        <is>
          <t>3월</t>
        </is>
      </c>
      <c r="B2769" t="inlineStr">
        <is>
          <t>14주차</t>
        </is>
      </c>
      <c r="C2769" t="inlineStr">
        <is>
          <t>EP</t>
        </is>
      </c>
      <c r="D2769" s="28" t="n">
        <v>46111</v>
      </c>
      <c r="E2769" t="inlineStr">
        <is>
          <t>현대EP</t>
        </is>
      </c>
      <c r="F2769" t="inlineStr">
        <is>
          <t>이종운</t>
        </is>
      </c>
      <c r="G2769" t="inlineStr">
        <is>
          <t>010-2689-4716</t>
        </is>
      </c>
      <c r="H2769" t="inlineStr">
        <is>
          <t>230로2699</t>
        </is>
      </c>
      <c r="I2769" t="n">
        <v>7800000</v>
      </c>
      <c r="J2769" t="n">
        <v>0.07099999999999999</v>
      </c>
      <c r="K2769" t="n">
        <v>1.76</v>
      </c>
      <c r="L2769" t="n">
        <v>0.14</v>
      </c>
      <c r="M2769" t="n">
        <v>1.62</v>
      </c>
      <c r="P2769" t="inlineStr">
        <is>
          <t>정광호</t>
        </is>
      </c>
      <c r="Q2769" t="inlineStr">
        <is>
          <t>홈서비스 60개월</t>
        </is>
      </c>
      <c r="AB2769" t="inlineStr">
        <is>
          <t>홈서비스</t>
        </is>
      </c>
      <c r="AC2769" t="n">
        <v>137280</v>
      </c>
      <c r="AD2769" t="n">
        <v>10920</v>
      </c>
      <c r="AE2769" t="n">
        <v>126360</v>
      </c>
      <c r="AF2769" t="n">
        <v>124800</v>
      </c>
      <c r="AG2769" t="n">
        <v>10559.64</v>
      </c>
      <c r="AH2769" t="n">
        <v>114240.36</v>
      </c>
      <c r="AI2769" t="n">
        <v>0</v>
      </c>
    </row>
    <row r="2770">
      <c r="A2770" t="inlineStr">
        <is>
          <t>3월</t>
        </is>
      </c>
      <c r="B2770" t="inlineStr">
        <is>
          <t>13주차</t>
        </is>
      </c>
      <c r="C2770" t="inlineStr">
        <is>
          <t>EP</t>
        </is>
      </c>
      <c r="D2770" s="28" t="n">
        <v>46108</v>
      </c>
      <c r="E2770" t="inlineStr">
        <is>
          <t>현대EP_fast</t>
        </is>
      </c>
      <c r="F2770" t="inlineStr">
        <is>
          <t>윤태현</t>
        </is>
      </c>
      <c r="G2770" t="inlineStr">
        <is>
          <t>010-5521-1937</t>
        </is>
      </c>
      <c r="H2770" t="inlineStr">
        <is>
          <t>175소6784</t>
        </is>
      </c>
      <c r="I2770" t="n">
        <v>41500000</v>
      </c>
      <c r="J2770" t="n">
        <v>0.08599999999999999</v>
      </c>
      <c r="K2770" t="n">
        <v>1.76</v>
      </c>
      <c r="L2770" t="n">
        <v>0.4</v>
      </c>
      <c r="M2770" t="n">
        <v>1.36</v>
      </c>
      <c r="P2770" t="inlineStr">
        <is>
          <t>박소현</t>
        </is>
      </c>
      <c r="AB2770" t="inlineStr">
        <is>
          <t>엔카</t>
        </is>
      </c>
      <c r="AC2770" t="n">
        <v>730400</v>
      </c>
      <c r="AD2770" t="n">
        <v>166000</v>
      </c>
      <c r="AE2770" t="n">
        <v>564400</v>
      </c>
      <c r="AF2770" t="n">
        <v>664000</v>
      </c>
      <c r="AG2770" t="n">
        <v>160522</v>
      </c>
      <c r="AH2770" t="n">
        <v>503478</v>
      </c>
    </row>
    <row r="2771">
      <c r="A2771" t="inlineStr">
        <is>
          <t>3월</t>
        </is>
      </c>
      <c r="B2771" t="inlineStr">
        <is>
          <t>14주차</t>
        </is>
      </c>
      <c r="C2771" t="inlineStr">
        <is>
          <t>EP</t>
        </is>
      </c>
      <c r="D2771" s="28" t="n">
        <v>46112</v>
      </c>
      <c r="E2771" t="inlineStr">
        <is>
          <t>BNKEP</t>
        </is>
      </c>
      <c r="F2771" t="inlineStr">
        <is>
          <t>성대현</t>
        </is>
      </c>
      <c r="G2771" t="inlineStr">
        <is>
          <t>010-6406-3010</t>
        </is>
      </c>
      <c r="H2771" t="inlineStr">
        <is>
          <t>12구6914</t>
        </is>
      </c>
      <c r="I2771" t="n">
        <v>3600000</v>
      </c>
      <c r="J2771" t="n">
        <v>0.08599999999999999</v>
      </c>
      <c r="K2771" t="n">
        <v>1.65</v>
      </c>
      <c r="L2771" t="n">
        <v>0.14</v>
      </c>
      <c r="M2771" t="n">
        <v>1.51</v>
      </c>
      <c r="P2771" t="inlineStr">
        <is>
          <t>김나윤</t>
        </is>
      </c>
      <c r="Q2771" t="inlineStr">
        <is>
          <t>홈서비스 60개월</t>
        </is>
      </c>
      <c r="AB2771" t="inlineStr">
        <is>
          <t>홈서비스</t>
        </is>
      </c>
      <c r="AC2771" t="n">
        <v>59400</v>
      </c>
      <c r="AD2771" t="n">
        <v>5040</v>
      </c>
      <c r="AE2771" t="n">
        <v>54360</v>
      </c>
      <c r="AF2771" t="n">
        <v>54000</v>
      </c>
      <c r="AG2771" t="n">
        <v>4873.68</v>
      </c>
      <c r="AH2771" t="n">
        <v>49126.32</v>
      </c>
      <c r="AI2771" t="n">
        <v>0</v>
      </c>
    </row>
    <row r="2772">
      <c r="A2772" t="inlineStr">
        <is>
          <t>3월</t>
        </is>
      </c>
      <c r="B2772" t="inlineStr">
        <is>
          <t>14주차</t>
        </is>
      </c>
      <c r="C2772" t="inlineStr">
        <is>
          <t>EP</t>
        </is>
      </c>
      <c r="D2772" s="28" t="n">
        <v>46111</v>
      </c>
      <c r="E2772" t="inlineStr">
        <is>
          <t>현대EP_fast</t>
        </is>
      </c>
      <c r="F2772" t="inlineStr">
        <is>
          <t>강성진</t>
        </is>
      </c>
      <c r="G2772" t="inlineStr">
        <is>
          <t>010-8466-6216</t>
        </is>
      </c>
      <c r="H2772" t="inlineStr">
        <is>
          <t>29더9149</t>
        </is>
      </c>
      <c r="I2772" t="n">
        <v>8900000</v>
      </c>
      <c r="J2772" t="n">
        <v>0.154</v>
      </c>
      <c r="K2772" t="n">
        <v>1.76</v>
      </c>
      <c r="L2772" t="n">
        <v>0.4</v>
      </c>
      <c r="M2772" t="n">
        <v>1.36</v>
      </c>
      <c r="P2772" t="inlineStr">
        <is>
          <t>박소현</t>
        </is>
      </c>
      <c r="AB2772" t="inlineStr">
        <is>
          <t>엔카</t>
        </is>
      </c>
      <c r="AC2772" t="n">
        <v>156640</v>
      </c>
      <c r="AD2772" t="n">
        <v>35600</v>
      </c>
      <c r="AE2772" t="n">
        <v>121040</v>
      </c>
      <c r="AF2772" t="n">
        <v>142400</v>
      </c>
      <c r="AG2772" t="n">
        <v>34425.2</v>
      </c>
      <c r="AH2772" t="n">
        <v>107974.8</v>
      </c>
    </row>
    <row r="2773">
      <c r="A2773" t="inlineStr">
        <is>
          <t>3월</t>
        </is>
      </c>
      <c r="B2773" t="inlineStr">
        <is>
          <t>14주차</t>
        </is>
      </c>
      <c r="C2773" t="inlineStr">
        <is>
          <t>IM</t>
        </is>
      </c>
      <c r="D2773" s="28" t="n">
        <v>46111</v>
      </c>
      <c r="E2773" t="inlineStr">
        <is>
          <t>IM캐피탈</t>
        </is>
      </c>
      <c r="F2773" t="inlineStr">
        <is>
          <t>김민혁</t>
        </is>
      </c>
      <c r="G2773" t="inlineStr">
        <is>
          <t>010-3918-9152</t>
        </is>
      </c>
      <c r="H2773" t="inlineStr">
        <is>
          <t>395가5502</t>
        </is>
      </c>
      <c r="I2773" t="n">
        <v>4500000</v>
      </c>
      <c r="J2773" t="n">
        <v>0.059</v>
      </c>
      <c r="K2773" t="n">
        <v>1.1</v>
      </c>
      <c r="L2773" t="n">
        <v>0.14</v>
      </c>
      <c r="M2773" t="n">
        <v>0.96</v>
      </c>
      <c r="P2773" t="inlineStr">
        <is>
          <t>김수연</t>
        </is>
      </c>
      <c r="Q2773" t="inlineStr">
        <is>
          <t>홈서비스 60개월</t>
        </is>
      </c>
      <c r="AB2773" t="inlineStr">
        <is>
          <t>홈서비스</t>
        </is>
      </c>
      <c r="AC2773" t="n">
        <v>49500</v>
      </c>
      <c r="AD2773" t="n">
        <v>6300</v>
      </c>
      <c r="AE2773" t="n">
        <v>43200</v>
      </c>
      <c r="AF2773" t="n">
        <v>45000</v>
      </c>
      <c r="AG2773" t="n">
        <v>6092.1</v>
      </c>
      <c r="AH2773" t="n">
        <v>38907.9</v>
      </c>
      <c r="AI2773" t="n">
        <v>0</v>
      </c>
    </row>
    <row r="2774">
      <c r="A2774" t="inlineStr">
        <is>
          <t>3월</t>
        </is>
      </c>
      <c r="B2774" t="inlineStr">
        <is>
          <t>13주차</t>
        </is>
      </c>
      <c r="C2774" t="inlineStr">
        <is>
          <t>OR</t>
        </is>
      </c>
      <c r="D2774" s="28" t="n">
        <v>46108</v>
      </c>
      <c r="E2774" t="inlineStr">
        <is>
          <t>오릭스</t>
        </is>
      </c>
      <c r="F2774" t="inlineStr">
        <is>
          <t>유제우</t>
        </is>
      </c>
      <c r="G2774" t="inlineStr">
        <is>
          <t>010-2604-9303</t>
        </is>
      </c>
      <c r="H2774" t="inlineStr">
        <is>
          <t>133어8028</t>
        </is>
      </c>
      <c r="I2774" t="n">
        <v>20000000</v>
      </c>
      <c r="J2774" t="n">
        <v>0.057</v>
      </c>
      <c r="K2774" t="n">
        <v>1.65</v>
      </c>
      <c r="L2774" t="n">
        <v>0.4</v>
      </c>
      <c r="M2774" t="n">
        <v>1.25</v>
      </c>
      <c r="P2774" t="inlineStr">
        <is>
          <t>박현민</t>
        </is>
      </c>
      <c r="AB2774" t="inlineStr">
        <is>
          <t>엔카</t>
        </is>
      </c>
      <c r="AC2774" t="n">
        <v>330000</v>
      </c>
      <c r="AD2774" t="n">
        <v>80000</v>
      </c>
      <c r="AE2774" t="n">
        <v>250000</v>
      </c>
      <c r="AF2774" t="n">
        <v>300000</v>
      </c>
      <c r="AG2774" t="n">
        <v>77360</v>
      </c>
      <c r="AH2774" t="n">
        <v>222640</v>
      </c>
      <c r="AI2774" t="n">
        <v>0</v>
      </c>
    </row>
    <row r="2775">
      <c r="A2775" t="inlineStr">
        <is>
          <t>3월</t>
        </is>
      </c>
      <c r="B2775" t="inlineStr">
        <is>
          <t>14주차</t>
        </is>
      </c>
      <c r="C2775" t="inlineStr">
        <is>
          <t>IM</t>
        </is>
      </c>
      <c r="D2775" s="28" t="n">
        <v>46111</v>
      </c>
      <c r="E2775" t="inlineStr">
        <is>
          <t>IM캐피탈</t>
        </is>
      </c>
      <c r="F2775" t="inlineStr">
        <is>
          <t>민근영</t>
        </is>
      </c>
      <c r="G2775" t="inlineStr">
        <is>
          <t>010-5828-2420</t>
        </is>
      </c>
      <c r="H2775" t="inlineStr">
        <is>
          <t>154서4284</t>
        </is>
      </c>
      <c r="I2775" t="n">
        <v>26700000</v>
      </c>
      <c r="J2775" t="n">
        <v>0.059</v>
      </c>
      <c r="K2775" t="n">
        <v>1.1</v>
      </c>
      <c r="L2775" t="n">
        <v>0.14</v>
      </c>
      <c r="M2775" t="n">
        <v>0.96</v>
      </c>
      <c r="P2775" t="inlineStr">
        <is>
          <t>박보람</t>
        </is>
      </c>
      <c r="Q2775" t="inlineStr">
        <is>
          <t>선상담 / 홈서비스 72개월</t>
        </is>
      </c>
      <c r="AB2775" t="inlineStr">
        <is>
          <t>홈서비스</t>
        </is>
      </c>
      <c r="AC2775" t="n">
        <v>293700</v>
      </c>
      <c r="AD2775" t="n">
        <v>37380</v>
      </c>
      <c r="AE2775" t="n">
        <v>256320</v>
      </c>
      <c r="AF2775" t="n">
        <v>267000</v>
      </c>
      <c r="AG2775" t="n">
        <v>36146.46</v>
      </c>
      <c r="AH2775" t="n">
        <v>230853.54</v>
      </c>
      <c r="AI2775" t="n">
        <v>0</v>
      </c>
    </row>
    <row r="2776">
      <c r="A2776" t="inlineStr">
        <is>
          <t>3월</t>
        </is>
      </c>
      <c r="B2776" t="inlineStr">
        <is>
          <t>14주차</t>
        </is>
      </c>
      <c r="C2776" t="inlineStr">
        <is>
          <t>IM</t>
        </is>
      </c>
      <c r="D2776" s="28" t="n">
        <v>46111</v>
      </c>
      <c r="E2776" t="inlineStr">
        <is>
          <t>IM캐피탈</t>
        </is>
      </c>
      <c r="F2776" t="inlineStr">
        <is>
          <t>배승열</t>
        </is>
      </c>
      <c r="G2776" t="inlineStr">
        <is>
          <t>010-6558-5256</t>
        </is>
      </c>
      <c r="H2776" t="inlineStr">
        <is>
          <t>258누8453</t>
        </is>
      </c>
      <c r="I2776" t="n">
        <v>34300000</v>
      </c>
      <c r="J2776" t="n">
        <v>0.082</v>
      </c>
      <c r="K2776" t="n">
        <v>1.1</v>
      </c>
      <c r="L2776" t="n">
        <v>0.4</v>
      </c>
      <c r="M2776" t="n">
        <v>0.7</v>
      </c>
      <c r="P2776" t="inlineStr">
        <is>
          <t>박보람</t>
        </is>
      </c>
      <c r="Q2776" t="inlineStr">
        <is>
          <t>부대비용 추가진행</t>
        </is>
      </c>
      <c r="AB2776" t="inlineStr">
        <is>
          <t>엔카</t>
        </is>
      </c>
      <c r="AC2776" t="n">
        <v>377300</v>
      </c>
      <c r="AD2776" t="n">
        <v>137200</v>
      </c>
      <c r="AE2776" t="n">
        <v>240100</v>
      </c>
      <c r="AF2776" t="n">
        <v>343000</v>
      </c>
      <c r="AG2776" t="n">
        <v>132672.4</v>
      </c>
      <c r="AH2776" t="n">
        <v>210327.6</v>
      </c>
      <c r="AI2776" t="n">
        <v>0</v>
      </c>
    </row>
    <row r="2777">
      <c r="A2777" t="inlineStr">
        <is>
          <t>3월</t>
        </is>
      </c>
      <c r="B2777" t="inlineStr">
        <is>
          <t>14주차</t>
        </is>
      </c>
      <c r="C2777" t="inlineStr">
        <is>
          <t>EP</t>
        </is>
      </c>
      <c r="D2777" s="28" t="n">
        <v>46111</v>
      </c>
      <c r="E2777" t="inlineStr">
        <is>
          <t>BNKEP</t>
        </is>
      </c>
      <c r="F2777" t="inlineStr">
        <is>
          <t>허애경</t>
        </is>
      </c>
      <c r="G2777" t="inlineStr">
        <is>
          <t>010-4162-9939</t>
        </is>
      </c>
      <c r="H2777" t="inlineStr">
        <is>
          <t>292조1025</t>
        </is>
      </c>
      <c r="I2777" t="n">
        <v>20000000</v>
      </c>
      <c r="J2777" t="n">
        <v>0.063</v>
      </c>
      <c r="K2777" t="n">
        <v>1.65</v>
      </c>
      <c r="L2777" t="n">
        <v>0.14</v>
      </c>
      <c r="M2777" t="n">
        <v>1.51</v>
      </c>
      <c r="P2777" t="inlineStr">
        <is>
          <t>구성완</t>
        </is>
      </c>
      <c r="Q2777" t="inlineStr">
        <is>
          <t>안심거래존건</t>
        </is>
      </c>
      <c r="AB2777" t="inlineStr">
        <is>
          <t>믿고</t>
        </is>
      </c>
      <c r="AC2777" t="n">
        <v>330000</v>
      </c>
      <c r="AD2777" t="n">
        <v>28000</v>
      </c>
      <c r="AE2777" t="n">
        <v>302000</v>
      </c>
      <c r="AF2777" t="n">
        <v>300000</v>
      </c>
      <c r="AG2777" t="n">
        <v>27076</v>
      </c>
      <c r="AH2777" t="n">
        <v>272924</v>
      </c>
      <c r="AI2777" t="n">
        <v>0</v>
      </c>
    </row>
    <row r="2778">
      <c r="A2778" t="inlineStr">
        <is>
          <t>3월</t>
        </is>
      </c>
      <c r="B2778" t="inlineStr">
        <is>
          <t>14주차</t>
        </is>
      </c>
      <c r="C2778" t="inlineStr">
        <is>
          <t>IM</t>
        </is>
      </c>
      <c r="D2778" s="28" t="n">
        <v>46112</v>
      </c>
      <c r="E2778" t="inlineStr">
        <is>
          <t>IM캐피탈</t>
        </is>
      </c>
      <c r="F2778" t="inlineStr">
        <is>
          <t>정우영</t>
        </is>
      </c>
      <c r="G2778" t="inlineStr">
        <is>
          <t>010-5683-2222</t>
        </is>
      </c>
      <c r="H2778" t="inlineStr">
        <is>
          <t>300라9360</t>
        </is>
      </c>
      <c r="I2778" t="n">
        <v>41500000</v>
      </c>
      <c r="J2778" t="n">
        <v>0.049</v>
      </c>
      <c r="K2778" t="n">
        <v>1.1</v>
      </c>
      <c r="L2778" t="n">
        <v>0.14</v>
      </c>
      <c r="M2778" t="n">
        <v>0.96</v>
      </c>
      <c r="P2778" t="inlineStr">
        <is>
          <t>박소현</t>
        </is>
      </c>
      <c r="Q2778" t="inlineStr">
        <is>
          <t>선상담 / 홈서비스 72개월</t>
        </is>
      </c>
      <c r="AB2778" t="inlineStr">
        <is>
          <t>홈서비스</t>
        </is>
      </c>
      <c r="AC2778" t="n">
        <v>456500</v>
      </c>
      <c r="AD2778" t="n">
        <v>58100</v>
      </c>
      <c r="AE2778" t="n">
        <v>398400</v>
      </c>
      <c r="AF2778" t="n">
        <v>415000</v>
      </c>
      <c r="AG2778" t="n">
        <v>56182.7</v>
      </c>
      <c r="AH2778" t="n">
        <v>358817.3</v>
      </c>
      <c r="AI2778" t="n">
        <v>0</v>
      </c>
    </row>
    <row r="2779">
      <c r="A2779" t="inlineStr">
        <is>
          <t>3월</t>
        </is>
      </c>
      <c r="B2779" t="inlineStr">
        <is>
          <t>14주차</t>
        </is>
      </c>
      <c r="C2779" t="inlineStr">
        <is>
          <t>EP</t>
        </is>
      </c>
      <c r="D2779" s="28" t="n">
        <v>46111</v>
      </c>
      <c r="E2779" t="inlineStr">
        <is>
          <t>현대EP_fast</t>
        </is>
      </c>
      <c r="F2779" t="inlineStr">
        <is>
          <t>노유섭</t>
        </is>
      </c>
      <c r="G2779" t="inlineStr">
        <is>
          <t>010-2025-7714</t>
        </is>
      </c>
      <c r="H2779" t="inlineStr">
        <is>
          <t>368수6135</t>
        </is>
      </c>
      <c r="I2779" t="n">
        <v>27400000</v>
      </c>
      <c r="J2779" t="n">
        <v>0.092</v>
      </c>
      <c r="K2779" t="n">
        <v>1.76</v>
      </c>
      <c r="L2779" t="n">
        <v>0.14</v>
      </c>
      <c r="M2779" t="n">
        <v>1.62</v>
      </c>
      <c r="P2779" t="inlineStr">
        <is>
          <t>정하은</t>
        </is>
      </c>
      <c r="Q2779" t="inlineStr">
        <is>
          <t>선상담 / 홈서비스 60개월</t>
        </is>
      </c>
      <c r="AB2779" t="inlineStr">
        <is>
          <t>홈서비스</t>
        </is>
      </c>
      <c r="AC2779" t="n">
        <v>482240</v>
      </c>
      <c r="AD2779" t="n">
        <v>38360</v>
      </c>
      <c r="AE2779" t="n">
        <v>443880</v>
      </c>
      <c r="AF2779" t="n">
        <v>438400</v>
      </c>
      <c r="AG2779" t="n">
        <v>37094.12</v>
      </c>
      <c r="AH2779" t="n">
        <v>401305.88</v>
      </c>
      <c r="AI2779" t="n">
        <v>0</v>
      </c>
    </row>
    <row r="2780">
      <c r="A2780" t="inlineStr">
        <is>
          <t>3월</t>
        </is>
      </c>
      <c r="B2780" t="inlineStr">
        <is>
          <t>14주차</t>
        </is>
      </c>
      <c r="C2780" t="inlineStr">
        <is>
          <t>IM</t>
        </is>
      </c>
      <c r="D2780" s="28" t="n">
        <v>46111</v>
      </c>
      <c r="E2780" t="inlineStr">
        <is>
          <t>IM캐피탈</t>
        </is>
      </c>
      <c r="F2780" t="inlineStr">
        <is>
          <t>김은석</t>
        </is>
      </c>
      <c r="G2780" t="inlineStr">
        <is>
          <t>010-2098-4726</t>
        </is>
      </c>
      <c r="H2780" t="inlineStr">
        <is>
          <t>149루1815</t>
        </is>
      </c>
      <c r="I2780" t="n">
        <v>19000000</v>
      </c>
      <c r="J2780" t="n">
        <v>0.049</v>
      </c>
      <c r="K2780" t="n">
        <v>1.1</v>
      </c>
      <c r="L2780" t="n">
        <v>0.14</v>
      </c>
      <c r="M2780" t="n">
        <v>0.96</v>
      </c>
      <c r="P2780" t="inlineStr">
        <is>
          <t>장현경</t>
        </is>
      </c>
      <c r="Q2780" t="inlineStr">
        <is>
          <t>선상담 / 홈서비스 60개월 / 부대비용추가진행</t>
        </is>
      </c>
      <c r="AB2780" t="inlineStr">
        <is>
          <t>홈서비스</t>
        </is>
      </c>
      <c r="AC2780" t="n">
        <v>209000</v>
      </c>
      <c r="AD2780" t="n">
        <v>26600</v>
      </c>
      <c r="AE2780" t="n">
        <v>182400</v>
      </c>
      <c r="AF2780" t="n">
        <v>190000</v>
      </c>
      <c r="AG2780" t="n">
        <v>25722.2</v>
      </c>
      <c r="AH2780" t="n">
        <v>164277.8</v>
      </c>
      <c r="AI2780" t="n">
        <v>0</v>
      </c>
    </row>
    <row r="2781">
      <c r="A2781" t="inlineStr">
        <is>
          <t>3월</t>
        </is>
      </c>
      <c r="B2781" t="inlineStr">
        <is>
          <t>14주차</t>
        </is>
      </c>
      <c r="C2781" t="inlineStr">
        <is>
          <t>IM</t>
        </is>
      </c>
      <c r="D2781" s="28" t="n">
        <v>46111</v>
      </c>
      <c r="E2781" t="inlineStr">
        <is>
          <t>IM캐피탈</t>
        </is>
      </c>
      <c r="F2781" t="inlineStr">
        <is>
          <t>오재원</t>
        </is>
      </c>
      <c r="G2781" t="inlineStr">
        <is>
          <t>010-2491-7805</t>
        </is>
      </c>
      <c r="H2781" t="inlineStr">
        <is>
          <t>47모0199</t>
        </is>
      </c>
      <c r="I2781" t="n">
        <v>10000000</v>
      </c>
      <c r="J2781" t="n">
        <v>0.039</v>
      </c>
      <c r="K2781" t="n">
        <v>1.1</v>
      </c>
      <c r="L2781" t="n">
        <v>0.14</v>
      </c>
      <c r="M2781" t="n">
        <v>0.96</v>
      </c>
      <c r="P2781" t="inlineStr">
        <is>
          <t>구성완</t>
        </is>
      </c>
      <c r="Q2781" t="inlineStr">
        <is>
          <t>안심거래존건</t>
        </is>
      </c>
      <c r="AB2781" t="inlineStr">
        <is>
          <t>믿고</t>
        </is>
      </c>
      <c r="AC2781" t="n">
        <v>110000</v>
      </c>
      <c r="AD2781" t="n">
        <v>14000</v>
      </c>
      <c r="AE2781" t="n">
        <v>96000</v>
      </c>
      <c r="AF2781" t="n">
        <v>100000</v>
      </c>
      <c r="AG2781" t="n">
        <v>13538</v>
      </c>
      <c r="AH2781" t="n">
        <v>86462</v>
      </c>
      <c r="AI2781" t="n">
        <v>0</v>
      </c>
    </row>
    <row r="2782">
      <c r="A2782" t="inlineStr">
        <is>
          <t>3월</t>
        </is>
      </c>
      <c r="B2782" t="inlineStr">
        <is>
          <t>14주차</t>
        </is>
      </c>
      <c r="C2782" t="inlineStr">
        <is>
          <t>EP</t>
        </is>
      </c>
      <c r="D2782" s="28" t="n">
        <v>46112</v>
      </c>
      <c r="E2782" t="inlineStr">
        <is>
          <t>현대EP_fast</t>
        </is>
      </c>
      <c r="F2782" t="inlineStr">
        <is>
          <t>김시연</t>
        </is>
      </c>
      <c r="G2782" t="inlineStr">
        <is>
          <t>010-7765-3139</t>
        </is>
      </c>
      <c r="H2782" t="inlineStr">
        <is>
          <t>360로9990</t>
        </is>
      </c>
      <c r="I2782" t="n">
        <v>5200000</v>
      </c>
      <c r="J2782" t="n">
        <v>0.1</v>
      </c>
      <c r="K2782" t="n">
        <v>1.76</v>
      </c>
      <c r="L2782" t="n">
        <v>0.14</v>
      </c>
      <c r="M2782" t="n">
        <v>1.62</v>
      </c>
      <c r="P2782" t="inlineStr">
        <is>
          <t>김나윤</t>
        </is>
      </c>
      <c r="Q2782" t="inlineStr">
        <is>
          <t>홈서비스 24개월</t>
        </is>
      </c>
      <c r="AB2782" t="inlineStr">
        <is>
          <t>홈서비스</t>
        </is>
      </c>
      <c r="AC2782" t="n">
        <v>91520</v>
      </c>
      <c r="AD2782" t="n">
        <v>7280</v>
      </c>
      <c r="AE2782" t="n">
        <v>84240</v>
      </c>
      <c r="AF2782" t="n">
        <v>83200</v>
      </c>
      <c r="AG2782" t="n">
        <v>7039.76</v>
      </c>
      <c r="AH2782" t="n">
        <v>76160.24000000001</v>
      </c>
    </row>
    <row r="2783">
      <c r="A2783" t="inlineStr">
        <is>
          <t>3월</t>
        </is>
      </c>
      <c r="B2783" t="inlineStr">
        <is>
          <t>14주차</t>
        </is>
      </c>
      <c r="C2783" t="inlineStr">
        <is>
          <t>EP</t>
        </is>
      </c>
      <c r="D2783" s="28" t="n">
        <v>46111</v>
      </c>
      <c r="E2783" t="inlineStr">
        <is>
          <t>제이비EP</t>
        </is>
      </c>
      <c r="F2783" t="inlineStr">
        <is>
          <t>장영철</t>
        </is>
      </c>
      <c r="G2783" t="inlineStr">
        <is>
          <t>010-7373-0237</t>
        </is>
      </c>
      <c r="H2783" t="inlineStr">
        <is>
          <t>97어2031</t>
        </is>
      </c>
      <c r="I2783" t="n">
        <v>4600000</v>
      </c>
      <c r="J2783" t="n">
        <v>0.079</v>
      </c>
      <c r="K2783" t="n">
        <v>1.65</v>
      </c>
      <c r="L2783" t="n">
        <v>0.4</v>
      </c>
      <c r="M2783" t="n">
        <v>1.25</v>
      </c>
      <c r="P2783" t="inlineStr">
        <is>
          <t>장진경</t>
        </is>
      </c>
      <c r="AB2783" t="inlineStr">
        <is>
          <t>엔카</t>
        </is>
      </c>
      <c r="AC2783" t="n">
        <v>75900</v>
      </c>
      <c r="AD2783" t="n">
        <v>18400</v>
      </c>
      <c r="AE2783" t="n">
        <v>57500</v>
      </c>
      <c r="AF2783" t="n">
        <v>69000</v>
      </c>
      <c r="AG2783" t="n">
        <v>17792.8</v>
      </c>
      <c r="AH2783" t="n">
        <v>51207.2</v>
      </c>
      <c r="AI2783" t="n">
        <v>0</v>
      </c>
    </row>
    <row r="2784">
      <c r="A2784" t="inlineStr">
        <is>
          <t>3월</t>
        </is>
      </c>
      <c r="B2784" t="inlineStr">
        <is>
          <t>14주차</t>
        </is>
      </c>
      <c r="C2784" t="inlineStr">
        <is>
          <t>OR</t>
        </is>
      </c>
      <c r="D2784" s="28" t="n">
        <v>46112</v>
      </c>
      <c r="E2784" t="inlineStr">
        <is>
          <t>오릭스</t>
        </is>
      </c>
      <c r="F2784" t="inlineStr">
        <is>
          <t>임성길</t>
        </is>
      </c>
      <c r="G2784" t="inlineStr">
        <is>
          <t>010-8830-7561</t>
        </is>
      </c>
      <c r="H2784" t="inlineStr">
        <is>
          <t>43로7236</t>
        </is>
      </c>
      <c r="I2784" t="n">
        <v>21500000</v>
      </c>
      <c r="J2784" t="n">
        <v>0.054</v>
      </c>
      <c r="K2784" t="n">
        <v>1.65</v>
      </c>
      <c r="L2784" t="n">
        <v>0.14</v>
      </c>
      <c r="M2784" t="n">
        <v>1.51</v>
      </c>
      <c r="P2784" t="inlineStr">
        <is>
          <t>황채이</t>
        </is>
      </c>
      <c r="Q2784" t="inlineStr">
        <is>
          <t>홈서비스 60개월</t>
        </is>
      </c>
      <c r="AB2784" t="inlineStr">
        <is>
          <t>홈서비스</t>
        </is>
      </c>
      <c r="AC2784" t="n">
        <v>354750</v>
      </c>
      <c r="AD2784" t="n">
        <v>30100</v>
      </c>
      <c r="AE2784" t="n">
        <v>324650</v>
      </c>
      <c r="AF2784" t="n">
        <v>322500</v>
      </c>
      <c r="AG2784" t="n">
        <v>29106.7</v>
      </c>
      <c r="AH2784" t="n">
        <v>293393.3</v>
      </c>
    </row>
    <row r="2785">
      <c r="A2785" t="inlineStr">
        <is>
          <t>3월</t>
        </is>
      </c>
      <c r="B2785" t="inlineStr">
        <is>
          <t>14주차</t>
        </is>
      </c>
      <c r="C2785" t="inlineStr">
        <is>
          <t>EP</t>
        </is>
      </c>
      <c r="D2785" s="28" t="n">
        <v>46112</v>
      </c>
      <c r="E2785" t="inlineStr">
        <is>
          <t>BNKEP</t>
        </is>
      </c>
      <c r="F2785" t="inlineStr">
        <is>
          <t>방훈석</t>
        </is>
      </c>
      <c r="G2785" t="inlineStr">
        <is>
          <t>010-9292-9288</t>
        </is>
      </c>
      <c r="H2785" t="inlineStr">
        <is>
          <t>62머2056</t>
        </is>
      </c>
      <c r="I2785" t="n">
        <v>4000000</v>
      </c>
      <c r="J2785" t="n">
        <v>0.061</v>
      </c>
      <c r="K2785" t="n">
        <v>1.65</v>
      </c>
      <c r="L2785" t="n">
        <v>0.14</v>
      </c>
      <c r="M2785" t="n">
        <v>1.51</v>
      </c>
      <c r="P2785" t="inlineStr">
        <is>
          <t>정세빈</t>
        </is>
      </c>
      <c r="Q2785" t="inlineStr">
        <is>
          <t>홈서비스 60개월</t>
        </is>
      </c>
      <c r="AB2785" t="inlineStr">
        <is>
          <t>홈서비스</t>
        </is>
      </c>
      <c r="AC2785" t="n">
        <v>66000</v>
      </c>
      <c r="AD2785" t="n">
        <v>5600</v>
      </c>
      <c r="AE2785" t="n">
        <v>60400</v>
      </c>
      <c r="AF2785" t="n">
        <v>60000</v>
      </c>
      <c r="AG2785" t="n">
        <v>5415.2</v>
      </c>
      <c r="AH2785" t="n">
        <v>54584.8</v>
      </c>
      <c r="AI2785" t="n">
        <v>0</v>
      </c>
    </row>
    <row r="2786">
      <c r="A2786" t="inlineStr">
        <is>
          <t>3월</t>
        </is>
      </c>
      <c r="B2786" t="inlineStr">
        <is>
          <t>14주차</t>
        </is>
      </c>
      <c r="C2786" t="inlineStr">
        <is>
          <t>OR</t>
        </is>
      </c>
      <c r="D2786" s="28" t="n">
        <v>46112</v>
      </c>
      <c r="E2786" t="inlineStr">
        <is>
          <t>오릭스</t>
        </is>
      </c>
      <c r="F2786" t="inlineStr">
        <is>
          <t>신현호</t>
        </is>
      </c>
      <c r="G2786" t="inlineStr">
        <is>
          <t>010-4968-5436</t>
        </is>
      </c>
      <c r="H2786" t="inlineStr">
        <is>
          <t>335도3062</t>
        </is>
      </c>
      <c r="I2786" t="n">
        <v>74700000</v>
      </c>
      <c r="J2786" t="n">
        <v>0.07199999999999999</v>
      </c>
      <c r="K2786" t="n">
        <v>1.65</v>
      </c>
      <c r="L2786" t="n">
        <v>0.14</v>
      </c>
      <c r="M2786" t="n">
        <v>1.51</v>
      </c>
      <c r="P2786" t="inlineStr">
        <is>
          <t>황채이</t>
        </is>
      </c>
      <c r="Q2786" t="inlineStr">
        <is>
          <t>홈서비스 60개월</t>
        </is>
      </c>
      <c r="AB2786" t="inlineStr">
        <is>
          <t>홈서비스</t>
        </is>
      </c>
      <c r="AC2786" t="n">
        <v>1232550</v>
      </c>
      <c r="AD2786" t="n">
        <v>104580</v>
      </c>
      <c r="AE2786" t="n">
        <v>1127970</v>
      </c>
      <c r="AF2786" t="n">
        <v>1120500</v>
      </c>
      <c r="AG2786" t="n">
        <v>101128.86</v>
      </c>
      <c r="AH2786" t="n">
        <v>1019371.14</v>
      </c>
    </row>
    <row r="2787">
      <c r="A2787" t="inlineStr">
        <is>
          <t>3월</t>
        </is>
      </c>
      <c r="B2787" t="inlineStr">
        <is>
          <t>14주차</t>
        </is>
      </c>
      <c r="C2787" t="inlineStr">
        <is>
          <t>EP</t>
        </is>
      </c>
      <c r="D2787" s="28" t="n">
        <v>46111</v>
      </c>
      <c r="E2787" t="inlineStr">
        <is>
          <t>현대EP</t>
        </is>
      </c>
      <c r="F2787" t="inlineStr">
        <is>
          <t>이상훈</t>
        </is>
      </c>
      <c r="G2787" t="inlineStr">
        <is>
          <t>010-6247-6655</t>
        </is>
      </c>
      <c r="H2787" t="inlineStr">
        <is>
          <t>131고4819</t>
        </is>
      </c>
      <c r="I2787" t="n">
        <v>30900000</v>
      </c>
      <c r="J2787" t="n">
        <v>0.077</v>
      </c>
      <c r="K2787" t="n">
        <v>1.76</v>
      </c>
      <c r="L2787" t="n">
        <v>0.14</v>
      </c>
      <c r="M2787" t="n">
        <v>1.62</v>
      </c>
      <c r="P2787" t="inlineStr">
        <is>
          <t>최형주</t>
        </is>
      </c>
      <c r="Q2787" t="inlineStr">
        <is>
          <t>홈서비스 60개월</t>
        </is>
      </c>
      <c r="AB2787" t="inlineStr">
        <is>
          <t>홈서비스</t>
        </is>
      </c>
      <c r="AC2787" t="n">
        <v>543840</v>
      </c>
      <c r="AD2787" t="n">
        <v>43260</v>
      </c>
      <c r="AE2787" t="n">
        <v>500580</v>
      </c>
      <c r="AF2787" t="n">
        <v>494400</v>
      </c>
      <c r="AG2787" t="n">
        <v>41832.42</v>
      </c>
      <c r="AH2787" t="n">
        <v>452567.58</v>
      </c>
      <c r="AI2787" t="n">
        <v>0</v>
      </c>
    </row>
    <row r="2788">
      <c r="A2788" t="inlineStr">
        <is>
          <t>3월</t>
        </is>
      </c>
      <c r="B2788" t="inlineStr">
        <is>
          <t>14주차</t>
        </is>
      </c>
      <c r="C2788" t="inlineStr">
        <is>
          <t>EP</t>
        </is>
      </c>
      <c r="D2788" s="28" t="n">
        <v>46111</v>
      </c>
      <c r="E2788" t="inlineStr">
        <is>
          <t>현대EP_fast</t>
        </is>
      </c>
      <c r="F2788" t="inlineStr">
        <is>
          <t>정지현</t>
        </is>
      </c>
      <c r="G2788" t="inlineStr">
        <is>
          <t>010-8895-8124</t>
        </is>
      </c>
      <c r="H2788" t="inlineStr">
        <is>
          <t>156모4013</t>
        </is>
      </c>
      <c r="I2788" t="n">
        <v>19500000</v>
      </c>
      <c r="J2788" t="n">
        <v>0.118</v>
      </c>
      <c r="K2788" t="n">
        <v>1.76</v>
      </c>
      <c r="L2788" t="n">
        <v>0.4</v>
      </c>
      <c r="M2788" t="n">
        <v>1.36</v>
      </c>
      <c r="P2788" t="inlineStr">
        <is>
          <t>임대경</t>
        </is>
      </c>
      <c r="AB2788" t="inlineStr">
        <is>
          <t>엔카</t>
        </is>
      </c>
      <c r="AC2788" t="n">
        <v>343200</v>
      </c>
      <c r="AD2788" t="n">
        <v>78000</v>
      </c>
      <c r="AE2788" t="n">
        <v>265200</v>
      </c>
      <c r="AF2788" t="n">
        <v>312000</v>
      </c>
      <c r="AG2788" t="n">
        <v>75426</v>
      </c>
      <c r="AH2788" t="n">
        <v>236574</v>
      </c>
      <c r="AI2788" t="n">
        <v>0</v>
      </c>
    </row>
    <row r="2789">
      <c r="A2789" t="inlineStr">
        <is>
          <t>3월</t>
        </is>
      </c>
      <c r="B2789" t="inlineStr">
        <is>
          <t>14주차</t>
        </is>
      </c>
      <c r="C2789" t="inlineStr">
        <is>
          <t>EP</t>
        </is>
      </c>
      <c r="D2789" s="28" t="n">
        <v>46111</v>
      </c>
      <c r="E2789" t="inlineStr">
        <is>
          <t>BNKEP</t>
        </is>
      </c>
      <c r="F2789" t="inlineStr">
        <is>
          <t>정경훈</t>
        </is>
      </c>
      <c r="G2789" t="inlineStr">
        <is>
          <t>010-4441-6314</t>
        </is>
      </c>
      <c r="H2789" t="inlineStr">
        <is>
          <t>37부8818</t>
        </is>
      </c>
      <c r="I2789" t="n">
        <v>-4900000</v>
      </c>
      <c r="J2789" t="n">
        <v>0.07199999999999999</v>
      </c>
      <c r="K2789" t="n">
        <v>1.65</v>
      </c>
      <c r="L2789" t="n">
        <v>0.14</v>
      </c>
      <c r="M2789" t="n">
        <v>1.51</v>
      </c>
      <c r="P2789" t="inlineStr">
        <is>
          <t>정광호</t>
        </is>
      </c>
      <c r="Q2789" t="inlineStr">
        <is>
          <t>홈서비스 36개월</t>
        </is>
      </c>
      <c r="AB2789" t="inlineStr">
        <is>
          <t>홈서비스</t>
        </is>
      </c>
      <c r="AC2789" t="n">
        <v>-80850</v>
      </c>
      <c r="AD2789" t="n">
        <v>-6860</v>
      </c>
      <c r="AE2789" t="n">
        <v>-73990</v>
      </c>
      <c r="AF2789" t="n">
        <v>-73500</v>
      </c>
      <c r="AG2789" t="n">
        <v>-6633.62</v>
      </c>
      <c r="AH2789" t="n">
        <v>-66866.38</v>
      </c>
      <c r="AI2789" t="n">
        <v>0</v>
      </c>
    </row>
    <row r="2790">
      <c r="A2790" t="inlineStr">
        <is>
          <t>3월</t>
        </is>
      </c>
      <c r="B2790" t="inlineStr">
        <is>
          <t>14주차</t>
        </is>
      </c>
      <c r="C2790" t="inlineStr">
        <is>
          <t>OR</t>
        </is>
      </c>
      <c r="D2790" s="28" t="n">
        <v>46111</v>
      </c>
      <c r="E2790" t="inlineStr">
        <is>
          <t>오릭스</t>
        </is>
      </c>
      <c r="F2790" t="inlineStr">
        <is>
          <t>조성대</t>
        </is>
      </c>
      <c r="G2790" t="inlineStr">
        <is>
          <t>010-4816-5419</t>
        </is>
      </c>
      <c r="H2790" t="inlineStr">
        <is>
          <t>20나6718</t>
        </is>
      </c>
      <c r="I2790" t="n">
        <v>16500000</v>
      </c>
      <c r="J2790" t="n">
        <v>0.059</v>
      </c>
      <c r="K2790" t="n">
        <v>1.65</v>
      </c>
      <c r="L2790" t="n">
        <v>0.4</v>
      </c>
      <c r="M2790" t="n">
        <v>1.25</v>
      </c>
      <c r="P2790" t="inlineStr">
        <is>
          <t>박현민</t>
        </is>
      </c>
      <c r="AB2790" t="inlineStr">
        <is>
          <t>엔카</t>
        </is>
      </c>
      <c r="AC2790" t="n">
        <v>272250</v>
      </c>
      <c r="AD2790" t="n">
        <v>66000</v>
      </c>
      <c r="AE2790" t="n">
        <v>206250</v>
      </c>
      <c r="AF2790" t="n">
        <v>247500</v>
      </c>
      <c r="AG2790" t="n">
        <v>63822</v>
      </c>
      <c r="AH2790" t="n">
        <v>183678</v>
      </c>
      <c r="AI2790" t="n">
        <v>0</v>
      </c>
    </row>
    <row r="2791">
      <c r="A2791" t="inlineStr">
        <is>
          <t>3월</t>
        </is>
      </c>
      <c r="B2791" t="inlineStr">
        <is>
          <t>14주차</t>
        </is>
      </c>
      <c r="C2791" t="inlineStr">
        <is>
          <t>IM</t>
        </is>
      </c>
      <c r="D2791" s="28" t="n">
        <v>46112</v>
      </c>
      <c r="E2791" t="inlineStr">
        <is>
          <t>IM캐피탈</t>
        </is>
      </c>
      <c r="F2791" t="inlineStr">
        <is>
          <t>조혜리</t>
        </is>
      </c>
      <c r="G2791" t="inlineStr">
        <is>
          <t>010-2796-0211</t>
        </is>
      </c>
      <c r="H2791" t="inlineStr">
        <is>
          <t>189더7446</t>
        </is>
      </c>
      <c r="I2791" t="n">
        <v>11000000</v>
      </c>
      <c r="J2791" t="n">
        <v>0.049</v>
      </c>
      <c r="K2791" t="n">
        <v>1.1</v>
      </c>
      <c r="L2791" t="n">
        <v>0.14</v>
      </c>
      <c r="M2791" t="n">
        <v>0.96</v>
      </c>
      <c r="P2791" t="inlineStr">
        <is>
          <t>정광호</t>
        </is>
      </c>
      <c r="Q2791" t="inlineStr">
        <is>
          <t>홈서비스 60개월</t>
        </is>
      </c>
      <c r="AB2791" t="inlineStr">
        <is>
          <t>홈서비스</t>
        </is>
      </c>
      <c r="AC2791" t="n">
        <v>121000</v>
      </c>
      <c r="AD2791" t="n">
        <v>15400</v>
      </c>
      <c r="AE2791" t="n">
        <v>105600</v>
      </c>
      <c r="AF2791" t="n">
        <v>110000</v>
      </c>
      <c r="AG2791" t="n">
        <v>14891.8</v>
      </c>
      <c r="AH2791" t="n">
        <v>95108.2</v>
      </c>
      <c r="AI2791" t="n">
        <v>0</v>
      </c>
    </row>
    <row r="2792">
      <c r="A2792" t="inlineStr">
        <is>
          <t>3월</t>
        </is>
      </c>
      <c r="B2792" t="inlineStr">
        <is>
          <t>14주차</t>
        </is>
      </c>
      <c r="C2792" t="inlineStr">
        <is>
          <t>EP</t>
        </is>
      </c>
      <c r="D2792" s="28" t="n">
        <v>46112</v>
      </c>
      <c r="E2792" t="inlineStr">
        <is>
          <t>현대EP_fast</t>
        </is>
      </c>
      <c r="F2792" t="inlineStr">
        <is>
          <t>이현준</t>
        </is>
      </c>
      <c r="G2792" t="inlineStr">
        <is>
          <t>010-4162-1686</t>
        </is>
      </c>
      <c r="H2792" t="inlineStr">
        <is>
          <t>52주7781</t>
        </is>
      </c>
      <c r="I2792" t="n">
        <v>15000000</v>
      </c>
      <c r="J2792" t="n">
        <v>0.08500000000000001</v>
      </c>
      <c r="K2792" t="n">
        <v>1.76</v>
      </c>
      <c r="L2792" t="n">
        <v>0.14</v>
      </c>
      <c r="M2792" t="n">
        <v>1.62</v>
      </c>
      <c r="P2792" t="inlineStr">
        <is>
          <t>김나윤</t>
        </is>
      </c>
      <c r="Q2792" t="inlineStr">
        <is>
          <t>홈서비스 60개월</t>
        </is>
      </c>
      <c r="AB2792" t="inlineStr">
        <is>
          <t>홈서비스</t>
        </is>
      </c>
      <c r="AC2792" t="n">
        <v>264000</v>
      </c>
      <c r="AD2792" t="n">
        <v>21000</v>
      </c>
      <c r="AE2792" t="n">
        <v>243000</v>
      </c>
      <c r="AF2792" t="n">
        <v>240000</v>
      </c>
      <c r="AG2792" t="n">
        <v>20307</v>
      </c>
      <c r="AH2792" t="n">
        <v>219693</v>
      </c>
    </row>
    <row r="2793">
      <c r="A2793" t="inlineStr">
        <is>
          <t>3월</t>
        </is>
      </c>
      <c r="B2793" t="inlineStr">
        <is>
          <t>14주차</t>
        </is>
      </c>
      <c r="C2793" t="inlineStr">
        <is>
          <t>IM</t>
        </is>
      </c>
      <c r="D2793" s="28" t="n">
        <v>46112</v>
      </c>
      <c r="E2793" t="inlineStr">
        <is>
          <t>IM캐피탈</t>
        </is>
      </c>
      <c r="F2793" t="inlineStr">
        <is>
          <t>홍주표</t>
        </is>
      </c>
      <c r="G2793" t="inlineStr">
        <is>
          <t>010-6547-1300</t>
        </is>
      </c>
      <c r="H2793" t="inlineStr">
        <is>
          <t>125가8270</t>
        </is>
      </c>
      <c r="I2793" t="n">
        <v>29700000</v>
      </c>
      <c r="J2793" t="n">
        <v>0.056</v>
      </c>
      <c r="K2793" t="n">
        <v>1.1</v>
      </c>
      <c r="L2793" t="n">
        <v>0.14</v>
      </c>
      <c r="M2793" t="n">
        <v>0.96</v>
      </c>
      <c r="P2793" t="inlineStr">
        <is>
          <t>김나윤</t>
        </is>
      </c>
      <c r="Q2793" t="inlineStr">
        <is>
          <t>홈서비스 60개월</t>
        </is>
      </c>
      <c r="AB2793" t="inlineStr">
        <is>
          <t>홈서비스</t>
        </is>
      </c>
      <c r="AC2793" t="n">
        <v>326700</v>
      </c>
      <c r="AD2793" t="n">
        <v>41580</v>
      </c>
      <c r="AE2793" t="n">
        <v>285120</v>
      </c>
      <c r="AF2793" t="n">
        <v>297000</v>
      </c>
      <c r="AG2793" t="n">
        <v>40207.86</v>
      </c>
      <c r="AH2793" t="n">
        <v>256792.14</v>
      </c>
      <c r="AI2793" t="n">
        <v>0</v>
      </c>
    </row>
    <row r="2794">
      <c r="A2794" t="inlineStr">
        <is>
          <t>3월</t>
        </is>
      </c>
      <c r="B2794" t="inlineStr">
        <is>
          <t>14주차</t>
        </is>
      </c>
      <c r="C2794" t="inlineStr">
        <is>
          <t>IM</t>
        </is>
      </c>
      <c r="D2794" s="28" t="n">
        <v>46111</v>
      </c>
      <c r="E2794" t="inlineStr">
        <is>
          <t>IM캐피탈</t>
        </is>
      </c>
      <c r="F2794" t="inlineStr">
        <is>
          <t>방지연</t>
        </is>
      </c>
      <c r="G2794" t="inlineStr">
        <is>
          <t>010-5440-9338</t>
        </is>
      </c>
      <c r="H2794" t="inlineStr">
        <is>
          <t>380소7695</t>
        </is>
      </c>
      <c r="I2794" t="n">
        <v>40000000</v>
      </c>
      <c r="J2794" t="n">
        <v>0.056</v>
      </c>
      <c r="K2794" t="n">
        <v>1.1</v>
      </c>
      <c r="L2794" t="n">
        <v>0.4</v>
      </c>
      <c r="M2794" t="n">
        <v>0.7</v>
      </c>
      <c r="P2794" t="inlineStr">
        <is>
          <t>최혁</t>
        </is>
      </c>
      <c r="AB2794" t="inlineStr">
        <is>
          <t>엔카</t>
        </is>
      </c>
      <c r="AC2794" t="n">
        <v>440000</v>
      </c>
      <c r="AD2794" t="n">
        <v>160000</v>
      </c>
      <c r="AE2794" t="n">
        <v>280000</v>
      </c>
      <c r="AF2794" t="n">
        <v>400000</v>
      </c>
      <c r="AG2794" t="n">
        <v>154720</v>
      </c>
      <c r="AH2794" t="n">
        <v>245280</v>
      </c>
    </row>
    <row r="2795">
      <c r="A2795" t="inlineStr">
        <is>
          <t>3월</t>
        </is>
      </c>
      <c r="B2795" t="inlineStr">
        <is>
          <t>14주차</t>
        </is>
      </c>
      <c r="C2795" t="inlineStr">
        <is>
          <t>OR</t>
        </is>
      </c>
      <c r="D2795" s="28" t="n">
        <v>46112</v>
      </c>
      <c r="E2795" t="inlineStr">
        <is>
          <t>오릭스</t>
        </is>
      </c>
      <c r="F2795" t="inlineStr">
        <is>
          <t>이태훈</t>
        </is>
      </c>
      <c r="G2795" t="inlineStr">
        <is>
          <t>010-8508-8678</t>
        </is>
      </c>
      <c r="H2795" t="inlineStr">
        <is>
          <t>28부5398</t>
        </is>
      </c>
      <c r="I2795" t="n">
        <v>6800000</v>
      </c>
      <c r="J2795" t="n">
        <v>0.075</v>
      </c>
      <c r="K2795" t="n">
        <v>1.65</v>
      </c>
      <c r="L2795" t="n">
        <v>0.14</v>
      </c>
      <c r="M2795" t="n">
        <v>1.51</v>
      </c>
      <c r="P2795" t="inlineStr">
        <is>
          <t>정광호</t>
        </is>
      </c>
      <c r="Q2795" t="inlineStr">
        <is>
          <t>홈서비스 24개월</t>
        </is>
      </c>
      <c r="AB2795" t="inlineStr">
        <is>
          <t>홈서비스</t>
        </is>
      </c>
      <c r="AC2795" t="n">
        <v>112200</v>
      </c>
      <c r="AD2795" t="n">
        <v>9520</v>
      </c>
      <c r="AE2795" t="n">
        <v>102680</v>
      </c>
      <c r="AF2795" t="n">
        <v>102000</v>
      </c>
      <c r="AG2795" t="n">
        <v>9205.84</v>
      </c>
      <c r="AH2795" t="n">
        <v>92794.16</v>
      </c>
    </row>
    <row r="2796">
      <c r="A2796" t="inlineStr">
        <is>
          <t>3월</t>
        </is>
      </c>
      <c r="B2796" t="inlineStr">
        <is>
          <t>14주차</t>
        </is>
      </c>
      <c r="C2796" t="inlineStr">
        <is>
          <t>OR</t>
        </is>
      </c>
      <c r="D2796" s="28" t="n">
        <v>46112</v>
      </c>
      <c r="E2796" t="inlineStr">
        <is>
          <t>오릭스</t>
        </is>
      </c>
      <c r="F2796" t="inlineStr">
        <is>
          <t>정금영</t>
        </is>
      </c>
      <c r="G2796" t="inlineStr">
        <is>
          <t>010-7446-0977</t>
        </is>
      </c>
      <c r="H2796" t="inlineStr">
        <is>
          <t>333수4716</t>
        </is>
      </c>
      <c r="I2796" t="n">
        <v>20400000</v>
      </c>
      <c r="J2796" t="n">
        <v>0.049</v>
      </c>
      <c r="K2796" t="n">
        <v>1.65</v>
      </c>
      <c r="L2796" t="n">
        <v>0.14</v>
      </c>
      <c r="M2796" t="n">
        <v>1.51</v>
      </c>
      <c r="P2796" t="inlineStr">
        <is>
          <t>정세빈</t>
        </is>
      </c>
      <c r="Q2796" t="inlineStr">
        <is>
          <t>홈서비스 48개월</t>
        </is>
      </c>
      <c r="AB2796" t="inlineStr">
        <is>
          <t>홈서비스</t>
        </is>
      </c>
      <c r="AC2796" t="n">
        <v>336600</v>
      </c>
      <c r="AD2796" t="n">
        <v>28560</v>
      </c>
      <c r="AE2796" t="n">
        <v>308040</v>
      </c>
      <c r="AF2796" t="n">
        <v>306000</v>
      </c>
      <c r="AG2796" t="n">
        <v>27617.52</v>
      </c>
      <c r="AH2796" t="n">
        <v>278382.48</v>
      </c>
    </row>
    <row r="2797">
      <c r="A2797" t="inlineStr">
        <is>
          <t>3월</t>
        </is>
      </c>
      <c r="B2797" t="inlineStr">
        <is>
          <t>14주차</t>
        </is>
      </c>
      <c r="C2797" t="inlineStr">
        <is>
          <t>EP</t>
        </is>
      </c>
      <c r="D2797" s="28" t="n">
        <v>46112</v>
      </c>
      <c r="E2797" t="inlineStr">
        <is>
          <t>현대EP_fast</t>
        </is>
      </c>
      <c r="F2797" t="inlineStr">
        <is>
          <t>김위</t>
        </is>
      </c>
      <c r="G2797" t="inlineStr">
        <is>
          <t>010-9367-4757</t>
        </is>
      </c>
      <c r="H2797" t="inlineStr">
        <is>
          <t>26거1073</t>
        </is>
      </c>
      <c r="I2797" t="n">
        <v>5900000</v>
      </c>
      <c r="J2797" t="n">
        <v>0.09</v>
      </c>
      <c r="K2797" t="n">
        <v>1.76</v>
      </c>
      <c r="L2797" t="n">
        <v>0.4</v>
      </c>
      <c r="M2797" t="n">
        <v>1.36</v>
      </c>
      <c r="P2797" t="inlineStr">
        <is>
          <t>박소현</t>
        </is>
      </c>
      <c r="AB2797" t="inlineStr">
        <is>
          <t>엔카</t>
        </is>
      </c>
      <c r="AC2797" t="n">
        <v>103840</v>
      </c>
      <c r="AD2797" t="n">
        <v>23600</v>
      </c>
      <c r="AE2797" t="n">
        <v>80240</v>
      </c>
      <c r="AF2797" t="n">
        <v>94400</v>
      </c>
      <c r="AG2797" t="n">
        <v>22821.2</v>
      </c>
      <c r="AH2797" t="n">
        <v>71578.8</v>
      </c>
      <c r="AI2797" t="n">
        <v>0</v>
      </c>
    </row>
    <row r="2798">
      <c r="A2798" t="inlineStr">
        <is>
          <t>3월</t>
        </is>
      </c>
      <c r="B2798" t="inlineStr">
        <is>
          <t>14주차</t>
        </is>
      </c>
      <c r="C2798" t="inlineStr">
        <is>
          <t>EP</t>
        </is>
      </c>
      <c r="D2798" s="28" t="n">
        <v>46112</v>
      </c>
      <c r="E2798" t="inlineStr">
        <is>
          <t>현대EP_fast</t>
        </is>
      </c>
      <c r="F2798" t="inlineStr">
        <is>
          <t>허남윤</t>
        </is>
      </c>
      <c r="G2798" t="inlineStr">
        <is>
          <t>010-5088-5780</t>
        </is>
      </c>
      <c r="H2798" t="inlineStr">
        <is>
          <t>61두4965</t>
        </is>
      </c>
      <c r="I2798" t="n">
        <v>6200000</v>
      </c>
      <c r="J2798" t="n">
        <v>0.1</v>
      </c>
      <c r="K2798" t="n">
        <v>1.76</v>
      </c>
      <c r="L2798" t="n">
        <v>0.14</v>
      </c>
      <c r="M2798" t="n">
        <v>1.62</v>
      </c>
      <c r="P2798" t="inlineStr">
        <is>
          <t>김나윤</t>
        </is>
      </c>
      <c r="Q2798" t="inlineStr">
        <is>
          <t>홈서비스 60개월</t>
        </is>
      </c>
      <c r="AB2798" t="inlineStr">
        <is>
          <t>홈서비스</t>
        </is>
      </c>
      <c r="AC2798" t="n">
        <v>109120</v>
      </c>
      <c r="AD2798" t="n">
        <v>8680</v>
      </c>
      <c r="AE2798" t="n">
        <v>100440</v>
      </c>
      <c r="AF2798" t="n">
        <v>99200</v>
      </c>
      <c r="AG2798" t="n">
        <v>8393.559999999999</v>
      </c>
      <c r="AH2798" t="n">
        <v>90806.44</v>
      </c>
      <c r="AI2798" t="n">
        <v>0</v>
      </c>
    </row>
    <row r="2799">
      <c r="A2799" t="inlineStr">
        <is>
          <t>3월</t>
        </is>
      </c>
      <c r="B2799" t="inlineStr">
        <is>
          <t>14주차</t>
        </is>
      </c>
      <c r="C2799" t="inlineStr">
        <is>
          <t>OR</t>
        </is>
      </c>
      <c r="D2799" s="28" t="n">
        <v>46112</v>
      </c>
      <c r="E2799" t="inlineStr">
        <is>
          <t>오릭스</t>
        </is>
      </c>
      <c r="F2799" t="inlineStr">
        <is>
          <t>배제윤</t>
        </is>
      </c>
      <c r="G2799" t="inlineStr">
        <is>
          <t>010-4026-1590</t>
        </is>
      </c>
      <c r="H2799" t="inlineStr">
        <is>
          <t>215고9765</t>
        </is>
      </c>
      <c r="I2799" t="n">
        <v>28900000</v>
      </c>
      <c r="J2799" t="n">
        <v>0.059</v>
      </c>
      <c r="K2799" t="n">
        <v>1.65</v>
      </c>
      <c r="L2799" t="n">
        <v>0.14</v>
      </c>
      <c r="M2799" t="n">
        <v>1.51</v>
      </c>
      <c r="P2799" t="inlineStr">
        <is>
          <t>최형주</t>
        </is>
      </c>
      <c r="Q2799" t="inlineStr">
        <is>
          <t>홈서비스 60개월</t>
        </is>
      </c>
      <c r="AB2799" t="inlineStr">
        <is>
          <t>홈서비스</t>
        </is>
      </c>
      <c r="AC2799" t="n">
        <v>476850</v>
      </c>
      <c r="AD2799" t="n">
        <v>40460</v>
      </c>
      <c r="AE2799" t="n">
        <v>436390</v>
      </c>
      <c r="AF2799" t="n">
        <v>433500</v>
      </c>
      <c r="AG2799" t="n">
        <v>39124.82</v>
      </c>
      <c r="AH2799" t="n">
        <v>394375.18</v>
      </c>
      <c r="AI2799" t="n">
        <v>0</v>
      </c>
    </row>
    <row r="2800">
      <c r="A2800" t="inlineStr">
        <is>
          <t>3월</t>
        </is>
      </c>
      <c r="B2800" t="inlineStr">
        <is>
          <t>14주차</t>
        </is>
      </c>
      <c r="C2800" t="inlineStr">
        <is>
          <t>EP</t>
        </is>
      </c>
      <c r="D2800" s="28" t="n">
        <v>46112</v>
      </c>
      <c r="E2800" t="inlineStr">
        <is>
          <t>현대EP_fast</t>
        </is>
      </c>
      <c r="F2800" t="inlineStr">
        <is>
          <t>정경석</t>
        </is>
      </c>
      <c r="G2800" t="inlineStr">
        <is>
          <t>010-9243-0107</t>
        </is>
      </c>
      <c r="H2800" t="inlineStr">
        <is>
          <t>19무3326</t>
        </is>
      </c>
      <c r="I2800" t="n">
        <v>7200000</v>
      </c>
      <c r="J2800" t="n">
        <v>0.1</v>
      </c>
      <c r="K2800" t="n">
        <v>1.76</v>
      </c>
      <c r="L2800" t="n">
        <v>0.14</v>
      </c>
      <c r="M2800" t="n">
        <v>1.62</v>
      </c>
      <c r="P2800" t="inlineStr">
        <is>
          <t>장현경</t>
        </is>
      </c>
      <c r="Q2800" t="inlineStr">
        <is>
          <t>선상담 / 홈서비스 24개월</t>
        </is>
      </c>
      <c r="AB2800" t="inlineStr">
        <is>
          <t>홈서비스</t>
        </is>
      </c>
      <c r="AC2800" t="n">
        <v>126720</v>
      </c>
      <c r="AD2800" t="n">
        <v>10080</v>
      </c>
      <c r="AE2800" t="n">
        <v>116640</v>
      </c>
      <c r="AF2800" t="n">
        <v>115200</v>
      </c>
      <c r="AG2800" t="n">
        <v>9747.360000000001</v>
      </c>
      <c r="AH2800" t="n">
        <v>105452.64</v>
      </c>
    </row>
    <row r="2801">
      <c r="A2801" t="inlineStr">
        <is>
          <t>3월</t>
        </is>
      </c>
      <c r="B2801" t="inlineStr">
        <is>
          <t>14주차</t>
        </is>
      </c>
      <c r="C2801" t="inlineStr">
        <is>
          <t>IM</t>
        </is>
      </c>
      <c r="D2801" s="28" t="n">
        <v>46111</v>
      </c>
      <c r="E2801" t="inlineStr">
        <is>
          <t>IM캐피탈</t>
        </is>
      </c>
      <c r="F2801" t="inlineStr">
        <is>
          <t>김민혁</t>
        </is>
      </c>
      <c r="G2801" t="inlineStr">
        <is>
          <t>010-3918-9152</t>
        </is>
      </c>
      <c r="H2801" t="inlineStr">
        <is>
          <t>395가5502</t>
        </is>
      </c>
      <c r="I2801" t="n">
        <v>-4500000</v>
      </c>
      <c r="J2801" t="n">
        <v>0.059</v>
      </c>
      <c r="K2801" t="n">
        <v>1.1</v>
      </c>
      <c r="L2801" t="n">
        <v>0.14</v>
      </c>
      <c r="M2801" t="n">
        <v>0.96</v>
      </c>
      <c r="P2801" t="inlineStr">
        <is>
          <t>김수연</t>
        </is>
      </c>
      <c r="Q2801" t="inlineStr">
        <is>
          <t>홈서비스 60개월</t>
        </is>
      </c>
      <c r="AB2801" t="inlineStr">
        <is>
          <t>홈서비스</t>
        </is>
      </c>
      <c r="AC2801" t="n">
        <v>-49500</v>
      </c>
      <c r="AD2801" t="n">
        <v>-6300</v>
      </c>
      <c r="AE2801" t="n">
        <v>-43200</v>
      </c>
      <c r="AF2801" t="n">
        <v>-45000</v>
      </c>
      <c r="AG2801" t="n">
        <v>-6092.1</v>
      </c>
      <c r="AH2801" t="n">
        <v>-38907.9</v>
      </c>
      <c r="AI2801" t="n">
        <v>0</v>
      </c>
    </row>
    <row r="2802">
      <c r="A2802" t="inlineStr">
        <is>
          <t>3월</t>
        </is>
      </c>
      <c r="B2802" t="inlineStr">
        <is>
          <t>14주차</t>
        </is>
      </c>
      <c r="C2802" t="inlineStr">
        <is>
          <t>EP</t>
        </is>
      </c>
      <c r="D2802" s="28" t="n">
        <v>46112</v>
      </c>
      <c r="E2802" t="inlineStr">
        <is>
          <t>현대EP_fast</t>
        </is>
      </c>
      <c r="F2802" t="inlineStr">
        <is>
          <t>양민희</t>
        </is>
      </c>
      <c r="G2802" t="inlineStr">
        <is>
          <t>010-6291-7290</t>
        </is>
      </c>
      <c r="H2802" t="inlineStr">
        <is>
          <t>06더7969</t>
        </is>
      </c>
      <c r="I2802" t="n">
        <v>23000000</v>
      </c>
      <c r="J2802" t="n">
        <v>0.077</v>
      </c>
      <c r="K2802" t="n">
        <v>1.76</v>
      </c>
      <c r="L2802" t="n">
        <v>0.14</v>
      </c>
      <c r="M2802" t="n">
        <v>1.62</v>
      </c>
      <c r="P2802" t="inlineStr">
        <is>
          <t>김나윤</t>
        </is>
      </c>
      <c r="Q2802" t="inlineStr">
        <is>
          <t>홈서비스 60개월</t>
        </is>
      </c>
      <c r="AB2802" t="inlineStr">
        <is>
          <t>홈서비스</t>
        </is>
      </c>
      <c r="AC2802" t="n">
        <v>404800</v>
      </c>
      <c r="AD2802" t="n">
        <v>32200</v>
      </c>
      <c r="AE2802" t="n">
        <v>372600</v>
      </c>
      <c r="AF2802" t="n">
        <v>368000</v>
      </c>
      <c r="AG2802" t="n">
        <v>31137.4</v>
      </c>
      <c r="AH2802" t="n">
        <v>336862.6</v>
      </c>
      <c r="AI2802" t="n">
        <v>0</v>
      </c>
    </row>
    <row r="2803">
      <c r="A2803" t="inlineStr">
        <is>
          <t>3월</t>
        </is>
      </c>
      <c r="B2803" t="inlineStr">
        <is>
          <t>14주차</t>
        </is>
      </c>
      <c r="C2803" t="inlineStr">
        <is>
          <t>OR</t>
        </is>
      </c>
      <c r="D2803" s="28" t="n">
        <v>46112</v>
      </c>
      <c r="E2803" t="inlineStr">
        <is>
          <t>오릭스</t>
        </is>
      </c>
      <c r="F2803" t="inlineStr">
        <is>
          <t>정현택</t>
        </is>
      </c>
      <c r="G2803" t="inlineStr">
        <is>
          <t>010-5749-0234</t>
        </is>
      </c>
      <c r="H2803" t="inlineStr">
        <is>
          <t>149수5085</t>
        </is>
      </c>
      <c r="I2803" t="n">
        <v>20200000</v>
      </c>
      <c r="J2803" t="n">
        <v>0.054</v>
      </c>
      <c r="K2803" t="n">
        <v>1.65</v>
      </c>
      <c r="L2803" t="n">
        <v>0.14</v>
      </c>
      <c r="M2803" t="n">
        <v>1.51</v>
      </c>
      <c r="P2803" t="inlineStr">
        <is>
          <t>황채이</t>
        </is>
      </c>
      <c r="Q2803" t="inlineStr">
        <is>
          <t>홈서비스 60개월 / 부대비용 추가 진행</t>
        </is>
      </c>
      <c r="AB2803" t="inlineStr">
        <is>
          <t>홈서비스</t>
        </is>
      </c>
      <c r="AC2803" t="n">
        <v>333300</v>
      </c>
      <c r="AD2803" t="n">
        <v>28280</v>
      </c>
      <c r="AE2803" t="n">
        <v>305020</v>
      </c>
      <c r="AF2803" t="n">
        <v>303000</v>
      </c>
      <c r="AG2803" t="n">
        <v>27346.76</v>
      </c>
      <c r="AH2803" t="n">
        <v>275653.24</v>
      </c>
      <c r="AI2803" t="n">
        <v>0</v>
      </c>
    </row>
    <row r="2804">
      <c r="A2804" t="inlineStr">
        <is>
          <t>3월</t>
        </is>
      </c>
      <c r="B2804" t="inlineStr">
        <is>
          <t>14주차</t>
        </is>
      </c>
      <c r="C2804" t="inlineStr">
        <is>
          <t>IM</t>
        </is>
      </c>
      <c r="D2804" s="28" t="n">
        <v>46111</v>
      </c>
      <c r="E2804" t="inlineStr">
        <is>
          <t>IM캐피탈</t>
        </is>
      </c>
      <c r="F2804" t="inlineStr">
        <is>
          <t>유종구</t>
        </is>
      </c>
      <c r="G2804" t="inlineStr">
        <is>
          <t>010-7480-4540</t>
        </is>
      </c>
      <c r="H2804" t="inlineStr">
        <is>
          <t>39오7190</t>
        </is>
      </c>
      <c r="I2804" t="n">
        <v>22000000</v>
      </c>
      <c r="J2804" t="n">
        <v>0.039</v>
      </c>
      <c r="K2804" t="n">
        <v>1.1</v>
      </c>
      <c r="L2804" t="n">
        <v>0.5</v>
      </c>
      <c r="M2804" t="n">
        <v>0.6</v>
      </c>
      <c r="P2804" t="inlineStr">
        <is>
          <t>정하은</t>
        </is>
      </c>
      <c r="AB2804" t="inlineStr">
        <is>
          <t>엔카</t>
        </is>
      </c>
      <c r="AC2804" t="n">
        <v>242000</v>
      </c>
      <c r="AD2804" t="n">
        <v>110000</v>
      </c>
      <c r="AE2804" t="n">
        <v>132000</v>
      </c>
      <c r="AF2804" t="n">
        <v>220000</v>
      </c>
      <c r="AG2804" t="n">
        <v>106370</v>
      </c>
      <c r="AH2804" t="n">
        <v>113630</v>
      </c>
      <c r="AI2804" t="n">
        <v>0</v>
      </c>
    </row>
    <row r="2805">
      <c r="A2805" t="inlineStr">
        <is>
          <t>3월</t>
        </is>
      </c>
      <c r="B2805" t="inlineStr">
        <is>
          <t>14주차</t>
        </is>
      </c>
      <c r="C2805" t="inlineStr">
        <is>
          <t>EP</t>
        </is>
      </c>
      <c r="D2805" s="28" t="n">
        <v>46111</v>
      </c>
      <c r="E2805" t="inlineStr">
        <is>
          <t>제이비EP</t>
        </is>
      </c>
      <c r="F2805" t="inlineStr">
        <is>
          <t>김민선</t>
        </is>
      </c>
      <c r="G2805" t="inlineStr">
        <is>
          <t>010-8231-2449</t>
        </is>
      </c>
      <c r="H2805" t="inlineStr">
        <is>
          <t>33고0473</t>
        </is>
      </c>
      <c r="I2805" t="n">
        <v>20000000</v>
      </c>
      <c r="J2805" t="n">
        <v>0.079</v>
      </c>
      <c r="K2805" t="n">
        <v>1.65</v>
      </c>
      <c r="L2805" t="n">
        <v>0.4</v>
      </c>
      <c r="M2805" t="n">
        <v>1.25</v>
      </c>
      <c r="P2805" t="inlineStr">
        <is>
          <t>최혁</t>
        </is>
      </c>
      <c r="AB2805" t="inlineStr">
        <is>
          <t>엔카</t>
        </is>
      </c>
      <c r="AC2805" t="n">
        <v>330000</v>
      </c>
      <c r="AD2805" t="n">
        <v>80000</v>
      </c>
      <c r="AE2805" t="n">
        <v>250000</v>
      </c>
      <c r="AF2805" t="n">
        <v>300000</v>
      </c>
      <c r="AG2805" t="n">
        <v>77360</v>
      </c>
      <c r="AH2805" t="n">
        <v>222640</v>
      </c>
      <c r="AI2805" t="n">
        <v>0</v>
      </c>
    </row>
    <row r="2806">
      <c r="A2806" t="inlineStr">
        <is>
          <t>3월</t>
        </is>
      </c>
      <c r="B2806" t="inlineStr">
        <is>
          <t>14주차</t>
        </is>
      </c>
      <c r="C2806" t="inlineStr">
        <is>
          <t>OR</t>
        </is>
      </c>
      <c r="D2806" s="28" t="n">
        <v>46112</v>
      </c>
      <c r="E2806" t="inlineStr">
        <is>
          <t>오릭스</t>
        </is>
      </c>
      <c r="F2806" t="inlineStr">
        <is>
          <t xml:space="preserve"> 김연실</t>
        </is>
      </c>
      <c r="G2806" t="inlineStr">
        <is>
          <t>010-3792-5453</t>
        </is>
      </c>
      <c r="H2806" t="inlineStr">
        <is>
          <t>37무0453</t>
        </is>
      </c>
      <c r="I2806" t="n">
        <v>12000000</v>
      </c>
      <c r="J2806" t="n">
        <v>0.064</v>
      </c>
      <c r="K2806" t="n">
        <v>1.65</v>
      </c>
      <c r="L2806" t="n">
        <v>0.14</v>
      </c>
      <c r="M2806" t="n">
        <v>1.51</v>
      </c>
      <c r="P2806" t="inlineStr">
        <is>
          <t>최형주</t>
        </is>
      </c>
      <c r="Q2806" t="inlineStr">
        <is>
          <t>홈서비스 60개월 / 부대비용 추가 진행</t>
        </is>
      </c>
      <c r="AB2806" t="inlineStr">
        <is>
          <t>홈서비스</t>
        </is>
      </c>
      <c r="AC2806" t="n">
        <v>198000</v>
      </c>
      <c r="AD2806" t="n">
        <v>16800</v>
      </c>
      <c r="AE2806" t="n">
        <v>181200</v>
      </c>
      <c r="AF2806" t="n">
        <v>180000</v>
      </c>
      <c r="AG2806" t="n">
        <v>16245.6</v>
      </c>
      <c r="AH2806" t="n">
        <v>163754.4</v>
      </c>
      <c r="AI2806" t="n">
        <v>0</v>
      </c>
    </row>
    <row r="2807">
      <c r="A2807" t="inlineStr">
        <is>
          <t>3월</t>
        </is>
      </c>
      <c r="B2807" t="inlineStr">
        <is>
          <t>14주차</t>
        </is>
      </c>
      <c r="C2807" t="inlineStr">
        <is>
          <t>EP</t>
        </is>
      </c>
      <c r="D2807" s="28" t="n">
        <v>46112</v>
      </c>
      <c r="E2807" t="inlineStr">
        <is>
          <t>BNKEP</t>
        </is>
      </c>
      <c r="F2807" t="inlineStr">
        <is>
          <t>정순주</t>
        </is>
      </c>
      <c r="G2807" t="inlineStr">
        <is>
          <t>010-3677-6627</t>
        </is>
      </c>
      <c r="H2807" t="inlineStr">
        <is>
          <t>381서1142</t>
        </is>
      </c>
      <c r="I2807" t="n">
        <v>14900000</v>
      </c>
      <c r="J2807" t="n">
        <v>0.061</v>
      </c>
      <c r="K2807" t="n">
        <v>1.65</v>
      </c>
      <c r="L2807" t="n">
        <v>0.14</v>
      </c>
      <c r="M2807" t="n">
        <v>1.51</v>
      </c>
      <c r="P2807" t="inlineStr">
        <is>
          <t>정광호</t>
        </is>
      </c>
      <c r="Q2807" t="inlineStr">
        <is>
          <t>홈서비스 60개월</t>
        </is>
      </c>
      <c r="AB2807" t="inlineStr">
        <is>
          <t>홈서비스</t>
        </is>
      </c>
      <c r="AC2807" t="n">
        <v>245850</v>
      </c>
      <c r="AD2807" t="n">
        <v>20860</v>
      </c>
      <c r="AE2807" t="n">
        <v>224990</v>
      </c>
      <c r="AF2807" t="n">
        <v>223500</v>
      </c>
      <c r="AG2807" t="n">
        <v>20171.62</v>
      </c>
      <c r="AH2807" t="n">
        <v>203328.38</v>
      </c>
      <c r="AI2807" t="n">
        <v>0</v>
      </c>
    </row>
    <row r="2808">
      <c r="A2808" t="inlineStr">
        <is>
          <t>3월</t>
        </is>
      </c>
      <c r="B2808" t="inlineStr">
        <is>
          <t>14주차</t>
        </is>
      </c>
      <c r="C2808" t="inlineStr">
        <is>
          <t>EP</t>
        </is>
      </c>
      <c r="D2808" s="28" t="n">
        <v>46112</v>
      </c>
      <c r="E2808" t="inlineStr">
        <is>
          <t>현대EP</t>
        </is>
      </c>
      <c r="F2808" t="inlineStr">
        <is>
          <t>이수빈</t>
        </is>
      </c>
      <c r="G2808" t="inlineStr">
        <is>
          <t>010-7558-2174</t>
        </is>
      </c>
      <c r="H2808" t="inlineStr">
        <is>
          <t>64다3702</t>
        </is>
      </c>
      <c r="I2808" t="n">
        <v>10600000</v>
      </c>
      <c r="J2808" t="n">
        <v>0.07099999999999999</v>
      </c>
      <c r="K2808" t="n">
        <v>1.76</v>
      </c>
      <c r="L2808" t="n">
        <v>0.14</v>
      </c>
      <c r="M2808" t="n">
        <v>1.62</v>
      </c>
      <c r="P2808" t="inlineStr">
        <is>
          <t>황채이</t>
        </is>
      </c>
      <c r="Q2808" t="inlineStr">
        <is>
          <t>홈서비스 60개월</t>
        </is>
      </c>
      <c r="AB2808" t="inlineStr">
        <is>
          <t>홈서비스</t>
        </is>
      </c>
      <c r="AC2808" t="n">
        <v>186560</v>
      </c>
      <c r="AD2808" t="n">
        <v>14840</v>
      </c>
      <c r="AE2808" t="n">
        <v>171720</v>
      </c>
      <c r="AF2808" t="n">
        <v>169600</v>
      </c>
      <c r="AG2808" t="n">
        <v>14350.28</v>
      </c>
      <c r="AH2808" t="n">
        <v>155249.72</v>
      </c>
      <c r="AI2808" t="n">
        <v>0</v>
      </c>
    </row>
    <row r="2809">
      <c r="A2809" t="inlineStr">
        <is>
          <t>3월</t>
        </is>
      </c>
      <c r="B2809" t="inlineStr">
        <is>
          <t>14주차</t>
        </is>
      </c>
      <c r="C2809" t="inlineStr">
        <is>
          <t>WC</t>
        </is>
      </c>
      <c r="D2809" s="28" t="n">
        <v>46112</v>
      </c>
      <c r="E2809" t="inlineStr">
        <is>
          <t>웰컴저축은행</t>
        </is>
      </c>
      <c r="F2809" t="inlineStr">
        <is>
          <t>김강현</t>
        </is>
      </c>
      <c r="G2809" t="inlineStr">
        <is>
          <t>010-8025-2341</t>
        </is>
      </c>
      <c r="H2809" t="inlineStr">
        <is>
          <t>111라7951</t>
        </is>
      </c>
      <c r="I2809" t="n">
        <v>22400000</v>
      </c>
      <c r="J2809" t="n">
        <v>0.119</v>
      </c>
      <c r="K2809" t="n">
        <v>0</v>
      </c>
      <c r="L2809" t="n">
        <v>0.14</v>
      </c>
      <c r="M2809" t="n">
        <v>-0.14</v>
      </c>
      <c r="P2809" t="inlineStr">
        <is>
          <t>김수연</t>
        </is>
      </c>
      <c r="Q2809" t="inlineStr">
        <is>
          <t>홈서비스 60개월</t>
        </is>
      </c>
      <c r="AB2809" t="inlineStr">
        <is>
          <t>홈서비스</t>
        </is>
      </c>
      <c r="AC2809" t="n">
        <v>0</v>
      </c>
      <c r="AD2809" t="n">
        <v>31360</v>
      </c>
      <c r="AE2809" t="n">
        <v>-31360</v>
      </c>
      <c r="AF2809" t="n">
        <v>0</v>
      </c>
      <c r="AG2809" t="n">
        <v>30325.12</v>
      </c>
      <c r="AH2809" t="n">
        <v>-30325.12</v>
      </c>
      <c r="AI2809" t="n">
        <v>0</v>
      </c>
    </row>
    <row r="2810">
      <c r="A2810" t="inlineStr">
        <is>
          <t>3월</t>
        </is>
      </c>
      <c r="B2810" t="inlineStr">
        <is>
          <t>14주차</t>
        </is>
      </c>
      <c r="C2810" t="inlineStr">
        <is>
          <t>EP</t>
        </is>
      </c>
      <c r="D2810" s="28" t="n">
        <v>46112</v>
      </c>
      <c r="E2810" t="inlineStr">
        <is>
          <t>현대EP_fast</t>
        </is>
      </c>
      <c r="F2810" t="inlineStr">
        <is>
          <t>김지환</t>
        </is>
      </c>
      <c r="G2810" t="inlineStr">
        <is>
          <t>010-7742-6628</t>
        </is>
      </c>
      <c r="H2810" t="inlineStr">
        <is>
          <t>20두7344</t>
        </is>
      </c>
      <c r="I2810" t="n">
        <v>3500000</v>
      </c>
      <c r="J2810" t="n">
        <v>0.102</v>
      </c>
      <c r="K2810" t="n">
        <v>1.76</v>
      </c>
      <c r="L2810" t="n">
        <v>0.4</v>
      </c>
      <c r="M2810" t="n">
        <v>1.36</v>
      </c>
      <c r="P2810" t="inlineStr">
        <is>
          <t>박보람</t>
        </is>
      </c>
      <c r="Q2810" t="inlineStr">
        <is>
          <t xml:space="preserve">고객주도체결 </t>
        </is>
      </c>
      <c r="AB2810" t="inlineStr">
        <is>
          <t>엔카</t>
        </is>
      </c>
      <c r="AC2810" t="n">
        <v>61600</v>
      </c>
      <c r="AD2810" t="n">
        <v>14000</v>
      </c>
      <c r="AE2810" t="n">
        <v>47600</v>
      </c>
      <c r="AF2810" t="n">
        <v>56000</v>
      </c>
      <c r="AG2810" t="n">
        <v>13538</v>
      </c>
      <c r="AH2810" t="n">
        <v>42462</v>
      </c>
      <c r="AI2810" t="n">
        <v>0</v>
      </c>
    </row>
    <row r="2811">
      <c r="A2811" t="inlineStr">
        <is>
          <t>3월</t>
        </is>
      </c>
      <c r="B2811" t="inlineStr">
        <is>
          <t>14주차</t>
        </is>
      </c>
      <c r="C2811" t="inlineStr">
        <is>
          <t>IM</t>
        </is>
      </c>
      <c r="D2811" s="28" t="n">
        <v>46112</v>
      </c>
      <c r="E2811" t="inlineStr">
        <is>
          <t>IM캐피탈</t>
        </is>
      </c>
      <c r="F2811" t="inlineStr">
        <is>
          <t>이성중</t>
        </is>
      </c>
      <c r="G2811" t="inlineStr">
        <is>
          <t>010-5453-1420</t>
        </is>
      </c>
      <c r="H2811" t="inlineStr">
        <is>
          <t>109수2336</t>
        </is>
      </c>
      <c r="I2811" t="n">
        <v>29800000</v>
      </c>
      <c r="J2811" t="n">
        <v>0.059</v>
      </c>
      <c r="K2811" t="n">
        <v>1.1</v>
      </c>
      <c r="L2811" t="n">
        <v>0.14</v>
      </c>
      <c r="M2811" t="n">
        <v>0.96</v>
      </c>
      <c r="P2811" t="inlineStr">
        <is>
          <t>김나윤</t>
        </is>
      </c>
      <c r="Q2811" t="inlineStr">
        <is>
          <t>홈서비스 60개월</t>
        </is>
      </c>
      <c r="AB2811" t="inlineStr">
        <is>
          <t>홈서비스</t>
        </is>
      </c>
      <c r="AC2811" t="n">
        <v>327800</v>
      </c>
      <c r="AD2811" t="n">
        <v>41720</v>
      </c>
      <c r="AE2811" t="n">
        <v>286080</v>
      </c>
      <c r="AF2811" t="n">
        <v>298000</v>
      </c>
      <c r="AG2811" t="n">
        <v>40343.24</v>
      </c>
      <c r="AH2811" t="n">
        <v>257656.76</v>
      </c>
    </row>
    <row r="2812">
      <c r="A2812" t="inlineStr">
        <is>
          <t>3월</t>
        </is>
      </c>
      <c r="B2812" t="inlineStr">
        <is>
          <t>14주차</t>
        </is>
      </c>
      <c r="C2812" t="inlineStr">
        <is>
          <t>IM</t>
        </is>
      </c>
      <c r="D2812" s="28" t="n">
        <v>46112</v>
      </c>
      <c r="E2812" t="inlineStr">
        <is>
          <t>IM캐피탈</t>
        </is>
      </c>
      <c r="F2812" t="inlineStr">
        <is>
          <t>유호영</t>
        </is>
      </c>
      <c r="G2812" t="inlineStr">
        <is>
          <t>010-8422-8263</t>
        </is>
      </c>
      <c r="H2812" t="inlineStr">
        <is>
          <t>43노8060</t>
        </is>
      </c>
      <c r="I2812" t="n">
        <v>25000000</v>
      </c>
      <c r="J2812" t="n">
        <v>0.056</v>
      </c>
      <c r="K2812" t="n">
        <v>1.1</v>
      </c>
      <c r="L2812" t="n">
        <v>0.14</v>
      </c>
      <c r="M2812" t="n">
        <v>0.96</v>
      </c>
      <c r="P2812" t="inlineStr">
        <is>
          <t>김나윤</t>
        </is>
      </c>
      <c r="Q2812" t="inlineStr">
        <is>
          <t>홈서비스 60개월</t>
        </is>
      </c>
      <c r="AB2812" t="inlineStr">
        <is>
          <t>홈서비스</t>
        </is>
      </c>
      <c r="AC2812" t="n">
        <v>275000</v>
      </c>
      <c r="AD2812" t="n">
        <v>35000</v>
      </c>
      <c r="AE2812" t="n">
        <v>240000</v>
      </c>
      <c r="AF2812" t="n">
        <v>250000</v>
      </c>
      <c r="AG2812" t="n">
        <v>33845</v>
      </c>
      <c r="AH2812" t="n">
        <v>216155</v>
      </c>
    </row>
    <row r="2813">
      <c r="A2813" t="inlineStr">
        <is>
          <t>3월</t>
        </is>
      </c>
      <c r="B2813" t="inlineStr">
        <is>
          <t>14주차</t>
        </is>
      </c>
      <c r="C2813" t="inlineStr">
        <is>
          <t>IM</t>
        </is>
      </c>
      <c r="D2813" s="28" t="n">
        <v>46112</v>
      </c>
      <c r="E2813" t="inlineStr">
        <is>
          <t>IM캐피탈</t>
        </is>
      </c>
      <c r="F2813" t="inlineStr">
        <is>
          <t>이진금</t>
        </is>
      </c>
      <c r="G2813" t="inlineStr">
        <is>
          <t>010-7610-1991</t>
        </is>
      </c>
      <c r="H2813" t="inlineStr">
        <is>
          <t>111도2852</t>
        </is>
      </c>
      <c r="I2813" t="n">
        <v>30000000</v>
      </c>
      <c r="J2813" t="n">
        <v>0.049</v>
      </c>
      <c r="K2813" t="n">
        <v>1.1</v>
      </c>
      <c r="L2813" t="n">
        <v>0.4</v>
      </c>
      <c r="M2813" t="n">
        <v>0.7</v>
      </c>
      <c r="P2813" t="inlineStr">
        <is>
          <t>박소현</t>
        </is>
      </c>
      <c r="Q2813" t="inlineStr">
        <is>
          <t>부대비용추가진행</t>
        </is>
      </c>
      <c r="AB2813" t="inlineStr">
        <is>
          <t>엔카</t>
        </is>
      </c>
      <c r="AC2813" t="n">
        <v>330000</v>
      </c>
      <c r="AD2813" t="n">
        <v>120000</v>
      </c>
      <c r="AE2813" t="n">
        <v>210000</v>
      </c>
      <c r="AF2813" t="n">
        <v>300000</v>
      </c>
      <c r="AG2813" t="n">
        <v>116040</v>
      </c>
      <c r="AH2813" t="n">
        <v>183960</v>
      </c>
      <c r="AI2813" t="n">
        <v>0</v>
      </c>
    </row>
    <row r="2814">
      <c r="A2814" t="inlineStr">
        <is>
          <t>3월</t>
        </is>
      </c>
      <c r="B2814" t="inlineStr">
        <is>
          <t>14주차</t>
        </is>
      </c>
      <c r="C2814" t="inlineStr">
        <is>
          <t>EP</t>
        </is>
      </c>
      <c r="D2814" s="28" t="n">
        <v>46112</v>
      </c>
      <c r="E2814" t="inlineStr">
        <is>
          <t>현대EP</t>
        </is>
      </c>
      <c r="F2814" t="inlineStr">
        <is>
          <t>김광조</t>
        </is>
      </c>
      <c r="G2814" t="inlineStr">
        <is>
          <t>010-2441-6461</t>
        </is>
      </c>
      <c r="H2814" t="inlineStr">
        <is>
          <t>64버4408</t>
        </is>
      </c>
      <c r="I2814" t="n">
        <v>19900000</v>
      </c>
      <c r="J2814" t="n">
        <v>0.079</v>
      </c>
      <c r="K2814" t="n">
        <v>1.76</v>
      </c>
      <c r="L2814" t="n">
        <v>0.14</v>
      </c>
      <c r="M2814" t="n">
        <v>1.62</v>
      </c>
      <c r="P2814" t="inlineStr">
        <is>
          <t>최형주</t>
        </is>
      </c>
      <c r="Q2814" t="inlineStr">
        <is>
          <t>홈서비스 60개월</t>
        </is>
      </c>
      <c r="AB2814" t="inlineStr">
        <is>
          <t>홈서비스</t>
        </is>
      </c>
      <c r="AC2814" t="n">
        <v>350240</v>
      </c>
      <c r="AD2814" t="n">
        <v>27860</v>
      </c>
      <c r="AE2814" t="n">
        <v>322380</v>
      </c>
      <c r="AF2814" t="n">
        <v>318400</v>
      </c>
      <c r="AG2814" t="n">
        <v>26940.62</v>
      </c>
      <c r="AH2814" t="n">
        <v>291459.38</v>
      </c>
    </row>
    <row r="2815">
      <c r="A2815" t="inlineStr">
        <is>
          <t>3월</t>
        </is>
      </c>
      <c r="B2815" t="inlineStr">
        <is>
          <t>14주차</t>
        </is>
      </c>
      <c r="C2815" t="inlineStr">
        <is>
          <t>EP</t>
        </is>
      </c>
      <c r="D2815" s="28" t="n">
        <v>46112</v>
      </c>
      <c r="E2815" t="inlineStr">
        <is>
          <t>현대EP_fast</t>
        </is>
      </c>
      <c r="F2815" t="inlineStr">
        <is>
          <t>김인호</t>
        </is>
      </c>
      <c r="G2815" t="inlineStr">
        <is>
          <t>010-9121-5305</t>
        </is>
      </c>
      <c r="H2815" t="inlineStr">
        <is>
          <t>284저6419</t>
        </is>
      </c>
      <c r="I2815" t="n">
        <v>27300000</v>
      </c>
      <c r="J2815" t="n">
        <v>0.07099999999999999</v>
      </c>
      <c r="K2815" t="n">
        <v>1.76</v>
      </c>
      <c r="L2815" t="n">
        <v>0.14</v>
      </c>
      <c r="M2815" t="n">
        <v>1.62</v>
      </c>
      <c r="P2815" t="inlineStr">
        <is>
          <t>정광호</t>
        </is>
      </c>
      <c r="Q2815" t="inlineStr">
        <is>
          <t>홈서비스 60개월</t>
        </is>
      </c>
      <c r="AB2815" t="inlineStr">
        <is>
          <t>홈서비스</t>
        </is>
      </c>
      <c r="AC2815" t="n">
        <v>480480</v>
      </c>
      <c r="AD2815" t="n">
        <v>38220</v>
      </c>
      <c r="AE2815" t="n">
        <v>442260</v>
      </c>
      <c r="AF2815" t="n">
        <v>436800</v>
      </c>
      <c r="AG2815" t="n">
        <v>36958.74</v>
      </c>
      <c r="AH2815" t="n">
        <v>399841.26</v>
      </c>
    </row>
    <row r="2816">
      <c r="A2816" t="inlineStr">
        <is>
          <t>3월</t>
        </is>
      </c>
      <c r="B2816" t="inlineStr">
        <is>
          <t>14주차</t>
        </is>
      </c>
      <c r="C2816" t="inlineStr">
        <is>
          <t>EP</t>
        </is>
      </c>
      <c r="D2816" s="28" t="n">
        <v>46112</v>
      </c>
      <c r="E2816" t="inlineStr">
        <is>
          <t>현대EP</t>
        </is>
      </c>
      <c r="F2816" t="inlineStr">
        <is>
          <t>박정희</t>
        </is>
      </c>
      <c r="G2816" t="inlineStr">
        <is>
          <t>010-9238-7121</t>
        </is>
      </c>
      <c r="H2816" t="inlineStr">
        <is>
          <t>257구1290</t>
        </is>
      </c>
      <c r="I2816" t="n">
        <v>15000000</v>
      </c>
      <c r="J2816" t="n">
        <v>0.08799999999999999</v>
      </c>
      <c r="K2816" t="n">
        <v>1.76</v>
      </c>
      <c r="L2816" t="n">
        <v>0.14</v>
      </c>
      <c r="M2816" t="n">
        <v>1.62</v>
      </c>
      <c r="P2816" t="inlineStr">
        <is>
          <t>정광호</t>
        </is>
      </c>
      <c r="Q2816" t="inlineStr">
        <is>
          <t>홈서비스 60개월</t>
        </is>
      </c>
      <c r="AB2816" t="inlineStr">
        <is>
          <t>홈서비스</t>
        </is>
      </c>
      <c r="AC2816" t="n">
        <v>264000</v>
      </c>
      <c r="AD2816" t="n">
        <v>21000</v>
      </c>
      <c r="AE2816" t="n">
        <v>243000</v>
      </c>
      <c r="AF2816" t="n">
        <v>240000</v>
      </c>
      <c r="AG2816" t="n">
        <v>20307</v>
      </c>
      <c r="AH2816" t="n">
        <v>219693</v>
      </c>
    </row>
    <row r="2817">
      <c r="A2817" t="inlineStr">
        <is>
          <t>3월</t>
        </is>
      </c>
      <c r="B2817" t="inlineStr">
        <is>
          <t>14주차</t>
        </is>
      </c>
      <c r="C2817" t="inlineStr">
        <is>
          <t>OR</t>
        </is>
      </c>
      <c r="D2817" s="28" t="n">
        <v>46112</v>
      </c>
      <c r="E2817" t="inlineStr">
        <is>
          <t>오릭스</t>
        </is>
      </c>
      <c r="F2817" t="inlineStr">
        <is>
          <t>김영권</t>
        </is>
      </c>
      <c r="G2817" t="inlineStr">
        <is>
          <t>010-4876-3091</t>
        </is>
      </c>
      <c r="H2817" t="inlineStr">
        <is>
          <t>120모4932</t>
        </is>
      </c>
      <c r="I2817" t="n">
        <v>14000000</v>
      </c>
      <c r="J2817" t="n">
        <v>0.059</v>
      </c>
      <c r="K2817" t="n">
        <v>1.65</v>
      </c>
      <c r="L2817" t="n">
        <v>0.5</v>
      </c>
      <c r="M2817" t="n">
        <v>1.15</v>
      </c>
      <c r="P2817" t="inlineStr">
        <is>
          <t>정하은</t>
        </is>
      </c>
      <c r="AB2817" t="inlineStr">
        <is>
          <t>엔카</t>
        </is>
      </c>
      <c r="AC2817" t="n">
        <v>231000</v>
      </c>
      <c r="AD2817" t="n">
        <v>70000</v>
      </c>
      <c r="AE2817" t="n">
        <v>161000</v>
      </c>
      <c r="AF2817" t="n">
        <v>210000</v>
      </c>
      <c r="AG2817" t="n">
        <v>67690</v>
      </c>
      <c r="AH2817" t="n">
        <v>142310</v>
      </c>
      <c r="AI2817" t="n">
        <v>0</v>
      </c>
    </row>
    <row r="2818">
      <c r="A2818" t="inlineStr">
        <is>
          <t>3월</t>
        </is>
      </c>
      <c r="B2818" t="inlineStr">
        <is>
          <t>14주차</t>
        </is>
      </c>
      <c r="C2818" t="inlineStr">
        <is>
          <t>OR</t>
        </is>
      </c>
      <c r="D2818" s="28" t="n">
        <v>46112</v>
      </c>
      <c r="E2818" t="inlineStr">
        <is>
          <t>오릭스</t>
        </is>
      </c>
      <c r="F2818" t="inlineStr">
        <is>
          <t>김희수</t>
        </is>
      </c>
      <c r="G2818" t="inlineStr">
        <is>
          <t>010-3538-2790</t>
        </is>
      </c>
      <c r="H2818" t="inlineStr">
        <is>
          <t>11오0441</t>
        </is>
      </c>
      <c r="I2818" t="n">
        <v>5500000</v>
      </c>
      <c r="J2818" t="n">
        <v>0.062</v>
      </c>
      <c r="K2818" t="n">
        <v>1.65</v>
      </c>
      <c r="L2818" t="n">
        <v>0.5</v>
      </c>
      <c r="M2818" t="n">
        <v>1.15</v>
      </c>
      <c r="P2818" t="inlineStr">
        <is>
          <t>정하은</t>
        </is>
      </c>
      <c r="Q2818" t="inlineStr">
        <is>
          <t>부대비용추가진행</t>
        </is>
      </c>
      <c r="AB2818" t="inlineStr">
        <is>
          <t>엔카</t>
        </is>
      </c>
      <c r="AC2818" t="n">
        <v>90750</v>
      </c>
      <c r="AD2818" t="n">
        <v>27500</v>
      </c>
      <c r="AE2818" t="n">
        <v>63250</v>
      </c>
      <c r="AF2818" t="n">
        <v>82500</v>
      </c>
      <c r="AG2818" t="n">
        <v>26592.5</v>
      </c>
      <c r="AH2818" t="n">
        <v>55907.5</v>
      </c>
      <c r="AI2818" t="n">
        <v>0</v>
      </c>
    </row>
    <row r="2819">
      <c r="A2819" t="inlineStr">
        <is>
          <t>4월</t>
        </is>
      </c>
      <c r="B2819" t="inlineStr">
        <is>
          <t>14주차</t>
        </is>
      </c>
      <c r="C2819" t="inlineStr">
        <is>
          <t>OR</t>
        </is>
      </c>
      <c r="D2819" s="28" t="n">
        <v>46113</v>
      </c>
      <c r="E2819" t="inlineStr">
        <is>
          <t>오릭스</t>
        </is>
      </c>
      <c r="F2819" t="inlineStr">
        <is>
          <t>장민경</t>
        </is>
      </c>
      <c r="G2819" t="inlineStr">
        <is>
          <t>010-8684-6510</t>
        </is>
      </c>
      <c r="H2819" t="inlineStr">
        <is>
          <t>55버3680</t>
        </is>
      </c>
      <c r="I2819" t="n">
        <v>9800000</v>
      </c>
      <c r="J2819" t="n">
        <v>0.055</v>
      </c>
      <c r="K2819" t="n">
        <v>1.65</v>
      </c>
      <c r="L2819" t="n">
        <v>0.07000000000000001</v>
      </c>
      <c r="M2819" t="n">
        <v>1.58</v>
      </c>
      <c r="P2819" t="inlineStr">
        <is>
          <t>최형주</t>
        </is>
      </c>
      <c r="Q2819" t="inlineStr">
        <is>
          <t>홈서비스 48개월</t>
        </is>
      </c>
      <c r="AB2819" t="inlineStr">
        <is>
          <t>홈서비스</t>
        </is>
      </c>
      <c r="AC2819" t="n">
        <v>161700</v>
      </c>
      <c r="AD2819" t="n">
        <v>6860</v>
      </c>
      <c r="AE2819" t="n">
        <v>154840</v>
      </c>
      <c r="AF2819" t="n">
        <v>147000</v>
      </c>
      <c r="AG2819" t="n">
        <v>6633.62</v>
      </c>
      <c r="AH2819" t="n">
        <v>140366.38</v>
      </c>
      <c r="AI2819" t="n">
        <v>0</v>
      </c>
    </row>
    <row r="2820">
      <c r="A2820" t="inlineStr">
        <is>
          <t>3월</t>
        </is>
      </c>
      <c r="B2820" t="inlineStr">
        <is>
          <t>14주차</t>
        </is>
      </c>
      <c r="C2820" t="inlineStr">
        <is>
          <t>EP</t>
        </is>
      </c>
      <c r="D2820" s="28" t="n">
        <v>46112</v>
      </c>
      <c r="E2820" t="inlineStr">
        <is>
          <t>BNKEP</t>
        </is>
      </c>
      <c r="F2820" t="inlineStr">
        <is>
          <t>강성호</t>
        </is>
      </c>
      <c r="G2820" t="inlineStr">
        <is>
          <t>010-3732-2051</t>
        </is>
      </c>
      <c r="H2820" t="inlineStr">
        <is>
          <t>05러4569</t>
        </is>
      </c>
      <c r="I2820" t="n">
        <v>28900000</v>
      </c>
      <c r="J2820" t="n">
        <v>0.081</v>
      </c>
      <c r="K2820" t="n">
        <v>1.65</v>
      </c>
      <c r="L2820" t="n">
        <v>0.14</v>
      </c>
      <c r="M2820" t="n">
        <v>1.51</v>
      </c>
      <c r="P2820" t="inlineStr">
        <is>
          <t>김수연</t>
        </is>
      </c>
      <c r="Q2820" t="inlineStr">
        <is>
          <t>홈서비스 60개월</t>
        </is>
      </c>
      <c r="AB2820" t="inlineStr">
        <is>
          <t>홈서비스</t>
        </is>
      </c>
      <c r="AC2820" t="n">
        <v>476850</v>
      </c>
      <c r="AD2820" t="n">
        <v>40460</v>
      </c>
      <c r="AE2820" t="n">
        <v>436390</v>
      </c>
      <c r="AF2820" t="n">
        <v>433500</v>
      </c>
      <c r="AG2820" t="n">
        <v>39124.82</v>
      </c>
      <c r="AH2820" t="n">
        <v>394375.18</v>
      </c>
      <c r="AI2820" t="n">
        <v>0</v>
      </c>
    </row>
    <row r="2821">
      <c r="A2821" t="inlineStr">
        <is>
          <t>3월</t>
        </is>
      </c>
      <c r="B2821" t="inlineStr">
        <is>
          <t>14주차</t>
        </is>
      </c>
      <c r="C2821" t="inlineStr">
        <is>
          <t>EP</t>
        </is>
      </c>
      <c r="D2821" s="28" t="n">
        <v>46112</v>
      </c>
      <c r="E2821" t="inlineStr">
        <is>
          <t>BNKEP</t>
        </is>
      </c>
      <c r="F2821" t="inlineStr">
        <is>
          <t>방훈석</t>
        </is>
      </c>
      <c r="G2821" t="inlineStr">
        <is>
          <t>010-9292-9288</t>
        </is>
      </c>
      <c r="H2821" t="inlineStr">
        <is>
          <t>62머2056</t>
        </is>
      </c>
      <c r="I2821" t="n">
        <v>-4000000</v>
      </c>
      <c r="J2821" t="n">
        <v>0.061</v>
      </c>
      <c r="K2821" t="n">
        <v>1.65</v>
      </c>
      <c r="L2821" t="n">
        <v>0.14</v>
      </c>
      <c r="M2821" t="n">
        <v>1.51</v>
      </c>
      <c r="P2821" t="inlineStr">
        <is>
          <t>정세빈</t>
        </is>
      </c>
      <c r="Q2821" t="inlineStr">
        <is>
          <t>홈서비스 60개월</t>
        </is>
      </c>
      <c r="AB2821" t="inlineStr">
        <is>
          <t>홈서비스</t>
        </is>
      </c>
      <c r="AC2821" t="n">
        <v>-66000</v>
      </c>
      <c r="AD2821" t="n">
        <v>-5600</v>
      </c>
      <c r="AE2821" t="n">
        <v>-60400</v>
      </c>
      <c r="AF2821" t="n">
        <v>-60000</v>
      </c>
      <c r="AG2821" t="n">
        <v>-5415.2</v>
      </c>
      <c r="AH2821" t="n">
        <v>-54584.8</v>
      </c>
      <c r="AI2821" t="n">
        <v>0</v>
      </c>
    </row>
    <row r="2822">
      <c r="A2822" t="inlineStr">
        <is>
          <t>4월</t>
        </is>
      </c>
      <c r="B2822" t="inlineStr">
        <is>
          <t>14주차</t>
        </is>
      </c>
      <c r="C2822" t="inlineStr">
        <is>
          <t>EP</t>
        </is>
      </c>
      <c r="D2822" s="28" t="n">
        <v>46113</v>
      </c>
      <c r="E2822" t="inlineStr">
        <is>
          <t>현대EP_fast</t>
        </is>
      </c>
      <c r="F2822" t="inlineStr">
        <is>
          <t>윤지현</t>
        </is>
      </c>
      <c r="G2822" t="inlineStr">
        <is>
          <t>010-2849-7574</t>
        </is>
      </c>
      <c r="H2822" t="inlineStr">
        <is>
          <t>363더1507</t>
        </is>
      </c>
      <c r="I2822" t="n">
        <v>16000000</v>
      </c>
      <c r="J2822" t="n">
        <v>0.062</v>
      </c>
      <c r="K2822" t="n">
        <v>1.76</v>
      </c>
      <c r="L2822" t="n">
        <v>0.2</v>
      </c>
      <c r="M2822" t="n">
        <v>1.56</v>
      </c>
      <c r="P2822" t="inlineStr">
        <is>
          <t>정광호</t>
        </is>
      </c>
      <c r="Q2822" t="inlineStr">
        <is>
          <t>홈서비스 36개월</t>
        </is>
      </c>
      <c r="AB2822" t="inlineStr">
        <is>
          <t>홈서비스</t>
        </is>
      </c>
      <c r="AC2822" t="n">
        <v>281600</v>
      </c>
      <c r="AD2822" t="n">
        <v>32000</v>
      </c>
      <c r="AE2822" t="n">
        <v>249600</v>
      </c>
      <c r="AF2822" t="n">
        <v>256000</v>
      </c>
      <c r="AG2822" t="n">
        <v>30944</v>
      </c>
      <c r="AH2822" t="n">
        <v>225056</v>
      </c>
      <c r="AI2822" t="n">
        <v>0</v>
      </c>
    </row>
    <row r="2823">
      <c r="A2823" t="inlineStr">
        <is>
          <t>3월</t>
        </is>
      </c>
      <c r="B2823" t="inlineStr">
        <is>
          <t>14주차</t>
        </is>
      </c>
      <c r="C2823" t="inlineStr">
        <is>
          <t>EP</t>
        </is>
      </c>
      <c r="D2823" s="28" t="n">
        <v>46111</v>
      </c>
      <c r="E2823" t="inlineStr">
        <is>
          <t>현대EP</t>
        </is>
      </c>
      <c r="F2823" t="inlineStr">
        <is>
          <t>김재환</t>
        </is>
      </c>
      <c r="G2823" t="inlineStr">
        <is>
          <t>010-4895-0293</t>
        </is>
      </c>
      <c r="H2823" t="inlineStr">
        <is>
          <t>25오4280</t>
        </is>
      </c>
      <c r="I2823" t="n">
        <v>8000000</v>
      </c>
      <c r="J2823" t="n">
        <v>0.08599999999999999</v>
      </c>
      <c r="K2823" t="n">
        <v>1.76</v>
      </c>
      <c r="L2823" t="n">
        <v>0.14</v>
      </c>
      <c r="M2823" t="n">
        <v>1.62</v>
      </c>
      <c r="P2823" t="inlineStr">
        <is>
          <t>임대경</t>
        </is>
      </c>
      <c r="Q2823" t="inlineStr">
        <is>
          <t>홈서비스 60개월</t>
        </is>
      </c>
      <c r="AB2823" t="inlineStr">
        <is>
          <t>홈서비스</t>
        </is>
      </c>
      <c r="AC2823" t="n">
        <v>140800</v>
      </c>
      <c r="AD2823" t="n">
        <v>11200</v>
      </c>
      <c r="AE2823" t="n">
        <v>129600</v>
      </c>
      <c r="AF2823" t="n">
        <v>128000</v>
      </c>
      <c r="AG2823" t="n">
        <v>10830.4</v>
      </c>
      <c r="AH2823" t="n">
        <v>117169.6</v>
      </c>
      <c r="AI2823" t="n">
        <v>0</v>
      </c>
    </row>
    <row r="2824">
      <c r="A2824" t="inlineStr">
        <is>
          <t>4월</t>
        </is>
      </c>
      <c r="B2824" t="inlineStr">
        <is>
          <t>14주차</t>
        </is>
      </c>
      <c r="C2824" t="inlineStr">
        <is>
          <t>EP</t>
        </is>
      </c>
      <c r="D2824" s="28" t="n">
        <v>46113</v>
      </c>
      <c r="E2824" t="inlineStr">
        <is>
          <t>BNKEP</t>
        </is>
      </c>
      <c r="F2824" t="inlineStr">
        <is>
          <t>유정민</t>
        </is>
      </c>
      <c r="G2824" t="inlineStr">
        <is>
          <t>010-8853-6572</t>
        </is>
      </c>
      <c r="H2824" t="inlineStr">
        <is>
          <t>49라0682</t>
        </is>
      </c>
      <c r="I2824" t="n">
        <v>16500000</v>
      </c>
      <c r="J2824" t="n">
        <v>0.081</v>
      </c>
      <c r="K2824" t="n">
        <v>1.65</v>
      </c>
      <c r="L2824" t="n">
        <v>0.07000000000000001</v>
      </c>
      <c r="M2824" t="n">
        <v>1.58</v>
      </c>
      <c r="P2824" t="inlineStr">
        <is>
          <t>황채이</t>
        </is>
      </c>
      <c r="Q2824" t="inlineStr">
        <is>
          <t>홈서비스 48개월 / 기조회건- 현대 10.2</t>
        </is>
      </c>
      <c r="AB2824" t="inlineStr">
        <is>
          <t>홈서비스</t>
        </is>
      </c>
      <c r="AC2824" t="n">
        <v>272250</v>
      </c>
      <c r="AD2824" t="n">
        <v>11550</v>
      </c>
      <c r="AE2824" t="n">
        <v>260700</v>
      </c>
      <c r="AF2824" t="n">
        <v>247500</v>
      </c>
      <c r="AG2824" t="n">
        <v>11168.85</v>
      </c>
      <c r="AH2824" t="n">
        <v>236331.15</v>
      </c>
      <c r="AI2824" t="n">
        <v>0</v>
      </c>
    </row>
    <row r="2825">
      <c r="A2825" t="inlineStr">
        <is>
          <t>3월</t>
        </is>
      </c>
      <c r="B2825" t="inlineStr">
        <is>
          <t>14주차</t>
        </is>
      </c>
      <c r="C2825" t="inlineStr">
        <is>
          <t>EP</t>
        </is>
      </c>
      <c r="D2825" s="28" t="n">
        <v>46112</v>
      </c>
      <c r="E2825" t="inlineStr">
        <is>
          <t>제이비EP</t>
        </is>
      </c>
      <c r="F2825" t="inlineStr">
        <is>
          <t>최돈석</t>
        </is>
      </c>
      <c r="G2825" t="inlineStr">
        <is>
          <t>010-6378-3744</t>
        </is>
      </c>
      <c r="H2825" t="inlineStr">
        <is>
          <t>38가7884</t>
        </is>
      </c>
      <c r="I2825" t="n">
        <v>10000000</v>
      </c>
      <c r="J2825" t="n">
        <v>0.079</v>
      </c>
      <c r="K2825" t="n">
        <v>1.65</v>
      </c>
      <c r="L2825" t="n">
        <v>0.14</v>
      </c>
      <c r="M2825" t="n">
        <v>1.51</v>
      </c>
      <c r="P2825" t="inlineStr">
        <is>
          <t>박소현</t>
        </is>
      </c>
      <c r="Q2825" t="inlineStr">
        <is>
          <t>선상담 / 홈서비스 24개월</t>
        </is>
      </c>
      <c r="AB2825" t="inlineStr">
        <is>
          <t>홈서비스</t>
        </is>
      </c>
      <c r="AC2825" t="n">
        <v>165000</v>
      </c>
      <c r="AD2825" t="n">
        <v>14000</v>
      </c>
      <c r="AE2825" t="n">
        <v>151000</v>
      </c>
      <c r="AF2825" t="n">
        <v>150000</v>
      </c>
      <c r="AG2825" t="n">
        <v>13538</v>
      </c>
      <c r="AH2825" t="n">
        <v>136462</v>
      </c>
      <c r="AI2825" t="n">
        <v>0</v>
      </c>
    </row>
    <row r="2826">
      <c r="A2826" t="inlineStr">
        <is>
          <t>3월</t>
        </is>
      </c>
      <c r="B2826" t="inlineStr">
        <is>
          <t>14주차</t>
        </is>
      </c>
      <c r="C2826" t="inlineStr">
        <is>
          <t>OR</t>
        </is>
      </c>
      <c r="D2826" s="28" t="n">
        <v>46112</v>
      </c>
      <c r="E2826" t="inlineStr">
        <is>
          <t>오릭스</t>
        </is>
      </c>
      <c r="F2826" t="inlineStr">
        <is>
          <t>심재운</t>
        </is>
      </c>
      <c r="G2826" t="inlineStr">
        <is>
          <t>010-8830-3660</t>
        </is>
      </c>
      <c r="H2826" t="inlineStr">
        <is>
          <t>164저2183</t>
        </is>
      </c>
      <c r="I2826" t="n">
        <v>-23000000</v>
      </c>
      <c r="J2826" t="n">
        <v>0.059</v>
      </c>
      <c r="K2826" t="n">
        <v>1.65</v>
      </c>
      <c r="L2826" t="n">
        <v>0.14</v>
      </c>
      <c r="M2826" t="n">
        <v>1.51</v>
      </c>
      <c r="P2826" t="inlineStr">
        <is>
          <t>정세빈</t>
        </is>
      </c>
      <c r="Q2826" t="inlineStr">
        <is>
          <t>홈서비스 60개월</t>
        </is>
      </c>
      <c r="AB2826" t="inlineStr">
        <is>
          <t>홈서비스</t>
        </is>
      </c>
      <c r="AC2826" t="n">
        <v>-379500</v>
      </c>
      <c r="AD2826" t="n">
        <v>-32200</v>
      </c>
      <c r="AE2826" t="n">
        <v>-347300</v>
      </c>
      <c r="AF2826" t="n">
        <v>-345000</v>
      </c>
      <c r="AG2826" t="n">
        <v>-31137.4</v>
      </c>
      <c r="AH2826" t="n">
        <v>-313862.6</v>
      </c>
      <c r="AI2826" t="n">
        <v>0</v>
      </c>
    </row>
    <row r="2827">
      <c r="A2827" t="inlineStr">
        <is>
          <t>3월</t>
        </is>
      </c>
      <c r="B2827" t="inlineStr">
        <is>
          <t>14주차</t>
        </is>
      </c>
      <c r="C2827" t="inlineStr">
        <is>
          <t>EP</t>
        </is>
      </c>
      <c r="D2827" s="28" t="n">
        <v>46111</v>
      </c>
      <c r="E2827" t="inlineStr">
        <is>
          <t>현대EP_fast</t>
        </is>
      </c>
      <c r="F2827" t="inlineStr">
        <is>
          <t>최서경</t>
        </is>
      </c>
      <c r="G2827" t="inlineStr">
        <is>
          <t>010-2956-2327</t>
        </is>
      </c>
      <c r="H2827" t="inlineStr">
        <is>
          <t>333오8689</t>
        </is>
      </c>
      <c r="I2827" t="n">
        <v>17900000</v>
      </c>
      <c r="J2827" t="n">
        <v>0.105</v>
      </c>
      <c r="K2827" t="n">
        <v>1.76</v>
      </c>
      <c r="L2827" t="n">
        <v>0.14</v>
      </c>
      <c r="M2827" t="n">
        <v>1.62</v>
      </c>
      <c r="P2827" t="inlineStr">
        <is>
          <t>장진경</t>
        </is>
      </c>
      <c r="Q2827" t="inlineStr">
        <is>
          <t>선상담 / 홈서비스 48개월</t>
        </is>
      </c>
      <c r="AB2827" t="inlineStr">
        <is>
          <t>홈서비스</t>
        </is>
      </c>
      <c r="AC2827" t="n">
        <v>315040</v>
      </c>
      <c r="AD2827" t="n">
        <v>25060</v>
      </c>
      <c r="AE2827" t="n">
        <v>289980</v>
      </c>
      <c r="AF2827" t="n">
        <v>286400</v>
      </c>
      <c r="AG2827" t="n">
        <v>24233.02</v>
      </c>
      <c r="AH2827" t="n">
        <v>262166.98</v>
      </c>
    </row>
    <row r="2828">
      <c r="A2828" t="inlineStr">
        <is>
          <t>4월</t>
        </is>
      </c>
      <c r="B2828" t="inlineStr">
        <is>
          <t>14주차</t>
        </is>
      </c>
      <c r="C2828" t="inlineStr">
        <is>
          <t>EP</t>
        </is>
      </c>
      <c r="D2828" s="28" t="n">
        <v>46113</v>
      </c>
      <c r="E2828" t="inlineStr">
        <is>
          <t>제이비EP</t>
        </is>
      </c>
      <c r="F2828" t="inlineStr">
        <is>
          <t>이규행</t>
        </is>
      </c>
      <c r="G2828" t="inlineStr">
        <is>
          <t>010-2731-9405</t>
        </is>
      </c>
      <c r="H2828" t="inlineStr">
        <is>
          <t>127루1976</t>
        </is>
      </c>
      <c r="I2828" t="n">
        <v>18500000</v>
      </c>
      <c r="J2828" t="n">
        <v>0.07199999999999999</v>
      </c>
      <c r="K2828" t="n">
        <v>1.65</v>
      </c>
      <c r="L2828" t="n">
        <v>0.07000000000000001</v>
      </c>
      <c r="M2828" t="n">
        <v>1.58</v>
      </c>
      <c r="P2828" t="inlineStr">
        <is>
          <t>정세빈</t>
        </is>
      </c>
      <c r="Q2828" t="inlineStr">
        <is>
          <t>홈서비스 60개월</t>
        </is>
      </c>
      <c r="AB2828" t="inlineStr">
        <is>
          <t>홈서비스</t>
        </is>
      </c>
      <c r="AC2828" t="n">
        <v>305250</v>
      </c>
      <c r="AD2828" t="n">
        <v>12950</v>
      </c>
      <c r="AE2828" t="n">
        <v>292300</v>
      </c>
      <c r="AF2828" t="n">
        <v>277500</v>
      </c>
      <c r="AG2828" t="n">
        <v>12522.65</v>
      </c>
      <c r="AH2828" t="n">
        <v>264977.35</v>
      </c>
    </row>
    <row r="2829">
      <c r="A2829" t="inlineStr">
        <is>
          <t>4월</t>
        </is>
      </c>
      <c r="B2829" t="inlineStr">
        <is>
          <t>14주차</t>
        </is>
      </c>
      <c r="C2829" t="inlineStr">
        <is>
          <t>EP</t>
        </is>
      </c>
      <c r="D2829" s="28" t="n">
        <v>46113</v>
      </c>
      <c r="E2829" t="inlineStr">
        <is>
          <t>BNKEP</t>
        </is>
      </c>
      <c r="F2829" t="inlineStr">
        <is>
          <t>오지선</t>
        </is>
      </c>
      <c r="G2829" t="inlineStr">
        <is>
          <t>010-8567-2382</t>
        </is>
      </c>
      <c r="H2829" t="inlineStr">
        <is>
          <t>106오3079</t>
        </is>
      </c>
      <c r="I2829" t="n">
        <v>20000000</v>
      </c>
      <c r="J2829" t="n">
        <v>0.063</v>
      </c>
      <c r="K2829" t="n">
        <v>1.65</v>
      </c>
      <c r="L2829" t="n">
        <v>0.07000000000000001</v>
      </c>
      <c r="M2829" t="n">
        <v>1.58</v>
      </c>
      <c r="P2829" t="inlineStr">
        <is>
          <t>정광호</t>
        </is>
      </c>
      <c r="Q2829" t="inlineStr">
        <is>
          <t>홈서비스 60개월</t>
        </is>
      </c>
      <c r="AB2829" t="inlineStr">
        <is>
          <t>홈서비스</t>
        </is>
      </c>
      <c r="AC2829" t="n">
        <v>330000</v>
      </c>
      <c r="AD2829" t="n">
        <v>14000</v>
      </c>
      <c r="AE2829" t="n">
        <v>316000</v>
      </c>
      <c r="AF2829" t="n">
        <v>300000</v>
      </c>
      <c r="AG2829" t="n">
        <v>13538</v>
      </c>
      <c r="AH2829" t="n">
        <v>286462</v>
      </c>
      <c r="AI2829" t="n">
        <v>0</v>
      </c>
    </row>
    <row r="2830">
      <c r="A2830" t="inlineStr">
        <is>
          <t>3월</t>
        </is>
      </c>
      <c r="B2830" t="inlineStr">
        <is>
          <t>14주차</t>
        </is>
      </c>
      <c r="C2830" t="inlineStr">
        <is>
          <t>IM</t>
        </is>
      </c>
      <c r="D2830" s="28" t="n">
        <v>46112</v>
      </c>
      <c r="E2830" t="inlineStr">
        <is>
          <t>IM캐피탈</t>
        </is>
      </c>
      <c r="F2830" t="inlineStr">
        <is>
          <t xml:space="preserve">주소원 </t>
        </is>
      </c>
      <c r="G2830" t="inlineStr">
        <is>
          <t>010-4207-5997</t>
        </is>
      </c>
      <c r="H2830" t="inlineStr">
        <is>
          <t>11고6336</t>
        </is>
      </c>
      <c r="I2830" t="n">
        <v>5700000</v>
      </c>
      <c r="J2830" t="n">
        <v>0.056</v>
      </c>
      <c r="K2830" t="n">
        <v>1.1</v>
      </c>
      <c r="L2830" t="n">
        <v>0.14</v>
      </c>
      <c r="M2830" t="n">
        <v>0.96</v>
      </c>
      <c r="P2830" t="inlineStr">
        <is>
          <t>장현경</t>
        </is>
      </c>
      <c r="Q2830" t="inlineStr">
        <is>
          <t>선상담 / 홈서비스 60개월</t>
        </is>
      </c>
      <c r="AB2830" t="inlineStr">
        <is>
          <t>홈서비스</t>
        </is>
      </c>
      <c r="AC2830" t="n">
        <v>62700</v>
      </c>
      <c r="AD2830" t="n">
        <v>7980</v>
      </c>
      <c r="AE2830" t="n">
        <v>54720</v>
      </c>
      <c r="AF2830" t="n">
        <v>57000</v>
      </c>
      <c r="AG2830" t="n">
        <v>7716.66</v>
      </c>
      <c r="AH2830" t="n">
        <v>49283.34</v>
      </c>
      <c r="AI2830" t="n">
        <v>0</v>
      </c>
    </row>
    <row r="2831">
      <c r="A2831" t="inlineStr">
        <is>
          <t>3월</t>
        </is>
      </c>
      <c r="B2831" t="inlineStr">
        <is>
          <t>14주차</t>
        </is>
      </c>
      <c r="C2831" t="inlineStr">
        <is>
          <t>EP</t>
        </is>
      </c>
      <c r="D2831" s="28" t="n">
        <v>46112</v>
      </c>
      <c r="E2831" t="inlineStr">
        <is>
          <t>BNKEP</t>
        </is>
      </c>
      <c r="F2831" t="inlineStr">
        <is>
          <t>김정현</t>
        </is>
      </c>
      <c r="G2831" t="inlineStr">
        <is>
          <t>010-6499-4482</t>
        </is>
      </c>
      <c r="H2831" t="inlineStr">
        <is>
          <t>26노0429</t>
        </is>
      </c>
      <c r="I2831" t="n">
        <v>9300000</v>
      </c>
      <c r="J2831" t="n">
        <v>0.081</v>
      </c>
      <c r="K2831" t="n">
        <v>1.65</v>
      </c>
      <c r="L2831" t="n">
        <v>0.4</v>
      </c>
      <c r="M2831" t="n">
        <v>1.25</v>
      </c>
      <c r="P2831" t="inlineStr">
        <is>
          <t>장진경</t>
        </is>
      </c>
      <c r="Q2831" t="inlineStr">
        <is>
          <t>부대비용 추가진행</t>
        </is>
      </c>
      <c r="AB2831" t="inlineStr">
        <is>
          <t>엔카</t>
        </is>
      </c>
      <c r="AC2831" t="n">
        <v>153450</v>
      </c>
      <c r="AD2831" t="n">
        <v>37200</v>
      </c>
      <c r="AE2831" t="n">
        <v>116250</v>
      </c>
      <c r="AF2831" t="n">
        <v>139500</v>
      </c>
      <c r="AG2831" t="n">
        <v>35972.4</v>
      </c>
      <c r="AH2831" t="n">
        <v>103527.6</v>
      </c>
      <c r="AI2831" t="n">
        <v>0</v>
      </c>
    </row>
    <row r="2832">
      <c r="A2832" t="inlineStr">
        <is>
          <t>4월</t>
        </is>
      </c>
      <c r="B2832" t="inlineStr">
        <is>
          <t>14주차</t>
        </is>
      </c>
      <c r="C2832" t="inlineStr">
        <is>
          <t>EP</t>
        </is>
      </c>
      <c r="D2832" s="28" t="n">
        <v>46113</v>
      </c>
      <c r="E2832" t="inlineStr">
        <is>
          <t>제이비EP</t>
        </is>
      </c>
      <c r="F2832" t="inlineStr">
        <is>
          <t>김상구</t>
        </is>
      </c>
      <c r="G2832" t="inlineStr">
        <is>
          <t>010-3081-2687</t>
        </is>
      </c>
      <c r="H2832" t="inlineStr">
        <is>
          <t>233버7168</t>
        </is>
      </c>
      <c r="I2832" t="n">
        <v>35000000</v>
      </c>
      <c r="J2832" t="n">
        <v>0.11</v>
      </c>
      <c r="K2832" t="n">
        <v>1.65</v>
      </c>
      <c r="L2832" t="n">
        <v>0.07000000000000001</v>
      </c>
      <c r="M2832" t="n">
        <v>1.58</v>
      </c>
      <c r="P2832" t="inlineStr">
        <is>
          <t>정세빈</t>
        </is>
      </c>
      <c r="Q2832" t="inlineStr">
        <is>
          <t>홈서비스 60개월 / 부대비용추가대출</t>
        </is>
      </c>
      <c r="AB2832" t="inlineStr">
        <is>
          <t>홈서비스</t>
        </is>
      </c>
      <c r="AC2832" t="n">
        <v>577500</v>
      </c>
      <c r="AD2832" t="n">
        <v>24500</v>
      </c>
      <c r="AE2832" t="n">
        <v>553000</v>
      </c>
      <c r="AF2832" t="n">
        <v>525000</v>
      </c>
      <c r="AG2832" t="n">
        <v>23691.5</v>
      </c>
      <c r="AH2832" t="n">
        <v>501308.5</v>
      </c>
      <c r="AI2832" t="n">
        <v>0</v>
      </c>
    </row>
    <row r="2833">
      <c r="A2833" t="inlineStr">
        <is>
          <t>3월</t>
        </is>
      </c>
      <c r="B2833" t="inlineStr">
        <is>
          <t>14주차</t>
        </is>
      </c>
      <c r="C2833" t="inlineStr">
        <is>
          <t>EP</t>
        </is>
      </c>
      <c r="D2833" s="28" t="n">
        <v>46112</v>
      </c>
      <c r="E2833" t="inlineStr">
        <is>
          <t>현대EP</t>
        </is>
      </c>
      <c r="F2833" t="inlineStr">
        <is>
          <t>한건희</t>
        </is>
      </c>
      <c r="G2833" t="inlineStr">
        <is>
          <t>010-9256-8150</t>
        </is>
      </c>
      <c r="H2833" t="inlineStr">
        <is>
          <t>292저3517</t>
        </is>
      </c>
      <c r="I2833" t="n">
        <v>20000000</v>
      </c>
      <c r="J2833" t="n">
        <v>0.079</v>
      </c>
      <c r="K2833" t="n">
        <v>1.76</v>
      </c>
      <c r="L2833" t="n">
        <v>0.14</v>
      </c>
      <c r="M2833" t="n">
        <v>1.62</v>
      </c>
      <c r="P2833" t="inlineStr">
        <is>
          <t>김수연</t>
        </is>
      </c>
      <c r="Q2833" t="inlineStr">
        <is>
          <t>홈서비스 60개월</t>
        </is>
      </c>
      <c r="AB2833" t="inlineStr">
        <is>
          <t>홈서비스</t>
        </is>
      </c>
      <c r="AC2833" t="n">
        <v>352000</v>
      </c>
      <c r="AD2833" t="n">
        <v>28000</v>
      </c>
      <c r="AE2833" t="n">
        <v>324000</v>
      </c>
      <c r="AF2833" t="n">
        <v>320000</v>
      </c>
      <c r="AG2833" t="n">
        <v>27076</v>
      </c>
      <c r="AH2833" t="n">
        <v>292924</v>
      </c>
      <c r="AI2833" t="n">
        <v>0</v>
      </c>
    </row>
    <row r="2834">
      <c r="A2834" t="inlineStr">
        <is>
          <t>4월</t>
        </is>
      </c>
      <c r="B2834" t="inlineStr">
        <is>
          <t>14주차</t>
        </is>
      </c>
      <c r="C2834" t="inlineStr">
        <is>
          <t>OR</t>
        </is>
      </c>
      <c r="D2834" s="28" t="n">
        <v>46113</v>
      </c>
      <c r="E2834" t="inlineStr">
        <is>
          <t>오릭스</t>
        </is>
      </c>
      <c r="F2834" t="inlineStr">
        <is>
          <t>백광옥</t>
        </is>
      </c>
      <c r="G2834" t="inlineStr">
        <is>
          <t>010-8383-8834</t>
        </is>
      </c>
      <c r="H2834" t="inlineStr">
        <is>
          <t>219조9239</t>
        </is>
      </c>
      <c r="I2834" t="n">
        <v>20000000</v>
      </c>
      <c r="J2834" t="n">
        <v>0.055</v>
      </c>
      <c r="K2834" t="n">
        <v>1.65</v>
      </c>
      <c r="L2834" t="n">
        <v>0.07000000000000001</v>
      </c>
      <c r="M2834" t="n">
        <v>1.58</v>
      </c>
      <c r="P2834" t="inlineStr">
        <is>
          <t>김나윤</t>
        </is>
      </c>
      <c r="Q2834" t="inlineStr">
        <is>
          <t>홈서비스 48개월</t>
        </is>
      </c>
      <c r="AB2834" t="inlineStr">
        <is>
          <t>홈서비스</t>
        </is>
      </c>
      <c r="AC2834" t="n">
        <v>330000</v>
      </c>
      <c r="AD2834" t="n">
        <v>14000</v>
      </c>
      <c r="AE2834" t="n">
        <v>316000</v>
      </c>
      <c r="AF2834" t="n">
        <v>300000</v>
      </c>
      <c r="AG2834" t="n">
        <v>13538</v>
      </c>
      <c r="AH2834" t="n">
        <v>286462</v>
      </c>
      <c r="AI2834" t="n">
        <v>0</v>
      </c>
    </row>
    <row r="2835">
      <c r="A2835" t="inlineStr">
        <is>
          <t>3월</t>
        </is>
      </c>
      <c r="B2835" t="inlineStr">
        <is>
          <t>14주차</t>
        </is>
      </c>
      <c r="C2835" t="inlineStr">
        <is>
          <t>IM</t>
        </is>
      </c>
      <c r="D2835" s="28" t="n">
        <v>46112</v>
      </c>
      <c r="E2835" t="inlineStr">
        <is>
          <t>IM캐피탈</t>
        </is>
      </c>
      <c r="F2835" t="inlineStr">
        <is>
          <t>김태완</t>
        </is>
      </c>
      <c r="G2835" t="inlineStr">
        <is>
          <t>010-7253-3761</t>
        </is>
      </c>
      <c r="H2835" t="inlineStr">
        <is>
          <t>329서9519</t>
        </is>
      </c>
      <c r="I2835" t="n">
        <v>8500000</v>
      </c>
      <c r="J2835" t="n">
        <v>0.049</v>
      </c>
      <c r="K2835" t="n">
        <v>1.1</v>
      </c>
      <c r="L2835" t="n">
        <v>0.14</v>
      </c>
      <c r="M2835" t="n">
        <v>0.96</v>
      </c>
      <c r="P2835" t="inlineStr">
        <is>
          <t>구성완</t>
        </is>
      </c>
      <c r="Q2835" t="inlineStr">
        <is>
          <t>안심거래존건</t>
        </is>
      </c>
      <c r="AB2835" t="inlineStr">
        <is>
          <t>믿고</t>
        </is>
      </c>
      <c r="AC2835" t="n">
        <v>93500</v>
      </c>
      <c r="AD2835" t="n">
        <v>11900</v>
      </c>
      <c r="AE2835" t="n">
        <v>81600</v>
      </c>
      <c r="AF2835" t="n">
        <v>85000</v>
      </c>
      <c r="AG2835" t="n">
        <v>11507.3</v>
      </c>
      <c r="AH2835" t="n">
        <v>73492.7</v>
      </c>
      <c r="AI2835" t="n">
        <v>0</v>
      </c>
    </row>
    <row r="2836">
      <c r="A2836" t="inlineStr">
        <is>
          <t>4월</t>
        </is>
      </c>
      <c r="B2836" t="inlineStr">
        <is>
          <t>14주차</t>
        </is>
      </c>
      <c r="C2836" t="inlineStr">
        <is>
          <t>EP</t>
        </is>
      </c>
      <c r="D2836" s="28" t="n">
        <v>46113</v>
      </c>
      <c r="E2836" t="inlineStr">
        <is>
          <t>BNKEP</t>
        </is>
      </c>
      <c r="F2836" t="inlineStr">
        <is>
          <t>한기상</t>
        </is>
      </c>
      <c r="G2836" t="inlineStr">
        <is>
          <t>010-9317-8415</t>
        </is>
      </c>
      <c r="H2836" t="inlineStr">
        <is>
          <t>20모0275</t>
        </is>
      </c>
      <c r="I2836" t="n">
        <v>8000000</v>
      </c>
      <c r="J2836" t="n">
        <v>0.077</v>
      </c>
      <c r="K2836" t="n">
        <v>1.65</v>
      </c>
      <c r="L2836" t="n">
        <v>0.07000000000000001</v>
      </c>
      <c r="M2836" t="n">
        <v>1.58</v>
      </c>
      <c r="P2836" t="inlineStr">
        <is>
          <t>김나윤</t>
        </is>
      </c>
      <c r="Q2836" t="inlineStr">
        <is>
          <t>홈서비스 36개월</t>
        </is>
      </c>
      <c r="AB2836" t="inlineStr">
        <is>
          <t>홈서비스</t>
        </is>
      </c>
      <c r="AC2836" t="n">
        <v>132000</v>
      </c>
      <c r="AD2836" t="n">
        <v>5600</v>
      </c>
      <c r="AE2836" t="n">
        <v>126400</v>
      </c>
      <c r="AF2836" t="n">
        <v>120000</v>
      </c>
      <c r="AG2836" t="n">
        <v>5415.2</v>
      </c>
      <c r="AH2836" t="n">
        <v>114584.8</v>
      </c>
      <c r="AI2836" t="n">
        <v>0</v>
      </c>
    </row>
    <row r="2837">
      <c r="A2837" t="inlineStr">
        <is>
          <t>4월</t>
        </is>
      </c>
      <c r="B2837" t="inlineStr">
        <is>
          <t>14주차</t>
        </is>
      </c>
      <c r="C2837" t="inlineStr">
        <is>
          <t>IM</t>
        </is>
      </c>
      <c r="D2837" s="28" t="n">
        <v>46113</v>
      </c>
      <c r="E2837" t="inlineStr">
        <is>
          <t>IM캐피탈</t>
        </is>
      </c>
      <c r="F2837" t="inlineStr">
        <is>
          <t>강병규</t>
        </is>
      </c>
      <c r="G2837" t="inlineStr">
        <is>
          <t>010-7456-2316</t>
        </is>
      </c>
      <c r="H2837" t="inlineStr">
        <is>
          <t>273모3862</t>
        </is>
      </c>
      <c r="I2837" t="n">
        <v>13000000</v>
      </c>
      <c r="J2837" t="n">
        <v>0.049</v>
      </c>
      <c r="K2837" t="n">
        <v>1.1</v>
      </c>
      <c r="L2837" t="n">
        <v>0.07000000000000001</v>
      </c>
      <c r="M2837" t="n">
        <v>1.03</v>
      </c>
      <c r="P2837" t="inlineStr">
        <is>
          <t>정광호</t>
        </is>
      </c>
      <c r="Q2837" t="inlineStr">
        <is>
          <t>홈서비스 60개월</t>
        </is>
      </c>
      <c r="AB2837" t="inlineStr">
        <is>
          <t>홈서비스</t>
        </is>
      </c>
      <c r="AC2837" t="n">
        <v>143000</v>
      </c>
      <c r="AD2837" t="n">
        <v>9100</v>
      </c>
      <c r="AE2837" t="n">
        <v>133900</v>
      </c>
      <c r="AF2837" t="n">
        <v>130000</v>
      </c>
      <c r="AG2837" t="n">
        <v>8799.700000000001</v>
      </c>
      <c r="AH2837" t="n">
        <v>121200.3</v>
      </c>
      <c r="AI2837" t="n">
        <v>0</v>
      </c>
    </row>
    <row r="2838">
      <c r="A2838" t="inlineStr">
        <is>
          <t>4월</t>
        </is>
      </c>
      <c r="B2838" t="inlineStr">
        <is>
          <t>14주차</t>
        </is>
      </c>
      <c r="C2838" t="inlineStr">
        <is>
          <t>EP</t>
        </is>
      </c>
      <c r="D2838" s="28" t="n">
        <v>46113</v>
      </c>
      <c r="E2838" t="inlineStr">
        <is>
          <t>현대EP_fast</t>
        </is>
      </c>
      <c r="F2838" t="inlineStr">
        <is>
          <t>윤성지</t>
        </is>
      </c>
      <c r="G2838" t="inlineStr">
        <is>
          <t>010-4992-0503</t>
        </is>
      </c>
      <c r="H2838" t="inlineStr">
        <is>
          <t>395가5502</t>
        </is>
      </c>
      <c r="I2838" t="n">
        <v>5900000</v>
      </c>
      <c r="J2838" t="n">
        <v>0.08799999999999999</v>
      </c>
      <c r="K2838" t="n">
        <v>1.76</v>
      </c>
      <c r="L2838" t="n">
        <v>0.2</v>
      </c>
      <c r="M2838" t="n">
        <v>1.56</v>
      </c>
      <c r="P2838" t="inlineStr">
        <is>
          <t>김수연</t>
        </is>
      </c>
      <c r="Q2838" t="inlineStr">
        <is>
          <t>홈서비스 60개월</t>
        </is>
      </c>
      <c r="AB2838" t="inlineStr">
        <is>
          <t>홈서비스</t>
        </is>
      </c>
      <c r="AC2838" t="n">
        <v>103840</v>
      </c>
      <c r="AD2838" t="n">
        <v>11800</v>
      </c>
      <c r="AE2838" t="n">
        <v>92040</v>
      </c>
      <c r="AF2838" t="n">
        <v>94400</v>
      </c>
      <c r="AG2838" t="n">
        <v>11410.6</v>
      </c>
      <c r="AH2838" t="n">
        <v>82989.39999999999</v>
      </c>
      <c r="AI2838" t="n">
        <v>0</v>
      </c>
    </row>
    <row r="2839">
      <c r="A2839" t="inlineStr">
        <is>
          <t>4월</t>
        </is>
      </c>
      <c r="B2839" t="inlineStr">
        <is>
          <t>14주차</t>
        </is>
      </c>
      <c r="C2839" t="inlineStr">
        <is>
          <t>EP</t>
        </is>
      </c>
      <c r="D2839" s="28" t="n">
        <v>46113</v>
      </c>
      <c r="E2839" t="inlineStr">
        <is>
          <t>현대EP_fast</t>
        </is>
      </c>
      <c r="F2839" t="inlineStr">
        <is>
          <t>송요셉</t>
        </is>
      </c>
      <c r="G2839" t="inlineStr">
        <is>
          <t>010-2232-4503</t>
        </is>
      </c>
      <c r="H2839" t="inlineStr">
        <is>
          <t>38머3132</t>
        </is>
      </c>
      <c r="I2839" t="n">
        <v>9900000</v>
      </c>
      <c r="J2839" t="n">
        <v>0.09</v>
      </c>
      <c r="K2839" t="n">
        <v>1.76</v>
      </c>
      <c r="L2839" t="n">
        <v>0.2</v>
      </c>
      <c r="M2839" t="n">
        <v>1.56</v>
      </c>
      <c r="P2839" t="inlineStr">
        <is>
          <t>김나윤</t>
        </is>
      </c>
      <c r="Q2839" t="inlineStr">
        <is>
          <t>홈서비스 60개월</t>
        </is>
      </c>
      <c r="AB2839" t="inlineStr">
        <is>
          <t>홈서비스</t>
        </is>
      </c>
      <c r="AC2839" t="n">
        <v>174240</v>
      </c>
      <c r="AD2839" t="n">
        <v>19800</v>
      </c>
      <c r="AE2839" t="n">
        <v>154440</v>
      </c>
      <c r="AF2839" t="n">
        <v>158400</v>
      </c>
      <c r="AG2839" t="n">
        <v>19146.6</v>
      </c>
      <c r="AH2839" t="n">
        <v>139253.4</v>
      </c>
    </row>
    <row r="2840">
      <c r="A2840" t="inlineStr">
        <is>
          <t>4월</t>
        </is>
      </c>
      <c r="B2840" t="inlineStr">
        <is>
          <t>14주차</t>
        </is>
      </c>
      <c r="C2840" t="inlineStr">
        <is>
          <t>EP</t>
        </is>
      </c>
      <c r="D2840" s="28" t="n">
        <v>46113</v>
      </c>
      <c r="E2840" t="inlineStr">
        <is>
          <t>현대EP_fast</t>
        </is>
      </c>
      <c r="F2840" t="inlineStr">
        <is>
          <t>정성덕</t>
        </is>
      </c>
      <c r="G2840" t="inlineStr">
        <is>
          <t>010-3818-6088</t>
        </is>
      </c>
      <c r="H2840" t="inlineStr">
        <is>
          <t>167너1277</t>
        </is>
      </c>
      <c r="I2840" t="n">
        <v>25000000</v>
      </c>
      <c r="J2840" t="n">
        <v>0.07099999999999999</v>
      </c>
      <c r="K2840" t="n">
        <v>1.76</v>
      </c>
      <c r="L2840" t="n">
        <v>0.2</v>
      </c>
      <c r="M2840" t="n">
        <v>1.56</v>
      </c>
      <c r="P2840" t="inlineStr">
        <is>
          <t>김나윤</t>
        </is>
      </c>
      <c r="Q2840" t="inlineStr">
        <is>
          <t>홈서비스 48개월</t>
        </is>
      </c>
      <c r="AB2840" t="inlineStr">
        <is>
          <t>홈서비스</t>
        </is>
      </c>
      <c r="AC2840" t="n">
        <v>440000</v>
      </c>
      <c r="AD2840" t="n">
        <v>50000</v>
      </c>
      <c r="AE2840" t="n">
        <v>390000</v>
      </c>
      <c r="AF2840" t="n">
        <v>400000</v>
      </c>
      <c r="AG2840" t="n">
        <v>48350</v>
      </c>
      <c r="AH2840" t="n">
        <v>351650</v>
      </c>
      <c r="AI2840" t="n">
        <v>0</v>
      </c>
    </row>
    <row r="2841">
      <c r="A2841" t="inlineStr">
        <is>
          <t>4월</t>
        </is>
      </c>
      <c r="B2841" t="inlineStr">
        <is>
          <t>14주차</t>
        </is>
      </c>
      <c r="C2841" t="inlineStr">
        <is>
          <t>EP</t>
        </is>
      </c>
      <c r="D2841" s="28" t="n">
        <v>46113</v>
      </c>
      <c r="E2841" t="inlineStr">
        <is>
          <t>BNKEP</t>
        </is>
      </c>
      <c r="F2841" t="inlineStr">
        <is>
          <t>임혜경</t>
        </is>
      </c>
      <c r="G2841" t="inlineStr">
        <is>
          <t>010-3873-8459</t>
        </is>
      </c>
      <c r="H2841" t="inlineStr">
        <is>
          <t>235로9918</t>
        </is>
      </c>
      <c r="I2841" t="n">
        <v>22300000</v>
      </c>
      <c r="J2841" t="n">
        <v>0.117</v>
      </c>
      <c r="K2841" t="n">
        <v>1.65</v>
      </c>
      <c r="L2841" t="n">
        <v>0.07000000000000001</v>
      </c>
      <c r="M2841" t="n">
        <v>1.58</v>
      </c>
      <c r="P2841" t="inlineStr">
        <is>
          <t>최형주</t>
        </is>
      </c>
      <c r="Q2841" t="inlineStr">
        <is>
          <t>홈서비스 60개월 / 부대비용 추가 진행</t>
        </is>
      </c>
      <c r="AB2841" t="inlineStr">
        <is>
          <t>홈서비스</t>
        </is>
      </c>
      <c r="AC2841" t="n">
        <v>367950</v>
      </c>
      <c r="AD2841" t="n">
        <v>15610</v>
      </c>
      <c r="AE2841" t="n">
        <v>352340</v>
      </c>
      <c r="AF2841" t="n">
        <v>334500</v>
      </c>
      <c r="AG2841" t="n">
        <v>15094.87</v>
      </c>
      <c r="AH2841" t="n">
        <v>319405.13</v>
      </c>
      <c r="AI2841" t="n">
        <v>0</v>
      </c>
    </row>
    <row r="2842">
      <c r="A2842" t="inlineStr">
        <is>
          <t>4월</t>
        </is>
      </c>
      <c r="B2842" t="inlineStr">
        <is>
          <t>14주차</t>
        </is>
      </c>
      <c r="C2842" t="inlineStr">
        <is>
          <t>EP</t>
        </is>
      </c>
      <c r="D2842" s="28" t="n">
        <v>46113</v>
      </c>
      <c r="E2842" t="inlineStr">
        <is>
          <t>제이비EP</t>
        </is>
      </c>
      <c r="F2842" t="inlineStr">
        <is>
          <t>김예진</t>
        </is>
      </c>
      <c r="G2842" t="inlineStr">
        <is>
          <t>010-3700-6101</t>
        </is>
      </c>
      <c r="H2842" t="inlineStr">
        <is>
          <t>142다7536</t>
        </is>
      </c>
      <c r="I2842" t="n">
        <v>14400000</v>
      </c>
      <c r="J2842" t="n">
        <v>0.079</v>
      </c>
      <c r="K2842" t="n">
        <v>1.65</v>
      </c>
      <c r="L2842" t="n">
        <v>0.07000000000000001</v>
      </c>
      <c r="M2842" t="n">
        <v>1.58</v>
      </c>
      <c r="P2842" t="inlineStr">
        <is>
          <t>박소현</t>
        </is>
      </c>
      <c r="Q2842" t="inlineStr">
        <is>
          <t>홈서비스 60개월</t>
        </is>
      </c>
      <c r="AB2842" t="inlineStr">
        <is>
          <t>홈서비스</t>
        </is>
      </c>
      <c r="AC2842" t="n">
        <v>237600</v>
      </c>
      <c r="AD2842" t="n">
        <v>10080</v>
      </c>
      <c r="AE2842" t="n">
        <v>227520</v>
      </c>
      <c r="AF2842" t="n">
        <v>216000</v>
      </c>
      <c r="AG2842" t="n">
        <v>9747.360000000001</v>
      </c>
      <c r="AH2842" t="n">
        <v>206252.64</v>
      </c>
      <c r="AI2842" t="n">
        <v>0</v>
      </c>
    </row>
    <row r="2843">
      <c r="A2843" t="inlineStr">
        <is>
          <t>4월</t>
        </is>
      </c>
      <c r="B2843" t="inlineStr">
        <is>
          <t>14주차</t>
        </is>
      </c>
      <c r="C2843" t="inlineStr">
        <is>
          <t>IM</t>
        </is>
      </c>
      <c r="D2843" s="28" t="n">
        <v>46113</v>
      </c>
      <c r="E2843" t="inlineStr">
        <is>
          <t>IM캐피탈</t>
        </is>
      </c>
      <c r="F2843" t="inlineStr">
        <is>
          <t>유일선</t>
        </is>
      </c>
      <c r="G2843" t="inlineStr">
        <is>
          <t>010-5101-7887</t>
        </is>
      </c>
      <c r="H2843" t="inlineStr">
        <is>
          <t>143모3832</t>
        </is>
      </c>
      <c r="I2843" t="n">
        <v>28500000</v>
      </c>
      <c r="J2843" t="n">
        <v>0.059</v>
      </c>
      <c r="K2843" t="n">
        <v>1.1</v>
      </c>
      <c r="L2843" t="n">
        <v>0.3</v>
      </c>
      <c r="M2843" t="n">
        <v>0.8</v>
      </c>
      <c r="P2843" t="inlineStr">
        <is>
          <t>정하은</t>
        </is>
      </c>
      <c r="Q2843" t="inlineStr">
        <is>
          <t>개인간거래 /이전완료</t>
        </is>
      </c>
      <c r="AB2843" t="inlineStr">
        <is>
          <t>엔카</t>
        </is>
      </c>
      <c r="AC2843" t="n">
        <v>313500</v>
      </c>
      <c r="AD2843" t="n">
        <v>85500</v>
      </c>
      <c r="AE2843" t="n">
        <v>228000</v>
      </c>
      <c r="AF2843" t="n">
        <v>285000</v>
      </c>
      <c r="AG2843" t="n">
        <v>82678.5</v>
      </c>
      <c r="AH2843" t="n">
        <v>202321.5</v>
      </c>
      <c r="AI2843" t="n">
        <v>0</v>
      </c>
    </row>
    <row r="2844">
      <c r="A2844" t="inlineStr">
        <is>
          <t>4월</t>
        </is>
      </c>
      <c r="B2844" t="inlineStr">
        <is>
          <t>14주차</t>
        </is>
      </c>
      <c r="C2844" t="inlineStr">
        <is>
          <t>IM</t>
        </is>
      </c>
      <c r="D2844" s="28" t="n">
        <v>46113</v>
      </c>
      <c r="E2844" t="inlineStr">
        <is>
          <t>IM캐피탈</t>
        </is>
      </c>
      <c r="F2844" t="inlineStr">
        <is>
          <t>백승훈</t>
        </is>
      </c>
      <c r="G2844" t="inlineStr">
        <is>
          <t>010-4273-1580</t>
        </is>
      </c>
      <c r="H2844" t="inlineStr">
        <is>
          <t>167수1722</t>
        </is>
      </c>
      <c r="I2844" t="n">
        <v>100000000</v>
      </c>
      <c r="J2844" t="n">
        <v>0.039</v>
      </c>
      <c r="K2844" t="n">
        <v>1.1</v>
      </c>
      <c r="L2844" t="n">
        <v>0.3</v>
      </c>
      <c r="M2844" t="n">
        <v>0.8</v>
      </c>
      <c r="P2844" t="inlineStr">
        <is>
          <t>장진경</t>
        </is>
      </c>
      <c r="Q2844" t="inlineStr">
        <is>
          <t>공동명의 / 론진행</t>
        </is>
      </c>
      <c r="AB2844" t="inlineStr">
        <is>
          <t>엔카</t>
        </is>
      </c>
      <c r="AC2844" t="n">
        <v>1100000</v>
      </c>
      <c r="AD2844" t="n">
        <v>300000</v>
      </c>
      <c r="AE2844" t="n">
        <v>800000</v>
      </c>
      <c r="AF2844" t="n">
        <v>1000000</v>
      </c>
      <c r="AG2844" t="n">
        <v>290100</v>
      </c>
      <c r="AH2844" t="n">
        <v>709900</v>
      </c>
    </row>
    <row r="2845">
      <c r="A2845" t="inlineStr">
        <is>
          <t>4월</t>
        </is>
      </c>
      <c r="B2845" t="inlineStr">
        <is>
          <t>14주차</t>
        </is>
      </c>
      <c r="C2845" t="inlineStr">
        <is>
          <t>IM</t>
        </is>
      </c>
      <c r="D2845" s="28" t="n">
        <v>46113</v>
      </c>
      <c r="E2845" t="inlineStr">
        <is>
          <t>IM캐피탈</t>
        </is>
      </c>
      <c r="F2845" t="inlineStr">
        <is>
          <t>오항록</t>
        </is>
      </c>
      <c r="G2845" t="inlineStr">
        <is>
          <t>010-4904-0116</t>
        </is>
      </c>
      <c r="H2845" t="inlineStr">
        <is>
          <t>260버6115</t>
        </is>
      </c>
      <c r="I2845" t="n">
        <v>33000000</v>
      </c>
      <c r="J2845" t="n">
        <v>0.049</v>
      </c>
      <c r="K2845" t="n">
        <v>1.1</v>
      </c>
      <c r="L2845" t="n">
        <v>0.07000000000000001</v>
      </c>
      <c r="M2845" t="n">
        <v>1.03</v>
      </c>
      <c r="P2845" t="inlineStr">
        <is>
          <t>박소현</t>
        </is>
      </c>
      <c r="Q2845" t="inlineStr">
        <is>
          <t>선상담 / 홈서비스 60개월</t>
        </is>
      </c>
      <c r="AB2845" t="inlineStr">
        <is>
          <t>홈서비스</t>
        </is>
      </c>
      <c r="AC2845" t="n">
        <v>363000</v>
      </c>
      <c r="AD2845" t="n">
        <v>23100</v>
      </c>
      <c r="AE2845" t="n">
        <v>339900</v>
      </c>
      <c r="AF2845" t="n">
        <v>330000</v>
      </c>
      <c r="AG2845" t="n">
        <v>22337.7</v>
      </c>
      <c r="AH2845" t="n">
        <v>307662.3</v>
      </c>
    </row>
    <row r="2846">
      <c r="A2846" t="inlineStr">
        <is>
          <t>3월</t>
        </is>
      </c>
      <c r="B2846" t="inlineStr">
        <is>
          <t>14주차</t>
        </is>
      </c>
      <c r="C2846" t="inlineStr">
        <is>
          <t>EP</t>
        </is>
      </c>
      <c r="D2846" s="28" t="n">
        <v>46112</v>
      </c>
      <c r="E2846" t="inlineStr">
        <is>
          <t>BNKEP</t>
        </is>
      </c>
      <c r="F2846" t="inlineStr">
        <is>
          <t>최세윤</t>
        </is>
      </c>
      <c r="G2846" t="inlineStr">
        <is>
          <t>010-8213-6272</t>
        </is>
      </c>
      <c r="H2846" t="inlineStr">
        <is>
          <t>114다3309</t>
        </is>
      </c>
      <c r="I2846" t="n">
        <v>46000000</v>
      </c>
      <c r="J2846" t="n">
        <v>0.077</v>
      </c>
      <c r="K2846" t="n">
        <v>1.65</v>
      </c>
      <c r="L2846" t="n">
        <v>0.4</v>
      </c>
      <c r="M2846" t="n">
        <v>1.25</v>
      </c>
      <c r="P2846" t="inlineStr">
        <is>
          <t>박현민</t>
        </is>
      </c>
      <c r="AB2846" t="inlineStr">
        <is>
          <t>엔카</t>
        </is>
      </c>
      <c r="AC2846" t="n">
        <v>759000</v>
      </c>
      <c r="AD2846" t="n">
        <v>184000</v>
      </c>
      <c r="AE2846" t="n">
        <v>575000</v>
      </c>
      <c r="AF2846" t="n">
        <v>690000</v>
      </c>
      <c r="AG2846" t="n">
        <v>177928</v>
      </c>
      <c r="AH2846" t="n">
        <v>512072</v>
      </c>
      <c r="AI2846" t="n">
        <v>0</v>
      </c>
    </row>
    <row r="2847">
      <c r="A2847" t="inlineStr">
        <is>
          <t>4월</t>
        </is>
      </c>
      <c r="B2847" t="inlineStr">
        <is>
          <t>14주차</t>
        </is>
      </c>
      <c r="C2847" t="inlineStr">
        <is>
          <t>EP</t>
        </is>
      </c>
      <c r="D2847" s="28" t="n">
        <v>46113</v>
      </c>
      <c r="E2847" t="inlineStr">
        <is>
          <t>현대EP</t>
        </is>
      </c>
      <c r="F2847" t="inlineStr">
        <is>
          <t>양병헌</t>
        </is>
      </c>
      <c r="G2847" t="inlineStr">
        <is>
          <t>010-2914-8322</t>
        </is>
      </c>
      <c r="H2847" t="inlineStr">
        <is>
          <t>174머4175</t>
        </is>
      </c>
      <c r="I2847" t="n">
        <v>17000000</v>
      </c>
      <c r="J2847" t="n">
        <v>0.092</v>
      </c>
      <c r="K2847" t="n">
        <v>1.76</v>
      </c>
      <c r="L2847" t="n">
        <v>0.2</v>
      </c>
      <c r="M2847" t="n">
        <v>1.56</v>
      </c>
      <c r="P2847" t="inlineStr">
        <is>
          <t>김나윤</t>
        </is>
      </c>
      <c r="Q2847" t="inlineStr">
        <is>
          <t>홈서비스 36개월</t>
        </is>
      </c>
      <c r="AB2847" t="inlineStr">
        <is>
          <t>홈서비스</t>
        </is>
      </c>
      <c r="AC2847" t="n">
        <v>299200</v>
      </c>
      <c r="AD2847" t="n">
        <v>34000</v>
      </c>
      <c r="AE2847" t="n">
        <v>265200</v>
      </c>
      <c r="AF2847" t="n">
        <v>272000</v>
      </c>
      <c r="AG2847" t="n">
        <v>32878</v>
      </c>
      <c r="AH2847" t="n">
        <v>239122</v>
      </c>
      <c r="AI2847" t="n">
        <v>0</v>
      </c>
    </row>
    <row r="2848">
      <c r="A2848" t="inlineStr">
        <is>
          <t>4월</t>
        </is>
      </c>
      <c r="B2848" t="inlineStr">
        <is>
          <t>14주차</t>
        </is>
      </c>
      <c r="C2848" t="inlineStr">
        <is>
          <t>EP</t>
        </is>
      </c>
      <c r="D2848" s="28" t="n">
        <v>46113</v>
      </c>
      <c r="E2848" t="inlineStr">
        <is>
          <t>현대EP</t>
        </is>
      </c>
      <c r="F2848" t="inlineStr">
        <is>
          <t>유상진</t>
        </is>
      </c>
      <c r="G2848" t="inlineStr">
        <is>
          <t>010-8477-9553</t>
        </is>
      </c>
      <c r="H2848" t="inlineStr">
        <is>
          <t>382오6853</t>
        </is>
      </c>
      <c r="I2848" t="n">
        <v>20000000</v>
      </c>
      <c r="J2848" t="n">
        <v>0.154</v>
      </c>
      <c r="K2848" t="n">
        <v>1.76</v>
      </c>
      <c r="L2848" t="n">
        <v>0.2</v>
      </c>
      <c r="M2848" t="n">
        <v>1.56</v>
      </c>
      <c r="P2848" t="inlineStr">
        <is>
          <t>김나윤</t>
        </is>
      </c>
      <c r="Q2848" t="inlineStr">
        <is>
          <t>홈서비스 48개월</t>
        </is>
      </c>
      <c r="AB2848" t="inlineStr">
        <is>
          <t>홈서비스</t>
        </is>
      </c>
      <c r="AC2848" t="n">
        <v>352000</v>
      </c>
      <c r="AD2848" t="n">
        <v>40000</v>
      </c>
      <c r="AE2848" t="n">
        <v>312000</v>
      </c>
      <c r="AF2848" t="n">
        <v>320000</v>
      </c>
      <c r="AG2848" t="n">
        <v>38680</v>
      </c>
      <c r="AH2848" t="n">
        <v>281320</v>
      </c>
      <c r="AI2848" t="n">
        <v>0</v>
      </c>
    </row>
    <row r="2849">
      <c r="A2849" t="inlineStr">
        <is>
          <t>4월</t>
        </is>
      </c>
      <c r="B2849" t="inlineStr">
        <is>
          <t>14주차</t>
        </is>
      </c>
      <c r="C2849" t="inlineStr">
        <is>
          <t>OR</t>
        </is>
      </c>
      <c r="D2849" s="28" t="n">
        <v>46113</v>
      </c>
      <c r="E2849" t="inlineStr">
        <is>
          <t>오릭스</t>
        </is>
      </c>
      <c r="F2849" t="inlineStr">
        <is>
          <t>김하연</t>
        </is>
      </c>
      <c r="G2849" t="inlineStr">
        <is>
          <t>010-6298-2503</t>
        </is>
      </c>
      <c r="H2849" t="inlineStr">
        <is>
          <t>133노1747</t>
        </is>
      </c>
      <c r="I2849" t="n">
        <v>16500000</v>
      </c>
      <c r="J2849" t="n">
        <v>0.064</v>
      </c>
      <c r="K2849" t="n">
        <v>1.65</v>
      </c>
      <c r="L2849" t="n">
        <v>0.3</v>
      </c>
      <c r="M2849" t="n">
        <v>1.35</v>
      </c>
      <c r="P2849" t="inlineStr">
        <is>
          <t>정하은</t>
        </is>
      </c>
      <c r="AB2849" t="inlineStr">
        <is>
          <t>엔카</t>
        </is>
      </c>
      <c r="AC2849" t="n">
        <v>272250</v>
      </c>
      <c r="AD2849" t="n">
        <v>49500</v>
      </c>
      <c r="AE2849" t="n">
        <v>222750</v>
      </c>
      <c r="AF2849" t="n">
        <v>247500</v>
      </c>
      <c r="AG2849" t="n">
        <v>47866.5</v>
      </c>
      <c r="AH2849" t="n">
        <v>199633.5</v>
      </c>
      <c r="AI2849" t="n">
        <v>0</v>
      </c>
    </row>
    <row r="2850">
      <c r="A2850" t="inlineStr">
        <is>
          <t>3월</t>
        </is>
      </c>
      <c r="B2850" t="inlineStr">
        <is>
          <t>14주차</t>
        </is>
      </c>
      <c r="C2850" t="inlineStr">
        <is>
          <t>IM</t>
        </is>
      </c>
      <c r="D2850" s="28" t="n">
        <v>46112</v>
      </c>
      <c r="E2850" t="inlineStr">
        <is>
          <t>IM캐피탈</t>
        </is>
      </c>
      <c r="F2850" t="inlineStr">
        <is>
          <t>양이석</t>
        </is>
      </c>
      <c r="G2850" t="inlineStr">
        <is>
          <t>010-8220-2100</t>
        </is>
      </c>
      <c r="H2850" t="inlineStr">
        <is>
          <t>05저6485</t>
        </is>
      </c>
      <c r="I2850" t="n">
        <v>9400000</v>
      </c>
      <c r="J2850" t="n">
        <v>0.06900000000000001</v>
      </c>
      <c r="K2850" t="n">
        <v>1.1</v>
      </c>
      <c r="L2850" t="n">
        <v>0.4</v>
      </c>
      <c r="M2850" t="n">
        <v>0.7</v>
      </c>
      <c r="P2850" t="inlineStr">
        <is>
          <t>최혁</t>
        </is>
      </c>
      <c r="AB2850" t="inlineStr">
        <is>
          <t>엔카</t>
        </is>
      </c>
      <c r="AC2850" t="n">
        <v>103400</v>
      </c>
      <c r="AD2850" t="n">
        <v>37600</v>
      </c>
      <c r="AE2850" t="n">
        <v>65800</v>
      </c>
      <c r="AF2850" t="n">
        <v>94000</v>
      </c>
      <c r="AG2850" t="n">
        <v>36359.2</v>
      </c>
      <c r="AH2850" t="n">
        <v>57640.8</v>
      </c>
    </row>
    <row r="2851">
      <c r="A2851" t="inlineStr">
        <is>
          <t>4월</t>
        </is>
      </c>
      <c r="B2851" t="inlineStr">
        <is>
          <t>14주차</t>
        </is>
      </c>
      <c r="C2851" t="inlineStr">
        <is>
          <t>OR</t>
        </is>
      </c>
      <c r="D2851" s="28" t="n">
        <v>46114</v>
      </c>
      <c r="E2851" t="inlineStr">
        <is>
          <t>오릭스</t>
        </is>
      </c>
      <c r="F2851" t="inlineStr">
        <is>
          <t>오영찬</t>
        </is>
      </c>
      <c r="G2851" t="inlineStr">
        <is>
          <t>010-4085-5431</t>
        </is>
      </c>
      <c r="H2851" t="inlineStr">
        <is>
          <t>08노5059</t>
        </is>
      </c>
      <c r="I2851" t="n">
        <v>11800000</v>
      </c>
      <c r="J2851" t="n">
        <v>0.054</v>
      </c>
      <c r="K2851" t="n">
        <v>1.65</v>
      </c>
      <c r="L2851" t="n">
        <v>0.07000000000000001</v>
      </c>
      <c r="M2851" t="n">
        <v>1.58</v>
      </c>
      <c r="P2851" t="inlineStr">
        <is>
          <t>황채이</t>
        </is>
      </c>
      <c r="Q2851" t="inlineStr">
        <is>
          <t>홈서비스 48개월 / 기조회건- 현대 6.2</t>
        </is>
      </c>
      <c r="AB2851" t="inlineStr">
        <is>
          <t>홈서비스</t>
        </is>
      </c>
      <c r="AC2851" t="n">
        <v>194700</v>
      </c>
      <c r="AD2851" t="n">
        <v>8260</v>
      </c>
      <c r="AE2851" t="n">
        <v>186440</v>
      </c>
      <c r="AF2851" t="n">
        <v>177000</v>
      </c>
      <c r="AG2851" t="n">
        <v>7987.42</v>
      </c>
      <c r="AH2851" t="n">
        <v>169012.58</v>
      </c>
    </row>
    <row r="2852">
      <c r="A2852" t="inlineStr">
        <is>
          <t>4월</t>
        </is>
      </c>
      <c r="B2852" t="inlineStr">
        <is>
          <t>14주차</t>
        </is>
      </c>
      <c r="C2852" t="inlineStr">
        <is>
          <t>OR</t>
        </is>
      </c>
      <c r="D2852" s="28" t="n">
        <v>46113</v>
      </c>
      <c r="E2852" t="inlineStr">
        <is>
          <t>오릭스</t>
        </is>
      </c>
      <c r="F2852" t="inlineStr">
        <is>
          <t>김청수</t>
        </is>
      </c>
      <c r="G2852" t="inlineStr">
        <is>
          <t>010-9934-0595</t>
        </is>
      </c>
      <c r="H2852" t="inlineStr">
        <is>
          <t>23고7444</t>
        </is>
      </c>
      <c r="I2852" t="n">
        <v>26000000</v>
      </c>
      <c r="J2852" t="n">
        <v>0.054</v>
      </c>
      <c r="K2852" t="n">
        <v>1.65</v>
      </c>
      <c r="L2852" t="n">
        <v>0.3</v>
      </c>
      <c r="M2852" t="n">
        <v>1.35</v>
      </c>
      <c r="P2852" t="inlineStr">
        <is>
          <t>박현민</t>
        </is>
      </c>
      <c r="Q2852" t="inlineStr">
        <is>
          <t>대출 사기건/ 오릭스 수수료지급X / 보류로 4월 1일자로 일자변경해둠( 실제 실행일자 2026-03-26)</t>
        </is>
      </c>
      <c r="AB2852" t="inlineStr">
        <is>
          <t>엔카</t>
        </is>
      </c>
      <c r="AC2852" t="n">
        <v>429000</v>
      </c>
      <c r="AD2852" t="n">
        <v>78000</v>
      </c>
      <c r="AE2852" t="n">
        <v>351000</v>
      </c>
      <c r="AF2852" t="n">
        <v>390000</v>
      </c>
      <c r="AG2852" t="n">
        <v>75426</v>
      </c>
      <c r="AH2852" t="n">
        <v>314574</v>
      </c>
      <c r="AI2852" t="n">
        <v>0</v>
      </c>
    </row>
    <row r="2853">
      <c r="A2853" t="inlineStr">
        <is>
          <t>4월</t>
        </is>
      </c>
      <c r="B2853" t="inlineStr">
        <is>
          <t>14주차</t>
        </is>
      </c>
      <c r="C2853" t="inlineStr">
        <is>
          <t>EP</t>
        </is>
      </c>
      <c r="D2853" s="28" t="n">
        <v>46113</v>
      </c>
      <c r="E2853" t="inlineStr">
        <is>
          <t>현대EP_fast</t>
        </is>
      </c>
      <c r="F2853" t="inlineStr">
        <is>
          <t>천인재</t>
        </is>
      </c>
      <c r="G2853" t="inlineStr">
        <is>
          <t>010-4509-8497</t>
        </is>
      </c>
      <c r="H2853" t="inlineStr">
        <is>
          <t>38도8628</t>
        </is>
      </c>
      <c r="I2853" t="n">
        <v>3000000</v>
      </c>
      <c r="J2853" t="n">
        <v>0.079</v>
      </c>
      <c r="K2853" t="n">
        <v>1.76</v>
      </c>
      <c r="L2853" t="n">
        <v>0.2</v>
      </c>
      <c r="M2853" t="n">
        <v>1.56</v>
      </c>
      <c r="P2853" t="inlineStr">
        <is>
          <t>정광호</t>
        </is>
      </c>
      <c r="Q2853" t="inlineStr">
        <is>
          <t>홈서비스 48개월</t>
        </is>
      </c>
      <c r="AB2853" t="inlineStr">
        <is>
          <t>홈서비스</t>
        </is>
      </c>
      <c r="AC2853" t="n">
        <v>52800</v>
      </c>
      <c r="AD2853" t="n">
        <v>6000</v>
      </c>
      <c r="AE2853" t="n">
        <v>46800</v>
      </c>
      <c r="AF2853" t="n">
        <v>48000</v>
      </c>
      <c r="AG2853" t="n">
        <v>5802</v>
      </c>
      <c r="AH2853" t="n">
        <v>42198</v>
      </c>
      <c r="AI2853" t="n">
        <v>0</v>
      </c>
    </row>
    <row r="2854">
      <c r="A2854" t="inlineStr">
        <is>
          <t>4월</t>
        </is>
      </c>
      <c r="B2854" t="inlineStr">
        <is>
          <t>14주차</t>
        </is>
      </c>
      <c r="C2854" t="inlineStr">
        <is>
          <t>EP</t>
        </is>
      </c>
      <c r="D2854" s="28" t="n">
        <v>46117</v>
      </c>
      <c r="E2854" t="inlineStr">
        <is>
          <t>현대EP</t>
        </is>
      </c>
      <c r="F2854" t="inlineStr">
        <is>
          <t>김재원</t>
        </is>
      </c>
      <c r="G2854" t="inlineStr">
        <is>
          <t>010-4553-1416</t>
        </is>
      </c>
      <c r="H2854" t="inlineStr">
        <is>
          <t>156누7216</t>
        </is>
      </c>
      <c r="I2854" t="n">
        <v>25900000</v>
      </c>
      <c r="J2854" t="n">
        <v>0.07099999999999999</v>
      </c>
      <c r="K2854" t="n">
        <v>1.76</v>
      </c>
      <c r="L2854" t="n">
        <v>0.2</v>
      </c>
      <c r="M2854" t="n">
        <v>1.56</v>
      </c>
      <c r="P2854" t="inlineStr">
        <is>
          <t>정광호</t>
        </is>
      </c>
      <c r="Q2854" t="inlineStr">
        <is>
          <t>홈서비스 60개월</t>
        </is>
      </c>
      <c r="AB2854" t="inlineStr">
        <is>
          <t>홈서비스</t>
        </is>
      </c>
      <c r="AC2854" t="n">
        <v>455840</v>
      </c>
      <c r="AD2854" t="n">
        <v>51800</v>
      </c>
      <c r="AE2854" t="n">
        <v>404040</v>
      </c>
      <c r="AF2854" t="n">
        <v>414400</v>
      </c>
      <c r="AG2854" t="n">
        <v>50090.6</v>
      </c>
      <c r="AH2854" t="n">
        <v>364309.4</v>
      </c>
      <c r="AI2854" t="n">
        <v>0</v>
      </c>
    </row>
    <row r="2855">
      <c r="A2855" t="inlineStr">
        <is>
          <t>4월</t>
        </is>
      </c>
      <c r="B2855" t="inlineStr">
        <is>
          <t>14주차</t>
        </is>
      </c>
      <c r="C2855" t="inlineStr">
        <is>
          <t>OR</t>
        </is>
      </c>
      <c r="D2855" s="28" t="n">
        <v>46114</v>
      </c>
      <c r="E2855" t="inlineStr">
        <is>
          <t>오릭스</t>
        </is>
      </c>
      <c r="F2855" t="inlineStr">
        <is>
          <t>박경화</t>
        </is>
      </c>
      <c r="G2855" t="inlineStr">
        <is>
          <t>010-9437-9156</t>
        </is>
      </c>
      <c r="H2855" t="inlineStr">
        <is>
          <t>176나2970</t>
        </is>
      </c>
      <c r="I2855" t="n">
        <v>26700000</v>
      </c>
      <c r="J2855" t="n">
        <v>0.054</v>
      </c>
      <c r="K2855" t="n">
        <v>1.65</v>
      </c>
      <c r="L2855" t="n">
        <v>0.07000000000000001</v>
      </c>
      <c r="M2855" t="n">
        <v>1.58</v>
      </c>
      <c r="P2855" t="inlineStr">
        <is>
          <t>김나윤</t>
        </is>
      </c>
      <c r="Q2855" t="inlineStr">
        <is>
          <t>홈서비스 60개월 / 자동취소 현금선불재접수</t>
        </is>
      </c>
      <c r="AB2855" t="inlineStr">
        <is>
          <t>홈서비스</t>
        </is>
      </c>
      <c r="AC2855" t="n">
        <v>440550</v>
      </c>
      <c r="AD2855" t="n">
        <v>18690</v>
      </c>
      <c r="AE2855" t="n">
        <v>421860</v>
      </c>
      <c r="AF2855" t="n">
        <v>400500</v>
      </c>
      <c r="AG2855" t="n">
        <v>18073.23</v>
      </c>
      <c r="AH2855" t="n">
        <v>382426.77</v>
      </c>
      <c r="AI2855" t="n">
        <v>0</v>
      </c>
    </row>
    <row r="2856">
      <c r="A2856" t="inlineStr">
        <is>
          <t>4월</t>
        </is>
      </c>
      <c r="B2856" t="inlineStr">
        <is>
          <t>14주차</t>
        </is>
      </c>
      <c r="C2856" t="inlineStr">
        <is>
          <t>EP</t>
        </is>
      </c>
      <c r="D2856" s="28" t="n">
        <v>46114</v>
      </c>
      <c r="E2856" t="inlineStr">
        <is>
          <t>현대EP_fast</t>
        </is>
      </c>
      <c r="F2856" t="inlineStr">
        <is>
          <t>정희재</t>
        </is>
      </c>
      <c r="G2856" t="inlineStr">
        <is>
          <t>010-8655-2912</t>
        </is>
      </c>
      <c r="H2856" t="inlineStr">
        <is>
          <t>314다2413</t>
        </is>
      </c>
      <c r="I2856" t="n">
        <v>12900000</v>
      </c>
      <c r="J2856" t="n">
        <v>0.119</v>
      </c>
      <c r="K2856" t="n">
        <v>1.76</v>
      </c>
      <c r="L2856" t="n">
        <v>0.2</v>
      </c>
      <c r="M2856" t="n">
        <v>1.56</v>
      </c>
      <c r="P2856" t="inlineStr">
        <is>
          <t>황채이</t>
        </is>
      </c>
      <c r="Q2856" t="inlineStr">
        <is>
          <t>홈서비스 60개월</t>
        </is>
      </c>
      <c r="AB2856" t="inlineStr">
        <is>
          <t>홈서비스</t>
        </is>
      </c>
      <c r="AC2856" t="n">
        <v>227040</v>
      </c>
      <c r="AD2856" t="n">
        <v>25800</v>
      </c>
      <c r="AE2856" t="n">
        <v>201240</v>
      </c>
      <c r="AF2856" t="n">
        <v>206400</v>
      </c>
      <c r="AG2856" t="n">
        <v>24948.6</v>
      </c>
      <c r="AH2856" t="n">
        <v>181451.4</v>
      </c>
      <c r="AI2856" t="n">
        <v>0</v>
      </c>
    </row>
    <row r="2857">
      <c r="A2857" t="inlineStr">
        <is>
          <t>4월</t>
        </is>
      </c>
      <c r="B2857" t="inlineStr">
        <is>
          <t>14주차</t>
        </is>
      </c>
      <c r="C2857" t="inlineStr">
        <is>
          <t>EP</t>
        </is>
      </c>
      <c r="D2857" s="28" t="n">
        <v>46114</v>
      </c>
      <c r="E2857" t="inlineStr">
        <is>
          <t>현대EP_fast</t>
        </is>
      </c>
      <c r="F2857" t="inlineStr">
        <is>
          <t>김태구</t>
        </is>
      </c>
      <c r="G2857" t="inlineStr">
        <is>
          <t>010-2570-8342</t>
        </is>
      </c>
      <c r="H2857" t="inlineStr">
        <is>
          <t>02소4968</t>
        </is>
      </c>
      <c r="I2857" t="n">
        <v>40000000</v>
      </c>
      <c r="J2857" t="n">
        <v>0.08599999999999999</v>
      </c>
      <c r="K2857" t="n">
        <v>1.76</v>
      </c>
      <c r="L2857" t="n">
        <v>0.2</v>
      </c>
      <c r="M2857" t="n">
        <v>1.56</v>
      </c>
      <c r="P2857" t="inlineStr">
        <is>
          <t>김나윤</t>
        </is>
      </c>
      <c r="Q2857" t="inlineStr">
        <is>
          <t>홈서비스 60개월</t>
        </is>
      </c>
      <c r="AB2857" t="inlineStr">
        <is>
          <t>홈서비스</t>
        </is>
      </c>
      <c r="AC2857" t="n">
        <v>704000</v>
      </c>
      <c r="AD2857" t="n">
        <v>80000</v>
      </c>
      <c r="AE2857" t="n">
        <v>624000</v>
      </c>
      <c r="AF2857" t="n">
        <v>640000</v>
      </c>
      <c r="AG2857" t="n">
        <v>77360</v>
      </c>
      <c r="AH2857" t="n">
        <v>562640</v>
      </c>
      <c r="AI2857" t="n">
        <v>0</v>
      </c>
    </row>
    <row r="2858">
      <c r="A2858" t="inlineStr">
        <is>
          <t>4월</t>
        </is>
      </c>
      <c r="B2858" t="inlineStr">
        <is>
          <t>14주차</t>
        </is>
      </c>
      <c r="C2858" t="inlineStr">
        <is>
          <t>EP</t>
        </is>
      </c>
      <c r="D2858" s="28" t="n">
        <v>46114</v>
      </c>
      <c r="E2858" t="inlineStr">
        <is>
          <t>현대EP_fast</t>
        </is>
      </c>
      <c r="F2858" t="inlineStr">
        <is>
          <t>이지인</t>
        </is>
      </c>
      <c r="G2858" t="inlineStr">
        <is>
          <t>010-4797-9633</t>
        </is>
      </c>
      <c r="H2858" t="inlineStr">
        <is>
          <t>47고5752</t>
        </is>
      </c>
      <c r="I2858" t="n">
        <v>29900000</v>
      </c>
      <c r="J2858" t="n">
        <v>0.09</v>
      </c>
      <c r="K2858" t="n">
        <v>1.76</v>
      </c>
      <c r="L2858" t="n">
        <v>0.2</v>
      </c>
      <c r="M2858" t="n">
        <v>1.56</v>
      </c>
      <c r="P2858" t="inlineStr">
        <is>
          <t>김나윤</t>
        </is>
      </c>
      <c r="Q2858" t="inlineStr">
        <is>
          <t>홈서비스 60개월</t>
        </is>
      </c>
      <c r="AB2858" t="inlineStr">
        <is>
          <t>홈서비스</t>
        </is>
      </c>
      <c r="AC2858" t="n">
        <v>526240</v>
      </c>
      <c r="AD2858" t="n">
        <v>59800</v>
      </c>
      <c r="AE2858" t="n">
        <v>466440</v>
      </c>
      <c r="AF2858" t="n">
        <v>478400</v>
      </c>
      <c r="AG2858" t="n">
        <v>57826.6</v>
      </c>
      <c r="AH2858" t="n">
        <v>420573.4</v>
      </c>
    </row>
    <row r="2859">
      <c r="A2859" t="inlineStr">
        <is>
          <t>3월</t>
        </is>
      </c>
      <c r="B2859" t="inlineStr">
        <is>
          <t>14주차</t>
        </is>
      </c>
      <c r="C2859" t="inlineStr">
        <is>
          <t>EP</t>
        </is>
      </c>
      <c r="D2859" s="28" t="n">
        <v>46112</v>
      </c>
      <c r="E2859" t="inlineStr">
        <is>
          <t>제이비EP</t>
        </is>
      </c>
      <c r="F2859" t="inlineStr">
        <is>
          <t>김부용</t>
        </is>
      </c>
      <c r="G2859" t="inlineStr">
        <is>
          <t>010-9466-8321</t>
        </is>
      </c>
      <c r="H2859" t="inlineStr">
        <is>
          <t>25가6955</t>
        </is>
      </c>
      <c r="I2859" t="n">
        <v>33000000</v>
      </c>
      <c r="J2859" t="n">
        <v>0.079</v>
      </c>
      <c r="K2859" t="n">
        <v>1.65</v>
      </c>
      <c r="L2859" t="n">
        <v>0.4</v>
      </c>
      <c r="M2859" t="n">
        <v>1.25</v>
      </c>
      <c r="P2859" t="inlineStr">
        <is>
          <t>박보람</t>
        </is>
      </c>
      <c r="Q2859" t="inlineStr">
        <is>
          <t>오토론진행</t>
        </is>
      </c>
      <c r="AB2859" t="inlineStr">
        <is>
          <t>엔카</t>
        </is>
      </c>
      <c r="AC2859" t="n">
        <v>544500</v>
      </c>
      <c r="AD2859" t="n">
        <v>132000</v>
      </c>
      <c r="AE2859" t="n">
        <v>412500</v>
      </c>
      <c r="AF2859" t="n">
        <v>495000</v>
      </c>
      <c r="AG2859" t="n">
        <v>127644</v>
      </c>
      <c r="AH2859" t="n">
        <v>367356</v>
      </c>
    </row>
    <row r="2860">
      <c r="A2860" t="inlineStr">
        <is>
          <t>3월</t>
        </is>
      </c>
      <c r="B2860" t="inlineStr">
        <is>
          <t>14주차</t>
        </is>
      </c>
      <c r="C2860" t="inlineStr">
        <is>
          <t>IM</t>
        </is>
      </c>
      <c r="D2860" s="28" t="n">
        <v>46112</v>
      </c>
      <c r="E2860" t="inlineStr">
        <is>
          <t>IM캐피탈</t>
        </is>
      </c>
      <c r="F2860" t="inlineStr">
        <is>
          <t>김준형</t>
        </is>
      </c>
      <c r="G2860" t="inlineStr">
        <is>
          <t>010-2222-3894</t>
        </is>
      </c>
      <c r="H2860" t="inlineStr">
        <is>
          <t>24부5502</t>
        </is>
      </c>
      <c r="I2860" t="n">
        <v>50000000</v>
      </c>
      <c r="J2860" t="n">
        <v>0.049</v>
      </c>
      <c r="K2860" t="n">
        <v>1.1</v>
      </c>
      <c r="L2860" t="n">
        <v>0.4</v>
      </c>
      <c r="M2860" t="n">
        <v>0.7</v>
      </c>
      <c r="P2860" t="inlineStr">
        <is>
          <t>최혁</t>
        </is>
      </c>
      <c r="AB2860" t="inlineStr">
        <is>
          <t>엔카</t>
        </is>
      </c>
      <c r="AC2860" t="n">
        <v>550000</v>
      </c>
      <c r="AD2860" t="n">
        <v>200000</v>
      </c>
      <c r="AE2860" t="n">
        <v>350000</v>
      </c>
      <c r="AF2860" t="n">
        <v>500000</v>
      </c>
      <c r="AG2860" t="n">
        <v>193400</v>
      </c>
      <c r="AH2860" t="n">
        <v>306600</v>
      </c>
      <c r="AI2860" t="n">
        <v>0</v>
      </c>
    </row>
    <row r="2861">
      <c r="A2861" t="inlineStr">
        <is>
          <t>4월</t>
        </is>
      </c>
      <c r="B2861" t="inlineStr">
        <is>
          <t>14주차</t>
        </is>
      </c>
      <c r="C2861" t="inlineStr">
        <is>
          <t>EP</t>
        </is>
      </c>
      <c r="D2861" s="28" t="n">
        <v>46114</v>
      </c>
      <c r="E2861" t="inlineStr">
        <is>
          <t>현대EP_fast</t>
        </is>
      </c>
      <c r="F2861" t="inlineStr">
        <is>
          <t>김승리</t>
        </is>
      </c>
      <c r="G2861" t="inlineStr">
        <is>
          <t>010-5121-3232</t>
        </is>
      </c>
      <c r="H2861" t="inlineStr">
        <is>
          <t>39부3227</t>
        </is>
      </c>
      <c r="I2861" t="n">
        <v>7900000</v>
      </c>
      <c r="J2861" t="n">
        <v>0.07099999999999999</v>
      </c>
      <c r="K2861" t="n">
        <v>1.76</v>
      </c>
      <c r="L2861" t="n">
        <v>0.6</v>
      </c>
      <c r="M2861" t="n">
        <v>1.16</v>
      </c>
      <c r="P2861" t="inlineStr">
        <is>
          <t>최혁</t>
        </is>
      </c>
      <c r="AB2861" t="inlineStr">
        <is>
          <t>엔카</t>
        </is>
      </c>
      <c r="AC2861" t="n">
        <v>139040</v>
      </c>
      <c r="AD2861" t="n">
        <v>47400</v>
      </c>
      <c r="AE2861" t="n">
        <v>91640</v>
      </c>
      <c r="AF2861" t="n">
        <v>126400</v>
      </c>
      <c r="AG2861" t="n">
        <v>45835.8</v>
      </c>
      <c r="AH2861" t="n">
        <v>80564.2</v>
      </c>
      <c r="AI2861" t="n">
        <v>0</v>
      </c>
    </row>
    <row r="2862">
      <c r="A2862" t="inlineStr">
        <is>
          <t>4월</t>
        </is>
      </c>
      <c r="B2862" t="inlineStr">
        <is>
          <t>14주차</t>
        </is>
      </c>
      <c r="C2862" t="inlineStr">
        <is>
          <t>EP</t>
        </is>
      </c>
      <c r="D2862" s="28" t="n">
        <v>46113</v>
      </c>
      <c r="E2862" t="inlineStr">
        <is>
          <t>현대EP</t>
        </is>
      </c>
      <c r="F2862" t="inlineStr">
        <is>
          <t>조성안</t>
        </is>
      </c>
      <c r="G2862" t="inlineStr">
        <is>
          <t>010-8994-1170</t>
        </is>
      </c>
      <c r="H2862" t="inlineStr">
        <is>
          <t>341루7479</t>
        </is>
      </c>
      <c r="I2862" t="n">
        <v>20000000</v>
      </c>
      <c r="J2862" t="n">
        <v>0.134</v>
      </c>
      <c r="K2862" t="n">
        <v>1.76</v>
      </c>
      <c r="L2862" t="n">
        <v>0.2</v>
      </c>
      <c r="M2862" t="n">
        <v>1.56</v>
      </c>
      <c r="P2862" t="inlineStr">
        <is>
          <t>박소현</t>
        </is>
      </c>
      <c r="Q2862" t="inlineStr">
        <is>
          <t>홈서비스 48개월</t>
        </is>
      </c>
      <c r="AB2862" t="inlineStr">
        <is>
          <t>홈서비스</t>
        </is>
      </c>
      <c r="AC2862" t="n">
        <v>352000</v>
      </c>
      <c r="AD2862" t="n">
        <v>40000</v>
      </c>
      <c r="AE2862" t="n">
        <v>312000</v>
      </c>
      <c r="AF2862" t="n">
        <v>320000</v>
      </c>
      <c r="AG2862" t="n">
        <v>38680</v>
      </c>
      <c r="AH2862" t="n">
        <v>281320</v>
      </c>
      <c r="AI2862" t="n">
        <v>0</v>
      </c>
    </row>
    <row r="2863">
      <c r="A2863" t="inlineStr">
        <is>
          <t>3월</t>
        </is>
      </c>
      <c r="B2863" t="inlineStr">
        <is>
          <t>14주차</t>
        </is>
      </c>
      <c r="C2863" t="inlineStr">
        <is>
          <t>OR</t>
        </is>
      </c>
      <c r="D2863" s="28" t="n">
        <v>46112</v>
      </c>
      <c r="E2863" t="inlineStr">
        <is>
          <t>오릭스</t>
        </is>
      </c>
      <c r="F2863" t="inlineStr">
        <is>
          <t>김진혁</t>
        </is>
      </c>
      <c r="G2863" t="inlineStr">
        <is>
          <t>010-7642-1480</t>
        </is>
      </c>
      <c r="H2863" t="inlineStr">
        <is>
          <t>07라7845</t>
        </is>
      </c>
      <c r="I2863" t="n">
        <v>29000000</v>
      </c>
      <c r="J2863" t="n">
        <v>0.063</v>
      </c>
      <c r="K2863" t="n">
        <v>1.65</v>
      </c>
      <c r="L2863" t="n">
        <v>0.14</v>
      </c>
      <c r="M2863" t="n">
        <v>1.51</v>
      </c>
      <c r="P2863" t="inlineStr">
        <is>
          <t>장현경</t>
        </is>
      </c>
      <c r="Q2863" t="inlineStr">
        <is>
          <t>선상담 / 홈서비스 60개월</t>
        </is>
      </c>
      <c r="AB2863" t="inlineStr">
        <is>
          <t>홈서비스</t>
        </is>
      </c>
      <c r="AC2863" t="n">
        <v>478500</v>
      </c>
      <c r="AD2863" t="n">
        <v>40600</v>
      </c>
      <c r="AE2863" t="n">
        <v>437900</v>
      </c>
      <c r="AF2863" t="n">
        <v>435000</v>
      </c>
      <c r="AG2863" t="n">
        <v>39260.2</v>
      </c>
      <c r="AH2863" t="n">
        <v>395739.8</v>
      </c>
      <c r="AI2863" t="n">
        <v>0</v>
      </c>
    </row>
    <row r="2864">
      <c r="A2864" t="inlineStr">
        <is>
          <t>4월</t>
        </is>
      </c>
      <c r="B2864" t="inlineStr">
        <is>
          <t>14주차</t>
        </is>
      </c>
      <c r="C2864" t="inlineStr">
        <is>
          <t>EP</t>
        </is>
      </c>
      <c r="D2864" s="28" t="n">
        <v>46114</v>
      </c>
      <c r="E2864" t="inlineStr">
        <is>
          <t>현대EP_fast</t>
        </is>
      </c>
      <c r="F2864" t="inlineStr">
        <is>
          <t>이민기</t>
        </is>
      </c>
      <c r="G2864" t="inlineStr">
        <is>
          <t>010-8324-1994</t>
        </is>
      </c>
      <c r="H2864" t="inlineStr">
        <is>
          <t>09우1979</t>
        </is>
      </c>
      <c r="I2864" t="n">
        <v>6700000</v>
      </c>
      <c r="J2864" t="n">
        <v>0.154</v>
      </c>
      <c r="K2864" t="n">
        <v>1.76</v>
      </c>
      <c r="L2864" t="n">
        <v>0.2</v>
      </c>
      <c r="M2864" t="n">
        <v>1.56</v>
      </c>
      <c r="P2864" t="inlineStr">
        <is>
          <t>김나윤</t>
        </is>
      </c>
      <c r="Q2864" t="inlineStr">
        <is>
          <t>홈서비스 48개월</t>
        </is>
      </c>
      <c r="AB2864" t="inlineStr">
        <is>
          <t>홈서비스</t>
        </is>
      </c>
      <c r="AC2864" t="n">
        <v>117920</v>
      </c>
      <c r="AD2864" t="n">
        <v>13400</v>
      </c>
      <c r="AE2864" t="n">
        <v>104520</v>
      </c>
      <c r="AF2864" t="n">
        <v>107200</v>
      </c>
      <c r="AG2864" t="n">
        <v>12957.8</v>
      </c>
      <c r="AH2864" t="n">
        <v>94242.2</v>
      </c>
    </row>
    <row r="2865">
      <c r="A2865" t="inlineStr">
        <is>
          <t>4월</t>
        </is>
      </c>
      <c r="B2865" t="inlineStr">
        <is>
          <t>14주차</t>
        </is>
      </c>
      <c r="C2865" t="inlineStr">
        <is>
          <t>EP</t>
        </is>
      </c>
      <c r="D2865" s="28" t="n">
        <v>46113</v>
      </c>
      <c r="E2865" t="inlineStr">
        <is>
          <t>현대EP_fast</t>
        </is>
      </c>
      <c r="F2865" t="inlineStr">
        <is>
          <t>홍주호</t>
        </is>
      </c>
      <c r="G2865" t="inlineStr">
        <is>
          <t>010-9325-9092</t>
        </is>
      </c>
      <c r="H2865" t="inlineStr">
        <is>
          <t>239다8969</t>
        </is>
      </c>
      <c r="I2865" t="n">
        <v>37500000</v>
      </c>
      <c r="J2865" t="n">
        <v>0.092</v>
      </c>
      <c r="K2865" t="n">
        <v>1.76</v>
      </c>
      <c r="L2865" t="n">
        <v>0.2</v>
      </c>
      <c r="M2865" t="n">
        <v>1.56</v>
      </c>
      <c r="P2865" t="inlineStr">
        <is>
          <t>장현경</t>
        </is>
      </c>
      <c r="Q2865" t="inlineStr">
        <is>
          <t>선상담 / 홈서비스 60개월</t>
        </is>
      </c>
      <c r="AB2865" t="inlineStr">
        <is>
          <t>홈서비스</t>
        </is>
      </c>
      <c r="AC2865" t="n">
        <v>660000</v>
      </c>
      <c r="AD2865" t="n">
        <v>75000</v>
      </c>
      <c r="AE2865" t="n">
        <v>585000</v>
      </c>
      <c r="AF2865" t="n">
        <v>600000</v>
      </c>
      <c r="AG2865" t="n">
        <v>72525</v>
      </c>
      <c r="AH2865" t="n">
        <v>527475</v>
      </c>
      <c r="AI2865" t="n">
        <v>0</v>
      </c>
    </row>
    <row r="2866">
      <c r="A2866" t="inlineStr">
        <is>
          <t>4월</t>
        </is>
      </c>
      <c r="B2866" t="inlineStr">
        <is>
          <t>14주차</t>
        </is>
      </c>
      <c r="C2866" t="inlineStr">
        <is>
          <t>IM</t>
        </is>
      </c>
      <c r="D2866" s="28" t="n">
        <v>46113</v>
      </c>
      <c r="E2866" t="inlineStr">
        <is>
          <t>IM캐피탈</t>
        </is>
      </c>
      <c r="F2866" t="inlineStr">
        <is>
          <t>서명진</t>
        </is>
      </c>
      <c r="G2866" t="inlineStr">
        <is>
          <t>010-2505-7065</t>
        </is>
      </c>
      <c r="H2866" t="inlineStr">
        <is>
          <t>242주1879</t>
        </is>
      </c>
      <c r="I2866" t="n">
        <v>29400000</v>
      </c>
      <c r="J2866" t="n">
        <v>0.049</v>
      </c>
      <c r="K2866" t="n">
        <v>1.1</v>
      </c>
      <c r="L2866" t="n">
        <v>0.07000000000000001</v>
      </c>
      <c r="M2866" t="n">
        <v>1.03</v>
      </c>
      <c r="P2866" t="inlineStr">
        <is>
          <t>정세빈</t>
        </is>
      </c>
      <c r="Q2866" t="inlineStr">
        <is>
          <t>홈서비스 72개월</t>
        </is>
      </c>
      <c r="AB2866" t="inlineStr">
        <is>
          <t>홈서비스</t>
        </is>
      </c>
      <c r="AC2866" t="n">
        <v>323400</v>
      </c>
      <c r="AD2866" t="n">
        <v>20580</v>
      </c>
      <c r="AE2866" t="n">
        <v>302820</v>
      </c>
      <c r="AF2866" t="n">
        <v>294000</v>
      </c>
      <c r="AG2866" t="n">
        <v>19900.86</v>
      </c>
      <c r="AH2866" t="n">
        <v>274099.14</v>
      </c>
      <c r="AI2866" t="n">
        <v>0</v>
      </c>
    </row>
    <row r="2867">
      <c r="A2867" t="inlineStr">
        <is>
          <t>4월</t>
        </is>
      </c>
      <c r="B2867" t="inlineStr">
        <is>
          <t>14주차</t>
        </is>
      </c>
      <c r="C2867" t="inlineStr">
        <is>
          <t>OR</t>
        </is>
      </c>
      <c r="D2867" s="28" t="n">
        <v>46114</v>
      </c>
      <c r="E2867" t="inlineStr">
        <is>
          <t>오릭스</t>
        </is>
      </c>
      <c r="F2867" t="inlineStr">
        <is>
          <t>류은영</t>
        </is>
      </c>
      <c r="G2867" t="inlineStr">
        <is>
          <t>010-9029-0055</t>
        </is>
      </c>
      <c r="H2867" t="inlineStr">
        <is>
          <t>226소8913</t>
        </is>
      </c>
      <c r="I2867" t="n">
        <v>20000000</v>
      </c>
      <c r="J2867" t="n">
        <v>0.06</v>
      </c>
      <c r="K2867" t="n">
        <v>1.65</v>
      </c>
      <c r="L2867" t="n">
        <v>0.07000000000000001</v>
      </c>
      <c r="M2867" t="n">
        <v>1.58</v>
      </c>
      <c r="P2867" t="inlineStr">
        <is>
          <t>박소현</t>
        </is>
      </c>
      <c r="Q2867" t="inlineStr">
        <is>
          <t>선상담 / 홈서비스 24개월</t>
        </is>
      </c>
      <c r="AB2867" t="inlineStr">
        <is>
          <t>홈서비스</t>
        </is>
      </c>
      <c r="AC2867" t="n">
        <v>330000</v>
      </c>
      <c r="AD2867" t="n">
        <v>14000</v>
      </c>
      <c r="AE2867" t="n">
        <v>316000</v>
      </c>
      <c r="AF2867" t="n">
        <v>300000</v>
      </c>
      <c r="AG2867" t="n">
        <v>13538</v>
      </c>
      <c r="AH2867" t="n">
        <v>286462</v>
      </c>
    </row>
    <row r="2868">
      <c r="A2868" t="inlineStr">
        <is>
          <t>4월</t>
        </is>
      </c>
      <c r="B2868" t="inlineStr">
        <is>
          <t>14주차</t>
        </is>
      </c>
      <c r="C2868" t="inlineStr">
        <is>
          <t>IM</t>
        </is>
      </c>
      <c r="D2868" s="28" t="n">
        <v>46113</v>
      </c>
      <c r="E2868" t="inlineStr">
        <is>
          <t>IM캐피탈</t>
        </is>
      </c>
      <c r="F2868" t="inlineStr">
        <is>
          <t>최은영</t>
        </is>
      </c>
      <c r="G2868" t="inlineStr">
        <is>
          <t>010-2607-1173</t>
        </is>
      </c>
      <c r="H2868" t="inlineStr">
        <is>
          <t>381마8207</t>
        </is>
      </c>
      <c r="I2868" t="n">
        <v>12800000</v>
      </c>
      <c r="J2868" t="n">
        <v>0.039</v>
      </c>
      <c r="K2868" t="n">
        <v>1.1</v>
      </c>
      <c r="L2868" t="n">
        <v>0.07000000000000001</v>
      </c>
      <c r="M2868" t="n">
        <v>1.03</v>
      </c>
      <c r="P2868" t="inlineStr">
        <is>
          <t>김수연</t>
        </is>
      </c>
      <c r="Q2868" t="inlineStr">
        <is>
          <t>홈서비스 60개월</t>
        </is>
      </c>
      <c r="AB2868" t="inlineStr">
        <is>
          <t>홈서비스</t>
        </is>
      </c>
      <c r="AC2868" t="n">
        <v>140800</v>
      </c>
      <c r="AD2868" t="n">
        <v>8960</v>
      </c>
      <c r="AE2868" t="n">
        <v>131840</v>
      </c>
      <c r="AF2868" t="n">
        <v>128000</v>
      </c>
      <c r="AG2868" t="n">
        <v>8664.32</v>
      </c>
      <c r="AH2868" t="n">
        <v>119335.68</v>
      </c>
      <c r="AI2868" t="n">
        <v>0</v>
      </c>
    </row>
    <row r="2869">
      <c r="A2869" t="inlineStr">
        <is>
          <t>4월</t>
        </is>
      </c>
      <c r="B2869" t="inlineStr">
        <is>
          <t>14주차</t>
        </is>
      </c>
      <c r="C2869" t="inlineStr">
        <is>
          <t>EP</t>
        </is>
      </c>
      <c r="D2869" s="28" t="n">
        <v>46113</v>
      </c>
      <c r="E2869" t="inlineStr">
        <is>
          <t>현대EP</t>
        </is>
      </c>
      <c r="F2869" t="inlineStr">
        <is>
          <t>서동민</t>
        </is>
      </c>
      <c r="G2869" t="inlineStr">
        <is>
          <t>010-7127-9801</t>
        </is>
      </c>
      <c r="H2869" t="inlineStr">
        <is>
          <t>303두1333</t>
        </is>
      </c>
      <c r="I2869" t="n">
        <v>21100000</v>
      </c>
      <c r="J2869" t="n">
        <v>0.092</v>
      </c>
      <c r="K2869" t="n">
        <v>1.76</v>
      </c>
      <c r="L2869" t="n">
        <v>0.2</v>
      </c>
      <c r="M2869" t="n">
        <v>1.56</v>
      </c>
      <c r="P2869" t="inlineStr">
        <is>
          <t>김수연</t>
        </is>
      </c>
      <c r="Q2869" t="inlineStr">
        <is>
          <t>홈서비스 60개월</t>
        </is>
      </c>
      <c r="AB2869" t="inlineStr">
        <is>
          <t>홈서비스</t>
        </is>
      </c>
      <c r="AC2869" t="n">
        <v>371360</v>
      </c>
      <c r="AD2869" t="n">
        <v>42200</v>
      </c>
      <c r="AE2869" t="n">
        <v>329160</v>
      </c>
      <c r="AF2869" t="n">
        <v>337600</v>
      </c>
      <c r="AG2869" t="n">
        <v>40807.4</v>
      </c>
      <c r="AH2869" t="n">
        <v>296792.6</v>
      </c>
      <c r="AI2869" t="n">
        <v>0</v>
      </c>
    </row>
    <row r="2870">
      <c r="A2870" t="inlineStr">
        <is>
          <t>4월</t>
        </is>
      </c>
      <c r="B2870" t="inlineStr">
        <is>
          <t>14주차</t>
        </is>
      </c>
      <c r="C2870" t="inlineStr">
        <is>
          <t>IM</t>
        </is>
      </c>
      <c r="D2870" s="28" t="n">
        <v>46114</v>
      </c>
      <c r="E2870" t="inlineStr">
        <is>
          <t>IM캐피탈</t>
        </is>
      </c>
      <c r="F2870" t="inlineStr">
        <is>
          <t>안제훈</t>
        </is>
      </c>
      <c r="G2870" t="inlineStr">
        <is>
          <t>010-3796-0515</t>
        </is>
      </c>
      <c r="H2870" t="inlineStr">
        <is>
          <t>180보3662</t>
        </is>
      </c>
      <c r="I2870" t="n">
        <v>32400000</v>
      </c>
      <c r="J2870" t="n">
        <v>0.049</v>
      </c>
      <c r="K2870" t="n">
        <v>1.1</v>
      </c>
      <c r="L2870" t="n">
        <v>0.07000000000000001</v>
      </c>
      <c r="M2870" t="n">
        <v>1.03</v>
      </c>
      <c r="P2870" t="inlineStr">
        <is>
          <t>황채이</t>
        </is>
      </c>
      <c r="Q2870" t="inlineStr">
        <is>
          <t>홈서비스 72개월 /  부대비용 추가진행</t>
        </is>
      </c>
      <c r="AB2870" t="inlineStr">
        <is>
          <t>홈서비스</t>
        </is>
      </c>
      <c r="AC2870" t="n">
        <v>356400</v>
      </c>
      <c r="AD2870" t="n">
        <v>22680</v>
      </c>
      <c r="AE2870" t="n">
        <v>333720</v>
      </c>
      <c r="AF2870" t="n">
        <v>324000</v>
      </c>
      <c r="AG2870" t="n">
        <v>21931.56</v>
      </c>
      <c r="AH2870" t="n">
        <v>302068.44</v>
      </c>
      <c r="AI2870" t="n">
        <v>0</v>
      </c>
    </row>
    <row r="2871">
      <c r="A2871" t="inlineStr">
        <is>
          <t>4월</t>
        </is>
      </c>
      <c r="B2871" t="inlineStr">
        <is>
          <t>14주차</t>
        </is>
      </c>
      <c r="C2871" t="inlineStr">
        <is>
          <t>IM</t>
        </is>
      </c>
      <c r="D2871" s="28" t="n">
        <v>46113</v>
      </c>
      <c r="E2871" t="inlineStr">
        <is>
          <t>IM캐피탈</t>
        </is>
      </c>
      <c r="F2871" t="inlineStr">
        <is>
          <t>김윤식</t>
        </is>
      </c>
      <c r="G2871" t="inlineStr">
        <is>
          <t>010-5607-1700</t>
        </is>
      </c>
      <c r="H2871" t="inlineStr">
        <is>
          <t>191로1281</t>
        </is>
      </c>
      <c r="I2871" t="n">
        <v>25000000</v>
      </c>
      <c r="J2871" t="n">
        <v>0.059</v>
      </c>
      <c r="K2871" t="n">
        <v>1.1</v>
      </c>
      <c r="L2871" t="n">
        <v>0.3</v>
      </c>
      <c r="M2871" t="n">
        <v>0.8</v>
      </c>
      <c r="P2871" t="inlineStr">
        <is>
          <t>장진경</t>
        </is>
      </c>
      <c r="AB2871" t="inlineStr">
        <is>
          <t>엔카</t>
        </is>
      </c>
      <c r="AC2871" t="n">
        <v>275000</v>
      </c>
      <c r="AD2871" t="n">
        <v>75000</v>
      </c>
      <c r="AE2871" t="n">
        <v>200000</v>
      </c>
      <c r="AF2871" t="n">
        <v>250000</v>
      </c>
      <c r="AG2871" t="n">
        <v>72525</v>
      </c>
      <c r="AH2871" t="n">
        <v>177475</v>
      </c>
      <c r="AI2871" t="n">
        <v>0</v>
      </c>
    </row>
    <row r="2872">
      <c r="A2872" t="inlineStr">
        <is>
          <t>4월</t>
        </is>
      </c>
      <c r="B2872" t="inlineStr">
        <is>
          <t>14주차</t>
        </is>
      </c>
      <c r="C2872" t="inlineStr">
        <is>
          <t>EP</t>
        </is>
      </c>
      <c r="D2872" s="28" t="n">
        <v>46114</v>
      </c>
      <c r="E2872" t="inlineStr">
        <is>
          <t>제이비EP</t>
        </is>
      </c>
      <c r="F2872" t="inlineStr">
        <is>
          <t>김동희</t>
        </is>
      </c>
      <c r="G2872" t="inlineStr">
        <is>
          <t>010-9040-3332</t>
        </is>
      </c>
      <c r="H2872" t="inlineStr">
        <is>
          <t>52저0474</t>
        </is>
      </c>
      <c r="I2872" t="n">
        <v>9000000</v>
      </c>
      <c r="J2872" t="n">
        <v>0.11</v>
      </c>
      <c r="K2872" t="n">
        <v>1.65</v>
      </c>
      <c r="L2872" t="n">
        <v>0.3</v>
      </c>
      <c r="M2872" t="n">
        <v>1.35</v>
      </c>
      <c r="P2872" t="inlineStr">
        <is>
          <t>장현경</t>
        </is>
      </c>
      <c r="AB2872" t="inlineStr">
        <is>
          <t>엔카</t>
        </is>
      </c>
      <c r="AC2872" t="n">
        <v>148500</v>
      </c>
      <c r="AD2872" t="n">
        <v>27000</v>
      </c>
      <c r="AE2872" t="n">
        <v>121500</v>
      </c>
      <c r="AF2872" t="n">
        <v>135000</v>
      </c>
      <c r="AG2872" t="n">
        <v>26109</v>
      </c>
      <c r="AH2872" t="n">
        <v>108891</v>
      </c>
      <c r="AI2872" t="n">
        <v>0</v>
      </c>
    </row>
    <row r="2873">
      <c r="A2873" t="inlineStr">
        <is>
          <t>4월</t>
        </is>
      </c>
      <c r="B2873" t="inlineStr">
        <is>
          <t>14주차</t>
        </is>
      </c>
      <c r="C2873" t="inlineStr">
        <is>
          <t>OR</t>
        </is>
      </c>
      <c r="D2873" s="28" t="n">
        <v>46114</v>
      </c>
      <c r="E2873" t="inlineStr">
        <is>
          <t>오릭스</t>
        </is>
      </c>
      <c r="F2873" t="inlineStr">
        <is>
          <t>김은우</t>
        </is>
      </c>
      <c r="G2873" t="inlineStr">
        <is>
          <t>010-4270-7552</t>
        </is>
      </c>
      <c r="H2873" t="inlineStr">
        <is>
          <t>01무7688</t>
        </is>
      </c>
      <c r="I2873" t="n">
        <v>26900000</v>
      </c>
      <c r="J2873" t="n">
        <v>0.055</v>
      </c>
      <c r="K2873" t="n">
        <v>1.65</v>
      </c>
      <c r="L2873" t="n">
        <v>0.07000000000000001</v>
      </c>
      <c r="M2873" t="n">
        <v>1.58</v>
      </c>
      <c r="P2873" t="inlineStr">
        <is>
          <t>장현경</t>
        </is>
      </c>
      <c r="Q2873" t="inlineStr">
        <is>
          <t>선상담 / 홈서비스 48개월 / 공동명의</t>
        </is>
      </c>
      <c r="AB2873" t="inlineStr">
        <is>
          <t>홈서비스</t>
        </is>
      </c>
      <c r="AC2873" t="n">
        <v>443850</v>
      </c>
      <c r="AD2873" t="n">
        <v>18830</v>
      </c>
      <c r="AE2873" t="n">
        <v>425020</v>
      </c>
      <c r="AF2873" t="n">
        <v>403500</v>
      </c>
      <c r="AG2873" t="n">
        <v>18208.61</v>
      </c>
      <c r="AH2873" t="n">
        <v>385291.39</v>
      </c>
    </row>
    <row r="2874">
      <c r="A2874" t="inlineStr">
        <is>
          <t>4월</t>
        </is>
      </c>
      <c r="B2874" t="inlineStr">
        <is>
          <t>14주차</t>
        </is>
      </c>
      <c r="C2874" t="inlineStr">
        <is>
          <t>EP</t>
        </is>
      </c>
      <c r="D2874" s="28" t="n">
        <v>46114</v>
      </c>
      <c r="E2874" t="inlineStr">
        <is>
          <t>BNKEP</t>
        </is>
      </c>
      <c r="F2874" t="inlineStr">
        <is>
          <t>김해린</t>
        </is>
      </c>
      <c r="G2874" t="inlineStr">
        <is>
          <t>010-2485-3784</t>
        </is>
      </c>
      <c r="H2874" t="inlineStr">
        <is>
          <t>173두9683</t>
        </is>
      </c>
      <c r="I2874" t="n">
        <v>16300000</v>
      </c>
      <c r="J2874" t="n">
        <v>0.063</v>
      </c>
      <c r="K2874" t="n">
        <v>1.65</v>
      </c>
      <c r="L2874" t="n">
        <v>0.07000000000000001</v>
      </c>
      <c r="M2874" t="n">
        <v>1.58</v>
      </c>
      <c r="P2874" t="inlineStr">
        <is>
          <t>김수연</t>
        </is>
      </c>
      <c r="Q2874" t="inlineStr">
        <is>
          <t>홈서비스60개월</t>
        </is>
      </c>
      <c r="AB2874" t="inlineStr">
        <is>
          <t>홈서비스</t>
        </is>
      </c>
      <c r="AC2874" t="n">
        <v>268950</v>
      </c>
      <c r="AD2874" t="n">
        <v>11410</v>
      </c>
      <c r="AE2874" t="n">
        <v>257540</v>
      </c>
      <c r="AF2874" t="n">
        <v>244500</v>
      </c>
      <c r="AG2874" t="n">
        <v>11033.47</v>
      </c>
      <c r="AH2874" t="n">
        <v>233466.53</v>
      </c>
      <c r="AI2874" t="n">
        <v>0</v>
      </c>
    </row>
    <row r="2875">
      <c r="A2875" t="inlineStr">
        <is>
          <t>4월</t>
        </is>
      </c>
      <c r="B2875" t="inlineStr">
        <is>
          <t>14주차</t>
        </is>
      </c>
      <c r="C2875" t="inlineStr">
        <is>
          <t>EP</t>
        </is>
      </c>
      <c r="D2875" s="28" t="n">
        <v>46113</v>
      </c>
      <c r="E2875" t="inlineStr">
        <is>
          <t>BNKEP</t>
        </is>
      </c>
      <c r="F2875" t="inlineStr">
        <is>
          <t>심소연</t>
        </is>
      </c>
      <c r="G2875" t="inlineStr">
        <is>
          <t>010-6747-6146</t>
        </is>
      </c>
      <c r="H2875" t="inlineStr">
        <is>
          <t>63라7240</t>
        </is>
      </c>
      <c r="I2875" t="n">
        <v>19900000</v>
      </c>
      <c r="J2875" t="n">
        <v>0.07199999999999999</v>
      </c>
      <c r="K2875" t="n">
        <v>1.65</v>
      </c>
      <c r="L2875" t="n">
        <v>0.07000000000000001</v>
      </c>
      <c r="M2875" t="n">
        <v>1.58</v>
      </c>
      <c r="P2875" t="inlineStr">
        <is>
          <t>정세빈</t>
        </is>
      </c>
      <c r="Q2875" t="inlineStr">
        <is>
          <t>홈서비스 60개월</t>
        </is>
      </c>
      <c r="AB2875" t="inlineStr">
        <is>
          <t>홈서비스</t>
        </is>
      </c>
      <c r="AC2875" t="n">
        <v>328350</v>
      </c>
      <c r="AD2875" t="n">
        <v>13930</v>
      </c>
      <c r="AE2875" t="n">
        <v>314420</v>
      </c>
      <c r="AF2875" t="n">
        <v>298500</v>
      </c>
      <c r="AG2875" t="n">
        <v>13470.31</v>
      </c>
      <c r="AH2875" t="n">
        <v>285029.69</v>
      </c>
      <c r="AI2875" t="n">
        <v>0</v>
      </c>
    </row>
    <row r="2876">
      <c r="A2876" t="inlineStr">
        <is>
          <t>4월</t>
        </is>
      </c>
      <c r="B2876" t="inlineStr">
        <is>
          <t>14주차</t>
        </is>
      </c>
      <c r="C2876" t="inlineStr">
        <is>
          <t>IM</t>
        </is>
      </c>
      <c r="D2876" s="28" t="n">
        <v>46114</v>
      </c>
      <c r="E2876" t="inlineStr">
        <is>
          <t>IM캐피탈</t>
        </is>
      </c>
      <c r="F2876" t="inlineStr">
        <is>
          <t>장선웅</t>
        </is>
      </c>
      <c r="G2876" t="inlineStr">
        <is>
          <t>010-8776-5084</t>
        </is>
      </c>
      <c r="H2876" t="inlineStr">
        <is>
          <t>166더3300</t>
        </is>
      </c>
      <c r="I2876" t="n">
        <v>10000000</v>
      </c>
      <c r="J2876" t="n">
        <v>0.056</v>
      </c>
      <c r="K2876" t="n">
        <v>1.1</v>
      </c>
      <c r="L2876" t="n">
        <v>0.07000000000000001</v>
      </c>
      <c r="M2876" t="n">
        <v>1.03</v>
      </c>
      <c r="P2876" t="inlineStr">
        <is>
          <t>황채이</t>
        </is>
      </c>
      <c r="Q2876" t="inlineStr">
        <is>
          <t>홈서비스 60개월 / 금리불만- 현대 7.1</t>
        </is>
      </c>
      <c r="AB2876" t="inlineStr">
        <is>
          <t>홈서비스</t>
        </is>
      </c>
      <c r="AC2876" t="n">
        <v>110000</v>
      </c>
      <c r="AD2876" t="n">
        <v>7000</v>
      </c>
      <c r="AE2876" t="n">
        <v>103000</v>
      </c>
      <c r="AF2876" t="n">
        <v>100000</v>
      </c>
      <c r="AG2876" t="n">
        <v>6769</v>
      </c>
      <c r="AH2876" t="n">
        <v>93231</v>
      </c>
      <c r="AI2876" t="n">
        <v>0</v>
      </c>
    </row>
    <row r="2877">
      <c r="A2877" t="inlineStr">
        <is>
          <t>3월</t>
        </is>
      </c>
      <c r="B2877" t="inlineStr">
        <is>
          <t>14주차</t>
        </is>
      </c>
      <c r="C2877" t="inlineStr">
        <is>
          <t>IM</t>
        </is>
      </c>
      <c r="D2877" s="28" t="n">
        <v>46112</v>
      </c>
      <c r="E2877" t="inlineStr">
        <is>
          <t>IM캐피탈</t>
        </is>
      </c>
      <c r="F2877" t="inlineStr">
        <is>
          <t>박형진</t>
        </is>
      </c>
      <c r="G2877" t="inlineStr">
        <is>
          <t>010-4507-3656</t>
        </is>
      </c>
      <c r="H2877" t="inlineStr">
        <is>
          <t>357루6675</t>
        </is>
      </c>
      <c r="I2877" t="n">
        <v>11800000</v>
      </c>
      <c r="J2877" t="n">
        <v>0.056</v>
      </c>
      <c r="K2877" t="n">
        <v>1.1</v>
      </c>
      <c r="L2877" t="n">
        <v>0.4</v>
      </c>
      <c r="M2877" t="n">
        <v>0.7</v>
      </c>
      <c r="P2877" t="inlineStr">
        <is>
          <t>구성완</t>
        </is>
      </c>
      <c r="Q2877" t="inlineStr">
        <is>
          <t>오토론진행</t>
        </is>
      </c>
      <c r="AB2877" t="inlineStr">
        <is>
          <t>엔카</t>
        </is>
      </c>
      <c r="AC2877" t="n">
        <v>129800</v>
      </c>
      <c r="AD2877" t="n">
        <v>47200</v>
      </c>
      <c r="AE2877" t="n">
        <v>82600</v>
      </c>
      <c r="AF2877" t="n">
        <v>118000</v>
      </c>
      <c r="AG2877" t="n">
        <v>45642.4</v>
      </c>
      <c r="AH2877" t="n">
        <v>72357.60000000001</v>
      </c>
    </row>
    <row r="2878">
      <c r="A2878" t="inlineStr">
        <is>
          <t>4월</t>
        </is>
      </c>
      <c r="B2878" t="inlineStr">
        <is>
          <t>14주차</t>
        </is>
      </c>
      <c r="C2878" t="inlineStr">
        <is>
          <t>EP</t>
        </is>
      </c>
      <c r="D2878" s="28" t="n">
        <v>46113</v>
      </c>
      <c r="E2878" t="inlineStr">
        <is>
          <t>제이비EP</t>
        </is>
      </c>
      <c r="F2878" t="inlineStr">
        <is>
          <t>박광규</t>
        </is>
      </c>
      <c r="G2878" t="inlineStr">
        <is>
          <t>010-8744-4226</t>
        </is>
      </c>
      <c r="H2878" t="inlineStr">
        <is>
          <t>21수0638</t>
        </is>
      </c>
      <c r="I2878" t="n">
        <v>10000000</v>
      </c>
      <c r="J2878" t="n">
        <v>0.06900000000000001</v>
      </c>
      <c r="K2878" t="n">
        <v>1.65</v>
      </c>
      <c r="L2878" t="n">
        <v>0.3</v>
      </c>
      <c r="M2878" t="n">
        <v>1.35</v>
      </c>
      <c r="P2878" t="inlineStr">
        <is>
          <t>구성완</t>
        </is>
      </c>
      <c r="AB2878" t="inlineStr">
        <is>
          <t>엔카</t>
        </is>
      </c>
      <c r="AC2878" t="n">
        <v>165000</v>
      </c>
      <c r="AD2878" t="n">
        <v>30000</v>
      </c>
      <c r="AE2878" t="n">
        <v>135000</v>
      </c>
      <c r="AF2878" t="n">
        <v>150000</v>
      </c>
      <c r="AG2878" t="n">
        <v>29010</v>
      </c>
      <c r="AH2878" t="n">
        <v>120990</v>
      </c>
    </row>
    <row r="2879">
      <c r="A2879" t="inlineStr">
        <is>
          <t>4월</t>
        </is>
      </c>
      <c r="B2879" t="inlineStr">
        <is>
          <t>14주차</t>
        </is>
      </c>
      <c r="C2879" t="inlineStr">
        <is>
          <t>EP</t>
        </is>
      </c>
      <c r="D2879" s="28" t="n">
        <v>46114</v>
      </c>
      <c r="E2879" t="inlineStr">
        <is>
          <t>제이비EP</t>
        </is>
      </c>
      <c r="F2879" t="inlineStr">
        <is>
          <t>정준호</t>
        </is>
      </c>
      <c r="G2879" t="inlineStr">
        <is>
          <t>010-6213-9790</t>
        </is>
      </c>
      <c r="H2879" t="inlineStr">
        <is>
          <t>96다8132</t>
        </is>
      </c>
      <c r="I2879" t="n">
        <v>4700000</v>
      </c>
      <c r="J2879" t="n">
        <v>0.079</v>
      </c>
      <c r="K2879" t="n">
        <v>1.65</v>
      </c>
      <c r="L2879" t="n">
        <v>0.3</v>
      </c>
      <c r="M2879" t="n">
        <v>1.35</v>
      </c>
      <c r="P2879" t="inlineStr">
        <is>
          <t>정하은</t>
        </is>
      </c>
      <c r="AB2879" t="inlineStr">
        <is>
          <t>엔카</t>
        </is>
      </c>
      <c r="AC2879" t="n">
        <v>77550</v>
      </c>
      <c r="AD2879" t="n">
        <v>14100</v>
      </c>
      <c r="AE2879" t="n">
        <v>63450</v>
      </c>
      <c r="AF2879" t="n">
        <v>70500</v>
      </c>
      <c r="AG2879" t="n">
        <v>13634.7</v>
      </c>
      <c r="AH2879" t="n">
        <v>56865.3</v>
      </c>
      <c r="AI2879" t="n">
        <v>0</v>
      </c>
      <c r="AJ2879" t="inlineStr">
        <is>
          <t>개인</t>
        </is>
      </c>
    </row>
    <row r="2880">
      <c r="A2880" t="inlineStr">
        <is>
          <t>4월</t>
        </is>
      </c>
      <c r="B2880" t="inlineStr">
        <is>
          <t>14주차</t>
        </is>
      </c>
      <c r="C2880" t="inlineStr">
        <is>
          <t>IM</t>
        </is>
      </c>
      <c r="D2880" s="28" t="n">
        <v>46114</v>
      </c>
      <c r="E2880" t="inlineStr">
        <is>
          <t>IM캐피탈</t>
        </is>
      </c>
      <c r="F2880" t="inlineStr">
        <is>
          <t>조건우</t>
        </is>
      </c>
      <c r="G2880" t="inlineStr">
        <is>
          <t>010-5635-6076</t>
        </is>
      </c>
      <c r="H2880" t="inlineStr">
        <is>
          <t>252라2039</t>
        </is>
      </c>
      <c r="I2880" t="n">
        <v>50000000</v>
      </c>
      <c r="J2880" t="n">
        <v>0.066</v>
      </c>
      <c r="K2880" t="n">
        <v>1.1</v>
      </c>
      <c r="L2880" t="n">
        <v>0.07000000000000001</v>
      </c>
      <c r="M2880" t="n">
        <v>1.03</v>
      </c>
      <c r="P2880" t="inlineStr">
        <is>
          <t>황채이</t>
        </is>
      </c>
      <c r="Q2880" t="inlineStr">
        <is>
          <t>홈서비스 72개월 / 금리불만- 현대 8.8</t>
        </is>
      </c>
      <c r="AB2880" t="inlineStr">
        <is>
          <t>홈서비스</t>
        </is>
      </c>
      <c r="AC2880" t="n">
        <v>550000</v>
      </c>
      <c r="AD2880" t="n">
        <v>35000</v>
      </c>
      <c r="AE2880" t="n">
        <v>515000</v>
      </c>
      <c r="AF2880" t="n">
        <v>500000</v>
      </c>
      <c r="AG2880" t="n">
        <v>33845</v>
      </c>
      <c r="AH2880" t="n">
        <v>466155</v>
      </c>
      <c r="AI2880" t="n">
        <v>0</v>
      </c>
    </row>
    <row r="2881">
      <c r="A2881" t="inlineStr">
        <is>
          <t>4월</t>
        </is>
      </c>
      <c r="B2881" t="inlineStr">
        <is>
          <t>14주차</t>
        </is>
      </c>
      <c r="C2881" t="inlineStr">
        <is>
          <t>IM</t>
        </is>
      </c>
      <c r="D2881" s="28" t="n">
        <v>46114</v>
      </c>
      <c r="E2881" t="inlineStr">
        <is>
          <t>IM캐피탈</t>
        </is>
      </c>
      <c r="F2881" t="inlineStr">
        <is>
          <t>홍순관</t>
        </is>
      </c>
      <c r="G2881" t="inlineStr">
        <is>
          <t>010-8422-0752</t>
        </is>
      </c>
      <c r="H2881" t="inlineStr">
        <is>
          <t>59보6207</t>
        </is>
      </c>
      <c r="I2881" t="n">
        <v>20000000</v>
      </c>
      <c r="J2881" t="n">
        <v>0.049</v>
      </c>
      <c r="K2881" t="n">
        <v>1.1</v>
      </c>
      <c r="L2881" t="n">
        <v>0.07000000000000001</v>
      </c>
      <c r="M2881" t="n">
        <v>1.03</v>
      </c>
      <c r="P2881" t="inlineStr">
        <is>
          <t>황채이</t>
        </is>
      </c>
      <c r="Q2881" t="inlineStr">
        <is>
          <t>홈서비스 48개월 / 금리불만- 현대 7.1</t>
        </is>
      </c>
      <c r="AB2881" t="inlineStr">
        <is>
          <t>홈서비스</t>
        </is>
      </c>
      <c r="AC2881" t="n">
        <v>220000</v>
      </c>
      <c r="AD2881" t="n">
        <v>14000</v>
      </c>
      <c r="AE2881" t="n">
        <v>206000</v>
      </c>
      <c r="AF2881" t="n">
        <v>200000</v>
      </c>
      <c r="AG2881" t="n">
        <v>13538</v>
      </c>
      <c r="AH2881" t="n">
        <v>186462</v>
      </c>
    </row>
    <row r="2882">
      <c r="A2882" t="inlineStr">
        <is>
          <t>3월</t>
        </is>
      </c>
      <c r="B2882" t="inlineStr">
        <is>
          <t>14주차</t>
        </is>
      </c>
      <c r="C2882" t="inlineStr">
        <is>
          <t>IM</t>
        </is>
      </c>
      <c r="D2882" s="28" t="n">
        <v>46112</v>
      </c>
      <c r="E2882" t="inlineStr">
        <is>
          <t>IM캐피탈</t>
        </is>
      </c>
      <c r="F2882" t="inlineStr">
        <is>
          <t>박유빈</t>
        </is>
      </c>
      <c r="G2882" t="inlineStr">
        <is>
          <t>010-2103-8513</t>
        </is>
      </c>
      <c r="H2882" t="inlineStr">
        <is>
          <t>201노2790</t>
        </is>
      </c>
      <c r="I2882" t="n">
        <v>34000000</v>
      </c>
      <c r="J2882" t="n">
        <v>0.049</v>
      </c>
      <c r="K2882" t="n">
        <v>1.1</v>
      </c>
      <c r="L2882" t="n">
        <v>0.4</v>
      </c>
      <c r="M2882" t="n">
        <v>0.7</v>
      </c>
      <c r="P2882" t="inlineStr">
        <is>
          <t>임대경</t>
        </is>
      </c>
      <c r="AB2882" t="inlineStr">
        <is>
          <t>엔카</t>
        </is>
      </c>
      <c r="AC2882" t="n">
        <v>374000</v>
      </c>
      <c r="AD2882" t="n">
        <v>136000</v>
      </c>
      <c r="AE2882" t="n">
        <v>238000</v>
      </c>
      <c r="AF2882" t="n">
        <v>340000</v>
      </c>
      <c r="AG2882" t="n">
        <v>131512</v>
      </c>
      <c r="AH2882" t="n">
        <v>208488</v>
      </c>
    </row>
    <row r="2883">
      <c r="A2883" t="inlineStr">
        <is>
          <t>4월</t>
        </is>
      </c>
      <c r="B2883" t="inlineStr">
        <is>
          <t>14주차</t>
        </is>
      </c>
      <c r="C2883" t="inlineStr">
        <is>
          <t>EP</t>
        </is>
      </c>
      <c r="D2883" s="28" t="n">
        <v>46114</v>
      </c>
      <c r="E2883" t="inlineStr">
        <is>
          <t>현대EP_fast</t>
        </is>
      </c>
      <c r="F2883" t="inlineStr">
        <is>
          <t>박치영</t>
        </is>
      </c>
      <c r="G2883" t="inlineStr">
        <is>
          <t>010-4278-5070</t>
        </is>
      </c>
      <c r="H2883" t="inlineStr">
        <is>
          <t>713라6651</t>
        </is>
      </c>
      <c r="I2883" t="n">
        <v>23500000</v>
      </c>
      <c r="J2883" t="n">
        <v>0.08599999999999999</v>
      </c>
      <c r="K2883" t="n">
        <v>1.76</v>
      </c>
      <c r="L2883" t="n">
        <v>0.2</v>
      </c>
      <c r="M2883" t="n">
        <v>1.56</v>
      </c>
      <c r="P2883" t="inlineStr">
        <is>
          <t>김나윤</t>
        </is>
      </c>
      <c r="Q2883" t="inlineStr">
        <is>
          <t>홈서비스 60개월</t>
        </is>
      </c>
      <c r="AB2883" t="inlineStr">
        <is>
          <t>홈서비스</t>
        </is>
      </c>
      <c r="AC2883" t="n">
        <v>413600</v>
      </c>
      <c r="AD2883" t="n">
        <v>47000</v>
      </c>
      <c r="AE2883" t="n">
        <v>366600</v>
      </c>
      <c r="AF2883" t="n">
        <v>376000</v>
      </c>
      <c r="AG2883" t="n">
        <v>45449</v>
      </c>
      <c r="AH2883" t="n">
        <v>330551</v>
      </c>
    </row>
    <row r="2884">
      <c r="A2884" t="inlineStr">
        <is>
          <t>4월</t>
        </is>
      </c>
      <c r="B2884" t="inlineStr">
        <is>
          <t>14주차</t>
        </is>
      </c>
      <c r="C2884" t="inlineStr">
        <is>
          <t>EP</t>
        </is>
      </c>
      <c r="D2884" s="28" t="n">
        <v>46113</v>
      </c>
      <c r="E2884" t="inlineStr">
        <is>
          <t>현대EP</t>
        </is>
      </c>
      <c r="F2884" t="inlineStr">
        <is>
          <t>이유준</t>
        </is>
      </c>
      <c r="G2884" t="inlineStr">
        <is>
          <t>010-8356-1191</t>
        </is>
      </c>
      <c r="H2884" t="inlineStr">
        <is>
          <t>194주1923</t>
        </is>
      </c>
      <c r="I2884" t="n">
        <v>17000000</v>
      </c>
      <c r="J2884" t="n">
        <v>0.08599999999999999</v>
      </c>
      <c r="K2884" t="n">
        <v>1.76</v>
      </c>
      <c r="L2884" t="n">
        <v>0.2</v>
      </c>
      <c r="M2884" t="n">
        <v>1.56</v>
      </c>
      <c r="P2884" t="inlineStr">
        <is>
          <t>최형주</t>
        </is>
      </c>
      <c r="Q2884" t="inlineStr">
        <is>
          <t>홈서비스 60개월</t>
        </is>
      </c>
      <c r="AB2884" t="inlineStr">
        <is>
          <t>홈서비스</t>
        </is>
      </c>
      <c r="AC2884" t="n">
        <v>299200</v>
      </c>
      <c r="AD2884" t="n">
        <v>34000</v>
      </c>
      <c r="AE2884" t="n">
        <v>265200</v>
      </c>
      <c r="AF2884" t="n">
        <v>272000</v>
      </c>
      <c r="AG2884" t="n">
        <v>32878</v>
      </c>
      <c r="AH2884" t="n">
        <v>239122</v>
      </c>
    </row>
    <row r="2885">
      <c r="A2885" t="inlineStr">
        <is>
          <t>4월</t>
        </is>
      </c>
      <c r="B2885" t="inlineStr">
        <is>
          <t>14주차</t>
        </is>
      </c>
      <c r="C2885" t="inlineStr">
        <is>
          <t>EP</t>
        </is>
      </c>
      <c r="D2885" s="28" t="n">
        <v>46114</v>
      </c>
      <c r="E2885" t="inlineStr">
        <is>
          <t>현대EP_fast</t>
        </is>
      </c>
      <c r="F2885" t="inlineStr">
        <is>
          <t>조성현</t>
        </is>
      </c>
      <c r="G2885" t="inlineStr">
        <is>
          <t>010-8586-2641</t>
        </is>
      </c>
      <c r="H2885" t="inlineStr">
        <is>
          <t>77고8900</t>
        </is>
      </c>
      <c r="I2885" t="n">
        <v>8700000</v>
      </c>
      <c r="J2885" t="n">
        <v>0.118</v>
      </c>
      <c r="K2885" t="n">
        <v>1.76</v>
      </c>
      <c r="L2885" t="n">
        <v>0.2</v>
      </c>
      <c r="M2885" t="n">
        <v>1.56</v>
      </c>
      <c r="P2885" t="inlineStr">
        <is>
          <t>황채이</t>
        </is>
      </c>
      <c r="Q2885" t="inlineStr">
        <is>
          <t>홈서비스 36개월</t>
        </is>
      </c>
      <c r="AB2885" t="inlineStr">
        <is>
          <t>홈서비스</t>
        </is>
      </c>
      <c r="AC2885" t="n">
        <v>153120</v>
      </c>
      <c r="AD2885" t="n">
        <v>17400</v>
      </c>
      <c r="AE2885" t="n">
        <v>135720</v>
      </c>
      <c r="AF2885" t="n">
        <v>139200</v>
      </c>
      <c r="AG2885" t="n">
        <v>16825.8</v>
      </c>
      <c r="AH2885" t="n">
        <v>122374.2</v>
      </c>
      <c r="AI2885" t="n">
        <v>0</v>
      </c>
    </row>
    <row r="2886">
      <c r="A2886" t="inlineStr">
        <is>
          <t>4월</t>
        </is>
      </c>
      <c r="B2886" t="inlineStr">
        <is>
          <t>14주차</t>
        </is>
      </c>
      <c r="C2886" t="inlineStr">
        <is>
          <t>EP</t>
        </is>
      </c>
      <c r="D2886" s="28" t="n">
        <v>46114</v>
      </c>
      <c r="E2886" t="inlineStr">
        <is>
          <t>제이비EP</t>
        </is>
      </c>
      <c r="F2886" t="inlineStr">
        <is>
          <t>김부영</t>
        </is>
      </c>
      <c r="G2886" t="inlineStr">
        <is>
          <t>010-7705-9539</t>
        </is>
      </c>
      <c r="H2886" t="inlineStr">
        <is>
          <t>160라2140</t>
        </is>
      </c>
      <c r="I2886" t="n">
        <v>15000000</v>
      </c>
      <c r="J2886" t="n">
        <v>0.07199999999999999</v>
      </c>
      <c r="K2886" t="n">
        <v>1.65</v>
      </c>
      <c r="L2886" t="n">
        <v>0.3</v>
      </c>
      <c r="M2886" t="n">
        <v>1.35</v>
      </c>
      <c r="P2886" t="inlineStr">
        <is>
          <t>박소현</t>
        </is>
      </c>
      <c r="AB2886" t="inlineStr">
        <is>
          <t>엔카</t>
        </is>
      </c>
      <c r="AC2886" t="n">
        <v>247500</v>
      </c>
      <c r="AD2886" t="n">
        <v>45000</v>
      </c>
      <c r="AE2886" t="n">
        <v>202500</v>
      </c>
      <c r="AF2886" t="n">
        <v>225000</v>
      </c>
      <c r="AG2886" t="n">
        <v>43515</v>
      </c>
      <c r="AH2886" t="n">
        <v>181485</v>
      </c>
      <c r="AI2886" t="n">
        <v>0</v>
      </c>
    </row>
    <row r="2887">
      <c r="A2887" t="inlineStr">
        <is>
          <t>4월</t>
        </is>
      </c>
      <c r="B2887" t="inlineStr">
        <is>
          <t>14주차</t>
        </is>
      </c>
      <c r="C2887" t="inlineStr">
        <is>
          <t>EP</t>
        </is>
      </c>
      <c r="D2887" s="28" t="n">
        <v>46114</v>
      </c>
      <c r="E2887" t="inlineStr">
        <is>
          <t>BNKEP</t>
        </is>
      </c>
      <c r="F2887" t="inlineStr">
        <is>
          <t>정영우</t>
        </is>
      </c>
      <c r="G2887" t="inlineStr">
        <is>
          <t>010-4677-4370</t>
        </is>
      </c>
      <c r="H2887" t="inlineStr">
        <is>
          <t>57나2561</t>
        </is>
      </c>
      <c r="I2887" t="n">
        <v>37700000</v>
      </c>
      <c r="J2887" t="n">
        <v>0.055</v>
      </c>
      <c r="K2887" t="n">
        <v>1.65</v>
      </c>
      <c r="L2887" t="n">
        <v>0.07000000000000001</v>
      </c>
      <c r="M2887" t="n">
        <v>1.58</v>
      </c>
      <c r="P2887" t="inlineStr">
        <is>
          <t>황채이</t>
        </is>
      </c>
      <c r="Q2887" t="inlineStr">
        <is>
          <t>홈서비스 60개월 /  기조회건- 현대 6.2</t>
        </is>
      </c>
      <c r="AB2887" t="inlineStr">
        <is>
          <t>홈서비스</t>
        </is>
      </c>
      <c r="AC2887" t="n">
        <v>622050</v>
      </c>
      <c r="AD2887" t="n">
        <v>26390</v>
      </c>
      <c r="AE2887" t="n">
        <v>595660</v>
      </c>
      <c r="AF2887" t="n">
        <v>565500</v>
      </c>
      <c r="AG2887" t="n">
        <v>25519.13</v>
      </c>
      <c r="AH2887" t="n">
        <v>539980.87</v>
      </c>
      <c r="AI2887" t="n">
        <v>0</v>
      </c>
    </row>
    <row r="2888">
      <c r="A2888" t="inlineStr">
        <is>
          <t>4월</t>
        </is>
      </c>
      <c r="B2888" t="inlineStr">
        <is>
          <t>14주차</t>
        </is>
      </c>
      <c r="C2888" t="inlineStr">
        <is>
          <t>EP</t>
        </is>
      </c>
      <c r="D2888" s="28" t="n">
        <v>46114</v>
      </c>
      <c r="E2888" t="inlineStr">
        <is>
          <t>현대EP_fast</t>
        </is>
      </c>
      <c r="F2888" t="inlineStr">
        <is>
          <t>정재석</t>
        </is>
      </c>
      <c r="G2888" t="inlineStr">
        <is>
          <t>010-9665-3730</t>
        </is>
      </c>
      <c r="H2888" t="inlineStr">
        <is>
          <t>163저2889</t>
        </is>
      </c>
      <c r="I2888" t="n">
        <v>20000000</v>
      </c>
      <c r="J2888" t="n">
        <v>0.08599999999999999</v>
      </c>
      <c r="K2888" t="n">
        <v>1.76</v>
      </c>
      <c r="L2888" t="n">
        <v>0.2</v>
      </c>
      <c r="M2888" t="n">
        <v>1.56</v>
      </c>
      <c r="P2888" t="inlineStr">
        <is>
          <t>김나윤</t>
        </is>
      </c>
      <c r="Q2888" t="inlineStr">
        <is>
          <t>홈서비스 48개월</t>
        </is>
      </c>
      <c r="AB2888" t="inlineStr">
        <is>
          <t>홈서비스</t>
        </is>
      </c>
      <c r="AC2888" t="n">
        <v>352000</v>
      </c>
      <c r="AD2888" t="n">
        <v>40000</v>
      </c>
      <c r="AE2888" t="n">
        <v>312000</v>
      </c>
      <c r="AF2888" t="n">
        <v>320000</v>
      </c>
      <c r="AG2888" t="n">
        <v>38680</v>
      </c>
      <c r="AH2888" t="n">
        <v>281320</v>
      </c>
      <c r="AI2888" t="n">
        <v>0</v>
      </c>
    </row>
    <row r="2889">
      <c r="A2889" t="inlineStr">
        <is>
          <t>4월</t>
        </is>
      </c>
      <c r="B2889" t="inlineStr">
        <is>
          <t>14주차</t>
        </is>
      </c>
      <c r="C2889" t="inlineStr">
        <is>
          <t>EP</t>
        </is>
      </c>
      <c r="D2889" s="28" t="n">
        <v>46114</v>
      </c>
      <c r="E2889" t="inlineStr">
        <is>
          <t>현대EP_fast</t>
        </is>
      </c>
      <c r="F2889" t="inlineStr">
        <is>
          <t>정진영</t>
        </is>
      </c>
      <c r="G2889" t="inlineStr">
        <is>
          <t>010-9177-7264</t>
        </is>
      </c>
      <c r="H2889" t="inlineStr">
        <is>
          <t>22더0399</t>
        </is>
      </c>
      <c r="I2889" t="n">
        <v>11900000</v>
      </c>
      <c r="J2889" t="n">
        <v>0.127</v>
      </c>
      <c r="K2889" t="n">
        <v>1.76</v>
      </c>
      <c r="L2889" t="n">
        <v>0.2</v>
      </c>
      <c r="M2889" t="n">
        <v>1.56</v>
      </c>
      <c r="P2889" t="inlineStr">
        <is>
          <t>황채이</t>
        </is>
      </c>
      <c r="Q2889" t="inlineStr">
        <is>
          <t>홈서비스 24개월</t>
        </is>
      </c>
      <c r="AB2889" t="inlineStr">
        <is>
          <t>홈서비스</t>
        </is>
      </c>
      <c r="AC2889" t="n">
        <v>209440</v>
      </c>
      <c r="AD2889" t="n">
        <v>23800</v>
      </c>
      <c r="AE2889" t="n">
        <v>185640</v>
      </c>
      <c r="AF2889" t="n">
        <v>190400</v>
      </c>
      <c r="AG2889" t="n">
        <v>23014.6</v>
      </c>
      <c r="AH2889" t="n">
        <v>167385.4</v>
      </c>
      <c r="AI2889" t="n">
        <v>0</v>
      </c>
    </row>
    <row r="2890">
      <c r="A2890" t="inlineStr">
        <is>
          <t>4월</t>
        </is>
      </c>
      <c r="B2890" t="inlineStr">
        <is>
          <t>14주차</t>
        </is>
      </c>
      <c r="C2890" t="inlineStr">
        <is>
          <t>WC</t>
        </is>
      </c>
      <c r="D2890" s="28" t="n">
        <v>46113</v>
      </c>
      <c r="E2890" t="inlineStr">
        <is>
          <t>웰컴저축은행</t>
        </is>
      </c>
      <c r="F2890" t="inlineStr">
        <is>
          <t>임재현</t>
        </is>
      </c>
      <c r="G2890" t="inlineStr">
        <is>
          <t>010-8280-0151</t>
        </is>
      </c>
      <c r="H2890" t="inlineStr">
        <is>
          <t>370더9682</t>
        </is>
      </c>
      <c r="I2890" t="n">
        <v>23900000</v>
      </c>
      <c r="J2890" t="n">
        <v>0.168</v>
      </c>
      <c r="K2890" t="n">
        <v>0</v>
      </c>
      <c r="L2890" t="n">
        <v>0.07000000000000001</v>
      </c>
      <c r="M2890" t="n">
        <v>-0.07000000000000001</v>
      </c>
      <c r="P2890" t="inlineStr">
        <is>
          <t>정광호</t>
        </is>
      </c>
      <c r="Q2890" t="inlineStr">
        <is>
          <t>홈서비스 48개월</t>
        </is>
      </c>
      <c r="AB2890" t="inlineStr">
        <is>
          <t>홈서비스</t>
        </is>
      </c>
      <c r="AC2890" t="n">
        <v>0</v>
      </c>
      <c r="AD2890" t="n">
        <v>16730</v>
      </c>
      <c r="AE2890" t="n">
        <v>-16730</v>
      </c>
      <c r="AF2890" t="n">
        <v>0</v>
      </c>
      <c r="AG2890" t="n">
        <v>16177.91</v>
      </c>
      <c r="AH2890" t="n">
        <v>-16177.91</v>
      </c>
      <c r="AI2890" t="n">
        <v>0</v>
      </c>
    </row>
    <row r="2891">
      <c r="A2891" t="inlineStr">
        <is>
          <t>4월</t>
        </is>
      </c>
      <c r="B2891" t="inlineStr">
        <is>
          <t>14주차</t>
        </is>
      </c>
      <c r="C2891" t="inlineStr">
        <is>
          <t>EP</t>
        </is>
      </c>
      <c r="D2891" s="28" t="n">
        <v>46114</v>
      </c>
      <c r="E2891" t="inlineStr">
        <is>
          <t>제이비EP</t>
        </is>
      </c>
      <c r="F2891" t="inlineStr">
        <is>
          <t>정경훈</t>
        </is>
      </c>
      <c r="G2891" t="inlineStr">
        <is>
          <t>010-4441-6314</t>
        </is>
      </c>
      <c r="H2891" t="inlineStr">
        <is>
          <t>332서6351</t>
        </is>
      </c>
      <c r="I2891" t="n">
        <v>16200000</v>
      </c>
      <c r="J2891" t="n">
        <v>0.079</v>
      </c>
      <c r="K2891" t="n">
        <v>1.65</v>
      </c>
      <c r="L2891" t="n">
        <v>0.07000000000000001</v>
      </c>
      <c r="M2891" t="n">
        <v>1.58</v>
      </c>
      <c r="P2891" t="inlineStr">
        <is>
          <t>정광호</t>
        </is>
      </c>
      <c r="Q2891" t="inlineStr">
        <is>
          <t>홈서비스 60개월</t>
        </is>
      </c>
      <c r="AB2891" t="inlineStr">
        <is>
          <t>홈서비스</t>
        </is>
      </c>
      <c r="AC2891" t="n">
        <v>267300</v>
      </c>
      <c r="AD2891" t="n">
        <v>11340</v>
      </c>
      <c r="AE2891" t="n">
        <v>255960</v>
      </c>
      <c r="AF2891" t="n">
        <v>243000</v>
      </c>
      <c r="AG2891" t="n">
        <v>10965.78</v>
      </c>
      <c r="AH2891" t="n">
        <v>232034.22</v>
      </c>
      <c r="AI2891" t="n">
        <v>0</v>
      </c>
    </row>
    <row r="2892">
      <c r="A2892" t="inlineStr">
        <is>
          <t>4월</t>
        </is>
      </c>
      <c r="B2892" t="inlineStr">
        <is>
          <t>14주차</t>
        </is>
      </c>
      <c r="C2892" t="inlineStr">
        <is>
          <t>WC</t>
        </is>
      </c>
      <c r="D2892" s="28" t="n">
        <v>46114</v>
      </c>
      <c r="E2892" t="inlineStr">
        <is>
          <t>웰컴저축은행</t>
        </is>
      </c>
      <c r="F2892" t="inlineStr">
        <is>
          <t>김대중</t>
        </is>
      </c>
      <c r="G2892" t="inlineStr">
        <is>
          <t>010-3410-6582</t>
        </is>
      </c>
      <c r="H2892" t="inlineStr">
        <is>
          <t>171구2940</t>
        </is>
      </c>
      <c r="I2892" t="n">
        <v>27800000</v>
      </c>
      <c r="J2892" t="n">
        <v>0.109</v>
      </c>
      <c r="K2892" t="n">
        <v>0</v>
      </c>
      <c r="L2892" t="n">
        <v>0.07000000000000001</v>
      </c>
      <c r="M2892" t="n">
        <v>-0.07000000000000001</v>
      </c>
      <c r="P2892" t="inlineStr">
        <is>
          <t>김수연</t>
        </is>
      </c>
      <c r="Q2892" t="inlineStr">
        <is>
          <t>홈서비스60개월</t>
        </is>
      </c>
      <c r="AB2892" t="inlineStr">
        <is>
          <t>홈서비스</t>
        </is>
      </c>
      <c r="AC2892" t="n">
        <v>0</v>
      </c>
      <c r="AD2892" t="n">
        <v>19460</v>
      </c>
      <c r="AE2892" t="n">
        <v>-19460</v>
      </c>
      <c r="AF2892" t="n">
        <v>0</v>
      </c>
      <c r="AG2892" t="n">
        <v>18817.82</v>
      </c>
      <c r="AH2892" t="n">
        <v>-18817.82</v>
      </c>
      <c r="AI2892" t="n">
        <v>0</v>
      </c>
    </row>
    <row r="2893">
      <c r="A2893" t="inlineStr">
        <is>
          <t>4월</t>
        </is>
      </c>
      <c r="B2893" t="inlineStr">
        <is>
          <t>14주차</t>
        </is>
      </c>
      <c r="C2893" t="inlineStr">
        <is>
          <t>EP</t>
        </is>
      </c>
      <c r="D2893" s="28" t="n">
        <v>46114</v>
      </c>
      <c r="E2893" t="inlineStr">
        <is>
          <t>BNKEP</t>
        </is>
      </c>
      <c r="F2893" t="inlineStr">
        <is>
          <t>강예린</t>
        </is>
      </c>
      <c r="G2893" t="inlineStr">
        <is>
          <t>010-8486-9667</t>
        </is>
      </c>
      <c r="H2893" t="inlineStr">
        <is>
          <t>12우8941</t>
        </is>
      </c>
      <c r="I2893" t="n">
        <v>5000000</v>
      </c>
      <c r="J2893" t="n">
        <v>0.117</v>
      </c>
      <c r="K2893" t="n">
        <v>1.65</v>
      </c>
      <c r="L2893" t="n">
        <v>0.07000000000000001</v>
      </c>
      <c r="M2893" t="n">
        <v>1.58</v>
      </c>
      <c r="P2893" t="inlineStr">
        <is>
          <t>김수연</t>
        </is>
      </c>
      <c r="Q2893" t="inlineStr">
        <is>
          <t>홈서비스60개월</t>
        </is>
      </c>
      <c r="AB2893" t="inlineStr">
        <is>
          <t>홈서비스</t>
        </is>
      </c>
      <c r="AC2893" t="n">
        <v>82500</v>
      </c>
      <c r="AD2893" t="n">
        <v>3500</v>
      </c>
      <c r="AE2893" t="n">
        <v>79000</v>
      </c>
      <c r="AF2893" t="n">
        <v>75000</v>
      </c>
      <c r="AG2893" t="n">
        <v>3384.5</v>
      </c>
      <c r="AH2893" t="n">
        <v>71615.5</v>
      </c>
      <c r="AI2893" t="n">
        <v>0</v>
      </c>
    </row>
    <row r="2894">
      <c r="A2894" t="inlineStr">
        <is>
          <t>4월</t>
        </is>
      </c>
      <c r="B2894" t="inlineStr">
        <is>
          <t>14주차</t>
        </is>
      </c>
      <c r="C2894" t="inlineStr">
        <is>
          <t>EP</t>
        </is>
      </c>
      <c r="D2894" s="28" t="n">
        <v>46114</v>
      </c>
      <c r="E2894" t="inlineStr">
        <is>
          <t>현대EP</t>
        </is>
      </c>
      <c r="F2894" t="inlineStr">
        <is>
          <t>송창훈</t>
        </is>
      </c>
      <c r="G2894" t="inlineStr">
        <is>
          <t>010-3510-3419</t>
        </is>
      </c>
      <c r="H2894" t="inlineStr">
        <is>
          <t>14저5978</t>
        </is>
      </c>
      <c r="I2894" t="n">
        <v>10500000</v>
      </c>
      <c r="J2894" t="n">
        <v>0.075</v>
      </c>
      <c r="K2894" t="n">
        <v>1.76</v>
      </c>
      <c r="L2894" t="n">
        <v>0.2</v>
      </c>
      <c r="M2894" t="n">
        <v>1.56</v>
      </c>
      <c r="P2894" t="inlineStr">
        <is>
          <t>황채이</t>
        </is>
      </c>
      <c r="Q2894" t="inlineStr">
        <is>
          <t>홈서비스 60개월</t>
        </is>
      </c>
      <c r="AB2894" t="inlineStr">
        <is>
          <t>홈서비스</t>
        </is>
      </c>
      <c r="AC2894" t="n">
        <v>184800</v>
      </c>
      <c r="AD2894" t="n">
        <v>21000</v>
      </c>
      <c r="AE2894" t="n">
        <v>163800</v>
      </c>
      <c r="AF2894" t="n">
        <v>168000</v>
      </c>
      <c r="AG2894" t="n">
        <v>20307</v>
      </c>
      <c r="AH2894" t="n">
        <v>147693</v>
      </c>
      <c r="AI2894" t="n">
        <v>0</v>
      </c>
    </row>
    <row r="2895">
      <c r="A2895" t="inlineStr">
        <is>
          <t>4월</t>
        </is>
      </c>
      <c r="B2895" t="inlineStr">
        <is>
          <t>14주차</t>
        </is>
      </c>
      <c r="C2895" t="inlineStr">
        <is>
          <t>EP</t>
        </is>
      </c>
      <c r="D2895" s="28" t="n">
        <v>46114</v>
      </c>
      <c r="E2895" t="inlineStr">
        <is>
          <t>현대EP</t>
        </is>
      </c>
      <c r="F2895" t="inlineStr">
        <is>
          <t>김기현</t>
        </is>
      </c>
      <c r="G2895" t="inlineStr">
        <is>
          <t>010-5257-0758</t>
        </is>
      </c>
      <c r="H2895" t="inlineStr">
        <is>
          <t>308보2786</t>
        </is>
      </c>
      <c r="I2895" t="n">
        <v>19500000</v>
      </c>
      <c r="J2895" t="n">
        <v>0.08799999999999999</v>
      </c>
      <c r="K2895" t="n">
        <v>1.76</v>
      </c>
      <c r="L2895" t="n">
        <v>0.2</v>
      </c>
      <c r="M2895" t="n">
        <v>1.56</v>
      </c>
      <c r="P2895" t="inlineStr">
        <is>
          <t>정광호</t>
        </is>
      </c>
      <c r="Q2895" t="inlineStr">
        <is>
          <t>홈서비스 48개월</t>
        </is>
      </c>
      <c r="AB2895" t="inlineStr">
        <is>
          <t>홈서비스</t>
        </is>
      </c>
      <c r="AC2895" t="n">
        <v>343200</v>
      </c>
      <c r="AD2895" t="n">
        <v>39000</v>
      </c>
      <c r="AE2895" t="n">
        <v>304200</v>
      </c>
      <c r="AF2895" t="n">
        <v>312000</v>
      </c>
      <c r="AG2895" t="n">
        <v>37713</v>
      </c>
      <c r="AH2895" t="n">
        <v>274287</v>
      </c>
    </row>
    <row r="2896">
      <c r="A2896" t="inlineStr">
        <is>
          <t>4월</t>
        </is>
      </c>
      <c r="B2896" t="inlineStr">
        <is>
          <t>14주차</t>
        </is>
      </c>
      <c r="C2896" t="inlineStr">
        <is>
          <t>EP</t>
        </is>
      </c>
      <c r="D2896" s="28" t="n">
        <v>46114</v>
      </c>
      <c r="E2896" t="inlineStr">
        <is>
          <t>현대EP</t>
        </is>
      </c>
      <c r="F2896" t="inlineStr">
        <is>
          <t>박민혁</t>
        </is>
      </c>
      <c r="G2896" t="inlineStr">
        <is>
          <t>010-4563-0324</t>
        </is>
      </c>
      <c r="H2896" t="inlineStr">
        <is>
          <t>228어7947</t>
        </is>
      </c>
      <c r="I2896" t="n">
        <v>12100000</v>
      </c>
      <c r="J2896" t="n">
        <v>0.079</v>
      </c>
      <c r="K2896" t="n">
        <v>1.76</v>
      </c>
      <c r="L2896" t="n">
        <v>0.2</v>
      </c>
      <c r="M2896" t="n">
        <v>1.56</v>
      </c>
      <c r="P2896" t="inlineStr">
        <is>
          <t>김수연</t>
        </is>
      </c>
      <c r="Q2896" t="inlineStr">
        <is>
          <t>홈서비스 36개월</t>
        </is>
      </c>
      <c r="AB2896" t="inlineStr">
        <is>
          <t>홈서비스</t>
        </is>
      </c>
      <c r="AC2896" t="n">
        <v>212960</v>
      </c>
      <c r="AD2896" t="n">
        <v>24200</v>
      </c>
      <c r="AE2896" t="n">
        <v>188760</v>
      </c>
      <c r="AF2896" t="n">
        <v>193600</v>
      </c>
      <c r="AG2896" t="n">
        <v>23401.4</v>
      </c>
      <c r="AH2896" t="n">
        <v>170198.6</v>
      </c>
    </row>
    <row r="2897">
      <c r="A2897" t="inlineStr">
        <is>
          <t>4월</t>
        </is>
      </c>
      <c r="B2897" t="inlineStr">
        <is>
          <t>14주차</t>
        </is>
      </c>
      <c r="C2897" t="inlineStr">
        <is>
          <t>EP</t>
        </is>
      </c>
      <c r="D2897" s="28" t="n">
        <v>46114</v>
      </c>
      <c r="E2897" t="inlineStr">
        <is>
          <t>현대EP</t>
        </is>
      </c>
      <c r="F2897" t="inlineStr">
        <is>
          <t>박혜란</t>
        </is>
      </c>
      <c r="G2897" t="inlineStr">
        <is>
          <t>010-2468-7920</t>
        </is>
      </c>
      <c r="H2897" t="inlineStr">
        <is>
          <t>60러4620</t>
        </is>
      </c>
      <c r="I2897" t="n">
        <v>14500000</v>
      </c>
      <c r="J2897" t="n">
        <v>0.062</v>
      </c>
      <c r="K2897" t="n">
        <v>1.76</v>
      </c>
      <c r="L2897" t="n">
        <v>0.2</v>
      </c>
      <c r="M2897" t="n">
        <v>1.56</v>
      </c>
      <c r="P2897" t="inlineStr">
        <is>
          <t>김수연</t>
        </is>
      </c>
      <c r="Q2897" t="inlineStr">
        <is>
          <t>홈서비스 36개월</t>
        </is>
      </c>
      <c r="AB2897" t="inlineStr">
        <is>
          <t>홈서비스</t>
        </is>
      </c>
      <c r="AC2897" t="n">
        <v>255200</v>
      </c>
      <c r="AD2897" t="n">
        <v>29000</v>
      </c>
      <c r="AE2897" t="n">
        <v>226200</v>
      </c>
      <c r="AF2897" t="n">
        <v>232000</v>
      </c>
      <c r="AG2897" t="n">
        <v>28043</v>
      </c>
      <c r="AH2897" t="n">
        <v>203957</v>
      </c>
      <c r="AI2897" t="n">
        <v>0</v>
      </c>
    </row>
    <row r="2898">
      <c r="A2898" t="inlineStr">
        <is>
          <t>4월</t>
        </is>
      </c>
      <c r="B2898" t="inlineStr">
        <is>
          <t>14주차</t>
        </is>
      </c>
      <c r="C2898" t="inlineStr">
        <is>
          <t>EP</t>
        </is>
      </c>
      <c r="D2898" s="28" t="n">
        <v>46114</v>
      </c>
      <c r="E2898" t="inlineStr">
        <is>
          <t>현대EP</t>
        </is>
      </c>
      <c r="F2898" t="inlineStr">
        <is>
          <t>최대현</t>
        </is>
      </c>
      <c r="G2898" t="inlineStr">
        <is>
          <t>010-6584-7289</t>
        </is>
      </c>
      <c r="H2898" t="inlineStr">
        <is>
          <t>59버8656</t>
        </is>
      </c>
      <c r="I2898" t="n">
        <v>8900000</v>
      </c>
      <c r="J2898" t="n">
        <v>0.08500000000000001</v>
      </c>
      <c r="K2898" t="n">
        <v>1.76</v>
      </c>
      <c r="L2898" t="n">
        <v>0.2</v>
      </c>
      <c r="M2898" t="n">
        <v>1.56</v>
      </c>
      <c r="P2898" t="inlineStr">
        <is>
          <t>김수연</t>
        </is>
      </c>
      <c r="Q2898" t="inlineStr">
        <is>
          <t>홈서비스 60개월</t>
        </is>
      </c>
      <c r="AB2898" t="inlineStr">
        <is>
          <t>홈서비스</t>
        </is>
      </c>
      <c r="AC2898" t="n">
        <v>156640</v>
      </c>
      <c r="AD2898" t="n">
        <v>17800</v>
      </c>
      <c r="AE2898" t="n">
        <v>138840</v>
      </c>
      <c r="AF2898" t="n">
        <v>142400</v>
      </c>
      <c r="AG2898" t="n">
        <v>17212.6</v>
      </c>
      <c r="AH2898" t="n">
        <v>125187.4</v>
      </c>
    </row>
    <row r="2899">
      <c r="A2899" t="inlineStr">
        <is>
          <t>4월</t>
        </is>
      </c>
      <c r="B2899" t="inlineStr">
        <is>
          <t>14주차</t>
        </is>
      </c>
      <c r="C2899" t="inlineStr">
        <is>
          <t>EP</t>
        </is>
      </c>
      <c r="D2899" s="28" t="n">
        <v>46114</v>
      </c>
      <c r="E2899" t="inlineStr">
        <is>
          <t>현대EP_fast</t>
        </is>
      </c>
      <c r="F2899" t="inlineStr">
        <is>
          <t>김현호</t>
        </is>
      </c>
      <c r="G2899" t="inlineStr">
        <is>
          <t>010-7562-2373</t>
        </is>
      </c>
      <c r="H2899" t="inlineStr">
        <is>
          <t>319더1563</t>
        </is>
      </c>
      <c r="I2899" t="n">
        <v>39000000</v>
      </c>
      <c r="J2899" t="n">
        <v>0.08799999999999999</v>
      </c>
      <c r="K2899" t="n">
        <v>1.76</v>
      </c>
      <c r="L2899" t="n">
        <v>0.2</v>
      </c>
      <c r="M2899" t="n">
        <v>1.56</v>
      </c>
      <c r="P2899" t="inlineStr">
        <is>
          <t>최혁</t>
        </is>
      </c>
      <c r="Q2899" t="inlineStr">
        <is>
          <t>홈서비스60개월</t>
        </is>
      </c>
      <c r="AB2899" t="inlineStr">
        <is>
          <t>홈서비스</t>
        </is>
      </c>
      <c r="AC2899" t="n">
        <v>686400</v>
      </c>
      <c r="AD2899" t="n">
        <v>78000</v>
      </c>
      <c r="AE2899" t="n">
        <v>608400</v>
      </c>
      <c r="AF2899" t="n">
        <v>624000</v>
      </c>
      <c r="AG2899" t="n">
        <v>75426</v>
      </c>
      <c r="AH2899" t="n">
        <v>548574</v>
      </c>
    </row>
    <row r="2900">
      <c r="A2900" t="inlineStr">
        <is>
          <t>4월</t>
        </is>
      </c>
      <c r="B2900" t="inlineStr">
        <is>
          <t>14주차</t>
        </is>
      </c>
      <c r="C2900" t="inlineStr">
        <is>
          <t>IM</t>
        </is>
      </c>
      <c r="D2900" s="28" t="n">
        <v>46114</v>
      </c>
      <c r="E2900" t="inlineStr">
        <is>
          <t>IM캐피탈</t>
        </is>
      </c>
      <c r="F2900" t="inlineStr">
        <is>
          <t>김동훈</t>
        </is>
      </c>
      <c r="G2900" t="inlineStr">
        <is>
          <t>010-2588-1798</t>
        </is>
      </c>
      <c r="H2900" t="inlineStr">
        <is>
          <t>200두8854</t>
        </is>
      </c>
      <c r="I2900" t="n">
        <v>17000000</v>
      </c>
      <c r="J2900" t="n">
        <v>0.059</v>
      </c>
      <c r="K2900" t="n">
        <v>1.1</v>
      </c>
      <c r="L2900" t="n">
        <v>0.3</v>
      </c>
      <c r="M2900" t="n">
        <v>0.8</v>
      </c>
      <c r="P2900" t="inlineStr">
        <is>
          <t>임대경</t>
        </is>
      </c>
      <c r="AB2900" t="inlineStr">
        <is>
          <t>엔카</t>
        </is>
      </c>
      <c r="AC2900" t="n">
        <v>187000</v>
      </c>
      <c r="AD2900" t="n">
        <v>51000</v>
      </c>
      <c r="AE2900" t="n">
        <v>136000</v>
      </c>
      <c r="AF2900" t="n">
        <v>170000</v>
      </c>
      <c r="AG2900" t="n">
        <v>49317</v>
      </c>
      <c r="AH2900" t="n">
        <v>120683</v>
      </c>
    </row>
    <row r="2901">
      <c r="A2901" t="inlineStr">
        <is>
          <t>4월</t>
        </is>
      </c>
      <c r="B2901" t="inlineStr">
        <is>
          <t>14주차</t>
        </is>
      </c>
      <c r="C2901" t="inlineStr">
        <is>
          <t>WC</t>
        </is>
      </c>
      <c r="D2901" s="28" t="n">
        <v>46114</v>
      </c>
      <c r="E2901" t="inlineStr">
        <is>
          <t>웰컴저축은행</t>
        </is>
      </c>
      <c r="F2901" t="inlineStr">
        <is>
          <t>김치준</t>
        </is>
      </c>
      <c r="G2901" t="inlineStr">
        <is>
          <t>010-4059-5423</t>
        </is>
      </c>
      <c r="H2901" t="inlineStr">
        <is>
          <t>114라7916</t>
        </is>
      </c>
      <c r="I2901" t="n">
        <v>18000000</v>
      </c>
      <c r="J2901" t="n">
        <v>0.139</v>
      </c>
      <c r="K2901" t="n">
        <v>0</v>
      </c>
      <c r="L2901" t="n">
        <v>0.07000000000000001</v>
      </c>
      <c r="M2901" t="n">
        <v>-0.07000000000000001</v>
      </c>
      <c r="P2901" t="inlineStr">
        <is>
          <t>김나윤</t>
        </is>
      </c>
      <c r="Q2901" t="inlineStr">
        <is>
          <t>홈서비스 60개월</t>
        </is>
      </c>
      <c r="AB2901" t="inlineStr">
        <is>
          <t>홈서비스</t>
        </is>
      </c>
      <c r="AC2901" t="n">
        <v>0</v>
      </c>
      <c r="AD2901" t="n">
        <v>12600</v>
      </c>
      <c r="AE2901" t="n">
        <v>-12600</v>
      </c>
      <c r="AF2901" t="n">
        <v>0</v>
      </c>
      <c r="AG2901" t="n">
        <v>12184.2</v>
      </c>
      <c r="AH2901" t="n">
        <v>-12184.2</v>
      </c>
      <c r="AI2901" t="n">
        <v>0</v>
      </c>
    </row>
    <row r="2902">
      <c r="A2902" t="inlineStr">
        <is>
          <t>4월</t>
        </is>
      </c>
      <c r="B2902" t="inlineStr">
        <is>
          <t>14주차</t>
        </is>
      </c>
      <c r="C2902" t="inlineStr">
        <is>
          <t>EP</t>
        </is>
      </c>
      <c r="D2902" s="28" t="n">
        <v>46114</v>
      </c>
      <c r="E2902" t="inlineStr">
        <is>
          <t>현대EP_fast</t>
        </is>
      </c>
      <c r="F2902" t="inlineStr">
        <is>
          <t>서보성</t>
        </is>
      </c>
      <c r="G2902" t="inlineStr">
        <is>
          <t>010-2526-6022</t>
        </is>
      </c>
      <c r="H2902" t="inlineStr">
        <is>
          <t>136더4944</t>
        </is>
      </c>
      <c r="I2902" t="n">
        <v>26900000</v>
      </c>
      <c r="J2902" t="n">
        <v>0.08599999999999999</v>
      </c>
      <c r="K2902" t="n">
        <v>1.76</v>
      </c>
      <c r="L2902" t="n">
        <v>0.6</v>
      </c>
      <c r="M2902" t="n">
        <v>1.16</v>
      </c>
      <c r="P2902" t="inlineStr">
        <is>
          <t>정하은</t>
        </is>
      </c>
      <c r="AB2902" t="inlineStr">
        <is>
          <t>엔카</t>
        </is>
      </c>
      <c r="AC2902" t="n">
        <v>473440</v>
      </c>
      <c r="AD2902" t="n">
        <v>161400</v>
      </c>
      <c r="AE2902" t="n">
        <v>312040</v>
      </c>
      <c r="AF2902" t="n">
        <v>430400</v>
      </c>
      <c r="AG2902" t="n">
        <v>156073.8</v>
      </c>
      <c r="AH2902" t="n">
        <v>274326.2</v>
      </c>
      <c r="AI2902" t="n">
        <v>0</v>
      </c>
    </row>
    <row r="2903">
      <c r="A2903" t="inlineStr">
        <is>
          <t>4월</t>
        </is>
      </c>
      <c r="B2903" t="inlineStr">
        <is>
          <t>14주차</t>
        </is>
      </c>
      <c r="C2903" t="inlineStr">
        <is>
          <t>EP</t>
        </is>
      </c>
      <c r="D2903" s="28" t="n">
        <v>46114</v>
      </c>
      <c r="E2903" t="inlineStr">
        <is>
          <t>현대EP_fast</t>
        </is>
      </c>
      <c r="F2903" t="inlineStr">
        <is>
          <t>김용호</t>
        </is>
      </c>
      <c r="G2903" t="inlineStr">
        <is>
          <t>010-9090-9669</t>
        </is>
      </c>
      <c r="H2903" t="inlineStr">
        <is>
          <t>146더4237</t>
        </is>
      </c>
      <c r="I2903" t="n">
        <v>11000000</v>
      </c>
      <c r="J2903" t="n">
        <v>0.092</v>
      </c>
      <c r="K2903" t="n">
        <v>1.76</v>
      </c>
      <c r="L2903" t="n">
        <v>0.2</v>
      </c>
      <c r="M2903" t="n">
        <v>1.56</v>
      </c>
      <c r="P2903" t="inlineStr">
        <is>
          <t>최형주</t>
        </is>
      </c>
      <c r="Q2903" t="inlineStr">
        <is>
          <t>홉서비스 36개월 / 현금접수로 재진행</t>
        </is>
      </c>
      <c r="AB2903" t="inlineStr">
        <is>
          <t>홈서비스</t>
        </is>
      </c>
      <c r="AC2903" t="n">
        <v>193600</v>
      </c>
      <c r="AD2903" t="n">
        <v>22000</v>
      </c>
      <c r="AE2903" t="n">
        <v>171600</v>
      </c>
      <c r="AF2903" t="n">
        <v>176000</v>
      </c>
      <c r="AG2903" t="n">
        <v>21274</v>
      </c>
      <c r="AH2903" t="n">
        <v>154726</v>
      </c>
      <c r="AI2903" t="n">
        <v>0</v>
      </c>
    </row>
    <row r="2904">
      <c r="A2904" t="inlineStr">
        <is>
          <t>4월</t>
        </is>
      </c>
      <c r="B2904" t="inlineStr">
        <is>
          <t>14주차</t>
        </is>
      </c>
      <c r="C2904" t="inlineStr">
        <is>
          <t>IM</t>
        </is>
      </c>
      <c r="D2904" s="28" t="n">
        <v>46114</v>
      </c>
      <c r="E2904" t="inlineStr">
        <is>
          <t>IM캐피탈</t>
        </is>
      </c>
      <c r="F2904" t="inlineStr">
        <is>
          <t>김선호</t>
        </is>
      </c>
      <c r="G2904" t="inlineStr">
        <is>
          <t>010-2008-9988</t>
        </is>
      </c>
      <c r="H2904" t="inlineStr">
        <is>
          <t>156조9856</t>
        </is>
      </c>
      <c r="I2904" t="n">
        <v>41800000</v>
      </c>
      <c r="J2904" t="n">
        <v>0.039</v>
      </c>
      <c r="K2904" t="n">
        <v>1.1</v>
      </c>
      <c r="L2904" t="n">
        <v>0.3</v>
      </c>
      <c r="M2904" t="n">
        <v>0.8</v>
      </c>
      <c r="P2904" t="inlineStr">
        <is>
          <t>최혁</t>
        </is>
      </c>
      <c r="Q2904" t="inlineStr">
        <is>
          <t>부대비용추가진행건</t>
        </is>
      </c>
      <c r="AB2904" t="inlineStr">
        <is>
          <t>엔카</t>
        </is>
      </c>
      <c r="AC2904" t="n">
        <v>459800</v>
      </c>
      <c r="AD2904" t="n">
        <v>125400</v>
      </c>
      <c r="AE2904" t="n">
        <v>334400</v>
      </c>
      <c r="AF2904" t="n">
        <v>418000</v>
      </c>
      <c r="AG2904" t="n">
        <v>121261.8</v>
      </c>
      <c r="AH2904" t="n">
        <v>296738.2</v>
      </c>
      <c r="AI2904" t="n">
        <v>0</v>
      </c>
    </row>
    <row r="2905">
      <c r="A2905" t="inlineStr">
        <is>
          <t>4월</t>
        </is>
      </c>
      <c r="B2905" t="inlineStr">
        <is>
          <t>14주차</t>
        </is>
      </c>
      <c r="C2905" t="inlineStr">
        <is>
          <t>EP</t>
        </is>
      </c>
      <c r="D2905" s="28" t="n">
        <v>46114</v>
      </c>
      <c r="E2905" t="inlineStr">
        <is>
          <t>현대EP_fast</t>
        </is>
      </c>
      <c r="F2905" t="inlineStr">
        <is>
          <t>송재혁</t>
        </is>
      </c>
      <c r="G2905" t="inlineStr">
        <is>
          <t>010-4972-9903</t>
        </is>
      </c>
      <c r="H2905" t="inlineStr">
        <is>
          <t>246버6381</t>
        </is>
      </c>
      <c r="I2905" t="n">
        <v>12000000</v>
      </c>
      <c r="J2905" t="n">
        <v>0.07099999999999999</v>
      </c>
      <c r="K2905" t="n">
        <v>1.76</v>
      </c>
      <c r="L2905" t="n">
        <v>0.2</v>
      </c>
      <c r="M2905" t="n">
        <v>1.56</v>
      </c>
      <c r="P2905" t="inlineStr">
        <is>
          <t>김나윤</t>
        </is>
      </c>
      <c r="Q2905" t="inlineStr">
        <is>
          <t>홈서비스 36개월</t>
        </is>
      </c>
      <c r="AB2905" t="inlineStr">
        <is>
          <t>홈서비스</t>
        </is>
      </c>
      <c r="AC2905" t="n">
        <v>211200</v>
      </c>
      <c r="AD2905" t="n">
        <v>24000</v>
      </c>
      <c r="AE2905" t="n">
        <v>187200</v>
      </c>
      <c r="AF2905" t="n">
        <v>192000</v>
      </c>
      <c r="AG2905" t="n">
        <v>23208</v>
      </c>
      <c r="AH2905" t="n">
        <v>168792</v>
      </c>
      <c r="AJ2905" t="inlineStr">
        <is>
          <t>개인</t>
        </is>
      </c>
    </row>
    <row r="2906">
      <c r="A2906" t="inlineStr">
        <is>
          <t>4월</t>
        </is>
      </c>
      <c r="B2906" t="inlineStr">
        <is>
          <t>14주차</t>
        </is>
      </c>
      <c r="C2906" t="inlineStr">
        <is>
          <t>EP</t>
        </is>
      </c>
      <c r="D2906" s="28" t="n">
        <v>46114</v>
      </c>
      <c r="E2906" t="inlineStr">
        <is>
          <t>현대EP_fast</t>
        </is>
      </c>
      <c r="F2906" t="inlineStr">
        <is>
          <t>이승현</t>
        </is>
      </c>
      <c r="G2906" t="inlineStr">
        <is>
          <t>010-9974-0125</t>
        </is>
      </c>
      <c r="H2906" t="inlineStr">
        <is>
          <t>381누3301</t>
        </is>
      </c>
      <c r="I2906" t="n">
        <v>26900000</v>
      </c>
      <c r="J2906" t="n">
        <v>0.102</v>
      </c>
      <c r="K2906" t="n">
        <v>1.76</v>
      </c>
      <c r="L2906" t="n">
        <v>0.6</v>
      </c>
      <c r="M2906" t="n">
        <v>1.16</v>
      </c>
      <c r="P2906" t="inlineStr">
        <is>
          <t>정하은</t>
        </is>
      </c>
      <c r="AB2906" t="inlineStr">
        <is>
          <t>엔카</t>
        </is>
      </c>
      <c r="AC2906" t="n">
        <v>473440</v>
      </c>
      <c r="AD2906" t="n">
        <v>161400</v>
      </c>
      <c r="AE2906" t="n">
        <v>312040</v>
      </c>
      <c r="AF2906" t="n">
        <v>430400</v>
      </c>
      <c r="AG2906" t="n">
        <v>156073.8</v>
      </c>
      <c r="AH2906" t="n">
        <v>274326.2</v>
      </c>
      <c r="AI2906" t="n">
        <v>0</v>
      </c>
    </row>
    <row r="2907">
      <c r="A2907" t="inlineStr">
        <is>
          <t>4월</t>
        </is>
      </c>
      <c r="B2907" t="inlineStr">
        <is>
          <t>14주차</t>
        </is>
      </c>
      <c r="C2907" t="inlineStr">
        <is>
          <t>EP</t>
        </is>
      </c>
      <c r="D2907" s="28" t="n">
        <v>46115</v>
      </c>
      <c r="E2907" t="inlineStr">
        <is>
          <t>BNKEP</t>
        </is>
      </c>
      <c r="F2907" t="inlineStr">
        <is>
          <t>박현민</t>
        </is>
      </c>
      <c r="G2907" t="inlineStr">
        <is>
          <t>010-7511-5414</t>
        </is>
      </c>
      <c r="H2907" t="inlineStr">
        <is>
          <t>43누6979</t>
        </is>
      </c>
      <c r="I2907" t="n">
        <v>6900000</v>
      </c>
      <c r="J2907" t="n">
        <v>0.07199999999999999</v>
      </c>
      <c r="K2907" t="n">
        <v>1.65</v>
      </c>
      <c r="L2907" t="n">
        <v>0.3</v>
      </c>
      <c r="M2907" t="n">
        <v>1.35</v>
      </c>
      <c r="P2907" t="inlineStr">
        <is>
          <t>정하은</t>
        </is>
      </c>
      <c r="Q2907" t="inlineStr">
        <is>
          <t>부대비용추가진행</t>
        </is>
      </c>
      <c r="AB2907" t="inlineStr">
        <is>
          <t>엔카</t>
        </is>
      </c>
      <c r="AC2907" t="n">
        <v>113850</v>
      </c>
      <c r="AD2907" t="n">
        <v>20700</v>
      </c>
      <c r="AE2907" t="n">
        <v>93150</v>
      </c>
      <c r="AF2907" t="n">
        <v>103500</v>
      </c>
      <c r="AG2907" t="n">
        <v>20016.9</v>
      </c>
      <c r="AH2907" t="n">
        <v>83483.10000000001</v>
      </c>
    </row>
    <row r="2908">
      <c r="A2908" t="inlineStr">
        <is>
          <t>4월</t>
        </is>
      </c>
      <c r="B2908" t="inlineStr">
        <is>
          <t>14주차</t>
        </is>
      </c>
      <c r="C2908" t="inlineStr">
        <is>
          <t>EP</t>
        </is>
      </c>
      <c r="D2908" s="28" t="n">
        <v>46114</v>
      </c>
      <c r="E2908" t="inlineStr">
        <is>
          <t>현대EP</t>
        </is>
      </c>
      <c r="F2908" t="inlineStr">
        <is>
          <t>홍춘기</t>
        </is>
      </c>
      <c r="G2908" t="inlineStr">
        <is>
          <t>010-2510-2547</t>
        </is>
      </c>
      <c r="H2908" t="inlineStr">
        <is>
          <t>301누6620</t>
        </is>
      </c>
      <c r="I2908" t="n">
        <v>3900000</v>
      </c>
      <c r="J2908" t="n">
        <v>0.092</v>
      </c>
      <c r="K2908" t="n">
        <v>1.76</v>
      </c>
      <c r="L2908" t="n">
        <v>0.2</v>
      </c>
      <c r="M2908" t="n">
        <v>1.56</v>
      </c>
      <c r="P2908" t="inlineStr">
        <is>
          <t>김수연</t>
        </is>
      </c>
      <c r="Q2908" t="inlineStr">
        <is>
          <t>홈서비스 48개월</t>
        </is>
      </c>
      <c r="AB2908" t="inlineStr">
        <is>
          <t>홈서비스</t>
        </is>
      </c>
      <c r="AC2908" t="n">
        <v>68640</v>
      </c>
      <c r="AD2908" t="n">
        <v>7800</v>
      </c>
      <c r="AE2908" t="n">
        <v>60840</v>
      </c>
      <c r="AF2908" t="n">
        <v>62400</v>
      </c>
      <c r="AG2908" t="n">
        <v>7542.6</v>
      </c>
      <c r="AH2908" t="n">
        <v>54857.4</v>
      </c>
    </row>
    <row r="2909">
      <c r="A2909" t="inlineStr">
        <is>
          <t>4월</t>
        </is>
      </c>
      <c r="B2909" t="inlineStr">
        <is>
          <t>14주차</t>
        </is>
      </c>
      <c r="C2909" t="inlineStr">
        <is>
          <t>EP</t>
        </is>
      </c>
      <c r="D2909" s="28" t="n">
        <v>46114</v>
      </c>
      <c r="E2909" t="inlineStr">
        <is>
          <t>현대EP_fast</t>
        </is>
      </c>
      <c r="F2909" t="inlineStr">
        <is>
          <t>김경민</t>
        </is>
      </c>
      <c r="G2909" t="inlineStr">
        <is>
          <t>010-9959-9412</t>
        </is>
      </c>
      <c r="H2909" t="inlineStr">
        <is>
          <t>30루9054</t>
        </is>
      </c>
      <c r="I2909" t="n">
        <v>5100000</v>
      </c>
      <c r="J2909" t="n">
        <v>0.102</v>
      </c>
      <c r="K2909" t="n">
        <v>1.76</v>
      </c>
      <c r="L2909" t="n">
        <v>0.6</v>
      </c>
      <c r="M2909" t="n">
        <v>1.16</v>
      </c>
      <c r="P2909" t="inlineStr">
        <is>
          <t>박소현</t>
        </is>
      </c>
      <c r="AB2909" t="inlineStr">
        <is>
          <t>엔카</t>
        </is>
      </c>
      <c r="AC2909" t="n">
        <v>89760</v>
      </c>
      <c r="AD2909" t="n">
        <v>30600</v>
      </c>
      <c r="AE2909" t="n">
        <v>59160</v>
      </c>
      <c r="AF2909" t="n">
        <v>81600</v>
      </c>
      <c r="AG2909" t="n">
        <v>29590.2</v>
      </c>
      <c r="AH2909" t="n">
        <v>52009.8</v>
      </c>
      <c r="AI2909" t="n">
        <v>0</v>
      </c>
    </row>
    <row r="2910">
      <c r="A2910" t="inlineStr">
        <is>
          <t>4월</t>
        </is>
      </c>
      <c r="B2910" t="inlineStr">
        <is>
          <t>14주차</t>
        </is>
      </c>
      <c r="C2910" t="inlineStr">
        <is>
          <t>EP</t>
        </is>
      </c>
      <c r="D2910" s="28" t="n">
        <v>46115</v>
      </c>
      <c r="E2910" t="inlineStr">
        <is>
          <t>현대EP_fast</t>
        </is>
      </c>
      <c r="F2910" t="inlineStr">
        <is>
          <t>정현준</t>
        </is>
      </c>
      <c r="G2910" t="inlineStr">
        <is>
          <t>010-4886-6081</t>
        </is>
      </c>
      <c r="H2910" t="inlineStr">
        <is>
          <t>228우9535</t>
        </is>
      </c>
      <c r="I2910" t="n">
        <v>32700000</v>
      </c>
      <c r="J2910" t="n">
        <v>0.127</v>
      </c>
      <c r="K2910" t="n">
        <v>1.76</v>
      </c>
      <c r="L2910" t="n">
        <v>0.2</v>
      </c>
      <c r="M2910" t="n">
        <v>1.56</v>
      </c>
      <c r="P2910" t="inlineStr">
        <is>
          <t>황채이</t>
        </is>
      </c>
      <c r="Q2910" t="inlineStr">
        <is>
          <t>홈서비스 60개월</t>
        </is>
      </c>
      <c r="AB2910" t="inlineStr">
        <is>
          <t>홈서비스</t>
        </is>
      </c>
      <c r="AC2910" t="n">
        <v>575520</v>
      </c>
      <c r="AD2910" t="n">
        <v>65400</v>
      </c>
      <c r="AE2910" t="n">
        <v>510120</v>
      </c>
      <c r="AF2910" t="n">
        <v>523200</v>
      </c>
      <c r="AG2910" t="n">
        <v>63241.8</v>
      </c>
      <c r="AH2910" t="n">
        <v>459958.2</v>
      </c>
    </row>
    <row r="2911">
      <c r="A2911" t="inlineStr">
        <is>
          <t>4월</t>
        </is>
      </c>
      <c r="B2911" t="inlineStr">
        <is>
          <t>14주차</t>
        </is>
      </c>
      <c r="C2911" t="inlineStr">
        <is>
          <t>IM</t>
        </is>
      </c>
      <c r="D2911" s="28" t="n">
        <v>46115</v>
      </c>
      <c r="E2911" t="inlineStr">
        <is>
          <t>IM캐피탈</t>
        </is>
      </c>
      <c r="F2911" t="inlineStr">
        <is>
          <t>이종범</t>
        </is>
      </c>
      <c r="G2911" t="inlineStr">
        <is>
          <t>010-5801-1513</t>
        </is>
      </c>
      <c r="H2911" t="inlineStr">
        <is>
          <t>173나7132</t>
        </is>
      </c>
      <c r="I2911" t="n">
        <v>24500000</v>
      </c>
      <c r="J2911" t="n">
        <v>0.082</v>
      </c>
      <c r="K2911" t="n">
        <v>1.1</v>
      </c>
      <c r="L2911" t="n">
        <v>0.3</v>
      </c>
      <c r="M2911" t="n">
        <v>0.8</v>
      </c>
      <c r="P2911" t="inlineStr">
        <is>
          <t>정하은</t>
        </is>
      </c>
      <c r="AB2911" t="inlineStr">
        <is>
          <t>엔카</t>
        </is>
      </c>
      <c r="AC2911" t="n">
        <v>269500</v>
      </c>
      <c r="AD2911" t="n">
        <v>73500</v>
      </c>
      <c r="AE2911" t="n">
        <v>196000</v>
      </c>
      <c r="AF2911" t="n">
        <v>245000</v>
      </c>
      <c r="AG2911" t="n">
        <v>71074.5</v>
      </c>
      <c r="AH2911" t="n">
        <v>173925.5</v>
      </c>
    </row>
    <row r="2912">
      <c r="A2912" t="inlineStr">
        <is>
          <t>4월</t>
        </is>
      </c>
      <c r="B2912" t="inlineStr">
        <is>
          <t>14주차</t>
        </is>
      </c>
      <c r="C2912" t="inlineStr">
        <is>
          <t>IM</t>
        </is>
      </c>
      <c r="D2912" s="28" t="n">
        <v>46115</v>
      </c>
      <c r="E2912" t="inlineStr">
        <is>
          <t>IM캐피탈</t>
        </is>
      </c>
      <c r="F2912" t="inlineStr">
        <is>
          <t>이성민</t>
        </is>
      </c>
      <c r="G2912" t="inlineStr">
        <is>
          <t>010-2322-8898</t>
        </is>
      </c>
      <c r="H2912" t="inlineStr">
        <is>
          <t>25서2343</t>
        </is>
      </c>
      <c r="I2912" t="n">
        <v>9600000</v>
      </c>
      <c r="J2912" t="n">
        <v>0.049</v>
      </c>
      <c r="K2912" t="n">
        <v>1.1</v>
      </c>
      <c r="L2912" t="n">
        <v>0.3</v>
      </c>
      <c r="M2912" t="n">
        <v>0.8</v>
      </c>
      <c r="P2912" t="inlineStr">
        <is>
          <t>정하은</t>
        </is>
      </c>
      <c r="Q2912" t="inlineStr">
        <is>
          <t>부대비용추가진행</t>
        </is>
      </c>
      <c r="AB2912" t="inlineStr">
        <is>
          <t>엔카</t>
        </is>
      </c>
      <c r="AC2912" t="n">
        <v>105600</v>
      </c>
      <c r="AD2912" t="n">
        <v>28800</v>
      </c>
      <c r="AE2912" t="n">
        <v>76800</v>
      </c>
      <c r="AF2912" t="n">
        <v>96000</v>
      </c>
      <c r="AG2912" t="n">
        <v>27849.6</v>
      </c>
      <c r="AH2912" t="n">
        <v>68150.39999999999</v>
      </c>
    </row>
    <row r="2913">
      <c r="A2913" t="inlineStr">
        <is>
          <t>4월</t>
        </is>
      </c>
      <c r="B2913" t="inlineStr">
        <is>
          <t>14주차</t>
        </is>
      </c>
      <c r="C2913" t="inlineStr">
        <is>
          <t>EP</t>
        </is>
      </c>
      <c r="D2913" s="28" t="n">
        <v>46115</v>
      </c>
      <c r="E2913" t="inlineStr">
        <is>
          <t>현대EP_fast</t>
        </is>
      </c>
      <c r="F2913" t="inlineStr">
        <is>
          <t>이정훈</t>
        </is>
      </c>
      <c r="G2913" t="inlineStr">
        <is>
          <t>010-2676-8365</t>
        </is>
      </c>
      <c r="H2913" t="inlineStr">
        <is>
          <t>202너3869</t>
        </is>
      </c>
      <c r="I2913" t="n">
        <v>8000000</v>
      </c>
      <c r="J2913" t="n">
        <v>0.08799999999999999</v>
      </c>
      <c r="K2913" t="n">
        <v>1.76</v>
      </c>
      <c r="L2913" t="n">
        <v>0.2</v>
      </c>
      <c r="M2913" t="n">
        <v>1.56</v>
      </c>
      <c r="P2913" t="inlineStr">
        <is>
          <t>황채이</t>
        </is>
      </c>
      <c r="Q2913" t="inlineStr">
        <is>
          <t>홈서비스 36개월</t>
        </is>
      </c>
      <c r="AB2913" t="inlineStr">
        <is>
          <t>홈서비스</t>
        </is>
      </c>
      <c r="AC2913" t="n">
        <v>140800</v>
      </c>
      <c r="AD2913" t="n">
        <v>16000</v>
      </c>
      <c r="AE2913" t="n">
        <v>124800</v>
      </c>
      <c r="AF2913" t="n">
        <v>128000</v>
      </c>
      <c r="AG2913" t="n">
        <v>15472</v>
      </c>
      <c r="AH2913" t="n">
        <v>112528</v>
      </c>
      <c r="AI2913" t="n">
        <v>0</v>
      </c>
    </row>
    <row r="2914">
      <c r="A2914" t="inlineStr">
        <is>
          <t>4월</t>
        </is>
      </c>
      <c r="B2914" t="inlineStr">
        <is>
          <t>14주차</t>
        </is>
      </c>
      <c r="C2914" t="inlineStr">
        <is>
          <t>IM</t>
        </is>
      </c>
      <c r="D2914" s="28" t="n">
        <v>46114</v>
      </c>
      <c r="E2914" t="inlineStr">
        <is>
          <t>IM캐피탈</t>
        </is>
      </c>
      <c r="F2914" t="inlineStr">
        <is>
          <t>오성준</t>
        </is>
      </c>
      <c r="G2914" t="inlineStr">
        <is>
          <t>010-4844-2773</t>
        </is>
      </c>
      <c r="H2914" t="inlineStr">
        <is>
          <t>390루3992</t>
        </is>
      </c>
      <c r="I2914" t="n">
        <v>11600000</v>
      </c>
      <c r="J2914" t="n">
        <v>0.049</v>
      </c>
      <c r="K2914" t="n">
        <v>1.1</v>
      </c>
      <c r="L2914" t="n">
        <v>0.3</v>
      </c>
      <c r="M2914" t="n">
        <v>0.8</v>
      </c>
      <c r="P2914" t="inlineStr">
        <is>
          <t>박현민</t>
        </is>
      </c>
      <c r="Q2914" t="inlineStr">
        <is>
          <t>오토론진행</t>
        </is>
      </c>
      <c r="AB2914" t="inlineStr">
        <is>
          <t>엔카</t>
        </is>
      </c>
      <c r="AC2914" t="n">
        <v>127600</v>
      </c>
      <c r="AD2914" t="n">
        <v>34800</v>
      </c>
      <c r="AE2914" t="n">
        <v>92800</v>
      </c>
      <c r="AF2914" t="n">
        <v>116000</v>
      </c>
      <c r="AG2914" t="n">
        <v>33651.6</v>
      </c>
      <c r="AH2914" t="n">
        <v>82348.39999999999</v>
      </c>
    </row>
    <row r="2915">
      <c r="A2915" t="inlineStr">
        <is>
          <t>4월</t>
        </is>
      </c>
      <c r="B2915" t="inlineStr">
        <is>
          <t>14주차</t>
        </is>
      </c>
      <c r="C2915" t="inlineStr">
        <is>
          <t>EP</t>
        </is>
      </c>
      <c r="D2915" s="28" t="n">
        <v>46114</v>
      </c>
      <c r="E2915" t="inlineStr">
        <is>
          <t>현대EP_fast</t>
        </is>
      </c>
      <c r="F2915" t="inlineStr">
        <is>
          <t>이동화</t>
        </is>
      </c>
      <c r="G2915" t="inlineStr">
        <is>
          <t>010-9194-3164</t>
        </is>
      </c>
      <c r="H2915" t="inlineStr">
        <is>
          <t>393가2385</t>
        </is>
      </c>
      <c r="I2915" t="n">
        <v>14000000</v>
      </c>
      <c r="J2915" t="n">
        <v>0.08599999999999999</v>
      </c>
      <c r="K2915" t="n">
        <v>1.76</v>
      </c>
      <c r="L2915" t="n">
        <v>0.2</v>
      </c>
      <c r="M2915" t="n">
        <v>1.56</v>
      </c>
      <c r="P2915" t="inlineStr">
        <is>
          <t>정세빈</t>
        </is>
      </c>
      <c r="Q2915" t="inlineStr">
        <is>
          <t>홈서비스 36개월</t>
        </is>
      </c>
      <c r="AB2915" t="inlineStr">
        <is>
          <t>홈서비스</t>
        </is>
      </c>
      <c r="AC2915" t="n">
        <v>246400</v>
      </c>
      <c r="AD2915" t="n">
        <v>28000</v>
      </c>
      <c r="AE2915" t="n">
        <v>218400</v>
      </c>
      <c r="AF2915" t="n">
        <v>224000</v>
      </c>
      <c r="AG2915" t="n">
        <v>27076</v>
      </c>
      <c r="AH2915" t="n">
        <v>196924</v>
      </c>
    </row>
    <row r="2916">
      <c r="A2916" t="inlineStr">
        <is>
          <t>4월</t>
        </is>
      </c>
      <c r="B2916" t="inlineStr">
        <is>
          <t>14주차</t>
        </is>
      </c>
      <c r="C2916" t="inlineStr">
        <is>
          <t>IM</t>
        </is>
      </c>
      <c r="D2916" s="28" t="n">
        <v>46114</v>
      </c>
      <c r="E2916" t="inlineStr">
        <is>
          <t>IM캐피탈</t>
        </is>
      </c>
      <c r="F2916" t="inlineStr">
        <is>
          <t>이응조</t>
        </is>
      </c>
      <c r="G2916" t="inlineStr">
        <is>
          <t>010-6245-4709</t>
        </is>
      </c>
      <c r="H2916" t="inlineStr">
        <is>
          <t>330루8743</t>
        </is>
      </c>
      <c r="I2916" t="n">
        <v>42000000</v>
      </c>
      <c r="J2916" t="n">
        <v>0.059</v>
      </c>
      <c r="K2916" t="n">
        <v>1.1</v>
      </c>
      <c r="L2916" t="n">
        <v>0.3</v>
      </c>
      <c r="M2916" t="n">
        <v>0.8</v>
      </c>
      <c r="P2916" t="inlineStr">
        <is>
          <t>박소현</t>
        </is>
      </c>
      <c r="Q2916" t="inlineStr">
        <is>
          <t>부대비용추가진행</t>
        </is>
      </c>
      <c r="AB2916" t="inlineStr">
        <is>
          <t>엔카</t>
        </is>
      </c>
      <c r="AC2916" t="n">
        <v>462000</v>
      </c>
      <c r="AD2916" t="n">
        <v>126000</v>
      </c>
      <c r="AE2916" t="n">
        <v>336000</v>
      </c>
      <c r="AF2916" t="n">
        <v>420000</v>
      </c>
      <c r="AG2916" t="n">
        <v>121842</v>
      </c>
      <c r="AH2916" t="n">
        <v>298158</v>
      </c>
      <c r="AI2916" t="n">
        <v>0</v>
      </c>
    </row>
    <row r="2917">
      <c r="A2917" t="inlineStr">
        <is>
          <t>4월</t>
        </is>
      </c>
      <c r="B2917" t="inlineStr">
        <is>
          <t>14주차</t>
        </is>
      </c>
      <c r="C2917" t="inlineStr">
        <is>
          <t>IM</t>
        </is>
      </c>
      <c r="D2917" s="28" t="n">
        <v>46114</v>
      </c>
      <c r="E2917" t="inlineStr">
        <is>
          <t>IM캐피탈</t>
        </is>
      </c>
      <c r="F2917" t="inlineStr">
        <is>
          <t>안민주</t>
        </is>
      </c>
      <c r="G2917" t="inlineStr">
        <is>
          <t>010-4438-8594</t>
        </is>
      </c>
      <c r="H2917" t="inlineStr">
        <is>
          <t>69오1892</t>
        </is>
      </c>
      <c r="I2917" t="n">
        <v>54400000</v>
      </c>
      <c r="J2917" t="n">
        <v>0.056</v>
      </c>
      <c r="K2917" t="n">
        <v>1.1</v>
      </c>
      <c r="L2917" t="n">
        <v>0.3</v>
      </c>
      <c r="M2917" t="n">
        <v>0.8</v>
      </c>
      <c r="P2917" t="inlineStr">
        <is>
          <t>구성완</t>
        </is>
      </c>
      <c r="AB2917" t="inlineStr">
        <is>
          <t>엔카</t>
        </is>
      </c>
      <c r="AC2917" t="n">
        <v>598400</v>
      </c>
      <c r="AD2917" t="n">
        <v>163200</v>
      </c>
      <c r="AE2917" t="n">
        <v>435200</v>
      </c>
      <c r="AF2917" t="n">
        <v>544000</v>
      </c>
      <c r="AG2917" t="n">
        <v>157814.4</v>
      </c>
      <c r="AH2917" t="n">
        <v>386185.6</v>
      </c>
    </row>
    <row r="2918">
      <c r="A2918" t="inlineStr">
        <is>
          <t>4월</t>
        </is>
      </c>
      <c r="B2918" t="inlineStr">
        <is>
          <t>14주차</t>
        </is>
      </c>
      <c r="C2918" t="inlineStr">
        <is>
          <t>EP</t>
        </is>
      </c>
      <c r="D2918" s="28" t="n">
        <v>46114</v>
      </c>
      <c r="E2918" t="inlineStr">
        <is>
          <t>제이비EP</t>
        </is>
      </c>
      <c r="F2918" t="inlineStr">
        <is>
          <t>김대한</t>
        </is>
      </c>
      <c r="G2918" t="inlineStr">
        <is>
          <t>010-9312-2784</t>
        </is>
      </c>
      <c r="H2918" t="inlineStr">
        <is>
          <t>68누0934</t>
        </is>
      </c>
      <c r="I2918" t="n">
        <v>9000000</v>
      </c>
      <c r="J2918" t="n">
        <v>0.11</v>
      </c>
      <c r="K2918" t="n">
        <v>1.65</v>
      </c>
      <c r="L2918" t="n">
        <v>0.3</v>
      </c>
      <c r="M2918" t="n">
        <v>1.35</v>
      </c>
      <c r="P2918" t="inlineStr">
        <is>
          <t>장진경</t>
        </is>
      </c>
      <c r="Q2918" t="inlineStr">
        <is>
          <t>부대비용 추가진행</t>
        </is>
      </c>
      <c r="AB2918" t="inlineStr">
        <is>
          <t>엔카</t>
        </is>
      </c>
      <c r="AC2918" t="n">
        <v>148500</v>
      </c>
      <c r="AD2918" t="n">
        <v>27000</v>
      </c>
      <c r="AE2918" t="n">
        <v>121500</v>
      </c>
      <c r="AF2918" t="n">
        <v>135000</v>
      </c>
      <c r="AG2918" t="n">
        <v>26109</v>
      </c>
      <c r="AH2918" t="n">
        <v>108891</v>
      </c>
    </row>
    <row r="2919">
      <c r="A2919" t="inlineStr">
        <is>
          <t>4월</t>
        </is>
      </c>
      <c r="B2919" t="inlineStr">
        <is>
          <t>14주차</t>
        </is>
      </c>
      <c r="C2919" t="inlineStr">
        <is>
          <t>IM</t>
        </is>
      </c>
      <c r="D2919" s="28" t="n">
        <v>46115</v>
      </c>
      <c r="E2919" t="inlineStr">
        <is>
          <t>IM캐피탈</t>
        </is>
      </c>
      <c r="F2919" t="inlineStr">
        <is>
          <t>김용남</t>
        </is>
      </c>
      <c r="G2919" t="inlineStr">
        <is>
          <t>010-3445-4707</t>
        </is>
      </c>
      <c r="H2919" t="inlineStr">
        <is>
          <t>29소6126</t>
        </is>
      </c>
      <c r="I2919" t="n">
        <v>11600000</v>
      </c>
      <c r="J2919" t="n">
        <v>0.08599999999999999</v>
      </c>
      <c r="K2919" t="n">
        <v>1.1</v>
      </c>
      <c r="L2919" t="n">
        <v>0.07000000000000001</v>
      </c>
      <c r="M2919" t="n">
        <v>1.03</v>
      </c>
      <c r="P2919" t="inlineStr">
        <is>
          <t>황채이</t>
        </is>
      </c>
      <c r="Q2919" t="inlineStr">
        <is>
          <t>홈서비스 72개월 / 부대비용 추가진행</t>
        </is>
      </c>
      <c r="AB2919" t="inlineStr">
        <is>
          <t>홈서비스</t>
        </is>
      </c>
      <c r="AC2919" t="n">
        <v>127600</v>
      </c>
      <c r="AD2919" t="n">
        <v>8120</v>
      </c>
      <c r="AE2919" t="n">
        <v>119480</v>
      </c>
      <c r="AF2919" t="n">
        <v>116000</v>
      </c>
      <c r="AG2919" t="n">
        <v>7852.04</v>
      </c>
      <c r="AH2919" t="n">
        <v>108147.96</v>
      </c>
      <c r="AI2919" t="n">
        <v>0</v>
      </c>
    </row>
    <row r="2920">
      <c r="A2920" t="inlineStr">
        <is>
          <t>4월</t>
        </is>
      </c>
      <c r="B2920" t="inlineStr">
        <is>
          <t>14주차</t>
        </is>
      </c>
      <c r="C2920" t="inlineStr">
        <is>
          <t>EP</t>
        </is>
      </c>
      <c r="D2920" s="28" t="n">
        <v>46115</v>
      </c>
      <c r="E2920" t="inlineStr">
        <is>
          <t>현대EP_fast</t>
        </is>
      </c>
      <c r="F2920" t="inlineStr">
        <is>
          <t>전윤석</t>
        </is>
      </c>
      <c r="G2920" t="inlineStr">
        <is>
          <t>010-2515-0910</t>
        </is>
      </c>
      <c r="H2920" t="inlineStr">
        <is>
          <t>110버3172</t>
        </is>
      </c>
      <c r="I2920" t="n">
        <v>15000000</v>
      </c>
      <c r="J2920" t="n">
        <v>0.062</v>
      </c>
      <c r="K2920" t="n">
        <v>1.76</v>
      </c>
      <c r="L2920" t="n">
        <v>0.2</v>
      </c>
      <c r="M2920" t="n">
        <v>1.56</v>
      </c>
      <c r="P2920" t="inlineStr">
        <is>
          <t>김수연</t>
        </is>
      </c>
      <c r="Q2920" t="inlineStr">
        <is>
          <t>홈서비스 60개월</t>
        </is>
      </c>
      <c r="AB2920" t="inlineStr">
        <is>
          <t>홈서비스</t>
        </is>
      </c>
      <c r="AC2920" t="n">
        <v>264000</v>
      </c>
      <c r="AD2920" t="n">
        <v>30000</v>
      </c>
      <c r="AE2920" t="n">
        <v>234000</v>
      </c>
      <c r="AF2920" t="n">
        <v>240000</v>
      </c>
      <c r="AG2920" t="n">
        <v>29010</v>
      </c>
      <c r="AH2920" t="n">
        <v>210990</v>
      </c>
    </row>
    <row r="2921">
      <c r="A2921" t="inlineStr">
        <is>
          <t>4월</t>
        </is>
      </c>
      <c r="B2921" t="inlineStr">
        <is>
          <t>14주차</t>
        </is>
      </c>
      <c r="C2921" t="inlineStr">
        <is>
          <t>IM</t>
        </is>
      </c>
      <c r="D2921" s="28" t="n">
        <v>46115</v>
      </c>
      <c r="E2921" t="inlineStr">
        <is>
          <t>IM캐피탈</t>
        </is>
      </c>
      <c r="F2921" t="inlineStr">
        <is>
          <t>박효정</t>
        </is>
      </c>
      <c r="G2921" t="inlineStr">
        <is>
          <t>010-8556-8625</t>
        </is>
      </c>
      <c r="H2921" t="inlineStr">
        <is>
          <t>42서0903</t>
        </is>
      </c>
      <c r="I2921" t="n">
        <v>6300000</v>
      </c>
      <c r="J2921" t="n">
        <v>0.049</v>
      </c>
      <c r="K2921" t="n">
        <v>1.1</v>
      </c>
      <c r="L2921" t="n">
        <v>0.07000000000000001</v>
      </c>
      <c r="M2921" t="n">
        <v>1.03</v>
      </c>
      <c r="P2921" t="inlineStr">
        <is>
          <t>황채이</t>
        </is>
      </c>
      <c r="Q2921" t="inlineStr">
        <is>
          <t>홈서비스 84개월 / 부대비용 추가진행</t>
        </is>
      </c>
      <c r="AB2921" t="inlineStr">
        <is>
          <t>홈서비스</t>
        </is>
      </c>
      <c r="AC2921" t="n">
        <v>69300</v>
      </c>
      <c r="AD2921" t="n">
        <v>4410</v>
      </c>
      <c r="AE2921" t="n">
        <v>64890</v>
      </c>
      <c r="AF2921" t="n">
        <v>63000</v>
      </c>
      <c r="AG2921" t="n">
        <v>4264.47</v>
      </c>
      <c r="AH2921" t="n">
        <v>58735.53</v>
      </c>
    </row>
    <row r="2922">
      <c r="A2922" t="inlineStr">
        <is>
          <t>4월</t>
        </is>
      </c>
      <c r="B2922" t="inlineStr">
        <is>
          <t>14주차</t>
        </is>
      </c>
      <c r="C2922" t="inlineStr">
        <is>
          <t>EP</t>
        </is>
      </c>
      <c r="D2922" s="28" t="n">
        <v>46115</v>
      </c>
      <c r="E2922" t="inlineStr">
        <is>
          <t>현대EP_fast</t>
        </is>
      </c>
      <c r="F2922" t="inlineStr">
        <is>
          <t>김형주</t>
        </is>
      </c>
      <c r="G2922" t="inlineStr">
        <is>
          <t>010-5216-5252</t>
        </is>
      </c>
      <c r="H2922" t="inlineStr">
        <is>
          <t>49노4692</t>
        </is>
      </c>
      <c r="I2922" t="n">
        <v>8000000</v>
      </c>
      <c r="J2922" t="n">
        <v>0.077</v>
      </c>
      <c r="K2922" t="n">
        <v>1.76</v>
      </c>
      <c r="L2922" t="n">
        <v>0.2</v>
      </c>
      <c r="M2922" t="n">
        <v>1.56</v>
      </c>
      <c r="P2922" t="inlineStr">
        <is>
          <t>황채이</t>
        </is>
      </c>
      <c r="Q2922" t="inlineStr">
        <is>
          <t>홈서비스 60개월</t>
        </is>
      </c>
      <c r="AB2922" t="inlineStr">
        <is>
          <t>홈서비스</t>
        </is>
      </c>
      <c r="AC2922" t="n">
        <v>140800</v>
      </c>
      <c r="AD2922" t="n">
        <v>16000</v>
      </c>
      <c r="AE2922" t="n">
        <v>124800</v>
      </c>
      <c r="AF2922" t="n">
        <v>128000</v>
      </c>
      <c r="AG2922" t="n">
        <v>15472</v>
      </c>
      <c r="AH2922" t="n">
        <v>112528</v>
      </c>
      <c r="AI2922" t="n">
        <v>0</v>
      </c>
    </row>
    <row r="2923">
      <c r="A2923" t="inlineStr">
        <is>
          <t>4월</t>
        </is>
      </c>
      <c r="B2923" t="inlineStr">
        <is>
          <t>14주차</t>
        </is>
      </c>
      <c r="C2923" t="inlineStr">
        <is>
          <t>IM</t>
        </is>
      </c>
      <c r="D2923" s="28" t="n">
        <v>46113</v>
      </c>
      <c r="E2923" t="inlineStr">
        <is>
          <t>IM캐피탈</t>
        </is>
      </c>
      <c r="F2923" t="inlineStr">
        <is>
          <t>이동규</t>
        </is>
      </c>
      <c r="G2923" t="inlineStr">
        <is>
          <t>010-8620-8355</t>
        </is>
      </c>
      <c r="H2923" t="inlineStr">
        <is>
          <t>379서2541</t>
        </is>
      </c>
      <c r="I2923" t="n">
        <v>38500000</v>
      </c>
      <c r="J2923" t="n">
        <v>0.059</v>
      </c>
      <c r="K2923" t="n">
        <v>1.1</v>
      </c>
      <c r="L2923" t="n">
        <v>0.3</v>
      </c>
      <c r="M2923" t="n">
        <v>0.8</v>
      </c>
      <c r="P2923" t="inlineStr">
        <is>
          <t>임대경</t>
        </is>
      </c>
      <c r="AB2923" t="inlineStr">
        <is>
          <t>엔카</t>
        </is>
      </c>
      <c r="AC2923" t="n">
        <v>423500</v>
      </c>
      <c r="AD2923" t="n">
        <v>115500</v>
      </c>
      <c r="AE2923" t="n">
        <v>308000</v>
      </c>
      <c r="AF2923" t="n">
        <v>385000</v>
      </c>
      <c r="AG2923" t="n">
        <v>111688.5</v>
      </c>
      <c r="AH2923" t="n">
        <v>273311.5</v>
      </c>
    </row>
    <row r="2924">
      <c r="A2924" t="inlineStr">
        <is>
          <t>4월</t>
        </is>
      </c>
      <c r="B2924" t="inlineStr">
        <is>
          <t>14주차</t>
        </is>
      </c>
      <c r="C2924" t="inlineStr">
        <is>
          <t>EP</t>
        </is>
      </c>
      <c r="D2924" s="28" t="n">
        <v>46115</v>
      </c>
      <c r="E2924" t="inlineStr">
        <is>
          <t>현대EP_fast</t>
        </is>
      </c>
      <c r="F2924" t="inlineStr">
        <is>
          <t>김은미</t>
        </is>
      </c>
      <c r="G2924" t="inlineStr">
        <is>
          <t>010-6473-5165</t>
        </is>
      </c>
      <c r="H2924" t="inlineStr">
        <is>
          <t>190우9536</t>
        </is>
      </c>
      <c r="I2924" t="n">
        <v>30000000</v>
      </c>
      <c r="J2924" t="n">
        <v>0.105</v>
      </c>
      <c r="K2924" t="n">
        <v>1.76</v>
      </c>
      <c r="L2924" t="n">
        <v>0.2</v>
      </c>
      <c r="M2924" t="n">
        <v>1.56</v>
      </c>
      <c r="P2924" t="inlineStr">
        <is>
          <t>김나윤</t>
        </is>
      </c>
      <c r="Q2924" t="inlineStr">
        <is>
          <t>홈서비스 48개월</t>
        </is>
      </c>
      <c r="AB2924" t="inlineStr">
        <is>
          <t>홈서비스</t>
        </is>
      </c>
      <c r="AC2924" t="n">
        <v>528000</v>
      </c>
      <c r="AD2924" t="n">
        <v>60000</v>
      </c>
      <c r="AE2924" t="n">
        <v>468000</v>
      </c>
      <c r="AF2924" t="n">
        <v>480000</v>
      </c>
      <c r="AG2924" t="n">
        <v>58020</v>
      </c>
      <c r="AH2924" t="n">
        <v>421980</v>
      </c>
      <c r="AI2924" t="n">
        <v>0</v>
      </c>
    </row>
    <row r="2925">
      <c r="A2925" t="inlineStr">
        <is>
          <t>4월</t>
        </is>
      </c>
      <c r="B2925" t="inlineStr">
        <is>
          <t>14주차</t>
        </is>
      </c>
      <c r="C2925" t="inlineStr">
        <is>
          <t>EP</t>
        </is>
      </c>
      <c r="D2925" s="28" t="n">
        <v>46114</v>
      </c>
      <c r="E2925" t="inlineStr">
        <is>
          <t>제이비EP</t>
        </is>
      </c>
      <c r="F2925" t="inlineStr">
        <is>
          <t>곽기평</t>
        </is>
      </c>
      <c r="G2925" t="inlineStr">
        <is>
          <t>010-2887-9699</t>
        </is>
      </c>
      <c r="H2925" t="inlineStr">
        <is>
          <t>40나5940</t>
        </is>
      </c>
      <c r="I2925" t="n">
        <v>13000000</v>
      </c>
      <c r="J2925" t="n">
        <v>0.08500000000000001</v>
      </c>
      <c r="K2925" t="n">
        <v>1.65</v>
      </c>
      <c r="L2925" t="n">
        <v>0.07000000000000001</v>
      </c>
      <c r="M2925" t="n">
        <v>1.58</v>
      </c>
      <c r="P2925" t="inlineStr">
        <is>
          <t>박현민</t>
        </is>
      </c>
      <c r="Q2925" t="inlineStr">
        <is>
          <t>홈서비스 60개월</t>
        </is>
      </c>
      <c r="AB2925" t="inlineStr">
        <is>
          <t>홈서비스</t>
        </is>
      </c>
      <c r="AC2925" t="n">
        <v>214500</v>
      </c>
      <c r="AD2925" t="n">
        <v>9100</v>
      </c>
      <c r="AE2925" t="n">
        <v>205400</v>
      </c>
      <c r="AF2925" t="n">
        <v>195000</v>
      </c>
      <c r="AG2925" t="n">
        <v>8799.700000000001</v>
      </c>
      <c r="AH2925" t="n">
        <v>186200.3</v>
      </c>
      <c r="AI2925" t="n">
        <v>0</v>
      </c>
    </row>
    <row r="2926">
      <c r="A2926" t="inlineStr">
        <is>
          <t>4월</t>
        </is>
      </c>
      <c r="B2926" t="inlineStr">
        <is>
          <t>14주차</t>
        </is>
      </c>
      <c r="C2926" t="inlineStr">
        <is>
          <t>OR</t>
        </is>
      </c>
      <c r="D2926" s="28" t="n">
        <v>46113</v>
      </c>
      <c r="E2926" t="inlineStr">
        <is>
          <t>오릭스</t>
        </is>
      </c>
      <c r="F2926" t="inlineStr">
        <is>
          <t>김민주</t>
        </is>
      </c>
      <c r="G2926" t="inlineStr">
        <is>
          <t>010-7254-1922</t>
        </is>
      </c>
      <c r="H2926" t="inlineStr">
        <is>
          <t>138거8244</t>
        </is>
      </c>
      <c r="I2926" t="n">
        <v>31000000</v>
      </c>
      <c r="J2926" t="n">
        <v>0.07199999999999999</v>
      </c>
      <c r="K2926" t="n">
        <v>1.65</v>
      </c>
      <c r="L2926" t="n">
        <v>0.3</v>
      </c>
      <c r="M2926" t="n">
        <v>1.35</v>
      </c>
      <c r="P2926" t="inlineStr">
        <is>
          <t>박보람</t>
        </is>
      </c>
      <c r="Q2926" t="inlineStr">
        <is>
          <t>현대캐피탈 9.0% 승인</t>
        </is>
      </c>
      <c r="AB2926" t="inlineStr">
        <is>
          <t>엔카</t>
        </is>
      </c>
      <c r="AC2926" t="n">
        <v>511500</v>
      </c>
      <c r="AD2926" t="n">
        <v>93000</v>
      </c>
      <c r="AE2926" t="n">
        <v>418500</v>
      </c>
      <c r="AF2926" t="n">
        <v>465000</v>
      </c>
      <c r="AG2926" t="n">
        <v>89931</v>
      </c>
      <c r="AH2926" t="n">
        <v>375069</v>
      </c>
      <c r="AI2926" t="n">
        <v>0</v>
      </c>
    </row>
    <row r="2927">
      <c r="A2927" t="inlineStr">
        <is>
          <t>4월</t>
        </is>
      </c>
      <c r="B2927" t="inlineStr">
        <is>
          <t>14주차</t>
        </is>
      </c>
      <c r="C2927" t="inlineStr">
        <is>
          <t>EP</t>
        </is>
      </c>
      <c r="D2927" s="28" t="n">
        <v>46115</v>
      </c>
      <c r="E2927" t="inlineStr">
        <is>
          <t>현대EP_fast</t>
        </is>
      </c>
      <c r="F2927" t="inlineStr">
        <is>
          <t>이민호</t>
        </is>
      </c>
      <c r="G2927" t="inlineStr">
        <is>
          <t>010-5772-3716</t>
        </is>
      </c>
      <c r="H2927" t="inlineStr">
        <is>
          <t>123라1979</t>
        </is>
      </c>
      <c r="I2927" t="n">
        <v>20000000</v>
      </c>
      <c r="J2927" t="n">
        <v>0.092</v>
      </c>
      <c r="K2927" t="n">
        <v>1.76</v>
      </c>
      <c r="L2927" t="n">
        <v>0.2</v>
      </c>
      <c r="M2927" t="n">
        <v>1.56</v>
      </c>
      <c r="P2927" t="inlineStr">
        <is>
          <t>김나윤</t>
        </is>
      </c>
      <c r="Q2927" t="inlineStr">
        <is>
          <t>홈서비스 60개월</t>
        </is>
      </c>
      <c r="AB2927" t="inlineStr">
        <is>
          <t>홈서비스</t>
        </is>
      </c>
      <c r="AC2927" t="n">
        <v>352000</v>
      </c>
      <c r="AD2927" t="n">
        <v>40000</v>
      </c>
      <c r="AE2927" t="n">
        <v>312000</v>
      </c>
      <c r="AF2927" t="n">
        <v>320000</v>
      </c>
      <c r="AG2927" t="n">
        <v>38680</v>
      </c>
      <c r="AH2927" t="n">
        <v>281320</v>
      </c>
      <c r="AI2927" t="n">
        <v>0</v>
      </c>
    </row>
    <row r="2928">
      <c r="A2928" t="inlineStr">
        <is>
          <t>4월</t>
        </is>
      </c>
      <c r="B2928" t="inlineStr">
        <is>
          <t>14주차</t>
        </is>
      </c>
      <c r="C2928" t="inlineStr">
        <is>
          <t>IM</t>
        </is>
      </c>
      <c r="D2928" s="28" t="n">
        <v>46115</v>
      </c>
      <c r="E2928" t="inlineStr">
        <is>
          <t>IM캐피탈</t>
        </is>
      </c>
      <c r="F2928" t="inlineStr">
        <is>
          <t>김방선</t>
        </is>
      </c>
      <c r="G2928" t="inlineStr">
        <is>
          <t>010-7795-7634</t>
        </is>
      </c>
      <c r="H2928" t="inlineStr">
        <is>
          <t>75로3460</t>
        </is>
      </c>
      <c r="I2928" t="n">
        <v>19600000</v>
      </c>
      <c r="J2928" t="n">
        <v>0.06900000000000001</v>
      </c>
      <c r="K2928" t="n">
        <v>1.1</v>
      </c>
      <c r="L2928" t="n">
        <v>0.3</v>
      </c>
      <c r="M2928" t="n">
        <v>0.8</v>
      </c>
      <c r="P2928" t="inlineStr">
        <is>
          <t>최혁</t>
        </is>
      </c>
      <c r="Q2928" t="inlineStr">
        <is>
          <t>고객송금론진행</t>
        </is>
      </c>
      <c r="AB2928" t="inlineStr">
        <is>
          <t>엔카</t>
        </is>
      </c>
      <c r="AC2928" t="n">
        <v>215600</v>
      </c>
      <c r="AD2928" t="n">
        <v>58800</v>
      </c>
      <c r="AE2928" t="n">
        <v>156800</v>
      </c>
      <c r="AF2928" t="n">
        <v>196000</v>
      </c>
      <c r="AG2928" t="n">
        <v>56859.6</v>
      </c>
      <c r="AH2928" t="n">
        <v>139140.4</v>
      </c>
    </row>
    <row r="2929">
      <c r="A2929" t="inlineStr">
        <is>
          <t>4월</t>
        </is>
      </c>
      <c r="B2929" t="inlineStr">
        <is>
          <t>14주차</t>
        </is>
      </c>
      <c r="C2929" t="inlineStr">
        <is>
          <t>IM</t>
        </is>
      </c>
      <c r="D2929" s="28" t="n">
        <v>46114</v>
      </c>
      <c r="E2929" t="inlineStr">
        <is>
          <t>IM캐피탈</t>
        </is>
      </c>
      <c r="F2929" t="inlineStr">
        <is>
          <t>황인재</t>
        </is>
      </c>
      <c r="G2929" t="inlineStr">
        <is>
          <t>010-5363-8941</t>
        </is>
      </c>
      <c r="H2929" t="inlineStr">
        <is>
          <t>41오4700</t>
        </is>
      </c>
      <c r="I2929" t="n">
        <v>7000000</v>
      </c>
      <c r="J2929" t="n">
        <v>0.049</v>
      </c>
      <c r="K2929" t="n">
        <v>1.1</v>
      </c>
      <c r="L2929" t="n">
        <v>0.3</v>
      </c>
      <c r="M2929" t="n">
        <v>0.8</v>
      </c>
      <c r="P2929" t="inlineStr">
        <is>
          <t>박보람</t>
        </is>
      </c>
      <c r="Q2929" t="inlineStr">
        <is>
          <t>현대캐피탈 7.1% 승인</t>
        </is>
      </c>
      <c r="AB2929" t="inlineStr">
        <is>
          <t>엔카</t>
        </is>
      </c>
      <c r="AC2929" t="n">
        <v>77000</v>
      </c>
      <c r="AD2929" t="n">
        <v>21000</v>
      </c>
      <c r="AE2929" t="n">
        <v>56000</v>
      </c>
      <c r="AF2929" t="n">
        <v>70000</v>
      </c>
      <c r="AG2929" t="n">
        <v>20307</v>
      </c>
      <c r="AH2929" t="n">
        <v>49693</v>
      </c>
      <c r="AJ2929" t="inlineStr">
        <is>
          <t>개인</t>
        </is>
      </c>
    </row>
    <row r="2930">
      <c r="A2930" t="inlineStr">
        <is>
          <t>4월</t>
        </is>
      </c>
      <c r="B2930" t="inlineStr">
        <is>
          <t>14주차</t>
        </is>
      </c>
      <c r="C2930" t="inlineStr">
        <is>
          <t>WC</t>
        </is>
      </c>
      <c r="D2930" s="28" t="n">
        <v>46115</v>
      </c>
      <c r="E2930" t="inlineStr">
        <is>
          <t>웰컴저축은행</t>
        </is>
      </c>
      <c r="F2930" t="inlineStr">
        <is>
          <t>김동순</t>
        </is>
      </c>
      <c r="G2930" t="inlineStr">
        <is>
          <t>010-2417-9063</t>
        </is>
      </c>
      <c r="H2930" t="inlineStr">
        <is>
          <t>373부7844</t>
        </is>
      </c>
      <c r="I2930" t="n">
        <v>15500000</v>
      </c>
      <c r="J2930" t="n">
        <v>0.179</v>
      </c>
      <c r="K2930" t="n">
        <v>0</v>
      </c>
      <c r="L2930" t="n">
        <v>0.07000000000000001</v>
      </c>
      <c r="M2930" t="n">
        <v>-0.07000000000000001</v>
      </c>
      <c r="P2930" t="inlineStr">
        <is>
          <t>김수연</t>
        </is>
      </c>
      <c r="Q2930" t="inlineStr">
        <is>
          <t>홈서비스 60개월</t>
        </is>
      </c>
      <c r="AB2930" t="inlineStr">
        <is>
          <t>홈서비스</t>
        </is>
      </c>
      <c r="AC2930" t="n">
        <v>0</v>
      </c>
      <c r="AD2930" t="n">
        <v>10850</v>
      </c>
      <c r="AE2930" t="n">
        <v>-10850</v>
      </c>
      <c r="AF2930" t="n">
        <v>0</v>
      </c>
      <c r="AG2930" t="n">
        <v>10491.95</v>
      </c>
      <c r="AH2930" t="n">
        <v>-10491.95</v>
      </c>
      <c r="AI2930" t="n">
        <v>0</v>
      </c>
    </row>
    <row r="2931">
      <c r="A2931" t="inlineStr">
        <is>
          <t>4월</t>
        </is>
      </c>
      <c r="B2931" t="inlineStr">
        <is>
          <t>14주차</t>
        </is>
      </c>
      <c r="C2931" t="inlineStr">
        <is>
          <t>EP</t>
        </is>
      </c>
      <c r="D2931" s="28" t="n">
        <v>46115</v>
      </c>
      <c r="E2931" t="inlineStr">
        <is>
          <t>현대EP_fast</t>
        </is>
      </c>
      <c r="F2931" t="inlineStr">
        <is>
          <t>최준배</t>
        </is>
      </c>
      <c r="G2931" t="inlineStr">
        <is>
          <t>010-9633-0177</t>
        </is>
      </c>
      <c r="H2931" t="inlineStr">
        <is>
          <t>15도2263</t>
        </is>
      </c>
      <c r="I2931" t="n">
        <v>16700000</v>
      </c>
      <c r="J2931" t="n">
        <v>0.07099999999999999</v>
      </c>
      <c r="K2931" t="n">
        <v>1.76</v>
      </c>
      <c r="L2931" t="n">
        <v>0.2</v>
      </c>
      <c r="M2931" t="n">
        <v>1.56</v>
      </c>
      <c r="P2931" t="inlineStr">
        <is>
          <t>최형주</t>
        </is>
      </c>
      <c r="Q2931" t="inlineStr">
        <is>
          <t>홈서비스 60개월</t>
        </is>
      </c>
      <c r="AB2931" t="inlineStr">
        <is>
          <t>홈서비스</t>
        </is>
      </c>
      <c r="AC2931" t="n">
        <v>293920</v>
      </c>
      <c r="AD2931" t="n">
        <v>33400</v>
      </c>
      <c r="AE2931" t="n">
        <v>260520</v>
      </c>
      <c r="AF2931" t="n">
        <v>267200</v>
      </c>
      <c r="AG2931" t="n">
        <v>32297.8</v>
      </c>
      <c r="AH2931" t="n">
        <v>234902.2</v>
      </c>
    </row>
    <row r="2932">
      <c r="A2932" t="inlineStr">
        <is>
          <t>4월</t>
        </is>
      </c>
      <c r="B2932" t="inlineStr">
        <is>
          <t>14주차</t>
        </is>
      </c>
      <c r="C2932" t="inlineStr">
        <is>
          <t>EP</t>
        </is>
      </c>
      <c r="D2932" s="28" t="n">
        <v>46115</v>
      </c>
      <c r="E2932" t="inlineStr">
        <is>
          <t>현대EP_fast</t>
        </is>
      </c>
      <c r="F2932" t="inlineStr">
        <is>
          <t>이경구</t>
        </is>
      </c>
      <c r="G2932" t="inlineStr">
        <is>
          <t>010-2228-4957</t>
        </is>
      </c>
      <c r="H2932" t="inlineStr">
        <is>
          <t>28머9832</t>
        </is>
      </c>
      <c r="I2932" t="n">
        <v>16500000</v>
      </c>
      <c r="J2932" t="n">
        <v>0.118</v>
      </c>
      <c r="K2932" t="n">
        <v>1.76</v>
      </c>
      <c r="L2932" t="n">
        <v>0.2</v>
      </c>
      <c r="M2932" t="n">
        <v>1.56</v>
      </c>
      <c r="P2932" t="inlineStr">
        <is>
          <t>박현민</t>
        </is>
      </c>
      <c r="Q2932" t="inlineStr">
        <is>
          <t>홈서비스 48개월 /공동명의</t>
        </is>
      </c>
      <c r="AB2932" t="inlineStr">
        <is>
          <t>홈서비스</t>
        </is>
      </c>
      <c r="AC2932" t="n">
        <v>290400</v>
      </c>
      <c r="AD2932" t="n">
        <v>33000</v>
      </c>
      <c r="AE2932" t="n">
        <v>257400</v>
      </c>
      <c r="AF2932" t="n">
        <v>264000</v>
      </c>
      <c r="AG2932" t="n">
        <v>31911</v>
      </c>
      <c r="AH2932" t="n">
        <v>232089</v>
      </c>
    </row>
    <row r="2933">
      <c r="A2933" t="inlineStr">
        <is>
          <t>4월</t>
        </is>
      </c>
      <c r="B2933" t="inlineStr">
        <is>
          <t>14주차</t>
        </is>
      </c>
      <c r="C2933" t="inlineStr">
        <is>
          <t>IM</t>
        </is>
      </c>
      <c r="D2933" s="28" t="n">
        <v>46115</v>
      </c>
      <c r="E2933" t="inlineStr">
        <is>
          <t>IM캐피탈</t>
        </is>
      </c>
      <c r="F2933" t="inlineStr">
        <is>
          <t>윤민호</t>
        </is>
      </c>
      <c r="G2933" t="inlineStr">
        <is>
          <t>010-5791-5563</t>
        </is>
      </c>
      <c r="H2933" t="inlineStr">
        <is>
          <t>10어0972</t>
        </is>
      </c>
      <c r="I2933" t="n">
        <v>12200000</v>
      </c>
      <c r="J2933" t="n">
        <v>0.049</v>
      </c>
      <c r="K2933" t="n">
        <v>1.1</v>
      </c>
      <c r="L2933" t="n">
        <v>0.3</v>
      </c>
      <c r="M2933" t="n">
        <v>0.8</v>
      </c>
      <c r="P2933" t="inlineStr">
        <is>
          <t>박현민</t>
        </is>
      </c>
      <c r="Q2933" t="inlineStr">
        <is>
          <t>부대비용 추가 진행</t>
        </is>
      </c>
      <c r="AB2933" t="inlineStr">
        <is>
          <t>엔카</t>
        </is>
      </c>
      <c r="AC2933" t="n">
        <v>134200</v>
      </c>
      <c r="AD2933" t="n">
        <v>36600</v>
      </c>
      <c r="AE2933" t="n">
        <v>97600</v>
      </c>
      <c r="AF2933" t="n">
        <v>122000</v>
      </c>
      <c r="AG2933" t="n">
        <v>35392.2</v>
      </c>
      <c r="AH2933" t="n">
        <v>86607.8</v>
      </c>
      <c r="AI2933" t="n">
        <v>0</v>
      </c>
    </row>
    <row r="2934">
      <c r="A2934" t="inlineStr">
        <is>
          <t>4월</t>
        </is>
      </c>
      <c r="B2934" t="inlineStr">
        <is>
          <t>14주차</t>
        </is>
      </c>
      <c r="C2934" t="inlineStr">
        <is>
          <t>EP</t>
        </is>
      </c>
      <c r="D2934" s="28" t="n">
        <v>46114</v>
      </c>
      <c r="E2934" t="inlineStr">
        <is>
          <t>현대EP</t>
        </is>
      </c>
      <c r="F2934" t="inlineStr">
        <is>
          <t>김의겸</t>
        </is>
      </c>
      <c r="G2934" t="inlineStr">
        <is>
          <t>010-5226-7411</t>
        </is>
      </c>
      <c r="H2934" t="inlineStr">
        <is>
          <t>278보1681</t>
        </is>
      </c>
      <c r="I2934" t="n">
        <v>10000000</v>
      </c>
      <c r="J2934" t="n">
        <v>0.07099999999999999</v>
      </c>
      <c r="K2934" t="n">
        <v>1.76</v>
      </c>
      <c r="L2934" t="n">
        <v>0.2</v>
      </c>
      <c r="M2934" t="n">
        <v>1.56</v>
      </c>
      <c r="P2934" t="inlineStr">
        <is>
          <t>정광호</t>
        </is>
      </c>
      <c r="Q2934" t="inlineStr">
        <is>
          <t>홈서비스 24개월</t>
        </is>
      </c>
      <c r="AB2934" t="inlineStr">
        <is>
          <t>홈서비스</t>
        </is>
      </c>
      <c r="AC2934" t="n">
        <v>176000</v>
      </c>
      <c r="AD2934" t="n">
        <v>20000</v>
      </c>
      <c r="AE2934" t="n">
        <v>156000</v>
      </c>
      <c r="AF2934" t="n">
        <v>160000</v>
      </c>
      <c r="AG2934" t="n">
        <v>19340</v>
      </c>
      <c r="AH2934" t="n">
        <v>140660</v>
      </c>
    </row>
    <row r="2935">
      <c r="A2935" t="inlineStr">
        <is>
          <t>4월</t>
        </is>
      </c>
      <c r="B2935" t="inlineStr">
        <is>
          <t>14주차</t>
        </is>
      </c>
      <c r="C2935" t="inlineStr">
        <is>
          <t>EP</t>
        </is>
      </c>
      <c r="D2935" s="28" t="n">
        <v>46115</v>
      </c>
      <c r="E2935" t="inlineStr">
        <is>
          <t>현대EP_fast</t>
        </is>
      </c>
      <c r="F2935" t="inlineStr">
        <is>
          <t xml:space="preserve">김하나 </t>
        </is>
      </c>
      <c r="G2935" t="inlineStr">
        <is>
          <t>010-2448-1223</t>
        </is>
      </c>
      <c r="H2935" t="inlineStr">
        <is>
          <t>23너7307</t>
        </is>
      </c>
      <c r="I2935" t="n">
        <v>6500000</v>
      </c>
      <c r="J2935" t="n">
        <v>0.079</v>
      </c>
      <c r="K2935" t="n">
        <v>1.76</v>
      </c>
      <c r="L2935" t="n">
        <v>0.2</v>
      </c>
      <c r="M2935" t="n">
        <v>1.56</v>
      </c>
      <c r="P2935" t="inlineStr">
        <is>
          <t>최형주</t>
        </is>
      </c>
      <c r="Q2935" t="inlineStr">
        <is>
          <t>홈서비스 24개월</t>
        </is>
      </c>
      <c r="AB2935" t="inlineStr">
        <is>
          <t>홈서비스</t>
        </is>
      </c>
      <c r="AC2935" t="n">
        <v>114400</v>
      </c>
      <c r="AD2935" t="n">
        <v>13000</v>
      </c>
      <c r="AE2935" t="n">
        <v>101400</v>
      </c>
      <c r="AF2935" t="n">
        <v>104000</v>
      </c>
      <c r="AG2935" t="n">
        <v>12571</v>
      </c>
      <c r="AH2935" t="n">
        <v>91429</v>
      </c>
      <c r="AI2935" t="n">
        <v>0</v>
      </c>
    </row>
    <row r="2936">
      <c r="A2936" t="inlineStr">
        <is>
          <t>4월</t>
        </is>
      </c>
      <c r="B2936" t="inlineStr">
        <is>
          <t>14주차</t>
        </is>
      </c>
      <c r="C2936" t="inlineStr">
        <is>
          <t>EP</t>
        </is>
      </c>
      <c r="D2936" s="28" t="n">
        <v>46115</v>
      </c>
      <c r="E2936" t="inlineStr">
        <is>
          <t>제이비EP</t>
        </is>
      </c>
      <c r="F2936" t="inlineStr">
        <is>
          <t>김은봉</t>
        </is>
      </c>
      <c r="G2936" t="inlineStr">
        <is>
          <t>010-8316-0941</t>
        </is>
      </c>
      <c r="H2936" t="inlineStr">
        <is>
          <t>287머5330</t>
        </is>
      </c>
      <c r="I2936" t="n">
        <v>25500000</v>
      </c>
      <c r="J2936" t="n">
        <v>0.07199999999999999</v>
      </c>
      <c r="K2936" t="n">
        <v>1.65</v>
      </c>
      <c r="L2936" t="n">
        <v>0.3</v>
      </c>
      <c r="M2936" t="n">
        <v>1.35</v>
      </c>
      <c r="P2936" t="inlineStr">
        <is>
          <t>장진경</t>
        </is>
      </c>
      <c r="Q2936" t="inlineStr">
        <is>
          <t>상사 롯데렌탈 / 현대협약불가</t>
        </is>
      </c>
      <c r="AB2936" t="inlineStr">
        <is>
          <t>엔카</t>
        </is>
      </c>
      <c r="AC2936" t="n">
        <v>420750</v>
      </c>
      <c r="AD2936" t="n">
        <v>76500</v>
      </c>
      <c r="AE2936" t="n">
        <v>344250</v>
      </c>
      <c r="AF2936" t="n">
        <v>382500</v>
      </c>
      <c r="AG2936" t="n">
        <v>73975.5</v>
      </c>
      <c r="AH2936" t="n">
        <v>308524.5</v>
      </c>
      <c r="AI2936" t="n">
        <v>0</v>
      </c>
    </row>
    <row r="2937">
      <c r="A2937" t="inlineStr">
        <is>
          <t>4월</t>
        </is>
      </c>
      <c r="B2937" t="inlineStr">
        <is>
          <t>14주차</t>
        </is>
      </c>
      <c r="C2937" t="inlineStr">
        <is>
          <t>IM</t>
        </is>
      </c>
      <c r="D2937" s="28" t="n">
        <v>46115</v>
      </c>
      <c r="E2937" t="inlineStr">
        <is>
          <t>IM캐피탈</t>
        </is>
      </c>
      <c r="F2937" t="inlineStr">
        <is>
          <t>남상희</t>
        </is>
      </c>
      <c r="G2937" t="inlineStr">
        <is>
          <t>010-8866-6657</t>
        </is>
      </c>
      <c r="H2937" t="inlineStr">
        <is>
          <t>388누2536</t>
        </is>
      </c>
      <c r="I2937" t="n">
        <v>100000000</v>
      </c>
      <c r="J2937" t="n">
        <v>0.059</v>
      </c>
      <c r="K2937" t="n">
        <v>1.1</v>
      </c>
      <c r="L2937" t="n">
        <v>0.3</v>
      </c>
      <c r="M2937" t="n">
        <v>0.8</v>
      </c>
      <c r="P2937" t="inlineStr">
        <is>
          <t>정하은</t>
        </is>
      </c>
      <c r="AB2937" t="inlineStr">
        <is>
          <t>엔카</t>
        </is>
      </c>
      <c r="AC2937" t="n">
        <v>1100000</v>
      </c>
      <c r="AD2937" t="n">
        <v>300000</v>
      </c>
      <c r="AE2937" t="n">
        <v>800000</v>
      </c>
      <c r="AF2937" t="n">
        <v>1000000</v>
      </c>
      <c r="AG2937" t="n">
        <v>290100</v>
      </c>
      <c r="AH2937" t="n">
        <v>709900</v>
      </c>
    </row>
    <row r="2938">
      <c r="A2938" t="inlineStr">
        <is>
          <t>4월</t>
        </is>
      </c>
      <c r="B2938" t="inlineStr">
        <is>
          <t>14주차</t>
        </is>
      </c>
      <c r="C2938" t="inlineStr">
        <is>
          <t>IM</t>
        </is>
      </c>
      <c r="D2938" s="28" t="n">
        <v>46115</v>
      </c>
      <c r="E2938" t="inlineStr">
        <is>
          <t>IM캐피탈</t>
        </is>
      </c>
      <c r="F2938" t="inlineStr">
        <is>
          <t>안미선</t>
        </is>
      </c>
      <c r="G2938" t="inlineStr">
        <is>
          <t>010-8875-2987</t>
        </is>
      </c>
      <c r="H2938" t="inlineStr">
        <is>
          <t>40러5513</t>
        </is>
      </c>
      <c r="I2938" t="n">
        <v>9800000</v>
      </c>
      <c r="J2938" t="n">
        <v>0.066</v>
      </c>
      <c r="K2938" t="n">
        <v>1.1</v>
      </c>
      <c r="L2938" t="n">
        <v>0.07000000000000001</v>
      </c>
      <c r="M2938" t="n">
        <v>1.03</v>
      </c>
      <c r="P2938" t="inlineStr">
        <is>
          <t>임대경</t>
        </is>
      </c>
      <c r="Q2938" t="inlineStr">
        <is>
          <t>홈서비스 48개월</t>
        </is>
      </c>
      <c r="AB2938" t="inlineStr">
        <is>
          <t>홈서비스</t>
        </is>
      </c>
      <c r="AC2938" t="n">
        <v>107800</v>
      </c>
      <c r="AD2938" t="n">
        <v>6860</v>
      </c>
      <c r="AE2938" t="n">
        <v>100940</v>
      </c>
      <c r="AF2938" t="n">
        <v>98000</v>
      </c>
      <c r="AG2938" t="n">
        <v>6633.62</v>
      </c>
      <c r="AH2938" t="n">
        <v>91366.38</v>
      </c>
      <c r="AI2938" t="n">
        <v>0</v>
      </c>
    </row>
    <row r="2939">
      <c r="A2939" t="inlineStr">
        <is>
          <t>4월</t>
        </is>
      </c>
      <c r="B2939" t="inlineStr">
        <is>
          <t>14주차</t>
        </is>
      </c>
      <c r="C2939" t="inlineStr">
        <is>
          <t>IM</t>
        </is>
      </c>
      <c r="D2939" s="28" t="n">
        <v>46115</v>
      </c>
      <c r="E2939" t="inlineStr">
        <is>
          <t>IM캐피탈</t>
        </is>
      </c>
      <c r="F2939" t="inlineStr">
        <is>
          <t>이수진</t>
        </is>
      </c>
      <c r="G2939" t="inlineStr">
        <is>
          <t>010-3037-0320</t>
        </is>
      </c>
      <c r="H2939" t="inlineStr">
        <is>
          <t>19노1191</t>
        </is>
      </c>
      <c r="I2939" t="n">
        <v>3000000</v>
      </c>
      <c r="J2939" t="n">
        <v>0.056</v>
      </c>
      <c r="K2939" t="n">
        <v>1.1</v>
      </c>
      <c r="L2939" t="n">
        <v>0.07000000000000001</v>
      </c>
      <c r="M2939" t="n">
        <v>1.03</v>
      </c>
      <c r="P2939" t="inlineStr">
        <is>
          <t>박보람</t>
        </is>
      </c>
      <c r="Q2939" t="inlineStr">
        <is>
          <t>선상담 / 홈서비스 24개월 / 현대캐피탈 7.9% 승인</t>
        </is>
      </c>
      <c r="AB2939" t="inlineStr">
        <is>
          <t>홈서비스</t>
        </is>
      </c>
      <c r="AC2939" t="n">
        <v>33000</v>
      </c>
      <c r="AD2939" t="n">
        <v>2100</v>
      </c>
      <c r="AE2939" t="n">
        <v>30900</v>
      </c>
      <c r="AF2939" t="n">
        <v>30000</v>
      </c>
      <c r="AG2939" t="n">
        <v>2030.7</v>
      </c>
      <c r="AH2939" t="n">
        <v>27969.3</v>
      </c>
      <c r="AI2939" t="n">
        <v>0</v>
      </c>
    </row>
    <row r="2940">
      <c r="A2940" t="inlineStr">
        <is>
          <t>4월</t>
        </is>
      </c>
      <c r="B2940" t="inlineStr">
        <is>
          <t>14주차</t>
        </is>
      </c>
      <c r="C2940" t="inlineStr">
        <is>
          <t>EP</t>
        </is>
      </c>
      <c r="D2940" s="28" t="n">
        <v>46114</v>
      </c>
      <c r="E2940" t="inlineStr">
        <is>
          <t>제이비EP</t>
        </is>
      </c>
      <c r="F2940" t="inlineStr">
        <is>
          <t>박대산</t>
        </is>
      </c>
      <c r="G2940" t="inlineStr">
        <is>
          <t>010-2510-2619</t>
        </is>
      </c>
      <c r="H2940" t="inlineStr">
        <is>
          <t>95조4474</t>
        </is>
      </c>
      <c r="I2940" t="n">
        <v>9000000</v>
      </c>
      <c r="J2940" t="n">
        <v>0.124</v>
      </c>
      <c r="K2940" t="n">
        <v>1.65</v>
      </c>
      <c r="L2940" t="n">
        <v>0.3</v>
      </c>
      <c r="M2940" t="n">
        <v>1.35</v>
      </c>
      <c r="P2940" t="inlineStr">
        <is>
          <t>장현경</t>
        </is>
      </c>
      <c r="AB2940" t="inlineStr">
        <is>
          <t>엔카</t>
        </is>
      </c>
      <c r="AC2940" t="n">
        <v>148500</v>
      </c>
      <c r="AD2940" t="n">
        <v>27000</v>
      </c>
      <c r="AE2940" t="n">
        <v>121500</v>
      </c>
      <c r="AF2940" t="n">
        <v>135000</v>
      </c>
      <c r="AG2940" t="n">
        <v>26109</v>
      </c>
      <c r="AH2940" t="n">
        <v>108891</v>
      </c>
      <c r="AI2940" t="n">
        <v>0</v>
      </c>
    </row>
    <row r="2941">
      <c r="A2941" t="inlineStr">
        <is>
          <t>4월</t>
        </is>
      </c>
      <c r="B2941" t="inlineStr">
        <is>
          <t>14주차</t>
        </is>
      </c>
      <c r="C2941" t="inlineStr">
        <is>
          <t>EP</t>
        </is>
      </c>
      <c r="D2941" s="28" t="n">
        <v>46115</v>
      </c>
      <c r="E2941" t="inlineStr">
        <is>
          <t>현대EP_fast</t>
        </is>
      </c>
      <c r="F2941" t="inlineStr">
        <is>
          <t>이은석</t>
        </is>
      </c>
      <c r="G2941" t="inlineStr">
        <is>
          <t>010-3542-1426</t>
        </is>
      </c>
      <c r="H2941" t="inlineStr">
        <is>
          <t>53고9703</t>
        </is>
      </c>
      <c r="I2941" t="n">
        <v>8800000</v>
      </c>
      <c r="J2941" t="n">
        <v>0.134</v>
      </c>
      <c r="K2941" t="n">
        <v>1.76</v>
      </c>
      <c r="L2941" t="n">
        <v>0.2</v>
      </c>
      <c r="M2941" t="n">
        <v>1.56</v>
      </c>
      <c r="P2941" t="inlineStr">
        <is>
          <t>김수연</t>
        </is>
      </c>
      <c r="Q2941" t="inlineStr">
        <is>
          <t>홈서비스 48개월</t>
        </is>
      </c>
      <c r="AB2941" t="inlineStr">
        <is>
          <t>홈서비스</t>
        </is>
      </c>
      <c r="AC2941" t="n">
        <v>154880</v>
      </c>
      <c r="AD2941" t="n">
        <v>17600</v>
      </c>
      <c r="AE2941" t="n">
        <v>137280</v>
      </c>
      <c r="AF2941" t="n">
        <v>140800</v>
      </c>
      <c r="AG2941" t="n">
        <v>17019.2</v>
      </c>
      <c r="AH2941" t="n">
        <v>123780.8</v>
      </c>
      <c r="AI2941" t="n">
        <v>0</v>
      </c>
    </row>
    <row r="2942">
      <c r="A2942" t="inlineStr">
        <is>
          <t>4월</t>
        </is>
      </c>
      <c r="B2942" t="inlineStr">
        <is>
          <t>14주차</t>
        </is>
      </c>
      <c r="C2942" t="inlineStr">
        <is>
          <t>EP</t>
        </is>
      </c>
      <c r="D2942" s="28" t="n">
        <v>46115</v>
      </c>
      <c r="E2942" t="inlineStr">
        <is>
          <t>현대EP_fast</t>
        </is>
      </c>
      <c r="F2942" t="inlineStr">
        <is>
          <t>장신혁</t>
        </is>
      </c>
      <c r="G2942" t="inlineStr">
        <is>
          <t>010-5215-9205</t>
        </is>
      </c>
      <c r="H2942" t="inlineStr">
        <is>
          <t>284우6145</t>
        </is>
      </c>
      <c r="I2942" t="n">
        <v>5800000</v>
      </c>
      <c r="J2942" t="n">
        <v>0.134</v>
      </c>
      <c r="K2942" t="n">
        <v>1.76</v>
      </c>
      <c r="L2942" t="n">
        <v>0.2</v>
      </c>
      <c r="M2942" t="n">
        <v>1.56</v>
      </c>
      <c r="P2942" t="inlineStr">
        <is>
          <t>김수연</t>
        </is>
      </c>
      <c r="Q2942" t="inlineStr">
        <is>
          <t>홈서비스 48개월</t>
        </is>
      </c>
      <c r="AB2942" t="inlineStr">
        <is>
          <t>홈서비스</t>
        </is>
      </c>
      <c r="AC2942" t="n">
        <v>102080</v>
      </c>
      <c r="AD2942" t="n">
        <v>11600</v>
      </c>
      <c r="AE2942" t="n">
        <v>90480</v>
      </c>
      <c r="AF2942" t="n">
        <v>92800</v>
      </c>
      <c r="AG2942" t="n">
        <v>11217.2</v>
      </c>
      <c r="AH2942" t="n">
        <v>81582.8</v>
      </c>
      <c r="AI2942" t="n">
        <v>0</v>
      </c>
    </row>
    <row r="2943">
      <c r="A2943" t="inlineStr">
        <is>
          <t>4월</t>
        </is>
      </c>
      <c r="B2943" t="inlineStr">
        <is>
          <t>14주차</t>
        </is>
      </c>
      <c r="C2943" t="inlineStr">
        <is>
          <t>EP</t>
        </is>
      </c>
      <c r="D2943" s="28" t="n">
        <v>46114</v>
      </c>
      <c r="E2943" t="inlineStr">
        <is>
          <t>현대EP_fast</t>
        </is>
      </c>
      <c r="F2943" t="inlineStr">
        <is>
          <t>신영록</t>
        </is>
      </c>
      <c r="G2943" t="inlineStr">
        <is>
          <t>010-4015-7910</t>
        </is>
      </c>
      <c r="H2943" t="inlineStr">
        <is>
          <t>35우1269</t>
        </is>
      </c>
      <c r="I2943" t="n">
        <v>13500000</v>
      </c>
      <c r="J2943" t="n">
        <v>0.118</v>
      </c>
      <c r="K2943" t="n">
        <v>1.76</v>
      </c>
      <c r="L2943" t="n">
        <v>0.6</v>
      </c>
      <c r="M2943" t="n">
        <v>1.16</v>
      </c>
      <c r="P2943" t="inlineStr">
        <is>
          <t>장현경</t>
        </is>
      </c>
      <c r="AB2943" t="inlineStr">
        <is>
          <t>엔카</t>
        </is>
      </c>
      <c r="AC2943" t="n">
        <v>237600</v>
      </c>
      <c r="AD2943" t="n">
        <v>81000</v>
      </c>
      <c r="AE2943" t="n">
        <v>156600</v>
      </c>
      <c r="AF2943" t="n">
        <v>216000</v>
      </c>
      <c r="AG2943" t="n">
        <v>78327</v>
      </c>
      <c r="AH2943" t="n">
        <v>137673</v>
      </c>
    </row>
    <row r="2944">
      <c r="A2944" t="inlineStr">
        <is>
          <t>4월</t>
        </is>
      </c>
      <c r="B2944" t="inlineStr">
        <is>
          <t>14주차</t>
        </is>
      </c>
      <c r="C2944" t="inlineStr">
        <is>
          <t>EP</t>
        </is>
      </c>
      <c r="D2944" s="28" t="n">
        <v>46114</v>
      </c>
      <c r="E2944" t="inlineStr">
        <is>
          <t>현대EP</t>
        </is>
      </c>
      <c r="F2944" t="inlineStr">
        <is>
          <t>이정호</t>
        </is>
      </c>
      <c r="G2944" t="inlineStr">
        <is>
          <t>010-8423-0003</t>
        </is>
      </c>
      <c r="H2944" t="inlineStr">
        <is>
          <t>02마9957</t>
        </is>
      </c>
      <c r="I2944" t="n">
        <v>13000000</v>
      </c>
      <c r="J2944" t="n">
        <v>0.076</v>
      </c>
      <c r="K2944" t="n">
        <v>1.76</v>
      </c>
      <c r="L2944" t="n">
        <v>0.2</v>
      </c>
      <c r="M2944" t="n">
        <v>1.56</v>
      </c>
      <c r="P2944" t="inlineStr">
        <is>
          <t>정광호</t>
        </is>
      </c>
      <c r="Q2944" t="inlineStr">
        <is>
          <t>홈서비스 60개월</t>
        </is>
      </c>
      <c r="AB2944" t="inlineStr">
        <is>
          <t>홈서비스</t>
        </is>
      </c>
      <c r="AC2944" t="n">
        <v>228800</v>
      </c>
      <c r="AD2944" t="n">
        <v>26000</v>
      </c>
      <c r="AE2944" t="n">
        <v>202800</v>
      </c>
      <c r="AF2944" t="n">
        <v>208000</v>
      </c>
      <c r="AG2944" t="n">
        <v>25142</v>
      </c>
      <c r="AH2944" t="n">
        <v>182858</v>
      </c>
      <c r="AI2944" t="n">
        <v>0</v>
      </c>
    </row>
    <row r="2945">
      <c r="A2945" t="inlineStr">
        <is>
          <t>4월</t>
        </is>
      </c>
      <c r="B2945" t="inlineStr">
        <is>
          <t>14주차</t>
        </is>
      </c>
      <c r="C2945" t="inlineStr">
        <is>
          <t>EP</t>
        </is>
      </c>
      <c r="D2945" s="28" t="n">
        <v>46115</v>
      </c>
      <c r="E2945" t="inlineStr">
        <is>
          <t>현대EP</t>
        </is>
      </c>
      <c r="F2945" t="inlineStr">
        <is>
          <t>김유식</t>
        </is>
      </c>
      <c r="G2945" t="inlineStr">
        <is>
          <t>010-5342-7579</t>
        </is>
      </c>
      <c r="H2945" t="inlineStr">
        <is>
          <t>160다1854</t>
        </is>
      </c>
      <c r="I2945" t="n">
        <v>12900000</v>
      </c>
      <c r="J2945" t="n">
        <v>0.077</v>
      </c>
      <c r="K2945" t="n">
        <v>1.76</v>
      </c>
      <c r="L2945" t="n">
        <v>0.2</v>
      </c>
      <c r="M2945" t="n">
        <v>1.56</v>
      </c>
      <c r="P2945" t="inlineStr">
        <is>
          <t>김수연</t>
        </is>
      </c>
      <c r="Q2945" t="inlineStr">
        <is>
          <t>홈서비스 36개월</t>
        </is>
      </c>
      <c r="AB2945" t="inlineStr">
        <is>
          <t>홈서비스</t>
        </is>
      </c>
      <c r="AC2945" t="n">
        <v>227040</v>
      </c>
      <c r="AD2945" t="n">
        <v>25800</v>
      </c>
      <c r="AE2945" t="n">
        <v>201240</v>
      </c>
      <c r="AF2945" t="n">
        <v>206400</v>
      </c>
      <c r="AG2945" t="n">
        <v>24948.6</v>
      </c>
      <c r="AH2945" t="n">
        <v>181451.4</v>
      </c>
    </row>
    <row r="2946">
      <c r="A2946" t="inlineStr">
        <is>
          <t>4월</t>
        </is>
      </c>
      <c r="B2946" t="inlineStr">
        <is>
          <t>14주차</t>
        </is>
      </c>
      <c r="C2946" t="inlineStr">
        <is>
          <t>EP</t>
        </is>
      </c>
      <c r="D2946" s="28" t="n">
        <v>46115</v>
      </c>
      <c r="E2946" t="inlineStr">
        <is>
          <t>제이비EP</t>
        </is>
      </c>
      <c r="F2946" t="inlineStr">
        <is>
          <t>정지성</t>
        </is>
      </c>
      <c r="G2946" t="inlineStr">
        <is>
          <t>010-8010-3981</t>
        </is>
      </c>
      <c r="H2946" t="inlineStr">
        <is>
          <t>05거0622</t>
        </is>
      </c>
      <c r="I2946" t="n">
        <v>5000000</v>
      </c>
      <c r="J2946" t="n">
        <v>0.079</v>
      </c>
      <c r="K2946" t="n">
        <v>1.65</v>
      </c>
      <c r="L2946" t="n">
        <v>0.07000000000000001</v>
      </c>
      <c r="M2946" t="n">
        <v>1.58</v>
      </c>
      <c r="P2946" t="inlineStr">
        <is>
          <t>정하은</t>
        </is>
      </c>
      <c r="Q2946" t="inlineStr">
        <is>
          <t>선상담 /홈서비스60개월</t>
        </is>
      </c>
      <c r="AB2946" t="inlineStr">
        <is>
          <t>홈서비스</t>
        </is>
      </c>
      <c r="AC2946" t="n">
        <v>82500</v>
      </c>
      <c r="AD2946" t="n">
        <v>3500</v>
      </c>
      <c r="AE2946" t="n">
        <v>79000</v>
      </c>
      <c r="AF2946" t="n">
        <v>75000</v>
      </c>
      <c r="AG2946" t="n">
        <v>3384.5</v>
      </c>
      <c r="AH2946" t="n">
        <v>71615.5</v>
      </c>
      <c r="AI2946" t="n">
        <v>0</v>
      </c>
    </row>
    <row r="2947">
      <c r="A2947" t="inlineStr">
        <is>
          <t>4월</t>
        </is>
      </c>
      <c r="B2947" t="inlineStr">
        <is>
          <t>14주차</t>
        </is>
      </c>
      <c r="C2947" t="inlineStr">
        <is>
          <t>IM</t>
        </is>
      </c>
      <c r="D2947" s="28" t="n">
        <v>46115</v>
      </c>
      <c r="E2947" t="inlineStr">
        <is>
          <t>IM캐피탈</t>
        </is>
      </c>
      <c r="F2947" t="inlineStr">
        <is>
          <t>곽서한</t>
        </is>
      </c>
      <c r="G2947" t="inlineStr">
        <is>
          <t>010-6276-7051</t>
        </is>
      </c>
      <c r="H2947" t="inlineStr">
        <is>
          <t>225로1824</t>
        </is>
      </c>
      <c r="I2947" t="n">
        <v>18100000</v>
      </c>
      <c r="J2947" t="n">
        <v>0.049</v>
      </c>
      <c r="K2947" t="n">
        <v>1.1</v>
      </c>
      <c r="L2947" t="n">
        <v>0.07000000000000001</v>
      </c>
      <c r="M2947" t="n">
        <v>1.03</v>
      </c>
      <c r="P2947" t="inlineStr">
        <is>
          <t>정광호</t>
        </is>
      </c>
      <c r="Q2947" t="inlineStr">
        <is>
          <t>홈서비스 60개월</t>
        </is>
      </c>
      <c r="AB2947" t="inlineStr">
        <is>
          <t>홈서비스</t>
        </is>
      </c>
      <c r="AC2947" t="n">
        <v>199100</v>
      </c>
      <c r="AD2947" t="n">
        <v>12670</v>
      </c>
      <c r="AE2947" t="n">
        <v>186430</v>
      </c>
      <c r="AF2947" t="n">
        <v>181000</v>
      </c>
      <c r="AG2947" t="n">
        <v>12251.89</v>
      </c>
      <c r="AH2947" t="n">
        <v>168748.11</v>
      </c>
      <c r="AI2947" t="n">
        <v>0</v>
      </c>
    </row>
    <row r="2948">
      <c r="A2948" t="inlineStr">
        <is>
          <t>4월</t>
        </is>
      </c>
      <c r="B2948" t="inlineStr">
        <is>
          <t>14주차</t>
        </is>
      </c>
      <c r="C2948" t="inlineStr">
        <is>
          <t>EP</t>
        </is>
      </c>
      <c r="D2948" s="28" t="n">
        <v>46114</v>
      </c>
      <c r="E2948" t="inlineStr">
        <is>
          <t>현대EP_fast</t>
        </is>
      </c>
      <c r="F2948" t="inlineStr">
        <is>
          <t>현준석</t>
        </is>
      </c>
      <c r="G2948" t="inlineStr">
        <is>
          <t>010-9942-2426</t>
        </is>
      </c>
      <c r="H2948" t="inlineStr">
        <is>
          <t>38머2040</t>
        </is>
      </c>
      <c r="I2948" t="n">
        <v>8900000</v>
      </c>
      <c r="J2948" t="n">
        <v>0.127</v>
      </c>
      <c r="K2948" t="n">
        <v>1.76</v>
      </c>
      <c r="L2948" t="n">
        <v>0.6</v>
      </c>
      <c r="M2948" t="n">
        <v>1.16</v>
      </c>
      <c r="P2948" t="inlineStr">
        <is>
          <t>장진경</t>
        </is>
      </c>
      <c r="AB2948" t="inlineStr">
        <is>
          <t>엔카</t>
        </is>
      </c>
      <c r="AC2948" t="n">
        <v>156640</v>
      </c>
      <c r="AD2948" t="n">
        <v>53400</v>
      </c>
      <c r="AE2948" t="n">
        <v>103240</v>
      </c>
      <c r="AF2948" t="n">
        <v>142400</v>
      </c>
      <c r="AG2948" t="n">
        <v>51637.8</v>
      </c>
      <c r="AH2948" t="n">
        <v>90762.2</v>
      </c>
      <c r="AI2948" t="n">
        <v>0</v>
      </c>
    </row>
    <row r="2949">
      <c r="A2949" t="inlineStr">
        <is>
          <t>4월</t>
        </is>
      </c>
      <c r="B2949" t="inlineStr">
        <is>
          <t>14주차</t>
        </is>
      </c>
      <c r="C2949" t="inlineStr">
        <is>
          <t>OR</t>
        </is>
      </c>
      <c r="D2949" s="28" t="n">
        <v>46115</v>
      </c>
      <c r="E2949" t="inlineStr">
        <is>
          <t>오릭스</t>
        </is>
      </c>
      <c r="F2949" t="inlineStr">
        <is>
          <t>곽기훈</t>
        </is>
      </c>
      <c r="G2949" t="inlineStr">
        <is>
          <t>010-2468-8557</t>
        </is>
      </c>
      <c r="H2949" t="inlineStr">
        <is>
          <t>364부5937</t>
        </is>
      </c>
      <c r="I2949" t="n">
        <v>18500000</v>
      </c>
      <c r="J2949" t="n">
        <v>0.08</v>
      </c>
      <c r="K2949" t="n">
        <v>1.65</v>
      </c>
      <c r="L2949" t="n">
        <v>0.07000000000000001</v>
      </c>
      <c r="M2949" t="n">
        <v>1.58</v>
      </c>
      <c r="P2949" t="inlineStr">
        <is>
          <t>박소현</t>
        </is>
      </c>
      <c r="Q2949" t="inlineStr">
        <is>
          <t>선상담 / 홈서비스 60개월</t>
        </is>
      </c>
      <c r="AB2949" t="inlineStr">
        <is>
          <t>홈서비스</t>
        </is>
      </c>
      <c r="AC2949" t="n">
        <v>305250</v>
      </c>
      <c r="AD2949" t="n">
        <v>12950</v>
      </c>
      <c r="AE2949" t="n">
        <v>292300</v>
      </c>
      <c r="AF2949" t="n">
        <v>277500</v>
      </c>
      <c r="AG2949" t="n">
        <v>12522.65</v>
      </c>
      <c r="AH2949" t="n">
        <v>264977.35</v>
      </c>
      <c r="AI2949" t="n">
        <v>0</v>
      </c>
    </row>
    <row r="2950">
      <c r="A2950" t="inlineStr">
        <is>
          <t>4월</t>
        </is>
      </c>
      <c r="B2950" t="inlineStr">
        <is>
          <t>14주차</t>
        </is>
      </c>
      <c r="C2950" t="inlineStr">
        <is>
          <t>EP</t>
        </is>
      </c>
      <c r="D2950" s="28" t="n">
        <v>46115</v>
      </c>
      <c r="E2950" t="inlineStr">
        <is>
          <t>현대EP</t>
        </is>
      </c>
      <c r="F2950" t="inlineStr">
        <is>
          <t>김낙일</t>
        </is>
      </c>
      <c r="G2950" t="inlineStr">
        <is>
          <t>010-8978-0080</t>
        </is>
      </c>
      <c r="H2950" t="inlineStr">
        <is>
          <t>37다4937</t>
        </is>
      </c>
      <c r="I2950" t="n">
        <v>7500000</v>
      </c>
      <c r="J2950" t="n">
        <v>0.092</v>
      </c>
      <c r="K2950" t="n">
        <v>1.76</v>
      </c>
      <c r="L2950" t="n">
        <v>0.2</v>
      </c>
      <c r="M2950" t="n">
        <v>1.56</v>
      </c>
      <c r="P2950" t="inlineStr">
        <is>
          <t>장현경</t>
        </is>
      </c>
      <c r="Q2950" t="inlineStr">
        <is>
          <t>홈서비스 24개월</t>
        </is>
      </c>
      <c r="AB2950" t="inlineStr">
        <is>
          <t>홈서비스</t>
        </is>
      </c>
      <c r="AC2950" t="n">
        <v>132000</v>
      </c>
      <c r="AD2950" t="n">
        <v>15000</v>
      </c>
      <c r="AE2950" t="n">
        <v>117000</v>
      </c>
      <c r="AF2950" t="n">
        <v>120000</v>
      </c>
      <c r="AG2950" t="n">
        <v>14505</v>
      </c>
      <c r="AH2950" t="n">
        <v>105495</v>
      </c>
      <c r="AI2950" t="n">
        <v>0</v>
      </c>
    </row>
    <row r="2951">
      <c r="A2951" t="inlineStr">
        <is>
          <t>4월</t>
        </is>
      </c>
      <c r="B2951" t="inlineStr">
        <is>
          <t>14주차</t>
        </is>
      </c>
      <c r="C2951" t="inlineStr">
        <is>
          <t>EP</t>
        </is>
      </c>
      <c r="D2951" s="28" t="n">
        <v>46116</v>
      </c>
      <c r="E2951" t="inlineStr">
        <is>
          <t>현대EP</t>
        </is>
      </c>
      <c r="F2951" t="inlineStr">
        <is>
          <t>이정선</t>
        </is>
      </c>
      <c r="G2951" t="inlineStr">
        <is>
          <t>010-3461-6169</t>
        </is>
      </c>
      <c r="H2951" t="inlineStr">
        <is>
          <t>149라3087</t>
        </is>
      </c>
      <c r="I2951" t="n">
        <v>14900000</v>
      </c>
      <c r="J2951" t="n">
        <v>0.119</v>
      </c>
      <c r="K2951" t="n">
        <v>1.76</v>
      </c>
      <c r="L2951" t="n">
        <v>0.2</v>
      </c>
      <c r="M2951" t="n">
        <v>1.56</v>
      </c>
      <c r="P2951" t="inlineStr">
        <is>
          <t>황채이</t>
        </is>
      </c>
      <c r="Q2951" t="inlineStr">
        <is>
          <t>홈서비스 48개월</t>
        </is>
      </c>
      <c r="AB2951" t="inlineStr">
        <is>
          <t>홈서비스</t>
        </is>
      </c>
      <c r="AC2951" t="n">
        <v>262240</v>
      </c>
      <c r="AD2951" t="n">
        <v>29800</v>
      </c>
      <c r="AE2951" t="n">
        <v>232440</v>
      </c>
      <c r="AF2951" t="n">
        <v>238400</v>
      </c>
      <c r="AG2951" t="n">
        <v>28816.6</v>
      </c>
      <c r="AH2951" t="n">
        <v>209583.4</v>
      </c>
      <c r="AI2951" t="n">
        <v>0</v>
      </c>
    </row>
    <row r="2952">
      <c r="A2952" t="inlineStr">
        <is>
          <t>4월</t>
        </is>
      </c>
      <c r="B2952" t="inlineStr">
        <is>
          <t>14주차</t>
        </is>
      </c>
      <c r="C2952" t="inlineStr">
        <is>
          <t>EP</t>
        </is>
      </c>
      <c r="D2952" s="28" t="n">
        <v>46115</v>
      </c>
      <c r="E2952" t="inlineStr">
        <is>
          <t>현대EP</t>
        </is>
      </c>
      <c r="F2952" t="inlineStr">
        <is>
          <t>박정관</t>
        </is>
      </c>
      <c r="G2952" t="inlineStr">
        <is>
          <t>010-4634-9624</t>
        </is>
      </c>
      <c r="H2952" t="inlineStr">
        <is>
          <t>265오5913</t>
        </is>
      </c>
      <c r="I2952" t="n">
        <v>11000000</v>
      </c>
      <c r="J2952" t="n">
        <v>0.077</v>
      </c>
      <c r="K2952" t="n">
        <v>1.76</v>
      </c>
      <c r="L2952" t="n">
        <v>0.2</v>
      </c>
      <c r="M2952" t="n">
        <v>1.56</v>
      </c>
      <c r="P2952" t="inlineStr">
        <is>
          <t>장현경</t>
        </is>
      </c>
      <c r="Q2952" t="inlineStr">
        <is>
          <t>홈서비스 60개월</t>
        </is>
      </c>
      <c r="AB2952" t="inlineStr">
        <is>
          <t>홈서비스</t>
        </is>
      </c>
      <c r="AC2952" t="n">
        <v>193600</v>
      </c>
      <c r="AD2952" t="n">
        <v>22000</v>
      </c>
      <c r="AE2952" t="n">
        <v>171600</v>
      </c>
      <c r="AF2952" t="n">
        <v>176000</v>
      </c>
      <c r="AG2952" t="n">
        <v>21274</v>
      </c>
      <c r="AH2952" t="n">
        <v>154726</v>
      </c>
      <c r="AI2952" t="n">
        <v>0</v>
      </c>
    </row>
    <row r="2953">
      <c r="A2953" t="inlineStr">
        <is>
          <t>4월</t>
        </is>
      </c>
      <c r="B2953" t="inlineStr">
        <is>
          <t>14주차</t>
        </is>
      </c>
      <c r="C2953" t="inlineStr">
        <is>
          <t>EP</t>
        </is>
      </c>
      <c r="D2953" s="28" t="n">
        <v>46115</v>
      </c>
      <c r="E2953" t="inlineStr">
        <is>
          <t>현대EP</t>
        </is>
      </c>
      <c r="F2953" t="inlineStr">
        <is>
          <t>박종성</t>
        </is>
      </c>
      <c r="G2953" t="inlineStr">
        <is>
          <t>010-5184-9939</t>
        </is>
      </c>
      <c r="H2953" t="inlineStr">
        <is>
          <t>09구1640</t>
        </is>
      </c>
      <c r="I2953" t="n">
        <v>21000000</v>
      </c>
      <c r="J2953" t="n">
        <v>0.079</v>
      </c>
      <c r="K2953" t="n">
        <v>1.76</v>
      </c>
      <c r="L2953" t="n">
        <v>0.2</v>
      </c>
      <c r="M2953" t="n">
        <v>1.56</v>
      </c>
      <c r="P2953" t="inlineStr">
        <is>
          <t>정광호</t>
        </is>
      </c>
      <c r="Q2953" t="inlineStr">
        <is>
          <t>홈서비스 48개월</t>
        </is>
      </c>
      <c r="AB2953" t="inlineStr">
        <is>
          <t>홈서비스</t>
        </is>
      </c>
      <c r="AC2953" t="n">
        <v>369600</v>
      </c>
      <c r="AD2953" t="n">
        <v>42000</v>
      </c>
      <c r="AE2953" t="n">
        <v>327600</v>
      </c>
      <c r="AF2953" t="n">
        <v>336000</v>
      </c>
      <c r="AG2953" t="n">
        <v>40614</v>
      </c>
      <c r="AH2953" t="n">
        <v>295386</v>
      </c>
      <c r="AI2953" t="n">
        <v>0</v>
      </c>
    </row>
    <row r="2954">
      <c r="A2954" t="inlineStr">
        <is>
          <t>4월</t>
        </is>
      </c>
      <c r="B2954" t="inlineStr">
        <is>
          <t>14주차</t>
        </is>
      </c>
      <c r="C2954" t="inlineStr">
        <is>
          <t>EP</t>
        </is>
      </c>
      <c r="D2954" s="28" t="n">
        <v>46117</v>
      </c>
      <c r="E2954" t="inlineStr">
        <is>
          <t>현대EP</t>
        </is>
      </c>
      <c r="F2954" t="inlineStr">
        <is>
          <t>변철근</t>
        </is>
      </c>
      <c r="G2954" t="inlineStr">
        <is>
          <t>010-8521-1081</t>
        </is>
      </c>
      <c r="H2954" t="inlineStr">
        <is>
          <t>23저6024</t>
        </is>
      </c>
      <c r="I2954" t="n">
        <v>10400000</v>
      </c>
      <c r="J2954" t="n">
        <v>0.102</v>
      </c>
      <c r="K2954" t="n">
        <v>1.76</v>
      </c>
      <c r="L2954" t="n">
        <v>0.2</v>
      </c>
      <c r="M2954" t="n">
        <v>1.56</v>
      </c>
      <c r="P2954" t="inlineStr">
        <is>
          <t>황채이</t>
        </is>
      </c>
      <c r="Q2954" t="inlineStr">
        <is>
          <t>홈서비스 60개월</t>
        </is>
      </c>
      <c r="AB2954" t="inlineStr">
        <is>
          <t>홈서비스</t>
        </is>
      </c>
      <c r="AC2954" t="n">
        <v>183040</v>
      </c>
      <c r="AD2954" t="n">
        <v>20800</v>
      </c>
      <c r="AE2954" t="n">
        <v>162240</v>
      </c>
      <c r="AF2954" t="n">
        <v>166400</v>
      </c>
      <c r="AG2954" t="n">
        <v>20113.6</v>
      </c>
      <c r="AH2954" t="n">
        <v>146286.4</v>
      </c>
    </row>
    <row r="2955">
      <c r="A2955" t="inlineStr">
        <is>
          <t>4월</t>
        </is>
      </c>
      <c r="B2955" t="inlineStr">
        <is>
          <t>14주차</t>
        </is>
      </c>
      <c r="C2955" t="inlineStr">
        <is>
          <t>EP</t>
        </is>
      </c>
      <c r="D2955" s="28" t="n">
        <v>46115</v>
      </c>
      <c r="E2955" t="inlineStr">
        <is>
          <t>현대EP_fast</t>
        </is>
      </c>
      <c r="F2955" t="inlineStr">
        <is>
          <t>박종식</t>
        </is>
      </c>
      <c r="G2955" t="inlineStr">
        <is>
          <t>010-6374-0214</t>
        </is>
      </c>
      <c r="H2955" t="inlineStr">
        <is>
          <t>164거4054</t>
        </is>
      </c>
      <c r="I2955" t="n">
        <v>26800000</v>
      </c>
      <c r="J2955" t="n">
        <v>0.127</v>
      </c>
      <c r="K2955" t="n">
        <v>1.76</v>
      </c>
      <c r="L2955" t="n">
        <v>0.2</v>
      </c>
      <c r="M2955" t="n">
        <v>1.56</v>
      </c>
      <c r="P2955" t="inlineStr">
        <is>
          <t>김나윤</t>
        </is>
      </c>
      <c r="Q2955" t="inlineStr">
        <is>
          <t>홈서비스 60개월</t>
        </is>
      </c>
      <c r="AB2955" t="inlineStr">
        <is>
          <t>홈서비스</t>
        </is>
      </c>
      <c r="AC2955" t="n">
        <v>471680</v>
      </c>
      <c r="AD2955" t="n">
        <v>53600</v>
      </c>
      <c r="AE2955" t="n">
        <v>418080</v>
      </c>
      <c r="AF2955" t="n">
        <v>428800</v>
      </c>
      <c r="AG2955" t="n">
        <v>51831.2</v>
      </c>
      <c r="AH2955" t="n">
        <v>376968.8</v>
      </c>
    </row>
    <row r="2956">
      <c r="A2956" t="inlineStr">
        <is>
          <t>1월</t>
        </is>
      </c>
      <c r="B2956" t="inlineStr">
        <is>
          <t>5주차</t>
        </is>
      </c>
      <c r="C2956" t="inlineStr">
        <is>
          <t>EP</t>
        </is>
      </c>
      <c r="D2956" s="28" t="n">
        <v>46050</v>
      </c>
      <c r="E2956" t="inlineStr">
        <is>
          <t>현대EP</t>
        </is>
      </c>
      <c r="F2956" t="inlineStr">
        <is>
          <t>김민자</t>
        </is>
      </c>
      <c r="G2956" t="inlineStr">
        <is>
          <t>010-2411-8520</t>
        </is>
      </c>
      <c r="H2956" t="inlineStr">
        <is>
          <t>385누9332</t>
        </is>
      </c>
      <c r="I2956" t="n">
        <v>23900000</v>
      </c>
      <c r="J2956" t="n">
        <v>0.07199999999999999</v>
      </c>
      <c r="K2956" t="n">
        <v>1.76</v>
      </c>
      <c r="L2956" t="n">
        <v>0.13</v>
      </c>
      <c r="M2956" t="n">
        <v>1.63</v>
      </c>
      <c r="P2956" t="inlineStr">
        <is>
          <t>구성완</t>
        </is>
      </c>
      <c r="Q2956" t="inlineStr">
        <is>
          <t>일산 안심거래존건</t>
        </is>
      </c>
      <c r="AB2956" t="inlineStr">
        <is>
          <t>믿고</t>
        </is>
      </c>
      <c r="AC2956" t="n">
        <v>420640</v>
      </c>
      <c r="AD2956" t="n">
        <v>31070</v>
      </c>
      <c r="AE2956" t="n">
        <v>389570</v>
      </c>
      <c r="AF2956" t="n">
        <v>382400</v>
      </c>
      <c r="AG2956" t="n">
        <v>30044.69</v>
      </c>
      <c r="AH2956" t="n">
        <v>352355.31</v>
      </c>
      <c r="AI2956" t="n">
        <v>0</v>
      </c>
    </row>
    <row r="2957">
      <c r="A2957" t="inlineStr">
        <is>
          <t>4월</t>
        </is>
      </c>
      <c r="B2957" t="inlineStr">
        <is>
          <t>14주차</t>
        </is>
      </c>
      <c r="C2957" t="inlineStr">
        <is>
          <t>EP</t>
        </is>
      </c>
      <c r="D2957" s="28" t="n">
        <v>46115</v>
      </c>
      <c r="E2957" t="inlineStr">
        <is>
          <t>현대EP</t>
        </is>
      </c>
      <c r="F2957" t="inlineStr">
        <is>
          <t>김진수</t>
        </is>
      </c>
      <c r="G2957" t="inlineStr">
        <is>
          <t>010-4479-7921</t>
        </is>
      </c>
      <c r="H2957" t="inlineStr">
        <is>
          <t>160저9428</t>
        </is>
      </c>
      <c r="I2957" t="n">
        <v>13000000</v>
      </c>
      <c r="J2957" t="n">
        <v>0.062</v>
      </c>
      <c r="K2957" t="n">
        <v>1.76</v>
      </c>
      <c r="L2957" t="n">
        <v>0.2</v>
      </c>
      <c r="M2957" t="n">
        <v>1.56</v>
      </c>
      <c r="P2957" t="inlineStr">
        <is>
          <t>김수연</t>
        </is>
      </c>
      <c r="Q2957" t="inlineStr">
        <is>
          <t>홈서비스 60개월</t>
        </is>
      </c>
      <c r="AB2957" t="inlineStr">
        <is>
          <t>홈서비스</t>
        </is>
      </c>
      <c r="AC2957" t="n">
        <v>228800</v>
      </c>
      <c r="AD2957" t="n">
        <v>26000</v>
      </c>
      <c r="AE2957" t="n">
        <v>202800</v>
      </c>
      <c r="AF2957" t="n">
        <v>208000</v>
      </c>
      <c r="AG2957" t="n">
        <v>25142</v>
      </c>
      <c r="AH2957" t="n">
        <v>182858</v>
      </c>
      <c r="AI2957" t="n">
        <v>0</v>
      </c>
    </row>
    <row r="2958">
      <c r="A2958" t="inlineStr">
        <is>
          <t>4월</t>
        </is>
      </c>
      <c r="B2958" t="inlineStr">
        <is>
          <t>14주차</t>
        </is>
      </c>
      <c r="C2958" t="inlineStr">
        <is>
          <t>EP</t>
        </is>
      </c>
      <c r="D2958" s="28" t="n">
        <v>46115</v>
      </c>
      <c r="E2958" t="inlineStr">
        <is>
          <t>현대EP</t>
        </is>
      </c>
      <c r="F2958" t="inlineStr">
        <is>
          <t>엄원용</t>
        </is>
      </c>
      <c r="G2958" t="inlineStr">
        <is>
          <t>010-4559-0451</t>
        </is>
      </c>
      <c r="H2958" t="inlineStr">
        <is>
          <t>56구5971</t>
        </is>
      </c>
      <c r="I2958" t="n">
        <v>4400000</v>
      </c>
      <c r="J2958" t="n">
        <v>0.105</v>
      </c>
      <c r="K2958" t="n">
        <v>1.76</v>
      </c>
      <c r="L2958" t="n">
        <v>0.2</v>
      </c>
      <c r="M2958" t="n">
        <v>1.56</v>
      </c>
      <c r="P2958" t="inlineStr">
        <is>
          <t>김수연</t>
        </is>
      </c>
      <c r="Q2958" t="inlineStr">
        <is>
          <t>홈서비스 48개월</t>
        </is>
      </c>
      <c r="AB2958" t="inlineStr">
        <is>
          <t>홈서비스</t>
        </is>
      </c>
      <c r="AC2958" t="n">
        <v>77440</v>
      </c>
      <c r="AD2958" t="n">
        <v>8800</v>
      </c>
      <c r="AE2958" t="n">
        <v>68640</v>
      </c>
      <c r="AF2958" t="n">
        <v>70400</v>
      </c>
      <c r="AG2958" t="n">
        <v>8509.6</v>
      </c>
      <c r="AH2958" t="n">
        <v>61890.4</v>
      </c>
    </row>
    <row r="2959">
      <c r="A2959" t="inlineStr">
        <is>
          <t>4월</t>
        </is>
      </c>
      <c r="B2959" t="inlineStr">
        <is>
          <t>14주차</t>
        </is>
      </c>
      <c r="C2959" t="inlineStr">
        <is>
          <t>EP</t>
        </is>
      </c>
      <c r="D2959" s="28" t="n">
        <v>46115</v>
      </c>
      <c r="E2959" t="inlineStr">
        <is>
          <t>현대EP_fast</t>
        </is>
      </c>
      <c r="F2959" t="inlineStr">
        <is>
          <t>문영우</t>
        </is>
      </c>
      <c r="G2959" t="inlineStr">
        <is>
          <t>010-4597-8938</t>
        </is>
      </c>
      <c r="H2959" t="inlineStr">
        <is>
          <t>22조8639</t>
        </is>
      </c>
      <c r="I2959" t="n">
        <v>6100000</v>
      </c>
      <c r="J2959" t="n">
        <v>0.105</v>
      </c>
      <c r="K2959" t="n">
        <v>1.76</v>
      </c>
      <c r="L2959" t="n">
        <v>0.6</v>
      </c>
      <c r="M2959" t="n">
        <v>1.16</v>
      </c>
      <c r="P2959" t="inlineStr">
        <is>
          <t>박보람</t>
        </is>
      </c>
      <c r="AB2959" t="inlineStr">
        <is>
          <t>엔카</t>
        </is>
      </c>
      <c r="AC2959" t="n">
        <v>107360</v>
      </c>
      <c r="AD2959" t="n">
        <v>36600</v>
      </c>
      <c r="AE2959" t="n">
        <v>70760</v>
      </c>
      <c r="AF2959" t="n">
        <v>97600</v>
      </c>
      <c r="AG2959" t="n">
        <v>35392.2</v>
      </c>
      <c r="AH2959" t="n">
        <v>62207.8</v>
      </c>
    </row>
    <row r="2960">
      <c r="A2960" t="inlineStr">
        <is>
          <t>4월</t>
        </is>
      </c>
      <c r="B2960" t="inlineStr">
        <is>
          <t>15주차</t>
        </is>
      </c>
      <c r="C2960" t="inlineStr">
        <is>
          <t>EP</t>
        </is>
      </c>
      <c r="D2960" s="28" t="n">
        <v>46118</v>
      </c>
      <c r="E2960" t="inlineStr">
        <is>
          <t>현대EP_fast</t>
        </is>
      </c>
      <c r="F2960" t="inlineStr">
        <is>
          <t>박상규</t>
        </is>
      </c>
      <c r="G2960" t="inlineStr">
        <is>
          <t>010-7265-3378</t>
        </is>
      </c>
      <c r="H2960" t="inlineStr">
        <is>
          <t>94러8306</t>
        </is>
      </c>
      <c r="I2960" t="n">
        <v>12900000</v>
      </c>
      <c r="J2960" t="n">
        <v>0.08500000000000001</v>
      </c>
      <c r="K2960" t="n">
        <v>1.76</v>
      </c>
      <c r="L2960" t="n">
        <v>0.2</v>
      </c>
      <c r="M2960" t="n">
        <v>1.56</v>
      </c>
      <c r="P2960" t="inlineStr">
        <is>
          <t>김수연</t>
        </is>
      </c>
      <c r="Q2960" t="inlineStr">
        <is>
          <t>홈서비스 60개월</t>
        </is>
      </c>
      <c r="AB2960" t="inlineStr">
        <is>
          <t>홈서비스</t>
        </is>
      </c>
      <c r="AC2960" t="n">
        <v>227040</v>
      </c>
      <c r="AD2960" t="n">
        <v>25800</v>
      </c>
      <c r="AE2960" t="n">
        <v>201240</v>
      </c>
      <c r="AF2960" t="n">
        <v>206400</v>
      </c>
      <c r="AG2960" t="n">
        <v>24948.6</v>
      </c>
      <c r="AH2960" t="n">
        <v>181451.4</v>
      </c>
    </row>
    <row r="2961">
      <c r="A2961" t="inlineStr">
        <is>
          <t>4월</t>
        </is>
      </c>
      <c r="B2961" t="inlineStr">
        <is>
          <t>14주차</t>
        </is>
      </c>
      <c r="C2961" t="inlineStr">
        <is>
          <t>EP</t>
        </is>
      </c>
      <c r="D2961" s="28" t="n">
        <v>46116</v>
      </c>
      <c r="E2961" t="inlineStr">
        <is>
          <t>현대EP</t>
        </is>
      </c>
      <c r="F2961" t="inlineStr">
        <is>
          <t>신창수</t>
        </is>
      </c>
      <c r="G2961" t="inlineStr">
        <is>
          <t>010-5850-9871</t>
        </is>
      </c>
      <c r="H2961" t="inlineStr">
        <is>
          <t>56두4738</t>
        </is>
      </c>
      <c r="I2961" t="n">
        <v>4000000</v>
      </c>
      <c r="J2961" t="n">
        <v>0.08599999999999999</v>
      </c>
      <c r="K2961" t="n">
        <v>1.76</v>
      </c>
      <c r="L2961" t="n">
        <v>0.2</v>
      </c>
      <c r="M2961" t="n">
        <v>1.56</v>
      </c>
      <c r="P2961" t="inlineStr">
        <is>
          <t>장현경</t>
        </is>
      </c>
      <c r="Q2961" t="inlineStr">
        <is>
          <t>홈서비스 36개월</t>
        </is>
      </c>
      <c r="AB2961" t="inlineStr">
        <is>
          <t>홈서비스</t>
        </is>
      </c>
      <c r="AC2961" t="n">
        <v>70400</v>
      </c>
      <c r="AD2961" t="n">
        <v>8000</v>
      </c>
      <c r="AE2961" t="n">
        <v>62400</v>
      </c>
      <c r="AF2961" t="n">
        <v>64000</v>
      </c>
      <c r="AG2961" t="n">
        <v>7736</v>
      </c>
      <c r="AH2961" t="n">
        <v>56264</v>
      </c>
    </row>
    <row r="2962">
      <c r="A2962" t="inlineStr">
        <is>
          <t>4월</t>
        </is>
      </c>
      <c r="B2962" t="inlineStr">
        <is>
          <t>14주차</t>
        </is>
      </c>
      <c r="C2962" t="inlineStr">
        <is>
          <t>IM</t>
        </is>
      </c>
      <c r="D2962" s="28" t="n">
        <v>46115</v>
      </c>
      <c r="E2962" t="inlineStr">
        <is>
          <t>IM캐피탈</t>
        </is>
      </c>
      <c r="F2962" t="inlineStr">
        <is>
          <t>강세린</t>
        </is>
      </c>
      <c r="G2962" t="inlineStr">
        <is>
          <t>010-4190-7967</t>
        </is>
      </c>
      <c r="H2962" t="inlineStr">
        <is>
          <t>143루1094</t>
        </is>
      </c>
      <c r="I2962" t="n">
        <v>15300000</v>
      </c>
      <c r="J2962" t="n">
        <v>0.049</v>
      </c>
      <c r="K2962" t="n">
        <v>1.1</v>
      </c>
      <c r="L2962" t="n">
        <v>0.3</v>
      </c>
      <c r="M2962" t="n">
        <v>0.8</v>
      </c>
      <c r="P2962" t="inlineStr">
        <is>
          <t>최혁</t>
        </is>
      </c>
      <c r="AB2962" t="inlineStr">
        <is>
          <t>엔카</t>
        </is>
      </c>
      <c r="AC2962" t="n">
        <v>168300</v>
      </c>
      <c r="AD2962" t="n">
        <v>45900</v>
      </c>
      <c r="AE2962" t="n">
        <v>122400</v>
      </c>
      <c r="AF2962" t="n">
        <v>153000</v>
      </c>
      <c r="AG2962" t="n">
        <v>44385.3</v>
      </c>
      <c r="AH2962" t="n">
        <v>108614.7</v>
      </c>
      <c r="AI2962" t="n">
        <v>0</v>
      </c>
    </row>
    <row r="2963">
      <c r="A2963" t="inlineStr">
        <is>
          <t>4월</t>
        </is>
      </c>
      <c r="B2963" t="inlineStr">
        <is>
          <t>15주차</t>
        </is>
      </c>
      <c r="C2963" t="inlineStr">
        <is>
          <t>EP</t>
        </is>
      </c>
      <c r="D2963" s="28" t="n">
        <v>46118</v>
      </c>
      <c r="E2963" t="inlineStr">
        <is>
          <t>현대EP_fast</t>
        </is>
      </c>
      <c r="F2963" t="inlineStr">
        <is>
          <t>태성원</t>
        </is>
      </c>
      <c r="G2963" t="inlineStr">
        <is>
          <t>010-2409-6651</t>
        </is>
      </c>
      <c r="H2963" t="inlineStr">
        <is>
          <t>19루1903</t>
        </is>
      </c>
      <c r="I2963" t="n">
        <v>11900000</v>
      </c>
      <c r="J2963" t="n">
        <v>0.07099999999999999</v>
      </c>
      <c r="K2963" t="n">
        <v>1.76</v>
      </c>
      <c r="L2963" t="n">
        <v>0.2</v>
      </c>
      <c r="M2963" t="n">
        <v>1.56</v>
      </c>
      <c r="P2963" t="inlineStr">
        <is>
          <t>김수연</t>
        </is>
      </c>
      <c r="Q2963" t="inlineStr">
        <is>
          <t>홈서비스 48개월</t>
        </is>
      </c>
      <c r="AB2963" t="inlineStr">
        <is>
          <t>홈서비스</t>
        </is>
      </c>
      <c r="AC2963" t="n">
        <v>209440</v>
      </c>
      <c r="AD2963" t="n">
        <v>23800</v>
      </c>
      <c r="AE2963" t="n">
        <v>185640</v>
      </c>
      <c r="AF2963" t="n">
        <v>190400</v>
      </c>
      <c r="AG2963" t="n">
        <v>23014.6</v>
      </c>
      <c r="AH2963" t="n">
        <v>167385.4</v>
      </c>
    </row>
    <row r="2964">
      <c r="A2964" t="inlineStr">
        <is>
          <t>4월</t>
        </is>
      </c>
      <c r="B2964" t="inlineStr">
        <is>
          <t>14주차</t>
        </is>
      </c>
      <c r="C2964" t="inlineStr">
        <is>
          <t>IM</t>
        </is>
      </c>
      <c r="D2964" s="28" t="n">
        <v>46114</v>
      </c>
      <c r="E2964" t="inlineStr">
        <is>
          <t>IM캐피탈</t>
        </is>
      </c>
      <c r="F2964" t="inlineStr">
        <is>
          <t>상세훈</t>
        </is>
      </c>
      <c r="G2964" t="inlineStr">
        <is>
          <t>010-7600-0174</t>
        </is>
      </c>
      <c r="H2964" t="inlineStr">
        <is>
          <t>197주1051</t>
        </is>
      </c>
      <c r="I2964" t="n">
        <v>29000000</v>
      </c>
      <c r="J2964" t="n">
        <v>0.056</v>
      </c>
      <c r="K2964" t="n">
        <v>1.1</v>
      </c>
      <c r="L2964" t="n">
        <v>0.07000000000000001</v>
      </c>
      <c r="M2964" t="n">
        <v>1.03</v>
      </c>
      <c r="P2964" t="inlineStr">
        <is>
          <t>정세빈</t>
        </is>
      </c>
      <c r="Q2964" t="inlineStr">
        <is>
          <t>홈서비스 48개월</t>
        </is>
      </c>
      <c r="AB2964" t="inlineStr">
        <is>
          <t>홈서비스</t>
        </is>
      </c>
      <c r="AC2964" t="n">
        <v>319000</v>
      </c>
      <c r="AD2964" t="n">
        <v>20300</v>
      </c>
      <c r="AE2964" t="n">
        <v>298700</v>
      </c>
      <c r="AF2964" t="n">
        <v>290000</v>
      </c>
      <c r="AG2964" t="n">
        <v>19630.1</v>
      </c>
      <c r="AH2964" t="n">
        <v>270369.9</v>
      </c>
    </row>
    <row r="2965">
      <c r="A2965" t="inlineStr">
        <is>
          <t>4월</t>
        </is>
      </c>
      <c r="B2965" t="inlineStr">
        <is>
          <t>14주차</t>
        </is>
      </c>
      <c r="C2965" t="inlineStr">
        <is>
          <t>EP</t>
        </is>
      </c>
      <c r="D2965" s="28" t="n">
        <v>46115</v>
      </c>
      <c r="E2965" t="inlineStr">
        <is>
          <t>현대EP_fast</t>
        </is>
      </c>
      <c r="F2965" t="inlineStr">
        <is>
          <t>강병효</t>
        </is>
      </c>
      <c r="G2965" t="inlineStr">
        <is>
          <t>010-3795-4232</t>
        </is>
      </c>
      <c r="H2965" t="inlineStr">
        <is>
          <t>43고8244</t>
        </is>
      </c>
      <c r="I2965" t="n">
        <v>3500000</v>
      </c>
      <c r="J2965" t="n">
        <v>0.14</v>
      </c>
      <c r="K2965" t="n">
        <v>1.76</v>
      </c>
      <c r="L2965" t="n">
        <v>0.2</v>
      </c>
      <c r="M2965" t="n">
        <v>1.56</v>
      </c>
      <c r="P2965" t="inlineStr">
        <is>
          <t>정세빈</t>
        </is>
      </c>
      <c r="Q2965" t="inlineStr">
        <is>
          <t>홈서비스 36개월</t>
        </is>
      </c>
      <c r="AB2965" t="inlineStr">
        <is>
          <t>홈서비스</t>
        </is>
      </c>
      <c r="AC2965" t="n">
        <v>61600</v>
      </c>
      <c r="AD2965" t="n">
        <v>7000</v>
      </c>
      <c r="AE2965" t="n">
        <v>54600</v>
      </c>
      <c r="AF2965" t="n">
        <v>56000</v>
      </c>
      <c r="AG2965" t="n">
        <v>6769</v>
      </c>
      <c r="AH2965" t="n">
        <v>49231</v>
      </c>
      <c r="AI2965" t="n">
        <v>0</v>
      </c>
    </row>
    <row r="2966">
      <c r="A2966" t="inlineStr">
        <is>
          <t>4월</t>
        </is>
      </c>
      <c r="B2966" t="inlineStr">
        <is>
          <t>14주차</t>
        </is>
      </c>
      <c r="C2966" t="inlineStr">
        <is>
          <t>IM</t>
        </is>
      </c>
      <c r="D2966" s="28" t="n">
        <v>46115</v>
      </c>
      <c r="E2966" t="inlineStr">
        <is>
          <t>IM캐피탈</t>
        </is>
      </c>
      <c r="F2966" t="inlineStr">
        <is>
          <t>안미선</t>
        </is>
      </c>
      <c r="G2966" t="inlineStr">
        <is>
          <t>010-8875-2987</t>
        </is>
      </c>
      <c r="H2966" t="inlineStr">
        <is>
          <t>40러5513</t>
        </is>
      </c>
      <c r="I2966" t="n">
        <v>-9800000</v>
      </c>
      <c r="J2966" t="n">
        <v>0.066</v>
      </c>
      <c r="K2966" t="n">
        <v>1.1</v>
      </c>
      <c r="L2966" t="n">
        <v>0.07000000000000001</v>
      </c>
      <c r="M2966" t="n">
        <v>1.03</v>
      </c>
      <c r="P2966" t="inlineStr">
        <is>
          <t>임대경</t>
        </is>
      </c>
      <c r="Q2966" t="inlineStr">
        <is>
          <t>홈서비스 48개월</t>
        </is>
      </c>
      <c r="AB2966" t="inlineStr">
        <is>
          <t>홈서비스</t>
        </is>
      </c>
      <c r="AC2966" t="n">
        <v>-107800</v>
      </c>
      <c r="AD2966" t="n">
        <v>-6860</v>
      </c>
      <c r="AE2966" t="n">
        <v>-100940</v>
      </c>
      <c r="AF2966" t="n">
        <v>-98000</v>
      </c>
      <c r="AG2966" t="n">
        <v>-6633.62</v>
      </c>
      <c r="AH2966" t="n">
        <v>-91366.38</v>
      </c>
      <c r="AI2966" t="n">
        <v>0</v>
      </c>
    </row>
    <row r="2967">
      <c r="A2967" t="inlineStr">
        <is>
          <t>4월</t>
        </is>
      </c>
      <c r="B2967" t="inlineStr">
        <is>
          <t>14주차</t>
        </is>
      </c>
      <c r="C2967" t="inlineStr">
        <is>
          <t>IM</t>
        </is>
      </c>
      <c r="D2967" s="28" t="n">
        <v>46115</v>
      </c>
      <c r="E2967" t="inlineStr">
        <is>
          <t>IM캐피탈</t>
        </is>
      </c>
      <c r="F2967" t="inlineStr">
        <is>
          <t>조은아</t>
        </is>
      </c>
      <c r="G2967" t="inlineStr">
        <is>
          <t>010-8787-0105</t>
        </is>
      </c>
      <c r="H2967" t="inlineStr">
        <is>
          <t>06소3177</t>
        </is>
      </c>
      <c r="I2967" t="n">
        <v>16300000</v>
      </c>
      <c r="J2967" t="n">
        <v>0.049</v>
      </c>
      <c r="K2967" t="n">
        <v>1.1</v>
      </c>
      <c r="L2967" t="n">
        <v>0.07000000000000001</v>
      </c>
      <c r="M2967" t="n">
        <v>1.03</v>
      </c>
      <c r="P2967" t="inlineStr">
        <is>
          <t>최형주</t>
        </is>
      </c>
      <c r="Q2967" t="inlineStr">
        <is>
          <t>홈서비스 60개월 / 부대비용 추가진행</t>
        </is>
      </c>
      <c r="AB2967" t="inlineStr">
        <is>
          <t>홈서비스</t>
        </is>
      </c>
      <c r="AC2967" t="n">
        <v>179300</v>
      </c>
      <c r="AD2967" t="n">
        <v>11410</v>
      </c>
      <c r="AE2967" t="n">
        <v>167890</v>
      </c>
      <c r="AF2967" t="n">
        <v>163000</v>
      </c>
      <c r="AG2967" t="n">
        <v>11033.47</v>
      </c>
      <c r="AH2967" t="n">
        <v>151966.53</v>
      </c>
      <c r="AI2967" t="n">
        <v>0</v>
      </c>
    </row>
    <row r="2968">
      <c r="A2968" t="inlineStr">
        <is>
          <t>4월</t>
        </is>
      </c>
      <c r="B2968" t="inlineStr">
        <is>
          <t>14주차</t>
        </is>
      </c>
      <c r="C2968" t="inlineStr">
        <is>
          <t>EP</t>
        </is>
      </c>
      <c r="D2968" s="28" t="n">
        <v>46115</v>
      </c>
      <c r="E2968" t="inlineStr">
        <is>
          <t>제이비EP</t>
        </is>
      </c>
      <c r="F2968" t="inlineStr">
        <is>
          <t>권현진</t>
        </is>
      </c>
      <c r="G2968" t="inlineStr">
        <is>
          <t>010-3311-2282</t>
        </is>
      </c>
      <c r="H2968" t="inlineStr">
        <is>
          <t>130너7709</t>
        </is>
      </c>
      <c r="I2968" t="n">
        <v>26200000</v>
      </c>
      <c r="J2968" t="n">
        <v>0.079</v>
      </c>
      <c r="K2968" t="n">
        <v>1.65</v>
      </c>
      <c r="L2968" t="n">
        <v>0.3</v>
      </c>
      <c r="M2968" t="n">
        <v>1.35</v>
      </c>
      <c r="P2968" t="inlineStr">
        <is>
          <t>박소현</t>
        </is>
      </c>
      <c r="Q2968" t="inlineStr">
        <is>
          <t>부대비용추가진행</t>
        </is>
      </c>
      <c r="AB2968" t="inlineStr">
        <is>
          <t>엔카</t>
        </is>
      </c>
      <c r="AC2968" t="n">
        <v>432300</v>
      </c>
      <c r="AD2968" t="n">
        <v>78600</v>
      </c>
      <c r="AE2968" t="n">
        <v>353700</v>
      </c>
      <c r="AF2968" t="n">
        <v>393000</v>
      </c>
      <c r="AG2968" t="n">
        <v>76006.2</v>
      </c>
      <c r="AH2968" t="n">
        <v>316993.8</v>
      </c>
      <c r="AI2968" t="n">
        <v>0</v>
      </c>
    </row>
    <row r="2969">
      <c r="A2969" t="inlineStr">
        <is>
          <t>4월</t>
        </is>
      </c>
      <c r="B2969" t="inlineStr">
        <is>
          <t>14주차</t>
        </is>
      </c>
      <c r="C2969" t="inlineStr">
        <is>
          <t>EP</t>
        </is>
      </c>
      <c r="D2969" s="28" t="n">
        <v>46115</v>
      </c>
      <c r="E2969" t="inlineStr">
        <is>
          <t>현대EP_fast</t>
        </is>
      </c>
      <c r="F2969" t="inlineStr">
        <is>
          <t>오대연</t>
        </is>
      </c>
      <c r="G2969" t="inlineStr">
        <is>
          <t>010-5333-3293</t>
        </is>
      </c>
      <c r="H2969" t="inlineStr">
        <is>
          <t>257어3088</t>
        </is>
      </c>
      <c r="I2969" t="n">
        <v>27900000</v>
      </c>
      <c r="J2969" t="n">
        <v>0.08799999999999999</v>
      </c>
      <c r="K2969" t="n">
        <v>1.76</v>
      </c>
      <c r="L2969" t="n">
        <v>0.2</v>
      </c>
      <c r="M2969" t="n">
        <v>1.56</v>
      </c>
      <c r="P2969" t="inlineStr">
        <is>
          <t>김나윤</t>
        </is>
      </c>
      <c r="Q2969" t="inlineStr">
        <is>
          <t>홈서비스 60개월</t>
        </is>
      </c>
      <c r="AB2969" t="inlineStr">
        <is>
          <t>홈서비스</t>
        </is>
      </c>
      <c r="AC2969" t="n">
        <v>491040</v>
      </c>
      <c r="AD2969" t="n">
        <v>55800</v>
      </c>
      <c r="AE2969" t="n">
        <v>435240</v>
      </c>
      <c r="AF2969" t="n">
        <v>446400</v>
      </c>
      <c r="AG2969" t="n">
        <v>53958.6</v>
      </c>
      <c r="AH2969" t="n">
        <v>392441.4</v>
      </c>
    </row>
    <row r="2970">
      <c r="A2970" t="inlineStr">
        <is>
          <t>4월</t>
        </is>
      </c>
      <c r="B2970" t="inlineStr">
        <is>
          <t>15주차</t>
        </is>
      </c>
      <c r="C2970" t="inlineStr">
        <is>
          <t>WC</t>
        </is>
      </c>
      <c r="D2970" s="28" t="n">
        <v>46118</v>
      </c>
      <c r="E2970" t="inlineStr">
        <is>
          <t>웰컴저축은행</t>
        </is>
      </c>
      <c r="F2970" t="inlineStr">
        <is>
          <t>이태규</t>
        </is>
      </c>
      <c r="G2970" t="inlineStr">
        <is>
          <t>010-7107-8206</t>
        </is>
      </c>
      <c r="H2970" t="inlineStr">
        <is>
          <t xml:space="preserve">36가3637 </t>
        </is>
      </c>
      <c r="I2970" t="n">
        <v>28400000</v>
      </c>
      <c r="J2970" t="n">
        <v>0.155</v>
      </c>
      <c r="K2970" t="n">
        <v>0</v>
      </c>
      <c r="L2970" t="n">
        <v>0.07000000000000001</v>
      </c>
      <c r="M2970" t="n">
        <v>-0.07000000000000001</v>
      </c>
      <c r="P2970" t="inlineStr">
        <is>
          <t>김수연</t>
        </is>
      </c>
      <c r="Q2970" t="inlineStr">
        <is>
          <t>홈서비스 60개월</t>
        </is>
      </c>
      <c r="AB2970" t="inlineStr">
        <is>
          <t>홈서비스</t>
        </is>
      </c>
      <c r="AC2970" t="n">
        <v>0</v>
      </c>
      <c r="AD2970" t="n">
        <v>19880</v>
      </c>
      <c r="AE2970" t="n">
        <v>-19880</v>
      </c>
      <c r="AF2970" t="n">
        <v>0</v>
      </c>
      <c r="AG2970" t="n">
        <v>19223.96</v>
      </c>
      <c r="AH2970" t="n">
        <v>-19223.96</v>
      </c>
      <c r="AI2970" t="n">
        <v>0</v>
      </c>
    </row>
    <row r="2971">
      <c r="A2971" t="inlineStr">
        <is>
          <t>4월</t>
        </is>
      </c>
      <c r="B2971" t="inlineStr">
        <is>
          <t>14주차</t>
        </is>
      </c>
      <c r="C2971" t="inlineStr">
        <is>
          <t>EP</t>
        </is>
      </c>
      <c r="D2971" s="28" t="n">
        <v>46115</v>
      </c>
      <c r="E2971" t="inlineStr">
        <is>
          <t>현대EP</t>
        </is>
      </c>
      <c r="F2971" t="inlineStr">
        <is>
          <t>이수민</t>
        </is>
      </c>
      <c r="G2971" t="inlineStr">
        <is>
          <t>010-3235-5413</t>
        </is>
      </c>
      <c r="H2971" t="inlineStr">
        <is>
          <t>114버2133</t>
        </is>
      </c>
      <c r="I2971" t="n">
        <v>27900000</v>
      </c>
      <c r="J2971" t="n">
        <v>0.09</v>
      </c>
      <c r="K2971" t="n">
        <v>1.76</v>
      </c>
      <c r="L2971" t="n">
        <v>0.2</v>
      </c>
      <c r="M2971" t="n">
        <v>1.56</v>
      </c>
      <c r="P2971" t="inlineStr">
        <is>
          <t>정하은</t>
        </is>
      </c>
      <c r="Q2971" t="inlineStr">
        <is>
          <t>홈서비스 24개월</t>
        </is>
      </c>
      <c r="AB2971" t="inlineStr">
        <is>
          <t>홈서비스</t>
        </is>
      </c>
      <c r="AC2971" t="n">
        <v>491040</v>
      </c>
      <c r="AD2971" t="n">
        <v>55800</v>
      </c>
      <c r="AE2971" t="n">
        <v>435240</v>
      </c>
      <c r="AF2971" t="n">
        <v>446400</v>
      </c>
      <c r="AG2971" t="n">
        <v>53958.6</v>
      </c>
      <c r="AH2971" t="n">
        <v>392441.4</v>
      </c>
    </row>
    <row r="2972">
      <c r="A2972" t="inlineStr">
        <is>
          <t>4월</t>
        </is>
      </c>
      <c r="B2972" t="inlineStr">
        <is>
          <t>14주차</t>
        </is>
      </c>
      <c r="C2972" t="inlineStr">
        <is>
          <t>IM</t>
        </is>
      </c>
      <c r="D2972" s="28" t="n">
        <v>46114</v>
      </c>
      <c r="E2972" t="inlineStr">
        <is>
          <t>IM캐피탈</t>
        </is>
      </c>
      <c r="F2972" t="inlineStr">
        <is>
          <t>채상은</t>
        </is>
      </c>
      <c r="G2972" t="inlineStr">
        <is>
          <t>010-6397-0538</t>
        </is>
      </c>
      <c r="H2972" t="inlineStr">
        <is>
          <t>223오5589</t>
        </is>
      </c>
      <c r="I2972" t="n">
        <v>39200000</v>
      </c>
      <c r="J2972" t="n">
        <v>0.039</v>
      </c>
      <c r="K2972" t="n">
        <v>1.1</v>
      </c>
      <c r="L2972" t="n">
        <v>0.3</v>
      </c>
      <c r="M2972" t="n">
        <v>0.8</v>
      </c>
      <c r="P2972" t="inlineStr">
        <is>
          <t>구성완</t>
        </is>
      </c>
      <c r="Q2972" t="inlineStr">
        <is>
          <t>공동명의</t>
        </is>
      </c>
      <c r="AB2972" t="inlineStr">
        <is>
          <t>엔카</t>
        </is>
      </c>
      <c r="AC2972" t="n">
        <v>431200</v>
      </c>
      <c r="AD2972" t="n">
        <v>117600</v>
      </c>
      <c r="AE2972" t="n">
        <v>313600</v>
      </c>
      <c r="AF2972" t="n">
        <v>392000</v>
      </c>
      <c r="AG2972" t="n">
        <v>113719.2</v>
      </c>
      <c r="AH2972" t="n">
        <v>278280.8</v>
      </c>
    </row>
    <row r="2973">
      <c r="A2973" t="inlineStr">
        <is>
          <t>4월</t>
        </is>
      </c>
      <c r="B2973" t="inlineStr">
        <is>
          <t>15주차</t>
        </is>
      </c>
      <c r="C2973" t="inlineStr">
        <is>
          <t>WC</t>
        </is>
      </c>
      <c r="D2973" s="28" t="n">
        <v>46118</v>
      </c>
      <c r="E2973" t="inlineStr">
        <is>
          <t>웰컴저축은행</t>
        </is>
      </c>
      <c r="F2973" t="inlineStr">
        <is>
          <t>권지홍</t>
        </is>
      </c>
      <c r="G2973" t="inlineStr">
        <is>
          <t>010-4540-7790</t>
        </is>
      </c>
      <c r="H2973" t="inlineStr">
        <is>
          <t>352두2695</t>
        </is>
      </c>
      <c r="I2973" t="n">
        <v>19500000</v>
      </c>
      <c r="J2973" t="n">
        <v>0.119</v>
      </c>
      <c r="K2973" t="n">
        <v>0</v>
      </c>
      <c r="L2973" t="n">
        <v>0.07000000000000001</v>
      </c>
      <c r="M2973" t="n">
        <v>-0.07000000000000001</v>
      </c>
      <c r="P2973" t="inlineStr">
        <is>
          <t>김수연</t>
        </is>
      </c>
      <c r="Q2973" t="inlineStr">
        <is>
          <t>홈서비스 60개월</t>
        </is>
      </c>
      <c r="AB2973" t="inlineStr">
        <is>
          <t>홈서비스</t>
        </is>
      </c>
      <c r="AC2973" t="n">
        <v>0</v>
      </c>
      <c r="AD2973" t="n">
        <v>13650</v>
      </c>
      <c r="AE2973" t="n">
        <v>-13650</v>
      </c>
      <c r="AF2973" t="n">
        <v>0</v>
      </c>
      <c r="AG2973" t="n">
        <v>13199.55</v>
      </c>
      <c r="AH2973" t="n">
        <v>-13199.55</v>
      </c>
    </row>
    <row r="2974">
      <c r="A2974" t="inlineStr">
        <is>
          <t>4월</t>
        </is>
      </c>
      <c r="B2974" t="inlineStr">
        <is>
          <t>14주차</t>
        </is>
      </c>
      <c r="C2974" t="inlineStr">
        <is>
          <t>EP</t>
        </is>
      </c>
      <c r="D2974" s="28" t="n">
        <v>46116</v>
      </c>
      <c r="E2974" t="inlineStr">
        <is>
          <t>현대EP_fast</t>
        </is>
      </c>
      <c r="F2974" t="inlineStr">
        <is>
          <t>김봉규</t>
        </is>
      </c>
      <c r="G2974" t="inlineStr">
        <is>
          <t>010-6408-2944</t>
        </is>
      </c>
      <c r="H2974" t="inlineStr">
        <is>
          <t>46보1414</t>
        </is>
      </c>
      <c r="I2974" t="n">
        <v>8400000</v>
      </c>
      <c r="J2974" t="n">
        <v>0.102</v>
      </c>
      <c r="K2974" t="n">
        <v>1.76</v>
      </c>
      <c r="L2974" t="n">
        <v>0.6</v>
      </c>
      <c r="M2974" t="n">
        <v>1.16</v>
      </c>
      <c r="P2974" t="inlineStr">
        <is>
          <t>박보람</t>
        </is>
      </c>
      <c r="AB2974" t="inlineStr">
        <is>
          <t>엔카</t>
        </is>
      </c>
      <c r="AC2974" t="n">
        <v>147840</v>
      </c>
      <c r="AD2974" t="n">
        <v>50400</v>
      </c>
      <c r="AE2974" t="n">
        <v>97440</v>
      </c>
      <c r="AF2974" t="n">
        <v>134400</v>
      </c>
      <c r="AG2974" t="n">
        <v>48736.8</v>
      </c>
      <c r="AH2974" t="n">
        <v>85663.2</v>
      </c>
    </row>
    <row r="2975">
      <c r="A2975" t="inlineStr">
        <is>
          <t>4월</t>
        </is>
      </c>
      <c r="B2975" t="inlineStr">
        <is>
          <t>14주차</t>
        </is>
      </c>
      <c r="C2975" t="inlineStr">
        <is>
          <t>EP</t>
        </is>
      </c>
      <c r="D2975" s="28" t="n">
        <v>46117</v>
      </c>
      <c r="E2975" t="inlineStr">
        <is>
          <t>현대EP</t>
        </is>
      </c>
      <c r="F2975" t="inlineStr">
        <is>
          <t>정태성</t>
        </is>
      </c>
      <c r="G2975" t="inlineStr">
        <is>
          <t>010-2059-2632</t>
        </is>
      </c>
      <c r="H2975" t="inlineStr">
        <is>
          <t>109로5994</t>
        </is>
      </c>
      <c r="I2975" t="n">
        <v>24900000</v>
      </c>
      <c r="J2975" t="n">
        <v>0.07099999999999999</v>
      </c>
      <c r="K2975" t="n">
        <v>1.76</v>
      </c>
      <c r="L2975" t="n">
        <v>0.2</v>
      </c>
      <c r="M2975" t="n">
        <v>1.56</v>
      </c>
      <c r="P2975" t="inlineStr">
        <is>
          <t>최형주</t>
        </is>
      </c>
      <c r="Q2975" t="inlineStr">
        <is>
          <t>홈서비스 60개월</t>
        </is>
      </c>
      <c r="AB2975" t="inlineStr">
        <is>
          <t>홈서비스</t>
        </is>
      </c>
      <c r="AC2975" t="n">
        <v>438240</v>
      </c>
      <c r="AD2975" t="n">
        <v>49800</v>
      </c>
      <c r="AE2975" t="n">
        <v>388440</v>
      </c>
      <c r="AF2975" t="n">
        <v>398400</v>
      </c>
      <c r="AG2975" t="n">
        <v>48156.6</v>
      </c>
      <c r="AH2975" t="n">
        <v>350243.4</v>
      </c>
      <c r="AI2975" t="n">
        <v>0</v>
      </c>
    </row>
    <row r="2976">
      <c r="A2976" t="inlineStr">
        <is>
          <t>4월</t>
        </is>
      </c>
      <c r="B2976" t="inlineStr">
        <is>
          <t>14주차</t>
        </is>
      </c>
      <c r="C2976" t="inlineStr">
        <is>
          <t>EP</t>
        </is>
      </c>
      <c r="D2976" s="28" t="n">
        <v>46117</v>
      </c>
      <c r="E2976" t="inlineStr">
        <is>
          <t>현대EP</t>
        </is>
      </c>
      <c r="F2976" t="inlineStr">
        <is>
          <t>전동희</t>
        </is>
      </c>
      <c r="G2976" t="inlineStr">
        <is>
          <t>010-2271-0566</t>
        </is>
      </c>
      <c r="H2976" t="inlineStr">
        <is>
          <t>184머6537</t>
        </is>
      </c>
      <c r="I2976" t="n">
        <v>9800000</v>
      </c>
      <c r="J2976" t="n">
        <v>0.062</v>
      </c>
      <c r="K2976" t="n">
        <v>1.76</v>
      </c>
      <c r="L2976" t="n">
        <v>0.2</v>
      </c>
      <c r="M2976" t="n">
        <v>1.56</v>
      </c>
      <c r="P2976" t="inlineStr">
        <is>
          <t>김나윤</t>
        </is>
      </c>
      <c r="Q2976" t="inlineStr">
        <is>
          <t>홈서비스 60개월</t>
        </is>
      </c>
      <c r="AB2976" t="inlineStr">
        <is>
          <t>홈서비스</t>
        </is>
      </c>
      <c r="AC2976" t="n">
        <v>172480</v>
      </c>
      <c r="AD2976" t="n">
        <v>19600</v>
      </c>
      <c r="AE2976" t="n">
        <v>152880</v>
      </c>
      <c r="AF2976" t="n">
        <v>156800</v>
      </c>
      <c r="AG2976" t="n">
        <v>18953.2</v>
      </c>
      <c r="AH2976" t="n">
        <v>137846.8</v>
      </c>
      <c r="AI2976" t="n">
        <v>0</v>
      </c>
    </row>
    <row r="2977">
      <c r="A2977" t="inlineStr">
        <is>
          <t>4월</t>
        </is>
      </c>
      <c r="B2977" t="inlineStr">
        <is>
          <t>14주차</t>
        </is>
      </c>
      <c r="C2977" t="inlineStr">
        <is>
          <t>EP</t>
        </is>
      </c>
      <c r="D2977" s="28" t="n">
        <v>46115</v>
      </c>
      <c r="E2977" t="inlineStr">
        <is>
          <t>현대EP</t>
        </is>
      </c>
      <c r="F2977" t="inlineStr">
        <is>
          <t>장준섭</t>
        </is>
      </c>
      <c r="G2977" t="inlineStr">
        <is>
          <t>010-9557-6453</t>
        </is>
      </c>
      <c r="H2977" t="inlineStr">
        <is>
          <t>15무6776</t>
        </is>
      </c>
      <c r="I2977" t="n">
        <v>7000000</v>
      </c>
      <c r="J2977" t="n">
        <v>0.119</v>
      </c>
      <c r="K2977" t="n">
        <v>1.76</v>
      </c>
      <c r="L2977" t="n">
        <v>0.2</v>
      </c>
      <c r="M2977" t="n">
        <v>1.56</v>
      </c>
      <c r="P2977" t="inlineStr">
        <is>
          <t>장진경</t>
        </is>
      </c>
      <c r="Q2977" t="inlineStr">
        <is>
          <t>홈서비스 60개월</t>
        </is>
      </c>
      <c r="AB2977" t="inlineStr">
        <is>
          <t>홈서비스</t>
        </is>
      </c>
      <c r="AC2977" t="n">
        <v>123200</v>
      </c>
      <c r="AD2977" t="n">
        <v>14000</v>
      </c>
      <c r="AE2977" t="n">
        <v>109200</v>
      </c>
      <c r="AF2977" t="n">
        <v>112000</v>
      </c>
      <c r="AG2977" t="n">
        <v>13538</v>
      </c>
      <c r="AH2977" t="n">
        <v>98462</v>
      </c>
      <c r="AI2977" t="n">
        <v>0</v>
      </c>
    </row>
    <row r="2978">
      <c r="A2978" t="inlineStr">
        <is>
          <t>4월</t>
        </is>
      </c>
      <c r="B2978" t="inlineStr">
        <is>
          <t>15주차</t>
        </is>
      </c>
      <c r="C2978" t="inlineStr">
        <is>
          <t>EP</t>
        </is>
      </c>
      <c r="D2978" s="28" t="n">
        <v>46118</v>
      </c>
      <c r="E2978" t="inlineStr">
        <is>
          <t>현대EP_fast</t>
        </is>
      </c>
      <c r="F2978" t="inlineStr">
        <is>
          <t>곽종열</t>
        </is>
      </c>
      <c r="G2978" t="inlineStr">
        <is>
          <t>010-2869-5259</t>
        </is>
      </c>
      <c r="H2978" t="inlineStr">
        <is>
          <t>189서1158</t>
        </is>
      </c>
      <c r="I2978" t="n">
        <v>50600000</v>
      </c>
      <c r="J2978" t="n">
        <v>0.075</v>
      </c>
      <c r="K2978" t="n">
        <v>1.76</v>
      </c>
      <c r="L2978" t="n">
        <v>0.2</v>
      </c>
      <c r="M2978" t="n">
        <v>1.56</v>
      </c>
      <c r="P2978" t="inlineStr">
        <is>
          <t>최형주</t>
        </is>
      </c>
      <c r="Q2978" t="inlineStr">
        <is>
          <t>홈서비스 60개월</t>
        </is>
      </c>
      <c r="AB2978" t="inlineStr">
        <is>
          <t>홈서비스</t>
        </is>
      </c>
      <c r="AC2978" t="n">
        <v>890560</v>
      </c>
      <c r="AD2978" t="n">
        <v>101200</v>
      </c>
      <c r="AE2978" t="n">
        <v>789360</v>
      </c>
      <c r="AF2978" t="n">
        <v>809600</v>
      </c>
      <c r="AG2978" t="n">
        <v>97860.39999999999</v>
      </c>
      <c r="AH2978" t="n">
        <v>711739.6</v>
      </c>
      <c r="AI2978" t="n">
        <v>0</v>
      </c>
    </row>
    <row r="2979">
      <c r="A2979" t="inlineStr">
        <is>
          <t>4월</t>
        </is>
      </c>
      <c r="B2979" t="inlineStr">
        <is>
          <t>15주차</t>
        </is>
      </c>
      <c r="C2979" t="inlineStr">
        <is>
          <t>EP</t>
        </is>
      </c>
      <c r="D2979" s="28" t="n">
        <v>46118</v>
      </c>
      <c r="E2979" t="inlineStr">
        <is>
          <t>현대EP_fast</t>
        </is>
      </c>
      <c r="F2979" t="inlineStr">
        <is>
          <t>박명수</t>
        </is>
      </c>
      <c r="G2979" t="inlineStr">
        <is>
          <t>010-3153-3090</t>
        </is>
      </c>
      <c r="H2979" t="inlineStr">
        <is>
          <t>135나9190</t>
        </is>
      </c>
      <c r="I2979" t="n">
        <v>25000000</v>
      </c>
      <c r="J2979" t="n">
        <v>0.079</v>
      </c>
      <c r="K2979" t="n">
        <v>1.76</v>
      </c>
      <c r="L2979" t="n">
        <v>0.2</v>
      </c>
      <c r="M2979" t="n">
        <v>1.56</v>
      </c>
      <c r="P2979" t="inlineStr">
        <is>
          <t>정세빈</t>
        </is>
      </c>
      <c r="Q2979" t="inlineStr">
        <is>
          <t>홈서비스 60개월</t>
        </is>
      </c>
      <c r="AB2979" t="inlineStr">
        <is>
          <t>홈서비스</t>
        </is>
      </c>
      <c r="AC2979" t="n">
        <v>440000</v>
      </c>
      <c r="AD2979" t="n">
        <v>50000</v>
      </c>
      <c r="AE2979" t="n">
        <v>390000</v>
      </c>
      <c r="AF2979" t="n">
        <v>400000</v>
      </c>
      <c r="AG2979" t="n">
        <v>48350</v>
      </c>
      <c r="AH2979" t="n">
        <v>351650</v>
      </c>
      <c r="AI2979" t="n">
        <v>0</v>
      </c>
    </row>
    <row r="2980">
      <c r="A2980" t="inlineStr">
        <is>
          <t>4월</t>
        </is>
      </c>
      <c r="B2980" t="inlineStr">
        <is>
          <t>15주차</t>
        </is>
      </c>
      <c r="C2980" t="inlineStr">
        <is>
          <t>IM</t>
        </is>
      </c>
      <c r="D2980" s="28" t="n">
        <v>46118</v>
      </c>
      <c r="E2980" t="inlineStr">
        <is>
          <t>IM캐피탈</t>
        </is>
      </c>
      <c r="F2980" t="inlineStr">
        <is>
          <t>홍재원</t>
        </is>
      </c>
      <c r="G2980" t="inlineStr">
        <is>
          <t>010-4085-4501</t>
        </is>
      </c>
      <c r="H2980" t="inlineStr">
        <is>
          <t>197두8823</t>
        </is>
      </c>
      <c r="I2980" t="n">
        <v>52000000</v>
      </c>
      <c r="J2980" t="n">
        <v>0.049</v>
      </c>
      <c r="K2980" t="n">
        <v>1.1</v>
      </c>
      <c r="L2980" t="n">
        <v>0.07000000000000001</v>
      </c>
      <c r="M2980" t="n">
        <v>1.03</v>
      </c>
      <c r="P2980" t="inlineStr">
        <is>
          <t>박보람</t>
        </is>
      </c>
      <c r="Q2980" t="inlineStr">
        <is>
          <t xml:space="preserve">선상담 / 홈서비스 60개월 / 현대 7.8% </t>
        </is>
      </c>
      <c r="AB2980" t="inlineStr">
        <is>
          <t>홈서비스</t>
        </is>
      </c>
      <c r="AC2980" t="n">
        <v>572000</v>
      </c>
      <c r="AD2980" t="n">
        <v>36400</v>
      </c>
      <c r="AE2980" t="n">
        <v>535600</v>
      </c>
      <c r="AF2980" t="n">
        <v>520000</v>
      </c>
      <c r="AG2980" t="n">
        <v>35198.8</v>
      </c>
      <c r="AH2980" t="n">
        <v>484801.2</v>
      </c>
      <c r="AI2980" t="n">
        <v>0</v>
      </c>
    </row>
    <row r="2981">
      <c r="A2981" t="inlineStr">
        <is>
          <t>4월</t>
        </is>
      </c>
      <c r="B2981" t="inlineStr">
        <is>
          <t>15주차</t>
        </is>
      </c>
      <c r="C2981" t="inlineStr">
        <is>
          <t>EP</t>
        </is>
      </c>
      <c r="D2981" s="28" t="n">
        <v>46118</v>
      </c>
      <c r="E2981" t="inlineStr">
        <is>
          <t>현대EP_fast</t>
        </is>
      </c>
      <c r="F2981" t="inlineStr">
        <is>
          <t>백연선</t>
        </is>
      </c>
      <c r="G2981" t="inlineStr">
        <is>
          <t>010-9281-7089</t>
        </is>
      </c>
      <c r="H2981" t="inlineStr">
        <is>
          <t>104가9844</t>
        </is>
      </c>
      <c r="I2981" t="n">
        <v>33900000</v>
      </c>
      <c r="J2981" t="n">
        <v>0.09</v>
      </c>
      <c r="K2981" t="n">
        <v>1.76</v>
      </c>
      <c r="L2981" t="n">
        <v>0.2</v>
      </c>
      <c r="M2981" t="n">
        <v>1.56</v>
      </c>
      <c r="P2981" t="inlineStr">
        <is>
          <t>정세빈</t>
        </is>
      </c>
      <c r="Q2981" t="inlineStr">
        <is>
          <t>홈서비스 60개월</t>
        </is>
      </c>
      <c r="AB2981" t="inlineStr">
        <is>
          <t>홈서비스</t>
        </is>
      </c>
      <c r="AC2981" t="n">
        <v>596640</v>
      </c>
      <c r="AD2981" t="n">
        <v>67800</v>
      </c>
      <c r="AE2981" t="n">
        <v>528840</v>
      </c>
      <c r="AF2981" t="n">
        <v>542400</v>
      </c>
      <c r="AG2981" t="n">
        <v>65562.60000000001</v>
      </c>
      <c r="AH2981" t="n">
        <v>476837.4</v>
      </c>
    </row>
    <row r="2982">
      <c r="A2982" t="inlineStr">
        <is>
          <t>4월</t>
        </is>
      </c>
      <c r="B2982" t="inlineStr">
        <is>
          <t>14주차</t>
        </is>
      </c>
      <c r="C2982" t="inlineStr">
        <is>
          <t>EP</t>
        </is>
      </c>
      <c r="D2982" s="28" t="n">
        <v>46115</v>
      </c>
      <c r="E2982" t="inlineStr">
        <is>
          <t>현대EP</t>
        </is>
      </c>
      <c r="F2982" t="inlineStr">
        <is>
          <t>정예린</t>
        </is>
      </c>
      <c r="G2982" t="inlineStr">
        <is>
          <t>010-4014-4132</t>
        </is>
      </c>
      <c r="H2982" t="inlineStr">
        <is>
          <t>64마6493</t>
        </is>
      </c>
      <c r="I2982" t="n">
        <v>17800000</v>
      </c>
      <c r="J2982" t="n">
        <v>0.075</v>
      </c>
      <c r="K2982" t="n">
        <v>1.76</v>
      </c>
      <c r="L2982" t="n">
        <v>0.2</v>
      </c>
      <c r="M2982" t="n">
        <v>1.56</v>
      </c>
      <c r="P2982" t="inlineStr">
        <is>
          <t>박소현</t>
        </is>
      </c>
      <c r="Q2982" t="inlineStr">
        <is>
          <t>홈서비스 36개월</t>
        </is>
      </c>
      <c r="AB2982" t="inlineStr">
        <is>
          <t>홈서비스</t>
        </is>
      </c>
      <c r="AC2982" t="n">
        <v>313280</v>
      </c>
      <c r="AD2982" t="n">
        <v>35600</v>
      </c>
      <c r="AE2982" t="n">
        <v>277680</v>
      </c>
      <c r="AF2982" t="n">
        <v>284800</v>
      </c>
      <c r="AG2982" t="n">
        <v>34425.2</v>
      </c>
      <c r="AH2982" t="n">
        <v>250374.8</v>
      </c>
      <c r="AI2982" t="n">
        <v>0</v>
      </c>
    </row>
    <row r="2983">
      <c r="A2983" t="inlineStr">
        <is>
          <t>4월</t>
        </is>
      </c>
      <c r="B2983" t="inlineStr">
        <is>
          <t>15주차</t>
        </is>
      </c>
      <c r="C2983" t="inlineStr">
        <is>
          <t>EP</t>
        </is>
      </c>
      <c r="D2983" s="28" t="n">
        <v>46118</v>
      </c>
      <c r="E2983" t="inlineStr">
        <is>
          <t>현대EP_fast</t>
        </is>
      </c>
      <c r="F2983" t="inlineStr">
        <is>
          <t>심성진</t>
        </is>
      </c>
      <c r="G2983" t="inlineStr">
        <is>
          <t>010-8782-5780</t>
        </is>
      </c>
      <c r="H2983" t="inlineStr">
        <is>
          <t>11두9135</t>
        </is>
      </c>
      <c r="I2983" t="n">
        <v>5000000</v>
      </c>
      <c r="J2983" t="n">
        <v>0.079</v>
      </c>
      <c r="K2983" t="n">
        <v>1.76</v>
      </c>
      <c r="L2983" t="n">
        <v>0.2</v>
      </c>
      <c r="M2983" t="n">
        <v>1.56</v>
      </c>
      <c r="P2983" t="inlineStr">
        <is>
          <t>정세빈</t>
        </is>
      </c>
      <c r="Q2983" t="inlineStr">
        <is>
          <t>홈서비스 60개월</t>
        </is>
      </c>
      <c r="AB2983" t="inlineStr">
        <is>
          <t>홈서비스</t>
        </is>
      </c>
      <c r="AC2983" t="n">
        <v>88000</v>
      </c>
      <c r="AD2983" t="n">
        <v>10000</v>
      </c>
      <c r="AE2983" t="n">
        <v>78000</v>
      </c>
      <c r="AF2983" t="n">
        <v>80000</v>
      </c>
      <c r="AG2983" t="n">
        <v>9670</v>
      </c>
      <c r="AH2983" t="n">
        <v>70330</v>
      </c>
    </row>
    <row r="2984">
      <c r="A2984" t="inlineStr">
        <is>
          <t>4월</t>
        </is>
      </c>
      <c r="B2984" t="inlineStr">
        <is>
          <t>14주차</t>
        </is>
      </c>
      <c r="C2984" t="inlineStr">
        <is>
          <t>EP</t>
        </is>
      </c>
      <c r="D2984" s="28" t="n">
        <v>46115</v>
      </c>
      <c r="E2984" t="inlineStr">
        <is>
          <t>현대EP</t>
        </is>
      </c>
      <c r="F2984" t="inlineStr">
        <is>
          <t>이형교</t>
        </is>
      </c>
      <c r="G2984" t="inlineStr">
        <is>
          <t>010-4652-3299</t>
        </is>
      </c>
      <c r="H2984" t="inlineStr">
        <is>
          <t>10주4536</t>
        </is>
      </c>
      <c r="I2984" t="n">
        <v>10000000</v>
      </c>
      <c r="J2984" t="n">
        <v>0.09</v>
      </c>
      <c r="K2984" t="n">
        <v>1.76</v>
      </c>
      <c r="L2984" t="n">
        <v>0.2</v>
      </c>
      <c r="M2984" t="n">
        <v>1.56</v>
      </c>
      <c r="P2984" t="inlineStr">
        <is>
          <t>정광호</t>
        </is>
      </c>
      <c r="Q2984" t="inlineStr">
        <is>
          <t>홈서비스 24개월</t>
        </is>
      </c>
      <c r="AB2984" t="inlineStr">
        <is>
          <t>홈서비스</t>
        </is>
      </c>
      <c r="AC2984" t="n">
        <v>176000</v>
      </c>
      <c r="AD2984" t="n">
        <v>20000</v>
      </c>
      <c r="AE2984" t="n">
        <v>156000</v>
      </c>
      <c r="AF2984" t="n">
        <v>160000</v>
      </c>
      <c r="AG2984" t="n">
        <v>19340</v>
      </c>
      <c r="AH2984" t="n">
        <v>140660</v>
      </c>
      <c r="AI2984" t="n">
        <v>0</v>
      </c>
    </row>
    <row r="2985">
      <c r="A2985" t="inlineStr">
        <is>
          <t>4월</t>
        </is>
      </c>
      <c r="B2985" t="inlineStr">
        <is>
          <t>15주차</t>
        </is>
      </c>
      <c r="C2985" t="inlineStr">
        <is>
          <t>EP</t>
        </is>
      </c>
      <c r="D2985" s="28" t="n">
        <v>46118</v>
      </c>
      <c r="E2985" t="inlineStr">
        <is>
          <t>현대EP_fast</t>
        </is>
      </c>
      <c r="F2985" t="inlineStr">
        <is>
          <t>정귀춘</t>
        </is>
      </c>
      <c r="G2985" t="inlineStr">
        <is>
          <t>010-2653-3611</t>
        </is>
      </c>
      <c r="H2985" t="inlineStr">
        <is>
          <t>171도2450</t>
        </is>
      </c>
      <c r="I2985" t="n">
        <v>46000000</v>
      </c>
      <c r="J2985" t="n">
        <v>0.08500000000000001</v>
      </c>
      <c r="K2985" t="n">
        <v>1.76</v>
      </c>
      <c r="L2985" t="n">
        <v>0.2</v>
      </c>
      <c r="M2985" t="n">
        <v>1.56</v>
      </c>
      <c r="P2985" t="inlineStr">
        <is>
          <t>김수연</t>
        </is>
      </c>
      <c r="Q2985" t="inlineStr">
        <is>
          <t>홈서비스 60개월</t>
        </is>
      </c>
      <c r="AB2985" t="inlineStr">
        <is>
          <t>홈서비스</t>
        </is>
      </c>
      <c r="AC2985" t="n">
        <v>809600</v>
      </c>
      <c r="AD2985" t="n">
        <v>92000</v>
      </c>
      <c r="AE2985" t="n">
        <v>717600</v>
      </c>
      <c r="AF2985" t="n">
        <v>736000</v>
      </c>
      <c r="AG2985" t="n">
        <v>88964</v>
      </c>
      <c r="AH2985" t="n">
        <v>647036</v>
      </c>
      <c r="AI2985" t="n">
        <v>0</v>
      </c>
    </row>
    <row r="2986">
      <c r="A2986" t="inlineStr">
        <is>
          <t>4월</t>
        </is>
      </c>
      <c r="B2986" t="inlineStr">
        <is>
          <t>14주차</t>
        </is>
      </c>
      <c r="C2986" t="inlineStr">
        <is>
          <t>EP</t>
        </is>
      </c>
      <c r="D2986" s="28" t="n">
        <v>46116</v>
      </c>
      <c r="E2986" t="inlineStr">
        <is>
          <t>현대EP_fast</t>
        </is>
      </c>
      <c r="F2986" t="inlineStr">
        <is>
          <t>송지연</t>
        </is>
      </c>
      <c r="G2986" t="inlineStr">
        <is>
          <t>010-2306-5579</t>
        </is>
      </c>
      <c r="H2986" t="inlineStr">
        <is>
          <t>397무2192</t>
        </is>
      </c>
      <c r="I2986" t="n">
        <v>20000000</v>
      </c>
      <c r="J2986" t="n">
        <v>0.154</v>
      </c>
      <c r="K2986" t="n">
        <v>1.76</v>
      </c>
      <c r="L2986" t="n">
        <v>0.6</v>
      </c>
      <c r="M2986" t="n">
        <v>1.16</v>
      </c>
      <c r="P2986" t="inlineStr">
        <is>
          <t>장진경</t>
        </is>
      </c>
      <c r="Q2986" t="inlineStr">
        <is>
          <t>공동명의</t>
        </is>
      </c>
      <c r="AB2986" t="inlineStr">
        <is>
          <t>엔카</t>
        </is>
      </c>
      <c r="AC2986" t="n">
        <v>352000</v>
      </c>
      <c r="AD2986" t="n">
        <v>120000</v>
      </c>
      <c r="AE2986" t="n">
        <v>232000</v>
      </c>
      <c r="AF2986" t="n">
        <v>320000</v>
      </c>
      <c r="AG2986" t="n">
        <v>116040</v>
      </c>
      <c r="AH2986" t="n">
        <v>203960</v>
      </c>
      <c r="AI2986" t="n">
        <v>0</v>
      </c>
    </row>
    <row r="2987">
      <c r="A2987" t="inlineStr">
        <is>
          <t>4월</t>
        </is>
      </c>
      <c r="B2987" t="inlineStr">
        <is>
          <t>15주차</t>
        </is>
      </c>
      <c r="C2987" t="inlineStr">
        <is>
          <t>EP</t>
        </is>
      </c>
      <c r="D2987" s="28" t="n">
        <v>46118</v>
      </c>
      <c r="E2987" t="inlineStr">
        <is>
          <t>현대EP_fast</t>
        </is>
      </c>
      <c r="F2987" t="inlineStr">
        <is>
          <t>임정훈</t>
        </is>
      </c>
      <c r="G2987" t="inlineStr">
        <is>
          <t>010-8618-9236</t>
        </is>
      </c>
      <c r="H2987" t="inlineStr">
        <is>
          <t>57두7652</t>
        </is>
      </c>
      <c r="I2987" t="n">
        <v>5000000</v>
      </c>
      <c r="J2987" t="n">
        <v>0.081</v>
      </c>
      <c r="K2987" t="n">
        <v>1.76</v>
      </c>
      <c r="L2987" t="n">
        <v>0.2</v>
      </c>
      <c r="M2987" t="n">
        <v>1.56</v>
      </c>
      <c r="P2987" t="inlineStr">
        <is>
          <t>황채이</t>
        </is>
      </c>
      <c r="Q2987" t="inlineStr">
        <is>
          <t>홈서비스 24개월</t>
        </is>
      </c>
      <c r="AB2987" t="inlineStr">
        <is>
          <t>홈서비스</t>
        </is>
      </c>
      <c r="AC2987" t="n">
        <v>88000</v>
      </c>
      <c r="AD2987" t="n">
        <v>10000</v>
      </c>
      <c r="AE2987" t="n">
        <v>78000</v>
      </c>
      <c r="AF2987" t="n">
        <v>80000</v>
      </c>
      <c r="AG2987" t="n">
        <v>9670</v>
      </c>
      <c r="AH2987" t="n">
        <v>70330</v>
      </c>
      <c r="AI2987" t="n">
        <v>0</v>
      </c>
    </row>
    <row r="2988">
      <c r="A2988" t="inlineStr">
        <is>
          <t>4월</t>
        </is>
      </c>
      <c r="B2988" t="inlineStr">
        <is>
          <t>15주차</t>
        </is>
      </c>
      <c r="C2988" t="inlineStr">
        <is>
          <t>EP</t>
        </is>
      </c>
      <c r="D2988" s="28" t="n">
        <v>46118</v>
      </c>
      <c r="E2988" t="inlineStr">
        <is>
          <t>현대EP_fast</t>
        </is>
      </c>
      <c r="F2988" t="inlineStr">
        <is>
          <t>노준수</t>
        </is>
      </c>
      <c r="G2988" t="inlineStr">
        <is>
          <t>010-5947-8020</t>
        </is>
      </c>
      <c r="H2988" t="inlineStr">
        <is>
          <t>69가7695</t>
        </is>
      </c>
      <c r="I2988" t="n">
        <v>10000000</v>
      </c>
      <c r="J2988" t="n">
        <v>0.07099999999999999</v>
      </c>
      <c r="K2988" t="n">
        <v>1.76</v>
      </c>
      <c r="L2988" t="n">
        <v>0.2</v>
      </c>
      <c r="M2988" t="n">
        <v>1.56</v>
      </c>
      <c r="P2988" t="inlineStr">
        <is>
          <t>황채이</t>
        </is>
      </c>
      <c r="Q2988" t="inlineStr">
        <is>
          <t>홈서비스 36개월</t>
        </is>
      </c>
      <c r="AB2988" t="inlineStr">
        <is>
          <t>홈서비스</t>
        </is>
      </c>
      <c r="AC2988" t="n">
        <v>176000</v>
      </c>
      <c r="AD2988" t="n">
        <v>20000</v>
      </c>
      <c r="AE2988" t="n">
        <v>156000</v>
      </c>
      <c r="AF2988" t="n">
        <v>160000</v>
      </c>
      <c r="AG2988" t="n">
        <v>19340</v>
      </c>
      <c r="AH2988" t="n">
        <v>140660</v>
      </c>
    </row>
    <row r="2989">
      <c r="A2989" t="inlineStr">
        <is>
          <t>4월</t>
        </is>
      </c>
      <c r="B2989" t="inlineStr">
        <is>
          <t>15주차</t>
        </is>
      </c>
      <c r="C2989" t="inlineStr">
        <is>
          <t>IM</t>
        </is>
      </c>
      <c r="D2989" s="28" t="n">
        <v>46118</v>
      </c>
      <c r="E2989" t="inlineStr">
        <is>
          <t>IM캐피탈</t>
        </is>
      </c>
      <c r="F2989" t="inlineStr">
        <is>
          <t>박시환</t>
        </is>
      </c>
      <c r="G2989" t="inlineStr">
        <is>
          <t>010-5947-8020</t>
        </is>
      </c>
      <c r="H2989" t="inlineStr">
        <is>
          <t>313우3676</t>
        </is>
      </c>
      <c r="I2989" t="n">
        <v>46900000</v>
      </c>
      <c r="J2989" t="n">
        <v>0.075</v>
      </c>
      <c r="K2989" t="n">
        <v>1.1</v>
      </c>
      <c r="L2989" t="n">
        <v>0.07000000000000001</v>
      </c>
      <c r="M2989" t="n">
        <v>1.03</v>
      </c>
      <c r="P2989" t="inlineStr">
        <is>
          <t>황채이</t>
        </is>
      </c>
      <c r="Q2989" t="inlineStr">
        <is>
          <t>홈서비스 48개월 / 부대비용 추가진행</t>
        </is>
      </c>
      <c r="AB2989" t="inlineStr">
        <is>
          <t>홈서비스</t>
        </is>
      </c>
      <c r="AC2989" t="n">
        <v>515900</v>
      </c>
      <c r="AD2989" t="n">
        <v>32830</v>
      </c>
      <c r="AE2989" t="n">
        <v>483070</v>
      </c>
      <c r="AF2989" t="n">
        <v>469000</v>
      </c>
      <c r="AG2989" t="n">
        <v>31746.61</v>
      </c>
      <c r="AH2989" t="n">
        <v>437253.39</v>
      </c>
      <c r="AI2989" t="n">
        <v>0</v>
      </c>
    </row>
    <row r="2990">
      <c r="A2990" t="inlineStr">
        <is>
          <t>4월</t>
        </is>
      </c>
      <c r="B2990" t="inlineStr">
        <is>
          <t>15주차</t>
        </is>
      </c>
      <c r="C2990" t="inlineStr">
        <is>
          <t>IM</t>
        </is>
      </c>
      <c r="D2990" s="28" t="n">
        <v>46118</v>
      </c>
      <c r="E2990" t="inlineStr">
        <is>
          <t>IM캐피탈</t>
        </is>
      </c>
      <c r="F2990" t="inlineStr">
        <is>
          <t>최유성</t>
        </is>
      </c>
      <c r="G2990" t="inlineStr">
        <is>
          <t>010-9873-3949</t>
        </is>
      </c>
      <c r="H2990" t="inlineStr">
        <is>
          <t>27나9212</t>
        </is>
      </c>
      <c r="I2990" t="n">
        <v>5600000</v>
      </c>
      <c r="J2990" t="n">
        <v>0.119</v>
      </c>
      <c r="K2990" t="n">
        <v>1.1</v>
      </c>
      <c r="L2990" t="n">
        <v>0.07000000000000001</v>
      </c>
      <c r="M2990" t="n">
        <v>1.03</v>
      </c>
      <c r="P2990" t="inlineStr">
        <is>
          <t>황채이</t>
        </is>
      </c>
      <c r="Q2990" t="inlineStr">
        <is>
          <t>홈서비스 72개월 / 부대비용 추가진행</t>
        </is>
      </c>
      <c r="AB2990" t="inlineStr">
        <is>
          <t>홈서비스</t>
        </is>
      </c>
      <c r="AC2990" t="n">
        <v>61600</v>
      </c>
      <c r="AD2990" t="n">
        <v>3920</v>
      </c>
      <c r="AE2990" t="n">
        <v>57680</v>
      </c>
      <c r="AF2990" t="n">
        <v>56000</v>
      </c>
      <c r="AG2990" t="n">
        <v>3790.64</v>
      </c>
      <c r="AH2990" t="n">
        <v>52209.36</v>
      </c>
      <c r="AI2990" t="n">
        <v>0</v>
      </c>
    </row>
    <row r="2991">
      <c r="A2991" t="inlineStr">
        <is>
          <t>4월</t>
        </is>
      </c>
      <c r="B2991" t="inlineStr">
        <is>
          <t>15주차</t>
        </is>
      </c>
      <c r="C2991" t="inlineStr">
        <is>
          <t>WC</t>
        </is>
      </c>
      <c r="D2991" s="28" t="n">
        <v>46118</v>
      </c>
      <c r="E2991" t="inlineStr">
        <is>
          <t>웰컴저축은행</t>
        </is>
      </c>
      <c r="F2991" t="inlineStr">
        <is>
          <t>오민정</t>
        </is>
      </c>
      <c r="G2991" t="inlineStr">
        <is>
          <t>010-9954-9902</t>
        </is>
      </c>
      <c r="H2991" t="inlineStr">
        <is>
          <t>381서1198</t>
        </is>
      </c>
      <c r="I2991" t="n">
        <v>20000000</v>
      </c>
      <c r="J2991" t="n">
        <v>0.139</v>
      </c>
      <c r="K2991" t="n">
        <v>0</v>
      </c>
      <c r="L2991" t="n">
        <v>0.07000000000000001</v>
      </c>
      <c r="M2991" t="n">
        <v>-0.07000000000000001</v>
      </c>
      <c r="P2991" t="inlineStr">
        <is>
          <t>황채이</t>
        </is>
      </c>
      <c r="Q2991" t="inlineStr">
        <is>
          <t>홈서비스 72개월</t>
        </is>
      </c>
      <c r="AB2991" t="inlineStr">
        <is>
          <t>홈서비스</t>
        </is>
      </c>
      <c r="AC2991" t="n">
        <v>0</v>
      </c>
      <c r="AD2991" t="n">
        <v>14000</v>
      </c>
      <c r="AE2991" t="n">
        <v>-14000</v>
      </c>
      <c r="AF2991" t="n">
        <v>0</v>
      </c>
      <c r="AG2991" t="n">
        <v>13538</v>
      </c>
      <c r="AH2991" t="n">
        <v>-13538</v>
      </c>
      <c r="AI2991" t="n">
        <v>0</v>
      </c>
    </row>
    <row r="2992">
      <c r="A2992" t="inlineStr">
        <is>
          <t>4월</t>
        </is>
      </c>
      <c r="B2992" t="inlineStr">
        <is>
          <t>15주차</t>
        </is>
      </c>
      <c r="C2992" t="inlineStr">
        <is>
          <t>EP</t>
        </is>
      </c>
      <c r="D2992" s="28" t="n">
        <v>46118</v>
      </c>
      <c r="E2992" t="inlineStr">
        <is>
          <t>현대EP_fast</t>
        </is>
      </c>
      <c r="F2992" t="inlineStr">
        <is>
          <t>박근흥</t>
        </is>
      </c>
      <c r="G2992" t="inlineStr">
        <is>
          <t>010-6738-8023</t>
        </is>
      </c>
      <c r="H2992" t="inlineStr">
        <is>
          <t>286루4183</t>
        </is>
      </c>
      <c r="I2992" t="n">
        <v>18000000</v>
      </c>
      <c r="J2992" t="n">
        <v>0.07099999999999999</v>
      </c>
      <c r="K2992" t="n">
        <v>1.76</v>
      </c>
      <c r="L2992" t="n">
        <v>0.2</v>
      </c>
      <c r="M2992" t="n">
        <v>1.56</v>
      </c>
      <c r="P2992" t="inlineStr">
        <is>
          <t>김수연</t>
        </is>
      </c>
      <c r="Q2992" t="inlineStr">
        <is>
          <t>홈서비스 60개월</t>
        </is>
      </c>
      <c r="AB2992" t="inlineStr">
        <is>
          <t>홈서비스</t>
        </is>
      </c>
      <c r="AC2992" t="n">
        <v>316800</v>
      </c>
      <c r="AD2992" t="n">
        <v>36000</v>
      </c>
      <c r="AE2992" t="n">
        <v>280800</v>
      </c>
      <c r="AF2992" t="n">
        <v>288000</v>
      </c>
      <c r="AG2992" t="n">
        <v>34812</v>
      </c>
      <c r="AH2992" t="n">
        <v>253188</v>
      </c>
      <c r="AI2992" t="n">
        <v>0</v>
      </c>
    </row>
    <row r="2993">
      <c r="A2993" t="inlineStr">
        <is>
          <t>4월</t>
        </is>
      </c>
      <c r="B2993" t="inlineStr">
        <is>
          <t>15주차</t>
        </is>
      </c>
      <c r="C2993" t="inlineStr">
        <is>
          <t>EP</t>
        </is>
      </c>
      <c r="D2993" s="28" t="n">
        <v>46118</v>
      </c>
      <c r="E2993" t="inlineStr">
        <is>
          <t>현대EP</t>
        </is>
      </c>
      <c r="F2993" t="inlineStr">
        <is>
          <t>김세헌</t>
        </is>
      </c>
      <c r="G2993" t="inlineStr">
        <is>
          <t>010-9670-5882</t>
        </is>
      </c>
      <c r="H2993" t="inlineStr">
        <is>
          <t>190라8013</t>
        </is>
      </c>
      <c r="I2993" t="n">
        <v>24700000</v>
      </c>
      <c r="J2993" t="n">
        <v>0.075</v>
      </c>
      <c r="K2993" t="n">
        <v>1.76</v>
      </c>
      <c r="L2993" t="n">
        <v>0.2</v>
      </c>
      <c r="M2993" t="n">
        <v>1.56</v>
      </c>
      <c r="P2993" t="inlineStr">
        <is>
          <t>황채이</t>
        </is>
      </c>
      <c r="Q2993" t="inlineStr">
        <is>
          <t>홈서비스 36개월</t>
        </is>
      </c>
      <c r="AB2993" t="inlineStr">
        <is>
          <t>홈서비스</t>
        </is>
      </c>
      <c r="AC2993" t="n">
        <v>434720</v>
      </c>
      <c r="AD2993" t="n">
        <v>49400</v>
      </c>
      <c r="AE2993" t="n">
        <v>385320</v>
      </c>
      <c r="AF2993" t="n">
        <v>395200</v>
      </c>
      <c r="AG2993" t="n">
        <v>47769.8</v>
      </c>
      <c r="AH2993" t="n">
        <v>347430.2</v>
      </c>
      <c r="AI2993" t="n">
        <v>0</v>
      </c>
    </row>
    <row r="2994">
      <c r="A2994" t="inlineStr">
        <is>
          <t>4월</t>
        </is>
      </c>
      <c r="B2994" t="inlineStr">
        <is>
          <t>15주차</t>
        </is>
      </c>
      <c r="C2994" t="inlineStr">
        <is>
          <t>EP</t>
        </is>
      </c>
      <c r="D2994" s="28" t="n">
        <v>46118</v>
      </c>
      <c r="E2994" t="inlineStr">
        <is>
          <t>현대EP_fast</t>
        </is>
      </c>
      <c r="F2994" t="inlineStr">
        <is>
          <t>김광석</t>
        </is>
      </c>
      <c r="G2994" t="inlineStr">
        <is>
          <t>010-3517-1081</t>
        </is>
      </c>
      <c r="H2994" t="inlineStr">
        <is>
          <t>184오1531</t>
        </is>
      </c>
      <c r="I2994" t="n">
        <v>15000000</v>
      </c>
      <c r="J2994" t="n">
        <v>0.105</v>
      </c>
      <c r="K2994" t="n">
        <v>1.76</v>
      </c>
      <c r="L2994" t="n">
        <v>0.2</v>
      </c>
      <c r="M2994" t="n">
        <v>1.56</v>
      </c>
      <c r="P2994" t="inlineStr">
        <is>
          <t>김나윤</t>
        </is>
      </c>
      <c r="Q2994" t="inlineStr">
        <is>
          <t>홈서비스 60개월</t>
        </is>
      </c>
      <c r="AB2994" t="inlineStr">
        <is>
          <t>홈서비스</t>
        </is>
      </c>
      <c r="AC2994" t="n">
        <v>264000</v>
      </c>
      <c r="AD2994" t="n">
        <v>30000</v>
      </c>
      <c r="AE2994" t="n">
        <v>234000</v>
      </c>
      <c r="AF2994" t="n">
        <v>240000</v>
      </c>
      <c r="AG2994" t="n">
        <v>29010</v>
      </c>
      <c r="AH2994" t="n">
        <v>210990</v>
      </c>
      <c r="AI2994" t="n">
        <v>0</v>
      </c>
      <c r="AJ2994" t="inlineStr">
        <is>
          <t>개인</t>
        </is>
      </c>
    </row>
    <row r="2995">
      <c r="A2995" t="inlineStr">
        <is>
          <t>4월</t>
        </is>
      </c>
      <c r="B2995" t="inlineStr">
        <is>
          <t>15주차</t>
        </is>
      </c>
      <c r="C2995" t="inlineStr">
        <is>
          <t>EP</t>
        </is>
      </c>
      <c r="D2995" s="28" t="n">
        <v>46118</v>
      </c>
      <c r="E2995" t="inlineStr">
        <is>
          <t>현대EP_fast</t>
        </is>
      </c>
      <c r="F2995" t="inlineStr">
        <is>
          <t>최현일</t>
        </is>
      </c>
      <c r="G2995" t="inlineStr">
        <is>
          <t>010-6538-9406</t>
        </is>
      </c>
      <c r="H2995" t="inlineStr">
        <is>
          <t>394로7536</t>
        </is>
      </c>
      <c r="I2995" t="n">
        <v>9300000</v>
      </c>
      <c r="J2995" t="n">
        <v>0.079</v>
      </c>
      <c r="K2995" t="n">
        <v>1.76</v>
      </c>
      <c r="L2995" t="n">
        <v>0.2</v>
      </c>
      <c r="M2995" t="n">
        <v>1.56</v>
      </c>
      <c r="P2995" t="inlineStr">
        <is>
          <t>김나윤</t>
        </is>
      </c>
      <c r="Q2995" t="inlineStr">
        <is>
          <t>홈서비스 60개월</t>
        </is>
      </c>
      <c r="AB2995" t="inlineStr">
        <is>
          <t>홈서비스</t>
        </is>
      </c>
      <c r="AC2995" t="n">
        <v>163680</v>
      </c>
      <c r="AD2995" t="n">
        <v>18600</v>
      </c>
      <c r="AE2995" t="n">
        <v>145080</v>
      </c>
      <c r="AF2995" t="n">
        <v>148800</v>
      </c>
      <c r="AG2995" t="n">
        <v>17986.2</v>
      </c>
      <c r="AH2995" t="n">
        <v>130813.8</v>
      </c>
      <c r="AI2995" t="n">
        <v>0</v>
      </c>
    </row>
    <row r="2996">
      <c r="A2996" t="inlineStr">
        <is>
          <t>4월</t>
        </is>
      </c>
      <c r="B2996" t="inlineStr">
        <is>
          <t>15주차</t>
        </is>
      </c>
      <c r="C2996" t="inlineStr">
        <is>
          <t>EP</t>
        </is>
      </c>
      <c r="D2996" s="28" t="n">
        <v>46118</v>
      </c>
      <c r="E2996" t="inlineStr">
        <is>
          <t>현대EP_fast</t>
        </is>
      </c>
      <c r="F2996" t="inlineStr">
        <is>
          <t>장재언</t>
        </is>
      </c>
      <c r="G2996" t="inlineStr">
        <is>
          <t>010-7614-0277</t>
        </is>
      </c>
      <c r="H2996" t="inlineStr">
        <is>
          <t>329구2140</t>
        </is>
      </c>
      <c r="I2996" t="n">
        <v>13000000</v>
      </c>
      <c r="J2996" t="n">
        <v>0.102</v>
      </c>
      <c r="K2996" t="n">
        <v>1.76</v>
      </c>
      <c r="L2996" t="n">
        <v>0.2</v>
      </c>
      <c r="M2996" t="n">
        <v>1.56</v>
      </c>
      <c r="P2996" t="inlineStr">
        <is>
          <t>최형주</t>
        </is>
      </c>
      <c r="Q2996" t="inlineStr">
        <is>
          <t>홈서비스 48개월</t>
        </is>
      </c>
      <c r="AB2996" t="inlineStr">
        <is>
          <t>홈서비스</t>
        </is>
      </c>
      <c r="AC2996" t="n">
        <v>228800</v>
      </c>
      <c r="AD2996" t="n">
        <v>26000</v>
      </c>
      <c r="AE2996" t="n">
        <v>202800</v>
      </c>
      <c r="AF2996" t="n">
        <v>208000</v>
      </c>
      <c r="AG2996" t="n">
        <v>25142</v>
      </c>
      <c r="AH2996" t="n">
        <v>182858</v>
      </c>
    </row>
    <row r="2997">
      <c r="A2997" t="inlineStr">
        <is>
          <t>4월</t>
        </is>
      </c>
      <c r="B2997" t="inlineStr">
        <is>
          <t>15주차</t>
        </is>
      </c>
      <c r="C2997" t="inlineStr">
        <is>
          <t>EP</t>
        </is>
      </c>
      <c r="D2997" s="28" t="n">
        <v>46118</v>
      </c>
      <c r="E2997" t="inlineStr">
        <is>
          <t>현대EP_fast</t>
        </is>
      </c>
      <c r="F2997" t="inlineStr">
        <is>
          <t>지현웅</t>
        </is>
      </c>
      <c r="G2997" t="inlineStr">
        <is>
          <t>010-5499-3537</t>
        </is>
      </c>
      <c r="H2997" t="inlineStr">
        <is>
          <t>223라8719</t>
        </is>
      </c>
      <c r="I2997" t="n">
        <v>26500000</v>
      </c>
      <c r="J2997" t="n">
        <v>0.07099999999999999</v>
      </c>
      <c r="K2997" t="n">
        <v>1.76</v>
      </c>
      <c r="L2997" t="n">
        <v>0.2</v>
      </c>
      <c r="M2997" t="n">
        <v>1.56</v>
      </c>
      <c r="P2997" t="inlineStr">
        <is>
          <t>정세빈</t>
        </is>
      </c>
      <c r="Q2997" t="inlineStr">
        <is>
          <t>홈서비스 36개월</t>
        </is>
      </c>
      <c r="AB2997" t="inlineStr">
        <is>
          <t>홈서비스</t>
        </is>
      </c>
      <c r="AC2997" t="n">
        <v>466400</v>
      </c>
      <c r="AD2997" t="n">
        <v>53000</v>
      </c>
      <c r="AE2997" t="n">
        <v>413400</v>
      </c>
      <c r="AF2997" t="n">
        <v>424000</v>
      </c>
      <c r="AG2997" t="n">
        <v>51251</v>
      </c>
      <c r="AH2997" t="n">
        <v>372749</v>
      </c>
      <c r="AI2997" t="n">
        <v>0</v>
      </c>
    </row>
    <row r="2998">
      <c r="A2998" t="inlineStr">
        <is>
          <t>4월</t>
        </is>
      </c>
      <c r="B2998" t="inlineStr">
        <is>
          <t>15주차</t>
        </is>
      </c>
      <c r="C2998" t="inlineStr">
        <is>
          <t>EP</t>
        </is>
      </c>
      <c r="D2998" s="28" t="n">
        <v>46118</v>
      </c>
      <c r="E2998" t="inlineStr">
        <is>
          <t>현대EP_fast</t>
        </is>
      </c>
      <c r="F2998" t="inlineStr">
        <is>
          <t>이광열</t>
        </is>
      </c>
      <c r="G2998" t="inlineStr">
        <is>
          <t>010-9485-6920</t>
        </is>
      </c>
      <c r="H2998" t="inlineStr">
        <is>
          <t>152호4841</t>
        </is>
      </c>
      <c r="I2998" t="n">
        <v>27000000</v>
      </c>
      <c r="J2998" t="n">
        <v>0.102</v>
      </c>
      <c r="K2998" t="n">
        <v>1.76</v>
      </c>
      <c r="L2998" t="n">
        <v>0.2</v>
      </c>
      <c r="M2998" t="n">
        <v>1.56</v>
      </c>
      <c r="P2998" t="inlineStr">
        <is>
          <t>김수연</t>
        </is>
      </c>
      <c r="Q2998" t="inlineStr">
        <is>
          <t>홈서비스 60개월</t>
        </is>
      </c>
      <c r="AB2998" t="inlineStr">
        <is>
          <t>홈서비스</t>
        </is>
      </c>
      <c r="AC2998" t="n">
        <v>475200</v>
      </c>
      <c r="AD2998" t="n">
        <v>54000</v>
      </c>
      <c r="AE2998" t="n">
        <v>421200</v>
      </c>
      <c r="AF2998" t="n">
        <v>432000</v>
      </c>
      <c r="AG2998" t="n">
        <v>52218</v>
      </c>
      <c r="AH2998" t="n">
        <v>379782</v>
      </c>
      <c r="AI2998" t="n">
        <v>0</v>
      </c>
    </row>
    <row r="2999">
      <c r="A2999" t="inlineStr">
        <is>
          <t>4월</t>
        </is>
      </c>
      <c r="B2999" t="inlineStr">
        <is>
          <t>15주차</t>
        </is>
      </c>
      <c r="C2999" t="inlineStr">
        <is>
          <t>IM</t>
        </is>
      </c>
      <c r="D2999" s="28" t="n">
        <v>46118</v>
      </c>
      <c r="E2999" t="inlineStr">
        <is>
          <t>IM캐피탈</t>
        </is>
      </c>
      <c r="F2999" t="inlineStr">
        <is>
          <t>이상현</t>
        </is>
      </c>
      <c r="G2999" t="inlineStr">
        <is>
          <t>010-4233-8453</t>
        </is>
      </c>
      <c r="H2999" t="inlineStr">
        <is>
          <t>124누3447</t>
        </is>
      </c>
      <c r="I2999" t="n">
        <v>24500000</v>
      </c>
      <c r="J2999" t="n">
        <v>0.099</v>
      </c>
      <c r="K2999" t="n">
        <v>1.1</v>
      </c>
      <c r="L2999" t="n">
        <v>0.07000000000000001</v>
      </c>
      <c r="M2999" t="n">
        <v>1.03</v>
      </c>
      <c r="P2999" t="inlineStr">
        <is>
          <t>최형주</t>
        </is>
      </c>
      <c r="Q2999" t="inlineStr">
        <is>
          <t>홈서비스 72개월 / 부대비용 추가진행</t>
        </is>
      </c>
      <c r="AB2999" t="inlineStr">
        <is>
          <t>홈서비스</t>
        </is>
      </c>
      <c r="AC2999" t="n">
        <v>269500</v>
      </c>
      <c r="AD2999" t="n">
        <v>17150</v>
      </c>
      <c r="AE2999" t="n">
        <v>252350</v>
      </c>
      <c r="AF2999" t="n">
        <v>245000</v>
      </c>
      <c r="AG2999" t="n">
        <v>16584.05</v>
      </c>
      <c r="AH2999" t="n">
        <v>228415.95</v>
      </c>
      <c r="AI2999" t="n">
        <v>0</v>
      </c>
    </row>
    <row r="3000">
      <c r="A3000" t="inlineStr">
        <is>
          <t>4월</t>
        </is>
      </c>
      <c r="B3000" t="inlineStr">
        <is>
          <t>15주차</t>
        </is>
      </c>
      <c r="C3000" t="inlineStr">
        <is>
          <t>EP</t>
        </is>
      </c>
      <c r="D3000" s="28" t="n">
        <v>46119</v>
      </c>
      <c r="E3000" t="inlineStr">
        <is>
          <t>현대EP_fast</t>
        </is>
      </c>
      <c r="F3000" t="inlineStr">
        <is>
          <t>윤경식</t>
        </is>
      </c>
      <c r="G3000" t="inlineStr">
        <is>
          <t>010-4912-5126</t>
        </is>
      </c>
      <c r="H3000" t="inlineStr">
        <is>
          <t>381서1137</t>
        </is>
      </c>
      <c r="I3000" t="n">
        <v>37000000</v>
      </c>
      <c r="J3000" t="n">
        <v>0.07099999999999999</v>
      </c>
      <c r="K3000" t="n">
        <v>1.76</v>
      </c>
      <c r="L3000" t="n">
        <v>0.2</v>
      </c>
      <c r="M3000" t="n">
        <v>1.56</v>
      </c>
      <c r="P3000" t="inlineStr">
        <is>
          <t>황채이</t>
        </is>
      </c>
      <c r="Q3000" t="inlineStr">
        <is>
          <t>홈서비스 60개월</t>
        </is>
      </c>
      <c r="AB3000" t="inlineStr">
        <is>
          <t>홈서비스</t>
        </is>
      </c>
      <c r="AC3000" t="n">
        <v>651200</v>
      </c>
      <c r="AD3000" t="n">
        <v>74000</v>
      </c>
      <c r="AE3000" t="n">
        <v>577200</v>
      </c>
      <c r="AF3000" t="n">
        <v>592000</v>
      </c>
      <c r="AG3000" t="n">
        <v>71558</v>
      </c>
      <c r="AH3000" t="n">
        <v>520442</v>
      </c>
      <c r="AI3000" t="n">
        <v>0</v>
      </c>
    </row>
    <row r="3001">
      <c r="A3001" t="inlineStr">
        <is>
          <t>4월</t>
        </is>
      </c>
      <c r="B3001" t="inlineStr">
        <is>
          <t>15주차</t>
        </is>
      </c>
      <c r="C3001" t="inlineStr">
        <is>
          <t>IM</t>
        </is>
      </c>
      <c r="D3001" s="28" t="n">
        <v>46118</v>
      </c>
      <c r="E3001" t="inlineStr">
        <is>
          <t>IM캐피탈</t>
        </is>
      </c>
      <c r="F3001" t="inlineStr">
        <is>
          <t>백경민</t>
        </is>
      </c>
      <c r="G3001" t="inlineStr">
        <is>
          <t>010-2529-8439</t>
        </is>
      </c>
      <c r="H3001" t="inlineStr">
        <is>
          <t>58조7078</t>
        </is>
      </c>
      <c r="I3001" t="n">
        <v>29000000</v>
      </c>
      <c r="J3001" t="n">
        <v>0.059</v>
      </c>
      <c r="K3001" t="n">
        <v>1.1</v>
      </c>
      <c r="L3001" t="n">
        <v>0.07000000000000001</v>
      </c>
      <c r="M3001" t="n">
        <v>1.03</v>
      </c>
      <c r="P3001" t="inlineStr">
        <is>
          <t>정세빈</t>
        </is>
      </c>
      <c r="Q3001" t="inlineStr">
        <is>
          <t>홈서비스 72개월</t>
        </is>
      </c>
      <c r="AB3001" t="inlineStr">
        <is>
          <t>홈서비스</t>
        </is>
      </c>
      <c r="AC3001" t="n">
        <v>319000</v>
      </c>
      <c r="AD3001" t="n">
        <v>20300</v>
      </c>
      <c r="AE3001" t="n">
        <v>298700</v>
      </c>
      <c r="AF3001" t="n">
        <v>290000</v>
      </c>
      <c r="AG3001" t="n">
        <v>19630.1</v>
      </c>
      <c r="AH3001" t="n">
        <v>270369.9</v>
      </c>
      <c r="AI3001" t="n">
        <v>0</v>
      </c>
    </row>
    <row r="3002">
      <c r="A3002" t="inlineStr">
        <is>
          <t>4월</t>
        </is>
      </c>
      <c r="B3002" t="inlineStr">
        <is>
          <t>15주차</t>
        </is>
      </c>
      <c r="C3002" t="inlineStr">
        <is>
          <t>IM</t>
        </is>
      </c>
      <c r="D3002" s="28" t="n">
        <v>46118</v>
      </c>
      <c r="E3002" t="inlineStr">
        <is>
          <t>IM캐피탈</t>
        </is>
      </c>
      <c r="F3002" t="inlineStr">
        <is>
          <t>채현우</t>
        </is>
      </c>
      <c r="G3002" t="inlineStr">
        <is>
          <t>010-9203-6278</t>
        </is>
      </c>
      <c r="H3002" t="inlineStr">
        <is>
          <t>326가2481</t>
        </is>
      </c>
      <c r="I3002" t="n">
        <v>26500000</v>
      </c>
      <c r="J3002" t="n">
        <v>0.049</v>
      </c>
      <c r="K3002" t="n">
        <v>1.1</v>
      </c>
      <c r="L3002" t="n">
        <v>0.3</v>
      </c>
      <c r="M3002" t="n">
        <v>0.8</v>
      </c>
      <c r="P3002" t="inlineStr">
        <is>
          <t>박소현</t>
        </is>
      </c>
      <c r="AB3002" t="inlineStr">
        <is>
          <t>엔카</t>
        </is>
      </c>
      <c r="AC3002" t="n">
        <v>291500</v>
      </c>
      <c r="AD3002" t="n">
        <v>79500</v>
      </c>
      <c r="AE3002" t="n">
        <v>212000</v>
      </c>
      <c r="AF3002" t="n">
        <v>265000</v>
      </c>
      <c r="AG3002" t="n">
        <v>76876.5</v>
      </c>
      <c r="AH3002" t="n">
        <v>188123.5</v>
      </c>
      <c r="AI3002" t="n">
        <v>0</v>
      </c>
    </row>
    <row r="3003">
      <c r="A3003" t="inlineStr">
        <is>
          <t>4월</t>
        </is>
      </c>
      <c r="B3003" t="inlineStr">
        <is>
          <t>15주차</t>
        </is>
      </c>
      <c r="C3003" t="inlineStr">
        <is>
          <t>EP</t>
        </is>
      </c>
      <c r="D3003" s="28" t="n">
        <v>46118</v>
      </c>
      <c r="E3003" t="inlineStr">
        <is>
          <t>현대EP</t>
        </is>
      </c>
      <c r="F3003" t="inlineStr">
        <is>
          <t>김호순</t>
        </is>
      </c>
      <c r="G3003" t="inlineStr">
        <is>
          <t>010-7289-4988</t>
        </is>
      </c>
      <c r="H3003" t="inlineStr">
        <is>
          <t>20러7072</t>
        </is>
      </c>
      <c r="I3003" t="n">
        <v>7900000</v>
      </c>
      <c r="J3003" t="n">
        <v>0.079</v>
      </c>
      <c r="K3003" t="n">
        <v>1.76</v>
      </c>
      <c r="L3003" t="n">
        <v>0.2</v>
      </c>
      <c r="M3003" t="n">
        <v>1.56</v>
      </c>
      <c r="P3003" t="inlineStr">
        <is>
          <t>김나윤</t>
        </is>
      </c>
      <c r="Q3003" t="inlineStr">
        <is>
          <t>홈서비스 36개월</t>
        </is>
      </c>
      <c r="AB3003" t="inlineStr">
        <is>
          <t>홈서비스</t>
        </is>
      </c>
      <c r="AC3003" t="n">
        <v>139040</v>
      </c>
      <c r="AD3003" t="n">
        <v>15800</v>
      </c>
      <c r="AE3003" t="n">
        <v>123240</v>
      </c>
      <c r="AF3003" t="n">
        <v>126400</v>
      </c>
      <c r="AG3003" t="n">
        <v>15278.6</v>
      </c>
      <c r="AH3003" t="n">
        <v>111121.4</v>
      </c>
      <c r="AI3003" t="n">
        <v>0</v>
      </c>
    </row>
    <row r="3004">
      <c r="A3004" t="inlineStr">
        <is>
          <t>4월</t>
        </is>
      </c>
      <c r="B3004" t="inlineStr">
        <is>
          <t>15주차</t>
        </is>
      </c>
      <c r="C3004" t="inlineStr">
        <is>
          <t>EP</t>
        </is>
      </c>
      <c r="D3004" s="28" t="n">
        <v>46118</v>
      </c>
      <c r="E3004" t="inlineStr">
        <is>
          <t>현대EP</t>
        </is>
      </c>
      <c r="F3004" t="inlineStr">
        <is>
          <t>김성현</t>
        </is>
      </c>
      <c r="G3004" t="inlineStr">
        <is>
          <t>010-6665-2857</t>
        </is>
      </c>
      <c r="H3004" t="inlineStr">
        <is>
          <t>68노0307</t>
        </is>
      </c>
      <c r="I3004" t="n">
        <v>6000000</v>
      </c>
      <c r="J3004" t="n">
        <v>0.07199999999999999</v>
      </c>
      <c r="K3004" t="n">
        <v>1.76</v>
      </c>
      <c r="L3004" t="n">
        <v>0.2</v>
      </c>
      <c r="M3004" t="n">
        <v>1.56</v>
      </c>
      <c r="P3004" t="inlineStr">
        <is>
          <t>김수연</t>
        </is>
      </c>
      <c r="Q3004" t="inlineStr">
        <is>
          <t>홈서비스 24개월</t>
        </is>
      </c>
      <c r="AB3004" t="inlineStr">
        <is>
          <t>홈서비스</t>
        </is>
      </c>
      <c r="AC3004" t="n">
        <v>105600</v>
      </c>
      <c r="AD3004" t="n">
        <v>12000</v>
      </c>
      <c r="AE3004" t="n">
        <v>93600</v>
      </c>
      <c r="AF3004" t="n">
        <v>96000</v>
      </c>
      <c r="AG3004" t="n">
        <v>11604</v>
      </c>
      <c r="AH3004" t="n">
        <v>84396</v>
      </c>
    </row>
    <row r="3005">
      <c r="A3005" t="inlineStr">
        <is>
          <t>4월</t>
        </is>
      </c>
      <c r="B3005" t="inlineStr">
        <is>
          <t>15주차</t>
        </is>
      </c>
      <c r="C3005" t="inlineStr">
        <is>
          <t>EP</t>
        </is>
      </c>
      <c r="D3005" s="28" t="n">
        <v>46118</v>
      </c>
      <c r="E3005" t="inlineStr">
        <is>
          <t>현대EP</t>
        </is>
      </c>
      <c r="F3005" t="inlineStr">
        <is>
          <t>박경화</t>
        </is>
      </c>
      <c r="G3005" t="inlineStr">
        <is>
          <t>010-8762-8797</t>
        </is>
      </c>
      <c r="H3005" t="inlineStr">
        <is>
          <t>222라6467</t>
        </is>
      </c>
      <c r="I3005" t="n">
        <v>32400000</v>
      </c>
      <c r="J3005" t="n">
        <v>0.118</v>
      </c>
      <c r="K3005" t="n">
        <v>1.76</v>
      </c>
      <c r="L3005" t="n">
        <v>0.2</v>
      </c>
      <c r="M3005" t="n">
        <v>1.56</v>
      </c>
      <c r="P3005" t="inlineStr">
        <is>
          <t>최형주</t>
        </is>
      </c>
      <c r="Q3005" t="inlineStr">
        <is>
          <t>홈서비스 48개월</t>
        </is>
      </c>
      <c r="AB3005" t="inlineStr">
        <is>
          <t>홈서비스</t>
        </is>
      </c>
      <c r="AC3005" t="n">
        <v>570240</v>
      </c>
      <c r="AD3005" t="n">
        <v>64800</v>
      </c>
      <c r="AE3005" t="n">
        <v>505440</v>
      </c>
      <c r="AF3005" t="n">
        <v>518400</v>
      </c>
      <c r="AG3005" t="n">
        <v>62661.6</v>
      </c>
      <c r="AH3005" t="n">
        <v>455738.4</v>
      </c>
      <c r="AI3005" t="n">
        <v>0</v>
      </c>
    </row>
    <row r="3006">
      <c r="A3006" t="inlineStr">
        <is>
          <t>4월</t>
        </is>
      </c>
      <c r="B3006" t="inlineStr">
        <is>
          <t>15주차</t>
        </is>
      </c>
      <c r="C3006" t="inlineStr">
        <is>
          <t>IM</t>
        </is>
      </c>
      <c r="D3006" s="28" t="n">
        <v>46119</v>
      </c>
      <c r="E3006" t="inlineStr">
        <is>
          <t>IM캐피탈</t>
        </is>
      </c>
      <c r="F3006" t="inlineStr">
        <is>
          <t>임강우</t>
        </is>
      </c>
      <c r="G3006" t="inlineStr">
        <is>
          <t>010-5913-1270</t>
        </is>
      </c>
      <c r="H3006" t="inlineStr">
        <is>
          <t>314보4370</t>
        </is>
      </c>
      <c r="I3006" t="n">
        <v>20800000</v>
      </c>
      <c r="J3006" t="n">
        <v>0.059</v>
      </c>
      <c r="K3006" t="n">
        <v>1.1</v>
      </c>
      <c r="L3006" t="n">
        <v>0.07000000000000001</v>
      </c>
      <c r="M3006" t="n">
        <v>1.03</v>
      </c>
      <c r="P3006" t="inlineStr">
        <is>
          <t>황채이</t>
        </is>
      </c>
      <c r="Q3006" t="inlineStr">
        <is>
          <t xml:space="preserve">홈서비스 60개월 </t>
        </is>
      </c>
      <c r="AB3006" t="inlineStr">
        <is>
          <t>홈서비스</t>
        </is>
      </c>
      <c r="AC3006" t="n">
        <v>228800</v>
      </c>
      <c r="AD3006" t="n">
        <v>14560</v>
      </c>
      <c r="AE3006" t="n">
        <v>214240</v>
      </c>
      <c r="AF3006" t="n">
        <v>208000</v>
      </c>
      <c r="AG3006" t="n">
        <v>14079.52</v>
      </c>
      <c r="AH3006" t="n">
        <v>193920.48</v>
      </c>
    </row>
    <row r="3007">
      <c r="A3007" t="inlineStr">
        <is>
          <t>4월</t>
        </is>
      </c>
      <c r="B3007" t="inlineStr">
        <is>
          <t>15주차</t>
        </is>
      </c>
      <c r="C3007" t="inlineStr">
        <is>
          <t>EP</t>
        </is>
      </c>
      <c r="D3007" s="28" t="n">
        <v>46118</v>
      </c>
      <c r="E3007" t="inlineStr">
        <is>
          <t>현대EP_fast</t>
        </is>
      </c>
      <c r="F3007" t="inlineStr">
        <is>
          <t>신성훈</t>
        </is>
      </c>
      <c r="G3007" t="inlineStr">
        <is>
          <t>010-4615-0625</t>
        </is>
      </c>
      <c r="H3007" t="inlineStr">
        <is>
          <t>47오0851</t>
        </is>
      </c>
      <c r="I3007" t="n">
        <v>4800000</v>
      </c>
      <c r="J3007" t="n">
        <v>0.081</v>
      </c>
      <c r="K3007" t="n">
        <v>1.76</v>
      </c>
      <c r="L3007" t="n">
        <v>0.2</v>
      </c>
      <c r="M3007" t="n">
        <v>1.56</v>
      </c>
      <c r="P3007" t="inlineStr">
        <is>
          <t>정광호</t>
        </is>
      </c>
      <c r="Q3007" t="inlineStr">
        <is>
          <t>홈서비스 48개월</t>
        </is>
      </c>
      <c r="AB3007" t="inlineStr">
        <is>
          <t>홈서비스</t>
        </is>
      </c>
      <c r="AC3007" t="n">
        <v>84480</v>
      </c>
      <c r="AD3007" t="n">
        <v>9600</v>
      </c>
      <c r="AE3007" t="n">
        <v>74880</v>
      </c>
      <c r="AF3007" t="n">
        <v>76800</v>
      </c>
      <c r="AG3007" t="n">
        <v>9283.200000000001</v>
      </c>
      <c r="AH3007" t="n">
        <v>67516.8</v>
      </c>
    </row>
    <row r="3008">
      <c r="A3008" t="inlineStr">
        <is>
          <t>4월</t>
        </is>
      </c>
      <c r="B3008" t="inlineStr">
        <is>
          <t>15주차</t>
        </is>
      </c>
      <c r="C3008" t="inlineStr">
        <is>
          <t>IM</t>
        </is>
      </c>
      <c r="D3008" s="28" t="n">
        <v>46118</v>
      </c>
      <c r="E3008" t="inlineStr">
        <is>
          <t>IM캐피탈</t>
        </is>
      </c>
      <c r="F3008" t="inlineStr">
        <is>
          <t>이주희</t>
        </is>
      </c>
      <c r="G3008" t="inlineStr">
        <is>
          <t>010-8798-7917</t>
        </is>
      </c>
      <c r="H3008" t="inlineStr">
        <is>
          <t>116노6072</t>
        </is>
      </c>
      <c r="I3008" t="n">
        <v>29900000</v>
      </c>
      <c r="J3008" t="n">
        <v>0.049</v>
      </c>
      <c r="K3008" t="n">
        <v>1.1</v>
      </c>
      <c r="L3008" t="n">
        <v>0.3</v>
      </c>
      <c r="M3008" t="n">
        <v>0.8</v>
      </c>
      <c r="P3008" t="inlineStr">
        <is>
          <t>박소현</t>
        </is>
      </c>
      <c r="Q3008" t="inlineStr">
        <is>
          <t>오토론</t>
        </is>
      </c>
      <c r="AB3008" t="inlineStr">
        <is>
          <t>엔카</t>
        </is>
      </c>
      <c r="AC3008" t="n">
        <v>328900</v>
      </c>
      <c r="AD3008" t="n">
        <v>89700</v>
      </c>
      <c r="AE3008" t="n">
        <v>239200</v>
      </c>
      <c r="AF3008" t="n">
        <v>299000</v>
      </c>
      <c r="AG3008" t="n">
        <v>86739.89999999999</v>
      </c>
      <c r="AH3008" t="n">
        <v>212260.1</v>
      </c>
      <c r="AI3008" t="n">
        <v>0</v>
      </c>
    </row>
    <row r="3009">
      <c r="A3009" t="inlineStr">
        <is>
          <t>4월</t>
        </is>
      </c>
      <c r="B3009" t="inlineStr">
        <is>
          <t>14주차</t>
        </is>
      </c>
      <c r="C3009" t="inlineStr">
        <is>
          <t>EP</t>
        </is>
      </c>
      <c r="D3009" s="28" t="n">
        <v>46116</v>
      </c>
      <c r="E3009" t="inlineStr">
        <is>
          <t>현대EP</t>
        </is>
      </c>
      <c r="F3009" t="inlineStr">
        <is>
          <t>장기한</t>
        </is>
      </c>
      <c r="G3009" t="inlineStr">
        <is>
          <t>010-7433-1190</t>
        </is>
      </c>
      <c r="H3009" t="inlineStr">
        <is>
          <t>141조6813</t>
        </is>
      </c>
      <c r="I3009" t="n">
        <v>30000000</v>
      </c>
      <c r="J3009" t="n">
        <v>0.062</v>
      </c>
      <c r="K3009" t="n">
        <v>1.76</v>
      </c>
      <c r="L3009" t="n">
        <v>0.2</v>
      </c>
      <c r="M3009" t="n">
        <v>1.56</v>
      </c>
      <c r="P3009" t="inlineStr">
        <is>
          <t>장현경</t>
        </is>
      </c>
      <c r="Q3009" t="inlineStr">
        <is>
          <t>홈서비스 24개월</t>
        </is>
      </c>
      <c r="AB3009" t="inlineStr">
        <is>
          <t>홈서비스</t>
        </is>
      </c>
      <c r="AC3009" t="n">
        <v>528000</v>
      </c>
      <c r="AD3009" t="n">
        <v>60000</v>
      </c>
      <c r="AE3009" t="n">
        <v>468000</v>
      </c>
      <c r="AF3009" t="n">
        <v>480000</v>
      </c>
      <c r="AG3009" t="n">
        <v>58020</v>
      </c>
      <c r="AH3009" t="n">
        <v>421980</v>
      </c>
      <c r="AI3009" t="n">
        <v>0</v>
      </c>
    </row>
    <row r="3010">
      <c r="A3010" t="inlineStr">
        <is>
          <t>4월</t>
        </is>
      </c>
      <c r="B3010" t="inlineStr">
        <is>
          <t>15주차</t>
        </is>
      </c>
      <c r="C3010" t="inlineStr">
        <is>
          <t>IM</t>
        </is>
      </c>
      <c r="D3010" s="28" t="n">
        <v>46119</v>
      </c>
      <c r="E3010" t="inlineStr">
        <is>
          <t>IM캐피탈</t>
        </is>
      </c>
      <c r="F3010" t="inlineStr">
        <is>
          <t>이주현</t>
        </is>
      </c>
      <c r="G3010" t="inlineStr">
        <is>
          <t>010-6434-5360</t>
        </is>
      </c>
      <c r="H3010" t="inlineStr">
        <is>
          <t>53노9827</t>
        </is>
      </c>
      <c r="I3010" t="n">
        <v>10000000</v>
      </c>
      <c r="J3010" t="n">
        <v>0.066</v>
      </c>
      <c r="K3010" t="n">
        <v>1.1</v>
      </c>
      <c r="L3010" t="n">
        <v>0.07000000000000001</v>
      </c>
      <c r="M3010" t="n">
        <v>1.03</v>
      </c>
      <c r="P3010" t="inlineStr">
        <is>
          <t>황채이</t>
        </is>
      </c>
      <c r="Q3010" t="inlineStr">
        <is>
          <t>홈서비스 24개월 / 부대비용 추가진행</t>
        </is>
      </c>
      <c r="AB3010" t="inlineStr">
        <is>
          <t>홈서비스</t>
        </is>
      </c>
      <c r="AC3010" t="n">
        <v>110000</v>
      </c>
      <c r="AD3010" t="n">
        <v>7000</v>
      </c>
      <c r="AE3010" t="n">
        <v>103000</v>
      </c>
      <c r="AF3010" t="n">
        <v>100000</v>
      </c>
      <c r="AG3010" t="n">
        <v>6769</v>
      </c>
      <c r="AH3010" t="n">
        <v>93231</v>
      </c>
      <c r="AI3010" t="n">
        <v>0</v>
      </c>
    </row>
    <row r="3011">
      <c r="A3011" t="inlineStr">
        <is>
          <t>4월</t>
        </is>
      </c>
      <c r="B3011" t="inlineStr">
        <is>
          <t>15주차</t>
        </is>
      </c>
      <c r="C3011" t="inlineStr">
        <is>
          <t>EP</t>
        </is>
      </c>
      <c r="D3011" s="28" t="n">
        <v>46118</v>
      </c>
      <c r="E3011" t="inlineStr">
        <is>
          <t>현대EP</t>
        </is>
      </c>
      <c r="F3011" t="inlineStr">
        <is>
          <t>나현수</t>
        </is>
      </c>
      <c r="G3011" t="inlineStr">
        <is>
          <t>010-2870-6434</t>
        </is>
      </c>
      <c r="H3011" t="inlineStr">
        <is>
          <t>20루6065</t>
        </is>
      </c>
      <c r="I3011" t="n">
        <v>3000000</v>
      </c>
      <c r="J3011" t="n">
        <v>0.079</v>
      </c>
      <c r="K3011" t="n">
        <v>1.76</v>
      </c>
      <c r="L3011" t="n">
        <v>0.2</v>
      </c>
      <c r="M3011" t="n">
        <v>1.56</v>
      </c>
      <c r="P3011" t="inlineStr">
        <is>
          <t>김나윤</t>
        </is>
      </c>
      <c r="Q3011" t="inlineStr">
        <is>
          <t>홈서비스 24개월</t>
        </is>
      </c>
      <c r="AB3011" t="inlineStr">
        <is>
          <t>홈서비스</t>
        </is>
      </c>
      <c r="AC3011" t="n">
        <v>52800</v>
      </c>
      <c r="AD3011" t="n">
        <v>6000</v>
      </c>
      <c r="AE3011" t="n">
        <v>46800</v>
      </c>
      <c r="AF3011" t="n">
        <v>48000</v>
      </c>
      <c r="AG3011" t="n">
        <v>5802</v>
      </c>
      <c r="AH3011" t="n">
        <v>42198</v>
      </c>
      <c r="AI3011" t="n">
        <v>0</v>
      </c>
    </row>
    <row r="3012">
      <c r="A3012" t="inlineStr">
        <is>
          <t>4월</t>
        </is>
      </c>
      <c r="B3012" t="inlineStr">
        <is>
          <t>15주차</t>
        </is>
      </c>
      <c r="C3012" t="inlineStr">
        <is>
          <t>EP</t>
        </is>
      </c>
      <c r="D3012" s="28" t="n">
        <v>46118</v>
      </c>
      <c r="E3012" t="inlineStr">
        <is>
          <t>현대EP</t>
        </is>
      </c>
      <c r="F3012" t="inlineStr">
        <is>
          <t>이성재</t>
        </is>
      </c>
      <c r="G3012" t="inlineStr">
        <is>
          <t>010-2361-5958</t>
        </is>
      </c>
      <c r="H3012" t="inlineStr">
        <is>
          <t>234모7287</t>
        </is>
      </c>
      <c r="I3012" t="n">
        <v>10000000</v>
      </c>
      <c r="J3012" t="n">
        <v>0.079</v>
      </c>
      <c r="K3012" t="n">
        <v>1.76</v>
      </c>
      <c r="L3012" t="n">
        <v>0.2</v>
      </c>
      <c r="M3012" t="n">
        <v>1.56</v>
      </c>
      <c r="P3012" t="inlineStr">
        <is>
          <t>김수연</t>
        </is>
      </c>
      <c r="Q3012" t="inlineStr">
        <is>
          <t>홈서비스 48개월</t>
        </is>
      </c>
      <c r="AB3012" t="inlineStr">
        <is>
          <t>홈서비스</t>
        </is>
      </c>
      <c r="AC3012" t="n">
        <v>176000</v>
      </c>
      <c r="AD3012" t="n">
        <v>20000</v>
      </c>
      <c r="AE3012" t="n">
        <v>156000</v>
      </c>
      <c r="AF3012" t="n">
        <v>160000</v>
      </c>
      <c r="AG3012" t="n">
        <v>19340</v>
      </c>
      <c r="AH3012" t="n">
        <v>140660</v>
      </c>
      <c r="AI3012" t="n">
        <v>0</v>
      </c>
    </row>
    <row r="3013">
      <c r="A3013" t="inlineStr">
        <is>
          <t>4월</t>
        </is>
      </c>
      <c r="B3013" t="inlineStr">
        <is>
          <t>15주차</t>
        </is>
      </c>
      <c r="C3013" t="inlineStr">
        <is>
          <t>EP</t>
        </is>
      </c>
      <c r="D3013" s="28" t="n">
        <v>46119</v>
      </c>
      <c r="E3013" t="inlineStr">
        <is>
          <t>현대EP_fast</t>
        </is>
      </c>
      <c r="F3013" t="inlineStr">
        <is>
          <t>최용환</t>
        </is>
      </c>
      <c r="G3013" t="inlineStr">
        <is>
          <t>010-3888-0448</t>
        </is>
      </c>
      <c r="H3013" t="inlineStr">
        <is>
          <t>05가5513</t>
        </is>
      </c>
      <c r="I3013" t="n">
        <v>5000000</v>
      </c>
      <c r="J3013" t="n">
        <v>0.07099999999999999</v>
      </c>
      <c r="K3013" t="n">
        <v>1.76</v>
      </c>
      <c r="L3013" t="n">
        <v>0.2</v>
      </c>
      <c r="M3013" t="n">
        <v>1.56</v>
      </c>
      <c r="P3013" t="inlineStr">
        <is>
          <t>김나윤</t>
        </is>
      </c>
      <c r="Q3013" t="inlineStr">
        <is>
          <t>홈서비스 36개월</t>
        </is>
      </c>
      <c r="AB3013" t="inlineStr">
        <is>
          <t>홈서비스</t>
        </is>
      </c>
      <c r="AC3013" t="n">
        <v>88000</v>
      </c>
      <c r="AD3013" t="n">
        <v>10000</v>
      </c>
      <c r="AE3013" t="n">
        <v>78000</v>
      </c>
      <c r="AF3013" t="n">
        <v>80000</v>
      </c>
      <c r="AG3013" t="n">
        <v>9670</v>
      </c>
      <c r="AH3013" t="n">
        <v>70330</v>
      </c>
      <c r="AI3013" t="n">
        <v>0</v>
      </c>
    </row>
    <row r="3014">
      <c r="A3014" t="inlineStr">
        <is>
          <t>4월</t>
        </is>
      </c>
      <c r="B3014" t="inlineStr">
        <is>
          <t>15주차</t>
        </is>
      </c>
      <c r="C3014" t="inlineStr">
        <is>
          <t>EP</t>
        </is>
      </c>
      <c r="D3014" s="28" t="n">
        <v>46118</v>
      </c>
      <c r="E3014" t="inlineStr">
        <is>
          <t>현대EP</t>
        </is>
      </c>
      <c r="F3014" t="inlineStr">
        <is>
          <t>최선웅</t>
        </is>
      </c>
      <c r="G3014" t="inlineStr">
        <is>
          <t>010-6540-1608</t>
        </is>
      </c>
      <c r="H3014" t="inlineStr">
        <is>
          <t>355마7362</t>
        </is>
      </c>
      <c r="I3014" t="n">
        <v>35800000</v>
      </c>
      <c r="J3014" t="n">
        <v>0.07199999999999999</v>
      </c>
      <c r="K3014" t="n">
        <v>1.76</v>
      </c>
      <c r="L3014" t="n">
        <v>0.2</v>
      </c>
      <c r="M3014" t="n">
        <v>1.56</v>
      </c>
      <c r="P3014" t="inlineStr">
        <is>
          <t>최형주</t>
        </is>
      </c>
      <c r="Q3014" t="inlineStr">
        <is>
          <t>홈서비스 60개월</t>
        </is>
      </c>
      <c r="AB3014" t="inlineStr">
        <is>
          <t>홈서비스</t>
        </is>
      </c>
      <c r="AC3014" t="n">
        <v>630080</v>
      </c>
      <c r="AD3014" t="n">
        <v>71600</v>
      </c>
      <c r="AE3014" t="n">
        <v>558480</v>
      </c>
      <c r="AF3014" t="n">
        <v>572800</v>
      </c>
      <c r="AG3014" t="n">
        <v>69237.2</v>
      </c>
      <c r="AH3014" t="n">
        <v>503562.8</v>
      </c>
      <c r="AI3014" t="n">
        <v>0</v>
      </c>
    </row>
    <row r="3015">
      <c r="A3015" t="inlineStr">
        <is>
          <t>4월</t>
        </is>
      </c>
      <c r="B3015" t="inlineStr">
        <is>
          <t>15주차</t>
        </is>
      </c>
      <c r="C3015" t="inlineStr">
        <is>
          <t>IM</t>
        </is>
      </c>
      <c r="D3015" s="28" t="n">
        <v>46119</v>
      </c>
      <c r="E3015" t="inlineStr">
        <is>
          <t>IM캐피탈</t>
        </is>
      </c>
      <c r="F3015" t="inlineStr">
        <is>
          <t>김기남</t>
        </is>
      </c>
      <c r="G3015" t="inlineStr">
        <is>
          <t>010-3271-6638</t>
        </is>
      </c>
      <c r="H3015" t="inlineStr">
        <is>
          <t>99무1421</t>
        </is>
      </c>
      <c r="I3015" t="n">
        <v>8000000</v>
      </c>
      <c r="J3015" t="n">
        <v>0.049</v>
      </c>
      <c r="K3015" t="n">
        <v>1.1</v>
      </c>
      <c r="L3015" t="n">
        <v>0.3</v>
      </c>
      <c r="M3015" t="n">
        <v>0.8</v>
      </c>
      <c r="P3015" t="inlineStr">
        <is>
          <t>박소현</t>
        </is>
      </c>
      <c r="AB3015" t="inlineStr">
        <is>
          <t>엔카</t>
        </is>
      </c>
      <c r="AC3015" t="n">
        <v>88000</v>
      </c>
      <c r="AD3015" t="n">
        <v>24000</v>
      </c>
      <c r="AE3015" t="n">
        <v>64000</v>
      </c>
      <c r="AF3015" t="n">
        <v>80000</v>
      </c>
      <c r="AG3015" t="n">
        <v>23208</v>
      </c>
      <c r="AH3015" t="n">
        <v>56792</v>
      </c>
      <c r="AI3015" t="n">
        <v>0</v>
      </c>
    </row>
    <row r="3016">
      <c r="A3016" t="inlineStr">
        <is>
          <t>4월</t>
        </is>
      </c>
      <c r="B3016" t="inlineStr">
        <is>
          <t>15주차</t>
        </is>
      </c>
      <c r="C3016" t="inlineStr">
        <is>
          <t>EP</t>
        </is>
      </c>
      <c r="D3016" s="28" t="n">
        <v>46119</v>
      </c>
      <c r="E3016" t="inlineStr">
        <is>
          <t>현대EP_fast</t>
        </is>
      </c>
      <c r="F3016" t="inlineStr">
        <is>
          <t>유현</t>
        </is>
      </c>
      <c r="G3016" t="inlineStr">
        <is>
          <t>010-4054-0097</t>
        </is>
      </c>
      <c r="H3016" t="inlineStr">
        <is>
          <t>52라1821</t>
        </is>
      </c>
      <c r="I3016" t="n">
        <v>14900000</v>
      </c>
      <c r="J3016" t="n">
        <v>0.092</v>
      </c>
      <c r="K3016" t="n">
        <v>1.76</v>
      </c>
      <c r="L3016" t="n">
        <v>0.2</v>
      </c>
      <c r="M3016" t="n">
        <v>1.56</v>
      </c>
      <c r="P3016" t="inlineStr">
        <is>
          <t>김나윤</t>
        </is>
      </c>
      <c r="Q3016" t="inlineStr">
        <is>
          <t>홈서비스 36개월 / 고객주도체결</t>
        </is>
      </c>
      <c r="AB3016" t="inlineStr">
        <is>
          <t>홈서비스</t>
        </is>
      </c>
      <c r="AC3016" t="n">
        <v>262240</v>
      </c>
      <c r="AD3016" t="n">
        <v>29800</v>
      </c>
      <c r="AE3016" t="n">
        <v>232440</v>
      </c>
      <c r="AF3016" t="n">
        <v>238400</v>
      </c>
      <c r="AG3016" t="n">
        <v>28816.6</v>
      </c>
      <c r="AH3016" t="n">
        <v>209583.4</v>
      </c>
      <c r="AI3016" t="n">
        <v>0</v>
      </c>
    </row>
    <row r="3017">
      <c r="A3017" t="inlineStr">
        <is>
          <t>4월</t>
        </is>
      </c>
      <c r="B3017" t="inlineStr">
        <is>
          <t>15주차</t>
        </is>
      </c>
      <c r="C3017" t="inlineStr">
        <is>
          <t>EP</t>
        </is>
      </c>
      <c r="D3017" s="28" t="n">
        <v>46119</v>
      </c>
      <c r="E3017" t="inlineStr">
        <is>
          <t>현대EP_fast</t>
        </is>
      </c>
      <c r="F3017" t="inlineStr">
        <is>
          <t>박신영</t>
        </is>
      </c>
      <c r="G3017" t="inlineStr">
        <is>
          <t>010-3367-0538</t>
        </is>
      </c>
      <c r="H3017" t="inlineStr">
        <is>
          <t>13머4149</t>
        </is>
      </c>
      <c r="I3017" t="n">
        <v>3000000</v>
      </c>
      <c r="J3017" t="n">
        <v>0.102</v>
      </c>
      <c r="K3017" t="n">
        <v>1.76</v>
      </c>
      <c r="L3017" t="n">
        <v>0.2</v>
      </c>
      <c r="M3017" t="n">
        <v>1.56</v>
      </c>
      <c r="P3017" t="inlineStr">
        <is>
          <t>김수연</t>
        </is>
      </c>
      <c r="Q3017" t="inlineStr">
        <is>
          <t>홈서비스 24개월</t>
        </is>
      </c>
      <c r="AB3017" t="inlineStr">
        <is>
          <t>홈서비스</t>
        </is>
      </c>
      <c r="AC3017" t="n">
        <v>52800</v>
      </c>
      <c r="AD3017" t="n">
        <v>6000</v>
      </c>
      <c r="AE3017" t="n">
        <v>46800</v>
      </c>
      <c r="AF3017" t="n">
        <v>48000</v>
      </c>
      <c r="AG3017" t="n">
        <v>5802</v>
      </c>
      <c r="AH3017" t="n">
        <v>42198</v>
      </c>
      <c r="AI3017" t="n">
        <v>0</v>
      </c>
    </row>
    <row r="3018">
      <c r="A3018" t="inlineStr">
        <is>
          <t>4월</t>
        </is>
      </c>
      <c r="B3018" t="inlineStr">
        <is>
          <t>14주차</t>
        </is>
      </c>
      <c r="C3018" t="inlineStr">
        <is>
          <t>EP</t>
        </is>
      </c>
      <c r="D3018" s="28" t="n">
        <v>46116</v>
      </c>
      <c r="E3018" t="inlineStr">
        <is>
          <t>현대EP_fast</t>
        </is>
      </c>
      <c r="F3018" t="inlineStr">
        <is>
          <t>김민석</t>
        </is>
      </c>
      <c r="G3018" t="inlineStr">
        <is>
          <t>010-7494-3124</t>
        </is>
      </c>
      <c r="H3018" t="inlineStr">
        <is>
          <t>22라6851</t>
        </is>
      </c>
      <c r="I3018" t="n">
        <v>26800000</v>
      </c>
      <c r="J3018" t="n">
        <v>0.092</v>
      </c>
      <c r="K3018" t="n">
        <v>1.76</v>
      </c>
      <c r="L3018" t="n">
        <v>0.6</v>
      </c>
      <c r="M3018" t="n">
        <v>1.16</v>
      </c>
      <c r="P3018" t="inlineStr">
        <is>
          <t>임대경</t>
        </is>
      </c>
      <c r="AB3018" t="inlineStr">
        <is>
          <t>엔카</t>
        </is>
      </c>
      <c r="AC3018" t="n">
        <v>471680</v>
      </c>
      <c r="AD3018" t="n">
        <v>160800</v>
      </c>
      <c r="AE3018" t="n">
        <v>310880</v>
      </c>
      <c r="AF3018" t="n">
        <v>428800</v>
      </c>
      <c r="AG3018" t="n">
        <v>155493.6</v>
      </c>
      <c r="AH3018" t="n">
        <v>273306.4</v>
      </c>
      <c r="AI3018" t="n">
        <v>0</v>
      </c>
    </row>
    <row r="3019">
      <c r="A3019" t="inlineStr">
        <is>
          <t>4월</t>
        </is>
      </c>
      <c r="B3019" t="inlineStr">
        <is>
          <t>15주차</t>
        </is>
      </c>
      <c r="C3019" t="inlineStr">
        <is>
          <t>EP</t>
        </is>
      </c>
      <c r="D3019" s="28" t="n">
        <v>46119</v>
      </c>
      <c r="E3019" t="inlineStr">
        <is>
          <t>제이비EP</t>
        </is>
      </c>
      <c r="F3019" t="inlineStr">
        <is>
          <t>지용호</t>
        </is>
      </c>
      <c r="G3019" t="inlineStr">
        <is>
          <t>010-6349-0163</t>
        </is>
      </c>
      <c r="H3019" t="inlineStr">
        <is>
          <t>106보4355</t>
        </is>
      </c>
      <c r="I3019" t="n">
        <v>44000000</v>
      </c>
      <c r="J3019" t="n">
        <v>0.066</v>
      </c>
      <c r="K3019" t="n">
        <v>1.65</v>
      </c>
      <c r="L3019" t="n">
        <v>0.07000000000000001</v>
      </c>
      <c r="M3019" t="n">
        <v>1.58</v>
      </c>
      <c r="P3019" t="inlineStr">
        <is>
          <t>박소현</t>
        </is>
      </c>
      <c r="Q3019" t="inlineStr">
        <is>
          <t>선상담/홈서비스60개월/현대 9.2%</t>
        </is>
      </c>
      <c r="AB3019" t="inlineStr">
        <is>
          <t>홈서비스</t>
        </is>
      </c>
      <c r="AC3019" t="n">
        <v>726000</v>
      </c>
      <c r="AD3019" t="n">
        <v>30800</v>
      </c>
      <c r="AE3019" t="n">
        <v>695200</v>
      </c>
      <c r="AF3019" t="n">
        <v>660000</v>
      </c>
      <c r="AG3019" t="n">
        <v>29783.6</v>
      </c>
      <c r="AH3019" t="n">
        <v>630216.4</v>
      </c>
      <c r="AI3019" t="n">
        <v>0</v>
      </c>
    </row>
    <row r="3020">
      <c r="A3020" t="inlineStr">
        <is>
          <t>4월</t>
        </is>
      </c>
      <c r="B3020" t="inlineStr">
        <is>
          <t>15주차</t>
        </is>
      </c>
      <c r="C3020" t="inlineStr">
        <is>
          <t>IM</t>
        </is>
      </c>
      <c r="D3020" s="28" t="n">
        <v>46118</v>
      </c>
      <c r="E3020" t="inlineStr">
        <is>
          <t>IM캐피탈</t>
        </is>
      </c>
      <c r="F3020" t="inlineStr">
        <is>
          <t>윤수진</t>
        </is>
      </c>
      <c r="G3020" t="inlineStr">
        <is>
          <t>010-4659-5101</t>
        </is>
      </c>
      <c r="H3020" t="inlineStr">
        <is>
          <t>242라2824</t>
        </is>
      </c>
      <c r="I3020" t="n">
        <v>35000000</v>
      </c>
      <c r="J3020" t="n">
        <v>0.049</v>
      </c>
      <c r="K3020" t="n">
        <v>1.1</v>
      </c>
      <c r="L3020" t="n">
        <v>0.3</v>
      </c>
      <c r="M3020" t="n">
        <v>0.8</v>
      </c>
      <c r="P3020" t="inlineStr">
        <is>
          <t>박보람</t>
        </is>
      </c>
      <c r="Q3020" t="inlineStr">
        <is>
          <t>현대 8.2%  / 공동명의</t>
        </is>
      </c>
      <c r="AB3020" t="inlineStr">
        <is>
          <t>엔카</t>
        </is>
      </c>
      <c r="AC3020" t="n">
        <v>385000</v>
      </c>
      <c r="AD3020" t="n">
        <v>105000</v>
      </c>
      <c r="AE3020" t="n">
        <v>280000</v>
      </c>
      <c r="AF3020" t="n">
        <v>350000</v>
      </c>
      <c r="AG3020" t="n">
        <v>101535</v>
      </c>
      <c r="AH3020" t="n">
        <v>248465</v>
      </c>
      <c r="AI3020" t="n">
        <v>0</v>
      </c>
    </row>
    <row r="3021">
      <c r="A3021" t="inlineStr">
        <is>
          <t>4월</t>
        </is>
      </c>
      <c r="B3021" t="inlineStr">
        <is>
          <t>14주차</t>
        </is>
      </c>
      <c r="C3021" t="inlineStr">
        <is>
          <t>IM</t>
        </is>
      </c>
      <c r="D3021" s="28" t="n">
        <v>46116</v>
      </c>
      <c r="E3021" t="inlineStr">
        <is>
          <t>IM캐피탈</t>
        </is>
      </c>
      <c r="F3021" t="inlineStr">
        <is>
          <t>장미선</t>
        </is>
      </c>
      <c r="G3021" t="inlineStr">
        <is>
          <t>010-5796-4407</t>
        </is>
      </c>
      <c r="H3021" t="inlineStr">
        <is>
          <t>177도3021</t>
        </is>
      </c>
      <c r="I3021" t="n">
        <v>24200000</v>
      </c>
      <c r="J3021" t="n">
        <v>0.049</v>
      </c>
      <c r="K3021" t="n">
        <v>1.1</v>
      </c>
      <c r="L3021" t="n">
        <v>0.3</v>
      </c>
      <c r="M3021" t="n">
        <v>0.8</v>
      </c>
      <c r="P3021" t="inlineStr">
        <is>
          <t>정하은</t>
        </is>
      </c>
      <c r="Q3021" t="inlineStr">
        <is>
          <t>부대비용추가진행/ 현대 8.6%</t>
        </is>
      </c>
      <c r="AB3021" t="inlineStr">
        <is>
          <t>엔카</t>
        </is>
      </c>
      <c r="AC3021" t="n">
        <v>266200</v>
      </c>
      <c r="AD3021" t="n">
        <v>72600</v>
      </c>
      <c r="AE3021" t="n">
        <v>193600</v>
      </c>
      <c r="AF3021" t="n">
        <v>242000</v>
      </c>
      <c r="AG3021" t="n">
        <v>70204.2</v>
      </c>
      <c r="AH3021" t="n">
        <v>171795.8</v>
      </c>
      <c r="AI3021" t="n">
        <v>0</v>
      </c>
    </row>
    <row r="3022">
      <c r="A3022" t="inlineStr">
        <is>
          <t>4월</t>
        </is>
      </c>
      <c r="B3022" t="inlineStr">
        <is>
          <t>15주차</t>
        </is>
      </c>
      <c r="C3022" t="inlineStr">
        <is>
          <t>EP</t>
        </is>
      </c>
      <c r="D3022" s="28" t="n">
        <v>46118</v>
      </c>
      <c r="E3022" t="inlineStr">
        <is>
          <t>현대EP_fast</t>
        </is>
      </c>
      <c r="F3022" t="inlineStr">
        <is>
          <t>최정호</t>
        </is>
      </c>
      <c r="G3022" t="inlineStr">
        <is>
          <t>010-6221-8148</t>
        </is>
      </c>
      <c r="H3022" t="inlineStr">
        <is>
          <t>114마4959</t>
        </is>
      </c>
      <c r="I3022" t="n">
        <v>58000000</v>
      </c>
      <c r="J3022" t="n">
        <v>0.079</v>
      </c>
      <c r="K3022" t="n">
        <v>1.76</v>
      </c>
      <c r="L3022" t="n">
        <v>0.6</v>
      </c>
      <c r="M3022" t="n">
        <v>1.16</v>
      </c>
      <c r="P3022" t="inlineStr">
        <is>
          <t>정하은</t>
        </is>
      </c>
      <c r="AB3022" t="inlineStr">
        <is>
          <t>엔카</t>
        </is>
      </c>
      <c r="AC3022" t="n">
        <v>1020800</v>
      </c>
      <c r="AD3022" t="n">
        <v>348000</v>
      </c>
      <c r="AE3022" t="n">
        <v>672800</v>
      </c>
      <c r="AF3022" t="n">
        <v>928000</v>
      </c>
      <c r="AG3022" t="n">
        <v>336516</v>
      </c>
      <c r="AH3022" t="n">
        <v>591484</v>
      </c>
      <c r="AI3022" t="n">
        <v>0</v>
      </c>
    </row>
    <row r="3023">
      <c r="A3023" t="inlineStr">
        <is>
          <t>4월</t>
        </is>
      </c>
      <c r="B3023" t="inlineStr">
        <is>
          <t>15주차</t>
        </is>
      </c>
      <c r="C3023" t="inlineStr">
        <is>
          <t>EP</t>
        </is>
      </c>
      <c r="D3023" s="28" t="n">
        <v>46119</v>
      </c>
      <c r="E3023" t="inlineStr">
        <is>
          <t>현대EP_fast</t>
        </is>
      </c>
      <c r="F3023" t="inlineStr">
        <is>
          <t>이연호</t>
        </is>
      </c>
      <c r="G3023" t="inlineStr">
        <is>
          <t>010-7501-1750</t>
        </is>
      </c>
      <c r="H3023" t="inlineStr">
        <is>
          <t>279머7200</t>
        </is>
      </c>
      <c r="I3023" t="n">
        <v>16500000</v>
      </c>
      <c r="J3023" t="n">
        <v>0.105</v>
      </c>
      <c r="K3023" t="n">
        <v>1.76</v>
      </c>
      <c r="L3023" t="n">
        <v>0.6</v>
      </c>
      <c r="M3023" t="n">
        <v>1.16</v>
      </c>
      <c r="P3023" t="inlineStr">
        <is>
          <t>정하은</t>
        </is>
      </c>
      <c r="Q3023" t="inlineStr">
        <is>
          <t>고객주도체결</t>
        </is>
      </c>
      <c r="AB3023" t="inlineStr">
        <is>
          <t>엔카</t>
        </is>
      </c>
      <c r="AC3023" t="n">
        <v>290400</v>
      </c>
      <c r="AD3023" t="n">
        <v>99000</v>
      </c>
      <c r="AE3023" t="n">
        <v>191400</v>
      </c>
      <c r="AF3023" t="n">
        <v>264000</v>
      </c>
      <c r="AG3023" t="n">
        <v>95733</v>
      </c>
      <c r="AH3023" t="n">
        <v>168267</v>
      </c>
    </row>
    <row r="3024">
      <c r="A3024" t="inlineStr">
        <is>
          <t>4월</t>
        </is>
      </c>
      <c r="B3024" t="inlineStr">
        <is>
          <t>15주차</t>
        </is>
      </c>
      <c r="C3024" t="inlineStr">
        <is>
          <t>EP</t>
        </is>
      </c>
      <c r="D3024" s="28" t="n">
        <v>46119</v>
      </c>
      <c r="E3024" t="inlineStr">
        <is>
          <t>현대EP_fast</t>
        </is>
      </c>
      <c r="F3024" t="inlineStr">
        <is>
          <t>김태현</t>
        </is>
      </c>
      <c r="G3024" t="inlineStr">
        <is>
          <t>010-9022-5586</t>
        </is>
      </c>
      <c r="H3024" t="inlineStr">
        <is>
          <t>06저4311</t>
        </is>
      </c>
      <c r="I3024" t="n">
        <v>9000000</v>
      </c>
      <c r="J3024" t="n">
        <v>0.119</v>
      </c>
      <c r="K3024" t="n">
        <v>1.76</v>
      </c>
      <c r="L3024" t="n">
        <v>0.2</v>
      </c>
      <c r="M3024" t="n">
        <v>1.56</v>
      </c>
      <c r="P3024" t="inlineStr">
        <is>
          <t>김나윤</t>
        </is>
      </c>
      <c r="Q3024" t="inlineStr">
        <is>
          <t>홈서비스 36개월</t>
        </is>
      </c>
      <c r="AB3024" t="inlineStr">
        <is>
          <t>홈서비스</t>
        </is>
      </c>
      <c r="AC3024" t="n">
        <v>158400</v>
      </c>
      <c r="AD3024" t="n">
        <v>18000</v>
      </c>
      <c r="AE3024" t="n">
        <v>140400</v>
      </c>
      <c r="AF3024" t="n">
        <v>144000</v>
      </c>
      <c r="AG3024" t="n">
        <v>17406</v>
      </c>
      <c r="AH3024" t="n">
        <v>126594</v>
      </c>
      <c r="AI3024" t="n">
        <v>0</v>
      </c>
    </row>
    <row r="3025">
      <c r="A3025" t="inlineStr">
        <is>
          <t>4월</t>
        </is>
      </c>
      <c r="B3025" t="inlineStr">
        <is>
          <t>15주차</t>
        </is>
      </c>
      <c r="C3025" t="inlineStr">
        <is>
          <t>IM</t>
        </is>
      </c>
      <c r="D3025" s="28" t="n">
        <v>46119</v>
      </c>
      <c r="E3025" t="inlineStr">
        <is>
          <t>IM캐피탈</t>
        </is>
      </c>
      <c r="F3025" t="inlineStr">
        <is>
          <t>이동욱</t>
        </is>
      </c>
      <c r="G3025" t="inlineStr">
        <is>
          <t>010-9486-2598</t>
        </is>
      </c>
      <c r="H3025" t="inlineStr">
        <is>
          <t>377마9260</t>
        </is>
      </c>
      <c r="I3025" t="n">
        <v>20000000</v>
      </c>
      <c r="J3025" t="n">
        <v>0.049</v>
      </c>
      <c r="K3025" t="n">
        <v>1.1</v>
      </c>
      <c r="L3025" t="n">
        <v>0.07000000000000001</v>
      </c>
      <c r="M3025" t="n">
        <v>1.03</v>
      </c>
      <c r="P3025" t="inlineStr">
        <is>
          <t>김수연</t>
        </is>
      </c>
      <c r="Q3025" t="inlineStr">
        <is>
          <t>홈서비스 36개월</t>
        </is>
      </c>
      <c r="AB3025" t="inlineStr">
        <is>
          <t>홈서비스</t>
        </is>
      </c>
      <c r="AC3025" t="n">
        <v>220000</v>
      </c>
      <c r="AD3025" t="n">
        <v>14000</v>
      </c>
      <c r="AE3025" t="n">
        <v>206000</v>
      </c>
      <c r="AF3025" t="n">
        <v>200000</v>
      </c>
      <c r="AG3025" t="n">
        <v>13538</v>
      </c>
      <c r="AH3025" t="n">
        <v>186462</v>
      </c>
      <c r="AI3025" t="n">
        <v>0</v>
      </c>
    </row>
    <row r="3026">
      <c r="A3026" t="inlineStr">
        <is>
          <t>4월</t>
        </is>
      </c>
      <c r="B3026" t="inlineStr">
        <is>
          <t>15주차</t>
        </is>
      </c>
      <c r="C3026" t="inlineStr">
        <is>
          <t>EP</t>
        </is>
      </c>
      <c r="D3026" s="28" t="n">
        <v>46119</v>
      </c>
      <c r="E3026" t="inlineStr">
        <is>
          <t>현대EP_fast</t>
        </is>
      </c>
      <c r="F3026" t="inlineStr">
        <is>
          <t>노광희</t>
        </is>
      </c>
      <c r="G3026" t="inlineStr">
        <is>
          <t>010-8859-0198</t>
        </is>
      </c>
      <c r="H3026" t="inlineStr">
        <is>
          <t>67부7758</t>
        </is>
      </c>
      <c r="I3026" t="n">
        <v>12500000</v>
      </c>
      <c r="J3026" t="n">
        <v>0.092</v>
      </c>
      <c r="K3026" t="n">
        <v>1.76</v>
      </c>
      <c r="L3026" t="n">
        <v>0.2</v>
      </c>
      <c r="M3026" t="n">
        <v>1.56</v>
      </c>
      <c r="P3026" t="inlineStr">
        <is>
          <t>김나윤</t>
        </is>
      </c>
      <c r="Q3026" t="inlineStr">
        <is>
          <t>홈서비스 60개월</t>
        </is>
      </c>
      <c r="AB3026" t="inlineStr">
        <is>
          <t>홈서비스</t>
        </is>
      </c>
      <c r="AC3026" t="n">
        <v>220000</v>
      </c>
      <c r="AD3026" t="n">
        <v>25000</v>
      </c>
      <c r="AE3026" t="n">
        <v>195000</v>
      </c>
      <c r="AF3026" t="n">
        <v>200000</v>
      </c>
      <c r="AG3026" t="n">
        <v>24175</v>
      </c>
      <c r="AH3026" t="n">
        <v>175825</v>
      </c>
    </row>
    <row r="3027">
      <c r="A3027" t="inlineStr">
        <is>
          <t>4월</t>
        </is>
      </c>
      <c r="B3027" t="inlineStr">
        <is>
          <t>14주차</t>
        </is>
      </c>
      <c r="C3027" t="inlineStr">
        <is>
          <t>EP</t>
        </is>
      </c>
      <c r="D3027" s="28" t="n">
        <v>46114</v>
      </c>
      <c r="E3027" t="inlineStr">
        <is>
          <t>제이비EP</t>
        </is>
      </c>
      <c r="F3027" t="inlineStr">
        <is>
          <t>정경훈</t>
        </is>
      </c>
      <c r="G3027" t="inlineStr">
        <is>
          <t>010-4441-6314</t>
        </is>
      </c>
      <c r="H3027" t="inlineStr">
        <is>
          <t>332서6351</t>
        </is>
      </c>
      <c r="I3027" t="n">
        <v>-16200000</v>
      </c>
      <c r="J3027" t="n">
        <v>0.079</v>
      </c>
      <c r="K3027" t="n">
        <v>1.65</v>
      </c>
      <c r="L3027" t="n">
        <v>0.07000000000000001</v>
      </c>
      <c r="M3027" t="n">
        <v>1.58</v>
      </c>
      <c r="P3027" t="inlineStr">
        <is>
          <t>정광호</t>
        </is>
      </c>
      <c r="Q3027" t="inlineStr">
        <is>
          <t>홈서비스 60개월</t>
        </is>
      </c>
      <c r="AB3027" t="inlineStr">
        <is>
          <t>홈서비스</t>
        </is>
      </c>
      <c r="AC3027" t="n">
        <v>-267300</v>
      </c>
      <c r="AD3027" t="n">
        <v>-11340</v>
      </c>
      <c r="AE3027" t="n">
        <v>-255960</v>
      </c>
      <c r="AF3027" t="n">
        <v>-243000</v>
      </c>
      <c r="AG3027" t="n">
        <v>-10965.78</v>
      </c>
      <c r="AH3027" t="n">
        <v>-232034.22</v>
      </c>
    </row>
    <row r="3028">
      <c r="A3028" t="inlineStr">
        <is>
          <t>4월</t>
        </is>
      </c>
      <c r="B3028" t="inlineStr">
        <is>
          <t>15주차</t>
        </is>
      </c>
      <c r="C3028" t="inlineStr">
        <is>
          <t>IM</t>
        </is>
      </c>
      <c r="D3028" s="28" t="n">
        <v>46118</v>
      </c>
      <c r="E3028" t="inlineStr">
        <is>
          <t>IM캐피탈</t>
        </is>
      </c>
      <c r="F3028" t="inlineStr">
        <is>
          <t>권 준</t>
        </is>
      </c>
      <c r="G3028" t="inlineStr">
        <is>
          <t>010-7147-7209</t>
        </is>
      </c>
      <c r="H3028" t="inlineStr">
        <is>
          <t>35어0909</t>
        </is>
      </c>
      <c r="I3028" t="n">
        <v>10000000</v>
      </c>
      <c r="J3028" t="n">
        <v>0.049</v>
      </c>
      <c r="K3028" t="n">
        <v>1.1</v>
      </c>
      <c r="L3028" t="n">
        <v>0.3</v>
      </c>
      <c r="M3028" t="n">
        <v>0.8</v>
      </c>
      <c r="P3028" t="inlineStr">
        <is>
          <t>박보람</t>
        </is>
      </c>
      <c r="Q3028" t="inlineStr">
        <is>
          <t>현대7.1%</t>
        </is>
      </c>
      <c r="AB3028" t="inlineStr">
        <is>
          <t>엔카</t>
        </is>
      </c>
      <c r="AC3028" t="n">
        <v>110000</v>
      </c>
      <c r="AD3028" t="n">
        <v>30000</v>
      </c>
      <c r="AE3028" t="n">
        <v>80000</v>
      </c>
      <c r="AF3028" t="n">
        <v>100000</v>
      </c>
      <c r="AG3028" t="n">
        <v>29010</v>
      </c>
      <c r="AH3028" t="n">
        <v>70990</v>
      </c>
      <c r="AI3028" t="n">
        <v>0</v>
      </c>
    </row>
    <row r="3029">
      <c r="A3029" t="inlineStr">
        <is>
          <t>4월</t>
        </is>
      </c>
      <c r="B3029" t="inlineStr">
        <is>
          <t>15주차</t>
        </is>
      </c>
      <c r="C3029" t="inlineStr">
        <is>
          <t>EP</t>
        </is>
      </c>
      <c r="D3029" s="28" t="n">
        <v>46118</v>
      </c>
      <c r="E3029" t="inlineStr">
        <is>
          <t>BNKEP</t>
        </is>
      </c>
      <c r="F3029" t="inlineStr">
        <is>
          <t>금중엽</t>
        </is>
      </c>
      <c r="G3029" t="inlineStr">
        <is>
          <t>010-5088-4530</t>
        </is>
      </c>
      <c r="H3029" t="inlineStr">
        <is>
          <t>40구1160</t>
        </is>
      </c>
      <c r="I3029" t="n">
        <v>15000000</v>
      </c>
      <c r="J3029" t="n">
        <v>0.061</v>
      </c>
      <c r="K3029" t="n">
        <v>1.65</v>
      </c>
      <c r="L3029" t="n">
        <v>0.3</v>
      </c>
      <c r="M3029" t="n">
        <v>1.35</v>
      </c>
      <c r="P3029" t="inlineStr">
        <is>
          <t>장현경</t>
        </is>
      </c>
      <c r="AB3029" t="inlineStr">
        <is>
          <t>엔카</t>
        </is>
      </c>
      <c r="AC3029" t="n">
        <v>247500</v>
      </c>
      <c r="AD3029" t="n">
        <v>45000</v>
      </c>
      <c r="AE3029" t="n">
        <v>202500</v>
      </c>
      <c r="AF3029" t="n">
        <v>225000</v>
      </c>
      <c r="AG3029" t="n">
        <v>43515</v>
      </c>
      <c r="AH3029" t="n">
        <v>181485</v>
      </c>
    </row>
    <row r="3030">
      <c r="A3030" t="inlineStr">
        <is>
          <t>4월</t>
        </is>
      </c>
      <c r="B3030" t="inlineStr">
        <is>
          <t>15주차</t>
        </is>
      </c>
      <c r="C3030" t="inlineStr">
        <is>
          <t>EP</t>
        </is>
      </c>
      <c r="D3030" s="28" t="n">
        <v>46118</v>
      </c>
      <c r="E3030" t="inlineStr">
        <is>
          <t>현대EP</t>
        </is>
      </c>
      <c r="F3030" t="inlineStr">
        <is>
          <t>이상윤</t>
        </is>
      </c>
      <c r="G3030" t="inlineStr">
        <is>
          <t>010-3428-3444</t>
        </is>
      </c>
      <c r="H3030" t="inlineStr">
        <is>
          <t>115오8009</t>
        </is>
      </c>
      <c r="I3030" t="n">
        <v>28500000</v>
      </c>
      <c r="J3030" t="n">
        <v>0.077</v>
      </c>
      <c r="K3030" t="n">
        <v>1.76</v>
      </c>
      <c r="L3030" t="n">
        <v>0.2</v>
      </c>
      <c r="M3030" t="n">
        <v>1.56</v>
      </c>
      <c r="P3030" t="inlineStr">
        <is>
          <t>정세빈</t>
        </is>
      </c>
      <c r="Q3030" t="inlineStr">
        <is>
          <t>홈서비스 60개월</t>
        </is>
      </c>
      <c r="AB3030" t="inlineStr">
        <is>
          <t>홈서비스</t>
        </is>
      </c>
      <c r="AC3030" t="n">
        <v>501600</v>
      </c>
      <c r="AD3030" t="n">
        <v>57000</v>
      </c>
      <c r="AE3030" t="n">
        <v>444600</v>
      </c>
      <c r="AF3030" t="n">
        <v>456000</v>
      </c>
      <c r="AG3030" t="n">
        <v>55119</v>
      </c>
      <c r="AH3030" t="n">
        <v>400881</v>
      </c>
      <c r="AI3030" t="n">
        <v>0</v>
      </c>
    </row>
    <row r="3031">
      <c r="A3031" t="inlineStr">
        <is>
          <t>4월</t>
        </is>
      </c>
      <c r="B3031" t="inlineStr">
        <is>
          <t>15주차</t>
        </is>
      </c>
      <c r="C3031" t="inlineStr">
        <is>
          <t>EP</t>
        </is>
      </c>
      <c r="D3031" s="28" t="n">
        <v>46119</v>
      </c>
      <c r="E3031" t="inlineStr">
        <is>
          <t>현대EP</t>
        </is>
      </c>
      <c r="F3031" t="inlineStr">
        <is>
          <t>김주성</t>
        </is>
      </c>
      <c r="G3031" t="inlineStr">
        <is>
          <t>010-8798-1971</t>
        </is>
      </c>
      <c r="H3031" t="inlineStr">
        <is>
          <t>30너8683</t>
        </is>
      </c>
      <c r="I3031" t="n">
        <v>9900000</v>
      </c>
      <c r="J3031" t="n">
        <v>0.07099999999999999</v>
      </c>
      <c r="K3031" t="n">
        <v>1.76</v>
      </c>
      <c r="L3031" t="n">
        <v>0.2</v>
      </c>
      <c r="M3031" t="n">
        <v>1.56</v>
      </c>
      <c r="P3031" t="inlineStr">
        <is>
          <t>김나윤</t>
        </is>
      </c>
      <c r="Q3031" t="inlineStr">
        <is>
          <t>홈서비스 36개월</t>
        </is>
      </c>
      <c r="AB3031" t="inlineStr">
        <is>
          <t>홈서비스</t>
        </is>
      </c>
      <c r="AC3031" t="n">
        <v>174240</v>
      </c>
      <c r="AD3031" t="n">
        <v>19800</v>
      </c>
      <c r="AE3031" t="n">
        <v>154440</v>
      </c>
      <c r="AF3031" t="n">
        <v>158400</v>
      </c>
      <c r="AG3031" t="n">
        <v>19146.6</v>
      </c>
      <c r="AH3031" t="n">
        <v>139253.4</v>
      </c>
      <c r="AI3031" t="n">
        <v>0</v>
      </c>
    </row>
    <row r="3032">
      <c r="A3032" t="inlineStr">
        <is>
          <t>4월</t>
        </is>
      </c>
      <c r="B3032" t="inlineStr">
        <is>
          <t>15주차</t>
        </is>
      </c>
      <c r="C3032" t="inlineStr">
        <is>
          <t>EP</t>
        </is>
      </c>
      <c r="D3032" s="28" t="n">
        <v>46119</v>
      </c>
      <c r="E3032" t="inlineStr">
        <is>
          <t>현대EP_fast</t>
        </is>
      </c>
      <c r="F3032" t="inlineStr">
        <is>
          <t>양정수</t>
        </is>
      </c>
      <c r="G3032" t="inlineStr">
        <is>
          <t>010-4687-4245</t>
        </is>
      </c>
      <c r="H3032" t="inlineStr">
        <is>
          <t>138나4646</t>
        </is>
      </c>
      <c r="I3032" t="n">
        <v>50000000</v>
      </c>
      <c r="J3032" t="n">
        <v>0.105</v>
      </c>
      <c r="K3032" t="n">
        <v>1.76</v>
      </c>
      <c r="L3032" t="n">
        <v>0.2</v>
      </c>
      <c r="M3032" t="n">
        <v>1.56</v>
      </c>
      <c r="P3032" t="inlineStr">
        <is>
          <t>최형주</t>
        </is>
      </c>
      <c r="Q3032" t="inlineStr">
        <is>
          <t>홈서비스 60개월</t>
        </is>
      </c>
      <c r="AB3032" t="inlineStr">
        <is>
          <t>홈서비스</t>
        </is>
      </c>
      <c r="AC3032" t="n">
        <v>880000</v>
      </c>
      <c r="AD3032" t="n">
        <v>100000</v>
      </c>
      <c r="AE3032" t="n">
        <v>780000</v>
      </c>
      <c r="AF3032" t="n">
        <v>800000</v>
      </c>
      <c r="AG3032" t="n">
        <v>96700</v>
      </c>
      <c r="AH3032" t="n">
        <v>703300</v>
      </c>
      <c r="AI3032" t="n">
        <v>0</v>
      </c>
    </row>
    <row r="3033">
      <c r="A3033" t="inlineStr">
        <is>
          <t>4월</t>
        </is>
      </c>
      <c r="B3033" t="inlineStr">
        <is>
          <t>15주차</t>
        </is>
      </c>
      <c r="C3033" t="inlineStr">
        <is>
          <t>EP</t>
        </is>
      </c>
      <c r="D3033" s="28" t="n">
        <v>46119</v>
      </c>
      <c r="E3033" t="inlineStr">
        <is>
          <t>현대EP_fast</t>
        </is>
      </c>
      <c r="F3033" t="inlineStr">
        <is>
          <t>유미선</t>
        </is>
      </c>
      <c r="G3033" t="inlineStr">
        <is>
          <t>010-2211-9685</t>
        </is>
      </c>
      <c r="H3033" t="inlineStr">
        <is>
          <t>119다7535</t>
        </is>
      </c>
      <c r="I3033" t="n">
        <v>7000000</v>
      </c>
      <c r="J3033" t="n">
        <v>0.07099999999999999</v>
      </c>
      <c r="K3033" t="n">
        <v>1.76</v>
      </c>
      <c r="L3033" t="n">
        <v>0.2</v>
      </c>
      <c r="M3033" t="n">
        <v>1.56</v>
      </c>
      <c r="P3033" t="inlineStr">
        <is>
          <t>최형주</t>
        </is>
      </c>
      <c r="Q3033" t="inlineStr">
        <is>
          <t>홈서비스 36개월</t>
        </is>
      </c>
      <c r="AB3033" t="inlineStr">
        <is>
          <t>홈서비스</t>
        </is>
      </c>
      <c r="AC3033" t="n">
        <v>123200</v>
      </c>
      <c r="AD3033" t="n">
        <v>14000</v>
      </c>
      <c r="AE3033" t="n">
        <v>109200</v>
      </c>
      <c r="AF3033" t="n">
        <v>112000</v>
      </c>
      <c r="AG3033" t="n">
        <v>13538</v>
      </c>
      <c r="AH3033" t="n">
        <v>98462</v>
      </c>
      <c r="AI3033" t="n">
        <v>0</v>
      </c>
    </row>
    <row r="3034">
      <c r="A3034" t="inlineStr">
        <is>
          <t>4월</t>
        </is>
      </c>
      <c r="B3034" t="inlineStr">
        <is>
          <t>15주차</t>
        </is>
      </c>
      <c r="C3034" t="inlineStr">
        <is>
          <t>EP</t>
        </is>
      </c>
      <c r="D3034" s="28" t="n">
        <v>46119</v>
      </c>
      <c r="E3034" t="inlineStr">
        <is>
          <t>현대EP_fast</t>
        </is>
      </c>
      <c r="F3034" t="inlineStr">
        <is>
          <t>김대현</t>
        </is>
      </c>
      <c r="G3034" t="inlineStr">
        <is>
          <t>010-7684-1300</t>
        </is>
      </c>
      <c r="H3034" t="inlineStr">
        <is>
          <t>12다0917</t>
        </is>
      </c>
      <c r="I3034" t="n">
        <v>7900000</v>
      </c>
      <c r="J3034" t="n">
        <v>0.14</v>
      </c>
      <c r="K3034" t="n">
        <v>1.76</v>
      </c>
      <c r="L3034" t="n">
        <v>0.2</v>
      </c>
      <c r="M3034" t="n">
        <v>1.56</v>
      </c>
      <c r="P3034" t="inlineStr">
        <is>
          <t>정세빈</t>
        </is>
      </c>
      <c r="Q3034" t="inlineStr">
        <is>
          <t>홈서비스 36개월</t>
        </is>
      </c>
      <c r="AB3034" t="inlineStr">
        <is>
          <t>홈서비스</t>
        </is>
      </c>
      <c r="AC3034" t="n">
        <v>139040</v>
      </c>
      <c r="AD3034" t="n">
        <v>15800</v>
      </c>
      <c r="AE3034" t="n">
        <v>123240</v>
      </c>
      <c r="AF3034" t="n">
        <v>126400</v>
      </c>
      <c r="AG3034" t="n">
        <v>15278.6</v>
      </c>
      <c r="AH3034" t="n">
        <v>111121.4</v>
      </c>
      <c r="AI3034" t="n">
        <v>0</v>
      </c>
    </row>
    <row r="3035">
      <c r="A3035" t="inlineStr">
        <is>
          <t>4월</t>
        </is>
      </c>
      <c r="B3035" t="inlineStr">
        <is>
          <t>15주차</t>
        </is>
      </c>
      <c r="C3035" t="inlineStr">
        <is>
          <t>EP</t>
        </is>
      </c>
      <c r="D3035" s="28" t="n">
        <v>46119</v>
      </c>
      <c r="E3035" t="inlineStr">
        <is>
          <t>현대EP_fast</t>
        </is>
      </c>
      <c r="F3035" t="inlineStr">
        <is>
          <t>양재모</t>
        </is>
      </c>
      <c r="G3035" t="inlineStr">
        <is>
          <t>010-9308-0267</t>
        </is>
      </c>
      <c r="H3035" t="inlineStr">
        <is>
          <t>189우5665</t>
        </is>
      </c>
      <c r="I3035" t="n">
        <v>10300000</v>
      </c>
      <c r="J3035" t="n">
        <v>0.119</v>
      </c>
      <c r="K3035" t="n">
        <v>1.76</v>
      </c>
      <c r="L3035" t="n">
        <v>0.2</v>
      </c>
      <c r="M3035" t="n">
        <v>1.56</v>
      </c>
      <c r="P3035" t="inlineStr">
        <is>
          <t>정광호</t>
        </is>
      </c>
      <c r="Q3035" t="inlineStr">
        <is>
          <t>홈서비스 36개월</t>
        </is>
      </c>
      <c r="AB3035" t="inlineStr">
        <is>
          <t>홈서비스</t>
        </is>
      </c>
      <c r="AC3035" t="n">
        <v>181280</v>
      </c>
      <c r="AD3035" t="n">
        <v>20600</v>
      </c>
      <c r="AE3035" t="n">
        <v>160680</v>
      </c>
      <c r="AF3035" t="n">
        <v>164800</v>
      </c>
      <c r="AG3035" t="n">
        <v>19920.2</v>
      </c>
      <c r="AH3035" t="n">
        <v>144879.8</v>
      </c>
    </row>
    <row r="3036">
      <c r="A3036" t="inlineStr">
        <is>
          <t>4월</t>
        </is>
      </c>
      <c r="B3036" t="inlineStr">
        <is>
          <t>15주차</t>
        </is>
      </c>
      <c r="C3036" t="inlineStr">
        <is>
          <t>EP</t>
        </is>
      </c>
      <c r="D3036" s="28" t="n">
        <v>46119</v>
      </c>
      <c r="E3036" t="inlineStr">
        <is>
          <t>현대EP_fast</t>
        </is>
      </c>
      <c r="F3036" t="inlineStr">
        <is>
          <t>배경희</t>
        </is>
      </c>
      <c r="G3036" t="inlineStr">
        <is>
          <t>010-4128-8872</t>
        </is>
      </c>
      <c r="H3036" t="inlineStr">
        <is>
          <t>140어9673</t>
        </is>
      </c>
      <c r="I3036" t="n">
        <v>35400000</v>
      </c>
      <c r="J3036" t="n">
        <v>0.092</v>
      </c>
      <c r="K3036" t="n">
        <v>1.76</v>
      </c>
      <c r="L3036" t="n">
        <v>0.2</v>
      </c>
      <c r="M3036" t="n">
        <v>1.56</v>
      </c>
      <c r="P3036" t="inlineStr">
        <is>
          <t>김수연</t>
        </is>
      </c>
      <c r="Q3036" t="inlineStr">
        <is>
          <t>홈서비스 48개월</t>
        </is>
      </c>
      <c r="AB3036" t="inlineStr">
        <is>
          <t>홈서비스</t>
        </is>
      </c>
      <c r="AC3036" t="n">
        <v>623040</v>
      </c>
      <c r="AD3036" t="n">
        <v>70800</v>
      </c>
      <c r="AE3036" t="n">
        <v>552240</v>
      </c>
      <c r="AF3036" t="n">
        <v>566400</v>
      </c>
      <c r="AG3036" t="n">
        <v>68463.60000000001</v>
      </c>
      <c r="AH3036" t="n">
        <v>497936.4</v>
      </c>
      <c r="AI3036" t="n">
        <v>0</v>
      </c>
    </row>
    <row r="3037">
      <c r="A3037" t="inlineStr">
        <is>
          <t>4월</t>
        </is>
      </c>
      <c r="B3037" t="inlineStr">
        <is>
          <t>15주차</t>
        </is>
      </c>
      <c r="C3037" t="inlineStr">
        <is>
          <t>EP</t>
        </is>
      </c>
      <c r="D3037" s="28" t="n">
        <v>46119</v>
      </c>
      <c r="E3037" t="inlineStr">
        <is>
          <t>현대EP</t>
        </is>
      </c>
      <c r="F3037" t="inlineStr">
        <is>
          <t>변용은</t>
        </is>
      </c>
      <c r="G3037" t="inlineStr">
        <is>
          <t>010-4136-7320</t>
        </is>
      </c>
      <c r="H3037" t="inlineStr">
        <is>
          <t>235주8284</t>
        </is>
      </c>
      <c r="I3037" t="n">
        <v>28000000</v>
      </c>
      <c r="J3037" t="n">
        <v>0.07099999999999999</v>
      </c>
      <c r="K3037" t="n">
        <v>1.76</v>
      </c>
      <c r="L3037" t="n">
        <v>0.2</v>
      </c>
      <c r="M3037" t="n">
        <v>1.56</v>
      </c>
      <c r="P3037" t="inlineStr">
        <is>
          <t>정세빈</t>
        </is>
      </c>
      <c r="Q3037" t="inlineStr">
        <is>
          <t>홈서비스 60개월</t>
        </is>
      </c>
      <c r="AB3037" t="inlineStr">
        <is>
          <t>홈서비스</t>
        </is>
      </c>
      <c r="AC3037" t="n">
        <v>492800</v>
      </c>
      <c r="AD3037" t="n">
        <v>56000</v>
      </c>
      <c r="AE3037" t="n">
        <v>436800</v>
      </c>
      <c r="AF3037" t="n">
        <v>448000</v>
      </c>
      <c r="AG3037" t="n">
        <v>54152</v>
      </c>
      <c r="AH3037" t="n">
        <v>393848</v>
      </c>
      <c r="AI3037" t="n">
        <v>0</v>
      </c>
    </row>
    <row r="3038">
      <c r="A3038" t="inlineStr">
        <is>
          <t>4월</t>
        </is>
      </c>
      <c r="B3038" t="inlineStr">
        <is>
          <t>15주차</t>
        </is>
      </c>
      <c r="C3038" t="inlineStr">
        <is>
          <t>EP</t>
        </is>
      </c>
      <c r="D3038" s="28" t="n">
        <v>46119</v>
      </c>
      <c r="E3038" t="inlineStr">
        <is>
          <t>현대EP</t>
        </is>
      </c>
      <c r="F3038" t="inlineStr">
        <is>
          <t>김호열</t>
        </is>
      </c>
      <c r="G3038" t="inlineStr">
        <is>
          <t>010-8973-2122</t>
        </is>
      </c>
      <c r="H3038" t="inlineStr">
        <is>
          <t>63머3783</t>
        </is>
      </c>
      <c r="I3038" t="n">
        <v>33000000</v>
      </c>
      <c r="J3038" t="n">
        <v>0.077</v>
      </c>
      <c r="K3038" t="n">
        <v>1.76</v>
      </c>
      <c r="L3038" t="n">
        <v>0.2</v>
      </c>
      <c r="M3038" t="n">
        <v>1.56</v>
      </c>
      <c r="P3038" t="inlineStr">
        <is>
          <t>김수연</t>
        </is>
      </c>
      <c r="Q3038" t="inlineStr">
        <is>
          <t>홈서비스 36개월</t>
        </is>
      </c>
      <c r="AB3038" t="inlineStr">
        <is>
          <t>홈서비스</t>
        </is>
      </c>
      <c r="AC3038" t="n">
        <v>580800</v>
      </c>
      <c r="AD3038" t="n">
        <v>66000</v>
      </c>
      <c r="AE3038" t="n">
        <v>514800</v>
      </c>
      <c r="AF3038" t="n">
        <v>528000</v>
      </c>
      <c r="AG3038" t="n">
        <v>63822</v>
      </c>
      <c r="AH3038" t="n">
        <v>464178</v>
      </c>
      <c r="AI3038" t="n">
        <v>0</v>
      </c>
    </row>
    <row r="3039">
      <c r="A3039" t="inlineStr">
        <is>
          <t>4월</t>
        </is>
      </c>
      <c r="B3039" t="inlineStr">
        <is>
          <t>15주차</t>
        </is>
      </c>
      <c r="C3039" t="inlineStr">
        <is>
          <t>EP</t>
        </is>
      </c>
      <c r="D3039" s="28" t="n">
        <v>46119</v>
      </c>
      <c r="E3039" t="inlineStr">
        <is>
          <t>현대EP</t>
        </is>
      </c>
      <c r="F3039" t="inlineStr">
        <is>
          <t>주용수</t>
        </is>
      </c>
      <c r="G3039" t="inlineStr">
        <is>
          <t>010-7240-9994</t>
        </is>
      </c>
      <c r="H3039" t="inlineStr">
        <is>
          <t>314거9686</t>
        </is>
      </c>
      <c r="I3039" t="n">
        <v>30000000</v>
      </c>
      <c r="J3039" t="n">
        <v>0.092</v>
      </c>
      <c r="K3039" t="n">
        <v>1.76</v>
      </c>
      <c r="L3039" t="n">
        <v>0.2</v>
      </c>
      <c r="M3039" t="n">
        <v>1.56</v>
      </c>
      <c r="P3039" t="inlineStr">
        <is>
          <t>정세빈</t>
        </is>
      </c>
      <c r="Q3039" t="inlineStr">
        <is>
          <t>홈서비스 36개월</t>
        </is>
      </c>
      <c r="AB3039" t="inlineStr">
        <is>
          <t>홈서비스</t>
        </is>
      </c>
      <c r="AC3039" t="n">
        <v>528000</v>
      </c>
      <c r="AD3039" t="n">
        <v>60000</v>
      </c>
      <c r="AE3039" t="n">
        <v>468000</v>
      </c>
      <c r="AF3039" t="n">
        <v>480000</v>
      </c>
      <c r="AG3039" t="n">
        <v>58020</v>
      </c>
      <c r="AH3039" t="n">
        <v>421980</v>
      </c>
      <c r="AI3039" t="n">
        <v>0</v>
      </c>
    </row>
    <row r="3040">
      <c r="A3040" t="inlineStr">
        <is>
          <t>4월</t>
        </is>
      </c>
      <c r="B3040" t="inlineStr">
        <is>
          <t>15주차</t>
        </is>
      </c>
      <c r="C3040" t="inlineStr">
        <is>
          <t>EP</t>
        </is>
      </c>
      <c r="D3040" s="28" t="n">
        <v>46119</v>
      </c>
      <c r="E3040" t="inlineStr">
        <is>
          <t>현대EP</t>
        </is>
      </c>
      <c r="F3040" t="inlineStr">
        <is>
          <t>김희랑</t>
        </is>
      </c>
      <c r="G3040" t="inlineStr">
        <is>
          <t>010-4821-7371</t>
        </is>
      </c>
      <c r="H3040" t="inlineStr">
        <is>
          <t>165머8263</t>
        </is>
      </c>
      <c r="I3040" t="n">
        <v>18900000</v>
      </c>
      <c r="J3040" t="n">
        <v>0.062</v>
      </c>
      <c r="K3040" t="n">
        <v>1.76</v>
      </c>
      <c r="L3040" t="n">
        <v>0.2</v>
      </c>
      <c r="M3040" t="n">
        <v>1.56</v>
      </c>
      <c r="P3040" t="inlineStr">
        <is>
          <t>김나윤</t>
        </is>
      </c>
      <c r="Q3040" t="inlineStr">
        <is>
          <t>홈서비스 36개월</t>
        </is>
      </c>
      <c r="AB3040" t="inlineStr">
        <is>
          <t>홈서비스</t>
        </is>
      </c>
      <c r="AC3040" t="n">
        <v>332640</v>
      </c>
      <c r="AD3040" t="n">
        <v>37800</v>
      </c>
      <c r="AE3040" t="n">
        <v>294840</v>
      </c>
      <c r="AF3040" t="n">
        <v>302400</v>
      </c>
      <c r="AG3040" t="n">
        <v>36552.6</v>
      </c>
      <c r="AH3040" t="n">
        <v>265847.4</v>
      </c>
      <c r="AI3040" t="n">
        <v>0</v>
      </c>
    </row>
    <row r="3041">
      <c r="A3041" t="inlineStr">
        <is>
          <t>4월</t>
        </is>
      </c>
      <c r="B3041" t="inlineStr">
        <is>
          <t>14주차</t>
        </is>
      </c>
      <c r="C3041" t="inlineStr">
        <is>
          <t>EP</t>
        </is>
      </c>
      <c r="D3041" s="28" t="n">
        <v>46115</v>
      </c>
      <c r="E3041" t="inlineStr">
        <is>
          <t>현대EP_fast</t>
        </is>
      </c>
      <c r="F3041" t="inlineStr">
        <is>
          <t>오태양</t>
        </is>
      </c>
      <c r="G3041" t="inlineStr">
        <is>
          <t>010-3918-3915</t>
        </is>
      </c>
      <c r="H3041" t="inlineStr">
        <is>
          <t>821고5238</t>
        </is>
      </c>
      <c r="I3041" t="n">
        <v>21800000</v>
      </c>
      <c r="J3041" t="n">
        <v>0.077</v>
      </c>
      <c r="K3041" t="n">
        <v>1.76</v>
      </c>
      <c r="L3041" t="n">
        <v>0.2</v>
      </c>
      <c r="M3041" t="n">
        <v>1.56</v>
      </c>
      <c r="P3041" t="inlineStr">
        <is>
          <t>최혁</t>
        </is>
      </c>
      <c r="Q3041" t="inlineStr">
        <is>
          <t>홈서비스60개월</t>
        </is>
      </c>
      <c r="AB3041" t="inlineStr">
        <is>
          <t>홈서비스</t>
        </is>
      </c>
      <c r="AC3041" t="n">
        <v>383680</v>
      </c>
      <c r="AD3041" t="n">
        <v>43600</v>
      </c>
      <c r="AE3041" t="n">
        <v>340080</v>
      </c>
      <c r="AF3041" t="n">
        <v>348800</v>
      </c>
      <c r="AG3041" t="n">
        <v>42161.2</v>
      </c>
      <c r="AH3041" t="n">
        <v>306638.8</v>
      </c>
      <c r="AI3041" t="n">
        <v>0</v>
      </c>
    </row>
    <row r="3042">
      <c r="A3042" t="inlineStr">
        <is>
          <t>4월</t>
        </is>
      </c>
      <c r="B3042" t="inlineStr">
        <is>
          <t>15주차</t>
        </is>
      </c>
      <c r="C3042" t="inlineStr">
        <is>
          <t>IM</t>
        </is>
      </c>
      <c r="D3042" s="28" t="n">
        <v>46119</v>
      </c>
      <c r="E3042" t="inlineStr">
        <is>
          <t>IM캐피탈</t>
        </is>
      </c>
      <c r="F3042" t="inlineStr">
        <is>
          <t>민호연</t>
        </is>
      </c>
      <c r="G3042" t="inlineStr">
        <is>
          <t>010-2260-6360</t>
        </is>
      </c>
      <c r="H3042" t="inlineStr">
        <is>
          <t>113라7033</t>
        </is>
      </c>
      <c r="I3042" t="n">
        <v>10000000</v>
      </c>
      <c r="J3042" t="n">
        <v>0.049</v>
      </c>
      <c r="K3042" t="n">
        <v>1.1</v>
      </c>
      <c r="L3042" t="n">
        <v>0.07000000000000001</v>
      </c>
      <c r="M3042" t="n">
        <v>1.03</v>
      </c>
      <c r="P3042" t="inlineStr">
        <is>
          <t>장현경</t>
        </is>
      </c>
      <c r="Q3042" t="inlineStr">
        <is>
          <t>선상담/홈서비스60개월/현대 7.1%</t>
        </is>
      </c>
      <c r="AB3042" t="inlineStr">
        <is>
          <t>홈서비스</t>
        </is>
      </c>
      <c r="AC3042" t="n">
        <v>110000</v>
      </c>
      <c r="AD3042" t="n">
        <v>7000</v>
      </c>
      <c r="AE3042" t="n">
        <v>103000</v>
      </c>
      <c r="AF3042" t="n">
        <v>100000</v>
      </c>
      <c r="AG3042" t="n">
        <v>6769</v>
      </c>
      <c r="AH3042" t="n">
        <v>93231</v>
      </c>
      <c r="AI3042" t="n">
        <v>0</v>
      </c>
    </row>
    <row r="3043">
      <c r="A3043" t="inlineStr">
        <is>
          <t>4월</t>
        </is>
      </c>
      <c r="B3043" t="inlineStr">
        <is>
          <t>15주차</t>
        </is>
      </c>
      <c r="C3043" t="inlineStr">
        <is>
          <t>EP</t>
        </is>
      </c>
      <c r="D3043" s="28" t="n">
        <v>46119</v>
      </c>
      <c r="E3043" t="inlineStr">
        <is>
          <t>현대EP_fast</t>
        </is>
      </c>
      <c r="F3043" t="inlineStr">
        <is>
          <t>이국선</t>
        </is>
      </c>
      <c r="G3043" t="inlineStr">
        <is>
          <t>010-5266-3720</t>
        </is>
      </c>
      <c r="H3043" t="inlineStr">
        <is>
          <t>821어8081</t>
        </is>
      </c>
      <c r="I3043" t="n">
        <v>30300000</v>
      </c>
      <c r="J3043" t="n">
        <v>0.102</v>
      </c>
      <c r="K3043" t="n">
        <v>1.76</v>
      </c>
      <c r="L3043" t="n">
        <v>0.6</v>
      </c>
      <c r="M3043" t="n">
        <v>1.16</v>
      </c>
      <c r="P3043" t="inlineStr">
        <is>
          <t>박보람</t>
        </is>
      </c>
      <c r="Q3043" t="inlineStr">
        <is>
          <t>고객주도체결</t>
        </is>
      </c>
      <c r="AB3043" t="inlineStr">
        <is>
          <t>엔카</t>
        </is>
      </c>
      <c r="AC3043" t="n">
        <v>533280</v>
      </c>
      <c r="AD3043" t="n">
        <v>181800</v>
      </c>
      <c r="AE3043" t="n">
        <v>351480</v>
      </c>
      <c r="AF3043" t="n">
        <v>484800</v>
      </c>
      <c r="AG3043" t="n">
        <v>175800.6</v>
      </c>
      <c r="AH3043" t="n">
        <v>308999.4</v>
      </c>
      <c r="AI3043" t="n">
        <v>0</v>
      </c>
    </row>
    <row r="3044">
      <c r="A3044" t="inlineStr">
        <is>
          <t>4월</t>
        </is>
      </c>
      <c r="B3044" t="inlineStr">
        <is>
          <t>15주차</t>
        </is>
      </c>
      <c r="C3044" t="inlineStr">
        <is>
          <t>IM</t>
        </is>
      </c>
      <c r="D3044" s="28" t="n">
        <v>46118</v>
      </c>
      <c r="E3044" t="inlineStr">
        <is>
          <t>IM캐피탈</t>
        </is>
      </c>
      <c r="F3044" t="inlineStr">
        <is>
          <t>이효정</t>
        </is>
      </c>
      <c r="G3044" t="inlineStr">
        <is>
          <t>010-9268-2976</t>
        </is>
      </c>
      <c r="H3044" t="inlineStr">
        <is>
          <t>164도8196</t>
        </is>
      </c>
      <c r="I3044" t="n">
        <v>35000000</v>
      </c>
      <c r="J3044" t="n">
        <v>0.049</v>
      </c>
      <c r="K3044" t="n">
        <v>1.1</v>
      </c>
      <c r="L3044" t="n">
        <v>0.07000000000000001</v>
      </c>
      <c r="M3044" t="n">
        <v>1.03</v>
      </c>
      <c r="P3044" t="inlineStr">
        <is>
          <t>장진경</t>
        </is>
      </c>
      <c r="Q3044" t="inlineStr">
        <is>
          <t>선상담 / 홈서비스 36개월 / 현대 6.9%</t>
        </is>
      </c>
      <c r="AB3044" t="inlineStr">
        <is>
          <t>홈서비스</t>
        </is>
      </c>
      <c r="AC3044" t="n">
        <v>385000</v>
      </c>
      <c r="AD3044" t="n">
        <v>24500</v>
      </c>
      <c r="AE3044" t="n">
        <v>360500</v>
      </c>
      <c r="AF3044" t="n">
        <v>350000</v>
      </c>
      <c r="AG3044" t="n">
        <v>23691.5</v>
      </c>
      <c r="AH3044" t="n">
        <v>326308.5</v>
      </c>
      <c r="AI3044" t="n">
        <v>0</v>
      </c>
    </row>
    <row r="3045">
      <c r="A3045" t="inlineStr">
        <is>
          <t>4월</t>
        </is>
      </c>
      <c r="B3045" t="inlineStr">
        <is>
          <t>15주차</t>
        </is>
      </c>
      <c r="C3045" t="inlineStr">
        <is>
          <t>EP</t>
        </is>
      </c>
      <c r="D3045" s="28" t="n">
        <v>46119</v>
      </c>
      <c r="E3045" t="inlineStr">
        <is>
          <t>현대EP</t>
        </is>
      </c>
      <c r="F3045" t="inlineStr">
        <is>
          <t>노성</t>
        </is>
      </c>
      <c r="G3045" t="inlineStr">
        <is>
          <t>010-3650-3772</t>
        </is>
      </c>
      <c r="H3045" t="inlineStr">
        <is>
          <t>229서3369</t>
        </is>
      </c>
      <c r="I3045" t="n">
        <v>17700000</v>
      </c>
      <c r="J3045" t="n">
        <v>0.076</v>
      </c>
      <c r="K3045" t="n">
        <v>1.76</v>
      </c>
      <c r="L3045" t="n">
        <v>0.2</v>
      </c>
      <c r="M3045" t="n">
        <v>1.56</v>
      </c>
      <c r="P3045" t="inlineStr">
        <is>
          <t>정광호</t>
        </is>
      </c>
      <c r="Q3045" t="inlineStr">
        <is>
          <t>홈서비스 60개월</t>
        </is>
      </c>
      <c r="AB3045" t="inlineStr">
        <is>
          <t>홈서비스</t>
        </is>
      </c>
      <c r="AC3045" t="n">
        <v>311520</v>
      </c>
      <c r="AD3045" t="n">
        <v>35400</v>
      </c>
      <c r="AE3045" t="n">
        <v>276120</v>
      </c>
      <c r="AF3045" t="n">
        <v>283200</v>
      </c>
      <c r="AG3045" t="n">
        <v>34231.8</v>
      </c>
      <c r="AH3045" t="n">
        <v>248968.2</v>
      </c>
    </row>
    <row r="3046">
      <c r="A3046" t="inlineStr">
        <is>
          <t>4월</t>
        </is>
      </c>
      <c r="B3046" t="inlineStr">
        <is>
          <t>15주차</t>
        </is>
      </c>
      <c r="C3046" t="inlineStr">
        <is>
          <t>EP</t>
        </is>
      </c>
      <c r="D3046" s="28" t="n">
        <v>46118</v>
      </c>
      <c r="E3046" t="inlineStr">
        <is>
          <t>BNKEP</t>
        </is>
      </c>
      <c r="F3046" t="inlineStr">
        <is>
          <t>이상구</t>
        </is>
      </c>
      <c r="G3046" t="inlineStr">
        <is>
          <t>010-4929-7574</t>
        </is>
      </c>
      <c r="H3046" t="inlineStr">
        <is>
          <t>66로4346</t>
        </is>
      </c>
      <c r="I3046" t="n">
        <v>24500000</v>
      </c>
      <c r="J3046" t="n">
        <v>0.07199999999999999</v>
      </c>
      <c r="K3046" t="n">
        <v>1.65</v>
      </c>
      <c r="L3046" t="n">
        <v>0.3</v>
      </c>
      <c r="M3046" t="n">
        <v>1.35</v>
      </c>
      <c r="P3046" t="inlineStr">
        <is>
          <t>장진경</t>
        </is>
      </c>
      <c r="Q3046" t="inlineStr">
        <is>
          <t>론진행</t>
        </is>
      </c>
      <c r="AB3046" t="inlineStr">
        <is>
          <t>엔카</t>
        </is>
      </c>
      <c r="AC3046" t="n">
        <v>404250</v>
      </c>
      <c r="AD3046" t="n">
        <v>73500</v>
      </c>
      <c r="AE3046" t="n">
        <v>330750</v>
      </c>
      <c r="AF3046" t="n">
        <v>367500</v>
      </c>
      <c r="AG3046" t="n">
        <v>71074.5</v>
      </c>
      <c r="AH3046" t="n">
        <v>296425.5</v>
      </c>
      <c r="AI3046" t="n">
        <v>0</v>
      </c>
    </row>
    <row r="3047">
      <c r="A3047" t="inlineStr">
        <is>
          <t>4월</t>
        </is>
      </c>
      <c r="B3047" t="inlineStr">
        <is>
          <t>15주차</t>
        </is>
      </c>
      <c r="C3047" t="inlineStr">
        <is>
          <t>EP</t>
        </is>
      </c>
      <c r="D3047" s="28" t="n">
        <v>46120</v>
      </c>
      <c r="E3047" t="inlineStr">
        <is>
          <t>현대EP_fast</t>
        </is>
      </c>
      <c r="F3047" t="inlineStr">
        <is>
          <t>신소망</t>
        </is>
      </c>
      <c r="G3047" t="inlineStr">
        <is>
          <t>010-3614-1350</t>
        </is>
      </c>
      <c r="H3047" t="inlineStr">
        <is>
          <t>183거2497</t>
        </is>
      </c>
      <c r="I3047" t="n">
        <v>10800000</v>
      </c>
      <c r="J3047" t="n">
        <v>0.079</v>
      </c>
      <c r="K3047" t="n">
        <v>1.76</v>
      </c>
      <c r="L3047" t="n">
        <v>0.2</v>
      </c>
      <c r="M3047" t="n">
        <v>1.56</v>
      </c>
      <c r="P3047" t="inlineStr">
        <is>
          <t>정광호</t>
        </is>
      </c>
      <c r="Q3047" t="inlineStr">
        <is>
          <t>홈서비스 60개월</t>
        </is>
      </c>
      <c r="AB3047" t="inlineStr">
        <is>
          <t>홈서비스</t>
        </is>
      </c>
      <c r="AC3047" t="n">
        <v>190080</v>
      </c>
      <c r="AD3047" t="n">
        <v>21600</v>
      </c>
      <c r="AE3047" t="n">
        <v>168480</v>
      </c>
      <c r="AF3047" t="n">
        <v>172800</v>
      </c>
      <c r="AG3047" t="n">
        <v>20887.2</v>
      </c>
      <c r="AH3047" t="n">
        <v>151912.8</v>
      </c>
    </row>
    <row r="3048">
      <c r="A3048" t="inlineStr">
        <is>
          <t>4월</t>
        </is>
      </c>
      <c r="B3048" t="inlineStr">
        <is>
          <t>14주차</t>
        </is>
      </c>
      <c r="C3048" t="inlineStr">
        <is>
          <t>EP</t>
        </is>
      </c>
      <c r="D3048" s="28" t="n">
        <v>46115</v>
      </c>
      <c r="E3048" t="inlineStr">
        <is>
          <t>제이비EP</t>
        </is>
      </c>
      <c r="F3048" t="inlineStr">
        <is>
          <t>이우석</t>
        </is>
      </c>
      <c r="G3048" t="inlineStr">
        <is>
          <t>010-5379-5192</t>
        </is>
      </c>
      <c r="H3048" t="inlineStr">
        <is>
          <t>326주5070</t>
        </is>
      </c>
      <c r="I3048" t="n">
        <v>39700000</v>
      </c>
      <c r="J3048" t="n">
        <v>0.11</v>
      </c>
      <c r="K3048" t="n">
        <v>1.65</v>
      </c>
      <c r="L3048" t="n">
        <v>0.07000000000000001</v>
      </c>
      <c r="M3048" t="n">
        <v>1.58</v>
      </c>
      <c r="P3048" t="inlineStr">
        <is>
          <t>박현민</t>
        </is>
      </c>
      <c r="Q3048" t="inlineStr">
        <is>
          <t>홈서비스 60개월</t>
        </is>
      </c>
      <c r="AB3048" t="inlineStr">
        <is>
          <t>홈서비스</t>
        </is>
      </c>
      <c r="AC3048" t="n">
        <v>655050</v>
      </c>
      <c r="AD3048" t="n">
        <v>27790</v>
      </c>
      <c r="AE3048" t="n">
        <v>627260</v>
      </c>
      <c r="AF3048" t="n">
        <v>595500</v>
      </c>
      <c r="AG3048" t="n">
        <v>26872.93</v>
      </c>
      <c r="AH3048" t="n">
        <v>568627.0699999999</v>
      </c>
      <c r="AI3048" t="n">
        <v>0</v>
      </c>
    </row>
    <row r="3049">
      <c r="A3049" t="inlineStr">
        <is>
          <t>4월</t>
        </is>
      </c>
      <c r="B3049" t="inlineStr">
        <is>
          <t>15주차</t>
        </is>
      </c>
      <c r="C3049" t="inlineStr">
        <is>
          <t>EP</t>
        </is>
      </c>
      <c r="D3049" s="28" t="n">
        <v>46118</v>
      </c>
      <c r="E3049" t="inlineStr">
        <is>
          <t>제이비EP</t>
        </is>
      </c>
      <c r="F3049" t="inlineStr">
        <is>
          <t>박병윤</t>
        </is>
      </c>
      <c r="G3049" t="inlineStr">
        <is>
          <t>010-5413-1988</t>
        </is>
      </c>
      <c r="H3049" t="inlineStr">
        <is>
          <t>51루0363</t>
        </is>
      </c>
      <c r="I3049" t="n">
        <v>5900000</v>
      </c>
      <c r="J3049" t="n">
        <v>0.08500000000000001</v>
      </c>
      <c r="K3049" t="n">
        <v>1.65</v>
      </c>
      <c r="L3049" t="n">
        <v>0.3</v>
      </c>
      <c r="M3049" t="n">
        <v>1.35</v>
      </c>
      <c r="P3049" t="inlineStr">
        <is>
          <t>최혁</t>
        </is>
      </c>
      <c r="Q3049" t="inlineStr">
        <is>
          <t>부대비용진행건</t>
        </is>
      </c>
      <c r="AB3049" t="inlineStr">
        <is>
          <t>엔카</t>
        </is>
      </c>
      <c r="AC3049" t="n">
        <v>97350</v>
      </c>
      <c r="AD3049" t="n">
        <v>17700</v>
      </c>
      <c r="AE3049" t="n">
        <v>79650</v>
      </c>
      <c r="AF3049" t="n">
        <v>88500</v>
      </c>
      <c r="AG3049" t="n">
        <v>17115.9</v>
      </c>
      <c r="AH3049" t="n">
        <v>71384.10000000001</v>
      </c>
    </row>
    <row r="3050">
      <c r="A3050" t="inlineStr">
        <is>
          <t>4월</t>
        </is>
      </c>
      <c r="B3050" t="inlineStr">
        <is>
          <t>15주차</t>
        </is>
      </c>
      <c r="C3050" t="inlineStr">
        <is>
          <t>EP</t>
        </is>
      </c>
      <c r="D3050" s="28" t="n">
        <v>46119</v>
      </c>
      <c r="E3050" t="inlineStr">
        <is>
          <t>현대EP</t>
        </is>
      </c>
      <c r="F3050" t="inlineStr">
        <is>
          <t>이건호</t>
        </is>
      </c>
      <c r="G3050" t="inlineStr">
        <is>
          <t>010-9180-7953</t>
        </is>
      </c>
      <c r="H3050" t="inlineStr">
        <is>
          <t>281보6298</t>
        </is>
      </c>
      <c r="I3050" t="n">
        <v>17400000</v>
      </c>
      <c r="J3050" t="n">
        <v>0.07099999999999999</v>
      </c>
      <c r="K3050" t="n">
        <v>1.76</v>
      </c>
      <c r="L3050" t="n">
        <v>0.2</v>
      </c>
      <c r="M3050" t="n">
        <v>1.56</v>
      </c>
      <c r="P3050" t="inlineStr">
        <is>
          <t>최형주</t>
        </is>
      </c>
      <c r="Q3050" t="inlineStr">
        <is>
          <t>홈서비스 60개월</t>
        </is>
      </c>
      <c r="AB3050" t="inlineStr">
        <is>
          <t>홈서비스</t>
        </is>
      </c>
      <c r="AC3050" t="n">
        <v>306240</v>
      </c>
      <c r="AD3050" t="n">
        <v>34800</v>
      </c>
      <c r="AE3050" t="n">
        <v>271440</v>
      </c>
      <c r="AF3050" t="n">
        <v>278400</v>
      </c>
      <c r="AG3050" t="n">
        <v>33651.6</v>
      </c>
      <c r="AH3050" t="n">
        <v>244748.4</v>
      </c>
      <c r="AI3050" t="n">
        <v>0</v>
      </c>
    </row>
    <row r="3051">
      <c r="A3051" t="inlineStr">
        <is>
          <t>4월</t>
        </is>
      </c>
      <c r="B3051" t="inlineStr">
        <is>
          <t>15주차</t>
        </is>
      </c>
      <c r="C3051" t="inlineStr">
        <is>
          <t>IM</t>
        </is>
      </c>
      <c r="D3051" s="28" t="n">
        <v>46120</v>
      </c>
      <c r="E3051" t="inlineStr">
        <is>
          <t>IM캐피탈</t>
        </is>
      </c>
      <c r="F3051" t="inlineStr">
        <is>
          <t>기민정</t>
        </is>
      </c>
      <c r="G3051" t="inlineStr">
        <is>
          <t>010-5616-7709</t>
        </is>
      </c>
      <c r="H3051" t="inlineStr">
        <is>
          <t>01조3329</t>
        </is>
      </c>
      <c r="I3051" t="n">
        <v>21000000</v>
      </c>
      <c r="J3051" t="n">
        <v>0.059</v>
      </c>
      <c r="K3051" t="n">
        <v>1.1</v>
      </c>
      <c r="L3051" t="n">
        <v>0.07000000000000001</v>
      </c>
      <c r="M3051" t="n">
        <v>1.03</v>
      </c>
      <c r="P3051" t="inlineStr">
        <is>
          <t>황채이</t>
        </is>
      </c>
      <c r="Q3051" t="inlineStr">
        <is>
          <t>홈서비스 60개월 / 공동명의 / 현대 7.1</t>
        </is>
      </c>
      <c r="AB3051" t="inlineStr">
        <is>
          <t>홈서비스</t>
        </is>
      </c>
      <c r="AC3051" t="n">
        <v>231000</v>
      </c>
      <c r="AD3051" t="n">
        <v>14700</v>
      </c>
      <c r="AE3051" t="n">
        <v>216300</v>
      </c>
      <c r="AF3051" t="n">
        <v>210000</v>
      </c>
      <c r="AG3051" t="n">
        <v>14214.9</v>
      </c>
      <c r="AH3051" t="n">
        <v>195785.1</v>
      </c>
      <c r="AI3051" t="n">
        <v>0</v>
      </c>
    </row>
    <row r="3052">
      <c r="A3052" t="inlineStr">
        <is>
          <t>4월</t>
        </is>
      </c>
      <c r="B3052" t="inlineStr">
        <is>
          <t>14주차</t>
        </is>
      </c>
      <c r="C3052" t="inlineStr">
        <is>
          <t>IM</t>
        </is>
      </c>
      <c r="D3052" s="28" t="n">
        <v>46115</v>
      </c>
      <c r="E3052" t="inlineStr">
        <is>
          <t>IM캐피탈</t>
        </is>
      </c>
      <c r="F3052" t="inlineStr">
        <is>
          <t>박효정</t>
        </is>
      </c>
      <c r="G3052" t="inlineStr">
        <is>
          <t>010-8556-8625</t>
        </is>
      </c>
      <c r="H3052" t="inlineStr">
        <is>
          <t>42서0903</t>
        </is>
      </c>
      <c r="I3052" t="n">
        <v>-6300000</v>
      </c>
      <c r="J3052" t="n">
        <v>0.049</v>
      </c>
      <c r="K3052" t="n">
        <v>1.1</v>
      </c>
      <c r="L3052" t="n">
        <v>0.07000000000000001</v>
      </c>
      <c r="M3052" t="n">
        <v>1.03</v>
      </c>
      <c r="P3052" t="inlineStr">
        <is>
          <t>황채이</t>
        </is>
      </c>
      <c r="Q3052" t="inlineStr">
        <is>
          <t>홈서비스 84개월 / 부대비용 추가진행</t>
        </is>
      </c>
      <c r="AB3052" t="inlineStr">
        <is>
          <t>홈서비스</t>
        </is>
      </c>
      <c r="AC3052" t="n">
        <v>-69300</v>
      </c>
      <c r="AD3052" t="n">
        <v>-4410</v>
      </c>
      <c r="AE3052" t="n">
        <v>-64890</v>
      </c>
      <c r="AF3052" t="n">
        <v>-63000</v>
      </c>
      <c r="AG3052" t="n">
        <v>-4264.47</v>
      </c>
      <c r="AH3052" t="n">
        <v>-58735.53</v>
      </c>
      <c r="AI3052" t="n">
        <v>0</v>
      </c>
    </row>
    <row r="3053">
      <c r="A3053" t="inlineStr">
        <is>
          <t>4월</t>
        </is>
      </c>
      <c r="B3053" t="inlineStr">
        <is>
          <t>15주차</t>
        </is>
      </c>
      <c r="C3053" t="inlineStr">
        <is>
          <t>EP</t>
        </is>
      </c>
      <c r="D3053" s="28" t="n">
        <v>46120</v>
      </c>
      <c r="E3053" t="inlineStr">
        <is>
          <t>현대EP_fast</t>
        </is>
      </c>
      <c r="F3053" t="inlineStr">
        <is>
          <t>최두섭</t>
        </is>
      </c>
      <c r="G3053" t="inlineStr">
        <is>
          <t>010-5037-8233</t>
        </is>
      </c>
      <c r="H3053" t="inlineStr">
        <is>
          <t>222러2812</t>
        </is>
      </c>
      <c r="I3053" t="n">
        <v>33500000</v>
      </c>
      <c r="J3053" t="n">
        <v>0.08599999999999999</v>
      </c>
      <c r="K3053" t="n">
        <v>1.76</v>
      </c>
      <c r="L3053" t="n">
        <v>0.2</v>
      </c>
      <c r="M3053" t="n">
        <v>1.56</v>
      </c>
      <c r="P3053" t="inlineStr">
        <is>
          <t>최혁</t>
        </is>
      </c>
      <c r="Q3053" t="inlineStr">
        <is>
          <t>홈서비스60개월</t>
        </is>
      </c>
      <c r="AB3053" t="inlineStr">
        <is>
          <t>홈서비스</t>
        </is>
      </c>
      <c r="AC3053" t="n">
        <v>589600</v>
      </c>
      <c r="AD3053" t="n">
        <v>67000</v>
      </c>
      <c r="AE3053" t="n">
        <v>522600</v>
      </c>
      <c r="AF3053" t="n">
        <v>536000</v>
      </c>
      <c r="AG3053" t="n">
        <v>64789</v>
      </c>
      <c r="AH3053" t="n">
        <v>471211</v>
      </c>
      <c r="AI3053" t="n">
        <v>0</v>
      </c>
    </row>
    <row r="3054">
      <c r="A3054" t="inlineStr">
        <is>
          <t>4월</t>
        </is>
      </c>
      <c r="B3054" t="inlineStr">
        <is>
          <t>15주차</t>
        </is>
      </c>
      <c r="C3054" t="inlineStr">
        <is>
          <t>EP</t>
        </is>
      </c>
      <c r="D3054" s="28" t="n">
        <v>46120</v>
      </c>
      <c r="E3054" t="inlineStr">
        <is>
          <t>현대EP_fast</t>
        </is>
      </c>
      <c r="F3054" t="inlineStr">
        <is>
          <t>구복조</t>
        </is>
      </c>
      <c r="G3054" t="inlineStr">
        <is>
          <t>010-3790-5699</t>
        </is>
      </c>
      <c r="H3054" t="inlineStr">
        <is>
          <t>23다4200</t>
        </is>
      </c>
      <c r="I3054" t="n">
        <v>5700000</v>
      </c>
      <c r="J3054" t="n">
        <v>0.092</v>
      </c>
      <c r="K3054" t="n">
        <v>1.76</v>
      </c>
      <c r="L3054" t="n">
        <v>0.6</v>
      </c>
      <c r="M3054" t="n">
        <v>1.16</v>
      </c>
      <c r="P3054" t="inlineStr">
        <is>
          <t>최혁</t>
        </is>
      </c>
      <c r="AB3054" t="inlineStr">
        <is>
          <t>엔카</t>
        </is>
      </c>
      <c r="AC3054" t="n">
        <v>100320</v>
      </c>
      <c r="AD3054" t="n">
        <v>34200</v>
      </c>
      <c r="AE3054" t="n">
        <v>66120</v>
      </c>
      <c r="AF3054" t="n">
        <v>91200</v>
      </c>
      <c r="AG3054" t="n">
        <v>33071.4</v>
      </c>
      <c r="AH3054" t="n">
        <v>58128.6</v>
      </c>
      <c r="AI3054" t="n">
        <v>0</v>
      </c>
    </row>
    <row r="3055">
      <c r="A3055" t="inlineStr">
        <is>
          <t>4월</t>
        </is>
      </c>
      <c r="B3055" t="inlineStr">
        <is>
          <t>14주차</t>
        </is>
      </c>
      <c r="C3055" t="inlineStr">
        <is>
          <t>WC</t>
        </is>
      </c>
      <c r="D3055" s="28" t="n">
        <v>46115</v>
      </c>
      <c r="E3055" t="inlineStr">
        <is>
          <t>웰컴저축은행</t>
        </is>
      </c>
      <c r="F3055" t="inlineStr">
        <is>
          <t>남수진</t>
        </is>
      </c>
      <c r="G3055" t="inlineStr">
        <is>
          <t>010-94879892</t>
        </is>
      </c>
      <c r="H3055" t="inlineStr">
        <is>
          <t>26더2914</t>
        </is>
      </c>
      <c r="I3055" t="n">
        <v>21500000</v>
      </c>
      <c r="J3055" t="n">
        <v>0.179</v>
      </c>
      <c r="K3055" t="n">
        <v>0</v>
      </c>
      <c r="L3055" t="n">
        <v>0.07000000000000001</v>
      </c>
      <c r="M3055" t="n">
        <v>-0.07000000000000001</v>
      </c>
      <c r="P3055" t="inlineStr">
        <is>
          <t>구성완</t>
        </is>
      </c>
      <c r="Q3055" t="inlineStr">
        <is>
          <t>안심거래존건</t>
        </is>
      </c>
      <c r="AB3055" t="inlineStr">
        <is>
          <t>믿고</t>
        </is>
      </c>
      <c r="AC3055" t="n">
        <v>0</v>
      </c>
      <c r="AD3055" t="n">
        <v>15050</v>
      </c>
      <c r="AE3055" t="n">
        <v>-15050</v>
      </c>
      <c r="AF3055" t="n">
        <v>0</v>
      </c>
      <c r="AG3055" t="n">
        <v>14553.35</v>
      </c>
      <c r="AH3055" t="n">
        <v>-14553.35</v>
      </c>
      <c r="AI3055" t="n">
        <v>0</v>
      </c>
    </row>
    <row r="3056">
      <c r="A3056" t="inlineStr">
        <is>
          <t>4월</t>
        </is>
      </c>
      <c r="B3056" t="inlineStr">
        <is>
          <t>15주차</t>
        </is>
      </c>
      <c r="C3056" t="inlineStr">
        <is>
          <t>EP</t>
        </is>
      </c>
      <c r="D3056" s="28" t="n">
        <v>46120</v>
      </c>
      <c r="E3056" t="inlineStr">
        <is>
          <t>현대EP_fast</t>
        </is>
      </c>
      <c r="F3056" t="inlineStr">
        <is>
          <t>전영우</t>
        </is>
      </c>
      <c r="G3056" t="inlineStr">
        <is>
          <t>010-4439-0041</t>
        </is>
      </c>
      <c r="H3056" t="inlineStr">
        <is>
          <t>06너0628</t>
        </is>
      </c>
      <c r="I3056" t="n">
        <v>4300000</v>
      </c>
      <c r="J3056" t="n">
        <v>0.077</v>
      </c>
      <c r="K3056" t="n">
        <v>1.76</v>
      </c>
      <c r="L3056" t="n">
        <v>0.2</v>
      </c>
      <c r="M3056" t="n">
        <v>1.56</v>
      </c>
      <c r="P3056" t="inlineStr">
        <is>
          <t>정세빈</t>
        </is>
      </c>
      <c r="Q3056" t="inlineStr">
        <is>
          <t>홈서비스 24개월</t>
        </is>
      </c>
      <c r="AB3056" t="inlineStr">
        <is>
          <t>홈서비스</t>
        </is>
      </c>
      <c r="AC3056" t="n">
        <v>75680</v>
      </c>
      <c r="AD3056" t="n">
        <v>8600</v>
      </c>
      <c r="AE3056" t="n">
        <v>67080</v>
      </c>
      <c r="AF3056" t="n">
        <v>68800</v>
      </c>
      <c r="AG3056" t="n">
        <v>8316.200000000001</v>
      </c>
      <c r="AH3056" t="n">
        <v>60483.8</v>
      </c>
      <c r="AI3056" t="n">
        <v>0</v>
      </c>
    </row>
    <row r="3057">
      <c r="A3057" t="inlineStr">
        <is>
          <t>4월</t>
        </is>
      </c>
      <c r="B3057" t="inlineStr">
        <is>
          <t>15주차</t>
        </is>
      </c>
      <c r="C3057" t="inlineStr">
        <is>
          <t>EP</t>
        </is>
      </c>
      <c r="D3057" s="28" t="n">
        <v>46119</v>
      </c>
      <c r="E3057" t="inlineStr">
        <is>
          <t>현대EP</t>
        </is>
      </c>
      <c r="F3057" t="inlineStr">
        <is>
          <t>장정훈</t>
        </is>
      </c>
      <c r="G3057" t="inlineStr">
        <is>
          <t>010-4210-0972</t>
        </is>
      </c>
      <c r="H3057" t="inlineStr">
        <is>
          <t>50서3902</t>
        </is>
      </c>
      <c r="I3057" t="n">
        <v>11700000</v>
      </c>
      <c r="J3057" t="n">
        <v>0.1</v>
      </c>
      <c r="K3057" t="n">
        <v>1.76</v>
      </c>
      <c r="L3057" t="n">
        <v>0.2</v>
      </c>
      <c r="M3057" t="n">
        <v>1.56</v>
      </c>
      <c r="P3057" t="inlineStr">
        <is>
          <t>최형주</t>
        </is>
      </c>
      <c r="Q3057" t="inlineStr">
        <is>
          <t>홈서비스 60개월</t>
        </is>
      </c>
      <c r="AB3057" t="inlineStr">
        <is>
          <t>홈서비스</t>
        </is>
      </c>
      <c r="AC3057" t="n">
        <v>205920</v>
      </c>
      <c r="AD3057" t="n">
        <v>23400</v>
      </c>
      <c r="AE3057" t="n">
        <v>182520</v>
      </c>
      <c r="AF3057" t="n">
        <v>187200</v>
      </c>
      <c r="AG3057" t="n">
        <v>22627.8</v>
      </c>
      <c r="AH3057" t="n">
        <v>164572.2</v>
      </c>
      <c r="AI3057" t="n">
        <v>0</v>
      </c>
    </row>
    <row r="3058">
      <c r="A3058" t="inlineStr">
        <is>
          <t>4월</t>
        </is>
      </c>
      <c r="B3058" t="inlineStr">
        <is>
          <t>15주차</t>
        </is>
      </c>
      <c r="C3058" t="inlineStr">
        <is>
          <t>EP</t>
        </is>
      </c>
      <c r="D3058" s="28" t="n">
        <v>46120</v>
      </c>
      <c r="E3058" t="inlineStr">
        <is>
          <t>현대EP</t>
        </is>
      </c>
      <c r="F3058" t="inlineStr">
        <is>
          <t>우하람</t>
        </is>
      </c>
      <c r="G3058" t="inlineStr">
        <is>
          <t>010-3019-1036</t>
        </is>
      </c>
      <c r="H3058" t="inlineStr">
        <is>
          <t>188더5000</t>
        </is>
      </c>
      <c r="I3058" t="n">
        <v>60000000</v>
      </c>
      <c r="J3058" t="n">
        <v>0.105</v>
      </c>
      <c r="K3058" t="n">
        <v>1.76</v>
      </c>
      <c r="L3058" t="n">
        <v>0.2</v>
      </c>
      <c r="M3058" t="n">
        <v>1.56</v>
      </c>
      <c r="P3058" t="inlineStr">
        <is>
          <t>황채이</t>
        </is>
      </c>
      <c r="Q3058" t="inlineStr">
        <is>
          <t>홈서비스 60개월</t>
        </is>
      </c>
      <c r="AB3058" t="inlineStr">
        <is>
          <t>홈서비스</t>
        </is>
      </c>
      <c r="AC3058" t="n">
        <v>1056000</v>
      </c>
      <c r="AD3058" t="n">
        <v>120000</v>
      </c>
      <c r="AE3058" t="n">
        <v>936000</v>
      </c>
      <c r="AF3058" t="n">
        <v>960000</v>
      </c>
      <c r="AG3058" t="n">
        <v>116040</v>
      </c>
      <c r="AH3058" t="n">
        <v>843960</v>
      </c>
      <c r="AI3058" t="n">
        <v>0</v>
      </c>
    </row>
    <row r="3059">
      <c r="A3059" t="inlineStr">
        <is>
          <t>4월</t>
        </is>
      </c>
      <c r="B3059" t="inlineStr">
        <is>
          <t>15주차</t>
        </is>
      </c>
      <c r="C3059" t="inlineStr">
        <is>
          <t>EP</t>
        </is>
      </c>
      <c r="D3059" s="28" t="n">
        <v>46120</v>
      </c>
      <c r="E3059" t="inlineStr">
        <is>
          <t>현대EP_fast</t>
        </is>
      </c>
      <c r="F3059" t="inlineStr">
        <is>
          <t>심재현</t>
        </is>
      </c>
      <c r="G3059" t="inlineStr">
        <is>
          <t>010-2388-2293</t>
        </is>
      </c>
      <c r="H3059" t="inlineStr">
        <is>
          <t>09수5835</t>
        </is>
      </c>
      <c r="I3059" t="n">
        <v>10000000</v>
      </c>
      <c r="J3059" t="n">
        <v>0.127</v>
      </c>
      <c r="K3059" t="n">
        <v>1.76</v>
      </c>
      <c r="L3059" t="n">
        <v>0.2</v>
      </c>
      <c r="M3059" t="n">
        <v>1.56</v>
      </c>
      <c r="P3059" t="inlineStr">
        <is>
          <t>김수연</t>
        </is>
      </c>
      <c r="Q3059" t="inlineStr">
        <is>
          <t>홈서비스 36개월</t>
        </is>
      </c>
      <c r="AB3059" t="inlineStr">
        <is>
          <t>홈서비스</t>
        </is>
      </c>
      <c r="AC3059" t="n">
        <v>176000</v>
      </c>
      <c r="AD3059" t="n">
        <v>20000</v>
      </c>
      <c r="AE3059" t="n">
        <v>156000</v>
      </c>
      <c r="AF3059" t="n">
        <v>160000</v>
      </c>
      <c r="AG3059" t="n">
        <v>19340</v>
      </c>
      <c r="AH3059" t="n">
        <v>140660</v>
      </c>
      <c r="AI3059" t="n">
        <v>0</v>
      </c>
    </row>
    <row r="3060">
      <c r="A3060" t="inlineStr">
        <is>
          <t>4월</t>
        </is>
      </c>
      <c r="B3060" t="inlineStr">
        <is>
          <t>15주차</t>
        </is>
      </c>
      <c r="C3060" t="inlineStr">
        <is>
          <t>IM</t>
        </is>
      </c>
      <c r="D3060" s="28" t="n">
        <v>46120</v>
      </c>
      <c r="E3060" t="inlineStr">
        <is>
          <t>IM캐피탈</t>
        </is>
      </c>
      <c r="F3060" t="inlineStr">
        <is>
          <t>권희수</t>
        </is>
      </c>
      <c r="G3060" t="inlineStr">
        <is>
          <t>010-8439-3737</t>
        </is>
      </c>
      <c r="H3060" t="inlineStr">
        <is>
          <t>294서7495</t>
        </is>
      </c>
      <c r="I3060" t="n">
        <v>20000000</v>
      </c>
      <c r="J3060" t="n">
        <v>0.049</v>
      </c>
      <c r="K3060" t="n">
        <v>1.1</v>
      </c>
      <c r="L3060" t="n">
        <v>0.07000000000000001</v>
      </c>
      <c r="M3060" t="n">
        <v>1.03</v>
      </c>
      <c r="P3060" t="inlineStr">
        <is>
          <t>황채이</t>
        </is>
      </c>
      <c r="Q3060" t="inlineStr">
        <is>
          <t>홈서비스 60개월 / 금리불만 현대 7.1</t>
        </is>
      </c>
      <c r="AB3060" t="inlineStr">
        <is>
          <t>홈서비스</t>
        </is>
      </c>
      <c r="AC3060" t="n">
        <v>220000</v>
      </c>
      <c r="AD3060" t="n">
        <v>14000</v>
      </c>
      <c r="AE3060" t="n">
        <v>206000</v>
      </c>
      <c r="AF3060" t="n">
        <v>200000</v>
      </c>
      <c r="AG3060" t="n">
        <v>13538</v>
      </c>
      <c r="AH3060" t="n">
        <v>186462</v>
      </c>
    </row>
    <row r="3061">
      <c r="A3061" t="inlineStr">
        <is>
          <t>4월</t>
        </is>
      </c>
      <c r="B3061" t="inlineStr">
        <is>
          <t>15주차</t>
        </is>
      </c>
      <c r="C3061" t="inlineStr">
        <is>
          <t>EP</t>
        </is>
      </c>
      <c r="D3061" s="28" t="n">
        <v>46120</v>
      </c>
      <c r="E3061" t="inlineStr">
        <is>
          <t>현대EP_fast</t>
        </is>
      </c>
      <c r="F3061" t="inlineStr">
        <is>
          <t>박성훈</t>
        </is>
      </c>
      <c r="G3061" t="inlineStr">
        <is>
          <t>010-8589-9615</t>
        </is>
      </c>
      <c r="H3061" t="inlineStr">
        <is>
          <t>397두2908</t>
        </is>
      </c>
      <c r="I3061" t="n">
        <v>28000000</v>
      </c>
      <c r="J3061" t="n">
        <v>0.08799999999999999</v>
      </c>
      <c r="K3061" t="n">
        <v>1.76</v>
      </c>
      <c r="L3061" t="n">
        <v>0.2</v>
      </c>
      <c r="M3061" t="n">
        <v>1.56</v>
      </c>
      <c r="P3061" t="inlineStr">
        <is>
          <t>김수연</t>
        </is>
      </c>
      <c r="Q3061" t="inlineStr">
        <is>
          <t>홈서비스 60개월</t>
        </is>
      </c>
      <c r="AB3061" t="inlineStr">
        <is>
          <t>홈서비스</t>
        </is>
      </c>
      <c r="AC3061" t="n">
        <v>492800</v>
      </c>
      <c r="AD3061" t="n">
        <v>56000</v>
      </c>
      <c r="AE3061" t="n">
        <v>436800</v>
      </c>
      <c r="AF3061" t="n">
        <v>448000</v>
      </c>
      <c r="AG3061" t="n">
        <v>54152</v>
      </c>
      <c r="AH3061" t="n">
        <v>393848</v>
      </c>
    </row>
    <row r="3062">
      <c r="A3062" t="inlineStr">
        <is>
          <t>4월</t>
        </is>
      </c>
      <c r="B3062" t="inlineStr">
        <is>
          <t>15주차</t>
        </is>
      </c>
      <c r="C3062" t="inlineStr">
        <is>
          <t>EP</t>
        </is>
      </c>
      <c r="D3062" s="28" t="n">
        <v>46120</v>
      </c>
      <c r="E3062" t="inlineStr">
        <is>
          <t>BNKEP</t>
        </is>
      </c>
      <c r="F3062" t="inlineStr">
        <is>
          <t>양승국</t>
        </is>
      </c>
      <c r="G3062" t="inlineStr">
        <is>
          <t>010-6756-0921</t>
        </is>
      </c>
      <c r="H3062" t="inlineStr">
        <is>
          <t>370고9274</t>
        </is>
      </c>
      <c r="I3062" t="n">
        <v>15000000</v>
      </c>
      <c r="J3062" t="n">
        <v>0.07199999999999999</v>
      </c>
      <c r="K3062" t="n">
        <v>1.65</v>
      </c>
      <c r="L3062" t="n">
        <v>0.07000000000000001</v>
      </c>
      <c r="M3062" t="n">
        <v>1.58</v>
      </c>
      <c r="P3062" t="inlineStr">
        <is>
          <t>정광호</t>
        </is>
      </c>
      <c r="Q3062" t="inlineStr">
        <is>
          <t>홈서비스 60개월 / 현대 12.7%</t>
        </is>
      </c>
      <c r="AB3062" t="inlineStr">
        <is>
          <t>홈서비스</t>
        </is>
      </c>
      <c r="AC3062" t="n">
        <v>247500</v>
      </c>
      <c r="AD3062" t="n">
        <v>10500</v>
      </c>
      <c r="AE3062" t="n">
        <v>237000</v>
      </c>
      <c r="AF3062" t="n">
        <v>225000</v>
      </c>
      <c r="AG3062" t="n">
        <v>10153.5</v>
      </c>
      <c r="AH3062" t="n">
        <v>214846.5</v>
      </c>
      <c r="AI3062" t="n">
        <v>0</v>
      </c>
    </row>
    <row r="3063">
      <c r="A3063" t="inlineStr">
        <is>
          <t>4월</t>
        </is>
      </c>
      <c r="B3063" t="inlineStr">
        <is>
          <t>15주차</t>
        </is>
      </c>
      <c r="C3063" t="inlineStr">
        <is>
          <t>EP</t>
        </is>
      </c>
      <c r="D3063" s="28" t="n">
        <v>46120</v>
      </c>
      <c r="E3063" t="inlineStr">
        <is>
          <t>현대EP</t>
        </is>
      </c>
      <c r="F3063" t="inlineStr">
        <is>
          <t>강현성</t>
        </is>
      </c>
      <c r="G3063" t="inlineStr">
        <is>
          <t>010-5592-7485</t>
        </is>
      </c>
      <c r="H3063" t="inlineStr">
        <is>
          <t>216노3541</t>
        </is>
      </c>
      <c r="I3063" t="n">
        <v>19300000</v>
      </c>
      <c r="J3063" t="n">
        <v>0.119</v>
      </c>
      <c r="K3063" t="n">
        <v>1.76</v>
      </c>
      <c r="L3063" t="n">
        <v>0.2</v>
      </c>
      <c r="M3063" t="n">
        <v>1.56</v>
      </c>
      <c r="P3063" t="inlineStr">
        <is>
          <t>김수연</t>
        </is>
      </c>
      <c r="Q3063" t="inlineStr">
        <is>
          <t>홈서비스 60개월</t>
        </is>
      </c>
      <c r="AB3063" t="inlineStr">
        <is>
          <t>홈서비스</t>
        </is>
      </c>
      <c r="AC3063" t="n">
        <v>339680</v>
      </c>
      <c r="AD3063" t="n">
        <v>38600</v>
      </c>
      <c r="AE3063" t="n">
        <v>301080</v>
      </c>
      <c r="AF3063" t="n">
        <v>308800</v>
      </c>
      <c r="AG3063" t="n">
        <v>37326.2</v>
      </c>
      <c r="AH3063" t="n">
        <v>271473.8</v>
      </c>
      <c r="AI3063" t="n">
        <v>0</v>
      </c>
    </row>
    <row r="3064">
      <c r="A3064" t="inlineStr">
        <is>
          <t>4월</t>
        </is>
      </c>
      <c r="B3064" t="inlineStr">
        <is>
          <t>15주차</t>
        </is>
      </c>
      <c r="C3064" t="inlineStr">
        <is>
          <t>EP</t>
        </is>
      </c>
      <c r="D3064" s="28" t="n">
        <v>46120</v>
      </c>
      <c r="E3064" t="inlineStr">
        <is>
          <t>현대EP</t>
        </is>
      </c>
      <c r="F3064" t="inlineStr">
        <is>
          <t>김갑성</t>
        </is>
      </c>
      <c r="G3064" t="inlineStr">
        <is>
          <t>010-4600-4301</t>
        </is>
      </c>
      <c r="H3064" t="inlineStr">
        <is>
          <t>47다3721</t>
        </is>
      </c>
      <c r="I3064" t="n">
        <v>37500000</v>
      </c>
      <c r="J3064" t="n">
        <v>0.077</v>
      </c>
      <c r="K3064" t="n">
        <v>1.76</v>
      </c>
      <c r="L3064" t="n">
        <v>0.2</v>
      </c>
      <c r="M3064" t="n">
        <v>1.56</v>
      </c>
      <c r="P3064" t="inlineStr">
        <is>
          <t>황채이</t>
        </is>
      </c>
      <c r="Q3064" t="inlineStr">
        <is>
          <t>홈서비스 60개월</t>
        </is>
      </c>
      <c r="AB3064" t="inlineStr">
        <is>
          <t>홈서비스</t>
        </is>
      </c>
      <c r="AC3064" t="n">
        <v>660000</v>
      </c>
      <c r="AD3064" t="n">
        <v>75000</v>
      </c>
      <c r="AE3064" t="n">
        <v>585000</v>
      </c>
      <c r="AF3064" t="n">
        <v>600000</v>
      </c>
      <c r="AG3064" t="n">
        <v>72525</v>
      </c>
      <c r="AH3064" t="n">
        <v>527475</v>
      </c>
      <c r="AI3064" t="n">
        <v>0</v>
      </c>
    </row>
    <row r="3065">
      <c r="A3065" t="inlineStr">
        <is>
          <t>4월</t>
        </is>
      </c>
      <c r="B3065" t="inlineStr">
        <is>
          <t>15주차</t>
        </is>
      </c>
      <c r="C3065" t="inlineStr">
        <is>
          <t>EP</t>
        </is>
      </c>
      <c r="D3065" s="28" t="n">
        <v>46119</v>
      </c>
      <c r="E3065" t="inlineStr">
        <is>
          <t>현대EP</t>
        </is>
      </c>
      <c r="F3065" t="inlineStr">
        <is>
          <t>오지은</t>
        </is>
      </c>
      <c r="G3065" t="inlineStr">
        <is>
          <t>010-2089-0470</t>
        </is>
      </c>
      <c r="H3065" t="inlineStr">
        <is>
          <t>07라2998</t>
        </is>
      </c>
      <c r="I3065" t="n">
        <v>15300000</v>
      </c>
      <c r="J3065" t="n">
        <v>0.079</v>
      </c>
      <c r="K3065" t="n">
        <v>1.76</v>
      </c>
      <c r="L3065" t="n">
        <v>0.2</v>
      </c>
      <c r="M3065" t="n">
        <v>1.56</v>
      </c>
      <c r="P3065" t="inlineStr">
        <is>
          <t>김나윤</t>
        </is>
      </c>
      <c r="Q3065" t="inlineStr">
        <is>
          <t>홈서비스 60개월</t>
        </is>
      </c>
      <c r="AB3065" t="inlineStr">
        <is>
          <t>홈서비스</t>
        </is>
      </c>
      <c r="AC3065" t="n">
        <v>269280</v>
      </c>
      <c r="AD3065" t="n">
        <v>30600</v>
      </c>
      <c r="AE3065" t="n">
        <v>238680</v>
      </c>
      <c r="AF3065" t="n">
        <v>244800</v>
      </c>
      <c r="AG3065" t="n">
        <v>29590.2</v>
      </c>
      <c r="AH3065" t="n">
        <v>215209.8</v>
      </c>
    </row>
    <row r="3066">
      <c r="A3066" t="inlineStr">
        <is>
          <t>4월</t>
        </is>
      </c>
      <c r="B3066" t="inlineStr">
        <is>
          <t>15주차</t>
        </is>
      </c>
      <c r="C3066" t="inlineStr">
        <is>
          <t>EP</t>
        </is>
      </c>
      <c r="D3066" s="28" t="n">
        <v>46120</v>
      </c>
      <c r="E3066" t="inlineStr">
        <is>
          <t>BNKEP</t>
        </is>
      </c>
      <c r="F3066" t="inlineStr">
        <is>
          <t>김진형</t>
        </is>
      </c>
      <c r="G3066" t="inlineStr">
        <is>
          <t>010-8972-8271</t>
        </is>
      </c>
      <c r="H3066" t="inlineStr">
        <is>
          <t>140조7798</t>
        </is>
      </c>
      <c r="I3066" t="n">
        <v>41800000</v>
      </c>
      <c r="J3066" t="n">
        <v>0.07099999999999999</v>
      </c>
      <c r="K3066" t="n">
        <v>1.65</v>
      </c>
      <c r="L3066" t="n">
        <v>0.07000000000000001</v>
      </c>
      <c r="M3066" t="n">
        <v>1.58</v>
      </c>
      <c r="P3066" t="inlineStr">
        <is>
          <t>최형주</t>
        </is>
      </c>
      <c r="Q3066" t="inlineStr">
        <is>
          <t>홈서비스 72개월</t>
        </is>
      </c>
      <c r="AB3066" t="inlineStr">
        <is>
          <t>홈서비스</t>
        </is>
      </c>
      <c r="AC3066" t="n">
        <v>689700</v>
      </c>
      <c r="AD3066" t="n">
        <v>29260</v>
      </c>
      <c r="AE3066" t="n">
        <v>660440</v>
      </c>
      <c r="AF3066" t="n">
        <v>627000</v>
      </c>
      <c r="AG3066" t="n">
        <v>28294.42</v>
      </c>
      <c r="AH3066" t="n">
        <v>598705.58</v>
      </c>
      <c r="AI3066" t="n">
        <v>0</v>
      </c>
    </row>
    <row r="3067">
      <c r="A3067" t="inlineStr">
        <is>
          <t>4월</t>
        </is>
      </c>
      <c r="B3067" t="inlineStr">
        <is>
          <t>15주차</t>
        </is>
      </c>
      <c r="C3067" t="inlineStr">
        <is>
          <t>EP</t>
        </is>
      </c>
      <c r="D3067" s="28" t="n">
        <v>46120</v>
      </c>
      <c r="E3067" t="inlineStr">
        <is>
          <t>현대EP_fast</t>
        </is>
      </c>
      <c r="F3067" t="inlineStr">
        <is>
          <t>어중호</t>
        </is>
      </c>
      <c r="G3067" t="inlineStr">
        <is>
          <t>010-9486-6161</t>
        </is>
      </c>
      <c r="H3067" t="inlineStr">
        <is>
          <t>39로2891</t>
        </is>
      </c>
      <c r="I3067" t="n">
        <v>13500000</v>
      </c>
      <c r="J3067" t="n">
        <v>0.118</v>
      </c>
      <c r="K3067" t="n">
        <v>1.76</v>
      </c>
      <c r="L3067" t="n">
        <v>0.2</v>
      </c>
      <c r="M3067" t="n">
        <v>1.56</v>
      </c>
      <c r="P3067" t="inlineStr">
        <is>
          <t>정광호</t>
        </is>
      </c>
      <c r="Q3067" t="inlineStr">
        <is>
          <t>홈서비스 48개월</t>
        </is>
      </c>
      <c r="AB3067" t="inlineStr">
        <is>
          <t>홈서비스</t>
        </is>
      </c>
      <c r="AC3067" t="n">
        <v>237600</v>
      </c>
      <c r="AD3067" t="n">
        <v>27000</v>
      </c>
      <c r="AE3067" t="n">
        <v>210600</v>
      </c>
      <c r="AF3067" t="n">
        <v>216000</v>
      </c>
      <c r="AG3067" t="n">
        <v>26109</v>
      </c>
      <c r="AH3067" t="n">
        <v>189891</v>
      </c>
      <c r="AI3067" t="n">
        <v>0</v>
      </c>
    </row>
    <row r="3068">
      <c r="A3068" t="inlineStr">
        <is>
          <t>4월</t>
        </is>
      </c>
      <c r="B3068" t="inlineStr">
        <is>
          <t>15주차</t>
        </is>
      </c>
      <c r="C3068" t="inlineStr">
        <is>
          <t>EP</t>
        </is>
      </c>
      <c r="D3068" s="28" t="n">
        <v>46120</v>
      </c>
      <c r="E3068" t="inlineStr">
        <is>
          <t>현대EP</t>
        </is>
      </c>
      <c r="F3068" t="inlineStr">
        <is>
          <t>신현우</t>
        </is>
      </c>
      <c r="G3068" t="inlineStr">
        <is>
          <t>010-7503-9536</t>
        </is>
      </c>
      <c r="H3068" t="inlineStr">
        <is>
          <t>152우9319</t>
        </is>
      </c>
      <c r="I3068" t="n">
        <v>8300000</v>
      </c>
      <c r="J3068" t="n">
        <v>0.07199999999999999</v>
      </c>
      <c r="K3068" t="n">
        <v>1.76</v>
      </c>
      <c r="L3068" t="n">
        <v>0.2</v>
      </c>
      <c r="M3068" t="n">
        <v>1.56</v>
      </c>
      <c r="P3068" t="inlineStr">
        <is>
          <t>김수연</t>
        </is>
      </c>
      <c r="Q3068" t="inlineStr">
        <is>
          <t>홈서비스 48개월</t>
        </is>
      </c>
      <c r="AB3068" t="inlineStr">
        <is>
          <t>홈서비스</t>
        </is>
      </c>
      <c r="AC3068" t="n">
        <v>146080</v>
      </c>
      <c r="AD3068" t="n">
        <v>16600</v>
      </c>
      <c r="AE3068" t="n">
        <v>129480</v>
      </c>
      <c r="AF3068" t="n">
        <v>132800</v>
      </c>
      <c r="AG3068" t="n">
        <v>16052.2</v>
      </c>
      <c r="AH3068" t="n">
        <v>116747.8</v>
      </c>
      <c r="AI3068" t="n">
        <v>0</v>
      </c>
    </row>
    <row r="3069">
      <c r="A3069" t="inlineStr">
        <is>
          <t>4월</t>
        </is>
      </c>
      <c r="B3069" t="inlineStr">
        <is>
          <t>15주차</t>
        </is>
      </c>
      <c r="C3069" t="inlineStr">
        <is>
          <t>EP</t>
        </is>
      </c>
      <c r="D3069" s="28" t="n">
        <v>46120</v>
      </c>
      <c r="E3069" t="inlineStr">
        <is>
          <t>현대EP_fast</t>
        </is>
      </c>
      <c r="F3069" t="inlineStr">
        <is>
          <t>강세영</t>
        </is>
      </c>
      <c r="G3069" t="inlineStr">
        <is>
          <t>010-9398-9688</t>
        </is>
      </c>
      <c r="H3069" t="inlineStr">
        <is>
          <t>155주9949</t>
        </is>
      </c>
      <c r="I3069" t="n">
        <v>56900000</v>
      </c>
      <c r="J3069" t="n">
        <v>0.077</v>
      </c>
      <c r="K3069" t="n">
        <v>1.76</v>
      </c>
      <c r="L3069" t="n">
        <v>0.2</v>
      </c>
      <c r="M3069" t="n">
        <v>1.56</v>
      </c>
      <c r="P3069" t="inlineStr">
        <is>
          <t>정세빈</t>
        </is>
      </c>
      <c r="Q3069" t="inlineStr">
        <is>
          <t>홈서비스 60개월</t>
        </is>
      </c>
      <c r="AB3069" t="inlineStr">
        <is>
          <t>홈서비스</t>
        </is>
      </c>
      <c r="AC3069" t="n">
        <v>1001440</v>
      </c>
      <c r="AD3069" t="n">
        <v>113800</v>
      </c>
      <c r="AE3069" t="n">
        <v>887640</v>
      </c>
      <c r="AF3069" t="n">
        <v>910400</v>
      </c>
      <c r="AG3069" t="n">
        <v>110044.6</v>
      </c>
      <c r="AH3069" t="n">
        <v>800355.4</v>
      </c>
      <c r="AI3069" t="n">
        <v>0</v>
      </c>
    </row>
    <row r="3070">
      <c r="A3070" t="inlineStr">
        <is>
          <t>4월</t>
        </is>
      </c>
      <c r="B3070" t="inlineStr">
        <is>
          <t>15주차</t>
        </is>
      </c>
      <c r="C3070" t="inlineStr">
        <is>
          <t>EP</t>
        </is>
      </c>
      <c r="D3070" s="28" t="n">
        <v>46120</v>
      </c>
      <c r="E3070" t="inlineStr">
        <is>
          <t>현대EP</t>
        </is>
      </c>
      <c r="F3070" t="inlineStr">
        <is>
          <t>엄성진</t>
        </is>
      </c>
      <c r="G3070" t="inlineStr">
        <is>
          <t>010-5625-2201</t>
        </is>
      </c>
      <c r="H3070" t="inlineStr">
        <is>
          <t>280루7936</t>
        </is>
      </c>
      <c r="I3070" t="n">
        <v>10000000</v>
      </c>
      <c r="J3070" t="n">
        <v>0.062</v>
      </c>
      <c r="K3070" t="n">
        <v>1.76</v>
      </c>
      <c r="L3070" t="n">
        <v>0.2</v>
      </c>
      <c r="M3070" t="n">
        <v>1.56</v>
      </c>
      <c r="P3070" t="inlineStr">
        <is>
          <t>김수연</t>
        </is>
      </c>
      <c r="Q3070" t="inlineStr">
        <is>
          <t>홈서비스 48개월</t>
        </is>
      </c>
      <c r="AB3070" t="inlineStr">
        <is>
          <t>홈서비스</t>
        </is>
      </c>
      <c r="AC3070" t="n">
        <v>176000</v>
      </c>
      <c r="AD3070" t="n">
        <v>20000</v>
      </c>
      <c r="AE3070" t="n">
        <v>156000</v>
      </c>
      <c r="AF3070" t="n">
        <v>160000</v>
      </c>
      <c r="AG3070" t="n">
        <v>19340</v>
      </c>
      <c r="AH3070" t="n">
        <v>140660</v>
      </c>
      <c r="AI3070" t="n">
        <v>0</v>
      </c>
    </row>
    <row r="3071">
      <c r="A3071" t="inlineStr">
        <is>
          <t>4월</t>
        </is>
      </c>
      <c r="B3071" t="inlineStr">
        <is>
          <t>15주차</t>
        </is>
      </c>
      <c r="C3071" t="inlineStr">
        <is>
          <t>EP</t>
        </is>
      </c>
      <c r="D3071" s="28" t="n">
        <v>46120</v>
      </c>
      <c r="E3071" t="inlineStr">
        <is>
          <t>현대EP_fast</t>
        </is>
      </c>
      <c r="F3071" t="inlineStr">
        <is>
          <t>황태식</t>
        </is>
      </c>
      <c r="G3071" t="inlineStr">
        <is>
          <t>010-6440-5669</t>
        </is>
      </c>
      <c r="H3071" t="inlineStr">
        <is>
          <t>251라7702</t>
        </is>
      </c>
      <c r="I3071" t="n">
        <v>16900000</v>
      </c>
      <c r="J3071" t="n">
        <v>0.075</v>
      </c>
      <c r="K3071" t="n">
        <v>1.76</v>
      </c>
      <c r="L3071" t="n">
        <v>0.2</v>
      </c>
      <c r="M3071" t="n">
        <v>1.56</v>
      </c>
      <c r="P3071" t="inlineStr">
        <is>
          <t>정세빈</t>
        </is>
      </c>
      <c r="Q3071" t="inlineStr">
        <is>
          <t>홈서비스 60개월</t>
        </is>
      </c>
      <c r="AB3071" t="inlineStr">
        <is>
          <t>홈서비스</t>
        </is>
      </c>
      <c r="AC3071" t="n">
        <v>297440</v>
      </c>
      <c r="AD3071" t="n">
        <v>33800</v>
      </c>
      <c r="AE3071" t="n">
        <v>263640</v>
      </c>
      <c r="AF3071" t="n">
        <v>270400</v>
      </c>
      <c r="AG3071" t="n">
        <v>32684.6</v>
      </c>
      <c r="AH3071" t="n">
        <v>237715.4</v>
      </c>
      <c r="AI3071" t="n">
        <v>0</v>
      </c>
    </row>
    <row r="3072">
      <c r="A3072" t="inlineStr">
        <is>
          <t>4월</t>
        </is>
      </c>
      <c r="B3072" t="inlineStr">
        <is>
          <t>15주차</t>
        </is>
      </c>
      <c r="C3072" t="inlineStr">
        <is>
          <t>EP</t>
        </is>
      </c>
      <c r="D3072" s="28" t="n">
        <v>46119</v>
      </c>
      <c r="E3072" t="inlineStr">
        <is>
          <t>현대EP</t>
        </is>
      </c>
      <c r="F3072" t="inlineStr">
        <is>
          <t>박하나</t>
        </is>
      </c>
      <c r="G3072" t="inlineStr">
        <is>
          <t>010-7757-4852</t>
        </is>
      </c>
      <c r="H3072" t="inlineStr">
        <is>
          <t>43조0586</t>
        </is>
      </c>
      <c r="I3072" t="n">
        <v>17000000</v>
      </c>
      <c r="J3072" t="n">
        <v>0.077</v>
      </c>
      <c r="K3072" t="n">
        <v>1.76</v>
      </c>
      <c r="L3072" t="n">
        <v>0.2</v>
      </c>
      <c r="M3072" t="n">
        <v>1.56</v>
      </c>
      <c r="P3072" t="inlineStr">
        <is>
          <t>장현경</t>
        </is>
      </c>
      <c r="Q3072" t="inlineStr">
        <is>
          <t>홈서비스 60개월</t>
        </is>
      </c>
      <c r="AB3072" t="inlineStr">
        <is>
          <t>홈서비스</t>
        </is>
      </c>
      <c r="AC3072" t="n">
        <v>299200</v>
      </c>
      <c r="AD3072" t="n">
        <v>34000</v>
      </c>
      <c r="AE3072" t="n">
        <v>265200</v>
      </c>
      <c r="AF3072" t="n">
        <v>272000</v>
      </c>
      <c r="AG3072" t="n">
        <v>32878</v>
      </c>
      <c r="AH3072" t="n">
        <v>239122</v>
      </c>
      <c r="AI3072" t="n">
        <v>0</v>
      </c>
    </row>
    <row r="3073">
      <c r="A3073" t="inlineStr">
        <is>
          <t>4월</t>
        </is>
      </c>
      <c r="B3073" t="inlineStr">
        <is>
          <t>15주차</t>
        </is>
      </c>
      <c r="C3073" t="inlineStr">
        <is>
          <t>IM</t>
        </is>
      </c>
      <c r="D3073" s="28" t="n">
        <v>46121</v>
      </c>
      <c r="E3073" t="inlineStr">
        <is>
          <t>IM캐피탈</t>
        </is>
      </c>
      <c r="F3073" t="inlineStr">
        <is>
          <t>이석채</t>
        </is>
      </c>
      <c r="G3073" t="inlineStr">
        <is>
          <t>010-3919-5296</t>
        </is>
      </c>
      <c r="H3073" t="inlineStr">
        <is>
          <t>465조2006</t>
        </is>
      </c>
      <c r="I3073" t="n">
        <v>37000000</v>
      </c>
      <c r="J3073" t="n">
        <v>0.049</v>
      </c>
      <c r="K3073" t="n">
        <v>1.1</v>
      </c>
      <c r="L3073" t="n">
        <v>0.07000000000000001</v>
      </c>
      <c r="M3073" t="n">
        <v>1.03</v>
      </c>
      <c r="P3073" t="inlineStr">
        <is>
          <t>정세빈</t>
        </is>
      </c>
      <c r="Q3073" t="inlineStr">
        <is>
          <t>홈서비스 60개월 / 현대 7.7%</t>
        </is>
      </c>
      <c r="AB3073" t="inlineStr">
        <is>
          <t>홈서비스</t>
        </is>
      </c>
      <c r="AC3073" t="n">
        <v>407000</v>
      </c>
      <c r="AD3073" t="n">
        <v>25900</v>
      </c>
      <c r="AE3073" t="n">
        <v>381100</v>
      </c>
      <c r="AF3073" t="n">
        <v>370000</v>
      </c>
      <c r="AG3073" t="n">
        <v>25045.3</v>
      </c>
      <c r="AH3073" t="n">
        <v>344954.7</v>
      </c>
      <c r="AI3073" t="n">
        <v>0</v>
      </c>
    </row>
    <row r="3074">
      <c r="A3074" t="inlineStr">
        <is>
          <t>4월</t>
        </is>
      </c>
      <c r="B3074" t="inlineStr">
        <is>
          <t>15주차</t>
        </is>
      </c>
      <c r="C3074" t="inlineStr">
        <is>
          <t>EP</t>
        </is>
      </c>
      <c r="D3074" s="28" t="n">
        <v>46121</v>
      </c>
      <c r="E3074" t="inlineStr">
        <is>
          <t>현대EP_fast</t>
        </is>
      </c>
      <c r="F3074" t="inlineStr">
        <is>
          <t>송지원</t>
        </is>
      </c>
      <c r="G3074" t="inlineStr">
        <is>
          <t>010-3315-0567</t>
        </is>
      </c>
      <c r="H3074" t="inlineStr">
        <is>
          <t>12노8817</t>
        </is>
      </c>
      <c r="I3074" t="n">
        <v>5900000</v>
      </c>
      <c r="J3074" t="n">
        <v>0.102</v>
      </c>
      <c r="K3074" t="n">
        <v>1.76</v>
      </c>
      <c r="L3074" t="n">
        <v>0.2</v>
      </c>
      <c r="M3074" t="n">
        <v>1.56</v>
      </c>
      <c r="P3074" t="inlineStr">
        <is>
          <t>정세빈</t>
        </is>
      </c>
      <c r="Q3074" t="inlineStr">
        <is>
          <t>홈서비스 60개월</t>
        </is>
      </c>
      <c r="AB3074" t="inlineStr">
        <is>
          <t>홈서비스</t>
        </is>
      </c>
      <c r="AC3074" t="n">
        <v>103840</v>
      </c>
      <c r="AD3074" t="n">
        <v>11800</v>
      </c>
      <c r="AE3074" t="n">
        <v>92040</v>
      </c>
      <c r="AF3074" t="n">
        <v>94400</v>
      </c>
      <c r="AG3074" t="n">
        <v>11410.6</v>
      </c>
      <c r="AH3074" t="n">
        <v>82989.39999999999</v>
      </c>
      <c r="AI3074" t="n">
        <v>0</v>
      </c>
    </row>
    <row r="3075">
      <c r="A3075" t="inlineStr">
        <is>
          <t>4월</t>
        </is>
      </c>
      <c r="B3075" t="inlineStr">
        <is>
          <t>15주차</t>
        </is>
      </c>
      <c r="C3075" t="inlineStr">
        <is>
          <t>OR</t>
        </is>
      </c>
      <c r="D3075" s="28" t="n">
        <v>46120</v>
      </c>
      <c r="E3075" t="inlineStr">
        <is>
          <t>오릭스</t>
        </is>
      </c>
      <c r="F3075" t="inlineStr">
        <is>
          <t>강민구</t>
        </is>
      </c>
      <c r="G3075" t="inlineStr">
        <is>
          <t>010-7541-8476</t>
        </is>
      </c>
      <c r="H3075" t="inlineStr">
        <is>
          <t>49마0465</t>
        </is>
      </c>
      <c r="I3075" t="n">
        <v>6000000</v>
      </c>
      <c r="J3075" t="n">
        <v>0.057</v>
      </c>
      <c r="K3075" t="n">
        <v>1.65</v>
      </c>
      <c r="L3075" t="n">
        <v>0.07000000000000001</v>
      </c>
      <c r="M3075" t="n">
        <v>1.58</v>
      </c>
      <c r="P3075" t="inlineStr">
        <is>
          <t>최형주</t>
        </is>
      </c>
      <c r="Q3075" t="inlineStr">
        <is>
          <t>홈서비스 24개월 / 금리불만 현대 7.5</t>
        </is>
      </c>
      <c r="AB3075" t="inlineStr">
        <is>
          <t>홈서비스</t>
        </is>
      </c>
      <c r="AC3075" t="n">
        <v>99000</v>
      </c>
      <c r="AD3075" t="n">
        <v>4200</v>
      </c>
      <c r="AE3075" t="n">
        <v>94800</v>
      </c>
      <c r="AF3075" t="n">
        <v>90000</v>
      </c>
      <c r="AG3075" t="n">
        <v>4061.4</v>
      </c>
      <c r="AH3075" t="n">
        <v>85938.60000000001</v>
      </c>
      <c r="AI3075" t="n">
        <v>0</v>
      </c>
    </row>
    <row r="3076">
      <c r="A3076" t="inlineStr">
        <is>
          <t>4월</t>
        </is>
      </c>
      <c r="B3076" t="inlineStr">
        <is>
          <t>14주차</t>
        </is>
      </c>
      <c r="C3076" t="inlineStr">
        <is>
          <t>EP</t>
        </is>
      </c>
      <c r="D3076" s="28" t="n">
        <v>46115</v>
      </c>
      <c r="E3076" t="inlineStr">
        <is>
          <t>제이비EP</t>
        </is>
      </c>
      <c r="F3076" t="inlineStr">
        <is>
          <t>이우석</t>
        </is>
      </c>
      <c r="G3076" t="inlineStr">
        <is>
          <t>010-5379-5192</t>
        </is>
      </c>
      <c r="H3076" t="inlineStr">
        <is>
          <t>326주5070</t>
        </is>
      </c>
      <c r="I3076" t="n">
        <v>-39700000</v>
      </c>
      <c r="J3076" t="n">
        <v>0.11</v>
      </c>
      <c r="K3076" t="n">
        <v>1.65</v>
      </c>
      <c r="L3076" t="n">
        <v>0.07000000000000001</v>
      </c>
      <c r="M3076" t="n">
        <v>1.58</v>
      </c>
      <c r="P3076" t="inlineStr">
        <is>
          <t>박현민</t>
        </is>
      </c>
      <c r="Q3076" t="inlineStr">
        <is>
          <t>홈서비스 60개월</t>
        </is>
      </c>
      <c r="AB3076" t="inlineStr">
        <is>
          <t>홈서비스</t>
        </is>
      </c>
      <c r="AC3076" t="n">
        <v>-655050</v>
      </c>
      <c r="AD3076" t="n">
        <v>-27790</v>
      </c>
      <c r="AE3076" t="n">
        <v>-627260</v>
      </c>
      <c r="AF3076" t="n">
        <v>-595500</v>
      </c>
      <c r="AG3076" t="n">
        <v>-26872.93</v>
      </c>
      <c r="AH3076" t="n">
        <v>-568627.0699999999</v>
      </c>
      <c r="AI3076" t="n">
        <v>0</v>
      </c>
    </row>
    <row r="3077">
      <c r="A3077" t="inlineStr">
        <is>
          <t>4월</t>
        </is>
      </c>
      <c r="B3077" t="inlineStr">
        <is>
          <t>15주차</t>
        </is>
      </c>
      <c r="C3077" t="inlineStr">
        <is>
          <t>IM</t>
        </is>
      </c>
      <c r="D3077" s="28" t="n">
        <v>46120</v>
      </c>
      <c r="E3077" t="inlineStr">
        <is>
          <t>IM캐피탈</t>
        </is>
      </c>
      <c r="F3077" t="inlineStr">
        <is>
          <t>김강남</t>
        </is>
      </c>
      <c r="G3077" t="inlineStr">
        <is>
          <t>010-5547-4700</t>
        </is>
      </c>
      <c r="H3077" t="inlineStr">
        <is>
          <t>370거6406</t>
        </is>
      </c>
      <c r="I3077" t="n">
        <v>40000000</v>
      </c>
      <c r="J3077" t="n">
        <v>0.049</v>
      </c>
      <c r="K3077" t="n">
        <v>1.1</v>
      </c>
      <c r="L3077" t="n">
        <v>0.3</v>
      </c>
      <c r="M3077" t="n">
        <v>0.8</v>
      </c>
      <c r="P3077" t="inlineStr">
        <is>
          <t>최혁</t>
        </is>
      </c>
      <c r="Q3077" t="inlineStr">
        <is>
          <t>현대 6.9%</t>
        </is>
      </c>
      <c r="AB3077" t="inlineStr">
        <is>
          <t>엔카</t>
        </is>
      </c>
      <c r="AC3077" t="n">
        <v>440000</v>
      </c>
      <c r="AD3077" t="n">
        <v>120000</v>
      </c>
      <c r="AE3077" t="n">
        <v>320000</v>
      </c>
      <c r="AF3077" t="n">
        <v>400000</v>
      </c>
      <c r="AG3077" t="n">
        <v>116040</v>
      </c>
      <c r="AH3077" t="n">
        <v>283960</v>
      </c>
      <c r="AI3077" t="n">
        <v>0</v>
      </c>
    </row>
    <row r="3078">
      <c r="A3078" t="inlineStr">
        <is>
          <t>4월</t>
        </is>
      </c>
      <c r="B3078" t="inlineStr">
        <is>
          <t>15주차</t>
        </is>
      </c>
      <c r="C3078" t="inlineStr">
        <is>
          <t>IM</t>
        </is>
      </c>
      <c r="D3078" s="28" t="n">
        <v>46120</v>
      </c>
      <c r="E3078" t="inlineStr">
        <is>
          <t>IM캐피탈</t>
        </is>
      </c>
      <c r="F3078" t="inlineStr">
        <is>
          <t>박희준</t>
        </is>
      </c>
      <c r="G3078" t="inlineStr">
        <is>
          <t>010-3631-4644</t>
        </is>
      </c>
      <c r="H3078" t="inlineStr">
        <is>
          <t>219수1785</t>
        </is>
      </c>
      <c r="I3078" t="n">
        <v>25000000</v>
      </c>
      <c r="J3078" t="n">
        <v>0.06900000000000001</v>
      </c>
      <c r="K3078" t="n">
        <v>1.1</v>
      </c>
      <c r="L3078" t="n">
        <v>0.3</v>
      </c>
      <c r="M3078" t="n">
        <v>0.8</v>
      </c>
      <c r="P3078" t="inlineStr">
        <is>
          <t>박현민</t>
        </is>
      </c>
      <c r="Q3078" t="inlineStr">
        <is>
          <t>현대 8.6%</t>
        </is>
      </c>
      <c r="AB3078" t="inlineStr">
        <is>
          <t>엔카</t>
        </is>
      </c>
      <c r="AC3078" t="n">
        <v>275000</v>
      </c>
      <c r="AD3078" t="n">
        <v>75000</v>
      </c>
      <c r="AE3078" t="n">
        <v>200000</v>
      </c>
      <c r="AF3078" t="n">
        <v>250000</v>
      </c>
      <c r="AG3078" t="n">
        <v>72525</v>
      </c>
      <c r="AH3078" t="n">
        <v>177475</v>
      </c>
      <c r="AI3078" t="n">
        <v>0</v>
      </c>
    </row>
    <row r="3079">
      <c r="A3079" t="inlineStr">
        <is>
          <t>4월</t>
        </is>
      </c>
      <c r="B3079" t="inlineStr">
        <is>
          <t>15주차</t>
        </is>
      </c>
      <c r="C3079" t="inlineStr">
        <is>
          <t>IM</t>
        </is>
      </c>
      <c r="D3079" s="28" t="n">
        <v>46121</v>
      </c>
      <c r="E3079" t="inlineStr">
        <is>
          <t>IM캐피탈</t>
        </is>
      </c>
      <c r="F3079" t="inlineStr">
        <is>
          <t>김용중</t>
        </is>
      </c>
      <c r="G3079" t="inlineStr">
        <is>
          <t>010-2493-2567</t>
        </is>
      </c>
      <c r="H3079" t="inlineStr">
        <is>
          <t>345수6431</t>
        </is>
      </c>
      <c r="I3079" t="n">
        <v>17000000</v>
      </c>
      <c r="J3079" t="n">
        <v>0.06900000000000001</v>
      </c>
      <c r="K3079" t="n">
        <v>1.1</v>
      </c>
      <c r="L3079" t="n">
        <v>0.07000000000000001</v>
      </c>
      <c r="M3079" t="n">
        <v>1.03</v>
      </c>
      <c r="P3079" t="inlineStr">
        <is>
          <t>황채이</t>
        </is>
      </c>
      <c r="Q3079" t="inlineStr">
        <is>
          <t>홈서비스 24개월 / 금리불만 현대 9.1</t>
        </is>
      </c>
      <c r="AB3079" t="inlineStr">
        <is>
          <t>홈서비스</t>
        </is>
      </c>
      <c r="AC3079" t="n">
        <v>187000</v>
      </c>
      <c r="AD3079" t="n">
        <v>11900</v>
      </c>
      <c r="AE3079" t="n">
        <v>175100</v>
      </c>
      <c r="AF3079" t="n">
        <v>170000</v>
      </c>
      <c r="AG3079" t="n">
        <v>11507.3</v>
      </c>
      <c r="AH3079" t="n">
        <v>158492.7</v>
      </c>
      <c r="AI3079" t="n">
        <v>0</v>
      </c>
    </row>
    <row r="3080">
      <c r="A3080" t="inlineStr">
        <is>
          <t>4월</t>
        </is>
      </c>
      <c r="B3080" t="inlineStr">
        <is>
          <t>15주차</t>
        </is>
      </c>
      <c r="C3080" t="inlineStr">
        <is>
          <t>EP</t>
        </is>
      </c>
      <c r="D3080" s="28" t="n">
        <v>46121</v>
      </c>
      <c r="E3080" t="inlineStr">
        <is>
          <t>현대EP_fast</t>
        </is>
      </c>
      <c r="F3080" t="inlineStr">
        <is>
          <t>강기철</t>
        </is>
      </c>
      <c r="G3080" t="inlineStr">
        <is>
          <t>010-8277-7707</t>
        </is>
      </c>
      <c r="H3080" t="inlineStr">
        <is>
          <t>13머1909</t>
        </is>
      </c>
      <c r="I3080" t="n">
        <v>3000000</v>
      </c>
      <c r="J3080" t="n">
        <v>0.07099999999999999</v>
      </c>
      <c r="K3080" t="n">
        <v>1.76</v>
      </c>
      <c r="L3080" t="n">
        <v>0.2</v>
      </c>
      <c r="M3080" t="n">
        <v>1.56</v>
      </c>
      <c r="P3080" t="inlineStr">
        <is>
          <t>황채이</t>
        </is>
      </c>
      <c r="Q3080" t="inlineStr">
        <is>
          <t>홈서비스 60개월</t>
        </is>
      </c>
      <c r="AB3080" t="inlineStr">
        <is>
          <t>홈서비스</t>
        </is>
      </c>
      <c r="AC3080" t="n">
        <v>52800</v>
      </c>
      <c r="AD3080" t="n">
        <v>6000</v>
      </c>
      <c r="AE3080" t="n">
        <v>46800</v>
      </c>
      <c r="AF3080" t="n">
        <v>48000</v>
      </c>
      <c r="AG3080" t="n">
        <v>5802</v>
      </c>
      <c r="AH3080" t="n">
        <v>42198</v>
      </c>
    </row>
    <row r="3081">
      <c r="A3081" t="inlineStr">
        <is>
          <t>4월</t>
        </is>
      </c>
      <c r="B3081" t="inlineStr">
        <is>
          <t>15주차</t>
        </is>
      </c>
      <c r="C3081" t="inlineStr">
        <is>
          <t>EP</t>
        </is>
      </c>
      <c r="D3081" s="28" t="n">
        <v>46120</v>
      </c>
      <c r="E3081" t="inlineStr">
        <is>
          <t>현대EP_fast</t>
        </is>
      </c>
      <c r="F3081" t="inlineStr">
        <is>
          <t>권영준</t>
        </is>
      </c>
      <c r="G3081" t="inlineStr">
        <is>
          <t>010-5681-9967</t>
        </is>
      </c>
      <c r="H3081" t="inlineStr">
        <is>
          <t>57어1462</t>
        </is>
      </c>
      <c r="I3081" t="n">
        <v>11900000</v>
      </c>
      <c r="J3081" t="n">
        <v>0.105</v>
      </c>
      <c r="K3081" t="n">
        <v>1.76</v>
      </c>
      <c r="L3081" t="n">
        <v>0.6</v>
      </c>
      <c r="M3081" t="n">
        <v>1.16</v>
      </c>
      <c r="P3081" t="inlineStr">
        <is>
          <t>최혁</t>
        </is>
      </c>
      <c r="AB3081" t="inlineStr">
        <is>
          <t>엔카</t>
        </is>
      </c>
      <c r="AC3081" t="n">
        <v>209440</v>
      </c>
      <c r="AD3081" t="n">
        <v>71400</v>
      </c>
      <c r="AE3081" t="n">
        <v>138040</v>
      </c>
      <c r="AF3081" t="n">
        <v>190400</v>
      </c>
      <c r="AG3081" t="n">
        <v>69043.8</v>
      </c>
      <c r="AH3081" t="n">
        <v>121356.2</v>
      </c>
      <c r="AI3081" t="n">
        <v>0</v>
      </c>
      <c r="AJ3081" t="inlineStr">
        <is>
          <t>개인</t>
        </is>
      </c>
    </row>
    <row r="3082">
      <c r="A3082" t="inlineStr">
        <is>
          <t>4월</t>
        </is>
      </c>
      <c r="B3082" t="inlineStr">
        <is>
          <t>15주차</t>
        </is>
      </c>
      <c r="C3082" t="inlineStr">
        <is>
          <t>EP</t>
        </is>
      </c>
      <c r="D3082" s="28" t="n">
        <v>46120</v>
      </c>
      <c r="E3082" t="inlineStr">
        <is>
          <t>현대EP</t>
        </is>
      </c>
      <c r="F3082" t="inlineStr">
        <is>
          <t>정원</t>
        </is>
      </c>
      <c r="G3082" t="inlineStr">
        <is>
          <t>010-7365-9903</t>
        </is>
      </c>
      <c r="H3082" t="inlineStr">
        <is>
          <t>22수1696</t>
        </is>
      </c>
      <c r="I3082" t="n">
        <v>3300000</v>
      </c>
      <c r="J3082" t="n">
        <v>0.08799999999999999</v>
      </c>
      <c r="K3082" t="n">
        <v>1.76</v>
      </c>
      <c r="L3082" t="n">
        <v>0.2</v>
      </c>
      <c r="M3082" t="n">
        <v>1.56</v>
      </c>
      <c r="P3082" t="inlineStr">
        <is>
          <t>최형주</t>
        </is>
      </c>
      <c r="Q3082" t="inlineStr">
        <is>
          <t>홈서비스 36개월</t>
        </is>
      </c>
      <c r="AB3082" t="inlineStr">
        <is>
          <t>홈서비스</t>
        </is>
      </c>
      <c r="AC3082" t="n">
        <v>58080</v>
      </c>
      <c r="AD3082" t="n">
        <v>6600</v>
      </c>
      <c r="AE3082" t="n">
        <v>51480</v>
      </c>
      <c r="AF3082" t="n">
        <v>52800</v>
      </c>
      <c r="AG3082" t="n">
        <v>6382.2</v>
      </c>
      <c r="AH3082" t="n">
        <v>46417.8</v>
      </c>
      <c r="AI3082" t="n">
        <v>0</v>
      </c>
    </row>
    <row r="3083">
      <c r="A3083" t="inlineStr">
        <is>
          <t>4월</t>
        </is>
      </c>
      <c r="B3083" t="inlineStr">
        <is>
          <t>15주차</t>
        </is>
      </c>
      <c r="C3083" t="inlineStr">
        <is>
          <t>EP</t>
        </is>
      </c>
      <c r="D3083" s="28" t="n">
        <v>46121</v>
      </c>
      <c r="E3083" t="inlineStr">
        <is>
          <t>BNKEP</t>
        </is>
      </c>
      <c r="F3083" t="inlineStr">
        <is>
          <t>박세한</t>
        </is>
      </c>
      <c r="G3083" t="inlineStr">
        <is>
          <t>010-8007-4218</t>
        </is>
      </c>
      <c r="H3083" t="inlineStr">
        <is>
          <t>61어2044</t>
        </is>
      </c>
      <c r="I3083" t="n">
        <v>5900000</v>
      </c>
      <c r="J3083" t="n">
        <v>0.07199999999999999</v>
      </c>
      <c r="K3083" t="n">
        <v>1.65</v>
      </c>
      <c r="L3083" t="n">
        <v>0.07000000000000001</v>
      </c>
      <c r="M3083" t="n">
        <v>1.58</v>
      </c>
      <c r="P3083" t="inlineStr">
        <is>
          <t>박현민</t>
        </is>
      </c>
      <c r="Q3083" t="inlineStr">
        <is>
          <t>홈서비스 48개월</t>
        </is>
      </c>
      <c r="AB3083" t="inlineStr">
        <is>
          <t>홈서비스</t>
        </is>
      </c>
      <c r="AC3083" t="n">
        <v>97350</v>
      </c>
      <c r="AD3083" t="n">
        <v>4130</v>
      </c>
      <c r="AE3083" t="n">
        <v>93220</v>
      </c>
      <c r="AF3083" t="n">
        <v>88500</v>
      </c>
      <c r="AG3083" t="n">
        <v>3993.71</v>
      </c>
      <c r="AH3083" t="n">
        <v>84506.28999999999</v>
      </c>
      <c r="AI3083" t="n">
        <v>0</v>
      </c>
    </row>
    <row r="3084">
      <c r="A3084" t="inlineStr">
        <is>
          <t>4월</t>
        </is>
      </c>
      <c r="B3084" t="inlineStr">
        <is>
          <t>15주차</t>
        </is>
      </c>
      <c r="C3084" t="inlineStr">
        <is>
          <t>EP</t>
        </is>
      </c>
      <c r="D3084" s="28" t="n">
        <v>46120</v>
      </c>
      <c r="E3084" t="inlineStr">
        <is>
          <t>현대EP</t>
        </is>
      </c>
      <c r="F3084" t="inlineStr">
        <is>
          <t>안수진</t>
        </is>
      </c>
      <c r="G3084" t="inlineStr">
        <is>
          <t>010-5790-0599</t>
        </is>
      </c>
      <c r="H3084" t="inlineStr">
        <is>
          <t>814더1203</t>
        </is>
      </c>
      <c r="I3084" t="n">
        <v>17700000</v>
      </c>
      <c r="J3084" t="n">
        <v>0.07099999999999999</v>
      </c>
      <c r="K3084" t="n">
        <v>1.76</v>
      </c>
      <c r="L3084" t="n">
        <v>0.2</v>
      </c>
      <c r="M3084" t="n">
        <v>1.56</v>
      </c>
      <c r="P3084" t="inlineStr">
        <is>
          <t>정광호</t>
        </is>
      </c>
      <c r="Q3084" t="inlineStr">
        <is>
          <t>홈서비스 60개월</t>
        </is>
      </c>
      <c r="AB3084" t="inlineStr">
        <is>
          <t>홈서비스</t>
        </is>
      </c>
      <c r="AC3084" t="n">
        <v>311520</v>
      </c>
      <c r="AD3084" t="n">
        <v>35400</v>
      </c>
      <c r="AE3084" t="n">
        <v>276120</v>
      </c>
      <c r="AF3084" t="n">
        <v>283200</v>
      </c>
      <c r="AG3084" t="n">
        <v>34231.8</v>
      </c>
      <c r="AH3084" t="n">
        <v>248968.2</v>
      </c>
      <c r="AI3084" t="n">
        <v>0</v>
      </c>
    </row>
    <row r="3085">
      <c r="A3085" t="inlineStr">
        <is>
          <t>4월</t>
        </is>
      </c>
      <c r="B3085" t="inlineStr">
        <is>
          <t>15주차</t>
        </is>
      </c>
      <c r="C3085" t="inlineStr">
        <is>
          <t>IM</t>
        </is>
      </c>
      <c r="D3085" s="28" t="n">
        <v>46121</v>
      </c>
      <c r="E3085" t="inlineStr">
        <is>
          <t>IM캐피탈</t>
        </is>
      </c>
      <c r="F3085" t="inlineStr">
        <is>
          <t>조은비</t>
        </is>
      </c>
      <c r="G3085" t="inlineStr">
        <is>
          <t>010-4244-8703</t>
        </is>
      </c>
      <c r="H3085" t="inlineStr">
        <is>
          <t>337부8334</t>
        </is>
      </c>
      <c r="I3085" t="n">
        <v>12000000</v>
      </c>
      <c r="J3085" t="n">
        <v>0.039</v>
      </c>
      <c r="K3085" t="n">
        <v>1.1</v>
      </c>
      <c r="L3085" t="n">
        <v>0.07000000000000001</v>
      </c>
      <c r="M3085" t="n">
        <v>1.03</v>
      </c>
      <c r="P3085" t="inlineStr">
        <is>
          <t>황채이</t>
        </is>
      </c>
      <c r="Q3085" t="inlineStr">
        <is>
          <t>홈서비스 72개월 / 공동명의 / 금리불만 -현대  6.2 / 오토론</t>
        </is>
      </c>
      <c r="AB3085" t="inlineStr">
        <is>
          <t>홈서비스</t>
        </is>
      </c>
      <c r="AC3085" t="n">
        <v>132000</v>
      </c>
      <c r="AD3085" t="n">
        <v>8400</v>
      </c>
      <c r="AE3085" t="n">
        <v>123600</v>
      </c>
      <c r="AF3085" t="n">
        <v>120000</v>
      </c>
      <c r="AG3085" t="n">
        <v>8122.8</v>
      </c>
      <c r="AH3085" t="n">
        <v>111877.2</v>
      </c>
      <c r="AI3085" t="n">
        <v>0</v>
      </c>
    </row>
    <row r="3086">
      <c r="A3086" t="inlineStr">
        <is>
          <t>4월</t>
        </is>
      </c>
      <c r="B3086" t="inlineStr">
        <is>
          <t>15주차</t>
        </is>
      </c>
      <c r="C3086" t="inlineStr">
        <is>
          <t>EP</t>
        </is>
      </c>
      <c r="D3086" s="28" t="n">
        <v>46119</v>
      </c>
      <c r="E3086" t="inlineStr">
        <is>
          <t>현대EP</t>
        </is>
      </c>
      <c r="F3086" t="inlineStr">
        <is>
          <t>박재성</t>
        </is>
      </c>
      <c r="G3086" t="inlineStr">
        <is>
          <t>010-3999-6099</t>
        </is>
      </c>
      <c r="H3086" t="inlineStr">
        <is>
          <t>312루5886</t>
        </is>
      </c>
      <c r="I3086" t="n">
        <v>6900000</v>
      </c>
      <c r="J3086" t="n">
        <v>0.079</v>
      </c>
      <c r="K3086" t="n">
        <v>1.76</v>
      </c>
      <c r="L3086" t="n">
        <v>0.2</v>
      </c>
      <c r="M3086" t="n">
        <v>1.56</v>
      </c>
      <c r="P3086" t="inlineStr">
        <is>
          <t>박보람</t>
        </is>
      </c>
      <c r="Q3086" t="inlineStr">
        <is>
          <t>홈서비스 60개월</t>
        </is>
      </c>
      <c r="AB3086" t="inlineStr">
        <is>
          <t>홈서비스</t>
        </is>
      </c>
      <c r="AC3086" t="n">
        <v>121440</v>
      </c>
      <c r="AD3086" t="n">
        <v>13800</v>
      </c>
      <c r="AE3086" t="n">
        <v>107640</v>
      </c>
      <c r="AF3086" t="n">
        <v>110400</v>
      </c>
      <c r="AG3086" t="n">
        <v>13344.6</v>
      </c>
      <c r="AH3086" t="n">
        <v>97055.39999999999</v>
      </c>
      <c r="AI3086" t="n">
        <v>0</v>
      </c>
    </row>
    <row r="3087">
      <c r="A3087" t="inlineStr">
        <is>
          <t>4월</t>
        </is>
      </c>
      <c r="B3087" t="inlineStr">
        <is>
          <t>15주차</t>
        </is>
      </c>
      <c r="C3087" t="inlineStr">
        <is>
          <t>IM</t>
        </is>
      </c>
      <c r="D3087" s="28" t="n">
        <v>46120</v>
      </c>
      <c r="E3087" t="inlineStr">
        <is>
          <t>IM캐피탈</t>
        </is>
      </c>
      <c r="F3087" t="inlineStr">
        <is>
          <t>황남하</t>
        </is>
      </c>
      <c r="G3087" t="inlineStr">
        <is>
          <t>010-5910-8929</t>
        </is>
      </c>
      <c r="H3087" t="inlineStr">
        <is>
          <t>94다5181</t>
        </is>
      </c>
      <c r="I3087" t="n">
        <v>23100000</v>
      </c>
      <c r="J3087" t="n">
        <v>0.075</v>
      </c>
      <c r="K3087" t="n">
        <v>1.1</v>
      </c>
      <c r="L3087" t="n">
        <v>0.3</v>
      </c>
      <c r="M3087" t="n">
        <v>0.8</v>
      </c>
      <c r="P3087" t="inlineStr">
        <is>
          <t>장현경</t>
        </is>
      </c>
      <c r="AB3087" t="inlineStr">
        <is>
          <t>엔카</t>
        </is>
      </c>
      <c r="AC3087" t="n">
        <v>254100</v>
      </c>
      <c r="AD3087" t="n">
        <v>69300</v>
      </c>
      <c r="AE3087" t="n">
        <v>184800</v>
      </c>
      <c r="AF3087" t="n">
        <v>231000</v>
      </c>
      <c r="AG3087" t="n">
        <v>67013.10000000001</v>
      </c>
      <c r="AH3087" t="n">
        <v>163986.9</v>
      </c>
      <c r="AI3087" t="n">
        <v>0</v>
      </c>
    </row>
    <row r="3088">
      <c r="A3088" t="inlineStr">
        <is>
          <t>4월</t>
        </is>
      </c>
      <c r="B3088" t="inlineStr">
        <is>
          <t>15주차</t>
        </is>
      </c>
      <c r="C3088" t="inlineStr">
        <is>
          <t>EP</t>
        </is>
      </c>
      <c r="D3088" s="28" t="n">
        <v>46120</v>
      </c>
      <c r="E3088" t="inlineStr">
        <is>
          <t>BNKEP</t>
        </is>
      </c>
      <c r="F3088" t="inlineStr">
        <is>
          <t>김진형</t>
        </is>
      </c>
      <c r="G3088" t="inlineStr">
        <is>
          <t>010-8972-8271</t>
        </is>
      </c>
      <c r="H3088" t="inlineStr">
        <is>
          <t>140조7798</t>
        </is>
      </c>
      <c r="I3088" t="n">
        <v>-41800000</v>
      </c>
      <c r="J3088" t="n">
        <v>0.07099999999999999</v>
      </c>
      <c r="K3088" t="n">
        <v>1.65</v>
      </c>
      <c r="L3088" t="n">
        <v>0.07000000000000001</v>
      </c>
      <c r="M3088" t="n">
        <v>1.58</v>
      </c>
      <c r="P3088" t="inlineStr">
        <is>
          <t>최형주</t>
        </is>
      </c>
      <c r="Q3088" t="inlineStr">
        <is>
          <t>홈서비스 72개월</t>
        </is>
      </c>
      <c r="AB3088" t="inlineStr">
        <is>
          <t>홈서비스</t>
        </is>
      </c>
      <c r="AC3088" t="n">
        <v>-689700</v>
      </c>
      <c r="AD3088" t="n">
        <v>-29260</v>
      </c>
      <c r="AE3088" t="n">
        <v>-660440</v>
      </c>
      <c r="AF3088" t="n">
        <v>-627000</v>
      </c>
      <c r="AG3088" t="n">
        <v>-28294.42</v>
      </c>
      <c r="AH3088" t="n">
        <v>-598705.58</v>
      </c>
    </row>
    <row r="3089">
      <c r="A3089" t="inlineStr">
        <is>
          <t>4월</t>
        </is>
      </c>
      <c r="B3089" t="inlineStr">
        <is>
          <t>15주차</t>
        </is>
      </c>
      <c r="C3089" t="inlineStr">
        <is>
          <t>EP</t>
        </is>
      </c>
      <c r="D3089" s="28" t="n">
        <v>46121</v>
      </c>
      <c r="E3089" t="inlineStr">
        <is>
          <t>현대EP_fast</t>
        </is>
      </c>
      <c r="F3089" t="inlineStr">
        <is>
          <t>이은구</t>
        </is>
      </c>
      <c r="G3089" t="inlineStr">
        <is>
          <t>010-5373-5424</t>
        </is>
      </c>
      <c r="H3089" t="inlineStr">
        <is>
          <t>289거7238</t>
        </is>
      </c>
      <c r="I3089" t="n">
        <v>15600000</v>
      </c>
      <c r="J3089" t="n">
        <v>0.077</v>
      </c>
      <c r="K3089" t="n">
        <v>1.76</v>
      </c>
      <c r="L3089" t="n">
        <v>0.2</v>
      </c>
      <c r="M3089" t="n">
        <v>1.56</v>
      </c>
      <c r="P3089" t="inlineStr">
        <is>
          <t>김수연</t>
        </is>
      </c>
      <c r="Q3089" t="inlineStr">
        <is>
          <t>홈서비스 24개월</t>
        </is>
      </c>
      <c r="AB3089" t="inlineStr">
        <is>
          <t>홈서비스</t>
        </is>
      </c>
      <c r="AC3089" t="n">
        <v>274560</v>
      </c>
      <c r="AD3089" t="n">
        <v>31200</v>
      </c>
      <c r="AE3089" t="n">
        <v>243360</v>
      </c>
      <c r="AF3089" t="n">
        <v>249600</v>
      </c>
      <c r="AG3089" t="n">
        <v>30170.4</v>
      </c>
      <c r="AH3089" t="n">
        <v>219429.6</v>
      </c>
      <c r="AI3089" t="n">
        <v>0</v>
      </c>
    </row>
    <row r="3090">
      <c r="A3090" t="inlineStr">
        <is>
          <t>4월</t>
        </is>
      </c>
      <c r="B3090" t="inlineStr">
        <is>
          <t>15주차</t>
        </is>
      </c>
      <c r="C3090" t="inlineStr">
        <is>
          <t>IM</t>
        </is>
      </c>
      <c r="D3090" s="28" t="n">
        <v>46119</v>
      </c>
      <c r="E3090" t="inlineStr">
        <is>
          <t>IM캐피탈</t>
        </is>
      </c>
      <c r="F3090" t="inlineStr">
        <is>
          <t>조재헌</t>
        </is>
      </c>
      <c r="G3090" t="inlineStr">
        <is>
          <t>010-7216-1017</t>
        </is>
      </c>
      <c r="H3090" t="inlineStr">
        <is>
          <t>100저2847</t>
        </is>
      </c>
      <c r="I3090" t="n">
        <v>10000000</v>
      </c>
      <c r="J3090" t="n">
        <v>0.049</v>
      </c>
      <c r="K3090" t="n">
        <v>1.1</v>
      </c>
      <c r="L3090" t="n">
        <v>0.3</v>
      </c>
      <c r="M3090" t="n">
        <v>0.8</v>
      </c>
      <c r="P3090" t="inlineStr">
        <is>
          <t>정하은</t>
        </is>
      </c>
      <c r="Q3090" t="inlineStr">
        <is>
          <t>현대 6.2%</t>
        </is>
      </c>
      <c r="AB3090" t="inlineStr">
        <is>
          <t>엔카</t>
        </is>
      </c>
      <c r="AC3090" t="n">
        <v>110000</v>
      </c>
      <c r="AD3090" t="n">
        <v>30000</v>
      </c>
      <c r="AE3090" t="n">
        <v>80000</v>
      </c>
      <c r="AF3090" t="n">
        <v>100000</v>
      </c>
      <c r="AG3090" t="n">
        <v>29010</v>
      </c>
      <c r="AH3090" t="n">
        <v>70990</v>
      </c>
      <c r="AI3090" t="n">
        <v>0</v>
      </c>
    </row>
    <row r="3091">
      <c r="A3091" t="inlineStr">
        <is>
          <t>4월</t>
        </is>
      </c>
      <c r="B3091" t="inlineStr">
        <is>
          <t>15주차</t>
        </is>
      </c>
      <c r="C3091" t="inlineStr">
        <is>
          <t>EP</t>
        </is>
      </c>
      <c r="D3091" s="28" t="n">
        <v>46121</v>
      </c>
      <c r="E3091" t="inlineStr">
        <is>
          <t>현대EP_fast</t>
        </is>
      </c>
      <c r="F3091" t="inlineStr">
        <is>
          <t>유균화</t>
        </is>
      </c>
      <c r="G3091" t="inlineStr">
        <is>
          <t>010-7124-7284</t>
        </is>
      </c>
      <c r="H3091" t="inlineStr">
        <is>
          <t>165구1408</t>
        </is>
      </c>
      <c r="I3091" t="n">
        <v>28000000</v>
      </c>
      <c r="J3091" t="n">
        <v>0.076</v>
      </c>
      <c r="K3091" t="n">
        <v>1.76</v>
      </c>
      <c r="L3091" t="n">
        <v>0.2</v>
      </c>
      <c r="M3091" t="n">
        <v>1.56</v>
      </c>
      <c r="P3091" t="inlineStr">
        <is>
          <t>김수연</t>
        </is>
      </c>
      <c r="Q3091" t="inlineStr">
        <is>
          <t>홈서비스 36개월</t>
        </is>
      </c>
      <c r="AB3091" t="inlineStr">
        <is>
          <t>홈서비스</t>
        </is>
      </c>
      <c r="AC3091" t="n">
        <v>492800</v>
      </c>
      <c r="AD3091" t="n">
        <v>56000</v>
      </c>
      <c r="AE3091" t="n">
        <v>436800</v>
      </c>
      <c r="AF3091" t="n">
        <v>448000</v>
      </c>
      <c r="AG3091" t="n">
        <v>54152</v>
      </c>
      <c r="AH3091" t="n">
        <v>393848</v>
      </c>
      <c r="AI3091" t="n">
        <v>0</v>
      </c>
    </row>
    <row r="3092">
      <c r="A3092" t="inlineStr">
        <is>
          <t>4월</t>
        </is>
      </c>
      <c r="B3092" t="inlineStr">
        <is>
          <t>15주차</t>
        </is>
      </c>
      <c r="C3092" t="inlineStr">
        <is>
          <t>EP</t>
        </is>
      </c>
      <c r="D3092" s="28" t="n">
        <v>46121</v>
      </c>
      <c r="E3092" t="inlineStr">
        <is>
          <t>현대EP_fast</t>
        </is>
      </c>
      <c r="F3092" t="inlineStr">
        <is>
          <t>강성훈</t>
        </is>
      </c>
      <c r="G3092" t="inlineStr">
        <is>
          <t>010-2639-8867</t>
        </is>
      </c>
      <c r="H3092" t="inlineStr">
        <is>
          <t>19너2957</t>
        </is>
      </c>
      <c r="I3092" t="n">
        <v>3000000</v>
      </c>
      <c r="J3092" t="n">
        <v>0.102</v>
      </c>
      <c r="K3092" t="n">
        <v>1.76</v>
      </c>
      <c r="L3092" t="n">
        <v>0.2</v>
      </c>
      <c r="M3092" t="n">
        <v>1.56</v>
      </c>
      <c r="P3092" t="inlineStr">
        <is>
          <t>최형주</t>
        </is>
      </c>
      <c r="Q3092" t="inlineStr">
        <is>
          <t>홈서비스 24개월</t>
        </is>
      </c>
      <c r="AB3092" t="inlineStr">
        <is>
          <t>홈서비스</t>
        </is>
      </c>
      <c r="AC3092" t="n">
        <v>52800</v>
      </c>
      <c r="AD3092" t="n">
        <v>6000</v>
      </c>
      <c r="AE3092" t="n">
        <v>46800</v>
      </c>
      <c r="AF3092" t="n">
        <v>48000</v>
      </c>
      <c r="AG3092" t="n">
        <v>5802</v>
      </c>
      <c r="AH3092" t="n">
        <v>42198</v>
      </c>
      <c r="AI3092" t="n">
        <v>0</v>
      </c>
    </row>
    <row r="3093">
      <c r="A3093" t="inlineStr">
        <is>
          <t>4월</t>
        </is>
      </c>
      <c r="B3093" t="inlineStr">
        <is>
          <t>15주차</t>
        </is>
      </c>
      <c r="C3093" t="inlineStr">
        <is>
          <t>EP</t>
        </is>
      </c>
      <c r="D3093" s="28" t="n">
        <v>46121</v>
      </c>
      <c r="E3093" t="inlineStr">
        <is>
          <t>현대EP_fast</t>
        </is>
      </c>
      <c r="F3093" t="inlineStr">
        <is>
          <t>최규만</t>
        </is>
      </c>
      <c r="G3093" t="inlineStr">
        <is>
          <t>010-4542-6304</t>
        </is>
      </c>
      <c r="H3093" t="inlineStr">
        <is>
          <t>60서1006</t>
        </is>
      </c>
      <c r="I3093" t="n">
        <v>11900000</v>
      </c>
      <c r="J3093" t="n">
        <v>0.102</v>
      </c>
      <c r="K3093" t="n">
        <v>1.76</v>
      </c>
      <c r="L3093" t="n">
        <v>0.2</v>
      </c>
      <c r="M3093" t="n">
        <v>1.56</v>
      </c>
      <c r="P3093" t="inlineStr">
        <is>
          <t>정세빈</t>
        </is>
      </c>
      <c r="Q3093" t="inlineStr">
        <is>
          <t>홈서비스 36개월</t>
        </is>
      </c>
      <c r="AB3093" t="inlineStr">
        <is>
          <t>홈서비스</t>
        </is>
      </c>
      <c r="AC3093" t="n">
        <v>209440</v>
      </c>
      <c r="AD3093" t="n">
        <v>23800</v>
      </c>
      <c r="AE3093" t="n">
        <v>185640</v>
      </c>
      <c r="AF3093" t="n">
        <v>190400</v>
      </c>
      <c r="AG3093" t="n">
        <v>23014.6</v>
      </c>
      <c r="AH3093" t="n">
        <v>167385.4</v>
      </c>
      <c r="AI3093" t="n">
        <v>0</v>
      </c>
    </row>
    <row r="3094">
      <c r="A3094" t="inlineStr">
        <is>
          <t>4월</t>
        </is>
      </c>
      <c r="B3094" t="inlineStr">
        <is>
          <t>15주차</t>
        </is>
      </c>
      <c r="C3094" t="inlineStr">
        <is>
          <t>IM</t>
        </is>
      </c>
      <c r="D3094" s="28" t="n">
        <v>46121</v>
      </c>
      <c r="E3094" t="inlineStr">
        <is>
          <t>IM캐피탈</t>
        </is>
      </c>
      <c r="F3094" t="inlineStr">
        <is>
          <t>윤현주</t>
        </is>
      </c>
      <c r="G3094" t="inlineStr">
        <is>
          <t>010-3911-7540</t>
        </is>
      </c>
      <c r="H3094" t="inlineStr">
        <is>
          <t>154루1099</t>
        </is>
      </c>
      <c r="I3094" t="n">
        <v>25000000</v>
      </c>
      <c r="J3094" t="n">
        <v>0.049</v>
      </c>
      <c r="K3094" t="n">
        <v>1.1</v>
      </c>
      <c r="L3094" t="n">
        <v>0.07000000000000001</v>
      </c>
      <c r="M3094" t="n">
        <v>1.03</v>
      </c>
      <c r="P3094" t="inlineStr">
        <is>
          <t>황채이</t>
        </is>
      </c>
      <c r="Q3094" t="inlineStr">
        <is>
          <t>홈서비스 48개월 / 공동명의 / 금리불만 - 현대 8.5</t>
        </is>
      </c>
      <c r="AB3094" t="inlineStr">
        <is>
          <t>홈서비스</t>
        </is>
      </c>
      <c r="AC3094" t="n">
        <v>275000</v>
      </c>
      <c r="AD3094" t="n">
        <v>17500</v>
      </c>
      <c r="AE3094" t="n">
        <v>257500</v>
      </c>
      <c r="AF3094" t="n">
        <v>250000</v>
      </c>
      <c r="AG3094" t="n">
        <v>16922.5</v>
      </c>
      <c r="AH3094" t="n">
        <v>233077.5</v>
      </c>
      <c r="AI3094" t="n">
        <v>0</v>
      </c>
    </row>
    <row r="3095">
      <c r="A3095" t="inlineStr">
        <is>
          <t>4월</t>
        </is>
      </c>
      <c r="B3095" t="inlineStr">
        <is>
          <t>15주차</t>
        </is>
      </c>
      <c r="C3095" t="inlineStr">
        <is>
          <t>EP</t>
        </is>
      </c>
      <c r="D3095" s="28" t="n">
        <v>46120</v>
      </c>
      <c r="E3095" t="inlineStr">
        <is>
          <t>현대EP_fast</t>
        </is>
      </c>
      <c r="F3095" t="inlineStr">
        <is>
          <t>이정명</t>
        </is>
      </c>
      <c r="G3095" t="inlineStr">
        <is>
          <t>010-7432-9294</t>
        </is>
      </c>
      <c r="H3095" t="inlineStr">
        <is>
          <t>150거1781</t>
        </is>
      </c>
      <c r="I3095" t="n">
        <v>38700000</v>
      </c>
      <c r="J3095" t="n">
        <v>0.092</v>
      </c>
      <c r="K3095" t="n">
        <v>1.76</v>
      </c>
      <c r="L3095" t="n">
        <v>0.2</v>
      </c>
      <c r="M3095" t="n">
        <v>1.56</v>
      </c>
      <c r="P3095" t="inlineStr">
        <is>
          <t>김나윤</t>
        </is>
      </c>
      <c r="Q3095" t="inlineStr">
        <is>
          <t>홈서비스 60개월 / 공동명의</t>
        </is>
      </c>
      <c r="AB3095" t="inlineStr">
        <is>
          <t>홈서비스</t>
        </is>
      </c>
      <c r="AC3095" t="n">
        <v>681120</v>
      </c>
      <c r="AD3095" t="n">
        <v>77400</v>
      </c>
      <c r="AE3095" t="n">
        <v>603720</v>
      </c>
      <c r="AF3095" t="n">
        <v>619200</v>
      </c>
      <c r="AG3095" t="n">
        <v>74845.8</v>
      </c>
      <c r="AH3095" t="n">
        <v>544354.2</v>
      </c>
    </row>
    <row r="3096">
      <c r="A3096" t="inlineStr">
        <is>
          <t>4월</t>
        </is>
      </c>
      <c r="B3096" t="inlineStr">
        <is>
          <t>15주차</t>
        </is>
      </c>
      <c r="C3096" t="inlineStr">
        <is>
          <t>EP</t>
        </is>
      </c>
      <c r="D3096" s="28" t="n">
        <v>46121</v>
      </c>
      <c r="E3096" t="inlineStr">
        <is>
          <t>현대EP</t>
        </is>
      </c>
      <c r="F3096" t="inlineStr">
        <is>
          <t>김성욱</t>
        </is>
      </c>
      <c r="G3096" t="inlineStr">
        <is>
          <t>010-4884-5882</t>
        </is>
      </c>
      <c r="H3096" t="inlineStr">
        <is>
          <t>120러2145</t>
        </is>
      </c>
      <c r="I3096" t="n">
        <v>56700000</v>
      </c>
      <c r="J3096" t="n">
        <v>0.081</v>
      </c>
      <c r="K3096" t="n">
        <v>1.76</v>
      </c>
      <c r="L3096" t="n">
        <v>0.2</v>
      </c>
      <c r="M3096" t="n">
        <v>1.56</v>
      </c>
      <c r="P3096" t="inlineStr">
        <is>
          <t>황채이</t>
        </is>
      </c>
      <c r="Q3096" t="inlineStr">
        <is>
          <t>홈서비스 48개월</t>
        </is>
      </c>
      <c r="AB3096" t="inlineStr">
        <is>
          <t>홈서비스</t>
        </is>
      </c>
      <c r="AC3096" t="n">
        <v>997920</v>
      </c>
      <c r="AD3096" t="n">
        <v>113400</v>
      </c>
      <c r="AE3096" t="n">
        <v>884520</v>
      </c>
      <c r="AF3096" t="n">
        <v>907200</v>
      </c>
      <c r="AG3096" t="n">
        <v>109657.8</v>
      </c>
      <c r="AH3096" t="n">
        <v>797542.2</v>
      </c>
      <c r="AI3096" t="n">
        <v>0</v>
      </c>
    </row>
    <row r="3097">
      <c r="A3097" t="inlineStr">
        <is>
          <t>4월</t>
        </is>
      </c>
      <c r="B3097" t="inlineStr">
        <is>
          <t>15주차</t>
        </is>
      </c>
      <c r="C3097" t="inlineStr">
        <is>
          <t>EP</t>
        </is>
      </c>
      <c r="D3097" s="28" t="n">
        <v>46121</v>
      </c>
      <c r="E3097" t="inlineStr">
        <is>
          <t>현대EP_fast</t>
        </is>
      </c>
      <c r="F3097" t="inlineStr">
        <is>
          <t>이정연</t>
        </is>
      </c>
      <c r="G3097" t="inlineStr">
        <is>
          <t>010-9636-8886</t>
        </is>
      </c>
      <c r="H3097" t="inlineStr">
        <is>
          <t>04누1117</t>
        </is>
      </c>
      <c r="I3097" t="n">
        <v>30000000</v>
      </c>
      <c r="J3097" t="n">
        <v>0.105</v>
      </c>
      <c r="K3097" t="n">
        <v>1.76</v>
      </c>
      <c r="L3097" t="n">
        <v>0.2</v>
      </c>
      <c r="M3097" t="n">
        <v>1.56</v>
      </c>
      <c r="P3097" t="inlineStr">
        <is>
          <t>정세빈</t>
        </is>
      </c>
      <c r="Q3097" t="inlineStr">
        <is>
          <t>홈서비스 60개월</t>
        </is>
      </c>
      <c r="AB3097" t="inlineStr">
        <is>
          <t>홈서비스</t>
        </is>
      </c>
      <c r="AC3097" t="n">
        <v>528000</v>
      </c>
      <c r="AD3097" t="n">
        <v>60000</v>
      </c>
      <c r="AE3097" t="n">
        <v>468000</v>
      </c>
      <c r="AF3097" t="n">
        <v>480000</v>
      </c>
      <c r="AG3097" t="n">
        <v>58020</v>
      </c>
      <c r="AH3097" t="n">
        <v>421980</v>
      </c>
      <c r="AI3097" t="n">
        <v>0</v>
      </c>
    </row>
    <row r="3098">
      <c r="A3098" t="inlineStr">
        <is>
          <t>4월</t>
        </is>
      </c>
      <c r="B3098" t="inlineStr">
        <is>
          <t>15주차</t>
        </is>
      </c>
      <c r="C3098" t="inlineStr">
        <is>
          <t>IM</t>
        </is>
      </c>
      <c r="D3098" s="28" t="n">
        <v>46119</v>
      </c>
      <c r="E3098" t="inlineStr">
        <is>
          <t>IM캐피탈</t>
        </is>
      </c>
      <c r="F3098" t="inlineStr">
        <is>
          <t>이태형</t>
        </is>
      </c>
      <c r="G3098" t="inlineStr">
        <is>
          <t>010-8754-0971</t>
        </is>
      </c>
      <c r="H3098" t="inlineStr">
        <is>
          <t>133소9199</t>
        </is>
      </c>
      <c r="I3098" t="n">
        <v>37600000</v>
      </c>
      <c r="J3098" t="n">
        <v>0.066</v>
      </c>
      <c r="K3098" t="n">
        <v>1.1</v>
      </c>
      <c r="L3098" t="n">
        <v>0.07000000000000001</v>
      </c>
      <c r="M3098" t="n">
        <v>1.03</v>
      </c>
      <c r="P3098" t="inlineStr">
        <is>
          <t>박소현</t>
        </is>
      </c>
      <c r="Q3098" t="inlineStr">
        <is>
          <t>선상담/홈서비스60개월/현대 7.9%</t>
        </is>
      </c>
      <c r="AB3098" t="inlineStr">
        <is>
          <t>홈서비스</t>
        </is>
      </c>
      <c r="AC3098" t="n">
        <v>413600</v>
      </c>
      <c r="AD3098" t="n">
        <v>26320</v>
      </c>
      <c r="AE3098" t="n">
        <v>387280</v>
      </c>
      <c r="AF3098" t="n">
        <v>376000</v>
      </c>
      <c r="AG3098" t="n">
        <v>25451.44</v>
      </c>
      <c r="AH3098" t="n">
        <v>350548.56</v>
      </c>
      <c r="AI3098" t="n">
        <v>0</v>
      </c>
    </row>
    <row r="3099">
      <c r="A3099" t="inlineStr">
        <is>
          <t>4월</t>
        </is>
      </c>
      <c r="B3099" t="inlineStr">
        <is>
          <t>15주차</t>
        </is>
      </c>
      <c r="C3099" t="inlineStr">
        <is>
          <t>WC</t>
        </is>
      </c>
      <c r="D3099" s="28" t="n">
        <v>46120</v>
      </c>
      <c r="E3099" t="inlineStr">
        <is>
          <t>웰컴저축은행</t>
        </is>
      </c>
      <c r="F3099" t="inlineStr">
        <is>
          <t>고광희</t>
        </is>
      </c>
      <c r="G3099" t="inlineStr">
        <is>
          <t>010-9080-8965</t>
        </is>
      </c>
      <c r="H3099" t="inlineStr">
        <is>
          <t>81어5868</t>
        </is>
      </c>
      <c r="I3099" t="n">
        <v>18800000</v>
      </c>
      <c r="J3099" t="n">
        <v>0.159</v>
      </c>
      <c r="K3099" t="n">
        <v>2.2</v>
      </c>
      <c r="L3099" t="n">
        <v>0.3</v>
      </c>
      <c r="M3099" t="n">
        <v>1.9</v>
      </c>
      <c r="P3099" t="inlineStr">
        <is>
          <t>박보람</t>
        </is>
      </c>
      <c r="Q3099" t="inlineStr">
        <is>
          <t>부대비용 추가진행</t>
        </is>
      </c>
      <c r="AB3099" t="inlineStr">
        <is>
          <t>엔카</t>
        </is>
      </c>
      <c r="AC3099" t="n">
        <v>413600</v>
      </c>
      <c r="AD3099" t="n">
        <v>56400</v>
      </c>
      <c r="AE3099" t="n">
        <v>357200</v>
      </c>
      <c r="AF3099" t="n">
        <v>376000</v>
      </c>
      <c r="AG3099" t="n">
        <v>54538.8</v>
      </c>
      <c r="AH3099" t="n">
        <v>321461.2</v>
      </c>
      <c r="AI3099" t="n">
        <v>0</v>
      </c>
    </row>
    <row r="3100">
      <c r="A3100" t="inlineStr">
        <is>
          <t>4월</t>
        </is>
      </c>
      <c r="B3100" t="inlineStr">
        <is>
          <t>15주차</t>
        </is>
      </c>
      <c r="C3100" t="inlineStr">
        <is>
          <t>EP</t>
        </is>
      </c>
      <c r="D3100" s="28" t="n">
        <v>46121</v>
      </c>
      <c r="E3100" t="inlineStr">
        <is>
          <t>현대EP</t>
        </is>
      </c>
      <c r="F3100" t="inlineStr">
        <is>
          <t>김익기</t>
        </is>
      </c>
      <c r="G3100" t="inlineStr">
        <is>
          <t>010-6585-1618</t>
        </is>
      </c>
      <c r="H3100" t="inlineStr">
        <is>
          <t>334저6768</t>
        </is>
      </c>
      <c r="I3100" t="n">
        <v>17200000</v>
      </c>
      <c r="J3100" t="n">
        <v>0.08500000000000001</v>
      </c>
      <c r="K3100" t="n">
        <v>1.76</v>
      </c>
      <c r="L3100" t="n">
        <v>0.2</v>
      </c>
      <c r="M3100" t="n">
        <v>1.56</v>
      </c>
      <c r="P3100" t="inlineStr">
        <is>
          <t>황채이</t>
        </is>
      </c>
      <c r="Q3100" t="inlineStr">
        <is>
          <t>홈서비스 60개월</t>
        </is>
      </c>
      <c r="AB3100" t="inlineStr">
        <is>
          <t>홈서비스</t>
        </is>
      </c>
      <c r="AC3100" t="n">
        <v>302720</v>
      </c>
      <c r="AD3100" t="n">
        <v>34400</v>
      </c>
      <c r="AE3100" t="n">
        <v>268320</v>
      </c>
      <c r="AF3100" t="n">
        <v>275200</v>
      </c>
      <c r="AG3100" t="n">
        <v>33264.8</v>
      </c>
      <c r="AH3100" t="n">
        <v>241935.2</v>
      </c>
      <c r="AI3100" t="n">
        <v>0</v>
      </c>
    </row>
    <row r="3101">
      <c r="A3101" t="inlineStr">
        <is>
          <t>4월</t>
        </is>
      </c>
      <c r="B3101" t="inlineStr">
        <is>
          <t>15주차</t>
        </is>
      </c>
      <c r="C3101" t="inlineStr">
        <is>
          <t>IM</t>
        </is>
      </c>
      <c r="D3101" s="28" t="n">
        <v>46122</v>
      </c>
      <c r="E3101" t="inlineStr">
        <is>
          <t>IM캐피탈</t>
        </is>
      </c>
      <c r="F3101" t="inlineStr">
        <is>
          <t>김명희</t>
        </is>
      </c>
      <c r="G3101" t="inlineStr">
        <is>
          <t>010-4174-1257</t>
        </is>
      </c>
      <c r="H3101" t="inlineStr">
        <is>
          <t>225부3628</t>
        </is>
      </c>
      <c r="I3101" t="n">
        <v>36900000</v>
      </c>
      <c r="J3101" t="n">
        <v>0.066</v>
      </c>
      <c r="K3101" t="n">
        <v>1.1</v>
      </c>
      <c r="L3101" t="n">
        <v>0.07000000000000001</v>
      </c>
      <c r="M3101" t="n">
        <v>1.03</v>
      </c>
      <c r="P3101" t="inlineStr">
        <is>
          <t>황채이</t>
        </is>
      </c>
      <c r="Q3101" t="inlineStr">
        <is>
          <t xml:space="preserve">홈서비스 84개월 / 부대비용 추가진행 </t>
        </is>
      </c>
      <c r="AB3101" t="inlineStr">
        <is>
          <t>홈서비스</t>
        </is>
      </c>
      <c r="AC3101" t="n">
        <v>405900</v>
      </c>
      <c r="AD3101" t="n">
        <v>25830</v>
      </c>
      <c r="AE3101" t="n">
        <v>380070</v>
      </c>
      <c r="AF3101" t="n">
        <v>369000</v>
      </c>
      <c r="AG3101" t="n">
        <v>24977.61</v>
      </c>
      <c r="AH3101" t="n">
        <v>344022.39</v>
      </c>
    </row>
    <row r="3102">
      <c r="A3102" t="inlineStr">
        <is>
          <t>4월</t>
        </is>
      </c>
      <c r="B3102" t="inlineStr">
        <is>
          <t>15주차</t>
        </is>
      </c>
      <c r="C3102" t="inlineStr">
        <is>
          <t>EP</t>
        </is>
      </c>
      <c r="D3102" s="28" t="n">
        <v>46121</v>
      </c>
      <c r="E3102" t="inlineStr">
        <is>
          <t>현대EP_fast</t>
        </is>
      </c>
      <c r="F3102" t="inlineStr">
        <is>
          <t>김태수</t>
        </is>
      </c>
      <c r="G3102" t="inlineStr">
        <is>
          <t>010-3617-9810</t>
        </is>
      </c>
      <c r="H3102" t="inlineStr">
        <is>
          <t>22부3376</t>
        </is>
      </c>
      <c r="I3102" t="n">
        <v>3000000</v>
      </c>
      <c r="J3102" t="n">
        <v>0.102</v>
      </c>
      <c r="K3102" t="n">
        <v>1.76</v>
      </c>
      <c r="L3102" t="n">
        <v>0.2</v>
      </c>
      <c r="M3102" t="n">
        <v>1.56</v>
      </c>
      <c r="P3102" t="inlineStr">
        <is>
          <t>김수연</t>
        </is>
      </c>
      <c r="Q3102" t="inlineStr">
        <is>
          <t>홈서비스 36개월</t>
        </is>
      </c>
      <c r="AB3102" t="inlineStr">
        <is>
          <t>홈서비스</t>
        </is>
      </c>
      <c r="AC3102" t="n">
        <v>52800</v>
      </c>
      <c r="AD3102" t="n">
        <v>6000</v>
      </c>
      <c r="AE3102" t="n">
        <v>46800</v>
      </c>
      <c r="AF3102" t="n">
        <v>48000</v>
      </c>
      <c r="AG3102" t="n">
        <v>5802</v>
      </c>
      <c r="AH3102" t="n">
        <v>42198</v>
      </c>
      <c r="AI3102" t="n">
        <v>0</v>
      </c>
    </row>
    <row r="3103">
      <c r="A3103" t="inlineStr">
        <is>
          <t>4월</t>
        </is>
      </c>
      <c r="B3103" t="inlineStr">
        <is>
          <t>15주차</t>
        </is>
      </c>
      <c r="C3103" t="inlineStr">
        <is>
          <t>EP</t>
        </is>
      </c>
      <c r="D3103" s="28" t="n">
        <v>46121</v>
      </c>
      <c r="E3103" t="inlineStr">
        <is>
          <t>현대EP</t>
        </is>
      </c>
      <c r="F3103" t="inlineStr">
        <is>
          <t>김경태</t>
        </is>
      </c>
      <c r="G3103" t="inlineStr">
        <is>
          <t>010-7568-6846</t>
        </is>
      </c>
      <c r="H3103" t="inlineStr">
        <is>
          <t>115조6145</t>
        </is>
      </c>
      <c r="I3103" t="n">
        <v>27200000</v>
      </c>
      <c r="J3103" t="n">
        <v>0.1</v>
      </c>
      <c r="K3103" t="n">
        <v>1.76</v>
      </c>
      <c r="L3103" t="n">
        <v>0.2</v>
      </c>
      <c r="M3103" t="n">
        <v>1.56</v>
      </c>
      <c r="P3103" t="inlineStr">
        <is>
          <t>김수연</t>
        </is>
      </c>
      <c r="Q3103" t="inlineStr">
        <is>
          <t>홈서비스 60개월</t>
        </is>
      </c>
      <c r="AB3103" t="inlineStr">
        <is>
          <t>홈서비스</t>
        </is>
      </c>
      <c r="AC3103" t="n">
        <v>478720</v>
      </c>
      <c r="AD3103" t="n">
        <v>54400</v>
      </c>
      <c r="AE3103" t="n">
        <v>424320</v>
      </c>
      <c r="AF3103" t="n">
        <v>435200</v>
      </c>
      <c r="AG3103" t="n">
        <v>52604.8</v>
      </c>
      <c r="AH3103" t="n">
        <v>382595.2</v>
      </c>
      <c r="AI3103" t="n">
        <v>0</v>
      </c>
    </row>
    <row r="3104">
      <c r="A3104" t="inlineStr">
        <is>
          <t>4월</t>
        </is>
      </c>
      <c r="B3104" t="inlineStr">
        <is>
          <t>15주차</t>
        </is>
      </c>
      <c r="C3104" t="inlineStr">
        <is>
          <t>OR</t>
        </is>
      </c>
      <c r="D3104" s="28" t="n">
        <v>46121</v>
      </c>
      <c r="E3104" t="inlineStr">
        <is>
          <t>오릭스</t>
        </is>
      </c>
      <c r="F3104" t="inlineStr">
        <is>
          <t>김지훈</t>
        </is>
      </c>
      <c r="G3104" t="inlineStr">
        <is>
          <t>010-4149-3091</t>
        </is>
      </c>
      <c r="H3104" t="inlineStr">
        <is>
          <t>53머0648</t>
        </is>
      </c>
      <c r="I3104" t="n">
        <v>8800000</v>
      </c>
      <c r="J3104" t="n">
        <v>0.064</v>
      </c>
      <c r="K3104" t="n">
        <v>1.65</v>
      </c>
      <c r="L3104" t="n">
        <v>0.3</v>
      </c>
      <c r="M3104" t="n">
        <v>1.35</v>
      </c>
      <c r="P3104" t="inlineStr">
        <is>
          <t>박보람</t>
        </is>
      </c>
      <c r="Q3104" t="inlineStr">
        <is>
          <t>부대비용 추가진행</t>
        </is>
      </c>
      <c r="AB3104" t="inlineStr">
        <is>
          <t>엔카</t>
        </is>
      </c>
      <c r="AC3104" t="n">
        <v>145200</v>
      </c>
      <c r="AD3104" t="n">
        <v>26400</v>
      </c>
      <c r="AE3104" t="n">
        <v>118800</v>
      </c>
      <c r="AF3104" t="n">
        <v>132000</v>
      </c>
      <c r="AG3104" t="n">
        <v>25528.8</v>
      </c>
      <c r="AH3104" t="n">
        <v>106471.2</v>
      </c>
      <c r="AI3104" t="n">
        <v>0</v>
      </c>
    </row>
    <row r="3105">
      <c r="A3105" t="inlineStr">
        <is>
          <t>4월</t>
        </is>
      </c>
      <c r="B3105" t="inlineStr">
        <is>
          <t>15주차</t>
        </is>
      </c>
      <c r="C3105" t="inlineStr">
        <is>
          <t>IM</t>
        </is>
      </c>
      <c r="D3105" s="28" t="n">
        <v>46121</v>
      </c>
      <c r="E3105" t="inlineStr">
        <is>
          <t>IM캐피탈</t>
        </is>
      </c>
      <c r="F3105" t="inlineStr">
        <is>
          <t>송가은</t>
        </is>
      </c>
      <c r="G3105" t="inlineStr">
        <is>
          <t>010-5653-3763</t>
        </is>
      </c>
      <c r="H3105" t="inlineStr">
        <is>
          <t>105조3424</t>
        </is>
      </c>
      <c r="I3105" t="n">
        <v>15500000</v>
      </c>
      <c r="J3105" t="n">
        <v>0.082</v>
      </c>
      <c r="K3105" t="n">
        <v>1.1</v>
      </c>
      <c r="L3105" t="n">
        <v>0.3</v>
      </c>
      <c r="M3105" t="n">
        <v>0.8</v>
      </c>
      <c r="P3105" t="inlineStr">
        <is>
          <t>박현민</t>
        </is>
      </c>
      <c r="AB3105" t="inlineStr">
        <is>
          <t>엔카</t>
        </is>
      </c>
      <c r="AC3105" t="n">
        <v>170500</v>
      </c>
      <c r="AD3105" t="n">
        <v>46500</v>
      </c>
      <c r="AE3105" t="n">
        <v>124000</v>
      </c>
      <c r="AF3105" t="n">
        <v>155000</v>
      </c>
      <c r="AG3105" t="n">
        <v>44965.5</v>
      </c>
      <c r="AH3105" t="n">
        <v>110034.5</v>
      </c>
    </row>
    <row r="3106">
      <c r="A3106" t="inlineStr">
        <is>
          <t>4월</t>
        </is>
      </c>
      <c r="B3106" t="inlineStr">
        <is>
          <t>15주차</t>
        </is>
      </c>
      <c r="C3106" t="inlineStr">
        <is>
          <t>EP</t>
        </is>
      </c>
      <c r="D3106" s="28" t="n">
        <v>46121</v>
      </c>
      <c r="E3106" t="inlineStr">
        <is>
          <t>현대EP</t>
        </is>
      </c>
      <c r="F3106" t="inlineStr">
        <is>
          <t>김민창</t>
        </is>
      </c>
      <c r="G3106" t="inlineStr">
        <is>
          <t>010-6762-0337</t>
        </is>
      </c>
      <c r="H3106" t="inlineStr">
        <is>
          <t>107어9862</t>
        </is>
      </c>
      <c r="I3106" t="n">
        <v>10000000</v>
      </c>
      <c r="J3106" t="n">
        <v>0.09</v>
      </c>
      <c r="K3106" t="n">
        <v>1.76</v>
      </c>
      <c r="L3106" t="n">
        <v>0.2</v>
      </c>
      <c r="M3106" t="n">
        <v>1.56</v>
      </c>
      <c r="N3106" t="inlineStr">
        <is>
          <t>조철현</t>
        </is>
      </c>
      <c r="P3106" t="inlineStr">
        <is>
          <t>정세빈</t>
        </is>
      </c>
      <c r="Q3106" t="inlineStr">
        <is>
          <t>홈서비스 24개월</t>
        </is>
      </c>
      <c r="AB3106" t="inlineStr">
        <is>
          <t>홈서비스</t>
        </is>
      </c>
      <c r="AC3106" t="n">
        <v>176000</v>
      </c>
      <c r="AD3106" t="n">
        <v>20000</v>
      </c>
      <c r="AE3106" t="n">
        <v>156000</v>
      </c>
      <c r="AF3106" t="n">
        <v>160000</v>
      </c>
      <c r="AG3106" t="n">
        <v>19340</v>
      </c>
      <c r="AH3106" t="n">
        <v>140660</v>
      </c>
      <c r="AI3106" t="n">
        <v>0</v>
      </c>
    </row>
    <row r="3107">
      <c r="A3107" t="inlineStr">
        <is>
          <t>4월</t>
        </is>
      </c>
      <c r="B3107" t="inlineStr">
        <is>
          <t>15주차</t>
        </is>
      </c>
      <c r="C3107" t="inlineStr">
        <is>
          <t>IM</t>
        </is>
      </c>
      <c r="D3107" s="28" t="n">
        <v>46119</v>
      </c>
      <c r="E3107" t="inlineStr">
        <is>
          <t>IM캐피탈</t>
        </is>
      </c>
      <c r="F3107" t="inlineStr">
        <is>
          <t>황정중</t>
        </is>
      </c>
      <c r="G3107" t="inlineStr">
        <is>
          <t>010-6638-4516</t>
        </is>
      </c>
      <c r="H3107" t="inlineStr">
        <is>
          <t>131수7497</t>
        </is>
      </c>
      <c r="I3107" t="n">
        <v>26000000</v>
      </c>
      <c r="J3107" t="n">
        <v>0.056</v>
      </c>
      <c r="K3107" t="n">
        <v>1.1</v>
      </c>
      <c r="L3107" t="n">
        <v>0.07000000000000001</v>
      </c>
      <c r="M3107" t="n">
        <v>1.03</v>
      </c>
      <c r="P3107" t="inlineStr">
        <is>
          <t>박소현</t>
        </is>
      </c>
      <c r="Q3107" t="inlineStr">
        <is>
          <t>선상담/홈서비스60개월/현대 7.1%</t>
        </is>
      </c>
      <c r="AB3107" t="inlineStr">
        <is>
          <t>홈서비스</t>
        </is>
      </c>
      <c r="AC3107" t="n">
        <v>286000</v>
      </c>
      <c r="AD3107" t="n">
        <v>18200</v>
      </c>
      <c r="AE3107" t="n">
        <v>267800</v>
      </c>
      <c r="AF3107" t="n">
        <v>260000</v>
      </c>
      <c r="AG3107" t="n">
        <v>17599.4</v>
      </c>
      <c r="AH3107" t="n">
        <v>242400.6</v>
      </c>
      <c r="AI3107" t="n">
        <v>0</v>
      </c>
    </row>
    <row r="3108">
      <c r="A3108" t="inlineStr">
        <is>
          <t>4월</t>
        </is>
      </c>
      <c r="B3108" t="inlineStr">
        <is>
          <t>15주차</t>
        </is>
      </c>
      <c r="C3108" t="inlineStr">
        <is>
          <t>IM</t>
        </is>
      </c>
      <c r="D3108" s="28" t="n">
        <v>46122</v>
      </c>
      <c r="E3108" t="inlineStr">
        <is>
          <t>IM캐피탈</t>
        </is>
      </c>
      <c r="F3108" t="inlineStr">
        <is>
          <t>김보람</t>
        </is>
      </c>
      <c r="G3108" t="inlineStr">
        <is>
          <t>010-2445-8017</t>
        </is>
      </c>
      <c r="H3108" t="inlineStr">
        <is>
          <t>231무2175</t>
        </is>
      </c>
      <c r="I3108" t="n">
        <v>28000000</v>
      </c>
      <c r="J3108" t="n">
        <v>0.039</v>
      </c>
      <c r="K3108" t="n">
        <v>1.1</v>
      </c>
      <c r="L3108" t="n">
        <v>0.3</v>
      </c>
      <c r="M3108" t="n">
        <v>0.8</v>
      </c>
      <c r="P3108" t="inlineStr">
        <is>
          <t>박소현</t>
        </is>
      </c>
      <c r="Q3108" t="inlineStr">
        <is>
          <t>부대비용추가진행/기고객 소개</t>
        </is>
      </c>
      <c r="AB3108" t="inlineStr">
        <is>
          <t>엔카</t>
        </is>
      </c>
      <c r="AC3108" t="n">
        <v>308000</v>
      </c>
      <c r="AD3108" t="n">
        <v>84000</v>
      </c>
      <c r="AE3108" t="n">
        <v>224000</v>
      </c>
      <c r="AF3108" t="n">
        <v>280000</v>
      </c>
      <c r="AG3108" t="n">
        <v>81228</v>
      </c>
      <c r="AH3108" t="n">
        <v>198772</v>
      </c>
      <c r="AI3108" t="n">
        <v>0</v>
      </c>
    </row>
    <row r="3109">
      <c r="A3109" t="inlineStr">
        <is>
          <t>4월</t>
        </is>
      </c>
      <c r="B3109" t="inlineStr">
        <is>
          <t>15주차</t>
        </is>
      </c>
      <c r="C3109" t="inlineStr">
        <is>
          <t>EP</t>
        </is>
      </c>
      <c r="D3109" s="28" t="n">
        <v>46121</v>
      </c>
      <c r="E3109" t="inlineStr">
        <is>
          <t>현대EP_fast</t>
        </is>
      </c>
      <c r="F3109" t="inlineStr">
        <is>
          <t>송유정</t>
        </is>
      </c>
      <c r="G3109" t="inlineStr">
        <is>
          <t>010-5505-2876</t>
        </is>
      </c>
      <c r="H3109" t="inlineStr">
        <is>
          <t>340무7320</t>
        </is>
      </c>
      <c r="I3109" t="n">
        <v>20700000</v>
      </c>
      <c r="J3109" t="n">
        <v>0.127</v>
      </c>
      <c r="K3109" t="n">
        <v>1.76</v>
      </c>
      <c r="L3109" t="n">
        <v>0.2</v>
      </c>
      <c r="M3109" t="n">
        <v>1.56</v>
      </c>
      <c r="P3109" t="inlineStr">
        <is>
          <t>최형주</t>
        </is>
      </c>
      <c r="Q3109" t="inlineStr">
        <is>
          <t>홈서비스 60개월</t>
        </is>
      </c>
      <c r="AB3109" t="inlineStr">
        <is>
          <t>홈서비스</t>
        </is>
      </c>
      <c r="AC3109" t="n">
        <v>364320</v>
      </c>
      <c r="AD3109" t="n">
        <v>41400</v>
      </c>
      <c r="AE3109" t="n">
        <v>322920</v>
      </c>
      <c r="AF3109" t="n">
        <v>331200</v>
      </c>
      <c r="AG3109" t="n">
        <v>40033.8</v>
      </c>
      <c r="AH3109" t="n">
        <v>291166.2</v>
      </c>
    </row>
    <row r="3110">
      <c r="A3110" t="inlineStr">
        <is>
          <t>4월</t>
        </is>
      </c>
      <c r="B3110" t="inlineStr">
        <is>
          <t>15주차</t>
        </is>
      </c>
      <c r="C3110" t="inlineStr">
        <is>
          <t>EP</t>
        </is>
      </c>
      <c r="D3110" s="28" t="n">
        <v>46121</v>
      </c>
      <c r="E3110" t="inlineStr">
        <is>
          <t>현대EP</t>
        </is>
      </c>
      <c r="F3110" t="inlineStr">
        <is>
          <t>박정기</t>
        </is>
      </c>
      <c r="G3110" t="inlineStr">
        <is>
          <t>010-6427-9473</t>
        </is>
      </c>
      <c r="H3110" t="inlineStr">
        <is>
          <t>385고4736</t>
        </is>
      </c>
      <c r="I3110" t="n">
        <v>40500000</v>
      </c>
      <c r="J3110" t="n">
        <v>0.062</v>
      </c>
      <c r="K3110" t="n">
        <v>1.76</v>
      </c>
      <c r="L3110" t="n">
        <v>0.2</v>
      </c>
      <c r="M3110" t="n">
        <v>1.56</v>
      </c>
      <c r="P3110" t="inlineStr">
        <is>
          <t>정세빈</t>
        </is>
      </c>
      <c r="Q3110" t="inlineStr">
        <is>
          <t>홈서비스 60개월</t>
        </is>
      </c>
      <c r="AB3110" t="inlineStr">
        <is>
          <t>홈서비스</t>
        </is>
      </c>
      <c r="AC3110" t="n">
        <v>712800</v>
      </c>
      <c r="AD3110" t="n">
        <v>81000</v>
      </c>
      <c r="AE3110" t="n">
        <v>631800</v>
      </c>
      <c r="AF3110" t="n">
        <v>648000</v>
      </c>
      <c r="AG3110" t="n">
        <v>78327</v>
      </c>
      <c r="AH3110" t="n">
        <v>569673</v>
      </c>
      <c r="AI3110" t="n">
        <v>0</v>
      </c>
    </row>
    <row r="3111">
      <c r="A3111" t="inlineStr">
        <is>
          <t>4월</t>
        </is>
      </c>
      <c r="B3111" t="inlineStr">
        <is>
          <t>15주차</t>
        </is>
      </c>
      <c r="C3111" t="inlineStr">
        <is>
          <t>EP</t>
        </is>
      </c>
      <c r="D3111" s="28" t="n">
        <v>46122</v>
      </c>
      <c r="E3111" t="inlineStr">
        <is>
          <t>현대EP_fast</t>
        </is>
      </c>
      <c r="F3111" t="inlineStr">
        <is>
          <t>신형철</t>
        </is>
      </c>
      <c r="G3111" t="inlineStr">
        <is>
          <t>010-5092-3364</t>
        </is>
      </c>
      <c r="H3111" t="inlineStr">
        <is>
          <t>330수5664</t>
        </is>
      </c>
      <c r="I3111" t="n">
        <v>20500000</v>
      </c>
      <c r="J3111" t="n">
        <v>0.077</v>
      </c>
      <c r="K3111" t="n">
        <v>1.76</v>
      </c>
      <c r="L3111" t="n">
        <v>0.2</v>
      </c>
      <c r="M3111" t="n">
        <v>1.56</v>
      </c>
      <c r="P3111" t="inlineStr">
        <is>
          <t>황채이</t>
        </is>
      </c>
      <c r="Q3111" t="inlineStr">
        <is>
          <t>홈서비스 60개월</t>
        </is>
      </c>
      <c r="AB3111" t="inlineStr">
        <is>
          <t>홈서비스</t>
        </is>
      </c>
      <c r="AC3111" t="n">
        <v>360800</v>
      </c>
      <c r="AD3111" t="n">
        <v>41000</v>
      </c>
      <c r="AE3111" t="n">
        <v>319800</v>
      </c>
      <c r="AF3111" t="n">
        <v>328000</v>
      </c>
      <c r="AG3111" t="n">
        <v>39647</v>
      </c>
      <c r="AH3111" t="n">
        <v>288353</v>
      </c>
      <c r="AI3111" t="n">
        <v>0</v>
      </c>
    </row>
    <row r="3112">
      <c r="A3112" t="inlineStr">
        <is>
          <t>4월</t>
        </is>
      </c>
      <c r="B3112" t="inlineStr">
        <is>
          <t>15주차</t>
        </is>
      </c>
      <c r="C3112" t="inlineStr">
        <is>
          <t>EP</t>
        </is>
      </c>
      <c r="D3112" s="28" t="n">
        <v>46121</v>
      </c>
      <c r="E3112" t="inlineStr">
        <is>
          <t>현대EP_fast</t>
        </is>
      </c>
      <c r="F3112" t="inlineStr">
        <is>
          <t>서재우</t>
        </is>
      </c>
      <c r="G3112" t="inlineStr">
        <is>
          <t>010-7927-8027</t>
        </is>
      </c>
      <c r="H3112" t="inlineStr">
        <is>
          <t>38주2896</t>
        </is>
      </c>
      <c r="I3112" t="n">
        <v>9700000</v>
      </c>
      <c r="J3112" t="n">
        <v>0.119</v>
      </c>
      <c r="K3112" t="n">
        <v>1.76</v>
      </c>
      <c r="L3112" t="n">
        <v>0.6</v>
      </c>
      <c r="M3112" t="n">
        <v>1.16</v>
      </c>
      <c r="P3112" t="inlineStr">
        <is>
          <t>장현경</t>
        </is>
      </c>
      <c r="AB3112" t="inlineStr">
        <is>
          <t>엔카</t>
        </is>
      </c>
      <c r="AC3112" t="n">
        <v>170720</v>
      </c>
      <c r="AD3112" t="n">
        <v>58200</v>
      </c>
      <c r="AE3112" t="n">
        <v>112520</v>
      </c>
      <c r="AF3112" t="n">
        <v>155200</v>
      </c>
      <c r="AG3112" t="n">
        <v>56279.4</v>
      </c>
      <c r="AH3112" t="n">
        <v>98920.60000000001</v>
      </c>
      <c r="AI3112" t="n">
        <v>0</v>
      </c>
    </row>
    <row r="3113">
      <c r="A3113" t="inlineStr">
        <is>
          <t>4월</t>
        </is>
      </c>
      <c r="B3113" t="inlineStr">
        <is>
          <t>15주차</t>
        </is>
      </c>
      <c r="C3113" t="inlineStr">
        <is>
          <t>EP</t>
        </is>
      </c>
      <c r="D3113" s="28" t="n">
        <v>46120</v>
      </c>
      <c r="E3113" t="inlineStr">
        <is>
          <t>현대EP</t>
        </is>
      </c>
      <c r="F3113" t="inlineStr">
        <is>
          <t>조영진</t>
        </is>
      </c>
      <c r="G3113" t="inlineStr">
        <is>
          <t>010-9150-5208</t>
        </is>
      </c>
      <c r="H3113" t="inlineStr">
        <is>
          <t>183누5948</t>
        </is>
      </c>
      <c r="I3113" t="n">
        <v>7900000</v>
      </c>
      <c r="J3113" t="n">
        <v>0.07199999999999999</v>
      </c>
      <c r="K3113" t="n">
        <v>1.76</v>
      </c>
      <c r="L3113" t="n">
        <v>0.2</v>
      </c>
      <c r="M3113" t="n">
        <v>1.56</v>
      </c>
      <c r="P3113" t="inlineStr">
        <is>
          <t>정광호</t>
        </is>
      </c>
      <c r="Q3113" t="inlineStr">
        <is>
          <t>홈서비스 60개월</t>
        </is>
      </c>
      <c r="AB3113" t="inlineStr">
        <is>
          <t>홈서비스</t>
        </is>
      </c>
      <c r="AC3113" t="n">
        <v>139040</v>
      </c>
      <c r="AD3113" t="n">
        <v>15800</v>
      </c>
      <c r="AE3113" t="n">
        <v>123240</v>
      </c>
      <c r="AF3113" t="n">
        <v>126400</v>
      </c>
      <c r="AG3113" t="n">
        <v>15278.6</v>
      </c>
      <c r="AH3113" t="n">
        <v>111121.4</v>
      </c>
    </row>
    <row r="3114">
      <c r="A3114" t="inlineStr">
        <is>
          <t>4월</t>
        </is>
      </c>
      <c r="B3114" t="inlineStr">
        <is>
          <t>15주차</t>
        </is>
      </c>
      <c r="C3114" t="inlineStr">
        <is>
          <t>EP</t>
        </is>
      </c>
      <c r="D3114" s="28" t="n">
        <v>46121</v>
      </c>
      <c r="E3114" t="inlineStr">
        <is>
          <t>BNKEP</t>
        </is>
      </c>
      <c r="F3114" t="inlineStr">
        <is>
          <t>손지명</t>
        </is>
      </c>
      <c r="G3114" t="inlineStr">
        <is>
          <t>010-6556-0284</t>
        </is>
      </c>
      <c r="H3114" t="inlineStr">
        <is>
          <t>01고5830</t>
        </is>
      </c>
      <c r="I3114" t="n">
        <v>23500000</v>
      </c>
      <c r="J3114" t="n">
        <v>0.061</v>
      </c>
      <c r="K3114" t="n">
        <v>1.65</v>
      </c>
      <c r="L3114" t="n">
        <v>0.07000000000000001</v>
      </c>
      <c r="M3114" t="n">
        <v>1.58</v>
      </c>
      <c r="P3114" t="inlineStr">
        <is>
          <t>정광호</t>
        </is>
      </c>
      <c r="Q3114" t="inlineStr">
        <is>
          <t>홈서비스60개월</t>
        </is>
      </c>
      <c r="AB3114" t="inlineStr">
        <is>
          <t>홈서비스</t>
        </is>
      </c>
      <c r="AC3114" t="n">
        <v>387750</v>
      </c>
      <c r="AD3114" t="n">
        <v>16450</v>
      </c>
      <c r="AE3114" t="n">
        <v>371300</v>
      </c>
      <c r="AF3114" t="n">
        <v>352500</v>
      </c>
      <c r="AG3114" t="n">
        <v>15907.15</v>
      </c>
      <c r="AH3114" t="n">
        <v>336592.85</v>
      </c>
    </row>
    <row r="3115">
      <c r="A3115" t="inlineStr">
        <is>
          <t>4월</t>
        </is>
      </c>
      <c r="B3115" t="inlineStr">
        <is>
          <t>15주차</t>
        </is>
      </c>
      <c r="C3115" t="inlineStr">
        <is>
          <t>EP</t>
        </is>
      </c>
      <c r="D3115" s="28" t="n">
        <v>46122</v>
      </c>
      <c r="E3115" t="inlineStr">
        <is>
          <t>현대EP_fast</t>
        </is>
      </c>
      <c r="F3115" t="inlineStr">
        <is>
          <t>김동복</t>
        </is>
      </c>
      <c r="G3115" t="inlineStr">
        <is>
          <t>010-2506-6963</t>
        </is>
      </c>
      <c r="H3115" t="inlineStr">
        <is>
          <t>138부2651</t>
        </is>
      </c>
      <c r="I3115" t="n">
        <v>10000000</v>
      </c>
      <c r="J3115" t="n">
        <v>0.07099999999999999</v>
      </c>
      <c r="K3115" t="n">
        <v>1.76</v>
      </c>
      <c r="L3115" t="n">
        <v>0.2</v>
      </c>
      <c r="M3115" t="n">
        <v>1.56</v>
      </c>
      <c r="P3115" t="inlineStr">
        <is>
          <t>정광호</t>
        </is>
      </c>
      <c r="Q3115" t="inlineStr">
        <is>
          <t>홈서비스 24개월</t>
        </is>
      </c>
      <c r="AB3115" t="inlineStr">
        <is>
          <t>홈서비스</t>
        </is>
      </c>
      <c r="AC3115" t="n">
        <v>176000</v>
      </c>
      <c r="AD3115" t="n">
        <v>20000</v>
      </c>
      <c r="AE3115" t="n">
        <v>156000</v>
      </c>
      <c r="AF3115" t="n">
        <v>160000</v>
      </c>
      <c r="AG3115" t="n">
        <v>19340</v>
      </c>
      <c r="AH3115" t="n">
        <v>140660</v>
      </c>
      <c r="AI3115" t="n">
        <v>0</v>
      </c>
    </row>
    <row r="3116">
      <c r="A3116" t="inlineStr">
        <is>
          <t>4월</t>
        </is>
      </c>
      <c r="B3116" t="inlineStr">
        <is>
          <t>15주차</t>
        </is>
      </c>
      <c r="C3116" t="inlineStr">
        <is>
          <t>EP</t>
        </is>
      </c>
      <c r="D3116" s="28" t="n">
        <v>46120</v>
      </c>
      <c r="E3116" t="inlineStr">
        <is>
          <t>제이비EP</t>
        </is>
      </c>
      <c r="F3116" t="inlineStr">
        <is>
          <t>성주홍</t>
        </is>
      </c>
      <c r="G3116" t="inlineStr">
        <is>
          <t>010-2754-9467</t>
        </is>
      </c>
      <c r="H3116" t="inlineStr">
        <is>
          <t>184부6082</t>
        </is>
      </c>
      <c r="I3116" t="n">
        <v>11500000</v>
      </c>
      <c r="J3116" t="n">
        <v>0.11</v>
      </c>
      <c r="K3116" t="n">
        <v>1.65</v>
      </c>
      <c r="L3116" t="n">
        <v>0.3</v>
      </c>
      <c r="M3116" t="n">
        <v>1.35</v>
      </c>
      <c r="P3116" t="inlineStr">
        <is>
          <t>장진경</t>
        </is>
      </c>
      <c r="Q3116" t="inlineStr">
        <is>
          <t>부대비용 추가진행 / 현대 16.1%</t>
        </is>
      </c>
      <c r="AB3116" t="inlineStr">
        <is>
          <t>엔카</t>
        </is>
      </c>
      <c r="AC3116" t="n">
        <v>189750</v>
      </c>
      <c r="AD3116" t="n">
        <v>34500</v>
      </c>
      <c r="AE3116" t="n">
        <v>155250</v>
      </c>
      <c r="AF3116" t="n">
        <v>172500</v>
      </c>
      <c r="AG3116" t="n">
        <v>33361.5</v>
      </c>
      <c r="AH3116" t="n">
        <v>139138.5</v>
      </c>
      <c r="AI3116" t="n">
        <v>0</v>
      </c>
    </row>
    <row r="3117">
      <c r="A3117" t="inlineStr">
        <is>
          <t>4월</t>
        </is>
      </c>
      <c r="B3117" t="inlineStr">
        <is>
          <t>15주차</t>
        </is>
      </c>
      <c r="C3117" t="inlineStr">
        <is>
          <t>EP</t>
        </is>
      </c>
      <c r="D3117" s="28" t="n">
        <v>46121</v>
      </c>
      <c r="E3117" t="inlineStr">
        <is>
          <t>현대EP</t>
        </is>
      </c>
      <c r="F3117" t="inlineStr">
        <is>
          <t>김단비</t>
        </is>
      </c>
      <c r="G3117" t="inlineStr">
        <is>
          <t>010-7202-0103</t>
        </is>
      </c>
      <c r="H3117" t="inlineStr">
        <is>
          <t>03어8716</t>
        </is>
      </c>
      <c r="I3117" t="n">
        <v>26000000</v>
      </c>
      <c r="J3117" t="n">
        <v>0.07099999999999999</v>
      </c>
      <c r="K3117" t="n">
        <v>1.76</v>
      </c>
      <c r="L3117" t="n">
        <v>0.2</v>
      </c>
      <c r="M3117" t="n">
        <v>1.56</v>
      </c>
      <c r="P3117" t="inlineStr">
        <is>
          <t>최형주</t>
        </is>
      </c>
      <c r="Q3117" t="inlineStr">
        <is>
          <t>홈서비스 60개월</t>
        </is>
      </c>
      <c r="AB3117" t="inlineStr">
        <is>
          <t>홈서비스</t>
        </is>
      </c>
      <c r="AC3117" t="n">
        <v>457600</v>
      </c>
      <c r="AD3117" t="n">
        <v>52000</v>
      </c>
      <c r="AE3117" t="n">
        <v>405600</v>
      </c>
      <c r="AF3117" t="n">
        <v>416000</v>
      </c>
      <c r="AG3117" t="n">
        <v>50284</v>
      </c>
      <c r="AH3117" t="n">
        <v>365716</v>
      </c>
    </row>
    <row r="3118">
      <c r="A3118" t="inlineStr">
        <is>
          <t>4월</t>
        </is>
      </c>
      <c r="B3118" t="inlineStr">
        <is>
          <t>15주차</t>
        </is>
      </c>
      <c r="C3118" t="inlineStr">
        <is>
          <t>EP</t>
        </is>
      </c>
      <c r="D3118" s="28" t="n">
        <v>46122</v>
      </c>
      <c r="E3118" t="inlineStr">
        <is>
          <t>현대EP_fast</t>
        </is>
      </c>
      <c r="F3118" t="inlineStr">
        <is>
          <t>유현준</t>
        </is>
      </c>
      <c r="G3118" t="inlineStr">
        <is>
          <t>010-6668-6686</t>
        </is>
      </c>
      <c r="H3118" t="inlineStr">
        <is>
          <t>39소7165</t>
        </is>
      </c>
      <c r="I3118" t="n">
        <v>16900000</v>
      </c>
      <c r="J3118" t="n">
        <v>0.062</v>
      </c>
      <c r="K3118" t="n">
        <v>1.76</v>
      </c>
      <c r="L3118" t="n">
        <v>0.2</v>
      </c>
      <c r="M3118" t="n">
        <v>1.56</v>
      </c>
      <c r="P3118" t="inlineStr">
        <is>
          <t>정세빈</t>
        </is>
      </c>
      <c r="Q3118" t="inlineStr">
        <is>
          <t>홈서비스 60개월</t>
        </is>
      </c>
      <c r="AB3118" t="inlineStr">
        <is>
          <t>홈서비스</t>
        </is>
      </c>
      <c r="AC3118" t="n">
        <v>297440</v>
      </c>
      <c r="AD3118" t="n">
        <v>33800</v>
      </c>
      <c r="AE3118" t="n">
        <v>263640</v>
      </c>
      <c r="AF3118" t="n">
        <v>270400</v>
      </c>
      <c r="AG3118" t="n">
        <v>32684.6</v>
      </c>
      <c r="AH3118" t="n">
        <v>237715.4</v>
      </c>
      <c r="AI3118" t="n">
        <v>0</v>
      </c>
    </row>
    <row r="3119">
      <c r="A3119" t="inlineStr">
        <is>
          <t>4월</t>
        </is>
      </c>
      <c r="B3119" t="inlineStr">
        <is>
          <t>15주차</t>
        </is>
      </c>
      <c r="C3119" t="inlineStr">
        <is>
          <t>EP</t>
        </is>
      </c>
      <c r="D3119" s="28" t="n">
        <v>46122</v>
      </c>
      <c r="E3119" t="inlineStr">
        <is>
          <t>현대EP_fast</t>
        </is>
      </c>
      <c r="F3119" t="inlineStr">
        <is>
          <t>조민아</t>
        </is>
      </c>
      <c r="G3119" t="inlineStr">
        <is>
          <t>010-5068-1787</t>
        </is>
      </c>
      <c r="H3119" t="inlineStr">
        <is>
          <t>56서5413</t>
        </is>
      </c>
      <c r="I3119" t="n">
        <v>14600000</v>
      </c>
      <c r="J3119" t="n">
        <v>0.154</v>
      </c>
      <c r="K3119" t="n">
        <v>1.76</v>
      </c>
      <c r="L3119" t="n">
        <v>0.2</v>
      </c>
      <c r="M3119" t="n">
        <v>1.56</v>
      </c>
      <c r="P3119" t="inlineStr">
        <is>
          <t>정광호</t>
        </is>
      </c>
      <c r="Q3119" t="inlineStr">
        <is>
          <t>홈서비스 48개월</t>
        </is>
      </c>
      <c r="AB3119" t="inlineStr">
        <is>
          <t>홈서비스</t>
        </is>
      </c>
      <c r="AC3119" t="n">
        <v>256960</v>
      </c>
      <c r="AD3119" t="n">
        <v>29200</v>
      </c>
      <c r="AE3119" t="n">
        <v>227760</v>
      </c>
      <c r="AF3119" t="n">
        <v>233600</v>
      </c>
      <c r="AG3119" t="n">
        <v>28236.4</v>
      </c>
      <c r="AH3119" t="n">
        <v>205363.6</v>
      </c>
      <c r="AI3119" t="n">
        <v>0</v>
      </c>
    </row>
    <row r="3120">
      <c r="A3120" t="inlineStr">
        <is>
          <t>4월</t>
        </is>
      </c>
      <c r="B3120" t="inlineStr">
        <is>
          <t>15주차</t>
        </is>
      </c>
      <c r="C3120" t="inlineStr">
        <is>
          <t>EP</t>
        </is>
      </c>
      <c r="D3120" s="28" t="n">
        <v>46122</v>
      </c>
      <c r="E3120" t="inlineStr">
        <is>
          <t>현대EP_fast</t>
        </is>
      </c>
      <c r="F3120" t="inlineStr">
        <is>
          <t>김정호</t>
        </is>
      </c>
      <c r="G3120" t="inlineStr">
        <is>
          <t>010-9215-4455</t>
        </is>
      </c>
      <c r="H3120" t="inlineStr">
        <is>
          <t>122보2807</t>
        </is>
      </c>
      <c r="I3120" t="n">
        <v>18000000</v>
      </c>
      <c r="J3120" t="n">
        <v>0.07199999999999999</v>
      </c>
      <c r="K3120" t="n">
        <v>1.76</v>
      </c>
      <c r="L3120" t="n">
        <v>0.2</v>
      </c>
      <c r="M3120" t="n">
        <v>1.56</v>
      </c>
      <c r="P3120" t="inlineStr">
        <is>
          <t>최형주</t>
        </is>
      </c>
      <c r="Q3120" t="inlineStr">
        <is>
          <t>홈서비스 60개월</t>
        </is>
      </c>
      <c r="AB3120" t="inlineStr">
        <is>
          <t>홈서비스</t>
        </is>
      </c>
      <c r="AC3120" t="n">
        <v>316800</v>
      </c>
      <c r="AD3120" t="n">
        <v>36000</v>
      </c>
      <c r="AE3120" t="n">
        <v>280800</v>
      </c>
      <c r="AF3120" t="n">
        <v>288000</v>
      </c>
      <c r="AG3120" t="n">
        <v>34812</v>
      </c>
      <c r="AH3120" t="n">
        <v>253188</v>
      </c>
      <c r="AI3120" t="n">
        <v>0</v>
      </c>
    </row>
    <row r="3121">
      <c r="A3121" t="inlineStr">
        <is>
          <t>4월</t>
        </is>
      </c>
      <c r="B3121" t="inlineStr">
        <is>
          <t>15주차</t>
        </is>
      </c>
      <c r="C3121" t="inlineStr">
        <is>
          <t>EP</t>
        </is>
      </c>
      <c r="D3121" s="28" t="n">
        <v>46122</v>
      </c>
      <c r="E3121" t="inlineStr">
        <is>
          <t>제이비EP</t>
        </is>
      </c>
      <c r="F3121" t="inlineStr">
        <is>
          <t>황재민</t>
        </is>
      </c>
      <c r="G3121" t="inlineStr">
        <is>
          <t>010-5773-6938</t>
        </is>
      </c>
      <c r="H3121" t="inlineStr">
        <is>
          <t>40구5753</t>
        </is>
      </c>
      <c r="I3121" t="n">
        <v>14500000</v>
      </c>
      <c r="J3121" t="n">
        <v>0.079</v>
      </c>
      <c r="K3121" t="n">
        <v>1.65</v>
      </c>
      <c r="L3121" t="n">
        <v>0.07000000000000001</v>
      </c>
      <c r="M3121" t="n">
        <v>1.58</v>
      </c>
      <c r="P3121" t="inlineStr">
        <is>
          <t>정세빈</t>
        </is>
      </c>
      <c r="Q3121" t="inlineStr">
        <is>
          <t>홈서비스 60개월 /  현대 8.8%</t>
        </is>
      </c>
      <c r="AB3121" t="inlineStr">
        <is>
          <t>홈서비스</t>
        </is>
      </c>
      <c r="AC3121" t="n">
        <v>239250</v>
      </c>
      <c r="AD3121" t="n">
        <v>10150</v>
      </c>
      <c r="AE3121" t="n">
        <v>229100</v>
      </c>
      <c r="AF3121" t="n">
        <v>217500</v>
      </c>
      <c r="AG3121" t="n">
        <v>9815.049999999999</v>
      </c>
      <c r="AH3121" t="n">
        <v>207684.95</v>
      </c>
      <c r="AI3121" t="n">
        <v>0</v>
      </c>
    </row>
    <row r="3122">
      <c r="A3122" t="inlineStr">
        <is>
          <t>4월</t>
        </is>
      </c>
      <c r="B3122" t="inlineStr">
        <is>
          <t>15주차</t>
        </is>
      </c>
      <c r="C3122" t="inlineStr">
        <is>
          <t>EP</t>
        </is>
      </c>
      <c r="D3122" s="28" t="n">
        <v>46122</v>
      </c>
      <c r="E3122" t="inlineStr">
        <is>
          <t>BNKEP</t>
        </is>
      </c>
      <c r="F3122" t="inlineStr">
        <is>
          <t>권순민</t>
        </is>
      </c>
      <c r="G3122" t="inlineStr">
        <is>
          <t>010-9552-5256</t>
        </is>
      </c>
      <c r="H3122" t="inlineStr">
        <is>
          <t>249루9861</t>
        </is>
      </c>
      <c r="I3122" t="n">
        <v>6000000</v>
      </c>
      <c r="J3122" t="n">
        <v>0.061</v>
      </c>
      <c r="K3122" t="n">
        <v>1.65</v>
      </c>
      <c r="L3122" t="n">
        <v>0.07000000000000001</v>
      </c>
      <c r="M3122" t="n">
        <v>1.58</v>
      </c>
      <c r="P3122" t="inlineStr">
        <is>
          <t>정광호</t>
        </is>
      </c>
      <c r="Q3122" t="inlineStr">
        <is>
          <t>홈서비스 36개월</t>
        </is>
      </c>
      <c r="AB3122" t="inlineStr">
        <is>
          <t>홈서비스</t>
        </is>
      </c>
      <c r="AC3122" t="n">
        <v>99000</v>
      </c>
      <c r="AD3122" t="n">
        <v>4200</v>
      </c>
      <c r="AE3122" t="n">
        <v>94800</v>
      </c>
      <c r="AF3122" t="n">
        <v>90000</v>
      </c>
      <c r="AG3122" t="n">
        <v>4061.4</v>
      </c>
      <c r="AH3122" t="n">
        <v>85938.60000000001</v>
      </c>
    </row>
    <row r="3123">
      <c r="A3123" t="inlineStr">
        <is>
          <t>4월</t>
        </is>
      </c>
      <c r="B3123" t="inlineStr">
        <is>
          <t>15주차</t>
        </is>
      </c>
      <c r="C3123" t="inlineStr">
        <is>
          <t>EP</t>
        </is>
      </c>
      <c r="D3123" s="28" t="n">
        <v>46119</v>
      </c>
      <c r="E3123" t="inlineStr">
        <is>
          <t>현대EP</t>
        </is>
      </c>
      <c r="F3123" t="inlineStr">
        <is>
          <t>김광욱</t>
        </is>
      </c>
      <c r="G3123" t="inlineStr">
        <is>
          <t>010-5436-8520</t>
        </is>
      </c>
      <c r="H3123" t="inlineStr">
        <is>
          <t>226어9390</t>
        </is>
      </c>
      <c r="I3123" t="n">
        <v>36800000</v>
      </c>
      <c r="J3123" t="n">
        <v>0.07099999999999999</v>
      </c>
      <c r="K3123" t="n">
        <v>1.76</v>
      </c>
      <c r="L3123" t="n">
        <v>0.2</v>
      </c>
      <c r="M3123" t="n">
        <v>1.56</v>
      </c>
      <c r="P3123" t="inlineStr">
        <is>
          <t>정하은</t>
        </is>
      </c>
      <c r="Q3123" t="inlineStr">
        <is>
          <t>홈서비스 60개월</t>
        </is>
      </c>
      <c r="AB3123" t="inlineStr">
        <is>
          <t>홈서비스</t>
        </is>
      </c>
      <c r="AC3123" t="n">
        <v>647680</v>
      </c>
      <c r="AD3123" t="n">
        <v>73600</v>
      </c>
      <c r="AE3123" t="n">
        <v>574080</v>
      </c>
      <c r="AF3123" t="n">
        <v>588800</v>
      </c>
      <c r="AG3123" t="n">
        <v>71171.2</v>
      </c>
      <c r="AH3123" t="n">
        <v>517628.8</v>
      </c>
      <c r="AI3123" t="n">
        <v>0</v>
      </c>
    </row>
    <row r="3124">
      <c r="A3124" t="inlineStr">
        <is>
          <t>4월</t>
        </is>
      </c>
      <c r="B3124" t="inlineStr">
        <is>
          <t>15주차</t>
        </is>
      </c>
      <c r="C3124" t="inlineStr">
        <is>
          <t>EP</t>
        </is>
      </c>
      <c r="D3124" s="28" t="n">
        <v>46123</v>
      </c>
      <c r="E3124" t="inlineStr">
        <is>
          <t>현대EP</t>
        </is>
      </c>
      <c r="F3124" t="inlineStr">
        <is>
          <t>함선웅</t>
        </is>
      </c>
      <c r="G3124" t="inlineStr">
        <is>
          <t>010-9183-7384</t>
        </is>
      </c>
      <c r="H3124" t="inlineStr">
        <is>
          <t>36소0419</t>
        </is>
      </c>
      <c r="I3124" t="n">
        <v>8000000</v>
      </c>
      <c r="J3124" t="n">
        <v>0.118</v>
      </c>
      <c r="K3124" t="n">
        <v>1.76</v>
      </c>
      <c r="L3124" t="n">
        <v>0.2</v>
      </c>
      <c r="M3124" t="n">
        <v>1.56</v>
      </c>
      <c r="P3124" t="inlineStr">
        <is>
          <t>정하은</t>
        </is>
      </c>
      <c r="Q3124" t="inlineStr">
        <is>
          <t>홈서비스 48개월</t>
        </is>
      </c>
      <c r="AB3124" t="inlineStr">
        <is>
          <t>홈서비스</t>
        </is>
      </c>
      <c r="AC3124" t="n">
        <v>140800</v>
      </c>
      <c r="AD3124" t="n">
        <v>16000</v>
      </c>
      <c r="AE3124" t="n">
        <v>124800</v>
      </c>
      <c r="AF3124" t="n">
        <v>128000</v>
      </c>
      <c r="AG3124" t="n">
        <v>15472</v>
      </c>
      <c r="AH3124" t="n">
        <v>112528</v>
      </c>
      <c r="AI3124" t="n">
        <v>0</v>
      </c>
    </row>
    <row r="3125">
      <c r="A3125" t="inlineStr">
        <is>
          <t>4월</t>
        </is>
      </c>
      <c r="B3125" t="inlineStr">
        <is>
          <t>15주차</t>
        </is>
      </c>
      <c r="C3125" t="inlineStr">
        <is>
          <t>EP</t>
        </is>
      </c>
      <c r="D3125" s="28" t="n">
        <v>46122</v>
      </c>
      <c r="E3125" t="inlineStr">
        <is>
          <t>현대EP_fast</t>
        </is>
      </c>
      <c r="F3125" t="inlineStr">
        <is>
          <t>윤태호</t>
        </is>
      </c>
      <c r="G3125" t="inlineStr">
        <is>
          <t>010-2733-3307</t>
        </is>
      </c>
      <c r="H3125" t="inlineStr">
        <is>
          <t>174서6684</t>
        </is>
      </c>
      <c r="I3125" t="n">
        <v>37900000</v>
      </c>
      <c r="J3125" t="n">
        <v>0.102</v>
      </c>
      <c r="K3125" t="n">
        <v>1.76</v>
      </c>
      <c r="L3125" t="n">
        <v>0.2</v>
      </c>
      <c r="M3125" t="n">
        <v>1.56</v>
      </c>
      <c r="P3125" t="inlineStr">
        <is>
          <t>최형주</t>
        </is>
      </c>
      <c r="Q3125" t="inlineStr">
        <is>
          <t>홈서비스 60개월</t>
        </is>
      </c>
      <c r="AB3125" t="inlineStr">
        <is>
          <t>홈서비스</t>
        </is>
      </c>
      <c r="AC3125" t="n">
        <v>667040</v>
      </c>
      <c r="AD3125" t="n">
        <v>75800</v>
      </c>
      <c r="AE3125" t="n">
        <v>591240</v>
      </c>
      <c r="AF3125" t="n">
        <v>606400</v>
      </c>
      <c r="AG3125" t="n">
        <v>73298.60000000001</v>
      </c>
      <c r="AH3125" t="n">
        <v>533101.4</v>
      </c>
      <c r="AI3125" t="n">
        <v>0</v>
      </c>
    </row>
    <row r="3126">
      <c r="A3126" t="inlineStr">
        <is>
          <t>4월</t>
        </is>
      </c>
      <c r="B3126" t="inlineStr">
        <is>
          <t>15주차</t>
        </is>
      </c>
      <c r="C3126" t="inlineStr">
        <is>
          <t>EP</t>
        </is>
      </c>
      <c r="D3126" s="28" t="n">
        <v>46122</v>
      </c>
      <c r="E3126" t="inlineStr">
        <is>
          <t>현대EP_fast</t>
        </is>
      </c>
      <c r="F3126" t="inlineStr">
        <is>
          <t>윤용훈</t>
        </is>
      </c>
      <c r="G3126" t="inlineStr">
        <is>
          <t>010-6208-6743</t>
        </is>
      </c>
      <c r="H3126" t="inlineStr">
        <is>
          <t>129모4952</t>
        </is>
      </c>
      <c r="I3126" t="n">
        <v>12900000</v>
      </c>
      <c r="J3126" t="n">
        <v>0.118</v>
      </c>
      <c r="K3126" t="n">
        <v>1.76</v>
      </c>
      <c r="L3126" t="n">
        <v>0.2</v>
      </c>
      <c r="M3126" t="n">
        <v>1.56</v>
      </c>
      <c r="P3126" t="inlineStr">
        <is>
          <t>김수연</t>
        </is>
      </c>
      <c r="Q3126" t="inlineStr">
        <is>
          <t>홈서비스 48개월</t>
        </is>
      </c>
      <c r="AB3126" t="inlineStr">
        <is>
          <t>홈서비스</t>
        </is>
      </c>
      <c r="AC3126" t="n">
        <v>227040</v>
      </c>
      <c r="AD3126" t="n">
        <v>25800</v>
      </c>
      <c r="AE3126" t="n">
        <v>201240</v>
      </c>
      <c r="AF3126" t="n">
        <v>206400</v>
      </c>
      <c r="AG3126" t="n">
        <v>24948.6</v>
      </c>
      <c r="AH3126" t="n">
        <v>181451.4</v>
      </c>
      <c r="AI3126" t="n">
        <v>0</v>
      </c>
    </row>
    <row r="3127">
      <c r="A3127" t="inlineStr">
        <is>
          <t>4월</t>
        </is>
      </c>
      <c r="B3127" t="inlineStr">
        <is>
          <t>15주차</t>
        </is>
      </c>
      <c r="C3127" t="inlineStr">
        <is>
          <t>EP</t>
        </is>
      </c>
      <c r="D3127" s="28" t="n">
        <v>46122</v>
      </c>
      <c r="E3127" t="inlineStr">
        <is>
          <t>현대EP_fast</t>
        </is>
      </c>
      <c r="F3127" t="inlineStr">
        <is>
          <t>김현겸</t>
        </is>
      </c>
      <c r="G3127" t="inlineStr">
        <is>
          <t>010-9200-0020</t>
        </is>
      </c>
      <c r="H3127" t="inlineStr">
        <is>
          <t>389머8062</t>
        </is>
      </c>
      <c r="I3127" t="n">
        <v>58000000</v>
      </c>
      <c r="J3127" t="n">
        <v>0.102</v>
      </c>
      <c r="K3127" t="n">
        <v>1.76</v>
      </c>
      <c r="L3127" t="n">
        <v>0.2</v>
      </c>
      <c r="M3127" t="n">
        <v>1.56</v>
      </c>
      <c r="P3127" t="inlineStr">
        <is>
          <t>황채이</t>
        </is>
      </c>
      <c r="Q3127" t="inlineStr">
        <is>
          <t>홈서비스 48개월</t>
        </is>
      </c>
      <c r="AB3127" t="inlineStr">
        <is>
          <t>홈서비스</t>
        </is>
      </c>
      <c r="AC3127" t="n">
        <v>1020800</v>
      </c>
      <c r="AD3127" t="n">
        <v>116000</v>
      </c>
      <c r="AE3127" t="n">
        <v>904800</v>
      </c>
      <c r="AF3127" t="n">
        <v>928000</v>
      </c>
      <c r="AG3127" t="n">
        <v>112172</v>
      </c>
      <c r="AH3127" t="n">
        <v>815828</v>
      </c>
    </row>
    <row r="3128">
      <c r="A3128" t="inlineStr">
        <is>
          <t>4월</t>
        </is>
      </c>
      <c r="B3128" t="inlineStr">
        <is>
          <t>15주차</t>
        </is>
      </c>
      <c r="C3128" t="inlineStr">
        <is>
          <t>EP</t>
        </is>
      </c>
      <c r="D3128" s="28" t="n">
        <v>46122</v>
      </c>
      <c r="E3128" t="inlineStr">
        <is>
          <t>현대EP_fast</t>
        </is>
      </c>
      <c r="F3128" t="inlineStr">
        <is>
          <t>박근호</t>
        </is>
      </c>
      <c r="G3128" t="inlineStr">
        <is>
          <t>010-4767-4706</t>
        </is>
      </c>
      <c r="H3128" t="inlineStr">
        <is>
          <t>19로2330</t>
        </is>
      </c>
      <c r="I3128" t="n">
        <v>12000000</v>
      </c>
      <c r="J3128" t="n">
        <v>0.062</v>
      </c>
      <c r="K3128" t="n">
        <v>1.76</v>
      </c>
      <c r="L3128" t="n">
        <v>0.2</v>
      </c>
      <c r="M3128" t="n">
        <v>1.56</v>
      </c>
      <c r="P3128" t="inlineStr">
        <is>
          <t>김수연</t>
        </is>
      </c>
      <c r="Q3128" t="inlineStr">
        <is>
          <t>홈서비스 60개월</t>
        </is>
      </c>
      <c r="AB3128" t="inlineStr">
        <is>
          <t>홈서비스</t>
        </is>
      </c>
      <c r="AC3128" t="n">
        <v>211200</v>
      </c>
      <c r="AD3128" t="n">
        <v>24000</v>
      </c>
      <c r="AE3128" t="n">
        <v>187200</v>
      </c>
      <c r="AF3128" t="n">
        <v>192000</v>
      </c>
      <c r="AG3128" t="n">
        <v>23208</v>
      </c>
      <c r="AH3128" t="n">
        <v>168792</v>
      </c>
    </row>
    <row r="3129">
      <c r="A3129" t="inlineStr">
        <is>
          <t>4월</t>
        </is>
      </c>
      <c r="B3129" t="inlineStr">
        <is>
          <t>15주차</t>
        </is>
      </c>
      <c r="C3129" t="inlineStr">
        <is>
          <t>EP</t>
        </is>
      </c>
      <c r="D3129" s="28" t="n">
        <v>46122</v>
      </c>
      <c r="E3129" t="inlineStr">
        <is>
          <t>현대EP</t>
        </is>
      </c>
      <c r="F3129" t="inlineStr">
        <is>
          <t>전형근</t>
        </is>
      </c>
      <c r="G3129" t="inlineStr">
        <is>
          <t>010-2710-8502</t>
        </is>
      </c>
      <c r="H3129" t="inlineStr">
        <is>
          <t>29오2479</t>
        </is>
      </c>
      <c r="I3129" t="n">
        <v>23900000</v>
      </c>
      <c r="J3129" t="n">
        <v>0.118</v>
      </c>
      <c r="K3129" t="n">
        <v>1.76</v>
      </c>
      <c r="L3129" t="n">
        <v>0.6</v>
      </c>
      <c r="M3129" t="n">
        <v>1.16</v>
      </c>
      <c r="P3129" t="inlineStr">
        <is>
          <t>박보람</t>
        </is>
      </c>
      <c r="AB3129" t="inlineStr">
        <is>
          <t>엔카</t>
        </is>
      </c>
      <c r="AC3129" t="n">
        <v>420640</v>
      </c>
      <c r="AD3129" t="n">
        <v>143400</v>
      </c>
      <c r="AE3129" t="n">
        <v>277240</v>
      </c>
      <c r="AF3129" t="n">
        <v>382400</v>
      </c>
      <c r="AG3129" t="n">
        <v>138667.8</v>
      </c>
      <c r="AH3129" t="n">
        <v>243732.2</v>
      </c>
    </row>
    <row r="3130">
      <c r="A3130" t="inlineStr">
        <is>
          <t>4월</t>
        </is>
      </c>
      <c r="B3130" t="inlineStr">
        <is>
          <t>15주차</t>
        </is>
      </c>
      <c r="C3130" t="inlineStr">
        <is>
          <t>EP</t>
        </is>
      </c>
      <c r="D3130" s="28" t="n">
        <v>46121</v>
      </c>
      <c r="E3130" t="inlineStr">
        <is>
          <t>제이비EP</t>
        </is>
      </c>
      <c r="F3130" t="inlineStr">
        <is>
          <t>최영진</t>
        </is>
      </c>
      <c r="G3130" t="inlineStr">
        <is>
          <t>010-5304-4918</t>
        </is>
      </c>
      <c r="H3130" t="inlineStr">
        <is>
          <t>152노4328</t>
        </is>
      </c>
      <c r="I3130" t="n">
        <v>21400000</v>
      </c>
      <c r="J3130" t="n">
        <v>0.07199999999999999</v>
      </c>
      <c r="K3130" t="n">
        <v>1.65</v>
      </c>
      <c r="L3130" t="n">
        <v>0.3</v>
      </c>
      <c r="M3130" t="n">
        <v>1.35</v>
      </c>
      <c r="P3130" t="inlineStr">
        <is>
          <t>최혁</t>
        </is>
      </c>
      <c r="AB3130" t="inlineStr">
        <is>
          <t>엔카</t>
        </is>
      </c>
      <c r="AC3130" t="n">
        <v>353100</v>
      </c>
      <c r="AD3130" t="n">
        <v>64200</v>
      </c>
      <c r="AE3130" t="n">
        <v>288900</v>
      </c>
      <c r="AF3130" t="n">
        <v>321000</v>
      </c>
      <c r="AG3130" t="n">
        <v>62081.4</v>
      </c>
      <c r="AH3130" t="n">
        <v>258918.6</v>
      </c>
      <c r="AI3130" t="n">
        <v>0</v>
      </c>
    </row>
    <row r="3131">
      <c r="A3131" t="inlineStr">
        <is>
          <t>4월</t>
        </is>
      </c>
      <c r="B3131" t="inlineStr">
        <is>
          <t>15주차</t>
        </is>
      </c>
      <c r="C3131" t="inlineStr">
        <is>
          <t>IM</t>
        </is>
      </c>
      <c r="D3131" s="28" t="n">
        <v>46122</v>
      </c>
      <c r="E3131" t="inlineStr">
        <is>
          <t>IM캐피탈</t>
        </is>
      </c>
      <c r="F3131" t="inlineStr">
        <is>
          <t>김동건</t>
        </is>
      </c>
      <c r="G3131" t="inlineStr">
        <is>
          <t>010-4761-3339</t>
        </is>
      </c>
      <c r="H3131" t="inlineStr">
        <is>
          <t>387머3850</t>
        </is>
      </c>
      <c r="I3131" t="n">
        <v>26000000</v>
      </c>
      <c r="J3131" t="n">
        <v>0.049</v>
      </c>
      <c r="K3131" t="n">
        <v>1.1</v>
      </c>
      <c r="L3131" t="n">
        <v>0.3</v>
      </c>
      <c r="M3131" t="n">
        <v>0.8</v>
      </c>
      <c r="P3131" t="inlineStr">
        <is>
          <t>박보람</t>
        </is>
      </c>
      <c r="AB3131" t="inlineStr">
        <is>
          <t>엔카</t>
        </is>
      </c>
      <c r="AC3131" t="n">
        <v>286000</v>
      </c>
      <c r="AD3131" t="n">
        <v>78000</v>
      </c>
      <c r="AE3131" t="n">
        <v>208000</v>
      </c>
      <c r="AF3131" t="n">
        <v>260000</v>
      </c>
      <c r="AG3131" t="n">
        <v>75426</v>
      </c>
      <c r="AH3131" t="n">
        <v>184574</v>
      </c>
      <c r="AI3131" t="n">
        <v>0</v>
      </c>
    </row>
    <row r="3132">
      <c r="A3132" t="inlineStr">
        <is>
          <t>4월</t>
        </is>
      </c>
      <c r="B3132" t="inlineStr">
        <is>
          <t>15주차</t>
        </is>
      </c>
      <c r="C3132" t="inlineStr">
        <is>
          <t>IM</t>
        </is>
      </c>
      <c r="D3132" s="28" t="n">
        <v>46121</v>
      </c>
      <c r="E3132" t="inlineStr">
        <is>
          <t>IM캐피탈</t>
        </is>
      </c>
      <c r="F3132" t="inlineStr">
        <is>
          <t>이보은</t>
        </is>
      </c>
      <c r="G3132" t="inlineStr">
        <is>
          <t>010-8723-8236</t>
        </is>
      </c>
      <c r="H3132" t="inlineStr">
        <is>
          <t>304거9687</t>
        </is>
      </c>
      <c r="I3132" t="n">
        <v>21000000</v>
      </c>
      <c r="J3132" t="n">
        <v>0.039</v>
      </c>
      <c r="K3132" t="n">
        <v>1.1</v>
      </c>
      <c r="L3132" t="n">
        <v>0.07000000000000001</v>
      </c>
      <c r="M3132" t="n">
        <v>1.03</v>
      </c>
      <c r="P3132" t="inlineStr">
        <is>
          <t>장현경</t>
        </is>
      </c>
      <c r="Q3132" t="inlineStr">
        <is>
          <t>선상담 / 홈서비스 60개월 / 금리불만 - 현대 6.2%</t>
        </is>
      </c>
      <c r="AB3132" t="inlineStr">
        <is>
          <t>홈서비스</t>
        </is>
      </c>
      <c r="AC3132" t="n">
        <v>231000</v>
      </c>
      <c r="AD3132" t="n">
        <v>14700</v>
      </c>
      <c r="AE3132" t="n">
        <v>216300</v>
      </c>
      <c r="AF3132" t="n">
        <v>210000</v>
      </c>
      <c r="AG3132" t="n">
        <v>14214.9</v>
      </c>
      <c r="AH3132" t="n">
        <v>195785.1</v>
      </c>
      <c r="AI3132" t="n">
        <v>0</v>
      </c>
    </row>
    <row r="3133">
      <c r="A3133" t="inlineStr">
        <is>
          <t>4월</t>
        </is>
      </c>
      <c r="B3133" t="inlineStr">
        <is>
          <t>15주차</t>
        </is>
      </c>
      <c r="C3133" t="inlineStr">
        <is>
          <t>EP</t>
        </is>
      </c>
      <c r="D3133" s="28" t="n">
        <v>46118</v>
      </c>
      <c r="E3133" t="inlineStr">
        <is>
          <t>현대EP_fast</t>
        </is>
      </c>
      <c r="F3133" t="inlineStr">
        <is>
          <t>강태주</t>
        </is>
      </c>
      <c r="G3133" t="inlineStr">
        <is>
          <t>010-9125-2939</t>
        </is>
      </c>
      <c r="H3133" t="inlineStr">
        <is>
          <t>176구3997</t>
        </is>
      </c>
      <c r="I3133" t="n">
        <v>5000000</v>
      </c>
      <c r="J3133" t="n">
        <v>0.118</v>
      </c>
      <c r="K3133" t="n">
        <v>1.76</v>
      </c>
      <c r="L3133" t="n">
        <v>0.6</v>
      </c>
      <c r="M3133" t="n">
        <v>1.16</v>
      </c>
      <c r="P3133" t="inlineStr">
        <is>
          <t>임대경</t>
        </is>
      </c>
      <c r="AB3133" t="inlineStr">
        <is>
          <t>엔카</t>
        </is>
      </c>
      <c r="AC3133" t="n">
        <v>88000</v>
      </c>
      <c r="AD3133" t="n">
        <v>30000</v>
      </c>
      <c r="AE3133" t="n">
        <v>58000</v>
      </c>
      <c r="AF3133" t="n">
        <v>80000</v>
      </c>
      <c r="AG3133" t="n">
        <v>29010</v>
      </c>
      <c r="AH3133" t="n">
        <v>50990</v>
      </c>
      <c r="AI3133" t="n">
        <v>0</v>
      </c>
    </row>
    <row r="3134">
      <c r="A3134" t="inlineStr">
        <is>
          <t>4월</t>
        </is>
      </c>
      <c r="B3134" t="inlineStr">
        <is>
          <t>15주차</t>
        </is>
      </c>
      <c r="C3134" t="inlineStr">
        <is>
          <t>EP</t>
        </is>
      </c>
      <c r="D3134" s="28" t="n">
        <v>46122</v>
      </c>
      <c r="E3134" t="inlineStr">
        <is>
          <t>BNKEP</t>
        </is>
      </c>
      <c r="F3134" t="inlineStr">
        <is>
          <t>김종선</t>
        </is>
      </c>
      <c r="G3134" t="inlineStr">
        <is>
          <t>010-9930-9944</t>
        </is>
      </c>
      <c r="H3134" t="inlineStr">
        <is>
          <t>357루4152</t>
        </is>
      </c>
      <c r="I3134" t="n">
        <v>44800000</v>
      </c>
      <c r="J3134" t="n">
        <v>0.094</v>
      </c>
      <c r="K3134" t="n">
        <v>1.65</v>
      </c>
      <c r="L3134" t="n">
        <v>0.3</v>
      </c>
      <c r="M3134" t="n">
        <v>1.35</v>
      </c>
      <c r="P3134" t="inlineStr">
        <is>
          <t>장현경</t>
        </is>
      </c>
      <c r="AB3134" t="inlineStr">
        <is>
          <t>엔카</t>
        </is>
      </c>
      <c r="AC3134" t="n">
        <v>739200</v>
      </c>
      <c r="AD3134" t="n">
        <v>134400</v>
      </c>
      <c r="AE3134" t="n">
        <v>604800</v>
      </c>
      <c r="AF3134" t="n">
        <v>672000</v>
      </c>
      <c r="AG3134" t="n">
        <v>129964.8</v>
      </c>
      <c r="AH3134" t="n">
        <v>542035.2</v>
      </c>
      <c r="AI3134" t="n">
        <v>0</v>
      </c>
    </row>
    <row r="3135">
      <c r="A3135" t="inlineStr">
        <is>
          <t>4월</t>
        </is>
      </c>
      <c r="B3135" t="inlineStr">
        <is>
          <t>15주차</t>
        </is>
      </c>
      <c r="C3135" t="inlineStr">
        <is>
          <t>IM</t>
        </is>
      </c>
      <c r="D3135" s="28" t="n">
        <v>46119</v>
      </c>
      <c r="E3135" t="inlineStr">
        <is>
          <t>IM캐피탈</t>
        </is>
      </c>
      <c r="F3135" t="inlineStr">
        <is>
          <t>곽광은</t>
        </is>
      </c>
      <c r="G3135" t="inlineStr">
        <is>
          <t>010-2545-6301</t>
        </is>
      </c>
      <c r="H3135" t="inlineStr">
        <is>
          <t>52마3586</t>
        </is>
      </c>
      <c r="I3135" t="n">
        <v>5200000</v>
      </c>
      <c r="J3135" t="n">
        <v>0.075</v>
      </c>
      <c r="K3135" t="n">
        <v>1.1</v>
      </c>
      <c r="L3135" t="n">
        <v>0.3</v>
      </c>
      <c r="M3135" t="n">
        <v>0.8</v>
      </c>
      <c r="P3135" t="inlineStr">
        <is>
          <t>임대경</t>
        </is>
      </c>
      <c r="Q3135" t="inlineStr">
        <is>
          <t>부대비용 추가진행</t>
        </is>
      </c>
      <c r="AB3135" t="inlineStr">
        <is>
          <t>엔카</t>
        </is>
      </c>
      <c r="AC3135" t="n">
        <v>57200</v>
      </c>
      <c r="AD3135" t="n">
        <v>15600</v>
      </c>
      <c r="AE3135" t="n">
        <v>41600</v>
      </c>
      <c r="AF3135" t="n">
        <v>52000</v>
      </c>
      <c r="AG3135" t="n">
        <v>15085.2</v>
      </c>
      <c r="AH3135" t="n">
        <v>36914.8</v>
      </c>
      <c r="AI3135" t="n">
        <v>0</v>
      </c>
    </row>
    <row r="3136">
      <c r="A3136" t="inlineStr">
        <is>
          <t>4월</t>
        </is>
      </c>
      <c r="B3136" t="inlineStr">
        <is>
          <t>15주차</t>
        </is>
      </c>
      <c r="C3136" t="inlineStr">
        <is>
          <t>EP</t>
        </is>
      </c>
      <c r="D3136" s="28" t="n">
        <v>46118</v>
      </c>
      <c r="E3136" t="inlineStr">
        <is>
          <t>제이비EP</t>
        </is>
      </c>
      <c r="F3136" t="inlineStr">
        <is>
          <t>조동현</t>
        </is>
      </c>
      <c r="G3136" t="inlineStr">
        <is>
          <t>010-5256-7379</t>
        </is>
      </c>
      <c r="H3136" t="inlineStr">
        <is>
          <t>59소2929</t>
        </is>
      </c>
      <c r="I3136" t="n">
        <v>42000000</v>
      </c>
      <c r="J3136" t="n">
        <v>0.07199999999999999</v>
      </c>
      <c r="K3136" t="n">
        <v>1.65</v>
      </c>
      <c r="L3136" t="n">
        <v>0.3</v>
      </c>
      <c r="M3136" t="n">
        <v>1.35</v>
      </c>
      <c r="P3136" t="inlineStr">
        <is>
          <t>구성완</t>
        </is>
      </c>
      <c r="Q3136" t="inlineStr">
        <is>
          <t>부대비추가진행</t>
        </is>
      </c>
      <c r="AB3136" t="inlineStr">
        <is>
          <t>엔카</t>
        </is>
      </c>
      <c r="AC3136" t="n">
        <v>693000</v>
      </c>
      <c r="AD3136" t="n">
        <v>126000</v>
      </c>
      <c r="AE3136" t="n">
        <v>567000</v>
      </c>
      <c r="AF3136" t="n">
        <v>630000</v>
      </c>
      <c r="AG3136" t="n">
        <v>121842</v>
      </c>
      <c r="AH3136" t="n">
        <v>508158</v>
      </c>
    </row>
    <row r="3137">
      <c r="A3137" t="inlineStr">
        <is>
          <t>4월</t>
        </is>
      </c>
      <c r="B3137" t="inlineStr">
        <is>
          <t>15주차</t>
        </is>
      </c>
      <c r="C3137" t="inlineStr">
        <is>
          <t>EP</t>
        </is>
      </c>
      <c r="D3137" s="28" t="n">
        <v>46122</v>
      </c>
      <c r="E3137" t="inlineStr">
        <is>
          <t>현대EP_fast</t>
        </is>
      </c>
      <c r="F3137" t="inlineStr">
        <is>
          <t>최성용</t>
        </is>
      </c>
      <c r="G3137" t="inlineStr">
        <is>
          <t>010-4478-1661</t>
        </is>
      </c>
      <c r="H3137" t="inlineStr">
        <is>
          <t>220호1341</t>
        </is>
      </c>
      <c r="I3137" t="n">
        <v>15000000</v>
      </c>
      <c r="J3137" t="n">
        <v>0.07099999999999999</v>
      </c>
      <c r="K3137" t="n">
        <v>1.76</v>
      </c>
      <c r="L3137" t="n">
        <v>0.2</v>
      </c>
      <c r="M3137" t="n">
        <v>1.56</v>
      </c>
      <c r="P3137" t="inlineStr">
        <is>
          <t>김수연</t>
        </is>
      </c>
      <c r="Q3137" t="inlineStr">
        <is>
          <t>홈서비스 60개월</t>
        </is>
      </c>
      <c r="AB3137" t="inlineStr">
        <is>
          <t>홈서비스</t>
        </is>
      </c>
      <c r="AC3137" t="n">
        <v>264000</v>
      </c>
      <c r="AD3137" t="n">
        <v>30000</v>
      </c>
      <c r="AE3137" t="n">
        <v>234000</v>
      </c>
      <c r="AF3137" t="n">
        <v>240000</v>
      </c>
      <c r="AG3137" t="n">
        <v>29010</v>
      </c>
      <c r="AH3137" t="n">
        <v>210990</v>
      </c>
    </row>
    <row r="3138">
      <c r="A3138" t="inlineStr">
        <is>
          <t>4월</t>
        </is>
      </c>
      <c r="B3138" t="inlineStr">
        <is>
          <t>18주차</t>
        </is>
      </c>
      <c r="C3138" t="inlineStr">
        <is>
          <t>IM</t>
        </is>
      </c>
      <c r="D3138" s="28" t="n">
        <v>46141</v>
      </c>
      <c r="E3138" t="inlineStr">
        <is>
          <t>IM캐피탈</t>
        </is>
      </c>
      <c r="F3138" t="inlineStr">
        <is>
          <t>이석일</t>
        </is>
      </c>
      <c r="G3138" t="inlineStr">
        <is>
          <t>010-4710-0913</t>
        </is>
      </c>
      <c r="H3138" t="inlineStr">
        <is>
          <t>28저0556</t>
        </is>
      </c>
      <c r="I3138" t="n">
        <v>-9000000</v>
      </c>
      <c r="J3138" t="n">
        <v>0.049</v>
      </c>
      <c r="K3138" t="n">
        <v>1.1</v>
      </c>
      <c r="L3138" t="n">
        <v>0.07000000000000001</v>
      </c>
      <c r="M3138" t="n">
        <v>1.03</v>
      </c>
      <c r="P3138" t="inlineStr">
        <is>
          <t>박현민</t>
        </is>
      </c>
      <c r="Q3138" t="inlineStr">
        <is>
          <t>홈서비스 60개월</t>
        </is>
      </c>
      <c r="AB3138" t="inlineStr">
        <is>
          <t>홈서비스</t>
        </is>
      </c>
      <c r="AC3138" t="n">
        <v>-99000</v>
      </c>
      <c r="AD3138" t="n">
        <v>-6300</v>
      </c>
      <c r="AE3138" t="n">
        <v>-92700</v>
      </c>
      <c r="AF3138" t="n">
        <v>-90000</v>
      </c>
      <c r="AG3138" t="n">
        <v>-6092.1</v>
      </c>
      <c r="AH3138" t="n">
        <v>-83907.89999999999</v>
      </c>
    </row>
    <row r="3139">
      <c r="A3139" t="inlineStr">
        <is>
          <t>4월</t>
        </is>
      </c>
      <c r="B3139" t="inlineStr">
        <is>
          <t>15주차</t>
        </is>
      </c>
      <c r="C3139" t="inlineStr">
        <is>
          <t>EP</t>
        </is>
      </c>
      <c r="D3139" s="28" t="n">
        <v>46122</v>
      </c>
      <c r="E3139" t="inlineStr">
        <is>
          <t>현대EP_fast</t>
        </is>
      </c>
      <c r="F3139" t="inlineStr">
        <is>
          <t>이광희</t>
        </is>
      </c>
      <c r="G3139" t="inlineStr">
        <is>
          <t>010-3397-8821</t>
        </is>
      </c>
      <c r="H3139" t="inlineStr">
        <is>
          <t>111루9133</t>
        </is>
      </c>
      <c r="I3139" t="n">
        <v>18900000</v>
      </c>
      <c r="J3139" t="n">
        <v>0.102</v>
      </c>
      <c r="K3139" t="n">
        <v>1.76</v>
      </c>
      <c r="L3139" t="n">
        <v>0.2</v>
      </c>
      <c r="M3139" t="n">
        <v>1.56</v>
      </c>
      <c r="P3139" t="inlineStr">
        <is>
          <t>김수연</t>
        </is>
      </c>
      <c r="Q3139" t="inlineStr">
        <is>
          <t>홈서비스 60개월</t>
        </is>
      </c>
      <c r="AB3139" t="inlineStr">
        <is>
          <t>홈서비스</t>
        </is>
      </c>
      <c r="AC3139" t="n">
        <v>332640</v>
      </c>
      <c r="AD3139" t="n">
        <v>37800</v>
      </c>
      <c r="AE3139" t="n">
        <v>294840</v>
      </c>
      <c r="AF3139" t="n">
        <v>302400</v>
      </c>
      <c r="AG3139" t="n">
        <v>36552.6</v>
      </c>
      <c r="AH3139" t="n">
        <v>265847.4</v>
      </c>
      <c r="AI3139" t="n">
        <v>0</v>
      </c>
      <c r="AJ3139" t="inlineStr">
        <is>
          <t>개인</t>
        </is>
      </c>
    </row>
    <row r="3140">
      <c r="A3140" t="inlineStr">
        <is>
          <t>4월</t>
        </is>
      </c>
      <c r="B3140" t="inlineStr">
        <is>
          <t>15주차</t>
        </is>
      </c>
      <c r="C3140" t="inlineStr">
        <is>
          <t>OR</t>
        </is>
      </c>
      <c r="D3140" s="28" t="n">
        <v>46122</v>
      </c>
      <c r="E3140" t="inlineStr">
        <is>
          <t>오릭스</t>
        </is>
      </c>
      <c r="F3140" t="inlineStr">
        <is>
          <t>최진경</t>
        </is>
      </c>
      <c r="G3140" t="inlineStr">
        <is>
          <t>010-4190-7836</t>
        </is>
      </c>
      <c r="H3140" t="inlineStr">
        <is>
          <t>33더8697</t>
        </is>
      </c>
      <c r="I3140" t="n">
        <v>12700000</v>
      </c>
      <c r="J3140" t="n">
        <v>0.059</v>
      </c>
      <c r="K3140" t="n">
        <v>1.65</v>
      </c>
      <c r="L3140" t="n">
        <v>0.07000000000000001</v>
      </c>
      <c r="M3140" t="n">
        <v>1.58</v>
      </c>
      <c r="P3140" t="inlineStr">
        <is>
          <t>최형주</t>
        </is>
      </c>
      <c r="Q3140" t="inlineStr">
        <is>
          <t>홈서비스 60개월 / 부대비용 추가진행</t>
        </is>
      </c>
      <c r="AB3140" t="inlineStr">
        <is>
          <t>홈서비스</t>
        </is>
      </c>
      <c r="AC3140" t="n">
        <v>209550</v>
      </c>
      <c r="AD3140" t="n">
        <v>8890</v>
      </c>
      <c r="AE3140" t="n">
        <v>200660</v>
      </c>
      <c r="AF3140" t="n">
        <v>190500</v>
      </c>
      <c r="AG3140" t="n">
        <v>8596.629999999999</v>
      </c>
      <c r="AH3140" t="n">
        <v>181903.37</v>
      </c>
      <c r="AI3140" t="n">
        <v>0</v>
      </c>
    </row>
    <row r="3141">
      <c r="A3141" t="inlineStr">
        <is>
          <t>4월</t>
        </is>
      </c>
      <c r="B3141" t="inlineStr">
        <is>
          <t>15주차</t>
        </is>
      </c>
      <c r="C3141" t="inlineStr">
        <is>
          <t>EP</t>
        </is>
      </c>
      <c r="D3141" s="28" t="n">
        <v>46120</v>
      </c>
      <c r="E3141" t="inlineStr">
        <is>
          <t>현대EP</t>
        </is>
      </c>
      <c r="F3141" t="inlineStr">
        <is>
          <t>이다연</t>
        </is>
      </c>
      <c r="G3141" t="inlineStr">
        <is>
          <t>010-9167-5561</t>
        </is>
      </c>
      <c r="H3141" t="inlineStr">
        <is>
          <t>146조4500</t>
        </is>
      </c>
      <c r="I3141" t="n">
        <v>22500000</v>
      </c>
      <c r="J3141" t="n">
        <v>0.102</v>
      </c>
      <c r="K3141" t="n">
        <v>1.76</v>
      </c>
      <c r="L3141" t="n">
        <v>0.2</v>
      </c>
      <c r="M3141" t="n">
        <v>1.56</v>
      </c>
      <c r="P3141" t="inlineStr">
        <is>
          <t>김나윤</t>
        </is>
      </c>
      <c r="Q3141" t="inlineStr">
        <is>
          <t>홈서비스 60개월</t>
        </is>
      </c>
      <c r="AB3141" t="inlineStr">
        <is>
          <t>홈서비스</t>
        </is>
      </c>
      <c r="AC3141" t="n">
        <v>396000</v>
      </c>
      <c r="AD3141" t="n">
        <v>45000</v>
      </c>
      <c r="AE3141" t="n">
        <v>351000</v>
      </c>
      <c r="AF3141" t="n">
        <v>360000</v>
      </c>
      <c r="AG3141" t="n">
        <v>43515</v>
      </c>
      <c r="AH3141" t="n">
        <v>316485</v>
      </c>
    </row>
    <row r="3142">
      <c r="A3142" t="inlineStr">
        <is>
          <t>4월</t>
        </is>
      </c>
      <c r="B3142" t="inlineStr">
        <is>
          <t>15주차</t>
        </is>
      </c>
      <c r="C3142" t="inlineStr">
        <is>
          <t>EP</t>
        </is>
      </c>
      <c r="D3142" s="28" t="n">
        <v>46122</v>
      </c>
      <c r="E3142" t="inlineStr">
        <is>
          <t>현대EP_fast</t>
        </is>
      </c>
      <c r="F3142" t="inlineStr">
        <is>
          <t>이건우</t>
        </is>
      </c>
      <c r="G3142" t="inlineStr">
        <is>
          <t>010-7605-4441</t>
        </is>
      </c>
      <c r="H3142" t="inlineStr">
        <is>
          <t>374어9348</t>
        </is>
      </c>
      <c r="I3142" t="n">
        <v>23200000</v>
      </c>
      <c r="J3142" t="n">
        <v>0.076</v>
      </c>
      <c r="K3142" t="n">
        <v>1.76</v>
      </c>
      <c r="L3142" t="n">
        <v>0.2</v>
      </c>
      <c r="M3142" t="n">
        <v>1.56</v>
      </c>
      <c r="P3142" t="inlineStr">
        <is>
          <t>정세빈</t>
        </is>
      </c>
      <c r="Q3142" t="inlineStr">
        <is>
          <t>홈서비스 60개월</t>
        </is>
      </c>
      <c r="AB3142" t="inlineStr">
        <is>
          <t>홈서비스</t>
        </is>
      </c>
      <c r="AC3142" t="n">
        <v>408320</v>
      </c>
      <c r="AD3142" t="n">
        <v>46400</v>
      </c>
      <c r="AE3142" t="n">
        <v>361920</v>
      </c>
      <c r="AF3142" t="n">
        <v>371200</v>
      </c>
      <c r="AG3142" t="n">
        <v>44868.8</v>
      </c>
      <c r="AH3142" t="n">
        <v>326331.2</v>
      </c>
    </row>
    <row r="3143">
      <c r="A3143" t="inlineStr">
        <is>
          <t>4월</t>
        </is>
      </c>
      <c r="B3143" t="inlineStr">
        <is>
          <t>15주차</t>
        </is>
      </c>
      <c r="C3143" t="inlineStr">
        <is>
          <t>EP</t>
        </is>
      </c>
      <c r="D3143" s="28" t="n">
        <v>46122</v>
      </c>
      <c r="E3143" t="inlineStr">
        <is>
          <t>현대EP_fast</t>
        </is>
      </c>
      <c r="F3143" t="inlineStr">
        <is>
          <t>이예진</t>
        </is>
      </c>
      <c r="G3143" t="inlineStr">
        <is>
          <t>010-6299-0931</t>
        </is>
      </c>
      <c r="H3143" t="inlineStr">
        <is>
          <t>58두0379</t>
        </is>
      </c>
      <c r="I3143" t="n">
        <v>4200000</v>
      </c>
      <c r="J3143" t="n">
        <v>0.09</v>
      </c>
      <c r="K3143" t="n">
        <v>1.76</v>
      </c>
      <c r="L3143" t="n">
        <v>0.2</v>
      </c>
      <c r="M3143" t="n">
        <v>1.56</v>
      </c>
      <c r="P3143" t="inlineStr">
        <is>
          <t>정세빈</t>
        </is>
      </c>
      <c r="Q3143" t="inlineStr">
        <is>
          <t>홈서비스 48개월</t>
        </is>
      </c>
      <c r="AB3143" t="inlineStr">
        <is>
          <t>홈서비스</t>
        </is>
      </c>
      <c r="AC3143" t="n">
        <v>73920</v>
      </c>
      <c r="AD3143" t="n">
        <v>8400</v>
      </c>
      <c r="AE3143" t="n">
        <v>65520</v>
      </c>
      <c r="AF3143" t="n">
        <v>67200</v>
      </c>
      <c r="AG3143" t="n">
        <v>8122.8</v>
      </c>
      <c r="AH3143" t="n">
        <v>59077.2</v>
      </c>
      <c r="AI3143" t="n">
        <v>0</v>
      </c>
    </row>
    <row r="3144">
      <c r="A3144" t="inlineStr">
        <is>
          <t>4월</t>
        </is>
      </c>
      <c r="B3144" t="inlineStr">
        <is>
          <t>15주차</t>
        </is>
      </c>
      <c r="C3144" t="inlineStr">
        <is>
          <t>EP</t>
        </is>
      </c>
      <c r="D3144" s="28" t="n">
        <v>46121</v>
      </c>
      <c r="E3144" t="inlineStr">
        <is>
          <t>현대EP</t>
        </is>
      </c>
      <c r="F3144" t="inlineStr">
        <is>
          <t>김영선</t>
        </is>
      </c>
      <c r="G3144" t="inlineStr">
        <is>
          <t>010-6566-3001</t>
        </is>
      </c>
      <c r="H3144" t="inlineStr">
        <is>
          <t>272어7347</t>
        </is>
      </c>
      <c r="I3144" t="n">
        <v>10900000</v>
      </c>
      <c r="J3144" t="n">
        <v>0.07099999999999999</v>
      </c>
      <c r="K3144" t="n">
        <v>1.76</v>
      </c>
      <c r="L3144" t="n">
        <v>0.2</v>
      </c>
      <c r="M3144" t="n">
        <v>1.56</v>
      </c>
      <c r="P3144" t="inlineStr">
        <is>
          <t>김나윤</t>
        </is>
      </c>
      <c r="Q3144" t="inlineStr">
        <is>
          <t>홈서비스 24개월</t>
        </is>
      </c>
      <c r="AB3144" t="inlineStr">
        <is>
          <t>홈서비스</t>
        </is>
      </c>
      <c r="AC3144" t="n">
        <v>191840</v>
      </c>
      <c r="AD3144" t="n">
        <v>21800</v>
      </c>
      <c r="AE3144" t="n">
        <v>170040</v>
      </c>
      <c r="AF3144" t="n">
        <v>174400</v>
      </c>
      <c r="AG3144" t="n">
        <v>21080.6</v>
      </c>
      <c r="AH3144" t="n">
        <v>153319.4</v>
      </c>
      <c r="AI3144" t="n">
        <v>0</v>
      </c>
    </row>
    <row r="3145">
      <c r="A3145" t="inlineStr">
        <is>
          <t>4월</t>
        </is>
      </c>
      <c r="B3145" t="inlineStr">
        <is>
          <t>15주차</t>
        </is>
      </c>
      <c r="C3145" t="inlineStr">
        <is>
          <t>EP</t>
        </is>
      </c>
      <c r="D3145" s="28" t="n">
        <v>46122</v>
      </c>
      <c r="E3145" t="inlineStr">
        <is>
          <t>제이비EP</t>
        </is>
      </c>
      <c r="F3145" t="inlineStr">
        <is>
          <t>이상현</t>
        </is>
      </c>
      <c r="G3145" t="inlineStr">
        <is>
          <t>010-8757-5296</t>
        </is>
      </c>
      <c r="H3145" t="inlineStr">
        <is>
          <t>104머5717</t>
        </is>
      </c>
      <c r="I3145" t="n">
        <v>40500000</v>
      </c>
      <c r="J3145" t="n">
        <v>0.066</v>
      </c>
      <c r="K3145" t="n">
        <v>1.65</v>
      </c>
      <c r="L3145" t="n">
        <v>0.07000000000000001</v>
      </c>
      <c r="M3145" t="n">
        <v>1.58</v>
      </c>
      <c r="P3145" t="inlineStr">
        <is>
          <t>황채이</t>
        </is>
      </c>
      <c r="Q3145" t="inlineStr">
        <is>
          <t>홈서비스 60개월</t>
        </is>
      </c>
      <c r="AB3145" t="inlineStr">
        <is>
          <t>홈서비스</t>
        </is>
      </c>
      <c r="AC3145" t="n">
        <v>668250</v>
      </c>
      <c r="AD3145" t="n">
        <v>28350</v>
      </c>
      <c r="AE3145" t="n">
        <v>639900</v>
      </c>
      <c r="AF3145" t="n">
        <v>607500</v>
      </c>
      <c r="AG3145" t="n">
        <v>27414.45</v>
      </c>
      <c r="AH3145" t="n">
        <v>580085.55</v>
      </c>
      <c r="AI3145" t="n">
        <v>0</v>
      </c>
    </row>
    <row r="3146">
      <c r="A3146" t="inlineStr">
        <is>
          <t>4월</t>
        </is>
      </c>
      <c r="B3146" t="inlineStr">
        <is>
          <t>15주차</t>
        </is>
      </c>
      <c r="C3146" t="inlineStr">
        <is>
          <t>EP</t>
        </is>
      </c>
      <c r="D3146" s="28" t="n">
        <v>46122</v>
      </c>
      <c r="E3146" t="inlineStr">
        <is>
          <t>현대EP</t>
        </is>
      </c>
      <c r="F3146" t="inlineStr">
        <is>
          <t>이원일</t>
        </is>
      </c>
      <c r="G3146" t="inlineStr">
        <is>
          <t>010-5171-6380</t>
        </is>
      </c>
      <c r="H3146" t="inlineStr">
        <is>
          <t>123어4885</t>
        </is>
      </c>
      <c r="I3146" t="n">
        <v>5000000</v>
      </c>
      <c r="J3146" t="n">
        <v>0.08500000000000001</v>
      </c>
      <c r="K3146" t="n">
        <v>1.76</v>
      </c>
      <c r="L3146" t="n">
        <v>0.2</v>
      </c>
      <c r="M3146" t="n">
        <v>1.56</v>
      </c>
      <c r="P3146" t="inlineStr">
        <is>
          <t>정세빈</t>
        </is>
      </c>
      <c r="Q3146" t="inlineStr">
        <is>
          <t>홈서비스 36개월</t>
        </is>
      </c>
      <c r="AB3146" t="inlineStr">
        <is>
          <t>홈서비스</t>
        </is>
      </c>
      <c r="AC3146" t="n">
        <v>88000</v>
      </c>
      <c r="AD3146" t="n">
        <v>10000</v>
      </c>
      <c r="AE3146" t="n">
        <v>78000</v>
      </c>
      <c r="AF3146" t="n">
        <v>80000</v>
      </c>
      <c r="AG3146" t="n">
        <v>9670</v>
      </c>
      <c r="AH3146" t="n">
        <v>70330</v>
      </c>
      <c r="AI3146" t="n">
        <v>0</v>
      </c>
    </row>
    <row r="3147">
      <c r="A3147" t="inlineStr">
        <is>
          <t>4월</t>
        </is>
      </c>
      <c r="B3147" t="inlineStr">
        <is>
          <t>15주차</t>
        </is>
      </c>
      <c r="C3147" t="inlineStr">
        <is>
          <t>EP</t>
        </is>
      </c>
      <c r="D3147" s="28" t="n">
        <v>46122</v>
      </c>
      <c r="E3147" t="inlineStr">
        <is>
          <t>현대EP</t>
        </is>
      </c>
      <c r="F3147" t="inlineStr">
        <is>
          <t>최준혁</t>
        </is>
      </c>
      <c r="G3147" t="inlineStr">
        <is>
          <t>010-3941-5622</t>
        </is>
      </c>
      <c r="H3147" t="inlineStr">
        <is>
          <t>165어8938</t>
        </is>
      </c>
      <c r="I3147" t="n">
        <v>11400000</v>
      </c>
      <c r="J3147" t="n">
        <v>0.079</v>
      </c>
      <c r="K3147" t="n">
        <v>1.76</v>
      </c>
      <c r="L3147" t="n">
        <v>0.2</v>
      </c>
      <c r="M3147" t="n">
        <v>1.56</v>
      </c>
      <c r="P3147" t="inlineStr">
        <is>
          <t>황채이</t>
        </is>
      </c>
      <c r="Q3147" t="inlineStr">
        <is>
          <t>홈서비스 60개월</t>
        </is>
      </c>
      <c r="AB3147" t="inlineStr">
        <is>
          <t>홈서비스</t>
        </is>
      </c>
      <c r="AC3147" t="n">
        <v>200640</v>
      </c>
      <c r="AD3147" t="n">
        <v>22800</v>
      </c>
      <c r="AE3147" t="n">
        <v>177840</v>
      </c>
      <c r="AF3147" t="n">
        <v>182400</v>
      </c>
      <c r="AG3147" t="n">
        <v>22047.6</v>
      </c>
      <c r="AH3147" t="n">
        <v>160352.4</v>
      </c>
      <c r="AI3147" t="n">
        <v>0</v>
      </c>
    </row>
    <row r="3148">
      <c r="A3148" t="inlineStr">
        <is>
          <t>4월</t>
        </is>
      </c>
      <c r="B3148" t="inlineStr">
        <is>
          <t>15주차</t>
        </is>
      </c>
      <c r="C3148" t="inlineStr">
        <is>
          <t>EP</t>
        </is>
      </c>
      <c r="D3148" s="28" t="n">
        <v>46122</v>
      </c>
      <c r="E3148" t="inlineStr">
        <is>
          <t>현대EP_fast</t>
        </is>
      </c>
      <c r="F3148" t="inlineStr">
        <is>
          <t>김정인</t>
        </is>
      </c>
      <c r="G3148" t="inlineStr">
        <is>
          <t>010-5497-3827</t>
        </is>
      </c>
      <c r="H3148" t="inlineStr">
        <is>
          <t>259구2935</t>
        </is>
      </c>
      <c r="I3148" t="n">
        <v>30500000</v>
      </c>
      <c r="J3148" t="n">
        <v>0.08699999999999999</v>
      </c>
      <c r="K3148" t="n">
        <v>1.76</v>
      </c>
      <c r="L3148" t="n">
        <v>0.2</v>
      </c>
      <c r="M3148" t="n">
        <v>1.56</v>
      </c>
      <c r="P3148" t="inlineStr">
        <is>
          <t>최형주</t>
        </is>
      </c>
      <c r="Q3148" t="inlineStr">
        <is>
          <t>홈서비스 60개월</t>
        </is>
      </c>
      <c r="AB3148" t="inlineStr">
        <is>
          <t>홈서비스</t>
        </is>
      </c>
      <c r="AC3148" t="n">
        <v>536800</v>
      </c>
      <c r="AD3148" t="n">
        <v>61000</v>
      </c>
      <c r="AE3148" t="n">
        <v>475800</v>
      </c>
      <c r="AF3148" t="n">
        <v>488000</v>
      </c>
      <c r="AG3148" t="n">
        <v>58987</v>
      </c>
      <c r="AH3148" t="n">
        <v>429013</v>
      </c>
    </row>
    <row r="3149">
      <c r="A3149" t="inlineStr">
        <is>
          <t>4월</t>
        </is>
      </c>
      <c r="B3149" t="inlineStr">
        <is>
          <t>15주차</t>
        </is>
      </c>
      <c r="C3149" t="inlineStr">
        <is>
          <t>EP</t>
        </is>
      </c>
      <c r="D3149" s="28" t="n">
        <v>46122</v>
      </c>
      <c r="E3149" t="inlineStr">
        <is>
          <t>현대EP</t>
        </is>
      </c>
      <c r="F3149" t="inlineStr">
        <is>
          <t>박철오</t>
        </is>
      </c>
      <c r="G3149" t="inlineStr">
        <is>
          <t>010-3065-3964</t>
        </is>
      </c>
      <c r="H3149" t="inlineStr">
        <is>
          <t>69서4889</t>
        </is>
      </c>
      <c r="I3149" t="n">
        <v>8100000</v>
      </c>
      <c r="J3149" t="n">
        <v>0.079</v>
      </c>
      <c r="K3149" t="n">
        <v>1.76</v>
      </c>
      <c r="L3149" t="n">
        <v>0.2</v>
      </c>
      <c r="M3149" t="n">
        <v>1.56</v>
      </c>
      <c r="P3149" t="inlineStr">
        <is>
          <t>최형주</t>
        </is>
      </c>
      <c r="Q3149" t="inlineStr">
        <is>
          <t>홈서비스 48개월</t>
        </is>
      </c>
      <c r="AB3149" t="inlineStr">
        <is>
          <t>홈서비스</t>
        </is>
      </c>
      <c r="AC3149" t="n">
        <v>142560</v>
      </c>
      <c r="AD3149" t="n">
        <v>16200</v>
      </c>
      <c r="AE3149" t="n">
        <v>126360</v>
      </c>
      <c r="AF3149" t="n">
        <v>129600</v>
      </c>
      <c r="AG3149" t="n">
        <v>15665.4</v>
      </c>
      <c r="AH3149" t="n">
        <v>113934.6</v>
      </c>
    </row>
    <row r="3150">
      <c r="A3150" t="inlineStr">
        <is>
          <t>4월</t>
        </is>
      </c>
      <c r="B3150" t="inlineStr">
        <is>
          <t>15주차</t>
        </is>
      </c>
      <c r="C3150" t="inlineStr">
        <is>
          <t>EP</t>
        </is>
      </c>
      <c r="D3150" s="28" t="n">
        <v>46122</v>
      </c>
      <c r="E3150" t="inlineStr">
        <is>
          <t>현대EP</t>
        </is>
      </c>
      <c r="F3150" t="inlineStr">
        <is>
          <t>권태진</t>
        </is>
      </c>
      <c r="G3150" t="inlineStr">
        <is>
          <t>010-7323-0094</t>
        </is>
      </c>
      <c r="H3150" t="inlineStr">
        <is>
          <t>37어8029</t>
        </is>
      </c>
      <c r="I3150" t="n">
        <v>5200000</v>
      </c>
      <c r="J3150" t="n">
        <v>0.119</v>
      </c>
      <c r="K3150" t="n">
        <v>1.76</v>
      </c>
      <c r="L3150" t="n">
        <v>0.2</v>
      </c>
      <c r="M3150" t="n">
        <v>1.56</v>
      </c>
      <c r="P3150" t="inlineStr">
        <is>
          <t>김수연</t>
        </is>
      </c>
      <c r="Q3150" t="inlineStr">
        <is>
          <t>홈서비스 48개월</t>
        </is>
      </c>
      <c r="AB3150" t="inlineStr">
        <is>
          <t>홈서비스</t>
        </is>
      </c>
      <c r="AC3150" t="n">
        <v>91520</v>
      </c>
      <c r="AD3150" t="n">
        <v>10400</v>
      </c>
      <c r="AE3150" t="n">
        <v>81120</v>
      </c>
      <c r="AF3150" t="n">
        <v>83200</v>
      </c>
      <c r="AG3150" t="n">
        <v>10056.8</v>
      </c>
      <c r="AH3150" t="n">
        <v>73143.2</v>
      </c>
      <c r="AJ3150" t="inlineStr">
        <is>
          <t>개인</t>
        </is>
      </c>
    </row>
    <row r="3151">
      <c r="A3151" t="inlineStr">
        <is>
          <t>4월</t>
        </is>
      </c>
      <c r="B3151" t="inlineStr">
        <is>
          <t>15주차</t>
        </is>
      </c>
      <c r="C3151" t="inlineStr">
        <is>
          <t>EP</t>
        </is>
      </c>
      <c r="D3151" s="28" t="n">
        <v>46121</v>
      </c>
      <c r="E3151" t="inlineStr">
        <is>
          <t>제이비EP</t>
        </is>
      </c>
      <c r="F3151" t="inlineStr">
        <is>
          <t>김동진</t>
        </is>
      </c>
      <c r="G3151" t="inlineStr">
        <is>
          <t>010-9767-4487</t>
        </is>
      </c>
      <c r="H3151" t="inlineStr">
        <is>
          <t xml:space="preserve">229머8045 </t>
        </is>
      </c>
      <c r="I3151" t="n">
        <v>48100000</v>
      </c>
      <c r="J3151" t="n">
        <v>0.07199999999999999</v>
      </c>
      <c r="K3151" t="n">
        <v>1.65</v>
      </c>
      <c r="L3151" t="n">
        <v>0.3</v>
      </c>
      <c r="M3151" t="n">
        <v>1.35</v>
      </c>
      <c r="P3151" t="inlineStr">
        <is>
          <t>정하은</t>
        </is>
      </c>
      <c r="Q3151" t="inlineStr">
        <is>
          <t>부대비용추가진행 / 현대10.7%</t>
        </is>
      </c>
      <c r="AB3151" t="inlineStr">
        <is>
          <t>엔카</t>
        </is>
      </c>
      <c r="AC3151" t="n">
        <v>793650</v>
      </c>
      <c r="AD3151" t="n">
        <v>144300</v>
      </c>
      <c r="AE3151" t="n">
        <v>649350</v>
      </c>
      <c r="AF3151" t="n">
        <v>721500</v>
      </c>
      <c r="AG3151" t="n">
        <v>139538.1</v>
      </c>
      <c r="AH3151" t="n">
        <v>581961.9</v>
      </c>
    </row>
    <row r="3152">
      <c r="A3152" t="inlineStr">
        <is>
          <t>4월</t>
        </is>
      </c>
      <c r="B3152" t="inlineStr">
        <is>
          <t>15주차</t>
        </is>
      </c>
      <c r="C3152" t="inlineStr">
        <is>
          <t>EP</t>
        </is>
      </c>
      <c r="D3152" s="28" t="n">
        <v>46122</v>
      </c>
      <c r="E3152" t="inlineStr">
        <is>
          <t>현대EP</t>
        </is>
      </c>
      <c r="F3152" t="inlineStr">
        <is>
          <t>양재용</t>
        </is>
      </c>
      <c r="G3152" t="inlineStr">
        <is>
          <t>010-2166-0369</t>
        </is>
      </c>
      <c r="H3152" t="inlineStr">
        <is>
          <t>59두9085</t>
        </is>
      </c>
      <c r="I3152" t="n">
        <v>24000000</v>
      </c>
      <c r="J3152" t="n">
        <v>0.077</v>
      </c>
      <c r="K3152" t="n">
        <v>1.76</v>
      </c>
      <c r="L3152" t="n">
        <v>0.2</v>
      </c>
      <c r="M3152" t="n">
        <v>1.56</v>
      </c>
      <c r="P3152" t="inlineStr">
        <is>
          <t>김나윤</t>
        </is>
      </c>
      <c r="Q3152" t="inlineStr">
        <is>
          <t>홈서비스 48개월</t>
        </is>
      </c>
      <c r="AB3152" t="inlineStr">
        <is>
          <t>홈서비스</t>
        </is>
      </c>
      <c r="AC3152" t="n">
        <v>422400</v>
      </c>
      <c r="AD3152" t="n">
        <v>48000</v>
      </c>
      <c r="AE3152" t="n">
        <v>374400</v>
      </c>
      <c r="AF3152" t="n">
        <v>384000</v>
      </c>
      <c r="AG3152" t="n">
        <v>46416</v>
      </c>
      <c r="AH3152" t="n">
        <v>337584</v>
      </c>
    </row>
    <row r="3153">
      <c r="A3153" t="inlineStr">
        <is>
          <t>4월</t>
        </is>
      </c>
      <c r="B3153" t="inlineStr">
        <is>
          <t>15주차</t>
        </is>
      </c>
      <c r="C3153" t="inlineStr">
        <is>
          <t>EP</t>
        </is>
      </c>
      <c r="D3153" s="28" t="n">
        <v>46123</v>
      </c>
      <c r="E3153" t="inlineStr">
        <is>
          <t>현대EP</t>
        </is>
      </c>
      <c r="F3153" t="inlineStr">
        <is>
          <t>권구현</t>
        </is>
      </c>
      <c r="G3153" t="inlineStr">
        <is>
          <t>010-9798-6679</t>
        </is>
      </c>
      <c r="H3153" t="inlineStr">
        <is>
          <t>316버2830</t>
        </is>
      </c>
      <c r="I3153" t="n">
        <v>30700000</v>
      </c>
      <c r="J3153" t="n">
        <v>0.079</v>
      </c>
      <c r="K3153" t="n">
        <v>1.76</v>
      </c>
      <c r="L3153" t="n">
        <v>0.2</v>
      </c>
      <c r="M3153" t="n">
        <v>1.56</v>
      </c>
      <c r="P3153" t="inlineStr">
        <is>
          <t>황채이</t>
        </is>
      </c>
      <c r="Q3153" t="inlineStr">
        <is>
          <t>홈서비스 60개월</t>
        </is>
      </c>
      <c r="AB3153" t="inlineStr">
        <is>
          <t>홈서비스</t>
        </is>
      </c>
      <c r="AC3153" t="n">
        <v>540320</v>
      </c>
      <c r="AD3153" t="n">
        <v>61400</v>
      </c>
      <c r="AE3153" t="n">
        <v>478920</v>
      </c>
      <c r="AF3153" t="n">
        <v>491200</v>
      </c>
      <c r="AG3153" t="n">
        <v>59373.8</v>
      </c>
      <c r="AH3153" t="n">
        <v>431826.2</v>
      </c>
      <c r="AI3153" t="n">
        <v>0</v>
      </c>
    </row>
    <row r="3154">
      <c r="A3154" t="inlineStr">
        <is>
          <t>4월</t>
        </is>
      </c>
      <c r="B3154" t="inlineStr">
        <is>
          <t>15주차</t>
        </is>
      </c>
      <c r="C3154" t="inlineStr">
        <is>
          <t>EP</t>
        </is>
      </c>
      <c r="D3154" s="28" t="n">
        <v>46122</v>
      </c>
      <c r="E3154" t="inlineStr">
        <is>
          <t>현대EP</t>
        </is>
      </c>
      <c r="F3154" t="inlineStr">
        <is>
          <t>이창석</t>
        </is>
      </c>
      <c r="G3154" t="inlineStr">
        <is>
          <t>010-3120-3767</t>
        </is>
      </c>
      <c r="H3154" t="inlineStr">
        <is>
          <t>287루1787</t>
        </is>
      </c>
      <c r="I3154" t="n">
        <v>29500000</v>
      </c>
      <c r="J3154" t="n">
        <v>0.08599999999999999</v>
      </c>
      <c r="K3154" t="n">
        <v>1.76</v>
      </c>
      <c r="L3154" t="n">
        <v>0.2</v>
      </c>
      <c r="M3154" t="n">
        <v>1.56</v>
      </c>
      <c r="P3154" t="inlineStr">
        <is>
          <t>정세빈</t>
        </is>
      </c>
      <c r="Q3154" t="inlineStr">
        <is>
          <t>홈서비스 60개월</t>
        </is>
      </c>
      <c r="AB3154" t="inlineStr">
        <is>
          <t>홈서비스</t>
        </is>
      </c>
      <c r="AC3154" t="n">
        <v>519200</v>
      </c>
      <c r="AD3154" t="n">
        <v>59000</v>
      </c>
      <c r="AE3154" t="n">
        <v>460200</v>
      </c>
      <c r="AF3154" t="n">
        <v>472000</v>
      </c>
      <c r="AG3154" t="n">
        <v>57053</v>
      </c>
      <c r="AH3154" t="n">
        <v>414947</v>
      </c>
      <c r="AI3154" t="n">
        <v>0</v>
      </c>
    </row>
    <row r="3155">
      <c r="A3155" t="inlineStr">
        <is>
          <t>4월</t>
        </is>
      </c>
      <c r="B3155" t="inlineStr">
        <is>
          <t>15주차</t>
        </is>
      </c>
      <c r="C3155" t="inlineStr">
        <is>
          <t>EP</t>
        </is>
      </c>
      <c r="D3155" s="28" t="n">
        <v>46123</v>
      </c>
      <c r="E3155" t="inlineStr">
        <is>
          <t>현대EP_fast</t>
        </is>
      </c>
      <c r="F3155" t="inlineStr">
        <is>
          <t>복승규</t>
        </is>
      </c>
      <c r="G3155" t="inlineStr">
        <is>
          <t>010-8383-8301</t>
        </is>
      </c>
      <c r="H3155" t="inlineStr">
        <is>
          <t>60두4557</t>
        </is>
      </c>
      <c r="I3155" t="n">
        <v>16300000</v>
      </c>
      <c r="J3155" t="n">
        <v>0.07099999999999999</v>
      </c>
      <c r="K3155" t="n">
        <v>1.76</v>
      </c>
      <c r="L3155" t="n">
        <v>0.2</v>
      </c>
      <c r="M3155" t="n">
        <v>1.56</v>
      </c>
      <c r="P3155" t="inlineStr">
        <is>
          <t>임대경</t>
        </is>
      </c>
      <c r="Q3155" t="inlineStr">
        <is>
          <t>홈서비스 60개월</t>
        </is>
      </c>
      <c r="AB3155" t="inlineStr">
        <is>
          <t>홈서비스</t>
        </is>
      </c>
      <c r="AC3155" t="n">
        <v>286880</v>
      </c>
      <c r="AD3155" t="n">
        <v>32600</v>
      </c>
      <c r="AE3155" t="n">
        <v>254280</v>
      </c>
      <c r="AF3155" t="n">
        <v>260800</v>
      </c>
      <c r="AG3155" t="n">
        <v>31524.2</v>
      </c>
      <c r="AH3155" t="n">
        <v>229275.8</v>
      </c>
    </row>
    <row r="3156">
      <c r="A3156" t="inlineStr">
        <is>
          <t>4월</t>
        </is>
      </c>
      <c r="B3156" t="inlineStr">
        <is>
          <t>15주차</t>
        </is>
      </c>
      <c r="C3156" t="inlineStr">
        <is>
          <t>EP</t>
        </is>
      </c>
      <c r="D3156" s="28" t="n">
        <v>46122</v>
      </c>
      <c r="E3156" t="inlineStr">
        <is>
          <t>현대EP</t>
        </is>
      </c>
      <c r="F3156" t="inlineStr">
        <is>
          <t>조한빛</t>
        </is>
      </c>
      <c r="G3156" t="inlineStr">
        <is>
          <t>010-3081-3171</t>
        </is>
      </c>
      <c r="H3156" t="inlineStr">
        <is>
          <t>837마1890</t>
        </is>
      </c>
      <c r="I3156" t="n">
        <v>33500000</v>
      </c>
      <c r="J3156" t="n">
        <v>0.07099999999999999</v>
      </c>
      <c r="K3156" t="n">
        <v>1.76</v>
      </c>
      <c r="L3156" t="n">
        <v>0.2</v>
      </c>
      <c r="M3156" t="n">
        <v>1.56</v>
      </c>
      <c r="P3156" t="inlineStr">
        <is>
          <t>김나윤</t>
        </is>
      </c>
      <c r="Q3156" t="inlineStr">
        <is>
          <t>홈서비스 60개월</t>
        </is>
      </c>
      <c r="AB3156" t="inlineStr">
        <is>
          <t>홈서비스</t>
        </is>
      </c>
      <c r="AC3156" t="n">
        <v>589600</v>
      </c>
      <c r="AD3156" t="n">
        <v>67000</v>
      </c>
      <c r="AE3156" t="n">
        <v>522600</v>
      </c>
      <c r="AF3156" t="n">
        <v>536000</v>
      </c>
      <c r="AG3156" t="n">
        <v>64789</v>
      </c>
      <c r="AH3156" t="n">
        <v>471211</v>
      </c>
      <c r="AI3156" t="n">
        <v>0</v>
      </c>
    </row>
    <row r="3157">
      <c r="A3157" t="inlineStr">
        <is>
          <t>4월</t>
        </is>
      </c>
      <c r="B3157" t="inlineStr">
        <is>
          <t>15주차</t>
        </is>
      </c>
      <c r="C3157" t="inlineStr">
        <is>
          <t>IM</t>
        </is>
      </c>
      <c r="D3157" s="28" t="n">
        <v>46121</v>
      </c>
      <c r="E3157" t="inlineStr">
        <is>
          <t>IM캐피탈</t>
        </is>
      </c>
      <c r="F3157" t="inlineStr">
        <is>
          <t>권오병</t>
        </is>
      </c>
      <c r="G3157" t="inlineStr">
        <is>
          <t>010-7392-1974</t>
        </is>
      </c>
      <c r="H3157" t="inlineStr">
        <is>
          <t>209더8579</t>
        </is>
      </c>
      <c r="I3157" t="n">
        <v>22500000</v>
      </c>
      <c r="J3157" t="n">
        <v>0.049</v>
      </c>
      <c r="K3157" t="n">
        <v>1.1</v>
      </c>
      <c r="L3157" t="n">
        <v>0.07000000000000001</v>
      </c>
      <c r="M3157" t="n">
        <v>1.03</v>
      </c>
      <c r="P3157" t="inlineStr">
        <is>
          <t>박현민</t>
        </is>
      </c>
      <c r="Q3157" t="inlineStr">
        <is>
          <t>홈서비스60개월</t>
        </is>
      </c>
      <c r="AB3157" t="inlineStr">
        <is>
          <t>홈서비스</t>
        </is>
      </c>
      <c r="AC3157" t="n">
        <v>247500</v>
      </c>
      <c r="AD3157" t="n">
        <v>15750</v>
      </c>
      <c r="AE3157" t="n">
        <v>231750</v>
      </c>
      <c r="AF3157" t="n">
        <v>225000</v>
      </c>
      <c r="AG3157" t="n">
        <v>15230.25</v>
      </c>
      <c r="AH3157" t="n">
        <v>209769.75</v>
      </c>
    </row>
    <row r="3158">
      <c r="A3158" t="inlineStr">
        <is>
          <t>4월</t>
        </is>
      </c>
      <c r="B3158" t="inlineStr">
        <is>
          <t>15주차</t>
        </is>
      </c>
      <c r="C3158" t="inlineStr">
        <is>
          <t>EP</t>
        </is>
      </c>
      <c r="D3158" s="28" t="n">
        <v>46123</v>
      </c>
      <c r="E3158" t="inlineStr">
        <is>
          <t>현대EP_fast</t>
        </is>
      </c>
      <c r="F3158" t="inlineStr">
        <is>
          <t>이동욱</t>
        </is>
      </c>
      <c r="G3158" t="inlineStr">
        <is>
          <t>010-6635-5666</t>
        </is>
      </c>
      <c r="H3158" t="inlineStr">
        <is>
          <t>62다3097</t>
        </is>
      </c>
      <c r="I3158" t="n">
        <v>14000000</v>
      </c>
      <c r="J3158" t="n">
        <v>0.079</v>
      </c>
      <c r="K3158" t="n">
        <v>1.76</v>
      </c>
      <c r="L3158" t="n">
        <v>0.6</v>
      </c>
      <c r="M3158" t="n">
        <v>1.16</v>
      </c>
      <c r="P3158" t="inlineStr">
        <is>
          <t>장현경</t>
        </is>
      </c>
      <c r="AB3158" t="inlineStr">
        <is>
          <t>엔카</t>
        </is>
      </c>
      <c r="AC3158" t="n">
        <v>246400</v>
      </c>
      <c r="AD3158" t="n">
        <v>84000</v>
      </c>
      <c r="AE3158" t="n">
        <v>162400</v>
      </c>
      <c r="AF3158" t="n">
        <v>224000</v>
      </c>
      <c r="AG3158" t="n">
        <v>81228</v>
      </c>
      <c r="AH3158" t="n">
        <v>142772</v>
      </c>
      <c r="AI3158" t="n">
        <v>0</v>
      </c>
    </row>
    <row r="3159">
      <c r="A3159" t="inlineStr">
        <is>
          <t>4월</t>
        </is>
      </c>
      <c r="B3159" t="inlineStr">
        <is>
          <t>14주차</t>
        </is>
      </c>
      <c r="C3159" t="inlineStr">
        <is>
          <t>OR</t>
        </is>
      </c>
      <c r="D3159" s="28" t="n">
        <v>46113</v>
      </c>
      <c r="E3159" t="inlineStr">
        <is>
          <t>오릭스</t>
        </is>
      </c>
      <c r="F3159" t="inlineStr">
        <is>
          <t>김청수</t>
        </is>
      </c>
      <c r="G3159" t="inlineStr">
        <is>
          <t>010-9934-0595</t>
        </is>
      </c>
      <c r="H3159" t="inlineStr">
        <is>
          <t>23고7444</t>
        </is>
      </c>
      <c r="I3159" t="n">
        <v>-26000000</v>
      </c>
      <c r="J3159" t="n">
        <v>0.054</v>
      </c>
      <c r="K3159" t="n">
        <v>1.65</v>
      </c>
      <c r="L3159" t="n">
        <v>0.3</v>
      </c>
      <c r="M3159" t="n">
        <v>1.35</v>
      </c>
      <c r="P3159" t="inlineStr">
        <is>
          <t>박현민</t>
        </is>
      </c>
      <c r="Q3159" t="inlineStr">
        <is>
          <t>미이전 사고건으로 수수료 지급X</t>
        </is>
      </c>
      <c r="AB3159" t="inlineStr">
        <is>
          <t>엔카</t>
        </is>
      </c>
      <c r="AC3159" t="n">
        <v>-429000</v>
      </c>
      <c r="AD3159" t="n">
        <v>-78000</v>
      </c>
      <c r="AE3159" t="n">
        <v>-351000</v>
      </c>
      <c r="AF3159" t="n">
        <v>-390000</v>
      </c>
      <c r="AG3159" t="n">
        <v>-75426</v>
      </c>
      <c r="AH3159" t="n">
        <v>-314574</v>
      </c>
      <c r="AI3159" t="n">
        <v>0</v>
      </c>
    </row>
    <row r="3160">
      <c r="A3160" t="inlineStr">
        <is>
          <t>4월</t>
        </is>
      </c>
      <c r="B3160" t="inlineStr">
        <is>
          <t>15주차</t>
        </is>
      </c>
      <c r="C3160" t="inlineStr">
        <is>
          <t>EP</t>
        </is>
      </c>
      <c r="D3160" s="28" t="n">
        <v>46122</v>
      </c>
      <c r="E3160" t="inlineStr">
        <is>
          <t>현대EP</t>
        </is>
      </c>
      <c r="F3160" t="inlineStr">
        <is>
          <t>최현민</t>
        </is>
      </c>
      <c r="G3160" t="inlineStr">
        <is>
          <t>010-2245-4222</t>
        </is>
      </c>
      <c r="H3160" t="inlineStr">
        <is>
          <t>11버3694</t>
        </is>
      </c>
      <c r="I3160" t="n">
        <v>12000000</v>
      </c>
      <c r="J3160" t="n">
        <v>0.092</v>
      </c>
      <c r="K3160" t="n">
        <v>1.76</v>
      </c>
      <c r="L3160" t="n">
        <v>0.2</v>
      </c>
      <c r="M3160" t="n">
        <v>1.56</v>
      </c>
      <c r="P3160" t="inlineStr">
        <is>
          <t>정세빈</t>
        </is>
      </c>
      <c r="Q3160" t="inlineStr">
        <is>
          <t>홈서비스 60개월</t>
        </is>
      </c>
      <c r="AB3160" t="inlineStr">
        <is>
          <t>홈서비스</t>
        </is>
      </c>
      <c r="AC3160" t="n">
        <v>211200</v>
      </c>
      <c r="AD3160" t="n">
        <v>24000</v>
      </c>
      <c r="AE3160" t="n">
        <v>187200</v>
      </c>
      <c r="AF3160" t="n">
        <v>192000</v>
      </c>
      <c r="AG3160" t="n">
        <v>23208</v>
      </c>
      <c r="AH3160" t="n">
        <v>168792</v>
      </c>
      <c r="AI3160" t="n">
        <v>0</v>
      </c>
    </row>
    <row r="3161">
      <c r="A3161" t="inlineStr">
        <is>
          <t>4월</t>
        </is>
      </c>
      <c r="B3161" t="inlineStr">
        <is>
          <t>15주차</t>
        </is>
      </c>
      <c r="C3161" t="inlineStr">
        <is>
          <t>EP</t>
        </is>
      </c>
      <c r="D3161" s="28" t="n">
        <v>46124</v>
      </c>
      <c r="E3161" t="inlineStr">
        <is>
          <t>현대EP</t>
        </is>
      </c>
      <c r="F3161" t="inlineStr">
        <is>
          <t>손동재</t>
        </is>
      </c>
      <c r="G3161" t="inlineStr">
        <is>
          <t>010-3508-2145</t>
        </is>
      </c>
      <c r="H3161" t="inlineStr">
        <is>
          <t>36너5681</t>
        </is>
      </c>
      <c r="I3161" t="n">
        <v>4800000</v>
      </c>
      <c r="J3161" t="n">
        <v>0.09</v>
      </c>
      <c r="K3161" t="n">
        <v>1.76</v>
      </c>
      <c r="L3161" t="n">
        <v>0.2</v>
      </c>
      <c r="M3161" t="n">
        <v>1.56</v>
      </c>
      <c r="P3161" t="inlineStr">
        <is>
          <t>황채이</t>
        </is>
      </c>
      <c r="Q3161" t="inlineStr">
        <is>
          <t>홈서비스 24개월</t>
        </is>
      </c>
      <c r="AB3161" t="inlineStr">
        <is>
          <t>홈서비스</t>
        </is>
      </c>
      <c r="AC3161" t="n">
        <v>84480</v>
      </c>
      <c r="AD3161" t="n">
        <v>9600</v>
      </c>
      <c r="AE3161" t="n">
        <v>74880</v>
      </c>
      <c r="AF3161" t="n">
        <v>76800</v>
      </c>
      <c r="AG3161" t="n">
        <v>9283.200000000001</v>
      </c>
      <c r="AH3161" t="n">
        <v>67516.8</v>
      </c>
      <c r="AI3161" t="n">
        <v>0</v>
      </c>
    </row>
    <row r="3162">
      <c r="A3162" t="inlineStr">
        <is>
          <t>4월</t>
        </is>
      </c>
      <c r="B3162" t="inlineStr">
        <is>
          <t>16주차</t>
        </is>
      </c>
      <c r="C3162" t="inlineStr">
        <is>
          <t>IM</t>
        </is>
      </c>
      <c r="D3162" s="28" t="n">
        <v>46125</v>
      </c>
      <c r="E3162" t="inlineStr">
        <is>
          <t>IM캐피탈</t>
        </is>
      </c>
      <c r="F3162" t="inlineStr">
        <is>
          <t>심서환</t>
        </is>
      </c>
      <c r="G3162" t="inlineStr">
        <is>
          <t>010-4754-5494</t>
        </is>
      </c>
      <c r="H3162" t="inlineStr">
        <is>
          <t>63보0704</t>
        </is>
      </c>
      <c r="I3162" t="n">
        <v>60000000</v>
      </c>
      <c r="J3162" t="n">
        <v>0.059</v>
      </c>
      <c r="K3162" t="n">
        <v>1.1</v>
      </c>
      <c r="L3162" t="n">
        <v>0.07000000000000001</v>
      </c>
      <c r="M3162" t="n">
        <v>1.03</v>
      </c>
      <c r="P3162" t="inlineStr">
        <is>
          <t>황채이</t>
        </is>
      </c>
      <c r="Q3162" t="inlineStr">
        <is>
          <t>홈서비스 48개월 / 기조회 및 금리불만 현대 7.2</t>
        </is>
      </c>
      <c r="AB3162" t="inlineStr">
        <is>
          <t>홈서비스</t>
        </is>
      </c>
      <c r="AC3162" t="n">
        <v>660000</v>
      </c>
      <c r="AD3162" t="n">
        <v>42000</v>
      </c>
      <c r="AE3162" t="n">
        <v>618000</v>
      </c>
      <c r="AF3162" t="n">
        <v>600000</v>
      </c>
      <c r="AG3162" t="n">
        <v>40614</v>
      </c>
      <c r="AH3162" t="n">
        <v>559386</v>
      </c>
    </row>
    <row r="3163">
      <c r="A3163" t="inlineStr">
        <is>
          <t>4월</t>
        </is>
      </c>
      <c r="B3163" t="inlineStr">
        <is>
          <t>15주차</t>
        </is>
      </c>
      <c r="C3163" t="inlineStr">
        <is>
          <t>IM</t>
        </is>
      </c>
      <c r="D3163" s="28" t="n">
        <v>46122</v>
      </c>
      <c r="E3163" t="inlineStr">
        <is>
          <t>IM캐피탈</t>
        </is>
      </c>
      <c r="F3163" t="inlineStr">
        <is>
          <t>이경선</t>
        </is>
      </c>
      <c r="G3163" t="inlineStr">
        <is>
          <t>010-2221-2101</t>
        </is>
      </c>
      <c r="H3163" t="inlineStr">
        <is>
          <t>140우3724</t>
        </is>
      </c>
      <c r="I3163" t="n">
        <v>30000000</v>
      </c>
      <c r="J3163" t="n">
        <v>0.049</v>
      </c>
      <c r="K3163" t="n">
        <v>1.1</v>
      </c>
      <c r="L3163" t="n">
        <v>0.3</v>
      </c>
      <c r="M3163" t="n">
        <v>0.8</v>
      </c>
      <c r="P3163" t="inlineStr">
        <is>
          <t>박보람</t>
        </is>
      </c>
      <c r="Q3163" t="inlineStr">
        <is>
          <t>론 실행 / 부대비용 추가진행</t>
        </is>
      </c>
      <c r="AB3163" t="inlineStr">
        <is>
          <t>엔카</t>
        </is>
      </c>
      <c r="AC3163" t="n">
        <v>330000</v>
      </c>
      <c r="AD3163" t="n">
        <v>90000</v>
      </c>
      <c r="AE3163" t="n">
        <v>240000</v>
      </c>
      <c r="AF3163" t="n">
        <v>300000</v>
      </c>
      <c r="AG3163" t="n">
        <v>87030</v>
      </c>
      <c r="AH3163" t="n">
        <v>212970</v>
      </c>
      <c r="AI3163" t="n">
        <v>0</v>
      </c>
    </row>
    <row r="3164">
      <c r="A3164" t="inlineStr">
        <is>
          <t>4월</t>
        </is>
      </c>
      <c r="B3164" t="inlineStr">
        <is>
          <t>15주차</t>
        </is>
      </c>
      <c r="C3164" t="inlineStr">
        <is>
          <t>OR</t>
        </is>
      </c>
      <c r="D3164" s="28" t="n">
        <v>46123</v>
      </c>
      <c r="E3164" t="inlineStr">
        <is>
          <t>오릭스</t>
        </is>
      </c>
      <c r="F3164" t="inlineStr">
        <is>
          <t>오재영</t>
        </is>
      </c>
      <c r="G3164" t="inlineStr">
        <is>
          <t>010-4259-9611</t>
        </is>
      </c>
      <c r="H3164" t="inlineStr">
        <is>
          <t>190주1972</t>
        </is>
      </c>
      <c r="I3164" t="n">
        <v>27900000</v>
      </c>
      <c r="J3164" t="n">
        <v>0.055</v>
      </c>
      <c r="K3164" t="n">
        <v>1.65</v>
      </c>
      <c r="L3164" t="n">
        <v>0.3</v>
      </c>
      <c r="M3164" t="n">
        <v>1.35</v>
      </c>
      <c r="P3164" t="inlineStr">
        <is>
          <t>장현경</t>
        </is>
      </c>
      <c r="AB3164" t="inlineStr">
        <is>
          <t>엔카</t>
        </is>
      </c>
      <c r="AC3164" t="n">
        <v>460350</v>
      </c>
      <c r="AD3164" t="n">
        <v>83700</v>
      </c>
      <c r="AE3164" t="n">
        <v>376650</v>
      </c>
      <c r="AF3164" t="n">
        <v>418500</v>
      </c>
      <c r="AG3164" t="n">
        <v>80937.89999999999</v>
      </c>
      <c r="AH3164" t="n">
        <v>337562.1</v>
      </c>
      <c r="AI3164" t="n">
        <v>0</v>
      </c>
    </row>
    <row r="3165">
      <c r="A3165" t="inlineStr">
        <is>
          <t>4월</t>
        </is>
      </c>
      <c r="B3165" t="inlineStr">
        <is>
          <t>16주차</t>
        </is>
      </c>
      <c r="C3165" t="inlineStr">
        <is>
          <t>EP</t>
        </is>
      </c>
      <c r="D3165" s="28" t="n">
        <v>46125</v>
      </c>
      <c r="E3165" t="inlineStr">
        <is>
          <t>현대EP_fast</t>
        </is>
      </c>
      <c r="F3165" t="inlineStr">
        <is>
          <t>최우석</t>
        </is>
      </c>
      <c r="G3165" t="inlineStr">
        <is>
          <t>010-5877-0647</t>
        </is>
      </c>
      <c r="H3165" t="inlineStr">
        <is>
          <t>57도8095</t>
        </is>
      </c>
      <c r="I3165" t="n">
        <v>4000000</v>
      </c>
      <c r="J3165" t="n">
        <v>0.079</v>
      </c>
      <c r="K3165" t="n">
        <v>1.76</v>
      </c>
      <c r="L3165" t="n">
        <v>0.2</v>
      </c>
      <c r="M3165" t="n">
        <v>1.56</v>
      </c>
      <c r="P3165" t="inlineStr">
        <is>
          <t>황채이</t>
        </is>
      </c>
      <c r="Q3165" t="inlineStr">
        <is>
          <t>홈서비스 24개월</t>
        </is>
      </c>
      <c r="AB3165" t="inlineStr">
        <is>
          <t>홈서비스</t>
        </is>
      </c>
      <c r="AC3165" t="n">
        <v>70400</v>
      </c>
      <c r="AD3165" t="n">
        <v>8000</v>
      </c>
      <c r="AE3165" t="n">
        <v>62400</v>
      </c>
      <c r="AF3165" t="n">
        <v>64000</v>
      </c>
      <c r="AG3165" t="n">
        <v>7736</v>
      </c>
      <c r="AH3165" t="n">
        <v>56264</v>
      </c>
      <c r="AI3165" t="n">
        <v>0</v>
      </c>
    </row>
    <row r="3166">
      <c r="A3166" t="inlineStr">
        <is>
          <t>4월</t>
        </is>
      </c>
      <c r="B3166" t="inlineStr">
        <is>
          <t>15주차</t>
        </is>
      </c>
      <c r="C3166" t="inlineStr">
        <is>
          <t>WC</t>
        </is>
      </c>
      <c r="D3166" s="28" t="n">
        <v>46123</v>
      </c>
      <c r="E3166" t="inlineStr">
        <is>
          <t>웰컴저축은행</t>
        </is>
      </c>
      <c r="F3166" t="inlineStr">
        <is>
          <t>김명섭</t>
        </is>
      </c>
      <c r="G3166" t="inlineStr">
        <is>
          <t>010-8209-8293</t>
        </is>
      </c>
      <c r="H3166" t="inlineStr">
        <is>
          <t>347버4550</t>
        </is>
      </c>
      <c r="I3166" t="n">
        <v>16300000</v>
      </c>
      <c r="J3166" t="n">
        <v>0.139</v>
      </c>
      <c r="K3166" t="n">
        <v>2.2</v>
      </c>
      <c r="L3166" t="n">
        <v>0.3</v>
      </c>
      <c r="M3166" t="n">
        <v>1.9</v>
      </c>
      <c r="P3166" t="inlineStr">
        <is>
          <t>박보람</t>
        </is>
      </c>
      <c r="Q3166" t="inlineStr">
        <is>
          <t>부결DB / 부대비용 추가진행</t>
        </is>
      </c>
      <c r="AB3166" t="inlineStr">
        <is>
          <t>엔카</t>
        </is>
      </c>
      <c r="AC3166" t="n">
        <v>358600</v>
      </c>
      <c r="AD3166" t="n">
        <v>48900</v>
      </c>
      <c r="AE3166" t="n">
        <v>309700</v>
      </c>
      <c r="AF3166" t="n">
        <v>326000</v>
      </c>
      <c r="AG3166" t="n">
        <v>47286.3</v>
      </c>
      <c r="AH3166" t="n">
        <v>278713.7</v>
      </c>
      <c r="AI3166" t="n">
        <v>0</v>
      </c>
    </row>
    <row r="3167">
      <c r="A3167" t="inlineStr">
        <is>
          <t>4월</t>
        </is>
      </c>
      <c r="B3167" t="inlineStr">
        <is>
          <t>15주차</t>
        </is>
      </c>
      <c r="C3167" t="inlineStr">
        <is>
          <t>EP</t>
        </is>
      </c>
      <c r="D3167" s="28" t="n">
        <v>46122</v>
      </c>
      <c r="E3167" t="inlineStr">
        <is>
          <t>현대EP_fast</t>
        </is>
      </c>
      <c r="F3167" t="inlineStr">
        <is>
          <t>심현보</t>
        </is>
      </c>
      <c r="G3167" t="inlineStr">
        <is>
          <t>010-9313-5315</t>
        </is>
      </c>
      <c r="H3167" t="inlineStr">
        <is>
          <t>319버8279</t>
        </is>
      </c>
      <c r="I3167" t="n">
        <v>21000000</v>
      </c>
      <c r="J3167" t="n">
        <v>0.102</v>
      </c>
      <c r="K3167" t="n">
        <v>1.76</v>
      </c>
      <c r="L3167" t="n">
        <v>0.6</v>
      </c>
      <c r="M3167" t="n">
        <v>1.16</v>
      </c>
      <c r="P3167" t="inlineStr">
        <is>
          <t>최혁</t>
        </is>
      </c>
      <c r="AB3167" t="inlineStr">
        <is>
          <t>엔카</t>
        </is>
      </c>
      <c r="AC3167" t="n">
        <v>369600</v>
      </c>
      <c r="AD3167" t="n">
        <v>126000</v>
      </c>
      <c r="AE3167" t="n">
        <v>243600</v>
      </c>
      <c r="AF3167" t="n">
        <v>336000</v>
      </c>
      <c r="AG3167" t="n">
        <v>121842</v>
      </c>
      <c r="AH3167" t="n">
        <v>214158</v>
      </c>
      <c r="AI3167" t="n">
        <v>0</v>
      </c>
    </row>
    <row r="3168">
      <c r="A3168" t="inlineStr">
        <is>
          <t>4월</t>
        </is>
      </c>
      <c r="B3168" t="inlineStr">
        <is>
          <t>16주차</t>
        </is>
      </c>
      <c r="C3168" t="inlineStr">
        <is>
          <t>IM</t>
        </is>
      </c>
      <c r="D3168" s="28" t="n">
        <v>46125</v>
      </c>
      <c r="E3168" t="inlineStr">
        <is>
          <t>IM캐피탈</t>
        </is>
      </c>
      <c r="F3168" t="inlineStr">
        <is>
          <t>정재욱</t>
        </is>
      </c>
      <c r="G3168" t="inlineStr">
        <is>
          <t>010-2966-7901</t>
        </is>
      </c>
      <c r="H3168" t="inlineStr">
        <is>
          <t>361오8674</t>
        </is>
      </c>
      <c r="I3168" t="n">
        <v>40000000</v>
      </c>
      <c r="J3168" t="n">
        <v>0.049</v>
      </c>
      <c r="K3168" t="n">
        <v>1.1</v>
      </c>
      <c r="L3168" t="n">
        <v>0.07000000000000001</v>
      </c>
      <c r="M3168" t="n">
        <v>1.03</v>
      </c>
      <c r="P3168" t="inlineStr">
        <is>
          <t>황채이</t>
        </is>
      </c>
      <c r="Q3168" t="inlineStr">
        <is>
          <t>홈서비스 60개월 / 금리불만- 현대 7.1% / 공동명의</t>
        </is>
      </c>
      <c r="AB3168" t="inlineStr">
        <is>
          <t>홈서비스</t>
        </is>
      </c>
      <c r="AC3168" t="n">
        <v>440000</v>
      </c>
      <c r="AD3168" t="n">
        <v>28000</v>
      </c>
      <c r="AE3168" t="n">
        <v>412000</v>
      </c>
      <c r="AF3168" t="n">
        <v>400000</v>
      </c>
      <c r="AG3168" t="n">
        <v>27076</v>
      </c>
      <c r="AH3168" t="n">
        <v>372924</v>
      </c>
      <c r="AI3168" t="n">
        <v>0</v>
      </c>
    </row>
    <row r="3169">
      <c r="A3169" t="inlineStr">
        <is>
          <t>4월</t>
        </is>
      </c>
      <c r="B3169" t="inlineStr">
        <is>
          <t>15주차</t>
        </is>
      </c>
      <c r="C3169" t="inlineStr">
        <is>
          <t>EP</t>
        </is>
      </c>
      <c r="D3169" s="28" t="n">
        <v>46124</v>
      </c>
      <c r="E3169" t="inlineStr">
        <is>
          <t>현대EP</t>
        </is>
      </c>
      <c r="F3169" t="inlineStr">
        <is>
          <t>하대성</t>
        </is>
      </c>
      <c r="G3169" t="inlineStr">
        <is>
          <t>010-6755-4758</t>
        </is>
      </c>
      <c r="H3169" t="inlineStr">
        <is>
          <t>144무7998</t>
        </is>
      </c>
      <c r="I3169" t="n">
        <v>11000000</v>
      </c>
      <c r="J3169" t="n">
        <v>0.075</v>
      </c>
      <c r="K3169" t="n">
        <v>1.76</v>
      </c>
      <c r="L3169" t="n">
        <v>0.2</v>
      </c>
      <c r="M3169" t="n">
        <v>1.56</v>
      </c>
      <c r="P3169" t="inlineStr">
        <is>
          <t>정세빈</t>
        </is>
      </c>
      <c r="Q3169" t="inlineStr">
        <is>
          <t>홈서비스 60개월</t>
        </is>
      </c>
      <c r="AB3169" t="inlineStr">
        <is>
          <t>홈서비스</t>
        </is>
      </c>
      <c r="AC3169" t="n">
        <v>193600</v>
      </c>
      <c r="AD3169" t="n">
        <v>22000</v>
      </c>
      <c r="AE3169" t="n">
        <v>171600</v>
      </c>
      <c r="AF3169" t="n">
        <v>176000</v>
      </c>
      <c r="AG3169" t="n">
        <v>21274</v>
      </c>
      <c r="AH3169" t="n">
        <v>154726</v>
      </c>
      <c r="AI3169" t="n">
        <v>0</v>
      </c>
    </row>
    <row r="3170">
      <c r="A3170" t="inlineStr">
        <is>
          <t>4월</t>
        </is>
      </c>
      <c r="B3170" t="inlineStr">
        <is>
          <t>15주차</t>
        </is>
      </c>
      <c r="C3170" t="inlineStr">
        <is>
          <t>IM</t>
        </is>
      </c>
      <c r="D3170" s="28" t="n">
        <v>46120</v>
      </c>
      <c r="E3170" t="inlineStr">
        <is>
          <t>IM캐피탈</t>
        </is>
      </c>
      <c r="F3170" t="inlineStr">
        <is>
          <t>김종우</t>
        </is>
      </c>
      <c r="G3170" t="inlineStr">
        <is>
          <t>010-8402-1823</t>
        </is>
      </c>
      <c r="H3170" t="inlineStr">
        <is>
          <t>117조1116</t>
        </is>
      </c>
      <c r="I3170" t="n">
        <v>21200000</v>
      </c>
      <c r="J3170" t="n">
        <v>0.06900000000000001</v>
      </c>
      <c r="K3170" t="n">
        <v>1.1</v>
      </c>
      <c r="L3170" t="n">
        <v>0.3</v>
      </c>
      <c r="M3170" t="n">
        <v>0.8</v>
      </c>
      <c r="P3170" t="inlineStr">
        <is>
          <t>구성완</t>
        </is>
      </c>
      <c r="AB3170" t="inlineStr">
        <is>
          <t>엔카</t>
        </is>
      </c>
      <c r="AC3170" t="n">
        <v>233200</v>
      </c>
      <c r="AD3170" t="n">
        <v>63600</v>
      </c>
      <c r="AE3170" t="n">
        <v>169600</v>
      </c>
      <c r="AF3170" t="n">
        <v>212000</v>
      </c>
      <c r="AG3170" t="n">
        <v>61501.2</v>
      </c>
      <c r="AH3170" t="n">
        <v>150498.8</v>
      </c>
    </row>
    <row r="3171">
      <c r="A3171" t="inlineStr">
        <is>
          <t>4월</t>
        </is>
      </c>
      <c r="B3171" t="inlineStr">
        <is>
          <t>15주차</t>
        </is>
      </c>
      <c r="C3171" t="inlineStr">
        <is>
          <t>IM</t>
        </is>
      </c>
      <c r="D3171" s="28" t="n">
        <v>46122</v>
      </c>
      <c r="E3171" t="inlineStr">
        <is>
          <t>IM캐피탈</t>
        </is>
      </c>
      <c r="F3171" t="inlineStr">
        <is>
          <t>김성수</t>
        </is>
      </c>
      <c r="G3171" t="inlineStr">
        <is>
          <t>010-4877-7413</t>
        </is>
      </c>
      <c r="H3171" t="inlineStr">
        <is>
          <t>01수1688</t>
        </is>
      </c>
      <c r="I3171" t="n">
        <v>18900000</v>
      </c>
      <c r="J3171" t="n">
        <v>0.039</v>
      </c>
      <c r="K3171" t="n">
        <v>1.1</v>
      </c>
      <c r="L3171" t="n">
        <v>0.3</v>
      </c>
      <c r="M3171" t="n">
        <v>0.8</v>
      </c>
      <c r="P3171" t="inlineStr">
        <is>
          <t>최혁</t>
        </is>
      </c>
      <c r="AB3171" t="inlineStr">
        <is>
          <t>엔카</t>
        </is>
      </c>
      <c r="AC3171" t="n">
        <v>207900</v>
      </c>
      <c r="AD3171" t="n">
        <v>56700</v>
      </c>
      <c r="AE3171" t="n">
        <v>151200</v>
      </c>
      <c r="AF3171" t="n">
        <v>189000</v>
      </c>
      <c r="AG3171" t="n">
        <v>54828.9</v>
      </c>
      <c r="AH3171" t="n">
        <v>134171.1</v>
      </c>
      <c r="AI3171" t="n">
        <v>0</v>
      </c>
    </row>
    <row r="3172">
      <c r="A3172" t="inlineStr">
        <is>
          <t>4월</t>
        </is>
      </c>
      <c r="B3172" t="inlineStr">
        <is>
          <t>15주차</t>
        </is>
      </c>
      <c r="C3172" t="inlineStr">
        <is>
          <t>EP</t>
        </is>
      </c>
      <c r="D3172" s="28" t="n">
        <v>46123</v>
      </c>
      <c r="E3172" t="inlineStr">
        <is>
          <t>현대EP</t>
        </is>
      </c>
      <c r="F3172" t="inlineStr">
        <is>
          <t>김성경</t>
        </is>
      </c>
      <c r="G3172" t="inlineStr">
        <is>
          <t>010-9278-9301</t>
        </is>
      </c>
      <c r="H3172" t="inlineStr">
        <is>
          <t>04무9728</t>
        </is>
      </c>
      <c r="I3172" t="n">
        <v>14000000</v>
      </c>
      <c r="J3172" t="n">
        <v>0.09</v>
      </c>
      <c r="K3172" t="n">
        <v>1.76</v>
      </c>
      <c r="L3172" t="n">
        <v>0.2</v>
      </c>
      <c r="M3172" t="n">
        <v>1.56</v>
      </c>
      <c r="P3172" t="inlineStr">
        <is>
          <t>최형주</t>
        </is>
      </c>
      <c r="Q3172" t="inlineStr">
        <is>
          <t>홈서비스 60개월</t>
        </is>
      </c>
      <c r="AB3172" t="inlineStr">
        <is>
          <t>홈서비스</t>
        </is>
      </c>
      <c r="AC3172" t="n">
        <v>246400</v>
      </c>
      <c r="AD3172" t="n">
        <v>28000</v>
      </c>
      <c r="AE3172" t="n">
        <v>218400</v>
      </c>
      <c r="AF3172" t="n">
        <v>224000</v>
      </c>
      <c r="AG3172" t="n">
        <v>27076</v>
      </c>
      <c r="AH3172" t="n">
        <v>196924</v>
      </c>
      <c r="AI3172" t="n">
        <v>0</v>
      </c>
    </row>
    <row r="3173">
      <c r="A3173" t="inlineStr">
        <is>
          <t>4월</t>
        </is>
      </c>
      <c r="B3173" t="inlineStr">
        <is>
          <t>15주차</t>
        </is>
      </c>
      <c r="C3173" t="inlineStr">
        <is>
          <t>IM</t>
        </is>
      </c>
      <c r="D3173" s="28" t="n">
        <v>46123</v>
      </c>
      <c r="E3173" t="inlineStr">
        <is>
          <t>IM캐피탈</t>
        </is>
      </c>
      <c r="F3173" t="inlineStr">
        <is>
          <t>박지성</t>
        </is>
      </c>
      <c r="G3173" t="inlineStr">
        <is>
          <t>010-4343-2503</t>
        </is>
      </c>
      <c r="H3173" t="inlineStr">
        <is>
          <t>209모3122</t>
        </is>
      </c>
      <c r="I3173" t="n">
        <v>60000000</v>
      </c>
      <c r="J3173" t="n">
        <v>0.049</v>
      </c>
      <c r="K3173" t="n">
        <v>1.1</v>
      </c>
      <c r="L3173" t="n">
        <v>0.07000000000000001</v>
      </c>
      <c r="M3173" t="n">
        <v>1.03</v>
      </c>
      <c r="P3173" t="inlineStr">
        <is>
          <t>구성완</t>
        </is>
      </c>
      <c r="Q3173" t="inlineStr">
        <is>
          <t>안심거래존건</t>
        </is>
      </c>
      <c r="AB3173" t="inlineStr">
        <is>
          <t>믿고</t>
        </is>
      </c>
      <c r="AC3173" t="n">
        <v>660000</v>
      </c>
      <c r="AD3173" t="n">
        <v>42000</v>
      </c>
      <c r="AE3173" t="n">
        <v>618000</v>
      </c>
      <c r="AF3173" t="n">
        <v>600000</v>
      </c>
      <c r="AG3173" t="n">
        <v>40614</v>
      </c>
      <c r="AH3173" t="n">
        <v>559386</v>
      </c>
      <c r="AI3173" t="n">
        <v>0</v>
      </c>
    </row>
    <row r="3174">
      <c r="A3174" t="inlineStr">
        <is>
          <t>4월</t>
        </is>
      </c>
      <c r="B3174" t="inlineStr">
        <is>
          <t>16주차</t>
        </is>
      </c>
      <c r="C3174" t="inlineStr">
        <is>
          <t>EP</t>
        </is>
      </c>
      <c r="D3174" s="28" t="n">
        <v>46125</v>
      </c>
      <c r="E3174" t="inlineStr">
        <is>
          <t>현대EP_fast</t>
        </is>
      </c>
      <c r="F3174" t="inlineStr">
        <is>
          <t>박경선</t>
        </is>
      </c>
      <c r="G3174" t="inlineStr">
        <is>
          <t>010-2239-9415</t>
        </is>
      </c>
      <c r="H3174" t="inlineStr">
        <is>
          <t>58고1834</t>
        </is>
      </c>
      <c r="I3174" t="n">
        <v>12000000</v>
      </c>
      <c r="J3174" t="n">
        <v>0.07099999999999999</v>
      </c>
      <c r="K3174" t="n">
        <v>1.76</v>
      </c>
      <c r="L3174" t="n">
        <v>0.2</v>
      </c>
      <c r="M3174" t="n">
        <v>1.56</v>
      </c>
      <c r="P3174" t="inlineStr">
        <is>
          <t>정세빈</t>
        </is>
      </c>
      <c r="Q3174" t="inlineStr">
        <is>
          <t>홈서비스 60개월</t>
        </is>
      </c>
      <c r="AB3174" t="inlineStr">
        <is>
          <t>홈서비스</t>
        </is>
      </c>
      <c r="AC3174" t="n">
        <v>211200</v>
      </c>
      <c r="AD3174" t="n">
        <v>24000</v>
      </c>
      <c r="AE3174" t="n">
        <v>187200</v>
      </c>
      <c r="AF3174" t="n">
        <v>192000</v>
      </c>
      <c r="AG3174" t="n">
        <v>23208</v>
      </c>
      <c r="AH3174" t="n">
        <v>168792</v>
      </c>
      <c r="AI3174" t="n">
        <v>0</v>
      </c>
    </row>
    <row r="3175">
      <c r="A3175" t="inlineStr">
        <is>
          <t>4월</t>
        </is>
      </c>
      <c r="B3175" t="inlineStr">
        <is>
          <t>15주차</t>
        </is>
      </c>
      <c r="C3175" t="inlineStr">
        <is>
          <t>EP</t>
        </is>
      </c>
      <c r="D3175" s="28" t="n">
        <v>46122</v>
      </c>
      <c r="E3175" t="inlineStr">
        <is>
          <t>현대EP</t>
        </is>
      </c>
      <c r="F3175" t="inlineStr">
        <is>
          <t>박성열</t>
        </is>
      </c>
      <c r="G3175" t="inlineStr">
        <is>
          <t>010-4453-0601</t>
        </is>
      </c>
      <c r="H3175" t="inlineStr">
        <is>
          <t>387버3690</t>
        </is>
      </c>
      <c r="I3175" t="n">
        <v>15000000</v>
      </c>
      <c r="J3175" t="n">
        <v>0.079</v>
      </c>
      <c r="K3175" t="n">
        <v>1.76</v>
      </c>
      <c r="L3175" t="n">
        <v>0.2</v>
      </c>
      <c r="M3175" t="n">
        <v>1.56</v>
      </c>
      <c r="P3175" t="inlineStr">
        <is>
          <t>김수연</t>
        </is>
      </c>
      <c r="Q3175" t="inlineStr">
        <is>
          <t>홈서비스 48개월</t>
        </is>
      </c>
      <c r="AB3175" t="inlineStr">
        <is>
          <t>홈서비스</t>
        </is>
      </c>
      <c r="AC3175" t="n">
        <v>264000</v>
      </c>
      <c r="AD3175" t="n">
        <v>30000</v>
      </c>
      <c r="AE3175" t="n">
        <v>234000</v>
      </c>
      <c r="AF3175" t="n">
        <v>240000</v>
      </c>
      <c r="AG3175" t="n">
        <v>29010</v>
      </c>
      <c r="AH3175" t="n">
        <v>210990</v>
      </c>
      <c r="AI3175" t="n">
        <v>0</v>
      </c>
    </row>
    <row r="3176">
      <c r="A3176" t="inlineStr">
        <is>
          <t>4월</t>
        </is>
      </c>
      <c r="B3176" t="inlineStr">
        <is>
          <t>16주차</t>
        </is>
      </c>
      <c r="C3176" t="inlineStr">
        <is>
          <t>EP</t>
        </is>
      </c>
      <c r="D3176" s="28" t="n">
        <v>46125</v>
      </c>
      <c r="E3176" t="inlineStr">
        <is>
          <t>현대EP_fast</t>
        </is>
      </c>
      <c r="F3176" t="inlineStr">
        <is>
          <t>윤정민</t>
        </is>
      </c>
      <c r="G3176" t="inlineStr">
        <is>
          <t>010-5289-6776</t>
        </is>
      </c>
      <c r="H3176" t="inlineStr">
        <is>
          <t>64다1763</t>
        </is>
      </c>
      <c r="I3176" t="n">
        <v>29500000</v>
      </c>
      <c r="J3176" t="n">
        <v>0.08599999999999999</v>
      </c>
      <c r="K3176" t="n">
        <v>1.76</v>
      </c>
      <c r="L3176" t="n">
        <v>0.2</v>
      </c>
      <c r="M3176" t="n">
        <v>1.56</v>
      </c>
      <c r="P3176" t="inlineStr">
        <is>
          <t>황채이</t>
        </is>
      </c>
      <c r="Q3176" t="inlineStr">
        <is>
          <t>홈서비스 60개월</t>
        </is>
      </c>
      <c r="AB3176" t="inlineStr">
        <is>
          <t>홈서비스</t>
        </is>
      </c>
      <c r="AC3176" t="n">
        <v>519200</v>
      </c>
      <c r="AD3176" t="n">
        <v>59000</v>
      </c>
      <c r="AE3176" t="n">
        <v>460200</v>
      </c>
      <c r="AF3176" t="n">
        <v>472000</v>
      </c>
      <c r="AG3176" t="n">
        <v>57053</v>
      </c>
      <c r="AH3176" t="n">
        <v>414947</v>
      </c>
      <c r="AI3176" t="n">
        <v>0</v>
      </c>
    </row>
    <row r="3177">
      <c r="A3177" t="inlineStr">
        <is>
          <t>4월</t>
        </is>
      </c>
      <c r="B3177" t="inlineStr">
        <is>
          <t>16주차</t>
        </is>
      </c>
      <c r="C3177" t="inlineStr">
        <is>
          <t>IM</t>
        </is>
      </c>
      <c r="D3177" s="28" t="n">
        <v>46125</v>
      </c>
      <c r="E3177" t="inlineStr">
        <is>
          <t>IM캐피탈</t>
        </is>
      </c>
      <c r="F3177" t="inlineStr">
        <is>
          <t>유동호</t>
        </is>
      </c>
      <c r="G3177" t="inlineStr">
        <is>
          <t>010-9350-5178</t>
        </is>
      </c>
      <c r="H3177" t="inlineStr">
        <is>
          <t>392두7839</t>
        </is>
      </c>
      <c r="I3177" t="n">
        <v>13800000</v>
      </c>
      <c r="J3177" t="n">
        <v>0.049</v>
      </c>
      <c r="K3177" t="n">
        <v>1.1</v>
      </c>
      <c r="L3177" t="n">
        <v>0.07000000000000001</v>
      </c>
      <c r="M3177" t="n">
        <v>1.03</v>
      </c>
      <c r="P3177" t="inlineStr">
        <is>
          <t>정세빈</t>
        </is>
      </c>
      <c r="Q3177" t="inlineStr">
        <is>
          <t>홈서비스 72개월 / 금리불만 현대 7.7%</t>
        </is>
      </c>
      <c r="AB3177" t="inlineStr">
        <is>
          <t>홈서비스</t>
        </is>
      </c>
      <c r="AC3177" t="n">
        <v>151800</v>
      </c>
      <c r="AD3177" t="n">
        <v>9660</v>
      </c>
      <c r="AE3177" t="n">
        <v>142140</v>
      </c>
      <c r="AF3177" t="n">
        <v>138000</v>
      </c>
      <c r="AG3177" t="n">
        <v>9341.219999999999</v>
      </c>
      <c r="AH3177" t="n">
        <v>128658.78</v>
      </c>
    </row>
    <row r="3178">
      <c r="A3178" t="inlineStr">
        <is>
          <t>4월</t>
        </is>
      </c>
      <c r="B3178" t="inlineStr">
        <is>
          <t>15주차</t>
        </is>
      </c>
      <c r="C3178" t="inlineStr">
        <is>
          <t>EP</t>
        </is>
      </c>
      <c r="D3178" s="28" t="n">
        <v>46124</v>
      </c>
      <c r="E3178" t="inlineStr">
        <is>
          <t>현대EP</t>
        </is>
      </c>
      <c r="F3178" t="inlineStr">
        <is>
          <t>김현중</t>
        </is>
      </c>
      <c r="G3178" t="inlineStr">
        <is>
          <t>010-8352-0412</t>
        </is>
      </c>
      <c r="H3178" t="inlineStr">
        <is>
          <t>149거2573</t>
        </is>
      </c>
      <c r="I3178" t="n">
        <v>20000000</v>
      </c>
      <c r="J3178" t="n">
        <v>0.09</v>
      </c>
      <c r="K3178" t="n">
        <v>1.76</v>
      </c>
      <c r="L3178" t="n">
        <v>0.2</v>
      </c>
      <c r="M3178" t="n">
        <v>1.56</v>
      </c>
      <c r="P3178" t="inlineStr">
        <is>
          <t>김나윤</t>
        </is>
      </c>
      <c r="Q3178" t="inlineStr">
        <is>
          <t>홈서비스 48개월</t>
        </is>
      </c>
      <c r="AB3178" t="inlineStr">
        <is>
          <t>홈서비스</t>
        </is>
      </c>
      <c r="AC3178" t="n">
        <v>352000</v>
      </c>
      <c r="AD3178" t="n">
        <v>40000</v>
      </c>
      <c r="AE3178" t="n">
        <v>312000</v>
      </c>
      <c r="AF3178" t="n">
        <v>320000</v>
      </c>
      <c r="AG3178" t="n">
        <v>38680</v>
      </c>
      <c r="AH3178" t="n">
        <v>281320</v>
      </c>
    </row>
    <row r="3179">
      <c r="A3179" t="inlineStr">
        <is>
          <t>4월</t>
        </is>
      </c>
      <c r="B3179" t="inlineStr">
        <is>
          <t>15주차</t>
        </is>
      </c>
      <c r="C3179" t="inlineStr">
        <is>
          <t>EP</t>
        </is>
      </c>
      <c r="D3179" s="28" t="n">
        <v>46123</v>
      </c>
      <c r="E3179" t="inlineStr">
        <is>
          <t>현대EP</t>
        </is>
      </c>
      <c r="F3179" t="inlineStr">
        <is>
          <t>배정우</t>
        </is>
      </c>
      <c r="G3179" t="inlineStr">
        <is>
          <t>010-2387-2398</t>
        </is>
      </c>
      <c r="H3179" t="inlineStr">
        <is>
          <t>32마9251</t>
        </is>
      </c>
      <c r="I3179" t="n">
        <v>10000000</v>
      </c>
      <c r="J3179" t="n">
        <v>0.08799999999999999</v>
      </c>
      <c r="K3179" t="n">
        <v>1.76</v>
      </c>
      <c r="L3179" t="n">
        <v>0.2</v>
      </c>
      <c r="M3179" t="n">
        <v>1.56</v>
      </c>
      <c r="P3179" t="inlineStr">
        <is>
          <t>최형주</t>
        </is>
      </c>
      <c r="Q3179" t="inlineStr">
        <is>
          <t>홈서비스 24개월</t>
        </is>
      </c>
      <c r="AB3179" t="inlineStr">
        <is>
          <t>홈서비스</t>
        </is>
      </c>
      <c r="AC3179" t="n">
        <v>176000</v>
      </c>
      <c r="AD3179" t="n">
        <v>20000</v>
      </c>
      <c r="AE3179" t="n">
        <v>156000</v>
      </c>
      <c r="AF3179" t="n">
        <v>160000</v>
      </c>
      <c r="AG3179" t="n">
        <v>19340</v>
      </c>
      <c r="AH3179" t="n">
        <v>140660</v>
      </c>
    </row>
    <row r="3180">
      <c r="A3180" t="inlineStr">
        <is>
          <t>4월</t>
        </is>
      </c>
      <c r="B3180" t="inlineStr">
        <is>
          <t>16주차</t>
        </is>
      </c>
      <c r="C3180" t="inlineStr">
        <is>
          <t>EP</t>
        </is>
      </c>
      <c r="D3180" s="28" t="n">
        <v>46125</v>
      </c>
      <c r="E3180" t="inlineStr">
        <is>
          <t>현대EP_fast</t>
        </is>
      </c>
      <c r="F3180" t="inlineStr">
        <is>
          <t>황원</t>
        </is>
      </c>
      <c r="G3180" t="inlineStr">
        <is>
          <t>010-5215-7128</t>
        </is>
      </c>
      <c r="H3180" t="inlineStr">
        <is>
          <t>193우6373</t>
        </is>
      </c>
      <c r="I3180" t="n">
        <v>15000000</v>
      </c>
      <c r="J3180" t="n">
        <v>0.092</v>
      </c>
      <c r="K3180" t="n">
        <v>1.76</v>
      </c>
      <c r="L3180" t="n">
        <v>0.2</v>
      </c>
      <c r="M3180" t="n">
        <v>1.56</v>
      </c>
      <c r="P3180" t="inlineStr">
        <is>
          <t>구성완</t>
        </is>
      </c>
      <c r="Q3180" t="inlineStr">
        <is>
          <t>안심거래존건</t>
        </is>
      </c>
      <c r="AB3180" t="inlineStr">
        <is>
          <t>믿고</t>
        </is>
      </c>
      <c r="AC3180" t="n">
        <v>264000</v>
      </c>
      <c r="AD3180" t="n">
        <v>30000</v>
      </c>
      <c r="AE3180" t="n">
        <v>234000</v>
      </c>
      <c r="AF3180" t="n">
        <v>240000</v>
      </c>
      <c r="AG3180" t="n">
        <v>29010</v>
      </c>
      <c r="AH3180" t="n">
        <v>210990</v>
      </c>
    </row>
    <row r="3181">
      <c r="A3181" t="inlineStr">
        <is>
          <t>4월</t>
        </is>
      </c>
      <c r="B3181" t="inlineStr">
        <is>
          <t>15주차</t>
        </is>
      </c>
      <c r="C3181" t="inlineStr">
        <is>
          <t>EP</t>
        </is>
      </c>
      <c r="D3181" s="28" t="n">
        <v>46123</v>
      </c>
      <c r="E3181" t="inlineStr">
        <is>
          <t>현대EP</t>
        </is>
      </c>
      <c r="F3181" t="inlineStr">
        <is>
          <t>최세혁</t>
        </is>
      </c>
      <c r="G3181" t="inlineStr">
        <is>
          <t>010-6779-5479</t>
        </is>
      </c>
      <c r="H3181" t="inlineStr">
        <is>
          <t>268어9547</t>
        </is>
      </c>
      <c r="I3181" t="n">
        <v>20000000</v>
      </c>
      <c r="J3181" t="n">
        <v>0.062</v>
      </c>
      <c r="K3181" t="n">
        <v>1.76</v>
      </c>
      <c r="L3181" t="n">
        <v>0.2</v>
      </c>
      <c r="M3181" t="n">
        <v>1.56</v>
      </c>
      <c r="P3181" t="inlineStr">
        <is>
          <t>김수연</t>
        </is>
      </c>
      <c r="Q3181" t="inlineStr">
        <is>
          <t>홈서비스 60개월</t>
        </is>
      </c>
      <c r="AB3181" t="inlineStr">
        <is>
          <t>홈서비스</t>
        </is>
      </c>
      <c r="AC3181" t="n">
        <v>352000</v>
      </c>
      <c r="AD3181" t="n">
        <v>40000</v>
      </c>
      <c r="AE3181" t="n">
        <v>312000</v>
      </c>
      <c r="AF3181" t="n">
        <v>320000</v>
      </c>
      <c r="AG3181" t="n">
        <v>38680</v>
      </c>
      <c r="AH3181" t="n">
        <v>281320</v>
      </c>
      <c r="AI3181" t="n">
        <v>0</v>
      </c>
    </row>
    <row r="3182">
      <c r="A3182" t="inlineStr">
        <is>
          <t>4월</t>
        </is>
      </c>
      <c r="B3182" t="inlineStr">
        <is>
          <t>15주차</t>
        </is>
      </c>
      <c r="C3182" t="inlineStr">
        <is>
          <t>IM</t>
        </is>
      </c>
      <c r="D3182" s="28" t="n">
        <v>46122</v>
      </c>
      <c r="E3182" t="inlineStr">
        <is>
          <t>IM캐피탈</t>
        </is>
      </c>
      <c r="F3182" t="inlineStr">
        <is>
          <t>유시정</t>
        </is>
      </c>
      <c r="G3182" t="inlineStr">
        <is>
          <t>010-4025-4543</t>
        </is>
      </c>
      <c r="H3182" t="inlineStr">
        <is>
          <t>324고5518</t>
        </is>
      </c>
      <c r="I3182" t="n">
        <v>15500000</v>
      </c>
      <c r="J3182" t="n">
        <v>0.056</v>
      </c>
      <c r="K3182" t="n">
        <v>1.1</v>
      </c>
      <c r="L3182" t="n">
        <v>0.3</v>
      </c>
      <c r="M3182" t="n">
        <v>0.8</v>
      </c>
      <c r="P3182" t="inlineStr">
        <is>
          <t>박소현</t>
        </is>
      </c>
      <c r="Q3182" t="inlineStr">
        <is>
          <t>현대 7.5%</t>
        </is>
      </c>
      <c r="AB3182" t="inlineStr">
        <is>
          <t>엔카</t>
        </is>
      </c>
      <c r="AC3182" t="n">
        <v>170500</v>
      </c>
      <c r="AD3182" t="n">
        <v>46500</v>
      </c>
      <c r="AE3182" t="n">
        <v>124000</v>
      </c>
      <c r="AF3182" t="n">
        <v>155000</v>
      </c>
      <c r="AG3182" t="n">
        <v>44965.5</v>
      </c>
      <c r="AH3182" t="n">
        <v>110034.5</v>
      </c>
    </row>
    <row r="3183">
      <c r="A3183" t="inlineStr">
        <is>
          <t>4월</t>
        </is>
      </c>
      <c r="B3183" t="inlineStr">
        <is>
          <t>16주차</t>
        </is>
      </c>
      <c r="C3183" t="inlineStr">
        <is>
          <t>EP</t>
        </is>
      </c>
      <c r="D3183" s="28" t="n">
        <v>46125</v>
      </c>
      <c r="E3183" t="inlineStr">
        <is>
          <t>현대EP_fast</t>
        </is>
      </c>
      <c r="F3183" t="inlineStr">
        <is>
          <t>김상진</t>
        </is>
      </c>
      <c r="G3183" t="n">
        <v>1077216325</v>
      </c>
      <c r="H3183" t="inlineStr">
        <is>
          <t>67무2602</t>
        </is>
      </c>
      <c r="I3183" t="n">
        <v>8100000</v>
      </c>
      <c r="J3183" t="n">
        <v>0.105</v>
      </c>
      <c r="K3183" t="n">
        <v>1.76</v>
      </c>
      <c r="L3183" t="n">
        <v>0.2</v>
      </c>
      <c r="M3183" t="n">
        <v>1.56</v>
      </c>
      <c r="P3183" t="inlineStr">
        <is>
          <t>최형주</t>
        </is>
      </c>
      <c r="Q3183" t="inlineStr">
        <is>
          <t>홈서비스 60개월</t>
        </is>
      </c>
      <c r="AB3183" t="inlineStr">
        <is>
          <t>홈서비스</t>
        </is>
      </c>
      <c r="AC3183" t="n">
        <v>142560</v>
      </c>
      <c r="AD3183" t="n">
        <v>16200</v>
      </c>
      <c r="AE3183" t="n">
        <v>126360</v>
      </c>
      <c r="AF3183" t="n">
        <v>129600</v>
      </c>
      <c r="AG3183" t="n">
        <v>15665.4</v>
      </c>
      <c r="AH3183" t="n">
        <v>113934.6</v>
      </c>
      <c r="AI3183" t="n">
        <v>0</v>
      </c>
    </row>
    <row r="3184">
      <c r="A3184" t="inlineStr">
        <is>
          <t>4월</t>
        </is>
      </c>
      <c r="B3184" t="inlineStr">
        <is>
          <t>15주차</t>
        </is>
      </c>
      <c r="C3184" t="inlineStr">
        <is>
          <t>IM</t>
        </is>
      </c>
      <c r="D3184" s="28" t="n">
        <v>46122</v>
      </c>
      <c r="E3184" t="inlineStr">
        <is>
          <t>IM캐피탈</t>
        </is>
      </c>
      <c r="F3184" t="inlineStr">
        <is>
          <t>정율환</t>
        </is>
      </c>
      <c r="G3184" t="inlineStr">
        <is>
          <t>010-2300-1976</t>
        </is>
      </c>
      <c r="H3184" t="inlineStr">
        <is>
          <t>275누2827</t>
        </is>
      </c>
      <c r="I3184" t="n">
        <v>30000000</v>
      </c>
      <c r="J3184" t="n">
        <v>0.049</v>
      </c>
      <c r="K3184" t="n">
        <v>1.1</v>
      </c>
      <c r="L3184" t="n">
        <v>0.3</v>
      </c>
      <c r="M3184" t="n">
        <v>0.8</v>
      </c>
      <c r="P3184" t="inlineStr">
        <is>
          <t>박소현</t>
        </is>
      </c>
      <c r="Q3184" t="inlineStr">
        <is>
          <t>현대 6.9%</t>
        </is>
      </c>
      <c r="AB3184" t="inlineStr">
        <is>
          <t>엔카</t>
        </is>
      </c>
      <c r="AC3184" t="n">
        <v>330000</v>
      </c>
      <c r="AD3184" t="n">
        <v>90000</v>
      </c>
      <c r="AE3184" t="n">
        <v>240000</v>
      </c>
      <c r="AF3184" t="n">
        <v>300000</v>
      </c>
      <c r="AG3184" t="n">
        <v>87030</v>
      </c>
      <c r="AH3184" t="n">
        <v>212970</v>
      </c>
      <c r="AI3184" t="n">
        <v>0</v>
      </c>
    </row>
    <row r="3185">
      <c r="A3185" t="inlineStr">
        <is>
          <t>4월</t>
        </is>
      </c>
      <c r="B3185" t="inlineStr">
        <is>
          <t>16주차</t>
        </is>
      </c>
      <c r="C3185" t="inlineStr">
        <is>
          <t>IM</t>
        </is>
      </c>
      <c r="D3185" s="28" t="n">
        <v>46125</v>
      </c>
      <c r="E3185" t="inlineStr">
        <is>
          <t>IM캐피탈</t>
        </is>
      </c>
      <c r="F3185" t="inlineStr">
        <is>
          <t>신원철</t>
        </is>
      </c>
      <c r="G3185" t="inlineStr">
        <is>
          <t>010-2322-1222</t>
        </is>
      </c>
      <c r="H3185" t="inlineStr">
        <is>
          <t>01소7015</t>
        </is>
      </c>
      <c r="I3185" t="n">
        <v>20000000</v>
      </c>
      <c r="J3185" t="n">
        <v>0.049</v>
      </c>
      <c r="K3185" t="n">
        <v>1.1</v>
      </c>
      <c r="L3185" t="n">
        <v>0.3</v>
      </c>
      <c r="M3185" t="n">
        <v>0.8</v>
      </c>
      <c r="P3185" t="inlineStr">
        <is>
          <t>최혁</t>
        </is>
      </c>
      <c r="Q3185" t="inlineStr">
        <is>
          <t>현대캐피탈7.1%</t>
        </is>
      </c>
      <c r="AB3185" t="inlineStr">
        <is>
          <t>엔카</t>
        </is>
      </c>
      <c r="AC3185" t="n">
        <v>220000</v>
      </c>
      <c r="AD3185" t="n">
        <v>60000</v>
      </c>
      <c r="AE3185" t="n">
        <v>160000</v>
      </c>
      <c r="AF3185" t="n">
        <v>200000</v>
      </c>
      <c r="AG3185" t="n">
        <v>58020</v>
      </c>
      <c r="AH3185" t="n">
        <v>141980</v>
      </c>
      <c r="AI3185" t="n">
        <v>0</v>
      </c>
    </row>
    <row r="3186">
      <c r="A3186" t="inlineStr">
        <is>
          <t>4월</t>
        </is>
      </c>
      <c r="B3186" t="inlineStr">
        <is>
          <t>16주차</t>
        </is>
      </c>
      <c r="C3186" t="inlineStr">
        <is>
          <t>EP</t>
        </is>
      </c>
      <c r="D3186" s="28" t="n">
        <v>46125</v>
      </c>
      <c r="E3186" t="inlineStr">
        <is>
          <t>현대EP_fast</t>
        </is>
      </c>
      <c r="F3186" t="inlineStr">
        <is>
          <t>이동화</t>
        </is>
      </c>
      <c r="G3186" t="inlineStr">
        <is>
          <t>010-9194-3164</t>
        </is>
      </c>
      <c r="H3186" t="inlineStr">
        <is>
          <t>393가2385</t>
        </is>
      </c>
      <c r="I3186" t="n">
        <v>14000000</v>
      </c>
      <c r="J3186" t="n">
        <v>0.102</v>
      </c>
      <c r="K3186" t="n">
        <v>1.76</v>
      </c>
      <c r="L3186" t="n">
        <v>0.2</v>
      </c>
      <c r="M3186" t="n">
        <v>1.56</v>
      </c>
      <c r="P3186" t="inlineStr">
        <is>
          <t>정세빈</t>
        </is>
      </c>
      <c r="Q3186" t="inlineStr">
        <is>
          <t>홈서비스 36개월</t>
        </is>
      </c>
      <c r="AB3186" t="inlineStr">
        <is>
          <t>홈서비스</t>
        </is>
      </c>
      <c r="AC3186" t="n">
        <v>246400</v>
      </c>
      <c r="AD3186" t="n">
        <v>28000</v>
      </c>
      <c r="AE3186" t="n">
        <v>218400</v>
      </c>
      <c r="AF3186" t="n">
        <v>224000</v>
      </c>
      <c r="AG3186" t="n">
        <v>27076</v>
      </c>
      <c r="AH3186" t="n">
        <v>196924</v>
      </c>
    </row>
    <row r="3187">
      <c r="A3187" t="inlineStr">
        <is>
          <t>4월</t>
        </is>
      </c>
      <c r="B3187" t="inlineStr">
        <is>
          <t>16주차</t>
        </is>
      </c>
      <c r="C3187" t="inlineStr">
        <is>
          <t>OR</t>
        </is>
      </c>
      <c r="D3187" s="28" t="n">
        <v>46125</v>
      </c>
      <c r="E3187" t="inlineStr">
        <is>
          <t>오릭스</t>
        </is>
      </c>
      <c r="F3187" t="inlineStr">
        <is>
          <t>오창연</t>
        </is>
      </c>
      <c r="G3187" t="inlineStr">
        <is>
          <t>010-2344-9448</t>
        </is>
      </c>
      <c r="H3187" t="inlineStr">
        <is>
          <t>255러7094</t>
        </is>
      </c>
      <c r="I3187" t="n">
        <v>28000000</v>
      </c>
      <c r="J3187" t="n">
        <v>0.08</v>
      </c>
      <c r="K3187" t="n">
        <v>1.65</v>
      </c>
      <c r="L3187" t="n">
        <v>0.07000000000000001</v>
      </c>
      <c r="M3187" t="n">
        <v>1.58</v>
      </c>
      <c r="P3187" t="inlineStr">
        <is>
          <t>구성완</t>
        </is>
      </c>
      <c r="Q3187" t="inlineStr">
        <is>
          <t>안심거래존건</t>
        </is>
      </c>
      <c r="AB3187" t="inlineStr">
        <is>
          <t>믿고</t>
        </is>
      </c>
      <c r="AC3187" t="n">
        <v>462000</v>
      </c>
      <c r="AD3187" t="n">
        <v>19600</v>
      </c>
      <c r="AE3187" t="n">
        <v>442400</v>
      </c>
      <c r="AF3187" t="n">
        <v>420000</v>
      </c>
      <c r="AG3187" t="n">
        <v>18953.2</v>
      </c>
      <c r="AH3187" t="n">
        <v>401046.8</v>
      </c>
      <c r="AI3187" t="n">
        <v>0</v>
      </c>
    </row>
    <row r="3188">
      <c r="A3188" t="inlineStr">
        <is>
          <t>4월</t>
        </is>
      </c>
      <c r="B3188" t="inlineStr">
        <is>
          <t>16주차</t>
        </is>
      </c>
      <c r="C3188" t="inlineStr">
        <is>
          <t>EP</t>
        </is>
      </c>
      <c r="D3188" s="28" t="n">
        <v>46125</v>
      </c>
      <c r="E3188" t="inlineStr">
        <is>
          <t>현대EP_fast</t>
        </is>
      </c>
      <c r="F3188" t="inlineStr">
        <is>
          <t>이명진</t>
        </is>
      </c>
      <c r="G3188" t="inlineStr">
        <is>
          <t>010-6330-5269</t>
        </is>
      </c>
      <c r="H3188" t="inlineStr">
        <is>
          <t>75두7892</t>
        </is>
      </c>
      <c r="I3188" t="n">
        <v>9400000</v>
      </c>
      <c r="J3188" t="n">
        <v>0.07099999999999999</v>
      </c>
      <c r="K3188" t="n">
        <v>1.76</v>
      </c>
      <c r="L3188" t="n">
        <v>0.2</v>
      </c>
      <c r="M3188" t="n">
        <v>1.56</v>
      </c>
      <c r="P3188" t="inlineStr">
        <is>
          <t>김나윤</t>
        </is>
      </c>
      <c r="Q3188" t="inlineStr">
        <is>
          <t>홈서비스 60개월</t>
        </is>
      </c>
      <c r="AB3188" t="inlineStr">
        <is>
          <t>홈서비스</t>
        </is>
      </c>
      <c r="AC3188" t="n">
        <v>165440</v>
      </c>
      <c r="AD3188" t="n">
        <v>18800</v>
      </c>
      <c r="AE3188" t="n">
        <v>146640</v>
      </c>
      <c r="AF3188" t="n">
        <v>150400</v>
      </c>
      <c r="AG3188" t="n">
        <v>18179.6</v>
      </c>
      <c r="AH3188" t="n">
        <v>132220.4</v>
      </c>
      <c r="AI3188" t="n">
        <v>0</v>
      </c>
    </row>
    <row r="3189">
      <c r="A3189" t="inlineStr">
        <is>
          <t>4월</t>
        </is>
      </c>
      <c r="B3189" t="inlineStr">
        <is>
          <t>16주차</t>
        </is>
      </c>
      <c r="C3189" t="inlineStr">
        <is>
          <t>EP</t>
        </is>
      </c>
      <c r="D3189" s="28" t="n">
        <v>46125</v>
      </c>
      <c r="E3189" t="inlineStr">
        <is>
          <t>BNKEP</t>
        </is>
      </c>
      <c r="F3189" t="inlineStr">
        <is>
          <t>김성범</t>
        </is>
      </c>
      <c r="G3189" t="inlineStr">
        <is>
          <t>010-2323-5120</t>
        </is>
      </c>
      <c r="H3189" t="inlineStr">
        <is>
          <t>02두1063</t>
        </is>
      </c>
      <c r="I3189" t="n">
        <v>24500000</v>
      </c>
      <c r="J3189" t="n">
        <v>0.061</v>
      </c>
      <c r="K3189" t="n">
        <v>1.65</v>
      </c>
      <c r="L3189" t="n">
        <v>0.07000000000000001</v>
      </c>
      <c r="M3189" t="n">
        <v>1.58</v>
      </c>
      <c r="P3189" t="inlineStr">
        <is>
          <t>최형주</t>
        </is>
      </c>
      <c r="Q3189" t="inlineStr">
        <is>
          <t>홈서비스 60개월 / 부대비용 추가진행 현대 8.5%</t>
        </is>
      </c>
      <c r="AB3189" t="inlineStr">
        <is>
          <t>홈서비스</t>
        </is>
      </c>
      <c r="AC3189" t="n">
        <v>404250</v>
      </c>
      <c r="AD3189" t="n">
        <v>17150</v>
      </c>
      <c r="AE3189" t="n">
        <v>387100</v>
      </c>
      <c r="AF3189" t="n">
        <v>367500</v>
      </c>
      <c r="AG3189" t="n">
        <v>16584.05</v>
      </c>
      <c r="AH3189" t="n">
        <v>350915.95</v>
      </c>
      <c r="AI3189" t="n">
        <v>0</v>
      </c>
    </row>
    <row r="3190">
      <c r="A3190" t="inlineStr">
        <is>
          <t>4월</t>
        </is>
      </c>
      <c r="B3190" t="inlineStr">
        <is>
          <t>16주차</t>
        </is>
      </c>
      <c r="C3190" t="inlineStr">
        <is>
          <t>EP</t>
        </is>
      </c>
      <c r="D3190" s="28" t="n">
        <v>46125</v>
      </c>
      <c r="E3190" t="inlineStr">
        <is>
          <t>현대EP_fast</t>
        </is>
      </c>
      <c r="F3190" t="inlineStr">
        <is>
          <t>류호연</t>
        </is>
      </c>
      <c r="G3190" t="inlineStr">
        <is>
          <t>010-8574-5533</t>
        </is>
      </c>
      <c r="H3190" t="inlineStr">
        <is>
          <t>57오6599</t>
        </is>
      </c>
      <c r="I3190" t="n">
        <v>5900000</v>
      </c>
      <c r="J3190" t="n">
        <v>0.08500000000000001</v>
      </c>
      <c r="K3190" t="n">
        <v>1.76</v>
      </c>
      <c r="L3190" t="n">
        <v>0.2</v>
      </c>
      <c r="M3190" t="n">
        <v>1.56</v>
      </c>
      <c r="P3190" t="inlineStr">
        <is>
          <t>김나윤</t>
        </is>
      </c>
      <c r="Q3190" t="inlineStr">
        <is>
          <t>홈서비스 60개월</t>
        </is>
      </c>
      <c r="AB3190" t="inlineStr">
        <is>
          <t>홈서비스</t>
        </is>
      </c>
      <c r="AC3190" t="n">
        <v>103840</v>
      </c>
      <c r="AD3190" t="n">
        <v>11800</v>
      </c>
      <c r="AE3190" t="n">
        <v>92040</v>
      </c>
      <c r="AF3190" t="n">
        <v>94400</v>
      </c>
      <c r="AG3190" t="n">
        <v>11410.6</v>
      </c>
      <c r="AH3190" t="n">
        <v>82989.39999999999</v>
      </c>
      <c r="AI3190" t="n">
        <v>0</v>
      </c>
    </row>
    <row r="3191">
      <c r="A3191" t="inlineStr">
        <is>
          <t>4월</t>
        </is>
      </c>
      <c r="B3191" t="inlineStr">
        <is>
          <t>15주차</t>
        </is>
      </c>
      <c r="C3191" t="inlineStr">
        <is>
          <t>EP</t>
        </is>
      </c>
      <c r="D3191" s="28" t="n">
        <v>46122</v>
      </c>
      <c r="E3191" t="inlineStr">
        <is>
          <t>현대EP_fast</t>
        </is>
      </c>
      <c r="F3191" t="inlineStr">
        <is>
          <t>강무태</t>
        </is>
      </c>
      <c r="G3191" t="inlineStr">
        <is>
          <t>010-7132-1041</t>
        </is>
      </c>
      <c r="H3191" t="inlineStr">
        <is>
          <t>398두9476</t>
        </is>
      </c>
      <c r="I3191" t="n">
        <v>28800000</v>
      </c>
      <c r="J3191" t="n">
        <v>0.105</v>
      </c>
      <c r="K3191" t="n">
        <v>1.76</v>
      </c>
      <c r="L3191" t="n">
        <v>0.2</v>
      </c>
      <c r="M3191" t="n">
        <v>1.56</v>
      </c>
      <c r="P3191" t="inlineStr">
        <is>
          <t>정광호</t>
        </is>
      </c>
      <c r="Q3191" t="inlineStr">
        <is>
          <t>홈서비스 48개월</t>
        </is>
      </c>
      <c r="AB3191" t="inlineStr">
        <is>
          <t>홈서비스</t>
        </is>
      </c>
      <c r="AC3191" t="n">
        <v>506880</v>
      </c>
      <c r="AD3191" t="n">
        <v>57600</v>
      </c>
      <c r="AE3191" t="n">
        <v>449280</v>
      </c>
      <c r="AF3191" t="n">
        <v>460800</v>
      </c>
      <c r="AG3191" t="n">
        <v>55699.2</v>
      </c>
      <c r="AH3191" t="n">
        <v>405100.8</v>
      </c>
      <c r="AI3191" t="n">
        <v>0</v>
      </c>
    </row>
    <row r="3192">
      <c r="A3192" t="inlineStr">
        <is>
          <t>4월</t>
        </is>
      </c>
      <c r="B3192" t="inlineStr">
        <is>
          <t>16주차</t>
        </is>
      </c>
      <c r="C3192" t="inlineStr">
        <is>
          <t>EP</t>
        </is>
      </c>
      <c r="D3192" s="28" t="n">
        <v>46125</v>
      </c>
      <c r="E3192" t="inlineStr">
        <is>
          <t>현대EP_fast</t>
        </is>
      </c>
      <c r="F3192" t="inlineStr">
        <is>
          <t>박준봉</t>
        </is>
      </c>
      <c r="G3192" t="inlineStr">
        <is>
          <t>010-8428-8003</t>
        </is>
      </c>
      <c r="H3192" t="inlineStr">
        <is>
          <t>128무1443</t>
        </is>
      </c>
      <c r="I3192" t="n">
        <v>32700000</v>
      </c>
      <c r="J3192" t="n">
        <v>0.07199999999999999</v>
      </c>
      <c r="K3192" t="n">
        <v>1.76</v>
      </c>
      <c r="L3192" t="n">
        <v>0.2</v>
      </c>
      <c r="M3192" t="n">
        <v>1.56</v>
      </c>
      <c r="P3192" t="inlineStr">
        <is>
          <t>황채이</t>
        </is>
      </c>
      <c r="Q3192" t="inlineStr">
        <is>
          <t>홈서비스 60개월</t>
        </is>
      </c>
      <c r="AB3192" t="inlineStr">
        <is>
          <t>홈서비스</t>
        </is>
      </c>
      <c r="AC3192" t="n">
        <v>575520</v>
      </c>
      <c r="AD3192" t="n">
        <v>65400</v>
      </c>
      <c r="AE3192" t="n">
        <v>510120</v>
      </c>
      <c r="AF3192" t="n">
        <v>523200</v>
      </c>
      <c r="AG3192" t="n">
        <v>63241.8</v>
      </c>
      <c r="AH3192" t="n">
        <v>459958.2</v>
      </c>
    </row>
    <row r="3193">
      <c r="A3193" t="inlineStr">
        <is>
          <t>4월</t>
        </is>
      </c>
      <c r="B3193" t="inlineStr">
        <is>
          <t>15주차</t>
        </is>
      </c>
      <c r="C3193" t="inlineStr">
        <is>
          <t>EP</t>
        </is>
      </c>
      <c r="D3193" s="28" t="n">
        <v>46122</v>
      </c>
      <c r="E3193" t="inlineStr">
        <is>
          <t>현대EP_fast</t>
        </is>
      </c>
      <c r="F3193" t="inlineStr">
        <is>
          <t>박요셉</t>
        </is>
      </c>
      <c r="G3193" t="inlineStr">
        <is>
          <t>010-9967-0289</t>
        </is>
      </c>
      <c r="H3193" t="inlineStr">
        <is>
          <t>20오5749</t>
        </is>
      </c>
      <c r="I3193" t="n">
        <v>3900000</v>
      </c>
      <c r="J3193" t="n">
        <v>0.092</v>
      </c>
      <c r="K3193" t="n">
        <v>1.76</v>
      </c>
      <c r="L3193" t="n">
        <v>0.2</v>
      </c>
      <c r="M3193" t="n">
        <v>1.56</v>
      </c>
      <c r="P3193" t="inlineStr">
        <is>
          <t>정광호</t>
        </is>
      </c>
      <c r="Q3193" t="inlineStr">
        <is>
          <t>홈서비스 60개월</t>
        </is>
      </c>
      <c r="AB3193" t="inlineStr">
        <is>
          <t>홈서비스</t>
        </is>
      </c>
      <c r="AC3193" t="n">
        <v>68640</v>
      </c>
      <c r="AD3193" t="n">
        <v>7800</v>
      </c>
      <c r="AE3193" t="n">
        <v>60840</v>
      </c>
      <c r="AF3193" t="n">
        <v>62400</v>
      </c>
      <c r="AG3193" t="n">
        <v>7542.6</v>
      </c>
      <c r="AH3193" t="n">
        <v>54857.4</v>
      </c>
      <c r="AI3193" t="n">
        <v>0</v>
      </c>
    </row>
    <row r="3194">
      <c r="A3194" t="inlineStr">
        <is>
          <t>4월</t>
        </is>
      </c>
      <c r="B3194" t="inlineStr">
        <is>
          <t>16주차</t>
        </is>
      </c>
      <c r="C3194" t="inlineStr">
        <is>
          <t>EP</t>
        </is>
      </c>
      <c r="D3194" s="28" t="n">
        <v>46125</v>
      </c>
      <c r="E3194" t="inlineStr">
        <is>
          <t>BNKEP</t>
        </is>
      </c>
      <c r="F3194" t="inlineStr">
        <is>
          <t>박상욱</t>
        </is>
      </c>
      <c r="G3194" t="inlineStr">
        <is>
          <t>010-9235-3525</t>
        </is>
      </c>
      <c r="H3194" t="inlineStr">
        <is>
          <t>13더7815</t>
        </is>
      </c>
      <c r="I3194" t="n">
        <v>34500000</v>
      </c>
      <c r="J3194" t="n">
        <v>0.081</v>
      </c>
      <c r="K3194" t="n">
        <v>1.65</v>
      </c>
      <c r="L3194" t="n">
        <v>0.07000000000000001</v>
      </c>
      <c r="M3194" t="n">
        <v>1.58</v>
      </c>
      <c r="P3194" t="inlineStr">
        <is>
          <t>김나윤</t>
        </is>
      </c>
      <c r="Q3194" t="inlineStr">
        <is>
          <t>홈서비스 60개월 / 공동명의</t>
        </is>
      </c>
      <c r="AB3194" t="inlineStr">
        <is>
          <t>홈서비스</t>
        </is>
      </c>
      <c r="AC3194" t="n">
        <v>569250</v>
      </c>
      <c r="AD3194" t="n">
        <v>24150</v>
      </c>
      <c r="AE3194" t="n">
        <v>545100</v>
      </c>
      <c r="AF3194" t="n">
        <v>517500</v>
      </c>
      <c r="AG3194" t="n">
        <v>23353.05</v>
      </c>
      <c r="AH3194" t="n">
        <v>494146.95</v>
      </c>
      <c r="AI3194" t="n">
        <v>0</v>
      </c>
    </row>
    <row r="3195">
      <c r="A3195" t="inlineStr">
        <is>
          <t>4월</t>
        </is>
      </c>
      <c r="B3195" t="inlineStr">
        <is>
          <t>16주차</t>
        </is>
      </c>
      <c r="C3195" t="inlineStr">
        <is>
          <t>EP</t>
        </is>
      </c>
      <c r="D3195" s="28" t="n">
        <v>46125</v>
      </c>
      <c r="E3195" t="inlineStr">
        <is>
          <t>현대EP_fast</t>
        </is>
      </c>
      <c r="F3195" t="inlineStr">
        <is>
          <t>박종천</t>
        </is>
      </c>
      <c r="G3195" t="inlineStr">
        <is>
          <t>010-9189-3358</t>
        </is>
      </c>
      <c r="H3195" t="inlineStr">
        <is>
          <t>15마9311</t>
        </is>
      </c>
      <c r="I3195" t="n">
        <v>4200000</v>
      </c>
      <c r="J3195" t="n">
        <v>0.118</v>
      </c>
      <c r="K3195" t="n">
        <v>1.76</v>
      </c>
      <c r="L3195" t="n">
        <v>0.2</v>
      </c>
      <c r="M3195" t="n">
        <v>1.56</v>
      </c>
      <c r="P3195" t="inlineStr">
        <is>
          <t>김수연</t>
        </is>
      </c>
      <c r="Q3195" t="inlineStr">
        <is>
          <t>홈서비스 24개월</t>
        </is>
      </c>
      <c r="AB3195" t="inlineStr">
        <is>
          <t>홈서비스</t>
        </is>
      </c>
      <c r="AC3195" t="n">
        <v>73920</v>
      </c>
      <c r="AD3195" t="n">
        <v>8400</v>
      </c>
      <c r="AE3195" t="n">
        <v>65520</v>
      </c>
      <c r="AF3195" t="n">
        <v>67200</v>
      </c>
      <c r="AG3195" t="n">
        <v>8122.8</v>
      </c>
      <c r="AH3195" t="n">
        <v>59077.2</v>
      </c>
      <c r="AI3195" t="n">
        <v>0</v>
      </c>
    </row>
    <row r="3196">
      <c r="A3196" t="inlineStr">
        <is>
          <t>4월</t>
        </is>
      </c>
      <c r="B3196" t="inlineStr">
        <is>
          <t>16주차</t>
        </is>
      </c>
      <c r="C3196" t="inlineStr">
        <is>
          <t>EP</t>
        </is>
      </c>
      <c r="D3196" s="28" t="n">
        <v>46125</v>
      </c>
      <c r="E3196" t="inlineStr">
        <is>
          <t>현대EP_fast</t>
        </is>
      </c>
      <c r="F3196" t="inlineStr">
        <is>
          <t>임용현</t>
        </is>
      </c>
      <c r="G3196" t="inlineStr">
        <is>
          <t>010-2843-2333</t>
        </is>
      </c>
      <c r="H3196" t="inlineStr">
        <is>
          <t>257나2824</t>
        </is>
      </c>
      <c r="I3196" t="n">
        <v>15000000</v>
      </c>
      <c r="J3196" t="n">
        <v>0.08500000000000001</v>
      </c>
      <c r="K3196" t="n">
        <v>1.76</v>
      </c>
      <c r="L3196" t="n">
        <v>0.2</v>
      </c>
      <c r="M3196" t="n">
        <v>1.56</v>
      </c>
      <c r="P3196" t="inlineStr">
        <is>
          <t>최형주</t>
        </is>
      </c>
      <c r="Q3196" t="inlineStr">
        <is>
          <t>홈서비스 36개월</t>
        </is>
      </c>
      <c r="AB3196" t="inlineStr">
        <is>
          <t>홈서비스</t>
        </is>
      </c>
      <c r="AC3196" t="n">
        <v>264000</v>
      </c>
      <c r="AD3196" t="n">
        <v>30000</v>
      </c>
      <c r="AE3196" t="n">
        <v>234000</v>
      </c>
      <c r="AF3196" t="n">
        <v>240000</v>
      </c>
      <c r="AG3196" t="n">
        <v>29010</v>
      </c>
      <c r="AH3196" t="n">
        <v>210990</v>
      </c>
      <c r="AI3196" t="n">
        <v>0</v>
      </c>
    </row>
    <row r="3197">
      <c r="A3197" t="inlineStr">
        <is>
          <t>4월</t>
        </is>
      </c>
      <c r="B3197" t="inlineStr">
        <is>
          <t>16주차</t>
        </is>
      </c>
      <c r="C3197" t="inlineStr">
        <is>
          <t>EP</t>
        </is>
      </c>
      <c r="D3197" s="28" t="n">
        <v>46125</v>
      </c>
      <c r="E3197" t="inlineStr">
        <is>
          <t>현대EP</t>
        </is>
      </c>
      <c r="F3197" t="inlineStr">
        <is>
          <t>김동민</t>
        </is>
      </c>
      <c r="G3197" t="inlineStr">
        <is>
          <t>010-5069-3470</t>
        </is>
      </c>
      <c r="H3197" t="inlineStr">
        <is>
          <t>196마1707</t>
        </is>
      </c>
      <c r="I3197" t="n">
        <v>36600000</v>
      </c>
      <c r="J3197" t="n">
        <v>0.07099999999999999</v>
      </c>
      <c r="K3197" t="n">
        <v>1.76</v>
      </c>
      <c r="L3197" t="n">
        <v>0.2</v>
      </c>
      <c r="M3197" t="n">
        <v>1.56</v>
      </c>
      <c r="P3197" t="inlineStr">
        <is>
          <t>김나윤</t>
        </is>
      </c>
      <c r="Q3197" t="inlineStr">
        <is>
          <t>홈서비스 60개월</t>
        </is>
      </c>
      <c r="AB3197" t="inlineStr">
        <is>
          <t>홈서비스</t>
        </is>
      </c>
      <c r="AC3197" t="n">
        <v>644160</v>
      </c>
      <c r="AD3197" t="n">
        <v>73200</v>
      </c>
      <c r="AE3197" t="n">
        <v>570960</v>
      </c>
      <c r="AF3197" t="n">
        <v>585600</v>
      </c>
      <c r="AG3197" t="n">
        <v>70784.39999999999</v>
      </c>
      <c r="AH3197" t="n">
        <v>514815.6</v>
      </c>
      <c r="AI3197" t="n">
        <v>0</v>
      </c>
    </row>
    <row r="3198">
      <c r="A3198" t="inlineStr">
        <is>
          <t>4월</t>
        </is>
      </c>
      <c r="B3198" t="inlineStr">
        <is>
          <t>16주차</t>
        </is>
      </c>
      <c r="C3198" t="inlineStr">
        <is>
          <t>EP</t>
        </is>
      </c>
      <c r="D3198" s="28" t="n">
        <v>46125</v>
      </c>
      <c r="E3198" t="inlineStr">
        <is>
          <t>현대EP</t>
        </is>
      </c>
      <c r="F3198" t="inlineStr">
        <is>
          <t>김형국</t>
        </is>
      </c>
      <c r="G3198" t="inlineStr">
        <is>
          <t>010-7673-5044</t>
        </is>
      </c>
      <c r="H3198" t="inlineStr">
        <is>
          <t>354수9648</t>
        </is>
      </c>
      <c r="I3198" t="n">
        <v>7800000</v>
      </c>
      <c r="J3198" t="n">
        <v>0.076</v>
      </c>
      <c r="K3198" t="n">
        <v>1.76</v>
      </c>
      <c r="L3198" t="n">
        <v>0.2</v>
      </c>
      <c r="M3198" t="n">
        <v>1.56</v>
      </c>
      <c r="P3198" t="inlineStr">
        <is>
          <t>황채이</t>
        </is>
      </c>
      <c r="Q3198" t="inlineStr">
        <is>
          <t>홈서비스 60개월</t>
        </is>
      </c>
      <c r="AB3198" t="inlineStr">
        <is>
          <t>홈서비스</t>
        </is>
      </c>
      <c r="AC3198" t="n">
        <v>137280</v>
      </c>
      <c r="AD3198" t="n">
        <v>15600</v>
      </c>
      <c r="AE3198" t="n">
        <v>121680</v>
      </c>
      <c r="AF3198" t="n">
        <v>124800</v>
      </c>
      <c r="AG3198" t="n">
        <v>15085.2</v>
      </c>
      <c r="AH3198" t="n">
        <v>109714.8</v>
      </c>
      <c r="AI3198" t="n">
        <v>0</v>
      </c>
    </row>
    <row r="3199">
      <c r="A3199" t="inlineStr">
        <is>
          <t>4월</t>
        </is>
      </c>
      <c r="B3199" t="inlineStr">
        <is>
          <t>16주차</t>
        </is>
      </c>
      <c r="C3199" t="inlineStr">
        <is>
          <t>EP</t>
        </is>
      </c>
      <c r="D3199" s="28" t="n">
        <v>46125</v>
      </c>
      <c r="E3199" t="inlineStr">
        <is>
          <t>BNKEP</t>
        </is>
      </c>
      <c r="F3199" t="inlineStr">
        <is>
          <t>허진</t>
        </is>
      </c>
      <c r="G3199" t="inlineStr">
        <is>
          <t>010-6326-2164</t>
        </is>
      </c>
      <c r="H3199" t="inlineStr">
        <is>
          <t>319다1649</t>
        </is>
      </c>
      <c r="I3199" t="n">
        <v>16500000</v>
      </c>
      <c r="J3199" t="n">
        <v>0.061</v>
      </c>
      <c r="K3199" t="n">
        <v>1.65</v>
      </c>
      <c r="L3199" t="n">
        <v>0.07000000000000001</v>
      </c>
      <c r="M3199" t="n">
        <v>1.58</v>
      </c>
      <c r="P3199" t="inlineStr">
        <is>
          <t>김수연</t>
        </is>
      </c>
      <c r="Q3199" t="inlineStr">
        <is>
          <t>홈서비스 60개월/현대 금리 7.1</t>
        </is>
      </c>
      <c r="AB3199" t="inlineStr">
        <is>
          <t>홈서비스</t>
        </is>
      </c>
      <c r="AC3199" t="n">
        <v>272250</v>
      </c>
      <c r="AD3199" t="n">
        <v>11550</v>
      </c>
      <c r="AE3199" t="n">
        <v>260700</v>
      </c>
      <c r="AF3199" t="n">
        <v>247500</v>
      </c>
      <c r="AG3199" t="n">
        <v>11168.85</v>
      </c>
      <c r="AH3199" t="n">
        <v>236331.15</v>
      </c>
      <c r="AI3199" t="n">
        <v>0</v>
      </c>
    </row>
    <row r="3200">
      <c r="A3200" t="inlineStr">
        <is>
          <t>4월</t>
        </is>
      </c>
      <c r="B3200" t="inlineStr">
        <is>
          <t>16주차</t>
        </is>
      </c>
      <c r="C3200" t="inlineStr">
        <is>
          <t>EP</t>
        </is>
      </c>
      <c r="D3200" s="28" t="n">
        <v>46125</v>
      </c>
      <c r="E3200" t="inlineStr">
        <is>
          <t>현대EP</t>
        </is>
      </c>
      <c r="F3200" t="inlineStr">
        <is>
          <t>김세훈</t>
        </is>
      </c>
      <c r="G3200" t="inlineStr">
        <is>
          <t>010-9301-2547</t>
        </is>
      </c>
      <c r="H3200" t="inlineStr">
        <is>
          <t>283러1102</t>
        </is>
      </c>
      <c r="I3200" t="n">
        <v>18900000</v>
      </c>
      <c r="J3200" t="n">
        <v>0.079</v>
      </c>
      <c r="K3200" t="n">
        <v>1.76</v>
      </c>
      <c r="L3200" t="n">
        <v>0.2</v>
      </c>
      <c r="M3200" t="n">
        <v>1.56</v>
      </c>
      <c r="P3200" t="inlineStr">
        <is>
          <t>정광호</t>
        </is>
      </c>
      <c r="Q3200" t="inlineStr">
        <is>
          <t>홈서비스 48개월</t>
        </is>
      </c>
      <c r="AB3200" t="inlineStr">
        <is>
          <t>홈서비스</t>
        </is>
      </c>
      <c r="AC3200" t="n">
        <v>332640</v>
      </c>
      <c r="AD3200" t="n">
        <v>37800</v>
      </c>
      <c r="AE3200" t="n">
        <v>294840</v>
      </c>
      <c r="AF3200" t="n">
        <v>302400</v>
      </c>
      <c r="AG3200" t="n">
        <v>36552.6</v>
      </c>
      <c r="AH3200" t="n">
        <v>265847.4</v>
      </c>
      <c r="AI3200" t="n">
        <v>0</v>
      </c>
    </row>
    <row r="3201">
      <c r="A3201" t="inlineStr">
        <is>
          <t>4월</t>
        </is>
      </c>
      <c r="B3201" t="inlineStr">
        <is>
          <t>16주차</t>
        </is>
      </c>
      <c r="C3201" t="inlineStr">
        <is>
          <t>EP</t>
        </is>
      </c>
      <c r="D3201" s="28" t="n">
        <v>46125</v>
      </c>
      <c r="E3201" t="inlineStr">
        <is>
          <t>현대EP_fast</t>
        </is>
      </c>
      <c r="F3201" t="inlineStr">
        <is>
          <t>석희주</t>
        </is>
      </c>
      <c r="G3201" t="inlineStr">
        <is>
          <t>010-3993-2051</t>
        </is>
      </c>
      <c r="H3201" t="inlineStr">
        <is>
          <t>192거9059</t>
        </is>
      </c>
      <c r="I3201" t="n">
        <v>8000000</v>
      </c>
      <c r="J3201" t="n">
        <v>0.062</v>
      </c>
      <c r="K3201" t="n">
        <v>1.76</v>
      </c>
      <c r="L3201" t="n">
        <v>0.2</v>
      </c>
      <c r="M3201" t="n">
        <v>1.56</v>
      </c>
      <c r="P3201" t="inlineStr">
        <is>
          <t>정세빈</t>
        </is>
      </c>
      <c r="Q3201" t="inlineStr">
        <is>
          <t>홈서비스 36개월</t>
        </is>
      </c>
      <c r="AB3201" t="inlineStr">
        <is>
          <t>홈서비스</t>
        </is>
      </c>
      <c r="AC3201" t="n">
        <v>140800</v>
      </c>
      <c r="AD3201" t="n">
        <v>16000</v>
      </c>
      <c r="AE3201" t="n">
        <v>124800</v>
      </c>
      <c r="AF3201" t="n">
        <v>128000</v>
      </c>
      <c r="AG3201" t="n">
        <v>15472</v>
      </c>
      <c r="AH3201" t="n">
        <v>112528</v>
      </c>
    </row>
    <row r="3202">
      <c r="A3202" t="inlineStr">
        <is>
          <t>4월</t>
        </is>
      </c>
      <c r="B3202" t="inlineStr">
        <is>
          <t>16주차</t>
        </is>
      </c>
      <c r="C3202" t="inlineStr">
        <is>
          <t>EP</t>
        </is>
      </c>
      <c r="D3202" s="28" t="n">
        <v>46125</v>
      </c>
      <c r="E3202" t="inlineStr">
        <is>
          <t>현대EP</t>
        </is>
      </c>
      <c r="F3202" t="inlineStr">
        <is>
          <t>궁혁</t>
        </is>
      </c>
      <c r="G3202" t="inlineStr">
        <is>
          <t>010-4781-7860</t>
        </is>
      </c>
      <c r="H3202" t="inlineStr">
        <is>
          <t>150다6700</t>
        </is>
      </c>
      <c r="I3202" t="n">
        <v>50000000</v>
      </c>
      <c r="J3202" t="n">
        <v>0.077</v>
      </c>
      <c r="K3202" t="n">
        <v>1.76</v>
      </c>
      <c r="L3202" t="n">
        <v>0.2</v>
      </c>
      <c r="M3202" t="n">
        <v>1.56</v>
      </c>
      <c r="P3202" t="inlineStr">
        <is>
          <t>최형주</t>
        </is>
      </c>
      <c r="Q3202" t="inlineStr">
        <is>
          <t>홈서비스 60개월</t>
        </is>
      </c>
      <c r="AB3202" t="inlineStr">
        <is>
          <t>홈서비스</t>
        </is>
      </c>
      <c r="AC3202" t="n">
        <v>880000</v>
      </c>
      <c r="AD3202" t="n">
        <v>100000</v>
      </c>
      <c r="AE3202" t="n">
        <v>780000</v>
      </c>
      <c r="AF3202" t="n">
        <v>800000</v>
      </c>
      <c r="AG3202" t="n">
        <v>96700</v>
      </c>
      <c r="AH3202" t="n">
        <v>703300</v>
      </c>
    </row>
    <row r="3203">
      <c r="A3203" t="inlineStr">
        <is>
          <t>4월</t>
        </is>
      </c>
      <c r="B3203" t="inlineStr">
        <is>
          <t>16주차</t>
        </is>
      </c>
      <c r="C3203" t="inlineStr">
        <is>
          <t>EP</t>
        </is>
      </c>
      <c r="D3203" s="28" t="n">
        <v>46125</v>
      </c>
      <c r="E3203" t="inlineStr">
        <is>
          <t>현대EP</t>
        </is>
      </c>
      <c r="F3203" t="inlineStr">
        <is>
          <t>노현진</t>
        </is>
      </c>
      <c r="G3203" t="inlineStr">
        <is>
          <t>010-4739-2918</t>
        </is>
      </c>
      <c r="H3203" t="inlineStr">
        <is>
          <t>52러2528</t>
        </is>
      </c>
      <c r="I3203" t="n">
        <v>21300000</v>
      </c>
      <c r="J3203" t="n">
        <v>0.077</v>
      </c>
      <c r="K3203" t="n">
        <v>1.76</v>
      </c>
      <c r="L3203" t="n">
        <v>0.2</v>
      </c>
      <c r="M3203" t="n">
        <v>1.56</v>
      </c>
      <c r="P3203" t="inlineStr">
        <is>
          <t>김나윤</t>
        </is>
      </c>
      <c r="Q3203" t="inlineStr">
        <is>
          <t>홈서비스 48개월</t>
        </is>
      </c>
      <c r="AB3203" t="inlineStr">
        <is>
          <t>홈서비스</t>
        </is>
      </c>
      <c r="AC3203" t="n">
        <v>374880</v>
      </c>
      <c r="AD3203" t="n">
        <v>42600</v>
      </c>
      <c r="AE3203" t="n">
        <v>332280</v>
      </c>
      <c r="AF3203" t="n">
        <v>340800</v>
      </c>
      <c r="AG3203" t="n">
        <v>41194.2</v>
      </c>
      <c r="AH3203" t="n">
        <v>299605.8</v>
      </c>
      <c r="AI3203" t="n">
        <v>0</v>
      </c>
    </row>
    <row r="3204">
      <c r="A3204" t="inlineStr">
        <is>
          <t>4월</t>
        </is>
      </c>
      <c r="B3204" t="inlineStr">
        <is>
          <t>16주차</t>
        </is>
      </c>
      <c r="C3204" t="inlineStr">
        <is>
          <t>IM</t>
        </is>
      </c>
      <c r="D3204" s="28" t="n">
        <v>46125</v>
      </c>
      <c r="E3204" t="inlineStr">
        <is>
          <t>IM캐피탈</t>
        </is>
      </c>
      <c r="F3204" t="inlineStr">
        <is>
          <t>임재인</t>
        </is>
      </c>
      <c r="G3204" t="inlineStr">
        <is>
          <t>010-5882-5406</t>
        </is>
      </c>
      <c r="H3204" t="inlineStr">
        <is>
          <t>43거5769</t>
        </is>
      </c>
      <c r="I3204" t="n">
        <v>37000000</v>
      </c>
      <c r="J3204" t="n">
        <v>0.049</v>
      </c>
      <c r="K3204" t="n">
        <v>1.1</v>
      </c>
      <c r="L3204" t="n">
        <v>0.3</v>
      </c>
      <c r="M3204" t="n">
        <v>0.8</v>
      </c>
      <c r="P3204" t="inlineStr">
        <is>
          <t>박소현</t>
        </is>
      </c>
      <c r="Q3204" t="inlineStr">
        <is>
          <t>현대 6.9% /공동명의</t>
        </is>
      </c>
      <c r="AB3204" t="inlineStr">
        <is>
          <t>엔카</t>
        </is>
      </c>
      <c r="AC3204" t="n">
        <v>407000</v>
      </c>
      <c r="AD3204" t="n">
        <v>111000</v>
      </c>
      <c r="AE3204" t="n">
        <v>296000</v>
      </c>
      <c r="AF3204" t="n">
        <v>370000</v>
      </c>
      <c r="AG3204" t="n">
        <v>107337</v>
      </c>
      <c r="AH3204" t="n">
        <v>262663</v>
      </c>
      <c r="AI3204" t="n">
        <v>0</v>
      </c>
    </row>
    <row r="3205">
      <c r="A3205" t="inlineStr">
        <is>
          <t>4월</t>
        </is>
      </c>
      <c r="B3205" t="inlineStr">
        <is>
          <t>16주차</t>
        </is>
      </c>
      <c r="C3205" t="inlineStr">
        <is>
          <t>EP</t>
        </is>
      </c>
      <c r="D3205" s="28" t="n">
        <v>46125</v>
      </c>
      <c r="E3205" t="inlineStr">
        <is>
          <t>현대EP</t>
        </is>
      </c>
      <c r="F3205" t="inlineStr">
        <is>
          <t>이규원</t>
        </is>
      </c>
      <c r="G3205" t="inlineStr">
        <is>
          <t>010-2665-6753</t>
        </is>
      </c>
      <c r="H3205" t="inlineStr">
        <is>
          <t>27구9191</t>
        </is>
      </c>
      <c r="I3205" t="n">
        <v>4000000</v>
      </c>
      <c r="J3205" t="n">
        <v>0.07099999999999999</v>
      </c>
      <c r="K3205" t="n">
        <v>1.76</v>
      </c>
      <c r="L3205" t="n">
        <v>0.2</v>
      </c>
      <c r="M3205" t="n">
        <v>1.56</v>
      </c>
      <c r="P3205" t="inlineStr">
        <is>
          <t>최형주</t>
        </is>
      </c>
      <c r="Q3205" t="inlineStr">
        <is>
          <t>홈서비스 24개월</t>
        </is>
      </c>
      <c r="AB3205" t="inlineStr">
        <is>
          <t>홈서비스</t>
        </is>
      </c>
      <c r="AC3205" t="n">
        <v>70400</v>
      </c>
      <c r="AD3205" t="n">
        <v>8000</v>
      </c>
      <c r="AE3205" t="n">
        <v>62400</v>
      </c>
      <c r="AF3205" t="n">
        <v>64000</v>
      </c>
      <c r="AG3205" t="n">
        <v>7736</v>
      </c>
      <c r="AH3205" t="n">
        <v>56264</v>
      </c>
    </row>
    <row r="3206">
      <c r="A3206" t="inlineStr">
        <is>
          <t>4월</t>
        </is>
      </c>
      <c r="B3206" t="inlineStr">
        <is>
          <t>16주차</t>
        </is>
      </c>
      <c r="C3206" t="inlineStr">
        <is>
          <t>EP</t>
        </is>
      </c>
      <c r="D3206" s="28" t="n">
        <v>46125</v>
      </c>
      <c r="E3206" t="inlineStr">
        <is>
          <t>현대EP_fast</t>
        </is>
      </c>
      <c r="F3206" t="inlineStr">
        <is>
          <t>안영모</t>
        </is>
      </c>
      <c r="G3206" t="inlineStr">
        <is>
          <t>010-7388-7860</t>
        </is>
      </c>
      <c r="H3206" t="inlineStr">
        <is>
          <t>367보6803</t>
        </is>
      </c>
      <c r="I3206" t="n">
        <v>6700000</v>
      </c>
      <c r="J3206" t="n">
        <v>0.127</v>
      </c>
      <c r="K3206" t="n">
        <v>1.76</v>
      </c>
      <c r="L3206" t="n">
        <v>0.6</v>
      </c>
      <c r="M3206" t="n">
        <v>1.16</v>
      </c>
      <c r="P3206" t="inlineStr">
        <is>
          <t>장현경</t>
        </is>
      </c>
      <c r="AB3206" t="inlineStr">
        <is>
          <t>엔카</t>
        </is>
      </c>
      <c r="AC3206" t="n">
        <v>117920</v>
      </c>
      <c r="AD3206" t="n">
        <v>40200</v>
      </c>
      <c r="AE3206" t="n">
        <v>77720</v>
      </c>
      <c r="AF3206" t="n">
        <v>107200</v>
      </c>
      <c r="AG3206" t="n">
        <v>38873.4</v>
      </c>
      <c r="AH3206" t="n">
        <v>68326.60000000001</v>
      </c>
      <c r="AI3206" t="n">
        <v>0</v>
      </c>
    </row>
    <row r="3207">
      <c r="A3207" t="inlineStr">
        <is>
          <t>4월</t>
        </is>
      </c>
      <c r="B3207" t="inlineStr">
        <is>
          <t>16주차</t>
        </is>
      </c>
      <c r="C3207" t="inlineStr">
        <is>
          <t>EP</t>
        </is>
      </c>
      <c r="D3207" s="28" t="n">
        <v>46125</v>
      </c>
      <c r="E3207" t="inlineStr">
        <is>
          <t>현대EP</t>
        </is>
      </c>
      <c r="F3207" t="inlineStr">
        <is>
          <t>최은진</t>
        </is>
      </c>
      <c r="G3207" t="inlineStr">
        <is>
          <t>010-7175-2178</t>
        </is>
      </c>
      <c r="H3207" t="inlineStr">
        <is>
          <t>385루4181</t>
        </is>
      </c>
      <c r="I3207" t="n">
        <v>10000000</v>
      </c>
      <c r="J3207" t="n">
        <v>0.08500000000000001</v>
      </c>
      <c r="K3207" t="n">
        <v>1.76</v>
      </c>
      <c r="L3207" t="n">
        <v>0.2</v>
      </c>
      <c r="M3207" t="n">
        <v>1.56</v>
      </c>
      <c r="P3207" t="inlineStr">
        <is>
          <t>최형주</t>
        </is>
      </c>
      <c r="Q3207" t="inlineStr">
        <is>
          <t>홈서비스 24개월</t>
        </is>
      </c>
      <c r="AB3207" t="inlineStr">
        <is>
          <t>홈서비스</t>
        </is>
      </c>
      <c r="AC3207" t="n">
        <v>176000</v>
      </c>
      <c r="AD3207" t="n">
        <v>20000</v>
      </c>
      <c r="AE3207" t="n">
        <v>156000</v>
      </c>
      <c r="AF3207" t="n">
        <v>160000</v>
      </c>
      <c r="AG3207" t="n">
        <v>19340</v>
      </c>
      <c r="AH3207" t="n">
        <v>140660</v>
      </c>
      <c r="AI3207" t="n">
        <v>0</v>
      </c>
    </row>
    <row r="3208">
      <c r="A3208" t="inlineStr">
        <is>
          <t>4월</t>
        </is>
      </c>
      <c r="B3208" t="inlineStr">
        <is>
          <t>16주차</t>
        </is>
      </c>
      <c r="C3208" t="inlineStr">
        <is>
          <t>EP</t>
        </is>
      </c>
      <c r="D3208" s="28" t="n">
        <v>46125</v>
      </c>
      <c r="E3208" t="inlineStr">
        <is>
          <t>현대EP</t>
        </is>
      </c>
      <c r="F3208" t="inlineStr">
        <is>
          <t>한석진</t>
        </is>
      </c>
      <c r="G3208" t="inlineStr">
        <is>
          <t>010-2344-9015</t>
        </is>
      </c>
      <c r="H3208" t="inlineStr">
        <is>
          <t>09주4020</t>
        </is>
      </c>
      <c r="I3208" t="n">
        <v>10900000</v>
      </c>
      <c r="J3208" t="n">
        <v>0.076</v>
      </c>
      <c r="K3208" t="n">
        <v>1.76</v>
      </c>
      <c r="L3208" t="n">
        <v>0.2</v>
      </c>
      <c r="M3208" t="n">
        <v>1.56</v>
      </c>
      <c r="P3208" t="inlineStr">
        <is>
          <t>김나윤</t>
        </is>
      </c>
      <c r="Q3208" t="inlineStr">
        <is>
          <t>홈서비스 60개월</t>
        </is>
      </c>
      <c r="AB3208" t="inlineStr">
        <is>
          <t>홈서비스</t>
        </is>
      </c>
      <c r="AC3208" t="n">
        <v>191840</v>
      </c>
      <c r="AD3208" t="n">
        <v>21800</v>
      </c>
      <c r="AE3208" t="n">
        <v>170040</v>
      </c>
      <c r="AF3208" t="n">
        <v>174400</v>
      </c>
      <c r="AG3208" t="n">
        <v>21080.6</v>
      </c>
      <c r="AH3208" t="n">
        <v>153319.4</v>
      </c>
      <c r="AI3208" t="n">
        <v>0</v>
      </c>
    </row>
    <row r="3209">
      <c r="A3209" t="inlineStr">
        <is>
          <t>4월</t>
        </is>
      </c>
      <c r="B3209" t="inlineStr">
        <is>
          <t>15주차</t>
        </is>
      </c>
      <c r="C3209" t="inlineStr">
        <is>
          <t>IM</t>
        </is>
      </c>
      <c r="D3209" s="28" t="n">
        <v>46120</v>
      </c>
      <c r="E3209" t="inlineStr">
        <is>
          <t>IM캐피탈</t>
        </is>
      </c>
      <c r="F3209" t="inlineStr">
        <is>
          <t>강성곤</t>
        </is>
      </c>
      <c r="G3209" t="inlineStr">
        <is>
          <t>010-6575-7586</t>
        </is>
      </c>
      <c r="H3209" t="inlineStr">
        <is>
          <t>64머5014</t>
        </is>
      </c>
      <c r="I3209" t="n">
        <v>11800000</v>
      </c>
      <c r="J3209" t="n">
        <v>0.06900000000000001</v>
      </c>
      <c r="K3209" t="n">
        <v>1.1</v>
      </c>
      <c r="L3209" t="n">
        <v>0.3</v>
      </c>
      <c r="M3209" t="n">
        <v>0.8</v>
      </c>
      <c r="P3209" t="inlineStr">
        <is>
          <t>장진경</t>
        </is>
      </c>
      <c r="Q3209" t="inlineStr">
        <is>
          <t>부대비용 추가진행 / 현대 7.9%</t>
        </is>
      </c>
      <c r="AB3209" t="inlineStr">
        <is>
          <t>엔카</t>
        </is>
      </c>
      <c r="AC3209" t="n">
        <v>129800</v>
      </c>
      <c r="AD3209" t="n">
        <v>35400</v>
      </c>
      <c r="AE3209" t="n">
        <v>94400</v>
      </c>
      <c r="AF3209" t="n">
        <v>118000</v>
      </c>
      <c r="AG3209" t="n">
        <v>34231.8</v>
      </c>
      <c r="AH3209" t="n">
        <v>83768.2</v>
      </c>
      <c r="AI3209" t="n">
        <v>0</v>
      </c>
    </row>
    <row r="3210">
      <c r="A3210" t="inlineStr">
        <is>
          <t>4월</t>
        </is>
      </c>
      <c r="B3210" t="inlineStr">
        <is>
          <t>16주차</t>
        </is>
      </c>
      <c r="C3210" t="inlineStr">
        <is>
          <t>EP</t>
        </is>
      </c>
      <c r="D3210" s="28" t="n">
        <v>46125</v>
      </c>
      <c r="E3210" t="inlineStr">
        <is>
          <t>현대EP</t>
        </is>
      </c>
      <c r="F3210" t="inlineStr">
        <is>
          <t>박병구</t>
        </is>
      </c>
      <c r="G3210" t="inlineStr">
        <is>
          <t>010-2847-5123</t>
        </is>
      </c>
      <c r="H3210" t="inlineStr">
        <is>
          <t>03로1625</t>
        </is>
      </c>
      <c r="I3210" t="n">
        <v>91800000</v>
      </c>
      <c r="J3210" t="n">
        <v>0.075</v>
      </c>
      <c r="K3210" t="n">
        <v>1.76</v>
      </c>
      <c r="L3210" t="n">
        <v>0.2</v>
      </c>
      <c r="M3210" t="n">
        <v>1.56</v>
      </c>
      <c r="P3210" t="inlineStr">
        <is>
          <t>김수연</t>
        </is>
      </c>
      <c r="Q3210" t="inlineStr">
        <is>
          <t>홈서비스 60개월</t>
        </is>
      </c>
      <c r="AB3210" t="inlineStr">
        <is>
          <t>홈서비스</t>
        </is>
      </c>
      <c r="AC3210" t="n">
        <v>1615680</v>
      </c>
      <c r="AD3210" t="n">
        <v>183600</v>
      </c>
      <c r="AE3210" t="n">
        <v>1432080</v>
      </c>
      <c r="AF3210" t="n">
        <v>1468800</v>
      </c>
      <c r="AG3210" t="n">
        <v>177541.2</v>
      </c>
      <c r="AH3210" t="n">
        <v>1291258.8</v>
      </c>
      <c r="AI3210" t="n">
        <v>0</v>
      </c>
    </row>
    <row r="3211">
      <c r="A3211" t="inlineStr">
        <is>
          <t>4월</t>
        </is>
      </c>
      <c r="B3211" t="inlineStr">
        <is>
          <t>16주차</t>
        </is>
      </c>
      <c r="C3211" t="inlineStr">
        <is>
          <t>EP</t>
        </is>
      </c>
      <c r="D3211" s="28" t="n">
        <v>46125</v>
      </c>
      <c r="E3211" t="inlineStr">
        <is>
          <t>현대EP</t>
        </is>
      </c>
      <c r="F3211" t="inlineStr">
        <is>
          <t>정연우</t>
        </is>
      </c>
      <c r="G3211" t="inlineStr">
        <is>
          <t>010-7388-8271</t>
        </is>
      </c>
      <c r="H3211" t="inlineStr">
        <is>
          <t>252더7211</t>
        </is>
      </c>
      <c r="I3211" t="n">
        <v>13300000</v>
      </c>
      <c r="J3211" t="n">
        <v>0.119</v>
      </c>
      <c r="K3211" t="n">
        <v>1.76</v>
      </c>
      <c r="L3211" t="n">
        <v>0.2</v>
      </c>
      <c r="M3211" t="n">
        <v>1.56</v>
      </c>
      <c r="P3211" t="inlineStr">
        <is>
          <t>김수연</t>
        </is>
      </c>
      <c r="Q3211" t="inlineStr">
        <is>
          <t>홈서비스 24개월</t>
        </is>
      </c>
      <c r="AB3211" t="inlineStr">
        <is>
          <t>홈서비스</t>
        </is>
      </c>
      <c r="AC3211" t="n">
        <v>234080</v>
      </c>
      <c r="AD3211" t="n">
        <v>26600</v>
      </c>
      <c r="AE3211" t="n">
        <v>207480</v>
      </c>
      <c r="AF3211" t="n">
        <v>212800</v>
      </c>
      <c r="AG3211" t="n">
        <v>25722.2</v>
      </c>
      <c r="AH3211" t="n">
        <v>187077.8</v>
      </c>
      <c r="AI3211" t="n">
        <v>0</v>
      </c>
    </row>
    <row r="3212">
      <c r="A3212" t="inlineStr">
        <is>
          <t>4월</t>
        </is>
      </c>
      <c r="B3212" t="inlineStr">
        <is>
          <t>16주차</t>
        </is>
      </c>
      <c r="C3212" t="inlineStr">
        <is>
          <t>EP</t>
        </is>
      </c>
      <c r="D3212" s="28" t="n">
        <v>46125</v>
      </c>
      <c r="E3212" t="inlineStr">
        <is>
          <t>BNKEP</t>
        </is>
      </c>
      <c r="F3212" t="inlineStr">
        <is>
          <t>박상욱</t>
        </is>
      </c>
      <c r="G3212" t="inlineStr">
        <is>
          <t>010-9235-3525</t>
        </is>
      </c>
      <c r="H3212" t="inlineStr">
        <is>
          <t>13더7815</t>
        </is>
      </c>
      <c r="I3212" t="n">
        <v>-34500000</v>
      </c>
      <c r="J3212" t="n">
        <v>0.081</v>
      </c>
      <c r="K3212" t="n">
        <v>1.65</v>
      </c>
      <c r="L3212" t="n">
        <v>0.07000000000000001</v>
      </c>
      <c r="M3212" t="n">
        <v>1.58</v>
      </c>
      <c r="P3212" t="inlineStr">
        <is>
          <t>김나윤</t>
        </is>
      </c>
      <c r="Q3212" t="inlineStr">
        <is>
          <t>홈서비스 60개월 / 공동명의</t>
        </is>
      </c>
      <c r="AB3212" t="inlineStr">
        <is>
          <t>홈서비스</t>
        </is>
      </c>
      <c r="AC3212" t="n">
        <v>-569250</v>
      </c>
      <c r="AD3212" t="n">
        <v>-24150</v>
      </c>
      <c r="AE3212" t="n">
        <v>-545100</v>
      </c>
      <c r="AF3212" t="n">
        <v>-517500</v>
      </c>
      <c r="AG3212" t="n">
        <v>-23353.05</v>
      </c>
      <c r="AH3212" t="n">
        <v>-494146.95</v>
      </c>
      <c r="AI3212" t="n">
        <v>0</v>
      </c>
    </row>
    <row r="3213">
      <c r="A3213" t="inlineStr">
        <is>
          <t>4월</t>
        </is>
      </c>
      <c r="B3213" t="inlineStr">
        <is>
          <t>16주차</t>
        </is>
      </c>
      <c r="C3213" t="inlineStr">
        <is>
          <t>EP</t>
        </is>
      </c>
      <c r="D3213" s="28" t="n">
        <v>46125</v>
      </c>
      <c r="E3213" t="inlineStr">
        <is>
          <t>현대EP</t>
        </is>
      </c>
      <c r="F3213" t="inlineStr">
        <is>
          <t>임인규</t>
        </is>
      </c>
      <c r="G3213" t="inlineStr">
        <is>
          <t>010-5181-0305</t>
        </is>
      </c>
      <c r="H3213" t="inlineStr">
        <is>
          <t>53머6002</t>
        </is>
      </c>
      <c r="I3213" t="n">
        <v>9900000</v>
      </c>
      <c r="J3213" t="n">
        <v>0.077</v>
      </c>
      <c r="K3213" t="n">
        <v>1.76</v>
      </c>
      <c r="L3213" t="n">
        <v>0.2</v>
      </c>
      <c r="M3213" t="n">
        <v>1.56</v>
      </c>
      <c r="P3213" t="inlineStr">
        <is>
          <t>황채이</t>
        </is>
      </c>
      <c r="Q3213" t="inlineStr">
        <is>
          <t>홈서비스 60개월</t>
        </is>
      </c>
      <c r="AB3213" t="inlineStr">
        <is>
          <t>홈서비스</t>
        </is>
      </c>
      <c r="AC3213" t="n">
        <v>174240</v>
      </c>
      <c r="AD3213" t="n">
        <v>19800</v>
      </c>
      <c r="AE3213" t="n">
        <v>154440</v>
      </c>
      <c r="AF3213" t="n">
        <v>158400</v>
      </c>
      <c r="AG3213" t="n">
        <v>19146.6</v>
      </c>
      <c r="AH3213" t="n">
        <v>139253.4</v>
      </c>
    </row>
    <row r="3214">
      <c r="A3214" t="inlineStr">
        <is>
          <t>4월</t>
        </is>
      </c>
      <c r="B3214" t="inlineStr">
        <is>
          <t>16주차</t>
        </is>
      </c>
      <c r="C3214" t="inlineStr">
        <is>
          <t>EP</t>
        </is>
      </c>
      <c r="D3214" s="28" t="n">
        <v>46125</v>
      </c>
      <c r="E3214" t="inlineStr">
        <is>
          <t>현대EP_fast</t>
        </is>
      </c>
      <c r="F3214" t="inlineStr">
        <is>
          <t>신동혁</t>
        </is>
      </c>
      <c r="G3214" t="inlineStr">
        <is>
          <t>010-8221-9221</t>
        </is>
      </c>
      <c r="H3214" t="inlineStr">
        <is>
          <t>52버4081</t>
        </is>
      </c>
      <c r="I3214" t="n">
        <v>24000000</v>
      </c>
      <c r="J3214" t="n">
        <v>0.079</v>
      </c>
      <c r="K3214" t="n">
        <v>1.76</v>
      </c>
      <c r="L3214" t="n">
        <v>0.2</v>
      </c>
      <c r="M3214" t="n">
        <v>1.56</v>
      </c>
      <c r="P3214" t="inlineStr">
        <is>
          <t>정세빈</t>
        </is>
      </c>
      <c r="Q3214" t="inlineStr">
        <is>
          <t>홈서비스 60개월</t>
        </is>
      </c>
      <c r="AB3214" t="inlineStr">
        <is>
          <t>홈서비스</t>
        </is>
      </c>
      <c r="AC3214" t="n">
        <v>422400</v>
      </c>
      <c r="AD3214" t="n">
        <v>48000</v>
      </c>
      <c r="AE3214" t="n">
        <v>374400</v>
      </c>
      <c r="AF3214" t="n">
        <v>384000</v>
      </c>
      <c r="AG3214" t="n">
        <v>46416</v>
      </c>
      <c r="AH3214" t="n">
        <v>337584</v>
      </c>
    </row>
    <row r="3215">
      <c r="A3215" t="inlineStr">
        <is>
          <t>4월</t>
        </is>
      </c>
      <c r="B3215" t="inlineStr">
        <is>
          <t>15주차</t>
        </is>
      </c>
      <c r="C3215" t="inlineStr">
        <is>
          <t>EP</t>
        </is>
      </c>
      <c r="D3215" s="28" t="n">
        <v>46123</v>
      </c>
      <c r="E3215" t="inlineStr">
        <is>
          <t>현대EP_fast</t>
        </is>
      </c>
      <c r="F3215" t="inlineStr">
        <is>
          <t>정은재</t>
        </is>
      </c>
      <c r="G3215" t="inlineStr">
        <is>
          <t>010-9372-2384</t>
        </is>
      </c>
      <c r="H3215" t="inlineStr">
        <is>
          <t>130부5047</t>
        </is>
      </c>
      <c r="I3215" t="n">
        <v>11000000</v>
      </c>
      <c r="J3215" t="n">
        <v>0.119</v>
      </c>
      <c r="K3215" t="n">
        <v>1.76</v>
      </c>
      <c r="L3215" t="n">
        <v>0.2</v>
      </c>
      <c r="M3215" t="n">
        <v>1.56</v>
      </c>
      <c r="P3215" t="inlineStr">
        <is>
          <t>임대경</t>
        </is>
      </c>
      <c r="Q3215" t="inlineStr">
        <is>
          <t>홈서비스 36개월</t>
        </is>
      </c>
      <c r="AB3215" t="inlineStr">
        <is>
          <t>홈서비스</t>
        </is>
      </c>
      <c r="AC3215" t="n">
        <v>193600</v>
      </c>
      <c r="AD3215" t="n">
        <v>22000</v>
      </c>
      <c r="AE3215" t="n">
        <v>171600</v>
      </c>
      <c r="AF3215" t="n">
        <v>176000</v>
      </c>
      <c r="AG3215" t="n">
        <v>21274</v>
      </c>
      <c r="AH3215" t="n">
        <v>154726</v>
      </c>
    </row>
    <row r="3216">
      <c r="A3216" t="inlineStr">
        <is>
          <t>4월</t>
        </is>
      </c>
      <c r="B3216" t="inlineStr">
        <is>
          <t>15주차</t>
        </is>
      </c>
      <c r="C3216" t="inlineStr">
        <is>
          <t>IM</t>
        </is>
      </c>
      <c r="D3216" s="28" t="n">
        <v>46122</v>
      </c>
      <c r="E3216" t="inlineStr">
        <is>
          <t>IM캐피탈</t>
        </is>
      </c>
      <c r="F3216" t="inlineStr">
        <is>
          <t>황혜정</t>
        </is>
      </c>
      <c r="G3216" t="inlineStr">
        <is>
          <t>010-9544-9692</t>
        </is>
      </c>
      <c r="H3216" t="inlineStr">
        <is>
          <t>172다1739</t>
        </is>
      </c>
      <c r="I3216" t="n">
        <v>27000000</v>
      </c>
      <c r="J3216" t="n">
        <v>0.049</v>
      </c>
      <c r="K3216" t="n">
        <v>1.1</v>
      </c>
      <c r="L3216" t="n">
        <v>0.3</v>
      </c>
      <c r="M3216" t="n">
        <v>0.8</v>
      </c>
      <c r="P3216" t="inlineStr">
        <is>
          <t>장진경</t>
        </is>
      </c>
      <c r="Q3216" t="inlineStr">
        <is>
          <t>개인간거래 / 미성년자 공동명의 / 금융플러스</t>
        </is>
      </c>
      <c r="AB3216" t="inlineStr">
        <is>
          <t>딜러유입</t>
        </is>
      </c>
      <c r="AC3216" t="n">
        <v>297000</v>
      </c>
      <c r="AD3216" t="n">
        <v>81000</v>
      </c>
      <c r="AE3216" t="n">
        <v>216000</v>
      </c>
      <c r="AF3216" t="n">
        <v>270000</v>
      </c>
      <c r="AG3216" t="n">
        <v>78327</v>
      </c>
      <c r="AH3216" t="n">
        <v>191673</v>
      </c>
      <c r="AI3216" t="n">
        <v>0</v>
      </c>
    </row>
    <row r="3217">
      <c r="A3217" t="inlineStr">
        <is>
          <t>4월</t>
        </is>
      </c>
      <c r="B3217" t="inlineStr">
        <is>
          <t>16주차</t>
        </is>
      </c>
      <c r="C3217" t="inlineStr">
        <is>
          <t>IM</t>
        </is>
      </c>
      <c r="D3217" s="28" t="n">
        <v>46125</v>
      </c>
      <c r="E3217" t="inlineStr">
        <is>
          <t>IM캐피탈</t>
        </is>
      </c>
      <c r="F3217" t="inlineStr">
        <is>
          <t>김형준</t>
        </is>
      </c>
      <c r="G3217" t="inlineStr">
        <is>
          <t>010-4382-9797</t>
        </is>
      </c>
      <c r="H3217" t="inlineStr">
        <is>
          <t>17버6243</t>
        </is>
      </c>
      <c r="I3217" t="n">
        <v>10000000</v>
      </c>
      <c r="J3217" t="n">
        <v>0.039</v>
      </c>
      <c r="K3217" t="n">
        <v>1.1</v>
      </c>
      <c r="L3217" t="n">
        <v>0.07000000000000001</v>
      </c>
      <c r="M3217" t="n">
        <v>1.03</v>
      </c>
      <c r="P3217" t="inlineStr">
        <is>
          <t>장현경</t>
        </is>
      </c>
      <c r="Q3217" t="inlineStr">
        <is>
          <t>선상담 / 홈서비스 36개월 / 공동명의 / 현대 7.1%</t>
        </is>
      </c>
      <c r="AB3217" t="inlineStr">
        <is>
          <t>홈서비스</t>
        </is>
      </c>
      <c r="AC3217" t="n">
        <v>110000</v>
      </c>
      <c r="AD3217" t="n">
        <v>7000</v>
      </c>
      <c r="AE3217" t="n">
        <v>103000</v>
      </c>
      <c r="AF3217" t="n">
        <v>100000</v>
      </c>
      <c r="AG3217" t="n">
        <v>6769</v>
      </c>
      <c r="AH3217" t="n">
        <v>93231</v>
      </c>
      <c r="AI3217" t="n">
        <v>0</v>
      </c>
    </row>
    <row r="3218">
      <c r="A3218" t="inlineStr">
        <is>
          <t>4월</t>
        </is>
      </c>
      <c r="B3218" t="inlineStr">
        <is>
          <t>16주차</t>
        </is>
      </c>
      <c r="C3218" t="inlineStr">
        <is>
          <t>EP</t>
        </is>
      </c>
      <c r="D3218" s="28" t="n">
        <v>46126</v>
      </c>
      <c r="E3218" t="inlineStr">
        <is>
          <t>현대EP_fast</t>
        </is>
      </c>
      <c r="F3218" t="inlineStr">
        <is>
          <t>김주완</t>
        </is>
      </c>
      <c r="G3218" t="inlineStr">
        <is>
          <t>010-8379-0064</t>
        </is>
      </c>
      <c r="H3218" t="inlineStr">
        <is>
          <t>374마5667</t>
        </is>
      </c>
      <c r="I3218" t="n">
        <v>38000000</v>
      </c>
      <c r="J3218" t="n">
        <v>0.079</v>
      </c>
      <c r="K3218" t="n">
        <v>1.76</v>
      </c>
      <c r="L3218" t="n">
        <v>0.2</v>
      </c>
      <c r="M3218" t="n">
        <v>1.56</v>
      </c>
      <c r="P3218" t="inlineStr">
        <is>
          <t>최형주</t>
        </is>
      </c>
      <c r="Q3218" t="inlineStr">
        <is>
          <t>홈서비스 60개월</t>
        </is>
      </c>
      <c r="AB3218" t="inlineStr">
        <is>
          <t>홈서비스</t>
        </is>
      </c>
      <c r="AC3218" t="n">
        <v>668800</v>
      </c>
      <c r="AD3218" t="n">
        <v>76000</v>
      </c>
      <c r="AE3218" t="n">
        <v>592800</v>
      </c>
      <c r="AF3218" t="n">
        <v>608000</v>
      </c>
      <c r="AG3218" t="n">
        <v>73492</v>
      </c>
      <c r="AH3218" t="n">
        <v>534508</v>
      </c>
      <c r="AI3218" t="n">
        <v>0</v>
      </c>
    </row>
    <row r="3219">
      <c r="A3219" t="inlineStr">
        <is>
          <t>4월</t>
        </is>
      </c>
      <c r="B3219" t="inlineStr">
        <is>
          <t>16주차</t>
        </is>
      </c>
      <c r="C3219" t="inlineStr">
        <is>
          <t>IM</t>
        </is>
      </c>
      <c r="D3219" s="28" t="n">
        <v>46126</v>
      </c>
      <c r="E3219" t="inlineStr">
        <is>
          <t>IM캐피탈</t>
        </is>
      </c>
      <c r="F3219" t="inlineStr">
        <is>
          <t>김나미</t>
        </is>
      </c>
      <c r="G3219" t="inlineStr">
        <is>
          <t>010-9444-9146</t>
        </is>
      </c>
      <c r="H3219" t="inlineStr">
        <is>
          <t>50수2893</t>
        </is>
      </c>
      <c r="I3219" t="n">
        <v>14300000</v>
      </c>
      <c r="J3219" t="n">
        <v>0.056</v>
      </c>
      <c r="K3219" t="n">
        <v>1.1</v>
      </c>
      <c r="L3219" t="n">
        <v>0.07000000000000001</v>
      </c>
      <c r="M3219" t="n">
        <v>1.03</v>
      </c>
      <c r="P3219" t="inlineStr">
        <is>
          <t>황채이</t>
        </is>
      </c>
      <c r="Q3219" t="inlineStr">
        <is>
          <t>홈서비 72개월</t>
        </is>
      </c>
      <c r="AB3219" t="inlineStr">
        <is>
          <t>홈서비스</t>
        </is>
      </c>
      <c r="AC3219" t="n">
        <v>157300</v>
      </c>
      <c r="AD3219" t="n">
        <v>10010</v>
      </c>
      <c r="AE3219" t="n">
        <v>147290</v>
      </c>
      <c r="AF3219" t="n">
        <v>143000</v>
      </c>
      <c r="AG3219" t="n">
        <v>9679.67</v>
      </c>
      <c r="AH3219" t="n">
        <v>133320.33</v>
      </c>
      <c r="AI3219" t="n">
        <v>0</v>
      </c>
    </row>
    <row r="3220">
      <c r="A3220" t="inlineStr">
        <is>
          <t>4월</t>
        </is>
      </c>
      <c r="B3220" t="inlineStr">
        <is>
          <t>16주차</t>
        </is>
      </c>
      <c r="C3220" t="inlineStr">
        <is>
          <t>IM</t>
        </is>
      </c>
      <c r="D3220" s="28" t="n">
        <v>46125</v>
      </c>
      <c r="E3220" t="inlineStr">
        <is>
          <t>IM캐피탈</t>
        </is>
      </c>
      <c r="F3220" t="inlineStr">
        <is>
          <t>이원준</t>
        </is>
      </c>
      <c r="G3220" t="inlineStr">
        <is>
          <t>010-6738-2466</t>
        </is>
      </c>
      <c r="H3220" t="inlineStr">
        <is>
          <t>312나3605</t>
        </is>
      </c>
      <c r="I3220" t="n">
        <v>10000000</v>
      </c>
      <c r="J3220" t="n">
        <v>0.039</v>
      </c>
      <c r="K3220" t="n">
        <v>1.1</v>
      </c>
      <c r="L3220" t="n">
        <v>0.07000000000000001</v>
      </c>
      <c r="M3220" t="n">
        <v>1.03</v>
      </c>
      <c r="P3220" t="inlineStr">
        <is>
          <t>구성완</t>
        </is>
      </c>
      <c r="Q3220" t="inlineStr">
        <is>
          <t>안심거래존건</t>
        </is>
      </c>
      <c r="AB3220" t="inlineStr">
        <is>
          <t>믿고</t>
        </is>
      </c>
      <c r="AC3220" t="n">
        <v>110000</v>
      </c>
      <c r="AD3220" t="n">
        <v>7000</v>
      </c>
      <c r="AE3220" t="n">
        <v>103000</v>
      </c>
      <c r="AF3220" t="n">
        <v>100000</v>
      </c>
      <c r="AG3220" t="n">
        <v>6769</v>
      </c>
      <c r="AH3220" t="n">
        <v>93231</v>
      </c>
      <c r="AI3220" t="n">
        <v>0</v>
      </c>
    </row>
    <row r="3221">
      <c r="A3221" t="inlineStr">
        <is>
          <t>4월</t>
        </is>
      </c>
      <c r="B3221" t="inlineStr">
        <is>
          <t>16주차</t>
        </is>
      </c>
      <c r="C3221" t="inlineStr">
        <is>
          <t>WC</t>
        </is>
      </c>
      <c r="D3221" s="28" t="n">
        <v>46125</v>
      </c>
      <c r="E3221" t="inlineStr">
        <is>
          <t>웰컴저축은행</t>
        </is>
      </c>
      <c r="F3221" t="inlineStr">
        <is>
          <t>강양묵</t>
        </is>
      </c>
      <c r="G3221" t="inlineStr">
        <is>
          <t>010-7698-6415</t>
        </is>
      </c>
      <c r="H3221" t="inlineStr">
        <is>
          <t>382러1950</t>
        </is>
      </c>
      <c r="I3221" t="n">
        <v>15800000</v>
      </c>
      <c r="J3221" t="n">
        <v>0.139</v>
      </c>
      <c r="K3221" t="n">
        <v>2.2</v>
      </c>
      <c r="L3221" t="n">
        <v>0.07000000000000001</v>
      </c>
      <c r="M3221" t="n">
        <v>2.13</v>
      </c>
      <c r="P3221" t="inlineStr">
        <is>
          <t>박소현</t>
        </is>
      </c>
      <c r="Q3221" t="inlineStr">
        <is>
          <t>선상담 / 홈서비스 72개월 / 현대부결</t>
        </is>
      </c>
      <c r="AB3221" t="inlineStr">
        <is>
          <t>홈서비스</t>
        </is>
      </c>
      <c r="AC3221" t="n">
        <v>347600</v>
      </c>
      <c r="AD3221" t="n">
        <v>11060</v>
      </c>
      <c r="AE3221" t="n">
        <v>336540</v>
      </c>
      <c r="AF3221" t="n">
        <v>316000</v>
      </c>
      <c r="AG3221" t="n">
        <v>10695.02</v>
      </c>
      <c r="AH3221" t="n">
        <v>305304.98</v>
      </c>
      <c r="AI3221" t="n">
        <v>0</v>
      </c>
    </row>
    <row r="3222">
      <c r="A3222" t="inlineStr">
        <is>
          <t>4월</t>
        </is>
      </c>
      <c r="B3222" t="inlineStr">
        <is>
          <t>16주차</t>
        </is>
      </c>
      <c r="C3222" t="inlineStr">
        <is>
          <t>EP</t>
        </is>
      </c>
      <c r="D3222" s="28" t="n">
        <v>46126</v>
      </c>
      <c r="E3222" t="inlineStr">
        <is>
          <t>제이비EP</t>
        </is>
      </c>
      <c r="F3222" t="inlineStr">
        <is>
          <t>박흥수</t>
        </is>
      </c>
      <c r="G3222" t="inlineStr">
        <is>
          <t>010-9170-5417</t>
        </is>
      </c>
      <c r="H3222" t="inlineStr">
        <is>
          <t>04모9217</t>
        </is>
      </c>
      <c r="I3222" t="n">
        <v>20500000</v>
      </c>
      <c r="J3222" t="n">
        <v>0.066</v>
      </c>
      <c r="K3222" t="n">
        <v>1.65</v>
      </c>
      <c r="L3222" t="n">
        <v>0.3</v>
      </c>
      <c r="M3222" t="n">
        <v>1.35</v>
      </c>
      <c r="P3222" t="inlineStr">
        <is>
          <t>장진경</t>
        </is>
      </c>
      <c r="Q3222" t="inlineStr">
        <is>
          <t>법인할부 / 코렌주식회사</t>
        </is>
      </c>
      <c r="AB3222" t="inlineStr">
        <is>
          <t>엔카</t>
        </is>
      </c>
      <c r="AC3222" t="n">
        <v>338250</v>
      </c>
      <c r="AD3222" t="n">
        <v>61500</v>
      </c>
      <c r="AE3222" t="n">
        <v>276750</v>
      </c>
      <c r="AF3222" t="n">
        <v>307500</v>
      </c>
      <c r="AG3222" t="n">
        <v>59470.5</v>
      </c>
      <c r="AH3222" t="n">
        <v>248029.5</v>
      </c>
      <c r="AI3222" t="n">
        <v>0</v>
      </c>
    </row>
    <row r="3223">
      <c r="A3223" t="inlineStr">
        <is>
          <t>4월</t>
        </is>
      </c>
      <c r="B3223" t="inlineStr">
        <is>
          <t>16주차</t>
        </is>
      </c>
      <c r="C3223" t="inlineStr">
        <is>
          <t>EP</t>
        </is>
      </c>
      <c r="D3223" s="28" t="n">
        <v>46125</v>
      </c>
      <c r="E3223" t="inlineStr">
        <is>
          <t>현대EP</t>
        </is>
      </c>
      <c r="F3223" t="inlineStr">
        <is>
          <t>최영운</t>
        </is>
      </c>
      <c r="G3223" t="inlineStr">
        <is>
          <t>010-7433-4487</t>
        </is>
      </c>
      <c r="H3223" t="inlineStr">
        <is>
          <t>28누4254</t>
        </is>
      </c>
      <c r="I3223" t="n">
        <v>11100000</v>
      </c>
      <c r="J3223" t="n">
        <v>0.07099999999999999</v>
      </c>
      <c r="K3223" t="n">
        <v>1.76</v>
      </c>
      <c r="L3223" t="n">
        <v>0.2</v>
      </c>
      <c r="M3223" t="n">
        <v>1.56</v>
      </c>
      <c r="P3223" t="inlineStr">
        <is>
          <t>정세빈</t>
        </is>
      </c>
      <c r="Q3223" t="inlineStr">
        <is>
          <t>홈서비스 60개월</t>
        </is>
      </c>
      <c r="AB3223" t="inlineStr">
        <is>
          <t>홈서비스</t>
        </is>
      </c>
      <c r="AC3223" t="n">
        <v>195360</v>
      </c>
      <c r="AD3223" t="n">
        <v>22200</v>
      </c>
      <c r="AE3223" t="n">
        <v>173160</v>
      </c>
      <c r="AF3223" t="n">
        <v>177600</v>
      </c>
      <c r="AG3223" t="n">
        <v>21467.4</v>
      </c>
      <c r="AH3223" t="n">
        <v>156132.6</v>
      </c>
      <c r="AI3223" t="n">
        <v>0</v>
      </c>
    </row>
    <row r="3224">
      <c r="A3224" t="inlineStr">
        <is>
          <t>4월</t>
        </is>
      </c>
      <c r="B3224" t="inlineStr">
        <is>
          <t>16주차</t>
        </is>
      </c>
      <c r="C3224" t="inlineStr">
        <is>
          <t>EP</t>
        </is>
      </c>
      <c r="D3224" s="28" t="n">
        <v>46126</v>
      </c>
      <c r="E3224" t="inlineStr">
        <is>
          <t>현대EP_fast</t>
        </is>
      </c>
      <c r="F3224" t="inlineStr">
        <is>
          <t>김현준</t>
        </is>
      </c>
      <c r="G3224" t="inlineStr">
        <is>
          <t>010-5650-6626</t>
        </is>
      </c>
      <c r="H3224" t="inlineStr">
        <is>
          <t>32무7462</t>
        </is>
      </c>
      <c r="I3224" t="n">
        <v>3200000</v>
      </c>
      <c r="J3224" t="n">
        <v>0.092</v>
      </c>
      <c r="K3224" t="n">
        <v>1.76</v>
      </c>
      <c r="L3224" t="n">
        <v>0.2</v>
      </c>
      <c r="M3224" t="n">
        <v>1.56</v>
      </c>
      <c r="P3224" t="inlineStr">
        <is>
          <t>최형주</t>
        </is>
      </c>
      <c r="Q3224" t="inlineStr">
        <is>
          <t>홈서비스 36개월</t>
        </is>
      </c>
      <c r="AB3224" t="inlineStr">
        <is>
          <t>홈서비스</t>
        </is>
      </c>
      <c r="AC3224" t="n">
        <v>56320</v>
      </c>
      <c r="AD3224" t="n">
        <v>6400</v>
      </c>
      <c r="AE3224" t="n">
        <v>49920</v>
      </c>
      <c r="AF3224" t="n">
        <v>51200</v>
      </c>
      <c r="AG3224" t="n">
        <v>6188.8</v>
      </c>
      <c r="AH3224" t="n">
        <v>45011.2</v>
      </c>
      <c r="AI3224" t="n">
        <v>0</v>
      </c>
    </row>
    <row r="3225">
      <c r="A3225" t="inlineStr">
        <is>
          <t>4월</t>
        </is>
      </c>
      <c r="B3225" t="inlineStr">
        <is>
          <t>16주차</t>
        </is>
      </c>
      <c r="C3225" t="inlineStr">
        <is>
          <t>EP</t>
        </is>
      </c>
      <c r="D3225" s="28" t="n">
        <v>46125</v>
      </c>
      <c r="E3225" t="inlineStr">
        <is>
          <t>현대EP</t>
        </is>
      </c>
      <c r="F3225" t="inlineStr">
        <is>
          <t>김환철</t>
        </is>
      </c>
      <c r="G3225" t="inlineStr">
        <is>
          <t>010-9498-6088</t>
        </is>
      </c>
      <c r="H3225" t="inlineStr">
        <is>
          <t>169버7383</t>
        </is>
      </c>
      <c r="I3225" t="n">
        <v>16800000</v>
      </c>
      <c r="J3225" t="n">
        <v>0.08500000000000001</v>
      </c>
      <c r="K3225" t="n">
        <v>1.76</v>
      </c>
      <c r="L3225" t="n">
        <v>0.2</v>
      </c>
      <c r="M3225" t="n">
        <v>1.56</v>
      </c>
      <c r="P3225" t="inlineStr">
        <is>
          <t>정광호</t>
        </is>
      </c>
      <c r="Q3225" t="inlineStr">
        <is>
          <t>홈서비스 36개월</t>
        </is>
      </c>
      <c r="AB3225" t="inlineStr">
        <is>
          <t>홈서비스</t>
        </is>
      </c>
      <c r="AC3225" t="n">
        <v>295680</v>
      </c>
      <c r="AD3225" t="n">
        <v>33600</v>
      </c>
      <c r="AE3225" t="n">
        <v>262080</v>
      </c>
      <c r="AF3225" t="n">
        <v>268800</v>
      </c>
      <c r="AG3225" t="n">
        <v>32491.2</v>
      </c>
      <c r="AH3225" t="n">
        <v>236308.8</v>
      </c>
      <c r="AI3225" t="n">
        <v>0</v>
      </c>
    </row>
    <row r="3226">
      <c r="A3226" t="inlineStr">
        <is>
          <t>4월</t>
        </is>
      </c>
      <c r="B3226" t="inlineStr">
        <is>
          <t>16주차</t>
        </is>
      </c>
      <c r="C3226" t="inlineStr">
        <is>
          <t>EP</t>
        </is>
      </c>
      <c r="D3226" s="28" t="n">
        <v>46126</v>
      </c>
      <c r="E3226" t="inlineStr">
        <is>
          <t>현대EP_fast</t>
        </is>
      </c>
      <c r="F3226" t="inlineStr">
        <is>
          <t>김해찬</t>
        </is>
      </c>
      <c r="G3226" t="inlineStr">
        <is>
          <t>010-4552-7425</t>
        </is>
      </c>
      <c r="H3226" t="inlineStr">
        <is>
          <t>232수2417</t>
        </is>
      </c>
      <c r="I3226" t="n">
        <v>22000000</v>
      </c>
      <c r="J3226" t="n">
        <v>0.07199999999999999</v>
      </c>
      <c r="K3226" t="n">
        <v>1.76</v>
      </c>
      <c r="L3226" t="n">
        <v>0.2</v>
      </c>
      <c r="M3226" t="n">
        <v>1.56</v>
      </c>
      <c r="P3226" t="inlineStr">
        <is>
          <t>최형주</t>
        </is>
      </c>
      <c r="Q3226" t="inlineStr">
        <is>
          <t>홈서비스 24개월</t>
        </is>
      </c>
      <c r="AB3226" t="inlineStr">
        <is>
          <t>홈서비스</t>
        </is>
      </c>
      <c r="AC3226" t="n">
        <v>387200</v>
      </c>
      <c r="AD3226" t="n">
        <v>44000</v>
      </c>
      <c r="AE3226" t="n">
        <v>343200</v>
      </c>
      <c r="AF3226" t="n">
        <v>352000</v>
      </c>
      <c r="AG3226" t="n">
        <v>42548</v>
      </c>
      <c r="AH3226" t="n">
        <v>309452</v>
      </c>
      <c r="AI3226" t="n">
        <v>0</v>
      </c>
    </row>
    <row r="3227">
      <c r="A3227" t="inlineStr">
        <is>
          <t>4월</t>
        </is>
      </c>
      <c r="B3227" t="inlineStr">
        <is>
          <t>16주차</t>
        </is>
      </c>
      <c r="C3227" t="inlineStr">
        <is>
          <t>EP</t>
        </is>
      </c>
      <c r="D3227" s="28" t="n">
        <v>46126</v>
      </c>
      <c r="E3227" t="inlineStr">
        <is>
          <t>현대EP_fast</t>
        </is>
      </c>
      <c r="F3227" t="inlineStr">
        <is>
          <t>서영아</t>
        </is>
      </c>
      <c r="G3227" t="inlineStr">
        <is>
          <t>010-7497-6880</t>
        </is>
      </c>
      <c r="H3227" t="inlineStr">
        <is>
          <t>328도3052</t>
        </is>
      </c>
      <c r="I3227" t="n">
        <v>18500000</v>
      </c>
      <c r="J3227" t="n">
        <v>0.092</v>
      </c>
      <c r="K3227" t="n">
        <v>1.76</v>
      </c>
      <c r="L3227" t="n">
        <v>0.2</v>
      </c>
      <c r="M3227" t="n">
        <v>1.56</v>
      </c>
      <c r="P3227" t="inlineStr">
        <is>
          <t>김나윤</t>
        </is>
      </c>
      <c r="Q3227" t="inlineStr">
        <is>
          <t>홈서비스 48개월</t>
        </is>
      </c>
      <c r="AB3227" t="inlineStr">
        <is>
          <t>홈서비스</t>
        </is>
      </c>
      <c r="AC3227" t="n">
        <v>325600</v>
      </c>
      <c r="AD3227" t="n">
        <v>37000</v>
      </c>
      <c r="AE3227" t="n">
        <v>288600</v>
      </c>
      <c r="AF3227" t="n">
        <v>296000</v>
      </c>
      <c r="AG3227" t="n">
        <v>35779</v>
      </c>
      <c r="AH3227" t="n">
        <v>260221</v>
      </c>
      <c r="AI3227" t="n">
        <v>0</v>
      </c>
    </row>
    <row r="3228">
      <c r="A3228" t="inlineStr">
        <is>
          <t>4월</t>
        </is>
      </c>
      <c r="B3228" t="inlineStr">
        <is>
          <t>15주차</t>
        </is>
      </c>
      <c r="C3228" t="inlineStr">
        <is>
          <t>EP</t>
        </is>
      </c>
      <c r="D3228" s="28" t="n">
        <v>46122</v>
      </c>
      <c r="E3228" t="inlineStr">
        <is>
          <t>제이비EP</t>
        </is>
      </c>
      <c r="F3228" t="inlineStr">
        <is>
          <t>박태하</t>
        </is>
      </c>
      <c r="G3228" t="inlineStr">
        <is>
          <t>010-5067-8444</t>
        </is>
      </c>
      <c r="H3228" t="inlineStr">
        <is>
          <t>08소2792</t>
        </is>
      </c>
      <c r="I3228" t="n">
        <v>29800000</v>
      </c>
      <c r="J3228" t="n">
        <v>0.078</v>
      </c>
      <c r="K3228" t="n">
        <v>1.65</v>
      </c>
      <c r="L3228" t="n">
        <v>0.3</v>
      </c>
      <c r="M3228" t="n">
        <v>1.35</v>
      </c>
      <c r="P3228" t="inlineStr">
        <is>
          <t>박현민</t>
        </is>
      </c>
      <c r="Q3228" t="inlineStr">
        <is>
          <t>현대 12.5%</t>
        </is>
      </c>
      <c r="AB3228" t="inlineStr">
        <is>
          <t>엔카</t>
        </is>
      </c>
      <c r="AC3228" t="n">
        <v>491700</v>
      </c>
      <c r="AD3228" t="n">
        <v>89400</v>
      </c>
      <c r="AE3228" t="n">
        <v>402300</v>
      </c>
      <c r="AF3228" t="n">
        <v>447000</v>
      </c>
      <c r="AG3228" t="n">
        <v>86449.8</v>
      </c>
      <c r="AH3228" t="n">
        <v>360550.2</v>
      </c>
      <c r="AI3228" t="n">
        <v>0</v>
      </c>
    </row>
    <row r="3229">
      <c r="A3229" t="inlineStr">
        <is>
          <t>4월</t>
        </is>
      </c>
      <c r="B3229" t="inlineStr">
        <is>
          <t>16주차</t>
        </is>
      </c>
      <c r="C3229" t="inlineStr">
        <is>
          <t>OR</t>
        </is>
      </c>
      <c r="D3229" s="28" t="n">
        <v>46125</v>
      </c>
      <c r="E3229" t="inlineStr">
        <is>
          <t>오릭스</t>
        </is>
      </c>
      <c r="F3229" t="inlineStr">
        <is>
          <t>홍영준</t>
        </is>
      </c>
      <c r="G3229" t="inlineStr">
        <is>
          <t>010-2907-9063</t>
        </is>
      </c>
      <c r="H3229" t="inlineStr">
        <is>
          <t>109루4159</t>
        </is>
      </c>
      <c r="I3229" t="n">
        <v>19000000</v>
      </c>
      <c r="J3229" t="n">
        <v>0.075</v>
      </c>
      <c r="K3229" t="n">
        <v>1.65</v>
      </c>
      <c r="L3229" t="n">
        <v>0.3</v>
      </c>
      <c r="M3229" t="n">
        <v>1.35</v>
      </c>
      <c r="P3229" t="inlineStr">
        <is>
          <t>박보람</t>
        </is>
      </c>
      <c r="Q3229" t="inlineStr">
        <is>
          <t>현대캐피탈 9.9% / 부대비용 추가진행</t>
        </is>
      </c>
      <c r="AB3229" t="inlineStr">
        <is>
          <t>엔카</t>
        </is>
      </c>
      <c r="AC3229" t="n">
        <v>313500</v>
      </c>
      <c r="AD3229" t="n">
        <v>57000</v>
      </c>
      <c r="AE3229" t="n">
        <v>256500</v>
      </c>
      <c r="AF3229" t="n">
        <v>285000</v>
      </c>
      <c r="AG3229" t="n">
        <v>55119</v>
      </c>
      <c r="AH3229" t="n">
        <v>229881</v>
      </c>
    </row>
    <row r="3230">
      <c r="A3230" t="inlineStr">
        <is>
          <t>4월</t>
        </is>
      </c>
      <c r="B3230" t="inlineStr">
        <is>
          <t>16주차</t>
        </is>
      </c>
      <c r="C3230" t="inlineStr">
        <is>
          <t>EP</t>
        </is>
      </c>
      <c r="D3230" s="28" t="n">
        <v>46126</v>
      </c>
      <c r="E3230" t="inlineStr">
        <is>
          <t>현대EP_fast</t>
        </is>
      </c>
      <c r="F3230" t="inlineStr">
        <is>
          <t>조한오</t>
        </is>
      </c>
      <c r="G3230" t="inlineStr">
        <is>
          <t>010-4221-4839</t>
        </is>
      </c>
      <c r="H3230" t="inlineStr">
        <is>
          <t>35도8271</t>
        </is>
      </c>
      <c r="I3230" t="n">
        <v>8200000</v>
      </c>
      <c r="J3230" t="n">
        <v>0.07099999999999999</v>
      </c>
      <c r="K3230" t="n">
        <v>1.76</v>
      </c>
      <c r="L3230" t="n">
        <v>0.2</v>
      </c>
      <c r="M3230" t="n">
        <v>1.56</v>
      </c>
      <c r="P3230" t="inlineStr">
        <is>
          <t>정세빈</t>
        </is>
      </c>
      <c r="Q3230" t="inlineStr">
        <is>
          <t>홈서비스 36개월</t>
        </is>
      </c>
      <c r="AB3230" t="inlineStr">
        <is>
          <t>홈서비스</t>
        </is>
      </c>
      <c r="AC3230" t="n">
        <v>144320</v>
      </c>
      <c r="AD3230" t="n">
        <v>16400</v>
      </c>
      <c r="AE3230" t="n">
        <v>127920</v>
      </c>
      <c r="AF3230" t="n">
        <v>131200</v>
      </c>
      <c r="AG3230" t="n">
        <v>15858.8</v>
      </c>
      <c r="AH3230" t="n">
        <v>115341.2</v>
      </c>
    </row>
    <row r="3231">
      <c r="A3231" t="inlineStr">
        <is>
          <t>4월</t>
        </is>
      </c>
      <c r="B3231" t="inlineStr">
        <is>
          <t>16주차</t>
        </is>
      </c>
      <c r="C3231" t="inlineStr">
        <is>
          <t>IM</t>
        </is>
      </c>
      <c r="D3231" s="28" t="n">
        <v>46125</v>
      </c>
      <c r="E3231" t="inlineStr">
        <is>
          <t>IM캐피탈</t>
        </is>
      </c>
      <c r="F3231" t="inlineStr">
        <is>
          <t>신병용</t>
        </is>
      </c>
      <c r="G3231" t="inlineStr">
        <is>
          <t>010-4846-7285</t>
        </is>
      </c>
      <c r="H3231" t="inlineStr">
        <is>
          <t>183구7184</t>
        </is>
      </c>
      <c r="I3231" t="n">
        <v>25200000</v>
      </c>
      <c r="J3231" t="n">
        <v>0.049</v>
      </c>
      <c r="K3231" t="n">
        <v>1.1</v>
      </c>
      <c r="L3231" t="n">
        <v>0.3</v>
      </c>
      <c r="M3231" t="n">
        <v>0.8</v>
      </c>
      <c r="P3231" t="inlineStr">
        <is>
          <t>박보람</t>
        </is>
      </c>
      <c r="Q3231" t="inlineStr">
        <is>
          <t>현대캐피탈 7.8%</t>
        </is>
      </c>
      <c r="AB3231" t="inlineStr">
        <is>
          <t>엔카</t>
        </is>
      </c>
      <c r="AC3231" t="n">
        <v>277200</v>
      </c>
      <c r="AD3231" t="n">
        <v>75600</v>
      </c>
      <c r="AE3231" t="n">
        <v>201600</v>
      </c>
      <c r="AF3231" t="n">
        <v>252000</v>
      </c>
      <c r="AG3231" t="n">
        <v>73105.2</v>
      </c>
      <c r="AH3231" t="n">
        <v>178894.8</v>
      </c>
      <c r="AI3231" t="n">
        <v>0</v>
      </c>
    </row>
    <row r="3232">
      <c r="A3232" t="inlineStr">
        <is>
          <t>4월</t>
        </is>
      </c>
      <c r="B3232" t="inlineStr">
        <is>
          <t>16주차</t>
        </is>
      </c>
      <c r="C3232" t="inlineStr">
        <is>
          <t>OR</t>
        </is>
      </c>
      <c r="D3232" s="28" t="n">
        <v>46126</v>
      </c>
      <c r="E3232" t="inlineStr">
        <is>
          <t>오릭스</t>
        </is>
      </c>
      <c r="F3232" t="inlineStr">
        <is>
          <t>유혜진</t>
        </is>
      </c>
      <c r="G3232" t="inlineStr">
        <is>
          <t>010-4108-7006</t>
        </is>
      </c>
      <c r="H3232" t="inlineStr">
        <is>
          <t>65도1005</t>
        </is>
      </c>
      <c r="I3232" t="n">
        <v>20000000</v>
      </c>
      <c r="J3232" t="n">
        <v>0.059</v>
      </c>
      <c r="K3232" t="n">
        <v>1.65</v>
      </c>
      <c r="L3232" t="n">
        <v>0.07000000000000001</v>
      </c>
      <c r="M3232" t="n">
        <v>1.58</v>
      </c>
      <c r="P3232" t="inlineStr">
        <is>
          <t>박보람</t>
        </is>
      </c>
      <c r="Q3232" t="inlineStr">
        <is>
          <t>선상담 / 홈서비스 48개월 / 현대캐피탈  10.7%</t>
        </is>
      </c>
      <c r="AB3232" t="inlineStr">
        <is>
          <t>홈서비스</t>
        </is>
      </c>
      <c r="AC3232" t="n">
        <v>330000</v>
      </c>
      <c r="AD3232" t="n">
        <v>14000</v>
      </c>
      <c r="AE3232" t="n">
        <v>316000</v>
      </c>
      <c r="AF3232" t="n">
        <v>300000</v>
      </c>
      <c r="AG3232" t="n">
        <v>13538</v>
      </c>
      <c r="AH3232" t="n">
        <v>286462</v>
      </c>
      <c r="AI3232" t="n">
        <v>0</v>
      </c>
    </row>
    <row r="3233">
      <c r="A3233" t="inlineStr">
        <is>
          <t>4월</t>
        </is>
      </c>
      <c r="B3233" t="inlineStr">
        <is>
          <t>16주차</t>
        </is>
      </c>
      <c r="C3233" t="inlineStr">
        <is>
          <t>EP</t>
        </is>
      </c>
      <c r="D3233" s="28" t="n">
        <v>46126</v>
      </c>
      <c r="E3233" t="inlineStr">
        <is>
          <t>현대EP_fast</t>
        </is>
      </c>
      <c r="F3233" t="inlineStr">
        <is>
          <t>권지훈</t>
        </is>
      </c>
      <c r="G3233" t="inlineStr">
        <is>
          <t>010-9227-2262</t>
        </is>
      </c>
      <c r="H3233" t="inlineStr">
        <is>
          <t>41거2021</t>
        </is>
      </c>
      <c r="I3233" t="n">
        <v>10500000</v>
      </c>
      <c r="J3233" t="n">
        <v>0.105</v>
      </c>
      <c r="K3233" t="n">
        <v>1.76</v>
      </c>
      <c r="L3233" t="n">
        <v>0.2</v>
      </c>
      <c r="M3233" t="n">
        <v>1.56</v>
      </c>
      <c r="P3233" t="inlineStr">
        <is>
          <t>김나윤</t>
        </is>
      </c>
      <c r="Q3233" t="inlineStr">
        <is>
          <t>홈서비스 60개월</t>
        </is>
      </c>
      <c r="AB3233" t="inlineStr">
        <is>
          <t>홈서비스</t>
        </is>
      </c>
      <c r="AC3233" t="n">
        <v>184800</v>
      </c>
      <c r="AD3233" t="n">
        <v>21000</v>
      </c>
      <c r="AE3233" t="n">
        <v>163800</v>
      </c>
      <c r="AF3233" t="n">
        <v>168000</v>
      </c>
      <c r="AG3233" t="n">
        <v>20307</v>
      </c>
      <c r="AH3233" t="n">
        <v>147693</v>
      </c>
    </row>
    <row r="3234">
      <c r="A3234" t="inlineStr">
        <is>
          <t>4월</t>
        </is>
      </c>
      <c r="B3234" t="inlineStr">
        <is>
          <t>18주차</t>
        </is>
      </c>
      <c r="C3234" t="inlineStr">
        <is>
          <t>EP</t>
        </is>
      </c>
      <c r="D3234" s="28" t="n">
        <v>46142</v>
      </c>
      <c r="E3234" t="inlineStr">
        <is>
          <t>제이비EP</t>
        </is>
      </c>
      <c r="F3234" t="inlineStr">
        <is>
          <t>이우석</t>
        </is>
      </c>
      <c r="G3234" t="inlineStr">
        <is>
          <t>010-5379-5192</t>
        </is>
      </c>
      <c r="H3234" t="inlineStr">
        <is>
          <t>239거8872</t>
        </is>
      </c>
      <c r="I3234" t="n">
        <v>-35200000</v>
      </c>
      <c r="J3234" t="n">
        <v>0.08699999999999999</v>
      </c>
      <c r="K3234" t="n">
        <v>1.65</v>
      </c>
      <c r="L3234" t="n">
        <v>0.07000000000000001</v>
      </c>
      <c r="M3234" t="n">
        <v>1.58</v>
      </c>
      <c r="P3234" t="inlineStr">
        <is>
          <t>박현민</t>
        </is>
      </c>
      <c r="Q3234" t="inlineStr">
        <is>
          <t>홈서비스 60개월</t>
        </is>
      </c>
      <c r="AB3234" t="inlineStr">
        <is>
          <t>홈서비스</t>
        </is>
      </c>
      <c r="AC3234" t="n">
        <v>-580800</v>
      </c>
      <c r="AD3234" t="n">
        <v>-24640</v>
      </c>
      <c r="AE3234" t="n">
        <v>-556160</v>
      </c>
      <c r="AF3234" t="n">
        <v>-528000</v>
      </c>
      <c r="AG3234" t="n">
        <v>-23826.88</v>
      </c>
      <c r="AH3234" t="n">
        <v>-504173.12</v>
      </c>
      <c r="AI3234" t="n">
        <v>0</v>
      </c>
    </row>
    <row r="3235">
      <c r="A3235" t="inlineStr">
        <is>
          <t>4월</t>
        </is>
      </c>
      <c r="B3235" t="inlineStr">
        <is>
          <t>15주차</t>
        </is>
      </c>
      <c r="C3235" t="inlineStr">
        <is>
          <t>EP</t>
        </is>
      </c>
      <c r="D3235" s="28" t="n">
        <v>46122</v>
      </c>
      <c r="E3235" t="inlineStr">
        <is>
          <t>제이비EP</t>
        </is>
      </c>
      <c r="F3235" t="inlineStr">
        <is>
          <t>한연희</t>
        </is>
      </c>
      <c r="G3235" t="inlineStr">
        <is>
          <t>010-7477-5039</t>
        </is>
      </c>
      <c r="H3235" t="inlineStr">
        <is>
          <t>322누8258</t>
        </is>
      </c>
      <c r="I3235" t="n">
        <v>40800000</v>
      </c>
      <c r="J3235" t="n">
        <v>0.08500000000000001</v>
      </c>
      <c r="K3235" t="n">
        <v>1.65</v>
      </c>
      <c r="L3235" t="n">
        <v>0.07000000000000001</v>
      </c>
      <c r="M3235" t="n">
        <v>1.58</v>
      </c>
      <c r="P3235" t="inlineStr">
        <is>
          <t>정하은</t>
        </is>
      </c>
      <c r="Q3235" t="inlineStr">
        <is>
          <t>선상담 / 홈서비스 60개월</t>
        </is>
      </c>
      <c r="AB3235" t="inlineStr">
        <is>
          <t>홈서비스</t>
        </is>
      </c>
      <c r="AC3235" t="n">
        <v>673200</v>
      </c>
      <c r="AD3235" t="n">
        <v>28560</v>
      </c>
      <c r="AE3235" t="n">
        <v>644640</v>
      </c>
      <c r="AF3235" t="n">
        <v>612000</v>
      </c>
      <c r="AG3235" t="n">
        <v>27617.52</v>
      </c>
      <c r="AH3235" t="n">
        <v>584382.48</v>
      </c>
      <c r="AI3235" t="n">
        <v>0</v>
      </c>
    </row>
    <row r="3236">
      <c r="A3236" t="inlineStr">
        <is>
          <t>4월</t>
        </is>
      </c>
      <c r="B3236" t="inlineStr">
        <is>
          <t>16주차</t>
        </is>
      </c>
      <c r="C3236" t="inlineStr">
        <is>
          <t>EP</t>
        </is>
      </c>
      <c r="D3236" s="28" t="n">
        <v>46125</v>
      </c>
      <c r="E3236" t="inlineStr">
        <is>
          <t>현대EP</t>
        </is>
      </c>
      <c r="F3236" t="inlineStr">
        <is>
          <t>정용철</t>
        </is>
      </c>
      <c r="G3236" t="inlineStr">
        <is>
          <t>010-5479-1510</t>
        </is>
      </c>
      <c r="H3236" t="inlineStr">
        <is>
          <t>239로2638</t>
        </is>
      </c>
      <c r="I3236" t="n">
        <v>7000000</v>
      </c>
      <c r="J3236" t="n">
        <v>0.07099999999999999</v>
      </c>
      <c r="K3236" t="n">
        <v>1.76</v>
      </c>
      <c r="L3236" t="n">
        <v>0.2</v>
      </c>
      <c r="M3236" t="n">
        <v>1.56</v>
      </c>
      <c r="P3236" t="inlineStr">
        <is>
          <t>정광호</t>
        </is>
      </c>
      <c r="Q3236" t="inlineStr">
        <is>
          <t>홈서비스 36개월</t>
        </is>
      </c>
      <c r="AB3236" t="inlineStr">
        <is>
          <t>홈서비스</t>
        </is>
      </c>
      <c r="AC3236" t="n">
        <v>123200</v>
      </c>
      <c r="AD3236" t="n">
        <v>14000</v>
      </c>
      <c r="AE3236" t="n">
        <v>109200</v>
      </c>
      <c r="AF3236" t="n">
        <v>112000</v>
      </c>
      <c r="AG3236" t="n">
        <v>13538</v>
      </c>
      <c r="AH3236" t="n">
        <v>98462</v>
      </c>
      <c r="AI3236" t="n">
        <v>0</v>
      </c>
    </row>
    <row r="3237">
      <c r="A3237" t="inlineStr">
        <is>
          <t>4월</t>
        </is>
      </c>
      <c r="B3237" t="inlineStr">
        <is>
          <t>16주차</t>
        </is>
      </c>
      <c r="C3237" t="inlineStr">
        <is>
          <t>EP</t>
        </is>
      </c>
      <c r="D3237" s="28" t="n">
        <v>46126</v>
      </c>
      <c r="E3237" t="inlineStr">
        <is>
          <t>BNKEP</t>
        </is>
      </c>
      <c r="F3237" t="inlineStr">
        <is>
          <t>홍금희</t>
        </is>
      </c>
      <c r="G3237" t="inlineStr">
        <is>
          <t>010-7735-5479</t>
        </is>
      </c>
      <c r="H3237" t="inlineStr">
        <is>
          <t>11가2147</t>
        </is>
      </c>
      <c r="I3237" t="n">
        <v>40000000</v>
      </c>
      <c r="J3237" t="n">
        <v>0.07199999999999999</v>
      </c>
      <c r="K3237" t="n">
        <v>1.65</v>
      </c>
      <c r="L3237" t="n">
        <v>0.07000000000000001</v>
      </c>
      <c r="M3237" t="n">
        <v>1.58</v>
      </c>
      <c r="P3237" t="inlineStr">
        <is>
          <t>황채이</t>
        </is>
      </c>
      <c r="Q3237" t="inlineStr">
        <is>
          <t>홈서비스 36개월</t>
        </is>
      </c>
      <c r="AB3237" t="inlineStr">
        <is>
          <t>홈서비스</t>
        </is>
      </c>
      <c r="AC3237" t="n">
        <v>660000</v>
      </c>
      <c r="AD3237" t="n">
        <v>28000</v>
      </c>
      <c r="AE3237" t="n">
        <v>632000</v>
      </c>
      <c r="AF3237" t="n">
        <v>600000</v>
      </c>
      <c r="AG3237" t="n">
        <v>27076</v>
      </c>
      <c r="AH3237" t="n">
        <v>572924</v>
      </c>
      <c r="AI3237" t="n">
        <v>0</v>
      </c>
    </row>
    <row r="3238">
      <c r="A3238" t="inlineStr">
        <is>
          <t>4월</t>
        </is>
      </c>
      <c r="B3238" t="inlineStr">
        <is>
          <t>16주차</t>
        </is>
      </c>
      <c r="C3238" t="inlineStr">
        <is>
          <t>EP</t>
        </is>
      </c>
      <c r="D3238" s="28" t="n">
        <v>46126</v>
      </c>
      <c r="E3238" t="inlineStr">
        <is>
          <t>현대EP_fast</t>
        </is>
      </c>
      <c r="F3238" t="inlineStr">
        <is>
          <t>최애숙</t>
        </is>
      </c>
      <c r="G3238" t="inlineStr">
        <is>
          <t>010-9270-8606</t>
        </is>
      </c>
      <c r="H3238" t="inlineStr">
        <is>
          <t>104보6057</t>
        </is>
      </c>
      <c r="I3238" t="n">
        <v>32800000</v>
      </c>
      <c r="J3238" t="n">
        <v>0.07199999999999999</v>
      </c>
      <c r="K3238" t="n">
        <v>1.76</v>
      </c>
      <c r="L3238" t="n">
        <v>0.2</v>
      </c>
      <c r="M3238" t="n">
        <v>1.56</v>
      </c>
      <c r="P3238" t="inlineStr">
        <is>
          <t>최형주</t>
        </is>
      </c>
      <c r="Q3238" t="inlineStr">
        <is>
          <t>홈서비스 60개월</t>
        </is>
      </c>
      <c r="AB3238" t="inlineStr">
        <is>
          <t>홈서비스</t>
        </is>
      </c>
      <c r="AC3238" t="n">
        <v>577280</v>
      </c>
      <c r="AD3238" t="n">
        <v>65600</v>
      </c>
      <c r="AE3238" t="n">
        <v>511680</v>
      </c>
      <c r="AF3238" t="n">
        <v>524800</v>
      </c>
      <c r="AG3238" t="n">
        <v>63435.2</v>
      </c>
      <c r="AH3238" t="n">
        <v>461364.8</v>
      </c>
    </row>
    <row r="3239">
      <c r="A3239" t="inlineStr">
        <is>
          <t>4월</t>
        </is>
      </c>
      <c r="B3239" t="inlineStr">
        <is>
          <t>16주차</t>
        </is>
      </c>
      <c r="C3239" t="inlineStr">
        <is>
          <t>IM</t>
        </is>
      </c>
      <c r="D3239" s="28" t="n">
        <v>46126</v>
      </c>
      <c r="E3239" t="inlineStr">
        <is>
          <t>IM캐피탈</t>
        </is>
      </c>
      <c r="F3239" t="inlineStr">
        <is>
          <t>안국재</t>
        </is>
      </c>
      <c r="G3239" t="inlineStr">
        <is>
          <t>010-3038-9195</t>
        </is>
      </c>
      <c r="H3239" t="inlineStr">
        <is>
          <t>156누7278</t>
        </is>
      </c>
      <c r="I3239" t="n">
        <v>12000000</v>
      </c>
      <c r="J3239" t="n">
        <v>0.039</v>
      </c>
      <c r="K3239" t="n">
        <v>1.1</v>
      </c>
      <c r="L3239" t="n">
        <v>0.07000000000000001</v>
      </c>
      <c r="M3239" t="n">
        <v>1.03</v>
      </c>
      <c r="P3239" t="inlineStr">
        <is>
          <t>최형주</t>
        </is>
      </c>
      <c r="Q3239" t="inlineStr">
        <is>
          <t>홈서비스 84개월 / 현대 7.7%</t>
        </is>
      </c>
      <c r="AB3239" t="inlineStr">
        <is>
          <t>홈서비스</t>
        </is>
      </c>
      <c r="AC3239" t="n">
        <v>132000</v>
      </c>
      <c r="AD3239" t="n">
        <v>8400</v>
      </c>
      <c r="AE3239" t="n">
        <v>123600</v>
      </c>
      <c r="AF3239" t="n">
        <v>120000</v>
      </c>
      <c r="AG3239" t="n">
        <v>8122.8</v>
      </c>
      <c r="AH3239" t="n">
        <v>111877.2</v>
      </c>
      <c r="AI3239" t="n">
        <v>0</v>
      </c>
    </row>
    <row r="3240">
      <c r="A3240" t="inlineStr">
        <is>
          <t>4월</t>
        </is>
      </c>
      <c r="B3240" t="inlineStr">
        <is>
          <t>16주차</t>
        </is>
      </c>
      <c r="C3240" t="inlineStr">
        <is>
          <t>EP</t>
        </is>
      </c>
      <c r="D3240" s="28" t="n">
        <v>46126</v>
      </c>
      <c r="E3240" t="inlineStr">
        <is>
          <t>현대EP_fast</t>
        </is>
      </c>
      <c r="F3240" t="inlineStr">
        <is>
          <t>최재형</t>
        </is>
      </c>
      <c r="G3240" t="inlineStr">
        <is>
          <t>010-8490-8896</t>
        </is>
      </c>
      <c r="H3240" t="inlineStr">
        <is>
          <t>134버6355</t>
        </is>
      </c>
      <c r="I3240" t="n">
        <v>25900000</v>
      </c>
      <c r="J3240" t="n">
        <v>0.079</v>
      </c>
      <c r="K3240" t="n">
        <v>1.76</v>
      </c>
      <c r="L3240" t="n">
        <v>0.2</v>
      </c>
      <c r="M3240" t="n">
        <v>1.56</v>
      </c>
      <c r="P3240" t="inlineStr">
        <is>
          <t>김나윤</t>
        </is>
      </c>
      <c r="Q3240" t="inlineStr">
        <is>
          <t>홈서비스 60개월</t>
        </is>
      </c>
      <c r="AB3240" t="inlineStr">
        <is>
          <t>홈서비스</t>
        </is>
      </c>
      <c r="AC3240" t="n">
        <v>455840</v>
      </c>
      <c r="AD3240" t="n">
        <v>51800</v>
      </c>
      <c r="AE3240" t="n">
        <v>404040</v>
      </c>
      <c r="AF3240" t="n">
        <v>414400</v>
      </c>
      <c r="AG3240" t="n">
        <v>50090.6</v>
      </c>
      <c r="AH3240" t="n">
        <v>364309.4</v>
      </c>
      <c r="AI3240" t="n">
        <v>0</v>
      </c>
    </row>
    <row r="3241">
      <c r="A3241" t="inlineStr">
        <is>
          <t>4월</t>
        </is>
      </c>
      <c r="B3241" t="inlineStr">
        <is>
          <t>16주차</t>
        </is>
      </c>
      <c r="C3241" t="inlineStr">
        <is>
          <t>IM</t>
        </is>
      </c>
      <c r="D3241" s="28" t="n">
        <v>46126</v>
      </c>
      <c r="E3241" t="inlineStr">
        <is>
          <t>IM캐피탈</t>
        </is>
      </c>
      <c r="F3241" t="inlineStr">
        <is>
          <t>이기훈</t>
        </is>
      </c>
      <c r="G3241" t="inlineStr">
        <is>
          <t>010-3765-8392</t>
        </is>
      </c>
      <c r="H3241" t="inlineStr">
        <is>
          <t>245너4399</t>
        </is>
      </c>
      <c r="I3241" t="n">
        <v>10000000</v>
      </c>
      <c r="J3241" t="n">
        <v>0.06900000000000001</v>
      </c>
      <c r="K3241" t="n">
        <v>1.1</v>
      </c>
      <c r="L3241" t="n">
        <v>0.07000000000000001</v>
      </c>
      <c r="M3241" t="n">
        <v>1.03</v>
      </c>
      <c r="P3241" t="inlineStr">
        <is>
          <t>박소현</t>
        </is>
      </c>
      <c r="Q3241" t="inlineStr">
        <is>
          <t>선상담 / 홈서비스 24개월 /현대 8.3%</t>
        </is>
      </c>
      <c r="AB3241" t="inlineStr">
        <is>
          <t>홈서비스</t>
        </is>
      </c>
      <c r="AC3241" t="n">
        <v>110000</v>
      </c>
      <c r="AD3241" t="n">
        <v>7000</v>
      </c>
      <c r="AE3241" t="n">
        <v>103000</v>
      </c>
      <c r="AF3241" t="n">
        <v>100000</v>
      </c>
      <c r="AG3241" t="n">
        <v>6769</v>
      </c>
      <c r="AH3241" t="n">
        <v>93231</v>
      </c>
    </row>
    <row r="3242">
      <c r="A3242" t="inlineStr">
        <is>
          <t>4월</t>
        </is>
      </c>
      <c r="B3242" t="inlineStr">
        <is>
          <t>16주차</t>
        </is>
      </c>
      <c r="C3242" t="inlineStr">
        <is>
          <t>EP</t>
        </is>
      </c>
      <c r="D3242" s="28" t="n">
        <v>46126</v>
      </c>
      <c r="E3242" t="inlineStr">
        <is>
          <t>현대EP_fast</t>
        </is>
      </c>
      <c r="F3242" t="inlineStr">
        <is>
          <t>이화수</t>
        </is>
      </c>
      <c r="G3242" t="inlineStr">
        <is>
          <t>010-4185-8723</t>
        </is>
      </c>
      <c r="H3242" t="inlineStr">
        <is>
          <t>69누2785</t>
        </is>
      </c>
      <c r="I3242" t="n">
        <v>9900000</v>
      </c>
      <c r="J3242" t="n">
        <v>0.07099999999999999</v>
      </c>
      <c r="K3242" t="n">
        <v>1.76</v>
      </c>
      <c r="L3242" t="n">
        <v>0.2</v>
      </c>
      <c r="M3242" t="n">
        <v>1.56</v>
      </c>
      <c r="P3242" t="inlineStr">
        <is>
          <t>박소현</t>
        </is>
      </c>
      <c r="Q3242" t="inlineStr">
        <is>
          <t>선상담 / 홈서비스 48개월</t>
        </is>
      </c>
      <c r="AB3242" t="inlineStr">
        <is>
          <t>홈서비스</t>
        </is>
      </c>
      <c r="AC3242" t="n">
        <v>174240</v>
      </c>
      <c r="AD3242" t="n">
        <v>19800</v>
      </c>
      <c r="AE3242" t="n">
        <v>154440</v>
      </c>
      <c r="AF3242" t="n">
        <v>158400</v>
      </c>
      <c r="AG3242" t="n">
        <v>19146.6</v>
      </c>
      <c r="AH3242" t="n">
        <v>139253.4</v>
      </c>
    </row>
    <row r="3243">
      <c r="A3243" t="inlineStr">
        <is>
          <t>4월</t>
        </is>
      </c>
      <c r="B3243" t="inlineStr">
        <is>
          <t>16주차</t>
        </is>
      </c>
      <c r="C3243" t="inlineStr">
        <is>
          <t>EP</t>
        </is>
      </c>
      <c r="D3243" s="28" t="n">
        <v>46126</v>
      </c>
      <c r="E3243" t="inlineStr">
        <is>
          <t>현대EP_fast</t>
        </is>
      </c>
      <c r="F3243" t="inlineStr">
        <is>
          <t>이정도</t>
        </is>
      </c>
      <c r="G3243" t="inlineStr">
        <is>
          <t>010-7933-3460</t>
        </is>
      </c>
      <c r="H3243" t="inlineStr">
        <is>
          <t>60모0179</t>
        </is>
      </c>
      <c r="I3243" t="n">
        <v>7000000</v>
      </c>
      <c r="J3243" t="n">
        <v>0.08599999999999999</v>
      </c>
      <c r="K3243" t="n">
        <v>1.76</v>
      </c>
      <c r="L3243" t="n">
        <v>0.2</v>
      </c>
      <c r="M3243" t="n">
        <v>1.56</v>
      </c>
      <c r="P3243" t="inlineStr">
        <is>
          <t>김수연</t>
        </is>
      </c>
      <c r="Q3243" t="inlineStr">
        <is>
          <t>홈서비스 36개월</t>
        </is>
      </c>
      <c r="AB3243" t="inlineStr">
        <is>
          <t>홈서비스</t>
        </is>
      </c>
      <c r="AC3243" t="n">
        <v>123200</v>
      </c>
      <c r="AD3243" t="n">
        <v>14000</v>
      </c>
      <c r="AE3243" t="n">
        <v>109200</v>
      </c>
      <c r="AF3243" t="n">
        <v>112000</v>
      </c>
      <c r="AG3243" t="n">
        <v>13538</v>
      </c>
      <c r="AH3243" t="n">
        <v>98462</v>
      </c>
      <c r="AI3243" t="n">
        <v>0</v>
      </c>
    </row>
    <row r="3244">
      <c r="A3244" t="inlineStr">
        <is>
          <t>4월</t>
        </is>
      </c>
      <c r="B3244" t="inlineStr">
        <is>
          <t>16주차</t>
        </is>
      </c>
      <c r="C3244" t="inlineStr">
        <is>
          <t>EP</t>
        </is>
      </c>
      <c r="D3244" s="28" t="n">
        <v>46125</v>
      </c>
      <c r="E3244" t="inlineStr">
        <is>
          <t>현대EP_fast</t>
        </is>
      </c>
      <c r="F3244" t="inlineStr">
        <is>
          <t>진주</t>
        </is>
      </c>
      <c r="G3244" t="inlineStr">
        <is>
          <t>010-6540-5020</t>
        </is>
      </c>
      <c r="H3244" t="inlineStr">
        <is>
          <t>58조0190</t>
        </is>
      </c>
      <c r="I3244" t="n">
        <v>5200000</v>
      </c>
      <c r="J3244" t="n">
        <v>0.118</v>
      </c>
      <c r="K3244" t="n">
        <v>1.76</v>
      </c>
      <c r="L3244" t="n">
        <v>0.6</v>
      </c>
      <c r="M3244" t="n">
        <v>1.16</v>
      </c>
      <c r="P3244" t="inlineStr">
        <is>
          <t>박현민</t>
        </is>
      </c>
      <c r="AB3244" t="inlineStr">
        <is>
          <t>엔카</t>
        </is>
      </c>
      <c r="AC3244" t="n">
        <v>91520</v>
      </c>
      <c r="AD3244" t="n">
        <v>31200</v>
      </c>
      <c r="AE3244" t="n">
        <v>60320</v>
      </c>
      <c r="AF3244" t="n">
        <v>83200</v>
      </c>
      <c r="AG3244" t="n">
        <v>30170.4</v>
      </c>
      <c r="AH3244" t="n">
        <v>53029.6</v>
      </c>
      <c r="AI3244" t="n">
        <v>0</v>
      </c>
    </row>
    <row r="3245">
      <c r="A3245" t="inlineStr">
        <is>
          <t>4월</t>
        </is>
      </c>
      <c r="B3245" t="inlineStr">
        <is>
          <t>16주차</t>
        </is>
      </c>
      <c r="C3245" t="inlineStr">
        <is>
          <t>EP</t>
        </is>
      </c>
      <c r="D3245" s="28" t="n">
        <v>46126</v>
      </c>
      <c r="E3245" t="inlineStr">
        <is>
          <t>현대EP</t>
        </is>
      </c>
      <c r="F3245" t="inlineStr">
        <is>
          <t>정태기</t>
        </is>
      </c>
      <c r="G3245" t="inlineStr">
        <is>
          <t>010-7997-1832</t>
        </is>
      </c>
      <c r="H3245" t="inlineStr">
        <is>
          <t>21루6309</t>
        </is>
      </c>
      <c r="I3245" t="n">
        <v>23500000</v>
      </c>
      <c r="J3245" t="n">
        <v>0.07099999999999999</v>
      </c>
      <c r="K3245" t="n">
        <v>1.76</v>
      </c>
      <c r="L3245" t="n">
        <v>0.2</v>
      </c>
      <c r="M3245" t="n">
        <v>1.56</v>
      </c>
      <c r="P3245" t="inlineStr">
        <is>
          <t>황채이</t>
        </is>
      </c>
      <c r="Q3245" t="inlineStr">
        <is>
          <t>홈서비스 60개월</t>
        </is>
      </c>
      <c r="AB3245" t="inlineStr">
        <is>
          <t>홈서비스</t>
        </is>
      </c>
      <c r="AC3245" t="n">
        <v>413600</v>
      </c>
      <c r="AD3245" t="n">
        <v>47000</v>
      </c>
      <c r="AE3245" t="n">
        <v>366600</v>
      </c>
      <c r="AF3245" t="n">
        <v>376000</v>
      </c>
      <c r="AG3245" t="n">
        <v>45449</v>
      </c>
      <c r="AH3245" t="n">
        <v>330551</v>
      </c>
      <c r="AI3245" t="n">
        <v>0</v>
      </c>
    </row>
    <row r="3246">
      <c r="A3246" t="inlineStr">
        <is>
          <t>4월</t>
        </is>
      </c>
      <c r="B3246" t="inlineStr">
        <is>
          <t>16주차</t>
        </is>
      </c>
      <c r="C3246" t="inlineStr">
        <is>
          <t>EP</t>
        </is>
      </c>
      <c r="D3246" s="28" t="n">
        <v>46125</v>
      </c>
      <c r="E3246" t="inlineStr">
        <is>
          <t>현대EP_fast</t>
        </is>
      </c>
      <c r="F3246" t="inlineStr">
        <is>
          <t>김형석</t>
        </is>
      </c>
      <c r="G3246" t="inlineStr">
        <is>
          <t>010-3444-7939</t>
        </is>
      </c>
      <c r="H3246" t="inlineStr">
        <is>
          <t>291노2161</t>
        </is>
      </c>
      <c r="I3246" t="n">
        <v>8900000</v>
      </c>
      <c r="J3246" t="n">
        <v>0.081</v>
      </c>
      <c r="K3246" t="n">
        <v>1.76</v>
      </c>
      <c r="L3246" t="n">
        <v>0.6</v>
      </c>
      <c r="M3246" t="n">
        <v>1.16</v>
      </c>
      <c r="P3246" t="inlineStr">
        <is>
          <t>최혁</t>
        </is>
      </c>
      <c r="AB3246" t="inlineStr">
        <is>
          <t>엔카</t>
        </is>
      </c>
      <c r="AC3246" t="n">
        <v>156640</v>
      </c>
      <c r="AD3246" t="n">
        <v>53400</v>
      </c>
      <c r="AE3246" t="n">
        <v>103240</v>
      </c>
      <c r="AF3246" t="n">
        <v>142400</v>
      </c>
      <c r="AG3246" t="n">
        <v>51637.8</v>
      </c>
      <c r="AH3246" t="n">
        <v>90762.2</v>
      </c>
      <c r="AI3246" t="n">
        <v>0</v>
      </c>
    </row>
    <row r="3247">
      <c r="A3247" t="inlineStr">
        <is>
          <t>4월</t>
        </is>
      </c>
      <c r="B3247" t="inlineStr">
        <is>
          <t>16주차</t>
        </is>
      </c>
      <c r="C3247" t="inlineStr">
        <is>
          <t>EP</t>
        </is>
      </c>
      <c r="D3247" s="28" t="n">
        <v>46126</v>
      </c>
      <c r="E3247" t="inlineStr">
        <is>
          <t>현대EP</t>
        </is>
      </c>
      <c r="F3247" t="inlineStr">
        <is>
          <t>박철주</t>
        </is>
      </c>
      <c r="G3247" t="inlineStr">
        <is>
          <t>010-7942-5199</t>
        </is>
      </c>
      <c r="H3247" t="inlineStr">
        <is>
          <t>59보6509</t>
        </is>
      </c>
      <c r="I3247" t="n">
        <v>33600000</v>
      </c>
      <c r="J3247" t="n">
        <v>0.062</v>
      </c>
      <c r="K3247" t="n">
        <v>1.76</v>
      </c>
      <c r="L3247" t="n">
        <v>0.2</v>
      </c>
      <c r="M3247" t="n">
        <v>1.56</v>
      </c>
      <c r="P3247" t="inlineStr">
        <is>
          <t>김나윤</t>
        </is>
      </c>
      <c r="Q3247" t="inlineStr">
        <is>
          <t>홈서비스 60개월</t>
        </is>
      </c>
      <c r="AB3247" t="inlineStr">
        <is>
          <t>홈서비스</t>
        </is>
      </c>
      <c r="AC3247" t="n">
        <v>591360</v>
      </c>
      <c r="AD3247" t="n">
        <v>67200</v>
      </c>
      <c r="AE3247" t="n">
        <v>524160</v>
      </c>
      <c r="AF3247" t="n">
        <v>537600</v>
      </c>
      <c r="AG3247" t="n">
        <v>64982.4</v>
      </c>
      <c r="AH3247" t="n">
        <v>472617.6</v>
      </c>
      <c r="AI3247" t="n">
        <v>0</v>
      </c>
    </row>
    <row r="3248">
      <c r="A3248" t="inlineStr">
        <is>
          <t>4월</t>
        </is>
      </c>
      <c r="B3248" t="inlineStr">
        <is>
          <t>16주차</t>
        </is>
      </c>
      <c r="C3248" t="inlineStr">
        <is>
          <t>EP</t>
        </is>
      </c>
      <c r="D3248" s="28" t="n">
        <v>46127</v>
      </c>
      <c r="E3248" t="inlineStr">
        <is>
          <t>현대EP_fast</t>
        </is>
      </c>
      <c r="F3248" t="inlineStr">
        <is>
          <t>나정진</t>
        </is>
      </c>
      <c r="G3248" t="inlineStr">
        <is>
          <t>010-9223-1999</t>
        </is>
      </c>
      <c r="H3248" t="inlineStr">
        <is>
          <t>18누7825</t>
        </is>
      </c>
      <c r="I3248" t="n">
        <v>17500000</v>
      </c>
      <c r="J3248" t="n">
        <v>0.062</v>
      </c>
      <c r="K3248" t="n">
        <v>1.76</v>
      </c>
      <c r="L3248" t="n">
        <v>0.2</v>
      </c>
      <c r="M3248" t="n">
        <v>1.56</v>
      </c>
      <c r="P3248" t="inlineStr">
        <is>
          <t>김나윤</t>
        </is>
      </c>
      <c r="Q3248" t="inlineStr">
        <is>
          <t>홈서비스 60개월</t>
        </is>
      </c>
      <c r="AB3248" t="inlineStr">
        <is>
          <t>홈서비스</t>
        </is>
      </c>
      <c r="AC3248" t="n">
        <v>308000</v>
      </c>
      <c r="AD3248" t="n">
        <v>35000</v>
      </c>
      <c r="AE3248" t="n">
        <v>273000</v>
      </c>
      <c r="AF3248" t="n">
        <v>280000</v>
      </c>
      <c r="AG3248" t="n">
        <v>33845</v>
      </c>
      <c r="AH3248" t="n">
        <v>246155</v>
      </c>
      <c r="AI3248" t="n">
        <v>0</v>
      </c>
    </row>
    <row r="3249">
      <c r="A3249" t="inlineStr">
        <is>
          <t>4월</t>
        </is>
      </c>
      <c r="B3249" t="inlineStr">
        <is>
          <t>16주차</t>
        </is>
      </c>
      <c r="C3249" t="inlineStr">
        <is>
          <t>EP</t>
        </is>
      </c>
      <c r="D3249" s="28" t="n">
        <v>46126</v>
      </c>
      <c r="E3249" t="inlineStr">
        <is>
          <t>BNKEP</t>
        </is>
      </c>
      <c r="F3249" t="inlineStr">
        <is>
          <t>최원서</t>
        </is>
      </c>
      <c r="G3249" t="inlineStr">
        <is>
          <t>010-4111-4037</t>
        </is>
      </c>
      <c r="H3249" t="inlineStr">
        <is>
          <t>133어8022</t>
        </is>
      </c>
      <c r="I3249" t="n">
        <v>52200000</v>
      </c>
      <c r="J3249" t="n">
        <v>0.081</v>
      </c>
      <c r="K3249" t="n">
        <v>1.65</v>
      </c>
      <c r="L3249" t="n">
        <v>0.07000000000000001</v>
      </c>
      <c r="M3249" t="n">
        <v>1.58</v>
      </c>
      <c r="P3249" t="inlineStr">
        <is>
          <t>정광호</t>
        </is>
      </c>
      <c r="Q3249" t="inlineStr">
        <is>
          <t>홈서비스 60개월</t>
        </is>
      </c>
      <c r="AB3249" t="inlineStr">
        <is>
          <t>홈서비스</t>
        </is>
      </c>
      <c r="AC3249" t="n">
        <v>861300</v>
      </c>
      <c r="AD3249" t="n">
        <v>36540</v>
      </c>
      <c r="AE3249" t="n">
        <v>824760</v>
      </c>
      <c r="AF3249" t="n">
        <v>783000</v>
      </c>
      <c r="AG3249" t="n">
        <v>35334.18</v>
      </c>
      <c r="AH3249" t="n">
        <v>747665.8199999999</v>
      </c>
      <c r="AI3249" t="n">
        <v>0</v>
      </c>
    </row>
    <row r="3250">
      <c r="A3250" t="inlineStr">
        <is>
          <t>4월</t>
        </is>
      </c>
      <c r="B3250" t="inlineStr">
        <is>
          <t>16주차</t>
        </is>
      </c>
      <c r="C3250" t="inlineStr">
        <is>
          <t>EP</t>
        </is>
      </c>
      <c r="D3250" s="28" t="n">
        <v>46126</v>
      </c>
      <c r="E3250" t="inlineStr">
        <is>
          <t>현대EP</t>
        </is>
      </c>
      <c r="F3250" t="inlineStr">
        <is>
          <t>전재훈</t>
        </is>
      </c>
      <c r="G3250" t="inlineStr">
        <is>
          <t>010-4421-0026</t>
        </is>
      </c>
      <c r="H3250" t="inlineStr">
        <is>
          <t>149수1763</t>
        </is>
      </c>
      <c r="I3250" t="n">
        <v>12900000</v>
      </c>
      <c r="J3250" t="n">
        <v>0.062</v>
      </c>
      <c r="K3250" t="n">
        <v>1.76</v>
      </c>
      <c r="L3250" t="n">
        <v>0.2</v>
      </c>
      <c r="M3250" t="n">
        <v>1.56</v>
      </c>
      <c r="P3250" t="inlineStr">
        <is>
          <t>정광호</t>
        </is>
      </c>
      <c r="Q3250" t="inlineStr">
        <is>
          <t>홈서비스 48개월</t>
        </is>
      </c>
      <c r="AB3250" t="inlineStr">
        <is>
          <t>홈서비스</t>
        </is>
      </c>
      <c r="AC3250" t="n">
        <v>227040</v>
      </c>
      <c r="AD3250" t="n">
        <v>25800</v>
      </c>
      <c r="AE3250" t="n">
        <v>201240</v>
      </c>
      <c r="AF3250" t="n">
        <v>206400</v>
      </c>
      <c r="AG3250" t="n">
        <v>24948.6</v>
      </c>
      <c r="AH3250" t="n">
        <v>181451.4</v>
      </c>
      <c r="AI3250" t="n">
        <v>0</v>
      </c>
    </row>
    <row r="3251">
      <c r="A3251" t="inlineStr">
        <is>
          <t>4월</t>
        </is>
      </c>
      <c r="B3251" t="inlineStr">
        <is>
          <t>16주차</t>
        </is>
      </c>
      <c r="C3251" t="inlineStr">
        <is>
          <t>EP</t>
        </is>
      </c>
      <c r="D3251" s="28" t="n">
        <v>46126</v>
      </c>
      <c r="E3251" t="inlineStr">
        <is>
          <t>현대EP_fast</t>
        </is>
      </c>
      <c r="F3251" t="inlineStr">
        <is>
          <t>이성호</t>
        </is>
      </c>
      <c r="G3251" t="inlineStr">
        <is>
          <t>010-3219-2524</t>
        </is>
      </c>
      <c r="H3251" t="inlineStr">
        <is>
          <t>48로6967</t>
        </is>
      </c>
      <c r="I3251" t="n">
        <v>14000000</v>
      </c>
      <c r="J3251" t="n">
        <v>0.08500000000000001</v>
      </c>
      <c r="K3251" t="n">
        <v>1.76</v>
      </c>
      <c r="L3251" t="n">
        <v>0.2</v>
      </c>
      <c r="M3251" t="n">
        <v>1.56</v>
      </c>
      <c r="P3251" t="inlineStr">
        <is>
          <t>정세빈</t>
        </is>
      </c>
      <c r="Q3251" t="inlineStr">
        <is>
          <t>홈서비스 36개월</t>
        </is>
      </c>
      <c r="AB3251" t="inlineStr">
        <is>
          <t>홈서비스</t>
        </is>
      </c>
      <c r="AC3251" t="n">
        <v>246400</v>
      </c>
      <c r="AD3251" t="n">
        <v>28000</v>
      </c>
      <c r="AE3251" t="n">
        <v>218400</v>
      </c>
      <c r="AF3251" t="n">
        <v>224000</v>
      </c>
      <c r="AG3251" t="n">
        <v>27076</v>
      </c>
      <c r="AH3251" t="n">
        <v>196924</v>
      </c>
      <c r="AI3251" t="n">
        <v>0</v>
      </c>
    </row>
    <row r="3252">
      <c r="A3252" t="inlineStr">
        <is>
          <t>4월</t>
        </is>
      </c>
      <c r="B3252" t="inlineStr">
        <is>
          <t>16주차</t>
        </is>
      </c>
      <c r="C3252" t="inlineStr">
        <is>
          <t>WC</t>
        </is>
      </c>
      <c r="D3252" s="28" t="n">
        <v>46126</v>
      </c>
      <c r="E3252" t="inlineStr">
        <is>
          <t>웰컴저축은행</t>
        </is>
      </c>
      <c r="F3252" t="inlineStr">
        <is>
          <t>오은지</t>
        </is>
      </c>
      <c r="G3252" t="inlineStr">
        <is>
          <t>010-2757-7516</t>
        </is>
      </c>
      <c r="H3252" t="inlineStr">
        <is>
          <t>252머1957</t>
        </is>
      </c>
      <c r="I3252" t="n">
        <v>26000000</v>
      </c>
      <c r="J3252" t="n">
        <v>0.119</v>
      </c>
      <c r="K3252" t="n">
        <v>2.2</v>
      </c>
      <c r="L3252" t="n">
        <v>0.07000000000000001</v>
      </c>
      <c r="M3252" t="n">
        <v>2.13</v>
      </c>
      <c r="P3252" t="inlineStr">
        <is>
          <t>정세빈</t>
        </is>
      </c>
      <c r="Q3252" t="inlineStr">
        <is>
          <t xml:space="preserve">홈서비스 72개월 </t>
        </is>
      </c>
      <c r="AB3252" t="inlineStr">
        <is>
          <t>홈서비스</t>
        </is>
      </c>
      <c r="AC3252" t="n">
        <v>572000</v>
      </c>
      <c r="AD3252" t="n">
        <v>18200</v>
      </c>
      <c r="AE3252" t="n">
        <v>553800</v>
      </c>
      <c r="AF3252" t="n">
        <v>520000</v>
      </c>
      <c r="AG3252" t="n">
        <v>17599.4</v>
      </c>
      <c r="AH3252" t="n">
        <v>502400.6</v>
      </c>
    </row>
    <row r="3253">
      <c r="A3253" t="inlineStr">
        <is>
          <t>4월</t>
        </is>
      </c>
      <c r="B3253" t="inlineStr">
        <is>
          <t>16주차</t>
        </is>
      </c>
      <c r="C3253" t="inlineStr">
        <is>
          <t>EP</t>
        </is>
      </c>
      <c r="D3253" s="28" t="n">
        <v>46127</v>
      </c>
      <c r="E3253" t="inlineStr">
        <is>
          <t>현대EP_fast</t>
        </is>
      </c>
      <c r="F3253" t="inlineStr">
        <is>
          <t>남창훈</t>
        </is>
      </c>
      <c r="G3253" t="inlineStr">
        <is>
          <t>010-4460-2577</t>
        </is>
      </c>
      <c r="H3253" t="inlineStr">
        <is>
          <t>137보4668</t>
        </is>
      </c>
      <c r="I3253" t="n">
        <v>33200000</v>
      </c>
      <c r="J3253" t="n">
        <v>0.102</v>
      </c>
      <c r="K3253" t="n">
        <v>1.76</v>
      </c>
      <c r="L3253" t="n">
        <v>0.2</v>
      </c>
      <c r="M3253" t="n">
        <v>1.56</v>
      </c>
      <c r="P3253" t="inlineStr">
        <is>
          <t>정세빈</t>
        </is>
      </c>
      <c r="Q3253" t="inlineStr">
        <is>
          <t>홈서비스 60개월</t>
        </is>
      </c>
      <c r="AB3253" t="inlineStr">
        <is>
          <t>홈서비스</t>
        </is>
      </c>
      <c r="AC3253" t="n">
        <v>584320</v>
      </c>
      <c r="AD3253" t="n">
        <v>66400</v>
      </c>
      <c r="AE3253" t="n">
        <v>517920</v>
      </c>
      <c r="AF3253" t="n">
        <v>531200</v>
      </c>
      <c r="AG3253" t="n">
        <v>64208.8</v>
      </c>
      <c r="AH3253" t="n">
        <v>466991.2</v>
      </c>
      <c r="AI3253" t="n">
        <v>0</v>
      </c>
    </row>
    <row r="3254">
      <c r="A3254" t="inlineStr">
        <is>
          <t>4월</t>
        </is>
      </c>
      <c r="B3254" t="inlineStr">
        <is>
          <t>16주차</t>
        </is>
      </c>
      <c r="C3254" t="inlineStr">
        <is>
          <t>EP</t>
        </is>
      </c>
      <c r="D3254" s="28" t="n">
        <v>46127</v>
      </c>
      <c r="E3254" t="inlineStr">
        <is>
          <t>현대EP_fast</t>
        </is>
      </c>
      <c r="F3254" t="inlineStr">
        <is>
          <t>김용연</t>
        </is>
      </c>
      <c r="G3254" t="inlineStr">
        <is>
          <t>010-3643-2654</t>
        </is>
      </c>
      <c r="H3254" t="inlineStr">
        <is>
          <t>277수3397</t>
        </is>
      </c>
      <c r="I3254" t="n">
        <v>8000000</v>
      </c>
      <c r="J3254" t="n">
        <v>0.07099999999999999</v>
      </c>
      <c r="K3254" t="n">
        <v>1.76</v>
      </c>
      <c r="L3254" t="n">
        <v>0.2</v>
      </c>
      <c r="M3254" t="n">
        <v>1.56</v>
      </c>
      <c r="P3254" t="inlineStr">
        <is>
          <t>정세빈</t>
        </is>
      </c>
      <c r="Q3254" t="inlineStr">
        <is>
          <t>홈서비스 36개월</t>
        </is>
      </c>
      <c r="AB3254" t="inlineStr">
        <is>
          <t>홈서비스</t>
        </is>
      </c>
      <c r="AC3254" t="n">
        <v>140800</v>
      </c>
      <c r="AD3254" t="n">
        <v>16000</v>
      </c>
      <c r="AE3254" t="n">
        <v>124800</v>
      </c>
      <c r="AF3254" t="n">
        <v>128000</v>
      </c>
      <c r="AG3254" t="n">
        <v>15472</v>
      </c>
      <c r="AH3254" t="n">
        <v>112528</v>
      </c>
      <c r="AI3254" t="n">
        <v>0</v>
      </c>
    </row>
    <row r="3255">
      <c r="A3255" t="inlineStr">
        <is>
          <t>4월</t>
        </is>
      </c>
      <c r="B3255" t="inlineStr">
        <is>
          <t>16주차</t>
        </is>
      </c>
      <c r="C3255" t="inlineStr">
        <is>
          <t>EP</t>
        </is>
      </c>
      <c r="D3255" s="28" t="n">
        <v>46126</v>
      </c>
      <c r="E3255" t="inlineStr">
        <is>
          <t>제이비EP</t>
        </is>
      </c>
      <c r="F3255" t="inlineStr">
        <is>
          <t>안창근</t>
        </is>
      </c>
      <c r="G3255" t="inlineStr">
        <is>
          <t>010-8814-0160</t>
        </is>
      </c>
      <c r="H3255" t="inlineStr">
        <is>
          <t>146오3987</t>
        </is>
      </c>
      <c r="I3255" t="n">
        <v>25900000</v>
      </c>
      <c r="J3255" t="n">
        <v>0.079</v>
      </c>
      <c r="K3255" t="n">
        <v>1.65</v>
      </c>
      <c r="L3255" t="n">
        <v>0.3</v>
      </c>
      <c r="M3255" t="n">
        <v>1.35</v>
      </c>
      <c r="P3255" t="inlineStr">
        <is>
          <t>장진경</t>
        </is>
      </c>
      <c r="Q3255" t="inlineStr">
        <is>
          <t>일반차량,사고금액과다 현대불가</t>
        </is>
      </c>
      <c r="AB3255" t="inlineStr">
        <is>
          <t>엔카</t>
        </is>
      </c>
      <c r="AC3255" t="n">
        <v>427350</v>
      </c>
      <c r="AD3255" t="n">
        <v>77700</v>
      </c>
      <c r="AE3255" t="n">
        <v>349650</v>
      </c>
      <c r="AF3255" t="n">
        <v>388500</v>
      </c>
      <c r="AG3255" t="n">
        <v>75135.89999999999</v>
      </c>
      <c r="AH3255" t="n">
        <v>313364.1</v>
      </c>
    </row>
    <row r="3256">
      <c r="A3256" t="inlineStr">
        <is>
          <t>4월</t>
        </is>
      </c>
      <c r="B3256" t="inlineStr">
        <is>
          <t>16주차</t>
        </is>
      </c>
      <c r="C3256" t="inlineStr">
        <is>
          <t>EP</t>
        </is>
      </c>
      <c r="D3256" s="28" t="n">
        <v>46126</v>
      </c>
      <c r="E3256" t="inlineStr">
        <is>
          <t>제이비EP</t>
        </is>
      </c>
      <c r="F3256" t="inlineStr">
        <is>
          <t>정수환</t>
        </is>
      </c>
      <c r="G3256" t="inlineStr">
        <is>
          <t>010-8575-8646</t>
        </is>
      </c>
      <c r="H3256" t="inlineStr">
        <is>
          <t>306소2449</t>
        </is>
      </c>
      <c r="I3256" t="n">
        <v>45500000</v>
      </c>
      <c r="J3256" t="n">
        <v>0.07199999999999999</v>
      </c>
      <c r="K3256" t="n">
        <v>1.65</v>
      </c>
      <c r="L3256" t="n">
        <v>0.3</v>
      </c>
      <c r="M3256" t="n">
        <v>1.35</v>
      </c>
      <c r="P3256" t="inlineStr">
        <is>
          <t>박보람</t>
        </is>
      </c>
      <c r="Q3256" t="inlineStr">
        <is>
          <t>현대캐피탈 9.9%</t>
        </is>
      </c>
      <c r="AB3256" t="inlineStr">
        <is>
          <t>엔카</t>
        </is>
      </c>
      <c r="AC3256" t="n">
        <v>750750</v>
      </c>
      <c r="AD3256" t="n">
        <v>136500</v>
      </c>
      <c r="AE3256" t="n">
        <v>614250</v>
      </c>
      <c r="AF3256" t="n">
        <v>682500</v>
      </c>
      <c r="AG3256" t="n">
        <v>131995.5</v>
      </c>
      <c r="AH3256" t="n">
        <v>550504.5</v>
      </c>
    </row>
    <row r="3257">
      <c r="A3257" t="inlineStr">
        <is>
          <t>4월</t>
        </is>
      </c>
      <c r="B3257" t="inlineStr">
        <is>
          <t>16주차</t>
        </is>
      </c>
      <c r="C3257" t="inlineStr">
        <is>
          <t>EP</t>
        </is>
      </c>
      <c r="D3257" s="28" t="n">
        <v>46127</v>
      </c>
      <c r="E3257" t="inlineStr">
        <is>
          <t>현대EP_fast</t>
        </is>
      </c>
      <c r="F3257" t="inlineStr">
        <is>
          <t>문경훈</t>
        </is>
      </c>
      <c r="G3257" t="inlineStr">
        <is>
          <t>010-9673-1992</t>
        </is>
      </c>
      <c r="H3257" t="inlineStr">
        <is>
          <t>202너3831</t>
        </is>
      </c>
      <c r="I3257" t="n">
        <v>4000000</v>
      </c>
      <c r="J3257" t="n">
        <v>0.09</v>
      </c>
      <c r="K3257" t="n">
        <v>1.76</v>
      </c>
      <c r="L3257" t="n">
        <v>0.2</v>
      </c>
      <c r="M3257" t="n">
        <v>1.56</v>
      </c>
      <c r="P3257" t="inlineStr">
        <is>
          <t>정세빈</t>
        </is>
      </c>
      <c r="Q3257" t="inlineStr">
        <is>
          <t>홈서비스 36개월</t>
        </is>
      </c>
      <c r="AB3257" t="inlineStr">
        <is>
          <t>홈서비스</t>
        </is>
      </c>
      <c r="AC3257" t="n">
        <v>70400</v>
      </c>
      <c r="AD3257" t="n">
        <v>8000</v>
      </c>
      <c r="AE3257" t="n">
        <v>62400</v>
      </c>
      <c r="AF3257" t="n">
        <v>64000</v>
      </c>
      <c r="AG3257" t="n">
        <v>7736</v>
      </c>
      <c r="AH3257" t="n">
        <v>56264</v>
      </c>
      <c r="AI3257" t="n">
        <v>0</v>
      </c>
    </row>
    <row r="3258">
      <c r="A3258" t="inlineStr">
        <is>
          <t>4월</t>
        </is>
      </c>
      <c r="B3258" t="inlineStr">
        <is>
          <t>16주차</t>
        </is>
      </c>
      <c r="C3258" t="inlineStr">
        <is>
          <t>EP</t>
        </is>
      </c>
      <c r="D3258" s="28" t="n">
        <v>46127</v>
      </c>
      <c r="E3258" t="inlineStr">
        <is>
          <t>현대EP_fast</t>
        </is>
      </c>
      <c r="F3258" t="inlineStr">
        <is>
          <t>황현</t>
        </is>
      </c>
      <c r="G3258" t="inlineStr">
        <is>
          <t>010-9676-3683</t>
        </is>
      </c>
      <c r="H3258" t="inlineStr">
        <is>
          <t>145소9042</t>
        </is>
      </c>
      <c r="I3258" t="n">
        <v>17900000</v>
      </c>
      <c r="J3258" t="n">
        <v>0.102</v>
      </c>
      <c r="K3258" t="n">
        <v>1.76</v>
      </c>
      <c r="L3258" t="n">
        <v>0.2</v>
      </c>
      <c r="M3258" t="n">
        <v>1.56</v>
      </c>
      <c r="P3258" t="inlineStr">
        <is>
          <t>정광호</t>
        </is>
      </c>
      <c r="Q3258" t="inlineStr">
        <is>
          <t>홈서비스 60개월</t>
        </is>
      </c>
      <c r="AB3258" t="inlineStr">
        <is>
          <t>홈서비스</t>
        </is>
      </c>
      <c r="AC3258" t="n">
        <v>315040</v>
      </c>
      <c r="AD3258" t="n">
        <v>35800</v>
      </c>
      <c r="AE3258" t="n">
        <v>279240</v>
      </c>
      <c r="AF3258" t="n">
        <v>286400</v>
      </c>
      <c r="AG3258" t="n">
        <v>34618.6</v>
      </c>
      <c r="AH3258" t="n">
        <v>251781.4</v>
      </c>
      <c r="AI3258" t="n">
        <v>0</v>
      </c>
    </row>
    <row r="3259">
      <c r="A3259" t="inlineStr">
        <is>
          <t>4월</t>
        </is>
      </c>
      <c r="B3259" t="inlineStr">
        <is>
          <t>16주차</t>
        </is>
      </c>
      <c r="C3259" t="inlineStr">
        <is>
          <t>IM</t>
        </is>
      </c>
      <c r="D3259" s="28" t="n">
        <v>46127</v>
      </c>
      <c r="E3259" t="inlineStr">
        <is>
          <t>IM캐피탈</t>
        </is>
      </c>
      <c r="F3259" t="inlineStr">
        <is>
          <t>이승용</t>
        </is>
      </c>
      <c r="G3259" t="inlineStr">
        <is>
          <t>010-3127-6577</t>
        </is>
      </c>
      <c r="H3259" t="inlineStr">
        <is>
          <t>121더9706</t>
        </is>
      </c>
      <c r="I3259" t="n">
        <v>47400000</v>
      </c>
      <c r="J3259" t="n">
        <v>0.066</v>
      </c>
      <c r="K3259" t="n">
        <v>1.1</v>
      </c>
      <c r="L3259" t="n">
        <v>0.07000000000000001</v>
      </c>
      <c r="M3259" t="n">
        <v>1.03</v>
      </c>
      <c r="P3259" t="inlineStr">
        <is>
          <t>정세빈</t>
        </is>
      </c>
      <c r="Q3259" t="inlineStr">
        <is>
          <t>홈서비스 84개월 / 현대 7.2%</t>
        </is>
      </c>
      <c r="AB3259" t="inlineStr">
        <is>
          <t>홈서비스</t>
        </is>
      </c>
      <c r="AC3259" t="n">
        <v>521400</v>
      </c>
      <c r="AD3259" t="n">
        <v>33180</v>
      </c>
      <c r="AE3259" t="n">
        <v>488220</v>
      </c>
      <c r="AF3259" t="n">
        <v>474000</v>
      </c>
      <c r="AG3259" t="n">
        <v>32085.06</v>
      </c>
      <c r="AH3259" t="n">
        <v>441914.94</v>
      </c>
    </row>
    <row r="3260">
      <c r="A3260" t="inlineStr">
        <is>
          <t>4월</t>
        </is>
      </c>
      <c r="B3260" t="inlineStr">
        <is>
          <t>16주차</t>
        </is>
      </c>
      <c r="C3260" t="inlineStr">
        <is>
          <t>IM</t>
        </is>
      </c>
      <c r="D3260" s="28" t="n">
        <v>46125</v>
      </c>
      <c r="E3260" t="inlineStr">
        <is>
          <t>IM캐피탈</t>
        </is>
      </c>
      <c r="F3260" t="inlineStr">
        <is>
          <t>이효동</t>
        </is>
      </c>
      <c r="G3260" t="inlineStr">
        <is>
          <t>010-7577-6228</t>
        </is>
      </c>
      <c r="H3260" t="inlineStr">
        <is>
          <t>307고1435</t>
        </is>
      </c>
      <c r="I3260" t="n">
        <v>18000000</v>
      </c>
      <c r="J3260" t="n">
        <v>0.049</v>
      </c>
      <c r="K3260" t="n">
        <v>1.1</v>
      </c>
      <c r="L3260" t="n">
        <v>0.3</v>
      </c>
      <c r="M3260" t="n">
        <v>0.8</v>
      </c>
      <c r="P3260" t="inlineStr">
        <is>
          <t>최혁</t>
        </is>
      </c>
      <c r="Q3260" t="inlineStr">
        <is>
          <t>현대캐피탈 7.1%</t>
        </is>
      </c>
      <c r="AB3260" t="inlineStr">
        <is>
          <t>엔카</t>
        </is>
      </c>
      <c r="AC3260" t="n">
        <v>198000</v>
      </c>
      <c r="AD3260" t="n">
        <v>54000</v>
      </c>
      <c r="AE3260" t="n">
        <v>144000</v>
      </c>
      <c r="AF3260" t="n">
        <v>180000</v>
      </c>
      <c r="AG3260" t="n">
        <v>52218</v>
      </c>
      <c r="AH3260" t="n">
        <v>127782</v>
      </c>
      <c r="AI3260" t="n">
        <v>0</v>
      </c>
    </row>
    <row r="3261">
      <c r="A3261" t="inlineStr">
        <is>
          <t>4월</t>
        </is>
      </c>
      <c r="B3261" t="inlineStr">
        <is>
          <t>16주차</t>
        </is>
      </c>
      <c r="C3261" t="inlineStr">
        <is>
          <t>EP</t>
        </is>
      </c>
      <c r="D3261" s="28" t="n">
        <v>46126</v>
      </c>
      <c r="E3261" t="inlineStr">
        <is>
          <t>현대EP</t>
        </is>
      </c>
      <c r="F3261" t="inlineStr">
        <is>
          <t>조정현</t>
        </is>
      </c>
      <c r="G3261" t="inlineStr">
        <is>
          <t>010-5125-8474</t>
        </is>
      </c>
      <c r="H3261" t="inlineStr">
        <is>
          <t>152오4680</t>
        </is>
      </c>
      <c r="I3261" t="n">
        <v>30900000</v>
      </c>
      <c r="J3261" t="n">
        <v>0.07099999999999999</v>
      </c>
      <c r="K3261" t="n">
        <v>1.76</v>
      </c>
      <c r="L3261" t="n">
        <v>0.2</v>
      </c>
      <c r="M3261" t="n">
        <v>1.56</v>
      </c>
      <c r="P3261" t="inlineStr">
        <is>
          <t>최형주</t>
        </is>
      </c>
      <c r="Q3261" t="inlineStr">
        <is>
          <t>홈서비스 60개월</t>
        </is>
      </c>
      <c r="AB3261" t="inlineStr">
        <is>
          <t>홈서비스</t>
        </is>
      </c>
      <c r="AC3261" t="n">
        <v>543840</v>
      </c>
      <c r="AD3261" t="n">
        <v>61800</v>
      </c>
      <c r="AE3261" t="n">
        <v>482040</v>
      </c>
      <c r="AF3261" t="n">
        <v>494400</v>
      </c>
      <c r="AG3261" t="n">
        <v>59760.6</v>
      </c>
      <c r="AH3261" t="n">
        <v>434639.4</v>
      </c>
      <c r="AI3261" t="n">
        <v>0</v>
      </c>
    </row>
    <row r="3262">
      <c r="A3262" t="inlineStr">
        <is>
          <t>4월</t>
        </is>
      </c>
      <c r="B3262" t="inlineStr">
        <is>
          <t>16주차</t>
        </is>
      </c>
      <c r="C3262" t="inlineStr">
        <is>
          <t>EP</t>
        </is>
      </c>
      <c r="D3262" s="28" t="n">
        <v>46127</v>
      </c>
      <c r="E3262" t="inlineStr">
        <is>
          <t>현대EP_fast</t>
        </is>
      </c>
      <c r="F3262" t="inlineStr">
        <is>
          <t>이혜윤</t>
        </is>
      </c>
      <c r="G3262" t="inlineStr">
        <is>
          <t>010-9431-3490</t>
        </is>
      </c>
      <c r="H3262" t="inlineStr">
        <is>
          <t>357주1768</t>
        </is>
      </c>
      <c r="I3262" t="n">
        <v>17000000</v>
      </c>
      <c r="J3262" t="n">
        <v>0.075</v>
      </c>
      <c r="K3262" t="n">
        <v>1.76</v>
      </c>
      <c r="L3262" t="n">
        <v>0.2</v>
      </c>
      <c r="M3262" t="n">
        <v>1.56</v>
      </c>
      <c r="P3262" t="inlineStr">
        <is>
          <t>정세빈</t>
        </is>
      </c>
      <c r="Q3262" t="inlineStr">
        <is>
          <t>홈서비스 36개월</t>
        </is>
      </c>
      <c r="AB3262" t="inlineStr">
        <is>
          <t>홈서비스</t>
        </is>
      </c>
      <c r="AC3262" t="n">
        <v>299200</v>
      </c>
      <c r="AD3262" t="n">
        <v>34000</v>
      </c>
      <c r="AE3262" t="n">
        <v>265200</v>
      </c>
      <c r="AF3262" t="n">
        <v>272000</v>
      </c>
      <c r="AG3262" t="n">
        <v>32878</v>
      </c>
      <c r="AH3262" t="n">
        <v>239122</v>
      </c>
    </row>
    <row r="3263">
      <c r="A3263" t="inlineStr">
        <is>
          <t>4월</t>
        </is>
      </c>
      <c r="B3263" t="inlineStr">
        <is>
          <t>16주차</t>
        </is>
      </c>
      <c r="C3263" t="inlineStr">
        <is>
          <t>EP</t>
        </is>
      </c>
      <c r="D3263" s="28" t="n">
        <v>46126</v>
      </c>
      <c r="E3263" t="inlineStr">
        <is>
          <t>현대EP</t>
        </is>
      </c>
      <c r="F3263" t="inlineStr">
        <is>
          <t>최용</t>
        </is>
      </c>
      <c r="G3263" t="inlineStr">
        <is>
          <t>010-5036-8295</t>
        </is>
      </c>
      <c r="H3263" t="inlineStr">
        <is>
          <t>146나1484</t>
        </is>
      </c>
      <c r="I3263" t="n">
        <v>3000000</v>
      </c>
      <c r="J3263" t="n">
        <v>0.07099999999999999</v>
      </c>
      <c r="K3263" t="n">
        <v>1.76</v>
      </c>
      <c r="L3263" t="n">
        <v>0.2</v>
      </c>
      <c r="M3263" t="n">
        <v>1.56</v>
      </c>
      <c r="P3263" t="inlineStr">
        <is>
          <t>최형주</t>
        </is>
      </c>
      <c r="Q3263" t="inlineStr">
        <is>
          <t>홈서비스 48개월</t>
        </is>
      </c>
      <c r="AB3263" t="inlineStr">
        <is>
          <t>홈서비스</t>
        </is>
      </c>
      <c r="AC3263" t="n">
        <v>52800</v>
      </c>
      <c r="AD3263" t="n">
        <v>6000</v>
      </c>
      <c r="AE3263" t="n">
        <v>46800</v>
      </c>
      <c r="AF3263" t="n">
        <v>48000</v>
      </c>
      <c r="AG3263" t="n">
        <v>5802</v>
      </c>
      <c r="AH3263" t="n">
        <v>42198</v>
      </c>
      <c r="AI3263" t="n">
        <v>0</v>
      </c>
    </row>
    <row r="3264">
      <c r="A3264" t="inlineStr">
        <is>
          <t>4월</t>
        </is>
      </c>
      <c r="B3264" t="inlineStr">
        <is>
          <t>16주차</t>
        </is>
      </c>
      <c r="C3264" t="inlineStr">
        <is>
          <t>EP</t>
        </is>
      </c>
      <c r="D3264" s="28" t="n">
        <v>46126</v>
      </c>
      <c r="E3264" t="inlineStr">
        <is>
          <t>현대EP_fast</t>
        </is>
      </c>
      <c r="F3264" t="inlineStr">
        <is>
          <t>강정훈</t>
        </is>
      </c>
      <c r="G3264" t="inlineStr">
        <is>
          <t>010-7155-9047</t>
        </is>
      </c>
      <c r="H3264" t="inlineStr">
        <is>
          <t>27어4424</t>
        </is>
      </c>
      <c r="I3264" t="n">
        <v>4500000</v>
      </c>
      <c r="J3264" t="n">
        <v>0.079</v>
      </c>
      <c r="K3264" t="n">
        <v>1.76</v>
      </c>
      <c r="L3264" t="n">
        <v>0.2</v>
      </c>
      <c r="M3264" t="n">
        <v>1.56</v>
      </c>
      <c r="P3264" t="inlineStr">
        <is>
          <t>박현민</t>
        </is>
      </c>
      <c r="Q3264" t="inlineStr">
        <is>
          <t>홈서비스 36개월</t>
        </is>
      </c>
      <c r="AB3264" t="inlineStr">
        <is>
          <t>홈서비스</t>
        </is>
      </c>
      <c r="AC3264" t="n">
        <v>79200</v>
      </c>
      <c r="AD3264" t="n">
        <v>9000</v>
      </c>
      <c r="AE3264" t="n">
        <v>70200</v>
      </c>
      <c r="AF3264" t="n">
        <v>72000</v>
      </c>
      <c r="AG3264" t="n">
        <v>8703</v>
      </c>
      <c r="AH3264" t="n">
        <v>63297</v>
      </c>
      <c r="AI3264" t="n">
        <v>0</v>
      </c>
    </row>
    <row r="3265">
      <c r="A3265" t="inlineStr">
        <is>
          <t>4월</t>
        </is>
      </c>
      <c r="B3265" t="inlineStr">
        <is>
          <t>16주차</t>
        </is>
      </c>
      <c r="C3265" t="inlineStr">
        <is>
          <t>EP</t>
        </is>
      </c>
      <c r="D3265" s="28" t="n">
        <v>46127</v>
      </c>
      <c r="E3265" t="inlineStr">
        <is>
          <t>BNKEP</t>
        </is>
      </c>
      <c r="F3265" t="inlineStr">
        <is>
          <t>장영민</t>
        </is>
      </c>
      <c r="G3265" t="inlineStr">
        <is>
          <t>010-6532-6670</t>
        </is>
      </c>
      <c r="H3265" t="inlineStr">
        <is>
          <t>110모9563</t>
        </is>
      </c>
      <c r="I3265" t="n">
        <v>37000000</v>
      </c>
      <c r="J3265" t="n">
        <v>0.063</v>
      </c>
      <c r="K3265" t="n">
        <v>1.65</v>
      </c>
      <c r="L3265" t="n">
        <v>0.07000000000000001</v>
      </c>
      <c r="M3265" t="n">
        <v>1.58</v>
      </c>
      <c r="P3265" t="inlineStr">
        <is>
          <t>정세빈</t>
        </is>
      </c>
      <c r="Q3265" t="inlineStr">
        <is>
          <t>홈서비스 60개월 / 금리불만 현대 8.5%</t>
        </is>
      </c>
      <c r="AB3265" t="inlineStr">
        <is>
          <t>홈서비스</t>
        </is>
      </c>
      <c r="AC3265" t="n">
        <v>610500</v>
      </c>
      <c r="AD3265" t="n">
        <v>25900</v>
      </c>
      <c r="AE3265" t="n">
        <v>584600</v>
      </c>
      <c r="AF3265" t="n">
        <v>555000</v>
      </c>
      <c r="AG3265" t="n">
        <v>25045.3</v>
      </c>
      <c r="AH3265" t="n">
        <v>529954.7</v>
      </c>
      <c r="AI3265" t="n">
        <v>0</v>
      </c>
    </row>
    <row r="3266">
      <c r="A3266" t="inlineStr">
        <is>
          <t>4월</t>
        </is>
      </c>
      <c r="B3266" t="inlineStr">
        <is>
          <t>16주차</t>
        </is>
      </c>
      <c r="C3266" t="inlineStr">
        <is>
          <t>EP</t>
        </is>
      </c>
      <c r="D3266" s="28" t="n">
        <v>46126</v>
      </c>
      <c r="E3266" t="inlineStr">
        <is>
          <t>현대EP_fast</t>
        </is>
      </c>
      <c r="F3266" t="inlineStr">
        <is>
          <t>김유화</t>
        </is>
      </c>
      <c r="G3266" t="inlineStr">
        <is>
          <t>010-3152-3532</t>
        </is>
      </c>
      <c r="H3266" t="inlineStr">
        <is>
          <t>156누7290</t>
        </is>
      </c>
      <c r="I3266" t="n">
        <v>7200000</v>
      </c>
      <c r="J3266" t="n">
        <v>0.062</v>
      </c>
      <c r="K3266" t="n">
        <v>1.76</v>
      </c>
      <c r="L3266" t="n">
        <v>0.2</v>
      </c>
      <c r="M3266" t="n">
        <v>1.56</v>
      </c>
      <c r="P3266" t="inlineStr">
        <is>
          <t>김수연</t>
        </is>
      </c>
      <c r="Q3266" t="inlineStr">
        <is>
          <t>홈서비스 60개월</t>
        </is>
      </c>
      <c r="AB3266" t="inlineStr">
        <is>
          <t>홈서비스</t>
        </is>
      </c>
      <c r="AC3266" t="n">
        <v>126720</v>
      </c>
      <c r="AD3266" t="n">
        <v>14400</v>
      </c>
      <c r="AE3266" t="n">
        <v>112320</v>
      </c>
      <c r="AF3266" t="n">
        <v>115200</v>
      </c>
      <c r="AG3266" t="n">
        <v>13924.8</v>
      </c>
      <c r="AH3266" t="n">
        <v>101275.2</v>
      </c>
    </row>
    <row r="3267">
      <c r="A3267" t="inlineStr">
        <is>
          <t>4월</t>
        </is>
      </c>
      <c r="B3267" t="inlineStr">
        <is>
          <t>16주차</t>
        </is>
      </c>
      <c r="C3267" t="inlineStr">
        <is>
          <t>EP</t>
        </is>
      </c>
      <c r="D3267" s="28" t="n">
        <v>46127</v>
      </c>
      <c r="E3267" t="inlineStr">
        <is>
          <t>현대EP_fast</t>
        </is>
      </c>
      <c r="F3267" t="inlineStr">
        <is>
          <t>박영선</t>
        </is>
      </c>
      <c r="G3267" t="inlineStr">
        <is>
          <t>010-8613-7488</t>
        </is>
      </c>
      <c r="H3267" t="inlineStr">
        <is>
          <t>11주4655</t>
        </is>
      </c>
      <c r="I3267" t="n">
        <v>11600000</v>
      </c>
      <c r="J3267" t="n">
        <v>0.08599999999999999</v>
      </c>
      <c r="K3267" t="n">
        <v>1.76</v>
      </c>
      <c r="L3267" t="n">
        <v>0.2</v>
      </c>
      <c r="M3267" t="n">
        <v>1.56</v>
      </c>
      <c r="P3267" t="inlineStr">
        <is>
          <t>김수연</t>
        </is>
      </c>
      <c r="Q3267" t="inlineStr">
        <is>
          <t>홈서비스 60개월</t>
        </is>
      </c>
      <c r="AB3267" t="inlineStr">
        <is>
          <t>홈서비스</t>
        </is>
      </c>
      <c r="AC3267" t="n">
        <v>204160</v>
      </c>
      <c r="AD3267" t="n">
        <v>23200</v>
      </c>
      <c r="AE3267" t="n">
        <v>180960</v>
      </c>
      <c r="AF3267" t="n">
        <v>185600</v>
      </c>
      <c r="AG3267" t="n">
        <v>22434.4</v>
      </c>
      <c r="AH3267" t="n">
        <v>163165.6</v>
      </c>
      <c r="AI3267" t="n">
        <v>0</v>
      </c>
    </row>
    <row r="3268">
      <c r="A3268" t="inlineStr">
        <is>
          <t>4월</t>
        </is>
      </c>
      <c r="B3268" t="inlineStr">
        <is>
          <t>16주차</t>
        </is>
      </c>
      <c r="C3268" t="inlineStr">
        <is>
          <t>EP</t>
        </is>
      </c>
      <c r="D3268" s="28" t="n">
        <v>46127</v>
      </c>
      <c r="E3268" t="inlineStr">
        <is>
          <t>현대EP_fast</t>
        </is>
      </c>
      <c r="F3268" t="inlineStr">
        <is>
          <t>문선호</t>
        </is>
      </c>
      <c r="G3268" t="inlineStr">
        <is>
          <t>010-2769-8229</t>
        </is>
      </c>
      <c r="H3268" t="inlineStr">
        <is>
          <t>65우8549</t>
        </is>
      </c>
      <c r="I3268" t="n">
        <v>12900000</v>
      </c>
      <c r="J3268" t="n">
        <v>0.118</v>
      </c>
      <c r="K3268" t="n">
        <v>1.76</v>
      </c>
      <c r="L3268" t="n">
        <v>0.2</v>
      </c>
      <c r="M3268" t="n">
        <v>1.56</v>
      </c>
      <c r="P3268" t="inlineStr">
        <is>
          <t>최형주</t>
        </is>
      </c>
      <c r="Q3268" t="inlineStr">
        <is>
          <t>홈서비스 60개월</t>
        </is>
      </c>
      <c r="AB3268" t="inlineStr">
        <is>
          <t>홈서비스</t>
        </is>
      </c>
      <c r="AC3268" t="n">
        <v>227040</v>
      </c>
      <c r="AD3268" t="n">
        <v>25800</v>
      </c>
      <c r="AE3268" t="n">
        <v>201240</v>
      </c>
      <c r="AF3268" t="n">
        <v>206400</v>
      </c>
      <c r="AG3268" t="n">
        <v>24948.6</v>
      </c>
      <c r="AH3268" t="n">
        <v>181451.4</v>
      </c>
      <c r="AI3268" t="n">
        <v>0</v>
      </c>
    </row>
    <row r="3269">
      <c r="A3269" t="inlineStr">
        <is>
          <t>4월</t>
        </is>
      </c>
      <c r="B3269" t="inlineStr">
        <is>
          <t>16주차</t>
        </is>
      </c>
      <c r="C3269" t="inlineStr">
        <is>
          <t>IM</t>
        </is>
      </c>
      <c r="D3269" s="28" t="n">
        <v>46127</v>
      </c>
      <c r="E3269" t="inlineStr">
        <is>
          <t>IM캐피탈</t>
        </is>
      </c>
      <c r="F3269" t="inlineStr">
        <is>
          <t>고정길</t>
        </is>
      </c>
      <c r="G3269" t="inlineStr">
        <is>
          <t>010-8233-7442</t>
        </is>
      </c>
      <c r="H3269" t="inlineStr">
        <is>
          <t>270주3598</t>
        </is>
      </c>
      <c r="I3269" t="n">
        <v>25000000</v>
      </c>
      <c r="J3269" t="n">
        <v>0.049</v>
      </c>
      <c r="K3269" t="n">
        <v>1.1</v>
      </c>
      <c r="L3269" t="n">
        <v>0.07000000000000001</v>
      </c>
      <c r="M3269" t="n">
        <v>1.03</v>
      </c>
      <c r="P3269" t="inlineStr">
        <is>
          <t>김나윤</t>
        </is>
      </c>
      <c r="Q3269" t="inlineStr">
        <is>
          <t>홈서비스 48개월</t>
        </is>
      </c>
      <c r="AB3269" t="inlineStr">
        <is>
          <t>홈서비스</t>
        </is>
      </c>
      <c r="AC3269" t="n">
        <v>275000</v>
      </c>
      <c r="AD3269" t="n">
        <v>17500</v>
      </c>
      <c r="AE3269" t="n">
        <v>257500</v>
      </c>
      <c r="AF3269" t="n">
        <v>250000</v>
      </c>
      <c r="AG3269" t="n">
        <v>16922.5</v>
      </c>
      <c r="AH3269" t="n">
        <v>233077.5</v>
      </c>
    </row>
    <row r="3270">
      <c r="A3270" t="inlineStr">
        <is>
          <t>4월</t>
        </is>
      </c>
      <c r="B3270" t="inlineStr">
        <is>
          <t>16주차</t>
        </is>
      </c>
      <c r="C3270" t="inlineStr">
        <is>
          <t>EP</t>
        </is>
      </c>
      <c r="D3270" s="28" t="n">
        <v>46127</v>
      </c>
      <c r="E3270" t="inlineStr">
        <is>
          <t>현대EP_fast</t>
        </is>
      </c>
      <c r="F3270" t="inlineStr">
        <is>
          <t>이동인</t>
        </is>
      </c>
      <c r="G3270" t="inlineStr">
        <is>
          <t>010-3252-1186</t>
        </is>
      </c>
      <c r="H3270" t="inlineStr">
        <is>
          <t>331더3952</t>
        </is>
      </c>
      <c r="I3270" t="n">
        <v>8000000</v>
      </c>
      <c r="J3270" t="n">
        <v>0.062</v>
      </c>
      <c r="K3270" t="n">
        <v>1.76</v>
      </c>
      <c r="L3270" t="n">
        <v>0.2</v>
      </c>
      <c r="M3270" t="n">
        <v>1.56</v>
      </c>
      <c r="P3270" t="inlineStr">
        <is>
          <t>정세빈</t>
        </is>
      </c>
      <c r="Q3270" t="inlineStr">
        <is>
          <t>홈서비스 48개월</t>
        </is>
      </c>
      <c r="AB3270" t="inlineStr">
        <is>
          <t>홈서비스</t>
        </is>
      </c>
      <c r="AC3270" t="n">
        <v>140800</v>
      </c>
      <c r="AD3270" t="n">
        <v>16000</v>
      </c>
      <c r="AE3270" t="n">
        <v>124800</v>
      </c>
      <c r="AF3270" t="n">
        <v>128000</v>
      </c>
      <c r="AG3270" t="n">
        <v>15472</v>
      </c>
      <c r="AH3270" t="n">
        <v>112528</v>
      </c>
      <c r="AI3270" t="n">
        <v>0</v>
      </c>
    </row>
    <row r="3271">
      <c r="A3271" t="inlineStr">
        <is>
          <t>4월</t>
        </is>
      </c>
      <c r="B3271" t="inlineStr">
        <is>
          <t>16주차</t>
        </is>
      </c>
      <c r="C3271" t="inlineStr">
        <is>
          <t>IM</t>
        </is>
      </c>
      <c r="D3271" s="28" t="n">
        <v>46127</v>
      </c>
      <c r="E3271" t="inlineStr">
        <is>
          <t>IM캐피탈</t>
        </is>
      </c>
      <c r="F3271" t="inlineStr">
        <is>
          <t>황보근</t>
        </is>
      </c>
      <c r="G3271" t="inlineStr">
        <is>
          <t>010-3301-7850</t>
        </is>
      </c>
      <c r="H3271" t="inlineStr">
        <is>
          <t>154도6528</t>
        </is>
      </c>
      <c r="I3271" t="n">
        <v>27000000</v>
      </c>
      <c r="J3271" t="n">
        <v>0.056</v>
      </c>
      <c r="K3271" t="n">
        <v>1.1</v>
      </c>
      <c r="L3271" t="n">
        <v>0.07000000000000001</v>
      </c>
      <c r="M3271" t="n">
        <v>1.03</v>
      </c>
      <c r="P3271" t="inlineStr">
        <is>
          <t>박현민</t>
        </is>
      </c>
      <c r="Q3271" t="inlineStr">
        <is>
          <t>홈서비스 60개월</t>
        </is>
      </c>
      <c r="AB3271" t="inlineStr">
        <is>
          <t>홈서비스</t>
        </is>
      </c>
      <c r="AC3271" t="n">
        <v>297000</v>
      </c>
      <c r="AD3271" t="n">
        <v>18900</v>
      </c>
      <c r="AE3271" t="n">
        <v>278100</v>
      </c>
      <c r="AF3271" t="n">
        <v>270000</v>
      </c>
      <c r="AG3271" t="n">
        <v>18276.3</v>
      </c>
      <c r="AH3271" t="n">
        <v>251723.7</v>
      </c>
      <c r="AI3271" t="n">
        <v>0</v>
      </c>
    </row>
    <row r="3272">
      <c r="A3272" t="inlineStr">
        <is>
          <t>4월</t>
        </is>
      </c>
      <c r="B3272" t="inlineStr">
        <is>
          <t>16주차</t>
        </is>
      </c>
      <c r="C3272" t="inlineStr">
        <is>
          <t>EP</t>
        </is>
      </c>
      <c r="D3272" s="28" t="n">
        <v>46126</v>
      </c>
      <c r="E3272" t="inlineStr">
        <is>
          <t>현대EP</t>
        </is>
      </c>
      <c r="F3272" t="inlineStr">
        <is>
          <t>노적봉</t>
        </is>
      </c>
      <c r="G3272" t="inlineStr">
        <is>
          <t>010-5301-9220</t>
        </is>
      </c>
      <c r="H3272" t="inlineStr">
        <is>
          <t>48너8329</t>
        </is>
      </c>
      <c r="I3272" t="n">
        <v>23600000</v>
      </c>
      <c r="J3272" t="n">
        <v>0.081</v>
      </c>
      <c r="K3272" t="n">
        <v>1.76</v>
      </c>
      <c r="L3272" t="n">
        <v>0.2</v>
      </c>
      <c r="M3272" t="n">
        <v>1.56</v>
      </c>
      <c r="P3272" t="inlineStr">
        <is>
          <t>박보람</t>
        </is>
      </c>
      <c r="Q3272" t="inlineStr">
        <is>
          <t>홈서비스 60개월</t>
        </is>
      </c>
      <c r="AB3272" t="inlineStr">
        <is>
          <t>홈서비스</t>
        </is>
      </c>
      <c r="AC3272" t="n">
        <v>415360</v>
      </c>
      <c r="AD3272" t="n">
        <v>47200</v>
      </c>
      <c r="AE3272" t="n">
        <v>368160</v>
      </c>
      <c r="AF3272" t="n">
        <v>377600</v>
      </c>
      <c r="AG3272" t="n">
        <v>45642.4</v>
      </c>
      <c r="AH3272" t="n">
        <v>331957.6</v>
      </c>
      <c r="AI3272" t="n">
        <v>0</v>
      </c>
    </row>
    <row r="3273">
      <c r="A3273" t="inlineStr">
        <is>
          <t>4월</t>
        </is>
      </c>
      <c r="B3273" t="inlineStr">
        <is>
          <t>16주차</t>
        </is>
      </c>
      <c r="C3273" t="inlineStr">
        <is>
          <t>EP</t>
        </is>
      </c>
      <c r="D3273" s="28" t="n">
        <v>46127</v>
      </c>
      <c r="E3273" t="inlineStr">
        <is>
          <t>현대EP_fast</t>
        </is>
      </c>
      <c r="F3273" t="inlineStr">
        <is>
          <t>홍유나</t>
        </is>
      </c>
      <c r="G3273" t="inlineStr">
        <is>
          <t>010-9113-2090</t>
        </is>
      </c>
      <c r="H3273" t="inlineStr">
        <is>
          <t>352가5756</t>
        </is>
      </c>
      <c r="I3273" t="n">
        <v>18900000</v>
      </c>
      <c r="J3273" t="n">
        <v>0.1</v>
      </c>
      <c r="K3273" t="n">
        <v>1.76</v>
      </c>
      <c r="L3273" t="n">
        <v>0.2</v>
      </c>
      <c r="M3273" t="n">
        <v>1.56</v>
      </c>
      <c r="P3273" t="inlineStr">
        <is>
          <t>최혁</t>
        </is>
      </c>
      <c r="Q3273" t="inlineStr">
        <is>
          <t>홈서비스60개월/공동명의</t>
        </is>
      </c>
      <c r="AB3273" t="inlineStr">
        <is>
          <t>홈서비스</t>
        </is>
      </c>
      <c r="AC3273" t="n">
        <v>332640</v>
      </c>
      <c r="AD3273" t="n">
        <v>37800</v>
      </c>
      <c r="AE3273" t="n">
        <v>294840</v>
      </c>
      <c r="AF3273" t="n">
        <v>302400</v>
      </c>
      <c r="AG3273" t="n">
        <v>36552.6</v>
      </c>
      <c r="AH3273" t="n">
        <v>265847.4</v>
      </c>
      <c r="AI3273" t="n">
        <v>0</v>
      </c>
    </row>
    <row r="3274">
      <c r="A3274" t="inlineStr">
        <is>
          <t>4월</t>
        </is>
      </c>
      <c r="B3274" t="inlineStr">
        <is>
          <t>16주차</t>
        </is>
      </c>
      <c r="C3274" t="inlineStr">
        <is>
          <t>EP</t>
        </is>
      </c>
      <c r="D3274" s="28" t="n">
        <v>46127</v>
      </c>
      <c r="E3274" t="inlineStr">
        <is>
          <t>BNKEP</t>
        </is>
      </c>
      <c r="F3274" t="inlineStr">
        <is>
          <t>김승현</t>
        </is>
      </c>
      <c r="G3274" t="inlineStr">
        <is>
          <t>010-2723-2368</t>
        </is>
      </c>
      <c r="H3274" t="inlineStr">
        <is>
          <t>238머1788</t>
        </is>
      </c>
      <c r="I3274" t="n">
        <v>41800000</v>
      </c>
      <c r="J3274" t="n">
        <v>0.061</v>
      </c>
      <c r="K3274" t="n">
        <v>1.65</v>
      </c>
      <c r="L3274" t="n">
        <v>0.07000000000000001</v>
      </c>
      <c r="M3274" t="n">
        <v>1.58</v>
      </c>
      <c r="P3274" t="inlineStr">
        <is>
          <t>정세빈</t>
        </is>
      </c>
      <c r="Q3274" t="inlineStr">
        <is>
          <t>홈서비스 60개월</t>
        </is>
      </c>
      <c r="AB3274" t="inlineStr">
        <is>
          <t>홈서비스</t>
        </is>
      </c>
      <c r="AC3274" t="n">
        <v>689700</v>
      </c>
      <c r="AD3274" t="n">
        <v>29260</v>
      </c>
      <c r="AE3274" t="n">
        <v>660440</v>
      </c>
      <c r="AF3274" t="n">
        <v>627000</v>
      </c>
      <c r="AG3274" t="n">
        <v>28294.42</v>
      </c>
      <c r="AH3274" t="n">
        <v>598705.58</v>
      </c>
      <c r="AI3274" t="n">
        <v>0</v>
      </c>
    </row>
    <row r="3275">
      <c r="A3275" t="inlineStr">
        <is>
          <t>4월</t>
        </is>
      </c>
      <c r="B3275" t="inlineStr">
        <is>
          <t>16주차</t>
        </is>
      </c>
      <c r="C3275" t="inlineStr">
        <is>
          <t>EP</t>
        </is>
      </c>
      <c r="D3275" s="28" t="n">
        <v>46127</v>
      </c>
      <c r="E3275" t="inlineStr">
        <is>
          <t>현대EP_fast</t>
        </is>
      </c>
      <c r="F3275" t="inlineStr">
        <is>
          <t>이다희</t>
        </is>
      </c>
      <c r="G3275" t="inlineStr">
        <is>
          <t>010-7741-8369</t>
        </is>
      </c>
      <c r="H3275" t="inlineStr">
        <is>
          <t>51러7286</t>
        </is>
      </c>
      <c r="I3275" t="n">
        <v>10000000</v>
      </c>
      <c r="J3275" t="n">
        <v>0.079</v>
      </c>
      <c r="K3275" t="n">
        <v>1.76</v>
      </c>
      <c r="L3275" t="n">
        <v>0.2</v>
      </c>
      <c r="M3275" t="n">
        <v>1.56</v>
      </c>
      <c r="P3275" t="inlineStr">
        <is>
          <t>황채이</t>
        </is>
      </c>
      <c r="Q3275" t="inlineStr">
        <is>
          <t>홈서비스 60개월</t>
        </is>
      </c>
      <c r="AB3275" t="inlineStr">
        <is>
          <t>홈서비스</t>
        </is>
      </c>
      <c r="AC3275" t="n">
        <v>176000</v>
      </c>
      <c r="AD3275" t="n">
        <v>20000</v>
      </c>
      <c r="AE3275" t="n">
        <v>156000</v>
      </c>
      <c r="AF3275" t="n">
        <v>160000</v>
      </c>
      <c r="AG3275" t="n">
        <v>19340</v>
      </c>
      <c r="AH3275" t="n">
        <v>140660</v>
      </c>
      <c r="AI3275" t="n">
        <v>0</v>
      </c>
    </row>
    <row r="3276">
      <c r="A3276" t="inlineStr">
        <is>
          <t>4월</t>
        </is>
      </c>
      <c r="B3276" t="inlineStr">
        <is>
          <t>16주차</t>
        </is>
      </c>
      <c r="C3276" t="inlineStr">
        <is>
          <t>EP</t>
        </is>
      </c>
      <c r="D3276" s="28" t="n">
        <v>46127</v>
      </c>
      <c r="E3276" t="inlineStr">
        <is>
          <t>현대EP_fast</t>
        </is>
      </c>
      <c r="F3276" t="inlineStr">
        <is>
          <t>박세진</t>
        </is>
      </c>
      <c r="G3276" t="inlineStr">
        <is>
          <t>010-8541-3797</t>
        </is>
      </c>
      <c r="H3276" t="inlineStr">
        <is>
          <t>180무7957</t>
        </is>
      </c>
      <c r="I3276" t="n">
        <v>17900000</v>
      </c>
      <c r="J3276" t="n">
        <v>0.08500000000000001</v>
      </c>
      <c r="K3276" t="n">
        <v>1.76</v>
      </c>
      <c r="L3276" t="n">
        <v>0.2</v>
      </c>
      <c r="M3276" t="n">
        <v>1.56</v>
      </c>
      <c r="P3276" t="inlineStr">
        <is>
          <t>김나윤</t>
        </is>
      </c>
      <c r="Q3276" t="inlineStr">
        <is>
          <t>홈서비스 60개월</t>
        </is>
      </c>
      <c r="AB3276" t="inlineStr">
        <is>
          <t>홈서비스</t>
        </is>
      </c>
      <c r="AC3276" t="n">
        <v>315040</v>
      </c>
      <c r="AD3276" t="n">
        <v>35800</v>
      </c>
      <c r="AE3276" t="n">
        <v>279240</v>
      </c>
      <c r="AF3276" t="n">
        <v>286400</v>
      </c>
      <c r="AG3276" t="n">
        <v>34618.6</v>
      </c>
      <c r="AH3276" t="n">
        <v>251781.4</v>
      </c>
      <c r="AI3276" t="n">
        <v>0</v>
      </c>
    </row>
    <row r="3277">
      <c r="A3277" t="inlineStr">
        <is>
          <t>4월</t>
        </is>
      </c>
      <c r="B3277" t="inlineStr">
        <is>
          <t>16주차</t>
        </is>
      </c>
      <c r="C3277" t="inlineStr">
        <is>
          <t>EP</t>
        </is>
      </c>
      <c r="D3277" s="28" t="n">
        <v>46127</v>
      </c>
      <c r="E3277" t="inlineStr">
        <is>
          <t>제이비EP</t>
        </is>
      </c>
      <c r="F3277" t="inlineStr">
        <is>
          <t>김주혁</t>
        </is>
      </c>
      <c r="G3277" t="inlineStr">
        <is>
          <t>010-2817-7865</t>
        </is>
      </c>
      <c r="H3277" t="inlineStr">
        <is>
          <t>90저8423</t>
        </is>
      </c>
      <c r="I3277" t="n">
        <v>12700000</v>
      </c>
      <c r="J3277" t="n">
        <v>0.079</v>
      </c>
      <c r="K3277" t="n">
        <v>1.65</v>
      </c>
      <c r="L3277" t="n">
        <v>0.3</v>
      </c>
      <c r="M3277" t="n">
        <v>1.35</v>
      </c>
      <c r="P3277" t="inlineStr">
        <is>
          <t>최혁</t>
        </is>
      </c>
      <c r="AB3277" t="inlineStr">
        <is>
          <t>엔카</t>
        </is>
      </c>
      <c r="AC3277" t="n">
        <v>209550</v>
      </c>
      <c r="AD3277" t="n">
        <v>38100</v>
      </c>
      <c r="AE3277" t="n">
        <v>171450</v>
      </c>
      <c r="AF3277" t="n">
        <v>190500</v>
      </c>
      <c r="AG3277" t="n">
        <v>36842.7</v>
      </c>
      <c r="AH3277" t="n">
        <v>153657.3</v>
      </c>
      <c r="AI3277" t="n">
        <v>0</v>
      </c>
    </row>
    <row r="3278">
      <c r="A3278" t="inlineStr">
        <is>
          <t>4월</t>
        </is>
      </c>
      <c r="B3278" t="inlineStr">
        <is>
          <t>16주차</t>
        </is>
      </c>
      <c r="C3278" t="inlineStr">
        <is>
          <t>EP</t>
        </is>
      </c>
      <c r="D3278" s="28" t="n">
        <v>46126</v>
      </c>
      <c r="E3278" t="inlineStr">
        <is>
          <t>제이비EP</t>
        </is>
      </c>
      <c r="F3278" t="inlineStr">
        <is>
          <t>김영경</t>
        </is>
      </c>
      <c r="G3278" t="inlineStr">
        <is>
          <t>010-6315-3325</t>
        </is>
      </c>
      <c r="H3278" t="inlineStr">
        <is>
          <t>293고6679</t>
        </is>
      </c>
      <c r="I3278" t="n">
        <v>37200000</v>
      </c>
      <c r="J3278" t="n">
        <v>0.11</v>
      </c>
      <c r="K3278" t="n">
        <v>1.65</v>
      </c>
      <c r="L3278" t="n">
        <v>0.3</v>
      </c>
      <c r="M3278" t="n">
        <v>1.35</v>
      </c>
      <c r="P3278" t="inlineStr">
        <is>
          <t>장진경</t>
        </is>
      </c>
      <c r="Q3278" t="inlineStr">
        <is>
          <t>부대비용 추가진행 / 현대 11.8%</t>
        </is>
      </c>
      <c r="AB3278" t="inlineStr">
        <is>
          <t>엔카</t>
        </is>
      </c>
      <c r="AC3278" t="n">
        <v>613800</v>
      </c>
      <c r="AD3278" t="n">
        <v>111600</v>
      </c>
      <c r="AE3278" t="n">
        <v>502200</v>
      </c>
      <c r="AF3278" t="n">
        <v>558000</v>
      </c>
      <c r="AG3278" t="n">
        <v>107917.2</v>
      </c>
      <c r="AH3278" t="n">
        <v>450082.8</v>
      </c>
      <c r="AI3278" t="n">
        <v>0</v>
      </c>
    </row>
    <row r="3279">
      <c r="A3279" t="inlineStr">
        <is>
          <t>4월</t>
        </is>
      </c>
      <c r="B3279" t="inlineStr">
        <is>
          <t>16주차</t>
        </is>
      </c>
      <c r="C3279" t="inlineStr">
        <is>
          <t>IM</t>
        </is>
      </c>
      <c r="D3279" s="28" t="n">
        <v>46127</v>
      </c>
      <c r="E3279" t="inlineStr">
        <is>
          <t>IM캐피탈</t>
        </is>
      </c>
      <c r="F3279" t="inlineStr">
        <is>
          <t>노영운</t>
        </is>
      </c>
      <c r="G3279" t="inlineStr">
        <is>
          <t>010-5024-7984</t>
        </is>
      </c>
      <c r="H3279" t="inlineStr">
        <is>
          <t>301모9595</t>
        </is>
      </c>
      <c r="I3279" t="n">
        <v>70200000</v>
      </c>
      <c r="J3279" t="n">
        <v>0.049</v>
      </c>
      <c r="K3279" t="n">
        <v>1.1</v>
      </c>
      <c r="L3279" t="n">
        <v>0.07000000000000001</v>
      </c>
      <c r="M3279" t="n">
        <v>1.03</v>
      </c>
      <c r="P3279" t="inlineStr">
        <is>
          <t>김수연</t>
        </is>
      </c>
      <c r="Q3279" t="inlineStr">
        <is>
          <t>홈서비스 72개월 현대 6.1</t>
        </is>
      </c>
      <c r="AB3279" t="inlineStr">
        <is>
          <t>홈서비스</t>
        </is>
      </c>
      <c r="AC3279" t="n">
        <v>772200</v>
      </c>
      <c r="AD3279" t="n">
        <v>49140</v>
      </c>
      <c r="AE3279" t="n">
        <v>723060</v>
      </c>
      <c r="AF3279" t="n">
        <v>702000</v>
      </c>
      <c r="AG3279" t="n">
        <v>47518.38</v>
      </c>
      <c r="AH3279" t="n">
        <v>654481.62</v>
      </c>
      <c r="AI3279" t="n">
        <v>0</v>
      </c>
    </row>
    <row r="3280">
      <c r="A3280" t="inlineStr">
        <is>
          <t>4월</t>
        </is>
      </c>
      <c r="B3280" t="inlineStr">
        <is>
          <t>16주차</t>
        </is>
      </c>
      <c r="C3280" t="inlineStr">
        <is>
          <t>EP</t>
        </is>
      </c>
      <c r="D3280" s="28" t="n">
        <v>46125</v>
      </c>
      <c r="E3280" t="inlineStr">
        <is>
          <t>현대EP_fast</t>
        </is>
      </c>
      <c r="F3280" t="inlineStr">
        <is>
          <t>허승</t>
        </is>
      </c>
      <c r="G3280" t="inlineStr">
        <is>
          <t>010-7585-1278</t>
        </is>
      </c>
      <c r="H3280" t="inlineStr">
        <is>
          <t>165나1727</t>
        </is>
      </c>
      <c r="I3280" t="n">
        <v>7400000</v>
      </c>
      <c r="J3280" t="n">
        <v>0.07099999999999999</v>
      </c>
      <c r="K3280" t="n">
        <v>1.76</v>
      </c>
      <c r="L3280" t="n">
        <v>0.2</v>
      </c>
      <c r="M3280" t="n">
        <v>1.56</v>
      </c>
      <c r="P3280" t="inlineStr">
        <is>
          <t>임대경</t>
        </is>
      </c>
      <c r="Q3280" t="inlineStr">
        <is>
          <t>홈서비스 60개월</t>
        </is>
      </c>
      <c r="AB3280" t="inlineStr">
        <is>
          <t>홈서비스</t>
        </is>
      </c>
      <c r="AC3280" t="n">
        <v>130240</v>
      </c>
      <c r="AD3280" t="n">
        <v>14800</v>
      </c>
      <c r="AE3280" t="n">
        <v>115440</v>
      </c>
      <c r="AF3280" t="n">
        <v>118400</v>
      </c>
      <c r="AG3280" t="n">
        <v>14311.6</v>
      </c>
      <c r="AH3280" t="n">
        <v>104088.4</v>
      </c>
      <c r="AI3280" t="n">
        <v>0</v>
      </c>
    </row>
    <row r="3281">
      <c r="A3281" t="inlineStr">
        <is>
          <t>4월</t>
        </is>
      </c>
      <c r="B3281" t="inlineStr">
        <is>
          <t>16주차</t>
        </is>
      </c>
      <c r="C3281" t="inlineStr">
        <is>
          <t>EP</t>
        </is>
      </c>
      <c r="D3281" s="28" t="n">
        <v>46127</v>
      </c>
      <c r="E3281" t="inlineStr">
        <is>
          <t>현대EP_fast</t>
        </is>
      </c>
      <c r="F3281" t="inlineStr">
        <is>
          <t>유호상</t>
        </is>
      </c>
      <c r="G3281" t="inlineStr">
        <is>
          <t>010-2907-7282</t>
        </is>
      </c>
      <c r="H3281" t="inlineStr">
        <is>
          <t>150가1889</t>
        </is>
      </c>
      <c r="I3281" t="n">
        <v>8400000</v>
      </c>
      <c r="J3281" t="n">
        <v>0.1</v>
      </c>
      <c r="K3281" t="n">
        <v>1.76</v>
      </c>
      <c r="L3281" t="n">
        <v>0.2</v>
      </c>
      <c r="M3281" t="n">
        <v>1.56</v>
      </c>
      <c r="P3281" t="inlineStr">
        <is>
          <t>정세빈</t>
        </is>
      </c>
      <c r="Q3281" t="inlineStr">
        <is>
          <t>홈서비스 36개월</t>
        </is>
      </c>
      <c r="AB3281" t="inlineStr">
        <is>
          <t>홈서비스</t>
        </is>
      </c>
      <c r="AC3281" t="n">
        <v>147840</v>
      </c>
      <c r="AD3281" t="n">
        <v>16800</v>
      </c>
      <c r="AE3281" t="n">
        <v>131040</v>
      </c>
      <c r="AF3281" t="n">
        <v>134400</v>
      </c>
      <c r="AG3281" t="n">
        <v>16245.6</v>
      </c>
      <c r="AH3281" t="n">
        <v>118154.4</v>
      </c>
      <c r="AI3281" t="n">
        <v>0</v>
      </c>
    </row>
    <row r="3282">
      <c r="A3282" t="inlineStr">
        <is>
          <t>4월</t>
        </is>
      </c>
      <c r="B3282" t="inlineStr">
        <is>
          <t>16주차</t>
        </is>
      </c>
      <c r="C3282" t="inlineStr">
        <is>
          <t>IM</t>
        </is>
      </c>
      <c r="D3282" s="28" t="n">
        <v>46127</v>
      </c>
      <c r="E3282" t="inlineStr">
        <is>
          <t>IM캐피탈</t>
        </is>
      </c>
      <c r="F3282" t="inlineStr">
        <is>
          <t>김형주</t>
        </is>
      </c>
      <c r="G3282" t="inlineStr">
        <is>
          <t>010-4045-9789</t>
        </is>
      </c>
      <c r="H3282" t="inlineStr">
        <is>
          <t>155소8812</t>
        </is>
      </c>
      <c r="I3282" t="n">
        <v>5800000</v>
      </c>
      <c r="J3282" t="n">
        <v>0.082</v>
      </c>
      <c r="K3282" t="n">
        <v>1.1</v>
      </c>
      <c r="L3282" t="n">
        <v>0.07000000000000001</v>
      </c>
      <c r="M3282" t="n">
        <v>1.03</v>
      </c>
      <c r="P3282" t="inlineStr">
        <is>
          <t>황채이</t>
        </is>
      </c>
      <c r="Q3282" t="inlineStr">
        <is>
          <t>홈서비스 36개월 / 오토론 진행</t>
        </is>
      </c>
      <c r="AB3282" t="inlineStr">
        <is>
          <t>홈서비스</t>
        </is>
      </c>
      <c r="AC3282" t="n">
        <v>63800</v>
      </c>
      <c r="AD3282" t="n">
        <v>4060</v>
      </c>
      <c r="AE3282" t="n">
        <v>59740</v>
      </c>
      <c r="AF3282" t="n">
        <v>58000</v>
      </c>
      <c r="AG3282" t="n">
        <v>3926.02</v>
      </c>
      <c r="AH3282" t="n">
        <v>54073.98</v>
      </c>
      <c r="AI3282" t="n">
        <v>0</v>
      </c>
    </row>
    <row r="3283">
      <c r="A3283" t="inlineStr">
        <is>
          <t>4월</t>
        </is>
      </c>
      <c r="B3283" t="inlineStr">
        <is>
          <t>16주차</t>
        </is>
      </c>
      <c r="C3283" t="inlineStr">
        <is>
          <t>IM</t>
        </is>
      </c>
      <c r="D3283" s="28" t="n">
        <v>46127</v>
      </c>
      <c r="E3283" t="inlineStr">
        <is>
          <t>IM캐피탈</t>
        </is>
      </c>
      <c r="F3283" t="inlineStr">
        <is>
          <t>김종구</t>
        </is>
      </c>
      <c r="G3283" t="inlineStr">
        <is>
          <t>010-4606-0608</t>
        </is>
      </c>
      <c r="H3283" t="inlineStr">
        <is>
          <t>139조9529</t>
        </is>
      </c>
      <c r="I3283" t="n">
        <v>10000000</v>
      </c>
      <c r="J3283" t="n">
        <v>0.039</v>
      </c>
      <c r="K3283" t="n">
        <v>1.1</v>
      </c>
      <c r="L3283" t="n">
        <v>0.07000000000000001</v>
      </c>
      <c r="M3283" t="n">
        <v>1.03</v>
      </c>
      <c r="P3283" t="inlineStr">
        <is>
          <t>최형주</t>
        </is>
      </c>
      <c r="Q3283" t="inlineStr">
        <is>
          <t>홈서비스 48개월 / 현대 6.2</t>
        </is>
      </c>
      <c r="AB3283" t="inlineStr">
        <is>
          <t>홈서비스</t>
        </is>
      </c>
      <c r="AC3283" t="n">
        <v>110000</v>
      </c>
      <c r="AD3283" t="n">
        <v>7000</v>
      </c>
      <c r="AE3283" t="n">
        <v>103000</v>
      </c>
      <c r="AF3283" t="n">
        <v>100000</v>
      </c>
      <c r="AG3283" t="n">
        <v>6769</v>
      </c>
      <c r="AH3283" t="n">
        <v>93231</v>
      </c>
      <c r="AI3283" t="n">
        <v>0</v>
      </c>
    </row>
    <row r="3284">
      <c r="A3284" t="inlineStr">
        <is>
          <t>4월</t>
        </is>
      </c>
      <c r="B3284" t="inlineStr">
        <is>
          <t>16주차</t>
        </is>
      </c>
      <c r="C3284" t="inlineStr">
        <is>
          <t>IM</t>
        </is>
      </c>
      <c r="D3284" s="28" t="n">
        <v>46127</v>
      </c>
      <c r="E3284" t="inlineStr">
        <is>
          <t>IM캐피탈</t>
        </is>
      </c>
      <c r="F3284" t="inlineStr">
        <is>
          <t>김성영</t>
        </is>
      </c>
      <c r="G3284" t="inlineStr">
        <is>
          <t>010-2684-7718</t>
        </is>
      </c>
      <c r="H3284" t="inlineStr">
        <is>
          <t>309구7018</t>
        </is>
      </c>
      <c r="I3284" t="n">
        <v>34000000</v>
      </c>
      <c r="J3284" t="n">
        <v>0.056</v>
      </c>
      <c r="K3284" t="n">
        <v>1.1</v>
      </c>
      <c r="L3284" t="n">
        <v>0.07000000000000001</v>
      </c>
      <c r="M3284" t="n">
        <v>1.03</v>
      </c>
      <c r="P3284" t="inlineStr">
        <is>
          <t>정세빈</t>
        </is>
      </c>
      <c r="Q3284" t="inlineStr">
        <is>
          <t>홈서비스 72개월</t>
        </is>
      </c>
      <c r="AB3284" t="inlineStr">
        <is>
          <t>홈서비스</t>
        </is>
      </c>
      <c r="AC3284" t="n">
        <v>374000</v>
      </c>
      <c r="AD3284" t="n">
        <v>23800</v>
      </c>
      <c r="AE3284" t="n">
        <v>350200</v>
      </c>
      <c r="AF3284" t="n">
        <v>340000</v>
      </c>
      <c r="AG3284" t="n">
        <v>23014.6</v>
      </c>
      <c r="AH3284" t="n">
        <v>316985.4</v>
      </c>
      <c r="AI3284" t="n">
        <v>0</v>
      </c>
    </row>
    <row r="3285">
      <c r="A3285" t="inlineStr">
        <is>
          <t>4월</t>
        </is>
      </c>
      <c r="B3285" t="inlineStr">
        <is>
          <t>16주차</t>
        </is>
      </c>
      <c r="C3285" t="inlineStr">
        <is>
          <t>EP</t>
        </is>
      </c>
      <c r="D3285" s="28" t="n">
        <v>46127</v>
      </c>
      <c r="E3285" t="inlineStr">
        <is>
          <t>BNKEP</t>
        </is>
      </c>
      <c r="F3285" t="inlineStr">
        <is>
          <t>이공주</t>
        </is>
      </c>
      <c r="G3285" t="inlineStr">
        <is>
          <t>010-4879-5081</t>
        </is>
      </c>
      <c r="H3285" t="inlineStr">
        <is>
          <t>112두3018</t>
        </is>
      </c>
      <c r="I3285" t="n">
        <v>11000000</v>
      </c>
      <c r="J3285" t="n">
        <v>0.077</v>
      </c>
      <c r="K3285" t="n">
        <v>1.65</v>
      </c>
      <c r="L3285" t="n">
        <v>0.07000000000000001</v>
      </c>
      <c r="M3285" t="n">
        <v>1.58</v>
      </c>
      <c r="P3285" t="inlineStr">
        <is>
          <t>정광호</t>
        </is>
      </c>
      <c r="Q3285" t="inlineStr">
        <is>
          <t>홈서비스 60개월</t>
        </is>
      </c>
      <c r="AB3285" t="inlineStr">
        <is>
          <t>홈서비스</t>
        </is>
      </c>
      <c r="AC3285" t="n">
        <v>181500</v>
      </c>
      <c r="AD3285" t="n">
        <v>7700</v>
      </c>
      <c r="AE3285" t="n">
        <v>173800</v>
      </c>
      <c r="AF3285" t="n">
        <v>165000</v>
      </c>
      <c r="AG3285" t="n">
        <v>7445.9</v>
      </c>
      <c r="AH3285" t="n">
        <v>157554.1</v>
      </c>
      <c r="AI3285" t="n">
        <v>0</v>
      </c>
    </row>
    <row r="3286">
      <c r="A3286" t="inlineStr">
        <is>
          <t>4월</t>
        </is>
      </c>
      <c r="B3286" t="inlineStr">
        <is>
          <t>16주차</t>
        </is>
      </c>
      <c r="C3286" t="inlineStr">
        <is>
          <t>EP</t>
        </is>
      </c>
      <c r="D3286" s="28" t="n">
        <v>46127</v>
      </c>
      <c r="E3286" t="inlineStr">
        <is>
          <t>현대EP</t>
        </is>
      </c>
      <c r="F3286" t="inlineStr">
        <is>
          <t>김건희</t>
        </is>
      </c>
      <c r="G3286" t="inlineStr">
        <is>
          <t>010-8176-0870</t>
        </is>
      </c>
      <c r="H3286" t="inlineStr">
        <is>
          <t>386무7871</t>
        </is>
      </c>
      <c r="I3286" t="n">
        <v>18800000</v>
      </c>
      <c r="J3286" t="n">
        <v>0.08500000000000001</v>
      </c>
      <c r="K3286" t="n">
        <v>1.76</v>
      </c>
      <c r="L3286" t="n">
        <v>0.2</v>
      </c>
      <c r="M3286" t="n">
        <v>1.56</v>
      </c>
      <c r="P3286" t="inlineStr">
        <is>
          <t>황채이</t>
        </is>
      </c>
      <c r="AB3286" t="inlineStr">
        <is>
          <t>홈서비스</t>
        </is>
      </c>
      <c r="AC3286" t="n">
        <v>330880</v>
      </c>
      <c r="AD3286" t="n">
        <v>37600</v>
      </c>
      <c r="AE3286" t="n">
        <v>293280</v>
      </c>
      <c r="AF3286" t="n">
        <v>300800</v>
      </c>
      <c r="AG3286" t="n">
        <v>36359.2</v>
      </c>
      <c r="AH3286" t="n">
        <v>264440.8</v>
      </c>
      <c r="AI3286" t="n">
        <v>0</v>
      </c>
    </row>
    <row r="3287">
      <c r="A3287" t="inlineStr">
        <is>
          <t>4월</t>
        </is>
      </c>
      <c r="B3287" t="inlineStr">
        <is>
          <t>16주차</t>
        </is>
      </c>
      <c r="C3287" t="inlineStr">
        <is>
          <t>EP</t>
        </is>
      </c>
      <c r="D3287" s="28" t="n">
        <v>46127</v>
      </c>
      <c r="E3287" t="inlineStr">
        <is>
          <t>현대EP</t>
        </is>
      </c>
      <c r="F3287" t="inlineStr">
        <is>
          <t>장성일</t>
        </is>
      </c>
      <c r="G3287" t="inlineStr">
        <is>
          <t>010-2896-0167</t>
        </is>
      </c>
      <c r="H3287" t="inlineStr">
        <is>
          <t>817루9141</t>
        </is>
      </c>
      <c r="I3287" t="n">
        <v>19100000</v>
      </c>
      <c r="J3287" t="n">
        <v>0.076</v>
      </c>
      <c r="K3287" t="n">
        <v>1.76</v>
      </c>
      <c r="L3287" t="n">
        <v>0.2</v>
      </c>
      <c r="M3287" t="n">
        <v>1.56</v>
      </c>
      <c r="P3287" t="inlineStr">
        <is>
          <t>황채이</t>
        </is>
      </c>
      <c r="AB3287" t="inlineStr">
        <is>
          <t>홈서비스</t>
        </is>
      </c>
      <c r="AC3287" t="n">
        <v>336160</v>
      </c>
      <c r="AD3287" t="n">
        <v>38200</v>
      </c>
      <c r="AE3287" t="n">
        <v>297960</v>
      </c>
      <c r="AF3287" t="n">
        <v>305600</v>
      </c>
      <c r="AG3287" t="n">
        <v>36939.4</v>
      </c>
      <c r="AH3287" t="n">
        <v>268660.6</v>
      </c>
    </row>
    <row r="3288">
      <c r="A3288" t="inlineStr">
        <is>
          <t>4월</t>
        </is>
      </c>
      <c r="B3288" t="inlineStr">
        <is>
          <t>16주차</t>
        </is>
      </c>
      <c r="C3288" t="inlineStr">
        <is>
          <t>EP</t>
        </is>
      </c>
      <c r="D3288" s="28" t="n">
        <v>46127</v>
      </c>
      <c r="E3288" t="inlineStr">
        <is>
          <t>현대EP_fast</t>
        </is>
      </c>
      <c r="F3288" t="inlineStr">
        <is>
          <t>김윤근</t>
        </is>
      </c>
      <c r="G3288" t="inlineStr">
        <is>
          <t>010-9254-6802</t>
        </is>
      </c>
      <c r="H3288" t="inlineStr">
        <is>
          <t>01구1735</t>
        </is>
      </c>
      <c r="I3288" t="n">
        <v>19900000</v>
      </c>
      <c r="J3288" t="n">
        <v>0.118</v>
      </c>
      <c r="K3288" t="n">
        <v>1.76</v>
      </c>
      <c r="L3288" t="n">
        <v>0.6</v>
      </c>
      <c r="M3288" t="n">
        <v>1.16</v>
      </c>
      <c r="P3288" t="inlineStr">
        <is>
          <t>박소현</t>
        </is>
      </c>
      <c r="AB3288" t="inlineStr">
        <is>
          <t>엔카</t>
        </is>
      </c>
      <c r="AC3288" t="n">
        <v>350240</v>
      </c>
      <c r="AD3288" t="n">
        <v>119400</v>
      </c>
      <c r="AE3288" t="n">
        <v>230840</v>
      </c>
      <c r="AF3288" t="n">
        <v>318400</v>
      </c>
      <c r="AG3288" t="n">
        <v>115459.8</v>
      </c>
      <c r="AH3288" t="n">
        <v>202940.2</v>
      </c>
      <c r="AI3288" t="n">
        <v>0</v>
      </c>
    </row>
    <row r="3289">
      <c r="A3289" t="inlineStr">
        <is>
          <t>4월</t>
        </is>
      </c>
      <c r="B3289" t="inlineStr">
        <is>
          <t>16주차</t>
        </is>
      </c>
      <c r="C3289" t="inlineStr">
        <is>
          <t>EP</t>
        </is>
      </c>
      <c r="D3289" s="28" t="n">
        <v>46127</v>
      </c>
      <c r="E3289" t="inlineStr">
        <is>
          <t>BNKEP</t>
        </is>
      </c>
      <c r="F3289" t="inlineStr">
        <is>
          <t>노호찬</t>
        </is>
      </c>
      <c r="G3289" t="inlineStr">
        <is>
          <t>010-4345-2501</t>
        </is>
      </c>
      <c r="H3289" t="inlineStr">
        <is>
          <t>143조3581</t>
        </is>
      </c>
      <c r="I3289" t="n">
        <v>25900000</v>
      </c>
      <c r="J3289" t="n">
        <v>0.061</v>
      </c>
      <c r="K3289" t="n">
        <v>1.65</v>
      </c>
      <c r="L3289" t="n">
        <v>0.07000000000000001</v>
      </c>
      <c r="M3289" t="n">
        <v>1.58</v>
      </c>
      <c r="P3289" t="inlineStr">
        <is>
          <t>최형주</t>
        </is>
      </c>
      <c r="Q3289" t="inlineStr">
        <is>
          <t>홈서비스 60개월 / 현대 6.2%</t>
        </is>
      </c>
      <c r="AB3289" t="inlineStr">
        <is>
          <t>홈서비스</t>
        </is>
      </c>
      <c r="AC3289" t="n">
        <v>427350</v>
      </c>
      <c r="AD3289" t="n">
        <v>18130</v>
      </c>
      <c r="AE3289" t="n">
        <v>409220</v>
      </c>
      <c r="AF3289" t="n">
        <v>388500</v>
      </c>
      <c r="AG3289" t="n">
        <v>17531.71</v>
      </c>
      <c r="AH3289" t="n">
        <v>370968.29</v>
      </c>
      <c r="AI3289" t="n">
        <v>0</v>
      </c>
    </row>
    <row r="3290">
      <c r="A3290" t="inlineStr">
        <is>
          <t>4월</t>
        </is>
      </c>
      <c r="B3290" t="inlineStr">
        <is>
          <t>16주차</t>
        </is>
      </c>
      <c r="C3290" t="inlineStr">
        <is>
          <t>EP</t>
        </is>
      </c>
      <c r="D3290" s="28" t="n">
        <v>46127</v>
      </c>
      <c r="E3290" t="inlineStr">
        <is>
          <t>현대EP</t>
        </is>
      </c>
      <c r="F3290" t="inlineStr">
        <is>
          <t>김원준</t>
        </is>
      </c>
      <c r="G3290" t="inlineStr">
        <is>
          <t>010-9794-9937</t>
        </is>
      </c>
      <c r="H3290" t="inlineStr">
        <is>
          <t>340루7494</t>
        </is>
      </c>
      <c r="I3290" t="n">
        <v>11600000</v>
      </c>
      <c r="J3290" t="n">
        <v>0.07099999999999999</v>
      </c>
      <c r="K3290" t="n">
        <v>1.76</v>
      </c>
      <c r="L3290" t="n">
        <v>0.2</v>
      </c>
      <c r="M3290" t="n">
        <v>1.56</v>
      </c>
      <c r="P3290" t="inlineStr">
        <is>
          <t>정세빈</t>
        </is>
      </c>
      <c r="AB3290" t="inlineStr">
        <is>
          <t>홈서비스</t>
        </is>
      </c>
      <c r="AC3290" t="n">
        <v>204160</v>
      </c>
      <c r="AD3290" t="n">
        <v>23200</v>
      </c>
      <c r="AE3290" t="n">
        <v>180960</v>
      </c>
      <c r="AF3290" t="n">
        <v>185600</v>
      </c>
      <c r="AG3290" t="n">
        <v>22434.4</v>
      </c>
      <c r="AH3290" t="n">
        <v>163165.6</v>
      </c>
      <c r="AI3290" t="n">
        <v>0</v>
      </c>
    </row>
    <row r="3291">
      <c r="A3291" t="inlineStr">
        <is>
          <t>4월</t>
        </is>
      </c>
      <c r="B3291" t="inlineStr">
        <is>
          <t>16주차</t>
        </is>
      </c>
      <c r="C3291" t="inlineStr">
        <is>
          <t>EP</t>
        </is>
      </c>
      <c r="D3291" s="28" t="n">
        <v>46127</v>
      </c>
      <c r="E3291" t="inlineStr">
        <is>
          <t>제이비EP</t>
        </is>
      </c>
      <c r="F3291" t="inlineStr">
        <is>
          <t>염다진</t>
        </is>
      </c>
      <c r="G3291" t="inlineStr">
        <is>
          <t>010-3353-7753</t>
        </is>
      </c>
      <c r="H3291" t="inlineStr">
        <is>
          <t>02두2102</t>
        </is>
      </c>
      <c r="I3291" t="n">
        <v>20800000</v>
      </c>
      <c r="J3291" t="n">
        <v>0.08500000000000001</v>
      </c>
      <c r="K3291" t="n">
        <v>1.65</v>
      </c>
      <c r="L3291" t="n">
        <v>0.3</v>
      </c>
      <c r="M3291" t="n">
        <v>1.35</v>
      </c>
      <c r="P3291" t="inlineStr">
        <is>
          <t>박보람</t>
        </is>
      </c>
      <c r="Q3291" t="inlineStr">
        <is>
          <t>현대캐피탈 15.4% / 부대비용 추가진행</t>
        </is>
      </c>
      <c r="AB3291" t="inlineStr">
        <is>
          <t>엔카</t>
        </is>
      </c>
      <c r="AC3291" t="n">
        <v>343200</v>
      </c>
      <c r="AD3291" t="n">
        <v>62400</v>
      </c>
      <c r="AE3291" t="n">
        <v>280800</v>
      </c>
      <c r="AF3291" t="n">
        <v>312000</v>
      </c>
      <c r="AG3291" t="n">
        <v>60340.8</v>
      </c>
      <c r="AH3291" t="n">
        <v>251659.2</v>
      </c>
      <c r="AI3291" t="n">
        <v>0</v>
      </c>
    </row>
    <row r="3292">
      <c r="A3292" t="inlineStr">
        <is>
          <t>4월</t>
        </is>
      </c>
      <c r="B3292" t="inlineStr">
        <is>
          <t>16주차</t>
        </is>
      </c>
      <c r="C3292" t="inlineStr">
        <is>
          <t>IM</t>
        </is>
      </c>
      <c r="D3292" s="28" t="n">
        <v>46127</v>
      </c>
      <c r="E3292" t="inlineStr">
        <is>
          <t>IM캐피탈</t>
        </is>
      </c>
      <c r="F3292" t="inlineStr">
        <is>
          <t>김지웅</t>
        </is>
      </c>
      <c r="G3292" t="inlineStr">
        <is>
          <t>010-7528-7430</t>
        </is>
      </c>
      <c r="H3292" t="inlineStr">
        <is>
          <t>133조4584</t>
        </is>
      </c>
      <c r="I3292" t="n">
        <v>18000000</v>
      </c>
      <c r="J3292" t="n">
        <v>0.056</v>
      </c>
      <c r="K3292" t="n">
        <v>1.1</v>
      </c>
      <c r="L3292" t="n">
        <v>0.3</v>
      </c>
      <c r="M3292" t="n">
        <v>0.8</v>
      </c>
      <c r="P3292" t="inlineStr">
        <is>
          <t>박보람</t>
        </is>
      </c>
      <c r="Q3292" t="inlineStr">
        <is>
          <t>현대캐피탈 7.5% / 부대비용 추가진행</t>
        </is>
      </c>
      <c r="AB3292" t="inlineStr">
        <is>
          <t>엔카</t>
        </is>
      </c>
      <c r="AC3292" t="n">
        <v>198000</v>
      </c>
      <c r="AD3292" t="n">
        <v>54000</v>
      </c>
      <c r="AE3292" t="n">
        <v>144000</v>
      </c>
      <c r="AF3292" t="n">
        <v>180000</v>
      </c>
      <c r="AG3292" t="n">
        <v>52218</v>
      </c>
      <c r="AH3292" t="n">
        <v>127782</v>
      </c>
      <c r="AI3292" t="n">
        <v>0</v>
      </c>
    </row>
    <row r="3293">
      <c r="A3293" t="inlineStr">
        <is>
          <t>4월</t>
        </is>
      </c>
      <c r="B3293" t="inlineStr">
        <is>
          <t>16주차</t>
        </is>
      </c>
      <c r="C3293" t="inlineStr">
        <is>
          <t>IM</t>
        </is>
      </c>
      <c r="D3293" s="28" t="n">
        <v>46127</v>
      </c>
      <c r="E3293" t="inlineStr">
        <is>
          <t>IM캐피탈</t>
        </is>
      </c>
      <c r="F3293" t="inlineStr">
        <is>
          <t>오민형</t>
        </is>
      </c>
      <c r="G3293" t="inlineStr">
        <is>
          <t>010-7685-2645</t>
        </is>
      </c>
      <c r="H3293" t="inlineStr">
        <is>
          <t>07조6378</t>
        </is>
      </c>
      <c r="I3293" t="n">
        <v>10900000</v>
      </c>
      <c r="J3293" t="n">
        <v>0.066</v>
      </c>
      <c r="K3293" t="n">
        <v>1.1</v>
      </c>
      <c r="L3293" t="n">
        <v>0.07000000000000001</v>
      </c>
      <c r="M3293" t="n">
        <v>1.03</v>
      </c>
      <c r="P3293" t="inlineStr">
        <is>
          <t>박현민</t>
        </is>
      </c>
      <c r="Q3293" t="inlineStr">
        <is>
          <t>홈서비스 60개월</t>
        </is>
      </c>
      <c r="AB3293" t="inlineStr">
        <is>
          <t>홈서비스</t>
        </is>
      </c>
      <c r="AC3293" t="n">
        <v>119900</v>
      </c>
      <c r="AD3293" t="n">
        <v>7630</v>
      </c>
      <c r="AE3293" t="n">
        <v>112270</v>
      </c>
      <c r="AF3293" t="n">
        <v>109000</v>
      </c>
      <c r="AG3293" t="n">
        <v>7378.21</v>
      </c>
      <c r="AH3293" t="n">
        <v>101621.79</v>
      </c>
    </row>
    <row r="3294">
      <c r="A3294" t="inlineStr">
        <is>
          <t>4월</t>
        </is>
      </c>
      <c r="B3294" t="inlineStr">
        <is>
          <t>16주차</t>
        </is>
      </c>
      <c r="C3294" t="inlineStr">
        <is>
          <t>EP</t>
        </is>
      </c>
      <c r="D3294" s="28" t="n">
        <v>46127</v>
      </c>
      <c r="E3294" t="inlineStr">
        <is>
          <t>현대EP_fast</t>
        </is>
      </c>
      <c r="F3294" t="inlineStr">
        <is>
          <t>이해민</t>
        </is>
      </c>
      <c r="G3294" t="inlineStr">
        <is>
          <t>010-9218-3384</t>
        </is>
      </c>
      <c r="H3294" t="inlineStr">
        <is>
          <t>110서5959</t>
        </is>
      </c>
      <c r="I3294" t="n">
        <v>23900000</v>
      </c>
      <c r="J3294" t="n">
        <v>0.134</v>
      </c>
      <c r="K3294" t="n">
        <v>1.76</v>
      </c>
      <c r="L3294" t="n">
        <v>0.2</v>
      </c>
      <c r="M3294" t="n">
        <v>1.56</v>
      </c>
      <c r="P3294" t="inlineStr">
        <is>
          <t>김수연</t>
        </is>
      </c>
      <c r="Q3294" t="inlineStr">
        <is>
          <t>홈서비스 48개월</t>
        </is>
      </c>
      <c r="AB3294" t="inlineStr">
        <is>
          <t>홈서비스</t>
        </is>
      </c>
      <c r="AC3294" t="n">
        <v>420640</v>
      </c>
      <c r="AD3294" t="n">
        <v>47800</v>
      </c>
      <c r="AE3294" t="n">
        <v>372840</v>
      </c>
      <c r="AF3294" t="n">
        <v>382400</v>
      </c>
      <c r="AG3294" t="n">
        <v>46222.6</v>
      </c>
      <c r="AH3294" t="n">
        <v>336177.4</v>
      </c>
      <c r="AI3294" t="n">
        <v>0</v>
      </c>
    </row>
    <row r="3295">
      <c r="A3295" t="inlineStr">
        <is>
          <t>4월</t>
        </is>
      </c>
      <c r="B3295" t="inlineStr">
        <is>
          <t>16주차</t>
        </is>
      </c>
      <c r="C3295" t="inlineStr">
        <is>
          <t>IM</t>
        </is>
      </c>
      <c r="D3295" s="28" t="n">
        <v>46127</v>
      </c>
      <c r="E3295" t="inlineStr">
        <is>
          <t>IM캐피탈</t>
        </is>
      </c>
      <c r="F3295" t="inlineStr">
        <is>
          <t>천호준</t>
        </is>
      </c>
      <c r="G3295" t="inlineStr">
        <is>
          <t>010-8432-7260</t>
        </is>
      </c>
      <c r="H3295" t="inlineStr">
        <is>
          <t>07부5276</t>
        </is>
      </c>
      <c r="I3295" t="n">
        <v>44900000</v>
      </c>
      <c r="J3295" t="n">
        <v>0.049</v>
      </c>
      <c r="K3295" t="n">
        <v>1.1</v>
      </c>
      <c r="L3295" t="n">
        <v>0.3</v>
      </c>
      <c r="M3295" t="n">
        <v>0.8</v>
      </c>
      <c r="P3295" t="inlineStr">
        <is>
          <t>최혁</t>
        </is>
      </c>
      <c r="Q3295" t="inlineStr">
        <is>
          <t>현대7.1%</t>
        </is>
      </c>
      <c r="AB3295" t="inlineStr">
        <is>
          <t>엔카</t>
        </is>
      </c>
      <c r="AC3295" t="n">
        <v>493900</v>
      </c>
      <c r="AD3295" t="n">
        <v>134700</v>
      </c>
      <c r="AE3295" t="n">
        <v>359200</v>
      </c>
      <c r="AF3295" t="n">
        <v>449000</v>
      </c>
      <c r="AG3295" t="n">
        <v>130254.9</v>
      </c>
      <c r="AH3295" t="n">
        <v>318745.1</v>
      </c>
    </row>
    <row r="3296">
      <c r="A3296" t="inlineStr">
        <is>
          <t>4월</t>
        </is>
      </c>
      <c r="B3296" t="inlineStr">
        <is>
          <t>16주차</t>
        </is>
      </c>
      <c r="C3296" t="inlineStr">
        <is>
          <t>EP</t>
        </is>
      </c>
      <c r="D3296" s="28" t="n">
        <v>46127</v>
      </c>
      <c r="E3296" t="inlineStr">
        <is>
          <t>현대EP</t>
        </is>
      </c>
      <c r="F3296" t="inlineStr">
        <is>
          <t>김슬기</t>
        </is>
      </c>
      <c r="G3296" t="inlineStr">
        <is>
          <t>010-9022-1978</t>
        </is>
      </c>
      <c r="H3296" t="inlineStr">
        <is>
          <t>370로9114</t>
        </is>
      </c>
      <c r="I3296" t="n">
        <v>21000000</v>
      </c>
      <c r="J3296" t="n">
        <v>0.079</v>
      </c>
      <c r="K3296" t="n">
        <v>1.76</v>
      </c>
      <c r="L3296" t="n">
        <v>0.2</v>
      </c>
      <c r="M3296" t="n">
        <v>1.56</v>
      </c>
      <c r="P3296" t="inlineStr">
        <is>
          <t>최형주</t>
        </is>
      </c>
      <c r="AB3296" t="inlineStr">
        <is>
          <t>홈서비스</t>
        </is>
      </c>
      <c r="AC3296" t="n">
        <v>369600</v>
      </c>
      <c r="AD3296" t="n">
        <v>42000</v>
      </c>
      <c r="AE3296" t="n">
        <v>327600</v>
      </c>
      <c r="AF3296" t="n">
        <v>336000</v>
      </c>
      <c r="AG3296" t="n">
        <v>40614</v>
      </c>
      <c r="AH3296" t="n">
        <v>295386</v>
      </c>
    </row>
    <row r="3297">
      <c r="A3297" t="inlineStr">
        <is>
          <t>4월</t>
        </is>
      </c>
      <c r="B3297" t="inlineStr">
        <is>
          <t>16주차</t>
        </is>
      </c>
      <c r="C3297" t="inlineStr">
        <is>
          <t>EP</t>
        </is>
      </c>
      <c r="D3297" s="28" t="n">
        <v>46127</v>
      </c>
      <c r="E3297" t="inlineStr">
        <is>
          <t>제이비EP</t>
        </is>
      </c>
      <c r="F3297" t="inlineStr">
        <is>
          <t>박한규</t>
        </is>
      </c>
      <c r="G3297" t="inlineStr">
        <is>
          <t>010-9444-7128</t>
        </is>
      </c>
      <c r="H3297" t="inlineStr">
        <is>
          <t>88러4289</t>
        </is>
      </c>
      <c r="I3297" t="n">
        <v>4600000</v>
      </c>
      <c r="J3297" t="n">
        <v>0.07199999999999999</v>
      </c>
      <c r="K3297" t="n">
        <v>1.65</v>
      </c>
      <c r="L3297" t="n">
        <v>0.3</v>
      </c>
      <c r="M3297" t="n">
        <v>1.35</v>
      </c>
      <c r="P3297" t="inlineStr">
        <is>
          <t>박현민</t>
        </is>
      </c>
      <c r="AB3297" t="inlineStr">
        <is>
          <t>엔카</t>
        </is>
      </c>
      <c r="AC3297" t="n">
        <v>75900</v>
      </c>
      <c r="AD3297" t="n">
        <v>13800</v>
      </c>
      <c r="AE3297" t="n">
        <v>62100</v>
      </c>
      <c r="AF3297" t="n">
        <v>69000</v>
      </c>
      <c r="AG3297" t="n">
        <v>13344.6</v>
      </c>
      <c r="AH3297" t="n">
        <v>55655.4</v>
      </c>
    </row>
    <row r="3298">
      <c r="A3298" t="inlineStr">
        <is>
          <t>4월</t>
        </is>
      </c>
      <c r="B3298" t="inlineStr">
        <is>
          <t>16주차</t>
        </is>
      </c>
      <c r="C3298" t="inlineStr">
        <is>
          <t>EP</t>
        </is>
      </c>
      <c r="D3298" s="28" t="n">
        <v>46127</v>
      </c>
      <c r="E3298" t="inlineStr">
        <is>
          <t>현대EP_fast</t>
        </is>
      </c>
      <c r="F3298" t="inlineStr">
        <is>
          <t>채지민</t>
        </is>
      </c>
      <c r="G3298" t="inlineStr">
        <is>
          <t>010-9609-5451</t>
        </is>
      </c>
      <c r="H3298" t="inlineStr">
        <is>
          <t>222다9040</t>
        </is>
      </c>
      <c r="I3298" t="n">
        <v>30000000</v>
      </c>
      <c r="J3298" t="n">
        <v>0.079</v>
      </c>
      <c r="K3298" t="n">
        <v>1.76</v>
      </c>
      <c r="L3298" t="n">
        <v>0.2</v>
      </c>
      <c r="M3298" t="n">
        <v>1.56</v>
      </c>
      <c r="P3298" t="inlineStr">
        <is>
          <t>장진경</t>
        </is>
      </c>
      <c r="Q3298" t="inlineStr">
        <is>
          <t>선상담 / 홈서비스 60개월</t>
        </is>
      </c>
      <c r="AB3298" t="inlineStr">
        <is>
          <t>홈서비스</t>
        </is>
      </c>
      <c r="AC3298" t="n">
        <v>528000</v>
      </c>
      <c r="AD3298" t="n">
        <v>60000</v>
      </c>
      <c r="AE3298" t="n">
        <v>468000</v>
      </c>
      <c r="AF3298" t="n">
        <v>480000</v>
      </c>
      <c r="AG3298" t="n">
        <v>58020</v>
      </c>
      <c r="AH3298" t="n">
        <v>421980</v>
      </c>
    </row>
    <row r="3299">
      <c r="A3299" t="inlineStr">
        <is>
          <t>4월</t>
        </is>
      </c>
      <c r="B3299" t="inlineStr">
        <is>
          <t>16주차</t>
        </is>
      </c>
      <c r="C3299" t="inlineStr">
        <is>
          <t>EP</t>
        </is>
      </c>
      <c r="D3299" s="28" t="n">
        <v>46127</v>
      </c>
      <c r="E3299" t="inlineStr">
        <is>
          <t>BNKEP</t>
        </is>
      </c>
      <c r="F3299" t="inlineStr">
        <is>
          <t>김승현</t>
        </is>
      </c>
      <c r="G3299" t="inlineStr">
        <is>
          <t>010-2723-2368</t>
        </is>
      </c>
      <c r="H3299" t="inlineStr">
        <is>
          <t>238머1788</t>
        </is>
      </c>
      <c r="I3299" t="n">
        <v>-41800000</v>
      </c>
      <c r="J3299" t="n">
        <v>0.061</v>
      </c>
      <c r="K3299" t="n">
        <v>1.65</v>
      </c>
      <c r="L3299" t="n">
        <v>0.07000000000000001</v>
      </c>
      <c r="M3299" t="n">
        <v>1.58</v>
      </c>
      <c r="P3299" t="inlineStr">
        <is>
          <t>정세빈</t>
        </is>
      </c>
      <c r="Q3299" t="inlineStr">
        <is>
          <t>홈서비스 60개월</t>
        </is>
      </c>
      <c r="AB3299" t="inlineStr">
        <is>
          <t>홈서비스</t>
        </is>
      </c>
      <c r="AC3299" t="n">
        <v>-689700</v>
      </c>
      <c r="AD3299" t="n">
        <v>-29260</v>
      </c>
      <c r="AE3299" t="n">
        <v>-660440</v>
      </c>
      <c r="AF3299" t="n">
        <v>-627000</v>
      </c>
      <c r="AG3299" t="n">
        <v>-28294.42</v>
      </c>
      <c r="AH3299" t="n">
        <v>-598705.58</v>
      </c>
      <c r="AI3299" t="n">
        <v>0</v>
      </c>
    </row>
    <row r="3300">
      <c r="A3300" t="inlineStr">
        <is>
          <t>4월</t>
        </is>
      </c>
      <c r="B3300" t="inlineStr">
        <is>
          <t>16주차</t>
        </is>
      </c>
      <c r="C3300" t="inlineStr">
        <is>
          <t>EP</t>
        </is>
      </c>
      <c r="D3300" s="28" t="n">
        <v>46128</v>
      </c>
      <c r="E3300" t="inlineStr">
        <is>
          <t>현대EP_fast</t>
        </is>
      </c>
      <c r="F3300" t="inlineStr">
        <is>
          <t>황필환</t>
        </is>
      </c>
      <c r="G3300" t="inlineStr">
        <is>
          <t>010-4446-6236</t>
        </is>
      </c>
      <c r="H3300" t="inlineStr">
        <is>
          <t>06나5813</t>
        </is>
      </c>
      <c r="I3300" t="n">
        <v>12300000</v>
      </c>
      <c r="J3300" t="n">
        <v>0.09</v>
      </c>
      <c r="K3300" t="n">
        <v>1.76</v>
      </c>
      <c r="L3300" t="n">
        <v>0.2</v>
      </c>
      <c r="M3300" t="n">
        <v>1.56</v>
      </c>
      <c r="P3300" t="inlineStr">
        <is>
          <t>정세빈</t>
        </is>
      </c>
      <c r="Q3300" t="inlineStr">
        <is>
          <t>홈서비스 60개월</t>
        </is>
      </c>
      <c r="AB3300" t="inlineStr">
        <is>
          <t>홈서비스</t>
        </is>
      </c>
      <c r="AC3300" t="n">
        <v>216480</v>
      </c>
      <c r="AD3300" t="n">
        <v>24600</v>
      </c>
      <c r="AE3300" t="n">
        <v>191880</v>
      </c>
      <c r="AF3300" t="n">
        <v>196800</v>
      </c>
      <c r="AG3300" t="n">
        <v>23788.2</v>
      </c>
      <c r="AH3300" t="n">
        <v>173011.8</v>
      </c>
      <c r="AI3300" t="n">
        <v>0</v>
      </c>
    </row>
    <row r="3301">
      <c r="A3301" t="inlineStr">
        <is>
          <t>4월</t>
        </is>
      </c>
      <c r="B3301" t="inlineStr">
        <is>
          <t>16주차</t>
        </is>
      </c>
      <c r="C3301" t="inlineStr">
        <is>
          <t>EP</t>
        </is>
      </c>
      <c r="D3301" s="28" t="n">
        <v>46128</v>
      </c>
      <c r="E3301" t="inlineStr">
        <is>
          <t>현대EP_fast</t>
        </is>
      </c>
      <c r="F3301" t="inlineStr">
        <is>
          <t>변종현</t>
        </is>
      </c>
      <c r="G3301" t="inlineStr">
        <is>
          <t>010-8812-0503</t>
        </is>
      </c>
      <c r="H3301" t="inlineStr">
        <is>
          <t>181부6861</t>
        </is>
      </c>
      <c r="I3301" t="n">
        <v>12000000</v>
      </c>
      <c r="J3301" t="n">
        <v>0.081</v>
      </c>
      <c r="K3301" t="n">
        <v>1.76</v>
      </c>
      <c r="L3301" t="n">
        <v>0.2</v>
      </c>
      <c r="M3301" t="n">
        <v>1.56</v>
      </c>
      <c r="P3301" t="inlineStr">
        <is>
          <t>최형주</t>
        </is>
      </c>
      <c r="Q3301" t="inlineStr">
        <is>
          <t>홈서비스 60개월</t>
        </is>
      </c>
      <c r="AB3301" t="inlineStr">
        <is>
          <t>홈서비스</t>
        </is>
      </c>
      <c r="AC3301" t="n">
        <v>211200</v>
      </c>
      <c r="AD3301" t="n">
        <v>24000</v>
      </c>
      <c r="AE3301" t="n">
        <v>187200</v>
      </c>
      <c r="AF3301" t="n">
        <v>192000</v>
      </c>
      <c r="AG3301" t="n">
        <v>23208</v>
      </c>
      <c r="AH3301" t="n">
        <v>168792</v>
      </c>
      <c r="AI3301" t="n">
        <v>0</v>
      </c>
    </row>
    <row r="3302">
      <c r="A3302" t="inlineStr">
        <is>
          <t>4월</t>
        </is>
      </c>
      <c r="B3302" t="inlineStr">
        <is>
          <t>16주차</t>
        </is>
      </c>
      <c r="C3302" t="inlineStr">
        <is>
          <t>IM</t>
        </is>
      </c>
      <c r="D3302" s="28" t="n">
        <v>46128</v>
      </c>
      <c r="E3302" t="inlineStr">
        <is>
          <t>IM캐피탈</t>
        </is>
      </c>
      <c r="F3302" t="inlineStr">
        <is>
          <t>권지윤</t>
        </is>
      </c>
      <c r="G3302" t="inlineStr">
        <is>
          <t>010-5630-6700</t>
        </is>
      </c>
      <c r="H3302" t="inlineStr">
        <is>
          <t>107마7263</t>
        </is>
      </c>
      <c r="I3302" t="n">
        <v>43700000</v>
      </c>
      <c r="J3302" t="n">
        <v>0.049</v>
      </c>
      <c r="K3302" t="n">
        <v>1.1</v>
      </c>
      <c r="L3302" t="n">
        <v>0.07000000000000001</v>
      </c>
      <c r="M3302" t="n">
        <v>1.03</v>
      </c>
      <c r="P3302" t="inlineStr">
        <is>
          <t>정세빈</t>
        </is>
      </c>
      <c r="Q3302" t="inlineStr">
        <is>
          <t>홈서비스 72개월 / 금리불만 현대 7.1%</t>
        </is>
      </c>
      <c r="AB3302" t="inlineStr">
        <is>
          <t>홈서비스</t>
        </is>
      </c>
      <c r="AC3302" t="n">
        <v>480700</v>
      </c>
      <c r="AD3302" t="n">
        <v>30590</v>
      </c>
      <c r="AE3302" t="n">
        <v>450110</v>
      </c>
      <c r="AF3302" t="n">
        <v>437000</v>
      </c>
      <c r="AG3302" t="n">
        <v>29580.53</v>
      </c>
      <c r="AH3302" t="n">
        <v>407419.47</v>
      </c>
      <c r="AI3302" t="n">
        <v>0</v>
      </c>
    </row>
    <row r="3303">
      <c r="A3303" t="inlineStr">
        <is>
          <t>4월</t>
        </is>
      </c>
      <c r="B3303" t="inlineStr">
        <is>
          <t>16주차</t>
        </is>
      </c>
      <c r="C3303" t="inlineStr">
        <is>
          <t>EP</t>
        </is>
      </c>
      <c r="D3303" s="28" t="n">
        <v>46127</v>
      </c>
      <c r="E3303" t="inlineStr">
        <is>
          <t>현대EP_fast</t>
        </is>
      </c>
      <c r="F3303" t="inlineStr">
        <is>
          <t>윤영민</t>
        </is>
      </c>
      <c r="G3303" t="inlineStr">
        <is>
          <t>010-8159-9823</t>
        </is>
      </c>
      <c r="H3303" t="inlineStr">
        <is>
          <t>370서5336</t>
        </is>
      </c>
      <c r="I3303" t="n">
        <v>10000000</v>
      </c>
      <c r="J3303" t="n">
        <v>0.07099999999999999</v>
      </c>
      <c r="K3303" t="n">
        <v>1.76</v>
      </c>
      <c r="L3303" t="n">
        <v>0.2</v>
      </c>
      <c r="M3303" t="n">
        <v>1.56</v>
      </c>
      <c r="P3303" t="inlineStr">
        <is>
          <t>김나윤</t>
        </is>
      </c>
      <c r="Q3303" t="inlineStr">
        <is>
          <t>홈서비스 36개월</t>
        </is>
      </c>
      <c r="AB3303" t="inlineStr">
        <is>
          <t>홈서비스</t>
        </is>
      </c>
      <c r="AC3303" t="n">
        <v>176000</v>
      </c>
      <c r="AD3303" t="n">
        <v>20000</v>
      </c>
      <c r="AE3303" t="n">
        <v>156000</v>
      </c>
      <c r="AF3303" t="n">
        <v>160000</v>
      </c>
      <c r="AG3303" t="n">
        <v>19340</v>
      </c>
      <c r="AH3303" t="n">
        <v>140660</v>
      </c>
      <c r="AI3303" t="n">
        <v>0</v>
      </c>
    </row>
    <row r="3304">
      <c r="A3304" t="inlineStr">
        <is>
          <t>4월</t>
        </is>
      </c>
      <c r="B3304" t="inlineStr">
        <is>
          <t>16주차</t>
        </is>
      </c>
      <c r="C3304" t="inlineStr">
        <is>
          <t>EP</t>
        </is>
      </c>
      <c r="D3304" s="28" t="n">
        <v>46127</v>
      </c>
      <c r="E3304" t="inlineStr">
        <is>
          <t>현대EP_fast</t>
        </is>
      </c>
      <c r="F3304" t="inlineStr">
        <is>
          <t>심현우</t>
        </is>
      </c>
      <c r="G3304" t="inlineStr">
        <is>
          <t>010-6690-3387</t>
        </is>
      </c>
      <c r="H3304" t="inlineStr">
        <is>
          <t>161보8319</t>
        </is>
      </c>
      <c r="I3304" t="n">
        <v>56500000</v>
      </c>
      <c r="J3304" t="n">
        <v>0.08599999999999999</v>
      </c>
      <c r="K3304" t="n">
        <v>1.76</v>
      </c>
      <c r="L3304" t="n">
        <v>0.6</v>
      </c>
      <c r="M3304" t="n">
        <v>1.16</v>
      </c>
      <c r="P3304" t="inlineStr">
        <is>
          <t>최혁</t>
        </is>
      </c>
      <c r="AB3304" t="inlineStr">
        <is>
          <t>엔카</t>
        </is>
      </c>
      <c r="AC3304" t="n">
        <v>994400</v>
      </c>
      <c r="AD3304" t="n">
        <v>339000</v>
      </c>
      <c r="AE3304" t="n">
        <v>655400</v>
      </c>
      <c r="AF3304" t="n">
        <v>904000</v>
      </c>
      <c r="AG3304" t="n">
        <v>327813</v>
      </c>
      <c r="AH3304" t="n">
        <v>576187</v>
      </c>
    </row>
    <row r="3305">
      <c r="A3305" t="inlineStr">
        <is>
          <t>4월</t>
        </is>
      </c>
      <c r="B3305" t="inlineStr">
        <is>
          <t>16주차</t>
        </is>
      </c>
      <c r="C3305" t="inlineStr">
        <is>
          <t>EP</t>
        </is>
      </c>
      <c r="D3305" s="28" t="n">
        <v>46127</v>
      </c>
      <c r="E3305" t="inlineStr">
        <is>
          <t>현대EP_fast</t>
        </is>
      </c>
      <c r="F3305" t="inlineStr">
        <is>
          <t>천인영</t>
        </is>
      </c>
      <c r="G3305" t="inlineStr">
        <is>
          <t>010-9919-4204</t>
        </is>
      </c>
      <c r="H3305" t="inlineStr">
        <is>
          <t>156구7729</t>
        </is>
      </c>
      <c r="I3305" t="n">
        <v>15900000</v>
      </c>
      <c r="J3305" t="n">
        <v>0.079</v>
      </c>
      <c r="K3305" t="n">
        <v>1.76</v>
      </c>
      <c r="L3305" t="n">
        <v>0.2</v>
      </c>
      <c r="M3305" t="n">
        <v>1.56</v>
      </c>
      <c r="P3305" t="inlineStr">
        <is>
          <t>장진경</t>
        </is>
      </c>
      <c r="Q3305" t="inlineStr">
        <is>
          <t>선상담 / 홈서비스 60개월</t>
        </is>
      </c>
      <c r="AB3305" t="inlineStr">
        <is>
          <t>홈서비스</t>
        </is>
      </c>
      <c r="AC3305" t="n">
        <v>279840</v>
      </c>
      <c r="AD3305" t="n">
        <v>31800</v>
      </c>
      <c r="AE3305" t="n">
        <v>248040</v>
      </c>
      <c r="AF3305" t="n">
        <v>254400</v>
      </c>
      <c r="AG3305" t="n">
        <v>30750.6</v>
      </c>
      <c r="AH3305" t="n">
        <v>223649.4</v>
      </c>
      <c r="AI3305" t="n">
        <v>0</v>
      </c>
    </row>
    <row r="3306">
      <c r="A3306" t="inlineStr">
        <is>
          <t>4월</t>
        </is>
      </c>
      <c r="B3306" t="inlineStr">
        <is>
          <t>17주차</t>
        </is>
      </c>
      <c r="C3306" t="inlineStr">
        <is>
          <t>IM</t>
        </is>
      </c>
      <c r="D3306" s="28" t="n">
        <v>46136</v>
      </c>
      <c r="E3306" t="inlineStr">
        <is>
          <t>IM캐피탈</t>
        </is>
      </c>
      <c r="F3306" t="inlineStr">
        <is>
          <t>김정석</t>
        </is>
      </c>
      <c r="G3306" t="inlineStr">
        <is>
          <t>010-9779-6408</t>
        </is>
      </c>
      <c r="H3306" t="inlineStr">
        <is>
          <t>181러4574</t>
        </is>
      </c>
      <c r="I3306" t="n">
        <v>-22000000</v>
      </c>
      <c r="J3306" t="n">
        <v>0.059</v>
      </c>
      <c r="K3306" t="n">
        <v>1.1</v>
      </c>
      <c r="L3306" t="n">
        <v>0.07000000000000001</v>
      </c>
      <c r="M3306" t="n">
        <v>1.03</v>
      </c>
      <c r="P3306" t="inlineStr">
        <is>
          <t>박소현</t>
        </is>
      </c>
      <c r="Q3306" t="inlineStr">
        <is>
          <t>선상담 / 홈서비스 48개월</t>
        </is>
      </c>
      <c r="AB3306" t="inlineStr">
        <is>
          <t>홈서비스</t>
        </is>
      </c>
      <c r="AC3306" t="n">
        <v>-242000</v>
      </c>
      <c r="AD3306" t="n">
        <v>-15400</v>
      </c>
      <c r="AE3306" t="n">
        <v>-226600</v>
      </c>
      <c r="AF3306" t="n">
        <v>-220000</v>
      </c>
      <c r="AG3306" t="n">
        <v>-14891.8</v>
      </c>
      <c r="AH3306" t="n">
        <v>-205108.2</v>
      </c>
      <c r="AI3306" t="n">
        <v>0</v>
      </c>
    </row>
    <row r="3307">
      <c r="A3307" t="inlineStr">
        <is>
          <t>4월</t>
        </is>
      </c>
      <c r="B3307" t="inlineStr">
        <is>
          <t>16주차</t>
        </is>
      </c>
      <c r="C3307" t="inlineStr">
        <is>
          <t>WC</t>
        </is>
      </c>
      <c r="D3307" s="28" t="n">
        <v>46127</v>
      </c>
      <c r="E3307" t="inlineStr">
        <is>
          <t>웰컴저축은행</t>
        </is>
      </c>
      <c r="F3307" t="inlineStr">
        <is>
          <t>이정주</t>
        </is>
      </c>
      <c r="G3307" t="inlineStr">
        <is>
          <t>010-9553-4632</t>
        </is>
      </c>
      <c r="H3307" t="inlineStr">
        <is>
          <t>39무7042</t>
        </is>
      </c>
      <c r="I3307" t="n">
        <v>14100000</v>
      </c>
      <c r="J3307" t="n">
        <v>0.179</v>
      </c>
      <c r="K3307" t="n">
        <v>2.2</v>
      </c>
      <c r="L3307" t="n">
        <v>0.3</v>
      </c>
      <c r="M3307" t="n">
        <v>1.9</v>
      </c>
      <c r="P3307" t="inlineStr">
        <is>
          <t>김수연</t>
        </is>
      </c>
      <c r="Q3307" t="inlineStr">
        <is>
          <t>부결 db실행 /부대비용 추가진행</t>
        </is>
      </c>
      <c r="AB3307" t="inlineStr">
        <is>
          <t>엔카</t>
        </is>
      </c>
      <c r="AC3307" t="n">
        <v>310200</v>
      </c>
      <c r="AD3307" t="n">
        <v>42300</v>
      </c>
      <c r="AE3307" t="n">
        <v>267900</v>
      </c>
      <c r="AF3307" t="n">
        <v>282000</v>
      </c>
      <c r="AG3307" t="n">
        <v>40904.1</v>
      </c>
      <c r="AH3307" t="n">
        <v>241095.9</v>
      </c>
    </row>
    <row r="3308">
      <c r="A3308" t="inlineStr">
        <is>
          <t>4월</t>
        </is>
      </c>
      <c r="B3308" t="inlineStr">
        <is>
          <t>16주차</t>
        </is>
      </c>
      <c r="C3308" t="inlineStr">
        <is>
          <t>EP</t>
        </is>
      </c>
      <c r="D3308" s="28" t="n">
        <v>46128</v>
      </c>
      <c r="E3308" t="inlineStr">
        <is>
          <t>현대EP_fast</t>
        </is>
      </c>
      <c r="F3308" t="inlineStr">
        <is>
          <t>권선모</t>
        </is>
      </c>
      <c r="G3308" t="inlineStr">
        <is>
          <t>010-4177-0908</t>
        </is>
      </c>
      <c r="H3308" t="inlineStr">
        <is>
          <t>02로5871</t>
        </is>
      </c>
      <c r="I3308" t="n">
        <v>8000000</v>
      </c>
      <c r="J3308" t="n">
        <v>0.09</v>
      </c>
      <c r="K3308" t="n">
        <v>1.76</v>
      </c>
      <c r="L3308" t="n">
        <v>0.2</v>
      </c>
      <c r="M3308" t="n">
        <v>1.56</v>
      </c>
      <c r="P3308" t="inlineStr">
        <is>
          <t>김수연</t>
        </is>
      </c>
      <c r="Q3308" t="inlineStr">
        <is>
          <t>홈서비스 36개월</t>
        </is>
      </c>
      <c r="AB3308" t="inlineStr">
        <is>
          <t>홈서비스</t>
        </is>
      </c>
      <c r="AC3308" t="n">
        <v>140800</v>
      </c>
      <c r="AD3308" t="n">
        <v>16000</v>
      </c>
      <c r="AE3308" t="n">
        <v>124800</v>
      </c>
      <c r="AF3308" t="n">
        <v>128000</v>
      </c>
      <c r="AG3308" t="n">
        <v>15472</v>
      </c>
      <c r="AH3308" t="n">
        <v>112528</v>
      </c>
      <c r="AI3308" t="n">
        <v>0</v>
      </c>
    </row>
    <row r="3309">
      <c r="A3309" t="inlineStr">
        <is>
          <t>4월</t>
        </is>
      </c>
      <c r="B3309" t="inlineStr">
        <is>
          <t>16주차</t>
        </is>
      </c>
      <c r="C3309" t="inlineStr">
        <is>
          <t>IM</t>
        </is>
      </c>
      <c r="D3309" s="28" t="n">
        <v>46128</v>
      </c>
      <c r="E3309" t="inlineStr">
        <is>
          <t>IM캐피탈</t>
        </is>
      </c>
      <c r="F3309" t="inlineStr">
        <is>
          <t>이형석</t>
        </is>
      </c>
      <c r="G3309" t="inlineStr">
        <is>
          <t>010-2084-9472</t>
        </is>
      </c>
      <c r="H3309" t="inlineStr">
        <is>
          <t>146오1404</t>
        </is>
      </c>
      <c r="I3309" t="n">
        <v>80000000</v>
      </c>
      <c r="J3309" t="n">
        <v>0.049</v>
      </c>
      <c r="K3309" t="n">
        <v>1.1</v>
      </c>
      <c r="L3309" t="n">
        <v>0.3</v>
      </c>
      <c r="M3309" t="n">
        <v>0.8</v>
      </c>
      <c r="P3309" t="inlineStr">
        <is>
          <t>박현민</t>
        </is>
      </c>
      <c r="AB3309" t="inlineStr">
        <is>
          <t>엔카</t>
        </is>
      </c>
      <c r="AC3309" t="n">
        <v>880000</v>
      </c>
      <c r="AD3309" t="n">
        <v>240000</v>
      </c>
      <c r="AE3309" t="n">
        <v>640000</v>
      </c>
      <c r="AF3309" t="n">
        <v>800000</v>
      </c>
      <c r="AG3309" t="n">
        <v>232080</v>
      </c>
      <c r="AH3309" t="n">
        <v>567920</v>
      </c>
      <c r="AI3309" t="n">
        <v>0</v>
      </c>
    </row>
    <row r="3310">
      <c r="A3310" t="inlineStr">
        <is>
          <t>4월</t>
        </is>
      </c>
      <c r="B3310" t="inlineStr">
        <is>
          <t>16주차</t>
        </is>
      </c>
      <c r="C3310" t="inlineStr">
        <is>
          <t>IM</t>
        </is>
      </c>
      <c r="D3310" s="28" t="n">
        <v>46128</v>
      </c>
      <c r="E3310" t="inlineStr">
        <is>
          <t>IM캐피탈</t>
        </is>
      </c>
      <c r="F3310" t="inlineStr">
        <is>
          <t>이준우</t>
        </is>
      </c>
      <c r="G3310" t="inlineStr">
        <is>
          <t>010-6595-0039</t>
        </is>
      </c>
      <c r="H3310" t="inlineStr">
        <is>
          <t>168라1413</t>
        </is>
      </c>
      <c r="I3310" t="n">
        <v>17900000</v>
      </c>
      <c r="J3310" t="n">
        <v>0.059</v>
      </c>
      <c r="K3310" t="n">
        <v>1.1</v>
      </c>
      <c r="L3310" t="n">
        <v>0.07000000000000001</v>
      </c>
      <c r="M3310" t="n">
        <v>1.03</v>
      </c>
      <c r="P3310" t="inlineStr">
        <is>
          <t>정세빈</t>
        </is>
      </c>
      <c r="Q3310" t="inlineStr">
        <is>
          <t>홈서비스 72개월</t>
        </is>
      </c>
      <c r="AB3310" t="inlineStr">
        <is>
          <t>홈서비스</t>
        </is>
      </c>
      <c r="AC3310" t="n">
        <v>196900</v>
      </c>
      <c r="AD3310" t="n">
        <v>12530</v>
      </c>
      <c r="AE3310" t="n">
        <v>184370</v>
      </c>
      <c r="AF3310" t="n">
        <v>179000</v>
      </c>
      <c r="AG3310" t="n">
        <v>12116.51</v>
      </c>
      <c r="AH3310" t="n">
        <v>166883.49</v>
      </c>
      <c r="AI3310" t="n">
        <v>0</v>
      </c>
    </row>
    <row r="3311">
      <c r="A3311" t="inlineStr">
        <is>
          <t>4월</t>
        </is>
      </c>
      <c r="B3311" t="inlineStr">
        <is>
          <t>16주차</t>
        </is>
      </c>
      <c r="C3311" t="inlineStr">
        <is>
          <t>IM</t>
        </is>
      </c>
      <c r="D3311" s="28" t="n">
        <v>46128</v>
      </c>
      <c r="E3311" t="inlineStr">
        <is>
          <t>IM캐피탈</t>
        </is>
      </c>
      <c r="F3311" t="inlineStr">
        <is>
          <t>박남기</t>
        </is>
      </c>
      <c r="G3311" t="inlineStr">
        <is>
          <t>010-8294-3844</t>
        </is>
      </c>
      <c r="H3311" t="inlineStr">
        <is>
          <t>148라6312</t>
        </is>
      </c>
      <c r="I3311" t="n">
        <v>12000000</v>
      </c>
      <c r="J3311" t="n">
        <v>0.049</v>
      </c>
      <c r="K3311" t="n">
        <v>1.1</v>
      </c>
      <c r="L3311" t="n">
        <v>0.07000000000000001</v>
      </c>
      <c r="M3311" t="n">
        <v>1.03</v>
      </c>
      <c r="P3311" t="inlineStr">
        <is>
          <t>정세빈</t>
        </is>
      </c>
      <c r="Q3311" t="inlineStr">
        <is>
          <t>홈서비스 36개월</t>
        </is>
      </c>
      <c r="AB3311" t="inlineStr">
        <is>
          <t>홈서비스</t>
        </is>
      </c>
      <c r="AC3311" t="n">
        <v>132000</v>
      </c>
      <c r="AD3311" t="n">
        <v>8400</v>
      </c>
      <c r="AE3311" t="n">
        <v>123600</v>
      </c>
      <c r="AF3311" t="n">
        <v>120000</v>
      </c>
      <c r="AG3311" t="n">
        <v>8122.8</v>
      </c>
      <c r="AH3311" t="n">
        <v>111877.2</v>
      </c>
      <c r="AI3311" t="n">
        <v>0</v>
      </c>
    </row>
    <row r="3312">
      <c r="A3312" t="inlineStr">
        <is>
          <t>4월</t>
        </is>
      </c>
      <c r="B3312" t="inlineStr">
        <is>
          <t>16주차</t>
        </is>
      </c>
      <c r="C3312" t="inlineStr">
        <is>
          <t>EP</t>
        </is>
      </c>
      <c r="D3312" s="28" t="n">
        <v>46126</v>
      </c>
      <c r="E3312" t="inlineStr">
        <is>
          <t>현대EP_fast</t>
        </is>
      </c>
      <c r="F3312" t="inlineStr">
        <is>
          <t>박승훈</t>
        </is>
      </c>
      <c r="G3312" t="inlineStr">
        <is>
          <t>010-4376-5277</t>
        </is>
      </c>
      <c r="H3312" t="inlineStr">
        <is>
          <t>95머8676</t>
        </is>
      </c>
      <c r="I3312" t="n">
        <v>4000000</v>
      </c>
      <c r="J3312" t="n">
        <v>0.075</v>
      </c>
      <c r="K3312" t="n">
        <v>1.76</v>
      </c>
      <c r="L3312" t="n">
        <v>0.6</v>
      </c>
      <c r="M3312" t="n">
        <v>1.16</v>
      </c>
      <c r="P3312" t="inlineStr">
        <is>
          <t>임대경</t>
        </is>
      </c>
      <c r="AB3312" t="inlineStr">
        <is>
          <t>엔카</t>
        </is>
      </c>
      <c r="AC3312" t="n">
        <v>70400</v>
      </c>
      <c r="AD3312" t="n">
        <v>24000</v>
      </c>
      <c r="AE3312" t="n">
        <v>46400</v>
      </c>
      <c r="AF3312" t="n">
        <v>64000</v>
      </c>
      <c r="AG3312" t="n">
        <v>23208</v>
      </c>
      <c r="AH3312" t="n">
        <v>40792</v>
      </c>
      <c r="AI3312" t="n">
        <v>0</v>
      </c>
    </row>
    <row r="3313">
      <c r="A3313" t="inlineStr">
        <is>
          <t>4월</t>
        </is>
      </c>
      <c r="B3313" t="inlineStr">
        <is>
          <t>16주차</t>
        </is>
      </c>
      <c r="C3313" t="inlineStr">
        <is>
          <t>EP</t>
        </is>
      </c>
      <c r="D3313" s="28" t="n">
        <v>46128</v>
      </c>
      <c r="E3313" t="inlineStr">
        <is>
          <t>현대EP_fast</t>
        </is>
      </c>
      <c r="F3313" t="inlineStr">
        <is>
          <t>정혜정</t>
        </is>
      </c>
      <c r="G3313" t="inlineStr">
        <is>
          <t>010-9259-5138</t>
        </is>
      </c>
      <c r="H3313" t="inlineStr">
        <is>
          <t>382나7202</t>
        </is>
      </c>
      <c r="I3313" t="n">
        <v>47800000</v>
      </c>
      <c r="J3313" t="n">
        <v>0.105</v>
      </c>
      <c r="K3313" t="n">
        <v>1.76</v>
      </c>
      <c r="L3313" t="n">
        <v>0.2</v>
      </c>
      <c r="M3313" t="n">
        <v>1.56</v>
      </c>
      <c r="P3313" t="inlineStr">
        <is>
          <t>정세빈</t>
        </is>
      </c>
      <c r="Q3313" t="inlineStr">
        <is>
          <t>홈서비스 60개월</t>
        </is>
      </c>
      <c r="AB3313" t="inlineStr">
        <is>
          <t>홈서비스</t>
        </is>
      </c>
      <c r="AC3313" t="n">
        <v>841280</v>
      </c>
      <c r="AD3313" t="n">
        <v>95600</v>
      </c>
      <c r="AE3313" t="n">
        <v>745680</v>
      </c>
      <c r="AF3313" t="n">
        <v>764800</v>
      </c>
      <c r="AG3313" t="n">
        <v>92445.2</v>
      </c>
      <c r="AH3313" t="n">
        <v>672354.8</v>
      </c>
    </row>
    <row r="3314">
      <c r="A3314" t="inlineStr">
        <is>
          <t>4월</t>
        </is>
      </c>
      <c r="B3314" t="inlineStr">
        <is>
          <t>16주차</t>
        </is>
      </c>
      <c r="C3314" t="inlineStr">
        <is>
          <t>EP</t>
        </is>
      </c>
      <c r="D3314" s="28" t="n">
        <v>46125</v>
      </c>
      <c r="E3314" t="inlineStr">
        <is>
          <t>제이비EP</t>
        </is>
      </c>
      <c r="F3314" t="inlineStr">
        <is>
          <t>김현수</t>
        </is>
      </c>
      <c r="G3314" t="inlineStr">
        <is>
          <t>010-9189-2253</t>
        </is>
      </c>
      <c r="H3314" t="inlineStr">
        <is>
          <t>163두2381</t>
        </is>
      </c>
      <c r="I3314" t="n">
        <v>24000000</v>
      </c>
      <c r="J3314" t="n">
        <v>0.08500000000000001</v>
      </c>
      <c r="K3314" t="n">
        <v>1.65</v>
      </c>
      <c r="L3314" t="n">
        <v>0.3</v>
      </c>
      <c r="M3314" t="n">
        <v>1.35</v>
      </c>
      <c r="P3314" t="inlineStr">
        <is>
          <t>구성완</t>
        </is>
      </c>
      <c r="Q3314" t="inlineStr">
        <is>
          <t>부대비용 추가진행</t>
        </is>
      </c>
      <c r="AB3314" t="inlineStr">
        <is>
          <t>엔카</t>
        </is>
      </c>
      <c r="AC3314" t="n">
        <v>396000</v>
      </c>
      <c r="AD3314" t="n">
        <v>72000</v>
      </c>
      <c r="AE3314" t="n">
        <v>324000</v>
      </c>
      <c r="AF3314" t="n">
        <v>360000</v>
      </c>
      <c r="AG3314" t="n">
        <v>69624</v>
      </c>
      <c r="AH3314" t="n">
        <v>290376</v>
      </c>
    </row>
    <row r="3315">
      <c r="A3315" t="inlineStr">
        <is>
          <t>4월</t>
        </is>
      </c>
      <c r="B3315" t="inlineStr">
        <is>
          <t>16주차</t>
        </is>
      </c>
      <c r="C3315" t="inlineStr">
        <is>
          <t>IM</t>
        </is>
      </c>
      <c r="D3315" s="28" t="n">
        <v>46128</v>
      </c>
      <c r="E3315" t="inlineStr">
        <is>
          <t>IM캐피탈</t>
        </is>
      </c>
      <c r="F3315" t="inlineStr">
        <is>
          <t>이덕원</t>
        </is>
      </c>
      <c r="G3315" t="inlineStr">
        <is>
          <t>010-5250-5285</t>
        </is>
      </c>
      <c r="H3315" t="inlineStr">
        <is>
          <t>274서8263</t>
        </is>
      </c>
      <c r="I3315" t="n">
        <v>9000000</v>
      </c>
      <c r="J3315" t="n">
        <v>0.049</v>
      </c>
      <c r="K3315" t="n">
        <v>1.1</v>
      </c>
      <c r="L3315" t="n">
        <v>0.07000000000000001</v>
      </c>
      <c r="M3315" t="n">
        <v>1.03</v>
      </c>
      <c r="P3315" t="inlineStr">
        <is>
          <t>김수연</t>
        </is>
      </c>
      <c r="Q3315" t="inlineStr">
        <is>
          <t>홈서비스 36개월/현대6.2</t>
        </is>
      </c>
      <c r="AB3315" t="inlineStr">
        <is>
          <t>홈서비스</t>
        </is>
      </c>
      <c r="AC3315" t="n">
        <v>99000</v>
      </c>
      <c r="AD3315" t="n">
        <v>6300</v>
      </c>
      <c r="AE3315" t="n">
        <v>92700</v>
      </c>
      <c r="AF3315" t="n">
        <v>90000</v>
      </c>
      <c r="AG3315" t="n">
        <v>6092.1</v>
      </c>
      <c r="AH3315" t="n">
        <v>83907.89999999999</v>
      </c>
      <c r="AI3315" t="n">
        <v>0</v>
      </c>
    </row>
    <row r="3316">
      <c r="A3316" t="inlineStr">
        <is>
          <t>4월</t>
        </is>
      </c>
      <c r="B3316" t="inlineStr">
        <is>
          <t>16주차</t>
        </is>
      </c>
      <c r="C3316" t="inlineStr">
        <is>
          <t>EP</t>
        </is>
      </c>
      <c r="D3316" s="28" t="n">
        <v>46128</v>
      </c>
      <c r="E3316" t="inlineStr">
        <is>
          <t>현대EP_fast</t>
        </is>
      </c>
      <c r="F3316" t="inlineStr">
        <is>
          <t>김하나</t>
        </is>
      </c>
      <c r="G3316" t="inlineStr">
        <is>
          <t>010-4455-0301</t>
        </is>
      </c>
      <c r="H3316" t="inlineStr">
        <is>
          <t>68노6777</t>
        </is>
      </c>
      <c r="I3316" t="n">
        <v>16400000</v>
      </c>
      <c r="J3316" t="n">
        <v>0.127</v>
      </c>
      <c r="K3316" t="n">
        <v>1.76</v>
      </c>
      <c r="L3316" t="n">
        <v>0.2</v>
      </c>
      <c r="M3316" t="n">
        <v>1.56</v>
      </c>
      <c r="P3316" t="inlineStr">
        <is>
          <t>장진경</t>
        </is>
      </c>
      <c r="Q3316" t="inlineStr">
        <is>
          <t>선상담 / 홈서비스 60개월</t>
        </is>
      </c>
      <c r="AB3316" t="inlineStr">
        <is>
          <t>홈서비스</t>
        </is>
      </c>
      <c r="AC3316" t="n">
        <v>288640</v>
      </c>
      <c r="AD3316" t="n">
        <v>32800</v>
      </c>
      <c r="AE3316" t="n">
        <v>255840</v>
      </c>
      <c r="AF3316" t="n">
        <v>262400</v>
      </c>
      <c r="AG3316" t="n">
        <v>31717.6</v>
      </c>
      <c r="AH3316" t="n">
        <v>230682.4</v>
      </c>
    </row>
    <row r="3317">
      <c r="A3317" t="inlineStr">
        <is>
          <t>4월</t>
        </is>
      </c>
      <c r="B3317" t="inlineStr">
        <is>
          <t>16주차</t>
        </is>
      </c>
      <c r="C3317" t="inlineStr">
        <is>
          <t>WC</t>
        </is>
      </c>
      <c r="D3317" s="28" t="n">
        <v>46128</v>
      </c>
      <c r="E3317" t="inlineStr">
        <is>
          <t>웰컴저축은행</t>
        </is>
      </c>
      <c r="F3317" t="inlineStr">
        <is>
          <t>정진호</t>
        </is>
      </c>
      <c r="G3317" t="inlineStr">
        <is>
          <t>010-7626-8027</t>
        </is>
      </c>
      <c r="H3317" t="inlineStr">
        <is>
          <t>49수2069</t>
        </is>
      </c>
      <c r="I3317" t="n">
        <v>8000000</v>
      </c>
      <c r="J3317" t="n">
        <v>0.13</v>
      </c>
      <c r="K3317" t="n">
        <v>2.2</v>
      </c>
      <c r="L3317" t="n">
        <v>0.3</v>
      </c>
      <c r="M3317" t="n">
        <v>1.9</v>
      </c>
      <c r="P3317" t="inlineStr">
        <is>
          <t>김수연</t>
        </is>
      </c>
      <c r="Q3317" t="inlineStr">
        <is>
          <t>부결 db실행 /부대비용 추가진행</t>
        </is>
      </c>
      <c r="AB3317" t="inlineStr">
        <is>
          <t>엔카</t>
        </is>
      </c>
      <c r="AC3317" t="n">
        <v>176000</v>
      </c>
      <c r="AD3317" t="n">
        <v>24000</v>
      </c>
      <c r="AE3317" t="n">
        <v>152000</v>
      </c>
      <c r="AF3317" t="n">
        <v>160000</v>
      </c>
      <c r="AG3317" t="n">
        <v>23208</v>
      </c>
      <c r="AH3317" t="n">
        <v>136792</v>
      </c>
    </row>
    <row r="3318">
      <c r="A3318" t="inlineStr">
        <is>
          <t>4월</t>
        </is>
      </c>
      <c r="B3318" t="inlineStr">
        <is>
          <t>16주차</t>
        </is>
      </c>
      <c r="C3318" t="inlineStr">
        <is>
          <t>EP</t>
        </is>
      </c>
      <c r="D3318" s="28" t="n">
        <v>46127</v>
      </c>
      <c r="E3318" t="inlineStr">
        <is>
          <t>현대EP</t>
        </is>
      </c>
      <c r="F3318" t="inlineStr">
        <is>
          <t>황엄지</t>
        </is>
      </c>
      <c r="G3318" t="inlineStr">
        <is>
          <t>010-2767-9215</t>
        </is>
      </c>
      <c r="H3318" t="inlineStr">
        <is>
          <t>289구8985</t>
        </is>
      </c>
      <c r="I3318" t="n">
        <v>37900000</v>
      </c>
      <c r="J3318" t="n">
        <v>0.062</v>
      </c>
      <c r="K3318" t="n">
        <v>1.76</v>
      </c>
      <c r="L3318" t="n">
        <v>0.2</v>
      </c>
      <c r="M3318" t="n">
        <v>1.56</v>
      </c>
      <c r="P3318" t="inlineStr">
        <is>
          <t>황채이</t>
        </is>
      </c>
      <c r="AB3318" t="inlineStr">
        <is>
          <t>홈서비스</t>
        </is>
      </c>
      <c r="AC3318" t="n">
        <v>667040</v>
      </c>
      <c r="AD3318" t="n">
        <v>75800</v>
      </c>
      <c r="AE3318" t="n">
        <v>591240</v>
      </c>
      <c r="AF3318" t="n">
        <v>606400</v>
      </c>
      <c r="AG3318" t="n">
        <v>73298.60000000001</v>
      </c>
      <c r="AH3318" t="n">
        <v>533101.4</v>
      </c>
      <c r="AI3318" t="n">
        <v>0</v>
      </c>
    </row>
    <row r="3319">
      <c r="A3319" t="inlineStr">
        <is>
          <t>4월</t>
        </is>
      </c>
      <c r="B3319" t="inlineStr">
        <is>
          <t>16주차</t>
        </is>
      </c>
      <c r="C3319" t="inlineStr">
        <is>
          <t>EP</t>
        </is>
      </c>
      <c r="D3319" s="28" t="n">
        <v>46128</v>
      </c>
      <c r="E3319" t="inlineStr">
        <is>
          <t>현대EP_fast</t>
        </is>
      </c>
      <c r="F3319" t="inlineStr">
        <is>
          <t>이범균</t>
        </is>
      </c>
      <c r="G3319" t="inlineStr">
        <is>
          <t>010-5585-5354</t>
        </is>
      </c>
      <c r="H3319" t="inlineStr">
        <is>
          <t>28소3188</t>
        </is>
      </c>
      <c r="I3319" t="n">
        <v>9900000</v>
      </c>
      <c r="J3319" t="n">
        <v>0.102</v>
      </c>
      <c r="K3319" t="n">
        <v>1.76</v>
      </c>
      <c r="L3319" t="n">
        <v>0.2</v>
      </c>
      <c r="M3319" t="n">
        <v>1.56</v>
      </c>
      <c r="P3319" t="inlineStr">
        <is>
          <t>정세빈</t>
        </is>
      </c>
      <c r="Q3319" t="inlineStr">
        <is>
          <t>홈서비스 36개월</t>
        </is>
      </c>
      <c r="AB3319" t="inlineStr">
        <is>
          <t>홈서비스</t>
        </is>
      </c>
      <c r="AC3319" t="n">
        <v>174240</v>
      </c>
      <c r="AD3319" t="n">
        <v>19800</v>
      </c>
      <c r="AE3319" t="n">
        <v>154440</v>
      </c>
      <c r="AF3319" t="n">
        <v>158400</v>
      </c>
      <c r="AG3319" t="n">
        <v>19146.6</v>
      </c>
      <c r="AH3319" t="n">
        <v>139253.4</v>
      </c>
      <c r="AI3319" t="n">
        <v>0</v>
      </c>
    </row>
    <row r="3320">
      <c r="A3320" t="inlineStr">
        <is>
          <t>4월</t>
        </is>
      </c>
      <c r="B3320" t="inlineStr">
        <is>
          <t>16주차</t>
        </is>
      </c>
      <c r="C3320" t="inlineStr">
        <is>
          <t>OR</t>
        </is>
      </c>
      <c r="D3320" s="28" t="n">
        <v>46127</v>
      </c>
      <c r="E3320" t="inlineStr">
        <is>
          <t>오릭스</t>
        </is>
      </c>
      <c r="F3320" t="inlineStr">
        <is>
          <t>김성대</t>
        </is>
      </c>
      <c r="G3320" t="inlineStr">
        <is>
          <t>010-8018-6961</t>
        </is>
      </c>
      <c r="H3320" t="inlineStr">
        <is>
          <t>307저4746</t>
        </is>
      </c>
      <c r="I3320" t="n">
        <v>14000000</v>
      </c>
      <c r="J3320" t="n">
        <v>0.059</v>
      </c>
      <c r="K3320" t="n">
        <v>1.65</v>
      </c>
      <c r="L3320" t="n">
        <v>0.07000000000000001</v>
      </c>
      <c r="M3320" t="n">
        <v>1.58</v>
      </c>
      <c r="P3320" t="inlineStr">
        <is>
          <t>김나윤</t>
        </is>
      </c>
      <c r="Q3320" t="inlineStr">
        <is>
          <t>홈서비스 48개월 / 금리불만 현대 7.7%</t>
        </is>
      </c>
      <c r="AB3320" t="inlineStr">
        <is>
          <t>홈서비스</t>
        </is>
      </c>
      <c r="AC3320" t="n">
        <v>231000</v>
      </c>
      <c r="AD3320" t="n">
        <v>9800</v>
      </c>
      <c r="AE3320" t="n">
        <v>221200</v>
      </c>
      <c r="AF3320" t="n">
        <v>210000</v>
      </c>
      <c r="AG3320" t="n">
        <v>9476.6</v>
      </c>
      <c r="AH3320" t="n">
        <v>200523.4</v>
      </c>
    </row>
    <row r="3321">
      <c r="A3321" t="inlineStr">
        <is>
          <t>4월</t>
        </is>
      </c>
      <c r="B3321" t="inlineStr">
        <is>
          <t>16주차</t>
        </is>
      </c>
      <c r="C3321" t="inlineStr">
        <is>
          <t>EP</t>
        </is>
      </c>
      <c r="D3321" s="28" t="n">
        <v>46126</v>
      </c>
      <c r="E3321" t="inlineStr">
        <is>
          <t>제이비EP</t>
        </is>
      </c>
      <c r="F3321" t="inlineStr">
        <is>
          <t>임근태</t>
        </is>
      </c>
      <c r="G3321" t="inlineStr">
        <is>
          <t>010-6783-0921</t>
        </is>
      </c>
      <c r="H3321" t="inlineStr">
        <is>
          <t>31버1210</t>
        </is>
      </c>
      <c r="I3321" t="n">
        <v>11900000</v>
      </c>
      <c r="J3321" t="n">
        <v>0.079</v>
      </c>
      <c r="K3321" t="n">
        <v>1.65</v>
      </c>
      <c r="L3321" t="n">
        <v>0.3</v>
      </c>
      <c r="M3321" t="n">
        <v>1.35</v>
      </c>
      <c r="P3321" t="inlineStr">
        <is>
          <t>구성완</t>
        </is>
      </c>
      <c r="Q3321" t="inlineStr">
        <is>
          <t>부대비 일부 추가진행</t>
        </is>
      </c>
      <c r="AB3321" t="inlineStr">
        <is>
          <t>엔카</t>
        </is>
      </c>
      <c r="AC3321" t="n">
        <v>196350</v>
      </c>
      <c r="AD3321" t="n">
        <v>35700</v>
      </c>
      <c r="AE3321" t="n">
        <v>160650</v>
      </c>
      <c r="AF3321" t="n">
        <v>178500</v>
      </c>
      <c r="AG3321" t="n">
        <v>34521.9</v>
      </c>
      <c r="AH3321" t="n">
        <v>143978.1</v>
      </c>
    </row>
    <row r="3322">
      <c r="A3322" t="inlineStr">
        <is>
          <t>4월</t>
        </is>
      </c>
      <c r="B3322" t="inlineStr">
        <is>
          <t>16주차</t>
        </is>
      </c>
      <c r="C3322" t="inlineStr">
        <is>
          <t>EP</t>
        </is>
      </c>
      <c r="D3322" s="28" t="n">
        <v>46128</v>
      </c>
      <c r="E3322" t="inlineStr">
        <is>
          <t>현대EP_fast</t>
        </is>
      </c>
      <c r="F3322" t="inlineStr">
        <is>
          <t>김진환</t>
        </is>
      </c>
      <c r="G3322" t="inlineStr">
        <is>
          <t>010-3501-7729</t>
        </is>
      </c>
      <c r="H3322" t="inlineStr">
        <is>
          <t>163조7565</t>
        </is>
      </c>
      <c r="I3322" t="n">
        <v>34400000</v>
      </c>
      <c r="J3322" t="n">
        <v>0.092</v>
      </c>
      <c r="K3322" t="n">
        <v>1.76</v>
      </c>
      <c r="L3322" t="n">
        <v>0.2</v>
      </c>
      <c r="M3322" t="n">
        <v>1.56</v>
      </c>
      <c r="P3322" t="inlineStr">
        <is>
          <t>김나윤</t>
        </is>
      </c>
      <c r="Q3322" t="inlineStr">
        <is>
          <t>홈서비스 60개월</t>
        </is>
      </c>
      <c r="AB3322" t="inlineStr">
        <is>
          <t>홈서비스</t>
        </is>
      </c>
      <c r="AC3322" t="n">
        <v>605440</v>
      </c>
      <c r="AD3322" t="n">
        <v>68800</v>
      </c>
      <c r="AE3322" t="n">
        <v>536640</v>
      </c>
      <c r="AF3322" t="n">
        <v>550400</v>
      </c>
      <c r="AG3322" t="n">
        <v>66529.60000000001</v>
      </c>
      <c r="AH3322" t="n">
        <v>483870.4</v>
      </c>
      <c r="AI3322" t="n">
        <v>0</v>
      </c>
    </row>
    <row r="3323">
      <c r="A3323" t="inlineStr">
        <is>
          <t>4월</t>
        </is>
      </c>
      <c r="B3323" t="inlineStr">
        <is>
          <t>16주차</t>
        </is>
      </c>
      <c r="C3323" t="inlineStr">
        <is>
          <t>WC</t>
        </is>
      </c>
      <c r="D3323" s="28" t="n">
        <v>46128</v>
      </c>
      <c r="E3323" t="inlineStr">
        <is>
          <t>웰컴저축은행</t>
        </is>
      </c>
      <c r="F3323" t="inlineStr">
        <is>
          <t>정은혜</t>
        </is>
      </c>
      <c r="G3323" t="inlineStr">
        <is>
          <t>010-5416-7319</t>
        </is>
      </c>
      <c r="H3323" t="inlineStr">
        <is>
          <t>83보1313</t>
        </is>
      </c>
      <c r="I3323" t="n">
        <v>6900000</v>
      </c>
      <c r="J3323" t="n">
        <v>0.139</v>
      </c>
      <c r="K3323" t="n">
        <v>2.2</v>
      </c>
      <c r="L3323" t="n">
        <v>0.3</v>
      </c>
      <c r="M3323" t="n">
        <v>1.9</v>
      </c>
      <c r="P3323" t="inlineStr">
        <is>
          <t>김수연</t>
        </is>
      </c>
      <c r="Q3323" t="inlineStr">
        <is>
          <t>부결 db실행 /부대비용 추가진행</t>
        </is>
      </c>
      <c r="AB3323" t="inlineStr">
        <is>
          <t>엔카</t>
        </is>
      </c>
      <c r="AC3323" t="n">
        <v>151800</v>
      </c>
      <c r="AD3323" t="n">
        <v>20700</v>
      </c>
      <c r="AE3323" t="n">
        <v>131100</v>
      </c>
      <c r="AF3323" t="n">
        <v>138000</v>
      </c>
      <c r="AG3323" t="n">
        <v>20016.9</v>
      </c>
      <c r="AH3323" t="n">
        <v>117983.1</v>
      </c>
      <c r="AI3323" t="n">
        <v>0</v>
      </c>
    </row>
    <row r="3324">
      <c r="A3324" t="inlineStr">
        <is>
          <t>4월</t>
        </is>
      </c>
      <c r="B3324" t="inlineStr">
        <is>
          <t>16주차</t>
        </is>
      </c>
      <c r="C3324" t="inlineStr">
        <is>
          <t>WC</t>
        </is>
      </c>
      <c r="D3324" s="28" t="n">
        <v>46128</v>
      </c>
      <c r="E3324" t="inlineStr">
        <is>
          <t>웰컴저축은행</t>
        </is>
      </c>
      <c r="F3324" t="inlineStr">
        <is>
          <t>이재민</t>
        </is>
      </c>
      <c r="G3324" t="inlineStr">
        <is>
          <t>010-4022-7694</t>
        </is>
      </c>
      <c r="H3324" t="inlineStr">
        <is>
          <t>67로6222</t>
        </is>
      </c>
      <c r="I3324" t="n">
        <v>12500000</v>
      </c>
      <c r="J3324" t="n">
        <v>0.154</v>
      </c>
      <c r="K3324" t="n">
        <v>2.2</v>
      </c>
      <c r="L3324" t="n">
        <v>0.07000000000000001</v>
      </c>
      <c r="M3324" t="n">
        <v>2.13</v>
      </c>
      <c r="P3324" t="inlineStr">
        <is>
          <t>김나윤</t>
        </is>
      </c>
      <c r="Q3324" t="inlineStr">
        <is>
          <t>부결 db실행 / 홈서비스 60개월</t>
        </is>
      </c>
      <c r="AB3324" t="inlineStr">
        <is>
          <t>홈서비스</t>
        </is>
      </c>
      <c r="AC3324" t="n">
        <v>275000</v>
      </c>
      <c r="AD3324" t="n">
        <v>8750</v>
      </c>
      <c r="AE3324" t="n">
        <v>266250</v>
      </c>
      <c r="AF3324" t="n">
        <v>250000</v>
      </c>
      <c r="AG3324" t="n">
        <v>8461.25</v>
      </c>
      <c r="AH3324" t="n">
        <v>241538.75</v>
      </c>
      <c r="AI3324" t="n">
        <v>0</v>
      </c>
    </row>
    <row r="3325">
      <c r="A3325" t="inlineStr">
        <is>
          <t>4월</t>
        </is>
      </c>
      <c r="B3325" t="inlineStr">
        <is>
          <t>16주차</t>
        </is>
      </c>
      <c r="C3325" t="inlineStr">
        <is>
          <t>EP</t>
        </is>
      </c>
      <c r="D3325" s="28" t="n">
        <v>46128</v>
      </c>
      <c r="E3325" t="inlineStr">
        <is>
          <t>현대EP</t>
        </is>
      </c>
      <c r="F3325" t="inlineStr">
        <is>
          <t>김재천</t>
        </is>
      </c>
      <c r="G3325" t="inlineStr">
        <is>
          <t>010-8274-3003</t>
        </is>
      </c>
      <c r="H3325" t="inlineStr">
        <is>
          <t>256부5180</t>
        </is>
      </c>
      <c r="I3325" t="n">
        <v>6000000</v>
      </c>
      <c r="J3325" t="n">
        <v>0.062</v>
      </c>
      <c r="K3325" t="n">
        <v>1.76</v>
      </c>
      <c r="L3325" t="n">
        <v>0.2</v>
      </c>
      <c r="M3325" t="n">
        <v>1.56</v>
      </c>
      <c r="P3325" t="inlineStr">
        <is>
          <t>김나윤</t>
        </is>
      </c>
      <c r="Q3325" t="inlineStr">
        <is>
          <t>홈서비스 36개월</t>
        </is>
      </c>
      <c r="AB3325" t="inlineStr">
        <is>
          <t>홈서비스</t>
        </is>
      </c>
      <c r="AC3325" t="n">
        <v>105600</v>
      </c>
      <c r="AD3325" t="n">
        <v>12000</v>
      </c>
      <c r="AE3325" t="n">
        <v>93600</v>
      </c>
      <c r="AF3325" t="n">
        <v>96000</v>
      </c>
      <c r="AG3325" t="n">
        <v>11604</v>
      </c>
      <c r="AH3325" t="n">
        <v>84396</v>
      </c>
      <c r="AI3325" t="n">
        <v>0</v>
      </c>
    </row>
    <row r="3326">
      <c r="A3326" t="inlineStr">
        <is>
          <t>4월</t>
        </is>
      </c>
      <c r="B3326" t="inlineStr">
        <is>
          <t>16주차</t>
        </is>
      </c>
      <c r="C3326" t="inlineStr">
        <is>
          <t>EP</t>
        </is>
      </c>
      <c r="D3326" s="28" t="n">
        <v>46127</v>
      </c>
      <c r="E3326" t="inlineStr">
        <is>
          <t>현대EP_fast</t>
        </is>
      </c>
      <c r="F3326" t="inlineStr">
        <is>
          <t>김문석</t>
        </is>
      </c>
      <c r="G3326" t="inlineStr">
        <is>
          <t>010-2814-6944</t>
        </is>
      </c>
      <c r="H3326" t="inlineStr">
        <is>
          <t>227가9742</t>
        </is>
      </c>
      <c r="I3326" t="n">
        <v>26900000</v>
      </c>
      <c r="J3326" t="n">
        <v>0.118</v>
      </c>
      <c r="K3326" t="n">
        <v>1.76</v>
      </c>
      <c r="L3326" t="n">
        <v>0.6</v>
      </c>
      <c r="M3326" t="n">
        <v>1.16</v>
      </c>
      <c r="P3326" t="inlineStr">
        <is>
          <t>임대경</t>
        </is>
      </c>
      <c r="AB3326" t="inlineStr">
        <is>
          <t>엔카</t>
        </is>
      </c>
      <c r="AC3326" t="n">
        <v>473440</v>
      </c>
      <c r="AD3326" t="n">
        <v>161400</v>
      </c>
      <c r="AE3326" t="n">
        <v>312040</v>
      </c>
      <c r="AF3326" t="n">
        <v>430400</v>
      </c>
      <c r="AG3326" t="n">
        <v>156073.8</v>
      </c>
      <c r="AH3326" t="n">
        <v>274326.2</v>
      </c>
      <c r="AI3326" t="n">
        <v>0</v>
      </c>
    </row>
    <row r="3327">
      <c r="A3327" t="inlineStr">
        <is>
          <t>4월</t>
        </is>
      </c>
      <c r="B3327" t="inlineStr">
        <is>
          <t>16주차</t>
        </is>
      </c>
      <c r="C3327" t="inlineStr">
        <is>
          <t>EP</t>
        </is>
      </c>
      <c r="D3327" s="28" t="n">
        <v>46128</v>
      </c>
      <c r="E3327" t="inlineStr">
        <is>
          <t>BNKEP</t>
        </is>
      </c>
      <c r="F3327" t="inlineStr">
        <is>
          <t>이지영</t>
        </is>
      </c>
      <c r="G3327" t="inlineStr">
        <is>
          <t>010-3428-8001</t>
        </is>
      </c>
      <c r="H3327" t="inlineStr">
        <is>
          <t>49우7333</t>
        </is>
      </c>
      <c r="I3327" t="n">
        <v>17000000</v>
      </c>
      <c r="J3327" t="n">
        <v>0.067</v>
      </c>
      <c r="K3327" t="n">
        <v>1.65</v>
      </c>
      <c r="L3327" t="n">
        <v>0.07000000000000001</v>
      </c>
      <c r="M3327" t="n">
        <v>1.58</v>
      </c>
      <c r="P3327" t="inlineStr">
        <is>
          <t>김수연</t>
        </is>
      </c>
      <c r="Q3327" t="inlineStr">
        <is>
          <t>홈서비스 36개월</t>
        </is>
      </c>
      <c r="AB3327" t="inlineStr">
        <is>
          <t>홈서비스</t>
        </is>
      </c>
      <c r="AC3327" t="n">
        <v>280500</v>
      </c>
      <c r="AD3327" t="n">
        <v>11900</v>
      </c>
      <c r="AE3327" t="n">
        <v>268600</v>
      </c>
      <c r="AF3327" t="n">
        <v>255000</v>
      </c>
      <c r="AG3327" t="n">
        <v>11507.3</v>
      </c>
      <c r="AH3327" t="n">
        <v>243492.7</v>
      </c>
    </row>
    <row r="3328">
      <c r="A3328" t="inlineStr">
        <is>
          <t>4월</t>
        </is>
      </c>
      <c r="B3328" t="inlineStr">
        <is>
          <t>16주차</t>
        </is>
      </c>
      <c r="C3328" t="inlineStr">
        <is>
          <t>IM</t>
        </is>
      </c>
      <c r="D3328" s="28" t="n">
        <v>46128</v>
      </c>
      <c r="E3328" t="inlineStr">
        <is>
          <t>IM캐피탈</t>
        </is>
      </c>
      <c r="F3328" t="inlineStr">
        <is>
          <t>임태훈</t>
        </is>
      </c>
      <c r="G3328" t="inlineStr">
        <is>
          <t>010-2859-9946</t>
        </is>
      </c>
      <c r="H3328" t="inlineStr">
        <is>
          <t>64버7952</t>
        </is>
      </c>
      <c r="I3328" t="n">
        <v>6300000</v>
      </c>
      <c r="J3328" t="n">
        <v>0.049</v>
      </c>
      <c r="K3328" t="n">
        <v>1.1</v>
      </c>
      <c r="L3328" t="n">
        <v>0.07000000000000001</v>
      </c>
      <c r="M3328" t="n">
        <v>1.03</v>
      </c>
      <c r="P3328" t="inlineStr">
        <is>
          <t>황채이</t>
        </is>
      </c>
      <c r="Q3328" t="inlineStr">
        <is>
          <t xml:space="preserve">홈서비스 24개월 </t>
        </is>
      </c>
      <c r="AB3328" t="inlineStr">
        <is>
          <t>홈서비스</t>
        </is>
      </c>
      <c r="AC3328" t="n">
        <v>69300</v>
      </c>
      <c r="AD3328" t="n">
        <v>4410</v>
      </c>
      <c r="AE3328" t="n">
        <v>64890</v>
      </c>
      <c r="AF3328" t="n">
        <v>63000</v>
      </c>
      <c r="AG3328" t="n">
        <v>4264.47</v>
      </c>
      <c r="AH3328" t="n">
        <v>58735.53</v>
      </c>
    </row>
    <row r="3329">
      <c r="A3329" t="inlineStr">
        <is>
          <t>4월</t>
        </is>
      </c>
      <c r="B3329" t="inlineStr">
        <is>
          <t>16주차</t>
        </is>
      </c>
      <c r="C3329" t="inlineStr">
        <is>
          <t>EP</t>
        </is>
      </c>
      <c r="D3329" s="28" t="n">
        <v>46128</v>
      </c>
      <c r="E3329" t="inlineStr">
        <is>
          <t>현대EP</t>
        </is>
      </c>
      <c r="F3329" t="inlineStr">
        <is>
          <t>박봉석</t>
        </is>
      </c>
      <c r="G3329" t="inlineStr">
        <is>
          <t>010-2751-0321</t>
        </is>
      </c>
      <c r="H3329" t="inlineStr">
        <is>
          <t>387우3691</t>
        </is>
      </c>
      <c r="I3329" t="n">
        <v>25700000</v>
      </c>
      <c r="J3329" t="n">
        <v>0.14</v>
      </c>
      <c r="K3329" t="n">
        <v>1.76</v>
      </c>
      <c r="L3329" t="n">
        <v>0.2</v>
      </c>
      <c r="M3329" t="n">
        <v>1.56</v>
      </c>
      <c r="P3329" t="inlineStr">
        <is>
          <t>김수연</t>
        </is>
      </c>
      <c r="Q3329" t="inlineStr">
        <is>
          <t>홈서비스 48개월</t>
        </is>
      </c>
      <c r="AB3329" t="inlineStr">
        <is>
          <t>홈서비스</t>
        </is>
      </c>
      <c r="AC3329" t="n">
        <v>452320</v>
      </c>
      <c r="AD3329" t="n">
        <v>51400</v>
      </c>
      <c r="AE3329" t="n">
        <v>400920</v>
      </c>
      <c r="AF3329" t="n">
        <v>411200</v>
      </c>
      <c r="AG3329" t="n">
        <v>49703.8</v>
      </c>
      <c r="AH3329" t="n">
        <v>361496.2</v>
      </c>
    </row>
    <row r="3330">
      <c r="A3330" t="inlineStr">
        <is>
          <t>4월</t>
        </is>
      </c>
      <c r="B3330" t="inlineStr">
        <is>
          <t>16주차</t>
        </is>
      </c>
      <c r="C3330" t="inlineStr">
        <is>
          <t>EP</t>
        </is>
      </c>
      <c r="D3330" s="28" t="n">
        <v>46128</v>
      </c>
      <c r="E3330" t="inlineStr">
        <is>
          <t>현대EP_fast</t>
        </is>
      </c>
      <c r="F3330" t="inlineStr">
        <is>
          <t>강지인</t>
        </is>
      </c>
      <c r="G3330" t="inlineStr">
        <is>
          <t>010-7513-8040</t>
        </is>
      </c>
      <c r="H3330" t="inlineStr">
        <is>
          <t>267소1973</t>
        </is>
      </c>
      <c r="I3330" t="n">
        <v>25500000</v>
      </c>
      <c r="J3330" t="n">
        <v>0.09</v>
      </c>
      <c r="K3330" t="n">
        <v>1.76</v>
      </c>
      <c r="L3330" t="n">
        <v>0.2</v>
      </c>
      <c r="M3330" t="n">
        <v>1.56</v>
      </c>
      <c r="P3330" t="inlineStr">
        <is>
          <t>최혁</t>
        </is>
      </c>
      <c r="Q3330" t="inlineStr">
        <is>
          <t>홈서비스60개월</t>
        </is>
      </c>
      <c r="AB3330" t="inlineStr">
        <is>
          <t>홈서비스</t>
        </is>
      </c>
      <c r="AC3330" t="n">
        <v>448800</v>
      </c>
      <c r="AD3330" t="n">
        <v>51000</v>
      </c>
      <c r="AE3330" t="n">
        <v>397800</v>
      </c>
      <c r="AF3330" t="n">
        <v>408000</v>
      </c>
      <c r="AG3330" t="n">
        <v>49317</v>
      </c>
      <c r="AH3330" t="n">
        <v>358683</v>
      </c>
    </row>
    <row r="3331">
      <c r="A3331" t="inlineStr">
        <is>
          <t>4월</t>
        </is>
      </c>
      <c r="B3331" t="inlineStr">
        <is>
          <t>16주차</t>
        </is>
      </c>
      <c r="C3331" t="inlineStr">
        <is>
          <t>EP</t>
        </is>
      </c>
      <c r="D3331" s="28" t="n">
        <v>46127</v>
      </c>
      <c r="E3331" t="inlineStr">
        <is>
          <t>현대EP_fast</t>
        </is>
      </c>
      <c r="F3331" t="inlineStr">
        <is>
          <t>한승민</t>
        </is>
      </c>
      <c r="G3331" t="inlineStr">
        <is>
          <t>010-9879-0891</t>
        </is>
      </c>
      <c r="H3331" t="inlineStr">
        <is>
          <t>30머8951</t>
        </is>
      </c>
      <c r="I3331" t="n">
        <v>14000000</v>
      </c>
      <c r="J3331" t="n">
        <v>0.102</v>
      </c>
      <c r="K3331" t="n">
        <v>1.76</v>
      </c>
      <c r="L3331" t="n">
        <v>0.6</v>
      </c>
      <c r="M3331" t="n">
        <v>1.16</v>
      </c>
      <c r="P3331" t="inlineStr">
        <is>
          <t>박소현</t>
        </is>
      </c>
      <c r="AB3331" t="inlineStr">
        <is>
          <t>엔카</t>
        </is>
      </c>
      <c r="AC3331" t="n">
        <v>246400</v>
      </c>
      <c r="AD3331" t="n">
        <v>84000</v>
      </c>
      <c r="AE3331" t="n">
        <v>162400</v>
      </c>
      <c r="AF3331" t="n">
        <v>224000</v>
      </c>
      <c r="AG3331" t="n">
        <v>81228</v>
      </c>
      <c r="AH3331" t="n">
        <v>142772</v>
      </c>
      <c r="AI3331" t="n">
        <v>0</v>
      </c>
    </row>
    <row r="3332">
      <c r="A3332" t="inlineStr">
        <is>
          <t>4월</t>
        </is>
      </c>
      <c r="B3332" t="inlineStr">
        <is>
          <t>16주차</t>
        </is>
      </c>
      <c r="C3332" t="inlineStr">
        <is>
          <t>EP</t>
        </is>
      </c>
      <c r="D3332" s="28" t="n">
        <v>46129</v>
      </c>
      <c r="E3332" t="inlineStr">
        <is>
          <t>BNKEP</t>
        </is>
      </c>
      <c r="F3332" t="inlineStr">
        <is>
          <t>정의린</t>
        </is>
      </c>
      <c r="G3332" t="inlineStr">
        <is>
          <t>010-8916-8234</t>
        </is>
      </c>
      <c r="H3332" t="inlineStr">
        <is>
          <t>69어0779</t>
        </is>
      </c>
      <c r="I3332" t="n">
        <v>8700000</v>
      </c>
      <c r="J3332" t="n">
        <v>0.117</v>
      </c>
      <c r="K3332" t="n">
        <v>1.65</v>
      </c>
      <c r="L3332" t="n">
        <v>0.07000000000000001</v>
      </c>
      <c r="M3332" t="n">
        <v>1.58</v>
      </c>
      <c r="P3332" t="inlineStr">
        <is>
          <t>황채이</t>
        </is>
      </c>
      <c r="Q3332" t="inlineStr">
        <is>
          <t>홈서비스 48개월</t>
        </is>
      </c>
      <c r="AB3332" t="inlineStr">
        <is>
          <t>홈서비스</t>
        </is>
      </c>
      <c r="AC3332" t="n">
        <v>143550</v>
      </c>
      <c r="AD3332" t="n">
        <v>6090</v>
      </c>
      <c r="AE3332" t="n">
        <v>137460</v>
      </c>
      <c r="AF3332" t="n">
        <v>130500</v>
      </c>
      <c r="AG3332" t="n">
        <v>5889.03</v>
      </c>
      <c r="AH3332" t="n">
        <v>124610.97</v>
      </c>
      <c r="AI3332" t="n">
        <v>0</v>
      </c>
    </row>
    <row r="3333">
      <c r="A3333" t="inlineStr">
        <is>
          <t>4월</t>
        </is>
      </c>
      <c r="B3333" t="inlineStr">
        <is>
          <t>16주차</t>
        </is>
      </c>
      <c r="C3333" t="inlineStr">
        <is>
          <t>EP</t>
        </is>
      </c>
      <c r="D3333" s="28" t="n">
        <v>46128</v>
      </c>
      <c r="E3333" t="inlineStr">
        <is>
          <t>제이비EP</t>
        </is>
      </c>
      <c r="F3333" t="inlineStr">
        <is>
          <t>양동민</t>
        </is>
      </c>
      <c r="G3333" t="inlineStr">
        <is>
          <t>010-4682-0631</t>
        </is>
      </c>
      <c r="H3333" t="inlineStr">
        <is>
          <t>53소7938</t>
        </is>
      </c>
      <c r="I3333" t="n">
        <v>31300000</v>
      </c>
      <c r="J3333" t="n">
        <v>0.08500000000000001</v>
      </c>
      <c r="K3333" t="n">
        <v>1.65</v>
      </c>
      <c r="L3333" t="n">
        <v>0.3</v>
      </c>
      <c r="M3333" t="n">
        <v>1.35</v>
      </c>
      <c r="P3333" t="inlineStr">
        <is>
          <t>박현민</t>
        </is>
      </c>
      <c r="Q3333" t="inlineStr">
        <is>
          <t>부대비용 추가진행</t>
        </is>
      </c>
      <c r="AB3333" t="inlineStr">
        <is>
          <t>엔카</t>
        </is>
      </c>
      <c r="AC3333" t="n">
        <v>516450</v>
      </c>
      <c r="AD3333" t="n">
        <v>93900</v>
      </c>
      <c r="AE3333" t="n">
        <v>422550</v>
      </c>
      <c r="AF3333" t="n">
        <v>469500</v>
      </c>
      <c r="AG3333" t="n">
        <v>90801.3</v>
      </c>
      <c r="AH3333" t="n">
        <v>378698.7</v>
      </c>
      <c r="AI3333" t="n">
        <v>0</v>
      </c>
    </row>
    <row r="3334">
      <c r="A3334" t="inlineStr">
        <is>
          <t>4월</t>
        </is>
      </c>
      <c r="B3334" t="inlineStr">
        <is>
          <t>16주차</t>
        </is>
      </c>
      <c r="C3334" t="inlineStr">
        <is>
          <t>EP</t>
        </is>
      </c>
      <c r="D3334" s="28" t="n">
        <v>46128</v>
      </c>
      <c r="E3334" t="inlineStr">
        <is>
          <t>현대EP_fast</t>
        </is>
      </c>
      <c r="F3334" t="inlineStr">
        <is>
          <t>맹경태</t>
        </is>
      </c>
      <c r="G3334" t="inlineStr">
        <is>
          <t>010-2410-9210</t>
        </is>
      </c>
      <c r="H3334" t="inlineStr">
        <is>
          <t>291무1392</t>
        </is>
      </c>
      <c r="I3334" t="n">
        <v>25800000</v>
      </c>
      <c r="J3334" t="n">
        <v>0.092</v>
      </c>
      <c r="K3334" t="n">
        <v>1.76</v>
      </c>
      <c r="L3334" t="n">
        <v>0.2</v>
      </c>
      <c r="M3334" t="n">
        <v>1.56</v>
      </c>
      <c r="P3334" t="inlineStr">
        <is>
          <t>장진경</t>
        </is>
      </c>
      <c r="Q3334" t="inlineStr">
        <is>
          <t>선상담 / 홈서비스 60개월</t>
        </is>
      </c>
      <c r="AB3334" t="inlineStr">
        <is>
          <t>홈서비스</t>
        </is>
      </c>
      <c r="AC3334" t="n">
        <v>454080</v>
      </c>
      <c r="AD3334" t="n">
        <v>51600</v>
      </c>
      <c r="AE3334" t="n">
        <v>402480</v>
      </c>
      <c r="AF3334" t="n">
        <v>412800</v>
      </c>
      <c r="AG3334" t="n">
        <v>49897.2</v>
      </c>
      <c r="AH3334" t="n">
        <v>362902.8</v>
      </c>
    </row>
    <row r="3335">
      <c r="A3335" t="inlineStr">
        <is>
          <t>4월</t>
        </is>
      </c>
      <c r="B3335" t="inlineStr">
        <is>
          <t>16주차</t>
        </is>
      </c>
      <c r="C3335" t="inlineStr">
        <is>
          <t>EP</t>
        </is>
      </c>
      <c r="D3335" s="28" t="n">
        <v>46127</v>
      </c>
      <c r="E3335" t="inlineStr">
        <is>
          <t>현대EP</t>
        </is>
      </c>
      <c r="F3335" t="inlineStr">
        <is>
          <t>박기성</t>
        </is>
      </c>
      <c r="G3335" t="inlineStr">
        <is>
          <t>010-4823-3338</t>
        </is>
      </c>
      <c r="H3335" t="inlineStr">
        <is>
          <t>60로1919</t>
        </is>
      </c>
      <c r="I3335" t="n">
        <v>20000000</v>
      </c>
      <c r="J3335" t="n">
        <v>0.081</v>
      </c>
      <c r="K3335" t="n">
        <v>1.76</v>
      </c>
      <c r="L3335" t="n">
        <v>0.2</v>
      </c>
      <c r="M3335" t="n">
        <v>1.56</v>
      </c>
      <c r="P3335" t="inlineStr">
        <is>
          <t>정광호</t>
        </is>
      </c>
      <c r="AB3335" t="inlineStr">
        <is>
          <t>홈서비스</t>
        </is>
      </c>
      <c r="AC3335" t="n">
        <v>352000</v>
      </c>
      <c r="AD3335" t="n">
        <v>40000</v>
      </c>
      <c r="AE3335" t="n">
        <v>312000</v>
      </c>
      <c r="AF3335" t="n">
        <v>320000</v>
      </c>
      <c r="AG3335" t="n">
        <v>38680</v>
      </c>
      <c r="AH3335" t="n">
        <v>281320</v>
      </c>
      <c r="AI3335" t="n">
        <v>0</v>
      </c>
    </row>
    <row r="3336">
      <c r="A3336" t="inlineStr">
        <is>
          <t>4월</t>
        </is>
      </c>
      <c r="B3336" t="inlineStr">
        <is>
          <t>16주차</t>
        </is>
      </c>
      <c r="C3336" t="inlineStr">
        <is>
          <t>IM</t>
        </is>
      </c>
      <c r="D3336" s="28" t="n">
        <v>46128</v>
      </c>
      <c r="E3336" t="inlineStr">
        <is>
          <t>IM캐피탈</t>
        </is>
      </c>
      <c r="F3336" t="inlineStr">
        <is>
          <t>이상명</t>
        </is>
      </c>
      <c r="G3336" t="inlineStr">
        <is>
          <t>010-4399-6511</t>
        </is>
      </c>
      <c r="H3336" t="inlineStr">
        <is>
          <t>45다4699</t>
        </is>
      </c>
      <c r="I3336" t="n">
        <v>23000000</v>
      </c>
      <c r="J3336" t="n">
        <v>0.049</v>
      </c>
      <c r="K3336" t="n">
        <v>1.1</v>
      </c>
      <c r="L3336" t="n">
        <v>0.3</v>
      </c>
      <c r="M3336" t="n">
        <v>0.8</v>
      </c>
      <c r="P3336" t="inlineStr">
        <is>
          <t>박소현</t>
        </is>
      </c>
      <c r="Q3336" t="inlineStr">
        <is>
          <t>현대 7.8%</t>
        </is>
      </c>
      <c r="AB3336" t="inlineStr">
        <is>
          <t>엔카</t>
        </is>
      </c>
      <c r="AC3336" t="n">
        <v>253000</v>
      </c>
      <c r="AD3336" t="n">
        <v>69000</v>
      </c>
      <c r="AE3336" t="n">
        <v>184000</v>
      </c>
      <c r="AF3336" t="n">
        <v>230000</v>
      </c>
      <c r="AG3336" t="n">
        <v>66723</v>
      </c>
      <c r="AH3336" t="n">
        <v>163277</v>
      </c>
      <c r="AI3336" t="n">
        <v>0</v>
      </c>
    </row>
    <row r="3337">
      <c r="A3337" t="inlineStr">
        <is>
          <t>4월</t>
        </is>
      </c>
      <c r="B3337" t="inlineStr">
        <is>
          <t>16주차</t>
        </is>
      </c>
      <c r="C3337" t="inlineStr">
        <is>
          <t>EP</t>
        </is>
      </c>
      <c r="D3337" s="28" t="n">
        <v>46128</v>
      </c>
      <c r="E3337" t="inlineStr">
        <is>
          <t>현대EP</t>
        </is>
      </c>
      <c r="F3337" t="inlineStr">
        <is>
          <t>박우석</t>
        </is>
      </c>
      <c r="G3337" t="inlineStr">
        <is>
          <t>010-4468-4018</t>
        </is>
      </c>
      <c r="H3337" t="inlineStr">
        <is>
          <t>225버4731</t>
        </is>
      </c>
      <c r="I3337" t="n">
        <v>30000000</v>
      </c>
      <c r="J3337" t="n">
        <v>0.074</v>
      </c>
      <c r="K3337" t="n">
        <v>1.76</v>
      </c>
      <c r="L3337" t="n">
        <v>0.2</v>
      </c>
      <c r="M3337" t="n">
        <v>1.56</v>
      </c>
      <c r="P3337" t="inlineStr">
        <is>
          <t>김나윤</t>
        </is>
      </c>
      <c r="Q3337" t="inlineStr">
        <is>
          <t>홈서비스 60개월</t>
        </is>
      </c>
      <c r="AB3337" t="inlineStr">
        <is>
          <t>홈서비스</t>
        </is>
      </c>
      <c r="AC3337" t="n">
        <v>528000</v>
      </c>
      <c r="AD3337" t="n">
        <v>60000</v>
      </c>
      <c r="AE3337" t="n">
        <v>468000</v>
      </c>
      <c r="AF3337" t="n">
        <v>480000</v>
      </c>
      <c r="AG3337" t="n">
        <v>58020</v>
      </c>
      <c r="AH3337" t="n">
        <v>421980</v>
      </c>
      <c r="AI3337" t="n">
        <v>0</v>
      </c>
    </row>
    <row r="3338">
      <c r="A3338" t="inlineStr">
        <is>
          <t>4월</t>
        </is>
      </c>
      <c r="B3338" t="inlineStr">
        <is>
          <t>16주차</t>
        </is>
      </c>
      <c r="C3338" t="inlineStr">
        <is>
          <t>IM</t>
        </is>
      </c>
      <c r="D3338" s="28" t="n">
        <v>46129</v>
      </c>
      <c r="E3338" t="inlineStr">
        <is>
          <t>IM캐피탈</t>
        </is>
      </c>
      <c r="F3338" t="inlineStr">
        <is>
          <t>안희주</t>
        </is>
      </c>
      <c r="G3338" t="inlineStr">
        <is>
          <t>010-6653-6500</t>
        </is>
      </c>
      <c r="H3338" t="inlineStr">
        <is>
          <t>223루7493</t>
        </is>
      </c>
      <c r="I3338" t="n">
        <v>18000000</v>
      </c>
      <c r="J3338" t="n">
        <v>0.099</v>
      </c>
      <c r="K3338" t="n">
        <v>1.1</v>
      </c>
      <c r="L3338" t="n">
        <v>0.07000000000000001</v>
      </c>
      <c r="M3338" t="n">
        <v>1.03</v>
      </c>
      <c r="P3338" t="inlineStr">
        <is>
          <t>황채이</t>
        </is>
      </c>
      <c r="Q3338" t="inlineStr">
        <is>
          <t>홈서비스 60개월 / 부대비용 추가진행</t>
        </is>
      </c>
      <c r="AB3338" t="inlineStr">
        <is>
          <t>홈서비스</t>
        </is>
      </c>
      <c r="AC3338" t="n">
        <v>198000</v>
      </c>
      <c r="AD3338" t="n">
        <v>12600</v>
      </c>
      <c r="AE3338" t="n">
        <v>185400</v>
      </c>
      <c r="AF3338" t="n">
        <v>180000</v>
      </c>
      <c r="AG3338" t="n">
        <v>12184.2</v>
      </c>
      <c r="AH3338" t="n">
        <v>167815.8</v>
      </c>
    </row>
    <row r="3339">
      <c r="A3339" t="inlineStr">
        <is>
          <t>4월</t>
        </is>
      </c>
      <c r="B3339" t="inlineStr">
        <is>
          <t>16주차</t>
        </is>
      </c>
      <c r="C3339" t="inlineStr">
        <is>
          <t>EP</t>
        </is>
      </c>
      <c r="D3339" s="28" t="n">
        <v>46128</v>
      </c>
      <c r="E3339" t="inlineStr">
        <is>
          <t>현대EP_fast</t>
        </is>
      </c>
      <c r="F3339" t="inlineStr">
        <is>
          <t>김지우</t>
        </is>
      </c>
      <c r="G3339" t="inlineStr">
        <is>
          <t>010-8298-2892</t>
        </is>
      </c>
      <c r="H3339" t="inlineStr">
        <is>
          <t>107라8424</t>
        </is>
      </c>
      <c r="I3339" t="n">
        <v>37000000</v>
      </c>
      <c r="J3339" t="n">
        <v>0.07099999999999999</v>
      </c>
      <c r="K3339" t="n">
        <v>1.76</v>
      </c>
      <c r="L3339" t="n">
        <v>0.2</v>
      </c>
      <c r="M3339" t="n">
        <v>1.56</v>
      </c>
      <c r="P3339" t="inlineStr">
        <is>
          <t>최형주</t>
        </is>
      </c>
      <c r="Q3339" t="inlineStr">
        <is>
          <t>홈서비스 48개월</t>
        </is>
      </c>
      <c r="AB3339" t="inlineStr">
        <is>
          <t>홈서비스</t>
        </is>
      </c>
      <c r="AC3339" t="n">
        <v>651200</v>
      </c>
      <c r="AD3339" t="n">
        <v>74000</v>
      </c>
      <c r="AE3339" t="n">
        <v>577200</v>
      </c>
      <c r="AF3339" t="n">
        <v>592000</v>
      </c>
      <c r="AG3339" t="n">
        <v>71558</v>
      </c>
      <c r="AH3339" t="n">
        <v>520442</v>
      </c>
    </row>
    <row r="3340">
      <c r="A3340" t="inlineStr">
        <is>
          <t>4월</t>
        </is>
      </c>
      <c r="B3340" t="inlineStr">
        <is>
          <t>16주차</t>
        </is>
      </c>
      <c r="C3340" t="inlineStr">
        <is>
          <t>EP</t>
        </is>
      </c>
      <c r="D3340" s="28" t="n">
        <v>46128</v>
      </c>
      <c r="E3340" t="inlineStr">
        <is>
          <t>제이비EP</t>
        </is>
      </c>
      <c r="F3340" t="inlineStr">
        <is>
          <t>김영래</t>
        </is>
      </c>
      <c r="G3340" t="inlineStr">
        <is>
          <t>010-7361-9776</t>
        </is>
      </c>
      <c r="H3340" t="inlineStr">
        <is>
          <t>09마8741</t>
        </is>
      </c>
      <c r="I3340" t="n">
        <v>21800000</v>
      </c>
      <c r="J3340" t="n">
        <v>0.08500000000000001</v>
      </c>
      <c r="K3340" t="n">
        <v>1.65</v>
      </c>
      <c r="L3340" t="n">
        <v>0.3</v>
      </c>
      <c r="M3340" t="n">
        <v>1.35</v>
      </c>
      <c r="P3340" t="inlineStr">
        <is>
          <t>최혁</t>
        </is>
      </c>
      <c r="Q3340" t="inlineStr">
        <is>
          <t xml:space="preserve">부대비용진행건/현대 15.4 % </t>
        </is>
      </c>
      <c r="AB3340" t="inlineStr">
        <is>
          <t>엔카</t>
        </is>
      </c>
      <c r="AC3340" t="n">
        <v>359700</v>
      </c>
      <c r="AD3340" t="n">
        <v>65400</v>
      </c>
      <c r="AE3340" t="n">
        <v>294300</v>
      </c>
      <c r="AF3340" t="n">
        <v>327000</v>
      </c>
      <c r="AG3340" t="n">
        <v>63241.8</v>
      </c>
      <c r="AH3340" t="n">
        <v>263758.2</v>
      </c>
    </row>
    <row r="3341">
      <c r="A3341" t="inlineStr">
        <is>
          <t>4월</t>
        </is>
      </c>
      <c r="B3341" t="inlineStr">
        <is>
          <t>16주차</t>
        </is>
      </c>
      <c r="C3341" t="inlineStr">
        <is>
          <t>EP</t>
        </is>
      </c>
      <c r="D3341" s="28" t="n">
        <v>46128</v>
      </c>
      <c r="E3341" t="inlineStr">
        <is>
          <t>BNKEP</t>
        </is>
      </c>
      <c r="F3341" t="inlineStr">
        <is>
          <t>남일환</t>
        </is>
      </c>
      <c r="G3341" t="inlineStr">
        <is>
          <t>010-3134-6595</t>
        </is>
      </c>
      <c r="H3341" t="inlineStr">
        <is>
          <t>59나6768</t>
        </is>
      </c>
      <c r="I3341" t="n">
        <v>11200000</v>
      </c>
      <c r="J3341" t="n">
        <v>0.081</v>
      </c>
      <c r="K3341" t="n">
        <v>1.65</v>
      </c>
      <c r="L3341" t="n">
        <v>0.3</v>
      </c>
      <c r="M3341" t="n">
        <v>1.35</v>
      </c>
      <c r="P3341" t="inlineStr">
        <is>
          <t>박보람</t>
        </is>
      </c>
      <c r="Q3341" t="inlineStr">
        <is>
          <t>현대캐피탈 11.2%</t>
        </is>
      </c>
      <c r="AB3341" t="inlineStr">
        <is>
          <t>엔카</t>
        </is>
      </c>
      <c r="AC3341" t="n">
        <v>184800</v>
      </c>
      <c r="AD3341" t="n">
        <v>33600</v>
      </c>
      <c r="AE3341" t="n">
        <v>151200</v>
      </c>
      <c r="AF3341" t="n">
        <v>168000</v>
      </c>
      <c r="AG3341" t="n">
        <v>32491.2</v>
      </c>
      <c r="AH3341" t="n">
        <v>135508.8</v>
      </c>
    </row>
    <row r="3342">
      <c r="A3342" t="inlineStr">
        <is>
          <t>4월</t>
        </is>
      </c>
      <c r="B3342" t="inlineStr">
        <is>
          <t>16주차</t>
        </is>
      </c>
      <c r="C3342" t="inlineStr">
        <is>
          <t>IM</t>
        </is>
      </c>
      <c r="D3342" s="28" t="n">
        <v>46126</v>
      </c>
      <c r="E3342" t="inlineStr">
        <is>
          <t>IM캐피탈</t>
        </is>
      </c>
      <c r="F3342" t="inlineStr">
        <is>
          <t>정대진</t>
        </is>
      </c>
      <c r="G3342" t="inlineStr">
        <is>
          <t>010-6768-9191</t>
        </is>
      </c>
      <c r="H3342" t="inlineStr">
        <is>
          <t>49주3594</t>
        </is>
      </c>
      <c r="I3342" t="n">
        <v>40000000</v>
      </c>
      <c r="J3342" t="n">
        <v>0.059</v>
      </c>
      <c r="K3342" t="n">
        <v>1.1</v>
      </c>
      <c r="L3342" t="n">
        <v>0.3</v>
      </c>
      <c r="M3342" t="n">
        <v>0.8</v>
      </c>
      <c r="P3342" t="inlineStr">
        <is>
          <t>장현경</t>
        </is>
      </c>
      <c r="Q3342" t="inlineStr">
        <is>
          <t>현대 7.1% / 금리불만</t>
        </is>
      </c>
      <c r="AB3342" t="inlineStr">
        <is>
          <t>엔카</t>
        </is>
      </c>
      <c r="AC3342" t="n">
        <v>440000</v>
      </c>
      <c r="AD3342" t="n">
        <v>120000</v>
      </c>
      <c r="AE3342" t="n">
        <v>320000</v>
      </c>
      <c r="AF3342" t="n">
        <v>400000</v>
      </c>
      <c r="AG3342" t="n">
        <v>116040</v>
      </c>
      <c r="AH3342" t="n">
        <v>283960</v>
      </c>
      <c r="AI3342" t="n">
        <v>0</v>
      </c>
    </row>
    <row r="3343">
      <c r="A3343" t="inlineStr">
        <is>
          <t>4월</t>
        </is>
      </c>
      <c r="B3343" t="inlineStr">
        <is>
          <t>16주차</t>
        </is>
      </c>
      <c r="C3343" t="inlineStr">
        <is>
          <t>EP</t>
        </is>
      </c>
      <c r="D3343" s="28" t="n">
        <v>46129</v>
      </c>
      <c r="E3343" t="inlineStr">
        <is>
          <t>현대EP_fast</t>
        </is>
      </c>
      <c r="F3343" t="inlineStr">
        <is>
          <t>최애연</t>
        </is>
      </c>
      <c r="G3343" t="inlineStr">
        <is>
          <t>010-9449-9303</t>
        </is>
      </c>
      <c r="H3343" t="inlineStr">
        <is>
          <t>46노0232</t>
        </is>
      </c>
      <c r="I3343" t="n">
        <v>5900000</v>
      </c>
      <c r="J3343" t="n">
        <v>0.11</v>
      </c>
      <c r="K3343" t="n">
        <v>1.76</v>
      </c>
      <c r="L3343" t="n">
        <v>0.2</v>
      </c>
      <c r="M3343" t="n">
        <v>1.56</v>
      </c>
      <c r="P3343" t="inlineStr">
        <is>
          <t>김수연</t>
        </is>
      </c>
      <c r="Q3343" t="inlineStr">
        <is>
          <t>홈서비스 36개월</t>
        </is>
      </c>
      <c r="AB3343" t="inlineStr">
        <is>
          <t>홈서비스</t>
        </is>
      </c>
      <c r="AC3343" t="n">
        <v>103840</v>
      </c>
      <c r="AD3343" t="n">
        <v>11800</v>
      </c>
      <c r="AE3343" t="n">
        <v>92040</v>
      </c>
      <c r="AF3343" t="n">
        <v>94400</v>
      </c>
      <c r="AG3343" t="n">
        <v>11410.6</v>
      </c>
      <c r="AH3343" t="n">
        <v>82989.39999999999</v>
      </c>
    </row>
    <row r="3344">
      <c r="A3344" t="inlineStr">
        <is>
          <t>4월</t>
        </is>
      </c>
      <c r="B3344" t="inlineStr">
        <is>
          <t>16주차</t>
        </is>
      </c>
      <c r="C3344" t="inlineStr">
        <is>
          <t>EP</t>
        </is>
      </c>
      <c r="D3344" s="28" t="n">
        <v>46129</v>
      </c>
      <c r="E3344" t="inlineStr">
        <is>
          <t>제이비EP</t>
        </is>
      </c>
      <c r="F3344" t="inlineStr">
        <is>
          <t>김동수</t>
        </is>
      </c>
      <c r="G3344" t="inlineStr">
        <is>
          <t>010-7533-9344</t>
        </is>
      </c>
      <c r="H3344" t="inlineStr">
        <is>
          <t>815서4124</t>
        </is>
      </c>
      <c r="I3344" t="n">
        <v>15000000</v>
      </c>
      <c r="J3344" t="n">
        <v>0.074</v>
      </c>
      <c r="K3344" t="n">
        <v>1.65</v>
      </c>
      <c r="L3344" t="n">
        <v>0.3</v>
      </c>
      <c r="M3344" t="n">
        <v>1.35</v>
      </c>
      <c r="P3344" t="inlineStr">
        <is>
          <t>최혁</t>
        </is>
      </c>
      <c r="Q3344" t="inlineStr">
        <is>
          <t>현대부결/제이비부대비용진행건</t>
        </is>
      </c>
      <c r="AB3344" t="inlineStr">
        <is>
          <t>엔카</t>
        </is>
      </c>
      <c r="AC3344" t="n">
        <v>247500</v>
      </c>
      <c r="AD3344" t="n">
        <v>45000</v>
      </c>
      <c r="AE3344" t="n">
        <v>202500</v>
      </c>
      <c r="AF3344" t="n">
        <v>225000</v>
      </c>
      <c r="AG3344" t="n">
        <v>43515</v>
      </c>
      <c r="AH3344" t="n">
        <v>181485</v>
      </c>
      <c r="AI3344" t="n">
        <v>0</v>
      </c>
    </row>
    <row r="3345">
      <c r="A3345" t="inlineStr">
        <is>
          <t>4월</t>
        </is>
      </c>
      <c r="B3345" t="inlineStr">
        <is>
          <t>16주차</t>
        </is>
      </c>
      <c r="C3345" t="inlineStr">
        <is>
          <t>EP</t>
        </is>
      </c>
      <c r="D3345" s="28" t="n">
        <v>46128</v>
      </c>
      <c r="E3345" t="inlineStr">
        <is>
          <t>BNKEP</t>
        </is>
      </c>
      <c r="F3345" t="inlineStr">
        <is>
          <t>진상운</t>
        </is>
      </c>
      <c r="G3345" t="inlineStr">
        <is>
          <t>010-9965-8136</t>
        </is>
      </c>
      <c r="H3345" t="inlineStr">
        <is>
          <t>14서0750</t>
        </is>
      </c>
      <c r="I3345" t="n">
        <v>23000000</v>
      </c>
      <c r="J3345" t="n">
        <v>0.094</v>
      </c>
      <c r="K3345" t="n">
        <v>1.65</v>
      </c>
      <c r="L3345" t="n">
        <v>0.3</v>
      </c>
      <c r="M3345" t="n">
        <v>1.35</v>
      </c>
      <c r="P3345" t="inlineStr">
        <is>
          <t>구성완</t>
        </is>
      </c>
      <c r="Q3345" t="inlineStr">
        <is>
          <t>기고객 부대비일부포함 진행</t>
        </is>
      </c>
      <c r="AB3345" t="inlineStr">
        <is>
          <t>엔카</t>
        </is>
      </c>
      <c r="AC3345" t="n">
        <v>379500</v>
      </c>
      <c r="AD3345" t="n">
        <v>69000</v>
      </c>
      <c r="AE3345" t="n">
        <v>310500</v>
      </c>
      <c r="AF3345" t="n">
        <v>345000</v>
      </c>
      <c r="AG3345" t="n">
        <v>66723</v>
      </c>
      <c r="AH3345" t="n">
        <v>278277</v>
      </c>
      <c r="AI3345" t="n">
        <v>0</v>
      </c>
    </row>
    <row r="3346">
      <c r="A3346" t="inlineStr">
        <is>
          <t>4월</t>
        </is>
      </c>
      <c r="B3346" t="inlineStr">
        <is>
          <t>16주차</t>
        </is>
      </c>
      <c r="C3346" t="inlineStr">
        <is>
          <t>EP</t>
        </is>
      </c>
      <c r="D3346" s="28" t="n">
        <v>46129</v>
      </c>
      <c r="E3346" t="inlineStr">
        <is>
          <t>제이비EP</t>
        </is>
      </c>
      <c r="F3346" t="inlineStr">
        <is>
          <t>김대희</t>
        </is>
      </c>
      <c r="G3346" t="inlineStr">
        <is>
          <t>010-6473-1575</t>
        </is>
      </c>
      <c r="H3346" t="inlineStr">
        <is>
          <t>21가0481</t>
        </is>
      </c>
      <c r="I3346" t="n">
        <v>7700000</v>
      </c>
      <c r="J3346" t="n">
        <v>0.079</v>
      </c>
      <c r="K3346" t="n">
        <v>1.65</v>
      </c>
      <c r="L3346" t="n">
        <v>0.3</v>
      </c>
      <c r="M3346" t="n">
        <v>1.35</v>
      </c>
      <c r="P3346" t="inlineStr">
        <is>
          <t>최혁</t>
        </is>
      </c>
      <c r="Q3346" t="inlineStr">
        <is>
          <t xml:space="preserve">부대비용진행건/현대10.9% </t>
        </is>
      </c>
      <c r="AB3346" t="inlineStr">
        <is>
          <t>엔카</t>
        </is>
      </c>
      <c r="AC3346" t="n">
        <v>127050</v>
      </c>
      <c r="AD3346" t="n">
        <v>23100</v>
      </c>
      <c r="AE3346" t="n">
        <v>103950</v>
      </c>
      <c r="AF3346" t="n">
        <v>115500</v>
      </c>
      <c r="AG3346" t="n">
        <v>22337.7</v>
      </c>
      <c r="AH3346" t="n">
        <v>93162.3</v>
      </c>
      <c r="AI3346" t="n">
        <v>0</v>
      </c>
    </row>
    <row r="3347">
      <c r="A3347" t="inlineStr">
        <is>
          <t>4월</t>
        </is>
      </c>
      <c r="B3347" t="inlineStr">
        <is>
          <t>16주차</t>
        </is>
      </c>
      <c r="C3347" t="inlineStr">
        <is>
          <t>EP</t>
        </is>
      </c>
      <c r="D3347" s="28" t="n">
        <v>46126</v>
      </c>
      <c r="E3347" t="inlineStr">
        <is>
          <t>현대EP_fast</t>
        </is>
      </c>
      <c r="F3347" t="inlineStr">
        <is>
          <t>옥기주</t>
        </is>
      </c>
      <c r="G3347" t="inlineStr">
        <is>
          <t>010-5142-0411</t>
        </is>
      </c>
      <c r="H3347" t="inlineStr">
        <is>
          <t>34서4597</t>
        </is>
      </c>
      <c r="I3347" t="n">
        <v>13500000</v>
      </c>
      <c r="J3347" t="n">
        <v>0.102</v>
      </c>
      <c r="K3347" t="n">
        <v>1.76</v>
      </c>
      <c r="L3347" t="n">
        <v>0.2</v>
      </c>
      <c r="M3347" t="n">
        <v>1.56</v>
      </c>
      <c r="P3347" t="inlineStr">
        <is>
          <t>장현경</t>
        </is>
      </c>
      <c r="Q3347" t="inlineStr">
        <is>
          <t>선상담 / 홈서비스 24개월</t>
        </is>
      </c>
      <c r="AB3347" t="inlineStr">
        <is>
          <t>홈서비스</t>
        </is>
      </c>
      <c r="AC3347" t="n">
        <v>237600</v>
      </c>
      <c r="AD3347" t="n">
        <v>27000</v>
      </c>
      <c r="AE3347" t="n">
        <v>210600</v>
      </c>
      <c r="AF3347" t="n">
        <v>216000</v>
      </c>
      <c r="AG3347" t="n">
        <v>26109</v>
      </c>
      <c r="AH3347" t="n">
        <v>189891</v>
      </c>
      <c r="AI3347" t="n">
        <v>0</v>
      </c>
    </row>
    <row r="3348">
      <c r="A3348" t="inlineStr">
        <is>
          <t>4월</t>
        </is>
      </c>
      <c r="B3348" t="inlineStr">
        <is>
          <t>16주차</t>
        </is>
      </c>
      <c r="C3348" t="inlineStr">
        <is>
          <t>EP</t>
        </is>
      </c>
      <c r="D3348" s="28" t="n">
        <v>46129</v>
      </c>
      <c r="E3348" t="inlineStr">
        <is>
          <t>제이비EP</t>
        </is>
      </c>
      <c r="F3348" t="inlineStr">
        <is>
          <t>김선영</t>
        </is>
      </c>
      <c r="G3348" t="inlineStr">
        <is>
          <t>010-4035-6530</t>
        </is>
      </c>
      <c r="H3348" t="inlineStr">
        <is>
          <t>74루9502</t>
        </is>
      </c>
      <c r="I3348" t="n">
        <v>20100000</v>
      </c>
      <c r="J3348" t="n">
        <v>0.074</v>
      </c>
      <c r="K3348" t="n">
        <v>1.65</v>
      </c>
      <c r="L3348" t="n">
        <v>0.07000000000000001</v>
      </c>
      <c r="M3348" t="n">
        <v>1.58</v>
      </c>
      <c r="P3348" t="inlineStr">
        <is>
          <t>황채이</t>
        </is>
      </c>
      <c r="Q3348" t="inlineStr">
        <is>
          <t>홈서비스 60개월 / 부대비용 추가진행</t>
        </is>
      </c>
      <c r="AB3348" t="inlineStr">
        <is>
          <t>홈서비스</t>
        </is>
      </c>
      <c r="AC3348" t="n">
        <v>331650</v>
      </c>
      <c r="AD3348" t="n">
        <v>14070</v>
      </c>
      <c r="AE3348" t="n">
        <v>317580</v>
      </c>
      <c r="AF3348" t="n">
        <v>301500</v>
      </c>
      <c r="AG3348" t="n">
        <v>13605.69</v>
      </c>
      <c r="AH3348" t="n">
        <v>287894.31</v>
      </c>
      <c r="AI3348" t="n">
        <v>0</v>
      </c>
    </row>
    <row r="3349">
      <c r="A3349" t="inlineStr">
        <is>
          <t>4월</t>
        </is>
      </c>
      <c r="B3349" t="inlineStr">
        <is>
          <t>16주차</t>
        </is>
      </c>
      <c r="C3349" t="inlineStr">
        <is>
          <t>IM</t>
        </is>
      </c>
      <c r="D3349" s="28" t="n">
        <v>46129</v>
      </c>
      <c r="E3349" t="inlineStr">
        <is>
          <t>IM캐피탈</t>
        </is>
      </c>
      <c r="F3349" t="inlineStr">
        <is>
          <t>서병무</t>
        </is>
      </c>
      <c r="G3349" t="inlineStr">
        <is>
          <t>010-7149-0300</t>
        </is>
      </c>
      <c r="H3349" t="inlineStr">
        <is>
          <t>145수5744</t>
        </is>
      </c>
      <c r="I3349" t="n">
        <v>54500000</v>
      </c>
      <c r="J3349" t="n">
        <v>0.049</v>
      </c>
      <c r="K3349" t="n">
        <v>1.1</v>
      </c>
      <c r="L3349" t="n">
        <v>0.3</v>
      </c>
      <c r="M3349" t="n">
        <v>0.8</v>
      </c>
      <c r="P3349" t="inlineStr">
        <is>
          <t>박소현</t>
        </is>
      </c>
      <c r="Q3349" t="inlineStr">
        <is>
          <t>개인간거래</t>
        </is>
      </c>
      <c r="AB3349" t="inlineStr">
        <is>
          <t>엔카</t>
        </is>
      </c>
      <c r="AC3349" t="n">
        <v>599500</v>
      </c>
      <c r="AD3349" t="n">
        <v>163500</v>
      </c>
      <c r="AE3349" t="n">
        <v>436000</v>
      </c>
      <c r="AF3349" t="n">
        <v>545000</v>
      </c>
      <c r="AG3349" t="n">
        <v>158104.5</v>
      </c>
      <c r="AH3349" t="n">
        <v>386895.5</v>
      </c>
      <c r="AI3349" t="n">
        <v>0</v>
      </c>
    </row>
    <row r="3350">
      <c r="A3350" t="inlineStr">
        <is>
          <t>4월</t>
        </is>
      </c>
      <c r="B3350" t="inlineStr">
        <is>
          <t>16주차</t>
        </is>
      </c>
      <c r="C3350" t="inlineStr">
        <is>
          <t>EP</t>
        </is>
      </c>
      <c r="D3350" s="28" t="n">
        <v>46128</v>
      </c>
      <c r="E3350" t="inlineStr">
        <is>
          <t>제이비EP</t>
        </is>
      </c>
      <c r="F3350" t="inlineStr">
        <is>
          <t>이용정</t>
        </is>
      </c>
      <c r="G3350" t="inlineStr">
        <is>
          <t>010-2249-4222</t>
        </is>
      </c>
      <c r="H3350" t="inlineStr">
        <is>
          <t>191고4935</t>
        </is>
      </c>
      <c r="I3350" t="n">
        <v>24500000</v>
      </c>
      <c r="J3350" t="n">
        <v>0.079</v>
      </c>
      <c r="K3350" t="n">
        <v>1.65</v>
      </c>
      <c r="L3350" t="n">
        <v>0.3</v>
      </c>
      <c r="M3350" t="n">
        <v>1.35</v>
      </c>
      <c r="P3350" t="inlineStr">
        <is>
          <t>박현민</t>
        </is>
      </c>
      <c r="Q3350" t="inlineStr">
        <is>
          <t>부대비용 추가진행</t>
        </is>
      </c>
      <c r="AB3350" t="inlineStr">
        <is>
          <t>엔카</t>
        </is>
      </c>
      <c r="AC3350" t="n">
        <v>404250</v>
      </c>
      <c r="AD3350" t="n">
        <v>73500</v>
      </c>
      <c r="AE3350" t="n">
        <v>330750</v>
      </c>
      <c r="AF3350" t="n">
        <v>367500</v>
      </c>
      <c r="AG3350" t="n">
        <v>71074.5</v>
      </c>
      <c r="AH3350" t="n">
        <v>296425.5</v>
      </c>
    </row>
    <row r="3351">
      <c r="A3351" t="inlineStr">
        <is>
          <t>4월</t>
        </is>
      </c>
      <c r="B3351" t="inlineStr">
        <is>
          <t>16주차</t>
        </is>
      </c>
      <c r="C3351" t="inlineStr">
        <is>
          <t>EP</t>
        </is>
      </c>
      <c r="D3351" s="28" t="n">
        <v>46129</v>
      </c>
      <c r="E3351" t="inlineStr">
        <is>
          <t>BNKEP</t>
        </is>
      </c>
      <c r="F3351" t="inlineStr">
        <is>
          <t>이태화</t>
        </is>
      </c>
      <c r="G3351" t="inlineStr">
        <is>
          <t>010-4094-5114</t>
        </is>
      </c>
      <c r="H3351" t="inlineStr">
        <is>
          <t>175구3754</t>
        </is>
      </c>
      <c r="I3351" t="n">
        <v>12700000</v>
      </c>
      <c r="J3351" t="n">
        <v>0.117</v>
      </c>
      <c r="K3351" t="n">
        <v>1.65</v>
      </c>
      <c r="L3351" t="n">
        <v>0.07000000000000001</v>
      </c>
      <c r="M3351" t="n">
        <v>1.58</v>
      </c>
      <c r="P3351" t="inlineStr">
        <is>
          <t>장현경</t>
        </is>
      </c>
      <c r="Q3351" t="inlineStr">
        <is>
          <t>선상담 / 홈서비스 48개월</t>
        </is>
      </c>
      <c r="AB3351" t="inlineStr">
        <is>
          <t>홈서비스</t>
        </is>
      </c>
      <c r="AC3351" t="n">
        <v>209550</v>
      </c>
      <c r="AD3351" t="n">
        <v>8890</v>
      </c>
      <c r="AE3351" t="n">
        <v>200660</v>
      </c>
      <c r="AF3351" t="n">
        <v>190500</v>
      </c>
      <c r="AG3351" t="n">
        <v>8596.629999999999</v>
      </c>
      <c r="AH3351" t="n">
        <v>181903.37</v>
      </c>
      <c r="AI3351" t="n">
        <v>0</v>
      </c>
    </row>
    <row r="3352">
      <c r="A3352" t="inlineStr">
        <is>
          <t>4월</t>
        </is>
      </c>
      <c r="B3352" t="inlineStr">
        <is>
          <t>16주차</t>
        </is>
      </c>
      <c r="C3352" t="inlineStr">
        <is>
          <t>EP</t>
        </is>
      </c>
      <c r="D3352" s="28" t="n">
        <v>46128</v>
      </c>
      <c r="E3352" t="inlineStr">
        <is>
          <t>현대EP_fast</t>
        </is>
      </c>
      <c r="F3352" t="inlineStr">
        <is>
          <t>유경필</t>
        </is>
      </c>
      <c r="G3352" t="inlineStr">
        <is>
          <t>010-9632-1038</t>
        </is>
      </c>
      <c r="H3352" t="inlineStr">
        <is>
          <t>05다7992</t>
        </is>
      </c>
      <c r="I3352" t="n">
        <v>21300000</v>
      </c>
      <c r="J3352" t="n">
        <v>0.079</v>
      </c>
      <c r="K3352" t="n">
        <v>1.76</v>
      </c>
      <c r="L3352" t="n">
        <v>0.2</v>
      </c>
      <c r="M3352" t="n">
        <v>1.56</v>
      </c>
      <c r="P3352" t="inlineStr">
        <is>
          <t>최형주</t>
        </is>
      </c>
      <c r="Q3352" t="inlineStr">
        <is>
          <t>홈서비스 60개월</t>
        </is>
      </c>
      <c r="AB3352" t="inlineStr">
        <is>
          <t>홈서비스</t>
        </is>
      </c>
      <c r="AC3352" t="n">
        <v>374880</v>
      </c>
      <c r="AD3352" t="n">
        <v>42600</v>
      </c>
      <c r="AE3352" t="n">
        <v>332280</v>
      </c>
      <c r="AF3352" t="n">
        <v>340800</v>
      </c>
      <c r="AG3352" t="n">
        <v>41194.2</v>
      </c>
      <c r="AH3352" t="n">
        <v>299605.8</v>
      </c>
    </row>
    <row r="3353">
      <c r="A3353" t="inlineStr">
        <is>
          <t>4월</t>
        </is>
      </c>
      <c r="B3353" t="inlineStr">
        <is>
          <t>16주차</t>
        </is>
      </c>
      <c r="C3353" t="inlineStr">
        <is>
          <t>EP</t>
        </is>
      </c>
      <c r="D3353" s="28" t="n">
        <v>46128</v>
      </c>
      <c r="E3353" t="inlineStr">
        <is>
          <t>현대EP_fast</t>
        </is>
      </c>
      <c r="F3353" t="inlineStr">
        <is>
          <t>박찬양</t>
        </is>
      </c>
      <c r="G3353" t="inlineStr">
        <is>
          <t>010-9429-1465</t>
        </is>
      </c>
      <c r="H3353" t="inlineStr">
        <is>
          <t>159오7107</t>
        </is>
      </c>
      <c r="I3353" t="n">
        <v>38000000</v>
      </c>
      <c r="J3353" t="n">
        <v>0.118</v>
      </c>
      <c r="K3353" t="n">
        <v>1.76</v>
      </c>
      <c r="L3353" t="n">
        <v>0.2</v>
      </c>
      <c r="M3353" t="n">
        <v>1.56</v>
      </c>
      <c r="P3353" t="inlineStr">
        <is>
          <t>정세빈</t>
        </is>
      </c>
      <c r="Q3353" t="inlineStr">
        <is>
          <t>홈서비스 60개월</t>
        </is>
      </c>
      <c r="AB3353" t="inlineStr">
        <is>
          <t>홈서비스</t>
        </is>
      </c>
      <c r="AC3353" t="n">
        <v>668800</v>
      </c>
      <c r="AD3353" t="n">
        <v>76000</v>
      </c>
      <c r="AE3353" t="n">
        <v>592800</v>
      </c>
      <c r="AF3353" t="n">
        <v>608000</v>
      </c>
      <c r="AG3353" t="n">
        <v>73492</v>
      </c>
      <c r="AH3353" t="n">
        <v>534508</v>
      </c>
    </row>
    <row r="3354">
      <c r="A3354" t="inlineStr">
        <is>
          <t>4월</t>
        </is>
      </c>
      <c r="B3354" t="inlineStr">
        <is>
          <t>16주차</t>
        </is>
      </c>
      <c r="C3354" t="inlineStr">
        <is>
          <t>EP</t>
        </is>
      </c>
      <c r="D3354" s="28" t="n">
        <v>46128</v>
      </c>
      <c r="E3354" t="inlineStr">
        <is>
          <t>현대EP</t>
        </is>
      </c>
      <c r="F3354" t="inlineStr">
        <is>
          <t>차용병</t>
        </is>
      </c>
      <c r="G3354" t="inlineStr">
        <is>
          <t>010-7303-7689</t>
        </is>
      </c>
      <c r="H3354" t="inlineStr">
        <is>
          <t>162머9863</t>
        </is>
      </c>
      <c r="I3354" t="n">
        <v>3300000</v>
      </c>
      <c r="J3354" t="n">
        <v>0.077</v>
      </c>
      <c r="K3354" t="n">
        <v>1.76</v>
      </c>
      <c r="L3354" t="n">
        <v>0.2</v>
      </c>
      <c r="M3354" t="n">
        <v>1.56</v>
      </c>
      <c r="P3354" t="inlineStr">
        <is>
          <t>김나윤</t>
        </is>
      </c>
      <c r="Q3354" t="inlineStr">
        <is>
          <t xml:space="preserve">홈서비스 24개월 </t>
        </is>
      </c>
      <c r="AB3354" t="inlineStr">
        <is>
          <t>홈서비스</t>
        </is>
      </c>
      <c r="AC3354" t="n">
        <v>58080</v>
      </c>
      <c r="AD3354" t="n">
        <v>6600</v>
      </c>
      <c r="AE3354" t="n">
        <v>51480</v>
      </c>
      <c r="AF3354" t="n">
        <v>52800</v>
      </c>
      <c r="AG3354" t="n">
        <v>6382.2</v>
      </c>
      <c r="AH3354" t="n">
        <v>46417.8</v>
      </c>
      <c r="AI3354" t="n">
        <v>0</v>
      </c>
      <c r="AJ3354" t="inlineStr">
        <is>
          <t>개인</t>
        </is>
      </c>
    </row>
    <row r="3355">
      <c r="A3355" t="inlineStr">
        <is>
          <t>4월</t>
        </is>
      </c>
      <c r="B3355" t="inlineStr">
        <is>
          <t>16주차</t>
        </is>
      </c>
      <c r="C3355" t="inlineStr">
        <is>
          <t>EP</t>
        </is>
      </c>
      <c r="D3355" s="28" t="n">
        <v>46129</v>
      </c>
      <c r="E3355" t="inlineStr">
        <is>
          <t>BNKEP</t>
        </is>
      </c>
      <c r="F3355" t="inlineStr">
        <is>
          <t>권회인</t>
        </is>
      </c>
      <c r="G3355" t="inlineStr">
        <is>
          <t>010-5028-8131</t>
        </is>
      </c>
      <c r="H3355" t="inlineStr">
        <is>
          <t>29두2816</t>
        </is>
      </c>
      <c r="I3355" t="n">
        <v>10000000</v>
      </c>
      <c r="J3355" t="n">
        <v>0.061</v>
      </c>
      <c r="K3355" t="n">
        <v>1.65</v>
      </c>
      <c r="L3355" t="n">
        <v>0.07000000000000001</v>
      </c>
      <c r="M3355" t="n">
        <v>1.58</v>
      </c>
      <c r="P3355" t="inlineStr">
        <is>
          <t>황채이</t>
        </is>
      </c>
      <c r="Q3355" t="inlineStr">
        <is>
          <t>홈서비스 60개월</t>
        </is>
      </c>
      <c r="AB3355" t="inlineStr">
        <is>
          <t>홈서비스</t>
        </is>
      </c>
      <c r="AC3355" t="n">
        <v>165000</v>
      </c>
      <c r="AD3355" t="n">
        <v>7000</v>
      </c>
      <c r="AE3355" t="n">
        <v>158000</v>
      </c>
      <c r="AF3355" t="n">
        <v>150000</v>
      </c>
      <c r="AG3355" t="n">
        <v>6769</v>
      </c>
      <c r="AH3355" t="n">
        <v>143231</v>
      </c>
      <c r="AI3355" t="n">
        <v>0</v>
      </c>
    </row>
    <row r="3356">
      <c r="A3356" t="inlineStr">
        <is>
          <t>4월</t>
        </is>
      </c>
      <c r="B3356" t="inlineStr">
        <is>
          <t>16주차</t>
        </is>
      </c>
      <c r="C3356" t="inlineStr">
        <is>
          <t>EP</t>
        </is>
      </c>
      <c r="D3356" s="28" t="n">
        <v>46129</v>
      </c>
      <c r="E3356" t="inlineStr">
        <is>
          <t>BNKEP</t>
        </is>
      </c>
      <c r="F3356" t="inlineStr">
        <is>
          <t>구광현</t>
        </is>
      </c>
      <c r="G3356" t="inlineStr">
        <is>
          <t>010-6783-0348</t>
        </is>
      </c>
      <c r="H3356" t="inlineStr">
        <is>
          <t>215로6001</t>
        </is>
      </c>
      <c r="I3356" t="n">
        <v>25000000</v>
      </c>
      <c r="J3356" t="n">
        <v>0.063</v>
      </c>
      <c r="K3356" t="n">
        <v>1.65</v>
      </c>
      <c r="L3356" t="n">
        <v>0.07000000000000001</v>
      </c>
      <c r="M3356" t="n">
        <v>1.58</v>
      </c>
      <c r="P3356" t="inlineStr">
        <is>
          <t>최형주</t>
        </is>
      </c>
      <c r="Q3356" t="inlineStr">
        <is>
          <t>홈서비스 60개월 / 현대 7.1%</t>
        </is>
      </c>
      <c r="AB3356" t="inlineStr">
        <is>
          <t>홈서비스</t>
        </is>
      </c>
      <c r="AC3356" t="n">
        <v>412500</v>
      </c>
      <c r="AD3356" t="n">
        <v>17500</v>
      </c>
      <c r="AE3356" t="n">
        <v>395000</v>
      </c>
      <c r="AF3356" t="n">
        <v>375000</v>
      </c>
      <c r="AG3356" t="n">
        <v>16922.5</v>
      </c>
      <c r="AH3356" t="n">
        <v>358077.5</v>
      </c>
      <c r="AI3356" t="n">
        <v>0</v>
      </c>
    </row>
    <row r="3357">
      <c r="A3357" t="inlineStr">
        <is>
          <t>4월</t>
        </is>
      </c>
      <c r="B3357" t="inlineStr">
        <is>
          <t>16주차</t>
        </is>
      </c>
      <c r="C3357" t="inlineStr">
        <is>
          <t>EP</t>
        </is>
      </c>
      <c r="D3357" s="28" t="n">
        <v>46129</v>
      </c>
      <c r="E3357" t="inlineStr">
        <is>
          <t>현대EP_fast</t>
        </is>
      </c>
      <c r="F3357" t="inlineStr">
        <is>
          <t>박준현</t>
        </is>
      </c>
      <c r="G3357" t="inlineStr">
        <is>
          <t>010-4413-3354</t>
        </is>
      </c>
      <c r="H3357" t="inlineStr">
        <is>
          <t>70주6751</t>
        </is>
      </c>
      <c r="I3357" t="n">
        <v>10800000</v>
      </c>
      <c r="J3357" t="n">
        <v>0.105</v>
      </c>
      <c r="K3357" t="n">
        <v>1.76</v>
      </c>
      <c r="L3357" t="n">
        <v>0.2</v>
      </c>
      <c r="M3357" t="n">
        <v>1.56</v>
      </c>
      <c r="P3357" t="inlineStr">
        <is>
          <t>김나윤</t>
        </is>
      </c>
      <c r="Q3357" t="inlineStr">
        <is>
          <t>홈서비스 60개월</t>
        </is>
      </c>
      <c r="AB3357" t="inlineStr">
        <is>
          <t>홈서비스</t>
        </is>
      </c>
      <c r="AC3357" t="n">
        <v>190080</v>
      </c>
      <c r="AD3357" t="n">
        <v>21600</v>
      </c>
      <c r="AE3357" t="n">
        <v>168480</v>
      </c>
      <c r="AF3357" t="n">
        <v>172800</v>
      </c>
      <c r="AG3357" t="n">
        <v>20887.2</v>
      </c>
      <c r="AH3357" t="n">
        <v>151912.8</v>
      </c>
      <c r="AI3357" t="n">
        <v>0</v>
      </c>
    </row>
    <row r="3358">
      <c r="A3358" t="inlineStr">
        <is>
          <t>4월</t>
        </is>
      </c>
      <c r="B3358" t="inlineStr">
        <is>
          <t>16주차</t>
        </is>
      </c>
      <c r="C3358" t="inlineStr">
        <is>
          <t>EP</t>
        </is>
      </c>
      <c r="D3358" s="28" t="n">
        <v>46129</v>
      </c>
      <c r="E3358" t="inlineStr">
        <is>
          <t>현대EP_fast</t>
        </is>
      </c>
      <c r="F3358" t="inlineStr">
        <is>
          <t>신기현</t>
        </is>
      </c>
      <c r="G3358" t="inlineStr">
        <is>
          <t>010-9212-1169</t>
        </is>
      </c>
      <c r="H3358" t="inlineStr">
        <is>
          <t>137어7286</t>
        </is>
      </c>
      <c r="I3358" t="n">
        <v>9800000</v>
      </c>
      <c r="J3358" t="n">
        <v>0.092</v>
      </c>
      <c r="K3358" t="n">
        <v>1.76</v>
      </c>
      <c r="L3358" t="n">
        <v>0.2</v>
      </c>
      <c r="M3358" t="n">
        <v>1.56</v>
      </c>
      <c r="P3358" t="inlineStr">
        <is>
          <t>장현경</t>
        </is>
      </c>
      <c r="Q3358" t="inlineStr">
        <is>
          <t>선상담 / 홈서비스 60개월</t>
        </is>
      </c>
      <c r="AB3358" t="inlineStr">
        <is>
          <t>홈서비스</t>
        </is>
      </c>
      <c r="AC3358" t="n">
        <v>172480</v>
      </c>
      <c r="AD3358" t="n">
        <v>19600</v>
      </c>
      <c r="AE3358" t="n">
        <v>152880</v>
      </c>
      <c r="AF3358" t="n">
        <v>156800</v>
      </c>
      <c r="AG3358" t="n">
        <v>18953.2</v>
      </c>
      <c r="AH3358" t="n">
        <v>137846.8</v>
      </c>
      <c r="AI3358" t="n">
        <v>0</v>
      </c>
    </row>
    <row r="3359">
      <c r="A3359" t="inlineStr">
        <is>
          <t>4월</t>
        </is>
      </c>
      <c r="B3359" t="inlineStr">
        <is>
          <t>16주차</t>
        </is>
      </c>
      <c r="C3359" t="inlineStr">
        <is>
          <t>EP</t>
        </is>
      </c>
      <c r="D3359" s="28" t="n">
        <v>46129</v>
      </c>
      <c r="E3359" t="inlineStr">
        <is>
          <t>현대EP_fast</t>
        </is>
      </c>
      <c r="F3359" t="inlineStr">
        <is>
          <t>정예원</t>
        </is>
      </c>
      <c r="G3359" t="inlineStr">
        <is>
          <t>010-4032-7060</t>
        </is>
      </c>
      <c r="H3359" t="inlineStr">
        <is>
          <t>333어6348</t>
        </is>
      </c>
      <c r="I3359" t="n">
        <v>24500000</v>
      </c>
      <c r="J3359" t="n">
        <v>0.062</v>
      </c>
      <c r="K3359" t="n">
        <v>1.76</v>
      </c>
      <c r="L3359" t="n">
        <v>0.2</v>
      </c>
      <c r="M3359" t="n">
        <v>1.56</v>
      </c>
      <c r="P3359" t="inlineStr">
        <is>
          <t>최형주</t>
        </is>
      </c>
      <c r="Q3359" t="inlineStr">
        <is>
          <t>홈서비스 36개월 / 고객주도체결</t>
        </is>
      </c>
      <c r="AB3359" t="inlineStr">
        <is>
          <t>홈서비스</t>
        </is>
      </c>
      <c r="AC3359" t="n">
        <v>431200</v>
      </c>
      <c r="AD3359" t="n">
        <v>49000</v>
      </c>
      <c r="AE3359" t="n">
        <v>382200</v>
      </c>
      <c r="AF3359" t="n">
        <v>392000</v>
      </c>
      <c r="AG3359" t="n">
        <v>47383</v>
      </c>
      <c r="AH3359" t="n">
        <v>344617</v>
      </c>
      <c r="AI3359" t="n">
        <v>0</v>
      </c>
    </row>
    <row r="3360">
      <c r="A3360" t="inlineStr">
        <is>
          <t>4월</t>
        </is>
      </c>
      <c r="B3360" t="inlineStr">
        <is>
          <t>16주차</t>
        </is>
      </c>
      <c r="C3360" t="inlineStr">
        <is>
          <t>EP</t>
        </is>
      </c>
      <c r="D3360" s="28" t="n">
        <v>46128</v>
      </c>
      <c r="E3360" t="inlineStr">
        <is>
          <t>현대EP</t>
        </is>
      </c>
      <c r="F3360" t="inlineStr">
        <is>
          <t>이나현</t>
        </is>
      </c>
      <c r="G3360" t="inlineStr">
        <is>
          <t>010-4149-8318</t>
        </is>
      </c>
      <c r="H3360" t="inlineStr">
        <is>
          <t>328가4016</t>
        </is>
      </c>
      <c r="I3360" t="n">
        <v>27200000</v>
      </c>
      <c r="J3360" t="n">
        <v>0.079</v>
      </c>
      <c r="K3360" t="n">
        <v>1.76</v>
      </c>
      <c r="L3360" t="n">
        <v>0.2</v>
      </c>
      <c r="M3360" t="n">
        <v>1.56</v>
      </c>
      <c r="P3360" t="inlineStr">
        <is>
          <t>정세빈</t>
        </is>
      </c>
      <c r="Q3360" t="inlineStr">
        <is>
          <t>홈서비스 60개월</t>
        </is>
      </c>
      <c r="AB3360" t="inlineStr">
        <is>
          <t>홈서비스</t>
        </is>
      </c>
      <c r="AC3360" t="n">
        <v>478720</v>
      </c>
      <c r="AD3360" t="n">
        <v>54400</v>
      </c>
      <c r="AE3360" t="n">
        <v>424320</v>
      </c>
      <c r="AF3360" t="n">
        <v>435200</v>
      </c>
      <c r="AG3360" t="n">
        <v>52604.8</v>
      </c>
      <c r="AH3360" t="n">
        <v>382595.2</v>
      </c>
      <c r="AI3360" t="n">
        <v>0</v>
      </c>
    </row>
    <row r="3361">
      <c r="A3361" t="inlineStr">
        <is>
          <t>4월</t>
        </is>
      </c>
      <c r="B3361" t="inlineStr">
        <is>
          <t>16주차</t>
        </is>
      </c>
      <c r="C3361" t="inlineStr">
        <is>
          <t>EP</t>
        </is>
      </c>
      <c r="D3361" s="28" t="n">
        <v>46129</v>
      </c>
      <c r="E3361" t="inlineStr">
        <is>
          <t>현대EP_fast</t>
        </is>
      </c>
      <c r="F3361" t="inlineStr">
        <is>
          <t>임진영</t>
        </is>
      </c>
      <c r="G3361" t="inlineStr">
        <is>
          <t>010-5519-6323</t>
        </is>
      </c>
      <c r="H3361" t="inlineStr">
        <is>
          <t>107무7986</t>
        </is>
      </c>
      <c r="I3361" t="n">
        <v>3000000</v>
      </c>
      <c r="J3361" t="n">
        <v>0.092</v>
      </c>
      <c r="K3361" t="n">
        <v>1.76</v>
      </c>
      <c r="L3361" t="n">
        <v>0.2</v>
      </c>
      <c r="M3361" t="n">
        <v>1.56</v>
      </c>
      <c r="P3361" t="inlineStr">
        <is>
          <t>김나윤</t>
        </is>
      </c>
      <c r="Q3361" t="inlineStr">
        <is>
          <t>홈서비스 36개월</t>
        </is>
      </c>
      <c r="AB3361" t="inlineStr">
        <is>
          <t>홈서비스</t>
        </is>
      </c>
      <c r="AC3361" t="n">
        <v>52800</v>
      </c>
      <c r="AD3361" t="n">
        <v>6000</v>
      </c>
      <c r="AE3361" t="n">
        <v>46800</v>
      </c>
      <c r="AF3361" t="n">
        <v>48000</v>
      </c>
      <c r="AG3361" t="n">
        <v>5802</v>
      </c>
      <c r="AH3361" t="n">
        <v>42198</v>
      </c>
      <c r="AI3361" t="n">
        <v>0</v>
      </c>
    </row>
    <row r="3362">
      <c r="A3362" t="inlineStr">
        <is>
          <t>4월</t>
        </is>
      </c>
      <c r="B3362" t="inlineStr">
        <is>
          <t>16주차</t>
        </is>
      </c>
      <c r="C3362" t="inlineStr">
        <is>
          <t>EP</t>
        </is>
      </c>
      <c r="D3362" s="28" t="n">
        <v>46128</v>
      </c>
      <c r="E3362" t="inlineStr">
        <is>
          <t>제이비EP</t>
        </is>
      </c>
      <c r="F3362" t="inlineStr">
        <is>
          <t>윤석희</t>
        </is>
      </c>
      <c r="G3362" t="inlineStr">
        <is>
          <t>010-6523-6338</t>
        </is>
      </c>
      <c r="H3362" t="inlineStr">
        <is>
          <t>365모3850</t>
        </is>
      </c>
      <c r="I3362" t="n">
        <v>60000000</v>
      </c>
      <c r="J3362" t="n">
        <v>0.07199999999999999</v>
      </c>
      <c r="K3362" t="n">
        <v>1.65</v>
      </c>
      <c r="L3362" t="n">
        <v>0.3</v>
      </c>
      <c r="M3362" t="n">
        <v>1.35</v>
      </c>
      <c r="P3362" t="inlineStr">
        <is>
          <t>박보람</t>
        </is>
      </c>
      <c r="Q3362" t="inlineStr">
        <is>
          <t xml:space="preserve">현대캐피탈 7.7% / 법인 진행(미창물류) </t>
        </is>
      </c>
      <c r="AB3362" t="inlineStr">
        <is>
          <t>엔카</t>
        </is>
      </c>
      <c r="AC3362" t="n">
        <v>990000</v>
      </c>
      <c r="AD3362" t="n">
        <v>180000</v>
      </c>
      <c r="AE3362" t="n">
        <v>810000</v>
      </c>
      <c r="AF3362" t="n">
        <v>900000</v>
      </c>
      <c r="AG3362" t="n">
        <v>174060</v>
      </c>
      <c r="AH3362" t="n">
        <v>725940</v>
      </c>
      <c r="AI3362" t="n">
        <v>0</v>
      </c>
    </row>
    <row r="3363">
      <c r="A3363" t="inlineStr">
        <is>
          <t>4월</t>
        </is>
      </c>
      <c r="B3363" t="inlineStr">
        <is>
          <t>16주차</t>
        </is>
      </c>
      <c r="C3363" t="inlineStr">
        <is>
          <t>EP</t>
        </is>
      </c>
      <c r="D3363" s="28" t="n">
        <v>46129</v>
      </c>
      <c r="E3363" t="inlineStr">
        <is>
          <t>현대EP_fast</t>
        </is>
      </c>
      <c r="F3363" t="inlineStr">
        <is>
          <t>최수진</t>
        </is>
      </c>
      <c r="G3363" t="inlineStr">
        <is>
          <t>010-3218-4138</t>
        </is>
      </c>
      <c r="H3363" t="inlineStr">
        <is>
          <t>68소7678</t>
        </is>
      </c>
      <c r="I3363" t="n">
        <v>3500000</v>
      </c>
      <c r="J3363" t="n">
        <v>0.119</v>
      </c>
      <c r="K3363" t="n">
        <v>1.76</v>
      </c>
      <c r="L3363" t="n">
        <v>0.6</v>
      </c>
      <c r="M3363" t="n">
        <v>1.16</v>
      </c>
      <c r="P3363" t="inlineStr">
        <is>
          <t>최혁</t>
        </is>
      </c>
      <c r="AB3363" t="inlineStr">
        <is>
          <t>엔카</t>
        </is>
      </c>
      <c r="AC3363" t="n">
        <v>61600</v>
      </c>
      <c r="AD3363" t="n">
        <v>21000</v>
      </c>
      <c r="AE3363" t="n">
        <v>40600</v>
      </c>
      <c r="AF3363" t="n">
        <v>56000</v>
      </c>
      <c r="AG3363" t="n">
        <v>20307</v>
      </c>
      <c r="AH3363" t="n">
        <v>35693</v>
      </c>
      <c r="AI3363" t="n">
        <v>0</v>
      </c>
    </row>
    <row r="3364">
      <c r="A3364" t="inlineStr">
        <is>
          <t>4월</t>
        </is>
      </c>
      <c r="B3364" t="inlineStr">
        <is>
          <t>16주차</t>
        </is>
      </c>
      <c r="C3364" t="inlineStr">
        <is>
          <t>EP</t>
        </is>
      </c>
      <c r="D3364" s="28" t="n">
        <v>46129</v>
      </c>
      <c r="E3364" t="inlineStr">
        <is>
          <t>현대EP_fast</t>
        </is>
      </c>
      <c r="F3364" t="inlineStr">
        <is>
          <t>구은호</t>
        </is>
      </c>
      <c r="G3364" t="inlineStr">
        <is>
          <t>010-3589-4992</t>
        </is>
      </c>
      <c r="H3364" t="inlineStr">
        <is>
          <t>229부9951</t>
        </is>
      </c>
      <c r="I3364" t="n">
        <v>12900000</v>
      </c>
      <c r="J3364" t="n">
        <v>0.105</v>
      </c>
      <c r="K3364" t="n">
        <v>1.76</v>
      </c>
      <c r="L3364" t="n">
        <v>0.6</v>
      </c>
      <c r="M3364" t="n">
        <v>1.16</v>
      </c>
      <c r="P3364" t="inlineStr">
        <is>
          <t>최혁</t>
        </is>
      </c>
      <c r="AB3364" t="inlineStr">
        <is>
          <t>엔카</t>
        </is>
      </c>
      <c r="AC3364" t="n">
        <v>227040</v>
      </c>
      <c r="AD3364" t="n">
        <v>77400</v>
      </c>
      <c r="AE3364" t="n">
        <v>149640</v>
      </c>
      <c r="AF3364" t="n">
        <v>206400</v>
      </c>
      <c r="AG3364" t="n">
        <v>74845.8</v>
      </c>
      <c r="AH3364" t="n">
        <v>131554.2</v>
      </c>
      <c r="AI3364" t="n">
        <v>0</v>
      </c>
    </row>
    <row r="3365">
      <c r="A3365" t="inlineStr">
        <is>
          <t>4월</t>
        </is>
      </c>
      <c r="B3365" t="inlineStr">
        <is>
          <t>16주차</t>
        </is>
      </c>
      <c r="C3365" t="inlineStr">
        <is>
          <t>IM</t>
        </is>
      </c>
      <c r="D3365" s="28" t="n">
        <v>46129</v>
      </c>
      <c r="E3365" t="inlineStr">
        <is>
          <t>IM캐피탈</t>
        </is>
      </c>
      <c r="F3365" t="inlineStr">
        <is>
          <t>강상우</t>
        </is>
      </c>
      <c r="G3365" t="inlineStr">
        <is>
          <t>010-3199-6311</t>
        </is>
      </c>
      <c r="H3365" t="inlineStr">
        <is>
          <t>372조9165</t>
        </is>
      </c>
      <c r="I3365" t="n">
        <v>42000000</v>
      </c>
      <c r="J3365" t="n">
        <v>0.049</v>
      </c>
      <c r="K3365" t="n">
        <v>1.1</v>
      </c>
      <c r="L3365" t="n">
        <v>0.3</v>
      </c>
      <c r="M3365" t="n">
        <v>0.8</v>
      </c>
      <c r="P3365" t="inlineStr">
        <is>
          <t>박보람</t>
        </is>
      </c>
      <c r="Q3365" t="inlineStr">
        <is>
          <t>현대캐피탈 7.8% / 부대비용 추가 진행</t>
        </is>
      </c>
      <c r="AB3365" t="inlineStr">
        <is>
          <t>엔카</t>
        </is>
      </c>
      <c r="AC3365" t="n">
        <v>462000</v>
      </c>
      <c r="AD3365" t="n">
        <v>126000</v>
      </c>
      <c r="AE3365" t="n">
        <v>336000</v>
      </c>
      <c r="AF3365" t="n">
        <v>420000</v>
      </c>
      <c r="AG3365" t="n">
        <v>121842</v>
      </c>
      <c r="AH3365" t="n">
        <v>298158</v>
      </c>
      <c r="AI3365" t="n">
        <v>0</v>
      </c>
    </row>
    <row r="3366">
      <c r="A3366" t="inlineStr">
        <is>
          <t>4월</t>
        </is>
      </c>
      <c r="B3366" t="inlineStr">
        <is>
          <t>16주차</t>
        </is>
      </c>
      <c r="C3366" t="inlineStr">
        <is>
          <t>EP</t>
        </is>
      </c>
      <c r="D3366" s="28" t="n">
        <v>46130</v>
      </c>
      <c r="E3366" t="inlineStr">
        <is>
          <t>현대EP_fast</t>
        </is>
      </c>
      <c r="F3366" t="inlineStr">
        <is>
          <t>김준성</t>
        </is>
      </c>
      <c r="G3366" t="inlineStr">
        <is>
          <t>010-2630-0429</t>
        </is>
      </c>
      <c r="H3366" t="inlineStr">
        <is>
          <t>54무1976</t>
        </is>
      </c>
      <c r="I3366" t="n">
        <v>29400000</v>
      </c>
      <c r="J3366" t="n">
        <v>0.09</v>
      </c>
      <c r="K3366" t="n">
        <v>1.76</v>
      </c>
      <c r="L3366" t="n">
        <v>0.2</v>
      </c>
      <c r="M3366" t="n">
        <v>1.56</v>
      </c>
      <c r="P3366" t="inlineStr">
        <is>
          <t>최혁</t>
        </is>
      </c>
      <c r="Q3366" t="inlineStr">
        <is>
          <t>홈서비스60개월</t>
        </is>
      </c>
      <c r="AB3366" t="inlineStr">
        <is>
          <t>홈서비스</t>
        </is>
      </c>
      <c r="AC3366" t="n">
        <v>517440</v>
      </c>
      <c r="AD3366" t="n">
        <v>58800</v>
      </c>
      <c r="AE3366" t="n">
        <v>458640</v>
      </c>
      <c r="AF3366" t="n">
        <v>470400</v>
      </c>
      <c r="AG3366" t="n">
        <v>56859.6</v>
      </c>
      <c r="AH3366" t="n">
        <v>413540.4</v>
      </c>
      <c r="AI3366" t="n">
        <v>0</v>
      </c>
    </row>
    <row r="3367">
      <c r="A3367" t="inlineStr">
        <is>
          <t>4월</t>
        </is>
      </c>
      <c r="B3367" t="inlineStr">
        <is>
          <t>16주차</t>
        </is>
      </c>
      <c r="C3367" t="inlineStr">
        <is>
          <t>EP</t>
        </is>
      </c>
      <c r="D3367" s="28" t="n">
        <v>46130</v>
      </c>
      <c r="E3367" t="inlineStr">
        <is>
          <t>현대EP_fast</t>
        </is>
      </c>
      <c r="F3367" t="inlineStr">
        <is>
          <t>김효선</t>
        </is>
      </c>
      <c r="G3367" t="inlineStr">
        <is>
          <t>010-8184-8900</t>
        </is>
      </c>
      <c r="H3367" t="inlineStr">
        <is>
          <t>01나4058</t>
        </is>
      </c>
      <c r="I3367" t="n">
        <v>17000000</v>
      </c>
      <c r="J3367" t="n">
        <v>0.102</v>
      </c>
      <c r="K3367" t="n">
        <v>1.76</v>
      </c>
      <c r="L3367" t="n">
        <v>0.2</v>
      </c>
      <c r="M3367" t="n">
        <v>1.56</v>
      </c>
      <c r="P3367" t="inlineStr">
        <is>
          <t>최혁</t>
        </is>
      </c>
      <c r="Q3367" t="inlineStr">
        <is>
          <t>홈서비스60개월</t>
        </is>
      </c>
      <c r="AB3367" t="inlineStr">
        <is>
          <t>홈서비스</t>
        </is>
      </c>
      <c r="AC3367" t="n">
        <v>299200</v>
      </c>
      <c r="AD3367" t="n">
        <v>34000</v>
      </c>
      <c r="AE3367" t="n">
        <v>265200</v>
      </c>
      <c r="AF3367" t="n">
        <v>272000</v>
      </c>
      <c r="AG3367" t="n">
        <v>32878</v>
      </c>
      <c r="AH3367" t="n">
        <v>239122</v>
      </c>
      <c r="AI3367" t="n">
        <v>0</v>
      </c>
    </row>
    <row r="3368">
      <c r="A3368" t="inlineStr">
        <is>
          <t>4월</t>
        </is>
      </c>
      <c r="B3368" t="inlineStr">
        <is>
          <t>16주차</t>
        </is>
      </c>
      <c r="C3368" t="inlineStr">
        <is>
          <t>IM</t>
        </is>
      </c>
      <c r="D3368" s="28" t="n">
        <v>46129</v>
      </c>
      <c r="E3368" t="inlineStr">
        <is>
          <t>IM캐피탈</t>
        </is>
      </c>
      <c r="F3368" t="inlineStr">
        <is>
          <t>고나은</t>
        </is>
      </c>
      <c r="G3368" t="inlineStr">
        <is>
          <t>010-2604-9944</t>
        </is>
      </c>
      <c r="H3368" t="inlineStr">
        <is>
          <t>178저7815</t>
        </is>
      </c>
      <c r="I3368" t="n">
        <v>15000000</v>
      </c>
      <c r="J3368" t="n">
        <v>0.049</v>
      </c>
      <c r="K3368" t="n">
        <v>1.1</v>
      </c>
      <c r="L3368" t="n">
        <v>0.07000000000000001</v>
      </c>
      <c r="M3368" t="n">
        <v>1.03</v>
      </c>
      <c r="P3368" t="inlineStr">
        <is>
          <t>최형주</t>
        </is>
      </c>
      <c r="Q3368" t="inlineStr">
        <is>
          <t>홈서비스 36개월 / 현대 7.1%</t>
        </is>
      </c>
      <c r="AB3368" t="inlineStr">
        <is>
          <t>홈서비스</t>
        </is>
      </c>
      <c r="AC3368" t="n">
        <v>165000</v>
      </c>
      <c r="AD3368" t="n">
        <v>10500</v>
      </c>
      <c r="AE3368" t="n">
        <v>154500</v>
      </c>
      <c r="AF3368" t="n">
        <v>150000</v>
      </c>
      <c r="AG3368" t="n">
        <v>10153.5</v>
      </c>
      <c r="AH3368" t="n">
        <v>139846.5</v>
      </c>
      <c r="AI3368" t="n">
        <v>0</v>
      </c>
    </row>
    <row r="3369">
      <c r="A3369" t="inlineStr">
        <is>
          <t>4월</t>
        </is>
      </c>
      <c r="B3369" t="inlineStr">
        <is>
          <t>16주차</t>
        </is>
      </c>
      <c r="C3369" t="inlineStr">
        <is>
          <t>EP</t>
        </is>
      </c>
      <c r="D3369" s="28" t="n">
        <v>46129</v>
      </c>
      <c r="E3369" t="inlineStr">
        <is>
          <t>현대EP_fast</t>
        </is>
      </c>
      <c r="F3369" t="inlineStr">
        <is>
          <t>최희근</t>
        </is>
      </c>
      <c r="G3369" t="inlineStr">
        <is>
          <t>010-7215-7157</t>
        </is>
      </c>
      <c r="H3369" t="inlineStr">
        <is>
          <t>61모5250</t>
        </is>
      </c>
      <c r="I3369" t="n">
        <v>4300000</v>
      </c>
      <c r="J3369" t="n">
        <v>0.09</v>
      </c>
      <c r="K3369" t="n">
        <v>1.76</v>
      </c>
      <c r="L3369" t="n">
        <v>0.2</v>
      </c>
      <c r="M3369" t="n">
        <v>1.56</v>
      </c>
      <c r="P3369" t="inlineStr">
        <is>
          <t>최형주</t>
        </is>
      </c>
      <c r="Q3369" t="inlineStr">
        <is>
          <t>홈서비스 48개월</t>
        </is>
      </c>
      <c r="AB3369" t="inlineStr">
        <is>
          <t>홈서비스</t>
        </is>
      </c>
      <c r="AC3369" t="n">
        <v>75680</v>
      </c>
      <c r="AD3369" t="n">
        <v>8600</v>
      </c>
      <c r="AE3369" t="n">
        <v>67080</v>
      </c>
      <c r="AF3369" t="n">
        <v>68800</v>
      </c>
      <c r="AG3369" t="n">
        <v>8316.200000000001</v>
      </c>
      <c r="AH3369" t="n">
        <v>60483.8</v>
      </c>
      <c r="AI3369" t="n">
        <v>0</v>
      </c>
    </row>
    <row r="3370">
      <c r="A3370" t="inlineStr">
        <is>
          <t>4월</t>
        </is>
      </c>
      <c r="B3370" t="inlineStr">
        <is>
          <t>16주차</t>
        </is>
      </c>
      <c r="C3370" t="inlineStr">
        <is>
          <t>IM</t>
        </is>
      </c>
      <c r="D3370" s="28" t="n">
        <v>46129</v>
      </c>
      <c r="E3370" t="inlineStr">
        <is>
          <t>IM캐피탈</t>
        </is>
      </c>
      <c r="F3370" t="inlineStr">
        <is>
          <t>박혁</t>
        </is>
      </c>
      <c r="G3370" t="inlineStr">
        <is>
          <t>010-5168-5150</t>
        </is>
      </c>
      <c r="H3370" t="inlineStr">
        <is>
          <t>04수2683</t>
        </is>
      </c>
      <c r="I3370" t="n">
        <v>15000000</v>
      </c>
      <c r="J3370" t="n">
        <v>0.049</v>
      </c>
      <c r="K3370" t="n">
        <v>1.1</v>
      </c>
      <c r="L3370" t="n">
        <v>0.07000000000000001</v>
      </c>
      <c r="M3370" t="n">
        <v>1.03</v>
      </c>
      <c r="P3370" t="inlineStr">
        <is>
          <t>장현경</t>
        </is>
      </c>
      <c r="Q3370" t="inlineStr">
        <is>
          <t>선상담 / 홈서비스 60개월 / 현대 7.1%</t>
        </is>
      </c>
      <c r="AB3370" t="inlineStr">
        <is>
          <t>홈서비스</t>
        </is>
      </c>
      <c r="AC3370" t="n">
        <v>165000</v>
      </c>
      <c r="AD3370" t="n">
        <v>10500</v>
      </c>
      <c r="AE3370" t="n">
        <v>154500</v>
      </c>
      <c r="AF3370" t="n">
        <v>150000</v>
      </c>
      <c r="AG3370" t="n">
        <v>10153.5</v>
      </c>
      <c r="AH3370" t="n">
        <v>139846.5</v>
      </c>
      <c r="AI3370" t="n">
        <v>0</v>
      </c>
    </row>
    <row r="3371">
      <c r="A3371" t="inlineStr">
        <is>
          <t>4월</t>
        </is>
      </c>
      <c r="B3371" t="inlineStr">
        <is>
          <t>16주차</t>
        </is>
      </c>
      <c r="C3371" t="inlineStr">
        <is>
          <t>EP</t>
        </is>
      </c>
      <c r="D3371" s="28" t="n">
        <v>46129</v>
      </c>
      <c r="E3371" t="inlineStr">
        <is>
          <t>현대EP_fast</t>
        </is>
      </c>
      <c r="F3371" t="inlineStr">
        <is>
          <t>김윤재</t>
        </is>
      </c>
      <c r="G3371" t="inlineStr">
        <is>
          <t>010-9041-8444</t>
        </is>
      </c>
      <c r="H3371" t="inlineStr">
        <is>
          <t>254조1878</t>
        </is>
      </c>
      <c r="I3371" t="n">
        <v>29700000</v>
      </c>
      <c r="J3371" t="n">
        <v>0.127</v>
      </c>
      <c r="K3371" t="n">
        <v>1.76</v>
      </c>
      <c r="L3371" t="n">
        <v>0.2</v>
      </c>
      <c r="M3371" t="n">
        <v>1.56</v>
      </c>
      <c r="P3371" t="inlineStr">
        <is>
          <t>정세빈</t>
        </is>
      </c>
      <c r="Q3371" t="inlineStr">
        <is>
          <t>홈서비스 36개월</t>
        </is>
      </c>
      <c r="AB3371" t="inlineStr">
        <is>
          <t>홈서비스</t>
        </is>
      </c>
      <c r="AC3371" t="n">
        <v>522720</v>
      </c>
      <c r="AD3371" t="n">
        <v>59400</v>
      </c>
      <c r="AE3371" t="n">
        <v>463320</v>
      </c>
      <c r="AF3371" t="n">
        <v>475200</v>
      </c>
      <c r="AG3371" t="n">
        <v>57439.8</v>
      </c>
      <c r="AH3371" t="n">
        <v>417760.2</v>
      </c>
      <c r="AI3371" t="n">
        <v>0</v>
      </c>
    </row>
    <row r="3372">
      <c r="A3372" t="inlineStr">
        <is>
          <t>4월</t>
        </is>
      </c>
      <c r="B3372" t="inlineStr">
        <is>
          <t>16주차</t>
        </is>
      </c>
      <c r="C3372" t="inlineStr">
        <is>
          <t>EP</t>
        </is>
      </c>
      <c r="D3372" s="28" t="n">
        <v>46129</v>
      </c>
      <c r="E3372" t="inlineStr">
        <is>
          <t>현대EP_fast</t>
        </is>
      </c>
      <c r="F3372" t="inlineStr">
        <is>
          <t>김성준</t>
        </is>
      </c>
      <c r="G3372" t="inlineStr">
        <is>
          <t>010-3541-2017</t>
        </is>
      </c>
      <c r="H3372" t="inlineStr">
        <is>
          <t>384루6644</t>
        </is>
      </c>
      <c r="I3372" t="n">
        <v>14900000</v>
      </c>
      <c r="J3372" t="n">
        <v>0.062</v>
      </c>
      <c r="K3372" t="n">
        <v>1.76</v>
      </c>
      <c r="L3372" t="n">
        <v>0.2</v>
      </c>
      <c r="M3372" t="n">
        <v>1.56</v>
      </c>
      <c r="P3372" t="inlineStr">
        <is>
          <t>정세빈</t>
        </is>
      </c>
      <c r="Q3372" t="inlineStr">
        <is>
          <t>홈서비스 60개월</t>
        </is>
      </c>
      <c r="AB3372" t="inlineStr">
        <is>
          <t>홈서비스</t>
        </is>
      </c>
      <c r="AC3372" t="n">
        <v>262240</v>
      </c>
      <c r="AD3372" t="n">
        <v>29800</v>
      </c>
      <c r="AE3372" t="n">
        <v>232440</v>
      </c>
      <c r="AF3372" t="n">
        <v>238400</v>
      </c>
      <c r="AG3372" t="n">
        <v>28816.6</v>
      </c>
      <c r="AH3372" t="n">
        <v>209583.4</v>
      </c>
      <c r="AI3372" t="n">
        <v>0</v>
      </c>
    </row>
    <row r="3373">
      <c r="A3373" t="inlineStr">
        <is>
          <t>4월</t>
        </is>
      </c>
      <c r="B3373" t="inlineStr">
        <is>
          <t>16주차</t>
        </is>
      </c>
      <c r="C3373" t="inlineStr">
        <is>
          <t>EP</t>
        </is>
      </c>
      <c r="D3373" s="28" t="n">
        <v>46129</v>
      </c>
      <c r="E3373" t="inlineStr">
        <is>
          <t>현대EP_fast</t>
        </is>
      </c>
      <c r="F3373" t="inlineStr">
        <is>
          <t>민순기</t>
        </is>
      </c>
      <c r="G3373" t="inlineStr">
        <is>
          <t>010-2779-8670</t>
        </is>
      </c>
      <c r="H3373" t="inlineStr">
        <is>
          <t>258거3022</t>
        </is>
      </c>
      <c r="I3373" t="n">
        <v>12000000</v>
      </c>
      <c r="J3373" t="n">
        <v>0.092</v>
      </c>
      <c r="K3373" t="n">
        <v>1.76</v>
      </c>
      <c r="L3373" t="n">
        <v>0.2</v>
      </c>
      <c r="M3373" t="n">
        <v>1.56</v>
      </c>
      <c r="P3373" t="inlineStr">
        <is>
          <t>김수연</t>
        </is>
      </c>
      <c r="Q3373" t="inlineStr">
        <is>
          <t xml:space="preserve">홈서비스 24개월 </t>
        </is>
      </c>
      <c r="AB3373" t="inlineStr">
        <is>
          <t>홈서비스</t>
        </is>
      </c>
      <c r="AC3373" t="n">
        <v>211200</v>
      </c>
      <c r="AD3373" t="n">
        <v>24000</v>
      </c>
      <c r="AE3373" t="n">
        <v>187200</v>
      </c>
      <c r="AF3373" t="n">
        <v>192000</v>
      </c>
      <c r="AG3373" t="n">
        <v>23208</v>
      </c>
      <c r="AH3373" t="n">
        <v>168792</v>
      </c>
      <c r="AI3373" t="n">
        <v>0</v>
      </c>
    </row>
    <row r="3374">
      <c r="A3374" t="inlineStr">
        <is>
          <t>4월</t>
        </is>
      </c>
      <c r="B3374" t="inlineStr">
        <is>
          <t>16주차</t>
        </is>
      </c>
      <c r="C3374" t="inlineStr">
        <is>
          <t>EP</t>
        </is>
      </c>
      <c r="D3374" s="28" t="n">
        <v>46129</v>
      </c>
      <c r="E3374" t="inlineStr">
        <is>
          <t>현대EP</t>
        </is>
      </c>
      <c r="F3374" t="inlineStr">
        <is>
          <t>고범수</t>
        </is>
      </c>
      <c r="G3374" t="inlineStr">
        <is>
          <t>010-4749-1757</t>
        </is>
      </c>
      <c r="H3374" t="inlineStr">
        <is>
          <t>38노0442</t>
        </is>
      </c>
      <c r="I3374" t="n">
        <v>7900000</v>
      </c>
      <c r="J3374" t="n">
        <v>0.092</v>
      </c>
      <c r="K3374" t="n">
        <v>1.76</v>
      </c>
      <c r="L3374" t="n">
        <v>0.2</v>
      </c>
      <c r="M3374" t="n">
        <v>1.56</v>
      </c>
      <c r="P3374" t="inlineStr">
        <is>
          <t>최형주</t>
        </is>
      </c>
      <c r="AB3374" t="inlineStr">
        <is>
          <t>홈서비스</t>
        </is>
      </c>
      <c r="AC3374" t="n">
        <v>139040</v>
      </c>
      <c r="AD3374" t="n">
        <v>15800</v>
      </c>
      <c r="AE3374" t="n">
        <v>123240</v>
      </c>
      <c r="AF3374" t="n">
        <v>126400</v>
      </c>
      <c r="AG3374" t="n">
        <v>15278.6</v>
      </c>
      <c r="AH3374" t="n">
        <v>111121.4</v>
      </c>
      <c r="AI3374" t="n">
        <v>0</v>
      </c>
    </row>
    <row r="3375">
      <c r="A3375" t="inlineStr">
        <is>
          <t>4월</t>
        </is>
      </c>
      <c r="B3375" t="inlineStr">
        <is>
          <t>16주차</t>
        </is>
      </c>
      <c r="C3375" t="inlineStr">
        <is>
          <t>EP</t>
        </is>
      </c>
      <c r="D3375" s="28" t="n">
        <v>46129</v>
      </c>
      <c r="E3375" t="inlineStr">
        <is>
          <t>현대EP</t>
        </is>
      </c>
      <c r="F3375" t="inlineStr">
        <is>
          <t>이효빈</t>
        </is>
      </c>
      <c r="G3375" t="inlineStr">
        <is>
          <t>010-4139-7581</t>
        </is>
      </c>
      <c r="H3375" t="inlineStr">
        <is>
          <t>325고5226</t>
        </is>
      </c>
      <c r="I3375" t="n">
        <v>14800000</v>
      </c>
      <c r="J3375" t="n">
        <v>0.07099999999999999</v>
      </c>
      <c r="K3375" t="n">
        <v>1.76</v>
      </c>
      <c r="L3375" t="n">
        <v>0.2</v>
      </c>
      <c r="M3375" t="n">
        <v>1.56</v>
      </c>
      <c r="P3375" t="inlineStr">
        <is>
          <t>정세빈</t>
        </is>
      </c>
      <c r="AB3375" t="inlineStr">
        <is>
          <t>홈서비스</t>
        </is>
      </c>
      <c r="AC3375" t="n">
        <v>260480</v>
      </c>
      <c r="AD3375" t="n">
        <v>29600</v>
      </c>
      <c r="AE3375" t="n">
        <v>230880</v>
      </c>
      <c r="AF3375" t="n">
        <v>236800</v>
      </c>
      <c r="AG3375" t="n">
        <v>28623.2</v>
      </c>
      <c r="AH3375" t="n">
        <v>208176.8</v>
      </c>
      <c r="AI3375" t="n">
        <v>0</v>
      </c>
    </row>
    <row r="3376">
      <c r="A3376" t="inlineStr">
        <is>
          <t>4월</t>
        </is>
      </c>
      <c r="B3376" t="inlineStr">
        <is>
          <t>16주차</t>
        </is>
      </c>
      <c r="C3376" t="inlineStr">
        <is>
          <t>EP</t>
        </is>
      </c>
      <c r="D3376" s="28" t="n">
        <v>46129</v>
      </c>
      <c r="E3376" t="inlineStr">
        <is>
          <t>현대EP_fast</t>
        </is>
      </c>
      <c r="F3376" t="inlineStr">
        <is>
          <t>옥기주</t>
        </is>
      </c>
      <c r="G3376" t="inlineStr">
        <is>
          <t>010-5142-0411</t>
        </is>
      </c>
      <c r="H3376" t="inlineStr">
        <is>
          <t>32조0293</t>
        </is>
      </c>
      <c r="I3376" t="n">
        <v>13800000</v>
      </c>
      <c r="J3376" t="n">
        <v>0.102</v>
      </c>
      <c r="K3376" t="n">
        <v>1.76</v>
      </c>
      <c r="L3376" t="n">
        <v>0.2</v>
      </c>
      <c r="M3376" t="n">
        <v>1.56</v>
      </c>
      <c r="P3376" t="inlineStr">
        <is>
          <t>장현경</t>
        </is>
      </c>
      <c r="Q3376" t="inlineStr">
        <is>
          <t>선상담 / 홈서비스 24개월 / 공동명의</t>
        </is>
      </c>
      <c r="AB3376" t="inlineStr">
        <is>
          <t>홈서비스</t>
        </is>
      </c>
      <c r="AC3376" t="n">
        <v>242880</v>
      </c>
      <c r="AD3376" t="n">
        <v>27600</v>
      </c>
      <c r="AE3376" t="n">
        <v>215280</v>
      </c>
      <c r="AF3376" t="n">
        <v>220800</v>
      </c>
      <c r="AG3376" t="n">
        <v>26689.2</v>
      </c>
      <c r="AH3376" t="n">
        <v>194110.8</v>
      </c>
      <c r="AI3376" t="n">
        <v>0</v>
      </c>
    </row>
    <row r="3377">
      <c r="A3377" t="inlineStr">
        <is>
          <t>4월</t>
        </is>
      </c>
      <c r="B3377" t="inlineStr">
        <is>
          <t>16주차</t>
        </is>
      </c>
      <c r="C3377" t="inlineStr">
        <is>
          <t>EP</t>
        </is>
      </c>
      <c r="D3377" s="28" t="n">
        <v>46129</v>
      </c>
      <c r="E3377" t="inlineStr">
        <is>
          <t>현대EP_fast</t>
        </is>
      </c>
      <c r="F3377" t="inlineStr">
        <is>
          <t>황명철</t>
        </is>
      </c>
      <c r="G3377" t="inlineStr">
        <is>
          <t>010-4169-5911</t>
        </is>
      </c>
      <c r="H3377" t="inlineStr">
        <is>
          <t>339두2613</t>
        </is>
      </c>
      <c r="I3377" t="n">
        <v>19500000</v>
      </c>
      <c r="J3377" t="n">
        <v>0.11</v>
      </c>
      <c r="K3377" t="n">
        <v>1.76</v>
      </c>
      <c r="L3377" t="n">
        <v>0.2</v>
      </c>
      <c r="M3377" t="n">
        <v>1.56</v>
      </c>
      <c r="P3377" t="inlineStr">
        <is>
          <t>정광호</t>
        </is>
      </c>
      <c r="Q3377" t="inlineStr">
        <is>
          <t>홈서비스 60개월</t>
        </is>
      </c>
      <c r="AB3377" t="inlineStr">
        <is>
          <t>홈서비스</t>
        </is>
      </c>
      <c r="AC3377" t="n">
        <v>343200</v>
      </c>
      <c r="AD3377" t="n">
        <v>39000</v>
      </c>
      <c r="AE3377" t="n">
        <v>304200</v>
      </c>
      <c r="AF3377" t="n">
        <v>312000</v>
      </c>
      <c r="AG3377" t="n">
        <v>37713</v>
      </c>
      <c r="AH3377" t="n">
        <v>274287</v>
      </c>
      <c r="AI3377" t="n">
        <v>0</v>
      </c>
    </row>
    <row r="3378">
      <c r="A3378" t="inlineStr">
        <is>
          <t>4월</t>
        </is>
      </c>
      <c r="B3378" t="inlineStr">
        <is>
          <t>16주차</t>
        </is>
      </c>
      <c r="C3378" t="inlineStr">
        <is>
          <t>WC</t>
        </is>
      </c>
      <c r="D3378" s="28" t="n">
        <v>46129</v>
      </c>
      <c r="E3378" t="inlineStr">
        <is>
          <t>웰컴저축은행</t>
        </is>
      </c>
      <c r="F3378" t="inlineStr">
        <is>
          <t>임채준</t>
        </is>
      </c>
      <c r="G3378" t="inlineStr">
        <is>
          <t>010-9804-4614</t>
        </is>
      </c>
      <c r="H3378" t="inlineStr">
        <is>
          <t>32마8443</t>
        </is>
      </c>
      <c r="I3378" t="n">
        <v>25500000</v>
      </c>
      <c r="J3378" t="n">
        <v>0.154</v>
      </c>
      <c r="K3378" t="n">
        <v>2.2</v>
      </c>
      <c r="L3378" t="n">
        <v>0.07000000000000001</v>
      </c>
      <c r="M3378" t="n">
        <v>2.13</v>
      </c>
      <c r="P3378" t="inlineStr">
        <is>
          <t>김수연</t>
        </is>
      </c>
      <c r="Q3378" t="inlineStr">
        <is>
          <t>홈서비스 60개월</t>
        </is>
      </c>
      <c r="AB3378" t="inlineStr">
        <is>
          <t>홈서비스</t>
        </is>
      </c>
      <c r="AC3378" t="n">
        <v>561000</v>
      </c>
      <c r="AD3378" t="n">
        <v>17850</v>
      </c>
      <c r="AE3378" t="n">
        <v>543150</v>
      </c>
      <c r="AF3378" t="n">
        <v>510000</v>
      </c>
      <c r="AG3378" t="n">
        <v>17260.95</v>
      </c>
      <c r="AH3378" t="n">
        <v>492739.05</v>
      </c>
      <c r="AI3378" t="n">
        <v>0</v>
      </c>
    </row>
    <row r="3379">
      <c r="A3379" t="inlineStr">
        <is>
          <t>4월</t>
        </is>
      </c>
      <c r="B3379" t="inlineStr">
        <is>
          <t>16주차</t>
        </is>
      </c>
      <c r="C3379" t="inlineStr">
        <is>
          <t>EP</t>
        </is>
      </c>
      <c r="D3379" s="28" t="n">
        <v>46129</v>
      </c>
      <c r="E3379" t="inlineStr">
        <is>
          <t>현대EP</t>
        </is>
      </c>
      <c r="F3379" t="inlineStr">
        <is>
          <t>홍상혁</t>
        </is>
      </c>
      <c r="G3379" t="inlineStr">
        <is>
          <t>010-4106-2672</t>
        </is>
      </c>
      <c r="H3379" t="inlineStr">
        <is>
          <t>330소1646</t>
        </is>
      </c>
      <c r="I3379" t="n">
        <v>30000000</v>
      </c>
      <c r="J3379" t="n">
        <v>0.077</v>
      </c>
      <c r="K3379" t="n">
        <v>1.76</v>
      </c>
      <c r="L3379" t="n">
        <v>0.2</v>
      </c>
      <c r="M3379" t="n">
        <v>1.56</v>
      </c>
      <c r="P3379" t="inlineStr">
        <is>
          <t>최형주</t>
        </is>
      </c>
      <c r="AB3379" t="inlineStr">
        <is>
          <t>홈서비스</t>
        </is>
      </c>
      <c r="AC3379" t="n">
        <v>528000</v>
      </c>
      <c r="AD3379" t="n">
        <v>60000</v>
      </c>
      <c r="AE3379" t="n">
        <v>468000</v>
      </c>
      <c r="AF3379" t="n">
        <v>480000</v>
      </c>
      <c r="AG3379" t="n">
        <v>58020</v>
      </c>
      <c r="AH3379" t="n">
        <v>421980</v>
      </c>
      <c r="AI3379" t="n">
        <v>0</v>
      </c>
    </row>
    <row r="3380">
      <c r="A3380" t="inlineStr">
        <is>
          <t>4월</t>
        </is>
      </c>
      <c r="B3380" t="inlineStr">
        <is>
          <t>16주차</t>
        </is>
      </c>
      <c r="C3380" t="inlineStr">
        <is>
          <t>EP</t>
        </is>
      </c>
      <c r="D3380" s="28" t="n">
        <v>46129</v>
      </c>
      <c r="E3380" t="inlineStr">
        <is>
          <t>현대EP</t>
        </is>
      </c>
      <c r="F3380" t="inlineStr">
        <is>
          <t>최미선</t>
        </is>
      </c>
      <c r="G3380" t="inlineStr">
        <is>
          <t>010-9431-1287</t>
        </is>
      </c>
      <c r="H3380" t="inlineStr">
        <is>
          <t>46노1300</t>
        </is>
      </c>
      <c r="I3380" t="n">
        <v>20000000</v>
      </c>
      <c r="J3380" t="n">
        <v>0.079</v>
      </c>
      <c r="K3380" t="n">
        <v>1.76</v>
      </c>
      <c r="L3380" t="n">
        <v>0.2</v>
      </c>
      <c r="M3380" t="n">
        <v>1.56</v>
      </c>
      <c r="P3380" t="inlineStr">
        <is>
          <t>정세빈</t>
        </is>
      </c>
      <c r="AB3380" t="inlineStr">
        <is>
          <t>홈서비스</t>
        </is>
      </c>
      <c r="AC3380" t="n">
        <v>352000</v>
      </c>
      <c r="AD3380" t="n">
        <v>40000</v>
      </c>
      <c r="AE3380" t="n">
        <v>312000</v>
      </c>
      <c r="AF3380" t="n">
        <v>320000</v>
      </c>
      <c r="AG3380" t="n">
        <v>38680</v>
      </c>
      <c r="AH3380" t="n">
        <v>281320</v>
      </c>
    </row>
    <row r="3381">
      <c r="A3381" t="inlineStr">
        <is>
          <t>4월</t>
        </is>
      </c>
      <c r="B3381" t="inlineStr">
        <is>
          <t>16주차</t>
        </is>
      </c>
      <c r="C3381" t="inlineStr">
        <is>
          <t>EP</t>
        </is>
      </c>
      <c r="D3381" s="28" t="n">
        <v>46129</v>
      </c>
      <c r="E3381" t="inlineStr">
        <is>
          <t>제이비EP</t>
        </is>
      </c>
      <c r="F3381" t="inlineStr">
        <is>
          <t>강민용</t>
        </is>
      </c>
      <c r="G3381" t="inlineStr">
        <is>
          <t>010-6367-4344</t>
        </is>
      </c>
      <c r="H3381" t="inlineStr">
        <is>
          <t>02보2073</t>
        </is>
      </c>
      <c r="I3381" t="n">
        <v>15400000</v>
      </c>
      <c r="J3381" t="n">
        <v>0.074</v>
      </c>
      <c r="K3381" t="n">
        <v>1.65</v>
      </c>
      <c r="L3381" t="n">
        <v>0.3</v>
      </c>
      <c r="M3381" t="n">
        <v>1.35</v>
      </c>
      <c r="P3381" t="inlineStr">
        <is>
          <t>박현민</t>
        </is>
      </c>
      <c r="AB3381" t="inlineStr">
        <is>
          <t>엔카</t>
        </is>
      </c>
      <c r="AC3381" t="n">
        <v>254100</v>
      </c>
      <c r="AD3381" t="n">
        <v>46200</v>
      </c>
      <c r="AE3381" t="n">
        <v>207900</v>
      </c>
      <c r="AF3381" t="n">
        <v>231000</v>
      </c>
      <c r="AG3381" t="n">
        <v>44675.4</v>
      </c>
      <c r="AH3381" t="n">
        <v>186324.6</v>
      </c>
      <c r="AI3381" t="n">
        <v>0</v>
      </c>
    </row>
    <row r="3382">
      <c r="A3382" t="inlineStr">
        <is>
          <t>4월</t>
        </is>
      </c>
      <c r="B3382" t="inlineStr">
        <is>
          <t>16주차</t>
        </is>
      </c>
      <c r="C3382" t="inlineStr">
        <is>
          <t>EP</t>
        </is>
      </c>
      <c r="D3382" s="28" t="n">
        <v>46128</v>
      </c>
      <c r="E3382" t="inlineStr">
        <is>
          <t>현대EP_fast</t>
        </is>
      </c>
      <c r="F3382" t="inlineStr">
        <is>
          <t>김영직</t>
        </is>
      </c>
      <c r="G3382" t="inlineStr">
        <is>
          <t>010-9671-0369</t>
        </is>
      </c>
      <c r="H3382" t="inlineStr">
        <is>
          <t>55서8388</t>
        </is>
      </c>
      <c r="I3382" t="n">
        <v>8600000</v>
      </c>
      <c r="J3382" t="n">
        <v>0.118</v>
      </c>
      <c r="K3382" t="n">
        <v>1.76</v>
      </c>
      <c r="L3382" t="n">
        <v>0.2</v>
      </c>
      <c r="M3382" t="n">
        <v>1.56</v>
      </c>
      <c r="P3382" t="inlineStr">
        <is>
          <t>임대경</t>
        </is>
      </c>
      <c r="Q3382" t="inlineStr">
        <is>
          <t>홈서비스 36개월</t>
        </is>
      </c>
      <c r="AB3382" t="inlineStr">
        <is>
          <t>홈서비스</t>
        </is>
      </c>
      <c r="AC3382" t="n">
        <v>151360</v>
      </c>
      <c r="AD3382" t="n">
        <v>17200</v>
      </c>
      <c r="AE3382" t="n">
        <v>134160</v>
      </c>
      <c r="AF3382" t="n">
        <v>137600</v>
      </c>
      <c r="AG3382" t="n">
        <v>16632.4</v>
      </c>
      <c r="AH3382" t="n">
        <v>120967.6</v>
      </c>
      <c r="AI3382" t="n">
        <v>0</v>
      </c>
    </row>
    <row r="3383">
      <c r="A3383" t="inlineStr">
        <is>
          <t>4월</t>
        </is>
      </c>
      <c r="B3383" t="inlineStr">
        <is>
          <t>16주차</t>
        </is>
      </c>
      <c r="C3383" t="inlineStr">
        <is>
          <t>EP</t>
        </is>
      </c>
      <c r="D3383" s="28" t="n">
        <v>46129</v>
      </c>
      <c r="E3383" t="inlineStr">
        <is>
          <t>현대EP</t>
        </is>
      </c>
      <c r="F3383" t="inlineStr">
        <is>
          <t>한영탁</t>
        </is>
      </c>
      <c r="G3383" t="inlineStr">
        <is>
          <t>010-6555-6814</t>
        </is>
      </c>
      <c r="H3383" t="inlineStr">
        <is>
          <t>69너2329</t>
        </is>
      </c>
      <c r="I3383" t="n">
        <v>20000000</v>
      </c>
      <c r="J3383" t="n">
        <v>0.062</v>
      </c>
      <c r="K3383" t="n">
        <v>1.76</v>
      </c>
      <c r="L3383" t="n">
        <v>0.2</v>
      </c>
      <c r="M3383" t="n">
        <v>1.56</v>
      </c>
      <c r="P3383" t="inlineStr">
        <is>
          <t>김수연</t>
        </is>
      </c>
      <c r="AB3383" t="inlineStr">
        <is>
          <t>홈서비스</t>
        </is>
      </c>
      <c r="AC3383" t="n">
        <v>352000</v>
      </c>
      <c r="AD3383" t="n">
        <v>40000</v>
      </c>
      <c r="AE3383" t="n">
        <v>312000</v>
      </c>
      <c r="AF3383" t="n">
        <v>320000</v>
      </c>
      <c r="AG3383" t="n">
        <v>38680</v>
      </c>
      <c r="AH3383" t="n">
        <v>281320</v>
      </c>
      <c r="AI3383" t="n">
        <v>0</v>
      </c>
    </row>
    <row r="3384">
      <c r="A3384" t="inlineStr">
        <is>
          <t>4월</t>
        </is>
      </c>
      <c r="B3384" t="inlineStr">
        <is>
          <t>16주차</t>
        </is>
      </c>
      <c r="C3384" t="inlineStr">
        <is>
          <t>IM</t>
        </is>
      </c>
      <c r="D3384" s="28" t="n">
        <v>46129</v>
      </c>
      <c r="E3384" t="inlineStr">
        <is>
          <t>IM캐피탈</t>
        </is>
      </c>
      <c r="F3384" t="inlineStr">
        <is>
          <t>김민아</t>
        </is>
      </c>
      <c r="G3384" t="inlineStr">
        <is>
          <t>010-5802-3040</t>
        </is>
      </c>
      <c r="H3384" t="inlineStr">
        <is>
          <t>202로9209</t>
        </is>
      </c>
      <c r="I3384" t="n">
        <v>47900000</v>
      </c>
      <c r="J3384" t="n">
        <v>0.056</v>
      </c>
      <c r="K3384" t="n">
        <v>1.1</v>
      </c>
      <c r="L3384" t="n">
        <v>0.07000000000000001</v>
      </c>
      <c r="M3384" t="n">
        <v>1.03</v>
      </c>
      <c r="P3384" t="inlineStr">
        <is>
          <t>김나윤</t>
        </is>
      </c>
      <c r="Q3384" t="inlineStr">
        <is>
          <t>홈서비스 72개월 / 현대 7.2%</t>
        </is>
      </c>
      <c r="AB3384" t="inlineStr">
        <is>
          <t>홈서비스</t>
        </is>
      </c>
      <c r="AC3384" t="n">
        <v>526900</v>
      </c>
      <c r="AD3384" t="n">
        <v>33530</v>
      </c>
      <c r="AE3384" t="n">
        <v>493370</v>
      </c>
      <c r="AF3384" t="n">
        <v>479000</v>
      </c>
      <c r="AG3384" t="n">
        <v>32423.51</v>
      </c>
      <c r="AH3384" t="n">
        <v>446576.49</v>
      </c>
      <c r="AI3384" t="n">
        <v>0</v>
      </c>
    </row>
    <row r="3385">
      <c r="A3385" t="inlineStr">
        <is>
          <t>4월</t>
        </is>
      </c>
      <c r="B3385" t="inlineStr">
        <is>
          <t>16주차</t>
        </is>
      </c>
      <c r="C3385" t="inlineStr">
        <is>
          <t>EP</t>
        </is>
      </c>
      <c r="D3385" s="28" t="n">
        <v>46130</v>
      </c>
      <c r="E3385" t="inlineStr">
        <is>
          <t>현대EP_fast</t>
        </is>
      </c>
      <c r="F3385" t="inlineStr">
        <is>
          <t>김찬혁</t>
        </is>
      </c>
      <c r="G3385" t="inlineStr">
        <is>
          <t>010-7706-2716</t>
        </is>
      </c>
      <c r="H3385" t="inlineStr">
        <is>
          <t>238더1592</t>
        </is>
      </c>
      <c r="I3385" t="n">
        <v>15000000</v>
      </c>
      <c r="J3385" t="n">
        <v>0.09</v>
      </c>
      <c r="K3385" t="n">
        <v>1.76</v>
      </c>
      <c r="L3385" t="n">
        <v>0.2</v>
      </c>
      <c r="M3385" t="n">
        <v>1.56</v>
      </c>
      <c r="P3385" t="inlineStr">
        <is>
          <t>최혁</t>
        </is>
      </c>
      <c r="AB3385" t="inlineStr">
        <is>
          <t>믿고</t>
        </is>
      </c>
      <c r="AC3385" t="n">
        <v>264000</v>
      </c>
      <c r="AD3385" t="n">
        <v>30000</v>
      </c>
      <c r="AE3385" t="n">
        <v>234000</v>
      </c>
      <c r="AF3385" t="n">
        <v>240000</v>
      </c>
      <c r="AG3385" t="n">
        <v>29010</v>
      </c>
      <c r="AH3385" t="n">
        <v>210990</v>
      </c>
    </row>
    <row r="3386">
      <c r="A3386" t="inlineStr">
        <is>
          <t>4월</t>
        </is>
      </c>
      <c r="B3386" t="inlineStr">
        <is>
          <t>16주차</t>
        </is>
      </c>
      <c r="C3386" t="inlineStr">
        <is>
          <t>EP</t>
        </is>
      </c>
      <c r="D3386" s="28" t="n">
        <v>46128</v>
      </c>
      <c r="E3386" t="inlineStr">
        <is>
          <t>현대EP_fast</t>
        </is>
      </c>
      <c r="F3386" t="inlineStr">
        <is>
          <t>김동호</t>
        </is>
      </c>
      <c r="G3386" t="inlineStr">
        <is>
          <t>010-4802-5863</t>
        </is>
      </c>
      <c r="H3386" t="inlineStr">
        <is>
          <t>199거6568</t>
        </is>
      </c>
      <c r="I3386" t="n">
        <v>40000000</v>
      </c>
      <c r="J3386" t="n">
        <v>0.079</v>
      </c>
      <c r="K3386" t="n">
        <v>1.76</v>
      </c>
      <c r="L3386" t="n">
        <v>0.2</v>
      </c>
      <c r="M3386" t="n">
        <v>1.56</v>
      </c>
      <c r="P3386" t="inlineStr">
        <is>
          <t>장진경</t>
        </is>
      </c>
      <c r="Q3386" t="inlineStr">
        <is>
          <t>선상담 / 홈서비스 60개월</t>
        </is>
      </c>
      <c r="AB3386" t="inlineStr">
        <is>
          <t>홈서비스</t>
        </is>
      </c>
      <c r="AC3386" t="n">
        <v>704000</v>
      </c>
      <c r="AD3386" t="n">
        <v>80000</v>
      </c>
      <c r="AE3386" t="n">
        <v>624000</v>
      </c>
      <c r="AF3386" t="n">
        <v>640000</v>
      </c>
      <c r="AG3386" t="n">
        <v>77360</v>
      </c>
      <c r="AH3386" t="n">
        <v>562640</v>
      </c>
    </row>
    <row r="3387">
      <c r="A3387" t="inlineStr">
        <is>
          <t>4월</t>
        </is>
      </c>
      <c r="B3387" t="inlineStr">
        <is>
          <t>16주차</t>
        </is>
      </c>
      <c r="C3387" t="inlineStr">
        <is>
          <t>EP</t>
        </is>
      </c>
      <c r="D3387" s="28" t="n">
        <v>46130</v>
      </c>
      <c r="E3387" t="inlineStr">
        <is>
          <t>현대EP</t>
        </is>
      </c>
      <c r="F3387" t="inlineStr">
        <is>
          <t>박종철</t>
        </is>
      </c>
      <c r="G3387" t="inlineStr">
        <is>
          <t>010-4864-9939</t>
        </is>
      </c>
      <c r="H3387" t="inlineStr">
        <is>
          <t>28라2082</t>
        </is>
      </c>
      <c r="I3387" t="n">
        <v>5100000</v>
      </c>
      <c r="J3387" t="n">
        <v>0.08500000000000001</v>
      </c>
      <c r="K3387" t="n">
        <v>1.76</v>
      </c>
      <c r="L3387" t="n">
        <v>0.2</v>
      </c>
      <c r="M3387" t="n">
        <v>1.56</v>
      </c>
      <c r="P3387" t="inlineStr">
        <is>
          <t>정세빈</t>
        </is>
      </c>
      <c r="AB3387" t="inlineStr">
        <is>
          <t>홈서비스</t>
        </is>
      </c>
      <c r="AC3387" t="n">
        <v>89760</v>
      </c>
      <c r="AD3387" t="n">
        <v>10200</v>
      </c>
      <c r="AE3387" t="n">
        <v>79560</v>
      </c>
      <c r="AF3387" t="n">
        <v>81600</v>
      </c>
      <c r="AG3387" t="n">
        <v>9863.4</v>
      </c>
      <c r="AH3387" t="n">
        <v>71736.60000000001</v>
      </c>
      <c r="AI3387" t="n">
        <v>0</v>
      </c>
    </row>
    <row r="3388">
      <c r="A3388" t="inlineStr">
        <is>
          <t>4월</t>
        </is>
      </c>
      <c r="B3388" t="inlineStr">
        <is>
          <t>16주차</t>
        </is>
      </c>
      <c r="C3388" t="inlineStr">
        <is>
          <t>EP</t>
        </is>
      </c>
      <c r="D3388" s="28" t="n">
        <v>46131</v>
      </c>
      <c r="E3388" t="inlineStr">
        <is>
          <t>현대EP</t>
        </is>
      </c>
      <c r="F3388" t="inlineStr">
        <is>
          <t>홍선표</t>
        </is>
      </c>
      <c r="G3388" t="inlineStr">
        <is>
          <t>010-2510-2744</t>
        </is>
      </c>
      <c r="H3388" t="inlineStr">
        <is>
          <t>105보3530</t>
        </is>
      </c>
      <c r="I3388" t="n">
        <v>16400000</v>
      </c>
      <c r="J3388" t="n">
        <v>0.07099999999999999</v>
      </c>
      <c r="K3388" t="n">
        <v>1.76</v>
      </c>
      <c r="L3388" t="n">
        <v>0.2</v>
      </c>
      <c r="M3388" t="n">
        <v>1.56</v>
      </c>
      <c r="P3388" t="inlineStr">
        <is>
          <t>정세빈</t>
        </is>
      </c>
      <c r="AB3388" t="inlineStr">
        <is>
          <t>홈서비스</t>
        </is>
      </c>
      <c r="AC3388" t="n">
        <v>288640</v>
      </c>
      <c r="AD3388" t="n">
        <v>32800</v>
      </c>
      <c r="AE3388" t="n">
        <v>255840</v>
      </c>
      <c r="AF3388" t="n">
        <v>262400</v>
      </c>
      <c r="AG3388" t="n">
        <v>31717.6</v>
      </c>
      <c r="AH3388" t="n">
        <v>230682.4</v>
      </c>
      <c r="AI3388" t="n">
        <v>0</v>
      </c>
    </row>
    <row r="3389">
      <c r="A3389" t="inlineStr">
        <is>
          <t>4월</t>
        </is>
      </c>
      <c r="B3389" t="inlineStr">
        <is>
          <t>16주차</t>
        </is>
      </c>
      <c r="C3389" t="inlineStr">
        <is>
          <t>EP</t>
        </is>
      </c>
      <c r="D3389" s="28" t="n">
        <v>46130</v>
      </c>
      <c r="E3389" t="inlineStr">
        <is>
          <t>현대EP_fast</t>
        </is>
      </c>
      <c r="F3389" t="inlineStr">
        <is>
          <t>전태곤</t>
        </is>
      </c>
      <c r="G3389" t="inlineStr">
        <is>
          <t>010-7775-7276</t>
        </is>
      </c>
      <c r="H3389" t="inlineStr">
        <is>
          <t>36러6285</t>
        </is>
      </c>
      <c r="I3389" t="n">
        <v>15000000</v>
      </c>
      <c r="J3389" t="n">
        <v>0.118</v>
      </c>
      <c r="K3389" t="n">
        <v>1.76</v>
      </c>
      <c r="L3389" t="n">
        <v>0.6</v>
      </c>
      <c r="M3389" t="n">
        <v>1.16</v>
      </c>
      <c r="P3389" t="inlineStr">
        <is>
          <t>최혁</t>
        </is>
      </c>
      <c r="AB3389" t="inlineStr">
        <is>
          <t>엔카</t>
        </is>
      </c>
      <c r="AC3389" t="n">
        <v>264000</v>
      </c>
      <c r="AD3389" t="n">
        <v>90000</v>
      </c>
      <c r="AE3389" t="n">
        <v>174000</v>
      </c>
      <c r="AF3389" t="n">
        <v>240000</v>
      </c>
      <c r="AG3389" t="n">
        <v>87030</v>
      </c>
      <c r="AH3389" t="n">
        <v>152970</v>
      </c>
      <c r="AI3389" t="n">
        <v>0</v>
      </c>
    </row>
    <row r="3390">
      <c r="A3390" t="inlineStr">
        <is>
          <t>4월</t>
        </is>
      </c>
      <c r="B3390" t="inlineStr">
        <is>
          <t>16주차</t>
        </is>
      </c>
      <c r="C3390" t="inlineStr">
        <is>
          <t>EP</t>
        </is>
      </c>
      <c r="D3390" s="28" t="n">
        <v>46131</v>
      </c>
      <c r="E3390" t="inlineStr">
        <is>
          <t>현대EP</t>
        </is>
      </c>
      <c r="F3390" t="inlineStr">
        <is>
          <t>선하라</t>
        </is>
      </c>
      <c r="G3390" t="inlineStr">
        <is>
          <t>010-6651-6632</t>
        </is>
      </c>
      <c r="H3390" t="inlineStr">
        <is>
          <t>147소3838</t>
        </is>
      </c>
      <c r="I3390" t="n">
        <v>5900000</v>
      </c>
      <c r="J3390" t="n">
        <v>0.102</v>
      </c>
      <c r="K3390" t="n">
        <v>1.76</v>
      </c>
      <c r="L3390" t="n">
        <v>0.2</v>
      </c>
      <c r="M3390" t="n">
        <v>1.56</v>
      </c>
      <c r="P3390" t="inlineStr">
        <is>
          <t>김수연</t>
        </is>
      </c>
      <c r="AB3390" t="inlineStr">
        <is>
          <t>홈서비스</t>
        </is>
      </c>
      <c r="AC3390" t="n">
        <v>103840</v>
      </c>
      <c r="AD3390" t="n">
        <v>11800</v>
      </c>
      <c r="AE3390" t="n">
        <v>92040</v>
      </c>
      <c r="AF3390" t="n">
        <v>94400</v>
      </c>
      <c r="AG3390" t="n">
        <v>11410.6</v>
      </c>
      <c r="AH3390" t="n">
        <v>82989.39999999999</v>
      </c>
      <c r="AI3390" t="n">
        <v>0</v>
      </c>
    </row>
    <row r="3391">
      <c r="A3391" t="inlineStr">
        <is>
          <t>4월</t>
        </is>
      </c>
      <c r="B3391" t="inlineStr">
        <is>
          <t>16주차</t>
        </is>
      </c>
      <c r="C3391" t="inlineStr">
        <is>
          <t>EP</t>
        </is>
      </c>
      <c r="D3391" s="28" t="n">
        <v>46129</v>
      </c>
      <c r="E3391" t="inlineStr">
        <is>
          <t>현대EP_fast</t>
        </is>
      </c>
      <c r="F3391" t="inlineStr">
        <is>
          <t>전영준</t>
        </is>
      </c>
      <c r="G3391" t="inlineStr">
        <is>
          <t>010-9984-2776</t>
        </is>
      </c>
      <c r="H3391" t="inlineStr">
        <is>
          <t>302다4963</t>
        </is>
      </c>
      <c r="I3391" t="n">
        <v>13600000</v>
      </c>
      <c r="J3391" t="n">
        <v>0.092</v>
      </c>
      <c r="K3391" t="n">
        <v>1.76</v>
      </c>
      <c r="L3391" t="n">
        <v>0.2</v>
      </c>
      <c r="M3391" t="n">
        <v>1.56</v>
      </c>
      <c r="P3391" t="inlineStr">
        <is>
          <t>임대경</t>
        </is>
      </c>
      <c r="Q3391" t="inlineStr">
        <is>
          <t>홈서비스 48개월</t>
        </is>
      </c>
      <c r="AB3391" t="inlineStr">
        <is>
          <t>홈서비스</t>
        </is>
      </c>
      <c r="AC3391" t="n">
        <v>239360</v>
      </c>
      <c r="AD3391" t="n">
        <v>27200</v>
      </c>
      <c r="AE3391" t="n">
        <v>212160</v>
      </c>
      <c r="AF3391" t="n">
        <v>217600</v>
      </c>
      <c r="AG3391" t="n">
        <v>26302.4</v>
      </c>
      <c r="AH3391" t="n">
        <v>191297.6</v>
      </c>
      <c r="AI3391" t="n">
        <v>0</v>
      </c>
    </row>
    <row r="3392">
      <c r="A3392" t="inlineStr">
        <is>
          <t>4월</t>
        </is>
      </c>
      <c r="B3392" t="inlineStr">
        <is>
          <t>16주차</t>
        </is>
      </c>
      <c r="C3392" t="inlineStr">
        <is>
          <t>IM</t>
        </is>
      </c>
      <c r="D3392" s="28" t="n">
        <v>46129</v>
      </c>
      <c r="E3392" t="inlineStr">
        <is>
          <t>IM캐피탈</t>
        </is>
      </c>
      <c r="F3392" t="inlineStr">
        <is>
          <t>이환</t>
        </is>
      </c>
      <c r="G3392" t="inlineStr">
        <is>
          <t>010-3040-0220</t>
        </is>
      </c>
      <c r="H3392" t="inlineStr">
        <is>
          <t>241주8210</t>
        </is>
      </c>
      <c r="I3392" t="n">
        <v>20000000</v>
      </c>
      <c r="J3392" t="n">
        <v>0.066</v>
      </c>
      <c r="K3392" t="n">
        <v>1.1</v>
      </c>
      <c r="L3392" t="n">
        <v>0.07000000000000001</v>
      </c>
      <c r="M3392" t="n">
        <v>1.03</v>
      </c>
      <c r="P3392" t="inlineStr">
        <is>
          <t>황채이</t>
        </is>
      </c>
      <c r="Q3392" t="inlineStr">
        <is>
          <t>홈서비스 48개월 / 현대 9.1%</t>
        </is>
      </c>
      <c r="AB3392" t="inlineStr">
        <is>
          <t>홈서비스</t>
        </is>
      </c>
      <c r="AC3392" t="n">
        <v>220000</v>
      </c>
      <c r="AD3392" t="n">
        <v>14000</v>
      </c>
      <c r="AE3392" t="n">
        <v>206000</v>
      </c>
      <c r="AF3392" t="n">
        <v>200000</v>
      </c>
      <c r="AG3392" t="n">
        <v>13538</v>
      </c>
      <c r="AH3392" t="n">
        <v>186462</v>
      </c>
    </row>
    <row r="3393">
      <c r="A3393" t="inlineStr">
        <is>
          <t>4월</t>
        </is>
      </c>
      <c r="B3393" t="inlineStr">
        <is>
          <t>16주차</t>
        </is>
      </c>
      <c r="C3393" t="inlineStr">
        <is>
          <t>EP</t>
        </is>
      </c>
      <c r="D3393" s="28" t="n">
        <v>46129</v>
      </c>
      <c r="E3393" t="inlineStr">
        <is>
          <t>현대EP</t>
        </is>
      </c>
      <c r="F3393" t="inlineStr">
        <is>
          <t>이종현</t>
        </is>
      </c>
      <c r="G3393" t="inlineStr">
        <is>
          <t>010-2207-8235</t>
        </is>
      </c>
      <c r="H3393" t="inlineStr">
        <is>
          <t>265라4585</t>
        </is>
      </c>
      <c r="I3393" t="n">
        <v>7300000</v>
      </c>
      <c r="J3393" t="n">
        <v>0.07099999999999999</v>
      </c>
      <c r="K3393" t="n">
        <v>1.76</v>
      </c>
      <c r="L3393" t="n">
        <v>0.2</v>
      </c>
      <c r="M3393" t="n">
        <v>1.56</v>
      </c>
      <c r="P3393" t="inlineStr">
        <is>
          <t>장현경</t>
        </is>
      </c>
      <c r="AB3393" t="inlineStr">
        <is>
          <t>홈서비스</t>
        </is>
      </c>
      <c r="AC3393" t="n">
        <v>128480</v>
      </c>
      <c r="AD3393" t="n">
        <v>14600</v>
      </c>
      <c r="AE3393" t="n">
        <v>113880</v>
      </c>
      <c r="AF3393" t="n">
        <v>116800</v>
      </c>
      <c r="AG3393" t="n">
        <v>14118.2</v>
      </c>
      <c r="AH3393" t="n">
        <v>102681.8</v>
      </c>
    </row>
    <row r="3394">
      <c r="A3394" t="inlineStr">
        <is>
          <t>3월</t>
        </is>
      </c>
      <c r="B3394" t="inlineStr">
        <is>
          <t>10주차</t>
        </is>
      </c>
      <c r="C3394" t="inlineStr">
        <is>
          <t>IM</t>
        </is>
      </c>
      <c r="D3394" s="28" t="n">
        <v>46084</v>
      </c>
      <c r="E3394" t="inlineStr">
        <is>
          <t>IM캐피탈</t>
        </is>
      </c>
      <c r="F3394" t="inlineStr">
        <is>
          <t>강상기</t>
        </is>
      </c>
      <c r="G3394" t="inlineStr">
        <is>
          <t>010-6700-9316</t>
        </is>
      </c>
      <c r="H3394" t="inlineStr">
        <is>
          <t>136고2428</t>
        </is>
      </c>
      <c r="I3394" t="n">
        <v>39400000</v>
      </c>
      <c r="J3394" t="n">
        <v>0.039</v>
      </c>
      <c r="K3394" t="n">
        <v>1.1</v>
      </c>
      <c r="L3394" t="n">
        <v>0.4</v>
      </c>
      <c r="M3394" t="n">
        <v>0.7</v>
      </c>
      <c r="P3394" t="inlineStr">
        <is>
          <t>장현경</t>
        </is>
      </c>
      <c r="AB3394" t="inlineStr">
        <is>
          <t>엔카</t>
        </is>
      </c>
      <c r="AC3394" t="n">
        <v>433400</v>
      </c>
      <c r="AD3394" t="n">
        <v>157600</v>
      </c>
      <c r="AE3394" t="n">
        <v>275800</v>
      </c>
      <c r="AF3394" t="n">
        <v>394000</v>
      </c>
      <c r="AG3394" t="n">
        <v>152399.2</v>
      </c>
      <c r="AH3394" t="n">
        <v>241600.8</v>
      </c>
    </row>
    <row r="3395">
      <c r="A3395" t="inlineStr">
        <is>
          <t>4월</t>
        </is>
      </c>
      <c r="B3395" t="inlineStr">
        <is>
          <t>17주차</t>
        </is>
      </c>
      <c r="C3395" t="inlineStr">
        <is>
          <t>EP</t>
        </is>
      </c>
      <c r="D3395" s="28" t="n">
        <v>46132</v>
      </c>
      <c r="E3395" t="inlineStr">
        <is>
          <t>현대EP_fast</t>
        </is>
      </c>
      <c r="F3395" t="inlineStr">
        <is>
          <t>정은비</t>
        </is>
      </c>
      <c r="G3395" t="inlineStr">
        <is>
          <t>010-9413-9494</t>
        </is>
      </c>
      <c r="H3395" t="inlineStr">
        <is>
          <t>354머8882</t>
        </is>
      </c>
      <c r="I3395" t="n">
        <v>5600000</v>
      </c>
      <c r="J3395" t="n">
        <v>0.08500000000000001</v>
      </c>
      <c r="K3395" t="n">
        <v>1.76</v>
      </c>
      <c r="L3395" t="n">
        <v>0.2</v>
      </c>
      <c r="M3395" t="n">
        <v>1.56</v>
      </c>
      <c r="P3395" t="inlineStr">
        <is>
          <t>김수연</t>
        </is>
      </c>
      <c r="Q3395" t="inlineStr">
        <is>
          <t>홈서비스 24개월</t>
        </is>
      </c>
      <c r="AB3395" t="inlineStr">
        <is>
          <t>홈서비스</t>
        </is>
      </c>
      <c r="AC3395" t="n">
        <v>98560</v>
      </c>
      <c r="AD3395" t="n">
        <v>11200</v>
      </c>
      <c r="AE3395" t="n">
        <v>87360</v>
      </c>
      <c r="AF3395" t="n">
        <v>89600</v>
      </c>
      <c r="AG3395" t="n">
        <v>10830.4</v>
      </c>
      <c r="AH3395" t="n">
        <v>78769.60000000001</v>
      </c>
      <c r="AI3395" t="n">
        <v>0</v>
      </c>
    </row>
    <row r="3396">
      <c r="A3396" t="inlineStr">
        <is>
          <t>4월</t>
        </is>
      </c>
      <c r="B3396" t="inlineStr">
        <is>
          <t>17주차</t>
        </is>
      </c>
      <c r="C3396" t="inlineStr">
        <is>
          <t>IM</t>
        </is>
      </c>
      <c r="D3396" s="28" t="n">
        <v>46132</v>
      </c>
      <c r="E3396" t="inlineStr">
        <is>
          <t>IM캐피탈</t>
        </is>
      </c>
      <c r="F3396" t="inlineStr">
        <is>
          <t>오현준</t>
        </is>
      </c>
      <c r="G3396" t="inlineStr">
        <is>
          <t>010-4403-2023</t>
        </is>
      </c>
      <c r="H3396" t="inlineStr">
        <is>
          <t>270저6012</t>
        </is>
      </c>
      <c r="I3396" t="n">
        <v>27000000</v>
      </c>
      <c r="J3396" t="n">
        <v>0.059</v>
      </c>
      <c r="K3396" t="n">
        <v>1.1</v>
      </c>
      <c r="L3396" t="n">
        <v>0.07000000000000001</v>
      </c>
      <c r="M3396" t="n">
        <v>1.03</v>
      </c>
      <c r="P3396" t="inlineStr">
        <is>
          <t>최혁</t>
        </is>
      </c>
      <c r="Q3396" t="inlineStr">
        <is>
          <t>홈서비스60개월</t>
        </is>
      </c>
      <c r="AB3396" t="inlineStr">
        <is>
          <t>홈서비스</t>
        </is>
      </c>
      <c r="AC3396" t="n">
        <v>297000</v>
      </c>
      <c r="AD3396" t="n">
        <v>18900</v>
      </c>
      <c r="AE3396" t="n">
        <v>278100</v>
      </c>
      <c r="AF3396" t="n">
        <v>270000</v>
      </c>
      <c r="AG3396" t="n">
        <v>18276.3</v>
      </c>
      <c r="AH3396" t="n">
        <v>251723.7</v>
      </c>
      <c r="AI3396" t="n">
        <v>0</v>
      </c>
    </row>
    <row r="3397">
      <c r="A3397" t="inlineStr">
        <is>
          <t>4월</t>
        </is>
      </c>
      <c r="B3397" t="inlineStr">
        <is>
          <t>16주차</t>
        </is>
      </c>
      <c r="C3397" t="inlineStr">
        <is>
          <t>EP</t>
        </is>
      </c>
      <c r="D3397" s="28" t="n">
        <v>46129</v>
      </c>
      <c r="E3397" t="inlineStr">
        <is>
          <t>현대EP_fast</t>
        </is>
      </c>
      <c r="F3397" t="inlineStr">
        <is>
          <t>김우진</t>
        </is>
      </c>
      <c r="G3397" t="inlineStr">
        <is>
          <t>010-4188-6294</t>
        </is>
      </c>
      <c r="H3397" t="inlineStr">
        <is>
          <t>804두9235</t>
        </is>
      </c>
      <c r="I3397" t="n">
        <v>10000000</v>
      </c>
      <c r="J3397" t="n">
        <v>0.07099999999999999</v>
      </c>
      <c r="K3397" t="n">
        <v>1.76</v>
      </c>
      <c r="L3397" t="n">
        <v>0.2</v>
      </c>
      <c r="M3397" t="n">
        <v>1.56</v>
      </c>
      <c r="P3397" t="inlineStr">
        <is>
          <t>김나윤</t>
        </is>
      </c>
      <c r="Q3397" t="inlineStr">
        <is>
          <t>홈서비스 36개월</t>
        </is>
      </c>
      <c r="AB3397" t="inlineStr">
        <is>
          <t>홈서비스</t>
        </is>
      </c>
      <c r="AC3397" t="n">
        <v>176000</v>
      </c>
      <c r="AD3397" t="n">
        <v>20000</v>
      </c>
      <c r="AE3397" t="n">
        <v>156000</v>
      </c>
      <c r="AF3397" t="n">
        <v>160000</v>
      </c>
      <c r="AG3397" t="n">
        <v>19340</v>
      </c>
      <c r="AH3397" t="n">
        <v>140660</v>
      </c>
      <c r="AI3397" t="n">
        <v>0</v>
      </c>
    </row>
    <row r="3398">
      <c r="A3398" t="inlineStr">
        <is>
          <t>4월</t>
        </is>
      </c>
      <c r="B3398" t="inlineStr">
        <is>
          <t>17주차</t>
        </is>
      </c>
      <c r="C3398" t="inlineStr">
        <is>
          <t>EP</t>
        </is>
      </c>
      <c r="D3398" s="28" t="n">
        <v>46132</v>
      </c>
      <c r="E3398" t="inlineStr">
        <is>
          <t>현대EP_fast</t>
        </is>
      </c>
      <c r="F3398" t="inlineStr">
        <is>
          <t>서부진</t>
        </is>
      </c>
      <c r="G3398" t="inlineStr">
        <is>
          <t>010-3396-2450</t>
        </is>
      </c>
      <c r="H3398" t="inlineStr">
        <is>
          <t>24어1463</t>
        </is>
      </c>
      <c r="I3398" t="n">
        <v>3000000</v>
      </c>
      <c r="J3398" t="n">
        <v>0.102</v>
      </c>
      <c r="K3398" t="n">
        <v>1.76</v>
      </c>
      <c r="L3398" t="n">
        <v>0.2</v>
      </c>
      <c r="M3398" t="n">
        <v>1.56</v>
      </c>
      <c r="P3398" t="inlineStr">
        <is>
          <t>김나윤</t>
        </is>
      </c>
      <c r="Q3398" t="inlineStr">
        <is>
          <t>홈서비스 24개월</t>
        </is>
      </c>
      <c r="AB3398" t="inlineStr">
        <is>
          <t>홈서비스</t>
        </is>
      </c>
      <c r="AC3398" t="n">
        <v>52800</v>
      </c>
      <c r="AD3398" t="n">
        <v>6000</v>
      </c>
      <c r="AE3398" t="n">
        <v>46800</v>
      </c>
      <c r="AF3398" t="n">
        <v>48000</v>
      </c>
      <c r="AG3398" t="n">
        <v>5802</v>
      </c>
      <c r="AH3398" t="n">
        <v>42198</v>
      </c>
      <c r="AI3398" t="n">
        <v>0</v>
      </c>
    </row>
    <row r="3399">
      <c r="A3399" t="inlineStr">
        <is>
          <t>4월</t>
        </is>
      </c>
      <c r="B3399" t="inlineStr">
        <is>
          <t>16주차</t>
        </is>
      </c>
      <c r="C3399" t="inlineStr">
        <is>
          <t>EP</t>
        </is>
      </c>
      <c r="D3399" s="28" t="n">
        <v>46129</v>
      </c>
      <c r="E3399" t="inlineStr">
        <is>
          <t>현대EP_fast</t>
        </is>
      </c>
      <c r="F3399" t="inlineStr">
        <is>
          <t>이호종</t>
        </is>
      </c>
      <c r="G3399" t="inlineStr">
        <is>
          <t>010-3129-0381</t>
        </is>
      </c>
      <c r="H3399" t="inlineStr">
        <is>
          <t>367도6312</t>
        </is>
      </c>
      <c r="I3399" t="n">
        <v>34200000</v>
      </c>
      <c r="J3399" t="n">
        <v>0.079</v>
      </c>
      <c r="K3399" t="n">
        <v>1.76</v>
      </c>
      <c r="L3399" t="n">
        <v>0.6</v>
      </c>
      <c r="M3399" t="n">
        <v>1.16</v>
      </c>
      <c r="P3399" t="inlineStr">
        <is>
          <t>박보람</t>
        </is>
      </c>
      <c r="AB3399" t="inlineStr">
        <is>
          <t>엔카</t>
        </is>
      </c>
      <c r="AC3399" t="n">
        <v>601920</v>
      </c>
      <c r="AD3399" t="n">
        <v>205200</v>
      </c>
      <c r="AE3399" t="n">
        <v>396720</v>
      </c>
      <c r="AF3399" t="n">
        <v>547200</v>
      </c>
      <c r="AG3399" t="n">
        <v>198428.4</v>
      </c>
      <c r="AH3399" t="n">
        <v>348771.6</v>
      </c>
      <c r="AI3399" t="n">
        <v>0</v>
      </c>
    </row>
    <row r="3400">
      <c r="A3400" t="inlineStr">
        <is>
          <t>4월</t>
        </is>
      </c>
      <c r="B3400" t="inlineStr">
        <is>
          <t>16주차</t>
        </is>
      </c>
      <c r="C3400" t="inlineStr">
        <is>
          <t>EP</t>
        </is>
      </c>
      <c r="D3400" s="28" t="n">
        <v>46129</v>
      </c>
      <c r="E3400" t="inlineStr">
        <is>
          <t>BNKEP</t>
        </is>
      </c>
      <c r="F3400" t="inlineStr">
        <is>
          <t>송경민</t>
        </is>
      </c>
      <c r="G3400" t="inlineStr">
        <is>
          <t>010-2819-2611</t>
        </is>
      </c>
      <c r="H3400" t="inlineStr">
        <is>
          <t>135두7068</t>
        </is>
      </c>
      <c r="I3400" t="n">
        <v>19800000</v>
      </c>
      <c r="J3400" t="n">
        <v>0.077</v>
      </c>
      <c r="K3400" t="n">
        <v>1.65</v>
      </c>
      <c r="L3400" t="n">
        <v>0.07000000000000001</v>
      </c>
      <c r="M3400" t="n">
        <v>1.58</v>
      </c>
      <c r="P3400" t="inlineStr">
        <is>
          <t>박현민</t>
        </is>
      </c>
      <c r="Q3400" t="inlineStr">
        <is>
          <t>홈서비스 60개월</t>
        </is>
      </c>
      <c r="AB3400" t="inlineStr">
        <is>
          <t>홈서비스</t>
        </is>
      </c>
      <c r="AC3400" t="n">
        <v>326700</v>
      </c>
      <c r="AD3400" t="n">
        <v>13860</v>
      </c>
      <c r="AE3400" t="n">
        <v>312840</v>
      </c>
      <c r="AF3400" t="n">
        <v>297000</v>
      </c>
      <c r="AG3400" t="n">
        <v>13402.62</v>
      </c>
      <c r="AH3400" t="n">
        <v>283597.38</v>
      </c>
      <c r="AI3400" t="n">
        <v>0</v>
      </c>
    </row>
    <row r="3401">
      <c r="A3401" t="inlineStr">
        <is>
          <t>4월</t>
        </is>
      </c>
      <c r="B3401" t="inlineStr">
        <is>
          <t>16주차</t>
        </is>
      </c>
      <c r="C3401" t="inlineStr">
        <is>
          <t>EP</t>
        </is>
      </c>
      <c r="D3401" s="28" t="n">
        <v>46129</v>
      </c>
      <c r="E3401" t="inlineStr">
        <is>
          <t>제이비EP</t>
        </is>
      </c>
      <c r="F3401" t="inlineStr">
        <is>
          <t>임종철</t>
        </is>
      </c>
      <c r="G3401" t="inlineStr">
        <is>
          <t>010-6338-7689</t>
        </is>
      </c>
      <c r="H3401" t="inlineStr">
        <is>
          <t>93머5960</t>
        </is>
      </c>
      <c r="I3401" t="n">
        <v>16800000</v>
      </c>
      <c r="J3401" t="n">
        <v>0.07199999999999999</v>
      </c>
      <c r="K3401" t="n">
        <v>1.65</v>
      </c>
      <c r="L3401" t="n">
        <v>0.3</v>
      </c>
      <c r="M3401" t="n">
        <v>1.35</v>
      </c>
      <c r="P3401" t="inlineStr">
        <is>
          <t>장진경</t>
        </is>
      </c>
      <c r="Q3401" t="inlineStr">
        <is>
          <t>부대비용 추가진행</t>
        </is>
      </c>
      <c r="AB3401" t="inlineStr">
        <is>
          <t>엔카</t>
        </is>
      </c>
      <c r="AC3401" t="n">
        <v>277200</v>
      </c>
      <c r="AD3401" t="n">
        <v>50400</v>
      </c>
      <c r="AE3401" t="n">
        <v>226800</v>
      </c>
      <c r="AF3401" t="n">
        <v>252000</v>
      </c>
      <c r="AG3401" t="n">
        <v>48736.8</v>
      </c>
      <c r="AH3401" t="n">
        <v>203263.2</v>
      </c>
      <c r="AI3401" t="n">
        <v>0</v>
      </c>
    </row>
    <row r="3402">
      <c r="A3402" t="inlineStr">
        <is>
          <t>4월</t>
        </is>
      </c>
      <c r="B3402" t="inlineStr">
        <is>
          <t>17주차</t>
        </is>
      </c>
      <c r="C3402" t="inlineStr">
        <is>
          <t>EP</t>
        </is>
      </c>
      <c r="D3402" s="28" t="n">
        <v>46132</v>
      </c>
      <c r="E3402" t="inlineStr">
        <is>
          <t>현대EP_fast</t>
        </is>
      </c>
      <c r="F3402" t="inlineStr">
        <is>
          <t>한건우</t>
        </is>
      </c>
      <c r="G3402" t="inlineStr">
        <is>
          <t>010-3363-6515</t>
        </is>
      </c>
      <c r="H3402" t="inlineStr">
        <is>
          <t>334오6158</t>
        </is>
      </c>
      <c r="I3402" t="n">
        <v>17000000</v>
      </c>
      <c r="J3402" t="n">
        <v>0.118</v>
      </c>
      <c r="K3402" t="n">
        <v>1.76</v>
      </c>
      <c r="L3402" t="n">
        <v>0.2</v>
      </c>
      <c r="M3402" t="n">
        <v>1.56</v>
      </c>
      <c r="P3402" t="inlineStr">
        <is>
          <t>김나윤</t>
        </is>
      </c>
      <c r="Q3402" t="inlineStr">
        <is>
          <t>홈서비스 36개월 / 고객주도체결</t>
        </is>
      </c>
      <c r="AB3402" t="inlineStr">
        <is>
          <t>홈서비스</t>
        </is>
      </c>
      <c r="AC3402" t="n">
        <v>299200</v>
      </c>
      <c r="AD3402" t="n">
        <v>34000</v>
      </c>
      <c r="AE3402" t="n">
        <v>265200</v>
      </c>
      <c r="AF3402" t="n">
        <v>272000</v>
      </c>
      <c r="AG3402" t="n">
        <v>32878</v>
      </c>
      <c r="AH3402" t="n">
        <v>239122</v>
      </c>
      <c r="AI3402" t="n">
        <v>0</v>
      </c>
    </row>
    <row r="3403">
      <c r="A3403" t="inlineStr">
        <is>
          <t>4월</t>
        </is>
      </c>
      <c r="B3403" t="inlineStr">
        <is>
          <t>16주차</t>
        </is>
      </c>
      <c r="C3403" t="inlineStr">
        <is>
          <t>EP</t>
        </is>
      </c>
      <c r="D3403" s="28" t="n">
        <v>46130</v>
      </c>
      <c r="E3403" t="inlineStr">
        <is>
          <t>현대EP_fast</t>
        </is>
      </c>
      <c r="F3403" t="inlineStr">
        <is>
          <t>임동욱</t>
        </is>
      </c>
      <c r="G3403" t="inlineStr">
        <is>
          <t>010-6302-6260</t>
        </is>
      </c>
      <c r="H3403" t="inlineStr">
        <is>
          <t>56조6088</t>
        </is>
      </c>
      <c r="I3403" t="n">
        <v>8000000</v>
      </c>
      <c r="J3403" t="n">
        <v>0.08500000000000001</v>
      </c>
      <c r="K3403" t="n">
        <v>1.76</v>
      </c>
      <c r="L3403" t="n">
        <v>0.6</v>
      </c>
      <c r="M3403" t="n">
        <v>1.16</v>
      </c>
      <c r="P3403" t="inlineStr">
        <is>
          <t>박보람</t>
        </is>
      </c>
      <c r="AB3403" t="inlineStr">
        <is>
          <t>엔카</t>
        </is>
      </c>
      <c r="AC3403" t="n">
        <v>140800</v>
      </c>
      <c r="AD3403" t="n">
        <v>48000</v>
      </c>
      <c r="AE3403" t="n">
        <v>92800</v>
      </c>
      <c r="AF3403" t="n">
        <v>128000</v>
      </c>
      <c r="AG3403" t="n">
        <v>46416</v>
      </c>
      <c r="AH3403" t="n">
        <v>81584</v>
      </c>
      <c r="AI3403" t="n">
        <v>0</v>
      </c>
    </row>
    <row r="3404">
      <c r="A3404" t="inlineStr">
        <is>
          <t>4월</t>
        </is>
      </c>
      <c r="B3404" t="inlineStr">
        <is>
          <t>17주차</t>
        </is>
      </c>
      <c r="C3404" t="inlineStr">
        <is>
          <t>EP</t>
        </is>
      </c>
      <c r="D3404" s="28" t="n">
        <v>46132</v>
      </c>
      <c r="E3404" t="inlineStr">
        <is>
          <t>BNKEP</t>
        </is>
      </c>
      <c r="F3404" t="inlineStr">
        <is>
          <t>장다원</t>
        </is>
      </c>
      <c r="G3404" t="inlineStr">
        <is>
          <t>010-4818-1447</t>
        </is>
      </c>
      <c r="H3404" t="inlineStr">
        <is>
          <t>69라8621</t>
        </is>
      </c>
      <c r="I3404" t="n">
        <v>10100000</v>
      </c>
      <c r="J3404" t="n">
        <v>0.063</v>
      </c>
      <c r="K3404" t="n">
        <v>1.65</v>
      </c>
      <c r="L3404" t="n">
        <v>0.07000000000000001</v>
      </c>
      <c r="M3404" t="n">
        <v>1.58</v>
      </c>
      <c r="P3404" t="inlineStr">
        <is>
          <t>황채이</t>
        </is>
      </c>
      <c r="Q3404" t="inlineStr">
        <is>
          <t>홈서비스 60개월</t>
        </is>
      </c>
      <c r="AB3404" t="inlineStr">
        <is>
          <t>홈서비스</t>
        </is>
      </c>
      <c r="AC3404" t="n">
        <v>166650</v>
      </c>
      <c r="AD3404" t="n">
        <v>7070</v>
      </c>
      <c r="AE3404" t="n">
        <v>159580</v>
      </c>
      <c r="AF3404" t="n">
        <v>151500</v>
      </c>
      <c r="AG3404" t="n">
        <v>6836.69</v>
      </c>
      <c r="AH3404" t="n">
        <v>144663.31</v>
      </c>
      <c r="AI3404" t="n">
        <v>0</v>
      </c>
    </row>
    <row r="3405">
      <c r="A3405" t="inlineStr">
        <is>
          <t>4월</t>
        </is>
      </c>
      <c r="B3405" t="inlineStr">
        <is>
          <t>16주차</t>
        </is>
      </c>
      <c r="C3405" t="inlineStr">
        <is>
          <t>EP</t>
        </is>
      </c>
      <c r="D3405" s="28" t="n">
        <v>46129</v>
      </c>
      <c r="E3405" t="inlineStr">
        <is>
          <t>현대EP_fast</t>
        </is>
      </c>
      <c r="F3405" t="inlineStr">
        <is>
          <t>박인찬</t>
        </is>
      </c>
      <c r="G3405" t="inlineStr">
        <is>
          <t>010-9264-8388</t>
        </is>
      </c>
      <c r="H3405" t="inlineStr">
        <is>
          <t>356누8225</t>
        </is>
      </c>
      <c r="I3405" t="n">
        <v>18300000</v>
      </c>
      <c r="J3405" t="n">
        <v>0.08799999999999999</v>
      </c>
      <c r="K3405" t="n">
        <v>1.76</v>
      </c>
      <c r="L3405" t="n">
        <v>0.2</v>
      </c>
      <c r="M3405" t="n">
        <v>1.56</v>
      </c>
      <c r="P3405" t="inlineStr">
        <is>
          <t>최형주</t>
        </is>
      </c>
      <c r="Q3405" t="inlineStr">
        <is>
          <t>홈서비스 48개월</t>
        </is>
      </c>
      <c r="AB3405" t="inlineStr">
        <is>
          <t>홈서비스</t>
        </is>
      </c>
      <c r="AC3405" t="n">
        <v>322080</v>
      </c>
      <c r="AD3405" t="n">
        <v>36600</v>
      </c>
      <c r="AE3405" t="n">
        <v>285480</v>
      </c>
      <c r="AF3405" t="n">
        <v>292800</v>
      </c>
      <c r="AG3405" t="n">
        <v>35392.2</v>
      </c>
      <c r="AH3405" t="n">
        <v>257407.8</v>
      </c>
      <c r="AI3405" t="n">
        <v>0</v>
      </c>
    </row>
    <row r="3406">
      <c r="A3406" t="inlineStr">
        <is>
          <t>4월</t>
        </is>
      </c>
      <c r="B3406" t="inlineStr">
        <is>
          <t>17주차</t>
        </is>
      </c>
      <c r="C3406" t="inlineStr">
        <is>
          <t>EP</t>
        </is>
      </c>
      <c r="D3406" s="28" t="n">
        <v>46132</v>
      </c>
      <c r="E3406" t="inlineStr">
        <is>
          <t>제이비EP</t>
        </is>
      </c>
      <c r="F3406" t="inlineStr">
        <is>
          <t>강준혁</t>
        </is>
      </c>
      <c r="G3406" t="inlineStr">
        <is>
          <t>010-6505-7079</t>
        </is>
      </c>
      <c r="H3406" t="inlineStr">
        <is>
          <t>40너3768</t>
        </is>
      </c>
      <c r="I3406" t="n">
        <v>20400000</v>
      </c>
      <c r="J3406" t="n">
        <v>0.074</v>
      </c>
      <c r="K3406" t="n">
        <v>1.65</v>
      </c>
      <c r="L3406" t="n">
        <v>0.4</v>
      </c>
      <c r="M3406" t="n">
        <v>1.25</v>
      </c>
      <c r="P3406" t="inlineStr">
        <is>
          <t>장진경</t>
        </is>
      </c>
      <c r="Q3406" t="inlineStr">
        <is>
          <t>부대비용 추가진행 / 현대 9.9%</t>
        </is>
      </c>
      <c r="AB3406" t="inlineStr">
        <is>
          <t>엔카</t>
        </is>
      </c>
      <c r="AC3406" t="n">
        <v>336600</v>
      </c>
      <c r="AD3406" t="n">
        <v>81600</v>
      </c>
      <c r="AE3406" t="n">
        <v>255000</v>
      </c>
      <c r="AF3406" t="n">
        <v>306000</v>
      </c>
      <c r="AG3406" t="n">
        <v>78907.2</v>
      </c>
      <c r="AH3406" t="n">
        <v>227092.8</v>
      </c>
      <c r="AI3406" t="n">
        <v>0</v>
      </c>
    </row>
    <row r="3407">
      <c r="A3407" t="inlineStr">
        <is>
          <t>4월</t>
        </is>
      </c>
      <c r="B3407" t="inlineStr">
        <is>
          <t>17주차</t>
        </is>
      </c>
      <c r="C3407" t="inlineStr">
        <is>
          <t>EP</t>
        </is>
      </c>
      <c r="D3407" s="28" t="n">
        <v>46132</v>
      </c>
      <c r="E3407" t="inlineStr">
        <is>
          <t>BNKEP</t>
        </is>
      </c>
      <c r="F3407" t="inlineStr">
        <is>
          <t>박준영</t>
        </is>
      </c>
      <c r="G3407" t="inlineStr">
        <is>
          <t>010-9498-4536</t>
        </is>
      </c>
      <c r="H3407" t="inlineStr">
        <is>
          <t>08머8107</t>
        </is>
      </c>
      <c r="I3407" t="n">
        <v>35000000</v>
      </c>
      <c r="J3407" t="n">
        <v>0.077</v>
      </c>
      <c r="K3407" t="n">
        <v>1.65</v>
      </c>
      <c r="L3407" t="n">
        <v>0.4</v>
      </c>
      <c r="M3407" t="n">
        <v>1.25</v>
      </c>
      <c r="P3407" t="inlineStr">
        <is>
          <t>박현민</t>
        </is>
      </c>
      <c r="AB3407" t="inlineStr">
        <is>
          <t>엔카</t>
        </is>
      </c>
      <c r="AC3407" t="n">
        <v>577500</v>
      </c>
      <c r="AD3407" t="n">
        <v>140000</v>
      </c>
      <c r="AE3407" t="n">
        <v>437500</v>
      </c>
      <c r="AF3407" t="n">
        <v>525000</v>
      </c>
      <c r="AG3407" t="n">
        <v>135380</v>
      </c>
      <c r="AH3407" t="n">
        <v>389620</v>
      </c>
    </row>
    <row r="3408">
      <c r="A3408" t="inlineStr">
        <is>
          <t>4월</t>
        </is>
      </c>
      <c r="B3408" t="inlineStr">
        <is>
          <t>17주차</t>
        </is>
      </c>
      <c r="C3408" t="inlineStr">
        <is>
          <t>EP</t>
        </is>
      </c>
      <c r="D3408" s="28" t="n">
        <v>46132</v>
      </c>
      <c r="E3408" t="inlineStr">
        <is>
          <t>현대EP_fast</t>
        </is>
      </c>
      <c r="F3408" t="inlineStr">
        <is>
          <t>김륜형</t>
        </is>
      </c>
      <c r="G3408" t="inlineStr">
        <is>
          <t>010-9147-6038</t>
        </is>
      </c>
      <c r="H3408" t="inlineStr">
        <is>
          <t>398구6918</t>
        </is>
      </c>
      <c r="I3408" t="n">
        <v>15000000</v>
      </c>
      <c r="J3408" t="n">
        <v>0.062</v>
      </c>
      <c r="K3408" t="n">
        <v>1.76</v>
      </c>
      <c r="L3408" t="n">
        <v>0.2</v>
      </c>
      <c r="M3408" t="n">
        <v>1.56</v>
      </c>
      <c r="P3408" t="inlineStr">
        <is>
          <t>황채이</t>
        </is>
      </c>
      <c r="Q3408" t="inlineStr">
        <is>
          <t>홈서비스 60개월</t>
        </is>
      </c>
      <c r="AB3408" t="inlineStr">
        <is>
          <t>홈서비스</t>
        </is>
      </c>
      <c r="AC3408" t="n">
        <v>264000</v>
      </c>
      <c r="AD3408" t="n">
        <v>30000</v>
      </c>
      <c r="AE3408" t="n">
        <v>234000</v>
      </c>
      <c r="AF3408" t="n">
        <v>240000</v>
      </c>
      <c r="AG3408" t="n">
        <v>29010</v>
      </c>
      <c r="AH3408" t="n">
        <v>210990</v>
      </c>
    </row>
    <row r="3409">
      <c r="A3409" t="inlineStr">
        <is>
          <t>4월</t>
        </is>
      </c>
      <c r="B3409" t="inlineStr">
        <is>
          <t>16주차</t>
        </is>
      </c>
      <c r="C3409" t="inlineStr">
        <is>
          <t>EP</t>
        </is>
      </c>
      <c r="D3409" s="28" t="n">
        <v>46131</v>
      </c>
      <c r="E3409" t="inlineStr">
        <is>
          <t>현대EP</t>
        </is>
      </c>
      <c r="F3409" t="inlineStr">
        <is>
          <t>한승주</t>
        </is>
      </c>
      <c r="G3409" t="inlineStr">
        <is>
          <t>010-2352-8628</t>
        </is>
      </c>
      <c r="H3409" t="inlineStr">
        <is>
          <t>14러5813</t>
        </is>
      </c>
      <c r="I3409" t="n">
        <v>12200000</v>
      </c>
      <c r="J3409" t="n">
        <v>0.079</v>
      </c>
      <c r="K3409" t="n">
        <v>1.76</v>
      </c>
      <c r="L3409" t="n">
        <v>0.2</v>
      </c>
      <c r="M3409" t="n">
        <v>1.56</v>
      </c>
      <c r="P3409" t="inlineStr">
        <is>
          <t>최형주</t>
        </is>
      </c>
      <c r="AB3409" t="inlineStr">
        <is>
          <t>홈서비스</t>
        </is>
      </c>
      <c r="AC3409" t="n">
        <v>214720</v>
      </c>
      <c r="AD3409" t="n">
        <v>24400</v>
      </c>
      <c r="AE3409" t="n">
        <v>190320</v>
      </c>
      <c r="AF3409" t="n">
        <v>195200</v>
      </c>
      <c r="AG3409" t="n">
        <v>23594.8</v>
      </c>
      <c r="AH3409" t="n">
        <v>171605.2</v>
      </c>
    </row>
    <row r="3410">
      <c r="A3410" t="inlineStr">
        <is>
          <t>4월</t>
        </is>
      </c>
      <c r="B3410" t="inlineStr">
        <is>
          <t>17주차</t>
        </is>
      </c>
      <c r="C3410" t="inlineStr">
        <is>
          <t>EP</t>
        </is>
      </c>
      <c r="D3410" s="28" t="n">
        <v>46132</v>
      </c>
      <c r="E3410" t="inlineStr">
        <is>
          <t>현대EP_fast</t>
        </is>
      </c>
      <c r="F3410" t="inlineStr">
        <is>
          <t>강지영</t>
        </is>
      </c>
      <c r="G3410" t="inlineStr">
        <is>
          <t>010-7312-6731</t>
        </is>
      </c>
      <c r="H3410" t="inlineStr">
        <is>
          <t>52나9681</t>
        </is>
      </c>
      <c r="I3410" t="n">
        <v>9900000</v>
      </c>
      <c r="J3410" t="n">
        <v>0.118</v>
      </c>
      <c r="K3410" t="n">
        <v>1.76</v>
      </c>
      <c r="L3410" t="n">
        <v>0.2</v>
      </c>
      <c r="M3410" t="n">
        <v>1.56</v>
      </c>
      <c r="P3410" t="inlineStr">
        <is>
          <t>김나윤</t>
        </is>
      </c>
      <c r="Q3410" t="inlineStr">
        <is>
          <t>홈서비스 60개월</t>
        </is>
      </c>
      <c r="AB3410" t="inlineStr">
        <is>
          <t>홈서비스</t>
        </is>
      </c>
      <c r="AC3410" t="n">
        <v>174240</v>
      </c>
      <c r="AD3410" t="n">
        <v>19800</v>
      </c>
      <c r="AE3410" t="n">
        <v>154440</v>
      </c>
      <c r="AF3410" t="n">
        <v>158400</v>
      </c>
      <c r="AG3410" t="n">
        <v>19146.6</v>
      </c>
      <c r="AH3410" t="n">
        <v>139253.4</v>
      </c>
      <c r="AI3410" t="n">
        <v>0</v>
      </c>
    </row>
    <row r="3411">
      <c r="A3411" t="inlineStr">
        <is>
          <t>4월</t>
        </is>
      </c>
      <c r="B3411" t="inlineStr">
        <is>
          <t>17주차</t>
        </is>
      </c>
      <c r="C3411" t="inlineStr">
        <is>
          <t>EP</t>
        </is>
      </c>
      <c r="D3411" s="28" t="n">
        <v>46132</v>
      </c>
      <c r="E3411" t="inlineStr">
        <is>
          <t>현대EP_fast</t>
        </is>
      </c>
      <c r="F3411" t="inlineStr">
        <is>
          <t>최홍주</t>
        </is>
      </c>
      <c r="G3411" t="inlineStr">
        <is>
          <t>010-9436-7649</t>
        </is>
      </c>
      <c r="H3411" t="inlineStr">
        <is>
          <t>48마6005</t>
        </is>
      </c>
      <c r="I3411" t="n">
        <v>35500000</v>
      </c>
      <c r="J3411" t="n">
        <v>0.077</v>
      </c>
      <c r="K3411" t="n">
        <v>1.76</v>
      </c>
      <c r="L3411" t="n">
        <v>0.2</v>
      </c>
      <c r="M3411" t="n">
        <v>1.56</v>
      </c>
      <c r="P3411" t="inlineStr">
        <is>
          <t>최형주</t>
        </is>
      </c>
      <c r="Q3411" t="inlineStr">
        <is>
          <t>홈서비스 60개월</t>
        </is>
      </c>
      <c r="AB3411" t="inlineStr">
        <is>
          <t>홈서비스</t>
        </is>
      </c>
      <c r="AC3411" t="n">
        <v>624800</v>
      </c>
      <c r="AD3411" t="n">
        <v>71000</v>
      </c>
      <c r="AE3411" t="n">
        <v>553800</v>
      </c>
      <c r="AF3411" t="n">
        <v>568000</v>
      </c>
      <c r="AG3411" t="n">
        <v>68657</v>
      </c>
      <c r="AH3411" t="n">
        <v>499343</v>
      </c>
    </row>
    <row r="3412">
      <c r="A3412" t="inlineStr">
        <is>
          <t>4월</t>
        </is>
      </c>
      <c r="B3412" t="inlineStr">
        <is>
          <t>17주차</t>
        </is>
      </c>
      <c r="C3412" t="inlineStr">
        <is>
          <t>EP</t>
        </is>
      </c>
      <c r="D3412" s="28" t="n">
        <v>46132</v>
      </c>
      <c r="E3412" t="inlineStr">
        <is>
          <t>현대EP_fast</t>
        </is>
      </c>
      <c r="F3412" t="inlineStr">
        <is>
          <t>김소정</t>
        </is>
      </c>
      <c r="G3412" t="inlineStr">
        <is>
          <t>010-7547-5121</t>
        </is>
      </c>
      <c r="H3412" t="inlineStr">
        <is>
          <t>57어1968</t>
        </is>
      </c>
      <c r="I3412" t="n">
        <v>5000000</v>
      </c>
      <c r="J3412" t="n">
        <v>0.07099999999999999</v>
      </c>
      <c r="K3412" t="n">
        <v>1.76</v>
      </c>
      <c r="L3412" t="n">
        <v>0.2</v>
      </c>
      <c r="M3412" t="n">
        <v>1.56</v>
      </c>
      <c r="P3412" t="inlineStr">
        <is>
          <t>황채이</t>
        </is>
      </c>
      <c r="Q3412" t="inlineStr">
        <is>
          <t>홈서비스 24개월</t>
        </is>
      </c>
      <c r="AB3412" t="inlineStr">
        <is>
          <t>홈서비스</t>
        </is>
      </c>
      <c r="AC3412" t="n">
        <v>88000</v>
      </c>
      <c r="AD3412" t="n">
        <v>10000</v>
      </c>
      <c r="AE3412" t="n">
        <v>78000</v>
      </c>
      <c r="AF3412" t="n">
        <v>80000</v>
      </c>
      <c r="AG3412" t="n">
        <v>9670</v>
      </c>
      <c r="AH3412" t="n">
        <v>70330</v>
      </c>
    </row>
    <row r="3413">
      <c r="A3413" t="inlineStr">
        <is>
          <t>4월</t>
        </is>
      </c>
      <c r="B3413" t="inlineStr">
        <is>
          <t>17주차</t>
        </is>
      </c>
      <c r="C3413" t="inlineStr">
        <is>
          <t>IM</t>
        </is>
      </c>
      <c r="D3413" s="28" t="n">
        <v>46132</v>
      </c>
      <c r="E3413" t="inlineStr">
        <is>
          <t>IM캐피탈</t>
        </is>
      </c>
      <c r="F3413" t="inlineStr">
        <is>
          <t>신재석</t>
        </is>
      </c>
      <c r="G3413" t="inlineStr">
        <is>
          <t>010-9112-0538</t>
        </is>
      </c>
      <c r="H3413" t="inlineStr">
        <is>
          <t>276도4726</t>
        </is>
      </c>
      <c r="I3413" t="n">
        <v>20000000</v>
      </c>
      <c r="J3413" t="n">
        <v>0.059</v>
      </c>
      <c r="K3413" t="n">
        <v>1.1</v>
      </c>
      <c r="L3413" t="n">
        <v>0.4</v>
      </c>
      <c r="M3413" t="n">
        <v>0.7</v>
      </c>
      <c r="P3413" t="inlineStr">
        <is>
          <t>임대경</t>
        </is>
      </c>
      <c r="AB3413" t="inlineStr">
        <is>
          <t>엔카</t>
        </is>
      </c>
      <c r="AC3413" t="n">
        <v>220000</v>
      </c>
      <c r="AD3413" t="n">
        <v>80000</v>
      </c>
      <c r="AE3413" t="n">
        <v>140000</v>
      </c>
      <c r="AF3413" t="n">
        <v>200000</v>
      </c>
      <c r="AG3413" t="n">
        <v>77360</v>
      </c>
      <c r="AH3413" t="n">
        <v>122640</v>
      </c>
    </row>
    <row r="3414">
      <c r="A3414" t="inlineStr">
        <is>
          <t>3월</t>
        </is>
      </c>
      <c r="B3414" t="inlineStr">
        <is>
          <t>12주차</t>
        </is>
      </c>
      <c r="C3414" t="inlineStr">
        <is>
          <t>IM</t>
        </is>
      </c>
      <c r="D3414" s="28" t="n">
        <v>46097</v>
      </c>
      <c r="E3414" t="inlineStr">
        <is>
          <t>IM캐피탈</t>
        </is>
      </c>
      <c r="F3414" t="inlineStr">
        <is>
          <t>이민희</t>
        </is>
      </c>
      <c r="G3414" t="inlineStr">
        <is>
          <t>010-8949-7721</t>
        </is>
      </c>
      <c r="H3414" t="inlineStr">
        <is>
          <t>34라0863</t>
        </is>
      </c>
      <c r="I3414" t="n">
        <v>8000000</v>
      </c>
      <c r="J3414" t="n">
        <v>0.049</v>
      </c>
      <c r="K3414" t="n">
        <v>1.1</v>
      </c>
      <c r="L3414" t="n">
        <v>0.14</v>
      </c>
      <c r="M3414" t="n">
        <v>0.96</v>
      </c>
      <c r="P3414" t="inlineStr">
        <is>
          <t>정세빈</t>
        </is>
      </c>
      <c r="Q3414" t="inlineStr">
        <is>
          <t>홈서비스 36개월 / 론 실행</t>
        </is>
      </c>
      <c r="AB3414" t="inlineStr">
        <is>
          <t>홈서비스</t>
        </is>
      </c>
      <c r="AC3414" t="n">
        <v>88000</v>
      </c>
      <c r="AD3414" t="n">
        <v>11200</v>
      </c>
      <c r="AE3414" t="n">
        <v>76800</v>
      </c>
      <c r="AF3414" t="n">
        <v>80000</v>
      </c>
      <c r="AG3414" t="n">
        <v>10830.4</v>
      </c>
      <c r="AH3414" t="n">
        <v>69169.60000000001</v>
      </c>
      <c r="AI3414" t="n">
        <v>0</v>
      </c>
    </row>
    <row r="3415">
      <c r="A3415" t="inlineStr">
        <is>
          <t>3월</t>
        </is>
      </c>
      <c r="B3415" t="inlineStr">
        <is>
          <t>13주차</t>
        </is>
      </c>
      <c r="C3415" t="inlineStr">
        <is>
          <t>IM</t>
        </is>
      </c>
      <c r="D3415" s="28" t="n">
        <v>46104</v>
      </c>
      <c r="E3415" t="inlineStr">
        <is>
          <t>IM캐피탈</t>
        </is>
      </c>
      <c r="F3415" t="inlineStr">
        <is>
          <t>황승순</t>
        </is>
      </c>
      <c r="G3415" t="inlineStr">
        <is>
          <t>010-8700-8709</t>
        </is>
      </c>
      <c r="H3415" t="inlineStr">
        <is>
          <t>17부6122</t>
        </is>
      </c>
      <c r="I3415" t="n">
        <v>20000000</v>
      </c>
      <c r="J3415" t="n">
        <v>0.039</v>
      </c>
      <c r="K3415" t="n">
        <v>1.1</v>
      </c>
      <c r="L3415" t="n">
        <v>0.5</v>
      </c>
      <c r="M3415" t="n">
        <v>0.6</v>
      </c>
      <c r="P3415" t="inlineStr">
        <is>
          <t>정하은</t>
        </is>
      </c>
      <c r="Q3415" t="inlineStr">
        <is>
          <t>기승인건 / 오토론</t>
        </is>
      </c>
      <c r="AB3415" t="inlineStr">
        <is>
          <t>엔카</t>
        </is>
      </c>
      <c r="AC3415" t="n">
        <v>220000</v>
      </c>
      <c r="AD3415" t="n">
        <v>100000</v>
      </c>
      <c r="AE3415" t="n">
        <v>120000</v>
      </c>
      <c r="AF3415" t="n">
        <v>200000</v>
      </c>
      <c r="AG3415" t="n">
        <v>96700</v>
      </c>
      <c r="AH3415" t="n">
        <v>103300</v>
      </c>
    </row>
    <row r="3416">
      <c r="A3416" t="inlineStr">
        <is>
          <t>3월</t>
        </is>
      </c>
      <c r="B3416" t="inlineStr">
        <is>
          <t>13주차</t>
        </is>
      </c>
      <c r="C3416" t="inlineStr">
        <is>
          <t>EP</t>
        </is>
      </c>
      <c r="D3416" s="28" t="n">
        <v>46105</v>
      </c>
      <c r="E3416" t="inlineStr">
        <is>
          <t>BNKEP</t>
        </is>
      </c>
      <c r="F3416" t="inlineStr">
        <is>
          <t>최성환</t>
        </is>
      </c>
      <c r="G3416" t="inlineStr">
        <is>
          <t>010-7490-4122</t>
        </is>
      </c>
      <c r="H3416" t="inlineStr">
        <is>
          <t>29머4145</t>
        </is>
      </c>
      <c r="I3416" t="n">
        <v>13500000</v>
      </c>
      <c r="J3416" t="n">
        <v>0.07000000000000001</v>
      </c>
      <c r="K3416" t="n">
        <v>1.65</v>
      </c>
      <c r="L3416" t="n">
        <v>0.14</v>
      </c>
      <c r="M3416" t="n">
        <v>1.51</v>
      </c>
      <c r="P3416" t="inlineStr">
        <is>
          <t>최형주</t>
        </is>
      </c>
      <c r="Q3416" t="inlineStr">
        <is>
          <t>홈서비스 60개월</t>
        </is>
      </c>
      <c r="AB3416" t="inlineStr">
        <is>
          <t>홈서비스</t>
        </is>
      </c>
      <c r="AC3416" t="n">
        <v>222750</v>
      </c>
      <c r="AD3416" t="n">
        <v>18900</v>
      </c>
      <c r="AE3416" t="n">
        <v>203850</v>
      </c>
      <c r="AF3416" t="n">
        <v>202500</v>
      </c>
      <c r="AG3416" t="n">
        <v>18276.3</v>
      </c>
      <c r="AH3416" t="n">
        <v>184223.7</v>
      </c>
      <c r="AI3416" t="n">
        <v>0</v>
      </c>
    </row>
    <row r="3417">
      <c r="A3417" t="inlineStr">
        <is>
          <t>3월</t>
        </is>
      </c>
      <c r="B3417" t="inlineStr">
        <is>
          <t>13주차</t>
        </is>
      </c>
      <c r="C3417" t="inlineStr">
        <is>
          <t>EP</t>
        </is>
      </c>
      <c r="D3417" s="28" t="n">
        <v>46105</v>
      </c>
      <c r="E3417" t="inlineStr">
        <is>
          <t>현대EP_fast</t>
        </is>
      </c>
      <c r="F3417" t="inlineStr">
        <is>
          <t>박지훈</t>
        </is>
      </c>
      <c r="G3417" t="inlineStr">
        <is>
          <t>010-5780-3531</t>
        </is>
      </c>
      <c r="H3417" t="inlineStr">
        <is>
          <t>59루0407</t>
        </is>
      </c>
      <c r="I3417" t="n">
        <v>13900000</v>
      </c>
      <c r="J3417" t="n">
        <v>0.118</v>
      </c>
      <c r="K3417" t="n">
        <v>1.76</v>
      </c>
      <c r="L3417" t="n">
        <v>0.14</v>
      </c>
      <c r="M3417" t="n">
        <v>1.62</v>
      </c>
      <c r="P3417" t="inlineStr">
        <is>
          <t>박현민</t>
        </is>
      </c>
      <c r="Q3417" t="inlineStr">
        <is>
          <t>홈서비스 60개월</t>
        </is>
      </c>
      <c r="AB3417" t="inlineStr">
        <is>
          <t>홈서비스</t>
        </is>
      </c>
      <c r="AC3417" t="n">
        <v>244640</v>
      </c>
      <c r="AD3417" t="n">
        <v>19460</v>
      </c>
      <c r="AE3417" t="n">
        <v>225180</v>
      </c>
      <c r="AF3417" t="n">
        <v>222400</v>
      </c>
      <c r="AG3417" t="n">
        <v>18817.82</v>
      </c>
      <c r="AH3417" t="n">
        <v>203582.18</v>
      </c>
      <c r="AI3417" t="n">
        <v>0</v>
      </c>
    </row>
    <row r="3418">
      <c r="A3418" t="inlineStr">
        <is>
          <t>3월</t>
        </is>
      </c>
      <c r="B3418" t="inlineStr">
        <is>
          <t>13주차</t>
        </is>
      </c>
      <c r="C3418" t="inlineStr">
        <is>
          <t>EP</t>
        </is>
      </c>
      <c r="D3418" s="28" t="n">
        <v>46105</v>
      </c>
      <c r="E3418" t="inlineStr">
        <is>
          <t>BNKEP</t>
        </is>
      </c>
      <c r="F3418" t="inlineStr">
        <is>
          <t>김성진</t>
        </is>
      </c>
      <c r="G3418" t="inlineStr">
        <is>
          <t>010-5513-0824</t>
        </is>
      </c>
      <c r="H3418" t="inlineStr">
        <is>
          <t>368러8472</t>
        </is>
      </c>
      <c r="I3418" t="n">
        <v>52800000</v>
      </c>
      <c r="J3418" t="n">
        <v>0.077</v>
      </c>
      <c r="K3418" t="n">
        <v>1.65</v>
      </c>
      <c r="L3418" t="n">
        <v>0.14</v>
      </c>
      <c r="M3418" t="n">
        <v>1.51</v>
      </c>
      <c r="P3418" t="inlineStr">
        <is>
          <t>김나윤</t>
        </is>
      </c>
      <c r="Q3418" t="inlineStr">
        <is>
          <t>홈서비스 60개월</t>
        </is>
      </c>
      <c r="AB3418" t="inlineStr">
        <is>
          <t>홈서비스</t>
        </is>
      </c>
      <c r="AC3418" t="n">
        <v>871200</v>
      </c>
      <c r="AD3418" t="n">
        <v>73920</v>
      </c>
      <c r="AE3418" t="n">
        <v>797280</v>
      </c>
      <c r="AF3418" t="n">
        <v>792000</v>
      </c>
      <c r="AG3418" t="n">
        <v>71480.64</v>
      </c>
      <c r="AH3418" t="n">
        <v>720519.36</v>
      </c>
      <c r="AI3418" t="n">
        <v>0</v>
      </c>
    </row>
    <row r="3419">
      <c r="A3419" t="inlineStr">
        <is>
          <t>3월</t>
        </is>
      </c>
      <c r="B3419" t="inlineStr">
        <is>
          <t>13주차</t>
        </is>
      </c>
      <c r="C3419" t="inlineStr">
        <is>
          <t>IM</t>
        </is>
      </c>
      <c r="D3419" s="28" t="n">
        <v>46106</v>
      </c>
      <c r="E3419" t="inlineStr">
        <is>
          <t>IM캐피탈</t>
        </is>
      </c>
      <c r="F3419" t="inlineStr">
        <is>
          <t>손희도</t>
        </is>
      </c>
      <c r="G3419" t="inlineStr">
        <is>
          <t>010-2683-3747</t>
        </is>
      </c>
      <c r="H3419" t="inlineStr">
        <is>
          <t>302구3797</t>
        </is>
      </c>
      <c r="I3419" t="n">
        <v>21000000</v>
      </c>
      <c r="J3419" t="n">
        <v>0.049</v>
      </c>
      <c r="K3419" t="n">
        <v>1.1</v>
      </c>
      <c r="L3419" t="n">
        <v>0.14</v>
      </c>
      <c r="M3419" t="n">
        <v>0.96</v>
      </c>
      <c r="P3419" t="inlineStr">
        <is>
          <t>김수연</t>
        </is>
      </c>
      <c r="Q3419" t="inlineStr">
        <is>
          <t>홈서비스 48개월</t>
        </is>
      </c>
      <c r="AB3419" t="inlineStr">
        <is>
          <t>홈서비스</t>
        </is>
      </c>
      <c r="AC3419" t="n">
        <v>231000</v>
      </c>
      <c r="AD3419" t="n">
        <v>29400</v>
      </c>
      <c r="AE3419" t="n">
        <v>201600</v>
      </c>
      <c r="AF3419" t="n">
        <v>210000</v>
      </c>
      <c r="AG3419" t="n">
        <v>28429.8</v>
      </c>
      <c r="AH3419" t="n">
        <v>181570.2</v>
      </c>
      <c r="AI3419" t="n">
        <v>0</v>
      </c>
    </row>
    <row r="3420">
      <c r="A3420" t="inlineStr">
        <is>
          <t>3월</t>
        </is>
      </c>
      <c r="B3420" t="inlineStr">
        <is>
          <t>13주차</t>
        </is>
      </c>
      <c r="C3420" t="inlineStr">
        <is>
          <t>EP</t>
        </is>
      </c>
      <c r="D3420" s="28" t="n">
        <v>46107</v>
      </c>
      <c r="E3420" t="inlineStr">
        <is>
          <t>BNKEP</t>
        </is>
      </c>
      <c r="F3420" t="inlineStr">
        <is>
          <t>정재민</t>
        </is>
      </c>
      <c r="G3420" t="inlineStr">
        <is>
          <t>010-7515-5634</t>
        </is>
      </c>
      <c r="H3420" t="inlineStr">
        <is>
          <t>04부5095</t>
        </is>
      </c>
      <c r="I3420" t="n">
        <v>9400000</v>
      </c>
      <c r="J3420" t="n">
        <v>0.067</v>
      </c>
      <c r="K3420" t="n">
        <v>1.65</v>
      </c>
      <c r="L3420" t="n">
        <v>0.5</v>
      </c>
      <c r="M3420" t="n">
        <v>1.15</v>
      </c>
      <c r="P3420" t="inlineStr">
        <is>
          <t>정하은</t>
        </is>
      </c>
      <c r="Q3420" t="inlineStr">
        <is>
          <t>부대비용추가진행</t>
        </is>
      </c>
      <c r="AB3420" t="inlineStr">
        <is>
          <t>엔카</t>
        </is>
      </c>
      <c r="AC3420" t="n">
        <v>155100</v>
      </c>
      <c r="AD3420" t="n">
        <v>47000</v>
      </c>
      <c r="AE3420" t="n">
        <v>108100</v>
      </c>
      <c r="AF3420" t="n">
        <v>141000</v>
      </c>
      <c r="AG3420" t="n">
        <v>45449</v>
      </c>
      <c r="AH3420" t="n">
        <v>95551</v>
      </c>
      <c r="AI3420" t="n">
        <v>0</v>
      </c>
    </row>
    <row r="3421">
      <c r="A3421" t="inlineStr">
        <is>
          <t>3월</t>
        </is>
      </c>
      <c r="B3421" t="inlineStr">
        <is>
          <t>14주차</t>
        </is>
      </c>
      <c r="C3421" t="inlineStr">
        <is>
          <t>EP</t>
        </is>
      </c>
      <c r="D3421" s="28" t="n">
        <v>46111</v>
      </c>
      <c r="E3421" t="inlineStr">
        <is>
          <t>현대EP</t>
        </is>
      </c>
      <c r="F3421" t="inlineStr">
        <is>
          <t>박세훈</t>
        </is>
      </c>
      <c r="G3421" t="inlineStr">
        <is>
          <t>010-7282-8060</t>
        </is>
      </c>
      <c r="H3421" t="inlineStr">
        <is>
          <t>33소1095</t>
        </is>
      </c>
      <c r="I3421" t="n">
        <v>55400000</v>
      </c>
      <c r="J3421" t="n">
        <v>0.079</v>
      </c>
      <c r="K3421" t="n">
        <v>1.76</v>
      </c>
      <c r="L3421" t="n">
        <v>0.14</v>
      </c>
      <c r="M3421" t="n">
        <v>1.62</v>
      </c>
      <c r="P3421" t="inlineStr">
        <is>
          <t>김나윤</t>
        </is>
      </c>
      <c r="Q3421" t="inlineStr">
        <is>
          <t>홈서비스 60개월</t>
        </is>
      </c>
      <c r="AB3421" t="inlineStr">
        <is>
          <t>홈서비스</t>
        </is>
      </c>
      <c r="AC3421" t="n">
        <v>975040</v>
      </c>
      <c r="AD3421" t="n">
        <v>77560</v>
      </c>
      <c r="AE3421" t="n">
        <v>897480</v>
      </c>
      <c r="AF3421" t="n">
        <v>886400</v>
      </c>
      <c r="AG3421" t="n">
        <v>75000.52</v>
      </c>
      <c r="AH3421" t="n">
        <v>811399.48</v>
      </c>
    </row>
    <row r="3422">
      <c r="A3422" t="inlineStr">
        <is>
          <t>3월</t>
        </is>
      </c>
      <c r="B3422" t="inlineStr">
        <is>
          <t>14주차</t>
        </is>
      </c>
      <c r="C3422" t="inlineStr">
        <is>
          <t>EP</t>
        </is>
      </c>
      <c r="D3422" s="28" t="n">
        <v>46111</v>
      </c>
      <c r="E3422" t="inlineStr">
        <is>
          <t>현대EP</t>
        </is>
      </c>
      <c r="F3422" t="inlineStr">
        <is>
          <t>이대우</t>
        </is>
      </c>
      <c r="G3422" t="inlineStr">
        <is>
          <t>010-5160-0234</t>
        </is>
      </c>
      <c r="H3422" t="inlineStr">
        <is>
          <t>02우0955</t>
        </is>
      </c>
      <c r="I3422" t="n">
        <v>14500000</v>
      </c>
      <c r="J3422" t="n">
        <v>0.07099999999999999</v>
      </c>
      <c r="K3422" t="n">
        <v>1.76</v>
      </c>
      <c r="L3422" t="n">
        <v>0.14</v>
      </c>
      <c r="M3422" t="n">
        <v>1.62</v>
      </c>
      <c r="P3422" t="inlineStr">
        <is>
          <t>정광호</t>
        </is>
      </c>
      <c r="Q3422" t="inlineStr">
        <is>
          <t>홈서비스 60개월</t>
        </is>
      </c>
      <c r="AB3422" t="inlineStr">
        <is>
          <t>홈서비스</t>
        </is>
      </c>
      <c r="AC3422" t="n">
        <v>255200</v>
      </c>
      <c r="AD3422" t="n">
        <v>20300</v>
      </c>
      <c r="AE3422" t="n">
        <v>234900</v>
      </c>
      <c r="AF3422" t="n">
        <v>232000</v>
      </c>
      <c r="AG3422" t="n">
        <v>19630.1</v>
      </c>
      <c r="AH3422" t="n">
        <v>212369.9</v>
      </c>
      <c r="AI3422" t="n">
        <v>0</v>
      </c>
    </row>
    <row r="3423">
      <c r="A3423" t="inlineStr">
        <is>
          <t>3월</t>
        </is>
      </c>
      <c r="B3423" t="inlineStr">
        <is>
          <t>14주차</t>
        </is>
      </c>
      <c r="C3423" t="inlineStr">
        <is>
          <t>OR</t>
        </is>
      </c>
      <c r="D3423" s="28" t="n">
        <v>46112</v>
      </c>
      <c r="E3423" t="inlineStr">
        <is>
          <t>오릭스</t>
        </is>
      </c>
      <c r="F3423" t="inlineStr">
        <is>
          <t>심재운</t>
        </is>
      </c>
      <c r="G3423" t="inlineStr">
        <is>
          <t>010-8830-3660</t>
        </is>
      </c>
      <c r="H3423" t="inlineStr">
        <is>
          <t>164저2183</t>
        </is>
      </c>
      <c r="I3423" t="n">
        <v>23000000</v>
      </c>
      <c r="J3423" t="n">
        <v>0.059</v>
      </c>
      <c r="K3423" t="n">
        <v>1.65</v>
      </c>
      <c r="L3423" t="n">
        <v>0.14</v>
      </c>
      <c r="M3423" t="n">
        <v>1.51</v>
      </c>
      <c r="P3423" t="inlineStr">
        <is>
          <t>정세빈</t>
        </is>
      </c>
      <c r="Q3423" t="inlineStr">
        <is>
          <t>홈서비스 60개월</t>
        </is>
      </c>
      <c r="AB3423" t="inlineStr">
        <is>
          <t>홈서비스</t>
        </is>
      </c>
      <c r="AC3423" t="n">
        <v>379500</v>
      </c>
      <c r="AD3423" t="n">
        <v>32200</v>
      </c>
      <c r="AE3423" t="n">
        <v>347300</v>
      </c>
      <c r="AF3423" t="n">
        <v>345000</v>
      </c>
      <c r="AG3423" t="n">
        <v>31137.4</v>
      </c>
      <c r="AH3423" t="n">
        <v>313862.6</v>
      </c>
    </row>
    <row r="3424">
      <c r="A3424" t="inlineStr">
        <is>
          <t>4월</t>
        </is>
      </c>
      <c r="B3424" t="inlineStr">
        <is>
          <t>17주차</t>
        </is>
      </c>
      <c r="C3424" t="inlineStr">
        <is>
          <t>EP</t>
        </is>
      </c>
      <c r="D3424" s="28" t="n">
        <v>46132</v>
      </c>
      <c r="E3424" t="inlineStr">
        <is>
          <t>현대EP_fast</t>
        </is>
      </c>
      <c r="F3424" t="inlineStr">
        <is>
          <t>권혁수</t>
        </is>
      </c>
      <c r="G3424" t="inlineStr">
        <is>
          <t>010-4733-5504</t>
        </is>
      </c>
      <c r="H3424" t="inlineStr">
        <is>
          <t>375구8927</t>
        </is>
      </c>
      <c r="I3424" t="n">
        <v>6600000</v>
      </c>
      <c r="J3424" t="n">
        <v>0.062</v>
      </c>
      <c r="K3424" t="n">
        <v>1.76</v>
      </c>
      <c r="L3424" t="n">
        <v>0.2</v>
      </c>
      <c r="M3424" t="n">
        <v>1.56</v>
      </c>
      <c r="P3424" t="inlineStr">
        <is>
          <t>김나윤</t>
        </is>
      </c>
      <c r="Q3424" t="inlineStr">
        <is>
          <t>홈서비스 36개월</t>
        </is>
      </c>
      <c r="AB3424" t="inlineStr">
        <is>
          <t>홈서비스</t>
        </is>
      </c>
      <c r="AC3424" t="n">
        <v>116160</v>
      </c>
      <c r="AD3424" t="n">
        <v>13200</v>
      </c>
      <c r="AE3424" t="n">
        <v>102960</v>
      </c>
      <c r="AF3424" t="n">
        <v>105600</v>
      </c>
      <c r="AG3424" t="n">
        <v>12764.4</v>
      </c>
      <c r="AH3424" t="n">
        <v>92835.60000000001</v>
      </c>
    </row>
    <row r="3425">
      <c r="A3425" t="inlineStr">
        <is>
          <t>4월</t>
        </is>
      </c>
      <c r="B3425" t="inlineStr">
        <is>
          <t>16주차</t>
        </is>
      </c>
      <c r="C3425" t="inlineStr">
        <is>
          <t>IM</t>
        </is>
      </c>
      <c r="D3425" s="28" t="n">
        <v>46129</v>
      </c>
      <c r="E3425" t="inlineStr">
        <is>
          <t>IM캐피탈</t>
        </is>
      </c>
      <c r="F3425" t="inlineStr">
        <is>
          <t>정승원</t>
        </is>
      </c>
      <c r="G3425" t="inlineStr">
        <is>
          <t>010-2513-8163</t>
        </is>
      </c>
      <c r="H3425" t="inlineStr">
        <is>
          <t>122부5363</t>
        </is>
      </c>
      <c r="I3425" t="n">
        <v>41500000</v>
      </c>
      <c r="J3425" t="n">
        <v>0.056</v>
      </c>
      <c r="K3425" t="n">
        <v>1.1</v>
      </c>
      <c r="L3425" t="n">
        <v>0.3</v>
      </c>
      <c r="M3425" t="n">
        <v>0.8</v>
      </c>
      <c r="P3425" t="inlineStr">
        <is>
          <t>박소현</t>
        </is>
      </c>
      <c r="AB3425" t="inlineStr">
        <is>
          <t>엔카</t>
        </is>
      </c>
      <c r="AC3425" t="n">
        <v>456500</v>
      </c>
      <c r="AD3425" t="n">
        <v>124500</v>
      </c>
      <c r="AE3425" t="n">
        <v>332000</v>
      </c>
      <c r="AF3425" t="n">
        <v>415000</v>
      </c>
      <c r="AG3425" t="n">
        <v>120391.5</v>
      </c>
      <c r="AH3425" t="n">
        <v>294608.5</v>
      </c>
      <c r="AI3425" t="n">
        <v>0</v>
      </c>
    </row>
    <row r="3426">
      <c r="A3426" t="inlineStr">
        <is>
          <t>4월</t>
        </is>
      </c>
      <c r="B3426" t="inlineStr">
        <is>
          <t>17주차</t>
        </is>
      </c>
      <c r="C3426" t="inlineStr">
        <is>
          <t>IM</t>
        </is>
      </c>
      <c r="D3426" s="28" t="n">
        <v>46132</v>
      </c>
      <c r="E3426" t="inlineStr">
        <is>
          <t>IM캐피탈</t>
        </is>
      </c>
      <c r="F3426" t="inlineStr">
        <is>
          <t>고건영</t>
        </is>
      </c>
      <c r="G3426" t="inlineStr">
        <is>
          <t>010-4092-2207</t>
        </is>
      </c>
      <c r="H3426" t="inlineStr">
        <is>
          <t>51너7862</t>
        </is>
      </c>
      <c r="I3426" t="n">
        <v>29000000</v>
      </c>
      <c r="J3426" t="n">
        <v>0.049</v>
      </c>
      <c r="K3426" t="n">
        <v>1.1</v>
      </c>
      <c r="L3426" t="n">
        <v>0.4</v>
      </c>
      <c r="M3426" t="n">
        <v>0.7</v>
      </c>
      <c r="P3426" t="inlineStr">
        <is>
          <t>장진경</t>
        </is>
      </c>
      <c r="Q3426" t="inlineStr">
        <is>
          <t>현대 7.9%</t>
        </is>
      </c>
      <c r="AB3426" t="inlineStr">
        <is>
          <t>엔카</t>
        </is>
      </c>
      <c r="AC3426" t="n">
        <v>319000</v>
      </c>
      <c r="AD3426" t="n">
        <v>116000</v>
      </c>
      <c r="AE3426" t="n">
        <v>203000</v>
      </c>
      <c r="AF3426" t="n">
        <v>290000</v>
      </c>
      <c r="AG3426" t="n">
        <v>112172</v>
      </c>
      <c r="AH3426" t="n">
        <v>177828</v>
      </c>
      <c r="AI3426" t="n">
        <v>0</v>
      </c>
    </row>
    <row r="3427">
      <c r="A3427" t="inlineStr">
        <is>
          <t>4월</t>
        </is>
      </c>
      <c r="B3427" t="inlineStr">
        <is>
          <t>17주차</t>
        </is>
      </c>
      <c r="C3427" t="inlineStr">
        <is>
          <t>WC</t>
        </is>
      </c>
      <c r="D3427" s="28" t="n">
        <v>46132</v>
      </c>
      <c r="E3427" t="inlineStr">
        <is>
          <t>웰컴저축은행</t>
        </is>
      </c>
      <c r="F3427" t="inlineStr">
        <is>
          <t>김주회</t>
        </is>
      </c>
      <c r="G3427" t="inlineStr">
        <is>
          <t>010-7698-5992</t>
        </is>
      </c>
      <c r="H3427" t="inlineStr">
        <is>
          <t>348다7365</t>
        </is>
      </c>
      <c r="I3427" t="n">
        <v>18500000</v>
      </c>
      <c r="J3427" t="n">
        <v>0.154</v>
      </c>
      <c r="K3427" t="n">
        <v>2.2</v>
      </c>
      <c r="L3427" t="n">
        <v>0.07000000000000001</v>
      </c>
      <c r="M3427" t="n">
        <v>2.13</v>
      </c>
      <c r="P3427" t="inlineStr">
        <is>
          <t>김수연</t>
        </is>
      </c>
      <c r="Q3427" t="inlineStr">
        <is>
          <t>부결 db실행 / 홈서비스 60개월</t>
        </is>
      </c>
      <c r="AB3427" t="inlineStr">
        <is>
          <t>홈서비스</t>
        </is>
      </c>
      <c r="AC3427" t="n">
        <v>407000</v>
      </c>
      <c r="AD3427" t="n">
        <v>12950</v>
      </c>
      <c r="AE3427" t="n">
        <v>394050</v>
      </c>
      <c r="AF3427" t="n">
        <v>370000</v>
      </c>
      <c r="AG3427" t="n">
        <v>12522.65</v>
      </c>
      <c r="AH3427" t="n">
        <v>357477.35</v>
      </c>
    </row>
    <row r="3428">
      <c r="A3428" t="inlineStr">
        <is>
          <t>4월</t>
        </is>
      </c>
      <c r="B3428" t="inlineStr">
        <is>
          <t>17주차</t>
        </is>
      </c>
      <c r="C3428" t="inlineStr">
        <is>
          <t>EP</t>
        </is>
      </c>
      <c r="D3428" s="28" t="n">
        <v>46132</v>
      </c>
      <c r="E3428" t="inlineStr">
        <is>
          <t>현대EP_fast</t>
        </is>
      </c>
      <c r="F3428" t="inlineStr">
        <is>
          <t>이영석</t>
        </is>
      </c>
      <c r="G3428" t="inlineStr">
        <is>
          <t>010-2804-5707</t>
        </is>
      </c>
      <c r="H3428" t="inlineStr">
        <is>
          <t>23우6792</t>
        </is>
      </c>
      <c r="I3428" t="n">
        <v>12900000</v>
      </c>
      <c r="J3428" t="n">
        <v>0.08799999999999999</v>
      </c>
      <c r="K3428" t="n">
        <v>1.76</v>
      </c>
      <c r="L3428" t="n">
        <v>0.2</v>
      </c>
      <c r="M3428" t="n">
        <v>1.56</v>
      </c>
      <c r="P3428" t="inlineStr">
        <is>
          <t>김나윤</t>
        </is>
      </c>
      <c r="Q3428" t="inlineStr">
        <is>
          <t>홈서비스 60개월</t>
        </is>
      </c>
      <c r="AB3428" t="inlineStr">
        <is>
          <t>홈서비스</t>
        </is>
      </c>
      <c r="AC3428" t="n">
        <v>227040</v>
      </c>
      <c r="AD3428" t="n">
        <v>25800</v>
      </c>
      <c r="AE3428" t="n">
        <v>201240</v>
      </c>
      <c r="AF3428" t="n">
        <v>206400</v>
      </c>
      <c r="AG3428" t="n">
        <v>24948.6</v>
      </c>
      <c r="AH3428" t="n">
        <v>181451.4</v>
      </c>
      <c r="AI3428" t="n">
        <v>0</v>
      </c>
    </row>
    <row r="3429">
      <c r="A3429" t="inlineStr">
        <is>
          <t>4월</t>
        </is>
      </c>
      <c r="B3429" t="inlineStr">
        <is>
          <t>17주차</t>
        </is>
      </c>
      <c r="C3429" t="inlineStr">
        <is>
          <t>EP</t>
        </is>
      </c>
      <c r="D3429" s="28" t="n">
        <v>46132</v>
      </c>
      <c r="E3429" t="inlineStr">
        <is>
          <t>BNKEP</t>
        </is>
      </c>
      <c r="F3429" t="inlineStr">
        <is>
          <t>최찬양</t>
        </is>
      </c>
      <c r="G3429" t="inlineStr">
        <is>
          <t>010-6862-6011</t>
        </is>
      </c>
      <c r="H3429" t="inlineStr">
        <is>
          <t>51소9038</t>
        </is>
      </c>
      <c r="I3429" t="n">
        <v>31900000</v>
      </c>
      <c r="J3429" t="n">
        <v>0.07000000000000001</v>
      </c>
      <c r="K3429" t="n">
        <v>1.65</v>
      </c>
      <c r="L3429" t="n">
        <v>0.07000000000000001</v>
      </c>
      <c r="M3429" t="n">
        <v>1.58</v>
      </c>
      <c r="P3429" t="inlineStr">
        <is>
          <t>황채이</t>
        </is>
      </c>
      <c r="Q3429" t="inlineStr">
        <is>
          <t>홈서비스 60개월</t>
        </is>
      </c>
      <c r="AB3429" t="inlineStr">
        <is>
          <t>홈서비스</t>
        </is>
      </c>
      <c r="AC3429" t="n">
        <v>526350</v>
      </c>
      <c r="AD3429" t="n">
        <v>22330</v>
      </c>
      <c r="AE3429" t="n">
        <v>504020</v>
      </c>
      <c r="AF3429" t="n">
        <v>478500</v>
      </c>
      <c r="AG3429" t="n">
        <v>21593.11</v>
      </c>
      <c r="AH3429" t="n">
        <v>456906.89</v>
      </c>
      <c r="AI3429" t="n">
        <v>0</v>
      </c>
    </row>
    <row r="3430">
      <c r="A3430" t="inlineStr">
        <is>
          <t>4월</t>
        </is>
      </c>
      <c r="B3430" t="inlineStr">
        <is>
          <t>17주차</t>
        </is>
      </c>
      <c r="C3430" t="inlineStr">
        <is>
          <t>IM</t>
        </is>
      </c>
      <c r="D3430" s="28" t="n">
        <v>46132</v>
      </c>
      <c r="E3430" t="inlineStr">
        <is>
          <t>IM캐피탈</t>
        </is>
      </c>
      <c r="F3430" t="inlineStr">
        <is>
          <t>안영훈</t>
        </is>
      </c>
      <c r="G3430" t="inlineStr">
        <is>
          <t>010-3606-8638</t>
        </is>
      </c>
      <c r="H3430" t="inlineStr">
        <is>
          <t>173무4790</t>
        </is>
      </c>
      <c r="I3430" t="n">
        <v>37900000</v>
      </c>
      <c r="J3430" t="n">
        <v>0.075</v>
      </c>
      <c r="K3430" t="n">
        <v>1.1</v>
      </c>
      <c r="L3430" t="n">
        <v>0.07000000000000001</v>
      </c>
      <c r="M3430" t="n">
        <v>1.03</v>
      </c>
      <c r="P3430" t="inlineStr">
        <is>
          <t>김나윤</t>
        </is>
      </c>
      <c r="Q3430" t="inlineStr">
        <is>
          <t>홈서비스 72개월</t>
        </is>
      </c>
      <c r="AB3430" t="inlineStr">
        <is>
          <t>홈서비스</t>
        </is>
      </c>
      <c r="AC3430" t="n">
        <v>416900</v>
      </c>
      <c r="AD3430" t="n">
        <v>26530</v>
      </c>
      <c r="AE3430" t="n">
        <v>390370</v>
      </c>
      <c r="AF3430" t="n">
        <v>379000</v>
      </c>
      <c r="AG3430" t="n">
        <v>25654.51</v>
      </c>
      <c r="AH3430" t="n">
        <v>353345.49</v>
      </c>
      <c r="AI3430" t="n">
        <v>0</v>
      </c>
    </row>
    <row r="3431">
      <c r="A3431" t="inlineStr">
        <is>
          <t>4월</t>
        </is>
      </c>
      <c r="B3431" t="inlineStr">
        <is>
          <t>17주차</t>
        </is>
      </c>
      <c r="C3431" t="inlineStr">
        <is>
          <t>EP</t>
        </is>
      </c>
      <c r="D3431" s="28" t="n">
        <v>46132</v>
      </c>
      <c r="E3431" t="inlineStr">
        <is>
          <t>현대EP_fast</t>
        </is>
      </c>
      <c r="F3431" t="inlineStr">
        <is>
          <t>최진용</t>
        </is>
      </c>
      <c r="G3431" t="inlineStr">
        <is>
          <t>010-9218-5835</t>
        </is>
      </c>
      <c r="H3431" t="inlineStr">
        <is>
          <t>29루9297</t>
        </is>
      </c>
      <c r="I3431" t="n">
        <v>5000000</v>
      </c>
      <c r="J3431" t="n">
        <v>0.07199999999999999</v>
      </c>
      <c r="K3431" t="n">
        <v>1.76</v>
      </c>
      <c r="L3431" t="n">
        <v>0.2</v>
      </c>
      <c r="M3431" t="n">
        <v>1.56</v>
      </c>
      <c r="P3431" t="inlineStr">
        <is>
          <t>황채이</t>
        </is>
      </c>
      <c r="Q3431" t="inlineStr">
        <is>
          <t>홈서비스 60개월</t>
        </is>
      </c>
      <c r="AB3431" t="inlineStr">
        <is>
          <t>홈서비스</t>
        </is>
      </c>
      <c r="AC3431" t="n">
        <v>88000</v>
      </c>
      <c r="AD3431" t="n">
        <v>10000</v>
      </c>
      <c r="AE3431" t="n">
        <v>78000</v>
      </c>
      <c r="AF3431" t="n">
        <v>80000</v>
      </c>
      <c r="AG3431" t="n">
        <v>9670</v>
      </c>
      <c r="AH3431" t="n">
        <v>70330</v>
      </c>
      <c r="AI3431" t="n">
        <v>0</v>
      </c>
    </row>
    <row r="3432">
      <c r="A3432" t="inlineStr">
        <is>
          <t>4월</t>
        </is>
      </c>
      <c r="B3432" t="inlineStr">
        <is>
          <t>17주차</t>
        </is>
      </c>
      <c r="C3432" t="inlineStr">
        <is>
          <t>WC</t>
        </is>
      </c>
      <c r="D3432" s="28" t="n">
        <v>46132</v>
      </c>
      <c r="E3432" t="inlineStr">
        <is>
          <t>웰컴저축은행</t>
        </is>
      </c>
      <c r="F3432" t="inlineStr">
        <is>
          <t>서지영</t>
        </is>
      </c>
      <c r="G3432" t="inlineStr">
        <is>
          <t>010-6368-6683</t>
        </is>
      </c>
      <c r="H3432" t="inlineStr">
        <is>
          <t>14무9429</t>
        </is>
      </c>
      <c r="I3432" t="n">
        <v>6500000</v>
      </c>
      <c r="J3432" t="n">
        <v>0.154</v>
      </c>
      <c r="K3432" t="n">
        <v>2.2</v>
      </c>
      <c r="L3432" t="n">
        <v>0.4</v>
      </c>
      <c r="M3432" t="n">
        <v>1.8</v>
      </c>
      <c r="P3432" t="inlineStr">
        <is>
          <t>박현민</t>
        </is>
      </c>
      <c r="AB3432" t="inlineStr">
        <is>
          <t>엔카</t>
        </is>
      </c>
      <c r="AC3432" t="n">
        <v>143000</v>
      </c>
      <c r="AD3432" t="n">
        <v>26000</v>
      </c>
      <c r="AE3432" t="n">
        <v>117000</v>
      </c>
      <c r="AF3432" t="n">
        <v>130000</v>
      </c>
      <c r="AG3432" t="n">
        <v>25142</v>
      </c>
      <c r="AH3432" t="n">
        <v>104858</v>
      </c>
      <c r="AI3432" t="n">
        <v>0</v>
      </c>
    </row>
    <row r="3433">
      <c r="A3433" t="inlineStr">
        <is>
          <t>4월</t>
        </is>
      </c>
      <c r="B3433" t="inlineStr">
        <is>
          <t>16주차</t>
        </is>
      </c>
      <c r="C3433" t="inlineStr">
        <is>
          <t>EP</t>
        </is>
      </c>
      <c r="D3433" s="28" t="n">
        <v>46128</v>
      </c>
      <c r="E3433" t="inlineStr">
        <is>
          <t>제이비EP</t>
        </is>
      </c>
      <c r="F3433" t="inlineStr">
        <is>
          <t>윤수정</t>
        </is>
      </c>
      <c r="G3433" t="inlineStr">
        <is>
          <t>010-3263-1324</t>
        </is>
      </c>
      <c r="H3433" t="inlineStr">
        <is>
          <t>34마1550</t>
        </is>
      </c>
      <c r="I3433" t="n">
        <v>13100000</v>
      </c>
      <c r="J3433" t="n">
        <v>0.081</v>
      </c>
      <c r="K3433" t="n">
        <v>1.65</v>
      </c>
      <c r="L3433" t="n">
        <v>0.3</v>
      </c>
      <c r="M3433" t="n">
        <v>1.35</v>
      </c>
      <c r="P3433" t="inlineStr">
        <is>
          <t>구성완</t>
        </is>
      </c>
      <c r="AB3433" t="inlineStr">
        <is>
          <t>엔카</t>
        </is>
      </c>
      <c r="AC3433" t="n">
        <v>216150</v>
      </c>
      <c r="AD3433" t="n">
        <v>39300</v>
      </c>
      <c r="AE3433" t="n">
        <v>176850</v>
      </c>
      <c r="AF3433" t="n">
        <v>196500</v>
      </c>
      <c r="AG3433" t="n">
        <v>38003.1</v>
      </c>
      <c r="AH3433" t="n">
        <v>158496.9</v>
      </c>
      <c r="AI3433" t="n">
        <v>0</v>
      </c>
    </row>
    <row r="3434">
      <c r="A3434" t="inlineStr">
        <is>
          <t>4월</t>
        </is>
      </c>
      <c r="B3434" t="inlineStr">
        <is>
          <t>17주차</t>
        </is>
      </c>
      <c r="C3434" t="inlineStr">
        <is>
          <t>EP</t>
        </is>
      </c>
      <c r="D3434" s="28" t="n">
        <v>46132</v>
      </c>
      <c r="E3434" t="inlineStr">
        <is>
          <t>현대EP_fast</t>
        </is>
      </c>
      <c r="F3434" t="inlineStr">
        <is>
          <t>허정민</t>
        </is>
      </c>
      <c r="G3434" t="inlineStr">
        <is>
          <t>010-7101-5408</t>
        </is>
      </c>
      <c r="H3434" t="inlineStr">
        <is>
          <t>63너2948</t>
        </is>
      </c>
      <c r="I3434" t="n">
        <v>3500000</v>
      </c>
      <c r="J3434" t="n">
        <v>0.105</v>
      </c>
      <c r="K3434" t="n">
        <v>1.76</v>
      </c>
      <c r="L3434" t="n">
        <v>0.2</v>
      </c>
      <c r="M3434" t="n">
        <v>1.56</v>
      </c>
      <c r="P3434" t="inlineStr">
        <is>
          <t>황채이</t>
        </is>
      </c>
      <c r="Q3434" t="inlineStr">
        <is>
          <t>홈서비스 48개월</t>
        </is>
      </c>
      <c r="AB3434" t="inlineStr">
        <is>
          <t>홈서비스</t>
        </is>
      </c>
      <c r="AC3434" t="n">
        <v>61600</v>
      </c>
      <c r="AD3434" t="n">
        <v>7000</v>
      </c>
      <c r="AE3434" t="n">
        <v>54600</v>
      </c>
      <c r="AF3434" t="n">
        <v>56000</v>
      </c>
      <c r="AG3434" t="n">
        <v>6769</v>
      </c>
      <c r="AH3434" t="n">
        <v>49231</v>
      </c>
      <c r="AI3434" t="n">
        <v>0</v>
      </c>
    </row>
    <row r="3435">
      <c r="A3435" t="inlineStr">
        <is>
          <t>4월</t>
        </is>
      </c>
      <c r="B3435" t="inlineStr">
        <is>
          <t>17주차</t>
        </is>
      </c>
      <c r="C3435" t="inlineStr">
        <is>
          <t>EP</t>
        </is>
      </c>
      <c r="D3435" s="28" t="n">
        <v>46132</v>
      </c>
      <c r="E3435" t="inlineStr">
        <is>
          <t>현대EP_fast</t>
        </is>
      </c>
      <c r="F3435" t="inlineStr">
        <is>
          <t>김남희</t>
        </is>
      </c>
      <c r="G3435" t="inlineStr">
        <is>
          <t>010-9876-9412</t>
        </is>
      </c>
      <c r="H3435" t="inlineStr">
        <is>
          <t>313구7857</t>
        </is>
      </c>
      <c r="I3435" t="n">
        <v>5200000</v>
      </c>
      <c r="J3435" t="n">
        <v>0.078</v>
      </c>
      <c r="K3435" t="n">
        <v>1.76</v>
      </c>
      <c r="L3435" t="n">
        <v>0.2</v>
      </c>
      <c r="M3435" t="n">
        <v>1.56</v>
      </c>
      <c r="P3435" t="inlineStr">
        <is>
          <t>김나윤</t>
        </is>
      </c>
      <c r="Q3435" t="inlineStr">
        <is>
          <t>홈서비스 24개월</t>
        </is>
      </c>
      <c r="AB3435" t="inlineStr">
        <is>
          <t>홈서비스</t>
        </is>
      </c>
      <c r="AC3435" t="n">
        <v>91520</v>
      </c>
      <c r="AD3435" t="n">
        <v>10400</v>
      </c>
      <c r="AE3435" t="n">
        <v>81120</v>
      </c>
      <c r="AF3435" t="n">
        <v>83200</v>
      </c>
      <c r="AG3435" t="n">
        <v>10056.8</v>
      </c>
      <c r="AH3435" t="n">
        <v>73143.2</v>
      </c>
      <c r="AI3435" t="n">
        <v>0</v>
      </c>
    </row>
    <row r="3436">
      <c r="A3436" t="inlineStr">
        <is>
          <t>4월</t>
        </is>
      </c>
      <c r="B3436" t="inlineStr">
        <is>
          <t>17주차</t>
        </is>
      </c>
      <c r="C3436" t="inlineStr">
        <is>
          <t>EP</t>
        </is>
      </c>
      <c r="D3436" s="28" t="n">
        <v>46132</v>
      </c>
      <c r="E3436" t="inlineStr">
        <is>
          <t>현대EP_fast</t>
        </is>
      </c>
      <c r="F3436" t="inlineStr">
        <is>
          <t>박시연</t>
        </is>
      </c>
      <c r="G3436" t="inlineStr">
        <is>
          <t>0104929-2631</t>
        </is>
      </c>
      <c r="H3436" t="inlineStr">
        <is>
          <t>64버4472</t>
        </is>
      </c>
      <c r="I3436" t="n">
        <v>15500000</v>
      </c>
      <c r="J3436" t="n">
        <v>0.077</v>
      </c>
      <c r="K3436" t="n">
        <v>1.76</v>
      </c>
      <c r="L3436" t="n">
        <v>0.2</v>
      </c>
      <c r="M3436" t="n">
        <v>1.56</v>
      </c>
      <c r="P3436" t="inlineStr">
        <is>
          <t>최혁</t>
        </is>
      </c>
      <c r="Q3436" t="inlineStr">
        <is>
          <t>홈서비스60개월</t>
        </is>
      </c>
      <c r="AB3436" t="inlineStr">
        <is>
          <t>홈서비스</t>
        </is>
      </c>
      <c r="AC3436" t="n">
        <v>272800</v>
      </c>
      <c r="AD3436" t="n">
        <v>31000</v>
      </c>
      <c r="AE3436" t="n">
        <v>241800</v>
      </c>
      <c r="AF3436" t="n">
        <v>248000</v>
      </c>
      <c r="AG3436" t="n">
        <v>29977</v>
      </c>
      <c r="AH3436" t="n">
        <v>218023</v>
      </c>
      <c r="AI3436" t="n">
        <v>0</v>
      </c>
    </row>
    <row r="3437">
      <c r="A3437" t="inlineStr">
        <is>
          <t>4월</t>
        </is>
      </c>
      <c r="B3437" t="inlineStr">
        <is>
          <t>17주차</t>
        </is>
      </c>
      <c r="C3437" t="inlineStr">
        <is>
          <t>EP</t>
        </is>
      </c>
      <c r="D3437" s="28" t="n">
        <v>46132</v>
      </c>
      <c r="E3437" t="inlineStr">
        <is>
          <t>BNKEP</t>
        </is>
      </c>
      <c r="F3437" t="inlineStr">
        <is>
          <t>이정현</t>
        </is>
      </c>
      <c r="G3437" t="inlineStr">
        <is>
          <t>010-9245-4617</t>
        </is>
      </c>
      <c r="H3437" t="inlineStr">
        <is>
          <t>07서2457</t>
        </is>
      </c>
      <c r="I3437" t="n">
        <v>32500000</v>
      </c>
      <c r="J3437" t="n">
        <v>0.067</v>
      </c>
      <c r="K3437" t="n">
        <v>1.65</v>
      </c>
      <c r="L3437" t="n">
        <v>0.07000000000000001</v>
      </c>
      <c r="M3437" t="n">
        <v>1.58</v>
      </c>
      <c r="P3437" t="inlineStr">
        <is>
          <t>김수연</t>
        </is>
      </c>
      <c r="Q3437" t="inlineStr">
        <is>
          <t>홈서비스 60개울/부대비용 추가진행</t>
        </is>
      </c>
      <c r="AB3437" t="inlineStr">
        <is>
          <t>홈서비스</t>
        </is>
      </c>
      <c r="AC3437" t="n">
        <v>536250</v>
      </c>
      <c r="AD3437" t="n">
        <v>22750</v>
      </c>
      <c r="AE3437" t="n">
        <v>513500</v>
      </c>
      <c r="AF3437" t="n">
        <v>487500</v>
      </c>
      <c r="AG3437" t="n">
        <v>21999.25</v>
      </c>
      <c r="AH3437" t="n">
        <v>465500.75</v>
      </c>
    </row>
    <row r="3438">
      <c r="A3438" t="inlineStr">
        <is>
          <t>3월</t>
        </is>
      </c>
      <c r="B3438" t="inlineStr">
        <is>
          <t>10주차</t>
        </is>
      </c>
      <c r="C3438" t="inlineStr">
        <is>
          <t>EP</t>
        </is>
      </c>
      <c r="D3438" s="28" t="n">
        <v>46084</v>
      </c>
      <c r="E3438" t="inlineStr">
        <is>
          <t>현대EP_fast</t>
        </is>
      </c>
      <c r="F3438" t="inlineStr">
        <is>
          <t>박창엽</t>
        </is>
      </c>
      <c r="G3438" t="inlineStr">
        <is>
          <t>010-9473-4054</t>
        </is>
      </c>
      <c r="H3438" t="inlineStr">
        <is>
          <t>10조1068</t>
        </is>
      </c>
      <c r="I3438" t="n">
        <v>12000000</v>
      </c>
      <c r="J3438" t="n">
        <v>0.075</v>
      </c>
      <c r="K3438" t="n">
        <v>1.76</v>
      </c>
      <c r="L3438" t="n">
        <v>0.14</v>
      </c>
      <c r="M3438" t="n">
        <v>1.62</v>
      </c>
      <c r="P3438" t="inlineStr">
        <is>
          <t>김수연</t>
        </is>
      </c>
      <c r="Q3438" t="inlineStr">
        <is>
          <t>홈서비스 36개월</t>
        </is>
      </c>
      <c r="AB3438" t="inlineStr">
        <is>
          <t>홈서비스</t>
        </is>
      </c>
      <c r="AC3438" t="n">
        <v>211200</v>
      </c>
      <c r="AD3438" t="n">
        <v>16800</v>
      </c>
      <c r="AE3438" t="n">
        <v>194400</v>
      </c>
      <c r="AF3438" t="n">
        <v>192000</v>
      </c>
      <c r="AG3438" t="n">
        <v>16245.6</v>
      </c>
      <c r="AH3438" t="n">
        <v>175754.4</v>
      </c>
    </row>
    <row r="3439">
      <c r="A3439" t="inlineStr">
        <is>
          <t>3월</t>
        </is>
      </c>
      <c r="B3439" t="inlineStr">
        <is>
          <t>10주차</t>
        </is>
      </c>
      <c r="C3439" t="inlineStr">
        <is>
          <t>EP</t>
        </is>
      </c>
      <c r="D3439" s="28" t="n">
        <v>46084</v>
      </c>
      <c r="E3439" t="inlineStr">
        <is>
          <t>현대EP</t>
        </is>
      </c>
      <c r="F3439" t="inlineStr">
        <is>
          <t>김주희</t>
        </is>
      </c>
      <c r="G3439" t="inlineStr">
        <is>
          <t>010-9429-6610</t>
        </is>
      </c>
      <c r="H3439" t="inlineStr">
        <is>
          <t>29고0256</t>
        </is>
      </c>
      <c r="I3439" t="n">
        <v>15500000</v>
      </c>
      <c r="J3439" t="n">
        <v>0.089</v>
      </c>
      <c r="K3439" t="n">
        <v>1.76</v>
      </c>
      <c r="L3439" t="n">
        <v>0.14</v>
      </c>
      <c r="M3439" t="n">
        <v>1.62</v>
      </c>
      <c r="P3439" t="inlineStr">
        <is>
          <t>최형주</t>
        </is>
      </c>
      <c r="Q3439" t="inlineStr">
        <is>
          <t>홈서비스 60개월</t>
        </is>
      </c>
      <c r="AB3439" t="inlineStr">
        <is>
          <t>홈서비스</t>
        </is>
      </c>
      <c r="AC3439" t="n">
        <v>272800</v>
      </c>
      <c r="AD3439" t="n">
        <v>21700</v>
      </c>
      <c r="AE3439" t="n">
        <v>251100</v>
      </c>
      <c r="AF3439" t="n">
        <v>248000</v>
      </c>
      <c r="AG3439" t="n">
        <v>20983.9</v>
      </c>
      <c r="AH3439" t="n">
        <v>227016.1</v>
      </c>
      <c r="AI3439" t="n">
        <v>0</v>
      </c>
    </row>
    <row r="3440">
      <c r="A3440" t="inlineStr">
        <is>
          <t>3월</t>
        </is>
      </c>
      <c r="B3440" t="inlineStr">
        <is>
          <t>10주차</t>
        </is>
      </c>
      <c r="C3440" t="inlineStr">
        <is>
          <t>EP</t>
        </is>
      </c>
      <c r="D3440" s="28" t="n">
        <v>46084</v>
      </c>
      <c r="E3440" t="inlineStr">
        <is>
          <t>현대EP_fast</t>
        </is>
      </c>
      <c r="F3440" t="inlineStr">
        <is>
          <t>진규환</t>
        </is>
      </c>
      <c r="G3440" t="inlineStr">
        <is>
          <t>010-6476-8435</t>
        </is>
      </c>
      <c r="H3440" t="inlineStr">
        <is>
          <t>107라4595</t>
        </is>
      </c>
      <c r="I3440" t="n">
        <v>31500000</v>
      </c>
      <c r="J3440" t="n">
        <v>0.09</v>
      </c>
      <c r="K3440" t="n">
        <v>1.76</v>
      </c>
      <c r="L3440" t="n">
        <v>0.14</v>
      </c>
      <c r="M3440" t="n">
        <v>1.62</v>
      </c>
      <c r="P3440" t="inlineStr">
        <is>
          <t>김수연</t>
        </is>
      </c>
      <c r="Q3440" t="inlineStr">
        <is>
          <t>홈서비스 60개월</t>
        </is>
      </c>
      <c r="AB3440" t="inlineStr">
        <is>
          <t>홈서비스</t>
        </is>
      </c>
      <c r="AC3440" t="n">
        <v>554400</v>
      </c>
      <c r="AD3440" t="n">
        <v>44100</v>
      </c>
      <c r="AE3440" t="n">
        <v>510300</v>
      </c>
      <c r="AF3440" t="n">
        <v>504000</v>
      </c>
      <c r="AG3440" t="n">
        <v>42644.7</v>
      </c>
      <c r="AH3440" t="n">
        <v>461355.3</v>
      </c>
    </row>
    <row r="3441">
      <c r="A3441" t="inlineStr">
        <is>
          <t>3월</t>
        </is>
      </c>
      <c r="B3441" t="inlineStr">
        <is>
          <t>10주차</t>
        </is>
      </c>
      <c r="C3441" t="inlineStr">
        <is>
          <t>IM</t>
        </is>
      </c>
      <c r="D3441" s="28" t="n">
        <v>46086</v>
      </c>
      <c r="E3441" t="inlineStr">
        <is>
          <t>IM캐피탈</t>
        </is>
      </c>
      <c r="F3441" t="inlineStr">
        <is>
          <t>홍성표</t>
        </is>
      </c>
      <c r="G3441" t="inlineStr">
        <is>
          <t>010-6286-1278</t>
        </is>
      </c>
      <c r="H3441" t="inlineStr">
        <is>
          <t>22거3353</t>
        </is>
      </c>
      <c r="I3441" t="n">
        <v>11000000</v>
      </c>
      <c r="J3441" t="n">
        <v>0.049</v>
      </c>
      <c r="K3441" t="n">
        <v>1.1</v>
      </c>
      <c r="L3441" t="n">
        <v>0.14</v>
      </c>
      <c r="M3441" t="n">
        <v>0.96</v>
      </c>
      <c r="P3441" t="inlineStr">
        <is>
          <t>정세빈</t>
        </is>
      </c>
      <c r="Q3441" t="inlineStr">
        <is>
          <t>홈서비스 36개월</t>
        </is>
      </c>
      <c r="AB3441" t="inlineStr">
        <is>
          <t>홈서비스</t>
        </is>
      </c>
      <c r="AC3441" t="n">
        <v>121000</v>
      </c>
      <c r="AD3441" t="n">
        <v>15400</v>
      </c>
      <c r="AE3441" t="n">
        <v>105600</v>
      </c>
      <c r="AF3441" t="n">
        <v>110000</v>
      </c>
      <c r="AG3441" t="n">
        <v>14891.8</v>
      </c>
      <c r="AH3441" t="n">
        <v>95108.2</v>
      </c>
      <c r="AI3441" t="n">
        <v>0</v>
      </c>
    </row>
    <row r="3442">
      <c r="A3442" t="inlineStr">
        <is>
          <t>3월</t>
        </is>
      </c>
      <c r="B3442" t="inlineStr">
        <is>
          <t>10주차</t>
        </is>
      </c>
      <c r="C3442" t="inlineStr">
        <is>
          <t>OR</t>
        </is>
      </c>
      <c r="D3442" s="28" t="n">
        <v>46087</v>
      </c>
      <c r="E3442" t="inlineStr">
        <is>
          <t>오릭스</t>
        </is>
      </c>
      <c r="F3442" t="inlineStr">
        <is>
          <t>서정화</t>
        </is>
      </c>
      <c r="G3442" t="inlineStr">
        <is>
          <t>010-7342-9994</t>
        </is>
      </c>
      <c r="H3442" t="inlineStr">
        <is>
          <t>06모4036</t>
        </is>
      </c>
      <c r="I3442" t="n">
        <v>22500000</v>
      </c>
      <c r="J3442" t="n">
        <v>0.055</v>
      </c>
      <c r="K3442" t="n">
        <v>1.65</v>
      </c>
      <c r="L3442" t="n">
        <v>0.4</v>
      </c>
      <c r="M3442" t="n">
        <v>1.25</v>
      </c>
      <c r="P3442" t="inlineStr">
        <is>
          <t>장진경</t>
        </is>
      </c>
      <c r="Q3442" t="inlineStr">
        <is>
          <t>부대비용 추가진행</t>
        </is>
      </c>
      <c r="AB3442" t="inlineStr">
        <is>
          <t>엔카</t>
        </is>
      </c>
      <c r="AC3442" t="n">
        <v>371250</v>
      </c>
      <c r="AD3442" t="n">
        <v>90000</v>
      </c>
      <c r="AE3442" t="n">
        <v>281250</v>
      </c>
      <c r="AF3442" t="n">
        <v>337500</v>
      </c>
      <c r="AG3442" t="n">
        <v>87030</v>
      </c>
      <c r="AH3442" t="n">
        <v>250470</v>
      </c>
      <c r="AI3442" t="n">
        <v>0</v>
      </c>
    </row>
    <row r="3443">
      <c r="A3443" t="inlineStr">
        <is>
          <t>3월</t>
        </is>
      </c>
      <c r="B3443" t="inlineStr">
        <is>
          <t>10주차</t>
        </is>
      </c>
      <c r="C3443" t="inlineStr">
        <is>
          <t>IM</t>
        </is>
      </c>
      <c r="D3443" s="28" t="n">
        <v>46087</v>
      </c>
      <c r="E3443" t="inlineStr">
        <is>
          <t>IM캐피탈</t>
        </is>
      </c>
      <c r="F3443" t="inlineStr">
        <is>
          <t>김상도</t>
        </is>
      </c>
      <c r="G3443" t="inlineStr">
        <is>
          <t>010-8648-3261</t>
        </is>
      </c>
      <c r="H3443" t="inlineStr">
        <is>
          <t>65마8886</t>
        </is>
      </c>
      <c r="I3443" t="n">
        <v>8000000</v>
      </c>
      <c r="J3443" t="n">
        <v>0.056</v>
      </c>
      <c r="K3443" t="n">
        <v>1.1</v>
      </c>
      <c r="L3443" t="n">
        <v>0.14</v>
      </c>
      <c r="M3443" t="n">
        <v>0.96</v>
      </c>
      <c r="P3443" t="inlineStr">
        <is>
          <t>정세빈</t>
        </is>
      </c>
      <c r="Q3443" t="inlineStr">
        <is>
          <t>홈서비스 36개월</t>
        </is>
      </c>
      <c r="AB3443" t="inlineStr">
        <is>
          <t>홈서비스</t>
        </is>
      </c>
      <c r="AC3443" t="n">
        <v>88000</v>
      </c>
      <c r="AD3443" t="n">
        <v>11200</v>
      </c>
      <c r="AE3443" t="n">
        <v>76800</v>
      </c>
      <c r="AF3443" t="n">
        <v>80000</v>
      </c>
      <c r="AG3443" t="n">
        <v>10830.4</v>
      </c>
      <c r="AH3443" t="n">
        <v>69169.60000000001</v>
      </c>
    </row>
    <row r="3444">
      <c r="A3444" t="inlineStr">
        <is>
          <t>3월</t>
        </is>
      </c>
      <c r="B3444" t="inlineStr">
        <is>
          <t>11주차</t>
        </is>
      </c>
      <c r="C3444" t="inlineStr">
        <is>
          <t>EP</t>
        </is>
      </c>
      <c r="D3444" s="28" t="n">
        <v>46090</v>
      </c>
      <c r="E3444" t="inlineStr">
        <is>
          <t>현대EP_fast</t>
        </is>
      </c>
      <c r="F3444" t="inlineStr">
        <is>
          <t>손정열</t>
        </is>
      </c>
      <c r="G3444" t="inlineStr">
        <is>
          <t>010-5261-1809</t>
        </is>
      </c>
      <c r="H3444" t="inlineStr">
        <is>
          <t>45우8709</t>
        </is>
      </c>
      <c r="I3444" t="n">
        <v>3000000</v>
      </c>
      <c r="J3444" t="n">
        <v>0.09</v>
      </c>
      <c r="K3444" t="n">
        <v>1.76</v>
      </c>
      <c r="L3444" t="n">
        <v>0.14</v>
      </c>
      <c r="M3444" t="n">
        <v>1.62</v>
      </c>
      <c r="P3444" t="inlineStr">
        <is>
          <t>정하은</t>
        </is>
      </c>
      <c r="Q3444" t="inlineStr">
        <is>
          <t>홈서비스 60개월</t>
        </is>
      </c>
      <c r="AB3444" t="inlineStr">
        <is>
          <t>홈서비스</t>
        </is>
      </c>
      <c r="AC3444" t="n">
        <v>52800</v>
      </c>
      <c r="AD3444" t="n">
        <v>4200</v>
      </c>
      <c r="AE3444" t="n">
        <v>48600</v>
      </c>
      <c r="AF3444" t="n">
        <v>48000</v>
      </c>
      <c r="AG3444" t="n">
        <v>4061.4</v>
      </c>
      <c r="AH3444" t="n">
        <v>43938.6</v>
      </c>
      <c r="AI3444" t="n">
        <v>0</v>
      </c>
    </row>
    <row r="3445">
      <c r="A3445" t="inlineStr">
        <is>
          <t>3월</t>
        </is>
      </c>
      <c r="B3445" t="inlineStr">
        <is>
          <t>11주차</t>
        </is>
      </c>
      <c r="C3445" t="inlineStr">
        <is>
          <t>EP</t>
        </is>
      </c>
      <c r="D3445" s="28" t="n">
        <v>46090</v>
      </c>
      <c r="E3445" t="inlineStr">
        <is>
          <t>제이비EP</t>
        </is>
      </c>
      <c r="F3445" t="inlineStr">
        <is>
          <t>위혁준</t>
        </is>
      </c>
      <c r="G3445" t="inlineStr">
        <is>
          <t>010-8028-2467</t>
        </is>
      </c>
      <c r="H3445" t="inlineStr">
        <is>
          <t>140러4262</t>
        </is>
      </c>
      <c r="I3445" t="n">
        <v>10000000</v>
      </c>
      <c r="J3445" t="n">
        <v>0.08599999999999999</v>
      </c>
      <c r="K3445" t="n">
        <v>1.65</v>
      </c>
      <c r="L3445" t="n">
        <v>0.14</v>
      </c>
      <c r="M3445" t="n">
        <v>1.51</v>
      </c>
      <c r="P3445" t="inlineStr">
        <is>
          <t>정세빈</t>
        </is>
      </c>
      <c r="Q3445" t="inlineStr">
        <is>
          <t>홈서비스 24개월</t>
        </is>
      </c>
      <c r="AB3445" t="inlineStr">
        <is>
          <t>홈서비스</t>
        </is>
      </c>
      <c r="AC3445" t="n">
        <v>165000</v>
      </c>
      <c r="AD3445" t="n">
        <v>14000</v>
      </c>
      <c r="AE3445" t="n">
        <v>151000</v>
      </c>
      <c r="AF3445" t="n">
        <v>150000</v>
      </c>
      <c r="AG3445" t="n">
        <v>13538</v>
      </c>
      <c r="AH3445" t="n">
        <v>136462</v>
      </c>
      <c r="AI3445" t="n">
        <v>0</v>
      </c>
    </row>
    <row r="3446">
      <c r="A3446" t="inlineStr">
        <is>
          <t>3월</t>
        </is>
      </c>
      <c r="B3446" t="inlineStr">
        <is>
          <t>11주차</t>
        </is>
      </c>
      <c r="C3446" t="inlineStr">
        <is>
          <t>IM</t>
        </is>
      </c>
      <c r="D3446" s="28" t="n">
        <v>46090</v>
      </c>
      <c r="E3446" t="inlineStr">
        <is>
          <t>IM캐피탈</t>
        </is>
      </c>
      <c r="F3446" t="inlineStr">
        <is>
          <t>김찬규</t>
        </is>
      </c>
      <c r="G3446" t="inlineStr">
        <is>
          <t>010-5213-4539</t>
        </is>
      </c>
      <c r="H3446" t="inlineStr">
        <is>
          <t>14서0585</t>
        </is>
      </c>
      <c r="I3446" t="n">
        <v>9800000</v>
      </c>
      <c r="J3446" t="n">
        <v>0.039</v>
      </c>
      <c r="K3446" t="n">
        <v>1.1</v>
      </c>
      <c r="L3446" t="n">
        <v>0.4</v>
      </c>
      <c r="M3446" t="n">
        <v>0.7</v>
      </c>
      <c r="P3446" t="inlineStr">
        <is>
          <t>최혁</t>
        </is>
      </c>
      <c r="Q3446" t="inlineStr">
        <is>
          <t>론진행</t>
        </is>
      </c>
      <c r="AB3446" t="inlineStr">
        <is>
          <t>엔카</t>
        </is>
      </c>
      <c r="AC3446" t="n">
        <v>107800</v>
      </c>
      <c r="AD3446" t="n">
        <v>39200</v>
      </c>
      <c r="AE3446" t="n">
        <v>68600</v>
      </c>
      <c r="AF3446" t="n">
        <v>98000</v>
      </c>
      <c r="AG3446" t="n">
        <v>37906.4</v>
      </c>
      <c r="AH3446" t="n">
        <v>60093.6</v>
      </c>
      <c r="AI3446" t="n">
        <v>0</v>
      </c>
    </row>
    <row r="3447">
      <c r="A3447" t="inlineStr">
        <is>
          <t>3월</t>
        </is>
      </c>
      <c r="B3447" t="inlineStr">
        <is>
          <t>11주차</t>
        </is>
      </c>
      <c r="C3447" t="inlineStr">
        <is>
          <t>EP</t>
        </is>
      </c>
      <c r="D3447" s="28" t="n">
        <v>46090</v>
      </c>
      <c r="E3447" t="inlineStr">
        <is>
          <t>현대EP_fast</t>
        </is>
      </c>
      <c r="F3447" t="inlineStr">
        <is>
          <t>이중호</t>
        </is>
      </c>
      <c r="G3447" t="inlineStr">
        <is>
          <t>010-4595-3489</t>
        </is>
      </c>
      <c r="H3447" t="inlineStr">
        <is>
          <t>24너9803</t>
        </is>
      </c>
      <c r="I3447" t="n">
        <v>3900000</v>
      </c>
      <c r="J3447" t="n">
        <v>0.09</v>
      </c>
      <c r="K3447" t="n">
        <v>1.76</v>
      </c>
      <c r="L3447" t="n">
        <v>0.14</v>
      </c>
      <c r="M3447" t="n">
        <v>1.62</v>
      </c>
      <c r="P3447" t="inlineStr">
        <is>
          <t>김나윤</t>
        </is>
      </c>
      <c r="Q3447" t="inlineStr">
        <is>
          <t>홈서비스 60개월</t>
        </is>
      </c>
      <c r="AB3447" t="inlineStr">
        <is>
          <t>홈서비스</t>
        </is>
      </c>
      <c r="AC3447" t="n">
        <v>68640</v>
      </c>
      <c r="AD3447" t="n">
        <v>5460</v>
      </c>
      <c r="AE3447" t="n">
        <v>63180</v>
      </c>
      <c r="AF3447" t="n">
        <v>62400</v>
      </c>
      <c r="AG3447" t="n">
        <v>5279.82</v>
      </c>
      <c r="AH3447" t="n">
        <v>57120.18</v>
      </c>
      <c r="AI3447" t="n">
        <v>0</v>
      </c>
    </row>
    <row r="3448">
      <c r="A3448" t="inlineStr">
        <is>
          <t>3월</t>
        </is>
      </c>
      <c r="B3448" t="inlineStr">
        <is>
          <t>11주차</t>
        </is>
      </c>
      <c r="C3448" t="inlineStr">
        <is>
          <t>IM</t>
        </is>
      </c>
      <c r="D3448" s="28" t="n">
        <v>46091</v>
      </c>
      <c r="E3448" t="inlineStr">
        <is>
          <t>IM캐피탈</t>
        </is>
      </c>
      <c r="F3448" t="inlineStr">
        <is>
          <t>정우조</t>
        </is>
      </c>
      <c r="G3448" t="inlineStr">
        <is>
          <t>010-7594-1203</t>
        </is>
      </c>
      <c r="H3448" t="inlineStr">
        <is>
          <t>237서8377</t>
        </is>
      </c>
      <c r="I3448" t="n">
        <v>25300000</v>
      </c>
      <c r="J3448" t="n">
        <v>0.049</v>
      </c>
      <c r="K3448" t="n">
        <v>1.1</v>
      </c>
      <c r="L3448" t="n">
        <v>0.14</v>
      </c>
      <c r="M3448" t="n">
        <v>0.96</v>
      </c>
      <c r="P3448" t="inlineStr">
        <is>
          <t>김나윤</t>
        </is>
      </c>
      <c r="Q3448" t="inlineStr">
        <is>
          <t>홈서비스 60개월</t>
        </is>
      </c>
      <c r="AB3448" t="inlineStr">
        <is>
          <t>홈서비스</t>
        </is>
      </c>
      <c r="AC3448" t="n">
        <v>278300</v>
      </c>
      <c r="AD3448" t="n">
        <v>35420</v>
      </c>
      <c r="AE3448" t="n">
        <v>242880</v>
      </c>
      <c r="AF3448" t="n">
        <v>253000</v>
      </c>
      <c r="AG3448" t="n">
        <v>34251.14</v>
      </c>
      <c r="AH3448" t="n">
        <v>218748.86</v>
      </c>
      <c r="AI3448" t="n">
        <v>0</v>
      </c>
    </row>
    <row r="3449">
      <c r="A3449" t="inlineStr">
        <is>
          <t>3월</t>
        </is>
      </c>
      <c r="B3449" t="inlineStr">
        <is>
          <t>11주차</t>
        </is>
      </c>
      <c r="C3449" t="inlineStr">
        <is>
          <t>IM</t>
        </is>
      </c>
      <c r="D3449" s="28" t="n">
        <v>46091</v>
      </c>
      <c r="E3449" t="inlineStr">
        <is>
          <t>IM캐피탈</t>
        </is>
      </c>
      <c r="F3449" t="inlineStr">
        <is>
          <t>최정윤</t>
        </is>
      </c>
      <c r="G3449" t="inlineStr">
        <is>
          <t>010-9058-1988</t>
        </is>
      </c>
      <c r="H3449" t="inlineStr">
        <is>
          <t>381서1126</t>
        </is>
      </c>
      <c r="I3449" t="n">
        <v>28000000</v>
      </c>
      <c r="J3449" t="n">
        <v>0.049</v>
      </c>
      <c r="K3449" t="n">
        <v>1.1</v>
      </c>
      <c r="L3449" t="n">
        <v>0.14</v>
      </c>
      <c r="M3449" t="n">
        <v>0.96</v>
      </c>
      <c r="P3449" t="inlineStr">
        <is>
          <t>장현경</t>
        </is>
      </c>
      <c r="Q3449" t="inlineStr">
        <is>
          <t>안심거래존건</t>
        </is>
      </c>
      <c r="AB3449" t="inlineStr">
        <is>
          <t>믿고</t>
        </is>
      </c>
      <c r="AC3449" t="n">
        <v>308000</v>
      </c>
      <c r="AD3449" t="n">
        <v>39200</v>
      </c>
      <c r="AE3449" t="n">
        <v>268800</v>
      </c>
      <c r="AF3449" t="n">
        <v>280000</v>
      </c>
      <c r="AG3449" t="n">
        <v>37906.4</v>
      </c>
      <c r="AH3449" t="n">
        <v>242093.6</v>
      </c>
      <c r="AI3449" t="n">
        <v>0</v>
      </c>
    </row>
    <row r="3450">
      <c r="A3450" t="inlineStr">
        <is>
          <t>3월</t>
        </is>
      </c>
      <c r="B3450" t="inlineStr">
        <is>
          <t>11주차</t>
        </is>
      </c>
      <c r="C3450" t="inlineStr">
        <is>
          <t>OR</t>
        </is>
      </c>
      <c r="D3450" s="28" t="n">
        <v>46091</v>
      </c>
      <c r="E3450" t="inlineStr">
        <is>
          <t>오릭스</t>
        </is>
      </c>
      <c r="F3450" t="inlineStr">
        <is>
          <t>선지환</t>
        </is>
      </c>
      <c r="G3450" t="inlineStr">
        <is>
          <t>010-5100-0859</t>
        </is>
      </c>
      <c r="H3450" t="inlineStr">
        <is>
          <t>399고5569</t>
        </is>
      </c>
      <c r="I3450" t="n">
        <v>21000000</v>
      </c>
      <c r="J3450" t="n">
        <v>0.064</v>
      </c>
      <c r="K3450" t="n">
        <v>1.65</v>
      </c>
      <c r="L3450" t="n">
        <v>0.5</v>
      </c>
      <c r="M3450" t="n">
        <v>1.15</v>
      </c>
      <c r="P3450" t="inlineStr">
        <is>
          <t>정하은</t>
        </is>
      </c>
      <c r="AB3450" t="inlineStr">
        <is>
          <t>엔카</t>
        </is>
      </c>
      <c r="AC3450" t="n">
        <v>346500</v>
      </c>
      <c r="AD3450" t="n">
        <v>105000</v>
      </c>
      <c r="AE3450" t="n">
        <v>241500</v>
      </c>
      <c r="AF3450" t="n">
        <v>315000</v>
      </c>
      <c r="AG3450" t="n">
        <v>101535</v>
      </c>
      <c r="AH3450" t="n">
        <v>213465</v>
      </c>
      <c r="AI3450" t="n">
        <v>0</v>
      </c>
    </row>
    <row r="3451">
      <c r="A3451" t="inlineStr">
        <is>
          <t>3월</t>
        </is>
      </c>
      <c r="B3451" t="inlineStr">
        <is>
          <t>11주차</t>
        </is>
      </c>
      <c r="C3451" t="inlineStr">
        <is>
          <t>EP</t>
        </is>
      </c>
      <c r="D3451" s="28" t="n">
        <v>46092</v>
      </c>
      <c r="E3451" t="inlineStr">
        <is>
          <t>제이비EP</t>
        </is>
      </c>
      <c r="F3451" t="inlineStr">
        <is>
          <t>박예승</t>
        </is>
      </c>
      <c r="G3451" t="inlineStr">
        <is>
          <t>010-9284-7516</t>
        </is>
      </c>
      <c r="H3451" t="inlineStr">
        <is>
          <t>386버9357</t>
        </is>
      </c>
      <c r="I3451" t="n">
        <v>25800000</v>
      </c>
      <c r="J3451" t="n">
        <v>0.11</v>
      </c>
      <c r="K3451" t="n">
        <v>1.65</v>
      </c>
      <c r="L3451" t="n">
        <v>0.14</v>
      </c>
      <c r="M3451" t="n">
        <v>1.51</v>
      </c>
      <c r="P3451" t="inlineStr">
        <is>
          <t>박보람</t>
        </is>
      </c>
      <c r="Q3451" t="inlineStr">
        <is>
          <t>선상담 / 홈서비스 60개월 / 공동명의 / 현금 접수 진행 건</t>
        </is>
      </c>
      <c r="AB3451" t="inlineStr">
        <is>
          <t>홈서비스</t>
        </is>
      </c>
      <c r="AC3451" t="n">
        <v>425700</v>
      </c>
      <c r="AD3451" t="n">
        <v>36120</v>
      </c>
      <c r="AE3451" t="n">
        <v>389580</v>
      </c>
      <c r="AF3451" t="n">
        <v>387000</v>
      </c>
      <c r="AG3451" t="n">
        <v>34928.04</v>
      </c>
      <c r="AH3451" t="n">
        <v>352071.96</v>
      </c>
      <c r="AI3451" t="n">
        <v>0</v>
      </c>
    </row>
    <row r="3452">
      <c r="A3452" t="inlineStr">
        <is>
          <t>3월</t>
        </is>
      </c>
      <c r="B3452" t="inlineStr">
        <is>
          <t>11주차</t>
        </is>
      </c>
      <c r="C3452" t="inlineStr">
        <is>
          <t>EP</t>
        </is>
      </c>
      <c r="D3452" s="28" t="n">
        <v>46093</v>
      </c>
      <c r="E3452" t="inlineStr">
        <is>
          <t>현대EP</t>
        </is>
      </c>
      <c r="F3452" t="inlineStr">
        <is>
          <t>신민철</t>
        </is>
      </c>
      <c r="G3452" t="inlineStr">
        <is>
          <t>010-2650-7654</t>
        </is>
      </c>
      <c r="H3452" t="inlineStr">
        <is>
          <t>112어4917</t>
        </is>
      </c>
      <c r="I3452" t="n">
        <v>13400000</v>
      </c>
      <c r="J3452" t="n">
        <v>0.11</v>
      </c>
      <c r="K3452" t="n">
        <v>1.76</v>
      </c>
      <c r="L3452" t="n">
        <v>0.14</v>
      </c>
      <c r="M3452" t="n">
        <v>1.62</v>
      </c>
      <c r="P3452" t="inlineStr">
        <is>
          <t>김수연</t>
        </is>
      </c>
      <c r="Q3452" t="inlineStr">
        <is>
          <t>홈서비스 36개월</t>
        </is>
      </c>
      <c r="AB3452" t="inlineStr">
        <is>
          <t>홈서비스</t>
        </is>
      </c>
      <c r="AC3452" t="n">
        <v>235840</v>
      </c>
      <c r="AD3452" t="n">
        <v>18760</v>
      </c>
      <c r="AE3452" t="n">
        <v>217080</v>
      </c>
      <c r="AF3452" t="n">
        <v>214400</v>
      </c>
      <c r="AG3452" t="n">
        <v>18140.92</v>
      </c>
      <c r="AH3452" t="n">
        <v>196259.08</v>
      </c>
      <c r="AI3452" t="n">
        <v>0</v>
      </c>
    </row>
    <row r="3453">
      <c r="A3453" t="inlineStr">
        <is>
          <t>3월</t>
        </is>
      </c>
      <c r="B3453" t="inlineStr">
        <is>
          <t>11주차</t>
        </is>
      </c>
      <c r="C3453" t="inlineStr">
        <is>
          <t>OR</t>
        </is>
      </c>
      <c r="D3453" s="28" t="n">
        <v>46092</v>
      </c>
      <c r="E3453" t="inlineStr">
        <is>
          <t>오릭스</t>
        </is>
      </c>
      <c r="F3453" t="inlineStr">
        <is>
          <t>김준석</t>
        </is>
      </c>
      <c r="G3453" t="inlineStr">
        <is>
          <t>010-3400-1257</t>
        </is>
      </c>
      <c r="H3453" t="inlineStr">
        <is>
          <t>15저8914</t>
        </is>
      </c>
      <c r="I3453" t="n">
        <v>46300000</v>
      </c>
      <c r="J3453" t="n">
        <v>0.055</v>
      </c>
      <c r="K3453" t="n">
        <v>1.65</v>
      </c>
      <c r="L3453" t="n">
        <v>0.5</v>
      </c>
      <c r="M3453" t="n">
        <v>1.15</v>
      </c>
      <c r="P3453" t="inlineStr">
        <is>
          <t>정하은</t>
        </is>
      </c>
      <c r="AB3453" t="inlineStr">
        <is>
          <t>엔카</t>
        </is>
      </c>
      <c r="AC3453" t="n">
        <v>763950</v>
      </c>
      <c r="AD3453" t="n">
        <v>231500</v>
      </c>
      <c r="AE3453" t="n">
        <v>532450</v>
      </c>
      <c r="AF3453" t="n">
        <v>694500</v>
      </c>
      <c r="AG3453" t="n">
        <v>223860.5</v>
      </c>
      <c r="AH3453" t="n">
        <v>470639.5</v>
      </c>
    </row>
    <row r="3454">
      <c r="A3454" t="inlineStr">
        <is>
          <t>3월</t>
        </is>
      </c>
      <c r="B3454" t="inlineStr">
        <is>
          <t>12주차</t>
        </is>
      </c>
      <c r="C3454" t="inlineStr">
        <is>
          <t>EP</t>
        </is>
      </c>
      <c r="D3454" s="28" t="n">
        <v>46097</v>
      </c>
      <c r="E3454" t="inlineStr">
        <is>
          <t>현대EP</t>
        </is>
      </c>
      <c r="F3454" t="inlineStr">
        <is>
          <t>이호빈</t>
        </is>
      </c>
      <c r="G3454" t="inlineStr">
        <is>
          <t>010-5153-3841</t>
        </is>
      </c>
      <c r="H3454" t="inlineStr">
        <is>
          <t>210나8767</t>
        </is>
      </c>
      <c r="I3454" t="n">
        <v>3000000</v>
      </c>
      <c r="J3454" t="n">
        <v>0.062</v>
      </c>
      <c r="K3454" t="n">
        <v>1.76</v>
      </c>
      <c r="L3454" t="n">
        <v>0.14</v>
      </c>
      <c r="M3454" t="n">
        <v>1.62</v>
      </c>
      <c r="P3454" t="inlineStr">
        <is>
          <t>정광호</t>
        </is>
      </c>
      <c r="Q3454" t="inlineStr">
        <is>
          <t>홈서비스 24개월</t>
        </is>
      </c>
      <c r="AB3454" t="inlineStr">
        <is>
          <t>홈서비스</t>
        </is>
      </c>
      <c r="AC3454" t="n">
        <v>52800</v>
      </c>
      <c r="AD3454" t="n">
        <v>4200</v>
      </c>
      <c r="AE3454" t="n">
        <v>48600</v>
      </c>
      <c r="AF3454" t="n">
        <v>48000</v>
      </c>
      <c r="AG3454" t="n">
        <v>4061.4</v>
      </c>
      <c r="AH3454" t="n">
        <v>43938.6</v>
      </c>
    </row>
    <row r="3455">
      <c r="A3455" t="inlineStr">
        <is>
          <t>3월</t>
        </is>
      </c>
      <c r="B3455" t="inlineStr">
        <is>
          <t>12주차</t>
        </is>
      </c>
      <c r="C3455" t="inlineStr">
        <is>
          <t>IM</t>
        </is>
      </c>
      <c r="D3455" s="28" t="n">
        <v>46097</v>
      </c>
      <c r="E3455" t="inlineStr">
        <is>
          <t>IM캐피탈</t>
        </is>
      </c>
      <c r="F3455" t="inlineStr">
        <is>
          <t>우희진</t>
        </is>
      </c>
      <c r="G3455" t="inlineStr">
        <is>
          <t>010-7702-9906</t>
        </is>
      </c>
      <c r="H3455" t="inlineStr">
        <is>
          <t>04무6407</t>
        </is>
      </c>
      <c r="I3455" t="n">
        <v>5900000</v>
      </c>
      <c r="J3455" t="n">
        <v>0.056</v>
      </c>
      <c r="K3455" t="n">
        <v>1.1</v>
      </c>
      <c r="L3455" t="n">
        <v>0.14</v>
      </c>
      <c r="M3455" t="n">
        <v>0.96</v>
      </c>
      <c r="P3455" t="inlineStr">
        <is>
          <t>최형주</t>
        </is>
      </c>
      <c r="Q3455" t="inlineStr">
        <is>
          <t>홈서비스 24개월</t>
        </is>
      </c>
      <c r="AB3455" t="inlineStr">
        <is>
          <t>홈서비스</t>
        </is>
      </c>
      <c r="AC3455" t="n">
        <v>64900</v>
      </c>
      <c r="AD3455" t="n">
        <v>8260</v>
      </c>
      <c r="AE3455" t="n">
        <v>56640</v>
      </c>
      <c r="AF3455" t="n">
        <v>59000</v>
      </c>
      <c r="AG3455" t="n">
        <v>7987.42</v>
      </c>
      <c r="AH3455" t="n">
        <v>51012.58</v>
      </c>
      <c r="AI3455" t="n">
        <v>0</v>
      </c>
    </row>
    <row r="3456">
      <c r="A3456" t="inlineStr">
        <is>
          <t>3월</t>
        </is>
      </c>
      <c r="B3456" t="inlineStr">
        <is>
          <t>12주차</t>
        </is>
      </c>
      <c r="C3456" t="inlineStr">
        <is>
          <t>EP</t>
        </is>
      </c>
      <c r="D3456" s="28" t="n">
        <v>46098</v>
      </c>
      <c r="E3456" t="inlineStr">
        <is>
          <t>현대EP_fast</t>
        </is>
      </c>
      <c r="F3456" t="inlineStr">
        <is>
          <t>남유진</t>
        </is>
      </c>
      <c r="G3456" t="inlineStr">
        <is>
          <t>010-9078-9846</t>
        </is>
      </c>
      <c r="H3456" t="inlineStr">
        <is>
          <t>47저2265</t>
        </is>
      </c>
      <c r="I3456" t="n">
        <v>3900000</v>
      </c>
      <c r="J3456" t="n">
        <v>0.118</v>
      </c>
      <c r="K3456" t="n">
        <v>1.76</v>
      </c>
      <c r="L3456" t="n">
        <v>0.14</v>
      </c>
      <c r="M3456" t="n">
        <v>1.62</v>
      </c>
      <c r="P3456" t="inlineStr">
        <is>
          <t>최혁</t>
        </is>
      </c>
      <c r="Q3456" t="inlineStr">
        <is>
          <t>홈서비스 36개월</t>
        </is>
      </c>
      <c r="AB3456" t="inlineStr">
        <is>
          <t>홈서비스</t>
        </is>
      </c>
      <c r="AC3456" t="n">
        <v>68640</v>
      </c>
      <c r="AD3456" t="n">
        <v>5460</v>
      </c>
      <c r="AE3456" t="n">
        <v>63180</v>
      </c>
      <c r="AF3456" t="n">
        <v>62400</v>
      </c>
      <c r="AG3456" t="n">
        <v>5279.82</v>
      </c>
      <c r="AH3456" t="n">
        <v>57120.18</v>
      </c>
    </row>
    <row r="3457">
      <c r="A3457" t="inlineStr">
        <is>
          <t>3월</t>
        </is>
      </c>
      <c r="B3457" t="inlineStr">
        <is>
          <t>12주차</t>
        </is>
      </c>
      <c r="C3457" t="inlineStr">
        <is>
          <t>OR</t>
        </is>
      </c>
      <c r="D3457" s="28" t="n">
        <v>46100</v>
      </c>
      <c r="E3457" t="inlineStr">
        <is>
          <t>오릭스</t>
        </is>
      </c>
      <c r="F3457" t="inlineStr">
        <is>
          <t>정혜성</t>
        </is>
      </c>
      <c r="G3457" t="inlineStr">
        <is>
          <t>010-5091-4031</t>
        </is>
      </c>
      <c r="H3457" t="inlineStr">
        <is>
          <t>10무1243</t>
        </is>
      </c>
      <c r="I3457" t="n">
        <v>15200000</v>
      </c>
      <c r="J3457" t="n">
        <v>0.064</v>
      </c>
      <c r="K3457" t="n">
        <v>1.65</v>
      </c>
      <c r="L3457" t="n">
        <v>0.14</v>
      </c>
      <c r="M3457" t="n">
        <v>1.51</v>
      </c>
      <c r="P3457" t="inlineStr">
        <is>
          <t>장현경</t>
        </is>
      </c>
      <c r="Q3457" t="inlineStr">
        <is>
          <t>선상담 / 홈서비스 60개월</t>
        </is>
      </c>
      <c r="AB3457" t="inlineStr">
        <is>
          <t>홈서비스</t>
        </is>
      </c>
      <c r="AC3457" t="n">
        <v>250800</v>
      </c>
      <c r="AD3457" t="n">
        <v>21280</v>
      </c>
      <c r="AE3457" t="n">
        <v>229520</v>
      </c>
      <c r="AF3457" t="n">
        <v>228000</v>
      </c>
      <c r="AG3457" t="n">
        <v>20577.76</v>
      </c>
      <c r="AH3457" t="n">
        <v>207422.24</v>
      </c>
      <c r="AI3457" t="n">
        <v>0</v>
      </c>
    </row>
    <row r="3458">
      <c r="A3458" t="inlineStr">
        <is>
          <t>3월</t>
        </is>
      </c>
      <c r="B3458" t="inlineStr">
        <is>
          <t>13주차</t>
        </is>
      </c>
      <c r="C3458" t="inlineStr">
        <is>
          <t>EP</t>
        </is>
      </c>
      <c r="D3458" s="28" t="n">
        <v>46104</v>
      </c>
      <c r="E3458" t="inlineStr">
        <is>
          <t>현대EP_fast</t>
        </is>
      </c>
      <c r="F3458" t="inlineStr">
        <is>
          <t>권유진</t>
        </is>
      </c>
      <c r="G3458" t="inlineStr">
        <is>
          <t>010-7924-4928</t>
        </is>
      </c>
      <c r="H3458" t="inlineStr">
        <is>
          <t>22가7842</t>
        </is>
      </c>
      <c r="I3458" t="n">
        <v>5500000</v>
      </c>
      <c r="J3458" t="n">
        <v>0.118</v>
      </c>
      <c r="K3458" t="n">
        <v>1.76</v>
      </c>
      <c r="L3458" t="n">
        <v>0.14</v>
      </c>
      <c r="M3458" t="n">
        <v>1.62</v>
      </c>
      <c r="P3458" t="inlineStr">
        <is>
          <t>장현경</t>
        </is>
      </c>
      <c r="Q3458" t="inlineStr">
        <is>
          <t>선상담 /홈서비스 60개월</t>
        </is>
      </c>
      <c r="AB3458" t="inlineStr">
        <is>
          <t>홈서비스</t>
        </is>
      </c>
      <c r="AC3458" t="n">
        <v>96800</v>
      </c>
      <c r="AD3458" t="n">
        <v>7700</v>
      </c>
      <c r="AE3458" t="n">
        <v>89100</v>
      </c>
      <c r="AF3458" t="n">
        <v>88000</v>
      </c>
      <c r="AG3458" t="n">
        <v>7445.9</v>
      </c>
      <c r="AH3458" t="n">
        <v>80554.10000000001</v>
      </c>
      <c r="AI3458" t="n">
        <v>0</v>
      </c>
    </row>
    <row r="3459">
      <c r="A3459" t="inlineStr">
        <is>
          <t>3월</t>
        </is>
      </c>
      <c r="B3459" t="inlineStr">
        <is>
          <t>13주차</t>
        </is>
      </c>
      <c r="C3459" t="inlineStr">
        <is>
          <t>EP</t>
        </is>
      </c>
      <c r="D3459" s="28" t="n">
        <v>46104</v>
      </c>
      <c r="E3459" t="inlineStr">
        <is>
          <t>BNKEP</t>
        </is>
      </c>
      <c r="F3459" t="inlineStr">
        <is>
          <t>김종철</t>
        </is>
      </c>
      <c r="G3459" t="inlineStr">
        <is>
          <t>010-9451-8152</t>
        </is>
      </c>
      <c r="H3459" t="inlineStr">
        <is>
          <t>165어8813</t>
        </is>
      </c>
      <c r="I3459" t="n">
        <v>24000000</v>
      </c>
      <c r="J3459" t="n">
        <v>0.094</v>
      </c>
      <c r="K3459" t="n">
        <v>1.65</v>
      </c>
      <c r="L3459" t="n">
        <v>0.14</v>
      </c>
      <c r="M3459" t="n">
        <v>1.51</v>
      </c>
      <c r="P3459" t="inlineStr">
        <is>
          <t>김수연</t>
        </is>
      </c>
      <c r="Q3459" t="inlineStr">
        <is>
          <t>홈서비스 60개월</t>
        </is>
      </c>
      <c r="AB3459" t="inlineStr">
        <is>
          <t>홈서비스</t>
        </is>
      </c>
      <c r="AC3459" t="n">
        <v>396000</v>
      </c>
      <c r="AD3459" t="n">
        <v>33600</v>
      </c>
      <c r="AE3459" t="n">
        <v>362400</v>
      </c>
      <c r="AF3459" t="n">
        <v>360000</v>
      </c>
      <c r="AG3459" t="n">
        <v>32491.2</v>
      </c>
      <c r="AH3459" t="n">
        <v>327508.8</v>
      </c>
      <c r="AI3459" t="n">
        <v>0</v>
      </c>
    </row>
    <row r="3460">
      <c r="A3460" t="inlineStr">
        <is>
          <t>3월</t>
        </is>
      </c>
      <c r="B3460" t="inlineStr">
        <is>
          <t>12주차</t>
        </is>
      </c>
      <c r="C3460" t="inlineStr">
        <is>
          <t>IM</t>
        </is>
      </c>
      <c r="D3460" s="28" t="n">
        <v>46101</v>
      </c>
      <c r="E3460" t="inlineStr">
        <is>
          <t>IM캐피탈</t>
        </is>
      </c>
      <c r="F3460" t="inlineStr">
        <is>
          <t>황경석</t>
        </is>
      </c>
      <c r="G3460" t="inlineStr">
        <is>
          <t>010-6779-5709</t>
        </is>
      </c>
      <c r="H3460" t="inlineStr">
        <is>
          <t>84로0700</t>
        </is>
      </c>
      <c r="I3460" t="n">
        <v>13000000</v>
      </c>
      <c r="J3460" t="n">
        <v>0.119</v>
      </c>
      <c r="K3460" t="n">
        <v>1.1</v>
      </c>
      <c r="L3460" t="n">
        <v>0.4</v>
      </c>
      <c r="M3460" t="n">
        <v>0.7</v>
      </c>
      <c r="P3460" t="inlineStr">
        <is>
          <t>임대경</t>
        </is>
      </c>
      <c r="Q3460" t="inlineStr">
        <is>
          <t>오토론 진행/이전완료</t>
        </is>
      </c>
      <c r="AB3460" t="inlineStr">
        <is>
          <t>엔카</t>
        </is>
      </c>
      <c r="AC3460" t="n">
        <v>143000</v>
      </c>
      <c r="AD3460" t="n">
        <v>52000</v>
      </c>
      <c r="AE3460" t="n">
        <v>91000</v>
      </c>
      <c r="AF3460" t="n">
        <v>130000</v>
      </c>
      <c r="AG3460" t="n">
        <v>50284</v>
      </c>
      <c r="AH3460" t="n">
        <v>79716</v>
      </c>
      <c r="AI3460" t="n">
        <v>0</v>
      </c>
    </row>
    <row r="3461">
      <c r="A3461" t="inlineStr">
        <is>
          <t>3월</t>
        </is>
      </c>
      <c r="B3461" t="inlineStr">
        <is>
          <t>13주차</t>
        </is>
      </c>
      <c r="C3461" t="inlineStr">
        <is>
          <t>IM</t>
        </is>
      </c>
      <c r="D3461" s="28" t="n">
        <v>46106</v>
      </c>
      <c r="E3461" t="inlineStr">
        <is>
          <t>IM캐피탈</t>
        </is>
      </c>
      <c r="F3461" t="inlineStr">
        <is>
          <t>원용해</t>
        </is>
      </c>
      <c r="G3461" t="inlineStr">
        <is>
          <t>010-9137-1596</t>
        </is>
      </c>
      <c r="H3461" t="inlineStr">
        <is>
          <t>221어2856</t>
        </is>
      </c>
      <c r="I3461" t="n">
        <v>39200000</v>
      </c>
      <c r="J3461" t="n">
        <v>0.049</v>
      </c>
      <c r="K3461" t="n">
        <v>1.1</v>
      </c>
      <c r="L3461" t="n">
        <v>0.14</v>
      </c>
      <c r="M3461" t="n">
        <v>0.96</v>
      </c>
      <c r="P3461" t="inlineStr">
        <is>
          <t>정광호</t>
        </is>
      </c>
      <c r="Q3461" t="inlineStr">
        <is>
          <t>홉서비스 36개월</t>
        </is>
      </c>
      <c r="AB3461" t="inlineStr">
        <is>
          <t>홈서비스</t>
        </is>
      </c>
      <c r="AC3461" t="n">
        <v>431200</v>
      </c>
      <c r="AD3461" t="n">
        <v>54880</v>
      </c>
      <c r="AE3461" t="n">
        <v>376320</v>
      </c>
      <c r="AF3461" t="n">
        <v>392000</v>
      </c>
      <c r="AG3461" t="n">
        <v>53068.96</v>
      </c>
      <c r="AH3461" t="n">
        <v>338931.04</v>
      </c>
      <c r="AI3461" t="n">
        <v>0</v>
      </c>
    </row>
    <row r="3462">
      <c r="A3462" t="inlineStr">
        <is>
          <t>3월</t>
        </is>
      </c>
      <c r="B3462" t="inlineStr">
        <is>
          <t>13주차</t>
        </is>
      </c>
      <c r="C3462" t="inlineStr">
        <is>
          <t>EP</t>
        </is>
      </c>
      <c r="D3462" s="28" t="n">
        <v>46107</v>
      </c>
      <c r="E3462" t="inlineStr">
        <is>
          <t>BNKEP</t>
        </is>
      </c>
      <c r="F3462" t="inlineStr">
        <is>
          <t>이동오</t>
        </is>
      </c>
      <c r="G3462" t="inlineStr">
        <is>
          <t>010-4779-0537</t>
        </is>
      </c>
      <c r="H3462" t="inlineStr">
        <is>
          <t>809너1392</t>
        </is>
      </c>
      <c r="I3462" t="n">
        <v>20000000</v>
      </c>
      <c r="J3462" t="n">
        <v>0.117</v>
      </c>
      <c r="K3462" t="n">
        <v>1.65</v>
      </c>
      <c r="L3462" t="n">
        <v>0.4</v>
      </c>
      <c r="M3462" t="n">
        <v>1.25</v>
      </c>
      <c r="P3462" t="inlineStr">
        <is>
          <t>장현경</t>
        </is>
      </c>
      <c r="AB3462" t="inlineStr">
        <is>
          <t>엔카</t>
        </is>
      </c>
      <c r="AC3462" t="n">
        <v>330000</v>
      </c>
      <c r="AD3462" t="n">
        <v>80000</v>
      </c>
      <c r="AE3462" t="n">
        <v>250000</v>
      </c>
      <c r="AF3462" t="n">
        <v>300000</v>
      </c>
      <c r="AG3462" t="n">
        <v>77360</v>
      </c>
      <c r="AH3462" t="n">
        <v>222640</v>
      </c>
    </row>
    <row r="3463">
      <c r="A3463" t="inlineStr">
        <is>
          <t>3월</t>
        </is>
      </c>
      <c r="B3463" t="inlineStr">
        <is>
          <t>13주차</t>
        </is>
      </c>
      <c r="C3463" t="inlineStr">
        <is>
          <t>OR</t>
        </is>
      </c>
      <c r="D3463" s="28" t="n">
        <v>46107</v>
      </c>
      <c r="E3463" t="inlineStr">
        <is>
          <t>오릭스</t>
        </is>
      </c>
      <c r="F3463" t="inlineStr">
        <is>
          <t>김용진</t>
        </is>
      </c>
      <c r="G3463" t="inlineStr">
        <is>
          <t>010-5378-3258</t>
        </is>
      </c>
      <c r="H3463" t="inlineStr">
        <is>
          <t>60러8382</t>
        </is>
      </c>
      <c r="I3463" t="n">
        <v>3900000</v>
      </c>
      <c r="J3463" t="n">
        <v>0.075</v>
      </c>
      <c r="K3463" t="n">
        <v>1.65</v>
      </c>
      <c r="L3463" t="n">
        <v>0.4</v>
      </c>
      <c r="M3463" t="n">
        <v>1.25</v>
      </c>
      <c r="P3463" t="inlineStr">
        <is>
          <t>최형주</t>
        </is>
      </c>
      <c r="Q3463" t="inlineStr">
        <is>
          <t>오토론 진행</t>
        </is>
      </c>
      <c r="AB3463" t="inlineStr">
        <is>
          <t>엔카</t>
        </is>
      </c>
      <c r="AC3463" t="n">
        <v>64350</v>
      </c>
      <c r="AD3463" t="n">
        <v>15600</v>
      </c>
      <c r="AE3463" t="n">
        <v>48750</v>
      </c>
      <c r="AF3463" t="n">
        <v>58500</v>
      </c>
      <c r="AG3463" t="n">
        <v>15085.2</v>
      </c>
      <c r="AH3463" t="n">
        <v>43414.8</v>
      </c>
      <c r="AI3463" t="n">
        <v>0</v>
      </c>
    </row>
    <row r="3464">
      <c r="A3464" t="inlineStr">
        <is>
          <t>3월</t>
        </is>
      </c>
      <c r="B3464" t="inlineStr">
        <is>
          <t>13주차</t>
        </is>
      </c>
      <c r="C3464" t="inlineStr">
        <is>
          <t>IM</t>
        </is>
      </c>
      <c r="D3464" s="28" t="n">
        <v>46108</v>
      </c>
      <c r="E3464" t="inlineStr">
        <is>
          <t>IM캐피탈</t>
        </is>
      </c>
      <c r="F3464" t="inlineStr">
        <is>
          <t>고상현</t>
        </is>
      </c>
      <c r="G3464" t="inlineStr">
        <is>
          <t>010-5418-5451</t>
        </is>
      </c>
      <c r="H3464" t="inlineStr">
        <is>
          <t>13너0470</t>
        </is>
      </c>
      <c r="I3464" t="n">
        <v>10500000</v>
      </c>
      <c r="J3464" t="n">
        <v>0.049</v>
      </c>
      <c r="K3464" t="n">
        <v>1.1</v>
      </c>
      <c r="L3464" t="n">
        <v>0.14</v>
      </c>
      <c r="M3464" t="n">
        <v>0.96</v>
      </c>
      <c r="P3464" t="inlineStr">
        <is>
          <t>김나윤</t>
        </is>
      </c>
      <c r="Q3464" t="inlineStr">
        <is>
          <t>홈서비스 48개월</t>
        </is>
      </c>
      <c r="AB3464" t="inlineStr">
        <is>
          <t>홈서비스</t>
        </is>
      </c>
      <c r="AC3464" t="n">
        <v>115500</v>
      </c>
      <c r="AD3464" t="n">
        <v>14700</v>
      </c>
      <c r="AE3464" t="n">
        <v>100800</v>
      </c>
      <c r="AF3464" t="n">
        <v>105000</v>
      </c>
      <c r="AG3464" t="n">
        <v>14214.9</v>
      </c>
      <c r="AH3464" t="n">
        <v>90785.10000000001</v>
      </c>
      <c r="AI3464" t="n">
        <v>0</v>
      </c>
    </row>
    <row r="3465">
      <c r="A3465" t="inlineStr">
        <is>
          <t>3월</t>
        </is>
      </c>
      <c r="B3465" t="inlineStr">
        <is>
          <t>14주차</t>
        </is>
      </c>
      <c r="C3465" t="inlineStr">
        <is>
          <t>EP</t>
        </is>
      </c>
      <c r="D3465" s="28" t="n">
        <v>46111</v>
      </c>
      <c r="E3465" t="inlineStr">
        <is>
          <t>현대EP</t>
        </is>
      </c>
      <c r="F3465" t="inlineStr">
        <is>
          <t>유한나</t>
        </is>
      </c>
      <c r="G3465" t="inlineStr">
        <is>
          <t>010-8633-4937</t>
        </is>
      </c>
      <c r="H3465" t="inlineStr">
        <is>
          <t>28나3836</t>
        </is>
      </c>
      <c r="I3465" t="n">
        <v>16900000</v>
      </c>
      <c r="J3465" t="n">
        <v>0.102</v>
      </c>
      <c r="K3465" t="n">
        <v>1.76</v>
      </c>
      <c r="L3465" t="n">
        <v>0.14</v>
      </c>
      <c r="M3465" t="n">
        <v>1.62</v>
      </c>
      <c r="P3465" t="inlineStr">
        <is>
          <t>김나윤</t>
        </is>
      </c>
      <c r="Q3465" t="inlineStr">
        <is>
          <t>홈서비스 60개월</t>
        </is>
      </c>
      <c r="AB3465" t="inlineStr">
        <is>
          <t>홈서비스</t>
        </is>
      </c>
      <c r="AC3465" t="n">
        <v>297440</v>
      </c>
      <c r="AD3465" t="n">
        <v>23660</v>
      </c>
      <c r="AE3465" t="n">
        <v>273780</v>
      </c>
      <c r="AF3465" t="n">
        <v>270400</v>
      </c>
      <c r="AG3465" t="n">
        <v>22879.22</v>
      </c>
      <c r="AH3465" t="n">
        <v>247520.78</v>
      </c>
      <c r="AI3465" t="n">
        <v>0</v>
      </c>
    </row>
    <row r="3466">
      <c r="A3466" t="inlineStr">
        <is>
          <t>3월</t>
        </is>
      </c>
      <c r="B3466" t="inlineStr">
        <is>
          <t>14주차</t>
        </is>
      </c>
      <c r="C3466" t="inlineStr">
        <is>
          <t>IM</t>
        </is>
      </c>
      <c r="D3466" s="28" t="n">
        <v>46111</v>
      </c>
      <c r="E3466" t="inlineStr">
        <is>
          <t>IM캐피탈</t>
        </is>
      </c>
      <c r="F3466" t="inlineStr">
        <is>
          <t>김은정</t>
        </is>
      </c>
      <c r="G3466" t="inlineStr">
        <is>
          <t>010-5192-0752</t>
        </is>
      </c>
      <c r="H3466" t="inlineStr">
        <is>
          <t>59보6509</t>
        </is>
      </c>
      <c r="I3466" t="n">
        <v>20000000</v>
      </c>
      <c r="J3466" t="n">
        <v>0.039</v>
      </c>
      <c r="K3466" t="n">
        <v>1.1</v>
      </c>
      <c r="L3466" t="n">
        <v>0.14</v>
      </c>
      <c r="M3466" t="n">
        <v>0.96</v>
      </c>
      <c r="P3466" t="inlineStr">
        <is>
          <t>정세빈</t>
        </is>
      </c>
      <c r="Q3466" t="inlineStr">
        <is>
          <t>홈서비스 48개월</t>
        </is>
      </c>
      <c r="AB3466" t="inlineStr">
        <is>
          <t>홈서비스</t>
        </is>
      </c>
      <c r="AC3466" t="n">
        <v>220000</v>
      </c>
      <c r="AD3466" t="n">
        <v>28000</v>
      </c>
      <c r="AE3466" t="n">
        <v>192000</v>
      </c>
      <c r="AF3466" t="n">
        <v>200000</v>
      </c>
      <c r="AG3466" t="n">
        <v>27076</v>
      </c>
      <c r="AH3466" t="n">
        <v>172924</v>
      </c>
      <c r="AI3466" t="n">
        <v>0</v>
      </c>
    </row>
    <row r="3467">
      <c r="A3467" t="inlineStr">
        <is>
          <t>3월</t>
        </is>
      </c>
      <c r="B3467" t="inlineStr">
        <is>
          <t>14주차</t>
        </is>
      </c>
      <c r="C3467" t="inlineStr">
        <is>
          <t>EP</t>
        </is>
      </c>
      <c r="D3467" s="28" t="n">
        <v>46111</v>
      </c>
      <c r="E3467" t="inlineStr">
        <is>
          <t>현대EP_fast</t>
        </is>
      </c>
      <c r="F3467" t="inlineStr">
        <is>
          <t>김주현</t>
        </is>
      </c>
      <c r="G3467" t="inlineStr">
        <is>
          <t>010-9358-8858</t>
        </is>
      </c>
      <c r="H3467" t="inlineStr">
        <is>
          <t>375주8076</t>
        </is>
      </c>
      <c r="I3467" t="n">
        <v>5000000</v>
      </c>
      <c r="J3467" t="n">
        <v>0.118</v>
      </c>
      <c r="K3467" t="n">
        <v>1.76</v>
      </c>
      <c r="L3467" t="n">
        <v>0.14</v>
      </c>
      <c r="M3467" t="n">
        <v>1.62</v>
      </c>
      <c r="P3467" t="inlineStr">
        <is>
          <t>김수연</t>
        </is>
      </c>
      <c r="Q3467" t="inlineStr">
        <is>
          <t>홈서비스 24개월</t>
        </is>
      </c>
      <c r="AB3467" t="inlineStr">
        <is>
          <t>홈서비스</t>
        </is>
      </c>
      <c r="AC3467" t="n">
        <v>88000</v>
      </c>
      <c r="AD3467" t="n">
        <v>7000</v>
      </c>
      <c r="AE3467" t="n">
        <v>81000</v>
      </c>
      <c r="AF3467" t="n">
        <v>80000</v>
      </c>
      <c r="AG3467" t="n">
        <v>6769</v>
      </c>
      <c r="AH3467" t="n">
        <v>73231</v>
      </c>
      <c r="AI3467" t="n">
        <v>0</v>
      </c>
    </row>
    <row r="3468">
      <c r="A3468" t="inlineStr">
        <is>
          <t>3월</t>
        </is>
      </c>
      <c r="B3468" t="inlineStr">
        <is>
          <t>12주차</t>
        </is>
      </c>
      <c r="C3468" t="inlineStr">
        <is>
          <t>IM</t>
        </is>
      </c>
      <c r="D3468" s="28" t="n">
        <v>46098</v>
      </c>
      <c r="E3468" t="inlineStr">
        <is>
          <t>IM캐피탈</t>
        </is>
      </c>
      <c r="F3468" t="inlineStr">
        <is>
          <t>윤혁진</t>
        </is>
      </c>
      <c r="G3468" t="inlineStr">
        <is>
          <t>010-6477-9376</t>
        </is>
      </c>
      <c r="H3468" t="inlineStr">
        <is>
          <t>111버9484</t>
        </is>
      </c>
      <c r="I3468" t="n">
        <v>39500000</v>
      </c>
      <c r="J3468" t="n">
        <v>0.056</v>
      </c>
      <c r="K3468" t="n">
        <v>1.1</v>
      </c>
      <c r="L3468" t="n">
        <v>0.14</v>
      </c>
      <c r="M3468" t="n">
        <v>0.96</v>
      </c>
      <c r="P3468" t="inlineStr">
        <is>
          <t>정광호</t>
        </is>
      </c>
      <c r="Q3468" t="inlineStr">
        <is>
          <t>홈서비스 48개월</t>
        </is>
      </c>
      <c r="AB3468" t="inlineStr">
        <is>
          <t>홈서비스</t>
        </is>
      </c>
      <c r="AC3468" t="n">
        <v>434500</v>
      </c>
      <c r="AD3468" t="n">
        <v>55300</v>
      </c>
      <c r="AE3468" t="n">
        <v>379200</v>
      </c>
      <c r="AF3468" t="n">
        <v>395000</v>
      </c>
      <c r="AG3468" t="n">
        <v>53475.1</v>
      </c>
      <c r="AH3468" t="n">
        <v>341524.9</v>
      </c>
    </row>
    <row r="3469">
      <c r="A3469" t="inlineStr">
        <is>
          <t>3월</t>
        </is>
      </c>
      <c r="B3469" t="inlineStr">
        <is>
          <t>12주차</t>
        </is>
      </c>
      <c r="C3469" t="inlineStr">
        <is>
          <t>IM</t>
        </is>
      </c>
      <c r="D3469" s="28" t="n">
        <v>46099</v>
      </c>
      <c r="E3469" t="inlineStr">
        <is>
          <t>IM캐피탈</t>
        </is>
      </c>
      <c r="F3469" t="inlineStr">
        <is>
          <t>김가현</t>
        </is>
      </c>
      <c r="G3469" t="inlineStr">
        <is>
          <t>010-8794-3893</t>
        </is>
      </c>
      <c r="H3469" t="inlineStr">
        <is>
          <t>09보1240</t>
        </is>
      </c>
      <c r="I3469" t="n">
        <v>7500000</v>
      </c>
      <c r="J3469" t="n">
        <v>0.039</v>
      </c>
      <c r="K3469" t="n">
        <v>1.1</v>
      </c>
      <c r="L3469" t="n">
        <v>0.14</v>
      </c>
      <c r="M3469" t="n">
        <v>0.96</v>
      </c>
      <c r="P3469" t="inlineStr">
        <is>
          <t>정광호</t>
        </is>
      </c>
      <c r="Q3469" t="inlineStr">
        <is>
          <t>홈서비스 36개월</t>
        </is>
      </c>
      <c r="AB3469" t="inlineStr">
        <is>
          <t>홈서비스</t>
        </is>
      </c>
      <c r="AC3469" t="n">
        <v>82500</v>
      </c>
      <c r="AD3469" t="n">
        <v>10500</v>
      </c>
      <c r="AE3469" t="n">
        <v>72000</v>
      </c>
      <c r="AF3469" t="n">
        <v>75000</v>
      </c>
      <c r="AG3469" t="n">
        <v>10153.5</v>
      </c>
      <c r="AH3469" t="n">
        <v>64846.5</v>
      </c>
      <c r="AI3469" t="n">
        <v>0</v>
      </c>
    </row>
    <row r="3470">
      <c r="A3470" t="inlineStr">
        <is>
          <t>4월</t>
        </is>
      </c>
      <c r="B3470" t="inlineStr">
        <is>
          <t>17주차</t>
        </is>
      </c>
      <c r="C3470" t="inlineStr">
        <is>
          <t>EP</t>
        </is>
      </c>
      <c r="D3470" s="28" t="n">
        <v>46132</v>
      </c>
      <c r="E3470" t="inlineStr">
        <is>
          <t>현대EP_fast</t>
        </is>
      </c>
      <c r="F3470" t="inlineStr">
        <is>
          <t>정유영</t>
        </is>
      </c>
      <c r="G3470" t="inlineStr">
        <is>
          <t>010-2322-3878</t>
        </is>
      </c>
      <c r="H3470" t="inlineStr">
        <is>
          <t>55버6199</t>
        </is>
      </c>
      <c r="I3470" t="n">
        <v>7500000</v>
      </c>
      <c r="J3470" t="n">
        <v>0.126</v>
      </c>
      <c r="K3470" t="n">
        <v>1.76</v>
      </c>
      <c r="L3470" t="n">
        <v>0.2</v>
      </c>
      <c r="M3470" t="n">
        <v>1.56</v>
      </c>
      <c r="P3470" t="inlineStr">
        <is>
          <t>정세빈</t>
        </is>
      </c>
      <c r="Q3470" t="inlineStr">
        <is>
          <t>홈서비스 24개월</t>
        </is>
      </c>
      <c r="AB3470" t="inlineStr">
        <is>
          <t>홈서비스</t>
        </is>
      </c>
      <c r="AC3470" t="n">
        <v>132000</v>
      </c>
      <c r="AD3470" t="n">
        <v>15000</v>
      </c>
      <c r="AE3470" t="n">
        <v>117000</v>
      </c>
      <c r="AF3470" t="n">
        <v>120000</v>
      </c>
      <c r="AG3470" t="n">
        <v>14505</v>
      </c>
      <c r="AH3470" t="n">
        <v>105495</v>
      </c>
      <c r="AI3470" t="n">
        <v>0</v>
      </c>
    </row>
    <row r="3471">
      <c r="A3471" t="inlineStr">
        <is>
          <t>4월</t>
        </is>
      </c>
      <c r="B3471" t="inlineStr">
        <is>
          <t>17주차</t>
        </is>
      </c>
      <c r="C3471" t="inlineStr">
        <is>
          <t>WC</t>
        </is>
      </c>
      <c r="D3471" s="28" t="n">
        <v>46132</v>
      </c>
      <c r="E3471" t="inlineStr">
        <is>
          <t>웰컴저축은행</t>
        </is>
      </c>
      <c r="F3471" t="inlineStr">
        <is>
          <t>왕인규</t>
        </is>
      </c>
      <c r="G3471" t="inlineStr">
        <is>
          <t>010-3374-3111</t>
        </is>
      </c>
      <c r="H3471" t="inlineStr">
        <is>
          <t>27구0144</t>
        </is>
      </c>
      <c r="I3471" t="n">
        <v>25900000</v>
      </c>
      <c r="J3471" t="n">
        <v>0.129</v>
      </c>
      <c r="K3471" t="n">
        <v>2.2</v>
      </c>
      <c r="L3471" t="n">
        <v>0.07000000000000001</v>
      </c>
      <c r="M3471" t="n">
        <v>2.13</v>
      </c>
      <c r="P3471" t="inlineStr">
        <is>
          <t>김나윤</t>
        </is>
      </c>
      <c r="Q3471" t="inlineStr">
        <is>
          <t>부결 db실행 / 홈서비스 60개월</t>
        </is>
      </c>
      <c r="AB3471" t="inlineStr">
        <is>
          <t>홈서비스</t>
        </is>
      </c>
      <c r="AC3471" t="n">
        <v>569800</v>
      </c>
      <c r="AD3471" t="n">
        <v>18130</v>
      </c>
      <c r="AE3471" t="n">
        <v>551670</v>
      </c>
      <c r="AF3471" t="n">
        <v>518000</v>
      </c>
      <c r="AG3471" t="n">
        <v>17531.71</v>
      </c>
      <c r="AH3471" t="n">
        <v>500468.29</v>
      </c>
      <c r="AI3471" t="n">
        <v>0</v>
      </c>
    </row>
    <row r="3472">
      <c r="A3472" t="inlineStr">
        <is>
          <t>4월</t>
        </is>
      </c>
      <c r="B3472" t="inlineStr">
        <is>
          <t>17주차</t>
        </is>
      </c>
      <c r="C3472" t="inlineStr">
        <is>
          <t>EP</t>
        </is>
      </c>
      <c r="D3472" s="28" t="n">
        <v>46132</v>
      </c>
      <c r="E3472" t="inlineStr">
        <is>
          <t>현대EP_fast</t>
        </is>
      </c>
      <c r="F3472" t="inlineStr">
        <is>
          <t>홍준원</t>
        </is>
      </c>
      <c r="G3472" t="inlineStr">
        <is>
          <t>010-7140-5728</t>
        </is>
      </c>
      <c r="H3472" t="inlineStr">
        <is>
          <t>103우2997</t>
        </is>
      </c>
      <c r="I3472" t="n">
        <v>31800000</v>
      </c>
      <c r="J3472" t="n">
        <v>0.07099999999999999</v>
      </c>
      <c r="K3472" t="n">
        <v>1.76</v>
      </c>
      <c r="L3472" t="n">
        <v>0.2</v>
      </c>
      <c r="M3472" t="n">
        <v>1.56</v>
      </c>
      <c r="P3472" t="inlineStr">
        <is>
          <t>김나윤</t>
        </is>
      </c>
      <c r="Q3472" t="inlineStr">
        <is>
          <t>홈서비스 24개월</t>
        </is>
      </c>
      <c r="AB3472" t="inlineStr">
        <is>
          <t>홈서비스</t>
        </is>
      </c>
      <c r="AC3472" t="n">
        <v>559680</v>
      </c>
      <c r="AD3472" t="n">
        <v>63600</v>
      </c>
      <c r="AE3472" t="n">
        <v>496080</v>
      </c>
      <c r="AF3472" t="n">
        <v>508800</v>
      </c>
      <c r="AG3472" t="n">
        <v>61501.2</v>
      </c>
      <c r="AH3472" t="n">
        <v>447298.8</v>
      </c>
      <c r="AI3472" t="n">
        <v>0</v>
      </c>
    </row>
    <row r="3473">
      <c r="A3473" t="inlineStr">
        <is>
          <t>4월</t>
        </is>
      </c>
      <c r="B3473" t="inlineStr">
        <is>
          <t>17주차</t>
        </is>
      </c>
      <c r="C3473" t="inlineStr">
        <is>
          <t>EP</t>
        </is>
      </c>
      <c r="D3473" s="28" t="n">
        <v>46132</v>
      </c>
      <c r="E3473" t="inlineStr">
        <is>
          <t>현대EP_fast</t>
        </is>
      </c>
      <c r="F3473" t="inlineStr">
        <is>
          <t>윤주찬</t>
        </is>
      </c>
      <c r="G3473" t="inlineStr">
        <is>
          <t>010-4718-6295</t>
        </is>
      </c>
      <c r="H3473" t="inlineStr">
        <is>
          <t>19나8589</t>
        </is>
      </c>
      <c r="I3473" t="n">
        <v>22000000</v>
      </c>
      <c r="J3473" t="n">
        <v>0.077</v>
      </c>
      <c r="K3473" t="n">
        <v>1.76</v>
      </c>
      <c r="L3473" t="n">
        <v>0.2</v>
      </c>
      <c r="M3473" t="n">
        <v>1.56</v>
      </c>
      <c r="P3473" t="inlineStr">
        <is>
          <t>황채이</t>
        </is>
      </c>
      <c r="Q3473" t="inlineStr">
        <is>
          <t>홈서비스 60개월</t>
        </is>
      </c>
      <c r="AB3473" t="inlineStr">
        <is>
          <t>홈서비스</t>
        </is>
      </c>
      <c r="AC3473" t="n">
        <v>387200</v>
      </c>
      <c r="AD3473" t="n">
        <v>44000</v>
      </c>
      <c r="AE3473" t="n">
        <v>343200</v>
      </c>
      <c r="AF3473" t="n">
        <v>352000</v>
      </c>
      <c r="AG3473" t="n">
        <v>42548</v>
      </c>
      <c r="AH3473" t="n">
        <v>309452</v>
      </c>
      <c r="AI3473" t="n">
        <v>0</v>
      </c>
    </row>
    <row r="3474">
      <c r="A3474" t="inlineStr">
        <is>
          <t>4월</t>
        </is>
      </c>
      <c r="B3474" t="inlineStr">
        <is>
          <t>16주차</t>
        </is>
      </c>
      <c r="C3474" t="inlineStr">
        <is>
          <t>EP</t>
        </is>
      </c>
      <c r="D3474" s="28" t="n">
        <v>46130</v>
      </c>
      <c r="E3474" t="inlineStr">
        <is>
          <t>현대EP</t>
        </is>
      </c>
      <c r="F3474" t="inlineStr">
        <is>
          <t>이필구</t>
        </is>
      </c>
      <c r="G3474" t="inlineStr">
        <is>
          <t>010-7791-3732</t>
        </is>
      </c>
      <c r="H3474" t="inlineStr">
        <is>
          <t>16다2255</t>
        </is>
      </c>
      <c r="I3474" t="n">
        <v>16200000</v>
      </c>
      <c r="J3474" t="n">
        <v>0.102</v>
      </c>
      <c r="K3474" t="n">
        <v>1.76</v>
      </c>
      <c r="L3474" t="n">
        <v>0.2</v>
      </c>
      <c r="M3474" t="n">
        <v>1.56</v>
      </c>
      <c r="P3474" t="inlineStr">
        <is>
          <t>장현경</t>
        </is>
      </c>
      <c r="AB3474" t="inlineStr">
        <is>
          <t>홈서비스</t>
        </is>
      </c>
      <c r="AC3474" t="n">
        <v>285120</v>
      </c>
      <c r="AD3474" t="n">
        <v>32400</v>
      </c>
      <c r="AE3474" t="n">
        <v>252720</v>
      </c>
      <c r="AF3474" t="n">
        <v>259200</v>
      </c>
      <c r="AG3474" t="n">
        <v>31330.8</v>
      </c>
      <c r="AH3474" t="n">
        <v>227869.2</v>
      </c>
      <c r="AI3474" t="n">
        <v>0</v>
      </c>
    </row>
    <row r="3475">
      <c r="A3475" t="inlineStr">
        <is>
          <t>4월</t>
        </is>
      </c>
      <c r="B3475" t="inlineStr">
        <is>
          <t>16주차</t>
        </is>
      </c>
      <c r="C3475" t="inlineStr">
        <is>
          <t>EP</t>
        </is>
      </c>
      <c r="D3475" s="28" t="n">
        <v>46129</v>
      </c>
      <c r="E3475" t="inlineStr">
        <is>
          <t>BNKEP</t>
        </is>
      </c>
      <c r="F3475" t="inlineStr">
        <is>
          <t>최수환</t>
        </is>
      </c>
      <c r="G3475" t="inlineStr">
        <is>
          <t>010-5765-5686</t>
        </is>
      </c>
      <c r="H3475" t="inlineStr">
        <is>
          <t>110버9361</t>
        </is>
      </c>
      <c r="I3475" t="n">
        <v>30000000</v>
      </c>
      <c r="J3475" t="n">
        <v>0.061</v>
      </c>
      <c r="K3475" t="n">
        <v>1.65</v>
      </c>
      <c r="L3475" t="n">
        <v>0.07000000000000001</v>
      </c>
      <c r="M3475" t="n">
        <v>1.58</v>
      </c>
      <c r="P3475" t="inlineStr">
        <is>
          <t>정광호</t>
        </is>
      </c>
      <c r="Q3475" t="inlineStr">
        <is>
          <t>담당자 입력 누락건</t>
        </is>
      </c>
      <c r="AB3475" t="inlineStr">
        <is>
          <t>홈서비스</t>
        </is>
      </c>
      <c r="AC3475" t="n">
        <v>495000</v>
      </c>
      <c r="AD3475" t="n">
        <v>21000</v>
      </c>
      <c r="AE3475" t="n">
        <v>474000</v>
      </c>
      <c r="AF3475" t="n">
        <v>450000</v>
      </c>
      <c r="AG3475" t="n">
        <v>20307</v>
      </c>
      <c r="AH3475" t="n">
        <v>429693</v>
      </c>
      <c r="AI3475" t="n">
        <v>0</v>
      </c>
    </row>
    <row r="3476">
      <c r="A3476" t="inlineStr">
        <is>
          <t>4월</t>
        </is>
      </c>
      <c r="B3476" t="inlineStr">
        <is>
          <t>17주차</t>
        </is>
      </c>
      <c r="C3476" t="inlineStr">
        <is>
          <t>EP</t>
        </is>
      </c>
      <c r="D3476" s="28" t="n">
        <v>46132</v>
      </c>
      <c r="E3476" t="inlineStr">
        <is>
          <t>현대EP</t>
        </is>
      </c>
      <c r="F3476" t="inlineStr">
        <is>
          <t>신상엽</t>
        </is>
      </c>
      <c r="G3476" t="inlineStr">
        <is>
          <t>010-7238-9889</t>
        </is>
      </c>
      <c r="H3476" t="inlineStr">
        <is>
          <t>338소7300</t>
        </is>
      </c>
      <c r="I3476" t="n">
        <v>18800000</v>
      </c>
      <c r="J3476" t="n">
        <v>0.062</v>
      </c>
      <c r="K3476" t="n">
        <v>1.76</v>
      </c>
      <c r="L3476" t="n">
        <v>0.2</v>
      </c>
      <c r="M3476" t="n">
        <v>1.56</v>
      </c>
      <c r="P3476" t="inlineStr">
        <is>
          <t>김나윤</t>
        </is>
      </c>
      <c r="AB3476" t="inlineStr">
        <is>
          <t>홈서비스</t>
        </is>
      </c>
      <c r="AC3476" t="n">
        <v>330880</v>
      </c>
      <c r="AD3476" t="n">
        <v>37600</v>
      </c>
      <c r="AE3476" t="n">
        <v>293280</v>
      </c>
      <c r="AF3476" t="n">
        <v>300800</v>
      </c>
      <c r="AG3476" t="n">
        <v>36359.2</v>
      </c>
      <c r="AH3476" t="n">
        <v>264440.8</v>
      </c>
      <c r="AI3476" t="n">
        <v>0</v>
      </c>
    </row>
    <row r="3477">
      <c r="A3477" t="inlineStr">
        <is>
          <t>4월</t>
        </is>
      </c>
      <c r="B3477" t="inlineStr">
        <is>
          <t>17주차</t>
        </is>
      </c>
      <c r="C3477" t="inlineStr">
        <is>
          <t>EP</t>
        </is>
      </c>
      <c r="D3477" s="28" t="n">
        <v>46132</v>
      </c>
      <c r="E3477" t="inlineStr">
        <is>
          <t>현대EP</t>
        </is>
      </c>
      <c r="F3477" t="inlineStr">
        <is>
          <t>오한택</t>
        </is>
      </c>
      <c r="G3477" t="inlineStr">
        <is>
          <t>010-3356-9569</t>
        </is>
      </c>
      <c r="H3477" t="inlineStr">
        <is>
          <t>30모8405</t>
        </is>
      </c>
      <c r="I3477" t="n">
        <v>26600000</v>
      </c>
      <c r="J3477" t="n">
        <v>0.079</v>
      </c>
      <c r="K3477" t="n">
        <v>1.76</v>
      </c>
      <c r="L3477" t="n">
        <v>0.2</v>
      </c>
      <c r="M3477" t="n">
        <v>1.56</v>
      </c>
      <c r="P3477" t="inlineStr">
        <is>
          <t>김나윤</t>
        </is>
      </c>
      <c r="AB3477" t="inlineStr">
        <is>
          <t>홈서비스</t>
        </is>
      </c>
      <c r="AC3477" t="n">
        <v>468160</v>
      </c>
      <c r="AD3477" t="n">
        <v>53200</v>
      </c>
      <c r="AE3477" t="n">
        <v>414960</v>
      </c>
      <c r="AF3477" t="n">
        <v>425600</v>
      </c>
      <c r="AG3477" t="n">
        <v>51444.4</v>
      </c>
      <c r="AH3477" t="n">
        <v>374155.6</v>
      </c>
      <c r="AI3477" t="n">
        <v>0</v>
      </c>
    </row>
    <row r="3478">
      <c r="A3478" t="inlineStr">
        <is>
          <t>4월</t>
        </is>
      </c>
      <c r="B3478" t="inlineStr">
        <is>
          <t>17주차</t>
        </is>
      </c>
      <c r="C3478" t="inlineStr">
        <is>
          <t>EP</t>
        </is>
      </c>
      <c r="D3478" s="28" t="n">
        <v>46132</v>
      </c>
      <c r="E3478" t="inlineStr">
        <is>
          <t>현대EP</t>
        </is>
      </c>
      <c r="F3478" t="inlineStr">
        <is>
          <t>유현모</t>
        </is>
      </c>
      <c r="G3478" t="inlineStr">
        <is>
          <t>010-5030-8042</t>
        </is>
      </c>
      <c r="H3478" t="inlineStr">
        <is>
          <t>339두2684</t>
        </is>
      </c>
      <c r="I3478" t="n">
        <v>5000000</v>
      </c>
      <c r="J3478" t="n">
        <v>0.1</v>
      </c>
      <c r="K3478" t="n">
        <v>1.76</v>
      </c>
      <c r="L3478" t="n">
        <v>0.2</v>
      </c>
      <c r="M3478" t="n">
        <v>1.56</v>
      </c>
      <c r="P3478" t="inlineStr">
        <is>
          <t>황채이</t>
        </is>
      </c>
      <c r="AB3478" t="inlineStr">
        <is>
          <t>홈서비스</t>
        </is>
      </c>
      <c r="AC3478" t="n">
        <v>88000</v>
      </c>
      <c r="AD3478" t="n">
        <v>10000</v>
      </c>
      <c r="AE3478" t="n">
        <v>78000</v>
      </c>
      <c r="AF3478" t="n">
        <v>80000</v>
      </c>
      <c r="AG3478" t="n">
        <v>9670</v>
      </c>
      <c r="AH3478" t="n">
        <v>70330</v>
      </c>
      <c r="AI3478" t="n">
        <v>0</v>
      </c>
    </row>
    <row r="3479">
      <c r="A3479" t="inlineStr">
        <is>
          <t>4월</t>
        </is>
      </c>
      <c r="B3479" t="inlineStr">
        <is>
          <t>17주차</t>
        </is>
      </c>
      <c r="C3479" t="inlineStr">
        <is>
          <t>IM</t>
        </is>
      </c>
      <c r="D3479" s="28" t="n">
        <v>46132</v>
      </c>
      <c r="E3479" t="inlineStr">
        <is>
          <t>IM캐피탈</t>
        </is>
      </c>
      <c r="F3479" t="inlineStr">
        <is>
          <t>지현주</t>
        </is>
      </c>
      <c r="G3479" t="inlineStr">
        <is>
          <t>010-6637-8090</t>
        </is>
      </c>
      <c r="H3479" t="inlineStr">
        <is>
          <t>31조4379</t>
        </is>
      </c>
      <c r="I3479" t="n">
        <v>13500000</v>
      </c>
      <c r="J3479" t="n">
        <v>0.049</v>
      </c>
      <c r="K3479" t="n">
        <v>1.1</v>
      </c>
      <c r="L3479" t="n">
        <v>0.4</v>
      </c>
      <c r="M3479" t="n">
        <v>0.7</v>
      </c>
      <c r="P3479" t="inlineStr">
        <is>
          <t>임대경</t>
        </is>
      </c>
      <c r="Q3479" t="inlineStr">
        <is>
          <t>현대/6.9%</t>
        </is>
      </c>
      <c r="AB3479" t="inlineStr">
        <is>
          <t>엔카</t>
        </is>
      </c>
      <c r="AC3479" t="n">
        <v>148500</v>
      </c>
      <c r="AD3479" t="n">
        <v>54000</v>
      </c>
      <c r="AE3479" t="n">
        <v>94500</v>
      </c>
      <c r="AF3479" t="n">
        <v>135000</v>
      </c>
      <c r="AG3479" t="n">
        <v>52218</v>
      </c>
      <c r="AH3479" t="n">
        <v>82782</v>
      </c>
      <c r="AI3479" t="n">
        <v>0</v>
      </c>
    </row>
    <row r="3480">
      <c r="A3480" t="inlineStr">
        <is>
          <t>4월</t>
        </is>
      </c>
      <c r="B3480" t="inlineStr">
        <is>
          <t>17주차</t>
        </is>
      </c>
      <c r="C3480" t="inlineStr">
        <is>
          <t>EP</t>
        </is>
      </c>
      <c r="D3480" s="28" t="n">
        <v>46132</v>
      </c>
      <c r="E3480" t="inlineStr">
        <is>
          <t>현대EP</t>
        </is>
      </c>
      <c r="F3480" t="inlineStr">
        <is>
          <t>이현승</t>
        </is>
      </c>
      <c r="G3480" t="inlineStr">
        <is>
          <t>010-8899-5003</t>
        </is>
      </c>
      <c r="H3480" t="inlineStr">
        <is>
          <t>42버9955</t>
        </is>
      </c>
      <c r="I3480" t="n">
        <v>11900000</v>
      </c>
      <c r="J3480" t="n">
        <v>0.14</v>
      </c>
      <c r="K3480" t="n">
        <v>1.76</v>
      </c>
      <c r="L3480" t="n">
        <v>0.2</v>
      </c>
      <c r="M3480" t="n">
        <v>1.56</v>
      </c>
      <c r="P3480" t="inlineStr">
        <is>
          <t>김나윤</t>
        </is>
      </c>
      <c r="AB3480" t="inlineStr">
        <is>
          <t>홈서비스</t>
        </is>
      </c>
      <c r="AC3480" t="n">
        <v>209440</v>
      </c>
      <c r="AD3480" t="n">
        <v>23800</v>
      </c>
      <c r="AE3480" t="n">
        <v>185640</v>
      </c>
      <c r="AF3480" t="n">
        <v>190400</v>
      </c>
      <c r="AG3480" t="n">
        <v>23014.6</v>
      </c>
      <c r="AH3480" t="n">
        <v>167385.4</v>
      </c>
      <c r="AI3480" t="n">
        <v>0</v>
      </c>
    </row>
    <row r="3481">
      <c r="A3481" t="inlineStr">
        <is>
          <t>4월</t>
        </is>
      </c>
      <c r="B3481" t="inlineStr">
        <is>
          <t>17주차</t>
        </is>
      </c>
      <c r="C3481" t="inlineStr">
        <is>
          <t>IM</t>
        </is>
      </c>
      <c r="D3481" s="28" t="n">
        <v>46132</v>
      </c>
      <c r="E3481" t="inlineStr">
        <is>
          <t>IM캐피탈</t>
        </is>
      </c>
      <c r="F3481" t="inlineStr">
        <is>
          <t>임유석</t>
        </is>
      </c>
      <c r="G3481" t="inlineStr">
        <is>
          <t>010-3114-0121</t>
        </is>
      </c>
      <c r="H3481" t="inlineStr">
        <is>
          <t>120노8503</t>
        </is>
      </c>
      <c r="I3481" t="n">
        <v>40000000</v>
      </c>
      <c r="J3481" t="n">
        <v>0.059</v>
      </c>
      <c r="K3481" t="n">
        <v>1.1</v>
      </c>
      <c r="L3481" t="n">
        <v>0.4</v>
      </c>
      <c r="M3481" t="n">
        <v>0.7</v>
      </c>
      <c r="P3481" t="inlineStr">
        <is>
          <t>임대경</t>
        </is>
      </c>
      <c r="AB3481" t="inlineStr">
        <is>
          <t>엔카</t>
        </is>
      </c>
      <c r="AC3481" t="n">
        <v>440000</v>
      </c>
      <c r="AD3481" t="n">
        <v>160000</v>
      </c>
      <c r="AE3481" t="n">
        <v>280000</v>
      </c>
      <c r="AF3481" t="n">
        <v>400000</v>
      </c>
      <c r="AG3481" t="n">
        <v>154720</v>
      </c>
      <c r="AH3481" t="n">
        <v>245280</v>
      </c>
      <c r="AI3481" t="n">
        <v>0</v>
      </c>
    </row>
    <row r="3482">
      <c r="A3482" t="inlineStr">
        <is>
          <t>4월</t>
        </is>
      </c>
      <c r="B3482" t="inlineStr">
        <is>
          <t>17주차</t>
        </is>
      </c>
      <c r="C3482" t="inlineStr">
        <is>
          <t>EP</t>
        </is>
      </c>
      <c r="D3482" s="28" t="n">
        <v>46132</v>
      </c>
      <c r="E3482" t="inlineStr">
        <is>
          <t>현대EP</t>
        </is>
      </c>
      <c r="F3482" t="inlineStr">
        <is>
          <t>황경태</t>
        </is>
      </c>
      <c r="G3482" t="inlineStr">
        <is>
          <t>010-6340-0010</t>
        </is>
      </c>
      <c r="H3482" t="inlineStr">
        <is>
          <t>40루3546</t>
        </is>
      </c>
      <c r="I3482" t="n">
        <v>9000000</v>
      </c>
      <c r="J3482" t="n">
        <v>0.08799999999999999</v>
      </c>
      <c r="K3482" t="n">
        <v>1.76</v>
      </c>
      <c r="L3482" t="n">
        <v>0.2</v>
      </c>
      <c r="M3482" t="n">
        <v>1.56</v>
      </c>
      <c r="P3482" t="inlineStr">
        <is>
          <t>황채이</t>
        </is>
      </c>
      <c r="AB3482" t="inlineStr">
        <is>
          <t>홈서비스</t>
        </is>
      </c>
      <c r="AC3482" t="n">
        <v>158400</v>
      </c>
      <c r="AD3482" t="n">
        <v>18000</v>
      </c>
      <c r="AE3482" t="n">
        <v>140400</v>
      </c>
      <c r="AF3482" t="n">
        <v>144000</v>
      </c>
      <c r="AG3482" t="n">
        <v>17406</v>
      </c>
      <c r="AH3482" t="n">
        <v>126594</v>
      </c>
      <c r="AI3482" t="n">
        <v>0</v>
      </c>
    </row>
    <row r="3483">
      <c r="A3483" t="inlineStr">
        <is>
          <t>4월</t>
        </is>
      </c>
      <c r="B3483" t="inlineStr">
        <is>
          <t>16주차</t>
        </is>
      </c>
      <c r="C3483" t="inlineStr">
        <is>
          <t>IM</t>
        </is>
      </c>
      <c r="D3483" s="28" t="n">
        <v>46129</v>
      </c>
      <c r="E3483" t="inlineStr">
        <is>
          <t>IM캐피탈</t>
        </is>
      </c>
      <c r="F3483" t="inlineStr">
        <is>
          <t>조승경</t>
        </is>
      </c>
      <c r="G3483" t="inlineStr">
        <is>
          <t>010-3807-7380</t>
        </is>
      </c>
      <c r="H3483" t="inlineStr">
        <is>
          <t>290마7303</t>
        </is>
      </c>
      <c r="I3483" t="n">
        <v>10000000</v>
      </c>
      <c r="J3483" t="n">
        <v>0.049</v>
      </c>
      <c r="K3483" t="n">
        <v>1.1</v>
      </c>
      <c r="L3483" t="n">
        <v>0.3</v>
      </c>
      <c r="M3483" t="n">
        <v>0.8</v>
      </c>
      <c r="P3483" t="inlineStr">
        <is>
          <t>구성완</t>
        </is>
      </c>
      <c r="AB3483" t="inlineStr">
        <is>
          <t>엔카</t>
        </is>
      </c>
      <c r="AC3483" t="n">
        <v>110000</v>
      </c>
      <c r="AD3483" t="n">
        <v>30000</v>
      </c>
      <c r="AE3483" t="n">
        <v>80000</v>
      </c>
      <c r="AF3483" t="n">
        <v>100000</v>
      </c>
      <c r="AG3483" t="n">
        <v>29010</v>
      </c>
      <c r="AH3483" t="n">
        <v>70990</v>
      </c>
    </row>
    <row r="3484">
      <c r="A3484" t="inlineStr">
        <is>
          <t>4월</t>
        </is>
      </c>
      <c r="B3484" t="inlineStr">
        <is>
          <t>17주차</t>
        </is>
      </c>
      <c r="C3484" t="inlineStr">
        <is>
          <t>EP</t>
        </is>
      </c>
      <c r="D3484" s="28" t="n">
        <v>46132</v>
      </c>
      <c r="E3484" t="inlineStr">
        <is>
          <t>현대EP</t>
        </is>
      </c>
      <c r="F3484" t="inlineStr">
        <is>
          <t>정재헌</t>
        </is>
      </c>
      <c r="G3484" t="inlineStr">
        <is>
          <t>010-8212-1667</t>
        </is>
      </c>
      <c r="H3484" t="inlineStr">
        <is>
          <t>04주8401</t>
        </is>
      </c>
      <c r="I3484" t="n">
        <v>10800000</v>
      </c>
      <c r="J3484" t="n">
        <v>0.092</v>
      </c>
      <c r="K3484" t="n">
        <v>1.76</v>
      </c>
      <c r="L3484" t="n">
        <v>0.2</v>
      </c>
      <c r="M3484" t="n">
        <v>1.56</v>
      </c>
      <c r="P3484" t="inlineStr">
        <is>
          <t>김나윤</t>
        </is>
      </c>
      <c r="AB3484" t="inlineStr">
        <is>
          <t>홈서비스</t>
        </is>
      </c>
      <c r="AC3484" t="n">
        <v>190080</v>
      </c>
      <c r="AD3484" t="n">
        <v>21600</v>
      </c>
      <c r="AE3484" t="n">
        <v>168480</v>
      </c>
      <c r="AF3484" t="n">
        <v>172800</v>
      </c>
      <c r="AG3484" t="n">
        <v>20887.2</v>
      </c>
      <c r="AH3484" t="n">
        <v>151912.8</v>
      </c>
      <c r="AI3484" t="n">
        <v>0</v>
      </c>
    </row>
    <row r="3485">
      <c r="A3485" t="inlineStr">
        <is>
          <t>3월</t>
        </is>
      </c>
      <c r="B3485" t="inlineStr">
        <is>
          <t>12주차</t>
        </is>
      </c>
      <c r="C3485" t="inlineStr">
        <is>
          <t>EP</t>
        </is>
      </c>
      <c r="D3485" s="28" t="n">
        <v>46100</v>
      </c>
      <c r="E3485" t="inlineStr">
        <is>
          <t>제이비EP</t>
        </is>
      </c>
      <c r="F3485" t="inlineStr">
        <is>
          <t>최은숙</t>
        </is>
      </c>
      <c r="G3485" t="inlineStr">
        <is>
          <t>010-8841-3334</t>
        </is>
      </c>
      <c r="H3485" t="inlineStr">
        <is>
          <t>8398고3561</t>
        </is>
      </c>
      <c r="I3485" t="n">
        <v>23700000</v>
      </c>
      <c r="J3485" t="n">
        <v>0.08500000000000001</v>
      </c>
      <c r="K3485" t="n">
        <v>1.65</v>
      </c>
      <c r="L3485" t="n">
        <v>0.4</v>
      </c>
      <c r="M3485" t="n">
        <v>1.25</v>
      </c>
      <c r="P3485" t="inlineStr">
        <is>
          <t>박현민</t>
        </is>
      </c>
      <c r="AB3485" t="inlineStr">
        <is>
          <t>엔카</t>
        </is>
      </c>
      <c r="AC3485" t="n">
        <v>391050</v>
      </c>
      <c r="AD3485" t="n">
        <v>94800</v>
      </c>
      <c r="AE3485" t="n">
        <v>296250</v>
      </c>
      <c r="AF3485" t="n">
        <v>355500</v>
      </c>
      <c r="AG3485" t="n">
        <v>91671.60000000001</v>
      </c>
      <c r="AH3485" t="n">
        <v>263828.4</v>
      </c>
      <c r="AI3485" t="n">
        <v>0</v>
      </c>
    </row>
    <row r="3486">
      <c r="A3486" t="inlineStr">
        <is>
          <t>3월</t>
        </is>
      </c>
      <c r="B3486" t="inlineStr">
        <is>
          <t>11주차</t>
        </is>
      </c>
      <c r="C3486" t="inlineStr">
        <is>
          <t>EP</t>
        </is>
      </c>
      <c r="D3486" s="28" t="n">
        <v>46091</v>
      </c>
      <c r="E3486" t="inlineStr">
        <is>
          <t>제이비EP</t>
        </is>
      </c>
      <c r="F3486" t="inlineStr">
        <is>
          <t>하현종</t>
        </is>
      </c>
      <c r="G3486" t="inlineStr">
        <is>
          <t>010-8413-8284</t>
        </is>
      </c>
      <c r="H3486" t="inlineStr">
        <is>
          <t>86더2113</t>
        </is>
      </c>
      <c r="I3486" t="n">
        <v>9400000</v>
      </c>
      <c r="J3486" t="n">
        <v>0.08500000000000001</v>
      </c>
      <c r="K3486" t="n">
        <v>1.65</v>
      </c>
      <c r="L3486" t="n">
        <v>0.4</v>
      </c>
      <c r="M3486" t="n">
        <v>1.25</v>
      </c>
      <c r="P3486" t="inlineStr">
        <is>
          <t>박소현</t>
        </is>
      </c>
      <c r="AB3486" t="inlineStr">
        <is>
          <t>엔카</t>
        </is>
      </c>
      <c r="AC3486" t="n">
        <v>155100</v>
      </c>
      <c r="AD3486" t="n">
        <v>37600</v>
      </c>
      <c r="AE3486" t="n">
        <v>117500</v>
      </c>
      <c r="AF3486" t="n">
        <v>141000</v>
      </c>
      <c r="AG3486" t="n">
        <v>36359.2</v>
      </c>
      <c r="AH3486" t="n">
        <v>104640.8</v>
      </c>
      <c r="AI3486" t="n">
        <v>0</v>
      </c>
    </row>
    <row r="3487">
      <c r="A3487" t="inlineStr">
        <is>
          <t>4월</t>
        </is>
      </c>
      <c r="B3487" t="inlineStr">
        <is>
          <t>17주차</t>
        </is>
      </c>
      <c r="C3487" t="inlineStr">
        <is>
          <t>IM</t>
        </is>
      </c>
      <c r="D3487" s="28" t="n">
        <v>46132</v>
      </c>
      <c r="E3487" t="inlineStr">
        <is>
          <t>IM캐피탈</t>
        </is>
      </c>
      <c r="F3487" t="inlineStr">
        <is>
          <t>채지원</t>
        </is>
      </c>
      <c r="G3487" t="inlineStr">
        <is>
          <t>010-6329-1157</t>
        </is>
      </c>
      <c r="H3487" t="inlineStr">
        <is>
          <t>142누6050</t>
        </is>
      </c>
      <c r="I3487" t="n">
        <v>35000000</v>
      </c>
      <c r="J3487" t="n">
        <v>0.059</v>
      </c>
      <c r="K3487" t="n">
        <v>1.1</v>
      </c>
      <c r="L3487" t="n">
        <v>0.07000000000000001</v>
      </c>
      <c r="M3487" t="n">
        <v>1.03</v>
      </c>
      <c r="P3487" t="inlineStr">
        <is>
          <t>박현민</t>
        </is>
      </c>
      <c r="Q3487" t="inlineStr">
        <is>
          <t>홈서비스 24개월</t>
        </is>
      </c>
      <c r="AB3487" t="inlineStr">
        <is>
          <t>홈서비스</t>
        </is>
      </c>
      <c r="AC3487" t="n">
        <v>385000</v>
      </c>
      <c r="AD3487" t="n">
        <v>24500</v>
      </c>
      <c r="AE3487" t="n">
        <v>360500</v>
      </c>
      <c r="AF3487" t="n">
        <v>350000</v>
      </c>
      <c r="AG3487" t="n">
        <v>23691.5</v>
      </c>
      <c r="AH3487" t="n">
        <v>326308.5</v>
      </c>
      <c r="AI3487" t="n">
        <v>0</v>
      </c>
    </row>
    <row r="3488">
      <c r="A3488" t="inlineStr">
        <is>
          <t>4월</t>
        </is>
      </c>
      <c r="B3488" t="inlineStr">
        <is>
          <t>17주차</t>
        </is>
      </c>
      <c r="C3488" t="inlineStr">
        <is>
          <t>IM</t>
        </is>
      </c>
      <c r="D3488" s="28" t="n">
        <v>46133</v>
      </c>
      <c r="E3488" t="inlineStr">
        <is>
          <t>IM캐피탈</t>
        </is>
      </c>
      <c r="F3488" t="inlineStr">
        <is>
          <t>박현민</t>
        </is>
      </c>
      <c r="G3488" t="inlineStr">
        <is>
          <t>010-4019-0737</t>
        </is>
      </c>
      <c r="H3488" t="inlineStr">
        <is>
          <t>351로9189</t>
        </is>
      </c>
      <c r="I3488" t="n">
        <v>21600000</v>
      </c>
      <c r="J3488" t="n">
        <v>0.059</v>
      </c>
      <c r="K3488" t="n">
        <v>1.1</v>
      </c>
      <c r="L3488" t="n">
        <v>0.07000000000000001</v>
      </c>
      <c r="M3488" t="n">
        <v>1.03</v>
      </c>
      <c r="P3488" t="inlineStr">
        <is>
          <t>김나윤</t>
        </is>
      </c>
      <c r="Q3488" t="inlineStr">
        <is>
          <t>홈서비스 60개월</t>
        </is>
      </c>
      <c r="AB3488" t="inlineStr">
        <is>
          <t>홈서비스</t>
        </is>
      </c>
      <c r="AC3488" t="n">
        <v>237600</v>
      </c>
      <c r="AD3488" t="n">
        <v>15120</v>
      </c>
      <c r="AE3488" t="n">
        <v>222480</v>
      </c>
      <c r="AF3488" t="n">
        <v>216000</v>
      </c>
      <c r="AG3488" t="n">
        <v>14621.04</v>
      </c>
      <c r="AH3488" t="n">
        <v>201378.96</v>
      </c>
    </row>
    <row r="3489">
      <c r="A3489" t="inlineStr">
        <is>
          <t>4월</t>
        </is>
      </c>
      <c r="B3489" t="inlineStr">
        <is>
          <t>17주차</t>
        </is>
      </c>
      <c r="C3489" t="inlineStr">
        <is>
          <t>EP</t>
        </is>
      </c>
      <c r="D3489" s="28" t="n">
        <v>46132</v>
      </c>
      <c r="E3489" t="inlineStr">
        <is>
          <t>BNKEP</t>
        </is>
      </c>
      <c r="F3489" t="inlineStr">
        <is>
          <t>최태영</t>
        </is>
      </c>
      <c r="G3489" t="inlineStr">
        <is>
          <t>010-8200-1025</t>
        </is>
      </c>
      <c r="H3489" t="inlineStr">
        <is>
          <t>178마7406</t>
        </is>
      </c>
      <c r="I3489" t="n">
        <v>20000000</v>
      </c>
      <c r="J3489" t="n">
        <v>0.061</v>
      </c>
      <c r="K3489" t="n">
        <v>1.65</v>
      </c>
      <c r="L3489" t="n">
        <v>0.07000000000000001</v>
      </c>
      <c r="M3489" t="n">
        <v>1.58</v>
      </c>
      <c r="P3489" t="inlineStr">
        <is>
          <t>김수연</t>
        </is>
      </c>
      <c r="Q3489" t="inlineStr">
        <is>
          <t>홈서비스 24개월</t>
        </is>
      </c>
      <c r="AB3489" t="inlineStr">
        <is>
          <t>홈서비스</t>
        </is>
      </c>
      <c r="AC3489" t="n">
        <v>330000</v>
      </c>
      <c r="AD3489" t="n">
        <v>14000</v>
      </c>
      <c r="AE3489" t="n">
        <v>316000</v>
      </c>
      <c r="AF3489" t="n">
        <v>300000</v>
      </c>
      <c r="AG3489" t="n">
        <v>13538</v>
      </c>
      <c r="AH3489" t="n">
        <v>286462</v>
      </c>
      <c r="AI3489" t="n">
        <v>0</v>
      </c>
    </row>
    <row r="3490">
      <c r="A3490" t="inlineStr">
        <is>
          <t>4월</t>
        </is>
      </c>
      <c r="B3490" t="inlineStr">
        <is>
          <t>17주차</t>
        </is>
      </c>
      <c r="C3490" t="inlineStr">
        <is>
          <t>EP</t>
        </is>
      </c>
      <c r="D3490" s="28" t="n">
        <v>46133</v>
      </c>
      <c r="E3490" t="inlineStr">
        <is>
          <t>현대EP_fast</t>
        </is>
      </c>
      <c r="F3490" t="inlineStr">
        <is>
          <t>이지아</t>
        </is>
      </c>
      <c r="G3490" t="inlineStr">
        <is>
          <t>010-7999-1578</t>
        </is>
      </c>
      <c r="H3490" t="inlineStr">
        <is>
          <t>163어7946</t>
        </is>
      </c>
      <c r="I3490" t="n">
        <v>10000000</v>
      </c>
      <c r="J3490" t="n">
        <v>11.8</v>
      </c>
      <c r="K3490" t="n">
        <v>1.76</v>
      </c>
      <c r="L3490" t="n">
        <v>0.2</v>
      </c>
      <c r="M3490" t="n">
        <v>1.56</v>
      </c>
      <c r="P3490" t="inlineStr">
        <is>
          <t>김나윤</t>
        </is>
      </c>
      <c r="Q3490" t="inlineStr">
        <is>
          <t>홈서비스 36개월</t>
        </is>
      </c>
      <c r="AB3490" t="inlineStr">
        <is>
          <t>홈서비스</t>
        </is>
      </c>
      <c r="AC3490" t="n">
        <v>176000</v>
      </c>
      <c r="AD3490" t="n">
        <v>20000</v>
      </c>
      <c r="AE3490" t="n">
        <v>156000</v>
      </c>
      <c r="AF3490" t="n">
        <v>160000</v>
      </c>
      <c r="AG3490" t="n">
        <v>19340</v>
      </c>
      <c r="AH3490" t="n">
        <v>140660</v>
      </c>
      <c r="AI3490" t="n">
        <v>0</v>
      </c>
    </row>
    <row r="3491">
      <c r="A3491" t="inlineStr">
        <is>
          <t>4월</t>
        </is>
      </c>
      <c r="B3491" t="inlineStr">
        <is>
          <t>17주차</t>
        </is>
      </c>
      <c r="C3491" t="inlineStr">
        <is>
          <t>EP</t>
        </is>
      </c>
      <c r="D3491" s="28" t="n">
        <v>46132</v>
      </c>
      <c r="E3491" t="inlineStr">
        <is>
          <t>현대EP_fast</t>
        </is>
      </c>
      <c r="F3491" t="inlineStr">
        <is>
          <t>곽시원</t>
        </is>
      </c>
      <c r="G3491" t="inlineStr">
        <is>
          <t>010-7678-4124</t>
        </is>
      </c>
      <c r="H3491" t="inlineStr">
        <is>
          <t>275도2219</t>
        </is>
      </c>
      <c r="I3491" t="n">
        <v>9900000</v>
      </c>
      <c r="J3491" t="n">
        <v>0.08799999999999999</v>
      </c>
      <c r="K3491" t="n">
        <v>1.76</v>
      </c>
      <c r="L3491" t="n">
        <v>0.2</v>
      </c>
      <c r="M3491" t="n">
        <v>1.56</v>
      </c>
      <c r="P3491" t="inlineStr">
        <is>
          <t>최형주</t>
        </is>
      </c>
      <c r="Q3491" t="inlineStr">
        <is>
          <t>홈서비스 60개월</t>
        </is>
      </c>
      <c r="AB3491" t="inlineStr">
        <is>
          <t>홈서비스</t>
        </is>
      </c>
      <c r="AC3491" t="n">
        <v>174240</v>
      </c>
      <c r="AD3491" t="n">
        <v>19800</v>
      </c>
      <c r="AE3491" t="n">
        <v>154440</v>
      </c>
      <c r="AF3491" t="n">
        <v>158400</v>
      </c>
      <c r="AG3491" t="n">
        <v>19146.6</v>
      </c>
      <c r="AH3491" t="n">
        <v>139253.4</v>
      </c>
      <c r="AI3491" t="n">
        <v>0</v>
      </c>
    </row>
    <row r="3492">
      <c r="A3492" t="inlineStr">
        <is>
          <t>3월</t>
        </is>
      </c>
      <c r="B3492" t="inlineStr">
        <is>
          <t>10주차</t>
        </is>
      </c>
      <c r="C3492" t="inlineStr">
        <is>
          <t>IM</t>
        </is>
      </c>
      <c r="D3492" s="28" t="n">
        <v>46085</v>
      </c>
      <c r="E3492" t="inlineStr">
        <is>
          <t>IM캐피탈</t>
        </is>
      </c>
      <c r="F3492" t="inlineStr">
        <is>
          <t>유동균</t>
        </is>
      </c>
      <c r="G3492" t="inlineStr">
        <is>
          <t>010-7131-9974</t>
        </is>
      </c>
      <c r="H3492" t="inlineStr">
        <is>
          <t>372소1528</t>
        </is>
      </c>
      <c r="I3492" t="n">
        <v>6000000</v>
      </c>
      <c r="J3492" t="n">
        <v>0.049</v>
      </c>
      <c r="K3492" t="n">
        <v>1.1</v>
      </c>
      <c r="L3492" t="n">
        <v>0.14</v>
      </c>
      <c r="M3492" t="n">
        <v>0.96</v>
      </c>
      <c r="P3492" t="inlineStr">
        <is>
          <t>정세빈</t>
        </is>
      </c>
      <c r="Q3492" t="inlineStr">
        <is>
          <t>홈서비스 24개월</t>
        </is>
      </c>
      <c r="AB3492" t="inlineStr">
        <is>
          <t>홈서비스</t>
        </is>
      </c>
      <c r="AC3492" t="n">
        <v>66000</v>
      </c>
      <c r="AD3492" t="n">
        <v>8400</v>
      </c>
      <c r="AE3492" t="n">
        <v>57600</v>
      </c>
      <c r="AF3492" t="n">
        <v>60000</v>
      </c>
      <c r="AG3492" t="n">
        <v>8122.8</v>
      </c>
      <c r="AH3492" t="n">
        <v>51877.2</v>
      </c>
      <c r="AI3492" t="n">
        <v>0</v>
      </c>
      <c r="AJ3492" t="inlineStr">
        <is>
          <t>개인</t>
        </is>
      </c>
    </row>
    <row r="3493">
      <c r="A3493" t="inlineStr">
        <is>
          <t>3월</t>
        </is>
      </c>
      <c r="B3493" t="inlineStr">
        <is>
          <t>10주차</t>
        </is>
      </c>
      <c r="C3493" t="inlineStr">
        <is>
          <t>OR</t>
        </is>
      </c>
      <c r="D3493" s="28" t="n">
        <v>46084</v>
      </c>
      <c r="E3493" t="inlineStr">
        <is>
          <t>오릭스</t>
        </is>
      </c>
      <c r="F3493" t="inlineStr">
        <is>
          <t>송민선</t>
        </is>
      </c>
      <c r="G3493" t="inlineStr">
        <is>
          <t>010-7494-3655</t>
        </is>
      </c>
      <c r="H3493" t="inlineStr">
        <is>
          <t>327도7181</t>
        </is>
      </c>
      <c r="I3493" t="n">
        <v>-29200000</v>
      </c>
      <c r="J3493" t="n">
        <v>0.064</v>
      </c>
      <c r="K3493" t="n">
        <v>1.65</v>
      </c>
      <c r="L3493" t="n">
        <v>0.14</v>
      </c>
      <c r="M3493" t="n">
        <v>1.51</v>
      </c>
      <c r="P3493" t="inlineStr">
        <is>
          <t>황채이</t>
        </is>
      </c>
      <c r="Q3493" t="inlineStr">
        <is>
          <t>홈서비스 60개월</t>
        </is>
      </c>
      <c r="AB3493" t="inlineStr">
        <is>
          <t>홈서비스</t>
        </is>
      </c>
      <c r="AC3493" t="n">
        <v>-481800</v>
      </c>
      <c r="AD3493" t="n">
        <v>-40880</v>
      </c>
      <c r="AE3493" t="n">
        <v>-440920</v>
      </c>
      <c r="AF3493" t="n">
        <v>-438000</v>
      </c>
      <c r="AG3493" t="n">
        <v>-39530.96</v>
      </c>
      <c r="AH3493" t="n">
        <v>-398469.04</v>
      </c>
      <c r="AI3493" t="n">
        <v>0</v>
      </c>
    </row>
    <row r="3494">
      <c r="A3494" t="inlineStr">
        <is>
          <t>3월</t>
        </is>
      </c>
      <c r="B3494" t="inlineStr">
        <is>
          <t>12주차</t>
        </is>
      </c>
      <c r="C3494" t="inlineStr">
        <is>
          <t>IM</t>
        </is>
      </c>
      <c r="D3494" s="28" t="n">
        <v>46100</v>
      </c>
      <c r="E3494" t="inlineStr">
        <is>
          <t>IM캐피탈</t>
        </is>
      </c>
      <c r="F3494" t="inlineStr">
        <is>
          <t>강성호</t>
        </is>
      </c>
      <c r="G3494" t="inlineStr">
        <is>
          <t>010-9977-0158</t>
        </is>
      </c>
      <c r="H3494" t="inlineStr">
        <is>
          <t>168어9904</t>
        </is>
      </c>
      <c r="I3494" t="n">
        <v>5000000</v>
      </c>
      <c r="J3494" t="n">
        <v>0.059</v>
      </c>
      <c r="K3494" t="n">
        <v>1.1</v>
      </c>
      <c r="L3494" t="n">
        <v>0.14</v>
      </c>
      <c r="M3494" t="n">
        <v>0.96</v>
      </c>
      <c r="P3494" t="inlineStr">
        <is>
          <t>장현경</t>
        </is>
      </c>
      <c r="Q3494" t="inlineStr">
        <is>
          <t>선상담 /홈서비스 48개월</t>
        </is>
      </c>
      <c r="AB3494" t="inlineStr">
        <is>
          <t>홈서비스</t>
        </is>
      </c>
      <c r="AC3494" t="n">
        <v>55000</v>
      </c>
      <c r="AD3494" t="n">
        <v>7000</v>
      </c>
      <c r="AE3494" t="n">
        <v>48000</v>
      </c>
      <c r="AF3494" t="n">
        <v>50000</v>
      </c>
      <c r="AG3494" t="n">
        <v>6769</v>
      </c>
      <c r="AH3494" t="n">
        <v>43231</v>
      </c>
      <c r="AI3494" t="n">
        <v>0</v>
      </c>
    </row>
    <row r="3495">
      <c r="A3495" t="inlineStr">
        <is>
          <t>3월</t>
        </is>
      </c>
      <c r="B3495" t="inlineStr">
        <is>
          <t>13주차</t>
        </is>
      </c>
      <c r="C3495" t="inlineStr">
        <is>
          <t>OR</t>
        </is>
      </c>
      <c r="D3495" s="28" t="n">
        <v>46105</v>
      </c>
      <c r="E3495" t="inlineStr">
        <is>
          <t>오릭스</t>
        </is>
      </c>
      <c r="F3495" t="inlineStr">
        <is>
          <t>장한별</t>
        </is>
      </c>
      <c r="G3495" t="inlineStr">
        <is>
          <t>010-6887-3399</t>
        </is>
      </c>
      <c r="H3495" t="inlineStr">
        <is>
          <t>241러3515</t>
        </is>
      </c>
      <c r="I3495" t="n">
        <v>24400000</v>
      </c>
      <c r="J3495" t="n">
        <v>0.064</v>
      </c>
      <c r="K3495" t="n">
        <v>1.65</v>
      </c>
      <c r="L3495" t="n">
        <v>0.14</v>
      </c>
      <c r="M3495" t="n">
        <v>1.51</v>
      </c>
      <c r="P3495" t="inlineStr">
        <is>
          <t>박보람</t>
        </is>
      </c>
      <c r="Q3495" t="inlineStr">
        <is>
          <t>선상담 / 홈서비스 60개월</t>
        </is>
      </c>
      <c r="AB3495" t="inlineStr">
        <is>
          <t>홈서비스</t>
        </is>
      </c>
      <c r="AC3495" t="n">
        <v>402600</v>
      </c>
      <c r="AD3495" t="n">
        <v>34160</v>
      </c>
      <c r="AE3495" t="n">
        <v>368440</v>
      </c>
      <c r="AF3495" t="n">
        <v>366000</v>
      </c>
      <c r="AG3495" t="n">
        <v>33032.72</v>
      </c>
      <c r="AH3495" t="n">
        <v>332967.28</v>
      </c>
      <c r="AI3495" t="n">
        <v>0</v>
      </c>
    </row>
    <row r="3496">
      <c r="A3496" t="inlineStr">
        <is>
          <t>3월</t>
        </is>
      </c>
      <c r="B3496" t="inlineStr">
        <is>
          <t>14주차</t>
        </is>
      </c>
      <c r="C3496" t="inlineStr">
        <is>
          <t>EP</t>
        </is>
      </c>
      <c r="D3496" s="28" t="n">
        <v>46112</v>
      </c>
      <c r="E3496" t="inlineStr">
        <is>
          <t>현대EP_fast</t>
        </is>
      </c>
      <c r="F3496" t="inlineStr">
        <is>
          <t>허성준</t>
        </is>
      </c>
      <c r="G3496" t="inlineStr">
        <is>
          <t>010-2859-5227</t>
        </is>
      </c>
      <c r="H3496" t="inlineStr">
        <is>
          <t>299저5253</t>
        </is>
      </c>
      <c r="I3496" t="n">
        <v>18600000</v>
      </c>
      <c r="J3496" t="n">
        <v>0.07099999999999999</v>
      </c>
      <c r="K3496" t="n">
        <v>1.76</v>
      </c>
      <c r="L3496" t="n">
        <v>0.14</v>
      </c>
      <c r="M3496" t="n">
        <v>1.62</v>
      </c>
      <c r="P3496" t="inlineStr">
        <is>
          <t>정세빈</t>
        </is>
      </c>
      <c r="Q3496" t="inlineStr">
        <is>
          <t>홈서비스 60개월</t>
        </is>
      </c>
      <c r="AB3496" t="inlineStr">
        <is>
          <t>홈서비스</t>
        </is>
      </c>
      <c r="AC3496" t="n">
        <v>327360</v>
      </c>
      <c r="AD3496" t="n">
        <v>26040</v>
      </c>
      <c r="AE3496" t="n">
        <v>301320</v>
      </c>
      <c r="AF3496" t="n">
        <v>297600</v>
      </c>
      <c r="AG3496" t="n">
        <v>25180.68</v>
      </c>
      <c r="AH3496" t="n">
        <v>272419.32</v>
      </c>
      <c r="AI3496" t="n">
        <v>0</v>
      </c>
    </row>
    <row r="3497">
      <c r="A3497" t="inlineStr">
        <is>
          <t>4월</t>
        </is>
      </c>
      <c r="B3497" t="inlineStr">
        <is>
          <t>17주차</t>
        </is>
      </c>
      <c r="C3497" t="inlineStr">
        <is>
          <t>EP</t>
        </is>
      </c>
      <c r="D3497" s="28" t="n">
        <v>46132</v>
      </c>
      <c r="E3497" t="inlineStr">
        <is>
          <t>현대EP_fast</t>
        </is>
      </c>
      <c r="F3497" t="inlineStr">
        <is>
          <t>김기범</t>
        </is>
      </c>
      <c r="G3497" t="inlineStr">
        <is>
          <t>010-8692-2546</t>
        </is>
      </c>
      <c r="H3497" t="inlineStr">
        <is>
          <t>25버9795</t>
        </is>
      </c>
      <c r="I3497" t="n">
        <v>5900000</v>
      </c>
      <c r="J3497" t="n">
        <v>0.079</v>
      </c>
      <c r="K3497" t="n">
        <v>1.76</v>
      </c>
      <c r="L3497" t="n">
        <v>0.2</v>
      </c>
      <c r="M3497" t="n">
        <v>1.56</v>
      </c>
      <c r="P3497" t="inlineStr">
        <is>
          <t>박보람</t>
        </is>
      </c>
      <c r="Q3497" t="inlineStr">
        <is>
          <t>선상담 / 홈서비스 24개월 / 고객주도체결</t>
        </is>
      </c>
      <c r="AB3497" t="inlineStr">
        <is>
          <t>홈서비스</t>
        </is>
      </c>
      <c r="AC3497" t="n">
        <v>103840</v>
      </c>
      <c r="AD3497" t="n">
        <v>11800</v>
      </c>
      <c r="AE3497" t="n">
        <v>92040</v>
      </c>
      <c r="AF3497" t="n">
        <v>94400</v>
      </c>
      <c r="AG3497" t="n">
        <v>11410.6</v>
      </c>
      <c r="AH3497" t="n">
        <v>82989.39999999999</v>
      </c>
      <c r="AI3497" t="n">
        <v>0</v>
      </c>
    </row>
    <row r="3498">
      <c r="A3498" t="inlineStr">
        <is>
          <t>4월</t>
        </is>
      </c>
      <c r="B3498" t="inlineStr">
        <is>
          <t>17주차</t>
        </is>
      </c>
      <c r="C3498" t="inlineStr">
        <is>
          <t>EP</t>
        </is>
      </c>
      <c r="D3498" s="28" t="n">
        <v>46133</v>
      </c>
      <c r="E3498" t="inlineStr">
        <is>
          <t>현대EP_fast</t>
        </is>
      </c>
      <c r="F3498" t="inlineStr">
        <is>
          <t>왕민희</t>
        </is>
      </c>
      <c r="G3498" t="inlineStr">
        <is>
          <t>010-4232-2278</t>
        </is>
      </c>
      <c r="H3498" t="inlineStr">
        <is>
          <t>325머6940</t>
        </is>
      </c>
      <c r="I3498" t="n">
        <v>24900000</v>
      </c>
      <c r="J3498" t="n">
        <v>0.092</v>
      </c>
      <c r="K3498" t="n">
        <v>1.76</v>
      </c>
      <c r="L3498" t="n">
        <v>0.2</v>
      </c>
      <c r="M3498" t="n">
        <v>1.56</v>
      </c>
      <c r="P3498" t="inlineStr">
        <is>
          <t>김나윤</t>
        </is>
      </c>
      <c r="Q3498" t="inlineStr">
        <is>
          <t>홈서비스 48개월</t>
        </is>
      </c>
      <c r="AB3498" t="inlineStr">
        <is>
          <t>홈서비스</t>
        </is>
      </c>
      <c r="AC3498" t="n">
        <v>438240</v>
      </c>
      <c r="AD3498" t="n">
        <v>49800</v>
      </c>
      <c r="AE3498" t="n">
        <v>388440</v>
      </c>
      <c r="AF3498" t="n">
        <v>398400</v>
      </c>
      <c r="AG3498" t="n">
        <v>48156.6</v>
      </c>
      <c r="AH3498" t="n">
        <v>350243.4</v>
      </c>
      <c r="AI3498" t="n">
        <v>0</v>
      </c>
    </row>
    <row r="3499">
      <c r="A3499" t="inlineStr">
        <is>
          <t>3월</t>
        </is>
      </c>
      <c r="B3499" t="inlineStr">
        <is>
          <t>10주차</t>
        </is>
      </c>
      <c r="C3499" t="inlineStr">
        <is>
          <t>EP</t>
        </is>
      </c>
      <c r="D3499" s="28" t="n">
        <v>46084</v>
      </c>
      <c r="E3499" t="inlineStr">
        <is>
          <t>현대EP</t>
        </is>
      </c>
      <c r="F3499" t="inlineStr">
        <is>
          <t>박경순</t>
        </is>
      </c>
      <c r="G3499" t="inlineStr">
        <is>
          <t>010-8992-0899</t>
        </is>
      </c>
      <c r="H3499" t="inlineStr">
        <is>
          <t>142수5763</t>
        </is>
      </c>
      <c r="I3499" t="n">
        <v>20000000</v>
      </c>
      <c r="J3499" t="n">
        <v>0.07199999999999999</v>
      </c>
      <c r="K3499" t="n">
        <v>1.76</v>
      </c>
      <c r="L3499" t="n">
        <v>0.14</v>
      </c>
      <c r="M3499" t="n">
        <v>1.62</v>
      </c>
      <c r="P3499" t="inlineStr">
        <is>
          <t>김나윤</t>
        </is>
      </c>
      <c r="Q3499" t="inlineStr">
        <is>
          <t>홈서비스 60개월</t>
        </is>
      </c>
      <c r="AB3499" t="inlineStr">
        <is>
          <t>홈서비스</t>
        </is>
      </c>
      <c r="AC3499" t="n">
        <v>352000</v>
      </c>
      <c r="AD3499" t="n">
        <v>28000</v>
      </c>
      <c r="AE3499" t="n">
        <v>324000</v>
      </c>
      <c r="AF3499" t="n">
        <v>320000</v>
      </c>
      <c r="AG3499" t="n">
        <v>27076</v>
      </c>
      <c r="AH3499" t="n">
        <v>292924</v>
      </c>
      <c r="AI3499" t="n">
        <v>0</v>
      </c>
    </row>
    <row r="3500">
      <c r="A3500" t="inlineStr">
        <is>
          <t>3월</t>
        </is>
      </c>
      <c r="B3500" t="inlineStr">
        <is>
          <t>11주차</t>
        </is>
      </c>
      <c r="C3500" t="inlineStr">
        <is>
          <t>OR</t>
        </is>
      </c>
      <c r="D3500" s="28" t="n">
        <v>46092</v>
      </c>
      <c r="E3500" t="inlineStr">
        <is>
          <t>오릭스</t>
        </is>
      </c>
      <c r="F3500" t="inlineStr">
        <is>
          <t>이선민</t>
        </is>
      </c>
      <c r="G3500" t="inlineStr">
        <is>
          <t>010-4477-7679</t>
        </is>
      </c>
      <c r="H3500" t="inlineStr">
        <is>
          <t>11모5071</t>
        </is>
      </c>
      <c r="I3500" t="n">
        <v>-8800000</v>
      </c>
      <c r="J3500" t="n">
        <v>0.08</v>
      </c>
      <c r="K3500" t="n">
        <v>1.65</v>
      </c>
      <c r="L3500" t="n">
        <v>0.14</v>
      </c>
      <c r="M3500" t="n">
        <v>1.51</v>
      </c>
      <c r="P3500" t="inlineStr">
        <is>
          <t>황채이</t>
        </is>
      </c>
      <c r="Q3500" t="inlineStr">
        <is>
          <t>홈서비스 60개월</t>
        </is>
      </c>
      <c r="AB3500" t="inlineStr">
        <is>
          <t>홈서비스</t>
        </is>
      </c>
      <c r="AC3500" t="n">
        <v>-145200</v>
      </c>
      <c r="AD3500" t="n">
        <v>-12320</v>
      </c>
      <c r="AE3500" t="n">
        <v>-132880</v>
      </c>
      <c r="AF3500" t="n">
        <v>-132000</v>
      </c>
      <c r="AG3500" t="n">
        <v>-11913.44</v>
      </c>
      <c r="AH3500" t="n">
        <v>-120086.56</v>
      </c>
      <c r="AI3500" t="n">
        <v>0</v>
      </c>
    </row>
    <row r="3501">
      <c r="A3501" t="inlineStr">
        <is>
          <t>4월</t>
        </is>
      </c>
      <c r="B3501" t="inlineStr">
        <is>
          <t>17주차</t>
        </is>
      </c>
      <c r="C3501" t="inlineStr">
        <is>
          <t>EP</t>
        </is>
      </c>
      <c r="D3501" s="28" t="n">
        <v>46132</v>
      </c>
      <c r="E3501" t="inlineStr">
        <is>
          <t>현대EP_fast</t>
        </is>
      </c>
      <c r="F3501" t="inlineStr">
        <is>
          <t>백운주</t>
        </is>
      </c>
      <c r="G3501" t="inlineStr">
        <is>
          <t>010-4899-9605</t>
        </is>
      </c>
      <c r="H3501" t="inlineStr">
        <is>
          <t>25부3327</t>
        </is>
      </c>
      <c r="I3501" t="n">
        <v>6300000</v>
      </c>
      <c r="J3501" t="n">
        <v>0.07099999999999999</v>
      </c>
      <c r="K3501" t="n">
        <v>1.76</v>
      </c>
      <c r="L3501" t="n">
        <v>0.2</v>
      </c>
      <c r="M3501" t="n">
        <v>1.56</v>
      </c>
      <c r="P3501" t="inlineStr">
        <is>
          <t>장진경</t>
        </is>
      </c>
      <c r="Q3501" t="inlineStr">
        <is>
          <t>선상담 / 홈서비스 60개월</t>
        </is>
      </c>
      <c r="AB3501" t="inlineStr">
        <is>
          <t>홈서비스</t>
        </is>
      </c>
      <c r="AC3501" t="n">
        <v>110880</v>
      </c>
      <c r="AD3501" t="n">
        <v>12600</v>
      </c>
      <c r="AE3501" t="n">
        <v>98280</v>
      </c>
      <c r="AF3501" t="n">
        <v>100800</v>
      </c>
      <c r="AG3501" t="n">
        <v>12184.2</v>
      </c>
      <c r="AH3501" t="n">
        <v>88615.8</v>
      </c>
      <c r="AI3501" t="n">
        <v>0</v>
      </c>
    </row>
    <row r="3502">
      <c r="A3502" t="inlineStr">
        <is>
          <t>4월</t>
        </is>
      </c>
      <c r="B3502" t="inlineStr">
        <is>
          <t>17주차</t>
        </is>
      </c>
      <c r="C3502" t="inlineStr">
        <is>
          <t>IM</t>
        </is>
      </c>
      <c r="D3502" s="28" t="n">
        <v>46132</v>
      </c>
      <c r="E3502" t="inlineStr">
        <is>
          <t>IM캐피탈</t>
        </is>
      </c>
      <c r="F3502" t="inlineStr">
        <is>
          <t>문병천</t>
        </is>
      </c>
      <c r="G3502" t="inlineStr">
        <is>
          <t>010-4165-7194</t>
        </is>
      </c>
      <c r="H3502" t="inlineStr">
        <is>
          <t>57어1793</t>
        </is>
      </c>
      <c r="I3502" t="n">
        <v>18000000</v>
      </c>
      <c r="J3502" t="n">
        <v>0.066</v>
      </c>
      <c r="K3502" t="n">
        <v>1.1</v>
      </c>
      <c r="L3502" t="n">
        <v>0.07000000000000001</v>
      </c>
      <c r="M3502" t="n">
        <v>1.03</v>
      </c>
      <c r="P3502" t="inlineStr">
        <is>
          <t>김수연</t>
        </is>
      </c>
      <c r="Q3502" t="inlineStr">
        <is>
          <t>홈서비스 60개월</t>
        </is>
      </c>
      <c r="AB3502" t="inlineStr">
        <is>
          <t>홈서비스</t>
        </is>
      </c>
      <c r="AC3502" t="n">
        <v>198000</v>
      </c>
      <c r="AD3502" t="n">
        <v>12600</v>
      </c>
      <c r="AE3502" t="n">
        <v>185400</v>
      </c>
      <c r="AF3502" t="n">
        <v>180000</v>
      </c>
      <c r="AG3502" t="n">
        <v>12184.2</v>
      </c>
      <c r="AH3502" t="n">
        <v>167815.8</v>
      </c>
      <c r="AI3502" t="n">
        <v>0</v>
      </c>
    </row>
    <row r="3503">
      <c r="A3503" t="inlineStr">
        <is>
          <t>4월</t>
        </is>
      </c>
      <c r="B3503" t="inlineStr">
        <is>
          <t>17주차</t>
        </is>
      </c>
      <c r="C3503" t="inlineStr">
        <is>
          <t>EP</t>
        </is>
      </c>
      <c r="D3503" s="28" t="n">
        <v>46132</v>
      </c>
      <c r="E3503" t="inlineStr">
        <is>
          <t>현대EP_fast</t>
        </is>
      </c>
      <c r="F3503" t="inlineStr">
        <is>
          <t>김세하</t>
        </is>
      </c>
      <c r="G3503" t="inlineStr">
        <is>
          <t>010-3768-0669</t>
        </is>
      </c>
      <c r="H3503" t="inlineStr">
        <is>
          <t>28가6782</t>
        </is>
      </c>
      <c r="I3503" t="n">
        <v>3700000</v>
      </c>
      <c r="J3503" t="n">
        <v>0.08500000000000001</v>
      </c>
      <c r="K3503" t="n">
        <v>1.76</v>
      </c>
      <c r="L3503" t="n">
        <v>0.2</v>
      </c>
      <c r="M3503" t="n">
        <v>1.56</v>
      </c>
      <c r="P3503" t="inlineStr">
        <is>
          <t>박현민</t>
        </is>
      </c>
      <c r="Q3503" t="inlineStr">
        <is>
          <t>홈서비스 60개월</t>
        </is>
      </c>
      <c r="AB3503" t="inlineStr">
        <is>
          <t>홈서비스</t>
        </is>
      </c>
      <c r="AC3503" t="n">
        <v>65120</v>
      </c>
      <c r="AD3503" t="n">
        <v>7400</v>
      </c>
      <c r="AE3503" t="n">
        <v>57720</v>
      </c>
      <c r="AF3503" t="n">
        <v>59200</v>
      </c>
      <c r="AG3503" t="n">
        <v>7155.8</v>
      </c>
      <c r="AH3503" t="n">
        <v>52044.2</v>
      </c>
      <c r="AI3503" t="n">
        <v>0</v>
      </c>
    </row>
    <row r="3504">
      <c r="A3504" t="inlineStr">
        <is>
          <t>4월</t>
        </is>
      </c>
      <c r="B3504" t="inlineStr">
        <is>
          <t>17주차</t>
        </is>
      </c>
      <c r="C3504" t="inlineStr">
        <is>
          <t>EP</t>
        </is>
      </c>
      <c r="D3504" s="28" t="n">
        <v>46133</v>
      </c>
      <c r="E3504" t="inlineStr">
        <is>
          <t>현대EP_fast</t>
        </is>
      </c>
      <c r="F3504" t="inlineStr">
        <is>
          <t>김상민</t>
        </is>
      </c>
      <c r="G3504" t="inlineStr">
        <is>
          <t>010-3110-5509</t>
        </is>
      </c>
      <c r="H3504" t="inlineStr">
        <is>
          <t>209거2529</t>
        </is>
      </c>
      <c r="I3504" t="n">
        <v>25400000</v>
      </c>
      <c r="J3504" t="n">
        <v>0.102</v>
      </c>
      <c r="K3504" t="n">
        <v>1.76</v>
      </c>
      <c r="L3504" t="n">
        <v>0.4</v>
      </c>
      <c r="M3504" t="n">
        <v>1.36</v>
      </c>
      <c r="P3504" t="inlineStr">
        <is>
          <t>임대경</t>
        </is>
      </c>
      <c r="AB3504" t="inlineStr">
        <is>
          <t>엔카</t>
        </is>
      </c>
      <c r="AC3504" t="n">
        <v>447040</v>
      </c>
      <c r="AD3504" t="n">
        <v>101600</v>
      </c>
      <c r="AE3504" t="n">
        <v>345440</v>
      </c>
      <c r="AF3504" t="n">
        <v>406400</v>
      </c>
      <c r="AG3504" t="n">
        <v>98247.2</v>
      </c>
      <c r="AH3504" t="n">
        <v>308152.8</v>
      </c>
      <c r="AI3504" t="n">
        <v>0</v>
      </c>
    </row>
    <row r="3505">
      <c r="A3505" t="inlineStr">
        <is>
          <t>4월</t>
        </is>
      </c>
      <c r="B3505" t="inlineStr">
        <is>
          <t>17주차</t>
        </is>
      </c>
      <c r="C3505" t="inlineStr">
        <is>
          <t>EP</t>
        </is>
      </c>
      <c r="D3505" s="28" t="n">
        <v>46132</v>
      </c>
      <c r="E3505" t="inlineStr">
        <is>
          <t>BNKEP</t>
        </is>
      </c>
      <c r="F3505" t="inlineStr">
        <is>
          <t>조진</t>
        </is>
      </c>
      <c r="G3505" t="inlineStr">
        <is>
          <t>010-8062-7946</t>
        </is>
      </c>
      <c r="H3505" t="inlineStr">
        <is>
          <t>181조4352</t>
        </is>
      </c>
      <c r="I3505" t="n">
        <v>33500000</v>
      </c>
      <c r="J3505" t="n">
        <v>0.094</v>
      </c>
      <c r="K3505" t="n">
        <v>1.65</v>
      </c>
      <c r="L3505" t="n">
        <v>0.07000000000000001</v>
      </c>
      <c r="M3505" t="n">
        <v>1.58</v>
      </c>
      <c r="P3505" t="inlineStr">
        <is>
          <t>장현경</t>
        </is>
      </c>
      <c r="Q3505" t="inlineStr">
        <is>
          <t>선상담 / 홈서비스 60개월/ 부대비용 추가진행 / 현대 9.2%</t>
        </is>
      </c>
      <c r="AB3505" t="inlineStr">
        <is>
          <t>홈서비스</t>
        </is>
      </c>
      <c r="AC3505" t="n">
        <v>552750</v>
      </c>
      <c r="AD3505" t="n">
        <v>23450</v>
      </c>
      <c r="AE3505" t="n">
        <v>529300</v>
      </c>
      <c r="AF3505" t="n">
        <v>502500</v>
      </c>
      <c r="AG3505" t="n">
        <v>22676.15</v>
      </c>
      <c r="AH3505" t="n">
        <v>479823.85</v>
      </c>
      <c r="AI3505" t="n">
        <v>0</v>
      </c>
    </row>
    <row r="3506">
      <c r="A3506" t="inlineStr">
        <is>
          <t>4월</t>
        </is>
      </c>
      <c r="B3506" t="inlineStr">
        <is>
          <t>17주차</t>
        </is>
      </c>
      <c r="C3506" t="inlineStr">
        <is>
          <t>EP</t>
        </is>
      </c>
      <c r="D3506" s="28" t="n">
        <v>46132</v>
      </c>
      <c r="E3506" t="inlineStr">
        <is>
          <t>현대EP</t>
        </is>
      </c>
      <c r="F3506" t="inlineStr">
        <is>
          <t>윤길병</t>
        </is>
      </c>
      <c r="G3506" t="inlineStr">
        <is>
          <t>010-6718-1929</t>
        </is>
      </c>
      <c r="H3506" t="inlineStr">
        <is>
          <t>54저5202</t>
        </is>
      </c>
      <c r="I3506" t="n">
        <v>11300000</v>
      </c>
      <c r="J3506" t="n">
        <v>0.081</v>
      </c>
      <c r="K3506" t="n">
        <v>1.76</v>
      </c>
      <c r="L3506" t="n">
        <v>0.2</v>
      </c>
      <c r="M3506" t="n">
        <v>1.56</v>
      </c>
      <c r="P3506" t="inlineStr">
        <is>
          <t>장현경</t>
        </is>
      </c>
      <c r="AB3506" t="inlineStr">
        <is>
          <t>홈서비스</t>
        </is>
      </c>
      <c r="AC3506" t="n">
        <v>198880</v>
      </c>
      <c r="AD3506" t="n">
        <v>22600</v>
      </c>
      <c r="AE3506" t="n">
        <v>176280</v>
      </c>
      <c r="AF3506" t="n">
        <v>180800</v>
      </c>
      <c r="AG3506" t="n">
        <v>21854.2</v>
      </c>
      <c r="AH3506" t="n">
        <v>158945.8</v>
      </c>
      <c r="AI3506" t="n">
        <v>0</v>
      </c>
    </row>
    <row r="3507">
      <c r="A3507" t="inlineStr">
        <is>
          <t>4월</t>
        </is>
      </c>
      <c r="B3507" t="inlineStr">
        <is>
          <t>17주차</t>
        </is>
      </c>
      <c r="C3507" t="inlineStr">
        <is>
          <t>IM</t>
        </is>
      </c>
      <c r="D3507" s="28" t="n">
        <v>46132</v>
      </c>
      <c r="E3507" t="inlineStr">
        <is>
          <t>IM캐피탈</t>
        </is>
      </c>
      <c r="F3507" t="inlineStr">
        <is>
          <t>송일</t>
        </is>
      </c>
      <c r="G3507" t="inlineStr">
        <is>
          <t>010-2827-5545</t>
        </is>
      </c>
      <c r="H3507" t="inlineStr">
        <is>
          <t>109고9630</t>
        </is>
      </c>
      <c r="I3507" t="n">
        <v>70000000</v>
      </c>
      <c r="J3507" t="n">
        <v>0.049</v>
      </c>
      <c r="K3507" t="n">
        <v>1.1</v>
      </c>
      <c r="L3507" t="n">
        <v>0.4</v>
      </c>
      <c r="M3507" t="n">
        <v>0.7</v>
      </c>
      <c r="P3507" t="inlineStr">
        <is>
          <t>최혁</t>
        </is>
      </c>
      <c r="AB3507" t="inlineStr">
        <is>
          <t>엔카</t>
        </is>
      </c>
      <c r="AC3507" t="n">
        <v>770000</v>
      </c>
      <c r="AD3507" t="n">
        <v>280000</v>
      </c>
      <c r="AE3507" t="n">
        <v>490000</v>
      </c>
      <c r="AF3507" t="n">
        <v>700000</v>
      </c>
      <c r="AG3507" t="n">
        <v>270760</v>
      </c>
      <c r="AH3507" t="n">
        <v>429240</v>
      </c>
      <c r="AI3507" t="n">
        <v>0</v>
      </c>
    </row>
    <row r="3508">
      <c r="A3508" t="inlineStr">
        <is>
          <t>4월</t>
        </is>
      </c>
      <c r="B3508" t="inlineStr">
        <is>
          <t>17주차</t>
        </is>
      </c>
      <c r="C3508" t="inlineStr">
        <is>
          <t>EP</t>
        </is>
      </c>
      <c r="D3508" s="28" t="n">
        <v>46132</v>
      </c>
      <c r="E3508" t="inlineStr">
        <is>
          <t>현대EP_fast</t>
        </is>
      </c>
      <c r="F3508" t="inlineStr">
        <is>
          <t>백종호</t>
        </is>
      </c>
      <c r="G3508" t="inlineStr">
        <is>
          <t>010-9487-1473</t>
        </is>
      </c>
      <c r="H3508" t="inlineStr">
        <is>
          <t>03러5452</t>
        </is>
      </c>
      <c r="I3508" t="n">
        <v>10700000</v>
      </c>
      <c r="J3508" t="n">
        <v>0.07099999999999999</v>
      </c>
      <c r="K3508" t="n">
        <v>1.76</v>
      </c>
      <c r="L3508" t="n">
        <v>0.2</v>
      </c>
      <c r="M3508" t="n">
        <v>1.56</v>
      </c>
      <c r="P3508" t="inlineStr">
        <is>
          <t>최형주</t>
        </is>
      </c>
      <c r="Q3508" t="inlineStr">
        <is>
          <t>홈서비스 60개월</t>
        </is>
      </c>
      <c r="AB3508" t="inlineStr">
        <is>
          <t>홈서비스</t>
        </is>
      </c>
      <c r="AC3508" t="n">
        <v>188320</v>
      </c>
      <c r="AD3508" t="n">
        <v>21400</v>
      </c>
      <c r="AE3508" t="n">
        <v>166920</v>
      </c>
      <c r="AF3508" t="n">
        <v>171200</v>
      </c>
      <c r="AG3508" t="n">
        <v>20693.8</v>
      </c>
      <c r="AH3508" t="n">
        <v>150506.2</v>
      </c>
      <c r="AI3508" t="n">
        <v>0</v>
      </c>
    </row>
    <row r="3509">
      <c r="A3509" t="inlineStr">
        <is>
          <t>4월</t>
        </is>
      </c>
      <c r="B3509" t="inlineStr">
        <is>
          <t>17주차</t>
        </is>
      </c>
      <c r="C3509" t="inlineStr">
        <is>
          <t>EP</t>
        </is>
      </c>
      <c r="D3509" s="28" t="n">
        <v>46133</v>
      </c>
      <c r="E3509" t="inlineStr">
        <is>
          <t>BNKEP</t>
        </is>
      </c>
      <c r="F3509" t="inlineStr">
        <is>
          <t>김진엽</t>
        </is>
      </c>
      <c r="G3509" t="inlineStr">
        <is>
          <t>010-9152-9179</t>
        </is>
      </c>
      <c r="H3509" t="inlineStr">
        <is>
          <t>113머7470</t>
        </is>
      </c>
      <c r="I3509" t="n">
        <v>25000000</v>
      </c>
      <c r="J3509" t="n">
        <v>0.061</v>
      </c>
      <c r="K3509" t="n">
        <v>1.65</v>
      </c>
      <c r="L3509" t="n">
        <v>0.07000000000000001</v>
      </c>
      <c r="M3509" t="n">
        <v>1.58</v>
      </c>
      <c r="P3509" t="inlineStr">
        <is>
          <t>황채이</t>
        </is>
      </c>
      <c r="Q3509" t="inlineStr">
        <is>
          <t>홈서비스 60개월</t>
        </is>
      </c>
      <c r="AB3509" t="inlineStr">
        <is>
          <t>홈서비스</t>
        </is>
      </c>
      <c r="AC3509" t="n">
        <v>412500</v>
      </c>
      <c r="AD3509" t="n">
        <v>17500</v>
      </c>
      <c r="AE3509" t="n">
        <v>395000</v>
      </c>
      <c r="AF3509" t="n">
        <v>375000</v>
      </c>
      <c r="AG3509" t="n">
        <v>16922.5</v>
      </c>
      <c r="AH3509" t="n">
        <v>358077.5</v>
      </c>
      <c r="AI3509" t="n">
        <v>0</v>
      </c>
    </row>
    <row r="3510">
      <c r="A3510" t="inlineStr">
        <is>
          <t>4월</t>
        </is>
      </c>
      <c r="B3510" t="inlineStr">
        <is>
          <t>17주차</t>
        </is>
      </c>
      <c r="C3510" t="inlineStr">
        <is>
          <t>EP</t>
        </is>
      </c>
      <c r="D3510" s="28" t="n">
        <v>46133</v>
      </c>
      <c r="E3510" t="inlineStr">
        <is>
          <t>현대EP_fast</t>
        </is>
      </c>
      <c r="F3510" t="inlineStr">
        <is>
          <t>권원만</t>
        </is>
      </c>
      <c r="G3510" t="inlineStr">
        <is>
          <t>010-3887-3428</t>
        </is>
      </c>
      <c r="H3510" t="inlineStr">
        <is>
          <t>59어9866</t>
        </is>
      </c>
      <c r="I3510" t="n">
        <v>26000000</v>
      </c>
      <c r="J3510" t="n">
        <v>0.062</v>
      </c>
      <c r="K3510" t="n">
        <v>1.76</v>
      </c>
      <c r="L3510" t="n">
        <v>0.2</v>
      </c>
      <c r="M3510" t="n">
        <v>1.56</v>
      </c>
      <c r="P3510" t="inlineStr">
        <is>
          <t>김나윤</t>
        </is>
      </c>
      <c r="Q3510" t="inlineStr">
        <is>
          <t>홈서비스 36개월</t>
        </is>
      </c>
      <c r="AB3510" t="inlineStr">
        <is>
          <t>홈서비스</t>
        </is>
      </c>
      <c r="AC3510" t="n">
        <v>457600</v>
      </c>
      <c r="AD3510" t="n">
        <v>52000</v>
      </c>
      <c r="AE3510" t="n">
        <v>405600</v>
      </c>
      <c r="AF3510" t="n">
        <v>416000</v>
      </c>
      <c r="AG3510" t="n">
        <v>50284</v>
      </c>
      <c r="AH3510" t="n">
        <v>365716</v>
      </c>
    </row>
    <row r="3511">
      <c r="A3511" t="inlineStr">
        <is>
          <t>4월</t>
        </is>
      </c>
      <c r="B3511" t="inlineStr">
        <is>
          <t>17주차</t>
        </is>
      </c>
      <c r="C3511" t="inlineStr">
        <is>
          <t>IM</t>
        </is>
      </c>
      <c r="D3511" s="28" t="n">
        <v>46133</v>
      </c>
      <c r="E3511" t="inlineStr">
        <is>
          <t>IM캐피탈</t>
        </is>
      </c>
      <c r="F3511" t="inlineStr">
        <is>
          <t>최승준</t>
        </is>
      </c>
      <c r="G3511" t="inlineStr">
        <is>
          <t>010-8431-9200</t>
        </is>
      </c>
      <c r="H3511" t="inlineStr">
        <is>
          <t>48라1718</t>
        </is>
      </c>
      <c r="I3511" t="n">
        <v>12800000</v>
      </c>
      <c r="J3511" t="n">
        <v>0.059</v>
      </c>
      <c r="K3511" t="n">
        <v>1.1</v>
      </c>
      <c r="L3511" t="n">
        <v>0.07000000000000001</v>
      </c>
      <c r="M3511" t="n">
        <v>1.03</v>
      </c>
      <c r="P3511" t="inlineStr">
        <is>
          <t>황채이</t>
        </is>
      </c>
      <c r="Q3511" t="inlineStr">
        <is>
          <t>홈서비스 84개월</t>
        </is>
      </c>
      <c r="AB3511" t="inlineStr">
        <is>
          <t>홈서비스</t>
        </is>
      </c>
      <c r="AC3511" t="n">
        <v>140800</v>
      </c>
      <c r="AD3511" t="n">
        <v>8960</v>
      </c>
      <c r="AE3511" t="n">
        <v>131840</v>
      </c>
      <c r="AF3511" t="n">
        <v>128000</v>
      </c>
      <c r="AG3511" t="n">
        <v>8664.32</v>
      </c>
      <c r="AH3511" t="n">
        <v>119335.68</v>
      </c>
      <c r="AI3511" t="n">
        <v>0</v>
      </c>
    </row>
    <row r="3512">
      <c r="A3512" t="inlineStr">
        <is>
          <t>4월</t>
        </is>
      </c>
      <c r="B3512" t="inlineStr">
        <is>
          <t>17주차</t>
        </is>
      </c>
      <c r="C3512" t="inlineStr">
        <is>
          <t>EP</t>
        </is>
      </c>
      <c r="D3512" s="28" t="n">
        <v>46133</v>
      </c>
      <c r="E3512" t="inlineStr">
        <is>
          <t>BNKEP</t>
        </is>
      </c>
      <c r="F3512" t="inlineStr">
        <is>
          <t>황수홍</t>
        </is>
      </c>
      <c r="G3512" t="inlineStr">
        <is>
          <t>010-7414-3993</t>
        </is>
      </c>
      <c r="H3512" t="inlineStr">
        <is>
          <t>116너7887</t>
        </is>
      </c>
      <c r="I3512" t="n">
        <v>21500000</v>
      </c>
      <c r="J3512" t="n">
        <v>0.067</v>
      </c>
      <c r="K3512" t="n">
        <v>1.65</v>
      </c>
      <c r="L3512" t="n">
        <v>0.07000000000000001</v>
      </c>
      <c r="M3512" t="n">
        <v>1.58</v>
      </c>
      <c r="P3512" t="inlineStr">
        <is>
          <t>황채이</t>
        </is>
      </c>
      <c r="Q3512" t="inlineStr">
        <is>
          <t>홈서비스 60개월</t>
        </is>
      </c>
      <c r="AB3512" t="inlineStr">
        <is>
          <t>홈서비스</t>
        </is>
      </c>
      <c r="AC3512" t="n">
        <v>354750</v>
      </c>
      <c r="AD3512" t="n">
        <v>15050</v>
      </c>
      <c r="AE3512" t="n">
        <v>339700</v>
      </c>
      <c r="AF3512" t="n">
        <v>322500</v>
      </c>
      <c r="AG3512" t="n">
        <v>14553.35</v>
      </c>
      <c r="AH3512" t="n">
        <v>307946.65</v>
      </c>
      <c r="AI3512" t="n">
        <v>0</v>
      </c>
    </row>
    <row r="3513">
      <c r="A3513" t="inlineStr">
        <is>
          <t>4월</t>
        </is>
      </c>
      <c r="B3513" t="inlineStr">
        <is>
          <t>17주차</t>
        </is>
      </c>
      <c r="C3513" t="inlineStr">
        <is>
          <t>IM</t>
        </is>
      </c>
      <c r="D3513" s="28" t="n">
        <v>46133</v>
      </c>
      <c r="E3513" t="inlineStr">
        <is>
          <t>IM캐피탈</t>
        </is>
      </c>
      <c r="F3513" t="inlineStr">
        <is>
          <t>장동권</t>
        </is>
      </c>
      <c r="G3513" t="inlineStr">
        <is>
          <t>010-2345-6542</t>
        </is>
      </c>
      <c r="H3513" t="inlineStr">
        <is>
          <t>13부5663</t>
        </is>
      </c>
      <c r="I3513" t="n">
        <v>8900000</v>
      </c>
      <c r="J3513" t="n">
        <v>0.075</v>
      </c>
      <c r="K3513" t="n">
        <v>1.1</v>
      </c>
      <c r="L3513" t="n">
        <v>0.07000000000000001</v>
      </c>
      <c r="M3513" t="n">
        <v>1.03</v>
      </c>
      <c r="P3513" t="inlineStr">
        <is>
          <t>황채이</t>
        </is>
      </c>
      <c r="Q3513" t="inlineStr">
        <is>
          <t>홈서비스 60개월</t>
        </is>
      </c>
      <c r="AB3513" t="inlineStr">
        <is>
          <t>홈서비스</t>
        </is>
      </c>
      <c r="AC3513" t="n">
        <v>97900</v>
      </c>
      <c r="AD3513" t="n">
        <v>6230</v>
      </c>
      <c r="AE3513" t="n">
        <v>91670</v>
      </c>
      <c r="AF3513" t="n">
        <v>89000</v>
      </c>
      <c r="AG3513" t="n">
        <v>6024.41</v>
      </c>
      <c r="AH3513" t="n">
        <v>82975.59</v>
      </c>
      <c r="AI3513" t="n">
        <v>0</v>
      </c>
    </row>
    <row r="3514">
      <c r="A3514" t="inlineStr">
        <is>
          <t>4월</t>
        </is>
      </c>
      <c r="B3514" t="inlineStr">
        <is>
          <t>17주차</t>
        </is>
      </c>
      <c r="C3514" t="inlineStr">
        <is>
          <t>EP</t>
        </is>
      </c>
      <c r="D3514" s="28" t="n">
        <v>46132</v>
      </c>
      <c r="E3514" t="inlineStr">
        <is>
          <t>현대EP_fast</t>
        </is>
      </c>
      <c r="F3514" t="inlineStr">
        <is>
          <t>김영식</t>
        </is>
      </c>
      <c r="G3514" t="inlineStr">
        <is>
          <t>010-8906-1369</t>
        </is>
      </c>
      <c r="H3514" t="inlineStr">
        <is>
          <t>78어3870</t>
        </is>
      </c>
      <c r="I3514" t="n">
        <v>3500000</v>
      </c>
      <c r="J3514" t="n">
        <v>0.102</v>
      </c>
      <c r="K3514" t="n">
        <v>1.76</v>
      </c>
      <c r="L3514" t="n">
        <v>0.2</v>
      </c>
      <c r="M3514" t="n">
        <v>1.56</v>
      </c>
      <c r="P3514" t="inlineStr">
        <is>
          <t>정세빈</t>
        </is>
      </c>
      <c r="Q3514" t="inlineStr">
        <is>
          <t>홈서비스 36개월</t>
        </is>
      </c>
      <c r="AB3514" t="inlineStr">
        <is>
          <t>홈서비스</t>
        </is>
      </c>
      <c r="AC3514" t="n">
        <v>61600</v>
      </c>
      <c r="AD3514" t="n">
        <v>7000</v>
      </c>
      <c r="AE3514" t="n">
        <v>54600</v>
      </c>
      <c r="AF3514" t="n">
        <v>56000</v>
      </c>
      <c r="AG3514" t="n">
        <v>6769</v>
      </c>
      <c r="AH3514" t="n">
        <v>49231</v>
      </c>
      <c r="AI3514" t="n">
        <v>0</v>
      </c>
    </row>
    <row r="3515">
      <c r="A3515" t="inlineStr">
        <is>
          <t>4월</t>
        </is>
      </c>
      <c r="B3515" t="inlineStr">
        <is>
          <t>17주차</t>
        </is>
      </c>
      <c r="C3515" t="inlineStr">
        <is>
          <t>EP</t>
        </is>
      </c>
      <c r="D3515" s="28" t="n">
        <v>46133</v>
      </c>
      <c r="E3515" t="inlineStr">
        <is>
          <t>현대EP_fast</t>
        </is>
      </c>
      <c r="F3515" t="inlineStr">
        <is>
          <t>권영두</t>
        </is>
      </c>
      <c r="G3515" t="inlineStr">
        <is>
          <t>010-4526-5807</t>
        </is>
      </c>
      <c r="H3515" t="inlineStr">
        <is>
          <t>143다3250</t>
        </is>
      </c>
      <c r="I3515" t="n">
        <v>16700000</v>
      </c>
      <c r="J3515" t="n">
        <v>0.118</v>
      </c>
      <c r="K3515" t="n">
        <v>1.76</v>
      </c>
      <c r="L3515" t="n">
        <v>0.2</v>
      </c>
      <c r="M3515" t="n">
        <v>1.56</v>
      </c>
      <c r="P3515" t="inlineStr">
        <is>
          <t>황채이</t>
        </is>
      </c>
      <c r="Q3515" t="inlineStr">
        <is>
          <t>홈서비스 60개월</t>
        </is>
      </c>
      <c r="AB3515" t="inlineStr">
        <is>
          <t>홈서비스</t>
        </is>
      </c>
      <c r="AC3515" t="n">
        <v>293920</v>
      </c>
      <c r="AD3515" t="n">
        <v>33400</v>
      </c>
      <c r="AE3515" t="n">
        <v>260520</v>
      </c>
      <c r="AF3515" t="n">
        <v>267200</v>
      </c>
      <c r="AG3515" t="n">
        <v>32297.8</v>
      </c>
      <c r="AH3515" t="n">
        <v>234902.2</v>
      </c>
      <c r="AI3515" t="n">
        <v>0</v>
      </c>
    </row>
    <row r="3516">
      <c r="A3516" t="inlineStr">
        <is>
          <t>4월</t>
        </is>
      </c>
      <c r="B3516" t="inlineStr">
        <is>
          <t>17주차</t>
        </is>
      </c>
      <c r="C3516" t="inlineStr">
        <is>
          <t>EP</t>
        </is>
      </c>
      <c r="D3516" s="28" t="n">
        <v>46132</v>
      </c>
      <c r="E3516" t="inlineStr">
        <is>
          <t>현대EP</t>
        </is>
      </c>
      <c r="F3516" t="inlineStr">
        <is>
          <t>박준훈</t>
        </is>
      </c>
      <c r="G3516" t="inlineStr">
        <is>
          <t>010-5297-7828</t>
        </is>
      </c>
      <c r="H3516" t="inlineStr">
        <is>
          <t>146오3871</t>
        </is>
      </c>
      <c r="I3516" t="n">
        <v>29700000</v>
      </c>
      <c r="J3516" t="n">
        <v>0.092</v>
      </c>
      <c r="K3516" t="n">
        <v>1.76</v>
      </c>
      <c r="L3516" t="n">
        <v>0.2</v>
      </c>
      <c r="M3516" t="n">
        <v>1.56</v>
      </c>
      <c r="P3516" t="inlineStr">
        <is>
          <t>정세빈</t>
        </is>
      </c>
      <c r="AB3516" t="inlineStr">
        <is>
          <t>홈서비스</t>
        </is>
      </c>
      <c r="AC3516" t="n">
        <v>522720</v>
      </c>
      <c r="AD3516" t="n">
        <v>59400</v>
      </c>
      <c r="AE3516" t="n">
        <v>463320</v>
      </c>
      <c r="AF3516" t="n">
        <v>475200</v>
      </c>
      <c r="AG3516" t="n">
        <v>57439.8</v>
      </c>
      <c r="AH3516" t="n">
        <v>417760.2</v>
      </c>
      <c r="AI3516" t="n">
        <v>0</v>
      </c>
    </row>
    <row r="3517">
      <c r="A3517" t="inlineStr">
        <is>
          <t>4월</t>
        </is>
      </c>
      <c r="B3517" t="inlineStr">
        <is>
          <t>17주차</t>
        </is>
      </c>
      <c r="C3517" t="inlineStr">
        <is>
          <t>IM</t>
        </is>
      </c>
      <c r="D3517" s="28" t="n">
        <v>46133</v>
      </c>
      <c r="E3517" t="inlineStr">
        <is>
          <t>IM캐피탈</t>
        </is>
      </c>
      <c r="F3517" t="inlineStr">
        <is>
          <t>김순정</t>
        </is>
      </c>
      <c r="G3517" t="inlineStr">
        <is>
          <t>010-8614-9644</t>
        </is>
      </c>
      <c r="H3517" t="inlineStr">
        <is>
          <t>184우8778</t>
        </is>
      </c>
      <c r="I3517" t="n">
        <v>55400000</v>
      </c>
      <c r="J3517" t="n">
        <v>0.039</v>
      </c>
      <c r="K3517" t="n">
        <v>1.1</v>
      </c>
      <c r="L3517" t="n">
        <v>0.07000000000000001</v>
      </c>
      <c r="M3517" t="n">
        <v>1.03</v>
      </c>
      <c r="P3517" t="inlineStr">
        <is>
          <t>황채이</t>
        </is>
      </c>
      <c r="Q3517" t="inlineStr">
        <is>
          <t>홈서비스 60개월 / 공동명의</t>
        </is>
      </c>
      <c r="AB3517" t="inlineStr">
        <is>
          <t>홈서비스</t>
        </is>
      </c>
      <c r="AC3517" t="n">
        <v>609400</v>
      </c>
      <c r="AD3517" t="n">
        <v>38780</v>
      </c>
      <c r="AE3517" t="n">
        <v>570620</v>
      </c>
      <c r="AF3517" t="n">
        <v>554000</v>
      </c>
      <c r="AG3517" t="n">
        <v>37500.26</v>
      </c>
      <c r="AH3517" t="n">
        <v>516499.74</v>
      </c>
      <c r="AI3517" t="n">
        <v>0</v>
      </c>
    </row>
    <row r="3518">
      <c r="A3518" t="inlineStr">
        <is>
          <t>4월</t>
        </is>
      </c>
      <c r="B3518" t="inlineStr">
        <is>
          <t>17주차</t>
        </is>
      </c>
      <c r="C3518" t="inlineStr">
        <is>
          <t>EP</t>
        </is>
      </c>
      <c r="D3518" s="28" t="n">
        <v>46135</v>
      </c>
      <c r="E3518" t="inlineStr">
        <is>
          <t>현대EP</t>
        </is>
      </c>
      <c r="F3518" t="inlineStr">
        <is>
          <t>최영건</t>
        </is>
      </c>
      <c r="G3518" t="inlineStr">
        <is>
          <t>010-2547-1557</t>
        </is>
      </c>
      <c r="H3518" t="inlineStr">
        <is>
          <t>117나3208</t>
        </is>
      </c>
      <c r="I3518" t="n">
        <v>23500000</v>
      </c>
      <c r="J3518" t="n">
        <v>0.077</v>
      </c>
      <c r="K3518" t="n">
        <v>1.76</v>
      </c>
      <c r="L3518" t="n">
        <v>0.2</v>
      </c>
      <c r="M3518" t="n">
        <v>1.56</v>
      </c>
      <c r="P3518" t="inlineStr">
        <is>
          <t>황채이</t>
        </is>
      </c>
      <c r="AB3518" t="inlineStr">
        <is>
          <t>홈서비스</t>
        </is>
      </c>
      <c r="AC3518" t="n">
        <v>413600</v>
      </c>
      <c r="AD3518" t="n">
        <v>47000</v>
      </c>
      <c r="AE3518" t="n">
        <v>366600</v>
      </c>
      <c r="AF3518" t="n">
        <v>376000</v>
      </c>
      <c r="AG3518" t="n">
        <v>45449</v>
      </c>
      <c r="AH3518" t="n">
        <v>330551</v>
      </c>
      <c r="AI3518" t="n">
        <v>0</v>
      </c>
    </row>
    <row r="3519">
      <c r="A3519" t="inlineStr">
        <is>
          <t>4월</t>
        </is>
      </c>
      <c r="B3519" t="inlineStr">
        <is>
          <t>17주차</t>
        </is>
      </c>
      <c r="C3519" t="inlineStr">
        <is>
          <t>EP</t>
        </is>
      </c>
      <c r="D3519" s="28" t="n">
        <v>46133</v>
      </c>
      <c r="E3519" t="inlineStr">
        <is>
          <t>제이비EP</t>
        </is>
      </c>
      <c r="F3519" t="inlineStr">
        <is>
          <t>진동석</t>
        </is>
      </c>
      <c r="G3519" t="inlineStr">
        <is>
          <t>010-3802-8119</t>
        </is>
      </c>
      <c r="H3519" t="inlineStr">
        <is>
          <t>380부8347</t>
        </is>
      </c>
      <c r="I3519" t="n">
        <v>32900000</v>
      </c>
      <c r="J3519" t="n">
        <v>0.055</v>
      </c>
      <c r="K3519" t="n">
        <v>1.65</v>
      </c>
      <c r="L3519" t="n">
        <v>0.07000000000000001</v>
      </c>
      <c r="M3519" t="n">
        <v>1.58</v>
      </c>
      <c r="P3519" t="inlineStr">
        <is>
          <t>황채이</t>
        </is>
      </c>
      <c r="Q3519" t="inlineStr">
        <is>
          <t>홈서비스 60개월 / 부대비용 추가진행</t>
        </is>
      </c>
      <c r="AB3519" t="inlineStr">
        <is>
          <t>홈서비스</t>
        </is>
      </c>
      <c r="AC3519" t="n">
        <v>542850</v>
      </c>
      <c r="AD3519" t="n">
        <v>23030</v>
      </c>
      <c r="AE3519" t="n">
        <v>519820</v>
      </c>
      <c r="AF3519" t="n">
        <v>493500</v>
      </c>
      <c r="AG3519" t="n">
        <v>22270.01</v>
      </c>
      <c r="AH3519" t="n">
        <v>471229.99</v>
      </c>
      <c r="AI3519" t="n">
        <v>0</v>
      </c>
    </row>
    <row r="3520">
      <c r="A3520" t="inlineStr">
        <is>
          <t>4월</t>
        </is>
      </c>
      <c r="B3520" t="inlineStr">
        <is>
          <t>17주차</t>
        </is>
      </c>
      <c r="C3520" t="inlineStr">
        <is>
          <t>IM</t>
        </is>
      </c>
      <c r="D3520" s="28" t="n">
        <v>46133</v>
      </c>
      <c r="E3520" t="inlineStr">
        <is>
          <t>IM캐피탈</t>
        </is>
      </c>
      <c r="F3520" t="inlineStr">
        <is>
          <t>이중헌</t>
        </is>
      </c>
      <c r="G3520" t="inlineStr">
        <is>
          <t>010-4014-7646</t>
        </is>
      </c>
      <c r="H3520" t="inlineStr">
        <is>
          <t>25나4270</t>
        </is>
      </c>
      <c r="I3520" t="n">
        <v>14500000</v>
      </c>
      <c r="J3520" t="n">
        <v>0.066</v>
      </c>
      <c r="K3520" t="n">
        <v>1.1</v>
      </c>
      <c r="L3520" t="n">
        <v>0.07000000000000001</v>
      </c>
      <c r="M3520" t="n">
        <v>1.03</v>
      </c>
      <c r="P3520" t="inlineStr">
        <is>
          <t>황채이</t>
        </is>
      </c>
      <c r="Q3520" t="inlineStr">
        <is>
          <t>홈서비스 60개월</t>
        </is>
      </c>
      <c r="AB3520" t="inlineStr">
        <is>
          <t>홈서비스</t>
        </is>
      </c>
      <c r="AC3520" t="n">
        <v>159500</v>
      </c>
      <c r="AD3520" t="n">
        <v>10150</v>
      </c>
      <c r="AE3520" t="n">
        <v>149350</v>
      </c>
      <c r="AF3520" t="n">
        <v>145000</v>
      </c>
      <c r="AG3520" t="n">
        <v>9815.049999999999</v>
      </c>
      <c r="AH3520" t="n">
        <v>135184.95</v>
      </c>
      <c r="AI3520" t="n">
        <v>0</v>
      </c>
    </row>
    <row r="3521">
      <c r="A3521" t="inlineStr">
        <is>
          <t>4월</t>
        </is>
      </c>
      <c r="B3521" t="inlineStr">
        <is>
          <t>17주차</t>
        </is>
      </c>
      <c r="C3521" t="inlineStr">
        <is>
          <t>IM</t>
        </is>
      </c>
      <c r="D3521" s="28" t="n">
        <v>46133</v>
      </c>
      <c r="E3521" t="inlineStr">
        <is>
          <t>IM캐피탈</t>
        </is>
      </c>
      <c r="F3521" t="inlineStr">
        <is>
          <t>조성원</t>
        </is>
      </c>
      <c r="G3521" t="inlineStr">
        <is>
          <t>010-7253-8293</t>
        </is>
      </c>
      <c r="H3521" t="inlineStr">
        <is>
          <t>172러3711</t>
        </is>
      </c>
      <c r="I3521" t="n">
        <v>30000000</v>
      </c>
      <c r="J3521" t="n">
        <v>0.049</v>
      </c>
      <c r="K3521" t="n">
        <v>1.1</v>
      </c>
      <c r="L3521" t="n">
        <v>0.07000000000000001</v>
      </c>
      <c r="M3521" t="n">
        <v>1.03</v>
      </c>
      <c r="P3521" t="inlineStr">
        <is>
          <t>김나윤</t>
        </is>
      </c>
      <c r="Q3521" t="inlineStr">
        <is>
          <t>홈서비스 48개월</t>
        </is>
      </c>
      <c r="AB3521" t="inlineStr">
        <is>
          <t>홈서비스</t>
        </is>
      </c>
      <c r="AC3521" t="n">
        <v>330000</v>
      </c>
      <c r="AD3521" t="n">
        <v>21000</v>
      </c>
      <c r="AE3521" t="n">
        <v>309000</v>
      </c>
      <c r="AF3521" t="n">
        <v>300000</v>
      </c>
      <c r="AG3521" t="n">
        <v>20307</v>
      </c>
      <c r="AH3521" t="n">
        <v>279693</v>
      </c>
      <c r="AI3521" t="n">
        <v>0</v>
      </c>
    </row>
    <row r="3522">
      <c r="A3522" t="inlineStr">
        <is>
          <t>4월</t>
        </is>
      </c>
      <c r="B3522" t="inlineStr">
        <is>
          <t>17주차</t>
        </is>
      </c>
      <c r="C3522" t="inlineStr">
        <is>
          <t>IM</t>
        </is>
      </c>
      <c r="D3522" s="28" t="n">
        <v>46133</v>
      </c>
      <c r="E3522" t="inlineStr">
        <is>
          <t>IM캐피탈</t>
        </is>
      </c>
      <c r="F3522" t="inlineStr">
        <is>
          <t>김하빈</t>
        </is>
      </c>
      <c r="G3522" t="inlineStr">
        <is>
          <t>010-8310-3784</t>
        </is>
      </c>
      <c r="H3522" t="inlineStr">
        <is>
          <t>13나0213</t>
        </is>
      </c>
      <c r="I3522" t="n">
        <v>5500000</v>
      </c>
      <c r="J3522" t="n">
        <v>0.049</v>
      </c>
      <c r="K3522" t="n">
        <v>1.21</v>
      </c>
      <c r="L3522" t="n">
        <v>0.07000000000000001</v>
      </c>
      <c r="M3522" t="n">
        <v>1.14</v>
      </c>
      <c r="P3522" t="inlineStr">
        <is>
          <t>정세빈</t>
        </is>
      </c>
      <c r="Q3522" t="inlineStr">
        <is>
          <t>홈서비스 24개월</t>
        </is>
      </c>
      <c r="AB3522" t="inlineStr">
        <is>
          <t>홈서비스</t>
        </is>
      </c>
      <c r="AC3522" t="n">
        <v>66550</v>
      </c>
      <c r="AD3522" t="n">
        <v>3850</v>
      </c>
      <c r="AE3522" t="n">
        <v>62700</v>
      </c>
      <c r="AF3522" t="n">
        <v>60500</v>
      </c>
      <c r="AG3522" t="n">
        <v>3722.95</v>
      </c>
      <c r="AH3522" t="n">
        <v>56777.05</v>
      </c>
    </row>
    <row r="3523">
      <c r="A3523" t="inlineStr">
        <is>
          <t>4월</t>
        </is>
      </c>
      <c r="B3523" t="inlineStr">
        <is>
          <t>17주차</t>
        </is>
      </c>
      <c r="C3523" t="inlineStr">
        <is>
          <t>EP</t>
        </is>
      </c>
      <c r="D3523" s="28" t="n">
        <v>46134</v>
      </c>
      <c r="E3523" t="inlineStr">
        <is>
          <t>현대EP</t>
        </is>
      </c>
      <c r="F3523" t="inlineStr">
        <is>
          <t>배준호</t>
        </is>
      </c>
      <c r="G3523" t="inlineStr">
        <is>
          <t>010-8644-7444</t>
        </is>
      </c>
      <c r="H3523" t="inlineStr">
        <is>
          <t>34수4267</t>
        </is>
      </c>
      <c r="I3523" t="n">
        <v>28500000</v>
      </c>
      <c r="J3523" t="n">
        <v>0.07099999999999999</v>
      </c>
      <c r="K3523" t="n">
        <v>1.76</v>
      </c>
      <c r="L3523" t="n">
        <v>0.2</v>
      </c>
      <c r="M3523" t="n">
        <v>1.56</v>
      </c>
      <c r="P3523" t="inlineStr">
        <is>
          <t>정세빈</t>
        </is>
      </c>
      <c r="Q3523" t="inlineStr">
        <is>
          <t>홈서비스 60개월</t>
        </is>
      </c>
      <c r="AB3523" t="inlineStr">
        <is>
          <t>홈서비스</t>
        </is>
      </c>
      <c r="AC3523" t="n">
        <v>501600</v>
      </c>
      <c r="AD3523" t="n">
        <v>57000</v>
      </c>
      <c r="AE3523" t="n">
        <v>444600</v>
      </c>
      <c r="AF3523" t="n">
        <v>456000</v>
      </c>
      <c r="AG3523" t="n">
        <v>55119</v>
      </c>
      <c r="AH3523" t="n">
        <v>400881</v>
      </c>
      <c r="AI3523" t="n">
        <v>0</v>
      </c>
    </row>
    <row r="3524">
      <c r="A3524" t="inlineStr">
        <is>
          <t>4월</t>
        </is>
      </c>
      <c r="B3524" t="inlineStr">
        <is>
          <t>17주차</t>
        </is>
      </c>
      <c r="C3524" t="inlineStr">
        <is>
          <t>IM</t>
        </is>
      </c>
      <c r="D3524" s="28" t="n">
        <v>46132</v>
      </c>
      <c r="E3524" t="inlineStr">
        <is>
          <t>IM캐피탈</t>
        </is>
      </c>
      <c r="F3524" t="inlineStr">
        <is>
          <t>송도원</t>
        </is>
      </c>
      <c r="G3524" t="inlineStr">
        <is>
          <t>010-8681-9598</t>
        </is>
      </c>
      <c r="H3524" t="inlineStr">
        <is>
          <t>243어2240</t>
        </is>
      </c>
      <c r="I3524" t="n">
        <v>30000000</v>
      </c>
      <c r="J3524" t="n">
        <v>0.039</v>
      </c>
      <c r="K3524" t="n">
        <v>1.1</v>
      </c>
      <c r="L3524" t="n">
        <v>0.4</v>
      </c>
      <c r="M3524" t="n">
        <v>0.7</v>
      </c>
      <c r="P3524" t="inlineStr">
        <is>
          <t>최혁</t>
        </is>
      </c>
      <c r="AB3524" t="inlineStr">
        <is>
          <t>엔카</t>
        </is>
      </c>
      <c r="AC3524" t="n">
        <v>330000</v>
      </c>
      <c r="AD3524" t="n">
        <v>120000</v>
      </c>
      <c r="AE3524" t="n">
        <v>210000</v>
      </c>
      <c r="AF3524" t="n">
        <v>300000</v>
      </c>
      <c r="AG3524" t="n">
        <v>116040</v>
      </c>
      <c r="AH3524" t="n">
        <v>183960</v>
      </c>
      <c r="AI3524" t="n">
        <v>0</v>
      </c>
    </row>
    <row r="3525">
      <c r="A3525" t="inlineStr">
        <is>
          <t>4월</t>
        </is>
      </c>
      <c r="B3525" t="inlineStr">
        <is>
          <t>17주차</t>
        </is>
      </c>
      <c r="C3525" t="inlineStr">
        <is>
          <t>EP</t>
        </is>
      </c>
      <c r="D3525" s="28" t="n">
        <v>46132</v>
      </c>
      <c r="E3525" t="inlineStr">
        <is>
          <t>현대EP_fast</t>
        </is>
      </c>
      <c r="F3525" t="inlineStr">
        <is>
          <t>류정상</t>
        </is>
      </c>
      <c r="G3525" t="inlineStr">
        <is>
          <t>010-2367-2389</t>
        </is>
      </c>
      <c r="H3525" t="inlineStr">
        <is>
          <t>30너7205</t>
        </is>
      </c>
      <c r="I3525" t="n">
        <v>15900000</v>
      </c>
      <c r="J3525" t="n">
        <v>0.14</v>
      </c>
      <c r="K3525" t="n">
        <v>1.76</v>
      </c>
      <c r="L3525" t="n">
        <v>0.4</v>
      </c>
      <c r="M3525" t="n">
        <v>1.36</v>
      </c>
      <c r="P3525" t="inlineStr">
        <is>
          <t>장진경</t>
        </is>
      </c>
      <c r="AB3525" t="inlineStr">
        <is>
          <t>엔카</t>
        </is>
      </c>
      <c r="AC3525" t="n">
        <v>279840</v>
      </c>
      <c r="AD3525" t="n">
        <v>63600</v>
      </c>
      <c r="AE3525" t="n">
        <v>216240</v>
      </c>
      <c r="AF3525" t="n">
        <v>254400</v>
      </c>
      <c r="AG3525" t="n">
        <v>61501.2</v>
      </c>
      <c r="AH3525" t="n">
        <v>192898.8</v>
      </c>
      <c r="AI3525" t="n">
        <v>0</v>
      </c>
    </row>
    <row r="3526">
      <c r="A3526" t="inlineStr">
        <is>
          <t>4월</t>
        </is>
      </c>
      <c r="B3526" t="inlineStr">
        <is>
          <t>17주차</t>
        </is>
      </c>
      <c r="C3526" t="inlineStr">
        <is>
          <t>EP</t>
        </is>
      </c>
      <c r="D3526" s="28" t="n">
        <v>46133</v>
      </c>
      <c r="E3526" t="inlineStr">
        <is>
          <t>현대EP_fast</t>
        </is>
      </c>
      <c r="F3526" t="inlineStr">
        <is>
          <t>이우범</t>
        </is>
      </c>
      <c r="G3526" t="inlineStr">
        <is>
          <t>010-2022-1633</t>
        </is>
      </c>
      <c r="H3526" t="inlineStr">
        <is>
          <t>66어3147</t>
        </is>
      </c>
      <c r="I3526" t="n">
        <v>28000000</v>
      </c>
      <c r="J3526" t="n">
        <v>0.092</v>
      </c>
      <c r="K3526" t="n">
        <v>1.76</v>
      </c>
      <c r="L3526" t="n">
        <v>0.4</v>
      </c>
      <c r="M3526" t="n">
        <v>1.36</v>
      </c>
      <c r="P3526" t="inlineStr">
        <is>
          <t>장현경</t>
        </is>
      </c>
      <c r="AB3526" t="inlineStr">
        <is>
          <t>엔카</t>
        </is>
      </c>
      <c r="AC3526" t="n">
        <v>492800</v>
      </c>
      <c r="AD3526" t="n">
        <v>112000</v>
      </c>
      <c r="AE3526" t="n">
        <v>380800</v>
      </c>
      <c r="AF3526" t="n">
        <v>448000</v>
      </c>
      <c r="AG3526" t="n">
        <v>108304</v>
      </c>
      <c r="AH3526" t="n">
        <v>339696</v>
      </c>
      <c r="AI3526" t="n">
        <v>0</v>
      </c>
    </row>
    <row r="3527">
      <c r="A3527" t="inlineStr">
        <is>
          <t>4월</t>
        </is>
      </c>
      <c r="B3527" t="inlineStr">
        <is>
          <t>17주차</t>
        </is>
      </c>
      <c r="C3527" t="inlineStr">
        <is>
          <t>EP</t>
        </is>
      </c>
      <c r="D3527" s="28" t="n">
        <v>46133</v>
      </c>
      <c r="E3527" t="inlineStr">
        <is>
          <t>제이비EP</t>
        </is>
      </c>
      <c r="F3527" t="inlineStr">
        <is>
          <t>박성국</t>
        </is>
      </c>
      <c r="G3527" t="inlineStr">
        <is>
          <t>010-3396-0531</t>
        </is>
      </c>
      <c r="H3527" t="inlineStr">
        <is>
          <t>88노1109</t>
        </is>
      </c>
      <c r="I3527" t="n">
        <v>6800000</v>
      </c>
      <c r="J3527" t="n">
        <v>0.11</v>
      </c>
      <c r="K3527" t="n">
        <v>1.65</v>
      </c>
      <c r="L3527" t="n">
        <v>0.4</v>
      </c>
      <c r="M3527" t="n">
        <v>1.25</v>
      </c>
      <c r="P3527" t="inlineStr">
        <is>
          <t>최혁</t>
        </is>
      </c>
      <c r="AB3527" t="inlineStr">
        <is>
          <t>엔카</t>
        </is>
      </c>
      <c r="AC3527" t="n">
        <v>112200</v>
      </c>
      <c r="AD3527" t="n">
        <v>27200</v>
      </c>
      <c r="AE3527" t="n">
        <v>85000</v>
      </c>
      <c r="AF3527" t="n">
        <v>102000</v>
      </c>
      <c r="AG3527" t="n">
        <v>26302.4</v>
      </c>
      <c r="AH3527" t="n">
        <v>75697.60000000001</v>
      </c>
    </row>
    <row r="3528">
      <c r="A3528" t="inlineStr">
        <is>
          <t>4월</t>
        </is>
      </c>
      <c r="B3528" t="inlineStr">
        <is>
          <t>17주차</t>
        </is>
      </c>
      <c r="C3528" t="inlineStr">
        <is>
          <t>EP</t>
        </is>
      </c>
      <c r="D3528" s="28" t="n">
        <v>46133</v>
      </c>
      <c r="E3528" t="inlineStr">
        <is>
          <t>현대EP_fast</t>
        </is>
      </c>
      <c r="F3528" t="inlineStr">
        <is>
          <t>박민호</t>
        </is>
      </c>
      <c r="G3528" t="inlineStr">
        <is>
          <t>010-7272-5103</t>
        </is>
      </c>
      <c r="H3528" t="inlineStr">
        <is>
          <t>221가1077</t>
        </is>
      </c>
      <c r="I3528" t="n">
        <v>85000000</v>
      </c>
      <c r="J3528" t="n">
        <v>0.07099999999999999</v>
      </c>
      <c r="K3528" t="n">
        <v>1.76</v>
      </c>
      <c r="L3528" t="n">
        <v>0.2</v>
      </c>
      <c r="M3528" t="n">
        <v>1.56</v>
      </c>
      <c r="P3528" t="inlineStr">
        <is>
          <t>최형주</t>
        </is>
      </c>
      <c r="Q3528" t="inlineStr">
        <is>
          <t>홈서비스 60개월</t>
        </is>
      </c>
      <c r="AB3528" t="inlineStr">
        <is>
          <t>홈서비스</t>
        </is>
      </c>
      <c r="AC3528" t="n">
        <v>1496000</v>
      </c>
      <c r="AD3528" t="n">
        <v>170000</v>
      </c>
      <c r="AE3528" t="n">
        <v>1326000</v>
      </c>
      <c r="AF3528" t="n">
        <v>1360000</v>
      </c>
      <c r="AG3528" t="n">
        <v>164390</v>
      </c>
      <c r="AH3528" t="n">
        <v>1195610</v>
      </c>
      <c r="AI3528" t="n">
        <v>0</v>
      </c>
    </row>
    <row r="3529">
      <c r="A3529" t="inlineStr">
        <is>
          <t>4월</t>
        </is>
      </c>
      <c r="B3529" t="inlineStr">
        <is>
          <t>17주차</t>
        </is>
      </c>
      <c r="C3529" t="inlineStr">
        <is>
          <t>EP</t>
        </is>
      </c>
      <c r="D3529" s="28" t="n">
        <v>46133</v>
      </c>
      <c r="E3529" t="inlineStr">
        <is>
          <t>현대EP_fast</t>
        </is>
      </c>
      <c r="F3529" t="inlineStr">
        <is>
          <t>고인국</t>
        </is>
      </c>
      <c r="G3529" t="inlineStr">
        <is>
          <t>010-5460-0312</t>
        </is>
      </c>
      <c r="H3529" t="inlineStr">
        <is>
          <t>379모5512</t>
        </is>
      </c>
      <c r="I3529" t="n">
        <v>4900000</v>
      </c>
      <c r="J3529" t="n">
        <v>0.118</v>
      </c>
      <c r="K3529" t="n">
        <v>1.76</v>
      </c>
      <c r="L3529" t="n">
        <v>0.2</v>
      </c>
      <c r="M3529" t="n">
        <v>1.56</v>
      </c>
      <c r="P3529" t="inlineStr">
        <is>
          <t>김나윤</t>
        </is>
      </c>
      <c r="Q3529" t="inlineStr">
        <is>
          <t>홈서비스 60개월</t>
        </is>
      </c>
      <c r="AB3529" t="inlineStr">
        <is>
          <t>홈서비스</t>
        </is>
      </c>
      <c r="AC3529" t="n">
        <v>86240</v>
      </c>
      <c r="AD3529" t="n">
        <v>9800</v>
      </c>
      <c r="AE3529" t="n">
        <v>76440</v>
      </c>
      <c r="AF3529" t="n">
        <v>78400</v>
      </c>
      <c r="AG3529" t="n">
        <v>9476.6</v>
      </c>
      <c r="AH3529" t="n">
        <v>68923.39999999999</v>
      </c>
      <c r="AI3529" t="n">
        <v>0</v>
      </c>
    </row>
    <row r="3530">
      <c r="A3530" t="inlineStr">
        <is>
          <t>4월</t>
        </is>
      </c>
      <c r="B3530" t="inlineStr">
        <is>
          <t>17주차</t>
        </is>
      </c>
      <c r="C3530" t="inlineStr">
        <is>
          <t>EP</t>
        </is>
      </c>
      <c r="D3530" s="28" t="n">
        <v>46133</v>
      </c>
      <c r="E3530" t="inlineStr">
        <is>
          <t>BNKEP</t>
        </is>
      </c>
      <c r="F3530" t="inlineStr">
        <is>
          <t>정경훈</t>
        </is>
      </c>
      <c r="G3530" t="inlineStr">
        <is>
          <t>010-4441-6314</t>
        </is>
      </c>
      <c r="H3530" t="inlineStr">
        <is>
          <t>270라6196</t>
        </is>
      </c>
      <c r="I3530" t="n">
        <v>7900000</v>
      </c>
      <c r="J3530" t="n">
        <v>0.07199999999999999</v>
      </c>
      <c r="K3530" t="n">
        <v>1.65</v>
      </c>
      <c r="L3530" t="n">
        <v>0.07000000000000001</v>
      </c>
      <c r="M3530" t="n">
        <v>1.58</v>
      </c>
      <c r="P3530" t="inlineStr">
        <is>
          <t>김수연</t>
        </is>
      </c>
      <c r="Q3530" t="inlineStr">
        <is>
          <t>홈서비스 60개월</t>
        </is>
      </c>
      <c r="AB3530" t="inlineStr">
        <is>
          <t>홈서비스</t>
        </is>
      </c>
      <c r="AC3530" t="n">
        <v>130350</v>
      </c>
      <c r="AD3530" t="n">
        <v>5530</v>
      </c>
      <c r="AE3530" t="n">
        <v>124820</v>
      </c>
      <c r="AF3530" t="n">
        <v>118500</v>
      </c>
      <c r="AG3530" t="n">
        <v>5347.51</v>
      </c>
      <c r="AH3530" t="n">
        <v>113152.49</v>
      </c>
      <c r="AI3530" t="n">
        <v>0</v>
      </c>
    </row>
    <row r="3531">
      <c r="A3531" t="inlineStr">
        <is>
          <t>4월</t>
        </is>
      </c>
      <c r="B3531" t="inlineStr">
        <is>
          <t>17주차</t>
        </is>
      </c>
      <c r="C3531" t="inlineStr">
        <is>
          <t>IM</t>
        </is>
      </c>
      <c r="D3531" s="28" t="n">
        <v>46133</v>
      </c>
      <c r="E3531" t="inlineStr">
        <is>
          <t>IM캐피탈</t>
        </is>
      </c>
      <c r="F3531" t="inlineStr">
        <is>
          <t>김익하</t>
        </is>
      </c>
      <c r="G3531" t="inlineStr">
        <is>
          <t>010-9828-1202</t>
        </is>
      </c>
      <c r="H3531" t="inlineStr">
        <is>
          <t>133노7618</t>
        </is>
      </c>
      <c r="I3531" t="n">
        <v>35000000</v>
      </c>
      <c r="J3531" t="n">
        <v>0.059</v>
      </c>
      <c r="K3531" t="n">
        <v>1.1</v>
      </c>
      <c r="L3531" t="n">
        <v>0.07000000000000001</v>
      </c>
      <c r="M3531" t="n">
        <v>1.03</v>
      </c>
      <c r="P3531" t="inlineStr">
        <is>
          <t>정세빈</t>
        </is>
      </c>
      <c r="Q3531" t="inlineStr">
        <is>
          <t>홈서비스 60개월</t>
        </is>
      </c>
      <c r="AB3531" t="inlineStr">
        <is>
          <t>홈서비스</t>
        </is>
      </c>
      <c r="AC3531" t="n">
        <v>385000</v>
      </c>
      <c r="AD3531" t="n">
        <v>24500</v>
      </c>
      <c r="AE3531" t="n">
        <v>360500</v>
      </c>
      <c r="AF3531" t="n">
        <v>350000</v>
      </c>
      <c r="AG3531" t="n">
        <v>23691.5</v>
      </c>
      <c r="AH3531" t="n">
        <v>326308.5</v>
      </c>
    </row>
    <row r="3532">
      <c r="A3532" t="inlineStr">
        <is>
          <t>4월</t>
        </is>
      </c>
      <c r="B3532" t="inlineStr">
        <is>
          <t>17주차</t>
        </is>
      </c>
      <c r="C3532" t="inlineStr">
        <is>
          <t>OR</t>
        </is>
      </c>
      <c r="D3532" s="28" t="n">
        <v>46132</v>
      </c>
      <c r="E3532" t="inlineStr">
        <is>
          <t>오릭스</t>
        </is>
      </c>
      <c r="F3532" t="inlineStr">
        <is>
          <t>이윤석</t>
        </is>
      </c>
      <c r="G3532" t="inlineStr">
        <is>
          <t>010-2675-2131</t>
        </is>
      </c>
      <c r="H3532" t="inlineStr">
        <is>
          <t>270구2106</t>
        </is>
      </c>
      <c r="I3532" t="n">
        <v>8000000</v>
      </c>
      <c r="J3532" t="n">
        <v>0.08400000000000001</v>
      </c>
      <c r="K3532" t="n">
        <v>1.65</v>
      </c>
      <c r="L3532" t="n">
        <v>0.07000000000000001</v>
      </c>
      <c r="M3532" t="n">
        <v>1.58</v>
      </c>
      <c r="P3532" t="inlineStr">
        <is>
          <t>구성완</t>
        </is>
      </c>
      <c r="Q3532" t="inlineStr">
        <is>
          <t>안심거래존건</t>
        </is>
      </c>
      <c r="AB3532" t="inlineStr">
        <is>
          <t>믿고</t>
        </is>
      </c>
      <c r="AC3532" t="n">
        <v>132000</v>
      </c>
      <c r="AD3532" t="n">
        <v>5600</v>
      </c>
      <c r="AE3532" t="n">
        <v>126400</v>
      </c>
      <c r="AF3532" t="n">
        <v>120000</v>
      </c>
      <c r="AG3532" t="n">
        <v>5415.2</v>
      </c>
      <c r="AH3532" t="n">
        <v>114584.8</v>
      </c>
      <c r="AI3532" t="n">
        <v>0</v>
      </c>
    </row>
    <row r="3533">
      <c r="A3533" t="inlineStr">
        <is>
          <t>4월</t>
        </is>
      </c>
      <c r="B3533" t="inlineStr">
        <is>
          <t>17주차</t>
        </is>
      </c>
      <c r="C3533" t="inlineStr">
        <is>
          <t>EP</t>
        </is>
      </c>
      <c r="D3533" s="28" t="n">
        <v>46133</v>
      </c>
      <c r="E3533" t="inlineStr">
        <is>
          <t>제이비EP</t>
        </is>
      </c>
      <c r="F3533" t="inlineStr">
        <is>
          <t>강영식</t>
        </is>
      </c>
      <c r="G3533" t="inlineStr">
        <is>
          <t>010-5441-8562</t>
        </is>
      </c>
      <c r="H3533" t="inlineStr">
        <is>
          <t>274노8374</t>
        </is>
      </c>
      <c r="I3533" t="n">
        <v>25000000</v>
      </c>
      <c r="J3533" t="n">
        <v>0.079</v>
      </c>
      <c r="K3533" t="n">
        <v>1.65</v>
      </c>
      <c r="L3533" t="n">
        <v>0.07000000000000001</v>
      </c>
      <c r="M3533" t="n">
        <v>1.58</v>
      </c>
      <c r="P3533" t="inlineStr">
        <is>
          <t>장현경</t>
        </is>
      </c>
      <c r="Q3533" t="inlineStr">
        <is>
          <t>선상담 / 홈서비스 60개월</t>
        </is>
      </c>
      <c r="AB3533" t="inlineStr">
        <is>
          <t>홈서비스</t>
        </is>
      </c>
      <c r="AC3533" t="n">
        <v>412500</v>
      </c>
      <c r="AD3533" t="n">
        <v>17500</v>
      </c>
      <c r="AE3533" t="n">
        <v>395000</v>
      </c>
      <c r="AF3533" t="n">
        <v>375000</v>
      </c>
      <c r="AG3533" t="n">
        <v>16922.5</v>
      </c>
      <c r="AH3533" t="n">
        <v>358077.5</v>
      </c>
      <c r="AI3533" t="n">
        <v>0</v>
      </c>
    </row>
    <row r="3534">
      <c r="A3534" t="inlineStr">
        <is>
          <t>4월</t>
        </is>
      </c>
      <c r="B3534" t="inlineStr">
        <is>
          <t>17주차</t>
        </is>
      </c>
      <c r="C3534" t="inlineStr">
        <is>
          <t>EP</t>
        </is>
      </c>
      <c r="D3534" s="28" t="n">
        <v>46133</v>
      </c>
      <c r="E3534" t="inlineStr">
        <is>
          <t>현대EP_fast</t>
        </is>
      </c>
      <c r="F3534" t="inlineStr">
        <is>
          <t>김광호</t>
        </is>
      </c>
      <c r="G3534" t="inlineStr">
        <is>
          <t>010-8643-2182</t>
        </is>
      </c>
      <c r="H3534" t="inlineStr">
        <is>
          <t>168너8650</t>
        </is>
      </c>
      <c r="I3534" t="n">
        <v>32500000</v>
      </c>
      <c r="J3534" t="n">
        <v>0.102</v>
      </c>
      <c r="K3534" t="n">
        <v>1.76</v>
      </c>
      <c r="L3534" t="n">
        <v>0.2</v>
      </c>
      <c r="M3534" t="n">
        <v>1.56</v>
      </c>
      <c r="P3534" t="inlineStr">
        <is>
          <t>최형주</t>
        </is>
      </c>
      <c r="Q3534" t="inlineStr">
        <is>
          <t>홈서비스 60개월</t>
        </is>
      </c>
      <c r="AB3534" t="inlineStr">
        <is>
          <t>홈서비스</t>
        </is>
      </c>
      <c r="AC3534" t="n">
        <v>572000</v>
      </c>
      <c r="AD3534" t="n">
        <v>65000</v>
      </c>
      <c r="AE3534" t="n">
        <v>507000</v>
      </c>
      <c r="AF3534" t="n">
        <v>520000</v>
      </c>
      <c r="AG3534" t="n">
        <v>62855</v>
      </c>
      <c r="AH3534" t="n">
        <v>457145</v>
      </c>
      <c r="AI3534" t="n">
        <v>0</v>
      </c>
    </row>
    <row r="3535">
      <c r="A3535" t="inlineStr">
        <is>
          <t>4월</t>
        </is>
      </c>
      <c r="B3535" t="inlineStr">
        <is>
          <t>17주차</t>
        </is>
      </c>
      <c r="C3535" t="inlineStr">
        <is>
          <t>EP</t>
        </is>
      </c>
      <c r="D3535" s="28" t="n">
        <v>46133</v>
      </c>
      <c r="E3535" t="inlineStr">
        <is>
          <t>BNKEP</t>
        </is>
      </c>
      <c r="F3535" t="inlineStr">
        <is>
          <t>홍석진</t>
        </is>
      </c>
      <c r="G3535" t="inlineStr">
        <is>
          <t>010-6745-1511</t>
        </is>
      </c>
      <c r="H3535" t="inlineStr">
        <is>
          <t xml:space="preserve"> 100오7184</t>
        </is>
      </c>
      <c r="I3535" t="n">
        <v>15000000</v>
      </c>
      <c r="J3535" t="n">
        <v>0.061</v>
      </c>
      <c r="K3535" t="n">
        <v>1.65</v>
      </c>
      <c r="L3535" t="n">
        <v>0.07000000000000001</v>
      </c>
      <c r="M3535" t="n">
        <v>1.58</v>
      </c>
      <c r="P3535" t="inlineStr">
        <is>
          <t>김수연</t>
        </is>
      </c>
      <c r="Q3535" t="inlineStr">
        <is>
          <t>홈서비스 60개월</t>
        </is>
      </c>
      <c r="AB3535" t="inlineStr">
        <is>
          <t>홈서비스</t>
        </is>
      </c>
      <c r="AC3535" t="n">
        <v>247500</v>
      </c>
      <c r="AD3535" t="n">
        <v>10500</v>
      </c>
      <c r="AE3535" t="n">
        <v>237000</v>
      </c>
      <c r="AF3535" t="n">
        <v>225000</v>
      </c>
      <c r="AG3535" t="n">
        <v>10153.5</v>
      </c>
      <c r="AH3535" t="n">
        <v>214846.5</v>
      </c>
      <c r="AI3535" t="n">
        <v>0</v>
      </c>
    </row>
    <row r="3536">
      <c r="A3536" t="inlineStr">
        <is>
          <t>4월</t>
        </is>
      </c>
      <c r="B3536" t="inlineStr">
        <is>
          <t>17주차</t>
        </is>
      </c>
      <c r="C3536" t="inlineStr">
        <is>
          <t>EP</t>
        </is>
      </c>
      <c r="D3536" s="28" t="n">
        <v>46133</v>
      </c>
      <c r="E3536" t="inlineStr">
        <is>
          <t>현대EP</t>
        </is>
      </c>
      <c r="F3536" t="inlineStr">
        <is>
          <t>이찬규</t>
        </is>
      </c>
      <c r="G3536" t="inlineStr">
        <is>
          <t>010-3208-2802</t>
        </is>
      </c>
      <c r="H3536" t="inlineStr">
        <is>
          <t>335가4976</t>
        </is>
      </c>
      <c r="I3536" t="n">
        <v>40000000</v>
      </c>
      <c r="J3536" t="n">
        <v>0.07099999999999999</v>
      </c>
      <c r="K3536" t="n">
        <v>1.76</v>
      </c>
      <c r="L3536" t="n">
        <v>0.2</v>
      </c>
      <c r="M3536" t="n">
        <v>1.56</v>
      </c>
      <c r="P3536" t="inlineStr">
        <is>
          <t>최형주</t>
        </is>
      </c>
      <c r="AB3536" t="inlineStr">
        <is>
          <t>홈서비스</t>
        </is>
      </c>
      <c r="AC3536" t="n">
        <v>704000</v>
      </c>
      <c r="AD3536" t="n">
        <v>80000</v>
      </c>
      <c r="AE3536" t="n">
        <v>624000</v>
      </c>
      <c r="AF3536" t="n">
        <v>640000</v>
      </c>
      <c r="AG3536" t="n">
        <v>77360</v>
      </c>
      <c r="AH3536" t="n">
        <v>562640</v>
      </c>
    </row>
    <row r="3537">
      <c r="A3537" t="inlineStr">
        <is>
          <t>4월</t>
        </is>
      </c>
      <c r="B3537" t="inlineStr">
        <is>
          <t>17주차</t>
        </is>
      </c>
      <c r="C3537" t="inlineStr">
        <is>
          <t>EP</t>
        </is>
      </c>
      <c r="D3537" s="28" t="n">
        <v>46133</v>
      </c>
      <c r="E3537" t="inlineStr">
        <is>
          <t>현대EP</t>
        </is>
      </c>
      <c r="F3537" t="inlineStr">
        <is>
          <t>황진우</t>
        </is>
      </c>
      <c r="G3537" t="inlineStr">
        <is>
          <t>010-2886-4357</t>
        </is>
      </c>
      <c r="H3537" t="inlineStr">
        <is>
          <t>363조9934</t>
        </is>
      </c>
      <c r="I3537" t="n">
        <v>20000000</v>
      </c>
      <c r="J3537" t="n">
        <v>0.07099999999999999</v>
      </c>
      <c r="K3537" t="n">
        <v>1.76</v>
      </c>
      <c r="L3537" t="n">
        <v>0.2</v>
      </c>
      <c r="M3537" t="n">
        <v>1.56</v>
      </c>
      <c r="P3537" t="inlineStr">
        <is>
          <t>김수연</t>
        </is>
      </c>
      <c r="AB3537" t="inlineStr">
        <is>
          <t>홈서비스</t>
        </is>
      </c>
      <c r="AC3537" t="n">
        <v>352000</v>
      </c>
      <c r="AD3537" t="n">
        <v>40000</v>
      </c>
      <c r="AE3537" t="n">
        <v>312000</v>
      </c>
      <c r="AF3537" t="n">
        <v>320000</v>
      </c>
      <c r="AG3537" t="n">
        <v>38680</v>
      </c>
      <c r="AH3537" t="n">
        <v>281320</v>
      </c>
      <c r="AI3537" t="n">
        <v>0</v>
      </c>
    </row>
    <row r="3538">
      <c r="A3538" t="inlineStr">
        <is>
          <t>4월</t>
        </is>
      </c>
      <c r="B3538" t="inlineStr">
        <is>
          <t>17주차</t>
        </is>
      </c>
      <c r="C3538" t="inlineStr">
        <is>
          <t>EP</t>
        </is>
      </c>
      <c r="D3538" s="28" t="n">
        <v>46133</v>
      </c>
      <c r="E3538" t="inlineStr">
        <is>
          <t>현대EP_fast</t>
        </is>
      </c>
      <c r="F3538" t="inlineStr">
        <is>
          <t>이후영</t>
        </is>
      </c>
      <c r="G3538" t="inlineStr">
        <is>
          <t>010-8351-2706</t>
        </is>
      </c>
      <c r="H3538" t="inlineStr">
        <is>
          <t>153더4191</t>
        </is>
      </c>
      <c r="I3538" t="n">
        <v>19500000</v>
      </c>
      <c r="J3538" t="n">
        <v>0.134</v>
      </c>
      <c r="K3538" t="n">
        <v>1.76</v>
      </c>
      <c r="L3538" t="n">
        <v>0.4</v>
      </c>
      <c r="M3538" t="n">
        <v>1.36</v>
      </c>
      <c r="P3538" t="inlineStr">
        <is>
          <t>박현민</t>
        </is>
      </c>
      <c r="AB3538" t="inlineStr">
        <is>
          <t>엔카</t>
        </is>
      </c>
      <c r="AC3538" t="n">
        <v>343200</v>
      </c>
      <c r="AD3538" t="n">
        <v>78000</v>
      </c>
      <c r="AE3538" t="n">
        <v>265200</v>
      </c>
      <c r="AF3538" t="n">
        <v>312000</v>
      </c>
      <c r="AG3538" t="n">
        <v>75426</v>
      </c>
      <c r="AH3538" t="n">
        <v>236574</v>
      </c>
      <c r="AI3538" t="n">
        <v>0</v>
      </c>
    </row>
    <row r="3539">
      <c r="A3539" t="inlineStr">
        <is>
          <t>3월</t>
        </is>
      </c>
      <c r="B3539" t="inlineStr">
        <is>
          <t>10주차</t>
        </is>
      </c>
      <c r="C3539" t="inlineStr">
        <is>
          <t>EP</t>
        </is>
      </c>
      <c r="D3539" s="28" t="n">
        <v>46087</v>
      </c>
      <c r="E3539" t="inlineStr">
        <is>
          <t>현대EP_fast</t>
        </is>
      </c>
      <c r="F3539" t="inlineStr">
        <is>
          <t>고요셉</t>
        </is>
      </c>
      <c r="G3539" t="inlineStr">
        <is>
          <t>010-2456-3990</t>
        </is>
      </c>
      <c r="H3539" t="inlineStr">
        <is>
          <t>69머9024</t>
        </is>
      </c>
      <c r="I3539" t="n">
        <v>-8900000</v>
      </c>
      <c r="J3539" t="n">
        <v>0.136</v>
      </c>
      <c r="K3539" t="n">
        <v>1.76</v>
      </c>
      <c r="L3539" t="n">
        <v>0.14</v>
      </c>
      <c r="M3539" t="n">
        <v>1.62</v>
      </c>
      <c r="P3539" t="inlineStr">
        <is>
          <t>황채이</t>
        </is>
      </c>
      <c r="Q3539" t="inlineStr">
        <is>
          <t>홈서비스 48개월 / 금리인하 0.5% 적용건 ( 14.1 &gt; 13.6 )</t>
        </is>
      </c>
      <c r="AB3539" t="inlineStr">
        <is>
          <t>홈서비스</t>
        </is>
      </c>
      <c r="AC3539" t="n">
        <v>-156640</v>
      </c>
      <c r="AD3539" t="n">
        <v>-12460</v>
      </c>
      <c r="AE3539" t="n">
        <v>-144180</v>
      </c>
      <c r="AF3539" t="n">
        <v>-142400</v>
      </c>
      <c r="AG3539" t="n">
        <v>-12048.82</v>
      </c>
      <c r="AH3539" t="n">
        <v>-130351.18</v>
      </c>
      <c r="AI3539" t="n">
        <v>0</v>
      </c>
    </row>
    <row r="3540">
      <c r="A3540" t="inlineStr">
        <is>
          <t>3월</t>
        </is>
      </c>
      <c r="B3540" t="inlineStr">
        <is>
          <t>10주차</t>
        </is>
      </c>
      <c r="C3540" t="inlineStr">
        <is>
          <t>EP</t>
        </is>
      </c>
      <c r="D3540" s="28" t="n">
        <v>46085</v>
      </c>
      <c r="E3540" t="inlineStr">
        <is>
          <t>현대EP_fast</t>
        </is>
      </c>
      <c r="F3540" t="inlineStr">
        <is>
          <t>박세훈</t>
        </is>
      </c>
      <c r="G3540" t="inlineStr">
        <is>
          <t>010-8505-6516</t>
        </is>
      </c>
      <c r="H3540" t="inlineStr">
        <is>
          <t>57다1498</t>
        </is>
      </c>
      <c r="I3540" t="n">
        <v>25900000</v>
      </c>
      <c r="J3540" t="n">
        <v>0.118</v>
      </c>
      <c r="K3540" t="n">
        <v>1.76</v>
      </c>
      <c r="L3540" t="n">
        <v>0.14</v>
      </c>
      <c r="M3540" t="n">
        <v>1.62</v>
      </c>
      <c r="P3540" t="inlineStr">
        <is>
          <t>정세빈</t>
        </is>
      </c>
      <c r="Q3540" t="inlineStr">
        <is>
          <t>홈서비스 60개월</t>
        </is>
      </c>
      <c r="AB3540" t="inlineStr">
        <is>
          <t>홈서비스</t>
        </is>
      </c>
      <c r="AC3540" t="n">
        <v>455840</v>
      </c>
      <c r="AD3540" t="n">
        <v>36260</v>
      </c>
      <c r="AE3540" t="n">
        <v>419580</v>
      </c>
      <c r="AF3540" t="n">
        <v>414400</v>
      </c>
      <c r="AG3540" t="n">
        <v>35063.42</v>
      </c>
      <c r="AH3540" t="n">
        <v>379336.58</v>
      </c>
      <c r="AI3540" t="n">
        <v>0</v>
      </c>
    </row>
    <row r="3541">
      <c r="A3541" t="inlineStr">
        <is>
          <t>3월</t>
        </is>
      </c>
      <c r="B3541" t="inlineStr">
        <is>
          <t>12주차</t>
        </is>
      </c>
      <c r="C3541" t="inlineStr">
        <is>
          <t>EP</t>
        </is>
      </c>
      <c r="D3541" s="28" t="n">
        <v>46097</v>
      </c>
      <c r="E3541" t="inlineStr">
        <is>
          <t>현대EP</t>
        </is>
      </c>
      <c r="F3541" t="inlineStr">
        <is>
          <t>함완형</t>
        </is>
      </c>
      <c r="G3541" t="inlineStr">
        <is>
          <t>010-2261-1803</t>
        </is>
      </c>
      <c r="H3541" t="inlineStr">
        <is>
          <t>167너2120</t>
        </is>
      </c>
      <c r="I3541" t="n">
        <v>7600000</v>
      </c>
      <c r="J3541" t="n">
        <v>0.07099999999999999</v>
      </c>
      <c r="K3541" t="n">
        <v>1.76</v>
      </c>
      <c r="L3541" t="n">
        <v>0.14</v>
      </c>
      <c r="M3541" t="n">
        <v>1.62</v>
      </c>
      <c r="P3541" t="inlineStr">
        <is>
          <t>정광호</t>
        </is>
      </c>
      <c r="Q3541" t="inlineStr">
        <is>
          <t>홈서비스 24개월</t>
        </is>
      </c>
      <c r="AB3541" t="inlineStr">
        <is>
          <t>홈서비스</t>
        </is>
      </c>
      <c r="AC3541" t="n">
        <v>133760</v>
      </c>
      <c r="AD3541" t="n">
        <v>10640</v>
      </c>
      <c r="AE3541" t="n">
        <v>123120</v>
      </c>
      <c r="AF3541" t="n">
        <v>121600</v>
      </c>
      <c r="AG3541" t="n">
        <v>10288.88</v>
      </c>
      <c r="AH3541" t="n">
        <v>111311.12</v>
      </c>
      <c r="AI3541" t="n">
        <v>0</v>
      </c>
    </row>
    <row r="3542">
      <c r="A3542" t="inlineStr">
        <is>
          <t>3월</t>
        </is>
      </c>
      <c r="B3542" t="inlineStr">
        <is>
          <t>13주차</t>
        </is>
      </c>
      <c r="C3542" t="inlineStr">
        <is>
          <t>EP</t>
        </is>
      </c>
      <c r="D3542" s="28" t="n">
        <v>46105</v>
      </c>
      <c r="E3542" t="inlineStr">
        <is>
          <t>현대EP</t>
        </is>
      </c>
      <c r="F3542" t="inlineStr">
        <is>
          <t>김성원</t>
        </is>
      </c>
      <c r="G3542" t="inlineStr">
        <is>
          <t>010-2191-1592</t>
        </is>
      </c>
      <c r="H3542" t="inlineStr">
        <is>
          <t>142소6777</t>
        </is>
      </c>
      <c r="I3542" t="n">
        <v>75900000</v>
      </c>
      <c r="J3542" t="n">
        <v>0.077</v>
      </c>
      <c r="K3542" t="n">
        <v>1.76</v>
      </c>
      <c r="L3542" t="n">
        <v>0.14</v>
      </c>
      <c r="M3542" t="n">
        <v>1.62</v>
      </c>
      <c r="P3542" t="inlineStr">
        <is>
          <t>김수연</t>
        </is>
      </c>
      <c r="Q3542" t="inlineStr">
        <is>
          <t>홈서비스 60개월</t>
        </is>
      </c>
      <c r="AB3542" t="inlineStr">
        <is>
          <t>홈서비스</t>
        </is>
      </c>
      <c r="AC3542" t="n">
        <v>1335840</v>
      </c>
      <c r="AD3542" t="n">
        <v>106260</v>
      </c>
      <c r="AE3542" t="n">
        <v>1229580</v>
      </c>
      <c r="AF3542" t="n">
        <v>1214400</v>
      </c>
      <c r="AG3542" t="n">
        <v>102753.42</v>
      </c>
      <c r="AH3542" t="n">
        <v>1111646.58</v>
      </c>
      <c r="AI3542" t="n">
        <v>0</v>
      </c>
    </row>
    <row r="3543">
      <c r="A3543" t="inlineStr">
        <is>
          <t>3월</t>
        </is>
      </c>
      <c r="B3543" t="inlineStr">
        <is>
          <t>10주차</t>
        </is>
      </c>
      <c r="C3543" t="inlineStr">
        <is>
          <t>EP</t>
        </is>
      </c>
      <c r="D3543" s="28" t="n">
        <v>46084</v>
      </c>
      <c r="E3543" t="inlineStr">
        <is>
          <t>현대EP_fast</t>
        </is>
      </c>
      <c r="F3543" t="inlineStr">
        <is>
          <t>고혁</t>
        </is>
      </c>
      <c r="G3543" t="inlineStr">
        <is>
          <t>010-1697-5852</t>
        </is>
      </c>
      <c r="H3543" t="inlineStr">
        <is>
          <t>11노9145</t>
        </is>
      </c>
      <c r="I3543" t="n">
        <v>-6900000</v>
      </c>
      <c r="J3543" t="n">
        <v>0.08799999999999999</v>
      </c>
      <c r="K3543" t="n">
        <v>1.76</v>
      </c>
      <c r="L3543" t="n">
        <v>0.14</v>
      </c>
      <c r="M3543" t="n">
        <v>1.62</v>
      </c>
      <c r="P3543" t="inlineStr">
        <is>
          <t>황채이</t>
        </is>
      </c>
      <c r="Q3543" t="inlineStr">
        <is>
          <t>홈서비스 36개월</t>
        </is>
      </c>
      <c r="AB3543" t="inlineStr">
        <is>
          <t>홈서비스</t>
        </is>
      </c>
      <c r="AC3543" t="n">
        <v>-121440</v>
      </c>
      <c r="AD3543" t="n">
        <v>-9660</v>
      </c>
      <c r="AE3543" t="n">
        <v>-111780</v>
      </c>
      <c r="AF3543" t="n">
        <v>-110400</v>
      </c>
      <c r="AG3543" t="n">
        <v>-9341.219999999999</v>
      </c>
      <c r="AH3543" t="n">
        <v>-101058.78</v>
      </c>
      <c r="AI3543" t="n">
        <v>0</v>
      </c>
    </row>
    <row r="3544">
      <c r="A3544" t="inlineStr">
        <is>
          <t>3월</t>
        </is>
      </c>
      <c r="B3544" t="inlineStr">
        <is>
          <t>12주차</t>
        </is>
      </c>
      <c r="C3544" t="inlineStr">
        <is>
          <t>EP</t>
        </is>
      </c>
      <c r="D3544" s="28" t="n">
        <v>46098</v>
      </c>
      <c r="E3544" t="inlineStr">
        <is>
          <t>현대EP_fast</t>
        </is>
      </c>
      <c r="F3544" t="inlineStr">
        <is>
          <t>주현수</t>
        </is>
      </c>
      <c r="G3544" t="inlineStr">
        <is>
          <t>010-4803-0734</t>
        </is>
      </c>
      <c r="H3544" t="inlineStr">
        <is>
          <t>12무0424</t>
        </is>
      </c>
      <c r="I3544" t="n">
        <v>11000000</v>
      </c>
      <c r="J3544" t="n">
        <v>0.154</v>
      </c>
      <c r="K3544" t="n">
        <v>1.21</v>
      </c>
      <c r="L3544" t="n">
        <v>0.14</v>
      </c>
      <c r="M3544" t="n">
        <v>1.07</v>
      </c>
      <c r="P3544" t="inlineStr">
        <is>
          <t>장현경</t>
        </is>
      </c>
      <c r="Q3544" t="inlineStr">
        <is>
          <t>선상담 / 홈서비스 48개월</t>
        </is>
      </c>
      <c r="AB3544" t="inlineStr">
        <is>
          <t>홈서비스</t>
        </is>
      </c>
      <c r="AC3544" t="n">
        <v>133100</v>
      </c>
      <c r="AD3544" t="n">
        <v>15400</v>
      </c>
      <c r="AE3544" t="n">
        <v>117700</v>
      </c>
      <c r="AF3544" t="n">
        <v>121000</v>
      </c>
      <c r="AG3544" t="n">
        <v>14891.8</v>
      </c>
      <c r="AH3544" t="n">
        <v>106108.2</v>
      </c>
      <c r="AI3544" t="n">
        <v>0</v>
      </c>
    </row>
    <row r="3545">
      <c r="A3545" t="inlineStr">
        <is>
          <t>3월</t>
        </is>
      </c>
      <c r="B3545" t="inlineStr">
        <is>
          <t>11주차</t>
        </is>
      </c>
      <c r="C3545" t="inlineStr">
        <is>
          <t>EP</t>
        </is>
      </c>
      <c r="D3545" s="28" t="n">
        <v>46091</v>
      </c>
      <c r="E3545" t="inlineStr">
        <is>
          <t>현대EP_fast</t>
        </is>
      </c>
      <c r="F3545" t="inlineStr">
        <is>
          <t>박안나</t>
        </is>
      </c>
      <c r="G3545" t="inlineStr">
        <is>
          <t>010-2009-9800</t>
        </is>
      </c>
      <c r="H3545" t="inlineStr">
        <is>
          <t>65너2806</t>
        </is>
      </c>
      <c r="I3545" t="n">
        <v>48800000</v>
      </c>
      <c r="J3545" t="n">
        <v>0.07099999999999999</v>
      </c>
      <c r="K3545" t="n">
        <v>1.76</v>
      </c>
      <c r="L3545" t="n">
        <v>0.14</v>
      </c>
      <c r="M3545" t="n">
        <v>1.62</v>
      </c>
      <c r="P3545" t="inlineStr">
        <is>
          <t>김수연</t>
        </is>
      </c>
      <c r="Q3545" t="inlineStr">
        <is>
          <t>홈서비스 48개월</t>
        </is>
      </c>
      <c r="AB3545" t="inlineStr">
        <is>
          <t>홈서비스</t>
        </is>
      </c>
      <c r="AC3545" t="n">
        <v>858880</v>
      </c>
      <c r="AD3545" t="n">
        <v>68320</v>
      </c>
      <c r="AE3545" t="n">
        <v>790560</v>
      </c>
      <c r="AF3545" t="n">
        <v>780800</v>
      </c>
      <c r="AG3545" t="n">
        <v>66065.44</v>
      </c>
      <c r="AH3545" t="n">
        <v>714734.5600000001</v>
      </c>
      <c r="AI3545" t="n">
        <v>0</v>
      </c>
    </row>
    <row r="3546">
      <c r="A3546" t="inlineStr">
        <is>
          <t>3월</t>
        </is>
      </c>
      <c r="B3546" t="inlineStr">
        <is>
          <t>11주차</t>
        </is>
      </c>
      <c r="C3546" t="inlineStr">
        <is>
          <t>EP</t>
        </is>
      </c>
      <c r="D3546" s="28" t="n">
        <v>46091</v>
      </c>
      <c r="E3546" t="inlineStr">
        <is>
          <t>현대EP_fast</t>
        </is>
      </c>
      <c r="F3546" t="inlineStr">
        <is>
          <t>원수연</t>
        </is>
      </c>
      <c r="G3546" t="inlineStr">
        <is>
          <t>010-7193-9719</t>
        </is>
      </c>
      <c r="H3546" t="inlineStr">
        <is>
          <t>75주2787</t>
        </is>
      </c>
      <c r="I3546" t="n">
        <v>10800000</v>
      </c>
      <c r="J3546" t="n">
        <v>0.09</v>
      </c>
      <c r="K3546" t="n">
        <v>1.76</v>
      </c>
      <c r="L3546" t="n">
        <v>0.14</v>
      </c>
      <c r="M3546" t="n">
        <v>1.62</v>
      </c>
      <c r="P3546" t="inlineStr">
        <is>
          <t>김수연</t>
        </is>
      </c>
      <c r="Q3546" t="inlineStr">
        <is>
          <t>홈서비스 36개월</t>
        </is>
      </c>
      <c r="AB3546" t="inlineStr">
        <is>
          <t>홈서비스</t>
        </is>
      </c>
      <c r="AC3546" t="n">
        <v>190080</v>
      </c>
      <c r="AD3546" t="n">
        <v>15120</v>
      </c>
      <c r="AE3546" t="n">
        <v>174960</v>
      </c>
      <c r="AF3546" t="n">
        <v>172800</v>
      </c>
      <c r="AG3546" t="n">
        <v>14621.04</v>
      </c>
      <c r="AH3546" t="n">
        <v>158178.96</v>
      </c>
      <c r="AI3546" t="n">
        <v>0</v>
      </c>
    </row>
    <row r="3547">
      <c r="A3547" t="inlineStr">
        <is>
          <t>3월</t>
        </is>
      </c>
      <c r="B3547" t="inlineStr">
        <is>
          <t>13주차</t>
        </is>
      </c>
      <c r="C3547" t="inlineStr">
        <is>
          <t>EP</t>
        </is>
      </c>
      <c r="D3547" s="28" t="n">
        <v>46105</v>
      </c>
      <c r="E3547" t="inlineStr">
        <is>
          <t>현대EP</t>
        </is>
      </c>
      <c r="F3547" t="inlineStr">
        <is>
          <t>정재웅</t>
        </is>
      </c>
      <c r="G3547" t="inlineStr">
        <is>
          <t>010-3514-7143</t>
        </is>
      </c>
      <c r="H3547" t="inlineStr">
        <is>
          <t>14주3460</t>
        </is>
      </c>
      <c r="I3547" t="n">
        <v>17400000</v>
      </c>
      <c r="J3547" t="n">
        <v>0.07099999999999999</v>
      </c>
      <c r="K3547" t="n">
        <v>1.21</v>
      </c>
      <c r="L3547" t="n">
        <v>0.14</v>
      </c>
      <c r="M3547" t="n">
        <v>1.07</v>
      </c>
      <c r="P3547" t="inlineStr">
        <is>
          <t>김수연</t>
        </is>
      </c>
      <c r="Q3547" t="inlineStr">
        <is>
          <t>홈서비스 60개월</t>
        </is>
      </c>
      <c r="AB3547" t="inlineStr">
        <is>
          <t>홈서비스</t>
        </is>
      </c>
      <c r="AC3547" t="n">
        <v>210540</v>
      </c>
      <c r="AD3547" t="n">
        <v>24360</v>
      </c>
      <c r="AE3547" t="n">
        <v>186180</v>
      </c>
      <c r="AF3547" t="n">
        <v>191400</v>
      </c>
      <c r="AG3547" t="n">
        <v>23556.12</v>
      </c>
      <c r="AH3547" t="n">
        <v>167843.88</v>
      </c>
      <c r="AI3547" t="n">
        <v>0</v>
      </c>
    </row>
    <row r="3548">
      <c r="A3548" t="inlineStr">
        <is>
          <t>3월</t>
        </is>
      </c>
      <c r="B3548" t="inlineStr">
        <is>
          <t>10주차</t>
        </is>
      </c>
      <c r="C3548" t="inlineStr">
        <is>
          <t>EP</t>
        </is>
      </c>
      <c r="D3548" s="28" t="n">
        <v>46085</v>
      </c>
      <c r="E3548" t="inlineStr">
        <is>
          <t>현대EP_fast</t>
        </is>
      </c>
      <c r="F3548" t="inlineStr">
        <is>
          <t>우영규</t>
        </is>
      </c>
      <c r="G3548" t="inlineStr">
        <is>
          <t>010-7756-6966</t>
        </is>
      </c>
      <c r="H3548" t="inlineStr">
        <is>
          <t>142라6326</t>
        </is>
      </c>
      <c r="I3548" t="n">
        <v>3000000</v>
      </c>
      <c r="J3548" t="n">
        <v>0.092</v>
      </c>
      <c r="K3548" t="n">
        <v>1.76</v>
      </c>
      <c r="L3548" t="n">
        <v>0.14</v>
      </c>
      <c r="M3548" t="n">
        <v>1.62</v>
      </c>
      <c r="P3548" t="inlineStr">
        <is>
          <t>김나윤</t>
        </is>
      </c>
      <c r="Q3548" t="inlineStr">
        <is>
          <t>홈서비스 60개월</t>
        </is>
      </c>
      <c r="AB3548" t="inlineStr">
        <is>
          <t>홈서비스</t>
        </is>
      </c>
      <c r="AC3548" t="n">
        <v>52800</v>
      </c>
      <c r="AD3548" t="n">
        <v>4200</v>
      </c>
      <c r="AE3548" t="n">
        <v>48600</v>
      </c>
      <c r="AF3548" t="n">
        <v>48000</v>
      </c>
      <c r="AG3548" t="n">
        <v>4061.4</v>
      </c>
      <c r="AH3548" t="n">
        <v>43938.6</v>
      </c>
      <c r="AI3548" t="n">
        <v>0</v>
      </c>
    </row>
    <row r="3549">
      <c r="A3549" t="inlineStr">
        <is>
          <t>3월</t>
        </is>
      </c>
      <c r="B3549" t="inlineStr">
        <is>
          <t>10주차</t>
        </is>
      </c>
      <c r="C3549" t="inlineStr">
        <is>
          <t>IM</t>
        </is>
      </c>
      <c r="D3549" s="28" t="n">
        <v>46086</v>
      </c>
      <c r="E3549" t="inlineStr">
        <is>
          <t>IM캐피탈</t>
        </is>
      </c>
      <c r="F3549" t="inlineStr">
        <is>
          <t>윤중원</t>
        </is>
      </c>
      <c r="G3549" t="inlineStr">
        <is>
          <t>010-3464-6884</t>
        </is>
      </c>
      <c r="H3549" t="inlineStr">
        <is>
          <t>196러2907</t>
        </is>
      </c>
      <c r="I3549" t="n">
        <v>10000000</v>
      </c>
      <c r="J3549" t="n">
        <v>0.049</v>
      </c>
      <c r="K3549" t="n">
        <v>1.1</v>
      </c>
      <c r="L3549" t="n">
        <v>0.14</v>
      </c>
      <c r="M3549" t="n">
        <v>0.96</v>
      </c>
      <c r="P3549" t="inlineStr">
        <is>
          <t>김나윤</t>
        </is>
      </c>
      <c r="Q3549" t="inlineStr">
        <is>
          <t>홈서비스 60개월</t>
        </is>
      </c>
      <c r="AB3549" t="inlineStr">
        <is>
          <t>홈서비스</t>
        </is>
      </c>
      <c r="AC3549" t="n">
        <v>110000</v>
      </c>
      <c r="AD3549" t="n">
        <v>14000</v>
      </c>
      <c r="AE3549" t="n">
        <v>96000</v>
      </c>
      <c r="AF3549" t="n">
        <v>100000</v>
      </c>
      <c r="AG3549" t="n">
        <v>13538</v>
      </c>
      <c r="AH3549" t="n">
        <v>86462</v>
      </c>
      <c r="AI3549" t="n">
        <v>0</v>
      </c>
    </row>
    <row r="3550">
      <c r="A3550" t="inlineStr">
        <is>
          <t>3월</t>
        </is>
      </c>
      <c r="B3550" t="inlineStr">
        <is>
          <t>10주차</t>
        </is>
      </c>
      <c r="C3550" t="inlineStr">
        <is>
          <t>OR</t>
        </is>
      </c>
      <c r="D3550" s="28" t="n">
        <v>46087</v>
      </c>
      <c r="E3550" t="inlineStr">
        <is>
          <t>오릭스</t>
        </is>
      </c>
      <c r="F3550" t="inlineStr">
        <is>
          <t>강영운</t>
        </is>
      </c>
      <c r="G3550" t="inlineStr">
        <is>
          <t>010-5550-5999</t>
        </is>
      </c>
      <c r="H3550" t="inlineStr">
        <is>
          <t>54저0903</t>
        </is>
      </c>
      <c r="I3550" t="n">
        <v>3700000</v>
      </c>
      <c r="J3550" t="n">
        <v>0.065</v>
      </c>
      <c r="K3550" t="n">
        <v>1.21</v>
      </c>
      <c r="L3550" t="n">
        <v>0.14</v>
      </c>
      <c r="M3550" t="n">
        <v>1.07</v>
      </c>
      <c r="P3550" t="inlineStr">
        <is>
          <t>김나윤</t>
        </is>
      </c>
      <c r="Q3550" t="inlineStr">
        <is>
          <t>홈서비스 36개월</t>
        </is>
      </c>
      <c r="AB3550" t="inlineStr">
        <is>
          <t>홈서비스</t>
        </is>
      </c>
      <c r="AC3550" t="n">
        <v>44770</v>
      </c>
      <c r="AD3550" t="n">
        <v>5180</v>
      </c>
      <c r="AE3550" t="n">
        <v>39590</v>
      </c>
      <c r="AF3550" t="n">
        <v>40700</v>
      </c>
      <c r="AG3550" t="n">
        <v>5009.06</v>
      </c>
      <c r="AH3550" t="n">
        <v>35690.94</v>
      </c>
      <c r="AI3550" t="n">
        <v>0</v>
      </c>
    </row>
    <row r="3551">
      <c r="A3551" t="inlineStr">
        <is>
          <t>3월</t>
        </is>
      </c>
      <c r="B3551" t="inlineStr">
        <is>
          <t>11주차</t>
        </is>
      </c>
      <c r="C3551" t="inlineStr">
        <is>
          <t>WC</t>
        </is>
      </c>
      <c r="D3551" s="28" t="n">
        <v>46091</v>
      </c>
      <c r="E3551" t="inlineStr">
        <is>
          <t>웰컴저축은행</t>
        </is>
      </c>
      <c r="F3551" t="inlineStr">
        <is>
          <t>제진수</t>
        </is>
      </c>
      <c r="G3551" t="inlineStr">
        <is>
          <t>010-5073-7937</t>
        </is>
      </c>
      <c r="H3551" t="inlineStr">
        <is>
          <t>220거6593</t>
        </is>
      </c>
      <c r="I3551" t="n">
        <v>13500000</v>
      </c>
      <c r="J3551" t="n">
        <v>0.159</v>
      </c>
      <c r="K3551" t="n">
        <v>0</v>
      </c>
      <c r="L3551" t="n">
        <v>0.14</v>
      </c>
      <c r="M3551" t="n">
        <v>-0.14</v>
      </c>
      <c r="P3551" t="inlineStr">
        <is>
          <t>김나윤</t>
        </is>
      </c>
      <c r="Q3551" t="inlineStr">
        <is>
          <t>홈서비스 60개월</t>
        </is>
      </c>
      <c r="AB3551" t="inlineStr">
        <is>
          <t>홈서비스</t>
        </is>
      </c>
      <c r="AC3551" t="n">
        <v>0</v>
      </c>
      <c r="AD3551" t="n">
        <v>18900</v>
      </c>
      <c r="AE3551" t="n">
        <v>-18900</v>
      </c>
      <c r="AF3551" t="n">
        <v>0</v>
      </c>
      <c r="AG3551" t="n">
        <v>18276.3</v>
      </c>
      <c r="AH3551" t="n">
        <v>-18276.3</v>
      </c>
    </row>
    <row r="3552">
      <c r="A3552" t="inlineStr">
        <is>
          <t>3월</t>
        </is>
      </c>
      <c r="B3552" t="inlineStr">
        <is>
          <t>11주차</t>
        </is>
      </c>
      <c r="C3552" t="inlineStr">
        <is>
          <t>EP</t>
        </is>
      </c>
      <c r="D3552" s="28" t="n">
        <v>46093</v>
      </c>
      <c r="E3552" t="inlineStr">
        <is>
          <t>현대EP</t>
        </is>
      </c>
      <c r="F3552" t="inlineStr">
        <is>
          <t>사영우</t>
        </is>
      </c>
      <c r="G3552" t="inlineStr">
        <is>
          <t>010-5263-2103</t>
        </is>
      </c>
      <c r="H3552" t="inlineStr">
        <is>
          <t>336저4311</t>
        </is>
      </c>
      <c r="I3552" t="n">
        <v>32900000</v>
      </c>
      <c r="J3552" t="n">
        <v>0.092</v>
      </c>
      <c r="K3552" t="n">
        <v>1.76</v>
      </c>
      <c r="L3552" t="n">
        <v>0.14</v>
      </c>
      <c r="M3552" t="n">
        <v>1.62</v>
      </c>
      <c r="P3552" t="inlineStr">
        <is>
          <t>김나윤</t>
        </is>
      </c>
      <c r="Q3552" t="inlineStr">
        <is>
          <t>홈서비스 60개월</t>
        </is>
      </c>
      <c r="AB3552" t="inlineStr">
        <is>
          <t>홈서비스</t>
        </is>
      </c>
      <c r="AC3552" t="n">
        <v>579040</v>
      </c>
      <c r="AD3552" t="n">
        <v>46060</v>
      </c>
      <c r="AE3552" t="n">
        <v>532980</v>
      </c>
      <c r="AF3552" t="n">
        <v>526400</v>
      </c>
      <c r="AG3552" t="n">
        <v>44540.02</v>
      </c>
      <c r="AH3552" t="n">
        <v>481859.98</v>
      </c>
      <c r="AI3552" t="n">
        <v>0</v>
      </c>
    </row>
    <row r="3553">
      <c r="A3553" t="inlineStr">
        <is>
          <t>4월</t>
        </is>
      </c>
      <c r="B3553" t="inlineStr">
        <is>
          <t>17주차</t>
        </is>
      </c>
      <c r="C3553" t="inlineStr">
        <is>
          <t>EP</t>
        </is>
      </c>
      <c r="D3553" s="28" t="n">
        <v>46133</v>
      </c>
      <c r="E3553" t="inlineStr">
        <is>
          <t>제이비EP</t>
        </is>
      </c>
      <c r="F3553" t="inlineStr">
        <is>
          <t>이마로</t>
        </is>
      </c>
      <c r="G3553" t="inlineStr">
        <is>
          <t>010-3955-2612</t>
        </is>
      </c>
      <c r="H3553" t="inlineStr">
        <is>
          <t>64저0573</t>
        </is>
      </c>
      <c r="I3553" t="n">
        <v>6400000</v>
      </c>
      <c r="J3553" t="n">
        <v>0.08699999999999999</v>
      </c>
      <c r="K3553" t="n">
        <v>1.65</v>
      </c>
      <c r="L3553" t="n">
        <v>0.07000000000000001</v>
      </c>
      <c r="M3553" t="n">
        <v>1.58</v>
      </c>
      <c r="P3553" t="inlineStr">
        <is>
          <t>정세빈</t>
        </is>
      </c>
      <c r="Q3553" t="inlineStr">
        <is>
          <t>홈서비스 24개월</t>
        </is>
      </c>
      <c r="AB3553" t="inlineStr">
        <is>
          <t>홈서비스</t>
        </is>
      </c>
      <c r="AC3553" t="n">
        <v>105600</v>
      </c>
      <c r="AD3553" t="n">
        <v>4480</v>
      </c>
      <c r="AE3553" t="n">
        <v>101120</v>
      </c>
      <c r="AF3553" t="n">
        <v>96000</v>
      </c>
      <c r="AG3553" t="n">
        <v>4332.16</v>
      </c>
      <c r="AH3553" t="n">
        <v>91667.84</v>
      </c>
      <c r="AI3553" t="n">
        <v>0</v>
      </c>
    </row>
    <row r="3554">
      <c r="A3554" t="inlineStr">
        <is>
          <t>4월</t>
        </is>
      </c>
      <c r="B3554" t="inlineStr">
        <is>
          <t>17주차</t>
        </is>
      </c>
      <c r="C3554" t="inlineStr">
        <is>
          <t>EP</t>
        </is>
      </c>
      <c r="D3554" s="28" t="n">
        <v>46134</v>
      </c>
      <c r="E3554" t="inlineStr">
        <is>
          <t>현대EP_fast</t>
        </is>
      </c>
      <c r="F3554" t="inlineStr">
        <is>
          <t>김성혁</t>
        </is>
      </c>
      <c r="G3554" t="inlineStr">
        <is>
          <t>010-5283-5422</t>
        </is>
      </c>
      <c r="H3554" t="inlineStr">
        <is>
          <t>710고5724</t>
        </is>
      </c>
      <c r="I3554" t="n">
        <v>28800000</v>
      </c>
      <c r="J3554" t="n">
        <v>0.075</v>
      </c>
      <c r="K3554" t="n">
        <v>1.76</v>
      </c>
      <c r="L3554" t="n">
        <v>0.2</v>
      </c>
      <c r="M3554" t="n">
        <v>1.56</v>
      </c>
      <c r="P3554" t="inlineStr">
        <is>
          <t>김수연</t>
        </is>
      </c>
      <c r="Q3554" t="inlineStr">
        <is>
          <t>홈서비스 60개월</t>
        </is>
      </c>
      <c r="AB3554" t="inlineStr">
        <is>
          <t>홈서비스</t>
        </is>
      </c>
      <c r="AC3554" t="n">
        <v>506880</v>
      </c>
      <c r="AD3554" t="n">
        <v>57600</v>
      </c>
      <c r="AE3554" t="n">
        <v>449280</v>
      </c>
      <c r="AF3554" t="n">
        <v>460800</v>
      </c>
      <c r="AG3554" t="n">
        <v>55699.2</v>
      </c>
      <c r="AH3554" t="n">
        <v>405100.8</v>
      </c>
      <c r="AI3554" t="n">
        <v>0</v>
      </c>
    </row>
    <row r="3555">
      <c r="A3555" t="inlineStr">
        <is>
          <t>4월</t>
        </is>
      </c>
      <c r="B3555" t="inlineStr">
        <is>
          <t>17주차</t>
        </is>
      </c>
      <c r="C3555" t="inlineStr">
        <is>
          <t>EP</t>
        </is>
      </c>
      <c r="D3555" s="28" t="n">
        <v>46134</v>
      </c>
      <c r="E3555" t="inlineStr">
        <is>
          <t>현대EP_fast</t>
        </is>
      </c>
      <c r="F3555" t="inlineStr">
        <is>
          <t>임수현</t>
        </is>
      </c>
      <c r="G3555" t="inlineStr">
        <is>
          <t>010-3934-9679</t>
        </is>
      </c>
      <c r="H3555" t="inlineStr">
        <is>
          <t>16누3331</t>
        </is>
      </c>
      <c r="I3555" t="n">
        <v>5500000</v>
      </c>
      <c r="J3555" t="n">
        <v>0.08799999999999999</v>
      </c>
      <c r="K3555" t="n">
        <v>1.76</v>
      </c>
      <c r="L3555" t="n">
        <v>0.2</v>
      </c>
      <c r="M3555" t="n">
        <v>1.56</v>
      </c>
      <c r="P3555" t="inlineStr">
        <is>
          <t>정세빈</t>
        </is>
      </c>
      <c r="Q3555" t="inlineStr">
        <is>
          <t>홈서비스 48개월</t>
        </is>
      </c>
      <c r="AB3555" t="inlineStr">
        <is>
          <t>홈서비스</t>
        </is>
      </c>
      <c r="AC3555" t="n">
        <v>96800</v>
      </c>
      <c r="AD3555" t="n">
        <v>11000</v>
      </c>
      <c r="AE3555" t="n">
        <v>85800</v>
      </c>
      <c r="AF3555" t="n">
        <v>88000</v>
      </c>
      <c r="AG3555" t="n">
        <v>10637</v>
      </c>
      <c r="AH3555" t="n">
        <v>77363</v>
      </c>
      <c r="AI3555" t="n">
        <v>0</v>
      </c>
    </row>
    <row r="3556">
      <c r="A3556" t="inlineStr">
        <is>
          <t>4월</t>
        </is>
      </c>
      <c r="B3556" t="inlineStr">
        <is>
          <t>17주차</t>
        </is>
      </c>
      <c r="C3556" t="inlineStr">
        <is>
          <t>EP</t>
        </is>
      </c>
      <c r="D3556" s="28" t="n">
        <v>46134</v>
      </c>
      <c r="E3556" t="inlineStr">
        <is>
          <t>BNKEP</t>
        </is>
      </c>
      <c r="F3556" t="inlineStr">
        <is>
          <t>차일도</t>
        </is>
      </c>
      <c r="G3556" t="inlineStr">
        <is>
          <t>010-9401-3078</t>
        </is>
      </c>
      <c r="H3556" t="inlineStr">
        <is>
          <t>244서6630</t>
        </is>
      </c>
      <c r="I3556" t="n">
        <v>17000000</v>
      </c>
      <c r="J3556" t="n">
        <v>0.067</v>
      </c>
      <c r="K3556" t="n">
        <v>1.65</v>
      </c>
      <c r="L3556" t="n">
        <v>0.07000000000000001</v>
      </c>
      <c r="M3556" t="n">
        <v>1.58</v>
      </c>
      <c r="P3556" t="inlineStr">
        <is>
          <t>최형주</t>
        </is>
      </c>
      <c r="Q3556" t="inlineStr">
        <is>
          <t>홈서비스 24개월</t>
        </is>
      </c>
      <c r="AB3556" t="inlineStr">
        <is>
          <t>홈서비스</t>
        </is>
      </c>
      <c r="AC3556" t="n">
        <v>280500</v>
      </c>
      <c r="AD3556" t="n">
        <v>11900</v>
      </c>
      <c r="AE3556" t="n">
        <v>268600</v>
      </c>
      <c r="AF3556" t="n">
        <v>255000</v>
      </c>
      <c r="AG3556" t="n">
        <v>11507.3</v>
      </c>
      <c r="AH3556" t="n">
        <v>243492.7</v>
      </c>
    </row>
    <row r="3557">
      <c r="A3557" t="inlineStr">
        <is>
          <t>4월</t>
        </is>
      </c>
      <c r="B3557" t="inlineStr">
        <is>
          <t>17주차</t>
        </is>
      </c>
      <c r="C3557" t="inlineStr">
        <is>
          <t>EP</t>
        </is>
      </c>
      <c r="D3557" s="28" t="n">
        <v>46133</v>
      </c>
      <c r="E3557" t="inlineStr">
        <is>
          <t>현대EP_fast</t>
        </is>
      </c>
      <c r="F3557" t="inlineStr">
        <is>
          <t>류지혜</t>
        </is>
      </c>
      <c r="G3557" t="inlineStr">
        <is>
          <t>010-8776-8102</t>
        </is>
      </c>
      <c r="H3557" t="inlineStr">
        <is>
          <t>202머4924</t>
        </is>
      </c>
      <c r="I3557" t="n">
        <v>8700000</v>
      </c>
      <c r="J3557" t="n">
        <v>0.1</v>
      </c>
      <c r="K3557" t="n">
        <v>1.76</v>
      </c>
      <c r="L3557" t="n">
        <v>0.4</v>
      </c>
      <c r="M3557" t="n">
        <v>1.36</v>
      </c>
      <c r="P3557" t="inlineStr">
        <is>
          <t>장현경</t>
        </is>
      </c>
      <c r="Q3557" t="inlineStr">
        <is>
          <t>공동명의</t>
        </is>
      </c>
      <c r="AB3557" t="inlineStr">
        <is>
          <t>엔카</t>
        </is>
      </c>
      <c r="AC3557" t="n">
        <v>153120</v>
      </c>
      <c r="AD3557" t="n">
        <v>34800</v>
      </c>
      <c r="AE3557" t="n">
        <v>118320</v>
      </c>
      <c r="AF3557" t="n">
        <v>139200</v>
      </c>
      <c r="AG3557" t="n">
        <v>33651.6</v>
      </c>
      <c r="AH3557" t="n">
        <v>105548.4</v>
      </c>
      <c r="AI3557" t="n">
        <v>0</v>
      </c>
    </row>
    <row r="3558">
      <c r="A3558" t="inlineStr">
        <is>
          <t>4월</t>
        </is>
      </c>
      <c r="B3558" t="inlineStr">
        <is>
          <t>17주차</t>
        </is>
      </c>
      <c r="C3558" t="inlineStr">
        <is>
          <t>EP</t>
        </is>
      </c>
      <c r="D3558" s="28" t="n">
        <v>46134</v>
      </c>
      <c r="E3558" t="inlineStr">
        <is>
          <t>현대EP_fast</t>
        </is>
      </c>
      <c r="F3558" t="inlineStr">
        <is>
          <t>이은철</t>
        </is>
      </c>
      <c r="G3558" t="inlineStr">
        <is>
          <t>010-3339-7216</t>
        </is>
      </c>
      <c r="H3558" t="inlineStr">
        <is>
          <t>05다7690</t>
        </is>
      </c>
      <c r="I3558" t="n">
        <v>49900000</v>
      </c>
      <c r="J3558" t="n">
        <v>0.075</v>
      </c>
      <c r="K3558" t="n">
        <v>1.76</v>
      </c>
      <c r="L3558" t="n">
        <v>0.2</v>
      </c>
      <c r="M3558" t="n">
        <v>1.56</v>
      </c>
      <c r="P3558" t="inlineStr">
        <is>
          <t>김수연</t>
        </is>
      </c>
      <c r="Q3558" t="inlineStr">
        <is>
          <t>홈서비스 60개월</t>
        </is>
      </c>
      <c r="AB3558" t="inlineStr">
        <is>
          <t>홈서비스</t>
        </is>
      </c>
      <c r="AC3558" t="n">
        <v>878240</v>
      </c>
      <c r="AD3558" t="n">
        <v>99800</v>
      </c>
      <c r="AE3558" t="n">
        <v>778440</v>
      </c>
      <c r="AF3558" t="n">
        <v>798400</v>
      </c>
      <c r="AG3558" t="n">
        <v>96506.60000000001</v>
      </c>
      <c r="AH3558" t="n">
        <v>701893.4</v>
      </c>
      <c r="AI3558" t="n">
        <v>0</v>
      </c>
    </row>
    <row r="3559">
      <c r="A3559" t="inlineStr">
        <is>
          <t>4월</t>
        </is>
      </c>
      <c r="B3559" t="inlineStr">
        <is>
          <t>17주차</t>
        </is>
      </c>
      <c r="C3559" t="inlineStr">
        <is>
          <t>EP</t>
        </is>
      </c>
      <c r="D3559" s="28" t="n">
        <v>46134</v>
      </c>
      <c r="E3559" t="inlineStr">
        <is>
          <t>현대EP_fast</t>
        </is>
      </c>
      <c r="F3559" t="inlineStr">
        <is>
          <t>박성민</t>
        </is>
      </c>
      <c r="G3559" t="inlineStr">
        <is>
          <t>010-7475-5638</t>
        </is>
      </c>
      <c r="H3559" t="inlineStr">
        <is>
          <t>39오6428</t>
        </is>
      </c>
      <c r="I3559" t="n">
        <v>19900000</v>
      </c>
      <c r="J3559" t="n">
        <v>0.102</v>
      </c>
      <c r="K3559" t="n">
        <v>1.76</v>
      </c>
      <c r="L3559" t="n">
        <v>0.2</v>
      </c>
      <c r="M3559" t="n">
        <v>1.56</v>
      </c>
      <c r="P3559" t="inlineStr">
        <is>
          <t>최형주</t>
        </is>
      </c>
      <c r="Q3559" t="inlineStr">
        <is>
          <t>홈서비스 60개월</t>
        </is>
      </c>
      <c r="AB3559" t="inlineStr">
        <is>
          <t>홈서비스</t>
        </is>
      </c>
      <c r="AC3559" t="n">
        <v>350240</v>
      </c>
      <c r="AD3559" t="n">
        <v>39800</v>
      </c>
      <c r="AE3559" t="n">
        <v>310440</v>
      </c>
      <c r="AF3559" t="n">
        <v>318400</v>
      </c>
      <c r="AG3559" t="n">
        <v>38486.6</v>
      </c>
      <c r="AH3559" t="n">
        <v>279913.4</v>
      </c>
      <c r="AI3559" t="n">
        <v>0</v>
      </c>
    </row>
    <row r="3560">
      <c r="A3560" t="inlineStr">
        <is>
          <t>4월</t>
        </is>
      </c>
      <c r="B3560" t="inlineStr">
        <is>
          <t>17주차</t>
        </is>
      </c>
      <c r="C3560" t="inlineStr">
        <is>
          <t>EP</t>
        </is>
      </c>
      <c r="D3560" s="28" t="n">
        <v>46133</v>
      </c>
      <c r="E3560" t="inlineStr">
        <is>
          <t>현대EP_fast</t>
        </is>
      </c>
      <c r="F3560" t="inlineStr">
        <is>
          <t>김길수</t>
        </is>
      </c>
      <c r="G3560" t="inlineStr">
        <is>
          <t>010-4607-7999</t>
        </is>
      </c>
      <c r="H3560" t="inlineStr">
        <is>
          <t>161보8307</t>
        </is>
      </c>
      <c r="I3560" t="n">
        <v>10300000</v>
      </c>
      <c r="J3560" t="n">
        <v>0.102</v>
      </c>
      <c r="K3560" t="n">
        <v>1.76</v>
      </c>
      <c r="L3560" t="n">
        <v>0.2</v>
      </c>
      <c r="M3560" t="n">
        <v>1.56</v>
      </c>
      <c r="P3560" t="inlineStr">
        <is>
          <t>황채이</t>
        </is>
      </c>
      <c r="Q3560" t="inlineStr">
        <is>
          <t>홈서비스 48개월</t>
        </is>
      </c>
      <c r="AB3560" t="inlineStr">
        <is>
          <t>홈서비스</t>
        </is>
      </c>
      <c r="AC3560" t="n">
        <v>181280</v>
      </c>
      <c r="AD3560" t="n">
        <v>20600</v>
      </c>
      <c r="AE3560" t="n">
        <v>160680</v>
      </c>
      <c r="AF3560" t="n">
        <v>164800</v>
      </c>
      <c r="AG3560" t="n">
        <v>19920.2</v>
      </c>
      <c r="AH3560" t="n">
        <v>144879.8</v>
      </c>
      <c r="AI3560" t="n">
        <v>0</v>
      </c>
    </row>
    <row r="3561">
      <c r="A3561" t="inlineStr">
        <is>
          <t>3월</t>
        </is>
      </c>
      <c r="B3561" t="inlineStr">
        <is>
          <t>10주차</t>
        </is>
      </c>
      <c r="C3561" t="inlineStr">
        <is>
          <t>EP</t>
        </is>
      </c>
      <c r="D3561" s="28" t="n">
        <v>46086</v>
      </c>
      <c r="E3561" t="inlineStr">
        <is>
          <t>현대EP</t>
        </is>
      </c>
      <c r="F3561" t="inlineStr">
        <is>
          <t>조주환</t>
        </is>
      </c>
      <c r="G3561" t="inlineStr">
        <is>
          <t>010-7458-6242</t>
        </is>
      </c>
      <c r="H3561" t="inlineStr">
        <is>
          <t>21다4509</t>
        </is>
      </c>
      <c r="I3561" t="n">
        <v>11000000</v>
      </c>
      <c r="J3561" t="n">
        <v>0.08699999999999999</v>
      </c>
      <c r="K3561" t="n">
        <v>1.76</v>
      </c>
      <c r="L3561" t="n">
        <v>0.14</v>
      </c>
      <c r="M3561" t="n">
        <v>1.62</v>
      </c>
      <c r="P3561" t="inlineStr">
        <is>
          <t>최형주</t>
        </is>
      </c>
      <c r="Q3561" t="inlineStr">
        <is>
          <t>홈서비스 60개월</t>
        </is>
      </c>
      <c r="AB3561" t="inlineStr">
        <is>
          <t>홈서비스</t>
        </is>
      </c>
      <c r="AC3561" t="n">
        <v>193600</v>
      </c>
      <c r="AD3561" t="n">
        <v>15400</v>
      </c>
      <c r="AE3561" t="n">
        <v>178200</v>
      </c>
      <c r="AF3561" t="n">
        <v>176000</v>
      </c>
      <c r="AG3561" t="n">
        <v>14891.8</v>
      </c>
      <c r="AH3561" t="n">
        <v>161108.2</v>
      </c>
    </row>
    <row r="3562">
      <c r="A3562" t="inlineStr">
        <is>
          <t>3월</t>
        </is>
      </c>
      <c r="B3562" t="inlineStr">
        <is>
          <t>10주차</t>
        </is>
      </c>
      <c r="C3562" t="inlineStr">
        <is>
          <t>EP</t>
        </is>
      </c>
      <c r="D3562" s="28" t="n">
        <v>46085</v>
      </c>
      <c r="E3562" t="inlineStr">
        <is>
          <t>현대EP_fast</t>
        </is>
      </c>
      <c r="F3562" t="inlineStr">
        <is>
          <t>신재순</t>
        </is>
      </c>
      <c r="G3562" t="inlineStr">
        <is>
          <t>010-3424-1598</t>
        </is>
      </c>
      <c r="H3562" t="inlineStr">
        <is>
          <t>20고7108</t>
        </is>
      </c>
      <c r="I3562" t="n">
        <v>9200000</v>
      </c>
      <c r="J3562" t="n">
        <v>0.102</v>
      </c>
      <c r="K3562" t="n">
        <v>1.76</v>
      </c>
      <c r="L3562" t="n">
        <v>0.14</v>
      </c>
      <c r="M3562" t="n">
        <v>1.62</v>
      </c>
      <c r="P3562" t="inlineStr">
        <is>
          <t>최형주</t>
        </is>
      </c>
      <c r="Q3562" t="inlineStr">
        <is>
          <t>홈서비스 48개월 / 고객주도체결</t>
        </is>
      </c>
      <c r="AB3562" t="inlineStr">
        <is>
          <t>홈서비스</t>
        </is>
      </c>
      <c r="AC3562" t="n">
        <v>161920</v>
      </c>
      <c r="AD3562" t="n">
        <v>12880</v>
      </c>
      <c r="AE3562" t="n">
        <v>149040</v>
      </c>
      <c r="AF3562" t="n">
        <v>147200</v>
      </c>
      <c r="AG3562" t="n">
        <v>12454.96</v>
      </c>
      <c r="AH3562" t="n">
        <v>134745.04</v>
      </c>
    </row>
    <row r="3563">
      <c r="A3563" t="inlineStr">
        <is>
          <t>3월</t>
        </is>
      </c>
      <c r="B3563" t="inlineStr">
        <is>
          <t>10주차</t>
        </is>
      </c>
      <c r="C3563" t="inlineStr">
        <is>
          <t>IM</t>
        </is>
      </c>
      <c r="D3563" s="28" t="n">
        <v>46084</v>
      </c>
      <c r="E3563" t="inlineStr">
        <is>
          <t>IM캐피탈</t>
        </is>
      </c>
      <c r="F3563" t="inlineStr">
        <is>
          <t>길상윤</t>
        </is>
      </c>
      <c r="G3563" t="inlineStr">
        <is>
          <t>010-3824-5022</t>
        </is>
      </c>
      <c r="H3563" t="inlineStr">
        <is>
          <t>255조8300</t>
        </is>
      </c>
      <c r="I3563" t="n">
        <v>-26500000</v>
      </c>
      <c r="J3563" t="n">
        <v>0.066</v>
      </c>
      <c r="K3563" t="n">
        <v>1.1</v>
      </c>
      <c r="L3563" t="n">
        <v>0.14</v>
      </c>
      <c r="M3563" t="n">
        <v>0.96</v>
      </c>
      <c r="P3563" t="inlineStr">
        <is>
          <t>최형주</t>
        </is>
      </c>
      <c r="Q3563" t="inlineStr">
        <is>
          <t xml:space="preserve">홈서비스 60개월 </t>
        </is>
      </c>
      <c r="AB3563" t="inlineStr">
        <is>
          <t>홈서비스</t>
        </is>
      </c>
      <c r="AC3563" t="n">
        <v>-291500</v>
      </c>
      <c r="AD3563" t="n">
        <v>-37100</v>
      </c>
      <c r="AE3563" t="n">
        <v>-254400</v>
      </c>
      <c r="AF3563" t="n">
        <v>-265000</v>
      </c>
      <c r="AG3563" t="n">
        <v>-35875.7</v>
      </c>
      <c r="AH3563" t="n">
        <v>-229124.3</v>
      </c>
    </row>
    <row r="3564">
      <c r="A3564" t="inlineStr">
        <is>
          <t>3월</t>
        </is>
      </c>
      <c r="B3564" t="inlineStr">
        <is>
          <t>10주차</t>
        </is>
      </c>
      <c r="C3564" t="inlineStr">
        <is>
          <t>EP</t>
        </is>
      </c>
      <c r="D3564" s="28" t="n">
        <v>46084</v>
      </c>
      <c r="E3564" t="inlineStr">
        <is>
          <t>현대EP_fast</t>
        </is>
      </c>
      <c r="F3564" t="inlineStr">
        <is>
          <t>양기왕</t>
        </is>
      </c>
      <c r="G3564" t="inlineStr">
        <is>
          <t>010-6257-2045</t>
        </is>
      </c>
      <c r="H3564" t="inlineStr">
        <is>
          <t>150다6745</t>
        </is>
      </c>
      <c r="I3564" t="n">
        <v>27500000</v>
      </c>
      <c r="J3564" t="n">
        <v>0.089</v>
      </c>
      <c r="K3564" t="n">
        <v>1.76</v>
      </c>
      <c r="L3564" t="n">
        <v>0.14</v>
      </c>
      <c r="M3564" t="n">
        <v>1.62</v>
      </c>
      <c r="P3564" t="inlineStr">
        <is>
          <t>정하은</t>
        </is>
      </c>
      <c r="Q3564" t="inlineStr">
        <is>
          <t>선상담 /홈서비스 60개월 /기조회 금리원복(9.9% &gt;8.9%)</t>
        </is>
      </c>
      <c r="AB3564" t="inlineStr">
        <is>
          <t>홈서비스</t>
        </is>
      </c>
      <c r="AC3564" t="n">
        <v>484000</v>
      </c>
      <c r="AD3564" t="n">
        <v>38500</v>
      </c>
      <c r="AE3564" t="n">
        <v>445500</v>
      </c>
      <c r="AF3564" t="n">
        <v>440000</v>
      </c>
      <c r="AG3564" t="n">
        <v>37229.5</v>
      </c>
      <c r="AH3564" t="n">
        <v>402770.5</v>
      </c>
    </row>
    <row r="3565">
      <c r="A3565" t="inlineStr">
        <is>
          <t>3월</t>
        </is>
      </c>
      <c r="B3565" t="inlineStr">
        <is>
          <t>10주차</t>
        </is>
      </c>
      <c r="C3565" t="inlineStr">
        <is>
          <t>IM</t>
        </is>
      </c>
      <c r="D3565" s="28" t="n">
        <v>46086</v>
      </c>
      <c r="E3565" t="inlineStr">
        <is>
          <t>IM캐피탈</t>
        </is>
      </c>
      <c r="F3565" t="inlineStr">
        <is>
          <t>박무연</t>
        </is>
      </c>
      <c r="G3565" t="inlineStr">
        <is>
          <t>010-4646-2397</t>
        </is>
      </c>
      <c r="H3565" t="inlineStr">
        <is>
          <t>15서4508</t>
        </is>
      </c>
      <c r="I3565" t="n">
        <v>18000000</v>
      </c>
      <c r="J3565" t="n">
        <v>0.049</v>
      </c>
      <c r="K3565" t="n">
        <v>1.1</v>
      </c>
      <c r="L3565" t="n">
        <v>0.14</v>
      </c>
      <c r="M3565" t="n">
        <v>0.96</v>
      </c>
      <c r="P3565" t="inlineStr">
        <is>
          <t>정세빈</t>
        </is>
      </c>
      <c r="Q3565" t="inlineStr">
        <is>
          <t>홈서비스 60개월</t>
        </is>
      </c>
      <c r="AB3565" t="inlineStr">
        <is>
          <t>홈서비스</t>
        </is>
      </c>
      <c r="AC3565" t="n">
        <v>198000</v>
      </c>
      <c r="AD3565" t="n">
        <v>25200</v>
      </c>
      <c r="AE3565" t="n">
        <v>172800</v>
      </c>
      <c r="AF3565" t="n">
        <v>180000</v>
      </c>
      <c r="AG3565" t="n">
        <v>24368.4</v>
      </c>
      <c r="AH3565" t="n">
        <v>155631.6</v>
      </c>
    </row>
    <row r="3566">
      <c r="A3566" t="inlineStr">
        <is>
          <t>3월</t>
        </is>
      </c>
      <c r="B3566" t="inlineStr">
        <is>
          <t>10주차</t>
        </is>
      </c>
      <c r="C3566" t="inlineStr">
        <is>
          <t>EP</t>
        </is>
      </c>
      <c r="D3566" s="28" t="n">
        <v>46085</v>
      </c>
      <c r="E3566" t="inlineStr">
        <is>
          <t>현대EP_fast</t>
        </is>
      </c>
      <c r="F3566" t="inlineStr">
        <is>
          <t>김승현</t>
        </is>
      </c>
      <c r="G3566" t="inlineStr">
        <is>
          <t>010-9422-6130</t>
        </is>
      </c>
      <c r="H3566" t="inlineStr">
        <is>
          <t>14도3853</t>
        </is>
      </c>
      <c r="I3566" t="n">
        <v>7300000</v>
      </c>
      <c r="J3566" t="n">
        <v>0.119</v>
      </c>
      <c r="K3566" t="n">
        <v>1.76</v>
      </c>
      <c r="L3566" t="n">
        <v>0.14</v>
      </c>
      <c r="M3566" t="n">
        <v>1.62</v>
      </c>
      <c r="P3566" t="inlineStr">
        <is>
          <t>정광호</t>
        </is>
      </c>
      <c r="Q3566" t="inlineStr">
        <is>
          <t>홈서비스 60개월</t>
        </is>
      </c>
      <c r="AB3566" t="inlineStr">
        <is>
          <t>홈서비스</t>
        </is>
      </c>
      <c r="AC3566" t="n">
        <v>128480</v>
      </c>
      <c r="AD3566" t="n">
        <v>10220</v>
      </c>
      <c r="AE3566" t="n">
        <v>118260</v>
      </c>
      <c r="AF3566" t="n">
        <v>116800</v>
      </c>
      <c r="AG3566" t="n">
        <v>9882.74</v>
      </c>
      <c r="AH3566" t="n">
        <v>106917.26</v>
      </c>
    </row>
    <row r="3567">
      <c r="A3567" t="inlineStr">
        <is>
          <t>3월</t>
        </is>
      </c>
      <c r="B3567" t="inlineStr">
        <is>
          <t>12주차</t>
        </is>
      </c>
      <c r="C3567" t="inlineStr">
        <is>
          <t>IM</t>
        </is>
      </c>
      <c r="D3567" s="28" t="n">
        <v>46098</v>
      </c>
      <c r="E3567" t="inlineStr">
        <is>
          <t>IM캐피탈</t>
        </is>
      </c>
      <c r="F3567" t="inlineStr">
        <is>
          <t>장혁성</t>
        </is>
      </c>
      <c r="G3567" t="inlineStr">
        <is>
          <t>010-3188-1605</t>
        </is>
      </c>
      <c r="H3567" t="inlineStr">
        <is>
          <t>355오2907</t>
        </is>
      </c>
      <c r="I3567" t="n">
        <v>13000000</v>
      </c>
      <c r="J3567" t="n">
        <v>0.06900000000000001</v>
      </c>
      <c r="K3567" t="n">
        <v>1.1</v>
      </c>
      <c r="L3567" t="n">
        <v>0.14</v>
      </c>
      <c r="M3567" t="n">
        <v>0.96</v>
      </c>
      <c r="P3567" t="inlineStr">
        <is>
          <t>김나윤</t>
        </is>
      </c>
      <c r="Q3567" t="inlineStr">
        <is>
          <t>홈서비스 48개월</t>
        </is>
      </c>
      <c r="AB3567" t="inlineStr">
        <is>
          <t>홈서비스</t>
        </is>
      </c>
      <c r="AC3567" t="n">
        <v>143000</v>
      </c>
      <c r="AD3567" t="n">
        <v>18200</v>
      </c>
      <c r="AE3567" t="n">
        <v>124800</v>
      </c>
      <c r="AF3567" t="n">
        <v>130000</v>
      </c>
      <c r="AG3567" t="n">
        <v>17599.4</v>
      </c>
      <c r="AH3567" t="n">
        <v>112400.6</v>
      </c>
      <c r="AI3567" t="n">
        <v>0</v>
      </c>
    </row>
    <row r="3568">
      <c r="A3568" t="inlineStr">
        <is>
          <t>4월</t>
        </is>
      </c>
      <c r="B3568" t="inlineStr">
        <is>
          <t>17주차</t>
        </is>
      </c>
      <c r="C3568" t="inlineStr">
        <is>
          <t>EP</t>
        </is>
      </c>
      <c r="D3568" s="28" t="n">
        <v>46134</v>
      </c>
      <c r="E3568" t="inlineStr">
        <is>
          <t>현대EP_fast</t>
        </is>
      </c>
      <c r="F3568" t="inlineStr">
        <is>
          <t>박지호</t>
        </is>
      </c>
      <c r="G3568" t="inlineStr">
        <is>
          <t>010-2345-7848</t>
        </is>
      </c>
      <c r="I3568" t="n">
        <v>6300000</v>
      </c>
      <c r="J3568" t="n">
        <v>0.07199999999999999</v>
      </c>
      <c r="K3568" t="n">
        <v>1.76</v>
      </c>
      <c r="L3568" t="n">
        <v>0.2</v>
      </c>
      <c r="M3568" t="n">
        <v>1.56</v>
      </c>
      <c r="P3568" t="inlineStr">
        <is>
          <t>김수연</t>
        </is>
      </c>
      <c r="Q3568" t="inlineStr">
        <is>
          <t>홈서비스 24개월</t>
        </is>
      </c>
      <c r="AB3568" t="inlineStr">
        <is>
          <t>홈서비스</t>
        </is>
      </c>
      <c r="AC3568" t="n">
        <v>110880</v>
      </c>
      <c r="AD3568" t="n">
        <v>12600</v>
      </c>
      <c r="AE3568" t="n">
        <v>98280</v>
      </c>
      <c r="AF3568" t="n">
        <v>100800</v>
      </c>
      <c r="AG3568" t="n">
        <v>12184.2</v>
      </c>
      <c r="AH3568" t="n">
        <v>88615.8</v>
      </c>
      <c r="AI3568" t="n">
        <v>0</v>
      </c>
    </row>
    <row r="3569">
      <c r="A3569" t="inlineStr">
        <is>
          <t>3월</t>
        </is>
      </c>
      <c r="B3569" t="inlineStr">
        <is>
          <t>10주차</t>
        </is>
      </c>
      <c r="C3569" t="inlineStr">
        <is>
          <t>EP</t>
        </is>
      </c>
      <c r="D3569" s="28" t="n">
        <v>46084</v>
      </c>
      <c r="E3569" t="inlineStr">
        <is>
          <t>현대EP</t>
        </is>
      </c>
      <c r="F3569" t="inlineStr">
        <is>
          <t>최성진</t>
        </is>
      </c>
      <c r="G3569" t="inlineStr">
        <is>
          <t>010-7516-7642</t>
        </is>
      </c>
      <c r="H3569" t="inlineStr">
        <is>
          <t>16다8512</t>
        </is>
      </c>
      <c r="I3569" t="n">
        <v>7100000</v>
      </c>
      <c r="J3569" t="n">
        <v>0.08699999999999999</v>
      </c>
      <c r="K3569" t="n">
        <v>1.76</v>
      </c>
      <c r="L3569" t="n">
        <v>0.14</v>
      </c>
      <c r="M3569" t="n">
        <v>1.62</v>
      </c>
      <c r="P3569" t="inlineStr">
        <is>
          <t>김나윤</t>
        </is>
      </c>
      <c r="Q3569" t="inlineStr">
        <is>
          <t>홈서비스 36개월</t>
        </is>
      </c>
      <c r="AB3569" t="inlineStr">
        <is>
          <t>홈서비스</t>
        </is>
      </c>
      <c r="AC3569" t="n">
        <v>124960</v>
      </c>
      <c r="AD3569" t="n">
        <v>9940</v>
      </c>
      <c r="AE3569" t="n">
        <v>115020</v>
      </c>
      <c r="AF3569" t="n">
        <v>113600</v>
      </c>
      <c r="AG3569" t="n">
        <v>9611.98</v>
      </c>
      <c r="AH3569" t="n">
        <v>103988.02</v>
      </c>
      <c r="AI3569" t="n">
        <v>0</v>
      </c>
    </row>
    <row r="3570">
      <c r="A3570" t="inlineStr">
        <is>
          <t>3월</t>
        </is>
      </c>
      <c r="B3570" t="inlineStr">
        <is>
          <t>10주차</t>
        </is>
      </c>
      <c r="C3570" t="inlineStr">
        <is>
          <t>OR</t>
        </is>
      </c>
      <c r="D3570" s="28" t="n">
        <v>46084</v>
      </c>
      <c r="E3570" t="inlineStr">
        <is>
          <t>오릭스</t>
        </is>
      </c>
      <c r="F3570" t="inlineStr">
        <is>
          <t>임재현</t>
        </is>
      </c>
      <c r="G3570" t="inlineStr">
        <is>
          <t>010-9529-7204</t>
        </is>
      </c>
      <c r="H3570" t="inlineStr">
        <is>
          <t>24저8108</t>
        </is>
      </c>
      <c r="I3570" t="n">
        <v>-5500000</v>
      </c>
      <c r="J3570" t="n">
        <v>0.07000000000000001</v>
      </c>
      <c r="K3570" t="n">
        <v>1.65</v>
      </c>
      <c r="L3570" t="n">
        <v>0.14</v>
      </c>
      <c r="M3570" t="n">
        <v>1.51</v>
      </c>
      <c r="P3570" t="inlineStr">
        <is>
          <t>김나윤</t>
        </is>
      </c>
      <c r="Q3570" t="inlineStr">
        <is>
          <t>홈서비스 36개월</t>
        </is>
      </c>
      <c r="AB3570" t="inlineStr">
        <is>
          <t>홈서비스</t>
        </is>
      </c>
      <c r="AC3570" t="n">
        <v>-90750</v>
      </c>
      <c r="AD3570" t="n">
        <v>-7700</v>
      </c>
      <c r="AE3570" t="n">
        <v>-83050</v>
      </c>
      <c r="AF3570" t="n">
        <v>-82500</v>
      </c>
      <c r="AG3570" t="n">
        <v>-7445.9</v>
      </c>
      <c r="AH3570" t="n">
        <v>-75054.10000000001</v>
      </c>
    </row>
    <row r="3571">
      <c r="A3571" t="inlineStr">
        <is>
          <t>4월</t>
        </is>
      </c>
      <c r="B3571" t="inlineStr">
        <is>
          <t>17주차</t>
        </is>
      </c>
      <c r="C3571" t="inlineStr">
        <is>
          <t>IM</t>
        </is>
      </c>
      <c r="D3571" s="28" t="n">
        <v>46134</v>
      </c>
      <c r="E3571" t="inlineStr">
        <is>
          <t>IM캐피탈</t>
        </is>
      </c>
      <c r="F3571" t="inlineStr">
        <is>
          <t>남기영</t>
        </is>
      </c>
      <c r="G3571" t="inlineStr">
        <is>
          <t>010-2229-6344</t>
        </is>
      </c>
      <c r="H3571" t="inlineStr">
        <is>
          <t>253라3118</t>
        </is>
      </c>
      <c r="I3571" t="n">
        <v>39500000</v>
      </c>
      <c r="J3571" t="n">
        <v>0.039</v>
      </c>
      <c r="K3571" t="n">
        <v>1.1</v>
      </c>
      <c r="L3571" t="n">
        <v>0.07000000000000001</v>
      </c>
      <c r="M3571" t="n">
        <v>1.03</v>
      </c>
      <c r="P3571" t="inlineStr">
        <is>
          <t>정세빈</t>
        </is>
      </c>
      <c r="Q3571" t="inlineStr">
        <is>
          <t>홈서비스 72개월</t>
        </is>
      </c>
      <c r="AB3571" t="inlineStr">
        <is>
          <t>홈서비스</t>
        </is>
      </c>
      <c r="AC3571" t="n">
        <v>434500</v>
      </c>
      <c r="AD3571" t="n">
        <v>27650</v>
      </c>
      <c r="AE3571" t="n">
        <v>406850</v>
      </c>
      <c r="AF3571" t="n">
        <v>395000</v>
      </c>
      <c r="AG3571" t="n">
        <v>26737.55</v>
      </c>
      <c r="AH3571" t="n">
        <v>368262.45</v>
      </c>
    </row>
    <row r="3572">
      <c r="A3572" t="inlineStr">
        <is>
          <t>4월</t>
        </is>
      </c>
      <c r="B3572" t="inlineStr">
        <is>
          <t>17주차</t>
        </is>
      </c>
      <c r="C3572" t="inlineStr">
        <is>
          <t>IM</t>
        </is>
      </c>
      <c r="D3572" s="28" t="n">
        <v>46133</v>
      </c>
      <c r="E3572" t="inlineStr">
        <is>
          <t>IM캐피탈</t>
        </is>
      </c>
      <c r="F3572" t="inlineStr">
        <is>
          <t>이범석</t>
        </is>
      </c>
      <c r="G3572" t="inlineStr">
        <is>
          <t>010-8844-9977</t>
        </is>
      </c>
      <c r="H3572" t="inlineStr">
        <is>
          <t>307조8384</t>
        </is>
      </c>
      <c r="I3572" t="n">
        <v>52600000</v>
      </c>
      <c r="J3572" t="n">
        <v>0.056</v>
      </c>
      <c r="K3572" t="n">
        <v>1.1</v>
      </c>
      <c r="L3572" t="n">
        <v>0.4</v>
      </c>
      <c r="M3572" t="n">
        <v>0.7</v>
      </c>
      <c r="P3572" t="inlineStr">
        <is>
          <t>최혁</t>
        </is>
      </c>
      <c r="AB3572" t="inlineStr">
        <is>
          <t>엔카</t>
        </is>
      </c>
      <c r="AC3572" t="n">
        <v>578600</v>
      </c>
      <c r="AD3572" t="n">
        <v>210400</v>
      </c>
      <c r="AE3572" t="n">
        <v>368200</v>
      </c>
      <c r="AF3572" t="n">
        <v>526000</v>
      </c>
      <c r="AG3572" t="n">
        <v>203456.8</v>
      </c>
      <c r="AH3572" t="n">
        <v>322543.2</v>
      </c>
    </row>
    <row r="3573">
      <c r="A3573" t="inlineStr">
        <is>
          <t>4월</t>
        </is>
      </c>
      <c r="B3573" t="inlineStr">
        <is>
          <t>17주차</t>
        </is>
      </c>
      <c r="C3573" t="inlineStr">
        <is>
          <t>EP</t>
        </is>
      </c>
      <c r="D3573" s="28" t="n">
        <v>46134</v>
      </c>
      <c r="E3573" t="inlineStr">
        <is>
          <t>현대EP_fast</t>
        </is>
      </c>
      <c r="F3573" t="inlineStr">
        <is>
          <t>강영석</t>
        </is>
      </c>
      <c r="G3573" t="inlineStr">
        <is>
          <t>010-6359-5300</t>
        </is>
      </c>
      <c r="H3573" t="inlineStr">
        <is>
          <t>340보1136</t>
        </is>
      </c>
      <c r="I3573" t="n">
        <v>17900000</v>
      </c>
      <c r="J3573" t="n">
        <v>0.092</v>
      </c>
      <c r="K3573" t="n">
        <v>1.76</v>
      </c>
      <c r="L3573" t="n">
        <v>0.2</v>
      </c>
      <c r="M3573" t="n">
        <v>1.56</v>
      </c>
      <c r="P3573" t="inlineStr">
        <is>
          <t>정세빈</t>
        </is>
      </c>
      <c r="Q3573" t="inlineStr">
        <is>
          <t>홈서비스 60개월</t>
        </is>
      </c>
      <c r="AB3573" t="inlineStr">
        <is>
          <t>홈서비스</t>
        </is>
      </c>
      <c r="AC3573" t="n">
        <v>315040</v>
      </c>
      <c r="AD3573" t="n">
        <v>35800</v>
      </c>
      <c r="AE3573" t="n">
        <v>279240</v>
      </c>
      <c r="AF3573" t="n">
        <v>286400</v>
      </c>
      <c r="AG3573" t="n">
        <v>34618.6</v>
      </c>
      <c r="AH3573" t="n">
        <v>251781.4</v>
      </c>
      <c r="AI3573" t="n">
        <v>0</v>
      </c>
    </row>
    <row r="3574">
      <c r="A3574" t="inlineStr">
        <is>
          <t>4월</t>
        </is>
      </c>
      <c r="B3574" t="inlineStr">
        <is>
          <t>17주차</t>
        </is>
      </c>
      <c r="C3574" t="inlineStr">
        <is>
          <t>EP</t>
        </is>
      </c>
      <c r="D3574" s="28" t="n">
        <v>46134</v>
      </c>
      <c r="E3574" t="inlineStr">
        <is>
          <t>현대EP_fast</t>
        </is>
      </c>
      <c r="F3574" t="inlineStr">
        <is>
          <t>김동환</t>
        </is>
      </c>
      <c r="G3574" t="inlineStr">
        <is>
          <t>010-4794-4244</t>
        </is>
      </c>
      <c r="H3574" t="inlineStr">
        <is>
          <t>132소7551</t>
        </is>
      </c>
      <c r="I3574" t="n">
        <v>24800000</v>
      </c>
      <c r="J3574" t="n">
        <v>0.077</v>
      </c>
      <c r="K3574" t="n">
        <v>1.76</v>
      </c>
      <c r="L3574" t="n">
        <v>0.2</v>
      </c>
      <c r="M3574" t="n">
        <v>1.56</v>
      </c>
      <c r="P3574" t="inlineStr">
        <is>
          <t>최형주</t>
        </is>
      </c>
      <c r="Q3574" t="inlineStr">
        <is>
          <t>홈서비스 60개월</t>
        </is>
      </c>
      <c r="AB3574" t="inlineStr">
        <is>
          <t>홈서비스</t>
        </is>
      </c>
      <c r="AC3574" t="n">
        <v>436480</v>
      </c>
      <c r="AD3574" t="n">
        <v>49600</v>
      </c>
      <c r="AE3574" t="n">
        <v>386880</v>
      </c>
      <c r="AF3574" t="n">
        <v>396800</v>
      </c>
      <c r="AG3574" t="n">
        <v>47963.2</v>
      </c>
      <c r="AH3574" t="n">
        <v>348836.8</v>
      </c>
      <c r="AI3574" t="n">
        <v>0</v>
      </c>
    </row>
    <row r="3575">
      <c r="A3575" t="inlineStr">
        <is>
          <t>4월</t>
        </is>
      </c>
      <c r="B3575" t="inlineStr">
        <is>
          <t>17주차</t>
        </is>
      </c>
      <c r="C3575" t="inlineStr">
        <is>
          <t>EP</t>
        </is>
      </c>
      <c r="D3575" s="28" t="n">
        <v>46134</v>
      </c>
      <c r="E3575" t="inlineStr">
        <is>
          <t>BNKEP</t>
        </is>
      </c>
      <c r="F3575" t="inlineStr">
        <is>
          <t>김상화</t>
        </is>
      </c>
      <c r="G3575" t="inlineStr">
        <is>
          <t>010-9154-8414</t>
        </is>
      </c>
      <c r="H3575" t="inlineStr">
        <is>
          <t>165머8230</t>
        </is>
      </c>
      <c r="I3575" t="n">
        <v>22700000</v>
      </c>
      <c r="J3575" t="n">
        <v>0.067</v>
      </c>
      <c r="K3575" t="n">
        <v>1.65</v>
      </c>
      <c r="L3575" t="n">
        <v>0.07000000000000001</v>
      </c>
      <c r="M3575" t="n">
        <v>1.58</v>
      </c>
      <c r="P3575" t="inlineStr">
        <is>
          <t>황채이</t>
        </is>
      </c>
      <c r="Q3575" t="inlineStr">
        <is>
          <t>홈서비스 60개월</t>
        </is>
      </c>
      <c r="AB3575" t="inlineStr">
        <is>
          <t>홈서비스</t>
        </is>
      </c>
      <c r="AC3575" t="n">
        <v>374550</v>
      </c>
      <c r="AD3575" t="n">
        <v>15890</v>
      </c>
      <c r="AE3575" t="n">
        <v>358660</v>
      </c>
      <c r="AF3575" t="n">
        <v>340500</v>
      </c>
      <c r="AG3575" t="n">
        <v>15365.63</v>
      </c>
      <c r="AH3575" t="n">
        <v>325134.37</v>
      </c>
    </row>
    <row r="3576">
      <c r="A3576" t="inlineStr">
        <is>
          <t>4월</t>
        </is>
      </c>
      <c r="B3576" t="inlineStr">
        <is>
          <t>17주차</t>
        </is>
      </c>
      <c r="C3576" t="inlineStr">
        <is>
          <t>EP</t>
        </is>
      </c>
      <c r="D3576" s="28" t="n">
        <v>46134</v>
      </c>
      <c r="E3576" t="inlineStr">
        <is>
          <t>현대EP_fast</t>
        </is>
      </c>
      <c r="F3576" t="inlineStr">
        <is>
          <t>김진영</t>
        </is>
      </c>
      <c r="G3576" t="inlineStr">
        <is>
          <t>010-6347-7928</t>
        </is>
      </c>
      <c r="H3576" t="inlineStr">
        <is>
          <t>126더5820</t>
        </is>
      </c>
      <c r="I3576" t="n">
        <v>18600000</v>
      </c>
      <c r="J3576" t="n">
        <v>0.119</v>
      </c>
      <c r="K3576" t="n">
        <v>1.76</v>
      </c>
      <c r="L3576" t="n">
        <v>0.2</v>
      </c>
      <c r="M3576" t="n">
        <v>1.56</v>
      </c>
      <c r="P3576" t="inlineStr">
        <is>
          <t>최형주</t>
        </is>
      </c>
      <c r="Q3576" t="inlineStr">
        <is>
          <t>홈서비스 48개월</t>
        </is>
      </c>
      <c r="AB3576" t="inlineStr">
        <is>
          <t>홈서비스</t>
        </is>
      </c>
      <c r="AC3576" t="n">
        <v>327360</v>
      </c>
      <c r="AD3576" t="n">
        <v>37200</v>
      </c>
      <c r="AE3576" t="n">
        <v>290160</v>
      </c>
      <c r="AF3576" t="n">
        <v>297600</v>
      </c>
      <c r="AG3576" t="n">
        <v>35972.4</v>
      </c>
      <c r="AH3576" t="n">
        <v>261627.6</v>
      </c>
    </row>
    <row r="3577">
      <c r="A3577" t="inlineStr">
        <is>
          <t>3월</t>
        </is>
      </c>
      <c r="B3577" t="inlineStr">
        <is>
          <t>11주차</t>
        </is>
      </c>
      <c r="C3577" t="inlineStr">
        <is>
          <t>EP</t>
        </is>
      </c>
      <c r="D3577" s="28" t="n">
        <v>46090</v>
      </c>
      <c r="E3577" t="inlineStr">
        <is>
          <t>현대EP_fast</t>
        </is>
      </c>
      <c r="F3577" t="inlineStr">
        <is>
          <t>김소라</t>
        </is>
      </c>
      <c r="G3577" t="inlineStr">
        <is>
          <t>010-3382-0214</t>
        </is>
      </c>
      <c r="H3577" t="inlineStr">
        <is>
          <t>41저0815</t>
        </is>
      </c>
      <c r="I3577" t="n">
        <v>-5900000</v>
      </c>
      <c r="J3577" t="n">
        <v>0.102</v>
      </c>
      <c r="K3577" t="n">
        <v>1.76</v>
      </c>
      <c r="L3577" t="n">
        <v>0.14</v>
      </c>
      <c r="M3577" t="n">
        <v>1.62</v>
      </c>
      <c r="P3577" t="inlineStr">
        <is>
          <t>황채이</t>
        </is>
      </c>
      <c r="Q3577" t="inlineStr">
        <is>
          <t>홈서비스 48개월</t>
        </is>
      </c>
      <c r="AB3577" t="inlineStr">
        <is>
          <t>홈서비스</t>
        </is>
      </c>
      <c r="AC3577" t="n">
        <v>-103840</v>
      </c>
      <c r="AD3577" t="n">
        <v>-8260</v>
      </c>
      <c r="AE3577" t="n">
        <v>-95580</v>
      </c>
      <c r="AF3577" t="n">
        <v>-94400</v>
      </c>
      <c r="AG3577" t="n">
        <v>-7987.42</v>
      </c>
      <c r="AH3577" t="n">
        <v>-86412.58</v>
      </c>
      <c r="AI3577" t="n">
        <v>0</v>
      </c>
    </row>
    <row r="3578">
      <c r="A3578" t="inlineStr">
        <is>
          <t>3월</t>
        </is>
      </c>
      <c r="B3578" t="inlineStr">
        <is>
          <t>11주차</t>
        </is>
      </c>
      <c r="C3578" t="inlineStr">
        <is>
          <t>EP</t>
        </is>
      </c>
      <c r="D3578" s="28" t="n">
        <v>46092</v>
      </c>
      <c r="E3578" t="inlineStr">
        <is>
          <t>현대EP_fast</t>
        </is>
      </c>
      <c r="F3578" t="inlineStr">
        <is>
          <t>원미나</t>
        </is>
      </c>
      <c r="G3578" t="inlineStr">
        <is>
          <t>010-3424-8223</t>
        </is>
      </c>
      <c r="H3578" t="inlineStr">
        <is>
          <t>304도7961</t>
        </is>
      </c>
      <c r="I3578" t="n">
        <v>-16400000</v>
      </c>
      <c r="J3578" t="n">
        <v>0.118</v>
      </c>
      <c r="K3578" t="n">
        <v>1.76</v>
      </c>
      <c r="L3578" t="n">
        <v>0.14</v>
      </c>
      <c r="M3578" t="n">
        <v>1.62</v>
      </c>
      <c r="P3578" t="inlineStr">
        <is>
          <t>황채이</t>
        </is>
      </c>
      <c r="Q3578" t="inlineStr">
        <is>
          <t>홈서비스 36개월</t>
        </is>
      </c>
      <c r="AB3578" t="inlineStr">
        <is>
          <t>홈서비스</t>
        </is>
      </c>
      <c r="AC3578" t="n">
        <v>-288640</v>
      </c>
      <c r="AD3578" t="n">
        <v>-22960</v>
      </c>
      <c r="AE3578" t="n">
        <v>-265680</v>
      </c>
      <c r="AF3578" t="n">
        <v>-262400</v>
      </c>
      <c r="AG3578" t="n">
        <v>-22202.32</v>
      </c>
      <c r="AH3578" t="n">
        <v>-240197.68</v>
      </c>
      <c r="AI3578" t="n">
        <v>0</v>
      </c>
    </row>
    <row r="3579">
      <c r="A3579" t="inlineStr">
        <is>
          <t>3월</t>
        </is>
      </c>
      <c r="B3579" t="inlineStr">
        <is>
          <t>12주차</t>
        </is>
      </c>
      <c r="C3579" t="inlineStr">
        <is>
          <t>EP</t>
        </is>
      </c>
      <c r="D3579" s="28" t="n">
        <v>46101</v>
      </c>
      <c r="E3579" t="inlineStr">
        <is>
          <t>현대EP</t>
        </is>
      </c>
      <c r="F3579" t="inlineStr">
        <is>
          <t>김문정</t>
        </is>
      </c>
      <c r="G3579" t="inlineStr">
        <is>
          <t>010-5394-0597</t>
        </is>
      </c>
      <c r="H3579" t="inlineStr">
        <is>
          <t>33주5152</t>
        </is>
      </c>
      <c r="I3579" t="n">
        <v>-5500000</v>
      </c>
      <c r="J3579" t="n">
        <v>0.07199999999999999</v>
      </c>
      <c r="K3579" t="n">
        <v>1.76</v>
      </c>
      <c r="L3579" t="n">
        <v>0.14</v>
      </c>
      <c r="M3579" t="n">
        <v>1.62</v>
      </c>
      <c r="P3579" t="inlineStr">
        <is>
          <t>황채이</t>
        </is>
      </c>
      <c r="Q3579" t="inlineStr">
        <is>
          <t>홈서비스 60개월</t>
        </is>
      </c>
      <c r="AB3579" t="inlineStr">
        <is>
          <t>홈서비스</t>
        </is>
      </c>
      <c r="AC3579" t="n">
        <v>-96800</v>
      </c>
      <c r="AD3579" t="n">
        <v>-7700</v>
      </c>
      <c r="AE3579" t="n">
        <v>-89100</v>
      </c>
      <c r="AF3579" t="n">
        <v>-88000</v>
      </c>
      <c r="AG3579" t="n">
        <v>-7445.9</v>
      </c>
      <c r="AH3579" t="n">
        <v>-80554.10000000001</v>
      </c>
      <c r="AI3579" t="n">
        <v>0</v>
      </c>
      <c r="AJ3579" t="inlineStr">
        <is>
          <t>개인</t>
        </is>
      </c>
    </row>
    <row r="3580">
      <c r="A3580" t="inlineStr">
        <is>
          <t>3월</t>
        </is>
      </c>
      <c r="B3580" t="inlineStr">
        <is>
          <t>10주차</t>
        </is>
      </c>
      <c r="C3580" t="inlineStr">
        <is>
          <t>EP</t>
        </is>
      </c>
      <c r="D3580" s="28" t="n">
        <v>46087</v>
      </c>
      <c r="E3580" t="inlineStr">
        <is>
          <t>현대EP_fast</t>
        </is>
      </c>
      <c r="F3580" t="inlineStr">
        <is>
          <t>사공현</t>
        </is>
      </c>
      <c r="G3580" t="inlineStr">
        <is>
          <t>010-6558-4022</t>
        </is>
      </c>
      <c r="H3580" t="inlineStr">
        <is>
          <t>33누8144</t>
        </is>
      </c>
      <c r="I3580" t="n">
        <v>6500000</v>
      </c>
      <c r="J3580" t="n">
        <v>0.134</v>
      </c>
      <c r="K3580" t="n">
        <v>1.76</v>
      </c>
      <c r="L3580" t="n">
        <v>0.14</v>
      </c>
      <c r="M3580" t="n">
        <v>1.62</v>
      </c>
      <c r="P3580" t="inlineStr">
        <is>
          <t>최형주</t>
        </is>
      </c>
      <c r="Q3580" t="inlineStr">
        <is>
          <t>홈서비스 36개월</t>
        </is>
      </c>
      <c r="AB3580" t="inlineStr">
        <is>
          <t>홈서비스</t>
        </is>
      </c>
      <c r="AC3580" t="n">
        <v>114400</v>
      </c>
      <c r="AD3580" t="n">
        <v>9100</v>
      </c>
      <c r="AE3580" t="n">
        <v>105300</v>
      </c>
      <c r="AF3580" t="n">
        <v>104000</v>
      </c>
      <c r="AG3580" t="n">
        <v>8799.700000000001</v>
      </c>
      <c r="AH3580" t="n">
        <v>95200.3</v>
      </c>
    </row>
    <row r="3581">
      <c r="A3581" t="inlineStr">
        <is>
          <t>3월</t>
        </is>
      </c>
      <c r="B3581" t="inlineStr">
        <is>
          <t>10주차</t>
        </is>
      </c>
      <c r="C3581" t="inlineStr">
        <is>
          <t>EP</t>
        </is>
      </c>
      <c r="D3581" s="28" t="n">
        <v>46087</v>
      </c>
      <c r="E3581" t="inlineStr">
        <is>
          <t>현대EP</t>
        </is>
      </c>
      <c r="F3581" t="inlineStr">
        <is>
          <t>정재일</t>
        </is>
      </c>
      <c r="G3581" t="inlineStr">
        <is>
          <t>010-8619-0937</t>
        </is>
      </c>
      <c r="H3581" t="inlineStr">
        <is>
          <t>49나0276</t>
        </is>
      </c>
      <c r="I3581" t="n">
        <v>-7200000</v>
      </c>
      <c r="J3581" t="n">
        <v>0.059</v>
      </c>
      <c r="K3581" t="n">
        <v>1.76</v>
      </c>
      <c r="L3581" t="n">
        <v>0.14</v>
      </c>
      <c r="M3581" t="n">
        <v>1.62</v>
      </c>
      <c r="P3581" t="inlineStr">
        <is>
          <t>최형주</t>
        </is>
      </c>
      <c r="Q3581" t="inlineStr">
        <is>
          <t>홈서비스 60개월</t>
        </is>
      </c>
      <c r="AB3581" t="inlineStr">
        <is>
          <t>홈서비스</t>
        </is>
      </c>
      <c r="AC3581" t="n">
        <v>-126720</v>
      </c>
      <c r="AD3581" t="n">
        <v>-10080</v>
      </c>
      <c r="AE3581" t="n">
        <v>-116640</v>
      </c>
      <c r="AF3581" t="n">
        <v>-115200</v>
      </c>
      <c r="AG3581" t="n">
        <v>-9747.360000000001</v>
      </c>
      <c r="AH3581" t="n">
        <v>-105452.64</v>
      </c>
      <c r="AI3581" t="n">
        <v>0</v>
      </c>
    </row>
    <row r="3582">
      <c r="A3582" t="inlineStr">
        <is>
          <t>3월</t>
        </is>
      </c>
      <c r="B3582" t="inlineStr">
        <is>
          <t>11주차</t>
        </is>
      </c>
      <c r="C3582" t="inlineStr">
        <is>
          <t>EP</t>
        </is>
      </c>
      <c r="D3582" s="28" t="n">
        <v>46091</v>
      </c>
      <c r="E3582" t="inlineStr">
        <is>
          <t>현대EP_fast</t>
        </is>
      </c>
      <c r="F3582" t="inlineStr">
        <is>
          <t>박세교</t>
        </is>
      </c>
      <c r="G3582" t="inlineStr">
        <is>
          <t>010-4100-8526</t>
        </is>
      </c>
      <c r="H3582" t="inlineStr">
        <is>
          <t>146고7387</t>
        </is>
      </c>
      <c r="I3582" t="n">
        <v>24900000</v>
      </c>
      <c r="J3582" t="n">
        <v>0.105</v>
      </c>
      <c r="K3582" t="n">
        <v>1.76</v>
      </c>
      <c r="L3582" t="n">
        <v>0.14</v>
      </c>
      <c r="M3582" t="n">
        <v>1.62</v>
      </c>
      <c r="P3582" t="inlineStr">
        <is>
          <t>최형주</t>
        </is>
      </c>
      <c r="Q3582" t="inlineStr">
        <is>
          <t>홈서비스 48개월</t>
        </is>
      </c>
      <c r="AB3582" t="inlineStr">
        <is>
          <t>홈서비스</t>
        </is>
      </c>
      <c r="AC3582" t="n">
        <v>438240</v>
      </c>
      <c r="AD3582" t="n">
        <v>34860</v>
      </c>
      <c r="AE3582" t="n">
        <v>403380</v>
      </c>
      <c r="AF3582" t="n">
        <v>398400</v>
      </c>
      <c r="AG3582" t="n">
        <v>33709.62</v>
      </c>
      <c r="AH3582" t="n">
        <v>364690.38</v>
      </c>
      <c r="AI3582" t="n">
        <v>0</v>
      </c>
    </row>
    <row r="3583">
      <c r="A3583" t="inlineStr">
        <is>
          <t>3월</t>
        </is>
      </c>
      <c r="B3583" t="inlineStr">
        <is>
          <t>11주차</t>
        </is>
      </c>
      <c r="C3583" t="inlineStr">
        <is>
          <t>EP</t>
        </is>
      </c>
      <c r="D3583" s="28" t="n">
        <v>46093</v>
      </c>
      <c r="E3583" t="inlineStr">
        <is>
          <t>현대EP</t>
        </is>
      </c>
      <c r="F3583" t="inlineStr">
        <is>
          <t>유위훈</t>
        </is>
      </c>
      <c r="G3583" t="inlineStr">
        <is>
          <t>010-3813-8544</t>
        </is>
      </c>
      <c r="H3583" t="inlineStr">
        <is>
          <t>154마5009</t>
        </is>
      </c>
      <c r="I3583" t="n">
        <v>53800000</v>
      </c>
      <c r="J3583" t="n">
        <v>0.09</v>
      </c>
      <c r="K3583" t="n">
        <v>1.76</v>
      </c>
      <c r="L3583" t="n">
        <v>0.14</v>
      </c>
      <c r="M3583" t="n">
        <v>1.62</v>
      </c>
      <c r="P3583" t="inlineStr">
        <is>
          <t>최형주</t>
        </is>
      </c>
      <c r="Q3583" t="inlineStr">
        <is>
          <t>홈서비스 60개월</t>
        </is>
      </c>
      <c r="AB3583" t="inlineStr">
        <is>
          <t>홈서비스</t>
        </is>
      </c>
      <c r="AC3583" t="n">
        <v>946880</v>
      </c>
      <c r="AD3583" t="n">
        <v>75320</v>
      </c>
      <c r="AE3583" t="n">
        <v>871560</v>
      </c>
      <c r="AF3583" t="n">
        <v>860800</v>
      </c>
      <c r="AG3583" t="n">
        <v>72834.44</v>
      </c>
      <c r="AH3583" t="n">
        <v>787965.5600000001</v>
      </c>
      <c r="AI3583" t="n">
        <v>0</v>
      </c>
    </row>
    <row r="3584">
      <c r="A3584" t="inlineStr">
        <is>
          <t>3월</t>
        </is>
      </c>
      <c r="B3584" t="inlineStr">
        <is>
          <t>12주차</t>
        </is>
      </c>
      <c r="C3584" t="inlineStr">
        <is>
          <t>IM</t>
        </is>
      </c>
      <c r="D3584" s="28" t="n">
        <v>46103</v>
      </c>
      <c r="E3584" t="inlineStr">
        <is>
          <t>IM캐피탈</t>
        </is>
      </c>
      <c r="F3584" t="inlineStr">
        <is>
          <t>정성욱</t>
        </is>
      </c>
      <c r="G3584" t="inlineStr">
        <is>
          <t>010-6666-0454</t>
        </is>
      </c>
      <c r="H3584" t="inlineStr">
        <is>
          <t>240가1806</t>
        </is>
      </c>
      <c r="I3584" t="n">
        <v>21500000</v>
      </c>
      <c r="J3584" t="n">
        <v>0.039</v>
      </c>
      <c r="K3584" t="n">
        <v>1.1</v>
      </c>
      <c r="L3584" t="n">
        <v>0.4</v>
      </c>
      <c r="M3584" t="n">
        <v>0.7</v>
      </c>
      <c r="P3584" t="inlineStr">
        <is>
          <t>최형주</t>
        </is>
      </c>
      <c r="Q3584" t="inlineStr">
        <is>
          <t>론 진행</t>
        </is>
      </c>
      <c r="AB3584" t="inlineStr">
        <is>
          <t>엔카</t>
        </is>
      </c>
      <c r="AC3584" t="n">
        <v>236500</v>
      </c>
      <c r="AD3584" t="n">
        <v>86000</v>
      </c>
      <c r="AE3584" t="n">
        <v>150500</v>
      </c>
      <c r="AF3584" t="n">
        <v>215000</v>
      </c>
      <c r="AG3584" t="n">
        <v>83162</v>
      </c>
      <c r="AH3584" t="n">
        <v>131838</v>
      </c>
      <c r="AI3584" t="n">
        <v>0</v>
      </c>
    </row>
    <row r="3585">
      <c r="A3585" t="inlineStr">
        <is>
          <t>3월</t>
        </is>
      </c>
      <c r="B3585" t="inlineStr">
        <is>
          <t>13주차</t>
        </is>
      </c>
      <c r="C3585" t="inlineStr">
        <is>
          <t>IM</t>
        </is>
      </c>
      <c r="D3585" s="28" t="n">
        <v>46107</v>
      </c>
      <c r="E3585" t="inlineStr">
        <is>
          <t>IM캐피탈</t>
        </is>
      </c>
      <c r="F3585" t="inlineStr">
        <is>
          <t>이용전</t>
        </is>
      </c>
      <c r="G3585" t="inlineStr">
        <is>
          <t>010-6736-4835</t>
        </is>
      </c>
      <c r="H3585" t="inlineStr">
        <is>
          <t>190노5348</t>
        </is>
      </c>
      <c r="I3585" t="n">
        <v>-5900000</v>
      </c>
      <c r="J3585" t="n">
        <v>0.056</v>
      </c>
      <c r="K3585" t="n">
        <v>1.1</v>
      </c>
      <c r="L3585" t="n">
        <v>0.14</v>
      </c>
      <c r="M3585" t="n">
        <v>0.96</v>
      </c>
      <c r="P3585" t="inlineStr">
        <is>
          <t>최형주</t>
        </is>
      </c>
      <c r="Q3585" t="inlineStr">
        <is>
          <t>홈서비스 24개월 / 공동명의</t>
        </is>
      </c>
      <c r="AB3585" t="inlineStr">
        <is>
          <t>홈서비스</t>
        </is>
      </c>
      <c r="AC3585" t="n">
        <v>-64900</v>
      </c>
      <c r="AD3585" t="n">
        <v>-8260</v>
      </c>
      <c r="AE3585" t="n">
        <v>-56640</v>
      </c>
      <c r="AF3585" t="n">
        <v>-59000</v>
      </c>
      <c r="AG3585" t="n">
        <v>-7987.42</v>
      </c>
      <c r="AH3585" t="n">
        <v>-51012.58</v>
      </c>
    </row>
    <row r="3586">
      <c r="A3586" t="inlineStr">
        <is>
          <t>3월</t>
        </is>
      </c>
      <c r="B3586" t="inlineStr">
        <is>
          <t>12주차</t>
        </is>
      </c>
      <c r="C3586" t="inlineStr">
        <is>
          <t>IM</t>
        </is>
      </c>
      <c r="D3586" s="28" t="n">
        <v>46098</v>
      </c>
      <c r="E3586" t="inlineStr">
        <is>
          <t>IM캐피탈</t>
        </is>
      </c>
      <c r="F3586" t="inlineStr">
        <is>
          <t>정민</t>
        </is>
      </c>
      <c r="G3586" t="inlineStr">
        <is>
          <t>010-4855-5433</t>
        </is>
      </c>
      <c r="H3586" t="inlineStr">
        <is>
          <t>152주2518</t>
        </is>
      </c>
      <c r="I3586" t="n">
        <v>10000000</v>
      </c>
      <c r="J3586" t="n">
        <v>0.049</v>
      </c>
      <c r="K3586" t="n">
        <v>1.1</v>
      </c>
      <c r="L3586" t="n">
        <v>0.14</v>
      </c>
      <c r="M3586" t="n">
        <v>0.96</v>
      </c>
      <c r="P3586" t="inlineStr">
        <is>
          <t>최혁</t>
        </is>
      </c>
      <c r="Q3586" t="inlineStr">
        <is>
          <t>홈서비스 24개월</t>
        </is>
      </c>
      <c r="AB3586" t="inlineStr">
        <is>
          <t>홈서비스</t>
        </is>
      </c>
      <c r="AC3586" t="n">
        <v>110000</v>
      </c>
      <c r="AD3586" t="n">
        <v>14000</v>
      </c>
      <c r="AE3586" t="n">
        <v>96000</v>
      </c>
      <c r="AF3586" t="n">
        <v>100000</v>
      </c>
      <c r="AG3586" t="n">
        <v>13538</v>
      </c>
      <c r="AH3586" t="n">
        <v>86462</v>
      </c>
      <c r="AI3586" t="n">
        <v>0</v>
      </c>
    </row>
    <row r="3587">
      <c r="A3587" t="inlineStr">
        <is>
          <t>3월</t>
        </is>
      </c>
      <c r="B3587" t="inlineStr">
        <is>
          <t>10주차</t>
        </is>
      </c>
      <c r="C3587" t="inlineStr">
        <is>
          <t>OR</t>
        </is>
      </c>
      <c r="D3587" s="28" t="n">
        <v>46086</v>
      </c>
      <c r="E3587" t="inlineStr">
        <is>
          <t>오릭스</t>
        </is>
      </c>
      <c r="F3587" t="inlineStr">
        <is>
          <t>배재완</t>
        </is>
      </c>
      <c r="G3587" t="inlineStr">
        <is>
          <t>010-2755-7668</t>
        </is>
      </c>
      <c r="H3587" t="inlineStr">
        <is>
          <t>324보5226</t>
        </is>
      </c>
      <c r="I3587" t="n">
        <v>20000000</v>
      </c>
      <c r="J3587" t="n">
        <v>0.059</v>
      </c>
      <c r="K3587" t="n">
        <v>1.65</v>
      </c>
      <c r="L3587" t="n">
        <v>0.14</v>
      </c>
      <c r="M3587" t="n">
        <v>1.51</v>
      </c>
      <c r="P3587" t="inlineStr">
        <is>
          <t>정하은</t>
        </is>
      </c>
      <c r="Q3587" t="inlineStr">
        <is>
          <t>선상담 / 홈서비스 60개월</t>
        </is>
      </c>
      <c r="AB3587" t="inlineStr">
        <is>
          <t>홈서비스</t>
        </is>
      </c>
      <c r="AC3587" t="n">
        <v>330000</v>
      </c>
      <c r="AD3587" t="n">
        <v>28000</v>
      </c>
      <c r="AE3587" t="n">
        <v>302000</v>
      </c>
      <c r="AF3587" t="n">
        <v>300000</v>
      </c>
      <c r="AG3587" t="n">
        <v>27076</v>
      </c>
      <c r="AH3587" t="n">
        <v>272924</v>
      </c>
      <c r="AI3587" t="n">
        <v>0</v>
      </c>
    </row>
    <row r="3588">
      <c r="A3588" t="inlineStr">
        <is>
          <t>3월</t>
        </is>
      </c>
      <c r="B3588" t="inlineStr">
        <is>
          <t>11주차</t>
        </is>
      </c>
      <c r="C3588" t="inlineStr">
        <is>
          <t>IM</t>
        </is>
      </c>
      <c r="D3588" s="28" t="n">
        <v>46093</v>
      </c>
      <c r="E3588" t="inlineStr">
        <is>
          <t>IM캐피탈</t>
        </is>
      </c>
      <c r="F3588" t="inlineStr">
        <is>
          <t>홍성호</t>
        </is>
      </c>
      <c r="G3588" t="inlineStr">
        <is>
          <t>010-7138-6033</t>
        </is>
      </c>
      <c r="H3588" t="inlineStr">
        <is>
          <t>106주8392</t>
        </is>
      </c>
      <c r="I3588" t="n">
        <v>36300000</v>
      </c>
      <c r="J3588" t="n">
        <v>0.049</v>
      </c>
      <c r="K3588" t="n">
        <v>1.1</v>
      </c>
      <c r="L3588" t="n">
        <v>0.14</v>
      </c>
      <c r="M3588" t="n">
        <v>0.96</v>
      </c>
      <c r="P3588" t="inlineStr">
        <is>
          <t>정세빈</t>
        </is>
      </c>
      <c r="Q3588" t="inlineStr">
        <is>
          <t>홈서비스 72개월</t>
        </is>
      </c>
      <c r="AB3588" t="inlineStr">
        <is>
          <t>홈서비스</t>
        </is>
      </c>
      <c r="AC3588" t="n">
        <v>399300</v>
      </c>
      <c r="AD3588" t="n">
        <v>50820</v>
      </c>
      <c r="AE3588" t="n">
        <v>348480</v>
      </c>
      <c r="AF3588" t="n">
        <v>363000</v>
      </c>
      <c r="AG3588" t="n">
        <v>49142.94</v>
      </c>
      <c r="AH3588" t="n">
        <v>313857.06</v>
      </c>
      <c r="AI3588" t="n">
        <v>0</v>
      </c>
    </row>
    <row r="3589">
      <c r="A3589" t="inlineStr">
        <is>
          <t>3월</t>
        </is>
      </c>
      <c r="B3589" t="inlineStr">
        <is>
          <t>12주차</t>
        </is>
      </c>
      <c r="C3589" t="inlineStr">
        <is>
          <t>EP</t>
        </is>
      </c>
      <c r="D3589" s="28" t="n">
        <v>46102</v>
      </c>
      <c r="E3589" t="inlineStr">
        <is>
          <t>현대EP</t>
        </is>
      </c>
      <c r="F3589" t="inlineStr">
        <is>
          <t>성우경</t>
        </is>
      </c>
      <c r="G3589" t="inlineStr">
        <is>
          <t>010-4827-0623</t>
        </is>
      </c>
      <c r="H3589" t="inlineStr">
        <is>
          <t>164저2929</t>
        </is>
      </c>
      <c r="I3589" t="n">
        <v>34500000</v>
      </c>
      <c r="J3589" t="n">
        <v>0.07099999999999999</v>
      </c>
      <c r="K3589" t="n">
        <v>1.76</v>
      </c>
      <c r="L3589" t="n">
        <v>0.14</v>
      </c>
      <c r="M3589" t="n">
        <v>1.62</v>
      </c>
      <c r="P3589" t="inlineStr">
        <is>
          <t>정세빈</t>
        </is>
      </c>
      <c r="Q3589" t="inlineStr">
        <is>
          <t>홈서비스 36개월</t>
        </is>
      </c>
      <c r="AB3589" t="inlineStr">
        <is>
          <t>홈서비스</t>
        </is>
      </c>
      <c r="AC3589" t="n">
        <v>607200</v>
      </c>
      <c r="AD3589" t="n">
        <v>48300</v>
      </c>
      <c r="AE3589" t="n">
        <v>558900</v>
      </c>
      <c r="AF3589" t="n">
        <v>552000</v>
      </c>
      <c r="AG3589" t="n">
        <v>46706.1</v>
      </c>
      <c r="AH3589" t="n">
        <v>505293.9</v>
      </c>
      <c r="AI3589" t="n">
        <v>0</v>
      </c>
    </row>
    <row r="3590">
      <c r="A3590" t="inlineStr">
        <is>
          <t>3월</t>
        </is>
      </c>
      <c r="B3590" t="inlineStr">
        <is>
          <t>13주차</t>
        </is>
      </c>
      <c r="C3590" t="inlineStr">
        <is>
          <t>OR</t>
        </is>
      </c>
      <c r="D3590" s="28" t="n">
        <v>46107</v>
      </c>
      <c r="E3590" t="inlineStr">
        <is>
          <t>오릭스</t>
        </is>
      </c>
      <c r="F3590" t="inlineStr">
        <is>
          <t>임채이</t>
        </is>
      </c>
      <c r="G3590" t="inlineStr">
        <is>
          <t>010-6744-1080</t>
        </is>
      </c>
      <c r="H3590" t="inlineStr">
        <is>
          <t>391오8689</t>
        </is>
      </c>
      <c r="I3590" t="n">
        <v>40000000</v>
      </c>
      <c r="J3590" t="n">
        <v>0.059</v>
      </c>
      <c r="K3590" t="n">
        <v>1.65</v>
      </c>
      <c r="L3590" t="n">
        <v>0.14</v>
      </c>
      <c r="M3590" t="n">
        <v>1.51</v>
      </c>
      <c r="P3590" t="inlineStr">
        <is>
          <t>정세빈</t>
        </is>
      </c>
      <c r="Q3590" t="inlineStr">
        <is>
          <t>홈서비스 60개월</t>
        </is>
      </c>
      <c r="AB3590" t="inlineStr">
        <is>
          <t>홈서비스</t>
        </is>
      </c>
      <c r="AC3590" t="n">
        <v>660000</v>
      </c>
      <c r="AD3590" t="n">
        <v>56000</v>
      </c>
      <c r="AE3590" t="n">
        <v>604000</v>
      </c>
      <c r="AF3590" t="n">
        <v>600000</v>
      </c>
      <c r="AG3590" t="n">
        <v>54152</v>
      </c>
      <c r="AH3590" t="n">
        <v>545848</v>
      </c>
      <c r="AI3590" t="n">
        <v>0</v>
      </c>
    </row>
    <row r="3591">
      <c r="A3591" t="inlineStr">
        <is>
          <t>3월</t>
        </is>
      </c>
      <c r="B3591" t="inlineStr">
        <is>
          <t>14주차</t>
        </is>
      </c>
      <c r="C3591" t="inlineStr">
        <is>
          <t>EP</t>
        </is>
      </c>
      <c r="D3591" s="28" t="n">
        <v>46111</v>
      </c>
      <c r="E3591" t="inlineStr">
        <is>
          <t>현대EP</t>
        </is>
      </c>
      <c r="F3591" t="inlineStr">
        <is>
          <t>이응규</t>
        </is>
      </c>
      <c r="G3591" t="inlineStr">
        <is>
          <t>010-5258-0189</t>
        </is>
      </c>
      <c r="H3591" t="inlineStr">
        <is>
          <t>55고0869</t>
        </is>
      </c>
      <c r="I3591" t="n">
        <v>9500000</v>
      </c>
      <c r="J3591" t="n">
        <v>0.07099999999999999</v>
      </c>
      <c r="K3591" t="n">
        <v>1.76</v>
      </c>
      <c r="L3591" t="n">
        <v>0.14</v>
      </c>
      <c r="M3591" t="n">
        <v>1.62</v>
      </c>
      <c r="P3591" t="inlineStr">
        <is>
          <t>정세빈</t>
        </is>
      </c>
      <c r="Q3591" t="inlineStr">
        <is>
          <t>홈서비스 60개월</t>
        </is>
      </c>
      <c r="AB3591" t="inlineStr">
        <is>
          <t>홈서비스</t>
        </is>
      </c>
      <c r="AC3591" t="n">
        <v>167200</v>
      </c>
      <c r="AD3591" t="n">
        <v>13300</v>
      </c>
      <c r="AE3591" t="n">
        <v>153900</v>
      </c>
      <c r="AF3591" t="n">
        <v>152000</v>
      </c>
      <c r="AG3591" t="n">
        <v>12861.1</v>
      </c>
      <c r="AH3591" t="n">
        <v>139138.9</v>
      </c>
      <c r="AI3591" t="n">
        <v>0</v>
      </c>
    </row>
    <row r="3592">
      <c r="A3592" t="inlineStr">
        <is>
          <t>3월</t>
        </is>
      </c>
      <c r="B3592" t="inlineStr">
        <is>
          <t>10주차</t>
        </is>
      </c>
      <c r="C3592" t="inlineStr">
        <is>
          <t>IM</t>
        </is>
      </c>
      <c r="D3592" s="28" t="n">
        <v>46084</v>
      </c>
      <c r="E3592" t="inlineStr">
        <is>
          <t>IM캐피탈</t>
        </is>
      </c>
      <c r="F3592" t="inlineStr">
        <is>
          <t>김나은</t>
        </is>
      </c>
      <c r="G3592" t="inlineStr">
        <is>
          <t>010-9055-0924</t>
        </is>
      </c>
      <c r="H3592" t="inlineStr">
        <is>
          <t>251로7511</t>
        </is>
      </c>
      <c r="I3592" t="n">
        <v>6700000</v>
      </c>
      <c r="J3592" t="n">
        <v>0.056</v>
      </c>
      <c r="K3592" t="n">
        <v>1.1</v>
      </c>
      <c r="L3592" t="n">
        <v>0.14</v>
      </c>
      <c r="M3592" t="n">
        <v>0.96</v>
      </c>
      <c r="P3592" t="inlineStr">
        <is>
          <t>정광호</t>
        </is>
      </c>
      <c r="Q3592" t="inlineStr">
        <is>
          <t>홈서비스 48개월</t>
        </is>
      </c>
      <c r="AB3592" t="inlineStr">
        <is>
          <t>홈서비스</t>
        </is>
      </c>
      <c r="AC3592" t="n">
        <v>73700</v>
      </c>
      <c r="AD3592" t="n">
        <v>9380</v>
      </c>
      <c r="AE3592" t="n">
        <v>64320</v>
      </c>
      <c r="AF3592" t="n">
        <v>67000</v>
      </c>
      <c r="AG3592" t="n">
        <v>9070.459999999999</v>
      </c>
      <c r="AH3592" t="n">
        <v>57929.54</v>
      </c>
      <c r="AI3592" t="n">
        <v>0</v>
      </c>
    </row>
    <row r="3593">
      <c r="A3593" t="inlineStr">
        <is>
          <t>3월</t>
        </is>
      </c>
      <c r="B3593" t="inlineStr">
        <is>
          <t>10주차</t>
        </is>
      </c>
      <c r="C3593" t="inlineStr">
        <is>
          <t>EP</t>
        </is>
      </c>
      <c r="D3593" s="28" t="n">
        <v>46085</v>
      </c>
      <c r="E3593" t="inlineStr">
        <is>
          <t>현대EP_fast</t>
        </is>
      </c>
      <c r="F3593" t="inlineStr">
        <is>
          <t>박형진</t>
        </is>
      </c>
      <c r="G3593" t="inlineStr">
        <is>
          <t>010-6409-4938</t>
        </is>
      </c>
      <c r="H3593" t="inlineStr">
        <is>
          <t>32어1448</t>
        </is>
      </c>
      <c r="I3593" t="n">
        <v>10900000</v>
      </c>
      <c r="J3593" t="n">
        <v>0.07099999999999999</v>
      </c>
      <c r="K3593" t="n">
        <v>1.76</v>
      </c>
      <c r="L3593" t="n">
        <v>0.14</v>
      </c>
      <c r="M3593" t="n">
        <v>1.62</v>
      </c>
      <c r="P3593" t="inlineStr">
        <is>
          <t>정광호</t>
        </is>
      </c>
      <c r="Q3593" t="inlineStr">
        <is>
          <t>홈서비스 48개월</t>
        </is>
      </c>
      <c r="AB3593" t="inlineStr">
        <is>
          <t>홈서비스</t>
        </is>
      </c>
      <c r="AC3593" t="n">
        <v>191840</v>
      </c>
      <c r="AD3593" t="n">
        <v>15260</v>
      </c>
      <c r="AE3593" t="n">
        <v>176580</v>
      </c>
      <c r="AF3593" t="n">
        <v>174400</v>
      </c>
      <c r="AG3593" t="n">
        <v>14756.42</v>
      </c>
      <c r="AH3593" t="n">
        <v>159643.58</v>
      </c>
      <c r="AI3593" t="n">
        <v>0</v>
      </c>
    </row>
    <row r="3594">
      <c r="A3594" t="inlineStr">
        <is>
          <t>3월</t>
        </is>
      </c>
      <c r="B3594" t="inlineStr">
        <is>
          <t>10주차</t>
        </is>
      </c>
      <c r="C3594" t="inlineStr">
        <is>
          <t>EP</t>
        </is>
      </c>
      <c r="D3594" s="28" t="n">
        <v>46086</v>
      </c>
      <c r="E3594" t="inlineStr">
        <is>
          <t>현대EP</t>
        </is>
      </c>
      <c r="F3594" t="inlineStr">
        <is>
          <t>신영섭</t>
        </is>
      </c>
      <c r="G3594" t="inlineStr">
        <is>
          <t>010-9991-1904</t>
        </is>
      </c>
      <c r="H3594" t="inlineStr">
        <is>
          <t>238다6143</t>
        </is>
      </c>
      <c r="I3594" t="n">
        <v>24300000</v>
      </c>
      <c r="J3594" t="n">
        <v>0.078</v>
      </c>
      <c r="K3594" t="n">
        <v>1.76</v>
      </c>
      <c r="L3594" t="n">
        <v>0.14</v>
      </c>
      <c r="M3594" t="n">
        <v>1.62</v>
      </c>
      <c r="P3594" t="inlineStr">
        <is>
          <t>정광호</t>
        </is>
      </c>
      <c r="Q3594" t="inlineStr">
        <is>
          <t>홈서비스 60개월</t>
        </is>
      </c>
      <c r="AB3594" t="inlineStr">
        <is>
          <t>홈서비스</t>
        </is>
      </c>
      <c r="AC3594" t="n">
        <v>427680</v>
      </c>
      <c r="AD3594" t="n">
        <v>34020</v>
      </c>
      <c r="AE3594" t="n">
        <v>393660</v>
      </c>
      <c r="AF3594" t="n">
        <v>388800</v>
      </c>
      <c r="AG3594" t="n">
        <v>32897.34</v>
      </c>
      <c r="AH3594" t="n">
        <v>355902.66</v>
      </c>
      <c r="AI3594" t="n">
        <v>0</v>
      </c>
    </row>
    <row r="3595">
      <c r="A3595" t="inlineStr">
        <is>
          <t>3월</t>
        </is>
      </c>
      <c r="B3595" t="inlineStr">
        <is>
          <t>12주차</t>
        </is>
      </c>
      <c r="C3595" t="inlineStr">
        <is>
          <t>EP</t>
        </is>
      </c>
      <c r="D3595" s="28" t="n">
        <v>46098</v>
      </c>
      <c r="E3595" t="inlineStr">
        <is>
          <t>현대EP_fast</t>
        </is>
      </c>
      <c r="F3595" t="inlineStr">
        <is>
          <t>주현수</t>
        </is>
      </c>
      <c r="G3595" t="inlineStr">
        <is>
          <t>010-4803-0734</t>
        </is>
      </c>
      <c r="H3595" t="inlineStr">
        <is>
          <t>12무0424</t>
        </is>
      </c>
      <c r="I3595" t="n">
        <v>-11000000</v>
      </c>
      <c r="J3595" t="n">
        <v>0.154</v>
      </c>
      <c r="K3595" t="n">
        <v>1.76</v>
      </c>
      <c r="L3595" t="n">
        <v>0.14</v>
      </c>
      <c r="M3595" t="n">
        <v>1.62</v>
      </c>
      <c r="P3595" t="inlineStr">
        <is>
          <t>장현경</t>
        </is>
      </c>
      <c r="Q3595" t="inlineStr">
        <is>
          <t>선상담 / 홈서비스 48개월</t>
        </is>
      </c>
      <c r="AB3595" t="inlineStr">
        <is>
          <t>홈서비스</t>
        </is>
      </c>
      <c r="AC3595" t="n">
        <v>-193600</v>
      </c>
      <c r="AD3595" t="n">
        <v>-15400</v>
      </c>
      <c r="AE3595" t="n">
        <v>-178200</v>
      </c>
      <c r="AF3595" t="n">
        <v>-176000</v>
      </c>
      <c r="AG3595" t="n">
        <v>-14891.8</v>
      </c>
      <c r="AH3595" t="n">
        <v>-161108.2</v>
      </c>
      <c r="AI3595" t="n">
        <v>0</v>
      </c>
    </row>
    <row r="3596">
      <c r="A3596" t="inlineStr">
        <is>
          <t>3월</t>
        </is>
      </c>
      <c r="B3596" t="inlineStr">
        <is>
          <t>11주차</t>
        </is>
      </c>
      <c r="C3596" t="inlineStr">
        <is>
          <t>IM</t>
        </is>
      </c>
      <c r="D3596" s="28" t="n">
        <v>46090</v>
      </c>
      <c r="E3596" t="inlineStr">
        <is>
          <t>IM캐피탈</t>
        </is>
      </c>
      <c r="F3596" t="inlineStr">
        <is>
          <t>석지훈</t>
        </is>
      </c>
      <c r="G3596" t="inlineStr">
        <is>
          <t>010-8973-5336</t>
        </is>
      </c>
      <c r="H3596" t="inlineStr">
        <is>
          <t>15소2465</t>
        </is>
      </c>
      <c r="I3596" t="n">
        <v>30000000</v>
      </c>
      <c r="J3596" t="n">
        <v>0.056</v>
      </c>
      <c r="K3596" t="n">
        <v>1.1</v>
      </c>
      <c r="L3596" t="n">
        <v>0.4</v>
      </c>
      <c r="M3596" t="n">
        <v>0.7</v>
      </c>
      <c r="P3596" t="inlineStr">
        <is>
          <t>박현민</t>
        </is>
      </c>
      <c r="AB3596" t="inlineStr">
        <is>
          <t>엔카</t>
        </is>
      </c>
      <c r="AC3596" t="n">
        <v>330000</v>
      </c>
      <c r="AD3596" t="n">
        <v>120000</v>
      </c>
      <c r="AE3596" t="n">
        <v>210000</v>
      </c>
      <c r="AF3596" t="n">
        <v>300000</v>
      </c>
      <c r="AG3596" t="n">
        <v>116040</v>
      </c>
      <c r="AH3596" t="n">
        <v>183960</v>
      </c>
      <c r="AI3596" t="n">
        <v>0</v>
      </c>
    </row>
    <row r="3597">
      <c r="A3597" t="inlineStr">
        <is>
          <t>3월</t>
        </is>
      </c>
      <c r="B3597" t="inlineStr">
        <is>
          <t>11주차</t>
        </is>
      </c>
      <c r="C3597" t="inlineStr">
        <is>
          <t>EP</t>
        </is>
      </c>
      <c r="D3597" s="28" t="n">
        <v>46091</v>
      </c>
      <c r="E3597" t="inlineStr">
        <is>
          <t>제이비EP</t>
        </is>
      </c>
      <c r="F3597" t="inlineStr">
        <is>
          <t>하현종</t>
        </is>
      </c>
      <c r="G3597" t="inlineStr">
        <is>
          <t>010-8413-8284</t>
        </is>
      </c>
      <c r="H3597" t="inlineStr">
        <is>
          <t>86더2113</t>
        </is>
      </c>
      <c r="I3597" t="n">
        <v>-9400000</v>
      </c>
      <c r="J3597" t="n">
        <v>0.08500000000000001</v>
      </c>
      <c r="K3597" t="n">
        <v>1.65</v>
      </c>
      <c r="L3597" t="n">
        <v>0.4</v>
      </c>
      <c r="M3597" t="n">
        <v>1.25</v>
      </c>
      <c r="P3597" t="inlineStr">
        <is>
          <t>박소현</t>
        </is>
      </c>
      <c r="AB3597" t="inlineStr">
        <is>
          <t>엔카</t>
        </is>
      </c>
      <c r="AC3597" t="n">
        <v>-155100</v>
      </c>
      <c r="AD3597" t="n">
        <v>-37600</v>
      </c>
      <c r="AE3597" t="n">
        <v>-117500</v>
      </c>
      <c r="AF3597" t="n">
        <v>-141000</v>
      </c>
      <c r="AG3597" t="n">
        <v>-36359.2</v>
      </c>
      <c r="AH3597" t="n">
        <v>-104640.8</v>
      </c>
    </row>
    <row r="3598">
      <c r="A3598" t="inlineStr">
        <is>
          <t>3월</t>
        </is>
      </c>
      <c r="B3598" t="inlineStr">
        <is>
          <t>12주차</t>
        </is>
      </c>
      <c r="C3598" t="inlineStr">
        <is>
          <t>EP</t>
        </is>
      </c>
      <c r="D3598" s="28" t="n">
        <v>46097</v>
      </c>
      <c r="E3598" t="inlineStr">
        <is>
          <t>현대EP_fast</t>
        </is>
      </c>
      <c r="F3598" t="inlineStr">
        <is>
          <t>이은석</t>
        </is>
      </c>
      <c r="G3598" t="inlineStr">
        <is>
          <t>010-3542-1426</t>
        </is>
      </c>
      <c r="H3598" t="inlineStr">
        <is>
          <t>50소0398</t>
        </is>
      </c>
      <c r="I3598" t="n">
        <v>9000000</v>
      </c>
      <c r="J3598" t="n">
        <v>0.134</v>
      </c>
      <c r="K3598" t="n">
        <v>1.76</v>
      </c>
      <c r="L3598" t="n">
        <v>0.14</v>
      </c>
      <c r="M3598" t="n">
        <v>1.62</v>
      </c>
      <c r="P3598" t="inlineStr">
        <is>
          <t>박소현</t>
        </is>
      </c>
      <c r="Q3598" t="inlineStr">
        <is>
          <t>선상담 / 홈서비스 48개월</t>
        </is>
      </c>
      <c r="AB3598" t="inlineStr">
        <is>
          <t>홈서비스</t>
        </is>
      </c>
      <c r="AC3598" t="n">
        <v>158400</v>
      </c>
      <c r="AD3598" t="n">
        <v>12600</v>
      </c>
      <c r="AE3598" t="n">
        <v>145800</v>
      </c>
      <c r="AF3598" t="n">
        <v>144000</v>
      </c>
      <c r="AG3598" t="n">
        <v>12184.2</v>
      </c>
      <c r="AH3598" t="n">
        <v>131815.8</v>
      </c>
      <c r="AI3598" t="n">
        <v>0</v>
      </c>
    </row>
    <row r="3599">
      <c r="A3599" t="inlineStr">
        <is>
          <t>3월</t>
        </is>
      </c>
      <c r="B3599" t="inlineStr">
        <is>
          <t>10주차</t>
        </is>
      </c>
      <c r="C3599" t="inlineStr">
        <is>
          <t>EP</t>
        </is>
      </c>
      <c r="D3599" s="28" t="n">
        <v>46086</v>
      </c>
      <c r="E3599" t="inlineStr">
        <is>
          <t>현대EP</t>
        </is>
      </c>
      <c r="F3599" t="inlineStr">
        <is>
          <t>최대혁</t>
        </is>
      </c>
      <c r="G3599" t="inlineStr">
        <is>
          <t>010-2821-1573</t>
        </is>
      </c>
      <c r="H3599" t="inlineStr">
        <is>
          <t>66고3038</t>
        </is>
      </c>
      <c r="I3599" t="n">
        <v>5500000</v>
      </c>
      <c r="J3599" t="n">
        <v>0.09</v>
      </c>
      <c r="K3599" t="n">
        <v>1.76</v>
      </c>
      <c r="L3599" t="n">
        <v>0.14</v>
      </c>
      <c r="M3599" t="n">
        <v>1.62</v>
      </c>
      <c r="P3599" t="inlineStr">
        <is>
          <t>김수연</t>
        </is>
      </c>
      <c r="Q3599" t="inlineStr">
        <is>
          <t>홈서비스 60개월</t>
        </is>
      </c>
      <c r="AB3599" t="inlineStr">
        <is>
          <t>홈서비스</t>
        </is>
      </c>
      <c r="AC3599" t="n">
        <v>96800</v>
      </c>
      <c r="AD3599" t="n">
        <v>7700</v>
      </c>
      <c r="AE3599" t="n">
        <v>89100</v>
      </c>
      <c r="AF3599" t="n">
        <v>88000</v>
      </c>
      <c r="AG3599" t="n">
        <v>7445.9</v>
      </c>
      <c r="AH3599" t="n">
        <v>80554.10000000001</v>
      </c>
    </row>
    <row r="3600">
      <c r="A3600" t="inlineStr">
        <is>
          <t>3월</t>
        </is>
      </c>
      <c r="B3600" t="inlineStr">
        <is>
          <t>11주차</t>
        </is>
      </c>
      <c r="C3600" t="inlineStr">
        <is>
          <t>IM</t>
        </is>
      </c>
      <c r="D3600" s="28" t="n">
        <v>46090</v>
      </c>
      <c r="E3600" t="inlineStr">
        <is>
          <t>IM캐피탈</t>
        </is>
      </c>
      <c r="F3600" t="inlineStr">
        <is>
          <t>이수민</t>
        </is>
      </c>
      <c r="G3600" t="inlineStr">
        <is>
          <t>010-4410-1907</t>
        </is>
      </c>
      <c r="H3600" t="inlineStr">
        <is>
          <t>234라6712</t>
        </is>
      </c>
      <c r="I3600" t="n">
        <v>13000000</v>
      </c>
      <c r="J3600" t="n">
        <v>0.039</v>
      </c>
      <c r="K3600" t="n">
        <v>1.1</v>
      </c>
      <c r="L3600" t="n">
        <v>0.14</v>
      </c>
      <c r="M3600" t="n">
        <v>0.96</v>
      </c>
      <c r="P3600" t="inlineStr">
        <is>
          <t>김수연</t>
        </is>
      </c>
      <c r="Q3600" t="inlineStr">
        <is>
          <t>홈서비스 60개월</t>
        </is>
      </c>
      <c r="AB3600" t="inlineStr">
        <is>
          <t>홈서비스</t>
        </is>
      </c>
      <c r="AC3600" t="n">
        <v>143000</v>
      </c>
      <c r="AD3600" t="n">
        <v>18200</v>
      </c>
      <c r="AE3600" t="n">
        <v>124800</v>
      </c>
      <c r="AF3600" t="n">
        <v>130000</v>
      </c>
      <c r="AG3600" t="n">
        <v>17599.4</v>
      </c>
      <c r="AH3600" t="n">
        <v>112400.6</v>
      </c>
    </row>
    <row r="3601">
      <c r="A3601" t="inlineStr">
        <is>
          <t>3월</t>
        </is>
      </c>
      <c r="B3601" t="inlineStr">
        <is>
          <t>13주차</t>
        </is>
      </c>
      <c r="C3601" t="inlineStr">
        <is>
          <t>EP</t>
        </is>
      </c>
      <c r="D3601" s="28" t="n">
        <v>46105</v>
      </c>
      <c r="E3601" t="inlineStr">
        <is>
          <t>현대EP</t>
        </is>
      </c>
      <c r="F3601" t="inlineStr">
        <is>
          <t>나인철</t>
        </is>
      </c>
      <c r="G3601" t="inlineStr">
        <is>
          <t>010-3378-1060</t>
        </is>
      </c>
      <c r="H3601" t="inlineStr">
        <is>
          <t>103모9417</t>
        </is>
      </c>
      <c r="I3601" t="n">
        <v>-11000000</v>
      </c>
      <c r="J3601" t="n">
        <v>0.07199999999999999</v>
      </c>
      <c r="K3601" t="n">
        <v>1.76</v>
      </c>
      <c r="L3601" t="n">
        <v>0.14</v>
      </c>
      <c r="M3601" t="n">
        <v>1.62</v>
      </c>
      <c r="P3601" t="inlineStr">
        <is>
          <t>김수연</t>
        </is>
      </c>
      <c r="Q3601" t="inlineStr">
        <is>
          <t>홈서비스 24개월</t>
        </is>
      </c>
      <c r="AB3601" t="inlineStr">
        <is>
          <t>홈서비스</t>
        </is>
      </c>
      <c r="AC3601" t="n">
        <v>-193600</v>
      </c>
      <c r="AD3601" t="n">
        <v>-15400</v>
      </c>
      <c r="AE3601" t="n">
        <v>-178200</v>
      </c>
      <c r="AF3601" t="n">
        <v>-176000</v>
      </c>
      <c r="AG3601" t="n">
        <v>-14891.8</v>
      </c>
      <c r="AH3601" t="n">
        <v>-161108.2</v>
      </c>
      <c r="AI3601" t="n">
        <v>0</v>
      </c>
    </row>
    <row r="3602">
      <c r="A3602" t="inlineStr">
        <is>
          <t>3월</t>
        </is>
      </c>
      <c r="B3602" t="inlineStr">
        <is>
          <t>12주차</t>
        </is>
      </c>
      <c r="C3602" t="inlineStr">
        <is>
          <t>IM</t>
        </is>
      </c>
      <c r="D3602" s="28" t="n">
        <v>46097</v>
      </c>
      <c r="E3602" t="inlineStr">
        <is>
          <t>IM캐피탈</t>
        </is>
      </c>
      <c r="F3602" t="inlineStr">
        <is>
          <t>한석</t>
        </is>
      </c>
      <c r="G3602" t="inlineStr">
        <is>
          <t>010-9118-2310</t>
        </is>
      </c>
      <c r="H3602" t="inlineStr">
        <is>
          <t>154가6559</t>
        </is>
      </c>
      <c r="I3602" t="n">
        <v>20000000</v>
      </c>
      <c r="J3602" t="n">
        <v>0.049</v>
      </c>
      <c r="K3602" t="n">
        <v>1.1</v>
      </c>
      <c r="L3602" t="n">
        <v>0.14</v>
      </c>
      <c r="M3602" t="n">
        <v>0.96</v>
      </c>
      <c r="P3602" t="inlineStr">
        <is>
          <t>김나윤</t>
        </is>
      </c>
      <c r="Q3602" t="inlineStr">
        <is>
          <t>홈서비스 36개월</t>
        </is>
      </c>
      <c r="AB3602" t="inlineStr">
        <is>
          <t>홈서비스</t>
        </is>
      </c>
      <c r="AC3602" t="n">
        <v>220000</v>
      </c>
      <c r="AD3602" t="n">
        <v>28000</v>
      </c>
      <c r="AE3602" t="n">
        <v>192000</v>
      </c>
      <c r="AF3602" t="n">
        <v>200000</v>
      </c>
      <c r="AG3602" t="n">
        <v>27076</v>
      </c>
      <c r="AH3602" t="n">
        <v>172924</v>
      </c>
      <c r="AI3602" t="n">
        <v>0</v>
      </c>
    </row>
    <row r="3603">
      <c r="A3603" t="inlineStr">
        <is>
          <t>3월</t>
        </is>
      </c>
      <c r="B3603" t="inlineStr">
        <is>
          <t>14주차</t>
        </is>
      </c>
      <c r="C3603" t="inlineStr">
        <is>
          <t>EP</t>
        </is>
      </c>
      <c r="D3603" s="28" t="n">
        <v>46111</v>
      </c>
      <c r="E3603" t="inlineStr">
        <is>
          <t>BNKEP</t>
        </is>
      </c>
      <c r="F3603" t="inlineStr">
        <is>
          <t>이명진</t>
        </is>
      </c>
      <c r="G3603" t="inlineStr">
        <is>
          <t>010-6330-5269</t>
        </is>
      </c>
      <c r="H3603" t="inlineStr">
        <is>
          <t>73머5525</t>
        </is>
      </c>
      <c r="I3603" t="n">
        <v>-6800000</v>
      </c>
      <c r="J3603" t="n">
        <v>0.077</v>
      </c>
      <c r="K3603" t="n">
        <v>1.65</v>
      </c>
      <c r="L3603" t="n">
        <v>0.14</v>
      </c>
      <c r="M3603" t="n">
        <v>1.51</v>
      </c>
      <c r="P3603" t="inlineStr">
        <is>
          <t>김나윤</t>
        </is>
      </c>
      <c r="Q3603" t="inlineStr">
        <is>
          <t>선상담 / 홈서비스 60개월</t>
        </is>
      </c>
      <c r="AB3603" t="inlineStr">
        <is>
          <t>홈서비스</t>
        </is>
      </c>
      <c r="AC3603" t="n">
        <v>-112200</v>
      </c>
      <c r="AD3603" t="n">
        <v>-9520</v>
      </c>
      <c r="AE3603" t="n">
        <v>-102680</v>
      </c>
      <c r="AF3603" t="n">
        <v>-102000</v>
      </c>
      <c r="AG3603" t="n">
        <v>-9205.84</v>
      </c>
      <c r="AH3603" t="n">
        <v>-92794.16</v>
      </c>
      <c r="AI3603" t="n">
        <v>0</v>
      </c>
    </row>
    <row r="3604">
      <c r="A3604" t="inlineStr">
        <is>
          <t>3월</t>
        </is>
      </c>
      <c r="B3604" t="inlineStr">
        <is>
          <t>12주차</t>
        </is>
      </c>
      <c r="C3604" t="inlineStr">
        <is>
          <t>IM</t>
        </is>
      </c>
      <c r="D3604" s="28" t="n">
        <v>46101</v>
      </c>
      <c r="E3604" t="inlineStr">
        <is>
          <t>IM캐피탈</t>
        </is>
      </c>
      <c r="F3604" t="inlineStr">
        <is>
          <t>안형규</t>
        </is>
      </c>
      <c r="G3604" t="inlineStr">
        <is>
          <t>010-7578-1530</t>
        </is>
      </c>
      <c r="H3604" t="inlineStr">
        <is>
          <t>198도3938</t>
        </is>
      </c>
      <c r="I3604" t="n">
        <v>40000000</v>
      </c>
      <c r="J3604" t="n">
        <v>0.049</v>
      </c>
      <c r="K3604" t="n">
        <v>1.1</v>
      </c>
      <c r="L3604" t="n">
        <v>0.14</v>
      </c>
      <c r="M3604" t="n">
        <v>0.96</v>
      </c>
      <c r="P3604" t="inlineStr">
        <is>
          <t>김수연</t>
        </is>
      </c>
      <c r="Q3604" t="inlineStr">
        <is>
          <t>홈서비스 60개월</t>
        </is>
      </c>
      <c r="AB3604" t="inlineStr">
        <is>
          <t>홈서비스</t>
        </is>
      </c>
      <c r="AC3604" t="n">
        <v>440000</v>
      </c>
      <c r="AD3604" t="n">
        <v>56000</v>
      </c>
      <c r="AE3604" t="n">
        <v>384000</v>
      </c>
      <c r="AF3604" t="n">
        <v>400000</v>
      </c>
      <c r="AG3604" t="n">
        <v>54152</v>
      </c>
      <c r="AH3604" t="n">
        <v>345848</v>
      </c>
      <c r="AI3604" t="n">
        <v>0</v>
      </c>
    </row>
    <row r="3605">
      <c r="A3605" t="inlineStr">
        <is>
          <t>4월</t>
        </is>
      </c>
      <c r="B3605" t="inlineStr">
        <is>
          <t>17주차</t>
        </is>
      </c>
      <c r="C3605" t="inlineStr">
        <is>
          <t>WC</t>
        </is>
      </c>
      <c r="D3605" s="28" t="n">
        <v>46134</v>
      </c>
      <c r="E3605" t="inlineStr">
        <is>
          <t>웰컴저축은행</t>
        </is>
      </c>
      <c r="F3605" t="inlineStr">
        <is>
          <t>이대인</t>
        </is>
      </c>
      <c r="G3605" t="inlineStr">
        <is>
          <t>010-3977-2031</t>
        </is>
      </c>
      <c r="H3605" t="inlineStr">
        <is>
          <t>224서3165</t>
        </is>
      </c>
      <c r="I3605" t="n">
        <v>24300000</v>
      </c>
      <c r="J3605" t="n">
        <v>0.166</v>
      </c>
      <c r="K3605" t="n">
        <v>2.2</v>
      </c>
      <c r="L3605" t="n">
        <v>0.07000000000000001</v>
      </c>
      <c r="M3605" t="n">
        <v>2.13</v>
      </c>
      <c r="P3605" t="inlineStr">
        <is>
          <t>황채이</t>
        </is>
      </c>
      <c r="Q3605" t="inlineStr">
        <is>
          <t>부결 db실행 / 홈서비스 60개월</t>
        </is>
      </c>
      <c r="AB3605" t="inlineStr">
        <is>
          <t>홈서비스</t>
        </is>
      </c>
      <c r="AC3605" t="n">
        <v>534600</v>
      </c>
      <c r="AD3605" t="n">
        <v>17010</v>
      </c>
      <c r="AE3605" t="n">
        <v>517590</v>
      </c>
      <c r="AF3605" t="n">
        <v>486000</v>
      </c>
      <c r="AG3605" t="n">
        <v>16448.67</v>
      </c>
      <c r="AH3605" t="n">
        <v>469551.33</v>
      </c>
      <c r="AI3605" t="n">
        <v>0</v>
      </c>
    </row>
    <row r="3606">
      <c r="A3606" t="inlineStr">
        <is>
          <t>4월</t>
        </is>
      </c>
      <c r="B3606" t="inlineStr">
        <is>
          <t>17주차</t>
        </is>
      </c>
      <c r="C3606" t="inlineStr">
        <is>
          <t>IM</t>
        </is>
      </c>
      <c r="D3606" s="28" t="n">
        <v>46134</v>
      </c>
      <c r="E3606" t="inlineStr">
        <is>
          <t>IM캐피탈</t>
        </is>
      </c>
      <c r="F3606" t="inlineStr">
        <is>
          <t>김형일</t>
        </is>
      </c>
      <c r="G3606" t="inlineStr">
        <is>
          <t>010-2112-0063</t>
        </is>
      </c>
      <c r="H3606" t="inlineStr">
        <is>
          <t>144우8755</t>
        </is>
      </c>
      <c r="I3606" t="n">
        <v>6000000</v>
      </c>
      <c r="J3606" t="n">
        <v>0.056</v>
      </c>
      <c r="K3606" t="n">
        <v>1.1</v>
      </c>
      <c r="L3606" t="n">
        <v>0.07000000000000001</v>
      </c>
      <c r="M3606" t="n">
        <v>1.03</v>
      </c>
      <c r="P3606" t="inlineStr">
        <is>
          <t>김수연</t>
        </is>
      </c>
      <c r="Q3606" t="inlineStr">
        <is>
          <t>홈서비스 24개월</t>
        </is>
      </c>
      <c r="AB3606" t="inlineStr">
        <is>
          <t>홈서비스</t>
        </is>
      </c>
      <c r="AC3606" t="n">
        <v>66000</v>
      </c>
      <c r="AD3606" t="n">
        <v>4200</v>
      </c>
      <c r="AE3606" t="n">
        <v>61800</v>
      </c>
      <c r="AF3606" t="n">
        <v>60000</v>
      </c>
      <c r="AG3606" t="n">
        <v>4061.4</v>
      </c>
      <c r="AH3606" t="n">
        <v>55938.6</v>
      </c>
      <c r="AI3606" t="n">
        <v>0</v>
      </c>
    </row>
    <row r="3607">
      <c r="A3607" t="inlineStr">
        <is>
          <t>4월</t>
        </is>
      </c>
      <c r="B3607" t="inlineStr">
        <is>
          <t>16주차</t>
        </is>
      </c>
      <c r="C3607" t="inlineStr">
        <is>
          <t>OR</t>
        </is>
      </c>
      <c r="D3607" s="28" t="n">
        <v>46129</v>
      </c>
      <c r="E3607" t="inlineStr">
        <is>
          <t>오릭스</t>
        </is>
      </c>
      <c r="F3607" t="inlineStr">
        <is>
          <t>김태환</t>
        </is>
      </c>
      <c r="G3607" t="inlineStr">
        <is>
          <t>010-6865-1598</t>
        </is>
      </c>
      <c r="H3607" t="inlineStr">
        <is>
          <t>212주9318</t>
        </is>
      </c>
      <c r="I3607" t="n">
        <v>34000000</v>
      </c>
      <c r="J3607" t="n">
        <v>0.066</v>
      </c>
      <c r="K3607" t="n">
        <v>1.65</v>
      </c>
      <c r="L3607" t="n">
        <v>0.3</v>
      </c>
      <c r="M3607" t="n">
        <v>1.35</v>
      </c>
      <c r="P3607" t="inlineStr">
        <is>
          <t>박소현</t>
        </is>
      </c>
      <c r="Q3607" t="inlineStr">
        <is>
          <t>오토 론 진행</t>
        </is>
      </c>
      <c r="AB3607" t="inlineStr">
        <is>
          <t>엔카</t>
        </is>
      </c>
      <c r="AC3607" t="n">
        <v>561000</v>
      </c>
      <c r="AD3607" t="n">
        <v>102000</v>
      </c>
      <c r="AE3607" t="n">
        <v>459000</v>
      </c>
      <c r="AF3607" t="n">
        <v>510000</v>
      </c>
      <c r="AG3607" t="n">
        <v>98634</v>
      </c>
      <c r="AH3607" t="n">
        <v>411366</v>
      </c>
      <c r="AI3607" t="n">
        <v>0</v>
      </c>
    </row>
    <row r="3608">
      <c r="A3608" t="inlineStr">
        <is>
          <t>4월</t>
        </is>
      </c>
      <c r="B3608" t="inlineStr">
        <is>
          <t>17주차</t>
        </is>
      </c>
      <c r="C3608" t="inlineStr">
        <is>
          <t>IM</t>
        </is>
      </c>
      <c r="D3608" s="28" t="n">
        <v>46133</v>
      </c>
      <c r="E3608" t="inlineStr">
        <is>
          <t>IM캐피탈</t>
        </is>
      </c>
      <c r="F3608" t="inlineStr">
        <is>
          <t>장정현</t>
        </is>
      </c>
      <c r="G3608" t="inlineStr">
        <is>
          <t>010-6287-3828</t>
        </is>
      </c>
      <c r="H3608" t="inlineStr">
        <is>
          <t>365더7291</t>
        </is>
      </c>
      <c r="I3608" t="n">
        <v>38000000</v>
      </c>
      <c r="J3608" t="n">
        <v>0.056</v>
      </c>
      <c r="K3608" t="n">
        <v>1.1</v>
      </c>
      <c r="L3608" t="n">
        <v>0.4</v>
      </c>
      <c r="M3608" t="n">
        <v>0.7</v>
      </c>
      <c r="P3608" t="inlineStr">
        <is>
          <t>장진경</t>
        </is>
      </c>
      <c r="AB3608" t="inlineStr">
        <is>
          <t>엔카</t>
        </is>
      </c>
      <c r="AC3608" t="n">
        <v>418000</v>
      </c>
      <c r="AD3608" t="n">
        <v>152000</v>
      </c>
      <c r="AE3608" t="n">
        <v>266000</v>
      </c>
      <c r="AF3608" t="n">
        <v>380000</v>
      </c>
      <c r="AG3608" t="n">
        <v>146984</v>
      </c>
      <c r="AH3608" t="n">
        <v>233016</v>
      </c>
      <c r="AI3608" t="n">
        <v>0</v>
      </c>
    </row>
    <row r="3609">
      <c r="A3609" t="inlineStr">
        <is>
          <t>4월</t>
        </is>
      </c>
      <c r="B3609" t="inlineStr">
        <is>
          <t>17주차</t>
        </is>
      </c>
      <c r="C3609" t="inlineStr">
        <is>
          <t>EP</t>
        </is>
      </c>
      <c r="D3609" s="28" t="n">
        <v>46133</v>
      </c>
      <c r="E3609" t="inlineStr">
        <is>
          <t>제이비EP</t>
        </is>
      </c>
      <c r="F3609" t="inlineStr">
        <is>
          <t>정영재</t>
        </is>
      </c>
      <c r="G3609" t="inlineStr">
        <is>
          <t>010-2748-3627</t>
        </is>
      </c>
      <c r="H3609" t="inlineStr">
        <is>
          <t>108로5094</t>
        </is>
      </c>
      <c r="I3609" t="n">
        <v>40000000</v>
      </c>
      <c r="J3609" t="n">
        <v>0.08699999999999999</v>
      </c>
      <c r="K3609" t="n">
        <v>1.65</v>
      </c>
      <c r="L3609" t="n">
        <v>0.4</v>
      </c>
      <c r="M3609" t="n">
        <v>1.25</v>
      </c>
      <c r="P3609" t="inlineStr">
        <is>
          <t>박현민</t>
        </is>
      </c>
      <c r="AB3609" t="inlineStr">
        <is>
          <t>엔카</t>
        </is>
      </c>
      <c r="AC3609" t="n">
        <v>660000</v>
      </c>
      <c r="AD3609" t="n">
        <v>160000</v>
      </c>
      <c r="AE3609" t="n">
        <v>500000</v>
      </c>
      <c r="AF3609" t="n">
        <v>600000</v>
      </c>
      <c r="AG3609" t="n">
        <v>154720</v>
      </c>
      <c r="AH3609" t="n">
        <v>445280</v>
      </c>
      <c r="AI3609" t="n">
        <v>0</v>
      </c>
    </row>
    <row r="3610">
      <c r="A3610" t="inlineStr">
        <is>
          <t>4월</t>
        </is>
      </c>
      <c r="B3610" t="inlineStr">
        <is>
          <t>17주차</t>
        </is>
      </c>
      <c r="C3610" t="inlineStr">
        <is>
          <t>EP</t>
        </is>
      </c>
      <c r="D3610" s="28" t="n">
        <v>46133</v>
      </c>
      <c r="E3610" t="inlineStr">
        <is>
          <t>현대EP_fast</t>
        </is>
      </c>
      <c r="F3610" t="inlineStr">
        <is>
          <t>박노균</t>
        </is>
      </c>
      <c r="G3610" t="inlineStr">
        <is>
          <t>010-4257-6582</t>
        </is>
      </c>
      <c r="H3610" t="inlineStr">
        <is>
          <t>137다8370</t>
        </is>
      </c>
      <c r="I3610" t="n">
        <v>9500000</v>
      </c>
      <c r="J3610" t="n">
        <v>0.079</v>
      </c>
      <c r="K3610" t="n">
        <v>1.76</v>
      </c>
      <c r="L3610" t="n">
        <v>0.2</v>
      </c>
      <c r="M3610" t="n">
        <v>1.56</v>
      </c>
      <c r="P3610" t="inlineStr">
        <is>
          <t>김나윤</t>
        </is>
      </c>
      <c r="Q3610" t="inlineStr">
        <is>
          <t>홈서비스 60개월</t>
        </is>
      </c>
      <c r="AB3610" t="inlineStr">
        <is>
          <t>홈서비스</t>
        </is>
      </c>
      <c r="AC3610" t="n">
        <v>167200</v>
      </c>
      <c r="AD3610" t="n">
        <v>19000</v>
      </c>
      <c r="AE3610" t="n">
        <v>148200</v>
      </c>
      <c r="AF3610" t="n">
        <v>152000</v>
      </c>
      <c r="AG3610" t="n">
        <v>18373</v>
      </c>
      <c r="AH3610" t="n">
        <v>133627</v>
      </c>
      <c r="AI3610" t="n">
        <v>0</v>
      </c>
    </row>
    <row r="3611">
      <c r="A3611" t="inlineStr">
        <is>
          <t>4월</t>
        </is>
      </c>
      <c r="B3611" t="inlineStr">
        <is>
          <t>17주차</t>
        </is>
      </c>
      <c r="C3611" t="inlineStr">
        <is>
          <t>EP</t>
        </is>
      </c>
      <c r="D3611" s="28" t="n">
        <v>46133</v>
      </c>
      <c r="E3611" t="inlineStr">
        <is>
          <t>현대EP</t>
        </is>
      </c>
      <c r="F3611" t="inlineStr">
        <is>
          <t>장문현</t>
        </is>
      </c>
      <c r="G3611" t="inlineStr">
        <is>
          <t>010-2047-0774</t>
        </is>
      </c>
      <c r="H3611" t="inlineStr">
        <is>
          <t>149저5380</t>
        </is>
      </c>
      <c r="I3611" t="n">
        <v>45900000</v>
      </c>
      <c r="J3611" t="n">
        <v>0.08500000000000001</v>
      </c>
      <c r="K3611" t="n">
        <v>1.76</v>
      </c>
      <c r="L3611" t="n">
        <v>0.2</v>
      </c>
      <c r="M3611" t="n">
        <v>1.56</v>
      </c>
      <c r="P3611" t="inlineStr">
        <is>
          <t>김나윤</t>
        </is>
      </c>
      <c r="AB3611" t="inlineStr">
        <is>
          <t>홈서비스</t>
        </is>
      </c>
      <c r="AC3611" t="n">
        <v>807840</v>
      </c>
      <c r="AD3611" t="n">
        <v>91800</v>
      </c>
      <c r="AE3611" t="n">
        <v>716040</v>
      </c>
      <c r="AF3611" t="n">
        <v>734400</v>
      </c>
      <c r="AG3611" t="n">
        <v>88770.60000000001</v>
      </c>
      <c r="AH3611" t="n">
        <v>645629.4</v>
      </c>
      <c r="AI3611" t="n">
        <v>0</v>
      </c>
    </row>
    <row r="3612">
      <c r="A3612" t="inlineStr">
        <is>
          <t>4월</t>
        </is>
      </c>
      <c r="B3612" t="inlineStr">
        <is>
          <t>17주차</t>
        </is>
      </c>
      <c r="C3612" t="inlineStr">
        <is>
          <t>IM</t>
        </is>
      </c>
      <c r="D3612" s="28" t="n">
        <v>46134</v>
      </c>
      <c r="E3612" t="inlineStr">
        <is>
          <t>IM캐피탈</t>
        </is>
      </c>
      <c r="F3612" t="inlineStr">
        <is>
          <t>윤문섭</t>
        </is>
      </c>
      <c r="G3612" t="inlineStr">
        <is>
          <t>010-5458-5455</t>
        </is>
      </c>
      <c r="H3612" t="inlineStr">
        <is>
          <t>327다4001</t>
        </is>
      </c>
      <c r="I3612" t="n">
        <v>27700000</v>
      </c>
      <c r="J3612" t="n">
        <v>0.06900000000000001</v>
      </c>
      <c r="K3612" t="n">
        <v>1.1</v>
      </c>
      <c r="L3612" t="n">
        <v>0.07000000000000001</v>
      </c>
      <c r="M3612" t="n">
        <v>1.03</v>
      </c>
      <c r="P3612" t="inlineStr">
        <is>
          <t>김나윤</t>
        </is>
      </c>
      <c r="Q3612" t="inlineStr">
        <is>
          <t>홈서비스 84개월 / 부대비용 추가진행</t>
        </is>
      </c>
      <c r="AB3612" t="inlineStr">
        <is>
          <t>홈서비스</t>
        </is>
      </c>
      <c r="AC3612" t="n">
        <v>304700</v>
      </c>
      <c r="AD3612" t="n">
        <v>19390</v>
      </c>
      <c r="AE3612" t="n">
        <v>285310</v>
      </c>
      <c r="AF3612" t="n">
        <v>277000</v>
      </c>
      <c r="AG3612" t="n">
        <v>18750.13</v>
      </c>
      <c r="AH3612" t="n">
        <v>258249.87</v>
      </c>
    </row>
    <row r="3613">
      <c r="A3613" t="inlineStr">
        <is>
          <t>4월</t>
        </is>
      </c>
      <c r="B3613" t="inlineStr">
        <is>
          <t>17주차</t>
        </is>
      </c>
      <c r="C3613" t="inlineStr">
        <is>
          <t>IM</t>
        </is>
      </c>
      <c r="D3613" s="28" t="n">
        <v>46133</v>
      </c>
      <c r="E3613" t="inlineStr">
        <is>
          <t>IM캐피탈</t>
        </is>
      </c>
      <c r="F3613" t="inlineStr">
        <is>
          <t>이종목</t>
        </is>
      </c>
      <c r="G3613" t="inlineStr">
        <is>
          <t>010-3280-0595</t>
        </is>
      </c>
      <c r="H3613" t="inlineStr">
        <is>
          <t>369소1439</t>
        </is>
      </c>
      <c r="I3613" t="n">
        <v>29000000</v>
      </c>
      <c r="J3613" t="n">
        <v>0.059</v>
      </c>
      <c r="K3613" t="n">
        <v>1.1</v>
      </c>
      <c r="L3613" t="n">
        <v>0.4</v>
      </c>
      <c r="M3613" t="n">
        <v>0.7</v>
      </c>
      <c r="P3613" t="inlineStr">
        <is>
          <t>구성완</t>
        </is>
      </c>
      <c r="Q3613" t="inlineStr">
        <is>
          <t>부대비추가진행</t>
        </is>
      </c>
      <c r="AB3613" t="inlineStr">
        <is>
          <t>엔카</t>
        </is>
      </c>
      <c r="AC3613" t="n">
        <v>319000</v>
      </c>
      <c r="AD3613" t="n">
        <v>116000</v>
      </c>
      <c r="AE3613" t="n">
        <v>203000</v>
      </c>
      <c r="AF3613" t="n">
        <v>290000</v>
      </c>
      <c r="AG3613" t="n">
        <v>112172</v>
      </c>
      <c r="AH3613" t="n">
        <v>177828</v>
      </c>
      <c r="AI3613" t="n">
        <v>0</v>
      </c>
    </row>
    <row r="3614">
      <c r="A3614" t="inlineStr">
        <is>
          <t>4월</t>
        </is>
      </c>
      <c r="B3614" t="inlineStr">
        <is>
          <t>17주차</t>
        </is>
      </c>
      <c r="C3614" t="inlineStr">
        <is>
          <t>EP</t>
        </is>
      </c>
      <c r="D3614" s="28" t="n">
        <v>46133</v>
      </c>
      <c r="E3614" t="inlineStr">
        <is>
          <t>현대EP</t>
        </is>
      </c>
      <c r="F3614" t="inlineStr">
        <is>
          <t>박철훈</t>
        </is>
      </c>
      <c r="G3614" t="inlineStr">
        <is>
          <t>010-5350-8624</t>
        </is>
      </c>
      <c r="H3614" t="inlineStr">
        <is>
          <t>108수2381</t>
        </is>
      </c>
      <c r="I3614" t="n">
        <v>3000000</v>
      </c>
      <c r="J3614" t="n">
        <v>0.154</v>
      </c>
      <c r="K3614" t="n">
        <v>1.76</v>
      </c>
      <c r="L3614" t="n">
        <v>0.2</v>
      </c>
      <c r="M3614" t="n">
        <v>1.56</v>
      </c>
      <c r="P3614" t="inlineStr">
        <is>
          <t>최혁</t>
        </is>
      </c>
      <c r="AB3614" t="inlineStr">
        <is>
          <t>홈서비스</t>
        </is>
      </c>
      <c r="AC3614" t="n">
        <v>52800</v>
      </c>
      <c r="AD3614" t="n">
        <v>6000</v>
      </c>
      <c r="AE3614" t="n">
        <v>46800</v>
      </c>
      <c r="AF3614" t="n">
        <v>48000</v>
      </c>
      <c r="AG3614" t="n">
        <v>5802</v>
      </c>
      <c r="AH3614" t="n">
        <v>42198</v>
      </c>
      <c r="AI3614" t="n">
        <v>0</v>
      </c>
    </row>
    <row r="3615">
      <c r="A3615" t="inlineStr">
        <is>
          <t>4월</t>
        </is>
      </c>
      <c r="B3615" t="inlineStr">
        <is>
          <t>17주차</t>
        </is>
      </c>
      <c r="C3615" t="inlineStr">
        <is>
          <t>EP</t>
        </is>
      </c>
      <c r="D3615" s="28" t="n">
        <v>46134</v>
      </c>
      <c r="E3615" t="inlineStr">
        <is>
          <t>제이비EP</t>
        </is>
      </c>
      <c r="F3615" t="inlineStr">
        <is>
          <t>김원래</t>
        </is>
      </c>
      <c r="G3615" t="inlineStr">
        <is>
          <t>010-4193-8104</t>
        </is>
      </c>
      <c r="H3615" t="inlineStr">
        <is>
          <t>334서2479</t>
        </is>
      </c>
      <c r="I3615" t="n">
        <v>50000000</v>
      </c>
      <c r="J3615" t="n">
        <v>0.066</v>
      </c>
      <c r="K3615" t="n">
        <v>1.65</v>
      </c>
      <c r="L3615" t="n">
        <v>0.4</v>
      </c>
      <c r="M3615" t="n">
        <v>1.25</v>
      </c>
      <c r="P3615" t="inlineStr">
        <is>
          <t>최혁</t>
        </is>
      </c>
      <c r="Q3615" t="inlineStr">
        <is>
          <t>법인진행건</t>
        </is>
      </c>
      <c r="AB3615" t="inlineStr">
        <is>
          <t>엔카</t>
        </is>
      </c>
      <c r="AC3615" t="n">
        <v>825000</v>
      </c>
      <c r="AD3615" t="n">
        <v>200000</v>
      </c>
      <c r="AE3615" t="n">
        <v>625000</v>
      </c>
      <c r="AF3615" t="n">
        <v>750000</v>
      </c>
      <c r="AG3615" t="n">
        <v>193400</v>
      </c>
      <c r="AH3615" t="n">
        <v>556600</v>
      </c>
      <c r="AI3615" t="n">
        <v>0</v>
      </c>
    </row>
    <row r="3616">
      <c r="A3616" t="inlineStr">
        <is>
          <t>4월</t>
        </is>
      </c>
      <c r="B3616" t="inlineStr">
        <is>
          <t>17주차</t>
        </is>
      </c>
      <c r="C3616" t="inlineStr">
        <is>
          <t>IM</t>
        </is>
      </c>
      <c r="D3616" s="28" t="n">
        <v>46133</v>
      </c>
      <c r="E3616" t="inlineStr">
        <is>
          <t>IM캐피탈</t>
        </is>
      </c>
      <c r="F3616" t="inlineStr">
        <is>
          <t>조정수</t>
        </is>
      </c>
      <c r="G3616" t="inlineStr">
        <is>
          <t>010-5095-3806</t>
        </is>
      </c>
      <c r="H3616" t="inlineStr">
        <is>
          <t>257구2841</t>
        </is>
      </c>
      <c r="I3616" t="n">
        <v>25000000</v>
      </c>
      <c r="J3616" t="n">
        <v>0.039</v>
      </c>
      <c r="K3616" t="n">
        <v>1.1</v>
      </c>
      <c r="L3616" t="n">
        <v>0.4</v>
      </c>
      <c r="M3616" t="n">
        <v>0.7</v>
      </c>
      <c r="P3616" t="inlineStr">
        <is>
          <t>임대경</t>
        </is>
      </c>
      <c r="Q3616" t="inlineStr">
        <is>
          <t>론진행 /이전완료</t>
        </is>
      </c>
      <c r="AB3616" t="inlineStr">
        <is>
          <t>엔카</t>
        </is>
      </c>
      <c r="AC3616" t="n">
        <v>275000</v>
      </c>
      <c r="AD3616" t="n">
        <v>100000</v>
      </c>
      <c r="AE3616" t="n">
        <v>175000</v>
      </c>
      <c r="AF3616" t="n">
        <v>250000</v>
      </c>
      <c r="AG3616" t="n">
        <v>96700</v>
      </c>
      <c r="AH3616" t="n">
        <v>153300</v>
      </c>
      <c r="AI3616" t="n">
        <v>0</v>
      </c>
    </row>
    <row r="3617">
      <c r="A3617" t="inlineStr">
        <is>
          <t>4월</t>
        </is>
      </c>
      <c r="B3617" t="inlineStr">
        <is>
          <t>17주차</t>
        </is>
      </c>
      <c r="C3617" t="inlineStr">
        <is>
          <t>EP</t>
        </is>
      </c>
      <c r="D3617" s="28" t="n">
        <v>46134</v>
      </c>
      <c r="E3617" t="inlineStr">
        <is>
          <t>BNKEP</t>
        </is>
      </c>
      <c r="F3617" t="inlineStr">
        <is>
          <t>장현명</t>
        </is>
      </c>
      <c r="G3617" t="inlineStr">
        <is>
          <t>010-7275-4576</t>
        </is>
      </c>
      <c r="H3617" t="inlineStr">
        <is>
          <t>355우5389</t>
        </is>
      </c>
      <c r="I3617" t="n">
        <v>20000000</v>
      </c>
      <c r="J3617" t="n">
        <v>0.081</v>
      </c>
      <c r="K3617" t="n">
        <v>1.65</v>
      </c>
      <c r="L3617" t="n">
        <v>0.4</v>
      </c>
      <c r="M3617" t="n">
        <v>1.25</v>
      </c>
      <c r="P3617" t="inlineStr">
        <is>
          <t>장현경</t>
        </is>
      </c>
      <c r="AB3617" t="inlineStr">
        <is>
          <t>엔카</t>
        </is>
      </c>
      <c r="AC3617" t="n">
        <v>330000</v>
      </c>
      <c r="AD3617" t="n">
        <v>80000</v>
      </c>
      <c r="AE3617" t="n">
        <v>250000</v>
      </c>
      <c r="AF3617" t="n">
        <v>300000</v>
      </c>
      <c r="AG3617" t="n">
        <v>77360</v>
      </c>
      <c r="AH3617" t="n">
        <v>222640</v>
      </c>
      <c r="AI3617" t="n">
        <v>0</v>
      </c>
    </row>
    <row r="3618">
      <c r="A3618" t="inlineStr">
        <is>
          <t>3월</t>
        </is>
      </c>
      <c r="B3618" t="inlineStr">
        <is>
          <t>13주차</t>
        </is>
      </c>
      <c r="C3618" t="inlineStr">
        <is>
          <t>EP</t>
        </is>
      </c>
      <c r="D3618" s="28" t="n">
        <v>46104</v>
      </c>
      <c r="E3618" t="inlineStr">
        <is>
          <t>현대EP</t>
        </is>
      </c>
      <c r="F3618" t="inlineStr">
        <is>
          <t>이윤정</t>
        </is>
      </c>
      <c r="G3618" t="inlineStr">
        <is>
          <t>010-2510-0720</t>
        </is>
      </c>
      <c r="H3618" t="inlineStr">
        <is>
          <t>23조2014</t>
        </is>
      </c>
      <c r="I3618" t="n">
        <v>15500000</v>
      </c>
      <c r="J3618" t="n">
        <v>0.105</v>
      </c>
      <c r="K3618" t="n">
        <v>1.76</v>
      </c>
      <c r="L3618" t="n">
        <v>0.14</v>
      </c>
      <c r="M3618" t="n">
        <v>1.62</v>
      </c>
      <c r="P3618" t="inlineStr">
        <is>
          <t>정세빈</t>
        </is>
      </c>
      <c r="Q3618" t="inlineStr">
        <is>
          <t>홈서비스 48개월</t>
        </is>
      </c>
      <c r="AB3618" t="inlineStr">
        <is>
          <t>홈서비스</t>
        </is>
      </c>
      <c r="AC3618" t="n">
        <v>272800</v>
      </c>
      <c r="AD3618" t="n">
        <v>21700</v>
      </c>
      <c r="AE3618" t="n">
        <v>251100</v>
      </c>
      <c r="AF3618" t="n">
        <v>248000</v>
      </c>
      <c r="AG3618" t="n">
        <v>20983.9</v>
      </c>
      <c r="AH3618" t="n">
        <v>227016.1</v>
      </c>
      <c r="AI3618" t="n">
        <v>0</v>
      </c>
    </row>
    <row r="3619">
      <c r="A3619" t="inlineStr">
        <is>
          <t>4월</t>
        </is>
      </c>
      <c r="B3619" t="inlineStr">
        <is>
          <t>17주차</t>
        </is>
      </c>
      <c r="C3619" t="inlineStr">
        <is>
          <t>EP</t>
        </is>
      </c>
      <c r="D3619" s="28" t="n">
        <v>46134</v>
      </c>
      <c r="E3619" t="inlineStr">
        <is>
          <t>현대EP_fast</t>
        </is>
      </c>
      <c r="F3619" t="inlineStr">
        <is>
          <t>윤민혁</t>
        </is>
      </c>
      <c r="G3619" t="inlineStr">
        <is>
          <t>010-3917-4321</t>
        </is>
      </c>
      <c r="H3619" t="inlineStr">
        <is>
          <t>228주8412</t>
        </is>
      </c>
      <c r="I3619" t="n">
        <v>18000000</v>
      </c>
      <c r="J3619" t="n">
        <v>0.092</v>
      </c>
      <c r="K3619" t="n">
        <v>1.76</v>
      </c>
      <c r="L3619" t="n">
        <v>0.2</v>
      </c>
      <c r="M3619" t="n">
        <v>1.56</v>
      </c>
      <c r="P3619" t="inlineStr">
        <is>
          <t>장현경</t>
        </is>
      </c>
      <c r="Q3619" t="inlineStr">
        <is>
          <t>선상담 / 홈서비스 48개월</t>
        </is>
      </c>
      <c r="AB3619" t="inlineStr">
        <is>
          <t>홈서비스</t>
        </is>
      </c>
      <c r="AC3619" t="n">
        <v>316800</v>
      </c>
      <c r="AD3619" t="n">
        <v>36000</v>
      </c>
      <c r="AE3619" t="n">
        <v>280800</v>
      </c>
      <c r="AF3619" t="n">
        <v>288000</v>
      </c>
      <c r="AG3619" t="n">
        <v>34812</v>
      </c>
      <c r="AH3619" t="n">
        <v>253188</v>
      </c>
    </row>
    <row r="3620">
      <c r="A3620" t="inlineStr">
        <is>
          <t>4월</t>
        </is>
      </c>
      <c r="B3620" t="inlineStr">
        <is>
          <t>17주차</t>
        </is>
      </c>
      <c r="C3620" t="inlineStr">
        <is>
          <t>IM</t>
        </is>
      </c>
      <c r="D3620" s="28" t="n">
        <v>46134</v>
      </c>
      <c r="E3620" t="inlineStr">
        <is>
          <t>IM캐피탈</t>
        </is>
      </c>
      <c r="F3620" t="inlineStr">
        <is>
          <t>상미경</t>
        </is>
      </c>
      <c r="G3620" t="inlineStr">
        <is>
          <t>010-3422-5209</t>
        </is>
      </c>
      <c r="H3620" t="inlineStr">
        <is>
          <t>145두2262</t>
        </is>
      </c>
      <c r="I3620" t="n">
        <v>7100000</v>
      </c>
      <c r="J3620" t="n">
        <v>0.049</v>
      </c>
      <c r="K3620" t="n">
        <v>1.1</v>
      </c>
      <c r="L3620" t="n">
        <v>0.07000000000000001</v>
      </c>
      <c r="M3620" t="n">
        <v>1.03</v>
      </c>
      <c r="P3620" t="inlineStr">
        <is>
          <t>김나윤</t>
        </is>
      </c>
      <c r="Q3620" t="inlineStr">
        <is>
          <t>홈서비스 48개월</t>
        </is>
      </c>
      <c r="AB3620" t="inlineStr">
        <is>
          <t>홈서비스</t>
        </is>
      </c>
      <c r="AC3620" t="n">
        <v>78100</v>
      </c>
      <c r="AD3620" t="n">
        <v>4970</v>
      </c>
      <c r="AE3620" t="n">
        <v>73130</v>
      </c>
      <c r="AF3620" t="n">
        <v>71000</v>
      </c>
      <c r="AG3620" t="n">
        <v>4805.99</v>
      </c>
      <c r="AH3620" t="n">
        <v>66194.00999999999</v>
      </c>
      <c r="AI3620" t="n">
        <v>0</v>
      </c>
    </row>
    <row r="3621">
      <c r="A3621" t="inlineStr">
        <is>
          <t>4월</t>
        </is>
      </c>
      <c r="B3621" t="inlineStr">
        <is>
          <t>17주차</t>
        </is>
      </c>
      <c r="C3621" t="inlineStr">
        <is>
          <t>EP</t>
        </is>
      </c>
      <c r="D3621" s="28" t="n">
        <v>46134</v>
      </c>
      <c r="E3621" t="inlineStr">
        <is>
          <t>현대EP</t>
        </is>
      </c>
      <c r="F3621" t="inlineStr">
        <is>
          <t>엄익주</t>
        </is>
      </c>
      <c r="G3621" t="inlineStr">
        <is>
          <t>010-9900-8395</t>
        </is>
      </c>
      <c r="H3621" t="inlineStr">
        <is>
          <t>17버2595</t>
        </is>
      </c>
      <c r="I3621" t="n">
        <v>12000000</v>
      </c>
      <c r="J3621" t="n">
        <v>0.07199999999999999</v>
      </c>
      <c r="K3621" t="n">
        <v>1.76</v>
      </c>
      <c r="L3621" t="n">
        <v>0.2</v>
      </c>
      <c r="M3621" t="n">
        <v>1.56</v>
      </c>
      <c r="P3621" t="inlineStr">
        <is>
          <t>김수연</t>
        </is>
      </c>
      <c r="Q3621" t="inlineStr">
        <is>
          <t>홈서비스 24개월</t>
        </is>
      </c>
      <c r="AB3621" t="inlineStr">
        <is>
          <t>홈서비스</t>
        </is>
      </c>
      <c r="AC3621" t="n">
        <v>211200</v>
      </c>
      <c r="AD3621" t="n">
        <v>24000</v>
      </c>
      <c r="AE3621" t="n">
        <v>187200</v>
      </c>
      <c r="AF3621" t="n">
        <v>192000</v>
      </c>
      <c r="AG3621" t="n">
        <v>23208</v>
      </c>
      <c r="AH3621" t="n">
        <v>168792</v>
      </c>
      <c r="AI3621" t="n">
        <v>0</v>
      </c>
    </row>
    <row r="3622">
      <c r="A3622" t="inlineStr">
        <is>
          <t>4월</t>
        </is>
      </c>
      <c r="B3622" t="inlineStr">
        <is>
          <t>17주차</t>
        </is>
      </c>
      <c r="C3622" t="inlineStr">
        <is>
          <t>IM</t>
        </is>
      </c>
      <c r="D3622" s="28" t="n">
        <v>46134</v>
      </c>
      <c r="E3622" t="inlineStr">
        <is>
          <t>IM캐피탈</t>
        </is>
      </c>
      <c r="F3622" t="inlineStr">
        <is>
          <t>이동훈</t>
        </is>
      </c>
      <c r="G3622" t="inlineStr">
        <is>
          <t>010-4858-9154</t>
        </is>
      </c>
      <c r="H3622" t="inlineStr">
        <is>
          <t>313구5446</t>
        </is>
      </c>
      <c r="I3622" t="n">
        <v>6000000</v>
      </c>
      <c r="J3622" t="n">
        <v>0.049</v>
      </c>
      <c r="K3622" t="n">
        <v>1.1</v>
      </c>
      <c r="L3622" t="n">
        <v>0.07000000000000001</v>
      </c>
      <c r="M3622" t="n">
        <v>1.03</v>
      </c>
      <c r="P3622" t="inlineStr">
        <is>
          <t>김나윤</t>
        </is>
      </c>
      <c r="Q3622" t="inlineStr">
        <is>
          <t>홈서비스 24개월 / 공동명의</t>
        </is>
      </c>
      <c r="AB3622" t="inlineStr">
        <is>
          <t>홈서비스</t>
        </is>
      </c>
      <c r="AC3622" t="n">
        <v>66000</v>
      </c>
      <c r="AD3622" t="n">
        <v>4200</v>
      </c>
      <c r="AE3622" t="n">
        <v>61800</v>
      </c>
      <c r="AF3622" t="n">
        <v>60000</v>
      </c>
      <c r="AG3622" t="n">
        <v>4061.4</v>
      </c>
      <c r="AH3622" t="n">
        <v>55938.6</v>
      </c>
    </row>
    <row r="3623">
      <c r="A3623" t="inlineStr">
        <is>
          <t>4월</t>
        </is>
      </c>
      <c r="B3623" t="inlineStr">
        <is>
          <t>17주차</t>
        </is>
      </c>
      <c r="C3623" t="inlineStr">
        <is>
          <t>EP</t>
        </is>
      </c>
      <c r="D3623" s="28" t="n">
        <v>46135</v>
      </c>
      <c r="E3623" t="inlineStr">
        <is>
          <t>현대EP_fast</t>
        </is>
      </c>
      <c r="F3623" t="inlineStr">
        <is>
          <t>전진철</t>
        </is>
      </c>
      <c r="G3623" t="inlineStr">
        <is>
          <t>010-3379-5954</t>
        </is>
      </c>
      <c r="H3623" t="inlineStr">
        <is>
          <t>235우9363</t>
        </is>
      </c>
      <c r="I3623" t="n">
        <v>15600000</v>
      </c>
      <c r="J3623" t="n">
        <v>0.118</v>
      </c>
      <c r="K3623" t="n">
        <v>1.76</v>
      </c>
      <c r="L3623" t="n">
        <v>0.2</v>
      </c>
      <c r="M3623" t="n">
        <v>1.56</v>
      </c>
      <c r="P3623" t="inlineStr">
        <is>
          <t>김나윤</t>
        </is>
      </c>
      <c r="Q3623" t="inlineStr">
        <is>
          <t>홈서비스 48개월</t>
        </is>
      </c>
      <c r="AB3623" t="inlineStr">
        <is>
          <t>홈서비스</t>
        </is>
      </c>
      <c r="AC3623" t="n">
        <v>274560</v>
      </c>
      <c r="AD3623" t="n">
        <v>31200</v>
      </c>
      <c r="AE3623" t="n">
        <v>243360</v>
      </c>
      <c r="AF3623" t="n">
        <v>249600</v>
      </c>
      <c r="AG3623" t="n">
        <v>30170.4</v>
      </c>
      <c r="AH3623" t="n">
        <v>219429.6</v>
      </c>
      <c r="AI3623" t="n">
        <v>0</v>
      </c>
    </row>
    <row r="3624">
      <c r="A3624" t="inlineStr">
        <is>
          <t>4월</t>
        </is>
      </c>
      <c r="B3624" t="inlineStr">
        <is>
          <t>17주차</t>
        </is>
      </c>
      <c r="C3624" t="inlineStr">
        <is>
          <t>IM</t>
        </is>
      </c>
      <c r="D3624" s="28" t="n">
        <v>46134</v>
      </c>
      <c r="E3624" t="inlineStr">
        <is>
          <t>IM캐피탈</t>
        </is>
      </c>
      <c r="F3624" t="inlineStr">
        <is>
          <t>안일호</t>
        </is>
      </c>
      <c r="G3624" t="inlineStr">
        <is>
          <t>010-4539-4498</t>
        </is>
      </c>
      <c r="H3624" t="inlineStr">
        <is>
          <t>284부2639</t>
        </is>
      </c>
      <c r="I3624" t="n">
        <v>25000000</v>
      </c>
      <c r="J3624" t="n">
        <v>0.039</v>
      </c>
      <c r="K3624" t="n">
        <v>1.1</v>
      </c>
      <c r="L3624" t="n">
        <v>0.07000000000000001</v>
      </c>
      <c r="M3624" t="n">
        <v>1.03</v>
      </c>
      <c r="P3624" t="inlineStr">
        <is>
          <t>최혁</t>
        </is>
      </c>
      <c r="Q3624" t="inlineStr">
        <is>
          <t>홈서비스60개월</t>
        </is>
      </c>
      <c r="AB3624" t="inlineStr">
        <is>
          <t>홈서비스</t>
        </is>
      </c>
      <c r="AC3624" t="n">
        <v>275000</v>
      </c>
      <c r="AD3624" t="n">
        <v>17500</v>
      </c>
      <c r="AE3624" t="n">
        <v>257500</v>
      </c>
      <c r="AF3624" t="n">
        <v>250000</v>
      </c>
      <c r="AG3624" t="n">
        <v>16922.5</v>
      </c>
      <c r="AH3624" t="n">
        <v>233077.5</v>
      </c>
      <c r="AI3624" t="n">
        <v>0</v>
      </c>
    </row>
    <row r="3625">
      <c r="A3625" t="inlineStr">
        <is>
          <t>4월</t>
        </is>
      </c>
      <c r="B3625" t="inlineStr">
        <is>
          <t>17주차</t>
        </is>
      </c>
      <c r="C3625" t="inlineStr">
        <is>
          <t>EP</t>
        </is>
      </c>
      <c r="D3625" s="28" t="n">
        <v>46134</v>
      </c>
      <c r="E3625" t="inlineStr">
        <is>
          <t>현대EP_fast</t>
        </is>
      </c>
      <c r="F3625" t="inlineStr">
        <is>
          <t>이성훈</t>
        </is>
      </c>
      <c r="G3625" t="inlineStr">
        <is>
          <t>010-9022-1167</t>
        </is>
      </c>
      <c r="H3625" t="inlineStr">
        <is>
          <t>91어3630</t>
        </is>
      </c>
      <c r="I3625" t="n">
        <v>22900000</v>
      </c>
      <c r="J3625" t="n">
        <v>0.102</v>
      </c>
      <c r="K3625" t="n">
        <v>1.76</v>
      </c>
      <c r="L3625" t="n">
        <v>0.2</v>
      </c>
      <c r="M3625" t="n">
        <v>1.56</v>
      </c>
      <c r="P3625" t="inlineStr">
        <is>
          <t>최형주</t>
        </is>
      </c>
      <c r="Q3625" t="inlineStr">
        <is>
          <t>홈서비스 36개월</t>
        </is>
      </c>
      <c r="AB3625" t="inlineStr">
        <is>
          <t>홈서비스</t>
        </is>
      </c>
      <c r="AC3625" t="n">
        <v>403040</v>
      </c>
      <c r="AD3625" t="n">
        <v>45800</v>
      </c>
      <c r="AE3625" t="n">
        <v>357240</v>
      </c>
      <c r="AF3625" t="n">
        <v>366400</v>
      </c>
      <c r="AG3625" t="n">
        <v>44288.6</v>
      </c>
      <c r="AH3625" t="n">
        <v>322111.4</v>
      </c>
      <c r="AI3625" t="n">
        <v>0</v>
      </c>
    </row>
    <row r="3626">
      <c r="A3626" t="inlineStr">
        <is>
          <t>4월</t>
        </is>
      </c>
      <c r="B3626" t="inlineStr">
        <is>
          <t>17주차</t>
        </is>
      </c>
      <c r="C3626" t="inlineStr">
        <is>
          <t>EP</t>
        </is>
      </c>
      <c r="D3626" s="28" t="n">
        <v>46134</v>
      </c>
      <c r="E3626" t="inlineStr">
        <is>
          <t>현대EP</t>
        </is>
      </c>
      <c r="F3626" t="inlineStr">
        <is>
          <t>정선중</t>
        </is>
      </c>
      <c r="G3626" t="inlineStr">
        <is>
          <t>010-6669-3350</t>
        </is>
      </c>
      <c r="H3626" t="inlineStr">
        <is>
          <t>141주1016</t>
        </is>
      </c>
      <c r="I3626" t="n">
        <v>14500000</v>
      </c>
      <c r="J3626" t="n">
        <v>0.079</v>
      </c>
      <c r="K3626" t="n">
        <v>1.76</v>
      </c>
      <c r="L3626" t="n">
        <v>0.2</v>
      </c>
      <c r="M3626" t="n">
        <v>1.56</v>
      </c>
      <c r="P3626" t="inlineStr">
        <is>
          <t>정세빈</t>
        </is>
      </c>
      <c r="Q3626" t="inlineStr">
        <is>
          <t>홈서비스 60개월</t>
        </is>
      </c>
      <c r="AB3626" t="inlineStr">
        <is>
          <t>홈서비스</t>
        </is>
      </c>
      <c r="AC3626" t="n">
        <v>255200</v>
      </c>
      <c r="AD3626" t="n">
        <v>29000</v>
      </c>
      <c r="AE3626" t="n">
        <v>226200</v>
      </c>
      <c r="AF3626" t="n">
        <v>232000</v>
      </c>
      <c r="AG3626" t="n">
        <v>28043</v>
      </c>
      <c r="AH3626" t="n">
        <v>203957</v>
      </c>
    </row>
    <row r="3627">
      <c r="A3627" t="inlineStr">
        <is>
          <t>4월</t>
        </is>
      </c>
      <c r="B3627" t="inlineStr">
        <is>
          <t>17주차</t>
        </is>
      </c>
      <c r="C3627" t="inlineStr">
        <is>
          <t>EP</t>
        </is>
      </c>
      <c r="D3627" s="28" t="n">
        <v>46134</v>
      </c>
      <c r="E3627" t="inlineStr">
        <is>
          <t>현대EP_fast</t>
        </is>
      </c>
      <c r="F3627" t="inlineStr">
        <is>
          <t>김재윤</t>
        </is>
      </c>
      <c r="G3627" t="inlineStr">
        <is>
          <t>010-5194-3732</t>
        </is>
      </c>
      <c r="H3627" t="inlineStr">
        <is>
          <t>363가7787</t>
        </is>
      </c>
      <c r="I3627" t="n">
        <v>49900000</v>
      </c>
      <c r="J3627" t="n">
        <v>0.08500000000000001</v>
      </c>
      <c r="K3627" t="n">
        <v>1.76</v>
      </c>
      <c r="L3627" t="n">
        <v>0.2</v>
      </c>
      <c r="M3627" t="n">
        <v>1.56</v>
      </c>
      <c r="P3627" t="inlineStr">
        <is>
          <t>정세빈</t>
        </is>
      </c>
      <c r="Q3627" t="inlineStr">
        <is>
          <t>홈서비스 60개월</t>
        </is>
      </c>
      <c r="AB3627" t="inlineStr">
        <is>
          <t>홈서비스</t>
        </is>
      </c>
      <c r="AC3627" t="n">
        <v>878240</v>
      </c>
      <c r="AD3627" t="n">
        <v>99800</v>
      </c>
      <c r="AE3627" t="n">
        <v>778440</v>
      </c>
      <c r="AF3627" t="n">
        <v>798400</v>
      </c>
      <c r="AG3627" t="n">
        <v>96506.60000000001</v>
      </c>
      <c r="AH3627" t="n">
        <v>701893.4</v>
      </c>
    </row>
    <row r="3628">
      <c r="A3628" t="inlineStr">
        <is>
          <t>4월</t>
        </is>
      </c>
      <c r="B3628" t="inlineStr">
        <is>
          <t>17주차</t>
        </is>
      </c>
      <c r="C3628" t="inlineStr">
        <is>
          <t>EP</t>
        </is>
      </c>
      <c r="D3628" s="28" t="n">
        <v>46134</v>
      </c>
      <c r="E3628" t="inlineStr">
        <is>
          <t>BNKEP</t>
        </is>
      </c>
      <c r="F3628" t="inlineStr">
        <is>
          <t>이성현</t>
        </is>
      </c>
      <c r="G3628" t="inlineStr">
        <is>
          <t>010-7751-7651</t>
        </is>
      </c>
      <c r="H3628" t="inlineStr">
        <is>
          <t>377루9077</t>
        </is>
      </c>
      <c r="I3628" t="n">
        <v>32500000</v>
      </c>
      <c r="J3628" t="n">
        <v>0.061</v>
      </c>
      <c r="K3628" t="n">
        <v>1.65</v>
      </c>
      <c r="L3628" t="n">
        <v>0.07000000000000001</v>
      </c>
      <c r="M3628" t="n">
        <v>1.58</v>
      </c>
      <c r="P3628" t="inlineStr">
        <is>
          <t>정세빈</t>
        </is>
      </c>
      <c r="Q3628" t="inlineStr">
        <is>
          <t>홈서비스 60개월</t>
        </is>
      </c>
      <c r="AB3628" t="inlineStr">
        <is>
          <t>홈서비스</t>
        </is>
      </c>
      <c r="AC3628" t="n">
        <v>536250</v>
      </c>
      <c r="AD3628" t="n">
        <v>22750</v>
      </c>
      <c r="AE3628" t="n">
        <v>513500</v>
      </c>
      <c r="AF3628" t="n">
        <v>487500</v>
      </c>
      <c r="AG3628" t="n">
        <v>21999.25</v>
      </c>
      <c r="AH3628" t="n">
        <v>465500.75</v>
      </c>
      <c r="AI3628" t="n">
        <v>0</v>
      </c>
    </row>
    <row r="3629">
      <c r="A3629" t="inlineStr">
        <is>
          <t>4월</t>
        </is>
      </c>
      <c r="B3629" t="inlineStr">
        <is>
          <t>17주차</t>
        </is>
      </c>
      <c r="C3629" t="inlineStr">
        <is>
          <t>IM</t>
        </is>
      </c>
      <c r="D3629" s="28" t="n">
        <v>46134</v>
      </c>
      <c r="E3629" t="inlineStr">
        <is>
          <t>IM캐피탈</t>
        </is>
      </c>
      <c r="F3629" t="inlineStr">
        <is>
          <t>정원덕</t>
        </is>
      </c>
      <c r="G3629" t="inlineStr">
        <is>
          <t>010-5184-8599</t>
        </is>
      </c>
      <c r="H3629" t="inlineStr">
        <is>
          <t>178주3451</t>
        </is>
      </c>
      <c r="I3629" t="n">
        <v>13000000</v>
      </c>
      <c r="J3629" t="n">
        <v>0.039</v>
      </c>
      <c r="K3629" t="n">
        <v>1.1</v>
      </c>
      <c r="L3629" t="n">
        <v>0.07000000000000001</v>
      </c>
      <c r="M3629" t="n">
        <v>1.03</v>
      </c>
      <c r="P3629" t="inlineStr">
        <is>
          <t>김수연</t>
        </is>
      </c>
      <c r="Q3629" t="inlineStr">
        <is>
          <t>홈서비스 24개월</t>
        </is>
      </c>
      <c r="AB3629" t="inlineStr">
        <is>
          <t>홈서비스</t>
        </is>
      </c>
      <c r="AC3629" t="n">
        <v>143000</v>
      </c>
      <c r="AD3629" t="n">
        <v>9100</v>
      </c>
      <c r="AE3629" t="n">
        <v>133900</v>
      </c>
      <c r="AF3629" t="n">
        <v>130000</v>
      </c>
      <c r="AG3629" t="n">
        <v>8799.700000000001</v>
      </c>
      <c r="AH3629" t="n">
        <v>121200.3</v>
      </c>
      <c r="AI3629" t="n">
        <v>0</v>
      </c>
    </row>
    <row r="3630">
      <c r="A3630" t="inlineStr">
        <is>
          <t>4월</t>
        </is>
      </c>
      <c r="B3630" t="inlineStr">
        <is>
          <t>17주차</t>
        </is>
      </c>
      <c r="C3630" t="inlineStr">
        <is>
          <t>EP</t>
        </is>
      </c>
      <c r="D3630" s="28" t="n">
        <v>46134</v>
      </c>
      <c r="E3630" t="inlineStr">
        <is>
          <t>현대EP</t>
        </is>
      </c>
      <c r="F3630" t="inlineStr">
        <is>
          <t>김전산</t>
        </is>
      </c>
      <c r="G3630" t="inlineStr">
        <is>
          <t>010-6403-0206</t>
        </is>
      </c>
      <c r="H3630" t="inlineStr">
        <is>
          <t>96우0848</t>
        </is>
      </c>
      <c r="I3630" t="n">
        <v>8900000</v>
      </c>
      <c r="J3630" t="n">
        <v>0.127</v>
      </c>
      <c r="K3630" t="n">
        <v>1.76</v>
      </c>
      <c r="L3630" t="n">
        <v>0.2</v>
      </c>
      <c r="M3630" t="n">
        <v>1.56</v>
      </c>
      <c r="P3630" t="inlineStr">
        <is>
          <t>정세빈</t>
        </is>
      </c>
      <c r="Q3630" t="inlineStr">
        <is>
          <t>홈서비스 48개월</t>
        </is>
      </c>
      <c r="AB3630" t="inlineStr">
        <is>
          <t>홈서비스</t>
        </is>
      </c>
      <c r="AC3630" t="n">
        <v>156640</v>
      </c>
      <c r="AD3630" t="n">
        <v>17800</v>
      </c>
      <c r="AE3630" t="n">
        <v>138840</v>
      </c>
      <c r="AF3630" t="n">
        <v>142400</v>
      </c>
      <c r="AG3630" t="n">
        <v>17212.6</v>
      </c>
      <c r="AH3630" t="n">
        <v>125187.4</v>
      </c>
      <c r="AI3630" t="n">
        <v>0</v>
      </c>
    </row>
    <row r="3631">
      <c r="A3631" t="inlineStr">
        <is>
          <t>4월</t>
        </is>
      </c>
      <c r="B3631" t="inlineStr">
        <is>
          <t>17주차</t>
        </is>
      </c>
      <c r="C3631" t="inlineStr">
        <is>
          <t>EP</t>
        </is>
      </c>
      <c r="D3631" s="28" t="n">
        <v>46134</v>
      </c>
      <c r="E3631" t="inlineStr">
        <is>
          <t>현대EP</t>
        </is>
      </c>
      <c r="F3631" t="inlineStr">
        <is>
          <t>김현우</t>
        </is>
      </c>
      <c r="G3631" t="inlineStr">
        <is>
          <t>010-2848-2070</t>
        </is>
      </c>
      <c r="H3631" t="inlineStr">
        <is>
          <t>354도2281</t>
        </is>
      </c>
      <c r="I3631" t="n">
        <v>9300000</v>
      </c>
      <c r="J3631" t="n">
        <v>0.08799999999999999</v>
      </c>
      <c r="K3631" t="n">
        <v>1.76</v>
      </c>
      <c r="L3631" t="n">
        <v>0.2</v>
      </c>
      <c r="M3631" t="n">
        <v>1.56</v>
      </c>
      <c r="P3631" t="inlineStr">
        <is>
          <t>정세빈</t>
        </is>
      </c>
      <c r="Q3631" t="inlineStr">
        <is>
          <t>홈서비스 60개월</t>
        </is>
      </c>
      <c r="AB3631" t="inlineStr">
        <is>
          <t>홈서비스</t>
        </is>
      </c>
      <c r="AC3631" t="n">
        <v>163680</v>
      </c>
      <c r="AD3631" t="n">
        <v>18600</v>
      </c>
      <c r="AE3631" t="n">
        <v>145080</v>
      </c>
      <c r="AF3631" t="n">
        <v>148800</v>
      </c>
      <c r="AG3631" t="n">
        <v>17986.2</v>
      </c>
      <c r="AH3631" t="n">
        <v>130813.8</v>
      </c>
      <c r="AI3631" t="n">
        <v>0</v>
      </c>
    </row>
    <row r="3632">
      <c r="A3632" t="inlineStr">
        <is>
          <t>4월</t>
        </is>
      </c>
      <c r="B3632" t="inlineStr">
        <is>
          <t>17주차</t>
        </is>
      </c>
      <c r="C3632" t="inlineStr">
        <is>
          <t>EP</t>
        </is>
      </c>
      <c r="D3632" s="28" t="n">
        <v>46134</v>
      </c>
      <c r="E3632" t="inlineStr">
        <is>
          <t>현대EP_fast</t>
        </is>
      </c>
      <c r="F3632" t="inlineStr">
        <is>
          <t>윤준서</t>
        </is>
      </c>
      <c r="G3632" t="inlineStr">
        <is>
          <t>010-3693-6447</t>
        </is>
      </c>
      <c r="H3632" t="inlineStr">
        <is>
          <t>32버6788</t>
        </is>
      </c>
      <c r="I3632" t="n">
        <v>3000000</v>
      </c>
      <c r="J3632" t="n">
        <v>0.119</v>
      </c>
      <c r="K3632" t="n">
        <v>1.76</v>
      </c>
      <c r="L3632" t="n">
        <v>0.2</v>
      </c>
      <c r="M3632" t="n">
        <v>1.56</v>
      </c>
      <c r="P3632" t="inlineStr">
        <is>
          <t>김수연</t>
        </is>
      </c>
      <c r="Q3632" t="inlineStr">
        <is>
          <t>홈서비스 24개월</t>
        </is>
      </c>
      <c r="AB3632" t="inlineStr">
        <is>
          <t>홈서비스</t>
        </is>
      </c>
      <c r="AC3632" t="n">
        <v>52800</v>
      </c>
      <c r="AD3632" t="n">
        <v>6000</v>
      </c>
      <c r="AE3632" t="n">
        <v>46800</v>
      </c>
      <c r="AF3632" t="n">
        <v>48000</v>
      </c>
      <c r="AG3632" t="n">
        <v>5802</v>
      </c>
      <c r="AH3632" t="n">
        <v>42198</v>
      </c>
      <c r="AI3632" t="n">
        <v>0</v>
      </c>
    </row>
    <row r="3633">
      <c r="A3633" t="inlineStr">
        <is>
          <t>4월</t>
        </is>
      </c>
      <c r="B3633" t="inlineStr">
        <is>
          <t>17주차</t>
        </is>
      </c>
      <c r="C3633" t="inlineStr">
        <is>
          <t>EP</t>
        </is>
      </c>
      <c r="D3633" s="28" t="n">
        <v>46134</v>
      </c>
      <c r="E3633" t="inlineStr">
        <is>
          <t>BNKEP</t>
        </is>
      </c>
      <c r="F3633" t="inlineStr">
        <is>
          <t>김종현</t>
        </is>
      </c>
      <c r="G3633" t="inlineStr">
        <is>
          <t>010-9154-0832</t>
        </is>
      </c>
      <c r="H3633" t="inlineStr">
        <is>
          <t>26가0714</t>
        </is>
      </c>
      <c r="I3633" t="n">
        <v>3400000</v>
      </c>
      <c r="J3633" t="n">
        <v>0.07000000000000001</v>
      </c>
      <c r="K3633" t="n">
        <v>1.65</v>
      </c>
      <c r="L3633" t="n">
        <v>0.07000000000000001</v>
      </c>
      <c r="M3633" t="n">
        <v>1.58</v>
      </c>
      <c r="P3633" t="inlineStr">
        <is>
          <t>황채이</t>
        </is>
      </c>
      <c r="Q3633" t="inlineStr">
        <is>
          <t>홈서비스 24개월 / 부대비용 추가진행</t>
        </is>
      </c>
      <c r="AB3633" t="inlineStr">
        <is>
          <t>홈서비스</t>
        </is>
      </c>
      <c r="AC3633" t="n">
        <v>56100</v>
      </c>
      <c r="AD3633" t="n">
        <v>2380</v>
      </c>
      <c r="AE3633" t="n">
        <v>53720</v>
      </c>
      <c r="AF3633" t="n">
        <v>51000</v>
      </c>
      <c r="AG3633" t="n">
        <v>2301.46</v>
      </c>
      <c r="AH3633" t="n">
        <v>48698.54</v>
      </c>
      <c r="AI3633" t="n">
        <v>0</v>
      </c>
    </row>
    <row r="3634">
      <c r="A3634" t="inlineStr">
        <is>
          <t>4월</t>
        </is>
      </c>
      <c r="B3634" t="inlineStr">
        <is>
          <t>17주차</t>
        </is>
      </c>
      <c r="C3634" t="inlineStr">
        <is>
          <t>EP</t>
        </is>
      </c>
      <c r="D3634" s="28" t="n">
        <v>46134</v>
      </c>
      <c r="E3634" t="inlineStr">
        <is>
          <t>현대EP</t>
        </is>
      </c>
      <c r="F3634" t="inlineStr">
        <is>
          <t>민경수</t>
        </is>
      </c>
      <c r="G3634" t="inlineStr">
        <is>
          <t>010-9823-6111</t>
        </is>
      </c>
      <c r="H3634" t="inlineStr">
        <is>
          <t>185고7147</t>
        </is>
      </c>
      <c r="I3634" t="n">
        <v>31400000</v>
      </c>
      <c r="J3634" t="n">
        <v>0.079</v>
      </c>
      <c r="K3634" t="n">
        <v>1.76</v>
      </c>
      <c r="L3634" t="n">
        <v>0.2</v>
      </c>
      <c r="M3634" t="n">
        <v>1.56</v>
      </c>
      <c r="P3634" t="inlineStr">
        <is>
          <t>김수연</t>
        </is>
      </c>
      <c r="Q3634" t="inlineStr">
        <is>
          <t>홈서비스 60개월</t>
        </is>
      </c>
      <c r="AB3634" t="inlineStr">
        <is>
          <t>홈서비스</t>
        </is>
      </c>
      <c r="AC3634" t="n">
        <v>552640</v>
      </c>
      <c r="AD3634" t="n">
        <v>62800</v>
      </c>
      <c r="AE3634" t="n">
        <v>489840</v>
      </c>
      <c r="AF3634" t="n">
        <v>502400</v>
      </c>
      <c r="AG3634" t="n">
        <v>60727.6</v>
      </c>
      <c r="AH3634" t="n">
        <v>441672.4</v>
      </c>
      <c r="AI3634" t="n">
        <v>0</v>
      </c>
    </row>
    <row r="3635">
      <c r="A3635" t="inlineStr">
        <is>
          <t>4월</t>
        </is>
      </c>
      <c r="B3635" t="inlineStr">
        <is>
          <t>17주차</t>
        </is>
      </c>
      <c r="C3635" t="inlineStr">
        <is>
          <t>EP</t>
        </is>
      </c>
      <c r="D3635" s="28" t="n">
        <v>46134</v>
      </c>
      <c r="E3635" t="inlineStr">
        <is>
          <t>현대EP</t>
        </is>
      </c>
      <c r="F3635" t="inlineStr">
        <is>
          <t>배경선</t>
        </is>
      </c>
      <c r="G3635" t="inlineStr">
        <is>
          <t>010-7445-1712</t>
        </is>
      </c>
      <c r="H3635" t="inlineStr">
        <is>
          <t>57고3170</t>
        </is>
      </c>
      <c r="I3635" t="n">
        <v>10000000</v>
      </c>
      <c r="J3635" t="n">
        <v>0.07099999999999999</v>
      </c>
      <c r="K3635" t="n">
        <v>1.76</v>
      </c>
      <c r="L3635" t="n">
        <v>0.2</v>
      </c>
      <c r="M3635" t="n">
        <v>1.56</v>
      </c>
      <c r="P3635" t="inlineStr">
        <is>
          <t>정세빈</t>
        </is>
      </c>
      <c r="Q3635" t="inlineStr">
        <is>
          <t>홈서비스 60개월</t>
        </is>
      </c>
      <c r="AB3635" t="inlineStr">
        <is>
          <t>홈서비스</t>
        </is>
      </c>
      <c r="AC3635" t="n">
        <v>176000</v>
      </c>
      <c r="AD3635" t="n">
        <v>20000</v>
      </c>
      <c r="AE3635" t="n">
        <v>156000</v>
      </c>
      <c r="AF3635" t="n">
        <v>160000</v>
      </c>
      <c r="AG3635" t="n">
        <v>19340</v>
      </c>
      <c r="AH3635" t="n">
        <v>140660</v>
      </c>
      <c r="AI3635" t="n">
        <v>0</v>
      </c>
    </row>
    <row r="3636">
      <c r="A3636" t="inlineStr">
        <is>
          <t>4월</t>
        </is>
      </c>
      <c r="B3636" t="inlineStr">
        <is>
          <t>17주차</t>
        </is>
      </c>
      <c r="C3636" t="inlineStr">
        <is>
          <t>EP</t>
        </is>
      </c>
      <c r="D3636" s="28" t="n">
        <v>46134</v>
      </c>
      <c r="E3636" t="inlineStr">
        <is>
          <t>제이비EP</t>
        </is>
      </c>
      <c r="F3636" t="inlineStr">
        <is>
          <t>이수현</t>
        </is>
      </c>
      <c r="G3636" t="inlineStr">
        <is>
          <t>010-2722-3471</t>
        </is>
      </c>
      <c r="H3636" t="inlineStr">
        <is>
          <t>16오8037</t>
        </is>
      </c>
      <c r="I3636" t="n">
        <v>7800000</v>
      </c>
      <c r="J3636" t="n">
        <v>0.08699999999999999</v>
      </c>
      <c r="K3636" t="n">
        <v>1.65</v>
      </c>
      <c r="L3636" t="n">
        <v>0.07000000000000001</v>
      </c>
      <c r="M3636" t="n">
        <v>1.58</v>
      </c>
      <c r="P3636" t="inlineStr">
        <is>
          <t>최혁</t>
        </is>
      </c>
      <c r="Q3636" t="inlineStr">
        <is>
          <t>홈서비스60개월</t>
        </is>
      </c>
      <c r="AB3636" t="inlineStr">
        <is>
          <t>홈서비스</t>
        </is>
      </c>
      <c r="AC3636" t="n">
        <v>128700</v>
      </c>
      <c r="AD3636" t="n">
        <v>5460</v>
      </c>
      <c r="AE3636" t="n">
        <v>123240</v>
      </c>
      <c r="AF3636" t="n">
        <v>117000</v>
      </c>
      <c r="AG3636" t="n">
        <v>5279.82</v>
      </c>
      <c r="AH3636" t="n">
        <v>111720.18</v>
      </c>
      <c r="AI3636" t="n">
        <v>0</v>
      </c>
    </row>
    <row r="3637">
      <c r="A3637" t="inlineStr">
        <is>
          <t>4월</t>
        </is>
      </c>
      <c r="B3637" t="inlineStr">
        <is>
          <t>17주차</t>
        </is>
      </c>
      <c r="C3637" t="inlineStr">
        <is>
          <t>IM</t>
        </is>
      </c>
      <c r="D3637" s="28" t="n">
        <v>46134</v>
      </c>
      <c r="E3637" t="inlineStr">
        <is>
          <t>IM캐피탈</t>
        </is>
      </c>
      <c r="F3637" t="inlineStr">
        <is>
          <t>황두현</t>
        </is>
      </c>
      <c r="G3637" t="inlineStr">
        <is>
          <t>010-8227-1112</t>
        </is>
      </c>
      <c r="H3637" t="inlineStr">
        <is>
          <t>33수8884</t>
        </is>
      </c>
      <c r="I3637" t="n">
        <v>23900000</v>
      </c>
      <c r="J3637" t="n">
        <v>0.039</v>
      </c>
      <c r="K3637" t="n">
        <v>1.1</v>
      </c>
      <c r="L3637" t="n">
        <v>0.07000000000000001</v>
      </c>
      <c r="M3637" t="n">
        <v>1.03</v>
      </c>
      <c r="P3637" t="inlineStr">
        <is>
          <t>최형주</t>
        </is>
      </c>
      <c r="Q3637" t="inlineStr">
        <is>
          <t>홈서비스 60개월</t>
        </is>
      </c>
      <c r="AB3637" t="inlineStr">
        <is>
          <t>홈서비스</t>
        </is>
      </c>
      <c r="AC3637" t="n">
        <v>262900</v>
      </c>
      <c r="AD3637" t="n">
        <v>16730</v>
      </c>
      <c r="AE3637" t="n">
        <v>246170</v>
      </c>
      <c r="AF3637" t="n">
        <v>239000</v>
      </c>
      <c r="AG3637" t="n">
        <v>16177.91</v>
      </c>
      <c r="AH3637" t="n">
        <v>222822.09</v>
      </c>
      <c r="AI3637" t="n">
        <v>0</v>
      </c>
    </row>
    <row r="3638">
      <c r="A3638" t="inlineStr">
        <is>
          <t>4월</t>
        </is>
      </c>
      <c r="B3638" t="inlineStr">
        <is>
          <t>17주차</t>
        </is>
      </c>
      <c r="C3638" t="inlineStr">
        <is>
          <t>IM</t>
        </is>
      </c>
      <c r="D3638" s="28" t="n">
        <v>46135</v>
      </c>
      <c r="E3638" t="inlineStr">
        <is>
          <t>IM캐피탈</t>
        </is>
      </c>
      <c r="F3638" t="inlineStr">
        <is>
          <t>김민선</t>
        </is>
      </c>
      <c r="G3638" t="inlineStr">
        <is>
          <t>010-6632-5537</t>
        </is>
      </c>
      <c r="H3638" t="inlineStr">
        <is>
          <t>18도5334</t>
        </is>
      </c>
      <c r="I3638" t="n">
        <v>17100000</v>
      </c>
      <c r="J3638" t="n">
        <v>0.06900000000000001</v>
      </c>
      <c r="K3638" t="n">
        <v>1.1</v>
      </c>
      <c r="L3638" t="n">
        <v>0.07000000000000001</v>
      </c>
      <c r="M3638" t="n">
        <v>1.03</v>
      </c>
      <c r="P3638" t="inlineStr">
        <is>
          <t>김나윤</t>
        </is>
      </c>
      <c r="Q3638" t="inlineStr">
        <is>
          <t>홈서비스 84개월</t>
        </is>
      </c>
      <c r="AB3638" t="inlineStr">
        <is>
          <t>홈서비스</t>
        </is>
      </c>
      <c r="AC3638" t="n">
        <v>188100</v>
      </c>
      <c r="AD3638" t="n">
        <v>11970</v>
      </c>
      <c r="AE3638" t="n">
        <v>176130</v>
      </c>
      <c r="AF3638" t="n">
        <v>171000</v>
      </c>
      <c r="AG3638" t="n">
        <v>11574.99</v>
      </c>
      <c r="AH3638" t="n">
        <v>159425.01</v>
      </c>
      <c r="AI3638" t="n">
        <v>0</v>
      </c>
      <c r="AJ3638" t="inlineStr">
        <is>
          <t>개인</t>
        </is>
      </c>
    </row>
    <row r="3639">
      <c r="A3639" t="inlineStr">
        <is>
          <t>4월</t>
        </is>
      </c>
      <c r="B3639" t="inlineStr">
        <is>
          <t>17주차</t>
        </is>
      </c>
      <c r="C3639" t="inlineStr">
        <is>
          <t>EP</t>
        </is>
      </c>
      <c r="D3639" s="28" t="n">
        <v>46135</v>
      </c>
      <c r="E3639" t="inlineStr">
        <is>
          <t>현대EP_fast</t>
        </is>
      </c>
      <c r="F3639" t="inlineStr">
        <is>
          <t>위수옥</t>
        </is>
      </c>
      <c r="G3639" t="inlineStr">
        <is>
          <t>010-8622-7500</t>
        </is>
      </c>
      <c r="H3639" t="inlineStr">
        <is>
          <t>321부5608</t>
        </is>
      </c>
      <c r="I3639" t="n">
        <v>36400000</v>
      </c>
      <c r="J3639" t="n">
        <v>0.075</v>
      </c>
      <c r="K3639" t="n">
        <v>1.76</v>
      </c>
      <c r="L3639" t="n">
        <v>0.2</v>
      </c>
      <c r="M3639" t="n">
        <v>1.56</v>
      </c>
      <c r="P3639" t="inlineStr">
        <is>
          <t>장현경</t>
        </is>
      </c>
      <c r="Q3639" t="inlineStr">
        <is>
          <t>선상담 / 홈서비스 36개월</t>
        </is>
      </c>
      <c r="AB3639" t="inlineStr">
        <is>
          <t>홈서비스</t>
        </is>
      </c>
      <c r="AC3639" t="n">
        <v>640640</v>
      </c>
      <c r="AD3639" t="n">
        <v>72800</v>
      </c>
      <c r="AE3639" t="n">
        <v>567840</v>
      </c>
      <c r="AF3639" t="n">
        <v>582400</v>
      </c>
      <c r="AG3639" t="n">
        <v>70397.60000000001</v>
      </c>
      <c r="AH3639" t="n">
        <v>512002.4</v>
      </c>
      <c r="AI3639" t="n">
        <v>0</v>
      </c>
    </row>
    <row r="3640">
      <c r="A3640" t="inlineStr">
        <is>
          <t>4월</t>
        </is>
      </c>
      <c r="B3640" t="inlineStr">
        <is>
          <t>17주차</t>
        </is>
      </c>
      <c r="C3640" t="inlineStr">
        <is>
          <t>EP</t>
        </is>
      </c>
      <c r="D3640" s="28" t="n">
        <v>46135</v>
      </c>
      <c r="E3640" t="inlineStr">
        <is>
          <t>BNKEP</t>
        </is>
      </c>
      <c r="F3640" t="inlineStr">
        <is>
          <t>박상욱</t>
        </is>
      </c>
      <c r="G3640" t="inlineStr">
        <is>
          <t>010-9235-3525</t>
        </is>
      </c>
      <c r="H3640" t="inlineStr">
        <is>
          <t>13로4309</t>
        </is>
      </c>
      <c r="I3640" t="n">
        <v>39900000</v>
      </c>
      <c r="J3640" t="n">
        <v>0.081</v>
      </c>
      <c r="K3640" t="n">
        <v>1.65</v>
      </c>
      <c r="L3640" t="n">
        <v>0.07000000000000001</v>
      </c>
      <c r="M3640" t="n">
        <v>1.58</v>
      </c>
      <c r="P3640" t="inlineStr">
        <is>
          <t>김나윤</t>
        </is>
      </c>
      <c r="Q3640" t="inlineStr">
        <is>
          <t>홈서비스 60개월 / 공동명의</t>
        </is>
      </c>
      <c r="AB3640" t="inlineStr">
        <is>
          <t>홈서비스</t>
        </is>
      </c>
      <c r="AC3640" t="n">
        <v>658350</v>
      </c>
      <c r="AD3640" t="n">
        <v>27930</v>
      </c>
      <c r="AE3640" t="n">
        <v>630420</v>
      </c>
      <c r="AF3640" t="n">
        <v>598500</v>
      </c>
      <c r="AG3640" t="n">
        <v>27008.31</v>
      </c>
      <c r="AH3640" t="n">
        <v>571491.6899999999</v>
      </c>
      <c r="AI3640" t="n">
        <v>0</v>
      </c>
    </row>
    <row r="3641">
      <c r="A3641" t="inlineStr">
        <is>
          <t>4월</t>
        </is>
      </c>
      <c r="B3641" t="inlineStr">
        <is>
          <t>17주차</t>
        </is>
      </c>
      <c r="C3641" t="inlineStr">
        <is>
          <t>EP</t>
        </is>
      </c>
      <c r="D3641" s="28" t="n">
        <v>46135</v>
      </c>
      <c r="E3641" t="inlineStr">
        <is>
          <t>BNKEP</t>
        </is>
      </c>
      <c r="F3641" t="inlineStr">
        <is>
          <t>박거령</t>
        </is>
      </c>
      <c r="G3641" t="inlineStr">
        <is>
          <t>010-9244-3343</t>
        </is>
      </c>
      <c r="H3641" t="inlineStr">
        <is>
          <t>45마0533</t>
        </is>
      </c>
      <c r="I3641" t="n">
        <v>14100000</v>
      </c>
      <c r="J3641" t="n">
        <v>0.117</v>
      </c>
      <c r="K3641" t="n">
        <v>1.65</v>
      </c>
      <c r="L3641" t="n">
        <v>0.07000000000000001</v>
      </c>
      <c r="M3641" t="n">
        <v>1.58</v>
      </c>
      <c r="P3641" t="inlineStr">
        <is>
          <t>김나윤</t>
        </is>
      </c>
      <c r="Q3641" t="inlineStr">
        <is>
          <t>홈서비스 460개월</t>
        </is>
      </c>
      <c r="AB3641" t="inlineStr">
        <is>
          <t>홈서비스</t>
        </is>
      </c>
      <c r="AC3641" t="n">
        <v>232650</v>
      </c>
      <c r="AD3641" t="n">
        <v>9870</v>
      </c>
      <c r="AE3641" t="n">
        <v>222780</v>
      </c>
      <c r="AF3641" t="n">
        <v>211500</v>
      </c>
      <c r="AG3641" t="n">
        <v>9544.290000000001</v>
      </c>
      <c r="AH3641" t="n">
        <v>201955.71</v>
      </c>
      <c r="AI3641" t="n">
        <v>0</v>
      </c>
    </row>
    <row r="3642">
      <c r="A3642" t="inlineStr">
        <is>
          <t>4월</t>
        </is>
      </c>
      <c r="B3642" t="inlineStr">
        <is>
          <t>17주차</t>
        </is>
      </c>
      <c r="C3642" t="inlineStr">
        <is>
          <t>EP</t>
        </is>
      </c>
      <c r="D3642" s="28" t="n">
        <v>46134</v>
      </c>
      <c r="E3642" t="inlineStr">
        <is>
          <t>현대EP</t>
        </is>
      </c>
      <c r="F3642" t="inlineStr">
        <is>
          <t>최혜란</t>
        </is>
      </c>
      <c r="G3642" t="inlineStr">
        <is>
          <t>010-2435-6238</t>
        </is>
      </c>
      <c r="H3642" t="inlineStr">
        <is>
          <t>364누7448</t>
        </is>
      </c>
      <c r="I3642" t="n">
        <v>27900000</v>
      </c>
      <c r="J3642" t="n">
        <v>0.077</v>
      </c>
      <c r="K3642" t="n">
        <v>1.76</v>
      </c>
      <c r="L3642" t="n">
        <v>0.2</v>
      </c>
      <c r="M3642" t="n">
        <v>1.56</v>
      </c>
      <c r="P3642" t="inlineStr">
        <is>
          <t>최형주</t>
        </is>
      </c>
      <c r="Q3642" t="inlineStr">
        <is>
          <t>홈서비스 60개월</t>
        </is>
      </c>
      <c r="AB3642" t="inlineStr">
        <is>
          <t>홈서비스</t>
        </is>
      </c>
      <c r="AC3642" t="n">
        <v>491040</v>
      </c>
      <c r="AD3642" t="n">
        <v>55800</v>
      </c>
      <c r="AE3642" t="n">
        <v>435240</v>
      </c>
      <c r="AF3642" t="n">
        <v>446400</v>
      </c>
      <c r="AG3642" t="n">
        <v>53958.6</v>
      </c>
      <c r="AH3642" t="n">
        <v>392441.4</v>
      </c>
    </row>
    <row r="3643">
      <c r="A3643" t="inlineStr">
        <is>
          <t>4월</t>
        </is>
      </c>
      <c r="B3643" t="inlineStr">
        <is>
          <t>17주차</t>
        </is>
      </c>
      <c r="C3643" t="inlineStr">
        <is>
          <t>IM</t>
        </is>
      </c>
      <c r="D3643" s="28" t="n">
        <v>46135</v>
      </c>
      <c r="E3643" t="inlineStr">
        <is>
          <t>IM캐피탈</t>
        </is>
      </c>
      <c r="F3643" t="inlineStr">
        <is>
          <t>백수근</t>
        </is>
      </c>
      <c r="G3643" t="inlineStr">
        <is>
          <t>010-3846-0492</t>
        </is>
      </c>
      <c r="H3643" t="inlineStr">
        <is>
          <t>192너2995</t>
        </is>
      </c>
      <c r="I3643" t="n">
        <v>16800000</v>
      </c>
      <c r="J3643" t="n">
        <v>0.049</v>
      </c>
      <c r="K3643" t="n">
        <v>1.1</v>
      </c>
      <c r="L3643" t="n">
        <v>0.07000000000000001</v>
      </c>
      <c r="M3643" t="n">
        <v>1.03</v>
      </c>
      <c r="P3643" t="inlineStr">
        <is>
          <t>장현경</t>
        </is>
      </c>
      <c r="Q3643" t="inlineStr">
        <is>
          <t>선상담 / 홈서비스 36개월</t>
        </is>
      </c>
      <c r="AB3643" t="inlineStr">
        <is>
          <t>홈서비스</t>
        </is>
      </c>
      <c r="AC3643" t="n">
        <v>184800</v>
      </c>
      <c r="AD3643" t="n">
        <v>11760</v>
      </c>
      <c r="AE3643" t="n">
        <v>173040</v>
      </c>
      <c r="AF3643" t="n">
        <v>168000</v>
      </c>
      <c r="AG3643" t="n">
        <v>11371.92</v>
      </c>
      <c r="AH3643" t="n">
        <v>156628.08</v>
      </c>
      <c r="AI3643" t="n">
        <v>0</v>
      </c>
    </row>
    <row r="3644">
      <c r="A3644" t="inlineStr">
        <is>
          <t>4월</t>
        </is>
      </c>
      <c r="B3644" t="inlineStr">
        <is>
          <t>17주차</t>
        </is>
      </c>
      <c r="C3644" t="inlineStr">
        <is>
          <t>IM</t>
        </is>
      </c>
      <c r="D3644" s="28" t="n">
        <v>46135</v>
      </c>
      <c r="E3644" t="inlineStr">
        <is>
          <t>IM캐피탈</t>
        </is>
      </c>
      <c r="F3644" t="inlineStr">
        <is>
          <t>이유건</t>
        </is>
      </c>
      <c r="G3644" t="inlineStr">
        <is>
          <t>010-2213-3644</t>
        </is>
      </c>
      <c r="H3644" t="inlineStr">
        <is>
          <t>205다6726</t>
        </is>
      </c>
      <c r="I3644" t="n">
        <v>19300000</v>
      </c>
      <c r="J3644" t="n">
        <v>0.049</v>
      </c>
      <c r="K3644" t="n">
        <v>1.1</v>
      </c>
      <c r="L3644" t="n">
        <v>0.07000000000000001</v>
      </c>
      <c r="M3644" t="n">
        <v>1.03</v>
      </c>
      <c r="P3644" t="inlineStr">
        <is>
          <t>최형주</t>
        </is>
      </c>
      <c r="Q3644" t="inlineStr">
        <is>
          <t>홈서비스 60개월</t>
        </is>
      </c>
      <c r="AB3644" t="inlineStr">
        <is>
          <t>홈서비스</t>
        </is>
      </c>
      <c r="AC3644" t="n">
        <v>212300</v>
      </c>
      <c r="AD3644" t="n">
        <v>13510</v>
      </c>
      <c r="AE3644" t="n">
        <v>198790</v>
      </c>
      <c r="AF3644" t="n">
        <v>193000</v>
      </c>
      <c r="AG3644" t="n">
        <v>13064.17</v>
      </c>
      <c r="AH3644" t="n">
        <v>179935.83</v>
      </c>
      <c r="AI3644" t="n">
        <v>0</v>
      </c>
    </row>
    <row r="3645">
      <c r="A3645" t="inlineStr">
        <is>
          <t>4월</t>
        </is>
      </c>
      <c r="B3645" t="inlineStr">
        <is>
          <t>17주차</t>
        </is>
      </c>
      <c r="C3645" t="inlineStr">
        <is>
          <t>IM</t>
        </is>
      </c>
      <c r="D3645" s="28" t="n">
        <v>46133</v>
      </c>
      <c r="E3645" t="inlineStr">
        <is>
          <t>IM캐피탈</t>
        </is>
      </c>
      <c r="F3645" t="inlineStr">
        <is>
          <t>한순호</t>
        </is>
      </c>
      <c r="G3645" t="inlineStr">
        <is>
          <t>010-5625-0240</t>
        </is>
      </c>
      <c r="H3645" t="inlineStr">
        <is>
          <t>108소7251</t>
        </is>
      </c>
      <c r="I3645" t="n">
        <v>10000000</v>
      </c>
      <c r="J3645" t="n">
        <v>0.049</v>
      </c>
      <c r="K3645" t="n">
        <v>1.1</v>
      </c>
      <c r="L3645" t="n">
        <v>0.07000000000000001</v>
      </c>
      <c r="M3645" t="n">
        <v>1.03</v>
      </c>
      <c r="P3645" t="inlineStr">
        <is>
          <t>임대경</t>
        </is>
      </c>
      <c r="Q3645" t="inlineStr">
        <is>
          <t>홈서비스 60개월</t>
        </is>
      </c>
      <c r="AB3645" t="inlineStr">
        <is>
          <t>홈서비스</t>
        </is>
      </c>
      <c r="AC3645" t="n">
        <v>110000</v>
      </c>
      <c r="AD3645" t="n">
        <v>7000</v>
      </c>
      <c r="AE3645" t="n">
        <v>103000</v>
      </c>
      <c r="AF3645" t="n">
        <v>100000</v>
      </c>
      <c r="AG3645" t="n">
        <v>6769</v>
      </c>
      <c r="AH3645" t="n">
        <v>93231</v>
      </c>
    </row>
    <row r="3646">
      <c r="A3646" t="inlineStr">
        <is>
          <t>4월</t>
        </is>
      </c>
      <c r="B3646" t="inlineStr">
        <is>
          <t>17주차</t>
        </is>
      </c>
      <c r="C3646" t="inlineStr">
        <is>
          <t>EP</t>
        </is>
      </c>
      <c r="D3646" s="28" t="n">
        <v>46132</v>
      </c>
      <c r="E3646" t="inlineStr">
        <is>
          <t>제이비EP</t>
        </is>
      </c>
      <c r="F3646" t="inlineStr">
        <is>
          <t>김진우</t>
        </is>
      </c>
      <c r="G3646" t="inlineStr">
        <is>
          <t>010-5345-1166</t>
        </is>
      </c>
      <c r="H3646" t="inlineStr">
        <is>
          <t>35너5691</t>
        </is>
      </c>
      <c r="I3646" t="n">
        <v>35600000</v>
      </c>
      <c r="J3646" t="n">
        <v>0.08500000000000001</v>
      </c>
      <c r="K3646" t="n">
        <v>1.65</v>
      </c>
      <c r="L3646" t="n">
        <v>0.07000000000000001</v>
      </c>
      <c r="M3646" t="n">
        <v>1.58</v>
      </c>
      <c r="P3646" t="inlineStr">
        <is>
          <t>박소현</t>
        </is>
      </c>
      <c r="Q3646" t="inlineStr">
        <is>
          <t>홈서비스 60개월</t>
        </is>
      </c>
      <c r="AB3646" t="inlineStr">
        <is>
          <t>홈서비스</t>
        </is>
      </c>
      <c r="AC3646" t="n">
        <v>587400</v>
      </c>
      <c r="AD3646" t="n">
        <v>24920</v>
      </c>
      <c r="AE3646" t="n">
        <v>562480</v>
      </c>
      <c r="AF3646" t="n">
        <v>534000</v>
      </c>
      <c r="AG3646" t="n">
        <v>24097.64</v>
      </c>
      <c r="AH3646" t="n">
        <v>509902.36</v>
      </c>
    </row>
    <row r="3647">
      <c r="A3647" t="inlineStr">
        <is>
          <t>4월</t>
        </is>
      </c>
      <c r="B3647" t="inlineStr">
        <is>
          <t>17주차</t>
        </is>
      </c>
      <c r="C3647" t="inlineStr">
        <is>
          <t>EP</t>
        </is>
      </c>
      <c r="D3647" s="28" t="n">
        <v>46133</v>
      </c>
      <c r="E3647" t="inlineStr">
        <is>
          <t>BNKEP</t>
        </is>
      </c>
      <c r="F3647" t="inlineStr">
        <is>
          <t>이성은</t>
        </is>
      </c>
      <c r="G3647" t="inlineStr">
        <is>
          <t>010-9701-1071</t>
        </is>
      </c>
      <c r="H3647" t="inlineStr">
        <is>
          <t>387무1337</t>
        </is>
      </c>
      <c r="I3647" t="n">
        <v>23000000</v>
      </c>
      <c r="J3647" t="n">
        <v>0.081</v>
      </c>
      <c r="K3647" t="n">
        <v>1.65</v>
      </c>
      <c r="L3647" t="n">
        <v>0.4</v>
      </c>
      <c r="M3647" t="n">
        <v>1.25</v>
      </c>
      <c r="P3647" t="inlineStr">
        <is>
          <t>장진경</t>
        </is>
      </c>
      <c r="AB3647" t="inlineStr">
        <is>
          <t>엔카</t>
        </is>
      </c>
      <c r="AC3647" t="n">
        <v>379500</v>
      </c>
      <c r="AD3647" t="n">
        <v>92000</v>
      </c>
      <c r="AE3647" t="n">
        <v>287500</v>
      </c>
      <c r="AF3647" t="n">
        <v>345000</v>
      </c>
      <c r="AG3647" t="n">
        <v>88964</v>
      </c>
      <c r="AH3647" t="n">
        <v>256036</v>
      </c>
    </row>
    <row r="3648">
      <c r="A3648" t="inlineStr">
        <is>
          <t>4월</t>
        </is>
      </c>
      <c r="B3648" t="inlineStr">
        <is>
          <t>17주차</t>
        </is>
      </c>
      <c r="C3648" t="inlineStr">
        <is>
          <t>IM</t>
        </is>
      </c>
      <c r="D3648" s="28" t="n">
        <v>46135</v>
      </c>
      <c r="E3648" t="inlineStr">
        <is>
          <t>IM캐피탈</t>
        </is>
      </c>
      <c r="F3648" t="inlineStr">
        <is>
          <t>김지현</t>
        </is>
      </c>
      <c r="G3648" t="inlineStr">
        <is>
          <t>010-3228-1534</t>
        </is>
      </c>
      <c r="H3648" t="inlineStr">
        <is>
          <t>290노2607</t>
        </is>
      </c>
      <c r="I3648" t="n">
        <v>16500000</v>
      </c>
      <c r="J3648" t="n">
        <v>0.059</v>
      </c>
      <c r="K3648" t="n">
        <v>1.1</v>
      </c>
      <c r="L3648" t="n">
        <v>0.4</v>
      </c>
      <c r="M3648" t="n">
        <v>0.7</v>
      </c>
      <c r="P3648" t="inlineStr">
        <is>
          <t>장현경</t>
        </is>
      </c>
      <c r="AB3648" t="inlineStr">
        <is>
          <t>엔카</t>
        </is>
      </c>
      <c r="AC3648" t="n">
        <v>181500</v>
      </c>
      <c r="AD3648" t="n">
        <v>66000</v>
      </c>
      <c r="AE3648" t="n">
        <v>115500</v>
      </c>
      <c r="AF3648" t="n">
        <v>165000</v>
      </c>
      <c r="AG3648" t="n">
        <v>63822</v>
      </c>
      <c r="AH3648" t="n">
        <v>101178</v>
      </c>
    </row>
    <row r="3649">
      <c r="A3649" t="inlineStr">
        <is>
          <t>4월</t>
        </is>
      </c>
      <c r="B3649" t="inlineStr">
        <is>
          <t>17주차</t>
        </is>
      </c>
      <c r="C3649" t="inlineStr">
        <is>
          <t>EP</t>
        </is>
      </c>
      <c r="D3649" s="28" t="n">
        <v>46133</v>
      </c>
      <c r="E3649" t="inlineStr">
        <is>
          <t>제이비EP</t>
        </is>
      </c>
      <c r="F3649" t="inlineStr">
        <is>
          <t>이마로</t>
        </is>
      </c>
      <c r="G3649" t="inlineStr">
        <is>
          <t>010-3955-2612</t>
        </is>
      </c>
      <c r="H3649" t="inlineStr">
        <is>
          <t>64저0573</t>
        </is>
      </c>
      <c r="I3649" t="n">
        <v>-6400000</v>
      </c>
      <c r="J3649" t="n">
        <v>0.08699999999999999</v>
      </c>
      <c r="K3649" t="n">
        <v>1.65</v>
      </c>
      <c r="L3649" t="n">
        <v>0.07000000000000001</v>
      </c>
      <c r="M3649" t="n">
        <v>1.58</v>
      </c>
      <c r="P3649" t="inlineStr">
        <is>
          <t>정세빈</t>
        </is>
      </c>
      <c r="Q3649" t="inlineStr">
        <is>
          <t>홈서비스 24개월</t>
        </is>
      </c>
      <c r="AB3649" t="inlineStr">
        <is>
          <t>홈서비스</t>
        </is>
      </c>
      <c r="AC3649" t="n">
        <v>-105600</v>
      </c>
      <c r="AD3649" t="n">
        <v>-4480</v>
      </c>
      <c r="AE3649" t="n">
        <v>-101120</v>
      </c>
      <c r="AF3649" t="n">
        <v>-96000</v>
      </c>
      <c r="AG3649" t="n">
        <v>-4332.16</v>
      </c>
      <c r="AH3649" t="n">
        <v>-91667.84</v>
      </c>
      <c r="AI3649" t="n">
        <v>0</v>
      </c>
    </row>
    <row r="3650">
      <c r="A3650" t="inlineStr">
        <is>
          <t>4월</t>
        </is>
      </c>
      <c r="B3650" t="inlineStr">
        <is>
          <t>17주차</t>
        </is>
      </c>
      <c r="C3650" t="inlineStr">
        <is>
          <t>IM</t>
        </is>
      </c>
      <c r="D3650" s="28" t="n">
        <v>46134</v>
      </c>
      <c r="E3650" t="inlineStr">
        <is>
          <t>IM캐피탈</t>
        </is>
      </c>
      <c r="F3650" t="inlineStr">
        <is>
          <t>곽동성</t>
        </is>
      </c>
      <c r="G3650" t="inlineStr">
        <is>
          <t>010-7759-5720</t>
        </is>
      </c>
      <c r="H3650" t="inlineStr">
        <is>
          <t>26러1410</t>
        </is>
      </c>
      <c r="I3650" t="n">
        <v>16400000</v>
      </c>
      <c r="J3650" t="n">
        <v>0.049</v>
      </c>
      <c r="K3650" t="n">
        <v>1.1</v>
      </c>
      <c r="L3650" t="n">
        <v>0.4</v>
      </c>
      <c r="M3650" t="n">
        <v>0.7</v>
      </c>
      <c r="P3650" t="inlineStr">
        <is>
          <t>장진경</t>
        </is>
      </c>
      <c r="Q3650" t="inlineStr">
        <is>
          <t>론진행</t>
        </is>
      </c>
      <c r="AB3650" t="inlineStr">
        <is>
          <t>엔카</t>
        </is>
      </c>
      <c r="AC3650" t="n">
        <v>180400</v>
      </c>
      <c r="AD3650" t="n">
        <v>65600</v>
      </c>
      <c r="AE3650" t="n">
        <v>114800</v>
      </c>
      <c r="AF3650" t="n">
        <v>164000</v>
      </c>
      <c r="AG3650" t="n">
        <v>63435.2</v>
      </c>
      <c r="AH3650" t="n">
        <v>100564.8</v>
      </c>
      <c r="AI3650" t="n">
        <v>0</v>
      </c>
    </row>
    <row r="3651">
      <c r="A3651" t="inlineStr">
        <is>
          <t>4월</t>
        </is>
      </c>
      <c r="B3651" t="inlineStr">
        <is>
          <t>17주차</t>
        </is>
      </c>
      <c r="C3651" t="inlineStr">
        <is>
          <t>IM</t>
        </is>
      </c>
      <c r="D3651" s="28" t="n">
        <v>46134</v>
      </c>
      <c r="E3651" t="inlineStr">
        <is>
          <t>IM캐피탈</t>
        </is>
      </c>
      <c r="F3651" t="inlineStr">
        <is>
          <t>양송이</t>
        </is>
      </c>
      <c r="G3651" t="inlineStr">
        <is>
          <t>010-2070-8103</t>
        </is>
      </c>
      <c r="H3651" t="inlineStr">
        <is>
          <t>260주5055</t>
        </is>
      </c>
      <c r="I3651" t="n">
        <v>30000000</v>
      </c>
      <c r="J3651" t="n">
        <v>0.039</v>
      </c>
      <c r="K3651" t="n">
        <v>1.1</v>
      </c>
      <c r="L3651" t="n">
        <v>0.4</v>
      </c>
      <c r="M3651" t="n">
        <v>0.7</v>
      </c>
      <c r="P3651" t="inlineStr">
        <is>
          <t>임대경</t>
        </is>
      </c>
      <c r="AB3651" t="inlineStr">
        <is>
          <t>엔카</t>
        </is>
      </c>
      <c r="AC3651" t="n">
        <v>330000</v>
      </c>
      <c r="AD3651" t="n">
        <v>120000</v>
      </c>
      <c r="AE3651" t="n">
        <v>210000</v>
      </c>
      <c r="AF3651" t="n">
        <v>300000</v>
      </c>
      <c r="AG3651" t="n">
        <v>116040</v>
      </c>
      <c r="AH3651" t="n">
        <v>183960</v>
      </c>
      <c r="AI3651" t="n">
        <v>0</v>
      </c>
    </row>
    <row r="3652">
      <c r="A3652" t="inlineStr">
        <is>
          <t>4월</t>
        </is>
      </c>
      <c r="B3652" t="inlineStr">
        <is>
          <t>17주차</t>
        </is>
      </c>
      <c r="C3652" t="inlineStr">
        <is>
          <t>EP</t>
        </is>
      </c>
      <c r="D3652" s="28" t="n">
        <v>46134</v>
      </c>
      <c r="E3652" t="inlineStr">
        <is>
          <t>BNKEP</t>
        </is>
      </c>
      <c r="F3652" t="inlineStr">
        <is>
          <t>김종현</t>
        </is>
      </c>
      <c r="G3652" t="inlineStr">
        <is>
          <t>010-9154-0832</t>
        </is>
      </c>
      <c r="H3652" t="inlineStr">
        <is>
          <t>26가0714</t>
        </is>
      </c>
      <c r="I3652" t="n">
        <v>-3400000</v>
      </c>
      <c r="J3652" t="n">
        <v>0.07000000000000001</v>
      </c>
      <c r="K3652" t="n">
        <v>1.65</v>
      </c>
      <c r="L3652" t="n">
        <v>0.07000000000000001</v>
      </c>
      <c r="M3652" t="n">
        <v>1.58</v>
      </c>
      <c r="P3652" t="inlineStr">
        <is>
          <t>황채이</t>
        </is>
      </c>
      <c r="Q3652" t="inlineStr">
        <is>
          <t>홈서비스 24개월 / 부대비용 추가진행</t>
        </is>
      </c>
      <c r="AB3652" t="inlineStr">
        <is>
          <t>홈서비스</t>
        </is>
      </c>
      <c r="AC3652" t="n">
        <v>-56100</v>
      </c>
      <c r="AD3652" t="n">
        <v>-2380</v>
      </c>
      <c r="AE3652" t="n">
        <v>-53720</v>
      </c>
      <c r="AF3652" t="n">
        <v>-51000</v>
      </c>
      <c r="AG3652" t="n">
        <v>-2301.46</v>
      </c>
      <c r="AH3652" t="n">
        <v>-48698.54</v>
      </c>
      <c r="AI3652" t="n">
        <v>0</v>
      </c>
    </row>
    <row r="3653">
      <c r="A3653" t="inlineStr">
        <is>
          <t>4월</t>
        </is>
      </c>
      <c r="B3653" t="inlineStr">
        <is>
          <t>17주차</t>
        </is>
      </c>
      <c r="C3653" t="inlineStr">
        <is>
          <t>IM</t>
        </is>
      </c>
      <c r="D3653" s="28" t="n">
        <v>46135</v>
      </c>
      <c r="E3653" t="inlineStr">
        <is>
          <t>IM캐피탈</t>
        </is>
      </c>
      <c r="F3653" t="inlineStr">
        <is>
          <t>김민기</t>
        </is>
      </c>
      <c r="G3653" t="inlineStr">
        <is>
          <t>010-6651-0810</t>
        </is>
      </c>
      <c r="H3653" t="inlineStr">
        <is>
          <t>05어8316</t>
        </is>
      </c>
      <c r="I3653" t="n">
        <v>14000000</v>
      </c>
      <c r="J3653" t="n">
        <v>0.075</v>
      </c>
      <c r="K3653" t="n">
        <v>1.1</v>
      </c>
      <c r="L3653" t="n">
        <v>0.07000000000000001</v>
      </c>
      <c r="M3653" t="n">
        <v>1.03</v>
      </c>
      <c r="P3653" t="inlineStr">
        <is>
          <t>장현경</t>
        </is>
      </c>
      <c r="Q3653" t="inlineStr">
        <is>
          <t>안심거래존건</t>
        </is>
      </c>
      <c r="AB3653" t="inlineStr">
        <is>
          <t>믿고</t>
        </is>
      </c>
      <c r="AC3653" t="n">
        <v>154000</v>
      </c>
      <c r="AD3653" t="n">
        <v>9800</v>
      </c>
      <c r="AE3653" t="n">
        <v>144200</v>
      </c>
      <c r="AF3653" t="n">
        <v>140000</v>
      </c>
      <c r="AG3653" t="n">
        <v>9476.6</v>
      </c>
      <c r="AH3653" t="n">
        <v>130523.4</v>
      </c>
      <c r="AI3653" t="n">
        <v>0</v>
      </c>
    </row>
    <row r="3654">
      <c r="A3654" t="inlineStr">
        <is>
          <t>4월</t>
        </is>
      </c>
      <c r="B3654" t="inlineStr">
        <is>
          <t>17주차</t>
        </is>
      </c>
      <c r="C3654" t="inlineStr">
        <is>
          <t>EP</t>
        </is>
      </c>
      <c r="D3654" s="28" t="n">
        <v>46135</v>
      </c>
      <c r="E3654" t="inlineStr">
        <is>
          <t>현대EP_fast</t>
        </is>
      </c>
      <c r="F3654" t="inlineStr">
        <is>
          <t>오연석</t>
        </is>
      </c>
      <c r="G3654" t="inlineStr">
        <is>
          <t>010-5744-9974</t>
        </is>
      </c>
      <c r="H3654" t="inlineStr">
        <is>
          <t>394더8842</t>
        </is>
      </c>
      <c r="I3654" t="n">
        <v>32000000</v>
      </c>
      <c r="J3654" t="n">
        <v>0.079</v>
      </c>
      <c r="K3654" t="n">
        <v>1.76</v>
      </c>
      <c r="L3654" t="n">
        <v>0.2</v>
      </c>
      <c r="M3654" t="n">
        <v>1.56</v>
      </c>
      <c r="P3654" t="inlineStr">
        <is>
          <t>최형주</t>
        </is>
      </c>
      <c r="Q3654" t="inlineStr">
        <is>
          <t>홈서비스 60개월</t>
        </is>
      </c>
      <c r="AB3654" t="inlineStr">
        <is>
          <t>홈서비스</t>
        </is>
      </c>
      <c r="AC3654" t="n">
        <v>563200</v>
      </c>
      <c r="AD3654" t="n">
        <v>64000</v>
      </c>
      <c r="AE3654" t="n">
        <v>499200</v>
      </c>
      <c r="AF3654" t="n">
        <v>512000</v>
      </c>
      <c r="AG3654" t="n">
        <v>61888</v>
      </c>
      <c r="AH3654" t="n">
        <v>450112</v>
      </c>
      <c r="AI3654" t="n">
        <v>0</v>
      </c>
    </row>
    <row r="3655">
      <c r="A3655" t="inlineStr">
        <is>
          <t>4월</t>
        </is>
      </c>
      <c r="B3655" t="inlineStr">
        <is>
          <t>17주차</t>
        </is>
      </c>
      <c r="C3655" t="inlineStr">
        <is>
          <t>EP</t>
        </is>
      </c>
      <c r="D3655" s="28" t="n">
        <v>46135</v>
      </c>
      <c r="E3655" t="inlineStr">
        <is>
          <t>현대EP_fast</t>
        </is>
      </c>
      <c r="F3655" t="inlineStr">
        <is>
          <t>임진수</t>
        </is>
      </c>
      <c r="G3655" t="inlineStr">
        <is>
          <t>010-4444-0700</t>
        </is>
      </c>
      <c r="H3655" t="inlineStr">
        <is>
          <t>14조3962</t>
        </is>
      </c>
      <c r="I3655" t="n">
        <v>6500000</v>
      </c>
      <c r="J3655" t="n">
        <v>0.127</v>
      </c>
      <c r="K3655" t="n">
        <v>1.76</v>
      </c>
      <c r="L3655" t="n">
        <v>0.2</v>
      </c>
      <c r="M3655" t="n">
        <v>1.56</v>
      </c>
      <c r="P3655" t="inlineStr">
        <is>
          <t>최형주</t>
        </is>
      </c>
      <c r="Q3655" t="inlineStr">
        <is>
          <t>홈서비스 36개월</t>
        </is>
      </c>
      <c r="AB3655" t="inlineStr">
        <is>
          <t>홈서비스</t>
        </is>
      </c>
      <c r="AC3655" t="n">
        <v>114400</v>
      </c>
      <c r="AD3655" t="n">
        <v>13000</v>
      </c>
      <c r="AE3655" t="n">
        <v>101400</v>
      </c>
      <c r="AF3655" t="n">
        <v>104000</v>
      </c>
      <c r="AG3655" t="n">
        <v>12571</v>
      </c>
      <c r="AH3655" t="n">
        <v>91429</v>
      </c>
      <c r="AI3655" t="n">
        <v>0</v>
      </c>
    </row>
    <row r="3656">
      <c r="A3656" t="inlineStr">
        <is>
          <t>4월</t>
        </is>
      </c>
      <c r="B3656" t="inlineStr">
        <is>
          <t>17주차</t>
        </is>
      </c>
      <c r="C3656" t="inlineStr">
        <is>
          <t>EP</t>
        </is>
      </c>
      <c r="D3656" s="28" t="n">
        <v>46134</v>
      </c>
      <c r="E3656" t="inlineStr">
        <is>
          <t>BNKEP</t>
        </is>
      </c>
      <c r="F3656" t="inlineStr">
        <is>
          <t>이동수</t>
        </is>
      </c>
      <c r="G3656" t="inlineStr">
        <is>
          <t>010-4728-1467</t>
        </is>
      </c>
      <c r="H3656" t="inlineStr">
        <is>
          <t>47구3822</t>
        </is>
      </c>
      <c r="I3656" t="n">
        <v>7000000</v>
      </c>
      <c r="J3656" t="n">
        <v>0.063</v>
      </c>
      <c r="K3656" t="n">
        <v>1.65</v>
      </c>
      <c r="L3656" t="n">
        <v>0.4</v>
      </c>
      <c r="M3656" t="n">
        <v>1.25</v>
      </c>
      <c r="P3656" t="inlineStr">
        <is>
          <t>구성완</t>
        </is>
      </c>
      <c r="AB3656" t="inlineStr">
        <is>
          <t>엔카</t>
        </is>
      </c>
      <c r="AC3656" t="n">
        <v>115500</v>
      </c>
      <c r="AD3656" t="n">
        <v>28000</v>
      </c>
      <c r="AE3656" t="n">
        <v>87500</v>
      </c>
      <c r="AF3656" t="n">
        <v>105000</v>
      </c>
      <c r="AG3656" t="n">
        <v>27076</v>
      </c>
      <c r="AH3656" t="n">
        <v>77924</v>
      </c>
      <c r="AI3656" t="n">
        <v>0</v>
      </c>
    </row>
    <row r="3657">
      <c r="A3657" t="inlineStr">
        <is>
          <t>4월</t>
        </is>
      </c>
      <c r="B3657" t="inlineStr">
        <is>
          <t>17주차</t>
        </is>
      </c>
      <c r="C3657" t="inlineStr">
        <is>
          <t>EP</t>
        </is>
      </c>
      <c r="D3657" s="28" t="n">
        <v>46135</v>
      </c>
      <c r="E3657" t="inlineStr">
        <is>
          <t>현대EP_fast</t>
        </is>
      </c>
      <c r="F3657" t="inlineStr">
        <is>
          <t>최수현</t>
        </is>
      </c>
      <c r="G3657" t="inlineStr">
        <is>
          <t>010-9353-9207</t>
        </is>
      </c>
      <c r="H3657" t="inlineStr">
        <is>
          <t>147누1846</t>
        </is>
      </c>
      <c r="I3657" t="n">
        <v>16000000</v>
      </c>
      <c r="J3657" t="n">
        <v>0.154</v>
      </c>
      <c r="K3657" t="n">
        <v>1.76</v>
      </c>
      <c r="L3657" t="n">
        <v>0.4</v>
      </c>
      <c r="M3657" t="n">
        <v>1.36</v>
      </c>
      <c r="P3657" t="inlineStr">
        <is>
          <t>장진경</t>
        </is>
      </c>
      <c r="AB3657" t="inlineStr">
        <is>
          <t>엔카</t>
        </is>
      </c>
      <c r="AC3657" t="n">
        <v>281600</v>
      </c>
      <c r="AD3657" t="n">
        <v>64000</v>
      </c>
      <c r="AE3657" t="n">
        <v>217600</v>
      </c>
      <c r="AF3657" t="n">
        <v>256000</v>
      </c>
      <c r="AG3657" t="n">
        <v>61888</v>
      </c>
      <c r="AH3657" t="n">
        <v>194112</v>
      </c>
      <c r="AI3657" t="n">
        <v>0</v>
      </c>
    </row>
    <row r="3658">
      <c r="A3658" t="inlineStr">
        <is>
          <t>4월</t>
        </is>
      </c>
      <c r="B3658" t="inlineStr">
        <is>
          <t>17주차</t>
        </is>
      </c>
      <c r="C3658" t="inlineStr">
        <is>
          <t>EP</t>
        </is>
      </c>
      <c r="D3658" s="28" t="n">
        <v>46135</v>
      </c>
      <c r="E3658" t="inlineStr">
        <is>
          <t>현대EP_fast</t>
        </is>
      </c>
      <c r="F3658" t="inlineStr">
        <is>
          <t>김지훈</t>
        </is>
      </c>
      <c r="G3658" t="inlineStr">
        <is>
          <t>010-2459-8817</t>
        </is>
      </c>
      <c r="H3658" t="inlineStr">
        <is>
          <t>107수6389</t>
        </is>
      </c>
      <c r="I3658" t="n">
        <v>23000000</v>
      </c>
      <c r="J3658" t="n">
        <v>0.102</v>
      </c>
      <c r="K3658" t="n">
        <v>1.76</v>
      </c>
      <c r="L3658" t="n">
        <v>0.2</v>
      </c>
      <c r="M3658" t="n">
        <v>1.56</v>
      </c>
      <c r="P3658" t="inlineStr">
        <is>
          <t>정세빈</t>
        </is>
      </c>
      <c r="Q3658" t="inlineStr">
        <is>
          <t>홈서비스 60개월</t>
        </is>
      </c>
      <c r="AB3658" t="inlineStr">
        <is>
          <t>홈서비스</t>
        </is>
      </c>
      <c r="AC3658" t="n">
        <v>404800</v>
      </c>
      <c r="AD3658" t="n">
        <v>46000</v>
      </c>
      <c r="AE3658" t="n">
        <v>358800</v>
      </c>
      <c r="AF3658" t="n">
        <v>368000</v>
      </c>
      <c r="AG3658" t="n">
        <v>44482</v>
      </c>
      <c r="AH3658" t="n">
        <v>323518</v>
      </c>
      <c r="AI3658" t="n">
        <v>0</v>
      </c>
    </row>
    <row r="3659">
      <c r="A3659" t="inlineStr">
        <is>
          <t>4월</t>
        </is>
      </c>
      <c r="B3659" t="inlineStr">
        <is>
          <t>17주차</t>
        </is>
      </c>
      <c r="C3659" t="inlineStr">
        <is>
          <t>IM</t>
        </is>
      </c>
      <c r="D3659" s="28" t="n">
        <v>46135</v>
      </c>
      <c r="E3659" t="inlineStr">
        <is>
          <t>IM캐피탈</t>
        </is>
      </c>
      <c r="F3659" t="inlineStr">
        <is>
          <t>윤정배</t>
        </is>
      </c>
      <c r="G3659" t="inlineStr">
        <is>
          <t>010-2550-4421</t>
        </is>
      </c>
      <c r="H3659" t="inlineStr">
        <is>
          <t>02도2566</t>
        </is>
      </c>
      <c r="I3659" t="n">
        <v>48300000</v>
      </c>
      <c r="J3659" t="n">
        <v>0.049</v>
      </c>
      <c r="K3659" t="n">
        <v>1.1</v>
      </c>
      <c r="L3659" t="n">
        <v>0.07000000000000001</v>
      </c>
      <c r="M3659" t="n">
        <v>1.03</v>
      </c>
      <c r="P3659" t="inlineStr">
        <is>
          <t>황채이</t>
        </is>
      </c>
      <c r="Q3659" t="inlineStr">
        <is>
          <t>홈서비스 60개월</t>
        </is>
      </c>
      <c r="AB3659" t="inlineStr">
        <is>
          <t>홈서비스</t>
        </is>
      </c>
      <c r="AC3659" t="n">
        <v>531300</v>
      </c>
      <c r="AD3659" t="n">
        <v>33810</v>
      </c>
      <c r="AE3659" t="n">
        <v>497490</v>
      </c>
      <c r="AF3659" t="n">
        <v>483000</v>
      </c>
      <c r="AG3659" t="n">
        <v>32694.27</v>
      </c>
      <c r="AH3659" t="n">
        <v>450305.73</v>
      </c>
      <c r="AI3659" t="n">
        <v>0</v>
      </c>
    </row>
    <row r="3660">
      <c r="A3660" t="inlineStr">
        <is>
          <t>4월</t>
        </is>
      </c>
      <c r="B3660" t="inlineStr">
        <is>
          <t>17주차</t>
        </is>
      </c>
      <c r="C3660" t="inlineStr">
        <is>
          <t>IM</t>
        </is>
      </c>
      <c r="D3660" s="28" t="n">
        <v>46135</v>
      </c>
      <c r="E3660" t="inlineStr">
        <is>
          <t>IM캐피탈</t>
        </is>
      </c>
      <c r="F3660" t="inlineStr">
        <is>
          <t>남상현</t>
        </is>
      </c>
      <c r="G3660" t="inlineStr">
        <is>
          <t>010-3008-4075</t>
        </is>
      </c>
      <c r="H3660" t="inlineStr">
        <is>
          <t>23우9201</t>
        </is>
      </c>
      <c r="I3660" t="n">
        <v>7300000</v>
      </c>
      <c r="J3660" t="n">
        <v>0.06900000000000001</v>
      </c>
      <c r="K3660" t="n">
        <v>1.1</v>
      </c>
      <c r="L3660" t="n">
        <v>0.07000000000000001</v>
      </c>
      <c r="M3660" t="n">
        <v>1.03</v>
      </c>
      <c r="P3660" t="inlineStr">
        <is>
          <t>김나윤</t>
        </is>
      </c>
      <c r="Q3660" t="inlineStr">
        <is>
          <t>홈서비스 84개월</t>
        </is>
      </c>
      <c r="AB3660" t="inlineStr">
        <is>
          <t>홈서비스</t>
        </is>
      </c>
      <c r="AC3660" t="n">
        <v>80300</v>
      </c>
      <c r="AD3660" t="n">
        <v>5110</v>
      </c>
      <c r="AE3660" t="n">
        <v>75190</v>
      </c>
      <c r="AF3660" t="n">
        <v>73000</v>
      </c>
      <c r="AG3660" t="n">
        <v>4941.37</v>
      </c>
      <c r="AH3660" t="n">
        <v>68058.63</v>
      </c>
    </row>
    <row r="3661">
      <c r="A3661" t="inlineStr">
        <is>
          <t>4월</t>
        </is>
      </c>
      <c r="B3661" t="inlineStr">
        <is>
          <t>17주차</t>
        </is>
      </c>
      <c r="C3661" t="inlineStr">
        <is>
          <t>WR</t>
        </is>
      </c>
      <c r="D3661" s="28" t="n">
        <v>46135</v>
      </c>
      <c r="E3661" t="inlineStr">
        <is>
          <t>우리금융</t>
        </is>
      </c>
      <c r="F3661" t="inlineStr">
        <is>
          <t>강희지</t>
        </is>
      </c>
      <c r="G3661" t="inlineStr">
        <is>
          <t>010-3596-7983</t>
        </is>
      </c>
      <c r="H3661" t="inlineStr">
        <is>
          <t>225다8338</t>
        </is>
      </c>
      <c r="I3661" t="n">
        <v>30000000</v>
      </c>
      <c r="J3661" t="n">
        <v>0.061</v>
      </c>
      <c r="K3661" t="n">
        <v>2.2</v>
      </c>
      <c r="L3661" t="n">
        <v>0.07000000000000001</v>
      </c>
      <c r="M3661" t="n">
        <v>2.13</v>
      </c>
      <c r="P3661" t="inlineStr">
        <is>
          <t>정세빈</t>
        </is>
      </c>
      <c r="Q3661" t="inlineStr">
        <is>
          <t>홈서비스 60개월</t>
        </is>
      </c>
      <c r="AB3661" t="inlineStr">
        <is>
          <t>홈서비스</t>
        </is>
      </c>
      <c r="AC3661" t="n">
        <v>660000</v>
      </c>
      <c r="AD3661" t="n">
        <v>21000</v>
      </c>
      <c r="AE3661" t="n">
        <v>639000</v>
      </c>
      <c r="AF3661" t="n">
        <v>600000</v>
      </c>
      <c r="AG3661" t="n">
        <v>20307</v>
      </c>
      <c r="AH3661" t="n">
        <v>579693</v>
      </c>
      <c r="AI3661" t="n">
        <v>0</v>
      </c>
    </row>
    <row r="3662">
      <c r="A3662" t="inlineStr">
        <is>
          <t>4월</t>
        </is>
      </c>
      <c r="B3662" t="inlineStr">
        <is>
          <t>17주차</t>
        </is>
      </c>
      <c r="C3662" t="inlineStr">
        <is>
          <t>EP</t>
        </is>
      </c>
      <c r="D3662" s="28" t="n">
        <v>46132</v>
      </c>
      <c r="E3662" t="inlineStr">
        <is>
          <t>현대EP_fast</t>
        </is>
      </c>
      <c r="F3662" t="inlineStr">
        <is>
          <t>박인범</t>
        </is>
      </c>
      <c r="G3662" t="inlineStr">
        <is>
          <t>010-7627-6830</t>
        </is>
      </c>
      <c r="H3662" t="inlineStr">
        <is>
          <t>59서4194</t>
        </is>
      </c>
      <c r="I3662" t="n">
        <v>8900000</v>
      </c>
      <c r="J3662" t="n">
        <v>0.127</v>
      </c>
      <c r="K3662" t="n">
        <v>1.76</v>
      </c>
      <c r="L3662" t="n">
        <v>0.2</v>
      </c>
      <c r="M3662" t="n">
        <v>1.56</v>
      </c>
      <c r="P3662" t="inlineStr">
        <is>
          <t>박보람</t>
        </is>
      </c>
      <c r="Q3662" t="inlineStr">
        <is>
          <t>선상담 / 홈서비스 24개월</t>
        </is>
      </c>
      <c r="AB3662" t="inlineStr">
        <is>
          <t>홈서비스</t>
        </is>
      </c>
      <c r="AC3662" t="n">
        <v>156640</v>
      </c>
      <c r="AD3662" t="n">
        <v>17800</v>
      </c>
      <c r="AE3662" t="n">
        <v>138840</v>
      </c>
      <c r="AF3662" t="n">
        <v>142400</v>
      </c>
      <c r="AG3662" t="n">
        <v>17212.6</v>
      </c>
      <c r="AH3662" t="n">
        <v>125187.4</v>
      </c>
      <c r="AI3662" t="n">
        <v>0</v>
      </c>
    </row>
    <row r="3663">
      <c r="A3663" t="inlineStr">
        <is>
          <t>4월</t>
        </is>
      </c>
      <c r="B3663" t="inlineStr">
        <is>
          <t>17주차</t>
        </is>
      </c>
      <c r="C3663" t="inlineStr">
        <is>
          <t>EP</t>
        </is>
      </c>
      <c r="D3663" s="28" t="n">
        <v>46135</v>
      </c>
      <c r="E3663" t="inlineStr">
        <is>
          <t>현대EP</t>
        </is>
      </c>
      <c r="F3663" t="inlineStr">
        <is>
          <t>김영수</t>
        </is>
      </c>
      <c r="G3663" t="inlineStr">
        <is>
          <t>010-4554-0147</t>
        </is>
      </c>
      <c r="H3663" t="inlineStr">
        <is>
          <t>151조5224</t>
        </is>
      </c>
      <c r="I3663" t="n">
        <v>30000000</v>
      </c>
      <c r="J3663" t="n">
        <v>0.1</v>
      </c>
      <c r="K3663" t="n">
        <v>1.76</v>
      </c>
      <c r="L3663" t="n">
        <v>0.2</v>
      </c>
      <c r="M3663" t="n">
        <v>1.56</v>
      </c>
      <c r="P3663" t="inlineStr">
        <is>
          <t>황채이</t>
        </is>
      </c>
      <c r="AB3663" t="inlineStr">
        <is>
          <t>홈서비스</t>
        </is>
      </c>
      <c r="AC3663" t="n">
        <v>528000</v>
      </c>
      <c r="AD3663" t="n">
        <v>60000</v>
      </c>
      <c r="AE3663" t="n">
        <v>468000</v>
      </c>
      <c r="AF3663" t="n">
        <v>480000</v>
      </c>
      <c r="AG3663" t="n">
        <v>58020</v>
      </c>
      <c r="AH3663" t="n">
        <v>421980</v>
      </c>
    </row>
    <row r="3664">
      <c r="A3664" t="inlineStr">
        <is>
          <t>4월</t>
        </is>
      </c>
      <c r="B3664" t="inlineStr">
        <is>
          <t>17주차</t>
        </is>
      </c>
      <c r="C3664" t="inlineStr">
        <is>
          <t>EP</t>
        </is>
      </c>
      <c r="D3664" s="28" t="n">
        <v>46135</v>
      </c>
      <c r="E3664" t="inlineStr">
        <is>
          <t>현대EP_fast</t>
        </is>
      </c>
      <c r="F3664" t="inlineStr">
        <is>
          <t>이은희</t>
        </is>
      </c>
      <c r="G3664" t="inlineStr">
        <is>
          <t>010-6385-0826</t>
        </is>
      </c>
      <c r="H3664" t="inlineStr">
        <is>
          <t>184마1796</t>
        </is>
      </c>
      <c r="I3664" t="n">
        <v>9800000</v>
      </c>
      <c r="J3664" t="n">
        <v>0.07199999999999999</v>
      </c>
      <c r="K3664" t="n">
        <v>1.76</v>
      </c>
      <c r="L3664" t="n">
        <v>0.2</v>
      </c>
      <c r="M3664" t="n">
        <v>1.56</v>
      </c>
      <c r="P3664" t="inlineStr">
        <is>
          <t>최형주</t>
        </is>
      </c>
      <c r="Q3664" t="inlineStr">
        <is>
          <t>홈서비스 60개월</t>
        </is>
      </c>
      <c r="AB3664" t="inlineStr">
        <is>
          <t>홈서비스</t>
        </is>
      </c>
      <c r="AC3664" t="n">
        <v>172480</v>
      </c>
      <c r="AD3664" t="n">
        <v>19600</v>
      </c>
      <c r="AE3664" t="n">
        <v>152880</v>
      </c>
      <c r="AF3664" t="n">
        <v>156800</v>
      </c>
      <c r="AG3664" t="n">
        <v>18953.2</v>
      </c>
      <c r="AH3664" t="n">
        <v>137846.8</v>
      </c>
    </row>
    <row r="3665">
      <c r="A3665" t="inlineStr">
        <is>
          <t>4월</t>
        </is>
      </c>
      <c r="B3665" t="inlineStr">
        <is>
          <t>17주차</t>
        </is>
      </c>
      <c r="C3665" t="inlineStr">
        <is>
          <t>EP</t>
        </is>
      </c>
      <c r="D3665" s="28" t="n">
        <v>46133</v>
      </c>
      <c r="E3665" t="inlineStr">
        <is>
          <t>제이비EP</t>
        </is>
      </c>
      <c r="F3665" t="inlineStr">
        <is>
          <t>진동석</t>
        </is>
      </c>
      <c r="G3665" t="inlineStr">
        <is>
          <t>010-3802-8119</t>
        </is>
      </c>
      <c r="H3665" t="inlineStr">
        <is>
          <t>380부8347</t>
        </is>
      </c>
      <c r="I3665" t="n">
        <v>-32900000</v>
      </c>
      <c r="J3665" t="n">
        <v>0.055</v>
      </c>
      <c r="K3665" t="n">
        <v>1.65</v>
      </c>
      <c r="L3665" t="n">
        <v>0.07000000000000001</v>
      </c>
      <c r="M3665" t="n">
        <v>1.58</v>
      </c>
      <c r="P3665" t="inlineStr">
        <is>
          <t>황채이</t>
        </is>
      </c>
      <c r="Q3665" t="inlineStr">
        <is>
          <t>홈서비스 60개월 / 부대비용 추가진행</t>
        </is>
      </c>
      <c r="AB3665" t="inlineStr">
        <is>
          <t>홈서비스</t>
        </is>
      </c>
      <c r="AC3665" t="n">
        <v>-542850</v>
      </c>
      <c r="AD3665" t="n">
        <v>-23030</v>
      </c>
      <c r="AE3665" t="n">
        <v>-519820</v>
      </c>
      <c r="AF3665" t="n">
        <v>-493500</v>
      </c>
      <c r="AG3665" t="n">
        <v>-22270.01</v>
      </c>
      <c r="AH3665" t="n">
        <v>-471229.99</v>
      </c>
      <c r="AI3665" t="n">
        <v>0</v>
      </c>
    </row>
    <row r="3666">
      <c r="A3666" t="inlineStr">
        <is>
          <t>4월</t>
        </is>
      </c>
      <c r="B3666" t="inlineStr">
        <is>
          <t>17주차</t>
        </is>
      </c>
      <c r="C3666" t="inlineStr">
        <is>
          <t>EP</t>
        </is>
      </c>
      <c r="D3666" s="28" t="n">
        <v>46135</v>
      </c>
      <c r="E3666" t="inlineStr">
        <is>
          <t>현대EP</t>
        </is>
      </c>
      <c r="F3666" t="inlineStr">
        <is>
          <t>김대유</t>
        </is>
      </c>
      <c r="G3666" t="inlineStr">
        <is>
          <t>010-2724-3888</t>
        </is>
      </c>
      <c r="H3666" t="inlineStr">
        <is>
          <t>132마5379</t>
        </is>
      </c>
      <c r="I3666" t="n">
        <v>24700000</v>
      </c>
      <c r="J3666" t="n">
        <v>0.09</v>
      </c>
      <c r="K3666" t="n">
        <v>1.76</v>
      </c>
      <c r="L3666" t="n">
        <v>0.2</v>
      </c>
      <c r="M3666" t="n">
        <v>1.56</v>
      </c>
      <c r="P3666" t="inlineStr">
        <is>
          <t>정세빈</t>
        </is>
      </c>
      <c r="AB3666" t="inlineStr">
        <is>
          <t>홈서비스</t>
        </is>
      </c>
      <c r="AC3666" t="n">
        <v>434720</v>
      </c>
      <c r="AD3666" t="n">
        <v>49400</v>
      </c>
      <c r="AE3666" t="n">
        <v>385320</v>
      </c>
      <c r="AF3666" t="n">
        <v>395200</v>
      </c>
      <c r="AG3666" t="n">
        <v>47769.8</v>
      </c>
      <c r="AH3666" t="n">
        <v>347430.2</v>
      </c>
      <c r="AI3666" t="n">
        <v>0</v>
      </c>
    </row>
    <row r="3667">
      <c r="A3667" t="inlineStr">
        <is>
          <t>4월</t>
        </is>
      </c>
      <c r="B3667" t="inlineStr">
        <is>
          <t>17주차</t>
        </is>
      </c>
      <c r="C3667" t="inlineStr">
        <is>
          <t>IM</t>
        </is>
      </c>
      <c r="D3667" s="28" t="n">
        <v>46135</v>
      </c>
      <c r="E3667" t="inlineStr">
        <is>
          <t>IM캐피탈</t>
        </is>
      </c>
      <c r="F3667" t="inlineStr">
        <is>
          <t>최성우</t>
        </is>
      </c>
      <c r="G3667" t="inlineStr">
        <is>
          <t>010-9325-5002</t>
        </is>
      </c>
      <c r="H3667" t="inlineStr">
        <is>
          <t>297라6184</t>
        </is>
      </c>
      <c r="I3667" t="n">
        <v>17900000</v>
      </c>
      <c r="J3667" t="n">
        <v>0.049</v>
      </c>
      <c r="K3667" t="n">
        <v>1.1</v>
      </c>
      <c r="L3667" t="n">
        <v>0.07000000000000001</v>
      </c>
      <c r="M3667" t="n">
        <v>1.03</v>
      </c>
      <c r="P3667" t="inlineStr">
        <is>
          <t>김나윤</t>
        </is>
      </c>
      <c r="Q3667" t="inlineStr">
        <is>
          <t>홈서비스 48개월</t>
        </is>
      </c>
      <c r="AB3667" t="inlineStr">
        <is>
          <t>홈서비스</t>
        </is>
      </c>
      <c r="AC3667" t="n">
        <v>196900</v>
      </c>
      <c r="AD3667" t="n">
        <v>12530</v>
      </c>
      <c r="AE3667" t="n">
        <v>184370</v>
      </c>
      <c r="AF3667" t="n">
        <v>179000</v>
      </c>
      <c r="AG3667" t="n">
        <v>12116.51</v>
      </c>
      <c r="AH3667" t="n">
        <v>166883.49</v>
      </c>
      <c r="AI3667" t="n">
        <v>0</v>
      </c>
    </row>
    <row r="3668">
      <c r="A3668" t="inlineStr">
        <is>
          <t>4월</t>
        </is>
      </c>
      <c r="B3668" t="inlineStr">
        <is>
          <t>17주차</t>
        </is>
      </c>
      <c r="C3668" t="inlineStr">
        <is>
          <t>EP</t>
        </is>
      </c>
      <c r="D3668" s="28" t="n">
        <v>46135</v>
      </c>
      <c r="E3668" t="inlineStr">
        <is>
          <t>현대EP_fast</t>
        </is>
      </c>
      <c r="F3668" t="inlineStr">
        <is>
          <t>유성현</t>
        </is>
      </c>
      <c r="G3668" t="inlineStr">
        <is>
          <t>010-5416-9205</t>
        </is>
      </c>
      <c r="H3668" t="inlineStr">
        <is>
          <t>264수4129</t>
        </is>
      </c>
      <c r="I3668" t="n">
        <v>34000000</v>
      </c>
      <c r="J3668" t="n">
        <v>0.102</v>
      </c>
      <c r="K3668" t="n">
        <v>1.76</v>
      </c>
      <c r="L3668" t="n">
        <v>0.2</v>
      </c>
      <c r="M3668" t="n">
        <v>1.56</v>
      </c>
      <c r="P3668" t="inlineStr">
        <is>
          <t>최형주</t>
        </is>
      </c>
      <c r="Q3668" t="inlineStr">
        <is>
          <t>홈서비스 60개월</t>
        </is>
      </c>
      <c r="AB3668" t="inlineStr">
        <is>
          <t>홈서비스</t>
        </is>
      </c>
      <c r="AC3668" t="n">
        <v>598400</v>
      </c>
      <c r="AD3668" t="n">
        <v>68000</v>
      </c>
      <c r="AE3668" t="n">
        <v>530400</v>
      </c>
      <c r="AF3668" t="n">
        <v>544000</v>
      </c>
      <c r="AG3668" t="n">
        <v>65756</v>
      </c>
      <c r="AH3668" t="n">
        <v>478244</v>
      </c>
      <c r="AI3668" t="n">
        <v>0</v>
      </c>
    </row>
    <row r="3669">
      <c r="A3669" t="inlineStr">
        <is>
          <t>4월</t>
        </is>
      </c>
      <c r="B3669" t="inlineStr">
        <is>
          <t>17주차</t>
        </is>
      </c>
      <c r="C3669" t="inlineStr">
        <is>
          <t>EP</t>
        </is>
      </c>
      <c r="D3669" s="28" t="n">
        <v>46134</v>
      </c>
      <c r="E3669" t="inlineStr">
        <is>
          <t>제이비EP</t>
        </is>
      </c>
      <c r="F3669" t="inlineStr">
        <is>
          <t>손희송</t>
        </is>
      </c>
      <c r="G3669" t="inlineStr">
        <is>
          <t>010-7654-0402</t>
        </is>
      </c>
      <c r="H3669" t="inlineStr">
        <is>
          <t>97노7724</t>
        </is>
      </c>
      <c r="I3669" t="n">
        <v>5100000</v>
      </c>
      <c r="J3669" t="n">
        <v>0.06900000000000001</v>
      </c>
      <c r="K3669" t="n">
        <v>1.65</v>
      </c>
      <c r="L3669" t="n">
        <v>0.4</v>
      </c>
      <c r="M3669" t="n">
        <v>1.25</v>
      </c>
      <c r="P3669" t="inlineStr">
        <is>
          <t>구성완</t>
        </is>
      </c>
      <c r="AB3669" t="inlineStr">
        <is>
          <t>엔카</t>
        </is>
      </c>
      <c r="AC3669" t="n">
        <v>84150</v>
      </c>
      <c r="AD3669" t="n">
        <v>20400</v>
      </c>
      <c r="AE3669" t="n">
        <v>63750</v>
      </c>
      <c r="AF3669" t="n">
        <v>76500</v>
      </c>
      <c r="AG3669" t="n">
        <v>19726.8</v>
      </c>
      <c r="AH3669" t="n">
        <v>56773.2</v>
      </c>
      <c r="AI3669" t="n">
        <v>0</v>
      </c>
      <c r="AJ3669" t="inlineStr">
        <is>
          <t>개인</t>
        </is>
      </c>
    </row>
    <row r="3670">
      <c r="A3670" t="inlineStr">
        <is>
          <t>4월</t>
        </is>
      </c>
      <c r="B3670" t="inlineStr">
        <is>
          <t>17주차</t>
        </is>
      </c>
      <c r="C3670" t="inlineStr">
        <is>
          <t>EP</t>
        </is>
      </c>
      <c r="D3670" s="28" t="n">
        <v>46134</v>
      </c>
      <c r="E3670" t="inlineStr">
        <is>
          <t>현대EP</t>
        </is>
      </c>
      <c r="F3670" t="inlineStr">
        <is>
          <t>이승원</t>
        </is>
      </c>
      <c r="G3670" t="inlineStr">
        <is>
          <t>010-9055-0201</t>
        </is>
      </c>
      <c r="H3670" t="inlineStr">
        <is>
          <t>300라5344</t>
        </is>
      </c>
      <c r="I3670" t="n">
        <v>25000000</v>
      </c>
      <c r="J3670" t="n">
        <v>0.07099999999999999</v>
      </c>
      <c r="K3670" t="n">
        <v>1.76</v>
      </c>
      <c r="L3670" t="n">
        <v>0.2</v>
      </c>
      <c r="M3670" t="n">
        <v>1.56</v>
      </c>
      <c r="P3670" t="inlineStr">
        <is>
          <t>김수연</t>
        </is>
      </c>
      <c r="Q3670" t="inlineStr">
        <is>
          <t>홈서비스 60개월</t>
        </is>
      </c>
      <c r="AB3670" t="inlineStr">
        <is>
          <t>홈서비스</t>
        </is>
      </c>
      <c r="AC3670" t="n">
        <v>440000</v>
      </c>
      <c r="AD3670" t="n">
        <v>50000</v>
      </c>
      <c r="AE3670" t="n">
        <v>390000</v>
      </c>
      <c r="AF3670" t="n">
        <v>400000</v>
      </c>
      <c r="AG3670" t="n">
        <v>48350</v>
      </c>
      <c r="AH3670" t="n">
        <v>351650</v>
      </c>
      <c r="AI3670" t="n">
        <v>0</v>
      </c>
    </row>
    <row r="3671">
      <c r="A3671" t="inlineStr">
        <is>
          <t>4월</t>
        </is>
      </c>
      <c r="B3671" t="inlineStr">
        <is>
          <t>17주차</t>
        </is>
      </c>
      <c r="C3671" t="inlineStr">
        <is>
          <t>IM</t>
        </is>
      </c>
      <c r="D3671" s="28" t="n">
        <v>46134</v>
      </c>
      <c r="E3671" t="inlineStr">
        <is>
          <t>IM캐피탈</t>
        </is>
      </c>
      <c r="F3671" t="inlineStr">
        <is>
          <t>배성환</t>
        </is>
      </c>
      <c r="G3671" t="inlineStr">
        <is>
          <t>010-7191-9358</t>
        </is>
      </c>
      <c r="H3671" t="inlineStr">
        <is>
          <t>293구5494</t>
        </is>
      </c>
      <c r="I3671" t="n">
        <v>43600000</v>
      </c>
      <c r="J3671" t="n">
        <v>0.059</v>
      </c>
      <c r="K3671" t="n">
        <v>1.1</v>
      </c>
      <c r="L3671" t="n">
        <v>0.4</v>
      </c>
      <c r="M3671" t="n">
        <v>0.7</v>
      </c>
      <c r="P3671" t="inlineStr">
        <is>
          <t>박소현</t>
        </is>
      </c>
      <c r="Q3671" t="inlineStr">
        <is>
          <t>부대비용 추가진행</t>
        </is>
      </c>
      <c r="AB3671" t="inlineStr">
        <is>
          <t>엔카</t>
        </is>
      </c>
      <c r="AC3671" t="n">
        <v>479600</v>
      </c>
      <c r="AD3671" t="n">
        <v>174400</v>
      </c>
      <c r="AE3671" t="n">
        <v>305200</v>
      </c>
      <c r="AF3671" t="n">
        <v>436000</v>
      </c>
      <c r="AG3671" t="n">
        <v>168644.8</v>
      </c>
      <c r="AH3671" t="n">
        <v>267355.2</v>
      </c>
    </row>
    <row r="3672">
      <c r="A3672" t="inlineStr">
        <is>
          <t>4월</t>
        </is>
      </c>
      <c r="B3672" t="inlineStr">
        <is>
          <t>17주차</t>
        </is>
      </c>
      <c r="C3672" t="inlineStr">
        <is>
          <t>EP</t>
        </is>
      </c>
      <c r="D3672" s="28" t="n">
        <v>46135</v>
      </c>
      <c r="E3672" t="inlineStr">
        <is>
          <t>현대EP</t>
        </is>
      </c>
      <c r="F3672" t="inlineStr">
        <is>
          <t>이호찬</t>
        </is>
      </c>
      <c r="G3672" t="inlineStr">
        <is>
          <t>010-9890-5809</t>
        </is>
      </c>
      <c r="H3672" t="inlineStr">
        <is>
          <t>167머8607</t>
        </is>
      </c>
      <c r="I3672" t="n">
        <v>27500000</v>
      </c>
      <c r="J3672" t="n">
        <v>0.07199999999999999</v>
      </c>
      <c r="K3672" t="n">
        <v>1.76</v>
      </c>
      <c r="L3672" t="n">
        <v>0.2</v>
      </c>
      <c r="M3672" t="n">
        <v>1.56</v>
      </c>
      <c r="P3672" t="inlineStr">
        <is>
          <t>정세빈</t>
        </is>
      </c>
      <c r="AB3672" t="inlineStr">
        <is>
          <t>홈서비스</t>
        </is>
      </c>
      <c r="AC3672" t="n">
        <v>484000</v>
      </c>
      <c r="AD3672" t="n">
        <v>55000</v>
      </c>
      <c r="AE3672" t="n">
        <v>429000</v>
      </c>
      <c r="AF3672" t="n">
        <v>440000</v>
      </c>
      <c r="AG3672" t="n">
        <v>53185</v>
      </c>
      <c r="AH3672" t="n">
        <v>386815</v>
      </c>
      <c r="AI3672" t="n">
        <v>0</v>
      </c>
    </row>
    <row r="3673">
      <c r="A3673" t="inlineStr">
        <is>
          <t>4월</t>
        </is>
      </c>
      <c r="B3673" t="inlineStr">
        <is>
          <t>17주차</t>
        </is>
      </c>
      <c r="C3673" t="inlineStr">
        <is>
          <t>EP</t>
        </is>
      </c>
      <c r="D3673" s="28" t="n">
        <v>46134</v>
      </c>
      <c r="E3673" t="inlineStr">
        <is>
          <t>현대EP</t>
        </is>
      </c>
      <c r="F3673" t="inlineStr">
        <is>
          <t>최규선</t>
        </is>
      </c>
      <c r="G3673" t="inlineStr">
        <is>
          <t>010-6733-9322</t>
        </is>
      </c>
      <c r="H3673" t="inlineStr">
        <is>
          <t>351로9161</t>
        </is>
      </c>
      <c r="I3673" t="n">
        <v>24600000</v>
      </c>
      <c r="J3673" t="n">
        <v>0.118</v>
      </c>
      <c r="K3673" t="n">
        <v>1.76</v>
      </c>
      <c r="L3673" t="n">
        <v>0.2</v>
      </c>
      <c r="M3673" t="n">
        <v>1.56</v>
      </c>
      <c r="P3673" t="inlineStr">
        <is>
          <t>최혁</t>
        </is>
      </c>
      <c r="Q3673" t="inlineStr">
        <is>
          <t>홈서비스 60개월</t>
        </is>
      </c>
      <c r="AB3673" t="inlineStr">
        <is>
          <t>홈서비스</t>
        </is>
      </c>
      <c r="AC3673" t="n">
        <v>432960</v>
      </c>
      <c r="AD3673" t="n">
        <v>49200</v>
      </c>
      <c r="AE3673" t="n">
        <v>383760</v>
      </c>
      <c r="AF3673" t="n">
        <v>393600</v>
      </c>
      <c r="AG3673" t="n">
        <v>47576.4</v>
      </c>
      <c r="AH3673" t="n">
        <v>346023.6</v>
      </c>
    </row>
    <row r="3674">
      <c r="A3674" t="inlineStr">
        <is>
          <t>4월</t>
        </is>
      </c>
      <c r="B3674" t="inlineStr">
        <is>
          <t>17주차</t>
        </is>
      </c>
      <c r="C3674" t="inlineStr">
        <is>
          <t>EP</t>
        </is>
      </c>
      <c r="D3674" s="28" t="n">
        <v>46135</v>
      </c>
      <c r="E3674" t="inlineStr">
        <is>
          <t>현대EP_fast</t>
        </is>
      </c>
      <c r="F3674" t="inlineStr">
        <is>
          <t>이준혁</t>
        </is>
      </c>
      <c r="G3674" t="inlineStr">
        <is>
          <t>010-2100-7999</t>
        </is>
      </c>
      <c r="H3674" t="inlineStr">
        <is>
          <t>196버7916</t>
        </is>
      </c>
      <c r="I3674" t="n">
        <v>41800000</v>
      </c>
      <c r="J3674" t="n">
        <v>0.102</v>
      </c>
      <c r="K3674" t="n">
        <v>1.76</v>
      </c>
      <c r="L3674" t="n">
        <v>0.4</v>
      </c>
      <c r="M3674" t="n">
        <v>1.36</v>
      </c>
      <c r="P3674" t="inlineStr">
        <is>
          <t>최혁</t>
        </is>
      </c>
      <c r="AB3674" t="inlineStr">
        <is>
          <t>엔카</t>
        </is>
      </c>
      <c r="AC3674" t="n">
        <v>735680</v>
      </c>
      <c r="AD3674" t="n">
        <v>167200</v>
      </c>
      <c r="AE3674" t="n">
        <v>568480</v>
      </c>
      <c r="AF3674" t="n">
        <v>668800</v>
      </c>
      <c r="AG3674" t="n">
        <v>161682.4</v>
      </c>
      <c r="AH3674" t="n">
        <v>507117.6</v>
      </c>
    </row>
    <row r="3675">
      <c r="A3675" t="inlineStr">
        <is>
          <t>4월</t>
        </is>
      </c>
      <c r="B3675" t="inlineStr">
        <is>
          <t>17주차</t>
        </is>
      </c>
      <c r="C3675" t="inlineStr">
        <is>
          <t>EP</t>
        </is>
      </c>
      <c r="D3675" s="28" t="n">
        <v>46135</v>
      </c>
      <c r="E3675" t="inlineStr">
        <is>
          <t>제이비EP</t>
        </is>
      </c>
      <c r="F3675" t="inlineStr">
        <is>
          <t>김도한</t>
        </is>
      </c>
      <c r="G3675" t="inlineStr">
        <is>
          <t>010-5147-8987</t>
        </is>
      </c>
      <c r="H3675" t="inlineStr">
        <is>
          <t>345서4176</t>
        </is>
      </c>
      <c r="I3675" t="n">
        <v>17400000</v>
      </c>
      <c r="J3675" t="n">
        <v>0.08500000000000001</v>
      </c>
      <c r="K3675" t="n">
        <v>1.65</v>
      </c>
      <c r="L3675" t="n">
        <v>0.4</v>
      </c>
      <c r="M3675" t="n">
        <v>1.25</v>
      </c>
      <c r="P3675" t="inlineStr">
        <is>
          <t>박소현</t>
        </is>
      </c>
      <c r="AB3675" t="inlineStr">
        <is>
          <t>엔카</t>
        </is>
      </c>
      <c r="AC3675" t="n">
        <v>287100</v>
      </c>
      <c r="AD3675" t="n">
        <v>69600</v>
      </c>
      <c r="AE3675" t="n">
        <v>217500</v>
      </c>
      <c r="AF3675" t="n">
        <v>261000</v>
      </c>
      <c r="AG3675" t="n">
        <v>67303.2</v>
      </c>
      <c r="AH3675" t="n">
        <v>193696.8</v>
      </c>
      <c r="AI3675" t="n">
        <v>0</v>
      </c>
    </row>
    <row r="3676">
      <c r="A3676" t="inlineStr">
        <is>
          <t>4월</t>
        </is>
      </c>
      <c r="B3676" t="inlineStr">
        <is>
          <t>17주차</t>
        </is>
      </c>
      <c r="C3676" t="inlineStr">
        <is>
          <t>EP</t>
        </is>
      </c>
      <c r="D3676" s="28" t="n">
        <v>46135</v>
      </c>
      <c r="E3676" t="inlineStr">
        <is>
          <t>현대EP_fast</t>
        </is>
      </c>
      <c r="F3676" t="inlineStr">
        <is>
          <t>전동현</t>
        </is>
      </c>
      <c r="G3676" t="inlineStr">
        <is>
          <t>010-4168-8144</t>
        </is>
      </c>
      <c r="H3676" t="inlineStr">
        <is>
          <t>66부7319</t>
        </is>
      </c>
      <c r="I3676" t="n">
        <v>4000000</v>
      </c>
      <c r="J3676" t="n">
        <v>0.134</v>
      </c>
      <c r="K3676" t="n">
        <v>1.76</v>
      </c>
      <c r="L3676" t="n">
        <v>0.2</v>
      </c>
      <c r="M3676" t="n">
        <v>1.56</v>
      </c>
      <c r="P3676" t="inlineStr">
        <is>
          <t>김수연</t>
        </is>
      </c>
      <c r="Q3676" t="inlineStr">
        <is>
          <t>홈서비스 48개월</t>
        </is>
      </c>
      <c r="AB3676" t="inlineStr">
        <is>
          <t>홈서비스</t>
        </is>
      </c>
      <c r="AC3676" t="n">
        <v>70400</v>
      </c>
      <c r="AD3676" t="n">
        <v>8000</v>
      </c>
      <c r="AE3676" t="n">
        <v>62400</v>
      </c>
      <c r="AF3676" t="n">
        <v>64000</v>
      </c>
      <c r="AG3676" t="n">
        <v>7736</v>
      </c>
      <c r="AH3676" t="n">
        <v>56264</v>
      </c>
      <c r="AI3676" t="n">
        <v>0</v>
      </c>
    </row>
    <row r="3677">
      <c r="A3677" t="inlineStr">
        <is>
          <t>4월</t>
        </is>
      </c>
      <c r="B3677" t="inlineStr">
        <is>
          <t>17주차</t>
        </is>
      </c>
      <c r="C3677" t="inlineStr">
        <is>
          <t>IM</t>
        </is>
      </c>
      <c r="D3677" s="28" t="n">
        <v>46135</v>
      </c>
      <c r="E3677" t="inlineStr">
        <is>
          <t>IM캐피탈</t>
        </is>
      </c>
      <c r="F3677" t="inlineStr">
        <is>
          <t>천명기</t>
        </is>
      </c>
      <c r="G3677" t="inlineStr">
        <is>
          <t>010-9264-8197</t>
        </is>
      </c>
      <c r="H3677" t="inlineStr">
        <is>
          <t>174두5378</t>
        </is>
      </c>
      <c r="I3677" t="n">
        <v>92000000</v>
      </c>
      <c r="J3677" t="n">
        <v>0.039</v>
      </c>
      <c r="K3677" t="n">
        <v>1.1</v>
      </c>
      <c r="L3677" t="n">
        <v>0.4</v>
      </c>
      <c r="M3677" t="n">
        <v>0.7</v>
      </c>
      <c r="P3677" t="inlineStr">
        <is>
          <t>장현경</t>
        </is>
      </c>
      <c r="AB3677" t="inlineStr">
        <is>
          <t>엔카</t>
        </is>
      </c>
      <c r="AC3677" t="n">
        <v>1012000</v>
      </c>
      <c r="AD3677" t="n">
        <v>368000</v>
      </c>
      <c r="AE3677" t="n">
        <v>644000</v>
      </c>
      <c r="AF3677" t="n">
        <v>920000</v>
      </c>
      <c r="AG3677" t="n">
        <v>355856</v>
      </c>
      <c r="AH3677" t="n">
        <v>564144</v>
      </c>
      <c r="AI3677" t="n">
        <v>0</v>
      </c>
    </row>
    <row r="3678">
      <c r="A3678" t="inlineStr">
        <is>
          <t>4월</t>
        </is>
      </c>
      <c r="B3678" t="inlineStr">
        <is>
          <t>17주차</t>
        </is>
      </c>
      <c r="C3678" t="inlineStr">
        <is>
          <t>EP</t>
        </is>
      </c>
      <c r="D3678" s="28" t="n">
        <v>46135</v>
      </c>
      <c r="E3678" t="inlineStr">
        <is>
          <t>현대EP</t>
        </is>
      </c>
      <c r="F3678" t="inlineStr">
        <is>
          <t>방대현</t>
        </is>
      </c>
      <c r="G3678" t="inlineStr">
        <is>
          <t>010-2881-3399</t>
        </is>
      </c>
      <c r="H3678" t="inlineStr">
        <is>
          <t>299두6263</t>
        </is>
      </c>
      <c r="I3678" t="n">
        <v>34000000</v>
      </c>
      <c r="J3678" t="n">
        <v>0.075</v>
      </c>
      <c r="K3678" t="n">
        <v>1.76</v>
      </c>
      <c r="L3678" t="n">
        <v>0.2</v>
      </c>
      <c r="M3678" t="n">
        <v>1.56</v>
      </c>
      <c r="P3678" t="inlineStr">
        <is>
          <t>김나윤</t>
        </is>
      </c>
      <c r="AB3678" t="inlineStr">
        <is>
          <t>홈서비스</t>
        </is>
      </c>
      <c r="AC3678" t="n">
        <v>598400</v>
      </c>
      <c r="AD3678" t="n">
        <v>68000</v>
      </c>
      <c r="AE3678" t="n">
        <v>530400</v>
      </c>
      <c r="AF3678" t="n">
        <v>544000</v>
      </c>
      <c r="AG3678" t="n">
        <v>65756</v>
      </c>
      <c r="AH3678" t="n">
        <v>478244</v>
      </c>
    </row>
    <row r="3679">
      <c r="A3679" t="inlineStr">
        <is>
          <t>4월</t>
        </is>
      </c>
      <c r="B3679" t="inlineStr">
        <is>
          <t>17주차</t>
        </is>
      </c>
      <c r="C3679" t="inlineStr">
        <is>
          <t>IM</t>
        </is>
      </c>
      <c r="D3679" s="28" t="n">
        <v>46135</v>
      </c>
      <c r="E3679" t="inlineStr">
        <is>
          <t>IM캐피탈</t>
        </is>
      </c>
      <c r="F3679" t="inlineStr">
        <is>
          <t>장용찬</t>
        </is>
      </c>
      <c r="G3679" t="inlineStr">
        <is>
          <t>010-3536-2593</t>
        </is>
      </c>
      <c r="H3679" t="inlineStr">
        <is>
          <t>122마5911</t>
        </is>
      </c>
      <c r="I3679" t="n">
        <v>19800000</v>
      </c>
      <c r="J3679" t="n">
        <v>0.049</v>
      </c>
      <c r="K3679" t="n">
        <v>1.1</v>
      </c>
      <c r="L3679" t="n">
        <v>0.4</v>
      </c>
      <c r="M3679" t="n">
        <v>0.7</v>
      </c>
      <c r="P3679" t="inlineStr">
        <is>
          <t>구성완</t>
        </is>
      </c>
      <c r="Q3679" t="inlineStr">
        <is>
          <t>공동명의</t>
        </is>
      </c>
      <c r="AB3679" t="inlineStr">
        <is>
          <t>엔카</t>
        </is>
      </c>
      <c r="AC3679" t="n">
        <v>217800</v>
      </c>
      <c r="AD3679" t="n">
        <v>79200</v>
      </c>
      <c r="AE3679" t="n">
        <v>138600</v>
      </c>
      <c r="AF3679" t="n">
        <v>198000</v>
      </c>
      <c r="AG3679" t="n">
        <v>76586.39999999999</v>
      </c>
      <c r="AH3679" t="n">
        <v>121413.6</v>
      </c>
      <c r="AI3679" t="n">
        <v>0</v>
      </c>
    </row>
    <row r="3680">
      <c r="A3680" t="inlineStr">
        <is>
          <t>4월</t>
        </is>
      </c>
      <c r="B3680" t="inlineStr">
        <is>
          <t>17주차</t>
        </is>
      </c>
      <c r="C3680" t="inlineStr">
        <is>
          <t>IM</t>
        </is>
      </c>
      <c r="D3680" s="28" t="n">
        <v>46133</v>
      </c>
      <c r="E3680" t="inlineStr">
        <is>
          <t>IM캐피탈</t>
        </is>
      </c>
      <c r="F3680" t="inlineStr">
        <is>
          <t>김형수</t>
        </is>
      </c>
      <c r="G3680" t="inlineStr">
        <is>
          <t>010-9430-3888</t>
        </is>
      </c>
      <c r="H3680" t="inlineStr">
        <is>
          <t>58보4853</t>
        </is>
      </c>
      <c r="I3680" t="n">
        <v>21200000</v>
      </c>
      <c r="J3680" t="n">
        <v>0.049</v>
      </c>
      <c r="K3680" t="n">
        <v>1.1</v>
      </c>
      <c r="L3680" t="n">
        <v>0.4</v>
      </c>
      <c r="M3680" t="n">
        <v>0.7</v>
      </c>
      <c r="P3680" t="inlineStr">
        <is>
          <t>박보람</t>
        </is>
      </c>
      <c r="AB3680" t="inlineStr">
        <is>
          <t>엔카</t>
        </is>
      </c>
      <c r="AC3680" t="n">
        <v>233200</v>
      </c>
      <c r="AD3680" t="n">
        <v>84800</v>
      </c>
      <c r="AE3680" t="n">
        <v>148400</v>
      </c>
      <c r="AF3680" t="n">
        <v>212000</v>
      </c>
      <c r="AG3680" t="n">
        <v>82001.60000000001</v>
      </c>
      <c r="AH3680" t="n">
        <v>129998.4</v>
      </c>
      <c r="AI3680" t="n">
        <v>0</v>
      </c>
    </row>
    <row r="3681">
      <c r="A3681" t="inlineStr">
        <is>
          <t>4월</t>
        </is>
      </c>
      <c r="B3681" t="inlineStr">
        <is>
          <t>17주차</t>
        </is>
      </c>
      <c r="C3681" t="inlineStr">
        <is>
          <t>EP</t>
        </is>
      </c>
      <c r="D3681" s="28" t="n">
        <v>46135</v>
      </c>
      <c r="E3681" t="inlineStr">
        <is>
          <t>현대EP_fast</t>
        </is>
      </c>
      <c r="F3681" t="inlineStr">
        <is>
          <t>임창덕</t>
        </is>
      </c>
      <c r="G3681" t="inlineStr">
        <is>
          <t>010-5119-7184</t>
        </is>
      </c>
      <c r="H3681" t="inlineStr">
        <is>
          <t>204다7511</t>
        </is>
      </c>
      <c r="I3681" t="n">
        <v>29900000</v>
      </c>
      <c r="J3681" t="n">
        <v>0.092</v>
      </c>
      <c r="K3681" t="n">
        <v>1.76</v>
      </c>
      <c r="L3681" t="n">
        <v>0.4</v>
      </c>
      <c r="M3681" t="n">
        <v>1.36</v>
      </c>
      <c r="P3681" t="inlineStr">
        <is>
          <t>임대경</t>
        </is>
      </c>
      <c r="AB3681" t="inlineStr">
        <is>
          <t>엔카</t>
        </is>
      </c>
      <c r="AC3681" t="n">
        <v>526240</v>
      </c>
      <c r="AD3681" t="n">
        <v>119600</v>
      </c>
      <c r="AE3681" t="n">
        <v>406640</v>
      </c>
      <c r="AF3681" t="n">
        <v>478400</v>
      </c>
      <c r="AG3681" t="n">
        <v>115653.2</v>
      </c>
      <c r="AH3681" t="n">
        <v>362746.8</v>
      </c>
      <c r="AI3681" t="n">
        <v>0</v>
      </c>
    </row>
    <row r="3682">
      <c r="A3682" t="inlineStr">
        <is>
          <t>4월</t>
        </is>
      </c>
      <c r="B3682" t="inlineStr">
        <is>
          <t>17주차</t>
        </is>
      </c>
      <c r="C3682" t="inlineStr">
        <is>
          <t>EP</t>
        </is>
      </c>
      <c r="D3682" s="28" t="n">
        <v>46135</v>
      </c>
      <c r="E3682" t="inlineStr">
        <is>
          <t>제이비EP</t>
        </is>
      </c>
      <c r="F3682" t="inlineStr">
        <is>
          <t>김명훈</t>
        </is>
      </c>
      <c r="G3682" t="inlineStr">
        <is>
          <t>010-6437-8707</t>
        </is>
      </c>
      <c r="H3682" t="inlineStr">
        <is>
          <t>184누5230</t>
        </is>
      </c>
      <c r="I3682" t="n">
        <v>25900000</v>
      </c>
      <c r="J3682" t="n">
        <v>0.08699999999999999</v>
      </c>
      <c r="K3682" t="n">
        <v>1.65</v>
      </c>
      <c r="L3682" t="n">
        <v>0.4</v>
      </c>
      <c r="M3682" t="n">
        <v>1.25</v>
      </c>
      <c r="P3682" t="inlineStr">
        <is>
          <t>장현경</t>
        </is>
      </c>
      <c r="AB3682" t="inlineStr">
        <is>
          <t>엔카</t>
        </is>
      </c>
      <c r="AC3682" t="n">
        <v>427350</v>
      </c>
      <c r="AD3682" t="n">
        <v>103600</v>
      </c>
      <c r="AE3682" t="n">
        <v>323750</v>
      </c>
      <c r="AF3682" t="n">
        <v>388500</v>
      </c>
      <c r="AG3682" t="n">
        <v>100181.2</v>
      </c>
      <c r="AH3682" t="n">
        <v>288318.8</v>
      </c>
      <c r="AI3682" t="n">
        <v>0</v>
      </c>
    </row>
    <row r="3683">
      <c r="A3683" t="inlineStr">
        <is>
          <t>4월</t>
        </is>
      </c>
      <c r="B3683" t="inlineStr">
        <is>
          <t>17주차</t>
        </is>
      </c>
      <c r="C3683" t="inlineStr">
        <is>
          <t>IM</t>
        </is>
      </c>
      <c r="D3683" s="28" t="n">
        <v>46136</v>
      </c>
      <c r="E3683" t="inlineStr">
        <is>
          <t>IM캐피탈</t>
        </is>
      </c>
      <c r="F3683" t="inlineStr">
        <is>
          <t>김명재</t>
        </is>
      </c>
      <c r="G3683" t="inlineStr">
        <is>
          <t>010-9904-0052</t>
        </is>
      </c>
      <c r="H3683" t="inlineStr">
        <is>
          <t>287머5394</t>
        </is>
      </c>
      <c r="I3683" t="n">
        <v>15000000</v>
      </c>
      <c r="J3683" t="n">
        <v>0.039</v>
      </c>
      <c r="K3683" t="n">
        <v>1.1</v>
      </c>
      <c r="L3683" t="n">
        <v>0.4</v>
      </c>
      <c r="M3683" t="n">
        <v>0.7</v>
      </c>
      <c r="P3683" t="inlineStr">
        <is>
          <t>장현경</t>
        </is>
      </c>
      <c r="AB3683" t="inlineStr">
        <is>
          <t>엔카</t>
        </is>
      </c>
      <c r="AC3683" t="n">
        <v>165000</v>
      </c>
      <c r="AD3683" t="n">
        <v>60000</v>
      </c>
      <c r="AE3683" t="n">
        <v>105000</v>
      </c>
      <c r="AF3683" t="n">
        <v>150000</v>
      </c>
      <c r="AG3683" t="n">
        <v>58020</v>
      </c>
      <c r="AH3683" t="n">
        <v>91980</v>
      </c>
      <c r="AI3683" t="n">
        <v>0</v>
      </c>
    </row>
    <row r="3684">
      <c r="A3684" t="inlineStr">
        <is>
          <t>4월</t>
        </is>
      </c>
      <c r="B3684" t="inlineStr">
        <is>
          <t>17주차</t>
        </is>
      </c>
      <c r="C3684" t="inlineStr">
        <is>
          <t>EP</t>
        </is>
      </c>
      <c r="D3684" s="28" t="n">
        <v>46136</v>
      </c>
      <c r="E3684" t="inlineStr">
        <is>
          <t>현대EP_fast</t>
        </is>
      </c>
      <c r="F3684" t="inlineStr">
        <is>
          <t>송영민</t>
        </is>
      </c>
      <c r="G3684" t="inlineStr">
        <is>
          <t>010-2427-1813</t>
        </is>
      </c>
      <c r="H3684" t="inlineStr">
        <is>
          <t>244소1630</t>
        </is>
      </c>
      <c r="I3684" t="n">
        <v>16000000</v>
      </c>
      <c r="J3684" t="n">
        <v>0.092</v>
      </c>
      <c r="K3684" t="n">
        <v>1.76</v>
      </c>
      <c r="L3684" t="n">
        <v>0.2</v>
      </c>
      <c r="M3684" t="n">
        <v>1.56</v>
      </c>
      <c r="P3684" t="inlineStr">
        <is>
          <t>김수연</t>
        </is>
      </c>
      <c r="Q3684" t="inlineStr">
        <is>
          <t>홈서비스 36개월</t>
        </is>
      </c>
      <c r="AB3684" t="inlineStr">
        <is>
          <t>홈서비스</t>
        </is>
      </c>
      <c r="AC3684" t="n">
        <v>281600</v>
      </c>
      <c r="AD3684" t="n">
        <v>32000</v>
      </c>
      <c r="AE3684" t="n">
        <v>249600</v>
      </c>
      <c r="AF3684" t="n">
        <v>256000</v>
      </c>
      <c r="AG3684" t="n">
        <v>30944</v>
      </c>
      <c r="AH3684" t="n">
        <v>225056</v>
      </c>
      <c r="AI3684" t="n">
        <v>0</v>
      </c>
    </row>
    <row r="3685">
      <c r="A3685" t="inlineStr">
        <is>
          <t>4월</t>
        </is>
      </c>
      <c r="B3685" t="inlineStr">
        <is>
          <t>17주차</t>
        </is>
      </c>
      <c r="C3685" t="inlineStr">
        <is>
          <t>EP</t>
        </is>
      </c>
      <c r="D3685" s="28" t="n">
        <v>46135</v>
      </c>
      <c r="E3685" t="inlineStr">
        <is>
          <t>BNKEP</t>
        </is>
      </c>
      <c r="F3685" t="inlineStr">
        <is>
          <t>오은아</t>
        </is>
      </c>
      <c r="G3685" t="inlineStr">
        <is>
          <t>010-3937-4537</t>
        </is>
      </c>
      <c r="H3685" t="inlineStr">
        <is>
          <t>28구2739</t>
        </is>
      </c>
      <c r="I3685" t="n">
        <v>6700000</v>
      </c>
      <c r="J3685" t="n">
        <v>0.077</v>
      </c>
      <c r="K3685" t="n">
        <v>1.65</v>
      </c>
      <c r="L3685" t="n">
        <v>0.07000000000000001</v>
      </c>
      <c r="M3685" t="n">
        <v>1.58</v>
      </c>
      <c r="P3685" t="inlineStr">
        <is>
          <t>장진경</t>
        </is>
      </c>
      <c r="Q3685" t="inlineStr">
        <is>
          <t>선상담 / 홈서비스 60개월</t>
        </is>
      </c>
      <c r="AB3685" t="inlineStr">
        <is>
          <t>홈서비스</t>
        </is>
      </c>
      <c r="AC3685" t="n">
        <v>110550</v>
      </c>
      <c r="AD3685" t="n">
        <v>4690</v>
      </c>
      <c r="AE3685" t="n">
        <v>105860</v>
      </c>
      <c r="AF3685" t="n">
        <v>100500</v>
      </c>
      <c r="AG3685" t="n">
        <v>4535.23</v>
      </c>
      <c r="AH3685" t="n">
        <v>95964.77</v>
      </c>
      <c r="AI3685" t="n">
        <v>0</v>
      </c>
    </row>
    <row r="3686">
      <c r="A3686" t="inlineStr">
        <is>
          <t>4월</t>
        </is>
      </c>
      <c r="B3686" t="inlineStr">
        <is>
          <t>17주차</t>
        </is>
      </c>
      <c r="C3686" t="inlineStr">
        <is>
          <t>EP</t>
        </is>
      </c>
      <c r="D3686" s="28" t="n">
        <v>46136</v>
      </c>
      <c r="E3686" t="inlineStr">
        <is>
          <t>현대EP_fast</t>
        </is>
      </c>
      <c r="F3686" t="inlineStr">
        <is>
          <t>김승리</t>
        </is>
      </c>
      <c r="G3686" t="inlineStr">
        <is>
          <t>010-6230-8293</t>
        </is>
      </c>
      <c r="H3686" t="inlineStr">
        <is>
          <t>26머1567</t>
        </is>
      </c>
      <c r="I3686" t="n">
        <v>3400000</v>
      </c>
      <c r="J3686" t="n">
        <v>0.08500000000000001</v>
      </c>
      <c r="K3686" t="n">
        <v>1.76</v>
      </c>
      <c r="L3686" t="n">
        <v>0.2</v>
      </c>
      <c r="M3686" t="n">
        <v>1.56</v>
      </c>
      <c r="P3686" t="inlineStr">
        <is>
          <t>최형주</t>
        </is>
      </c>
      <c r="Q3686" t="inlineStr">
        <is>
          <t>홈서비스 60개월</t>
        </is>
      </c>
      <c r="AB3686" t="inlineStr">
        <is>
          <t>홈서비스</t>
        </is>
      </c>
      <c r="AC3686" t="n">
        <v>59840</v>
      </c>
      <c r="AD3686" t="n">
        <v>6800</v>
      </c>
      <c r="AE3686" t="n">
        <v>53040</v>
      </c>
      <c r="AF3686" t="n">
        <v>54400</v>
      </c>
      <c r="AG3686" t="n">
        <v>6575.6</v>
      </c>
      <c r="AH3686" t="n">
        <v>47824.4</v>
      </c>
    </row>
    <row r="3687">
      <c r="A3687" t="inlineStr">
        <is>
          <t>4월</t>
        </is>
      </c>
      <c r="B3687" t="inlineStr">
        <is>
          <t>17주차</t>
        </is>
      </c>
      <c r="C3687" t="inlineStr">
        <is>
          <t>EP</t>
        </is>
      </c>
      <c r="D3687" s="28" t="n">
        <v>46136</v>
      </c>
      <c r="E3687" t="inlineStr">
        <is>
          <t>현대EP_fast</t>
        </is>
      </c>
      <c r="F3687" t="inlineStr">
        <is>
          <t>최영훈</t>
        </is>
      </c>
      <c r="G3687" t="inlineStr">
        <is>
          <t>010-6378-5590</t>
        </is>
      </c>
      <c r="H3687" t="inlineStr">
        <is>
          <t>34루4368</t>
        </is>
      </c>
      <c r="I3687" t="n">
        <v>9100000</v>
      </c>
      <c r="J3687" t="n">
        <v>0.092</v>
      </c>
      <c r="K3687" t="n">
        <v>1.76</v>
      </c>
      <c r="L3687" t="n">
        <v>0.2</v>
      </c>
      <c r="M3687" t="n">
        <v>1.56</v>
      </c>
      <c r="P3687" t="inlineStr">
        <is>
          <t>최형주</t>
        </is>
      </c>
      <c r="Q3687" t="inlineStr">
        <is>
          <t>홈서비스 36개월</t>
        </is>
      </c>
      <c r="AB3687" t="inlineStr">
        <is>
          <t>홈서비스</t>
        </is>
      </c>
      <c r="AC3687" t="n">
        <v>160160</v>
      </c>
      <c r="AD3687" t="n">
        <v>18200</v>
      </c>
      <c r="AE3687" t="n">
        <v>141960</v>
      </c>
      <c r="AF3687" t="n">
        <v>145600</v>
      </c>
      <c r="AG3687" t="n">
        <v>17599.4</v>
      </c>
      <c r="AH3687" t="n">
        <v>128000.6</v>
      </c>
      <c r="AI3687" t="n">
        <v>0</v>
      </c>
    </row>
    <row r="3688">
      <c r="A3688" t="inlineStr">
        <is>
          <t>4월</t>
        </is>
      </c>
      <c r="B3688" t="inlineStr">
        <is>
          <t>17주차</t>
        </is>
      </c>
      <c r="C3688" t="inlineStr">
        <is>
          <t>IM</t>
        </is>
      </c>
      <c r="D3688" s="28" t="n">
        <v>46136</v>
      </c>
      <c r="E3688" t="inlineStr">
        <is>
          <t>IM캐피탈</t>
        </is>
      </c>
      <c r="F3688" t="inlineStr">
        <is>
          <t>김동현</t>
        </is>
      </c>
      <c r="G3688" t="inlineStr">
        <is>
          <t>010-4154-5270</t>
        </is>
      </c>
      <c r="H3688" t="inlineStr">
        <is>
          <t>43러2611</t>
        </is>
      </c>
      <c r="I3688" t="n">
        <v>12800000</v>
      </c>
      <c r="J3688" t="n">
        <v>0.056</v>
      </c>
      <c r="K3688" t="n">
        <v>1.1</v>
      </c>
      <c r="L3688" t="n">
        <v>0.4</v>
      </c>
      <c r="M3688" t="n">
        <v>0.7</v>
      </c>
      <c r="P3688" t="inlineStr">
        <is>
          <t>구성완</t>
        </is>
      </c>
      <c r="AB3688" t="inlineStr">
        <is>
          <t>엔카</t>
        </is>
      </c>
      <c r="AC3688" t="n">
        <v>140800</v>
      </c>
      <c r="AD3688" t="n">
        <v>51200</v>
      </c>
      <c r="AE3688" t="n">
        <v>89600</v>
      </c>
      <c r="AF3688" t="n">
        <v>128000</v>
      </c>
      <c r="AG3688" t="n">
        <v>49510.4</v>
      </c>
      <c r="AH3688" t="n">
        <v>78489.60000000001</v>
      </c>
      <c r="AI3688" t="n">
        <v>0</v>
      </c>
    </row>
    <row r="3689">
      <c r="A3689" t="inlineStr">
        <is>
          <t>4월</t>
        </is>
      </c>
      <c r="B3689" t="inlineStr">
        <is>
          <t>17주차</t>
        </is>
      </c>
      <c r="C3689" t="inlineStr">
        <is>
          <t>IM</t>
        </is>
      </c>
      <c r="D3689" s="28" t="n">
        <v>46136</v>
      </c>
      <c r="E3689" t="inlineStr">
        <is>
          <t>IM캐피탈</t>
        </is>
      </c>
      <c r="F3689" t="inlineStr">
        <is>
          <t>이주영</t>
        </is>
      </c>
      <c r="G3689" t="inlineStr">
        <is>
          <t>010-7657-1254</t>
        </is>
      </c>
      <c r="H3689" t="inlineStr">
        <is>
          <t>124버3018</t>
        </is>
      </c>
      <c r="I3689" t="n">
        <v>43300000</v>
      </c>
      <c r="J3689" t="n">
        <v>0.066</v>
      </c>
      <c r="K3689" t="n">
        <v>1.1</v>
      </c>
      <c r="L3689" t="n">
        <v>0.07000000000000001</v>
      </c>
      <c r="M3689" t="n">
        <v>1.03</v>
      </c>
      <c r="P3689" t="inlineStr">
        <is>
          <t>박소현</t>
        </is>
      </c>
      <c r="Q3689" t="inlineStr">
        <is>
          <t>선상담 / 홈서비스 60개월</t>
        </is>
      </c>
      <c r="AB3689" t="inlineStr">
        <is>
          <t>홈서비스</t>
        </is>
      </c>
      <c r="AC3689" t="n">
        <v>476300</v>
      </c>
      <c r="AD3689" t="n">
        <v>30310</v>
      </c>
      <c r="AE3689" t="n">
        <v>445990</v>
      </c>
      <c r="AF3689" t="n">
        <v>433000</v>
      </c>
      <c r="AG3689" t="n">
        <v>29309.77</v>
      </c>
      <c r="AH3689" t="n">
        <v>403690.23</v>
      </c>
    </row>
    <row r="3690">
      <c r="A3690" t="inlineStr">
        <is>
          <t>4월</t>
        </is>
      </c>
      <c r="B3690" t="inlineStr">
        <is>
          <t>16주차</t>
        </is>
      </c>
      <c r="C3690" t="inlineStr">
        <is>
          <t>OR</t>
        </is>
      </c>
      <c r="D3690" s="28" t="n">
        <v>46129</v>
      </c>
      <c r="E3690" t="inlineStr">
        <is>
          <t>오릭스</t>
        </is>
      </c>
      <c r="F3690" t="inlineStr">
        <is>
          <t>김태환</t>
        </is>
      </c>
      <c r="G3690" t="inlineStr">
        <is>
          <t>010-6865-1598</t>
        </is>
      </c>
      <c r="H3690" t="inlineStr">
        <is>
          <t>212주9318</t>
        </is>
      </c>
      <c r="I3690" t="n">
        <v>-34000000</v>
      </c>
      <c r="J3690" t="n">
        <v>0.066</v>
      </c>
      <c r="K3690" t="n">
        <v>1.65</v>
      </c>
      <c r="L3690" t="n">
        <v>0.3</v>
      </c>
      <c r="M3690" t="n">
        <v>1.35</v>
      </c>
      <c r="P3690" t="inlineStr">
        <is>
          <t>박소현</t>
        </is>
      </c>
      <c r="Q3690" t="inlineStr">
        <is>
          <t>오토 론 진행</t>
        </is>
      </c>
      <c r="AB3690" t="inlineStr">
        <is>
          <t>엔카</t>
        </is>
      </c>
      <c r="AC3690" t="n">
        <v>-561000</v>
      </c>
      <c r="AD3690" t="n">
        <v>-102000</v>
      </c>
      <c r="AE3690" t="n">
        <v>-459000</v>
      </c>
      <c r="AF3690" t="n">
        <v>-510000</v>
      </c>
      <c r="AG3690" t="n">
        <v>-98634</v>
      </c>
      <c r="AH3690" t="n">
        <v>-411366</v>
      </c>
    </row>
    <row r="3691">
      <c r="A3691" t="inlineStr">
        <is>
          <t>4월</t>
        </is>
      </c>
      <c r="B3691" t="inlineStr">
        <is>
          <t>17주차</t>
        </is>
      </c>
      <c r="C3691" t="inlineStr">
        <is>
          <t>OR</t>
        </is>
      </c>
      <c r="D3691" s="28" t="n">
        <v>46136</v>
      </c>
      <c r="E3691" t="inlineStr">
        <is>
          <t>오릭스</t>
        </is>
      </c>
      <c r="F3691" t="inlineStr">
        <is>
          <t>박문철</t>
        </is>
      </c>
      <c r="G3691" t="inlineStr">
        <is>
          <t>010-2227-3538</t>
        </is>
      </c>
      <c r="H3691" t="inlineStr">
        <is>
          <t>135조2001</t>
        </is>
      </c>
      <c r="I3691" t="n">
        <v>10000000</v>
      </c>
      <c r="J3691" t="n">
        <v>0.058</v>
      </c>
      <c r="K3691" t="n">
        <v>1.65</v>
      </c>
      <c r="L3691" t="n">
        <v>0.07000000000000001</v>
      </c>
      <c r="M3691" t="n">
        <v>1.58</v>
      </c>
      <c r="P3691" t="inlineStr">
        <is>
          <t>김나윤</t>
        </is>
      </c>
      <c r="Q3691" t="inlineStr">
        <is>
          <t>홈서비스 60개월 / 공동명의</t>
        </is>
      </c>
      <c r="AB3691" t="inlineStr">
        <is>
          <t>홈서비스</t>
        </is>
      </c>
      <c r="AC3691" t="n">
        <v>165000</v>
      </c>
      <c r="AD3691" t="n">
        <v>7000</v>
      </c>
      <c r="AE3691" t="n">
        <v>158000</v>
      </c>
      <c r="AF3691" t="n">
        <v>150000</v>
      </c>
      <c r="AG3691" t="n">
        <v>6769</v>
      </c>
      <c r="AH3691" t="n">
        <v>143231</v>
      </c>
      <c r="AI3691" t="n">
        <v>0</v>
      </c>
    </row>
    <row r="3692">
      <c r="A3692" t="inlineStr">
        <is>
          <t>4월</t>
        </is>
      </c>
      <c r="B3692" t="inlineStr">
        <is>
          <t>17주차</t>
        </is>
      </c>
      <c r="C3692" t="inlineStr">
        <is>
          <t>IM</t>
        </is>
      </c>
      <c r="D3692" s="28" t="n">
        <v>46136</v>
      </c>
      <c r="E3692" t="inlineStr">
        <is>
          <t>IM캐피탈</t>
        </is>
      </c>
      <c r="F3692" t="inlineStr">
        <is>
          <t>김현삼</t>
        </is>
      </c>
      <c r="G3692" t="inlineStr">
        <is>
          <t>010-6899-2621</t>
        </is>
      </c>
      <c r="H3692" t="inlineStr">
        <is>
          <t>106모3937</t>
        </is>
      </c>
      <c r="I3692" t="n">
        <v>16900000</v>
      </c>
      <c r="J3692" t="n">
        <v>0.059</v>
      </c>
      <c r="K3692" t="n">
        <v>1.1</v>
      </c>
      <c r="L3692" t="n">
        <v>0.07000000000000001</v>
      </c>
      <c r="M3692" t="n">
        <v>1.03</v>
      </c>
      <c r="P3692" t="inlineStr">
        <is>
          <t>장현경</t>
        </is>
      </c>
      <c r="Q3692" t="inlineStr">
        <is>
          <t>선상담 / 홈서비스 60개월</t>
        </is>
      </c>
      <c r="AB3692" t="inlineStr">
        <is>
          <t>홈서비스</t>
        </is>
      </c>
      <c r="AC3692" t="n">
        <v>185900</v>
      </c>
      <c r="AD3692" t="n">
        <v>11830</v>
      </c>
      <c r="AE3692" t="n">
        <v>174070</v>
      </c>
      <c r="AF3692" t="n">
        <v>169000</v>
      </c>
      <c r="AG3692" t="n">
        <v>11439.61</v>
      </c>
      <c r="AH3692" t="n">
        <v>157560.39</v>
      </c>
      <c r="AI3692" t="n">
        <v>0</v>
      </c>
    </row>
    <row r="3693">
      <c r="A3693" t="inlineStr">
        <is>
          <t>4월</t>
        </is>
      </c>
      <c r="B3693" t="inlineStr">
        <is>
          <t>17주차</t>
        </is>
      </c>
      <c r="C3693" t="inlineStr">
        <is>
          <t>EP</t>
        </is>
      </c>
      <c r="D3693" s="28" t="n">
        <v>46136</v>
      </c>
      <c r="E3693" t="inlineStr">
        <is>
          <t>제이비EP</t>
        </is>
      </c>
      <c r="F3693" t="inlineStr">
        <is>
          <t>이승용</t>
        </is>
      </c>
      <c r="G3693" t="inlineStr">
        <is>
          <t>010-6609-6626</t>
        </is>
      </c>
      <c r="H3693" t="inlineStr">
        <is>
          <t>257거3846</t>
        </is>
      </c>
      <c r="I3693" t="n">
        <v>55000000</v>
      </c>
      <c r="J3693" t="n">
        <v>0.068</v>
      </c>
      <c r="K3693" t="n">
        <v>1.65</v>
      </c>
      <c r="L3693" t="n">
        <v>0.4</v>
      </c>
      <c r="M3693" t="n">
        <v>1.25</v>
      </c>
      <c r="P3693" t="inlineStr">
        <is>
          <t>구성완</t>
        </is>
      </c>
      <c r="AB3693" t="inlineStr">
        <is>
          <t>엔카</t>
        </is>
      </c>
      <c r="AC3693" t="n">
        <v>907500</v>
      </c>
      <c r="AD3693" t="n">
        <v>220000</v>
      </c>
      <c r="AE3693" t="n">
        <v>687500</v>
      </c>
      <c r="AF3693" t="n">
        <v>825000</v>
      </c>
      <c r="AG3693" t="n">
        <v>212740</v>
      </c>
      <c r="AH3693" t="n">
        <v>612260</v>
      </c>
      <c r="AI3693" t="n">
        <v>0</v>
      </c>
    </row>
    <row r="3694">
      <c r="A3694" t="inlineStr">
        <is>
          <t>4월</t>
        </is>
      </c>
      <c r="B3694" t="inlineStr">
        <is>
          <t>17주차</t>
        </is>
      </c>
      <c r="C3694" t="inlineStr">
        <is>
          <t>IM</t>
        </is>
      </c>
      <c r="D3694" s="28" t="n">
        <v>46136</v>
      </c>
      <c r="E3694" t="inlineStr">
        <is>
          <t>IM캐피탈</t>
        </is>
      </c>
      <c r="F3694" t="inlineStr">
        <is>
          <t>이대석</t>
        </is>
      </c>
      <c r="G3694" t="inlineStr">
        <is>
          <t>010-5523-5722</t>
        </is>
      </c>
      <c r="H3694" t="inlineStr">
        <is>
          <t>39너8152</t>
        </is>
      </c>
      <c r="I3694" t="n">
        <v>11000000</v>
      </c>
      <c r="J3694" t="n">
        <v>0.049</v>
      </c>
      <c r="K3694" t="n">
        <v>1.1</v>
      </c>
      <c r="L3694" t="n">
        <v>0.07000000000000001</v>
      </c>
      <c r="M3694" t="n">
        <v>1.03</v>
      </c>
      <c r="P3694" t="inlineStr">
        <is>
          <t>정세빈</t>
        </is>
      </c>
      <c r="Q3694" t="inlineStr">
        <is>
          <t>홈서비스 60개월</t>
        </is>
      </c>
      <c r="AB3694" t="inlineStr">
        <is>
          <t>홈서비스</t>
        </is>
      </c>
      <c r="AC3694" t="n">
        <v>121000</v>
      </c>
      <c r="AD3694" t="n">
        <v>7700</v>
      </c>
      <c r="AE3694" t="n">
        <v>113300</v>
      </c>
      <c r="AF3694" t="n">
        <v>110000</v>
      </c>
      <c r="AG3694" t="n">
        <v>7445.9</v>
      </c>
      <c r="AH3694" t="n">
        <v>102554.1</v>
      </c>
      <c r="AI3694" t="n">
        <v>0</v>
      </c>
    </row>
    <row r="3695">
      <c r="A3695" t="inlineStr">
        <is>
          <t>4월</t>
        </is>
      </c>
      <c r="B3695" t="inlineStr">
        <is>
          <t>17주차</t>
        </is>
      </c>
      <c r="C3695" t="inlineStr">
        <is>
          <t>IM</t>
        </is>
      </c>
      <c r="D3695" s="28" t="n">
        <v>46136</v>
      </c>
      <c r="E3695" t="inlineStr">
        <is>
          <t>IM캐피탈</t>
        </is>
      </c>
      <c r="F3695" t="inlineStr">
        <is>
          <t>박송만</t>
        </is>
      </c>
      <c r="G3695" t="inlineStr">
        <is>
          <t>010-9422-5825</t>
        </is>
      </c>
      <c r="H3695" t="inlineStr">
        <is>
          <t>08거1809</t>
        </is>
      </c>
      <c r="I3695" t="n">
        <v>22600000</v>
      </c>
      <c r="J3695" t="n">
        <v>0.049</v>
      </c>
      <c r="K3695" t="n">
        <v>1.1</v>
      </c>
      <c r="L3695" t="n">
        <v>0.4</v>
      </c>
      <c r="M3695" t="n">
        <v>0.7</v>
      </c>
      <c r="P3695" t="inlineStr">
        <is>
          <t>구성완</t>
        </is>
      </c>
      <c r="Q3695" t="inlineStr">
        <is>
          <t>부대비용 추가진행</t>
        </is>
      </c>
      <c r="AB3695" t="inlineStr">
        <is>
          <t>엔카</t>
        </is>
      </c>
      <c r="AC3695" t="n">
        <v>248600</v>
      </c>
      <c r="AD3695" t="n">
        <v>90400</v>
      </c>
      <c r="AE3695" t="n">
        <v>158200</v>
      </c>
      <c r="AF3695" t="n">
        <v>226000</v>
      </c>
      <c r="AG3695" t="n">
        <v>87416.8</v>
      </c>
      <c r="AH3695" t="n">
        <v>138583.2</v>
      </c>
      <c r="AI3695" t="n">
        <v>0</v>
      </c>
    </row>
    <row r="3696">
      <c r="A3696" t="inlineStr">
        <is>
          <t>4월</t>
        </is>
      </c>
      <c r="B3696" t="inlineStr">
        <is>
          <t>17주차</t>
        </is>
      </c>
      <c r="C3696" t="inlineStr">
        <is>
          <t>IM</t>
        </is>
      </c>
      <c r="D3696" s="28" t="n">
        <v>46136</v>
      </c>
      <c r="E3696" t="inlineStr">
        <is>
          <t>IM캐피탈</t>
        </is>
      </c>
      <c r="F3696" t="inlineStr">
        <is>
          <t>안영훈</t>
        </is>
      </c>
      <c r="G3696" t="inlineStr">
        <is>
          <t>010-3606-8638</t>
        </is>
      </c>
      <c r="H3696" t="inlineStr">
        <is>
          <t>217다3424</t>
        </is>
      </c>
      <c r="I3696" t="n">
        <v>38900000</v>
      </c>
      <c r="J3696" t="n">
        <v>0.075</v>
      </c>
      <c r="K3696" t="n">
        <v>1.1</v>
      </c>
      <c r="L3696" t="n">
        <v>0.07000000000000001</v>
      </c>
      <c r="M3696" t="n">
        <v>1.03</v>
      </c>
      <c r="P3696" t="inlineStr">
        <is>
          <t>김나윤</t>
        </is>
      </c>
      <c r="Q3696" t="inlineStr">
        <is>
          <t>홈서비스 72개월</t>
        </is>
      </c>
      <c r="AB3696" t="inlineStr">
        <is>
          <t>홈서비스</t>
        </is>
      </c>
      <c r="AC3696" t="n">
        <v>427900</v>
      </c>
      <c r="AD3696" t="n">
        <v>27230</v>
      </c>
      <c r="AE3696" t="n">
        <v>400670</v>
      </c>
      <c r="AF3696" t="n">
        <v>389000</v>
      </c>
      <c r="AG3696" t="n">
        <v>26331.41</v>
      </c>
      <c r="AH3696" t="n">
        <v>362668.59</v>
      </c>
      <c r="AI3696" t="n">
        <v>0</v>
      </c>
    </row>
    <row r="3697">
      <c r="A3697" t="inlineStr">
        <is>
          <t>4월</t>
        </is>
      </c>
      <c r="B3697" t="inlineStr">
        <is>
          <t>17주차</t>
        </is>
      </c>
      <c r="C3697" t="inlineStr">
        <is>
          <t>EP</t>
        </is>
      </c>
      <c r="D3697" s="28" t="n">
        <v>46134</v>
      </c>
      <c r="E3697" t="inlineStr">
        <is>
          <t>현대EP_fast</t>
        </is>
      </c>
      <c r="F3697" t="inlineStr">
        <is>
          <t>최완미</t>
        </is>
      </c>
      <c r="G3697" t="inlineStr">
        <is>
          <t>010-3704-5432</t>
        </is>
      </c>
      <c r="H3697" t="inlineStr">
        <is>
          <t>57고0931</t>
        </is>
      </c>
      <c r="I3697" t="n">
        <v>10800000</v>
      </c>
      <c r="J3697" t="n">
        <v>0.08500000000000001</v>
      </c>
      <c r="K3697" t="n">
        <v>1.76</v>
      </c>
      <c r="L3697" t="n">
        <v>0.4</v>
      </c>
      <c r="M3697" t="n">
        <v>1.36</v>
      </c>
      <c r="P3697" t="inlineStr">
        <is>
          <t>박현민</t>
        </is>
      </c>
      <c r="AB3697" t="inlineStr">
        <is>
          <t>엔카</t>
        </is>
      </c>
      <c r="AC3697" t="n">
        <v>190080</v>
      </c>
      <c r="AD3697" t="n">
        <v>43200</v>
      </c>
      <c r="AE3697" t="n">
        <v>146880</v>
      </c>
      <c r="AF3697" t="n">
        <v>172800</v>
      </c>
      <c r="AG3697" t="n">
        <v>41774.4</v>
      </c>
      <c r="AH3697" t="n">
        <v>131025.6</v>
      </c>
      <c r="AI3697" t="n">
        <v>0</v>
      </c>
    </row>
    <row r="3698">
      <c r="A3698" t="inlineStr">
        <is>
          <t>4월</t>
        </is>
      </c>
      <c r="B3698" t="inlineStr">
        <is>
          <t>17주차</t>
        </is>
      </c>
      <c r="C3698" t="inlineStr">
        <is>
          <t>IM</t>
        </is>
      </c>
      <c r="D3698" s="28" t="n">
        <v>46135</v>
      </c>
      <c r="E3698" t="inlineStr">
        <is>
          <t>IM캐피탈</t>
        </is>
      </c>
      <c r="F3698" t="inlineStr">
        <is>
          <t>박은진</t>
        </is>
      </c>
      <c r="G3698" t="inlineStr">
        <is>
          <t>010-3029-0040</t>
        </is>
      </c>
      <c r="H3698" t="inlineStr">
        <is>
          <t>380구1325</t>
        </is>
      </c>
      <c r="I3698" t="n">
        <v>23500000</v>
      </c>
      <c r="J3698" t="n">
        <v>0.039</v>
      </c>
      <c r="K3698" t="n">
        <v>1.1</v>
      </c>
      <c r="L3698" t="n">
        <v>0.4</v>
      </c>
      <c r="M3698" t="n">
        <v>0.7</v>
      </c>
      <c r="P3698" t="inlineStr">
        <is>
          <t>장진경</t>
        </is>
      </c>
      <c r="AB3698" t="inlineStr">
        <is>
          <t>엔카</t>
        </is>
      </c>
      <c r="AC3698" t="n">
        <v>258500</v>
      </c>
      <c r="AD3698" t="n">
        <v>94000</v>
      </c>
      <c r="AE3698" t="n">
        <v>164500</v>
      </c>
      <c r="AF3698" t="n">
        <v>235000</v>
      </c>
      <c r="AG3698" t="n">
        <v>90898</v>
      </c>
      <c r="AH3698" t="n">
        <v>144102</v>
      </c>
    </row>
    <row r="3699">
      <c r="A3699" t="inlineStr">
        <is>
          <t>4월</t>
        </is>
      </c>
      <c r="B3699" t="inlineStr">
        <is>
          <t>17주차</t>
        </is>
      </c>
      <c r="C3699" t="inlineStr">
        <is>
          <t>EP</t>
        </is>
      </c>
      <c r="D3699" s="28" t="n">
        <v>46136</v>
      </c>
      <c r="E3699" t="inlineStr">
        <is>
          <t>현대EP_fast</t>
        </is>
      </c>
      <c r="F3699" t="inlineStr">
        <is>
          <t>박정준</t>
        </is>
      </c>
      <c r="G3699" t="inlineStr">
        <is>
          <t>010-2733-5785</t>
        </is>
      </c>
      <c r="H3699" t="inlineStr">
        <is>
          <t>248주4114</t>
        </is>
      </c>
      <c r="I3699" t="n">
        <v>24000000</v>
      </c>
      <c r="J3699" t="n">
        <v>0.119</v>
      </c>
      <c r="K3699" t="n">
        <v>1.76</v>
      </c>
      <c r="L3699" t="n">
        <v>0.2</v>
      </c>
      <c r="M3699" t="n">
        <v>1.56</v>
      </c>
      <c r="P3699" t="inlineStr">
        <is>
          <t>최혁</t>
        </is>
      </c>
      <c r="Q3699" t="inlineStr">
        <is>
          <t>홈서비스60개월</t>
        </is>
      </c>
      <c r="AB3699" t="inlineStr">
        <is>
          <t>홈서비스</t>
        </is>
      </c>
      <c r="AC3699" t="n">
        <v>422400</v>
      </c>
      <c r="AD3699" t="n">
        <v>48000</v>
      </c>
      <c r="AE3699" t="n">
        <v>374400</v>
      </c>
      <c r="AF3699" t="n">
        <v>384000</v>
      </c>
      <c r="AG3699" t="n">
        <v>46416</v>
      </c>
      <c r="AH3699" t="n">
        <v>337584</v>
      </c>
      <c r="AI3699" t="n">
        <v>0</v>
      </c>
    </row>
    <row r="3700">
      <c r="A3700" t="inlineStr">
        <is>
          <t>4월</t>
        </is>
      </c>
      <c r="B3700" t="inlineStr">
        <is>
          <t>17주차</t>
        </is>
      </c>
      <c r="C3700" t="inlineStr">
        <is>
          <t>EP</t>
        </is>
      </c>
      <c r="D3700" s="28" t="n">
        <v>46136</v>
      </c>
      <c r="E3700" t="inlineStr">
        <is>
          <t>현대EP_fast</t>
        </is>
      </c>
      <c r="F3700" t="inlineStr">
        <is>
          <t>이한슬</t>
        </is>
      </c>
      <c r="G3700" t="inlineStr">
        <is>
          <t>010-9255-7384</t>
        </is>
      </c>
      <c r="H3700" t="inlineStr">
        <is>
          <t>284누5089</t>
        </is>
      </c>
      <c r="I3700" t="n">
        <v>8000000</v>
      </c>
      <c r="J3700" t="n">
        <v>0.077</v>
      </c>
      <c r="K3700" t="n">
        <v>1.76</v>
      </c>
      <c r="L3700" t="n">
        <v>0.2</v>
      </c>
      <c r="M3700" t="n">
        <v>1.56</v>
      </c>
      <c r="P3700" t="inlineStr">
        <is>
          <t>황채이</t>
        </is>
      </c>
      <c r="Q3700" t="inlineStr">
        <is>
          <t>홈서비스 60개월</t>
        </is>
      </c>
      <c r="AB3700" t="inlineStr">
        <is>
          <t>홈서비스</t>
        </is>
      </c>
      <c r="AC3700" t="n">
        <v>140800</v>
      </c>
      <c r="AD3700" t="n">
        <v>16000</v>
      </c>
      <c r="AE3700" t="n">
        <v>124800</v>
      </c>
      <c r="AF3700" t="n">
        <v>128000</v>
      </c>
      <c r="AG3700" t="n">
        <v>15472</v>
      </c>
      <c r="AH3700" t="n">
        <v>112528</v>
      </c>
      <c r="AI3700" t="n">
        <v>0</v>
      </c>
    </row>
    <row r="3701">
      <c r="A3701" t="inlineStr">
        <is>
          <t>4월</t>
        </is>
      </c>
      <c r="B3701" t="inlineStr">
        <is>
          <t>17주차</t>
        </is>
      </c>
      <c r="C3701" t="inlineStr">
        <is>
          <t>EP</t>
        </is>
      </c>
      <c r="D3701" s="28" t="n">
        <v>46134</v>
      </c>
      <c r="E3701" t="inlineStr">
        <is>
          <t>현대EP_fast</t>
        </is>
      </c>
      <c r="F3701" t="inlineStr">
        <is>
          <t>이동호</t>
        </is>
      </c>
      <c r="G3701" t="inlineStr">
        <is>
          <t>010-6472-6859</t>
        </is>
      </c>
      <c r="H3701" t="inlineStr">
        <is>
          <t>175조5211</t>
        </is>
      </c>
      <c r="I3701" t="n">
        <v>19400000</v>
      </c>
      <c r="J3701" t="n">
        <v>0.119</v>
      </c>
      <c r="K3701" t="n">
        <v>1.76</v>
      </c>
      <c r="L3701" t="n">
        <v>0.4</v>
      </c>
      <c r="M3701" t="n">
        <v>1.36</v>
      </c>
      <c r="P3701" t="inlineStr">
        <is>
          <t>박현민</t>
        </is>
      </c>
      <c r="AB3701" t="inlineStr">
        <is>
          <t>엔카</t>
        </is>
      </c>
      <c r="AC3701" t="n">
        <v>341440</v>
      </c>
      <c r="AD3701" t="n">
        <v>77600</v>
      </c>
      <c r="AE3701" t="n">
        <v>263840</v>
      </c>
      <c r="AF3701" t="n">
        <v>310400</v>
      </c>
      <c r="AG3701" t="n">
        <v>75039.2</v>
      </c>
      <c r="AH3701" t="n">
        <v>235360.8</v>
      </c>
      <c r="AI3701" t="n">
        <v>0</v>
      </c>
    </row>
    <row r="3702">
      <c r="A3702" t="inlineStr">
        <is>
          <t>4월</t>
        </is>
      </c>
      <c r="B3702" t="inlineStr">
        <is>
          <t>17주차</t>
        </is>
      </c>
      <c r="C3702" t="inlineStr">
        <is>
          <t>EP</t>
        </is>
      </c>
      <c r="D3702" s="28" t="n">
        <v>46136</v>
      </c>
      <c r="E3702" t="inlineStr">
        <is>
          <t>제이비EP</t>
        </is>
      </c>
      <c r="F3702" t="inlineStr">
        <is>
          <t>문교빈</t>
        </is>
      </c>
      <c r="G3702" t="inlineStr">
        <is>
          <t>010-9447-1016</t>
        </is>
      </c>
      <c r="H3702" t="inlineStr">
        <is>
          <t>50마3573</t>
        </is>
      </c>
      <c r="I3702" t="n">
        <v>5800000</v>
      </c>
      <c r="J3702" t="n">
        <v>0.11</v>
      </c>
      <c r="K3702" t="n">
        <v>1.65</v>
      </c>
      <c r="L3702" t="n">
        <v>0.4</v>
      </c>
      <c r="M3702" t="n">
        <v>1.25</v>
      </c>
      <c r="P3702" t="inlineStr">
        <is>
          <t>최혁</t>
        </is>
      </c>
      <c r="Q3702" t="inlineStr">
        <is>
          <t>부대비용진행건</t>
        </is>
      </c>
      <c r="AB3702" t="inlineStr">
        <is>
          <t>엔카</t>
        </is>
      </c>
      <c r="AC3702" t="n">
        <v>95700</v>
      </c>
      <c r="AD3702" t="n">
        <v>23200</v>
      </c>
      <c r="AE3702" t="n">
        <v>72500</v>
      </c>
      <c r="AF3702" t="n">
        <v>87000</v>
      </c>
      <c r="AG3702" t="n">
        <v>22434.4</v>
      </c>
      <c r="AH3702" t="n">
        <v>64565.6</v>
      </c>
    </row>
    <row r="3703">
      <c r="A3703" t="inlineStr">
        <is>
          <t>4월</t>
        </is>
      </c>
      <c r="B3703" t="inlineStr">
        <is>
          <t>17주차</t>
        </is>
      </c>
      <c r="C3703" t="inlineStr">
        <is>
          <t>IM</t>
        </is>
      </c>
      <c r="D3703" s="28" t="n">
        <v>46136</v>
      </c>
      <c r="E3703" t="inlineStr">
        <is>
          <t>IM캐피탈</t>
        </is>
      </c>
      <c r="F3703" t="inlineStr">
        <is>
          <t>김정석</t>
        </is>
      </c>
      <c r="G3703" t="inlineStr">
        <is>
          <t>010-9779-6408</t>
        </is>
      </c>
      <c r="H3703" t="inlineStr">
        <is>
          <t>181러4574</t>
        </is>
      </c>
      <c r="I3703" t="n">
        <v>22000000</v>
      </c>
      <c r="J3703" t="n">
        <v>0.059</v>
      </c>
      <c r="K3703" t="n">
        <v>1.1</v>
      </c>
      <c r="L3703" t="n">
        <v>0.07000000000000001</v>
      </c>
      <c r="M3703" t="n">
        <v>1.03</v>
      </c>
      <c r="P3703" t="inlineStr">
        <is>
          <t>박소현</t>
        </is>
      </c>
      <c r="Q3703" t="inlineStr">
        <is>
          <t>선상담 / 홈서비스 48개월</t>
        </is>
      </c>
      <c r="AB3703" t="inlineStr">
        <is>
          <t>홈서비스</t>
        </is>
      </c>
      <c r="AC3703" t="n">
        <v>242000</v>
      </c>
      <c r="AD3703" t="n">
        <v>15400</v>
      </c>
      <c r="AE3703" t="n">
        <v>226600</v>
      </c>
      <c r="AF3703" t="n">
        <v>220000</v>
      </c>
      <c r="AG3703" t="n">
        <v>14891.8</v>
      </c>
      <c r="AH3703" t="n">
        <v>205108.2</v>
      </c>
      <c r="AI3703" t="n">
        <v>0</v>
      </c>
    </row>
    <row r="3704">
      <c r="A3704" t="inlineStr">
        <is>
          <t>4월</t>
        </is>
      </c>
      <c r="B3704" t="inlineStr">
        <is>
          <t>17주차</t>
        </is>
      </c>
      <c r="C3704" t="inlineStr">
        <is>
          <t>EP</t>
        </is>
      </c>
      <c r="D3704" s="28" t="n">
        <v>46136</v>
      </c>
      <c r="E3704" t="inlineStr">
        <is>
          <t>현대EP</t>
        </is>
      </c>
      <c r="F3704" t="inlineStr">
        <is>
          <t>김혜림</t>
        </is>
      </c>
      <c r="G3704" t="inlineStr">
        <is>
          <t>010-5066-7564</t>
        </is>
      </c>
      <c r="H3704" t="inlineStr">
        <is>
          <t>181로7695</t>
        </is>
      </c>
      <c r="I3704" t="n">
        <v>24500000</v>
      </c>
      <c r="J3704" t="n">
        <v>0.079</v>
      </c>
      <c r="K3704" t="n">
        <v>1.76</v>
      </c>
      <c r="L3704" t="n">
        <v>0.2</v>
      </c>
      <c r="M3704" t="n">
        <v>1.56</v>
      </c>
      <c r="P3704" t="inlineStr">
        <is>
          <t>최형주</t>
        </is>
      </c>
      <c r="AB3704" t="inlineStr">
        <is>
          <t>홈서비스</t>
        </is>
      </c>
      <c r="AC3704" t="n">
        <v>431200</v>
      </c>
      <c r="AD3704" t="n">
        <v>49000</v>
      </c>
      <c r="AE3704" t="n">
        <v>382200</v>
      </c>
      <c r="AF3704" t="n">
        <v>392000</v>
      </c>
      <c r="AG3704" t="n">
        <v>47383</v>
      </c>
      <c r="AH3704" t="n">
        <v>344617</v>
      </c>
    </row>
    <row r="3705">
      <c r="A3705" t="inlineStr">
        <is>
          <t>4월</t>
        </is>
      </c>
      <c r="B3705" t="inlineStr">
        <is>
          <t>17주차</t>
        </is>
      </c>
      <c r="C3705" t="inlineStr">
        <is>
          <t>EP</t>
        </is>
      </c>
      <c r="D3705" s="28" t="n">
        <v>46136</v>
      </c>
      <c r="E3705" t="inlineStr">
        <is>
          <t>현대EP_fast</t>
        </is>
      </c>
      <c r="F3705" t="inlineStr">
        <is>
          <t>김민혁</t>
        </is>
      </c>
      <c r="G3705" t="inlineStr">
        <is>
          <t>010-2050-4300</t>
        </is>
      </c>
      <c r="H3705" t="inlineStr">
        <is>
          <t>55누3121</t>
        </is>
      </c>
      <c r="I3705" t="n">
        <v>27900000</v>
      </c>
      <c r="J3705" t="n">
        <v>0.08500000000000001</v>
      </c>
      <c r="K3705" t="n">
        <v>1.76</v>
      </c>
      <c r="L3705" t="n">
        <v>0.2</v>
      </c>
      <c r="M3705" t="n">
        <v>1.56</v>
      </c>
      <c r="P3705" t="inlineStr">
        <is>
          <t>김나윤</t>
        </is>
      </c>
      <c r="Q3705" t="inlineStr">
        <is>
          <t>홈서비스 60개월 / 고객주도체결</t>
        </is>
      </c>
      <c r="AB3705" t="inlineStr">
        <is>
          <t>홈서비스</t>
        </is>
      </c>
      <c r="AC3705" t="n">
        <v>491040</v>
      </c>
      <c r="AD3705" t="n">
        <v>55800</v>
      </c>
      <c r="AE3705" t="n">
        <v>435240</v>
      </c>
      <c r="AF3705" t="n">
        <v>446400</v>
      </c>
      <c r="AG3705" t="n">
        <v>53958.6</v>
      </c>
      <c r="AH3705" t="n">
        <v>392441.4</v>
      </c>
      <c r="AI3705" t="n">
        <v>0</v>
      </c>
    </row>
    <row r="3706">
      <c r="A3706" t="inlineStr">
        <is>
          <t>4월</t>
        </is>
      </c>
      <c r="B3706" t="inlineStr">
        <is>
          <t>17주차</t>
        </is>
      </c>
      <c r="C3706" t="inlineStr">
        <is>
          <t>EP</t>
        </is>
      </c>
      <c r="D3706" s="28" t="n">
        <v>46136</v>
      </c>
      <c r="E3706" t="inlineStr">
        <is>
          <t>현대EP_fast</t>
        </is>
      </c>
      <c r="F3706" t="inlineStr">
        <is>
          <t>강희성</t>
        </is>
      </c>
      <c r="G3706" t="inlineStr">
        <is>
          <t>010-8979-5986</t>
        </is>
      </c>
      <c r="H3706" t="inlineStr">
        <is>
          <t>115가3310</t>
        </is>
      </c>
      <c r="I3706" t="n">
        <v>33500000</v>
      </c>
      <c r="J3706" t="n">
        <v>0.07099999999999999</v>
      </c>
      <c r="K3706" t="n">
        <v>1.76</v>
      </c>
      <c r="L3706" t="n">
        <v>0.2</v>
      </c>
      <c r="M3706" t="n">
        <v>1.56</v>
      </c>
      <c r="P3706" t="inlineStr">
        <is>
          <t>김수연</t>
        </is>
      </c>
      <c r="Q3706" t="inlineStr">
        <is>
          <t>홈서비스60개월 / 미성년자 공동명의 오프라인설정</t>
        </is>
      </c>
      <c r="AB3706" t="inlineStr">
        <is>
          <t>홈서비스</t>
        </is>
      </c>
      <c r="AC3706" t="n">
        <v>589600</v>
      </c>
      <c r="AD3706" t="n">
        <v>67000</v>
      </c>
      <c r="AE3706" t="n">
        <v>522600</v>
      </c>
      <c r="AF3706" t="n">
        <v>536000</v>
      </c>
      <c r="AG3706" t="n">
        <v>64789</v>
      </c>
      <c r="AH3706" t="n">
        <v>471211</v>
      </c>
      <c r="AI3706" t="n">
        <v>0</v>
      </c>
    </row>
    <row r="3707">
      <c r="A3707" t="inlineStr">
        <is>
          <t>4월</t>
        </is>
      </c>
      <c r="B3707" t="inlineStr">
        <is>
          <t>17주차</t>
        </is>
      </c>
      <c r="C3707" t="inlineStr">
        <is>
          <t>EP</t>
        </is>
      </c>
      <c r="D3707" s="28" t="n">
        <v>46135</v>
      </c>
      <c r="E3707" t="inlineStr">
        <is>
          <t>현대EP</t>
        </is>
      </c>
      <c r="F3707" t="inlineStr">
        <is>
          <t>조형도</t>
        </is>
      </c>
      <c r="G3707" t="inlineStr">
        <is>
          <t>010-7653-3388</t>
        </is>
      </c>
      <c r="H3707" t="inlineStr">
        <is>
          <t>32수0722</t>
        </is>
      </c>
      <c r="I3707" t="n">
        <v>8000000</v>
      </c>
      <c r="J3707" t="n">
        <v>0.118</v>
      </c>
      <c r="K3707" t="n">
        <v>1.76</v>
      </c>
      <c r="L3707" t="n">
        <v>0.2</v>
      </c>
      <c r="M3707" t="n">
        <v>1.56</v>
      </c>
      <c r="P3707" t="inlineStr">
        <is>
          <t>박보람</t>
        </is>
      </c>
      <c r="AB3707" t="inlineStr">
        <is>
          <t>홈서비스</t>
        </is>
      </c>
      <c r="AC3707" t="n">
        <v>140800</v>
      </c>
      <c r="AD3707" t="n">
        <v>16000</v>
      </c>
      <c r="AE3707" t="n">
        <v>124800</v>
      </c>
      <c r="AF3707" t="n">
        <v>128000</v>
      </c>
      <c r="AG3707" t="n">
        <v>15472</v>
      </c>
      <c r="AH3707" t="n">
        <v>112528</v>
      </c>
      <c r="AI3707" t="n">
        <v>0</v>
      </c>
    </row>
    <row r="3708">
      <c r="A3708" t="inlineStr">
        <is>
          <t>4월</t>
        </is>
      </c>
      <c r="B3708" t="inlineStr">
        <is>
          <t>17주차</t>
        </is>
      </c>
      <c r="C3708" t="inlineStr">
        <is>
          <t>EP</t>
        </is>
      </c>
      <c r="D3708" s="28" t="n">
        <v>46136</v>
      </c>
      <c r="E3708" t="inlineStr">
        <is>
          <t>현대EP_fast</t>
        </is>
      </c>
      <c r="F3708" t="inlineStr">
        <is>
          <t>노준혁</t>
        </is>
      </c>
      <c r="G3708" t="inlineStr">
        <is>
          <t>010-3705-5497</t>
        </is>
      </c>
      <c r="H3708" t="inlineStr">
        <is>
          <t>06구7279</t>
        </is>
      </c>
      <c r="I3708" t="n">
        <v>10000000</v>
      </c>
      <c r="J3708" t="n">
        <v>0.08599999999999999</v>
      </c>
      <c r="K3708" t="n">
        <v>1.76</v>
      </c>
      <c r="L3708" t="n">
        <v>0.2</v>
      </c>
      <c r="M3708" t="n">
        <v>1.56</v>
      </c>
      <c r="P3708" t="inlineStr">
        <is>
          <t>최형주</t>
        </is>
      </c>
      <c r="Q3708" t="inlineStr">
        <is>
          <t>홈서비스 60개월 / 고객주도 체결</t>
        </is>
      </c>
      <c r="AB3708" t="inlineStr">
        <is>
          <t>홈서비스</t>
        </is>
      </c>
      <c r="AC3708" t="n">
        <v>176000</v>
      </c>
      <c r="AD3708" t="n">
        <v>20000</v>
      </c>
      <c r="AE3708" t="n">
        <v>156000</v>
      </c>
      <c r="AF3708" t="n">
        <v>160000</v>
      </c>
      <c r="AG3708" t="n">
        <v>19340</v>
      </c>
      <c r="AH3708" t="n">
        <v>140660</v>
      </c>
      <c r="AI3708" t="n">
        <v>0</v>
      </c>
    </row>
    <row r="3709">
      <c r="A3709" t="inlineStr">
        <is>
          <t>4월</t>
        </is>
      </c>
      <c r="B3709" t="inlineStr">
        <is>
          <t>17주차</t>
        </is>
      </c>
      <c r="C3709" t="inlineStr">
        <is>
          <t>IM</t>
        </is>
      </c>
      <c r="D3709" s="28" t="n">
        <v>46136</v>
      </c>
      <c r="E3709" t="inlineStr">
        <is>
          <t>IM캐피탈</t>
        </is>
      </c>
      <c r="F3709" t="inlineStr">
        <is>
          <t>홍명의</t>
        </is>
      </c>
      <c r="G3709" t="inlineStr">
        <is>
          <t>010-9122-8833</t>
        </is>
      </c>
      <c r="H3709" t="inlineStr">
        <is>
          <t>219저4689</t>
        </is>
      </c>
      <c r="I3709" t="n">
        <v>47000000</v>
      </c>
      <c r="J3709" t="n">
        <v>0.056</v>
      </c>
      <c r="K3709" t="n">
        <v>1.1</v>
      </c>
      <c r="L3709" t="n">
        <v>0.07000000000000001</v>
      </c>
      <c r="M3709" t="n">
        <v>1.03</v>
      </c>
      <c r="P3709" t="inlineStr">
        <is>
          <t>황채이</t>
        </is>
      </c>
      <c r="Q3709" t="inlineStr">
        <is>
          <t>홈서비스 60개월</t>
        </is>
      </c>
      <c r="AB3709" t="inlineStr">
        <is>
          <t>홈서비스</t>
        </is>
      </c>
      <c r="AC3709" t="n">
        <v>517000</v>
      </c>
      <c r="AD3709" t="n">
        <v>32900</v>
      </c>
      <c r="AE3709" t="n">
        <v>484100</v>
      </c>
      <c r="AF3709" t="n">
        <v>470000</v>
      </c>
      <c r="AG3709" t="n">
        <v>31814.3</v>
      </c>
      <c r="AH3709" t="n">
        <v>438185.7</v>
      </c>
      <c r="AI3709" t="n">
        <v>0</v>
      </c>
    </row>
    <row r="3710">
      <c r="A3710" t="inlineStr">
        <is>
          <t>4월</t>
        </is>
      </c>
      <c r="B3710" t="inlineStr">
        <is>
          <t>17주차</t>
        </is>
      </c>
      <c r="C3710" t="inlineStr">
        <is>
          <t>IM</t>
        </is>
      </c>
      <c r="D3710" s="28" t="n">
        <v>46136</v>
      </c>
      <c r="E3710" t="inlineStr">
        <is>
          <t>IM캐피탈</t>
        </is>
      </c>
      <c r="F3710" t="inlineStr">
        <is>
          <t>김동균</t>
        </is>
      </c>
      <c r="G3710" t="inlineStr">
        <is>
          <t>010-4504-3601</t>
        </is>
      </c>
      <c r="H3710" t="inlineStr">
        <is>
          <t>50모6179</t>
        </is>
      </c>
      <c r="I3710" t="n">
        <v>22000000</v>
      </c>
      <c r="J3710" t="n">
        <v>0.056</v>
      </c>
      <c r="K3710" t="n">
        <v>1.1</v>
      </c>
      <c r="L3710" t="n">
        <v>0.07000000000000001</v>
      </c>
      <c r="M3710" t="n">
        <v>1.03</v>
      </c>
      <c r="P3710" t="inlineStr">
        <is>
          <t>최형주</t>
        </is>
      </c>
      <c r="Q3710" t="inlineStr">
        <is>
          <t>홈서비스 60개월</t>
        </is>
      </c>
      <c r="AB3710" t="inlineStr">
        <is>
          <t>홈서비스</t>
        </is>
      </c>
      <c r="AC3710" t="n">
        <v>242000</v>
      </c>
      <c r="AD3710" t="n">
        <v>15400</v>
      </c>
      <c r="AE3710" t="n">
        <v>226600</v>
      </c>
      <c r="AF3710" t="n">
        <v>220000</v>
      </c>
      <c r="AG3710" t="n">
        <v>14891.8</v>
      </c>
      <c r="AH3710" t="n">
        <v>205108.2</v>
      </c>
      <c r="AI3710" t="n">
        <v>0</v>
      </c>
    </row>
    <row r="3711">
      <c r="A3711" t="inlineStr">
        <is>
          <t>4월</t>
        </is>
      </c>
      <c r="B3711" t="inlineStr">
        <is>
          <t>17주차</t>
        </is>
      </c>
      <c r="C3711" t="inlineStr">
        <is>
          <t>EP</t>
        </is>
      </c>
      <c r="D3711" s="28" t="n">
        <v>46136</v>
      </c>
      <c r="E3711" t="inlineStr">
        <is>
          <t>현대EP</t>
        </is>
      </c>
      <c r="F3711" t="inlineStr">
        <is>
          <t>류지항</t>
        </is>
      </c>
      <c r="G3711" t="inlineStr">
        <is>
          <t>010-2929-5250</t>
        </is>
      </c>
      <c r="H3711" t="inlineStr">
        <is>
          <t>106부4231</t>
        </is>
      </c>
      <c r="I3711" t="n">
        <v>11700000</v>
      </c>
      <c r="J3711" t="n">
        <v>0.07199999999999999</v>
      </c>
      <c r="K3711" t="n">
        <v>1.76</v>
      </c>
      <c r="L3711" t="n">
        <v>0.2</v>
      </c>
      <c r="M3711" t="n">
        <v>1.56</v>
      </c>
      <c r="P3711" t="inlineStr">
        <is>
          <t>황채이</t>
        </is>
      </c>
      <c r="AB3711" t="inlineStr">
        <is>
          <t>홈서비스</t>
        </is>
      </c>
      <c r="AC3711" t="n">
        <v>205920</v>
      </c>
      <c r="AD3711" t="n">
        <v>23400</v>
      </c>
      <c r="AE3711" t="n">
        <v>182520</v>
      </c>
      <c r="AF3711" t="n">
        <v>187200</v>
      </c>
      <c r="AG3711" t="n">
        <v>22627.8</v>
      </c>
      <c r="AH3711" t="n">
        <v>164572.2</v>
      </c>
      <c r="AI3711" t="n">
        <v>0</v>
      </c>
    </row>
    <row r="3712">
      <c r="A3712" t="inlineStr">
        <is>
          <t>4월</t>
        </is>
      </c>
      <c r="B3712" t="inlineStr">
        <is>
          <t>17주차</t>
        </is>
      </c>
      <c r="C3712" t="inlineStr">
        <is>
          <t>IM</t>
        </is>
      </c>
      <c r="D3712" s="28" t="n">
        <v>46136</v>
      </c>
      <c r="E3712" t="inlineStr">
        <is>
          <t>IM캐피탈</t>
        </is>
      </c>
      <c r="F3712" t="inlineStr">
        <is>
          <t>신재환</t>
        </is>
      </c>
      <c r="G3712" t="inlineStr">
        <is>
          <t>010-9823-0642</t>
        </is>
      </c>
      <c r="H3712" t="inlineStr">
        <is>
          <t>294구7092</t>
        </is>
      </c>
      <c r="I3712" t="n">
        <v>36500000</v>
      </c>
      <c r="J3712" t="n">
        <v>0.059</v>
      </c>
      <c r="K3712" t="n">
        <v>1.1</v>
      </c>
      <c r="L3712" t="n">
        <v>0.07000000000000001</v>
      </c>
      <c r="M3712" t="n">
        <v>1.03</v>
      </c>
      <c r="P3712" t="inlineStr">
        <is>
          <t>김수연</t>
        </is>
      </c>
      <c r="Q3712" t="inlineStr">
        <is>
          <t>홈서비스60개월</t>
        </is>
      </c>
      <c r="AB3712" t="inlineStr">
        <is>
          <t>홈서비스</t>
        </is>
      </c>
      <c r="AC3712" t="n">
        <v>401500</v>
      </c>
      <c r="AD3712" t="n">
        <v>25550</v>
      </c>
      <c r="AE3712" t="n">
        <v>375950</v>
      </c>
      <c r="AF3712" t="n">
        <v>365000</v>
      </c>
      <c r="AG3712" t="n">
        <v>24706.85</v>
      </c>
      <c r="AH3712" t="n">
        <v>340293.15</v>
      </c>
    </row>
    <row r="3713">
      <c r="A3713" t="inlineStr">
        <is>
          <t>4월</t>
        </is>
      </c>
      <c r="B3713" t="inlineStr">
        <is>
          <t>17주차</t>
        </is>
      </c>
      <c r="C3713" t="inlineStr">
        <is>
          <t>WR</t>
        </is>
      </c>
      <c r="D3713" s="28" t="n">
        <v>46136</v>
      </c>
      <c r="E3713" t="inlineStr">
        <is>
          <t>우리금융</t>
        </is>
      </c>
      <c r="F3713" t="inlineStr">
        <is>
          <t>이정우</t>
        </is>
      </c>
      <c r="G3713" t="inlineStr">
        <is>
          <t>010-6818-0511</t>
        </is>
      </c>
      <c r="H3713" t="inlineStr">
        <is>
          <t>49거6090</t>
        </is>
      </c>
      <c r="I3713" t="n">
        <v>10000000</v>
      </c>
      <c r="J3713" t="n">
        <v>0.064</v>
      </c>
      <c r="K3713" t="n">
        <v>2.2</v>
      </c>
      <c r="L3713" t="n">
        <v>0.4</v>
      </c>
      <c r="M3713" t="n">
        <v>1.8</v>
      </c>
      <c r="P3713" t="inlineStr">
        <is>
          <t>최혁</t>
        </is>
      </c>
      <c r="AB3713" t="inlineStr">
        <is>
          <t>엔카</t>
        </is>
      </c>
      <c r="AC3713" t="n">
        <v>220000</v>
      </c>
      <c r="AD3713" t="n">
        <v>40000</v>
      </c>
      <c r="AE3713" t="n">
        <v>180000</v>
      </c>
      <c r="AF3713" t="n">
        <v>200000</v>
      </c>
      <c r="AG3713" t="n">
        <v>38680</v>
      </c>
      <c r="AH3713" t="n">
        <v>161320</v>
      </c>
    </row>
    <row r="3714">
      <c r="A3714" t="inlineStr">
        <is>
          <t>4월</t>
        </is>
      </c>
      <c r="B3714" t="inlineStr">
        <is>
          <t>17주차</t>
        </is>
      </c>
      <c r="C3714" t="inlineStr">
        <is>
          <t>EP</t>
        </is>
      </c>
      <c r="D3714" s="28" t="n">
        <v>46136</v>
      </c>
      <c r="E3714" t="inlineStr">
        <is>
          <t>BNKEP</t>
        </is>
      </c>
      <c r="F3714" t="inlineStr">
        <is>
          <t>노옥균</t>
        </is>
      </c>
      <c r="G3714" t="inlineStr">
        <is>
          <t>010-3867-4771</t>
        </is>
      </c>
      <c r="H3714" t="inlineStr">
        <is>
          <t>64너3135</t>
        </is>
      </c>
      <c r="I3714" t="n">
        <v>13900000</v>
      </c>
      <c r="J3714" t="n">
        <v>0.128</v>
      </c>
      <c r="K3714" t="n">
        <v>1.65</v>
      </c>
      <c r="L3714" t="n">
        <v>0.07000000000000001</v>
      </c>
      <c r="M3714" t="n">
        <v>1.58</v>
      </c>
      <c r="P3714" t="inlineStr">
        <is>
          <t>김나윤</t>
        </is>
      </c>
      <c r="Q3714" t="inlineStr">
        <is>
          <t>홈서비스 60개월</t>
        </is>
      </c>
      <c r="AB3714" t="inlineStr">
        <is>
          <t>홈서비스</t>
        </is>
      </c>
      <c r="AC3714" t="n">
        <v>229350</v>
      </c>
      <c r="AD3714" t="n">
        <v>9730</v>
      </c>
      <c r="AE3714" t="n">
        <v>219620</v>
      </c>
      <c r="AF3714" t="n">
        <v>208500</v>
      </c>
      <c r="AG3714" t="n">
        <v>9408.91</v>
      </c>
      <c r="AH3714" t="n">
        <v>199091.09</v>
      </c>
    </row>
    <row r="3715">
      <c r="A3715" t="inlineStr">
        <is>
          <t>4월</t>
        </is>
      </c>
      <c r="B3715" t="inlineStr">
        <is>
          <t>17주차</t>
        </is>
      </c>
      <c r="C3715" t="inlineStr">
        <is>
          <t>EP</t>
        </is>
      </c>
      <c r="D3715" s="28" t="n">
        <v>46136</v>
      </c>
      <c r="E3715" t="inlineStr">
        <is>
          <t>현대EP</t>
        </is>
      </c>
      <c r="F3715" t="inlineStr">
        <is>
          <t>김광수</t>
        </is>
      </c>
      <c r="G3715" t="inlineStr">
        <is>
          <t>010-3008-7924</t>
        </is>
      </c>
      <c r="H3715" t="inlineStr">
        <is>
          <t>65러6527</t>
        </is>
      </c>
      <c r="I3715" t="n">
        <v>7900000</v>
      </c>
      <c r="J3715" t="n">
        <v>0.077</v>
      </c>
      <c r="K3715" t="n">
        <v>1.76</v>
      </c>
      <c r="L3715" t="n">
        <v>0.2</v>
      </c>
      <c r="M3715" t="n">
        <v>1.56</v>
      </c>
      <c r="P3715" t="inlineStr">
        <is>
          <t>김나윤</t>
        </is>
      </c>
      <c r="AB3715" t="inlineStr">
        <is>
          <t>홈서비스</t>
        </is>
      </c>
      <c r="AC3715" t="n">
        <v>139040</v>
      </c>
      <c r="AD3715" t="n">
        <v>15800</v>
      </c>
      <c r="AE3715" t="n">
        <v>123240</v>
      </c>
      <c r="AF3715" t="n">
        <v>126400</v>
      </c>
      <c r="AG3715" t="n">
        <v>15278.6</v>
      </c>
      <c r="AH3715" t="n">
        <v>111121.4</v>
      </c>
    </row>
    <row r="3716">
      <c r="A3716" t="inlineStr">
        <is>
          <t>4월</t>
        </is>
      </c>
      <c r="B3716" t="inlineStr">
        <is>
          <t>17주차</t>
        </is>
      </c>
      <c r="C3716" t="inlineStr">
        <is>
          <t>EP</t>
        </is>
      </c>
      <c r="D3716" s="28" t="n">
        <v>46136</v>
      </c>
      <c r="E3716" t="inlineStr">
        <is>
          <t>현대EP</t>
        </is>
      </c>
      <c r="F3716" t="inlineStr">
        <is>
          <t>김유신</t>
        </is>
      </c>
      <c r="G3716" t="inlineStr">
        <is>
          <t>010-6263-1218</t>
        </is>
      </c>
      <c r="H3716" t="inlineStr">
        <is>
          <t>286우4531</t>
        </is>
      </c>
      <c r="I3716" t="n">
        <v>19000000</v>
      </c>
      <c r="J3716" t="n">
        <v>0.07099999999999999</v>
      </c>
      <c r="K3716" t="n">
        <v>1.76</v>
      </c>
      <c r="L3716" t="n">
        <v>0.2</v>
      </c>
      <c r="M3716" t="n">
        <v>1.56</v>
      </c>
      <c r="P3716" t="inlineStr">
        <is>
          <t>김수연</t>
        </is>
      </c>
      <c r="AB3716" t="inlineStr">
        <is>
          <t>홈서비스</t>
        </is>
      </c>
      <c r="AC3716" t="n">
        <v>334400</v>
      </c>
      <c r="AD3716" t="n">
        <v>38000</v>
      </c>
      <c r="AE3716" t="n">
        <v>296400</v>
      </c>
      <c r="AF3716" t="n">
        <v>304000</v>
      </c>
      <c r="AG3716" t="n">
        <v>36746</v>
      </c>
      <c r="AH3716" t="n">
        <v>267254</v>
      </c>
      <c r="AI3716" t="n">
        <v>0</v>
      </c>
    </row>
    <row r="3717">
      <c r="A3717" t="inlineStr">
        <is>
          <t>4월</t>
        </is>
      </c>
      <c r="B3717" t="inlineStr">
        <is>
          <t>17주차</t>
        </is>
      </c>
      <c r="C3717" t="inlineStr">
        <is>
          <t>EP</t>
        </is>
      </c>
      <c r="D3717" s="28" t="n">
        <v>46137</v>
      </c>
      <c r="E3717" t="inlineStr">
        <is>
          <t>현대EP</t>
        </is>
      </c>
      <c r="F3717" t="inlineStr">
        <is>
          <t>마대호</t>
        </is>
      </c>
      <c r="G3717" t="inlineStr">
        <is>
          <t>010-2287-5444</t>
        </is>
      </c>
      <c r="H3717" t="inlineStr">
        <is>
          <t>179주6084</t>
        </is>
      </c>
      <c r="I3717" t="n">
        <v>11100000</v>
      </c>
      <c r="J3717" t="n">
        <v>0.07099999999999999</v>
      </c>
      <c r="K3717" t="n">
        <v>1.76</v>
      </c>
      <c r="L3717" t="n">
        <v>0.2</v>
      </c>
      <c r="M3717" t="n">
        <v>1.56</v>
      </c>
      <c r="P3717" t="inlineStr">
        <is>
          <t>김나윤</t>
        </is>
      </c>
      <c r="AB3717" t="inlineStr">
        <is>
          <t>홈서비스</t>
        </is>
      </c>
      <c r="AC3717" t="n">
        <v>195360</v>
      </c>
      <c r="AD3717" t="n">
        <v>22200</v>
      </c>
      <c r="AE3717" t="n">
        <v>173160</v>
      </c>
      <c r="AF3717" t="n">
        <v>177600</v>
      </c>
      <c r="AG3717" t="n">
        <v>21467.4</v>
      </c>
      <c r="AH3717" t="n">
        <v>156132.6</v>
      </c>
      <c r="AI3717" t="n">
        <v>0</v>
      </c>
    </row>
    <row r="3718">
      <c r="A3718" t="inlineStr">
        <is>
          <t>4월</t>
        </is>
      </c>
      <c r="B3718" t="inlineStr">
        <is>
          <t>17주차</t>
        </is>
      </c>
      <c r="C3718" t="inlineStr">
        <is>
          <t>EP</t>
        </is>
      </c>
      <c r="D3718" s="28" t="n">
        <v>46137</v>
      </c>
      <c r="E3718" t="inlineStr">
        <is>
          <t>현대EP</t>
        </is>
      </c>
      <c r="F3718" t="inlineStr">
        <is>
          <t>장희연</t>
        </is>
      </c>
      <c r="G3718" t="inlineStr">
        <is>
          <t>010-9361-2581</t>
        </is>
      </c>
      <c r="H3718" t="inlineStr">
        <is>
          <t>113모3919</t>
        </is>
      </c>
      <c r="I3718" t="n">
        <v>31300000</v>
      </c>
      <c r="J3718" t="n">
        <v>0.07199999999999999</v>
      </c>
      <c r="K3718" t="n">
        <v>1.76</v>
      </c>
      <c r="L3718" t="n">
        <v>0.2</v>
      </c>
      <c r="M3718" t="n">
        <v>1.56</v>
      </c>
      <c r="P3718" t="inlineStr">
        <is>
          <t>김나윤</t>
        </is>
      </c>
      <c r="AB3718" t="inlineStr">
        <is>
          <t>홈서비스</t>
        </is>
      </c>
      <c r="AC3718" t="n">
        <v>550880</v>
      </c>
      <c r="AD3718" t="n">
        <v>62600</v>
      </c>
      <c r="AE3718" t="n">
        <v>488280</v>
      </c>
      <c r="AF3718" t="n">
        <v>500800</v>
      </c>
      <c r="AG3718" t="n">
        <v>60534.2</v>
      </c>
      <c r="AH3718" t="n">
        <v>440265.8</v>
      </c>
      <c r="AI3718" t="n">
        <v>0</v>
      </c>
    </row>
    <row r="3719">
      <c r="A3719" t="inlineStr">
        <is>
          <t>4월</t>
        </is>
      </c>
      <c r="B3719" t="inlineStr">
        <is>
          <t>17주차</t>
        </is>
      </c>
      <c r="C3719" t="inlineStr">
        <is>
          <t>EP</t>
        </is>
      </c>
      <c r="D3719" s="28" t="n">
        <v>46136</v>
      </c>
      <c r="E3719" t="inlineStr">
        <is>
          <t>현대EP</t>
        </is>
      </c>
      <c r="F3719" t="inlineStr">
        <is>
          <t>이태훈</t>
        </is>
      </c>
      <c r="G3719" t="inlineStr">
        <is>
          <t>010-3918-4628</t>
        </is>
      </c>
      <c r="H3719" t="inlineStr">
        <is>
          <t>254가5703</t>
        </is>
      </c>
      <c r="I3719" t="n">
        <v>18600000</v>
      </c>
      <c r="J3719" t="n">
        <v>0.07099999999999999</v>
      </c>
      <c r="K3719" t="n">
        <v>1.76</v>
      </c>
      <c r="L3719" t="n">
        <v>0.2</v>
      </c>
      <c r="M3719" t="n">
        <v>1.56</v>
      </c>
      <c r="P3719" t="inlineStr">
        <is>
          <t>황채이</t>
        </is>
      </c>
      <c r="AB3719" t="inlineStr">
        <is>
          <t>홈서비스</t>
        </is>
      </c>
      <c r="AC3719" t="n">
        <v>327360</v>
      </c>
      <c r="AD3719" t="n">
        <v>37200</v>
      </c>
      <c r="AE3719" t="n">
        <v>290160</v>
      </c>
      <c r="AF3719" t="n">
        <v>297600</v>
      </c>
      <c r="AG3719" t="n">
        <v>35972.4</v>
      </c>
      <c r="AH3719" t="n">
        <v>261627.6</v>
      </c>
      <c r="AI3719" t="n">
        <v>0</v>
      </c>
    </row>
    <row r="3720">
      <c r="A3720" t="inlineStr">
        <is>
          <t>4월</t>
        </is>
      </c>
      <c r="B3720" t="inlineStr">
        <is>
          <t>17주차</t>
        </is>
      </c>
      <c r="C3720" t="inlineStr">
        <is>
          <t>EP</t>
        </is>
      </c>
      <c r="D3720" s="28" t="n">
        <v>46137</v>
      </c>
      <c r="E3720" t="inlineStr">
        <is>
          <t>현대EP</t>
        </is>
      </c>
      <c r="F3720" t="inlineStr">
        <is>
          <t>함영훈</t>
        </is>
      </c>
      <c r="G3720" t="inlineStr">
        <is>
          <t>010-4004-7001</t>
        </is>
      </c>
      <c r="H3720" t="inlineStr">
        <is>
          <t>04오8948</t>
        </is>
      </c>
      <c r="I3720" t="n">
        <v>38300000</v>
      </c>
      <c r="J3720" t="n">
        <v>0.07099999999999999</v>
      </c>
      <c r="K3720" t="n">
        <v>1.76</v>
      </c>
      <c r="L3720" t="n">
        <v>0.2</v>
      </c>
      <c r="M3720" t="n">
        <v>1.56</v>
      </c>
      <c r="P3720" t="inlineStr">
        <is>
          <t>김나윤</t>
        </is>
      </c>
      <c r="AB3720" t="inlineStr">
        <is>
          <t>홈서비스</t>
        </is>
      </c>
      <c r="AC3720" t="n">
        <v>674080</v>
      </c>
      <c r="AD3720" t="n">
        <v>76600</v>
      </c>
      <c r="AE3720" t="n">
        <v>597480</v>
      </c>
      <c r="AF3720" t="n">
        <v>612800</v>
      </c>
      <c r="AG3720" t="n">
        <v>74072.2</v>
      </c>
      <c r="AH3720" t="n">
        <v>538727.8</v>
      </c>
      <c r="AI3720" t="n">
        <v>0</v>
      </c>
    </row>
    <row r="3721">
      <c r="A3721" t="inlineStr">
        <is>
          <t>4월</t>
        </is>
      </c>
      <c r="B3721" t="inlineStr">
        <is>
          <t>17주차</t>
        </is>
      </c>
      <c r="C3721" t="inlineStr">
        <is>
          <t>EP</t>
        </is>
      </c>
      <c r="D3721" s="28" t="n">
        <v>46136</v>
      </c>
      <c r="E3721" t="inlineStr">
        <is>
          <t>제이비EP</t>
        </is>
      </c>
      <c r="F3721" t="inlineStr">
        <is>
          <t>김영민</t>
        </is>
      </c>
      <c r="G3721" t="inlineStr">
        <is>
          <t>010-2892-2113</t>
        </is>
      </c>
      <c r="H3721" t="inlineStr">
        <is>
          <t>253구1354</t>
        </is>
      </c>
      <c r="I3721" t="n">
        <v>18900000</v>
      </c>
      <c r="J3721" t="n">
        <v>0.11</v>
      </c>
      <c r="K3721" t="n">
        <v>1.65</v>
      </c>
      <c r="L3721" t="n">
        <v>0.07000000000000001</v>
      </c>
      <c r="M3721" t="n">
        <v>1.58</v>
      </c>
      <c r="P3721" t="inlineStr">
        <is>
          <t>박현민</t>
        </is>
      </c>
      <c r="Q3721" t="inlineStr">
        <is>
          <t>홈서비스 60개월</t>
        </is>
      </c>
      <c r="AB3721" t="inlineStr">
        <is>
          <t>홈서비스</t>
        </is>
      </c>
      <c r="AC3721" t="n">
        <v>311850</v>
      </c>
      <c r="AD3721" t="n">
        <v>13230</v>
      </c>
      <c r="AE3721" t="n">
        <v>298620</v>
      </c>
      <c r="AF3721" t="n">
        <v>283500</v>
      </c>
      <c r="AG3721" t="n">
        <v>12793.41</v>
      </c>
      <c r="AH3721" t="n">
        <v>270706.59</v>
      </c>
      <c r="AI3721" t="n">
        <v>0</v>
      </c>
    </row>
    <row r="3722">
      <c r="A3722" t="inlineStr">
        <is>
          <t>4월</t>
        </is>
      </c>
      <c r="B3722" t="inlineStr">
        <is>
          <t>17주차</t>
        </is>
      </c>
      <c r="C3722" t="inlineStr">
        <is>
          <t>EP</t>
        </is>
      </c>
      <c r="D3722" s="28" t="n">
        <v>46137</v>
      </c>
      <c r="E3722" t="inlineStr">
        <is>
          <t>현대EP</t>
        </is>
      </c>
      <c r="F3722" t="inlineStr">
        <is>
          <t>김주호</t>
        </is>
      </c>
      <c r="G3722" t="inlineStr">
        <is>
          <t>010-9355-1823</t>
        </is>
      </c>
      <c r="H3722" t="inlineStr">
        <is>
          <t>31마5755</t>
        </is>
      </c>
      <c r="I3722" t="n">
        <v>15000000</v>
      </c>
      <c r="J3722" t="n">
        <v>0.075</v>
      </c>
      <c r="K3722" t="n">
        <v>1.76</v>
      </c>
      <c r="L3722" t="n">
        <v>0.2</v>
      </c>
      <c r="M3722" t="n">
        <v>1.56</v>
      </c>
      <c r="P3722" t="inlineStr">
        <is>
          <t>김수연</t>
        </is>
      </c>
      <c r="AB3722" t="inlineStr">
        <is>
          <t>홈서비스</t>
        </is>
      </c>
      <c r="AC3722" t="n">
        <v>264000</v>
      </c>
      <c r="AD3722" t="n">
        <v>30000</v>
      </c>
      <c r="AE3722" t="n">
        <v>234000</v>
      </c>
      <c r="AF3722" t="n">
        <v>240000</v>
      </c>
      <c r="AG3722" t="n">
        <v>29010</v>
      </c>
      <c r="AH3722" t="n">
        <v>210990</v>
      </c>
      <c r="AI3722" t="n">
        <v>0</v>
      </c>
    </row>
    <row r="3723">
      <c r="A3723" t="inlineStr">
        <is>
          <t>4월</t>
        </is>
      </c>
      <c r="B3723" t="inlineStr">
        <is>
          <t>17주차</t>
        </is>
      </c>
      <c r="C3723" t="inlineStr">
        <is>
          <t>EP</t>
        </is>
      </c>
      <c r="D3723" s="28" t="n">
        <v>46137</v>
      </c>
      <c r="E3723" t="inlineStr">
        <is>
          <t>현대EP</t>
        </is>
      </c>
      <c r="F3723" t="inlineStr">
        <is>
          <t>최대현</t>
        </is>
      </c>
      <c r="G3723" t="inlineStr">
        <is>
          <t>010-2439-5043</t>
        </is>
      </c>
      <c r="H3723" t="inlineStr">
        <is>
          <t>14수0979</t>
        </is>
      </c>
      <c r="I3723" t="n">
        <v>3000000</v>
      </c>
      <c r="J3723" t="n">
        <v>0.062</v>
      </c>
      <c r="K3723" t="n">
        <v>1.76</v>
      </c>
      <c r="L3723" t="n">
        <v>0.2</v>
      </c>
      <c r="M3723" t="n">
        <v>1.56</v>
      </c>
      <c r="P3723" t="inlineStr">
        <is>
          <t>김수연</t>
        </is>
      </c>
      <c r="AB3723" t="inlineStr">
        <is>
          <t>홈서비스</t>
        </is>
      </c>
      <c r="AC3723" t="n">
        <v>52800</v>
      </c>
      <c r="AD3723" t="n">
        <v>6000</v>
      </c>
      <c r="AE3723" t="n">
        <v>46800</v>
      </c>
      <c r="AF3723" t="n">
        <v>48000</v>
      </c>
      <c r="AG3723" t="n">
        <v>5802</v>
      </c>
      <c r="AH3723" t="n">
        <v>42198</v>
      </c>
    </row>
    <row r="3724">
      <c r="A3724" t="inlineStr">
        <is>
          <t>4월</t>
        </is>
      </c>
      <c r="B3724" t="inlineStr">
        <is>
          <t>18주차</t>
        </is>
      </c>
      <c r="C3724" t="inlineStr">
        <is>
          <t>EP</t>
        </is>
      </c>
      <c r="D3724" s="28" t="n">
        <v>46139</v>
      </c>
      <c r="E3724" t="inlineStr">
        <is>
          <t>현대EP_fast</t>
        </is>
      </c>
      <c r="F3724" t="inlineStr">
        <is>
          <t>오주형</t>
        </is>
      </c>
      <c r="G3724" t="inlineStr">
        <is>
          <t>010-6412-4117</t>
        </is>
      </c>
      <c r="H3724" t="inlineStr">
        <is>
          <t>65가2719</t>
        </is>
      </c>
      <c r="I3724" t="n">
        <v>12700000</v>
      </c>
      <c r="J3724" t="n">
        <v>0.075</v>
      </c>
      <c r="K3724" t="n">
        <v>1.76</v>
      </c>
      <c r="L3724" t="n">
        <v>0.2</v>
      </c>
      <c r="M3724" t="n">
        <v>1.56</v>
      </c>
      <c r="P3724" t="inlineStr">
        <is>
          <t>김수연</t>
        </is>
      </c>
      <c r="Q3724" t="inlineStr">
        <is>
          <t>홈서비스 24개월</t>
        </is>
      </c>
      <c r="AB3724" t="inlineStr">
        <is>
          <t>홈서비스</t>
        </is>
      </c>
      <c r="AC3724" t="n">
        <v>223520</v>
      </c>
      <c r="AD3724" t="n">
        <v>25400</v>
      </c>
      <c r="AE3724" t="n">
        <v>198120</v>
      </c>
      <c r="AF3724" t="n">
        <v>203200</v>
      </c>
      <c r="AG3724" t="n">
        <v>24561.8</v>
      </c>
      <c r="AH3724" t="n">
        <v>178638.2</v>
      </c>
    </row>
    <row r="3725">
      <c r="A3725" t="inlineStr">
        <is>
          <t>4월</t>
        </is>
      </c>
      <c r="B3725" t="inlineStr">
        <is>
          <t>17주차</t>
        </is>
      </c>
      <c r="C3725" t="inlineStr">
        <is>
          <t>IM</t>
        </is>
      </c>
      <c r="D3725" s="28" t="n">
        <v>46136</v>
      </c>
      <c r="E3725" t="inlineStr">
        <is>
          <t>IM캐피탈</t>
        </is>
      </c>
      <c r="F3725" t="inlineStr">
        <is>
          <t>허준강</t>
        </is>
      </c>
      <c r="G3725" t="inlineStr">
        <is>
          <t>010-3351-6603</t>
        </is>
      </c>
      <c r="H3725" t="inlineStr">
        <is>
          <t>39너8034</t>
        </is>
      </c>
      <c r="I3725" t="n">
        <v>20000000</v>
      </c>
      <c r="J3725" t="n">
        <v>0.06900000000000001</v>
      </c>
      <c r="K3725" t="n">
        <v>1.1</v>
      </c>
      <c r="L3725" t="n">
        <v>0.4</v>
      </c>
      <c r="M3725" t="n">
        <v>0.7</v>
      </c>
      <c r="P3725" t="inlineStr">
        <is>
          <t>장현경</t>
        </is>
      </c>
      <c r="AB3725" t="inlineStr">
        <is>
          <t>엔카</t>
        </is>
      </c>
      <c r="AC3725" t="n">
        <v>220000</v>
      </c>
      <c r="AD3725" t="n">
        <v>80000</v>
      </c>
      <c r="AE3725" t="n">
        <v>140000</v>
      </c>
      <c r="AF3725" t="n">
        <v>200000</v>
      </c>
      <c r="AG3725" t="n">
        <v>77360</v>
      </c>
      <c r="AH3725" t="n">
        <v>122640</v>
      </c>
      <c r="AI3725" t="n">
        <v>0</v>
      </c>
    </row>
    <row r="3726">
      <c r="A3726" t="inlineStr">
        <is>
          <t>4월</t>
        </is>
      </c>
      <c r="B3726" t="inlineStr">
        <is>
          <t>17주차</t>
        </is>
      </c>
      <c r="C3726" t="inlineStr">
        <is>
          <t>EP</t>
        </is>
      </c>
      <c r="D3726" s="28" t="n">
        <v>46136</v>
      </c>
      <c r="E3726" t="inlineStr">
        <is>
          <t>현대EP_fast</t>
        </is>
      </c>
      <c r="F3726" t="inlineStr">
        <is>
          <t>김군태</t>
        </is>
      </c>
      <c r="G3726" t="inlineStr">
        <is>
          <t>010-5286-1699</t>
        </is>
      </c>
      <c r="H3726" t="inlineStr">
        <is>
          <t>32라8639</t>
        </is>
      </c>
      <c r="I3726" t="n">
        <v>10600000</v>
      </c>
      <c r="J3726" t="n">
        <v>0.077</v>
      </c>
      <c r="K3726" t="n">
        <v>1.76</v>
      </c>
      <c r="L3726" t="n">
        <v>0.2</v>
      </c>
      <c r="M3726" t="n">
        <v>1.56</v>
      </c>
      <c r="P3726" t="inlineStr">
        <is>
          <t>정세빈</t>
        </is>
      </c>
      <c r="Q3726" t="inlineStr">
        <is>
          <t>홈서비스 60개월</t>
        </is>
      </c>
      <c r="AB3726" t="inlineStr">
        <is>
          <t>홈서비스</t>
        </is>
      </c>
      <c r="AC3726" t="n">
        <v>186560</v>
      </c>
      <c r="AD3726" t="n">
        <v>21200</v>
      </c>
      <c r="AE3726" t="n">
        <v>165360</v>
      </c>
      <c r="AF3726" t="n">
        <v>169600</v>
      </c>
      <c r="AG3726" t="n">
        <v>20500.4</v>
      </c>
      <c r="AH3726" t="n">
        <v>149099.6</v>
      </c>
      <c r="AI3726" t="n">
        <v>0</v>
      </c>
    </row>
    <row r="3727">
      <c r="A3727" t="inlineStr">
        <is>
          <t>4월</t>
        </is>
      </c>
      <c r="B3727" t="inlineStr">
        <is>
          <t>18주차</t>
        </is>
      </c>
      <c r="C3727" t="inlineStr">
        <is>
          <t>WC</t>
        </is>
      </c>
      <c r="D3727" s="28" t="n">
        <v>46139</v>
      </c>
      <c r="E3727" t="inlineStr">
        <is>
          <t>웰컴저축은행</t>
        </is>
      </c>
      <c r="F3727" t="inlineStr">
        <is>
          <t>김은나</t>
        </is>
      </c>
      <c r="G3727" t="inlineStr">
        <is>
          <t>010-8569-9311</t>
        </is>
      </c>
      <c r="H3727" t="inlineStr">
        <is>
          <t>230수4168</t>
        </is>
      </c>
      <c r="I3727" t="n">
        <v>26900000</v>
      </c>
      <c r="J3727" t="n">
        <v>0.168</v>
      </c>
      <c r="K3727" t="n">
        <v>2.2</v>
      </c>
      <c r="L3727" t="n">
        <v>0.07000000000000001</v>
      </c>
      <c r="M3727" t="n">
        <v>2.13</v>
      </c>
      <c r="P3727" t="inlineStr">
        <is>
          <t>김수연</t>
        </is>
      </c>
      <c r="Q3727" t="inlineStr">
        <is>
          <t>부결 db실행 / 홈서비스 60개월</t>
        </is>
      </c>
      <c r="AB3727" t="inlineStr">
        <is>
          <t>홈서비스</t>
        </is>
      </c>
      <c r="AC3727" t="n">
        <v>591800</v>
      </c>
      <c r="AD3727" t="n">
        <v>18830</v>
      </c>
      <c r="AE3727" t="n">
        <v>572970</v>
      </c>
      <c r="AF3727" t="n">
        <v>538000</v>
      </c>
      <c r="AG3727" t="n">
        <v>18208.61</v>
      </c>
      <c r="AH3727" t="n">
        <v>519791.39</v>
      </c>
      <c r="AI3727" t="n">
        <v>0</v>
      </c>
    </row>
    <row r="3728">
      <c r="A3728" t="inlineStr">
        <is>
          <t>4월</t>
        </is>
      </c>
      <c r="B3728" t="inlineStr">
        <is>
          <t>17주차</t>
        </is>
      </c>
      <c r="C3728" t="inlineStr">
        <is>
          <t>EP</t>
        </is>
      </c>
      <c r="D3728" s="28" t="n">
        <v>46138</v>
      </c>
      <c r="E3728" t="inlineStr">
        <is>
          <t>현대EP</t>
        </is>
      </c>
      <c r="F3728" t="inlineStr">
        <is>
          <t>김영진</t>
        </is>
      </c>
      <c r="G3728" t="inlineStr">
        <is>
          <t>010-4660-6377</t>
        </is>
      </c>
      <c r="H3728" t="inlineStr">
        <is>
          <t>333어6290</t>
        </is>
      </c>
      <c r="I3728" t="n">
        <v>4000000</v>
      </c>
      <c r="J3728" t="n">
        <v>0.075</v>
      </c>
      <c r="K3728" t="n">
        <v>1.76</v>
      </c>
      <c r="L3728" t="n">
        <v>0.2</v>
      </c>
      <c r="M3728" t="n">
        <v>1.56</v>
      </c>
      <c r="P3728" t="inlineStr">
        <is>
          <t>김나윤</t>
        </is>
      </c>
      <c r="AB3728" t="inlineStr">
        <is>
          <t>홈서비스</t>
        </is>
      </c>
      <c r="AC3728" t="n">
        <v>70400</v>
      </c>
      <c r="AD3728" t="n">
        <v>8000</v>
      </c>
      <c r="AE3728" t="n">
        <v>62400</v>
      </c>
      <c r="AF3728" t="n">
        <v>64000</v>
      </c>
      <c r="AG3728" t="n">
        <v>7736</v>
      </c>
      <c r="AH3728" t="n">
        <v>56264</v>
      </c>
      <c r="AI3728" t="n">
        <v>0</v>
      </c>
    </row>
    <row r="3729">
      <c r="A3729" t="inlineStr">
        <is>
          <t>4월</t>
        </is>
      </c>
      <c r="B3729" t="inlineStr">
        <is>
          <t>17주차</t>
        </is>
      </c>
      <c r="C3729" t="inlineStr">
        <is>
          <t>IM</t>
        </is>
      </c>
      <c r="D3729" s="28" t="n">
        <v>46136</v>
      </c>
      <c r="E3729" t="inlineStr">
        <is>
          <t>IM캐피탈</t>
        </is>
      </c>
      <c r="F3729" t="inlineStr">
        <is>
          <t>정성욱</t>
        </is>
      </c>
      <c r="G3729" t="inlineStr">
        <is>
          <t>010-4809-6262</t>
        </is>
      </c>
      <c r="H3729" t="inlineStr">
        <is>
          <t>154거7287</t>
        </is>
      </c>
      <c r="I3729" t="n">
        <v>32500000</v>
      </c>
      <c r="J3729" t="n">
        <v>0.049</v>
      </c>
      <c r="K3729" t="n">
        <v>1.1</v>
      </c>
      <c r="L3729" t="n">
        <v>0.07000000000000001</v>
      </c>
      <c r="M3729" t="n">
        <v>1.03</v>
      </c>
      <c r="P3729" t="inlineStr">
        <is>
          <t>정세빈</t>
        </is>
      </c>
      <c r="Q3729" t="inlineStr">
        <is>
          <t>홈서비스 36개월</t>
        </is>
      </c>
      <c r="AB3729" t="inlineStr">
        <is>
          <t>홈서비스</t>
        </is>
      </c>
      <c r="AC3729" t="n">
        <v>357500</v>
      </c>
      <c r="AD3729" t="n">
        <v>22750</v>
      </c>
      <c r="AE3729" t="n">
        <v>334750</v>
      </c>
      <c r="AF3729" t="n">
        <v>325000</v>
      </c>
      <c r="AG3729" t="n">
        <v>21999.25</v>
      </c>
      <c r="AH3729" t="n">
        <v>303000.75</v>
      </c>
      <c r="AI3729" t="n">
        <v>0</v>
      </c>
    </row>
    <row r="3730">
      <c r="A3730" t="inlineStr">
        <is>
          <t>4월</t>
        </is>
      </c>
      <c r="B3730" t="inlineStr">
        <is>
          <t>18주차</t>
        </is>
      </c>
      <c r="C3730" t="inlineStr">
        <is>
          <t>EP</t>
        </is>
      </c>
      <c r="D3730" s="28" t="n">
        <v>46139</v>
      </c>
      <c r="E3730" t="inlineStr">
        <is>
          <t>현대EP_fast</t>
        </is>
      </c>
      <c r="F3730" t="inlineStr">
        <is>
          <t>김영민</t>
        </is>
      </c>
      <c r="G3730" t="inlineStr">
        <is>
          <t>010-3952-8711</t>
        </is>
      </c>
      <c r="H3730" t="inlineStr">
        <is>
          <t>49러5678</t>
        </is>
      </c>
      <c r="I3730" t="n">
        <v>5700000</v>
      </c>
      <c r="J3730" t="n">
        <v>0.081</v>
      </c>
      <c r="K3730" t="n">
        <v>1.76</v>
      </c>
      <c r="L3730" t="n">
        <v>0.2</v>
      </c>
      <c r="M3730" t="n">
        <v>1.56</v>
      </c>
      <c r="P3730" t="inlineStr">
        <is>
          <t>김수연</t>
        </is>
      </c>
      <c r="Q3730" t="inlineStr">
        <is>
          <t>홈서비스 48개월</t>
        </is>
      </c>
      <c r="AB3730" t="inlineStr">
        <is>
          <t>홈서비스</t>
        </is>
      </c>
      <c r="AC3730" t="n">
        <v>100320</v>
      </c>
      <c r="AD3730" t="n">
        <v>11400</v>
      </c>
      <c r="AE3730" t="n">
        <v>88920</v>
      </c>
      <c r="AF3730" t="n">
        <v>91200</v>
      </c>
      <c r="AG3730" t="n">
        <v>11023.8</v>
      </c>
      <c r="AH3730" t="n">
        <v>80176.2</v>
      </c>
      <c r="AI3730" t="n">
        <v>0</v>
      </c>
    </row>
    <row r="3731">
      <c r="A3731" t="inlineStr">
        <is>
          <t>4월</t>
        </is>
      </c>
      <c r="B3731" t="inlineStr">
        <is>
          <t>17주차</t>
        </is>
      </c>
      <c r="C3731" t="inlineStr">
        <is>
          <t>IM</t>
        </is>
      </c>
      <c r="D3731" s="28" t="n">
        <v>46136</v>
      </c>
      <c r="E3731" t="inlineStr">
        <is>
          <t>IM캐피탈</t>
        </is>
      </c>
      <c r="F3731" t="inlineStr">
        <is>
          <t>김성중</t>
        </is>
      </c>
      <c r="G3731" t="inlineStr">
        <is>
          <t>010-8222-6758</t>
        </is>
      </c>
      <c r="H3731" t="inlineStr">
        <is>
          <t>237더5695</t>
        </is>
      </c>
      <c r="I3731" t="n">
        <v>21000000</v>
      </c>
      <c r="J3731" t="n">
        <v>0.049</v>
      </c>
      <c r="K3731" t="n">
        <v>1.1</v>
      </c>
      <c r="L3731" t="n">
        <v>0.07000000000000001</v>
      </c>
      <c r="M3731" t="n">
        <v>1.03</v>
      </c>
      <c r="P3731" t="inlineStr">
        <is>
          <t>장현경</t>
        </is>
      </c>
      <c r="Q3731" t="inlineStr">
        <is>
          <t>선상담 / 홈서비스 60개월</t>
        </is>
      </c>
      <c r="AB3731" t="inlineStr">
        <is>
          <t>홈서비스</t>
        </is>
      </c>
      <c r="AC3731" t="n">
        <v>231000</v>
      </c>
      <c r="AD3731" t="n">
        <v>14700</v>
      </c>
      <c r="AE3731" t="n">
        <v>216300</v>
      </c>
      <c r="AF3731" t="n">
        <v>210000</v>
      </c>
      <c r="AG3731" t="n">
        <v>14214.9</v>
      </c>
      <c r="AH3731" t="n">
        <v>195785.1</v>
      </c>
      <c r="AI3731" t="n">
        <v>0</v>
      </c>
    </row>
    <row r="3732">
      <c r="A3732" t="inlineStr">
        <is>
          <t>4월</t>
        </is>
      </c>
      <c r="B3732" t="inlineStr">
        <is>
          <t>18주차</t>
        </is>
      </c>
      <c r="C3732" t="inlineStr">
        <is>
          <t>EP</t>
        </is>
      </c>
      <c r="D3732" s="28" t="n">
        <v>46139</v>
      </c>
      <c r="E3732" t="inlineStr">
        <is>
          <t>현대EP_fast</t>
        </is>
      </c>
      <c r="F3732" t="inlineStr">
        <is>
          <t>김한진</t>
        </is>
      </c>
      <c r="G3732" t="inlineStr">
        <is>
          <t>010-7635-9007</t>
        </is>
      </c>
      <c r="H3732" t="inlineStr">
        <is>
          <t>01저0829</t>
        </is>
      </c>
      <c r="I3732" t="n">
        <v>3900000</v>
      </c>
      <c r="J3732" t="n">
        <v>0.08599999999999999</v>
      </c>
      <c r="K3732" t="n">
        <v>1.76</v>
      </c>
      <c r="L3732" t="n">
        <v>0.2</v>
      </c>
      <c r="M3732" t="n">
        <v>1.56</v>
      </c>
      <c r="P3732" t="inlineStr">
        <is>
          <t>정세빈</t>
        </is>
      </c>
      <c r="Q3732" t="inlineStr">
        <is>
          <t>홈서비스 36개월</t>
        </is>
      </c>
      <c r="AB3732" t="inlineStr">
        <is>
          <t>홈서비스</t>
        </is>
      </c>
      <c r="AC3732" t="n">
        <v>68640</v>
      </c>
      <c r="AD3732" t="n">
        <v>7800</v>
      </c>
      <c r="AE3732" t="n">
        <v>60840</v>
      </c>
      <c r="AF3732" t="n">
        <v>62400</v>
      </c>
      <c r="AG3732" t="n">
        <v>7542.6</v>
      </c>
      <c r="AH3732" t="n">
        <v>54857.4</v>
      </c>
    </row>
    <row r="3733">
      <c r="A3733" t="inlineStr">
        <is>
          <t>4월</t>
        </is>
      </c>
      <c r="B3733" t="inlineStr">
        <is>
          <t>17주차</t>
        </is>
      </c>
      <c r="C3733" t="inlineStr">
        <is>
          <t>EP</t>
        </is>
      </c>
      <c r="D3733" s="28" t="n">
        <v>46136</v>
      </c>
      <c r="E3733" t="inlineStr">
        <is>
          <t>현대EP</t>
        </is>
      </c>
      <c r="F3733" t="inlineStr">
        <is>
          <t>염혜운</t>
        </is>
      </c>
      <c r="G3733" t="inlineStr">
        <is>
          <t>010-2490-5412</t>
        </is>
      </c>
      <c r="H3733" t="inlineStr">
        <is>
          <t>245도7147</t>
        </is>
      </c>
      <c r="I3733" t="n">
        <v>23700000</v>
      </c>
      <c r="J3733" t="n">
        <v>0.079</v>
      </c>
      <c r="K3733" t="n">
        <v>1.76</v>
      </c>
      <c r="L3733" t="n">
        <v>0.2</v>
      </c>
      <c r="M3733" t="n">
        <v>1.56</v>
      </c>
      <c r="P3733" t="inlineStr">
        <is>
          <t>최형주</t>
        </is>
      </c>
      <c r="AB3733" t="inlineStr">
        <is>
          <t>홈서비스</t>
        </is>
      </c>
      <c r="AC3733" t="n">
        <v>417120</v>
      </c>
      <c r="AD3733" t="n">
        <v>47400</v>
      </c>
      <c r="AE3733" t="n">
        <v>369720</v>
      </c>
      <c r="AF3733" t="n">
        <v>379200</v>
      </c>
      <c r="AG3733" t="n">
        <v>45835.8</v>
      </c>
      <c r="AH3733" t="n">
        <v>333364.2</v>
      </c>
      <c r="AI3733" t="n">
        <v>0</v>
      </c>
    </row>
    <row r="3734">
      <c r="A3734" t="inlineStr">
        <is>
          <t>4월</t>
        </is>
      </c>
      <c r="B3734" t="inlineStr">
        <is>
          <t>17주차</t>
        </is>
      </c>
      <c r="C3734" t="inlineStr">
        <is>
          <t>EP</t>
        </is>
      </c>
      <c r="D3734" s="28" t="n">
        <v>46136</v>
      </c>
      <c r="E3734" t="inlineStr">
        <is>
          <t>현대EP_fast</t>
        </is>
      </c>
      <c r="F3734" t="inlineStr">
        <is>
          <t>임종훈</t>
        </is>
      </c>
      <c r="G3734" t="inlineStr">
        <is>
          <t>010-5568-4449</t>
        </is>
      </c>
      <c r="H3734" t="inlineStr">
        <is>
          <t>146저8554</t>
        </is>
      </c>
      <c r="I3734" t="n">
        <v>20000000</v>
      </c>
      <c r="J3734" t="n">
        <v>0.077</v>
      </c>
      <c r="K3734" t="n">
        <v>1.76</v>
      </c>
      <c r="L3734" t="n">
        <v>0.4</v>
      </c>
      <c r="M3734" t="n">
        <v>1.36</v>
      </c>
      <c r="P3734" t="inlineStr">
        <is>
          <t>장진경</t>
        </is>
      </c>
      <c r="AB3734" t="inlineStr">
        <is>
          <t>엔카</t>
        </is>
      </c>
      <c r="AC3734" t="n">
        <v>352000</v>
      </c>
      <c r="AD3734" t="n">
        <v>80000</v>
      </c>
      <c r="AE3734" t="n">
        <v>272000</v>
      </c>
      <c r="AF3734" t="n">
        <v>320000</v>
      </c>
      <c r="AG3734" t="n">
        <v>77360</v>
      </c>
      <c r="AH3734" t="n">
        <v>242640</v>
      </c>
    </row>
    <row r="3735">
      <c r="A3735" t="inlineStr">
        <is>
          <t>4월</t>
        </is>
      </c>
      <c r="B3735" t="inlineStr">
        <is>
          <t>18주차</t>
        </is>
      </c>
      <c r="C3735" t="inlineStr">
        <is>
          <t>EP</t>
        </is>
      </c>
      <c r="D3735" s="28" t="n">
        <v>46139</v>
      </c>
      <c r="E3735" t="inlineStr">
        <is>
          <t>현대EP_fast</t>
        </is>
      </c>
      <c r="F3735" t="inlineStr">
        <is>
          <t>신정민</t>
        </is>
      </c>
      <c r="G3735" t="inlineStr">
        <is>
          <t>010-5644-3723</t>
        </is>
      </c>
      <c r="H3735" t="inlineStr">
        <is>
          <t>107부8315</t>
        </is>
      </c>
      <c r="I3735" t="n">
        <v>16200000</v>
      </c>
      <c r="J3735" t="n">
        <v>0.07099999999999999</v>
      </c>
      <c r="K3735" t="n">
        <v>1.76</v>
      </c>
      <c r="L3735" t="n">
        <v>0.2</v>
      </c>
      <c r="M3735" t="n">
        <v>1.56</v>
      </c>
      <c r="P3735" t="inlineStr">
        <is>
          <t>김나윤</t>
        </is>
      </c>
      <c r="Q3735" t="inlineStr">
        <is>
          <t>홈서비스 48개월</t>
        </is>
      </c>
      <c r="AB3735" t="inlineStr">
        <is>
          <t>홈서비스</t>
        </is>
      </c>
      <c r="AC3735" t="n">
        <v>285120</v>
      </c>
      <c r="AD3735" t="n">
        <v>32400</v>
      </c>
      <c r="AE3735" t="n">
        <v>252720</v>
      </c>
      <c r="AF3735" t="n">
        <v>259200</v>
      </c>
      <c r="AG3735" t="n">
        <v>31330.8</v>
      </c>
      <c r="AH3735" t="n">
        <v>227869.2</v>
      </c>
      <c r="AI3735" t="n">
        <v>0</v>
      </c>
    </row>
    <row r="3736">
      <c r="A3736" t="inlineStr">
        <is>
          <t>4월</t>
        </is>
      </c>
      <c r="B3736" t="inlineStr">
        <is>
          <t>18주차</t>
        </is>
      </c>
      <c r="C3736" t="inlineStr">
        <is>
          <t>IM</t>
        </is>
      </c>
      <c r="D3736" s="28" t="n">
        <v>46139</v>
      </c>
      <c r="E3736" t="inlineStr">
        <is>
          <t>IM캐피탈</t>
        </is>
      </c>
      <c r="F3736" t="inlineStr">
        <is>
          <t>김현민</t>
        </is>
      </c>
      <c r="G3736" t="inlineStr">
        <is>
          <t>010-8488-6798</t>
        </is>
      </c>
      <c r="H3736" t="inlineStr">
        <is>
          <t>65나6364</t>
        </is>
      </c>
      <c r="I3736" t="n">
        <v>16700000</v>
      </c>
      <c r="J3736" t="n">
        <v>0.059</v>
      </c>
      <c r="K3736" t="n">
        <v>1.1</v>
      </c>
      <c r="L3736" t="n">
        <v>0.07000000000000001</v>
      </c>
      <c r="M3736" t="n">
        <v>1.03</v>
      </c>
      <c r="P3736" t="inlineStr">
        <is>
          <t>정세빈</t>
        </is>
      </c>
      <c r="Q3736" t="inlineStr">
        <is>
          <t>홈서비스 24개월</t>
        </is>
      </c>
      <c r="AB3736" t="inlineStr">
        <is>
          <t>홈서비스</t>
        </is>
      </c>
      <c r="AC3736" t="n">
        <v>183700</v>
      </c>
      <c r="AD3736" t="n">
        <v>11690</v>
      </c>
      <c r="AE3736" t="n">
        <v>172010</v>
      </c>
      <c r="AF3736" t="n">
        <v>167000</v>
      </c>
      <c r="AG3736" t="n">
        <v>11304.23</v>
      </c>
      <c r="AH3736" t="n">
        <v>155695.77</v>
      </c>
      <c r="AI3736" t="n">
        <v>0</v>
      </c>
      <c r="AJ3736" t="inlineStr">
        <is>
          <t>개인</t>
        </is>
      </c>
    </row>
    <row r="3737">
      <c r="A3737" t="inlineStr">
        <is>
          <t>4월</t>
        </is>
      </c>
      <c r="B3737" t="inlineStr">
        <is>
          <t>18주차</t>
        </is>
      </c>
      <c r="C3737" t="inlineStr">
        <is>
          <t>EP</t>
        </is>
      </c>
      <c r="D3737" s="28" t="n">
        <v>46139</v>
      </c>
      <c r="E3737" t="inlineStr">
        <is>
          <t>현대EP_fast</t>
        </is>
      </c>
      <c r="F3737" t="inlineStr">
        <is>
          <t>백승훈</t>
        </is>
      </c>
      <c r="G3737" t="inlineStr">
        <is>
          <t>010-3328-1103</t>
        </is>
      </c>
      <c r="H3737" t="inlineStr">
        <is>
          <t>210나2260</t>
        </is>
      </c>
      <c r="I3737" t="n">
        <v>10000000</v>
      </c>
      <c r="J3737" t="n">
        <v>0.077</v>
      </c>
      <c r="K3737" t="n">
        <v>1.76</v>
      </c>
      <c r="L3737" t="n">
        <v>0.2</v>
      </c>
      <c r="M3737" t="n">
        <v>1.56</v>
      </c>
      <c r="P3737" t="inlineStr">
        <is>
          <t>정세빈</t>
        </is>
      </c>
      <c r="Q3737" t="inlineStr">
        <is>
          <t>홈서비스 36개월</t>
        </is>
      </c>
      <c r="AB3737" t="inlineStr">
        <is>
          <t>홈서비스</t>
        </is>
      </c>
      <c r="AC3737" t="n">
        <v>176000</v>
      </c>
      <c r="AD3737" t="n">
        <v>20000</v>
      </c>
      <c r="AE3737" t="n">
        <v>156000</v>
      </c>
      <c r="AF3737" t="n">
        <v>160000</v>
      </c>
      <c r="AG3737" t="n">
        <v>19340</v>
      </c>
      <c r="AH3737" t="n">
        <v>140660</v>
      </c>
      <c r="AI3737" t="n">
        <v>0</v>
      </c>
    </row>
    <row r="3738">
      <c r="A3738" t="inlineStr">
        <is>
          <t>4월</t>
        </is>
      </c>
      <c r="B3738" t="inlineStr">
        <is>
          <t>17주차</t>
        </is>
      </c>
      <c r="C3738" t="inlineStr">
        <is>
          <t>IM</t>
        </is>
      </c>
      <c r="D3738" s="28" t="n">
        <v>46135</v>
      </c>
      <c r="E3738" t="inlineStr">
        <is>
          <t>IM캐피탈</t>
        </is>
      </c>
      <c r="F3738" t="inlineStr">
        <is>
          <t>고재건</t>
        </is>
      </c>
      <c r="G3738" t="inlineStr">
        <is>
          <t>010-5705-7863</t>
        </is>
      </c>
      <c r="H3738" t="inlineStr">
        <is>
          <t>43구6004</t>
        </is>
      </c>
      <c r="I3738" t="n">
        <v>35000000</v>
      </c>
      <c r="J3738" t="n">
        <v>0.056</v>
      </c>
      <c r="K3738" t="n">
        <v>1.1</v>
      </c>
      <c r="L3738" t="n">
        <v>0.4</v>
      </c>
      <c r="M3738" t="n">
        <v>0.7</v>
      </c>
      <c r="P3738" t="inlineStr">
        <is>
          <t>임대경</t>
        </is>
      </c>
      <c r="AB3738" t="inlineStr">
        <is>
          <t>엔카</t>
        </is>
      </c>
      <c r="AC3738" t="n">
        <v>385000</v>
      </c>
      <c r="AD3738" t="n">
        <v>140000</v>
      </c>
      <c r="AE3738" t="n">
        <v>245000</v>
      </c>
      <c r="AF3738" t="n">
        <v>350000</v>
      </c>
      <c r="AG3738" t="n">
        <v>135380</v>
      </c>
      <c r="AH3738" t="n">
        <v>214620</v>
      </c>
      <c r="AI3738" t="n">
        <v>0</v>
      </c>
    </row>
    <row r="3739">
      <c r="A3739" t="inlineStr">
        <is>
          <t>4월</t>
        </is>
      </c>
      <c r="B3739" t="inlineStr">
        <is>
          <t>17주차</t>
        </is>
      </c>
      <c r="C3739" t="inlineStr">
        <is>
          <t>EP</t>
        </is>
      </c>
      <c r="D3739" s="28" t="n">
        <v>46136</v>
      </c>
      <c r="E3739" t="inlineStr">
        <is>
          <t>제이비EP</t>
        </is>
      </c>
      <c r="F3739" t="inlineStr">
        <is>
          <t xml:space="preserve">이한별 </t>
        </is>
      </c>
      <c r="G3739" t="inlineStr">
        <is>
          <t>010-3013-1215</t>
        </is>
      </c>
      <c r="H3739" t="inlineStr">
        <is>
          <t>60서8967</t>
        </is>
      </c>
      <c r="I3739" t="n">
        <v>4700000</v>
      </c>
      <c r="J3739" t="n">
        <v>0.08500000000000001</v>
      </c>
      <c r="K3739" t="n">
        <v>1.65</v>
      </c>
      <c r="L3739" t="n">
        <v>0.4</v>
      </c>
      <c r="M3739" t="n">
        <v>1.25</v>
      </c>
      <c r="P3739" t="inlineStr">
        <is>
          <t>최혁</t>
        </is>
      </c>
      <c r="Q3739" t="inlineStr">
        <is>
          <t>부대비용진행건</t>
        </is>
      </c>
      <c r="AB3739" t="inlineStr">
        <is>
          <t>엔카</t>
        </is>
      </c>
      <c r="AC3739" t="n">
        <v>77550</v>
      </c>
      <c r="AD3739" t="n">
        <v>18800</v>
      </c>
      <c r="AE3739" t="n">
        <v>58750</v>
      </c>
      <c r="AF3739" t="n">
        <v>70500</v>
      </c>
      <c r="AG3739" t="n">
        <v>18179.6</v>
      </c>
      <c r="AH3739" t="n">
        <v>52320.4</v>
      </c>
      <c r="AI3739" t="n">
        <v>0</v>
      </c>
    </row>
    <row r="3740">
      <c r="A3740" t="inlineStr">
        <is>
          <t>4월</t>
        </is>
      </c>
      <c r="B3740" t="inlineStr">
        <is>
          <t>18주차</t>
        </is>
      </c>
      <c r="C3740" t="inlineStr">
        <is>
          <t>IM</t>
        </is>
      </c>
      <c r="D3740" s="28" t="n">
        <v>46139</v>
      </c>
      <c r="E3740" t="inlineStr">
        <is>
          <t>IM캐피탈</t>
        </is>
      </c>
      <c r="F3740" t="inlineStr">
        <is>
          <t>도민수</t>
        </is>
      </c>
      <c r="G3740" t="inlineStr">
        <is>
          <t>010-5112-5594</t>
        </is>
      </c>
      <c r="H3740" t="inlineStr">
        <is>
          <t>823두1529</t>
        </is>
      </c>
      <c r="I3740" t="n">
        <v>32500000</v>
      </c>
      <c r="J3740" t="n">
        <v>0.049</v>
      </c>
      <c r="K3740" t="n">
        <v>1.1</v>
      </c>
      <c r="L3740" t="n">
        <v>0.4</v>
      </c>
      <c r="M3740" t="n">
        <v>0.7</v>
      </c>
      <c r="P3740" t="inlineStr">
        <is>
          <t>장현경</t>
        </is>
      </c>
      <c r="AB3740" t="inlineStr">
        <is>
          <t>엔카</t>
        </is>
      </c>
      <c r="AC3740" t="n">
        <v>357500</v>
      </c>
      <c r="AD3740" t="n">
        <v>130000</v>
      </c>
      <c r="AE3740" t="n">
        <v>227500</v>
      </c>
      <c r="AF3740" t="n">
        <v>325000</v>
      </c>
      <c r="AG3740" t="n">
        <v>125710</v>
      </c>
      <c r="AH3740" t="n">
        <v>199290</v>
      </c>
      <c r="AI3740" t="n">
        <v>0</v>
      </c>
    </row>
    <row r="3741">
      <c r="A3741" t="inlineStr">
        <is>
          <t>4월</t>
        </is>
      </c>
      <c r="B3741" t="inlineStr">
        <is>
          <t>17주차</t>
        </is>
      </c>
      <c r="C3741" t="inlineStr">
        <is>
          <t>EP</t>
        </is>
      </c>
      <c r="D3741" s="28" t="n">
        <v>46138</v>
      </c>
      <c r="E3741" t="inlineStr">
        <is>
          <t>현대EP</t>
        </is>
      </c>
      <c r="F3741" t="inlineStr">
        <is>
          <t>이영득</t>
        </is>
      </c>
      <c r="G3741" t="inlineStr">
        <is>
          <t>010-9066-5657</t>
        </is>
      </c>
      <c r="H3741" t="inlineStr">
        <is>
          <t>388마8908</t>
        </is>
      </c>
      <c r="I3741" t="n">
        <v>30000000</v>
      </c>
      <c r="J3741" t="n">
        <v>0.079</v>
      </c>
      <c r="K3741" t="n">
        <v>1.76</v>
      </c>
      <c r="L3741" t="n">
        <v>0.2</v>
      </c>
      <c r="M3741" t="n">
        <v>1.56</v>
      </c>
      <c r="P3741" t="inlineStr">
        <is>
          <t>황채이</t>
        </is>
      </c>
      <c r="AB3741" t="inlineStr">
        <is>
          <t>홈서비스</t>
        </is>
      </c>
      <c r="AC3741" t="n">
        <v>528000</v>
      </c>
      <c r="AD3741" t="n">
        <v>60000</v>
      </c>
      <c r="AE3741" t="n">
        <v>468000</v>
      </c>
      <c r="AF3741" t="n">
        <v>480000</v>
      </c>
      <c r="AG3741" t="n">
        <v>58020</v>
      </c>
      <c r="AH3741" t="n">
        <v>421980</v>
      </c>
    </row>
    <row r="3742">
      <c r="A3742" t="inlineStr">
        <is>
          <t>4월</t>
        </is>
      </c>
      <c r="B3742" t="inlineStr">
        <is>
          <t>18주차</t>
        </is>
      </c>
      <c r="C3742" t="inlineStr">
        <is>
          <t>IM</t>
        </is>
      </c>
      <c r="D3742" s="28" t="n">
        <v>46139</v>
      </c>
      <c r="E3742" t="inlineStr">
        <is>
          <t>IM캐피탈</t>
        </is>
      </c>
      <c r="F3742" t="inlineStr">
        <is>
          <t>송원근</t>
        </is>
      </c>
      <c r="G3742" t="inlineStr">
        <is>
          <t>010-4884-0171</t>
        </is>
      </c>
      <c r="H3742" t="inlineStr">
        <is>
          <t>205너2006</t>
        </is>
      </c>
      <c r="I3742" t="n">
        <v>22000000</v>
      </c>
      <c r="J3742" t="n">
        <v>0.049</v>
      </c>
      <c r="K3742" t="n">
        <v>1.1</v>
      </c>
      <c r="L3742" t="n">
        <v>0.07000000000000001</v>
      </c>
      <c r="M3742" t="n">
        <v>1.03</v>
      </c>
      <c r="P3742" t="inlineStr">
        <is>
          <t>황채이</t>
        </is>
      </c>
      <c r="Q3742" t="inlineStr">
        <is>
          <t>홈서비스 36개월</t>
        </is>
      </c>
      <c r="AB3742" t="inlineStr">
        <is>
          <t>홈서비스</t>
        </is>
      </c>
      <c r="AC3742" t="n">
        <v>242000</v>
      </c>
      <c r="AD3742" t="n">
        <v>15400</v>
      </c>
      <c r="AE3742" t="n">
        <v>226600</v>
      </c>
      <c r="AF3742" t="n">
        <v>220000</v>
      </c>
      <c r="AG3742" t="n">
        <v>14891.8</v>
      </c>
      <c r="AH3742" t="n">
        <v>205108.2</v>
      </c>
      <c r="AI3742" t="n">
        <v>0</v>
      </c>
    </row>
    <row r="3743">
      <c r="A3743" t="inlineStr">
        <is>
          <t>4월</t>
        </is>
      </c>
      <c r="B3743" t="inlineStr">
        <is>
          <t>18주차</t>
        </is>
      </c>
      <c r="C3743" t="inlineStr">
        <is>
          <t>EP</t>
        </is>
      </c>
      <c r="D3743" s="28" t="n">
        <v>46139</v>
      </c>
      <c r="E3743" t="inlineStr">
        <is>
          <t>현대EP_fast</t>
        </is>
      </c>
      <c r="F3743" t="inlineStr">
        <is>
          <t>노승우</t>
        </is>
      </c>
      <c r="G3743" t="inlineStr">
        <is>
          <t>010-6656-5119</t>
        </is>
      </c>
      <c r="H3743" t="inlineStr">
        <is>
          <t>03버1270</t>
        </is>
      </c>
      <c r="I3743" t="n">
        <v>4000000</v>
      </c>
      <c r="J3743" t="n">
        <v>0.077</v>
      </c>
      <c r="K3743" t="n">
        <v>1.76</v>
      </c>
      <c r="L3743" t="n">
        <v>0.2</v>
      </c>
      <c r="M3743" t="n">
        <v>1.56</v>
      </c>
      <c r="P3743" t="inlineStr">
        <is>
          <t>황채이</t>
        </is>
      </c>
      <c r="Q3743" t="inlineStr">
        <is>
          <t>홈서비스 24개월</t>
        </is>
      </c>
      <c r="AB3743" t="inlineStr">
        <is>
          <t>홈서비스</t>
        </is>
      </c>
      <c r="AC3743" t="n">
        <v>70400</v>
      </c>
      <c r="AD3743" t="n">
        <v>8000</v>
      </c>
      <c r="AE3743" t="n">
        <v>62400</v>
      </c>
      <c r="AF3743" t="n">
        <v>64000</v>
      </c>
      <c r="AG3743" t="n">
        <v>7736</v>
      </c>
      <c r="AH3743" t="n">
        <v>56264</v>
      </c>
    </row>
    <row r="3744">
      <c r="A3744" t="inlineStr">
        <is>
          <t>4월</t>
        </is>
      </c>
      <c r="B3744" t="inlineStr">
        <is>
          <t>17주차</t>
        </is>
      </c>
      <c r="C3744" t="inlineStr">
        <is>
          <t>IM</t>
        </is>
      </c>
      <c r="D3744" s="28" t="n">
        <v>46136</v>
      </c>
      <c r="E3744" t="inlineStr">
        <is>
          <t>IM캐피탈</t>
        </is>
      </c>
      <c r="F3744" t="inlineStr">
        <is>
          <t>유지웅</t>
        </is>
      </c>
      <c r="G3744" t="inlineStr">
        <is>
          <t>010-5518-2818</t>
        </is>
      </c>
      <c r="H3744" t="inlineStr">
        <is>
          <t>184소3369</t>
        </is>
      </c>
      <c r="I3744" t="n">
        <v>19900000</v>
      </c>
      <c r="J3744" t="n">
        <v>0.06900000000000001</v>
      </c>
      <c r="K3744" t="n">
        <v>1.1</v>
      </c>
      <c r="L3744" t="n">
        <v>0.4</v>
      </c>
      <c r="M3744" t="n">
        <v>0.7</v>
      </c>
      <c r="P3744" t="inlineStr">
        <is>
          <t>구성완</t>
        </is>
      </c>
      <c r="AB3744" t="inlineStr">
        <is>
          <t>엔카</t>
        </is>
      </c>
      <c r="AC3744" t="n">
        <v>218900</v>
      </c>
      <c r="AD3744" t="n">
        <v>79600</v>
      </c>
      <c r="AE3744" t="n">
        <v>139300</v>
      </c>
      <c r="AF3744" t="n">
        <v>199000</v>
      </c>
      <c r="AG3744" t="n">
        <v>76973.2</v>
      </c>
      <c r="AH3744" t="n">
        <v>122026.8</v>
      </c>
      <c r="AI3744" t="n">
        <v>0</v>
      </c>
    </row>
    <row r="3745">
      <c r="A3745" t="inlineStr">
        <is>
          <t>4월</t>
        </is>
      </c>
      <c r="B3745" t="inlineStr">
        <is>
          <t>18주차</t>
        </is>
      </c>
      <c r="C3745" t="inlineStr">
        <is>
          <t>IM</t>
        </is>
      </c>
      <c r="D3745" s="28" t="n">
        <v>46139</v>
      </c>
      <c r="E3745" t="inlineStr">
        <is>
          <t>IM캐피탈</t>
        </is>
      </c>
      <c r="F3745" t="inlineStr">
        <is>
          <t>임동현</t>
        </is>
      </c>
      <c r="G3745" t="inlineStr">
        <is>
          <t>010-4656-1002</t>
        </is>
      </c>
      <c r="H3745" t="inlineStr">
        <is>
          <t>63다6469</t>
        </is>
      </c>
      <c r="I3745" t="n">
        <v>20000000</v>
      </c>
      <c r="J3745" t="n">
        <v>0.059</v>
      </c>
      <c r="K3745" t="n">
        <v>1.1</v>
      </c>
      <c r="L3745" t="n">
        <v>0.07000000000000001</v>
      </c>
      <c r="M3745" t="n">
        <v>1.03</v>
      </c>
      <c r="P3745" t="inlineStr">
        <is>
          <t>김수연</t>
        </is>
      </c>
      <c r="Q3745" t="inlineStr">
        <is>
          <t>홈서비스 24개월</t>
        </is>
      </c>
      <c r="AB3745" t="inlineStr">
        <is>
          <t>홈서비스</t>
        </is>
      </c>
      <c r="AC3745" t="n">
        <v>220000</v>
      </c>
      <c r="AD3745" t="n">
        <v>14000</v>
      </c>
      <c r="AE3745" t="n">
        <v>206000</v>
      </c>
      <c r="AF3745" t="n">
        <v>200000</v>
      </c>
      <c r="AG3745" t="n">
        <v>13538</v>
      </c>
      <c r="AH3745" t="n">
        <v>186462</v>
      </c>
      <c r="AI3745" t="n">
        <v>0</v>
      </c>
    </row>
    <row r="3746">
      <c r="A3746" t="inlineStr">
        <is>
          <t>4월</t>
        </is>
      </c>
      <c r="B3746" t="inlineStr">
        <is>
          <t>18주차</t>
        </is>
      </c>
      <c r="C3746" t="inlineStr">
        <is>
          <t>EP</t>
        </is>
      </c>
      <c r="D3746" s="28" t="n">
        <v>46139</v>
      </c>
      <c r="E3746" t="inlineStr">
        <is>
          <t>현대EP_fast</t>
        </is>
      </c>
      <c r="F3746" t="inlineStr">
        <is>
          <t>현유리</t>
        </is>
      </c>
      <c r="G3746" t="inlineStr">
        <is>
          <t>010-2799-4730</t>
        </is>
      </c>
      <c r="H3746" t="inlineStr">
        <is>
          <t>174부4305</t>
        </is>
      </c>
      <c r="I3746" t="n">
        <v>30000000</v>
      </c>
      <c r="J3746" t="n">
        <v>0.07199999999999999</v>
      </c>
      <c r="K3746" t="n">
        <v>1.76</v>
      </c>
      <c r="L3746" t="n">
        <v>0.2</v>
      </c>
      <c r="M3746" t="n">
        <v>1.56</v>
      </c>
      <c r="P3746" t="inlineStr">
        <is>
          <t>김나윤</t>
        </is>
      </c>
      <c r="Q3746" t="inlineStr">
        <is>
          <t>홈서비스 60개월</t>
        </is>
      </c>
      <c r="AB3746" t="inlineStr">
        <is>
          <t>홈서비스</t>
        </is>
      </c>
      <c r="AC3746" t="n">
        <v>528000</v>
      </c>
      <c r="AD3746" t="n">
        <v>60000</v>
      </c>
      <c r="AE3746" t="n">
        <v>468000</v>
      </c>
      <c r="AF3746" t="n">
        <v>480000</v>
      </c>
      <c r="AG3746" t="n">
        <v>58020</v>
      </c>
      <c r="AH3746" t="n">
        <v>421980</v>
      </c>
      <c r="AI3746" t="n">
        <v>0</v>
      </c>
    </row>
    <row r="3747">
      <c r="A3747" t="inlineStr">
        <is>
          <t>4월</t>
        </is>
      </c>
      <c r="B3747" t="inlineStr">
        <is>
          <t>17주차</t>
        </is>
      </c>
      <c r="C3747" t="inlineStr">
        <is>
          <t>EP</t>
        </is>
      </c>
      <c r="D3747" s="28" t="n">
        <v>46137</v>
      </c>
      <c r="E3747" t="inlineStr">
        <is>
          <t>현대EP</t>
        </is>
      </c>
      <c r="F3747" t="inlineStr">
        <is>
          <t>김준기</t>
        </is>
      </c>
      <c r="G3747" t="inlineStr">
        <is>
          <t>010-4321-4132</t>
        </is>
      </c>
      <c r="H3747" t="inlineStr">
        <is>
          <t>344보6000</t>
        </is>
      </c>
      <c r="I3747" t="n">
        <v>37500000</v>
      </c>
      <c r="J3747" t="n">
        <v>0.079</v>
      </c>
      <c r="K3747" t="n">
        <v>1.76</v>
      </c>
      <c r="L3747" t="n">
        <v>0.2</v>
      </c>
      <c r="M3747" t="n">
        <v>1.56</v>
      </c>
      <c r="P3747" t="inlineStr">
        <is>
          <t>최혁</t>
        </is>
      </c>
      <c r="AB3747" t="inlineStr">
        <is>
          <t>홈서비스</t>
        </is>
      </c>
      <c r="AC3747" t="n">
        <v>660000</v>
      </c>
      <c r="AD3747" t="n">
        <v>75000</v>
      </c>
      <c r="AE3747" t="n">
        <v>585000</v>
      </c>
      <c r="AF3747" t="n">
        <v>600000</v>
      </c>
      <c r="AG3747" t="n">
        <v>72525</v>
      </c>
      <c r="AH3747" t="n">
        <v>527475</v>
      </c>
      <c r="AI3747" t="n">
        <v>0</v>
      </c>
    </row>
    <row r="3748">
      <c r="A3748" t="inlineStr">
        <is>
          <t>4월</t>
        </is>
      </c>
      <c r="B3748" t="inlineStr">
        <is>
          <t>18주차</t>
        </is>
      </c>
      <c r="C3748" t="inlineStr">
        <is>
          <t>IM</t>
        </is>
      </c>
      <c r="D3748" s="28" t="n">
        <v>46139</v>
      </c>
      <c r="E3748" t="inlineStr">
        <is>
          <t>IM캐피탈</t>
        </is>
      </c>
      <c r="F3748" t="inlineStr">
        <is>
          <t>김종완</t>
        </is>
      </c>
      <c r="G3748" t="inlineStr">
        <is>
          <t>010-9728-0109</t>
        </is>
      </c>
      <c r="H3748" t="inlineStr">
        <is>
          <t>196거8920</t>
        </is>
      </c>
      <c r="I3748" t="n">
        <v>6000000</v>
      </c>
      <c r="J3748" t="n">
        <v>0.049</v>
      </c>
      <c r="K3748" t="n">
        <v>1.1</v>
      </c>
      <c r="L3748" t="n">
        <v>0.07000000000000001</v>
      </c>
      <c r="M3748" t="n">
        <v>1.03</v>
      </c>
      <c r="P3748" t="inlineStr">
        <is>
          <t>장현경</t>
        </is>
      </c>
      <c r="Q3748" t="inlineStr">
        <is>
          <t>선상담 / 홈서비스 24개월</t>
        </is>
      </c>
      <c r="AB3748" t="inlineStr">
        <is>
          <t>홈서비스</t>
        </is>
      </c>
      <c r="AC3748" t="n">
        <v>66000</v>
      </c>
      <c r="AD3748" t="n">
        <v>4200</v>
      </c>
      <c r="AE3748" t="n">
        <v>61800</v>
      </c>
      <c r="AF3748" t="n">
        <v>60000</v>
      </c>
      <c r="AG3748" t="n">
        <v>4061.4</v>
      </c>
      <c r="AH3748" t="n">
        <v>55938.6</v>
      </c>
      <c r="AI3748" t="n">
        <v>0</v>
      </c>
    </row>
    <row r="3749">
      <c r="A3749" t="inlineStr">
        <is>
          <t>4월</t>
        </is>
      </c>
      <c r="B3749" t="inlineStr">
        <is>
          <t>18주차</t>
        </is>
      </c>
      <c r="C3749" t="inlineStr">
        <is>
          <t>EP</t>
        </is>
      </c>
      <c r="D3749" s="28" t="n">
        <v>46139</v>
      </c>
      <c r="E3749" t="inlineStr">
        <is>
          <t>제이비EP</t>
        </is>
      </c>
      <c r="F3749" t="inlineStr">
        <is>
          <t>신은호</t>
        </is>
      </c>
      <c r="G3749" t="inlineStr">
        <is>
          <t>010-8663-1483</t>
        </is>
      </c>
      <c r="H3749" t="inlineStr">
        <is>
          <t>25거2725</t>
        </is>
      </c>
      <c r="I3749" t="n">
        <v>7100000</v>
      </c>
      <c r="J3749" t="n">
        <v>0.08500000000000001</v>
      </c>
      <c r="K3749" t="n">
        <v>1.65</v>
      </c>
      <c r="L3749" t="n">
        <v>0.07000000000000001</v>
      </c>
      <c r="M3749" t="n">
        <v>1.58</v>
      </c>
      <c r="P3749" t="inlineStr">
        <is>
          <t>정세빈</t>
        </is>
      </c>
      <c r="Q3749" t="inlineStr">
        <is>
          <t>홈서비스 36개월</t>
        </is>
      </c>
      <c r="AB3749" t="inlineStr">
        <is>
          <t>홈서비스</t>
        </is>
      </c>
      <c r="AC3749" t="n">
        <v>117150</v>
      </c>
      <c r="AD3749" t="n">
        <v>4970</v>
      </c>
      <c r="AE3749" t="n">
        <v>112180</v>
      </c>
      <c r="AF3749" t="n">
        <v>106500</v>
      </c>
      <c r="AG3749" t="n">
        <v>4805.99</v>
      </c>
      <c r="AH3749" t="n">
        <v>101694.01</v>
      </c>
      <c r="AI3749" t="n">
        <v>0</v>
      </c>
    </row>
    <row r="3750">
      <c r="A3750" t="inlineStr">
        <is>
          <t>4월</t>
        </is>
      </c>
      <c r="B3750" t="inlineStr">
        <is>
          <t>18주차</t>
        </is>
      </c>
      <c r="C3750" t="inlineStr">
        <is>
          <t>EP</t>
        </is>
      </c>
      <c r="D3750" s="28" t="n">
        <v>46139</v>
      </c>
      <c r="E3750" t="inlineStr">
        <is>
          <t>BNKEP</t>
        </is>
      </c>
      <c r="F3750" t="inlineStr">
        <is>
          <t>이혜빈</t>
        </is>
      </c>
      <c r="G3750" t="inlineStr">
        <is>
          <t>010-9087-8468</t>
        </is>
      </c>
      <c r="H3750" t="inlineStr">
        <is>
          <t>379로8322</t>
        </is>
      </c>
      <c r="I3750" t="n">
        <v>42200000</v>
      </c>
      <c r="J3750" t="n">
        <v>0.07000000000000001</v>
      </c>
      <c r="K3750" t="n">
        <v>1.65</v>
      </c>
      <c r="L3750" t="n">
        <v>0.07000000000000001</v>
      </c>
      <c r="M3750" t="n">
        <v>1.58</v>
      </c>
      <c r="P3750" t="inlineStr">
        <is>
          <t>황채이</t>
        </is>
      </c>
      <c r="Q3750" t="inlineStr">
        <is>
          <t>홈서비스 60개월 / 부대비용 추가진행</t>
        </is>
      </c>
      <c r="AB3750" t="inlineStr">
        <is>
          <t>홈서비스</t>
        </is>
      </c>
      <c r="AC3750" t="n">
        <v>696300</v>
      </c>
      <c r="AD3750" t="n">
        <v>29540</v>
      </c>
      <c r="AE3750" t="n">
        <v>666760</v>
      </c>
      <c r="AF3750" t="n">
        <v>633000</v>
      </c>
      <c r="AG3750" t="n">
        <v>28565.18</v>
      </c>
      <c r="AH3750" t="n">
        <v>604434.8199999999</v>
      </c>
      <c r="AI3750" t="n">
        <v>0</v>
      </c>
    </row>
    <row r="3751">
      <c r="A3751" t="inlineStr">
        <is>
          <t>4월</t>
        </is>
      </c>
      <c r="B3751" t="inlineStr">
        <is>
          <t>17주차</t>
        </is>
      </c>
      <c r="C3751" t="inlineStr">
        <is>
          <t>IM</t>
        </is>
      </c>
      <c r="D3751" s="28" t="n">
        <v>46136</v>
      </c>
      <c r="E3751" t="inlineStr">
        <is>
          <t>IM캐피탈</t>
        </is>
      </c>
      <c r="F3751" t="inlineStr">
        <is>
          <t>이정성</t>
        </is>
      </c>
      <c r="G3751" t="inlineStr">
        <is>
          <t>010-5457-9407</t>
        </is>
      </c>
      <c r="H3751" t="inlineStr">
        <is>
          <t>180무6399</t>
        </is>
      </c>
      <c r="I3751" t="n">
        <v>11400000</v>
      </c>
      <c r="J3751" t="n">
        <v>0.049</v>
      </c>
      <c r="K3751" t="n">
        <v>1.1</v>
      </c>
      <c r="L3751" t="n">
        <v>0.07000000000000001</v>
      </c>
      <c r="M3751" t="n">
        <v>1.03</v>
      </c>
      <c r="P3751" t="inlineStr">
        <is>
          <t>구성완</t>
        </is>
      </c>
      <c r="Q3751" t="inlineStr">
        <is>
          <t>안심거래존건</t>
        </is>
      </c>
      <c r="AB3751" t="inlineStr">
        <is>
          <t>믿고</t>
        </is>
      </c>
      <c r="AC3751" t="n">
        <v>125400</v>
      </c>
      <c r="AD3751" t="n">
        <v>7980</v>
      </c>
      <c r="AE3751" t="n">
        <v>117420</v>
      </c>
      <c r="AF3751" t="n">
        <v>114000</v>
      </c>
      <c r="AG3751" t="n">
        <v>7716.66</v>
      </c>
      <c r="AH3751" t="n">
        <v>106283.34</v>
      </c>
    </row>
    <row r="3752">
      <c r="A3752" t="inlineStr">
        <is>
          <t>4월</t>
        </is>
      </c>
      <c r="B3752" t="inlineStr">
        <is>
          <t>17주차</t>
        </is>
      </c>
      <c r="C3752" t="inlineStr">
        <is>
          <t>WR</t>
        </is>
      </c>
      <c r="D3752" s="28" t="n">
        <v>46136</v>
      </c>
      <c r="E3752" t="inlineStr">
        <is>
          <t>우리금융</t>
        </is>
      </c>
      <c r="F3752" t="inlineStr">
        <is>
          <t>김정훈</t>
        </is>
      </c>
      <c r="G3752" t="inlineStr">
        <is>
          <t>010-9912-4850</t>
        </is>
      </c>
      <c r="H3752" t="inlineStr">
        <is>
          <t>142어1627</t>
        </is>
      </c>
      <c r="I3752" t="n">
        <v>33000000</v>
      </c>
      <c r="J3752" t="n">
        <v>0.067</v>
      </c>
      <c r="K3752" t="n">
        <v>2.2</v>
      </c>
      <c r="L3752" t="n">
        <v>0.4</v>
      </c>
      <c r="M3752" t="n">
        <v>1.8</v>
      </c>
      <c r="P3752" t="inlineStr">
        <is>
          <t>임대경</t>
        </is>
      </c>
      <c r="Q3752" t="inlineStr">
        <is>
          <t>론진행</t>
        </is>
      </c>
      <c r="AB3752" t="inlineStr">
        <is>
          <t>엔카</t>
        </is>
      </c>
      <c r="AC3752" t="n">
        <v>726000</v>
      </c>
      <c r="AD3752" t="n">
        <v>132000</v>
      </c>
      <c r="AE3752" t="n">
        <v>594000</v>
      </c>
      <c r="AF3752" t="n">
        <v>660000</v>
      </c>
      <c r="AG3752" t="n">
        <v>127644</v>
      </c>
      <c r="AH3752" t="n">
        <v>532356</v>
      </c>
      <c r="AI3752" t="n">
        <v>0</v>
      </c>
    </row>
    <row r="3753">
      <c r="A3753" t="inlineStr">
        <is>
          <t>4월</t>
        </is>
      </c>
      <c r="B3753" t="inlineStr">
        <is>
          <t>17주차</t>
        </is>
      </c>
      <c r="C3753" t="inlineStr">
        <is>
          <t>EP</t>
        </is>
      </c>
      <c r="D3753" s="28" t="n">
        <v>46137</v>
      </c>
      <c r="E3753" t="inlineStr">
        <is>
          <t>현대EP_fast</t>
        </is>
      </c>
      <c r="F3753" t="inlineStr">
        <is>
          <t>강영준</t>
        </is>
      </c>
      <c r="G3753" t="inlineStr">
        <is>
          <t>010-9155-4035</t>
        </is>
      </c>
      <c r="H3753" t="inlineStr">
        <is>
          <t>147러1110</t>
        </is>
      </c>
      <c r="I3753" t="n">
        <v>45000000</v>
      </c>
      <c r="J3753" t="n">
        <v>0.081</v>
      </c>
      <c r="K3753" t="n">
        <v>1.76</v>
      </c>
      <c r="L3753" t="n">
        <v>0.2</v>
      </c>
      <c r="M3753" t="n">
        <v>1.56</v>
      </c>
      <c r="P3753" t="inlineStr">
        <is>
          <t>최형주</t>
        </is>
      </c>
      <c r="Q3753" t="inlineStr">
        <is>
          <t>홈서비스 60개월</t>
        </is>
      </c>
      <c r="AB3753" t="inlineStr">
        <is>
          <t>홈서비스</t>
        </is>
      </c>
      <c r="AC3753" t="n">
        <v>792000</v>
      </c>
      <c r="AD3753" t="n">
        <v>90000</v>
      </c>
      <c r="AE3753" t="n">
        <v>702000</v>
      </c>
      <c r="AF3753" t="n">
        <v>720000</v>
      </c>
      <c r="AG3753" t="n">
        <v>87030</v>
      </c>
      <c r="AH3753" t="n">
        <v>632970</v>
      </c>
      <c r="AI3753" t="n">
        <v>0</v>
      </c>
    </row>
    <row r="3754">
      <c r="A3754" t="inlineStr">
        <is>
          <t>4월</t>
        </is>
      </c>
      <c r="B3754" t="inlineStr">
        <is>
          <t>18주차</t>
        </is>
      </c>
      <c r="C3754" t="inlineStr">
        <is>
          <t>EP</t>
        </is>
      </c>
      <c r="D3754" s="28" t="n">
        <v>46139</v>
      </c>
      <c r="E3754" t="inlineStr">
        <is>
          <t>현대EP_fast</t>
        </is>
      </c>
      <c r="F3754" t="inlineStr">
        <is>
          <t>이정희</t>
        </is>
      </c>
      <c r="G3754" t="inlineStr">
        <is>
          <t>010-3134-3369</t>
        </is>
      </c>
      <c r="H3754" t="inlineStr">
        <is>
          <t>255소2457</t>
        </is>
      </c>
      <c r="I3754" t="n">
        <v>5000000</v>
      </c>
      <c r="J3754" t="n">
        <v>0.09</v>
      </c>
      <c r="K3754" t="n">
        <v>1.76</v>
      </c>
      <c r="L3754" t="n">
        <v>0.2</v>
      </c>
      <c r="M3754" t="n">
        <v>1.56</v>
      </c>
      <c r="P3754" t="inlineStr">
        <is>
          <t>최형주</t>
        </is>
      </c>
      <c r="Q3754" t="inlineStr">
        <is>
          <t>홈서비스 36개월</t>
        </is>
      </c>
      <c r="AB3754" t="inlineStr">
        <is>
          <t>홈서비스</t>
        </is>
      </c>
      <c r="AC3754" t="n">
        <v>88000</v>
      </c>
      <c r="AD3754" t="n">
        <v>10000</v>
      </c>
      <c r="AE3754" t="n">
        <v>78000</v>
      </c>
      <c r="AF3754" t="n">
        <v>80000</v>
      </c>
      <c r="AG3754" t="n">
        <v>9670</v>
      </c>
      <c r="AH3754" t="n">
        <v>70330</v>
      </c>
      <c r="AI3754" t="n">
        <v>0</v>
      </c>
    </row>
    <row r="3755">
      <c r="A3755" t="inlineStr">
        <is>
          <t>4월</t>
        </is>
      </c>
      <c r="B3755" t="inlineStr">
        <is>
          <t>18주차</t>
        </is>
      </c>
      <c r="C3755" t="inlineStr">
        <is>
          <t>EP</t>
        </is>
      </c>
      <c r="D3755" s="28" t="n">
        <v>46139</v>
      </c>
      <c r="E3755" t="inlineStr">
        <is>
          <t>제이비EP</t>
        </is>
      </c>
      <c r="F3755" t="inlineStr">
        <is>
          <t>허민서</t>
        </is>
      </c>
      <c r="G3755" t="inlineStr">
        <is>
          <t>010-4168-9144</t>
        </is>
      </c>
      <c r="H3755" t="inlineStr">
        <is>
          <t>126마5826</t>
        </is>
      </c>
      <c r="I3755" t="n">
        <v>25500000</v>
      </c>
      <c r="J3755" t="n">
        <v>0.07199999999999999</v>
      </c>
      <c r="K3755" t="n">
        <v>1.65</v>
      </c>
      <c r="L3755" t="n">
        <v>0.4</v>
      </c>
      <c r="M3755" t="n">
        <v>1.25</v>
      </c>
      <c r="P3755" t="inlineStr">
        <is>
          <t>최혁</t>
        </is>
      </c>
      <c r="Q3755" t="inlineStr">
        <is>
          <t>부대비용추가진행건</t>
        </is>
      </c>
      <c r="AB3755" t="inlineStr">
        <is>
          <t>엔카</t>
        </is>
      </c>
      <c r="AC3755" t="n">
        <v>420750</v>
      </c>
      <c r="AD3755" t="n">
        <v>102000</v>
      </c>
      <c r="AE3755" t="n">
        <v>318750</v>
      </c>
      <c r="AF3755" t="n">
        <v>382500</v>
      </c>
      <c r="AG3755" t="n">
        <v>98634</v>
      </c>
      <c r="AH3755" t="n">
        <v>283866</v>
      </c>
      <c r="AI3755" t="n">
        <v>0</v>
      </c>
    </row>
    <row r="3756">
      <c r="A3756" t="inlineStr">
        <is>
          <t>4월</t>
        </is>
      </c>
      <c r="B3756" t="inlineStr">
        <is>
          <t>18주차</t>
        </is>
      </c>
      <c r="C3756" t="inlineStr">
        <is>
          <t>EP</t>
        </is>
      </c>
      <c r="D3756" s="28" t="n">
        <v>46139</v>
      </c>
      <c r="E3756" t="inlineStr">
        <is>
          <t>현대EP_fast</t>
        </is>
      </c>
      <c r="F3756" t="inlineStr">
        <is>
          <t>임호섭</t>
        </is>
      </c>
      <c r="G3756" t="inlineStr">
        <is>
          <t>010-8239-8653</t>
        </is>
      </c>
      <c r="H3756" t="inlineStr">
        <is>
          <t>03우7103</t>
        </is>
      </c>
      <c r="I3756" t="n">
        <v>15900000</v>
      </c>
      <c r="J3756" t="n">
        <v>0.092</v>
      </c>
      <c r="K3756" t="n">
        <v>1.76</v>
      </c>
      <c r="L3756" t="n">
        <v>0.2</v>
      </c>
      <c r="M3756" t="n">
        <v>1.56</v>
      </c>
      <c r="P3756" t="inlineStr">
        <is>
          <t>김나윤</t>
        </is>
      </c>
      <c r="Q3756" t="inlineStr">
        <is>
          <t>홈서비스 60개월</t>
        </is>
      </c>
      <c r="AB3756" t="inlineStr">
        <is>
          <t>홈서비스</t>
        </is>
      </c>
      <c r="AC3756" t="n">
        <v>279840</v>
      </c>
      <c r="AD3756" t="n">
        <v>31800</v>
      </c>
      <c r="AE3756" t="n">
        <v>248040</v>
      </c>
      <c r="AF3756" t="n">
        <v>254400</v>
      </c>
      <c r="AG3756" t="n">
        <v>30750.6</v>
      </c>
      <c r="AH3756" t="n">
        <v>223649.4</v>
      </c>
      <c r="AI3756" t="n">
        <v>0</v>
      </c>
    </row>
    <row r="3757">
      <c r="A3757" t="inlineStr">
        <is>
          <t>4월</t>
        </is>
      </c>
      <c r="B3757" t="inlineStr">
        <is>
          <t>17주차</t>
        </is>
      </c>
      <c r="C3757" t="inlineStr">
        <is>
          <t>EP</t>
        </is>
      </c>
      <c r="D3757" s="28" t="n">
        <v>46136</v>
      </c>
      <c r="E3757" t="inlineStr">
        <is>
          <t>현대EP_fast</t>
        </is>
      </c>
      <c r="F3757" t="inlineStr">
        <is>
          <t>최재원</t>
        </is>
      </c>
      <c r="G3757" t="inlineStr">
        <is>
          <t>010-8922-1326</t>
        </is>
      </c>
      <c r="H3757" t="inlineStr">
        <is>
          <t>152마2628</t>
        </is>
      </c>
      <c r="I3757" t="n">
        <v>18000000</v>
      </c>
      <c r="J3757" t="n">
        <v>0.079</v>
      </c>
      <c r="K3757" t="n">
        <v>1.76</v>
      </c>
      <c r="L3757" t="n">
        <v>0.4</v>
      </c>
      <c r="M3757" t="n">
        <v>1.36</v>
      </c>
      <c r="P3757" t="inlineStr">
        <is>
          <t>박현민</t>
        </is>
      </c>
      <c r="Q3757" t="inlineStr">
        <is>
          <t>고객주도체결</t>
        </is>
      </c>
      <c r="AB3757" t="inlineStr">
        <is>
          <t>엔카</t>
        </is>
      </c>
      <c r="AC3757" t="n">
        <v>316800</v>
      </c>
      <c r="AD3757" t="n">
        <v>72000</v>
      </c>
      <c r="AE3757" t="n">
        <v>244800</v>
      </c>
      <c r="AF3757" t="n">
        <v>288000</v>
      </c>
      <c r="AG3757" t="n">
        <v>69624</v>
      </c>
      <c r="AH3757" t="n">
        <v>218376</v>
      </c>
      <c r="AI3757" t="n">
        <v>0</v>
      </c>
    </row>
    <row r="3758">
      <c r="A3758" t="inlineStr">
        <is>
          <t>4월</t>
        </is>
      </c>
      <c r="B3758" t="inlineStr">
        <is>
          <t>18주차</t>
        </is>
      </c>
      <c r="C3758" t="inlineStr">
        <is>
          <t>EP</t>
        </is>
      </c>
      <c r="D3758" s="28" t="n">
        <v>46139</v>
      </c>
      <c r="E3758" t="inlineStr">
        <is>
          <t>BNKEP</t>
        </is>
      </c>
      <c r="F3758" t="inlineStr">
        <is>
          <t>김정우</t>
        </is>
      </c>
      <c r="G3758" t="inlineStr">
        <is>
          <t>010-2943-0829</t>
        </is>
      </c>
      <c r="H3758" t="inlineStr">
        <is>
          <t>304도7832</t>
        </is>
      </c>
      <c r="I3758" t="n">
        <v>24400000</v>
      </c>
      <c r="J3758" t="n">
        <v>0.061</v>
      </c>
      <c r="K3758" t="n">
        <v>1.65</v>
      </c>
      <c r="L3758" t="n">
        <v>0.07000000000000001</v>
      </c>
      <c r="M3758" t="n">
        <v>1.58</v>
      </c>
      <c r="P3758" t="inlineStr">
        <is>
          <t>황채이</t>
        </is>
      </c>
      <c r="Q3758" t="inlineStr">
        <is>
          <t>홈서비스 60개월</t>
        </is>
      </c>
      <c r="AB3758" t="inlineStr">
        <is>
          <t>홈서비스</t>
        </is>
      </c>
      <c r="AC3758" t="n">
        <v>402600</v>
      </c>
      <c r="AD3758" t="n">
        <v>17080</v>
      </c>
      <c r="AE3758" t="n">
        <v>385520</v>
      </c>
      <c r="AF3758" t="n">
        <v>366000</v>
      </c>
      <c r="AG3758" t="n">
        <v>16516.36</v>
      </c>
      <c r="AH3758" t="n">
        <v>349483.64</v>
      </c>
    </row>
    <row r="3759">
      <c r="A3759" t="inlineStr">
        <is>
          <t>4월</t>
        </is>
      </c>
      <c r="B3759" t="inlineStr">
        <is>
          <t>18주차</t>
        </is>
      </c>
      <c r="C3759" t="inlineStr">
        <is>
          <t>EP</t>
        </is>
      </c>
      <c r="D3759" s="28" t="n">
        <v>46139</v>
      </c>
      <c r="E3759" t="inlineStr">
        <is>
          <t>현대EP_fast</t>
        </is>
      </c>
      <c r="F3759" t="inlineStr">
        <is>
          <t>이민혁</t>
        </is>
      </c>
      <c r="G3759" t="inlineStr">
        <is>
          <t>010-3086-6325</t>
        </is>
      </c>
      <c r="H3759" t="inlineStr">
        <is>
          <t>257수4363</t>
        </is>
      </c>
      <c r="I3759" t="n">
        <v>19700000</v>
      </c>
      <c r="J3759" t="n">
        <v>0.092</v>
      </c>
      <c r="K3759" t="n">
        <v>1.76</v>
      </c>
      <c r="L3759" t="n">
        <v>0.2</v>
      </c>
      <c r="M3759" t="n">
        <v>1.56</v>
      </c>
      <c r="P3759" t="inlineStr">
        <is>
          <t>김수연</t>
        </is>
      </c>
      <c r="Q3759" t="inlineStr">
        <is>
          <t>홈서비스 60개월</t>
        </is>
      </c>
      <c r="AB3759" t="inlineStr">
        <is>
          <t>홈서비스</t>
        </is>
      </c>
      <c r="AC3759" t="n">
        <v>346720</v>
      </c>
      <c r="AD3759" t="n">
        <v>39400</v>
      </c>
      <c r="AE3759" t="n">
        <v>307320</v>
      </c>
      <c r="AF3759" t="n">
        <v>315200</v>
      </c>
      <c r="AG3759" t="n">
        <v>38099.8</v>
      </c>
      <c r="AH3759" t="n">
        <v>277100.2</v>
      </c>
    </row>
    <row r="3760">
      <c r="A3760" t="inlineStr">
        <is>
          <t>4월</t>
        </is>
      </c>
      <c r="B3760" t="inlineStr">
        <is>
          <t>18주차</t>
        </is>
      </c>
      <c r="C3760" t="inlineStr">
        <is>
          <t>IM</t>
        </is>
      </c>
      <c r="D3760" s="28" t="n">
        <v>46139</v>
      </c>
      <c r="E3760" t="inlineStr">
        <is>
          <t>IM캐피탈</t>
        </is>
      </c>
      <c r="F3760" t="inlineStr">
        <is>
          <t>한현수</t>
        </is>
      </c>
      <c r="G3760" t="inlineStr">
        <is>
          <t>010-8808-2688</t>
        </is>
      </c>
      <c r="H3760" t="inlineStr">
        <is>
          <t>195마8389</t>
        </is>
      </c>
      <c r="I3760" t="n">
        <v>50000000</v>
      </c>
      <c r="J3760" t="n">
        <v>0.049</v>
      </c>
      <c r="K3760" t="n">
        <v>1.1</v>
      </c>
      <c r="L3760" t="n">
        <v>0.07000000000000001</v>
      </c>
      <c r="M3760" t="n">
        <v>1.03</v>
      </c>
      <c r="P3760" t="inlineStr">
        <is>
          <t>황채이</t>
        </is>
      </c>
      <c r="Q3760" t="inlineStr">
        <is>
          <t>홈서비스 60개월</t>
        </is>
      </c>
      <c r="AB3760" t="inlineStr">
        <is>
          <t>홈서비스</t>
        </is>
      </c>
      <c r="AC3760" t="n">
        <v>550000</v>
      </c>
      <c r="AD3760" t="n">
        <v>35000</v>
      </c>
      <c r="AE3760" t="n">
        <v>515000</v>
      </c>
      <c r="AF3760" t="n">
        <v>500000</v>
      </c>
      <c r="AG3760" t="n">
        <v>33845</v>
      </c>
      <c r="AH3760" t="n">
        <v>466155</v>
      </c>
      <c r="AI3760" t="n">
        <v>0</v>
      </c>
    </row>
    <row r="3761">
      <c r="A3761" t="inlineStr">
        <is>
          <t>4월</t>
        </is>
      </c>
      <c r="B3761" t="inlineStr">
        <is>
          <t>18주차</t>
        </is>
      </c>
      <c r="C3761" t="inlineStr">
        <is>
          <t>IM</t>
        </is>
      </c>
      <c r="D3761" s="28" t="n">
        <v>46139</v>
      </c>
      <c r="E3761" t="inlineStr">
        <is>
          <t>IM캐피탈</t>
        </is>
      </c>
      <c r="F3761" t="inlineStr">
        <is>
          <t>한증현</t>
        </is>
      </c>
      <c r="G3761" t="inlineStr">
        <is>
          <t>010-9962-3876</t>
        </is>
      </c>
      <c r="H3761" t="inlineStr">
        <is>
          <t>227모8076</t>
        </is>
      </c>
      <c r="I3761" t="n">
        <v>13700000</v>
      </c>
      <c r="J3761" t="n">
        <v>0.049</v>
      </c>
      <c r="K3761" t="n">
        <v>1.1</v>
      </c>
      <c r="L3761" t="n">
        <v>0.07000000000000001</v>
      </c>
      <c r="M3761" t="n">
        <v>1.03</v>
      </c>
      <c r="P3761" t="inlineStr">
        <is>
          <t>김수연</t>
        </is>
      </c>
      <c r="Q3761" t="inlineStr">
        <is>
          <t>홈서비스 36개월</t>
        </is>
      </c>
      <c r="AB3761" t="inlineStr">
        <is>
          <t>홈서비스</t>
        </is>
      </c>
      <c r="AC3761" t="n">
        <v>150700</v>
      </c>
      <c r="AD3761" t="n">
        <v>9590</v>
      </c>
      <c r="AE3761" t="n">
        <v>141110</v>
      </c>
      <c r="AF3761" t="n">
        <v>137000</v>
      </c>
      <c r="AG3761" t="n">
        <v>9273.530000000001</v>
      </c>
      <c r="AH3761" t="n">
        <v>127726.47</v>
      </c>
      <c r="AI3761" t="n">
        <v>0</v>
      </c>
    </row>
    <row r="3762">
      <c r="A3762" t="inlineStr">
        <is>
          <t>4월</t>
        </is>
      </c>
      <c r="B3762" t="inlineStr">
        <is>
          <t>18주차</t>
        </is>
      </c>
      <c r="C3762" t="inlineStr">
        <is>
          <t>EP</t>
        </is>
      </c>
      <c r="D3762" s="28" t="n">
        <v>46139</v>
      </c>
      <c r="E3762" t="inlineStr">
        <is>
          <t>현대EP</t>
        </is>
      </c>
      <c r="F3762" t="inlineStr">
        <is>
          <t>김명희</t>
        </is>
      </c>
      <c r="G3762" t="inlineStr">
        <is>
          <t>010-6865-4657</t>
        </is>
      </c>
      <c r="H3762" t="inlineStr">
        <is>
          <t>80고1021</t>
        </is>
      </c>
      <c r="I3762" t="n">
        <v>17400000</v>
      </c>
      <c r="J3762" t="n">
        <v>0.14</v>
      </c>
      <c r="K3762" t="n">
        <v>1.76</v>
      </c>
      <c r="L3762" t="n">
        <v>0.2</v>
      </c>
      <c r="M3762" t="n">
        <v>1.56</v>
      </c>
      <c r="P3762" t="inlineStr">
        <is>
          <t>김수연</t>
        </is>
      </c>
      <c r="AB3762" t="inlineStr">
        <is>
          <t>홈서비스</t>
        </is>
      </c>
      <c r="AC3762" t="n">
        <v>306240</v>
      </c>
      <c r="AD3762" t="n">
        <v>34800</v>
      </c>
      <c r="AE3762" t="n">
        <v>271440</v>
      </c>
      <c r="AF3762" t="n">
        <v>278400</v>
      </c>
      <c r="AG3762" t="n">
        <v>33651.6</v>
      </c>
      <c r="AH3762" t="n">
        <v>244748.4</v>
      </c>
      <c r="AI3762" t="n">
        <v>0</v>
      </c>
    </row>
    <row r="3763">
      <c r="A3763" t="inlineStr">
        <is>
          <t>4월</t>
        </is>
      </c>
      <c r="B3763" t="inlineStr">
        <is>
          <t>18주차</t>
        </is>
      </c>
      <c r="C3763" t="inlineStr">
        <is>
          <t>EP</t>
        </is>
      </c>
      <c r="D3763" s="28" t="n">
        <v>46139</v>
      </c>
      <c r="E3763" t="inlineStr">
        <is>
          <t>현대EP</t>
        </is>
      </c>
      <c r="F3763" t="inlineStr">
        <is>
          <t>김승기</t>
        </is>
      </c>
      <c r="G3763" t="inlineStr">
        <is>
          <t>010-2740-4138</t>
        </is>
      </c>
      <c r="H3763" t="inlineStr">
        <is>
          <t>40머1146</t>
        </is>
      </c>
      <c r="I3763" t="n">
        <v>6500000</v>
      </c>
      <c r="J3763" t="n">
        <v>0.07099999999999999</v>
      </c>
      <c r="K3763" t="n">
        <v>1.76</v>
      </c>
      <c r="L3763" t="n">
        <v>0.2</v>
      </c>
      <c r="M3763" t="n">
        <v>1.56</v>
      </c>
      <c r="P3763" t="inlineStr">
        <is>
          <t>황채이</t>
        </is>
      </c>
      <c r="AB3763" t="inlineStr">
        <is>
          <t>홈서비스</t>
        </is>
      </c>
      <c r="AC3763" t="n">
        <v>114400</v>
      </c>
      <c r="AD3763" t="n">
        <v>13000</v>
      </c>
      <c r="AE3763" t="n">
        <v>101400</v>
      </c>
      <c r="AF3763" t="n">
        <v>104000</v>
      </c>
      <c r="AG3763" t="n">
        <v>12571</v>
      </c>
      <c r="AH3763" t="n">
        <v>91429</v>
      </c>
      <c r="AI3763" t="n">
        <v>0</v>
      </c>
    </row>
    <row r="3764">
      <c r="A3764" t="inlineStr">
        <is>
          <t>4월</t>
        </is>
      </c>
      <c r="B3764" t="inlineStr">
        <is>
          <t>18주차</t>
        </is>
      </c>
      <c r="C3764" t="inlineStr">
        <is>
          <t>EP</t>
        </is>
      </c>
      <c r="D3764" s="28" t="n">
        <v>46139</v>
      </c>
      <c r="E3764" t="inlineStr">
        <is>
          <t>현대EP_fast</t>
        </is>
      </c>
      <c r="F3764" t="inlineStr">
        <is>
          <t>서원우</t>
        </is>
      </c>
      <c r="G3764" t="inlineStr">
        <is>
          <t>010-4997-1606</t>
        </is>
      </c>
      <c r="H3764" t="inlineStr">
        <is>
          <t>180고8879</t>
        </is>
      </c>
      <c r="I3764" t="n">
        <v>47900000</v>
      </c>
      <c r="J3764" t="n">
        <v>0.102</v>
      </c>
      <c r="K3764" t="n">
        <v>1.76</v>
      </c>
      <c r="L3764" t="n">
        <v>0.2</v>
      </c>
      <c r="M3764" t="n">
        <v>1.56</v>
      </c>
      <c r="P3764" t="inlineStr">
        <is>
          <t>최형주</t>
        </is>
      </c>
      <c r="Q3764" t="inlineStr">
        <is>
          <t>홈서비스 60개월</t>
        </is>
      </c>
      <c r="AB3764" t="inlineStr">
        <is>
          <t>홈서비스</t>
        </is>
      </c>
      <c r="AC3764" t="n">
        <v>843040</v>
      </c>
      <c r="AD3764" t="n">
        <v>95800</v>
      </c>
      <c r="AE3764" t="n">
        <v>747240</v>
      </c>
      <c r="AF3764" t="n">
        <v>766400</v>
      </c>
      <c r="AG3764" t="n">
        <v>92638.60000000001</v>
      </c>
      <c r="AH3764" t="n">
        <v>673761.4</v>
      </c>
      <c r="AI3764" t="n">
        <v>0</v>
      </c>
    </row>
    <row r="3765">
      <c r="A3765" t="inlineStr">
        <is>
          <t>4월</t>
        </is>
      </c>
      <c r="B3765" t="inlineStr">
        <is>
          <t>18주차</t>
        </is>
      </c>
      <c r="C3765" t="inlineStr">
        <is>
          <t>EP</t>
        </is>
      </c>
      <c r="D3765" s="28" t="n">
        <v>46139</v>
      </c>
      <c r="E3765" t="inlineStr">
        <is>
          <t>현대EP_fast</t>
        </is>
      </c>
      <c r="F3765" t="inlineStr">
        <is>
          <t>장원</t>
        </is>
      </c>
      <c r="G3765" t="inlineStr">
        <is>
          <t>010-6663-3696</t>
        </is>
      </c>
      <c r="H3765" t="inlineStr">
        <is>
          <t>276구9434</t>
        </is>
      </c>
      <c r="I3765" t="n">
        <v>10900000</v>
      </c>
      <c r="J3765" t="n">
        <v>0.075</v>
      </c>
      <c r="K3765" t="n">
        <v>1.76</v>
      </c>
      <c r="L3765" t="n">
        <v>0.2</v>
      </c>
      <c r="M3765" t="n">
        <v>1.56</v>
      </c>
      <c r="P3765" t="inlineStr">
        <is>
          <t>최형주</t>
        </is>
      </c>
      <c r="Q3765" t="inlineStr">
        <is>
          <t>홈서비스 60개월</t>
        </is>
      </c>
      <c r="AB3765" t="inlineStr">
        <is>
          <t>홈서비스</t>
        </is>
      </c>
      <c r="AC3765" t="n">
        <v>191840</v>
      </c>
      <c r="AD3765" t="n">
        <v>21800</v>
      </c>
      <c r="AE3765" t="n">
        <v>170040</v>
      </c>
      <c r="AF3765" t="n">
        <v>174400</v>
      </c>
      <c r="AG3765" t="n">
        <v>21080.6</v>
      </c>
      <c r="AH3765" t="n">
        <v>153319.4</v>
      </c>
      <c r="AI3765" t="n">
        <v>0</v>
      </c>
    </row>
    <row r="3766">
      <c r="A3766" t="inlineStr">
        <is>
          <t>4월</t>
        </is>
      </c>
      <c r="B3766" t="inlineStr">
        <is>
          <t>18주차</t>
        </is>
      </c>
      <c r="C3766" t="inlineStr">
        <is>
          <t>EP</t>
        </is>
      </c>
      <c r="D3766" s="28" t="n">
        <v>46139</v>
      </c>
      <c r="E3766" t="inlineStr">
        <is>
          <t>현대EP_fast</t>
        </is>
      </c>
      <c r="F3766" t="inlineStr">
        <is>
          <t>고인국</t>
        </is>
      </c>
      <c r="G3766" t="inlineStr">
        <is>
          <t>010-5460-0312</t>
        </is>
      </c>
      <c r="H3766" t="inlineStr">
        <is>
          <t>394모3224</t>
        </is>
      </c>
      <c r="I3766" t="n">
        <v>9000000</v>
      </c>
      <c r="J3766" t="n">
        <v>0.118</v>
      </c>
      <c r="K3766" t="n">
        <v>1.76</v>
      </c>
      <c r="L3766" t="n">
        <v>0.2</v>
      </c>
      <c r="M3766" t="n">
        <v>1.56</v>
      </c>
      <c r="P3766" t="inlineStr">
        <is>
          <t>김나윤</t>
        </is>
      </c>
      <c r="Q3766" t="inlineStr">
        <is>
          <t>홈서비스 60개월</t>
        </is>
      </c>
      <c r="AB3766" t="inlineStr">
        <is>
          <t>홈서비스</t>
        </is>
      </c>
      <c r="AC3766" t="n">
        <v>158400</v>
      </c>
      <c r="AD3766" t="n">
        <v>18000</v>
      </c>
      <c r="AE3766" t="n">
        <v>140400</v>
      </c>
      <c r="AF3766" t="n">
        <v>144000</v>
      </c>
      <c r="AG3766" t="n">
        <v>17406</v>
      </c>
      <c r="AH3766" t="n">
        <v>126594</v>
      </c>
      <c r="AI3766" t="n">
        <v>0</v>
      </c>
    </row>
    <row r="3767">
      <c r="A3767" t="inlineStr">
        <is>
          <t>4월</t>
        </is>
      </c>
      <c r="B3767" t="inlineStr">
        <is>
          <t>18주차</t>
        </is>
      </c>
      <c r="C3767" t="inlineStr">
        <is>
          <t>EP</t>
        </is>
      </c>
      <c r="D3767" s="28" t="n">
        <v>46139</v>
      </c>
      <c r="E3767" t="inlineStr">
        <is>
          <t>현대EP_fast</t>
        </is>
      </c>
      <c r="F3767" t="inlineStr">
        <is>
          <t>최동열</t>
        </is>
      </c>
      <c r="G3767" t="inlineStr">
        <is>
          <t>010-3067-7496</t>
        </is>
      </c>
      <c r="H3767" t="inlineStr">
        <is>
          <t>812가4184</t>
        </is>
      </c>
      <c r="I3767" t="n">
        <v>19700000</v>
      </c>
      <c r="J3767" t="n">
        <v>0.08799999999999999</v>
      </c>
      <c r="K3767" t="n">
        <v>1.76</v>
      </c>
      <c r="L3767" t="n">
        <v>0.2</v>
      </c>
      <c r="M3767" t="n">
        <v>1.56</v>
      </c>
      <c r="P3767" t="inlineStr">
        <is>
          <t>김나윤</t>
        </is>
      </c>
      <c r="Q3767" t="inlineStr">
        <is>
          <t>홈서비스 60개월</t>
        </is>
      </c>
      <c r="AB3767" t="inlineStr">
        <is>
          <t>홈서비스</t>
        </is>
      </c>
      <c r="AC3767" t="n">
        <v>346720</v>
      </c>
      <c r="AD3767" t="n">
        <v>39400</v>
      </c>
      <c r="AE3767" t="n">
        <v>307320</v>
      </c>
      <c r="AF3767" t="n">
        <v>315200</v>
      </c>
      <c r="AG3767" t="n">
        <v>38099.8</v>
      </c>
      <c r="AH3767" t="n">
        <v>277100.2</v>
      </c>
      <c r="AI3767" t="n">
        <v>0</v>
      </c>
    </row>
    <row r="3768">
      <c r="A3768" t="inlineStr">
        <is>
          <t>4월</t>
        </is>
      </c>
      <c r="B3768" t="inlineStr">
        <is>
          <t>18주차</t>
        </is>
      </c>
      <c r="C3768" t="inlineStr">
        <is>
          <t>EP</t>
        </is>
      </c>
      <c r="D3768" s="28" t="n">
        <v>46139</v>
      </c>
      <c r="E3768" t="inlineStr">
        <is>
          <t>현대EP_fast</t>
        </is>
      </c>
      <c r="F3768" t="inlineStr">
        <is>
          <t>이창균</t>
        </is>
      </c>
      <c r="G3768" t="inlineStr">
        <is>
          <t>010-2241-8266</t>
        </is>
      </c>
      <c r="H3768" t="inlineStr">
        <is>
          <t>10저2516</t>
        </is>
      </c>
      <c r="I3768" t="n">
        <v>4600000</v>
      </c>
      <c r="J3768" t="n">
        <v>0.118</v>
      </c>
      <c r="K3768" t="n">
        <v>1.76</v>
      </c>
      <c r="L3768" t="n">
        <v>0.2</v>
      </c>
      <c r="M3768" t="n">
        <v>1.56</v>
      </c>
      <c r="P3768" t="inlineStr">
        <is>
          <t>최형주</t>
        </is>
      </c>
      <c r="Q3768" t="inlineStr">
        <is>
          <t>홈서비스 48개월</t>
        </is>
      </c>
      <c r="AB3768" t="inlineStr">
        <is>
          <t>홈서비스</t>
        </is>
      </c>
      <c r="AC3768" t="n">
        <v>80960</v>
      </c>
      <c r="AD3768" t="n">
        <v>9200</v>
      </c>
      <c r="AE3768" t="n">
        <v>71760</v>
      </c>
      <c r="AF3768" t="n">
        <v>73600</v>
      </c>
      <c r="AG3768" t="n">
        <v>8896.4</v>
      </c>
      <c r="AH3768" t="n">
        <v>64703.6</v>
      </c>
      <c r="AI3768" t="n">
        <v>0</v>
      </c>
    </row>
    <row r="3769">
      <c r="A3769" t="inlineStr">
        <is>
          <t>4월</t>
        </is>
      </c>
      <c r="B3769" t="inlineStr">
        <is>
          <t>17주차</t>
        </is>
      </c>
      <c r="C3769" t="inlineStr">
        <is>
          <t>EP</t>
        </is>
      </c>
      <c r="D3769" s="28" t="n">
        <v>46136</v>
      </c>
      <c r="E3769" t="inlineStr">
        <is>
          <t>현대EP_fast</t>
        </is>
      </c>
      <c r="F3769" t="inlineStr">
        <is>
          <t>정종길</t>
        </is>
      </c>
      <c r="G3769" t="inlineStr">
        <is>
          <t>010-6425-8949</t>
        </is>
      </c>
      <c r="H3769" t="inlineStr">
        <is>
          <t>259누2850</t>
        </is>
      </c>
      <c r="I3769" t="n">
        <v>37900000</v>
      </c>
      <c r="J3769" t="n">
        <v>0.08599999999999999</v>
      </c>
      <c r="K3769" t="n">
        <v>1.76</v>
      </c>
      <c r="L3769" t="n">
        <v>0.4</v>
      </c>
      <c r="M3769" t="n">
        <v>1.36</v>
      </c>
      <c r="P3769" t="inlineStr">
        <is>
          <t>박소현</t>
        </is>
      </c>
      <c r="AB3769" t="inlineStr">
        <is>
          <t>엔카</t>
        </is>
      </c>
      <c r="AC3769" t="n">
        <v>667040</v>
      </c>
      <c r="AD3769" t="n">
        <v>151600</v>
      </c>
      <c r="AE3769" t="n">
        <v>515440</v>
      </c>
      <c r="AF3769" t="n">
        <v>606400</v>
      </c>
      <c r="AG3769" t="n">
        <v>146597.2</v>
      </c>
      <c r="AH3769" t="n">
        <v>459802.8</v>
      </c>
      <c r="AI3769" t="n">
        <v>0</v>
      </c>
    </row>
    <row r="3770">
      <c r="A3770" t="inlineStr">
        <is>
          <t>4월</t>
        </is>
      </c>
      <c r="B3770" t="inlineStr">
        <is>
          <t>17주차</t>
        </is>
      </c>
      <c r="C3770" t="inlineStr">
        <is>
          <t>EP</t>
        </is>
      </c>
      <c r="D3770" s="28" t="n">
        <v>46136</v>
      </c>
      <c r="E3770" t="inlineStr">
        <is>
          <t>현대EP_fast</t>
        </is>
      </c>
      <c r="F3770" t="inlineStr">
        <is>
          <t>박건호</t>
        </is>
      </c>
      <c r="G3770" t="inlineStr">
        <is>
          <t>010-4009-1597</t>
        </is>
      </c>
      <c r="H3770" t="inlineStr">
        <is>
          <t>12조4780</t>
        </is>
      </c>
      <c r="I3770" t="n">
        <v>12000000</v>
      </c>
      <c r="J3770" t="n">
        <v>0.07099999999999999</v>
      </c>
      <c r="K3770" t="n">
        <v>1.76</v>
      </c>
      <c r="L3770" t="n">
        <v>0.4</v>
      </c>
      <c r="M3770" t="n">
        <v>1.36</v>
      </c>
      <c r="P3770" t="inlineStr">
        <is>
          <t>박보람</t>
        </is>
      </c>
      <c r="Q3770" t="inlineStr">
        <is>
          <t>고객주도체결</t>
        </is>
      </c>
      <c r="AB3770" t="inlineStr">
        <is>
          <t>엔카</t>
        </is>
      </c>
      <c r="AC3770" t="n">
        <v>211200</v>
      </c>
      <c r="AD3770" t="n">
        <v>48000</v>
      </c>
      <c r="AE3770" t="n">
        <v>163200</v>
      </c>
      <c r="AF3770" t="n">
        <v>192000</v>
      </c>
      <c r="AG3770" t="n">
        <v>46416</v>
      </c>
      <c r="AH3770" t="n">
        <v>145584</v>
      </c>
      <c r="AI3770" t="n">
        <v>0</v>
      </c>
    </row>
    <row r="3771">
      <c r="A3771" t="inlineStr">
        <is>
          <t>4월</t>
        </is>
      </c>
      <c r="B3771" t="inlineStr">
        <is>
          <t>18주차</t>
        </is>
      </c>
      <c r="C3771" t="inlineStr">
        <is>
          <t>EP</t>
        </is>
      </c>
      <c r="D3771" s="28" t="n">
        <v>46139</v>
      </c>
      <c r="E3771" t="inlineStr">
        <is>
          <t>제이비EP</t>
        </is>
      </c>
      <c r="F3771" t="inlineStr">
        <is>
          <t>강신원</t>
        </is>
      </c>
      <c r="G3771" t="inlineStr">
        <is>
          <t>010-9388-0327</t>
        </is>
      </c>
      <c r="H3771" t="inlineStr">
        <is>
          <t>308우1290</t>
        </is>
      </c>
      <c r="I3771" t="n">
        <v>39900000</v>
      </c>
      <c r="J3771" t="n">
        <v>0.11</v>
      </c>
      <c r="K3771" t="n">
        <v>1.65</v>
      </c>
      <c r="L3771" t="n">
        <v>0.4</v>
      </c>
      <c r="M3771" t="n">
        <v>1.25</v>
      </c>
      <c r="P3771" t="inlineStr">
        <is>
          <t>장현경</t>
        </is>
      </c>
      <c r="AB3771" t="inlineStr">
        <is>
          <t>엔카</t>
        </is>
      </c>
      <c r="AC3771" t="n">
        <v>658350</v>
      </c>
      <c r="AD3771" t="n">
        <v>159600</v>
      </c>
      <c r="AE3771" t="n">
        <v>498750</v>
      </c>
      <c r="AF3771" t="n">
        <v>598500</v>
      </c>
      <c r="AG3771" t="n">
        <v>154333.2</v>
      </c>
      <c r="AH3771" t="n">
        <v>444166.8</v>
      </c>
      <c r="AI3771" t="n">
        <v>0</v>
      </c>
    </row>
    <row r="3772">
      <c r="A3772" t="inlineStr">
        <is>
          <t>4월</t>
        </is>
      </c>
      <c r="B3772" t="inlineStr">
        <is>
          <t>18주차</t>
        </is>
      </c>
      <c r="C3772" t="inlineStr">
        <is>
          <t>EP</t>
        </is>
      </c>
      <c r="D3772" s="28" t="n">
        <v>46139</v>
      </c>
      <c r="E3772" t="inlineStr">
        <is>
          <t>현대EP</t>
        </is>
      </c>
      <c r="F3772" t="inlineStr">
        <is>
          <t>정영훈</t>
        </is>
      </c>
      <c r="G3772" t="inlineStr">
        <is>
          <t>010-4818-3697</t>
        </is>
      </c>
      <c r="H3772" t="inlineStr">
        <is>
          <t>02거2375</t>
        </is>
      </c>
      <c r="I3772" t="n">
        <v>16900000</v>
      </c>
      <c r="J3772" t="n">
        <v>0.09</v>
      </c>
      <c r="K3772" t="n">
        <v>1.76</v>
      </c>
      <c r="L3772" t="n">
        <v>0.2</v>
      </c>
      <c r="M3772" t="n">
        <v>1.56</v>
      </c>
      <c r="P3772" t="inlineStr">
        <is>
          <t>황채이</t>
        </is>
      </c>
      <c r="AB3772" t="inlineStr">
        <is>
          <t>홈서비스</t>
        </is>
      </c>
      <c r="AC3772" t="n">
        <v>297440</v>
      </c>
      <c r="AD3772" t="n">
        <v>33800</v>
      </c>
      <c r="AE3772" t="n">
        <v>263640</v>
      </c>
      <c r="AF3772" t="n">
        <v>270400</v>
      </c>
      <c r="AG3772" t="n">
        <v>32684.6</v>
      </c>
      <c r="AH3772" t="n">
        <v>237715.4</v>
      </c>
    </row>
    <row r="3773">
      <c r="A3773" t="inlineStr">
        <is>
          <t>4월</t>
        </is>
      </c>
      <c r="B3773" t="inlineStr">
        <is>
          <t>18주차</t>
        </is>
      </c>
      <c r="C3773" t="inlineStr">
        <is>
          <t>WC</t>
        </is>
      </c>
      <c r="D3773" s="28" t="n">
        <v>46140</v>
      </c>
      <c r="E3773" t="inlineStr">
        <is>
          <t>웰컴저축은행</t>
        </is>
      </c>
      <c r="F3773" t="inlineStr">
        <is>
          <t>장문수</t>
        </is>
      </c>
      <c r="G3773" t="inlineStr">
        <is>
          <t>010-2443-0113</t>
        </is>
      </c>
      <c r="H3773" t="inlineStr">
        <is>
          <t>133라4726</t>
        </is>
      </c>
      <c r="I3773" t="n">
        <v>19900000</v>
      </c>
      <c r="J3773" t="n">
        <v>0.199</v>
      </c>
      <c r="K3773" t="n">
        <v>2.2</v>
      </c>
      <c r="L3773" t="n">
        <v>0.07000000000000001</v>
      </c>
      <c r="M3773" t="n">
        <v>2.13</v>
      </c>
      <c r="P3773" t="inlineStr">
        <is>
          <t>황채이</t>
        </is>
      </c>
      <c r="Q3773" t="inlineStr">
        <is>
          <t>부결 db실행 / 홈서비스 72개월</t>
        </is>
      </c>
      <c r="AB3773" t="inlineStr">
        <is>
          <t>홈서비스</t>
        </is>
      </c>
      <c r="AC3773" t="n">
        <v>437800</v>
      </c>
      <c r="AD3773" t="n">
        <v>13930</v>
      </c>
      <c r="AE3773" t="n">
        <v>423870</v>
      </c>
      <c r="AF3773" t="n">
        <v>398000</v>
      </c>
      <c r="AG3773" t="n">
        <v>13470.31</v>
      </c>
      <c r="AH3773" t="n">
        <v>384529.69</v>
      </c>
    </row>
    <row r="3774">
      <c r="A3774" t="inlineStr">
        <is>
          <t>4월</t>
        </is>
      </c>
      <c r="B3774" t="inlineStr">
        <is>
          <t>18주차</t>
        </is>
      </c>
      <c r="C3774" t="inlineStr">
        <is>
          <t>EP</t>
        </is>
      </c>
      <c r="D3774" s="28" t="n">
        <v>46139</v>
      </c>
      <c r="E3774" t="inlineStr">
        <is>
          <t>현대EP</t>
        </is>
      </c>
      <c r="F3774" t="inlineStr">
        <is>
          <t>손경준</t>
        </is>
      </c>
      <c r="G3774" t="inlineStr">
        <is>
          <t>010-4477-7895</t>
        </is>
      </c>
      <c r="H3774" t="inlineStr">
        <is>
          <t>217부3616</t>
        </is>
      </c>
      <c r="I3774" t="n">
        <v>39600000</v>
      </c>
      <c r="J3774" t="n">
        <v>0.079</v>
      </c>
      <c r="K3774" t="n">
        <v>1.76</v>
      </c>
      <c r="L3774" t="n">
        <v>0.2</v>
      </c>
      <c r="M3774" t="n">
        <v>1.56</v>
      </c>
      <c r="P3774" t="inlineStr">
        <is>
          <t>김수연</t>
        </is>
      </c>
      <c r="AB3774" t="inlineStr">
        <is>
          <t>홈서비스</t>
        </is>
      </c>
      <c r="AC3774" t="n">
        <v>696960</v>
      </c>
      <c r="AD3774" t="n">
        <v>79200</v>
      </c>
      <c r="AE3774" t="n">
        <v>617760</v>
      </c>
      <c r="AF3774" t="n">
        <v>633600</v>
      </c>
      <c r="AG3774" t="n">
        <v>76586.39999999999</v>
      </c>
      <c r="AH3774" t="n">
        <v>557013.6</v>
      </c>
      <c r="AI3774" t="n">
        <v>0</v>
      </c>
    </row>
    <row r="3775">
      <c r="A3775" t="inlineStr">
        <is>
          <t>4월</t>
        </is>
      </c>
      <c r="B3775" t="inlineStr">
        <is>
          <t>18주차</t>
        </is>
      </c>
      <c r="C3775" t="inlineStr">
        <is>
          <t>EP</t>
        </is>
      </c>
      <c r="D3775" s="28" t="n">
        <v>46139</v>
      </c>
      <c r="E3775" t="inlineStr">
        <is>
          <t>현대EP_fast</t>
        </is>
      </c>
      <c r="F3775" t="inlineStr">
        <is>
          <t>박대웅</t>
        </is>
      </c>
      <c r="G3775" t="inlineStr">
        <is>
          <t>010-2918-1578</t>
        </is>
      </c>
      <c r="H3775" t="inlineStr">
        <is>
          <t>35오7841</t>
        </is>
      </c>
      <c r="I3775" t="n">
        <v>42500000</v>
      </c>
      <c r="J3775" t="n">
        <v>0.077</v>
      </c>
      <c r="K3775" t="n">
        <v>1.76</v>
      </c>
      <c r="L3775" t="n">
        <v>0.4</v>
      </c>
      <c r="M3775" t="n">
        <v>1.36</v>
      </c>
      <c r="P3775" t="inlineStr">
        <is>
          <t>임대경</t>
        </is>
      </c>
      <c r="AB3775" t="inlineStr">
        <is>
          <t>엔카</t>
        </is>
      </c>
      <c r="AC3775" t="n">
        <v>748000</v>
      </c>
      <c r="AD3775" t="n">
        <v>170000</v>
      </c>
      <c r="AE3775" t="n">
        <v>578000</v>
      </c>
      <c r="AF3775" t="n">
        <v>680000</v>
      </c>
      <c r="AG3775" t="n">
        <v>164390</v>
      </c>
      <c r="AH3775" t="n">
        <v>515610</v>
      </c>
      <c r="AI3775" t="n">
        <v>0</v>
      </c>
    </row>
    <row r="3776">
      <c r="A3776" t="inlineStr">
        <is>
          <t>4월</t>
        </is>
      </c>
      <c r="B3776" t="inlineStr">
        <is>
          <t>18주차</t>
        </is>
      </c>
      <c r="C3776" t="inlineStr">
        <is>
          <t>EP</t>
        </is>
      </c>
      <c r="D3776" s="28" t="n">
        <v>46139</v>
      </c>
      <c r="E3776" t="inlineStr">
        <is>
          <t>BNKEP</t>
        </is>
      </c>
      <c r="F3776" t="inlineStr">
        <is>
          <t>이현호</t>
        </is>
      </c>
      <c r="G3776" t="inlineStr">
        <is>
          <t>010-9755-2717</t>
        </is>
      </c>
      <c r="H3776" t="inlineStr">
        <is>
          <t>365구7854</t>
        </is>
      </c>
      <c r="I3776" t="n">
        <v>12000000</v>
      </c>
      <c r="J3776" t="n">
        <v>0.07199999999999999</v>
      </c>
      <c r="K3776" t="n">
        <v>1.65</v>
      </c>
      <c r="L3776" t="n">
        <v>0.4</v>
      </c>
      <c r="M3776" t="n">
        <v>1.25</v>
      </c>
      <c r="P3776" t="inlineStr">
        <is>
          <t>박현민</t>
        </is>
      </c>
      <c r="AB3776" t="inlineStr">
        <is>
          <t>엔카</t>
        </is>
      </c>
      <c r="AC3776" t="n">
        <v>198000</v>
      </c>
      <c r="AD3776" t="n">
        <v>48000</v>
      </c>
      <c r="AE3776" t="n">
        <v>150000</v>
      </c>
      <c r="AF3776" t="n">
        <v>180000</v>
      </c>
      <c r="AG3776" t="n">
        <v>46416</v>
      </c>
      <c r="AH3776" t="n">
        <v>133584</v>
      </c>
      <c r="AI3776" t="n">
        <v>0</v>
      </c>
    </row>
    <row r="3777">
      <c r="A3777" t="inlineStr">
        <is>
          <t>4월</t>
        </is>
      </c>
      <c r="B3777" t="inlineStr">
        <is>
          <t>18주차</t>
        </is>
      </c>
      <c r="C3777" t="inlineStr">
        <is>
          <t>EP</t>
        </is>
      </c>
      <c r="D3777" s="28" t="n">
        <v>46140</v>
      </c>
      <c r="E3777" t="inlineStr">
        <is>
          <t>현대EP_fast</t>
        </is>
      </c>
      <c r="F3777" t="inlineStr">
        <is>
          <t>안효빈</t>
        </is>
      </c>
      <c r="G3777" t="inlineStr">
        <is>
          <t>010-3191-6218</t>
        </is>
      </c>
      <c r="H3777" t="inlineStr">
        <is>
          <t>323주2473</t>
        </is>
      </c>
      <c r="I3777" t="n">
        <v>6500000</v>
      </c>
      <c r="J3777" t="n">
        <v>0.08500000000000001</v>
      </c>
      <c r="K3777" t="n">
        <v>1.76</v>
      </c>
      <c r="L3777" t="n">
        <v>0.2</v>
      </c>
      <c r="M3777" t="n">
        <v>1.56</v>
      </c>
      <c r="P3777" t="inlineStr">
        <is>
          <t>김나윤</t>
        </is>
      </c>
      <c r="Q3777" t="inlineStr">
        <is>
          <t>홈서비스 60개월</t>
        </is>
      </c>
      <c r="AB3777" t="inlineStr">
        <is>
          <t>홈서비스</t>
        </is>
      </c>
      <c r="AC3777" t="n">
        <v>114400</v>
      </c>
      <c r="AD3777" t="n">
        <v>13000</v>
      </c>
      <c r="AE3777" t="n">
        <v>101400</v>
      </c>
      <c r="AF3777" t="n">
        <v>104000</v>
      </c>
      <c r="AG3777" t="n">
        <v>12571</v>
      </c>
      <c r="AH3777" t="n">
        <v>91429</v>
      </c>
      <c r="AI3777" t="n">
        <v>0</v>
      </c>
    </row>
    <row r="3778">
      <c r="A3778" t="inlineStr">
        <is>
          <t>4월</t>
        </is>
      </c>
      <c r="B3778" t="inlineStr">
        <is>
          <t>18주차</t>
        </is>
      </c>
      <c r="C3778" t="inlineStr">
        <is>
          <t>EP</t>
        </is>
      </c>
      <c r="D3778" s="28" t="n">
        <v>46139</v>
      </c>
      <c r="E3778" t="inlineStr">
        <is>
          <t>현대EP_fast</t>
        </is>
      </c>
      <c r="F3778" t="inlineStr">
        <is>
          <t>남기홍</t>
        </is>
      </c>
      <c r="G3778" t="inlineStr">
        <is>
          <t>010-5476-4532</t>
        </is>
      </c>
      <c r="H3778" t="inlineStr">
        <is>
          <t>282머8035</t>
        </is>
      </c>
      <c r="I3778" t="n">
        <v>11900000</v>
      </c>
      <c r="J3778" t="n">
        <v>0.07099999999999999</v>
      </c>
      <c r="K3778" t="n">
        <v>1.76</v>
      </c>
      <c r="L3778" t="n">
        <v>0.2</v>
      </c>
      <c r="M3778" t="n">
        <v>1.56</v>
      </c>
      <c r="P3778" t="inlineStr">
        <is>
          <t>최형주</t>
        </is>
      </c>
      <c r="Q3778" t="inlineStr">
        <is>
          <t>홈서비스 36개월</t>
        </is>
      </c>
      <c r="AB3778" t="inlineStr">
        <is>
          <t>홈서비스</t>
        </is>
      </c>
      <c r="AC3778" t="n">
        <v>209440</v>
      </c>
      <c r="AD3778" t="n">
        <v>23800</v>
      </c>
      <c r="AE3778" t="n">
        <v>185640</v>
      </c>
      <c r="AF3778" t="n">
        <v>190400</v>
      </c>
      <c r="AG3778" t="n">
        <v>23014.6</v>
      </c>
      <c r="AH3778" t="n">
        <v>167385.4</v>
      </c>
    </row>
    <row r="3779">
      <c r="A3779" t="inlineStr">
        <is>
          <t>4월</t>
        </is>
      </c>
      <c r="B3779" t="inlineStr">
        <is>
          <t>18주차</t>
        </is>
      </c>
      <c r="C3779" t="inlineStr">
        <is>
          <t>EP</t>
        </is>
      </c>
      <c r="D3779" s="28" t="n">
        <v>46140</v>
      </c>
      <c r="E3779" t="inlineStr">
        <is>
          <t>현대EP_fast</t>
        </is>
      </c>
      <c r="F3779" t="inlineStr">
        <is>
          <t>조한울</t>
        </is>
      </c>
      <c r="G3779" t="inlineStr">
        <is>
          <t>010-3219-4826</t>
        </is>
      </c>
      <c r="H3779" t="inlineStr">
        <is>
          <t>296소3298</t>
        </is>
      </c>
      <c r="I3779" t="n">
        <v>25000000</v>
      </c>
      <c r="J3779" t="n">
        <v>0.119</v>
      </c>
      <c r="K3779" t="n">
        <v>1.76</v>
      </c>
      <c r="L3779" t="n">
        <v>0.2</v>
      </c>
      <c r="M3779" t="n">
        <v>1.56</v>
      </c>
      <c r="P3779" t="inlineStr">
        <is>
          <t>최형주</t>
        </is>
      </c>
      <c r="Q3779" t="inlineStr">
        <is>
          <t>홈서비스 48개월</t>
        </is>
      </c>
      <c r="AB3779" t="inlineStr">
        <is>
          <t>홈서비스</t>
        </is>
      </c>
      <c r="AC3779" t="n">
        <v>440000</v>
      </c>
      <c r="AD3779" t="n">
        <v>50000</v>
      </c>
      <c r="AE3779" t="n">
        <v>390000</v>
      </c>
      <c r="AF3779" t="n">
        <v>400000</v>
      </c>
      <c r="AG3779" t="n">
        <v>48350</v>
      </c>
      <c r="AH3779" t="n">
        <v>351650</v>
      </c>
      <c r="AI3779" t="n">
        <v>0</v>
      </c>
    </row>
    <row r="3780">
      <c r="A3780" t="inlineStr">
        <is>
          <t>4월</t>
        </is>
      </c>
      <c r="B3780" t="inlineStr">
        <is>
          <t>18주차</t>
        </is>
      </c>
      <c r="C3780" t="inlineStr">
        <is>
          <t>EP</t>
        </is>
      </c>
      <c r="D3780" s="28" t="n">
        <v>46139</v>
      </c>
      <c r="E3780" t="inlineStr">
        <is>
          <t>현대EP_fast</t>
        </is>
      </c>
      <c r="F3780" t="inlineStr">
        <is>
          <t>신성진</t>
        </is>
      </c>
      <c r="G3780" t="inlineStr">
        <is>
          <t>010-5191-7404</t>
        </is>
      </c>
      <c r="H3780" t="inlineStr">
        <is>
          <t>11머5018</t>
        </is>
      </c>
      <c r="I3780" t="n">
        <v>21500000</v>
      </c>
      <c r="J3780" t="n">
        <v>0.092</v>
      </c>
      <c r="K3780" t="n">
        <v>1.76</v>
      </c>
      <c r="L3780" t="n">
        <v>0.2</v>
      </c>
      <c r="M3780" t="n">
        <v>1.56</v>
      </c>
      <c r="P3780" t="inlineStr">
        <is>
          <t>최혁</t>
        </is>
      </c>
      <c r="Q3780" t="inlineStr">
        <is>
          <t>홈서비스60개월</t>
        </is>
      </c>
      <c r="AB3780" t="inlineStr">
        <is>
          <t>홈서비스</t>
        </is>
      </c>
      <c r="AC3780" t="n">
        <v>378400</v>
      </c>
      <c r="AD3780" t="n">
        <v>43000</v>
      </c>
      <c r="AE3780" t="n">
        <v>335400</v>
      </c>
      <c r="AF3780" t="n">
        <v>344000</v>
      </c>
      <c r="AG3780" t="n">
        <v>41581</v>
      </c>
      <c r="AH3780" t="n">
        <v>302419</v>
      </c>
      <c r="AI3780" t="n">
        <v>0</v>
      </c>
    </row>
    <row r="3781">
      <c r="A3781" t="inlineStr">
        <is>
          <t>4월</t>
        </is>
      </c>
      <c r="B3781" t="inlineStr">
        <is>
          <t>17주차</t>
        </is>
      </c>
      <c r="C3781" t="inlineStr">
        <is>
          <t>EP</t>
        </is>
      </c>
      <c r="D3781" s="28" t="n">
        <v>46136</v>
      </c>
      <c r="E3781" t="inlineStr">
        <is>
          <t>제이비EP</t>
        </is>
      </c>
      <c r="F3781" t="inlineStr">
        <is>
          <t>고진혁</t>
        </is>
      </c>
      <c r="G3781" t="inlineStr">
        <is>
          <t>010-9811-3397</t>
        </is>
      </c>
      <c r="H3781" t="inlineStr">
        <is>
          <t>816어1938</t>
        </is>
      </c>
      <c r="I3781" t="n">
        <v>15000000</v>
      </c>
      <c r="J3781" t="n">
        <v>0.066</v>
      </c>
      <c r="K3781" t="n">
        <v>1.65</v>
      </c>
      <c r="L3781" t="n">
        <v>0.4</v>
      </c>
      <c r="M3781" t="n">
        <v>1.25</v>
      </c>
      <c r="P3781" t="inlineStr">
        <is>
          <t>장진경</t>
        </is>
      </c>
      <c r="Q3781" t="inlineStr">
        <is>
          <t>법인할부 / 클린짐 주식회사</t>
        </is>
      </c>
      <c r="AB3781" t="inlineStr">
        <is>
          <t>엔카</t>
        </is>
      </c>
      <c r="AC3781" t="n">
        <v>247500</v>
      </c>
      <c r="AD3781" t="n">
        <v>60000</v>
      </c>
      <c r="AE3781" t="n">
        <v>187500</v>
      </c>
      <c r="AF3781" t="n">
        <v>225000</v>
      </c>
      <c r="AG3781" t="n">
        <v>58020</v>
      </c>
      <c r="AH3781" t="n">
        <v>166980</v>
      </c>
      <c r="AI3781" t="n">
        <v>0</v>
      </c>
    </row>
    <row r="3782">
      <c r="A3782" t="inlineStr">
        <is>
          <t>4월</t>
        </is>
      </c>
      <c r="B3782" t="inlineStr">
        <is>
          <t>18주차</t>
        </is>
      </c>
      <c r="C3782" t="inlineStr">
        <is>
          <t>EP</t>
        </is>
      </c>
      <c r="D3782" s="28" t="n">
        <v>46139</v>
      </c>
      <c r="E3782" t="inlineStr">
        <is>
          <t>제이비EP</t>
        </is>
      </c>
      <c r="F3782" t="inlineStr">
        <is>
          <t>강성용</t>
        </is>
      </c>
      <c r="G3782" t="inlineStr">
        <is>
          <t>010-3058-1202</t>
        </is>
      </c>
      <c r="H3782" t="inlineStr">
        <is>
          <t>12두6004</t>
        </is>
      </c>
      <c r="I3782" t="n">
        <v>21000000</v>
      </c>
      <c r="J3782" t="n">
        <v>0.079</v>
      </c>
      <c r="K3782" t="n">
        <v>1.65</v>
      </c>
      <c r="L3782" t="n">
        <v>0.4</v>
      </c>
      <c r="M3782" t="n">
        <v>1.25</v>
      </c>
      <c r="P3782" t="inlineStr">
        <is>
          <t>박현민</t>
        </is>
      </c>
      <c r="AB3782" t="inlineStr">
        <is>
          <t>엔카</t>
        </is>
      </c>
      <c r="AC3782" t="n">
        <v>346500</v>
      </c>
      <c r="AD3782" t="n">
        <v>84000</v>
      </c>
      <c r="AE3782" t="n">
        <v>262500</v>
      </c>
      <c r="AF3782" t="n">
        <v>315000</v>
      </c>
      <c r="AG3782" t="n">
        <v>81228</v>
      </c>
      <c r="AH3782" t="n">
        <v>233772</v>
      </c>
      <c r="AI3782" t="n">
        <v>0</v>
      </c>
    </row>
    <row r="3783">
      <c r="A3783" t="inlineStr">
        <is>
          <t>4월</t>
        </is>
      </c>
      <c r="B3783" t="inlineStr">
        <is>
          <t>18주차</t>
        </is>
      </c>
      <c r="C3783" t="inlineStr">
        <is>
          <t>EP</t>
        </is>
      </c>
      <c r="D3783" s="28" t="n">
        <v>46139</v>
      </c>
      <c r="E3783" t="inlineStr">
        <is>
          <t>현대EP_fast</t>
        </is>
      </c>
      <c r="F3783" t="inlineStr">
        <is>
          <t>최영민</t>
        </is>
      </c>
      <c r="G3783" t="inlineStr">
        <is>
          <t>010-3896-4937</t>
        </is>
      </c>
      <c r="H3783" t="inlineStr">
        <is>
          <t>42버1655</t>
        </is>
      </c>
      <c r="I3783" t="n">
        <v>5300000</v>
      </c>
      <c r="J3783" t="n">
        <v>0.105</v>
      </c>
      <c r="K3783" t="n">
        <v>1.76</v>
      </c>
      <c r="L3783" t="n">
        <v>0.4</v>
      </c>
      <c r="M3783" t="n">
        <v>1.36</v>
      </c>
      <c r="P3783" t="inlineStr">
        <is>
          <t>최혁</t>
        </is>
      </c>
      <c r="AB3783" t="inlineStr">
        <is>
          <t>엔카</t>
        </is>
      </c>
      <c r="AC3783" t="n">
        <v>93280</v>
      </c>
      <c r="AD3783" t="n">
        <v>21200</v>
      </c>
      <c r="AE3783" t="n">
        <v>72080</v>
      </c>
      <c r="AF3783" t="n">
        <v>84800</v>
      </c>
      <c r="AG3783" t="n">
        <v>20500.4</v>
      </c>
      <c r="AH3783" t="n">
        <v>64299.6</v>
      </c>
      <c r="AI3783" t="n">
        <v>0</v>
      </c>
    </row>
    <row r="3784">
      <c r="A3784" t="inlineStr">
        <is>
          <t>4월</t>
        </is>
      </c>
      <c r="B3784" t="inlineStr">
        <is>
          <t>18주차</t>
        </is>
      </c>
      <c r="C3784" t="inlineStr">
        <is>
          <t>IM</t>
        </is>
      </c>
      <c r="D3784" s="28" t="n">
        <v>46140</v>
      </c>
      <c r="E3784" t="inlineStr">
        <is>
          <t>IM캐피탈</t>
        </is>
      </c>
      <c r="F3784" t="inlineStr">
        <is>
          <t>김형택</t>
        </is>
      </c>
      <c r="G3784" t="inlineStr">
        <is>
          <t>010-3655-7219</t>
        </is>
      </c>
      <c r="H3784" t="inlineStr">
        <is>
          <t>69머3140</t>
        </is>
      </c>
      <c r="I3784" t="n">
        <v>14000000</v>
      </c>
      <c r="J3784" t="n">
        <v>0.07099999999999999</v>
      </c>
      <c r="K3784" t="n">
        <v>1.1</v>
      </c>
      <c r="L3784" t="n">
        <v>0.4</v>
      </c>
      <c r="M3784" t="n">
        <v>0.7</v>
      </c>
      <c r="P3784" t="inlineStr">
        <is>
          <t>최혁</t>
        </is>
      </c>
      <c r="AB3784" t="inlineStr">
        <is>
          <t>엔카</t>
        </is>
      </c>
      <c r="AC3784" t="n">
        <v>154000</v>
      </c>
      <c r="AD3784" t="n">
        <v>56000</v>
      </c>
      <c r="AE3784" t="n">
        <v>98000</v>
      </c>
      <c r="AF3784" t="n">
        <v>140000</v>
      </c>
      <c r="AG3784" t="n">
        <v>54152</v>
      </c>
      <c r="AH3784" t="n">
        <v>85848</v>
      </c>
      <c r="AI3784" t="n">
        <v>0</v>
      </c>
    </row>
    <row r="3785">
      <c r="A3785" t="inlineStr">
        <is>
          <t>4월</t>
        </is>
      </c>
      <c r="B3785" t="inlineStr">
        <is>
          <t>18주차</t>
        </is>
      </c>
      <c r="C3785" t="inlineStr">
        <is>
          <t>EP</t>
        </is>
      </c>
      <c r="D3785" s="28" t="n">
        <v>46140</v>
      </c>
      <c r="E3785" t="inlineStr">
        <is>
          <t>현대EP_fast</t>
        </is>
      </c>
      <c r="F3785" t="inlineStr">
        <is>
          <t>김준</t>
        </is>
      </c>
      <c r="G3785" t="inlineStr">
        <is>
          <t>010-4454-4478</t>
        </is>
      </c>
      <c r="H3785" t="inlineStr">
        <is>
          <t>67러5699</t>
        </is>
      </c>
      <c r="I3785" t="n">
        <v>10900000</v>
      </c>
      <c r="J3785" t="n">
        <v>0.07099999999999999</v>
      </c>
      <c r="K3785" t="n">
        <v>1.76</v>
      </c>
      <c r="L3785" t="n">
        <v>0.2</v>
      </c>
      <c r="M3785" t="n">
        <v>1.56</v>
      </c>
      <c r="P3785" t="inlineStr">
        <is>
          <t>최형주</t>
        </is>
      </c>
      <c r="Q3785" t="inlineStr">
        <is>
          <t>홈서비스 24개월</t>
        </is>
      </c>
      <c r="AB3785" t="inlineStr">
        <is>
          <t>홈서비스</t>
        </is>
      </c>
      <c r="AC3785" t="n">
        <v>191840</v>
      </c>
      <c r="AD3785" t="n">
        <v>21800</v>
      </c>
      <c r="AE3785" t="n">
        <v>170040</v>
      </c>
      <c r="AF3785" t="n">
        <v>174400</v>
      </c>
      <c r="AG3785" t="n">
        <v>21080.6</v>
      </c>
      <c r="AH3785" t="n">
        <v>153319.4</v>
      </c>
      <c r="AI3785" t="n">
        <v>0</v>
      </c>
    </row>
    <row r="3786">
      <c r="A3786" t="inlineStr">
        <is>
          <t>4월</t>
        </is>
      </c>
      <c r="B3786" t="inlineStr">
        <is>
          <t>18주차</t>
        </is>
      </c>
      <c r="C3786" t="inlineStr">
        <is>
          <t>IM</t>
        </is>
      </c>
      <c r="D3786" s="28" t="n">
        <v>46139</v>
      </c>
      <c r="E3786" t="inlineStr">
        <is>
          <t>IM캐피탈</t>
        </is>
      </c>
      <c r="F3786" t="inlineStr">
        <is>
          <t>김민혜</t>
        </is>
      </c>
      <c r="G3786" t="inlineStr">
        <is>
          <t>010-4645-7003</t>
        </is>
      </c>
      <c r="H3786" t="inlineStr">
        <is>
          <t>92모0224</t>
        </is>
      </c>
      <c r="I3786" t="n">
        <v>9800000</v>
      </c>
      <c r="J3786" t="n">
        <v>0.049</v>
      </c>
      <c r="K3786" t="n">
        <v>1.1</v>
      </c>
      <c r="L3786" t="n">
        <v>0.4</v>
      </c>
      <c r="M3786" t="n">
        <v>0.7</v>
      </c>
      <c r="P3786" t="inlineStr">
        <is>
          <t>장현경</t>
        </is>
      </c>
      <c r="Q3786" t="inlineStr">
        <is>
          <t>기고객소개</t>
        </is>
      </c>
      <c r="AB3786" t="inlineStr">
        <is>
          <t>엔카</t>
        </is>
      </c>
      <c r="AC3786" t="n">
        <v>107800</v>
      </c>
      <c r="AD3786" t="n">
        <v>39200</v>
      </c>
      <c r="AE3786" t="n">
        <v>68600</v>
      </c>
      <c r="AF3786" t="n">
        <v>98000</v>
      </c>
      <c r="AG3786" t="n">
        <v>37906.4</v>
      </c>
      <c r="AH3786" t="n">
        <v>60093.6</v>
      </c>
      <c r="AI3786" t="n">
        <v>0</v>
      </c>
    </row>
    <row r="3787">
      <c r="A3787" t="inlineStr">
        <is>
          <t>4월</t>
        </is>
      </c>
      <c r="B3787" t="inlineStr">
        <is>
          <t>18주차</t>
        </is>
      </c>
      <c r="C3787" t="inlineStr">
        <is>
          <t>WR</t>
        </is>
      </c>
      <c r="D3787" s="28" t="n">
        <v>46139</v>
      </c>
      <c r="E3787" t="inlineStr">
        <is>
          <t>우리금융</t>
        </is>
      </c>
      <c r="F3787" t="inlineStr">
        <is>
          <t>백희라</t>
        </is>
      </c>
      <c r="G3787" t="inlineStr">
        <is>
          <t>010-5305-1137</t>
        </is>
      </c>
      <c r="H3787" t="inlineStr">
        <is>
          <t>152버2099</t>
        </is>
      </c>
      <c r="I3787" t="n">
        <v>26900000</v>
      </c>
      <c r="J3787" t="n">
        <v>0.075</v>
      </c>
      <c r="K3787" t="n">
        <v>2.2</v>
      </c>
      <c r="L3787" t="n">
        <v>0.07000000000000001</v>
      </c>
      <c r="M3787" t="n">
        <v>2.13</v>
      </c>
      <c r="P3787" t="inlineStr">
        <is>
          <t>정세빈</t>
        </is>
      </c>
      <c r="Q3787" t="inlineStr">
        <is>
          <t>홈서비스 48개월</t>
        </is>
      </c>
      <c r="AB3787" t="inlineStr">
        <is>
          <t>홈서비스</t>
        </is>
      </c>
      <c r="AC3787" t="n">
        <v>591800</v>
      </c>
      <c r="AD3787" t="n">
        <v>18830</v>
      </c>
      <c r="AE3787" t="n">
        <v>572970</v>
      </c>
      <c r="AF3787" t="n">
        <v>538000</v>
      </c>
      <c r="AG3787" t="n">
        <v>18208.61</v>
      </c>
      <c r="AH3787" t="n">
        <v>519791.39</v>
      </c>
    </row>
    <row r="3788">
      <c r="A3788" t="inlineStr">
        <is>
          <t>4월</t>
        </is>
      </c>
      <c r="B3788" t="inlineStr">
        <is>
          <t>18주차</t>
        </is>
      </c>
      <c r="C3788" t="inlineStr">
        <is>
          <t>EP</t>
        </is>
      </c>
      <c r="D3788" s="28" t="n">
        <v>46140</v>
      </c>
      <c r="E3788" t="inlineStr">
        <is>
          <t>현대EP_fast</t>
        </is>
      </c>
      <c r="F3788" t="inlineStr">
        <is>
          <t>손성락</t>
        </is>
      </c>
      <c r="G3788" t="inlineStr">
        <is>
          <t>010-8221-4520</t>
        </is>
      </c>
      <c r="H3788" t="inlineStr">
        <is>
          <t>53러2259</t>
        </is>
      </c>
      <c r="I3788" t="n">
        <v>13500000</v>
      </c>
      <c r="J3788" t="n">
        <v>0.102</v>
      </c>
      <c r="K3788" t="n">
        <v>1.76</v>
      </c>
      <c r="L3788" t="n">
        <v>0.2</v>
      </c>
      <c r="M3788" t="n">
        <v>1.56</v>
      </c>
      <c r="P3788" t="inlineStr">
        <is>
          <t>황채이</t>
        </is>
      </c>
      <c r="Q3788" t="inlineStr">
        <is>
          <t>홈서비스 60개월</t>
        </is>
      </c>
      <c r="AB3788" t="inlineStr">
        <is>
          <t>홈서비스</t>
        </is>
      </c>
      <c r="AC3788" t="n">
        <v>237600</v>
      </c>
      <c r="AD3788" t="n">
        <v>27000</v>
      </c>
      <c r="AE3788" t="n">
        <v>210600</v>
      </c>
      <c r="AF3788" t="n">
        <v>216000</v>
      </c>
      <c r="AG3788" t="n">
        <v>26109</v>
      </c>
      <c r="AH3788" t="n">
        <v>189891</v>
      </c>
    </row>
    <row r="3789">
      <c r="A3789" t="inlineStr">
        <is>
          <t>4월</t>
        </is>
      </c>
      <c r="B3789" t="inlineStr">
        <is>
          <t>18주차</t>
        </is>
      </c>
      <c r="C3789" t="inlineStr">
        <is>
          <t>EP</t>
        </is>
      </c>
      <c r="D3789" s="28" t="n">
        <v>46140</v>
      </c>
      <c r="E3789" t="inlineStr">
        <is>
          <t>현대EP_fast</t>
        </is>
      </c>
      <c r="F3789" t="inlineStr">
        <is>
          <t>김주혁</t>
        </is>
      </c>
      <c r="G3789" t="inlineStr">
        <is>
          <t>010-8638-1823</t>
        </is>
      </c>
      <c r="H3789" t="inlineStr">
        <is>
          <t>345루2574</t>
        </is>
      </c>
      <c r="I3789" t="n">
        <v>19500000</v>
      </c>
      <c r="J3789" t="n">
        <v>0.102</v>
      </c>
      <c r="K3789" t="n">
        <v>1.76</v>
      </c>
      <c r="L3789" t="n">
        <v>0.2</v>
      </c>
      <c r="M3789" t="n">
        <v>1.56</v>
      </c>
      <c r="P3789" t="inlineStr">
        <is>
          <t>김나윤</t>
        </is>
      </c>
      <c r="Q3789" t="inlineStr">
        <is>
          <t>홈서비스 48개월</t>
        </is>
      </c>
      <c r="AB3789" t="inlineStr">
        <is>
          <t>홈서비스</t>
        </is>
      </c>
      <c r="AC3789" t="n">
        <v>343200</v>
      </c>
      <c r="AD3789" t="n">
        <v>39000</v>
      </c>
      <c r="AE3789" t="n">
        <v>304200</v>
      </c>
      <c r="AF3789" t="n">
        <v>312000</v>
      </c>
      <c r="AG3789" t="n">
        <v>37713</v>
      </c>
      <c r="AH3789" t="n">
        <v>274287</v>
      </c>
    </row>
    <row r="3790">
      <c r="A3790" t="inlineStr">
        <is>
          <t>4월</t>
        </is>
      </c>
      <c r="B3790" t="inlineStr">
        <is>
          <t>18주차</t>
        </is>
      </c>
      <c r="C3790" t="inlineStr">
        <is>
          <t>IM</t>
        </is>
      </c>
      <c r="D3790" s="28" t="n">
        <v>46140</v>
      </c>
      <c r="E3790" t="inlineStr">
        <is>
          <t>IM캐피탈</t>
        </is>
      </c>
      <c r="F3790" t="inlineStr">
        <is>
          <t>이준구</t>
        </is>
      </c>
      <c r="G3790" t="inlineStr">
        <is>
          <t>010-9944-9500</t>
        </is>
      </c>
      <c r="H3790" t="inlineStr">
        <is>
          <t>187너4666</t>
        </is>
      </c>
      <c r="I3790" t="n">
        <v>55000000</v>
      </c>
      <c r="J3790" t="n">
        <v>0.049</v>
      </c>
      <c r="K3790" t="n">
        <v>1.1</v>
      </c>
      <c r="L3790" t="n">
        <v>0.4</v>
      </c>
      <c r="M3790" t="n">
        <v>0.7</v>
      </c>
      <c r="P3790" t="inlineStr">
        <is>
          <t>최혁</t>
        </is>
      </c>
      <c r="AB3790" t="inlineStr">
        <is>
          <t>엔카</t>
        </is>
      </c>
      <c r="AC3790" t="n">
        <v>605000</v>
      </c>
      <c r="AD3790" t="n">
        <v>220000</v>
      </c>
      <c r="AE3790" t="n">
        <v>385000</v>
      </c>
      <c r="AF3790" t="n">
        <v>550000</v>
      </c>
      <c r="AG3790" t="n">
        <v>212740</v>
      </c>
      <c r="AH3790" t="n">
        <v>337260</v>
      </c>
      <c r="AI3790" t="n">
        <v>0</v>
      </c>
    </row>
    <row r="3791">
      <c r="A3791" t="inlineStr">
        <is>
          <t>4월</t>
        </is>
      </c>
      <c r="B3791" t="inlineStr">
        <is>
          <t>18주차</t>
        </is>
      </c>
      <c r="C3791" t="inlineStr">
        <is>
          <t>EP</t>
        </is>
      </c>
      <c r="D3791" s="28" t="n">
        <v>46139</v>
      </c>
      <c r="E3791" t="inlineStr">
        <is>
          <t>현대EP</t>
        </is>
      </c>
      <c r="F3791" t="inlineStr">
        <is>
          <t>이병일</t>
        </is>
      </c>
      <c r="G3791" t="inlineStr">
        <is>
          <t>010-8861-1815</t>
        </is>
      </c>
      <c r="H3791" t="inlineStr">
        <is>
          <t>256조6267</t>
        </is>
      </c>
      <c r="I3791" t="n">
        <v>22000000</v>
      </c>
      <c r="J3791" t="n">
        <v>0.118</v>
      </c>
      <c r="K3791" t="n">
        <v>1.76</v>
      </c>
      <c r="L3791" t="n">
        <v>0.2</v>
      </c>
      <c r="M3791" t="n">
        <v>1.56</v>
      </c>
      <c r="P3791" t="inlineStr">
        <is>
          <t>김수연</t>
        </is>
      </c>
      <c r="AB3791" t="inlineStr">
        <is>
          <t>홈서비스</t>
        </is>
      </c>
      <c r="AC3791" t="n">
        <v>387200</v>
      </c>
      <c r="AD3791" t="n">
        <v>44000</v>
      </c>
      <c r="AE3791" t="n">
        <v>343200</v>
      </c>
      <c r="AF3791" t="n">
        <v>352000</v>
      </c>
      <c r="AG3791" t="n">
        <v>42548</v>
      </c>
      <c r="AH3791" t="n">
        <v>309452</v>
      </c>
    </row>
    <row r="3792">
      <c r="A3792" t="inlineStr">
        <is>
          <t>4월</t>
        </is>
      </c>
      <c r="B3792" t="inlineStr">
        <is>
          <t>18주차</t>
        </is>
      </c>
      <c r="C3792" t="inlineStr">
        <is>
          <t>EP</t>
        </is>
      </c>
      <c r="D3792" s="28" t="n">
        <v>46139</v>
      </c>
      <c r="E3792" t="inlineStr">
        <is>
          <t>현대EP_fast</t>
        </is>
      </c>
      <c r="F3792" t="inlineStr">
        <is>
          <t>안종만</t>
        </is>
      </c>
      <c r="G3792" t="inlineStr">
        <is>
          <t>010-4815-9357</t>
        </is>
      </c>
      <c r="H3792" t="inlineStr">
        <is>
          <t>153저2043</t>
        </is>
      </c>
      <c r="I3792" t="n">
        <v>13200000</v>
      </c>
      <c r="J3792" t="n">
        <v>0.119</v>
      </c>
      <c r="K3792" t="n">
        <v>1.76</v>
      </c>
      <c r="L3792" t="n">
        <v>0.2</v>
      </c>
      <c r="M3792" t="n">
        <v>1.56</v>
      </c>
      <c r="P3792" t="inlineStr">
        <is>
          <t>정세빈</t>
        </is>
      </c>
      <c r="Q3792" t="inlineStr">
        <is>
          <t>홈서비스 60개월</t>
        </is>
      </c>
      <c r="AB3792" t="inlineStr">
        <is>
          <t>홈서비스</t>
        </is>
      </c>
      <c r="AC3792" t="n">
        <v>232320</v>
      </c>
      <c r="AD3792" t="n">
        <v>26400</v>
      </c>
      <c r="AE3792" t="n">
        <v>205920</v>
      </c>
      <c r="AF3792" t="n">
        <v>211200</v>
      </c>
      <c r="AG3792" t="n">
        <v>25528.8</v>
      </c>
      <c r="AH3792" t="n">
        <v>185671.2</v>
      </c>
      <c r="AI3792" t="n">
        <v>0</v>
      </c>
    </row>
    <row r="3793">
      <c r="A3793" t="inlineStr">
        <is>
          <t>4월</t>
        </is>
      </c>
      <c r="B3793" t="inlineStr">
        <is>
          <t>18주차</t>
        </is>
      </c>
      <c r="C3793" t="inlineStr">
        <is>
          <t>EP</t>
        </is>
      </c>
      <c r="D3793" s="28" t="n">
        <v>46140</v>
      </c>
      <c r="E3793" t="inlineStr">
        <is>
          <t>제이비EP</t>
        </is>
      </c>
      <c r="F3793" t="inlineStr">
        <is>
          <t>임형태</t>
        </is>
      </c>
      <c r="G3793" t="inlineStr">
        <is>
          <t>010-3690-9407</t>
        </is>
      </c>
      <c r="H3793" t="inlineStr">
        <is>
          <t>50가6173</t>
        </is>
      </c>
      <c r="I3793" t="n">
        <v>47500000</v>
      </c>
      <c r="J3793" t="n">
        <v>0.079</v>
      </c>
      <c r="K3793" t="n">
        <v>1.65</v>
      </c>
      <c r="L3793" t="n">
        <v>0.07000000000000001</v>
      </c>
      <c r="M3793" t="n">
        <v>1.58</v>
      </c>
      <c r="P3793" t="inlineStr">
        <is>
          <t>정세빈</t>
        </is>
      </c>
      <c r="Q3793" t="inlineStr">
        <is>
          <t>홈서비스  60개월</t>
        </is>
      </c>
      <c r="AB3793" t="inlineStr">
        <is>
          <t>홈서비스</t>
        </is>
      </c>
      <c r="AC3793" t="n">
        <v>783750</v>
      </c>
      <c r="AD3793" t="n">
        <v>33250</v>
      </c>
      <c r="AE3793" t="n">
        <v>750500</v>
      </c>
      <c r="AF3793" t="n">
        <v>712500</v>
      </c>
      <c r="AG3793" t="n">
        <v>32152.75</v>
      </c>
      <c r="AH3793" t="n">
        <v>680347.25</v>
      </c>
      <c r="AI3793" t="n">
        <v>0</v>
      </c>
    </row>
    <row r="3794">
      <c r="A3794" t="inlineStr">
        <is>
          <t>4월</t>
        </is>
      </c>
      <c r="B3794" t="inlineStr">
        <is>
          <t>18주차</t>
        </is>
      </c>
      <c r="C3794" t="inlineStr">
        <is>
          <t>EP</t>
        </is>
      </c>
      <c r="D3794" s="28" t="n">
        <v>46140</v>
      </c>
      <c r="E3794" t="inlineStr">
        <is>
          <t>현대EP_fast</t>
        </is>
      </c>
      <c r="F3794" t="inlineStr">
        <is>
          <t>이창민</t>
        </is>
      </c>
      <c r="G3794" t="inlineStr">
        <is>
          <t>010-3843-1773</t>
        </is>
      </c>
      <c r="H3794" t="inlineStr">
        <is>
          <t>22나4663</t>
        </is>
      </c>
      <c r="I3794" t="n">
        <v>3300000</v>
      </c>
      <c r="J3794" t="n">
        <v>0.102</v>
      </c>
      <c r="K3794" t="n">
        <v>1.76</v>
      </c>
      <c r="L3794" t="n">
        <v>0.2</v>
      </c>
      <c r="M3794" t="n">
        <v>1.56</v>
      </c>
      <c r="P3794" t="inlineStr">
        <is>
          <t>김나윤</t>
        </is>
      </c>
      <c r="Q3794" t="inlineStr">
        <is>
          <t>홈서비스 24개월</t>
        </is>
      </c>
      <c r="AB3794" t="inlineStr">
        <is>
          <t>홈서비스</t>
        </is>
      </c>
      <c r="AC3794" t="n">
        <v>58080</v>
      </c>
      <c r="AD3794" t="n">
        <v>6600</v>
      </c>
      <c r="AE3794" t="n">
        <v>51480</v>
      </c>
      <c r="AF3794" t="n">
        <v>52800</v>
      </c>
      <c r="AG3794" t="n">
        <v>6382.2</v>
      </c>
      <c r="AH3794" t="n">
        <v>46417.8</v>
      </c>
      <c r="AI3794" t="n">
        <v>0</v>
      </c>
    </row>
    <row r="3795">
      <c r="A3795" t="inlineStr">
        <is>
          <t>4월</t>
        </is>
      </c>
      <c r="B3795" t="inlineStr">
        <is>
          <t>18주차</t>
        </is>
      </c>
      <c r="C3795" t="inlineStr">
        <is>
          <t>IM</t>
        </is>
      </c>
      <c r="D3795" s="28" t="n">
        <v>46140</v>
      </c>
      <c r="E3795" t="inlineStr">
        <is>
          <t>IM캐피탈</t>
        </is>
      </c>
      <c r="F3795" t="inlineStr">
        <is>
          <t>이세호</t>
        </is>
      </c>
      <c r="G3795" t="inlineStr">
        <is>
          <t>010-2883-8791</t>
        </is>
      </c>
      <c r="H3795" t="inlineStr">
        <is>
          <t>244누1848</t>
        </is>
      </c>
      <c r="I3795" t="n">
        <v>45900000</v>
      </c>
      <c r="J3795" t="n">
        <v>0.059</v>
      </c>
      <c r="K3795" t="n">
        <v>1.1</v>
      </c>
      <c r="L3795" t="n">
        <v>0.07000000000000001</v>
      </c>
      <c r="M3795" t="n">
        <v>1.03</v>
      </c>
      <c r="P3795" t="inlineStr">
        <is>
          <t>정세빈</t>
        </is>
      </c>
      <c r="Q3795" t="inlineStr">
        <is>
          <t>홈서비스 84개월</t>
        </is>
      </c>
      <c r="AB3795" t="inlineStr">
        <is>
          <t>홈서비스</t>
        </is>
      </c>
      <c r="AC3795" t="n">
        <v>504900</v>
      </c>
      <c r="AD3795" t="n">
        <v>32130</v>
      </c>
      <c r="AE3795" t="n">
        <v>472770</v>
      </c>
      <c r="AF3795" t="n">
        <v>459000</v>
      </c>
      <c r="AG3795" t="n">
        <v>31069.71</v>
      </c>
      <c r="AH3795" t="n">
        <v>427930.29</v>
      </c>
      <c r="AI3795" t="n">
        <v>0</v>
      </c>
    </row>
    <row r="3796">
      <c r="A3796" t="inlineStr">
        <is>
          <t>4월</t>
        </is>
      </c>
      <c r="B3796" t="inlineStr">
        <is>
          <t>18주차</t>
        </is>
      </c>
      <c r="C3796" t="inlineStr">
        <is>
          <t>EP</t>
        </is>
      </c>
      <c r="D3796" s="28" t="n">
        <v>46140</v>
      </c>
      <c r="E3796" t="inlineStr">
        <is>
          <t>BNKEP</t>
        </is>
      </c>
      <c r="F3796" t="inlineStr">
        <is>
          <t>김두영</t>
        </is>
      </c>
      <c r="G3796" t="inlineStr">
        <is>
          <t>010-8489-0747</t>
        </is>
      </c>
      <c r="H3796" t="inlineStr">
        <is>
          <t>182서5469</t>
        </is>
      </c>
      <c r="I3796" t="n">
        <v>10300000</v>
      </c>
      <c r="J3796" t="n">
        <v>0.067</v>
      </c>
      <c r="K3796" t="n">
        <v>1.65</v>
      </c>
      <c r="L3796" t="n">
        <v>0.07000000000000001</v>
      </c>
      <c r="M3796" t="n">
        <v>1.58</v>
      </c>
      <c r="P3796" t="inlineStr">
        <is>
          <t>정세빈</t>
        </is>
      </c>
      <c r="Q3796" t="inlineStr">
        <is>
          <t>홈서비스 60개월</t>
        </is>
      </c>
      <c r="AB3796" t="inlineStr">
        <is>
          <t>홈서비스</t>
        </is>
      </c>
      <c r="AC3796" t="n">
        <v>169950</v>
      </c>
      <c r="AD3796" t="n">
        <v>7210</v>
      </c>
      <c r="AE3796" t="n">
        <v>162740</v>
      </c>
      <c r="AF3796" t="n">
        <v>154500</v>
      </c>
      <c r="AG3796" t="n">
        <v>6972.07</v>
      </c>
      <c r="AH3796" t="n">
        <v>147527.93</v>
      </c>
      <c r="AI3796" t="n">
        <v>0</v>
      </c>
    </row>
    <row r="3797">
      <c r="A3797" t="inlineStr">
        <is>
          <t>4월</t>
        </is>
      </c>
      <c r="B3797" t="inlineStr">
        <is>
          <t>18주차</t>
        </is>
      </c>
      <c r="C3797" t="inlineStr">
        <is>
          <t>IM</t>
        </is>
      </c>
      <c r="D3797" s="28" t="n">
        <v>46140</v>
      </c>
      <c r="E3797" t="inlineStr">
        <is>
          <t>IM캐피탈</t>
        </is>
      </c>
      <c r="F3797" t="inlineStr">
        <is>
          <t>최용석</t>
        </is>
      </c>
      <c r="G3797" t="inlineStr">
        <is>
          <t>010-3809-6268</t>
        </is>
      </c>
      <c r="H3797" t="inlineStr">
        <is>
          <t>177마1722</t>
        </is>
      </c>
      <c r="I3797" t="n">
        <v>22000000</v>
      </c>
      <c r="J3797" t="n">
        <v>0.049</v>
      </c>
      <c r="K3797" t="n">
        <v>1.1</v>
      </c>
      <c r="L3797" t="n">
        <v>0.4</v>
      </c>
      <c r="M3797" t="n">
        <v>0.7</v>
      </c>
      <c r="P3797" t="inlineStr">
        <is>
          <t>장현경</t>
        </is>
      </c>
      <c r="AB3797" t="inlineStr">
        <is>
          <t>엔카</t>
        </is>
      </c>
      <c r="AC3797" t="n">
        <v>242000</v>
      </c>
      <c r="AD3797" t="n">
        <v>88000</v>
      </c>
      <c r="AE3797" t="n">
        <v>154000</v>
      </c>
      <c r="AF3797" t="n">
        <v>220000</v>
      </c>
      <c r="AG3797" t="n">
        <v>85096</v>
      </c>
      <c r="AH3797" t="n">
        <v>134904</v>
      </c>
      <c r="AI3797" t="n">
        <v>0</v>
      </c>
    </row>
    <row r="3798">
      <c r="A3798" t="inlineStr">
        <is>
          <t>4월</t>
        </is>
      </c>
      <c r="B3798" t="inlineStr">
        <is>
          <t>18주차</t>
        </is>
      </c>
      <c r="C3798" t="inlineStr">
        <is>
          <t>EP</t>
        </is>
      </c>
      <c r="D3798" s="28" t="n">
        <v>46140</v>
      </c>
      <c r="E3798" t="inlineStr">
        <is>
          <t>BNKEP</t>
        </is>
      </c>
      <c r="F3798" t="inlineStr">
        <is>
          <t>한경훈</t>
        </is>
      </c>
      <c r="G3798" t="inlineStr">
        <is>
          <t>010-7774-9257</t>
        </is>
      </c>
      <c r="H3798" t="inlineStr">
        <is>
          <t>148다8350</t>
        </is>
      </c>
      <c r="I3798" t="n">
        <v>37000000</v>
      </c>
      <c r="J3798" t="n">
        <v>0.067</v>
      </c>
      <c r="K3798" t="n">
        <v>1.65</v>
      </c>
      <c r="L3798" t="n">
        <v>0.07000000000000001</v>
      </c>
      <c r="M3798" t="n">
        <v>1.58</v>
      </c>
      <c r="P3798" t="inlineStr">
        <is>
          <t>황채이</t>
        </is>
      </c>
      <c r="Q3798" t="inlineStr">
        <is>
          <t>홈서비스 60개월 / 공동명의</t>
        </is>
      </c>
      <c r="AB3798" t="inlineStr">
        <is>
          <t>홈서비스</t>
        </is>
      </c>
      <c r="AC3798" t="n">
        <v>610500</v>
      </c>
      <c r="AD3798" t="n">
        <v>25900</v>
      </c>
      <c r="AE3798" t="n">
        <v>584600</v>
      </c>
      <c r="AF3798" t="n">
        <v>555000</v>
      </c>
      <c r="AG3798" t="n">
        <v>25045.3</v>
      </c>
      <c r="AH3798" t="n">
        <v>529954.7</v>
      </c>
      <c r="AI3798" t="n">
        <v>0</v>
      </c>
    </row>
    <row r="3799">
      <c r="A3799" t="inlineStr">
        <is>
          <t>4월</t>
        </is>
      </c>
      <c r="B3799" t="inlineStr">
        <is>
          <t>18주차</t>
        </is>
      </c>
      <c r="C3799" t="inlineStr">
        <is>
          <t>IM</t>
        </is>
      </c>
      <c r="D3799" s="28" t="n">
        <v>46140</v>
      </c>
      <c r="E3799" t="inlineStr">
        <is>
          <t>IM캐피탈</t>
        </is>
      </c>
      <c r="F3799" t="inlineStr">
        <is>
          <t>박준희</t>
        </is>
      </c>
      <c r="G3799" t="inlineStr">
        <is>
          <t>010-4509-8173</t>
        </is>
      </c>
      <c r="H3799" t="inlineStr">
        <is>
          <t>105도7177</t>
        </is>
      </c>
      <c r="I3799" t="n">
        <v>40000000</v>
      </c>
      <c r="J3799" t="n">
        <v>0.063</v>
      </c>
      <c r="K3799" t="n">
        <v>1.1</v>
      </c>
      <c r="L3799" t="n">
        <v>0.07000000000000001</v>
      </c>
      <c r="M3799" t="n">
        <v>1.03</v>
      </c>
      <c r="P3799" t="inlineStr">
        <is>
          <t>김수연</t>
        </is>
      </c>
      <c r="Q3799" t="inlineStr">
        <is>
          <t>홈서비스 60개월</t>
        </is>
      </c>
      <c r="AB3799" t="inlineStr">
        <is>
          <t>홈서비스</t>
        </is>
      </c>
      <c r="AC3799" t="n">
        <v>440000</v>
      </c>
      <c r="AD3799" t="n">
        <v>28000</v>
      </c>
      <c r="AE3799" t="n">
        <v>412000</v>
      </c>
      <c r="AF3799" t="n">
        <v>400000</v>
      </c>
      <c r="AG3799" t="n">
        <v>27076</v>
      </c>
      <c r="AH3799" t="n">
        <v>372924</v>
      </c>
      <c r="AI3799" t="n">
        <v>0</v>
      </c>
    </row>
    <row r="3800">
      <c r="A3800" t="inlineStr">
        <is>
          <t>4월</t>
        </is>
      </c>
      <c r="B3800" t="inlineStr">
        <is>
          <t>18주차</t>
        </is>
      </c>
      <c r="C3800" t="inlineStr">
        <is>
          <t>EP</t>
        </is>
      </c>
      <c r="D3800" s="28" t="n">
        <v>46140</v>
      </c>
      <c r="E3800" t="inlineStr">
        <is>
          <t>현대EP</t>
        </is>
      </c>
      <c r="F3800" t="inlineStr">
        <is>
          <t>김선표</t>
        </is>
      </c>
      <c r="G3800" t="inlineStr">
        <is>
          <t>010-6664-4554</t>
        </is>
      </c>
      <c r="H3800" t="inlineStr">
        <is>
          <t>170라8287</t>
        </is>
      </c>
      <c r="I3800" t="n">
        <v>31500000</v>
      </c>
      <c r="J3800" t="n">
        <v>0.08500000000000001</v>
      </c>
      <c r="K3800" t="n">
        <v>1.76</v>
      </c>
      <c r="L3800" t="n">
        <v>0.2</v>
      </c>
      <c r="M3800" t="n">
        <v>1.56</v>
      </c>
      <c r="P3800" t="inlineStr">
        <is>
          <t>정세빈</t>
        </is>
      </c>
      <c r="AB3800" t="inlineStr">
        <is>
          <t>홈서비스</t>
        </is>
      </c>
      <c r="AC3800" t="n">
        <v>554400</v>
      </c>
      <c r="AD3800" t="n">
        <v>63000</v>
      </c>
      <c r="AE3800" t="n">
        <v>491400</v>
      </c>
      <c r="AF3800" t="n">
        <v>504000</v>
      </c>
      <c r="AG3800" t="n">
        <v>60921</v>
      </c>
      <c r="AH3800" t="n">
        <v>443079</v>
      </c>
      <c r="AI3800" t="n">
        <v>0</v>
      </c>
    </row>
    <row r="3801">
      <c r="A3801" t="inlineStr">
        <is>
          <t>4월</t>
        </is>
      </c>
      <c r="B3801" t="inlineStr">
        <is>
          <t>18주차</t>
        </is>
      </c>
      <c r="C3801" t="inlineStr">
        <is>
          <t>IM</t>
        </is>
      </c>
      <c r="D3801" s="28" t="n">
        <v>46140</v>
      </c>
      <c r="E3801" t="inlineStr">
        <is>
          <t>IM캐피탈</t>
        </is>
      </c>
      <c r="F3801" t="inlineStr">
        <is>
          <t xml:space="preserve">신원섭 </t>
        </is>
      </c>
      <c r="G3801" t="inlineStr">
        <is>
          <t>010-9271-4327</t>
        </is>
      </c>
      <c r="H3801" t="inlineStr">
        <is>
          <t>163서7542</t>
        </is>
      </c>
      <c r="I3801" t="n">
        <v>16100000</v>
      </c>
      <c r="J3801" t="n">
        <v>0.049</v>
      </c>
      <c r="K3801" t="n">
        <v>1.1</v>
      </c>
      <c r="L3801" t="n">
        <v>0.07000000000000001</v>
      </c>
      <c r="M3801" t="n">
        <v>1.03</v>
      </c>
      <c r="P3801" t="inlineStr">
        <is>
          <t>최형주</t>
        </is>
      </c>
      <c r="Q3801" t="inlineStr">
        <is>
          <t>홈서비스 60개월 / 부대비용 추가진행</t>
        </is>
      </c>
      <c r="AB3801" t="inlineStr">
        <is>
          <t>홈서비스</t>
        </is>
      </c>
      <c r="AC3801" t="n">
        <v>177100</v>
      </c>
      <c r="AD3801" t="n">
        <v>11270</v>
      </c>
      <c r="AE3801" t="n">
        <v>165830</v>
      </c>
      <c r="AF3801" t="n">
        <v>161000</v>
      </c>
      <c r="AG3801" t="n">
        <v>10898.09</v>
      </c>
      <c r="AH3801" t="n">
        <v>150101.91</v>
      </c>
      <c r="AI3801" t="n">
        <v>0</v>
      </c>
    </row>
    <row r="3802">
      <c r="A3802" t="inlineStr">
        <is>
          <t>4월</t>
        </is>
      </c>
      <c r="B3802" t="inlineStr">
        <is>
          <t>18주차</t>
        </is>
      </c>
      <c r="C3802" t="inlineStr">
        <is>
          <t>EP</t>
        </is>
      </c>
      <c r="D3802" s="28" t="n">
        <v>46140</v>
      </c>
      <c r="E3802" t="inlineStr">
        <is>
          <t>현대EP</t>
        </is>
      </c>
      <c r="F3802" t="inlineStr">
        <is>
          <t>설인기</t>
        </is>
      </c>
      <c r="G3802" t="inlineStr">
        <is>
          <t>010-5275-5519</t>
        </is>
      </c>
      <c r="H3802" t="inlineStr">
        <is>
          <t>237더3719</t>
        </is>
      </c>
      <c r="I3802" t="n">
        <v>27500000</v>
      </c>
      <c r="J3802" t="n">
        <v>0.062</v>
      </c>
      <c r="K3802" t="n">
        <v>1.76</v>
      </c>
      <c r="L3802" t="n">
        <v>0.2</v>
      </c>
      <c r="M3802" t="n">
        <v>1.56</v>
      </c>
      <c r="P3802" t="inlineStr">
        <is>
          <t>황채이</t>
        </is>
      </c>
      <c r="AB3802" t="inlineStr">
        <is>
          <t>홈서비스</t>
        </is>
      </c>
      <c r="AC3802" t="n">
        <v>484000</v>
      </c>
      <c r="AD3802" t="n">
        <v>55000</v>
      </c>
      <c r="AE3802" t="n">
        <v>429000</v>
      </c>
      <c r="AF3802" t="n">
        <v>440000</v>
      </c>
      <c r="AG3802" t="n">
        <v>53185</v>
      </c>
      <c r="AH3802" t="n">
        <v>386815</v>
      </c>
      <c r="AI3802" t="n">
        <v>0</v>
      </c>
    </row>
    <row r="3803">
      <c r="A3803" t="inlineStr">
        <is>
          <t>4월</t>
        </is>
      </c>
      <c r="B3803" t="inlineStr">
        <is>
          <t>18주차</t>
        </is>
      </c>
      <c r="C3803" t="inlineStr">
        <is>
          <t>EP</t>
        </is>
      </c>
      <c r="D3803" s="28" t="n">
        <v>46140</v>
      </c>
      <c r="E3803" t="inlineStr">
        <is>
          <t>BNKEP</t>
        </is>
      </c>
      <c r="F3803" t="inlineStr">
        <is>
          <t>김수현</t>
        </is>
      </c>
      <c r="G3803" t="inlineStr">
        <is>
          <t>010-3795-0011</t>
        </is>
      </c>
      <c r="H3803" t="inlineStr">
        <is>
          <t>203보6997</t>
        </is>
      </c>
      <c r="I3803" t="n">
        <v>31800000</v>
      </c>
      <c r="J3803" t="n">
        <v>0.081</v>
      </c>
      <c r="K3803" t="n">
        <v>1.65</v>
      </c>
      <c r="L3803" t="n">
        <v>0.07000000000000001</v>
      </c>
      <c r="M3803" t="n">
        <v>1.58</v>
      </c>
      <c r="P3803" t="inlineStr">
        <is>
          <t>김수연</t>
        </is>
      </c>
      <c r="Q3803" t="inlineStr">
        <is>
          <t>홈서비스 72개월</t>
        </is>
      </c>
      <c r="AB3803" t="inlineStr">
        <is>
          <t>홈서비스</t>
        </is>
      </c>
      <c r="AC3803" t="n">
        <v>524700</v>
      </c>
      <c r="AD3803" t="n">
        <v>22260</v>
      </c>
      <c r="AE3803" t="n">
        <v>502440</v>
      </c>
      <c r="AF3803" t="n">
        <v>477000</v>
      </c>
      <c r="AG3803" t="n">
        <v>21525.42</v>
      </c>
      <c r="AH3803" t="n">
        <v>455474.58</v>
      </c>
      <c r="AI3803" t="n">
        <v>0</v>
      </c>
    </row>
    <row r="3804">
      <c r="A3804" t="inlineStr">
        <is>
          <t>4월</t>
        </is>
      </c>
      <c r="B3804" t="inlineStr">
        <is>
          <t>18주차</t>
        </is>
      </c>
      <c r="C3804" t="inlineStr">
        <is>
          <t>EP</t>
        </is>
      </c>
      <c r="D3804" s="28" t="n">
        <v>46140</v>
      </c>
      <c r="E3804" t="inlineStr">
        <is>
          <t>현대EP_fast</t>
        </is>
      </c>
      <c r="F3804" t="inlineStr">
        <is>
          <t>박현민</t>
        </is>
      </c>
      <c r="G3804" t="inlineStr">
        <is>
          <t>010-4592-4508</t>
        </is>
      </c>
      <c r="H3804" t="inlineStr">
        <is>
          <t>212수2560</t>
        </is>
      </c>
      <c r="I3804" t="n">
        <v>42900000</v>
      </c>
      <c r="J3804" t="n">
        <v>0.07199999999999999</v>
      </c>
      <c r="K3804" t="n">
        <v>1.76</v>
      </c>
      <c r="L3804" t="n">
        <v>0.2</v>
      </c>
      <c r="M3804" t="n">
        <v>1.56</v>
      </c>
      <c r="P3804" t="inlineStr">
        <is>
          <t>최형주</t>
        </is>
      </c>
      <c r="Q3804" t="inlineStr">
        <is>
          <t>홈서비스 60개월</t>
        </is>
      </c>
      <c r="AB3804" t="inlineStr">
        <is>
          <t>홈서비스</t>
        </is>
      </c>
      <c r="AC3804" t="n">
        <v>755040</v>
      </c>
      <c r="AD3804" t="n">
        <v>85800</v>
      </c>
      <c r="AE3804" t="n">
        <v>669240</v>
      </c>
      <c r="AF3804" t="n">
        <v>686400</v>
      </c>
      <c r="AG3804" t="n">
        <v>82968.60000000001</v>
      </c>
      <c r="AH3804" t="n">
        <v>603431.4</v>
      </c>
      <c r="AI3804" t="n">
        <v>0</v>
      </c>
    </row>
    <row r="3805">
      <c r="A3805" t="inlineStr">
        <is>
          <t>4월</t>
        </is>
      </c>
      <c r="B3805" t="inlineStr">
        <is>
          <t>17주차</t>
        </is>
      </c>
      <c r="C3805" t="inlineStr">
        <is>
          <t>IM</t>
        </is>
      </c>
      <c r="D3805" s="28" t="n">
        <v>46137</v>
      </c>
      <c r="E3805" t="inlineStr">
        <is>
          <t>IM캐피탈</t>
        </is>
      </c>
      <c r="F3805" t="inlineStr">
        <is>
          <t>태정아</t>
        </is>
      </c>
      <c r="G3805" t="inlineStr">
        <is>
          <t>010-7541-0729</t>
        </is>
      </c>
      <c r="H3805" t="inlineStr">
        <is>
          <t>269어5571</t>
        </is>
      </c>
      <c r="I3805" t="n">
        <v>20400000</v>
      </c>
      <c r="J3805" t="n">
        <v>0.049</v>
      </c>
      <c r="K3805" t="n">
        <v>1.1</v>
      </c>
      <c r="L3805" t="n">
        <v>0.4</v>
      </c>
      <c r="M3805" t="n">
        <v>0.7</v>
      </c>
      <c r="P3805" t="inlineStr">
        <is>
          <t>박소현</t>
        </is>
      </c>
      <c r="Q3805" t="inlineStr">
        <is>
          <t>공동명의</t>
        </is>
      </c>
      <c r="AB3805" t="inlineStr">
        <is>
          <t>엔카</t>
        </is>
      </c>
      <c r="AC3805" t="n">
        <v>224400</v>
      </c>
      <c r="AD3805" t="n">
        <v>81600</v>
      </c>
      <c r="AE3805" t="n">
        <v>142800</v>
      </c>
      <c r="AF3805" t="n">
        <v>204000</v>
      </c>
      <c r="AG3805" t="n">
        <v>78907.2</v>
      </c>
      <c r="AH3805" t="n">
        <v>125092.8</v>
      </c>
      <c r="AI3805" t="n">
        <v>0</v>
      </c>
    </row>
    <row r="3806">
      <c r="A3806" t="inlineStr">
        <is>
          <t>4월</t>
        </is>
      </c>
      <c r="B3806" t="inlineStr">
        <is>
          <t>18주차</t>
        </is>
      </c>
      <c r="C3806" t="inlineStr">
        <is>
          <t>EP</t>
        </is>
      </c>
      <c r="D3806" s="28" t="n">
        <v>46140</v>
      </c>
      <c r="E3806" t="inlineStr">
        <is>
          <t>현대EP</t>
        </is>
      </c>
      <c r="F3806" t="inlineStr">
        <is>
          <t>김장우</t>
        </is>
      </c>
      <c r="G3806" t="inlineStr">
        <is>
          <t>010-3873-7258</t>
        </is>
      </c>
      <c r="H3806" t="inlineStr">
        <is>
          <t>182버6370</t>
        </is>
      </c>
      <c r="I3806" t="n">
        <v>28800000</v>
      </c>
      <c r="J3806" t="n">
        <v>0.08500000000000001</v>
      </c>
      <c r="K3806" t="n">
        <v>1.76</v>
      </c>
      <c r="L3806" t="n">
        <v>0.2</v>
      </c>
      <c r="M3806" t="n">
        <v>1.56</v>
      </c>
      <c r="P3806" t="inlineStr">
        <is>
          <t>정세빈</t>
        </is>
      </c>
      <c r="AB3806" t="inlineStr">
        <is>
          <t>홈서비스</t>
        </is>
      </c>
      <c r="AC3806" t="n">
        <v>506880</v>
      </c>
      <c r="AD3806" t="n">
        <v>57600</v>
      </c>
      <c r="AE3806" t="n">
        <v>449280</v>
      </c>
      <c r="AF3806" t="n">
        <v>460800</v>
      </c>
      <c r="AG3806" t="n">
        <v>55699.2</v>
      </c>
      <c r="AH3806" t="n">
        <v>405100.8</v>
      </c>
      <c r="AI3806" t="n">
        <v>0</v>
      </c>
    </row>
    <row r="3807">
      <c r="A3807" t="inlineStr">
        <is>
          <t>4월</t>
        </is>
      </c>
      <c r="B3807" t="inlineStr">
        <is>
          <t>18주차</t>
        </is>
      </c>
      <c r="C3807" t="inlineStr">
        <is>
          <t>EP</t>
        </is>
      </c>
      <c r="D3807" s="28" t="n">
        <v>46140</v>
      </c>
      <c r="E3807" t="inlineStr">
        <is>
          <t>현대EP</t>
        </is>
      </c>
      <c r="F3807" t="inlineStr">
        <is>
          <t>이상미</t>
        </is>
      </c>
      <c r="G3807" t="inlineStr">
        <is>
          <t>010-9447-9645</t>
        </is>
      </c>
      <c r="H3807" t="inlineStr">
        <is>
          <t>205구3968</t>
        </is>
      </c>
      <c r="I3807" t="n">
        <v>26800000</v>
      </c>
      <c r="J3807" t="n">
        <v>0.102</v>
      </c>
      <c r="K3807" t="n">
        <v>1.76</v>
      </c>
      <c r="L3807" t="n">
        <v>0.2</v>
      </c>
      <c r="M3807" t="n">
        <v>1.56</v>
      </c>
      <c r="P3807" t="inlineStr">
        <is>
          <t>최형주</t>
        </is>
      </c>
      <c r="AB3807" t="inlineStr">
        <is>
          <t>홈서비스</t>
        </is>
      </c>
      <c r="AC3807" t="n">
        <v>471680</v>
      </c>
      <c r="AD3807" t="n">
        <v>53600</v>
      </c>
      <c r="AE3807" t="n">
        <v>418080</v>
      </c>
      <c r="AF3807" t="n">
        <v>428800</v>
      </c>
      <c r="AG3807" t="n">
        <v>51831.2</v>
      </c>
      <c r="AH3807" t="n">
        <v>376968.8</v>
      </c>
      <c r="AI3807" t="n">
        <v>0</v>
      </c>
    </row>
    <row r="3808">
      <c r="A3808" t="inlineStr">
        <is>
          <t>4월</t>
        </is>
      </c>
      <c r="B3808" t="inlineStr">
        <is>
          <t>18주차</t>
        </is>
      </c>
      <c r="C3808" t="inlineStr">
        <is>
          <t>EP</t>
        </is>
      </c>
      <c r="D3808" s="28" t="n">
        <v>46139</v>
      </c>
      <c r="E3808" t="inlineStr">
        <is>
          <t>현대EP_fast</t>
        </is>
      </c>
      <c r="F3808" t="inlineStr">
        <is>
          <t>홍다은</t>
        </is>
      </c>
      <c r="G3808" t="inlineStr">
        <is>
          <t>010-8288-3723</t>
        </is>
      </c>
      <c r="H3808" t="inlineStr">
        <is>
          <t>26어7599</t>
        </is>
      </c>
      <c r="I3808" t="n">
        <v>10500000</v>
      </c>
      <c r="J3808" t="n">
        <v>0.118</v>
      </c>
      <c r="K3808" t="n">
        <v>1.76</v>
      </c>
      <c r="L3808" t="n">
        <v>0.2</v>
      </c>
      <c r="M3808" t="n">
        <v>1.56</v>
      </c>
      <c r="P3808" t="inlineStr">
        <is>
          <t>임대경</t>
        </is>
      </c>
      <c r="Q3808" t="inlineStr">
        <is>
          <t>홈서비스 36개월</t>
        </is>
      </c>
      <c r="AB3808" t="inlineStr">
        <is>
          <t>홈서비스</t>
        </is>
      </c>
      <c r="AC3808" t="n">
        <v>184800</v>
      </c>
      <c r="AD3808" t="n">
        <v>21000</v>
      </c>
      <c r="AE3808" t="n">
        <v>163800</v>
      </c>
      <c r="AF3808" t="n">
        <v>168000</v>
      </c>
      <c r="AG3808" t="n">
        <v>20307</v>
      </c>
      <c r="AH3808" t="n">
        <v>147693</v>
      </c>
      <c r="AI3808" t="n">
        <v>0</v>
      </c>
    </row>
    <row r="3809">
      <c r="A3809" t="inlineStr">
        <is>
          <t>4월</t>
        </is>
      </c>
      <c r="B3809" t="inlineStr">
        <is>
          <t>18주차</t>
        </is>
      </c>
      <c r="C3809" t="inlineStr">
        <is>
          <t>EP</t>
        </is>
      </c>
      <c r="D3809" s="28" t="n">
        <v>46140</v>
      </c>
      <c r="E3809" t="inlineStr">
        <is>
          <t>현대EP</t>
        </is>
      </c>
      <c r="F3809" t="inlineStr">
        <is>
          <t>신민경</t>
        </is>
      </c>
      <c r="G3809" t="inlineStr">
        <is>
          <t>010-7330-3556</t>
        </is>
      </c>
      <c r="H3809" t="inlineStr">
        <is>
          <t>43모5717</t>
        </is>
      </c>
      <c r="I3809" t="n">
        <v>3300000</v>
      </c>
      <c r="J3809" t="n">
        <v>0.062</v>
      </c>
      <c r="K3809" t="n">
        <v>1.76</v>
      </c>
      <c r="L3809" t="n">
        <v>0.2</v>
      </c>
      <c r="M3809" t="n">
        <v>1.56</v>
      </c>
      <c r="P3809" t="inlineStr">
        <is>
          <t>김수연</t>
        </is>
      </c>
      <c r="AB3809" t="inlineStr">
        <is>
          <t>홈서비스</t>
        </is>
      </c>
      <c r="AC3809" t="n">
        <v>58080</v>
      </c>
      <c r="AD3809" t="n">
        <v>6600</v>
      </c>
      <c r="AE3809" t="n">
        <v>51480</v>
      </c>
      <c r="AF3809" t="n">
        <v>52800</v>
      </c>
      <c r="AG3809" t="n">
        <v>6382.2</v>
      </c>
      <c r="AH3809" t="n">
        <v>46417.8</v>
      </c>
      <c r="AI3809" t="n">
        <v>0</v>
      </c>
    </row>
    <row r="3810">
      <c r="A3810" t="inlineStr">
        <is>
          <t>4월</t>
        </is>
      </c>
      <c r="B3810" t="inlineStr">
        <is>
          <t>18주차</t>
        </is>
      </c>
      <c r="C3810" t="inlineStr">
        <is>
          <t>EP</t>
        </is>
      </c>
      <c r="D3810" s="28" t="n">
        <v>46140</v>
      </c>
      <c r="E3810" t="inlineStr">
        <is>
          <t>BNKEP</t>
        </is>
      </c>
      <c r="F3810" t="inlineStr">
        <is>
          <t>김희찬</t>
        </is>
      </c>
      <c r="G3810" t="inlineStr">
        <is>
          <t>010-2749-1004</t>
        </is>
      </c>
      <c r="H3810" t="inlineStr">
        <is>
          <t>809구7793</t>
        </is>
      </c>
      <c r="I3810" t="n">
        <v>15000000</v>
      </c>
      <c r="J3810" t="n">
        <v>0.07199999999999999</v>
      </c>
      <c r="K3810" t="n">
        <v>1.65</v>
      </c>
      <c r="L3810" t="n">
        <v>0.07000000000000001</v>
      </c>
      <c r="M3810" t="n">
        <v>1.58</v>
      </c>
      <c r="P3810" t="inlineStr">
        <is>
          <t>박소현</t>
        </is>
      </c>
      <c r="Q3810" t="inlineStr">
        <is>
          <t>홈서비스 48개월</t>
        </is>
      </c>
      <c r="AB3810" t="inlineStr">
        <is>
          <t>홈서비스</t>
        </is>
      </c>
      <c r="AC3810" t="n">
        <v>247500</v>
      </c>
      <c r="AD3810" t="n">
        <v>10500</v>
      </c>
      <c r="AE3810" t="n">
        <v>237000</v>
      </c>
      <c r="AF3810" t="n">
        <v>225000</v>
      </c>
      <c r="AG3810" t="n">
        <v>10153.5</v>
      </c>
      <c r="AH3810" t="n">
        <v>214846.5</v>
      </c>
      <c r="AI3810" t="n">
        <v>0</v>
      </c>
    </row>
    <row r="3811">
      <c r="A3811" t="inlineStr">
        <is>
          <t>4월</t>
        </is>
      </c>
      <c r="B3811" t="inlineStr">
        <is>
          <t>18주차</t>
        </is>
      </c>
      <c r="C3811" t="inlineStr">
        <is>
          <t>IM</t>
        </is>
      </c>
      <c r="D3811" s="28" t="n">
        <v>46141</v>
      </c>
      <c r="E3811" t="inlineStr">
        <is>
          <t>IM캐피탈</t>
        </is>
      </c>
      <c r="F3811" t="inlineStr">
        <is>
          <t>박정현</t>
        </is>
      </c>
      <c r="G3811" t="inlineStr">
        <is>
          <t>010-7181-1593</t>
        </is>
      </c>
      <c r="H3811" t="inlineStr">
        <is>
          <t>43러8305</t>
        </is>
      </c>
      <c r="I3811" t="n">
        <v>26000000</v>
      </c>
      <c r="J3811" t="n">
        <v>0.049</v>
      </c>
      <c r="K3811" t="n">
        <v>1.1</v>
      </c>
      <c r="L3811" t="n">
        <v>0.07000000000000001</v>
      </c>
      <c r="M3811" t="n">
        <v>1.03</v>
      </c>
      <c r="P3811" t="inlineStr">
        <is>
          <t>박소현</t>
        </is>
      </c>
      <c r="Q3811" t="inlineStr">
        <is>
          <t>선상담 / 홈서비스 60개월</t>
        </is>
      </c>
      <c r="AB3811" t="inlineStr">
        <is>
          <t>홈서비스</t>
        </is>
      </c>
      <c r="AC3811" t="n">
        <v>286000</v>
      </c>
      <c r="AD3811" t="n">
        <v>18200</v>
      </c>
      <c r="AE3811" t="n">
        <v>267800</v>
      </c>
      <c r="AF3811" t="n">
        <v>260000</v>
      </c>
      <c r="AG3811" t="n">
        <v>17599.4</v>
      </c>
      <c r="AH3811" t="n">
        <v>242400.6</v>
      </c>
    </row>
    <row r="3812">
      <c r="A3812" t="inlineStr">
        <is>
          <t>4월</t>
        </is>
      </c>
      <c r="B3812" t="inlineStr">
        <is>
          <t>18주차</t>
        </is>
      </c>
      <c r="C3812" t="inlineStr">
        <is>
          <t>IM</t>
        </is>
      </c>
      <c r="D3812" s="28" t="n">
        <v>46140</v>
      </c>
      <c r="E3812" t="inlineStr">
        <is>
          <t>IM캐피탈</t>
        </is>
      </c>
      <c r="F3812" t="inlineStr">
        <is>
          <t>이승우</t>
        </is>
      </c>
      <c r="G3812" t="inlineStr">
        <is>
          <t>010-3060-4065</t>
        </is>
      </c>
      <c r="H3812" t="inlineStr">
        <is>
          <t>90루2860</t>
        </is>
      </c>
      <c r="I3812" t="n">
        <v>21100000</v>
      </c>
      <c r="J3812" t="n">
        <v>0.059</v>
      </c>
      <c r="K3812" t="n">
        <v>1.1</v>
      </c>
      <c r="L3812" t="n">
        <v>0.07000000000000001</v>
      </c>
      <c r="M3812" t="n">
        <v>1.03</v>
      </c>
      <c r="P3812" t="inlineStr">
        <is>
          <t>김나윤</t>
        </is>
      </c>
      <c r="Q3812" t="inlineStr">
        <is>
          <t>홈서비스 60개월</t>
        </is>
      </c>
      <c r="AB3812" t="inlineStr">
        <is>
          <t>홈서비스</t>
        </is>
      </c>
      <c r="AC3812" t="n">
        <v>232100</v>
      </c>
      <c r="AD3812" t="n">
        <v>14770</v>
      </c>
      <c r="AE3812" t="n">
        <v>217330</v>
      </c>
      <c r="AF3812" t="n">
        <v>211000</v>
      </c>
      <c r="AG3812" t="n">
        <v>14282.59</v>
      </c>
      <c r="AH3812" t="n">
        <v>196717.41</v>
      </c>
      <c r="AI3812" t="n">
        <v>0</v>
      </c>
    </row>
    <row r="3813">
      <c r="A3813" t="inlineStr">
        <is>
          <t>4월</t>
        </is>
      </c>
      <c r="B3813" t="inlineStr">
        <is>
          <t>18주차</t>
        </is>
      </c>
      <c r="C3813" t="inlineStr">
        <is>
          <t>WR</t>
        </is>
      </c>
      <c r="D3813" s="28" t="n">
        <v>46140</v>
      </c>
      <c r="E3813" t="inlineStr">
        <is>
          <t>우리금융</t>
        </is>
      </c>
      <c r="F3813" t="inlineStr">
        <is>
          <t>강정훈</t>
        </is>
      </c>
      <c r="G3813" t="inlineStr">
        <is>
          <t>010-9611-2785</t>
        </is>
      </c>
      <c r="H3813" t="inlineStr">
        <is>
          <t>58조6797</t>
        </is>
      </c>
      <c r="I3813" t="n">
        <v>21800000</v>
      </c>
      <c r="J3813" t="n">
        <v>0.067</v>
      </c>
      <c r="K3813" t="n">
        <v>2.2</v>
      </c>
      <c r="L3813" t="n">
        <v>0.4</v>
      </c>
      <c r="M3813" t="n">
        <v>1.8</v>
      </c>
      <c r="P3813" t="inlineStr">
        <is>
          <t>장현경</t>
        </is>
      </c>
      <c r="AB3813" t="inlineStr">
        <is>
          <t>엔카</t>
        </is>
      </c>
      <c r="AC3813" t="n">
        <v>479600</v>
      </c>
      <c r="AD3813" t="n">
        <v>87200</v>
      </c>
      <c r="AE3813" t="n">
        <v>392400</v>
      </c>
      <c r="AF3813" t="n">
        <v>436000</v>
      </c>
      <c r="AG3813" t="n">
        <v>84322.39999999999</v>
      </c>
      <c r="AH3813" t="n">
        <v>351677.6</v>
      </c>
      <c r="AI3813" t="n">
        <v>0</v>
      </c>
    </row>
    <row r="3814">
      <c r="A3814" t="inlineStr">
        <is>
          <t>4월</t>
        </is>
      </c>
      <c r="B3814" t="inlineStr">
        <is>
          <t>18주차</t>
        </is>
      </c>
      <c r="C3814" t="inlineStr">
        <is>
          <t>EP</t>
        </is>
      </c>
      <c r="D3814" s="28" t="n">
        <v>46140</v>
      </c>
      <c r="E3814" t="inlineStr">
        <is>
          <t>현대EP</t>
        </is>
      </c>
      <c r="F3814" t="inlineStr">
        <is>
          <t>장재호</t>
        </is>
      </c>
      <c r="G3814" t="inlineStr">
        <is>
          <t>010-2249-3701</t>
        </is>
      </c>
      <c r="H3814" t="inlineStr">
        <is>
          <t>110모9343</t>
        </is>
      </c>
      <c r="I3814" t="n">
        <v>3000000</v>
      </c>
      <c r="J3814" t="n">
        <v>0.079</v>
      </c>
      <c r="K3814" t="n">
        <v>1.76</v>
      </c>
      <c r="L3814" t="n">
        <v>0.2</v>
      </c>
      <c r="M3814" t="n">
        <v>1.56</v>
      </c>
      <c r="P3814" t="inlineStr">
        <is>
          <t>최형주</t>
        </is>
      </c>
      <c r="AB3814" t="inlineStr">
        <is>
          <t>홈서비스</t>
        </is>
      </c>
      <c r="AC3814" t="n">
        <v>52800</v>
      </c>
      <c r="AD3814" t="n">
        <v>6000</v>
      </c>
      <c r="AE3814" t="n">
        <v>46800</v>
      </c>
      <c r="AF3814" t="n">
        <v>48000</v>
      </c>
      <c r="AG3814" t="n">
        <v>5802</v>
      </c>
      <c r="AH3814" t="n">
        <v>42198</v>
      </c>
      <c r="AI3814" t="n">
        <v>0</v>
      </c>
    </row>
    <row r="3815">
      <c r="A3815" t="inlineStr">
        <is>
          <t>4월</t>
        </is>
      </c>
      <c r="B3815" t="inlineStr">
        <is>
          <t>18주차</t>
        </is>
      </c>
      <c r="C3815" t="inlineStr">
        <is>
          <t>EP</t>
        </is>
      </c>
      <c r="D3815" s="28" t="n">
        <v>46140</v>
      </c>
      <c r="E3815" t="inlineStr">
        <is>
          <t>현대EP</t>
        </is>
      </c>
      <c r="F3815" t="inlineStr">
        <is>
          <t>심성보</t>
        </is>
      </c>
      <c r="G3815" t="inlineStr">
        <is>
          <t>010-3176-2569</t>
        </is>
      </c>
      <c r="H3815" t="inlineStr">
        <is>
          <t>09마2292</t>
        </is>
      </c>
      <c r="I3815" t="n">
        <v>8500000</v>
      </c>
      <c r="J3815" t="n">
        <v>0.062</v>
      </c>
      <c r="K3815" t="n">
        <v>1.76</v>
      </c>
      <c r="L3815" t="n">
        <v>0.2</v>
      </c>
      <c r="M3815" t="n">
        <v>1.56</v>
      </c>
      <c r="P3815" t="inlineStr">
        <is>
          <t>정세빈</t>
        </is>
      </c>
      <c r="AB3815" t="inlineStr">
        <is>
          <t>홈서비스</t>
        </is>
      </c>
      <c r="AC3815" t="n">
        <v>149600</v>
      </c>
      <c r="AD3815" t="n">
        <v>17000</v>
      </c>
      <c r="AE3815" t="n">
        <v>132600</v>
      </c>
      <c r="AF3815" t="n">
        <v>136000</v>
      </c>
      <c r="AG3815" t="n">
        <v>16439</v>
      </c>
      <c r="AH3815" t="n">
        <v>119561</v>
      </c>
      <c r="AI3815" t="n">
        <v>0</v>
      </c>
    </row>
    <row r="3816">
      <c r="A3816" t="inlineStr">
        <is>
          <t>4월</t>
        </is>
      </c>
      <c r="B3816" t="inlineStr">
        <is>
          <t>18주차</t>
        </is>
      </c>
      <c r="C3816" t="inlineStr">
        <is>
          <t>EP</t>
        </is>
      </c>
      <c r="D3816" s="28" t="n">
        <v>46140</v>
      </c>
      <c r="E3816" t="inlineStr">
        <is>
          <t>현대EP</t>
        </is>
      </c>
      <c r="F3816" t="inlineStr">
        <is>
          <t>고강민</t>
        </is>
      </c>
      <c r="G3816" t="inlineStr">
        <is>
          <t>010-9879-0860</t>
        </is>
      </c>
      <c r="H3816" t="inlineStr">
        <is>
          <t>61루6938</t>
        </is>
      </c>
      <c r="I3816" t="n">
        <v>5000000</v>
      </c>
      <c r="J3816" t="n">
        <v>0.102</v>
      </c>
      <c r="K3816" t="n">
        <v>1.76</v>
      </c>
      <c r="L3816" t="n">
        <v>0.2</v>
      </c>
      <c r="M3816" t="n">
        <v>1.56</v>
      </c>
      <c r="P3816" t="inlineStr">
        <is>
          <t>김나윤</t>
        </is>
      </c>
      <c r="AB3816" t="inlineStr">
        <is>
          <t>홈서비스</t>
        </is>
      </c>
      <c r="AC3816" t="n">
        <v>88000</v>
      </c>
      <c r="AD3816" t="n">
        <v>10000</v>
      </c>
      <c r="AE3816" t="n">
        <v>78000</v>
      </c>
      <c r="AF3816" t="n">
        <v>80000</v>
      </c>
      <c r="AG3816" t="n">
        <v>9670</v>
      </c>
      <c r="AH3816" t="n">
        <v>70330</v>
      </c>
      <c r="AI3816" t="n">
        <v>0</v>
      </c>
    </row>
    <row r="3817">
      <c r="A3817" t="inlineStr">
        <is>
          <t>4월</t>
        </is>
      </c>
      <c r="B3817" t="inlineStr">
        <is>
          <t>17주차</t>
        </is>
      </c>
      <c r="C3817" t="inlineStr">
        <is>
          <t>EP</t>
        </is>
      </c>
      <c r="D3817" s="28" t="n">
        <v>46136</v>
      </c>
      <c r="E3817" t="inlineStr">
        <is>
          <t>현대EP</t>
        </is>
      </c>
      <c r="F3817" t="inlineStr">
        <is>
          <t>김준혁</t>
        </is>
      </c>
      <c r="G3817" t="inlineStr">
        <is>
          <t>010-4861-9426</t>
        </is>
      </c>
      <c r="H3817" t="inlineStr">
        <is>
          <t>333라7787</t>
        </is>
      </c>
      <c r="I3817" t="n">
        <v>6000000</v>
      </c>
      <c r="J3817" t="n">
        <v>0.07199999999999999</v>
      </c>
      <c r="K3817" t="n">
        <v>1.76</v>
      </c>
      <c r="L3817" t="n">
        <v>0.2</v>
      </c>
      <c r="M3817" t="n">
        <v>1.56</v>
      </c>
      <c r="P3817" t="inlineStr">
        <is>
          <t>박보람</t>
        </is>
      </c>
      <c r="AB3817" t="inlineStr">
        <is>
          <t>홈서비스</t>
        </is>
      </c>
      <c r="AC3817" t="n">
        <v>105600</v>
      </c>
      <c r="AD3817" t="n">
        <v>12000</v>
      </c>
      <c r="AE3817" t="n">
        <v>93600</v>
      </c>
      <c r="AF3817" t="n">
        <v>96000</v>
      </c>
      <c r="AG3817" t="n">
        <v>11604</v>
      </c>
      <c r="AH3817" t="n">
        <v>84396</v>
      </c>
      <c r="AI3817" t="n">
        <v>0</v>
      </c>
    </row>
    <row r="3818">
      <c r="A3818" t="inlineStr">
        <is>
          <t>4월</t>
        </is>
      </c>
      <c r="B3818" t="inlineStr">
        <is>
          <t>18주차</t>
        </is>
      </c>
      <c r="C3818" t="inlineStr">
        <is>
          <t>OR</t>
        </is>
      </c>
      <c r="D3818" s="28" t="n">
        <v>46141</v>
      </c>
      <c r="E3818" t="inlineStr">
        <is>
          <t>오릭스</t>
        </is>
      </c>
      <c r="F3818" t="inlineStr">
        <is>
          <t>최은정</t>
        </is>
      </c>
      <c r="G3818" t="inlineStr">
        <is>
          <t>010-3332-3371</t>
        </is>
      </c>
      <c r="H3818" t="inlineStr">
        <is>
          <t>130더5833</t>
        </is>
      </c>
      <c r="I3818" t="n">
        <v>21000000</v>
      </c>
      <c r="J3818" t="n">
        <v>0.061</v>
      </c>
      <c r="K3818" t="n">
        <v>1.65</v>
      </c>
      <c r="L3818" t="n">
        <v>0.07000000000000001</v>
      </c>
      <c r="M3818" t="n">
        <v>1.58</v>
      </c>
      <c r="P3818" t="inlineStr">
        <is>
          <t>김나윤</t>
        </is>
      </c>
      <c r="Q3818" t="inlineStr">
        <is>
          <t>홈서비스 60개월</t>
        </is>
      </c>
      <c r="AB3818" t="inlineStr">
        <is>
          <t>홈서비스</t>
        </is>
      </c>
      <c r="AC3818" t="n">
        <v>346500</v>
      </c>
      <c r="AD3818" t="n">
        <v>14700</v>
      </c>
      <c r="AE3818" t="n">
        <v>331800</v>
      </c>
      <c r="AF3818" t="n">
        <v>315000</v>
      </c>
      <c r="AG3818" t="n">
        <v>14214.9</v>
      </c>
      <c r="AH3818" t="n">
        <v>300785.1</v>
      </c>
      <c r="AI3818" t="n">
        <v>0</v>
      </c>
    </row>
    <row r="3819">
      <c r="A3819" t="inlineStr">
        <is>
          <t>4월</t>
        </is>
      </c>
      <c r="B3819" t="inlineStr">
        <is>
          <t>18주차</t>
        </is>
      </c>
      <c r="C3819" t="inlineStr">
        <is>
          <t>EP</t>
        </is>
      </c>
      <c r="D3819" s="28" t="n">
        <v>46141</v>
      </c>
      <c r="E3819" t="inlineStr">
        <is>
          <t>BNKEP</t>
        </is>
      </c>
      <c r="F3819" t="inlineStr">
        <is>
          <t>정선우</t>
        </is>
      </c>
      <c r="G3819" t="inlineStr">
        <is>
          <t>010-4640-3781</t>
        </is>
      </c>
      <c r="H3819" t="inlineStr">
        <is>
          <t>60루4417</t>
        </is>
      </c>
      <c r="I3819" t="n">
        <v>35000000</v>
      </c>
      <c r="J3819" t="n">
        <v>0.063</v>
      </c>
      <c r="K3819" t="n">
        <v>1.65</v>
      </c>
      <c r="L3819" t="n">
        <v>0.07000000000000001</v>
      </c>
      <c r="M3819" t="n">
        <v>1.58</v>
      </c>
      <c r="P3819" t="inlineStr">
        <is>
          <t>정세빈</t>
        </is>
      </c>
      <c r="Q3819" t="inlineStr">
        <is>
          <t>홈서비스 60개월</t>
        </is>
      </c>
      <c r="AB3819" t="inlineStr">
        <is>
          <t>홈서비스</t>
        </is>
      </c>
      <c r="AC3819" t="n">
        <v>577500</v>
      </c>
      <c r="AD3819" t="n">
        <v>24500</v>
      </c>
      <c r="AE3819" t="n">
        <v>553000</v>
      </c>
      <c r="AF3819" t="n">
        <v>525000</v>
      </c>
      <c r="AG3819" t="n">
        <v>23691.5</v>
      </c>
      <c r="AH3819" t="n">
        <v>501308.5</v>
      </c>
      <c r="AI3819" t="n">
        <v>0</v>
      </c>
    </row>
    <row r="3820">
      <c r="A3820" t="inlineStr">
        <is>
          <t>4월</t>
        </is>
      </c>
      <c r="B3820" t="inlineStr">
        <is>
          <t>18주차</t>
        </is>
      </c>
      <c r="C3820" t="inlineStr">
        <is>
          <t>IM</t>
        </is>
      </c>
      <c r="D3820" s="28" t="n">
        <v>46141</v>
      </c>
      <c r="E3820" t="inlineStr">
        <is>
          <t>IM캐피탈</t>
        </is>
      </c>
      <c r="F3820" t="inlineStr">
        <is>
          <t>박초희</t>
        </is>
      </c>
      <c r="G3820" t="inlineStr">
        <is>
          <t>010-3913-8216</t>
        </is>
      </c>
      <c r="H3820" t="inlineStr">
        <is>
          <t>173보4606</t>
        </is>
      </c>
      <c r="I3820" t="n">
        <v>13400000</v>
      </c>
      <c r="J3820" t="n">
        <v>0.049</v>
      </c>
      <c r="K3820" t="n">
        <v>1.1</v>
      </c>
      <c r="L3820" t="n">
        <v>0.07000000000000001</v>
      </c>
      <c r="M3820" t="n">
        <v>1.03</v>
      </c>
      <c r="P3820" t="inlineStr">
        <is>
          <t>김나윤</t>
        </is>
      </c>
      <c r="Q3820" t="inlineStr">
        <is>
          <t>홈서비스 84개월</t>
        </is>
      </c>
      <c r="AB3820" t="inlineStr">
        <is>
          <t>홈서비스</t>
        </is>
      </c>
      <c r="AC3820" t="n">
        <v>147400</v>
      </c>
      <c r="AD3820" t="n">
        <v>9380</v>
      </c>
      <c r="AE3820" t="n">
        <v>138020</v>
      </c>
      <c r="AF3820" t="n">
        <v>134000</v>
      </c>
      <c r="AG3820" t="n">
        <v>9070.459999999999</v>
      </c>
      <c r="AH3820" t="n">
        <v>124929.54</v>
      </c>
      <c r="AI3820" t="n">
        <v>0</v>
      </c>
    </row>
    <row r="3821">
      <c r="A3821" t="inlineStr">
        <is>
          <t>4월</t>
        </is>
      </c>
      <c r="B3821" t="inlineStr">
        <is>
          <t>18주차</t>
        </is>
      </c>
      <c r="C3821" t="inlineStr">
        <is>
          <t>EP</t>
        </is>
      </c>
      <c r="D3821" s="28" t="n">
        <v>46141</v>
      </c>
      <c r="E3821" t="inlineStr">
        <is>
          <t>현대EP_fast</t>
        </is>
      </c>
      <c r="F3821" t="inlineStr">
        <is>
          <t>김시우</t>
        </is>
      </c>
      <c r="G3821" t="inlineStr">
        <is>
          <t>010-7979-8357</t>
        </is>
      </c>
      <c r="H3821" t="inlineStr">
        <is>
          <t>35모3089</t>
        </is>
      </c>
      <c r="I3821" t="n">
        <v>7900000</v>
      </c>
      <c r="J3821" t="n">
        <v>0.127</v>
      </c>
      <c r="K3821" t="n">
        <v>1.76</v>
      </c>
      <c r="L3821" t="n">
        <v>0.2</v>
      </c>
      <c r="M3821" t="n">
        <v>1.56</v>
      </c>
      <c r="P3821" t="inlineStr">
        <is>
          <t>김나윤</t>
        </is>
      </c>
      <c r="Q3821" t="inlineStr">
        <is>
          <t>홈서비스 60개월</t>
        </is>
      </c>
      <c r="AB3821" t="inlineStr">
        <is>
          <t>홈서비스</t>
        </is>
      </c>
      <c r="AC3821" t="n">
        <v>139040</v>
      </c>
      <c r="AD3821" t="n">
        <v>15800</v>
      </c>
      <c r="AE3821" t="n">
        <v>123240</v>
      </c>
      <c r="AF3821" t="n">
        <v>126400</v>
      </c>
      <c r="AG3821" t="n">
        <v>15278.6</v>
      </c>
      <c r="AH3821" t="n">
        <v>111121.4</v>
      </c>
      <c r="AI3821" t="n">
        <v>0</v>
      </c>
    </row>
    <row r="3822">
      <c r="A3822" t="inlineStr">
        <is>
          <t>4월</t>
        </is>
      </c>
      <c r="B3822" t="inlineStr">
        <is>
          <t>18주차</t>
        </is>
      </c>
      <c r="C3822" t="inlineStr">
        <is>
          <t>EP</t>
        </is>
      </c>
      <c r="D3822" s="28" t="n">
        <v>46140</v>
      </c>
      <c r="E3822" t="inlineStr">
        <is>
          <t>현대EP</t>
        </is>
      </c>
      <c r="F3822" t="inlineStr">
        <is>
          <t>이현구</t>
        </is>
      </c>
      <c r="G3822" t="inlineStr">
        <is>
          <t>010-3164-1834</t>
        </is>
      </c>
      <c r="H3822" t="inlineStr">
        <is>
          <t>56거1967</t>
        </is>
      </c>
      <c r="I3822" t="n">
        <v>26800000</v>
      </c>
      <c r="J3822" t="n">
        <v>0.102</v>
      </c>
      <c r="K3822" t="n">
        <v>1.76</v>
      </c>
      <c r="L3822" t="n">
        <v>0.2</v>
      </c>
      <c r="M3822" t="n">
        <v>1.56</v>
      </c>
      <c r="P3822" t="inlineStr">
        <is>
          <t>김수연</t>
        </is>
      </c>
      <c r="AB3822" t="inlineStr">
        <is>
          <t>홈서비스</t>
        </is>
      </c>
      <c r="AC3822" t="n">
        <v>471680</v>
      </c>
      <c r="AD3822" t="n">
        <v>53600</v>
      </c>
      <c r="AE3822" t="n">
        <v>418080</v>
      </c>
      <c r="AF3822" t="n">
        <v>428800</v>
      </c>
      <c r="AG3822" t="n">
        <v>51831.2</v>
      </c>
      <c r="AH3822" t="n">
        <v>376968.8</v>
      </c>
      <c r="AI3822" t="n">
        <v>0</v>
      </c>
    </row>
    <row r="3823">
      <c r="A3823" t="inlineStr">
        <is>
          <t>4월</t>
        </is>
      </c>
      <c r="B3823" t="inlineStr">
        <is>
          <t>18주차</t>
        </is>
      </c>
      <c r="C3823" t="inlineStr">
        <is>
          <t>WC</t>
        </is>
      </c>
      <c r="D3823" s="28" t="n">
        <v>46141</v>
      </c>
      <c r="E3823" t="inlineStr">
        <is>
          <t>웰컴저축은행</t>
        </is>
      </c>
      <c r="F3823" t="inlineStr">
        <is>
          <t>정태일</t>
        </is>
      </c>
      <c r="G3823" t="inlineStr">
        <is>
          <t>010-2246-7917</t>
        </is>
      </c>
      <c r="H3823" t="inlineStr">
        <is>
          <t>141다3366</t>
        </is>
      </c>
      <c r="I3823" t="n">
        <v>27500000</v>
      </c>
      <c r="J3823" t="n">
        <v>0.13</v>
      </c>
      <c r="K3823" t="n">
        <v>2.2</v>
      </c>
      <c r="L3823" t="n">
        <v>0.07000000000000001</v>
      </c>
      <c r="M3823" t="n">
        <v>2.13</v>
      </c>
      <c r="P3823" t="inlineStr">
        <is>
          <t>김나윤</t>
        </is>
      </c>
      <c r="Q3823" t="inlineStr">
        <is>
          <t>홈서비스 60개월</t>
        </is>
      </c>
      <c r="AB3823" t="inlineStr">
        <is>
          <t>홈서비스</t>
        </is>
      </c>
      <c r="AC3823" t="n">
        <v>605000</v>
      </c>
      <c r="AD3823" t="n">
        <v>19250</v>
      </c>
      <c r="AE3823" t="n">
        <v>585750</v>
      </c>
      <c r="AF3823" t="n">
        <v>550000</v>
      </c>
      <c r="AG3823" t="n">
        <v>18614.75</v>
      </c>
      <c r="AH3823" t="n">
        <v>531385.25</v>
      </c>
      <c r="AI3823" t="n">
        <v>0</v>
      </c>
    </row>
    <row r="3824">
      <c r="A3824" t="inlineStr">
        <is>
          <t>4월</t>
        </is>
      </c>
      <c r="B3824" t="inlineStr">
        <is>
          <t>18주차</t>
        </is>
      </c>
      <c r="C3824" t="inlineStr">
        <is>
          <t>IM</t>
        </is>
      </c>
      <c r="D3824" s="28" t="n">
        <v>46141</v>
      </c>
      <c r="E3824" t="inlineStr">
        <is>
          <t>IM캐피탈</t>
        </is>
      </c>
      <c r="F3824" t="inlineStr">
        <is>
          <t>정현목</t>
        </is>
      </c>
      <c r="G3824" t="inlineStr">
        <is>
          <t>010-5645-0313</t>
        </is>
      </c>
      <c r="H3824" t="inlineStr">
        <is>
          <t>14노4042</t>
        </is>
      </c>
      <c r="I3824" t="n">
        <v>25900000</v>
      </c>
      <c r="J3824" t="n">
        <v>0.063</v>
      </c>
      <c r="K3824" t="n">
        <v>1.1</v>
      </c>
      <c r="L3824" t="n">
        <v>0.07000000000000001</v>
      </c>
      <c r="M3824" t="n">
        <v>1.03</v>
      </c>
      <c r="P3824" t="inlineStr">
        <is>
          <t>정세빈</t>
        </is>
      </c>
      <c r="Q3824" t="inlineStr">
        <is>
          <t>홈서비스 84개월</t>
        </is>
      </c>
      <c r="AB3824" t="inlineStr">
        <is>
          <t>홈서비스</t>
        </is>
      </c>
      <c r="AC3824" t="n">
        <v>284900</v>
      </c>
      <c r="AD3824" t="n">
        <v>18130</v>
      </c>
      <c r="AE3824" t="n">
        <v>266770</v>
      </c>
      <c r="AF3824" t="n">
        <v>259000</v>
      </c>
      <c r="AG3824" t="n">
        <v>17531.71</v>
      </c>
      <c r="AH3824" t="n">
        <v>241468.29</v>
      </c>
      <c r="AI3824" t="n">
        <v>0</v>
      </c>
    </row>
    <row r="3825">
      <c r="A3825" t="inlineStr">
        <is>
          <t>4월</t>
        </is>
      </c>
      <c r="B3825" t="inlineStr">
        <is>
          <t>18주차</t>
        </is>
      </c>
      <c r="C3825" t="inlineStr">
        <is>
          <t>EP</t>
        </is>
      </c>
      <c r="D3825" s="28" t="n">
        <v>46139</v>
      </c>
      <c r="E3825" t="inlineStr">
        <is>
          <t>현대EP_fast</t>
        </is>
      </c>
      <c r="F3825" t="inlineStr">
        <is>
          <t>이동민</t>
        </is>
      </c>
      <c r="G3825" t="inlineStr">
        <is>
          <t>010-5464-0510</t>
        </is>
      </c>
      <c r="H3825" t="inlineStr">
        <is>
          <t>37부4501</t>
        </is>
      </c>
      <c r="I3825" t="n">
        <v>4900000</v>
      </c>
      <c r="J3825" t="n">
        <v>0.127</v>
      </c>
      <c r="K3825" t="n">
        <v>1.76</v>
      </c>
      <c r="L3825" t="n">
        <v>0.4</v>
      </c>
      <c r="M3825" t="n">
        <v>1.36</v>
      </c>
      <c r="P3825" t="inlineStr">
        <is>
          <t>장진경</t>
        </is>
      </c>
      <c r="Q3825" t="inlineStr">
        <is>
          <t>고객주도체결</t>
        </is>
      </c>
      <c r="AB3825" t="inlineStr">
        <is>
          <t>엔카</t>
        </is>
      </c>
      <c r="AC3825" t="n">
        <v>86240</v>
      </c>
      <c r="AD3825" t="n">
        <v>19600</v>
      </c>
      <c r="AE3825" t="n">
        <v>66640</v>
      </c>
      <c r="AF3825" t="n">
        <v>78400</v>
      </c>
      <c r="AG3825" t="n">
        <v>18953.2</v>
      </c>
      <c r="AH3825" t="n">
        <v>59446.8</v>
      </c>
      <c r="AI3825" t="n">
        <v>0</v>
      </c>
    </row>
    <row r="3826">
      <c r="A3826" t="inlineStr">
        <is>
          <t>4월</t>
        </is>
      </c>
      <c r="B3826" t="inlineStr">
        <is>
          <t>18주차</t>
        </is>
      </c>
      <c r="C3826" t="inlineStr">
        <is>
          <t>IM</t>
        </is>
      </c>
      <c r="D3826" s="28" t="n">
        <v>46141</v>
      </c>
      <c r="E3826" t="inlineStr">
        <is>
          <t>IM캐피탈</t>
        </is>
      </c>
      <c r="F3826" t="inlineStr">
        <is>
          <t>김창민</t>
        </is>
      </c>
      <c r="G3826" t="inlineStr">
        <is>
          <t>010-9686-7937</t>
        </is>
      </c>
      <c r="H3826" t="inlineStr">
        <is>
          <t>34거1867</t>
        </is>
      </c>
      <c r="I3826" t="n">
        <v>11400000</v>
      </c>
      <c r="J3826" t="n">
        <v>0.06900000000000001</v>
      </c>
      <c r="K3826" t="n">
        <v>1.1</v>
      </c>
      <c r="L3826" t="n">
        <v>0.07000000000000001</v>
      </c>
      <c r="M3826" t="n">
        <v>1.03</v>
      </c>
      <c r="P3826" t="inlineStr">
        <is>
          <t>김수연</t>
        </is>
      </c>
      <c r="Q3826" t="inlineStr">
        <is>
          <t>홈서비스 72개월</t>
        </is>
      </c>
      <c r="AB3826" t="inlineStr">
        <is>
          <t>홈서비스</t>
        </is>
      </c>
      <c r="AC3826" t="n">
        <v>125400</v>
      </c>
      <c r="AD3826" t="n">
        <v>7980</v>
      </c>
      <c r="AE3826" t="n">
        <v>117420</v>
      </c>
      <c r="AF3826" t="n">
        <v>114000</v>
      </c>
      <c r="AG3826" t="n">
        <v>7716.66</v>
      </c>
      <c r="AH3826" t="n">
        <v>106283.34</v>
      </c>
      <c r="AI3826" t="n">
        <v>0</v>
      </c>
    </row>
    <row r="3827">
      <c r="A3827" t="inlineStr">
        <is>
          <t>4월</t>
        </is>
      </c>
      <c r="B3827" t="inlineStr">
        <is>
          <t>18주차</t>
        </is>
      </c>
      <c r="C3827" t="inlineStr">
        <is>
          <t>EP</t>
        </is>
      </c>
      <c r="D3827" s="28" t="n">
        <v>46141</v>
      </c>
      <c r="E3827" t="inlineStr">
        <is>
          <t>현대EP_fast</t>
        </is>
      </c>
      <c r="F3827" t="inlineStr">
        <is>
          <t>임영민</t>
        </is>
      </c>
      <c r="G3827" t="inlineStr">
        <is>
          <t>010-8693-7578</t>
        </is>
      </c>
      <c r="H3827" t="inlineStr">
        <is>
          <t>362어4733</t>
        </is>
      </c>
      <c r="I3827" t="n">
        <v>33800000</v>
      </c>
      <c r="J3827" t="n">
        <v>0.092</v>
      </c>
      <c r="K3827" t="n">
        <v>1.76</v>
      </c>
      <c r="L3827" t="n">
        <v>0.2</v>
      </c>
      <c r="M3827" t="n">
        <v>1.56</v>
      </c>
      <c r="P3827" t="inlineStr">
        <is>
          <t>김수연</t>
        </is>
      </c>
      <c r="Q3827" t="inlineStr">
        <is>
          <t>홈서비스 60개월</t>
        </is>
      </c>
      <c r="AB3827" t="inlineStr">
        <is>
          <t>홈서비스</t>
        </is>
      </c>
      <c r="AC3827" t="n">
        <v>594880</v>
      </c>
      <c r="AD3827" t="n">
        <v>67600</v>
      </c>
      <c r="AE3827" t="n">
        <v>527280</v>
      </c>
      <c r="AF3827" t="n">
        <v>540800</v>
      </c>
      <c r="AG3827" t="n">
        <v>65369.2</v>
      </c>
      <c r="AH3827" t="n">
        <v>475430.8</v>
      </c>
    </row>
    <row r="3828">
      <c r="A3828" t="inlineStr">
        <is>
          <t>4월</t>
        </is>
      </c>
      <c r="B3828" t="inlineStr">
        <is>
          <t>18주차</t>
        </is>
      </c>
      <c r="C3828" t="inlineStr">
        <is>
          <t>EP</t>
        </is>
      </c>
      <c r="D3828" s="28" t="n">
        <v>46140</v>
      </c>
      <c r="E3828" t="inlineStr">
        <is>
          <t>제이비EP</t>
        </is>
      </c>
      <c r="F3828" t="inlineStr">
        <is>
          <t>박성만</t>
        </is>
      </c>
      <c r="G3828" t="inlineStr">
        <is>
          <t>010-4323-5055</t>
        </is>
      </c>
      <c r="H3828" t="inlineStr">
        <is>
          <t>06우9003</t>
        </is>
      </c>
      <c r="I3828" t="n">
        <v>13000000</v>
      </c>
      <c r="J3828" t="n">
        <v>0.06900000000000001</v>
      </c>
      <c r="K3828" t="n">
        <v>1.65</v>
      </c>
      <c r="L3828" t="n">
        <v>0.07000000000000001</v>
      </c>
      <c r="M3828" t="n">
        <v>1.58</v>
      </c>
      <c r="P3828" t="inlineStr">
        <is>
          <t>박현민</t>
        </is>
      </c>
      <c r="Q3828" t="inlineStr">
        <is>
          <t>홈서비스 60개월</t>
        </is>
      </c>
      <c r="AB3828" t="inlineStr">
        <is>
          <t>홈서비스</t>
        </is>
      </c>
      <c r="AC3828" t="n">
        <v>214500</v>
      </c>
      <c r="AD3828" t="n">
        <v>9100</v>
      </c>
      <c r="AE3828" t="n">
        <v>205400</v>
      </c>
      <c r="AF3828" t="n">
        <v>195000</v>
      </c>
      <c r="AG3828" t="n">
        <v>8799.700000000001</v>
      </c>
      <c r="AH3828" t="n">
        <v>186200.3</v>
      </c>
    </row>
    <row r="3829">
      <c r="A3829" t="inlineStr">
        <is>
          <t>4월</t>
        </is>
      </c>
      <c r="B3829" t="inlineStr">
        <is>
          <t>18주차</t>
        </is>
      </c>
      <c r="C3829" t="inlineStr">
        <is>
          <t>EP</t>
        </is>
      </c>
      <c r="D3829" s="28" t="n">
        <v>46141</v>
      </c>
      <c r="E3829" t="inlineStr">
        <is>
          <t>현대EP_fast</t>
        </is>
      </c>
      <c r="F3829" t="inlineStr">
        <is>
          <t>조예빈</t>
        </is>
      </c>
      <c r="G3829" t="inlineStr">
        <is>
          <t>010-4812-9664</t>
        </is>
      </c>
      <c r="H3829" t="inlineStr">
        <is>
          <t>63무9222</t>
        </is>
      </c>
      <c r="I3829" t="n">
        <v>7500000</v>
      </c>
      <c r="J3829" t="n">
        <v>0.07099999999999999</v>
      </c>
      <c r="K3829" t="n">
        <v>1.76</v>
      </c>
      <c r="L3829" t="n">
        <v>0.2</v>
      </c>
      <c r="M3829" t="n">
        <v>1.56</v>
      </c>
      <c r="P3829" t="inlineStr">
        <is>
          <t>김수연</t>
        </is>
      </c>
      <c r="Q3829" t="inlineStr">
        <is>
          <t>홈서비스 24개월</t>
        </is>
      </c>
      <c r="AB3829" t="inlineStr">
        <is>
          <t>홈서비스</t>
        </is>
      </c>
      <c r="AC3829" t="n">
        <v>132000</v>
      </c>
      <c r="AD3829" t="n">
        <v>15000</v>
      </c>
      <c r="AE3829" t="n">
        <v>117000</v>
      </c>
      <c r="AF3829" t="n">
        <v>120000</v>
      </c>
      <c r="AG3829" t="n">
        <v>14505</v>
      </c>
      <c r="AH3829" t="n">
        <v>105495</v>
      </c>
    </row>
    <row r="3830">
      <c r="A3830" t="inlineStr">
        <is>
          <t>4월</t>
        </is>
      </c>
      <c r="B3830" t="inlineStr">
        <is>
          <t>18주차</t>
        </is>
      </c>
      <c r="C3830" t="inlineStr">
        <is>
          <t>EP</t>
        </is>
      </c>
      <c r="D3830" s="28" t="n">
        <v>46140</v>
      </c>
      <c r="E3830" t="inlineStr">
        <is>
          <t>현대EP_fast</t>
        </is>
      </c>
      <c r="F3830" t="inlineStr">
        <is>
          <t>박재정</t>
        </is>
      </c>
      <c r="G3830" t="inlineStr">
        <is>
          <t>010-9413-0700</t>
        </is>
      </c>
      <c r="H3830" t="inlineStr">
        <is>
          <t>51노5818</t>
        </is>
      </c>
      <c r="I3830" t="n">
        <v>11000000</v>
      </c>
      <c r="J3830" t="n">
        <v>0.118</v>
      </c>
      <c r="K3830" t="n">
        <v>1.76</v>
      </c>
      <c r="L3830" t="n">
        <v>0.4</v>
      </c>
      <c r="M3830" t="n">
        <v>1.36</v>
      </c>
      <c r="P3830" t="inlineStr">
        <is>
          <t>박현민</t>
        </is>
      </c>
      <c r="AB3830" t="inlineStr">
        <is>
          <t>엔카</t>
        </is>
      </c>
      <c r="AC3830" t="n">
        <v>193600</v>
      </c>
      <c r="AD3830" t="n">
        <v>44000</v>
      </c>
      <c r="AE3830" t="n">
        <v>149600</v>
      </c>
      <c r="AF3830" t="n">
        <v>176000</v>
      </c>
      <c r="AG3830" t="n">
        <v>42548</v>
      </c>
      <c r="AH3830" t="n">
        <v>133452</v>
      </c>
      <c r="AI3830" t="n">
        <v>0</v>
      </c>
    </row>
    <row r="3831">
      <c r="A3831" t="inlineStr">
        <is>
          <t>4월</t>
        </is>
      </c>
      <c r="B3831" t="inlineStr">
        <is>
          <t>18주차</t>
        </is>
      </c>
      <c r="C3831" t="inlineStr">
        <is>
          <t>EP</t>
        </is>
      </c>
      <c r="D3831" s="28" t="n">
        <v>46141</v>
      </c>
      <c r="E3831" t="inlineStr">
        <is>
          <t>현대EP_fast</t>
        </is>
      </c>
      <c r="F3831" t="inlineStr">
        <is>
          <t>김민석</t>
        </is>
      </c>
      <c r="G3831" t="inlineStr">
        <is>
          <t>010-6733-2015</t>
        </is>
      </c>
      <c r="H3831" t="inlineStr">
        <is>
          <t>334무2061</t>
        </is>
      </c>
      <c r="I3831" t="n">
        <v>9000000</v>
      </c>
      <c r="J3831" t="n">
        <v>0.062</v>
      </c>
      <c r="K3831" t="n">
        <v>1.76</v>
      </c>
      <c r="L3831" t="n">
        <v>0.2</v>
      </c>
      <c r="M3831" t="n">
        <v>1.56</v>
      </c>
      <c r="P3831" t="inlineStr">
        <is>
          <t>최형주</t>
        </is>
      </c>
      <c r="Q3831" t="inlineStr">
        <is>
          <t>홈서비스 48개월</t>
        </is>
      </c>
      <c r="AB3831" t="inlineStr">
        <is>
          <t>홈서비스</t>
        </is>
      </c>
      <c r="AC3831" t="n">
        <v>158400</v>
      </c>
      <c r="AD3831" t="n">
        <v>18000</v>
      </c>
      <c r="AE3831" t="n">
        <v>140400</v>
      </c>
      <c r="AF3831" t="n">
        <v>144000</v>
      </c>
      <c r="AG3831" t="n">
        <v>17406</v>
      </c>
      <c r="AH3831" t="n">
        <v>126594</v>
      </c>
      <c r="AI3831" t="n">
        <v>0</v>
      </c>
    </row>
    <row r="3832">
      <c r="A3832" t="inlineStr">
        <is>
          <t>4월</t>
        </is>
      </c>
      <c r="B3832" t="inlineStr">
        <is>
          <t>18주차</t>
        </is>
      </c>
      <c r="C3832" t="inlineStr">
        <is>
          <t>IM</t>
        </is>
      </c>
      <c r="D3832" s="28" t="n">
        <v>46141</v>
      </c>
      <c r="E3832" t="inlineStr">
        <is>
          <t>IM캐피탈</t>
        </is>
      </c>
      <c r="F3832" t="inlineStr">
        <is>
          <t>김영범</t>
        </is>
      </c>
      <c r="G3832" t="inlineStr">
        <is>
          <t>010-6392-3898</t>
        </is>
      </c>
      <c r="H3832" t="inlineStr">
        <is>
          <t>23다1603</t>
        </is>
      </c>
      <c r="I3832" t="n">
        <v>4800000</v>
      </c>
      <c r="J3832" t="n">
        <v>0.06900000000000001</v>
      </c>
      <c r="K3832" t="n">
        <v>1.1</v>
      </c>
      <c r="L3832" t="n">
        <v>0.07000000000000001</v>
      </c>
      <c r="M3832" t="n">
        <v>1.03</v>
      </c>
      <c r="P3832" t="inlineStr">
        <is>
          <t>김수연</t>
        </is>
      </c>
      <c r="Q3832" t="inlineStr">
        <is>
          <t>홈서비스 60개월</t>
        </is>
      </c>
      <c r="AB3832" t="inlineStr">
        <is>
          <t>홈서비스</t>
        </is>
      </c>
      <c r="AC3832" t="n">
        <v>52800</v>
      </c>
      <c r="AD3832" t="n">
        <v>3360</v>
      </c>
      <c r="AE3832" t="n">
        <v>49440</v>
      </c>
      <c r="AF3832" t="n">
        <v>48000</v>
      </c>
      <c r="AG3832" t="n">
        <v>3249.12</v>
      </c>
      <c r="AH3832" t="n">
        <v>44750.88</v>
      </c>
    </row>
    <row r="3833">
      <c r="A3833" t="inlineStr">
        <is>
          <t>4월</t>
        </is>
      </c>
      <c r="B3833" t="inlineStr">
        <is>
          <t>18주차</t>
        </is>
      </c>
      <c r="C3833" t="inlineStr">
        <is>
          <t>IM</t>
        </is>
      </c>
      <c r="D3833" s="28" t="n">
        <v>46141</v>
      </c>
      <c r="E3833" t="inlineStr">
        <is>
          <t>IM캐피탈</t>
        </is>
      </c>
      <c r="F3833" t="inlineStr">
        <is>
          <t>이진용</t>
        </is>
      </c>
      <c r="G3833" t="inlineStr">
        <is>
          <t>010-9998-3749</t>
        </is>
      </c>
      <c r="H3833" t="inlineStr">
        <is>
          <t>02주3151</t>
        </is>
      </c>
      <c r="I3833" t="n">
        <v>21000000</v>
      </c>
      <c r="J3833" t="n">
        <v>0.049</v>
      </c>
      <c r="K3833" t="n">
        <v>1.1</v>
      </c>
      <c r="L3833" t="n">
        <v>0.07000000000000001</v>
      </c>
      <c r="M3833" t="n">
        <v>1.03</v>
      </c>
      <c r="P3833" t="inlineStr">
        <is>
          <t>정세빈</t>
        </is>
      </c>
      <c r="Q3833" t="inlineStr">
        <is>
          <t>홈서비스 60개월</t>
        </is>
      </c>
      <c r="AB3833" t="inlineStr">
        <is>
          <t>홈서비스</t>
        </is>
      </c>
      <c r="AC3833" t="n">
        <v>231000</v>
      </c>
      <c r="AD3833" t="n">
        <v>14700</v>
      </c>
      <c r="AE3833" t="n">
        <v>216300</v>
      </c>
      <c r="AF3833" t="n">
        <v>210000</v>
      </c>
      <c r="AG3833" t="n">
        <v>14214.9</v>
      </c>
      <c r="AH3833" t="n">
        <v>195785.1</v>
      </c>
      <c r="AI3833" t="n">
        <v>0</v>
      </c>
    </row>
    <row r="3834">
      <c r="A3834" t="inlineStr">
        <is>
          <t>4월</t>
        </is>
      </c>
      <c r="B3834" t="inlineStr">
        <is>
          <t>18주차</t>
        </is>
      </c>
      <c r="C3834" t="inlineStr">
        <is>
          <t>IM</t>
        </is>
      </c>
      <c r="D3834" s="28" t="n">
        <v>46140</v>
      </c>
      <c r="E3834" t="inlineStr">
        <is>
          <t>IM캐피탈</t>
        </is>
      </c>
      <c r="F3834" t="inlineStr">
        <is>
          <t>이상혁</t>
        </is>
      </c>
      <c r="G3834" t="inlineStr">
        <is>
          <t>010-8948-5744</t>
        </is>
      </c>
      <c r="H3834" t="inlineStr">
        <is>
          <t>160누5910</t>
        </is>
      </c>
      <c r="I3834" t="n">
        <v>13000000</v>
      </c>
      <c r="J3834" t="n">
        <v>0.045</v>
      </c>
      <c r="K3834" t="n">
        <v>1.1</v>
      </c>
      <c r="L3834" t="n">
        <v>0.4</v>
      </c>
      <c r="M3834" t="n">
        <v>0.7</v>
      </c>
      <c r="P3834" t="inlineStr">
        <is>
          <t>임대경</t>
        </is>
      </c>
      <c r="AB3834" t="inlineStr">
        <is>
          <t>엔카</t>
        </is>
      </c>
      <c r="AC3834" t="n">
        <v>143000</v>
      </c>
      <c r="AD3834" t="n">
        <v>52000</v>
      </c>
      <c r="AE3834" t="n">
        <v>91000</v>
      </c>
      <c r="AF3834" t="n">
        <v>130000</v>
      </c>
      <c r="AG3834" t="n">
        <v>50284</v>
      </c>
      <c r="AH3834" t="n">
        <v>79716</v>
      </c>
      <c r="AI3834" t="n">
        <v>0</v>
      </c>
    </row>
    <row r="3835">
      <c r="A3835" t="inlineStr">
        <is>
          <t>4월</t>
        </is>
      </c>
      <c r="B3835" t="inlineStr">
        <is>
          <t>18주차</t>
        </is>
      </c>
      <c r="C3835" t="inlineStr">
        <is>
          <t>EP</t>
        </is>
      </c>
      <c r="D3835" s="28" t="n">
        <v>46140</v>
      </c>
      <c r="E3835" t="inlineStr">
        <is>
          <t>현대EP_fast</t>
        </is>
      </c>
      <c r="F3835" t="inlineStr">
        <is>
          <t>이다영</t>
        </is>
      </c>
      <c r="G3835" t="inlineStr">
        <is>
          <t>010-8349-1400</t>
        </is>
      </c>
      <c r="H3835" t="inlineStr">
        <is>
          <t>214러6294</t>
        </is>
      </c>
      <c r="I3835" t="n">
        <v>12000000</v>
      </c>
      <c r="J3835" t="n">
        <v>0.08599999999999999</v>
      </c>
      <c r="K3835" t="n">
        <v>1.76</v>
      </c>
      <c r="L3835" t="n">
        <v>0.4</v>
      </c>
      <c r="M3835" t="n">
        <v>1.36</v>
      </c>
      <c r="P3835" t="inlineStr">
        <is>
          <t>장진경</t>
        </is>
      </c>
      <c r="AB3835" t="inlineStr">
        <is>
          <t>엔카</t>
        </is>
      </c>
      <c r="AC3835" t="n">
        <v>211200</v>
      </c>
      <c r="AD3835" t="n">
        <v>48000</v>
      </c>
      <c r="AE3835" t="n">
        <v>163200</v>
      </c>
      <c r="AF3835" t="n">
        <v>192000</v>
      </c>
      <c r="AG3835" t="n">
        <v>46416</v>
      </c>
      <c r="AH3835" t="n">
        <v>145584</v>
      </c>
      <c r="AI3835" t="n">
        <v>0</v>
      </c>
    </row>
    <row r="3836">
      <c r="A3836" t="inlineStr">
        <is>
          <t>4월</t>
        </is>
      </c>
      <c r="B3836" t="inlineStr">
        <is>
          <t>18주차</t>
        </is>
      </c>
      <c r="C3836" t="inlineStr">
        <is>
          <t>EP</t>
        </is>
      </c>
      <c r="D3836" s="28" t="n">
        <v>46141</v>
      </c>
      <c r="E3836" t="inlineStr">
        <is>
          <t>현대EP_fast</t>
        </is>
      </c>
      <c r="F3836" t="inlineStr">
        <is>
          <t>박성빈</t>
        </is>
      </c>
      <c r="G3836" t="inlineStr">
        <is>
          <t>010-8293-8230</t>
        </is>
      </c>
      <c r="H3836" t="inlineStr">
        <is>
          <t>164라9390</t>
        </is>
      </c>
      <c r="I3836" t="n">
        <v>12800000</v>
      </c>
      <c r="J3836" t="n">
        <v>0.077</v>
      </c>
      <c r="K3836" t="n">
        <v>1.76</v>
      </c>
      <c r="L3836" t="n">
        <v>0.2</v>
      </c>
      <c r="M3836" t="n">
        <v>1.56</v>
      </c>
      <c r="P3836" t="inlineStr">
        <is>
          <t>김수연</t>
        </is>
      </c>
      <c r="Q3836" t="inlineStr">
        <is>
          <t>홈서비스 36개월</t>
        </is>
      </c>
      <c r="AB3836" t="inlineStr">
        <is>
          <t>홈서비스</t>
        </is>
      </c>
      <c r="AC3836" t="n">
        <v>225280</v>
      </c>
      <c r="AD3836" t="n">
        <v>25600</v>
      </c>
      <c r="AE3836" t="n">
        <v>199680</v>
      </c>
      <c r="AF3836" t="n">
        <v>204800</v>
      </c>
      <c r="AG3836" t="n">
        <v>24755.2</v>
      </c>
      <c r="AH3836" t="n">
        <v>180044.8</v>
      </c>
      <c r="AI3836" t="n">
        <v>0</v>
      </c>
    </row>
    <row r="3837">
      <c r="A3837" t="inlineStr">
        <is>
          <t>4월</t>
        </is>
      </c>
      <c r="B3837" t="inlineStr">
        <is>
          <t>18주차</t>
        </is>
      </c>
      <c r="C3837" t="inlineStr">
        <is>
          <t>EP</t>
        </is>
      </c>
      <c r="D3837" s="28" t="n">
        <v>46141</v>
      </c>
      <c r="E3837" t="inlineStr">
        <is>
          <t>현대EP_fast</t>
        </is>
      </c>
      <c r="F3837" t="inlineStr">
        <is>
          <t>박다한</t>
        </is>
      </c>
      <c r="G3837" t="inlineStr">
        <is>
          <t>010-2316-6959</t>
        </is>
      </c>
      <c r="H3837" t="inlineStr">
        <is>
          <t>58라5416</t>
        </is>
      </c>
      <c r="I3837" t="n">
        <v>28500000</v>
      </c>
      <c r="J3837" t="n">
        <v>0.079</v>
      </c>
      <c r="K3837" t="n">
        <v>1.76</v>
      </c>
      <c r="L3837" t="n">
        <v>0.2</v>
      </c>
      <c r="M3837" t="n">
        <v>1.56</v>
      </c>
      <c r="P3837" t="inlineStr">
        <is>
          <t>임대경</t>
        </is>
      </c>
      <c r="Q3837" t="inlineStr">
        <is>
          <t>홈서비스 60개월</t>
        </is>
      </c>
      <c r="AB3837" t="inlineStr">
        <is>
          <t>홈서비스</t>
        </is>
      </c>
      <c r="AC3837" t="n">
        <v>501600</v>
      </c>
      <c r="AD3837" t="n">
        <v>57000</v>
      </c>
      <c r="AE3837" t="n">
        <v>444600</v>
      </c>
      <c r="AF3837" t="n">
        <v>456000</v>
      </c>
      <c r="AG3837" t="n">
        <v>55119</v>
      </c>
      <c r="AH3837" t="n">
        <v>400881</v>
      </c>
      <c r="AI3837" t="n">
        <v>0</v>
      </c>
    </row>
    <row r="3838">
      <c r="A3838" t="inlineStr">
        <is>
          <t>4월</t>
        </is>
      </c>
      <c r="B3838" t="inlineStr">
        <is>
          <t>18주차</t>
        </is>
      </c>
      <c r="C3838" t="inlineStr">
        <is>
          <t>EP</t>
        </is>
      </c>
      <c r="D3838" s="28" t="n">
        <v>46140</v>
      </c>
      <c r="E3838" t="inlineStr">
        <is>
          <t>현대EP</t>
        </is>
      </c>
      <c r="F3838" t="inlineStr">
        <is>
          <t>이인재</t>
        </is>
      </c>
      <c r="G3838" t="inlineStr">
        <is>
          <t>010-8589-9147</t>
        </is>
      </c>
      <c r="H3838" t="inlineStr">
        <is>
          <t>340너7624</t>
        </is>
      </c>
      <c r="I3838" t="n">
        <v>16100000</v>
      </c>
      <c r="J3838" t="n">
        <v>0.09</v>
      </c>
      <c r="K3838" t="n">
        <v>1.76</v>
      </c>
      <c r="L3838" t="n">
        <v>0.2</v>
      </c>
      <c r="M3838" t="n">
        <v>1.56</v>
      </c>
      <c r="P3838" t="inlineStr">
        <is>
          <t>황채이</t>
        </is>
      </c>
      <c r="AB3838" t="inlineStr">
        <is>
          <t>홈서비스</t>
        </is>
      </c>
      <c r="AC3838" t="n">
        <v>283360</v>
      </c>
      <c r="AD3838" t="n">
        <v>32200</v>
      </c>
      <c r="AE3838" t="n">
        <v>251160</v>
      </c>
      <c r="AF3838" t="n">
        <v>257600</v>
      </c>
      <c r="AG3838" t="n">
        <v>31137.4</v>
      </c>
      <c r="AH3838" t="n">
        <v>226462.6</v>
      </c>
      <c r="AI3838" t="n">
        <v>0</v>
      </c>
    </row>
    <row r="3839">
      <c r="A3839" t="inlineStr">
        <is>
          <t>4월</t>
        </is>
      </c>
      <c r="B3839" t="inlineStr">
        <is>
          <t>18주차</t>
        </is>
      </c>
      <c r="C3839" t="inlineStr">
        <is>
          <t>EP</t>
        </is>
      </c>
      <c r="D3839" s="28" t="n">
        <v>46140</v>
      </c>
      <c r="E3839" t="inlineStr">
        <is>
          <t>현대EP</t>
        </is>
      </c>
      <c r="F3839" t="inlineStr">
        <is>
          <t>박종완</t>
        </is>
      </c>
      <c r="G3839" t="inlineStr">
        <is>
          <t>010-6764-1031</t>
        </is>
      </c>
      <c r="H3839" t="inlineStr">
        <is>
          <t>49어0116</t>
        </is>
      </c>
      <c r="I3839" t="n">
        <v>9900000</v>
      </c>
      <c r="J3839" t="n">
        <v>0.127</v>
      </c>
      <c r="K3839" t="n">
        <v>1.76</v>
      </c>
      <c r="L3839" t="n">
        <v>0.2</v>
      </c>
      <c r="M3839" t="n">
        <v>1.56</v>
      </c>
      <c r="P3839" t="inlineStr">
        <is>
          <t>장현경</t>
        </is>
      </c>
      <c r="AB3839" t="inlineStr">
        <is>
          <t>홈서비스</t>
        </is>
      </c>
      <c r="AC3839" t="n">
        <v>174240</v>
      </c>
      <c r="AD3839" t="n">
        <v>19800</v>
      </c>
      <c r="AE3839" t="n">
        <v>154440</v>
      </c>
      <c r="AF3839" t="n">
        <v>158400</v>
      </c>
      <c r="AG3839" t="n">
        <v>19146.6</v>
      </c>
      <c r="AH3839" t="n">
        <v>139253.4</v>
      </c>
      <c r="AI3839" t="n">
        <v>0</v>
      </c>
    </row>
    <row r="3840">
      <c r="A3840" t="inlineStr">
        <is>
          <t>4월</t>
        </is>
      </c>
      <c r="B3840" t="inlineStr">
        <is>
          <t>18주차</t>
        </is>
      </c>
      <c r="C3840" t="inlineStr">
        <is>
          <t>IM</t>
        </is>
      </c>
      <c r="D3840" s="28" t="n">
        <v>46141</v>
      </c>
      <c r="E3840" t="inlineStr">
        <is>
          <t>IM캐피탈</t>
        </is>
      </c>
      <c r="F3840" t="inlineStr">
        <is>
          <t>최승준</t>
        </is>
      </c>
      <c r="G3840" t="inlineStr">
        <is>
          <t>010-8431-9200</t>
        </is>
      </c>
      <c r="H3840" t="inlineStr">
        <is>
          <t>57로7524</t>
        </is>
      </c>
      <c r="I3840" t="n">
        <v>9600000</v>
      </c>
      <c r="J3840" t="n">
        <v>0.063</v>
      </c>
      <c r="K3840" t="n">
        <v>1.1</v>
      </c>
      <c r="L3840" t="n">
        <v>0.07000000000000001</v>
      </c>
      <c r="M3840" t="n">
        <v>1.03</v>
      </c>
      <c r="P3840" t="inlineStr">
        <is>
          <t>황채이</t>
        </is>
      </c>
      <c r="Q3840" t="inlineStr">
        <is>
          <t>홈서비스 84개월</t>
        </is>
      </c>
      <c r="AB3840" t="inlineStr">
        <is>
          <t>홈서비스</t>
        </is>
      </c>
      <c r="AC3840" t="n">
        <v>105600</v>
      </c>
      <c r="AD3840" t="n">
        <v>6720</v>
      </c>
      <c r="AE3840" t="n">
        <v>98880</v>
      </c>
      <c r="AF3840" t="n">
        <v>96000</v>
      </c>
      <c r="AG3840" t="n">
        <v>6498.24</v>
      </c>
      <c r="AH3840" t="n">
        <v>89501.75999999999</v>
      </c>
      <c r="AI3840" t="n">
        <v>0</v>
      </c>
    </row>
    <row r="3841">
      <c r="A3841" t="inlineStr">
        <is>
          <t>4월</t>
        </is>
      </c>
      <c r="B3841" t="inlineStr">
        <is>
          <t>18주차</t>
        </is>
      </c>
      <c r="C3841" t="inlineStr">
        <is>
          <t>EP</t>
        </is>
      </c>
      <c r="D3841" s="28" t="n">
        <v>46141</v>
      </c>
      <c r="E3841" t="inlineStr">
        <is>
          <t>현대EP_fast</t>
        </is>
      </c>
      <c r="F3841" t="inlineStr">
        <is>
          <t>정인수</t>
        </is>
      </c>
      <c r="G3841" t="inlineStr">
        <is>
          <t>010-2589-1592</t>
        </is>
      </c>
      <c r="H3841" t="inlineStr">
        <is>
          <t>83두4769</t>
        </is>
      </c>
      <c r="I3841" t="n">
        <v>11500000</v>
      </c>
      <c r="J3841" t="n">
        <v>0.102</v>
      </c>
      <c r="K3841" t="n">
        <v>1.76</v>
      </c>
      <c r="L3841" t="n">
        <v>0.2</v>
      </c>
      <c r="M3841" t="n">
        <v>1.56</v>
      </c>
      <c r="P3841" t="inlineStr">
        <is>
          <t>황채이</t>
        </is>
      </c>
      <c r="Q3841" t="inlineStr">
        <is>
          <t>홈서비스 48개월</t>
        </is>
      </c>
      <c r="AB3841" t="inlineStr">
        <is>
          <t>홈서비스</t>
        </is>
      </c>
      <c r="AC3841" t="n">
        <v>202400</v>
      </c>
      <c r="AD3841" t="n">
        <v>23000</v>
      </c>
      <c r="AE3841" t="n">
        <v>179400</v>
      </c>
      <c r="AF3841" t="n">
        <v>184000</v>
      </c>
      <c r="AG3841" t="n">
        <v>22241</v>
      </c>
      <c r="AH3841" t="n">
        <v>161759</v>
      </c>
      <c r="AI3841" t="n">
        <v>0</v>
      </c>
    </row>
    <row r="3842">
      <c r="A3842" t="inlineStr">
        <is>
          <t>4월</t>
        </is>
      </c>
      <c r="B3842" t="inlineStr">
        <is>
          <t>18주차</t>
        </is>
      </c>
      <c r="C3842" t="inlineStr">
        <is>
          <t>EP</t>
        </is>
      </c>
      <c r="D3842" s="28" t="n">
        <v>46141</v>
      </c>
      <c r="E3842" t="inlineStr">
        <is>
          <t>현대EP_fast</t>
        </is>
      </c>
      <c r="F3842" t="inlineStr">
        <is>
          <t>임성열</t>
        </is>
      </c>
      <c r="G3842" t="inlineStr">
        <is>
          <t>010-3206-9829</t>
        </is>
      </c>
      <c r="H3842" t="inlineStr">
        <is>
          <t>29소0778</t>
        </is>
      </c>
      <c r="I3842" t="n">
        <v>10000000</v>
      </c>
      <c r="J3842" t="n">
        <v>0.09</v>
      </c>
      <c r="K3842" t="n">
        <v>1.76</v>
      </c>
      <c r="L3842" t="n">
        <v>0.2</v>
      </c>
      <c r="M3842" t="n">
        <v>1.56</v>
      </c>
      <c r="P3842" t="inlineStr">
        <is>
          <t>황채이</t>
        </is>
      </c>
      <c r="Q3842" t="inlineStr">
        <is>
          <t>홈서비스 36개월</t>
        </is>
      </c>
      <c r="AB3842" t="inlineStr">
        <is>
          <t>홈서비스</t>
        </is>
      </c>
      <c r="AC3842" t="n">
        <v>176000</v>
      </c>
      <c r="AD3842" t="n">
        <v>20000</v>
      </c>
      <c r="AE3842" t="n">
        <v>156000</v>
      </c>
      <c r="AF3842" t="n">
        <v>160000</v>
      </c>
      <c r="AG3842" t="n">
        <v>19340</v>
      </c>
      <c r="AH3842" t="n">
        <v>140660</v>
      </c>
      <c r="AI3842" t="n">
        <v>0</v>
      </c>
    </row>
    <row r="3843">
      <c r="A3843" t="inlineStr">
        <is>
          <t>4월</t>
        </is>
      </c>
      <c r="B3843" t="inlineStr">
        <is>
          <t>18주차</t>
        </is>
      </c>
      <c r="C3843" t="inlineStr">
        <is>
          <t>EP</t>
        </is>
      </c>
      <c r="D3843" s="28" t="n">
        <v>46141</v>
      </c>
      <c r="E3843" t="inlineStr">
        <is>
          <t>현대EP_fast</t>
        </is>
      </c>
      <c r="F3843" t="inlineStr">
        <is>
          <t>선우민수</t>
        </is>
      </c>
      <c r="G3843" t="inlineStr">
        <is>
          <t>010-4946-4565</t>
        </is>
      </c>
      <c r="H3843" t="inlineStr">
        <is>
          <t>354두6223</t>
        </is>
      </c>
      <c r="I3843" t="n">
        <v>13000000</v>
      </c>
      <c r="J3843" t="n">
        <v>0.127</v>
      </c>
      <c r="K3843" t="n">
        <v>1.76</v>
      </c>
      <c r="L3843" t="n">
        <v>0.2</v>
      </c>
      <c r="M3843" t="n">
        <v>1.56</v>
      </c>
      <c r="P3843" t="inlineStr">
        <is>
          <t>김수연</t>
        </is>
      </c>
      <c r="Q3843" t="inlineStr">
        <is>
          <t>홈서비스 48개월</t>
        </is>
      </c>
      <c r="AB3843" t="inlineStr">
        <is>
          <t>홈서비스</t>
        </is>
      </c>
      <c r="AC3843" t="n">
        <v>228800</v>
      </c>
      <c r="AD3843" t="n">
        <v>26000</v>
      </c>
      <c r="AE3843" t="n">
        <v>202800</v>
      </c>
      <c r="AF3843" t="n">
        <v>208000</v>
      </c>
      <c r="AG3843" t="n">
        <v>25142</v>
      </c>
      <c r="AH3843" t="n">
        <v>182858</v>
      </c>
    </row>
    <row r="3844">
      <c r="A3844" t="inlineStr">
        <is>
          <t>4월</t>
        </is>
      </c>
      <c r="B3844" t="inlineStr">
        <is>
          <t>18주차</t>
        </is>
      </c>
      <c r="C3844" t="inlineStr">
        <is>
          <t>IM</t>
        </is>
      </c>
      <c r="D3844" s="28" t="n">
        <v>46141</v>
      </c>
      <c r="E3844" t="inlineStr">
        <is>
          <t>IM캐피탈</t>
        </is>
      </c>
      <c r="F3844" t="inlineStr">
        <is>
          <t>송수림</t>
        </is>
      </c>
      <c r="G3844" t="inlineStr">
        <is>
          <t>010-3429-6334</t>
        </is>
      </c>
      <c r="H3844" t="inlineStr">
        <is>
          <t>215서6890</t>
        </is>
      </c>
      <c r="I3844" t="n">
        <v>23000000</v>
      </c>
      <c r="J3844" t="n">
        <v>0.076</v>
      </c>
      <c r="K3844" t="n">
        <v>1.1</v>
      </c>
      <c r="L3844" t="n">
        <v>0.4</v>
      </c>
      <c r="M3844" t="n">
        <v>0.7</v>
      </c>
      <c r="P3844" t="inlineStr">
        <is>
          <t>장진경</t>
        </is>
      </c>
      <c r="Q3844" t="inlineStr">
        <is>
          <t>부대비용 추가진행</t>
        </is>
      </c>
      <c r="AB3844" t="inlineStr">
        <is>
          <t>엔카</t>
        </is>
      </c>
      <c r="AC3844" t="n">
        <v>253000</v>
      </c>
      <c r="AD3844" t="n">
        <v>92000</v>
      </c>
      <c r="AE3844" t="n">
        <v>161000</v>
      </c>
      <c r="AF3844" t="n">
        <v>230000</v>
      </c>
      <c r="AG3844" t="n">
        <v>88964</v>
      </c>
      <c r="AH3844" t="n">
        <v>141036</v>
      </c>
      <c r="AI3844" t="n">
        <v>0</v>
      </c>
    </row>
    <row r="3845">
      <c r="A3845" t="inlineStr">
        <is>
          <t>4월</t>
        </is>
      </c>
      <c r="B3845" t="inlineStr">
        <is>
          <t>18주차</t>
        </is>
      </c>
      <c r="C3845" t="inlineStr">
        <is>
          <t>WC</t>
        </is>
      </c>
      <c r="D3845" s="28" t="n">
        <v>46141</v>
      </c>
      <c r="E3845" t="inlineStr">
        <is>
          <t>웰컴저축은행</t>
        </is>
      </c>
      <c r="F3845" t="inlineStr">
        <is>
          <t>황나경</t>
        </is>
      </c>
      <c r="G3845" t="inlineStr">
        <is>
          <t>010-5750-7577</t>
        </is>
      </c>
      <c r="H3845" t="inlineStr">
        <is>
          <t>111두2230</t>
        </is>
      </c>
      <c r="I3845" t="n">
        <v>14700000</v>
      </c>
      <c r="J3845" t="n">
        <v>0.166</v>
      </c>
      <c r="K3845" t="n">
        <v>2.2</v>
      </c>
      <c r="L3845" t="n">
        <v>0.07000000000000001</v>
      </c>
      <c r="M3845" t="n">
        <v>2.13</v>
      </c>
      <c r="P3845" t="inlineStr">
        <is>
          <t>김나윤</t>
        </is>
      </c>
      <c r="Q3845" t="inlineStr">
        <is>
          <t>홈서비스 60개월</t>
        </is>
      </c>
      <c r="AB3845" t="inlineStr">
        <is>
          <t>홈서비스</t>
        </is>
      </c>
      <c r="AC3845" t="n">
        <v>323400</v>
      </c>
      <c r="AD3845" t="n">
        <v>10290</v>
      </c>
      <c r="AE3845" t="n">
        <v>313110</v>
      </c>
      <c r="AF3845" t="n">
        <v>294000</v>
      </c>
      <c r="AG3845" t="n">
        <v>9950.43</v>
      </c>
      <c r="AH3845" t="n">
        <v>284049.57</v>
      </c>
      <c r="AI3845" t="n">
        <v>0</v>
      </c>
    </row>
    <row r="3846">
      <c r="A3846" t="inlineStr">
        <is>
          <t>4월</t>
        </is>
      </c>
      <c r="B3846" t="inlineStr">
        <is>
          <t>18주차</t>
        </is>
      </c>
      <c r="C3846" t="inlineStr">
        <is>
          <t>WR</t>
        </is>
      </c>
      <c r="D3846" s="28" t="n">
        <v>46140</v>
      </c>
      <c r="E3846" t="inlineStr">
        <is>
          <t>우리금융</t>
        </is>
      </c>
      <c r="F3846" t="inlineStr">
        <is>
          <t>유기문</t>
        </is>
      </c>
      <c r="G3846" t="inlineStr">
        <is>
          <t>010-6877-4138</t>
        </is>
      </c>
      <c r="H3846" t="inlineStr">
        <is>
          <t>53더0698</t>
        </is>
      </c>
      <c r="I3846" t="n">
        <v>15600000</v>
      </c>
      <c r="J3846" t="n">
        <v>0.075</v>
      </c>
      <c r="K3846" t="n">
        <v>2.2</v>
      </c>
      <c r="L3846" t="n">
        <v>0.4</v>
      </c>
      <c r="M3846" t="n">
        <v>1.8</v>
      </c>
      <c r="P3846" t="inlineStr">
        <is>
          <t>박보람</t>
        </is>
      </c>
      <c r="Q3846" t="inlineStr">
        <is>
          <t>론진행</t>
        </is>
      </c>
      <c r="AB3846" t="inlineStr">
        <is>
          <t>엔카</t>
        </is>
      </c>
      <c r="AC3846" t="n">
        <v>343200</v>
      </c>
      <c r="AD3846" t="n">
        <v>62400</v>
      </c>
      <c r="AE3846" t="n">
        <v>280800</v>
      </c>
      <c r="AF3846" t="n">
        <v>312000</v>
      </c>
      <c r="AG3846" t="n">
        <v>60340.8</v>
      </c>
      <c r="AH3846" t="n">
        <v>251659.2</v>
      </c>
    </row>
    <row r="3847">
      <c r="A3847" t="inlineStr">
        <is>
          <t>4월</t>
        </is>
      </c>
      <c r="B3847" t="inlineStr">
        <is>
          <t>18주차</t>
        </is>
      </c>
      <c r="C3847" t="inlineStr">
        <is>
          <t>WR</t>
        </is>
      </c>
      <c r="D3847" s="28" t="n">
        <v>46140</v>
      </c>
      <c r="E3847" t="inlineStr">
        <is>
          <t>우리금융</t>
        </is>
      </c>
      <c r="F3847" t="inlineStr">
        <is>
          <t>유기문</t>
        </is>
      </c>
      <c r="G3847" t="inlineStr">
        <is>
          <t>010-6877-4138</t>
        </is>
      </c>
      <c r="H3847" t="inlineStr">
        <is>
          <t>53더0698</t>
        </is>
      </c>
      <c r="I3847" t="n">
        <v>-15600000</v>
      </c>
      <c r="J3847" t="n">
        <v>0.075</v>
      </c>
      <c r="K3847" t="n">
        <v>2.2</v>
      </c>
      <c r="L3847" t="n">
        <v>0.4</v>
      </c>
      <c r="M3847" t="n">
        <v>1.8</v>
      </c>
      <c r="P3847" t="inlineStr">
        <is>
          <t>박보람</t>
        </is>
      </c>
      <c r="Q3847" t="inlineStr">
        <is>
          <t>미설정/사고건 수수료 지급X</t>
        </is>
      </c>
      <c r="AB3847" t="inlineStr">
        <is>
          <t>엔카</t>
        </is>
      </c>
      <c r="AC3847" t="n">
        <v>-343200</v>
      </c>
      <c r="AD3847" t="n">
        <v>-62400</v>
      </c>
      <c r="AE3847" t="n">
        <v>-280800</v>
      </c>
      <c r="AF3847" t="n">
        <v>-312000</v>
      </c>
      <c r="AG3847" t="n">
        <v>-60340.8</v>
      </c>
      <c r="AH3847" t="n">
        <v>-251659.2</v>
      </c>
    </row>
    <row r="3848">
      <c r="A3848" t="inlineStr">
        <is>
          <t>4월</t>
        </is>
      </c>
      <c r="B3848" t="inlineStr">
        <is>
          <t>18주차</t>
        </is>
      </c>
      <c r="C3848" t="inlineStr">
        <is>
          <t>EP</t>
        </is>
      </c>
      <c r="D3848" s="28" t="n">
        <v>46140</v>
      </c>
      <c r="E3848" t="inlineStr">
        <is>
          <t>현대EP_fast</t>
        </is>
      </c>
      <c r="F3848" t="inlineStr">
        <is>
          <t>이연규</t>
        </is>
      </c>
      <c r="G3848" t="inlineStr">
        <is>
          <t>010-6345-6589</t>
        </is>
      </c>
      <c r="H3848" t="inlineStr">
        <is>
          <t>171거1742</t>
        </is>
      </c>
      <c r="I3848" t="n">
        <v>22500000</v>
      </c>
      <c r="J3848" t="n">
        <v>0.118</v>
      </c>
      <c r="K3848" t="n">
        <v>1.76</v>
      </c>
      <c r="L3848" t="n">
        <v>0.4</v>
      </c>
      <c r="M3848" t="n">
        <v>1.36</v>
      </c>
      <c r="P3848" t="inlineStr">
        <is>
          <t>최혁</t>
        </is>
      </c>
      <c r="AB3848" t="inlineStr">
        <is>
          <t>엔카</t>
        </is>
      </c>
      <c r="AC3848" t="n">
        <v>396000</v>
      </c>
      <c r="AD3848" t="n">
        <v>90000</v>
      </c>
      <c r="AE3848" t="n">
        <v>306000</v>
      </c>
      <c r="AF3848" t="n">
        <v>360000</v>
      </c>
      <c r="AG3848" t="n">
        <v>87030</v>
      </c>
      <c r="AH3848" t="n">
        <v>272970</v>
      </c>
      <c r="AI3848" t="n">
        <v>0</v>
      </c>
    </row>
    <row r="3849">
      <c r="A3849" t="inlineStr">
        <is>
          <t>4월</t>
        </is>
      </c>
      <c r="B3849" t="inlineStr">
        <is>
          <t>18주차</t>
        </is>
      </c>
      <c r="C3849" t="inlineStr">
        <is>
          <t>EP</t>
        </is>
      </c>
      <c r="D3849" s="28" t="n">
        <v>46140</v>
      </c>
      <c r="E3849" t="inlineStr">
        <is>
          <t>현대EP_fast</t>
        </is>
      </c>
      <c r="F3849" t="inlineStr">
        <is>
          <t>정병학</t>
        </is>
      </c>
      <c r="G3849" t="inlineStr">
        <is>
          <t>010-2607-6880</t>
        </is>
      </c>
      <c r="H3849" t="inlineStr">
        <is>
          <t>35두5889</t>
        </is>
      </c>
      <c r="I3849" t="n">
        <v>10500000</v>
      </c>
      <c r="J3849" t="n">
        <v>0.118</v>
      </c>
      <c r="K3849" t="n">
        <v>1.76</v>
      </c>
      <c r="L3849" t="n">
        <v>0.2</v>
      </c>
      <c r="M3849" t="n">
        <v>1.56</v>
      </c>
      <c r="P3849" t="inlineStr">
        <is>
          <t>최혁</t>
        </is>
      </c>
      <c r="Q3849" t="inlineStr">
        <is>
          <t>홈서비스60개월</t>
        </is>
      </c>
      <c r="AB3849" t="inlineStr">
        <is>
          <t>홈서비스</t>
        </is>
      </c>
      <c r="AC3849" t="n">
        <v>184800</v>
      </c>
      <c r="AD3849" t="n">
        <v>21000</v>
      </c>
      <c r="AE3849" t="n">
        <v>163800</v>
      </c>
      <c r="AF3849" t="n">
        <v>168000</v>
      </c>
      <c r="AG3849" t="n">
        <v>20307</v>
      </c>
      <c r="AH3849" t="n">
        <v>147693</v>
      </c>
      <c r="AI3849" t="n">
        <v>0</v>
      </c>
    </row>
    <row r="3850">
      <c r="A3850" t="inlineStr">
        <is>
          <t>4월</t>
        </is>
      </c>
      <c r="B3850" t="inlineStr">
        <is>
          <t>18주차</t>
        </is>
      </c>
      <c r="C3850" t="inlineStr">
        <is>
          <t>OR</t>
        </is>
      </c>
      <c r="D3850" s="28" t="n">
        <v>46141</v>
      </c>
      <c r="E3850" t="inlineStr">
        <is>
          <t>오릭스</t>
        </is>
      </c>
      <c r="F3850" t="inlineStr">
        <is>
          <t>박천호</t>
        </is>
      </c>
      <c r="G3850" t="inlineStr">
        <is>
          <t>010-5128-9005</t>
        </is>
      </c>
      <c r="H3850" t="inlineStr">
        <is>
          <t>10로3352</t>
        </is>
      </c>
      <c r="I3850" t="n">
        <v>37000000</v>
      </c>
      <c r="J3850" t="n">
        <v>0.059</v>
      </c>
      <c r="K3850" t="n">
        <v>1.65</v>
      </c>
      <c r="L3850" t="n">
        <v>0.07000000000000001</v>
      </c>
      <c r="M3850" t="n">
        <v>1.58</v>
      </c>
      <c r="P3850" t="inlineStr">
        <is>
          <t>황채이</t>
        </is>
      </c>
      <c r="Q3850" t="inlineStr">
        <is>
          <t>홈서비스 60개월</t>
        </is>
      </c>
      <c r="AB3850" t="inlineStr">
        <is>
          <t>홈서비스</t>
        </is>
      </c>
      <c r="AC3850" t="n">
        <v>610500</v>
      </c>
      <c r="AD3850" t="n">
        <v>25900</v>
      </c>
      <c r="AE3850" t="n">
        <v>584600</v>
      </c>
      <c r="AF3850" t="n">
        <v>555000</v>
      </c>
      <c r="AG3850" t="n">
        <v>25045.3</v>
      </c>
      <c r="AH3850" t="n">
        <v>529954.7</v>
      </c>
      <c r="AI3850" t="n">
        <v>0</v>
      </c>
    </row>
    <row r="3851">
      <c r="A3851" t="inlineStr">
        <is>
          <t>4월</t>
        </is>
      </c>
      <c r="B3851" t="inlineStr">
        <is>
          <t>18주차</t>
        </is>
      </c>
      <c r="C3851" t="inlineStr">
        <is>
          <t>EP</t>
        </is>
      </c>
      <c r="D3851" s="28" t="n">
        <v>46141</v>
      </c>
      <c r="E3851" t="inlineStr">
        <is>
          <t>BNKEP</t>
        </is>
      </c>
      <c r="F3851" t="inlineStr">
        <is>
          <t>이은순</t>
        </is>
      </c>
      <c r="G3851" t="inlineStr">
        <is>
          <t>010-4855-5464</t>
        </is>
      </c>
      <c r="H3851" t="inlineStr">
        <is>
          <t>196루9205</t>
        </is>
      </c>
      <c r="I3851" t="n">
        <v>20000000</v>
      </c>
      <c r="J3851" t="n">
        <v>0.07000000000000001</v>
      </c>
      <c r="K3851" t="n">
        <v>1.65</v>
      </c>
      <c r="L3851" t="n">
        <v>0.07000000000000001</v>
      </c>
      <c r="M3851" t="n">
        <v>1.58</v>
      </c>
      <c r="P3851" t="inlineStr">
        <is>
          <t>황채이</t>
        </is>
      </c>
      <c r="Q3851" t="inlineStr">
        <is>
          <t>홈서비스 60개월</t>
        </is>
      </c>
      <c r="AB3851" t="inlineStr">
        <is>
          <t>홈서비스</t>
        </is>
      </c>
      <c r="AC3851" t="n">
        <v>330000</v>
      </c>
      <c r="AD3851" t="n">
        <v>14000</v>
      </c>
      <c r="AE3851" t="n">
        <v>316000</v>
      </c>
      <c r="AF3851" t="n">
        <v>300000</v>
      </c>
      <c r="AG3851" t="n">
        <v>13538</v>
      </c>
      <c r="AH3851" t="n">
        <v>286462</v>
      </c>
    </row>
    <row r="3852">
      <c r="A3852" t="inlineStr">
        <is>
          <t>4월</t>
        </is>
      </c>
      <c r="B3852" t="inlineStr">
        <is>
          <t>18주차</t>
        </is>
      </c>
      <c r="C3852" t="inlineStr">
        <is>
          <t>IM</t>
        </is>
      </c>
      <c r="D3852" s="28" t="n">
        <v>46141</v>
      </c>
      <c r="E3852" t="inlineStr">
        <is>
          <t>IM캐피탈</t>
        </is>
      </c>
      <c r="F3852" t="inlineStr">
        <is>
          <t>김선용</t>
        </is>
      </c>
      <c r="G3852" t="inlineStr">
        <is>
          <t>010-3720-9231</t>
        </is>
      </c>
      <c r="H3852" t="inlineStr">
        <is>
          <t>62거0679</t>
        </is>
      </c>
      <c r="I3852" t="n">
        <v>7500000</v>
      </c>
      <c r="J3852" t="n">
        <v>0.049</v>
      </c>
      <c r="K3852" t="n">
        <v>1.1</v>
      </c>
      <c r="L3852" t="n">
        <v>0.07000000000000001</v>
      </c>
      <c r="M3852" t="n">
        <v>1.03</v>
      </c>
      <c r="P3852" t="inlineStr">
        <is>
          <t>황채이</t>
        </is>
      </c>
      <c r="Q3852" t="inlineStr">
        <is>
          <t>홈서비스 72개월</t>
        </is>
      </c>
      <c r="AB3852" t="inlineStr">
        <is>
          <t>홈서비스</t>
        </is>
      </c>
      <c r="AC3852" t="n">
        <v>82500</v>
      </c>
      <c r="AD3852" t="n">
        <v>5250</v>
      </c>
      <c r="AE3852" t="n">
        <v>77250</v>
      </c>
      <c r="AF3852" t="n">
        <v>75000</v>
      </c>
      <c r="AG3852" t="n">
        <v>5076.75</v>
      </c>
      <c r="AH3852" t="n">
        <v>69923.25</v>
      </c>
      <c r="AI3852" t="n">
        <v>0</v>
      </c>
    </row>
    <row r="3853">
      <c r="A3853" t="inlineStr">
        <is>
          <t>4월</t>
        </is>
      </c>
      <c r="B3853" t="inlineStr">
        <is>
          <t>18주차</t>
        </is>
      </c>
      <c r="C3853" t="inlineStr">
        <is>
          <t>EP</t>
        </is>
      </c>
      <c r="D3853" s="28" t="n">
        <v>46141</v>
      </c>
      <c r="E3853" t="inlineStr">
        <is>
          <t>BNKEP</t>
        </is>
      </c>
      <c r="F3853" t="inlineStr">
        <is>
          <t>방혁민</t>
        </is>
      </c>
      <c r="G3853" t="inlineStr">
        <is>
          <t>010-9228-1158</t>
        </is>
      </c>
      <c r="H3853" t="inlineStr">
        <is>
          <t>151소2666</t>
        </is>
      </c>
      <c r="I3853" t="n">
        <v>27800000</v>
      </c>
      <c r="J3853" t="n">
        <v>0.061</v>
      </c>
      <c r="K3853" t="n">
        <v>1.65</v>
      </c>
      <c r="L3853" t="n">
        <v>0.07000000000000001</v>
      </c>
      <c r="M3853" t="n">
        <v>1.58</v>
      </c>
      <c r="P3853" t="inlineStr">
        <is>
          <t>황채이</t>
        </is>
      </c>
      <c r="Q3853" t="inlineStr">
        <is>
          <t>홈서비스 60개월</t>
        </is>
      </c>
      <c r="AB3853" t="inlineStr">
        <is>
          <t>홈서비스</t>
        </is>
      </c>
      <c r="AC3853" t="n">
        <v>458700</v>
      </c>
      <c r="AD3853" t="n">
        <v>19460</v>
      </c>
      <c r="AE3853" t="n">
        <v>439240</v>
      </c>
      <c r="AF3853" t="n">
        <v>417000</v>
      </c>
      <c r="AG3853" t="n">
        <v>18817.82</v>
      </c>
      <c r="AH3853" t="n">
        <v>398182.18</v>
      </c>
      <c r="AI3853" t="n">
        <v>0</v>
      </c>
    </row>
    <row r="3854">
      <c r="A3854" t="inlineStr">
        <is>
          <t>4월</t>
        </is>
      </c>
      <c r="B3854" t="inlineStr">
        <is>
          <t>18주차</t>
        </is>
      </c>
      <c r="C3854" t="inlineStr">
        <is>
          <t>EP</t>
        </is>
      </c>
      <c r="D3854" s="28" t="n">
        <v>46141</v>
      </c>
      <c r="E3854" t="inlineStr">
        <is>
          <t>현대EP_fast</t>
        </is>
      </c>
      <c r="F3854" t="inlineStr">
        <is>
          <t>강장원</t>
        </is>
      </c>
      <c r="G3854" t="inlineStr">
        <is>
          <t>010-3016-6628</t>
        </is>
      </c>
      <c r="H3854" t="inlineStr">
        <is>
          <t>204수6640</t>
        </is>
      </c>
      <c r="I3854" t="n">
        <v>17700000</v>
      </c>
      <c r="J3854" t="n">
        <v>0.105</v>
      </c>
      <c r="K3854" t="n">
        <v>1.76</v>
      </c>
      <c r="L3854" t="n">
        <v>0.2</v>
      </c>
      <c r="M3854" t="n">
        <v>1.56</v>
      </c>
      <c r="P3854" t="inlineStr">
        <is>
          <t>김수연</t>
        </is>
      </c>
      <c r="Q3854" t="inlineStr">
        <is>
          <t>홈서비스 60개월</t>
        </is>
      </c>
      <c r="AB3854" t="inlineStr">
        <is>
          <t>홈서비스</t>
        </is>
      </c>
      <c r="AC3854" t="n">
        <v>311520</v>
      </c>
      <c r="AD3854" t="n">
        <v>35400</v>
      </c>
      <c r="AE3854" t="n">
        <v>276120</v>
      </c>
      <c r="AF3854" t="n">
        <v>283200</v>
      </c>
      <c r="AG3854" t="n">
        <v>34231.8</v>
      </c>
      <c r="AH3854" t="n">
        <v>248968.2</v>
      </c>
      <c r="AI3854" t="n">
        <v>0</v>
      </c>
    </row>
    <row r="3855">
      <c r="A3855" t="inlineStr">
        <is>
          <t>4월</t>
        </is>
      </c>
      <c r="B3855" t="inlineStr">
        <is>
          <t>18주차</t>
        </is>
      </c>
      <c r="C3855" t="inlineStr">
        <is>
          <t>EP</t>
        </is>
      </c>
      <c r="D3855" s="28" t="n">
        <v>46141</v>
      </c>
      <c r="E3855" t="inlineStr">
        <is>
          <t>현대EP_fast</t>
        </is>
      </c>
      <c r="F3855" t="inlineStr">
        <is>
          <t>서종덕</t>
        </is>
      </c>
      <c r="G3855" t="inlineStr">
        <is>
          <t>010-8623-1283</t>
        </is>
      </c>
      <c r="H3855" t="inlineStr">
        <is>
          <t>01주0172</t>
        </is>
      </c>
      <c r="I3855" t="n">
        <v>11900000</v>
      </c>
      <c r="J3855" t="n">
        <v>0.08599999999999999</v>
      </c>
      <c r="K3855" t="n">
        <v>1.76</v>
      </c>
      <c r="L3855" t="n">
        <v>0.2</v>
      </c>
      <c r="M3855" t="n">
        <v>1.56</v>
      </c>
      <c r="P3855" t="inlineStr">
        <is>
          <t>김나윤</t>
        </is>
      </c>
      <c r="Q3855" t="inlineStr">
        <is>
          <t>홈서비스 60개월</t>
        </is>
      </c>
      <c r="AB3855" t="inlineStr">
        <is>
          <t>홈서비스</t>
        </is>
      </c>
      <c r="AC3855" t="n">
        <v>209440</v>
      </c>
      <c r="AD3855" t="n">
        <v>23800</v>
      </c>
      <c r="AE3855" t="n">
        <v>185640</v>
      </c>
      <c r="AF3855" t="n">
        <v>190400</v>
      </c>
      <c r="AG3855" t="n">
        <v>23014.6</v>
      </c>
      <c r="AH3855" t="n">
        <v>167385.4</v>
      </c>
      <c r="AI3855" t="n">
        <v>0</v>
      </c>
    </row>
    <row r="3856">
      <c r="A3856" t="inlineStr">
        <is>
          <t>4월</t>
        </is>
      </c>
      <c r="B3856" t="inlineStr">
        <is>
          <t>18주차</t>
        </is>
      </c>
      <c r="C3856" t="inlineStr">
        <is>
          <t>EP</t>
        </is>
      </c>
      <c r="D3856" s="28" t="n">
        <v>46141</v>
      </c>
      <c r="E3856" t="inlineStr">
        <is>
          <t>현대EP_fast</t>
        </is>
      </c>
      <c r="F3856" t="inlineStr">
        <is>
          <t>방승규</t>
        </is>
      </c>
      <c r="G3856" t="inlineStr">
        <is>
          <t>010-5121-9695</t>
        </is>
      </c>
      <c r="H3856" t="inlineStr">
        <is>
          <t>57버4773</t>
        </is>
      </c>
      <c r="I3856" t="n">
        <v>4200000</v>
      </c>
      <c r="J3856" t="n">
        <v>0.07099999999999999</v>
      </c>
      <c r="K3856" t="n">
        <v>1.76</v>
      </c>
      <c r="L3856" t="n">
        <v>0.2</v>
      </c>
      <c r="M3856" t="n">
        <v>1.56</v>
      </c>
      <c r="P3856" t="inlineStr">
        <is>
          <t>최형주</t>
        </is>
      </c>
      <c r="Q3856" t="inlineStr">
        <is>
          <t>홈서비스 24개월</t>
        </is>
      </c>
      <c r="AB3856" t="inlineStr">
        <is>
          <t>홈서비스</t>
        </is>
      </c>
      <c r="AC3856" t="n">
        <v>73920</v>
      </c>
      <c r="AD3856" t="n">
        <v>8400</v>
      </c>
      <c r="AE3856" t="n">
        <v>65520</v>
      </c>
      <c r="AF3856" t="n">
        <v>67200</v>
      </c>
      <c r="AG3856" t="n">
        <v>8122.8</v>
      </c>
      <c r="AH3856" t="n">
        <v>59077.2</v>
      </c>
      <c r="AI3856" t="n">
        <v>0</v>
      </c>
    </row>
    <row r="3857">
      <c r="A3857" t="inlineStr">
        <is>
          <t>4월</t>
        </is>
      </c>
      <c r="B3857" t="inlineStr">
        <is>
          <t>18주차</t>
        </is>
      </c>
      <c r="C3857" t="inlineStr">
        <is>
          <t>EP</t>
        </is>
      </c>
      <c r="D3857" s="28" t="n">
        <v>46141</v>
      </c>
      <c r="E3857" t="inlineStr">
        <is>
          <t>현대EP_fast</t>
        </is>
      </c>
      <c r="F3857" t="inlineStr">
        <is>
          <t>이세일</t>
        </is>
      </c>
      <c r="G3857" t="inlineStr">
        <is>
          <t>010-2522-2285</t>
        </is>
      </c>
      <c r="H3857" t="inlineStr">
        <is>
          <t>143하3122</t>
        </is>
      </c>
      <c r="I3857" t="n">
        <v>7000000</v>
      </c>
      <c r="K3857" t="n">
        <v>1.76</v>
      </c>
      <c r="L3857" t="n">
        <v>0.2</v>
      </c>
      <c r="M3857" t="n">
        <v>1.56</v>
      </c>
      <c r="P3857" t="inlineStr">
        <is>
          <t>김수연</t>
        </is>
      </c>
      <c r="Q3857" t="inlineStr">
        <is>
          <t>홈서비스 24개월</t>
        </is>
      </c>
      <c r="AB3857" t="inlineStr">
        <is>
          <t>홈서비스</t>
        </is>
      </c>
      <c r="AC3857" t="n">
        <v>123200</v>
      </c>
      <c r="AD3857" t="n">
        <v>14000</v>
      </c>
      <c r="AE3857" t="n">
        <v>109200</v>
      </c>
      <c r="AF3857" t="n">
        <v>112000</v>
      </c>
      <c r="AG3857" t="n">
        <v>13538</v>
      </c>
      <c r="AH3857" t="n">
        <v>98462</v>
      </c>
      <c r="AI3857" t="n">
        <v>0</v>
      </c>
    </row>
    <row r="3858">
      <c r="A3858" t="inlineStr">
        <is>
          <t>4월</t>
        </is>
      </c>
      <c r="B3858" t="inlineStr">
        <is>
          <t>18주차</t>
        </is>
      </c>
      <c r="C3858" t="inlineStr">
        <is>
          <t>EP</t>
        </is>
      </c>
      <c r="D3858" s="28" t="n">
        <v>46141</v>
      </c>
      <c r="E3858" t="inlineStr">
        <is>
          <t>현대EP_fast</t>
        </is>
      </c>
      <c r="F3858" t="inlineStr">
        <is>
          <t>문재경</t>
        </is>
      </c>
      <c r="G3858" t="inlineStr">
        <is>
          <t>010-7499-3549</t>
        </is>
      </c>
      <c r="H3858" t="inlineStr">
        <is>
          <t>47나0475</t>
        </is>
      </c>
      <c r="I3858" t="n">
        <v>4000000</v>
      </c>
      <c r="J3858" t="n">
        <v>0.092</v>
      </c>
      <c r="K3858" t="n">
        <v>1.76</v>
      </c>
      <c r="L3858" t="n">
        <v>0.2</v>
      </c>
      <c r="M3858" t="n">
        <v>1.56</v>
      </c>
      <c r="P3858" t="inlineStr">
        <is>
          <t>최형주</t>
        </is>
      </c>
      <c r="Q3858" t="inlineStr">
        <is>
          <t>홈서비스 24개월</t>
        </is>
      </c>
      <c r="AB3858" t="inlineStr">
        <is>
          <t>홈서비스</t>
        </is>
      </c>
      <c r="AC3858" t="n">
        <v>70400</v>
      </c>
      <c r="AD3858" t="n">
        <v>8000</v>
      </c>
      <c r="AE3858" t="n">
        <v>62400</v>
      </c>
      <c r="AF3858" t="n">
        <v>64000</v>
      </c>
      <c r="AG3858" t="n">
        <v>7736</v>
      </c>
      <c r="AH3858" t="n">
        <v>56264</v>
      </c>
      <c r="AI3858" t="n">
        <v>0</v>
      </c>
    </row>
    <row r="3859">
      <c r="A3859" t="inlineStr">
        <is>
          <t>4월</t>
        </is>
      </c>
      <c r="B3859" t="inlineStr">
        <is>
          <t>18주차</t>
        </is>
      </c>
      <c r="C3859" t="inlineStr">
        <is>
          <t>EP</t>
        </is>
      </c>
      <c r="D3859" s="28" t="n">
        <v>46141</v>
      </c>
      <c r="E3859" t="inlineStr">
        <is>
          <t>현대EP_fast</t>
        </is>
      </c>
      <c r="F3859" t="inlineStr">
        <is>
          <t>김미숙</t>
        </is>
      </c>
      <c r="G3859" t="inlineStr">
        <is>
          <t>010-5926-2778</t>
        </is>
      </c>
      <c r="H3859" t="inlineStr">
        <is>
          <t>14서8034</t>
        </is>
      </c>
      <c r="I3859" t="n">
        <v>3000000</v>
      </c>
      <c r="J3859" t="n">
        <v>0.07199999999999999</v>
      </c>
      <c r="K3859" t="n">
        <v>1.76</v>
      </c>
      <c r="L3859" t="n">
        <v>0.2</v>
      </c>
      <c r="M3859" t="n">
        <v>1.56</v>
      </c>
      <c r="P3859" t="inlineStr">
        <is>
          <t>김나윤</t>
        </is>
      </c>
      <c r="Q3859" t="inlineStr">
        <is>
          <t>홈서비스 60개월</t>
        </is>
      </c>
      <c r="AB3859" t="inlineStr">
        <is>
          <t>홈서비스</t>
        </is>
      </c>
      <c r="AC3859" t="n">
        <v>52800</v>
      </c>
      <c r="AD3859" t="n">
        <v>6000</v>
      </c>
      <c r="AE3859" t="n">
        <v>46800</v>
      </c>
      <c r="AF3859" t="n">
        <v>48000</v>
      </c>
      <c r="AG3859" t="n">
        <v>5802</v>
      </c>
      <c r="AH3859" t="n">
        <v>42198</v>
      </c>
      <c r="AI3859" t="n">
        <v>0</v>
      </c>
    </row>
    <row r="3860">
      <c r="A3860" t="inlineStr">
        <is>
          <t>4월</t>
        </is>
      </c>
      <c r="B3860" t="inlineStr">
        <is>
          <t>18주차</t>
        </is>
      </c>
      <c r="C3860" t="inlineStr">
        <is>
          <t>EP</t>
        </is>
      </c>
      <c r="D3860" s="28" t="n">
        <v>46141</v>
      </c>
      <c r="E3860" t="inlineStr">
        <is>
          <t>현대EP</t>
        </is>
      </c>
      <c r="F3860" t="inlineStr">
        <is>
          <t>김민성</t>
        </is>
      </c>
      <c r="G3860" t="inlineStr">
        <is>
          <t>010-4423-2253</t>
        </is>
      </c>
      <c r="H3860" t="inlineStr">
        <is>
          <t>342보5228</t>
        </is>
      </c>
      <c r="I3860" t="n">
        <v>20000000</v>
      </c>
      <c r="J3860" t="n">
        <v>0.092</v>
      </c>
      <c r="K3860" t="n">
        <v>1.76</v>
      </c>
      <c r="L3860" t="n">
        <v>0.2</v>
      </c>
      <c r="M3860" t="n">
        <v>1.56</v>
      </c>
      <c r="P3860" t="inlineStr">
        <is>
          <t>김수연</t>
        </is>
      </c>
      <c r="AB3860" t="inlineStr">
        <is>
          <t>홈서비스</t>
        </is>
      </c>
      <c r="AC3860" t="n">
        <v>352000</v>
      </c>
      <c r="AD3860" t="n">
        <v>40000</v>
      </c>
      <c r="AE3860" t="n">
        <v>312000</v>
      </c>
      <c r="AF3860" t="n">
        <v>320000</v>
      </c>
      <c r="AG3860" t="n">
        <v>38680</v>
      </c>
      <c r="AH3860" t="n">
        <v>281320</v>
      </c>
      <c r="AI3860" t="n">
        <v>0</v>
      </c>
    </row>
    <row r="3861">
      <c r="A3861" t="inlineStr">
        <is>
          <t>4월</t>
        </is>
      </c>
      <c r="B3861" t="inlineStr">
        <is>
          <t>18주차</t>
        </is>
      </c>
      <c r="C3861" t="inlineStr">
        <is>
          <t>EP</t>
        </is>
      </c>
      <c r="D3861" s="28" t="n">
        <v>46141</v>
      </c>
      <c r="E3861" t="inlineStr">
        <is>
          <t>현대EP</t>
        </is>
      </c>
      <c r="F3861" t="inlineStr">
        <is>
          <t>김병현</t>
        </is>
      </c>
      <c r="G3861" t="inlineStr">
        <is>
          <t>010-8636-8025</t>
        </is>
      </c>
      <c r="H3861" t="inlineStr">
        <is>
          <t>48라4588</t>
        </is>
      </c>
      <c r="I3861" t="n">
        <v>5000000</v>
      </c>
      <c r="J3861" t="n">
        <v>0.092</v>
      </c>
      <c r="K3861" t="n">
        <v>1.76</v>
      </c>
      <c r="L3861" t="n">
        <v>0.2</v>
      </c>
      <c r="M3861" t="n">
        <v>1.56</v>
      </c>
      <c r="P3861" t="inlineStr">
        <is>
          <t>김나윤</t>
        </is>
      </c>
      <c r="AB3861" t="inlineStr">
        <is>
          <t>홈서비스</t>
        </is>
      </c>
      <c r="AC3861" t="n">
        <v>88000</v>
      </c>
      <c r="AD3861" t="n">
        <v>10000</v>
      </c>
      <c r="AE3861" t="n">
        <v>78000</v>
      </c>
      <c r="AF3861" t="n">
        <v>80000</v>
      </c>
      <c r="AG3861" t="n">
        <v>9670</v>
      </c>
      <c r="AH3861" t="n">
        <v>70330</v>
      </c>
    </row>
    <row r="3862">
      <c r="A3862" t="inlineStr">
        <is>
          <t>4월</t>
        </is>
      </c>
      <c r="B3862" t="inlineStr">
        <is>
          <t>18주차</t>
        </is>
      </c>
      <c r="C3862" t="inlineStr">
        <is>
          <t>EP</t>
        </is>
      </c>
      <c r="D3862" s="28" t="n">
        <v>46141</v>
      </c>
      <c r="E3862" t="inlineStr">
        <is>
          <t>현대EP</t>
        </is>
      </c>
      <c r="F3862" t="inlineStr">
        <is>
          <t>이상우</t>
        </is>
      </c>
      <c r="G3862" t="inlineStr">
        <is>
          <t>010-3890-3590</t>
        </is>
      </c>
      <c r="H3862" t="inlineStr">
        <is>
          <t>177수8177</t>
        </is>
      </c>
      <c r="I3862" t="n">
        <v>57900000</v>
      </c>
      <c r="J3862" t="n">
        <v>0.07099999999999999</v>
      </c>
      <c r="K3862" t="n">
        <v>1.76</v>
      </c>
      <c r="L3862" t="n">
        <v>0.2</v>
      </c>
      <c r="M3862" t="n">
        <v>1.56</v>
      </c>
      <c r="P3862" t="inlineStr">
        <is>
          <t>김나윤</t>
        </is>
      </c>
      <c r="AB3862" t="inlineStr">
        <is>
          <t>홈서비스</t>
        </is>
      </c>
      <c r="AC3862" t="n">
        <v>1019040</v>
      </c>
      <c r="AD3862" t="n">
        <v>115800</v>
      </c>
      <c r="AE3862" t="n">
        <v>903240</v>
      </c>
      <c r="AF3862" t="n">
        <v>926400</v>
      </c>
      <c r="AG3862" t="n">
        <v>111978.6</v>
      </c>
      <c r="AH3862" t="n">
        <v>814421.4</v>
      </c>
      <c r="AI3862" t="n">
        <v>0</v>
      </c>
    </row>
    <row r="3863">
      <c r="A3863" t="inlineStr">
        <is>
          <t>4월</t>
        </is>
      </c>
      <c r="B3863" t="inlineStr">
        <is>
          <t>18주차</t>
        </is>
      </c>
      <c r="C3863" t="inlineStr">
        <is>
          <t>EP</t>
        </is>
      </c>
      <c r="D3863" s="28" t="n">
        <v>46141</v>
      </c>
      <c r="E3863" t="inlineStr">
        <is>
          <t>BNKEP</t>
        </is>
      </c>
      <c r="F3863" t="inlineStr">
        <is>
          <t>강명현</t>
        </is>
      </c>
      <c r="G3863" t="inlineStr">
        <is>
          <t>010-2974-5216</t>
        </is>
      </c>
      <c r="H3863" t="inlineStr">
        <is>
          <t>107가1656</t>
        </is>
      </c>
      <c r="I3863" t="n">
        <v>24900000</v>
      </c>
      <c r="J3863" t="n">
        <v>0.07000000000000001</v>
      </c>
      <c r="K3863" t="n">
        <v>1.65</v>
      </c>
      <c r="L3863" t="n">
        <v>0.07000000000000001</v>
      </c>
      <c r="M3863" t="n">
        <v>1.58</v>
      </c>
      <c r="P3863" t="inlineStr">
        <is>
          <t>황채이</t>
        </is>
      </c>
      <c r="Q3863" t="inlineStr">
        <is>
          <t>홈서비스 60개월</t>
        </is>
      </c>
      <c r="AB3863" t="inlineStr">
        <is>
          <t>홈서비스</t>
        </is>
      </c>
      <c r="AC3863" t="n">
        <v>410850</v>
      </c>
      <c r="AD3863" t="n">
        <v>17430</v>
      </c>
      <c r="AE3863" t="n">
        <v>393420</v>
      </c>
      <c r="AF3863" t="n">
        <v>373500</v>
      </c>
      <c r="AG3863" t="n">
        <v>16854.81</v>
      </c>
      <c r="AH3863" t="n">
        <v>356645.19</v>
      </c>
      <c r="AI3863" t="n">
        <v>0</v>
      </c>
    </row>
    <row r="3864">
      <c r="A3864" t="inlineStr">
        <is>
          <t>4월</t>
        </is>
      </c>
      <c r="B3864" t="inlineStr">
        <is>
          <t>18주차</t>
        </is>
      </c>
      <c r="C3864" t="inlineStr">
        <is>
          <t>HC</t>
        </is>
      </c>
      <c r="D3864" s="28" t="n">
        <v>46141</v>
      </c>
      <c r="E3864" t="inlineStr">
        <is>
          <t>하나캐피탈</t>
        </is>
      </c>
      <c r="F3864" t="inlineStr">
        <is>
          <t>김두협</t>
        </is>
      </c>
      <c r="G3864" t="inlineStr">
        <is>
          <t>010-9726-1345</t>
        </is>
      </c>
      <c r="H3864" t="inlineStr">
        <is>
          <t>178나2902</t>
        </is>
      </c>
      <c r="I3864" t="n">
        <v>27100000</v>
      </c>
      <c r="J3864" t="n">
        <v>0.059</v>
      </c>
      <c r="K3864" t="n">
        <v>2.2</v>
      </c>
      <c r="L3864" t="n">
        <v>0.07000000000000001</v>
      </c>
      <c r="M3864" t="n">
        <v>2.13</v>
      </c>
      <c r="P3864" t="inlineStr">
        <is>
          <t>정세빈</t>
        </is>
      </c>
      <c r="Q3864" t="inlineStr">
        <is>
          <t>홈서비스 60개월</t>
        </is>
      </c>
      <c r="AB3864" t="inlineStr">
        <is>
          <t>홈서비스</t>
        </is>
      </c>
      <c r="AC3864" t="n">
        <v>596200</v>
      </c>
      <c r="AD3864" t="n">
        <v>18970</v>
      </c>
      <c r="AE3864" t="n">
        <v>577230</v>
      </c>
      <c r="AF3864" t="n">
        <v>542000</v>
      </c>
      <c r="AG3864" t="n">
        <v>18343.99</v>
      </c>
      <c r="AH3864" t="n">
        <v>523656.01</v>
      </c>
      <c r="AI3864" t="n">
        <v>0</v>
      </c>
    </row>
    <row r="3865">
      <c r="A3865" t="inlineStr">
        <is>
          <t>4월</t>
        </is>
      </c>
      <c r="B3865" t="inlineStr">
        <is>
          <t>18주차</t>
        </is>
      </c>
      <c r="C3865" t="inlineStr">
        <is>
          <t>IM</t>
        </is>
      </c>
      <c r="D3865" s="28" t="n">
        <v>46141</v>
      </c>
      <c r="E3865" t="inlineStr">
        <is>
          <t>IM캐피탈</t>
        </is>
      </c>
      <c r="F3865" t="inlineStr">
        <is>
          <t>배이미</t>
        </is>
      </c>
      <c r="G3865" t="inlineStr">
        <is>
          <t>010-4028-7645</t>
        </is>
      </c>
      <c r="H3865" t="inlineStr">
        <is>
          <t>336수5675</t>
        </is>
      </c>
      <c r="I3865" t="n">
        <v>14900000</v>
      </c>
      <c r="J3865" t="n">
        <v>0.045</v>
      </c>
      <c r="K3865" t="n">
        <v>1.1</v>
      </c>
      <c r="L3865" t="n">
        <v>0.07000000000000001</v>
      </c>
      <c r="M3865" t="n">
        <v>1.03</v>
      </c>
      <c r="P3865" t="inlineStr">
        <is>
          <t>장진경</t>
        </is>
      </c>
      <c r="Q3865" t="inlineStr">
        <is>
          <t>선상담 / 홈서비스 72개월 / 공동명의</t>
        </is>
      </c>
      <c r="AB3865" t="inlineStr">
        <is>
          <t>홈서비스</t>
        </is>
      </c>
      <c r="AC3865" t="n">
        <v>163900</v>
      </c>
      <c r="AD3865" t="n">
        <v>10430</v>
      </c>
      <c r="AE3865" t="n">
        <v>153470</v>
      </c>
      <c r="AF3865" t="n">
        <v>149000</v>
      </c>
      <c r="AG3865" t="n">
        <v>10085.81</v>
      </c>
      <c r="AH3865" t="n">
        <v>138914.19</v>
      </c>
    </row>
    <row r="3866">
      <c r="A3866" t="inlineStr">
        <is>
          <t>4월</t>
        </is>
      </c>
      <c r="B3866" t="inlineStr">
        <is>
          <t>18주차</t>
        </is>
      </c>
      <c r="C3866" t="inlineStr">
        <is>
          <t>EP</t>
        </is>
      </c>
      <c r="D3866" s="28" t="n">
        <v>46141</v>
      </c>
      <c r="E3866" t="inlineStr">
        <is>
          <t>현대EP</t>
        </is>
      </c>
      <c r="F3866" t="inlineStr">
        <is>
          <t>정현</t>
        </is>
      </c>
      <c r="G3866" t="inlineStr">
        <is>
          <t>010-5372-0118</t>
        </is>
      </c>
      <c r="H3866" t="inlineStr">
        <is>
          <t>159나3063</t>
        </is>
      </c>
      <c r="I3866" t="n">
        <v>25800000</v>
      </c>
      <c r="J3866" t="n">
        <v>0.105</v>
      </c>
      <c r="K3866" t="n">
        <v>1.76</v>
      </c>
      <c r="L3866" t="n">
        <v>0.2</v>
      </c>
      <c r="M3866" t="n">
        <v>1.56</v>
      </c>
      <c r="P3866" t="inlineStr">
        <is>
          <t>김나윤</t>
        </is>
      </c>
      <c r="AB3866" t="inlineStr">
        <is>
          <t>홈서비스</t>
        </is>
      </c>
      <c r="AC3866" t="n">
        <v>454080</v>
      </c>
      <c r="AD3866" t="n">
        <v>51600</v>
      </c>
      <c r="AE3866" t="n">
        <v>402480</v>
      </c>
      <c r="AF3866" t="n">
        <v>412800</v>
      </c>
      <c r="AG3866" t="n">
        <v>49897.2</v>
      </c>
      <c r="AH3866" t="n">
        <v>362902.8</v>
      </c>
      <c r="AI3866" t="n">
        <v>0</v>
      </c>
    </row>
    <row r="3867">
      <c r="A3867" t="inlineStr">
        <is>
          <t>4월</t>
        </is>
      </c>
      <c r="B3867" t="inlineStr">
        <is>
          <t>18주차</t>
        </is>
      </c>
      <c r="C3867" t="inlineStr">
        <is>
          <t>EP</t>
        </is>
      </c>
      <c r="D3867" s="28" t="n">
        <v>46141</v>
      </c>
      <c r="E3867" t="inlineStr">
        <is>
          <t>현대EP</t>
        </is>
      </c>
      <c r="F3867" t="inlineStr">
        <is>
          <t>김태신</t>
        </is>
      </c>
      <c r="G3867" t="inlineStr">
        <is>
          <t>010-9544-7022</t>
        </is>
      </c>
      <c r="H3867" t="inlineStr">
        <is>
          <t>356저9244</t>
        </is>
      </c>
      <c r="I3867" t="n">
        <v>12400000</v>
      </c>
      <c r="J3867" t="n">
        <v>0.105</v>
      </c>
      <c r="K3867" t="n">
        <v>1.76</v>
      </c>
      <c r="L3867" t="n">
        <v>0.2</v>
      </c>
      <c r="M3867" t="n">
        <v>1.56</v>
      </c>
      <c r="P3867" t="inlineStr">
        <is>
          <t>최형주</t>
        </is>
      </c>
      <c r="AB3867" t="inlineStr">
        <is>
          <t>홈서비스</t>
        </is>
      </c>
      <c r="AC3867" t="n">
        <v>218240</v>
      </c>
      <c r="AD3867" t="n">
        <v>24800</v>
      </c>
      <c r="AE3867" t="n">
        <v>193440</v>
      </c>
      <c r="AF3867" t="n">
        <v>198400</v>
      </c>
      <c r="AG3867" t="n">
        <v>23981.6</v>
      </c>
      <c r="AH3867" t="n">
        <v>174418.4</v>
      </c>
      <c r="AI3867" t="n">
        <v>0</v>
      </c>
    </row>
    <row r="3868">
      <c r="A3868" t="inlineStr">
        <is>
          <t>4월</t>
        </is>
      </c>
      <c r="B3868" t="inlineStr">
        <is>
          <t>18주차</t>
        </is>
      </c>
      <c r="C3868" t="inlineStr">
        <is>
          <t>EP</t>
        </is>
      </c>
      <c r="D3868" s="28" t="n">
        <v>46141</v>
      </c>
      <c r="E3868" t="inlineStr">
        <is>
          <t>현대EP</t>
        </is>
      </c>
      <c r="F3868" t="inlineStr">
        <is>
          <t>서동민</t>
        </is>
      </c>
      <c r="G3868" t="inlineStr">
        <is>
          <t>010-7127-9801</t>
        </is>
      </c>
      <c r="H3868" t="inlineStr">
        <is>
          <t>39노0454</t>
        </is>
      </c>
      <c r="I3868" t="n">
        <v>8700000</v>
      </c>
      <c r="J3868" t="n">
        <v>0.092</v>
      </c>
      <c r="K3868" t="n">
        <v>1.76</v>
      </c>
      <c r="L3868" t="n">
        <v>0.2</v>
      </c>
      <c r="M3868" t="n">
        <v>1.56</v>
      </c>
      <c r="P3868" t="inlineStr">
        <is>
          <t>김수연</t>
        </is>
      </c>
      <c r="AB3868" t="inlineStr">
        <is>
          <t>홈서비스</t>
        </is>
      </c>
      <c r="AC3868" t="n">
        <v>153120</v>
      </c>
      <c r="AD3868" t="n">
        <v>17400</v>
      </c>
      <c r="AE3868" t="n">
        <v>135720</v>
      </c>
      <c r="AF3868" t="n">
        <v>139200</v>
      </c>
      <c r="AG3868" t="n">
        <v>16825.8</v>
      </c>
      <c r="AH3868" t="n">
        <v>122374.2</v>
      </c>
      <c r="AI3868" t="n">
        <v>0</v>
      </c>
    </row>
    <row r="3869">
      <c r="A3869" t="inlineStr">
        <is>
          <t>4월</t>
        </is>
      </c>
      <c r="B3869" t="inlineStr">
        <is>
          <t>18주차</t>
        </is>
      </c>
      <c r="C3869" t="inlineStr">
        <is>
          <t>WC</t>
        </is>
      </c>
      <c r="D3869" s="28" t="n">
        <v>46141</v>
      </c>
      <c r="E3869" t="inlineStr">
        <is>
          <t>웰컴저축은행</t>
        </is>
      </c>
      <c r="F3869" t="inlineStr">
        <is>
          <t>김재남</t>
        </is>
      </c>
      <c r="G3869" t="inlineStr">
        <is>
          <t>010-5028-6998</t>
        </is>
      </c>
      <c r="H3869" t="inlineStr">
        <is>
          <t>58고1598</t>
        </is>
      </c>
      <c r="I3869" t="n">
        <v>23500000</v>
      </c>
      <c r="J3869" t="n">
        <v>0.154</v>
      </c>
      <c r="K3869" t="n">
        <v>2.2</v>
      </c>
      <c r="L3869" t="n">
        <v>0.4</v>
      </c>
      <c r="M3869" t="n">
        <v>1.8</v>
      </c>
      <c r="P3869" t="inlineStr">
        <is>
          <t>박보람</t>
        </is>
      </c>
      <c r="Q3869" t="inlineStr">
        <is>
          <t>부결DB</t>
        </is>
      </c>
      <c r="AB3869" t="inlineStr">
        <is>
          <t>엔카</t>
        </is>
      </c>
      <c r="AC3869" t="n">
        <v>517000</v>
      </c>
      <c r="AD3869" t="n">
        <v>94000</v>
      </c>
      <c r="AE3869" t="n">
        <v>423000</v>
      </c>
      <c r="AF3869" t="n">
        <v>470000</v>
      </c>
      <c r="AG3869" t="n">
        <v>90898</v>
      </c>
      <c r="AH3869" t="n">
        <v>379102</v>
      </c>
    </row>
    <row r="3870">
      <c r="A3870" t="inlineStr">
        <is>
          <t>4월</t>
        </is>
      </c>
      <c r="B3870" t="inlineStr">
        <is>
          <t>18주차</t>
        </is>
      </c>
      <c r="C3870" t="inlineStr">
        <is>
          <t>IM</t>
        </is>
      </c>
      <c r="D3870" s="28" t="n">
        <v>46141</v>
      </c>
      <c r="E3870" t="inlineStr">
        <is>
          <t>IM캐피탈</t>
        </is>
      </c>
      <c r="F3870" t="inlineStr">
        <is>
          <t>신정민</t>
        </is>
      </c>
      <c r="G3870" t="inlineStr">
        <is>
          <t>010-3091-1981</t>
        </is>
      </c>
      <c r="H3870" t="inlineStr">
        <is>
          <t xml:space="preserve">107수2336 </t>
        </is>
      </c>
      <c r="I3870" t="n">
        <v>33000000</v>
      </c>
      <c r="J3870" t="n">
        <v>0.059</v>
      </c>
      <c r="K3870" t="n">
        <v>1.1</v>
      </c>
      <c r="L3870" t="n">
        <v>0.07000000000000001</v>
      </c>
      <c r="M3870" t="n">
        <v>1.03</v>
      </c>
      <c r="P3870" t="inlineStr">
        <is>
          <t>최혁</t>
        </is>
      </c>
      <c r="Q3870" t="inlineStr">
        <is>
          <t>홈서비스36개월</t>
        </is>
      </c>
      <c r="AB3870" t="inlineStr">
        <is>
          <t>홈서비스</t>
        </is>
      </c>
      <c r="AC3870" t="n">
        <v>363000</v>
      </c>
      <c r="AD3870" t="n">
        <v>23100</v>
      </c>
      <c r="AE3870" t="n">
        <v>339900</v>
      </c>
      <c r="AF3870" t="n">
        <v>330000</v>
      </c>
      <c r="AG3870" t="n">
        <v>22337.7</v>
      </c>
      <c r="AH3870" t="n">
        <v>307662.3</v>
      </c>
    </row>
    <row r="3871">
      <c r="A3871" t="inlineStr">
        <is>
          <t>4월</t>
        </is>
      </c>
      <c r="B3871" t="inlineStr">
        <is>
          <t>18주차</t>
        </is>
      </c>
      <c r="C3871" t="inlineStr">
        <is>
          <t>EP</t>
        </is>
      </c>
      <c r="D3871" s="28" t="n">
        <v>46141</v>
      </c>
      <c r="E3871" t="inlineStr">
        <is>
          <t>현대EP_fast</t>
        </is>
      </c>
      <c r="F3871" t="inlineStr">
        <is>
          <t>노선희</t>
        </is>
      </c>
      <c r="G3871" t="inlineStr">
        <is>
          <t>010-8542-8500</t>
        </is>
      </c>
      <c r="H3871" t="inlineStr">
        <is>
          <t>293두2953</t>
        </is>
      </c>
      <c r="I3871" t="n">
        <v>13000000</v>
      </c>
      <c r="J3871" t="n">
        <v>0.154</v>
      </c>
      <c r="K3871" t="n">
        <v>1.76</v>
      </c>
      <c r="L3871" t="n">
        <v>0.4</v>
      </c>
      <c r="M3871" t="n">
        <v>1.36</v>
      </c>
      <c r="P3871" t="inlineStr">
        <is>
          <t>장진경</t>
        </is>
      </c>
      <c r="AB3871" t="inlineStr">
        <is>
          <t>엔카</t>
        </is>
      </c>
      <c r="AC3871" t="n">
        <v>228800</v>
      </c>
      <c r="AD3871" t="n">
        <v>52000</v>
      </c>
      <c r="AE3871" t="n">
        <v>176800</v>
      </c>
      <c r="AF3871" t="n">
        <v>208000</v>
      </c>
      <c r="AG3871" t="n">
        <v>50284</v>
      </c>
      <c r="AH3871" t="n">
        <v>157716</v>
      </c>
      <c r="AI3871" t="n">
        <v>0</v>
      </c>
    </row>
    <row r="3872">
      <c r="A3872" t="inlineStr">
        <is>
          <t>4월</t>
        </is>
      </c>
      <c r="B3872" t="inlineStr">
        <is>
          <t>18주차</t>
        </is>
      </c>
      <c r="C3872" t="inlineStr">
        <is>
          <t>EP</t>
        </is>
      </c>
      <c r="D3872" s="28" t="n">
        <v>46141</v>
      </c>
      <c r="E3872" t="inlineStr">
        <is>
          <t>현대EP</t>
        </is>
      </c>
      <c r="F3872" t="inlineStr">
        <is>
          <t>황순철</t>
        </is>
      </c>
      <c r="G3872" t="inlineStr">
        <is>
          <t>010-8966-9440</t>
        </is>
      </c>
      <c r="H3872" t="inlineStr">
        <is>
          <t>62모1986</t>
        </is>
      </c>
      <c r="I3872" t="n">
        <v>21500000</v>
      </c>
      <c r="J3872" t="n">
        <v>0.07099999999999999</v>
      </c>
      <c r="K3872" t="n">
        <v>1.76</v>
      </c>
      <c r="L3872" t="n">
        <v>0.2</v>
      </c>
      <c r="M3872" t="n">
        <v>1.56</v>
      </c>
      <c r="P3872" t="inlineStr">
        <is>
          <t>황채이</t>
        </is>
      </c>
      <c r="AB3872" t="inlineStr">
        <is>
          <t>홈서비스</t>
        </is>
      </c>
      <c r="AC3872" t="n">
        <v>378400</v>
      </c>
      <c r="AD3872" t="n">
        <v>43000</v>
      </c>
      <c r="AE3872" t="n">
        <v>335400</v>
      </c>
      <c r="AF3872" t="n">
        <v>344000</v>
      </c>
      <c r="AG3872" t="n">
        <v>41581</v>
      </c>
      <c r="AH3872" t="n">
        <v>302419</v>
      </c>
      <c r="AI3872" t="n">
        <v>0</v>
      </c>
    </row>
    <row r="3873">
      <c r="A3873" t="inlineStr">
        <is>
          <t>4월</t>
        </is>
      </c>
      <c r="B3873" t="inlineStr">
        <is>
          <t>18주차</t>
        </is>
      </c>
      <c r="C3873" t="inlineStr">
        <is>
          <t>EP</t>
        </is>
      </c>
      <c r="D3873" s="28" t="n">
        <v>46141</v>
      </c>
      <c r="E3873" t="inlineStr">
        <is>
          <t>현대EP</t>
        </is>
      </c>
      <c r="F3873" t="inlineStr">
        <is>
          <t>염동호</t>
        </is>
      </c>
      <c r="G3873" t="inlineStr">
        <is>
          <t>010-4657-8371</t>
        </is>
      </c>
      <c r="H3873" t="inlineStr">
        <is>
          <t>250누1792</t>
        </is>
      </c>
      <c r="I3873" t="n">
        <v>33900000</v>
      </c>
      <c r="J3873" t="n">
        <v>0.075</v>
      </c>
      <c r="K3873" t="n">
        <v>1.76</v>
      </c>
      <c r="L3873" t="n">
        <v>0.2</v>
      </c>
      <c r="M3873" t="n">
        <v>1.56</v>
      </c>
      <c r="P3873" t="inlineStr">
        <is>
          <t>최형주</t>
        </is>
      </c>
      <c r="AB3873" t="inlineStr">
        <is>
          <t>홈서비스</t>
        </is>
      </c>
      <c r="AC3873" t="n">
        <v>596640</v>
      </c>
      <c r="AD3873" t="n">
        <v>67800</v>
      </c>
      <c r="AE3873" t="n">
        <v>528840</v>
      </c>
      <c r="AF3873" t="n">
        <v>542400</v>
      </c>
      <c r="AG3873" t="n">
        <v>65562.60000000001</v>
      </c>
      <c r="AH3873" t="n">
        <v>476837.4</v>
      </c>
      <c r="AI3873" t="n">
        <v>0</v>
      </c>
    </row>
    <row r="3874">
      <c r="A3874" t="inlineStr">
        <is>
          <t>4월</t>
        </is>
      </c>
      <c r="B3874" t="inlineStr">
        <is>
          <t>18주차</t>
        </is>
      </c>
      <c r="C3874" t="inlineStr">
        <is>
          <t>IM</t>
        </is>
      </c>
      <c r="D3874" s="28" t="n">
        <v>46142</v>
      </c>
      <c r="E3874" t="inlineStr">
        <is>
          <t>IM캐피탈</t>
        </is>
      </c>
      <c r="F3874" t="inlineStr">
        <is>
          <t>전용호</t>
        </is>
      </c>
      <c r="G3874" t="inlineStr">
        <is>
          <t>010-3288-4554</t>
        </is>
      </c>
      <c r="H3874" t="inlineStr">
        <is>
          <t>135조2058</t>
        </is>
      </c>
      <c r="I3874" t="n">
        <v>32400000</v>
      </c>
      <c r="J3874" t="n">
        <v>0.045</v>
      </c>
      <c r="K3874" t="n">
        <v>1.1</v>
      </c>
      <c r="L3874" t="n">
        <v>0.07000000000000001</v>
      </c>
      <c r="M3874" t="n">
        <v>1.03</v>
      </c>
      <c r="P3874" t="inlineStr">
        <is>
          <t>장진경</t>
        </is>
      </c>
      <c r="Q3874" t="inlineStr">
        <is>
          <t>선상담 / 홈서비스 60개월 / 부대비용 추가진행</t>
        </is>
      </c>
      <c r="AB3874" t="inlineStr">
        <is>
          <t>홈서비스</t>
        </is>
      </c>
      <c r="AC3874" t="n">
        <v>356400</v>
      </c>
      <c r="AD3874" t="n">
        <v>22680</v>
      </c>
      <c r="AE3874" t="n">
        <v>333720</v>
      </c>
      <c r="AF3874" t="n">
        <v>324000</v>
      </c>
      <c r="AG3874" t="n">
        <v>21931.56</v>
      </c>
      <c r="AH3874" t="n">
        <v>302068.44</v>
      </c>
      <c r="AI3874" t="n">
        <v>0</v>
      </c>
    </row>
    <row r="3875">
      <c r="A3875" t="inlineStr">
        <is>
          <t>4월</t>
        </is>
      </c>
      <c r="B3875" t="inlineStr">
        <is>
          <t>18주차</t>
        </is>
      </c>
      <c r="C3875" t="inlineStr">
        <is>
          <t>EP</t>
        </is>
      </c>
      <c r="D3875" s="28" t="n">
        <v>46141</v>
      </c>
      <c r="E3875" t="inlineStr">
        <is>
          <t>제이비EP</t>
        </is>
      </c>
      <c r="F3875" t="inlineStr">
        <is>
          <t>송민주</t>
        </is>
      </c>
      <c r="G3875" t="inlineStr">
        <is>
          <t>010-2269-2174</t>
        </is>
      </c>
      <c r="H3875" t="inlineStr">
        <is>
          <t>124러6104</t>
        </is>
      </c>
      <c r="I3875" t="n">
        <v>23800000</v>
      </c>
      <c r="J3875" t="n">
        <v>0.066</v>
      </c>
      <c r="K3875" t="n">
        <v>1.65</v>
      </c>
      <c r="L3875" t="n">
        <v>0.4</v>
      </c>
      <c r="M3875" t="n">
        <v>1.25</v>
      </c>
      <c r="P3875" t="inlineStr">
        <is>
          <t>박소현</t>
        </is>
      </c>
      <c r="Q3875" t="inlineStr">
        <is>
          <t>전산 : 오한규 /법인할부 / (주)다원식품</t>
        </is>
      </c>
      <c r="AB3875" t="inlineStr">
        <is>
          <t>엔카</t>
        </is>
      </c>
      <c r="AC3875" t="n">
        <v>392700</v>
      </c>
      <c r="AD3875" t="n">
        <v>95200</v>
      </c>
      <c r="AE3875" t="n">
        <v>297500</v>
      </c>
      <c r="AF3875" t="n">
        <v>357000</v>
      </c>
      <c r="AG3875" t="n">
        <v>92058.39999999999</v>
      </c>
      <c r="AH3875" t="n">
        <v>264941.6</v>
      </c>
      <c r="AI3875" t="n">
        <v>0</v>
      </c>
    </row>
    <row r="3876">
      <c r="A3876" t="inlineStr">
        <is>
          <t>4월</t>
        </is>
      </c>
      <c r="B3876" t="inlineStr">
        <is>
          <t>18주차</t>
        </is>
      </c>
      <c r="C3876" t="inlineStr">
        <is>
          <t>IM</t>
        </is>
      </c>
      <c r="D3876" s="28" t="n">
        <v>46139</v>
      </c>
      <c r="E3876" t="inlineStr">
        <is>
          <t>IM캐피탈</t>
        </is>
      </c>
      <c r="F3876" t="inlineStr">
        <is>
          <t>김영지</t>
        </is>
      </c>
      <c r="G3876" t="inlineStr">
        <is>
          <t>010-9139-0326</t>
        </is>
      </c>
      <c r="H3876" t="inlineStr">
        <is>
          <t>307오2976</t>
        </is>
      </c>
      <c r="I3876" t="n">
        <v>24000000</v>
      </c>
      <c r="J3876" t="n">
        <v>0.049</v>
      </c>
      <c r="K3876" t="n">
        <v>1.1</v>
      </c>
      <c r="L3876" t="n">
        <v>0.07000000000000001</v>
      </c>
      <c r="M3876" t="n">
        <v>1.03</v>
      </c>
      <c r="P3876" t="inlineStr">
        <is>
          <t>구성완</t>
        </is>
      </c>
      <c r="Q3876" t="inlineStr">
        <is>
          <t>안심거래존건</t>
        </is>
      </c>
      <c r="AB3876" t="inlineStr">
        <is>
          <t>믿고</t>
        </is>
      </c>
      <c r="AC3876" t="n">
        <v>264000</v>
      </c>
      <c r="AD3876" t="n">
        <v>16800</v>
      </c>
      <c r="AE3876" t="n">
        <v>247200</v>
      </c>
      <c r="AF3876" t="n">
        <v>240000</v>
      </c>
      <c r="AG3876" t="n">
        <v>16245.6</v>
      </c>
      <c r="AH3876" t="n">
        <v>223754.4</v>
      </c>
      <c r="AI3876" t="n">
        <v>0</v>
      </c>
    </row>
    <row r="3877">
      <c r="A3877" t="inlineStr">
        <is>
          <t>4월</t>
        </is>
      </c>
      <c r="B3877" t="inlineStr">
        <is>
          <t>18주차</t>
        </is>
      </c>
      <c r="C3877" t="inlineStr">
        <is>
          <t>EP</t>
        </is>
      </c>
      <c r="D3877" s="28" t="n">
        <v>46142</v>
      </c>
      <c r="E3877" t="inlineStr">
        <is>
          <t>현대EP_fast</t>
        </is>
      </c>
      <c r="F3877" t="inlineStr">
        <is>
          <t>정예원</t>
        </is>
      </c>
      <c r="G3877" t="inlineStr">
        <is>
          <t>010-4032-7060</t>
        </is>
      </c>
      <c r="H3877" t="inlineStr">
        <is>
          <t>05두1977</t>
        </is>
      </c>
      <c r="I3877" t="n">
        <v>26400000</v>
      </c>
      <c r="J3877" t="n">
        <v>0.062</v>
      </c>
      <c r="K3877" t="n">
        <v>1.76</v>
      </c>
      <c r="L3877" t="n">
        <v>0.2</v>
      </c>
      <c r="M3877" t="n">
        <v>1.56</v>
      </c>
      <c r="P3877" t="inlineStr">
        <is>
          <t>최형주</t>
        </is>
      </c>
      <c r="Q3877" t="inlineStr">
        <is>
          <t>홈서비스 48개월 / 공동명의 진행</t>
        </is>
      </c>
      <c r="AB3877" t="inlineStr">
        <is>
          <t>홈서비스</t>
        </is>
      </c>
      <c r="AC3877" t="n">
        <v>464640</v>
      </c>
      <c r="AD3877" t="n">
        <v>52800</v>
      </c>
      <c r="AE3877" t="n">
        <v>411840</v>
      </c>
      <c r="AF3877" t="n">
        <v>422400</v>
      </c>
      <c r="AG3877" t="n">
        <v>51057.6</v>
      </c>
      <c r="AH3877" t="n">
        <v>371342.4</v>
      </c>
      <c r="AI3877" t="n">
        <v>0</v>
      </c>
    </row>
    <row r="3878">
      <c r="A3878" t="inlineStr">
        <is>
          <t>4월</t>
        </is>
      </c>
      <c r="B3878" t="inlineStr">
        <is>
          <t>18주차</t>
        </is>
      </c>
      <c r="C3878" t="inlineStr">
        <is>
          <t>EP</t>
        </is>
      </c>
      <c r="D3878" s="28" t="n">
        <v>46142</v>
      </c>
      <c r="E3878" t="inlineStr">
        <is>
          <t>현대EP_fast</t>
        </is>
      </c>
      <c r="F3878" t="inlineStr">
        <is>
          <t>윤현재</t>
        </is>
      </c>
      <c r="G3878" t="inlineStr">
        <is>
          <t>010-9263-7153</t>
        </is>
      </c>
      <c r="H3878" t="inlineStr">
        <is>
          <t>15어8885</t>
        </is>
      </c>
      <c r="I3878" t="n">
        <v>42000000</v>
      </c>
      <c r="J3878" t="n">
        <v>0.07099999999999999</v>
      </c>
      <c r="K3878" t="n">
        <v>1.76</v>
      </c>
      <c r="L3878" t="n">
        <v>0.2</v>
      </c>
      <c r="M3878" t="n">
        <v>1.56</v>
      </c>
      <c r="P3878" t="inlineStr">
        <is>
          <t>최형주</t>
        </is>
      </c>
      <c r="Q3878" t="inlineStr">
        <is>
          <t>홈서비스 60개월</t>
        </is>
      </c>
      <c r="AB3878" t="inlineStr">
        <is>
          <t>홈서비스</t>
        </is>
      </c>
      <c r="AC3878" t="n">
        <v>739200</v>
      </c>
      <c r="AD3878" t="n">
        <v>84000</v>
      </c>
      <c r="AE3878" t="n">
        <v>655200</v>
      </c>
      <c r="AF3878" t="n">
        <v>672000</v>
      </c>
      <c r="AG3878" t="n">
        <v>81228</v>
      </c>
      <c r="AH3878" t="n">
        <v>590772</v>
      </c>
      <c r="AI3878" t="n">
        <v>0</v>
      </c>
    </row>
    <row r="3879">
      <c r="A3879" t="inlineStr">
        <is>
          <t>4월</t>
        </is>
      </c>
      <c r="B3879" t="inlineStr">
        <is>
          <t>18주차</t>
        </is>
      </c>
      <c r="C3879" t="inlineStr">
        <is>
          <t>IM</t>
        </is>
      </c>
      <c r="D3879" s="28" t="n">
        <v>46142</v>
      </c>
      <c r="E3879" t="inlineStr">
        <is>
          <t>IM캐피탈</t>
        </is>
      </c>
      <c r="F3879" t="inlineStr">
        <is>
          <t>손진섭</t>
        </is>
      </c>
      <c r="G3879" t="inlineStr">
        <is>
          <t>010-8530-8182</t>
        </is>
      </c>
      <c r="H3879" t="inlineStr">
        <is>
          <t>309도6381</t>
        </is>
      </c>
      <c r="I3879" t="n">
        <v>5800000</v>
      </c>
      <c r="J3879" t="n">
        <v>0.049</v>
      </c>
      <c r="K3879" t="n">
        <v>1.1</v>
      </c>
      <c r="L3879" t="n">
        <v>0.07000000000000001</v>
      </c>
      <c r="M3879" t="n">
        <v>1.03</v>
      </c>
      <c r="P3879" t="inlineStr">
        <is>
          <t>황채이</t>
        </is>
      </c>
      <c r="Q3879" t="inlineStr">
        <is>
          <t>홈서비스 48개월</t>
        </is>
      </c>
      <c r="AB3879" t="inlineStr">
        <is>
          <t>홈서비스</t>
        </is>
      </c>
      <c r="AC3879" t="n">
        <v>63800</v>
      </c>
      <c r="AD3879" t="n">
        <v>4060</v>
      </c>
      <c r="AE3879" t="n">
        <v>59740</v>
      </c>
      <c r="AF3879" t="n">
        <v>58000</v>
      </c>
      <c r="AG3879" t="n">
        <v>3926.02</v>
      </c>
      <c r="AH3879" t="n">
        <v>54073.98</v>
      </c>
      <c r="AI3879" t="n">
        <v>0</v>
      </c>
    </row>
    <row r="3880">
      <c r="A3880" t="inlineStr">
        <is>
          <t>4월</t>
        </is>
      </c>
      <c r="B3880" t="inlineStr">
        <is>
          <t>18주차</t>
        </is>
      </c>
      <c r="C3880" t="inlineStr">
        <is>
          <t>IM</t>
        </is>
      </c>
      <c r="D3880" s="28" t="n">
        <v>46142</v>
      </c>
      <c r="E3880" t="inlineStr">
        <is>
          <t>IM캐피탈</t>
        </is>
      </c>
      <c r="F3880" t="inlineStr">
        <is>
          <t>정병양</t>
        </is>
      </c>
      <c r="G3880" t="inlineStr">
        <is>
          <t>010-6818-4718</t>
        </is>
      </c>
      <c r="H3880" t="inlineStr">
        <is>
          <t>370거9542</t>
        </is>
      </c>
      <c r="I3880" t="n">
        <v>12700000</v>
      </c>
      <c r="J3880" t="n">
        <v>0.049</v>
      </c>
      <c r="K3880" t="n">
        <v>1.1</v>
      </c>
      <c r="L3880" t="n">
        <v>0.07000000000000001</v>
      </c>
      <c r="M3880" t="n">
        <v>1.03</v>
      </c>
      <c r="P3880" t="inlineStr">
        <is>
          <t>황채이</t>
        </is>
      </c>
      <c r="Q3880" t="inlineStr">
        <is>
          <t>홈서비스 48개월</t>
        </is>
      </c>
      <c r="AB3880" t="inlineStr">
        <is>
          <t>홈서비스</t>
        </is>
      </c>
      <c r="AC3880" t="n">
        <v>139700</v>
      </c>
      <c r="AD3880" t="n">
        <v>8890</v>
      </c>
      <c r="AE3880" t="n">
        <v>130810</v>
      </c>
      <c r="AF3880" t="n">
        <v>127000</v>
      </c>
      <c r="AG3880" t="n">
        <v>8596.629999999999</v>
      </c>
      <c r="AH3880" t="n">
        <v>118403.37</v>
      </c>
    </row>
    <row r="3881">
      <c r="A3881" t="inlineStr">
        <is>
          <t>4월</t>
        </is>
      </c>
      <c r="B3881" t="inlineStr">
        <is>
          <t>18주차</t>
        </is>
      </c>
      <c r="C3881" t="inlineStr">
        <is>
          <t>WC</t>
        </is>
      </c>
      <c r="D3881" s="28" t="n">
        <v>46141</v>
      </c>
      <c r="E3881" t="inlineStr">
        <is>
          <t>웰컴저축은행</t>
        </is>
      </c>
      <c r="F3881" t="inlineStr">
        <is>
          <t>박경은</t>
        </is>
      </c>
      <c r="G3881" t="inlineStr">
        <is>
          <t>010-2733-5627</t>
        </is>
      </c>
      <c r="H3881" t="inlineStr">
        <is>
          <t>17어5752</t>
        </is>
      </c>
      <c r="I3881" t="n">
        <v>7700000</v>
      </c>
      <c r="J3881" t="n">
        <v>0.166</v>
      </c>
      <c r="K3881" t="n">
        <v>2.2</v>
      </c>
      <c r="L3881" t="n">
        <v>0.07000000000000001</v>
      </c>
      <c r="M3881" t="n">
        <v>2.13</v>
      </c>
      <c r="P3881" t="inlineStr">
        <is>
          <t>정세빈</t>
        </is>
      </c>
      <c r="Q3881" t="inlineStr">
        <is>
          <t>홈서비스 36개월</t>
        </is>
      </c>
      <c r="AB3881" t="inlineStr">
        <is>
          <t>홈서비스</t>
        </is>
      </c>
      <c r="AC3881" t="n">
        <v>169400</v>
      </c>
      <c r="AD3881" t="n">
        <v>5390</v>
      </c>
      <c r="AE3881" t="n">
        <v>164010</v>
      </c>
      <c r="AF3881" t="n">
        <v>154000</v>
      </c>
      <c r="AG3881" t="n">
        <v>5212.13</v>
      </c>
      <c r="AH3881" t="n">
        <v>148787.87</v>
      </c>
    </row>
    <row r="3882">
      <c r="A3882" t="inlineStr">
        <is>
          <t>4월</t>
        </is>
      </c>
      <c r="B3882" t="inlineStr">
        <is>
          <t>18주차</t>
        </is>
      </c>
      <c r="C3882" t="inlineStr">
        <is>
          <t>IM</t>
        </is>
      </c>
      <c r="D3882" s="28" t="n">
        <v>46142</v>
      </c>
      <c r="E3882" t="inlineStr">
        <is>
          <t>IM캐피탈</t>
        </is>
      </c>
      <c r="F3882" t="inlineStr">
        <is>
          <t>강원준</t>
        </is>
      </c>
      <c r="G3882" t="inlineStr">
        <is>
          <t>010-3929-8125</t>
        </is>
      </c>
      <c r="H3882" t="inlineStr">
        <is>
          <t>126버6337</t>
        </is>
      </c>
      <c r="I3882" t="n">
        <v>8800000</v>
      </c>
      <c r="J3882" t="n">
        <v>0.059</v>
      </c>
      <c r="K3882" t="n">
        <v>1.1</v>
      </c>
      <c r="L3882" t="n">
        <v>0.07000000000000001</v>
      </c>
      <c r="M3882" t="n">
        <v>1.03</v>
      </c>
      <c r="P3882" t="inlineStr">
        <is>
          <t>황채이</t>
        </is>
      </c>
      <c r="Q3882" t="inlineStr">
        <is>
          <t>홈서비스 36개월</t>
        </is>
      </c>
      <c r="AB3882" t="inlineStr">
        <is>
          <t>홈서비스</t>
        </is>
      </c>
      <c r="AC3882" t="n">
        <v>96800</v>
      </c>
      <c r="AD3882" t="n">
        <v>6160</v>
      </c>
      <c r="AE3882" t="n">
        <v>90640</v>
      </c>
      <c r="AF3882" t="n">
        <v>88000</v>
      </c>
      <c r="AG3882" t="n">
        <v>5956.72</v>
      </c>
      <c r="AH3882" t="n">
        <v>82043.28</v>
      </c>
      <c r="AI3882" t="n">
        <v>0</v>
      </c>
    </row>
    <row r="3883">
      <c r="A3883" t="inlineStr">
        <is>
          <t>4월</t>
        </is>
      </c>
      <c r="B3883" t="inlineStr">
        <is>
          <t>18주차</t>
        </is>
      </c>
      <c r="C3883" t="inlineStr">
        <is>
          <t>HC</t>
        </is>
      </c>
      <c r="D3883" s="28" t="n">
        <v>46142</v>
      </c>
      <c r="E3883" t="inlineStr">
        <is>
          <t>하나캐피탈</t>
        </is>
      </c>
      <c r="F3883" t="inlineStr">
        <is>
          <t>이수철</t>
        </is>
      </c>
      <c r="G3883" t="inlineStr">
        <is>
          <t>010-9970-1541</t>
        </is>
      </c>
      <c r="H3883" t="inlineStr">
        <is>
          <t>16고5338</t>
        </is>
      </c>
      <c r="I3883" t="n">
        <v>14300000</v>
      </c>
      <c r="J3883" t="n">
        <v>0.059</v>
      </c>
      <c r="K3883" t="n">
        <v>2.2</v>
      </c>
      <c r="L3883" t="n">
        <v>0.07000000000000001</v>
      </c>
      <c r="M3883" t="n">
        <v>2.13</v>
      </c>
      <c r="P3883" t="inlineStr">
        <is>
          <t>정세빈</t>
        </is>
      </c>
      <c r="Q3883" t="inlineStr">
        <is>
          <t>홈서비스 60개월</t>
        </is>
      </c>
      <c r="AB3883" t="inlineStr">
        <is>
          <t>홈서비스</t>
        </is>
      </c>
      <c r="AC3883" t="n">
        <v>314600</v>
      </c>
      <c r="AD3883" t="n">
        <v>10010</v>
      </c>
      <c r="AE3883" t="n">
        <v>304590</v>
      </c>
      <c r="AF3883" t="n">
        <v>286000</v>
      </c>
      <c r="AG3883" t="n">
        <v>9679.67</v>
      </c>
      <c r="AH3883" t="n">
        <v>276320.33</v>
      </c>
      <c r="AI3883" t="n">
        <v>0</v>
      </c>
    </row>
    <row r="3884">
      <c r="A3884" t="inlineStr">
        <is>
          <t>4월</t>
        </is>
      </c>
      <c r="B3884" t="inlineStr">
        <is>
          <t>18주차</t>
        </is>
      </c>
      <c r="C3884" t="inlineStr">
        <is>
          <t>EP</t>
        </is>
      </c>
      <c r="D3884" s="28" t="n">
        <v>46141</v>
      </c>
      <c r="E3884" t="inlineStr">
        <is>
          <t>현대EP</t>
        </is>
      </c>
      <c r="F3884" t="inlineStr">
        <is>
          <t>이호영</t>
        </is>
      </c>
      <c r="G3884" t="inlineStr">
        <is>
          <t>010-4952-0830</t>
        </is>
      </c>
      <c r="H3884" t="inlineStr">
        <is>
          <t>125조4325</t>
        </is>
      </c>
      <c r="I3884" t="n">
        <v>22800000</v>
      </c>
      <c r="J3884" t="n">
        <v>0.08599999999999999</v>
      </c>
      <c r="K3884" t="n">
        <v>1.76</v>
      </c>
      <c r="L3884" t="n">
        <v>0.2</v>
      </c>
      <c r="M3884" t="n">
        <v>1.56</v>
      </c>
      <c r="P3884" t="inlineStr">
        <is>
          <t>김수연</t>
        </is>
      </c>
      <c r="AB3884" t="inlineStr">
        <is>
          <t>홈서비스</t>
        </is>
      </c>
      <c r="AC3884" t="n">
        <v>401280</v>
      </c>
      <c r="AD3884" t="n">
        <v>45600</v>
      </c>
      <c r="AE3884" t="n">
        <v>355680</v>
      </c>
      <c r="AF3884" t="n">
        <v>364800</v>
      </c>
      <c r="AG3884" t="n">
        <v>44095.2</v>
      </c>
      <c r="AH3884" t="n">
        <v>320704.8</v>
      </c>
      <c r="AI3884" t="n">
        <v>0</v>
      </c>
    </row>
    <row r="3885">
      <c r="A3885" t="inlineStr">
        <is>
          <t>4월</t>
        </is>
      </c>
      <c r="B3885" t="inlineStr">
        <is>
          <t>18주차</t>
        </is>
      </c>
      <c r="C3885" t="inlineStr">
        <is>
          <t>EP</t>
        </is>
      </c>
      <c r="D3885" s="28" t="n">
        <v>46141</v>
      </c>
      <c r="E3885" t="inlineStr">
        <is>
          <t>현대EP_fast</t>
        </is>
      </c>
      <c r="F3885" t="inlineStr">
        <is>
          <t>배성일</t>
        </is>
      </c>
      <c r="G3885" t="inlineStr">
        <is>
          <t>010-5678-5996</t>
        </is>
      </c>
      <c r="H3885" t="inlineStr">
        <is>
          <t>62더0994</t>
        </is>
      </c>
      <c r="I3885" t="n">
        <v>6600000</v>
      </c>
      <c r="J3885" t="n">
        <v>0.102</v>
      </c>
      <c r="K3885" t="n">
        <v>1.76</v>
      </c>
      <c r="L3885" t="n">
        <v>0.4</v>
      </c>
      <c r="M3885" t="n">
        <v>1.36</v>
      </c>
      <c r="P3885" t="inlineStr">
        <is>
          <t>임대경</t>
        </is>
      </c>
      <c r="AB3885" t="inlineStr">
        <is>
          <t>엔카</t>
        </is>
      </c>
      <c r="AC3885" t="n">
        <v>116160</v>
      </c>
      <c r="AD3885" t="n">
        <v>26400</v>
      </c>
      <c r="AE3885" t="n">
        <v>89760</v>
      </c>
      <c r="AF3885" t="n">
        <v>105600</v>
      </c>
      <c r="AG3885" t="n">
        <v>25528.8</v>
      </c>
      <c r="AH3885" t="n">
        <v>80071.2</v>
      </c>
      <c r="AI3885" t="n">
        <v>0</v>
      </c>
    </row>
    <row r="3886">
      <c r="A3886" t="inlineStr">
        <is>
          <t>4월</t>
        </is>
      </c>
      <c r="B3886" t="inlineStr">
        <is>
          <t>18주차</t>
        </is>
      </c>
      <c r="C3886" t="inlineStr">
        <is>
          <t>EP</t>
        </is>
      </c>
      <c r="D3886" s="28" t="n">
        <v>46141</v>
      </c>
      <c r="E3886" t="inlineStr">
        <is>
          <t>현대EP</t>
        </is>
      </c>
      <c r="F3886" t="inlineStr">
        <is>
          <t>한상완</t>
        </is>
      </c>
      <c r="G3886" t="inlineStr">
        <is>
          <t>010-6408-8890</t>
        </is>
      </c>
      <c r="H3886" t="inlineStr">
        <is>
          <t>249루5816</t>
        </is>
      </c>
      <c r="I3886" t="n">
        <v>21900000</v>
      </c>
      <c r="J3886" t="n">
        <v>0.08799999999999999</v>
      </c>
      <c r="K3886" t="n">
        <v>1.76</v>
      </c>
      <c r="L3886" t="n">
        <v>0.2</v>
      </c>
      <c r="M3886" t="n">
        <v>1.56</v>
      </c>
      <c r="P3886" t="inlineStr">
        <is>
          <t>김나윤</t>
        </is>
      </c>
      <c r="AB3886" t="inlineStr">
        <is>
          <t>홈서비스</t>
        </is>
      </c>
      <c r="AC3886" t="n">
        <v>385440</v>
      </c>
      <c r="AD3886" t="n">
        <v>43800</v>
      </c>
      <c r="AE3886" t="n">
        <v>341640</v>
      </c>
      <c r="AF3886" t="n">
        <v>350400</v>
      </c>
      <c r="AG3886" t="n">
        <v>42354.6</v>
      </c>
      <c r="AH3886" t="n">
        <v>308045.4</v>
      </c>
      <c r="AI3886" t="n">
        <v>0</v>
      </c>
    </row>
    <row r="3887">
      <c r="A3887" t="inlineStr">
        <is>
          <t>4월</t>
        </is>
      </c>
      <c r="B3887" t="inlineStr">
        <is>
          <t>18주차</t>
        </is>
      </c>
      <c r="C3887" t="inlineStr">
        <is>
          <t>EP</t>
        </is>
      </c>
      <c r="D3887" s="28" t="n">
        <v>46142</v>
      </c>
      <c r="E3887" t="inlineStr">
        <is>
          <t>현대EP_fast</t>
        </is>
      </c>
      <c r="F3887" t="inlineStr">
        <is>
          <t>이현민</t>
        </is>
      </c>
      <c r="G3887" t="inlineStr">
        <is>
          <t>010-4370-0626</t>
        </is>
      </c>
      <c r="H3887" t="inlineStr">
        <is>
          <t>376러1977</t>
        </is>
      </c>
      <c r="I3887" t="n">
        <v>13700000</v>
      </c>
      <c r="J3887" t="n">
        <v>0.092</v>
      </c>
      <c r="K3887" t="n">
        <v>1.76</v>
      </c>
      <c r="L3887" t="n">
        <v>0.2</v>
      </c>
      <c r="M3887" t="n">
        <v>1.56</v>
      </c>
      <c r="P3887" t="inlineStr">
        <is>
          <t>정세빈</t>
        </is>
      </c>
      <c r="Q3887" t="inlineStr">
        <is>
          <t>홈서비스 60개월</t>
        </is>
      </c>
      <c r="AB3887" t="inlineStr">
        <is>
          <t>홈서비스</t>
        </is>
      </c>
      <c r="AC3887" t="n">
        <v>241120</v>
      </c>
      <c r="AD3887" t="n">
        <v>27400</v>
      </c>
      <c r="AE3887" t="n">
        <v>213720</v>
      </c>
      <c r="AF3887" t="n">
        <v>219200</v>
      </c>
      <c r="AG3887" t="n">
        <v>26495.8</v>
      </c>
      <c r="AH3887" t="n">
        <v>192704.2</v>
      </c>
      <c r="AI3887" t="n">
        <v>0</v>
      </c>
    </row>
    <row r="3888">
      <c r="A3888" t="inlineStr">
        <is>
          <t>4월</t>
        </is>
      </c>
      <c r="B3888" t="inlineStr">
        <is>
          <t>18주차</t>
        </is>
      </c>
      <c r="C3888" t="inlineStr">
        <is>
          <t>EP</t>
        </is>
      </c>
      <c r="D3888" s="28" t="n">
        <v>46142</v>
      </c>
      <c r="E3888" t="inlineStr">
        <is>
          <t>현대EP_fast</t>
        </is>
      </c>
      <c r="F3888" t="inlineStr">
        <is>
          <t>원율식</t>
        </is>
      </c>
      <c r="G3888" t="inlineStr">
        <is>
          <t>010-9703-9679</t>
        </is>
      </c>
      <c r="H3888" t="inlineStr">
        <is>
          <t>234고6236</t>
        </is>
      </c>
      <c r="I3888" t="n">
        <v>23100000</v>
      </c>
      <c r="J3888" t="n">
        <v>0.105</v>
      </c>
      <c r="K3888" t="n">
        <v>1.76</v>
      </c>
      <c r="L3888" t="n">
        <v>0.2</v>
      </c>
      <c r="M3888" t="n">
        <v>1.56</v>
      </c>
      <c r="P3888" t="inlineStr">
        <is>
          <t>최형주</t>
        </is>
      </c>
      <c r="Q3888" t="inlineStr">
        <is>
          <t>홈서비스 60개월</t>
        </is>
      </c>
      <c r="AB3888" t="inlineStr">
        <is>
          <t>홈서비스</t>
        </is>
      </c>
      <c r="AC3888" t="n">
        <v>406560</v>
      </c>
      <c r="AD3888" t="n">
        <v>46200</v>
      </c>
      <c r="AE3888" t="n">
        <v>360360</v>
      </c>
      <c r="AF3888" t="n">
        <v>369600</v>
      </c>
      <c r="AG3888" t="n">
        <v>44675.4</v>
      </c>
      <c r="AH3888" t="n">
        <v>324924.6</v>
      </c>
      <c r="AI3888" t="n">
        <v>0</v>
      </c>
    </row>
    <row r="3889">
      <c r="A3889" t="inlineStr">
        <is>
          <t>4월</t>
        </is>
      </c>
      <c r="B3889" t="inlineStr">
        <is>
          <t>18주차</t>
        </is>
      </c>
      <c r="C3889" t="inlineStr">
        <is>
          <t>IM</t>
        </is>
      </c>
      <c r="D3889" s="28" t="n">
        <v>46141</v>
      </c>
      <c r="E3889" t="inlineStr">
        <is>
          <t>IM캐피탈</t>
        </is>
      </c>
      <c r="F3889" t="inlineStr">
        <is>
          <t>박영웅</t>
        </is>
      </c>
      <c r="G3889" t="inlineStr">
        <is>
          <t>010-7197-2815</t>
        </is>
      </c>
      <c r="H3889" t="inlineStr">
        <is>
          <t>392버6923</t>
        </is>
      </c>
      <c r="I3889" t="n">
        <v>6000000</v>
      </c>
      <c r="J3889" t="n">
        <v>0.049</v>
      </c>
      <c r="K3889" t="n">
        <v>1.1</v>
      </c>
      <c r="L3889" t="n">
        <v>0.4</v>
      </c>
      <c r="M3889" t="n">
        <v>0.7</v>
      </c>
      <c r="P3889" t="inlineStr">
        <is>
          <t>박소현</t>
        </is>
      </c>
      <c r="AB3889" t="inlineStr">
        <is>
          <t>엔카</t>
        </is>
      </c>
      <c r="AC3889" t="n">
        <v>66000</v>
      </c>
      <c r="AD3889" t="n">
        <v>24000</v>
      </c>
      <c r="AE3889" t="n">
        <v>42000</v>
      </c>
      <c r="AF3889" t="n">
        <v>60000</v>
      </c>
      <c r="AG3889" t="n">
        <v>23208</v>
      </c>
      <c r="AH3889" t="n">
        <v>36792</v>
      </c>
      <c r="AI3889" t="n">
        <v>0</v>
      </c>
    </row>
    <row r="3890">
      <c r="A3890" t="inlineStr">
        <is>
          <t>4월</t>
        </is>
      </c>
      <c r="B3890" t="inlineStr">
        <is>
          <t>18주차</t>
        </is>
      </c>
      <c r="C3890" t="inlineStr">
        <is>
          <t>EP</t>
        </is>
      </c>
      <c r="D3890" s="28" t="n">
        <v>46142</v>
      </c>
      <c r="E3890" t="inlineStr">
        <is>
          <t>현대EP_fast</t>
        </is>
      </c>
      <c r="F3890" t="inlineStr">
        <is>
          <t>김재승</t>
        </is>
      </c>
      <c r="G3890" t="inlineStr">
        <is>
          <t>010-8873-3484</t>
        </is>
      </c>
      <c r="H3890" t="inlineStr">
        <is>
          <t>222우1275</t>
        </is>
      </c>
      <c r="I3890" t="n">
        <v>26900000</v>
      </c>
      <c r="J3890" t="n">
        <v>0.08500000000000001</v>
      </c>
      <c r="K3890" t="n">
        <v>1.76</v>
      </c>
      <c r="L3890" t="n">
        <v>0.2</v>
      </c>
      <c r="M3890" t="n">
        <v>1.56</v>
      </c>
      <c r="P3890" t="inlineStr">
        <is>
          <t>김나윤</t>
        </is>
      </c>
      <c r="Q3890" t="inlineStr">
        <is>
          <t>홈서비스 48개월</t>
        </is>
      </c>
      <c r="AB3890" t="inlineStr">
        <is>
          <t>홈서비스</t>
        </is>
      </c>
      <c r="AC3890" t="n">
        <v>473440</v>
      </c>
      <c r="AD3890" t="n">
        <v>53800</v>
      </c>
      <c r="AE3890" t="n">
        <v>419640</v>
      </c>
      <c r="AF3890" t="n">
        <v>430400</v>
      </c>
      <c r="AG3890" t="n">
        <v>52024.6</v>
      </c>
      <c r="AH3890" t="n">
        <v>378375.4</v>
      </c>
      <c r="AI3890" t="n">
        <v>0</v>
      </c>
    </row>
    <row r="3891">
      <c r="A3891" t="inlineStr">
        <is>
          <t>4월</t>
        </is>
      </c>
      <c r="B3891" t="inlineStr">
        <is>
          <t>18주차</t>
        </is>
      </c>
      <c r="C3891" t="inlineStr">
        <is>
          <t>EP</t>
        </is>
      </c>
      <c r="D3891" s="28" t="n">
        <v>46142</v>
      </c>
      <c r="E3891" t="inlineStr">
        <is>
          <t>현대EP_fast</t>
        </is>
      </c>
      <c r="F3891" t="inlineStr">
        <is>
          <t>공지현</t>
        </is>
      </c>
      <c r="G3891" t="inlineStr">
        <is>
          <t>010-5557-7961</t>
        </is>
      </c>
      <c r="H3891" t="inlineStr">
        <is>
          <t>09어3481</t>
        </is>
      </c>
      <c r="I3891" t="n">
        <v>3000000</v>
      </c>
      <c r="J3891" t="n">
        <v>0.07199999999999999</v>
      </c>
      <c r="K3891" t="n">
        <v>1.76</v>
      </c>
      <c r="L3891" t="n">
        <v>0.2</v>
      </c>
      <c r="M3891" t="n">
        <v>1.56</v>
      </c>
      <c r="P3891" t="inlineStr">
        <is>
          <t>김수연</t>
        </is>
      </c>
      <c r="Q3891" t="inlineStr">
        <is>
          <t>홈서비스 24개월</t>
        </is>
      </c>
      <c r="AB3891" t="inlineStr">
        <is>
          <t>홈서비스</t>
        </is>
      </c>
      <c r="AC3891" t="n">
        <v>52800</v>
      </c>
      <c r="AD3891" t="n">
        <v>6000</v>
      </c>
      <c r="AE3891" t="n">
        <v>46800</v>
      </c>
      <c r="AF3891" t="n">
        <v>48000</v>
      </c>
      <c r="AG3891" t="n">
        <v>5802</v>
      </c>
      <c r="AH3891" t="n">
        <v>42198</v>
      </c>
    </row>
    <row r="3892">
      <c r="A3892" t="inlineStr">
        <is>
          <t>4월</t>
        </is>
      </c>
      <c r="B3892" t="inlineStr">
        <is>
          <t>18주차</t>
        </is>
      </c>
      <c r="C3892" t="inlineStr">
        <is>
          <t>IM</t>
        </is>
      </c>
      <c r="D3892" s="28" t="n">
        <v>46141</v>
      </c>
      <c r="E3892" t="inlineStr">
        <is>
          <t>IM캐피탈</t>
        </is>
      </c>
      <c r="F3892" t="inlineStr">
        <is>
          <t>이석일</t>
        </is>
      </c>
      <c r="G3892" t="inlineStr">
        <is>
          <t>010-4710-0913</t>
        </is>
      </c>
      <c r="H3892" t="inlineStr">
        <is>
          <t>28저0556</t>
        </is>
      </c>
      <c r="I3892" t="n">
        <v>9000000</v>
      </c>
      <c r="J3892" t="n">
        <v>0.049</v>
      </c>
      <c r="K3892" t="n">
        <v>1.1</v>
      </c>
      <c r="L3892" t="n">
        <v>0.07000000000000001</v>
      </c>
      <c r="M3892" t="n">
        <v>1.03</v>
      </c>
      <c r="P3892" t="inlineStr">
        <is>
          <t>박현민</t>
        </is>
      </c>
      <c r="Q3892" t="inlineStr">
        <is>
          <t>홈서비스 60개월</t>
        </is>
      </c>
      <c r="AB3892" t="inlineStr">
        <is>
          <t>홈서비스</t>
        </is>
      </c>
      <c r="AC3892" t="n">
        <v>99000</v>
      </c>
      <c r="AD3892" t="n">
        <v>6300</v>
      </c>
      <c r="AE3892" t="n">
        <v>92700</v>
      </c>
      <c r="AF3892" t="n">
        <v>90000</v>
      </c>
      <c r="AG3892" t="n">
        <v>6092.1</v>
      </c>
      <c r="AH3892" t="n">
        <v>83907.89999999999</v>
      </c>
      <c r="AI3892" t="n">
        <v>0</v>
      </c>
    </row>
    <row r="3893">
      <c r="A3893" t="inlineStr">
        <is>
          <t>4월</t>
        </is>
      </c>
      <c r="B3893" t="inlineStr">
        <is>
          <t>18주차</t>
        </is>
      </c>
      <c r="C3893" t="inlineStr">
        <is>
          <t>IM</t>
        </is>
      </c>
      <c r="D3893" s="28" t="n">
        <v>46141</v>
      </c>
      <c r="E3893" t="inlineStr">
        <is>
          <t>IM캐피탈</t>
        </is>
      </c>
      <c r="F3893" t="inlineStr">
        <is>
          <t>신정민</t>
        </is>
      </c>
      <c r="G3893" t="inlineStr">
        <is>
          <t>010-3091-1981</t>
        </is>
      </c>
      <c r="H3893" t="inlineStr">
        <is>
          <t>107수2336</t>
        </is>
      </c>
      <c r="I3893" t="n">
        <v>30000000</v>
      </c>
      <c r="J3893" t="n">
        <v>0.059</v>
      </c>
      <c r="K3893" t="n">
        <v>1.1</v>
      </c>
      <c r="L3893" t="n">
        <v>0.07000000000000001</v>
      </c>
      <c r="M3893" t="n">
        <v>1.03</v>
      </c>
      <c r="P3893" t="inlineStr">
        <is>
          <t>최혁</t>
        </is>
      </c>
      <c r="AB3893" t="inlineStr">
        <is>
          <t>홈서비스</t>
        </is>
      </c>
      <c r="AC3893" t="n">
        <v>330000</v>
      </c>
      <c r="AD3893" t="n">
        <v>21000</v>
      </c>
      <c r="AE3893" t="n">
        <v>309000</v>
      </c>
      <c r="AF3893" t="n">
        <v>300000</v>
      </c>
      <c r="AG3893" t="n">
        <v>20307</v>
      </c>
      <c r="AH3893" t="n">
        <v>279693</v>
      </c>
      <c r="AI3893" t="n">
        <v>0</v>
      </c>
    </row>
    <row r="3894">
      <c r="A3894" t="inlineStr">
        <is>
          <t>4월</t>
        </is>
      </c>
      <c r="B3894" t="inlineStr">
        <is>
          <t>18주차</t>
        </is>
      </c>
      <c r="C3894" t="inlineStr">
        <is>
          <t>EP</t>
        </is>
      </c>
      <c r="D3894" s="28" t="n">
        <v>46142</v>
      </c>
      <c r="E3894" t="inlineStr">
        <is>
          <t>현대EP_fast</t>
        </is>
      </c>
      <c r="F3894" t="inlineStr">
        <is>
          <t>강재중</t>
        </is>
      </c>
      <c r="G3894" t="inlineStr">
        <is>
          <t>010-3225-7758</t>
        </is>
      </c>
      <c r="H3894" t="inlineStr">
        <is>
          <t>111무9237</t>
        </is>
      </c>
      <c r="I3894" t="n">
        <v>16800000</v>
      </c>
      <c r="J3894" t="n">
        <v>0.09</v>
      </c>
      <c r="K3894" t="n">
        <v>1.76</v>
      </c>
      <c r="L3894" t="n">
        <v>0.4</v>
      </c>
      <c r="M3894" t="n">
        <v>1.36</v>
      </c>
      <c r="P3894" t="inlineStr">
        <is>
          <t>최혁</t>
        </is>
      </c>
      <c r="AB3894" t="inlineStr">
        <is>
          <t>엔카</t>
        </is>
      </c>
      <c r="AC3894" t="n">
        <v>295680</v>
      </c>
      <c r="AD3894" t="n">
        <v>67200</v>
      </c>
      <c r="AE3894" t="n">
        <v>228480</v>
      </c>
      <c r="AF3894" t="n">
        <v>268800</v>
      </c>
      <c r="AG3894" t="n">
        <v>64982.4</v>
      </c>
      <c r="AH3894" t="n">
        <v>203817.6</v>
      </c>
      <c r="AI3894" t="n">
        <v>0</v>
      </c>
    </row>
    <row r="3895">
      <c r="A3895" t="inlineStr">
        <is>
          <t>4월</t>
        </is>
      </c>
      <c r="B3895" t="inlineStr">
        <is>
          <t>18주차</t>
        </is>
      </c>
      <c r="C3895" t="inlineStr">
        <is>
          <t>IM</t>
        </is>
      </c>
      <c r="D3895" s="28" t="n">
        <v>46141</v>
      </c>
      <c r="E3895" t="inlineStr">
        <is>
          <t>IM캐피탈</t>
        </is>
      </c>
      <c r="F3895" t="inlineStr">
        <is>
          <t>서영훈</t>
        </is>
      </c>
      <c r="G3895" t="inlineStr">
        <is>
          <t>010-2850-9406</t>
        </is>
      </c>
      <c r="H3895" t="inlineStr">
        <is>
          <t>190노3560</t>
        </is>
      </c>
      <c r="I3895" t="n">
        <v>25000000</v>
      </c>
      <c r="J3895" t="n">
        <v>0.049</v>
      </c>
      <c r="K3895" t="n">
        <v>1.1</v>
      </c>
      <c r="L3895" t="n">
        <v>0.4</v>
      </c>
      <c r="M3895" t="n">
        <v>0.7</v>
      </c>
      <c r="P3895" t="inlineStr">
        <is>
          <t>임대경</t>
        </is>
      </c>
      <c r="AB3895" t="inlineStr">
        <is>
          <t>엔카</t>
        </is>
      </c>
      <c r="AC3895" t="n">
        <v>275000</v>
      </c>
      <c r="AD3895" t="n">
        <v>100000</v>
      </c>
      <c r="AE3895" t="n">
        <v>175000</v>
      </c>
      <c r="AF3895" t="n">
        <v>250000</v>
      </c>
      <c r="AG3895" t="n">
        <v>96700</v>
      </c>
      <c r="AH3895" t="n">
        <v>153300</v>
      </c>
      <c r="AI3895" t="n">
        <v>0</v>
      </c>
    </row>
    <row r="3896">
      <c r="A3896" t="inlineStr">
        <is>
          <t>4월</t>
        </is>
      </c>
      <c r="B3896" t="inlineStr">
        <is>
          <t>18주차</t>
        </is>
      </c>
      <c r="C3896" t="inlineStr">
        <is>
          <t>WC</t>
        </is>
      </c>
      <c r="D3896" s="28" t="n">
        <v>46141</v>
      </c>
      <c r="E3896" t="inlineStr">
        <is>
          <t>웰컴저축은행</t>
        </is>
      </c>
      <c r="F3896" t="inlineStr">
        <is>
          <t>남다은</t>
        </is>
      </c>
      <c r="G3896" t="inlineStr">
        <is>
          <t>010-7516-4898</t>
        </is>
      </c>
      <c r="H3896" t="inlineStr">
        <is>
          <t>56저0540</t>
        </is>
      </c>
      <c r="I3896" t="n">
        <v>4500000</v>
      </c>
      <c r="J3896" t="n">
        <v>0.189</v>
      </c>
      <c r="K3896" t="n">
        <v>2.2</v>
      </c>
      <c r="L3896" t="n">
        <v>0.07000000000000001</v>
      </c>
      <c r="M3896" t="n">
        <v>2.13</v>
      </c>
      <c r="P3896" t="inlineStr">
        <is>
          <t>박보람</t>
        </is>
      </c>
      <c r="Q3896" t="inlineStr">
        <is>
          <t xml:space="preserve">선상담 / 홈서비스 36개월 / 부결 DB </t>
        </is>
      </c>
      <c r="AB3896" t="inlineStr">
        <is>
          <t>홈서비스</t>
        </is>
      </c>
      <c r="AC3896" t="n">
        <v>99000</v>
      </c>
      <c r="AD3896" t="n">
        <v>3150</v>
      </c>
      <c r="AE3896" t="n">
        <v>95850</v>
      </c>
      <c r="AF3896" t="n">
        <v>90000</v>
      </c>
      <c r="AG3896" t="n">
        <v>3046.05</v>
      </c>
      <c r="AH3896" t="n">
        <v>86953.95</v>
      </c>
      <c r="AI3896" t="n">
        <v>0</v>
      </c>
    </row>
    <row r="3897">
      <c r="A3897" t="inlineStr">
        <is>
          <t>4월</t>
        </is>
      </c>
      <c r="B3897" t="inlineStr">
        <is>
          <t>18주차</t>
        </is>
      </c>
      <c r="C3897" t="inlineStr">
        <is>
          <t>EP</t>
        </is>
      </c>
      <c r="D3897" s="28" t="n">
        <v>46142</v>
      </c>
      <c r="E3897" t="inlineStr">
        <is>
          <t>현대EP_fast</t>
        </is>
      </c>
      <c r="F3897" t="inlineStr">
        <is>
          <t>이효은</t>
        </is>
      </c>
      <c r="G3897" t="inlineStr">
        <is>
          <t>010-6658-9407</t>
        </is>
      </c>
      <c r="H3897" t="inlineStr">
        <is>
          <t>30거0204</t>
        </is>
      </c>
      <c r="I3897" t="n">
        <v>8400000</v>
      </c>
      <c r="J3897" t="n">
        <v>0.092</v>
      </c>
      <c r="K3897" t="n">
        <v>1.76</v>
      </c>
      <c r="L3897" t="n">
        <v>0.2</v>
      </c>
      <c r="M3897" t="n">
        <v>1.56</v>
      </c>
      <c r="P3897" t="inlineStr">
        <is>
          <t>최형주</t>
        </is>
      </c>
      <c r="Q3897" t="inlineStr">
        <is>
          <t>홈서비스 48개월 / 고객주도체결</t>
        </is>
      </c>
      <c r="AB3897" t="inlineStr">
        <is>
          <t>홈서비스</t>
        </is>
      </c>
      <c r="AC3897" t="n">
        <v>147840</v>
      </c>
      <c r="AD3897" t="n">
        <v>16800</v>
      </c>
      <c r="AE3897" t="n">
        <v>131040</v>
      </c>
      <c r="AF3897" t="n">
        <v>134400</v>
      </c>
      <c r="AG3897" t="n">
        <v>16245.6</v>
      </c>
      <c r="AH3897" t="n">
        <v>118154.4</v>
      </c>
    </row>
    <row r="3898">
      <c r="A3898" t="inlineStr">
        <is>
          <t>4월</t>
        </is>
      </c>
      <c r="B3898" t="inlineStr">
        <is>
          <t>18주차</t>
        </is>
      </c>
      <c r="C3898" t="inlineStr">
        <is>
          <t>EP</t>
        </is>
      </c>
      <c r="D3898" s="28" t="n">
        <v>46142</v>
      </c>
      <c r="E3898" t="inlineStr">
        <is>
          <t>현대EP_fast</t>
        </is>
      </c>
      <c r="F3898" t="inlineStr">
        <is>
          <t>한승재</t>
        </is>
      </c>
      <c r="G3898" t="inlineStr">
        <is>
          <t>010-4353-9105</t>
        </is>
      </c>
      <c r="H3898" t="inlineStr">
        <is>
          <t>298보4394</t>
        </is>
      </c>
      <c r="I3898" t="n">
        <v>5800000</v>
      </c>
      <c r="J3898" t="n">
        <v>0.07099999999999999</v>
      </c>
      <c r="K3898" t="n">
        <v>1.76</v>
      </c>
      <c r="L3898" t="n">
        <v>0.2</v>
      </c>
      <c r="M3898" t="n">
        <v>1.56</v>
      </c>
      <c r="P3898" t="inlineStr">
        <is>
          <t>정세빈</t>
        </is>
      </c>
      <c r="Q3898" t="inlineStr">
        <is>
          <t>홈서비스 60개월</t>
        </is>
      </c>
      <c r="AB3898" t="inlineStr">
        <is>
          <t>홈서비스</t>
        </is>
      </c>
      <c r="AC3898" t="n">
        <v>102080</v>
      </c>
      <c r="AD3898" t="n">
        <v>11600</v>
      </c>
      <c r="AE3898" t="n">
        <v>90480</v>
      </c>
      <c r="AF3898" t="n">
        <v>92800</v>
      </c>
      <c r="AG3898" t="n">
        <v>11217.2</v>
      </c>
      <c r="AH3898" t="n">
        <v>81582.8</v>
      </c>
      <c r="AI3898" t="n">
        <v>0</v>
      </c>
    </row>
    <row r="3899">
      <c r="A3899" t="inlineStr">
        <is>
          <t>4월</t>
        </is>
      </c>
      <c r="B3899" t="inlineStr">
        <is>
          <t>18주차</t>
        </is>
      </c>
      <c r="C3899" t="inlineStr">
        <is>
          <t>IM</t>
        </is>
      </c>
      <c r="D3899" s="28" t="n">
        <v>46142</v>
      </c>
      <c r="E3899" t="inlineStr">
        <is>
          <t>IM캐피탈</t>
        </is>
      </c>
      <c r="F3899" t="inlineStr">
        <is>
          <t>김수림</t>
        </is>
      </c>
      <c r="G3899" t="inlineStr">
        <is>
          <t>010-8969-7090</t>
        </is>
      </c>
      <c r="H3899" t="inlineStr">
        <is>
          <t>41저2913</t>
        </is>
      </c>
      <c r="I3899" t="n">
        <v>7400000</v>
      </c>
      <c r="J3899" t="n">
        <v>0.049</v>
      </c>
      <c r="K3899" t="n">
        <v>1.1</v>
      </c>
      <c r="L3899" t="n">
        <v>0.07000000000000001</v>
      </c>
      <c r="M3899" t="n">
        <v>1.03</v>
      </c>
      <c r="P3899" t="inlineStr">
        <is>
          <t>김수연</t>
        </is>
      </c>
      <c r="Q3899" t="inlineStr">
        <is>
          <t>홈서비스 60개월</t>
        </is>
      </c>
      <c r="AB3899" t="inlineStr">
        <is>
          <t>홈서비스</t>
        </is>
      </c>
      <c r="AC3899" t="n">
        <v>81400</v>
      </c>
      <c r="AD3899" t="n">
        <v>5180</v>
      </c>
      <c r="AE3899" t="n">
        <v>76220</v>
      </c>
      <c r="AF3899" t="n">
        <v>74000</v>
      </c>
      <c r="AG3899" t="n">
        <v>5009.06</v>
      </c>
      <c r="AH3899" t="n">
        <v>68990.94</v>
      </c>
      <c r="AI3899" t="n">
        <v>0</v>
      </c>
    </row>
    <row r="3900">
      <c r="A3900" t="inlineStr">
        <is>
          <t>4월</t>
        </is>
      </c>
      <c r="B3900" t="inlineStr">
        <is>
          <t>18주차</t>
        </is>
      </c>
      <c r="C3900" t="inlineStr">
        <is>
          <t>HC</t>
        </is>
      </c>
      <c r="D3900" s="28" t="n">
        <v>46142</v>
      </c>
      <c r="E3900" t="inlineStr">
        <is>
          <t>하나캐피탈</t>
        </is>
      </c>
      <c r="F3900" t="inlineStr">
        <is>
          <t>조규식</t>
        </is>
      </c>
      <c r="G3900" t="inlineStr">
        <is>
          <t>010-3446-3612</t>
        </is>
      </c>
      <c r="H3900" t="inlineStr">
        <is>
          <t>03모9339</t>
        </is>
      </c>
      <c r="I3900" t="n">
        <v>25400000</v>
      </c>
      <c r="J3900" t="n">
        <v>0.065</v>
      </c>
      <c r="K3900" t="n">
        <v>2.2</v>
      </c>
      <c r="L3900" t="n">
        <v>0.07000000000000001</v>
      </c>
      <c r="M3900" t="n">
        <v>2.13</v>
      </c>
      <c r="P3900" t="inlineStr">
        <is>
          <t>김수연</t>
        </is>
      </c>
      <c r="Q3900" t="inlineStr">
        <is>
          <t>홈서비스 36개월</t>
        </is>
      </c>
      <c r="AB3900" t="inlineStr">
        <is>
          <t>홈서비스</t>
        </is>
      </c>
      <c r="AC3900" t="n">
        <v>558800</v>
      </c>
      <c r="AD3900" t="n">
        <v>17780</v>
      </c>
      <c r="AE3900" t="n">
        <v>541020</v>
      </c>
      <c r="AF3900" t="n">
        <v>508000</v>
      </c>
      <c r="AG3900" t="n">
        <v>17193.26</v>
      </c>
      <c r="AH3900" t="n">
        <v>490806.74</v>
      </c>
      <c r="AI3900" t="n">
        <v>0</v>
      </c>
    </row>
    <row r="3901">
      <c r="A3901" t="inlineStr">
        <is>
          <t>4월</t>
        </is>
      </c>
      <c r="B3901" t="inlineStr">
        <is>
          <t>18주차</t>
        </is>
      </c>
      <c r="C3901" t="inlineStr">
        <is>
          <t>WC</t>
        </is>
      </c>
      <c r="D3901" s="28" t="n">
        <v>46142</v>
      </c>
      <c r="E3901" t="inlineStr">
        <is>
          <t>웰컴저축은행</t>
        </is>
      </c>
      <c r="F3901" t="inlineStr">
        <is>
          <t>이지호</t>
        </is>
      </c>
      <c r="G3901" t="inlineStr">
        <is>
          <t>010-8281-5094</t>
        </is>
      </c>
      <c r="H3901" t="inlineStr">
        <is>
          <t>154도7835</t>
        </is>
      </c>
      <c r="I3901" t="n">
        <v>25000000</v>
      </c>
      <c r="J3901" t="n">
        <v>0.166</v>
      </c>
      <c r="K3901" t="n">
        <v>2.2</v>
      </c>
      <c r="L3901" t="n">
        <v>0.07000000000000001</v>
      </c>
      <c r="M3901" t="n">
        <v>2.13</v>
      </c>
      <c r="P3901" t="inlineStr">
        <is>
          <t>정세빈</t>
        </is>
      </c>
      <c r="Q3901" t="inlineStr">
        <is>
          <t>홈서비스 60개월</t>
        </is>
      </c>
      <c r="AB3901" t="inlineStr">
        <is>
          <t>홈서비스</t>
        </is>
      </c>
      <c r="AC3901" t="n">
        <v>550000</v>
      </c>
      <c r="AD3901" t="n">
        <v>17500</v>
      </c>
      <c r="AE3901" t="n">
        <v>532500</v>
      </c>
      <c r="AF3901" t="n">
        <v>500000</v>
      </c>
      <c r="AG3901" t="n">
        <v>16922.5</v>
      </c>
      <c r="AH3901" t="n">
        <v>483077.5</v>
      </c>
      <c r="AI3901" t="n">
        <v>0</v>
      </c>
    </row>
    <row r="3902">
      <c r="A3902" t="inlineStr">
        <is>
          <t>4월</t>
        </is>
      </c>
      <c r="B3902" t="inlineStr">
        <is>
          <t>18주차</t>
        </is>
      </c>
      <c r="C3902" t="inlineStr">
        <is>
          <t>EP</t>
        </is>
      </c>
      <c r="D3902" s="28" t="n">
        <v>46142</v>
      </c>
      <c r="E3902" t="inlineStr">
        <is>
          <t>현대EP_fast</t>
        </is>
      </c>
      <c r="F3902" t="inlineStr">
        <is>
          <t>김성진</t>
        </is>
      </c>
      <c r="G3902" t="inlineStr">
        <is>
          <t>010-5513-0824</t>
        </is>
      </c>
      <c r="H3902" t="inlineStr">
        <is>
          <t>368러8472</t>
        </is>
      </c>
      <c r="I3902" t="n">
        <v>40000000</v>
      </c>
      <c r="J3902" t="n">
        <v>0.08799999999999999</v>
      </c>
      <c r="K3902" t="n">
        <v>1.76</v>
      </c>
      <c r="L3902" t="n">
        <v>0.2</v>
      </c>
      <c r="M3902" t="n">
        <v>1.56</v>
      </c>
      <c r="P3902" t="inlineStr">
        <is>
          <t>김나윤</t>
        </is>
      </c>
      <c r="Q3902" t="inlineStr">
        <is>
          <t>홈서비스 60개월</t>
        </is>
      </c>
      <c r="AB3902" t="inlineStr">
        <is>
          <t>홈서비스</t>
        </is>
      </c>
      <c r="AC3902" t="n">
        <v>704000</v>
      </c>
      <c r="AD3902" t="n">
        <v>80000</v>
      </c>
      <c r="AE3902" t="n">
        <v>624000</v>
      </c>
      <c r="AF3902" t="n">
        <v>640000</v>
      </c>
      <c r="AG3902" t="n">
        <v>77360</v>
      </c>
      <c r="AH3902" t="n">
        <v>562640</v>
      </c>
      <c r="AI3902" t="n">
        <v>0</v>
      </c>
    </row>
    <row r="3903">
      <c r="A3903" t="inlineStr">
        <is>
          <t>4월</t>
        </is>
      </c>
      <c r="B3903" t="inlineStr">
        <is>
          <t>18주차</t>
        </is>
      </c>
      <c r="C3903" t="inlineStr">
        <is>
          <t>EP</t>
        </is>
      </c>
      <c r="D3903" s="28" t="n">
        <v>46142</v>
      </c>
      <c r="E3903" t="inlineStr">
        <is>
          <t>현대EP_fast</t>
        </is>
      </c>
      <c r="F3903" t="inlineStr">
        <is>
          <t>이정훈</t>
        </is>
      </c>
      <c r="G3903" t="inlineStr">
        <is>
          <t>010-7444-9068</t>
        </is>
      </c>
      <c r="H3903" t="inlineStr">
        <is>
          <t>16버0610</t>
        </is>
      </c>
      <c r="I3903" t="n">
        <v>4500000</v>
      </c>
      <c r="J3903" t="n">
        <v>0.07099999999999999</v>
      </c>
      <c r="K3903" t="n">
        <v>1.76</v>
      </c>
      <c r="L3903" t="n">
        <v>0.2</v>
      </c>
      <c r="M3903" t="n">
        <v>1.56</v>
      </c>
      <c r="P3903" t="inlineStr">
        <is>
          <t>최형주</t>
        </is>
      </c>
      <c r="Q3903" t="inlineStr">
        <is>
          <t>홈서비스 48개월</t>
        </is>
      </c>
      <c r="AB3903" t="inlineStr">
        <is>
          <t>홈서비스</t>
        </is>
      </c>
      <c r="AC3903" t="n">
        <v>79200</v>
      </c>
      <c r="AD3903" t="n">
        <v>9000</v>
      </c>
      <c r="AE3903" t="n">
        <v>70200</v>
      </c>
      <c r="AF3903" t="n">
        <v>72000</v>
      </c>
      <c r="AG3903" t="n">
        <v>8703</v>
      </c>
      <c r="AH3903" t="n">
        <v>63297</v>
      </c>
      <c r="AI3903" t="n">
        <v>0</v>
      </c>
    </row>
    <row r="3904">
      <c r="A3904" t="inlineStr">
        <is>
          <t>4월</t>
        </is>
      </c>
      <c r="B3904" t="inlineStr">
        <is>
          <t>18주차</t>
        </is>
      </c>
      <c r="C3904" t="inlineStr">
        <is>
          <t>EP</t>
        </is>
      </c>
      <c r="D3904" s="28" t="n">
        <v>46142</v>
      </c>
      <c r="E3904" t="inlineStr">
        <is>
          <t>현대EP</t>
        </is>
      </c>
      <c r="F3904" t="inlineStr">
        <is>
          <t>엄상필</t>
        </is>
      </c>
      <c r="G3904" t="inlineStr">
        <is>
          <t>010-9231-0529</t>
        </is>
      </c>
      <c r="H3904" t="inlineStr">
        <is>
          <t>47주8222</t>
        </is>
      </c>
      <c r="I3904" t="n">
        <v>38000000</v>
      </c>
      <c r="J3904" t="n">
        <v>0.07099999999999999</v>
      </c>
      <c r="K3904" t="n">
        <v>1.76</v>
      </c>
      <c r="L3904" t="n">
        <v>0.2</v>
      </c>
      <c r="M3904" t="n">
        <v>1.56</v>
      </c>
      <c r="P3904" t="inlineStr">
        <is>
          <t>정세빈</t>
        </is>
      </c>
      <c r="AB3904" t="inlineStr">
        <is>
          <t>홈서비스</t>
        </is>
      </c>
      <c r="AC3904" t="n">
        <v>668800</v>
      </c>
      <c r="AD3904" t="n">
        <v>76000</v>
      </c>
      <c r="AE3904" t="n">
        <v>592800</v>
      </c>
      <c r="AF3904" t="n">
        <v>608000</v>
      </c>
      <c r="AG3904" t="n">
        <v>73492</v>
      </c>
      <c r="AH3904" t="n">
        <v>534508</v>
      </c>
      <c r="AI3904" t="n">
        <v>0</v>
      </c>
    </row>
    <row r="3905">
      <c r="A3905" t="inlineStr">
        <is>
          <t>4월</t>
        </is>
      </c>
      <c r="B3905" t="inlineStr">
        <is>
          <t>18주차</t>
        </is>
      </c>
      <c r="C3905" t="inlineStr">
        <is>
          <t>EP</t>
        </is>
      </c>
      <c r="D3905" s="28" t="n">
        <v>46142</v>
      </c>
      <c r="E3905" t="inlineStr">
        <is>
          <t>현대EP</t>
        </is>
      </c>
      <c r="F3905" t="inlineStr">
        <is>
          <t>이찬</t>
        </is>
      </c>
      <c r="G3905" t="inlineStr">
        <is>
          <t>010-4162-5872</t>
        </is>
      </c>
      <c r="H3905" t="inlineStr">
        <is>
          <t>330고5550</t>
        </is>
      </c>
      <c r="I3905" t="n">
        <v>26100000</v>
      </c>
      <c r="J3905" t="n">
        <v>0.07099999999999999</v>
      </c>
      <c r="K3905" t="n">
        <v>1.76</v>
      </c>
      <c r="L3905" t="n">
        <v>0.2</v>
      </c>
      <c r="M3905" t="n">
        <v>1.56</v>
      </c>
      <c r="P3905" t="inlineStr">
        <is>
          <t>정세빈</t>
        </is>
      </c>
      <c r="AB3905" t="inlineStr">
        <is>
          <t>홈서비스</t>
        </is>
      </c>
      <c r="AC3905" t="n">
        <v>459360</v>
      </c>
      <c r="AD3905" t="n">
        <v>52200</v>
      </c>
      <c r="AE3905" t="n">
        <v>407160</v>
      </c>
      <c r="AF3905" t="n">
        <v>417600</v>
      </c>
      <c r="AG3905" t="n">
        <v>50477.4</v>
      </c>
      <c r="AH3905" t="n">
        <v>367122.6</v>
      </c>
      <c r="AI3905" t="n">
        <v>0</v>
      </c>
    </row>
    <row r="3906">
      <c r="A3906" t="inlineStr">
        <is>
          <t>4월</t>
        </is>
      </c>
      <c r="B3906" t="inlineStr">
        <is>
          <t>18주차</t>
        </is>
      </c>
      <c r="C3906" t="inlineStr">
        <is>
          <t>EP</t>
        </is>
      </c>
      <c r="D3906" s="28" t="n">
        <v>46142</v>
      </c>
      <c r="E3906" t="inlineStr">
        <is>
          <t>현대EP</t>
        </is>
      </c>
      <c r="F3906" t="inlineStr">
        <is>
          <t>주민아</t>
        </is>
      </c>
      <c r="G3906" t="inlineStr">
        <is>
          <t>010-5220-2339</t>
        </is>
      </c>
      <c r="H3906" t="inlineStr">
        <is>
          <t>03로4882</t>
        </is>
      </c>
      <c r="I3906" t="n">
        <v>24900000</v>
      </c>
      <c r="J3906" t="n">
        <v>0.07099999999999999</v>
      </c>
      <c r="K3906" t="n">
        <v>1.76</v>
      </c>
      <c r="L3906" t="n">
        <v>0.2</v>
      </c>
      <c r="M3906" t="n">
        <v>1.56</v>
      </c>
      <c r="P3906" t="inlineStr">
        <is>
          <t>김나윤</t>
        </is>
      </c>
      <c r="AB3906" t="inlineStr">
        <is>
          <t>홈서비스</t>
        </is>
      </c>
      <c r="AC3906" t="n">
        <v>438240</v>
      </c>
      <c r="AD3906" t="n">
        <v>49800</v>
      </c>
      <c r="AE3906" t="n">
        <v>388440</v>
      </c>
      <c r="AF3906" t="n">
        <v>398400</v>
      </c>
      <c r="AG3906" t="n">
        <v>48156.6</v>
      </c>
      <c r="AH3906" t="n">
        <v>350243.4</v>
      </c>
    </row>
    <row r="3907">
      <c r="A3907" t="inlineStr">
        <is>
          <t>4월</t>
        </is>
      </c>
      <c r="B3907" t="inlineStr">
        <is>
          <t>18주차</t>
        </is>
      </c>
      <c r="C3907" t="inlineStr">
        <is>
          <t>IM</t>
        </is>
      </c>
      <c r="D3907" s="28" t="n">
        <v>46142</v>
      </c>
      <c r="E3907" t="inlineStr">
        <is>
          <t>IM캐피탈</t>
        </is>
      </c>
      <c r="F3907" t="inlineStr">
        <is>
          <t>조원만</t>
        </is>
      </c>
      <c r="G3907" t="inlineStr">
        <is>
          <t>010-2067-2873</t>
        </is>
      </c>
      <c r="H3907" t="inlineStr">
        <is>
          <t>281가7340</t>
        </is>
      </c>
      <c r="I3907" t="n">
        <v>24900000</v>
      </c>
      <c r="J3907" t="n">
        <v>0.063</v>
      </c>
      <c r="K3907" t="n">
        <v>1.1</v>
      </c>
      <c r="L3907" t="n">
        <v>0.07000000000000001</v>
      </c>
      <c r="M3907" t="n">
        <v>1.03</v>
      </c>
      <c r="P3907" t="inlineStr">
        <is>
          <t>김나윤</t>
        </is>
      </c>
      <c r="Q3907" t="inlineStr">
        <is>
          <t>홈서비스 60개월</t>
        </is>
      </c>
      <c r="AB3907" t="inlineStr">
        <is>
          <t>홈서비스</t>
        </is>
      </c>
      <c r="AC3907" t="n">
        <v>273900</v>
      </c>
      <c r="AD3907" t="n">
        <v>17430</v>
      </c>
      <c r="AE3907" t="n">
        <v>256470</v>
      </c>
      <c r="AF3907" t="n">
        <v>249000</v>
      </c>
      <c r="AG3907" t="n">
        <v>16854.81</v>
      </c>
      <c r="AH3907" t="n">
        <v>232145.19</v>
      </c>
      <c r="AI3907" t="n">
        <v>0</v>
      </c>
    </row>
    <row r="3908">
      <c r="A3908" t="inlineStr">
        <is>
          <t>5월</t>
        </is>
      </c>
      <c r="B3908" t="inlineStr">
        <is>
          <t>18주차</t>
        </is>
      </c>
      <c r="C3908" t="inlineStr">
        <is>
          <t>EP</t>
        </is>
      </c>
      <c r="D3908" s="28" t="n">
        <v>46143</v>
      </c>
      <c r="E3908" t="inlineStr">
        <is>
          <t>현대EP</t>
        </is>
      </c>
      <c r="F3908" t="inlineStr">
        <is>
          <t>김진관</t>
        </is>
      </c>
      <c r="G3908" t="inlineStr">
        <is>
          <t>010-8488-9513</t>
        </is>
      </c>
      <c r="H3908" t="inlineStr">
        <is>
          <t>305더3156</t>
        </is>
      </c>
      <c r="I3908" t="n">
        <v>30700000</v>
      </c>
      <c r="J3908" t="n">
        <v>0.075</v>
      </c>
      <c r="K3908" t="n">
        <v>1.76</v>
      </c>
      <c r="L3908" t="n">
        <v>0.14</v>
      </c>
      <c r="M3908" t="n">
        <v>1.62</v>
      </c>
      <c r="P3908" t="inlineStr">
        <is>
          <t>정세빈</t>
        </is>
      </c>
      <c r="AB3908" t="inlineStr">
        <is>
          <t>홈서비스</t>
        </is>
      </c>
      <c r="AC3908" t="n">
        <v>540320</v>
      </c>
      <c r="AD3908" t="n">
        <v>42980</v>
      </c>
      <c r="AE3908" t="n">
        <v>497340</v>
      </c>
      <c r="AF3908" t="n">
        <v>491200</v>
      </c>
      <c r="AG3908" t="n">
        <v>41561.66</v>
      </c>
      <c r="AH3908" t="n">
        <v>449638.34</v>
      </c>
      <c r="AI3908" t="n">
        <v>0</v>
      </c>
    </row>
    <row r="3909">
      <c r="A3909" t="inlineStr">
        <is>
          <t>4월</t>
        </is>
      </c>
      <c r="B3909" t="inlineStr">
        <is>
          <t>18주차</t>
        </is>
      </c>
      <c r="C3909" t="inlineStr">
        <is>
          <t>EP</t>
        </is>
      </c>
      <c r="D3909" s="28" t="n">
        <v>46142</v>
      </c>
      <c r="E3909" t="inlineStr">
        <is>
          <t>제이비EP</t>
        </is>
      </c>
      <c r="F3909" t="inlineStr">
        <is>
          <t>유은진</t>
        </is>
      </c>
      <c r="G3909" t="inlineStr">
        <is>
          <t>010-5888-0591</t>
        </is>
      </c>
      <c r="H3909" t="inlineStr">
        <is>
          <t>214로2827</t>
        </is>
      </c>
      <c r="I3909" t="n">
        <v>13600000</v>
      </c>
      <c r="J3909" t="n">
        <v>0.08699999999999999</v>
      </c>
      <c r="K3909" t="n">
        <v>1.65</v>
      </c>
      <c r="L3909" t="n">
        <v>0.4</v>
      </c>
      <c r="M3909" t="n">
        <v>1.25</v>
      </c>
      <c r="P3909" t="inlineStr">
        <is>
          <t>박소현</t>
        </is>
      </c>
      <c r="AB3909" t="inlineStr">
        <is>
          <t>엔카</t>
        </is>
      </c>
      <c r="AC3909" t="n">
        <v>224400</v>
      </c>
      <c r="AD3909" t="n">
        <v>54400</v>
      </c>
      <c r="AE3909" t="n">
        <v>170000</v>
      </c>
      <c r="AF3909" t="n">
        <v>204000</v>
      </c>
      <c r="AG3909" t="n">
        <v>52604.8</v>
      </c>
      <c r="AH3909" t="n">
        <v>151395.2</v>
      </c>
      <c r="AI3909" t="n">
        <v>0</v>
      </c>
    </row>
    <row r="3910">
      <c r="A3910" t="inlineStr">
        <is>
          <t>4월</t>
        </is>
      </c>
      <c r="B3910" t="inlineStr">
        <is>
          <t>18주차</t>
        </is>
      </c>
      <c r="C3910" t="inlineStr">
        <is>
          <t>IM</t>
        </is>
      </c>
      <c r="D3910" s="28" t="n">
        <v>46142</v>
      </c>
      <c r="E3910" t="inlineStr">
        <is>
          <t>IM캐피탈</t>
        </is>
      </c>
      <c r="F3910" t="inlineStr">
        <is>
          <t>윤상영</t>
        </is>
      </c>
      <c r="G3910" t="inlineStr">
        <is>
          <t>010-3369-3527</t>
        </is>
      </c>
      <c r="H3910" t="inlineStr">
        <is>
          <t>373마5781</t>
        </is>
      </c>
      <c r="I3910" t="n">
        <v>30000000</v>
      </c>
      <c r="J3910" t="n">
        <v>0.063</v>
      </c>
      <c r="K3910" t="n">
        <v>1.1</v>
      </c>
      <c r="L3910" t="n">
        <v>0.07000000000000001</v>
      </c>
      <c r="M3910" t="n">
        <v>1.03</v>
      </c>
      <c r="P3910" t="inlineStr">
        <is>
          <t>황채이</t>
        </is>
      </c>
      <c r="Q3910" t="inlineStr">
        <is>
          <t>홈서비스 72개월</t>
        </is>
      </c>
      <c r="AB3910" t="inlineStr">
        <is>
          <t>홈서비스</t>
        </is>
      </c>
      <c r="AC3910" t="n">
        <v>330000</v>
      </c>
      <c r="AD3910" t="n">
        <v>21000</v>
      </c>
      <c r="AE3910" t="n">
        <v>309000</v>
      </c>
      <c r="AF3910" t="n">
        <v>300000</v>
      </c>
      <c r="AG3910" t="n">
        <v>20307</v>
      </c>
      <c r="AH3910" t="n">
        <v>279693</v>
      </c>
      <c r="AI3910" t="n">
        <v>0</v>
      </c>
    </row>
    <row r="3911">
      <c r="A3911" t="inlineStr">
        <is>
          <t>4월</t>
        </is>
      </c>
      <c r="B3911" t="inlineStr">
        <is>
          <t>18주차</t>
        </is>
      </c>
      <c r="C3911" t="inlineStr">
        <is>
          <t>EP</t>
        </is>
      </c>
      <c r="D3911" s="28" t="n">
        <v>46142</v>
      </c>
      <c r="E3911" t="inlineStr">
        <is>
          <t>제이비EP</t>
        </is>
      </c>
      <c r="F3911" t="inlineStr">
        <is>
          <t>김태훈</t>
        </is>
      </c>
      <c r="G3911" t="inlineStr">
        <is>
          <t>010-5299-4070</t>
        </is>
      </c>
      <c r="H3911" t="inlineStr">
        <is>
          <t>100가8933</t>
        </is>
      </c>
      <c r="I3911" t="n">
        <v>80000000</v>
      </c>
      <c r="J3911" t="n">
        <v>0.065</v>
      </c>
      <c r="K3911" t="n">
        <v>1.65</v>
      </c>
      <c r="L3911" t="n">
        <v>0.4</v>
      </c>
      <c r="M3911" t="n">
        <v>1.25</v>
      </c>
      <c r="P3911" t="inlineStr">
        <is>
          <t>임대경</t>
        </is>
      </c>
      <c r="Q3911" t="inlineStr">
        <is>
          <t>사유 : 법인 /주식회사 한국건설중기</t>
        </is>
      </c>
      <c r="AB3911" t="inlineStr">
        <is>
          <t>엔카</t>
        </is>
      </c>
      <c r="AC3911" t="n">
        <v>1320000</v>
      </c>
      <c r="AD3911" t="n">
        <v>320000</v>
      </c>
      <c r="AE3911" t="n">
        <v>1000000</v>
      </c>
      <c r="AF3911" t="n">
        <v>1200000</v>
      </c>
      <c r="AG3911" t="n">
        <v>309440</v>
      </c>
      <c r="AH3911" t="n">
        <v>890560</v>
      </c>
      <c r="AI3911" t="n">
        <v>0</v>
      </c>
    </row>
    <row r="3912">
      <c r="A3912" t="inlineStr">
        <is>
          <t>4월</t>
        </is>
      </c>
      <c r="B3912" t="inlineStr">
        <is>
          <t>18주차</t>
        </is>
      </c>
      <c r="C3912" t="inlineStr">
        <is>
          <t>EP</t>
        </is>
      </c>
      <c r="D3912" s="28" t="n">
        <v>46142</v>
      </c>
      <c r="E3912" t="inlineStr">
        <is>
          <t>현대EP</t>
        </is>
      </c>
      <c r="F3912" t="inlineStr">
        <is>
          <t>윤재웅</t>
        </is>
      </c>
      <c r="G3912" t="inlineStr">
        <is>
          <t>010-6644-8430</t>
        </is>
      </c>
      <c r="H3912" t="inlineStr">
        <is>
          <t>228너4641</t>
        </is>
      </c>
      <c r="I3912" t="n">
        <v>67900000</v>
      </c>
      <c r="J3912" t="n">
        <v>0.062</v>
      </c>
      <c r="K3912" t="n">
        <v>1.76</v>
      </c>
      <c r="L3912" t="n">
        <v>0.2</v>
      </c>
      <c r="M3912" t="n">
        <v>1.56</v>
      </c>
      <c r="P3912" t="inlineStr">
        <is>
          <t>김수연</t>
        </is>
      </c>
      <c r="AB3912" t="inlineStr">
        <is>
          <t>홈서비스</t>
        </is>
      </c>
      <c r="AC3912" t="n">
        <v>1195040</v>
      </c>
      <c r="AD3912" t="n">
        <v>135800</v>
      </c>
      <c r="AE3912" t="n">
        <v>1059240</v>
      </c>
      <c r="AF3912" t="n">
        <v>1086400</v>
      </c>
      <c r="AG3912" t="n">
        <v>131318.6</v>
      </c>
      <c r="AH3912" t="n">
        <v>955081.4</v>
      </c>
      <c r="AI3912" t="n">
        <v>0</v>
      </c>
    </row>
    <row r="3913">
      <c r="A3913" t="inlineStr">
        <is>
          <t>4월</t>
        </is>
      </c>
      <c r="B3913" t="inlineStr">
        <is>
          <t>18주차</t>
        </is>
      </c>
      <c r="C3913" t="inlineStr">
        <is>
          <t>EP</t>
        </is>
      </c>
      <c r="D3913" s="28" t="n">
        <v>46141</v>
      </c>
      <c r="E3913" t="inlineStr">
        <is>
          <t>BNKEP</t>
        </is>
      </c>
      <c r="F3913" t="inlineStr">
        <is>
          <t>김원빈</t>
        </is>
      </c>
      <c r="G3913" t="inlineStr">
        <is>
          <t>010-5898-6079</t>
        </is>
      </c>
      <c r="H3913" t="inlineStr">
        <is>
          <t>802조3937</t>
        </is>
      </c>
      <c r="I3913" t="n">
        <v>25000000</v>
      </c>
      <c r="J3913" t="n">
        <v>0.094</v>
      </c>
      <c r="K3913" t="n">
        <v>1.65</v>
      </c>
      <c r="L3913" t="n">
        <v>0.4</v>
      </c>
      <c r="M3913" t="n">
        <v>1.25</v>
      </c>
      <c r="N3913" t="inlineStr">
        <is>
          <t>한규상</t>
        </is>
      </c>
      <c r="P3913" t="inlineStr">
        <is>
          <t>장현경</t>
        </is>
      </c>
      <c r="AB3913" t="inlineStr">
        <is>
          <t>엔카</t>
        </is>
      </c>
      <c r="AC3913" t="n">
        <v>412500</v>
      </c>
      <c r="AD3913" t="n">
        <v>100000</v>
      </c>
      <c r="AE3913" t="n">
        <v>312500</v>
      </c>
      <c r="AF3913" t="n">
        <v>375000</v>
      </c>
      <c r="AG3913" t="n">
        <v>96700</v>
      </c>
      <c r="AH3913" t="n">
        <v>278300</v>
      </c>
      <c r="AI3913" t="n">
        <v>0</v>
      </c>
    </row>
    <row r="3914">
      <c r="A3914" t="inlineStr">
        <is>
          <t>4월</t>
        </is>
      </c>
      <c r="B3914" t="inlineStr">
        <is>
          <t>18주차</t>
        </is>
      </c>
      <c r="C3914" t="inlineStr">
        <is>
          <t>WC</t>
        </is>
      </c>
      <c r="D3914" s="28" t="n">
        <v>46141</v>
      </c>
      <c r="E3914" t="inlineStr">
        <is>
          <t>웰컴저축은행</t>
        </is>
      </c>
      <c r="F3914" t="inlineStr">
        <is>
          <t>황종태</t>
        </is>
      </c>
      <c r="G3914" t="inlineStr">
        <is>
          <t>010-2181-4266</t>
        </is>
      </c>
      <c r="H3914" t="inlineStr">
        <is>
          <t>82우2972</t>
        </is>
      </c>
      <c r="I3914" t="n">
        <v>7500000</v>
      </c>
      <c r="J3914" t="n">
        <v>0.089</v>
      </c>
      <c r="K3914" t="n">
        <v>2.2</v>
      </c>
      <c r="L3914" t="n">
        <v>0.4</v>
      </c>
      <c r="M3914" t="n">
        <v>1.8</v>
      </c>
      <c r="P3914" t="inlineStr">
        <is>
          <t>박현민</t>
        </is>
      </c>
      <c r="AB3914" t="inlineStr">
        <is>
          <t>엔카</t>
        </is>
      </c>
      <c r="AC3914" t="n">
        <v>165000</v>
      </c>
      <c r="AD3914" t="n">
        <v>30000</v>
      </c>
      <c r="AE3914" t="n">
        <v>135000</v>
      </c>
      <c r="AF3914" t="n">
        <v>150000</v>
      </c>
      <c r="AG3914" t="n">
        <v>29010</v>
      </c>
      <c r="AH3914" t="n">
        <v>120990</v>
      </c>
      <c r="AI3914" t="n">
        <v>0</v>
      </c>
    </row>
    <row r="3915">
      <c r="A3915" t="inlineStr">
        <is>
          <t>5월</t>
        </is>
      </c>
      <c r="B3915" t="inlineStr">
        <is>
          <t>18주차</t>
        </is>
      </c>
      <c r="C3915" t="inlineStr">
        <is>
          <t>EP</t>
        </is>
      </c>
      <c r="D3915" s="28" t="n">
        <v>46143</v>
      </c>
      <c r="E3915" t="inlineStr">
        <is>
          <t>현대EP</t>
        </is>
      </c>
      <c r="F3915" t="inlineStr">
        <is>
          <t>이원경</t>
        </is>
      </c>
      <c r="G3915" t="inlineStr">
        <is>
          <t>010-5003-8922</t>
        </is>
      </c>
      <c r="H3915" t="inlineStr">
        <is>
          <t>334로4112</t>
        </is>
      </c>
      <c r="I3915" t="n">
        <v>5000000</v>
      </c>
      <c r="J3915" t="n">
        <v>0.138</v>
      </c>
      <c r="K3915" t="n">
        <v>1.76</v>
      </c>
      <c r="L3915" t="n">
        <v>0.14</v>
      </c>
      <c r="M3915" t="n">
        <v>1.62</v>
      </c>
      <c r="P3915" t="inlineStr">
        <is>
          <t>정세빈</t>
        </is>
      </c>
      <c r="AB3915" t="inlineStr">
        <is>
          <t>홈서비스</t>
        </is>
      </c>
      <c r="AC3915" t="n">
        <v>88000</v>
      </c>
      <c r="AD3915" t="n">
        <v>7000</v>
      </c>
      <c r="AE3915" t="n">
        <v>81000</v>
      </c>
      <c r="AF3915" t="n">
        <v>80000</v>
      </c>
      <c r="AG3915" t="n">
        <v>6769</v>
      </c>
      <c r="AH3915" t="n">
        <v>73231</v>
      </c>
      <c r="AI3915" t="n">
        <v>0</v>
      </c>
    </row>
    <row r="3916">
      <c r="A3916" t="inlineStr">
        <is>
          <t>5월</t>
        </is>
      </c>
      <c r="B3916" t="inlineStr">
        <is>
          <t>18주차</t>
        </is>
      </c>
      <c r="C3916" t="inlineStr">
        <is>
          <t>EP</t>
        </is>
      </c>
      <c r="D3916" s="28" t="n">
        <v>46143</v>
      </c>
      <c r="E3916" t="inlineStr">
        <is>
          <t>현대EP</t>
        </is>
      </c>
      <c r="F3916" t="inlineStr">
        <is>
          <t>정호</t>
        </is>
      </c>
      <c r="G3916" t="inlineStr">
        <is>
          <t>010-7623-4456</t>
        </is>
      </c>
      <c r="H3916" t="inlineStr">
        <is>
          <t>10부2294</t>
        </is>
      </c>
      <c r="I3916" t="n">
        <v>20000000</v>
      </c>
      <c r="J3916" t="n">
        <v>0.07099999999999999</v>
      </c>
      <c r="K3916" t="n">
        <v>1.76</v>
      </c>
      <c r="L3916" t="n">
        <v>0.14</v>
      </c>
      <c r="M3916" t="n">
        <v>1.62</v>
      </c>
      <c r="P3916" t="inlineStr">
        <is>
          <t>김나윤</t>
        </is>
      </c>
      <c r="AB3916" t="inlineStr">
        <is>
          <t>홈서비스</t>
        </is>
      </c>
      <c r="AC3916" t="n">
        <v>352000</v>
      </c>
      <c r="AD3916" t="n">
        <v>28000</v>
      </c>
      <c r="AE3916" t="n">
        <v>324000</v>
      </c>
      <c r="AF3916" t="n">
        <v>320000</v>
      </c>
      <c r="AG3916" t="n">
        <v>27076</v>
      </c>
      <c r="AH3916" t="n">
        <v>292924</v>
      </c>
      <c r="AI3916" t="n">
        <v>0</v>
      </c>
    </row>
    <row r="3917">
      <c r="A3917" t="inlineStr">
        <is>
          <t>4월</t>
        </is>
      </c>
      <c r="B3917" t="inlineStr">
        <is>
          <t>18주차</t>
        </is>
      </c>
      <c r="C3917" t="inlineStr">
        <is>
          <t>EP</t>
        </is>
      </c>
      <c r="D3917" s="28" t="n">
        <v>46142</v>
      </c>
      <c r="E3917" t="inlineStr">
        <is>
          <t>제이비EP</t>
        </is>
      </c>
      <c r="F3917" t="inlineStr">
        <is>
          <t>이우석</t>
        </is>
      </c>
      <c r="G3917" t="inlineStr">
        <is>
          <t>010-5379-5192</t>
        </is>
      </c>
      <c r="H3917" t="inlineStr">
        <is>
          <t>239거8872</t>
        </is>
      </c>
      <c r="I3917" t="n">
        <v>35200000</v>
      </c>
      <c r="J3917" t="n">
        <v>0.08699999999999999</v>
      </c>
      <c r="K3917" t="n">
        <v>1.65</v>
      </c>
      <c r="L3917" t="n">
        <v>0.07000000000000001</v>
      </c>
      <c r="M3917" t="n">
        <v>1.58</v>
      </c>
      <c r="P3917" t="inlineStr">
        <is>
          <t>박현민</t>
        </is>
      </c>
      <c r="Q3917" t="inlineStr">
        <is>
          <t>홈서비스 60개월</t>
        </is>
      </c>
      <c r="AB3917" t="inlineStr">
        <is>
          <t>홈서비스</t>
        </is>
      </c>
      <c r="AC3917" t="n">
        <v>580800</v>
      </c>
      <c r="AD3917" t="n">
        <v>24640</v>
      </c>
      <c r="AE3917" t="n">
        <v>556160</v>
      </c>
      <c r="AF3917" t="n">
        <v>528000</v>
      </c>
      <c r="AG3917" t="n">
        <v>23826.88</v>
      </c>
      <c r="AH3917" t="n">
        <v>504173.12</v>
      </c>
      <c r="AI3917" t="n">
        <v>0</v>
      </c>
    </row>
    <row r="3918">
      <c r="A3918" t="inlineStr">
        <is>
          <t>5월</t>
        </is>
      </c>
      <c r="B3918" t="inlineStr">
        <is>
          <t>18주차</t>
        </is>
      </c>
      <c r="C3918" t="inlineStr">
        <is>
          <t>IM</t>
        </is>
      </c>
      <c r="D3918" s="28" t="n">
        <v>46143</v>
      </c>
      <c r="E3918" t="inlineStr">
        <is>
          <t>IM캐피탈</t>
        </is>
      </c>
      <c r="F3918" t="inlineStr">
        <is>
          <t>천우진</t>
        </is>
      </c>
      <c r="G3918" t="inlineStr">
        <is>
          <t>010-4537-0628</t>
        </is>
      </c>
      <c r="H3918" t="inlineStr">
        <is>
          <t>175두2376</t>
        </is>
      </c>
      <c r="I3918" t="n">
        <v>43700000</v>
      </c>
      <c r="J3918" t="n">
        <v>0.063</v>
      </c>
      <c r="K3918" t="n">
        <v>1.1</v>
      </c>
      <c r="L3918" t="n">
        <v>0.5</v>
      </c>
      <c r="M3918" t="n">
        <v>0.6</v>
      </c>
      <c r="P3918" t="inlineStr">
        <is>
          <t>임대경</t>
        </is>
      </c>
      <c r="AB3918" t="inlineStr">
        <is>
          <t>엔카</t>
        </is>
      </c>
      <c r="AC3918" t="n">
        <v>480700</v>
      </c>
      <c r="AD3918" t="n">
        <v>218500</v>
      </c>
      <c r="AE3918" t="n">
        <v>262200</v>
      </c>
      <c r="AF3918" t="n">
        <v>437000</v>
      </c>
      <c r="AG3918" t="n">
        <v>211289.5</v>
      </c>
      <c r="AH3918" t="n">
        <v>225710.5</v>
      </c>
    </row>
    <row r="3919">
      <c r="A3919" t="inlineStr">
        <is>
          <t>5월</t>
        </is>
      </c>
      <c r="B3919" t="inlineStr">
        <is>
          <t>18주차</t>
        </is>
      </c>
      <c r="C3919" t="inlineStr">
        <is>
          <t>EP</t>
        </is>
      </c>
      <c r="D3919" s="28" t="n">
        <v>46144</v>
      </c>
      <c r="E3919" t="inlineStr">
        <is>
          <t>현대EP</t>
        </is>
      </c>
      <c r="F3919" t="inlineStr">
        <is>
          <t>박성철</t>
        </is>
      </c>
      <c r="G3919" t="inlineStr">
        <is>
          <t>010-2522-0618</t>
        </is>
      </c>
      <c r="H3919" t="inlineStr">
        <is>
          <t>336가4090</t>
        </is>
      </c>
      <c r="I3919" t="n">
        <v>29400000</v>
      </c>
      <c r="J3919" t="n">
        <v>0.07099999999999999</v>
      </c>
      <c r="K3919" t="n">
        <v>1.76</v>
      </c>
      <c r="L3919" t="n">
        <v>0.14</v>
      </c>
      <c r="M3919" t="n">
        <v>1.62</v>
      </c>
      <c r="P3919" t="inlineStr">
        <is>
          <t>김나윤</t>
        </is>
      </c>
      <c r="AB3919" t="inlineStr">
        <is>
          <t>홈서비스</t>
        </is>
      </c>
      <c r="AC3919" t="n">
        <v>517440</v>
      </c>
      <c r="AD3919" t="n">
        <v>41160</v>
      </c>
      <c r="AE3919" t="n">
        <v>476280</v>
      </c>
      <c r="AF3919" t="n">
        <v>470400</v>
      </c>
      <c r="AG3919" t="n">
        <v>39801.72</v>
      </c>
      <c r="AH3919" t="n">
        <v>430598.28</v>
      </c>
    </row>
    <row r="3920">
      <c r="A3920" t="inlineStr">
        <is>
          <t>5월</t>
        </is>
      </c>
      <c r="B3920" t="inlineStr">
        <is>
          <t>18주차</t>
        </is>
      </c>
      <c r="C3920" t="inlineStr">
        <is>
          <t>EP</t>
        </is>
      </c>
      <c r="D3920" s="28" t="n">
        <v>46144</v>
      </c>
      <c r="E3920" t="inlineStr">
        <is>
          <t>현대EP</t>
        </is>
      </c>
      <c r="F3920" t="inlineStr">
        <is>
          <t>임준호</t>
        </is>
      </c>
      <c r="G3920" t="inlineStr">
        <is>
          <t>010-9173-0894</t>
        </is>
      </c>
      <c r="H3920" t="inlineStr">
        <is>
          <t>174부6190</t>
        </is>
      </c>
      <c r="I3920" t="n">
        <v>41900000</v>
      </c>
      <c r="J3920" t="n">
        <v>0.075</v>
      </c>
      <c r="K3920" t="n">
        <v>1.76</v>
      </c>
      <c r="L3920" t="n">
        <v>0.14</v>
      </c>
      <c r="M3920" t="n">
        <v>1.62</v>
      </c>
      <c r="P3920" t="inlineStr">
        <is>
          <t>정세빈</t>
        </is>
      </c>
      <c r="AB3920" t="inlineStr">
        <is>
          <t>홈서비스</t>
        </is>
      </c>
      <c r="AC3920" t="n">
        <v>737440</v>
      </c>
      <c r="AD3920" t="n">
        <v>58660</v>
      </c>
      <c r="AE3920" t="n">
        <v>678780</v>
      </c>
      <c r="AF3920" t="n">
        <v>670400</v>
      </c>
      <c r="AG3920" t="n">
        <v>56724.22</v>
      </c>
      <c r="AH3920" t="n">
        <v>613675.78</v>
      </c>
    </row>
    <row r="3921">
      <c r="A3921" t="inlineStr">
        <is>
          <t>4월</t>
        </is>
      </c>
      <c r="B3921" t="inlineStr">
        <is>
          <t>18주차</t>
        </is>
      </c>
      <c r="C3921" t="inlineStr">
        <is>
          <t>EP</t>
        </is>
      </c>
      <c r="D3921" s="28" t="n">
        <v>46141</v>
      </c>
      <c r="E3921" t="inlineStr">
        <is>
          <t>현대EP_fast</t>
        </is>
      </c>
      <c r="F3921" t="inlineStr">
        <is>
          <t>김성우</t>
        </is>
      </c>
      <c r="G3921" t="inlineStr">
        <is>
          <t>010-9999-9031</t>
        </is>
      </c>
      <c r="H3921" t="inlineStr">
        <is>
          <t>27조2929</t>
        </is>
      </c>
      <c r="I3921" t="n">
        <v>42600000</v>
      </c>
      <c r="J3921" t="n">
        <v>0.105</v>
      </c>
      <c r="K3921" t="n">
        <v>1.76</v>
      </c>
      <c r="L3921" t="n">
        <v>0.4</v>
      </c>
      <c r="M3921" t="n">
        <v>1.36</v>
      </c>
      <c r="P3921" t="inlineStr">
        <is>
          <t>장현경</t>
        </is>
      </c>
      <c r="AB3921" t="inlineStr">
        <is>
          <t>엔카</t>
        </is>
      </c>
      <c r="AC3921" t="n">
        <v>749760</v>
      </c>
      <c r="AD3921" t="n">
        <v>170400</v>
      </c>
      <c r="AE3921" t="n">
        <v>579360</v>
      </c>
      <c r="AF3921" t="n">
        <v>681600</v>
      </c>
      <c r="AG3921" t="n">
        <v>164776.8</v>
      </c>
      <c r="AH3921" t="n">
        <v>516823.2</v>
      </c>
      <c r="AI3921" t="n">
        <v>0</v>
      </c>
    </row>
    <row r="3922">
      <c r="A3922" t="inlineStr">
        <is>
          <t>4월</t>
        </is>
      </c>
      <c r="B3922" t="inlineStr">
        <is>
          <t>18주차</t>
        </is>
      </c>
      <c r="C3922" t="inlineStr">
        <is>
          <t>IM</t>
        </is>
      </c>
      <c r="D3922" s="28" t="n">
        <v>46142</v>
      </c>
      <c r="E3922" t="inlineStr">
        <is>
          <t>IM캐피탈</t>
        </is>
      </c>
      <c r="F3922" t="inlineStr">
        <is>
          <t>구용회</t>
        </is>
      </c>
      <c r="G3922" t="inlineStr">
        <is>
          <t>010-8587-3579</t>
        </is>
      </c>
      <c r="H3922" t="inlineStr">
        <is>
          <t>170더3397</t>
        </is>
      </c>
      <c r="I3922" t="n">
        <v>37500000</v>
      </c>
      <c r="J3922" t="n">
        <v>0.059</v>
      </c>
      <c r="K3922" t="n">
        <v>1.1</v>
      </c>
      <c r="L3922" t="n">
        <v>0.07000000000000001</v>
      </c>
      <c r="M3922" t="n">
        <v>1.03</v>
      </c>
      <c r="P3922" t="inlineStr">
        <is>
          <t>박소현</t>
        </is>
      </c>
      <c r="Q3922" t="inlineStr">
        <is>
          <t>선상담 / 홈서비스 60개월</t>
        </is>
      </c>
      <c r="AB3922" t="inlineStr">
        <is>
          <t>홈서비스</t>
        </is>
      </c>
      <c r="AC3922" t="n">
        <v>412500</v>
      </c>
      <c r="AD3922" t="n">
        <v>26250</v>
      </c>
      <c r="AE3922" t="n">
        <v>386250</v>
      </c>
      <c r="AF3922" t="n">
        <v>375000</v>
      </c>
      <c r="AG3922" t="n">
        <v>25383.75</v>
      </c>
      <c r="AH3922" t="n">
        <v>349616.25</v>
      </c>
      <c r="AI3922" t="n">
        <v>0</v>
      </c>
    </row>
    <row r="3923">
      <c r="A3923" t="inlineStr">
        <is>
          <t>5월</t>
        </is>
      </c>
      <c r="B3923" t="inlineStr">
        <is>
          <t>19주차</t>
        </is>
      </c>
      <c r="C3923" t="inlineStr">
        <is>
          <t>IM</t>
        </is>
      </c>
      <c r="D3923" s="28" t="n">
        <v>46146</v>
      </c>
      <c r="E3923" t="inlineStr">
        <is>
          <t>IM캐피탈</t>
        </is>
      </c>
      <c r="F3923" t="inlineStr">
        <is>
          <t>정영웅</t>
        </is>
      </c>
      <c r="G3923" t="inlineStr">
        <is>
          <t>010-7107-0088</t>
        </is>
      </c>
      <c r="H3923" t="inlineStr">
        <is>
          <t>65다8477</t>
        </is>
      </c>
      <c r="I3923" t="n">
        <v>10000000</v>
      </c>
      <c r="J3923" t="n">
        <v>0.049</v>
      </c>
      <c r="K3923" t="n">
        <v>1.1</v>
      </c>
      <c r="L3923" t="n">
        <v>0.5</v>
      </c>
      <c r="M3923" t="n">
        <v>0.6</v>
      </c>
      <c r="P3923" t="inlineStr">
        <is>
          <t>임대경</t>
        </is>
      </c>
      <c r="AB3923" t="inlineStr">
        <is>
          <t>엔카</t>
        </is>
      </c>
      <c r="AC3923" t="n">
        <v>110000</v>
      </c>
      <c r="AD3923" t="n">
        <v>50000</v>
      </c>
      <c r="AE3923" t="n">
        <v>60000</v>
      </c>
      <c r="AF3923" t="n">
        <v>100000</v>
      </c>
      <c r="AG3923" t="n">
        <v>48350</v>
      </c>
      <c r="AH3923" t="n">
        <v>51650</v>
      </c>
      <c r="AI3923" t="n">
        <v>0</v>
      </c>
    </row>
    <row r="3924">
      <c r="A3924" t="inlineStr">
        <is>
          <t>5월</t>
        </is>
      </c>
      <c r="B3924" t="inlineStr">
        <is>
          <t>18주차</t>
        </is>
      </c>
      <c r="C3924" t="inlineStr">
        <is>
          <t>EP</t>
        </is>
      </c>
      <c r="D3924" s="28" t="n">
        <v>46145</v>
      </c>
      <c r="E3924" t="inlineStr">
        <is>
          <t>현대EP</t>
        </is>
      </c>
      <c r="F3924" t="inlineStr">
        <is>
          <t>김성현</t>
        </is>
      </c>
      <c r="G3924" t="inlineStr">
        <is>
          <t>010-2879-0123</t>
        </is>
      </c>
      <c r="H3924" t="inlineStr">
        <is>
          <t>277러2858</t>
        </is>
      </c>
      <c r="I3924" t="n">
        <v>42900000</v>
      </c>
      <c r="J3924" t="n">
        <v>0.09</v>
      </c>
      <c r="K3924" t="n">
        <v>1.76</v>
      </c>
      <c r="L3924" t="n">
        <v>0.14</v>
      </c>
      <c r="M3924" t="n">
        <v>1.62</v>
      </c>
      <c r="P3924" t="inlineStr">
        <is>
          <t>황채이</t>
        </is>
      </c>
      <c r="AB3924" t="inlineStr">
        <is>
          <t>홈서비스</t>
        </is>
      </c>
      <c r="AC3924" t="n">
        <v>755040</v>
      </c>
      <c r="AD3924" t="n">
        <v>60060</v>
      </c>
      <c r="AE3924" t="n">
        <v>694980</v>
      </c>
      <c r="AF3924" t="n">
        <v>686400</v>
      </c>
      <c r="AG3924" t="n">
        <v>58078.02</v>
      </c>
      <c r="AH3924" t="n">
        <v>628321.98</v>
      </c>
      <c r="AI3924" t="n">
        <v>0</v>
      </c>
    </row>
    <row r="3925">
      <c r="A3925" t="inlineStr">
        <is>
          <t>5월</t>
        </is>
      </c>
      <c r="B3925" t="inlineStr">
        <is>
          <t>19주차</t>
        </is>
      </c>
      <c r="C3925" t="inlineStr">
        <is>
          <t>EP</t>
        </is>
      </c>
      <c r="D3925" s="28" t="n">
        <v>46146</v>
      </c>
      <c r="E3925" t="inlineStr">
        <is>
          <t>현대EP_fast</t>
        </is>
      </c>
      <c r="F3925" t="inlineStr">
        <is>
          <t>이완</t>
        </is>
      </c>
      <c r="G3925" t="inlineStr">
        <is>
          <t>010-8991-9794</t>
        </is>
      </c>
      <c r="H3925" t="inlineStr">
        <is>
          <t>113저9276</t>
        </is>
      </c>
      <c r="I3925" t="n">
        <v>7800000</v>
      </c>
      <c r="J3925" t="n">
        <v>0.118</v>
      </c>
      <c r="K3925" t="n">
        <v>1.76</v>
      </c>
      <c r="L3925" t="n">
        <v>0.14</v>
      </c>
      <c r="M3925" t="n">
        <v>1.62</v>
      </c>
      <c r="P3925" t="inlineStr">
        <is>
          <t>황채이</t>
        </is>
      </c>
      <c r="Q3925" t="inlineStr">
        <is>
          <t>홈서비스 36개월</t>
        </is>
      </c>
      <c r="AB3925" t="inlineStr">
        <is>
          <t>홈서비스</t>
        </is>
      </c>
      <c r="AC3925" t="n">
        <v>137280</v>
      </c>
      <c r="AD3925" t="n">
        <v>10920</v>
      </c>
      <c r="AE3925" t="n">
        <v>126360</v>
      </c>
      <c r="AF3925" t="n">
        <v>124800</v>
      </c>
      <c r="AG3925" t="n">
        <v>10559.64</v>
      </c>
      <c r="AH3925" t="n">
        <v>114240.36</v>
      </c>
      <c r="AI3925" t="n">
        <v>0</v>
      </c>
    </row>
    <row r="3926">
      <c r="A3926" t="inlineStr">
        <is>
          <t>4월</t>
        </is>
      </c>
      <c r="B3926" t="inlineStr">
        <is>
          <t>18주차</t>
        </is>
      </c>
      <c r="C3926" t="inlineStr">
        <is>
          <t>EP</t>
        </is>
      </c>
      <c r="D3926" s="28" t="n">
        <v>46142</v>
      </c>
      <c r="E3926" t="inlineStr">
        <is>
          <t>현대EP_fast</t>
        </is>
      </c>
      <c r="F3926" t="inlineStr">
        <is>
          <t>손현서</t>
        </is>
      </c>
      <c r="G3926" t="inlineStr">
        <is>
          <t>010-5913-8773</t>
        </is>
      </c>
      <c r="H3926" t="inlineStr">
        <is>
          <t>66거7002</t>
        </is>
      </c>
      <c r="I3926" t="n">
        <v>18400000</v>
      </c>
      <c r="J3926" t="n">
        <v>0.14</v>
      </c>
      <c r="K3926" t="n">
        <v>1.76</v>
      </c>
      <c r="L3926" t="n">
        <v>0.4</v>
      </c>
      <c r="M3926" t="n">
        <v>1.36</v>
      </c>
      <c r="P3926" t="inlineStr">
        <is>
          <t>장진경</t>
        </is>
      </c>
      <c r="AB3926" t="inlineStr">
        <is>
          <t>엔카</t>
        </is>
      </c>
      <c r="AC3926" t="n">
        <v>323840</v>
      </c>
      <c r="AD3926" t="n">
        <v>73600</v>
      </c>
      <c r="AE3926" t="n">
        <v>250240</v>
      </c>
      <c r="AF3926" t="n">
        <v>294400</v>
      </c>
      <c r="AG3926" t="n">
        <v>71171.2</v>
      </c>
      <c r="AH3926" t="n">
        <v>223228.8</v>
      </c>
      <c r="AI3926" t="n">
        <v>0</v>
      </c>
    </row>
    <row r="3927">
      <c r="A3927" t="inlineStr">
        <is>
          <t>4월</t>
        </is>
      </c>
      <c r="B3927" t="inlineStr">
        <is>
          <t>18주차</t>
        </is>
      </c>
      <c r="C3927" t="inlineStr">
        <is>
          <t>EP</t>
        </is>
      </c>
      <c r="D3927" s="28" t="n">
        <v>46142</v>
      </c>
      <c r="E3927" t="inlineStr">
        <is>
          <t>현대EP</t>
        </is>
      </c>
      <c r="F3927" t="inlineStr">
        <is>
          <t>이종웅</t>
        </is>
      </c>
      <c r="G3927" t="inlineStr">
        <is>
          <t>010-4026-4194</t>
        </is>
      </c>
      <c r="H3927" t="inlineStr">
        <is>
          <t>17소2236</t>
        </is>
      </c>
      <c r="I3927" t="n">
        <v>7300000</v>
      </c>
      <c r="J3927" t="n">
        <v>0.07099999999999999</v>
      </c>
      <c r="K3927" t="n">
        <v>1.76</v>
      </c>
      <c r="L3927" t="n">
        <v>0.2</v>
      </c>
      <c r="M3927" t="n">
        <v>1.56</v>
      </c>
      <c r="P3927" t="inlineStr">
        <is>
          <t>김수연</t>
        </is>
      </c>
      <c r="AB3927" t="inlineStr">
        <is>
          <t>홈서비스</t>
        </is>
      </c>
      <c r="AC3927" t="n">
        <v>128480</v>
      </c>
      <c r="AD3927" t="n">
        <v>14600</v>
      </c>
      <c r="AE3927" t="n">
        <v>113880</v>
      </c>
      <c r="AF3927" t="n">
        <v>116800</v>
      </c>
      <c r="AG3927" t="n">
        <v>14118.2</v>
      </c>
      <c r="AH3927" t="n">
        <v>102681.8</v>
      </c>
      <c r="AI3927" t="n">
        <v>0</v>
      </c>
    </row>
    <row r="3928">
      <c r="A3928" t="inlineStr">
        <is>
          <t>5월</t>
        </is>
      </c>
      <c r="B3928" t="inlineStr">
        <is>
          <t>19주차</t>
        </is>
      </c>
      <c r="C3928" t="inlineStr">
        <is>
          <t>IM</t>
        </is>
      </c>
      <c r="D3928" s="28" t="n">
        <v>46146</v>
      </c>
      <c r="E3928" t="inlineStr">
        <is>
          <t>IM캐피탈</t>
        </is>
      </c>
      <c r="F3928" t="inlineStr">
        <is>
          <t>조재민</t>
        </is>
      </c>
      <c r="G3928" t="inlineStr">
        <is>
          <t>010-5698-6098</t>
        </is>
      </c>
      <c r="H3928" t="inlineStr">
        <is>
          <t>139오3818</t>
        </is>
      </c>
      <c r="I3928" t="n">
        <v>27500000</v>
      </c>
      <c r="J3928" t="n">
        <v>0.045</v>
      </c>
      <c r="K3928" t="n">
        <v>1.1</v>
      </c>
      <c r="L3928" t="n">
        <v>0.14</v>
      </c>
      <c r="M3928" t="n">
        <v>0.96</v>
      </c>
      <c r="P3928" t="inlineStr">
        <is>
          <t>김나윤</t>
        </is>
      </c>
      <c r="Q3928" t="inlineStr">
        <is>
          <t>홈서비스 60개월</t>
        </is>
      </c>
      <c r="AB3928" t="inlineStr">
        <is>
          <t>홈서비스</t>
        </is>
      </c>
      <c r="AC3928" t="n">
        <v>302500</v>
      </c>
      <c r="AD3928" t="n">
        <v>38500</v>
      </c>
      <c r="AE3928" t="n">
        <v>264000</v>
      </c>
      <c r="AF3928" t="n">
        <v>275000</v>
      </c>
      <c r="AG3928" t="n">
        <v>37229.5</v>
      </c>
      <c r="AH3928" t="n">
        <v>237770.5</v>
      </c>
      <c r="AI3928" t="n">
        <v>0</v>
      </c>
    </row>
    <row r="3929">
      <c r="A3929" t="inlineStr">
        <is>
          <t>5월</t>
        </is>
      </c>
      <c r="B3929" t="inlineStr">
        <is>
          <t>19주차</t>
        </is>
      </c>
      <c r="C3929" t="inlineStr">
        <is>
          <t>EP</t>
        </is>
      </c>
      <c r="D3929" s="28" t="n">
        <v>46146</v>
      </c>
      <c r="E3929" t="inlineStr">
        <is>
          <t>현대EP_fast</t>
        </is>
      </c>
      <c r="F3929" t="inlineStr">
        <is>
          <t>권기홍</t>
        </is>
      </c>
      <c r="G3929" t="inlineStr">
        <is>
          <t>010-5074-4675</t>
        </is>
      </c>
      <c r="H3929" t="inlineStr">
        <is>
          <t>47어5152</t>
        </is>
      </c>
      <c r="I3929" t="n">
        <v>8300000</v>
      </c>
      <c r="J3929" t="n">
        <v>0.07099999999999999</v>
      </c>
      <c r="K3929" t="n">
        <v>1.76</v>
      </c>
      <c r="L3929" t="n">
        <v>0.14</v>
      </c>
      <c r="M3929" t="n">
        <v>1.62</v>
      </c>
      <c r="P3929" t="inlineStr">
        <is>
          <t>김나윤</t>
        </is>
      </c>
      <c r="Q3929" t="inlineStr">
        <is>
          <t>홈서비스 60개월</t>
        </is>
      </c>
      <c r="AB3929" t="inlineStr">
        <is>
          <t>홈서비스</t>
        </is>
      </c>
      <c r="AC3929" t="n">
        <v>146080</v>
      </c>
      <c r="AD3929" t="n">
        <v>11620</v>
      </c>
      <c r="AE3929" t="n">
        <v>134460</v>
      </c>
      <c r="AF3929" t="n">
        <v>132800</v>
      </c>
      <c r="AG3929" t="n">
        <v>11236.54</v>
      </c>
      <c r="AH3929" t="n">
        <v>121563.46</v>
      </c>
    </row>
    <row r="3930">
      <c r="A3930" t="inlineStr">
        <is>
          <t>5월</t>
        </is>
      </c>
      <c r="B3930" t="inlineStr">
        <is>
          <t>19주차</t>
        </is>
      </c>
      <c r="C3930" t="inlineStr">
        <is>
          <t>EP</t>
        </is>
      </c>
      <c r="D3930" s="28" t="n">
        <v>46146</v>
      </c>
      <c r="E3930" t="inlineStr">
        <is>
          <t>현대EP_fast</t>
        </is>
      </c>
      <c r="F3930" t="inlineStr">
        <is>
          <t>양희제</t>
        </is>
      </c>
      <c r="G3930" t="inlineStr">
        <is>
          <t>010-5833-5184</t>
        </is>
      </c>
      <c r="H3930" t="inlineStr">
        <is>
          <t>178노8569</t>
        </is>
      </c>
      <c r="I3930" t="n">
        <v>15900000</v>
      </c>
      <c r="K3930" t="n">
        <v>1.76</v>
      </c>
      <c r="L3930" t="n">
        <v>0.14</v>
      </c>
      <c r="M3930" t="n">
        <v>1.62</v>
      </c>
      <c r="P3930" t="inlineStr">
        <is>
          <t>김나윤</t>
        </is>
      </c>
      <c r="Q3930" t="inlineStr">
        <is>
          <t>홈서비스 60개월 / 공동명의</t>
        </is>
      </c>
      <c r="AB3930" t="inlineStr">
        <is>
          <t>홈서비스</t>
        </is>
      </c>
      <c r="AC3930" t="n">
        <v>279840</v>
      </c>
      <c r="AD3930" t="n">
        <v>22260</v>
      </c>
      <c r="AE3930" t="n">
        <v>257580</v>
      </c>
      <c r="AF3930" t="n">
        <v>254400</v>
      </c>
      <c r="AG3930" t="n">
        <v>21525.42</v>
      </c>
      <c r="AH3930" t="n">
        <v>232874.58</v>
      </c>
      <c r="AI3930" t="n">
        <v>0</v>
      </c>
    </row>
    <row r="3931">
      <c r="A3931" t="inlineStr">
        <is>
          <t>4월</t>
        </is>
      </c>
      <c r="B3931" t="inlineStr">
        <is>
          <t>18주차</t>
        </is>
      </c>
      <c r="C3931" t="inlineStr">
        <is>
          <t>EP</t>
        </is>
      </c>
      <c r="D3931" s="28" t="n">
        <v>46142</v>
      </c>
      <c r="E3931" t="inlineStr">
        <is>
          <t>BNKEP</t>
        </is>
      </c>
      <c r="F3931" t="inlineStr">
        <is>
          <t>김정우</t>
        </is>
      </c>
      <c r="G3931" t="inlineStr">
        <is>
          <t>010-9476-8075</t>
        </is>
      </c>
      <c r="H3931" t="inlineStr">
        <is>
          <t>26두3630</t>
        </is>
      </c>
      <c r="I3931" t="n">
        <v>35000000</v>
      </c>
      <c r="J3931" t="n">
        <v>0.081</v>
      </c>
      <c r="K3931" t="n">
        <v>1.65</v>
      </c>
      <c r="L3931" t="n">
        <v>0.4</v>
      </c>
      <c r="M3931" t="n">
        <v>1.25</v>
      </c>
      <c r="P3931" t="inlineStr">
        <is>
          <t>장진경</t>
        </is>
      </c>
      <c r="Q3931" t="inlineStr">
        <is>
          <t>개인간거래</t>
        </is>
      </c>
      <c r="AB3931" t="inlineStr">
        <is>
          <t>엔카</t>
        </is>
      </c>
      <c r="AC3931" t="n">
        <v>577500</v>
      </c>
      <c r="AD3931" t="n">
        <v>140000</v>
      </c>
      <c r="AE3931" t="n">
        <v>437500</v>
      </c>
      <c r="AF3931" t="n">
        <v>525000</v>
      </c>
      <c r="AG3931" t="n">
        <v>135380</v>
      </c>
      <c r="AH3931" t="n">
        <v>389620</v>
      </c>
      <c r="AI3931" t="n">
        <v>0</v>
      </c>
    </row>
    <row r="3932">
      <c r="A3932" t="inlineStr">
        <is>
          <t>5월</t>
        </is>
      </c>
      <c r="B3932" t="inlineStr">
        <is>
          <t>19주차</t>
        </is>
      </c>
      <c r="C3932" t="inlineStr">
        <is>
          <t>EP</t>
        </is>
      </c>
      <c r="D3932" s="28" t="n">
        <v>46146</v>
      </c>
      <c r="E3932" t="inlineStr">
        <is>
          <t>현대EP_fast</t>
        </is>
      </c>
      <c r="F3932" t="inlineStr">
        <is>
          <t>이상현</t>
        </is>
      </c>
      <c r="G3932" t="inlineStr">
        <is>
          <t>010-6319-7979</t>
        </is>
      </c>
      <c r="H3932" t="inlineStr">
        <is>
          <t>35저1010</t>
        </is>
      </c>
      <c r="I3932" t="n">
        <v>5500000</v>
      </c>
      <c r="J3932" t="n">
        <v>0.062</v>
      </c>
      <c r="K3932" t="n">
        <v>1.76</v>
      </c>
      <c r="L3932" t="n">
        <v>0.14</v>
      </c>
      <c r="M3932" t="n">
        <v>1.62</v>
      </c>
      <c r="P3932" t="inlineStr">
        <is>
          <t>김수연</t>
        </is>
      </c>
      <c r="Q3932" t="inlineStr">
        <is>
          <t>홈서비스 24개월</t>
        </is>
      </c>
      <c r="AB3932" t="inlineStr">
        <is>
          <t>홈서비스</t>
        </is>
      </c>
      <c r="AC3932" t="n">
        <v>96800</v>
      </c>
      <c r="AD3932" t="n">
        <v>7700</v>
      </c>
      <c r="AE3932" t="n">
        <v>89100</v>
      </c>
      <c r="AF3932" t="n">
        <v>88000</v>
      </c>
      <c r="AG3932" t="n">
        <v>7445.9</v>
      </c>
      <c r="AH3932" t="n">
        <v>80554.10000000001</v>
      </c>
      <c r="AI3932" t="n">
        <v>0</v>
      </c>
    </row>
    <row r="3933">
      <c r="A3933" t="inlineStr">
        <is>
          <t>5월</t>
        </is>
      </c>
      <c r="B3933" t="inlineStr">
        <is>
          <t>19주차</t>
        </is>
      </c>
      <c r="C3933" t="inlineStr">
        <is>
          <t>IM</t>
        </is>
      </c>
      <c r="D3933" s="28" t="n">
        <v>46146</v>
      </c>
      <c r="E3933" t="inlineStr">
        <is>
          <t>IM캐피탈</t>
        </is>
      </c>
      <c r="F3933" t="inlineStr">
        <is>
          <t>이학민</t>
        </is>
      </c>
      <c r="G3933" t="inlineStr">
        <is>
          <t>010-2654-3436</t>
        </is>
      </c>
      <c r="H3933" t="inlineStr">
        <is>
          <t>31오8701</t>
        </is>
      </c>
      <c r="I3933" t="n">
        <v>17000000</v>
      </c>
      <c r="J3933" t="n">
        <v>0.049</v>
      </c>
      <c r="K3933" t="n">
        <v>1.1</v>
      </c>
      <c r="L3933" t="n">
        <v>0.4</v>
      </c>
      <c r="M3933" t="n">
        <v>0.7</v>
      </c>
      <c r="P3933" t="inlineStr">
        <is>
          <t>장현경</t>
        </is>
      </c>
      <c r="AB3933" t="inlineStr">
        <is>
          <t>엔카</t>
        </is>
      </c>
      <c r="AC3933" t="n">
        <v>187000</v>
      </c>
      <c r="AD3933" t="n">
        <v>68000</v>
      </c>
      <c r="AE3933" t="n">
        <v>119000</v>
      </c>
      <c r="AF3933" t="n">
        <v>170000</v>
      </c>
      <c r="AG3933" t="n">
        <v>65756</v>
      </c>
      <c r="AH3933" t="n">
        <v>104244</v>
      </c>
    </row>
    <row r="3934">
      <c r="A3934" t="inlineStr">
        <is>
          <t>4월</t>
        </is>
      </c>
      <c r="B3934" t="inlineStr">
        <is>
          <t>18주차</t>
        </is>
      </c>
      <c r="C3934" t="inlineStr">
        <is>
          <t>EP</t>
        </is>
      </c>
      <c r="D3934" s="28" t="n">
        <v>46142</v>
      </c>
      <c r="E3934" t="inlineStr">
        <is>
          <t>현대EP</t>
        </is>
      </c>
      <c r="F3934" t="inlineStr">
        <is>
          <t>김용준</t>
        </is>
      </c>
      <c r="G3934" t="inlineStr">
        <is>
          <t>010-6787-0835</t>
        </is>
      </c>
      <c r="H3934" t="inlineStr">
        <is>
          <t>371부2670</t>
        </is>
      </c>
      <c r="I3934" t="n">
        <v>39500000</v>
      </c>
      <c r="J3934" t="n">
        <v>0.08500000000000001</v>
      </c>
      <c r="K3934" t="n">
        <v>1.76</v>
      </c>
      <c r="L3934" t="n">
        <v>0.2</v>
      </c>
      <c r="M3934" t="n">
        <v>1.56</v>
      </c>
      <c r="P3934" t="inlineStr">
        <is>
          <t>최형주</t>
        </is>
      </c>
      <c r="AB3934" t="inlineStr">
        <is>
          <t>홈서비스</t>
        </is>
      </c>
      <c r="AC3934" t="n">
        <v>695200</v>
      </c>
      <c r="AD3934" t="n">
        <v>79000</v>
      </c>
      <c r="AE3934" t="n">
        <v>616200</v>
      </c>
      <c r="AF3934" t="n">
        <v>632000</v>
      </c>
      <c r="AG3934" t="n">
        <v>76393</v>
      </c>
      <c r="AH3934" t="n">
        <v>555607</v>
      </c>
    </row>
    <row r="3935">
      <c r="A3935" t="inlineStr">
        <is>
          <t>4월</t>
        </is>
      </c>
      <c r="B3935" t="inlineStr">
        <is>
          <t>16주차</t>
        </is>
      </c>
      <c r="C3935" t="inlineStr">
        <is>
          <t>EP</t>
        </is>
      </c>
      <c r="D3935" s="28" t="n">
        <v>46126</v>
      </c>
      <c r="E3935" t="inlineStr">
        <is>
          <t>현대EP</t>
        </is>
      </c>
      <c r="F3935" t="inlineStr">
        <is>
          <t>이예린</t>
        </is>
      </c>
      <c r="G3935" t="inlineStr">
        <is>
          <t>010-2578-8990</t>
        </is>
      </c>
      <c r="H3935" t="inlineStr">
        <is>
          <t>46라9791</t>
        </is>
      </c>
      <c r="I3935" t="n">
        <v>6900000</v>
      </c>
      <c r="J3935" t="n">
        <v>0.14</v>
      </c>
      <c r="K3935" t="n">
        <v>1.76</v>
      </c>
      <c r="L3935" t="n">
        <v>0.2</v>
      </c>
      <c r="M3935" t="n">
        <v>1.56</v>
      </c>
      <c r="P3935" t="inlineStr">
        <is>
          <t>정하은</t>
        </is>
      </c>
      <c r="Q3935" t="inlineStr">
        <is>
          <t>홈서비스 36개월</t>
        </is>
      </c>
      <c r="AB3935" t="inlineStr">
        <is>
          <t>홈서비스</t>
        </is>
      </c>
      <c r="AC3935" t="n">
        <v>121440</v>
      </c>
      <c r="AD3935" t="n">
        <v>13800</v>
      </c>
      <c r="AE3935" t="n">
        <v>107640</v>
      </c>
      <c r="AF3935" t="n">
        <v>110400</v>
      </c>
      <c r="AG3935" t="n">
        <v>13344.6</v>
      </c>
      <c r="AH3935" t="n">
        <v>97055.39999999999</v>
      </c>
      <c r="AI3935" t="n">
        <v>0</v>
      </c>
    </row>
    <row r="3936">
      <c r="A3936" t="inlineStr">
        <is>
          <t>4월</t>
        </is>
      </c>
      <c r="B3936" t="inlineStr">
        <is>
          <t>18주차</t>
        </is>
      </c>
      <c r="C3936" t="inlineStr">
        <is>
          <t>IM</t>
        </is>
      </c>
      <c r="D3936" s="28" t="n">
        <v>46142</v>
      </c>
      <c r="E3936" t="inlineStr">
        <is>
          <t>IM캐피탈</t>
        </is>
      </c>
      <c r="F3936" t="inlineStr">
        <is>
          <t>김태양</t>
        </is>
      </c>
      <c r="G3936" t="inlineStr">
        <is>
          <t>010-2800-0312</t>
        </is>
      </c>
      <c r="H3936" t="inlineStr">
        <is>
          <t>388너9133</t>
        </is>
      </c>
      <c r="I3936" t="n">
        <v>34000000</v>
      </c>
      <c r="J3936" t="n">
        <v>0.059</v>
      </c>
      <c r="K3936" t="n">
        <v>1.1</v>
      </c>
      <c r="L3936" t="n">
        <v>0.07000000000000001</v>
      </c>
      <c r="M3936" t="n">
        <v>1.03</v>
      </c>
      <c r="P3936" t="inlineStr">
        <is>
          <t>박보람</t>
        </is>
      </c>
      <c r="Q3936" t="inlineStr">
        <is>
          <t>선상담 / 홈서비스 60개월 / 현대캐피탈 9.2%</t>
        </is>
      </c>
      <c r="AB3936" t="inlineStr">
        <is>
          <t>홈서비스</t>
        </is>
      </c>
      <c r="AC3936" t="n">
        <v>374000</v>
      </c>
      <c r="AD3936" t="n">
        <v>23800</v>
      </c>
      <c r="AE3936" t="n">
        <v>350200</v>
      </c>
      <c r="AF3936" t="n">
        <v>340000</v>
      </c>
      <c r="AG3936" t="n">
        <v>23014.6</v>
      </c>
      <c r="AH3936" t="n">
        <v>316985.4</v>
      </c>
      <c r="AI3936" t="n">
        <v>0</v>
      </c>
    </row>
    <row r="3937">
      <c r="A3937" t="inlineStr">
        <is>
          <t>5월</t>
        </is>
      </c>
      <c r="B3937" t="inlineStr">
        <is>
          <t>19주차</t>
        </is>
      </c>
      <c r="C3937" t="inlineStr">
        <is>
          <t>EP</t>
        </is>
      </c>
      <c r="D3937" s="28" t="n">
        <v>46146</v>
      </c>
      <c r="E3937" t="inlineStr">
        <is>
          <t>현대EP_fast</t>
        </is>
      </c>
      <c r="F3937" t="inlineStr">
        <is>
          <t>한송이</t>
        </is>
      </c>
      <c r="G3937" t="inlineStr">
        <is>
          <t>010-4730-0034</t>
        </is>
      </c>
      <c r="H3937" t="inlineStr">
        <is>
          <t>52보6177</t>
        </is>
      </c>
      <c r="I3937" t="n">
        <v>14300000</v>
      </c>
      <c r="J3937" t="n">
        <v>0.102</v>
      </c>
      <c r="K3937" t="n">
        <v>1.76</v>
      </c>
      <c r="L3937" t="n">
        <v>0.14</v>
      </c>
      <c r="M3937" t="n">
        <v>1.62</v>
      </c>
      <c r="P3937" t="inlineStr">
        <is>
          <t>장진경</t>
        </is>
      </c>
      <c r="Q3937" t="inlineStr">
        <is>
          <t>선상담 / 홈서비스 36개월</t>
        </is>
      </c>
      <c r="AB3937" t="inlineStr">
        <is>
          <t>홈서비스</t>
        </is>
      </c>
      <c r="AC3937" t="n">
        <v>251680</v>
      </c>
      <c r="AD3937" t="n">
        <v>20020</v>
      </c>
      <c r="AE3937" t="n">
        <v>231660</v>
      </c>
      <c r="AF3937" t="n">
        <v>228800</v>
      </c>
      <c r="AG3937" t="n">
        <v>19359.34</v>
      </c>
      <c r="AH3937" t="n">
        <v>209440.66</v>
      </c>
      <c r="AI3937" t="n">
        <v>0</v>
      </c>
    </row>
    <row r="3938">
      <c r="A3938" t="inlineStr">
        <is>
          <t>4월</t>
        </is>
      </c>
      <c r="B3938" t="inlineStr">
        <is>
          <t>18주차</t>
        </is>
      </c>
      <c r="C3938" t="inlineStr">
        <is>
          <t>EP</t>
        </is>
      </c>
      <c r="D3938" s="28" t="n">
        <v>46142</v>
      </c>
      <c r="E3938" t="inlineStr">
        <is>
          <t>제이비EP</t>
        </is>
      </c>
      <c r="F3938" t="inlineStr">
        <is>
          <t>고명균</t>
        </is>
      </c>
      <c r="G3938" t="inlineStr">
        <is>
          <t>010-7529-5140</t>
        </is>
      </c>
      <c r="H3938" t="inlineStr">
        <is>
          <t>60구1046</t>
        </is>
      </c>
      <c r="I3938" t="n">
        <v>5400000</v>
      </c>
      <c r="J3938" t="n">
        <v>0.068</v>
      </c>
      <c r="K3938" t="n">
        <v>1.65</v>
      </c>
      <c r="L3938" t="n">
        <v>0.4</v>
      </c>
      <c r="M3938" t="n">
        <v>1.25</v>
      </c>
      <c r="P3938" t="inlineStr">
        <is>
          <t>최혁</t>
        </is>
      </c>
      <c r="AB3938" t="inlineStr">
        <is>
          <t>엔카</t>
        </is>
      </c>
      <c r="AC3938" t="n">
        <v>89100</v>
      </c>
      <c r="AD3938" t="n">
        <v>21600</v>
      </c>
      <c r="AE3938" t="n">
        <v>67500</v>
      </c>
      <c r="AF3938" t="n">
        <v>81000</v>
      </c>
      <c r="AG3938" t="n">
        <v>20887.2</v>
      </c>
      <c r="AH3938" t="n">
        <v>60112.8</v>
      </c>
      <c r="AI3938" t="n">
        <v>0</v>
      </c>
    </row>
    <row r="3939">
      <c r="A3939" t="inlineStr">
        <is>
          <t>4월</t>
        </is>
      </c>
      <c r="B3939" t="inlineStr">
        <is>
          <t>18주차</t>
        </is>
      </c>
      <c r="C3939" t="inlineStr">
        <is>
          <t>WR</t>
        </is>
      </c>
      <c r="D3939" s="28" t="n">
        <v>46142</v>
      </c>
      <c r="E3939" t="inlineStr">
        <is>
          <t>우리금융</t>
        </is>
      </c>
      <c r="F3939" t="inlineStr">
        <is>
          <t>손다혜</t>
        </is>
      </c>
      <c r="G3939" t="inlineStr">
        <is>
          <t>010-2785-6550</t>
        </is>
      </c>
      <c r="H3939" t="inlineStr">
        <is>
          <t>178라8724</t>
        </is>
      </c>
      <c r="I3939" t="n">
        <v>51000000</v>
      </c>
      <c r="J3939" t="n">
        <v>0.089</v>
      </c>
      <c r="K3939" t="n">
        <v>2.2</v>
      </c>
      <c r="L3939" t="n">
        <v>0.4</v>
      </c>
      <c r="M3939" t="n">
        <v>1.8</v>
      </c>
      <c r="P3939" t="inlineStr">
        <is>
          <t>최혁</t>
        </is>
      </c>
      <c r="AB3939" t="inlineStr">
        <is>
          <t>엔카</t>
        </is>
      </c>
      <c r="AC3939" t="n">
        <v>1122000</v>
      </c>
      <c r="AD3939" t="n">
        <v>204000</v>
      </c>
      <c r="AE3939" t="n">
        <v>918000</v>
      </c>
      <c r="AF3939" t="n">
        <v>1020000</v>
      </c>
      <c r="AG3939" t="n">
        <v>197268</v>
      </c>
      <c r="AH3939" t="n">
        <v>822732</v>
      </c>
      <c r="AI3939" t="n">
        <v>0</v>
      </c>
    </row>
    <row r="3940">
      <c r="A3940" t="inlineStr">
        <is>
          <t>4월</t>
        </is>
      </c>
      <c r="B3940" t="inlineStr">
        <is>
          <t>15주차</t>
        </is>
      </c>
      <c r="C3940" t="inlineStr">
        <is>
          <t>EP</t>
        </is>
      </c>
      <c r="D3940" s="28" t="n">
        <v>46122</v>
      </c>
      <c r="E3940" t="inlineStr">
        <is>
          <t>제이비EP</t>
        </is>
      </c>
      <c r="F3940" t="inlineStr">
        <is>
          <t>한연희</t>
        </is>
      </c>
      <c r="G3940" t="inlineStr">
        <is>
          <t>010-7477-5039</t>
        </is>
      </c>
      <c r="H3940" t="inlineStr">
        <is>
          <t>322누8258</t>
        </is>
      </c>
      <c r="I3940" t="n">
        <v>-40800000</v>
      </c>
      <c r="J3940" t="n">
        <v>0.08500000000000001</v>
      </c>
      <c r="K3940" t="n">
        <v>1.65</v>
      </c>
      <c r="L3940" t="n">
        <v>0.07000000000000001</v>
      </c>
      <c r="M3940" t="n">
        <v>1.58</v>
      </c>
      <c r="P3940" t="inlineStr">
        <is>
          <t>정하은</t>
        </is>
      </c>
      <c r="Q3940" t="inlineStr">
        <is>
          <t>선상담 / 홈서비스 60개월</t>
        </is>
      </c>
      <c r="AB3940" t="inlineStr">
        <is>
          <t>홈서비스</t>
        </is>
      </c>
      <c r="AC3940" t="n">
        <v>-673200</v>
      </c>
      <c r="AD3940" t="n">
        <v>-28560</v>
      </c>
      <c r="AE3940" t="n">
        <v>-644640</v>
      </c>
      <c r="AF3940" t="n">
        <v>-612000</v>
      </c>
      <c r="AG3940" t="n">
        <v>-27617.52</v>
      </c>
      <c r="AH3940" t="n">
        <v>-584382.48</v>
      </c>
      <c r="AI3940" t="n">
        <v>0</v>
      </c>
    </row>
    <row r="3941">
      <c r="A3941" t="inlineStr">
        <is>
          <t>5월</t>
        </is>
      </c>
      <c r="B3941" t="inlineStr">
        <is>
          <t>18주차</t>
        </is>
      </c>
      <c r="C3941" t="inlineStr">
        <is>
          <t>EP</t>
        </is>
      </c>
      <c r="D3941" s="28" t="n">
        <v>46143</v>
      </c>
      <c r="E3941" t="inlineStr">
        <is>
          <t>현대EP</t>
        </is>
      </c>
      <c r="F3941" t="inlineStr">
        <is>
          <t>김기현</t>
        </is>
      </c>
      <c r="G3941" t="inlineStr">
        <is>
          <t>010-8734-1157</t>
        </is>
      </c>
      <c r="H3941" t="inlineStr">
        <is>
          <t>31고7885</t>
        </is>
      </c>
      <c r="I3941" t="n">
        <v>10900000</v>
      </c>
      <c r="J3941" t="n">
        <v>0.075</v>
      </c>
      <c r="K3941" t="n">
        <v>1.76</v>
      </c>
      <c r="L3941" t="n">
        <v>0.14</v>
      </c>
      <c r="M3941" t="n">
        <v>1.62</v>
      </c>
      <c r="P3941" t="inlineStr">
        <is>
          <t>최형주</t>
        </is>
      </c>
      <c r="AB3941" t="inlineStr">
        <is>
          <t>홈서비스</t>
        </is>
      </c>
      <c r="AC3941" t="n">
        <v>191840</v>
      </c>
      <c r="AD3941" t="n">
        <v>15260</v>
      </c>
      <c r="AE3941" t="n">
        <v>176580</v>
      </c>
      <c r="AF3941" t="n">
        <v>174400</v>
      </c>
      <c r="AG3941" t="n">
        <v>14756.42</v>
      </c>
      <c r="AH3941" t="n">
        <v>159643.58</v>
      </c>
      <c r="AI3941" t="n">
        <v>0</v>
      </c>
    </row>
    <row r="3942">
      <c r="A3942" t="inlineStr">
        <is>
          <t>5월</t>
        </is>
      </c>
      <c r="B3942" t="inlineStr">
        <is>
          <t>19주차</t>
        </is>
      </c>
      <c r="C3942" t="inlineStr">
        <is>
          <t>IM</t>
        </is>
      </c>
      <c r="D3942" s="28" t="n">
        <v>46146</v>
      </c>
      <c r="E3942" t="inlineStr">
        <is>
          <t>IM캐피탈</t>
        </is>
      </c>
      <c r="F3942" t="inlineStr">
        <is>
          <t>이누리</t>
        </is>
      </c>
      <c r="G3942" t="inlineStr">
        <is>
          <t>010-7768-5547</t>
        </is>
      </c>
      <c r="H3942" t="inlineStr">
        <is>
          <t>142다7355</t>
        </is>
      </c>
      <c r="I3942" t="n">
        <v>33800000</v>
      </c>
      <c r="J3942" t="n">
        <v>0.063</v>
      </c>
      <c r="K3942" t="n">
        <v>1.1</v>
      </c>
      <c r="L3942" t="n">
        <v>0.14</v>
      </c>
      <c r="M3942" t="n">
        <v>0.96</v>
      </c>
      <c r="P3942" t="inlineStr">
        <is>
          <t>김나윤</t>
        </is>
      </c>
      <c r="Q3942" t="inlineStr">
        <is>
          <t>홈서비스 60개월</t>
        </is>
      </c>
      <c r="AB3942" t="inlineStr">
        <is>
          <t>홈서비스</t>
        </is>
      </c>
      <c r="AC3942" t="n">
        <v>371800</v>
      </c>
      <c r="AD3942" t="n">
        <v>47320</v>
      </c>
      <c r="AE3942" t="n">
        <v>324480</v>
      </c>
      <c r="AF3942" t="n">
        <v>338000</v>
      </c>
      <c r="AG3942" t="n">
        <v>45758.44</v>
      </c>
      <c r="AH3942" t="n">
        <v>292241.56</v>
      </c>
      <c r="AI3942" t="n">
        <v>0</v>
      </c>
    </row>
    <row r="3943">
      <c r="A3943" t="inlineStr">
        <is>
          <t>5월</t>
        </is>
      </c>
      <c r="B3943" t="inlineStr">
        <is>
          <t>19주차</t>
        </is>
      </c>
      <c r="C3943" t="inlineStr">
        <is>
          <t>EP</t>
        </is>
      </c>
      <c r="D3943" s="28" t="n">
        <v>46146</v>
      </c>
      <c r="E3943" t="inlineStr">
        <is>
          <t>현대EP_fast</t>
        </is>
      </c>
      <c r="F3943" t="inlineStr">
        <is>
          <t>김건</t>
        </is>
      </c>
      <c r="G3943" t="inlineStr">
        <is>
          <t>010-4232-3751</t>
        </is>
      </c>
      <c r="H3943" t="inlineStr">
        <is>
          <t>10가5779</t>
        </is>
      </c>
      <c r="I3943" t="n">
        <v>28500000</v>
      </c>
      <c r="J3943" t="n">
        <v>0.074</v>
      </c>
      <c r="K3943" t="n">
        <v>1.76</v>
      </c>
      <c r="L3943" t="n">
        <v>0.14</v>
      </c>
      <c r="M3943" t="n">
        <v>1.62</v>
      </c>
      <c r="P3943" t="inlineStr">
        <is>
          <t>최형주</t>
        </is>
      </c>
      <c r="Q3943" t="inlineStr">
        <is>
          <t>홈서비스 36개월 / 고객주도체결</t>
        </is>
      </c>
      <c r="AB3943" t="inlineStr">
        <is>
          <t>홈서비스</t>
        </is>
      </c>
      <c r="AC3943" t="n">
        <v>501600</v>
      </c>
      <c r="AD3943" t="n">
        <v>39900</v>
      </c>
      <c r="AE3943" t="n">
        <v>461700</v>
      </c>
      <c r="AF3943" t="n">
        <v>456000</v>
      </c>
      <c r="AG3943" t="n">
        <v>38583.3</v>
      </c>
      <c r="AH3943" t="n">
        <v>417416.7</v>
      </c>
      <c r="AI3943" t="n">
        <v>0</v>
      </c>
    </row>
    <row r="3944">
      <c r="A3944" t="inlineStr">
        <is>
          <t>5월</t>
        </is>
      </c>
      <c r="B3944" t="inlineStr">
        <is>
          <t>19주차</t>
        </is>
      </c>
      <c r="C3944" t="inlineStr">
        <is>
          <t>IM</t>
        </is>
      </c>
      <c r="D3944" s="28" t="n">
        <v>46146</v>
      </c>
      <c r="E3944" t="inlineStr">
        <is>
          <t>IM캐피탈</t>
        </is>
      </c>
      <c r="F3944" t="inlineStr">
        <is>
          <t>박길용</t>
        </is>
      </c>
      <c r="G3944" t="inlineStr">
        <is>
          <t>010-8843-8118</t>
        </is>
      </c>
      <c r="H3944" t="inlineStr">
        <is>
          <t>161모4950</t>
        </is>
      </c>
      <c r="I3944" t="n">
        <v>24200000</v>
      </c>
      <c r="J3944" t="n">
        <v>0.059</v>
      </c>
      <c r="K3944" t="n">
        <v>1.1</v>
      </c>
      <c r="L3944" t="n">
        <v>0.14</v>
      </c>
      <c r="M3944" t="n">
        <v>0.96</v>
      </c>
      <c r="P3944" t="inlineStr">
        <is>
          <t>최혁</t>
        </is>
      </c>
      <c r="Q3944" t="inlineStr">
        <is>
          <t>홈서비스60개월</t>
        </is>
      </c>
      <c r="AB3944" t="inlineStr">
        <is>
          <t>홈서비스</t>
        </is>
      </c>
      <c r="AC3944" t="n">
        <v>266200</v>
      </c>
      <c r="AD3944" t="n">
        <v>33880</v>
      </c>
      <c r="AE3944" t="n">
        <v>232320</v>
      </c>
      <c r="AF3944" t="n">
        <v>242000</v>
      </c>
      <c r="AG3944" t="n">
        <v>32761.96</v>
      </c>
      <c r="AH3944" t="n">
        <v>209238.04</v>
      </c>
      <c r="AI3944" t="n">
        <v>0</v>
      </c>
    </row>
    <row r="3945">
      <c r="A3945" t="inlineStr">
        <is>
          <t>5월</t>
        </is>
      </c>
      <c r="B3945" t="inlineStr">
        <is>
          <t>19주차</t>
        </is>
      </c>
      <c r="C3945" t="inlineStr">
        <is>
          <t>EP</t>
        </is>
      </c>
      <c r="D3945" s="28" t="n">
        <v>46146</v>
      </c>
      <c r="E3945" t="inlineStr">
        <is>
          <t>현대EP_fast</t>
        </is>
      </c>
      <c r="F3945" t="inlineStr">
        <is>
          <t>전보윤</t>
        </is>
      </c>
      <c r="G3945" t="inlineStr">
        <is>
          <t>010-6603-7844</t>
        </is>
      </c>
      <c r="H3945" t="inlineStr">
        <is>
          <t>293모7101</t>
        </is>
      </c>
      <c r="I3945" t="n">
        <v>35900000</v>
      </c>
      <c r="J3945" t="n">
        <v>0.105</v>
      </c>
      <c r="K3945" t="n">
        <v>1.76</v>
      </c>
      <c r="L3945" t="n">
        <v>0.14</v>
      </c>
      <c r="M3945" t="n">
        <v>1.62</v>
      </c>
      <c r="P3945" t="inlineStr">
        <is>
          <t>황채이</t>
        </is>
      </c>
      <c r="Q3945" t="inlineStr">
        <is>
          <t>홈서비스 60개월</t>
        </is>
      </c>
      <c r="AB3945" t="inlineStr">
        <is>
          <t>홈서비스</t>
        </is>
      </c>
      <c r="AC3945" t="n">
        <v>631840</v>
      </c>
      <c r="AD3945" t="n">
        <v>50260</v>
      </c>
      <c r="AE3945" t="n">
        <v>581580</v>
      </c>
      <c r="AF3945" t="n">
        <v>574400</v>
      </c>
      <c r="AG3945" t="n">
        <v>48601.42</v>
      </c>
      <c r="AH3945" t="n">
        <v>525798.58</v>
      </c>
    </row>
    <row r="3946">
      <c r="A3946" t="inlineStr">
        <is>
          <t>5월</t>
        </is>
      </c>
      <c r="B3946" t="inlineStr">
        <is>
          <t>19주차</t>
        </is>
      </c>
      <c r="C3946" t="inlineStr">
        <is>
          <t>IM</t>
        </is>
      </c>
      <c r="D3946" s="28" t="n">
        <v>46146</v>
      </c>
      <c r="E3946" t="inlineStr">
        <is>
          <t>IM캐피탈</t>
        </is>
      </c>
      <c r="F3946" t="inlineStr">
        <is>
          <t>정광이</t>
        </is>
      </c>
      <c r="G3946" t="inlineStr">
        <is>
          <t>010-9016-4402</t>
        </is>
      </c>
      <c r="H3946" t="inlineStr">
        <is>
          <t>227구2325</t>
        </is>
      </c>
      <c r="I3946" t="n">
        <v>14100000</v>
      </c>
      <c r="J3946" t="n">
        <v>0.063</v>
      </c>
      <c r="K3946" t="n">
        <v>1.1</v>
      </c>
      <c r="L3946" t="n">
        <v>0.14</v>
      </c>
      <c r="M3946" t="n">
        <v>0.96</v>
      </c>
      <c r="P3946" t="inlineStr">
        <is>
          <t>김나윤</t>
        </is>
      </c>
      <c r="Q3946" t="inlineStr">
        <is>
          <t>홈서비스 36개월</t>
        </is>
      </c>
      <c r="AB3946" t="inlineStr">
        <is>
          <t>홈서비스</t>
        </is>
      </c>
      <c r="AC3946" t="n">
        <v>155100</v>
      </c>
      <c r="AD3946" t="n">
        <v>19740</v>
      </c>
      <c r="AE3946" t="n">
        <v>135360</v>
      </c>
      <c r="AF3946" t="n">
        <v>141000</v>
      </c>
      <c r="AG3946" t="n">
        <v>19088.58</v>
      </c>
      <c r="AH3946" t="n">
        <v>121911.42</v>
      </c>
    </row>
    <row r="3947">
      <c r="A3947" t="inlineStr">
        <is>
          <t>5월</t>
        </is>
      </c>
      <c r="B3947" t="inlineStr">
        <is>
          <t>19주차</t>
        </is>
      </c>
      <c r="C3947" t="inlineStr">
        <is>
          <t>IM</t>
        </is>
      </c>
      <c r="D3947" s="28" t="n">
        <v>46146</v>
      </c>
      <c r="E3947" t="inlineStr">
        <is>
          <t>IM캐피탈</t>
        </is>
      </c>
      <c r="F3947" t="inlineStr">
        <is>
          <t>한규범</t>
        </is>
      </c>
      <c r="G3947" t="inlineStr">
        <is>
          <t>010-9232-8703</t>
        </is>
      </c>
      <c r="H3947" t="inlineStr">
        <is>
          <t>209서3573</t>
        </is>
      </c>
      <c r="I3947" t="n">
        <v>40000000</v>
      </c>
      <c r="J3947" t="n">
        <v>0.059</v>
      </c>
      <c r="K3947" t="n">
        <v>1.1</v>
      </c>
      <c r="L3947" t="n">
        <v>0.4</v>
      </c>
      <c r="M3947" t="n">
        <v>0.7</v>
      </c>
      <c r="P3947" t="inlineStr">
        <is>
          <t>장진경</t>
        </is>
      </c>
      <c r="Q3947" t="inlineStr">
        <is>
          <t>금융플러스</t>
        </is>
      </c>
      <c r="AB3947" t="inlineStr">
        <is>
          <t>딜러유입</t>
        </is>
      </c>
      <c r="AC3947" t="n">
        <v>440000</v>
      </c>
      <c r="AD3947" t="n">
        <v>160000</v>
      </c>
      <c r="AE3947" t="n">
        <v>280000</v>
      </c>
      <c r="AF3947" t="n">
        <v>400000</v>
      </c>
      <c r="AG3947" t="n">
        <v>154720</v>
      </c>
      <c r="AH3947" t="n">
        <v>245280</v>
      </c>
      <c r="AI3947" t="n">
        <v>0</v>
      </c>
    </row>
    <row r="3948">
      <c r="A3948" t="inlineStr">
        <is>
          <t>5월</t>
        </is>
      </c>
      <c r="B3948" t="inlineStr">
        <is>
          <t>19주차</t>
        </is>
      </c>
      <c r="C3948" t="inlineStr">
        <is>
          <t>EP</t>
        </is>
      </c>
      <c r="D3948" s="28" t="n">
        <v>46146</v>
      </c>
      <c r="E3948" t="inlineStr">
        <is>
          <t>현대EP_fast</t>
        </is>
      </c>
      <c r="F3948" t="inlineStr">
        <is>
          <t>이정순</t>
        </is>
      </c>
      <c r="G3948" t="inlineStr">
        <is>
          <t>010-3349-7999</t>
        </is>
      </c>
      <c r="H3948" t="inlineStr">
        <is>
          <t>16노3763</t>
        </is>
      </c>
      <c r="I3948" t="n">
        <v>28400000</v>
      </c>
      <c r="J3948" t="n">
        <v>0.074</v>
      </c>
      <c r="K3948" t="n">
        <v>1.76</v>
      </c>
      <c r="L3948" t="n">
        <v>0.14</v>
      </c>
      <c r="M3948" t="n">
        <v>1.62</v>
      </c>
      <c r="P3948" t="inlineStr">
        <is>
          <t>김수연</t>
        </is>
      </c>
      <c r="Q3948" t="inlineStr">
        <is>
          <t>홈서비스 60개월</t>
        </is>
      </c>
      <c r="AB3948" t="inlineStr">
        <is>
          <t>홈서비스</t>
        </is>
      </c>
      <c r="AC3948" t="n">
        <v>499840</v>
      </c>
      <c r="AD3948" t="n">
        <v>39760</v>
      </c>
      <c r="AE3948" t="n">
        <v>460080</v>
      </c>
      <c r="AF3948" t="n">
        <v>454400</v>
      </c>
      <c r="AG3948" t="n">
        <v>38447.92</v>
      </c>
      <c r="AH3948" t="n">
        <v>415952.08</v>
      </c>
    </row>
    <row r="3949">
      <c r="A3949" t="inlineStr">
        <is>
          <t>5월</t>
        </is>
      </c>
      <c r="B3949" t="inlineStr">
        <is>
          <t>19주차</t>
        </is>
      </c>
      <c r="C3949" t="inlineStr">
        <is>
          <t>IM</t>
        </is>
      </c>
      <c r="D3949" s="28" t="n">
        <v>46146</v>
      </c>
      <c r="E3949" t="inlineStr">
        <is>
          <t>IM캐피탈</t>
        </is>
      </c>
      <c r="F3949" t="inlineStr">
        <is>
          <t>이우현</t>
        </is>
      </c>
      <c r="G3949" t="inlineStr">
        <is>
          <t>010-6228-5838</t>
        </is>
      </c>
      <c r="H3949" t="inlineStr">
        <is>
          <t>274가4973</t>
        </is>
      </c>
      <c r="I3949" t="n">
        <v>26600000</v>
      </c>
      <c r="J3949" t="n">
        <v>0.063</v>
      </c>
      <c r="K3949" t="n">
        <v>1.1</v>
      </c>
      <c r="L3949" t="n">
        <v>0.14</v>
      </c>
      <c r="M3949" t="n">
        <v>0.96</v>
      </c>
      <c r="P3949" t="inlineStr">
        <is>
          <t>황채이</t>
        </is>
      </c>
      <c r="Q3949" t="inlineStr">
        <is>
          <t>홈서비스 72개월</t>
        </is>
      </c>
      <c r="AB3949" t="inlineStr">
        <is>
          <t>홈서비스</t>
        </is>
      </c>
      <c r="AC3949" t="n">
        <v>292600</v>
      </c>
      <c r="AD3949" t="n">
        <v>37240</v>
      </c>
      <c r="AE3949" t="n">
        <v>255360</v>
      </c>
      <c r="AF3949" t="n">
        <v>266000</v>
      </c>
      <c r="AG3949" t="n">
        <v>36011.08</v>
      </c>
      <c r="AH3949" t="n">
        <v>229988.92</v>
      </c>
    </row>
    <row r="3950">
      <c r="A3950" t="inlineStr">
        <is>
          <t>5월</t>
        </is>
      </c>
      <c r="B3950" t="inlineStr">
        <is>
          <t>19주차</t>
        </is>
      </c>
      <c r="C3950" t="inlineStr">
        <is>
          <t>IM</t>
        </is>
      </c>
      <c r="D3950" s="28" t="n">
        <v>46146</v>
      </c>
      <c r="E3950" t="inlineStr">
        <is>
          <t>IM캐피탈</t>
        </is>
      </c>
      <c r="F3950" t="inlineStr">
        <is>
          <t>임기성</t>
        </is>
      </c>
      <c r="G3950" t="inlineStr">
        <is>
          <t>010-4626-7062</t>
        </is>
      </c>
      <c r="H3950" t="inlineStr">
        <is>
          <t>62나7931</t>
        </is>
      </c>
      <c r="I3950" t="n">
        <v>33300000</v>
      </c>
      <c r="J3950" t="n">
        <v>0.049</v>
      </c>
      <c r="K3950" t="n">
        <v>1.1</v>
      </c>
      <c r="L3950" t="n">
        <v>0.14</v>
      </c>
      <c r="M3950" t="n">
        <v>0.96</v>
      </c>
      <c r="P3950" t="inlineStr">
        <is>
          <t>황채이</t>
        </is>
      </c>
      <c r="Q3950" t="inlineStr">
        <is>
          <t>홈서비스 60개월</t>
        </is>
      </c>
      <c r="AB3950" t="inlineStr">
        <is>
          <t>홈서비스</t>
        </is>
      </c>
      <c r="AC3950" t="n">
        <v>366300</v>
      </c>
      <c r="AD3950" t="n">
        <v>46620</v>
      </c>
      <c r="AE3950" t="n">
        <v>319680</v>
      </c>
      <c r="AF3950" t="n">
        <v>333000</v>
      </c>
      <c r="AG3950" t="n">
        <v>45081.54</v>
      </c>
      <c r="AH3950" t="n">
        <v>287918.46</v>
      </c>
    </row>
    <row r="3951">
      <c r="A3951" t="inlineStr">
        <is>
          <t>5월</t>
        </is>
      </c>
      <c r="B3951" t="inlineStr">
        <is>
          <t>19주차</t>
        </is>
      </c>
      <c r="C3951" t="inlineStr">
        <is>
          <t>IM</t>
        </is>
      </c>
      <c r="D3951" s="28" t="n">
        <v>46146</v>
      </c>
      <c r="E3951" t="inlineStr">
        <is>
          <t>IM캐피탈</t>
        </is>
      </c>
      <c r="F3951" t="inlineStr">
        <is>
          <t>이나리</t>
        </is>
      </c>
      <c r="G3951" t="inlineStr">
        <is>
          <t>010-2429-6652</t>
        </is>
      </c>
      <c r="H3951" t="inlineStr">
        <is>
          <t>383고3860</t>
        </is>
      </c>
      <c r="I3951" t="n">
        <v>36900000</v>
      </c>
      <c r="J3951" t="n">
        <v>0.06900000000000001</v>
      </c>
      <c r="K3951" t="n">
        <v>1.1</v>
      </c>
      <c r="L3951" t="n">
        <v>0.14</v>
      </c>
      <c r="M3951" t="n">
        <v>0.96</v>
      </c>
      <c r="P3951" t="inlineStr">
        <is>
          <t>박현민</t>
        </is>
      </c>
      <c r="AB3951" t="inlineStr">
        <is>
          <t>홈서비스</t>
        </is>
      </c>
      <c r="AC3951" t="n">
        <v>405900</v>
      </c>
      <c r="AD3951" t="n">
        <v>51660</v>
      </c>
      <c r="AE3951" t="n">
        <v>354240</v>
      </c>
      <c r="AF3951" t="n">
        <v>369000</v>
      </c>
      <c r="AG3951" t="n">
        <v>49955.22</v>
      </c>
      <c r="AH3951" t="n">
        <v>319044.78</v>
      </c>
    </row>
    <row r="3952">
      <c r="A3952" t="inlineStr">
        <is>
          <t>5월</t>
        </is>
      </c>
      <c r="B3952" t="inlineStr">
        <is>
          <t>19주차</t>
        </is>
      </c>
      <c r="C3952" t="inlineStr">
        <is>
          <t>EP</t>
        </is>
      </c>
      <c r="D3952" s="28" t="n">
        <v>46146</v>
      </c>
      <c r="E3952" t="inlineStr">
        <is>
          <t>제이비EP</t>
        </is>
      </c>
      <c r="F3952" t="inlineStr">
        <is>
          <t>송경은</t>
        </is>
      </c>
      <c r="G3952" t="inlineStr">
        <is>
          <t>010-8779-2111</t>
        </is>
      </c>
      <c r="H3952" t="inlineStr">
        <is>
          <t>40보5731</t>
        </is>
      </c>
      <c r="I3952" t="n">
        <v>7000000</v>
      </c>
      <c r="J3952" t="n">
        <v>0.07199999999999999</v>
      </c>
      <c r="K3952" t="n">
        <v>1.65</v>
      </c>
      <c r="L3952" t="n">
        <v>0.4</v>
      </c>
      <c r="M3952" t="n">
        <v>1.25</v>
      </c>
      <c r="P3952" t="inlineStr">
        <is>
          <t>최혁</t>
        </is>
      </c>
      <c r="AB3952" t="inlineStr">
        <is>
          <t>엔카</t>
        </is>
      </c>
      <c r="AC3952" t="n">
        <v>115500</v>
      </c>
      <c r="AD3952" t="n">
        <v>28000</v>
      </c>
      <c r="AE3952" t="n">
        <v>87500</v>
      </c>
      <c r="AF3952" t="n">
        <v>105000</v>
      </c>
      <c r="AG3952" t="n">
        <v>27076</v>
      </c>
      <c r="AH3952" t="n">
        <v>77924</v>
      </c>
      <c r="AI3952" t="n">
        <v>0</v>
      </c>
    </row>
    <row r="3953">
      <c r="A3953" t="inlineStr">
        <is>
          <t>5월</t>
        </is>
      </c>
      <c r="B3953" t="inlineStr">
        <is>
          <t>19주차</t>
        </is>
      </c>
      <c r="C3953" t="inlineStr">
        <is>
          <t>EP</t>
        </is>
      </c>
      <c r="D3953" s="28" t="n">
        <v>46146</v>
      </c>
      <c r="E3953" t="inlineStr">
        <is>
          <t>현대EP_fast</t>
        </is>
      </c>
      <c r="F3953" t="inlineStr">
        <is>
          <t>고경현</t>
        </is>
      </c>
      <c r="G3953" t="inlineStr">
        <is>
          <t>010-4642-6352</t>
        </is>
      </c>
      <c r="H3953" t="inlineStr">
        <is>
          <t>107버7696</t>
        </is>
      </c>
      <c r="I3953" t="n">
        <v>16000000</v>
      </c>
      <c r="J3953" t="n">
        <v>0.089</v>
      </c>
      <c r="K3953" t="n">
        <v>1.76</v>
      </c>
      <c r="L3953" t="n">
        <v>0.14</v>
      </c>
      <c r="M3953" t="n">
        <v>1.62</v>
      </c>
      <c r="P3953" t="inlineStr">
        <is>
          <t>정하은</t>
        </is>
      </c>
      <c r="Q3953" t="inlineStr">
        <is>
          <t>홈서비스 36개월 / 고객주도체결</t>
        </is>
      </c>
      <c r="AB3953" t="inlineStr">
        <is>
          <t>홈서비스</t>
        </is>
      </c>
      <c r="AC3953" t="n">
        <v>281600</v>
      </c>
      <c r="AD3953" t="n">
        <v>22400</v>
      </c>
      <c r="AE3953" t="n">
        <v>259200</v>
      </c>
      <c r="AF3953" t="n">
        <v>256000</v>
      </c>
      <c r="AG3953" t="n">
        <v>21660.8</v>
      </c>
      <c r="AH3953" t="n">
        <v>234339.2</v>
      </c>
    </row>
    <row r="3954">
      <c r="A3954" t="inlineStr">
        <is>
          <t>5월</t>
        </is>
      </c>
      <c r="B3954" t="inlineStr">
        <is>
          <t>19주차</t>
        </is>
      </c>
      <c r="C3954" t="inlineStr">
        <is>
          <t>EP</t>
        </is>
      </c>
      <c r="D3954" s="28" t="n">
        <v>46146</v>
      </c>
      <c r="E3954" t="inlineStr">
        <is>
          <t>현대EP_fast</t>
        </is>
      </c>
      <c r="F3954" t="inlineStr">
        <is>
          <t>안정연</t>
        </is>
      </c>
      <c r="G3954" t="inlineStr">
        <is>
          <t>010-9203-8308</t>
        </is>
      </c>
      <c r="H3954" t="inlineStr">
        <is>
          <t>28루8880</t>
        </is>
      </c>
      <c r="I3954" t="n">
        <v>9700000</v>
      </c>
      <c r="J3954" t="n">
        <v>0.102</v>
      </c>
      <c r="K3954" t="n">
        <v>1.76</v>
      </c>
      <c r="L3954" t="n">
        <v>0.14</v>
      </c>
      <c r="M3954" t="n">
        <v>1.62</v>
      </c>
      <c r="P3954" t="inlineStr">
        <is>
          <t>김수연</t>
        </is>
      </c>
      <c r="Q3954" t="inlineStr">
        <is>
          <t>홈서비스 36개월</t>
        </is>
      </c>
      <c r="AB3954" t="inlineStr">
        <is>
          <t>홈서비스</t>
        </is>
      </c>
      <c r="AC3954" t="n">
        <v>170720</v>
      </c>
      <c r="AD3954" t="n">
        <v>13580</v>
      </c>
      <c r="AE3954" t="n">
        <v>157140</v>
      </c>
      <c r="AF3954" t="n">
        <v>155200</v>
      </c>
      <c r="AG3954" t="n">
        <v>13131.86</v>
      </c>
      <c r="AH3954" t="n">
        <v>142068.14</v>
      </c>
      <c r="AI3954" t="n">
        <v>0</v>
      </c>
    </row>
    <row r="3955">
      <c r="A3955" t="inlineStr">
        <is>
          <t>5월</t>
        </is>
      </c>
      <c r="B3955" t="inlineStr">
        <is>
          <t>19주차</t>
        </is>
      </c>
      <c r="C3955" t="inlineStr">
        <is>
          <t>EP</t>
        </is>
      </c>
      <c r="D3955" s="28" t="n">
        <v>46146</v>
      </c>
      <c r="E3955" t="inlineStr">
        <is>
          <t>BNKEP</t>
        </is>
      </c>
      <c r="F3955" t="inlineStr">
        <is>
          <t>김재구</t>
        </is>
      </c>
      <c r="G3955" t="inlineStr">
        <is>
          <t>010-9908-6199</t>
        </is>
      </c>
      <c r="H3955" t="inlineStr">
        <is>
          <t>377라8927</t>
        </is>
      </c>
      <c r="I3955" t="n">
        <v>10000000</v>
      </c>
      <c r="J3955" t="n">
        <v>0.061</v>
      </c>
      <c r="K3955" t="n">
        <v>1.65</v>
      </c>
      <c r="L3955" t="n">
        <v>0.14</v>
      </c>
      <c r="M3955" t="n">
        <v>1.51</v>
      </c>
      <c r="P3955" t="inlineStr">
        <is>
          <t>김수연</t>
        </is>
      </c>
      <c r="Q3955" t="inlineStr">
        <is>
          <t>홈서비스 24개월</t>
        </is>
      </c>
      <c r="AB3955" t="inlineStr">
        <is>
          <t>홈서비스</t>
        </is>
      </c>
      <c r="AC3955" t="n">
        <v>165000</v>
      </c>
      <c r="AD3955" t="n">
        <v>14000</v>
      </c>
      <c r="AE3955" t="n">
        <v>151000</v>
      </c>
      <c r="AF3955" t="n">
        <v>150000</v>
      </c>
      <c r="AG3955" t="n">
        <v>13538</v>
      </c>
      <c r="AH3955" t="n">
        <v>136462</v>
      </c>
    </row>
    <row r="3956">
      <c r="A3956" t="inlineStr">
        <is>
          <t>5월</t>
        </is>
      </c>
      <c r="B3956" t="inlineStr">
        <is>
          <t>19주차</t>
        </is>
      </c>
      <c r="C3956" t="inlineStr">
        <is>
          <t>IM</t>
        </is>
      </c>
      <c r="D3956" s="28" t="n">
        <v>46146</v>
      </c>
      <c r="E3956" t="inlineStr">
        <is>
          <t>IM캐피탈</t>
        </is>
      </c>
      <c r="F3956" t="inlineStr">
        <is>
          <t>장요한</t>
        </is>
      </c>
      <c r="G3956" t="inlineStr">
        <is>
          <t>010-4192-9909</t>
        </is>
      </c>
      <c r="H3956" t="inlineStr">
        <is>
          <t>258수5951</t>
        </is>
      </c>
      <c r="I3956" t="n">
        <v>7400000</v>
      </c>
      <c r="J3956" t="n">
        <v>0.059</v>
      </c>
      <c r="K3956" t="n">
        <v>1.1</v>
      </c>
      <c r="L3956" t="n">
        <v>0.4</v>
      </c>
      <c r="M3956" t="n">
        <v>0.7</v>
      </c>
      <c r="P3956" t="inlineStr">
        <is>
          <t>장진경</t>
        </is>
      </c>
      <c r="AB3956" t="inlineStr">
        <is>
          <t>엔카</t>
        </is>
      </c>
      <c r="AC3956" t="n">
        <v>81400</v>
      </c>
      <c r="AD3956" t="n">
        <v>29600</v>
      </c>
      <c r="AE3956" t="n">
        <v>51800</v>
      </c>
      <c r="AF3956" t="n">
        <v>74000</v>
      </c>
      <c r="AG3956" t="n">
        <v>28623.2</v>
      </c>
      <c r="AH3956" t="n">
        <v>45376.8</v>
      </c>
      <c r="AI3956" t="n">
        <v>0</v>
      </c>
    </row>
    <row r="3957">
      <c r="A3957" t="inlineStr">
        <is>
          <t>5월</t>
        </is>
      </c>
      <c r="B3957" t="inlineStr">
        <is>
          <t>19주차</t>
        </is>
      </c>
      <c r="C3957" t="inlineStr">
        <is>
          <t>IM</t>
        </is>
      </c>
      <c r="D3957" s="28" t="n">
        <v>46146</v>
      </c>
      <c r="E3957" t="inlineStr">
        <is>
          <t>IM캐피탈</t>
        </is>
      </c>
      <c r="F3957" t="inlineStr">
        <is>
          <t>박민규</t>
        </is>
      </c>
      <c r="G3957" t="inlineStr">
        <is>
          <t>010-7584-7947</t>
        </is>
      </c>
      <c r="H3957" t="inlineStr">
        <is>
          <t>158도5738</t>
        </is>
      </c>
      <c r="I3957" t="n">
        <v>32700000</v>
      </c>
      <c r="J3957" t="n">
        <v>0.079</v>
      </c>
      <c r="K3957" t="n">
        <v>1.1</v>
      </c>
      <c r="L3957" t="n">
        <v>0.14</v>
      </c>
      <c r="M3957" t="n">
        <v>0.96</v>
      </c>
      <c r="P3957" t="inlineStr">
        <is>
          <t>황채이</t>
        </is>
      </c>
      <c r="Q3957" t="inlineStr">
        <is>
          <t>홈서비스 72개월 / 부대비용 추가진행</t>
        </is>
      </c>
      <c r="AB3957" t="inlineStr">
        <is>
          <t>홈서비스</t>
        </is>
      </c>
      <c r="AC3957" t="n">
        <v>359700</v>
      </c>
      <c r="AD3957" t="n">
        <v>45780</v>
      </c>
      <c r="AE3957" t="n">
        <v>313920</v>
      </c>
      <c r="AF3957" t="n">
        <v>327000</v>
      </c>
      <c r="AG3957" t="n">
        <v>44269.26</v>
      </c>
      <c r="AH3957" t="n">
        <v>282730.74</v>
      </c>
      <c r="AI3957" t="n">
        <v>0</v>
      </c>
    </row>
    <row r="3958">
      <c r="A3958" t="inlineStr">
        <is>
          <t>5월</t>
        </is>
      </c>
      <c r="B3958" t="inlineStr">
        <is>
          <t>19주차</t>
        </is>
      </c>
      <c r="C3958" t="inlineStr">
        <is>
          <t>IM</t>
        </is>
      </c>
      <c r="D3958" s="28" t="n">
        <v>46146</v>
      </c>
      <c r="E3958" t="inlineStr">
        <is>
          <t>IM캐피탈</t>
        </is>
      </c>
      <c r="F3958" t="inlineStr">
        <is>
          <t>안창주</t>
        </is>
      </c>
      <c r="G3958" t="inlineStr">
        <is>
          <t>010-8527-7308</t>
        </is>
      </c>
      <c r="H3958" t="inlineStr">
        <is>
          <t>389두7833</t>
        </is>
      </c>
      <c r="I3958" t="n">
        <v>14500000</v>
      </c>
      <c r="J3958" t="n">
        <v>0.049</v>
      </c>
      <c r="K3958" t="n">
        <v>1.1</v>
      </c>
      <c r="L3958" t="n">
        <v>0.14</v>
      </c>
      <c r="M3958" t="n">
        <v>0.96</v>
      </c>
      <c r="P3958" t="inlineStr">
        <is>
          <t>장진경</t>
        </is>
      </c>
      <c r="Q3958" t="inlineStr">
        <is>
          <t>선상담 / 홈서비스 84개월</t>
        </is>
      </c>
      <c r="AB3958" t="inlineStr">
        <is>
          <t>홈서비스</t>
        </is>
      </c>
      <c r="AC3958" t="n">
        <v>159500</v>
      </c>
      <c r="AD3958" t="n">
        <v>20300</v>
      </c>
      <c r="AE3958" t="n">
        <v>139200</v>
      </c>
      <c r="AF3958" t="n">
        <v>145000</v>
      </c>
      <c r="AG3958" t="n">
        <v>19630.1</v>
      </c>
      <c r="AH3958" t="n">
        <v>125369.9</v>
      </c>
      <c r="AI3958" t="n">
        <v>0</v>
      </c>
    </row>
    <row r="3959">
      <c r="A3959" t="inlineStr">
        <is>
          <t>4월</t>
        </is>
      </c>
      <c r="B3959" t="inlineStr">
        <is>
          <t>18주차</t>
        </is>
      </c>
      <c r="C3959" t="inlineStr">
        <is>
          <t>EP</t>
        </is>
      </c>
      <c r="D3959" s="28" t="n">
        <v>46139</v>
      </c>
      <c r="E3959" t="inlineStr">
        <is>
          <t>제이비EP</t>
        </is>
      </c>
      <c r="F3959" t="inlineStr">
        <is>
          <t>조문경</t>
        </is>
      </c>
      <c r="G3959" t="inlineStr">
        <is>
          <t>010-9265-6185</t>
        </is>
      </c>
      <c r="H3959" t="inlineStr">
        <is>
          <t>271모1193</t>
        </is>
      </c>
      <c r="I3959" t="n">
        <v>18000000</v>
      </c>
      <c r="J3959" t="n">
        <v>0.076</v>
      </c>
      <c r="K3959" t="n">
        <v>1.65</v>
      </c>
      <c r="L3959" t="n">
        <v>0.4</v>
      </c>
      <c r="M3959" t="n">
        <v>1.25</v>
      </c>
      <c r="P3959" t="inlineStr">
        <is>
          <t>구성완</t>
        </is>
      </c>
      <c r="Q3959" t="inlineStr">
        <is>
          <t>론실행</t>
        </is>
      </c>
      <c r="AB3959" t="inlineStr">
        <is>
          <t>엔카</t>
        </is>
      </c>
      <c r="AC3959" t="n">
        <v>297000</v>
      </c>
      <c r="AD3959" t="n">
        <v>72000</v>
      </c>
      <c r="AE3959" t="n">
        <v>225000</v>
      </c>
      <c r="AF3959" t="n">
        <v>270000</v>
      </c>
      <c r="AG3959" t="n">
        <v>69624</v>
      </c>
      <c r="AH3959" t="n">
        <v>200376</v>
      </c>
      <c r="AI3959" t="n">
        <v>0</v>
      </c>
    </row>
    <row r="3960">
      <c r="A3960" t="inlineStr">
        <is>
          <t>5월</t>
        </is>
      </c>
      <c r="B3960" t="inlineStr">
        <is>
          <t>19주차</t>
        </is>
      </c>
      <c r="C3960" t="inlineStr">
        <is>
          <t>EP</t>
        </is>
      </c>
      <c r="D3960" s="28" t="n">
        <v>46146</v>
      </c>
      <c r="E3960" t="inlineStr">
        <is>
          <t>현대EP_fast</t>
        </is>
      </c>
      <c r="F3960" t="inlineStr">
        <is>
          <t>박권우</t>
        </is>
      </c>
      <c r="G3960" t="inlineStr">
        <is>
          <t>010-4050-0684</t>
        </is>
      </c>
      <c r="H3960" t="inlineStr">
        <is>
          <t>191오6343</t>
        </is>
      </c>
      <c r="I3960" t="n">
        <v>37800000</v>
      </c>
      <c r="J3960" t="n">
        <v>0.089</v>
      </c>
      <c r="K3960" t="n">
        <v>1.76</v>
      </c>
      <c r="L3960" t="n">
        <v>0.14</v>
      </c>
      <c r="M3960" t="n">
        <v>1.62</v>
      </c>
      <c r="P3960" t="inlineStr">
        <is>
          <t>김나윤</t>
        </is>
      </c>
      <c r="Q3960" t="inlineStr">
        <is>
          <t>홈서비스 60개월</t>
        </is>
      </c>
      <c r="AB3960" t="inlineStr">
        <is>
          <t>홈서비스</t>
        </is>
      </c>
      <c r="AC3960" t="n">
        <v>665280</v>
      </c>
      <c r="AD3960" t="n">
        <v>52920</v>
      </c>
      <c r="AE3960" t="n">
        <v>612360</v>
      </c>
      <c r="AF3960" t="n">
        <v>604800</v>
      </c>
      <c r="AG3960" t="n">
        <v>51173.64</v>
      </c>
      <c r="AH3960" t="n">
        <v>553626.36</v>
      </c>
      <c r="AI3960" t="n">
        <v>0</v>
      </c>
    </row>
    <row r="3961">
      <c r="A3961" t="inlineStr">
        <is>
          <t>5월</t>
        </is>
      </c>
      <c r="B3961" t="inlineStr">
        <is>
          <t>19주차</t>
        </is>
      </c>
      <c r="C3961" t="inlineStr">
        <is>
          <t>EP</t>
        </is>
      </c>
      <c r="D3961" s="28" t="n">
        <v>46146</v>
      </c>
      <c r="E3961" t="inlineStr">
        <is>
          <t>현대EP_fast</t>
        </is>
      </c>
      <c r="F3961" t="inlineStr">
        <is>
          <t>최성진</t>
        </is>
      </c>
      <c r="G3961" t="inlineStr">
        <is>
          <t>010-5334-1212</t>
        </is>
      </c>
      <c r="H3961" t="inlineStr">
        <is>
          <t>257가9688</t>
        </is>
      </c>
      <c r="I3961" t="n">
        <v>16700000</v>
      </c>
      <c r="J3961" t="n">
        <v>0.099</v>
      </c>
      <c r="K3961" t="n">
        <v>1.76</v>
      </c>
      <c r="L3961" t="n">
        <v>0.14</v>
      </c>
      <c r="M3961" t="n">
        <v>1.62</v>
      </c>
      <c r="P3961" t="inlineStr">
        <is>
          <t>김수연</t>
        </is>
      </c>
      <c r="Q3961" t="inlineStr">
        <is>
          <t>홈서비스 60개월</t>
        </is>
      </c>
      <c r="AB3961" t="inlineStr">
        <is>
          <t>홈서비스</t>
        </is>
      </c>
      <c r="AC3961" t="n">
        <v>293920</v>
      </c>
      <c r="AD3961" t="n">
        <v>23380</v>
      </c>
      <c r="AE3961" t="n">
        <v>270540</v>
      </c>
      <c r="AF3961" t="n">
        <v>267200</v>
      </c>
      <c r="AG3961" t="n">
        <v>22608.46</v>
      </c>
      <c r="AH3961" t="n">
        <v>244591.54</v>
      </c>
      <c r="AI3961" t="n">
        <v>0</v>
      </c>
    </row>
    <row r="3962">
      <c r="A3962" t="inlineStr">
        <is>
          <t>5월</t>
        </is>
      </c>
      <c r="B3962" t="inlineStr">
        <is>
          <t>19주차</t>
        </is>
      </c>
      <c r="C3962" t="inlineStr">
        <is>
          <t>EP</t>
        </is>
      </c>
      <c r="D3962" s="28" t="n">
        <v>46146</v>
      </c>
      <c r="E3962" t="inlineStr">
        <is>
          <t>현대EP_fast</t>
        </is>
      </c>
      <c r="F3962" t="inlineStr">
        <is>
          <t>채수동</t>
        </is>
      </c>
      <c r="G3962" t="inlineStr">
        <is>
          <t>010-7470-3123</t>
        </is>
      </c>
      <c r="H3962" t="inlineStr">
        <is>
          <t>140소2518</t>
        </is>
      </c>
      <c r="I3962" t="n">
        <v>5700000</v>
      </c>
      <c r="J3962" t="n">
        <v>0.089</v>
      </c>
      <c r="K3962" t="n">
        <v>1.76</v>
      </c>
      <c r="L3962" t="n">
        <v>0.14</v>
      </c>
      <c r="M3962" t="n">
        <v>1.62</v>
      </c>
      <c r="P3962" t="inlineStr">
        <is>
          <t>최형주</t>
        </is>
      </c>
      <c r="Q3962" t="inlineStr">
        <is>
          <t>홈서비스60개월 / 고객주도체결</t>
        </is>
      </c>
      <c r="AB3962" t="inlineStr">
        <is>
          <t>홈서비스</t>
        </is>
      </c>
      <c r="AC3962" t="n">
        <v>100320</v>
      </c>
      <c r="AD3962" t="n">
        <v>7980</v>
      </c>
      <c r="AE3962" t="n">
        <v>92340</v>
      </c>
      <c r="AF3962" t="n">
        <v>91200</v>
      </c>
      <c r="AG3962" t="n">
        <v>7716.66</v>
      </c>
      <c r="AH3962" t="n">
        <v>83483.34</v>
      </c>
    </row>
    <row r="3963">
      <c r="A3963" t="inlineStr">
        <is>
          <t>5월</t>
        </is>
      </c>
      <c r="B3963" t="inlineStr">
        <is>
          <t>19주차</t>
        </is>
      </c>
      <c r="C3963" t="inlineStr">
        <is>
          <t>EP</t>
        </is>
      </c>
      <c r="D3963" s="28" t="n">
        <v>46146</v>
      </c>
      <c r="E3963" t="inlineStr">
        <is>
          <t>현대EP_fast</t>
        </is>
      </c>
      <c r="F3963" t="inlineStr">
        <is>
          <t>조영진</t>
        </is>
      </c>
      <c r="G3963" t="inlineStr">
        <is>
          <t>010-4308-4865</t>
        </is>
      </c>
      <c r="H3963" t="inlineStr">
        <is>
          <t>50소3947</t>
        </is>
      </c>
      <c r="I3963" t="n">
        <v>6900000</v>
      </c>
      <c r="J3963" t="n">
        <v>0.118</v>
      </c>
      <c r="K3963" t="n">
        <v>1.76</v>
      </c>
      <c r="L3963" t="n">
        <v>0.14</v>
      </c>
      <c r="M3963" t="n">
        <v>1.62</v>
      </c>
      <c r="P3963" t="inlineStr">
        <is>
          <t>김나윤</t>
        </is>
      </c>
      <c r="Q3963" t="inlineStr">
        <is>
          <t>홈서비스 36개월 / 공동명의</t>
        </is>
      </c>
      <c r="AB3963" t="inlineStr">
        <is>
          <t>홈서비스</t>
        </is>
      </c>
      <c r="AC3963" t="n">
        <v>121440</v>
      </c>
      <c r="AD3963" t="n">
        <v>9660</v>
      </c>
      <c r="AE3963" t="n">
        <v>111780</v>
      </c>
      <c r="AF3963" t="n">
        <v>110400</v>
      </c>
      <c r="AG3963" t="n">
        <v>9341.219999999999</v>
      </c>
      <c r="AH3963" t="n">
        <v>101058.78</v>
      </c>
      <c r="AI3963" t="n">
        <v>0</v>
      </c>
    </row>
    <row r="3964">
      <c r="A3964" t="inlineStr">
        <is>
          <t>5월</t>
        </is>
      </c>
      <c r="B3964" t="inlineStr">
        <is>
          <t>19주차</t>
        </is>
      </c>
      <c r="C3964" t="inlineStr">
        <is>
          <t>IM</t>
        </is>
      </c>
      <c r="D3964" s="28" t="n">
        <v>46146</v>
      </c>
      <c r="E3964" t="inlineStr">
        <is>
          <t>IM캐피탈</t>
        </is>
      </c>
      <c r="F3964" t="inlineStr">
        <is>
          <t>최은비</t>
        </is>
      </c>
      <c r="G3964" t="inlineStr">
        <is>
          <t>010-6359-5898</t>
        </is>
      </c>
      <c r="H3964" t="inlineStr">
        <is>
          <t>267러2149</t>
        </is>
      </c>
      <c r="I3964" t="n">
        <v>11500000</v>
      </c>
      <c r="J3964" t="n">
        <v>0.059</v>
      </c>
      <c r="K3964" t="n">
        <v>1.1</v>
      </c>
      <c r="L3964" t="n">
        <v>0.14</v>
      </c>
      <c r="M3964" t="n">
        <v>0.96</v>
      </c>
      <c r="P3964" t="inlineStr">
        <is>
          <t>김수연</t>
        </is>
      </c>
      <c r="Q3964" t="inlineStr">
        <is>
          <t>홈서비스 60개월</t>
        </is>
      </c>
      <c r="AB3964" t="inlineStr">
        <is>
          <t>홈서비스</t>
        </is>
      </c>
      <c r="AC3964" t="n">
        <v>126500</v>
      </c>
      <c r="AD3964" t="n">
        <v>16100</v>
      </c>
      <c r="AE3964" t="n">
        <v>110400</v>
      </c>
      <c r="AF3964" t="n">
        <v>115000</v>
      </c>
      <c r="AG3964" t="n">
        <v>15568.7</v>
      </c>
      <c r="AH3964" t="n">
        <v>99431.3</v>
      </c>
      <c r="AI3964" t="n">
        <v>0</v>
      </c>
    </row>
    <row r="3965">
      <c r="A3965" t="inlineStr">
        <is>
          <t>5월</t>
        </is>
      </c>
      <c r="B3965" t="inlineStr">
        <is>
          <t>19주차</t>
        </is>
      </c>
      <c r="C3965" t="inlineStr">
        <is>
          <t>EP</t>
        </is>
      </c>
      <c r="D3965" s="28" t="n">
        <v>46146</v>
      </c>
      <c r="E3965" t="inlineStr">
        <is>
          <t>현대EP</t>
        </is>
      </c>
      <c r="F3965" t="inlineStr">
        <is>
          <t>김창용</t>
        </is>
      </c>
      <c r="G3965" t="inlineStr">
        <is>
          <t>010-6804-4559</t>
        </is>
      </c>
      <c r="H3965" t="inlineStr">
        <is>
          <t>168머4123</t>
        </is>
      </c>
      <c r="I3965" t="n">
        <v>33000000</v>
      </c>
      <c r="J3965" t="n">
        <v>0.062</v>
      </c>
      <c r="K3965" t="n">
        <v>1.76</v>
      </c>
      <c r="L3965" t="n">
        <v>0.14</v>
      </c>
      <c r="M3965" t="n">
        <v>1.62</v>
      </c>
      <c r="P3965" t="inlineStr">
        <is>
          <t>김나윤</t>
        </is>
      </c>
      <c r="AB3965" t="inlineStr">
        <is>
          <t>홈서비스</t>
        </is>
      </c>
      <c r="AC3965" t="n">
        <v>580800</v>
      </c>
      <c r="AD3965" t="n">
        <v>46200</v>
      </c>
      <c r="AE3965" t="n">
        <v>534600</v>
      </c>
      <c r="AF3965" t="n">
        <v>528000</v>
      </c>
      <c r="AG3965" t="n">
        <v>44675.4</v>
      </c>
      <c r="AH3965" t="n">
        <v>483324.6</v>
      </c>
    </row>
    <row r="3966">
      <c r="A3966" t="inlineStr">
        <is>
          <t>5월</t>
        </is>
      </c>
      <c r="B3966" t="inlineStr">
        <is>
          <t>19주차</t>
        </is>
      </c>
      <c r="C3966" t="inlineStr">
        <is>
          <t>EP</t>
        </is>
      </c>
      <c r="D3966" s="28" t="n">
        <v>46146</v>
      </c>
      <c r="E3966" t="inlineStr">
        <is>
          <t>현대EP_fast</t>
        </is>
      </c>
      <c r="F3966" t="inlineStr">
        <is>
          <t>김동찬</t>
        </is>
      </c>
      <c r="G3966" t="inlineStr">
        <is>
          <t>010-7180-6575</t>
        </is>
      </c>
      <c r="H3966" t="inlineStr">
        <is>
          <t>171구2374</t>
        </is>
      </c>
      <c r="I3966" t="n">
        <v>44500000</v>
      </c>
      <c r="J3966" t="n">
        <v>0.118</v>
      </c>
      <c r="K3966" t="n">
        <v>1.76</v>
      </c>
      <c r="L3966" t="n">
        <v>0.5</v>
      </c>
      <c r="M3966" t="n">
        <v>1.26</v>
      </c>
      <c r="P3966" t="inlineStr">
        <is>
          <t>임대경</t>
        </is>
      </c>
      <c r="AB3966" t="inlineStr">
        <is>
          <t>엔카</t>
        </is>
      </c>
      <c r="AC3966" t="n">
        <v>783200</v>
      </c>
      <c r="AD3966" t="n">
        <v>222500</v>
      </c>
      <c r="AE3966" t="n">
        <v>560700</v>
      </c>
      <c r="AF3966" t="n">
        <v>712000</v>
      </c>
      <c r="AG3966" t="n">
        <v>215157.5</v>
      </c>
      <c r="AH3966" t="n">
        <v>496842.5</v>
      </c>
      <c r="AI3966" t="n">
        <v>0</v>
      </c>
    </row>
    <row r="3967">
      <c r="A3967" t="inlineStr">
        <is>
          <t>5월</t>
        </is>
      </c>
      <c r="B3967" t="inlineStr">
        <is>
          <t>19주차</t>
        </is>
      </c>
      <c r="C3967" t="inlineStr">
        <is>
          <t>EP</t>
        </is>
      </c>
      <c r="D3967" s="28" t="n">
        <v>46146</v>
      </c>
      <c r="E3967" t="inlineStr">
        <is>
          <t>현대EP_fast</t>
        </is>
      </c>
      <c r="F3967" t="inlineStr">
        <is>
          <t>남경주</t>
        </is>
      </c>
      <c r="G3967" t="inlineStr">
        <is>
          <t>010-4412-2814</t>
        </is>
      </c>
      <c r="H3967" t="inlineStr">
        <is>
          <t>43너5508</t>
        </is>
      </c>
      <c r="I3967" t="n">
        <v>4500000</v>
      </c>
      <c r="J3967" t="n">
        <v>0.08799999999999999</v>
      </c>
      <c r="K3967" t="n">
        <v>1.76</v>
      </c>
      <c r="L3967" t="n">
        <v>0.14</v>
      </c>
      <c r="M3967" t="n">
        <v>1.62</v>
      </c>
      <c r="P3967" t="inlineStr">
        <is>
          <t>황채이</t>
        </is>
      </c>
      <c r="Q3967" t="inlineStr">
        <is>
          <t>홈서비스 24개월</t>
        </is>
      </c>
      <c r="AB3967" t="inlineStr">
        <is>
          <t>홈서비스</t>
        </is>
      </c>
      <c r="AC3967" t="n">
        <v>79200</v>
      </c>
      <c r="AD3967" t="n">
        <v>6300</v>
      </c>
      <c r="AE3967" t="n">
        <v>72900</v>
      </c>
      <c r="AF3967" t="n">
        <v>72000</v>
      </c>
      <c r="AG3967" t="n">
        <v>6092.1</v>
      </c>
      <c r="AH3967" t="n">
        <v>65907.89999999999</v>
      </c>
      <c r="AI3967" t="n">
        <v>0</v>
      </c>
    </row>
    <row r="3968">
      <c r="A3968" t="inlineStr">
        <is>
          <t>5월</t>
        </is>
      </c>
      <c r="B3968" t="inlineStr">
        <is>
          <t>19주차</t>
        </is>
      </c>
      <c r="C3968" t="inlineStr">
        <is>
          <t>EP</t>
        </is>
      </c>
      <c r="D3968" s="28" t="n">
        <v>46146</v>
      </c>
      <c r="E3968" t="inlineStr">
        <is>
          <t>현대EP_fast</t>
        </is>
      </c>
      <c r="F3968" t="inlineStr">
        <is>
          <t>이재준</t>
        </is>
      </c>
      <c r="G3968" t="inlineStr">
        <is>
          <t>010-56095-9897</t>
        </is>
      </c>
      <c r="H3968" t="inlineStr">
        <is>
          <t>64더0375</t>
        </is>
      </c>
      <c r="I3968" t="n">
        <v>4200000</v>
      </c>
      <c r="J3968" t="n">
        <v>0.08500000000000001</v>
      </c>
      <c r="K3968" t="n">
        <v>1.76</v>
      </c>
      <c r="L3968" t="n">
        <v>0.14</v>
      </c>
      <c r="M3968" t="n">
        <v>1.62</v>
      </c>
      <c r="P3968" t="inlineStr">
        <is>
          <t>최형주</t>
        </is>
      </c>
      <c r="Q3968" t="inlineStr">
        <is>
          <t>홈서비스 48개월</t>
        </is>
      </c>
      <c r="AB3968" t="inlineStr">
        <is>
          <t>홈서비스</t>
        </is>
      </c>
      <c r="AC3968" t="n">
        <v>73920</v>
      </c>
      <c r="AD3968" t="n">
        <v>5880</v>
      </c>
      <c r="AE3968" t="n">
        <v>68040</v>
      </c>
      <c r="AF3968" t="n">
        <v>67200</v>
      </c>
      <c r="AG3968" t="n">
        <v>5685.96</v>
      </c>
      <c r="AH3968" t="n">
        <v>61514.04</v>
      </c>
    </row>
    <row r="3969">
      <c r="A3969" t="inlineStr">
        <is>
          <t>5월</t>
        </is>
      </c>
      <c r="B3969" t="inlineStr">
        <is>
          <t>19주차</t>
        </is>
      </c>
      <c r="C3969" t="inlineStr">
        <is>
          <t>EP</t>
        </is>
      </c>
      <c r="D3969" s="28" t="n">
        <v>46146</v>
      </c>
      <c r="E3969" t="inlineStr">
        <is>
          <t>현대EP_fast</t>
        </is>
      </c>
      <c r="F3969" t="inlineStr">
        <is>
          <t>박상수</t>
        </is>
      </c>
      <c r="G3969" t="inlineStr">
        <is>
          <t>010-3541-4584</t>
        </is>
      </c>
      <c r="H3969" t="inlineStr">
        <is>
          <t>332조1803</t>
        </is>
      </c>
      <c r="I3969" t="n">
        <v>34500000</v>
      </c>
      <c r="J3969" t="n">
        <v>0.105</v>
      </c>
      <c r="K3969" t="n">
        <v>1.76</v>
      </c>
      <c r="L3969" t="n">
        <v>0.14</v>
      </c>
      <c r="M3969" t="n">
        <v>1.62</v>
      </c>
      <c r="P3969" t="inlineStr">
        <is>
          <t>정세빈</t>
        </is>
      </c>
      <c r="Q3969" t="inlineStr">
        <is>
          <t>홈서비스 60개월</t>
        </is>
      </c>
      <c r="AB3969" t="inlineStr">
        <is>
          <t>홈서비스</t>
        </is>
      </c>
      <c r="AC3969" t="n">
        <v>607200</v>
      </c>
      <c r="AD3969" t="n">
        <v>48300</v>
      </c>
      <c r="AE3969" t="n">
        <v>558900</v>
      </c>
      <c r="AF3969" t="n">
        <v>552000</v>
      </c>
      <c r="AG3969" t="n">
        <v>46706.1</v>
      </c>
      <c r="AH3969" t="n">
        <v>505293.9</v>
      </c>
      <c r="AI3969" t="n">
        <v>0</v>
      </c>
    </row>
    <row r="3970">
      <c r="A3970" t="inlineStr">
        <is>
          <t>5월</t>
        </is>
      </c>
      <c r="B3970" t="inlineStr">
        <is>
          <t>19주차</t>
        </is>
      </c>
      <c r="C3970" t="inlineStr">
        <is>
          <t>HC</t>
        </is>
      </c>
      <c r="D3970" s="28" t="n">
        <v>46146</v>
      </c>
      <c r="E3970" t="inlineStr">
        <is>
          <t>하나캐피탈</t>
        </is>
      </c>
      <c r="F3970" t="inlineStr">
        <is>
          <t>조정길</t>
        </is>
      </c>
      <c r="G3970" t="inlineStr">
        <is>
          <t>010-4603-2268</t>
        </is>
      </c>
      <c r="H3970" t="inlineStr">
        <is>
          <t>267너6877</t>
        </is>
      </c>
      <c r="I3970" t="n">
        <v>5000000</v>
      </c>
      <c r="J3970" t="n">
        <v>0.065</v>
      </c>
      <c r="K3970" t="n">
        <v>2.2</v>
      </c>
      <c r="L3970" t="n">
        <v>0.14</v>
      </c>
      <c r="M3970" t="n">
        <v>2.06</v>
      </c>
      <c r="P3970" t="inlineStr">
        <is>
          <t>정하은</t>
        </is>
      </c>
      <c r="Q3970" t="inlineStr">
        <is>
          <t>홈서비스60개월</t>
        </is>
      </c>
      <c r="AB3970" t="inlineStr">
        <is>
          <t>홈서비스</t>
        </is>
      </c>
      <c r="AC3970" t="n">
        <v>110000</v>
      </c>
      <c r="AD3970" t="n">
        <v>7000</v>
      </c>
      <c r="AE3970" t="n">
        <v>103000</v>
      </c>
      <c r="AF3970" t="n">
        <v>100000</v>
      </c>
      <c r="AG3970" t="n">
        <v>6769</v>
      </c>
      <c r="AH3970" t="n">
        <v>93231</v>
      </c>
      <c r="AI3970" t="n">
        <v>0</v>
      </c>
    </row>
    <row r="3971">
      <c r="A3971" t="inlineStr">
        <is>
          <t>5월</t>
        </is>
      </c>
      <c r="B3971" t="inlineStr">
        <is>
          <t>19주차</t>
        </is>
      </c>
      <c r="C3971" t="inlineStr">
        <is>
          <t>EP</t>
        </is>
      </c>
      <c r="D3971" s="28" t="n">
        <v>46146</v>
      </c>
      <c r="E3971" t="inlineStr">
        <is>
          <t>현대EP</t>
        </is>
      </c>
      <c r="F3971" t="inlineStr">
        <is>
          <t>마현철</t>
        </is>
      </c>
      <c r="G3971" t="inlineStr">
        <is>
          <t>010-5361-3261</t>
        </is>
      </c>
      <c r="H3971" t="inlineStr">
        <is>
          <t>52노5530</t>
        </is>
      </c>
      <c r="I3971" t="n">
        <v>11400000</v>
      </c>
      <c r="J3971" t="n">
        <v>0.062</v>
      </c>
      <c r="K3971" t="n">
        <v>1.76</v>
      </c>
      <c r="L3971" t="n">
        <v>0.14</v>
      </c>
      <c r="M3971" t="n">
        <v>1.62</v>
      </c>
      <c r="P3971" t="inlineStr">
        <is>
          <t>김수연</t>
        </is>
      </c>
      <c r="AB3971" t="inlineStr">
        <is>
          <t>홈서비스</t>
        </is>
      </c>
      <c r="AC3971" t="n">
        <v>200640</v>
      </c>
      <c r="AD3971" t="n">
        <v>15960</v>
      </c>
      <c r="AE3971" t="n">
        <v>184680</v>
      </c>
      <c r="AF3971" t="n">
        <v>182400</v>
      </c>
      <c r="AG3971" t="n">
        <v>15433.32</v>
      </c>
      <c r="AH3971" t="n">
        <v>166966.68</v>
      </c>
      <c r="AI3971" t="n">
        <v>0</v>
      </c>
    </row>
    <row r="3972">
      <c r="A3972" t="inlineStr">
        <is>
          <t>5월</t>
        </is>
      </c>
      <c r="B3972" t="inlineStr">
        <is>
          <t>19주차</t>
        </is>
      </c>
      <c r="C3972" t="inlineStr">
        <is>
          <t>HC</t>
        </is>
      </c>
      <c r="D3972" s="28" t="n">
        <v>46146</v>
      </c>
      <c r="E3972" t="inlineStr">
        <is>
          <t>하나캐피탈</t>
        </is>
      </c>
      <c r="F3972" t="inlineStr">
        <is>
          <t>소윤혜</t>
        </is>
      </c>
      <c r="G3972" t="inlineStr">
        <is>
          <t>010-9544-0414</t>
        </is>
      </c>
      <c r="H3972" t="inlineStr">
        <is>
          <t>365소9776</t>
        </is>
      </c>
      <c r="I3972" t="n">
        <v>30300000</v>
      </c>
      <c r="J3972" t="n">
        <v>0.059</v>
      </c>
      <c r="K3972" t="n">
        <v>2.2</v>
      </c>
      <c r="L3972" t="n">
        <v>0.14</v>
      </c>
      <c r="M3972" t="n">
        <v>2.06</v>
      </c>
      <c r="P3972" t="inlineStr">
        <is>
          <t>정세빈</t>
        </is>
      </c>
      <c r="Q3972" t="inlineStr">
        <is>
          <t>홈서비스 60개월</t>
        </is>
      </c>
      <c r="AB3972" t="inlineStr">
        <is>
          <t>홈서비스</t>
        </is>
      </c>
      <c r="AC3972" t="n">
        <v>666600</v>
      </c>
      <c r="AD3972" t="n">
        <v>42420</v>
      </c>
      <c r="AE3972" t="n">
        <v>624180</v>
      </c>
      <c r="AF3972" t="n">
        <v>606000</v>
      </c>
      <c r="AG3972" t="n">
        <v>41020.14</v>
      </c>
      <c r="AH3972" t="n">
        <v>564979.86</v>
      </c>
      <c r="AI3972" t="n">
        <v>0</v>
      </c>
    </row>
    <row r="3973">
      <c r="A3973" t="inlineStr">
        <is>
          <t>5월</t>
        </is>
      </c>
      <c r="B3973" t="inlineStr">
        <is>
          <t>19주차</t>
        </is>
      </c>
      <c r="C3973" t="inlineStr">
        <is>
          <t>EP</t>
        </is>
      </c>
      <c r="D3973" s="28" t="n">
        <v>46147</v>
      </c>
      <c r="E3973" t="inlineStr">
        <is>
          <t>현대EP</t>
        </is>
      </c>
      <c r="F3973" t="inlineStr">
        <is>
          <t>서관석</t>
        </is>
      </c>
      <c r="G3973" t="inlineStr">
        <is>
          <t>010-4415-9338</t>
        </is>
      </c>
      <c r="H3973" t="inlineStr">
        <is>
          <t>353구3771</t>
        </is>
      </c>
      <c r="I3973" t="n">
        <v>21500000</v>
      </c>
      <c r="J3973" t="n">
        <v>0.118</v>
      </c>
      <c r="K3973" t="n">
        <v>1.76</v>
      </c>
      <c r="L3973" t="n">
        <v>0.14</v>
      </c>
      <c r="M3973" t="n">
        <v>1.62</v>
      </c>
      <c r="P3973" t="inlineStr">
        <is>
          <t>정세빈</t>
        </is>
      </c>
      <c r="AB3973" t="inlineStr">
        <is>
          <t>홈서비스</t>
        </is>
      </c>
      <c r="AC3973" t="n">
        <v>378400</v>
      </c>
      <c r="AD3973" t="n">
        <v>30100</v>
      </c>
      <c r="AE3973" t="n">
        <v>348300</v>
      </c>
      <c r="AF3973" t="n">
        <v>344000</v>
      </c>
      <c r="AG3973" t="n">
        <v>29106.7</v>
      </c>
      <c r="AH3973" t="n">
        <v>314893.3</v>
      </c>
    </row>
    <row r="3974">
      <c r="A3974" t="inlineStr">
        <is>
          <t>5월</t>
        </is>
      </c>
      <c r="B3974" t="inlineStr">
        <is>
          <t>19주차</t>
        </is>
      </c>
      <c r="C3974" t="inlineStr">
        <is>
          <t>EP</t>
        </is>
      </c>
      <c r="D3974" s="28" t="n">
        <v>46146</v>
      </c>
      <c r="E3974" t="inlineStr">
        <is>
          <t>현대EP</t>
        </is>
      </c>
      <c r="F3974" t="inlineStr">
        <is>
          <t>신희정</t>
        </is>
      </c>
      <c r="G3974" t="inlineStr">
        <is>
          <t>010-4045-4113</t>
        </is>
      </c>
      <c r="H3974" t="inlineStr">
        <is>
          <t>13머4952</t>
        </is>
      </c>
      <c r="I3974" t="n">
        <v>20000000</v>
      </c>
      <c r="J3974" t="n">
        <v>0.079</v>
      </c>
      <c r="K3974" t="n">
        <v>1.76</v>
      </c>
      <c r="L3974" t="n">
        <v>0.14</v>
      </c>
      <c r="M3974" t="n">
        <v>1.62</v>
      </c>
      <c r="P3974" t="inlineStr">
        <is>
          <t>김나윤</t>
        </is>
      </c>
      <c r="AB3974" t="inlineStr">
        <is>
          <t>홈서비스</t>
        </is>
      </c>
      <c r="AC3974" t="n">
        <v>352000</v>
      </c>
      <c r="AD3974" t="n">
        <v>28000</v>
      </c>
      <c r="AE3974" t="n">
        <v>324000</v>
      </c>
      <c r="AF3974" t="n">
        <v>320000</v>
      </c>
      <c r="AG3974" t="n">
        <v>27076</v>
      </c>
      <c r="AH3974" t="n">
        <v>292924</v>
      </c>
      <c r="AI3974" t="n">
        <v>0</v>
      </c>
    </row>
    <row r="3975">
      <c r="A3975" t="inlineStr">
        <is>
          <t>5월</t>
        </is>
      </c>
      <c r="B3975" t="inlineStr">
        <is>
          <t>19주차</t>
        </is>
      </c>
      <c r="C3975" t="inlineStr">
        <is>
          <t>EP</t>
        </is>
      </c>
      <c r="D3975" s="28" t="n">
        <v>46147</v>
      </c>
      <c r="E3975" t="inlineStr">
        <is>
          <t>현대EP</t>
        </is>
      </c>
      <c r="F3975" t="inlineStr">
        <is>
          <t>이승향</t>
        </is>
      </c>
      <c r="G3975" t="inlineStr">
        <is>
          <t>010-3007-7907</t>
        </is>
      </c>
      <c r="H3975" t="inlineStr">
        <is>
          <t>263버2017</t>
        </is>
      </c>
      <c r="I3975" t="n">
        <v>47900000</v>
      </c>
      <c r="J3975" t="n">
        <v>0.07099999999999999</v>
      </c>
      <c r="K3975" t="n">
        <v>1.76</v>
      </c>
      <c r="L3975" t="n">
        <v>0.14</v>
      </c>
      <c r="M3975" t="n">
        <v>1.62</v>
      </c>
      <c r="P3975" t="inlineStr">
        <is>
          <t>정세빈</t>
        </is>
      </c>
      <c r="AB3975" t="inlineStr">
        <is>
          <t>홈서비스</t>
        </is>
      </c>
      <c r="AC3975" t="n">
        <v>843040</v>
      </c>
      <c r="AD3975" t="n">
        <v>67060</v>
      </c>
      <c r="AE3975" t="n">
        <v>775980</v>
      </c>
      <c r="AF3975" t="n">
        <v>766400</v>
      </c>
      <c r="AG3975" t="n">
        <v>64847.02</v>
      </c>
      <c r="AH3975" t="n">
        <v>701552.98</v>
      </c>
    </row>
    <row r="3976">
      <c r="A3976" t="inlineStr">
        <is>
          <t>5월</t>
        </is>
      </c>
      <c r="B3976" t="inlineStr">
        <is>
          <t>19주차</t>
        </is>
      </c>
      <c r="C3976" t="inlineStr">
        <is>
          <t>IM</t>
        </is>
      </c>
      <c r="D3976" s="28" t="n">
        <v>46146</v>
      </c>
      <c r="E3976" t="inlineStr">
        <is>
          <t>IM캐피탈</t>
        </is>
      </c>
      <c r="F3976" t="inlineStr">
        <is>
          <t>송진석</t>
        </is>
      </c>
      <c r="G3976" t="inlineStr">
        <is>
          <t>010-4121-7754</t>
        </is>
      </c>
      <c r="H3976" t="inlineStr">
        <is>
          <t>01오5482</t>
        </is>
      </c>
      <c r="I3976" t="n">
        <v>17000000</v>
      </c>
      <c r="J3976" t="n">
        <v>0.063</v>
      </c>
      <c r="K3976" t="n">
        <v>1.1</v>
      </c>
      <c r="L3976" t="n">
        <v>0.5</v>
      </c>
      <c r="M3976" t="n">
        <v>0.6</v>
      </c>
      <c r="P3976" t="inlineStr">
        <is>
          <t>임대경</t>
        </is>
      </c>
      <c r="AB3976" t="inlineStr">
        <is>
          <t>엔카</t>
        </is>
      </c>
      <c r="AC3976" t="n">
        <v>187000</v>
      </c>
      <c r="AD3976" t="n">
        <v>85000</v>
      </c>
      <c r="AE3976" t="n">
        <v>102000</v>
      </c>
      <c r="AF3976" t="n">
        <v>170000</v>
      </c>
      <c r="AG3976" t="n">
        <v>82195</v>
      </c>
      <c r="AH3976" t="n">
        <v>87805</v>
      </c>
      <c r="AI3976" t="n">
        <v>0</v>
      </c>
    </row>
    <row r="3977">
      <c r="A3977" t="inlineStr">
        <is>
          <t>5월</t>
        </is>
      </c>
      <c r="B3977" t="inlineStr">
        <is>
          <t>19주차</t>
        </is>
      </c>
      <c r="C3977" t="inlineStr">
        <is>
          <t>EP</t>
        </is>
      </c>
      <c r="D3977" s="28" t="n">
        <v>46146</v>
      </c>
      <c r="E3977" t="inlineStr">
        <is>
          <t>현대EP</t>
        </is>
      </c>
      <c r="F3977" t="inlineStr">
        <is>
          <t>문기원</t>
        </is>
      </c>
      <c r="G3977" t="inlineStr">
        <is>
          <t>010-2703-3371</t>
        </is>
      </c>
      <c r="H3977" t="inlineStr">
        <is>
          <t>242우8339</t>
        </is>
      </c>
      <c r="I3977" t="n">
        <v>18000000</v>
      </c>
      <c r="J3977" t="n">
        <v>0.07199999999999999</v>
      </c>
      <c r="K3977" t="n">
        <v>1.76</v>
      </c>
      <c r="L3977" t="n">
        <v>0.14</v>
      </c>
      <c r="M3977" t="n">
        <v>1.62</v>
      </c>
      <c r="P3977" t="inlineStr">
        <is>
          <t>최형주</t>
        </is>
      </c>
      <c r="AB3977" t="inlineStr">
        <is>
          <t>홈서비스</t>
        </is>
      </c>
      <c r="AC3977" t="n">
        <v>316800</v>
      </c>
      <c r="AD3977" t="n">
        <v>25200</v>
      </c>
      <c r="AE3977" t="n">
        <v>291600</v>
      </c>
      <c r="AF3977" t="n">
        <v>288000</v>
      </c>
      <c r="AG3977" t="n">
        <v>24368.4</v>
      </c>
      <c r="AH3977" t="n">
        <v>263631.6</v>
      </c>
      <c r="AI3977" t="n">
        <v>0</v>
      </c>
    </row>
    <row r="3978">
      <c r="A3978" t="inlineStr">
        <is>
          <t>5월</t>
        </is>
      </c>
      <c r="B3978" t="inlineStr">
        <is>
          <t>19주차</t>
        </is>
      </c>
      <c r="C3978" t="inlineStr">
        <is>
          <t>EP</t>
        </is>
      </c>
      <c r="D3978" s="28" t="n">
        <v>46146</v>
      </c>
      <c r="E3978" t="inlineStr">
        <is>
          <t>BNKEP</t>
        </is>
      </c>
      <c r="F3978" t="inlineStr">
        <is>
          <t>엄태화</t>
        </is>
      </c>
      <c r="G3978" t="inlineStr">
        <is>
          <t>010-5522-8201</t>
        </is>
      </c>
      <c r="H3978" t="inlineStr">
        <is>
          <t>48소6984</t>
        </is>
      </c>
      <c r="I3978" t="n">
        <v>25000000</v>
      </c>
      <c r="J3978" t="n">
        <v>0.07199999999999999</v>
      </c>
      <c r="K3978" t="n">
        <v>1.65</v>
      </c>
      <c r="L3978" t="n">
        <v>0.4</v>
      </c>
      <c r="M3978" t="n">
        <v>1.25</v>
      </c>
      <c r="P3978" t="inlineStr">
        <is>
          <t>장현경</t>
        </is>
      </c>
      <c r="AB3978" t="inlineStr">
        <is>
          <t>엔카</t>
        </is>
      </c>
      <c r="AC3978" t="n">
        <v>412500</v>
      </c>
      <c r="AD3978" t="n">
        <v>100000</v>
      </c>
      <c r="AE3978" t="n">
        <v>312500</v>
      </c>
      <c r="AF3978" t="n">
        <v>375000</v>
      </c>
      <c r="AG3978" t="n">
        <v>96700</v>
      </c>
      <c r="AH3978" t="n">
        <v>278300</v>
      </c>
      <c r="AI3978" t="n">
        <v>0</v>
      </c>
    </row>
    <row r="3979">
      <c r="A3979" t="inlineStr">
        <is>
          <t>5월</t>
        </is>
      </c>
      <c r="B3979" t="inlineStr">
        <is>
          <t>19주차</t>
        </is>
      </c>
      <c r="C3979" t="inlineStr">
        <is>
          <t>EP</t>
        </is>
      </c>
      <c r="D3979" s="28" t="n">
        <v>46148</v>
      </c>
      <c r="E3979" t="inlineStr">
        <is>
          <t>BNKEP</t>
        </is>
      </c>
      <c r="F3979" t="inlineStr">
        <is>
          <t>김재원</t>
        </is>
      </c>
      <c r="G3979" t="inlineStr">
        <is>
          <t>010-4050-6769</t>
        </is>
      </c>
      <c r="H3979" t="inlineStr">
        <is>
          <t>330머3127</t>
        </is>
      </c>
      <c r="I3979" t="n">
        <v>7900000</v>
      </c>
      <c r="J3979" t="n">
        <v>0.063</v>
      </c>
      <c r="K3979" t="n">
        <v>1.65</v>
      </c>
      <c r="L3979" t="n">
        <v>0.14</v>
      </c>
      <c r="M3979" t="n">
        <v>1.51</v>
      </c>
      <c r="P3979" t="inlineStr">
        <is>
          <t>정세빈</t>
        </is>
      </c>
      <c r="Q3979" t="inlineStr">
        <is>
          <t>홈서비스 60개월</t>
        </is>
      </c>
      <c r="AB3979" t="inlineStr">
        <is>
          <t>홈서비스</t>
        </is>
      </c>
      <c r="AC3979" t="n">
        <v>130350</v>
      </c>
      <c r="AD3979" t="n">
        <v>11060</v>
      </c>
      <c r="AE3979" t="n">
        <v>119290</v>
      </c>
      <c r="AF3979" t="n">
        <v>118500</v>
      </c>
      <c r="AG3979" t="n">
        <v>10695.02</v>
      </c>
      <c r="AH3979" t="n">
        <v>107804.98</v>
      </c>
      <c r="AI3979" t="n">
        <v>0</v>
      </c>
    </row>
    <row r="3980">
      <c r="A3980" t="inlineStr">
        <is>
          <t>5월</t>
        </is>
      </c>
      <c r="B3980" t="inlineStr">
        <is>
          <t>19주차</t>
        </is>
      </c>
      <c r="C3980" t="inlineStr">
        <is>
          <t>IM</t>
        </is>
      </c>
      <c r="D3980" s="28" t="n">
        <v>46148</v>
      </c>
      <c r="E3980" t="inlineStr">
        <is>
          <t>IM캐피탈</t>
        </is>
      </c>
      <c r="F3980" t="inlineStr">
        <is>
          <t>이희준</t>
        </is>
      </c>
      <c r="G3980" t="inlineStr">
        <is>
          <t>010-4042-7318</t>
        </is>
      </c>
      <c r="H3980" t="inlineStr">
        <is>
          <t>31나6799</t>
        </is>
      </c>
      <c r="I3980" t="n">
        <v>10000000</v>
      </c>
      <c r="J3980" t="n">
        <v>0.059</v>
      </c>
      <c r="K3980" t="n">
        <v>1.1</v>
      </c>
      <c r="L3980" t="n">
        <v>0.14</v>
      </c>
      <c r="M3980" t="n">
        <v>0.96</v>
      </c>
      <c r="P3980" t="inlineStr">
        <is>
          <t>정세빈</t>
        </is>
      </c>
      <c r="Q3980" t="inlineStr">
        <is>
          <t>홈서비스 48개월 / 공동명의</t>
        </is>
      </c>
      <c r="AB3980" t="inlineStr">
        <is>
          <t>홈서비스</t>
        </is>
      </c>
      <c r="AC3980" t="n">
        <v>110000</v>
      </c>
      <c r="AD3980" t="n">
        <v>14000</v>
      </c>
      <c r="AE3980" t="n">
        <v>96000</v>
      </c>
      <c r="AF3980" t="n">
        <v>100000</v>
      </c>
      <c r="AG3980" t="n">
        <v>13538</v>
      </c>
      <c r="AH3980" t="n">
        <v>86462</v>
      </c>
      <c r="AI3980" t="n">
        <v>0</v>
      </c>
    </row>
    <row r="3981">
      <c r="A3981" t="inlineStr">
        <is>
          <t>5월</t>
        </is>
      </c>
      <c r="B3981" t="inlineStr">
        <is>
          <t>19주차</t>
        </is>
      </c>
      <c r="C3981" t="inlineStr">
        <is>
          <t>EP</t>
        </is>
      </c>
      <c r="D3981" s="28" t="n">
        <v>46146</v>
      </c>
      <c r="E3981" t="inlineStr">
        <is>
          <t>제이비EP</t>
        </is>
      </c>
      <c r="F3981" t="inlineStr">
        <is>
          <t>이선영</t>
        </is>
      </c>
      <c r="G3981" t="inlineStr">
        <is>
          <t>010-6367--5629</t>
        </is>
      </c>
      <c r="H3981" t="inlineStr">
        <is>
          <t>119더4081</t>
        </is>
      </c>
      <c r="I3981" t="n">
        <v>15200000</v>
      </c>
      <c r="J3981" t="n">
        <v>0.06900000000000001</v>
      </c>
      <c r="K3981" t="n">
        <v>1.65</v>
      </c>
      <c r="L3981" t="n">
        <v>0.4</v>
      </c>
      <c r="M3981" t="n">
        <v>1.25</v>
      </c>
      <c r="P3981" t="inlineStr">
        <is>
          <t>박현민</t>
        </is>
      </c>
      <c r="Q3981" t="inlineStr">
        <is>
          <t>부대비용추가진행</t>
        </is>
      </c>
      <c r="AB3981" t="inlineStr">
        <is>
          <t>엔카</t>
        </is>
      </c>
      <c r="AC3981" t="n">
        <v>250800</v>
      </c>
      <c r="AD3981" t="n">
        <v>60800</v>
      </c>
      <c r="AE3981" t="n">
        <v>190000</v>
      </c>
      <c r="AF3981" t="n">
        <v>228000</v>
      </c>
      <c r="AG3981" t="n">
        <v>58793.6</v>
      </c>
      <c r="AH3981" t="n">
        <v>169206.4</v>
      </c>
    </row>
    <row r="3982">
      <c r="A3982" t="inlineStr">
        <is>
          <t>5월</t>
        </is>
      </c>
      <c r="B3982" t="inlineStr">
        <is>
          <t>19주차</t>
        </is>
      </c>
      <c r="C3982" t="inlineStr">
        <is>
          <t>EP</t>
        </is>
      </c>
      <c r="D3982" s="28" t="n">
        <v>46146</v>
      </c>
      <c r="E3982" t="inlineStr">
        <is>
          <t>현대EP</t>
        </is>
      </c>
      <c r="F3982" t="inlineStr">
        <is>
          <t>이재승</t>
        </is>
      </c>
      <c r="G3982" t="inlineStr">
        <is>
          <t>010-2596-0430</t>
        </is>
      </c>
      <c r="H3982" t="inlineStr">
        <is>
          <t>328두2903</t>
        </is>
      </c>
      <c r="I3982" t="n">
        <v>30900000</v>
      </c>
      <c r="J3982" t="n">
        <v>0.07099999999999999</v>
      </c>
      <c r="K3982" t="n">
        <v>1.76</v>
      </c>
      <c r="L3982" t="n">
        <v>0.14</v>
      </c>
      <c r="M3982" t="n">
        <v>1.62</v>
      </c>
      <c r="P3982" t="inlineStr">
        <is>
          <t>김나윤</t>
        </is>
      </c>
      <c r="AB3982" t="inlineStr">
        <is>
          <t>홈서비스</t>
        </is>
      </c>
      <c r="AC3982" t="n">
        <v>543840</v>
      </c>
      <c r="AD3982" t="n">
        <v>43260</v>
      </c>
      <c r="AE3982" t="n">
        <v>500580</v>
      </c>
      <c r="AF3982" t="n">
        <v>494400</v>
      </c>
      <c r="AG3982" t="n">
        <v>41832.42</v>
      </c>
      <c r="AH3982" t="n">
        <v>452567.58</v>
      </c>
      <c r="AI3982" t="n">
        <v>0</v>
      </c>
    </row>
    <row r="3983">
      <c r="A3983" t="inlineStr">
        <is>
          <t>5월</t>
        </is>
      </c>
      <c r="B3983" t="inlineStr">
        <is>
          <t>19주차</t>
        </is>
      </c>
      <c r="C3983" t="inlineStr">
        <is>
          <t>IM</t>
        </is>
      </c>
      <c r="D3983" s="28" t="n">
        <v>46146</v>
      </c>
      <c r="E3983" t="inlineStr">
        <is>
          <t>IM캐피탈</t>
        </is>
      </c>
      <c r="F3983" t="inlineStr">
        <is>
          <t>조정석</t>
        </is>
      </c>
      <c r="G3983" t="inlineStr">
        <is>
          <t>010-5656-3359</t>
        </is>
      </c>
      <c r="H3983" t="inlineStr">
        <is>
          <t>240로1003</t>
        </is>
      </c>
      <c r="I3983" t="n">
        <v>15500000</v>
      </c>
      <c r="J3983" t="n">
        <v>0.049</v>
      </c>
      <c r="K3983" t="n">
        <v>1.1</v>
      </c>
      <c r="L3983" t="n">
        <v>0.4</v>
      </c>
      <c r="M3983" t="n">
        <v>0.7</v>
      </c>
      <c r="P3983" t="inlineStr">
        <is>
          <t>박현민</t>
        </is>
      </c>
      <c r="AB3983" t="inlineStr">
        <is>
          <t>엔카</t>
        </is>
      </c>
      <c r="AC3983" t="n">
        <v>170500</v>
      </c>
      <c r="AD3983" t="n">
        <v>62000</v>
      </c>
      <c r="AE3983" t="n">
        <v>108500</v>
      </c>
      <c r="AF3983" t="n">
        <v>155000</v>
      </c>
      <c r="AG3983" t="n">
        <v>59954</v>
      </c>
      <c r="AH3983" t="n">
        <v>95046</v>
      </c>
      <c r="AI3983" t="n">
        <v>0</v>
      </c>
    </row>
    <row r="3984">
      <c r="A3984" t="inlineStr">
        <is>
          <t>5월</t>
        </is>
      </c>
      <c r="B3984" t="inlineStr">
        <is>
          <t>19주차</t>
        </is>
      </c>
      <c r="C3984" t="inlineStr">
        <is>
          <t>EP</t>
        </is>
      </c>
      <c r="D3984" s="28" t="n">
        <v>46146</v>
      </c>
      <c r="E3984" t="inlineStr">
        <is>
          <t>현대EP</t>
        </is>
      </c>
      <c r="F3984" t="inlineStr">
        <is>
          <t>한상로</t>
        </is>
      </c>
      <c r="G3984" t="inlineStr">
        <is>
          <t>010-4921-6632</t>
        </is>
      </c>
      <c r="H3984" t="inlineStr">
        <is>
          <t>52주7385</t>
        </is>
      </c>
      <c r="I3984" t="n">
        <v>13000000</v>
      </c>
      <c r="J3984" t="n">
        <v>0.07199999999999999</v>
      </c>
      <c r="K3984" t="n">
        <v>1.76</v>
      </c>
      <c r="L3984" t="n">
        <v>0.14</v>
      </c>
      <c r="M3984" t="n">
        <v>1.62</v>
      </c>
      <c r="P3984" t="inlineStr">
        <is>
          <t>황채이</t>
        </is>
      </c>
      <c r="AB3984" t="inlineStr">
        <is>
          <t>홈서비스</t>
        </is>
      </c>
      <c r="AC3984" t="n">
        <v>228800</v>
      </c>
      <c r="AD3984" t="n">
        <v>18200</v>
      </c>
      <c r="AE3984" t="n">
        <v>210600</v>
      </c>
      <c r="AF3984" t="n">
        <v>208000</v>
      </c>
      <c r="AG3984" t="n">
        <v>17599.4</v>
      </c>
      <c r="AH3984" t="n">
        <v>190400.6</v>
      </c>
    </row>
    <row r="3985">
      <c r="A3985" t="inlineStr">
        <is>
          <t>5월</t>
        </is>
      </c>
      <c r="B3985" t="inlineStr">
        <is>
          <t>19주차</t>
        </is>
      </c>
      <c r="C3985" t="inlineStr">
        <is>
          <t>IM</t>
        </is>
      </c>
      <c r="D3985" s="28" t="n">
        <v>46148</v>
      </c>
      <c r="E3985" t="inlineStr">
        <is>
          <t>IM캐피탈</t>
        </is>
      </c>
      <c r="F3985" t="inlineStr">
        <is>
          <t>박재윤</t>
        </is>
      </c>
      <c r="G3985" t="inlineStr">
        <is>
          <t>010-8644-2444</t>
        </is>
      </c>
      <c r="H3985" t="inlineStr">
        <is>
          <t>272나4555</t>
        </is>
      </c>
      <c r="I3985" t="n">
        <v>42000000</v>
      </c>
      <c r="J3985" t="n">
        <v>0.076</v>
      </c>
      <c r="K3985" t="n">
        <v>1.1</v>
      </c>
      <c r="L3985" t="n">
        <v>0.14</v>
      </c>
      <c r="M3985" t="n">
        <v>0.96</v>
      </c>
      <c r="P3985" t="inlineStr">
        <is>
          <t>황채이</t>
        </is>
      </c>
      <c r="Q3985" t="inlineStr">
        <is>
          <t>홈서비스 60개월 / 부대비용 추가진행</t>
        </is>
      </c>
      <c r="AB3985" t="inlineStr">
        <is>
          <t>홈서비스</t>
        </is>
      </c>
      <c r="AC3985" t="n">
        <v>462000</v>
      </c>
      <c r="AD3985" t="n">
        <v>58800</v>
      </c>
      <c r="AE3985" t="n">
        <v>403200</v>
      </c>
      <c r="AF3985" t="n">
        <v>420000</v>
      </c>
      <c r="AG3985" t="n">
        <v>56859.6</v>
      </c>
      <c r="AH3985" t="n">
        <v>363140.4</v>
      </c>
    </row>
    <row r="3986">
      <c r="A3986" t="inlineStr">
        <is>
          <t>5월</t>
        </is>
      </c>
      <c r="B3986" t="inlineStr">
        <is>
          <t>19주차</t>
        </is>
      </c>
      <c r="C3986" t="inlineStr">
        <is>
          <t>IM</t>
        </is>
      </c>
      <c r="D3986" s="28" t="n">
        <v>46148</v>
      </c>
      <c r="E3986" t="inlineStr">
        <is>
          <t>IM캐피탈</t>
        </is>
      </c>
      <c r="F3986" t="inlineStr">
        <is>
          <t>조성일</t>
        </is>
      </c>
      <c r="G3986" t="inlineStr">
        <is>
          <t>010-7748-2582</t>
        </is>
      </c>
      <c r="H3986" t="inlineStr">
        <is>
          <t>126서3520</t>
        </is>
      </c>
      <c r="I3986" t="n">
        <v>11700000</v>
      </c>
      <c r="J3986" t="n">
        <v>0.045</v>
      </c>
      <c r="K3986" t="n">
        <v>1.1</v>
      </c>
      <c r="L3986" t="n">
        <v>0.14</v>
      </c>
      <c r="M3986" t="n">
        <v>0.96</v>
      </c>
      <c r="P3986" t="inlineStr">
        <is>
          <t>황채이</t>
        </is>
      </c>
      <c r="Q3986" t="inlineStr">
        <is>
          <t>홈서비스 60개월 / 부대비용 추가진행</t>
        </is>
      </c>
      <c r="AB3986" t="inlineStr">
        <is>
          <t>홈서비스</t>
        </is>
      </c>
      <c r="AC3986" t="n">
        <v>128700</v>
      </c>
      <c r="AD3986" t="n">
        <v>16380</v>
      </c>
      <c r="AE3986" t="n">
        <v>112320</v>
      </c>
      <c r="AF3986" t="n">
        <v>117000</v>
      </c>
      <c r="AG3986" t="n">
        <v>15839.46</v>
      </c>
      <c r="AH3986" t="n">
        <v>101160.54</v>
      </c>
      <c r="AI3986" t="n">
        <v>0</v>
      </c>
    </row>
    <row r="3987">
      <c r="A3987" t="inlineStr">
        <is>
          <t>5월</t>
        </is>
      </c>
      <c r="B3987" t="inlineStr">
        <is>
          <t>19주차</t>
        </is>
      </c>
      <c r="C3987" t="inlineStr">
        <is>
          <t>EP</t>
        </is>
      </c>
      <c r="D3987" s="28" t="n">
        <v>46146</v>
      </c>
      <c r="E3987" t="inlineStr">
        <is>
          <t>현대EP_fast</t>
        </is>
      </c>
      <c r="F3987" t="inlineStr">
        <is>
          <t>이유선</t>
        </is>
      </c>
      <c r="G3987" t="inlineStr">
        <is>
          <t>010-8568-4836</t>
        </is>
      </c>
      <c r="H3987" t="inlineStr">
        <is>
          <t>189우8625</t>
        </is>
      </c>
      <c r="I3987" t="n">
        <v>39900000</v>
      </c>
      <c r="J3987" t="n">
        <v>0.122</v>
      </c>
      <c r="K3987" t="n">
        <v>1.76</v>
      </c>
      <c r="L3987" t="n">
        <v>0.4</v>
      </c>
      <c r="M3987" t="n">
        <v>1.36</v>
      </c>
      <c r="P3987" t="inlineStr">
        <is>
          <t>장진경</t>
        </is>
      </c>
      <c r="AB3987" t="inlineStr">
        <is>
          <t>엔카</t>
        </is>
      </c>
      <c r="AC3987" t="n">
        <v>702240</v>
      </c>
      <c r="AD3987" t="n">
        <v>159600</v>
      </c>
      <c r="AE3987" t="n">
        <v>542640</v>
      </c>
      <c r="AF3987" t="n">
        <v>638400</v>
      </c>
      <c r="AG3987" t="n">
        <v>154333.2</v>
      </c>
      <c r="AH3987" t="n">
        <v>484066.8</v>
      </c>
      <c r="AI3987" t="n">
        <v>0</v>
      </c>
    </row>
    <row r="3988">
      <c r="A3988" t="inlineStr">
        <is>
          <t>5월</t>
        </is>
      </c>
      <c r="B3988" t="inlineStr">
        <is>
          <t>19주차</t>
        </is>
      </c>
      <c r="C3988" t="inlineStr">
        <is>
          <t>IM</t>
        </is>
      </c>
      <c r="D3988" s="28" t="n">
        <v>46148</v>
      </c>
      <c r="E3988" t="inlineStr">
        <is>
          <t>IM캐피탈</t>
        </is>
      </c>
      <c r="F3988" t="inlineStr">
        <is>
          <t>라기덕</t>
        </is>
      </c>
      <c r="G3988" t="inlineStr">
        <is>
          <t>010-3198-5882</t>
        </is>
      </c>
      <c r="H3988" t="inlineStr">
        <is>
          <t>253가5721</t>
        </is>
      </c>
      <c r="I3988" t="n">
        <v>40000000</v>
      </c>
      <c r="J3988" t="n">
        <v>0.049</v>
      </c>
      <c r="K3988" t="n">
        <v>1.1</v>
      </c>
      <c r="L3988" t="n">
        <v>0.14</v>
      </c>
      <c r="M3988" t="n">
        <v>0.96</v>
      </c>
      <c r="P3988" t="inlineStr">
        <is>
          <t>정세빈</t>
        </is>
      </c>
      <c r="Q3988" t="inlineStr">
        <is>
          <t>홈서비스 84개월</t>
        </is>
      </c>
      <c r="AB3988" t="inlineStr">
        <is>
          <t>홈서비스</t>
        </is>
      </c>
      <c r="AC3988" t="n">
        <v>440000</v>
      </c>
      <c r="AD3988" t="n">
        <v>56000</v>
      </c>
      <c r="AE3988" t="n">
        <v>384000</v>
      </c>
      <c r="AF3988" t="n">
        <v>400000</v>
      </c>
      <c r="AG3988" t="n">
        <v>54152</v>
      </c>
      <c r="AH3988" t="n">
        <v>345848</v>
      </c>
      <c r="AI3988" t="n">
        <v>0</v>
      </c>
    </row>
    <row r="3989">
      <c r="A3989" t="inlineStr">
        <is>
          <t>5월</t>
        </is>
      </c>
      <c r="B3989" t="inlineStr">
        <is>
          <t>18주차</t>
        </is>
      </c>
      <c r="C3989" t="inlineStr">
        <is>
          <t>WC</t>
        </is>
      </c>
      <c r="D3989" s="28" t="n">
        <v>46144</v>
      </c>
      <c r="E3989" t="inlineStr">
        <is>
          <t>웰컴저축은행</t>
        </is>
      </c>
      <c r="F3989" t="inlineStr">
        <is>
          <t>강선우</t>
        </is>
      </c>
      <c r="G3989" t="inlineStr">
        <is>
          <t>010-7128-9353</t>
        </is>
      </c>
      <c r="H3989" t="inlineStr">
        <is>
          <t>33버1605</t>
        </is>
      </c>
      <c r="I3989" t="n">
        <v>39800000</v>
      </c>
      <c r="J3989" t="n">
        <v>0.13</v>
      </c>
      <c r="K3989" t="n">
        <v>2.2</v>
      </c>
      <c r="L3989" t="n">
        <v>0.4</v>
      </c>
      <c r="M3989" t="n">
        <v>1.8</v>
      </c>
      <c r="P3989" t="inlineStr">
        <is>
          <t>박보람</t>
        </is>
      </c>
      <c r="Q3989" t="inlineStr">
        <is>
          <t>부결 DB / 부대비용 추가진행</t>
        </is>
      </c>
      <c r="AB3989" t="inlineStr">
        <is>
          <t>엔카</t>
        </is>
      </c>
      <c r="AC3989" t="n">
        <v>875600</v>
      </c>
      <c r="AD3989" t="n">
        <v>159200</v>
      </c>
      <c r="AE3989" t="n">
        <v>716400</v>
      </c>
      <c r="AF3989" t="n">
        <v>796000</v>
      </c>
      <c r="AG3989" t="n">
        <v>153946.4</v>
      </c>
      <c r="AH3989" t="n">
        <v>642053.6</v>
      </c>
      <c r="AI3989" t="n">
        <v>0</v>
      </c>
    </row>
    <row r="3990">
      <c r="A3990" t="inlineStr">
        <is>
          <t>5월</t>
        </is>
      </c>
      <c r="B3990" t="inlineStr">
        <is>
          <t>19주차</t>
        </is>
      </c>
      <c r="C3990" t="inlineStr">
        <is>
          <t>IM</t>
        </is>
      </c>
      <c r="D3990" s="28" t="n">
        <v>46148</v>
      </c>
      <c r="E3990" t="inlineStr">
        <is>
          <t>IM캐피탈</t>
        </is>
      </c>
      <c r="F3990" t="inlineStr">
        <is>
          <t>정하영</t>
        </is>
      </c>
      <c r="G3990" t="inlineStr">
        <is>
          <t>010-5174-2238</t>
        </is>
      </c>
      <c r="H3990" t="inlineStr">
        <is>
          <t>21루9508</t>
        </is>
      </c>
      <c r="I3990" t="n">
        <v>21000000</v>
      </c>
      <c r="J3990" t="n">
        <v>0.049</v>
      </c>
      <c r="K3990" t="n">
        <v>1.1</v>
      </c>
      <c r="L3990" t="n">
        <v>0.14</v>
      </c>
      <c r="M3990" t="n">
        <v>0.96</v>
      </c>
      <c r="P3990" t="inlineStr">
        <is>
          <t>황채이</t>
        </is>
      </c>
      <c r="Q3990" t="inlineStr">
        <is>
          <t>홈서비스 60개월</t>
        </is>
      </c>
      <c r="AB3990" t="inlineStr">
        <is>
          <t>홈서비스</t>
        </is>
      </c>
      <c r="AC3990" t="n">
        <v>231000</v>
      </c>
      <c r="AD3990" t="n">
        <v>29400</v>
      </c>
      <c r="AE3990" t="n">
        <v>201600</v>
      </c>
      <c r="AF3990" t="n">
        <v>210000</v>
      </c>
      <c r="AG3990" t="n">
        <v>28429.8</v>
      </c>
      <c r="AH3990" t="n">
        <v>181570.2</v>
      </c>
    </row>
    <row r="3991">
      <c r="A3991" t="inlineStr">
        <is>
          <t>5월</t>
        </is>
      </c>
      <c r="B3991" t="inlineStr">
        <is>
          <t>19주차</t>
        </is>
      </c>
      <c r="C3991" t="inlineStr">
        <is>
          <t>EP</t>
        </is>
      </c>
      <c r="D3991" s="28" t="n">
        <v>46148</v>
      </c>
      <c r="E3991" t="inlineStr">
        <is>
          <t>현대EP_fast</t>
        </is>
      </c>
      <c r="F3991" t="inlineStr">
        <is>
          <t>최영봉</t>
        </is>
      </c>
      <c r="G3991" t="inlineStr">
        <is>
          <t>010-5154-6022</t>
        </is>
      </c>
      <c r="H3991" t="inlineStr">
        <is>
          <t>66루0741</t>
        </is>
      </c>
      <c r="I3991" t="n">
        <v>5200000</v>
      </c>
      <c r="J3991" t="n">
        <v>0.089</v>
      </c>
      <c r="K3991" t="n">
        <v>1.76</v>
      </c>
      <c r="L3991" t="n">
        <v>0.14</v>
      </c>
      <c r="M3991" t="n">
        <v>1.62</v>
      </c>
      <c r="P3991" t="inlineStr">
        <is>
          <t>정세빈</t>
        </is>
      </c>
      <c r="Q3991" t="inlineStr">
        <is>
          <t>홈서비스 60개월</t>
        </is>
      </c>
      <c r="AB3991" t="inlineStr">
        <is>
          <t>홈서비스</t>
        </is>
      </c>
      <c r="AC3991" t="n">
        <v>91520</v>
      </c>
      <c r="AD3991" t="n">
        <v>7280</v>
      </c>
      <c r="AE3991" t="n">
        <v>84240</v>
      </c>
      <c r="AF3991" t="n">
        <v>83200</v>
      </c>
      <c r="AG3991" t="n">
        <v>7039.76</v>
      </c>
      <c r="AH3991" t="n">
        <v>76160.24000000001</v>
      </c>
      <c r="AI3991" t="n">
        <v>0</v>
      </c>
      <c r="AJ3991" t="inlineStr">
        <is>
          <t>개인</t>
        </is>
      </c>
    </row>
    <row r="3992">
      <c r="A3992" t="inlineStr">
        <is>
          <t>5월</t>
        </is>
      </c>
      <c r="B3992" t="inlineStr">
        <is>
          <t>19주차</t>
        </is>
      </c>
      <c r="C3992" t="inlineStr">
        <is>
          <t>EP</t>
        </is>
      </c>
      <c r="D3992" s="28" t="n">
        <v>46148</v>
      </c>
      <c r="E3992" t="inlineStr">
        <is>
          <t>현대EP_fast</t>
        </is>
      </c>
      <c r="F3992" t="inlineStr">
        <is>
          <t>여재영</t>
        </is>
      </c>
      <c r="G3992" t="inlineStr">
        <is>
          <t>010-5503-8756</t>
        </is>
      </c>
      <c r="H3992" t="inlineStr">
        <is>
          <t>189노2722</t>
        </is>
      </c>
      <c r="I3992" t="n">
        <v>19200000</v>
      </c>
      <c r="J3992" t="n">
        <v>0.089</v>
      </c>
      <c r="K3992" t="n">
        <v>1.76</v>
      </c>
      <c r="L3992" t="n">
        <v>0.14</v>
      </c>
      <c r="M3992" t="n">
        <v>1.62</v>
      </c>
      <c r="P3992" t="inlineStr">
        <is>
          <t>정세빈</t>
        </is>
      </c>
      <c r="Q3992" t="inlineStr">
        <is>
          <t>홈서비스 60개월</t>
        </is>
      </c>
      <c r="AB3992" t="inlineStr">
        <is>
          <t>홈서비스</t>
        </is>
      </c>
      <c r="AC3992" t="n">
        <v>337920</v>
      </c>
      <c r="AD3992" t="n">
        <v>26880</v>
      </c>
      <c r="AE3992" t="n">
        <v>311040</v>
      </c>
      <c r="AF3992" t="n">
        <v>307200</v>
      </c>
      <c r="AG3992" t="n">
        <v>25992.96</v>
      </c>
      <c r="AH3992" t="n">
        <v>281207.04</v>
      </c>
      <c r="AI3992" t="n">
        <v>0</v>
      </c>
    </row>
    <row r="3993">
      <c r="A3993" t="inlineStr">
        <is>
          <t>5월</t>
        </is>
      </c>
      <c r="B3993" t="inlineStr">
        <is>
          <t>19주차</t>
        </is>
      </c>
      <c r="C3993" t="inlineStr">
        <is>
          <t>EP</t>
        </is>
      </c>
      <c r="D3993" s="28" t="n">
        <v>46148</v>
      </c>
      <c r="E3993" t="inlineStr">
        <is>
          <t>현대EP_fast</t>
        </is>
      </c>
      <c r="F3993" t="inlineStr">
        <is>
          <t>박수진</t>
        </is>
      </c>
      <c r="G3993" t="inlineStr">
        <is>
          <t>010-7276-4740</t>
        </is>
      </c>
      <c r="H3993" t="inlineStr">
        <is>
          <t>18구5992</t>
        </is>
      </c>
      <c r="I3993" t="n">
        <v>6500000</v>
      </c>
      <c r="J3993" t="n">
        <v>0.08500000000000001</v>
      </c>
      <c r="K3993" t="n">
        <v>1.76</v>
      </c>
      <c r="L3993" t="n">
        <v>0.14</v>
      </c>
      <c r="M3993" t="n">
        <v>1.62</v>
      </c>
      <c r="P3993" t="inlineStr">
        <is>
          <t>황채이</t>
        </is>
      </c>
      <c r="Q3993" t="inlineStr">
        <is>
          <t>홈서비스 48개월</t>
        </is>
      </c>
      <c r="AB3993" t="inlineStr">
        <is>
          <t>홈서비스</t>
        </is>
      </c>
      <c r="AC3993" t="n">
        <v>114400</v>
      </c>
      <c r="AD3993" t="n">
        <v>9100</v>
      </c>
      <c r="AE3993" t="n">
        <v>105300</v>
      </c>
      <c r="AF3993" t="n">
        <v>104000</v>
      </c>
      <c r="AG3993" t="n">
        <v>8799.700000000001</v>
      </c>
      <c r="AH3993" t="n">
        <v>95200.3</v>
      </c>
      <c r="AI3993" t="n">
        <v>0</v>
      </c>
    </row>
    <row r="3994">
      <c r="A3994" t="inlineStr">
        <is>
          <t>5월</t>
        </is>
      </c>
      <c r="B3994" t="inlineStr">
        <is>
          <t>19주차</t>
        </is>
      </c>
      <c r="C3994" t="inlineStr">
        <is>
          <t>EP</t>
        </is>
      </c>
      <c r="D3994" s="28" t="n">
        <v>46148</v>
      </c>
      <c r="E3994" t="inlineStr">
        <is>
          <t>현대EP_fast</t>
        </is>
      </c>
      <c r="F3994" t="inlineStr">
        <is>
          <t>노만균</t>
        </is>
      </c>
      <c r="G3994" t="inlineStr">
        <is>
          <t>010-4798-5587</t>
        </is>
      </c>
      <c r="H3994" t="inlineStr">
        <is>
          <t>27두4848</t>
        </is>
      </c>
      <c r="I3994" t="n">
        <v>6000000</v>
      </c>
      <c r="J3994" t="n">
        <v>0.06900000000000001</v>
      </c>
      <c r="K3994" t="n">
        <v>1.76</v>
      </c>
      <c r="L3994" t="n">
        <v>0.14</v>
      </c>
      <c r="M3994" t="n">
        <v>1.62</v>
      </c>
      <c r="P3994" t="inlineStr">
        <is>
          <t>김나윤</t>
        </is>
      </c>
      <c r="Q3994" t="inlineStr">
        <is>
          <t>홈서비스 24개월</t>
        </is>
      </c>
      <c r="AB3994" t="inlineStr">
        <is>
          <t>홈서비스</t>
        </is>
      </c>
      <c r="AC3994" t="n">
        <v>105600</v>
      </c>
      <c r="AD3994" t="n">
        <v>8400</v>
      </c>
      <c r="AE3994" t="n">
        <v>97200</v>
      </c>
      <c r="AF3994" t="n">
        <v>96000</v>
      </c>
      <c r="AG3994" t="n">
        <v>8122.8</v>
      </c>
      <c r="AH3994" t="n">
        <v>87877.2</v>
      </c>
      <c r="AI3994" t="n">
        <v>0</v>
      </c>
    </row>
    <row r="3995">
      <c r="A3995" t="inlineStr">
        <is>
          <t>5월</t>
        </is>
      </c>
      <c r="B3995" t="inlineStr">
        <is>
          <t>19주차</t>
        </is>
      </c>
      <c r="C3995" t="inlineStr">
        <is>
          <t>EP</t>
        </is>
      </c>
      <c r="D3995" s="28" t="n">
        <v>46146</v>
      </c>
      <c r="E3995" t="inlineStr">
        <is>
          <t>현대EP</t>
        </is>
      </c>
      <c r="F3995" t="inlineStr">
        <is>
          <t>이종복</t>
        </is>
      </c>
      <c r="G3995" t="inlineStr">
        <is>
          <t>010-9937-1427</t>
        </is>
      </c>
      <c r="H3995" t="inlineStr">
        <is>
          <t>292무1301</t>
        </is>
      </c>
      <c r="I3995" t="n">
        <v>27900000</v>
      </c>
      <c r="J3995" t="n">
        <v>0.105</v>
      </c>
      <c r="K3995" t="n">
        <v>1.76</v>
      </c>
      <c r="L3995" t="n">
        <v>0.14</v>
      </c>
      <c r="M3995" t="n">
        <v>1.62</v>
      </c>
      <c r="P3995" t="inlineStr">
        <is>
          <t>임대경</t>
        </is>
      </c>
      <c r="AB3995" t="inlineStr">
        <is>
          <t>홈서비스</t>
        </is>
      </c>
      <c r="AC3995" t="n">
        <v>491040</v>
      </c>
      <c r="AD3995" t="n">
        <v>39060</v>
      </c>
      <c r="AE3995" t="n">
        <v>451980</v>
      </c>
      <c r="AF3995" t="n">
        <v>446400</v>
      </c>
      <c r="AG3995" t="n">
        <v>37771.02</v>
      </c>
      <c r="AH3995" t="n">
        <v>408628.98</v>
      </c>
      <c r="AI3995" t="n">
        <v>0</v>
      </c>
    </row>
    <row r="3996">
      <c r="A3996" t="inlineStr">
        <is>
          <t>5월</t>
        </is>
      </c>
      <c r="B3996" t="inlineStr">
        <is>
          <t>19주차</t>
        </is>
      </c>
      <c r="C3996" t="inlineStr">
        <is>
          <t>EP</t>
        </is>
      </c>
      <c r="D3996" s="28" t="n">
        <v>46147</v>
      </c>
      <c r="E3996" t="inlineStr">
        <is>
          <t>현대EP</t>
        </is>
      </c>
      <c r="F3996" t="inlineStr">
        <is>
          <t>김지유</t>
        </is>
      </c>
      <c r="G3996" t="inlineStr">
        <is>
          <t>010-7259-1991</t>
        </is>
      </c>
      <c r="H3996" t="inlineStr">
        <is>
          <t>375라1230</t>
        </is>
      </c>
      <c r="I3996" t="n">
        <v>38500000</v>
      </c>
      <c r="J3996" t="n">
        <v>0.07099999999999999</v>
      </c>
      <c r="K3996" t="n">
        <v>1.76</v>
      </c>
      <c r="L3996" t="n">
        <v>0.14</v>
      </c>
      <c r="M3996" t="n">
        <v>1.62</v>
      </c>
      <c r="P3996" t="inlineStr">
        <is>
          <t>최형주</t>
        </is>
      </c>
      <c r="AB3996" t="inlineStr">
        <is>
          <t>홈서비스</t>
        </is>
      </c>
      <c r="AC3996" t="n">
        <v>677600</v>
      </c>
      <c r="AD3996" t="n">
        <v>53900</v>
      </c>
      <c r="AE3996" t="n">
        <v>623700</v>
      </c>
      <c r="AF3996" t="n">
        <v>616000</v>
      </c>
      <c r="AG3996" t="n">
        <v>52121.3</v>
      </c>
      <c r="AH3996" t="n">
        <v>563878.7</v>
      </c>
      <c r="AI3996" t="n">
        <v>0</v>
      </c>
    </row>
    <row r="3997">
      <c r="A3997" t="inlineStr">
        <is>
          <t>5월</t>
        </is>
      </c>
      <c r="B3997" t="inlineStr">
        <is>
          <t>19주차</t>
        </is>
      </c>
      <c r="C3997" t="inlineStr">
        <is>
          <t>EP</t>
        </is>
      </c>
      <c r="D3997" s="28" t="n">
        <v>46146</v>
      </c>
      <c r="E3997" t="inlineStr">
        <is>
          <t>BNKEP</t>
        </is>
      </c>
      <c r="F3997" t="inlineStr">
        <is>
          <t>서효림</t>
        </is>
      </c>
      <c r="G3997" t="inlineStr">
        <is>
          <t>010-9691-8654</t>
        </is>
      </c>
      <c r="H3997" t="inlineStr">
        <is>
          <t>58누8539</t>
        </is>
      </c>
      <c r="I3997" t="n">
        <v>26600000</v>
      </c>
      <c r="J3997" t="n">
        <v>0.08599999999999999</v>
      </c>
      <c r="K3997" t="n">
        <v>1.65</v>
      </c>
      <c r="L3997" t="n">
        <v>0.14</v>
      </c>
      <c r="M3997" t="n">
        <v>1.51</v>
      </c>
      <c r="P3997" t="inlineStr">
        <is>
          <t>장현경</t>
        </is>
      </c>
      <c r="Q3997" t="inlineStr">
        <is>
          <t>선상담 / 홈서비스 72개월</t>
        </is>
      </c>
      <c r="AB3997" t="inlineStr">
        <is>
          <t>홈서비스</t>
        </is>
      </c>
      <c r="AC3997" t="n">
        <v>438900</v>
      </c>
      <c r="AD3997" t="n">
        <v>37240</v>
      </c>
      <c r="AE3997" t="n">
        <v>401660</v>
      </c>
      <c r="AF3997" t="n">
        <v>399000</v>
      </c>
      <c r="AG3997" t="n">
        <v>36011.08</v>
      </c>
      <c r="AH3997" t="n">
        <v>362988.92</v>
      </c>
      <c r="AI3997" t="n">
        <v>0</v>
      </c>
    </row>
    <row r="3998">
      <c r="A3998" t="inlineStr">
        <is>
          <t>5월</t>
        </is>
      </c>
      <c r="B3998" t="inlineStr">
        <is>
          <t>19주차</t>
        </is>
      </c>
      <c r="C3998" t="inlineStr">
        <is>
          <t>IM</t>
        </is>
      </c>
      <c r="D3998" s="28" t="n">
        <v>46148</v>
      </c>
      <c r="E3998" t="inlineStr">
        <is>
          <t>IM캐피탈</t>
        </is>
      </c>
      <c r="F3998" t="inlineStr">
        <is>
          <t>최영상</t>
        </is>
      </c>
      <c r="G3998" t="inlineStr">
        <is>
          <t>010-3852-4649</t>
        </is>
      </c>
      <c r="H3998" t="inlineStr">
        <is>
          <t>205무7998</t>
        </is>
      </c>
      <c r="I3998" t="n">
        <v>30000000</v>
      </c>
      <c r="J3998" t="n">
        <v>0.063</v>
      </c>
      <c r="K3998" t="n">
        <v>1.1</v>
      </c>
      <c r="L3998" t="n">
        <v>0.14</v>
      </c>
      <c r="M3998" t="n">
        <v>0.96</v>
      </c>
      <c r="P3998" t="inlineStr">
        <is>
          <t>정세빈</t>
        </is>
      </c>
      <c r="Q3998" t="inlineStr">
        <is>
          <t>홈서비스 48개월</t>
        </is>
      </c>
      <c r="AB3998" t="inlineStr">
        <is>
          <t>홈서비스</t>
        </is>
      </c>
      <c r="AC3998" t="n">
        <v>330000</v>
      </c>
      <c r="AD3998" t="n">
        <v>42000</v>
      </c>
      <c r="AE3998" t="n">
        <v>288000</v>
      </c>
      <c r="AF3998" t="n">
        <v>300000</v>
      </c>
      <c r="AG3998" t="n">
        <v>40614</v>
      </c>
      <c r="AH3998" t="n">
        <v>259386</v>
      </c>
    </row>
    <row r="3999">
      <c r="A3999" t="inlineStr">
        <is>
          <t>5월</t>
        </is>
      </c>
      <c r="B3999" t="inlineStr">
        <is>
          <t>19주차</t>
        </is>
      </c>
      <c r="C3999" t="inlineStr">
        <is>
          <t>EP</t>
        </is>
      </c>
      <c r="D3999" s="28" t="n">
        <v>46148</v>
      </c>
      <c r="E3999" t="inlineStr">
        <is>
          <t>현대EP_fast</t>
        </is>
      </c>
      <c r="F3999" t="inlineStr">
        <is>
          <t>조창빈</t>
        </is>
      </c>
      <c r="G3999" t="inlineStr">
        <is>
          <t>010-6344-1477</t>
        </is>
      </c>
      <c r="H3999" t="inlineStr">
        <is>
          <t>57오5332</t>
        </is>
      </c>
      <c r="I3999" t="n">
        <v>7300000</v>
      </c>
      <c r="J3999" t="n">
        <v>0.105</v>
      </c>
      <c r="K3999" t="n">
        <v>1.76</v>
      </c>
      <c r="L3999" t="n">
        <v>0.14</v>
      </c>
      <c r="M3999" t="n">
        <v>1.62</v>
      </c>
      <c r="P3999" t="inlineStr">
        <is>
          <t>정세빈</t>
        </is>
      </c>
      <c r="Q3999" t="inlineStr">
        <is>
          <t>홈서비스 24개월</t>
        </is>
      </c>
      <c r="AB3999" t="inlineStr">
        <is>
          <t>홈서비스</t>
        </is>
      </c>
      <c r="AC3999" t="n">
        <v>128480</v>
      </c>
      <c r="AD3999" t="n">
        <v>10220</v>
      </c>
      <c r="AE3999" t="n">
        <v>118260</v>
      </c>
      <c r="AF3999" t="n">
        <v>116800</v>
      </c>
      <c r="AG3999" t="n">
        <v>9882.74</v>
      </c>
      <c r="AH3999" t="n">
        <v>106917.26</v>
      </c>
      <c r="AI3999" t="n">
        <v>0</v>
      </c>
    </row>
    <row r="4000">
      <c r="A4000" t="inlineStr">
        <is>
          <t>5월</t>
        </is>
      </c>
      <c r="B4000" t="inlineStr">
        <is>
          <t>19주차</t>
        </is>
      </c>
      <c r="C4000" t="inlineStr">
        <is>
          <t>EP</t>
        </is>
      </c>
      <c r="D4000" s="28" t="n">
        <v>46148</v>
      </c>
      <c r="E4000" t="inlineStr">
        <is>
          <t>BNKEP</t>
        </is>
      </c>
      <c r="F4000" t="inlineStr">
        <is>
          <t>최연도</t>
        </is>
      </c>
      <c r="G4000" t="inlineStr">
        <is>
          <t>010-2474-1769</t>
        </is>
      </c>
      <c r="H4000" t="inlineStr">
        <is>
          <t>321버2007</t>
        </is>
      </c>
      <c r="I4000" t="n">
        <v>14800000</v>
      </c>
      <c r="J4000" t="n">
        <v>0.063</v>
      </c>
      <c r="K4000" t="n">
        <v>1.65</v>
      </c>
      <c r="L4000" t="n">
        <v>0.14</v>
      </c>
      <c r="M4000" t="n">
        <v>1.51</v>
      </c>
      <c r="P4000" t="inlineStr">
        <is>
          <t>김나윤</t>
        </is>
      </c>
      <c r="Q4000" t="inlineStr">
        <is>
          <t>홈서비스 48개월</t>
        </is>
      </c>
      <c r="AB4000" t="inlineStr">
        <is>
          <t>홈서비스</t>
        </is>
      </c>
      <c r="AC4000" t="n">
        <v>244200</v>
      </c>
      <c r="AD4000" t="n">
        <v>20720</v>
      </c>
      <c r="AE4000" t="n">
        <v>223480</v>
      </c>
      <c r="AF4000" t="n">
        <v>222000</v>
      </c>
      <c r="AG4000" t="n">
        <v>20036.24</v>
      </c>
      <c r="AH4000" t="n">
        <v>201963.76</v>
      </c>
      <c r="AI4000" t="n">
        <v>0</v>
      </c>
    </row>
    <row r="4001">
      <c r="A4001" t="inlineStr">
        <is>
          <t>5월</t>
        </is>
      </c>
      <c r="B4001" t="inlineStr">
        <is>
          <t>19주차</t>
        </is>
      </c>
      <c r="C4001" t="inlineStr">
        <is>
          <t>EP</t>
        </is>
      </c>
      <c r="D4001" s="28" t="n">
        <v>46146</v>
      </c>
      <c r="E4001" t="inlineStr">
        <is>
          <t>현대EP</t>
        </is>
      </c>
      <c r="F4001" t="inlineStr">
        <is>
          <t>이경민</t>
        </is>
      </c>
      <c r="G4001" t="inlineStr">
        <is>
          <t>010-2006-7090</t>
        </is>
      </c>
      <c r="H4001" t="inlineStr">
        <is>
          <t>361소6492</t>
        </is>
      </c>
      <c r="I4001" t="n">
        <v>20000000</v>
      </c>
      <c r="J4001" t="n">
        <v>0.062</v>
      </c>
      <c r="K4001" t="n">
        <v>1.76</v>
      </c>
      <c r="L4001" t="n">
        <v>0.14</v>
      </c>
      <c r="M4001" t="n">
        <v>1.62</v>
      </c>
      <c r="P4001" t="inlineStr">
        <is>
          <t>김수연</t>
        </is>
      </c>
      <c r="AB4001" t="inlineStr">
        <is>
          <t>홈서비스</t>
        </is>
      </c>
      <c r="AC4001" t="n">
        <v>352000</v>
      </c>
      <c r="AD4001" t="n">
        <v>28000</v>
      </c>
      <c r="AE4001" t="n">
        <v>324000</v>
      </c>
      <c r="AF4001" t="n">
        <v>320000</v>
      </c>
      <c r="AG4001" t="n">
        <v>27076</v>
      </c>
      <c r="AH4001" t="n">
        <v>292924</v>
      </c>
      <c r="AI4001" t="n">
        <v>0</v>
      </c>
    </row>
    <row r="4002">
      <c r="A4002" t="inlineStr">
        <is>
          <t>5월</t>
        </is>
      </c>
      <c r="B4002" t="inlineStr">
        <is>
          <t>18주차</t>
        </is>
      </c>
      <c r="C4002" t="inlineStr">
        <is>
          <t>EP</t>
        </is>
      </c>
      <c r="D4002" s="28" t="n">
        <v>46144</v>
      </c>
      <c r="E4002" t="inlineStr">
        <is>
          <t>현대EP</t>
        </is>
      </c>
      <c r="F4002" t="inlineStr">
        <is>
          <t>조준원</t>
        </is>
      </c>
      <c r="G4002" t="inlineStr">
        <is>
          <t>010-8739-3030</t>
        </is>
      </c>
      <c r="H4002" t="inlineStr">
        <is>
          <t>380너1951</t>
        </is>
      </c>
      <c r="I4002" t="n">
        <v>17000000</v>
      </c>
      <c r="J4002" t="n">
        <v>0.07199999999999999</v>
      </c>
      <c r="K4002" t="n">
        <v>1.76</v>
      </c>
      <c r="L4002" t="n">
        <v>0.14</v>
      </c>
      <c r="M4002" t="n">
        <v>1.62</v>
      </c>
      <c r="P4002" t="inlineStr">
        <is>
          <t>박소현</t>
        </is>
      </c>
      <c r="AB4002" t="inlineStr">
        <is>
          <t>홈서비스</t>
        </is>
      </c>
      <c r="AC4002" t="n">
        <v>299200</v>
      </c>
      <c r="AD4002" t="n">
        <v>23800</v>
      </c>
      <c r="AE4002" t="n">
        <v>275400</v>
      </c>
      <c r="AF4002" t="n">
        <v>272000</v>
      </c>
      <c r="AG4002" t="n">
        <v>23014.6</v>
      </c>
      <c r="AH4002" t="n">
        <v>248985.4</v>
      </c>
      <c r="AI4002" t="n">
        <v>0</v>
      </c>
    </row>
    <row r="4003">
      <c r="A4003" t="inlineStr">
        <is>
          <t>5월</t>
        </is>
      </c>
      <c r="B4003" t="inlineStr">
        <is>
          <t>19주차</t>
        </is>
      </c>
      <c r="C4003" t="inlineStr">
        <is>
          <t>EP</t>
        </is>
      </c>
      <c r="D4003" s="28" t="n">
        <v>46146</v>
      </c>
      <c r="E4003" t="inlineStr">
        <is>
          <t>제이비EP</t>
        </is>
      </c>
      <c r="F4003" t="inlineStr">
        <is>
          <t>신현철</t>
        </is>
      </c>
      <c r="G4003" t="inlineStr">
        <is>
          <t>010-5126-3585</t>
        </is>
      </c>
      <c r="H4003" t="inlineStr">
        <is>
          <t>114도1576</t>
        </is>
      </c>
      <c r="I4003" t="n">
        <v>34500000</v>
      </c>
      <c r="J4003" t="n">
        <v>0.11</v>
      </c>
      <c r="K4003" t="n">
        <v>1.65</v>
      </c>
      <c r="L4003" t="n">
        <v>0.4</v>
      </c>
      <c r="M4003" t="n">
        <v>1.25</v>
      </c>
      <c r="P4003" t="inlineStr">
        <is>
          <t>최혁</t>
        </is>
      </c>
      <c r="AB4003" t="inlineStr">
        <is>
          <t>엔카</t>
        </is>
      </c>
      <c r="AC4003" t="n">
        <v>569250</v>
      </c>
      <c r="AD4003" t="n">
        <v>138000</v>
      </c>
      <c r="AE4003" t="n">
        <v>431250</v>
      </c>
      <c r="AF4003" t="n">
        <v>517500</v>
      </c>
      <c r="AG4003" t="n">
        <v>133446</v>
      </c>
      <c r="AH4003" t="n">
        <v>384054</v>
      </c>
      <c r="AI4003" t="n">
        <v>0</v>
      </c>
    </row>
    <row r="4004">
      <c r="A4004" t="inlineStr">
        <is>
          <t>5월</t>
        </is>
      </c>
      <c r="B4004" t="inlineStr">
        <is>
          <t>19주차</t>
        </is>
      </c>
      <c r="C4004" t="inlineStr">
        <is>
          <t>EP</t>
        </is>
      </c>
      <c r="D4004" s="28" t="n">
        <v>46148</v>
      </c>
      <c r="E4004" t="inlineStr">
        <is>
          <t>현대EP_fast</t>
        </is>
      </c>
      <c r="F4004" t="inlineStr">
        <is>
          <t>조은제</t>
        </is>
      </c>
      <c r="G4004" t="inlineStr">
        <is>
          <t>010-6443-0615</t>
        </is>
      </c>
      <c r="H4004" t="inlineStr">
        <is>
          <t xml:space="preserve"> 45어8767</t>
        </is>
      </c>
      <c r="I4004" t="n">
        <v>3300000</v>
      </c>
      <c r="J4004" t="n">
        <v>0.074</v>
      </c>
      <c r="K4004" t="n">
        <v>1.76</v>
      </c>
      <c r="L4004" t="n">
        <v>0.14</v>
      </c>
      <c r="M4004" t="n">
        <v>1.62</v>
      </c>
      <c r="P4004" t="inlineStr">
        <is>
          <t>최형주</t>
        </is>
      </c>
      <c r="Q4004" t="inlineStr">
        <is>
          <t>홈서비스 24개월 / 고객주도체결</t>
        </is>
      </c>
      <c r="AB4004" t="inlineStr">
        <is>
          <t>홈서비스</t>
        </is>
      </c>
      <c r="AC4004" t="n">
        <v>58080</v>
      </c>
      <c r="AD4004" t="n">
        <v>4620</v>
      </c>
      <c r="AE4004" t="n">
        <v>53460</v>
      </c>
      <c r="AF4004" t="n">
        <v>52800</v>
      </c>
      <c r="AG4004" t="n">
        <v>4467.54</v>
      </c>
      <c r="AH4004" t="n">
        <v>48332.46</v>
      </c>
      <c r="AI4004" t="n">
        <v>0</v>
      </c>
    </row>
    <row r="4005">
      <c r="A4005" t="inlineStr">
        <is>
          <t>5월</t>
        </is>
      </c>
      <c r="B4005" t="inlineStr">
        <is>
          <t>19주차</t>
        </is>
      </c>
      <c r="C4005" t="inlineStr">
        <is>
          <t>IM</t>
        </is>
      </c>
      <c r="D4005" s="28" t="n">
        <v>46148</v>
      </c>
      <c r="E4005" t="inlineStr">
        <is>
          <t>IM캐피탈</t>
        </is>
      </c>
      <c r="F4005" t="inlineStr">
        <is>
          <t xml:space="preserve">이지현 </t>
        </is>
      </c>
      <c r="G4005" t="inlineStr">
        <is>
          <t>010-6358-5712</t>
        </is>
      </c>
      <c r="H4005" t="inlineStr">
        <is>
          <t>360무8630</t>
        </is>
      </c>
      <c r="I4005" t="n">
        <v>13000000</v>
      </c>
      <c r="J4005" t="n">
        <v>0.063</v>
      </c>
      <c r="K4005" t="n">
        <v>1.1</v>
      </c>
      <c r="L4005" t="n">
        <v>0.14</v>
      </c>
      <c r="M4005" t="n">
        <v>0.96</v>
      </c>
      <c r="P4005" t="inlineStr">
        <is>
          <t>황채이</t>
        </is>
      </c>
      <c r="Q4005" t="inlineStr">
        <is>
          <t>홈서비스 24개월</t>
        </is>
      </c>
      <c r="AB4005" t="inlineStr">
        <is>
          <t>홈서비스</t>
        </is>
      </c>
      <c r="AC4005" t="n">
        <v>143000</v>
      </c>
      <c r="AD4005" t="n">
        <v>18200</v>
      </c>
      <c r="AE4005" t="n">
        <v>124800</v>
      </c>
      <c r="AF4005" t="n">
        <v>130000</v>
      </c>
      <c r="AG4005" t="n">
        <v>17599.4</v>
      </c>
      <c r="AH4005" t="n">
        <v>112400.6</v>
      </c>
      <c r="AI4005" t="n">
        <v>0</v>
      </c>
    </row>
    <row r="4006">
      <c r="A4006" t="inlineStr">
        <is>
          <t>5월</t>
        </is>
      </c>
      <c r="B4006" t="inlineStr">
        <is>
          <t>19주차</t>
        </is>
      </c>
      <c r="C4006" t="inlineStr">
        <is>
          <t>EP</t>
        </is>
      </c>
      <c r="D4006" s="28" t="n">
        <v>46146</v>
      </c>
      <c r="E4006" t="inlineStr">
        <is>
          <t>현대EP_fast</t>
        </is>
      </c>
      <c r="F4006" t="inlineStr">
        <is>
          <t>임용덕</t>
        </is>
      </c>
      <c r="G4006" t="inlineStr">
        <is>
          <t>010-5738-3308</t>
        </is>
      </c>
      <c r="H4006" t="inlineStr">
        <is>
          <t>239조1095</t>
        </is>
      </c>
      <c r="I4006" t="n">
        <v>22900000</v>
      </c>
      <c r="J4006" t="n">
        <v>0.074</v>
      </c>
      <c r="K4006" t="n">
        <v>1.76</v>
      </c>
      <c r="L4006" t="n">
        <v>0.14</v>
      </c>
      <c r="M4006" t="n">
        <v>1.62</v>
      </c>
      <c r="P4006" t="inlineStr">
        <is>
          <t>정하은</t>
        </is>
      </c>
      <c r="Q4006" t="inlineStr">
        <is>
          <t>홈서비스 60개월</t>
        </is>
      </c>
      <c r="AB4006" t="inlineStr">
        <is>
          <t>홈서비스</t>
        </is>
      </c>
      <c r="AC4006" t="n">
        <v>403040</v>
      </c>
      <c r="AD4006" t="n">
        <v>32060</v>
      </c>
      <c r="AE4006" t="n">
        <v>370980</v>
      </c>
      <c r="AF4006" t="n">
        <v>366400</v>
      </c>
      <c r="AG4006" t="n">
        <v>31002.02</v>
      </c>
      <c r="AH4006" t="n">
        <v>335397.98</v>
      </c>
      <c r="AI4006" t="n">
        <v>0</v>
      </c>
    </row>
    <row r="4007">
      <c r="A4007" t="inlineStr">
        <is>
          <t>5월</t>
        </is>
      </c>
      <c r="B4007" t="inlineStr">
        <is>
          <t>19주차</t>
        </is>
      </c>
      <c r="C4007" t="inlineStr">
        <is>
          <t>EP</t>
        </is>
      </c>
      <c r="D4007" s="28" t="n">
        <v>46148</v>
      </c>
      <c r="E4007" t="inlineStr">
        <is>
          <t>현대EP_fast</t>
        </is>
      </c>
      <c r="F4007" t="inlineStr">
        <is>
          <t>정기원</t>
        </is>
      </c>
      <c r="G4007" t="inlineStr">
        <is>
          <t>010-7497-2060</t>
        </is>
      </c>
      <c r="H4007" t="inlineStr">
        <is>
          <t>60라1390</t>
        </is>
      </c>
      <c r="I4007" t="n">
        <v>5200000</v>
      </c>
      <c r="J4007" t="n">
        <v>0.089</v>
      </c>
      <c r="K4007" t="n">
        <v>1.76</v>
      </c>
      <c r="L4007" t="n">
        <v>0.14</v>
      </c>
      <c r="M4007" t="n">
        <v>1.62</v>
      </c>
      <c r="P4007" t="inlineStr">
        <is>
          <t>김나윤</t>
        </is>
      </c>
      <c r="Q4007" t="inlineStr">
        <is>
          <t>홈서비스 24개월</t>
        </is>
      </c>
      <c r="AB4007" t="inlineStr">
        <is>
          <t>홈서비스</t>
        </is>
      </c>
      <c r="AC4007" t="n">
        <v>91520</v>
      </c>
      <c r="AD4007" t="n">
        <v>7280</v>
      </c>
      <c r="AE4007" t="n">
        <v>84240</v>
      </c>
      <c r="AF4007" t="n">
        <v>83200</v>
      </c>
      <c r="AG4007" t="n">
        <v>7039.76</v>
      </c>
      <c r="AH4007" t="n">
        <v>76160.24000000001</v>
      </c>
    </row>
    <row r="4008">
      <c r="A4008" t="inlineStr">
        <is>
          <t>5월</t>
        </is>
      </c>
      <c r="B4008" t="inlineStr">
        <is>
          <t>19주차</t>
        </is>
      </c>
      <c r="C4008" t="inlineStr">
        <is>
          <t>EP</t>
        </is>
      </c>
      <c r="D4008" s="28" t="n">
        <v>46148</v>
      </c>
      <c r="E4008" t="inlineStr">
        <is>
          <t>현대EP_fast</t>
        </is>
      </c>
      <c r="F4008" t="inlineStr">
        <is>
          <t>오사랑</t>
        </is>
      </c>
      <c r="G4008" t="inlineStr">
        <is>
          <t>010-4007-2546</t>
        </is>
      </c>
      <c r="H4008" t="inlineStr">
        <is>
          <t>175마4125</t>
        </is>
      </c>
      <c r="I4008" t="n">
        <v>15900000</v>
      </c>
      <c r="J4008" t="n">
        <v>0.06900000000000001</v>
      </c>
      <c r="K4008" t="n">
        <v>1.76</v>
      </c>
      <c r="L4008" t="n">
        <v>0.14</v>
      </c>
      <c r="M4008" t="n">
        <v>1.62</v>
      </c>
      <c r="P4008" t="inlineStr">
        <is>
          <t>황채이</t>
        </is>
      </c>
      <c r="Q4008" t="inlineStr">
        <is>
          <t>홈서비스 60개월</t>
        </is>
      </c>
      <c r="AB4008" t="inlineStr">
        <is>
          <t>홈서비스</t>
        </is>
      </c>
      <c r="AC4008" t="n">
        <v>279840</v>
      </c>
      <c r="AD4008" t="n">
        <v>22260</v>
      </c>
      <c r="AE4008" t="n">
        <v>257580</v>
      </c>
      <c r="AF4008" t="n">
        <v>254400</v>
      </c>
      <c r="AG4008" t="n">
        <v>21525.42</v>
      </c>
      <c r="AH4008" t="n">
        <v>232874.58</v>
      </c>
      <c r="AI4008" t="n">
        <v>0</v>
      </c>
    </row>
    <row r="4009">
      <c r="A4009" t="inlineStr">
        <is>
          <t>5월</t>
        </is>
      </c>
      <c r="B4009" t="inlineStr">
        <is>
          <t>19주차</t>
        </is>
      </c>
      <c r="C4009" t="inlineStr">
        <is>
          <t>IM</t>
        </is>
      </c>
      <c r="D4009" s="28" t="n">
        <v>46148</v>
      </c>
      <c r="E4009" t="inlineStr">
        <is>
          <t>IM캐피탈</t>
        </is>
      </c>
      <c r="F4009" t="inlineStr">
        <is>
          <t>윤세훈</t>
        </is>
      </c>
      <c r="G4009" t="inlineStr">
        <is>
          <t>010-5381-2715</t>
        </is>
      </c>
      <c r="H4009" t="inlineStr">
        <is>
          <t>124무3008</t>
        </is>
      </c>
      <c r="I4009" t="n">
        <v>42000000</v>
      </c>
      <c r="J4009" t="n">
        <v>0.049</v>
      </c>
      <c r="K4009" t="n">
        <v>1.1</v>
      </c>
      <c r="L4009" t="n">
        <v>0.5</v>
      </c>
      <c r="M4009" t="n">
        <v>0.6</v>
      </c>
      <c r="P4009" t="inlineStr">
        <is>
          <t>임대경</t>
        </is>
      </c>
      <c r="AB4009" t="inlineStr">
        <is>
          <t>엔카</t>
        </is>
      </c>
      <c r="AC4009" t="n">
        <v>462000</v>
      </c>
      <c r="AD4009" t="n">
        <v>210000</v>
      </c>
      <c r="AE4009" t="n">
        <v>252000</v>
      </c>
      <c r="AF4009" t="n">
        <v>420000</v>
      </c>
      <c r="AG4009" t="n">
        <v>203070</v>
      </c>
      <c r="AH4009" t="n">
        <v>216930</v>
      </c>
    </row>
    <row r="4010">
      <c r="A4010" t="inlineStr">
        <is>
          <t>5월</t>
        </is>
      </c>
      <c r="B4010" t="inlineStr">
        <is>
          <t>19주차</t>
        </is>
      </c>
      <c r="C4010" t="inlineStr">
        <is>
          <t>IM</t>
        </is>
      </c>
      <c r="D4010" s="28" t="n">
        <v>46148</v>
      </c>
      <c r="E4010" t="inlineStr">
        <is>
          <t>IM캐피탈</t>
        </is>
      </c>
      <c r="F4010" t="inlineStr">
        <is>
          <t>이진성</t>
        </is>
      </c>
      <c r="G4010" t="inlineStr">
        <is>
          <t>010-9617-0607</t>
        </is>
      </c>
      <c r="H4010" t="inlineStr">
        <is>
          <t>161다8229</t>
        </is>
      </c>
      <c r="I4010" t="n">
        <v>7500000</v>
      </c>
      <c r="J4010" t="n">
        <v>0.063</v>
      </c>
      <c r="K4010" t="n">
        <v>1.1</v>
      </c>
      <c r="L4010" t="n">
        <v>0.14</v>
      </c>
      <c r="M4010" t="n">
        <v>0.96</v>
      </c>
      <c r="P4010" t="inlineStr">
        <is>
          <t>박현민</t>
        </is>
      </c>
      <c r="Q4010" t="inlineStr">
        <is>
          <t>홈서비스 36개월</t>
        </is>
      </c>
      <c r="AB4010" t="inlineStr">
        <is>
          <t>홈서비스</t>
        </is>
      </c>
      <c r="AC4010" t="n">
        <v>82500</v>
      </c>
      <c r="AD4010" t="n">
        <v>10500</v>
      </c>
      <c r="AE4010" t="n">
        <v>72000</v>
      </c>
      <c r="AF4010" t="n">
        <v>75000</v>
      </c>
      <c r="AG4010" t="n">
        <v>10153.5</v>
      </c>
      <c r="AH4010" t="n">
        <v>64846.5</v>
      </c>
    </row>
    <row r="4011">
      <c r="A4011" t="inlineStr">
        <is>
          <t>5월</t>
        </is>
      </c>
      <c r="B4011" t="inlineStr">
        <is>
          <t>19주차</t>
        </is>
      </c>
      <c r="C4011" t="inlineStr">
        <is>
          <t>EP</t>
        </is>
      </c>
      <c r="D4011" s="28" t="n">
        <v>46146</v>
      </c>
      <c r="E4011" t="inlineStr">
        <is>
          <t>현대EP_fast</t>
        </is>
      </c>
      <c r="F4011" t="inlineStr">
        <is>
          <t>조한익</t>
        </is>
      </c>
      <c r="G4011" t="inlineStr">
        <is>
          <t>010-4455-6460</t>
        </is>
      </c>
      <c r="H4011" t="inlineStr">
        <is>
          <t>317우6957</t>
        </is>
      </c>
      <c r="I4011" t="n">
        <v>80700000</v>
      </c>
      <c r="J4011" t="n">
        <v>0.089</v>
      </c>
      <c r="K4011" t="n">
        <v>1.76</v>
      </c>
      <c r="L4011" t="n">
        <v>0.14</v>
      </c>
      <c r="M4011" t="n">
        <v>1.62</v>
      </c>
      <c r="P4011" t="inlineStr">
        <is>
          <t>박소현</t>
        </is>
      </c>
      <c r="Q4011" t="inlineStr">
        <is>
          <t>선상담 / 홈서비스 60개월</t>
        </is>
      </c>
      <c r="AB4011" t="inlineStr">
        <is>
          <t>홈서비스</t>
        </is>
      </c>
      <c r="AC4011" t="n">
        <v>1420320</v>
      </c>
      <c r="AD4011" t="n">
        <v>112980</v>
      </c>
      <c r="AE4011" t="n">
        <v>1307340</v>
      </c>
      <c r="AF4011" t="n">
        <v>1291200</v>
      </c>
      <c r="AG4011" t="n">
        <v>109251.66</v>
      </c>
      <c r="AH4011" t="n">
        <v>1181948.34</v>
      </c>
      <c r="AI4011" t="n">
        <v>0</v>
      </c>
    </row>
    <row r="4012">
      <c r="A4012" t="inlineStr">
        <is>
          <t>5월</t>
        </is>
      </c>
      <c r="B4012" t="inlineStr">
        <is>
          <t>19주차</t>
        </is>
      </c>
      <c r="C4012" t="inlineStr">
        <is>
          <t>EP</t>
        </is>
      </c>
      <c r="D4012" s="28" t="n">
        <v>46146</v>
      </c>
      <c r="E4012" t="inlineStr">
        <is>
          <t>제이비EP</t>
        </is>
      </c>
      <c r="F4012" t="inlineStr">
        <is>
          <t>장민우</t>
        </is>
      </c>
      <c r="G4012" t="inlineStr">
        <is>
          <t>010-5041-9535</t>
        </is>
      </c>
      <c r="H4012" t="inlineStr">
        <is>
          <t>12머7099</t>
        </is>
      </c>
      <c r="I4012" t="n">
        <v>9300000</v>
      </c>
      <c r="J4012" t="n">
        <v>0.07199999999999999</v>
      </c>
      <c r="K4012" t="n">
        <v>1.65</v>
      </c>
      <c r="L4012" t="n">
        <v>0.4</v>
      </c>
      <c r="M4012" t="n">
        <v>1.25</v>
      </c>
      <c r="P4012" t="inlineStr">
        <is>
          <t>최혁</t>
        </is>
      </c>
      <c r="Q4012" t="inlineStr">
        <is>
          <t>부대비용추가진행</t>
        </is>
      </c>
      <c r="AB4012" t="inlineStr">
        <is>
          <t>엔카</t>
        </is>
      </c>
      <c r="AC4012" t="n">
        <v>153450</v>
      </c>
      <c r="AD4012" t="n">
        <v>37200</v>
      </c>
      <c r="AE4012" t="n">
        <v>116250</v>
      </c>
      <c r="AF4012" t="n">
        <v>139500</v>
      </c>
      <c r="AG4012" t="n">
        <v>35972.4</v>
      </c>
      <c r="AH4012" t="n">
        <v>103527.6</v>
      </c>
      <c r="AI4012" t="n">
        <v>0</v>
      </c>
    </row>
    <row r="4013">
      <c r="A4013" t="inlineStr">
        <is>
          <t>5월</t>
        </is>
      </c>
      <c r="B4013" t="inlineStr">
        <is>
          <t>19주차</t>
        </is>
      </c>
      <c r="C4013" t="inlineStr">
        <is>
          <t>EP</t>
        </is>
      </c>
      <c r="D4013" s="28" t="n">
        <v>46147</v>
      </c>
      <c r="E4013" t="inlineStr">
        <is>
          <t>현대EP</t>
        </is>
      </c>
      <c r="F4013" t="inlineStr">
        <is>
          <t>이강혁</t>
        </is>
      </c>
      <c r="G4013" t="inlineStr">
        <is>
          <t>010-4702-7248</t>
        </is>
      </c>
      <c r="H4013" t="inlineStr">
        <is>
          <t>39서3545</t>
        </is>
      </c>
      <c r="I4013" t="n">
        <v>25500000</v>
      </c>
      <c r="J4013" t="n">
        <v>0.079</v>
      </c>
      <c r="K4013" t="n">
        <v>1.76</v>
      </c>
      <c r="L4013" t="n">
        <v>0.14</v>
      </c>
      <c r="M4013" t="n">
        <v>1.62</v>
      </c>
      <c r="P4013" t="inlineStr">
        <is>
          <t>김수연</t>
        </is>
      </c>
      <c r="AB4013" t="inlineStr">
        <is>
          <t>홈서비스</t>
        </is>
      </c>
      <c r="AC4013" t="n">
        <v>448800</v>
      </c>
      <c r="AD4013" t="n">
        <v>35700</v>
      </c>
      <c r="AE4013" t="n">
        <v>413100</v>
      </c>
      <c r="AF4013" t="n">
        <v>408000</v>
      </c>
      <c r="AG4013" t="n">
        <v>34521.9</v>
      </c>
      <c r="AH4013" t="n">
        <v>373478.1</v>
      </c>
      <c r="AI4013" t="n">
        <v>0</v>
      </c>
    </row>
    <row r="4014">
      <c r="A4014" t="inlineStr">
        <is>
          <t>5월</t>
        </is>
      </c>
      <c r="B4014" t="inlineStr">
        <is>
          <t>19주차</t>
        </is>
      </c>
      <c r="C4014" t="inlineStr">
        <is>
          <t>IM</t>
        </is>
      </c>
      <c r="D4014" s="28" t="n">
        <v>46148</v>
      </c>
      <c r="E4014" t="inlineStr">
        <is>
          <t>IM캐피탈</t>
        </is>
      </c>
      <c r="F4014" t="inlineStr">
        <is>
          <t>이철우</t>
        </is>
      </c>
      <c r="G4014" t="inlineStr">
        <is>
          <t>010-2720-9275</t>
        </is>
      </c>
      <c r="H4014" t="inlineStr">
        <is>
          <t>132우6397</t>
        </is>
      </c>
      <c r="I4014" t="n">
        <v>25000000</v>
      </c>
      <c r="J4014" t="n">
        <v>0.049</v>
      </c>
      <c r="K4014" t="n">
        <v>1.1</v>
      </c>
      <c r="L4014" t="n">
        <v>0.14</v>
      </c>
      <c r="M4014" t="n">
        <v>0.96</v>
      </c>
      <c r="P4014" t="inlineStr">
        <is>
          <t>정세빈</t>
        </is>
      </c>
      <c r="Q4014" t="inlineStr">
        <is>
          <t>홈서비스 48개월</t>
        </is>
      </c>
      <c r="AB4014" t="inlineStr">
        <is>
          <t>홈서비스</t>
        </is>
      </c>
      <c r="AC4014" t="n">
        <v>275000</v>
      </c>
      <c r="AD4014" t="n">
        <v>35000</v>
      </c>
      <c r="AE4014" t="n">
        <v>240000</v>
      </c>
      <c r="AF4014" t="n">
        <v>250000</v>
      </c>
      <c r="AG4014" t="n">
        <v>33845</v>
      </c>
      <c r="AH4014" t="n">
        <v>216155</v>
      </c>
      <c r="AI4014" t="n">
        <v>0</v>
      </c>
    </row>
    <row r="4015">
      <c r="A4015" t="inlineStr">
        <is>
          <t>5월</t>
        </is>
      </c>
      <c r="B4015" t="inlineStr">
        <is>
          <t>19주차</t>
        </is>
      </c>
      <c r="C4015" t="inlineStr">
        <is>
          <t>EP</t>
        </is>
      </c>
      <c r="D4015" s="28" t="n">
        <v>46148</v>
      </c>
      <c r="E4015" t="inlineStr">
        <is>
          <t>현대EP_fast</t>
        </is>
      </c>
      <c r="F4015" t="inlineStr">
        <is>
          <t>양일</t>
        </is>
      </c>
      <c r="G4015" t="inlineStr">
        <is>
          <t>010-5331-9547</t>
        </is>
      </c>
      <c r="H4015" t="inlineStr">
        <is>
          <t>261머7617</t>
        </is>
      </c>
      <c r="I4015" t="n">
        <v>26000000</v>
      </c>
      <c r="J4015" t="n">
        <v>0.102</v>
      </c>
      <c r="K4015" t="n">
        <v>1.76</v>
      </c>
      <c r="L4015" t="n">
        <v>0.14</v>
      </c>
      <c r="M4015" t="n">
        <v>1.62</v>
      </c>
      <c r="P4015" t="inlineStr">
        <is>
          <t>최형주</t>
        </is>
      </c>
      <c r="Q4015" t="inlineStr">
        <is>
          <t>홈서비스 48개월</t>
        </is>
      </c>
      <c r="AB4015" t="inlineStr">
        <is>
          <t>홈서비스</t>
        </is>
      </c>
      <c r="AC4015" t="n">
        <v>457600</v>
      </c>
      <c r="AD4015" t="n">
        <v>36400</v>
      </c>
      <c r="AE4015" t="n">
        <v>421200</v>
      </c>
      <c r="AF4015" t="n">
        <v>416000</v>
      </c>
      <c r="AG4015" t="n">
        <v>35198.8</v>
      </c>
      <c r="AH4015" t="n">
        <v>380801.2</v>
      </c>
      <c r="AI4015" t="n">
        <v>0</v>
      </c>
    </row>
    <row r="4016">
      <c r="A4016" t="inlineStr">
        <is>
          <t>5월</t>
        </is>
      </c>
      <c r="B4016" t="inlineStr">
        <is>
          <t>19주차</t>
        </is>
      </c>
      <c r="C4016" t="inlineStr">
        <is>
          <t>IM</t>
        </is>
      </c>
      <c r="D4016" s="28" t="n">
        <v>46148</v>
      </c>
      <c r="E4016" t="inlineStr">
        <is>
          <t>IM캐피탈</t>
        </is>
      </c>
      <c r="F4016" t="inlineStr">
        <is>
          <t>변연수</t>
        </is>
      </c>
      <c r="G4016" t="inlineStr">
        <is>
          <t>010-5207-3232</t>
        </is>
      </c>
      <c r="H4016" t="inlineStr">
        <is>
          <t>245라4558</t>
        </is>
      </c>
      <c r="I4016" t="n">
        <v>30000000</v>
      </c>
      <c r="J4016" t="n">
        <v>0.049</v>
      </c>
      <c r="K4016" t="n">
        <v>1.1</v>
      </c>
      <c r="L4016" t="n">
        <v>0.14</v>
      </c>
      <c r="M4016" t="n">
        <v>0.96</v>
      </c>
      <c r="P4016" t="inlineStr">
        <is>
          <t>최혁</t>
        </is>
      </c>
      <c r="Q4016" t="inlineStr">
        <is>
          <t>홈서비스60개월</t>
        </is>
      </c>
      <c r="AB4016" t="inlineStr">
        <is>
          <t>홈서비스</t>
        </is>
      </c>
      <c r="AC4016" t="n">
        <v>330000</v>
      </c>
      <c r="AD4016" t="n">
        <v>42000</v>
      </c>
      <c r="AE4016" t="n">
        <v>288000</v>
      </c>
      <c r="AF4016" t="n">
        <v>300000</v>
      </c>
      <c r="AG4016" t="n">
        <v>40614</v>
      </c>
      <c r="AH4016" t="n">
        <v>259386</v>
      </c>
      <c r="AI4016" t="n">
        <v>0</v>
      </c>
    </row>
    <row r="4017">
      <c r="A4017" t="inlineStr">
        <is>
          <t>5월</t>
        </is>
      </c>
      <c r="B4017" t="inlineStr">
        <is>
          <t>19주차</t>
        </is>
      </c>
      <c r="C4017" t="inlineStr">
        <is>
          <t>IM</t>
        </is>
      </c>
      <c r="D4017" s="28" t="n">
        <v>46148</v>
      </c>
      <c r="E4017" t="inlineStr">
        <is>
          <t>IM캐피탈</t>
        </is>
      </c>
      <c r="F4017" t="inlineStr">
        <is>
          <t>사남식</t>
        </is>
      </c>
      <c r="G4017" t="inlineStr">
        <is>
          <t>010-6540-1505</t>
        </is>
      </c>
      <c r="H4017" t="inlineStr">
        <is>
          <t>281노9791</t>
        </is>
      </c>
      <c r="I4017" t="n">
        <v>26900000</v>
      </c>
      <c r="J4017" t="n">
        <v>0.063</v>
      </c>
      <c r="K4017" t="n">
        <v>1.1</v>
      </c>
      <c r="L4017" t="n">
        <v>0.14</v>
      </c>
      <c r="M4017" t="n">
        <v>0.96</v>
      </c>
      <c r="P4017" t="inlineStr">
        <is>
          <t>황채이</t>
        </is>
      </c>
      <c r="Q4017" t="inlineStr">
        <is>
          <t>홈서비스 48개월</t>
        </is>
      </c>
      <c r="AB4017" t="inlineStr">
        <is>
          <t>홈서비스</t>
        </is>
      </c>
      <c r="AC4017" t="n">
        <v>295900</v>
      </c>
      <c r="AD4017" t="n">
        <v>37660</v>
      </c>
      <c r="AE4017" t="n">
        <v>258240</v>
      </c>
      <c r="AF4017" t="n">
        <v>269000</v>
      </c>
      <c r="AG4017" t="n">
        <v>36417.22</v>
      </c>
      <c r="AH4017" t="n">
        <v>232582.78</v>
      </c>
      <c r="AI4017" t="n">
        <v>0</v>
      </c>
    </row>
    <row r="4018">
      <c r="A4018" t="inlineStr">
        <is>
          <t>5월</t>
        </is>
      </c>
      <c r="B4018" t="inlineStr">
        <is>
          <t>19주차</t>
        </is>
      </c>
      <c r="C4018" t="inlineStr">
        <is>
          <t>IM</t>
        </is>
      </c>
      <c r="D4018" s="28" t="n">
        <v>46148</v>
      </c>
      <c r="E4018" t="inlineStr">
        <is>
          <t>IM캐피탈</t>
        </is>
      </c>
      <c r="F4018" t="inlineStr">
        <is>
          <t>조상현</t>
        </is>
      </c>
      <c r="G4018" t="inlineStr">
        <is>
          <t>010-5285-6892</t>
        </is>
      </c>
      <c r="H4018" t="inlineStr">
        <is>
          <t>390구4615</t>
        </is>
      </c>
      <c r="I4018" t="n">
        <v>10000000</v>
      </c>
      <c r="J4018" t="n">
        <v>0.049</v>
      </c>
      <c r="K4018" t="n">
        <v>1.1</v>
      </c>
      <c r="L4018" t="n">
        <v>0.14</v>
      </c>
      <c r="M4018" t="n">
        <v>0.96</v>
      </c>
      <c r="P4018" t="inlineStr">
        <is>
          <t>김나윤</t>
        </is>
      </c>
      <c r="Q4018" t="inlineStr">
        <is>
          <t>홈서비스 48개월</t>
        </is>
      </c>
      <c r="AB4018" t="inlineStr">
        <is>
          <t>홈서비스</t>
        </is>
      </c>
      <c r="AC4018" t="n">
        <v>110000</v>
      </c>
      <c r="AD4018" t="n">
        <v>14000</v>
      </c>
      <c r="AE4018" t="n">
        <v>96000</v>
      </c>
      <c r="AF4018" t="n">
        <v>100000</v>
      </c>
      <c r="AG4018" t="n">
        <v>13538</v>
      </c>
      <c r="AH4018" t="n">
        <v>86462</v>
      </c>
      <c r="AI4018" t="n">
        <v>0</v>
      </c>
    </row>
    <row r="4019">
      <c r="A4019" t="inlineStr">
        <is>
          <t>5월</t>
        </is>
      </c>
      <c r="B4019" t="inlineStr">
        <is>
          <t>19주차</t>
        </is>
      </c>
      <c r="C4019" t="inlineStr">
        <is>
          <t>EP</t>
        </is>
      </c>
      <c r="D4019" s="28" t="n">
        <v>46148</v>
      </c>
      <c r="E4019" t="inlineStr">
        <is>
          <t>현대EP_fast</t>
        </is>
      </c>
      <c r="F4019" t="inlineStr">
        <is>
          <t>이권희</t>
        </is>
      </c>
      <c r="G4019" t="inlineStr">
        <is>
          <t>010-8552-3361</t>
        </is>
      </c>
      <c r="H4019" t="inlineStr">
        <is>
          <t>370모6392</t>
        </is>
      </c>
      <c r="I4019" t="n">
        <v>29000000</v>
      </c>
      <c r="J4019" t="n">
        <v>0.129</v>
      </c>
      <c r="K4019" t="n">
        <v>1.76</v>
      </c>
      <c r="L4019" t="n">
        <v>0.14</v>
      </c>
      <c r="M4019" t="n">
        <v>1.62</v>
      </c>
      <c r="P4019" t="inlineStr">
        <is>
          <t>정세빈</t>
        </is>
      </c>
      <c r="Q4019" t="inlineStr">
        <is>
          <t>홈서비스 60개월</t>
        </is>
      </c>
      <c r="AB4019" t="inlineStr">
        <is>
          <t>홈서비스</t>
        </is>
      </c>
      <c r="AC4019" t="n">
        <v>510400</v>
      </c>
      <c r="AD4019" t="n">
        <v>40600</v>
      </c>
      <c r="AE4019" t="n">
        <v>469800</v>
      </c>
      <c r="AF4019" t="n">
        <v>464000</v>
      </c>
      <c r="AG4019" t="n">
        <v>39260.2</v>
      </c>
      <c r="AH4019" t="n">
        <v>424739.8</v>
      </c>
      <c r="AI4019" t="n">
        <v>0</v>
      </c>
    </row>
    <row r="4020">
      <c r="A4020" t="inlineStr">
        <is>
          <t>5월</t>
        </is>
      </c>
      <c r="B4020" t="inlineStr">
        <is>
          <t>19주차</t>
        </is>
      </c>
      <c r="C4020" t="inlineStr">
        <is>
          <t>EP</t>
        </is>
      </c>
      <c r="D4020" s="28" t="n">
        <v>46148</v>
      </c>
      <c r="E4020" t="inlineStr">
        <is>
          <t>현대EP_fast</t>
        </is>
      </c>
      <c r="F4020" t="inlineStr">
        <is>
          <t>고병태</t>
        </is>
      </c>
      <c r="G4020" t="inlineStr">
        <is>
          <t>010-2047-4432</t>
        </is>
      </c>
      <c r="H4020" t="inlineStr">
        <is>
          <t>125두3141</t>
        </is>
      </c>
      <c r="I4020" t="n">
        <v>23700000</v>
      </c>
      <c r="J4020" t="n">
        <v>0.07000000000000001</v>
      </c>
      <c r="K4020" t="n">
        <v>1.76</v>
      </c>
      <c r="L4020" t="n">
        <v>0.14</v>
      </c>
      <c r="M4020" t="n">
        <v>1.62</v>
      </c>
      <c r="P4020" t="inlineStr">
        <is>
          <t>최형주</t>
        </is>
      </c>
      <c r="Q4020" t="inlineStr">
        <is>
          <t>홈서비스 48개월</t>
        </is>
      </c>
      <c r="AB4020" t="inlineStr">
        <is>
          <t>홈서비스</t>
        </is>
      </c>
      <c r="AC4020" t="n">
        <v>417120</v>
      </c>
      <c r="AD4020" t="n">
        <v>33180</v>
      </c>
      <c r="AE4020" t="n">
        <v>383940</v>
      </c>
      <c r="AF4020" t="n">
        <v>379200</v>
      </c>
      <c r="AG4020" t="n">
        <v>32085.06</v>
      </c>
      <c r="AH4020" t="n">
        <v>347114.94</v>
      </c>
      <c r="AI4020" t="n">
        <v>0</v>
      </c>
    </row>
    <row r="4021">
      <c r="A4021" t="inlineStr">
        <is>
          <t>5월</t>
        </is>
      </c>
      <c r="B4021" t="inlineStr">
        <is>
          <t>19주차</t>
        </is>
      </c>
      <c r="C4021" t="inlineStr">
        <is>
          <t>EP</t>
        </is>
      </c>
      <c r="D4021" s="28" t="n">
        <v>46148</v>
      </c>
      <c r="E4021" t="inlineStr">
        <is>
          <t>현대EP</t>
        </is>
      </c>
      <c r="F4021" t="inlineStr">
        <is>
          <t>김유미</t>
        </is>
      </c>
      <c r="G4021" t="inlineStr">
        <is>
          <t>010-2587-1398</t>
        </is>
      </c>
      <c r="H4021" t="inlineStr">
        <is>
          <t>148머3382</t>
        </is>
      </c>
      <c r="I4021" t="n">
        <v>29900000</v>
      </c>
      <c r="J4021" t="n">
        <v>0.06900000000000001</v>
      </c>
      <c r="K4021" t="n">
        <v>1.76</v>
      </c>
      <c r="L4021" t="n">
        <v>0.14</v>
      </c>
      <c r="M4021" t="n">
        <v>1.62</v>
      </c>
      <c r="P4021" t="inlineStr">
        <is>
          <t>최형주</t>
        </is>
      </c>
      <c r="AB4021" t="inlineStr">
        <is>
          <t>홈서비스</t>
        </is>
      </c>
      <c r="AC4021" t="n">
        <v>526240</v>
      </c>
      <c r="AD4021" t="n">
        <v>41860</v>
      </c>
      <c r="AE4021" t="n">
        <v>484380</v>
      </c>
      <c r="AF4021" t="n">
        <v>478400</v>
      </c>
      <c r="AG4021" t="n">
        <v>40478.62</v>
      </c>
      <c r="AH4021" t="n">
        <v>437921.38</v>
      </c>
    </row>
    <row r="4022">
      <c r="A4022" t="inlineStr">
        <is>
          <t>5월</t>
        </is>
      </c>
      <c r="B4022" t="inlineStr">
        <is>
          <t>19주차</t>
        </is>
      </c>
      <c r="C4022" t="inlineStr">
        <is>
          <t>EP</t>
        </is>
      </c>
      <c r="D4022" s="28" t="n">
        <v>46148</v>
      </c>
      <c r="E4022" t="inlineStr">
        <is>
          <t>현대EP</t>
        </is>
      </c>
      <c r="F4022" t="inlineStr">
        <is>
          <t>김성준</t>
        </is>
      </c>
      <c r="G4022" t="inlineStr">
        <is>
          <t>010-7711-0171</t>
        </is>
      </c>
      <c r="H4022" t="inlineStr">
        <is>
          <t>26저7445</t>
        </is>
      </c>
      <c r="I4022" t="n">
        <v>7000000</v>
      </c>
      <c r="J4022" t="n">
        <v>0.07099999999999999</v>
      </c>
      <c r="K4022" t="n">
        <v>1.76</v>
      </c>
      <c r="L4022" t="n">
        <v>0.14</v>
      </c>
      <c r="M4022" t="n">
        <v>1.62</v>
      </c>
      <c r="P4022" t="inlineStr">
        <is>
          <t>정세빈</t>
        </is>
      </c>
      <c r="AB4022" t="inlineStr">
        <is>
          <t>홈서비스</t>
        </is>
      </c>
      <c r="AC4022" t="n">
        <v>123200</v>
      </c>
      <c r="AD4022" t="n">
        <v>9800</v>
      </c>
      <c r="AE4022" t="n">
        <v>113400</v>
      </c>
      <c r="AF4022" t="n">
        <v>112000</v>
      </c>
      <c r="AG4022" t="n">
        <v>9476.6</v>
      </c>
      <c r="AH4022" t="n">
        <v>102523.4</v>
      </c>
    </row>
    <row r="4023">
      <c r="A4023" t="inlineStr">
        <is>
          <t>5월</t>
        </is>
      </c>
      <c r="B4023" t="inlineStr">
        <is>
          <t>19주차</t>
        </is>
      </c>
      <c r="C4023" t="inlineStr">
        <is>
          <t>IM</t>
        </is>
      </c>
      <c r="D4023" s="28" t="n">
        <v>46148</v>
      </c>
      <c r="E4023" t="inlineStr">
        <is>
          <t>IM캐피탈</t>
        </is>
      </c>
      <c r="F4023" t="inlineStr">
        <is>
          <t>구정은</t>
        </is>
      </c>
      <c r="G4023" t="inlineStr">
        <is>
          <t>010-4827-2936</t>
        </is>
      </c>
      <c r="H4023" t="inlineStr">
        <is>
          <t>39소9231</t>
        </is>
      </c>
      <c r="I4023" t="n">
        <v>6300000</v>
      </c>
      <c r="J4023" t="n">
        <v>0.079</v>
      </c>
      <c r="K4023" t="n">
        <v>1.1</v>
      </c>
      <c r="L4023" t="n">
        <v>0.14</v>
      </c>
      <c r="M4023" t="n">
        <v>0.96</v>
      </c>
      <c r="P4023" t="inlineStr">
        <is>
          <t>김나윤</t>
        </is>
      </c>
      <c r="Q4023" t="inlineStr">
        <is>
          <t>홈서비스 36개월 / 부대비용 추가진행</t>
        </is>
      </c>
      <c r="AB4023" t="inlineStr">
        <is>
          <t>홈서비스</t>
        </is>
      </c>
      <c r="AC4023" t="n">
        <v>69300</v>
      </c>
      <c r="AD4023" t="n">
        <v>8820</v>
      </c>
      <c r="AE4023" t="n">
        <v>60480</v>
      </c>
      <c r="AF4023" t="n">
        <v>63000</v>
      </c>
      <c r="AG4023" t="n">
        <v>8528.940000000001</v>
      </c>
      <c r="AH4023" t="n">
        <v>54471.06</v>
      </c>
      <c r="AI4023" t="n">
        <v>0</v>
      </c>
    </row>
    <row r="4024">
      <c r="A4024" t="inlineStr">
        <is>
          <t>4월</t>
        </is>
      </c>
      <c r="B4024" t="inlineStr">
        <is>
          <t>18주차</t>
        </is>
      </c>
      <c r="C4024" t="inlineStr">
        <is>
          <t>IM</t>
        </is>
      </c>
      <c r="D4024" s="28" t="n">
        <v>46142</v>
      </c>
      <c r="E4024" t="inlineStr">
        <is>
          <t>IM캐피탈</t>
        </is>
      </c>
      <c r="F4024" t="inlineStr">
        <is>
          <t>박종호</t>
        </is>
      </c>
      <c r="G4024" t="inlineStr">
        <is>
          <t>010-2840-2982</t>
        </is>
      </c>
      <c r="H4024" t="inlineStr">
        <is>
          <t>64고4637</t>
        </is>
      </c>
      <c r="I4024" t="n">
        <v>30100000</v>
      </c>
      <c r="J4024" t="n">
        <v>0.049</v>
      </c>
      <c r="K4024" t="n">
        <v>1.1</v>
      </c>
      <c r="L4024" t="n">
        <v>0.4</v>
      </c>
      <c r="M4024" t="n">
        <v>0.7</v>
      </c>
      <c r="P4024" t="inlineStr">
        <is>
          <t>구성완</t>
        </is>
      </c>
      <c r="AB4024" t="inlineStr">
        <is>
          <t>엔카</t>
        </is>
      </c>
      <c r="AC4024" t="n">
        <v>331100</v>
      </c>
      <c r="AD4024" t="n">
        <v>120400</v>
      </c>
      <c r="AE4024" t="n">
        <v>210700</v>
      </c>
      <c r="AF4024" t="n">
        <v>301000</v>
      </c>
      <c r="AG4024" t="n">
        <v>116426.8</v>
      </c>
      <c r="AH4024" t="n">
        <v>184573.2</v>
      </c>
      <c r="AI4024" t="n">
        <v>0</v>
      </c>
    </row>
    <row r="4025">
      <c r="A4025" t="inlineStr">
        <is>
          <t>5월</t>
        </is>
      </c>
      <c r="B4025" t="inlineStr">
        <is>
          <t>19주차</t>
        </is>
      </c>
      <c r="C4025" t="inlineStr">
        <is>
          <t>EP</t>
        </is>
      </c>
      <c r="D4025" s="28" t="n">
        <v>46148</v>
      </c>
      <c r="E4025" t="inlineStr">
        <is>
          <t>현대EP_fast</t>
        </is>
      </c>
      <c r="F4025" t="inlineStr">
        <is>
          <t>김영민</t>
        </is>
      </c>
      <c r="G4025" t="inlineStr">
        <is>
          <t>010-9386-2546</t>
        </is>
      </c>
      <c r="H4025" t="inlineStr">
        <is>
          <t>398다2456</t>
        </is>
      </c>
      <c r="I4025" t="n">
        <v>39500000</v>
      </c>
      <c r="J4025" t="n">
        <v>0.105</v>
      </c>
      <c r="K4025" t="n">
        <v>1.76</v>
      </c>
      <c r="L4025" t="n">
        <v>0.4</v>
      </c>
      <c r="M4025" t="n">
        <v>1.36</v>
      </c>
      <c r="P4025" t="inlineStr">
        <is>
          <t>최혁</t>
        </is>
      </c>
      <c r="Q4025" t="inlineStr">
        <is>
          <t>공동명의</t>
        </is>
      </c>
      <c r="AB4025" t="inlineStr">
        <is>
          <t>엔카</t>
        </is>
      </c>
      <c r="AC4025" t="n">
        <v>695200</v>
      </c>
      <c r="AD4025" t="n">
        <v>158000</v>
      </c>
      <c r="AE4025" t="n">
        <v>537200</v>
      </c>
      <c r="AF4025" t="n">
        <v>632000</v>
      </c>
      <c r="AG4025" t="n">
        <v>152786</v>
      </c>
      <c r="AH4025" t="n">
        <v>479214</v>
      </c>
      <c r="AI4025" t="n">
        <v>0</v>
      </c>
    </row>
    <row r="4026">
      <c r="A4026" t="inlineStr">
        <is>
          <t>5월</t>
        </is>
      </c>
      <c r="B4026" t="inlineStr">
        <is>
          <t>19주차</t>
        </is>
      </c>
      <c r="C4026" t="inlineStr">
        <is>
          <t>EP</t>
        </is>
      </c>
      <c r="D4026" s="28" t="n">
        <v>46148</v>
      </c>
      <c r="E4026" t="inlineStr">
        <is>
          <t>현대EP_fast</t>
        </is>
      </c>
      <c r="F4026" t="inlineStr">
        <is>
          <t>장병석</t>
        </is>
      </c>
      <c r="G4026" t="inlineStr">
        <is>
          <t>010-9767-3119</t>
        </is>
      </c>
      <c r="H4026" t="inlineStr">
        <is>
          <t>311소5706</t>
        </is>
      </c>
      <c r="I4026" t="n">
        <v>13100000</v>
      </c>
      <c r="J4026" t="n">
        <v>0.105</v>
      </c>
      <c r="K4026" t="n">
        <v>1.76</v>
      </c>
      <c r="L4026" t="n">
        <v>0.14</v>
      </c>
      <c r="M4026" t="n">
        <v>1.62</v>
      </c>
      <c r="P4026" t="inlineStr">
        <is>
          <t>박현민</t>
        </is>
      </c>
      <c r="Q4026" t="inlineStr">
        <is>
          <t>홈서비스 48개월</t>
        </is>
      </c>
      <c r="AB4026" t="inlineStr">
        <is>
          <t>홈서비스</t>
        </is>
      </c>
      <c r="AC4026" t="n">
        <v>230560</v>
      </c>
      <c r="AD4026" t="n">
        <v>18340</v>
      </c>
      <c r="AE4026" t="n">
        <v>212220</v>
      </c>
      <c r="AF4026" t="n">
        <v>209600</v>
      </c>
      <c r="AG4026" t="n">
        <v>17734.78</v>
      </c>
      <c r="AH4026" t="n">
        <v>191865.22</v>
      </c>
      <c r="AI4026" t="n">
        <v>0</v>
      </c>
    </row>
    <row r="4027">
      <c r="A4027" t="inlineStr">
        <is>
          <t>5월</t>
        </is>
      </c>
      <c r="B4027" t="inlineStr">
        <is>
          <t>19주차</t>
        </is>
      </c>
      <c r="C4027" t="inlineStr">
        <is>
          <t>EP</t>
        </is>
      </c>
      <c r="D4027" s="28" t="n">
        <v>46148</v>
      </c>
      <c r="E4027" t="inlineStr">
        <is>
          <t>현대EP</t>
        </is>
      </c>
      <c r="F4027" t="inlineStr">
        <is>
          <t>이슬기</t>
        </is>
      </c>
      <c r="G4027" t="inlineStr">
        <is>
          <t>010-8266-8246</t>
        </is>
      </c>
      <c r="H4027" t="inlineStr">
        <is>
          <t>215고8946</t>
        </is>
      </c>
      <c r="I4027" t="n">
        <v>23200000</v>
      </c>
      <c r="J4027" t="n">
        <v>0.06900000000000001</v>
      </c>
      <c r="K4027" t="n">
        <v>1.76</v>
      </c>
      <c r="L4027" t="n">
        <v>0.14</v>
      </c>
      <c r="M4027" t="n">
        <v>1.62</v>
      </c>
      <c r="P4027" t="inlineStr">
        <is>
          <t>정세빈</t>
        </is>
      </c>
      <c r="AB4027" t="inlineStr">
        <is>
          <t>홈서비스</t>
        </is>
      </c>
      <c r="AC4027" t="n">
        <v>408320</v>
      </c>
      <c r="AD4027" t="n">
        <v>32480</v>
      </c>
      <c r="AE4027" t="n">
        <v>375840</v>
      </c>
      <c r="AF4027" t="n">
        <v>371200</v>
      </c>
      <c r="AG4027" t="n">
        <v>31408.16</v>
      </c>
      <c r="AH4027" t="n">
        <v>339791.84</v>
      </c>
    </row>
    <row r="4028">
      <c r="A4028" t="inlineStr">
        <is>
          <t>5월</t>
        </is>
      </c>
      <c r="B4028" t="inlineStr">
        <is>
          <t>19주차</t>
        </is>
      </c>
      <c r="C4028" t="inlineStr">
        <is>
          <t>EP</t>
        </is>
      </c>
      <c r="D4028" s="28" t="n">
        <v>46148</v>
      </c>
      <c r="E4028" t="inlineStr">
        <is>
          <t>현대EP_fast</t>
        </is>
      </c>
      <c r="F4028" t="inlineStr">
        <is>
          <t>류성종</t>
        </is>
      </c>
      <c r="G4028" t="inlineStr">
        <is>
          <t>010-4335-8092</t>
        </is>
      </c>
      <c r="H4028" t="inlineStr">
        <is>
          <t>51우7743</t>
        </is>
      </c>
      <c r="I4028" t="n">
        <v>13800000</v>
      </c>
      <c r="J4028" t="n">
        <v>0.08799999999999999</v>
      </c>
      <c r="K4028" t="n">
        <v>1.76</v>
      </c>
      <c r="L4028" t="n">
        <v>0.4</v>
      </c>
      <c r="M4028" t="n">
        <v>1.36</v>
      </c>
      <c r="P4028" t="inlineStr">
        <is>
          <t>장현경</t>
        </is>
      </c>
      <c r="Q4028" t="inlineStr">
        <is>
          <t>고객주도체결</t>
        </is>
      </c>
      <c r="AB4028" t="inlineStr">
        <is>
          <t>엔카</t>
        </is>
      </c>
      <c r="AC4028" t="n">
        <v>242880</v>
      </c>
      <c r="AD4028" t="n">
        <v>55200</v>
      </c>
      <c r="AE4028" t="n">
        <v>187680</v>
      </c>
      <c r="AF4028" t="n">
        <v>220800</v>
      </c>
      <c r="AG4028" t="n">
        <v>53378.4</v>
      </c>
      <c r="AH4028" t="n">
        <v>167421.6</v>
      </c>
    </row>
    <row r="4029">
      <c r="A4029" t="inlineStr">
        <is>
          <t>5월</t>
        </is>
      </c>
      <c r="B4029" t="inlineStr">
        <is>
          <t>19주차</t>
        </is>
      </c>
      <c r="C4029" t="inlineStr">
        <is>
          <t>EP</t>
        </is>
      </c>
      <c r="D4029" s="28" t="n">
        <v>46149</v>
      </c>
      <c r="E4029" t="inlineStr">
        <is>
          <t>현대EP_fast</t>
        </is>
      </c>
      <c r="F4029" t="inlineStr">
        <is>
          <t>장명철</t>
        </is>
      </c>
      <c r="G4029" t="inlineStr">
        <is>
          <t>010-9030-9185</t>
        </is>
      </c>
      <c r="H4029" t="inlineStr">
        <is>
          <t>41루0815</t>
        </is>
      </c>
      <c r="I4029" t="n">
        <v>10400000</v>
      </c>
      <c r="J4029" t="n">
        <v>0.06900000000000001</v>
      </c>
      <c r="K4029" t="n">
        <v>1.76</v>
      </c>
      <c r="L4029" t="n">
        <v>0.14</v>
      </c>
      <c r="M4029" t="n">
        <v>1.62</v>
      </c>
      <c r="P4029" t="inlineStr">
        <is>
          <t>정세빈</t>
        </is>
      </c>
      <c r="Q4029" t="inlineStr">
        <is>
          <t>홈서비스 60개월</t>
        </is>
      </c>
      <c r="AB4029" t="inlineStr">
        <is>
          <t>홈서비스</t>
        </is>
      </c>
      <c r="AC4029" t="n">
        <v>183040</v>
      </c>
      <c r="AD4029" t="n">
        <v>14560</v>
      </c>
      <c r="AE4029" t="n">
        <v>168480</v>
      </c>
      <c r="AF4029" t="n">
        <v>166400</v>
      </c>
      <c r="AG4029" t="n">
        <v>14079.52</v>
      </c>
      <c r="AH4029" t="n">
        <v>152320.48</v>
      </c>
      <c r="AI4029" t="n">
        <v>0</v>
      </c>
    </row>
    <row r="4030">
      <c r="A4030" t="inlineStr">
        <is>
          <t>5월</t>
        </is>
      </c>
      <c r="B4030" t="inlineStr">
        <is>
          <t>19주차</t>
        </is>
      </c>
      <c r="C4030" t="inlineStr">
        <is>
          <t>EP</t>
        </is>
      </c>
      <c r="D4030" s="28" t="n">
        <v>46148</v>
      </c>
      <c r="E4030" t="inlineStr">
        <is>
          <t>현대EP</t>
        </is>
      </c>
      <c r="F4030" t="inlineStr">
        <is>
          <t>박정민</t>
        </is>
      </c>
      <c r="G4030" t="inlineStr">
        <is>
          <t>010-9203-6853</t>
        </is>
      </c>
      <c r="H4030" t="inlineStr">
        <is>
          <t>120수5893</t>
        </is>
      </c>
      <c r="I4030" t="n">
        <v>40000000</v>
      </c>
      <c r="J4030" t="n">
        <v>0.07099999999999999</v>
      </c>
      <c r="K4030" t="n">
        <v>1.76</v>
      </c>
      <c r="L4030" t="n">
        <v>0.14</v>
      </c>
      <c r="M4030" t="n">
        <v>1.62</v>
      </c>
      <c r="P4030" t="inlineStr">
        <is>
          <t>김나윤</t>
        </is>
      </c>
      <c r="AB4030" t="inlineStr">
        <is>
          <t>홈서비스</t>
        </is>
      </c>
      <c r="AC4030" t="n">
        <v>704000</v>
      </c>
      <c r="AD4030" t="n">
        <v>56000</v>
      </c>
      <c r="AE4030" t="n">
        <v>648000</v>
      </c>
      <c r="AF4030" t="n">
        <v>640000</v>
      </c>
      <c r="AG4030" t="n">
        <v>54152</v>
      </c>
      <c r="AH4030" t="n">
        <v>585848</v>
      </c>
    </row>
    <row r="4031">
      <c r="A4031" t="inlineStr">
        <is>
          <t>5월</t>
        </is>
      </c>
      <c r="B4031" t="inlineStr">
        <is>
          <t>19주차</t>
        </is>
      </c>
      <c r="C4031" t="inlineStr">
        <is>
          <t>EP</t>
        </is>
      </c>
      <c r="D4031" s="28" t="n">
        <v>46148</v>
      </c>
      <c r="E4031" t="inlineStr">
        <is>
          <t>현대EP</t>
        </is>
      </c>
      <c r="F4031" t="inlineStr">
        <is>
          <t>박금순</t>
        </is>
      </c>
      <c r="G4031" t="inlineStr">
        <is>
          <t>010-9230-5652</t>
        </is>
      </c>
      <c r="H4031" t="inlineStr">
        <is>
          <t>326조9184</t>
        </is>
      </c>
      <c r="I4031" t="n">
        <v>28400000</v>
      </c>
      <c r="J4031" t="n">
        <v>0.07099999999999999</v>
      </c>
      <c r="K4031" t="n">
        <v>1.76</v>
      </c>
      <c r="L4031" t="n">
        <v>0.14</v>
      </c>
      <c r="M4031" t="n">
        <v>1.62</v>
      </c>
      <c r="P4031" t="inlineStr">
        <is>
          <t>황채이</t>
        </is>
      </c>
      <c r="AB4031" t="inlineStr">
        <is>
          <t>홈서비스</t>
        </is>
      </c>
      <c r="AC4031" t="n">
        <v>499840</v>
      </c>
      <c r="AD4031" t="n">
        <v>39760</v>
      </c>
      <c r="AE4031" t="n">
        <v>460080</v>
      </c>
      <c r="AF4031" t="n">
        <v>454400</v>
      </c>
      <c r="AG4031" t="n">
        <v>38447.92</v>
      </c>
      <c r="AH4031" t="n">
        <v>415952.08</v>
      </c>
      <c r="AI4031" t="n">
        <v>0</v>
      </c>
    </row>
    <row r="4032">
      <c r="A4032" t="inlineStr">
        <is>
          <t>5월</t>
        </is>
      </c>
      <c r="B4032" t="inlineStr">
        <is>
          <t>19주차</t>
        </is>
      </c>
      <c r="C4032" t="inlineStr">
        <is>
          <t>IM</t>
        </is>
      </c>
      <c r="D4032" s="28" t="n">
        <v>46148</v>
      </c>
      <c r="E4032" t="inlineStr">
        <is>
          <t>IM캐피탈</t>
        </is>
      </c>
      <c r="F4032" t="inlineStr">
        <is>
          <t>최상호</t>
        </is>
      </c>
      <c r="G4032" t="inlineStr">
        <is>
          <t>010-4040-8775</t>
        </is>
      </c>
      <c r="H4032" t="inlineStr">
        <is>
          <t>136러1240</t>
        </is>
      </c>
      <c r="I4032" t="n">
        <v>27000000</v>
      </c>
      <c r="J4032" t="n">
        <v>0.067</v>
      </c>
      <c r="K4032" t="n">
        <v>1.1</v>
      </c>
      <c r="L4032" t="n">
        <v>0.14</v>
      </c>
      <c r="M4032" t="n">
        <v>0.96</v>
      </c>
      <c r="P4032" t="inlineStr">
        <is>
          <t>김수연</t>
        </is>
      </c>
      <c r="Q4032" t="inlineStr">
        <is>
          <t>홈서비스 60개월</t>
        </is>
      </c>
      <c r="AB4032" t="inlineStr">
        <is>
          <t>홈서비스</t>
        </is>
      </c>
      <c r="AC4032" t="n">
        <v>297000</v>
      </c>
      <c r="AD4032" t="n">
        <v>37800</v>
      </c>
      <c r="AE4032" t="n">
        <v>259200</v>
      </c>
      <c r="AF4032" t="n">
        <v>270000</v>
      </c>
      <c r="AG4032" t="n">
        <v>36552.6</v>
      </c>
      <c r="AH4032" t="n">
        <v>233447.4</v>
      </c>
    </row>
    <row r="4033">
      <c r="A4033" t="inlineStr">
        <is>
          <t>5월</t>
        </is>
      </c>
      <c r="B4033" t="inlineStr">
        <is>
          <t>19주차</t>
        </is>
      </c>
      <c r="C4033" t="inlineStr">
        <is>
          <t>EP</t>
        </is>
      </c>
      <c r="D4033" s="28" t="n">
        <v>46148</v>
      </c>
      <c r="E4033" t="inlineStr">
        <is>
          <t>현대EP</t>
        </is>
      </c>
      <c r="F4033" t="inlineStr">
        <is>
          <t>정경재</t>
        </is>
      </c>
      <c r="G4033" t="inlineStr">
        <is>
          <t>010-9360-8043</t>
        </is>
      </c>
      <c r="H4033" t="inlineStr">
        <is>
          <t>359보2782</t>
        </is>
      </c>
      <c r="I4033" t="n">
        <v>12500000</v>
      </c>
      <c r="J4033" t="n">
        <v>0.07099999999999999</v>
      </c>
      <c r="K4033" t="n">
        <v>1.76</v>
      </c>
      <c r="L4033" t="n">
        <v>0.14</v>
      </c>
      <c r="M4033" t="n">
        <v>1.62</v>
      </c>
      <c r="P4033" t="inlineStr">
        <is>
          <t>최형주</t>
        </is>
      </c>
      <c r="AB4033" t="inlineStr">
        <is>
          <t>홈서비스</t>
        </is>
      </c>
      <c r="AC4033" t="n">
        <v>220000</v>
      </c>
      <c r="AD4033" t="n">
        <v>17500</v>
      </c>
      <c r="AE4033" t="n">
        <v>202500</v>
      </c>
      <c r="AF4033" t="n">
        <v>200000</v>
      </c>
      <c r="AG4033" t="n">
        <v>16922.5</v>
      </c>
      <c r="AH4033" t="n">
        <v>183077.5</v>
      </c>
      <c r="AI4033" t="n">
        <v>0</v>
      </c>
    </row>
    <row r="4034">
      <c r="A4034" t="inlineStr">
        <is>
          <t>5월</t>
        </is>
      </c>
      <c r="B4034" t="inlineStr">
        <is>
          <t>19주차</t>
        </is>
      </c>
      <c r="C4034" t="inlineStr">
        <is>
          <t>EP</t>
        </is>
      </c>
      <c r="D4034" s="28" t="n">
        <v>46148</v>
      </c>
      <c r="E4034" t="inlineStr">
        <is>
          <t>현대EP</t>
        </is>
      </c>
      <c r="F4034" t="inlineStr">
        <is>
          <t>최지원</t>
        </is>
      </c>
      <c r="G4034" t="inlineStr">
        <is>
          <t>010-2819-5650</t>
        </is>
      </c>
      <c r="H4034" t="inlineStr">
        <is>
          <t>154거6546</t>
        </is>
      </c>
      <c r="I4034" t="n">
        <v>22300000</v>
      </c>
      <c r="J4034" t="n">
        <v>0.105</v>
      </c>
      <c r="K4034" t="n">
        <v>1.76</v>
      </c>
      <c r="L4034" t="n">
        <v>0.14</v>
      </c>
      <c r="M4034" t="n">
        <v>1.62</v>
      </c>
      <c r="P4034" t="inlineStr">
        <is>
          <t>최형주</t>
        </is>
      </c>
      <c r="AB4034" t="inlineStr">
        <is>
          <t>홈서비스</t>
        </is>
      </c>
      <c r="AC4034" t="n">
        <v>392480</v>
      </c>
      <c r="AD4034" t="n">
        <v>31220</v>
      </c>
      <c r="AE4034" t="n">
        <v>361260</v>
      </c>
      <c r="AF4034" t="n">
        <v>356800</v>
      </c>
      <c r="AG4034" t="n">
        <v>30189.74</v>
      </c>
      <c r="AH4034" t="n">
        <v>326610.26</v>
      </c>
      <c r="AI4034" t="n">
        <v>0</v>
      </c>
    </row>
    <row r="4035">
      <c r="A4035" t="inlineStr">
        <is>
          <t>5월</t>
        </is>
      </c>
      <c r="B4035" t="inlineStr">
        <is>
          <t>19주차</t>
        </is>
      </c>
      <c r="C4035" t="inlineStr">
        <is>
          <t>IM</t>
        </is>
      </c>
      <c r="D4035" s="28" t="n">
        <v>46148</v>
      </c>
      <c r="E4035" t="inlineStr">
        <is>
          <t>IM캐피탈</t>
        </is>
      </c>
      <c r="F4035" t="inlineStr">
        <is>
          <t>강원</t>
        </is>
      </c>
      <c r="G4035" t="inlineStr">
        <is>
          <t>010-8782-9119</t>
        </is>
      </c>
      <c r="H4035" t="inlineStr">
        <is>
          <t>87우0912</t>
        </is>
      </c>
      <c r="I4035" t="n">
        <v>9200000</v>
      </c>
      <c r="J4035" t="n">
        <v>0.049</v>
      </c>
      <c r="K4035" t="n">
        <v>1.1</v>
      </c>
      <c r="L4035" t="n">
        <v>0.4</v>
      </c>
      <c r="M4035" t="n">
        <v>0.7</v>
      </c>
      <c r="P4035" t="inlineStr">
        <is>
          <t>장현경</t>
        </is>
      </c>
      <c r="AB4035" t="inlineStr">
        <is>
          <t>엔카</t>
        </is>
      </c>
      <c r="AC4035" t="n">
        <v>101200</v>
      </c>
      <c r="AD4035" t="n">
        <v>36800</v>
      </c>
      <c r="AE4035" t="n">
        <v>64400</v>
      </c>
      <c r="AF4035" t="n">
        <v>92000</v>
      </c>
      <c r="AG4035" t="n">
        <v>35585.6</v>
      </c>
      <c r="AH4035" t="n">
        <v>56414.4</v>
      </c>
      <c r="AI4035" t="n">
        <v>0</v>
      </c>
    </row>
    <row r="4036">
      <c r="A4036" t="inlineStr">
        <is>
          <t>5월</t>
        </is>
      </c>
      <c r="B4036" t="inlineStr">
        <is>
          <t>19주차</t>
        </is>
      </c>
      <c r="C4036" t="inlineStr">
        <is>
          <t>IM</t>
        </is>
      </c>
      <c r="D4036" s="28" t="n">
        <v>46149</v>
      </c>
      <c r="E4036" t="inlineStr">
        <is>
          <t>IM캐피탈</t>
        </is>
      </c>
      <c r="F4036" t="inlineStr">
        <is>
          <t>김봉수</t>
        </is>
      </c>
      <c r="G4036" t="inlineStr">
        <is>
          <t>010-5560-0688</t>
        </is>
      </c>
      <c r="H4036" t="inlineStr">
        <is>
          <t>131부1968</t>
        </is>
      </c>
      <c r="I4036" t="n">
        <v>41600000</v>
      </c>
      <c r="J4036" t="n">
        <v>0.059</v>
      </c>
      <c r="K4036" t="n">
        <v>1.1</v>
      </c>
      <c r="L4036" t="n">
        <v>0.14</v>
      </c>
      <c r="M4036" t="n">
        <v>0.96</v>
      </c>
      <c r="P4036" t="inlineStr">
        <is>
          <t>장현경</t>
        </is>
      </c>
      <c r="Q4036" t="inlineStr">
        <is>
          <t>선상담 / 홈서비스 60개월 / 부대비용 추가진행</t>
        </is>
      </c>
      <c r="AB4036" t="inlineStr">
        <is>
          <t>홈서비스</t>
        </is>
      </c>
      <c r="AC4036" t="n">
        <v>457600</v>
      </c>
      <c r="AD4036" t="n">
        <v>58240</v>
      </c>
      <c r="AE4036" t="n">
        <v>399360</v>
      </c>
      <c r="AF4036" t="n">
        <v>416000</v>
      </c>
      <c r="AG4036" t="n">
        <v>56318.08</v>
      </c>
      <c r="AH4036" t="n">
        <v>359681.92</v>
      </c>
    </row>
    <row r="4037">
      <c r="A4037" t="inlineStr">
        <is>
          <t>5월</t>
        </is>
      </c>
      <c r="B4037" t="inlineStr">
        <is>
          <t>19주차</t>
        </is>
      </c>
      <c r="C4037" t="inlineStr">
        <is>
          <t>EP</t>
        </is>
      </c>
      <c r="D4037" s="28" t="n">
        <v>46149</v>
      </c>
      <c r="E4037" t="inlineStr">
        <is>
          <t>현대EP_fast</t>
        </is>
      </c>
      <c r="F4037" t="inlineStr">
        <is>
          <t>심재성</t>
        </is>
      </c>
      <c r="G4037" t="inlineStr">
        <is>
          <t>010-4198-7303</t>
        </is>
      </c>
      <c r="H4037" t="inlineStr">
        <is>
          <t>58버7167</t>
        </is>
      </c>
      <c r="I4037" t="n">
        <v>18800000</v>
      </c>
      <c r="J4037" t="n">
        <v>0.075</v>
      </c>
      <c r="K4037" t="n">
        <v>1.76</v>
      </c>
      <c r="L4037" t="n">
        <v>0.14</v>
      </c>
      <c r="M4037" t="n">
        <v>1.62</v>
      </c>
      <c r="P4037" t="inlineStr">
        <is>
          <t>김나윤</t>
        </is>
      </c>
      <c r="Q4037" t="inlineStr">
        <is>
          <t>홈서비스 48개월</t>
        </is>
      </c>
      <c r="AB4037" t="inlineStr">
        <is>
          <t>홈서비스</t>
        </is>
      </c>
      <c r="AC4037" t="n">
        <v>330880</v>
      </c>
      <c r="AD4037" t="n">
        <v>26320</v>
      </c>
      <c r="AE4037" t="n">
        <v>304560</v>
      </c>
      <c r="AF4037" t="n">
        <v>300800</v>
      </c>
      <c r="AG4037" t="n">
        <v>25451.44</v>
      </c>
      <c r="AH4037" t="n">
        <v>275348.56</v>
      </c>
      <c r="AI4037" t="n">
        <v>0</v>
      </c>
    </row>
    <row r="4038">
      <c r="A4038" t="inlineStr">
        <is>
          <t>5월</t>
        </is>
      </c>
      <c r="B4038" t="inlineStr">
        <is>
          <t>19주차</t>
        </is>
      </c>
      <c r="C4038" t="inlineStr">
        <is>
          <t>EP</t>
        </is>
      </c>
      <c r="D4038" s="28" t="n">
        <v>46149</v>
      </c>
      <c r="E4038" t="inlineStr">
        <is>
          <t>현대EP_fast</t>
        </is>
      </c>
      <c r="F4038" t="inlineStr">
        <is>
          <t>김진태</t>
        </is>
      </c>
      <c r="G4038" t="inlineStr">
        <is>
          <t>010-5479-3533</t>
        </is>
      </c>
      <c r="H4038" t="inlineStr">
        <is>
          <t>307주7447</t>
        </is>
      </c>
      <c r="I4038" t="n">
        <v>7500000</v>
      </c>
      <c r="J4038" t="n">
        <v>0.099</v>
      </c>
      <c r="K4038" t="n">
        <v>1.76</v>
      </c>
      <c r="L4038" t="n">
        <v>0.14</v>
      </c>
      <c r="M4038" t="n">
        <v>1.62</v>
      </c>
      <c r="P4038" t="inlineStr">
        <is>
          <t>최형주</t>
        </is>
      </c>
      <c r="Q4038" t="inlineStr">
        <is>
          <t>홈서비스 24개월</t>
        </is>
      </c>
      <c r="AB4038" t="inlineStr">
        <is>
          <t>홈서비스</t>
        </is>
      </c>
      <c r="AC4038" t="n">
        <v>132000</v>
      </c>
      <c r="AD4038" t="n">
        <v>10500</v>
      </c>
      <c r="AE4038" t="n">
        <v>121500</v>
      </c>
      <c r="AF4038" t="n">
        <v>120000</v>
      </c>
      <c r="AG4038" t="n">
        <v>10153.5</v>
      </c>
      <c r="AH4038" t="n">
        <v>109846.5</v>
      </c>
      <c r="AI4038" t="n">
        <v>0</v>
      </c>
    </row>
    <row r="4039">
      <c r="A4039" t="inlineStr">
        <is>
          <t>5월</t>
        </is>
      </c>
      <c r="B4039" t="inlineStr">
        <is>
          <t>19주차</t>
        </is>
      </c>
      <c r="C4039" t="inlineStr">
        <is>
          <t>EP</t>
        </is>
      </c>
      <c r="D4039" s="28" t="n">
        <v>46149</v>
      </c>
      <c r="E4039" t="inlineStr">
        <is>
          <t>현대EP_fast</t>
        </is>
      </c>
      <c r="F4039" t="inlineStr">
        <is>
          <t>장병인</t>
        </is>
      </c>
      <c r="G4039" t="inlineStr">
        <is>
          <t>010-5636-5392</t>
        </is>
      </c>
      <c r="H4039" t="inlineStr">
        <is>
          <t>69부9795</t>
        </is>
      </c>
      <c r="I4039" t="n">
        <v>14500000</v>
      </c>
      <c r="J4039" t="n">
        <v>0.105</v>
      </c>
      <c r="K4039" t="n">
        <v>1.76</v>
      </c>
      <c r="L4039" t="n">
        <v>0.14</v>
      </c>
      <c r="M4039" t="n">
        <v>1.62</v>
      </c>
      <c r="P4039" t="inlineStr">
        <is>
          <t>황채이</t>
        </is>
      </c>
      <c r="Q4039" t="inlineStr">
        <is>
          <t>홈서비스 60개월</t>
        </is>
      </c>
      <c r="AB4039" t="inlineStr">
        <is>
          <t>홈서비스</t>
        </is>
      </c>
      <c r="AC4039" t="n">
        <v>255200</v>
      </c>
      <c r="AD4039" t="n">
        <v>20300</v>
      </c>
      <c r="AE4039" t="n">
        <v>234900</v>
      </c>
      <c r="AF4039" t="n">
        <v>232000</v>
      </c>
      <c r="AG4039" t="n">
        <v>19630.1</v>
      </c>
      <c r="AH4039" t="n">
        <v>212369.9</v>
      </c>
      <c r="AI4039" t="n">
        <v>0</v>
      </c>
    </row>
    <row r="4040">
      <c r="A4040" t="inlineStr">
        <is>
          <t>5월</t>
        </is>
      </c>
      <c r="B4040" t="inlineStr">
        <is>
          <t>19주차</t>
        </is>
      </c>
      <c r="C4040" t="inlineStr">
        <is>
          <t>IM</t>
        </is>
      </c>
      <c r="D4040" s="28" t="n">
        <v>46149</v>
      </c>
      <c r="E4040" t="inlineStr">
        <is>
          <t>IM캐피탈</t>
        </is>
      </c>
      <c r="F4040" t="inlineStr">
        <is>
          <t>김가빈</t>
        </is>
      </c>
      <c r="G4040" t="inlineStr">
        <is>
          <t>010-3945-1818</t>
        </is>
      </c>
      <c r="H4040" t="inlineStr">
        <is>
          <t>49버4255</t>
        </is>
      </c>
      <c r="I4040" t="n">
        <v>20000000</v>
      </c>
      <c r="J4040" t="n">
        <v>0.059</v>
      </c>
      <c r="K4040" t="n">
        <v>1.1</v>
      </c>
      <c r="L4040" t="n">
        <v>0.14</v>
      </c>
      <c r="M4040" t="n">
        <v>0.96</v>
      </c>
      <c r="P4040" t="inlineStr">
        <is>
          <t>황채이</t>
        </is>
      </c>
      <c r="Q4040" t="inlineStr">
        <is>
          <t>홈서비스 60개월 / 공동명의</t>
        </is>
      </c>
      <c r="AB4040" t="inlineStr">
        <is>
          <t>홈서비스</t>
        </is>
      </c>
      <c r="AC4040" t="n">
        <v>220000</v>
      </c>
      <c r="AD4040" t="n">
        <v>28000</v>
      </c>
      <c r="AE4040" t="n">
        <v>192000</v>
      </c>
      <c r="AF4040" t="n">
        <v>200000</v>
      </c>
      <c r="AG4040" t="n">
        <v>27076</v>
      </c>
      <c r="AH4040" t="n">
        <v>172924</v>
      </c>
      <c r="AI4040" t="n">
        <v>0</v>
      </c>
    </row>
    <row r="4041">
      <c r="A4041" t="inlineStr">
        <is>
          <t>5월</t>
        </is>
      </c>
      <c r="B4041" t="inlineStr">
        <is>
          <t>19주차</t>
        </is>
      </c>
      <c r="C4041" t="inlineStr">
        <is>
          <t>EP</t>
        </is>
      </c>
      <c r="D4041" s="28" t="n">
        <v>46149</v>
      </c>
      <c r="E4041" t="inlineStr">
        <is>
          <t>현대EP_fast</t>
        </is>
      </c>
      <c r="F4041" t="inlineStr">
        <is>
          <t>조예솔</t>
        </is>
      </c>
      <c r="G4041" t="inlineStr">
        <is>
          <t>010-3587-7480</t>
        </is>
      </c>
      <c r="H4041" t="inlineStr">
        <is>
          <t>109거6229</t>
        </is>
      </c>
      <c r="I4041" t="n">
        <v>20600000</v>
      </c>
      <c r="J4041" t="n">
        <v>0.062</v>
      </c>
      <c r="K4041" t="n">
        <v>1.76</v>
      </c>
      <c r="L4041" t="n">
        <v>0.14</v>
      </c>
      <c r="M4041" t="n">
        <v>1.62</v>
      </c>
      <c r="P4041" t="inlineStr">
        <is>
          <t>황채이</t>
        </is>
      </c>
      <c r="Q4041" t="inlineStr">
        <is>
          <t>홈서비스 60개월</t>
        </is>
      </c>
      <c r="AB4041" t="inlineStr">
        <is>
          <t>홈서비스</t>
        </is>
      </c>
      <c r="AC4041" t="n">
        <v>362560</v>
      </c>
      <c r="AD4041" t="n">
        <v>28840</v>
      </c>
      <c r="AE4041" t="n">
        <v>333720</v>
      </c>
      <c r="AF4041" t="n">
        <v>329600</v>
      </c>
      <c r="AG4041" t="n">
        <v>27888.28</v>
      </c>
      <c r="AH4041" t="n">
        <v>301711.72</v>
      </c>
      <c r="AI4041" t="n">
        <v>0</v>
      </c>
    </row>
    <row r="4042">
      <c r="A4042" t="inlineStr">
        <is>
          <t>5월</t>
        </is>
      </c>
      <c r="B4042" t="inlineStr">
        <is>
          <t>19주차</t>
        </is>
      </c>
      <c r="C4042" t="inlineStr">
        <is>
          <t>EP</t>
        </is>
      </c>
      <c r="D4042" s="28" t="n">
        <v>46149</v>
      </c>
      <c r="E4042" t="inlineStr">
        <is>
          <t>현대EP_fast</t>
        </is>
      </c>
      <c r="F4042" t="inlineStr">
        <is>
          <t>유진영</t>
        </is>
      </c>
      <c r="G4042" t="inlineStr">
        <is>
          <t>010-5819-7268</t>
        </is>
      </c>
      <c r="H4042" t="inlineStr">
        <is>
          <t>350거5668</t>
        </is>
      </c>
      <c r="I4042" t="n">
        <v>44300000</v>
      </c>
      <c r="J4042" t="n">
        <v>0.08799999999999999</v>
      </c>
      <c r="K4042" t="n">
        <v>1.76</v>
      </c>
      <c r="L4042" t="n">
        <v>0.14</v>
      </c>
      <c r="M4042" t="n">
        <v>1.62</v>
      </c>
      <c r="P4042" t="inlineStr">
        <is>
          <t>김수연</t>
        </is>
      </c>
      <c r="Q4042" t="inlineStr">
        <is>
          <t>홈서비스 60개월</t>
        </is>
      </c>
      <c r="AB4042" t="inlineStr">
        <is>
          <t>홈서비스</t>
        </is>
      </c>
      <c r="AC4042" t="n">
        <v>779680</v>
      </c>
      <c r="AD4042" t="n">
        <v>62020</v>
      </c>
      <c r="AE4042" t="n">
        <v>717660</v>
      </c>
      <c r="AF4042" t="n">
        <v>708800</v>
      </c>
      <c r="AG4042" t="n">
        <v>59973.34</v>
      </c>
      <c r="AH4042" t="n">
        <v>648826.66</v>
      </c>
      <c r="AI4042" t="n">
        <v>0</v>
      </c>
    </row>
    <row r="4043">
      <c r="A4043" t="inlineStr">
        <is>
          <t>5월</t>
        </is>
      </c>
      <c r="B4043" t="inlineStr">
        <is>
          <t>19주차</t>
        </is>
      </c>
      <c r="C4043" t="inlineStr">
        <is>
          <t>EP</t>
        </is>
      </c>
      <c r="D4043" s="28" t="n">
        <v>46149</v>
      </c>
      <c r="E4043" t="inlineStr">
        <is>
          <t>현대EP_fast</t>
        </is>
      </c>
      <c r="F4043" t="inlineStr">
        <is>
          <t>김미숙</t>
        </is>
      </c>
      <c r="G4043" t="inlineStr">
        <is>
          <t>010-9393-9534</t>
        </is>
      </c>
      <c r="H4043" t="inlineStr">
        <is>
          <t>316노6400</t>
        </is>
      </c>
      <c r="I4043" t="n">
        <v>18500000</v>
      </c>
      <c r="J4043" t="n">
        <v>0.062</v>
      </c>
      <c r="K4043" t="n">
        <v>1.76</v>
      </c>
      <c r="L4043" t="n">
        <v>0.14</v>
      </c>
      <c r="M4043" t="n">
        <v>1.62</v>
      </c>
      <c r="P4043" t="inlineStr">
        <is>
          <t>최형주</t>
        </is>
      </c>
      <c r="Q4043" t="inlineStr">
        <is>
          <t>홈서비스 36개월</t>
        </is>
      </c>
      <c r="AB4043" t="inlineStr">
        <is>
          <t>홈서비스</t>
        </is>
      </c>
      <c r="AC4043" t="n">
        <v>325600</v>
      </c>
      <c r="AD4043" t="n">
        <v>25900</v>
      </c>
      <c r="AE4043" t="n">
        <v>299700</v>
      </c>
      <c r="AF4043" t="n">
        <v>296000</v>
      </c>
      <c r="AG4043" t="n">
        <v>25045.3</v>
      </c>
      <c r="AH4043" t="n">
        <v>270954.7</v>
      </c>
    </row>
    <row r="4044">
      <c r="A4044" t="inlineStr">
        <is>
          <t>5월</t>
        </is>
      </c>
      <c r="B4044" t="inlineStr">
        <is>
          <t>19주차</t>
        </is>
      </c>
      <c r="C4044" t="inlineStr">
        <is>
          <t>EP</t>
        </is>
      </c>
      <c r="D4044" s="28" t="n">
        <v>46149</v>
      </c>
      <c r="E4044" t="inlineStr">
        <is>
          <t>현대EP_fast</t>
        </is>
      </c>
      <c r="F4044" t="inlineStr">
        <is>
          <t>이도현</t>
        </is>
      </c>
      <c r="G4044" t="inlineStr">
        <is>
          <t>010-9880-2459</t>
        </is>
      </c>
      <c r="H4044" t="inlineStr">
        <is>
          <t>09구0988</t>
        </is>
      </c>
      <c r="I4044" t="n">
        <v>10000000</v>
      </c>
      <c r="J4044" t="n">
        <v>0.129</v>
      </c>
      <c r="K4044" t="n">
        <v>1.76</v>
      </c>
      <c r="L4044" t="n">
        <v>0.14</v>
      </c>
      <c r="M4044" t="n">
        <v>1.62</v>
      </c>
      <c r="P4044" t="inlineStr">
        <is>
          <t>김나윤</t>
        </is>
      </c>
      <c r="Q4044" t="inlineStr">
        <is>
          <t>홈서비스 48개월</t>
        </is>
      </c>
      <c r="AB4044" t="inlineStr">
        <is>
          <t>홈서비스</t>
        </is>
      </c>
      <c r="AC4044" t="n">
        <v>176000</v>
      </c>
      <c r="AD4044" t="n">
        <v>14000</v>
      </c>
      <c r="AE4044" t="n">
        <v>162000</v>
      </c>
      <c r="AF4044" t="n">
        <v>160000</v>
      </c>
      <c r="AG4044" t="n">
        <v>13538</v>
      </c>
      <c r="AH4044" t="n">
        <v>146462</v>
      </c>
      <c r="AI4044" t="n">
        <v>0</v>
      </c>
    </row>
    <row r="4045">
      <c r="A4045" t="inlineStr">
        <is>
          <t>5월</t>
        </is>
      </c>
      <c r="B4045" t="inlineStr">
        <is>
          <t>19주차</t>
        </is>
      </c>
      <c r="C4045" t="inlineStr">
        <is>
          <t>EP</t>
        </is>
      </c>
      <c r="D4045" s="28" t="n">
        <v>46149</v>
      </c>
      <c r="E4045" t="inlineStr">
        <is>
          <t>현대EP_fast</t>
        </is>
      </c>
      <c r="F4045" t="inlineStr">
        <is>
          <t>우민혁</t>
        </is>
      </c>
      <c r="G4045" t="inlineStr">
        <is>
          <t>010-8228-9833</t>
        </is>
      </c>
      <c r="H4045" t="inlineStr">
        <is>
          <t>289마3258</t>
        </is>
      </c>
      <c r="I4045" t="n">
        <v>10300000</v>
      </c>
      <c r="J4045" t="n">
        <v>0.074</v>
      </c>
      <c r="K4045" t="n">
        <v>1.76</v>
      </c>
      <c r="L4045" t="n">
        <v>0.14</v>
      </c>
      <c r="M4045" t="n">
        <v>1.62</v>
      </c>
      <c r="P4045" t="inlineStr">
        <is>
          <t>김나윤</t>
        </is>
      </c>
      <c r="Q4045" t="inlineStr">
        <is>
          <t>홈서비스 24개월</t>
        </is>
      </c>
      <c r="AB4045" t="inlineStr">
        <is>
          <t>홈서비스</t>
        </is>
      </c>
      <c r="AC4045" t="n">
        <v>181280</v>
      </c>
      <c r="AD4045" t="n">
        <v>14420</v>
      </c>
      <c r="AE4045" t="n">
        <v>166860</v>
      </c>
      <c r="AF4045" t="n">
        <v>164800</v>
      </c>
      <c r="AG4045" t="n">
        <v>13944.14</v>
      </c>
      <c r="AH4045" t="n">
        <v>150855.86</v>
      </c>
      <c r="AI4045" t="n">
        <v>0</v>
      </c>
    </row>
    <row r="4046">
      <c r="A4046" t="inlineStr">
        <is>
          <t>5월</t>
        </is>
      </c>
      <c r="B4046" t="inlineStr">
        <is>
          <t>19주차</t>
        </is>
      </c>
      <c r="C4046" t="inlineStr">
        <is>
          <t>EP</t>
        </is>
      </c>
      <c r="D4046" s="28" t="n">
        <v>46149</v>
      </c>
      <c r="E4046" t="inlineStr">
        <is>
          <t>현대EP_fast</t>
        </is>
      </c>
      <c r="F4046" t="inlineStr">
        <is>
          <t>김기량</t>
        </is>
      </c>
      <c r="G4046" t="inlineStr">
        <is>
          <t>010-6232-7757</t>
        </is>
      </c>
      <c r="H4046" t="inlineStr">
        <is>
          <t>62저0434</t>
        </is>
      </c>
      <c r="I4046" t="n">
        <v>14000000</v>
      </c>
      <c r="J4046" t="n">
        <v>0.06900000000000001</v>
      </c>
      <c r="K4046" t="n">
        <v>1.76</v>
      </c>
      <c r="L4046" t="n">
        <v>0.14</v>
      </c>
      <c r="M4046" t="n">
        <v>1.62</v>
      </c>
      <c r="P4046" t="inlineStr">
        <is>
          <t>김나윤</t>
        </is>
      </c>
      <c r="Q4046" t="inlineStr">
        <is>
          <t>홈서비스 48개월</t>
        </is>
      </c>
      <c r="AB4046" t="inlineStr">
        <is>
          <t>홈서비스</t>
        </is>
      </c>
      <c r="AC4046" t="n">
        <v>246400</v>
      </c>
      <c r="AD4046" t="n">
        <v>19600</v>
      </c>
      <c r="AE4046" t="n">
        <v>226800</v>
      </c>
      <c r="AF4046" t="n">
        <v>224000</v>
      </c>
      <c r="AG4046" t="n">
        <v>18953.2</v>
      </c>
      <c r="AH4046" t="n">
        <v>205046.8</v>
      </c>
    </row>
    <row r="4047">
      <c r="A4047" t="inlineStr">
        <is>
          <t>5월</t>
        </is>
      </c>
      <c r="B4047" t="inlineStr">
        <is>
          <t>19주차</t>
        </is>
      </c>
      <c r="C4047" t="inlineStr">
        <is>
          <t>EP</t>
        </is>
      </c>
      <c r="D4047" s="28" t="n">
        <v>46149</v>
      </c>
      <c r="E4047" t="inlineStr">
        <is>
          <t>BNKEP</t>
        </is>
      </c>
      <c r="F4047" t="inlineStr">
        <is>
          <t>정성태</t>
        </is>
      </c>
      <c r="G4047" t="inlineStr">
        <is>
          <t>010-4458-1644</t>
        </is>
      </c>
      <c r="H4047" t="inlineStr">
        <is>
          <t>249오3744</t>
        </is>
      </c>
      <c r="I4047" t="n">
        <v>29200000</v>
      </c>
      <c r="J4047" t="n">
        <v>0.061</v>
      </c>
      <c r="K4047" t="n">
        <v>1.65</v>
      </c>
      <c r="L4047" t="n">
        <v>0.14</v>
      </c>
      <c r="M4047" t="n">
        <v>1.51</v>
      </c>
      <c r="P4047" t="inlineStr">
        <is>
          <t>장현경</t>
        </is>
      </c>
      <c r="Q4047" t="inlineStr">
        <is>
          <t>선상담 / 홈서비스 36개월</t>
        </is>
      </c>
      <c r="AB4047" t="inlineStr">
        <is>
          <t>홈서비스</t>
        </is>
      </c>
      <c r="AC4047" t="n">
        <v>481800</v>
      </c>
      <c r="AD4047" t="n">
        <v>40880</v>
      </c>
      <c r="AE4047" t="n">
        <v>440920</v>
      </c>
      <c r="AF4047" t="n">
        <v>438000</v>
      </c>
      <c r="AG4047" t="n">
        <v>39530.96</v>
      </c>
      <c r="AH4047" t="n">
        <v>398469.04</v>
      </c>
    </row>
    <row r="4048">
      <c r="A4048" t="inlineStr">
        <is>
          <t>5월</t>
        </is>
      </c>
      <c r="B4048" t="inlineStr">
        <is>
          <t>19주차</t>
        </is>
      </c>
      <c r="C4048" t="inlineStr">
        <is>
          <t>HC</t>
        </is>
      </c>
      <c r="D4048" s="28" t="n">
        <v>46149</v>
      </c>
      <c r="E4048" t="inlineStr">
        <is>
          <t>하나캐피탈</t>
        </is>
      </c>
      <c r="F4048" t="inlineStr">
        <is>
          <t>오태옥</t>
        </is>
      </c>
      <c r="G4048" t="inlineStr">
        <is>
          <t>010-5171-4408</t>
        </is>
      </c>
      <c r="H4048" t="inlineStr">
        <is>
          <t>53무6962</t>
        </is>
      </c>
      <c r="I4048" t="n">
        <v>21000000</v>
      </c>
      <c r="J4048" t="n">
        <v>0.065</v>
      </c>
      <c r="K4048" t="n">
        <v>2.2</v>
      </c>
      <c r="L4048" t="n">
        <v>0.14</v>
      </c>
      <c r="M4048" t="n">
        <v>2.06</v>
      </c>
      <c r="P4048" t="inlineStr">
        <is>
          <t>정세빈</t>
        </is>
      </c>
      <c r="Q4048" t="inlineStr">
        <is>
          <t>홈서비스 60개월</t>
        </is>
      </c>
      <c r="AB4048" t="inlineStr">
        <is>
          <t>홈서비스</t>
        </is>
      </c>
      <c r="AC4048" t="n">
        <v>462000</v>
      </c>
      <c r="AD4048" t="n">
        <v>29400</v>
      </c>
      <c r="AE4048" t="n">
        <v>432600</v>
      </c>
      <c r="AF4048" t="n">
        <v>420000</v>
      </c>
      <c r="AG4048" t="n">
        <v>28429.8</v>
      </c>
      <c r="AH4048" t="n">
        <v>391570.2</v>
      </c>
    </row>
    <row r="4049">
      <c r="A4049" t="inlineStr">
        <is>
          <t>5월</t>
        </is>
      </c>
      <c r="B4049" t="inlineStr">
        <is>
          <t>19주차</t>
        </is>
      </c>
      <c r="C4049" t="inlineStr">
        <is>
          <t>EP</t>
        </is>
      </c>
      <c r="D4049" s="28" t="n">
        <v>46148</v>
      </c>
      <c r="E4049" t="inlineStr">
        <is>
          <t>제이비EP</t>
        </is>
      </c>
      <c r="F4049" t="inlineStr">
        <is>
          <t>박주희</t>
        </is>
      </c>
      <c r="G4049" t="inlineStr">
        <is>
          <t>010-8001-1455</t>
        </is>
      </c>
      <c r="H4049" t="inlineStr">
        <is>
          <t>32무2136</t>
        </is>
      </c>
      <c r="I4049" t="n">
        <v>18000000</v>
      </c>
      <c r="J4049" t="n">
        <v>0.081</v>
      </c>
      <c r="K4049" t="n">
        <v>1.65</v>
      </c>
      <c r="L4049" t="n">
        <v>0.4</v>
      </c>
      <c r="M4049" t="n">
        <v>1.25</v>
      </c>
      <c r="P4049" t="inlineStr">
        <is>
          <t>박현민</t>
        </is>
      </c>
      <c r="AB4049" t="inlineStr">
        <is>
          <t>엔카</t>
        </is>
      </c>
      <c r="AC4049" t="n">
        <v>297000</v>
      </c>
      <c r="AD4049" t="n">
        <v>72000</v>
      </c>
      <c r="AE4049" t="n">
        <v>225000</v>
      </c>
      <c r="AF4049" t="n">
        <v>270000</v>
      </c>
      <c r="AG4049" t="n">
        <v>69624</v>
      </c>
      <c r="AH4049" t="n">
        <v>200376</v>
      </c>
    </row>
    <row r="4050">
      <c r="A4050" t="inlineStr">
        <is>
          <t>5월</t>
        </is>
      </c>
      <c r="B4050" t="inlineStr">
        <is>
          <t>19주차</t>
        </is>
      </c>
      <c r="C4050" t="inlineStr">
        <is>
          <t>EP</t>
        </is>
      </c>
      <c r="D4050" s="28" t="n">
        <v>46149</v>
      </c>
      <c r="E4050" t="inlineStr">
        <is>
          <t>현대EP_fast</t>
        </is>
      </c>
      <c r="F4050" t="inlineStr">
        <is>
          <t>정준기</t>
        </is>
      </c>
      <c r="G4050" t="inlineStr">
        <is>
          <t>010-9207-8563</t>
        </is>
      </c>
      <c r="H4050" t="inlineStr">
        <is>
          <t>110나9451</t>
        </is>
      </c>
      <c r="I4050" t="n">
        <v>12500000</v>
      </c>
      <c r="J4050" t="n">
        <v>0.08500000000000001</v>
      </c>
      <c r="K4050" t="n">
        <v>1.76</v>
      </c>
      <c r="L4050" t="n">
        <v>0.14</v>
      </c>
      <c r="M4050" t="n">
        <v>1.62</v>
      </c>
      <c r="P4050" t="inlineStr">
        <is>
          <t>최형주</t>
        </is>
      </c>
      <c r="Q4050" t="inlineStr">
        <is>
          <t>홈서비스 24개월</t>
        </is>
      </c>
      <c r="AB4050" t="inlineStr">
        <is>
          <t>홈서비스</t>
        </is>
      </c>
      <c r="AC4050" t="n">
        <v>220000</v>
      </c>
      <c r="AD4050" t="n">
        <v>17500</v>
      </c>
      <c r="AE4050" t="n">
        <v>202500</v>
      </c>
      <c r="AF4050" t="n">
        <v>200000</v>
      </c>
      <c r="AG4050" t="n">
        <v>16922.5</v>
      </c>
      <c r="AH4050" t="n">
        <v>183077.5</v>
      </c>
    </row>
    <row r="4051">
      <c r="A4051" t="inlineStr">
        <is>
          <t>5월</t>
        </is>
      </c>
      <c r="B4051" t="inlineStr">
        <is>
          <t>19주차</t>
        </is>
      </c>
      <c r="C4051" t="inlineStr">
        <is>
          <t>EP</t>
        </is>
      </c>
      <c r="D4051" s="28" t="n">
        <v>46149</v>
      </c>
      <c r="E4051" t="inlineStr">
        <is>
          <t>현대EP_fast</t>
        </is>
      </c>
      <c r="F4051" t="inlineStr">
        <is>
          <t>최건우</t>
        </is>
      </c>
      <c r="G4051" t="inlineStr">
        <is>
          <t>010-4242-1299</t>
        </is>
      </c>
      <c r="H4051" t="inlineStr">
        <is>
          <t>324주5069</t>
        </is>
      </c>
      <c r="I4051" t="n">
        <v>14300000</v>
      </c>
      <c r="J4051" t="n">
        <v>0.089</v>
      </c>
      <c r="K4051" t="n">
        <v>1.76</v>
      </c>
      <c r="L4051" t="n">
        <v>0.14</v>
      </c>
      <c r="M4051" t="n">
        <v>1.62</v>
      </c>
      <c r="P4051" t="inlineStr">
        <is>
          <t>정세빈</t>
        </is>
      </c>
      <c r="Q4051" t="inlineStr">
        <is>
          <t>홈서비스 60개월</t>
        </is>
      </c>
      <c r="AB4051" t="inlineStr">
        <is>
          <t>홈서비스</t>
        </is>
      </c>
      <c r="AC4051" t="n">
        <v>251680</v>
      </c>
      <c r="AD4051" t="n">
        <v>20020</v>
      </c>
      <c r="AE4051" t="n">
        <v>231660</v>
      </c>
      <c r="AF4051" t="n">
        <v>228800</v>
      </c>
      <c r="AG4051" t="n">
        <v>19359.34</v>
      </c>
      <c r="AH4051" t="n">
        <v>209440.66</v>
      </c>
    </row>
    <row r="4052">
      <c r="A4052" t="inlineStr">
        <is>
          <t>5월</t>
        </is>
      </c>
      <c r="B4052" t="inlineStr">
        <is>
          <t>19주차</t>
        </is>
      </c>
      <c r="C4052" t="inlineStr">
        <is>
          <t>EP</t>
        </is>
      </c>
      <c r="D4052" s="28" t="n">
        <v>46146</v>
      </c>
      <c r="E4052" t="inlineStr">
        <is>
          <t>BNKEP</t>
        </is>
      </c>
      <c r="F4052" t="inlineStr">
        <is>
          <t>장동원</t>
        </is>
      </c>
      <c r="G4052" t="inlineStr">
        <is>
          <t>010-2430-2660</t>
        </is>
      </c>
      <c r="H4052" t="inlineStr">
        <is>
          <t>117다8367</t>
        </is>
      </c>
      <c r="I4052" t="n">
        <v>24000000</v>
      </c>
      <c r="J4052" t="n">
        <v>0.08599999999999999</v>
      </c>
      <c r="K4052" t="n">
        <v>1.65</v>
      </c>
      <c r="L4052" t="n">
        <v>0.4</v>
      </c>
      <c r="M4052" t="n">
        <v>1.25</v>
      </c>
      <c r="P4052" t="inlineStr">
        <is>
          <t>박보람</t>
        </is>
      </c>
      <c r="AB4052" t="inlineStr">
        <is>
          <t>엔카</t>
        </is>
      </c>
      <c r="AC4052" t="n">
        <v>396000</v>
      </c>
      <c r="AD4052" t="n">
        <v>96000</v>
      </c>
      <c r="AE4052" t="n">
        <v>300000</v>
      </c>
      <c r="AF4052" t="n">
        <v>360000</v>
      </c>
      <c r="AG4052" t="n">
        <v>92832</v>
      </c>
      <c r="AH4052" t="n">
        <v>267168</v>
      </c>
    </row>
    <row r="4053">
      <c r="A4053" t="inlineStr">
        <is>
          <t>5월</t>
        </is>
      </c>
      <c r="B4053" t="inlineStr">
        <is>
          <t>19주차</t>
        </is>
      </c>
      <c r="C4053" t="inlineStr">
        <is>
          <t>IM</t>
        </is>
      </c>
      <c r="D4053" s="28" t="n">
        <v>46149</v>
      </c>
      <c r="E4053" t="inlineStr">
        <is>
          <t>IM캐피탈</t>
        </is>
      </c>
      <c r="F4053" t="inlineStr">
        <is>
          <t>김동연</t>
        </is>
      </c>
      <c r="G4053" t="inlineStr">
        <is>
          <t>010-2123-6160</t>
        </is>
      </c>
      <c r="H4053" t="inlineStr">
        <is>
          <t>65다1599</t>
        </is>
      </c>
      <c r="I4053" t="n">
        <v>27000000</v>
      </c>
      <c r="J4053" t="n">
        <v>0.045</v>
      </c>
      <c r="K4053" t="n">
        <v>1.1</v>
      </c>
      <c r="L4053" t="n">
        <v>0.14</v>
      </c>
      <c r="M4053" t="n">
        <v>0.96</v>
      </c>
      <c r="P4053" t="inlineStr">
        <is>
          <t>정세빈</t>
        </is>
      </c>
      <c r="Q4053" t="inlineStr">
        <is>
          <t>홈서비스 36개월</t>
        </is>
      </c>
      <c r="AB4053" t="inlineStr">
        <is>
          <t>홈서비스</t>
        </is>
      </c>
      <c r="AC4053" t="n">
        <v>297000</v>
      </c>
      <c r="AD4053" t="n">
        <v>37800</v>
      </c>
      <c r="AE4053" t="n">
        <v>259200</v>
      </c>
      <c r="AF4053" t="n">
        <v>270000</v>
      </c>
      <c r="AG4053" t="n">
        <v>36552.6</v>
      </c>
      <c r="AH4053" t="n">
        <v>233447.4</v>
      </c>
    </row>
    <row r="4054">
      <c r="A4054" t="inlineStr">
        <is>
          <t>5월</t>
        </is>
      </c>
      <c r="B4054" t="inlineStr">
        <is>
          <t>19주차</t>
        </is>
      </c>
      <c r="C4054" t="inlineStr">
        <is>
          <t>EP</t>
        </is>
      </c>
      <c r="D4054" s="28" t="n">
        <v>46149</v>
      </c>
      <c r="E4054" t="inlineStr">
        <is>
          <t>현대EP_fast</t>
        </is>
      </c>
      <c r="F4054" t="inlineStr">
        <is>
          <t>김창환</t>
        </is>
      </c>
      <c r="G4054" t="inlineStr">
        <is>
          <t>010-2759-2783</t>
        </is>
      </c>
      <c r="H4054" t="inlineStr">
        <is>
          <t>233고7136</t>
        </is>
      </c>
      <c r="I4054" t="n">
        <v>20000000</v>
      </c>
      <c r="J4054" t="n">
        <v>0.06900000000000001</v>
      </c>
      <c r="K4054" t="n">
        <v>1.76</v>
      </c>
      <c r="L4054" t="n">
        <v>0.14</v>
      </c>
      <c r="M4054" t="n">
        <v>1.62</v>
      </c>
      <c r="P4054" t="inlineStr">
        <is>
          <t>정세빈</t>
        </is>
      </c>
      <c r="Q4054" t="inlineStr">
        <is>
          <t>홈서비스 48개월</t>
        </is>
      </c>
      <c r="AB4054" t="inlineStr">
        <is>
          <t>홈서비스</t>
        </is>
      </c>
      <c r="AC4054" t="n">
        <v>352000</v>
      </c>
      <c r="AD4054" t="n">
        <v>28000</v>
      </c>
      <c r="AE4054" t="n">
        <v>324000</v>
      </c>
      <c r="AF4054" t="n">
        <v>320000</v>
      </c>
      <c r="AG4054" t="n">
        <v>27076</v>
      </c>
      <c r="AH4054" t="n">
        <v>292924</v>
      </c>
      <c r="AI4054" t="n">
        <v>0</v>
      </c>
    </row>
    <row r="4055">
      <c r="A4055" t="inlineStr">
        <is>
          <t>5월</t>
        </is>
      </c>
      <c r="B4055" t="inlineStr">
        <is>
          <t>19주차</t>
        </is>
      </c>
      <c r="C4055" t="inlineStr">
        <is>
          <t>EP</t>
        </is>
      </c>
      <c r="D4055" s="28" t="n">
        <v>46148</v>
      </c>
      <c r="E4055" t="inlineStr">
        <is>
          <t>현대EP</t>
        </is>
      </c>
      <c r="F4055" t="inlineStr">
        <is>
          <t>김태완</t>
        </is>
      </c>
      <c r="G4055" t="inlineStr">
        <is>
          <t>010-6817-1256</t>
        </is>
      </c>
      <c r="H4055" t="inlineStr">
        <is>
          <t>63루7026</t>
        </is>
      </c>
      <c r="I4055" t="n">
        <v>3000000</v>
      </c>
      <c r="J4055" t="n">
        <v>0.092</v>
      </c>
      <c r="K4055" t="n">
        <v>1.76</v>
      </c>
      <c r="L4055" t="n">
        <v>0.14</v>
      </c>
      <c r="M4055" t="n">
        <v>1.62</v>
      </c>
      <c r="P4055" t="inlineStr">
        <is>
          <t>최혁</t>
        </is>
      </c>
      <c r="AB4055" t="inlineStr">
        <is>
          <t>홈서비스</t>
        </is>
      </c>
      <c r="AC4055" t="n">
        <v>52800</v>
      </c>
      <c r="AD4055" t="n">
        <v>4200</v>
      </c>
      <c r="AE4055" t="n">
        <v>48600</v>
      </c>
      <c r="AF4055" t="n">
        <v>48000</v>
      </c>
      <c r="AG4055" t="n">
        <v>4061.4</v>
      </c>
      <c r="AH4055" t="n">
        <v>43938.6</v>
      </c>
      <c r="AI4055" t="n">
        <v>0</v>
      </c>
    </row>
    <row r="4056">
      <c r="A4056" t="inlineStr">
        <is>
          <t>5월</t>
        </is>
      </c>
      <c r="B4056" t="inlineStr">
        <is>
          <t>19주차</t>
        </is>
      </c>
      <c r="C4056" t="inlineStr">
        <is>
          <t>IM</t>
        </is>
      </c>
      <c r="D4056" s="28" t="n">
        <v>46147</v>
      </c>
      <c r="E4056" t="inlineStr">
        <is>
          <t>IM캐피탈</t>
        </is>
      </c>
      <c r="F4056" t="inlineStr">
        <is>
          <t>이성국</t>
        </is>
      </c>
      <c r="G4056" t="inlineStr">
        <is>
          <t>010-5430-0612</t>
        </is>
      </c>
      <c r="H4056" t="inlineStr">
        <is>
          <t>283조5633</t>
        </is>
      </c>
      <c r="I4056" t="n">
        <v>26000000</v>
      </c>
      <c r="J4056" t="n">
        <v>0.045</v>
      </c>
      <c r="K4056" t="n">
        <v>1.1</v>
      </c>
      <c r="L4056" t="n">
        <v>0.4</v>
      </c>
      <c r="M4056" t="n">
        <v>0.7</v>
      </c>
      <c r="P4056" t="inlineStr">
        <is>
          <t>구성완</t>
        </is>
      </c>
      <c r="Q4056" t="inlineStr">
        <is>
          <t>공동명의</t>
        </is>
      </c>
      <c r="AB4056" t="inlineStr">
        <is>
          <t>엔카</t>
        </is>
      </c>
      <c r="AC4056" t="n">
        <v>286000</v>
      </c>
      <c r="AD4056" t="n">
        <v>104000</v>
      </c>
      <c r="AE4056" t="n">
        <v>182000</v>
      </c>
      <c r="AF4056" t="n">
        <v>260000</v>
      </c>
      <c r="AG4056" t="n">
        <v>100568</v>
      </c>
      <c r="AH4056" t="n">
        <v>159432</v>
      </c>
      <c r="AI4056" t="n">
        <v>0</v>
      </c>
    </row>
    <row r="4057">
      <c r="A4057" t="inlineStr">
        <is>
          <t>5월</t>
        </is>
      </c>
      <c r="B4057" t="inlineStr">
        <is>
          <t>19주차</t>
        </is>
      </c>
      <c r="C4057" t="inlineStr">
        <is>
          <t>HC</t>
        </is>
      </c>
      <c r="D4057" s="28" t="n">
        <v>46149</v>
      </c>
      <c r="E4057" t="inlineStr">
        <is>
          <t>하나캐피탈</t>
        </is>
      </c>
      <c r="F4057" t="inlineStr">
        <is>
          <t>문자연</t>
        </is>
      </c>
      <c r="G4057" t="inlineStr">
        <is>
          <t>010-6349-1617</t>
        </is>
      </c>
      <c r="H4057" t="inlineStr">
        <is>
          <t>06나7194</t>
        </is>
      </c>
      <c r="I4057" t="n">
        <v>10000000</v>
      </c>
      <c r="J4057" t="n">
        <v>0.065</v>
      </c>
      <c r="K4057" t="n">
        <v>2.2</v>
      </c>
      <c r="L4057" t="n">
        <v>0.14</v>
      </c>
      <c r="M4057" t="n">
        <v>2.06</v>
      </c>
      <c r="P4057" t="inlineStr">
        <is>
          <t>정세빈</t>
        </is>
      </c>
      <c r="Q4057" t="inlineStr">
        <is>
          <t>홈서비스 60개월</t>
        </is>
      </c>
      <c r="AB4057" t="inlineStr">
        <is>
          <t>홈서비스</t>
        </is>
      </c>
      <c r="AC4057" t="n">
        <v>220000</v>
      </c>
      <c r="AD4057" t="n">
        <v>14000</v>
      </c>
      <c r="AE4057" t="n">
        <v>206000</v>
      </c>
      <c r="AF4057" t="n">
        <v>200000</v>
      </c>
      <c r="AG4057" t="n">
        <v>13538</v>
      </c>
      <c r="AH4057" t="n">
        <v>186462</v>
      </c>
      <c r="AI4057" t="n">
        <v>0</v>
      </c>
    </row>
    <row r="4058">
      <c r="A4058" t="inlineStr">
        <is>
          <t>5월</t>
        </is>
      </c>
      <c r="B4058" t="inlineStr">
        <is>
          <t>19주차</t>
        </is>
      </c>
      <c r="C4058" t="inlineStr">
        <is>
          <t>EP</t>
        </is>
      </c>
      <c r="D4058" s="28" t="n">
        <v>46148</v>
      </c>
      <c r="E4058" t="inlineStr">
        <is>
          <t>현대EP_fast</t>
        </is>
      </c>
      <c r="F4058" t="inlineStr">
        <is>
          <t>홍다은</t>
        </is>
      </c>
      <c r="G4058" t="inlineStr">
        <is>
          <t>010-8288-3723</t>
        </is>
      </c>
      <c r="H4058" t="inlineStr">
        <is>
          <t>26더2389</t>
        </is>
      </c>
      <c r="I4058" t="n">
        <v>7800000</v>
      </c>
      <c r="J4058" t="n">
        <v>0.139</v>
      </c>
      <c r="K4058" t="n">
        <v>1.76</v>
      </c>
      <c r="L4058" t="n">
        <v>0.14</v>
      </c>
      <c r="M4058" t="n">
        <v>1.62</v>
      </c>
      <c r="P4058" t="inlineStr">
        <is>
          <t>임대경</t>
        </is>
      </c>
      <c r="Q4058" t="inlineStr">
        <is>
          <t>홈서비스 36개월</t>
        </is>
      </c>
      <c r="AB4058" t="inlineStr">
        <is>
          <t>홈서비스</t>
        </is>
      </c>
      <c r="AC4058" t="n">
        <v>137280</v>
      </c>
      <c r="AD4058" t="n">
        <v>10920</v>
      </c>
      <c r="AE4058" t="n">
        <v>126360</v>
      </c>
      <c r="AF4058" t="n">
        <v>124800</v>
      </c>
      <c r="AG4058" t="n">
        <v>10559.64</v>
      </c>
      <c r="AH4058" t="n">
        <v>114240.36</v>
      </c>
      <c r="AI4058" t="n">
        <v>0</v>
      </c>
    </row>
    <row r="4059">
      <c r="A4059" t="inlineStr">
        <is>
          <t>5월</t>
        </is>
      </c>
      <c r="B4059" t="inlineStr">
        <is>
          <t>19주차</t>
        </is>
      </c>
      <c r="C4059" t="inlineStr">
        <is>
          <t>IM</t>
        </is>
      </c>
      <c r="D4059" s="28" t="n">
        <v>46149</v>
      </c>
      <c r="E4059" t="inlineStr">
        <is>
          <t>IM캐피탈</t>
        </is>
      </c>
      <c r="F4059" t="inlineStr">
        <is>
          <t>엄혜빈</t>
        </is>
      </c>
      <c r="G4059" t="inlineStr">
        <is>
          <t>010-5268-0111</t>
        </is>
      </c>
      <c r="H4059" t="inlineStr">
        <is>
          <t>199저7787</t>
        </is>
      </c>
      <c r="I4059" t="n">
        <v>8400000</v>
      </c>
      <c r="J4059" t="n">
        <v>0.049</v>
      </c>
      <c r="K4059" t="n">
        <v>1.1</v>
      </c>
      <c r="L4059" t="n">
        <v>0.14</v>
      </c>
      <c r="M4059" t="n">
        <v>0.96</v>
      </c>
      <c r="P4059" t="inlineStr">
        <is>
          <t>김나윤</t>
        </is>
      </c>
      <c r="Q4059" t="inlineStr">
        <is>
          <t>홈서비스 24개월</t>
        </is>
      </c>
      <c r="AB4059" t="inlineStr">
        <is>
          <t>홈서비스</t>
        </is>
      </c>
      <c r="AC4059" t="n">
        <v>92400</v>
      </c>
      <c r="AD4059" t="n">
        <v>11760</v>
      </c>
      <c r="AE4059" t="n">
        <v>80640</v>
      </c>
      <c r="AF4059" t="n">
        <v>84000</v>
      </c>
      <c r="AG4059" t="n">
        <v>11371.92</v>
      </c>
      <c r="AH4059" t="n">
        <v>72628.08</v>
      </c>
      <c r="AI4059" t="n">
        <v>0</v>
      </c>
    </row>
    <row r="4060">
      <c r="A4060" t="inlineStr">
        <is>
          <t>5월</t>
        </is>
      </c>
      <c r="B4060" t="inlineStr">
        <is>
          <t>19주차</t>
        </is>
      </c>
      <c r="C4060" t="inlineStr">
        <is>
          <t>EP</t>
        </is>
      </c>
      <c r="D4060" s="28" t="n">
        <v>46149</v>
      </c>
      <c r="E4060" t="inlineStr">
        <is>
          <t>현대EP_fast</t>
        </is>
      </c>
      <c r="F4060" t="inlineStr">
        <is>
          <t>최지홍</t>
        </is>
      </c>
      <c r="G4060" t="inlineStr">
        <is>
          <t>010-9929-2620</t>
        </is>
      </c>
      <c r="H4060" t="inlineStr">
        <is>
          <t>313머5644</t>
        </is>
      </c>
      <c r="I4060" t="n">
        <v>11100000</v>
      </c>
      <c r="J4060" t="n">
        <v>0.08699999999999999</v>
      </c>
      <c r="K4060" t="n">
        <v>1.76</v>
      </c>
      <c r="L4060" t="n">
        <v>0.14</v>
      </c>
      <c r="M4060" t="n">
        <v>1.62</v>
      </c>
      <c r="P4060" t="inlineStr">
        <is>
          <t>김나윤</t>
        </is>
      </c>
      <c r="Q4060" t="inlineStr">
        <is>
          <t>홈서비스 60개월</t>
        </is>
      </c>
      <c r="AB4060" t="inlineStr">
        <is>
          <t>홈서비스</t>
        </is>
      </c>
      <c r="AC4060" t="n">
        <v>195360</v>
      </c>
      <c r="AD4060" t="n">
        <v>15540</v>
      </c>
      <c r="AE4060" t="n">
        <v>179820</v>
      </c>
      <c r="AF4060" t="n">
        <v>177600</v>
      </c>
      <c r="AG4060" t="n">
        <v>15027.18</v>
      </c>
      <c r="AH4060" t="n">
        <v>162572.82</v>
      </c>
      <c r="AI4060" t="n">
        <v>0</v>
      </c>
    </row>
    <row r="4061">
      <c r="A4061" t="inlineStr">
        <is>
          <t>5월</t>
        </is>
      </c>
      <c r="B4061" t="inlineStr">
        <is>
          <t>19주차</t>
        </is>
      </c>
      <c r="C4061" t="inlineStr">
        <is>
          <t>IM</t>
        </is>
      </c>
      <c r="D4061" s="28" t="n">
        <v>46149</v>
      </c>
      <c r="E4061" t="inlineStr">
        <is>
          <t>IM캐피탈</t>
        </is>
      </c>
      <c r="F4061" t="inlineStr">
        <is>
          <t>임기순</t>
        </is>
      </c>
      <c r="G4061" t="inlineStr">
        <is>
          <t>010-9008-6365</t>
        </is>
      </c>
      <c r="H4061" t="inlineStr">
        <is>
          <t>305구7012</t>
        </is>
      </c>
      <c r="I4061" t="n">
        <v>30400000</v>
      </c>
      <c r="J4061" t="n">
        <v>0.059</v>
      </c>
      <c r="K4061" t="n">
        <v>1.1</v>
      </c>
      <c r="L4061" t="n">
        <v>0.14</v>
      </c>
      <c r="M4061" t="n">
        <v>0.96</v>
      </c>
      <c r="P4061" t="inlineStr">
        <is>
          <t>황채이</t>
        </is>
      </c>
      <c r="Q4061" t="inlineStr">
        <is>
          <t>홈서비스 84개월</t>
        </is>
      </c>
      <c r="AB4061" t="inlineStr">
        <is>
          <t>홈서비스</t>
        </is>
      </c>
      <c r="AC4061" t="n">
        <v>334400</v>
      </c>
      <c r="AD4061" t="n">
        <v>42560</v>
      </c>
      <c r="AE4061" t="n">
        <v>291840</v>
      </c>
      <c r="AF4061" t="n">
        <v>304000</v>
      </c>
      <c r="AG4061" t="n">
        <v>41155.52</v>
      </c>
      <c r="AH4061" t="n">
        <v>262844.48</v>
      </c>
      <c r="AI4061" t="n">
        <v>0</v>
      </c>
    </row>
    <row r="4062">
      <c r="A4062" t="inlineStr">
        <is>
          <t>5월</t>
        </is>
      </c>
      <c r="B4062" t="inlineStr">
        <is>
          <t>19주차</t>
        </is>
      </c>
      <c r="C4062" t="inlineStr">
        <is>
          <t>EP</t>
        </is>
      </c>
      <c r="D4062" s="28" t="n">
        <v>46149</v>
      </c>
      <c r="E4062" t="inlineStr">
        <is>
          <t>현대EP_fast</t>
        </is>
      </c>
      <c r="F4062" t="inlineStr">
        <is>
          <t>이효은</t>
        </is>
      </c>
      <c r="G4062" t="inlineStr">
        <is>
          <t>010-6658-9407</t>
        </is>
      </c>
      <c r="H4062" t="inlineStr">
        <is>
          <t>48서0714</t>
        </is>
      </c>
      <c r="I4062" t="n">
        <v>7900000</v>
      </c>
      <c r="J4062" t="n">
        <v>0.089</v>
      </c>
      <c r="K4062" t="n">
        <v>1.76</v>
      </c>
      <c r="L4062" t="n">
        <v>0.14</v>
      </c>
      <c r="M4062" t="n">
        <v>1.62</v>
      </c>
      <c r="P4062" t="inlineStr">
        <is>
          <t>최형주</t>
        </is>
      </c>
      <c r="Q4062" t="inlineStr">
        <is>
          <t>홈서비스 48개월</t>
        </is>
      </c>
      <c r="AB4062" t="inlineStr">
        <is>
          <t>홈서비스</t>
        </is>
      </c>
      <c r="AC4062" t="n">
        <v>139040</v>
      </c>
      <c r="AD4062" t="n">
        <v>11060</v>
      </c>
      <c r="AE4062" t="n">
        <v>127980</v>
      </c>
      <c r="AF4062" t="n">
        <v>126400</v>
      </c>
      <c r="AG4062" t="n">
        <v>10695.02</v>
      </c>
      <c r="AH4062" t="n">
        <v>115704.98</v>
      </c>
      <c r="AI4062" t="n">
        <v>0</v>
      </c>
    </row>
    <row r="4063">
      <c r="A4063" t="inlineStr">
        <is>
          <t>5월</t>
        </is>
      </c>
      <c r="B4063" t="inlineStr">
        <is>
          <t>19주차</t>
        </is>
      </c>
      <c r="C4063" t="inlineStr">
        <is>
          <t>EP</t>
        </is>
      </c>
      <c r="D4063" s="28" t="n">
        <v>46149</v>
      </c>
      <c r="E4063" t="inlineStr">
        <is>
          <t>BNKEP</t>
        </is>
      </c>
      <c r="F4063" t="inlineStr">
        <is>
          <t>박건우</t>
        </is>
      </c>
      <c r="G4063" t="inlineStr">
        <is>
          <t>010-7160-9853</t>
        </is>
      </c>
      <c r="H4063" t="inlineStr">
        <is>
          <t>163서6666</t>
        </is>
      </c>
      <c r="I4063" t="n">
        <v>10000000</v>
      </c>
      <c r="J4063" t="n">
        <v>0.067</v>
      </c>
      <c r="K4063" t="n">
        <v>1.65</v>
      </c>
      <c r="L4063" t="n">
        <v>0.14</v>
      </c>
      <c r="M4063" t="n">
        <v>1.51</v>
      </c>
      <c r="P4063" t="inlineStr">
        <is>
          <t>정세빈</t>
        </is>
      </c>
      <c r="Q4063" t="inlineStr">
        <is>
          <t>홈서비스 36개월</t>
        </is>
      </c>
      <c r="AB4063" t="inlineStr">
        <is>
          <t>홈서비스</t>
        </is>
      </c>
      <c r="AC4063" t="n">
        <v>165000</v>
      </c>
      <c r="AD4063" t="n">
        <v>14000</v>
      </c>
      <c r="AE4063" t="n">
        <v>151000</v>
      </c>
      <c r="AF4063" t="n">
        <v>150000</v>
      </c>
      <c r="AG4063" t="n">
        <v>13538</v>
      </c>
      <c r="AH4063" t="n">
        <v>136462</v>
      </c>
      <c r="AI4063" t="n">
        <v>0</v>
      </c>
    </row>
    <row r="4064">
      <c r="A4064" t="inlineStr">
        <is>
          <t>5월</t>
        </is>
      </c>
      <c r="B4064" t="inlineStr">
        <is>
          <t>19주차</t>
        </is>
      </c>
      <c r="C4064" t="inlineStr">
        <is>
          <t>WC</t>
        </is>
      </c>
      <c r="D4064" s="28" t="n">
        <v>46149</v>
      </c>
      <c r="E4064" t="inlineStr">
        <is>
          <t>웰컴저축은행</t>
        </is>
      </c>
      <c r="F4064" t="inlineStr">
        <is>
          <t>윤태우</t>
        </is>
      </c>
      <c r="G4064" t="inlineStr">
        <is>
          <t>010-5192-6161</t>
        </is>
      </c>
      <c r="H4064" t="inlineStr">
        <is>
          <t>164가7534</t>
        </is>
      </c>
      <c r="I4064" t="n">
        <v>28500000</v>
      </c>
      <c r="J4064" t="n">
        <v>0.154</v>
      </c>
      <c r="K4064" t="n">
        <v>2.2</v>
      </c>
      <c r="L4064" t="n">
        <v>0.14</v>
      </c>
      <c r="M4064" t="n">
        <v>2.06</v>
      </c>
      <c r="P4064" t="inlineStr">
        <is>
          <t>김수연</t>
        </is>
      </c>
      <c r="Q4064" t="inlineStr">
        <is>
          <t>홈서비스 72개월/부결 DB진행</t>
        </is>
      </c>
      <c r="AB4064" t="inlineStr">
        <is>
          <t>홈서비스</t>
        </is>
      </c>
      <c r="AC4064" t="n">
        <v>627000</v>
      </c>
      <c r="AD4064" t="n">
        <v>39900</v>
      </c>
      <c r="AE4064" t="n">
        <v>587100</v>
      </c>
      <c r="AF4064" t="n">
        <v>570000</v>
      </c>
      <c r="AG4064" t="n">
        <v>38583.3</v>
      </c>
      <c r="AH4064" t="n">
        <v>531416.7</v>
      </c>
      <c r="AI4064" t="n">
        <v>0</v>
      </c>
    </row>
    <row r="4065">
      <c r="A4065" t="inlineStr">
        <is>
          <t>5월</t>
        </is>
      </c>
      <c r="B4065" t="inlineStr">
        <is>
          <t>19주차</t>
        </is>
      </c>
      <c r="C4065" t="inlineStr">
        <is>
          <t>IM</t>
        </is>
      </c>
      <c r="D4065" s="28" t="n">
        <v>46149</v>
      </c>
      <c r="E4065" t="inlineStr">
        <is>
          <t>IM캐피탈</t>
        </is>
      </c>
      <c r="F4065" t="inlineStr">
        <is>
          <t>성승환</t>
        </is>
      </c>
      <c r="G4065" t="inlineStr">
        <is>
          <t>010-3939-9794</t>
        </is>
      </c>
      <c r="H4065" t="inlineStr">
        <is>
          <t>69나3690</t>
        </is>
      </c>
      <c r="I4065" t="n">
        <v>8200000</v>
      </c>
      <c r="J4065" t="n">
        <v>0.063</v>
      </c>
      <c r="K4065" t="n">
        <v>1.1</v>
      </c>
      <c r="L4065" t="n">
        <v>0.14</v>
      </c>
      <c r="M4065" t="n">
        <v>0.96</v>
      </c>
      <c r="P4065" t="inlineStr">
        <is>
          <t>정세빈</t>
        </is>
      </c>
      <c r="Q4065" t="inlineStr">
        <is>
          <t>홈서비스 48개월</t>
        </is>
      </c>
      <c r="AB4065" t="inlineStr">
        <is>
          <t>홈서비스</t>
        </is>
      </c>
      <c r="AC4065" t="n">
        <v>90200</v>
      </c>
      <c r="AD4065" t="n">
        <v>11480</v>
      </c>
      <c r="AE4065" t="n">
        <v>78720</v>
      </c>
      <c r="AF4065" t="n">
        <v>82000</v>
      </c>
      <c r="AG4065" t="n">
        <v>11101.16</v>
      </c>
      <c r="AH4065" t="n">
        <v>70898.84</v>
      </c>
      <c r="AI4065" t="n">
        <v>0</v>
      </c>
    </row>
    <row r="4066">
      <c r="A4066" t="inlineStr">
        <is>
          <t>5월</t>
        </is>
      </c>
      <c r="B4066" t="inlineStr">
        <is>
          <t>19주차</t>
        </is>
      </c>
      <c r="C4066" t="inlineStr">
        <is>
          <t>EP</t>
        </is>
      </c>
      <c r="D4066" s="28" t="n">
        <v>46149</v>
      </c>
      <c r="E4066" t="inlineStr">
        <is>
          <t>현대EP</t>
        </is>
      </c>
      <c r="F4066" t="inlineStr">
        <is>
          <t>김일엽</t>
        </is>
      </c>
      <c r="G4066" t="inlineStr">
        <is>
          <t>010-8010-0565</t>
        </is>
      </c>
      <c r="H4066" t="inlineStr">
        <is>
          <t>136루2656</t>
        </is>
      </c>
      <c r="I4066" t="n">
        <v>11000000</v>
      </c>
      <c r="J4066" t="n">
        <v>0.062</v>
      </c>
      <c r="K4066" t="n">
        <v>1.76</v>
      </c>
      <c r="L4066" t="n">
        <v>0.14</v>
      </c>
      <c r="M4066" t="n">
        <v>1.62</v>
      </c>
      <c r="P4066" t="inlineStr">
        <is>
          <t>김나윤</t>
        </is>
      </c>
      <c r="AB4066" t="inlineStr">
        <is>
          <t>홈서비스</t>
        </is>
      </c>
      <c r="AC4066" t="n">
        <v>193600</v>
      </c>
      <c r="AD4066" t="n">
        <v>15400</v>
      </c>
      <c r="AE4066" t="n">
        <v>178200</v>
      </c>
      <c r="AF4066" t="n">
        <v>176000</v>
      </c>
      <c r="AG4066" t="n">
        <v>14891.8</v>
      </c>
      <c r="AH4066" t="n">
        <v>161108.2</v>
      </c>
      <c r="AI4066" t="n">
        <v>0</v>
      </c>
    </row>
    <row r="4067">
      <c r="A4067" t="inlineStr">
        <is>
          <t>5월</t>
        </is>
      </c>
      <c r="B4067" t="inlineStr">
        <is>
          <t>19주차</t>
        </is>
      </c>
      <c r="C4067" t="inlineStr">
        <is>
          <t>EP</t>
        </is>
      </c>
      <c r="D4067" s="28" t="n">
        <v>46149</v>
      </c>
      <c r="E4067" t="inlineStr">
        <is>
          <t>제이비EP</t>
        </is>
      </c>
      <c r="F4067" t="inlineStr">
        <is>
          <t>신장훈</t>
        </is>
      </c>
      <c r="G4067" t="inlineStr">
        <is>
          <t>010-9962-6009</t>
        </is>
      </c>
      <c r="H4067" t="inlineStr">
        <is>
          <t>223버1266</t>
        </is>
      </c>
      <c r="I4067" t="n">
        <v>39000000</v>
      </c>
      <c r="J4067" t="n">
        <v>0.07099999999999999</v>
      </c>
      <c r="K4067" t="n">
        <v>1.65</v>
      </c>
      <c r="L4067" t="n">
        <v>0.4</v>
      </c>
      <c r="M4067" t="n">
        <v>1.25</v>
      </c>
      <c r="P4067" t="inlineStr">
        <is>
          <t>최혁</t>
        </is>
      </c>
      <c r="AB4067" t="inlineStr">
        <is>
          <t>엔카</t>
        </is>
      </c>
      <c r="AC4067" t="n">
        <v>643500</v>
      </c>
      <c r="AD4067" t="n">
        <v>156000</v>
      </c>
      <c r="AE4067" t="n">
        <v>487500</v>
      </c>
      <c r="AF4067" t="n">
        <v>585000</v>
      </c>
      <c r="AG4067" t="n">
        <v>150852</v>
      </c>
      <c r="AH4067" t="n">
        <v>434148</v>
      </c>
      <c r="AI4067" t="n">
        <v>0</v>
      </c>
    </row>
    <row r="4068">
      <c r="A4068" t="inlineStr">
        <is>
          <t>5월</t>
        </is>
      </c>
      <c r="B4068" t="inlineStr">
        <is>
          <t>19주차</t>
        </is>
      </c>
      <c r="C4068" t="inlineStr">
        <is>
          <t>EP</t>
        </is>
      </c>
      <c r="D4068" s="28" t="n">
        <v>46149</v>
      </c>
      <c r="E4068" t="inlineStr">
        <is>
          <t>현대EP</t>
        </is>
      </c>
      <c r="F4068" t="inlineStr">
        <is>
          <t>오재수</t>
        </is>
      </c>
      <c r="G4068" t="inlineStr">
        <is>
          <t>010-2487-9187</t>
        </is>
      </c>
      <c r="H4068" t="inlineStr">
        <is>
          <t>269버6397</t>
        </is>
      </c>
      <c r="I4068" t="n">
        <v>26900000</v>
      </c>
      <c r="J4068" t="n">
        <v>0.075</v>
      </c>
      <c r="K4068" t="n">
        <v>1.76</v>
      </c>
      <c r="L4068" t="n">
        <v>0.14</v>
      </c>
      <c r="M4068" t="n">
        <v>1.62</v>
      </c>
      <c r="P4068" t="inlineStr">
        <is>
          <t>정세빈</t>
        </is>
      </c>
      <c r="AB4068" t="inlineStr">
        <is>
          <t>홈서비스</t>
        </is>
      </c>
      <c r="AC4068" t="n">
        <v>473440</v>
      </c>
      <c r="AD4068" t="n">
        <v>37660</v>
      </c>
      <c r="AE4068" t="n">
        <v>435780</v>
      </c>
      <c r="AF4068" t="n">
        <v>430400</v>
      </c>
      <c r="AG4068" t="n">
        <v>36417.22</v>
      </c>
      <c r="AH4068" t="n">
        <v>393982.78</v>
      </c>
      <c r="AI4068" t="n">
        <v>0</v>
      </c>
    </row>
    <row r="4069">
      <c r="A4069" t="inlineStr">
        <is>
          <t>5월</t>
        </is>
      </c>
      <c r="B4069" t="inlineStr">
        <is>
          <t>19주차</t>
        </is>
      </c>
      <c r="C4069" t="inlineStr">
        <is>
          <t>EP</t>
        </is>
      </c>
      <c r="D4069" s="28" t="n">
        <v>46148</v>
      </c>
      <c r="E4069" t="inlineStr">
        <is>
          <t>현대EP_fast</t>
        </is>
      </c>
      <c r="F4069" t="inlineStr">
        <is>
          <t>이정로</t>
        </is>
      </c>
      <c r="G4069" t="inlineStr">
        <is>
          <t>010-4779-5315</t>
        </is>
      </c>
      <c r="H4069" t="inlineStr">
        <is>
          <t>41다5997</t>
        </is>
      </c>
      <c r="I4069" t="n">
        <v>7500000</v>
      </c>
      <c r="J4069" t="n">
        <v>0.154</v>
      </c>
      <c r="K4069" t="n">
        <v>1.76</v>
      </c>
      <c r="L4069" t="n">
        <v>0.4</v>
      </c>
      <c r="M4069" t="n">
        <v>1.36</v>
      </c>
      <c r="P4069" t="inlineStr">
        <is>
          <t>박소현</t>
        </is>
      </c>
      <c r="AB4069" t="inlineStr">
        <is>
          <t>엔카</t>
        </is>
      </c>
      <c r="AC4069" t="n">
        <v>132000</v>
      </c>
      <c r="AD4069" t="n">
        <v>30000</v>
      </c>
      <c r="AE4069" t="n">
        <v>102000</v>
      </c>
      <c r="AF4069" t="n">
        <v>120000</v>
      </c>
      <c r="AG4069" t="n">
        <v>29010</v>
      </c>
      <c r="AH4069" t="n">
        <v>90990</v>
      </c>
      <c r="AI4069" t="n">
        <v>0</v>
      </c>
    </row>
    <row r="4070">
      <c r="A4070" t="inlineStr">
        <is>
          <t>5월</t>
        </is>
      </c>
      <c r="B4070" t="inlineStr">
        <is>
          <t>19주차</t>
        </is>
      </c>
      <c r="C4070" t="inlineStr">
        <is>
          <t>IM</t>
        </is>
      </c>
      <c r="D4070" s="28" t="n">
        <v>46149</v>
      </c>
      <c r="E4070" t="inlineStr">
        <is>
          <t>IM캐피탈</t>
        </is>
      </c>
      <c r="F4070" t="inlineStr">
        <is>
          <t>김성호</t>
        </is>
      </c>
      <c r="G4070" t="inlineStr">
        <is>
          <t>010-7167-1009</t>
        </is>
      </c>
      <c r="H4070" t="inlineStr">
        <is>
          <t>245머1571</t>
        </is>
      </c>
      <c r="I4070" t="n">
        <v>32600000</v>
      </c>
      <c r="J4070" t="n">
        <v>0.063</v>
      </c>
      <c r="K4070" t="n">
        <v>1.1</v>
      </c>
      <c r="L4070" t="n">
        <v>0.14</v>
      </c>
      <c r="M4070" t="n">
        <v>0.96</v>
      </c>
      <c r="P4070" t="inlineStr">
        <is>
          <t>김수연</t>
        </is>
      </c>
      <c r="Q4070" t="inlineStr">
        <is>
          <t>홈서비스 60개월/부대비용 추가진행</t>
        </is>
      </c>
      <c r="AB4070" t="inlineStr">
        <is>
          <t>홈서비스</t>
        </is>
      </c>
      <c r="AC4070" t="n">
        <v>358600</v>
      </c>
      <c r="AD4070" t="n">
        <v>45640</v>
      </c>
      <c r="AE4070" t="n">
        <v>312960</v>
      </c>
      <c r="AF4070" t="n">
        <v>326000</v>
      </c>
      <c r="AG4070" t="n">
        <v>44133.88</v>
      </c>
      <c r="AH4070" t="n">
        <v>281866.12</v>
      </c>
    </row>
    <row r="4071">
      <c r="A4071" t="inlineStr">
        <is>
          <t>5월</t>
        </is>
      </c>
      <c r="B4071" t="inlineStr">
        <is>
          <t>19주차</t>
        </is>
      </c>
      <c r="C4071" t="inlineStr">
        <is>
          <t>EP</t>
        </is>
      </c>
      <c r="D4071" s="28" t="n">
        <v>46149</v>
      </c>
      <c r="E4071" t="inlineStr">
        <is>
          <t>현대EP</t>
        </is>
      </c>
      <c r="F4071" t="inlineStr">
        <is>
          <t>남궁량</t>
        </is>
      </c>
      <c r="G4071" t="inlineStr">
        <is>
          <t>010-9329-9499</t>
        </is>
      </c>
      <c r="H4071" t="inlineStr">
        <is>
          <t>48노7279</t>
        </is>
      </c>
      <c r="I4071" t="n">
        <v>8500000</v>
      </c>
      <c r="J4071" t="n">
        <v>0.1</v>
      </c>
      <c r="K4071" t="n">
        <v>1.76</v>
      </c>
      <c r="L4071" t="n">
        <v>0.14</v>
      </c>
      <c r="M4071" t="n">
        <v>1.62</v>
      </c>
      <c r="P4071" t="inlineStr">
        <is>
          <t>황채이</t>
        </is>
      </c>
      <c r="AB4071" t="inlineStr">
        <is>
          <t>홈서비스</t>
        </is>
      </c>
      <c r="AC4071" t="n">
        <v>149600</v>
      </c>
      <c r="AD4071" t="n">
        <v>11900</v>
      </c>
      <c r="AE4071" t="n">
        <v>137700</v>
      </c>
      <c r="AF4071" t="n">
        <v>136000</v>
      </c>
      <c r="AG4071" t="n">
        <v>11507.3</v>
      </c>
      <c r="AH4071" t="n">
        <v>124492.7</v>
      </c>
      <c r="AI4071" t="n">
        <v>0</v>
      </c>
    </row>
    <row r="4072">
      <c r="A4072" t="inlineStr">
        <is>
          <t>5월</t>
        </is>
      </c>
      <c r="B4072" t="inlineStr">
        <is>
          <t>19주차</t>
        </is>
      </c>
      <c r="C4072" t="inlineStr">
        <is>
          <t>HC</t>
        </is>
      </c>
      <c r="D4072" s="28" t="n">
        <v>46150</v>
      </c>
      <c r="E4072" t="inlineStr">
        <is>
          <t>하나캐피탈</t>
        </is>
      </c>
      <c r="F4072" t="inlineStr">
        <is>
          <t>황원섭</t>
        </is>
      </c>
      <c r="G4072" t="inlineStr">
        <is>
          <t>010-5872-4490</t>
        </is>
      </c>
      <c r="H4072" t="inlineStr">
        <is>
          <t>108수1897</t>
        </is>
      </c>
      <c r="I4072" t="n">
        <v>8300000</v>
      </c>
      <c r="J4072" t="n">
        <v>0.133</v>
      </c>
      <c r="K4072" t="n">
        <v>2.2</v>
      </c>
      <c r="L4072" t="n">
        <v>0.14</v>
      </c>
      <c r="M4072" t="n">
        <v>2.06</v>
      </c>
      <c r="P4072" t="inlineStr">
        <is>
          <t>황채이</t>
        </is>
      </c>
      <c r="Q4072" t="inlineStr">
        <is>
          <t>홈서비스 60개월</t>
        </is>
      </c>
      <c r="AB4072" t="inlineStr">
        <is>
          <t>홈서비스</t>
        </is>
      </c>
      <c r="AC4072" t="n">
        <v>182600</v>
      </c>
      <c r="AD4072" t="n">
        <v>11620</v>
      </c>
      <c r="AE4072" t="n">
        <v>170980</v>
      </c>
      <c r="AF4072" t="n">
        <v>166000</v>
      </c>
      <c r="AG4072" t="n">
        <v>11236.54</v>
      </c>
      <c r="AH4072" t="n">
        <v>154763.46</v>
      </c>
      <c r="AI4072" t="n">
        <v>0</v>
      </c>
    </row>
    <row r="4073">
      <c r="A4073" t="inlineStr">
        <is>
          <t>5월</t>
        </is>
      </c>
      <c r="B4073" t="inlineStr">
        <is>
          <t>19주차</t>
        </is>
      </c>
      <c r="C4073" t="inlineStr">
        <is>
          <t>IM</t>
        </is>
      </c>
      <c r="D4073" s="28" t="n">
        <v>46146</v>
      </c>
      <c r="E4073" t="inlineStr">
        <is>
          <t>IM캐피탈</t>
        </is>
      </c>
      <c r="F4073" t="inlineStr">
        <is>
          <t>이미소</t>
        </is>
      </c>
      <c r="G4073" t="inlineStr">
        <is>
          <t>010-6667-5245</t>
        </is>
      </c>
      <c r="H4073" t="inlineStr">
        <is>
          <t>15거5489</t>
        </is>
      </c>
      <c r="I4073" t="n">
        <v>3300000</v>
      </c>
      <c r="J4073" t="n">
        <v>0.079</v>
      </c>
      <c r="K4073" t="n">
        <v>1.1</v>
      </c>
      <c r="L4073" t="n">
        <v>0.14</v>
      </c>
      <c r="M4073" t="n">
        <v>0.96</v>
      </c>
      <c r="P4073" t="inlineStr">
        <is>
          <t>장진경</t>
        </is>
      </c>
      <c r="Q4073" t="inlineStr">
        <is>
          <t>선상담 / 홈서비스 48개월</t>
        </is>
      </c>
      <c r="AB4073" t="inlineStr">
        <is>
          <t>홈서비스</t>
        </is>
      </c>
      <c r="AC4073" t="n">
        <v>36300</v>
      </c>
      <c r="AD4073" t="n">
        <v>4620</v>
      </c>
      <c r="AE4073" t="n">
        <v>31680</v>
      </c>
      <c r="AF4073" t="n">
        <v>33000</v>
      </c>
      <c r="AG4073" t="n">
        <v>4467.54</v>
      </c>
      <c r="AH4073" t="n">
        <v>28532.46</v>
      </c>
      <c r="AI4073" t="n">
        <v>0</v>
      </c>
    </row>
    <row r="4074">
      <c r="A4074" t="inlineStr">
        <is>
          <t>5월</t>
        </is>
      </c>
      <c r="B4074" t="inlineStr">
        <is>
          <t>19주차</t>
        </is>
      </c>
      <c r="C4074" t="inlineStr">
        <is>
          <t>IM</t>
        </is>
      </c>
      <c r="D4074" s="28" t="n">
        <v>46149</v>
      </c>
      <c r="E4074" t="inlineStr">
        <is>
          <t>IM캐피탈</t>
        </is>
      </c>
      <c r="F4074" t="inlineStr">
        <is>
          <t>최현우</t>
        </is>
      </c>
      <c r="G4074" t="inlineStr">
        <is>
          <t>010-8268-0848</t>
        </is>
      </c>
      <c r="H4074" t="inlineStr">
        <is>
          <t>05라2526</t>
        </is>
      </c>
      <c r="I4074" t="n">
        <v>64000000</v>
      </c>
      <c r="J4074" t="n">
        <v>0.063</v>
      </c>
      <c r="K4074" t="n">
        <v>1.1</v>
      </c>
      <c r="L4074" t="n">
        <v>0.4</v>
      </c>
      <c r="M4074" t="n">
        <v>0.7</v>
      </c>
      <c r="P4074" t="inlineStr">
        <is>
          <t>장현경</t>
        </is>
      </c>
      <c r="AB4074" t="inlineStr">
        <is>
          <t>엔카</t>
        </is>
      </c>
      <c r="AC4074" t="n">
        <v>704000</v>
      </c>
      <c r="AD4074" t="n">
        <v>256000</v>
      </c>
      <c r="AE4074" t="n">
        <v>448000</v>
      </c>
      <c r="AF4074" t="n">
        <v>640000</v>
      </c>
      <c r="AG4074" t="n">
        <v>247552</v>
      </c>
      <c r="AH4074" t="n">
        <v>392448</v>
      </c>
    </row>
    <row r="4075">
      <c r="A4075" t="inlineStr">
        <is>
          <t>5월</t>
        </is>
      </c>
      <c r="B4075" t="inlineStr">
        <is>
          <t>19주차</t>
        </is>
      </c>
      <c r="C4075" t="inlineStr">
        <is>
          <t>EP</t>
        </is>
      </c>
      <c r="D4075" s="28" t="n">
        <v>46149</v>
      </c>
      <c r="E4075" t="inlineStr">
        <is>
          <t>현대EP</t>
        </is>
      </c>
      <c r="F4075" t="inlineStr">
        <is>
          <t>김혁</t>
        </is>
      </c>
      <c r="G4075" t="inlineStr">
        <is>
          <t>010-4686-2182</t>
        </is>
      </c>
      <c r="H4075" t="inlineStr">
        <is>
          <t>182나6528</t>
        </is>
      </c>
      <c r="I4075" t="n">
        <v>10100000</v>
      </c>
      <c r="J4075" t="n">
        <v>0.154</v>
      </c>
      <c r="K4075" t="n">
        <v>1.76</v>
      </c>
      <c r="L4075" t="n">
        <v>0.14</v>
      </c>
      <c r="M4075" t="n">
        <v>1.62</v>
      </c>
      <c r="P4075" t="inlineStr">
        <is>
          <t>김나윤</t>
        </is>
      </c>
      <c r="AB4075" t="inlineStr">
        <is>
          <t>홈서비스</t>
        </is>
      </c>
      <c r="AC4075" t="n">
        <v>177760</v>
      </c>
      <c r="AD4075" t="n">
        <v>14140</v>
      </c>
      <c r="AE4075" t="n">
        <v>163620</v>
      </c>
      <c r="AF4075" t="n">
        <v>161600</v>
      </c>
      <c r="AG4075" t="n">
        <v>13673.38</v>
      </c>
      <c r="AH4075" t="n">
        <v>147926.62</v>
      </c>
      <c r="AI4075" t="n">
        <v>0</v>
      </c>
    </row>
    <row r="4076">
      <c r="A4076" t="inlineStr">
        <is>
          <t>5월</t>
        </is>
      </c>
      <c r="B4076" t="inlineStr">
        <is>
          <t>19주차</t>
        </is>
      </c>
      <c r="C4076" t="inlineStr">
        <is>
          <t>IM</t>
        </is>
      </c>
      <c r="D4076" s="28" t="n">
        <v>46149</v>
      </c>
      <c r="E4076" t="inlineStr">
        <is>
          <t>IM캐피탈</t>
        </is>
      </c>
      <c r="F4076" t="inlineStr">
        <is>
          <t>오준택</t>
        </is>
      </c>
      <c r="G4076" t="inlineStr">
        <is>
          <t>010-5380-3549</t>
        </is>
      </c>
      <c r="H4076" t="inlineStr">
        <is>
          <t>111노1191</t>
        </is>
      </c>
      <c r="I4076" t="n">
        <v>24600000</v>
      </c>
      <c r="J4076" t="n">
        <v>0.063</v>
      </c>
      <c r="K4076" t="n">
        <v>1.1</v>
      </c>
      <c r="L4076" t="n">
        <v>0.4</v>
      </c>
      <c r="M4076" t="n">
        <v>0.7</v>
      </c>
      <c r="P4076" t="inlineStr">
        <is>
          <t>최혁</t>
        </is>
      </c>
      <c r="Q4076" t="inlineStr">
        <is>
          <t>부대비용진행</t>
        </is>
      </c>
      <c r="AB4076" t="inlineStr">
        <is>
          <t>엔카</t>
        </is>
      </c>
      <c r="AC4076" t="n">
        <v>270600</v>
      </c>
      <c r="AD4076" t="n">
        <v>98400</v>
      </c>
      <c r="AE4076" t="n">
        <v>172200</v>
      </c>
      <c r="AF4076" t="n">
        <v>246000</v>
      </c>
      <c r="AG4076" t="n">
        <v>95152.8</v>
      </c>
      <c r="AH4076" t="n">
        <v>150847.2</v>
      </c>
      <c r="AI4076" t="n">
        <v>0</v>
      </c>
    </row>
    <row r="4077">
      <c r="A4077" t="inlineStr">
        <is>
          <t>5월</t>
        </is>
      </c>
      <c r="B4077" t="inlineStr">
        <is>
          <t>19주차</t>
        </is>
      </c>
      <c r="C4077" t="inlineStr">
        <is>
          <t>IM</t>
        </is>
      </c>
      <c r="D4077" s="28" t="n">
        <v>46150</v>
      </c>
      <c r="E4077" t="inlineStr">
        <is>
          <t>IM캐피탈</t>
        </is>
      </c>
      <c r="F4077" t="inlineStr">
        <is>
          <t>박현성</t>
        </is>
      </c>
      <c r="G4077" t="inlineStr">
        <is>
          <t>010-3550-6592</t>
        </is>
      </c>
      <c r="H4077" t="inlineStr">
        <is>
          <t>386수2164</t>
        </is>
      </c>
      <c r="I4077" t="n">
        <v>25000000</v>
      </c>
      <c r="J4077" t="n">
        <v>0.049</v>
      </c>
      <c r="K4077" t="n">
        <v>1.1</v>
      </c>
      <c r="L4077" t="n">
        <v>0.14</v>
      </c>
      <c r="M4077" t="n">
        <v>0.96</v>
      </c>
      <c r="P4077" t="inlineStr">
        <is>
          <t>정세빈</t>
        </is>
      </c>
      <c r="Q4077" t="inlineStr">
        <is>
          <t>홈서비스 72개월</t>
        </is>
      </c>
      <c r="AB4077" t="inlineStr">
        <is>
          <t>홈서비스</t>
        </is>
      </c>
      <c r="AC4077" t="n">
        <v>275000</v>
      </c>
      <c r="AD4077" t="n">
        <v>35000</v>
      </c>
      <c r="AE4077" t="n">
        <v>240000</v>
      </c>
      <c r="AF4077" t="n">
        <v>250000</v>
      </c>
      <c r="AG4077" t="n">
        <v>33845</v>
      </c>
      <c r="AH4077" t="n">
        <v>216155</v>
      </c>
      <c r="AI4077" t="n">
        <v>0</v>
      </c>
    </row>
    <row r="4078">
      <c r="A4078" t="inlineStr">
        <is>
          <t>5월</t>
        </is>
      </c>
      <c r="B4078" t="inlineStr">
        <is>
          <t>19주차</t>
        </is>
      </c>
      <c r="C4078" t="inlineStr">
        <is>
          <t>EP</t>
        </is>
      </c>
      <c r="D4078" s="28" t="n">
        <v>46148</v>
      </c>
      <c r="E4078" t="inlineStr">
        <is>
          <t>BNKEP</t>
        </is>
      </c>
      <c r="F4078" t="inlineStr">
        <is>
          <t>신동훈</t>
        </is>
      </c>
      <c r="G4078" t="inlineStr">
        <is>
          <t>010-3222-1817</t>
        </is>
      </c>
      <c r="H4078" t="inlineStr">
        <is>
          <t>32주6049</t>
        </is>
      </c>
      <c r="I4078" t="n">
        <v>25000000</v>
      </c>
      <c r="J4078" t="n">
        <v>0.081</v>
      </c>
      <c r="K4078" t="n">
        <v>1.65</v>
      </c>
      <c r="L4078" t="n">
        <v>0.4</v>
      </c>
      <c r="M4078" t="n">
        <v>1.25</v>
      </c>
      <c r="P4078" t="inlineStr">
        <is>
          <t>박소현</t>
        </is>
      </c>
      <c r="AB4078" t="inlineStr">
        <is>
          <t>엔카</t>
        </is>
      </c>
      <c r="AC4078" t="n">
        <v>412500</v>
      </c>
      <c r="AD4078" t="n">
        <v>100000</v>
      </c>
      <c r="AE4078" t="n">
        <v>312500</v>
      </c>
      <c r="AF4078" t="n">
        <v>375000</v>
      </c>
      <c r="AG4078" t="n">
        <v>96700</v>
      </c>
      <c r="AH4078" t="n">
        <v>278300</v>
      </c>
      <c r="AI4078" t="n">
        <v>0</v>
      </c>
    </row>
    <row r="4079">
      <c r="A4079" t="inlineStr">
        <is>
          <t>5월</t>
        </is>
      </c>
      <c r="B4079" t="inlineStr">
        <is>
          <t>19주차</t>
        </is>
      </c>
      <c r="C4079" t="inlineStr">
        <is>
          <t>EP</t>
        </is>
      </c>
      <c r="D4079" s="28" t="n">
        <v>46150</v>
      </c>
      <c r="E4079" t="inlineStr">
        <is>
          <t>현대EP_fast</t>
        </is>
      </c>
      <c r="F4079" t="inlineStr">
        <is>
          <t>조병성</t>
        </is>
      </c>
      <c r="G4079" t="inlineStr">
        <is>
          <t>010-5273-0097</t>
        </is>
      </c>
      <c r="H4079" t="inlineStr">
        <is>
          <t>12수4525</t>
        </is>
      </c>
      <c r="I4079" t="n">
        <v>7900000</v>
      </c>
      <c r="J4079" t="n">
        <v>0.08799999999999999</v>
      </c>
      <c r="K4079" t="n">
        <v>1.76</v>
      </c>
      <c r="L4079" t="n">
        <v>0.14</v>
      </c>
      <c r="M4079" t="n">
        <v>1.62</v>
      </c>
      <c r="P4079" t="inlineStr">
        <is>
          <t>김나윤</t>
        </is>
      </c>
      <c r="Q4079" t="inlineStr">
        <is>
          <t>홈서비스 36개월</t>
        </is>
      </c>
      <c r="AB4079" t="inlineStr">
        <is>
          <t>홈서비스</t>
        </is>
      </c>
      <c r="AC4079" t="n">
        <v>139040</v>
      </c>
      <c r="AD4079" t="n">
        <v>11060</v>
      </c>
      <c r="AE4079" t="n">
        <v>127980</v>
      </c>
      <c r="AF4079" t="n">
        <v>126400</v>
      </c>
      <c r="AG4079" t="n">
        <v>10695.02</v>
      </c>
      <c r="AH4079" t="n">
        <v>115704.98</v>
      </c>
    </row>
    <row r="4080">
      <c r="A4080" t="inlineStr">
        <is>
          <t>5월</t>
        </is>
      </c>
      <c r="B4080" t="inlineStr">
        <is>
          <t>19주차</t>
        </is>
      </c>
      <c r="C4080" t="inlineStr">
        <is>
          <t>EP</t>
        </is>
      </c>
      <c r="D4080" s="28" t="n">
        <v>46149</v>
      </c>
      <c r="E4080" t="inlineStr">
        <is>
          <t>제이비EP</t>
        </is>
      </c>
      <c r="F4080" t="inlineStr">
        <is>
          <t>이은우</t>
        </is>
      </c>
      <c r="G4080" t="inlineStr">
        <is>
          <t>010-4079-3400</t>
        </is>
      </c>
      <c r="H4080" t="inlineStr">
        <is>
          <t>90고6714</t>
        </is>
      </c>
      <c r="I4080" t="n">
        <v>5900000</v>
      </c>
      <c r="J4080" t="n">
        <v>0.07099999999999999</v>
      </c>
      <c r="K4080" t="n">
        <v>1.65</v>
      </c>
      <c r="L4080" t="n">
        <v>0.4</v>
      </c>
      <c r="M4080" t="n">
        <v>1.25</v>
      </c>
      <c r="P4080" t="inlineStr">
        <is>
          <t>구성완</t>
        </is>
      </c>
      <c r="AB4080" t="inlineStr">
        <is>
          <t>엔카</t>
        </is>
      </c>
      <c r="AC4080" t="n">
        <v>97350</v>
      </c>
      <c r="AD4080" t="n">
        <v>23600</v>
      </c>
      <c r="AE4080" t="n">
        <v>73750</v>
      </c>
      <c r="AF4080" t="n">
        <v>88500</v>
      </c>
      <c r="AG4080" t="n">
        <v>22821.2</v>
      </c>
      <c r="AH4080" t="n">
        <v>65678.8</v>
      </c>
      <c r="AI4080" t="n">
        <v>0</v>
      </c>
    </row>
    <row r="4081">
      <c r="A4081" t="inlineStr">
        <is>
          <t>5월</t>
        </is>
      </c>
      <c r="B4081" t="inlineStr">
        <is>
          <t>19주차</t>
        </is>
      </c>
      <c r="C4081" t="inlineStr">
        <is>
          <t>IM</t>
        </is>
      </c>
      <c r="D4081" s="28" t="n">
        <v>46150</v>
      </c>
      <c r="E4081" t="inlineStr">
        <is>
          <t>IM캐피탈</t>
        </is>
      </c>
      <c r="F4081" t="inlineStr">
        <is>
          <t>변종민</t>
        </is>
      </c>
      <c r="G4081" t="inlineStr">
        <is>
          <t>010-4942-6223</t>
        </is>
      </c>
      <c r="H4081" t="inlineStr">
        <is>
          <t>227가1634</t>
        </is>
      </c>
      <c r="I4081" t="n">
        <v>20200000</v>
      </c>
      <c r="J4081" t="n">
        <v>0.067</v>
      </c>
      <c r="K4081" t="n">
        <v>1.1</v>
      </c>
      <c r="L4081" t="n">
        <v>0.14</v>
      </c>
      <c r="M4081" t="n">
        <v>0.96</v>
      </c>
      <c r="P4081" t="inlineStr">
        <is>
          <t>황채이</t>
        </is>
      </c>
      <c r="Q4081" t="inlineStr">
        <is>
          <t>홈서비스 60개월 / 부대비용 추가진행</t>
        </is>
      </c>
      <c r="AB4081" t="inlineStr">
        <is>
          <t>홈서비스</t>
        </is>
      </c>
      <c r="AC4081" t="n">
        <v>222200</v>
      </c>
      <c r="AD4081" t="n">
        <v>28280</v>
      </c>
      <c r="AE4081" t="n">
        <v>193920</v>
      </c>
      <c r="AF4081" t="n">
        <v>202000</v>
      </c>
      <c r="AG4081" t="n">
        <v>27346.76</v>
      </c>
      <c r="AH4081" t="n">
        <v>174653.24</v>
      </c>
      <c r="AI4081" t="n">
        <v>0</v>
      </c>
    </row>
    <row r="4082">
      <c r="A4082" t="inlineStr">
        <is>
          <t>5월</t>
        </is>
      </c>
      <c r="B4082" t="inlineStr">
        <is>
          <t>19주차</t>
        </is>
      </c>
      <c r="C4082" t="inlineStr">
        <is>
          <t>EP</t>
        </is>
      </c>
      <c r="D4082" s="28" t="n">
        <v>46150</v>
      </c>
      <c r="E4082" t="inlineStr">
        <is>
          <t>현대EP_fast</t>
        </is>
      </c>
      <c r="F4082" t="inlineStr">
        <is>
          <t>김주연</t>
        </is>
      </c>
      <c r="G4082" t="inlineStr">
        <is>
          <t>010-3352-9666</t>
        </is>
      </c>
      <c r="H4082" t="inlineStr">
        <is>
          <t>55버5012</t>
        </is>
      </c>
      <c r="I4082" t="n">
        <v>21500000</v>
      </c>
      <c r="J4082" t="n">
        <v>0.06900000000000001</v>
      </c>
      <c r="K4082" t="n">
        <v>1.76</v>
      </c>
      <c r="L4082" t="n">
        <v>0.14</v>
      </c>
      <c r="M4082" t="n">
        <v>1.62</v>
      </c>
      <c r="P4082" t="inlineStr">
        <is>
          <t>황채이</t>
        </is>
      </c>
      <c r="Q4082" t="inlineStr">
        <is>
          <t>홈서비스 60개월</t>
        </is>
      </c>
      <c r="AB4082" t="inlineStr">
        <is>
          <t>홈서비스</t>
        </is>
      </c>
      <c r="AC4082" t="n">
        <v>378400</v>
      </c>
      <c r="AD4082" t="n">
        <v>30100</v>
      </c>
      <c r="AE4082" t="n">
        <v>348300</v>
      </c>
      <c r="AF4082" t="n">
        <v>344000</v>
      </c>
      <c r="AG4082" t="n">
        <v>29106.7</v>
      </c>
      <c r="AH4082" t="n">
        <v>314893.3</v>
      </c>
      <c r="AI4082" t="n">
        <v>0</v>
      </c>
    </row>
    <row r="4083">
      <c r="A4083" t="inlineStr">
        <is>
          <t>5월</t>
        </is>
      </c>
      <c r="B4083" t="inlineStr">
        <is>
          <t>19주차</t>
        </is>
      </c>
      <c r="C4083" t="inlineStr">
        <is>
          <t>EP</t>
        </is>
      </c>
      <c r="D4083" s="28" t="n">
        <v>46150</v>
      </c>
      <c r="E4083" t="inlineStr">
        <is>
          <t>현대EP_fast</t>
        </is>
      </c>
      <c r="F4083" t="inlineStr">
        <is>
          <t>김영훈</t>
        </is>
      </c>
      <c r="G4083" t="inlineStr">
        <is>
          <t>010-4303-7895</t>
        </is>
      </c>
      <c r="H4083" t="inlineStr">
        <is>
          <t>109다8980</t>
        </is>
      </c>
      <c r="I4083" t="n">
        <v>20000000</v>
      </c>
      <c r="J4083" t="n">
        <v>0.145</v>
      </c>
      <c r="K4083" t="n">
        <v>1.76</v>
      </c>
      <c r="L4083" t="n">
        <v>0.14</v>
      </c>
      <c r="M4083" t="n">
        <v>1.62</v>
      </c>
      <c r="P4083" t="inlineStr">
        <is>
          <t>김나윤</t>
        </is>
      </c>
      <c r="Q4083" t="inlineStr">
        <is>
          <t>홈서비스 48개월</t>
        </is>
      </c>
      <c r="AB4083" t="inlineStr">
        <is>
          <t>홈서비스</t>
        </is>
      </c>
      <c r="AC4083" t="n">
        <v>352000</v>
      </c>
      <c r="AD4083" t="n">
        <v>28000</v>
      </c>
      <c r="AE4083" t="n">
        <v>324000</v>
      </c>
      <c r="AF4083" t="n">
        <v>320000</v>
      </c>
      <c r="AG4083" t="n">
        <v>27076</v>
      </c>
      <c r="AH4083" t="n">
        <v>292924</v>
      </c>
      <c r="AI4083" t="n">
        <v>0</v>
      </c>
    </row>
    <row r="4084">
      <c r="A4084" t="inlineStr">
        <is>
          <t>5월</t>
        </is>
      </c>
      <c r="B4084" t="inlineStr">
        <is>
          <t>19주차</t>
        </is>
      </c>
      <c r="C4084" t="inlineStr">
        <is>
          <t>EP</t>
        </is>
      </c>
      <c r="D4084" s="28" t="n">
        <v>46148</v>
      </c>
      <c r="E4084" t="inlineStr">
        <is>
          <t>현대EP_fast</t>
        </is>
      </c>
      <c r="F4084" t="inlineStr">
        <is>
          <t>노영신</t>
        </is>
      </c>
      <c r="G4084" t="inlineStr">
        <is>
          <t>010-6541-6988</t>
        </is>
      </c>
      <c r="H4084" t="inlineStr">
        <is>
          <t>16모8484</t>
        </is>
      </c>
      <c r="I4084" t="n">
        <v>5900000</v>
      </c>
      <c r="J4084" t="n">
        <v>0.118</v>
      </c>
      <c r="K4084" t="n">
        <v>1.76</v>
      </c>
      <c r="L4084" t="n">
        <v>0.5</v>
      </c>
      <c r="M4084" t="n">
        <v>1.26</v>
      </c>
      <c r="P4084" t="inlineStr">
        <is>
          <t>임대경</t>
        </is>
      </c>
      <c r="AB4084" t="inlineStr">
        <is>
          <t>엔카</t>
        </is>
      </c>
      <c r="AC4084" t="n">
        <v>103840</v>
      </c>
      <c r="AD4084" t="n">
        <v>29500</v>
      </c>
      <c r="AE4084" t="n">
        <v>74340</v>
      </c>
      <c r="AF4084" t="n">
        <v>94400</v>
      </c>
      <c r="AG4084" t="n">
        <v>28526.5</v>
      </c>
      <c r="AH4084" t="n">
        <v>65873.5</v>
      </c>
      <c r="AI4084" t="n">
        <v>0</v>
      </c>
    </row>
    <row r="4085">
      <c r="A4085" t="inlineStr">
        <is>
          <t>5월</t>
        </is>
      </c>
      <c r="B4085" t="inlineStr">
        <is>
          <t>19주차</t>
        </is>
      </c>
      <c r="C4085" t="inlineStr">
        <is>
          <t>EP</t>
        </is>
      </c>
      <c r="D4085" s="28" t="n">
        <v>46149</v>
      </c>
      <c r="E4085" t="inlineStr">
        <is>
          <t>현대EP</t>
        </is>
      </c>
      <c r="F4085" t="inlineStr">
        <is>
          <t>김인숙</t>
        </is>
      </c>
      <c r="G4085" t="inlineStr">
        <is>
          <t>010-7637-1959</t>
        </is>
      </c>
      <c r="H4085" t="inlineStr">
        <is>
          <t>16가9069</t>
        </is>
      </c>
      <c r="I4085" t="n">
        <v>14800000</v>
      </c>
      <c r="J4085" t="n">
        <v>0.062</v>
      </c>
      <c r="K4085" t="n">
        <v>1.76</v>
      </c>
      <c r="L4085" t="n">
        <v>0.14</v>
      </c>
      <c r="M4085" t="n">
        <v>1.62</v>
      </c>
      <c r="P4085" t="inlineStr">
        <is>
          <t>임대경</t>
        </is>
      </c>
      <c r="AB4085" t="inlineStr">
        <is>
          <t>홈서비스</t>
        </is>
      </c>
      <c r="AC4085" t="n">
        <v>260480</v>
      </c>
      <c r="AD4085" t="n">
        <v>20720</v>
      </c>
      <c r="AE4085" t="n">
        <v>239760</v>
      </c>
      <c r="AF4085" t="n">
        <v>236800</v>
      </c>
      <c r="AG4085" t="n">
        <v>20036.24</v>
      </c>
      <c r="AH4085" t="n">
        <v>216763.76</v>
      </c>
      <c r="AI4085" t="n">
        <v>0</v>
      </c>
    </row>
    <row r="4086">
      <c r="A4086" t="inlineStr">
        <is>
          <t>5월</t>
        </is>
      </c>
      <c r="B4086" t="inlineStr">
        <is>
          <t>19주차</t>
        </is>
      </c>
      <c r="C4086" t="inlineStr">
        <is>
          <t>IM</t>
        </is>
      </c>
      <c r="D4086" s="28" t="n">
        <v>46151</v>
      </c>
      <c r="E4086" t="inlineStr">
        <is>
          <t>IM캐피탈</t>
        </is>
      </c>
      <c r="F4086" t="inlineStr">
        <is>
          <t>조원우</t>
        </is>
      </c>
      <c r="G4086" t="inlineStr">
        <is>
          <t>010-5038-8101</t>
        </is>
      </c>
      <c r="H4086" t="inlineStr">
        <is>
          <t>129도3287</t>
        </is>
      </c>
      <c r="I4086" t="n">
        <v>58200000</v>
      </c>
      <c r="J4086" t="n">
        <v>0.06900000000000001</v>
      </c>
      <c r="K4086" t="n">
        <v>1.1</v>
      </c>
      <c r="L4086" t="n">
        <v>0.5</v>
      </c>
      <c r="M4086" t="n">
        <v>0.6</v>
      </c>
      <c r="P4086" t="inlineStr">
        <is>
          <t>임대경</t>
        </is>
      </c>
      <c r="Q4086" t="inlineStr">
        <is>
          <t>부대비용 추가진행</t>
        </is>
      </c>
      <c r="AB4086" t="inlineStr">
        <is>
          <t>엔카</t>
        </is>
      </c>
      <c r="AC4086" t="n">
        <v>640200</v>
      </c>
      <c r="AD4086" t="n">
        <v>291000</v>
      </c>
      <c r="AE4086" t="n">
        <v>349200</v>
      </c>
      <c r="AF4086" t="n">
        <v>582000</v>
      </c>
      <c r="AG4086" t="n">
        <v>281397</v>
      </c>
      <c r="AH4086" t="n">
        <v>300603</v>
      </c>
      <c r="AI4086" t="n">
        <v>0</v>
      </c>
    </row>
    <row r="4087">
      <c r="A4087" t="inlineStr">
        <is>
          <t>5월</t>
        </is>
      </c>
      <c r="B4087" t="inlineStr">
        <is>
          <t>19주차</t>
        </is>
      </c>
      <c r="C4087" t="inlineStr">
        <is>
          <t>EP</t>
        </is>
      </c>
      <c r="D4087" s="28" t="n">
        <v>46150</v>
      </c>
      <c r="E4087" t="inlineStr">
        <is>
          <t>BNKEP</t>
        </is>
      </c>
      <c r="F4087" t="inlineStr">
        <is>
          <t>이관호</t>
        </is>
      </c>
      <c r="G4087" t="inlineStr">
        <is>
          <t>010-3199-8480</t>
        </is>
      </c>
      <c r="H4087" t="inlineStr">
        <is>
          <t>51서0383</t>
        </is>
      </c>
      <c r="I4087" t="n">
        <v>16300000</v>
      </c>
      <c r="J4087" t="n">
        <v>0.117</v>
      </c>
      <c r="K4087" t="n">
        <v>1.65</v>
      </c>
      <c r="L4087" t="n">
        <v>0.14</v>
      </c>
      <c r="M4087" t="n">
        <v>1.51</v>
      </c>
      <c r="P4087" t="inlineStr">
        <is>
          <t>김나윤</t>
        </is>
      </c>
      <c r="Q4087" t="inlineStr">
        <is>
          <t>홈서비스 60개월 / 부대비용 추가 진행</t>
        </is>
      </c>
      <c r="AB4087" t="inlineStr">
        <is>
          <t>홈서비스</t>
        </is>
      </c>
      <c r="AC4087" t="n">
        <v>268950</v>
      </c>
      <c r="AD4087" t="n">
        <v>22820</v>
      </c>
      <c r="AE4087" t="n">
        <v>246130</v>
      </c>
      <c r="AF4087" t="n">
        <v>244500</v>
      </c>
      <c r="AG4087" t="n">
        <v>22066.94</v>
      </c>
      <c r="AH4087" t="n">
        <v>222433.06</v>
      </c>
      <c r="AI4087" t="n">
        <v>0</v>
      </c>
    </row>
    <row r="4088">
      <c r="A4088" t="inlineStr">
        <is>
          <t>5월</t>
        </is>
      </c>
      <c r="B4088" t="inlineStr">
        <is>
          <t>19주차</t>
        </is>
      </c>
      <c r="C4088" t="inlineStr">
        <is>
          <t>EP</t>
        </is>
      </c>
      <c r="D4088" s="28" t="n">
        <v>46149</v>
      </c>
      <c r="E4088" t="inlineStr">
        <is>
          <t>현대EP_fast</t>
        </is>
      </c>
      <c r="F4088" t="inlineStr">
        <is>
          <t>김기석</t>
        </is>
      </c>
      <c r="G4088" t="inlineStr">
        <is>
          <t>010-6352-9593</t>
        </is>
      </c>
      <c r="H4088" t="inlineStr">
        <is>
          <t>398부6700</t>
        </is>
      </c>
      <c r="I4088" t="n">
        <v>10000000</v>
      </c>
      <c r="J4088" t="n">
        <v>0.074</v>
      </c>
      <c r="K4088" t="n">
        <v>1.76</v>
      </c>
      <c r="L4088" t="n">
        <v>0.14</v>
      </c>
      <c r="M4088" t="n">
        <v>1.62</v>
      </c>
      <c r="P4088" t="inlineStr">
        <is>
          <t>최형주</t>
        </is>
      </c>
      <c r="Q4088" t="inlineStr">
        <is>
          <t>홈서비스 36개월</t>
        </is>
      </c>
      <c r="AB4088" t="inlineStr">
        <is>
          <t>홈서비스</t>
        </is>
      </c>
      <c r="AC4088" t="n">
        <v>176000</v>
      </c>
      <c r="AD4088" t="n">
        <v>14000</v>
      </c>
      <c r="AE4088" t="n">
        <v>162000</v>
      </c>
      <c r="AF4088" t="n">
        <v>160000</v>
      </c>
      <c r="AG4088" t="n">
        <v>13538</v>
      </c>
      <c r="AH4088" t="n">
        <v>146462</v>
      </c>
      <c r="AI4088" t="n">
        <v>0</v>
      </c>
    </row>
    <row r="4089">
      <c r="A4089" t="inlineStr">
        <is>
          <t>5월</t>
        </is>
      </c>
      <c r="B4089" t="inlineStr">
        <is>
          <t>19주차</t>
        </is>
      </c>
      <c r="C4089" t="inlineStr">
        <is>
          <t>IM</t>
        </is>
      </c>
      <c r="D4089" s="28" t="n">
        <v>46150</v>
      </c>
      <c r="E4089" t="inlineStr">
        <is>
          <t>IM캐피탈</t>
        </is>
      </c>
      <c r="F4089" t="inlineStr">
        <is>
          <t>서정필</t>
        </is>
      </c>
      <c r="G4089" t="inlineStr">
        <is>
          <t>010-4542-4413</t>
        </is>
      </c>
      <c r="H4089" t="inlineStr">
        <is>
          <t>326우8594</t>
        </is>
      </c>
      <c r="I4089" t="n">
        <v>18000000</v>
      </c>
      <c r="J4089" t="n">
        <v>0.045</v>
      </c>
      <c r="K4089" t="n">
        <v>1.1</v>
      </c>
      <c r="L4089" t="n">
        <v>0.14</v>
      </c>
      <c r="M4089" t="n">
        <v>0.96</v>
      </c>
      <c r="P4089" t="inlineStr">
        <is>
          <t>황채이</t>
        </is>
      </c>
      <c r="Q4089" t="inlineStr">
        <is>
          <t>홈서비스 60개월</t>
        </is>
      </c>
      <c r="AB4089" t="inlineStr">
        <is>
          <t>홈서비스</t>
        </is>
      </c>
      <c r="AC4089" t="n">
        <v>198000</v>
      </c>
      <c r="AD4089" t="n">
        <v>25200</v>
      </c>
      <c r="AE4089" t="n">
        <v>172800</v>
      </c>
      <c r="AF4089" t="n">
        <v>180000</v>
      </c>
      <c r="AG4089" t="n">
        <v>24368.4</v>
      </c>
      <c r="AH4089" t="n">
        <v>155631.6</v>
      </c>
      <c r="AI4089" t="n">
        <v>0</v>
      </c>
    </row>
    <row r="4090">
      <c r="A4090" t="inlineStr">
        <is>
          <t>5월</t>
        </is>
      </c>
      <c r="B4090" t="inlineStr">
        <is>
          <t>19주차</t>
        </is>
      </c>
      <c r="C4090" t="inlineStr">
        <is>
          <t>EP</t>
        </is>
      </c>
      <c r="D4090" s="28" t="n">
        <v>46150</v>
      </c>
      <c r="E4090" t="inlineStr">
        <is>
          <t>현대EP</t>
        </is>
      </c>
      <c r="F4090" t="inlineStr">
        <is>
          <t>이나현</t>
        </is>
      </c>
      <c r="G4090" t="inlineStr">
        <is>
          <t>010-3599-5486</t>
        </is>
      </c>
      <c r="H4090" t="inlineStr">
        <is>
          <t>232더3279</t>
        </is>
      </c>
      <c r="I4090" t="n">
        <v>29900000</v>
      </c>
      <c r="J4090" t="n">
        <v>0.089</v>
      </c>
      <c r="K4090" t="n">
        <v>1.76</v>
      </c>
      <c r="L4090" t="n">
        <v>0.14</v>
      </c>
      <c r="M4090" t="n">
        <v>1.62</v>
      </c>
      <c r="P4090" t="inlineStr">
        <is>
          <t>황채이</t>
        </is>
      </c>
      <c r="AB4090" t="inlineStr">
        <is>
          <t>홈서비스</t>
        </is>
      </c>
      <c r="AC4090" t="n">
        <v>526240</v>
      </c>
      <c r="AD4090" t="n">
        <v>41860</v>
      </c>
      <c r="AE4090" t="n">
        <v>484380</v>
      </c>
      <c r="AF4090" t="n">
        <v>478400</v>
      </c>
      <c r="AG4090" t="n">
        <v>40478.62</v>
      </c>
      <c r="AH4090" t="n">
        <v>437921.38</v>
      </c>
    </row>
    <row r="4091">
      <c r="A4091" t="inlineStr">
        <is>
          <t>5월</t>
        </is>
      </c>
      <c r="B4091" t="inlineStr">
        <is>
          <t>19주차</t>
        </is>
      </c>
      <c r="C4091" t="inlineStr">
        <is>
          <t>HC</t>
        </is>
      </c>
      <c r="D4091" s="28" t="n">
        <v>46150</v>
      </c>
      <c r="E4091" t="inlineStr">
        <is>
          <t>하나캐피탈</t>
        </is>
      </c>
      <c r="F4091" t="inlineStr">
        <is>
          <t>서동진</t>
        </is>
      </c>
      <c r="G4091" t="inlineStr">
        <is>
          <t>010-4984-7233</t>
        </is>
      </c>
      <c r="H4091" t="inlineStr">
        <is>
          <t>392오9232</t>
        </is>
      </c>
      <c r="I4091" t="n">
        <v>4000000</v>
      </c>
      <c r="J4091" t="n">
        <v>0.065</v>
      </c>
      <c r="K4091" t="n">
        <v>2.2</v>
      </c>
      <c r="L4091" t="n">
        <v>0.14</v>
      </c>
      <c r="M4091" t="n">
        <v>2.06</v>
      </c>
      <c r="P4091" t="inlineStr">
        <is>
          <t>정세빈</t>
        </is>
      </c>
      <c r="Q4091" t="inlineStr">
        <is>
          <t>홈서비스 60개월</t>
        </is>
      </c>
      <c r="AB4091" t="inlineStr">
        <is>
          <t>홈서비스</t>
        </is>
      </c>
      <c r="AC4091" t="n">
        <v>88000</v>
      </c>
      <c r="AD4091" t="n">
        <v>5600</v>
      </c>
      <c r="AE4091" t="n">
        <v>82400</v>
      </c>
      <c r="AF4091" t="n">
        <v>80000</v>
      </c>
      <c r="AG4091" t="n">
        <v>5415.2</v>
      </c>
      <c r="AH4091" t="n">
        <v>74584.8</v>
      </c>
      <c r="AI4091" t="n">
        <v>0</v>
      </c>
    </row>
    <row r="4092">
      <c r="A4092" t="inlineStr">
        <is>
          <t>5월</t>
        </is>
      </c>
      <c r="B4092" t="inlineStr">
        <is>
          <t>19주차</t>
        </is>
      </c>
      <c r="C4092" t="inlineStr">
        <is>
          <t>EP</t>
        </is>
      </c>
      <c r="D4092" s="28" t="n">
        <v>46149</v>
      </c>
      <c r="E4092" t="inlineStr">
        <is>
          <t>현대EP</t>
        </is>
      </c>
      <c r="F4092" t="inlineStr">
        <is>
          <t>허준</t>
        </is>
      </c>
      <c r="G4092" t="inlineStr">
        <is>
          <t>010-9442-6814</t>
        </is>
      </c>
      <c r="H4092" t="inlineStr">
        <is>
          <t>277오1852</t>
        </is>
      </c>
      <c r="I4092" t="n">
        <v>10100000</v>
      </c>
      <c r="J4092" t="n">
        <v>0.06900000000000001</v>
      </c>
      <c r="K4092" t="n">
        <v>1.76</v>
      </c>
      <c r="L4092" t="n">
        <v>0.14</v>
      </c>
      <c r="M4092" t="n">
        <v>1.62</v>
      </c>
      <c r="P4092" t="inlineStr">
        <is>
          <t>김수연</t>
        </is>
      </c>
      <c r="AB4092" t="inlineStr">
        <is>
          <t>홈서비스</t>
        </is>
      </c>
      <c r="AC4092" t="n">
        <v>177760</v>
      </c>
      <c r="AD4092" t="n">
        <v>14140</v>
      </c>
      <c r="AE4092" t="n">
        <v>163620</v>
      </c>
      <c r="AF4092" t="n">
        <v>161600</v>
      </c>
      <c r="AG4092" t="n">
        <v>13673.38</v>
      </c>
      <c r="AH4092" t="n">
        <v>147926.62</v>
      </c>
      <c r="AI4092" t="n">
        <v>0</v>
      </c>
    </row>
    <row r="4093">
      <c r="A4093" t="inlineStr">
        <is>
          <t>5월</t>
        </is>
      </c>
      <c r="B4093" t="inlineStr">
        <is>
          <t>19주차</t>
        </is>
      </c>
      <c r="C4093" t="inlineStr">
        <is>
          <t>EP</t>
        </is>
      </c>
      <c r="D4093" s="28" t="n">
        <v>46150</v>
      </c>
      <c r="E4093" t="inlineStr">
        <is>
          <t>현대EP</t>
        </is>
      </c>
      <c r="F4093" t="inlineStr">
        <is>
          <t>최범준</t>
        </is>
      </c>
      <c r="G4093" t="inlineStr">
        <is>
          <t>010-2040-0827</t>
        </is>
      </c>
      <c r="H4093" t="inlineStr">
        <is>
          <t>173모9727</t>
        </is>
      </c>
      <c r="I4093" t="n">
        <v>44000000</v>
      </c>
      <c r="J4093" t="n">
        <v>0.09</v>
      </c>
      <c r="K4093" t="n">
        <v>1.76</v>
      </c>
      <c r="L4093" t="n">
        <v>0.14</v>
      </c>
      <c r="M4093" t="n">
        <v>1.62</v>
      </c>
      <c r="P4093" t="inlineStr">
        <is>
          <t>황채이</t>
        </is>
      </c>
      <c r="AB4093" t="inlineStr">
        <is>
          <t>홈서비스</t>
        </is>
      </c>
      <c r="AC4093" t="n">
        <v>774400</v>
      </c>
      <c r="AD4093" t="n">
        <v>61600</v>
      </c>
      <c r="AE4093" t="n">
        <v>712800</v>
      </c>
      <c r="AF4093" t="n">
        <v>704000</v>
      </c>
      <c r="AG4093" t="n">
        <v>59567.2</v>
      </c>
      <c r="AH4093" t="n">
        <v>644432.8</v>
      </c>
      <c r="AI4093" t="n">
        <v>0</v>
      </c>
    </row>
    <row r="4094">
      <c r="A4094" t="inlineStr">
        <is>
          <t>5월</t>
        </is>
      </c>
      <c r="B4094" t="inlineStr">
        <is>
          <t>19주차</t>
        </is>
      </c>
      <c r="C4094" t="inlineStr">
        <is>
          <t>EP</t>
        </is>
      </c>
      <c r="D4094" s="28" t="n">
        <v>46150</v>
      </c>
      <c r="E4094" t="inlineStr">
        <is>
          <t>현대EP_fast</t>
        </is>
      </c>
      <c r="F4094" t="inlineStr">
        <is>
          <t>조수빈</t>
        </is>
      </c>
      <c r="G4094" t="inlineStr">
        <is>
          <t>010-3094-7532</t>
        </is>
      </c>
      <c r="H4094" t="inlineStr">
        <is>
          <t>173도4926</t>
        </is>
      </c>
      <c r="I4094" t="n">
        <v>18700000</v>
      </c>
      <c r="J4094" t="n">
        <v>0.08500000000000001</v>
      </c>
      <c r="K4094" t="n">
        <v>1.76</v>
      </c>
      <c r="L4094" t="n">
        <v>0.14</v>
      </c>
      <c r="M4094" t="n">
        <v>1.62</v>
      </c>
      <c r="P4094" t="inlineStr">
        <is>
          <t>김수연</t>
        </is>
      </c>
      <c r="Q4094" t="inlineStr">
        <is>
          <t>홈서비스 36개월</t>
        </is>
      </c>
      <c r="AB4094" t="inlineStr">
        <is>
          <t>홈서비스</t>
        </is>
      </c>
      <c r="AC4094" t="n">
        <v>329120</v>
      </c>
      <c r="AD4094" t="n">
        <v>26180</v>
      </c>
      <c r="AE4094" t="n">
        <v>302940</v>
      </c>
      <c r="AF4094" t="n">
        <v>299200</v>
      </c>
      <c r="AG4094" t="n">
        <v>25316.06</v>
      </c>
      <c r="AH4094" t="n">
        <v>273883.94</v>
      </c>
      <c r="AI4094" t="n">
        <v>0</v>
      </c>
    </row>
    <row r="4095">
      <c r="A4095" t="inlineStr">
        <is>
          <t>5월</t>
        </is>
      </c>
      <c r="B4095" t="inlineStr">
        <is>
          <t>19주차</t>
        </is>
      </c>
      <c r="C4095" t="inlineStr">
        <is>
          <t>EP</t>
        </is>
      </c>
      <c r="D4095" s="28" t="n">
        <v>46151</v>
      </c>
      <c r="E4095" t="inlineStr">
        <is>
          <t>현대EP</t>
        </is>
      </c>
      <c r="F4095" t="inlineStr">
        <is>
          <t>김세환</t>
        </is>
      </c>
      <c r="G4095" t="inlineStr">
        <is>
          <t>010-3816-3082</t>
        </is>
      </c>
      <c r="H4095" t="inlineStr">
        <is>
          <t>222저5345</t>
        </is>
      </c>
      <c r="I4095" t="n">
        <v>10000000</v>
      </c>
      <c r="J4095" t="n">
        <v>0.075</v>
      </c>
      <c r="K4095" t="n">
        <v>1.76</v>
      </c>
      <c r="L4095" t="n">
        <v>0.14</v>
      </c>
      <c r="M4095" t="n">
        <v>1.62</v>
      </c>
      <c r="P4095" t="inlineStr">
        <is>
          <t>김수연</t>
        </is>
      </c>
      <c r="AB4095" t="inlineStr">
        <is>
          <t>홈서비스</t>
        </is>
      </c>
      <c r="AC4095" t="n">
        <v>176000</v>
      </c>
      <c r="AD4095" t="n">
        <v>14000</v>
      </c>
      <c r="AE4095" t="n">
        <v>162000</v>
      </c>
      <c r="AF4095" t="n">
        <v>160000</v>
      </c>
      <c r="AG4095" t="n">
        <v>13538</v>
      </c>
      <c r="AH4095" t="n">
        <v>146462</v>
      </c>
      <c r="AI4095" t="n">
        <v>0</v>
      </c>
    </row>
    <row r="4096">
      <c r="A4096" t="inlineStr">
        <is>
          <t>5월</t>
        </is>
      </c>
      <c r="B4096" t="inlineStr">
        <is>
          <t>19주차</t>
        </is>
      </c>
      <c r="C4096" t="inlineStr">
        <is>
          <t>EP</t>
        </is>
      </c>
      <c r="D4096" s="28" t="n">
        <v>46152</v>
      </c>
      <c r="E4096" t="inlineStr">
        <is>
          <t>현대EP</t>
        </is>
      </c>
      <c r="F4096" t="inlineStr">
        <is>
          <t>김동현</t>
        </is>
      </c>
      <c r="G4096" t="inlineStr">
        <is>
          <t>010-9047-6004</t>
        </is>
      </c>
      <c r="H4096" t="inlineStr">
        <is>
          <t>141고1540</t>
        </is>
      </c>
      <c r="I4096" t="n">
        <v>28500000</v>
      </c>
      <c r="J4096" t="n">
        <v>0.099</v>
      </c>
      <c r="K4096" t="n">
        <v>1.76</v>
      </c>
      <c r="L4096" t="n">
        <v>0.14</v>
      </c>
      <c r="M4096" t="n">
        <v>1.62</v>
      </c>
      <c r="P4096" t="inlineStr">
        <is>
          <t>김수연</t>
        </is>
      </c>
      <c r="AB4096" t="inlineStr">
        <is>
          <t>홈서비스</t>
        </is>
      </c>
      <c r="AC4096" t="n">
        <v>501600</v>
      </c>
      <c r="AD4096" t="n">
        <v>39900</v>
      </c>
      <c r="AE4096" t="n">
        <v>461700</v>
      </c>
      <c r="AF4096" t="n">
        <v>456000</v>
      </c>
      <c r="AG4096" t="n">
        <v>38583.3</v>
      </c>
      <c r="AH4096" t="n">
        <v>417416.7</v>
      </c>
    </row>
    <row r="4097">
      <c r="A4097" t="inlineStr">
        <is>
          <t>5월</t>
        </is>
      </c>
      <c r="B4097" t="inlineStr">
        <is>
          <t>19주차</t>
        </is>
      </c>
      <c r="C4097" t="inlineStr">
        <is>
          <t>EP</t>
        </is>
      </c>
      <c r="D4097" s="28" t="n">
        <v>46149</v>
      </c>
      <c r="E4097" t="inlineStr">
        <is>
          <t>현대EP</t>
        </is>
      </c>
      <c r="F4097" t="inlineStr">
        <is>
          <t>안지홍</t>
        </is>
      </c>
      <c r="G4097" t="inlineStr">
        <is>
          <t>010-6545-2562</t>
        </is>
      </c>
      <c r="H4097" t="inlineStr">
        <is>
          <t>31우1973</t>
        </is>
      </c>
      <c r="I4097" t="n">
        <v>19600000</v>
      </c>
      <c r="J4097" t="n">
        <v>0.102</v>
      </c>
      <c r="K4097" t="n">
        <v>1.76</v>
      </c>
      <c r="L4097" t="n">
        <v>0.14</v>
      </c>
      <c r="M4097" t="n">
        <v>1.62</v>
      </c>
      <c r="P4097" t="inlineStr">
        <is>
          <t>최형주</t>
        </is>
      </c>
      <c r="AB4097" t="inlineStr">
        <is>
          <t>홈서비스</t>
        </is>
      </c>
      <c r="AC4097" t="n">
        <v>344960</v>
      </c>
      <c r="AD4097" t="n">
        <v>27440</v>
      </c>
      <c r="AE4097" t="n">
        <v>317520</v>
      </c>
      <c r="AF4097" t="n">
        <v>313600</v>
      </c>
      <c r="AG4097" t="n">
        <v>26534.48</v>
      </c>
      <c r="AH4097" t="n">
        <v>287065.52</v>
      </c>
      <c r="AI4097" t="n">
        <v>0</v>
      </c>
    </row>
    <row r="4098">
      <c r="A4098" t="inlineStr">
        <is>
          <t>5월</t>
        </is>
      </c>
      <c r="B4098" t="inlineStr">
        <is>
          <t>19주차</t>
        </is>
      </c>
      <c r="C4098" t="inlineStr">
        <is>
          <t>EP</t>
        </is>
      </c>
      <c r="D4098" s="28" t="n">
        <v>46150</v>
      </c>
      <c r="E4098" t="inlineStr">
        <is>
          <t>현대EP</t>
        </is>
      </c>
      <c r="F4098" t="inlineStr">
        <is>
          <t>서은호</t>
        </is>
      </c>
      <c r="G4098" t="inlineStr">
        <is>
          <t>010-2447-7541</t>
        </is>
      </c>
      <c r="H4098" t="inlineStr">
        <is>
          <t>331우1240</t>
        </is>
      </c>
      <c r="I4098" t="n">
        <v>23300000</v>
      </c>
      <c r="J4098" t="n">
        <v>0.076</v>
      </c>
      <c r="K4098" t="n">
        <v>1.76</v>
      </c>
      <c r="L4098" t="n">
        <v>0.14</v>
      </c>
      <c r="M4098" t="n">
        <v>1.62</v>
      </c>
      <c r="P4098" t="inlineStr">
        <is>
          <t>최형주</t>
        </is>
      </c>
      <c r="AB4098" t="inlineStr">
        <is>
          <t>홈서비스</t>
        </is>
      </c>
      <c r="AC4098" t="n">
        <v>410080</v>
      </c>
      <c r="AD4098" t="n">
        <v>32620</v>
      </c>
      <c r="AE4098" t="n">
        <v>377460</v>
      </c>
      <c r="AF4098" t="n">
        <v>372800</v>
      </c>
      <c r="AG4098" t="n">
        <v>31543.54</v>
      </c>
      <c r="AH4098" t="n">
        <v>341256.46</v>
      </c>
      <c r="AI4098" t="n">
        <v>0</v>
      </c>
    </row>
    <row r="4099">
      <c r="A4099" t="inlineStr">
        <is>
          <t>5월</t>
        </is>
      </c>
      <c r="B4099" t="inlineStr">
        <is>
          <t>19주차</t>
        </is>
      </c>
      <c r="C4099" t="inlineStr">
        <is>
          <t>EP</t>
        </is>
      </c>
      <c r="D4099" s="28" t="n">
        <v>46152</v>
      </c>
      <c r="E4099" t="inlineStr">
        <is>
          <t>현대EP</t>
        </is>
      </c>
      <c r="F4099" t="inlineStr">
        <is>
          <t>심현</t>
        </is>
      </c>
      <c r="G4099" t="inlineStr">
        <is>
          <t>010-9378-5664</t>
        </is>
      </c>
      <c r="H4099" t="inlineStr">
        <is>
          <t>192부6191</t>
        </is>
      </c>
      <c r="I4099" t="n">
        <v>19500000</v>
      </c>
      <c r="J4099" t="n">
        <v>0.06900000000000001</v>
      </c>
      <c r="K4099" t="n">
        <v>1.76</v>
      </c>
      <c r="L4099" t="n">
        <v>0.14</v>
      </c>
      <c r="M4099" t="n">
        <v>1.62</v>
      </c>
      <c r="P4099" t="inlineStr">
        <is>
          <t>최형주</t>
        </is>
      </c>
      <c r="AB4099" t="inlineStr">
        <is>
          <t>홈서비스</t>
        </is>
      </c>
      <c r="AC4099" t="n">
        <v>343200</v>
      </c>
      <c r="AD4099" t="n">
        <v>27300</v>
      </c>
      <c r="AE4099" t="n">
        <v>315900</v>
      </c>
      <c r="AF4099" t="n">
        <v>312000</v>
      </c>
      <c r="AG4099" t="n">
        <v>26399.1</v>
      </c>
      <c r="AH4099" t="n">
        <v>285600.9</v>
      </c>
      <c r="AI4099" t="n">
        <v>0</v>
      </c>
    </row>
    <row r="4100">
      <c r="A4100" t="inlineStr">
        <is>
          <t>5월</t>
        </is>
      </c>
      <c r="B4100" t="inlineStr">
        <is>
          <t>19주차</t>
        </is>
      </c>
      <c r="C4100" t="inlineStr">
        <is>
          <t>EP</t>
        </is>
      </c>
      <c r="D4100" s="28" t="n">
        <v>46149</v>
      </c>
      <c r="E4100" t="inlineStr">
        <is>
          <t>BNKEP</t>
        </is>
      </c>
      <c r="F4100" t="inlineStr">
        <is>
          <t>박경복</t>
        </is>
      </c>
      <c r="G4100" t="inlineStr">
        <is>
          <t>010-3296-6788</t>
        </is>
      </c>
      <c r="H4100" t="inlineStr">
        <is>
          <t>136우2752</t>
        </is>
      </c>
      <c r="I4100" t="n">
        <v>28200000</v>
      </c>
      <c r="J4100" t="n">
        <v>0.08599999999999999</v>
      </c>
      <c r="K4100" t="n">
        <v>1.65</v>
      </c>
      <c r="L4100" t="n">
        <v>0.14</v>
      </c>
      <c r="M4100" t="n">
        <v>1.51</v>
      </c>
      <c r="P4100" t="inlineStr">
        <is>
          <t>장현경</t>
        </is>
      </c>
      <c r="Q4100" t="inlineStr">
        <is>
          <t>선상담 / 홈서비스 72개월</t>
        </is>
      </c>
      <c r="AB4100" t="inlineStr">
        <is>
          <t>홈서비스</t>
        </is>
      </c>
      <c r="AC4100" t="n">
        <v>465300</v>
      </c>
      <c r="AD4100" t="n">
        <v>39480</v>
      </c>
      <c r="AE4100" t="n">
        <v>425820</v>
      </c>
      <c r="AF4100" t="n">
        <v>423000</v>
      </c>
      <c r="AG4100" t="n">
        <v>38177.16</v>
      </c>
      <c r="AH4100" t="n">
        <v>384822.84</v>
      </c>
      <c r="AI4100" t="n">
        <v>0</v>
      </c>
    </row>
    <row r="4101">
      <c r="A4101" t="inlineStr">
        <is>
          <t>5월</t>
        </is>
      </c>
      <c r="B4101" t="inlineStr">
        <is>
          <t>19주차</t>
        </is>
      </c>
      <c r="C4101" t="inlineStr">
        <is>
          <t>IM</t>
        </is>
      </c>
      <c r="D4101" s="28" t="n">
        <v>46150</v>
      </c>
      <c r="E4101" t="inlineStr">
        <is>
          <t>IM캐피탈</t>
        </is>
      </c>
      <c r="F4101" t="inlineStr">
        <is>
          <t>조석주</t>
        </is>
      </c>
      <c r="G4101" t="inlineStr">
        <is>
          <t>010-2139-7123</t>
        </is>
      </c>
      <c r="H4101" t="inlineStr">
        <is>
          <t>89마0450</t>
        </is>
      </c>
      <c r="I4101" t="n">
        <v>21000000</v>
      </c>
      <c r="J4101" t="n">
        <v>0.059</v>
      </c>
      <c r="K4101" t="n">
        <v>1.1</v>
      </c>
      <c r="L4101" t="n">
        <v>0.4</v>
      </c>
      <c r="M4101" t="n">
        <v>0.7</v>
      </c>
      <c r="P4101" t="inlineStr">
        <is>
          <t>박소현</t>
        </is>
      </c>
      <c r="AB4101" t="inlineStr">
        <is>
          <t>엔카</t>
        </is>
      </c>
      <c r="AC4101" t="n">
        <v>231000</v>
      </c>
      <c r="AD4101" t="n">
        <v>84000</v>
      </c>
      <c r="AE4101" t="n">
        <v>147000</v>
      </c>
      <c r="AF4101" t="n">
        <v>210000</v>
      </c>
      <c r="AG4101" t="n">
        <v>81228</v>
      </c>
      <c r="AH4101" t="n">
        <v>128772</v>
      </c>
    </row>
    <row r="4102">
      <c r="A4102" t="inlineStr">
        <is>
          <t>5월</t>
        </is>
      </c>
      <c r="B4102" t="inlineStr">
        <is>
          <t>19주차</t>
        </is>
      </c>
      <c r="C4102" t="inlineStr">
        <is>
          <t>EP</t>
        </is>
      </c>
      <c r="D4102" s="28" t="n">
        <v>46152</v>
      </c>
      <c r="E4102" t="inlineStr">
        <is>
          <t>현대EP</t>
        </is>
      </c>
      <c r="F4102" t="inlineStr">
        <is>
          <t>김지민</t>
        </is>
      </c>
      <c r="G4102" t="inlineStr">
        <is>
          <t>010-5300-1881</t>
        </is>
      </c>
      <c r="H4102" t="inlineStr">
        <is>
          <t>149더3223</t>
        </is>
      </c>
      <c r="I4102" t="n">
        <v>27800000</v>
      </c>
      <c r="J4102" t="n">
        <v>0.06900000000000001</v>
      </c>
      <c r="K4102" t="n">
        <v>1.76</v>
      </c>
      <c r="L4102" t="n">
        <v>0.14</v>
      </c>
      <c r="M4102" t="n">
        <v>1.62</v>
      </c>
      <c r="P4102" t="inlineStr">
        <is>
          <t>김수연</t>
        </is>
      </c>
      <c r="AB4102" t="inlineStr">
        <is>
          <t>홈서비스</t>
        </is>
      </c>
      <c r="AC4102" t="n">
        <v>489280</v>
      </c>
      <c r="AD4102" t="n">
        <v>38920</v>
      </c>
      <c r="AE4102" t="n">
        <v>450360</v>
      </c>
      <c r="AF4102" t="n">
        <v>444800</v>
      </c>
      <c r="AG4102" t="n">
        <v>37635.64</v>
      </c>
      <c r="AH4102" t="n">
        <v>407164.36</v>
      </c>
      <c r="AI4102" t="n">
        <v>0</v>
      </c>
    </row>
    <row r="4103">
      <c r="A4103" t="inlineStr">
        <is>
          <t>5월</t>
        </is>
      </c>
      <c r="B4103" t="inlineStr">
        <is>
          <t>19주차</t>
        </is>
      </c>
      <c r="C4103" t="inlineStr">
        <is>
          <t>EP</t>
        </is>
      </c>
      <c r="D4103" s="28" t="n">
        <v>46150</v>
      </c>
      <c r="E4103" t="inlineStr">
        <is>
          <t>현대EP_진단</t>
        </is>
      </c>
      <c r="F4103" t="inlineStr">
        <is>
          <t>탁월한</t>
        </is>
      </c>
      <c r="G4103" t="inlineStr">
        <is>
          <t>010-6213-0601</t>
        </is>
      </c>
      <c r="H4103" t="inlineStr">
        <is>
          <t>55부3166</t>
        </is>
      </c>
      <c r="I4103" t="n">
        <v>18300000</v>
      </c>
      <c r="J4103" t="n">
        <v>0.146</v>
      </c>
      <c r="K4103" t="n">
        <v>2.475</v>
      </c>
      <c r="L4103" t="n">
        <v>0.4</v>
      </c>
      <c r="M4103" t="n">
        <v>2.075</v>
      </c>
      <c r="P4103" t="inlineStr">
        <is>
          <t>박소현</t>
        </is>
      </c>
      <c r="Q4103" t="inlineStr">
        <is>
          <t>M_엔카페이_고객으로진행</t>
        </is>
      </c>
      <c r="AB4103" t="inlineStr">
        <is>
          <t>엔카</t>
        </is>
      </c>
      <c r="AC4103" t="n">
        <v>452925</v>
      </c>
      <c r="AD4103" t="n">
        <v>73200</v>
      </c>
      <c r="AE4103" t="n">
        <v>379725</v>
      </c>
      <c r="AF4103" t="n">
        <v>411750</v>
      </c>
      <c r="AG4103" t="n">
        <v>70784.39999999999</v>
      </c>
      <c r="AH4103" t="n">
        <v>340965.6</v>
      </c>
      <c r="AI4103" t="n">
        <v>0</v>
      </c>
    </row>
    <row r="4104">
      <c r="A4104" t="inlineStr">
        <is>
          <t>5월</t>
        </is>
      </c>
      <c r="B4104" t="inlineStr">
        <is>
          <t>19주차</t>
        </is>
      </c>
      <c r="C4104" t="inlineStr">
        <is>
          <t>WC</t>
        </is>
      </c>
      <c r="D4104" s="28" t="n">
        <v>46150</v>
      </c>
      <c r="E4104" t="inlineStr">
        <is>
          <t>웰컴저축은행</t>
        </is>
      </c>
      <c r="F4104" t="inlineStr">
        <is>
          <t>오준현</t>
        </is>
      </c>
      <c r="G4104" t="inlineStr">
        <is>
          <t>010-3697-6782</t>
        </is>
      </c>
      <c r="H4104" t="inlineStr">
        <is>
          <t>126조8531</t>
        </is>
      </c>
      <c r="I4104" t="n">
        <v>40000000</v>
      </c>
      <c r="J4104" t="n">
        <v>0.12</v>
      </c>
      <c r="K4104" t="n">
        <v>2.2</v>
      </c>
      <c r="L4104" t="n">
        <v>0.14</v>
      </c>
      <c r="M4104" t="n">
        <v>2.06</v>
      </c>
      <c r="P4104" t="inlineStr">
        <is>
          <t>정세빈</t>
        </is>
      </c>
      <c r="Q4104" t="inlineStr">
        <is>
          <t>홈서비스 60개월 / 부결 DB실행</t>
        </is>
      </c>
      <c r="AB4104" t="inlineStr">
        <is>
          <t>홈서비스</t>
        </is>
      </c>
      <c r="AC4104" t="n">
        <v>880000</v>
      </c>
      <c r="AD4104" t="n">
        <v>56000</v>
      </c>
      <c r="AE4104" t="n">
        <v>824000</v>
      </c>
      <c r="AF4104" t="n">
        <v>800000</v>
      </c>
      <c r="AG4104" t="n">
        <v>54152</v>
      </c>
      <c r="AH4104" t="n">
        <v>745848</v>
      </c>
      <c r="AI4104" t="n">
        <v>0</v>
      </c>
    </row>
    <row r="4105">
      <c r="A4105" t="inlineStr">
        <is>
          <t>5월</t>
        </is>
      </c>
      <c r="B4105" t="inlineStr">
        <is>
          <t>20주차</t>
        </is>
      </c>
      <c r="C4105" t="inlineStr">
        <is>
          <t>EP</t>
        </is>
      </c>
      <c r="D4105" s="28" t="n">
        <v>46153</v>
      </c>
      <c r="E4105" t="inlineStr">
        <is>
          <t>현대EP_fast</t>
        </is>
      </c>
      <c r="F4105" t="inlineStr">
        <is>
          <t>황재희</t>
        </is>
      </c>
      <c r="G4105" t="inlineStr">
        <is>
          <t>010-7350-2799</t>
        </is>
      </c>
      <c r="H4105" t="inlineStr">
        <is>
          <t>209나3083</t>
        </is>
      </c>
      <c r="I4105" t="n">
        <v>13300000</v>
      </c>
      <c r="J4105" t="n">
        <v>0.089</v>
      </c>
      <c r="K4105" t="n">
        <v>1.76</v>
      </c>
      <c r="L4105" t="n">
        <v>0.14</v>
      </c>
      <c r="M4105" t="n">
        <v>1.62</v>
      </c>
      <c r="P4105" t="inlineStr">
        <is>
          <t>박소현</t>
        </is>
      </c>
      <c r="Q4105" t="inlineStr">
        <is>
          <t>선상담 / 홈서비스 60개월</t>
        </is>
      </c>
      <c r="AB4105" t="inlineStr">
        <is>
          <t>홈서비스</t>
        </is>
      </c>
      <c r="AC4105" t="n">
        <v>234080</v>
      </c>
      <c r="AD4105" t="n">
        <v>18620</v>
      </c>
      <c r="AE4105" t="n">
        <v>215460</v>
      </c>
      <c r="AF4105" t="n">
        <v>212800</v>
      </c>
      <c r="AG4105" t="n">
        <v>18005.54</v>
      </c>
      <c r="AH4105" t="n">
        <v>194794.46</v>
      </c>
      <c r="AI4105" t="n">
        <v>0</v>
      </c>
    </row>
    <row r="4106">
      <c r="A4106" t="inlineStr">
        <is>
          <t>5월</t>
        </is>
      </c>
      <c r="B4106" t="inlineStr">
        <is>
          <t>19주차</t>
        </is>
      </c>
      <c r="C4106" t="inlineStr">
        <is>
          <t>EP</t>
        </is>
      </c>
      <c r="D4106" s="28" t="n">
        <v>46150</v>
      </c>
      <c r="E4106" t="inlineStr">
        <is>
          <t>현대EP</t>
        </is>
      </c>
      <c r="F4106" t="inlineStr">
        <is>
          <t>최재봉</t>
        </is>
      </c>
      <c r="G4106" t="inlineStr">
        <is>
          <t>010-6779-7966</t>
        </is>
      </c>
      <c r="H4106" t="inlineStr">
        <is>
          <t>23나3115</t>
        </is>
      </c>
      <c r="I4106" t="n">
        <v>14500000</v>
      </c>
      <c r="J4106" t="n">
        <v>0.105</v>
      </c>
      <c r="K4106" t="n">
        <v>1.76</v>
      </c>
      <c r="L4106" t="n">
        <v>0.14</v>
      </c>
      <c r="M4106" t="n">
        <v>1.62</v>
      </c>
      <c r="P4106" t="inlineStr">
        <is>
          <t>정세빈</t>
        </is>
      </c>
      <c r="AB4106" t="inlineStr">
        <is>
          <t>홈서비스</t>
        </is>
      </c>
      <c r="AC4106" t="n">
        <v>255200</v>
      </c>
      <c r="AD4106" t="n">
        <v>20300</v>
      </c>
      <c r="AE4106" t="n">
        <v>234900</v>
      </c>
      <c r="AF4106" t="n">
        <v>232000</v>
      </c>
      <c r="AG4106" t="n">
        <v>19630.1</v>
      </c>
      <c r="AH4106" t="n">
        <v>212369.9</v>
      </c>
      <c r="AI4106" t="n">
        <v>0</v>
      </c>
    </row>
    <row r="4107">
      <c r="A4107" t="inlineStr">
        <is>
          <t>5월</t>
        </is>
      </c>
      <c r="B4107" t="inlineStr">
        <is>
          <t>19주차</t>
        </is>
      </c>
      <c r="C4107" t="inlineStr">
        <is>
          <t>EP</t>
        </is>
      </c>
      <c r="D4107" s="28" t="n">
        <v>46151</v>
      </c>
      <c r="E4107" t="inlineStr">
        <is>
          <t>현대EP_fast</t>
        </is>
      </c>
      <c r="F4107" t="inlineStr">
        <is>
          <t>김경일</t>
        </is>
      </c>
      <c r="G4107" t="inlineStr">
        <is>
          <t>010-7213-4710</t>
        </is>
      </c>
      <c r="H4107" t="inlineStr">
        <is>
          <t>55부3875</t>
        </is>
      </c>
      <c r="I4107" t="n">
        <v>6600000</v>
      </c>
      <c r="J4107" t="n">
        <v>0.118</v>
      </c>
      <c r="K4107" t="n">
        <v>1.76</v>
      </c>
      <c r="L4107" t="n">
        <v>0.5</v>
      </c>
      <c r="M4107" t="n">
        <v>1.26</v>
      </c>
      <c r="P4107" t="inlineStr">
        <is>
          <t>임대경</t>
        </is>
      </c>
      <c r="AB4107" t="inlineStr">
        <is>
          <t>엔카</t>
        </is>
      </c>
      <c r="AC4107" t="n">
        <v>116160</v>
      </c>
      <c r="AD4107" t="n">
        <v>33000</v>
      </c>
      <c r="AE4107" t="n">
        <v>83160</v>
      </c>
      <c r="AF4107" t="n">
        <v>105600</v>
      </c>
      <c r="AG4107" t="n">
        <v>31911</v>
      </c>
      <c r="AH4107" t="n">
        <v>73689</v>
      </c>
      <c r="AI4107" t="n">
        <v>0</v>
      </c>
    </row>
    <row r="4108">
      <c r="A4108" t="inlineStr">
        <is>
          <t>5월</t>
        </is>
      </c>
      <c r="B4108" t="inlineStr">
        <is>
          <t>20주차</t>
        </is>
      </c>
      <c r="C4108" t="inlineStr">
        <is>
          <t>IM</t>
        </is>
      </c>
      <c r="D4108" s="28" t="n">
        <v>46153</v>
      </c>
      <c r="E4108" t="inlineStr">
        <is>
          <t>IM캐피탈</t>
        </is>
      </c>
      <c r="F4108" t="inlineStr">
        <is>
          <t>박서호</t>
        </is>
      </c>
      <c r="G4108" t="inlineStr">
        <is>
          <t>010-5809-1998</t>
        </is>
      </c>
      <c r="H4108" t="inlineStr">
        <is>
          <t>314라5379</t>
        </is>
      </c>
      <c r="I4108" t="n">
        <v>40000000</v>
      </c>
      <c r="J4108" t="n">
        <v>0.049</v>
      </c>
      <c r="K4108" t="n">
        <v>1.1</v>
      </c>
      <c r="L4108" t="n">
        <v>0.14</v>
      </c>
      <c r="M4108" t="n">
        <v>0.96</v>
      </c>
      <c r="P4108" t="inlineStr">
        <is>
          <t>정세빈</t>
        </is>
      </c>
      <c r="Q4108" t="inlineStr">
        <is>
          <t>홈서비스 72개월</t>
        </is>
      </c>
      <c r="AB4108" t="inlineStr">
        <is>
          <t>홈서비스</t>
        </is>
      </c>
      <c r="AC4108" t="n">
        <v>440000</v>
      </c>
      <c r="AD4108" t="n">
        <v>56000</v>
      </c>
      <c r="AE4108" t="n">
        <v>384000</v>
      </c>
      <c r="AF4108" t="n">
        <v>400000</v>
      </c>
      <c r="AG4108" t="n">
        <v>54152</v>
      </c>
      <c r="AH4108" t="n">
        <v>345848</v>
      </c>
      <c r="AI4108" t="n">
        <v>0</v>
      </c>
    </row>
    <row r="4109">
      <c r="A4109" t="inlineStr">
        <is>
          <t>5월</t>
        </is>
      </c>
      <c r="B4109" t="inlineStr">
        <is>
          <t>19주차</t>
        </is>
      </c>
      <c r="C4109" t="inlineStr">
        <is>
          <t>IM</t>
        </is>
      </c>
      <c r="D4109" s="28" t="n">
        <v>46150</v>
      </c>
      <c r="E4109" t="inlineStr">
        <is>
          <t>IM캐피탈</t>
        </is>
      </c>
      <c r="F4109" t="inlineStr">
        <is>
          <t>김도연</t>
        </is>
      </c>
      <c r="G4109" t="inlineStr">
        <is>
          <t>010-7175-6851</t>
        </is>
      </c>
      <c r="H4109" t="inlineStr">
        <is>
          <t>66너5508</t>
        </is>
      </c>
      <c r="I4109" t="n">
        <v>7500000</v>
      </c>
      <c r="J4109" t="n">
        <v>0.049</v>
      </c>
      <c r="K4109" t="n">
        <v>1.1</v>
      </c>
      <c r="L4109" t="n">
        <v>0.14</v>
      </c>
      <c r="M4109" t="n">
        <v>0.96</v>
      </c>
      <c r="P4109" t="inlineStr">
        <is>
          <t>김나윤</t>
        </is>
      </c>
      <c r="Q4109" t="inlineStr">
        <is>
          <t>홈서비스 60개월</t>
        </is>
      </c>
      <c r="AB4109" t="inlineStr">
        <is>
          <t>홈서비스</t>
        </is>
      </c>
      <c r="AC4109" t="n">
        <v>82500</v>
      </c>
      <c r="AD4109" t="n">
        <v>10500</v>
      </c>
      <c r="AE4109" t="n">
        <v>72000</v>
      </c>
      <c r="AF4109" t="n">
        <v>75000</v>
      </c>
      <c r="AG4109" t="n">
        <v>10153.5</v>
      </c>
      <c r="AH4109" t="n">
        <v>64846.5</v>
      </c>
      <c r="AI4109" t="n">
        <v>0</v>
      </c>
    </row>
    <row r="4110">
      <c r="A4110" t="inlineStr">
        <is>
          <t>5월</t>
        </is>
      </c>
      <c r="B4110" t="inlineStr">
        <is>
          <t>19주차</t>
        </is>
      </c>
      <c r="C4110" t="inlineStr">
        <is>
          <t>EP</t>
        </is>
      </c>
      <c r="D4110" s="28" t="n">
        <v>46150</v>
      </c>
      <c r="E4110" t="inlineStr">
        <is>
          <t>현대EP</t>
        </is>
      </c>
      <c r="F4110" t="inlineStr">
        <is>
          <t>권재희</t>
        </is>
      </c>
      <c r="G4110" t="inlineStr">
        <is>
          <t>010-4121-1990</t>
        </is>
      </c>
      <c r="H4110" t="inlineStr">
        <is>
          <t>356수7210</t>
        </is>
      </c>
      <c r="I4110" t="n">
        <v>23500000</v>
      </c>
      <c r="J4110" t="n">
        <v>0.102</v>
      </c>
      <c r="K4110" t="n">
        <v>1.76</v>
      </c>
      <c r="L4110" t="n">
        <v>0.14</v>
      </c>
      <c r="M4110" t="n">
        <v>1.62</v>
      </c>
      <c r="P4110" t="inlineStr">
        <is>
          <t>김나윤</t>
        </is>
      </c>
      <c r="AB4110" t="inlineStr">
        <is>
          <t>홈서비스</t>
        </is>
      </c>
      <c r="AC4110" t="n">
        <v>413600</v>
      </c>
      <c r="AD4110" t="n">
        <v>32900</v>
      </c>
      <c r="AE4110" t="n">
        <v>380700</v>
      </c>
      <c r="AF4110" t="n">
        <v>376000</v>
      </c>
      <c r="AG4110" t="n">
        <v>31814.3</v>
      </c>
      <c r="AH4110" t="n">
        <v>344185.7</v>
      </c>
    </row>
    <row r="4111">
      <c r="A4111" t="inlineStr">
        <is>
          <t>5월</t>
        </is>
      </c>
      <c r="B4111" t="inlineStr">
        <is>
          <t>19주차</t>
        </is>
      </c>
      <c r="C4111" t="inlineStr">
        <is>
          <t>EP</t>
        </is>
      </c>
      <c r="D4111" s="28" t="n">
        <v>46150</v>
      </c>
      <c r="E4111" t="inlineStr">
        <is>
          <t>현대EP_fast</t>
        </is>
      </c>
      <c r="F4111" t="inlineStr">
        <is>
          <t>김진성</t>
        </is>
      </c>
      <c r="G4111" t="inlineStr">
        <is>
          <t>010-4452-3912</t>
        </is>
      </c>
      <c r="H4111" t="inlineStr">
        <is>
          <t>283버1248</t>
        </is>
      </c>
      <c r="I4111" t="n">
        <v>15000000</v>
      </c>
      <c r="J4111" t="n">
        <v>0.06900000000000001</v>
      </c>
      <c r="K4111" t="n">
        <v>1.76</v>
      </c>
      <c r="L4111" t="n">
        <v>0.4</v>
      </c>
      <c r="M4111" t="n">
        <v>1.36</v>
      </c>
      <c r="P4111" t="inlineStr">
        <is>
          <t>장현경</t>
        </is>
      </c>
      <c r="Q4111" t="inlineStr">
        <is>
          <t>고객주도체결</t>
        </is>
      </c>
      <c r="AB4111" t="inlineStr">
        <is>
          <t>엔카</t>
        </is>
      </c>
      <c r="AC4111" t="n">
        <v>264000</v>
      </c>
      <c r="AD4111" t="n">
        <v>60000</v>
      </c>
      <c r="AE4111" t="n">
        <v>204000</v>
      </c>
      <c r="AF4111" t="n">
        <v>240000</v>
      </c>
      <c r="AG4111" t="n">
        <v>58020</v>
      </c>
      <c r="AH4111" t="n">
        <v>181980</v>
      </c>
    </row>
    <row r="4112">
      <c r="A4112" t="inlineStr">
        <is>
          <t>5월</t>
        </is>
      </c>
      <c r="B4112" t="inlineStr">
        <is>
          <t>19주차</t>
        </is>
      </c>
      <c r="C4112" t="inlineStr">
        <is>
          <t>EP</t>
        </is>
      </c>
      <c r="D4112" s="28" t="n">
        <v>46151</v>
      </c>
      <c r="E4112" t="inlineStr">
        <is>
          <t>현대EP</t>
        </is>
      </c>
      <c r="F4112" t="inlineStr">
        <is>
          <t>박서남</t>
        </is>
      </c>
      <c r="G4112" t="inlineStr">
        <is>
          <t>010-9973-7456</t>
        </is>
      </c>
      <c r="H4112" t="inlineStr">
        <is>
          <t>114오3172</t>
        </is>
      </c>
      <c r="I4112" t="n">
        <v>24500000</v>
      </c>
      <c r="J4112" t="n">
        <v>0.08799999999999999</v>
      </c>
      <c r="K4112" t="n">
        <v>1.76</v>
      </c>
      <c r="L4112" t="n">
        <v>0.14</v>
      </c>
      <c r="M4112" t="n">
        <v>1.62</v>
      </c>
      <c r="P4112" t="inlineStr">
        <is>
          <t>황채이</t>
        </is>
      </c>
      <c r="AB4112" t="inlineStr">
        <is>
          <t>홈서비스</t>
        </is>
      </c>
      <c r="AC4112" t="n">
        <v>431200</v>
      </c>
      <c r="AD4112" t="n">
        <v>34300</v>
      </c>
      <c r="AE4112" t="n">
        <v>396900</v>
      </c>
      <c r="AF4112" t="n">
        <v>392000</v>
      </c>
      <c r="AG4112" t="n">
        <v>33168.1</v>
      </c>
      <c r="AH4112" t="n">
        <v>358831.9</v>
      </c>
      <c r="AI4112" t="n">
        <v>0</v>
      </c>
    </row>
    <row r="4113">
      <c r="A4113" t="inlineStr">
        <is>
          <t>5월</t>
        </is>
      </c>
      <c r="B4113" t="inlineStr">
        <is>
          <t>20주차</t>
        </is>
      </c>
      <c r="C4113" t="inlineStr">
        <is>
          <t>EP</t>
        </is>
      </c>
      <c r="D4113" s="28" t="n">
        <v>46153</v>
      </c>
      <c r="E4113" t="inlineStr">
        <is>
          <t>현대EP_fast</t>
        </is>
      </c>
      <c r="F4113" t="inlineStr">
        <is>
          <t>김용필</t>
        </is>
      </c>
      <c r="G4113" t="inlineStr">
        <is>
          <t>010-7720-0601</t>
        </is>
      </c>
      <c r="H4113" t="inlineStr">
        <is>
          <t>57나0462</t>
        </is>
      </c>
      <c r="I4113" t="n">
        <v>5000000</v>
      </c>
      <c r="J4113" t="n">
        <v>0.074</v>
      </c>
      <c r="K4113" t="n">
        <v>1.76</v>
      </c>
      <c r="L4113" t="n">
        <v>0.14</v>
      </c>
      <c r="M4113" t="n">
        <v>1.62</v>
      </c>
      <c r="P4113" t="inlineStr">
        <is>
          <t>황채이</t>
        </is>
      </c>
      <c r="Q4113" t="inlineStr">
        <is>
          <t>홈서비스 36개월</t>
        </is>
      </c>
      <c r="AB4113" t="inlineStr">
        <is>
          <t>홈서비스</t>
        </is>
      </c>
      <c r="AC4113" t="n">
        <v>88000</v>
      </c>
      <c r="AD4113" t="n">
        <v>7000</v>
      </c>
      <c r="AE4113" t="n">
        <v>81000</v>
      </c>
      <c r="AF4113" t="n">
        <v>80000</v>
      </c>
      <c r="AG4113" t="n">
        <v>6769</v>
      </c>
      <c r="AH4113" t="n">
        <v>73231</v>
      </c>
      <c r="AI4113" t="n">
        <v>0</v>
      </c>
    </row>
    <row r="4114">
      <c r="A4114" t="inlineStr">
        <is>
          <t>5월</t>
        </is>
      </c>
      <c r="B4114" t="inlineStr">
        <is>
          <t>19주차</t>
        </is>
      </c>
      <c r="C4114" t="inlineStr">
        <is>
          <t>EP</t>
        </is>
      </c>
      <c r="D4114" s="28" t="n">
        <v>46152</v>
      </c>
      <c r="E4114" t="inlineStr">
        <is>
          <t>현대EP</t>
        </is>
      </c>
      <c r="F4114" t="inlineStr">
        <is>
          <t>김태진</t>
        </is>
      </c>
      <c r="G4114" t="inlineStr">
        <is>
          <t>010-6421-6281</t>
        </is>
      </c>
      <c r="H4114" t="inlineStr">
        <is>
          <t>22더9160</t>
        </is>
      </c>
      <c r="I4114" t="n">
        <v>6900000</v>
      </c>
      <c r="J4114" t="n">
        <v>0.06900000000000001</v>
      </c>
      <c r="K4114" t="n">
        <v>1.76</v>
      </c>
      <c r="L4114" t="n">
        <v>0.14</v>
      </c>
      <c r="M4114" t="n">
        <v>1.62</v>
      </c>
      <c r="P4114" t="inlineStr">
        <is>
          <t>김수연</t>
        </is>
      </c>
      <c r="AB4114" t="inlineStr">
        <is>
          <t>홈서비스</t>
        </is>
      </c>
      <c r="AC4114" t="n">
        <v>121440</v>
      </c>
      <c r="AD4114" t="n">
        <v>9660</v>
      </c>
      <c r="AE4114" t="n">
        <v>111780</v>
      </c>
      <c r="AF4114" t="n">
        <v>110400</v>
      </c>
      <c r="AG4114" t="n">
        <v>9341.219999999999</v>
      </c>
      <c r="AH4114" t="n">
        <v>101058.78</v>
      </c>
      <c r="AI4114" t="n">
        <v>0</v>
      </c>
    </row>
    <row r="4115">
      <c r="A4115" t="inlineStr">
        <is>
          <t>5월</t>
        </is>
      </c>
      <c r="B4115" t="inlineStr">
        <is>
          <t>20주차</t>
        </is>
      </c>
      <c r="C4115" t="inlineStr">
        <is>
          <t>EP</t>
        </is>
      </c>
      <c r="D4115" s="28" t="n">
        <v>46153</v>
      </c>
      <c r="E4115" t="inlineStr">
        <is>
          <t>현대EP_fast</t>
        </is>
      </c>
      <c r="F4115" t="inlineStr">
        <is>
          <t>강건영</t>
        </is>
      </c>
      <c r="G4115" t="inlineStr">
        <is>
          <t>010-3825-4911</t>
        </is>
      </c>
      <c r="H4115" t="inlineStr">
        <is>
          <t>02두9025</t>
        </is>
      </c>
      <c r="I4115" t="n">
        <v>20000000</v>
      </c>
      <c r="J4115" t="n">
        <v>0.099</v>
      </c>
      <c r="K4115" t="n">
        <v>1.76</v>
      </c>
      <c r="L4115" t="n">
        <v>0.14</v>
      </c>
      <c r="M4115" t="n">
        <v>1.62</v>
      </c>
      <c r="P4115" t="inlineStr">
        <is>
          <t>정세빈</t>
        </is>
      </c>
      <c r="Q4115" t="inlineStr">
        <is>
          <t>홈서비스 36개월</t>
        </is>
      </c>
      <c r="AB4115" t="inlineStr">
        <is>
          <t>홈서비스</t>
        </is>
      </c>
      <c r="AC4115" t="n">
        <v>352000</v>
      </c>
      <c r="AD4115" t="n">
        <v>28000</v>
      </c>
      <c r="AE4115" t="n">
        <v>324000</v>
      </c>
      <c r="AF4115" t="n">
        <v>320000</v>
      </c>
      <c r="AG4115" t="n">
        <v>27076</v>
      </c>
      <c r="AH4115" t="n">
        <v>292924</v>
      </c>
      <c r="AI4115" t="n">
        <v>0</v>
      </c>
    </row>
    <row r="4116">
      <c r="A4116" t="inlineStr">
        <is>
          <t>5월</t>
        </is>
      </c>
      <c r="B4116" t="inlineStr">
        <is>
          <t>20주차</t>
        </is>
      </c>
      <c r="C4116" t="inlineStr">
        <is>
          <t>IM</t>
        </is>
      </c>
      <c r="D4116" s="28" t="n">
        <v>46153</v>
      </c>
      <c r="E4116" t="inlineStr">
        <is>
          <t>IM캐피탈</t>
        </is>
      </c>
      <c r="F4116" t="inlineStr">
        <is>
          <t>구외선</t>
        </is>
      </c>
      <c r="G4116" t="inlineStr">
        <is>
          <t>010-3266-3997</t>
        </is>
      </c>
      <c r="H4116" t="inlineStr">
        <is>
          <t>42라7510</t>
        </is>
      </c>
      <c r="I4116" t="n">
        <v>21000000</v>
      </c>
      <c r="J4116" t="n">
        <v>0.049</v>
      </c>
      <c r="K4116" t="n">
        <v>1.1</v>
      </c>
      <c r="L4116" t="n">
        <v>0.4</v>
      </c>
      <c r="M4116" t="n">
        <v>0.7</v>
      </c>
      <c r="P4116" t="inlineStr">
        <is>
          <t>장현경</t>
        </is>
      </c>
      <c r="AB4116" t="inlineStr">
        <is>
          <t>엔카</t>
        </is>
      </c>
      <c r="AC4116" t="n">
        <v>231000</v>
      </c>
      <c r="AD4116" t="n">
        <v>84000</v>
      </c>
      <c r="AE4116" t="n">
        <v>147000</v>
      </c>
      <c r="AF4116" t="n">
        <v>210000</v>
      </c>
      <c r="AG4116" t="n">
        <v>81228</v>
      </c>
      <c r="AH4116" t="n">
        <v>128772</v>
      </c>
      <c r="AI4116" t="n">
        <v>0</v>
      </c>
    </row>
    <row r="4117">
      <c r="A4117" t="inlineStr">
        <is>
          <t>5월</t>
        </is>
      </c>
      <c r="B4117" t="inlineStr">
        <is>
          <t>19주차</t>
        </is>
      </c>
      <c r="C4117" t="inlineStr">
        <is>
          <t>IM</t>
        </is>
      </c>
      <c r="D4117" s="28" t="n">
        <v>46149</v>
      </c>
      <c r="E4117" t="inlineStr">
        <is>
          <t>IM캐피탈</t>
        </is>
      </c>
      <c r="F4117" t="inlineStr">
        <is>
          <t>석경주</t>
        </is>
      </c>
      <c r="G4117" t="inlineStr">
        <is>
          <t>010-7582-6680</t>
        </is>
      </c>
      <c r="H4117" t="inlineStr">
        <is>
          <t>331두1336</t>
        </is>
      </c>
      <c r="I4117" t="n">
        <v>44500000</v>
      </c>
      <c r="J4117" t="n">
        <v>0.067</v>
      </c>
      <c r="K4117" t="n">
        <v>1.1</v>
      </c>
      <c r="L4117" t="n">
        <v>0.14</v>
      </c>
      <c r="M4117" t="n">
        <v>0.96</v>
      </c>
      <c r="P4117" t="inlineStr">
        <is>
          <t>구성완</t>
        </is>
      </c>
      <c r="Q4117" t="inlineStr">
        <is>
          <t>안심거래존건</t>
        </is>
      </c>
      <c r="AB4117" t="inlineStr">
        <is>
          <t>믿고</t>
        </is>
      </c>
      <c r="AC4117" t="n">
        <v>489500</v>
      </c>
      <c r="AD4117" t="n">
        <v>62300</v>
      </c>
      <c r="AE4117" t="n">
        <v>427200</v>
      </c>
      <c r="AF4117" t="n">
        <v>445000</v>
      </c>
      <c r="AG4117" t="n">
        <v>60244.1</v>
      </c>
      <c r="AH4117" t="n">
        <v>384755.9</v>
      </c>
      <c r="AI4117" t="n">
        <v>0</v>
      </c>
    </row>
    <row r="4118">
      <c r="A4118" t="inlineStr">
        <is>
          <t>5월</t>
        </is>
      </c>
      <c r="B4118" t="inlineStr">
        <is>
          <t>20주차</t>
        </is>
      </c>
      <c r="C4118" t="inlineStr">
        <is>
          <t>EP</t>
        </is>
      </c>
      <c r="D4118" s="28" t="n">
        <v>46153</v>
      </c>
      <c r="E4118" t="inlineStr">
        <is>
          <t>현대EP_fast</t>
        </is>
      </c>
      <c r="F4118" t="inlineStr">
        <is>
          <t>남승호</t>
        </is>
      </c>
      <c r="G4118" t="inlineStr">
        <is>
          <t>010-4103-4422</t>
        </is>
      </c>
      <c r="H4118" t="inlineStr">
        <is>
          <t>246수1505</t>
        </is>
      </c>
      <c r="I4118" t="n">
        <v>20000000</v>
      </c>
      <c r="J4118" t="n">
        <v>0.118</v>
      </c>
      <c r="K4118" t="n">
        <v>1.76</v>
      </c>
      <c r="L4118" t="n">
        <v>0.14</v>
      </c>
      <c r="M4118" t="n">
        <v>1.62</v>
      </c>
      <c r="P4118" t="inlineStr">
        <is>
          <t>김수연</t>
        </is>
      </c>
      <c r="Q4118" t="inlineStr">
        <is>
          <t>홈서비스 36개월</t>
        </is>
      </c>
      <c r="AB4118" t="inlineStr">
        <is>
          <t>홈서비스</t>
        </is>
      </c>
      <c r="AC4118" t="n">
        <v>352000</v>
      </c>
      <c r="AD4118" t="n">
        <v>28000</v>
      </c>
      <c r="AE4118" t="n">
        <v>324000</v>
      </c>
      <c r="AF4118" t="n">
        <v>320000</v>
      </c>
      <c r="AG4118" t="n">
        <v>27076</v>
      </c>
      <c r="AH4118" t="n">
        <v>292924</v>
      </c>
    </row>
    <row r="4119">
      <c r="A4119" t="inlineStr">
        <is>
          <t>5월</t>
        </is>
      </c>
      <c r="B4119" t="inlineStr">
        <is>
          <t>19주차</t>
        </is>
      </c>
      <c r="C4119" t="inlineStr">
        <is>
          <t>IM</t>
        </is>
      </c>
      <c r="D4119" s="28" t="n">
        <v>46150</v>
      </c>
      <c r="E4119" t="inlineStr">
        <is>
          <t>IM캐피탈</t>
        </is>
      </c>
      <c r="F4119" t="inlineStr">
        <is>
          <t>정순정</t>
        </is>
      </c>
      <c r="G4119" t="inlineStr">
        <is>
          <t>010-3302-7027</t>
        </is>
      </c>
      <c r="H4119" t="inlineStr">
        <is>
          <t>377버2831</t>
        </is>
      </c>
      <c r="I4119" t="n">
        <v>23000000</v>
      </c>
      <c r="J4119" t="n">
        <v>0.049</v>
      </c>
      <c r="K4119" t="n">
        <v>1.1</v>
      </c>
      <c r="L4119" t="n">
        <v>0.4</v>
      </c>
      <c r="M4119" t="n">
        <v>0.7</v>
      </c>
      <c r="P4119" t="inlineStr">
        <is>
          <t>구성완</t>
        </is>
      </c>
      <c r="AB4119" t="inlineStr">
        <is>
          <t>엔카</t>
        </is>
      </c>
      <c r="AC4119" t="n">
        <v>253000</v>
      </c>
      <c r="AD4119" t="n">
        <v>92000</v>
      </c>
      <c r="AE4119" t="n">
        <v>161000</v>
      </c>
      <c r="AF4119" t="n">
        <v>230000</v>
      </c>
      <c r="AG4119" t="n">
        <v>88964</v>
      </c>
      <c r="AH4119" t="n">
        <v>141036</v>
      </c>
      <c r="AI4119" t="n">
        <v>0</v>
      </c>
    </row>
    <row r="4120">
      <c r="A4120" t="inlineStr">
        <is>
          <t>5월</t>
        </is>
      </c>
      <c r="B4120" t="inlineStr">
        <is>
          <t>20주차</t>
        </is>
      </c>
      <c r="C4120" t="inlineStr">
        <is>
          <t>IM</t>
        </is>
      </c>
      <c r="D4120" s="28" t="n">
        <v>46153</v>
      </c>
      <c r="E4120" t="inlineStr">
        <is>
          <t>IM캐피탈</t>
        </is>
      </c>
      <c r="F4120" t="inlineStr">
        <is>
          <t>최영규</t>
        </is>
      </c>
      <c r="G4120" t="inlineStr">
        <is>
          <t>010-7770-9674</t>
        </is>
      </c>
      <c r="H4120" t="inlineStr">
        <is>
          <t>337서6369</t>
        </is>
      </c>
      <c r="I4120" t="n">
        <v>14000000</v>
      </c>
      <c r="J4120" t="n">
        <v>0.049</v>
      </c>
      <c r="K4120" t="n">
        <v>1.1</v>
      </c>
      <c r="L4120" t="n">
        <v>0.14</v>
      </c>
      <c r="M4120" t="n">
        <v>0.96</v>
      </c>
      <c r="P4120" t="inlineStr">
        <is>
          <t>정세빈</t>
        </is>
      </c>
      <c r="Q4120" t="inlineStr">
        <is>
          <t>홈서비스 36개월</t>
        </is>
      </c>
      <c r="AB4120" t="inlineStr">
        <is>
          <t>홈서비스</t>
        </is>
      </c>
      <c r="AC4120" t="n">
        <v>154000</v>
      </c>
      <c r="AD4120" t="n">
        <v>19600</v>
      </c>
      <c r="AE4120" t="n">
        <v>134400</v>
      </c>
      <c r="AF4120" t="n">
        <v>140000</v>
      </c>
      <c r="AG4120" t="n">
        <v>18953.2</v>
      </c>
      <c r="AH4120" t="n">
        <v>121046.8</v>
      </c>
      <c r="AI4120" t="n">
        <v>0</v>
      </c>
    </row>
    <row r="4121">
      <c r="A4121" t="inlineStr">
        <is>
          <t>5월</t>
        </is>
      </c>
      <c r="B4121" t="inlineStr">
        <is>
          <t>20주차</t>
        </is>
      </c>
      <c r="C4121" t="inlineStr">
        <is>
          <t>EP</t>
        </is>
      </c>
      <c r="D4121" s="28" t="n">
        <v>46153</v>
      </c>
      <c r="E4121" t="inlineStr">
        <is>
          <t>BNKEP</t>
        </is>
      </c>
      <c r="F4121" t="inlineStr">
        <is>
          <t>김봉혁</t>
        </is>
      </c>
      <c r="G4121" t="inlineStr">
        <is>
          <t>010-7711-5171</t>
        </is>
      </c>
      <c r="H4121" t="inlineStr">
        <is>
          <t>30노1393</t>
        </is>
      </c>
      <c r="I4121" t="n">
        <v>21100000</v>
      </c>
      <c r="J4121" t="n">
        <v>0.106</v>
      </c>
      <c r="K4121" t="n">
        <v>1.65</v>
      </c>
      <c r="L4121" t="n">
        <v>0.14</v>
      </c>
      <c r="M4121" t="n">
        <v>1.51</v>
      </c>
      <c r="P4121" t="inlineStr">
        <is>
          <t>황채이</t>
        </is>
      </c>
      <c r="Q4121" t="inlineStr">
        <is>
          <t>홈서비스 24개월 / 부대비용 추가진행</t>
        </is>
      </c>
      <c r="AB4121" t="inlineStr">
        <is>
          <t>홈서비스</t>
        </is>
      </c>
      <c r="AC4121" t="n">
        <v>348150</v>
      </c>
      <c r="AD4121" t="n">
        <v>29540</v>
      </c>
      <c r="AE4121" t="n">
        <v>318610</v>
      </c>
      <c r="AF4121" t="n">
        <v>316500</v>
      </c>
      <c r="AG4121" t="n">
        <v>28565.18</v>
      </c>
      <c r="AH4121" t="n">
        <v>287934.82</v>
      </c>
      <c r="AI4121" t="n">
        <v>0</v>
      </c>
    </row>
    <row r="4122">
      <c r="A4122" t="inlineStr">
        <is>
          <t>5월</t>
        </is>
      </c>
      <c r="B4122" t="inlineStr">
        <is>
          <t>19주차</t>
        </is>
      </c>
      <c r="C4122" t="inlineStr">
        <is>
          <t>EP</t>
        </is>
      </c>
      <c r="D4122" s="28" t="n">
        <v>46152</v>
      </c>
      <c r="E4122" t="inlineStr">
        <is>
          <t>현대EP_fast</t>
        </is>
      </c>
      <c r="F4122" t="inlineStr">
        <is>
          <t>김주현</t>
        </is>
      </c>
      <c r="G4122" t="inlineStr">
        <is>
          <t>010-6580-6805</t>
        </is>
      </c>
      <c r="H4122" t="inlineStr">
        <is>
          <t>28디0251</t>
        </is>
      </c>
      <c r="I4122" t="n">
        <v>13500000</v>
      </c>
      <c r="J4122" t="n">
        <v>0.099</v>
      </c>
      <c r="K4122" t="n">
        <v>1.76</v>
      </c>
      <c r="L4122" t="n">
        <v>0.5</v>
      </c>
      <c r="M4122" t="n">
        <v>1.26</v>
      </c>
      <c r="P4122" t="inlineStr">
        <is>
          <t>임대경</t>
        </is>
      </c>
      <c r="AB4122" t="inlineStr">
        <is>
          <t>엔카</t>
        </is>
      </c>
      <c r="AC4122" t="n">
        <v>237600</v>
      </c>
      <c r="AD4122" t="n">
        <v>67500</v>
      </c>
      <c r="AE4122" t="n">
        <v>170100</v>
      </c>
      <c r="AF4122" t="n">
        <v>216000</v>
      </c>
      <c r="AG4122" t="n">
        <v>65272.5</v>
      </c>
      <c r="AH4122" t="n">
        <v>150727.5</v>
      </c>
    </row>
    <row r="4123">
      <c r="A4123" t="inlineStr">
        <is>
          <t>5월</t>
        </is>
      </c>
      <c r="B4123" t="inlineStr">
        <is>
          <t>19주차</t>
        </is>
      </c>
      <c r="C4123" t="inlineStr">
        <is>
          <t>EP</t>
        </is>
      </c>
      <c r="D4123" s="28" t="n">
        <v>46148</v>
      </c>
      <c r="E4123" t="inlineStr">
        <is>
          <t>현대EP_fast</t>
        </is>
      </c>
      <c r="F4123" t="inlineStr">
        <is>
          <t>신동우</t>
        </is>
      </c>
      <c r="G4123" t="inlineStr">
        <is>
          <t>010-8576-7599</t>
        </is>
      </c>
      <c r="H4123" t="inlineStr">
        <is>
          <t>05수5106</t>
        </is>
      </c>
      <c r="I4123" t="n">
        <v>18300000</v>
      </c>
      <c r="J4123" t="n">
        <v>0.118</v>
      </c>
      <c r="K4123" t="n">
        <v>1.76</v>
      </c>
      <c r="L4123" t="n">
        <v>0.14</v>
      </c>
      <c r="M4123" t="n">
        <v>1.62</v>
      </c>
      <c r="P4123" t="inlineStr">
        <is>
          <t>장진경</t>
        </is>
      </c>
      <c r="Q4123" t="inlineStr">
        <is>
          <t>선상담 / 홈서비스 60개월</t>
        </is>
      </c>
      <c r="AB4123" t="inlineStr">
        <is>
          <t>홈서비스</t>
        </is>
      </c>
      <c r="AC4123" t="n">
        <v>322080</v>
      </c>
      <c r="AD4123" t="n">
        <v>25620</v>
      </c>
      <c r="AE4123" t="n">
        <v>296460</v>
      </c>
      <c r="AF4123" t="n">
        <v>292800</v>
      </c>
      <c r="AG4123" t="n">
        <v>24774.54</v>
      </c>
      <c r="AH4123" t="n">
        <v>268025.46</v>
      </c>
      <c r="AI4123" t="n">
        <v>0</v>
      </c>
    </row>
    <row r="4124">
      <c r="A4124" t="inlineStr">
        <is>
          <t>5월</t>
        </is>
      </c>
      <c r="B4124" t="inlineStr">
        <is>
          <t>19주차</t>
        </is>
      </c>
      <c r="C4124" t="inlineStr">
        <is>
          <t>IM</t>
        </is>
      </c>
      <c r="D4124" s="28" t="n">
        <v>46150</v>
      </c>
      <c r="E4124" t="inlineStr">
        <is>
          <t>IM캐피탈</t>
        </is>
      </c>
      <c r="F4124" t="inlineStr">
        <is>
          <t>오재송</t>
        </is>
      </c>
      <c r="G4124" t="inlineStr">
        <is>
          <t>010-6474-1238</t>
        </is>
      </c>
      <c r="H4124" t="inlineStr">
        <is>
          <t>102루8279</t>
        </is>
      </c>
      <c r="I4124" t="n">
        <v>67500000</v>
      </c>
      <c r="J4124" t="n">
        <v>0.06900000000000001</v>
      </c>
      <c r="K4124" t="n">
        <v>1.1</v>
      </c>
      <c r="L4124" t="n">
        <v>0.14</v>
      </c>
      <c r="M4124" t="n">
        <v>0.96</v>
      </c>
      <c r="P4124" t="inlineStr">
        <is>
          <t>최혁</t>
        </is>
      </c>
      <c r="Q4124" t="inlineStr">
        <is>
          <t>홈서비스72개월</t>
        </is>
      </c>
      <c r="AB4124" t="inlineStr">
        <is>
          <t>홈서비스</t>
        </is>
      </c>
      <c r="AC4124" t="n">
        <v>742500</v>
      </c>
      <c r="AD4124" t="n">
        <v>94500</v>
      </c>
      <c r="AE4124" t="n">
        <v>648000</v>
      </c>
      <c r="AF4124" t="n">
        <v>675000</v>
      </c>
      <c r="AG4124" t="n">
        <v>91381.5</v>
      </c>
      <c r="AH4124" t="n">
        <v>583618.5</v>
      </c>
      <c r="AI4124" t="n">
        <v>0</v>
      </c>
    </row>
    <row r="4125">
      <c r="A4125" t="inlineStr">
        <is>
          <t>5월</t>
        </is>
      </c>
      <c r="B4125" t="inlineStr">
        <is>
          <t>20주차</t>
        </is>
      </c>
      <c r="C4125" t="inlineStr">
        <is>
          <t>EP</t>
        </is>
      </c>
      <c r="D4125" s="28" t="n">
        <v>46153</v>
      </c>
      <c r="E4125" t="inlineStr">
        <is>
          <t>BNKEP</t>
        </is>
      </c>
      <c r="F4125" t="inlineStr">
        <is>
          <t>김명재</t>
        </is>
      </c>
      <c r="G4125" t="inlineStr">
        <is>
          <t>010-9904-0052</t>
        </is>
      </c>
      <c r="H4125" t="inlineStr">
        <is>
          <t>317구1855</t>
        </is>
      </c>
      <c r="I4125" t="n">
        <v>10000000</v>
      </c>
      <c r="J4125" t="n">
        <v>0.055</v>
      </c>
      <c r="K4125" t="n">
        <v>1.65</v>
      </c>
      <c r="L4125" t="n">
        <v>0.4</v>
      </c>
      <c r="M4125" t="n">
        <v>1.25</v>
      </c>
      <c r="P4125" t="inlineStr">
        <is>
          <t>장현경</t>
        </is>
      </c>
      <c r="Q4125" t="inlineStr">
        <is>
          <t>고객송금론진행</t>
        </is>
      </c>
      <c r="AB4125" t="inlineStr">
        <is>
          <t>엔카</t>
        </is>
      </c>
      <c r="AC4125" t="n">
        <v>165000</v>
      </c>
      <c r="AD4125" t="n">
        <v>40000</v>
      </c>
      <c r="AE4125" t="n">
        <v>125000</v>
      </c>
      <c r="AF4125" t="n">
        <v>150000</v>
      </c>
      <c r="AG4125" t="n">
        <v>38680</v>
      </c>
      <c r="AH4125" t="n">
        <v>111320</v>
      </c>
      <c r="AI4125" t="n">
        <v>0</v>
      </c>
    </row>
    <row r="4126">
      <c r="A4126" t="inlineStr">
        <is>
          <t>5월</t>
        </is>
      </c>
      <c r="B4126" t="inlineStr">
        <is>
          <t>20주차</t>
        </is>
      </c>
      <c r="C4126" t="inlineStr">
        <is>
          <t>IM</t>
        </is>
      </c>
      <c r="D4126" s="28" t="n">
        <v>46153</v>
      </c>
      <c r="E4126" t="inlineStr">
        <is>
          <t>IM캐피탈</t>
        </is>
      </c>
      <c r="F4126" t="inlineStr">
        <is>
          <t>조성민</t>
        </is>
      </c>
      <c r="G4126" t="inlineStr">
        <is>
          <t>010-8737-3959</t>
        </is>
      </c>
      <c r="H4126" t="inlineStr">
        <is>
          <t>155부5266</t>
        </is>
      </c>
      <c r="I4126" t="n">
        <v>45500000</v>
      </c>
      <c r="J4126" t="n">
        <v>0.059</v>
      </c>
      <c r="K4126" t="n">
        <v>1.1</v>
      </c>
      <c r="L4126" t="n">
        <v>0.14</v>
      </c>
      <c r="M4126" t="n">
        <v>0.96</v>
      </c>
      <c r="P4126" t="inlineStr">
        <is>
          <t>김나윤</t>
        </is>
      </c>
      <c r="Q4126" t="inlineStr">
        <is>
          <t>홈서비스 36개월</t>
        </is>
      </c>
      <c r="AB4126" t="inlineStr">
        <is>
          <t>홈서비스</t>
        </is>
      </c>
      <c r="AC4126" t="n">
        <v>500500</v>
      </c>
      <c r="AD4126" t="n">
        <v>63700</v>
      </c>
      <c r="AE4126" t="n">
        <v>436800</v>
      </c>
      <c r="AF4126" t="n">
        <v>455000</v>
      </c>
      <c r="AG4126" t="n">
        <v>61597.9</v>
      </c>
      <c r="AH4126" t="n">
        <v>393402.1</v>
      </c>
    </row>
    <row r="4127">
      <c r="A4127" t="inlineStr">
        <is>
          <t>5월</t>
        </is>
      </c>
      <c r="B4127" t="inlineStr">
        <is>
          <t>20주차</t>
        </is>
      </c>
      <c r="C4127" t="inlineStr">
        <is>
          <t>EP</t>
        </is>
      </c>
      <c r="D4127" s="28" t="n">
        <v>46153</v>
      </c>
      <c r="E4127" t="inlineStr">
        <is>
          <t>BNKEP</t>
        </is>
      </c>
      <c r="F4127" t="inlineStr">
        <is>
          <t>김선혁</t>
        </is>
      </c>
      <c r="G4127" t="inlineStr">
        <is>
          <t>010-9599-9417</t>
        </is>
      </c>
      <c r="H4127" t="inlineStr">
        <is>
          <t>108어7820</t>
        </is>
      </c>
      <c r="I4127" t="n">
        <v>40100000</v>
      </c>
      <c r="J4127" t="n">
        <v>0.07199999999999999</v>
      </c>
      <c r="K4127" t="n">
        <v>1.65</v>
      </c>
      <c r="L4127" t="n">
        <v>0.14</v>
      </c>
      <c r="M4127" t="n">
        <v>1.51</v>
      </c>
      <c r="P4127" t="inlineStr">
        <is>
          <t>김나윤</t>
        </is>
      </c>
      <c r="Q4127" t="inlineStr">
        <is>
          <t>홈서비스 60개월 / 부대비용 추가진행</t>
        </is>
      </c>
      <c r="AB4127" t="inlineStr">
        <is>
          <t>홈서비스</t>
        </is>
      </c>
      <c r="AC4127" t="n">
        <v>661650</v>
      </c>
      <c r="AD4127" t="n">
        <v>56140</v>
      </c>
      <c r="AE4127" t="n">
        <v>605510</v>
      </c>
      <c r="AF4127" t="n">
        <v>601500</v>
      </c>
      <c r="AG4127" t="n">
        <v>54287.38</v>
      </c>
      <c r="AH4127" t="n">
        <v>547212.62</v>
      </c>
      <c r="AI4127" t="n">
        <v>0</v>
      </c>
    </row>
    <row r="4128">
      <c r="A4128" t="inlineStr">
        <is>
          <t>5월</t>
        </is>
      </c>
      <c r="B4128" t="inlineStr">
        <is>
          <t>20주차</t>
        </is>
      </c>
      <c r="C4128" t="inlineStr">
        <is>
          <t>EP</t>
        </is>
      </c>
      <c r="D4128" s="28" t="n">
        <v>46153</v>
      </c>
      <c r="E4128" t="inlineStr">
        <is>
          <t>현대EP_fast</t>
        </is>
      </c>
      <c r="F4128" t="inlineStr">
        <is>
          <t>조영준</t>
        </is>
      </c>
      <c r="G4128" t="inlineStr">
        <is>
          <t>010-2021-6092</t>
        </is>
      </c>
      <c r="H4128" t="inlineStr">
        <is>
          <t>22구5662</t>
        </is>
      </c>
      <c r="I4128" t="n">
        <v>10000000</v>
      </c>
      <c r="J4128" t="n">
        <v>0.062</v>
      </c>
      <c r="K4128" t="n">
        <v>1.76</v>
      </c>
      <c r="L4128" t="n">
        <v>0.14</v>
      </c>
      <c r="M4128" t="n">
        <v>1.62</v>
      </c>
      <c r="P4128" t="inlineStr">
        <is>
          <t>김나윤</t>
        </is>
      </c>
      <c r="Q4128" t="inlineStr">
        <is>
          <t>홈서비스 24개월</t>
        </is>
      </c>
      <c r="AB4128" t="inlineStr">
        <is>
          <t>홈서비스</t>
        </is>
      </c>
      <c r="AC4128" t="n">
        <v>176000</v>
      </c>
      <c r="AD4128" t="n">
        <v>14000</v>
      </c>
      <c r="AE4128" t="n">
        <v>162000</v>
      </c>
      <c r="AF4128" t="n">
        <v>160000</v>
      </c>
      <c r="AG4128" t="n">
        <v>13538</v>
      </c>
      <c r="AH4128" t="n">
        <v>146462</v>
      </c>
    </row>
    <row r="4129">
      <c r="A4129" t="inlineStr">
        <is>
          <t>5월</t>
        </is>
      </c>
      <c r="B4129" t="inlineStr">
        <is>
          <t>20주차</t>
        </is>
      </c>
      <c r="C4129" t="inlineStr">
        <is>
          <t>IM</t>
        </is>
      </c>
      <c r="D4129" s="28" t="n">
        <v>46153</v>
      </c>
      <c r="E4129" t="inlineStr">
        <is>
          <t>IM캐피탈</t>
        </is>
      </c>
      <c r="F4129" t="inlineStr">
        <is>
          <t>이동희</t>
        </is>
      </c>
      <c r="G4129" t="inlineStr">
        <is>
          <t>010-9367-4005</t>
        </is>
      </c>
      <c r="H4129" t="inlineStr">
        <is>
          <t>127버6208</t>
        </is>
      </c>
      <c r="I4129" t="n">
        <v>28500000</v>
      </c>
      <c r="J4129" t="n">
        <v>0.076</v>
      </c>
      <c r="K4129" t="n">
        <v>1.1</v>
      </c>
      <c r="L4129" t="n">
        <v>0.14</v>
      </c>
      <c r="M4129" t="n">
        <v>0.96</v>
      </c>
      <c r="P4129" t="inlineStr">
        <is>
          <t>김수연</t>
        </is>
      </c>
      <c r="Q4129" t="inlineStr">
        <is>
          <t>홈서비스 72개월</t>
        </is>
      </c>
      <c r="AB4129" t="inlineStr">
        <is>
          <t>홈서비스</t>
        </is>
      </c>
      <c r="AC4129" t="n">
        <v>313500</v>
      </c>
      <c r="AD4129" t="n">
        <v>39900</v>
      </c>
      <c r="AE4129" t="n">
        <v>273600</v>
      </c>
      <c r="AF4129" t="n">
        <v>285000</v>
      </c>
      <c r="AG4129" t="n">
        <v>38583.3</v>
      </c>
      <c r="AH4129" t="n">
        <v>246416.7</v>
      </c>
      <c r="AI4129" t="n">
        <v>0</v>
      </c>
    </row>
    <row r="4130">
      <c r="A4130" t="inlineStr">
        <is>
          <t>5월</t>
        </is>
      </c>
      <c r="B4130" t="inlineStr">
        <is>
          <t>20주차</t>
        </is>
      </c>
      <c r="C4130" t="inlineStr">
        <is>
          <t>EP</t>
        </is>
      </c>
      <c r="D4130" s="28" t="n">
        <v>46153</v>
      </c>
      <c r="E4130" t="inlineStr">
        <is>
          <t>현대EP_fast</t>
        </is>
      </c>
      <c r="F4130" t="inlineStr">
        <is>
          <t>이동호</t>
        </is>
      </c>
      <c r="G4130" t="inlineStr">
        <is>
          <t>010-9085-7610</t>
        </is>
      </c>
      <c r="H4130" t="inlineStr">
        <is>
          <t>173구3167</t>
        </is>
      </c>
      <c r="I4130" t="n">
        <v>11400000</v>
      </c>
      <c r="J4130" t="n">
        <v>0.07000000000000001</v>
      </c>
      <c r="K4130" t="n">
        <v>1.76</v>
      </c>
      <c r="L4130" t="n">
        <v>0.14</v>
      </c>
      <c r="M4130" t="n">
        <v>1.62</v>
      </c>
      <c r="P4130" t="inlineStr">
        <is>
          <t>김나윤</t>
        </is>
      </c>
      <c r="Q4130" t="inlineStr">
        <is>
          <t>홈서비스 60개월</t>
        </is>
      </c>
      <c r="AB4130" t="inlineStr">
        <is>
          <t>홈서비스</t>
        </is>
      </c>
      <c r="AC4130" t="n">
        <v>200640</v>
      </c>
      <c r="AD4130" t="n">
        <v>15960</v>
      </c>
      <c r="AE4130" t="n">
        <v>184680</v>
      </c>
      <c r="AF4130" t="n">
        <v>182400</v>
      </c>
      <c r="AG4130" t="n">
        <v>15433.32</v>
      </c>
      <c r="AH4130" t="n">
        <v>166966.68</v>
      </c>
    </row>
    <row r="4131">
      <c r="A4131" t="inlineStr">
        <is>
          <t>5월</t>
        </is>
      </c>
      <c r="B4131" t="inlineStr">
        <is>
          <t>19주차</t>
        </is>
      </c>
      <c r="C4131" t="inlineStr">
        <is>
          <t>EP</t>
        </is>
      </c>
      <c r="D4131" s="28" t="n">
        <v>46150</v>
      </c>
      <c r="E4131" t="inlineStr">
        <is>
          <t>현대EP_fast</t>
        </is>
      </c>
      <c r="F4131" t="inlineStr">
        <is>
          <t>김영호</t>
        </is>
      </c>
      <c r="G4131" t="inlineStr">
        <is>
          <t>010-5304-0010</t>
        </is>
      </c>
      <c r="H4131" t="inlineStr">
        <is>
          <t>333노4107</t>
        </is>
      </c>
      <c r="I4131" t="n">
        <v>13900000</v>
      </c>
      <c r="J4131" t="n">
        <v>0.099</v>
      </c>
      <c r="K4131" t="n">
        <v>1.76</v>
      </c>
      <c r="L4131" t="n">
        <v>0.14</v>
      </c>
      <c r="M4131" t="n">
        <v>1.62</v>
      </c>
      <c r="P4131" t="inlineStr">
        <is>
          <t>장진경</t>
        </is>
      </c>
      <c r="Q4131" t="inlineStr">
        <is>
          <t>선상담 / 홈서비스 48개월</t>
        </is>
      </c>
      <c r="AB4131" t="inlineStr">
        <is>
          <t>홈서비스</t>
        </is>
      </c>
      <c r="AC4131" t="n">
        <v>244640</v>
      </c>
      <c r="AD4131" t="n">
        <v>19460</v>
      </c>
      <c r="AE4131" t="n">
        <v>225180</v>
      </c>
      <c r="AF4131" t="n">
        <v>222400</v>
      </c>
      <c r="AG4131" t="n">
        <v>18817.82</v>
      </c>
      <c r="AH4131" t="n">
        <v>203582.18</v>
      </c>
      <c r="AI4131" t="n">
        <v>0</v>
      </c>
    </row>
    <row r="4132">
      <c r="A4132" t="inlineStr">
        <is>
          <t>5월</t>
        </is>
      </c>
      <c r="B4132" t="inlineStr">
        <is>
          <t>20주차</t>
        </is>
      </c>
      <c r="C4132" t="inlineStr">
        <is>
          <t>EP</t>
        </is>
      </c>
      <c r="D4132" s="28" t="n">
        <v>46153</v>
      </c>
      <c r="E4132" t="inlineStr">
        <is>
          <t>현대EP_fast</t>
        </is>
      </c>
      <c r="F4132" t="inlineStr">
        <is>
          <t>박남덕</t>
        </is>
      </c>
      <c r="G4132" t="inlineStr">
        <is>
          <t>010-8365-6632</t>
        </is>
      </c>
      <c r="H4132" t="inlineStr">
        <is>
          <t>107나2053</t>
        </is>
      </c>
      <c r="I4132" t="n">
        <v>38300000</v>
      </c>
      <c r="J4132" t="n">
        <v>0.081</v>
      </c>
      <c r="K4132" t="n">
        <v>1.76</v>
      </c>
      <c r="L4132" t="n">
        <v>0.14</v>
      </c>
      <c r="M4132" t="n">
        <v>1.62</v>
      </c>
      <c r="P4132" t="inlineStr">
        <is>
          <t>최형주</t>
        </is>
      </c>
      <c r="Q4132" t="inlineStr">
        <is>
          <t>홈서비스 60개월</t>
        </is>
      </c>
      <c r="AB4132" t="inlineStr">
        <is>
          <t>홈서비스</t>
        </is>
      </c>
      <c r="AC4132" t="n">
        <v>674080</v>
      </c>
      <c r="AD4132" t="n">
        <v>53620</v>
      </c>
      <c r="AE4132" t="n">
        <v>620460</v>
      </c>
      <c r="AF4132" t="n">
        <v>612800</v>
      </c>
      <c r="AG4132" t="n">
        <v>51850.54</v>
      </c>
      <c r="AH4132" t="n">
        <v>560949.46</v>
      </c>
      <c r="AI4132" t="n">
        <v>0</v>
      </c>
    </row>
    <row r="4133">
      <c r="A4133" t="inlineStr">
        <is>
          <t>5월</t>
        </is>
      </c>
      <c r="B4133" t="inlineStr">
        <is>
          <t>20주차</t>
        </is>
      </c>
      <c r="C4133" t="inlineStr">
        <is>
          <t>EP</t>
        </is>
      </c>
      <c r="D4133" s="28" t="n">
        <v>46153</v>
      </c>
      <c r="E4133" t="inlineStr">
        <is>
          <t>현대EP_fast</t>
        </is>
      </c>
      <c r="F4133" t="inlineStr">
        <is>
          <t>오현민</t>
        </is>
      </c>
      <c r="G4133" t="inlineStr">
        <is>
          <t>010-8577-1448</t>
        </is>
      </c>
      <c r="H4133" t="inlineStr">
        <is>
          <t>38저6150</t>
        </is>
      </c>
      <c r="I4133" t="n">
        <v>34800000</v>
      </c>
      <c r="J4133" t="n">
        <v>0.089</v>
      </c>
      <c r="K4133" t="n">
        <v>1.76</v>
      </c>
      <c r="L4133" t="n">
        <v>0.14</v>
      </c>
      <c r="M4133" t="n">
        <v>1.62</v>
      </c>
      <c r="P4133" t="inlineStr">
        <is>
          <t>김나윤</t>
        </is>
      </c>
      <c r="Q4133" t="inlineStr">
        <is>
          <t>홈서비스 60개월</t>
        </is>
      </c>
      <c r="AB4133" t="inlineStr">
        <is>
          <t>홈서비스</t>
        </is>
      </c>
      <c r="AC4133" t="n">
        <v>612480</v>
      </c>
      <c r="AD4133" t="n">
        <v>48720</v>
      </c>
      <c r="AE4133" t="n">
        <v>563760</v>
      </c>
      <c r="AF4133" t="n">
        <v>556800</v>
      </c>
      <c r="AG4133" t="n">
        <v>47112.24</v>
      </c>
      <c r="AH4133" t="n">
        <v>509687.76</v>
      </c>
      <c r="AI4133" t="n">
        <v>0</v>
      </c>
    </row>
    <row r="4134">
      <c r="A4134" t="inlineStr">
        <is>
          <t>5월</t>
        </is>
      </c>
      <c r="B4134" t="inlineStr">
        <is>
          <t>20주차</t>
        </is>
      </c>
      <c r="C4134" t="inlineStr">
        <is>
          <t>EP</t>
        </is>
      </c>
      <c r="D4134" s="28" t="n">
        <v>46153</v>
      </c>
      <c r="E4134" t="inlineStr">
        <is>
          <t>현대EP_fast</t>
        </is>
      </c>
      <c r="F4134" t="inlineStr">
        <is>
          <t>여면</t>
        </is>
      </c>
      <c r="G4134" t="inlineStr">
        <is>
          <t>010-6849-3002</t>
        </is>
      </c>
      <c r="H4134" t="inlineStr">
        <is>
          <t>90저7975</t>
        </is>
      </c>
      <c r="I4134" t="n">
        <v>4500000</v>
      </c>
      <c r="J4134" t="n">
        <v>0.089</v>
      </c>
      <c r="K4134" t="n">
        <v>1.76</v>
      </c>
      <c r="L4134" t="n">
        <v>0.14</v>
      </c>
      <c r="M4134" t="n">
        <v>1.62</v>
      </c>
      <c r="P4134" t="inlineStr">
        <is>
          <t>김수연</t>
        </is>
      </c>
      <c r="Q4134" t="inlineStr">
        <is>
          <t>홈서비스 60개월</t>
        </is>
      </c>
      <c r="AB4134" t="inlineStr">
        <is>
          <t>홈서비스</t>
        </is>
      </c>
      <c r="AC4134" t="n">
        <v>79200</v>
      </c>
      <c r="AD4134" t="n">
        <v>6300</v>
      </c>
      <c r="AE4134" t="n">
        <v>72900</v>
      </c>
      <c r="AF4134" t="n">
        <v>72000</v>
      </c>
      <c r="AG4134" t="n">
        <v>6092.1</v>
      </c>
      <c r="AH4134" t="n">
        <v>65907.89999999999</v>
      </c>
    </row>
    <row r="4135">
      <c r="A4135" t="inlineStr">
        <is>
          <t>5월</t>
        </is>
      </c>
      <c r="B4135" t="inlineStr">
        <is>
          <t>20주차</t>
        </is>
      </c>
      <c r="C4135" t="inlineStr">
        <is>
          <t>EP</t>
        </is>
      </c>
      <c r="D4135" s="28" t="n">
        <v>46153</v>
      </c>
      <c r="E4135" t="inlineStr">
        <is>
          <t>현대EP_fast</t>
        </is>
      </c>
      <c r="F4135" t="inlineStr">
        <is>
          <t>이학재</t>
        </is>
      </c>
      <c r="G4135" t="inlineStr">
        <is>
          <t>010-6292-8854</t>
        </is>
      </c>
      <c r="H4135" t="inlineStr">
        <is>
          <t>239더7207</t>
        </is>
      </c>
      <c r="I4135" t="n">
        <v>10000000</v>
      </c>
      <c r="J4135" t="n">
        <v>0.075</v>
      </c>
      <c r="K4135" t="n">
        <v>1.76</v>
      </c>
      <c r="L4135" t="n">
        <v>0.14</v>
      </c>
      <c r="M4135" t="n">
        <v>1.62</v>
      </c>
      <c r="P4135" t="inlineStr">
        <is>
          <t>최형주</t>
        </is>
      </c>
      <c r="Q4135" t="inlineStr">
        <is>
          <t>홈서비스 60개월</t>
        </is>
      </c>
      <c r="AB4135" t="inlineStr">
        <is>
          <t>홈서비스</t>
        </is>
      </c>
      <c r="AC4135" t="n">
        <v>176000</v>
      </c>
      <c r="AD4135" t="n">
        <v>14000</v>
      </c>
      <c r="AE4135" t="n">
        <v>162000</v>
      </c>
      <c r="AF4135" t="n">
        <v>160000</v>
      </c>
      <c r="AG4135" t="n">
        <v>13538</v>
      </c>
      <c r="AH4135" t="n">
        <v>146462</v>
      </c>
      <c r="AI4135" t="n">
        <v>0</v>
      </c>
    </row>
    <row r="4136">
      <c r="A4136" t="inlineStr">
        <is>
          <t>5월</t>
        </is>
      </c>
      <c r="B4136" t="inlineStr">
        <is>
          <t>19주차</t>
        </is>
      </c>
      <c r="C4136" t="inlineStr">
        <is>
          <t>EP</t>
        </is>
      </c>
      <c r="D4136" s="28" t="n">
        <v>46148</v>
      </c>
      <c r="E4136" t="inlineStr">
        <is>
          <t>현대EP_fast</t>
        </is>
      </c>
      <c r="F4136" t="inlineStr">
        <is>
          <t>한승욱</t>
        </is>
      </c>
      <c r="G4136" t="inlineStr">
        <is>
          <t>010-9069-1057</t>
        </is>
      </c>
      <c r="H4136" t="inlineStr">
        <is>
          <t>145조6241</t>
        </is>
      </c>
      <c r="I4136" t="n">
        <v>22900000</v>
      </c>
      <c r="J4136" t="n">
        <v>0.074</v>
      </c>
      <c r="K4136" t="n">
        <v>1.76</v>
      </c>
      <c r="L4136" t="n">
        <v>0.4</v>
      </c>
      <c r="M4136" t="n">
        <v>1.36</v>
      </c>
      <c r="P4136" t="inlineStr">
        <is>
          <t>박보람</t>
        </is>
      </c>
      <c r="AB4136" t="inlineStr">
        <is>
          <t>엔카</t>
        </is>
      </c>
      <c r="AC4136" t="n">
        <v>403040</v>
      </c>
      <c r="AD4136" t="n">
        <v>91600</v>
      </c>
      <c r="AE4136" t="n">
        <v>311440</v>
      </c>
      <c r="AF4136" t="n">
        <v>366400</v>
      </c>
      <c r="AG4136" t="n">
        <v>88577.2</v>
      </c>
      <c r="AH4136" t="n">
        <v>277822.8</v>
      </c>
      <c r="AI4136" t="n">
        <v>0</v>
      </c>
    </row>
    <row r="4137">
      <c r="A4137" t="inlineStr">
        <is>
          <t>5월</t>
        </is>
      </c>
      <c r="B4137" t="inlineStr">
        <is>
          <t>20주차</t>
        </is>
      </c>
      <c r="C4137" t="inlineStr">
        <is>
          <t>HC</t>
        </is>
      </c>
      <c r="D4137" s="28" t="n">
        <v>46153</v>
      </c>
      <c r="E4137" t="inlineStr">
        <is>
          <t>하나캐피탈</t>
        </is>
      </c>
      <c r="F4137" t="inlineStr">
        <is>
          <t>오세원</t>
        </is>
      </c>
      <c r="G4137" t="inlineStr">
        <is>
          <t>010-5813-4223</t>
        </is>
      </c>
      <c r="H4137" t="inlineStr">
        <is>
          <t>189서9288</t>
        </is>
      </c>
      <c r="I4137" t="n">
        <v>7000000</v>
      </c>
      <c r="J4137" t="n">
        <v>0.06900000000000001</v>
      </c>
      <c r="K4137" t="n">
        <v>2.2</v>
      </c>
      <c r="L4137" t="n">
        <v>0.14</v>
      </c>
      <c r="M4137" t="n">
        <v>2.06</v>
      </c>
      <c r="P4137" t="inlineStr">
        <is>
          <t>정세빈</t>
        </is>
      </c>
      <c r="Q4137" t="inlineStr">
        <is>
          <t>홈서비스 60개월 / 론 진행</t>
        </is>
      </c>
      <c r="AB4137" t="inlineStr">
        <is>
          <t>홈서비스</t>
        </is>
      </c>
      <c r="AC4137" t="n">
        <v>154000</v>
      </c>
      <c r="AD4137" t="n">
        <v>9800</v>
      </c>
      <c r="AE4137" t="n">
        <v>144200</v>
      </c>
      <c r="AF4137" t="n">
        <v>140000</v>
      </c>
      <c r="AG4137" t="n">
        <v>9476.6</v>
      </c>
      <c r="AH4137" t="n">
        <v>130523.4</v>
      </c>
    </row>
    <row r="4138">
      <c r="A4138" t="inlineStr">
        <is>
          <t>5월</t>
        </is>
      </c>
      <c r="B4138" t="inlineStr">
        <is>
          <t>20주차</t>
        </is>
      </c>
      <c r="C4138" t="inlineStr">
        <is>
          <t>EP</t>
        </is>
      </c>
      <c r="D4138" s="28" t="n">
        <v>46153</v>
      </c>
      <c r="E4138" t="inlineStr">
        <is>
          <t>현대EP_fast</t>
        </is>
      </c>
      <c r="F4138" t="inlineStr">
        <is>
          <t>장주은</t>
        </is>
      </c>
      <c r="G4138" t="inlineStr">
        <is>
          <t>010-9555-1005</t>
        </is>
      </c>
      <c r="H4138" t="inlineStr">
        <is>
          <t>343버1205</t>
        </is>
      </c>
      <c r="I4138" t="n">
        <v>25000000</v>
      </c>
      <c r="J4138" t="n">
        <v>0.089</v>
      </c>
      <c r="K4138" t="n">
        <v>1.76</v>
      </c>
      <c r="L4138" t="n">
        <v>0.14</v>
      </c>
      <c r="M4138" t="n">
        <v>1.62</v>
      </c>
      <c r="P4138" t="inlineStr">
        <is>
          <t>김수연</t>
        </is>
      </c>
      <c r="Q4138" t="inlineStr">
        <is>
          <t>홈서비스 60개월</t>
        </is>
      </c>
      <c r="AB4138" t="inlineStr">
        <is>
          <t>홈서비스</t>
        </is>
      </c>
      <c r="AC4138" t="n">
        <v>440000</v>
      </c>
      <c r="AD4138" t="n">
        <v>35000</v>
      </c>
      <c r="AE4138" t="n">
        <v>405000</v>
      </c>
      <c r="AF4138" t="n">
        <v>400000</v>
      </c>
      <c r="AG4138" t="n">
        <v>33845</v>
      </c>
      <c r="AH4138" t="n">
        <v>366155</v>
      </c>
      <c r="AI4138" t="n">
        <v>0</v>
      </c>
    </row>
    <row r="4139">
      <c r="A4139" t="inlineStr">
        <is>
          <t>5월</t>
        </is>
      </c>
      <c r="B4139" t="inlineStr">
        <is>
          <t>20주차</t>
        </is>
      </c>
      <c r="C4139" t="inlineStr">
        <is>
          <t>IM</t>
        </is>
      </c>
      <c r="D4139" s="28" t="n">
        <v>46153</v>
      </c>
      <c r="E4139" t="inlineStr">
        <is>
          <t>IM캐피탈</t>
        </is>
      </c>
      <c r="F4139" t="inlineStr">
        <is>
          <t>이선호</t>
        </is>
      </c>
      <c r="G4139" t="inlineStr">
        <is>
          <t>010-5164-9901</t>
        </is>
      </c>
      <c r="H4139" t="inlineStr">
        <is>
          <t>03머3888</t>
        </is>
      </c>
      <c r="I4139" t="n">
        <v>20000000</v>
      </c>
      <c r="J4139" t="n">
        <v>0.059</v>
      </c>
      <c r="K4139" t="n">
        <v>1.1</v>
      </c>
      <c r="L4139" t="n">
        <v>0.14</v>
      </c>
      <c r="M4139" t="n">
        <v>0.96</v>
      </c>
      <c r="P4139" t="inlineStr">
        <is>
          <t>황채이</t>
        </is>
      </c>
      <c r="Q4139" t="inlineStr">
        <is>
          <t>홈서비스 60개월</t>
        </is>
      </c>
      <c r="AB4139" t="inlineStr">
        <is>
          <t>홈서비스</t>
        </is>
      </c>
      <c r="AC4139" t="n">
        <v>220000</v>
      </c>
      <c r="AD4139" t="n">
        <v>28000</v>
      </c>
      <c r="AE4139" t="n">
        <v>192000</v>
      </c>
      <c r="AF4139" t="n">
        <v>200000</v>
      </c>
      <c r="AG4139" t="n">
        <v>27076</v>
      </c>
      <c r="AH4139" t="n">
        <v>172924</v>
      </c>
      <c r="AI4139" t="n">
        <v>0</v>
      </c>
    </row>
    <row r="4140">
      <c r="A4140" t="inlineStr">
        <is>
          <t>5월</t>
        </is>
      </c>
      <c r="B4140" t="inlineStr">
        <is>
          <t>20주차</t>
        </is>
      </c>
      <c r="C4140" t="inlineStr">
        <is>
          <t>EP</t>
        </is>
      </c>
      <c r="D4140" s="28" t="n">
        <v>46153</v>
      </c>
      <c r="E4140" t="inlineStr">
        <is>
          <t>현대EP_fast</t>
        </is>
      </c>
      <c r="F4140" t="inlineStr">
        <is>
          <t>김영열</t>
        </is>
      </c>
      <c r="G4140" t="inlineStr">
        <is>
          <t>010-9389-0303</t>
        </is>
      </c>
      <c r="H4140" t="inlineStr">
        <is>
          <t>212오9506</t>
        </is>
      </c>
      <c r="I4140" t="n">
        <v>40000000</v>
      </c>
      <c r="J4140" t="n">
        <v>0.095</v>
      </c>
      <c r="K4140" t="n">
        <v>1.76</v>
      </c>
      <c r="L4140" t="n">
        <v>0.4</v>
      </c>
      <c r="M4140" t="n">
        <v>1.36</v>
      </c>
      <c r="P4140" t="inlineStr">
        <is>
          <t>박소현</t>
        </is>
      </c>
      <c r="AB4140" t="inlineStr">
        <is>
          <t>엔카</t>
        </is>
      </c>
      <c r="AC4140" t="n">
        <v>704000</v>
      </c>
      <c r="AD4140" t="n">
        <v>160000</v>
      </c>
      <c r="AE4140" t="n">
        <v>544000</v>
      </c>
      <c r="AF4140" t="n">
        <v>640000</v>
      </c>
      <c r="AG4140" t="n">
        <v>154720</v>
      </c>
      <c r="AH4140" t="n">
        <v>485280</v>
      </c>
    </row>
    <row r="4141">
      <c r="A4141" t="inlineStr">
        <is>
          <t>5월</t>
        </is>
      </c>
      <c r="B4141" t="inlineStr">
        <is>
          <t>20주차</t>
        </is>
      </c>
      <c r="C4141" t="inlineStr">
        <is>
          <t>IM</t>
        </is>
      </c>
      <c r="D4141" s="28" t="n">
        <v>46153</v>
      </c>
      <c r="E4141" t="inlineStr">
        <is>
          <t>IM캐피탈</t>
        </is>
      </c>
      <c r="F4141" t="inlineStr">
        <is>
          <t>김진호</t>
        </is>
      </c>
      <c r="G4141" t="inlineStr">
        <is>
          <t>010-3895-3330</t>
        </is>
      </c>
      <c r="H4141" t="inlineStr">
        <is>
          <t>228도1426</t>
        </is>
      </c>
      <c r="I4141" t="n">
        <v>29700000</v>
      </c>
      <c r="J4141" t="n">
        <v>0.045</v>
      </c>
      <c r="K4141" t="n">
        <v>1.1</v>
      </c>
      <c r="L4141" t="n">
        <v>0.14</v>
      </c>
      <c r="M4141" t="n">
        <v>0.96</v>
      </c>
      <c r="P4141" t="inlineStr">
        <is>
          <t>황채이</t>
        </is>
      </c>
      <c r="Q4141" t="inlineStr">
        <is>
          <t>홈서비스 72개월 / 부대비용 추가진행</t>
        </is>
      </c>
      <c r="AB4141" t="inlineStr">
        <is>
          <t>홈서비스</t>
        </is>
      </c>
      <c r="AC4141" t="n">
        <v>326700</v>
      </c>
      <c r="AD4141" t="n">
        <v>41580</v>
      </c>
      <c r="AE4141" t="n">
        <v>285120</v>
      </c>
      <c r="AF4141" t="n">
        <v>297000</v>
      </c>
      <c r="AG4141" t="n">
        <v>40207.86</v>
      </c>
      <c r="AH4141" t="n">
        <v>256792.14</v>
      </c>
    </row>
    <row r="4142">
      <c r="A4142" t="inlineStr">
        <is>
          <t>5월</t>
        </is>
      </c>
      <c r="B4142" t="inlineStr">
        <is>
          <t>20주차</t>
        </is>
      </c>
      <c r="C4142" t="inlineStr">
        <is>
          <t>IM</t>
        </is>
      </c>
      <c r="D4142" s="28" t="n">
        <v>46153</v>
      </c>
      <c r="E4142" t="inlineStr">
        <is>
          <t>IM캐피탈</t>
        </is>
      </c>
      <c r="F4142" t="inlineStr">
        <is>
          <t>김현민</t>
        </is>
      </c>
      <c r="G4142" t="inlineStr">
        <is>
          <t>010-3190-5600</t>
        </is>
      </c>
      <c r="H4142" t="inlineStr">
        <is>
          <t>17부5319</t>
        </is>
      </c>
      <c r="I4142" t="n">
        <v>21000000</v>
      </c>
      <c r="J4142" t="n">
        <v>0.045</v>
      </c>
      <c r="K4142" t="n">
        <v>1.1</v>
      </c>
      <c r="L4142" t="n">
        <v>0.14</v>
      </c>
      <c r="M4142" t="n">
        <v>0.96</v>
      </c>
      <c r="P4142" t="inlineStr">
        <is>
          <t>정세빈</t>
        </is>
      </c>
      <c r="Q4142" t="inlineStr">
        <is>
          <t>홈서비스 36개월</t>
        </is>
      </c>
      <c r="AB4142" t="inlineStr">
        <is>
          <t>홈서비스</t>
        </is>
      </c>
      <c r="AC4142" t="n">
        <v>231000</v>
      </c>
      <c r="AD4142" t="n">
        <v>29400</v>
      </c>
      <c r="AE4142" t="n">
        <v>201600</v>
      </c>
      <c r="AF4142" t="n">
        <v>210000</v>
      </c>
      <c r="AG4142" t="n">
        <v>28429.8</v>
      </c>
      <c r="AH4142" t="n">
        <v>181570.2</v>
      </c>
      <c r="AI4142" t="n">
        <v>0</v>
      </c>
    </row>
    <row r="4143">
      <c r="A4143" t="inlineStr">
        <is>
          <t>5월</t>
        </is>
      </c>
      <c r="B4143" t="inlineStr">
        <is>
          <t>20주차</t>
        </is>
      </c>
      <c r="C4143" t="inlineStr">
        <is>
          <t>EP</t>
        </is>
      </c>
      <c r="D4143" s="28" t="n">
        <v>46153</v>
      </c>
      <c r="E4143" t="inlineStr">
        <is>
          <t>현대EP_fast</t>
        </is>
      </c>
      <c r="F4143" t="inlineStr">
        <is>
          <t>권현정</t>
        </is>
      </c>
      <c r="G4143" t="inlineStr">
        <is>
          <t>010-9221-7687</t>
        </is>
      </c>
      <c r="H4143" t="inlineStr">
        <is>
          <t>165더5098</t>
        </is>
      </c>
      <c r="I4143" t="n">
        <v>19500000</v>
      </c>
      <c r="J4143" t="n">
        <v>0.105</v>
      </c>
      <c r="K4143" t="n">
        <v>1.76</v>
      </c>
      <c r="L4143" t="n">
        <v>0.14</v>
      </c>
      <c r="M4143" t="n">
        <v>1.62</v>
      </c>
      <c r="P4143" t="inlineStr">
        <is>
          <t>김나윤</t>
        </is>
      </c>
      <c r="Q4143" t="inlineStr">
        <is>
          <t>홈서비스 60개월</t>
        </is>
      </c>
      <c r="AB4143" t="inlineStr">
        <is>
          <t>홈서비스</t>
        </is>
      </c>
      <c r="AC4143" t="n">
        <v>343200</v>
      </c>
      <c r="AD4143" t="n">
        <v>27300</v>
      </c>
      <c r="AE4143" t="n">
        <v>315900</v>
      </c>
      <c r="AF4143" t="n">
        <v>312000</v>
      </c>
      <c r="AG4143" t="n">
        <v>26399.1</v>
      </c>
      <c r="AH4143" t="n">
        <v>285600.9</v>
      </c>
    </row>
    <row r="4144">
      <c r="A4144" t="inlineStr">
        <is>
          <t>5월</t>
        </is>
      </c>
      <c r="B4144" t="inlineStr">
        <is>
          <t>20주차</t>
        </is>
      </c>
      <c r="C4144" t="inlineStr">
        <is>
          <t>EP</t>
        </is>
      </c>
      <c r="D4144" s="28" t="n">
        <v>46153</v>
      </c>
      <c r="E4144" t="inlineStr">
        <is>
          <t>BNKEP</t>
        </is>
      </c>
      <c r="F4144" t="inlineStr">
        <is>
          <t>안종석</t>
        </is>
      </c>
      <c r="G4144" t="inlineStr">
        <is>
          <t>010-4634-1507</t>
        </is>
      </c>
      <c r="H4144" t="inlineStr">
        <is>
          <t>14누8382</t>
        </is>
      </c>
      <c r="I4144" t="n">
        <v>6000000</v>
      </c>
      <c r="J4144" t="n">
        <v>0.094</v>
      </c>
      <c r="K4144" t="n">
        <v>1.65</v>
      </c>
      <c r="L4144" t="n">
        <v>0.14</v>
      </c>
      <c r="M4144" t="n">
        <v>1.51</v>
      </c>
      <c r="P4144" t="inlineStr">
        <is>
          <t>황채이</t>
        </is>
      </c>
      <c r="Q4144" t="inlineStr">
        <is>
          <t>홈서비스 36개월 / 부대비용 추가진행</t>
        </is>
      </c>
      <c r="AB4144" t="inlineStr">
        <is>
          <t>홈서비스</t>
        </is>
      </c>
      <c r="AC4144" t="n">
        <v>99000</v>
      </c>
      <c r="AD4144" t="n">
        <v>8400</v>
      </c>
      <c r="AE4144" t="n">
        <v>90600</v>
      </c>
      <c r="AF4144" t="n">
        <v>90000</v>
      </c>
      <c r="AG4144" t="n">
        <v>8122.8</v>
      </c>
      <c r="AH4144" t="n">
        <v>81877.2</v>
      </c>
      <c r="AI4144" t="n">
        <v>0</v>
      </c>
    </row>
    <row r="4145">
      <c r="A4145" t="inlineStr">
        <is>
          <t>5월</t>
        </is>
      </c>
      <c r="B4145" t="inlineStr">
        <is>
          <t>20주차</t>
        </is>
      </c>
      <c r="C4145" t="inlineStr">
        <is>
          <t>EP</t>
        </is>
      </c>
      <c r="D4145" s="28" t="n">
        <v>46153</v>
      </c>
      <c r="E4145" t="inlineStr">
        <is>
          <t>현대EP_fast</t>
        </is>
      </c>
      <c r="F4145" t="inlineStr">
        <is>
          <t>이수민</t>
        </is>
      </c>
      <c r="G4145" t="inlineStr">
        <is>
          <t>010-4429-3312</t>
        </is>
      </c>
      <c r="H4145" t="inlineStr">
        <is>
          <t>187마2627</t>
        </is>
      </c>
      <c r="I4145" t="n">
        <v>19500000</v>
      </c>
      <c r="J4145" t="n">
        <v>0.118</v>
      </c>
      <c r="K4145" t="n">
        <v>1.76</v>
      </c>
      <c r="L4145" t="n">
        <v>0.14</v>
      </c>
      <c r="M4145" t="n">
        <v>1.62</v>
      </c>
      <c r="P4145" t="inlineStr">
        <is>
          <t>김수연</t>
        </is>
      </c>
      <c r="Q4145" t="inlineStr">
        <is>
          <t>홈서비스 60개월</t>
        </is>
      </c>
      <c r="AB4145" t="inlineStr">
        <is>
          <t>홈서비스</t>
        </is>
      </c>
      <c r="AC4145" t="n">
        <v>343200</v>
      </c>
      <c r="AD4145" t="n">
        <v>27300</v>
      </c>
      <c r="AE4145" t="n">
        <v>315900</v>
      </c>
      <c r="AF4145" t="n">
        <v>312000</v>
      </c>
      <c r="AG4145" t="n">
        <v>26399.1</v>
      </c>
      <c r="AH4145" t="n">
        <v>285600.9</v>
      </c>
    </row>
    <row r="4146">
      <c r="A4146" t="inlineStr">
        <is>
          <t>5월</t>
        </is>
      </c>
      <c r="B4146" t="inlineStr">
        <is>
          <t>20주차</t>
        </is>
      </c>
      <c r="C4146" t="inlineStr">
        <is>
          <t>IM</t>
        </is>
      </c>
      <c r="D4146" s="28" t="n">
        <v>46153</v>
      </c>
      <c r="E4146" t="inlineStr">
        <is>
          <t>IM캐피탈</t>
        </is>
      </c>
      <c r="F4146" t="inlineStr">
        <is>
          <t>이설희</t>
        </is>
      </c>
      <c r="G4146" t="inlineStr">
        <is>
          <t>010-3062-8238</t>
        </is>
      </c>
      <c r="H4146" t="inlineStr">
        <is>
          <t>68오0492</t>
        </is>
      </c>
      <c r="I4146" t="n">
        <v>30900000</v>
      </c>
      <c r="J4146" t="n">
        <v>0.049</v>
      </c>
      <c r="K4146" t="n">
        <v>1.1</v>
      </c>
      <c r="L4146" t="n">
        <v>0.14</v>
      </c>
      <c r="M4146" t="n">
        <v>0.96</v>
      </c>
      <c r="P4146" t="inlineStr">
        <is>
          <t>김나윤</t>
        </is>
      </c>
      <c r="Q4146" t="inlineStr">
        <is>
          <t>홈서비스 60개월</t>
        </is>
      </c>
      <c r="AB4146" t="inlineStr">
        <is>
          <t>홈서비스</t>
        </is>
      </c>
      <c r="AC4146" t="n">
        <v>339900</v>
      </c>
      <c r="AD4146" t="n">
        <v>43260</v>
      </c>
      <c r="AE4146" t="n">
        <v>296640</v>
      </c>
      <c r="AF4146" t="n">
        <v>309000</v>
      </c>
      <c r="AG4146" t="n">
        <v>41832.42</v>
      </c>
      <c r="AH4146" t="n">
        <v>267167.58</v>
      </c>
      <c r="AI4146" t="n">
        <v>0</v>
      </c>
    </row>
    <row r="4147">
      <c r="A4147" t="inlineStr">
        <is>
          <t>5월</t>
        </is>
      </c>
      <c r="B4147" t="inlineStr">
        <is>
          <t>20주차</t>
        </is>
      </c>
      <c r="C4147" t="inlineStr">
        <is>
          <t>EP</t>
        </is>
      </c>
      <c r="D4147" s="28" t="n">
        <v>46153</v>
      </c>
      <c r="E4147" t="inlineStr">
        <is>
          <t>BNKEP</t>
        </is>
      </c>
      <c r="F4147" t="inlineStr">
        <is>
          <t>한지연</t>
        </is>
      </c>
      <c r="G4147" t="inlineStr">
        <is>
          <t>010-2022-5565</t>
        </is>
      </c>
      <c r="H4147" t="inlineStr">
        <is>
          <t>112버9439</t>
        </is>
      </c>
      <c r="I4147" t="n">
        <v>21900000</v>
      </c>
      <c r="J4147" t="n">
        <v>0.061</v>
      </c>
      <c r="K4147" t="n">
        <v>1.65</v>
      </c>
      <c r="L4147" t="n">
        <v>0.14</v>
      </c>
      <c r="M4147" t="n">
        <v>1.51</v>
      </c>
      <c r="P4147" t="inlineStr">
        <is>
          <t>정세빈</t>
        </is>
      </c>
      <c r="Q4147" t="inlineStr">
        <is>
          <t>홈서비스 60개월</t>
        </is>
      </c>
      <c r="AB4147" t="inlineStr">
        <is>
          <t>홈서비스</t>
        </is>
      </c>
      <c r="AC4147" t="n">
        <v>361350</v>
      </c>
      <c r="AD4147" t="n">
        <v>30660</v>
      </c>
      <c r="AE4147" t="n">
        <v>330690</v>
      </c>
      <c r="AF4147" t="n">
        <v>328500</v>
      </c>
      <c r="AG4147" t="n">
        <v>29648.22</v>
      </c>
      <c r="AH4147" t="n">
        <v>298851.78</v>
      </c>
    </row>
    <row r="4148">
      <c r="A4148" t="inlineStr">
        <is>
          <t>5월</t>
        </is>
      </c>
      <c r="B4148" t="inlineStr">
        <is>
          <t>20주차</t>
        </is>
      </c>
      <c r="C4148" t="inlineStr">
        <is>
          <t>EP</t>
        </is>
      </c>
      <c r="D4148" s="28" t="n">
        <v>46153</v>
      </c>
      <c r="E4148" t="inlineStr">
        <is>
          <t>현대EP</t>
        </is>
      </c>
      <c r="F4148" t="inlineStr">
        <is>
          <t>김동휘</t>
        </is>
      </c>
      <c r="G4148" t="inlineStr">
        <is>
          <t>010-5095-2387</t>
        </is>
      </c>
      <c r="H4148" t="inlineStr">
        <is>
          <t>238버6154</t>
        </is>
      </c>
      <c r="I4148" t="n">
        <v>29800000</v>
      </c>
      <c r="J4148" t="n">
        <v>0.075</v>
      </c>
      <c r="K4148" t="n">
        <v>1.76</v>
      </c>
      <c r="L4148" t="n">
        <v>0.14</v>
      </c>
      <c r="M4148" t="n">
        <v>1.62</v>
      </c>
      <c r="P4148" t="inlineStr">
        <is>
          <t>정세빈</t>
        </is>
      </c>
      <c r="AB4148" t="inlineStr">
        <is>
          <t>홈서비스</t>
        </is>
      </c>
      <c r="AC4148" t="n">
        <v>524480</v>
      </c>
      <c r="AD4148" t="n">
        <v>41720</v>
      </c>
      <c r="AE4148" t="n">
        <v>482760</v>
      </c>
      <c r="AF4148" t="n">
        <v>476800</v>
      </c>
      <c r="AG4148" t="n">
        <v>40343.24</v>
      </c>
      <c r="AH4148" t="n">
        <v>436456.76</v>
      </c>
      <c r="AI4148" t="n">
        <v>0</v>
      </c>
    </row>
    <row r="4149">
      <c r="A4149" t="inlineStr">
        <is>
          <t>5월</t>
        </is>
      </c>
      <c r="B4149" t="inlineStr">
        <is>
          <t>20주차</t>
        </is>
      </c>
      <c r="C4149" t="inlineStr">
        <is>
          <t>IM</t>
        </is>
      </c>
      <c r="D4149" s="28" t="n">
        <v>46153</v>
      </c>
      <c r="E4149" t="inlineStr">
        <is>
          <t>IM캐피탈</t>
        </is>
      </c>
      <c r="F4149" t="inlineStr">
        <is>
          <t>이종</t>
        </is>
      </c>
      <c r="G4149" t="inlineStr">
        <is>
          <t>010-2489-8894</t>
        </is>
      </c>
      <c r="H4149" t="inlineStr">
        <is>
          <t>186우6280</t>
        </is>
      </c>
      <c r="I4149" t="n">
        <v>40000000</v>
      </c>
      <c r="J4149" t="n">
        <v>0.045</v>
      </c>
      <c r="K4149" t="n">
        <v>1.1</v>
      </c>
      <c r="L4149" t="n">
        <v>0.14</v>
      </c>
      <c r="M4149" t="n">
        <v>0.96</v>
      </c>
      <c r="P4149" t="inlineStr">
        <is>
          <t>최형주</t>
        </is>
      </c>
      <c r="Q4149" t="inlineStr">
        <is>
          <t>홈서비스 60개월</t>
        </is>
      </c>
      <c r="AB4149" t="inlineStr">
        <is>
          <t>홈서비스</t>
        </is>
      </c>
      <c r="AC4149" t="n">
        <v>440000</v>
      </c>
      <c r="AD4149" t="n">
        <v>56000</v>
      </c>
      <c r="AE4149" t="n">
        <v>384000</v>
      </c>
      <c r="AF4149" t="n">
        <v>400000</v>
      </c>
      <c r="AG4149" t="n">
        <v>54152</v>
      </c>
      <c r="AH4149" t="n">
        <v>345848</v>
      </c>
      <c r="AI4149" t="n">
        <v>0</v>
      </c>
    </row>
    <row r="4150">
      <c r="A4150" t="inlineStr">
        <is>
          <t>5월</t>
        </is>
      </c>
      <c r="B4150" t="inlineStr">
        <is>
          <t>20주차</t>
        </is>
      </c>
      <c r="C4150" t="inlineStr">
        <is>
          <t>EP</t>
        </is>
      </c>
      <c r="D4150" s="28" t="n">
        <v>46153</v>
      </c>
      <c r="E4150" t="inlineStr">
        <is>
          <t>현대EP_fast</t>
        </is>
      </c>
      <c r="F4150" t="inlineStr">
        <is>
          <t>이유신</t>
        </is>
      </c>
      <c r="G4150" t="inlineStr">
        <is>
          <t>010-7404-2411</t>
        </is>
      </c>
      <c r="H4150" t="inlineStr">
        <is>
          <t>315버5300</t>
        </is>
      </c>
      <c r="I4150" t="n">
        <v>20000000</v>
      </c>
      <c r="J4150" t="n">
        <v>0.075</v>
      </c>
      <c r="K4150" t="n">
        <v>1.76</v>
      </c>
      <c r="L4150" t="n">
        <v>0.14</v>
      </c>
      <c r="M4150" t="n">
        <v>1.62</v>
      </c>
      <c r="P4150" t="inlineStr">
        <is>
          <t>최형주</t>
        </is>
      </c>
      <c r="Q4150" t="inlineStr">
        <is>
          <t>홈서비스 60개월</t>
        </is>
      </c>
      <c r="AB4150" t="inlineStr">
        <is>
          <t>홈서비스</t>
        </is>
      </c>
      <c r="AC4150" t="n">
        <v>352000</v>
      </c>
      <c r="AD4150" t="n">
        <v>28000</v>
      </c>
      <c r="AE4150" t="n">
        <v>324000</v>
      </c>
      <c r="AF4150" t="n">
        <v>320000</v>
      </c>
      <c r="AG4150" t="n">
        <v>27076</v>
      </c>
      <c r="AH4150" t="n">
        <v>292924</v>
      </c>
      <c r="AI4150" t="n">
        <v>0</v>
      </c>
    </row>
    <row r="4151">
      <c r="A4151" t="inlineStr">
        <is>
          <t>5월</t>
        </is>
      </c>
      <c r="B4151" t="inlineStr">
        <is>
          <t>20주차</t>
        </is>
      </c>
      <c r="C4151" t="inlineStr">
        <is>
          <t>IM</t>
        </is>
      </c>
      <c r="D4151" s="28" t="n">
        <v>46153</v>
      </c>
      <c r="E4151" t="inlineStr">
        <is>
          <t>IM캐피탈</t>
        </is>
      </c>
      <c r="F4151" t="inlineStr">
        <is>
          <t>유현호</t>
        </is>
      </c>
      <c r="G4151" t="inlineStr">
        <is>
          <t>010-8338-3429</t>
        </is>
      </c>
      <c r="H4151" t="inlineStr">
        <is>
          <t>374보8067</t>
        </is>
      </c>
      <c r="I4151" t="n">
        <v>35000000</v>
      </c>
      <c r="J4151" t="n">
        <v>0.045</v>
      </c>
      <c r="K4151" t="n">
        <v>1.1</v>
      </c>
      <c r="L4151" t="n">
        <v>0.5</v>
      </c>
      <c r="M4151" t="n">
        <v>0.6</v>
      </c>
      <c r="P4151" t="inlineStr">
        <is>
          <t>임대경</t>
        </is>
      </c>
      <c r="AB4151" t="inlineStr">
        <is>
          <t>엔카</t>
        </is>
      </c>
      <c r="AC4151" t="n">
        <v>385000</v>
      </c>
      <c r="AD4151" t="n">
        <v>175000</v>
      </c>
      <c r="AE4151" t="n">
        <v>210000</v>
      </c>
      <c r="AF4151" t="n">
        <v>350000</v>
      </c>
      <c r="AG4151" t="n">
        <v>169225</v>
      </c>
      <c r="AH4151" t="n">
        <v>180775</v>
      </c>
      <c r="AI4151" t="n">
        <v>0</v>
      </c>
    </row>
    <row r="4152">
      <c r="A4152" t="inlineStr">
        <is>
          <t>5월</t>
        </is>
      </c>
      <c r="B4152" t="inlineStr">
        <is>
          <t>20주차</t>
        </is>
      </c>
      <c r="C4152" t="inlineStr">
        <is>
          <t>EP</t>
        </is>
      </c>
      <c r="D4152" s="28" t="n">
        <v>46153</v>
      </c>
      <c r="E4152" t="inlineStr">
        <is>
          <t>현대EP_fast</t>
        </is>
      </c>
      <c r="F4152" t="inlineStr">
        <is>
          <t>김상윤</t>
        </is>
      </c>
      <c r="G4152" t="inlineStr">
        <is>
          <t>010-9160-5159</t>
        </is>
      </c>
      <c r="H4152" t="inlineStr">
        <is>
          <t>360오4659</t>
        </is>
      </c>
      <c r="I4152" t="n">
        <v>29500000</v>
      </c>
      <c r="J4152" t="n">
        <v>0.08799999999999999</v>
      </c>
      <c r="K4152" t="n">
        <v>1.76</v>
      </c>
      <c r="L4152" t="n">
        <v>0.14</v>
      </c>
      <c r="M4152" t="n">
        <v>1.62</v>
      </c>
      <c r="P4152" t="inlineStr">
        <is>
          <t>김수연</t>
        </is>
      </c>
      <c r="Q4152" t="inlineStr">
        <is>
          <t>홈서비스 60개월</t>
        </is>
      </c>
      <c r="AB4152" t="inlineStr">
        <is>
          <t>홈서비스</t>
        </is>
      </c>
      <c r="AC4152" t="n">
        <v>519200</v>
      </c>
      <c r="AD4152" t="n">
        <v>41300</v>
      </c>
      <c r="AE4152" t="n">
        <v>477900</v>
      </c>
      <c r="AF4152" t="n">
        <v>472000</v>
      </c>
      <c r="AG4152" t="n">
        <v>39937.1</v>
      </c>
      <c r="AH4152" t="n">
        <v>432062.9</v>
      </c>
    </row>
    <row r="4153">
      <c r="A4153" t="inlineStr">
        <is>
          <t>5월</t>
        </is>
      </c>
      <c r="B4153" t="inlineStr">
        <is>
          <t>20주차</t>
        </is>
      </c>
      <c r="C4153" t="inlineStr">
        <is>
          <t>EP</t>
        </is>
      </c>
      <c r="D4153" s="28" t="n">
        <v>46153</v>
      </c>
      <c r="E4153" t="inlineStr">
        <is>
          <t>현대EP</t>
        </is>
      </c>
      <c r="F4153" t="inlineStr">
        <is>
          <t>김태우</t>
        </is>
      </c>
      <c r="G4153" t="inlineStr">
        <is>
          <t>010-4304-9287</t>
        </is>
      </c>
      <c r="H4153" t="inlineStr">
        <is>
          <t>151주6075</t>
        </is>
      </c>
      <c r="I4153" t="n">
        <v>14000000</v>
      </c>
      <c r="J4153" t="n">
        <v>0.062</v>
      </c>
      <c r="K4153" t="n">
        <v>1.76</v>
      </c>
      <c r="L4153" t="n">
        <v>0.14</v>
      </c>
      <c r="M4153" t="n">
        <v>1.62</v>
      </c>
      <c r="P4153" t="inlineStr">
        <is>
          <t>김수연</t>
        </is>
      </c>
      <c r="AB4153" t="inlineStr">
        <is>
          <t>홈서비스</t>
        </is>
      </c>
      <c r="AC4153" t="n">
        <v>246400</v>
      </c>
      <c r="AD4153" t="n">
        <v>19600</v>
      </c>
      <c r="AE4153" t="n">
        <v>226800</v>
      </c>
      <c r="AF4153" t="n">
        <v>224000</v>
      </c>
      <c r="AG4153" t="n">
        <v>18953.2</v>
      </c>
      <c r="AH4153" t="n">
        <v>205046.8</v>
      </c>
      <c r="AI4153" t="n">
        <v>0</v>
      </c>
    </row>
    <row r="4154">
      <c r="A4154" t="inlineStr">
        <is>
          <t>5월</t>
        </is>
      </c>
      <c r="B4154" t="inlineStr">
        <is>
          <t>20주차</t>
        </is>
      </c>
      <c r="C4154" t="inlineStr">
        <is>
          <t>EP</t>
        </is>
      </c>
      <c r="D4154" s="28" t="n">
        <v>46153</v>
      </c>
      <c r="E4154" t="inlineStr">
        <is>
          <t>현대EP</t>
        </is>
      </c>
      <c r="F4154" t="inlineStr">
        <is>
          <t>김정민</t>
        </is>
      </c>
      <c r="G4154" t="inlineStr">
        <is>
          <t>010-3830-2458</t>
        </is>
      </c>
      <c r="H4154" t="inlineStr">
        <is>
          <t>378러3524</t>
        </is>
      </c>
      <c r="I4154" t="n">
        <v>25000000</v>
      </c>
      <c r="J4154" t="n">
        <v>0.08799999999999999</v>
      </c>
      <c r="K4154" t="n">
        <v>1.76</v>
      </c>
      <c r="L4154" t="n">
        <v>0.14</v>
      </c>
      <c r="M4154" t="n">
        <v>1.62</v>
      </c>
      <c r="P4154" t="inlineStr">
        <is>
          <t>황채이</t>
        </is>
      </c>
      <c r="AB4154" t="inlineStr">
        <is>
          <t>홈서비스</t>
        </is>
      </c>
      <c r="AC4154" t="n">
        <v>440000</v>
      </c>
      <c r="AD4154" t="n">
        <v>35000</v>
      </c>
      <c r="AE4154" t="n">
        <v>405000</v>
      </c>
      <c r="AF4154" t="n">
        <v>400000</v>
      </c>
      <c r="AG4154" t="n">
        <v>33845</v>
      </c>
      <c r="AH4154" t="n">
        <v>366155</v>
      </c>
      <c r="AI4154" t="n">
        <v>0</v>
      </c>
    </row>
    <row r="4155">
      <c r="A4155" t="inlineStr">
        <is>
          <t>5월</t>
        </is>
      </c>
      <c r="B4155" t="inlineStr">
        <is>
          <t>20주차</t>
        </is>
      </c>
      <c r="C4155" t="inlineStr">
        <is>
          <t>EP</t>
        </is>
      </c>
      <c r="D4155" s="28" t="n">
        <v>46153</v>
      </c>
      <c r="E4155" t="inlineStr">
        <is>
          <t>현대EP</t>
        </is>
      </c>
      <c r="F4155" t="inlineStr">
        <is>
          <t>이용수</t>
        </is>
      </c>
      <c r="G4155" t="inlineStr">
        <is>
          <t>010-2117-8454</t>
        </is>
      </c>
      <c r="H4155" t="inlineStr">
        <is>
          <t>808나1059</t>
        </is>
      </c>
      <c r="I4155" t="n">
        <v>11000000</v>
      </c>
      <c r="J4155" t="n">
        <v>0.06900000000000001</v>
      </c>
      <c r="K4155" t="n">
        <v>1.76</v>
      </c>
      <c r="L4155" t="n">
        <v>0.14</v>
      </c>
      <c r="M4155" t="n">
        <v>1.62</v>
      </c>
      <c r="P4155" t="inlineStr">
        <is>
          <t>김수연</t>
        </is>
      </c>
      <c r="AB4155" t="inlineStr">
        <is>
          <t>홈서비스</t>
        </is>
      </c>
      <c r="AC4155" t="n">
        <v>193600</v>
      </c>
      <c r="AD4155" t="n">
        <v>15400</v>
      </c>
      <c r="AE4155" t="n">
        <v>178200</v>
      </c>
      <c r="AF4155" t="n">
        <v>176000</v>
      </c>
      <c r="AG4155" t="n">
        <v>14891.8</v>
      </c>
      <c r="AH4155" t="n">
        <v>161108.2</v>
      </c>
    </row>
    <row r="4156">
      <c r="A4156" t="inlineStr">
        <is>
          <t>5월</t>
        </is>
      </c>
      <c r="B4156" t="inlineStr">
        <is>
          <t>20주차</t>
        </is>
      </c>
      <c r="C4156" t="inlineStr">
        <is>
          <t>EP</t>
        </is>
      </c>
      <c r="D4156" s="28" t="n">
        <v>46153</v>
      </c>
      <c r="E4156" t="inlineStr">
        <is>
          <t>현대EP_fast</t>
        </is>
      </c>
      <c r="F4156" t="inlineStr">
        <is>
          <t>안성준</t>
        </is>
      </c>
      <c r="G4156" t="inlineStr">
        <is>
          <t>010-3294-2009</t>
        </is>
      </c>
      <c r="H4156" t="inlineStr">
        <is>
          <t>392우6132</t>
        </is>
      </c>
      <c r="I4156" t="n">
        <v>25900000</v>
      </c>
      <c r="J4156" t="n">
        <v>0.105</v>
      </c>
      <c r="K4156" t="n">
        <v>1.76</v>
      </c>
      <c r="L4156" t="n">
        <v>0.14</v>
      </c>
      <c r="M4156" t="n">
        <v>1.62</v>
      </c>
      <c r="P4156" t="inlineStr">
        <is>
          <t>박소현</t>
        </is>
      </c>
      <c r="Q4156" t="inlineStr">
        <is>
          <t>선상담 / 홈서비스 60개월</t>
        </is>
      </c>
      <c r="AB4156" t="inlineStr">
        <is>
          <t>홈서비스</t>
        </is>
      </c>
      <c r="AC4156" t="n">
        <v>455840</v>
      </c>
      <c r="AD4156" t="n">
        <v>36260</v>
      </c>
      <c r="AE4156" t="n">
        <v>419580</v>
      </c>
      <c r="AF4156" t="n">
        <v>414400</v>
      </c>
      <c r="AG4156" t="n">
        <v>35063.42</v>
      </c>
      <c r="AH4156" t="n">
        <v>379336.58</v>
      </c>
      <c r="AI4156" t="n">
        <v>0</v>
      </c>
    </row>
    <row r="4157">
      <c r="A4157" t="inlineStr">
        <is>
          <t>5월</t>
        </is>
      </c>
      <c r="B4157" t="inlineStr">
        <is>
          <t>20주차</t>
        </is>
      </c>
      <c r="C4157" t="inlineStr">
        <is>
          <t>IM</t>
        </is>
      </c>
      <c r="D4157" s="28" t="n">
        <v>46153</v>
      </c>
      <c r="E4157" t="inlineStr">
        <is>
          <t>IM캐피탈</t>
        </is>
      </c>
      <c r="F4157" t="inlineStr">
        <is>
          <t>한동식</t>
        </is>
      </c>
      <c r="G4157" t="inlineStr">
        <is>
          <t>010-3211-1902</t>
        </is>
      </c>
      <c r="H4157" t="inlineStr">
        <is>
          <t>285더7244</t>
        </is>
      </c>
      <c r="I4157" t="n">
        <v>16000000</v>
      </c>
      <c r="J4157" t="n">
        <v>0.063</v>
      </c>
      <c r="K4157" t="n">
        <v>1.1</v>
      </c>
      <c r="L4157" t="n">
        <v>0.14</v>
      </c>
      <c r="M4157" t="n">
        <v>0.96</v>
      </c>
      <c r="P4157" t="inlineStr">
        <is>
          <t>장진경</t>
        </is>
      </c>
      <c r="Q4157" t="inlineStr">
        <is>
          <t>선상담 / 홈서비스 72개월</t>
        </is>
      </c>
      <c r="AB4157" t="inlineStr">
        <is>
          <t>홈서비스</t>
        </is>
      </c>
      <c r="AC4157" t="n">
        <v>176000</v>
      </c>
      <c r="AD4157" t="n">
        <v>22400</v>
      </c>
      <c r="AE4157" t="n">
        <v>153600</v>
      </c>
      <c r="AF4157" t="n">
        <v>160000</v>
      </c>
      <c r="AG4157" t="n">
        <v>21660.8</v>
      </c>
      <c r="AH4157" t="n">
        <v>138339.2</v>
      </c>
      <c r="AI4157" t="n">
        <v>0</v>
      </c>
    </row>
    <row r="4158">
      <c r="A4158" t="inlineStr">
        <is>
          <t>5월</t>
        </is>
      </c>
      <c r="B4158" t="inlineStr">
        <is>
          <t>20주차</t>
        </is>
      </c>
      <c r="C4158" t="inlineStr">
        <is>
          <t>EP</t>
        </is>
      </c>
      <c r="D4158" s="28" t="n">
        <v>46153</v>
      </c>
      <c r="E4158" t="inlineStr">
        <is>
          <t>현대EP</t>
        </is>
      </c>
      <c r="F4158" t="inlineStr">
        <is>
          <t>문동현</t>
        </is>
      </c>
      <c r="G4158" t="inlineStr">
        <is>
          <t>010-6607-1500</t>
        </is>
      </c>
      <c r="H4158" t="inlineStr">
        <is>
          <t>37노1916</t>
        </is>
      </c>
      <c r="I4158" t="n">
        <v>15900000</v>
      </c>
      <c r="J4158" t="n">
        <v>0.129</v>
      </c>
      <c r="K4158" t="n">
        <v>1.76</v>
      </c>
      <c r="L4158" t="n">
        <v>0.14</v>
      </c>
      <c r="M4158" t="n">
        <v>1.62</v>
      </c>
      <c r="P4158" t="inlineStr">
        <is>
          <t>정세빈</t>
        </is>
      </c>
      <c r="AB4158" t="inlineStr">
        <is>
          <t>홈서비스</t>
        </is>
      </c>
      <c r="AC4158" t="n">
        <v>279840</v>
      </c>
      <c r="AD4158" t="n">
        <v>22260</v>
      </c>
      <c r="AE4158" t="n">
        <v>257580</v>
      </c>
      <c r="AF4158" t="n">
        <v>254400</v>
      </c>
      <c r="AG4158" t="n">
        <v>21525.42</v>
      </c>
      <c r="AH4158" t="n">
        <v>232874.58</v>
      </c>
    </row>
    <row r="4159">
      <c r="A4159" t="inlineStr">
        <is>
          <t>5월</t>
        </is>
      </c>
      <c r="B4159" t="inlineStr">
        <is>
          <t>20주차</t>
        </is>
      </c>
      <c r="C4159" t="inlineStr">
        <is>
          <t>EP</t>
        </is>
      </c>
      <c r="D4159" s="28" t="n">
        <v>46153</v>
      </c>
      <c r="E4159" t="inlineStr">
        <is>
          <t>현대EP</t>
        </is>
      </c>
      <c r="F4159" t="inlineStr">
        <is>
          <t>정길호</t>
        </is>
      </c>
      <c r="G4159" t="inlineStr">
        <is>
          <t>010-4345-6446</t>
        </is>
      </c>
      <c r="H4159" t="inlineStr">
        <is>
          <t>186서5204</t>
        </is>
      </c>
      <c r="I4159" t="n">
        <v>18600000</v>
      </c>
      <c r="J4159" t="n">
        <v>0.08799999999999999</v>
      </c>
      <c r="K4159" t="n">
        <v>1.76</v>
      </c>
      <c r="L4159" t="n">
        <v>0.14</v>
      </c>
      <c r="M4159" t="n">
        <v>1.62</v>
      </c>
      <c r="P4159" t="inlineStr">
        <is>
          <t>김수연</t>
        </is>
      </c>
      <c r="AB4159" t="inlineStr">
        <is>
          <t>홈서비스</t>
        </is>
      </c>
      <c r="AC4159" t="n">
        <v>327360</v>
      </c>
      <c r="AD4159" t="n">
        <v>26040</v>
      </c>
      <c r="AE4159" t="n">
        <v>301320</v>
      </c>
      <c r="AF4159" t="n">
        <v>297600</v>
      </c>
      <c r="AG4159" t="n">
        <v>25180.68</v>
      </c>
      <c r="AH4159" t="n">
        <v>272419.32</v>
      </c>
    </row>
    <row r="4160">
      <c r="A4160" t="inlineStr">
        <is>
          <t>5월</t>
        </is>
      </c>
      <c r="B4160" t="inlineStr">
        <is>
          <t>20주차</t>
        </is>
      </c>
      <c r="C4160" t="inlineStr">
        <is>
          <t>EP</t>
        </is>
      </c>
      <c r="D4160" s="28" t="n">
        <v>46153</v>
      </c>
      <c r="E4160" t="inlineStr">
        <is>
          <t>현대EP</t>
        </is>
      </c>
      <c r="F4160" t="inlineStr">
        <is>
          <t>김민수</t>
        </is>
      </c>
      <c r="G4160" t="inlineStr">
        <is>
          <t>010-3262-1424</t>
        </is>
      </c>
      <c r="H4160" t="inlineStr">
        <is>
          <t>32누5685</t>
        </is>
      </c>
      <c r="I4160" t="n">
        <v>23900000</v>
      </c>
      <c r="J4160" t="n">
        <v>0.08699999999999999</v>
      </c>
      <c r="K4160" t="n">
        <v>1.76</v>
      </c>
      <c r="L4160" t="n">
        <v>0.14</v>
      </c>
      <c r="M4160" t="n">
        <v>1.62</v>
      </c>
      <c r="P4160" t="inlineStr">
        <is>
          <t>김나윤</t>
        </is>
      </c>
      <c r="AB4160" t="inlineStr">
        <is>
          <t>홈서비스</t>
        </is>
      </c>
      <c r="AC4160" t="n">
        <v>420640</v>
      </c>
      <c r="AD4160" t="n">
        <v>33460</v>
      </c>
      <c r="AE4160" t="n">
        <v>387180</v>
      </c>
      <c r="AF4160" t="n">
        <v>382400</v>
      </c>
      <c r="AG4160" t="n">
        <v>32355.82</v>
      </c>
      <c r="AH4160" t="n">
        <v>350044.18</v>
      </c>
    </row>
    <row r="4161">
      <c r="A4161" t="inlineStr">
        <is>
          <t>5월</t>
        </is>
      </c>
      <c r="B4161" t="inlineStr">
        <is>
          <t>20주차</t>
        </is>
      </c>
      <c r="C4161" t="inlineStr">
        <is>
          <t>EP</t>
        </is>
      </c>
      <c r="D4161" s="28" t="n">
        <v>46153</v>
      </c>
      <c r="E4161" t="inlineStr">
        <is>
          <t>현대EP</t>
        </is>
      </c>
      <c r="F4161" t="inlineStr">
        <is>
          <t>박민영</t>
        </is>
      </c>
      <c r="G4161" t="inlineStr">
        <is>
          <t>010-9707-0899</t>
        </is>
      </c>
      <c r="H4161" t="inlineStr">
        <is>
          <t>06도7818</t>
        </is>
      </c>
      <c r="I4161" t="n">
        <v>15000000</v>
      </c>
      <c r="J4161" t="n">
        <v>0.089</v>
      </c>
      <c r="K4161" t="n">
        <v>1.76</v>
      </c>
      <c r="L4161" t="n">
        <v>0.14</v>
      </c>
      <c r="M4161" t="n">
        <v>1.62</v>
      </c>
      <c r="P4161" t="inlineStr">
        <is>
          <t>정세빈</t>
        </is>
      </c>
      <c r="AB4161" t="inlineStr">
        <is>
          <t>홈서비스</t>
        </is>
      </c>
      <c r="AC4161" t="n">
        <v>264000</v>
      </c>
      <c r="AD4161" t="n">
        <v>21000</v>
      </c>
      <c r="AE4161" t="n">
        <v>243000</v>
      </c>
      <c r="AF4161" t="n">
        <v>240000</v>
      </c>
      <c r="AG4161" t="n">
        <v>20307</v>
      </c>
      <c r="AH4161" t="n">
        <v>219693</v>
      </c>
      <c r="AI4161" t="n">
        <v>0</v>
      </c>
    </row>
    <row r="4162">
      <c r="A4162" t="inlineStr">
        <is>
          <t>5월</t>
        </is>
      </c>
      <c r="B4162" t="inlineStr">
        <is>
          <t>20주차</t>
        </is>
      </c>
      <c r="C4162" t="inlineStr">
        <is>
          <t>EP</t>
        </is>
      </c>
      <c r="D4162" s="28" t="n">
        <v>46154</v>
      </c>
      <c r="E4162" t="inlineStr">
        <is>
          <t>현대EP_fast</t>
        </is>
      </c>
      <c r="F4162" t="inlineStr">
        <is>
          <t>김철홍</t>
        </is>
      </c>
      <c r="G4162" t="inlineStr">
        <is>
          <t>010-4150-6943</t>
        </is>
      </c>
      <c r="H4162" t="inlineStr">
        <is>
          <t>184라4740</t>
        </is>
      </c>
      <c r="I4162" t="n">
        <v>22000000</v>
      </c>
      <c r="J4162" t="n">
        <v>0.075</v>
      </c>
      <c r="K4162" t="n">
        <v>1.76</v>
      </c>
      <c r="L4162" t="n">
        <v>0.14</v>
      </c>
      <c r="M4162" t="n">
        <v>1.62</v>
      </c>
      <c r="P4162" t="inlineStr">
        <is>
          <t>정세빈</t>
        </is>
      </c>
      <c r="Q4162" t="inlineStr">
        <is>
          <t>홈서비스 60개월</t>
        </is>
      </c>
      <c r="AB4162" t="inlineStr">
        <is>
          <t>홈서비스</t>
        </is>
      </c>
      <c r="AC4162" t="n">
        <v>387200</v>
      </c>
      <c r="AD4162" t="n">
        <v>30800</v>
      </c>
      <c r="AE4162" t="n">
        <v>356400</v>
      </c>
      <c r="AF4162" t="n">
        <v>352000</v>
      </c>
      <c r="AG4162" t="n">
        <v>29783.6</v>
      </c>
      <c r="AH4162" t="n">
        <v>322216.4</v>
      </c>
      <c r="AI4162" t="n">
        <v>0</v>
      </c>
    </row>
    <row r="4163">
      <c r="A4163" t="inlineStr">
        <is>
          <t>5월</t>
        </is>
      </c>
      <c r="B4163" t="inlineStr">
        <is>
          <t>20주차</t>
        </is>
      </c>
      <c r="C4163" t="inlineStr">
        <is>
          <t>EP</t>
        </is>
      </c>
      <c r="D4163" s="28" t="n">
        <v>46153</v>
      </c>
      <c r="E4163" t="inlineStr">
        <is>
          <t>현대EP_fast</t>
        </is>
      </c>
      <c r="F4163" t="inlineStr">
        <is>
          <t>조영리</t>
        </is>
      </c>
      <c r="G4163" t="inlineStr">
        <is>
          <t>010-5101-9602</t>
        </is>
      </c>
      <c r="H4163" t="inlineStr">
        <is>
          <t>236두9481</t>
        </is>
      </c>
      <c r="I4163" t="n">
        <v>15500000</v>
      </c>
      <c r="J4163" t="n">
        <v>0.08799999999999999</v>
      </c>
      <c r="K4163" t="n">
        <v>1.76</v>
      </c>
      <c r="L4163" t="n">
        <v>0.14</v>
      </c>
      <c r="M4163" t="n">
        <v>1.62</v>
      </c>
      <c r="P4163" t="inlineStr">
        <is>
          <t>임대경</t>
        </is>
      </c>
      <c r="Q4163" t="inlineStr">
        <is>
          <t>홈서비스 60개월</t>
        </is>
      </c>
      <c r="AB4163" t="inlineStr">
        <is>
          <t>홈서비스</t>
        </is>
      </c>
      <c r="AC4163" t="n">
        <v>272800</v>
      </c>
      <c r="AD4163" t="n">
        <v>21700</v>
      </c>
      <c r="AE4163" t="n">
        <v>251100</v>
      </c>
      <c r="AF4163" t="n">
        <v>248000</v>
      </c>
      <c r="AG4163" t="n">
        <v>20983.9</v>
      </c>
      <c r="AH4163" t="n">
        <v>227016.1</v>
      </c>
      <c r="AI4163" t="n">
        <v>0</v>
      </c>
    </row>
    <row r="4164">
      <c r="A4164" t="inlineStr">
        <is>
          <t>5월</t>
        </is>
      </c>
      <c r="B4164" t="inlineStr">
        <is>
          <t>19주차</t>
        </is>
      </c>
      <c r="C4164" t="inlineStr">
        <is>
          <t>EP</t>
        </is>
      </c>
      <c r="D4164" s="28" t="n">
        <v>46149</v>
      </c>
      <c r="E4164" t="inlineStr">
        <is>
          <t>제이비EP</t>
        </is>
      </c>
      <c r="F4164" t="inlineStr">
        <is>
          <t>김수미</t>
        </is>
      </c>
      <c r="G4164" t="inlineStr">
        <is>
          <t>010-6286-2419</t>
        </is>
      </c>
      <c r="H4164" t="inlineStr">
        <is>
          <t>124저2996</t>
        </is>
      </c>
      <c r="I4164" t="n">
        <v>29500000</v>
      </c>
      <c r="J4164" t="n">
        <v>0.074</v>
      </c>
      <c r="K4164" t="n">
        <v>1.65</v>
      </c>
      <c r="L4164" t="n">
        <v>0.4</v>
      </c>
      <c r="M4164" t="n">
        <v>1.25</v>
      </c>
      <c r="P4164" t="inlineStr">
        <is>
          <t>박현민</t>
        </is>
      </c>
      <c r="Q4164" t="inlineStr">
        <is>
          <t>부대비용추가진행</t>
        </is>
      </c>
      <c r="AB4164" t="inlineStr">
        <is>
          <t>엔카</t>
        </is>
      </c>
      <c r="AC4164" t="n">
        <v>486750</v>
      </c>
      <c r="AD4164" t="n">
        <v>118000</v>
      </c>
      <c r="AE4164" t="n">
        <v>368750</v>
      </c>
      <c r="AF4164" t="n">
        <v>442500</v>
      </c>
      <c r="AG4164" t="n">
        <v>114106</v>
      </c>
      <c r="AH4164" t="n">
        <v>328394</v>
      </c>
      <c r="AI4164" t="n">
        <v>0</v>
      </c>
    </row>
    <row r="4165">
      <c r="A4165" t="inlineStr">
        <is>
          <t>5월</t>
        </is>
      </c>
      <c r="B4165" t="inlineStr">
        <is>
          <t>20주차</t>
        </is>
      </c>
      <c r="C4165" t="inlineStr">
        <is>
          <t>EP</t>
        </is>
      </c>
      <c r="D4165" s="28" t="n">
        <v>46153</v>
      </c>
      <c r="E4165" t="inlineStr">
        <is>
          <t>현대EP</t>
        </is>
      </c>
      <c r="F4165" t="inlineStr">
        <is>
          <t>노창화</t>
        </is>
      </c>
      <c r="G4165" t="inlineStr">
        <is>
          <t>010-7708-1929</t>
        </is>
      </c>
      <c r="H4165" t="inlineStr">
        <is>
          <t>870누6343</t>
        </is>
      </c>
      <c r="I4165" t="n">
        <v>17400000</v>
      </c>
      <c r="J4165" t="n">
        <v>0.074</v>
      </c>
      <c r="K4165" t="n">
        <v>1.76</v>
      </c>
      <c r="L4165" t="n">
        <v>0.14</v>
      </c>
      <c r="M4165" t="n">
        <v>1.62</v>
      </c>
      <c r="P4165" t="inlineStr">
        <is>
          <t>김나윤</t>
        </is>
      </c>
      <c r="AB4165" t="inlineStr">
        <is>
          <t>홈서비스</t>
        </is>
      </c>
      <c r="AC4165" t="n">
        <v>306240</v>
      </c>
      <c r="AD4165" t="n">
        <v>24360</v>
      </c>
      <c r="AE4165" t="n">
        <v>281880</v>
      </c>
      <c r="AF4165" t="n">
        <v>278400</v>
      </c>
      <c r="AG4165" t="n">
        <v>23556.12</v>
      </c>
      <c r="AH4165" t="n">
        <v>254843.88</v>
      </c>
    </row>
    <row r="4166">
      <c r="A4166" t="inlineStr">
        <is>
          <t>5월</t>
        </is>
      </c>
      <c r="B4166" t="inlineStr">
        <is>
          <t>20주차</t>
        </is>
      </c>
      <c r="C4166" t="inlineStr">
        <is>
          <t>IM</t>
        </is>
      </c>
      <c r="D4166" s="28" t="n">
        <v>46153</v>
      </c>
      <c r="E4166" t="inlineStr">
        <is>
          <t>IM캐피탈</t>
        </is>
      </c>
      <c r="F4166" t="inlineStr">
        <is>
          <t>한상준</t>
        </is>
      </c>
      <c r="G4166" t="inlineStr">
        <is>
          <t>010-8014-5687</t>
        </is>
      </c>
      <c r="H4166" t="inlineStr">
        <is>
          <t>234고1507</t>
        </is>
      </c>
      <c r="I4166" t="n">
        <v>10900000</v>
      </c>
      <c r="J4166" t="n">
        <v>0.079</v>
      </c>
      <c r="K4166" t="n">
        <v>1.1</v>
      </c>
      <c r="L4166" t="n">
        <v>0.14</v>
      </c>
      <c r="M4166" t="n">
        <v>0.96</v>
      </c>
      <c r="P4166" t="inlineStr">
        <is>
          <t>장현경</t>
        </is>
      </c>
      <c r="Q4166" t="inlineStr">
        <is>
          <t>선상담 / 홈서비스 72개월 / 공동명의</t>
        </is>
      </c>
      <c r="AB4166" t="inlineStr">
        <is>
          <t>홈서비스</t>
        </is>
      </c>
      <c r="AC4166" t="n">
        <v>119900</v>
      </c>
      <c r="AD4166" t="n">
        <v>15260</v>
      </c>
      <c r="AE4166" t="n">
        <v>104640</v>
      </c>
      <c r="AF4166" t="n">
        <v>109000</v>
      </c>
      <c r="AG4166" t="n">
        <v>14756.42</v>
      </c>
      <c r="AH4166" t="n">
        <v>94243.58</v>
      </c>
      <c r="AI4166" t="n">
        <v>0</v>
      </c>
      <c r="AJ4166" t="inlineStr">
        <is>
          <t>개인</t>
        </is>
      </c>
    </row>
    <row r="4167">
      <c r="A4167" t="inlineStr">
        <is>
          <t>5월</t>
        </is>
      </c>
      <c r="B4167" t="inlineStr">
        <is>
          <t>20주차</t>
        </is>
      </c>
      <c r="C4167" t="inlineStr">
        <is>
          <t>EP</t>
        </is>
      </c>
      <c r="D4167" s="28" t="n">
        <v>46154</v>
      </c>
      <c r="E4167" t="inlineStr">
        <is>
          <t>현대EP_fast</t>
        </is>
      </c>
      <c r="F4167" t="inlineStr">
        <is>
          <t>김성욱</t>
        </is>
      </c>
      <c r="G4167" t="inlineStr">
        <is>
          <t>010-9515-4822</t>
        </is>
      </c>
      <c r="H4167" t="inlineStr">
        <is>
          <t>168도7328</t>
        </is>
      </c>
      <c r="I4167" t="n">
        <v>8000000</v>
      </c>
      <c r="J4167" t="n">
        <v>0.118</v>
      </c>
      <c r="K4167" t="n">
        <v>1.76</v>
      </c>
      <c r="L4167" t="n">
        <v>0.14</v>
      </c>
      <c r="M4167" t="n">
        <v>1.62</v>
      </c>
      <c r="P4167" t="inlineStr">
        <is>
          <t>김나윤</t>
        </is>
      </c>
      <c r="Q4167" t="inlineStr">
        <is>
          <t>홈서비스 36개월</t>
        </is>
      </c>
      <c r="AB4167" t="inlineStr">
        <is>
          <t>홈서비스</t>
        </is>
      </c>
      <c r="AC4167" t="n">
        <v>140800</v>
      </c>
      <c r="AD4167" t="n">
        <v>11200</v>
      </c>
      <c r="AE4167" t="n">
        <v>129600</v>
      </c>
      <c r="AF4167" t="n">
        <v>128000</v>
      </c>
      <c r="AG4167" t="n">
        <v>10830.4</v>
      </c>
      <c r="AH4167" t="n">
        <v>117169.6</v>
      </c>
      <c r="AI4167" t="n">
        <v>0</v>
      </c>
    </row>
    <row r="4168">
      <c r="A4168" t="inlineStr">
        <is>
          <t>5월</t>
        </is>
      </c>
      <c r="B4168" t="inlineStr">
        <is>
          <t>20주차</t>
        </is>
      </c>
      <c r="C4168" t="inlineStr">
        <is>
          <t>EP</t>
        </is>
      </c>
      <c r="D4168" s="28" t="n">
        <v>46154</v>
      </c>
      <c r="E4168" t="inlineStr">
        <is>
          <t>현대EP_fast</t>
        </is>
      </c>
      <c r="F4168" t="inlineStr">
        <is>
          <t>전호준</t>
        </is>
      </c>
      <c r="G4168" t="inlineStr">
        <is>
          <t>010-5122-0191</t>
        </is>
      </c>
      <c r="H4168" t="inlineStr">
        <is>
          <t>46모4763</t>
        </is>
      </c>
      <c r="I4168" t="n">
        <v>4900000</v>
      </c>
      <c r="J4168" t="n">
        <v>0.08500000000000001</v>
      </c>
      <c r="K4168" t="n">
        <v>1.76</v>
      </c>
      <c r="L4168" t="n">
        <v>0.14</v>
      </c>
      <c r="M4168" t="n">
        <v>1.62</v>
      </c>
      <c r="P4168" t="inlineStr">
        <is>
          <t>김나윤</t>
        </is>
      </c>
      <c r="Q4168" t="inlineStr">
        <is>
          <t>홈서비스 36개월</t>
        </is>
      </c>
      <c r="AB4168" t="inlineStr">
        <is>
          <t>홈서비스</t>
        </is>
      </c>
      <c r="AC4168" t="n">
        <v>86240</v>
      </c>
      <c r="AD4168" t="n">
        <v>6860</v>
      </c>
      <c r="AE4168" t="n">
        <v>79380</v>
      </c>
      <c r="AF4168" t="n">
        <v>78400</v>
      </c>
      <c r="AG4168" t="n">
        <v>6633.62</v>
      </c>
      <c r="AH4168" t="n">
        <v>71766.38</v>
      </c>
      <c r="AI4168" t="n">
        <v>0</v>
      </c>
    </row>
    <row r="4169">
      <c r="A4169" t="inlineStr">
        <is>
          <t>5월</t>
        </is>
      </c>
      <c r="B4169" t="inlineStr">
        <is>
          <t>19주차</t>
        </is>
      </c>
      <c r="C4169" t="inlineStr">
        <is>
          <t>EP</t>
        </is>
      </c>
      <c r="D4169" s="28" t="n">
        <v>46150</v>
      </c>
      <c r="E4169" t="inlineStr">
        <is>
          <t>현대EP_fast</t>
        </is>
      </c>
      <c r="F4169" t="inlineStr">
        <is>
          <t>손준호</t>
        </is>
      </c>
      <c r="G4169" t="inlineStr">
        <is>
          <t>010-6768-6741</t>
        </is>
      </c>
      <c r="H4169" t="inlineStr">
        <is>
          <t>50버9432</t>
        </is>
      </c>
      <c r="I4169" t="n">
        <v>16800000</v>
      </c>
      <c r="J4169" t="n">
        <v>0.089</v>
      </c>
      <c r="K4169" t="n">
        <v>1.76</v>
      </c>
      <c r="L4169" t="n">
        <v>0.14</v>
      </c>
      <c r="M4169" t="n">
        <v>1.62</v>
      </c>
      <c r="P4169" t="inlineStr">
        <is>
          <t>최혁</t>
        </is>
      </c>
      <c r="Q4169" t="inlineStr">
        <is>
          <t>홈서비스60개월</t>
        </is>
      </c>
      <c r="AB4169" t="inlineStr">
        <is>
          <t>홈서비스</t>
        </is>
      </c>
      <c r="AC4169" t="n">
        <v>295680</v>
      </c>
      <c r="AD4169" t="n">
        <v>23520</v>
      </c>
      <c r="AE4169" t="n">
        <v>272160</v>
      </c>
      <c r="AF4169" t="n">
        <v>268800</v>
      </c>
      <c r="AG4169" t="n">
        <v>22743.84</v>
      </c>
      <c r="AH4169" t="n">
        <v>246056.16</v>
      </c>
      <c r="AI4169" t="n">
        <v>0</v>
      </c>
      <c r="AJ4169" t="inlineStr">
        <is>
          <t>개인</t>
        </is>
      </c>
    </row>
    <row r="4170">
      <c r="A4170" t="inlineStr">
        <is>
          <t>5월</t>
        </is>
      </c>
      <c r="B4170" t="inlineStr">
        <is>
          <t>20주차</t>
        </is>
      </c>
      <c r="C4170" t="inlineStr">
        <is>
          <t>EP</t>
        </is>
      </c>
      <c r="D4170" s="28" t="n">
        <v>46153</v>
      </c>
      <c r="E4170" t="inlineStr">
        <is>
          <t>현대EP</t>
        </is>
      </c>
      <c r="F4170" t="inlineStr">
        <is>
          <t>배장호</t>
        </is>
      </c>
      <c r="G4170" t="inlineStr">
        <is>
          <t>010-2946-3425</t>
        </is>
      </c>
      <c r="H4170" t="inlineStr">
        <is>
          <t>178모8075</t>
        </is>
      </c>
      <c r="I4170" t="n">
        <v>28900000</v>
      </c>
      <c r="J4170" t="n">
        <v>0.08500000000000001</v>
      </c>
      <c r="K4170" t="n">
        <v>1.76</v>
      </c>
      <c r="L4170" t="n">
        <v>0.14</v>
      </c>
      <c r="M4170" t="n">
        <v>1.62</v>
      </c>
      <c r="P4170" t="inlineStr">
        <is>
          <t>최형주</t>
        </is>
      </c>
      <c r="AB4170" t="inlineStr">
        <is>
          <t>홈서비스</t>
        </is>
      </c>
      <c r="AC4170" t="n">
        <v>508640</v>
      </c>
      <c r="AD4170" t="n">
        <v>40460</v>
      </c>
      <c r="AE4170" t="n">
        <v>468180</v>
      </c>
      <c r="AF4170" t="n">
        <v>462400</v>
      </c>
      <c r="AG4170" t="n">
        <v>39124.82</v>
      </c>
      <c r="AH4170" t="n">
        <v>423275.18</v>
      </c>
      <c r="AI4170" t="n">
        <v>0</v>
      </c>
    </row>
    <row r="4171">
      <c r="A4171" t="inlineStr">
        <is>
          <t>5월</t>
        </is>
      </c>
      <c r="B4171" t="inlineStr">
        <is>
          <t>20주차</t>
        </is>
      </c>
      <c r="C4171" t="inlineStr">
        <is>
          <t>IM</t>
        </is>
      </c>
      <c r="D4171" s="28" t="n">
        <v>46153</v>
      </c>
      <c r="E4171" t="inlineStr">
        <is>
          <t>IM캐피탈</t>
        </is>
      </c>
      <c r="F4171" t="inlineStr">
        <is>
          <t>박희춘</t>
        </is>
      </c>
      <c r="G4171" t="inlineStr">
        <is>
          <t>010-2012-9800</t>
        </is>
      </c>
      <c r="H4171" t="inlineStr">
        <is>
          <t>173러1257</t>
        </is>
      </c>
      <c r="I4171" t="n">
        <v>46500000</v>
      </c>
      <c r="J4171" t="n">
        <v>0.049</v>
      </c>
      <c r="K4171" t="n">
        <v>1.1</v>
      </c>
      <c r="L4171" t="n">
        <v>0.14</v>
      </c>
      <c r="M4171" t="n">
        <v>0.96</v>
      </c>
      <c r="P4171" t="inlineStr">
        <is>
          <t>장현경</t>
        </is>
      </c>
      <c r="Q4171" t="inlineStr">
        <is>
          <t>선상담 / 홈서비스 60개월</t>
        </is>
      </c>
      <c r="AB4171" t="inlineStr">
        <is>
          <t>홈서비스</t>
        </is>
      </c>
      <c r="AC4171" t="n">
        <v>511500</v>
      </c>
      <c r="AD4171" t="n">
        <v>65100</v>
      </c>
      <c r="AE4171" t="n">
        <v>446400</v>
      </c>
      <c r="AF4171" t="n">
        <v>465000</v>
      </c>
      <c r="AG4171" t="n">
        <v>62951.7</v>
      </c>
      <c r="AH4171" t="n">
        <v>402048.3</v>
      </c>
      <c r="AI4171" t="n">
        <v>0</v>
      </c>
    </row>
    <row r="4172">
      <c r="A4172" t="inlineStr">
        <is>
          <t>5월</t>
        </is>
      </c>
      <c r="B4172" t="inlineStr">
        <is>
          <t>20주차</t>
        </is>
      </c>
      <c r="C4172" t="inlineStr">
        <is>
          <t>EP</t>
        </is>
      </c>
      <c r="D4172" s="28" t="n">
        <v>46153</v>
      </c>
      <c r="E4172" t="inlineStr">
        <is>
          <t>현대EP_fast</t>
        </is>
      </c>
      <c r="F4172" t="inlineStr">
        <is>
          <t>김민</t>
        </is>
      </c>
      <c r="G4172" t="inlineStr">
        <is>
          <t>010-6740-1327</t>
        </is>
      </c>
      <c r="H4172" t="inlineStr">
        <is>
          <t>19조6961</t>
        </is>
      </c>
      <c r="I4172" t="n">
        <v>4100000</v>
      </c>
      <c r="J4172" t="n">
        <v>0.102</v>
      </c>
      <c r="K4172" t="n">
        <v>1.76</v>
      </c>
      <c r="L4172" t="n">
        <v>0.14</v>
      </c>
      <c r="M4172" t="n">
        <v>1.62</v>
      </c>
      <c r="P4172" t="inlineStr">
        <is>
          <t>장진경</t>
        </is>
      </c>
      <c r="Q4172" t="inlineStr">
        <is>
          <t>선상담 / 홈서비스 60개월</t>
        </is>
      </c>
      <c r="AB4172" t="inlineStr">
        <is>
          <t>홈서비스</t>
        </is>
      </c>
      <c r="AC4172" t="n">
        <v>72160</v>
      </c>
      <c r="AD4172" t="n">
        <v>5740</v>
      </c>
      <c r="AE4172" t="n">
        <v>66420</v>
      </c>
      <c r="AF4172" t="n">
        <v>65600</v>
      </c>
      <c r="AG4172" t="n">
        <v>5550.58</v>
      </c>
      <c r="AH4172" t="n">
        <v>60049.42</v>
      </c>
      <c r="AI4172" t="n">
        <v>0</v>
      </c>
    </row>
    <row r="4173">
      <c r="A4173" t="inlineStr">
        <is>
          <t>5월</t>
        </is>
      </c>
      <c r="B4173" t="inlineStr">
        <is>
          <t>20주차</t>
        </is>
      </c>
      <c r="C4173" t="inlineStr">
        <is>
          <t>EP</t>
        </is>
      </c>
      <c r="D4173" s="28" t="n">
        <v>46154</v>
      </c>
      <c r="E4173" t="inlineStr">
        <is>
          <t>현대EP_fast</t>
        </is>
      </c>
      <c r="F4173" t="inlineStr">
        <is>
          <t>김보경</t>
        </is>
      </c>
      <c r="G4173" t="inlineStr">
        <is>
          <t>010-6347-9879</t>
        </is>
      </c>
      <c r="H4173" t="inlineStr">
        <is>
          <t>20보0970</t>
        </is>
      </c>
      <c r="I4173" t="n">
        <v>17400000</v>
      </c>
      <c r="J4173" t="n">
        <v>0.08500000000000001</v>
      </c>
      <c r="K4173" t="n">
        <v>1.76</v>
      </c>
      <c r="L4173" t="n">
        <v>0.14</v>
      </c>
      <c r="M4173" t="n">
        <v>1.62</v>
      </c>
      <c r="P4173" t="inlineStr">
        <is>
          <t>정세빈</t>
        </is>
      </c>
      <c r="Q4173" t="inlineStr">
        <is>
          <t>홈서비스 60개월</t>
        </is>
      </c>
      <c r="AB4173" t="inlineStr">
        <is>
          <t>홈서비스</t>
        </is>
      </c>
      <c r="AC4173" t="n">
        <v>306240</v>
      </c>
      <c r="AD4173" t="n">
        <v>24360</v>
      </c>
      <c r="AE4173" t="n">
        <v>281880</v>
      </c>
      <c r="AF4173" t="n">
        <v>278400</v>
      </c>
      <c r="AG4173" t="n">
        <v>23556.12</v>
      </c>
      <c r="AH4173" t="n">
        <v>254843.88</v>
      </c>
      <c r="AI4173" t="n">
        <v>0</v>
      </c>
    </row>
    <row r="4174">
      <c r="A4174" t="inlineStr">
        <is>
          <t>5월</t>
        </is>
      </c>
      <c r="B4174" t="inlineStr">
        <is>
          <t>20주차</t>
        </is>
      </c>
      <c r="C4174" t="inlineStr">
        <is>
          <t>IM</t>
        </is>
      </c>
      <c r="D4174" s="28" t="n">
        <v>46154</v>
      </c>
      <c r="E4174" t="inlineStr">
        <is>
          <t>IM캐피탈</t>
        </is>
      </c>
      <c r="F4174" t="inlineStr">
        <is>
          <t>김희동</t>
        </is>
      </c>
      <c r="G4174" t="inlineStr">
        <is>
          <t>010-3609-5822</t>
        </is>
      </c>
      <c r="H4174" t="inlineStr">
        <is>
          <t>379우9266</t>
        </is>
      </c>
      <c r="I4174" t="n">
        <v>26700000</v>
      </c>
      <c r="J4174" t="n">
        <v>0.076</v>
      </c>
      <c r="K4174" t="n">
        <v>1.1</v>
      </c>
      <c r="L4174" t="n">
        <v>0.14</v>
      </c>
      <c r="M4174" t="n">
        <v>0.96</v>
      </c>
      <c r="P4174" t="inlineStr">
        <is>
          <t>김나윤</t>
        </is>
      </c>
      <c r="Q4174" t="inlineStr">
        <is>
          <t>홈서비스 60개월 / 공동명의</t>
        </is>
      </c>
      <c r="AB4174" t="inlineStr">
        <is>
          <t>홈서비스</t>
        </is>
      </c>
      <c r="AC4174" t="n">
        <v>293700</v>
      </c>
      <c r="AD4174" t="n">
        <v>37380</v>
      </c>
      <c r="AE4174" t="n">
        <v>256320</v>
      </c>
      <c r="AF4174" t="n">
        <v>267000</v>
      </c>
      <c r="AG4174" t="n">
        <v>36146.46</v>
      </c>
      <c r="AH4174" t="n">
        <v>230853.54</v>
      </c>
      <c r="AI4174" t="n">
        <v>0</v>
      </c>
    </row>
    <row r="4175">
      <c r="A4175" t="inlineStr">
        <is>
          <t>5월</t>
        </is>
      </c>
      <c r="B4175" t="inlineStr">
        <is>
          <t>20주차</t>
        </is>
      </c>
      <c r="C4175" t="inlineStr">
        <is>
          <t>EP</t>
        </is>
      </c>
      <c r="D4175" s="28" t="n">
        <v>46154</v>
      </c>
      <c r="E4175" t="inlineStr">
        <is>
          <t>현대EP_fast</t>
        </is>
      </c>
      <c r="F4175" t="inlineStr">
        <is>
          <t>이정길</t>
        </is>
      </c>
      <c r="G4175" t="inlineStr">
        <is>
          <t>010-9460-1697</t>
        </is>
      </c>
      <c r="H4175" t="inlineStr">
        <is>
          <t>206라5524</t>
        </is>
      </c>
      <c r="I4175" t="n">
        <v>35900000</v>
      </c>
      <c r="J4175" t="n">
        <v>0.118</v>
      </c>
      <c r="K4175" t="n">
        <v>1.76</v>
      </c>
      <c r="L4175" t="n">
        <v>0.14</v>
      </c>
      <c r="M4175" t="n">
        <v>1.62</v>
      </c>
      <c r="P4175" t="inlineStr">
        <is>
          <t>김나윤</t>
        </is>
      </c>
      <c r="Q4175" t="inlineStr">
        <is>
          <t>홈서비스 60개월</t>
        </is>
      </c>
      <c r="AB4175" t="inlineStr">
        <is>
          <t>홈서비스</t>
        </is>
      </c>
      <c r="AC4175" t="n">
        <v>631840</v>
      </c>
      <c r="AD4175" t="n">
        <v>50260</v>
      </c>
      <c r="AE4175" t="n">
        <v>581580</v>
      </c>
      <c r="AF4175" t="n">
        <v>574400</v>
      </c>
      <c r="AG4175" t="n">
        <v>48601.42</v>
      </c>
      <c r="AH4175" t="n">
        <v>525798.58</v>
      </c>
      <c r="AI4175" t="n">
        <v>0</v>
      </c>
    </row>
    <row r="4176">
      <c r="A4176" t="inlineStr">
        <is>
          <t>5월</t>
        </is>
      </c>
      <c r="B4176" t="inlineStr">
        <is>
          <t>20주차</t>
        </is>
      </c>
      <c r="C4176" t="inlineStr">
        <is>
          <t>EP</t>
        </is>
      </c>
      <c r="D4176" s="28" t="n">
        <v>46154</v>
      </c>
      <c r="E4176" t="inlineStr">
        <is>
          <t>제이비EP</t>
        </is>
      </c>
      <c r="F4176" t="inlineStr">
        <is>
          <t>신준하</t>
        </is>
      </c>
      <c r="G4176" t="inlineStr">
        <is>
          <t>010-4321-8495</t>
        </is>
      </c>
      <c r="H4176" t="inlineStr">
        <is>
          <t>194조5307</t>
        </is>
      </c>
      <c r="I4176" t="n">
        <v>49500000</v>
      </c>
      <c r="J4176" t="n">
        <v>0.07199999999999999</v>
      </c>
      <c r="K4176" t="n">
        <v>1.65</v>
      </c>
      <c r="L4176" t="n">
        <v>0.14</v>
      </c>
      <c r="M4176" t="n">
        <v>1.51</v>
      </c>
      <c r="P4176" t="inlineStr">
        <is>
          <t>장현경</t>
        </is>
      </c>
      <c r="Q4176" t="inlineStr">
        <is>
          <t>선상담 / 홈서비스 60개월</t>
        </is>
      </c>
      <c r="AB4176" t="inlineStr">
        <is>
          <t>홈서비스</t>
        </is>
      </c>
      <c r="AC4176" t="n">
        <v>816750</v>
      </c>
      <c r="AD4176" t="n">
        <v>69300</v>
      </c>
      <c r="AE4176" t="n">
        <v>747450</v>
      </c>
      <c r="AF4176" t="n">
        <v>742500</v>
      </c>
      <c r="AG4176" t="n">
        <v>67013.10000000001</v>
      </c>
      <c r="AH4176" t="n">
        <v>675486.9</v>
      </c>
      <c r="AI4176" t="n">
        <v>0</v>
      </c>
    </row>
    <row r="4177">
      <c r="A4177" t="inlineStr">
        <is>
          <t>5월</t>
        </is>
      </c>
      <c r="B4177" t="inlineStr">
        <is>
          <t>20주차</t>
        </is>
      </c>
      <c r="C4177" t="inlineStr">
        <is>
          <t>EP</t>
        </is>
      </c>
      <c r="D4177" s="28" t="n">
        <v>46153</v>
      </c>
      <c r="E4177" t="inlineStr">
        <is>
          <t>현대EP</t>
        </is>
      </c>
      <c r="F4177" t="inlineStr">
        <is>
          <t>옥청일</t>
        </is>
      </c>
      <c r="G4177" t="inlineStr">
        <is>
          <t>010-2419-6506</t>
        </is>
      </c>
      <c r="H4177" t="inlineStr">
        <is>
          <t>88머8605</t>
        </is>
      </c>
      <c r="I4177" t="n">
        <v>6300000</v>
      </c>
      <c r="J4177" t="n">
        <v>0.08799999999999999</v>
      </c>
      <c r="K4177" t="n">
        <v>1.76</v>
      </c>
      <c r="L4177" t="n">
        <v>0.14</v>
      </c>
      <c r="M4177" t="n">
        <v>1.62</v>
      </c>
      <c r="P4177" t="inlineStr">
        <is>
          <t>최형주</t>
        </is>
      </c>
      <c r="AB4177" t="inlineStr">
        <is>
          <t>홈서비스</t>
        </is>
      </c>
      <c r="AC4177" t="n">
        <v>110880</v>
      </c>
      <c r="AD4177" t="n">
        <v>8820</v>
      </c>
      <c r="AE4177" t="n">
        <v>102060</v>
      </c>
      <c r="AF4177" t="n">
        <v>100800</v>
      </c>
      <c r="AG4177" t="n">
        <v>8528.940000000001</v>
      </c>
      <c r="AH4177" t="n">
        <v>92271.06</v>
      </c>
      <c r="AI4177" t="n">
        <v>0</v>
      </c>
    </row>
    <row r="4178">
      <c r="A4178" t="inlineStr">
        <is>
          <t>5월</t>
        </is>
      </c>
      <c r="B4178" t="inlineStr">
        <is>
          <t>20주차</t>
        </is>
      </c>
      <c r="C4178" t="inlineStr">
        <is>
          <t>EP</t>
        </is>
      </c>
      <c r="D4178" s="28" t="n">
        <v>46153</v>
      </c>
      <c r="E4178" t="inlineStr">
        <is>
          <t>현대EP</t>
        </is>
      </c>
      <c r="F4178" t="inlineStr">
        <is>
          <t>주우정</t>
        </is>
      </c>
      <c r="G4178" t="inlineStr">
        <is>
          <t>010-9170-5587</t>
        </is>
      </c>
      <c r="H4178" t="inlineStr">
        <is>
          <t>212주7584</t>
        </is>
      </c>
      <c r="I4178" t="n">
        <v>25000000</v>
      </c>
      <c r="J4178" t="n">
        <v>0.06900000000000001</v>
      </c>
      <c r="K4178" t="n">
        <v>1.76</v>
      </c>
      <c r="L4178" t="n">
        <v>0.14</v>
      </c>
      <c r="M4178" t="n">
        <v>1.62</v>
      </c>
      <c r="P4178" t="inlineStr">
        <is>
          <t>황채이</t>
        </is>
      </c>
      <c r="AB4178" t="inlineStr">
        <is>
          <t>홈서비스</t>
        </is>
      </c>
      <c r="AC4178" t="n">
        <v>440000</v>
      </c>
      <c r="AD4178" t="n">
        <v>35000</v>
      </c>
      <c r="AE4178" t="n">
        <v>405000</v>
      </c>
      <c r="AF4178" t="n">
        <v>400000</v>
      </c>
      <c r="AG4178" t="n">
        <v>33845</v>
      </c>
      <c r="AH4178" t="n">
        <v>366155</v>
      </c>
      <c r="AI4178" t="n">
        <v>0</v>
      </c>
    </row>
    <row r="4179">
      <c r="A4179" t="inlineStr">
        <is>
          <t>5월</t>
        </is>
      </c>
      <c r="B4179" t="inlineStr">
        <is>
          <t>20주차</t>
        </is>
      </c>
      <c r="C4179" t="inlineStr">
        <is>
          <t>IM</t>
        </is>
      </c>
      <c r="D4179" s="28" t="n">
        <v>46153</v>
      </c>
      <c r="E4179" t="inlineStr">
        <is>
          <t>IM캐피탈</t>
        </is>
      </c>
      <c r="F4179" t="inlineStr">
        <is>
          <t>박남배</t>
        </is>
      </c>
      <c r="G4179" t="inlineStr">
        <is>
          <t>010-9314-3640</t>
        </is>
      </c>
      <c r="H4179" t="inlineStr">
        <is>
          <t>814두7767</t>
        </is>
      </c>
      <c r="I4179" t="n">
        <v>22000000</v>
      </c>
      <c r="J4179" t="n">
        <v>0.049</v>
      </c>
      <c r="K4179" t="n">
        <v>1.1</v>
      </c>
      <c r="L4179" t="n">
        <v>0.4</v>
      </c>
      <c r="M4179" t="n">
        <v>0.7</v>
      </c>
      <c r="P4179" t="inlineStr">
        <is>
          <t>최혁</t>
        </is>
      </c>
      <c r="AB4179" t="inlineStr">
        <is>
          <t>엔카</t>
        </is>
      </c>
      <c r="AC4179" t="n">
        <v>242000</v>
      </c>
      <c r="AD4179" t="n">
        <v>88000</v>
      </c>
      <c r="AE4179" t="n">
        <v>154000</v>
      </c>
      <c r="AF4179" t="n">
        <v>220000</v>
      </c>
      <c r="AG4179" t="n">
        <v>85096</v>
      </c>
      <c r="AH4179" t="n">
        <v>134904</v>
      </c>
    </row>
    <row r="4180">
      <c r="A4180" t="inlineStr">
        <is>
          <t>5월</t>
        </is>
      </c>
      <c r="B4180" t="inlineStr">
        <is>
          <t>20주차</t>
        </is>
      </c>
      <c r="C4180" t="inlineStr">
        <is>
          <t>HC</t>
        </is>
      </c>
      <c r="D4180" s="28" t="n">
        <v>46154</v>
      </c>
      <c r="E4180" t="inlineStr">
        <is>
          <t>하나캐피탈</t>
        </is>
      </c>
      <c r="F4180" t="inlineStr">
        <is>
          <t>신영욱</t>
        </is>
      </c>
      <c r="G4180" t="inlineStr">
        <is>
          <t>010-2780-0608</t>
        </is>
      </c>
      <c r="H4180" t="inlineStr">
        <is>
          <t>290노8721</t>
        </is>
      </c>
      <c r="I4180" t="n">
        <v>11000000</v>
      </c>
      <c r="J4180" t="n">
        <v>0.059</v>
      </c>
      <c r="K4180" t="n">
        <v>2.2</v>
      </c>
      <c r="L4180" t="n">
        <v>0.14</v>
      </c>
      <c r="M4180" t="n">
        <v>2.06</v>
      </c>
      <c r="P4180" t="inlineStr">
        <is>
          <t>정세빈</t>
        </is>
      </c>
      <c r="Q4180" t="inlineStr">
        <is>
          <t>홈서비스 36개월</t>
        </is>
      </c>
      <c r="AB4180" t="inlineStr">
        <is>
          <t>홈서비스</t>
        </is>
      </c>
      <c r="AC4180" t="n">
        <v>242000</v>
      </c>
      <c r="AD4180" t="n">
        <v>15400</v>
      </c>
      <c r="AE4180" t="n">
        <v>226600</v>
      </c>
      <c r="AF4180" t="n">
        <v>220000</v>
      </c>
      <c r="AG4180" t="n">
        <v>14891.8</v>
      </c>
      <c r="AH4180" t="n">
        <v>205108.2</v>
      </c>
      <c r="AI4180" t="n">
        <v>0</v>
      </c>
    </row>
    <row r="4181">
      <c r="A4181" t="inlineStr">
        <is>
          <t>5월</t>
        </is>
      </c>
      <c r="B4181" t="inlineStr">
        <is>
          <t>20주차</t>
        </is>
      </c>
      <c r="C4181" t="inlineStr">
        <is>
          <t>IM</t>
        </is>
      </c>
      <c r="D4181" s="28" t="n">
        <v>46154</v>
      </c>
      <c r="E4181" t="inlineStr">
        <is>
          <t>IM캐피탈</t>
        </is>
      </c>
      <c r="F4181" t="inlineStr">
        <is>
          <t>박상현</t>
        </is>
      </c>
      <c r="G4181" t="inlineStr">
        <is>
          <t>010-8522-9737</t>
        </is>
      </c>
      <c r="H4181" t="inlineStr">
        <is>
          <t>16수5750</t>
        </is>
      </c>
      <c r="I4181" t="n">
        <v>20000000</v>
      </c>
      <c r="J4181" t="n">
        <v>0.045</v>
      </c>
      <c r="K4181" t="n">
        <v>1.1</v>
      </c>
      <c r="L4181" t="n">
        <v>0.14</v>
      </c>
      <c r="M4181" t="n">
        <v>0.96</v>
      </c>
      <c r="P4181" t="inlineStr">
        <is>
          <t>정세빈</t>
        </is>
      </c>
      <c r="Q4181" t="inlineStr">
        <is>
          <t>홈서비스 60개월</t>
        </is>
      </c>
      <c r="AB4181" t="inlineStr">
        <is>
          <t>홈서비스</t>
        </is>
      </c>
      <c r="AC4181" t="n">
        <v>220000</v>
      </c>
      <c r="AD4181" t="n">
        <v>28000</v>
      </c>
      <c r="AE4181" t="n">
        <v>192000</v>
      </c>
      <c r="AF4181" t="n">
        <v>200000</v>
      </c>
      <c r="AG4181" t="n">
        <v>27076</v>
      </c>
      <c r="AH4181" t="n">
        <v>172924</v>
      </c>
      <c r="AI4181" t="n">
        <v>0</v>
      </c>
    </row>
    <row r="4182">
      <c r="A4182" t="inlineStr">
        <is>
          <t>5월</t>
        </is>
      </c>
      <c r="B4182" t="inlineStr">
        <is>
          <t>20주차</t>
        </is>
      </c>
      <c r="C4182" t="inlineStr">
        <is>
          <t>EP</t>
        </is>
      </c>
      <c r="D4182" s="28" t="n">
        <v>46154</v>
      </c>
      <c r="E4182" t="inlineStr">
        <is>
          <t>현대EP_fast</t>
        </is>
      </c>
      <c r="F4182" t="inlineStr">
        <is>
          <t>박지영</t>
        </is>
      </c>
      <c r="G4182" t="inlineStr">
        <is>
          <t>010-2262-9120</t>
        </is>
      </c>
      <c r="H4182" t="inlineStr">
        <is>
          <t>222조1864</t>
        </is>
      </c>
      <c r="I4182" t="n">
        <v>11700000</v>
      </c>
      <c r="J4182" t="n">
        <v>0.08500000000000001</v>
      </c>
      <c r="K4182" t="n">
        <v>1.76</v>
      </c>
      <c r="L4182" t="n">
        <v>0.14</v>
      </c>
      <c r="M4182" t="n">
        <v>1.62</v>
      </c>
      <c r="P4182" t="inlineStr">
        <is>
          <t>최형주</t>
        </is>
      </c>
      <c r="Q4182" t="inlineStr">
        <is>
          <t>홈서비스 60개월</t>
        </is>
      </c>
      <c r="AB4182" t="inlineStr">
        <is>
          <t>홈서비스</t>
        </is>
      </c>
      <c r="AC4182" t="n">
        <v>205920</v>
      </c>
      <c r="AD4182" t="n">
        <v>16380</v>
      </c>
      <c r="AE4182" t="n">
        <v>189540</v>
      </c>
      <c r="AF4182" t="n">
        <v>187200</v>
      </c>
      <c r="AG4182" t="n">
        <v>15839.46</v>
      </c>
      <c r="AH4182" t="n">
        <v>171360.54</v>
      </c>
    </row>
    <row r="4183">
      <c r="A4183" t="inlineStr">
        <is>
          <t>5월</t>
        </is>
      </c>
      <c r="B4183" t="inlineStr">
        <is>
          <t>20주차</t>
        </is>
      </c>
      <c r="C4183" t="inlineStr">
        <is>
          <t>EP</t>
        </is>
      </c>
      <c r="D4183" s="28" t="n">
        <v>46154</v>
      </c>
      <c r="E4183" t="inlineStr">
        <is>
          <t>현대EP_fast</t>
        </is>
      </c>
      <c r="F4183" t="inlineStr">
        <is>
          <t>이승이</t>
        </is>
      </c>
      <c r="G4183" t="inlineStr">
        <is>
          <t>010-7536-6400</t>
        </is>
      </c>
      <c r="H4183" t="inlineStr">
        <is>
          <t>110로8404</t>
        </is>
      </c>
      <c r="I4183" t="n">
        <v>35500000</v>
      </c>
      <c r="J4183" t="n">
        <v>0.089</v>
      </c>
      <c r="K4183" t="n">
        <v>1.76</v>
      </c>
      <c r="L4183" t="n">
        <v>0.14</v>
      </c>
      <c r="M4183" t="n">
        <v>1.62</v>
      </c>
      <c r="P4183" t="inlineStr">
        <is>
          <t>최형주</t>
        </is>
      </c>
      <c r="Q4183" t="inlineStr">
        <is>
          <t>홈서비스 48개월</t>
        </is>
      </c>
      <c r="AB4183" t="inlineStr">
        <is>
          <t>홈서비스</t>
        </is>
      </c>
      <c r="AC4183" t="n">
        <v>624800</v>
      </c>
      <c r="AD4183" t="n">
        <v>49700</v>
      </c>
      <c r="AE4183" t="n">
        <v>575100</v>
      </c>
      <c r="AF4183" t="n">
        <v>568000</v>
      </c>
      <c r="AG4183" t="n">
        <v>48059.9</v>
      </c>
      <c r="AH4183" t="n">
        <v>519940.1</v>
      </c>
    </row>
    <row r="4184">
      <c r="A4184" t="inlineStr">
        <is>
          <t>5월</t>
        </is>
      </c>
      <c r="B4184" t="inlineStr">
        <is>
          <t>20주차</t>
        </is>
      </c>
      <c r="C4184" t="inlineStr">
        <is>
          <t>EP</t>
        </is>
      </c>
      <c r="D4184" s="28" t="n">
        <v>46153</v>
      </c>
      <c r="E4184" t="inlineStr">
        <is>
          <t>현대EP</t>
        </is>
      </c>
      <c r="F4184" t="inlineStr">
        <is>
          <t>황용하</t>
        </is>
      </c>
      <c r="G4184" t="inlineStr">
        <is>
          <t>010-5229-1678</t>
        </is>
      </c>
      <c r="H4184" t="inlineStr">
        <is>
          <t>339부9979</t>
        </is>
      </c>
      <c r="I4184" t="n">
        <v>15300000</v>
      </c>
      <c r="J4184" t="n">
        <v>0.06900000000000001</v>
      </c>
      <c r="K4184" t="n">
        <v>1.76</v>
      </c>
      <c r="L4184" t="n">
        <v>0.14</v>
      </c>
      <c r="M4184" t="n">
        <v>1.62</v>
      </c>
      <c r="P4184" t="inlineStr">
        <is>
          <t>김수연</t>
        </is>
      </c>
      <c r="AB4184" t="inlineStr">
        <is>
          <t>홈서비스</t>
        </is>
      </c>
      <c r="AC4184" t="n">
        <v>269280</v>
      </c>
      <c r="AD4184" t="n">
        <v>21420</v>
      </c>
      <c r="AE4184" t="n">
        <v>247860</v>
      </c>
      <c r="AF4184" t="n">
        <v>244800</v>
      </c>
      <c r="AG4184" t="n">
        <v>20713.14</v>
      </c>
      <c r="AH4184" t="n">
        <v>224086.86</v>
      </c>
      <c r="AI4184" t="n">
        <v>0</v>
      </c>
    </row>
    <row r="4185">
      <c r="A4185" t="inlineStr">
        <is>
          <t>5월</t>
        </is>
      </c>
      <c r="B4185" t="inlineStr">
        <is>
          <t>20주차</t>
        </is>
      </c>
      <c r="C4185" t="inlineStr">
        <is>
          <t>EP</t>
        </is>
      </c>
      <c r="D4185" s="28" t="n">
        <v>46154</v>
      </c>
      <c r="E4185" t="inlineStr">
        <is>
          <t>제이비EP</t>
        </is>
      </c>
      <c r="F4185" t="inlineStr">
        <is>
          <t>홍현지</t>
        </is>
      </c>
      <c r="G4185" t="inlineStr">
        <is>
          <t>010-5385-7387</t>
        </is>
      </c>
      <c r="H4185" t="inlineStr">
        <is>
          <t>238어4505</t>
        </is>
      </c>
      <c r="I4185" t="n">
        <v>25000000</v>
      </c>
      <c r="J4185" t="n">
        <v>0.079</v>
      </c>
      <c r="K4185" t="n">
        <v>1.65</v>
      </c>
      <c r="L4185" t="n">
        <v>0.4</v>
      </c>
      <c r="M4185" t="n">
        <v>1.25</v>
      </c>
      <c r="P4185" t="inlineStr">
        <is>
          <t>최혁</t>
        </is>
      </c>
      <c r="Q4185" t="inlineStr">
        <is>
          <t>공동명의</t>
        </is>
      </c>
      <c r="AB4185" t="inlineStr">
        <is>
          <t>엔카</t>
        </is>
      </c>
      <c r="AC4185" t="n">
        <v>412500</v>
      </c>
      <c r="AD4185" t="n">
        <v>100000</v>
      </c>
      <c r="AE4185" t="n">
        <v>312500</v>
      </c>
      <c r="AF4185" t="n">
        <v>375000</v>
      </c>
      <c r="AG4185" t="n">
        <v>96700</v>
      </c>
      <c r="AH4185" t="n">
        <v>278300</v>
      </c>
      <c r="AI4185" t="n">
        <v>0</v>
      </c>
    </row>
    <row r="4186">
      <c r="A4186" t="inlineStr">
        <is>
          <t>5월</t>
        </is>
      </c>
      <c r="B4186" t="inlineStr">
        <is>
          <t>20주차</t>
        </is>
      </c>
      <c r="C4186" t="inlineStr">
        <is>
          <t>IM</t>
        </is>
      </c>
      <c r="D4186" s="28" t="n">
        <v>46154</v>
      </c>
      <c r="E4186" t="inlineStr">
        <is>
          <t>IM캐피탈</t>
        </is>
      </c>
      <c r="F4186" t="inlineStr">
        <is>
          <t>김태우</t>
        </is>
      </c>
      <c r="G4186" t="inlineStr">
        <is>
          <t>010-9171-2842</t>
        </is>
      </c>
      <c r="H4186" t="inlineStr">
        <is>
          <t>07다6999</t>
        </is>
      </c>
      <c r="I4186" t="n">
        <v>20000000</v>
      </c>
      <c r="J4186" t="n">
        <v>0.059</v>
      </c>
      <c r="K4186" t="n">
        <v>1.1</v>
      </c>
      <c r="L4186" t="n">
        <v>0.14</v>
      </c>
      <c r="M4186" t="n">
        <v>0.96</v>
      </c>
      <c r="P4186" t="inlineStr">
        <is>
          <t>김나윤</t>
        </is>
      </c>
      <c r="Q4186" t="inlineStr">
        <is>
          <t>홈서비스 36개월</t>
        </is>
      </c>
      <c r="AB4186" t="inlineStr">
        <is>
          <t>홈서비스</t>
        </is>
      </c>
      <c r="AC4186" t="n">
        <v>220000</v>
      </c>
      <c r="AD4186" t="n">
        <v>28000</v>
      </c>
      <c r="AE4186" t="n">
        <v>192000</v>
      </c>
      <c r="AF4186" t="n">
        <v>200000</v>
      </c>
      <c r="AG4186" t="n">
        <v>27076</v>
      </c>
      <c r="AH4186" t="n">
        <v>172924</v>
      </c>
      <c r="AI4186" t="n">
        <v>0</v>
      </c>
    </row>
    <row r="4187">
      <c r="A4187" t="inlineStr">
        <is>
          <t>5월</t>
        </is>
      </c>
      <c r="B4187" t="inlineStr">
        <is>
          <t>20주차</t>
        </is>
      </c>
      <c r="C4187" t="inlineStr">
        <is>
          <t>EP</t>
        </is>
      </c>
      <c r="D4187" s="28" t="n">
        <v>46153</v>
      </c>
      <c r="E4187" t="inlineStr">
        <is>
          <t>제이비EP</t>
        </is>
      </c>
      <c r="F4187" t="inlineStr">
        <is>
          <t>강덕범</t>
        </is>
      </c>
      <c r="G4187" t="inlineStr">
        <is>
          <t>010-5624-5899</t>
        </is>
      </c>
      <c r="H4187" t="inlineStr">
        <is>
          <t>65머8280</t>
        </is>
      </c>
      <c r="I4187" t="n">
        <v>38500000</v>
      </c>
      <c r="J4187" t="n">
        <v>0.08699999999999999</v>
      </c>
      <c r="K4187" t="n">
        <v>1.65</v>
      </c>
      <c r="L4187" t="n">
        <v>0.4</v>
      </c>
      <c r="M4187" t="n">
        <v>1.25</v>
      </c>
      <c r="P4187" t="inlineStr">
        <is>
          <t>구성완</t>
        </is>
      </c>
      <c r="Q4187" t="inlineStr">
        <is>
          <t>부대비용 추가진행</t>
        </is>
      </c>
      <c r="AB4187" t="inlineStr">
        <is>
          <t>엔카</t>
        </is>
      </c>
      <c r="AC4187" t="n">
        <v>635250</v>
      </c>
      <c r="AD4187" t="n">
        <v>154000</v>
      </c>
      <c r="AE4187" t="n">
        <v>481250</v>
      </c>
      <c r="AF4187" t="n">
        <v>577500</v>
      </c>
      <c r="AG4187" t="n">
        <v>148918</v>
      </c>
      <c r="AH4187" t="n">
        <v>428582</v>
      </c>
      <c r="AI4187" t="n">
        <v>0</v>
      </c>
    </row>
    <row r="4188">
      <c r="A4188" t="inlineStr">
        <is>
          <t>5월</t>
        </is>
      </c>
      <c r="B4188" t="inlineStr">
        <is>
          <t>20주차</t>
        </is>
      </c>
      <c r="C4188" t="inlineStr">
        <is>
          <t>EP</t>
        </is>
      </c>
      <c r="D4188" s="28" t="n">
        <v>46153</v>
      </c>
      <c r="E4188" t="inlineStr">
        <is>
          <t>BNKEP</t>
        </is>
      </c>
      <c r="F4188" t="inlineStr">
        <is>
          <t>이우현</t>
        </is>
      </c>
      <c r="G4188" t="inlineStr">
        <is>
          <t>010-7999-5815</t>
        </is>
      </c>
      <c r="H4188" t="inlineStr">
        <is>
          <t>22더2662</t>
        </is>
      </c>
      <c r="I4188" t="n">
        <v>12500000</v>
      </c>
      <c r="J4188" t="n">
        <v>0.08599999999999999</v>
      </c>
      <c r="K4188" t="n">
        <v>1.65</v>
      </c>
      <c r="L4188" t="n">
        <v>0.14</v>
      </c>
      <c r="M4188" t="n">
        <v>1.51</v>
      </c>
      <c r="P4188" t="inlineStr">
        <is>
          <t>구성완</t>
        </is>
      </c>
      <c r="Q4188" t="inlineStr">
        <is>
          <t>안심거래존건</t>
        </is>
      </c>
      <c r="AB4188" t="inlineStr">
        <is>
          <t>믿고</t>
        </is>
      </c>
      <c r="AC4188" t="n">
        <v>206250</v>
      </c>
      <c r="AD4188" t="n">
        <v>17500</v>
      </c>
      <c r="AE4188" t="n">
        <v>188750</v>
      </c>
      <c r="AF4188" t="n">
        <v>187500</v>
      </c>
      <c r="AG4188" t="n">
        <v>16922.5</v>
      </c>
      <c r="AH4188" t="n">
        <v>170577.5</v>
      </c>
    </row>
    <row r="4189">
      <c r="A4189" t="inlineStr">
        <is>
          <t>5월</t>
        </is>
      </c>
      <c r="B4189" t="inlineStr">
        <is>
          <t>20주차</t>
        </is>
      </c>
      <c r="C4189" t="inlineStr">
        <is>
          <t>IM</t>
        </is>
      </c>
      <c r="D4189" s="28" t="n">
        <v>46153</v>
      </c>
      <c r="E4189" t="inlineStr">
        <is>
          <t>IM캐피탈</t>
        </is>
      </c>
      <c r="F4189" t="inlineStr">
        <is>
          <t>서우리</t>
        </is>
      </c>
      <c r="G4189" t="inlineStr">
        <is>
          <t>010-9782-6080</t>
        </is>
      </c>
      <c r="H4189" t="inlineStr">
        <is>
          <t>65우7171</t>
        </is>
      </c>
      <c r="I4189" t="n">
        <v>25400000</v>
      </c>
      <c r="J4189" t="n">
        <v>0.059</v>
      </c>
      <c r="K4189" t="n">
        <v>1.1</v>
      </c>
      <c r="L4189" t="n">
        <v>0.4</v>
      </c>
      <c r="M4189" t="n">
        <v>0.7</v>
      </c>
      <c r="P4189" t="inlineStr">
        <is>
          <t>박소현</t>
        </is>
      </c>
      <c r="AB4189" t="inlineStr">
        <is>
          <t>엔카</t>
        </is>
      </c>
      <c r="AC4189" t="n">
        <v>279400</v>
      </c>
      <c r="AD4189" t="n">
        <v>101600</v>
      </c>
      <c r="AE4189" t="n">
        <v>177800</v>
      </c>
      <c r="AF4189" t="n">
        <v>254000</v>
      </c>
      <c r="AG4189" t="n">
        <v>98247.2</v>
      </c>
      <c r="AH4189" t="n">
        <v>155752.8</v>
      </c>
      <c r="AI4189" t="n">
        <v>0</v>
      </c>
    </row>
    <row r="4190">
      <c r="A4190" t="inlineStr">
        <is>
          <t>5월</t>
        </is>
      </c>
      <c r="B4190" t="inlineStr">
        <is>
          <t>20주차</t>
        </is>
      </c>
      <c r="C4190" t="inlineStr">
        <is>
          <t>IM</t>
        </is>
      </c>
      <c r="D4190" s="28" t="n">
        <v>46154</v>
      </c>
      <c r="E4190" t="inlineStr">
        <is>
          <t>IM캐피탈</t>
        </is>
      </c>
      <c r="F4190" t="inlineStr">
        <is>
          <t>김제혁</t>
        </is>
      </c>
      <c r="G4190" t="inlineStr">
        <is>
          <t>010-5550-4199</t>
        </is>
      </c>
      <c r="H4190" t="inlineStr">
        <is>
          <t>248더9662</t>
        </is>
      </c>
      <c r="I4190" t="n">
        <v>27700000</v>
      </c>
      <c r="J4190" t="n">
        <v>0.07099999999999999</v>
      </c>
      <c r="K4190" t="n">
        <v>1.1</v>
      </c>
      <c r="L4190" t="n">
        <v>0.4</v>
      </c>
      <c r="M4190" t="n">
        <v>0.7</v>
      </c>
      <c r="P4190" t="inlineStr">
        <is>
          <t>박소현</t>
        </is>
      </c>
      <c r="AB4190" t="inlineStr">
        <is>
          <t>엔카</t>
        </is>
      </c>
      <c r="AC4190" t="n">
        <v>304700</v>
      </c>
      <c r="AD4190" t="n">
        <v>110800</v>
      </c>
      <c r="AE4190" t="n">
        <v>193900</v>
      </c>
      <c r="AF4190" t="n">
        <v>277000</v>
      </c>
      <c r="AG4190" t="n">
        <v>107143.6</v>
      </c>
      <c r="AH4190" t="n">
        <v>169856.4</v>
      </c>
    </row>
    <row r="4191">
      <c r="A4191" t="inlineStr">
        <is>
          <t>5월</t>
        </is>
      </c>
      <c r="B4191" t="inlineStr">
        <is>
          <t>20주차</t>
        </is>
      </c>
      <c r="C4191" t="inlineStr">
        <is>
          <t>IM</t>
        </is>
      </c>
      <c r="D4191" s="28" t="n">
        <v>46154</v>
      </c>
      <c r="E4191" t="inlineStr">
        <is>
          <t>IM캐피탈</t>
        </is>
      </c>
      <c r="F4191" t="inlineStr">
        <is>
          <t>이동규</t>
        </is>
      </c>
      <c r="G4191" t="inlineStr">
        <is>
          <t>010-8763-1307</t>
        </is>
      </c>
      <c r="H4191" t="inlineStr">
        <is>
          <t>01저7135</t>
        </is>
      </c>
      <c r="I4191" t="n">
        <v>6100000</v>
      </c>
      <c r="J4191" t="n">
        <v>0.045</v>
      </c>
      <c r="K4191" t="n">
        <v>1.1</v>
      </c>
      <c r="L4191" t="n">
        <v>0.14</v>
      </c>
      <c r="M4191" t="n">
        <v>0.96</v>
      </c>
      <c r="P4191" t="inlineStr">
        <is>
          <t>김나윤</t>
        </is>
      </c>
      <c r="Q4191" t="inlineStr">
        <is>
          <t>홈서비스 60개월</t>
        </is>
      </c>
      <c r="AB4191" t="inlineStr">
        <is>
          <t>홈서비스</t>
        </is>
      </c>
      <c r="AC4191" t="n">
        <v>67100</v>
      </c>
      <c r="AD4191" t="n">
        <v>8540</v>
      </c>
      <c r="AE4191" t="n">
        <v>58560</v>
      </c>
      <c r="AF4191" t="n">
        <v>61000</v>
      </c>
      <c r="AG4191" t="n">
        <v>8258.18</v>
      </c>
      <c r="AH4191" t="n">
        <v>52741.82</v>
      </c>
      <c r="AI4191" t="n">
        <v>0</v>
      </c>
    </row>
    <row r="4192">
      <c r="A4192" t="inlineStr">
        <is>
          <t>5월</t>
        </is>
      </c>
      <c r="B4192" t="inlineStr">
        <is>
          <t>20주차</t>
        </is>
      </c>
      <c r="C4192" t="inlineStr">
        <is>
          <t>EP</t>
        </is>
      </c>
      <c r="D4192" s="28" t="n">
        <v>46154</v>
      </c>
      <c r="E4192" t="inlineStr">
        <is>
          <t>현대EP_fast</t>
        </is>
      </c>
      <c r="F4192" t="inlineStr">
        <is>
          <t>조선교</t>
        </is>
      </c>
      <c r="G4192" t="inlineStr">
        <is>
          <t>010-5245-6652</t>
        </is>
      </c>
      <c r="H4192" t="inlineStr">
        <is>
          <t>165루1195</t>
        </is>
      </c>
      <c r="I4192" t="n">
        <v>35700000</v>
      </c>
      <c r="J4192" t="n">
        <v>0.07099999999999999</v>
      </c>
      <c r="K4192" t="n">
        <v>1.76</v>
      </c>
      <c r="L4192" t="n">
        <v>0.14</v>
      </c>
      <c r="M4192" t="n">
        <v>1.62</v>
      </c>
      <c r="P4192" t="inlineStr">
        <is>
          <t>최형주</t>
        </is>
      </c>
      <c r="Q4192" t="inlineStr">
        <is>
          <t>홈서비스 60개월</t>
        </is>
      </c>
      <c r="AB4192" t="inlineStr">
        <is>
          <t>홈서비스</t>
        </is>
      </c>
      <c r="AC4192" t="n">
        <v>628320</v>
      </c>
      <c r="AD4192" t="n">
        <v>49980</v>
      </c>
      <c r="AE4192" t="n">
        <v>578340</v>
      </c>
      <c r="AF4192" t="n">
        <v>571200</v>
      </c>
      <c r="AG4192" t="n">
        <v>48330.66</v>
      </c>
      <c r="AH4192" t="n">
        <v>522869.34</v>
      </c>
    </row>
    <row r="4193">
      <c r="A4193" t="inlineStr">
        <is>
          <t>5월</t>
        </is>
      </c>
      <c r="B4193" t="inlineStr">
        <is>
          <t>20주차</t>
        </is>
      </c>
      <c r="C4193" t="inlineStr">
        <is>
          <t>IM</t>
        </is>
      </c>
      <c r="D4193" s="28" t="n">
        <v>46154</v>
      </c>
      <c r="E4193" t="inlineStr">
        <is>
          <t>IM캐피탈</t>
        </is>
      </c>
      <c r="F4193" t="inlineStr">
        <is>
          <t>김병욱</t>
        </is>
      </c>
      <c r="G4193" t="inlineStr">
        <is>
          <t>010-6355-6044</t>
        </is>
      </c>
      <c r="H4193" t="inlineStr">
        <is>
          <t>314서2512</t>
        </is>
      </c>
      <c r="I4193" t="n">
        <v>30900000</v>
      </c>
      <c r="J4193" t="n">
        <v>0.063</v>
      </c>
      <c r="K4193" t="n">
        <v>1.1</v>
      </c>
      <c r="L4193" t="n">
        <v>0.14</v>
      </c>
      <c r="M4193" t="n">
        <v>0.96</v>
      </c>
      <c r="P4193" t="inlineStr">
        <is>
          <t>장진경</t>
        </is>
      </c>
      <c r="Q4193" t="inlineStr">
        <is>
          <t>선상담 / 홈서비스 60개월</t>
        </is>
      </c>
      <c r="AB4193" t="inlineStr">
        <is>
          <t>홈서비스</t>
        </is>
      </c>
      <c r="AC4193" t="n">
        <v>339900</v>
      </c>
      <c r="AD4193" t="n">
        <v>43260</v>
      </c>
      <c r="AE4193" t="n">
        <v>296640</v>
      </c>
      <c r="AF4193" t="n">
        <v>309000</v>
      </c>
      <c r="AG4193" t="n">
        <v>41832.42</v>
      </c>
      <c r="AH4193" t="n">
        <v>267167.58</v>
      </c>
      <c r="AI4193" t="n">
        <v>0</v>
      </c>
    </row>
    <row r="4194">
      <c r="A4194" t="inlineStr">
        <is>
          <t>5월</t>
        </is>
      </c>
      <c r="B4194" t="inlineStr">
        <is>
          <t>20주차</t>
        </is>
      </c>
      <c r="C4194" t="inlineStr">
        <is>
          <t>IM</t>
        </is>
      </c>
      <c r="D4194" s="28" t="n">
        <v>46154</v>
      </c>
      <c r="E4194" t="inlineStr">
        <is>
          <t>IM캐피탈</t>
        </is>
      </c>
      <c r="F4194" t="inlineStr">
        <is>
          <t>최지혜</t>
        </is>
      </c>
      <c r="G4194" t="inlineStr">
        <is>
          <t>010-5634-7019</t>
        </is>
      </c>
      <c r="H4194" t="inlineStr">
        <is>
          <t>307도6922</t>
        </is>
      </c>
      <c r="I4194" t="n">
        <v>25700000</v>
      </c>
      <c r="J4194" t="n">
        <v>0.059</v>
      </c>
      <c r="K4194" t="n">
        <v>1.1</v>
      </c>
      <c r="L4194" t="n">
        <v>0.14</v>
      </c>
      <c r="M4194" t="n">
        <v>0.96</v>
      </c>
      <c r="P4194" t="inlineStr">
        <is>
          <t>정세빈</t>
        </is>
      </c>
      <c r="Q4194" t="inlineStr">
        <is>
          <t>홈서비스 84개월</t>
        </is>
      </c>
      <c r="AB4194" t="inlineStr">
        <is>
          <t>홈서비스</t>
        </is>
      </c>
      <c r="AC4194" t="n">
        <v>282700</v>
      </c>
      <c r="AD4194" t="n">
        <v>35980</v>
      </c>
      <c r="AE4194" t="n">
        <v>246720</v>
      </c>
      <c r="AF4194" t="n">
        <v>257000</v>
      </c>
      <c r="AG4194" t="n">
        <v>34792.66</v>
      </c>
      <c r="AH4194" t="n">
        <v>222207.34</v>
      </c>
      <c r="AI4194" t="n">
        <v>0</v>
      </c>
    </row>
    <row r="4195">
      <c r="A4195" t="inlineStr">
        <is>
          <t>5월</t>
        </is>
      </c>
      <c r="B4195" t="inlineStr">
        <is>
          <t>20주차</t>
        </is>
      </c>
      <c r="C4195" t="inlineStr">
        <is>
          <t>EP</t>
        </is>
      </c>
      <c r="D4195" s="28" t="n">
        <v>46154</v>
      </c>
      <c r="E4195" t="inlineStr">
        <is>
          <t>BNKEP</t>
        </is>
      </c>
      <c r="F4195" t="inlineStr">
        <is>
          <t>김영진</t>
        </is>
      </c>
      <c r="G4195" t="inlineStr">
        <is>
          <t>010-4205-2631</t>
        </is>
      </c>
      <c r="H4195" t="inlineStr">
        <is>
          <t>386머9882</t>
        </is>
      </c>
      <c r="I4195" t="n">
        <v>17900000</v>
      </c>
      <c r="J4195" t="n">
        <v>0.061</v>
      </c>
      <c r="K4195" t="n">
        <v>1.65</v>
      </c>
      <c r="L4195" t="n">
        <v>0.14</v>
      </c>
      <c r="M4195" t="n">
        <v>1.51</v>
      </c>
      <c r="P4195" t="inlineStr">
        <is>
          <t>박소현</t>
        </is>
      </c>
      <c r="Q4195" t="inlineStr">
        <is>
          <t>선상담 / 홈서비스 60개월</t>
        </is>
      </c>
      <c r="AB4195" t="inlineStr">
        <is>
          <t>홈서비스</t>
        </is>
      </c>
      <c r="AC4195" t="n">
        <v>295350</v>
      </c>
      <c r="AD4195" t="n">
        <v>25060</v>
      </c>
      <c r="AE4195" t="n">
        <v>270290</v>
      </c>
      <c r="AF4195" t="n">
        <v>268500</v>
      </c>
      <c r="AG4195" t="n">
        <v>24233.02</v>
      </c>
      <c r="AH4195" t="n">
        <v>244266.98</v>
      </c>
      <c r="AI4195" t="n">
        <v>0</v>
      </c>
    </row>
    <row r="4196">
      <c r="A4196" t="inlineStr">
        <is>
          <t>5월</t>
        </is>
      </c>
      <c r="B4196" t="inlineStr">
        <is>
          <t>20주차</t>
        </is>
      </c>
      <c r="C4196" t="inlineStr">
        <is>
          <t>IM</t>
        </is>
      </c>
      <c r="D4196" s="28" t="n">
        <v>46154</v>
      </c>
      <c r="E4196" t="inlineStr">
        <is>
          <t>IM캐피탈</t>
        </is>
      </c>
      <c r="F4196" t="inlineStr">
        <is>
          <t>정설희</t>
        </is>
      </c>
      <c r="G4196" t="inlineStr">
        <is>
          <t>010-8207-1885</t>
        </is>
      </c>
      <c r="H4196" t="inlineStr">
        <is>
          <t>21소2233</t>
        </is>
      </c>
      <c r="I4196" t="n">
        <v>19700000</v>
      </c>
      <c r="J4196" t="n">
        <v>0.045</v>
      </c>
      <c r="K4196" t="n">
        <v>1.1</v>
      </c>
      <c r="L4196" t="n">
        <v>0.14</v>
      </c>
      <c r="M4196" t="n">
        <v>0.96</v>
      </c>
      <c r="P4196" t="inlineStr">
        <is>
          <t>김수연</t>
        </is>
      </c>
      <c r="Q4196" t="inlineStr">
        <is>
          <t>홈서비스 72개월</t>
        </is>
      </c>
      <c r="AB4196" t="inlineStr">
        <is>
          <t>홈서비스</t>
        </is>
      </c>
      <c r="AC4196" t="n">
        <v>216700</v>
      </c>
      <c r="AD4196" t="n">
        <v>27580</v>
      </c>
      <c r="AE4196" t="n">
        <v>189120</v>
      </c>
      <c r="AF4196" t="n">
        <v>197000</v>
      </c>
      <c r="AG4196" t="n">
        <v>26669.86</v>
      </c>
      <c r="AH4196" t="n">
        <v>170330.14</v>
      </c>
    </row>
    <row r="4197">
      <c r="A4197" t="inlineStr">
        <is>
          <t>5월</t>
        </is>
      </c>
      <c r="B4197" t="inlineStr">
        <is>
          <t>20주차</t>
        </is>
      </c>
      <c r="C4197" t="inlineStr">
        <is>
          <t>EP</t>
        </is>
      </c>
      <c r="D4197" s="28" t="n">
        <v>46154</v>
      </c>
      <c r="E4197" t="inlineStr">
        <is>
          <t>제이비EP</t>
        </is>
      </c>
      <c r="F4197" t="inlineStr">
        <is>
          <t>성건</t>
        </is>
      </c>
      <c r="G4197" t="inlineStr">
        <is>
          <t>010-6830-4770</t>
        </is>
      </c>
      <c r="H4197" t="inlineStr">
        <is>
          <t>16노2317</t>
        </is>
      </c>
      <c r="I4197" t="n">
        <v>29900000</v>
      </c>
      <c r="J4197" t="n">
        <v>0.06900000000000001</v>
      </c>
      <c r="K4197" t="n">
        <v>1.65</v>
      </c>
      <c r="L4197" t="n">
        <v>0.14</v>
      </c>
      <c r="M4197" t="n">
        <v>1.51</v>
      </c>
      <c r="P4197" t="inlineStr">
        <is>
          <t>장현경</t>
        </is>
      </c>
      <c r="Q4197" t="inlineStr">
        <is>
          <t>선상담 / 홈서비스 48개월</t>
        </is>
      </c>
      <c r="AB4197" t="inlineStr">
        <is>
          <t>홈서비스</t>
        </is>
      </c>
      <c r="AC4197" t="n">
        <v>493350</v>
      </c>
      <c r="AD4197" t="n">
        <v>41860</v>
      </c>
      <c r="AE4197" t="n">
        <v>451490</v>
      </c>
      <c r="AF4197" t="n">
        <v>448500</v>
      </c>
      <c r="AG4197" t="n">
        <v>40478.62</v>
      </c>
      <c r="AH4197" t="n">
        <v>408021.38</v>
      </c>
      <c r="AI4197" t="n">
        <v>0</v>
      </c>
    </row>
    <row r="4198">
      <c r="A4198" t="inlineStr">
        <is>
          <t>5월</t>
        </is>
      </c>
      <c r="B4198" t="inlineStr">
        <is>
          <t>20주차</t>
        </is>
      </c>
      <c r="C4198" t="inlineStr">
        <is>
          <t>EP</t>
        </is>
      </c>
      <c r="D4198" s="28" t="n">
        <v>46154</v>
      </c>
      <c r="E4198" t="inlineStr">
        <is>
          <t>현대EP_fast</t>
        </is>
      </c>
      <c r="F4198" t="inlineStr">
        <is>
          <t>윤현중</t>
        </is>
      </c>
      <c r="G4198" t="inlineStr">
        <is>
          <t>010-5833-4286</t>
        </is>
      </c>
      <c r="H4198" t="inlineStr">
        <is>
          <t>13저9923</t>
        </is>
      </c>
      <c r="I4198" t="n">
        <v>4900000</v>
      </c>
      <c r="J4198" t="n">
        <v>0.102</v>
      </c>
      <c r="K4198" t="n">
        <v>1.76</v>
      </c>
      <c r="L4198" t="n">
        <v>0.14</v>
      </c>
      <c r="M4198" t="n">
        <v>1.62</v>
      </c>
      <c r="P4198" t="inlineStr">
        <is>
          <t>김수연</t>
        </is>
      </c>
      <c r="Q4198" t="inlineStr">
        <is>
          <t>홈서비스 48개월</t>
        </is>
      </c>
      <c r="AB4198" t="inlineStr">
        <is>
          <t>홈서비스</t>
        </is>
      </c>
      <c r="AC4198" t="n">
        <v>86240</v>
      </c>
      <c r="AD4198" t="n">
        <v>6860</v>
      </c>
      <c r="AE4198" t="n">
        <v>79380</v>
      </c>
      <c r="AF4198" t="n">
        <v>78400</v>
      </c>
      <c r="AG4198" t="n">
        <v>6633.62</v>
      </c>
      <c r="AH4198" t="n">
        <v>71766.38</v>
      </c>
      <c r="AI4198" t="n">
        <v>0</v>
      </c>
    </row>
    <row r="4199">
      <c r="A4199" t="inlineStr">
        <is>
          <t>5월</t>
        </is>
      </c>
      <c r="B4199" t="inlineStr">
        <is>
          <t>20주차</t>
        </is>
      </c>
      <c r="C4199" t="inlineStr">
        <is>
          <t>IM</t>
        </is>
      </c>
      <c r="D4199" s="28" t="n">
        <v>46154</v>
      </c>
      <c r="E4199" t="inlineStr">
        <is>
          <t>IM캐피탈</t>
        </is>
      </c>
      <c r="F4199" t="inlineStr">
        <is>
          <t>배은지</t>
        </is>
      </c>
      <c r="G4199" t="inlineStr">
        <is>
          <t>010-2001-2084</t>
        </is>
      </c>
      <c r="H4199" t="inlineStr">
        <is>
          <t>291어2274</t>
        </is>
      </c>
      <c r="I4199" t="n">
        <v>42000000</v>
      </c>
      <c r="J4199" t="n">
        <v>0.076</v>
      </c>
      <c r="K4199" t="n">
        <v>1.1</v>
      </c>
      <c r="L4199" t="n">
        <v>0.4</v>
      </c>
      <c r="M4199" t="n">
        <v>0.7</v>
      </c>
      <c r="P4199" t="inlineStr">
        <is>
          <t>장현경</t>
        </is>
      </c>
      <c r="AB4199" t="inlineStr">
        <is>
          <t>엔카</t>
        </is>
      </c>
      <c r="AC4199" t="n">
        <v>462000</v>
      </c>
      <c r="AD4199" t="n">
        <v>168000</v>
      </c>
      <c r="AE4199" t="n">
        <v>294000</v>
      </c>
      <c r="AF4199" t="n">
        <v>420000</v>
      </c>
      <c r="AG4199" t="n">
        <v>162456</v>
      </c>
      <c r="AH4199" t="n">
        <v>257544</v>
      </c>
      <c r="AI4199" t="n">
        <v>0</v>
      </c>
    </row>
    <row r="4200">
      <c r="A4200" t="inlineStr">
        <is>
          <t>5월</t>
        </is>
      </c>
      <c r="B4200" t="inlineStr">
        <is>
          <t>20주차</t>
        </is>
      </c>
      <c r="C4200" t="inlineStr">
        <is>
          <t>EP</t>
        </is>
      </c>
      <c r="D4200" s="28" t="n">
        <v>46154</v>
      </c>
      <c r="E4200" t="inlineStr">
        <is>
          <t>BNKEP</t>
        </is>
      </c>
      <c r="F4200" t="inlineStr">
        <is>
          <t>이화평</t>
        </is>
      </c>
      <c r="G4200" t="inlineStr">
        <is>
          <t>010-3204-0501</t>
        </is>
      </c>
      <c r="H4200" t="inlineStr">
        <is>
          <t>235거7408</t>
        </is>
      </c>
      <c r="I4200" t="n">
        <v>26000000</v>
      </c>
      <c r="J4200" t="n">
        <v>0.067</v>
      </c>
      <c r="K4200" t="n">
        <v>1.65</v>
      </c>
      <c r="L4200" t="n">
        <v>0.14</v>
      </c>
      <c r="M4200" t="n">
        <v>1.51</v>
      </c>
      <c r="P4200" t="inlineStr">
        <is>
          <t>황채이</t>
        </is>
      </c>
      <c r="Q4200" t="inlineStr">
        <is>
          <t>홈서비스 60개월</t>
        </is>
      </c>
      <c r="AB4200" t="inlineStr">
        <is>
          <t>홈서비스</t>
        </is>
      </c>
      <c r="AC4200" t="n">
        <v>429000</v>
      </c>
      <c r="AD4200" t="n">
        <v>36400</v>
      </c>
      <c r="AE4200" t="n">
        <v>392600</v>
      </c>
      <c r="AF4200" t="n">
        <v>390000</v>
      </c>
      <c r="AG4200" t="n">
        <v>35198.8</v>
      </c>
      <c r="AH4200" t="n">
        <v>354801.2</v>
      </c>
      <c r="AI4200" t="n">
        <v>0</v>
      </c>
    </row>
    <row r="4201">
      <c r="A4201" t="inlineStr">
        <is>
          <t>5월</t>
        </is>
      </c>
      <c r="B4201" t="inlineStr">
        <is>
          <t>20주차</t>
        </is>
      </c>
      <c r="C4201" t="inlineStr">
        <is>
          <t>EP</t>
        </is>
      </c>
      <c r="D4201" s="28" t="n">
        <v>46154</v>
      </c>
      <c r="E4201" t="inlineStr">
        <is>
          <t>현대EP_fast</t>
        </is>
      </c>
      <c r="F4201" t="inlineStr">
        <is>
          <t>정정수</t>
        </is>
      </c>
      <c r="G4201" t="inlineStr">
        <is>
          <t>010-9479-1146</t>
        </is>
      </c>
      <c r="H4201" t="inlineStr">
        <is>
          <t>160누1072</t>
        </is>
      </c>
      <c r="I4201" t="n">
        <v>40500000</v>
      </c>
      <c r="J4201" t="n">
        <v>0.089</v>
      </c>
      <c r="K4201" t="n">
        <v>1.76</v>
      </c>
      <c r="L4201" t="n">
        <v>0.14</v>
      </c>
      <c r="M4201" t="n">
        <v>1.62</v>
      </c>
      <c r="P4201" t="inlineStr">
        <is>
          <t>황채이</t>
        </is>
      </c>
      <c r="Q4201" t="inlineStr">
        <is>
          <t>홈서비스 60개월</t>
        </is>
      </c>
      <c r="AB4201" t="inlineStr">
        <is>
          <t>홈서비스</t>
        </is>
      </c>
      <c r="AC4201" t="n">
        <v>712800</v>
      </c>
      <c r="AD4201" t="n">
        <v>56700</v>
      </c>
      <c r="AE4201" t="n">
        <v>656100</v>
      </c>
      <c r="AF4201" t="n">
        <v>648000</v>
      </c>
      <c r="AG4201" t="n">
        <v>54828.9</v>
      </c>
      <c r="AH4201" t="n">
        <v>593171.1</v>
      </c>
      <c r="AI4201" t="n">
        <v>0</v>
      </c>
    </row>
    <row r="4202">
      <c r="A4202" t="inlineStr">
        <is>
          <t>5월</t>
        </is>
      </c>
      <c r="B4202" t="inlineStr">
        <is>
          <t>20주차</t>
        </is>
      </c>
      <c r="C4202" t="inlineStr">
        <is>
          <t>EP</t>
        </is>
      </c>
      <c r="D4202" s="28" t="n">
        <v>46154</v>
      </c>
      <c r="E4202" t="inlineStr">
        <is>
          <t>BNKEP</t>
        </is>
      </c>
      <c r="F4202" t="inlineStr">
        <is>
          <t>한시안</t>
        </is>
      </c>
      <c r="G4202" t="inlineStr">
        <is>
          <t>010-5728-1218</t>
        </is>
      </c>
      <c r="H4202" t="inlineStr">
        <is>
          <t>14라9503</t>
        </is>
      </c>
      <c r="I4202" t="n">
        <v>10000000</v>
      </c>
      <c r="J4202" t="n">
        <v>0.077</v>
      </c>
      <c r="K4202" t="n">
        <v>1.65</v>
      </c>
      <c r="L4202" t="n">
        <v>0.14</v>
      </c>
      <c r="M4202" t="n">
        <v>1.51</v>
      </c>
      <c r="P4202" t="inlineStr">
        <is>
          <t>김수연</t>
        </is>
      </c>
      <c r="Q4202" t="inlineStr">
        <is>
          <t>홈서비스 24개월</t>
        </is>
      </c>
      <c r="AB4202" t="inlineStr">
        <is>
          <t>홈서비스</t>
        </is>
      </c>
      <c r="AC4202" t="n">
        <v>165000</v>
      </c>
      <c r="AD4202" t="n">
        <v>14000</v>
      </c>
      <c r="AE4202" t="n">
        <v>151000</v>
      </c>
      <c r="AF4202" t="n">
        <v>150000</v>
      </c>
      <c r="AG4202" t="n">
        <v>13538</v>
      </c>
      <c r="AH4202" t="n">
        <v>136462</v>
      </c>
    </row>
    <row r="4203">
      <c r="A4203" t="inlineStr">
        <is>
          <t>5월</t>
        </is>
      </c>
      <c r="B4203" t="inlineStr">
        <is>
          <t>20주차</t>
        </is>
      </c>
      <c r="C4203" t="inlineStr">
        <is>
          <t>EP</t>
        </is>
      </c>
      <c r="D4203" s="28" t="n">
        <v>46154</v>
      </c>
      <c r="E4203" t="inlineStr">
        <is>
          <t>현대EP_fast</t>
        </is>
      </c>
      <c r="F4203" t="inlineStr">
        <is>
          <t>류순옥</t>
        </is>
      </c>
      <c r="G4203" t="inlineStr">
        <is>
          <t>010-8621-9299</t>
        </is>
      </c>
      <c r="H4203" t="inlineStr">
        <is>
          <t>295더5558</t>
        </is>
      </c>
      <c r="I4203" t="n">
        <v>10000000</v>
      </c>
      <c r="J4203" t="n">
        <v>0.089</v>
      </c>
      <c r="K4203" t="n">
        <v>1.76</v>
      </c>
      <c r="L4203" t="n">
        <v>0.14</v>
      </c>
      <c r="M4203" t="n">
        <v>1.62</v>
      </c>
      <c r="P4203" t="inlineStr">
        <is>
          <t>황채이</t>
        </is>
      </c>
      <c r="Q4203" t="inlineStr">
        <is>
          <t>홈서비스 36개월</t>
        </is>
      </c>
      <c r="AB4203" t="inlineStr">
        <is>
          <t>홈서비스</t>
        </is>
      </c>
      <c r="AC4203" t="n">
        <v>176000</v>
      </c>
      <c r="AD4203" t="n">
        <v>14000</v>
      </c>
      <c r="AE4203" t="n">
        <v>162000</v>
      </c>
      <c r="AF4203" t="n">
        <v>160000</v>
      </c>
      <c r="AG4203" t="n">
        <v>13538</v>
      </c>
      <c r="AH4203" t="n">
        <v>146462</v>
      </c>
      <c r="AI4203" t="n">
        <v>0</v>
      </c>
      <c r="AJ4203" t="inlineStr">
        <is>
          <t>개인</t>
        </is>
      </c>
    </row>
    <row r="4204">
      <c r="A4204" t="inlineStr">
        <is>
          <t>5월</t>
        </is>
      </c>
      <c r="B4204" t="inlineStr">
        <is>
          <t>19주차</t>
        </is>
      </c>
      <c r="C4204" t="inlineStr">
        <is>
          <t>IM</t>
        </is>
      </c>
      <c r="D4204" s="28" t="n">
        <v>46149</v>
      </c>
      <c r="E4204" t="inlineStr">
        <is>
          <t>IM캐피탈</t>
        </is>
      </c>
      <c r="F4204" t="inlineStr">
        <is>
          <t>조덕렬</t>
        </is>
      </c>
      <c r="G4204" t="inlineStr">
        <is>
          <t>010-6500-2996</t>
        </is>
      </c>
      <c r="H4204" t="inlineStr">
        <is>
          <t>814마3824</t>
        </is>
      </c>
      <c r="I4204" t="n">
        <v>25000000</v>
      </c>
      <c r="J4204" t="n">
        <v>0.067</v>
      </c>
      <c r="K4204" t="n">
        <v>1.1</v>
      </c>
      <c r="L4204" t="n">
        <v>0.4</v>
      </c>
      <c r="M4204" t="n">
        <v>0.7</v>
      </c>
      <c r="P4204" t="inlineStr">
        <is>
          <t>박보람</t>
        </is>
      </c>
      <c r="AB4204" t="inlineStr">
        <is>
          <t>엔카</t>
        </is>
      </c>
      <c r="AC4204" t="n">
        <v>275000</v>
      </c>
      <c r="AD4204" t="n">
        <v>100000</v>
      </c>
      <c r="AE4204" t="n">
        <v>175000</v>
      </c>
      <c r="AF4204" t="n">
        <v>250000</v>
      </c>
      <c r="AG4204" t="n">
        <v>96700</v>
      </c>
      <c r="AH4204" t="n">
        <v>153300</v>
      </c>
      <c r="AI4204" t="n">
        <v>0</v>
      </c>
    </row>
    <row r="4205">
      <c r="A4205" t="inlineStr">
        <is>
          <t>5월</t>
        </is>
      </c>
      <c r="B4205" t="inlineStr">
        <is>
          <t>20주차</t>
        </is>
      </c>
      <c r="C4205" t="inlineStr">
        <is>
          <t>EP</t>
        </is>
      </c>
      <c r="D4205" s="28" t="n">
        <v>46154</v>
      </c>
      <c r="E4205" t="inlineStr">
        <is>
          <t>제이비EP</t>
        </is>
      </c>
      <c r="F4205" t="inlineStr">
        <is>
          <t>이건희</t>
        </is>
      </c>
      <c r="G4205" t="inlineStr">
        <is>
          <t>010-5026-3755</t>
        </is>
      </c>
      <c r="H4205" t="inlineStr">
        <is>
          <t>36가4642</t>
        </is>
      </c>
      <c r="I4205" t="n">
        <v>39500000</v>
      </c>
      <c r="J4205" t="n">
        <v>0.07199999999999999</v>
      </c>
      <c r="K4205" t="n">
        <v>1.65</v>
      </c>
      <c r="L4205" t="n">
        <v>0.14</v>
      </c>
      <c r="M4205" t="n">
        <v>1.51</v>
      </c>
      <c r="P4205" t="inlineStr">
        <is>
          <t>장진경</t>
        </is>
      </c>
      <c r="Q4205" t="inlineStr">
        <is>
          <t>선상담 / 홈서비스 60개월</t>
        </is>
      </c>
      <c r="AB4205" t="inlineStr">
        <is>
          <t>홈서비스</t>
        </is>
      </c>
      <c r="AC4205" t="n">
        <v>651750</v>
      </c>
      <c r="AD4205" t="n">
        <v>55300</v>
      </c>
      <c r="AE4205" t="n">
        <v>596450</v>
      </c>
      <c r="AF4205" t="n">
        <v>592500</v>
      </c>
      <c r="AG4205" t="n">
        <v>53475.1</v>
      </c>
      <c r="AH4205" t="n">
        <v>539024.9</v>
      </c>
      <c r="AI4205" t="n">
        <v>0</v>
      </c>
    </row>
    <row r="4206">
      <c r="A4206" t="inlineStr">
        <is>
          <t>5월</t>
        </is>
      </c>
      <c r="B4206" t="inlineStr">
        <is>
          <t>20주차</t>
        </is>
      </c>
      <c r="C4206" t="inlineStr">
        <is>
          <t>EP</t>
        </is>
      </c>
      <c r="D4206" s="28" t="n">
        <v>46154</v>
      </c>
      <c r="E4206" t="inlineStr">
        <is>
          <t>현대EP_fast</t>
        </is>
      </c>
      <c r="F4206" t="inlineStr">
        <is>
          <t>안상헌</t>
        </is>
      </c>
      <c r="G4206" t="inlineStr">
        <is>
          <t>010-3563-6270</t>
        </is>
      </c>
      <c r="H4206" t="inlineStr">
        <is>
          <t>243루1945</t>
        </is>
      </c>
      <c r="I4206" t="n">
        <v>20000000</v>
      </c>
      <c r="J4206" t="n">
        <v>0.076</v>
      </c>
      <c r="K4206" t="n">
        <v>1.76</v>
      </c>
      <c r="L4206" t="n">
        <v>0.14</v>
      </c>
      <c r="M4206" t="n">
        <v>1.62</v>
      </c>
      <c r="P4206" t="inlineStr">
        <is>
          <t>김나윤</t>
        </is>
      </c>
      <c r="Q4206" t="inlineStr">
        <is>
          <t>홈서비스 24개월</t>
        </is>
      </c>
      <c r="AB4206" t="inlineStr">
        <is>
          <t>홈서비스</t>
        </is>
      </c>
      <c r="AC4206" t="n">
        <v>352000</v>
      </c>
      <c r="AD4206" t="n">
        <v>28000</v>
      </c>
      <c r="AE4206" t="n">
        <v>324000</v>
      </c>
      <c r="AF4206" t="n">
        <v>320000</v>
      </c>
      <c r="AG4206" t="n">
        <v>27076</v>
      </c>
      <c r="AH4206" t="n">
        <v>292924</v>
      </c>
      <c r="AI4206" t="n">
        <v>0</v>
      </c>
    </row>
    <row r="4207">
      <c r="A4207" t="inlineStr">
        <is>
          <t>5월</t>
        </is>
      </c>
      <c r="B4207" t="inlineStr">
        <is>
          <t>19주차</t>
        </is>
      </c>
      <c r="C4207" t="inlineStr">
        <is>
          <t>EP</t>
        </is>
      </c>
      <c r="D4207" s="28" t="n">
        <v>46147</v>
      </c>
      <c r="E4207" t="inlineStr">
        <is>
          <t>현대EP</t>
        </is>
      </c>
      <c r="F4207" t="inlineStr">
        <is>
          <t>신준호</t>
        </is>
      </c>
      <c r="G4207" t="inlineStr">
        <is>
          <t>010-5720-0429</t>
        </is>
      </c>
      <c r="H4207" t="inlineStr">
        <is>
          <t>66소4866</t>
        </is>
      </c>
      <c r="I4207" t="n">
        <v>40500000</v>
      </c>
      <c r="J4207" t="n">
        <v>0.081</v>
      </c>
      <c r="K4207" t="n">
        <v>1.76</v>
      </c>
      <c r="L4207" t="n">
        <v>0.14</v>
      </c>
      <c r="M4207" t="n">
        <v>1.62</v>
      </c>
      <c r="P4207" t="inlineStr">
        <is>
          <t>정하은</t>
        </is>
      </c>
      <c r="AB4207" t="inlineStr">
        <is>
          <t>홈서비스</t>
        </is>
      </c>
      <c r="AC4207" t="n">
        <v>712800</v>
      </c>
      <c r="AD4207" t="n">
        <v>56700</v>
      </c>
      <c r="AE4207" t="n">
        <v>656100</v>
      </c>
      <c r="AF4207" t="n">
        <v>648000</v>
      </c>
      <c r="AG4207" t="n">
        <v>54828.9</v>
      </c>
      <c r="AH4207" t="n">
        <v>593171.1</v>
      </c>
    </row>
    <row r="4208">
      <c r="A4208" t="inlineStr">
        <is>
          <t>5월</t>
        </is>
      </c>
      <c r="B4208" t="inlineStr">
        <is>
          <t>20주차</t>
        </is>
      </c>
      <c r="C4208" t="inlineStr">
        <is>
          <t>IM</t>
        </is>
      </c>
      <c r="D4208" s="28" t="n">
        <v>46154</v>
      </c>
      <c r="E4208" t="inlineStr">
        <is>
          <t>IM캐피탈</t>
        </is>
      </c>
      <c r="F4208" t="inlineStr">
        <is>
          <t>김도연</t>
        </is>
      </c>
      <c r="G4208" t="inlineStr">
        <is>
          <t>010-2234-3451</t>
        </is>
      </c>
      <c r="H4208" t="inlineStr">
        <is>
          <t>290노8722</t>
        </is>
      </c>
      <c r="I4208" t="n">
        <v>31800000</v>
      </c>
      <c r="J4208" t="n">
        <v>0.059</v>
      </c>
      <c r="K4208" t="n">
        <v>1.1</v>
      </c>
      <c r="L4208" t="n">
        <v>0.14</v>
      </c>
      <c r="M4208" t="n">
        <v>0.96</v>
      </c>
      <c r="P4208" t="inlineStr">
        <is>
          <t>정세빈</t>
        </is>
      </c>
      <c r="Q4208" t="inlineStr">
        <is>
          <t>홈서비스 60개월</t>
        </is>
      </c>
      <c r="AB4208" t="inlineStr">
        <is>
          <t>홈서비스</t>
        </is>
      </c>
      <c r="AC4208" t="n">
        <v>349800</v>
      </c>
      <c r="AD4208" t="n">
        <v>44520</v>
      </c>
      <c r="AE4208" t="n">
        <v>305280</v>
      </c>
      <c r="AF4208" t="n">
        <v>318000</v>
      </c>
      <c r="AG4208" t="n">
        <v>43050.84</v>
      </c>
      <c r="AH4208" t="n">
        <v>274949.16</v>
      </c>
      <c r="AI4208" t="n">
        <v>0</v>
      </c>
    </row>
    <row r="4209">
      <c r="A4209" t="inlineStr">
        <is>
          <t>5월</t>
        </is>
      </c>
      <c r="B4209" t="inlineStr">
        <is>
          <t>20주차</t>
        </is>
      </c>
      <c r="C4209" t="inlineStr">
        <is>
          <t>EP</t>
        </is>
      </c>
      <c r="D4209" s="28" t="n">
        <v>46154</v>
      </c>
      <c r="E4209" t="inlineStr">
        <is>
          <t>현대EP_fast</t>
        </is>
      </c>
      <c r="F4209" t="inlineStr">
        <is>
          <t>강전우</t>
        </is>
      </c>
      <c r="G4209" t="inlineStr">
        <is>
          <t>010-3859-3041</t>
        </is>
      </c>
      <c r="H4209" t="inlineStr">
        <is>
          <t>22보3095</t>
        </is>
      </c>
      <c r="I4209" t="n">
        <v>23000000</v>
      </c>
      <c r="J4209" t="n">
        <v>0.06900000000000001</v>
      </c>
      <c r="K4209" t="n">
        <v>1.76</v>
      </c>
      <c r="L4209" t="n">
        <v>0.14</v>
      </c>
      <c r="M4209" t="n">
        <v>1.62</v>
      </c>
      <c r="P4209" t="inlineStr">
        <is>
          <t>정세빈</t>
        </is>
      </c>
      <c r="Q4209" t="inlineStr">
        <is>
          <t>홈서비스 60개월</t>
        </is>
      </c>
      <c r="AB4209" t="inlineStr">
        <is>
          <t>홈서비스</t>
        </is>
      </c>
      <c r="AC4209" t="n">
        <v>404800</v>
      </c>
      <c r="AD4209" t="n">
        <v>32200</v>
      </c>
      <c r="AE4209" t="n">
        <v>372600</v>
      </c>
      <c r="AF4209" t="n">
        <v>368000</v>
      </c>
      <c r="AG4209" t="n">
        <v>31137.4</v>
      </c>
      <c r="AH4209" t="n">
        <v>336862.6</v>
      </c>
    </row>
    <row r="4210">
      <c r="A4210" t="inlineStr">
        <is>
          <t>5월</t>
        </is>
      </c>
      <c r="B4210" t="inlineStr">
        <is>
          <t>20주차</t>
        </is>
      </c>
      <c r="C4210" t="inlineStr">
        <is>
          <t>EP</t>
        </is>
      </c>
      <c r="D4210" s="28" t="n">
        <v>46154</v>
      </c>
      <c r="E4210" t="inlineStr">
        <is>
          <t>현대EP_fast</t>
        </is>
      </c>
      <c r="F4210" t="inlineStr">
        <is>
          <t>최얼</t>
        </is>
      </c>
      <c r="G4210" t="inlineStr">
        <is>
          <t>010-4461-0315</t>
        </is>
      </c>
      <c r="H4210" t="inlineStr">
        <is>
          <t>77주9927</t>
        </is>
      </c>
      <c r="I4210" t="n">
        <v>3300000</v>
      </c>
      <c r="J4210" t="n">
        <v>0.118</v>
      </c>
      <c r="K4210" t="n">
        <v>1.76</v>
      </c>
      <c r="L4210" t="n">
        <v>0.14</v>
      </c>
      <c r="M4210" t="n">
        <v>1.62</v>
      </c>
      <c r="P4210" t="inlineStr">
        <is>
          <t>김수연</t>
        </is>
      </c>
      <c r="Q4210" t="inlineStr">
        <is>
          <t>홈서비스 24개월</t>
        </is>
      </c>
      <c r="AB4210" t="inlineStr">
        <is>
          <t>홈서비스</t>
        </is>
      </c>
      <c r="AC4210" t="n">
        <v>58080</v>
      </c>
      <c r="AD4210" t="n">
        <v>4620</v>
      </c>
      <c r="AE4210" t="n">
        <v>53460</v>
      </c>
      <c r="AF4210" t="n">
        <v>52800</v>
      </c>
      <c r="AG4210" t="n">
        <v>4467.54</v>
      </c>
      <c r="AH4210" t="n">
        <v>48332.46</v>
      </c>
      <c r="AI4210" t="n">
        <v>0</v>
      </c>
    </row>
    <row r="4211">
      <c r="A4211" t="inlineStr">
        <is>
          <t>5월</t>
        </is>
      </c>
      <c r="B4211" t="inlineStr">
        <is>
          <t>20주차</t>
        </is>
      </c>
      <c r="C4211" t="inlineStr">
        <is>
          <t>EP</t>
        </is>
      </c>
      <c r="D4211" s="28" t="n">
        <v>46154</v>
      </c>
      <c r="E4211" t="inlineStr">
        <is>
          <t>현대EP_fast</t>
        </is>
      </c>
      <c r="F4211" t="inlineStr">
        <is>
          <t>박명철</t>
        </is>
      </c>
      <c r="G4211" t="inlineStr">
        <is>
          <t>010-2323-0667</t>
        </is>
      </c>
      <c r="H4211" t="inlineStr">
        <is>
          <t>42수6190</t>
        </is>
      </c>
      <c r="I4211" t="n">
        <v>5000000</v>
      </c>
      <c r="J4211" t="n">
        <v>0.075</v>
      </c>
      <c r="K4211" t="n">
        <v>1.76</v>
      </c>
      <c r="L4211" t="n">
        <v>0.14</v>
      </c>
      <c r="M4211" t="n">
        <v>1.62</v>
      </c>
      <c r="P4211" t="inlineStr">
        <is>
          <t>김나윤</t>
        </is>
      </c>
      <c r="Q4211" t="inlineStr">
        <is>
          <t>홈서비스 36개월 / 고객주도체결</t>
        </is>
      </c>
      <c r="AB4211" t="inlineStr">
        <is>
          <t>홈서비스</t>
        </is>
      </c>
      <c r="AC4211" t="n">
        <v>88000</v>
      </c>
      <c r="AD4211" t="n">
        <v>7000</v>
      </c>
      <c r="AE4211" t="n">
        <v>81000</v>
      </c>
      <c r="AF4211" t="n">
        <v>80000</v>
      </c>
      <c r="AG4211" t="n">
        <v>6769</v>
      </c>
      <c r="AH4211" t="n">
        <v>73231</v>
      </c>
      <c r="AI4211" t="n">
        <v>0</v>
      </c>
    </row>
    <row r="4212">
      <c r="A4212" t="inlineStr">
        <is>
          <t>5월</t>
        </is>
      </c>
      <c r="B4212" t="inlineStr">
        <is>
          <t>20주차</t>
        </is>
      </c>
      <c r="C4212" t="inlineStr">
        <is>
          <t>IM</t>
        </is>
      </c>
      <c r="D4212" s="28" t="n">
        <v>46154</v>
      </c>
      <c r="E4212" t="inlineStr">
        <is>
          <t>IM캐피탈</t>
        </is>
      </c>
      <c r="F4212" t="inlineStr">
        <is>
          <t>김희정</t>
        </is>
      </c>
      <c r="G4212" t="inlineStr">
        <is>
          <t>010-7140-1814</t>
        </is>
      </c>
      <c r="H4212" t="inlineStr">
        <is>
          <t>363버4382</t>
        </is>
      </c>
      <c r="I4212" t="n">
        <v>9000000</v>
      </c>
      <c r="J4212" t="n">
        <v>0.049</v>
      </c>
      <c r="K4212" t="n">
        <v>1.1</v>
      </c>
      <c r="L4212" t="n">
        <v>0.14</v>
      </c>
      <c r="M4212" t="n">
        <v>0.96</v>
      </c>
      <c r="P4212" t="inlineStr">
        <is>
          <t>최형주</t>
        </is>
      </c>
      <c r="Q4212" t="inlineStr">
        <is>
          <t>홈서비스 24개월</t>
        </is>
      </c>
      <c r="AB4212" t="inlineStr">
        <is>
          <t>홈서비스</t>
        </is>
      </c>
      <c r="AC4212" t="n">
        <v>99000</v>
      </c>
      <c r="AD4212" t="n">
        <v>12600</v>
      </c>
      <c r="AE4212" t="n">
        <v>86400</v>
      </c>
      <c r="AF4212" t="n">
        <v>90000</v>
      </c>
      <c r="AG4212" t="n">
        <v>12184.2</v>
      </c>
      <c r="AH4212" t="n">
        <v>77815.8</v>
      </c>
    </row>
    <row r="4213">
      <c r="A4213" t="inlineStr">
        <is>
          <t>5월</t>
        </is>
      </c>
      <c r="B4213" t="inlineStr">
        <is>
          <t>20주차</t>
        </is>
      </c>
      <c r="C4213" t="inlineStr">
        <is>
          <t>EP</t>
        </is>
      </c>
      <c r="D4213" s="28" t="n">
        <v>46154</v>
      </c>
      <c r="E4213" t="inlineStr">
        <is>
          <t>현대EP</t>
        </is>
      </c>
      <c r="F4213" t="inlineStr">
        <is>
          <t>배영철</t>
        </is>
      </c>
      <c r="G4213" t="inlineStr">
        <is>
          <t>010-9555-4218</t>
        </is>
      </c>
      <c r="H4213" t="inlineStr">
        <is>
          <t>42무2881</t>
        </is>
      </c>
      <c r="I4213" t="n">
        <v>8500000</v>
      </c>
      <c r="J4213" t="n">
        <v>0.062</v>
      </c>
      <c r="K4213" t="n">
        <v>1.76</v>
      </c>
      <c r="L4213" t="n">
        <v>0.14</v>
      </c>
      <c r="M4213" t="n">
        <v>1.62</v>
      </c>
      <c r="P4213" t="inlineStr">
        <is>
          <t>정세빈</t>
        </is>
      </c>
      <c r="AB4213" t="inlineStr">
        <is>
          <t>홈서비스</t>
        </is>
      </c>
      <c r="AC4213" t="n">
        <v>149600</v>
      </c>
      <c r="AD4213" t="n">
        <v>11900</v>
      </c>
      <c r="AE4213" t="n">
        <v>137700</v>
      </c>
      <c r="AF4213" t="n">
        <v>136000</v>
      </c>
      <c r="AG4213" t="n">
        <v>11507.3</v>
      </c>
      <c r="AH4213" t="n">
        <v>124492.7</v>
      </c>
      <c r="AI4213" t="n">
        <v>0</v>
      </c>
    </row>
    <row r="4214">
      <c r="A4214" t="inlineStr">
        <is>
          <t>5월</t>
        </is>
      </c>
      <c r="B4214" t="inlineStr">
        <is>
          <t>20주차</t>
        </is>
      </c>
      <c r="C4214" t="inlineStr">
        <is>
          <t>EP</t>
        </is>
      </c>
      <c r="D4214" s="28" t="n">
        <v>46154</v>
      </c>
      <c r="E4214" t="inlineStr">
        <is>
          <t>현대EP</t>
        </is>
      </c>
      <c r="F4214" t="inlineStr">
        <is>
          <t>김영현</t>
        </is>
      </c>
      <c r="G4214" t="inlineStr">
        <is>
          <t>010-5224-3400</t>
        </is>
      </c>
      <c r="H4214" t="inlineStr">
        <is>
          <t>182나6530</t>
        </is>
      </c>
      <c r="I4214" t="n">
        <v>17900000</v>
      </c>
      <c r="J4214" t="n">
        <v>0.06900000000000001</v>
      </c>
      <c r="K4214" t="n">
        <v>1.76</v>
      </c>
      <c r="L4214" t="n">
        <v>0.14</v>
      </c>
      <c r="M4214" t="n">
        <v>1.62</v>
      </c>
      <c r="P4214" t="inlineStr">
        <is>
          <t>김나윤</t>
        </is>
      </c>
      <c r="AB4214" t="inlineStr">
        <is>
          <t>홈서비스</t>
        </is>
      </c>
      <c r="AC4214" t="n">
        <v>315040</v>
      </c>
      <c r="AD4214" t="n">
        <v>25060</v>
      </c>
      <c r="AE4214" t="n">
        <v>289980</v>
      </c>
      <c r="AF4214" t="n">
        <v>286400</v>
      </c>
      <c r="AG4214" t="n">
        <v>24233.02</v>
      </c>
      <c r="AH4214" t="n">
        <v>262166.98</v>
      </c>
      <c r="AI4214" t="n">
        <v>0</v>
      </c>
    </row>
    <row r="4215">
      <c r="A4215" t="inlineStr">
        <is>
          <t>5월</t>
        </is>
      </c>
      <c r="B4215" t="inlineStr">
        <is>
          <t>20주차</t>
        </is>
      </c>
      <c r="C4215" t="inlineStr">
        <is>
          <t>EP</t>
        </is>
      </c>
      <c r="D4215" s="28" t="n">
        <v>46154</v>
      </c>
      <c r="E4215" t="inlineStr">
        <is>
          <t>현대EP</t>
        </is>
      </c>
      <c r="F4215" t="inlineStr">
        <is>
          <t>서영준</t>
        </is>
      </c>
      <c r="G4215" t="inlineStr">
        <is>
          <t>010-3113-3171</t>
        </is>
      </c>
      <c r="H4215" t="inlineStr">
        <is>
          <t>133노1794</t>
        </is>
      </c>
      <c r="I4215" t="n">
        <v>20000000</v>
      </c>
      <c r="J4215" t="n">
        <v>0.08699999999999999</v>
      </c>
      <c r="K4215" t="n">
        <v>1.76</v>
      </c>
      <c r="L4215" t="n">
        <v>0.14</v>
      </c>
      <c r="M4215" t="n">
        <v>1.62</v>
      </c>
      <c r="P4215" t="inlineStr">
        <is>
          <t>정세빈</t>
        </is>
      </c>
      <c r="AB4215" t="inlineStr">
        <is>
          <t>홈서비스</t>
        </is>
      </c>
      <c r="AC4215" t="n">
        <v>352000</v>
      </c>
      <c r="AD4215" t="n">
        <v>28000</v>
      </c>
      <c r="AE4215" t="n">
        <v>324000</v>
      </c>
      <c r="AF4215" t="n">
        <v>320000</v>
      </c>
      <c r="AG4215" t="n">
        <v>27076</v>
      </c>
      <c r="AH4215" t="n">
        <v>292924</v>
      </c>
      <c r="AI4215" t="n">
        <v>0</v>
      </c>
    </row>
    <row r="4216">
      <c r="A4216" t="inlineStr">
        <is>
          <t>5월</t>
        </is>
      </c>
      <c r="B4216" t="inlineStr">
        <is>
          <t>20주차</t>
        </is>
      </c>
      <c r="C4216" t="inlineStr">
        <is>
          <t>EP</t>
        </is>
      </c>
      <c r="D4216" s="28" t="n">
        <v>46153</v>
      </c>
      <c r="E4216" t="inlineStr">
        <is>
          <t>현대EP</t>
        </is>
      </c>
      <c r="F4216" t="inlineStr">
        <is>
          <t>이경준</t>
        </is>
      </c>
      <c r="G4216" t="inlineStr">
        <is>
          <t>010-9398-6399</t>
        </is>
      </c>
      <c r="H4216" t="inlineStr">
        <is>
          <t>122서8554</t>
        </is>
      </c>
      <c r="I4216" t="n">
        <v>44800000</v>
      </c>
      <c r="J4216" t="n">
        <v>0.095</v>
      </c>
      <c r="K4216" t="n">
        <v>1.76</v>
      </c>
      <c r="L4216" t="n">
        <v>0.14</v>
      </c>
      <c r="M4216" t="n">
        <v>1.62</v>
      </c>
      <c r="P4216" t="inlineStr">
        <is>
          <t>임대경</t>
        </is>
      </c>
      <c r="AB4216" t="inlineStr">
        <is>
          <t>홈서비스</t>
        </is>
      </c>
      <c r="AC4216" t="n">
        <v>788480</v>
      </c>
      <c r="AD4216" t="n">
        <v>62720</v>
      </c>
      <c r="AE4216" t="n">
        <v>725760</v>
      </c>
      <c r="AF4216" t="n">
        <v>716800</v>
      </c>
      <c r="AG4216" t="n">
        <v>60650.24</v>
      </c>
      <c r="AH4216" t="n">
        <v>656149.76</v>
      </c>
      <c r="AI4216" t="n">
        <v>0</v>
      </c>
    </row>
    <row r="4217">
      <c r="A4217" t="inlineStr">
        <is>
          <t>5월</t>
        </is>
      </c>
      <c r="B4217" t="inlineStr">
        <is>
          <t>20주차</t>
        </is>
      </c>
      <c r="C4217" t="inlineStr">
        <is>
          <t>IM</t>
        </is>
      </c>
      <c r="D4217" s="28" t="n">
        <v>46154</v>
      </c>
      <c r="E4217" t="inlineStr">
        <is>
          <t>IM캐피탈</t>
        </is>
      </c>
      <c r="F4217" t="inlineStr">
        <is>
          <t>전영서</t>
        </is>
      </c>
      <c r="G4217" t="inlineStr">
        <is>
          <t>0120-2761-6089</t>
        </is>
      </c>
      <c r="H4217" t="inlineStr">
        <is>
          <t>34보6082</t>
        </is>
      </c>
      <c r="I4217" t="n">
        <v>30000000</v>
      </c>
      <c r="J4217" t="n">
        <v>0.059</v>
      </c>
      <c r="K4217" t="n">
        <v>1.1</v>
      </c>
      <c r="L4217" t="n">
        <v>0.14</v>
      </c>
      <c r="M4217" t="n">
        <v>0.96</v>
      </c>
      <c r="P4217" t="inlineStr">
        <is>
          <t>최형주</t>
        </is>
      </c>
      <c r="Q4217" t="inlineStr">
        <is>
          <t>홈서비스 36개월</t>
        </is>
      </c>
      <c r="AB4217" t="inlineStr">
        <is>
          <t>홈서비스</t>
        </is>
      </c>
      <c r="AC4217" t="n">
        <v>330000</v>
      </c>
      <c r="AD4217" t="n">
        <v>42000</v>
      </c>
      <c r="AE4217" t="n">
        <v>288000</v>
      </c>
      <c r="AF4217" t="n">
        <v>300000</v>
      </c>
      <c r="AG4217" t="n">
        <v>40614</v>
      </c>
      <c r="AH4217" t="n">
        <v>259386</v>
      </c>
    </row>
    <row r="4218">
      <c r="A4218" t="inlineStr">
        <is>
          <t>5월</t>
        </is>
      </c>
      <c r="B4218" t="inlineStr">
        <is>
          <t>20주차</t>
        </is>
      </c>
      <c r="C4218" t="inlineStr">
        <is>
          <t>IM</t>
        </is>
      </c>
      <c r="D4218" s="28" t="n">
        <v>46154</v>
      </c>
      <c r="E4218" t="inlineStr">
        <is>
          <t>IM캐피탈</t>
        </is>
      </c>
      <c r="F4218" t="inlineStr">
        <is>
          <t>김민재</t>
        </is>
      </c>
      <c r="G4218" t="inlineStr">
        <is>
          <t>010-3574-1021</t>
        </is>
      </c>
      <c r="H4218" t="inlineStr">
        <is>
          <t>308어8787</t>
        </is>
      </c>
      <c r="I4218" t="n">
        <v>18000000</v>
      </c>
      <c r="J4218" t="n">
        <v>0.067</v>
      </c>
      <c r="K4218" t="n">
        <v>1.1</v>
      </c>
      <c r="L4218" t="n">
        <v>0.14</v>
      </c>
      <c r="M4218" t="n">
        <v>0.96</v>
      </c>
      <c r="P4218" t="inlineStr">
        <is>
          <t>장진경</t>
        </is>
      </c>
      <c r="Q4218" t="inlineStr">
        <is>
          <t>선상담 / 홈서비스 84개월</t>
        </is>
      </c>
      <c r="AB4218" t="inlineStr">
        <is>
          <t>홈서비스</t>
        </is>
      </c>
      <c r="AC4218" t="n">
        <v>198000</v>
      </c>
      <c r="AD4218" t="n">
        <v>25200</v>
      </c>
      <c r="AE4218" t="n">
        <v>172800</v>
      </c>
      <c r="AF4218" t="n">
        <v>180000</v>
      </c>
      <c r="AG4218" t="n">
        <v>24368.4</v>
      </c>
      <c r="AH4218" t="n">
        <v>155631.6</v>
      </c>
      <c r="AI4218" t="n">
        <v>0</v>
      </c>
    </row>
    <row r="4219">
      <c r="A4219" t="inlineStr">
        <is>
          <t>5월</t>
        </is>
      </c>
      <c r="B4219" t="inlineStr">
        <is>
          <t>20주차</t>
        </is>
      </c>
      <c r="C4219" t="inlineStr">
        <is>
          <t>EP</t>
        </is>
      </c>
      <c r="D4219" s="28" t="n">
        <v>46154</v>
      </c>
      <c r="E4219" t="inlineStr">
        <is>
          <t>현대EP_fast</t>
        </is>
      </c>
      <c r="F4219" t="inlineStr">
        <is>
          <t>김민혁</t>
        </is>
      </c>
      <c r="G4219" t="inlineStr">
        <is>
          <t>010-9335-7381</t>
        </is>
      </c>
      <c r="H4219" t="inlineStr">
        <is>
          <t>10오1860</t>
        </is>
      </c>
      <c r="I4219" t="n">
        <v>4500000</v>
      </c>
      <c r="J4219" t="n">
        <v>0.129</v>
      </c>
      <c r="K4219" t="n">
        <v>1.76</v>
      </c>
      <c r="L4219" t="n">
        <v>0.14</v>
      </c>
      <c r="M4219" t="n">
        <v>1.62</v>
      </c>
      <c r="P4219" t="inlineStr">
        <is>
          <t>김수연</t>
        </is>
      </c>
      <c r="Q4219" t="inlineStr">
        <is>
          <t>홈서비스 24개월</t>
        </is>
      </c>
      <c r="AB4219" t="inlineStr">
        <is>
          <t>홈서비스</t>
        </is>
      </c>
      <c r="AC4219" t="n">
        <v>79200</v>
      </c>
      <c r="AD4219" t="n">
        <v>6300</v>
      </c>
      <c r="AE4219" t="n">
        <v>72900</v>
      </c>
      <c r="AF4219" t="n">
        <v>72000</v>
      </c>
      <c r="AG4219" t="n">
        <v>6092.1</v>
      </c>
      <c r="AH4219" t="n">
        <v>65907.89999999999</v>
      </c>
    </row>
    <row r="4220">
      <c r="A4220" t="inlineStr">
        <is>
          <t>5월</t>
        </is>
      </c>
      <c r="B4220" t="inlineStr">
        <is>
          <t>19주차</t>
        </is>
      </c>
      <c r="C4220" t="inlineStr">
        <is>
          <t>IM</t>
        </is>
      </c>
      <c r="D4220" s="28" t="n">
        <v>46149</v>
      </c>
      <c r="E4220" t="inlineStr">
        <is>
          <t>IM캐피탈</t>
        </is>
      </c>
      <c r="F4220" t="inlineStr">
        <is>
          <t>이주안</t>
        </is>
      </c>
      <c r="G4220" t="inlineStr">
        <is>
          <t>010-3421-4690</t>
        </is>
      </c>
      <c r="H4220" t="inlineStr">
        <is>
          <t>88어1501</t>
        </is>
      </c>
      <c r="I4220" t="n">
        <v>19200000</v>
      </c>
      <c r="J4220" t="n">
        <v>0.049</v>
      </c>
      <c r="K4220" t="n">
        <v>1.1</v>
      </c>
      <c r="L4220" t="n">
        <v>0.14</v>
      </c>
      <c r="M4220" t="n">
        <v>0.96</v>
      </c>
      <c r="P4220" t="inlineStr">
        <is>
          <t>박현민</t>
        </is>
      </c>
      <c r="Q4220" t="inlineStr">
        <is>
          <t>홈서비스 60개월</t>
        </is>
      </c>
      <c r="AB4220" t="inlineStr">
        <is>
          <t>홈서비스</t>
        </is>
      </c>
      <c r="AC4220" t="n">
        <v>211200</v>
      </c>
      <c r="AD4220" t="n">
        <v>26880</v>
      </c>
      <c r="AE4220" t="n">
        <v>184320</v>
      </c>
      <c r="AF4220" t="n">
        <v>192000</v>
      </c>
      <c r="AG4220" t="n">
        <v>25992.96</v>
      </c>
      <c r="AH4220" t="n">
        <v>166007.04</v>
      </c>
      <c r="AI4220" t="n">
        <v>0</v>
      </c>
    </row>
    <row r="4221">
      <c r="A4221" t="inlineStr">
        <is>
          <t>5월</t>
        </is>
      </c>
      <c r="B4221" t="inlineStr">
        <is>
          <t>20주차</t>
        </is>
      </c>
      <c r="C4221" t="inlineStr">
        <is>
          <t>EP</t>
        </is>
      </c>
      <c r="D4221" s="28" t="n">
        <v>46154</v>
      </c>
      <c r="E4221" t="inlineStr">
        <is>
          <t>현대EP</t>
        </is>
      </c>
      <c r="F4221" t="inlineStr">
        <is>
          <t>신주현</t>
        </is>
      </c>
      <c r="G4221" t="inlineStr">
        <is>
          <t>010-6796-3892</t>
        </is>
      </c>
      <c r="H4221" t="inlineStr">
        <is>
          <t>21러6886</t>
        </is>
      </c>
      <c r="I4221" t="n">
        <v>10900000</v>
      </c>
      <c r="J4221" t="n">
        <v>0.06900000000000001</v>
      </c>
      <c r="K4221" t="n">
        <v>1.76</v>
      </c>
      <c r="L4221" t="n">
        <v>0.14</v>
      </c>
      <c r="M4221" t="n">
        <v>1.62</v>
      </c>
      <c r="P4221" t="inlineStr">
        <is>
          <t>김수연</t>
        </is>
      </c>
      <c r="AB4221" t="inlineStr">
        <is>
          <t>홈서비스</t>
        </is>
      </c>
      <c r="AC4221" t="n">
        <v>191840</v>
      </c>
      <c r="AD4221" t="n">
        <v>15260</v>
      </c>
      <c r="AE4221" t="n">
        <v>176580</v>
      </c>
      <c r="AF4221" t="n">
        <v>174400</v>
      </c>
      <c r="AG4221" t="n">
        <v>14756.42</v>
      </c>
      <c r="AH4221" t="n">
        <v>159643.58</v>
      </c>
      <c r="AI4221" t="n">
        <v>0</v>
      </c>
    </row>
    <row r="4222">
      <c r="A4222" t="inlineStr">
        <is>
          <t>5월</t>
        </is>
      </c>
      <c r="B4222" t="inlineStr">
        <is>
          <t>20주차</t>
        </is>
      </c>
      <c r="C4222" t="inlineStr">
        <is>
          <t>IM</t>
        </is>
      </c>
      <c r="D4222" s="28" t="n">
        <v>46154</v>
      </c>
      <c r="E4222" t="inlineStr">
        <is>
          <t>IM캐피탈</t>
        </is>
      </c>
      <c r="F4222" t="inlineStr">
        <is>
          <t>조수아</t>
        </is>
      </c>
      <c r="G4222" t="inlineStr">
        <is>
          <t>010-8482-1772</t>
        </is>
      </c>
      <c r="H4222" t="inlineStr">
        <is>
          <t>337소1604</t>
        </is>
      </c>
      <c r="I4222" t="n">
        <v>4300000</v>
      </c>
      <c r="J4222" t="n">
        <v>0.155</v>
      </c>
      <c r="K4222" t="n">
        <v>1.1</v>
      </c>
      <c r="L4222" t="n">
        <v>0.4</v>
      </c>
      <c r="M4222" t="n">
        <v>0.7</v>
      </c>
      <c r="P4222" t="inlineStr">
        <is>
          <t>장현경</t>
        </is>
      </c>
      <c r="AB4222" t="inlineStr">
        <is>
          <t>엔카</t>
        </is>
      </c>
      <c r="AC4222" t="n">
        <v>47300</v>
      </c>
      <c r="AD4222" t="n">
        <v>17200</v>
      </c>
      <c r="AE4222" t="n">
        <v>30100</v>
      </c>
      <c r="AF4222" t="n">
        <v>43000</v>
      </c>
      <c r="AG4222" t="n">
        <v>16632.4</v>
      </c>
      <c r="AH4222" t="n">
        <v>26367.6</v>
      </c>
      <c r="AI4222" t="n">
        <v>0</v>
      </c>
    </row>
    <row r="4223">
      <c r="A4223" t="inlineStr">
        <is>
          <t>5월</t>
        </is>
      </c>
      <c r="B4223" t="inlineStr">
        <is>
          <t>20주차</t>
        </is>
      </c>
      <c r="C4223" t="inlineStr">
        <is>
          <t>WC</t>
        </is>
      </c>
      <c r="D4223" s="28" t="n">
        <v>46155</v>
      </c>
      <c r="E4223" t="inlineStr">
        <is>
          <t>웰컴저축은행</t>
        </is>
      </c>
      <c r="F4223" t="inlineStr">
        <is>
          <t>장한별</t>
        </is>
      </c>
      <c r="G4223" t="inlineStr">
        <is>
          <t>010-4272-1388</t>
        </is>
      </c>
      <c r="H4223" t="inlineStr">
        <is>
          <t>58라0884</t>
        </is>
      </c>
      <c r="I4223" t="n">
        <v>30000000</v>
      </c>
      <c r="J4223" t="n">
        <v>0.13</v>
      </c>
      <c r="K4223" t="n">
        <v>2.2</v>
      </c>
      <c r="L4223" t="n">
        <v>0.14</v>
      </c>
      <c r="M4223" t="n">
        <v>2.06</v>
      </c>
      <c r="P4223" t="inlineStr">
        <is>
          <t>김수연</t>
        </is>
      </c>
      <c r="Q4223" t="inlineStr">
        <is>
          <t>홈서비스 60개월</t>
        </is>
      </c>
      <c r="AB4223" t="inlineStr">
        <is>
          <t>홈서비스</t>
        </is>
      </c>
      <c r="AC4223" t="n">
        <v>660000</v>
      </c>
      <c r="AD4223" t="n">
        <v>42000</v>
      </c>
      <c r="AE4223" t="n">
        <v>618000</v>
      </c>
      <c r="AF4223" t="n">
        <v>600000</v>
      </c>
      <c r="AG4223" t="n">
        <v>40614</v>
      </c>
      <c r="AH4223" t="n">
        <v>559386</v>
      </c>
      <c r="AI4223" t="n">
        <v>0</v>
      </c>
    </row>
    <row r="4224">
      <c r="A4224" t="inlineStr">
        <is>
          <t>5월</t>
        </is>
      </c>
      <c r="B4224" t="inlineStr">
        <is>
          <t>20주차</t>
        </is>
      </c>
      <c r="C4224" t="inlineStr">
        <is>
          <t>EP</t>
        </is>
      </c>
      <c r="D4224" s="28" t="n">
        <v>46154</v>
      </c>
      <c r="E4224" t="inlineStr">
        <is>
          <t>현대EP</t>
        </is>
      </c>
      <c r="F4224" t="inlineStr">
        <is>
          <t>이동선</t>
        </is>
      </c>
      <c r="G4224" t="inlineStr">
        <is>
          <t>010-8778-7225</t>
        </is>
      </c>
      <c r="H4224" t="inlineStr">
        <is>
          <t>107너1063</t>
        </is>
      </c>
      <c r="I4224" t="n">
        <v>30000000</v>
      </c>
      <c r="J4224" t="n">
        <v>0.06900000000000001</v>
      </c>
      <c r="K4224" t="n">
        <v>1.76</v>
      </c>
      <c r="L4224" t="n">
        <v>0.14</v>
      </c>
      <c r="M4224" t="n">
        <v>1.62</v>
      </c>
      <c r="P4224" t="inlineStr">
        <is>
          <t>최형주</t>
        </is>
      </c>
      <c r="AB4224" t="inlineStr">
        <is>
          <t>홈서비스</t>
        </is>
      </c>
      <c r="AC4224" t="n">
        <v>528000</v>
      </c>
      <c r="AD4224" t="n">
        <v>42000</v>
      </c>
      <c r="AE4224" t="n">
        <v>486000</v>
      </c>
      <c r="AF4224" t="n">
        <v>480000</v>
      </c>
      <c r="AG4224" t="n">
        <v>40614</v>
      </c>
      <c r="AH4224" t="n">
        <v>439386</v>
      </c>
      <c r="AI4224" t="n">
        <v>0</v>
      </c>
    </row>
    <row r="4225">
      <c r="A4225" t="inlineStr">
        <is>
          <t>5월</t>
        </is>
      </c>
      <c r="B4225" t="inlineStr">
        <is>
          <t>20주차</t>
        </is>
      </c>
      <c r="C4225" t="inlineStr">
        <is>
          <t>EP</t>
        </is>
      </c>
      <c r="D4225" s="28" t="n">
        <v>46154</v>
      </c>
      <c r="E4225" t="inlineStr">
        <is>
          <t>현대EP</t>
        </is>
      </c>
      <c r="F4225" t="inlineStr">
        <is>
          <t>이석재</t>
        </is>
      </c>
      <c r="G4225" t="inlineStr">
        <is>
          <t>010-5101-3929</t>
        </is>
      </c>
      <c r="H4225" t="inlineStr">
        <is>
          <t>258오3408</t>
        </is>
      </c>
      <c r="I4225" t="n">
        <v>21500000</v>
      </c>
      <c r="J4225" t="n">
        <v>0.129</v>
      </c>
      <c r="K4225" t="n">
        <v>1.76</v>
      </c>
      <c r="L4225" t="n">
        <v>0.14</v>
      </c>
      <c r="M4225" t="n">
        <v>1.62</v>
      </c>
      <c r="P4225" t="inlineStr">
        <is>
          <t>정세빈</t>
        </is>
      </c>
      <c r="AB4225" t="inlineStr">
        <is>
          <t>홈서비스</t>
        </is>
      </c>
      <c r="AC4225" t="n">
        <v>378400</v>
      </c>
      <c r="AD4225" t="n">
        <v>30100</v>
      </c>
      <c r="AE4225" t="n">
        <v>348300</v>
      </c>
      <c r="AF4225" t="n">
        <v>344000</v>
      </c>
      <c r="AG4225" t="n">
        <v>29106.7</v>
      </c>
      <c r="AH4225" t="n">
        <v>314893.3</v>
      </c>
    </row>
    <row r="4226">
      <c r="A4226" t="inlineStr">
        <is>
          <t>5월</t>
        </is>
      </c>
      <c r="B4226" t="inlineStr">
        <is>
          <t>20주차</t>
        </is>
      </c>
      <c r="C4226" t="inlineStr">
        <is>
          <t>IM</t>
        </is>
      </c>
      <c r="D4226" s="28" t="n">
        <v>46154</v>
      </c>
      <c r="E4226" t="inlineStr">
        <is>
          <t>IM캐피탈</t>
        </is>
      </c>
      <c r="F4226" t="inlineStr">
        <is>
          <t>이남호</t>
        </is>
      </c>
      <c r="G4226" t="inlineStr">
        <is>
          <t>010-4600-7834</t>
        </is>
      </c>
      <c r="H4226" t="inlineStr">
        <is>
          <t>339저6025</t>
        </is>
      </c>
      <c r="I4226" t="n">
        <v>26000000</v>
      </c>
      <c r="J4226" t="n">
        <v>0.059</v>
      </c>
      <c r="K4226" t="n">
        <v>1.1</v>
      </c>
      <c r="L4226" t="n">
        <v>0.4</v>
      </c>
      <c r="M4226" t="n">
        <v>0.7</v>
      </c>
      <c r="P4226" t="inlineStr">
        <is>
          <t>박소현</t>
        </is>
      </c>
      <c r="AB4226" t="inlineStr">
        <is>
          <t>엔카</t>
        </is>
      </c>
      <c r="AC4226" t="n">
        <v>286000</v>
      </c>
      <c r="AD4226" t="n">
        <v>104000</v>
      </c>
      <c r="AE4226" t="n">
        <v>182000</v>
      </c>
      <c r="AF4226" t="n">
        <v>260000</v>
      </c>
      <c r="AG4226" t="n">
        <v>100568</v>
      </c>
      <c r="AH4226" t="n">
        <v>159432</v>
      </c>
    </row>
    <row r="4227">
      <c r="A4227" t="inlineStr">
        <is>
          <t>5월</t>
        </is>
      </c>
      <c r="B4227" t="inlineStr">
        <is>
          <t>20주차</t>
        </is>
      </c>
      <c r="C4227" t="inlineStr">
        <is>
          <t>IM</t>
        </is>
      </c>
      <c r="D4227" s="28" t="n">
        <v>46154</v>
      </c>
      <c r="E4227" t="inlineStr">
        <is>
          <t>IM캐피탈</t>
        </is>
      </c>
      <c r="F4227" t="inlineStr">
        <is>
          <t>오선경</t>
        </is>
      </c>
      <c r="G4227" t="inlineStr">
        <is>
          <t>010-8654-5308</t>
        </is>
      </c>
      <c r="H4227" t="inlineStr">
        <is>
          <t>233소3493</t>
        </is>
      </c>
      <c r="I4227" t="n">
        <v>25000000</v>
      </c>
      <c r="J4227" t="n">
        <v>0.059</v>
      </c>
      <c r="K4227" t="n">
        <v>1.1</v>
      </c>
      <c r="L4227" t="n">
        <v>0.14</v>
      </c>
      <c r="M4227" t="n">
        <v>0.96</v>
      </c>
      <c r="P4227" t="inlineStr">
        <is>
          <t>최혁</t>
        </is>
      </c>
      <c r="Q4227" t="inlineStr">
        <is>
          <t>홈서비스 36개월</t>
        </is>
      </c>
      <c r="AB4227" t="inlineStr">
        <is>
          <t>홈서비스</t>
        </is>
      </c>
      <c r="AC4227" t="n">
        <v>275000</v>
      </c>
      <c r="AD4227" t="n">
        <v>35000</v>
      </c>
      <c r="AE4227" t="n">
        <v>240000</v>
      </c>
      <c r="AF4227" t="n">
        <v>250000</v>
      </c>
      <c r="AG4227" t="n">
        <v>33845</v>
      </c>
      <c r="AH4227" t="n">
        <v>216155</v>
      </c>
    </row>
    <row r="4228">
      <c r="A4228" t="inlineStr">
        <is>
          <t>5월</t>
        </is>
      </c>
      <c r="B4228" t="inlineStr">
        <is>
          <t>20주차</t>
        </is>
      </c>
      <c r="C4228" t="inlineStr">
        <is>
          <t>EP</t>
        </is>
      </c>
      <c r="D4228" s="28" t="n">
        <v>46154</v>
      </c>
      <c r="E4228" t="inlineStr">
        <is>
          <t>현대EP</t>
        </is>
      </c>
      <c r="F4228" t="inlineStr">
        <is>
          <t>이경준</t>
        </is>
      </c>
      <c r="G4228" t="inlineStr">
        <is>
          <t>010-3008-8300</t>
        </is>
      </c>
      <c r="H4228" t="inlineStr">
        <is>
          <t>53우1731</t>
        </is>
      </c>
      <c r="I4228" t="n">
        <v>6900000</v>
      </c>
      <c r="J4228" t="n">
        <v>0.089</v>
      </c>
      <c r="K4228" t="n">
        <v>1.76</v>
      </c>
      <c r="L4228" t="n">
        <v>0.14</v>
      </c>
      <c r="M4228" t="n">
        <v>1.62</v>
      </c>
      <c r="P4228" t="inlineStr">
        <is>
          <t>김나윤</t>
        </is>
      </c>
      <c r="AB4228" t="inlineStr">
        <is>
          <t>홈서비스</t>
        </is>
      </c>
      <c r="AC4228" t="n">
        <v>121440</v>
      </c>
      <c r="AD4228" t="n">
        <v>9660</v>
      </c>
      <c r="AE4228" t="n">
        <v>111780</v>
      </c>
      <c r="AF4228" t="n">
        <v>110400</v>
      </c>
      <c r="AG4228" t="n">
        <v>9341.219999999999</v>
      </c>
      <c r="AH4228" t="n">
        <v>101058.78</v>
      </c>
    </row>
    <row r="4229">
      <c r="A4229" t="inlineStr">
        <is>
          <t>5월</t>
        </is>
      </c>
      <c r="B4229" t="inlineStr">
        <is>
          <t>20주차</t>
        </is>
      </c>
      <c r="C4229" t="inlineStr">
        <is>
          <t>EP</t>
        </is>
      </c>
      <c r="D4229" s="28" t="n">
        <v>46155</v>
      </c>
      <c r="E4229" t="inlineStr">
        <is>
          <t>현대EP_fast</t>
        </is>
      </c>
      <c r="F4229" t="inlineStr">
        <is>
          <t>홍민혁</t>
        </is>
      </c>
      <c r="G4229" t="inlineStr">
        <is>
          <t>010-3093-9794</t>
        </is>
      </c>
      <c r="H4229" t="inlineStr">
        <is>
          <t>260오9830</t>
        </is>
      </c>
      <c r="I4229" t="n">
        <v>5000000</v>
      </c>
      <c r="J4229" t="n">
        <v>0.076</v>
      </c>
      <c r="K4229" t="n">
        <v>1.76</v>
      </c>
      <c r="L4229" t="n">
        <v>0.14</v>
      </c>
      <c r="M4229" t="n">
        <v>1.62</v>
      </c>
      <c r="P4229" t="inlineStr">
        <is>
          <t>김수연</t>
        </is>
      </c>
      <c r="Q4229" t="inlineStr">
        <is>
          <t>홈서비스 24개월</t>
        </is>
      </c>
      <c r="AB4229" t="inlineStr">
        <is>
          <t>홈서비스</t>
        </is>
      </c>
      <c r="AC4229" t="n">
        <v>88000</v>
      </c>
      <c r="AD4229" t="n">
        <v>7000</v>
      </c>
      <c r="AE4229" t="n">
        <v>81000</v>
      </c>
      <c r="AF4229" t="n">
        <v>80000</v>
      </c>
      <c r="AG4229" t="n">
        <v>6769</v>
      </c>
      <c r="AH4229" t="n">
        <v>73231</v>
      </c>
      <c r="AI4229" t="n">
        <v>0</v>
      </c>
    </row>
    <row r="4230">
      <c r="A4230" t="inlineStr">
        <is>
          <t>5월</t>
        </is>
      </c>
      <c r="B4230" t="inlineStr">
        <is>
          <t>20주차</t>
        </is>
      </c>
      <c r="C4230" t="inlineStr">
        <is>
          <t>EP</t>
        </is>
      </c>
      <c r="D4230" s="28" t="n">
        <v>46155</v>
      </c>
      <c r="E4230" t="inlineStr">
        <is>
          <t>현대EP_fast</t>
        </is>
      </c>
      <c r="F4230" t="inlineStr">
        <is>
          <t>전동선</t>
        </is>
      </c>
      <c r="G4230" t="inlineStr">
        <is>
          <t>010-3602-3671</t>
        </is>
      </c>
      <c r="H4230" t="inlineStr">
        <is>
          <t>16부9725</t>
        </is>
      </c>
      <c r="I4230" t="n">
        <v>4500000</v>
      </c>
      <c r="J4230" t="n">
        <v>0.102</v>
      </c>
      <c r="K4230" t="n">
        <v>1.76</v>
      </c>
      <c r="L4230" t="n">
        <v>0.14</v>
      </c>
      <c r="M4230" t="n">
        <v>1.62</v>
      </c>
      <c r="P4230" t="inlineStr">
        <is>
          <t>정세빈</t>
        </is>
      </c>
      <c r="Q4230" t="inlineStr">
        <is>
          <t>홈서비스 24개월</t>
        </is>
      </c>
      <c r="AB4230" t="inlineStr">
        <is>
          <t>홈서비스</t>
        </is>
      </c>
      <c r="AC4230" t="n">
        <v>79200</v>
      </c>
      <c r="AD4230" t="n">
        <v>6300</v>
      </c>
      <c r="AE4230" t="n">
        <v>72900</v>
      </c>
      <c r="AF4230" t="n">
        <v>72000</v>
      </c>
      <c r="AG4230" t="n">
        <v>6092.1</v>
      </c>
      <c r="AH4230" t="n">
        <v>65907.89999999999</v>
      </c>
      <c r="AI4230" t="n">
        <v>0</v>
      </c>
    </row>
    <row r="4231">
      <c r="A4231" t="inlineStr">
        <is>
          <t>5월</t>
        </is>
      </c>
      <c r="B4231" t="inlineStr">
        <is>
          <t>20주차</t>
        </is>
      </c>
      <c r="C4231" t="inlineStr">
        <is>
          <t>IM</t>
        </is>
      </c>
      <c r="D4231" s="28" t="n">
        <v>46154</v>
      </c>
      <c r="E4231" t="inlineStr">
        <is>
          <t>IM캐피탈</t>
        </is>
      </c>
      <c r="F4231" t="inlineStr">
        <is>
          <t>장상회</t>
        </is>
      </c>
      <c r="G4231" t="inlineStr">
        <is>
          <t>010-3436-5353</t>
        </is>
      </c>
      <c r="H4231" t="inlineStr">
        <is>
          <t>332오7014</t>
        </is>
      </c>
      <c r="I4231" t="n">
        <v>59900000</v>
      </c>
      <c r="J4231" t="n">
        <v>0.07099999999999999</v>
      </c>
      <c r="K4231" t="n">
        <v>1.1</v>
      </c>
      <c r="L4231" t="n">
        <v>0.14</v>
      </c>
      <c r="M4231" t="n">
        <v>0.96</v>
      </c>
      <c r="P4231" t="inlineStr">
        <is>
          <t>황채이</t>
        </is>
      </c>
      <c r="Q4231" t="inlineStr">
        <is>
          <t>홈서비스 60개월</t>
        </is>
      </c>
      <c r="AB4231" t="inlineStr">
        <is>
          <t>홈서비스</t>
        </is>
      </c>
      <c r="AC4231" t="n">
        <v>658900</v>
      </c>
      <c r="AD4231" t="n">
        <v>83860</v>
      </c>
      <c r="AE4231" t="n">
        <v>575040</v>
      </c>
      <c r="AF4231" t="n">
        <v>599000</v>
      </c>
      <c r="AG4231" t="n">
        <v>81092.62</v>
      </c>
      <c r="AH4231" t="n">
        <v>517907.38</v>
      </c>
      <c r="AI4231" t="n">
        <v>0</v>
      </c>
    </row>
    <row r="4232">
      <c r="A4232" t="inlineStr">
        <is>
          <t>5월</t>
        </is>
      </c>
      <c r="B4232" t="inlineStr">
        <is>
          <t>20주차</t>
        </is>
      </c>
      <c r="C4232" t="inlineStr">
        <is>
          <t>EP</t>
        </is>
      </c>
      <c r="D4232" s="28" t="n">
        <v>46155</v>
      </c>
      <c r="E4232" t="inlineStr">
        <is>
          <t>현대EP_fast</t>
        </is>
      </c>
      <c r="F4232" t="inlineStr">
        <is>
          <t>박선형</t>
        </is>
      </c>
      <c r="G4232" t="inlineStr">
        <is>
          <t>010-4490-9544</t>
        </is>
      </c>
      <c r="H4232" t="inlineStr">
        <is>
          <t>390서6329</t>
        </is>
      </c>
      <c r="I4232" t="n">
        <v>7500000</v>
      </c>
      <c r="J4232" t="n">
        <v>0.118</v>
      </c>
      <c r="K4232" t="n">
        <v>1.76</v>
      </c>
      <c r="L4232" t="n">
        <v>0.14</v>
      </c>
      <c r="M4232" t="n">
        <v>1.62</v>
      </c>
      <c r="P4232" t="inlineStr">
        <is>
          <t>황채이</t>
        </is>
      </c>
      <c r="Q4232" t="inlineStr">
        <is>
          <t>홈서비스 48개월</t>
        </is>
      </c>
      <c r="AB4232" t="inlineStr">
        <is>
          <t>홈서비스</t>
        </is>
      </c>
      <c r="AC4232" t="n">
        <v>132000</v>
      </c>
      <c r="AD4232" t="n">
        <v>10500</v>
      </c>
      <c r="AE4232" t="n">
        <v>121500</v>
      </c>
      <c r="AF4232" t="n">
        <v>120000</v>
      </c>
      <c r="AG4232" t="n">
        <v>10153.5</v>
      </c>
      <c r="AH4232" t="n">
        <v>109846.5</v>
      </c>
      <c r="AI4232" t="n">
        <v>0</v>
      </c>
    </row>
    <row r="4233">
      <c r="A4233" t="inlineStr">
        <is>
          <t>5월</t>
        </is>
      </c>
      <c r="B4233" t="inlineStr">
        <is>
          <t>20주차</t>
        </is>
      </c>
      <c r="C4233" t="inlineStr">
        <is>
          <t>WC</t>
        </is>
      </c>
      <c r="D4233" s="28" t="n">
        <v>46155</v>
      </c>
      <c r="E4233" t="inlineStr">
        <is>
          <t>웰컴저축은행</t>
        </is>
      </c>
      <c r="F4233" t="inlineStr">
        <is>
          <t>양시정</t>
        </is>
      </c>
      <c r="G4233" t="inlineStr">
        <is>
          <t>010-4886-8386</t>
        </is>
      </c>
      <c r="H4233" t="inlineStr">
        <is>
          <t>22주1992</t>
        </is>
      </c>
      <c r="I4233" t="n">
        <v>20000000</v>
      </c>
      <c r="J4233" t="n">
        <v>0.154</v>
      </c>
      <c r="K4233" t="n">
        <v>2.2</v>
      </c>
      <c r="L4233" t="n">
        <v>0.14</v>
      </c>
      <c r="M4233" t="n">
        <v>2.06</v>
      </c>
      <c r="P4233" t="inlineStr">
        <is>
          <t>황채이</t>
        </is>
      </c>
      <c r="Q4233" t="inlineStr">
        <is>
          <t>부결 db실행 / 홈서비스 72개월</t>
        </is>
      </c>
      <c r="AB4233" t="inlineStr">
        <is>
          <t>홈서비스</t>
        </is>
      </c>
      <c r="AC4233" t="n">
        <v>440000</v>
      </c>
      <c r="AD4233" t="n">
        <v>28000</v>
      </c>
      <c r="AE4233" t="n">
        <v>412000</v>
      </c>
      <c r="AF4233" t="n">
        <v>400000</v>
      </c>
      <c r="AG4233" t="n">
        <v>27076</v>
      </c>
      <c r="AH4233" t="n">
        <v>372924</v>
      </c>
      <c r="AI4233" t="n">
        <v>0</v>
      </c>
    </row>
    <row r="4234">
      <c r="A4234" t="inlineStr">
        <is>
          <t>5월</t>
        </is>
      </c>
      <c r="B4234" t="inlineStr">
        <is>
          <t>20주차</t>
        </is>
      </c>
      <c r="C4234" t="inlineStr">
        <is>
          <t>EP</t>
        </is>
      </c>
      <c r="D4234" s="28" t="n">
        <v>46154</v>
      </c>
      <c r="E4234" t="inlineStr">
        <is>
          <t>현대EP_fast</t>
        </is>
      </c>
      <c r="F4234" t="inlineStr">
        <is>
          <t>강종섭</t>
        </is>
      </c>
      <c r="G4234" t="inlineStr">
        <is>
          <t>010-8561-1412</t>
        </is>
      </c>
      <c r="H4234" t="inlineStr">
        <is>
          <t>374무1641</t>
        </is>
      </c>
      <c r="I4234" t="n">
        <v>29000000</v>
      </c>
      <c r="J4234" t="n">
        <v>0.109</v>
      </c>
      <c r="K4234" t="n">
        <v>1.76</v>
      </c>
      <c r="L4234" t="n">
        <v>0.14</v>
      </c>
      <c r="M4234" t="n">
        <v>1.62</v>
      </c>
      <c r="P4234" t="inlineStr">
        <is>
          <t>최혁</t>
        </is>
      </c>
      <c r="Q4234" t="inlineStr">
        <is>
          <t>홈서비스 60개월/공동명의</t>
        </is>
      </c>
      <c r="AB4234" t="inlineStr">
        <is>
          <t>홈서비스</t>
        </is>
      </c>
      <c r="AC4234" t="n">
        <v>510400</v>
      </c>
      <c r="AD4234" t="n">
        <v>40600</v>
      </c>
      <c r="AE4234" t="n">
        <v>469800</v>
      </c>
      <c r="AF4234" t="n">
        <v>464000</v>
      </c>
      <c r="AG4234" t="n">
        <v>39260.2</v>
      </c>
      <c r="AH4234" t="n">
        <v>424739.8</v>
      </c>
    </row>
    <row r="4235">
      <c r="A4235" t="inlineStr">
        <is>
          <t>5월</t>
        </is>
      </c>
      <c r="B4235" t="inlineStr">
        <is>
          <t>20주차</t>
        </is>
      </c>
      <c r="C4235" t="inlineStr">
        <is>
          <t>IM</t>
        </is>
      </c>
      <c r="D4235" s="28" t="n">
        <v>46154</v>
      </c>
      <c r="E4235" t="inlineStr">
        <is>
          <t>IM캐피탈</t>
        </is>
      </c>
      <c r="F4235" t="inlineStr">
        <is>
          <t>송재현</t>
        </is>
      </c>
      <c r="G4235" t="inlineStr">
        <is>
          <t>010-5172-5189</t>
        </is>
      </c>
      <c r="H4235" t="inlineStr">
        <is>
          <t>91오5492</t>
        </is>
      </c>
      <c r="I4235" t="n">
        <v>22000000</v>
      </c>
      <c r="J4235" t="n">
        <v>0.045</v>
      </c>
      <c r="K4235" t="n">
        <v>1.1</v>
      </c>
      <c r="L4235" t="n">
        <v>0.4</v>
      </c>
      <c r="M4235" t="n">
        <v>0.7</v>
      </c>
      <c r="P4235" t="inlineStr">
        <is>
          <t>박소현</t>
        </is>
      </c>
      <c r="AB4235" t="inlineStr">
        <is>
          <t>엔카</t>
        </is>
      </c>
      <c r="AC4235" t="n">
        <v>242000</v>
      </c>
      <c r="AD4235" t="n">
        <v>88000</v>
      </c>
      <c r="AE4235" t="n">
        <v>154000</v>
      </c>
      <c r="AF4235" t="n">
        <v>220000</v>
      </c>
      <c r="AG4235" t="n">
        <v>85096</v>
      </c>
      <c r="AH4235" t="n">
        <v>134904</v>
      </c>
      <c r="AI4235" t="n">
        <v>0</v>
      </c>
    </row>
    <row r="4236">
      <c r="A4236" t="inlineStr">
        <is>
          <t>5월</t>
        </is>
      </c>
      <c r="B4236" t="inlineStr">
        <is>
          <t>20주차</t>
        </is>
      </c>
      <c r="C4236" t="inlineStr">
        <is>
          <t>EP</t>
        </is>
      </c>
      <c r="D4236" s="28" t="n">
        <v>46155</v>
      </c>
      <c r="E4236" t="inlineStr">
        <is>
          <t>현대EP_fast</t>
        </is>
      </c>
      <c r="F4236" t="inlineStr">
        <is>
          <t>서동순</t>
        </is>
      </c>
      <c r="G4236" t="inlineStr">
        <is>
          <t>010-9271-7327</t>
        </is>
      </c>
      <c r="H4236" t="inlineStr">
        <is>
          <t>326조9113</t>
        </is>
      </c>
      <c r="I4236" t="n">
        <v>23300000</v>
      </c>
      <c r="J4236" t="n">
        <v>0.08799999999999999</v>
      </c>
      <c r="K4236" t="n">
        <v>1.76</v>
      </c>
      <c r="L4236" t="n">
        <v>0.14</v>
      </c>
      <c r="M4236" t="n">
        <v>1.62</v>
      </c>
      <c r="P4236" t="inlineStr">
        <is>
          <t>김수연</t>
        </is>
      </c>
      <c r="Q4236" t="inlineStr">
        <is>
          <t>홈서비스 60개월</t>
        </is>
      </c>
      <c r="AB4236" t="inlineStr">
        <is>
          <t>홈서비스</t>
        </is>
      </c>
      <c r="AC4236" t="n">
        <v>410080</v>
      </c>
      <c r="AD4236" t="n">
        <v>32620</v>
      </c>
      <c r="AE4236" t="n">
        <v>377460</v>
      </c>
      <c r="AF4236" t="n">
        <v>372800</v>
      </c>
      <c r="AG4236" t="n">
        <v>31543.54</v>
      </c>
      <c r="AH4236" t="n">
        <v>341256.46</v>
      </c>
      <c r="AI4236" t="n">
        <v>0</v>
      </c>
    </row>
    <row r="4237">
      <c r="A4237" t="inlineStr">
        <is>
          <t>5월</t>
        </is>
      </c>
      <c r="B4237" t="inlineStr">
        <is>
          <t>20주차</t>
        </is>
      </c>
      <c r="C4237" t="inlineStr">
        <is>
          <t>EP</t>
        </is>
      </c>
      <c r="D4237" s="28" t="n">
        <v>46155</v>
      </c>
      <c r="E4237" t="inlineStr">
        <is>
          <t>현대EP_fast</t>
        </is>
      </c>
      <c r="F4237" t="inlineStr">
        <is>
          <t>최유빈</t>
        </is>
      </c>
      <c r="G4237" t="inlineStr">
        <is>
          <t>010-7919-0397</t>
        </is>
      </c>
      <c r="H4237" t="inlineStr">
        <is>
          <t>40라5813</t>
        </is>
      </c>
      <c r="I4237" t="n">
        <v>13500000</v>
      </c>
      <c r="J4237" t="n">
        <v>0.089</v>
      </c>
      <c r="K4237" t="n">
        <v>1.76</v>
      </c>
      <c r="L4237" t="n">
        <v>0.14</v>
      </c>
      <c r="M4237" t="n">
        <v>1.62</v>
      </c>
      <c r="P4237" t="inlineStr">
        <is>
          <t>최형주</t>
        </is>
      </c>
      <c r="Q4237" t="inlineStr">
        <is>
          <t>홈서비스 48개월</t>
        </is>
      </c>
      <c r="AB4237" t="inlineStr">
        <is>
          <t>홈서비스</t>
        </is>
      </c>
      <c r="AC4237" t="n">
        <v>237600</v>
      </c>
      <c r="AD4237" t="n">
        <v>18900</v>
      </c>
      <c r="AE4237" t="n">
        <v>218700</v>
      </c>
      <c r="AF4237" t="n">
        <v>216000</v>
      </c>
      <c r="AG4237" t="n">
        <v>18276.3</v>
      </c>
      <c r="AH4237" t="n">
        <v>197723.7</v>
      </c>
    </row>
    <row r="4238">
      <c r="A4238" t="inlineStr">
        <is>
          <t>5월</t>
        </is>
      </c>
      <c r="B4238" t="inlineStr">
        <is>
          <t>20주차</t>
        </is>
      </c>
      <c r="C4238" t="inlineStr">
        <is>
          <t>EP</t>
        </is>
      </c>
      <c r="D4238" s="28" t="n">
        <v>46155</v>
      </c>
      <c r="E4238" t="inlineStr">
        <is>
          <t>제이비EP</t>
        </is>
      </c>
      <c r="F4238" t="inlineStr">
        <is>
          <t>권준형</t>
        </is>
      </c>
      <c r="G4238" t="inlineStr">
        <is>
          <t>010-8484-6335</t>
        </is>
      </c>
      <c r="H4238" t="inlineStr">
        <is>
          <t>01노0165</t>
        </is>
      </c>
      <c r="I4238" t="n">
        <v>45000000</v>
      </c>
      <c r="J4238" t="n">
        <v>0.07199999999999999</v>
      </c>
      <c r="K4238" t="n">
        <v>1.65</v>
      </c>
      <c r="L4238" t="n">
        <v>0.4</v>
      </c>
      <c r="M4238" t="n">
        <v>1.25</v>
      </c>
      <c r="P4238" t="inlineStr">
        <is>
          <t>최혁</t>
        </is>
      </c>
      <c r="AB4238" t="inlineStr">
        <is>
          <t>엔카</t>
        </is>
      </c>
      <c r="AC4238" t="n">
        <v>742500</v>
      </c>
      <c r="AD4238" t="n">
        <v>180000</v>
      </c>
      <c r="AE4238" t="n">
        <v>562500</v>
      </c>
      <c r="AF4238" t="n">
        <v>675000</v>
      </c>
      <c r="AG4238" t="n">
        <v>174060</v>
      </c>
      <c r="AH4238" t="n">
        <v>500940</v>
      </c>
      <c r="AI4238" t="n">
        <v>0</v>
      </c>
    </row>
    <row r="4239">
      <c r="A4239" t="inlineStr">
        <is>
          <t>5월</t>
        </is>
      </c>
      <c r="B4239" t="inlineStr">
        <is>
          <t>20주차</t>
        </is>
      </c>
      <c r="C4239" t="inlineStr">
        <is>
          <t>IM</t>
        </is>
      </c>
      <c r="D4239" s="28" t="n">
        <v>46155</v>
      </c>
      <c r="E4239" t="inlineStr">
        <is>
          <t>IM캐피탈</t>
        </is>
      </c>
      <c r="F4239" t="inlineStr">
        <is>
          <t>최보광</t>
        </is>
      </c>
      <c r="G4239" t="inlineStr">
        <is>
          <t>010-9413-9435</t>
        </is>
      </c>
      <c r="H4239" t="inlineStr">
        <is>
          <t>820우2573</t>
        </is>
      </c>
      <c r="I4239" t="n">
        <v>23800000</v>
      </c>
      <c r="J4239" t="n">
        <v>0.063</v>
      </c>
      <c r="K4239" t="n">
        <v>1.1</v>
      </c>
      <c r="L4239" t="n">
        <v>0.14</v>
      </c>
      <c r="M4239" t="n">
        <v>0.96</v>
      </c>
      <c r="P4239" t="inlineStr">
        <is>
          <t>박소현</t>
        </is>
      </c>
      <c r="Q4239" t="inlineStr">
        <is>
          <t>선상담 / 홈서비스 60개월</t>
        </is>
      </c>
      <c r="AB4239" t="inlineStr">
        <is>
          <t>홈서비스</t>
        </is>
      </c>
      <c r="AC4239" t="n">
        <v>261800</v>
      </c>
      <c r="AD4239" t="n">
        <v>33320</v>
      </c>
      <c r="AE4239" t="n">
        <v>228480</v>
      </c>
      <c r="AF4239" t="n">
        <v>238000</v>
      </c>
      <c r="AG4239" t="n">
        <v>32220.44</v>
      </c>
      <c r="AH4239" t="n">
        <v>205779.56</v>
      </c>
      <c r="AI4239" t="n">
        <v>0</v>
      </c>
    </row>
    <row r="4240">
      <c r="A4240" t="inlineStr">
        <is>
          <t>5월</t>
        </is>
      </c>
      <c r="B4240" t="inlineStr">
        <is>
          <t>20주차</t>
        </is>
      </c>
      <c r="C4240" t="inlineStr">
        <is>
          <t>EP</t>
        </is>
      </c>
      <c r="D4240" s="28" t="n">
        <v>46155</v>
      </c>
      <c r="E4240" t="inlineStr">
        <is>
          <t>현대EP_fast</t>
        </is>
      </c>
      <c r="F4240" t="inlineStr">
        <is>
          <t>김구룡</t>
        </is>
      </c>
      <c r="G4240" t="inlineStr">
        <is>
          <t>010-9444-1021</t>
        </is>
      </c>
      <c r="H4240" t="inlineStr">
        <is>
          <t>55버3736</t>
        </is>
      </c>
      <c r="I4240" t="n">
        <v>5800000</v>
      </c>
      <c r="J4240" t="n">
        <v>0.07099999999999999</v>
      </c>
      <c r="K4240" t="n">
        <v>1.76</v>
      </c>
      <c r="L4240" t="n">
        <v>0.14</v>
      </c>
      <c r="M4240" t="n">
        <v>1.62</v>
      </c>
      <c r="P4240" t="inlineStr">
        <is>
          <t>황채이</t>
        </is>
      </c>
      <c r="Q4240" t="inlineStr">
        <is>
          <t>홈서비스 36개월</t>
        </is>
      </c>
      <c r="AB4240" t="inlineStr">
        <is>
          <t>홈서비스</t>
        </is>
      </c>
      <c r="AC4240" t="n">
        <v>102080</v>
      </c>
      <c r="AD4240" t="n">
        <v>8120</v>
      </c>
      <c r="AE4240" t="n">
        <v>93960</v>
      </c>
      <c r="AF4240" t="n">
        <v>92800</v>
      </c>
      <c r="AG4240" t="n">
        <v>7852.04</v>
      </c>
      <c r="AH4240" t="n">
        <v>84947.96000000001</v>
      </c>
    </row>
    <row r="4241">
      <c r="A4241" t="inlineStr">
        <is>
          <t>5월</t>
        </is>
      </c>
      <c r="B4241" t="inlineStr">
        <is>
          <t>20주차</t>
        </is>
      </c>
      <c r="C4241" t="inlineStr">
        <is>
          <t>EP</t>
        </is>
      </c>
      <c r="D4241" s="28" t="n">
        <v>46155</v>
      </c>
      <c r="E4241" t="inlineStr">
        <is>
          <t>현대EP_fast</t>
        </is>
      </c>
      <c r="F4241" t="inlineStr">
        <is>
          <t>이규호</t>
        </is>
      </c>
      <c r="G4241" t="inlineStr">
        <is>
          <t>010-3624-1256</t>
        </is>
      </c>
      <c r="H4241" t="inlineStr">
        <is>
          <t>40보5608</t>
        </is>
      </c>
      <c r="I4241" t="n">
        <v>6000000</v>
      </c>
      <c r="J4241" t="n">
        <v>0.06900000000000001</v>
      </c>
      <c r="K4241" t="n">
        <v>1.76</v>
      </c>
      <c r="L4241" t="n">
        <v>0.14</v>
      </c>
      <c r="M4241" t="n">
        <v>1.62</v>
      </c>
      <c r="P4241" t="inlineStr">
        <is>
          <t>정세빈</t>
        </is>
      </c>
      <c r="Q4241" t="inlineStr">
        <is>
          <t>홈서비스 60개월</t>
        </is>
      </c>
      <c r="AB4241" t="inlineStr">
        <is>
          <t>홈서비스</t>
        </is>
      </c>
      <c r="AC4241" t="n">
        <v>105600</v>
      </c>
      <c r="AD4241" t="n">
        <v>8400</v>
      </c>
      <c r="AE4241" t="n">
        <v>97200</v>
      </c>
      <c r="AF4241" t="n">
        <v>96000</v>
      </c>
      <c r="AG4241" t="n">
        <v>8122.8</v>
      </c>
      <c r="AH4241" t="n">
        <v>87877.2</v>
      </c>
      <c r="AI4241" t="n">
        <v>0</v>
      </c>
    </row>
    <row r="4242">
      <c r="A4242" t="inlineStr">
        <is>
          <t>5월</t>
        </is>
      </c>
      <c r="B4242" t="inlineStr">
        <is>
          <t>20주차</t>
        </is>
      </c>
      <c r="C4242" t="inlineStr">
        <is>
          <t>EP</t>
        </is>
      </c>
      <c r="D4242" s="28" t="n">
        <v>46155</v>
      </c>
      <c r="E4242" t="inlineStr">
        <is>
          <t>현대EP_fast</t>
        </is>
      </c>
      <c r="F4242" t="inlineStr">
        <is>
          <t>김무현</t>
        </is>
      </c>
      <c r="G4242" t="inlineStr">
        <is>
          <t>010-2282-4845</t>
        </is>
      </c>
      <c r="H4242" t="inlineStr">
        <is>
          <t>316너6794</t>
        </is>
      </c>
      <c r="I4242" t="n">
        <v>32600000</v>
      </c>
      <c r="J4242" t="n">
        <v>0.089</v>
      </c>
      <c r="K4242" t="n">
        <v>1.76</v>
      </c>
      <c r="L4242" t="n">
        <v>0.14</v>
      </c>
      <c r="M4242" t="n">
        <v>1.62</v>
      </c>
      <c r="P4242" t="inlineStr">
        <is>
          <t>정세빈</t>
        </is>
      </c>
      <c r="Q4242" t="inlineStr">
        <is>
          <t>홈서비스 48개월</t>
        </is>
      </c>
      <c r="AB4242" t="inlineStr">
        <is>
          <t>홈서비스</t>
        </is>
      </c>
      <c r="AC4242" t="n">
        <v>573760</v>
      </c>
      <c r="AD4242" t="n">
        <v>45640</v>
      </c>
      <c r="AE4242" t="n">
        <v>528120</v>
      </c>
      <c r="AF4242" t="n">
        <v>521600</v>
      </c>
      <c r="AG4242" t="n">
        <v>44133.88</v>
      </c>
      <c r="AH4242" t="n">
        <v>477466.12</v>
      </c>
    </row>
    <row r="4243">
      <c r="A4243" t="inlineStr">
        <is>
          <t>5월</t>
        </is>
      </c>
      <c r="B4243" t="inlineStr">
        <is>
          <t>20주차</t>
        </is>
      </c>
      <c r="C4243" t="inlineStr">
        <is>
          <t>EP</t>
        </is>
      </c>
      <c r="D4243" s="28" t="n">
        <v>46155</v>
      </c>
      <c r="E4243" t="inlineStr">
        <is>
          <t>BNKEP</t>
        </is>
      </c>
      <c r="F4243" t="inlineStr">
        <is>
          <t>김형수</t>
        </is>
      </c>
      <c r="G4243" t="inlineStr">
        <is>
          <t>010-9918-8162</t>
        </is>
      </c>
      <c r="H4243" t="inlineStr">
        <is>
          <t>183부9008</t>
        </is>
      </c>
      <c r="I4243" t="n">
        <v>49300000</v>
      </c>
      <c r="J4243" t="n">
        <v>0.094</v>
      </c>
      <c r="K4243" t="n">
        <v>1.65</v>
      </c>
      <c r="L4243" t="n">
        <v>0.14</v>
      </c>
      <c r="M4243" t="n">
        <v>1.51</v>
      </c>
      <c r="P4243" t="inlineStr">
        <is>
          <t>정세빈</t>
        </is>
      </c>
      <c r="Q4243" t="inlineStr">
        <is>
          <t>홈서비스 60개월</t>
        </is>
      </c>
      <c r="AB4243" t="inlineStr">
        <is>
          <t>홈서비스</t>
        </is>
      </c>
      <c r="AC4243" t="n">
        <v>813450</v>
      </c>
      <c r="AD4243" t="n">
        <v>69020</v>
      </c>
      <c r="AE4243" t="n">
        <v>744430</v>
      </c>
      <c r="AF4243" t="n">
        <v>739500</v>
      </c>
      <c r="AG4243" t="n">
        <v>66742.34</v>
      </c>
      <c r="AH4243" t="n">
        <v>672757.66</v>
      </c>
      <c r="AI4243" t="n">
        <v>0</v>
      </c>
    </row>
    <row r="4244">
      <c r="A4244" t="inlineStr">
        <is>
          <t>5월</t>
        </is>
      </c>
      <c r="B4244" t="inlineStr">
        <is>
          <t>20주차</t>
        </is>
      </c>
      <c r="C4244" t="inlineStr">
        <is>
          <t>EP</t>
        </is>
      </c>
      <c r="D4244" s="28" t="n">
        <v>46154</v>
      </c>
      <c r="E4244" t="inlineStr">
        <is>
          <t>현대EP_fast</t>
        </is>
      </c>
      <c r="F4244" t="inlineStr">
        <is>
          <t>서현수</t>
        </is>
      </c>
      <c r="G4244" t="inlineStr">
        <is>
          <t>010-2026-0991</t>
        </is>
      </c>
      <c r="H4244" t="inlineStr">
        <is>
          <t>43보4917</t>
        </is>
      </c>
      <c r="I4244" t="n">
        <v>14500000</v>
      </c>
      <c r="J4244" t="n">
        <v>0.118</v>
      </c>
      <c r="K4244" t="n">
        <v>1.76</v>
      </c>
      <c r="L4244" t="n">
        <v>0.5</v>
      </c>
      <c r="M4244" t="n">
        <v>1.26</v>
      </c>
      <c r="P4244" t="inlineStr">
        <is>
          <t>임대경</t>
        </is>
      </c>
      <c r="AB4244" t="inlineStr">
        <is>
          <t>엔카</t>
        </is>
      </c>
      <c r="AC4244" t="n">
        <v>255200</v>
      </c>
      <c r="AD4244" t="n">
        <v>72500</v>
      </c>
      <c r="AE4244" t="n">
        <v>182700</v>
      </c>
      <c r="AF4244" t="n">
        <v>232000</v>
      </c>
      <c r="AG4244" t="n">
        <v>70107.5</v>
      </c>
      <c r="AH4244" t="n">
        <v>161892.5</v>
      </c>
      <c r="AI4244" t="n">
        <v>0</v>
      </c>
    </row>
    <row r="4245">
      <c r="A4245" t="inlineStr">
        <is>
          <t>5월</t>
        </is>
      </c>
      <c r="B4245" t="inlineStr">
        <is>
          <t>20주차</t>
        </is>
      </c>
      <c r="C4245" t="inlineStr">
        <is>
          <t>EP</t>
        </is>
      </c>
      <c r="D4245" s="28" t="n">
        <v>46155</v>
      </c>
      <c r="E4245" t="inlineStr">
        <is>
          <t>현대EP_fast</t>
        </is>
      </c>
      <c r="F4245" t="inlineStr">
        <is>
          <t>김선영</t>
        </is>
      </c>
      <c r="G4245" t="inlineStr">
        <is>
          <t>010-8608-2496</t>
        </is>
      </c>
      <c r="H4245" t="inlineStr">
        <is>
          <t>37가7413</t>
        </is>
      </c>
      <c r="I4245" t="n">
        <v>8000000</v>
      </c>
      <c r="J4245" t="n">
        <v>0.06900000000000001</v>
      </c>
      <c r="K4245" t="n">
        <v>1.76</v>
      </c>
      <c r="L4245" t="n">
        <v>0.14</v>
      </c>
      <c r="M4245" t="n">
        <v>1.62</v>
      </c>
      <c r="P4245" t="inlineStr">
        <is>
          <t>정세빈</t>
        </is>
      </c>
      <c r="Q4245" t="inlineStr">
        <is>
          <t>홈서비스 36개월</t>
        </is>
      </c>
      <c r="AB4245" t="inlineStr">
        <is>
          <t>홈서비스</t>
        </is>
      </c>
      <c r="AC4245" t="n">
        <v>140800</v>
      </c>
      <c r="AD4245" t="n">
        <v>11200</v>
      </c>
      <c r="AE4245" t="n">
        <v>129600</v>
      </c>
      <c r="AF4245" t="n">
        <v>128000</v>
      </c>
      <c r="AG4245" t="n">
        <v>10830.4</v>
      </c>
      <c r="AH4245" t="n">
        <v>117169.6</v>
      </c>
      <c r="AI4245" t="n">
        <v>0</v>
      </c>
    </row>
    <row r="4246">
      <c r="A4246" t="inlineStr">
        <is>
          <t>5월</t>
        </is>
      </c>
      <c r="B4246" t="inlineStr">
        <is>
          <t>20주차</t>
        </is>
      </c>
      <c r="C4246" t="inlineStr">
        <is>
          <t>EP</t>
        </is>
      </c>
      <c r="D4246" s="28" t="n">
        <v>46154</v>
      </c>
      <c r="E4246" t="inlineStr">
        <is>
          <t>현대EP</t>
        </is>
      </c>
      <c r="F4246" t="inlineStr">
        <is>
          <t>조연욱</t>
        </is>
      </c>
      <c r="G4246" t="inlineStr">
        <is>
          <t>010-8009-9154</t>
        </is>
      </c>
      <c r="H4246" t="inlineStr">
        <is>
          <t>68다4882</t>
        </is>
      </c>
      <c r="I4246" t="n">
        <v>11700000</v>
      </c>
      <c r="J4246" t="n">
        <v>0.08699999999999999</v>
      </c>
      <c r="K4246" t="n">
        <v>1.76</v>
      </c>
      <c r="L4246" t="n">
        <v>0.14</v>
      </c>
      <c r="M4246" t="n">
        <v>1.62</v>
      </c>
      <c r="P4246" t="inlineStr">
        <is>
          <t>김나윤</t>
        </is>
      </c>
      <c r="AB4246" t="inlineStr">
        <is>
          <t>홈서비스</t>
        </is>
      </c>
      <c r="AC4246" t="n">
        <v>205920</v>
      </c>
      <c r="AD4246" t="n">
        <v>16380</v>
      </c>
      <c r="AE4246" t="n">
        <v>189540</v>
      </c>
      <c r="AF4246" t="n">
        <v>187200</v>
      </c>
      <c r="AG4246" t="n">
        <v>15839.46</v>
      </c>
      <c r="AH4246" t="n">
        <v>171360.54</v>
      </c>
      <c r="AI4246" t="n">
        <v>0</v>
      </c>
    </row>
    <row r="4247">
      <c r="A4247" t="inlineStr">
        <is>
          <t>5월</t>
        </is>
      </c>
      <c r="B4247" t="inlineStr">
        <is>
          <t>20주차</t>
        </is>
      </c>
      <c r="C4247" t="inlineStr">
        <is>
          <t>IM</t>
        </is>
      </c>
      <c r="D4247" s="28" t="n">
        <v>46155</v>
      </c>
      <c r="E4247" t="inlineStr">
        <is>
          <t>IM캐피탈</t>
        </is>
      </c>
      <c r="F4247" t="inlineStr">
        <is>
          <t>이재훈</t>
        </is>
      </c>
      <c r="G4247" t="inlineStr">
        <is>
          <t>010-9354-2227</t>
        </is>
      </c>
      <c r="H4247" t="inlineStr">
        <is>
          <t>266모7110</t>
        </is>
      </c>
      <c r="I4247" t="n">
        <v>71500000</v>
      </c>
      <c r="J4247" t="n">
        <v>0.049</v>
      </c>
      <c r="K4247" t="n">
        <v>1.1</v>
      </c>
      <c r="L4247" t="n">
        <v>0.14</v>
      </c>
      <c r="M4247" t="n">
        <v>0.96</v>
      </c>
      <c r="P4247" t="inlineStr">
        <is>
          <t>김수연</t>
        </is>
      </c>
      <c r="Q4247" t="inlineStr">
        <is>
          <t>홈서비스 72개월</t>
        </is>
      </c>
      <c r="AB4247" t="inlineStr">
        <is>
          <t>홈서비스</t>
        </is>
      </c>
      <c r="AC4247" t="n">
        <v>786500</v>
      </c>
      <c r="AD4247" t="n">
        <v>100100</v>
      </c>
      <c r="AE4247" t="n">
        <v>686400</v>
      </c>
      <c r="AF4247" t="n">
        <v>715000</v>
      </c>
      <c r="AG4247" t="n">
        <v>96796.7</v>
      </c>
      <c r="AH4247" t="n">
        <v>618203.3</v>
      </c>
      <c r="AI4247" t="n">
        <v>0</v>
      </c>
    </row>
    <row r="4248">
      <c r="A4248" t="inlineStr">
        <is>
          <t>5월</t>
        </is>
      </c>
      <c r="B4248" t="inlineStr">
        <is>
          <t>20주차</t>
        </is>
      </c>
      <c r="C4248" t="inlineStr">
        <is>
          <t>EP</t>
        </is>
      </c>
      <c r="D4248" s="28" t="n">
        <v>46155</v>
      </c>
      <c r="E4248" t="inlineStr">
        <is>
          <t>현대EP_fast</t>
        </is>
      </c>
      <c r="F4248" t="inlineStr">
        <is>
          <t>이영현</t>
        </is>
      </c>
      <c r="G4248" t="inlineStr">
        <is>
          <t>010-4130-8776</t>
        </is>
      </c>
      <c r="H4248" t="inlineStr">
        <is>
          <t>35거7604</t>
        </is>
      </c>
      <c r="I4248" t="n">
        <v>21500000</v>
      </c>
      <c r="J4248" t="n">
        <v>0.07099999999999999</v>
      </c>
      <c r="K4248" t="n">
        <v>1.76</v>
      </c>
      <c r="L4248" t="n">
        <v>0.14</v>
      </c>
      <c r="M4248" t="n">
        <v>1.62</v>
      </c>
      <c r="P4248" t="inlineStr">
        <is>
          <t>김나윤</t>
        </is>
      </c>
      <c r="Q4248" t="inlineStr">
        <is>
          <t>홈서비스 60개월</t>
        </is>
      </c>
      <c r="AB4248" t="inlineStr">
        <is>
          <t>홈서비스</t>
        </is>
      </c>
      <c r="AC4248" t="n">
        <v>378400</v>
      </c>
      <c r="AD4248" t="n">
        <v>30100</v>
      </c>
      <c r="AE4248" t="n">
        <v>348300</v>
      </c>
      <c r="AF4248" t="n">
        <v>344000</v>
      </c>
      <c r="AG4248" t="n">
        <v>29106.7</v>
      </c>
      <c r="AH4248" t="n">
        <v>314893.3</v>
      </c>
      <c r="AI4248" t="n">
        <v>0</v>
      </c>
    </row>
    <row r="4249">
      <c r="A4249" t="inlineStr">
        <is>
          <t>5월</t>
        </is>
      </c>
      <c r="B4249" t="inlineStr">
        <is>
          <t>20주차</t>
        </is>
      </c>
      <c r="C4249" t="inlineStr">
        <is>
          <t>EP</t>
        </is>
      </c>
      <c r="D4249" s="28" t="n">
        <v>46155</v>
      </c>
      <c r="E4249" t="inlineStr">
        <is>
          <t>현대EP_fast</t>
        </is>
      </c>
      <c r="F4249" t="inlineStr">
        <is>
          <t>이대로</t>
        </is>
      </c>
      <c r="G4249" t="inlineStr">
        <is>
          <t>010-9323-4688</t>
        </is>
      </c>
      <c r="H4249" t="inlineStr">
        <is>
          <t>377우1950</t>
        </is>
      </c>
      <c r="I4249" t="n">
        <v>21500000</v>
      </c>
      <c r="J4249" t="n">
        <v>0.122</v>
      </c>
      <c r="K4249" t="n">
        <v>1.76</v>
      </c>
      <c r="L4249" t="n">
        <v>0.14</v>
      </c>
      <c r="M4249" t="n">
        <v>1.62</v>
      </c>
      <c r="P4249" t="inlineStr">
        <is>
          <t>박소현</t>
        </is>
      </c>
      <c r="Q4249" t="inlineStr">
        <is>
          <t>선상담 / 홈서비스 48개월</t>
        </is>
      </c>
      <c r="AB4249" t="inlineStr">
        <is>
          <t>홈서비스</t>
        </is>
      </c>
      <c r="AC4249" t="n">
        <v>378400</v>
      </c>
      <c r="AD4249" t="n">
        <v>30100</v>
      </c>
      <c r="AE4249" t="n">
        <v>348300</v>
      </c>
      <c r="AF4249" t="n">
        <v>344000</v>
      </c>
      <c r="AG4249" t="n">
        <v>29106.7</v>
      </c>
      <c r="AH4249" t="n">
        <v>314893.3</v>
      </c>
      <c r="AI4249" t="n">
        <v>0</v>
      </c>
    </row>
    <row r="4250">
      <c r="A4250" t="inlineStr">
        <is>
          <t>5월</t>
        </is>
      </c>
      <c r="B4250" t="inlineStr">
        <is>
          <t>20주차</t>
        </is>
      </c>
      <c r="C4250" t="inlineStr">
        <is>
          <t>HC</t>
        </is>
      </c>
      <c r="D4250" s="28" t="n">
        <v>46155</v>
      </c>
      <c r="E4250" t="inlineStr">
        <is>
          <t>하나캐피탈</t>
        </is>
      </c>
      <c r="F4250" t="inlineStr">
        <is>
          <t>조경희</t>
        </is>
      </c>
      <c r="G4250" t="inlineStr">
        <is>
          <t>010-7271-1455</t>
        </is>
      </c>
      <c r="H4250" t="inlineStr">
        <is>
          <t>151로5937</t>
        </is>
      </c>
      <c r="I4250" t="n">
        <v>23000000</v>
      </c>
      <c r="J4250" t="n">
        <v>0.059</v>
      </c>
      <c r="K4250" t="n">
        <v>2.2</v>
      </c>
      <c r="L4250" t="n">
        <v>0.14</v>
      </c>
      <c r="M4250" t="n">
        <v>2.06</v>
      </c>
      <c r="P4250" t="inlineStr">
        <is>
          <t>황채이</t>
        </is>
      </c>
      <c r="Q4250" t="inlineStr">
        <is>
          <t>홈서비스 60개월</t>
        </is>
      </c>
      <c r="AB4250" t="inlineStr">
        <is>
          <t>홈서비스</t>
        </is>
      </c>
      <c r="AC4250" t="n">
        <v>506000</v>
      </c>
      <c r="AD4250" t="n">
        <v>32200</v>
      </c>
      <c r="AE4250" t="n">
        <v>473800</v>
      </c>
      <c r="AF4250" t="n">
        <v>460000</v>
      </c>
      <c r="AG4250" t="n">
        <v>31137.4</v>
      </c>
      <c r="AH4250" t="n">
        <v>428862.6</v>
      </c>
      <c r="AI4250" t="n">
        <v>0</v>
      </c>
    </row>
    <row r="4251">
      <c r="A4251" t="inlineStr">
        <is>
          <t>5월</t>
        </is>
      </c>
      <c r="B4251" t="inlineStr">
        <is>
          <t>20주차</t>
        </is>
      </c>
      <c r="C4251" t="inlineStr">
        <is>
          <t>EP</t>
        </is>
      </c>
      <c r="D4251" s="28" t="n">
        <v>46155</v>
      </c>
      <c r="E4251" t="inlineStr">
        <is>
          <t>현대EP</t>
        </is>
      </c>
      <c r="F4251" t="inlineStr">
        <is>
          <t>고상진</t>
        </is>
      </c>
      <c r="G4251" t="inlineStr">
        <is>
          <t>010-5567-8184</t>
        </is>
      </c>
      <c r="H4251" t="inlineStr">
        <is>
          <t>117더3568</t>
        </is>
      </c>
      <c r="I4251" t="n">
        <v>42000000</v>
      </c>
      <c r="J4251" t="n">
        <v>0.06900000000000001</v>
      </c>
      <c r="K4251" t="n">
        <v>1.76</v>
      </c>
      <c r="L4251" t="n">
        <v>0.14</v>
      </c>
      <c r="M4251" t="n">
        <v>1.62</v>
      </c>
      <c r="P4251" t="inlineStr">
        <is>
          <t>김나윤</t>
        </is>
      </c>
      <c r="AB4251" t="inlineStr">
        <is>
          <t>홈서비스</t>
        </is>
      </c>
      <c r="AC4251" t="n">
        <v>739200</v>
      </c>
      <c r="AD4251" t="n">
        <v>58800</v>
      </c>
      <c r="AE4251" t="n">
        <v>680400</v>
      </c>
      <c r="AF4251" t="n">
        <v>672000</v>
      </c>
      <c r="AG4251" t="n">
        <v>56859.6</v>
      </c>
      <c r="AH4251" t="n">
        <v>615140.4</v>
      </c>
      <c r="AI4251" t="n">
        <v>0</v>
      </c>
    </row>
    <row r="4252">
      <c r="A4252" t="inlineStr">
        <is>
          <t>5월</t>
        </is>
      </c>
      <c r="B4252" t="inlineStr">
        <is>
          <t>20주차</t>
        </is>
      </c>
      <c r="C4252" t="inlineStr">
        <is>
          <t>IM</t>
        </is>
      </c>
      <c r="D4252" s="28" t="n">
        <v>46154</v>
      </c>
      <c r="E4252" t="inlineStr">
        <is>
          <t>IM캐피탈</t>
        </is>
      </c>
      <c r="F4252" t="inlineStr">
        <is>
          <t>유경모</t>
        </is>
      </c>
      <c r="G4252" t="inlineStr">
        <is>
          <t>010-4510-8888</t>
        </is>
      </c>
      <c r="H4252" t="inlineStr">
        <is>
          <t>63주0793</t>
        </is>
      </c>
      <c r="I4252" t="n">
        <v>41900000</v>
      </c>
      <c r="J4252" t="n">
        <v>0.049</v>
      </c>
      <c r="K4252" t="n">
        <v>1.1</v>
      </c>
      <c r="L4252" t="n">
        <v>0.14</v>
      </c>
      <c r="M4252" t="n">
        <v>0.96</v>
      </c>
      <c r="P4252" t="inlineStr">
        <is>
          <t>장현경</t>
        </is>
      </c>
      <c r="Q4252" t="inlineStr">
        <is>
          <t>선상담 / 홈서비스 60개월</t>
        </is>
      </c>
      <c r="AB4252" t="inlineStr">
        <is>
          <t>홈서비스</t>
        </is>
      </c>
      <c r="AC4252" t="n">
        <v>460900</v>
      </c>
      <c r="AD4252" t="n">
        <v>58660</v>
      </c>
      <c r="AE4252" t="n">
        <v>402240</v>
      </c>
      <c r="AF4252" t="n">
        <v>419000</v>
      </c>
      <c r="AG4252" t="n">
        <v>56724.22</v>
      </c>
      <c r="AH4252" t="n">
        <v>362275.78</v>
      </c>
      <c r="AI4252" t="n">
        <v>0</v>
      </c>
    </row>
    <row r="4253">
      <c r="A4253" t="inlineStr">
        <is>
          <t>5월</t>
        </is>
      </c>
      <c r="B4253" t="inlineStr">
        <is>
          <t>20주차</t>
        </is>
      </c>
      <c r="C4253" t="inlineStr">
        <is>
          <t>EP</t>
        </is>
      </c>
      <c r="D4253" s="28" t="n">
        <v>46155</v>
      </c>
      <c r="E4253" t="inlineStr">
        <is>
          <t>현대EP_fast</t>
        </is>
      </c>
      <c r="F4253" t="inlineStr">
        <is>
          <t>손영주</t>
        </is>
      </c>
      <c r="G4253" t="inlineStr">
        <is>
          <t>010-8596-5739</t>
        </is>
      </c>
      <c r="H4253" t="inlineStr">
        <is>
          <t>225노3484</t>
        </is>
      </c>
      <c r="I4253" t="n">
        <v>8900000</v>
      </c>
      <c r="J4253" t="n">
        <v>0.07099999999999999</v>
      </c>
      <c r="K4253" t="n">
        <v>1.76</v>
      </c>
      <c r="L4253" t="n">
        <v>0.14</v>
      </c>
      <c r="M4253" t="n">
        <v>1.62</v>
      </c>
      <c r="P4253" t="inlineStr">
        <is>
          <t>최형주</t>
        </is>
      </c>
      <c r="Q4253" t="inlineStr">
        <is>
          <t>홈서비스 36개월</t>
        </is>
      </c>
      <c r="AB4253" t="inlineStr">
        <is>
          <t>홈서비스</t>
        </is>
      </c>
      <c r="AC4253" t="n">
        <v>156640</v>
      </c>
      <c r="AD4253" t="n">
        <v>12460</v>
      </c>
      <c r="AE4253" t="n">
        <v>144180</v>
      </c>
      <c r="AF4253" t="n">
        <v>142400</v>
      </c>
      <c r="AG4253" t="n">
        <v>12048.82</v>
      </c>
      <c r="AH4253" t="n">
        <v>130351.18</v>
      </c>
      <c r="AI4253" t="n">
        <v>0</v>
      </c>
    </row>
    <row r="4254">
      <c r="A4254" t="inlineStr">
        <is>
          <t>5월</t>
        </is>
      </c>
      <c r="B4254" t="inlineStr">
        <is>
          <t>20주차</t>
        </is>
      </c>
      <c r="C4254" t="inlineStr">
        <is>
          <t>IM</t>
        </is>
      </c>
      <c r="D4254" s="28" t="n">
        <v>46155</v>
      </c>
      <c r="E4254" t="inlineStr">
        <is>
          <t>IM캐피탈</t>
        </is>
      </c>
      <c r="F4254" t="inlineStr">
        <is>
          <t>김성억</t>
        </is>
      </c>
      <c r="G4254" t="inlineStr">
        <is>
          <t>010-2448-3298</t>
        </is>
      </c>
      <c r="H4254" t="inlineStr">
        <is>
          <t>61두5560</t>
        </is>
      </c>
      <c r="I4254" t="n">
        <v>17500000</v>
      </c>
      <c r="J4254" t="n">
        <v>0.093</v>
      </c>
      <c r="K4254" t="n">
        <v>1.1</v>
      </c>
      <c r="L4254" t="n">
        <v>0.14</v>
      </c>
      <c r="M4254" t="n">
        <v>0.96</v>
      </c>
      <c r="P4254" t="inlineStr">
        <is>
          <t>최형주</t>
        </is>
      </c>
      <c r="Q4254" t="inlineStr">
        <is>
          <t>홈서비스 60개월</t>
        </is>
      </c>
      <c r="AB4254" t="inlineStr">
        <is>
          <t>홈서비스</t>
        </is>
      </c>
      <c r="AC4254" t="n">
        <v>192500</v>
      </c>
      <c r="AD4254" t="n">
        <v>24500</v>
      </c>
      <c r="AE4254" t="n">
        <v>168000</v>
      </c>
      <c r="AF4254" t="n">
        <v>175000</v>
      </c>
      <c r="AG4254" t="n">
        <v>23691.5</v>
      </c>
      <c r="AH4254" t="n">
        <v>151308.5</v>
      </c>
      <c r="AI4254" t="n">
        <v>0</v>
      </c>
    </row>
    <row r="4255">
      <c r="A4255" t="inlineStr">
        <is>
          <t>5월</t>
        </is>
      </c>
      <c r="B4255" t="inlineStr">
        <is>
          <t>20주차</t>
        </is>
      </c>
      <c r="C4255" t="inlineStr">
        <is>
          <t>EP</t>
        </is>
      </c>
      <c r="D4255" s="28" t="n">
        <v>46155</v>
      </c>
      <c r="E4255" t="inlineStr">
        <is>
          <t>현대EP_fast</t>
        </is>
      </c>
      <c r="F4255" t="inlineStr">
        <is>
          <t>김희중</t>
        </is>
      </c>
      <c r="G4255" t="inlineStr">
        <is>
          <t>010-2487-2130</t>
        </is>
      </c>
      <c r="H4255" t="inlineStr">
        <is>
          <t>222오9446</t>
        </is>
      </c>
      <c r="I4255" t="n">
        <v>41900000</v>
      </c>
      <c r="J4255" t="n">
        <v>0.06900000000000001</v>
      </c>
      <c r="K4255" t="n">
        <v>1.76</v>
      </c>
      <c r="L4255" t="n">
        <v>0.14</v>
      </c>
      <c r="M4255" t="n">
        <v>1.62</v>
      </c>
      <c r="P4255" t="inlineStr">
        <is>
          <t>김수연</t>
        </is>
      </c>
      <c r="Q4255" t="inlineStr">
        <is>
          <t>홈서비스 60개월</t>
        </is>
      </c>
      <c r="AB4255" t="inlineStr">
        <is>
          <t>홈서비스</t>
        </is>
      </c>
      <c r="AC4255" t="n">
        <v>737440</v>
      </c>
      <c r="AD4255" t="n">
        <v>58660</v>
      </c>
      <c r="AE4255" t="n">
        <v>678780</v>
      </c>
      <c r="AF4255" t="n">
        <v>670400</v>
      </c>
      <c r="AG4255" t="n">
        <v>56724.22</v>
      </c>
      <c r="AH4255" t="n">
        <v>613675.78</v>
      </c>
      <c r="AI4255" t="n">
        <v>0</v>
      </c>
    </row>
    <row r="4256">
      <c r="A4256" t="inlineStr">
        <is>
          <t>5월</t>
        </is>
      </c>
      <c r="B4256" t="inlineStr">
        <is>
          <t>20주차</t>
        </is>
      </c>
      <c r="C4256" t="inlineStr">
        <is>
          <t>EP</t>
        </is>
      </c>
      <c r="D4256" s="28" t="n">
        <v>46155</v>
      </c>
      <c r="E4256" t="inlineStr">
        <is>
          <t>현대EP</t>
        </is>
      </c>
      <c r="F4256" t="inlineStr">
        <is>
          <t>김성주</t>
        </is>
      </c>
      <c r="G4256" t="inlineStr">
        <is>
          <t>010-9498-6517</t>
        </is>
      </c>
      <c r="H4256" t="inlineStr">
        <is>
          <t>34라2969</t>
        </is>
      </c>
      <c r="I4256" t="n">
        <v>7500000</v>
      </c>
      <c r="J4256" t="n">
        <v>0.102</v>
      </c>
      <c r="K4256" t="n">
        <v>1.76</v>
      </c>
      <c r="L4256" t="n">
        <v>0.14</v>
      </c>
      <c r="M4256" t="n">
        <v>1.62</v>
      </c>
      <c r="P4256" t="inlineStr">
        <is>
          <t>김수연</t>
        </is>
      </c>
      <c r="AB4256" t="inlineStr">
        <is>
          <t>홈서비스</t>
        </is>
      </c>
      <c r="AC4256" t="n">
        <v>132000</v>
      </c>
      <c r="AD4256" t="n">
        <v>10500</v>
      </c>
      <c r="AE4256" t="n">
        <v>121500</v>
      </c>
      <c r="AF4256" t="n">
        <v>120000</v>
      </c>
      <c r="AG4256" t="n">
        <v>10153.5</v>
      </c>
      <c r="AH4256" t="n">
        <v>109846.5</v>
      </c>
      <c r="AI4256" t="n">
        <v>0</v>
      </c>
    </row>
    <row r="4257">
      <c r="A4257" t="inlineStr">
        <is>
          <t>5월</t>
        </is>
      </c>
      <c r="B4257" t="inlineStr">
        <is>
          <t>20주차</t>
        </is>
      </c>
      <c r="C4257" t="inlineStr">
        <is>
          <t>EP</t>
        </is>
      </c>
      <c r="D4257" s="28" t="n">
        <v>46155</v>
      </c>
      <c r="E4257" t="inlineStr">
        <is>
          <t>현대EP</t>
        </is>
      </c>
      <c r="F4257" t="inlineStr">
        <is>
          <t>김연희</t>
        </is>
      </c>
      <c r="G4257" t="inlineStr">
        <is>
          <t>010-3162-2304</t>
        </is>
      </c>
      <c r="H4257" t="inlineStr">
        <is>
          <t>34가2784</t>
        </is>
      </c>
      <c r="I4257" t="n">
        <v>17500000</v>
      </c>
      <c r="J4257" t="n">
        <v>0.08699999999999999</v>
      </c>
      <c r="K4257" t="n">
        <v>1.76</v>
      </c>
      <c r="L4257" t="n">
        <v>0.14</v>
      </c>
      <c r="M4257" t="n">
        <v>1.62</v>
      </c>
      <c r="P4257" t="inlineStr">
        <is>
          <t>황채이</t>
        </is>
      </c>
      <c r="AB4257" t="inlineStr">
        <is>
          <t>홈서비스</t>
        </is>
      </c>
      <c r="AC4257" t="n">
        <v>308000</v>
      </c>
      <c r="AD4257" t="n">
        <v>24500</v>
      </c>
      <c r="AE4257" t="n">
        <v>283500</v>
      </c>
      <c r="AF4257" t="n">
        <v>280000</v>
      </c>
      <c r="AG4257" t="n">
        <v>23691.5</v>
      </c>
      <c r="AH4257" t="n">
        <v>256308.5</v>
      </c>
    </row>
    <row r="4258">
      <c r="A4258" t="inlineStr">
        <is>
          <t>5월</t>
        </is>
      </c>
      <c r="B4258" t="inlineStr">
        <is>
          <t>20주차</t>
        </is>
      </c>
      <c r="C4258" t="inlineStr">
        <is>
          <t>EP</t>
        </is>
      </c>
      <c r="D4258" s="28" t="n">
        <v>46155</v>
      </c>
      <c r="E4258" t="inlineStr">
        <is>
          <t>현대EP</t>
        </is>
      </c>
      <c r="F4258" t="inlineStr">
        <is>
          <t>이광욱</t>
        </is>
      </c>
      <c r="G4258" t="inlineStr">
        <is>
          <t>010-3139-8976</t>
        </is>
      </c>
      <c r="H4258" t="inlineStr">
        <is>
          <t>62나6847</t>
        </is>
      </c>
      <c r="I4258" t="n">
        <v>17300000</v>
      </c>
      <c r="J4258" t="n">
        <v>0.105</v>
      </c>
      <c r="K4258" t="n">
        <v>1.76</v>
      </c>
      <c r="L4258" t="n">
        <v>0.14</v>
      </c>
      <c r="M4258" t="n">
        <v>1.62</v>
      </c>
      <c r="P4258" t="inlineStr">
        <is>
          <t>최형주</t>
        </is>
      </c>
      <c r="AB4258" t="inlineStr">
        <is>
          <t>홈서비스</t>
        </is>
      </c>
      <c r="AC4258" t="n">
        <v>304480</v>
      </c>
      <c r="AD4258" t="n">
        <v>24220</v>
      </c>
      <c r="AE4258" t="n">
        <v>280260</v>
      </c>
      <c r="AF4258" t="n">
        <v>276800</v>
      </c>
      <c r="AG4258" t="n">
        <v>23420.74</v>
      </c>
      <c r="AH4258" t="n">
        <v>253379.26</v>
      </c>
    </row>
    <row r="4259">
      <c r="A4259" t="inlineStr">
        <is>
          <t>5월</t>
        </is>
      </c>
      <c r="B4259" t="inlineStr">
        <is>
          <t>20주차</t>
        </is>
      </c>
      <c r="C4259" t="inlineStr">
        <is>
          <t>EP</t>
        </is>
      </c>
      <c r="D4259" s="28" t="n">
        <v>46155</v>
      </c>
      <c r="E4259" t="inlineStr">
        <is>
          <t>현대EP</t>
        </is>
      </c>
      <c r="F4259" t="inlineStr">
        <is>
          <t>정현준</t>
        </is>
      </c>
      <c r="G4259" t="inlineStr">
        <is>
          <t>010-7129-6903</t>
        </is>
      </c>
      <c r="H4259" t="inlineStr">
        <is>
          <t>10나7617</t>
        </is>
      </c>
      <c r="I4259" t="n">
        <v>38000000</v>
      </c>
      <c r="J4259" t="n">
        <v>0.089</v>
      </c>
      <c r="K4259" t="n">
        <v>1.76</v>
      </c>
      <c r="L4259" t="n">
        <v>0.14</v>
      </c>
      <c r="M4259" t="n">
        <v>1.62</v>
      </c>
      <c r="P4259" t="inlineStr">
        <is>
          <t>황채이</t>
        </is>
      </c>
      <c r="AB4259" t="inlineStr">
        <is>
          <t>홈서비스</t>
        </is>
      </c>
      <c r="AC4259" t="n">
        <v>668800</v>
      </c>
      <c r="AD4259" t="n">
        <v>53200</v>
      </c>
      <c r="AE4259" t="n">
        <v>615600</v>
      </c>
      <c r="AF4259" t="n">
        <v>608000</v>
      </c>
      <c r="AG4259" t="n">
        <v>51444.4</v>
      </c>
      <c r="AH4259" t="n">
        <v>556555.6</v>
      </c>
    </row>
    <row r="4260">
      <c r="A4260" t="inlineStr">
        <is>
          <t>5월</t>
        </is>
      </c>
      <c r="B4260" t="inlineStr">
        <is>
          <t>20주차</t>
        </is>
      </c>
      <c r="C4260" t="inlineStr">
        <is>
          <t>IM</t>
        </is>
      </c>
      <c r="D4260" s="28" t="n">
        <v>46155</v>
      </c>
      <c r="E4260" t="inlineStr">
        <is>
          <t>IM캐피탈</t>
        </is>
      </c>
      <c r="F4260" t="inlineStr">
        <is>
          <t>정지혁</t>
        </is>
      </c>
      <c r="G4260" t="inlineStr">
        <is>
          <t>010-7300-5596</t>
        </is>
      </c>
      <c r="H4260" t="inlineStr">
        <is>
          <t>191너5412</t>
        </is>
      </c>
      <c r="I4260" t="n">
        <v>40500000</v>
      </c>
      <c r="J4260" t="n">
        <v>0.06900000000000001</v>
      </c>
      <c r="K4260" t="n">
        <v>1.1</v>
      </c>
      <c r="L4260" t="n">
        <v>0.4</v>
      </c>
      <c r="M4260" t="n">
        <v>0.7</v>
      </c>
      <c r="P4260" t="inlineStr">
        <is>
          <t>최혁</t>
        </is>
      </c>
      <c r="Q4260" t="inlineStr">
        <is>
          <t>부대비용진행</t>
        </is>
      </c>
      <c r="AB4260" t="inlineStr">
        <is>
          <t>엔카</t>
        </is>
      </c>
      <c r="AC4260" t="n">
        <v>445500</v>
      </c>
      <c r="AD4260" t="n">
        <v>162000</v>
      </c>
      <c r="AE4260" t="n">
        <v>283500</v>
      </c>
      <c r="AF4260" t="n">
        <v>405000</v>
      </c>
      <c r="AG4260" t="n">
        <v>156654</v>
      </c>
      <c r="AH4260" t="n">
        <v>248346</v>
      </c>
      <c r="AI4260" t="n">
        <v>0</v>
      </c>
    </row>
    <row r="4261">
      <c r="A4261" t="inlineStr">
        <is>
          <t>5월</t>
        </is>
      </c>
      <c r="B4261" t="inlineStr">
        <is>
          <t>20주차</t>
        </is>
      </c>
      <c r="C4261" t="inlineStr">
        <is>
          <t>IM</t>
        </is>
      </c>
      <c r="D4261" s="28" t="n">
        <v>46153</v>
      </c>
      <c r="E4261" t="inlineStr">
        <is>
          <t>IM캐피탈</t>
        </is>
      </c>
      <c r="F4261" t="inlineStr">
        <is>
          <t>신재환</t>
        </is>
      </c>
      <c r="G4261" t="inlineStr">
        <is>
          <t>010-4932-3468</t>
        </is>
      </c>
      <c r="H4261" t="inlineStr">
        <is>
          <t>339버1259</t>
        </is>
      </c>
      <c r="I4261" t="n">
        <v>35000000</v>
      </c>
      <c r="J4261" t="n">
        <v>0.06900000000000001</v>
      </c>
      <c r="K4261" t="n">
        <v>1.1</v>
      </c>
      <c r="L4261" t="n">
        <v>0.4</v>
      </c>
      <c r="M4261" t="n">
        <v>0.7</v>
      </c>
      <c r="P4261" t="inlineStr">
        <is>
          <t>박보람</t>
        </is>
      </c>
      <c r="Q4261" t="inlineStr">
        <is>
          <t>부대비용 추가진행</t>
        </is>
      </c>
      <c r="AB4261" t="inlineStr">
        <is>
          <t>엔카</t>
        </is>
      </c>
      <c r="AC4261" t="n">
        <v>385000</v>
      </c>
      <c r="AD4261" t="n">
        <v>140000</v>
      </c>
      <c r="AE4261" t="n">
        <v>245000</v>
      </c>
      <c r="AF4261" t="n">
        <v>350000</v>
      </c>
      <c r="AG4261" t="n">
        <v>135380</v>
      </c>
      <c r="AH4261" t="n">
        <v>214620</v>
      </c>
      <c r="AI4261" t="n">
        <v>0</v>
      </c>
    </row>
    <row r="4262">
      <c r="A4262" t="inlineStr">
        <is>
          <t>5월</t>
        </is>
      </c>
      <c r="B4262" t="inlineStr">
        <is>
          <t>20주차</t>
        </is>
      </c>
      <c r="C4262" t="inlineStr">
        <is>
          <t>IM</t>
        </is>
      </c>
      <c r="D4262" s="28" t="n">
        <v>46155</v>
      </c>
      <c r="E4262" t="inlineStr">
        <is>
          <t>IM캐피탈</t>
        </is>
      </c>
      <c r="F4262" t="inlineStr">
        <is>
          <t>천희원</t>
        </is>
      </c>
      <c r="G4262" t="inlineStr">
        <is>
          <t>010-9918-0142</t>
        </is>
      </c>
      <c r="H4262" t="inlineStr">
        <is>
          <t>38조0969</t>
        </is>
      </c>
      <c r="I4262" t="n">
        <v>8800000</v>
      </c>
      <c r="J4262" t="n">
        <v>0.067</v>
      </c>
      <c r="K4262" t="n">
        <v>1.1</v>
      </c>
      <c r="L4262" t="n">
        <v>0.14</v>
      </c>
      <c r="M4262" t="n">
        <v>0.96</v>
      </c>
      <c r="P4262" t="inlineStr">
        <is>
          <t>박보람</t>
        </is>
      </c>
      <c r="Q4262" t="inlineStr">
        <is>
          <t>선상담 / 홈서비스 48개월</t>
        </is>
      </c>
      <c r="AB4262" t="inlineStr">
        <is>
          <t>홈서비스</t>
        </is>
      </c>
      <c r="AC4262" t="n">
        <v>96800</v>
      </c>
      <c r="AD4262" t="n">
        <v>12320</v>
      </c>
      <c r="AE4262" t="n">
        <v>84480</v>
      </c>
      <c r="AF4262" t="n">
        <v>88000</v>
      </c>
      <c r="AG4262" t="n">
        <v>11913.44</v>
      </c>
      <c r="AH4262" t="n">
        <v>76086.56</v>
      </c>
      <c r="AI4262" t="n">
        <v>0</v>
      </c>
    </row>
    <row r="4263">
      <c r="A4263" t="inlineStr">
        <is>
          <t>5월</t>
        </is>
      </c>
      <c r="B4263" t="inlineStr">
        <is>
          <t>20주차</t>
        </is>
      </c>
      <c r="C4263" t="inlineStr">
        <is>
          <t>IM</t>
        </is>
      </c>
      <c r="D4263" s="28" t="n">
        <v>46154</v>
      </c>
      <c r="E4263" t="inlineStr">
        <is>
          <t>IM캐피탈</t>
        </is>
      </c>
      <c r="F4263" t="inlineStr">
        <is>
          <t>정윤혜</t>
        </is>
      </c>
      <c r="G4263" t="inlineStr">
        <is>
          <t>010-2720-5757</t>
        </is>
      </c>
      <c r="H4263" t="inlineStr">
        <is>
          <t>282로5367</t>
        </is>
      </c>
      <c r="I4263" t="n">
        <v>38000000</v>
      </c>
      <c r="J4263" t="n">
        <v>0.049</v>
      </c>
      <c r="K4263" t="n">
        <v>1.1</v>
      </c>
      <c r="L4263" t="n">
        <v>0.4</v>
      </c>
      <c r="M4263" t="n">
        <v>0.7</v>
      </c>
      <c r="P4263" t="inlineStr">
        <is>
          <t>박현민</t>
        </is>
      </c>
      <c r="AB4263" t="inlineStr">
        <is>
          <t>엔카</t>
        </is>
      </c>
      <c r="AC4263" t="n">
        <v>418000</v>
      </c>
      <c r="AD4263" t="n">
        <v>152000</v>
      </c>
      <c r="AE4263" t="n">
        <v>266000</v>
      </c>
      <c r="AF4263" t="n">
        <v>380000</v>
      </c>
      <c r="AG4263" t="n">
        <v>146984</v>
      </c>
      <c r="AH4263" t="n">
        <v>233016</v>
      </c>
      <c r="AI4263" t="n">
        <v>0</v>
      </c>
    </row>
    <row r="4264">
      <c r="A4264" t="inlineStr">
        <is>
          <t>5월</t>
        </is>
      </c>
      <c r="B4264" t="inlineStr">
        <is>
          <t>20주차</t>
        </is>
      </c>
      <c r="C4264" t="inlineStr">
        <is>
          <t>IM</t>
        </is>
      </c>
      <c r="D4264" s="28" t="n">
        <v>46155</v>
      </c>
      <c r="E4264" t="inlineStr">
        <is>
          <t>IM캐피탈</t>
        </is>
      </c>
      <c r="F4264" t="inlineStr">
        <is>
          <t>이계원</t>
        </is>
      </c>
      <c r="G4264" t="inlineStr">
        <is>
          <t>010-9352-6442</t>
        </is>
      </c>
      <c r="H4264" t="inlineStr">
        <is>
          <t>399가1643</t>
        </is>
      </c>
      <c r="I4264" t="n">
        <v>31600000</v>
      </c>
      <c r="J4264" t="n">
        <v>0.049</v>
      </c>
      <c r="K4264" t="n">
        <v>1.1</v>
      </c>
      <c r="L4264" t="n">
        <v>0.5</v>
      </c>
      <c r="M4264" t="n">
        <v>0.6</v>
      </c>
      <c r="P4264" t="inlineStr">
        <is>
          <t>임대경</t>
        </is>
      </c>
      <c r="AB4264" t="inlineStr">
        <is>
          <t>엔카</t>
        </is>
      </c>
      <c r="AC4264" t="n">
        <v>347600</v>
      </c>
      <c r="AD4264" t="n">
        <v>158000</v>
      </c>
      <c r="AE4264" t="n">
        <v>189600</v>
      </c>
      <c r="AF4264" t="n">
        <v>316000</v>
      </c>
      <c r="AG4264" t="n">
        <v>152786</v>
      </c>
      <c r="AH4264" t="n">
        <v>163214</v>
      </c>
      <c r="AI4264" t="n">
        <v>0</v>
      </c>
    </row>
    <row r="4265">
      <c r="A4265" t="inlineStr">
        <is>
          <t>5월</t>
        </is>
      </c>
      <c r="B4265" t="inlineStr">
        <is>
          <t>20주차</t>
        </is>
      </c>
      <c r="C4265" t="inlineStr">
        <is>
          <t>EP</t>
        </is>
      </c>
      <c r="D4265" s="28" t="n">
        <v>46155</v>
      </c>
      <c r="E4265" t="inlineStr">
        <is>
          <t>현대EP</t>
        </is>
      </c>
      <c r="F4265" t="inlineStr">
        <is>
          <t>장해주</t>
        </is>
      </c>
      <c r="G4265" t="inlineStr">
        <is>
          <t>010-9244-8997</t>
        </is>
      </c>
      <c r="H4265" t="inlineStr">
        <is>
          <t>43거7955</t>
        </is>
      </c>
      <c r="I4265" t="n">
        <v>3000000</v>
      </c>
      <c r="J4265" t="n">
        <v>0.08500000000000001</v>
      </c>
      <c r="K4265" t="n">
        <v>1.76</v>
      </c>
      <c r="L4265" t="n">
        <v>0.14</v>
      </c>
      <c r="M4265" t="n">
        <v>1.62</v>
      </c>
      <c r="P4265" t="inlineStr">
        <is>
          <t>김수연</t>
        </is>
      </c>
      <c r="AB4265" t="inlineStr">
        <is>
          <t>홈서비스</t>
        </is>
      </c>
      <c r="AC4265" t="n">
        <v>52800</v>
      </c>
      <c r="AD4265" t="n">
        <v>4200</v>
      </c>
      <c r="AE4265" t="n">
        <v>48600</v>
      </c>
      <c r="AF4265" t="n">
        <v>48000</v>
      </c>
      <c r="AG4265" t="n">
        <v>4061.4</v>
      </c>
      <c r="AH4265" t="n">
        <v>43938.6</v>
      </c>
      <c r="AI4265" t="n">
        <v>0</v>
      </c>
    </row>
    <row r="4266">
      <c r="A4266" t="inlineStr">
        <is>
          <t>5월</t>
        </is>
      </c>
      <c r="B4266" t="inlineStr">
        <is>
          <t>20주차</t>
        </is>
      </c>
      <c r="C4266" t="inlineStr">
        <is>
          <t>HC</t>
        </is>
      </c>
      <c r="D4266" s="28" t="n">
        <v>46155</v>
      </c>
      <c r="E4266" t="inlineStr">
        <is>
          <t>하나캐피탈</t>
        </is>
      </c>
      <c r="F4266" t="inlineStr">
        <is>
          <t>이예슬</t>
        </is>
      </c>
      <c r="G4266" t="inlineStr">
        <is>
          <t>010-7935-9397</t>
        </is>
      </c>
      <c r="H4266" t="inlineStr">
        <is>
          <t>19구6564</t>
        </is>
      </c>
      <c r="I4266" t="n">
        <v>39900000</v>
      </c>
      <c r="J4266" t="n">
        <v>0.099</v>
      </c>
      <c r="K4266" t="n">
        <v>2.2</v>
      </c>
      <c r="L4266" t="n">
        <v>0.5</v>
      </c>
      <c r="M4266" t="n">
        <v>1.7</v>
      </c>
      <c r="P4266" t="inlineStr">
        <is>
          <t>임대경</t>
        </is>
      </c>
      <c r="AB4266" t="inlineStr">
        <is>
          <t>엔카</t>
        </is>
      </c>
      <c r="AC4266" t="n">
        <v>877800</v>
      </c>
      <c r="AD4266" t="n">
        <v>199500</v>
      </c>
      <c r="AE4266" t="n">
        <v>678300</v>
      </c>
      <c r="AF4266" t="n">
        <v>798000</v>
      </c>
      <c r="AG4266" t="n">
        <v>192916.5</v>
      </c>
      <c r="AH4266" t="n">
        <v>605083.5</v>
      </c>
      <c r="AI4266" t="n">
        <v>0</v>
      </c>
    </row>
    <row r="4267">
      <c r="A4267" t="inlineStr">
        <is>
          <t>5월</t>
        </is>
      </c>
      <c r="B4267" t="inlineStr">
        <is>
          <t>20주차</t>
        </is>
      </c>
      <c r="C4267" t="inlineStr">
        <is>
          <t>EP</t>
        </is>
      </c>
      <c r="D4267" s="28" t="n">
        <v>46155</v>
      </c>
      <c r="E4267" t="inlineStr">
        <is>
          <t>BNKEP</t>
        </is>
      </c>
      <c r="F4267" t="inlineStr">
        <is>
          <t>이정환</t>
        </is>
      </c>
      <c r="G4267" t="inlineStr">
        <is>
          <t>010-7768-3043</t>
        </is>
      </c>
      <c r="H4267" t="inlineStr">
        <is>
          <t>264어3042</t>
        </is>
      </c>
      <c r="I4267" t="n">
        <v>23900000</v>
      </c>
      <c r="J4267" t="n">
        <v>0.067</v>
      </c>
      <c r="K4267" t="n">
        <v>1.65</v>
      </c>
      <c r="L4267" t="n">
        <v>0.14</v>
      </c>
      <c r="M4267" t="n">
        <v>1.51</v>
      </c>
      <c r="P4267" t="inlineStr">
        <is>
          <t>정세빈</t>
        </is>
      </c>
      <c r="Q4267" t="inlineStr">
        <is>
          <t>홈서비스 60개월</t>
        </is>
      </c>
      <c r="AB4267" t="inlineStr">
        <is>
          <t>홈서비스</t>
        </is>
      </c>
      <c r="AC4267" t="n">
        <v>394350</v>
      </c>
      <c r="AD4267" t="n">
        <v>33460</v>
      </c>
      <c r="AE4267" t="n">
        <v>360890</v>
      </c>
      <c r="AF4267" t="n">
        <v>358500</v>
      </c>
      <c r="AG4267" t="n">
        <v>32355.82</v>
      </c>
      <c r="AH4267" t="n">
        <v>326144.18</v>
      </c>
      <c r="AI4267" t="n">
        <v>0</v>
      </c>
    </row>
    <row r="4268">
      <c r="A4268" t="inlineStr">
        <is>
          <t>5월</t>
        </is>
      </c>
      <c r="B4268" t="inlineStr">
        <is>
          <t>20주차</t>
        </is>
      </c>
      <c r="C4268" t="inlineStr">
        <is>
          <t>EP</t>
        </is>
      </c>
      <c r="D4268" s="28" t="n">
        <v>46155</v>
      </c>
      <c r="E4268" t="inlineStr">
        <is>
          <t>현대EP</t>
        </is>
      </c>
      <c r="F4268" t="inlineStr">
        <is>
          <t>고민수</t>
        </is>
      </c>
      <c r="G4268" t="inlineStr">
        <is>
          <t>010-8885-5474</t>
        </is>
      </c>
      <c r="H4268" t="inlineStr">
        <is>
          <t>114마4989</t>
        </is>
      </c>
      <c r="I4268" t="n">
        <v>19800000</v>
      </c>
      <c r="J4268" t="n">
        <v>0.06900000000000001</v>
      </c>
      <c r="K4268" t="n">
        <v>1.76</v>
      </c>
      <c r="L4268" t="n">
        <v>0.14</v>
      </c>
      <c r="M4268" t="n">
        <v>1.62</v>
      </c>
      <c r="P4268" t="inlineStr">
        <is>
          <t>정세빈</t>
        </is>
      </c>
      <c r="AB4268" t="inlineStr">
        <is>
          <t>홈서비스</t>
        </is>
      </c>
      <c r="AC4268" t="n">
        <v>348480</v>
      </c>
      <c r="AD4268" t="n">
        <v>27720</v>
      </c>
      <c r="AE4268" t="n">
        <v>320760</v>
      </c>
      <c r="AF4268" t="n">
        <v>316800</v>
      </c>
      <c r="AG4268" t="n">
        <v>26805.24</v>
      </c>
      <c r="AH4268" t="n">
        <v>289994.76</v>
      </c>
    </row>
    <row r="4269">
      <c r="A4269" t="inlineStr">
        <is>
          <t>5월</t>
        </is>
      </c>
      <c r="B4269" t="inlineStr">
        <is>
          <t>20주차</t>
        </is>
      </c>
      <c r="C4269" t="inlineStr">
        <is>
          <t>IM</t>
        </is>
      </c>
      <c r="D4269" s="28" t="n">
        <v>46156</v>
      </c>
      <c r="E4269" t="inlineStr">
        <is>
          <t>IM캐피탈</t>
        </is>
      </c>
      <c r="F4269" t="inlineStr">
        <is>
          <t>이동민</t>
        </is>
      </c>
      <c r="G4269" t="inlineStr">
        <is>
          <t>010-5303-6358</t>
        </is>
      </c>
      <c r="H4269" t="inlineStr">
        <is>
          <t>306나8572</t>
        </is>
      </c>
      <c r="I4269" t="n">
        <v>20000000</v>
      </c>
      <c r="J4269" t="n">
        <v>0.049</v>
      </c>
      <c r="K4269" t="n">
        <v>1.1</v>
      </c>
      <c r="L4269" t="n">
        <v>0.14</v>
      </c>
      <c r="M4269" t="n">
        <v>0.96</v>
      </c>
      <c r="P4269" t="inlineStr">
        <is>
          <t>정세빈</t>
        </is>
      </c>
      <c r="Q4269" t="inlineStr">
        <is>
          <t>홈서비스 72개월</t>
        </is>
      </c>
      <c r="AB4269" t="inlineStr">
        <is>
          <t>홈서비스</t>
        </is>
      </c>
      <c r="AC4269" t="n">
        <v>220000</v>
      </c>
      <c r="AD4269" t="n">
        <v>28000</v>
      </c>
      <c r="AE4269" t="n">
        <v>192000</v>
      </c>
      <c r="AF4269" t="n">
        <v>200000</v>
      </c>
      <c r="AG4269" t="n">
        <v>27076</v>
      </c>
      <c r="AH4269" t="n">
        <v>172924</v>
      </c>
      <c r="AI4269" t="n">
        <v>0</v>
      </c>
    </row>
    <row r="4270">
      <c r="A4270" t="inlineStr">
        <is>
          <t>5월</t>
        </is>
      </c>
      <c r="B4270" t="inlineStr">
        <is>
          <t>20주차</t>
        </is>
      </c>
      <c r="C4270" t="inlineStr">
        <is>
          <t>EP</t>
        </is>
      </c>
      <c r="D4270" s="28" t="n">
        <v>46155</v>
      </c>
      <c r="E4270" t="inlineStr">
        <is>
          <t>제이비EP</t>
        </is>
      </c>
      <c r="F4270" t="inlineStr">
        <is>
          <t>강민준</t>
        </is>
      </c>
      <c r="G4270" t="inlineStr">
        <is>
          <t>010-7109-7403</t>
        </is>
      </c>
      <c r="H4270" t="inlineStr">
        <is>
          <t>243너1349</t>
        </is>
      </c>
      <c r="I4270" t="n">
        <v>46400000</v>
      </c>
      <c r="J4270" t="n">
        <v>0.112</v>
      </c>
      <c r="K4270" t="n">
        <v>1.65</v>
      </c>
      <c r="L4270" t="n">
        <v>0.4</v>
      </c>
      <c r="M4270" t="n">
        <v>1.25</v>
      </c>
      <c r="P4270" t="inlineStr">
        <is>
          <t>장현경</t>
        </is>
      </c>
      <c r="AB4270" t="inlineStr">
        <is>
          <t>엔카</t>
        </is>
      </c>
      <c r="AC4270" t="n">
        <v>765600</v>
      </c>
      <c r="AD4270" t="n">
        <v>185600</v>
      </c>
      <c r="AE4270" t="n">
        <v>580000</v>
      </c>
      <c r="AF4270" t="n">
        <v>696000</v>
      </c>
      <c r="AG4270" t="n">
        <v>179475.2</v>
      </c>
      <c r="AH4270" t="n">
        <v>516524.8</v>
      </c>
      <c r="AI4270" t="n">
        <v>0</v>
      </c>
    </row>
    <row r="4271">
      <c r="A4271" t="inlineStr">
        <is>
          <t>5월</t>
        </is>
      </c>
      <c r="B4271" t="inlineStr">
        <is>
          <t>20주차</t>
        </is>
      </c>
      <c r="C4271" t="inlineStr">
        <is>
          <t>EP</t>
        </is>
      </c>
      <c r="D4271" s="28" t="n">
        <v>46155</v>
      </c>
      <c r="E4271" t="inlineStr">
        <is>
          <t>현대EP</t>
        </is>
      </c>
      <c r="F4271" t="inlineStr">
        <is>
          <t>정동수</t>
        </is>
      </c>
      <c r="G4271" t="inlineStr">
        <is>
          <t>010-3990-4225</t>
        </is>
      </c>
      <c r="H4271" t="inlineStr">
        <is>
          <t>60고0547</t>
        </is>
      </c>
      <c r="I4271" t="n">
        <v>9000000</v>
      </c>
      <c r="J4271" t="n">
        <v>0.089</v>
      </c>
      <c r="K4271" t="n">
        <v>1.76</v>
      </c>
      <c r="L4271" t="n">
        <v>0.14</v>
      </c>
      <c r="M4271" t="n">
        <v>1.62</v>
      </c>
      <c r="P4271" t="inlineStr">
        <is>
          <t>김수연</t>
        </is>
      </c>
      <c r="AB4271" t="inlineStr">
        <is>
          <t>홈서비스</t>
        </is>
      </c>
      <c r="AC4271" t="n">
        <v>158400</v>
      </c>
      <c r="AD4271" t="n">
        <v>12600</v>
      </c>
      <c r="AE4271" t="n">
        <v>145800</v>
      </c>
      <c r="AF4271" t="n">
        <v>144000</v>
      </c>
      <c r="AG4271" t="n">
        <v>12184.2</v>
      </c>
      <c r="AH4271" t="n">
        <v>131815.8</v>
      </c>
      <c r="AI4271" t="n">
        <v>0</v>
      </c>
    </row>
    <row r="4272">
      <c r="A4272" t="inlineStr">
        <is>
          <t>5월</t>
        </is>
      </c>
      <c r="B4272" t="inlineStr">
        <is>
          <t>20주차</t>
        </is>
      </c>
      <c r="C4272" t="inlineStr">
        <is>
          <t>EP</t>
        </is>
      </c>
      <c r="D4272" s="28" t="n">
        <v>46155</v>
      </c>
      <c r="E4272" t="inlineStr">
        <is>
          <t>현대EP</t>
        </is>
      </c>
      <c r="F4272" t="inlineStr">
        <is>
          <t>송기섭</t>
        </is>
      </c>
      <c r="G4272" t="inlineStr">
        <is>
          <t>010-8878-8278</t>
        </is>
      </c>
      <c r="H4272" t="inlineStr">
        <is>
          <t>24나4244</t>
        </is>
      </c>
      <c r="I4272" t="n">
        <v>7000000</v>
      </c>
      <c r="J4272" t="n">
        <v>0.095</v>
      </c>
      <c r="K4272" t="n">
        <v>1.76</v>
      </c>
      <c r="L4272" t="n">
        <v>0.14</v>
      </c>
      <c r="M4272" t="n">
        <v>1.62</v>
      </c>
      <c r="P4272" t="inlineStr">
        <is>
          <t>장현경</t>
        </is>
      </c>
      <c r="AB4272" t="inlineStr">
        <is>
          <t>홈서비스</t>
        </is>
      </c>
      <c r="AC4272" t="n">
        <v>123200</v>
      </c>
      <c r="AD4272" t="n">
        <v>9800</v>
      </c>
      <c r="AE4272" t="n">
        <v>113400</v>
      </c>
      <c r="AF4272" t="n">
        <v>112000</v>
      </c>
      <c r="AG4272" t="n">
        <v>9476.6</v>
      </c>
      <c r="AH4272" t="n">
        <v>102523.4</v>
      </c>
    </row>
    <row r="4273">
      <c r="A4273" t="inlineStr">
        <is>
          <t>5월</t>
        </is>
      </c>
      <c r="B4273" t="inlineStr">
        <is>
          <t>20주차</t>
        </is>
      </c>
      <c r="C4273" t="inlineStr">
        <is>
          <t>EP</t>
        </is>
      </c>
      <c r="D4273" s="28" t="n">
        <v>46155</v>
      </c>
      <c r="E4273" t="inlineStr">
        <is>
          <t>제이비EP</t>
        </is>
      </c>
      <c r="F4273" t="inlineStr">
        <is>
          <t>장민혁</t>
        </is>
      </c>
      <c r="G4273" t="inlineStr">
        <is>
          <t>010-8191-8129</t>
        </is>
      </c>
      <c r="H4273" t="inlineStr">
        <is>
          <t>35수5833</t>
        </is>
      </c>
      <c r="I4273" t="n">
        <v>55900000</v>
      </c>
      <c r="J4273" t="n">
        <v>0.063</v>
      </c>
      <c r="K4273" t="n">
        <v>1.65</v>
      </c>
      <c r="L4273" t="n">
        <v>0.4</v>
      </c>
      <c r="M4273" t="n">
        <v>1.25</v>
      </c>
      <c r="P4273" t="inlineStr">
        <is>
          <t>최혁</t>
        </is>
      </c>
      <c r="AB4273" t="inlineStr">
        <is>
          <t>엔카</t>
        </is>
      </c>
      <c r="AC4273" t="n">
        <v>922350</v>
      </c>
      <c r="AD4273" t="n">
        <v>223600</v>
      </c>
      <c r="AE4273" t="n">
        <v>698750</v>
      </c>
      <c r="AF4273" t="n">
        <v>838500</v>
      </c>
      <c r="AG4273" t="n">
        <v>216221.2</v>
      </c>
      <c r="AH4273" t="n">
        <v>622278.8</v>
      </c>
      <c r="AI4273" t="n">
        <v>0</v>
      </c>
    </row>
    <row r="4274">
      <c r="A4274" t="inlineStr">
        <is>
          <t>5월</t>
        </is>
      </c>
      <c r="B4274" t="inlineStr">
        <is>
          <t>20주차</t>
        </is>
      </c>
      <c r="C4274" t="inlineStr">
        <is>
          <t>IM</t>
        </is>
      </c>
      <c r="D4274" s="28" t="n">
        <v>46155</v>
      </c>
      <c r="E4274" t="inlineStr">
        <is>
          <t>IM캐피탈</t>
        </is>
      </c>
      <c r="F4274" t="inlineStr">
        <is>
          <t>정의철</t>
        </is>
      </c>
      <c r="G4274" t="inlineStr">
        <is>
          <t>010-6334-6556</t>
        </is>
      </c>
      <c r="H4274" t="inlineStr">
        <is>
          <t>349마8909</t>
        </is>
      </c>
      <c r="I4274" t="n">
        <v>11000000</v>
      </c>
      <c r="J4274" t="n">
        <v>0.049</v>
      </c>
      <c r="K4274" t="n">
        <v>1.1</v>
      </c>
      <c r="L4274" t="n">
        <v>0.4</v>
      </c>
      <c r="M4274" t="n">
        <v>0.7</v>
      </c>
      <c r="P4274" t="inlineStr">
        <is>
          <t>최혁</t>
        </is>
      </c>
      <c r="AB4274" t="inlineStr">
        <is>
          <t>엔카</t>
        </is>
      </c>
      <c r="AC4274" t="n">
        <v>121000</v>
      </c>
      <c r="AD4274" t="n">
        <v>44000</v>
      </c>
      <c r="AE4274" t="n">
        <v>77000</v>
      </c>
      <c r="AF4274" t="n">
        <v>110000</v>
      </c>
      <c r="AG4274" t="n">
        <v>42548</v>
      </c>
      <c r="AH4274" t="n">
        <v>67452</v>
      </c>
      <c r="AI4274" t="n">
        <v>0</v>
      </c>
    </row>
    <row r="4275">
      <c r="A4275" t="inlineStr">
        <is>
          <t>5월</t>
        </is>
      </c>
      <c r="B4275" t="inlineStr">
        <is>
          <t>20주차</t>
        </is>
      </c>
      <c r="C4275" t="inlineStr">
        <is>
          <t>EP</t>
        </is>
      </c>
      <c r="D4275" s="28" t="n">
        <v>46155</v>
      </c>
      <c r="E4275" t="inlineStr">
        <is>
          <t>현대EP</t>
        </is>
      </c>
      <c r="F4275" t="inlineStr">
        <is>
          <t>임다솔</t>
        </is>
      </c>
      <c r="G4275" t="inlineStr">
        <is>
          <t>010-3100-8706</t>
        </is>
      </c>
      <c r="H4275" t="inlineStr">
        <is>
          <t>162보7078</t>
        </is>
      </c>
      <c r="I4275" t="n">
        <v>20900000</v>
      </c>
      <c r="J4275" t="n">
        <v>0.08500000000000001</v>
      </c>
      <c r="K4275" t="n">
        <v>1.76</v>
      </c>
      <c r="L4275" t="n">
        <v>0.14</v>
      </c>
      <c r="M4275" t="n">
        <v>1.62</v>
      </c>
      <c r="P4275" t="inlineStr">
        <is>
          <t>최형주</t>
        </is>
      </c>
      <c r="AB4275" t="inlineStr">
        <is>
          <t>홈서비스</t>
        </is>
      </c>
      <c r="AC4275" t="n">
        <v>367840</v>
      </c>
      <c r="AD4275" t="n">
        <v>29260</v>
      </c>
      <c r="AE4275" t="n">
        <v>338580</v>
      </c>
      <c r="AF4275" t="n">
        <v>334400</v>
      </c>
      <c r="AG4275" t="n">
        <v>28294.42</v>
      </c>
      <c r="AH4275" t="n">
        <v>306105.58</v>
      </c>
    </row>
    <row r="4276">
      <c r="A4276" t="inlineStr">
        <is>
          <t>5월</t>
        </is>
      </c>
      <c r="B4276" t="inlineStr">
        <is>
          <t>20주차</t>
        </is>
      </c>
      <c r="C4276" t="inlineStr">
        <is>
          <t>IM</t>
        </is>
      </c>
      <c r="D4276" s="28" t="n">
        <v>46154</v>
      </c>
      <c r="E4276" t="inlineStr">
        <is>
          <t>IM캐피탈</t>
        </is>
      </c>
      <c r="F4276" t="inlineStr">
        <is>
          <t>민선웅</t>
        </is>
      </c>
      <c r="G4276" t="inlineStr">
        <is>
          <t>010-6727-4266</t>
        </is>
      </c>
      <c r="H4276" t="inlineStr">
        <is>
          <t>19소9185</t>
        </is>
      </c>
      <c r="I4276" t="n">
        <v>16600000</v>
      </c>
      <c r="J4276" t="n">
        <v>0.049</v>
      </c>
      <c r="K4276" t="n">
        <v>1.1</v>
      </c>
      <c r="L4276" t="n">
        <v>0.4</v>
      </c>
      <c r="M4276" t="n">
        <v>0.7</v>
      </c>
      <c r="P4276" t="inlineStr">
        <is>
          <t>구성완</t>
        </is>
      </c>
      <c r="AB4276" t="inlineStr">
        <is>
          <t>엔카</t>
        </is>
      </c>
      <c r="AC4276" t="n">
        <v>182600</v>
      </c>
      <c r="AD4276" t="n">
        <v>66400</v>
      </c>
      <c r="AE4276" t="n">
        <v>116200</v>
      </c>
      <c r="AF4276" t="n">
        <v>166000</v>
      </c>
      <c r="AG4276" t="n">
        <v>64208.8</v>
      </c>
      <c r="AH4276" t="n">
        <v>101791.2</v>
      </c>
    </row>
    <row r="4277">
      <c r="A4277" t="inlineStr">
        <is>
          <t>5월</t>
        </is>
      </c>
      <c r="B4277" t="inlineStr">
        <is>
          <t>20주차</t>
        </is>
      </c>
      <c r="C4277" t="inlineStr">
        <is>
          <t>EP</t>
        </is>
      </c>
      <c r="D4277" s="28" t="n">
        <v>46155</v>
      </c>
      <c r="E4277" t="inlineStr">
        <is>
          <t>현대EP</t>
        </is>
      </c>
      <c r="F4277" t="inlineStr">
        <is>
          <t>최윤슬</t>
        </is>
      </c>
      <c r="G4277" t="inlineStr">
        <is>
          <t>010-3710-3544</t>
        </is>
      </c>
      <c r="H4277" t="inlineStr">
        <is>
          <t>15보9919</t>
        </is>
      </c>
      <c r="I4277" t="n">
        <v>21000000</v>
      </c>
      <c r="J4277" t="n">
        <v>0.095</v>
      </c>
      <c r="K4277" t="n">
        <v>1.76</v>
      </c>
      <c r="L4277" t="n">
        <v>0.14</v>
      </c>
      <c r="M4277" t="n">
        <v>1.62</v>
      </c>
      <c r="P4277" t="inlineStr">
        <is>
          <t>최형주</t>
        </is>
      </c>
      <c r="AB4277" t="inlineStr">
        <is>
          <t>홈서비스</t>
        </is>
      </c>
      <c r="AC4277" t="n">
        <v>369600</v>
      </c>
      <c r="AD4277" t="n">
        <v>29400</v>
      </c>
      <c r="AE4277" t="n">
        <v>340200</v>
      </c>
      <c r="AF4277" t="n">
        <v>336000</v>
      </c>
      <c r="AG4277" t="n">
        <v>28429.8</v>
      </c>
      <c r="AH4277" t="n">
        <v>307570.2</v>
      </c>
      <c r="AI4277" t="n">
        <v>0</v>
      </c>
    </row>
    <row r="4278">
      <c r="A4278" t="inlineStr">
        <is>
          <t>5월</t>
        </is>
      </c>
      <c r="B4278" t="inlineStr">
        <is>
          <t>20주차</t>
        </is>
      </c>
      <c r="C4278" t="inlineStr">
        <is>
          <t>IM</t>
        </is>
      </c>
      <c r="D4278" s="28" t="n">
        <v>46156</v>
      </c>
      <c r="E4278" t="inlineStr">
        <is>
          <t>IM캐피탈</t>
        </is>
      </c>
      <c r="F4278" t="inlineStr">
        <is>
          <t>박준용</t>
        </is>
      </c>
      <c r="G4278" t="inlineStr">
        <is>
          <t>010-8487-0614</t>
        </is>
      </c>
      <c r="H4278" t="inlineStr">
        <is>
          <t>231버6321</t>
        </is>
      </c>
      <c r="I4278" t="n">
        <v>26000000</v>
      </c>
      <c r="J4278" t="n">
        <v>0.049</v>
      </c>
      <c r="K4278" t="n">
        <v>1.1</v>
      </c>
      <c r="L4278" t="n">
        <v>0.14</v>
      </c>
      <c r="M4278" t="n">
        <v>0.96</v>
      </c>
      <c r="P4278" t="inlineStr">
        <is>
          <t>정세빈</t>
        </is>
      </c>
      <c r="Q4278" t="inlineStr">
        <is>
          <t>홈서비스 60개월</t>
        </is>
      </c>
      <c r="AB4278" t="inlineStr">
        <is>
          <t>홈서비스</t>
        </is>
      </c>
      <c r="AC4278" t="n">
        <v>286000</v>
      </c>
      <c r="AD4278" t="n">
        <v>36400</v>
      </c>
      <c r="AE4278" t="n">
        <v>249600</v>
      </c>
      <c r="AF4278" t="n">
        <v>260000</v>
      </c>
      <c r="AG4278" t="n">
        <v>35198.8</v>
      </c>
      <c r="AH4278" t="n">
        <v>224801.2</v>
      </c>
      <c r="AI4278" t="n">
        <v>0</v>
      </c>
    </row>
    <row r="4279">
      <c r="A4279" t="inlineStr">
        <is>
          <t>5월</t>
        </is>
      </c>
      <c r="B4279" t="inlineStr">
        <is>
          <t>20주차</t>
        </is>
      </c>
      <c r="C4279" t="inlineStr">
        <is>
          <t>HC</t>
        </is>
      </c>
      <c r="D4279" s="28" t="n">
        <v>46156</v>
      </c>
      <c r="E4279" t="inlineStr">
        <is>
          <t>하나캐피탈</t>
        </is>
      </c>
      <c r="F4279" t="inlineStr">
        <is>
          <t>김은아</t>
        </is>
      </c>
      <c r="G4279" t="inlineStr">
        <is>
          <t>010-8565-9719</t>
        </is>
      </c>
      <c r="H4279" t="inlineStr">
        <is>
          <t>04부8631</t>
        </is>
      </c>
      <c r="I4279" t="n">
        <v>18400000</v>
      </c>
      <c r="J4279" t="n">
        <v>0.065</v>
      </c>
      <c r="K4279" t="n">
        <v>2.2</v>
      </c>
      <c r="L4279" t="n">
        <v>0.14</v>
      </c>
      <c r="M4279" t="n">
        <v>2.06</v>
      </c>
      <c r="P4279" t="inlineStr">
        <is>
          <t>정세빈</t>
        </is>
      </c>
      <c r="Q4279" t="inlineStr">
        <is>
          <t>홈서비스 60개월</t>
        </is>
      </c>
      <c r="AB4279" t="inlineStr">
        <is>
          <t>홈서비스</t>
        </is>
      </c>
      <c r="AC4279" t="n">
        <v>404800</v>
      </c>
      <c r="AD4279" t="n">
        <v>25760</v>
      </c>
      <c r="AE4279" t="n">
        <v>379040</v>
      </c>
      <c r="AF4279" t="n">
        <v>368000</v>
      </c>
      <c r="AG4279" t="n">
        <v>24909.92</v>
      </c>
      <c r="AH4279" t="n">
        <v>343090.08</v>
      </c>
      <c r="AI4279" t="n">
        <v>0</v>
      </c>
    </row>
    <row r="4280">
      <c r="A4280" t="inlineStr">
        <is>
          <t>5월</t>
        </is>
      </c>
      <c r="B4280" t="inlineStr">
        <is>
          <t>20주차</t>
        </is>
      </c>
      <c r="C4280" t="inlineStr">
        <is>
          <t>EP</t>
        </is>
      </c>
      <c r="D4280" s="28" t="n">
        <v>46155</v>
      </c>
      <c r="E4280" t="inlineStr">
        <is>
          <t>현대EP</t>
        </is>
      </c>
      <c r="F4280" t="inlineStr">
        <is>
          <t>김숙희</t>
        </is>
      </c>
      <c r="G4280" t="inlineStr">
        <is>
          <t>010-5437-4411</t>
        </is>
      </c>
      <c r="H4280" t="inlineStr">
        <is>
          <t>29구4253</t>
        </is>
      </c>
      <c r="I4280" t="n">
        <v>28900000</v>
      </c>
      <c r="J4280" t="n">
        <v>0.08799999999999999</v>
      </c>
      <c r="K4280" t="n">
        <v>1.76</v>
      </c>
      <c r="L4280" t="n">
        <v>0.14</v>
      </c>
      <c r="M4280" t="n">
        <v>1.62</v>
      </c>
      <c r="P4280" t="inlineStr">
        <is>
          <t>김나윤</t>
        </is>
      </c>
      <c r="AB4280" t="inlineStr">
        <is>
          <t>홈서비스</t>
        </is>
      </c>
      <c r="AC4280" t="n">
        <v>508640</v>
      </c>
      <c r="AD4280" t="n">
        <v>40460</v>
      </c>
      <c r="AE4280" t="n">
        <v>468180</v>
      </c>
      <c r="AF4280" t="n">
        <v>462400</v>
      </c>
      <c r="AG4280" t="n">
        <v>39124.82</v>
      </c>
      <c r="AH4280" t="n">
        <v>423275.18</v>
      </c>
    </row>
    <row r="4281">
      <c r="A4281" t="inlineStr">
        <is>
          <t>5월</t>
        </is>
      </c>
      <c r="B4281" t="inlineStr">
        <is>
          <t>20주차</t>
        </is>
      </c>
      <c r="C4281" t="inlineStr">
        <is>
          <t>EP</t>
        </is>
      </c>
      <c r="D4281" s="28" t="n">
        <v>46155</v>
      </c>
      <c r="E4281" t="inlineStr">
        <is>
          <t>현대EP</t>
        </is>
      </c>
      <c r="F4281" t="inlineStr">
        <is>
          <t>최현우</t>
        </is>
      </c>
      <c r="G4281" t="inlineStr">
        <is>
          <t>010-3493-3651</t>
        </is>
      </c>
      <c r="H4281" t="inlineStr">
        <is>
          <t>113누2668</t>
        </is>
      </c>
      <c r="I4281" t="n">
        <v>36900000</v>
      </c>
      <c r="J4281" t="n">
        <v>0.08799999999999999</v>
      </c>
      <c r="K4281" t="n">
        <v>1.76</v>
      </c>
      <c r="L4281" t="n">
        <v>0.14</v>
      </c>
      <c r="M4281" t="n">
        <v>1.62</v>
      </c>
      <c r="P4281" t="inlineStr">
        <is>
          <t>황채이</t>
        </is>
      </c>
      <c r="AB4281" t="inlineStr">
        <is>
          <t>홈서비스</t>
        </is>
      </c>
      <c r="AC4281" t="n">
        <v>649440</v>
      </c>
      <c r="AD4281" t="n">
        <v>51660</v>
      </c>
      <c r="AE4281" t="n">
        <v>597780</v>
      </c>
      <c r="AF4281" t="n">
        <v>590400</v>
      </c>
      <c r="AG4281" t="n">
        <v>49955.22</v>
      </c>
      <c r="AH4281" t="n">
        <v>540444.78</v>
      </c>
      <c r="AI4281" t="n">
        <v>0</v>
      </c>
    </row>
    <row r="4282">
      <c r="A4282" t="inlineStr">
        <is>
          <t>5월</t>
        </is>
      </c>
      <c r="B4282" t="inlineStr">
        <is>
          <t>20주차</t>
        </is>
      </c>
      <c r="C4282" t="inlineStr">
        <is>
          <t>EP</t>
        </is>
      </c>
      <c r="D4282" s="28" t="n">
        <v>46156</v>
      </c>
      <c r="E4282" t="inlineStr">
        <is>
          <t>현대EP_fast</t>
        </is>
      </c>
      <c r="F4282" t="inlineStr">
        <is>
          <t>김유나</t>
        </is>
      </c>
      <c r="G4282" t="inlineStr">
        <is>
          <t>010-3315-3080</t>
        </is>
      </c>
      <c r="H4282" t="inlineStr">
        <is>
          <t>12거0206</t>
        </is>
      </c>
      <c r="I4282" t="n">
        <v>11900000</v>
      </c>
      <c r="J4282" t="n">
        <v>0.105</v>
      </c>
      <c r="K4282" t="n">
        <v>1.76</v>
      </c>
      <c r="L4282" t="n">
        <v>0.14</v>
      </c>
      <c r="M4282" t="n">
        <v>1.62</v>
      </c>
      <c r="P4282" t="inlineStr">
        <is>
          <t>황채이</t>
        </is>
      </c>
      <c r="Q4282" t="inlineStr">
        <is>
          <t>홈서비스 60개월</t>
        </is>
      </c>
      <c r="AB4282" t="inlineStr">
        <is>
          <t>홈서비스</t>
        </is>
      </c>
      <c r="AC4282" t="n">
        <v>209440</v>
      </c>
      <c r="AD4282" t="n">
        <v>16660</v>
      </c>
      <c r="AE4282" t="n">
        <v>192780</v>
      </c>
      <c r="AF4282" t="n">
        <v>190400</v>
      </c>
      <c r="AG4282" t="n">
        <v>16110.22</v>
      </c>
      <c r="AH4282" t="n">
        <v>174289.78</v>
      </c>
    </row>
    <row r="4283">
      <c r="A4283" t="inlineStr">
        <is>
          <t>5월</t>
        </is>
      </c>
      <c r="B4283" t="inlineStr">
        <is>
          <t>20주차</t>
        </is>
      </c>
      <c r="C4283" t="inlineStr">
        <is>
          <t>EP</t>
        </is>
      </c>
      <c r="D4283" s="28" t="n">
        <v>46156</v>
      </c>
      <c r="E4283" t="inlineStr">
        <is>
          <t>현대EP_fast</t>
        </is>
      </c>
      <c r="F4283" t="inlineStr">
        <is>
          <t>김성민</t>
        </is>
      </c>
      <c r="G4283" t="inlineStr">
        <is>
          <t>010-6640-9779</t>
        </is>
      </c>
      <c r="H4283" t="inlineStr">
        <is>
          <t>53모3130</t>
        </is>
      </c>
      <c r="I4283" t="n">
        <v>13500000</v>
      </c>
      <c r="J4283" t="n">
        <v>0.08799999999999999</v>
      </c>
      <c r="K4283" t="n">
        <v>1.76</v>
      </c>
      <c r="L4283" t="n">
        <v>0.14</v>
      </c>
      <c r="M4283" t="n">
        <v>1.62</v>
      </c>
      <c r="P4283" t="inlineStr">
        <is>
          <t>황채이</t>
        </is>
      </c>
      <c r="Q4283" t="inlineStr">
        <is>
          <t>홈서비스 60개월</t>
        </is>
      </c>
      <c r="AB4283" t="inlineStr">
        <is>
          <t>홈서비스</t>
        </is>
      </c>
      <c r="AC4283" t="n">
        <v>237600</v>
      </c>
      <c r="AD4283" t="n">
        <v>18900</v>
      </c>
      <c r="AE4283" t="n">
        <v>218700</v>
      </c>
      <c r="AF4283" t="n">
        <v>216000</v>
      </c>
      <c r="AG4283" t="n">
        <v>18276.3</v>
      </c>
      <c r="AH4283" t="n">
        <v>197723.7</v>
      </c>
      <c r="AI4283" t="n">
        <v>0</v>
      </c>
    </row>
    <row r="4284">
      <c r="A4284" t="inlineStr">
        <is>
          <t>5월</t>
        </is>
      </c>
      <c r="B4284" t="inlineStr">
        <is>
          <t>20주차</t>
        </is>
      </c>
      <c r="C4284" t="inlineStr">
        <is>
          <t>IM</t>
        </is>
      </c>
      <c r="D4284" s="28" t="n">
        <v>46156</v>
      </c>
      <c r="E4284" t="inlineStr">
        <is>
          <t>IM캐피탈</t>
        </is>
      </c>
      <c r="F4284" t="inlineStr">
        <is>
          <t>심민석</t>
        </is>
      </c>
      <c r="G4284" t="inlineStr">
        <is>
          <t>010-8107-1003</t>
        </is>
      </c>
      <c r="H4284" t="inlineStr">
        <is>
          <t>196나7884</t>
        </is>
      </c>
      <c r="I4284" t="n">
        <v>17900000</v>
      </c>
      <c r="J4284" t="n">
        <v>0.049</v>
      </c>
      <c r="K4284" t="n">
        <v>1.1</v>
      </c>
      <c r="L4284" t="n">
        <v>0.14</v>
      </c>
      <c r="M4284" t="n">
        <v>0.96</v>
      </c>
      <c r="P4284" t="inlineStr">
        <is>
          <t>황채이</t>
        </is>
      </c>
      <c r="Q4284" t="inlineStr">
        <is>
          <t>홈서비스 84개월</t>
        </is>
      </c>
      <c r="AB4284" t="inlineStr">
        <is>
          <t>홈서비스</t>
        </is>
      </c>
      <c r="AC4284" t="n">
        <v>196900</v>
      </c>
      <c r="AD4284" t="n">
        <v>25060</v>
      </c>
      <c r="AE4284" t="n">
        <v>171840</v>
      </c>
      <c r="AF4284" t="n">
        <v>179000</v>
      </c>
      <c r="AG4284" t="n">
        <v>24233.02</v>
      </c>
      <c r="AH4284" t="n">
        <v>154766.98</v>
      </c>
      <c r="AI4284" t="n">
        <v>0</v>
      </c>
    </row>
    <row r="4285">
      <c r="A4285" t="inlineStr">
        <is>
          <t>5월</t>
        </is>
      </c>
      <c r="B4285" t="inlineStr">
        <is>
          <t>20주차</t>
        </is>
      </c>
      <c r="C4285" t="inlineStr">
        <is>
          <t>IM</t>
        </is>
      </c>
      <c r="D4285" s="28" t="n">
        <v>46156</v>
      </c>
      <c r="E4285" t="inlineStr">
        <is>
          <t>IM캐피탈</t>
        </is>
      </c>
      <c r="F4285" t="inlineStr">
        <is>
          <t>이경환</t>
        </is>
      </c>
      <c r="G4285" t="inlineStr">
        <is>
          <t>010-2591-5302</t>
        </is>
      </c>
      <c r="H4285" t="inlineStr">
        <is>
          <t>40조2335</t>
        </is>
      </c>
      <c r="I4285" t="n">
        <v>15000000</v>
      </c>
      <c r="J4285" t="n">
        <v>0.059</v>
      </c>
      <c r="K4285" t="n">
        <v>1.1</v>
      </c>
      <c r="L4285" t="n">
        <v>0.14</v>
      </c>
      <c r="M4285" t="n">
        <v>1.51</v>
      </c>
      <c r="P4285" t="inlineStr">
        <is>
          <t>황채이</t>
        </is>
      </c>
      <c r="Q4285" t="inlineStr">
        <is>
          <t>홈서비스 36개월</t>
        </is>
      </c>
      <c r="AB4285" t="inlineStr">
        <is>
          <t>홈서비스</t>
        </is>
      </c>
      <c r="AC4285" t="n">
        <v>165000</v>
      </c>
      <c r="AD4285" t="n">
        <v>21000</v>
      </c>
      <c r="AE4285" t="n">
        <v>226500</v>
      </c>
      <c r="AF4285" t="n">
        <v>150000</v>
      </c>
      <c r="AG4285" t="n">
        <v>20307</v>
      </c>
      <c r="AH4285" t="n">
        <v>129693</v>
      </c>
    </row>
    <row r="4286">
      <c r="A4286" t="inlineStr">
        <is>
          <t>5월</t>
        </is>
      </c>
      <c r="B4286" t="inlineStr">
        <is>
          <t>20주차</t>
        </is>
      </c>
      <c r="C4286" t="inlineStr">
        <is>
          <t>EP</t>
        </is>
      </c>
      <c r="D4286" s="28" t="n">
        <v>46155</v>
      </c>
      <c r="E4286" t="inlineStr">
        <is>
          <t>제이비EP</t>
        </is>
      </c>
      <c r="F4286" t="inlineStr">
        <is>
          <t>신윤철</t>
        </is>
      </c>
      <c r="G4286" t="inlineStr">
        <is>
          <t>010-4155-4228</t>
        </is>
      </c>
      <c r="H4286" t="inlineStr">
        <is>
          <t>190나2107</t>
        </is>
      </c>
      <c r="I4286" t="n">
        <v>23000000</v>
      </c>
      <c r="J4286" t="n">
        <v>0.066</v>
      </c>
      <c r="K4286" t="n">
        <v>1.65</v>
      </c>
      <c r="L4286" t="n">
        <v>0.4</v>
      </c>
      <c r="M4286" t="n">
        <v>1.25</v>
      </c>
      <c r="P4286" t="inlineStr">
        <is>
          <t>박현민</t>
        </is>
      </c>
      <c r="Q4286" t="inlineStr">
        <is>
          <t>부대비용 추가진행</t>
        </is>
      </c>
      <c r="AB4286" t="inlineStr">
        <is>
          <t>엔카</t>
        </is>
      </c>
      <c r="AC4286" t="n">
        <v>379500</v>
      </c>
      <c r="AD4286" t="n">
        <v>92000</v>
      </c>
      <c r="AE4286" t="n">
        <v>287500</v>
      </c>
      <c r="AF4286" t="n">
        <v>345000</v>
      </c>
      <c r="AG4286" t="n">
        <v>88964</v>
      </c>
      <c r="AH4286" t="n">
        <v>256036</v>
      </c>
    </row>
    <row r="4287">
      <c r="A4287" t="inlineStr">
        <is>
          <t>5월</t>
        </is>
      </c>
      <c r="B4287" t="inlineStr">
        <is>
          <t>20주차</t>
        </is>
      </c>
      <c r="C4287" t="inlineStr">
        <is>
          <t>EP</t>
        </is>
      </c>
      <c r="D4287" s="28" t="n">
        <v>46156</v>
      </c>
      <c r="E4287" t="inlineStr">
        <is>
          <t>현대EP_fast</t>
        </is>
      </c>
      <c r="F4287" t="inlineStr">
        <is>
          <t>김길유</t>
        </is>
      </c>
      <c r="G4287" t="inlineStr">
        <is>
          <t>010-6375-6617</t>
        </is>
      </c>
      <c r="H4287" t="inlineStr">
        <is>
          <t>256로4248</t>
        </is>
      </c>
      <c r="I4287" t="n">
        <v>19900000</v>
      </c>
      <c r="J4287" t="n">
        <v>0.089</v>
      </c>
      <c r="K4287" t="n">
        <v>1.76</v>
      </c>
      <c r="L4287" t="n">
        <v>0.14</v>
      </c>
      <c r="M4287" t="n">
        <v>1.62</v>
      </c>
      <c r="P4287" t="inlineStr">
        <is>
          <t>박현민</t>
        </is>
      </c>
      <c r="Q4287" t="inlineStr">
        <is>
          <t>홈서비스 60개월</t>
        </is>
      </c>
      <c r="AB4287" t="inlineStr">
        <is>
          <t>홈서비스</t>
        </is>
      </c>
      <c r="AC4287" t="n">
        <v>350240</v>
      </c>
      <c r="AD4287" t="n">
        <v>27860</v>
      </c>
      <c r="AE4287" t="n">
        <v>322380</v>
      </c>
      <c r="AF4287" t="n">
        <v>318400</v>
      </c>
      <c r="AG4287" t="n">
        <v>26940.62</v>
      </c>
      <c r="AH4287" t="n">
        <v>291459.38</v>
      </c>
      <c r="AI4287" t="n">
        <v>0</v>
      </c>
    </row>
    <row r="4288">
      <c r="A4288" t="inlineStr">
        <is>
          <t>5월</t>
        </is>
      </c>
      <c r="B4288" t="inlineStr">
        <is>
          <t>20주차</t>
        </is>
      </c>
      <c r="C4288" t="inlineStr">
        <is>
          <t>IM</t>
        </is>
      </c>
      <c r="D4288" s="28" t="n">
        <v>46156</v>
      </c>
      <c r="E4288" t="inlineStr">
        <is>
          <t>IM캐피탈</t>
        </is>
      </c>
      <c r="F4288" t="inlineStr">
        <is>
          <t>이성우</t>
        </is>
      </c>
      <c r="G4288" t="inlineStr">
        <is>
          <t>010-5698-0558</t>
        </is>
      </c>
      <c r="H4288" t="inlineStr">
        <is>
          <t>370거9532</t>
        </is>
      </c>
      <c r="I4288" t="n">
        <v>20000000</v>
      </c>
      <c r="J4288" t="n">
        <v>0.045</v>
      </c>
      <c r="K4288" t="n">
        <v>1.1</v>
      </c>
      <c r="L4288" t="n">
        <v>0.14</v>
      </c>
      <c r="M4288" t="n">
        <v>0.96</v>
      </c>
      <c r="P4288" t="inlineStr">
        <is>
          <t>김수연</t>
        </is>
      </c>
      <c r="Q4288" t="inlineStr">
        <is>
          <t>홈서비스 60개월</t>
        </is>
      </c>
      <c r="AB4288" t="inlineStr">
        <is>
          <t>홈서비스</t>
        </is>
      </c>
      <c r="AC4288" t="n">
        <v>220000</v>
      </c>
      <c r="AD4288" t="n">
        <v>28000</v>
      </c>
      <c r="AE4288" t="n">
        <v>192000</v>
      </c>
      <c r="AF4288" t="n">
        <v>200000</v>
      </c>
      <c r="AG4288" t="n">
        <v>27076</v>
      </c>
      <c r="AH4288" t="n">
        <v>172924</v>
      </c>
      <c r="AI4288" t="n">
        <v>0</v>
      </c>
    </row>
    <row r="4289">
      <c r="A4289" t="inlineStr">
        <is>
          <t>5월</t>
        </is>
      </c>
      <c r="B4289" t="inlineStr">
        <is>
          <t>20주차</t>
        </is>
      </c>
      <c r="C4289" t="inlineStr">
        <is>
          <t>IM</t>
        </is>
      </c>
      <c r="D4289" s="28" t="n">
        <v>46156</v>
      </c>
      <c r="E4289" t="inlineStr">
        <is>
          <t>IM캐피탈</t>
        </is>
      </c>
      <c r="F4289" t="inlineStr">
        <is>
          <t>김관빈</t>
        </is>
      </c>
      <c r="G4289" t="inlineStr">
        <is>
          <t>010-9086-2307</t>
        </is>
      </c>
      <c r="H4289" t="inlineStr">
        <is>
          <t>157우7140</t>
        </is>
      </c>
      <c r="I4289" t="n">
        <v>20000000</v>
      </c>
      <c r="J4289" t="n">
        <v>0.076</v>
      </c>
      <c r="K4289" t="n">
        <v>1.1</v>
      </c>
      <c r="L4289" t="n">
        <v>0.14</v>
      </c>
      <c r="M4289" t="n">
        <v>0.96</v>
      </c>
      <c r="P4289" t="inlineStr">
        <is>
          <t>김수연</t>
        </is>
      </c>
      <c r="Q4289" t="inlineStr">
        <is>
          <t>홈서비스 60개월</t>
        </is>
      </c>
      <c r="AB4289" t="inlineStr">
        <is>
          <t>홈서비스</t>
        </is>
      </c>
      <c r="AC4289" t="n">
        <v>220000</v>
      </c>
      <c r="AD4289" t="n">
        <v>28000</v>
      </c>
      <c r="AE4289" t="n">
        <v>192000</v>
      </c>
      <c r="AF4289" t="n">
        <v>200000</v>
      </c>
      <c r="AG4289" t="n">
        <v>27076</v>
      </c>
      <c r="AH4289" t="n">
        <v>172924</v>
      </c>
      <c r="AI4289" t="n">
        <v>0</v>
      </c>
    </row>
    <row r="4290">
      <c r="A4290" t="inlineStr">
        <is>
          <t>5월</t>
        </is>
      </c>
      <c r="B4290" t="inlineStr">
        <is>
          <t>20주차</t>
        </is>
      </c>
      <c r="C4290" t="inlineStr">
        <is>
          <t>EP</t>
        </is>
      </c>
      <c r="D4290" s="28" t="n">
        <v>46156</v>
      </c>
      <c r="E4290" t="inlineStr">
        <is>
          <t>현대EP_fast</t>
        </is>
      </c>
      <c r="F4290" t="inlineStr">
        <is>
          <t>최현석</t>
        </is>
      </c>
      <c r="G4290" t="inlineStr">
        <is>
          <t>010-8071-2194</t>
        </is>
      </c>
      <c r="H4290" t="inlineStr">
        <is>
          <t>51너0188</t>
        </is>
      </c>
      <c r="I4290" t="n">
        <v>7900000</v>
      </c>
      <c r="J4290" t="n">
        <v>0.105</v>
      </c>
      <c r="K4290" t="n">
        <v>1.76</v>
      </c>
      <c r="L4290" t="n">
        <v>0.14</v>
      </c>
      <c r="M4290" t="n">
        <v>1.62</v>
      </c>
      <c r="P4290" t="inlineStr">
        <is>
          <t>김수연</t>
        </is>
      </c>
      <c r="Q4290" t="inlineStr">
        <is>
          <t>홈서비스 48개월</t>
        </is>
      </c>
      <c r="AB4290" t="inlineStr">
        <is>
          <t>홈서비스</t>
        </is>
      </c>
      <c r="AC4290" t="n">
        <v>139040</v>
      </c>
      <c r="AD4290" t="n">
        <v>11060</v>
      </c>
      <c r="AE4290" t="n">
        <v>127980</v>
      </c>
      <c r="AF4290" t="n">
        <v>126400</v>
      </c>
      <c r="AG4290" t="n">
        <v>10695.02</v>
      </c>
      <c r="AH4290" t="n">
        <v>115704.98</v>
      </c>
      <c r="AI4290" t="n">
        <v>0</v>
      </c>
    </row>
    <row r="4291">
      <c r="A4291" t="inlineStr">
        <is>
          <t>5월</t>
        </is>
      </c>
      <c r="B4291" t="inlineStr">
        <is>
          <t>20주차</t>
        </is>
      </c>
      <c r="C4291" t="inlineStr">
        <is>
          <t>EP</t>
        </is>
      </c>
      <c r="D4291" s="28" t="n">
        <v>46156</v>
      </c>
      <c r="E4291" t="inlineStr">
        <is>
          <t>현대EP_fast</t>
        </is>
      </c>
      <c r="F4291" t="inlineStr">
        <is>
          <t>김종연</t>
        </is>
      </c>
      <c r="G4291" t="inlineStr">
        <is>
          <t>010-9938-3919</t>
        </is>
      </c>
      <c r="H4291" t="inlineStr">
        <is>
          <t>54로4376</t>
        </is>
      </c>
      <c r="I4291" t="n">
        <v>28400000</v>
      </c>
      <c r="J4291" t="n">
        <v>0.095</v>
      </c>
      <c r="K4291" t="n">
        <v>1.76</v>
      </c>
      <c r="L4291" t="n">
        <v>0.14</v>
      </c>
      <c r="M4291" t="n">
        <v>1.62</v>
      </c>
      <c r="P4291" t="inlineStr">
        <is>
          <t>최형주</t>
        </is>
      </c>
      <c r="Q4291" t="inlineStr">
        <is>
          <t>홈서비스 60개월</t>
        </is>
      </c>
      <c r="AB4291" t="inlineStr">
        <is>
          <t>홈서비스</t>
        </is>
      </c>
      <c r="AC4291" t="n">
        <v>499840</v>
      </c>
      <c r="AD4291" t="n">
        <v>39760</v>
      </c>
      <c r="AE4291" t="n">
        <v>460080</v>
      </c>
      <c r="AF4291" t="n">
        <v>454400</v>
      </c>
      <c r="AG4291" t="n">
        <v>38447.92</v>
      </c>
      <c r="AH4291" t="n">
        <v>415952.08</v>
      </c>
    </row>
    <row r="4292">
      <c r="A4292" t="inlineStr">
        <is>
          <t>5월</t>
        </is>
      </c>
      <c r="B4292" t="inlineStr">
        <is>
          <t>20주차</t>
        </is>
      </c>
      <c r="C4292" t="inlineStr">
        <is>
          <t>EP</t>
        </is>
      </c>
      <c r="D4292" s="28" t="n">
        <v>46156</v>
      </c>
      <c r="E4292" t="inlineStr">
        <is>
          <t>현대EP_fast</t>
        </is>
      </c>
      <c r="F4292" t="inlineStr">
        <is>
          <t>목호균</t>
        </is>
      </c>
      <c r="G4292" t="inlineStr">
        <is>
          <t>010-6604-4558</t>
        </is>
      </c>
      <c r="H4292" t="inlineStr">
        <is>
          <t>18우9197</t>
        </is>
      </c>
      <c r="I4292" t="n">
        <v>65000000</v>
      </c>
      <c r="J4292" t="n">
        <v>0.099</v>
      </c>
      <c r="K4292" t="n">
        <v>1.76</v>
      </c>
      <c r="L4292" t="n">
        <v>0.14</v>
      </c>
      <c r="M4292" t="n">
        <v>1.62</v>
      </c>
      <c r="P4292" t="inlineStr">
        <is>
          <t>정세빈</t>
        </is>
      </c>
      <c r="Q4292" t="inlineStr">
        <is>
          <t>홈서비스 60개월</t>
        </is>
      </c>
      <c r="AB4292" t="inlineStr">
        <is>
          <t>홈서비스</t>
        </is>
      </c>
      <c r="AC4292" t="n">
        <v>1144000</v>
      </c>
      <c r="AD4292" t="n">
        <v>91000</v>
      </c>
      <c r="AE4292" t="n">
        <v>1053000</v>
      </c>
      <c r="AF4292" t="n">
        <v>1040000</v>
      </c>
      <c r="AG4292" t="n">
        <v>87997</v>
      </c>
      <c r="AH4292" t="n">
        <v>952003</v>
      </c>
    </row>
    <row r="4293">
      <c r="A4293" t="inlineStr">
        <is>
          <t>5월</t>
        </is>
      </c>
      <c r="B4293" t="inlineStr">
        <is>
          <t>20주차</t>
        </is>
      </c>
      <c r="C4293" t="inlineStr">
        <is>
          <t>EP</t>
        </is>
      </c>
      <c r="D4293" s="28" t="n">
        <v>46156</v>
      </c>
      <c r="E4293" t="inlineStr">
        <is>
          <t>현대EP_fast</t>
        </is>
      </c>
      <c r="F4293" t="inlineStr">
        <is>
          <t>정여울</t>
        </is>
      </c>
      <c r="G4293" t="inlineStr">
        <is>
          <t>010-4811-5069</t>
        </is>
      </c>
      <c r="H4293" t="inlineStr">
        <is>
          <t>182서5442</t>
        </is>
      </c>
      <c r="I4293" t="n">
        <v>8300000</v>
      </c>
      <c r="J4293" t="n">
        <v>0.07099999999999999</v>
      </c>
      <c r="K4293" t="n">
        <v>1.76</v>
      </c>
      <c r="L4293" t="n">
        <v>0.14</v>
      </c>
      <c r="M4293" t="n">
        <v>1.62</v>
      </c>
      <c r="P4293" t="inlineStr">
        <is>
          <t>최형주</t>
        </is>
      </c>
      <c r="Q4293" t="inlineStr">
        <is>
          <t>홈서비스 48개월</t>
        </is>
      </c>
      <c r="AB4293" t="inlineStr">
        <is>
          <t>홈서비스</t>
        </is>
      </c>
      <c r="AC4293" t="n">
        <v>146080</v>
      </c>
      <c r="AD4293" t="n">
        <v>11620</v>
      </c>
      <c r="AE4293" t="n">
        <v>134460</v>
      </c>
      <c r="AF4293" t="n">
        <v>132800</v>
      </c>
      <c r="AG4293" t="n">
        <v>11236.54</v>
      </c>
      <c r="AH4293" t="n">
        <v>121563.46</v>
      </c>
      <c r="AI4293" t="n">
        <v>0</v>
      </c>
    </row>
    <row r="4294">
      <c r="A4294" t="inlineStr">
        <is>
          <t>5월</t>
        </is>
      </c>
      <c r="B4294" t="inlineStr">
        <is>
          <t>20주차</t>
        </is>
      </c>
      <c r="C4294" t="inlineStr">
        <is>
          <t>EP</t>
        </is>
      </c>
      <c r="D4294" s="28" t="n">
        <v>46156</v>
      </c>
      <c r="E4294" t="inlineStr">
        <is>
          <t>현대EP</t>
        </is>
      </c>
      <c r="F4294" t="inlineStr">
        <is>
          <t>유도현</t>
        </is>
      </c>
      <c r="G4294" t="inlineStr">
        <is>
          <t>010-5636-6695</t>
        </is>
      </c>
      <c r="H4294" t="inlineStr">
        <is>
          <t>115고8141</t>
        </is>
      </c>
      <c r="I4294" t="n">
        <v>9700000</v>
      </c>
      <c r="J4294" t="n">
        <v>0.08799999999999999</v>
      </c>
      <c r="K4294" t="n">
        <v>1.76</v>
      </c>
      <c r="L4294" t="n">
        <v>0.14</v>
      </c>
      <c r="M4294" t="n">
        <v>1.62</v>
      </c>
      <c r="P4294" t="inlineStr">
        <is>
          <t>최형주</t>
        </is>
      </c>
      <c r="AB4294" t="inlineStr">
        <is>
          <t>홈서비스</t>
        </is>
      </c>
      <c r="AC4294" t="n">
        <v>170720</v>
      </c>
      <c r="AD4294" t="n">
        <v>13580</v>
      </c>
      <c r="AE4294" t="n">
        <v>157140</v>
      </c>
      <c r="AF4294" t="n">
        <v>155200</v>
      </c>
      <c r="AG4294" t="n">
        <v>13131.86</v>
      </c>
      <c r="AH4294" t="n">
        <v>142068.14</v>
      </c>
      <c r="AI4294" t="n">
        <v>0</v>
      </c>
    </row>
    <row r="4295">
      <c r="A4295" t="inlineStr">
        <is>
          <t>5월</t>
        </is>
      </c>
      <c r="B4295" t="inlineStr">
        <is>
          <t>20주차</t>
        </is>
      </c>
      <c r="C4295" t="inlineStr">
        <is>
          <t>EP</t>
        </is>
      </c>
      <c r="D4295" s="28" t="n">
        <v>46156</v>
      </c>
      <c r="E4295" t="inlineStr">
        <is>
          <t>현대EP_fast</t>
        </is>
      </c>
      <c r="F4295" t="inlineStr">
        <is>
          <t>이병욱</t>
        </is>
      </c>
      <c r="G4295" t="inlineStr">
        <is>
          <t>010-4322-1371</t>
        </is>
      </c>
      <c r="H4295" t="inlineStr">
        <is>
          <t>283어8863</t>
        </is>
      </c>
      <c r="I4295" t="n">
        <v>26500000</v>
      </c>
      <c r="J4295" t="n">
        <v>0.119</v>
      </c>
      <c r="K4295" t="n">
        <v>1.76</v>
      </c>
      <c r="L4295" t="n">
        <v>0.14</v>
      </c>
      <c r="M4295" t="n">
        <v>1.62</v>
      </c>
      <c r="P4295" t="inlineStr">
        <is>
          <t>김수연</t>
        </is>
      </c>
      <c r="Q4295" t="inlineStr">
        <is>
          <t>홈서비스 48개월</t>
        </is>
      </c>
      <c r="AB4295" t="inlineStr">
        <is>
          <t>홈서비스</t>
        </is>
      </c>
      <c r="AC4295" t="n">
        <v>466400</v>
      </c>
      <c r="AD4295" t="n">
        <v>37100</v>
      </c>
      <c r="AE4295" t="n">
        <v>429300</v>
      </c>
      <c r="AF4295" t="n">
        <v>424000</v>
      </c>
      <c r="AG4295" t="n">
        <v>35875.7</v>
      </c>
      <c r="AH4295" t="n">
        <v>388124.3</v>
      </c>
      <c r="AI4295" t="n">
        <v>0</v>
      </c>
    </row>
    <row r="4296">
      <c r="A4296" t="inlineStr">
        <is>
          <t>5월</t>
        </is>
      </c>
      <c r="B4296" t="inlineStr">
        <is>
          <t>20주차</t>
        </is>
      </c>
      <c r="C4296" t="inlineStr">
        <is>
          <t>IM</t>
        </is>
      </c>
      <c r="D4296" s="28" t="n">
        <v>46156</v>
      </c>
      <c r="E4296" t="inlineStr">
        <is>
          <t>IM캐피탈</t>
        </is>
      </c>
      <c r="F4296" t="inlineStr">
        <is>
          <t>박민주</t>
        </is>
      </c>
      <c r="G4296" t="inlineStr">
        <is>
          <t>010-2452-2661</t>
        </is>
      </c>
      <c r="H4296" t="inlineStr">
        <is>
          <t>231소1844</t>
        </is>
      </c>
      <c r="I4296" t="n">
        <v>20000000</v>
      </c>
      <c r="J4296" t="n">
        <v>0.061</v>
      </c>
      <c r="K4296" t="n">
        <v>1.1</v>
      </c>
      <c r="L4296" t="n">
        <v>0.14</v>
      </c>
      <c r="M4296" t="n">
        <v>0.96</v>
      </c>
      <c r="P4296" t="inlineStr">
        <is>
          <t>정세빈</t>
        </is>
      </c>
      <c r="Q4296" t="inlineStr">
        <is>
          <t>홈서비스 72개월</t>
        </is>
      </c>
      <c r="AB4296" t="inlineStr">
        <is>
          <t>홈서비스</t>
        </is>
      </c>
      <c r="AC4296" t="n">
        <v>220000</v>
      </c>
      <c r="AD4296" t="n">
        <v>28000</v>
      </c>
      <c r="AE4296" t="n">
        <v>192000</v>
      </c>
      <c r="AF4296" t="n">
        <v>200000</v>
      </c>
      <c r="AG4296" t="n">
        <v>27076</v>
      </c>
      <c r="AH4296" t="n">
        <v>172924</v>
      </c>
      <c r="AI4296" t="n">
        <v>0</v>
      </c>
    </row>
    <row r="4297">
      <c r="A4297" t="inlineStr">
        <is>
          <t>5월</t>
        </is>
      </c>
      <c r="B4297" t="inlineStr">
        <is>
          <t>20주차</t>
        </is>
      </c>
      <c r="C4297" t="inlineStr">
        <is>
          <t>EP</t>
        </is>
      </c>
      <c r="D4297" s="28" t="n">
        <v>46156</v>
      </c>
      <c r="E4297" t="inlineStr">
        <is>
          <t>현대EP</t>
        </is>
      </c>
      <c r="F4297" t="inlineStr">
        <is>
          <t>조승훈</t>
        </is>
      </c>
      <c r="G4297" t="inlineStr">
        <is>
          <t>010-5217-9566</t>
        </is>
      </c>
      <c r="H4297" t="inlineStr">
        <is>
          <t>64다5474</t>
        </is>
      </c>
      <c r="I4297" t="n">
        <v>4500000</v>
      </c>
      <c r="J4297" t="n">
        <v>0.06900000000000001</v>
      </c>
      <c r="K4297" t="n">
        <v>1.76</v>
      </c>
      <c r="L4297" t="n">
        <v>0.14</v>
      </c>
      <c r="M4297" t="n">
        <v>1.62</v>
      </c>
      <c r="P4297" t="inlineStr">
        <is>
          <t>최형주</t>
        </is>
      </c>
      <c r="AB4297" t="inlineStr">
        <is>
          <t>홈서비스</t>
        </is>
      </c>
      <c r="AC4297" t="n">
        <v>79200</v>
      </c>
      <c r="AD4297" t="n">
        <v>6300</v>
      </c>
      <c r="AE4297" t="n">
        <v>72900</v>
      </c>
      <c r="AF4297" t="n">
        <v>72000</v>
      </c>
      <c r="AG4297" t="n">
        <v>6092.1</v>
      </c>
      <c r="AH4297" t="n">
        <v>65907.89999999999</v>
      </c>
      <c r="AI4297" t="n">
        <v>0</v>
      </c>
    </row>
    <row r="4298">
      <c r="A4298" t="inlineStr">
        <is>
          <t>5월</t>
        </is>
      </c>
      <c r="B4298" t="inlineStr">
        <is>
          <t>20주차</t>
        </is>
      </c>
      <c r="C4298" t="inlineStr">
        <is>
          <t>IM</t>
        </is>
      </c>
      <c r="D4298" s="28" t="n">
        <v>46156</v>
      </c>
      <c r="E4298" t="inlineStr">
        <is>
          <t>IM캐피탈</t>
        </is>
      </c>
      <c r="F4298" t="inlineStr">
        <is>
          <t>김경림</t>
        </is>
      </c>
      <c r="G4298" t="inlineStr">
        <is>
          <t>010-2447-2657</t>
        </is>
      </c>
      <c r="H4298" t="inlineStr">
        <is>
          <t>129수6613</t>
        </is>
      </c>
      <c r="I4298" t="n">
        <v>24000000</v>
      </c>
      <c r="J4298" t="n">
        <v>0.049</v>
      </c>
      <c r="K4298" t="n">
        <v>1.1</v>
      </c>
      <c r="L4298" t="n">
        <v>0.4</v>
      </c>
      <c r="M4298" t="n">
        <v>0.7</v>
      </c>
      <c r="P4298" t="inlineStr">
        <is>
          <t>장현경</t>
        </is>
      </c>
      <c r="AB4298" t="inlineStr">
        <is>
          <t>엔카</t>
        </is>
      </c>
      <c r="AC4298" t="n">
        <v>264000</v>
      </c>
      <c r="AD4298" t="n">
        <v>96000</v>
      </c>
      <c r="AE4298" t="n">
        <v>168000</v>
      </c>
      <c r="AF4298" t="n">
        <v>240000</v>
      </c>
      <c r="AG4298" t="n">
        <v>92832</v>
      </c>
      <c r="AH4298" t="n">
        <v>147168</v>
      </c>
      <c r="AI4298" t="n">
        <v>0</v>
      </c>
    </row>
    <row r="4299">
      <c r="A4299" t="inlineStr">
        <is>
          <t>5월</t>
        </is>
      </c>
      <c r="B4299" t="inlineStr">
        <is>
          <t>20주차</t>
        </is>
      </c>
      <c r="C4299" t="inlineStr">
        <is>
          <t>EP</t>
        </is>
      </c>
      <c r="D4299" s="28" t="n">
        <v>46156</v>
      </c>
      <c r="E4299" t="inlineStr">
        <is>
          <t>현대EP</t>
        </is>
      </c>
      <c r="F4299" t="inlineStr">
        <is>
          <t>최다연</t>
        </is>
      </c>
      <c r="G4299" t="inlineStr">
        <is>
          <t>010-5128-6086</t>
        </is>
      </c>
      <c r="H4299" t="inlineStr">
        <is>
          <t>47주1545</t>
        </is>
      </c>
      <c r="I4299" t="n">
        <v>3100000</v>
      </c>
      <c r="J4299" t="n">
        <v>0.089</v>
      </c>
      <c r="K4299" t="n">
        <v>1.76</v>
      </c>
      <c r="L4299" t="n">
        <v>0.14</v>
      </c>
      <c r="M4299" t="n">
        <v>1.62</v>
      </c>
      <c r="P4299" t="inlineStr">
        <is>
          <t>최형주</t>
        </is>
      </c>
      <c r="AB4299" t="inlineStr">
        <is>
          <t>홈서비스</t>
        </is>
      </c>
      <c r="AC4299" t="n">
        <v>54560</v>
      </c>
      <c r="AD4299" t="n">
        <v>4340</v>
      </c>
      <c r="AE4299" t="n">
        <v>50220</v>
      </c>
      <c r="AF4299" t="n">
        <v>49600</v>
      </c>
      <c r="AG4299" t="n">
        <v>4196.78</v>
      </c>
      <c r="AH4299" t="n">
        <v>45403.22</v>
      </c>
      <c r="AI4299" t="n">
        <v>0</v>
      </c>
    </row>
    <row r="4300">
      <c r="A4300" t="inlineStr">
        <is>
          <t>5월</t>
        </is>
      </c>
      <c r="B4300" t="inlineStr">
        <is>
          <t>20주차</t>
        </is>
      </c>
      <c r="C4300" t="inlineStr">
        <is>
          <t>IM</t>
        </is>
      </c>
      <c r="D4300" s="28" t="n">
        <v>46155</v>
      </c>
      <c r="E4300" t="inlineStr">
        <is>
          <t>IM캐피탈</t>
        </is>
      </c>
      <c r="F4300" t="inlineStr">
        <is>
          <t>김무환</t>
        </is>
      </c>
      <c r="G4300" t="inlineStr">
        <is>
          <t>010-3826-8423</t>
        </is>
      </c>
      <c r="H4300" t="inlineStr">
        <is>
          <t>301버4588</t>
        </is>
      </c>
      <c r="I4300" t="n">
        <v>25500000</v>
      </c>
      <c r="J4300" t="n">
        <v>0.049</v>
      </c>
      <c r="K4300" t="n">
        <v>1.1</v>
      </c>
      <c r="L4300" t="n">
        <v>0.4</v>
      </c>
      <c r="M4300" t="n">
        <v>0.7</v>
      </c>
      <c r="P4300" t="inlineStr">
        <is>
          <t>박소현</t>
        </is>
      </c>
      <c r="AB4300" t="inlineStr">
        <is>
          <t>엔카</t>
        </is>
      </c>
      <c r="AC4300" t="n">
        <v>280500</v>
      </c>
      <c r="AD4300" t="n">
        <v>102000</v>
      </c>
      <c r="AE4300" t="n">
        <v>178500</v>
      </c>
      <c r="AF4300" t="n">
        <v>255000</v>
      </c>
      <c r="AG4300" t="n">
        <v>98634</v>
      </c>
      <c r="AH4300" t="n">
        <v>156366</v>
      </c>
      <c r="AI4300" t="n">
        <v>0</v>
      </c>
    </row>
    <row r="4301">
      <c r="A4301" t="inlineStr">
        <is>
          <t>5월</t>
        </is>
      </c>
      <c r="B4301" t="inlineStr">
        <is>
          <t>20주차</t>
        </is>
      </c>
      <c r="C4301" t="inlineStr">
        <is>
          <t>EP</t>
        </is>
      </c>
      <c r="D4301" s="28" t="n">
        <v>46154</v>
      </c>
      <c r="E4301" t="inlineStr">
        <is>
          <t>현대EP</t>
        </is>
      </c>
      <c r="F4301" t="inlineStr">
        <is>
          <t>김승재</t>
        </is>
      </c>
      <c r="G4301" t="inlineStr">
        <is>
          <t>010-3589-7975</t>
        </is>
      </c>
      <c r="H4301" t="inlineStr">
        <is>
          <t>123러5496</t>
        </is>
      </c>
      <c r="I4301" t="n">
        <v>50100000</v>
      </c>
      <c r="J4301" t="n">
        <v>0.089</v>
      </c>
      <c r="K4301" t="n">
        <v>1.76</v>
      </c>
      <c r="L4301" t="n">
        <v>0.14</v>
      </c>
      <c r="M4301" t="n">
        <v>1.62</v>
      </c>
      <c r="P4301" t="inlineStr">
        <is>
          <t>장진경</t>
        </is>
      </c>
      <c r="AB4301" t="inlineStr">
        <is>
          <t>홈서비스</t>
        </is>
      </c>
      <c r="AC4301" t="n">
        <v>881760</v>
      </c>
      <c r="AD4301" t="n">
        <v>70140</v>
      </c>
      <c r="AE4301" t="n">
        <v>811620</v>
      </c>
      <c r="AF4301" t="n">
        <v>801600</v>
      </c>
      <c r="AG4301" t="n">
        <v>67825.38</v>
      </c>
      <c r="AH4301" t="n">
        <v>733774.62</v>
      </c>
      <c r="AI4301" t="n">
        <v>0</v>
      </c>
    </row>
    <row r="4302">
      <c r="A4302" t="inlineStr">
        <is>
          <t>5월</t>
        </is>
      </c>
      <c r="B4302" t="inlineStr">
        <is>
          <t>20주차</t>
        </is>
      </c>
      <c r="C4302" t="inlineStr">
        <is>
          <t>EP</t>
        </is>
      </c>
      <c r="D4302" s="28" t="n">
        <v>46155</v>
      </c>
      <c r="E4302" t="inlineStr">
        <is>
          <t>현대EP_fast</t>
        </is>
      </c>
      <c r="F4302" t="inlineStr">
        <is>
          <t>김희원</t>
        </is>
      </c>
      <c r="G4302" t="inlineStr">
        <is>
          <t>010-4079-2385</t>
        </is>
      </c>
      <c r="H4302" t="inlineStr">
        <is>
          <t>41저8741</t>
        </is>
      </c>
      <c r="I4302" t="n">
        <v>11000000</v>
      </c>
      <c r="J4302" t="n">
        <v>0.06900000000000001</v>
      </c>
      <c r="K4302" t="n">
        <v>1.76</v>
      </c>
      <c r="L4302" t="n">
        <v>0.14</v>
      </c>
      <c r="M4302" t="n">
        <v>1.62</v>
      </c>
      <c r="P4302" t="inlineStr">
        <is>
          <t>장진경</t>
        </is>
      </c>
      <c r="Q4302" t="inlineStr">
        <is>
          <t>선상담 / 홈서비스 36개월</t>
        </is>
      </c>
      <c r="AB4302" t="inlineStr">
        <is>
          <t>홈서비스</t>
        </is>
      </c>
      <c r="AC4302" t="n">
        <v>193600</v>
      </c>
      <c r="AD4302" t="n">
        <v>15400</v>
      </c>
      <c r="AE4302" t="n">
        <v>178200</v>
      </c>
      <c r="AF4302" t="n">
        <v>176000</v>
      </c>
      <c r="AG4302" t="n">
        <v>14891.8</v>
      </c>
      <c r="AH4302" t="n">
        <v>161108.2</v>
      </c>
      <c r="AI4302" t="n">
        <v>0</v>
      </c>
    </row>
    <row r="4303">
      <c r="A4303" t="inlineStr">
        <is>
          <t>5월</t>
        </is>
      </c>
      <c r="B4303" t="inlineStr">
        <is>
          <t>20주차</t>
        </is>
      </c>
      <c r="C4303" t="inlineStr">
        <is>
          <t>EP</t>
        </is>
      </c>
      <c r="D4303" s="28" t="n">
        <v>46156</v>
      </c>
      <c r="E4303" t="inlineStr">
        <is>
          <t>현대EP</t>
        </is>
      </c>
      <c r="F4303" t="inlineStr">
        <is>
          <t>조건영</t>
        </is>
      </c>
      <c r="G4303" t="inlineStr">
        <is>
          <t>010-4150-7671</t>
        </is>
      </c>
      <c r="H4303" t="inlineStr">
        <is>
          <t>243가8911</t>
        </is>
      </c>
      <c r="I4303" t="n">
        <v>33500000</v>
      </c>
      <c r="J4303" t="n">
        <v>0.06900000000000001</v>
      </c>
      <c r="K4303" t="n">
        <v>1.76</v>
      </c>
      <c r="L4303" t="n">
        <v>0.14</v>
      </c>
      <c r="M4303" t="n">
        <v>1.62</v>
      </c>
      <c r="P4303" t="inlineStr">
        <is>
          <t>정세빈</t>
        </is>
      </c>
      <c r="AB4303" t="inlineStr">
        <is>
          <t>홈서비스</t>
        </is>
      </c>
      <c r="AC4303" t="n">
        <v>589600</v>
      </c>
      <c r="AD4303" t="n">
        <v>46900</v>
      </c>
      <c r="AE4303" t="n">
        <v>542700</v>
      </c>
      <c r="AF4303" t="n">
        <v>536000</v>
      </c>
      <c r="AG4303" t="n">
        <v>45352.3</v>
      </c>
      <c r="AH4303" t="n">
        <v>490647.7</v>
      </c>
      <c r="AI4303" t="n">
        <v>0</v>
      </c>
    </row>
    <row r="4304">
      <c r="A4304" t="inlineStr">
        <is>
          <t>5월</t>
        </is>
      </c>
      <c r="B4304" t="inlineStr">
        <is>
          <t>20주차</t>
        </is>
      </c>
      <c r="C4304" t="inlineStr">
        <is>
          <t>IM</t>
        </is>
      </c>
      <c r="D4304" s="28" t="n">
        <v>46156</v>
      </c>
      <c r="E4304" t="inlineStr">
        <is>
          <t>IM캐피탈</t>
        </is>
      </c>
      <c r="F4304" t="inlineStr">
        <is>
          <t>김한빛</t>
        </is>
      </c>
      <c r="G4304" t="inlineStr">
        <is>
          <t>010-5516-4055</t>
        </is>
      </c>
      <c r="H4304" t="inlineStr">
        <is>
          <t>13루0201</t>
        </is>
      </c>
      <c r="I4304" t="n">
        <v>8000000</v>
      </c>
      <c r="J4304" t="n">
        <v>0.059</v>
      </c>
      <c r="K4304" t="n">
        <v>1.1</v>
      </c>
      <c r="L4304" t="n">
        <v>0.14</v>
      </c>
      <c r="M4304" t="n">
        <v>0.96</v>
      </c>
      <c r="P4304" t="inlineStr">
        <is>
          <t>황채이</t>
        </is>
      </c>
      <c r="Q4304" t="inlineStr">
        <is>
          <t xml:space="preserve">홈서비스 24개월 </t>
        </is>
      </c>
      <c r="AB4304" t="inlineStr">
        <is>
          <t>홈서비스</t>
        </is>
      </c>
      <c r="AC4304" t="n">
        <v>88000</v>
      </c>
      <c r="AD4304" t="n">
        <v>11200</v>
      </c>
      <c r="AE4304" t="n">
        <v>76800</v>
      </c>
      <c r="AF4304" t="n">
        <v>80000</v>
      </c>
      <c r="AG4304" t="n">
        <v>10830.4</v>
      </c>
      <c r="AH4304" t="n">
        <v>69169.60000000001</v>
      </c>
      <c r="AI4304" t="n">
        <v>0</v>
      </c>
    </row>
    <row r="4305">
      <c r="A4305" t="inlineStr">
        <is>
          <t>5월</t>
        </is>
      </c>
      <c r="B4305" t="inlineStr">
        <is>
          <t>20주차</t>
        </is>
      </c>
      <c r="C4305" t="inlineStr">
        <is>
          <t>EP</t>
        </is>
      </c>
      <c r="D4305" s="28" t="n">
        <v>46157</v>
      </c>
      <c r="E4305" t="inlineStr">
        <is>
          <t>현대EP_fast</t>
        </is>
      </c>
      <c r="F4305" t="inlineStr">
        <is>
          <t>송재익</t>
        </is>
      </c>
      <c r="G4305" t="inlineStr">
        <is>
          <t>010-5192-5962</t>
        </is>
      </c>
      <c r="H4305" t="inlineStr">
        <is>
          <t>16라4710</t>
        </is>
      </c>
      <c r="I4305" t="n">
        <v>6600000</v>
      </c>
      <c r="J4305" t="n">
        <v>0.07000000000000001</v>
      </c>
      <c r="K4305" t="n">
        <v>1.76</v>
      </c>
      <c r="L4305" t="n">
        <v>0.14</v>
      </c>
      <c r="M4305" t="n">
        <v>1.62</v>
      </c>
      <c r="P4305" t="inlineStr">
        <is>
          <t>황채이</t>
        </is>
      </c>
      <c r="Q4305" t="inlineStr">
        <is>
          <t>홈서비스 48개월 / 공동명의</t>
        </is>
      </c>
      <c r="AB4305" t="inlineStr">
        <is>
          <t>홈서비스</t>
        </is>
      </c>
      <c r="AC4305" t="n">
        <v>116160</v>
      </c>
      <c r="AD4305" t="n">
        <v>9240</v>
      </c>
      <c r="AE4305" t="n">
        <v>106920</v>
      </c>
      <c r="AF4305" t="n">
        <v>105600</v>
      </c>
      <c r="AG4305" t="n">
        <v>8935.08</v>
      </c>
      <c r="AH4305" t="n">
        <v>96664.92</v>
      </c>
      <c r="AI4305" t="n">
        <v>0</v>
      </c>
    </row>
    <row r="4306">
      <c r="A4306" t="inlineStr">
        <is>
          <t>5월</t>
        </is>
      </c>
      <c r="B4306" t="inlineStr">
        <is>
          <t>20주차</t>
        </is>
      </c>
      <c r="C4306" t="inlineStr">
        <is>
          <t>EP</t>
        </is>
      </c>
      <c r="D4306" s="28" t="n">
        <v>46157</v>
      </c>
      <c r="E4306" t="inlineStr">
        <is>
          <t>현대EP_fast</t>
        </is>
      </c>
      <c r="F4306" t="inlineStr">
        <is>
          <t>조훈</t>
        </is>
      </c>
      <c r="G4306" t="inlineStr">
        <is>
          <t>010-7170-9239</t>
        </is>
      </c>
      <c r="H4306" t="inlineStr">
        <is>
          <t>24수1764</t>
        </is>
      </c>
      <c r="I4306" t="n">
        <v>5000000</v>
      </c>
      <c r="J4306" t="n">
        <v>0.089</v>
      </c>
      <c r="K4306" t="n">
        <v>1.76</v>
      </c>
      <c r="L4306" t="n">
        <v>0.14</v>
      </c>
      <c r="M4306" t="n">
        <v>1.62</v>
      </c>
      <c r="P4306" t="inlineStr">
        <is>
          <t>황채이</t>
        </is>
      </c>
      <c r="Q4306" t="inlineStr">
        <is>
          <t>홈서비스 60개월</t>
        </is>
      </c>
      <c r="AB4306" t="inlineStr">
        <is>
          <t>홈서비스</t>
        </is>
      </c>
      <c r="AC4306" t="n">
        <v>88000</v>
      </c>
      <c r="AD4306" t="n">
        <v>7000</v>
      </c>
      <c r="AE4306" t="n">
        <v>81000</v>
      </c>
      <c r="AF4306" t="n">
        <v>80000</v>
      </c>
      <c r="AG4306" t="n">
        <v>6769</v>
      </c>
      <c r="AH4306" t="n">
        <v>73231</v>
      </c>
      <c r="AI4306" t="n">
        <v>0</v>
      </c>
    </row>
    <row r="4307">
      <c r="A4307" t="inlineStr">
        <is>
          <t>5월</t>
        </is>
      </c>
      <c r="B4307" t="inlineStr">
        <is>
          <t>20주차</t>
        </is>
      </c>
      <c r="C4307" t="inlineStr">
        <is>
          <t>EP</t>
        </is>
      </c>
      <c r="D4307" s="28" t="n">
        <v>46157</v>
      </c>
      <c r="E4307" t="inlineStr">
        <is>
          <t>현대EP_fast</t>
        </is>
      </c>
      <c r="F4307" t="inlineStr">
        <is>
          <t>안병관</t>
        </is>
      </c>
      <c r="G4307" t="inlineStr">
        <is>
          <t>010-2387-5879</t>
        </is>
      </c>
      <c r="H4307" t="inlineStr">
        <is>
          <t>174어3839</t>
        </is>
      </c>
      <c r="I4307" t="n">
        <v>38500000</v>
      </c>
      <c r="J4307" t="n">
        <v>0.102</v>
      </c>
      <c r="K4307" t="n">
        <v>1.76</v>
      </c>
      <c r="L4307" t="n">
        <v>0.14</v>
      </c>
      <c r="M4307" t="n">
        <v>1.62</v>
      </c>
      <c r="P4307" t="inlineStr">
        <is>
          <t>황채이</t>
        </is>
      </c>
      <c r="Q4307" t="inlineStr">
        <is>
          <t>홈서비스 60개월</t>
        </is>
      </c>
      <c r="AB4307" t="inlineStr">
        <is>
          <t>홈서비스</t>
        </is>
      </c>
      <c r="AC4307" t="n">
        <v>677600</v>
      </c>
      <c r="AD4307" t="n">
        <v>53900</v>
      </c>
      <c r="AE4307" t="n">
        <v>623700</v>
      </c>
      <c r="AF4307" t="n">
        <v>616000</v>
      </c>
      <c r="AG4307" t="n">
        <v>52121.3</v>
      </c>
      <c r="AH4307" t="n">
        <v>563878.7</v>
      </c>
      <c r="AI4307" t="n">
        <v>0</v>
      </c>
    </row>
    <row r="4308">
      <c r="A4308" t="inlineStr">
        <is>
          <t>5월</t>
        </is>
      </c>
      <c r="B4308" t="inlineStr">
        <is>
          <t>20주차</t>
        </is>
      </c>
      <c r="C4308" t="inlineStr">
        <is>
          <t>EP</t>
        </is>
      </c>
      <c r="D4308" s="28" t="n">
        <v>46156</v>
      </c>
      <c r="E4308" t="inlineStr">
        <is>
          <t>현대EP</t>
        </is>
      </c>
      <c r="F4308" t="inlineStr">
        <is>
          <t>심상호</t>
        </is>
      </c>
      <c r="G4308" t="inlineStr">
        <is>
          <t>010-9814-2842</t>
        </is>
      </c>
      <c r="H4308" t="inlineStr">
        <is>
          <t>377우1924</t>
        </is>
      </c>
      <c r="I4308" t="n">
        <v>20000000</v>
      </c>
      <c r="J4308" t="n">
        <v>0.062</v>
      </c>
      <c r="K4308" t="n">
        <v>1.76</v>
      </c>
      <c r="L4308" t="n">
        <v>0.14</v>
      </c>
      <c r="M4308" t="n">
        <v>1.62</v>
      </c>
      <c r="P4308" t="inlineStr">
        <is>
          <t>김수연</t>
        </is>
      </c>
      <c r="AB4308" t="inlineStr">
        <is>
          <t>홈서비스</t>
        </is>
      </c>
      <c r="AC4308" t="n">
        <v>352000</v>
      </c>
      <c r="AD4308" t="n">
        <v>28000</v>
      </c>
      <c r="AE4308" t="n">
        <v>324000</v>
      </c>
      <c r="AF4308" t="n">
        <v>320000</v>
      </c>
      <c r="AG4308" t="n">
        <v>27076</v>
      </c>
      <c r="AH4308" t="n">
        <v>292924</v>
      </c>
      <c r="AI4308" t="n">
        <v>0</v>
      </c>
    </row>
    <row r="4309">
      <c r="A4309" t="inlineStr">
        <is>
          <t>5월</t>
        </is>
      </c>
      <c r="B4309" t="inlineStr">
        <is>
          <t>20주차</t>
        </is>
      </c>
      <c r="C4309" t="inlineStr">
        <is>
          <t>IM</t>
        </is>
      </c>
      <c r="D4309" s="28" t="n">
        <v>46156</v>
      </c>
      <c r="E4309" t="inlineStr">
        <is>
          <t>IM캐피탈</t>
        </is>
      </c>
      <c r="F4309" t="inlineStr">
        <is>
          <t>배진태</t>
        </is>
      </c>
      <c r="G4309" t="inlineStr">
        <is>
          <t>010-7163-6585</t>
        </is>
      </c>
      <c r="H4309" t="inlineStr">
        <is>
          <t>167저6245</t>
        </is>
      </c>
      <c r="I4309" t="n">
        <v>21000000</v>
      </c>
      <c r="J4309" t="n">
        <v>0.049</v>
      </c>
      <c r="K4309" t="n">
        <v>1.1</v>
      </c>
      <c r="L4309" t="n">
        <v>0.5</v>
      </c>
      <c r="M4309" t="n">
        <v>0.6</v>
      </c>
      <c r="P4309" t="inlineStr">
        <is>
          <t>임대경</t>
        </is>
      </c>
      <c r="AB4309" t="inlineStr">
        <is>
          <t>엔카</t>
        </is>
      </c>
      <c r="AC4309" t="n">
        <v>231000</v>
      </c>
      <c r="AD4309" t="n">
        <v>105000</v>
      </c>
      <c r="AE4309" t="n">
        <v>126000</v>
      </c>
      <c r="AF4309" t="n">
        <v>210000</v>
      </c>
      <c r="AG4309" t="n">
        <v>101535</v>
      </c>
      <c r="AH4309" t="n">
        <v>108465</v>
      </c>
    </row>
    <row r="4310">
      <c r="A4310" t="inlineStr">
        <is>
          <t>5월</t>
        </is>
      </c>
      <c r="B4310" t="inlineStr">
        <is>
          <t>20주차</t>
        </is>
      </c>
      <c r="C4310" t="inlineStr">
        <is>
          <t>IM</t>
        </is>
      </c>
      <c r="D4310" s="28" t="n">
        <v>46156</v>
      </c>
      <c r="E4310" t="inlineStr">
        <is>
          <t>IM캐피탈</t>
        </is>
      </c>
      <c r="F4310" t="inlineStr">
        <is>
          <t>이혜란</t>
        </is>
      </c>
      <c r="G4310" t="inlineStr">
        <is>
          <t>010-5247-2566</t>
        </is>
      </c>
      <c r="H4310" t="inlineStr">
        <is>
          <t>257부5043</t>
        </is>
      </c>
      <c r="I4310" t="n">
        <v>18600000</v>
      </c>
      <c r="J4310" t="n">
        <v>0.049</v>
      </c>
      <c r="K4310" t="n">
        <v>1.1</v>
      </c>
      <c r="L4310" t="n">
        <v>0.5</v>
      </c>
      <c r="M4310" t="n">
        <v>0.6</v>
      </c>
      <c r="P4310" t="inlineStr">
        <is>
          <t>임대경</t>
        </is>
      </c>
      <c r="Q4310" t="inlineStr">
        <is>
          <t>부대비용추가진행</t>
        </is>
      </c>
      <c r="AB4310" t="inlineStr">
        <is>
          <t>엔카</t>
        </is>
      </c>
      <c r="AC4310" t="n">
        <v>204600</v>
      </c>
      <c r="AD4310" t="n">
        <v>93000</v>
      </c>
      <c r="AE4310" t="n">
        <v>111600</v>
      </c>
      <c r="AF4310" t="n">
        <v>186000</v>
      </c>
      <c r="AG4310" t="n">
        <v>89931</v>
      </c>
      <c r="AH4310" t="n">
        <v>96069</v>
      </c>
      <c r="AI4310" t="n">
        <v>0</v>
      </c>
    </row>
    <row r="4311">
      <c r="A4311" t="inlineStr">
        <is>
          <t>5월</t>
        </is>
      </c>
      <c r="B4311" t="inlineStr">
        <is>
          <t>20주차</t>
        </is>
      </c>
      <c r="C4311" t="inlineStr">
        <is>
          <t>EP</t>
        </is>
      </c>
      <c r="D4311" s="28" t="n">
        <v>46157</v>
      </c>
      <c r="E4311" t="inlineStr">
        <is>
          <t>현대EP_fast</t>
        </is>
      </c>
      <c r="F4311" t="inlineStr">
        <is>
          <t>이정석</t>
        </is>
      </c>
      <c r="G4311" t="inlineStr">
        <is>
          <t>010-2490-5059</t>
        </is>
      </c>
      <c r="H4311" t="inlineStr">
        <is>
          <t>30조2766</t>
        </is>
      </c>
      <c r="I4311" t="n">
        <v>14800000</v>
      </c>
      <c r="J4311" t="n">
        <v>0.08500000000000001</v>
      </c>
      <c r="K4311" t="n">
        <v>1.76</v>
      </c>
      <c r="L4311" t="n">
        <v>0.14</v>
      </c>
      <c r="M4311" t="n">
        <v>1.62</v>
      </c>
      <c r="P4311" t="inlineStr">
        <is>
          <t>최형주</t>
        </is>
      </c>
      <c r="Q4311" t="inlineStr">
        <is>
          <t>홈서비스 60개월</t>
        </is>
      </c>
      <c r="AB4311" t="inlineStr">
        <is>
          <t>홈서비스</t>
        </is>
      </c>
      <c r="AC4311" t="n">
        <v>260480</v>
      </c>
      <c r="AD4311" t="n">
        <v>20720</v>
      </c>
      <c r="AE4311" t="n">
        <v>239760</v>
      </c>
      <c r="AF4311" t="n">
        <v>236800</v>
      </c>
      <c r="AG4311" t="n">
        <v>20036.24</v>
      </c>
      <c r="AH4311" t="n">
        <v>216763.76</v>
      </c>
      <c r="AI4311" t="n">
        <v>0</v>
      </c>
    </row>
    <row r="4312">
      <c r="A4312" t="inlineStr">
        <is>
          <t>5월</t>
        </is>
      </c>
      <c r="B4312" t="inlineStr">
        <is>
          <t>20주차</t>
        </is>
      </c>
      <c r="C4312" t="inlineStr">
        <is>
          <t>EP</t>
        </is>
      </c>
      <c r="D4312" s="28" t="n">
        <v>46157</v>
      </c>
      <c r="E4312" t="inlineStr">
        <is>
          <t>현대EP_fast</t>
        </is>
      </c>
      <c r="F4312" t="inlineStr">
        <is>
          <t>안영덕</t>
        </is>
      </c>
      <c r="G4312" t="inlineStr">
        <is>
          <t>010-4181-1944</t>
        </is>
      </c>
      <c r="H4312" t="inlineStr">
        <is>
          <t>87로3266</t>
        </is>
      </c>
      <c r="I4312" t="n">
        <v>4900000</v>
      </c>
      <c r="J4312" t="n">
        <v>0.07000000000000001</v>
      </c>
      <c r="K4312" t="n">
        <v>1.76</v>
      </c>
      <c r="L4312" t="n">
        <v>0.14</v>
      </c>
      <c r="M4312" t="n">
        <v>1.62</v>
      </c>
      <c r="P4312" t="inlineStr">
        <is>
          <t>정세빈</t>
        </is>
      </c>
      <c r="Q4312" t="inlineStr">
        <is>
          <t>홈서비스 36개월</t>
        </is>
      </c>
      <c r="AB4312" t="inlineStr">
        <is>
          <t>홈서비스</t>
        </is>
      </c>
      <c r="AC4312" t="n">
        <v>86240</v>
      </c>
      <c r="AD4312" t="n">
        <v>6860</v>
      </c>
      <c r="AE4312" t="n">
        <v>79380</v>
      </c>
      <c r="AF4312" t="n">
        <v>78400</v>
      </c>
      <c r="AG4312" t="n">
        <v>6633.62</v>
      </c>
      <c r="AH4312" t="n">
        <v>71766.38</v>
      </c>
    </row>
    <row r="4313">
      <c r="A4313" t="inlineStr">
        <is>
          <t>5월</t>
        </is>
      </c>
      <c r="B4313" t="inlineStr">
        <is>
          <t>20주차</t>
        </is>
      </c>
      <c r="C4313" t="inlineStr">
        <is>
          <t>EP</t>
        </is>
      </c>
      <c r="D4313" s="28" t="n">
        <v>46156</v>
      </c>
      <c r="E4313" t="inlineStr">
        <is>
          <t>현대EP</t>
        </is>
      </c>
      <c r="F4313" t="inlineStr">
        <is>
          <t>한은규</t>
        </is>
      </c>
      <c r="G4313" t="inlineStr">
        <is>
          <t>010-9162-1906</t>
        </is>
      </c>
      <c r="H4313" t="inlineStr">
        <is>
          <t>164누4308</t>
        </is>
      </c>
      <c r="I4313" t="n">
        <v>35500000</v>
      </c>
      <c r="J4313" t="n">
        <v>0.081</v>
      </c>
      <c r="K4313" t="n">
        <v>1.76</v>
      </c>
      <c r="L4313" t="n">
        <v>0.14</v>
      </c>
      <c r="M4313" t="n">
        <v>1.62</v>
      </c>
      <c r="P4313" t="inlineStr">
        <is>
          <t>김수연</t>
        </is>
      </c>
      <c r="AB4313" t="inlineStr">
        <is>
          <t>홈서비스</t>
        </is>
      </c>
      <c r="AC4313" t="n">
        <v>624800</v>
      </c>
      <c r="AD4313" t="n">
        <v>49700</v>
      </c>
      <c r="AE4313" t="n">
        <v>575100</v>
      </c>
      <c r="AF4313" t="n">
        <v>568000</v>
      </c>
      <c r="AG4313" t="n">
        <v>48059.9</v>
      </c>
      <c r="AH4313" t="n">
        <v>519940.1</v>
      </c>
      <c r="AI4313" t="n">
        <v>0</v>
      </c>
    </row>
    <row r="4314">
      <c r="A4314" t="inlineStr">
        <is>
          <t>5월</t>
        </is>
      </c>
      <c r="B4314" t="inlineStr">
        <is>
          <t>20주차</t>
        </is>
      </c>
      <c r="C4314" t="inlineStr">
        <is>
          <t>EP</t>
        </is>
      </c>
      <c r="D4314" s="28" t="n">
        <v>46156</v>
      </c>
      <c r="E4314" t="inlineStr">
        <is>
          <t>현대EP_fast</t>
        </is>
      </c>
      <c r="F4314" t="inlineStr">
        <is>
          <t>김현철</t>
        </is>
      </c>
      <c r="G4314" t="inlineStr">
        <is>
          <t>010-7479-1983</t>
        </is>
      </c>
      <c r="H4314" t="inlineStr">
        <is>
          <t>63거6050</t>
        </is>
      </c>
      <c r="I4314" t="n">
        <v>9500000</v>
      </c>
      <c r="J4314" t="n">
        <v>0.08799999999999999</v>
      </c>
      <c r="K4314" t="n">
        <v>1.76</v>
      </c>
      <c r="L4314" t="n">
        <v>0.4</v>
      </c>
      <c r="M4314" t="n">
        <v>1.36</v>
      </c>
      <c r="P4314" t="inlineStr">
        <is>
          <t>최혁</t>
        </is>
      </c>
      <c r="AB4314" t="inlineStr">
        <is>
          <t>엔카</t>
        </is>
      </c>
      <c r="AC4314" t="n">
        <v>167200</v>
      </c>
      <c r="AD4314" t="n">
        <v>38000</v>
      </c>
      <c r="AE4314" t="n">
        <v>129200</v>
      </c>
      <c r="AF4314" t="n">
        <v>152000</v>
      </c>
      <c r="AG4314" t="n">
        <v>36746</v>
      </c>
      <c r="AH4314" t="n">
        <v>115254</v>
      </c>
    </row>
    <row r="4315">
      <c r="A4315" t="inlineStr">
        <is>
          <t>5월</t>
        </is>
      </c>
      <c r="B4315" t="inlineStr">
        <is>
          <t>20주차</t>
        </is>
      </c>
      <c r="C4315" t="inlineStr">
        <is>
          <t>IM</t>
        </is>
      </c>
      <c r="D4315" s="28" t="n">
        <v>46157</v>
      </c>
      <c r="E4315" t="inlineStr">
        <is>
          <t>IM캐피탈</t>
        </is>
      </c>
      <c r="F4315" t="inlineStr">
        <is>
          <t>김정태</t>
        </is>
      </c>
      <c r="G4315" t="inlineStr">
        <is>
          <t>010-5467-7745</t>
        </is>
      </c>
      <c r="H4315" t="inlineStr">
        <is>
          <t>19우2651</t>
        </is>
      </c>
      <c r="I4315" t="n">
        <v>4500000</v>
      </c>
      <c r="J4315" t="n">
        <v>0.059</v>
      </c>
      <c r="K4315" t="n">
        <v>1.1</v>
      </c>
      <c r="L4315" t="n">
        <v>0.14</v>
      </c>
      <c r="M4315" t="n">
        <v>0.96</v>
      </c>
      <c r="P4315" t="inlineStr">
        <is>
          <t>김수연</t>
        </is>
      </c>
      <c r="Q4315" t="inlineStr">
        <is>
          <t>홈서비스 60개월</t>
        </is>
      </c>
      <c r="AB4315" t="inlineStr">
        <is>
          <t>홈서비스</t>
        </is>
      </c>
      <c r="AC4315" t="n">
        <v>49500</v>
      </c>
      <c r="AD4315" t="n">
        <v>6300</v>
      </c>
      <c r="AE4315" t="n">
        <v>43200</v>
      </c>
      <c r="AF4315" t="n">
        <v>45000</v>
      </c>
      <c r="AG4315" t="n">
        <v>6092.1</v>
      </c>
      <c r="AH4315" t="n">
        <v>38907.9</v>
      </c>
      <c r="AI4315" t="n">
        <v>0</v>
      </c>
    </row>
    <row r="4316">
      <c r="A4316" t="inlineStr">
        <is>
          <t>5월</t>
        </is>
      </c>
      <c r="B4316" t="inlineStr">
        <is>
          <t>20주차</t>
        </is>
      </c>
      <c r="C4316" t="inlineStr">
        <is>
          <t>EP</t>
        </is>
      </c>
      <c r="D4316" s="28" t="n">
        <v>46155</v>
      </c>
      <c r="E4316" t="inlineStr">
        <is>
          <t>현대EP</t>
        </is>
      </c>
      <c r="F4316" t="inlineStr">
        <is>
          <t>김승철</t>
        </is>
      </c>
      <c r="G4316" t="inlineStr">
        <is>
          <t>010-3683-5614</t>
        </is>
      </c>
      <c r="H4316" t="inlineStr">
        <is>
          <t>122조4153</t>
        </is>
      </c>
      <c r="I4316" t="n">
        <v>24400000</v>
      </c>
      <c r="J4316" t="n">
        <v>0.089</v>
      </c>
      <c r="K4316" t="n">
        <v>1.76</v>
      </c>
      <c r="L4316" t="n">
        <v>0.14</v>
      </c>
      <c r="M4316" t="n">
        <v>1.62</v>
      </c>
      <c r="P4316" t="inlineStr">
        <is>
          <t>박소현</t>
        </is>
      </c>
      <c r="AB4316" t="inlineStr">
        <is>
          <t>홈서비스</t>
        </is>
      </c>
      <c r="AC4316" t="n">
        <v>429440</v>
      </c>
      <c r="AD4316" t="n">
        <v>34160</v>
      </c>
      <c r="AE4316" t="n">
        <v>395280</v>
      </c>
      <c r="AF4316" t="n">
        <v>390400</v>
      </c>
      <c r="AG4316" t="n">
        <v>33032.72</v>
      </c>
      <c r="AH4316" t="n">
        <v>357367.28</v>
      </c>
      <c r="AI4316" t="n">
        <v>0</v>
      </c>
    </row>
    <row r="4317">
      <c r="A4317" t="inlineStr">
        <is>
          <t>5월</t>
        </is>
      </c>
      <c r="B4317" t="inlineStr">
        <is>
          <t>20주차</t>
        </is>
      </c>
      <c r="C4317" t="inlineStr">
        <is>
          <t>EP</t>
        </is>
      </c>
      <c r="D4317" s="28" t="n">
        <v>46157</v>
      </c>
      <c r="E4317" t="inlineStr">
        <is>
          <t>현대EP_fast</t>
        </is>
      </c>
      <c r="F4317" t="inlineStr">
        <is>
          <t>오정훈</t>
        </is>
      </c>
      <c r="G4317" t="inlineStr">
        <is>
          <t>010-5259-4079</t>
        </is>
      </c>
      <c r="H4317" t="inlineStr">
        <is>
          <t>127버7862</t>
        </is>
      </c>
      <c r="I4317" t="n">
        <v>60500000</v>
      </c>
      <c r="J4317" t="n">
        <v>0.089</v>
      </c>
      <c r="K4317" t="n">
        <v>1.76</v>
      </c>
      <c r="L4317" t="n">
        <v>0.4</v>
      </c>
      <c r="M4317" t="n">
        <v>1.36</v>
      </c>
      <c r="P4317" t="inlineStr">
        <is>
          <t>박소현</t>
        </is>
      </c>
      <c r="AB4317" t="inlineStr">
        <is>
          <t>엔카</t>
        </is>
      </c>
      <c r="AC4317" t="n">
        <v>1064800</v>
      </c>
      <c r="AD4317" t="n">
        <v>242000</v>
      </c>
      <c r="AE4317" t="n">
        <v>822800</v>
      </c>
      <c r="AF4317" t="n">
        <v>968000</v>
      </c>
      <c r="AG4317" t="n">
        <v>234014</v>
      </c>
      <c r="AH4317" t="n">
        <v>733986</v>
      </c>
    </row>
    <row r="4318">
      <c r="A4318" t="inlineStr">
        <is>
          <t>5월</t>
        </is>
      </c>
      <c r="B4318" t="inlineStr">
        <is>
          <t>20주차</t>
        </is>
      </c>
      <c r="C4318" t="inlineStr">
        <is>
          <t>EP</t>
        </is>
      </c>
      <c r="D4318" s="28" t="n">
        <v>46157</v>
      </c>
      <c r="E4318" t="inlineStr">
        <is>
          <t>현대EP_fast</t>
        </is>
      </c>
      <c r="F4318" t="inlineStr">
        <is>
          <t>이희근</t>
        </is>
      </c>
      <c r="G4318" t="inlineStr">
        <is>
          <t>010-6577-4440</t>
        </is>
      </c>
      <c r="H4318" t="inlineStr">
        <is>
          <t>287머5371</t>
        </is>
      </c>
      <c r="I4318" t="n">
        <v>6000000</v>
      </c>
      <c r="J4318" t="n">
        <v>0.06900000000000001</v>
      </c>
      <c r="K4318" t="n">
        <v>1.76</v>
      </c>
      <c r="L4318" t="n">
        <v>0.14</v>
      </c>
      <c r="M4318" t="n">
        <v>1.62</v>
      </c>
      <c r="P4318" t="inlineStr">
        <is>
          <t>황채이</t>
        </is>
      </c>
      <c r="Q4318" t="inlineStr">
        <is>
          <t>홈서비스 60개월</t>
        </is>
      </c>
      <c r="AB4318" t="inlineStr">
        <is>
          <t>홈서비스</t>
        </is>
      </c>
      <c r="AC4318" t="n">
        <v>105600</v>
      </c>
      <c r="AD4318" t="n">
        <v>8400</v>
      </c>
      <c r="AE4318" t="n">
        <v>97200</v>
      </c>
      <c r="AF4318" t="n">
        <v>96000</v>
      </c>
      <c r="AG4318" t="n">
        <v>8122.8</v>
      </c>
      <c r="AH4318" t="n">
        <v>87877.2</v>
      </c>
      <c r="AI4318" t="n">
        <v>0</v>
      </c>
    </row>
    <row r="4319">
      <c r="A4319" t="inlineStr">
        <is>
          <t>5월</t>
        </is>
      </c>
      <c r="B4319" t="inlineStr">
        <is>
          <t>20주차</t>
        </is>
      </c>
      <c r="C4319" t="inlineStr">
        <is>
          <t>EP</t>
        </is>
      </c>
      <c r="D4319" s="28" t="n">
        <v>46157</v>
      </c>
      <c r="E4319" t="inlineStr">
        <is>
          <t>현대EP_fast</t>
        </is>
      </c>
      <c r="F4319" t="inlineStr">
        <is>
          <t>정숙경</t>
        </is>
      </c>
      <c r="G4319" t="inlineStr">
        <is>
          <t>010-8699-2413</t>
        </is>
      </c>
      <c r="H4319" t="inlineStr">
        <is>
          <t>221호7215</t>
        </is>
      </c>
      <c r="I4319" t="n">
        <v>3500000</v>
      </c>
      <c r="J4319" t="n">
        <v>0.089</v>
      </c>
      <c r="K4319" t="n">
        <v>1.76</v>
      </c>
      <c r="L4319" t="n">
        <v>0.14</v>
      </c>
      <c r="M4319" t="n">
        <v>1.62</v>
      </c>
      <c r="P4319" t="inlineStr">
        <is>
          <t>황채이</t>
        </is>
      </c>
      <c r="Q4319" t="inlineStr">
        <is>
          <t>홈서비스 24개월</t>
        </is>
      </c>
      <c r="AB4319" t="inlineStr">
        <is>
          <t>홈서비스</t>
        </is>
      </c>
      <c r="AC4319" t="n">
        <v>61600</v>
      </c>
      <c r="AD4319" t="n">
        <v>4900</v>
      </c>
      <c r="AE4319" t="n">
        <v>56700</v>
      </c>
      <c r="AF4319" t="n">
        <v>56000</v>
      </c>
      <c r="AG4319" t="n">
        <v>4738.3</v>
      </c>
      <c r="AH4319" t="n">
        <v>51261.7</v>
      </c>
      <c r="AI4319" t="n">
        <v>0</v>
      </c>
    </row>
    <row r="4320">
      <c r="A4320" t="inlineStr">
        <is>
          <t>5월</t>
        </is>
      </c>
      <c r="B4320" t="inlineStr">
        <is>
          <t>20주차</t>
        </is>
      </c>
      <c r="C4320" t="inlineStr">
        <is>
          <t>EP</t>
        </is>
      </c>
      <c r="D4320" s="28" t="n">
        <v>46157</v>
      </c>
      <c r="E4320" t="inlineStr">
        <is>
          <t>현대EP_fast</t>
        </is>
      </c>
      <c r="F4320" t="inlineStr">
        <is>
          <t>송용관</t>
        </is>
      </c>
      <c r="G4320" t="inlineStr">
        <is>
          <t>010-5176-9658</t>
        </is>
      </c>
      <c r="H4320" t="inlineStr">
        <is>
          <t>392오9225</t>
        </is>
      </c>
      <c r="I4320" t="n">
        <v>14000000</v>
      </c>
      <c r="J4320" t="n">
        <v>0.08799999999999999</v>
      </c>
      <c r="K4320" t="n">
        <v>1.76</v>
      </c>
      <c r="L4320" t="n">
        <v>0.14</v>
      </c>
      <c r="M4320" t="n">
        <v>1.62</v>
      </c>
      <c r="P4320" t="inlineStr">
        <is>
          <t>황채이</t>
        </is>
      </c>
      <c r="Q4320" t="inlineStr">
        <is>
          <t>홈서비스 60개월</t>
        </is>
      </c>
      <c r="AB4320" t="inlineStr">
        <is>
          <t>홈서비스</t>
        </is>
      </c>
      <c r="AC4320" t="n">
        <v>246400</v>
      </c>
      <c r="AD4320" t="n">
        <v>19600</v>
      </c>
      <c r="AE4320" t="n">
        <v>226800</v>
      </c>
      <c r="AF4320" t="n">
        <v>224000</v>
      </c>
      <c r="AG4320" t="n">
        <v>18953.2</v>
      </c>
      <c r="AH4320" t="n">
        <v>205046.8</v>
      </c>
      <c r="AI4320" t="n">
        <v>0</v>
      </c>
    </row>
    <row r="4321">
      <c r="A4321" t="inlineStr">
        <is>
          <t>5월</t>
        </is>
      </c>
      <c r="B4321" t="inlineStr">
        <is>
          <t>20주차</t>
        </is>
      </c>
      <c r="C4321" t="inlineStr">
        <is>
          <t>EP</t>
        </is>
      </c>
      <c r="D4321" s="28" t="n">
        <v>46156</v>
      </c>
      <c r="E4321" t="inlineStr">
        <is>
          <t>현대EP_fast</t>
        </is>
      </c>
      <c r="F4321" t="inlineStr">
        <is>
          <t>송재안</t>
        </is>
      </c>
      <c r="G4321" t="inlineStr">
        <is>
          <t>010-2995-9951</t>
        </is>
      </c>
      <c r="H4321" t="inlineStr">
        <is>
          <t>391누2521</t>
        </is>
      </c>
      <c r="I4321" t="n">
        <v>29900000</v>
      </c>
      <c r="J4321" t="n">
        <v>0.118</v>
      </c>
      <c r="K4321" t="n">
        <v>1.76</v>
      </c>
      <c r="L4321" t="n">
        <v>0.14</v>
      </c>
      <c r="M4321" t="n">
        <v>1.62</v>
      </c>
      <c r="P4321" t="inlineStr">
        <is>
          <t>박보람</t>
        </is>
      </c>
      <c r="Q4321" t="inlineStr">
        <is>
          <t>선상담 / 홈서비스 48개월</t>
        </is>
      </c>
      <c r="AB4321" t="inlineStr">
        <is>
          <t>홈서비스</t>
        </is>
      </c>
      <c r="AC4321" t="n">
        <v>526240</v>
      </c>
      <c r="AD4321" t="n">
        <v>41860</v>
      </c>
      <c r="AE4321" t="n">
        <v>484380</v>
      </c>
      <c r="AF4321" t="n">
        <v>478400</v>
      </c>
      <c r="AG4321" t="n">
        <v>40478.62</v>
      </c>
      <c r="AH4321" t="n">
        <v>437921.38</v>
      </c>
      <c r="AI4321" t="n">
        <v>0</v>
      </c>
    </row>
    <row r="4322">
      <c r="A4322" t="inlineStr">
        <is>
          <t>5월</t>
        </is>
      </c>
      <c r="B4322" t="inlineStr">
        <is>
          <t>20주차</t>
        </is>
      </c>
      <c r="C4322" t="inlineStr">
        <is>
          <t>IM</t>
        </is>
      </c>
      <c r="D4322" s="28" t="n">
        <v>46157</v>
      </c>
      <c r="E4322" t="inlineStr">
        <is>
          <t>IM캐피탈</t>
        </is>
      </c>
      <c r="F4322" t="inlineStr">
        <is>
          <t>김덕중</t>
        </is>
      </c>
      <c r="G4322" t="inlineStr">
        <is>
          <t>010-6381-1598</t>
        </is>
      </c>
      <c r="H4322" t="inlineStr">
        <is>
          <t>52너1184</t>
        </is>
      </c>
      <c r="I4322" t="n">
        <v>22300000</v>
      </c>
      <c r="J4322" t="n">
        <v>0.045</v>
      </c>
      <c r="K4322" t="n">
        <v>1.1</v>
      </c>
      <c r="L4322" t="n">
        <v>0.14</v>
      </c>
      <c r="M4322" t="n">
        <v>0.96</v>
      </c>
      <c r="P4322" t="inlineStr">
        <is>
          <t>정세빈</t>
        </is>
      </c>
      <c r="Q4322" t="inlineStr">
        <is>
          <t>홈서비스 60개월</t>
        </is>
      </c>
      <c r="AB4322" t="inlineStr">
        <is>
          <t>홈서비스</t>
        </is>
      </c>
      <c r="AC4322" t="n">
        <v>245300</v>
      </c>
      <c r="AD4322" t="n">
        <v>31220</v>
      </c>
      <c r="AE4322" t="n">
        <v>214080</v>
      </c>
      <c r="AF4322" t="n">
        <v>223000</v>
      </c>
      <c r="AG4322" t="n">
        <v>30189.74</v>
      </c>
      <c r="AH4322" t="n">
        <v>192810.26</v>
      </c>
      <c r="AI4322" t="n">
        <v>0</v>
      </c>
    </row>
    <row r="4323">
      <c r="A4323" t="inlineStr">
        <is>
          <t>5월</t>
        </is>
      </c>
      <c r="B4323" t="inlineStr">
        <is>
          <t>20주차</t>
        </is>
      </c>
      <c r="C4323" t="inlineStr">
        <is>
          <t>EP</t>
        </is>
      </c>
      <c r="D4323" s="28" t="n">
        <v>46157</v>
      </c>
      <c r="E4323" t="inlineStr">
        <is>
          <t>현대EP_fast</t>
        </is>
      </c>
      <c r="F4323" t="inlineStr">
        <is>
          <t>박종현</t>
        </is>
      </c>
      <c r="G4323" t="inlineStr">
        <is>
          <t>010-5503-5433</t>
        </is>
      </c>
      <c r="H4323" t="inlineStr">
        <is>
          <t>254마7514</t>
        </is>
      </c>
      <c r="I4323" t="n">
        <v>33000000</v>
      </c>
      <c r="J4323" t="n">
        <v>0.08699999999999999</v>
      </c>
      <c r="K4323" t="n">
        <v>1.76</v>
      </c>
      <c r="L4323" t="n">
        <v>0.14</v>
      </c>
      <c r="M4323" t="n">
        <v>1.62</v>
      </c>
      <c r="P4323" t="inlineStr">
        <is>
          <t>정세빈</t>
        </is>
      </c>
      <c r="Q4323" t="inlineStr">
        <is>
          <t>홈서비스 60개월 / 공동명의</t>
        </is>
      </c>
      <c r="AB4323" t="inlineStr">
        <is>
          <t>홈서비스</t>
        </is>
      </c>
      <c r="AC4323" t="n">
        <v>580800</v>
      </c>
      <c r="AD4323" t="n">
        <v>46200</v>
      </c>
      <c r="AE4323" t="n">
        <v>534600</v>
      </c>
      <c r="AF4323" t="n">
        <v>528000</v>
      </c>
      <c r="AG4323" t="n">
        <v>44675.4</v>
      </c>
      <c r="AH4323" t="n">
        <v>483324.6</v>
      </c>
      <c r="AI4323" t="n">
        <v>0</v>
      </c>
    </row>
    <row r="4324">
      <c r="A4324" t="inlineStr">
        <is>
          <t>5월</t>
        </is>
      </c>
      <c r="B4324" t="inlineStr">
        <is>
          <t>20주차</t>
        </is>
      </c>
      <c r="C4324" t="inlineStr">
        <is>
          <t>HC</t>
        </is>
      </c>
      <c r="D4324" s="28" t="n">
        <v>46154</v>
      </c>
      <c r="E4324" t="inlineStr">
        <is>
          <t>하나캐피탈</t>
        </is>
      </c>
      <c r="F4324" t="inlineStr">
        <is>
          <t>최현석</t>
        </is>
      </c>
      <c r="G4324" t="inlineStr">
        <is>
          <t>010-6271-2792</t>
        </is>
      </c>
      <c r="H4324" t="inlineStr">
        <is>
          <t>397가3915</t>
        </is>
      </c>
      <c r="I4324" t="n">
        <v>30000000</v>
      </c>
      <c r="J4324" t="n">
        <v>0.065</v>
      </c>
      <c r="K4324" t="n">
        <v>2.2</v>
      </c>
      <c r="L4324" t="n">
        <v>0.4</v>
      </c>
      <c r="M4324" t="n">
        <v>1.8</v>
      </c>
      <c r="P4324" t="inlineStr">
        <is>
          <t>구성완</t>
        </is>
      </c>
      <c r="AB4324" t="inlineStr">
        <is>
          <t>엔카</t>
        </is>
      </c>
      <c r="AC4324" t="n">
        <v>660000</v>
      </c>
      <c r="AD4324" t="n">
        <v>120000</v>
      </c>
      <c r="AE4324" t="n">
        <v>540000</v>
      </c>
      <c r="AF4324" t="n">
        <v>600000</v>
      </c>
      <c r="AG4324" t="n">
        <v>116040</v>
      </c>
      <c r="AH4324" t="n">
        <v>483960</v>
      </c>
      <c r="AI4324" t="n">
        <v>0</v>
      </c>
    </row>
    <row r="4325">
      <c r="A4325" t="inlineStr">
        <is>
          <t>5월</t>
        </is>
      </c>
      <c r="B4325" t="inlineStr">
        <is>
          <t>20주차</t>
        </is>
      </c>
      <c r="C4325" t="inlineStr">
        <is>
          <t>EP</t>
        </is>
      </c>
      <c r="D4325" s="28" t="n">
        <v>46157</v>
      </c>
      <c r="E4325" t="inlineStr">
        <is>
          <t>현대EP_fast</t>
        </is>
      </c>
      <c r="F4325" t="inlineStr">
        <is>
          <t>나이슬</t>
        </is>
      </c>
      <c r="G4325" t="inlineStr">
        <is>
          <t>010-2837-5538</t>
        </is>
      </c>
      <c r="H4325" t="inlineStr">
        <is>
          <t>126하6605</t>
        </is>
      </c>
      <c r="I4325" t="n">
        <v>13000000</v>
      </c>
      <c r="J4325" t="n">
        <v>0.074</v>
      </c>
      <c r="K4325" t="n">
        <v>1.76</v>
      </c>
      <c r="L4325" t="n">
        <v>0.14</v>
      </c>
      <c r="M4325" t="n">
        <v>1.62</v>
      </c>
      <c r="P4325" t="inlineStr">
        <is>
          <t>황채이</t>
        </is>
      </c>
      <c r="Q4325" t="inlineStr">
        <is>
          <t>홈서비스 60개월</t>
        </is>
      </c>
      <c r="AB4325" t="inlineStr">
        <is>
          <t>홈서비스</t>
        </is>
      </c>
      <c r="AC4325" t="n">
        <v>228800</v>
      </c>
      <c r="AD4325" t="n">
        <v>18200</v>
      </c>
      <c r="AE4325" t="n">
        <v>210600</v>
      </c>
      <c r="AF4325" t="n">
        <v>208000</v>
      </c>
      <c r="AG4325" t="n">
        <v>17599.4</v>
      </c>
      <c r="AH4325" t="n">
        <v>190400.6</v>
      </c>
      <c r="AI4325" t="n">
        <v>0</v>
      </c>
    </row>
    <row r="4326">
      <c r="A4326" t="inlineStr">
        <is>
          <t>5월</t>
        </is>
      </c>
      <c r="B4326" t="inlineStr">
        <is>
          <t>20주차</t>
        </is>
      </c>
      <c r="C4326" t="inlineStr">
        <is>
          <t>EP</t>
        </is>
      </c>
      <c r="D4326" s="28" t="n">
        <v>46156</v>
      </c>
      <c r="E4326" t="inlineStr">
        <is>
          <t>현대EP_fast</t>
        </is>
      </c>
      <c r="F4326" t="inlineStr">
        <is>
          <t>손동주</t>
        </is>
      </c>
      <c r="G4326" t="inlineStr">
        <is>
          <t>010-3929-9999</t>
        </is>
      </c>
      <c r="H4326" t="inlineStr">
        <is>
          <t>25오4743</t>
        </is>
      </c>
      <c r="I4326" t="n">
        <v>13500000</v>
      </c>
      <c r="J4326" t="n">
        <v>0.095</v>
      </c>
      <c r="K4326" t="n">
        <v>1.76</v>
      </c>
      <c r="L4326" t="n">
        <v>0.4</v>
      </c>
      <c r="M4326" t="n">
        <v>1.36</v>
      </c>
      <c r="P4326" t="inlineStr">
        <is>
          <t>장현경</t>
        </is>
      </c>
      <c r="AB4326" t="inlineStr">
        <is>
          <t>엔카</t>
        </is>
      </c>
      <c r="AC4326" t="n">
        <v>237600</v>
      </c>
      <c r="AD4326" t="n">
        <v>54000</v>
      </c>
      <c r="AE4326" t="n">
        <v>183600</v>
      </c>
      <c r="AF4326" t="n">
        <v>216000</v>
      </c>
      <c r="AG4326" t="n">
        <v>52218</v>
      </c>
      <c r="AH4326" t="n">
        <v>163782</v>
      </c>
      <c r="AI4326" t="n">
        <v>0</v>
      </c>
    </row>
    <row r="4327">
      <c r="A4327" t="inlineStr">
        <is>
          <t>5월</t>
        </is>
      </c>
      <c r="B4327" t="inlineStr">
        <is>
          <t>20주차</t>
        </is>
      </c>
      <c r="C4327" t="inlineStr">
        <is>
          <t>EP</t>
        </is>
      </c>
      <c r="D4327" s="28" t="n">
        <v>46156</v>
      </c>
      <c r="E4327" t="inlineStr">
        <is>
          <t>BNKEP</t>
        </is>
      </c>
      <c r="F4327" t="inlineStr">
        <is>
          <t>조근두</t>
        </is>
      </c>
      <c r="G4327" t="inlineStr">
        <is>
          <t>010-3171-3466</t>
        </is>
      </c>
      <c r="H4327" t="inlineStr">
        <is>
          <t>90루8423</t>
        </is>
      </c>
      <c r="I4327" t="n">
        <v>24200000</v>
      </c>
      <c r="J4327" t="n">
        <v>0.061</v>
      </c>
      <c r="K4327" t="n">
        <v>1.65</v>
      </c>
      <c r="L4327" t="n">
        <v>0.4</v>
      </c>
      <c r="M4327" t="n">
        <v>1.25</v>
      </c>
      <c r="P4327" t="inlineStr">
        <is>
          <t>구성완</t>
        </is>
      </c>
      <c r="AB4327" t="inlineStr">
        <is>
          <t>엔카</t>
        </is>
      </c>
      <c r="AC4327" t="n">
        <v>399300</v>
      </c>
      <c r="AD4327" t="n">
        <v>96800</v>
      </c>
      <c r="AE4327" t="n">
        <v>302500</v>
      </c>
      <c r="AF4327" t="n">
        <v>363000</v>
      </c>
      <c r="AG4327" t="n">
        <v>93605.60000000001</v>
      </c>
      <c r="AH4327" t="n">
        <v>269394.4</v>
      </c>
      <c r="AI4327" t="n">
        <v>0</v>
      </c>
    </row>
    <row r="4328">
      <c r="A4328" t="inlineStr">
        <is>
          <t>5월</t>
        </is>
      </c>
      <c r="B4328" t="inlineStr">
        <is>
          <t>20주차</t>
        </is>
      </c>
      <c r="C4328" t="inlineStr">
        <is>
          <t>EP</t>
        </is>
      </c>
      <c r="D4328" s="28" t="n">
        <v>46157</v>
      </c>
      <c r="E4328" t="inlineStr">
        <is>
          <t>BNKEP</t>
        </is>
      </c>
      <c r="F4328" t="inlineStr">
        <is>
          <t>서태원</t>
        </is>
      </c>
      <c r="G4328" t="inlineStr">
        <is>
          <t>010-8354-4521</t>
        </is>
      </c>
      <c r="H4328" t="inlineStr">
        <is>
          <t>189부4543</t>
        </is>
      </c>
      <c r="I4328" t="n">
        <v>16000000</v>
      </c>
      <c r="J4328" t="n">
        <v>0.07199999999999999</v>
      </c>
      <c r="K4328" t="n">
        <v>1.65</v>
      </c>
      <c r="L4328" t="n">
        <v>0.4</v>
      </c>
      <c r="M4328" t="n">
        <v>1.25</v>
      </c>
      <c r="P4328" t="inlineStr">
        <is>
          <t>박소현</t>
        </is>
      </c>
      <c r="Q4328" t="inlineStr">
        <is>
          <t>부대비용추가진행</t>
        </is>
      </c>
      <c r="AB4328" t="inlineStr">
        <is>
          <t>엔카</t>
        </is>
      </c>
      <c r="AC4328" t="n">
        <v>264000</v>
      </c>
      <c r="AD4328" t="n">
        <v>64000</v>
      </c>
      <c r="AE4328" t="n">
        <v>200000</v>
      </c>
      <c r="AF4328" t="n">
        <v>240000</v>
      </c>
      <c r="AG4328" t="n">
        <v>61888</v>
      </c>
      <c r="AH4328" t="n">
        <v>178112</v>
      </c>
      <c r="AI4328" t="n">
        <v>0</v>
      </c>
    </row>
    <row r="4329">
      <c r="A4329" t="inlineStr">
        <is>
          <t>5월</t>
        </is>
      </c>
      <c r="B4329" t="inlineStr">
        <is>
          <t>20주차</t>
        </is>
      </c>
      <c r="C4329" t="inlineStr">
        <is>
          <t>EP</t>
        </is>
      </c>
      <c r="D4329" s="28" t="n">
        <v>46157</v>
      </c>
      <c r="E4329" t="inlineStr">
        <is>
          <t>현대EP_fast</t>
        </is>
      </c>
      <c r="F4329" t="inlineStr">
        <is>
          <t>조무현</t>
        </is>
      </c>
      <c r="G4329" t="inlineStr">
        <is>
          <t>010-6206-8250</t>
        </is>
      </c>
      <c r="H4329" t="inlineStr">
        <is>
          <t>205서3478</t>
        </is>
      </c>
      <c r="I4329" t="n">
        <v>21100000</v>
      </c>
      <c r="J4329" t="n">
        <v>0.07099999999999999</v>
      </c>
      <c r="K4329" t="n">
        <v>1.76</v>
      </c>
      <c r="L4329" t="n">
        <v>0.14</v>
      </c>
      <c r="M4329" t="n">
        <v>1.62</v>
      </c>
      <c r="P4329" t="inlineStr">
        <is>
          <t>황채이</t>
        </is>
      </c>
      <c r="Q4329" t="inlineStr">
        <is>
          <t>홈서비스 60개월</t>
        </is>
      </c>
      <c r="AB4329" t="inlineStr">
        <is>
          <t>홈서비스</t>
        </is>
      </c>
      <c r="AC4329" t="n">
        <v>371360</v>
      </c>
      <c r="AD4329" t="n">
        <v>29540</v>
      </c>
      <c r="AE4329" t="n">
        <v>341820</v>
      </c>
      <c r="AF4329" t="n">
        <v>337600</v>
      </c>
      <c r="AG4329" t="n">
        <v>28565.18</v>
      </c>
      <c r="AH4329" t="n">
        <v>309034.82</v>
      </c>
      <c r="AI4329" t="n">
        <v>0</v>
      </c>
    </row>
    <row r="4330">
      <c r="A4330" t="inlineStr">
        <is>
          <t>5월</t>
        </is>
      </c>
      <c r="B4330" t="inlineStr">
        <is>
          <t>20주차</t>
        </is>
      </c>
      <c r="C4330" t="inlineStr">
        <is>
          <t>EP</t>
        </is>
      </c>
      <c r="D4330" s="28" t="n">
        <v>46157</v>
      </c>
      <c r="E4330" t="inlineStr">
        <is>
          <t>현대EP_fast</t>
        </is>
      </c>
      <c r="F4330" t="inlineStr">
        <is>
          <t>신은영</t>
        </is>
      </c>
      <c r="G4330" t="inlineStr">
        <is>
          <t>010-3956-3775</t>
        </is>
      </c>
      <c r="H4330" t="inlineStr">
        <is>
          <t>24노0374</t>
        </is>
      </c>
      <c r="I4330" t="n">
        <v>8900000</v>
      </c>
      <c r="J4330" t="n">
        <v>0.08799999999999999</v>
      </c>
      <c r="K4330" t="n">
        <v>1.76</v>
      </c>
      <c r="L4330" t="n">
        <v>0.14</v>
      </c>
      <c r="M4330" t="n">
        <v>1.62</v>
      </c>
      <c r="P4330" t="inlineStr">
        <is>
          <t>김수연</t>
        </is>
      </c>
      <c r="Q4330" t="inlineStr">
        <is>
          <t>홈서비스 60개월</t>
        </is>
      </c>
      <c r="AB4330" t="inlineStr">
        <is>
          <t>홈서비스</t>
        </is>
      </c>
      <c r="AC4330" t="n">
        <v>156640</v>
      </c>
      <c r="AD4330" t="n">
        <v>12460</v>
      </c>
      <c r="AE4330" t="n">
        <v>144180</v>
      </c>
      <c r="AF4330" t="n">
        <v>142400</v>
      </c>
      <c r="AG4330" t="n">
        <v>12048.82</v>
      </c>
      <c r="AH4330" t="n">
        <v>130351.18</v>
      </c>
    </row>
    <row r="4331">
      <c r="A4331" t="inlineStr">
        <is>
          <t>5월</t>
        </is>
      </c>
      <c r="B4331" t="inlineStr">
        <is>
          <t>20주차</t>
        </is>
      </c>
      <c r="C4331" t="inlineStr">
        <is>
          <t>EP</t>
        </is>
      </c>
      <c r="D4331" s="28" t="n">
        <v>46157</v>
      </c>
      <c r="E4331" t="inlineStr">
        <is>
          <t>현대EP</t>
        </is>
      </c>
      <c r="F4331" t="inlineStr">
        <is>
          <t>김성영</t>
        </is>
      </c>
      <c r="G4331" t="inlineStr">
        <is>
          <t>010-3561-0584</t>
        </is>
      </c>
      <c r="H4331" t="inlineStr">
        <is>
          <t>213다9111</t>
        </is>
      </c>
      <c r="I4331" t="n">
        <v>66900000</v>
      </c>
      <c r="J4331" t="n">
        <v>0.062</v>
      </c>
      <c r="K4331" t="n">
        <v>1.76</v>
      </c>
      <c r="L4331" t="n">
        <v>0.14</v>
      </c>
      <c r="M4331" t="n">
        <v>1.62</v>
      </c>
      <c r="P4331" t="inlineStr">
        <is>
          <t>황채이</t>
        </is>
      </c>
      <c r="AB4331" t="inlineStr">
        <is>
          <t>홈서비스</t>
        </is>
      </c>
      <c r="AC4331" t="n">
        <v>1177440</v>
      </c>
      <c r="AD4331" t="n">
        <v>93660</v>
      </c>
      <c r="AE4331" t="n">
        <v>1083780</v>
      </c>
      <c r="AF4331" t="n">
        <v>1070400</v>
      </c>
      <c r="AG4331" t="n">
        <v>90569.22</v>
      </c>
      <c r="AH4331" t="n">
        <v>979830.78</v>
      </c>
      <c r="AI4331" t="n">
        <v>0</v>
      </c>
    </row>
    <row r="4332">
      <c r="A4332" t="inlineStr">
        <is>
          <t>5월</t>
        </is>
      </c>
      <c r="B4332" t="inlineStr">
        <is>
          <t>20주차</t>
        </is>
      </c>
      <c r="C4332" t="inlineStr">
        <is>
          <t>EP</t>
        </is>
      </c>
      <c r="D4332" s="28" t="n">
        <v>46157</v>
      </c>
      <c r="E4332" t="inlineStr">
        <is>
          <t>BNKEP</t>
        </is>
      </c>
      <c r="F4332" t="inlineStr">
        <is>
          <t>최형섭</t>
        </is>
      </c>
      <c r="G4332" t="inlineStr">
        <is>
          <t>010-2636-1337</t>
        </is>
      </c>
      <c r="H4332" t="inlineStr">
        <is>
          <t>165더6538</t>
        </is>
      </c>
      <c r="I4332" t="n">
        <v>15000000</v>
      </c>
      <c r="J4332" t="n">
        <v>0.061</v>
      </c>
      <c r="K4332" t="n">
        <v>1.65</v>
      </c>
      <c r="L4332" t="n">
        <v>0.14</v>
      </c>
      <c r="M4332" t="n">
        <v>1.51</v>
      </c>
      <c r="P4332" t="inlineStr">
        <is>
          <t>김수연</t>
        </is>
      </c>
      <c r="Q4332" t="inlineStr">
        <is>
          <t>홈서비스 48개월</t>
        </is>
      </c>
      <c r="AB4332" t="inlineStr">
        <is>
          <t>홈서비스</t>
        </is>
      </c>
      <c r="AC4332" t="n">
        <v>247500</v>
      </c>
      <c r="AD4332" t="n">
        <v>21000</v>
      </c>
      <c r="AE4332" t="n">
        <v>226500</v>
      </c>
      <c r="AF4332" t="n">
        <v>225000</v>
      </c>
      <c r="AG4332" t="n">
        <v>20307</v>
      </c>
      <c r="AH4332" t="n">
        <v>204693</v>
      </c>
    </row>
    <row r="4333">
      <c r="A4333" t="inlineStr">
        <is>
          <t>5월</t>
        </is>
      </c>
      <c r="B4333" t="inlineStr">
        <is>
          <t>20주차</t>
        </is>
      </c>
      <c r="C4333" t="inlineStr">
        <is>
          <t>EP</t>
        </is>
      </c>
      <c r="D4333" s="28" t="n">
        <v>46157</v>
      </c>
      <c r="E4333" t="inlineStr">
        <is>
          <t>현대EP</t>
        </is>
      </c>
      <c r="F4333" t="inlineStr">
        <is>
          <t>김정태</t>
        </is>
      </c>
      <c r="G4333" t="inlineStr">
        <is>
          <t>010-2277-6459</t>
        </is>
      </c>
      <c r="H4333" t="inlineStr">
        <is>
          <t>374마5638</t>
        </is>
      </c>
      <c r="I4333" t="n">
        <v>6500000</v>
      </c>
      <c r="J4333" t="n">
        <v>0.08699999999999999</v>
      </c>
      <c r="K4333" t="n">
        <v>1.76</v>
      </c>
      <c r="L4333" t="n">
        <v>0.14</v>
      </c>
      <c r="M4333" t="n">
        <v>1.62</v>
      </c>
      <c r="P4333" t="inlineStr">
        <is>
          <t>김수연</t>
        </is>
      </c>
      <c r="AB4333" t="inlineStr">
        <is>
          <t>홈서비스</t>
        </is>
      </c>
      <c r="AC4333" t="n">
        <v>114400</v>
      </c>
      <c r="AD4333" t="n">
        <v>9100</v>
      </c>
      <c r="AE4333" t="n">
        <v>105300</v>
      </c>
      <c r="AF4333" t="n">
        <v>104000</v>
      </c>
      <c r="AG4333" t="n">
        <v>8799.700000000001</v>
      </c>
      <c r="AH4333" t="n">
        <v>95200.3</v>
      </c>
    </row>
    <row r="4334">
      <c r="A4334" t="inlineStr">
        <is>
          <t>5월</t>
        </is>
      </c>
      <c r="B4334" t="inlineStr">
        <is>
          <t>20주차</t>
        </is>
      </c>
      <c r="C4334" t="inlineStr">
        <is>
          <t>EP</t>
        </is>
      </c>
      <c r="D4334" s="28" t="n">
        <v>46157</v>
      </c>
      <c r="E4334" t="inlineStr">
        <is>
          <t>제이비EP</t>
        </is>
      </c>
      <c r="F4334" t="inlineStr">
        <is>
          <t>강택현</t>
        </is>
      </c>
      <c r="G4334" t="inlineStr">
        <is>
          <t>010-9491-9265</t>
        </is>
      </c>
      <c r="H4334" t="inlineStr">
        <is>
          <t>373부6512</t>
        </is>
      </c>
      <c r="I4334" t="n">
        <v>21900000</v>
      </c>
      <c r="J4334" t="n">
        <v>0.08699999999999999</v>
      </c>
      <c r="K4334" t="n">
        <v>1.65</v>
      </c>
      <c r="L4334" t="n">
        <v>0.4</v>
      </c>
      <c r="M4334" t="n">
        <v>1.25</v>
      </c>
      <c r="P4334" t="inlineStr">
        <is>
          <t>장현경</t>
        </is>
      </c>
      <c r="AB4334" t="inlineStr">
        <is>
          <t>엔카</t>
        </is>
      </c>
      <c r="AC4334" t="n">
        <v>361350</v>
      </c>
      <c r="AD4334" t="n">
        <v>87600</v>
      </c>
      <c r="AE4334" t="n">
        <v>273750</v>
      </c>
      <c r="AF4334" t="n">
        <v>328500</v>
      </c>
      <c r="AG4334" t="n">
        <v>84709.2</v>
      </c>
      <c r="AH4334" t="n">
        <v>243790.8</v>
      </c>
      <c r="AI4334" t="n">
        <v>0</v>
      </c>
    </row>
    <row r="4335">
      <c r="A4335" t="inlineStr">
        <is>
          <t>5월</t>
        </is>
      </c>
      <c r="B4335" t="inlineStr">
        <is>
          <t>20주차</t>
        </is>
      </c>
      <c r="C4335" t="inlineStr">
        <is>
          <t>EP</t>
        </is>
      </c>
      <c r="D4335" s="28" t="n">
        <v>46157</v>
      </c>
      <c r="E4335" t="inlineStr">
        <is>
          <t>현대EP</t>
        </is>
      </c>
      <c r="F4335" t="inlineStr">
        <is>
          <t>오정환</t>
        </is>
      </c>
      <c r="G4335" t="inlineStr">
        <is>
          <t>010-9017-6317</t>
        </is>
      </c>
      <c r="H4335" t="inlineStr">
        <is>
          <t>313로2657</t>
        </is>
      </c>
      <c r="I4335" t="n">
        <v>15200000</v>
      </c>
      <c r="J4335" t="n">
        <v>0.074</v>
      </c>
      <c r="K4335" t="n">
        <v>1.76</v>
      </c>
      <c r="L4335" t="n">
        <v>0.14</v>
      </c>
      <c r="M4335" t="n">
        <v>1.62</v>
      </c>
      <c r="P4335" t="inlineStr">
        <is>
          <t>김수연</t>
        </is>
      </c>
      <c r="AB4335" t="inlineStr">
        <is>
          <t>홈서비스</t>
        </is>
      </c>
      <c r="AC4335" t="n">
        <v>267520</v>
      </c>
      <c r="AD4335" t="n">
        <v>21280</v>
      </c>
      <c r="AE4335" t="n">
        <v>246240</v>
      </c>
      <c r="AF4335" t="n">
        <v>243200</v>
      </c>
      <c r="AG4335" t="n">
        <v>20577.76</v>
      </c>
      <c r="AH4335" t="n">
        <v>222622.24</v>
      </c>
      <c r="AI4335" t="n">
        <v>0</v>
      </c>
    </row>
    <row r="4336">
      <c r="A4336" t="inlineStr">
        <is>
          <t>5월</t>
        </is>
      </c>
      <c r="B4336" t="inlineStr">
        <is>
          <t>20주차</t>
        </is>
      </c>
      <c r="C4336" t="inlineStr">
        <is>
          <t>EP</t>
        </is>
      </c>
      <c r="D4336" s="28" t="n">
        <v>46157</v>
      </c>
      <c r="E4336" t="inlineStr">
        <is>
          <t>현대EP_fast</t>
        </is>
      </c>
      <c r="F4336" t="inlineStr">
        <is>
          <t>홍정곤</t>
        </is>
      </c>
      <c r="G4336" t="inlineStr">
        <is>
          <t>010-2757-1221</t>
        </is>
      </c>
      <c r="H4336" t="inlineStr">
        <is>
          <t>248더3907</t>
        </is>
      </c>
      <c r="I4336" t="n">
        <v>22000000</v>
      </c>
      <c r="J4336" t="n">
        <v>0.062</v>
      </c>
      <c r="K4336" t="n">
        <v>1.76</v>
      </c>
      <c r="L4336" t="n">
        <v>0.14</v>
      </c>
      <c r="M4336" t="n">
        <v>1.62</v>
      </c>
      <c r="P4336" t="inlineStr">
        <is>
          <t>최형주</t>
        </is>
      </c>
      <c r="Q4336" t="inlineStr">
        <is>
          <t xml:space="preserve">홈서비스 48개월 </t>
        </is>
      </c>
      <c r="AB4336" t="inlineStr">
        <is>
          <t>홈서비스</t>
        </is>
      </c>
      <c r="AC4336" t="n">
        <v>387200</v>
      </c>
      <c r="AD4336" t="n">
        <v>30800</v>
      </c>
      <c r="AE4336" t="n">
        <v>356400</v>
      </c>
      <c r="AF4336" t="n">
        <v>352000</v>
      </c>
      <c r="AG4336" t="n">
        <v>29783.6</v>
      </c>
      <c r="AH4336" t="n">
        <v>322216.4</v>
      </c>
      <c r="AI4336" t="n">
        <v>0</v>
      </c>
    </row>
    <row r="4337">
      <c r="A4337" t="inlineStr">
        <is>
          <t>5월</t>
        </is>
      </c>
      <c r="B4337" t="inlineStr">
        <is>
          <t>20주차</t>
        </is>
      </c>
      <c r="C4337" t="inlineStr">
        <is>
          <t>IM</t>
        </is>
      </c>
      <c r="D4337" s="28" t="n">
        <v>46157</v>
      </c>
      <c r="E4337" t="inlineStr">
        <is>
          <t>IM캐피탈</t>
        </is>
      </c>
      <c r="F4337" t="inlineStr">
        <is>
          <t>김민수</t>
        </is>
      </c>
      <c r="G4337" t="inlineStr">
        <is>
          <t>010-6764-5772</t>
        </is>
      </c>
      <c r="H4337" t="inlineStr">
        <is>
          <t>323오5466</t>
        </is>
      </c>
      <c r="I4337" t="n">
        <v>27600000</v>
      </c>
      <c r="J4337" t="n">
        <v>0.049</v>
      </c>
      <c r="K4337" t="n">
        <v>1.1</v>
      </c>
      <c r="L4337" t="n">
        <v>0.14</v>
      </c>
      <c r="M4337" t="n">
        <v>0.96</v>
      </c>
      <c r="P4337" t="inlineStr">
        <is>
          <t>정세빈</t>
        </is>
      </c>
      <c r="Q4337" t="inlineStr">
        <is>
          <t>홈서비스 60개월</t>
        </is>
      </c>
      <c r="AB4337" t="inlineStr">
        <is>
          <t>홈서비스</t>
        </is>
      </c>
      <c r="AC4337" t="n">
        <v>303600</v>
      </c>
      <c r="AD4337" t="n">
        <v>38640</v>
      </c>
      <c r="AE4337" t="n">
        <v>264960</v>
      </c>
      <c r="AF4337" t="n">
        <v>276000</v>
      </c>
      <c r="AG4337" t="n">
        <v>37364.88</v>
      </c>
      <c r="AH4337" t="n">
        <v>238635.12</v>
      </c>
      <c r="AI4337" t="n">
        <v>0</v>
      </c>
    </row>
    <row r="4338">
      <c r="A4338" t="inlineStr">
        <is>
          <t>5월</t>
        </is>
      </c>
      <c r="B4338" t="inlineStr">
        <is>
          <t>20주차</t>
        </is>
      </c>
      <c r="C4338" t="inlineStr">
        <is>
          <t>IM</t>
        </is>
      </c>
      <c r="D4338" s="28" t="n">
        <v>46157</v>
      </c>
      <c r="E4338" t="inlineStr">
        <is>
          <t>IM캐피탈</t>
        </is>
      </c>
      <c r="F4338" t="inlineStr">
        <is>
          <t>이현준</t>
        </is>
      </c>
      <c r="G4338" t="inlineStr">
        <is>
          <t>010-5508-2133</t>
        </is>
      </c>
      <c r="H4338" t="inlineStr">
        <is>
          <t>288다1648</t>
        </is>
      </c>
      <c r="I4338" t="n">
        <v>25000000</v>
      </c>
      <c r="J4338" t="n">
        <v>0.049</v>
      </c>
      <c r="K4338" t="n">
        <v>1.1</v>
      </c>
      <c r="L4338" t="n">
        <v>0.5</v>
      </c>
      <c r="M4338" t="n">
        <v>0.6</v>
      </c>
      <c r="P4338" t="inlineStr">
        <is>
          <t>임대경</t>
        </is>
      </c>
      <c r="AB4338" t="inlineStr">
        <is>
          <t>엔카</t>
        </is>
      </c>
      <c r="AC4338" t="n">
        <v>275000</v>
      </c>
      <c r="AD4338" t="n">
        <v>125000</v>
      </c>
      <c r="AE4338" t="n">
        <v>150000</v>
      </c>
      <c r="AF4338" t="n">
        <v>250000</v>
      </c>
      <c r="AG4338" t="n">
        <v>120875</v>
      </c>
      <c r="AH4338" t="n">
        <v>129125</v>
      </c>
      <c r="AI4338" t="n">
        <v>0</v>
      </c>
    </row>
    <row r="4339">
      <c r="A4339" t="inlineStr">
        <is>
          <t>5월</t>
        </is>
      </c>
      <c r="B4339" t="inlineStr">
        <is>
          <t>20주차</t>
        </is>
      </c>
      <c r="C4339" t="inlineStr">
        <is>
          <t>EP</t>
        </is>
      </c>
      <c r="D4339" s="28" t="n">
        <v>46157</v>
      </c>
      <c r="E4339" t="inlineStr">
        <is>
          <t>현대EP</t>
        </is>
      </c>
      <c r="F4339" t="inlineStr">
        <is>
          <t>조장호</t>
        </is>
      </c>
      <c r="G4339" t="inlineStr">
        <is>
          <t>010-2657-3345</t>
        </is>
      </c>
      <c r="H4339" t="inlineStr">
        <is>
          <t>232소1608</t>
        </is>
      </c>
      <c r="I4339" t="n">
        <v>25200000</v>
      </c>
      <c r="J4339" t="n">
        <v>0.074</v>
      </c>
      <c r="K4339" t="n">
        <v>1.76</v>
      </c>
      <c r="L4339" t="n">
        <v>0.14</v>
      </c>
      <c r="M4339" t="n">
        <v>1.62</v>
      </c>
      <c r="P4339" t="inlineStr">
        <is>
          <t>김수연</t>
        </is>
      </c>
      <c r="AB4339" t="inlineStr">
        <is>
          <t>홈서비스</t>
        </is>
      </c>
      <c r="AC4339" t="n">
        <v>443520</v>
      </c>
      <c r="AD4339" t="n">
        <v>35280</v>
      </c>
      <c r="AE4339" t="n">
        <v>408240</v>
      </c>
      <c r="AF4339" t="n">
        <v>403200</v>
      </c>
      <c r="AG4339" t="n">
        <v>34115.76</v>
      </c>
      <c r="AH4339" t="n">
        <v>369084.24</v>
      </c>
      <c r="AI4339" t="n">
        <v>0</v>
      </c>
    </row>
    <row r="4340">
      <c r="A4340" t="inlineStr">
        <is>
          <t>5월</t>
        </is>
      </c>
      <c r="B4340" t="inlineStr">
        <is>
          <t>20주차</t>
        </is>
      </c>
      <c r="C4340" t="inlineStr">
        <is>
          <t>EP</t>
        </is>
      </c>
      <c r="D4340" s="28" t="n">
        <v>46157</v>
      </c>
      <c r="E4340" t="inlineStr">
        <is>
          <t>현대EP_fast</t>
        </is>
      </c>
      <c r="F4340" t="inlineStr">
        <is>
          <t>백가은</t>
        </is>
      </c>
      <c r="G4340" t="inlineStr">
        <is>
          <t>010-2463-0205</t>
        </is>
      </c>
      <c r="H4340" t="inlineStr">
        <is>
          <t>140수4108</t>
        </is>
      </c>
      <c r="I4340" t="n">
        <v>24800000</v>
      </c>
      <c r="J4340" t="n">
        <v>0.102</v>
      </c>
      <c r="K4340" t="n">
        <v>1.76</v>
      </c>
      <c r="L4340" t="n">
        <v>0.14</v>
      </c>
      <c r="M4340" t="n">
        <v>1.62</v>
      </c>
      <c r="P4340" t="inlineStr">
        <is>
          <t>정세빈</t>
        </is>
      </c>
      <c r="Q4340" t="inlineStr">
        <is>
          <t>홈서비스 48개월</t>
        </is>
      </c>
      <c r="AB4340" t="inlineStr">
        <is>
          <t>홈서비스</t>
        </is>
      </c>
      <c r="AC4340" t="n">
        <v>436480</v>
      </c>
      <c r="AD4340" t="n">
        <v>34720</v>
      </c>
      <c r="AE4340" t="n">
        <v>401760</v>
      </c>
      <c r="AF4340" t="n">
        <v>396800</v>
      </c>
      <c r="AG4340" t="n">
        <v>33574.24</v>
      </c>
      <c r="AH4340" t="n">
        <v>363225.76</v>
      </c>
      <c r="AI4340" t="n">
        <v>0</v>
      </c>
    </row>
    <row r="4341">
      <c r="A4341" t="inlineStr">
        <is>
          <t>5월</t>
        </is>
      </c>
      <c r="B4341" t="inlineStr">
        <is>
          <t>20주차</t>
        </is>
      </c>
      <c r="C4341" t="inlineStr">
        <is>
          <t>EP</t>
        </is>
      </c>
      <c r="D4341" s="28" t="n">
        <v>46159</v>
      </c>
      <c r="E4341" t="inlineStr">
        <is>
          <t>현대EP</t>
        </is>
      </c>
      <c r="F4341" t="inlineStr">
        <is>
          <t>정운서</t>
        </is>
      </c>
      <c r="G4341" t="inlineStr">
        <is>
          <t>010-7112-9198</t>
        </is>
      </c>
      <c r="H4341" t="inlineStr">
        <is>
          <t>03루5146</t>
        </is>
      </c>
      <c r="I4341" t="n">
        <v>50900000</v>
      </c>
      <c r="J4341" t="n">
        <v>0.099</v>
      </c>
      <c r="K4341" t="n">
        <v>1.76</v>
      </c>
      <c r="L4341" t="n">
        <v>0.14</v>
      </c>
      <c r="M4341" t="n">
        <v>1.62</v>
      </c>
      <c r="P4341" t="inlineStr">
        <is>
          <t>정세빈</t>
        </is>
      </c>
      <c r="AB4341" t="inlineStr">
        <is>
          <t>홈서비스</t>
        </is>
      </c>
      <c r="AC4341" t="n">
        <v>895840</v>
      </c>
      <c r="AD4341" t="n">
        <v>71260</v>
      </c>
      <c r="AE4341" t="n">
        <v>824580</v>
      </c>
      <c r="AF4341" t="n">
        <v>814400</v>
      </c>
      <c r="AG4341" t="n">
        <v>68908.42</v>
      </c>
      <c r="AH4341" t="n">
        <v>745491.58</v>
      </c>
    </row>
    <row r="4342">
      <c r="A4342" t="inlineStr">
        <is>
          <t>5월</t>
        </is>
      </c>
      <c r="B4342" t="inlineStr">
        <is>
          <t>20주차</t>
        </is>
      </c>
      <c r="C4342" t="inlineStr">
        <is>
          <t>EP</t>
        </is>
      </c>
      <c r="D4342" s="28" t="n">
        <v>46157</v>
      </c>
      <c r="E4342" t="inlineStr">
        <is>
          <t>현대EP_fast</t>
        </is>
      </c>
      <c r="F4342" t="inlineStr">
        <is>
          <t>박명호</t>
        </is>
      </c>
      <c r="G4342" t="inlineStr">
        <is>
          <t>010-8938-6852</t>
        </is>
      </c>
      <c r="H4342" t="inlineStr">
        <is>
          <t>09로2296</t>
        </is>
      </c>
      <c r="I4342" t="n">
        <v>23000000</v>
      </c>
      <c r="J4342" t="n">
        <v>0.099</v>
      </c>
      <c r="K4342" t="n">
        <v>1.76</v>
      </c>
      <c r="L4342" t="n">
        <v>0.4</v>
      </c>
      <c r="M4342" t="n">
        <v>1.36</v>
      </c>
      <c r="P4342" t="inlineStr">
        <is>
          <t>장현경</t>
        </is>
      </c>
      <c r="AB4342" t="inlineStr">
        <is>
          <t>엔카</t>
        </is>
      </c>
      <c r="AC4342" t="n">
        <v>404800</v>
      </c>
      <c r="AD4342" t="n">
        <v>92000</v>
      </c>
      <c r="AE4342" t="n">
        <v>312800</v>
      </c>
      <c r="AF4342" t="n">
        <v>368000</v>
      </c>
      <c r="AG4342" t="n">
        <v>88964</v>
      </c>
      <c r="AH4342" t="n">
        <v>279036</v>
      </c>
      <c r="AI4342" t="n">
        <v>0</v>
      </c>
    </row>
    <row r="4343">
      <c r="A4343" t="inlineStr">
        <is>
          <t>5월</t>
        </is>
      </c>
      <c r="B4343" t="inlineStr">
        <is>
          <t>21주차</t>
        </is>
      </c>
      <c r="C4343" t="inlineStr">
        <is>
          <t>HC</t>
        </is>
      </c>
      <c r="D4343" s="28" t="n">
        <v>46160</v>
      </c>
      <c r="E4343" t="inlineStr">
        <is>
          <t>하나캐피탈</t>
        </is>
      </c>
      <c r="F4343" t="inlineStr">
        <is>
          <t>성필제</t>
        </is>
      </c>
      <c r="G4343" t="inlineStr">
        <is>
          <t>010-4111-9709</t>
        </is>
      </c>
      <c r="H4343" t="inlineStr">
        <is>
          <t>31부1947</t>
        </is>
      </c>
      <c r="I4343" t="n">
        <v>20400000</v>
      </c>
      <c r="J4343" t="n">
        <v>0.059</v>
      </c>
      <c r="K4343" t="n">
        <v>2.2</v>
      </c>
      <c r="L4343" t="n">
        <v>0.14</v>
      </c>
      <c r="M4343" t="n">
        <v>2.06</v>
      </c>
      <c r="P4343" t="inlineStr">
        <is>
          <t>정세빈</t>
        </is>
      </c>
      <c r="Q4343" t="inlineStr">
        <is>
          <t>홈서비스 60개월</t>
        </is>
      </c>
      <c r="AB4343" t="inlineStr">
        <is>
          <t>홈서비스</t>
        </is>
      </c>
      <c r="AC4343" t="n">
        <v>448800</v>
      </c>
      <c r="AD4343" t="n">
        <v>28560</v>
      </c>
      <c r="AE4343" t="n">
        <v>420240</v>
      </c>
      <c r="AF4343" t="n">
        <v>408000</v>
      </c>
      <c r="AG4343" t="n">
        <v>27617.52</v>
      </c>
      <c r="AH4343" t="n">
        <v>380382.48</v>
      </c>
      <c r="AI4343" t="n">
        <v>0</v>
      </c>
    </row>
    <row r="4344">
      <c r="A4344" t="inlineStr">
        <is>
          <t>5월</t>
        </is>
      </c>
      <c r="B4344" t="inlineStr">
        <is>
          <t>20주차</t>
        </is>
      </c>
      <c r="C4344" t="inlineStr">
        <is>
          <t>EP</t>
        </is>
      </c>
      <c r="D4344" s="28" t="n">
        <v>46156</v>
      </c>
      <c r="E4344" t="inlineStr">
        <is>
          <t>제이비EP</t>
        </is>
      </c>
      <c r="F4344" t="inlineStr">
        <is>
          <t xml:space="preserve">허광범 </t>
        </is>
      </c>
      <c r="G4344" t="inlineStr">
        <is>
          <t>010-5322-2069</t>
        </is>
      </c>
      <c r="H4344" t="inlineStr">
        <is>
          <t>28노6805</t>
        </is>
      </c>
      <c r="I4344" t="n">
        <v>3900000</v>
      </c>
      <c r="J4344" t="n">
        <v>0.07199999999999999</v>
      </c>
      <c r="K4344" t="n">
        <v>1.65</v>
      </c>
      <c r="L4344" t="n">
        <v>0.4</v>
      </c>
      <c r="M4344" t="n">
        <v>1.25</v>
      </c>
      <c r="P4344" t="inlineStr">
        <is>
          <t>최혁</t>
        </is>
      </c>
      <c r="AB4344" t="inlineStr">
        <is>
          <t>엔카</t>
        </is>
      </c>
      <c r="AC4344" t="n">
        <v>64350</v>
      </c>
      <c r="AD4344" t="n">
        <v>15600</v>
      </c>
      <c r="AE4344" t="n">
        <v>48750</v>
      </c>
      <c r="AF4344" t="n">
        <v>58500</v>
      </c>
      <c r="AG4344" t="n">
        <v>15085.2</v>
      </c>
      <c r="AH4344" t="n">
        <v>43414.8</v>
      </c>
      <c r="AI4344" t="n">
        <v>0</v>
      </c>
    </row>
    <row r="4345">
      <c r="A4345" t="inlineStr">
        <is>
          <t>5월</t>
        </is>
      </c>
      <c r="B4345" t="inlineStr">
        <is>
          <t>20주차</t>
        </is>
      </c>
      <c r="C4345" t="inlineStr">
        <is>
          <t>EP</t>
        </is>
      </c>
      <c r="D4345" s="28" t="n">
        <v>46157</v>
      </c>
      <c r="E4345" t="inlineStr">
        <is>
          <t>제이비EP</t>
        </is>
      </c>
      <c r="F4345" t="inlineStr">
        <is>
          <t>정희성</t>
        </is>
      </c>
      <c r="G4345" t="inlineStr">
        <is>
          <t>010-8555-9203</t>
        </is>
      </c>
      <c r="H4345" t="inlineStr">
        <is>
          <t>63마3260</t>
        </is>
      </c>
      <c r="I4345" t="n">
        <v>6000000</v>
      </c>
      <c r="J4345" t="n">
        <v>0.11</v>
      </c>
      <c r="K4345" t="n">
        <v>1.65</v>
      </c>
      <c r="L4345" t="n">
        <v>0.4</v>
      </c>
      <c r="M4345" t="n">
        <v>1.25</v>
      </c>
      <c r="P4345" t="inlineStr">
        <is>
          <t>장진경</t>
        </is>
      </c>
      <c r="Q4345" t="inlineStr">
        <is>
          <t>부대비용 추가진행</t>
        </is>
      </c>
      <c r="AB4345" t="inlineStr">
        <is>
          <t>엔카</t>
        </is>
      </c>
      <c r="AC4345" t="n">
        <v>99000</v>
      </c>
      <c r="AD4345" t="n">
        <v>24000</v>
      </c>
      <c r="AE4345" t="n">
        <v>75000</v>
      </c>
      <c r="AF4345" t="n">
        <v>90000</v>
      </c>
      <c r="AG4345" t="n">
        <v>23208</v>
      </c>
      <c r="AH4345" t="n">
        <v>66792</v>
      </c>
    </row>
    <row r="4346">
      <c r="A4346" t="inlineStr">
        <is>
          <t>5월</t>
        </is>
      </c>
      <c r="B4346" t="inlineStr">
        <is>
          <t>20주차</t>
        </is>
      </c>
      <c r="C4346" t="inlineStr">
        <is>
          <t>OR</t>
        </is>
      </c>
      <c r="D4346" s="28" t="n">
        <v>46157</v>
      </c>
      <c r="E4346" t="inlineStr">
        <is>
          <t>오릭스</t>
        </is>
      </c>
      <c r="F4346" t="inlineStr">
        <is>
          <t>김정진</t>
        </is>
      </c>
      <c r="G4346" t="inlineStr">
        <is>
          <t>010-8664-6089</t>
        </is>
      </c>
      <c r="H4346" t="inlineStr">
        <is>
          <t>46너81374</t>
        </is>
      </c>
      <c r="I4346" t="n">
        <v>21000000</v>
      </c>
      <c r="J4346" t="n">
        <v>0.061</v>
      </c>
      <c r="K4346" t="n">
        <v>1.65</v>
      </c>
      <c r="L4346" t="n">
        <v>0.4</v>
      </c>
      <c r="M4346" t="n">
        <v>1.25</v>
      </c>
      <c r="P4346" t="inlineStr">
        <is>
          <t>최혁</t>
        </is>
      </c>
      <c r="Q4346" t="inlineStr">
        <is>
          <t>공동명의</t>
        </is>
      </c>
      <c r="AB4346" t="inlineStr">
        <is>
          <t>엔카</t>
        </is>
      </c>
      <c r="AC4346" t="n">
        <v>346500</v>
      </c>
      <c r="AD4346" t="n">
        <v>84000</v>
      </c>
      <c r="AE4346" t="n">
        <v>262500</v>
      </c>
      <c r="AF4346" t="n">
        <v>315000</v>
      </c>
      <c r="AG4346" t="n">
        <v>81228</v>
      </c>
      <c r="AH4346" t="n">
        <v>233772</v>
      </c>
      <c r="AI4346" t="n">
        <v>0</v>
      </c>
    </row>
    <row r="4347">
      <c r="A4347" t="inlineStr">
        <is>
          <t>4월</t>
        </is>
      </c>
      <c r="B4347" t="inlineStr">
        <is>
          <t>17주차</t>
        </is>
      </c>
      <c r="C4347" t="inlineStr">
        <is>
          <t>IM</t>
        </is>
      </c>
      <c r="D4347" s="28" t="n">
        <v>46132</v>
      </c>
      <c r="E4347" t="inlineStr">
        <is>
          <t>IM캐피탈</t>
        </is>
      </c>
      <c r="F4347" t="inlineStr">
        <is>
          <t>안영훈</t>
        </is>
      </c>
      <c r="G4347" t="inlineStr">
        <is>
          <t>010-3606-8638</t>
        </is>
      </c>
      <c r="H4347" t="inlineStr">
        <is>
          <t>173무4790</t>
        </is>
      </c>
      <c r="I4347" t="n">
        <v>-37900000</v>
      </c>
      <c r="J4347" t="n">
        <v>0.075</v>
      </c>
      <c r="K4347" t="n">
        <v>1.1</v>
      </c>
      <c r="L4347" t="n">
        <v>0.07000000000000001</v>
      </c>
      <c r="M4347" t="n">
        <v>1.03</v>
      </c>
      <c r="P4347" t="inlineStr">
        <is>
          <t>김나윤</t>
        </is>
      </c>
      <c r="Q4347" t="inlineStr">
        <is>
          <t>홈서비스 72개월</t>
        </is>
      </c>
      <c r="AB4347" t="inlineStr">
        <is>
          <t>홈서비스</t>
        </is>
      </c>
      <c r="AC4347" t="n">
        <v>-416900</v>
      </c>
      <c r="AD4347" t="n">
        <v>-26530</v>
      </c>
      <c r="AE4347" t="n">
        <v>-390370</v>
      </c>
      <c r="AF4347" t="n">
        <v>-379000</v>
      </c>
      <c r="AG4347" t="n">
        <v>-25654.51</v>
      </c>
      <c r="AH4347" t="n">
        <v>-353345.49</v>
      </c>
      <c r="AI4347" t="n">
        <v>0</v>
      </c>
    </row>
    <row r="4348">
      <c r="A4348" t="inlineStr">
        <is>
          <t>5월</t>
        </is>
      </c>
      <c r="B4348" t="inlineStr">
        <is>
          <t>20주차</t>
        </is>
      </c>
      <c r="C4348" t="inlineStr">
        <is>
          <t>WR</t>
        </is>
      </c>
      <c r="D4348" s="28" t="n">
        <v>46156</v>
      </c>
      <c r="E4348" t="inlineStr">
        <is>
          <t>우리금융</t>
        </is>
      </c>
      <c r="F4348" t="inlineStr">
        <is>
          <t>고남열</t>
        </is>
      </c>
      <c r="G4348" t="inlineStr">
        <is>
          <t>010-2781-3570</t>
        </is>
      </c>
      <c r="H4348" t="inlineStr">
        <is>
          <t>23주4346</t>
        </is>
      </c>
      <c r="I4348" t="n">
        <v>4300000</v>
      </c>
      <c r="J4348" t="n">
        <v>0.099</v>
      </c>
      <c r="K4348" t="n">
        <v>2.2</v>
      </c>
      <c r="L4348" t="n">
        <v>0.14</v>
      </c>
      <c r="M4348" t="n">
        <v>2.06</v>
      </c>
      <c r="P4348" t="inlineStr">
        <is>
          <t>박보람</t>
        </is>
      </c>
      <c r="Q4348" t="inlineStr">
        <is>
          <t>선상담 / 홈서비스 48개월</t>
        </is>
      </c>
      <c r="AB4348" t="inlineStr">
        <is>
          <t>홈서비스</t>
        </is>
      </c>
      <c r="AC4348" t="n">
        <v>94600</v>
      </c>
      <c r="AD4348" t="n">
        <v>6020</v>
      </c>
      <c r="AE4348" t="n">
        <v>88580</v>
      </c>
      <c r="AF4348" t="n">
        <v>86000</v>
      </c>
      <c r="AG4348" t="n">
        <v>5821.34</v>
      </c>
      <c r="AH4348" t="n">
        <v>80178.66</v>
      </c>
      <c r="AI4348" t="n">
        <v>0</v>
      </c>
    </row>
    <row r="4349">
      <c r="A4349" t="inlineStr">
        <is>
          <t>5월</t>
        </is>
      </c>
      <c r="B4349" t="inlineStr">
        <is>
          <t>21주차</t>
        </is>
      </c>
      <c r="C4349" t="inlineStr">
        <is>
          <t>IM</t>
        </is>
      </c>
      <c r="D4349" s="28" t="n">
        <v>46160</v>
      </c>
      <c r="E4349" t="inlineStr">
        <is>
          <t>IM캐피탈</t>
        </is>
      </c>
      <c r="F4349" t="inlineStr">
        <is>
          <t>황인재</t>
        </is>
      </c>
      <c r="G4349" t="inlineStr">
        <is>
          <t>010-7592-5545</t>
        </is>
      </c>
      <c r="H4349" t="inlineStr">
        <is>
          <t>129우6206</t>
        </is>
      </c>
      <c r="I4349" t="n">
        <v>70500000</v>
      </c>
      <c r="J4349" t="n">
        <v>0.049</v>
      </c>
      <c r="K4349" t="n">
        <v>1.1</v>
      </c>
      <c r="L4349" t="n">
        <v>0.14</v>
      </c>
      <c r="M4349" t="n">
        <v>0.96</v>
      </c>
      <c r="P4349" t="inlineStr">
        <is>
          <t>정세빈</t>
        </is>
      </c>
      <c r="Q4349" t="inlineStr">
        <is>
          <t>홈서비스 72개월</t>
        </is>
      </c>
      <c r="AB4349" t="inlineStr">
        <is>
          <t>홈서비스</t>
        </is>
      </c>
      <c r="AC4349" t="n">
        <v>775500</v>
      </c>
      <c r="AD4349" t="n">
        <v>98700</v>
      </c>
      <c r="AE4349" t="n">
        <v>676800</v>
      </c>
      <c r="AF4349" t="n">
        <v>705000</v>
      </c>
      <c r="AG4349" t="n">
        <v>95442.89999999999</v>
      </c>
      <c r="AH4349" t="n">
        <v>609557.1</v>
      </c>
    </row>
    <row r="4350">
      <c r="A4350" t="inlineStr">
        <is>
          <t>5월</t>
        </is>
      </c>
      <c r="B4350" t="inlineStr">
        <is>
          <t>21주차</t>
        </is>
      </c>
      <c r="C4350" t="inlineStr">
        <is>
          <t>EP</t>
        </is>
      </c>
      <c r="D4350" s="28" t="n">
        <v>46160</v>
      </c>
      <c r="E4350" t="inlineStr">
        <is>
          <t>현대EP_fast</t>
        </is>
      </c>
      <c r="F4350" t="inlineStr">
        <is>
          <t>안광훈</t>
        </is>
      </c>
      <c r="G4350" t="inlineStr">
        <is>
          <t>010-7335-1406</t>
        </is>
      </c>
      <c r="H4350" t="inlineStr">
        <is>
          <t>21서6676</t>
        </is>
      </c>
      <c r="I4350" t="n">
        <v>45000000</v>
      </c>
      <c r="J4350" t="n">
        <v>0.074</v>
      </c>
      <c r="K4350" t="n">
        <v>1.76</v>
      </c>
      <c r="L4350" t="n">
        <v>0.14</v>
      </c>
      <c r="M4350" t="n">
        <v>1.62</v>
      </c>
      <c r="P4350" t="inlineStr">
        <is>
          <t>정세빈</t>
        </is>
      </c>
      <c r="Q4350" t="inlineStr">
        <is>
          <t>홈서비스 48개월</t>
        </is>
      </c>
      <c r="AB4350" t="inlineStr">
        <is>
          <t>홈서비스</t>
        </is>
      </c>
      <c r="AC4350" t="n">
        <v>792000</v>
      </c>
      <c r="AD4350" t="n">
        <v>63000</v>
      </c>
      <c r="AE4350" t="n">
        <v>729000</v>
      </c>
      <c r="AF4350" t="n">
        <v>720000</v>
      </c>
      <c r="AG4350" t="n">
        <v>60921</v>
      </c>
      <c r="AH4350" t="n">
        <v>659079</v>
      </c>
      <c r="AI4350" t="n">
        <v>0</v>
      </c>
    </row>
    <row r="4351">
      <c r="A4351" t="inlineStr">
        <is>
          <t>5월</t>
        </is>
      </c>
      <c r="B4351" t="inlineStr">
        <is>
          <t>21주차</t>
        </is>
      </c>
      <c r="C4351" t="inlineStr">
        <is>
          <t>HC</t>
        </is>
      </c>
      <c r="D4351" s="28" t="n">
        <v>46160</v>
      </c>
      <c r="E4351" t="inlineStr">
        <is>
          <t>하나캐피탈</t>
        </is>
      </c>
      <c r="F4351" t="inlineStr">
        <is>
          <t>이민섭</t>
        </is>
      </c>
      <c r="G4351" t="inlineStr">
        <is>
          <t>010-7363-6466</t>
        </is>
      </c>
      <c r="H4351" t="inlineStr">
        <is>
          <t>43머6157</t>
        </is>
      </c>
      <c r="I4351" t="n">
        <v>11500000</v>
      </c>
      <c r="J4351" t="n">
        <v>0.059</v>
      </c>
      <c r="K4351" t="n">
        <v>2.2</v>
      </c>
      <c r="L4351" t="n">
        <v>0.14</v>
      </c>
      <c r="M4351" t="n">
        <v>2.06</v>
      </c>
      <c r="P4351" t="inlineStr">
        <is>
          <t>정세빈</t>
        </is>
      </c>
      <c r="Q4351" t="inlineStr">
        <is>
          <t>홈서비스 36개월 / 론 진행</t>
        </is>
      </c>
      <c r="AB4351" t="inlineStr">
        <is>
          <t>홈서비스</t>
        </is>
      </c>
      <c r="AC4351" t="n">
        <v>253000</v>
      </c>
      <c r="AD4351" t="n">
        <v>16100</v>
      </c>
      <c r="AE4351" t="n">
        <v>236900</v>
      </c>
      <c r="AF4351" t="n">
        <v>230000</v>
      </c>
      <c r="AG4351" t="n">
        <v>15568.7</v>
      </c>
      <c r="AH4351" t="n">
        <v>214431.3</v>
      </c>
      <c r="AI4351" t="n">
        <v>0</v>
      </c>
    </row>
    <row r="4352">
      <c r="A4352" t="inlineStr">
        <is>
          <t>5월</t>
        </is>
      </c>
      <c r="B4352" t="inlineStr">
        <is>
          <t>20주차</t>
        </is>
      </c>
      <c r="C4352" t="inlineStr">
        <is>
          <t>EP</t>
        </is>
      </c>
      <c r="D4352" s="28" t="n">
        <v>46155</v>
      </c>
      <c r="E4352" t="inlineStr">
        <is>
          <t>현대EP</t>
        </is>
      </c>
      <c r="F4352" t="inlineStr">
        <is>
          <t>김준영</t>
        </is>
      </c>
      <c r="G4352" t="inlineStr">
        <is>
          <t>010-3333-9760</t>
        </is>
      </c>
      <c r="H4352" t="inlineStr">
        <is>
          <t>65너8841</t>
        </is>
      </c>
      <c r="I4352" t="n">
        <v>45300000</v>
      </c>
      <c r="J4352" t="n">
        <v>0.089</v>
      </c>
      <c r="K4352" t="n">
        <v>1.76</v>
      </c>
      <c r="L4352" t="n">
        <v>0.14</v>
      </c>
      <c r="M4352" t="n">
        <v>1.62</v>
      </c>
      <c r="P4352" t="inlineStr">
        <is>
          <t>김나윤</t>
        </is>
      </c>
      <c r="AB4352" t="inlineStr">
        <is>
          <t>홈서비스</t>
        </is>
      </c>
      <c r="AC4352" t="n">
        <v>797280</v>
      </c>
      <c r="AD4352" t="n">
        <v>63420</v>
      </c>
      <c r="AE4352" t="n">
        <v>733860</v>
      </c>
      <c r="AF4352" t="n">
        <v>724800</v>
      </c>
      <c r="AG4352" t="n">
        <v>61327.14</v>
      </c>
      <c r="AH4352" t="n">
        <v>663472.86</v>
      </c>
      <c r="AI4352" t="n">
        <v>0</v>
      </c>
    </row>
    <row r="4353">
      <c r="A4353" t="inlineStr">
        <is>
          <t>5월</t>
        </is>
      </c>
      <c r="B4353" t="inlineStr">
        <is>
          <t>20주차</t>
        </is>
      </c>
      <c r="C4353" t="inlineStr">
        <is>
          <t>EP</t>
        </is>
      </c>
      <c r="D4353" s="28" t="n">
        <v>46158</v>
      </c>
      <c r="E4353" t="inlineStr">
        <is>
          <t>현대EP</t>
        </is>
      </c>
      <c r="F4353" t="inlineStr">
        <is>
          <t>박진환</t>
        </is>
      </c>
      <c r="G4353" t="inlineStr">
        <is>
          <t>010-9209-1843</t>
        </is>
      </c>
      <c r="H4353" t="inlineStr">
        <is>
          <t>03라0256</t>
        </is>
      </c>
      <c r="I4353" t="n">
        <v>9900000</v>
      </c>
      <c r="J4353" t="n">
        <v>0.129</v>
      </c>
      <c r="K4353" t="n">
        <v>1.76</v>
      </c>
      <c r="L4353" t="n">
        <v>0.14</v>
      </c>
      <c r="M4353" t="n">
        <v>1.62</v>
      </c>
      <c r="P4353" t="inlineStr">
        <is>
          <t>김수연</t>
        </is>
      </c>
      <c r="AB4353" t="inlineStr">
        <is>
          <t>홈서비스</t>
        </is>
      </c>
      <c r="AC4353" t="n">
        <v>174240</v>
      </c>
      <c r="AD4353" t="n">
        <v>13860</v>
      </c>
      <c r="AE4353" t="n">
        <v>160380</v>
      </c>
      <c r="AF4353" t="n">
        <v>158400</v>
      </c>
      <c r="AG4353" t="n">
        <v>13402.62</v>
      </c>
      <c r="AH4353" t="n">
        <v>144997.38</v>
      </c>
    </row>
    <row r="4354">
      <c r="A4354" t="inlineStr">
        <is>
          <t>5월</t>
        </is>
      </c>
      <c r="B4354" t="inlineStr">
        <is>
          <t>21주차</t>
        </is>
      </c>
      <c r="C4354" t="inlineStr">
        <is>
          <t>EP</t>
        </is>
      </c>
      <c r="D4354" s="28" t="n">
        <v>46160</v>
      </c>
      <c r="E4354" t="inlineStr">
        <is>
          <t>현대EP_fast</t>
        </is>
      </c>
      <c r="F4354" t="inlineStr">
        <is>
          <t>최선영</t>
        </is>
      </c>
      <c r="G4354" t="inlineStr">
        <is>
          <t>010-4568-0994</t>
        </is>
      </c>
      <c r="H4354" t="inlineStr">
        <is>
          <t>81머3651</t>
        </is>
      </c>
      <c r="I4354" t="n">
        <v>18500000</v>
      </c>
      <c r="J4354" t="n">
        <v>0.06900000000000001</v>
      </c>
      <c r="K4354" t="n">
        <v>1.76</v>
      </c>
      <c r="L4354" t="n">
        <v>0.14</v>
      </c>
      <c r="M4354" t="n">
        <v>1.62</v>
      </c>
      <c r="P4354" t="inlineStr">
        <is>
          <t>정세빈</t>
        </is>
      </c>
      <c r="Q4354" t="inlineStr">
        <is>
          <t>홈서비스 60개월 / 공동명의</t>
        </is>
      </c>
      <c r="AB4354" t="inlineStr">
        <is>
          <t>홈서비스</t>
        </is>
      </c>
      <c r="AC4354" t="n">
        <v>325600</v>
      </c>
      <c r="AD4354" t="n">
        <v>25900</v>
      </c>
      <c r="AE4354" t="n">
        <v>299700</v>
      </c>
      <c r="AF4354" t="n">
        <v>296000</v>
      </c>
      <c r="AG4354" t="n">
        <v>25045.3</v>
      </c>
      <c r="AH4354" t="n">
        <v>270954.7</v>
      </c>
      <c r="AI4354" t="n">
        <v>0</v>
      </c>
    </row>
    <row r="4355">
      <c r="A4355" t="inlineStr">
        <is>
          <t>5월</t>
        </is>
      </c>
      <c r="B4355" t="inlineStr">
        <is>
          <t>20주차</t>
        </is>
      </c>
      <c r="C4355" t="inlineStr">
        <is>
          <t>EP</t>
        </is>
      </c>
      <c r="D4355" s="28" t="n">
        <v>46157</v>
      </c>
      <c r="E4355" t="inlineStr">
        <is>
          <t>제이비EP</t>
        </is>
      </c>
      <c r="F4355" t="inlineStr">
        <is>
          <t>양경모</t>
        </is>
      </c>
      <c r="G4355" t="inlineStr">
        <is>
          <t>010-5093-2903</t>
        </is>
      </c>
      <c r="H4355" t="inlineStr">
        <is>
          <t>245부5946</t>
        </is>
      </c>
      <c r="I4355" t="n">
        <v>15100000</v>
      </c>
      <c r="J4355" t="n">
        <v>0.112</v>
      </c>
      <c r="K4355" t="n">
        <v>1.65</v>
      </c>
      <c r="L4355" t="n">
        <v>0.4</v>
      </c>
      <c r="M4355" t="n">
        <v>1.25</v>
      </c>
      <c r="P4355" t="inlineStr">
        <is>
          <t>장진경</t>
        </is>
      </c>
      <c r="Q4355" t="inlineStr">
        <is>
          <t>부대비용 추가진행</t>
        </is>
      </c>
      <c r="AB4355" t="inlineStr">
        <is>
          <t>엔카</t>
        </is>
      </c>
      <c r="AC4355" t="n">
        <v>249150</v>
      </c>
      <c r="AD4355" t="n">
        <v>60400</v>
      </c>
      <c r="AE4355" t="n">
        <v>188750</v>
      </c>
      <c r="AF4355" t="n">
        <v>226500</v>
      </c>
      <c r="AG4355" t="n">
        <v>58406.8</v>
      </c>
      <c r="AH4355" t="n">
        <v>168093.2</v>
      </c>
      <c r="AI4355" t="n">
        <v>0</v>
      </c>
    </row>
    <row r="4356">
      <c r="A4356" t="inlineStr">
        <is>
          <t>5월</t>
        </is>
      </c>
      <c r="B4356" t="inlineStr">
        <is>
          <t>20주차</t>
        </is>
      </c>
      <c r="C4356" t="inlineStr">
        <is>
          <t>IM</t>
        </is>
      </c>
      <c r="D4356" s="28" t="n">
        <v>46156</v>
      </c>
      <c r="E4356" t="inlineStr">
        <is>
          <t>IM캐피탈</t>
        </is>
      </c>
      <c r="F4356" t="inlineStr">
        <is>
          <t>김병철</t>
        </is>
      </c>
      <c r="G4356" t="inlineStr">
        <is>
          <t>010-2362-9840</t>
        </is>
      </c>
      <c r="H4356" t="inlineStr">
        <is>
          <t>840더8531</t>
        </is>
      </c>
      <c r="I4356" t="n">
        <v>20000000</v>
      </c>
      <c r="J4356" t="n">
        <v>0.067</v>
      </c>
      <c r="K4356" t="n">
        <v>1.1</v>
      </c>
      <c r="L4356" t="n">
        <v>0.14</v>
      </c>
      <c r="M4356" t="n">
        <v>0.96</v>
      </c>
      <c r="P4356" t="inlineStr">
        <is>
          <t>김나윤</t>
        </is>
      </c>
      <c r="Q4356" t="inlineStr">
        <is>
          <t xml:space="preserve">홈서비스 24개월 </t>
        </is>
      </c>
      <c r="AB4356" t="inlineStr">
        <is>
          <t>홈서비스</t>
        </is>
      </c>
      <c r="AC4356" t="n">
        <v>220000</v>
      </c>
      <c r="AD4356" t="n">
        <v>28000</v>
      </c>
      <c r="AE4356" t="n">
        <v>192000</v>
      </c>
      <c r="AF4356" t="n">
        <v>200000</v>
      </c>
      <c r="AG4356" t="n">
        <v>27076</v>
      </c>
      <c r="AH4356" t="n">
        <v>172924</v>
      </c>
      <c r="AI4356" t="n">
        <v>0</v>
      </c>
    </row>
    <row r="4357">
      <c r="A4357" t="inlineStr">
        <is>
          <t>5월</t>
        </is>
      </c>
      <c r="B4357" t="inlineStr">
        <is>
          <t>21주차</t>
        </is>
      </c>
      <c r="C4357" t="inlineStr">
        <is>
          <t>IM</t>
        </is>
      </c>
      <c r="D4357" s="28" t="n">
        <v>46160</v>
      </c>
      <c r="E4357" t="inlineStr">
        <is>
          <t>IM캐피탈</t>
        </is>
      </c>
      <c r="F4357" t="inlineStr">
        <is>
          <t>최민혁</t>
        </is>
      </c>
      <c r="G4357" t="inlineStr">
        <is>
          <t>010-7458-0028</t>
        </is>
      </c>
      <c r="H4357" t="inlineStr">
        <is>
          <t>284어3086</t>
        </is>
      </c>
      <c r="I4357" t="n">
        <v>68900000</v>
      </c>
      <c r="J4357" t="n">
        <v>0.06900000000000001</v>
      </c>
      <c r="K4357" t="n">
        <v>1.1</v>
      </c>
      <c r="L4357" t="n">
        <v>0.14</v>
      </c>
      <c r="M4357" t="n">
        <v>0.96</v>
      </c>
      <c r="P4357" t="inlineStr">
        <is>
          <t>김수연</t>
        </is>
      </c>
      <c r="Q4357" t="inlineStr">
        <is>
          <t>홈서비스 24개월</t>
        </is>
      </c>
      <c r="AB4357" t="inlineStr">
        <is>
          <t>홈서비스</t>
        </is>
      </c>
      <c r="AC4357" t="n">
        <v>757900</v>
      </c>
      <c r="AD4357" t="n">
        <v>96460</v>
      </c>
      <c r="AE4357" t="n">
        <v>661440</v>
      </c>
      <c r="AF4357" t="n">
        <v>689000</v>
      </c>
      <c r="AG4357" t="n">
        <v>93276.82000000001</v>
      </c>
      <c r="AH4357" t="n">
        <v>595723.1800000001</v>
      </c>
      <c r="AI4357" t="n">
        <v>0</v>
      </c>
    </row>
    <row r="4358">
      <c r="A4358" t="inlineStr">
        <is>
          <t>5월</t>
        </is>
      </c>
      <c r="B4358" t="inlineStr">
        <is>
          <t>21주차</t>
        </is>
      </c>
      <c r="C4358" t="inlineStr">
        <is>
          <t>EP</t>
        </is>
      </c>
      <c r="D4358" s="28" t="n">
        <v>46160</v>
      </c>
      <c r="E4358" t="inlineStr">
        <is>
          <t>현대EP_fast</t>
        </is>
      </c>
      <c r="F4358" t="inlineStr">
        <is>
          <t>황인찬</t>
        </is>
      </c>
      <c r="G4358" t="inlineStr">
        <is>
          <t>010-5132-5849</t>
        </is>
      </c>
      <c r="H4358" t="inlineStr">
        <is>
          <t>136조3653</t>
        </is>
      </c>
      <c r="I4358" t="n">
        <v>15800000</v>
      </c>
      <c r="J4358" t="n">
        <v>0.074</v>
      </c>
      <c r="K4358" t="n">
        <v>1.76</v>
      </c>
      <c r="L4358" t="n">
        <v>0.14</v>
      </c>
      <c r="M4358" t="n">
        <v>1.62</v>
      </c>
      <c r="P4358" t="inlineStr">
        <is>
          <t>김수연</t>
        </is>
      </c>
      <c r="Q4358" t="inlineStr">
        <is>
          <t>홈서비스 60개월</t>
        </is>
      </c>
      <c r="AB4358" t="inlineStr">
        <is>
          <t>홈서비스</t>
        </is>
      </c>
      <c r="AC4358" t="n">
        <v>278080</v>
      </c>
      <c r="AD4358" t="n">
        <v>22120</v>
      </c>
      <c r="AE4358" t="n">
        <v>255960</v>
      </c>
      <c r="AF4358" t="n">
        <v>252800</v>
      </c>
      <c r="AG4358" t="n">
        <v>21390.04</v>
      </c>
      <c r="AH4358" t="n">
        <v>231409.96</v>
      </c>
      <c r="AI4358" t="n">
        <v>0</v>
      </c>
    </row>
    <row r="4359">
      <c r="A4359" t="inlineStr">
        <is>
          <t>5월</t>
        </is>
      </c>
      <c r="B4359" t="inlineStr">
        <is>
          <t>21주차</t>
        </is>
      </c>
      <c r="C4359" t="inlineStr">
        <is>
          <t>EP</t>
        </is>
      </c>
      <c r="D4359" s="28" t="n">
        <v>46160</v>
      </c>
      <c r="E4359" t="inlineStr">
        <is>
          <t>현대EP_fast</t>
        </is>
      </c>
      <c r="F4359" t="inlineStr">
        <is>
          <t>박지향</t>
        </is>
      </c>
      <c r="G4359" t="inlineStr">
        <is>
          <t>010-7159-7038</t>
        </is>
      </c>
      <c r="H4359" t="inlineStr">
        <is>
          <t>65우9219</t>
        </is>
      </c>
      <c r="I4359" t="n">
        <v>3800000</v>
      </c>
      <c r="J4359" t="n">
        <v>0.081</v>
      </c>
      <c r="K4359" t="n">
        <v>1.76</v>
      </c>
      <c r="L4359" t="n">
        <v>0.4</v>
      </c>
      <c r="M4359" t="n">
        <v>1.36</v>
      </c>
      <c r="P4359" t="inlineStr">
        <is>
          <t>최혁</t>
        </is>
      </c>
      <c r="AB4359" t="inlineStr">
        <is>
          <t>엔카</t>
        </is>
      </c>
      <c r="AC4359" t="n">
        <v>66880</v>
      </c>
      <c r="AD4359" t="n">
        <v>15200</v>
      </c>
      <c r="AE4359" t="n">
        <v>51680</v>
      </c>
      <c r="AF4359" t="n">
        <v>60800</v>
      </c>
      <c r="AG4359" t="n">
        <v>14698.4</v>
      </c>
      <c r="AH4359" t="n">
        <v>46101.6</v>
      </c>
      <c r="AI4359" t="n">
        <v>0</v>
      </c>
    </row>
    <row r="4360">
      <c r="A4360" t="inlineStr">
        <is>
          <t>4월</t>
        </is>
      </c>
      <c r="B4360" t="inlineStr">
        <is>
          <t>17주차</t>
        </is>
      </c>
      <c r="C4360" t="inlineStr">
        <is>
          <t>IM</t>
        </is>
      </c>
      <c r="D4360" s="28" t="n">
        <v>46133</v>
      </c>
      <c r="E4360" t="inlineStr">
        <is>
          <t>IM캐피탈</t>
        </is>
      </c>
      <c r="F4360" t="inlineStr">
        <is>
          <t>조성원</t>
        </is>
      </c>
      <c r="G4360" t="inlineStr">
        <is>
          <t>010-7253-8293</t>
        </is>
      </c>
      <c r="H4360" t="inlineStr">
        <is>
          <t>172러3711</t>
        </is>
      </c>
      <c r="I4360" t="n">
        <v>-30000000</v>
      </c>
      <c r="J4360" t="n">
        <v>0.049</v>
      </c>
      <c r="K4360" t="n">
        <v>1.1</v>
      </c>
      <c r="L4360" t="n">
        <v>0.07000000000000001</v>
      </c>
      <c r="M4360" t="n">
        <v>1.03</v>
      </c>
      <c r="P4360" t="inlineStr">
        <is>
          <t>김나윤</t>
        </is>
      </c>
      <c r="Q4360" t="inlineStr">
        <is>
          <t>홈서비스 48개월</t>
        </is>
      </c>
      <c r="AB4360" t="inlineStr">
        <is>
          <t>홈서비스</t>
        </is>
      </c>
      <c r="AC4360" t="n">
        <v>-330000</v>
      </c>
      <c r="AD4360" t="n">
        <v>-21000</v>
      </c>
      <c r="AE4360" t="n">
        <v>-309000</v>
      </c>
      <c r="AF4360" t="n">
        <v>-300000</v>
      </c>
      <c r="AG4360" t="n">
        <v>-20307</v>
      </c>
      <c r="AH4360" t="n">
        <v>-279693</v>
      </c>
      <c r="AI4360" t="n">
        <v>0</v>
      </c>
    </row>
    <row r="4361">
      <c r="A4361" t="inlineStr">
        <is>
          <t>5월</t>
        </is>
      </c>
      <c r="B4361" t="inlineStr">
        <is>
          <t>21주차</t>
        </is>
      </c>
      <c r="C4361" t="inlineStr">
        <is>
          <t>EP</t>
        </is>
      </c>
      <c r="D4361" s="28" t="n">
        <v>46160</v>
      </c>
      <c r="E4361" t="inlineStr">
        <is>
          <t>BNKEP</t>
        </is>
      </c>
      <c r="F4361" t="inlineStr">
        <is>
          <t>지민정</t>
        </is>
      </c>
      <c r="G4361" t="inlineStr">
        <is>
          <t>010-9476-2838</t>
        </is>
      </c>
      <c r="H4361" t="inlineStr">
        <is>
          <t>186우1440</t>
        </is>
      </c>
      <c r="I4361" t="n">
        <v>10000000</v>
      </c>
      <c r="J4361" t="n">
        <v>0.067</v>
      </c>
      <c r="K4361" t="n">
        <v>1.65</v>
      </c>
      <c r="L4361" t="n">
        <v>0.14</v>
      </c>
      <c r="M4361" t="n">
        <v>1.51</v>
      </c>
      <c r="P4361" t="inlineStr">
        <is>
          <t>정세빈</t>
        </is>
      </c>
      <c r="Q4361" t="inlineStr">
        <is>
          <t>홈서비스 24개월 / 론 진행</t>
        </is>
      </c>
      <c r="AB4361" t="inlineStr">
        <is>
          <t>홈서비스</t>
        </is>
      </c>
      <c r="AC4361" t="n">
        <v>165000</v>
      </c>
      <c r="AD4361" t="n">
        <v>14000</v>
      </c>
      <c r="AE4361" t="n">
        <v>151000</v>
      </c>
      <c r="AF4361" t="n">
        <v>150000</v>
      </c>
      <c r="AG4361" t="n">
        <v>13538</v>
      </c>
      <c r="AH4361" t="n">
        <v>136462</v>
      </c>
      <c r="AI4361" t="n">
        <v>0</v>
      </c>
    </row>
    <row r="4362">
      <c r="A4362" t="inlineStr">
        <is>
          <t>5월</t>
        </is>
      </c>
      <c r="B4362" t="inlineStr">
        <is>
          <t>20주차</t>
        </is>
      </c>
      <c r="C4362" t="inlineStr">
        <is>
          <t>EP</t>
        </is>
      </c>
      <c r="D4362" s="28" t="n">
        <v>46157</v>
      </c>
      <c r="E4362" t="inlineStr">
        <is>
          <t>현대EP</t>
        </is>
      </c>
      <c r="F4362" t="inlineStr">
        <is>
          <t>박수연</t>
        </is>
      </c>
      <c r="G4362" t="inlineStr">
        <is>
          <t>010-3033-2127</t>
        </is>
      </c>
      <c r="H4362" t="inlineStr">
        <is>
          <t>186노4235</t>
        </is>
      </c>
      <c r="I4362" t="n">
        <v>4500000</v>
      </c>
      <c r="J4362" t="n">
        <v>0.08500000000000001</v>
      </c>
      <c r="K4362" t="n">
        <v>1.76</v>
      </c>
      <c r="L4362" t="n">
        <v>0.14</v>
      </c>
      <c r="M4362" t="n">
        <v>1.62</v>
      </c>
      <c r="P4362" t="inlineStr">
        <is>
          <t>황채이</t>
        </is>
      </c>
      <c r="AB4362" t="inlineStr">
        <is>
          <t>홈서비스</t>
        </is>
      </c>
      <c r="AC4362" t="n">
        <v>79200</v>
      </c>
      <c r="AD4362" t="n">
        <v>6300</v>
      </c>
      <c r="AE4362" t="n">
        <v>72900</v>
      </c>
      <c r="AF4362" t="n">
        <v>72000</v>
      </c>
      <c r="AG4362" t="n">
        <v>6092.1</v>
      </c>
      <c r="AH4362" t="n">
        <v>65907.89999999999</v>
      </c>
      <c r="AI4362" t="n">
        <v>0</v>
      </c>
    </row>
    <row r="4363">
      <c r="A4363" t="inlineStr">
        <is>
          <t>5월</t>
        </is>
      </c>
      <c r="B4363" t="inlineStr">
        <is>
          <t>21주차</t>
        </is>
      </c>
      <c r="C4363" t="inlineStr">
        <is>
          <t>IM</t>
        </is>
      </c>
      <c r="D4363" s="28" t="n">
        <v>46160</v>
      </c>
      <c r="E4363" t="inlineStr">
        <is>
          <t>IM캐피탈</t>
        </is>
      </c>
      <c r="F4363" t="inlineStr">
        <is>
          <t>위동균</t>
        </is>
      </c>
      <c r="G4363" t="inlineStr">
        <is>
          <t>010-9694-7228</t>
        </is>
      </c>
      <c r="H4363" t="inlineStr">
        <is>
          <t>38머0993</t>
        </is>
      </c>
      <c r="I4363" t="n">
        <v>6600000</v>
      </c>
      <c r="J4363" t="n">
        <v>0.059</v>
      </c>
      <c r="K4363" t="n">
        <v>1.1</v>
      </c>
      <c r="L4363" t="n">
        <v>0.14</v>
      </c>
      <c r="M4363" t="n">
        <v>0.96</v>
      </c>
      <c r="P4363" t="inlineStr">
        <is>
          <t>장진경</t>
        </is>
      </c>
      <c r="Q4363" t="inlineStr">
        <is>
          <t>선상담 / 홈서비스 36개월</t>
        </is>
      </c>
      <c r="AB4363" t="inlineStr">
        <is>
          <t>홈서비스</t>
        </is>
      </c>
      <c r="AC4363" t="n">
        <v>72600</v>
      </c>
      <c r="AD4363" t="n">
        <v>9240</v>
      </c>
      <c r="AE4363" t="n">
        <v>63360</v>
      </c>
      <c r="AF4363" t="n">
        <v>66000</v>
      </c>
      <c r="AG4363" t="n">
        <v>8935.08</v>
      </c>
      <c r="AH4363" t="n">
        <v>57064.92</v>
      </c>
      <c r="AI4363" t="n">
        <v>0</v>
      </c>
    </row>
    <row r="4364">
      <c r="A4364" t="inlineStr">
        <is>
          <t>5월</t>
        </is>
      </c>
      <c r="B4364" t="inlineStr">
        <is>
          <t>21주차</t>
        </is>
      </c>
      <c r="C4364" t="inlineStr">
        <is>
          <t>WC</t>
        </is>
      </c>
      <c r="D4364" s="28" t="n">
        <v>46160</v>
      </c>
      <c r="E4364" t="inlineStr">
        <is>
          <t>웰컴저축은행</t>
        </is>
      </c>
      <c r="F4364" t="inlineStr">
        <is>
          <t>조성복</t>
        </is>
      </c>
      <c r="G4364" t="inlineStr">
        <is>
          <t>010-4171-2893</t>
        </is>
      </c>
      <c r="H4364" t="inlineStr">
        <is>
          <t>111루1848</t>
        </is>
      </c>
      <c r="I4364" t="n">
        <v>25000000</v>
      </c>
      <c r="J4364" t="n">
        <v>0.166</v>
      </c>
      <c r="K4364" t="n">
        <v>2.2</v>
      </c>
      <c r="L4364" t="n">
        <v>0.14</v>
      </c>
      <c r="M4364" t="n">
        <v>2.06</v>
      </c>
      <c r="P4364" t="inlineStr">
        <is>
          <t>황채이</t>
        </is>
      </c>
      <c r="Q4364" t="inlineStr">
        <is>
          <t>홈서비스 60개월</t>
        </is>
      </c>
      <c r="AB4364" t="inlineStr">
        <is>
          <t>홈서비스</t>
        </is>
      </c>
      <c r="AC4364" t="n">
        <v>550000</v>
      </c>
      <c r="AD4364" t="n">
        <v>35000</v>
      </c>
      <c r="AE4364" t="n">
        <v>515000</v>
      </c>
      <c r="AF4364" t="n">
        <v>500000</v>
      </c>
      <c r="AG4364" t="n">
        <v>33845</v>
      </c>
      <c r="AH4364" t="n">
        <v>466155</v>
      </c>
      <c r="AI4364" t="n">
        <v>0</v>
      </c>
    </row>
    <row r="4365">
      <c r="A4365" t="inlineStr">
        <is>
          <t>5월</t>
        </is>
      </c>
      <c r="B4365" t="inlineStr">
        <is>
          <t>21주차</t>
        </is>
      </c>
      <c r="C4365" t="inlineStr">
        <is>
          <t>EP</t>
        </is>
      </c>
      <c r="D4365" s="28" t="n">
        <v>46160</v>
      </c>
      <c r="E4365" t="inlineStr">
        <is>
          <t>현대EP_fast</t>
        </is>
      </c>
      <c r="F4365" t="inlineStr">
        <is>
          <t>김대경</t>
        </is>
      </c>
      <c r="G4365" t="inlineStr">
        <is>
          <t>010-5632-4047</t>
        </is>
      </c>
      <c r="H4365" t="inlineStr">
        <is>
          <t>383무5246</t>
        </is>
      </c>
      <c r="I4365" t="n">
        <v>34500000</v>
      </c>
      <c r="J4365" t="n">
        <v>0.089</v>
      </c>
      <c r="K4365" t="n">
        <v>1.76</v>
      </c>
      <c r="L4365" t="n">
        <v>0.14</v>
      </c>
      <c r="M4365" t="n">
        <v>1.62</v>
      </c>
      <c r="P4365" t="inlineStr">
        <is>
          <t>황채이</t>
        </is>
      </c>
      <c r="Q4365" t="inlineStr">
        <is>
          <t>홈서비스 60개월</t>
        </is>
      </c>
      <c r="AB4365" t="inlineStr">
        <is>
          <t>홈서비스</t>
        </is>
      </c>
      <c r="AC4365" t="n">
        <v>607200</v>
      </c>
      <c r="AD4365" t="n">
        <v>48300</v>
      </c>
      <c r="AE4365" t="n">
        <v>558900</v>
      </c>
      <c r="AF4365" t="n">
        <v>552000</v>
      </c>
      <c r="AG4365" t="n">
        <v>46706.1</v>
      </c>
      <c r="AH4365" t="n">
        <v>505293.9</v>
      </c>
      <c r="AI4365" t="n">
        <v>0</v>
      </c>
    </row>
    <row r="4366">
      <c r="A4366" t="inlineStr">
        <is>
          <t>5월</t>
        </is>
      </c>
      <c r="B4366" t="inlineStr">
        <is>
          <t>21주차</t>
        </is>
      </c>
      <c r="C4366" t="inlineStr">
        <is>
          <t>EP</t>
        </is>
      </c>
      <c r="D4366" s="28" t="n">
        <v>46160</v>
      </c>
      <c r="E4366" t="inlineStr">
        <is>
          <t>현대EP_fast</t>
        </is>
      </c>
      <c r="F4366" t="inlineStr">
        <is>
          <t>김시환</t>
        </is>
      </c>
      <c r="G4366" t="inlineStr">
        <is>
          <t>010-2112-5842</t>
        </is>
      </c>
      <c r="H4366" t="inlineStr">
        <is>
          <t>109두3090</t>
        </is>
      </c>
      <c r="I4366" t="n">
        <v>7700000</v>
      </c>
      <c r="J4366" t="n">
        <v>0.139</v>
      </c>
      <c r="K4366" t="n">
        <v>1.76</v>
      </c>
      <c r="L4366" t="n">
        <v>0.14</v>
      </c>
      <c r="M4366" t="n">
        <v>1.62</v>
      </c>
      <c r="P4366" t="inlineStr">
        <is>
          <t>황채이</t>
        </is>
      </c>
      <c r="Q4366" t="inlineStr">
        <is>
          <t>홈서비스 48개월</t>
        </is>
      </c>
      <c r="AB4366" t="inlineStr">
        <is>
          <t>홈서비스</t>
        </is>
      </c>
      <c r="AC4366" t="n">
        <v>135520</v>
      </c>
      <c r="AD4366" t="n">
        <v>10780</v>
      </c>
      <c r="AE4366" t="n">
        <v>124740</v>
      </c>
      <c r="AF4366" t="n">
        <v>123200</v>
      </c>
      <c r="AG4366" t="n">
        <v>10424.26</v>
      </c>
      <c r="AH4366" t="n">
        <v>112775.74</v>
      </c>
      <c r="AI4366" t="n">
        <v>0</v>
      </c>
    </row>
    <row r="4367">
      <c r="A4367" t="inlineStr">
        <is>
          <t>5월</t>
        </is>
      </c>
      <c r="B4367" t="inlineStr">
        <is>
          <t>21주차</t>
        </is>
      </c>
      <c r="C4367" t="inlineStr">
        <is>
          <t>IM</t>
        </is>
      </c>
      <c r="D4367" s="28" t="n">
        <v>46160</v>
      </c>
      <c r="E4367" t="inlineStr">
        <is>
          <t>IM캐피탈</t>
        </is>
      </c>
      <c r="F4367" t="inlineStr">
        <is>
          <t>허성재</t>
        </is>
      </c>
      <c r="G4367" t="inlineStr">
        <is>
          <t>010-4477-9886</t>
        </is>
      </c>
      <c r="H4367" t="inlineStr">
        <is>
          <t>62보6650</t>
        </is>
      </c>
      <c r="I4367" t="n">
        <v>11800000</v>
      </c>
      <c r="J4367" t="n">
        <v>0.049</v>
      </c>
      <c r="K4367" t="n">
        <v>1.1</v>
      </c>
      <c r="L4367" t="n">
        <v>0.14</v>
      </c>
      <c r="M4367" t="n">
        <v>0.96</v>
      </c>
      <c r="P4367" t="inlineStr">
        <is>
          <t>황채이</t>
        </is>
      </c>
      <c r="Q4367" t="inlineStr">
        <is>
          <t>홈서비스 60개월</t>
        </is>
      </c>
      <c r="AB4367" t="inlineStr">
        <is>
          <t>홈서비스</t>
        </is>
      </c>
      <c r="AC4367" t="n">
        <v>129800</v>
      </c>
      <c r="AD4367" t="n">
        <v>16520</v>
      </c>
      <c r="AE4367" t="n">
        <v>113280</v>
      </c>
      <c r="AF4367" t="n">
        <v>118000</v>
      </c>
      <c r="AG4367" t="n">
        <v>15974.84</v>
      </c>
      <c r="AH4367" t="n">
        <v>102025.16</v>
      </c>
      <c r="AI4367" t="n">
        <v>0</v>
      </c>
    </row>
    <row r="4368">
      <c r="A4368" t="inlineStr">
        <is>
          <t>5월</t>
        </is>
      </c>
      <c r="B4368" t="inlineStr">
        <is>
          <t>21주차</t>
        </is>
      </c>
      <c r="C4368" t="inlineStr">
        <is>
          <t>IM</t>
        </is>
      </c>
      <c r="D4368" s="28" t="n">
        <v>46160</v>
      </c>
      <c r="E4368" t="inlineStr">
        <is>
          <t>IM캐피탈</t>
        </is>
      </c>
      <c r="F4368" t="inlineStr">
        <is>
          <t>김진옥</t>
        </is>
      </c>
      <c r="G4368" t="inlineStr">
        <is>
          <t>010-8858-6438</t>
        </is>
      </c>
      <c r="H4368" t="inlineStr">
        <is>
          <t>278도7103</t>
        </is>
      </c>
      <c r="I4368" t="n">
        <v>16000000</v>
      </c>
      <c r="J4368" t="n">
        <v>0.049</v>
      </c>
      <c r="K4368" t="n">
        <v>1.1</v>
      </c>
      <c r="L4368" t="n">
        <v>0.14</v>
      </c>
      <c r="M4368" t="n">
        <v>0.96</v>
      </c>
      <c r="P4368" t="inlineStr">
        <is>
          <t>황채이</t>
        </is>
      </c>
      <c r="Q4368" t="inlineStr">
        <is>
          <t>홈서비스 60개월</t>
        </is>
      </c>
      <c r="AB4368" t="inlineStr">
        <is>
          <t>홈서비스</t>
        </is>
      </c>
      <c r="AC4368" t="n">
        <v>176000</v>
      </c>
      <c r="AD4368" t="n">
        <v>22400</v>
      </c>
      <c r="AE4368" t="n">
        <v>153600</v>
      </c>
      <c r="AF4368" t="n">
        <v>160000</v>
      </c>
      <c r="AG4368" t="n">
        <v>21660.8</v>
      </c>
      <c r="AH4368" t="n">
        <v>138339.2</v>
      </c>
      <c r="AI4368" t="n">
        <v>0</v>
      </c>
    </row>
    <row r="4369">
      <c r="A4369" t="inlineStr">
        <is>
          <t>5월</t>
        </is>
      </c>
      <c r="B4369" t="inlineStr">
        <is>
          <t>21주차</t>
        </is>
      </c>
      <c r="C4369" t="inlineStr">
        <is>
          <t>EP</t>
        </is>
      </c>
      <c r="D4369" s="28" t="n">
        <v>46160</v>
      </c>
      <c r="E4369" t="inlineStr">
        <is>
          <t>현대EP_fast</t>
        </is>
      </c>
      <c r="F4369" t="inlineStr">
        <is>
          <t>임은지</t>
        </is>
      </c>
      <c r="G4369" t="inlineStr">
        <is>
          <t>010-2409-9119</t>
        </is>
      </c>
      <c r="H4369" t="inlineStr">
        <is>
          <t>05마7891</t>
        </is>
      </c>
      <c r="I4369" t="n">
        <v>9900000</v>
      </c>
      <c r="J4369" t="n">
        <v>0.154</v>
      </c>
      <c r="K4369" t="n">
        <v>1.76</v>
      </c>
      <c r="L4369" t="n">
        <v>0.14</v>
      </c>
      <c r="M4369" t="n">
        <v>1.62</v>
      </c>
      <c r="P4369" t="inlineStr">
        <is>
          <t>황채이</t>
        </is>
      </c>
      <c r="Q4369" t="inlineStr">
        <is>
          <t>홈서비스 48개월</t>
        </is>
      </c>
      <c r="AB4369" t="inlineStr">
        <is>
          <t>홈서비스</t>
        </is>
      </c>
      <c r="AC4369" t="n">
        <v>174240</v>
      </c>
      <c r="AD4369" t="n">
        <v>13860</v>
      </c>
      <c r="AE4369" t="n">
        <v>160380</v>
      </c>
      <c r="AF4369" t="n">
        <v>158400</v>
      </c>
      <c r="AG4369" t="n">
        <v>13402.62</v>
      </c>
      <c r="AH4369" t="n">
        <v>144997.38</v>
      </c>
      <c r="AI4369" t="n">
        <v>0</v>
      </c>
    </row>
    <row r="4370">
      <c r="A4370" t="inlineStr">
        <is>
          <t>5월</t>
        </is>
      </c>
      <c r="B4370" t="inlineStr">
        <is>
          <t>21주차</t>
        </is>
      </c>
      <c r="C4370" t="inlineStr">
        <is>
          <t>IM</t>
        </is>
      </c>
      <c r="D4370" s="28" t="n">
        <v>46160</v>
      </c>
      <c r="E4370" t="inlineStr">
        <is>
          <t>IM캐피탈</t>
        </is>
      </c>
      <c r="F4370" t="inlineStr">
        <is>
          <t>윤지수</t>
        </is>
      </c>
      <c r="G4370" t="inlineStr">
        <is>
          <t>010-5709-0037</t>
        </is>
      </c>
      <c r="H4370" t="inlineStr">
        <is>
          <t>365서8211</t>
        </is>
      </c>
      <c r="I4370" t="n">
        <v>30500000</v>
      </c>
      <c r="J4370" t="n">
        <v>0.067</v>
      </c>
      <c r="K4370" t="n">
        <v>1.1</v>
      </c>
      <c r="L4370" t="n">
        <v>0.14</v>
      </c>
      <c r="M4370" t="n">
        <v>0.96</v>
      </c>
      <c r="P4370" t="inlineStr">
        <is>
          <t>황채이</t>
        </is>
      </c>
      <c r="Q4370" t="inlineStr">
        <is>
          <t>홈서비스 84개월</t>
        </is>
      </c>
      <c r="AB4370" t="inlineStr">
        <is>
          <t>홈서비스</t>
        </is>
      </c>
      <c r="AC4370" t="n">
        <v>335500</v>
      </c>
      <c r="AD4370" t="n">
        <v>42700</v>
      </c>
      <c r="AE4370" t="n">
        <v>292800</v>
      </c>
      <c r="AF4370" t="n">
        <v>305000</v>
      </c>
      <c r="AG4370" t="n">
        <v>41290.9</v>
      </c>
      <c r="AH4370" t="n">
        <v>263709.1</v>
      </c>
      <c r="AI4370" t="n">
        <v>0</v>
      </c>
    </row>
    <row r="4371">
      <c r="A4371" t="inlineStr">
        <is>
          <t>5월</t>
        </is>
      </c>
      <c r="B4371" t="inlineStr">
        <is>
          <t>20주차</t>
        </is>
      </c>
      <c r="C4371" t="inlineStr">
        <is>
          <t>EP</t>
        </is>
      </c>
      <c r="D4371" s="28" t="n">
        <v>46157</v>
      </c>
      <c r="E4371" t="inlineStr">
        <is>
          <t>현대EP</t>
        </is>
      </c>
      <c r="F4371" t="inlineStr">
        <is>
          <t>황유빈</t>
        </is>
      </c>
      <c r="G4371" t="inlineStr">
        <is>
          <t>010-7273-9774</t>
        </is>
      </c>
      <c r="H4371" t="inlineStr">
        <is>
          <t>134머1629</t>
        </is>
      </c>
      <c r="I4371" t="n">
        <v>34500000</v>
      </c>
      <c r="J4371" t="n">
        <v>0.099</v>
      </c>
      <c r="K4371" t="n">
        <v>1.76</v>
      </c>
      <c r="L4371" t="n">
        <v>0.14</v>
      </c>
      <c r="M4371" t="n">
        <v>1.62</v>
      </c>
      <c r="P4371" t="inlineStr">
        <is>
          <t>장현경</t>
        </is>
      </c>
      <c r="AB4371" t="inlineStr">
        <is>
          <t>홈서비스</t>
        </is>
      </c>
      <c r="AC4371" t="n">
        <v>607200</v>
      </c>
      <c r="AD4371" t="n">
        <v>48300</v>
      </c>
      <c r="AE4371" t="n">
        <v>558900</v>
      </c>
      <c r="AF4371" t="n">
        <v>552000</v>
      </c>
      <c r="AG4371" t="n">
        <v>46706.1</v>
      </c>
      <c r="AH4371" t="n">
        <v>505293.9</v>
      </c>
      <c r="AI4371" t="n">
        <v>0</v>
      </c>
    </row>
    <row r="4372">
      <c r="A4372" t="inlineStr">
        <is>
          <t>5월</t>
        </is>
      </c>
      <c r="B4372" t="inlineStr">
        <is>
          <t>21주차</t>
        </is>
      </c>
      <c r="C4372" t="inlineStr">
        <is>
          <t>EP</t>
        </is>
      </c>
      <c r="D4372" s="28" t="n">
        <v>46160</v>
      </c>
      <c r="E4372" t="inlineStr">
        <is>
          <t>BNKEP</t>
        </is>
      </c>
      <c r="F4372" t="inlineStr">
        <is>
          <t>임영철</t>
        </is>
      </c>
      <c r="G4372" t="inlineStr">
        <is>
          <t>010-8503-2336</t>
        </is>
      </c>
      <c r="H4372" t="inlineStr">
        <is>
          <t>52보9485</t>
        </is>
      </c>
      <c r="I4372" t="n">
        <v>8200000</v>
      </c>
      <c r="J4372" t="n">
        <v>0.063</v>
      </c>
      <c r="K4372" t="n">
        <v>1.65</v>
      </c>
      <c r="L4372" t="n">
        <v>0.14</v>
      </c>
      <c r="M4372" t="n">
        <v>1.51</v>
      </c>
      <c r="P4372" t="inlineStr">
        <is>
          <t>김나윤</t>
        </is>
      </c>
      <c r="Q4372" t="inlineStr">
        <is>
          <t>홈서비스 60개월</t>
        </is>
      </c>
      <c r="AB4372" t="inlineStr">
        <is>
          <t>홈서비스</t>
        </is>
      </c>
      <c r="AC4372" t="n">
        <v>135300</v>
      </c>
      <c r="AD4372" t="n">
        <v>11480</v>
      </c>
      <c r="AE4372" t="n">
        <v>123820</v>
      </c>
      <c r="AF4372" t="n">
        <v>123000</v>
      </c>
      <c r="AG4372" t="n">
        <v>11101.16</v>
      </c>
      <c r="AH4372" t="n">
        <v>111898.84</v>
      </c>
      <c r="AI4372" t="n">
        <v>0</v>
      </c>
    </row>
    <row r="4373">
      <c r="A4373" t="inlineStr">
        <is>
          <t>5월</t>
        </is>
      </c>
      <c r="B4373" t="inlineStr">
        <is>
          <t>20주차</t>
        </is>
      </c>
      <c r="C4373" t="inlineStr">
        <is>
          <t>WR</t>
        </is>
      </c>
      <c r="D4373" s="28" t="n">
        <v>46157</v>
      </c>
      <c r="E4373" t="inlineStr">
        <is>
          <t>우리금융</t>
        </is>
      </c>
      <c r="F4373" t="inlineStr">
        <is>
          <t>김근화</t>
        </is>
      </c>
      <c r="G4373" t="inlineStr">
        <is>
          <t>010-3622-3381</t>
        </is>
      </c>
      <c r="H4373" t="inlineStr">
        <is>
          <t>18구8004</t>
        </is>
      </c>
      <c r="I4373" t="n">
        <v>10000000</v>
      </c>
      <c r="J4373" t="n">
        <v>0.089</v>
      </c>
      <c r="K4373" t="n">
        <v>2.2</v>
      </c>
      <c r="L4373" t="n">
        <v>0.4</v>
      </c>
      <c r="M4373" t="n">
        <v>1.8</v>
      </c>
      <c r="P4373" t="inlineStr">
        <is>
          <t>박보람</t>
        </is>
      </c>
      <c r="Q4373" t="inlineStr">
        <is>
          <t>부대비용 추가진행</t>
        </is>
      </c>
      <c r="AB4373" t="inlineStr">
        <is>
          <t>엔카</t>
        </is>
      </c>
      <c r="AC4373" t="n">
        <v>220000</v>
      </c>
      <c r="AD4373" t="n">
        <v>40000</v>
      </c>
      <c r="AE4373" t="n">
        <v>180000</v>
      </c>
      <c r="AF4373" t="n">
        <v>200000</v>
      </c>
      <c r="AG4373" t="n">
        <v>38680</v>
      </c>
      <c r="AH4373" t="n">
        <v>161320</v>
      </c>
    </row>
    <row r="4374">
      <c r="A4374" t="inlineStr">
        <is>
          <t>5월</t>
        </is>
      </c>
      <c r="B4374" t="inlineStr">
        <is>
          <t>21주차</t>
        </is>
      </c>
      <c r="C4374" t="inlineStr">
        <is>
          <t>EP</t>
        </is>
      </c>
      <c r="D4374" s="28" t="n">
        <v>46160</v>
      </c>
      <c r="E4374" t="inlineStr">
        <is>
          <t>BNKEP</t>
        </is>
      </c>
      <c r="F4374" t="inlineStr">
        <is>
          <t>민호성</t>
        </is>
      </c>
      <c r="G4374" t="inlineStr">
        <is>
          <t>010-5650-9294</t>
        </is>
      </c>
      <c r="H4374" t="inlineStr">
        <is>
          <t>27모4120</t>
        </is>
      </c>
      <c r="I4374" t="n">
        <v>29000000</v>
      </c>
      <c r="J4374" t="n">
        <v>0.077</v>
      </c>
      <c r="K4374" t="n">
        <v>1.65</v>
      </c>
      <c r="L4374" t="n">
        <v>0.14</v>
      </c>
      <c r="M4374" t="n">
        <v>1.51</v>
      </c>
      <c r="P4374" t="inlineStr">
        <is>
          <t>김수연</t>
        </is>
      </c>
      <c r="Q4374" t="inlineStr">
        <is>
          <t>홈서비스 72개월</t>
        </is>
      </c>
      <c r="AB4374" t="inlineStr">
        <is>
          <t>홈서비스</t>
        </is>
      </c>
      <c r="AC4374" t="n">
        <v>478500</v>
      </c>
      <c r="AD4374" t="n">
        <v>40600</v>
      </c>
      <c r="AE4374" t="n">
        <v>437900</v>
      </c>
      <c r="AF4374" t="n">
        <v>435000</v>
      </c>
      <c r="AG4374" t="n">
        <v>39260.2</v>
      </c>
      <c r="AH4374" t="n">
        <v>395739.8</v>
      </c>
      <c r="AI4374" t="n">
        <v>0</v>
      </c>
    </row>
    <row r="4375">
      <c r="A4375" t="inlineStr">
        <is>
          <t>5월</t>
        </is>
      </c>
      <c r="B4375" t="inlineStr">
        <is>
          <t>21주차</t>
        </is>
      </c>
      <c r="C4375" t="inlineStr">
        <is>
          <t>WR</t>
        </is>
      </c>
      <c r="D4375" s="28" t="n">
        <v>46160</v>
      </c>
      <c r="E4375" t="inlineStr">
        <is>
          <t>우리금융</t>
        </is>
      </c>
      <c r="F4375" t="inlineStr">
        <is>
          <t>이은영</t>
        </is>
      </c>
      <c r="G4375" t="inlineStr">
        <is>
          <t>010-2994-3600</t>
        </is>
      </c>
      <c r="H4375" t="inlineStr">
        <is>
          <t>51고5142</t>
        </is>
      </c>
      <c r="I4375" t="n">
        <v>37000000</v>
      </c>
      <c r="J4375" t="n">
        <v>0.067</v>
      </c>
      <c r="K4375" t="n">
        <v>2.2</v>
      </c>
      <c r="L4375" t="n">
        <v>0.4</v>
      </c>
      <c r="M4375" t="n">
        <v>1.8</v>
      </c>
      <c r="P4375" t="inlineStr">
        <is>
          <t>박보람</t>
        </is>
      </c>
      <c r="Q4375" t="inlineStr">
        <is>
          <t>부대비용 추가진행</t>
        </is>
      </c>
      <c r="AB4375" t="inlineStr">
        <is>
          <t>엔카</t>
        </is>
      </c>
      <c r="AC4375" t="n">
        <v>814000</v>
      </c>
      <c r="AD4375" t="n">
        <v>148000</v>
      </c>
      <c r="AE4375" t="n">
        <v>666000</v>
      </c>
      <c r="AF4375" t="n">
        <v>740000</v>
      </c>
      <c r="AG4375" t="n">
        <v>143116</v>
      </c>
      <c r="AH4375" t="n">
        <v>596884</v>
      </c>
      <c r="AI4375" t="n">
        <v>0</v>
      </c>
    </row>
    <row r="4376">
      <c r="A4376" t="inlineStr">
        <is>
          <t>5월</t>
        </is>
      </c>
      <c r="B4376" t="inlineStr">
        <is>
          <t>20주차</t>
        </is>
      </c>
      <c r="C4376" t="inlineStr">
        <is>
          <t>EP</t>
        </is>
      </c>
      <c r="D4376" s="28" t="n">
        <v>46157</v>
      </c>
      <c r="E4376" t="inlineStr">
        <is>
          <t>현대EP_fast</t>
        </is>
      </c>
      <c r="F4376" t="inlineStr">
        <is>
          <t>유민욱</t>
        </is>
      </c>
      <c r="G4376" t="inlineStr">
        <is>
          <t>010-8579-7527</t>
        </is>
      </c>
      <c r="H4376" t="inlineStr">
        <is>
          <t>46두5756</t>
        </is>
      </c>
      <c r="I4376" t="n">
        <v>4700000</v>
      </c>
      <c r="J4376" t="n">
        <v>0.08799999999999999</v>
      </c>
      <c r="K4376" t="n">
        <v>1.76</v>
      </c>
      <c r="L4376" t="n">
        <v>0.14</v>
      </c>
      <c r="M4376" t="n">
        <v>1.62</v>
      </c>
      <c r="P4376" t="inlineStr">
        <is>
          <t>최형주</t>
        </is>
      </c>
      <c r="Q4376" t="inlineStr">
        <is>
          <t>홈서비스 48개월</t>
        </is>
      </c>
      <c r="AB4376" t="inlineStr">
        <is>
          <t>홈서비스</t>
        </is>
      </c>
      <c r="AC4376" t="n">
        <v>82720</v>
      </c>
      <c r="AD4376" t="n">
        <v>6580</v>
      </c>
      <c r="AE4376" t="n">
        <v>76140</v>
      </c>
      <c r="AF4376" t="n">
        <v>75200</v>
      </c>
      <c r="AG4376" t="n">
        <v>6362.86</v>
      </c>
      <c r="AH4376" t="n">
        <v>68837.14</v>
      </c>
      <c r="AI4376" t="n">
        <v>0</v>
      </c>
    </row>
    <row r="4377">
      <c r="A4377" t="inlineStr">
        <is>
          <t>5월</t>
        </is>
      </c>
      <c r="B4377" t="inlineStr">
        <is>
          <t>20주차</t>
        </is>
      </c>
      <c r="C4377" t="inlineStr">
        <is>
          <t>EP</t>
        </is>
      </c>
      <c r="D4377" s="28" t="n">
        <v>46159</v>
      </c>
      <c r="E4377" t="inlineStr">
        <is>
          <t>현대EP</t>
        </is>
      </c>
      <c r="F4377" t="inlineStr">
        <is>
          <t>박성열</t>
        </is>
      </c>
      <c r="G4377" t="inlineStr">
        <is>
          <t>010-4592-7676</t>
        </is>
      </c>
      <c r="H4377" t="inlineStr">
        <is>
          <t>21서6240</t>
        </is>
      </c>
      <c r="I4377" t="n">
        <v>48900000</v>
      </c>
      <c r="J4377" t="n">
        <v>0.06900000000000001</v>
      </c>
      <c r="K4377" t="n">
        <v>1.76</v>
      </c>
      <c r="L4377" t="n">
        <v>0.14</v>
      </c>
      <c r="M4377" t="n">
        <v>1.62</v>
      </c>
      <c r="P4377" t="inlineStr">
        <is>
          <t>최형주</t>
        </is>
      </c>
      <c r="AB4377" t="inlineStr">
        <is>
          <t>홈서비스</t>
        </is>
      </c>
      <c r="AC4377" t="n">
        <v>860640</v>
      </c>
      <c r="AD4377" t="n">
        <v>68460</v>
      </c>
      <c r="AE4377" t="n">
        <v>792180</v>
      </c>
      <c r="AF4377" t="n">
        <v>782400</v>
      </c>
      <c r="AG4377" t="n">
        <v>66200.82000000001</v>
      </c>
      <c r="AH4377" t="n">
        <v>716199.1800000001</v>
      </c>
      <c r="AI4377" t="n">
        <v>0</v>
      </c>
    </row>
    <row r="4378">
      <c r="A4378" t="inlineStr">
        <is>
          <t>5월</t>
        </is>
      </c>
      <c r="B4378" t="inlineStr">
        <is>
          <t>21주차</t>
        </is>
      </c>
      <c r="C4378" t="inlineStr">
        <is>
          <t>EP</t>
        </is>
      </c>
      <c r="D4378" s="28" t="n">
        <v>46160</v>
      </c>
      <c r="E4378" t="inlineStr">
        <is>
          <t>현대EP_fast</t>
        </is>
      </c>
      <c r="F4378" t="inlineStr">
        <is>
          <t>장인주</t>
        </is>
      </c>
      <c r="G4378" t="inlineStr">
        <is>
          <t>010-3612-4259</t>
        </is>
      </c>
      <c r="H4378" t="inlineStr">
        <is>
          <t>43수9539</t>
        </is>
      </c>
      <c r="I4378" t="n">
        <v>12000000</v>
      </c>
      <c r="J4378" t="n">
        <v>0.081</v>
      </c>
      <c r="K4378" t="n">
        <v>1.76</v>
      </c>
      <c r="L4378" t="n">
        <v>0.14</v>
      </c>
      <c r="M4378" t="n">
        <v>1.62</v>
      </c>
      <c r="P4378" t="inlineStr">
        <is>
          <t>정세빈</t>
        </is>
      </c>
      <c r="Q4378" t="inlineStr">
        <is>
          <t>홈서비스 36개월</t>
        </is>
      </c>
      <c r="AB4378" t="inlineStr">
        <is>
          <t>홈서비스</t>
        </is>
      </c>
      <c r="AC4378" t="n">
        <v>211200</v>
      </c>
      <c r="AD4378" t="n">
        <v>16800</v>
      </c>
      <c r="AE4378" t="n">
        <v>194400</v>
      </c>
      <c r="AF4378" t="n">
        <v>192000</v>
      </c>
      <c r="AG4378" t="n">
        <v>16245.6</v>
      </c>
      <c r="AH4378" t="n">
        <v>175754.4</v>
      </c>
      <c r="AI4378" t="n">
        <v>0</v>
      </c>
      <c r="AJ4378" t="inlineStr">
        <is>
          <t>개인</t>
        </is>
      </c>
    </row>
    <row r="4379">
      <c r="A4379" t="inlineStr">
        <is>
          <t>5월</t>
        </is>
      </c>
      <c r="B4379" t="inlineStr">
        <is>
          <t>21주차</t>
        </is>
      </c>
      <c r="C4379" t="inlineStr">
        <is>
          <t>EP</t>
        </is>
      </c>
      <c r="D4379" s="28" t="n">
        <v>46160</v>
      </c>
      <c r="E4379" t="inlineStr">
        <is>
          <t>현대EP</t>
        </is>
      </c>
      <c r="F4379" t="inlineStr">
        <is>
          <t>심영하</t>
        </is>
      </c>
      <c r="G4379" t="inlineStr">
        <is>
          <t>010-7365-6360</t>
        </is>
      </c>
      <c r="H4379" t="inlineStr">
        <is>
          <t>168구9515</t>
        </is>
      </c>
      <c r="I4379" t="n">
        <v>12000000</v>
      </c>
      <c r="J4379" t="n">
        <v>0.08500000000000001</v>
      </c>
      <c r="K4379" t="n">
        <v>1.76</v>
      </c>
      <c r="L4379" t="n">
        <v>0.14</v>
      </c>
      <c r="M4379" t="n">
        <v>1.62</v>
      </c>
      <c r="P4379" t="inlineStr">
        <is>
          <t>최형주</t>
        </is>
      </c>
      <c r="AB4379" t="inlineStr">
        <is>
          <t>홈서비스</t>
        </is>
      </c>
      <c r="AC4379" t="n">
        <v>211200</v>
      </c>
      <c r="AD4379" t="n">
        <v>16800</v>
      </c>
      <c r="AE4379" t="n">
        <v>194400</v>
      </c>
      <c r="AF4379" t="n">
        <v>192000</v>
      </c>
      <c r="AG4379" t="n">
        <v>16245.6</v>
      </c>
      <c r="AH4379" t="n">
        <v>175754.4</v>
      </c>
      <c r="AI4379" t="n">
        <v>0</v>
      </c>
    </row>
    <row r="4380">
      <c r="A4380" t="inlineStr">
        <is>
          <t>5월</t>
        </is>
      </c>
      <c r="B4380" t="inlineStr">
        <is>
          <t>21주차</t>
        </is>
      </c>
      <c r="C4380" t="inlineStr">
        <is>
          <t>IM</t>
        </is>
      </c>
      <c r="D4380" s="28" t="n">
        <v>46160</v>
      </c>
      <c r="E4380" t="inlineStr">
        <is>
          <t>IM캐피탈</t>
        </is>
      </c>
      <c r="F4380" t="inlineStr">
        <is>
          <t>최숙희</t>
        </is>
      </c>
      <c r="G4380" t="inlineStr">
        <is>
          <t>010-3603-5033</t>
        </is>
      </c>
      <c r="H4380" t="inlineStr">
        <is>
          <t>379부3393</t>
        </is>
      </c>
      <c r="I4380" t="n">
        <v>28000000</v>
      </c>
      <c r="J4380" t="n">
        <v>0.049</v>
      </c>
      <c r="K4380" t="n">
        <v>1.1</v>
      </c>
      <c r="L4380" t="n">
        <v>0.14</v>
      </c>
      <c r="M4380" t="n">
        <v>0.96</v>
      </c>
      <c r="P4380" t="inlineStr">
        <is>
          <t>정세빈</t>
        </is>
      </c>
      <c r="Q4380" t="inlineStr">
        <is>
          <t>홈서비스 48개월</t>
        </is>
      </c>
      <c r="AB4380" t="inlineStr">
        <is>
          <t>홈서비스</t>
        </is>
      </c>
      <c r="AC4380" t="n">
        <v>308000</v>
      </c>
      <c r="AD4380" t="n">
        <v>39200</v>
      </c>
      <c r="AE4380" t="n">
        <v>268800</v>
      </c>
      <c r="AF4380" t="n">
        <v>280000</v>
      </c>
      <c r="AG4380" t="n">
        <v>37906.4</v>
      </c>
      <c r="AH4380" t="n">
        <v>242093.6</v>
      </c>
      <c r="AI4380" t="n">
        <v>0</v>
      </c>
    </row>
    <row r="4381">
      <c r="A4381" t="inlineStr">
        <is>
          <t>5월</t>
        </is>
      </c>
      <c r="B4381" t="inlineStr">
        <is>
          <t>21주차</t>
        </is>
      </c>
      <c r="C4381" t="inlineStr">
        <is>
          <t>IM</t>
        </is>
      </c>
      <c r="D4381" s="28" t="n">
        <v>46160</v>
      </c>
      <c r="E4381" t="inlineStr">
        <is>
          <t>IM캐피탈</t>
        </is>
      </c>
      <c r="F4381" t="inlineStr">
        <is>
          <t>김기석</t>
        </is>
      </c>
      <c r="G4381" t="inlineStr">
        <is>
          <t>010-4161-3690</t>
        </is>
      </c>
      <c r="H4381" t="inlineStr">
        <is>
          <t>228모3212</t>
        </is>
      </c>
      <c r="I4381" t="n">
        <v>28300000</v>
      </c>
      <c r="J4381" t="n">
        <v>0.059</v>
      </c>
      <c r="K4381" t="n">
        <v>1.1</v>
      </c>
      <c r="L4381" t="n">
        <v>0.14</v>
      </c>
      <c r="M4381" t="n">
        <v>0.96</v>
      </c>
      <c r="P4381" t="inlineStr">
        <is>
          <t>황채이</t>
        </is>
      </c>
      <c r="Q4381" t="inlineStr">
        <is>
          <t>홈서비스 60개월</t>
        </is>
      </c>
      <c r="AB4381" t="inlineStr">
        <is>
          <t>홈서비스</t>
        </is>
      </c>
      <c r="AC4381" t="n">
        <v>311300</v>
      </c>
      <c r="AD4381" t="n">
        <v>39620</v>
      </c>
      <c r="AE4381" t="n">
        <v>271680</v>
      </c>
      <c r="AF4381" t="n">
        <v>283000</v>
      </c>
      <c r="AG4381" t="n">
        <v>38312.54</v>
      </c>
      <c r="AH4381" t="n">
        <v>244687.46</v>
      </c>
    </row>
    <row r="4382">
      <c r="A4382" t="inlineStr">
        <is>
          <t>5월</t>
        </is>
      </c>
      <c r="B4382" t="inlineStr">
        <is>
          <t>21주차</t>
        </is>
      </c>
      <c r="C4382" t="inlineStr">
        <is>
          <t>EP</t>
        </is>
      </c>
      <c r="D4382" s="28" t="n">
        <v>46160</v>
      </c>
      <c r="E4382" t="inlineStr">
        <is>
          <t>현대EP</t>
        </is>
      </c>
      <c r="F4382" t="inlineStr">
        <is>
          <t>최용미</t>
        </is>
      </c>
      <c r="G4382" t="inlineStr">
        <is>
          <t>010-4531-2559</t>
        </is>
      </c>
      <c r="H4382" t="inlineStr">
        <is>
          <t>59서8038</t>
        </is>
      </c>
      <c r="I4382" t="n">
        <v>7500000</v>
      </c>
      <c r="J4382" t="n">
        <v>0.06900000000000001</v>
      </c>
      <c r="K4382" t="n">
        <v>1.76</v>
      </c>
      <c r="L4382" t="n">
        <v>0.14</v>
      </c>
      <c r="M4382" t="n">
        <v>1.62</v>
      </c>
      <c r="P4382" t="inlineStr">
        <is>
          <t>황채이</t>
        </is>
      </c>
      <c r="AB4382" t="inlineStr">
        <is>
          <t>홈서비스</t>
        </is>
      </c>
      <c r="AC4382" t="n">
        <v>132000</v>
      </c>
      <c r="AD4382" t="n">
        <v>10500</v>
      </c>
      <c r="AE4382" t="n">
        <v>121500</v>
      </c>
      <c r="AF4382" t="n">
        <v>120000</v>
      </c>
      <c r="AG4382" t="n">
        <v>10153.5</v>
      </c>
      <c r="AH4382" t="n">
        <v>109846.5</v>
      </c>
      <c r="AI4382" t="n">
        <v>0</v>
      </c>
    </row>
    <row r="4383">
      <c r="A4383" t="inlineStr">
        <is>
          <t>5월</t>
        </is>
      </c>
      <c r="B4383" t="inlineStr">
        <is>
          <t>21주차</t>
        </is>
      </c>
      <c r="C4383" t="inlineStr">
        <is>
          <t>EP</t>
        </is>
      </c>
      <c r="D4383" s="28" t="n">
        <v>46160</v>
      </c>
      <c r="E4383" t="inlineStr">
        <is>
          <t>현대EP</t>
        </is>
      </c>
      <c r="F4383" t="inlineStr">
        <is>
          <t>이계택</t>
        </is>
      </c>
      <c r="G4383" t="inlineStr">
        <is>
          <t>010-9779-3652</t>
        </is>
      </c>
      <c r="H4383" t="inlineStr">
        <is>
          <t>35머2189</t>
        </is>
      </c>
      <c r="I4383" t="n">
        <v>10400000</v>
      </c>
      <c r="J4383" t="n">
        <v>0.06900000000000001</v>
      </c>
      <c r="K4383" t="n">
        <v>1.76</v>
      </c>
      <c r="L4383" t="n">
        <v>0.14</v>
      </c>
      <c r="M4383" t="n">
        <v>1.62</v>
      </c>
      <c r="P4383" t="inlineStr">
        <is>
          <t>정세빈</t>
        </is>
      </c>
      <c r="AB4383" t="inlineStr">
        <is>
          <t>홈서비스</t>
        </is>
      </c>
      <c r="AC4383" t="n">
        <v>183040</v>
      </c>
      <c r="AD4383" t="n">
        <v>14560</v>
      </c>
      <c r="AE4383" t="n">
        <v>168480</v>
      </c>
      <c r="AF4383" t="n">
        <v>166400</v>
      </c>
      <c r="AG4383" t="n">
        <v>14079.52</v>
      </c>
      <c r="AH4383" t="n">
        <v>152320.48</v>
      </c>
      <c r="AI4383" t="n">
        <v>0</v>
      </c>
    </row>
    <row r="4384">
      <c r="A4384" t="inlineStr">
        <is>
          <t>5월</t>
        </is>
      </c>
      <c r="B4384" t="inlineStr">
        <is>
          <t>21주차</t>
        </is>
      </c>
      <c r="C4384" t="inlineStr">
        <is>
          <t>EP</t>
        </is>
      </c>
      <c r="D4384" s="28" t="n">
        <v>46160</v>
      </c>
      <c r="E4384" t="inlineStr">
        <is>
          <t>현대EP</t>
        </is>
      </c>
      <c r="F4384" t="inlineStr">
        <is>
          <t>이은숙</t>
        </is>
      </c>
      <c r="G4384" t="inlineStr">
        <is>
          <t>010-5899-6721</t>
        </is>
      </c>
      <c r="H4384" t="inlineStr">
        <is>
          <t>08마3517</t>
        </is>
      </c>
      <c r="I4384" t="n">
        <v>13600000</v>
      </c>
      <c r="J4384" t="n">
        <v>0.075</v>
      </c>
      <c r="K4384" t="n">
        <v>1.76</v>
      </c>
      <c r="L4384" t="n">
        <v>0.14</v>
      </c>
      <c r="M4384" t="n">
        <v>1.62</v>
      </c>
      <c r="P4384" t="inlineStr">
        <is>
          <t>정세빈</t>
        </is>
      </c>
      <c r="AB4384" t="inlineStr">
        <is>
          <t>홈서비스</t>
        </is>
      </c>
      <c r="AC4384" t="n">
        <v>239360</v>
      </c>
      <c r="AD4384" t="n">
        <v>19040</v>
      </c>
      <c r="AE4384" t="n">
        <v>220320</v>
      </c>
      <c r="AF4384" t="n">
        <v>217600</v>
      </c>
      <c r="AG4384" t="n">
        <v>18411.68</v>
      </c>
      <c r="AH4384" t="n">
        <v>199188.32</v>
      </c>
      <c r="AI4384" t="n">
        <v>0</v>
      </c>
    </row>
    <row r="4385">
      <c r="A4385" t="inlineStr">
        <is>
          <t>5월</t>
        </is>
      </c>
      <c r="B4385" t="inlineStr">
        <is>
          <t>21주차</t>
        </is>
      </c>
      <c r="C4385" t="inlineStr">
        <is>
          <t>EP</t>
        </is>
      </c>
      <c r="D4385" s="28" t="n">
        <v>46161</v>
      </c>
      <c r="E4385" t="inlineStr">
        <is>
          <t>현대EP_fast</t>
        </is>
      </c>
      <c r="F4385" t="inlineStr">
        <is>
          <t>김현진</t>
        </is>
      </c>
      <c r="G4385" t="inlineStr">
        <is>
          <t>010-2965-3901</t>
        </is>
      </c>
      <c r="H4385" t="inlineStr">
        <is>
          <t>65누8037</t>
        </is>
      </c>
      <c r="I4385" t="n">
        <v>15800000</v>
      </c>
      <c r="J4385" t="n">
        <v>0.06900000000000001</v>
      </c>
      <c r="K4385" t="n">
        <v>1.76</v>
      </c>
      <c r="L4385" t="n">
        <v>0.14</v>
      </c>
      <c r="M4385" t="n">
        <v>1.62</v>
      </c>
      <c r="P4385" t="inlineStr">
        <is>
          <t>정세빈</t>
        </is>
      </c>
      <c r="Q4385" t="inlineStr">
        <is>
          <t>홈서비스 60개월</t>
        </is>
      </c>
      <c r="AB4385" t="inlineStr">
        <is>
          <t>홈서비스</t>
        </is>
      </c>
      <c r="AC4385" t="n">
        <v>278080</v>
      </c>
      <c r="AD4385" t="n">
        <v>22120</v>
      </c>
      <c r="AE4385" t="n">
        <v>255960</v>
      </c>
      <c r="AF4385" t="n">
        <v>252800</v>
      </c>
      <c r="AG4385" t="n">
        <v>21390.04</v>
      </c>
      <c r="AH4385" t="n">
        <v>231409.96</v>
      </c>
      <c r="AI4385" t="n">
        <v>0</v>
      </c>
    </row>
    <row r="4386">
      <c r="A4386" t="inlineStr">
        <is>
          <t>5월</t>
        </is>
      </c>
      <c r="B4386" t="inlineStr">
        <is>
          <t>21주차</t>
        </is>
      </c>
      <c r="C4386" t="inlineStr">
        <is>
          <t>EP</t>
        </is>
      </c>
      <c r="D4386" s="28" t="n">
        <v>46160</v>
      </c>
      <c r="E4386" t="inlineStr">
        <is>
          <t>현대EP_fast</t>
        </is>
      </c>
      <c r="F4386" t="inlineStr">
        <is>
          <t>이도영</t>
        </is>
      </c>
      <c r="G4386" t="inlineStr">
        <is>
          <t>010-3446-8906</t>
        </is>
      </c>
      <c r="H4386" t="inlineStr">
        <is>
          <t>286누7468</t>
        </is>
      </c>
      <c r="I4386" t="n">
        <v>8500000</v>
      </c>
      <c r="J4386" t="n">
        <v>0.07000000000000001</v>
      </c>
      <c r="K4386" t="n">
        <v>1.76</v>
      </c>
      <c r="L4386" t="n">
        <v>0.14</v>
      </c>
      <c r="M4386" t="n">
        <v>1.62</v>
      </c>
      <c r="P4386" t="inlineStr">
        <is>
          <t>김수연</t>
        </is>
      </c>
      <c r="Q4386" t="inlineStr">
        <is>
          <t>홈서비스 60개월</t>
        </is>
      </c>
      <c r="AB4386" t="inlineStr">
        <is>
          <t>홈서비스</t>
        </is>
      </c>
      <c r="AC4386" t="n">
        <v>149600</v>
      </c>
      <c r="AD4386" t="n">
        <v>11900</v>
      </c>
      <c r="AE4386" t="n">
        <v>137700</v>
      </c>
      <c r="AF4386" t="n">
        <v>136000</v>
      </c>
      <c r="AG4386" t="n">
        <v>11507.3</v>
      </c>
      <c r="AH4386" t="n">
        <v>124492.7</v>
      </c>
      <c r="AI4386" t="n">
        <v>0</v>
      </c>
    </row>
    <row r="4387">
      <c r="A4387" t="inlineStr">
        <is>
          <t>5월</t>
        </is>
      </c>
      <c r="B4387" t="inlineStr">
        <is>
          <t>21주차</t>
        </is>
      </c>
      <c r="C4387" t="inlineStr">
        <is>
          <t>EP</t>
        </is>
      </c>
      <c r="D4387" s="28" t="n">
        <v>46160</v>
      </c>
      <c r="E4387" t="inlineStr">
        <is>
          <t>현대EP</t>
        </is>
      </c>
      <c r="F4387" t="inlineStr">
        <is>
          <t>박태영</t>
        </is>
      </c>
      <c r="G4387" t="inlineStr">
        <is>
          <t>010-6690-6738</t>
        </is>
      </c>
      <c r="H4387" t="inlineStr">
        <is>
          <t>397머3091</t>
        </is>
      </c>
      <c r="I4387" t="n">
        <v>6900000</v>
      </c>
      <c r="J4387" t="n">
        <v>0.102</v>
      </c>
      <c r="K4387" t="n">
        <v>1.76</v>
      </c>
      <c r="L4387" t="n">
        <v>0.14</v>
      </c>
      <c r="M4387" t="n">
        <v>1.62</v>
      </c>
      <c r="P4387" t="inlineStr">
        <is>
          <t>김수연</t>
        </is>
      </c>
      <c r="AB4387" t="inlineStr">
        <is>
          <t>홈서비스</t>
        </is>
      </c>
      <c r="AC4387" t="n">
        <v>121440</v>
      </c>
      <c r="AD4387" t="n">
        <v>9660</v>
      </c>
      <c r="AE4387" t="n">
        <v>111780</v>
      </c>
      <c r="AF4387" t="n">
        <v>110400</v>
      </c>
      <c r="AG4387" t="n">
        <v>9341.219999999999</v>
      </c>
      <c r="AH4387" t="n">
        <v>101058.78</v>
      </c>
      <c r="AI4387" t="n">
        <v>0</v>
      </c>
    </row>
    <row r="4388">
      <c r="A4388" t="inlineStr">
        <is>
          <t>5월</t>
        </is>
      </c>
      <c r="B4388" t="inlineStr">
        <is>
          <t>21주차</t>
        </is>
      </c>
      <c r="C4388" t="inlineStr">
        <is>
          <t>EP</t>
        </is>
      </c>
      <c r="D4388" s="28" t="n">
        <v>46161</v>
      </c>
      <c r="E4388" t="inlineStr">
        <is>
          <t>현대EP_fast</t>
        </is>
      </c>
      <c r="F4388" t="inlineStr">
        <is>
          <t>김경태</t>
        </is>
      </c>
      <c r="G4388" t="inlineStr">
        <is>
          <t>010-4528-6571</t>
        </is>
      </c>
      <c r="H4388" t="inlineStr">
        <is>
          <t>51누3800</t>
        </is>
      </c>
      <c r="I4388" t="n">
        <v>9100000</v>
      </c>
      <c r="J4388" t="n">
        <v>0.07099999999999999</v>
      </c>
      <c r="K4388" t="n">
        <v>1.76</v>
      </c>
      <c r="L4388" t="n">
        <v>0.14</v>
      </c>
      <c r="M4388" t="n">
        <v>1.62</v>
      </c>
      <c r="P4388" t="inlineStr">
        <is>
          <t>황채이</t>
        </is>
      </c>
      <c r="Q4388" t="inlineStr">
        <is>
          <t>홈서비스 60개월</t>
        </is>
      </c>
      <c r="AB4388" t="inlineStr">
        <is>
          <t>홈서비스</t>
        </is>
      </c>
      <c r="AC4388" t="n">
        <v>160160</v>
      </c>
      <c r="AD4388" t="n">
        <v>12740</v>
      </c>
      <c r="AE4388" t="n">
        <v>147420</v>
      </c>
      <c r="AF4388" t="n">
        <v>145600</v>
      </c>
      <c r="AG4388" t="n">
        <v>12319.58</v>
      </c>
      <c r="AH4388" t="n">
        <v>133280.42</v>
      </c>
    </row>
    <row r="4389">
      <c r="A4389" t="inlineStr">
        <is>
          <t>5월</t>
        </is>
      </c>
      <c r="B4389" t="inlineStr">
        <is>
          <t>21주차</t>
        </is>
      </c>
      <c r="C4389" t="inlineStr">
        <is>
          <t>IM</t>
        </is>
      </c>
      <c r="D4389" s="28" t="n">
        <v>46160</v>
      </c>
      <c r="E4389" t="inlineStr">
        <is>
          <t>IM캐피탈</t>
        </is>
      </c>
      <c r="F4389" t="inlineStr">
        <is>
          <t>마민호</t>
        </is>
      </c>
      <c r="G4389" t="inlineStr">
        <is>
          <t>010-4192-2260</t>
        </is>
      </c>
      <c r="H4389" t="inlineStr">
        <is>
          <t>31고0680</t>
        </is>
      </c>
      <c r="I4389" t="n">
        <v>7200000</v>
      </c>
      <c r="J4389" t="n">
        <v>0.063</v>
      </c>
      <c r="K4389" t="n">
        <v>1.1</v>
      </c>
      <c r="L4389" t="n">
        <v>0.14</v>
      </c>
      <c r="M4389" t="n">
        <v>0.96</v>
      </c>
      <c r="P4389" t="inlineStr">
        <is>
          <t>김나윤</t>
        </is>
      </c>
      <c r="Q4389" t="inlineStr">
        <is>
          <t>홈서비스 60개월</t>
        </is>
      </c>
      <c r="AB4389" t="inlineStr">
        <is>
          <t>홈서비스</t>
        </is>
      </c>
      <c r="AC4389" t="n">
        <v>79200</v>
      </c>
      <c r="AD4389" t="n">
        <v>10080</v>
      </c>
      <c r="AE4389" t="n">
        <v>69120</v>
      </c>
      <c r="AF4389" t="n">
        <v>72000</v>
      </c>
      <c r="AG4389" t="n">
        <v>9747.360000000001</v>
      </c>
      <c r="AH4389" t="n">
        <v>62252.64</v>
      </c>
      <c r="AI4389" t="n">
        <v>0</v>
      </c>
    </row>
    <row r="4390">
      <c r="A4390" t="inlineStr">
        <is>
          <t>5월</t>
        </is>
      </c>
      <c r="B4390" t="inlineStr">
        <is>
          <t>21주차</t>
        </is>
      </c>
      <c r="C4390" t="inlineStr">
        <is>
          <t>WC</t>
        </is>
      </c>
      <c r="D4390" s="28" t="n">
        <v>46161</v>
      </c>
      <c r="E4390" t="inlineStr">
        <is>
          <t>웰컴저축은행</t>
        </is>
      </c>
      <c r="F4390" t="inlineStr">
        <is>
          <t>강동화</t>
        </is>
      </c>
      <c r="G4390" t="inlineStr">
        <is>
          <t>010-3301-0439</t>
        </is>
      </c>
      <c r="H4390" t="inlineStr">
        <is>
          <t xml:space="preserve"> 40러8470</t>
        </is>
      </c>
      <c r="I4390" t="n">
        <v>4100000</v>
      </c>
      <c r="J4390" t="n">
        <v>0.129</v>
      </c>
      <c r="K4390" t="n">
        <v>2.2</v>
      </c>
      <c r="L4390" t="n">
        <v>0.14</v>
      </c>
      <c r="M4390" t="n">
        <v>2.06</v>
      </c>
      <c r="P4390" t="inlineStr">
        <is>
          <t>김수연</t>
        </is>
      </c>
      <c r="Q4390" t="inlineStr">
        <is>
          <t>홈서비스 36개월</t>
        </is>
      </c>
      <c r="AB4390" t="inlineStr">
        <is>
          <t>홈서비스</t>
        </is>
      </c>
      <c r="AC4390" t="n">
        <v>90200</v>
      </c>
      <c r="AD4390" t="n">
        <v>5740</v>
      </c>
      <c r="AE4390" t="n">
        <v>84460</v>
      </c>
      <c r="AF4390" t="n">
        <v>82000</v>
      </c>
      <c r="AG4390" t="n">
        <v>5550.58</v>
      </c>
      <c r="AH4390" t="n">
        <v>76449.42</v>
      </c>
    </row>
    <row r="4391">
      <c r="A4391" t="inlineStr">
        <is>
          <t>5월</t>
        </is>
      </c>
      <c r="B4391" t="inlineStr">
        <is>
          <t>21주차</t>
        </is>
      </c>
      <c r="C4391" t="inlineStr">
        <is>
          <t>HC</t>
        </is>
      </c>
      <c r="D4391" s="28" t="n">
        <v>46161</v>
      </c>
      <c r="E4391" t="inlineStr">
        <is>
          <t>하나캐피탈</t>
        </is>
      </c>
      <c r="F4391" t="inlineStr">
        <is>
          <t>이진강</t>
        </is>
      </c>
      <c r="G4391" t="inlineStr">
        <is>
          <t>010-5412-0913</t>
        </is>
      </c>
      <c r="H4391" t="inlineStr">
        <is>
          <t>49어3177</t>
        </is>
      </c>
      <c r="I4391" t="n">
        <v>7000000</v>
      </c>
      <c r="J4391" t="n">
        <v>0.06900000000000001</v>
      </c>
      <c r="K4391" t="n">
        <v>2.2</v>
      </c>
      <c r="L4391" t="n">
        <v>0.14</v>
      </c>
      <c r="M4391" t="n">
        <v>2.06</v>
      </c>
      <c r="P4391" t="inlineStr">
        <is>
          <t>정세빈</t>
        </is>
      </c>
      <c r="Q4391" t="inlineStr">
        <is>
          <t>홈서비스 60개월 / 론 진행</t>
        </is>
      </c>
      <c r="AB4391" t="inlineStr">
        <is>
          <t>홈서비스</t>
        </is>
      </c>
      <c r="AC4391" t="n">
        <v>154000</v>
      </c>
      <c r="AD4391" t="n">
        <v>9800</v>
      </c>
      <c r="AE4391" t="n">
        <v>144200</v>
      </c>
      <c r="AF4391" t="n">
        <v>140000</v>
      </c>
      <c r="AG4391" t="n">
        <v>9476.6</v>
      </c>
      <c r="AH4391" t="n">
        <v>130523.4</v>
      </c>
      <c r="AI4391" t="n">
        <v>0</v>
      </c>
    </row>
    <row r="4392">
      <c r="A4392" t="inlineStr">
        <is>
          <t>5월</t>
        </is>
      </c>
      <c r="B4392" t="inlineStr">
        <is>
          <t>20주차</t>
        </is>
      </c>
      <c r="C4392" t="inlineStr">
        <is>
          <t>EP</t>
        </is>
      </c>
      <c r="D4392" s="28" t="n">
        <v>46157</v>
      </c>
      <c r="E4392" t="inlineStr">
        <is>
          <t>BNKEP</t>
        </is>
      </c>
      <c r="F4392" t="inlineStr">
        <is>
          <t>이동은</t>
        </is>
      </c>
      <c r="G4392" t="inlineStr">
        <is>
          <t>010-3318-2031</t>
        </is>
      </c>
      <c r="H4392" t="inlineStr">
        <is>
          <t>60러5828</t>
        </is>
      </c>
      <c r="I4392" t="n">
        <v>13000000</v>
      </c>
      <c r="J4392" t="n">
        <v>0.061</v>
      </c>
      <c r="K4392" t="n">
        <v>1.65</v>
      </c>
      <c r="L4392" t="n">
        <v>0.14</v>
      </c>
      <c r="M4392" t="n">
        <v>1.51</v>
      </c>
      <c r="P4392" t="inlineStr">
        <is>
          <t>구성완</t>
        </is>
      </c>
      <c r="Q4392" t="inlineStr">
        <is>
          <t>안심거래존건</t>
        </is>
      </c>
      <c r="AB4392" t="inlineStr">
        <is>
          <t>믿고</t>
        </is>
      </c>
      <c r="AC4392" t="n">
        <v>214500</v>
      </c>
      <c r="AD4392" t="n">
        <v>18200</v>
      </c>
      <c r="AE4392" t="n">
        <v>196300</v>
      </c>
      <c r="AF4392" t="n">
        <v>195000</v>
      </c>
      <c r="AG4392" t="n">
        <v>17599.4</v>
      </c>
      <c r="AH4392" t="n">
        <v>177400.6</v>
      </c>
      <c r="AI4392" t="n">
        <v>0</v>
      </c>
    </row>
    <row r="4393">
      <c r="A4393" t="inlineStr">
        <is>
          <t>5월</t>
        </is>
      </c>
      <c r="B4393" t="inlineStr">
        <is>
          <t>21주차</t>
        </is>
      </c>
      <c r="C4393" t="inlineStr">
        <is>
          <t>EP</t>
        </is>
      </c>
      <c r="D4393" s="28" t="n">
        <v>46160</v>
      </c>
      <c r="E4393" t="inlineStr">
        <is>
          <t>제이비EP</t>
        </is>
      </c>
      <c r="F4393" t="inlineStr">
        <is>
          <t>유영호</t>
        </is>
      </c>
      <c r="G4393" t="inlineStr">
        <is>
          <t>010-7747-0101</t>
        </is>
      </c>
      <c r="H4393" t="inlineStr">
        <is>
          <t>323라2861</t>
        </is>
      </c>
      <c r="I4393" t="n">
        <v>40000000</v>
      </c>
      <c r="J4393" t="n">
        <v>0.074</v>
      </c>
      <c r="K4393" t="n">
        <v>1.65</v>
      </c>
      <c r="L4393" t="n">
        <v>0.4</v>
      </c>
      <c r="M4393" t="n">
        <v>1.25</v>
      </c>
      <c r="P4393" t="inlineStr">
        <is>
          <t>장진경</t>
        </is>
      </c>
      <c r="AB4393" t="inlineStr">
        <is>
          <t>엔카</t>
        </is>
      </c>
      <c r="AC4393" t="n">
        <v>660000</v>
      </c>
      <c r="AD4393" t="n">
        <v>160000</v>
      </c>
      <c r="AE4393" t="n">
        <v>500000</v>
      </c>
      <c r="AF4393" t="n">
        <v>600000</v>
      </c>
      <c r="AG4393" t="n">
        <v>154720</v>
      </c>
      <c r="AH4393" t="n">
        <v>445280</v>
      </c>
      <c r="AI4393" t="n">
        <v>0</v>
      </c>
    </row>
    <row r="4394">
      <c r="A4394" t="inlineStr">
        <is>
          <t>5월</t>
        </is>
      </c>
      <c r="B4394" t="inlineStr">
        <is>
          <t>21주차</t>
        </is>
      </c>
      <c r="C4394" t="inlineStr">
        <is>
          <t>EP</t>
        </is>
      </c>
      <c r="D4394" s="28" t="n">
        <v>46160</v>
      </c>
      <c r="E4394" t="inlineStr">
        <is>
          <t>현대EP</t>
        </is>
      </c>
      <c r="F4394" t="inlineStr">
        <is>
          <t>김희연</t>
        </is>
      </c>
      <c r="G4394" t="inlineStr">
        <is>
          <t>010-8779-6397</t>
        </is>
      </c>
      <c r="H4394" t="inlineStr">
        <is>
          <t>68모7049</t>
        </is>
      </c>
      <c r="I4394" t="n">
        <v>7900000</v>
      </c>
      <c r="J4394" t="n">
        <v>0.075</v>
      </c>
      <c r="K4394" t="n">
        <v>1.76</v>
      </c>
      <c r="L4394" t="n">
        <v>0.14</v>
      </c>
      <c r="M4394" t="n">
        <v>1.62</v>
      </c>
      <c r="P4394" t="inlineStr">
        <is>
          <t>김나윤</t>
        </is>
      </c>
      <c r="AB4394" t="inlineStr">
        <is>
          <t>홈서비스</t>
        </is>
      </c>
      <c r="AC4394" t="n">
        <v>139040</v>
      </c>
      <c r="AD4394" t="n">
        <v>11060</v>
      </c>
      <c r="AE4394" t="n">
        <v>127980</v>
      </c>
      <c r="AF4394" t="n">
        <v>126400</v>
      </c>
      <c r="AG4394" t="n">
        <v>10695.02</v>
      </c>
      <c r="AH4394" t="n">
        <v>115704.98</v>
      </c>
      <c r="AI4394" t="n">
        <v>0</v>
      </c>
    </row>
    <row r="4395">
      <c r="A4395" t="inlineStr">
        <is>
          <t>5월</t>
        </is>
      </c>
      <c r="B4395" t="inlineStr">
        <is>
          <t>21주차</t>
        </is>
      </c>
      <c r="C4395" t="inlineStr">
        <is>
          <t>IM</t>
        </is>
      </c>
      <c r="D4395" s="28" t="n">
        <v>46161</v>
      </c>
      <c r="E4395" t="inlineStr">
        <is>
          <t>IM캐피탈</t>
        </is>
      </c>
      <c r="F4395" t="inlineStr">
        <is>
          <t>이건창</t>
        </is>
      </c>
      <c r="G4395" t="inlineStr">
        <is>
          <t>010-8899-1007</t>
        </is>
      </c>
      <c r="H4395" t="inlineStr">
        <is>
          <t>122저3793</t>
        </is>
      </c>
      <c r="I4395" t="n">
        <v>24900000</v>
      </c>
      <c r="J4395" t="n">
        <v>0.045</v>
      </c>
      <c r="K4395" t="n">
        <v>1.1</v>
      </c>
      <c r="L4395" t="n">
        <v>0.14</v>
      </c>
      <c r="M4395" t="n">
        <v>0.96</v>
      </c>
      <c r="P4395" t="inlineStr">
        <is>
          <t>정세빈</t>
        </is>
      </c>
      <c r="Q4395" t="inlineStr">
        <is>
          <t>홈서비스 48개월</t>
        </is>
      </c>
      <c r="AB4395" t="inlineStr">
        <is>
          <t>홈서비스</t>
        </is>
      </c>
      <c r="AC4395" t="n">
        <v>273900</v>
      </c>
      <c r="AD4395" t="n">
        <v>34860</v>
      </c>
      <c r="AE4395" t="n">
        <v>239040</v>
      </c>
      <c r="AF4395" t="n">
        <v>249000</v>
      </c>
      <c r="AG4395" t="n">
        <v>33709.62</v>
      </c>
      <c r="AH4395" t="n">
        <v>215290.38</v>
      </c>
    </row>
    <row r="4396">
      <c r="A4396" t="inlineStr">
        <is>
          <t>5월</t>
        </is>
      </c>
      <c r="B4396" t="inlineStr">
        <is>
          <t>20주차</t>
        </is>
      </c>
      <c r="C4396" t="inlineStr">
        <is>
          <t>WR</t>
        </is>
      </c>
      <c r="D4396" s="28" t="n">
        <v>46157</v>
      </c>
      <c r="E4396" t="inlineStr">
        <is>
          <t>우리금융</t>
        </is>
      </c>
      <c r="F4396" t="inlineStr">
        <is>
          <t>이진수</t>
        </is>
      </c>
      <c r="G4396" t="inlineStr">
        <is>
          <t>010-8939-6787</t>
        </is>
      </c>
      <c r="H4396" t="inlineStr">
        <is>
          <t>284무9462</t>
        </is>
      </c>
      <c r="I4396" t="n">
        <v>86500000</v>
      </c>
      <c r="J4396" t="n">
        <v>0.075</v>
      </c>
      <c r="K4396" t="n">
        <v>2.2</v>
      </c>
      <c r="L4396" t="n">
        <v>0.5</v>
      </c>
      <c r="M4396" t="n">
        <v>1.7</v>
      </c>
      <c r="P4396" t="inlineStr">
        <is>
          <t>임대경</t>
        </is>
      </c>
      <c r="AB4396" t="inlineStr">
        <is>
          <t>엔카</t>
        </is>
      </c>
      <c r="AC4396" t="n">
        <v>1903000</v>
      </c>
      <c r="AD4396" t="n">
        <v>432500</v>
      </c>
      <c r="AE4396" t="n">
        <v>1470500</v>
      </c>
      <c r="AF4396" t="n">
        <v>1730000</v>
      </c>
      <c r="AG4396" t="n">
        <v>418227.5</v>
      </c>
      <c r="AH4396" t="n">
        <v>1311772.5</v>
      </c>
      <c r="AI4396" t="n">
        <v>0</v>
      </c>
    </row>
    <row r="4397">
      <c r="A4397" t="inlineStr">
        <is>
          <t>5월</t>
        </is>
      </c>
      <c r="B4397" t="inlineStr">
        <is>
          <t>21주차</t>
        </is>
      </c>
      <c r="C4397" t="inlineStr">
        <is>
          <t>IM</t>
        </is>
      </c>
      <c r="D4397" s="28" t="n">
        <v>46161</v>
      </c>
      <c r="E4397" t="inlineStr">
        <is>
          <t>IM캐피탈</t>
        </is>
      </c>
      <c r="F4397" t="inlineStr">
        <is>
          <t>최성미</t>
        </is>
      </c>
      <c r="G4397" t="inlineStr">
        <is>
          <t>010-7266-8239</t>
        </is>
      </c>
      <c r="H4397" t="inlineStr">
        <is>
          <t>132노5378</t>
        </is>
      </c>
      <c r="I4397" t="n">
        <v>26800000</v>
      </c>
      <c r="J4397" t="n">
        <v>0.049</v>
      </c>
      <c r="K4397" t="n">
        <v>1.1</v>
      </c>
      <c r="L4397" t="n">
        <v>0.14</v>
      </c>
      <c r="M4397" t="n">
        <v>0.96</v>
      </c>
      <c r="P4397" t="inlineStr">
        <is>
          <t>정세빈</t>
        </is>
      </c>
      <c r="Q4397" t="inlineStr">
        <is>
          <t>홈서비스 60개월</t>
        </is>
      </c>
      <c r="AB4397" t="inlineStr">
        <is>
          <t>홈서비스</t>
        </is>
      </c>
      <c r="AC4397" t="n">
        <v>294800</v>
      </c>
      <c r="AD4397" t="n">
        <v>37520</v>
      </c>
      <c r="AE4397" t="n">
        <v>257280</v>
      </c>
      <c r="AF4397" t="n">
        <v>268000</v>
      </c>
      <c r="AG4397" t="n">
        <v>36281.84</v>
      </c>
      <c r="AH4397" t="n">
        <v>231718.16</v>
      </c>
    </row>
    <row r="4398">
      <c r="A4398" t="inlineStr">
        <is>
          <t>5월</t>
        </is>
      </c>
      <c r="B4398" t="inlineStr">
        <is>
          <t>20주차</t>
        </is>
      </c>
      <c r="C4398" t="inlineStr">
        <is>
          <t>IM</t>
        </is>
      </c>
      <c r="D4398" s="28" t="n">
        <v>46157</v>
      </c>
      <c r="E4398" t="inlineStr">
        <is>
          <t>IM캐피탈</t>
        </is>
      </c>
      <c r="F4398" t="inlineStr">
        <is>
          <t>김태호</t>
        </is>
      </c>
      <c r="G4398" t="inlineStr">
        <is>
          <t>010-9922-4091</t>
        </is>
      </c>
      <c r="H4398" t="inlineStr">
        <is>
          <t>372소6500</t>
        </is>
      </c>
      <c r="I4398" t="n">
        <v>11300000</v>
      </c>
      <c r="J4398" t="n">
        <v>0.049</v>
      </c>
      <c r="K4398" t="n">
        <v>1.1</v>
      </c>
      <c r="L4398" t="n">
        <v>0.4</v>
      </c>
      <c r="M4398" t="n">
        <v>0.7</v>
      </c>
      <c r="P4398" t="inlineStr">
        <is>
          <t>박소현</t>
        </is>
      </c>
      <c r="AB4398" t="inlineStr">
        <is>
          <t>엔카</t>
        </is>
      </c>
      <c r="AC4398" t="n">
        <v>124300</v>
      </c>
      <c r="AD4398" t="n">
        <v>45200</v>
      </c>
      <c r="AE4398" t="n">
        <v>79100</v>
      </c>
      <c r="AF4398" t="n">
        <v>113000</v>
      </c>
      <c r="AG4398" t="n">
        <v>43708.4</v>
      </c>
      <c r="AH4398" t="n">
        <v>69291.60000000001</v>
      </c>
    </row>
    <row r="4399">
      <c r="A4399" t="inlineStr">
        <is>
          <t>5월</t>
        </is>
      </c>
      <c r="B4399" t="inlineStr">
        <is>
          <t>21주차</t>
        </is>
      </c>
      <c r="C4399" t="inlineStr">
        <is>
          <t>IM</t>
        </is>
      </c>
      <c r="D4399" s="28" t="n">
        <v>46161</v>
      </c>
      <c r="E4399" t="inlineStr">
        <is>
          <t>IM캐피탈</t>
        </is>
      </c>
      <c r="F4399" t="inlineStr">
        <is>
          <t>오병호</t>
        </is>
      </c>
      <c r="G4399" t="inlineStr">
        <is>
          <t>010-6386-6779</t>
        </is>
      </c>
      <c r="H4399" t="inlineStr">
        <is>
          <t>145러2041</t>
        </is>
      </c>
      <c r="I4399" t="n">
        <v>22500000</v>
      </c>
      <c r="J4399" t="n">
        <v>0.079</v>
      </c>
      <c r="K4399" t="n">
        <v>1.1</v>
      </c>
      <c r="L4399" t="n">
        <v>0.14</v>
      </c>
      <c r="M4399" t="n">
        <v>0.96</v>
      </c>
      <c r="P4399" t="inlineStr">
        <is>
          <t>김나윤</t>
        </is>
      </c>
      <c r="Q4399" t="inlineStr">
        <is>
          <t>홈서비스 60개월</t>
        </is>
      </c>
      <c r="AB4399" t="inlineStr">
        <is>
          <t>홈서비스</t>
        </is>
      </c>
      <c r="AC4399" t="n">
        <v>247500</v>
      </c>
      <c r="AD4399" t="n">
        <v>31500</v>
      </c>
      <c r="AE4399" t="n">
        <v>216000</v>
      </c>
      <c r="AF4399" t="n">
        <v>225000</v>
      </c>
      <c r="AG4399" t="n">
        <v>30460.5</v>
      </c>
      <c r="AH4399" t="n">
        <v>194539.5</v>
      </c>
    </row>
    <row r="4400">
      <c r="A4400" t="inlineStr">
        <is>
          <t>5월</t>
        </is>
      </c>
      <c r="B4400" t="inlineStr">
        <is>
          <t>20주차</t>
        </is>
      </c>
      <c r="C4400" t="inlineStr">
        <is>
          <t>IM</t>
        </is>
      </c>
      <c r="D4400" s="28" t="n">
        <v>46156</v>
      </c>
      <c r="E4400" t="inlineStr">
        <is>
          <t>IM캐피탈</t>
        </is>
      </c>
      <c r="F4400" t="inlineStr">
        <is>
          <t>안명규</t>
        </is>
      </c>
      <c r="G4400" t="inlineStr">
        <is>
          <t>010-5473-4344</t>
        </is>
      </c>
      <c r="H4400" t="inlineStr">
        <is>
          <t>87머1755</t>
        </is>
      </c>
      <c r="I4400" t="n">
        <v>13000000</v>
      </c>
      <c r="J4400" t="n">
        <v>0.049</v>
      </c>
      <c r="K4400" t="n">
        <v>1.1</v>
      </c>
      <c r="L4400" t="n">
        <v>0.4</v>
      </c>
      <c r="M4400" t="n">
        <v>0.7</v>
      </c>
      <c r="P4400" t="inlineStr">
        <is>
          <t>박현민</t>
        </is>
      </c>
      <c r="AB4400" t="inlineStr">
        <is>
          <t>엔카</t>
        </is>
      </c>
      <c r="AC4400" t="n">
        <v>143000</v>
      </c>
      <c r="AD4400" t="n">
        <v>52000</v>
      </c>
      <c r="AE4400" t="n">
        <v>91000</v>
      </c>
      <c r="AF4400" t="n">
        <v>130000</v>
      </c>
      <c r="AG4400" t="n">
        <v>50284</v>
      </c>
      <c r="AH4400" t="n">
        <v>79716</v>
      </c>
      <c r="AI4400" t="n">
        <v>0</v>
      </c>
    </row>
    <row r="4401">
      <c r="A4401" t="inlineStr">
        <is>
          <t>5월</t>
        </is>
      </c>
      <c r="B4401" t="inlineStr">
        <is>
          <t>20주차</t>
        </is>
      </c>
      <c r="C4401" t="inlineStr">
        <is>
          <t>IM</t>
        </is>
      </c>
      <c r="D4401" s="28" t="n">
        <v>46156</v>
      </c>
      <c r="E4401" t="inlineStr">
        <is>
          <t>IM캐피탈</t>
        </is>
      </c>
      <c r="F4401" t="inlineStr">
        <is>
          <t>김병진</t>
        </is>
      </c>
      <c r="G4401" t="inlineStr">
        <is>
          <t>010-2991-7771</t>
        </is>
      </c>
      <c r="H4401" t="inlineStr">
        <is>
          <t>245어3217</t>
        </is>
      </c>
      <c r="I4401" t="n">
        <v>28000000</v>
      </c>
      <c r="J4401" t="n">
        <v>0.057</v>
      </c>
      <c r="K4401" t="n">
        <v>1.1</v>
      </c>
      <c r="L4401" t="n">
        <v>0.4</v>
      </c>
      <c r="M4401" t="n">
        <v>0.7</v>
      </c>
      <c r="P4401" t="inlineStr">
        <is>
          <t>박현민</t>
        </is>
      </c>
      <c r="AB4401" t="inlineStr">
        <is>
          <t>엔카</t>
        </is>
      </c>
      <c r="AC4401" t="n">
        <v>308000</v>
      </c>
      <c r="AD4401" t="n">
        <v>112000</v>
      </c>
      <c r="AE4401" t="n">
        <v>196000</v>
      </c>
      <c r="AF4401" t="n">
        <v>280000</v>
      </c>
      <c r="AG4401" t="n">
        <v>108304</v>
      </c>
      <c r="AH4401" t="n">
        <v>171696</v>
      </c>
      <c r="AI4401" t="n">
        <v>0</v>
      </c>
    </row>
    <row r="4402">
      <c r="A4402" t="inlineStr">
        <is>
          <t>5월</t>
        </is>
      </c>
      <c r="B4402" t="inlineStr">
        <is>
          <t>21주차</t>
        </is>
      </c>
      <c r="C4402" t="inlineStr">
        <is>
          <t>EP</t>
        </is>
      </c>
      <c r="D4402" s="28" t="n">
        <v>46161</v>
      </c>
      <c r="E4402" t="inlineStr">
        <is>
          <t>현대EP_fast</t>
        </is>
      </c>
      <c r="F4402" t="inlineStr">
        <is>
          <t>최상준</t>
        </is>
      </c>
      <c r="G4402" t="inlineStr">
        <is>
          <t>010-6436-8535</t>
        </is>
      </c>
      <c r="H4402" t="inlineStr">
        <is>
          <t>46노3642</t>
        </is>
      </c>
      <c r="I4402" t="n">
        <v>14300000</v>
      </c>
      <c r="J4402" t="n">
        <v>0.139</v>
      </c>
      <c r="K4402" t="n">
        <v>1.76</v>
      </c>
      <c r="L4402" t="n">
        <v>0.14</v>
      </c>
      <c r="M4402" t="n">
        <v>1.62</v>
      </c>
      <c r="P4402" t="inlineStr">
        <is>
          <t>황채이</t>
        </is>
      </c>
      <c r="Q4402" t="inlineStr">
        <is>
          <t>홈서비스 48개월</t>
        </is>
      </c>
      <c r="AB4402" t="inlineStr">
        <is>
          <t>홈서비스</t>
        </is>
      </c>
      <c r="AC4402" t="n">
        <v>251680</v>
      </c>
      <c r="AD4402" t="n">
        <v>20020</v>
      </c>
      <c r="AE4402" t="n">
        <v>231660</v>
      </c>
      <c r="AF4402" t="n">
        <v>228800</v>
      </c>
      <c r="AG4402" t="n">
        <v>19359.34</v>
      </c>
      <c r="AH4402" t="n">
        <v>209440.66</v>
      </c>
      <c r="AI4402" t="n">
        <v>0</v>
      </c>
    </row>
    <row r="4403">
      <c r="A4403" t="inlineStr">
        <is>
          <t>5월</t>
        </is>
      </c>
      <c r="B4403" t="inlineStr">
        <is>
          <t>21주차</t>
        </is>
      </c>
      <c r="C4403" t="inlineStr">
        <is>
          <t>EP</t>
        </is>
      </c>
      <c r="D4403" s="28" t="n">
        <v>46161</v>
      </c>
      <c r="E4403" t="inlineStr">
        <is>
          <t>현대EP_fast</t>
        </is>
      </c>
      <c r="F4403" t="inlineStr">
        <is>
          <t>허서아</t>
        </is>
      </c>
      <c r="G4403" t="inlineStr">
        <is>
          <t>010-7924-9508</t>
        </is>
      </c>
      <c r="H4403" t="inlineStr">
        <is>
          <t>395머1934</t>
        </is>
      </c>
      <c r="I4403" t="n">
        <v>49200000</v>
      </c>
      <c r="J4403" t="n">
        <v>0.105</v>
      </c>
      <c r="K4403" t="n">
        <v>1.76</v>
      </c>
      <c r="L4403" t="n">
        <v>0.14</v>
      </c>
      <c r="M4403" t="n">
        <v>1.62</v>
      </c>
      <c r="P4403" t="inlineStr">
        <is>
          <t>황채이</t>
        </is>
      </c>
      <c r="Q4403" t="inlineStr">
        <is>
          <t>홈서비스 60개월</t>
        </is>
      </c>
      <c r="AB4403" t="inlineStr">
        <is>
          <t>홈서비스</t>
        </is>
      </c>
      <c r="AC4403" t="n">
        <v>865920</v>
      </c>
      <c r="AD4403" t="n">
        <v>68880</v>
      </c>
      <c r="AE4403" t="n">
        <v>797040</v>
      </c>
      <c r="AF4403" t="n">
        <v>787200</v>
      </c>
      <c r="AG4403" t="n">
        <v>66606.96000000001</v>
      </c>
      <c r="AH4403" t="n">
        <v>720593.04</v>
      </c>
      <c r="AI4403" t="n">
        <v>0</v>
      </c>
    </row>
    <row r="4404">
      <c r="A4404" t="inlineStr">
        <is>
          <t>5월</t>
        </is>
      </c>
      <c r="B4404" t="inlineStr">
        <is>
          <t>21주차</t>
        </is>
      </c>
      <c r="C4404" t="inlineStr">
        <is>
          <t>IM</t>
        </is>
      </c>
      <c r="D4404" s="28" t="n">
        <v>46161</v>
      </c>
      <c r="E4404" t="inlineStr">
        <is>
          <t>IM캐피탈</t>
        </is>
      </c>
      <c r="F4404" t="inlineStr">
        <is>
          <t>고기영</t>
        </is>
      </c>
      <c r="G4404" t="inlineStr">
        <is>
          <t>010-5571-2162</t>
        </is>
      </c>
      <c r="H4404" t="inlineStr">
        <is>
          <t>131고3202</t>
        </is>
      </c>
      <c r="I4404" t="n">
        <v>30000000</v>
      </c>
      <c r="J4404" t="n">
        <v>0.049</v>
      </c>
      <c r="K4404" t="n">
        <v>1.1</v>
      </c>
      <c r="L4404" t="n">
        <v>0.14</v>
      </c>
      <c r="M4404" t="n">
        <v>0.96</v>
      </c>
      <c r="P4404" t="inlineStr">
        <is>
          <t>황채이</t>
        </is>
      </c>
      <c r="Q4404" t="inlineStr">
        <is>
          <t>홈서비스 36개월</t>
        </is>
      </c>
      <c r="AB4404" t="inlineStr">
        <is>
          <t>홈서비스</t>
        </is>
      </c>
      <c r="AC4404" t="n">
        <v>330000</v>
      </c>
      <c r="AD4404" t="n">
        <v>42000</v>
      </c>
      <c r="AE4404" t="n">
        <v>288000</v>
      </c>
      <c r="AF4404" t="n">
        <v>300000</v>
      </c>
      <c r="AG4404" t="n">
        <v>40614</v>
      </c>
      <c r="AH4404" t="n">
        <v>259386</v>
      </c>
      <c r="AI4404" t="n">
        <v>0</v>
      </c>
    </row>
    <row r="4405">
      <c r="A4405" t="inlineStr">
        <is>
          <t>5월</t>
        </is>
      </c>
      <c r="B4405" t="inlineStr">
        <is>
          <t>21주차</t>
        </is>
      </c>
      <c r="C4405" t="inlineStr">
        <is>
          <t>EP</t>
        </is>
      </c>
      <c r="D4405" s="28" t="n">
        <v>46160</v>
      </c>
      <c r="E4405" t="inlineStr">
        <is>
          <t>현대EP_fast</t>
        </is>
      </c>
      <c r="F4405" t="inlineStr">
        <is>
          <t>신용성</t>
        </is>
      </c>
      <c r="G4405" t="inlineStr">
        <is>
          <t>010-2541-0807</t>
        </is>
      </c>
      <c r="H4405" t="inlineStr">
        <is>
          <t>268더3172</t>
        </is>
      </c>
      <c r="I4405" t="n">
        <v>17900000</v>
      </c>
      <c r="J4405" t="n">
        <v>0.154</v>
      </c>
      <c r="K4405" t="n">
        <v>1.76</v>
      </c>
      <c r="L4405" t="n">
        <v>0.4</v>
      </c>
      <c r="M4405" t="n">
        <v>1.36</v>
      </c>
      <c r="P4405" t="inlineStr">
        <is>
          <t>장진경</t>
        </is>
      </c>
      <c r="AB4405" t="inlineStr">
        <is>
          <t>엔카</t>
        </is>
      </c>
      <c r="AC4405" t="n">
        <v>315040</v>
      </c>
      <c r="AD4405" t="n">
        <v>71600</v>
      </c>
      <c r="AE4405" t="n">
        <v>243440</v>
      </c>
      <c r="AF4405" t="n">
        <v>286400</v>
      </c>
      <c r="AG4405" t="n">
        <v>69237.2</v>
      </c>
      <c r="AH4405" t="n">
        <v>217162.8</v>
      </c>
      <c r="AI4405" t="n">
        <v>0</v>
      </c>
    </row>
    <row r="4406">
      <c r="A4406" t="inlineStr">
        <is>
          <t>5월</t>
        </is>
      </c>
      <c r="B4406" t="inlineStr">
        <is>
          <t>21주차</t>
        </is>
      </c>
      <c r="C4406" t="inlineStr">
        <is>
          <t>EP</t>
        </is>
      </c>
      <c r="D4406" s="28" t="n">
        <v>46161</v>
      </c>
      <c r="E4406" t="inlineStr">
        <is>
          <t>현대EP_fast</t>
        </is>
      </c>
      <c r="F4406" t="inlineStr">
        <is>
          <t>이주완</t>
        </is>
      </c>
      <c r="G4406" t="inlineStr">
        <is>
          <t>010-5563-5840</t>
        </is>
      </c>
      <c r="H4406" t="inlineStr">
        <is>
          <t>207조4697</t>
        </is>
      </c>
      <c r="I4406" t="n">
        <v>17200000</v>
      </c>
      <c r="J4406" t="n">
        <v>0.082</v>
      </c>
      <c r="K4406" t="n">
        <v>1.76</v>
      </c>
      <c r="L4406" t="n">
        <v>0.14</v>
      </c>
      <c r="M4406" t="n">
        <v>1.62</v>
      </c>
      <c r="P4406" t="inlineStr">
        <is>
          <t>정세빈</t>
        </is>
      </c>
      <c r="Q4406" t="inlineStr">
        <is>
          <t>홈서비스 60개월</t>
        </is>
      </c>
      <c r="AB4406" t="inlineStr">
        <is>
          <t>홈서비스</t>
        </is>
      </c>
      <c r="AC4406" t="n">
        <v>302720</v>
      </c>
      <c r="AD4406" t="n">
        <v>24080</v>
      </c>
      <c r="AE4406" t="n">
        <v>278640</v>
      </c>
      <c r="AF4406" t="n">
        <v>275200</v>
      </c>
      <c r="AG4406" t="n">
        <v>23285.36</v>
      </c>
      <c r="AH4406" t="n">
        <v>251914.64</v>
      </c>
      <c r="AI4406" t="n">
        <v>0</v>
      </c>
    </row>
    <row r="4407">
      <c r="A4407" t="inlineStr">
        <is>
          <t>5월</t>
        </is>
      </c>
      <c r="B4407" t="inlineStr">
        <is>
          <t>20주차</t>
        </is>
      </c>
      <c r="C4407" t="inlineStr">
        <is>
          <t>IM</t>
        </is>
      </c>
      <c r="D4407" s="28" t="n">
        <v>46158</v>
      </c>
      <c r="E4407" t="inlineStr">
        <is>
          <t>IM캐피탈</t>
        </is>
      </c>
      <c r="F4407" t="inlineStr">
        <is>
          <t>윤승원</t>
        </is>
      </c>
      <c r="G4407" t="inlineStr">
        <is>
          <t>010-7312-0777</t>
        </is>
      </c>
      <c r="H4407" t="inlineStr">
        <is>
          <t>274가4993</t>
        </is>
      </c>
      <c r="I4407" t="n">
        <v>32000000</v>
      </c>
      <c r="J4407" t="n">
        <v>0.06900000000000001</v>
      </c>
      <c r="K4407" t="n">
        <v>1.1</v>
      </c>
      <c r="L4407" t="n">
        <v>0.4</v>
      </c>
      <c r="M4407" t="n">
        <v>0.7</v>
      </c>
      <c r="P4407" t="inlineStr">
        <is>
          <t>박소현</t>
        </is>
      </c>
      <c r="AB4407" t="inlineStr">
        <is>
          <t>엔카</t>
        </is>
      </c>
      <c r="AC4407" t="n">
        <v>352000</v>
      </c>
      <c r="AD4407" t="n">
        <v>128000</v>
      </c>
      <c r="AE4407" t="n">
        <v>224000</v>
      </c>
      <c r="AF4407" t="n">
        <v>320000</v>
      </c>
      <c r="AG4407" t="n">
        <v>123776</v>
      </c>
      <c r="AH4407" t="n">
        <v>196224</v>
      </c>
    </row>
    <row r="4408">
      <c r="A4408" t="inlineStr">
        <is>
          <t>5월</t>
        </is>
      </c>
      <c r="B4408" t="inlineStr">
        <is>
          <t>21주차</t>
        </is>
      </c>
      <c r="C4408" t="inlineStr">
        <is>
          <t>IM</t>
        </is>
      </c>
      <c r="D4408" s="28" t="n">
        <v>46161</v>
      </c>
      <c r="E4408" t="inlineStr">
        <is>
          <t>IM캐피탈</t>
        </is>
      </c>
      <c r="F4408" t="inlineStr">
        <is>
          <t>정인순</t>
        </is>
      </c>
      <c r="G4408" t="inlineStr">
        <is>
          <t>010-3460-4421</t>
        </is>
      </c>
      <c r="H4408" t="inlineStr">
        <is>
          <t>114루6717</t>
        </is>
      </c>
      <c r="I4408" t="n">
        <v>17800000</v>
      </c>
      <c r="J4408" t="n">
        <v>0.059</v>
      </c>
      <c r="K4408" t="n">
        <v>1.1</v>
      </c>
      <c r="L4408" t="n">
        <v>0.14</v>
      </c>
      <c r="M4408" t="n">
        <v>0.96</v>
      </c>
      <c r="P4408" t="inlineStr">
        <is>
          <t>김수연</t>
        </is>
      </c>
      <c r="Q4408" t="inlineStr">
        <is>
          <t>홈서비스 48개월</t>
        </is>
      </c>
      <c r="AB4408" t="inlineStr">
        <is>
          <t>홈서비스</t>
        </is>
      </c>
      <c r="AC4408" t="n">
        <v>195800</v>
      </c>
      <c r="AD4408" t="n">
        <v>24920</v>
      </c>
      <c r="AE4408" t="n">
        <v>170880</v>
      </c>
      <c r="AF4408" t="n">
        <v>178000</v>
      </c>
      <c r="AG4408" t="n">
        <v>24097.64</v>
      </c>
      <c r="AH4408" t="n">
        <v>153902.36</v>
      </c>
      <c r="AI4408" t="n">
        <v>0</v>
      </c>
    </row>
    <row r="4409">
      <c r="A4409" t="inlineStr">
        <is>
          <t>5월</t>
        </is>
      </c>
      <c r="B4409" t="inlineStr">
        <is>
          <t>21주차</t>
        </is>
      </c>
      <c r="C4409" t="inlineStr">
        <is>
          <t>EP</t>
        </is>
      </c>
      <c r="D4409" s="28" t="n">
        <v>46161</v>
      </c>
      <c r="E4409" t="inlineStr">
        <is>
          <t>현대EP_fast</t>
        </is>
      </c>
      <c r="F4409" t="inlineStr">
        <is>
          <t>구본일</t>
        </is>
      </c>
      <c r="G4409" t="inlineStr">
        <is>
          <t>010-2277-5302</t>
        </is>
      </c>
      <c r="H4409" t="inlineStr">
        <is>
          <t>375부3420</t>
        </is>
      </c>
      <c r="I4409" t="n">
        <v>25700000</v>
      </c>
      <c r="J4409" t="n">
        <v>0.089</v>
      </c>
      <c r="K4409" t="n">
        <v>1.76</v>
      </c>
      <c r="L4409" t="n">
        <v>0.14</v>
      </c>
      <c r="M4409" t="n">
        <v>1.62</v>
      </c>
      <c r="P4409" t="inlineStr">
        <is>
          <t>정세빈</t>
        </is>
      </c>
      <c r="Q4409" t="inlineStr">
        <is>
          <t>홈서비스 60개월</t>
        </is>
      </c>
      <c r="AB4409" t="inlineStr">
        <is>
          <t>홈서비스</t>
        </is>
      </c>
      <c r="AC4409" t="n">
        <v>452320</v>
      </c>
      <c r="AD4409" t="n">
        <v>35980</v>
      </c>
      <c r="AE4409" t="n">
        <v>416340</v>
      </c>
      <c r="AF4409" t="n">
        <v>411200</v>
      </c>
      <c r="AG4409" t="n">
        <v>34792.66</v>
      </c>
      <c r="AH4409" t="n">
        <v>376407.34</v>
      </c>
      <c r="AI4409" t="n">
        <v>0</v>
      </c>
    </row>
    <row r="4410">
      <c r="A4410" t="inlineStr">
        <is>
          <t>5월</t>
        </is>
      </c>
      <c r="B4410" t="inlineStr">
        <is>
          <t>20주차</t>
        </is>
      </c>
      <c r="C4410" t="inlineStr">
        <is>
          <t>IM</t>
        </is>
      </c>
      <c r="D4410" s="28" t="n">
        <v>46158</v>
      </c>
      <c r="E4410" t="inlineStr">
        <is>
          <t>IM캐피탈</t>
        </is>
      </c>
      <c r="F4410" t="inlineStr">
        <is>
          <t>박다성</t>
        </is>
      </c>
      <c r="G4410" t="inlineStr">
        <is>
          <t>010-2729-2086</t>
        </is>
      </c>
      <c r="H4410" t="inlineStr">
        <is>
          <t>179거4950</t>
        </is>
      </c>
      <c r="I4410" t="n">
        <v>30000000</v>
      </c>
      <c r="J4410" t="n">
        <v>0.06900000000000001</v>
      </c>
      <c r="K4410" t="n">
        <v>1.1</v>
      </c>
      <c r="L4410" t="n">
        <v>0.4</v>
      </c>
      <c r="M4410" t="n">
        <v>0.7</v>
      </c>
      <c r="P4410" t="inlineStr">
        <is>
          <t>구성완</t>
        </is>
      </c>
      <c r="AB4410" t="inlineStr">
        <is>
          <t>엔카</t>
        </is>
      </c>
      <c r="AC4410" t="n">
        <v>330000</v>
      </c>
      <c r="AD4410" t="n">
        <v>120000</v>
      </c>
      <c r="AE4410" t="n">
        <v>210000</v>
      </c>
      <c r="AF4410" t="n">
        <v>300000</v>
      </c>
      <c r="AG4410" t="n">
        <v>116040</v>
      </c>
      <c r="AH4410" t="n">
        <v>183960</v>
      </c>
      <c r="AI4410" t="n">
        <v>0</v>
      </c>
    </row>
    <row r="4411">
      <c r="A4411" t="inlineStr">
        <is>
          <t>5월</t>
        </is>
      </c>
      <c r="B4411" t="inlineStr">
        <is>
          <t>21주차</t>
        </is>
      </c>
      <c r="C4411" t="inlineStr">
        <is>
          <t>IM</t>
        </is>
      </c>
      <c r="D4411" s="28" t="n">
        <v>46160</v>
      </c>
      <c r="E4411" t="inlineStr">
        <is>
          <t>IM캐피탈</t>
        </is>
      </c>
      <c r="F4411" t="inlineStr">
        <is>
          <t>홍지현</t>
        </is>
      </c>
      <c r="G4411" t="inlineStr">
        <is>
          <t>010-5337-0409</t>
        </is>
      </c>
      <c r="H4411" t="inlineStr">
        <is>
          <t>05서4433</t>
        </is>
      </c>
      <c r="I4411" t="n">
        <v>15000000</v>
      </c>
      <c r="J4411" t="n">
        <v>0.08400000000000001</v>
      </c>
      <c r="K4411" t="n">
        <v>1.1</v>
      </c>
      <c r="L4411" t="n">
        <v>0.4</v>
      </c>
      <c r="M4411" t="n">
        <v>0.7</v>
      </c>
      <c r="P4411" t="inlineStr">
        <is>
          <t>최혁</t>
        </is>
      </c>
      <c r="Q4411" t="inlineStr">
        <is>
          <t>공동명의</t>
        </is>
      </c>
      <c r="AB4411" t="inlineStr">
        <is>
          <t>엔카</t>
        </is>
      </c>
      <c r="AC4411" t="n">
        <v>165000</v>
      </c>
      <c r="AD4411" t="n">
        <v>60000</v>
      </c>
      <c r="AE4411" t="n">
        <v>105000</v>
      </c>
      <c r="AF4411" t="n">
        <v>150000</v>
      </c>
      <c r="AG4411" t="n">
        <v>58020</v>
      </c>
      <c r="AH4411" t="n">
        <v>91980</v>
      </c>
    </row>
    <row r="4412">
      <c r="A4412" t="inlineStr">
        <is>
          <t>5월</t>
        </is>
      </c>
      <c r="B4412" t="inlineStr">
        <is>
          <t>21주차</t>
        </is>
      </c>
      <c r="C4412" t="inlineStr">
        <is>
          <t>EP</t>
        </is>
      </c>
      <c r="D4412" s="28" t="n">
        <v>46161</v>
      </c>
      <c r="E4412" t="inlineStr">
        <is>
          <t>현대EP_fast</t>
        </is>
      </c>
      <c r="F4412" t="inlineStr">
        <is>
          <t>정원기</t>
        </is>
      </c>
      <c r="G4412" t="inlineStr">
        <is>
          <t>010-3169-1191</t>
        </is>
      </c>
      <c r="H4412" t="inlineStr">
        <is>
          <t>801어8852</t>
        </is>
      </c>
      <c r="I4412" t="n">
        <v>15500000</v>
      </c>
      <c r="J4412" t="n">
        <v>0.089</v>
      </c>
      <c r="K4412" t="n">
        <v>1.76</v>
      </c>
      <c r="L4412" t="n">
        <v>0.14</v>
      </c>
      <c r="M4412" t="n">
        <v>1.62</v>
      </c>
      <c r="P4412" t="inlineStr">
        <is>
          <t>정세빈</t>
        </is>
      </c>
      <c r="Q4412" t="inlineStr">
        <is>
          <t>홈서비스 60개월</t>
        </is>
      </c>
      <c r="AB4412" t="inlineStr">
        <is>
          <t>홈서비스</t>
        </is>
      </c>
      <c r="AC4412" t="n">
        <v>272800</v>
      </c>
      <c r="AD4412" t="n">
        <v>21700</v>
      </c>
      <c r="AE4412" t="n">
        <v>251100</v>
      </c>
      <c r="AF4412" t="n">
        <v>248000</v>
      </c>
      <c r="AG4412" t="n">
        <v>20983.9</v>
      </c>
      <c r="AH4412" t="n">
        <v>227016.1</v>
      </c>
      <c r="AI4412" t="n">
        <v>0</v>
      </c>
    </row>
    <row r="4413">
      <c r="A4413" t="inlineStr">
        <is>
          <t>5월</t>
        </is>
      </c>
      <c r="B4413" t="inlineStr">
        <is>
          <t>21주차</t>
        </is>
      </c>
      <c r="C4413" t="inlineStr">
        <is>
          <t>EP</t>
        </is>
      </c>
      <c r="D4413" s="28" t="n">
        <v>46160</v>
      </c>
      <c r="E4413" t="inlineStr">
        <is>
          <t>제이비EP</t>
        </is>
      </c>
      <c r="F4413" t="inlineStr">
        <is>
          <t>강은영</t>
        </is>
      </c>
      <c r="G4413" t="inlineStr">
        <is>
          <t>010-9149-9958</t>
        </is>
      </c>
      <c r="H4413" t="inlineStr">
        <is>
          <t>45가0942</t>
        </is>
      </c>
      <c r="I4413" t="n">
        <v>4500000</v>
      </c>
      <c r="J4413" t="n">
        <v>0.112</v>
      </c>
      <c r="K4413" t="n">
        <v>1.65</v>
      </c>
      <c r="L4413" t="n">
        <v>0.4</v>
      </c>
      <c r="M4413" t="n">
        <v>1.25</v>
      </c>
      <c r="P4413" t="inlineStr">
        <is>
          <t>최혁</t>
        </is>
      </c>
      <c r="AB4413" t="inlineStr">
        <is>
          <t>엔카</t>
        </is>
      </c>
      <c r="AC4413" t="n">
        <v>74250</v>
      </c>
      <c r="AD4413" t="n">
        <v>18000</v>
      </c>
      <c r="AE4413" t="n">
        <v>56250</v>
      </c>
      <c r="AF4413" t="n">
        <v>67500</v>
      </c>
      <c r="AG4413" t="n">
        <v>17406</v>
      </c>
      <c r="AH4413" t="n">
        <v>50094</v>
      </c>
    </row>
    <row r="4414">
      <c r="A4414" t="inlineStr">
        <is>
          <t>5월</t>
        </is>
      </c>
      <c r="B4414" t="inlineStr">
        <is>
          <t>21주차</t>
        </is>
      </c>
      <c r="C4414" t="inlineStr">
        <is>
          <t>EP</t>
        </is>
      </c>
      <c r="D4414" s="28" t="n">
        <v>46161</v>
      </c>
      <c r="E4414" t="inlineStr">
        <is>
          <t>현대EP_fast</t>
        </is>
      </c>
      <c r="F4414" t="inlineStr">
        <is>
          <t>백현우</t>
        </is>
      </c>
      <c r="G4414" t="inlineStr">
        <is>
          <t>010-4696-8436</t>
        </is>
      </c>
      <c r="H4414" t="inlineStr">
        <is>
          <t>356주2518</t>
        </is>
      </c>
      <c r="I4414" t="n">
        <v>12500000</v>
      </c>
      <c r="J4414" t="n">
        <v>0.118</v>
      </c>
      <c r="K4414" t="n">
        <v>1.76</v>
      </c>
      <c r="L4414" t="n">
        <v>0.14</v>
      </c>
      <c r="M4414" t="n">
        <v>1.62</v>
      </c>
      <c r="P4414" t="inlineStr">
        <is>
          <t>김수연</t>
        </is>
      </c>
      <c r="Q4414" t="inlineStr">
        <is>
          <t>홈서비스 60개월</t>
        </is>
      </c>
      <c r="AB4414" t="inlineStr">
        <is>
          <t>홈서비스</t>
        </is>
      </c>
      <c r="AC4414" t="n">
        <v>220000</v>
      </c>
      <c r="AD4414" t="n">
        <v>17500</v>
      </c>
      <c r="AE4414" t="n">
        <v>202500</v>
      </c>
      <c r="AF4414" t="n">
        <v>200000</v>
      </c>
      <c r="AG4414" t="n">
        <v>16922.5</v>
      </c>
      <c r="AH4414" t="n">
        <v>183077.5</v>
      </c>
      <c r="AI4414" t="n">
        <v>0</v>
      </c>
    </row>
    <row r="4415">
      <c r="A4415" t="inlineStr">
        <is>
          <t>5월</t>
        </is>
      </c>
      <c r="B4415" t="inlineStr">
        <is>
          <t>21주차</t>
        </is>
      </c>
      <c r="C4415" t="inlineStr">
        <is>
          <t>EP</t>
        </is>
      </c>
      <c r="D4415" s="28" t="n">
        <v>46161</v>
      </c>
      <c r="E4415" t="inlineStr">
        <is>
          <t>현대EP_fast</t>
        </is>
      </c>
      <c r="F4415" t="inlineStr">
        <is>
          <t>임성현</t>
        </is>
      </c>
      <c r="G4415" t="inlineStr">
        <is>
          <t>010-9830-0625</t>
        </is>
      </c>
      <c r="H4415" t="inlineStr">
        <is>
          <t>191가5823</t>
        </is>
      </c>
      <c r="I4415" t="n">
        <v>14000000</v>
      </c>
      <c r="J4415" t="n">
        <v>0.07000000000000001</v>
      </c>
      <c r="K4415" t="n">
        <v>1.76</v>
      </c>
      <c r="L4415" t="n">
        <v>0.14</v>
      </c>
      <c r="M4415" t="n">
        <v>1.62</v>
      </c>
      <c r="P4415" t="inlineStr">
        <is>
          <t>정세빈</t>
        </is>
      </c>
      <c r="Q4415" t="inlineStr">
        <is>
          <t>홈서비스 24개월</t>
        </is>
      </c>
      <c r="AB4415" t="inlineStr">
        <is>
          <t>홈서비스</t>
        </is>
      </c>
      <c r="AC4415" t="n">
        <v>246400</v>
      </c>
      <c r="AD4415" t="n">
        <v>19600</v>
      </c>
      <c r="AE4415" t="n">
        <v>226800</v>
      </c>
      <c r="AF4415" t="n">
        <v>224000</v>
      </c>
      <c r="AG4415" t="n">
        <v>18953.2</v>
      </c>
      <c r="AH4415" t="n">
        <v>205046.8</v>
      </c>
      <c r="AI4415" t="n">
        <v>0</v>
      </c>
    </row>
    <row r="4416">
      <c r="A4416" t="inlineStr">
        <is>
          <t>5월</t>
        </is>
      </c>
      <c r="B4416" t="inlineStr">
        <is>
          <t>21주차</t>
        </is>
      </c>
      <c r="C4416" t="inlineStr">
        <is>
          <t>EP</t>
        </is>
      </c>
      <c r="D4416" s="28" t="n">
        <v>46161</v>
      </c>
      <c r="E4416" t="inlineStr">
        <is>
          <t>현대EP_fast</t>
        </is>
      </c>
      <c r="F4416" t="inlineStr">
        <is>
          <t>이고운</t>
        </is>
      </c>
      <c r="G4416" t="inlineStr">
        <is>
          <t>010-5855-6365</t>
        </is>
      </c>
      <c r="H4416" t="inlineStr">
        <is>
          <t>51가2250</t>
        </is>
      </c>
      <c r="I4416" t="n">
        <v>11700000</v>
      </c>
      <c r="J4416" t="n">
        <v>0.154</v>
      </c>
      <c r="K4416" t="n">
        <v>1.76</v>
      </c>
      <c r="L4416" t="n">
        <v>0.4</v>
      </c>
      <c r="M4416" t="n">
        <v>1.36</v>
      </c>
      <c r="P4416" t="inlineStr">
        <is>
          <t>장진경</t>
        </is>
      </c>
      <c r="AB4416" t="inlineStr">
        <is>
          <t>엔카</t>
        </is>
      </c>
      <c r="AC4416" t="n">
        <v>205920</v>
      </c>
      <c r="AD4416" t="n">
        <v>46800</v>
      </c>
      <c r="AE4416" t="n">
        <v>159120</v>
      </c>
      <c r="AF4416" t="n">
        <v>187200</v>
      </c>
      <c r="AG4416" t="n">
        <v>45255.6</v>
      </c>
      <c r="AH4416" t="n">
        <v>141944.4</v>
      </c>
      <c r="AI4416" t="n">
        <v>0</v>
      </c>
    </row>
    <row r="4417">
      <c r="A4417" t="inlineStr">
        <is>
          <t>5월</t>
        </is>
      </c>
      <c r="B4417" t="inlineStr">
        <is>
          <t>21주차</t>
        </is>
      </c>
      <c r="C4417" t="inlineStr">
        <is>
          <t>EP</t>
        </is>
      </c>
      <c r="D4417" s="28" t="n">
        <v>46160</v>
      </c>
      <c r="E4417" t="inlineStr">
        <is>
          <t>현대EP_fast</t>
        </is>
      </c>
      <c r="F4417" t="inlineStr">
        <is>
          <t>양병근</t>
        </is>
      </c>
      <c r="G4417" t="inlineStr">
        <is>
          <t>010-5225-3957</t>
        </is>
      </c>
      <c r="H4417" t="inlineStr">
        <is>
          <t>172루5295</t>
        </is>
      </c>
      <c r="I4417" t="n">
        <v>74800000</v>
      </c>
      <c r="J4417" t="n">
        <v>0.089</v>
      </c>
      <c r="K4417" t="n">
        <v>1.76</v>
      </c>
      <c r="L4417" t="n">
        <v>0.5</v>
      </c>
      <c r="M4417" t="n">
        <v>1.26</v>
      </c>
      <c r="P4417" t="inlineStr">
        <is>
          <t>임대경</t>
        </is>
      </c>
      <c r="AB4417" t="inlineStr">
        <is>
          <t>엔카</t>
        </is>
      </c>
      <c r="AC4417" t="n">
        <v>1316480</v>
      </c>
      <c r="AD4417" t="n">
        <v>374000</v>
      </c>
      <c r="AE4417" t="n">
        <v>942480</v>
      </c>
      <c r="AF4417" t="n">
        <v>1196800</v>
      </c>
      <c r="AG4417" t="n">
        <v>361658</v>
      </c>
      <c r="AH4417" t="n">
        <v>835142</v>
      </c>
      <c r="AI4417" t="n">
        <v>0</v>
      </c>
    </row>
    <row r="4418">
      <c r="A4418" t="inlineStr">
        <is>
          <t>5월</t>
        </is>
      </c>
      <c r="B4418" t="inlineStr">
        <is>
          <t>21주차</t>
        </is>
      </c>
      <c r="C4418" t="inlineStr">
        <is>
          <t>EP</t>
        </is>
      </c>
      <c r="D4418" s="28" t="n">
        <v>46161</v>
      </c>
      <c r="E4418" t="inlineStr">
        <is>
          <t>현대EP_fast</t>
        </is>
      </c>
      <c r="F4418" t="inlineStr">
        <is>
          <t>이영재</t>
        </is>
      </c>
      <c r="G4418" t="inlineStr">
        <is>
          <t>010-3433-8715</t>
        </is>
      </c>
      <c r="H4418" t="inlineStr">
        <is>
          <t>329어2298</t>
        </is>
      </c>
      <c r="I4418" t="n">
        <v>19900000</v>
      </c>
      <c r="J4418" t="n">
        <v>0.07000000000000001</v>
      </c>
      <c r="K4418" t="n">
        <v>1.76</v>
      </c>
      <c r="L4418" t="n">
        <v>0.14</v>
      </c>
      <c r="M4418" t="n">
        <v>1.62</v>
      </c>
      <c r="P4418" t="inlineStr">
        <is>
          <t>김수연</t>
        </is>
      </c>
      <c r="Q4418" t="inlineStr">
        <is>
          <t>홈서비스 60개월</t>
        </is>
      </c>
      <c r="AB4418" t="inlineStr">
        <is>
          <t>홈서비스</t>
        </is>
      </c>
      <c r="AC4418" t="n">
        <v>350240</v>
      </c>
      <c r="AD4418" t="n">
        <v>27860</v>
      </c>
      <c r="AE4418" t="n">
        <v>322380</v>
      </c>
      <c r="AF4418" t="n">
        <v>318400</v>
      </c>
      <c r="AG4418" t="n">
        <v>26940.62</v>
      </c>
      <c r="AH4418" t="n">
        <v>291459.38</v>
      </c>
    </row>
    <row r="4419">
      <c r="A4419" t="inlineStr">
        <is>
          <t>5월</t>
        </is>
      </c>
      <c r="B4419" t="inlineStr">
        <is>
          <t>21주차</t>
        </is>
      </c>
      <c r="C4419" t="inlineStr">
        <is>
          <t>EP</t>
        </is>
      </c>
      <c r="D4419" s="28" t="n">
        <v>46160</v>
      </c>
      <c r="E4419" t="inlineStr">
        <is>
          <t>현대EP</t>
        </is>
      </c>
      <c r="F4419" t="inlineStr">
        <is>
          <t>연경민</t>
        </is>
      </c>
      <c r="G4419" t="inlineStr">
        <is>
          <t>010-9045-0998</t>
        </is>
      </c>
      <c r="H4419" t="inlineStr">
        <is>
          <t>06모6143</t>
        </is>
      </c>
      <c r="I4419" t="n">
        <v>42700000</v>
      </c>
      <c r="J4419" t="n">
        <v>0.07099999999999999</v>
      </c>
      <c r="K4419" t="n">
        <v>1.76</v>
      </c>
      <c r="L4419" t="n">
        <v>0.14</v>
      </c>
      <c r="M4419" t="n">
        <v>1.62</v>
      </c>
      <c r="P4419" t="inlineStr">
        <is>
          <t>최형주</t>
        </is>
      </c>
      <c r="AB4419" t="inlineStr">
        <is>
          <t>홈서비스</t>
        </is>
      </c>
      <c r="AC4419" t="n">
        <v>751520</v>
      </c>
      <c r="AD4419" t="n">
        <v>59780</v>
      </c>
      <c r="AE4419" t="n">
        <v>691740</v>
      </c>
      <c r="AF4419" t="n">
        <v>683200</v>
      </c>
      <c r="AG4419" t="n">
        <v>57807.26</v>
      </c>
      <c r="AH4419" t="n">
        <v>625392.74</v>
      </c>
    </row>
    <row r="4420">
      <c r="A4420" t="inlineStr">
        <is>
          <t>5월</t>
        </is>
      </c>
      <c r="B4420" t="inlineStr">
        <is>
          <t>21주차</t>
        </is>
      </c>
      <c r="C4420" t="inlineStr">
        <is>
          <t>IM</t>
        </is>
      </c>
      <c r="D4420" s="28" t="n">
        <v>46161</v>
      </c>
      <c r="E4420" t="inlineStr">
        <is>
          <t>IM캐피탈</t>
        </is>
      </c>
      <c r="F4420" t="inlineStr">
        <is>
          <t>오서경</t>
        </is>
      </c>
      <c r="G4420" t="inlineStr">
        <is>
          <t>010-9124-5129</t>
        </is>
      </c>
      <c r="H4420" t="inlineStr">
        <is>
          <t>30도2856</t>
        </is>
      </c>
      <c r="I4420" t="n">
        <v>5200000</v>
      </c>
      <c r="J4420" t="n">
        <v>0.076</v>
      </c>
      <c r="K4420" t="n">
        <v>1.1</v>
      </c>
      <c r="L4420" t="n">
        <v>0.14</v>
      </c>
      <c r="M4420" t="n">
        <v>0.96</v>
      </c>
      <c r="P4420" t="inlineStr">
        <is>
          <t>황채이</t>
        </is>
      </c>
      <c r="Q4420" t="inlineStr">
        <is>
          <t>홈서비스 72개월 / 부대비용 추가진행</t>
        </is>
      </c>
      <c r="AB4420" t="inlineStr">
        <is>
          <t>홈서비스</t>
        </is>
      </c>
      <c r="AC4420" t="n">
        <v>57200</v>
      </c>
      <c r="AD4420" t="n">
        <v>7280</v>
      </c>
      <c r="AE4420" t="n">
        <v>49920</v>
      </c>
      <c r="AF4420" t="n">
        <v>52000</v>
      </c>
      <c r="AG4420" t="n">
        <v>7039.76</v>
      </c>
      <c r="AH4420" t="n">
        <v>44960.24</v>
      </c>
    </row>
    <row r="4421">
      <c r="A4421" t="inlineStr">
        <is>
          <t>5월</t>
        </is>
      </c>
      <c r="B4421" t="inlineStr">
        <is>
          <t>21주차</t>
        </is>
      </c>
      <c r="C4421" t="inlineStr">
        <is>
          <t>EP</t>
        </is>
      </c>
      <c r="D4421" s="28" t="n">
        <v>46161</v>
      </c>
      <c r="E4421" t="inlineStr">
        <is>
          <t>현대EP_fast</t>
        </is>
      </c>
      <c r="F4421" t="inlineStr">
        <is>
          <t>정태성</t>
        </is>
      </c>
      <c r="G4421" t="inlineStr">
        <is>
          <t>010-8663-0040</t>
        </is>
      </c>
      <c r="H4421" t="inlineStr">
        <is>
          <t>123서4138</t>
        </is>
      </c>
      <c r="I4421" t="n">
        <v>20000000</v>
      </c>
      <c r="J4421" t="n">
        <v>0.06900000000000001</v>
      </c>
      <c r="K4421" t="n">
        <v>1.76</v>
      </c>
      <c r="L4421" t="n">
        <v>0.14</v>
      </c>
      <c r="M4421" t="n">
        <v>1.62</v>
      </c>
      <c r="P4421" t="inlineStr">
        <is>
          <t>김수연</t>
        </is>
      </c>
      <c r="Q4421" t="inlineStr">
        <is>
          <t>홈서비스 60개월</t>
        </is>
      </c>
      <c r="AB4421" t="inlineStr">
        <is>
          <t>홈서비스</t>
        </is>
      </c>
      <c r="AC4421" t="n">
        <v>352000</v>
      </c>
      <c r="AD4421" t="n">
        <v>28000</v>
      </c>
      <c r="AE4421" t="n">
        <v>324000</v>
      </c>
      <c r="AF4421" t="n">
        <v>320000</v>
      </c>
      <c r="AG4421" t="n">
        <v>27076</v>
      </c>
      <c r="AH4421" t="n">
        <v>292924</v>
      </c>
    </row>
    <row r="4422">
      <c r="A4422" t="inlineStr">
        <is>
          <t>5월</t>
        </is>
      </c>
      <c r="B4422" t="inlineStr">
        <is>
          <t>21주차</t>
        </is>
      </c>
      <c r="C4422" t="inlineStr">
        <is>
          <t>EP</t>
        </is>
      </c>
      <c r="D4422" s="28" t="n">
        <v>46161</v>
      </c>
      <c r="E4422" t="inlineStr">
        <is>
          <t>현대EP</t>
        </is>
      </c>
      <c r="F4422" t="inlineStr">
        <is>
          <t>오창섭</t>
        </is>
      </c>
      <c r="G4422" t="inlineStr">
        <is>
          <t>010-4141-4204</t>
        </is>
      </c>
      <c r="H4422" t="inlineStr">
        <is>
          <t>269나2059</t>
        </is>
      </c>
      <c r="I4422" t="n">
        <v>49000000</v>
      </c>
      <c r="J4422" t="n">
        <v>0.06900000000000001</v>
      </c>
      <c r="K4422" t="n">
        <v>1.76</v>
      </c>
      <c r="L4422" t="n">
        <v>0.14</v>
      </c>
      <c r="M4422" t="n">
        <v>1.62</v>
      </c>
      <c r="P4422" t="inlineStr">
        <is>
          <t>황채이</t>
        </is>
      </c>
      <c r="AB4422" t="inlineStr">
        <is>
          <t>홈서비스</t>
        </is>
      </c>
      <c r="AC4422" t="n">
        <v>862400</v>
      </c>
      <c r="AD4422" t="n">
        <v>68600</v>
      </c>
      <c r="AE4422" t="n">
        <v>793800</v>
      </c>
      <c r="AF4422" t="n">
        <v>784000</v>
      </c>
      <c r="AG4422" t="n">
        <v>66336.2</v>
      </c>
      <c r="AH4422" t="n">
        <v>717663.8</v>
      </c>
      <c r="AI4422" t="n">
        <v>0</v>
      </c>
    </row>
    <row r="4423">
      <c r="A4423" t="inlineStr">
        <is>
          <t>5월</t>
        </is>
      </c>
      <c r="B4423" t="inlineStr">
        <is>
          <t>21주차</t>
        </is>
      </c>
      <c r="C4423" t="inlineStr">
        <is>
          <t>EP</t>
        </is>
      </c>
      <c r="D4423" s="28" t="n">
        <v>46161</v>
      </c>
      <c r="E4423" t="inlineStr">
        <is>
          <t>현대EP</t>
        </is>
      </c>
      <c r="F4423" t="inlineStr">
        <is>
          <t>지성훈</t>
        </is>
      </c>
      <c r="G4423" t="inlineStr">
        <is>
          <t>010-9081-8779</t>
        </is>
      </c>
      <c r="H4423" t="inlineStr">
        <is>
          <t>158조2719</t>
        </is>
      </c>
      <c r="I4423" t="n">
        <v>33800000</v>
      </c>
      <c r="J4423" t="n">
        <v>0.08500000000000001</v>
      </c>
      <c r="K4423" t="n">
        <v>1.76</v>
      </c>
      <c r="L4423" t="n">
        <v>0.14</v>
      </c>
      <c r="M4423" t="n">
        <v>1.62</v>
      </c>
      <c r="P4423" t="inlineStr">
        <is>
          <t>황채이</t>
        </is>
      </c>
      <c r="AB4423" t="inlineStr">
        <is>
          <t>홈서비스</t>
        </is>
      </c>
      <c r="AC4423" t="n">
        <v>594880</v>
      </c>
      <c r="AD4423" t="n">
        <v>47320</v>
      </c>
      <c r="AE4423" t="n">
        <v>547560</v>
      </c>
      <c r="AF4423" t="n">
        <v>540800</v>
      </c>
      <c r="AG4423" t="n">
        <v>45758.44</v>
      </c>
      <c r="AH4423" t="n">
        <v>495041.56</v>
      </c>
      <c r="AI4423" t="n">
        <v>0</v>
      </c>
    </row>
    <row r="4424">
      <c r="A4424" t="inlineStr">
        <is>
          <t>4월</t>
        </is>
      </c>
      <c r="B4424" t="inlineStr">
        <is>
          <t>18주차</t>
        </is>
      </c>
      <c r="C4424" t="inlineStr">
        <is>
          <t>EP</t>
        </is>
      </c>
      <c r="D4424" s="28" t="n">
        <v>46142</v>
      </c>
      <c r="E4424" t="inlineStr">
        <is>
          <t>BNKEP</t>
        </is>
      </c>
      <c r="F4424" t="inlineStr">
        <is>
          <t>강현우</t>
        </is>
      </c>
      <c r="G4424" t="inlineStr">
        <is>
          <t>010-4655-5702</t>
        </is>
      </c>
      <c r="H4424" t="inlineStr">
        <is>
          <t>102저6980</t>
        </is>
      </c>
      <c r="I4424" t="n">
        <v>26500000</v>
      </c>
      <c r="J4424" t="n">
        <v>0.07199999999999999</v>
      </c>
      <c r="K4424" t="n">
        <v>1.65</v>
      </c>
      <c r="L4424" t="n">
        <v>0.07000000000000001</v>
      </c>
      <c r="M4424" t="n">
        <v>1.58</v>
      </c>
      <c r="P4424" t="inlineStr">
        <is>
          <t>김나윤</t>
        </is>
      </c>
      <c r="Q4424" t="inlineStr">
        <is>
          <t>홈서비스 60개월</t>
        </is>
      </c>
      <c r="AB4424" t="inlineStr">
        <is>
          <t>홈서비스</t>
        </is>
      </c>
      <c r="AC4424" t="n">
        <v>437250</v>
      </c>
      <c r="AD4424" t="n">
        <v>18550</v>
      </c>
      <c r="AE4424" t="n">
        <v>418700</v>
      </c>
      <c r="AF4424" t="n">
        <v>397500</v>
      </c>
      <c r="AG4424" t="n">
        <v>17937.85</v>
      </c>
      <c r="AH4424" t="n">
        <v>379562.15</v>
      </c>
      <c r="AI4424" t="n">
        <v>0</v>
      </c>
    </row>
    <row r="4425">
      <c r="A4425" t="inlineStr">
        <is>
          <t>5월</t>
        </is>
      </c>
      <c r="B4425" t="inlineStr">
        <is>
          <t>21주차</t>
        </is>
      </c>
      <c r="C4425" t="inlineStr">
        <is>
          <t>EP</t>
        </is>
      </c>
      <c r="D4425" s="28" t="n">
        <v>46161</v>
      </c>
      <c r="E4425" t="inlineStr">
        <is>
          <t>제이비EP</t>
        </is>
      </c>
      <c r="F4425" t="inlineStr">
        <is>
          <t>김민하</t>
        </is>
      </c>
      <c r="G4425" t="inlineStr">
        <is>
          <t>010-6271-5263</t>
        </is>
      </c>
      <c r="H4425" t="inlineStr">
        <is>
          <t>124고4005</t>
        </is>
      </c>
      <c r="I4425" t="n">
        <v>6400000</v>
      </c>
      <c r="J4425" t="n">
        <v>0.07199999999999999</v>
      </c>
      <c r="K4425" t="n">
        <v>1.65</v>
      </c>
      <c r="L4425" t="n">
        <v>0.14</v>
      </c>
      <c r="M4425" t="n">
        <v>1.51</v>
      </c>
      <c r="P4425" t="inlineStr">
        <is>
          <t>정세빈</t>
        </is>
      </c>
      <c r="Q4425" t="inlineStr">
        <is>
          <t>홈서비스 36개월</t>
        </is>
      </c>
      <c r="AB4425" t="inlineStr">
        <is>
          <t>홈서비스</t>
        </is>
      </c>
      <c r="AC4425" t="n">
        <v>105600</v>
      </c>
      <c r="AD4425" t="n">
        <v>8960</v>
      </c>
      <c r="AE4425" t="n">
        <v>96640</v>
      </c>
      <c r="AF4425" t="n">
        <v>96000</v>
      </c>
      <c r="AG4425" t="n">
        <v>8664.32</v>
      </c>
      <c r="AH4425" t="n">
        <v>87335.67999999999</v>
      </c>
      <c r="AI4425" t="n">
        <v>0</v>
      </c>
    </row>
    <row r="4426">
      <c r="A4426" t="inlineStr">
        <is>
          <t>5월</t>
        </is>
      </c>
      <c r="B4426" t="inlineStr">
        <is>
          <t>21주차</t>
        </is>
      </c>
      <c r="C4426" t="inlineStr">
        <is>
          <t>IM</t>
        </is>
      </c>
      <c r="D4426" s="28" t="n">
        <v>46161</v>
      </c>
      <c r="E4426" t="inlineStr">
        <is>
          <t>IM캐피탈</t>
        </is>
      </c>
      <c r="F4426" t="inlineStr">
        <is>
          <t>안진화</t>
        </is>
      </c>
      <c r="G4426" t="inlineStr">
        <is>
          <t>010-7310-4770</t>
        </is>
      </c>
      <c r="H4426" t="inlineStr">
        <is>
          <t>20라5854</t>
        </is>
      </c>
      <c r="I4426" t="n">
        <v>10900000</v>
      </c>
      <c r="J4426" t="n">
        <v>0.06900000000000001</v>
      </c>
      <c r="K4426" t="n">
        <v>1.1</v>
      </c>
      <c r="L4426" t="n">
        <v>0.14</v>
      </c>
      <c r="M4426" t="n">
        <v>0.96</v>
      </c>
      <c r="P4426" t="inlineStr">
        <is>
          <t>김나윤</t>
        </is>
      </c>
      <c r="Q4426" t="inlineStr">
        <is>
          <t>홈서비스 84개월</t>
        </is>
      </c>
      <c r="AB4426" t="inlineStr">
        <is>
          <t>홈서비스</t>
        </is>
      </c>
      <c r="AC4426" t="n">
        <v>119900</v>
      </c>
      <c r="AD4426" t="n">
        <v>15260</v>
      </c>
      <c r="AE4426" t="n">
        <v>104640</v>
      </c>
      <c r="AF4426" t="n">
        <v>109000</v>
      </c>
      <c r="AG4426" t="n">
        <v>14756.42</v>
      </c>
      <c r="AH4426" t="n">
        <v>94243.58</v>
      </c>
    </row>
    <row r="4427">
      <c r="A4427" t="inlineStr">
        <is>
          <t>5월</t>
        </is>
      </c>
      <c r="B4427" t="inlineStr">
        <is>
          <t>21주차</t>
        </is>
      </c>
      <c r="C4427" t="inlineStr">
        <is>
          <t>IM</t>
        </is>
      </c>
      <c r="D4427" s="28" t="n">
        <v>46161</v>
      </c>
      <c r="E4427" t="inlineStr">
        <is>
          <t>IM캐피탈</t>
        </is>
      </c>
      <c r="F4427" t="inlineStr">
        <is>
          <t>김경임</t>
        </is>
      </c>
      <c r="G4427" t="inlineStr">
        <is>
          <t>010-5956-3966</t>
        </is>
      </c>
      <c r="H4427" t="inlineStr">
        <is>
          <t>330다2451</t>
        </is>
      </c>
      <c r="I4427" t="n">
        <v>27000000</v>
      </c>
      <c r="J4427" t="n">
        <v>0.118</v>
      </c>
      <c r="K4427" t="n">
        <v>1.1</v>
      </c>
      <c r="L4427" t="n">
        <v>0.4</v>
      </c>
      <c r="M4427" t="n">
        <v>0.7</v>
      </c>
      <c r="P4427" t="inlineStr">
        <is>
          <t>장진경</t>
        </is>
      </c>
      <c r="AB4427" t="inlineStr">
        <is>
          <t>엔카</t>
        </is>
      </c>
      <c r="AC4427" t="n">
        <v>297000</v>
      </c>
      <c r="AD4427" t="n">
        <v>108000</v>
      </c>
      <c r="AE4427" t="n">
        <v>189000</v>
      </c>
      <c r="AF4427" t="n">
        <v>270000</v>
      </c>
      <c r="AG4427" t="n">
        <v>104436</v>
      </c>
      <c r="AH4427" t="n">
        <v>165564</v>
      </c>
      <c r="AI4427" t="n">
        <v>0</v>
      </c>
    </row>
    <row r="4428">
      <c r="A4428" t="inlineStr">
        <is>
          <t>4월</t>
        </is>
      </c>
      <c r="B4428" t="inlineStr">
        <is>
          <t>15주차</t>
        </is>
      </c>
      <c r="C4428" t="inlineStr">
        <is>
          <t>EP</t>
        </is>
      </c>
      <c r="D4428" s="28" t="n">
        <v>46121</v>
      </c>
      <c r="E4428" t="inlineStr">
        <is>
          <t>현대EP_fast</t>
        </is>
      </c>
      <c r="F4428" t="inlineStr">
        <is>
          <t>김정일</t>
        </is>
      </c>
      <c r="G4428" t="inlineStr">
        <is>
          <t>010-6744-6968</t>
        </is>
      </c>
      <c r="H4428" t="inlineStr">
        <is>
          <t>59소4901</t>
        </is>
      </c>
      <c r="I4428" t="n">
        <v>20500000</v>
      </c>
      <c r="J4428" t="n">
        <v>0.105</v>
      </c>
      <c r="K4428" t="n">
        <v>1.76</v>
      </c>
      <c r="L4428" t="n">
        <v>0.2</v>
      </c>
      <c r="M4428" t="n">
        <v>1.56</v>
      </c>
      <c r="P4428" t="inlineStr">
        <is>
          <t>최혁</t>
        </is>
      </c>
      <c r="Q4428" t="inlineStr">
        <is>
          <t>홈서비스60개월</t>
        </is>
      </c>
      <c r="AB4428" t="inlineStr">
        <is>
          <t>홈서비스</t>
        </is>
      </c>
      <c r="AC4428" t="n">
        <v>360800</v>
      </c>
      <c r="AD4428" t="n">
        <v>41000</v>
      </c>
      <c r="AE4428" t="n">
        <v>319800</v>
      </c>
      <c r="AF4428" t="n">
        <v>328000</v>
      </c>
      <c r="AG4428" t="n">
        <v>39647</v>
      </c>
      <c r="AH4428" t="n">
        <v>288353</v>
      </c>
      <c r="AI4428" t="n">
        <v>0</v>
      </c>
    </row>
    <row r="4429">
      <c r="A4429" t="inlineStr">
        <is>
          <t>4월</t>
        </is>
      </c>
      <c r="B4429" t="inlineStr">
        <is>
          <t>17주차</t>
        </is>
      </c>
      <c r="C4429" t="inlineStr">
        <is>
          <t>IM</t>
        </is>
      </c>
      <c r="D4429" s="28" t="n">
        <v>46132</v>
      </c>
      <c r="E4429" t="inlineStr">
        <is>
          <t>IM캐피탈</t>
        </is>
      </c>
      <c r="F4429" t="inlineStr">
        <is>
          <t>이재은</t>
        </is>
      </c>
      <c r="G4429" t="inlineStr">
        <is>
          <t>010-6600-5163</t>
        </is>
      </c>
      <c r="H4429" t="inlineStr">
        <is>
          <t>375라2585</t>
        </is>
      </c>
      <c r="I4429" t="n">
        <v>22000000</v>
      </c>
      <c r="J4429" t="n">
        <v>0.049</v>
      </c>
      <c r="K4429" t="n">
        <v>1.1</v>
      </c>
      <c r="L4429" t="n">
        <v>0.4</v>
      </c>
      <c r="M4429" t="n">
        <v>0.7</v>
      </c>
      <c r="P4429" t="inlineStr">
        <is>
          <t>최혁</t>
        </is>
      </c>
      <c r="AB4429" t="inlineStr">
        <is>
          <t>엔카</t>
        </is>
      </c>
      <c r="AC4429" t="n">
        <v>242000</v>
      </c>
      <c r="AD4429" t="n">
        <v>88000</v>
      </c>
      <c r="AE4429" t="n">
        <v>154000</v>
      </c>
      <c r="AF4429" t="n">
        <v>220000</v>
      </c>
      <c r="AG4429" t="n">
        <v>85096</v>
      </c>
      <c r="AH4429" t="n">
        <v>134904</v>
      </c>
      <c r="AI4429" t="n">
        <v>0</v>
      </c>
    </row>
    <row r="4430">
      <c r="A4430" t="inlineStr">
        <is>
          <t>5월</t>
        </is>
      </c>
      <c r="B4430" t="inlineStr">
        <is>
          <t>21주차</t>
        </is>
      </c>
      <c r="C4430" t="inlineStr">
        <is>
          <t>EP</t>
        </is>
      </c>
      <c r="D4430" s="28" t="n">
        <v>46161</v>
      </c>
      <c r="E4430" t="inlineStr">
        <is>
          <t>현대EP</t>
        </is>
      </c>
      <c r="F4430" t="inlineStr">
        <is>
          <t>박태남</t>
        </is>
      </c>
      <c r="G4430" t="inlineStr">
        <is>
          <t>010-4041-8619</t>
        </is>
      </c>
      <c r="H4430" t="inlineStr">
        <is>
          <t>282수2649</t>
        </is>
      </c>
      <c r="I4430" t="n">
        <v>3000000</v>
      </c>
      <c r="J4430" t="n">
        <v>0.06900000000000001</v>
      </c>
      <c r="K4430" t="n">
        <v>1.76</v>
      </c>
      <c r="L4430" t="n">
        <v>0.14</v>
      </c>
      <c r="M4430" t="n">
        <v>1.62</v>
      </c>
      <c r="P4430" t="inlineStr">
        <is>
          <t>김수연</t>
        </is>
      </c>
      <c r="AB4430" t="inlineStr">
        <is>
          <t>홈서비스</t>
        </is>
      </c>
      <c r="AC4430" t="n">
        <v>52800</v>
      </c>
      <c r="AD4430" t="n">
        <v>4200</v>
      </c>
      <c r="AE4430" t="n">
        <v>48600</v>
      </c>
      <c r="AF4430" t="n">
        <v>48000</v>
      </c>
      <c r="AG4430" t="n">
        <v>4061.4</v>
      </c>
      <c r="AH4430" t="n">
        <v>43938.6</v>
      </c>
      <c r="AI4430" t="n">
        <v>0</v>
      </c>
    </row>
    <row r="4431">
      <c r="A4431" t="inlineStr">
        <is>
          <t>5월</t>
        </is>
      </c>
      <c r="B4431" t="inlineStr">
        <is>
          <t>21주차</t>
        </is>
      </c>
      <c r="C4431" t="inlineStr">
        <is>
          <t>EP</t>
        </is>
      </c>
      <c r="D4431" s="28" t="n">
        <v>46161</v>
      </c>
      <c r="E4431" t="inlineStr">
        <is>
          <t>현대EP_fast</t>
        </is>
      </c>
      <c r="F4431" t="inlineStr">
        <is>
          <t>이승엽</t>
        </is>
      </c>
      <c r="G4431" t="inlineStr">
        <is>
          <t>010-6262-6824</t>
        </is>
      </c>
      <c r="H4431" t="inlineStr">
        <is>
          <t>224구2967</t>
        </is>
      </c>
      <c r="I4431" t="n">
        <v>21800000</v>
      </c>
      <c r="J4431" t="n">
        <v>0.102</v>
      </c>
      <c r="K4431" t="n">
        <v>1.76</v>
      </c>
      <c r="L4431" t="n">
        <v>0.14</v>
      </c>
      <c r="M4431" t="n">
        <v>1.62</v>
      </c>
      <c r="P4431" t="inlineStr">
        <is>
          <t>정세빈</t>
        </is>
      </c>
      <c r="Q4431" t="inlineStr">
        <is>
          <t>홈서비스 60개월</t>
        </is>
      </c>
      <c r="AB4431" t="inlineStr">
        <is>
          <t>홈서비스</t>
        </is>
      </c>
      <c r="AC4431" t="n">
        <v>383680</v>
      </c>
      <c r="AD4431" t="n">
        <v>30520</v>
      </c>
      <c r="AE4431" t="n">
        <v>353160</v>
      </c>
      <c r="AF4431" t="n">
        <v>348800</v>
      </c>
      <c r="AG4431" t="n">
        <v>29512.84</v>
      </c>
      <c r="AH4431" t="n">
        <v>319287.16</v>
      </c>
      <c r="AI4431" t="n">
        <v>0</v>
      </c>
    </row>
    <row r="4432">
      <c r="A4432" t="inlineStr">
        <is>
          <t>5월</t>
        </is>
      </c>
      <c r="B4432" t="inlineStr">
        <is>
          <t>21주차</t>
        </is>
      </c>
      <c r="C4432" t="inlineStr">
        <is>
          <t>EP</t>
        </is>
      </c>
      <c r="D4432" s="28" t="n">
        <v>46161</v>
      </c>
      <c r="E4432" t="inlineStr">
        <is>
          <t>현대EP</t>
        </is>
      </c>
      <c r="F4432" t="inlineStr">
        <is>
          <t>허성조</t>
        </is>
      </c>
      <c r="G4432" t="inlineStr">
        <is>
          <t>010-7743-7259</t>
        </is>
      </c>
      <c r="H4432" t="inlineStr">
        <is>
          <t>109나7801</t>
        </is>
      </c>
      <c r="I4432" t="n">
        <v>36000000</v>
      </c>
      <c r="J4432" t="n">
        <v>0.06900000000000001</v>
      </c>
      <c r="K4432" t="n">
        <v>1.76</v>
      </c>
      <c r="L4432" t="n">
        <v>0.14</v>
      </c>
      <c r="M4432" t="n">
        <v>1.62</v>
      </c>
      <c r="P4432" t="inlineStr">
        <is>
          <t>황채이</t>
        </is>
      </c>
      <c r="AB4432" t="inlineStr">
        <is>
          <t>홈서비스</t>
        </is>
      </c>
      <c r="AC4432" t="n">
        <v>633600</v>
      </c>
      <c r="AD4432" t="n">
        <v>50400</v>
      </c>
      <c r="AE4432" t="n">
        <v>583200</v>
      </c>
      <c r="AF4432" t="n">
        <v>576000</v>
      </c>
      <c r="AG4432" t="n">
        <v>48736.8</v>
      </c>
      <c r="AH4432" t="n">
        <v>527263.2</v>
      </c>
    </row>
    <row r="4433">
      <c r="A4433" t="inlineStr">
        <is>
          <t>5월</t>
        </is>
      </c>
      <c r="B4433" t="inlineStr">
        <is>
          <t>21주차</t>
        </is>
      </c>
      <c r="C4433" t="inlineStr">
        <is>
          <t>IM</t>
        </is>
      </c>
      <c r="D4433" s="28" t="n">
        <v>46162</v>
      </c>
      <c r="E4433" t="inlineStr">
        <is>
          <t>IM캐피탈</t>
        </is>
      </c>
      <c r="F4433" t="inlineStr">
        <is>
          <t>나현석</t>
        </is>
      </c>
      <c r="G4433" t="inlineStr">
        <is>
          <t>010-2070-2172</t>
        </is>
      </c>
      <c r="H4433" t="inlineStr">
        <is>
          <t>17보6359</t>
        </is>
      </c>
      <c r="I4433" t="n">
        <v>27300000</v>
      </c>
      <c r="J4433" t="n">
        <v>0.067</v>
      </c>
      <c r="K4433" t="n">
        <v>1.1</v>
      </c>
      <c r="L4433" t="n">
        <v>0.14</v>
      </c>
      <c r="M4433" t="n">
        <v>0.96</v>
      </c>
      <c r="P4433" t="inlineStr">
        <is>
          <t>황채이</t>
        </is>
      </c>
      <c r="Q4433" t="inlineStr">
        <is>
          <t>홈서비스 60개월</t>
        </is>
      </c>
      <c r="AB4433" t="inlineStr">
        <is>
          <t>홈서비스</t>
        </is>
      </c>
      <c r="AC4433" t="n">
        <v>300300</v>
      </c>
      <c r="AD4433" t="n">
        <v>38220</v>
      </c>
      <c r="AE4433" t="n">
        <v>262080</v>
      </c>
      <c r="AF4433" t="n">
        <v>273000</v>
      </c>
      <c r="AG4433" t="n">
        <v>36958.74</v>
      </c>
      <c r="AH4433" t="n">
        <v>236041.26</v>
      </c>
    </row>
    <row r="4434">
      <c r="A4434" t="inlineStr">
        <is>
          <t>5월</t>
        </is>
      </c>
      <c r="B4434" t="inlineStr">
        <is>
          <t>21주차</t>
        </is>
      </c>
      <c r="C4434" t="inlineStr">
        <is>
          <t>IM</t>
        </is>
      </c>
      <c r="D4434" s="28" t="n">
        <v>46162</v>
      </c>
      <c r="E4434" t="inlineStr">
        <is>
          <t>IM캐피탈</t>
        </is>
      </c>
      <c r="F4434" t="inlineStr">
        <is>
          <t>은선미</t>
        </is>
      </c>
      <c r="G4434" t="inlineStr">
        <is>
          <t>010-7567-6309</t>
        </is>
      </c>
      <c r="H4434" t="inlineStr">
        <is>
          <t>06나5913</t>
        </is>
      </c>
      <c r="I4434" t="n">
        <v>25000000</v>
      </c>
      <c r="J4434" t="n">
        <v>0.049</v>
      </c>
      <c r="K4434" t="n">
        <v>1.1</v>
      </c>
      <c r="L4434" t="n">
        <v>0.14</v>
      </c>
      <c r="M4434" t="n">
        <v>0.96</v>
      </c>
      <c r="P4434" t="inlineStr">
        <is>
          <t>황채이</t>
        </is>
      </c>
      <c r="Q4434" t="inlineStr">
        <is>
          <t>홈서비스 60개월</t>
        </is>
      </c>
      <c r="AB4434" t="inlineStr">
        <is>
          <t>홈서비스</t>
        </is>
      </c>
      <c r="AC4434" t="n">
        <v>275000</v>
      </c>
      <c r="AD4434" t="n">
        <v>35000</v>
      </c>
      <c r="AE4434" t="n">
        <v>240000</v>
      </c>
      <c r="AF4434" t="n">
        <v>250000</v>
      </c>
      <c r="AG4434" t="n">
        <v>33845</v>
      </c>
      <c r="AH4434" t="n">
        <v>216155</v>
      </c>
    </row>
    <row r="4435">
      <c r="A4435" t="inlineStr">
        <is>
          <t>5월</t>
        </is>
      </c>
      <c r="B4435" t="inlineStr">
        <is>
          <t>21주차</t>
        </is>
      </c>
      <c r="C4435" t="inlineStr">
        <is>
          <t>EP</t>
        </is>
      </c>
      <c r="D4435" s="28" t="n">
        <v>46161</v>
      </c>
      <c r="E4435" t="inlineStr">
        <is>
          <t>현대EP</t>
        </is>
      </c>
      <c r="F4435" t="inlineStr">
        <is>
          <t>유지열</t>
        </is>
      </c>
      <c r="G4435" t="inlineStr">
        <is>
          <t>010-5678-3665</t>
        </is>
      </c>
      <c r="H4435" t="inlineStr">
        <is>
          <t>29가2649</t>
        </is>
      </c>
      <c r="I4435" t="n">
        <v>20000000</v>
      </c>
      <c r="J4435" t="n">
        <v>0.074</v>
      </c>
      <c r="K4435" t="n">
        <v>1.76</v>
      </c>
      <c r="L4435" t="n">
        <v>0.14</v>
      </c>
      <c r="M4435" t="n">
        <v>1.62</v>
      </c>
      <c r="P4435" t="inlineStr">
        <is>
          <t>김수연</t>
        </is>
      </c>
      <c r="AB4435" t="inlineStr">
        <is>
          <t>홈서비스</t>
        </is>
      </c>
      <c r="AC4435" t="n">
        <v>352000</v>
      </c>
      <c r="AD4435" t="n">
        <v>28000</v>
      </c>
      <c r="AE4435" t="n">
        <v>324000</v>
      </c>
      <c r="AF4435" t="n">
        <v>320000</v>
      </c>
      <c r="AG4435" t="n">
        <v>27076</v>
      </c>
      <c r="AH4435" t="n">
        <v>292924</v>
      </c>
      <c r="AI4435" t="n">
        <v>0</v>
      </c>
    </row>
    <row r="4436">
      <c r="A4436" t="inlineStr">
        <is>
          <t>5월</t>
        </is>
      </c>
      <c r="B4436" t="inlineStr">
        <is>
          <t>21주차</t>
        </is>
      </c>
      <c r="C4436" t="inlineStr">
        <is>
          <t>IM</t>
        </is>
      </c>
      <c r="D4436" s="28" t="n">
        <v>46162</v>
      </c>
      <c r="E4436" t="inlineStr">
        <is>
          <t>IM캐피탈</t>
        </is>
      </c>
      <c r="F4436" t="inlineStr">
        <is>
          <t>문승준</t>
        </is>
      </c>
      <c r="G4436" t="inlineStr">
        <is>
          <t>010-6651-5869</t>
        </is>
      </c>
      <c r="H4436" t="inlineStr">
        <is>
          <t>232구4662</t>
        </is>
      </c>
      <c r="I4436" t="n">
        <v>8000000</v>
      </c>
      <c r="J4436" t="n">
        <v>0.067</v>
      </c>
      <c r="K4436" t="n">
        <v>1.1</v>
      </c>
      <c r="L4436" t="n">
        <v>0.14</v>
      </c>
      <c r="M4436" t="n">
        <v>0.96</v>
      </c>
      <c r="P4436" t="inlineStr">
        <is>
          <t>김수연</t>
        </is>
      </c>
      <c r="Q4436" t="inlineStr">
        <is>
          <t>홈서비스 24개월/공동명의건</t>
        </is>
      </c>
      <c r="AB4436" t="inlineStr">
        <is>
          <t>홈서비스</t>
        </is>
      </c>
      <c r="AC4436" t="n">
        <v>88000</v>
      </c>
      <c r="AD4436" t="n">
        <v>11200</v>
      </c>
      <c r="AE4436" t="n">
        <v>76800</v>
      </c>
      <c r="AF4436" t="n">
        <v>80000</v>
      </c>
      <c r="AG4436" t="n">
        <v>10830.4</v>
      </c>
      <c r="AH4436" t="n">
        <v>69169.60000000001</v>
      </c>
      <c r="AI4436" t="n">
        <v>0</v>
      </c>
    </row>
    <row r="4437">
      <c r="A4437" t="inlineStr">
        <is>
          <t>5월</t>
        </is>
      </c>
      <c r="B4437" t="inlineStr">
        <is>
          <t>21주차</t>
        </is>
      </c>
      <c r="C4437" t="inlineStr">
        <is>
          <t>EP</t>
        </is>
      </c>
      <c r="D4437" s="28" t="n">
        <v>46162</v>
      </c>
      <c r="E4437" t="inlineStr">
        <is>
          <t>현대EP_fast</t>
        </is>
      </c>
      <c r="F4437" t="inlineStr">
        <is>
          <t>김주석</t>
        </is>
      </c>
      <c r="G4437" t="inlineStr">
        <is>
          <t>010-3243-5791</t>
        </is>
      </c>
      <c r="H4437" t="inlineStr">
        <is>
          <t>28라5388</t>
        </is>
      </c>
      <c r="I4437" t="n">
        <v>3400000</v>
      </c>
      <c r="J4437" t="n">
        <v>0.08699999999999999</v>
      </c>
      <c r="K4437" t="n">
        <v>1.76</v>
      </c>
      <c r="L4437" t="n">
        <v>0.14</v>
      </c>
      <c r="M4437" t="n">
        <v>1.62</v>
      </c>
      <c r="P4437" t="inlineStr">
        <is>
          <t>황채이</t>
        </is>
      </c>
      <c r="Q4437" t="inlineStr">
        <is>
          <t>홈서비스 36개월</t>
        </is>
      </c>
      <c r="AB4437" t="inlineStr">
        <is>
          <t>홈서비스</t>
        </is>
      </c>
      <c r="AC4437" t="n">
        <v>59840</v>
      </c>
      <c r="AD4437" t="n">
        <v>4760</v>
      </c>
      <c r="AE4437" t="n">
        <v>55080</v>
      </c>
      <c r="AF4437" t="n">
        <v>54400</v>
      </c>
      <c r="AG4437" t="n">
        <v>4602.92</v>
      </c>
      <c r="AH4437" t="n">
        <v>49797.08</v>
      </c>
      <c r="AI4437" t="n">
        <v>0</v>
      </c>
    </row>
    <row r="4438">
      <c r="A4438" t="inlineStr">
        <is>
          <t>5월</t>
        </is>
      </c>
      <c r="B4438" t="inlineStr">
        <is>
          <t>21주차</t>
        </is>
      </c>
      <c r="C4438" t="inlineStr">
        <is>
          <t>IM</t>
        </is>
      </c>
      <c r="D4438" s="28" t="n">
        <v>46162</v>
      </c>
      <c r="E4438" t="inlineStr">
        <is>
          <t>IM캐피탈</t>
        </is>
      </c>
      <c r="F4438" t="inlineStr">
        <is>
          <t>최승준</t>
        </is>
      </c>
      <c r="G4438" t="inlineStr">
        <is>
          <t>010-8431-9200</t>
        </is>
      </c>
      <c r="H4438" t="inlineStr">
        <is>
          <t>64두2614</t>
        </is>
      </c>
      <c r="I4438" t="n">
        <v>3000000</v>
      </c>
      <c r="J4438" t="n">
        <v>0.059</v>
      </c>
      <c r="K4438" t="n">
        <v>1.1</v>
      </c>
      <c r="L4438" t="n">
        <v>0.14</v>
      </c>
      <c r="M4438" t="n">
        <v>0.96</v>
      </c>
      <c r="P4438" t="inlineStr">
        <is>
          <t>황채이</t>
        </is>
      </c>
      <c r="Q4438" t="inlineStr">
        <is>
          <t>홈서비스 48개월</t>
        </is>
      </c>
      <c r="AB4438" t="inlineStr">
        <is>
          <t>홈서비스</t>
        </is>
      </c>
      <c r="AC4438" t="n">
        <v>33000</v>
      </c>
      <c r="AD4438" t="n">
        <v>4200</v>
      </c>
      <c r="AE4438" t="n">
        <v>28800</v>
      </c>
      <c r="AF4438" t="n">
        <v>30000</v>
      </c>
      <c r="AG4438" t="n">
        <v>4061.4</v>
      </c>
      <c r="AH4438" t="n">
        <v>25938.6</v>
      </c>
      <c r="AI4438" t="n">
        <v>0</v>
      </c>
    </row>
    <row r="4439">
      <c r="A4439" t="inlineStr">
        <is>
          <t>5월</t>
        </is>
      </c>
      <c r="B4439" t="inlineStr">
        <is>
          <t>21주차</t>
        </is>
      </c>
      <c r="C4439" t="inlineStr">
        <is>
          <t>IM</t>
        </is>
      </c>
      <c r="D4439" s="28" t="n">
        <v>46162</v>
      </c>
      <c r="E4439" t="inlineStr">
        <is>
          <t>IM캐피탈</t>
        </is>
      </c>
      <c r="F4439" t="inlineStr">
        <is>
          <t>장성희</t>
        </is>
      </c>
      <c r="G4439" t="inlineStr">
        <is>
          <t>010-5366-0177</t>
        </is>
      </c>
      <c r="H4439" t="inlineStr">
        <is>
          <t>263노9910</t>
        </is>
      </c>
      <c r="I4439" t="n">
        <v>15000000</v>
      </c>
      <c r="J4439" t="n">
        <v>0.063</v>
      </c>
      <c r="K4439" t="n">
        <v>1.1</v>
      </c>
      <c r="L4439" t="n">
        <v>0.14</v>
      </c>
      <c r="M4439" t="n">
        <v>0.96</v>
      </c>
      <c r="P4439" t="inlineStr">
        <is>
          <t>정세빈</t>
        </is>
      </c>
      <c r="Q4439" t="inlineStr">
        <is>
          <t>홈서비스 60개월</t>
        </is>
      </c>
      <c r="AB4439" t="inlineStr">
        <is>
          <t>홈서비스</t>
        </is>
      </c>
      <c r="AC4439" t="n">
        <v>165000</v>
      </c>
      <c r="AD4439" t="n">
        <v>21000</v>
      </c>
      <c r="AE4439" t="n">
        <v>144000</v>
      </c>
      <c r="AF4439" t="n">
        <v>150000</v>
      </c>
      <c r="AG4439" t="n">
        <v>20307</v>
      </c>
      <c r="AH4439" t="n">
        <v>129693</v>
      </c>
      <c r="AI4439" t="n">
        <v>0</v>
      </c>
    </row>
    <row r="4440">
      <c r="A4440" t="inlineStr">
        <is>
          <t>5월</t>
        </is>
      </c>
      <c r="B4440" t="inlineStr">
        <is>
          <t>21주차</t>
        </is>
      </c>
      <c r="C4440" t="inlineStr">
        <is>
          <t>WC</t>
        </is>
      </c>
      <c r="D4440" s="28" t="n">
        <v>46161</v>
      </c>
      <c r="E4440" t="inlineStr">
        <is>
          <t>웰컴저축은행</t>
        </is>
      </c>
      <c r="F4440" t="inlineStr">
        <is>
          <t>정범진</t>
        </is>
      </c>
      <c r="G4440" t="inlineStr">
        <is>
          <t>010-5737-3083</t>
        </is>
      </c>
      <c r="H4440" t="inlineStr">
        <is>
          <t>122수3932</t>
        </is>
      </c>
      <c r="I4440" t="n">
        <v>16300000</v>
      </c>
      <c r="J4440" t="n">
        <v>0.154</v>
      </c>
      <c r="K4440" t="n">
        <v>2.2</v>
      </c>
      <c r="L4440" t="n">
        <v>0.4</v>
      </c>
      <c r="M4440" t="n">
        <v>1.8</v>
      </c>
      <c r="P4440" t="inlineStr">
        <is>
          <t>박소현</t>
        </is>
      </c>
      <c r="Q4440" t="inlineStr">
        <is>
          <t>부대비용추가진행</t>
        </is>
      </c>
      <c r="AB4440" t="inlineStr">
        <is>
          <t>엔카</t>
        </is>
      </c>
      <c r="AC4440" t="n">
        <v>358600</v>
      </c>
      <c r="AD4440" t="n">
        <v>65200</v>
      </c>
      <c r="AE4440" t="n">
        <v>293400</v>
      </c>
      <c r="AF4440" t="n">
        <v>326000</v>
      </c>
      <c r="AG4440" t="n">
        <v>63048.4</v>
      </c>
      <c r="AH4440" t="n">
        <v>262951.6</v>
      </c>
      <c r="AI4440" t="n">
        <v>0</v>
      </c>
    </row>
    <row r="4441">
      <c r="A4441" t="inlineStr">
        <is>
          <t>5월</t>
        </is>
      </c>
      <c r="B4441" t="inlineStr">
        <is>
          <t>21주차</t>
        </is>
      </c>
      <c r="C4441" t="inlineStr">
        <is>
          <t>IM</t>
        </is>
      </c>
      <c r="D4441" s="28" t="n">
        <v>46162</v>
      </c>
      <c r="E4441" t="inlineStr">
        <is>
          <t>IM캐피탈</t>
        </is>
      </c>
      <c r="F4441" t="inlineStr">
        <is>
          <t>홍성희</t>
        </is>
      </c>
      <c r="G4441" t="inlineStr">
        <is>
          <t>010-9216-7004</t>
        </is>
      </c>
      <c r="H4441" t="inlineStr">
        <is>
          <t>36로0613</t>
        </is>
      </c>
      <c r="I4441" t="n">
        <v>27000000</v>
      </c>
      <c r="J4441" t="n">
        <v>0.049</v>
      </c>
      <c r="K4441" t="n">
        <v>1.1</v>
      </c>
      <c r="L4441" t="n">
        <v>0.14</v>
      </c>
      <c r="M4441" t="n">
        <v>0.96</v>
      </c>
      <c r="P4441" t="inlineStr">
        <is>
          <t>정세빈</t>
        </is>
      </c>
      <c r="Q4441" t="inlineStr">
        <is>
          <t>홈서비스 60개월</t>
        </is>
      </c>
      <c r="AB4441" t="inlineStr">
        <is>
          <t>홈서비스</t>
        </is>
      </c>
      <c r="AC4441" t="n">
        <v>297000</v>
      </c>
      <c r="AD4441" t="n">
        <v>37800</v>
      </c>
      <c r="AE4441" t="n">
        <v>259200</v>
      </c>
      <c r="AF4441" t="n">
        <v>270000</v>
      </c>
      <c r="AG4441" t="n">
        <v>36552.6</v>
      </c>
      <c r="AH4441" t="n">
        <v>233447.4</v>
      </c>
      <c r="AI4441" t="n">
        <v>0</v>
      </c>
    </row>
    <row r="4442">
      <c r="A4442" t="inlineStr">
        <is>
          <t>5월</t>
        </is>
      </c>
      <c r="B4442" t="inlineStr">
        <is>
          <t>21주차</t>
        </is>
      </c>
      <c r="C4442" t="inlineStr">
        <is>
          <t>EP</t>
        </is>
      </c>
      <c r="D4442" s="28" t="n">
        <v>46161</v>
      </c>
      <c r="E4442" t="inlineStr">
        <is>
          <t>현대EP_fast</t>
        </is>
      </c>
      <c r="F4442" t="inlineStr">
        <is>
          <t>김주경</t>
        </is>
      </c>
      <c r="G4442" t="inlineStr">
        <is>
          <t>010-2838-9882</t>
        </is>
      </c>
      <c r="H4442" t="inlineStr">
        <is>
          <t>53어7894</t>
        </is>
      </c>
      <c r="I4442" t="n">
        <v>7000000</v>
      </c>
      <c r="J4442" t="n">
        <v>0.074</v>
      </c>
      <c r="K4442" t="n">
        <v>1.76</v>
      </c>
      <c r="L4442" t="n">
        <v>0.14</v>
      </c>
      <c r="M4442" t="n">
        <v>1.62</v>
      </c>
      <c r="P4442" t="inlineStr">
        <is>
          <t>김나윤</t>
        </is>
      </c>
      <c r="Q4442" t="inlineStr">
        <is>
          <t>홈서비스 48개월</t>
        </is>
      </c>
      <c r="AB4442" t="inlineStr">
        <is>
          <t>홈서비스</t>
        </is>
      </c>
      <c r="AC4442" t="n">
        <v>123200</v>
      </c>
      <c r="AD4442" t="n">
        <v>9800</v>
      </c>
      <c r="AE4442" t="n">
        <v>113400</v>
      </c>
      <c r="AF4442" t="n">
        <v>112000</v>
      </c>
      <c r="AG4442" t="n">
        <v>9476.6</v>
      </c>
      <c r="AH4442" t="n">
        <v>102523.4</v>
      </c>
      <c r="AI4442" t="n">
        <v>0</v>
      </c>
    </row>
    <row r="4443">
      <c r="A4443" t="inlineStr">
        <is>
          <t>5월</t>
        </is>
      </c>
      <c r="B4443" t="inlineStr">
        <is>
          <t>21주차</t>
        </is>
      </c>
      <c r="C4443" t="inlineStr">
        <is>
          <t>EP</t>
        </is>
      </c>
      <c r="D4443" s="28" t="n">
        <v>46160</v>
      </c>
      <c r="E4443" t="inlineStr">
        <is>
          <t>현대EP</t>
        </is>
      </c>
      <c r="F4443" t="inlineStr">
        <is>
          <t>박용진</t>
        </is>
      </c>
      <c r="G4443" t="inlineStr">
        <is>
          <t>010-3474-8167</t>
        </is>
      </c>
      <c r="H4443" t="inlineStr">
        <is>
          <t>332보4047</t>
        </is>
      </c>
      <c r="I4443" t="n">
        <v>12700000</v>
      </c>
      <c r="J4443" t="n">
        <v>0.07000000000000001</v>
      </c>
      <c r="K4443" t="n">
        <v>1.76</v>
      </c>
      <c r="L4443" t="n">
        <v>0.14</v>
      </c>
      <c r="M4443" t="n">
        <v>1.62</v>
      </c>
      <c r="P4443" t="inlineStr">
        <is>
          <t>박보람</t>
        </is>
      </c>
      <c r="AB4443" t="inlineStr">
        <is>
          <t>홈서비스</t>
        </is>
      </c>
      <c r="AC4443" t="n">
        <v>223520</v>
      </c>
      <c r="AD4443" t="n">
        <v>17780</v>
      </c>
      <c r="AE4443" t="n">
        <v>205740</v>
      </c>
      <c r="AF4443" t="n">
        <v>203200</v>
      </c>
      <c r="AG4443" t="n">
        <v>17193.26</v>
      </c>
      <c r="AH4443" t="n">
        <v>186006.74</v>
      </c>
    </row>
    <row r="4444">
      <c r="A4444" t="inlineStr">
        <is>
          <t>5월</t>
        </is>
      </c>
      <c r="B4444" t="inlineStr">
        <is>
          <t>21주차</t>
        </is>
      </c>
      <c r="C4444" t="inlineStr">
        <is>
          <t>EP</t>
        </is>
      </c>
      <c r="D4444" s="28" t="n">
        <v>46160</v>
      </c>
      <c r="E4444" t="inlineStr">
        <is>
          <t>현대EP</t>
        </is>
      </c>
      <c r="F4444" t="inlineStr">
        <is>
          <t>선동혁</t>
        </is>
      </c>
      <c r="G4444" t="inlineStr">
        <is>
          <t>010-7133-7911</t>
        </is>
      </c>
      <c r="H4444" t="inlineStr">
        <is>
          <t>01노2062</t>
        </is>
      </c>
      <c r="I4444" t="n">
        <v>10000000</v>
      </c>
      <c r="J4444" t="n">
        <v>0.075</v>
      </c>
      <c r="K4444" t="n">
        <v>1.76</v>
      </c>
      <c r="L4444" t="n">
        <v>0.14</v>
      </c>
      <c r="M4444" t="n">
        <v>1.62</v>
      </c>
      <c r="P4444" t="inlineStr">
        <is>
          <t>박보람</t>
        </is>
      </c>
      <c r="AB4444" t="inlineStr">
        <is>
          <t>홈서비스</t>
        </is>
      </c>
      <c r="AC4444" t="n">
        <v>176000</v>
      </c>
      <c r="AD4444" t="n">
        <v>14000</v>
      </c>
      <c r="AE4444" t="n">
        <v>162000</v>
      </c>
      <c r="AF4444" t="n">
        <v>160000</v>
      </c>
      <c r="AG4444" t="n">
        <v>13538</v>
      </c>
      <c r="AH4444" t="n">
        <v>146462</v>
      </c>
    </row>
    <row r="4445">
      <c r="A4445" t="inlineStr">
        <is>
          <t>5월</t>
        </is>
      </c>
      <c r="B4445" t="inlineStr">
        <is>
          <t>21주차</t>
        </is>
      </c>
      <c r="C4445" t="inlineStr">
        <is>
          <t>IM</t>
        </is>
      </c>
      <c r="D4445" s="28" t="n">
        <v>46161</v>
      </c>
      <c r="E4445" t="inlineStr">
        <is>
          <t>IM캐피탈</t>
        </is>
      </c>
      <c r="F4445" t="inlineStr">
        <is>
          <t>이두형</t>
        </is>
      </c>
      <c r="G4445" t="inlineStr">
        <is>
          <t>010-8632-8081</t>
        </is>
      </c>
      <c r="H4445" t="inlineStr">
        <is>
          <t>64마6100</t>
        </is>
      </c>
      <c r="I4445" t="n">
        <v>28000000</v>
      </c>
      <c r="J4445" t="n">
        <v>0.045</v>
      </c>
      <c r="K4445" t="n">
        <v>1.1</v>
      </c>
      <c r="L4445" t="n">
        <v>0.4</v>
      </c>
      <c r="M4445" t="n">
        <v>0.7</v>
      </c>
      <c r="P4445" t="inlineStr">
        <is>
          <t>최혁</t>
        </is>
      </c>
      <c r="AB4445" t="inlineStr">
        <is>
          <t>엔카</t>
        </is>
      </c>
      <c r="AC4445" t="n">
        <v>308000</v>
      </c>
      <c r="AD4445" t="n">
        <v>112000</v>
      </c>
      <c r="AE4445" t="n">
        <v>196000</v>
      </c>
      <c r="AF4445" t="n">
        <v>280000</v>
      </c>
      <c r="AG4445" t="n">
        <v>108304</v>
      </c>
      <c r="AH4445" t="n">
        <v>171696</v>
      </c>
      <c r="AI4445" t="n">
        <v>0</v>
      </c>
    </row>
    <row r="4446">
      <c r="A4446" t="inlineStr">
        <is>
          <t>5월</t>
        </is>
      </c>
      <c r="B4446" t="inlineStr">
        <is>
          <t>21주차</t>
        </is>
      </c>
      <c r="C4446" t="inlineStr">
        <is>
          <t>IM</t>
        </is>
      </c>
      <c r="D4446" s="28" t="n">
        <v>46162</v>
      </c>
      <c r="E4446" t="inlineStr">
        <is>
          <t>IM캐피탈</t>
        </is>
      </c>
      <c r="F4446" t="inlineStr">
        <is>
          <t>김현옥</t>
        </is>
      </c>
      <c r="G4446" t="inlineStr">
        <is>
          <t>010-7587-1505</t>
        </is>
      </c>
      <c r="H4446" t="inlineStr">
        <is>
          <t>46라0532</t>
        </is>
      </c>
      <c r="I4446" t="n">
        <v>7700000</v>
      </c>
      <c r="J4446" t="n">
        <v>0.045</v>
      </c>
      <c r="K4446" t="n">
        <v>1.1</v>
      </c>
      <c r="L4446" t="n">
        <v>0.14</v>
      </c>
      <c r="M4446" t="n">
        <v>0.96</v>
      </c>
      <c r="P4446" t="inlineStr">
        <is>
          <t>김나윤</t>
        </is>
      </c>
      <c r="Q4446" t="inlineStr">
        <is>
          <t>홈서비스 60개월</t>
        </is>
      </c>
      <c r="AB4446" t="inlineStr">
        <is>
          <t>홈서비스</t>
        </is>
      </c>
      <c r="AC4446" t="n">
        <v>84700</v>
      </c>
      <c r="AD4446" t="n">
        <v>10780</v>
      </c>
      <c r="AE4446" t="n">
        <v>73920</v>
      </c>
      <c r="AF4446" t="n">
        <v>77000</v>
      </c>
      <c r="AG4446" t="n">
        <v>10424.26</v>
      </c>
      <c r="AH4446" t="n">
        <v>66575.74000000001</v>
      </c>
      <c r="AI4446" t="n">
        <v>0</v>
      </c>
    </row>
    <row r="4447">
      <c r="A4447" t="inlineStr">
        <is>
          <t>5월</t>
        </is>
      </c>
      <c r="B4447" t="inlineStr">
        <is>
          <t>21주차</t>
        </is>
      </c>
      <c r="C4447" t="inlineStr">
        <is>
          <t>EP</t>
        </is>
      </c>
      <c r="D4447" s="28" t="n">
        <v>46162</v>
      </c>
      <c r="E4447" t="inlineStr">
        <is>
          <t>현대EP_fast</t>
        </is>
      </c>
      <c r="F4447" t="inlineStr">
        <is>
          <t>안지혜</t>
        </is>
      </c>
      <c r="G4447" t="inlineStr">
        <is>
          <t>010-5005-2750</t>
        </is>
      </c>
      <c r="H4447" t="inlineStr">
        <is>
          <t>130호6582</t>
        </is>
      </c>
      <c r="I4447" t="n">
        <v>28100000</v>
      </c>
      <c r="J4447" t="n">
        <v>0.06900000000000001</v>
      </c>
      <c r="K4447" t="n">
        <v>1.76</v>
      </c>
      <c r="L4447" t="n">
        <v>0.14</v>
      </c>
      <c r="M4447" t="n">
        <v>1.62</v>
      </c>
      <c r="P4447" t="inlineStr">
        <is>
          <t>황채이</t>
        </is>
      </c>
      <c r="Q4447" t="inlineStr">
        <is>
          <t>홈서비스 60개월</t>
        </is>
      </c>
      <c r="AB4447" t="inlineStr">
        <is>
          <t>홈서비스</t>
        </is>
      </c>
      <c r="AC4447" t="n">
        <v>494560</v>
      </c>
      <c r="AD4447" t="n">
        <v>39340</v>
      </c>
      <c r="AE4447" t="n">
        <v>455220</v>
      </c>
      <c r="AF4447" t="n">
        <v>449600</v>
      </c>
      <c r="AG4447" t="n">
        <v>38041.78</v>
      </c>
      <c r="AH4447" t="n">
        <v>411558.22</v>
      </c>
    </row>
    <row r="4448">
      <c r="A4448" t="inlineStr">
        <is>
          <t>5월</t>
        </is>
      </c>
      <c r="B4448" t="inlineStr">
        <is>
          <t>21주차</t>
        </is>
      </c>
      <c r="C4448" t="inlineStr">
        <is>
          <t>EP</t>
        </is>
      </c>
      <c r="D4448" s="28" t="n">
        <v>46162</v>
      </c>
      <c r="E4448" t="inlineStr">
        <is>
          <t>BNKEP</t>
        </is>
      </c>
      <c r="F4448" t="inlineStr">
        <is>
          <t>배은정</t>
        </is>
      </c>
      <c r="G4448" t="inlineStr">
        <is>
          <t>010-4477-0537</t>
        </is>
      </c>
      <c r="H4448" t="inlineStr">
        <is>
          <t>353라6693</t>
        </is>
      </c>
      <c r="I4448" t="n">
        <v>15900000</v>
      </c>
      <c r="J4448" t="n">
        <v>0.128</v>
      </c>
      <c r="K4448" t="n">
        <v>1.65</v>
      </c>
      <c r="L4448" t="n">
        <v>0.14</v>
      </c>
      <c r="M4448" t="n">
        <v>1.51</v>
      </c>
      <c r="P4448" t="inlineStr">
        <is>
          <t>김나윤</t>
        </is>
      </c>
      <c r="Q4448" t="inlineStr">
        <is>
          <t>홈서비스 60개월</t>
        </is>
      </c>
      <c r="AB4448" t="inlineStr">
        <is>
          <t>홈서비스</t>
        </is>
      </c>
      <c r="AC4448" t="n">
        <v>262350</v>
      </c>
      <c r="AD4448" t="n">
        <v>22260</v>
      </c>
      <c r="AE4448" t="n">
        <v>240090</v>
      </c>
      <c r="AF4448" t="n">
        <v>238500</v>
      </c>
      <c r="AG4448" t="n">
        <v>21525.42</v>
      </c>
      <c r="AH4448" t="n">
        <v>216974.58</v>
      </c>
      <c r="AI4448" t="n">
        <v>0</v>
      </c>
    </row>
    <row r="4449">
      <c r="A4449" t="inlineStr">
        <is>
          <t>5월</t>
        </is>
      </c>
      <c r="B4449" t="inlineStr">
        <is>
          <t>21주차</t>
        </is>
      </c>
      <c r="C4449" t="inlineStr">
        <is>
          <t>IM</t>
        </is>
      </c>
      <c r="D4449" s="28" t="n">
        <v>46162</v>
      </c>
      <c r="E4449" t="inlineStr">
        <is>
          <t>IM캐피탈</t>
        </is>
      </c>
      <c r="F4449" t="inlineStr">
        <is>
          <t>전혜경</t>
        </is>
      </c>
      <c r="G4449" t="inlineStr">
        <is>
          <t>010-8956-7238</t>
        </is>
      </c>
      <c r="H4449" t="inlineStr">
        <is>
          <t>119로1205</t>
        </is>
      </c>
      <c r="I4449" t="n">
        <v>7000000</v>
      </c>
      <c r="J4449" t="n">
        <v>0.059</v>
      </c>
      <c r="K4449" t="n">
        <v>1.1</v>
      </c>
      <c r="L4449" t="n">
        <v>0.14</v>
      </c>
      <c r="M4449" t="n">
        <v>0.96</v>
      </c>
      <c r="P4449" t="inlineStr">
        <is>
          <t>정세빈</t>
        </is>
      </c>
      <c r="Q4449" t="inlineStr">
        <is>
          <t>홈서비스 48개월</t>
        </is>
      </c>
      <c r="AB4449" t="inlineStr">
        <is>
          <t>홈서비스</t>
        </is>
      </c>
      <c r="AC4449" t="n">
        <v>77000</v>
      </c>
      <c r="AD4449" t="n">
        <v>9800</v>
      </c>
      <c r="AE4449" t="n">
        <v>67200</v>
      </c>
      <c r="AF4449" t="n">
        <v>70000</v>
      </c>
      <c r="AG4449" t="n">
        <v>9476.6</v>
      </c>
      <c r="AH4449" t="n">
        <v>60523.4</v>
      </c>
      <c r="AI4449" t="n">
        <v>0</v>
      </c>
    </row>
    <row r="4450">
      <c r="A4450" t="inlineStr">
        <is>
          <t>5월</t>
        </is>
      </c>
      <c r="B4450" t="inlineStr">
        <is>
          <t>21주차</t>
        </is>
      </c>
      <c r="C4450" t="inlineStr">
        <is>
          <t>EP</t>
        </is>
      </c>
      <c r="D4450" s="28" t="n">
        <v>46162</v>
      </c>
      <c r="E4450" t="inlineStr">
        <is>
          <t>현대EP_fast</t>
        </is>
      </c>
      <c r="F4450" t="inlineStr">
        <is>
          <t>전광로</t>
        </is>
      </c>
      <c r="G4450" t="inlineStr">
        <is>
          <t>010-7752-4675</t>
        </is>
      </c>
      <c r="H4450" t="inlineStr">
        <is>
          <t>174가8832</t>
        </is>
      </c>
      <c r="I4450" t="n">
        <v>34500000</v>
      </c>
      <c r="J4450" t="n">
        <v>0.118</v>
      </c>
      <c r="K4450" t="n">
        <v>1.76</v>
      </c>
      <c r="L4450" t="n">
        <v>0.14</v>
      </c>
      <c r="M4450" t="n">
        <v>1.62</v>
      </c>
      <c r="P4450" t="inlineStr">
        <is>
          <t>정세빈</t>
        </is>
      </c>
      <c r="Q4450" t="inlineStr">
        <is>
          <t>홈서비스 60개월</t>
        </is>
      </c>
      <c r="AB4450" t="inlineStr">
        <is>
          <t>홈서비스</t>
        </is>
      </c>
      <c r="AC4450" t="n">
        <v>607200</v>
      </c>
      <c r="AD4450" t="n">
        <v>48300</v>
      </c>
      <c r="AE4450" t="n">
        <v>558900</v>
      </c>
      <c r="AF4450" t="n">
        <v>552000</v>
      </c>
      <c r="AG4450" t="n">
        <v>46706.1</v>
      </c>
      <c r="AH4450" t="n">
        <v>505293.9</v>
      </c>
    </row>
    <row r="4451">
      <c r="A4451" t="inlineStr">
        <is>
          <t>5월</t>
        </is>
      </c>
      <c r="B4451" t="inlineStr">
        <is>
          <t>21주차</t>
        </is>
      </c>
      <c r="C4451" t="inlineStr">
        <is>
          <t>WC</t>
        </is>
      </c>
      <c r="D4451" s="28" t="n">
        <v>46161</v>
      </c>
      <c r="E4451" t="inlineStr">
        <is>
          <t>웰컴저축은행</t>
        </is>
      </c>
      <c r="F4451" t="inlineStr">
        <is>
          <t>정태영</t>
        </is>
      </c>
      <c r="G4451" t="inlineStr">
        <is>
          <t>010-3641-9974</t>
        </is>
      </c>
      <c r="H4451" t="inlineStr">
        <is>
          <t>06도5646</t>
        </is>
      </c>
      <c r="I4451" t="n">
        <v>12300000</v>
      </c>
      <c r="J4451" t="n">
        <v>0.189</v>
      </c>
      <c r="K4451" t="n">
        <v>2.2</v>
      </c>
      <c r="L4451" t="n">
        <v>0.14</v>
      </c>
      <c r="M4451" t="n">
        <v>2.06</v>
      </c>
      <c r="P4451" t="inlineStr">
        <is>
          <t>임대경</t>
        </is>
      </c>
      <c r="Q4451" t="inlineStr">
        <is>
          <t>홈서비스 72개월</t>
        </is>
      </c>
      <c r="AB4451" t="inlineStr">
        <is>
          <t>홈서비스</t>
        </is>
      </c>
      <c r="AC4451" t="n">
        <v>270600</v>
      </c>
      <c r="AD4451" t="n">
        <v>17220</v>
      </c>
      <c r="AE4451" t="n">
        <v>253380</v>
      </c>
      <c r="AF4451" t="n">
        <v>246000</v>
      </c>
      <c r="AG4451" t="n">
        <v>16651.74</v>
      </c>
      <c r="AH4451" t="n">
        <v>229348.26</v>
      </c>
      <c r="AI4451" t="n">
        <v>0</v>
      </c>
    </row>
    <row r="4452">
      <c r="A4452" t="inlineStr">
        <is>
          <t>5월</t>
        </is>
      </c>
      <c r="B4452" t="inlineStr">
        <is>
          <t>21주차</t>
        </is>
      </c>
      <c r="C4452" t="inlineStr">
        <is>
          <t>IM</t>
        </is>
      </c>
      <c r="D4452" s="28" t="n">
        <v>46161</v>
      </c>
      <c r="E4452" t="inlineStr">
        <is>
          <t>IM캐피탈</t>
        </is>
      </c>
      <c r="F4452" t="inlineStr">
        <is>
          <t>박도균</t>
        </is>
      </c>
      <c r="G4452" t="inlineStr">
        <is>
          <t>010-8393-9520</t>
        </is>
      </c>
      <c r="H4452" t="inlineStr">
        <is>
          <t>307누8238</t>
        </is>
      </c>
      <c r="I4452" t="n">
        <v>31200000</v>
      </c>
      <c r="J4452" t="n">
        <v>0.079</v>
      </c>
      <c r="K4452" t="n">
        <v>1.1</v>
      </c>
      <c r="L4452" t="n">
        <v>0.5</v>
      </c>
      <c r="M4452" t="n">
        <v>0.6</v>
      </c>
      <c r="P4452" t="inlineStr">
        <is>
          <t>임대경</t>
        </is>
      </c>
      <c r="Q4452" t="inlineStr">
        <is>
          <t>부대비용추가진행</t>
        </is>
      </c>
      <c r="AB4452" t="inlineStr">
        <is>
          <t>엔카</t>
        </is>
      </c>
      <c r="AC4452" t="n">
        <v>343200</v>
      </c>
      <c r="AD4452" t="n">
        <v>156000</v>
      </c>
      <c r="AE4452" t="n">
        <v>187200</v>
      </c>
      <c r="AF4452" t="n">
        <v>312000</v>
      </c>
      <c r="AG4452" t="n">
        <v>150852</v>
      </c>
      <c r="AH4452" t="n">
        <v>161148</v>
      </c>
      <c r="AI4452" t="n">
        <v>0</v>
      </c>
    </row>
    <row r="4453">
      <c r="A4453" t="inlineStr">
        <is>
          <t>5월</t>
        </is>
      </c>
      <c r="B4453" t="inlineStr">
        <is>
          <t>21주차</t>
        </is>
      </c>
      <c r="C4453" t="inlineStr">
        <is>
          <t>EP</t>
        </is>
      </c>
      <c r="D4453" s="28" t="n">
        <v>46162</v>
      </c>
      <c r="E4453" t="inlineStr">
        <is>
          <t>현대EP_fast</t>
        </is>
      </c>
      <c r="F4453" t="inlineStr">
        <is>
          <t>김주홍</t>
        </is>
      </c>
      <c r="G4453" t="inlineStr">
        <is>
          <t>010-2459-7771</t>
        </is>
      </c>
      <c r="H4453" t="inlineStr">
        <is>
          <t>100어7995</t>
        </is>
      </c>
      <c r="I4453" t="n">
        <v>8800000</v>
      </c>
      <c r="J4453" t="n">
        <v>0.089</v>
      </c>
      <c r="K4453" t="n">
        <v>1.76</v>
      </c>
      <c r="L4453" t="n">
        <v>0.4</v>
      </c>
      <c r="M4453" t="n">
        <v>1.36</v>
      </c>
      <c r="P4453" t="inlineStr">
        <is>
          <t>박보람</t>
        </is>
      </c>
      <c r="AB4453" t="inlineStr">
        <is>
          <t>엔카</t>
        </is>
      </c>
      <c r="AC4453" t="n">
        <v>154880</v>
      </c>
      <c r="AD4453" t="n">
        <v>35200</v>
      </c>
      <c r="AE4453" t="n">
        <v>119680</v>
      </c>
      <c r="AF4453" t="n">
        <v>140800</v>
      </c>
      <c r="AG4453" t="n">
        <v>34038.4</v>
      </c>
      <c r="AH4453" t="n">
        <v>106761.6</v>
      </c>
      <c r="AI4453" t="n">
        <v>0</v>
      </c>
    </row>
    <row r="4454">
      <c r="A4454" t="inlineStr">
        <is>
          <t>5월</t>
        </is>
      </c>
      <c r="B4454" t="inlineStr">
        <is>
          <t>21주차</t>
        </is>
      </c>
      <c r="C4454" t="inlineStr">
        <is>
          <t>EP</t>
        </is>
      </c>
      <c r="D4454" s="28" t="n">
        <v>46161</v>
      </c>
      <c r="E4454" t="inlineStr">
        <is>
          <t>제이비EP</t>
        </is>
      </c>
      <c r="F4454" t="inlineStr">
        <is>
          <t>김상현</t>
        </is>
      </c>
      <c r="G4454" t="inlineStr">
        <is>
          <t>010-6276-7745</t>
        </is>
      </c>
      <c r="H4454" t="inlineStr">
        <is>
          <t>195우1494</t>
        </is>
      </c>
      <c r="I4454" t="n">
        <v>29700000</v>
      </c>
      <c r="J4454" t="n">
        <v>0.112</v>
      </c>
      <c r="K4454" t="n">
        <v>1.65</v>
      </c>
      <c r="L4454" t="n">
        <v>0.4</v>
      </c>
      <c r="M4454" t="n">
        <v>1.25</v>
      </c>
      <c r="P4454" t="inlineStr">
        <is>
          <t>구성완</t>
        </is>
      </c>
      <c r="AB4454" t="inlineStr">
        <is>
          <t>엔카</t>
        </is>
      </c>
      <c r="AC4454" t="n">
        <v>490050</v>
      </c>
      <c r="AD4454" t="n">
        <v>118800</v>
      </c>
      <c r="AE4454" t="n">
        <v>371250</v>
      </c>
      <c r="AF4454" t="n">
        <v>445500</v>
      </c>
      <c r="AG4454" t="n">
        <v>114879.6</v>
      </c>
      <c r="AH4454" t="n">
        <v>330620.4</v>
      </c>
      <c r="AI4454" t="n">
        <v>0</v>
      </c>
    </row>
    <row r="4455">
      <c r="A4455" t="inlineStr">
        <is>
          <t>5월</t>
        </is>
      </c>
      <c r="B4455" t="inlineStr">
        <is>
          <t>21주차</t>
        </is>
      </c>
      <c r="C4455" t="inlineStr">
        <is>
          <t>EP</t>
        </is>
      </c>
      <c r="D4455" s="28" t="n">
        <v>46162</v>
      </c>
      <c r="E4455" t="inlineStr">
        <is>
          <t>현대EP_fast</t>
        </is>
      </c>
      <c r="F4455" t="inlineStr">
        <is>
          <t>김라윤</t>
        </is>
      </c>
      <c r="G4455" t="inlineStr">
        <is>
          <t>010-5767-6747</t>
        </is>
      </c>
      <c r="H4455" t="inlineStr">
        <is>
          <t>59노6216</t>
        </is>
      </c>
      <c r="I4455" t="n">
        <v>5700000</v>
      </c>
      <c r="J4455" t="n">
        <v>0.102</v>
      </c>
      <c r="K4455" t="n">
        <v>1.76</v>
      </c>
      <c r="L4455" t="n">
        <v>0.14</v>
      </c>
      <c r="M4455" t="n">
        <v>1.62</v>
      </c>
      <c r="P4455" t="inlineStr">
        <is>
          <t>정세빈</t>
        </is>
      </c>
      <c r="Q4455" t="inlineStr">
        <is>
          <t>홈서비스 60개월</t>
        </is>
      </c>
      <c r="AB4455" t="inlineStr">
        <is>
          <t>홈서비스</t>
        </is>
      </c>
      <c r="AC4455" t="n">
        <v>100320</v>
      </c>
      <c r="AD4455" t="n">
        <v>7980</v>
      </c>
      <c r="AE4455" t="n">
        <v>92340</v>
      </c>
      <c r="AF4455" t="n">
        <v>91200</v>
      </c>
      <c r="AG4455" t="n">
        <v>7716.66</v>
      </c>
      <c r="AH4455" t="n">
        <v>83483.34</v>
      </c>
      <c r="AI4455" t="n">
        <v>0</v>
      </c>
    </row>
    <row r="4456">
      <c r="A4456" t="inlineStr">
        <is>
          <t>5월</t>
        </is>
      </c>
      <c r="B4456" t="inlineStr">
        <is>
          <t>21주차</t>
        </is>
      </c>
      <c r="C4456" t="inlineStr">
        <is>
          <t>WC</t>
        </is>
      </c>
      <c r="D4456" s="28" t="n">
        <v>46162</v>
      </c>
      <c r="E4456" t="inlineStr">
        <is>
          <t>웰컴저축은행</t>
        </is>
      </c>
      <c r="F4456" t="inlineStr">
        <is>
          <t>정은미</t>
        </is>
      </c>
      <c r="G4456" t="inlineStr">
        <is>
          <t>010-8835-4873</t>
        </is>
      </c>
      <c r="H4456" t="inlineStr">
        <is>
          <t>22보3270</t>
        </is>
      </c>
      <c r="I4456" t="n">
        <v>17300000</v>
      </c>
      <c r="J4456" t="n">
        <v>0.189</v>
      </c>
      <c r="K4456" t="n">
        <v>2.2</v>
      </c>
      <c r="L4456" t="n">
        <v>0.4</v>
      </c>
      <c r="M4456" t="n">
        <v>1.8</v>
      </c>
      <c r="P4456" t="inlineStr">
        <is>
          <t>정세빈</t>
        </is>
      </c>
      <c r="Q4456" t="inlineStr">
        <is>
          <t>부대비용추가대출</t>
        </is>
      </c>
      <c r="AB4456" t="inlineStr">
        <is>
          <t>엔카</t>
        </is>
      </c>
      <c r="AC4456" t="n">
        <v>380600</v>
      </c>
      <c r="AD4456" t="n">
        <v>69200</v>
      </c>
      <c r="AE4456" t="n">
        <v>311400</v>
      </c>
      <c r="AF4456" t="n">
        <v>346000</v>
      </c>
      <c r="AG4456" t="n">
        <v>66916.39999999999</v>
      </c>
      <c r="AH4456" t="n">
        <v>279083.6</v>
      </c>
      <c r="AI4456" t="n">
        <v>0</v>
      </c>
    </row>
    <row r="4457">
      <c r="A4457" t="inlineStr">
        <is>
          <t>5월</t>
        </is>
      </c>
      <c r="B4457" t="inlineStr">
        <is>
          <t>21주차</t>
        </is>
      </c>
      <c r="C4457" t="inlineStr">
        <is>
          <t>IM</t>
        </is>
      </c>
      <c r="D4457" s="28" t="n">
        <v>46162</v>
      </c>
      <c r="E4457" t="inlineStr">
        <is>
          <t>IM캐피탈</t>
        </is>
      </c>
      <c r="F4457" t="inlineStr">
        <is>
          <t>박가영</t>
        </is>
      </c>
      <c r="G4457" t="inlineStr">
        <is>
          <t>010-3424-5425</t>
        </is>
      </c>
      <c r="H4457" t="inlineStr">
        <is>
          <t>04거7039</t>
        </is>
      </c>
      <c r="I4457" t="n">
        <v>13400000</v>
      </c>
      <c r="J4457" t="n">
        <v>0.049</v>
      </c>
      <c r="K4457" t="n">
        <v>1.1</v>
      </c>
      <c r="L4457" t="n">
        <v>0.14</v>
      </c>
      <c r="M4457" t="n">
        <v>0.96</v>
      </c>
      <c r="P4457" t="inlineStr">
        <is>
          <t>정세빈</t>
        </is>
      </c>
      <c r="Q4457" t="inlineStr">
        <is>
          <t>홈서비스 60개월</t>
        </is>
      </c>
      <c r="AB4457" t="inlineStr">
        <is>
          <t>홈서비스</t>
        </is>
      </c>
      <c r="AC4457" t="n">
        <v>147400</v>
      </c>
      <c r="AD4457" t="n">
        <v>18760</v>
      </c>
      <c r="AE4457" t="n">
        <v>128640</v>
      </c>
      <c r="AF4457" t="n">
        <v>134000</v>
      </c>
      <c r="AG4457" t="n">
        <v>18140.92</v>
      </c>
      <c r="AH4457" t="n">
        <v>115859.08</v>
      </c>
      <c r="AI4457" t="n">
        <v>0</v>
      </c>
    </row>
    <row r="4458">
      <c r="A4458" t="inlineStr">
        <is>
          <t>5월</t>
        </is>
      </c>
      <c r="B4458" t="inlineStr">
        <is>
          <t>21주차</t>
        </is>
      </c>
      <c r="C4458" t="inlineStr">
        <is>
          <t>EP</t>
        </is>
      </c>
      <c r="D4458" s="28" t="n">
        <v>46162</v>
      </c>
      <c r="E4458" t="inlineStr">
        <is>
          <t>현대EP_fast</t>
        </is>
      </c>
      <c r="F4458" t="inlineStr">
        <is>
          <t>조남미</t>
        </is>
      </c>
      <c r="G4458" t="inlineStr">
        <is>
          <t>010-8782-0319</t>
        </is>
      </c>
      <c r="H4458" t="inlineStr">
        <is>
          <t>03루0487</t>
        </is>
      </c>
      <c r="I4458" t="n">
        <v>10000000</v>
      </c>
      <c r="J4458" t="n">
        <v>0.08699999999999999</v>
      </c>
      <c r="K4458" t="n">
        <v>1.76</v>
      </c>
      <c r="L4458" t="n">
        <v>0.14</v>
      </c>
      <c r="M4458" t="n">
        <v>1.62</v>
      </c>
      <c r="P4458" t="inlineStr">
        <is>
          <t>김수연</t>
        </is>
      </c>
      <c r="Q4458" t="inlineStr">
        <is>
          <t>홈서비스 36개월</t>
        </is>
      </c>
      <c r="AB4458" t="inlineStr">
        <is>
          <t>홈서비스</t>
        </is>
      </c>
      <c r="AC4458" t="n">
        <v>176000</v>
      </c>
      <c r="AD4458" t="n">
        <v>14000</v>
      </c>
      <c r="AE4458" t="n">
        <v>162000</v>
      </c>
      <c r="AF4458" t="n">
        <v>160000</v>
      </c>
      <c r="AG4458" t="n">
        <v>13538</v>
      </c>
      <c r="AH4458" t="n">
        <v>146462</v>
      </c>
      <c r="AI4458" t="n">
        <v>0</v>
      </c>
    </row>
    <row r="4459">
      <c r="A4459" t="inlineStr">
        <is>
          <t>5월</t>
        </is>
      </c>
      <c r="B4459" t="inlineStr">
        <is>
          <t>21주차</t>
        </is>
      </c>
      <c r="C4459" t="inlineStr">
        <is>
          <t>IM</t>
        </is>
      </c>
      <c r="D4459" s="28" t="n">
        <v>46162</v>
      </c>
      <c r="E4459" t="inlineStr">
        <is>
          <t>IM캐피탈</t>
        </is>
      </c>
      <c r="F4459" t="inlineStr">
        <is>
          <t>이준원</t>
        </is>
      </c>
      <c r="G4459" t="inlineStr">
        <is>
          <t>010-4665-1961</t>
        </is>
      </c>
      <c r="H4459" t="inlineStr">
        <is>
          <t>29다0268</t>
        </is>
      </c>
      <c r="I4459" t="n">
        <v>13500000</v>
      </c>
      <c r="J4459" t="n">
        <v>0.063</v>
      </c>
      <c r="K4459" t="n">
        <v>1.1</v>
      </c>
      <c r="L4459" t="n">
        <v>0.14</v>
      </c>
      <c r="M4459" t="n">
        <v>0.96</v>
      </c>
      <c r="P4459" t="inlineStr">
        <is>
          <t>정세빈</t>
        </is>
      </c>
      <c r="Q4459" t="inlineStr">
        <is>
          <t>홈서비스 72개월</t>
        </is>
      </c>
      <c r="AB4459" t="inlineStr">
        <is>
          <t>홈서비스</t>
        </is>
      </c>
      <c r="AC4459" t="n">
        <v>148500</v>
      </c>
      <c r="AD4459" t="n">
        <v>18900</v>
      </c>
      <c r="AE4459" t="n">
        <v>129600</v>
      </c>
      <c r="AF4459" t="n">
        <v>135000</v>
      </c>
      <c r="AG4459" t="n">
        <v>18276.3</v>
      </c>
      <c r="AH4459" t="n">
        <v>116723.7</v>
      </c>
      <c r="AI4459" t="n">
        <v>0</v>
      </c>
    </row>
    <row r="4460">
      <c r="A4460" t="inlineStr">
        <is>
          <t>5월</t>
        </is>
      </c>
      <c r="B4460" t="inlineStr">
        <is>
          <t>21주차</t>
        </is>
      </c>
      <c r="C4460" t="inlineStr">
        <is>
          <t>EP</t>
        </is>
      </c>
      <c r="D4460" s="28" t="n">
        <v>46162</v>
      </c>
      <c r="E4460" t="inlineStr">
        <is>
          <t>현대EP_fast</t>
        </is>
      </c>
      <c r="F4460" t="inlineStr">
        <is>
          <t>조경률</t>
        </is>
      </c>
      <c r="G4460" t="inlineStr">
        <is>
          <t>010-4156-9114</t>
        </is>
      </c>
      <c r="H4460" t="inlineStr">
        <is>
          <t>331버1744</t>
        </is>
      </c>
      <c r="I4460" t="n">
        <v>30000000</v>
      </c>
      <c r="J4460" t="n">
        <v>0.129</v>
      </c>
      <c r="K4460" t="n">
        <v>1.76</v>
      </c>
      <c r="L4460" t="n">
        <v>0.14</v>
      </c>
      <c r="M4460" t="n">
        <v>1.62</v>
      </c>
      <c r="P4460" t="inlineStr">
        <is>
          <t>황채이</t>
        </is>
      </c>
      <c r="Q4460" t="inlineStr">
        <is>
          <t>홈서비스 48개월</t>
        </is>
      </c>
      <c r="AB4460" t="inlineStr">
        <is>
          <t>홈서비스</t>
        </is>
      </c>
      <c r="AC4460" t="n">
        <v>528000</v>
      </c>
      <c r="AD4460" t="n">
        <v>42000</v>
      </c>
      <c r="AE4460" t="n">
        <v>486000</v>
      </c>
      <c r="AF4460" t="n">
        <v>480000</v>
      </c>
      <c r="AG4460" t="n">
        <v>40614</v>
      </c>
      <c r="AH4460" t="n">
        <v>439386</v>
      </c>
    </row>
    <row r="4461">
      <c r="A4461" t="inlineStr">
        <is>
          <t>5월</t>
        </is>
      </c>
      <c r="B4461" t="inlineStr">
        <is>
          <t>21주차</t>
        </is>
      </c>
      <c r="C4461" t="inlineStr">
        <is>
          <t>IM</t>
        </is>
      </c>
      <c r="D4461" s="28" t="n">
        <v>46162</v>
      </c>
      <c r="E4461" t="inlineStr">
        <is>
          <t>IM캐피탈</t>
        </is>
      </c>
      <c r="F4461" t="inlineStr">
        <is>
          <t>이재훈</t>
        </is>
      </c>
      <c r="G4461" t="inlineStr">
        <is>
          <t>010-9354-2227</t>
        </is>
      </c>
      <c r="H4461" t="inlineStr">
        <is>
          <t>138소7575</t>
        </is>
      </c>
      <c r="I4461" t="n">
        <v>74900000</v>
      </c>
      <c r="J4461" t="n">
        <v>0.049</v>
      </c>
      <c r="K4461" t="n">
        <v>1.1</v>
      </c>
      <c r="L4461" t="n">
        <v>0.14</v>
      </c>
      <c r="M4461" t="n">
        <v>0.96</v>
      </c>
      <c r="P4461" t="inlineStr">
        <is>
          <t>김수연</t>
        </is>
      </c>
      <c r="Q4461" t="inlineStr">
        <is>
          <t>홈서비스 72개월</t>
        </is>
      </c>
      <c r="AB4461" t="inlineStr">
        <is>
          <t>홈서비스</t>
        </is>
      </c>
      <c r="AC4461" t="n">
        <v>823900</v>
      </c>
      <c r="AD4461" t="n">
        <v>104860</v>
      </c>
      <c r="AE4461" t="n">
        <v>719040</v>
      </c>
      <c r="AF4461" t="n">
        <v>749000</v>
      </c>
      <c r="AG4461" t="n">
        <v>101399.62</v>
      </c>
      <c r="AH4461" t="n">
        <v>647600.38</v>
      </c>
      <c r="AI4461" t="n">
        <v>0</v>
      </c>
    </row>
    <row r="4462">
      <c r="A4462" t="inlineStr">
        <is>
          <t>5월</t>
        </is>
      </c>
      <c r="B4462" t="inlineStr">
        <is>
          <t>21주차</t>
        </is>
      </c>
      <c r="C4462" t="inlineStr">
        <is>
          <t>EP</t>
        </is>
      </c>
      <c r="D4462" s="28" t="n">
        <v>46162</v>
      </c>
      <c r="E4462" t="inlineStr">
        <is>
          <t>BNKEP</t>
        </is>
      </c>
      <c r="F4462" t="inlineStr">
        <is>
          <t>김종국</t>
        </is>
      </c>
      <c r="G4462" t="inlineStr">
        <is>
          <t>010-3994-0048</t>
        </is>
      </c>
      <c r="H4462" t="inlineStr">
        <is>
          <t>179거2479</t>
        </is>
      </c>
      <c r="I4462" t="n">
        <v>36500000</v>
      </c>
      <c r="J4462" t="n">
        <v>0.063</v>
      </c>
      <c r="K4462" t="n">
        <v>1.65</v>
      </c>
      <c r="L4462" t="n">
        <v>0.14</v>
      </c>
      <c r="M4462" t="n">
        <v>1.51</v>
      </c>
      <c r="P4462" t="inlineStr">
        <is>
          <t>김수연</t>
        </is>
      </c>
      <c r="Q4462" t="inlineStr">
        <is>
          <t>홈서비스 60개월</t>
        </is>
      </c>
      <c r="AB4462" t="inlineStr">
        <is>
          <t>홈서비스</t>
        </is>
      </c>
      <c r="AC4462" t="n">
        <v>602250</v>
      </c>
      <c r="AD4462" t="n">
        <v>51100</v>
      </c>
      <c r="AE4462" t="n">
        <v>551150</v>
      </c>
      <c r="AF4462" t="n">
        <v>547500</v>
      </c>
      <c r="AG4462" t="n">
        <v>49413.7</v>
      </c>
      <c r="AH4462" t="n">
        <v>498086.3</v>
      </c>
      <c r="AI4462" t="n">
        <v>0</v>
      </c>
    </row>
    <row r="4463">
      <c r="A4463" t="inlineStr">
        <is>
          <t>5월</t>
        </is>
      </c>
      <c r="B4463" t="inlineStr">
        <is>
          <t>21주차</t>
        </is>
      </c>
      <c r="C4463" t="inlineStr">
        <is>
          <t>IM</t>
        </is>
      </c>
      <c r="D4463" s="28" t="n">
        <v>46162</v>
      </c>
      <c r="E4463" t="inlineStr">
        <is>
          <t>IM캐피탈</t>
        </is>
      </c>
      <c r="F4463" t="inlineStr">
        <is>
          <t>최원영</t>
        </is>
      </c>
      <c r="G4463" t="inlineStr">
        <is>
          <t>010-2006-2452</t>
        </is>
      </c>
      <c r="H4463" t="inlineStr">
        <is>
          <t>179조2002</t>
        </is>
      </c>
      <c r="I4463" t="n">
        <v>24000000</v>
      </c>
      <c r="J4463" t="n">
        <v>0.049</v>
      </c>
      <c r="K4463" t="n">
        <v>1.1</v>
      </c>
      <c r="L4463" t="n">
        <v>0.14</v>
      </c>
      <c r="M4463" t="n">
        <v>0.96</v>
      </c>
      <c r="P4463" t="inlineStr">
        <is>
          <t>김나윤</t>
        </is>
      </c>
      <c r="Q4463" t="inlineStr">
        <is>
          <t>홈서비스 24개월</t>
        </is>
      </c>
      <c r="AB4463" t="inlineStr">
        <is>
          <t>홈서비스</t>
        </is>
      </c>
      <c r="AC4463" t="n">
        <v>264000</v>
      </c>
      <c r="AD4463" t="n">
        <v>33600</v>
      </c>
      <c r="AE4463" t="n">
        <v>230400</v>
      </c>
      <c r="AF4463" t="n">
        <v>240000</v>
      </c>
      <c r="AG4463" t="n">
        <v>32491.2</v>
      </c>
      <c r="AH4463" t="n">
        <v>207508.8</v>
      </c>
      <c r="AI4463" t="n">
        <v>0</v>
      </c>
    </row>
    <row r="4464">
      <c r="A4464" t="inlineStr">
        <is>
          <t>5월</t>
        </is>
      </c>
      <c r="B4464" t="inlineStr">
        <is>
          <t>21주차</t>
        </is>
      </c>
      <c r="C4464" t="inlineStr">
        <is>
          <t>EP</t>
        </is>
      </c>
      <c r="D4464" s="28" t="n">
        <v>46160</v>
      </c>
      <c r="E4464" t="inlineStr">
        <is>
          <t>현대EP</t>
        </is>
      </c>
      <c r="F4464" t="inlineStr">
        <is>
          <t>이수진</t>
        </is>
      </c>
      <c r="G4464" t="inlineStr">
        <is>
          <t>010-4737-1226</t>
        </is>
      </c>
      <c r="H4464" t="inlineStr">
        <is>
          <t>145노7645</t>
        </is>
      </c>
      <c r="I4464" t="n">
        <v>11000000</v>
      </c>
      <c r="J4464" t="n">
        <v>0.06900000000000001</v>
      </c>
      <c r="K4464" t="n">
        <v>1.76</v>
      </c>
      <c r="L4464" t="n">
        <v>0.14</v>
      </c>
      <c r="M4464" t="n">
        <v>1.62</v>
      </c>
      <c r="P4464" t="inlineStr">
        <is>
          <t>최형주</t>
        </is>
      </c>
      <c r="AB4464" t="inlineStr">
        <is>
          <t>홈서비스</t>
        </is>
      </c>
      <c r="AC4464" t="n">
        <v>193600</v>
      </c>
      <c r="AD4464" t="n">
        <v>15400</v>
      </c>
      <c r="AE4464" t="n">
        <v>178200</v>
      </c>
      <c r="AF4464" t="n">
        <v>176000</v>
      </c>
      <c r="AG4464" t="n">
        <v>14891.8</v>
      </c>
      <c r="AH4464" t="n">
        <v>161108.2</v>
      </c>
      <c r="AI4464" t="n">
        <v>0</v>
      </c>
    </row>
    <row r="4465">
      <c r="A4465" t="inlineStr">
        <is>
          <t>5월</t>
        </is>
      </c>
      <c r="B4465" t="inlineStr">
        <is>
          <t>21주차</t>
        </is>
      </c>
      <c r="C4465" t="inlineStr">
        <is>
          <t>EP</t>
        </is>
      </c>
      <c r="D4465" s="28" t="n">
        <v>46161</v>
      </c>
      <c r="E4465" t="inlineStr">
        <is>
          <t>현대EP</t>
        </is>
      </c>
      <c r="F4465" t="inlineStr">
        <is>
          <t>오근영</t>
        </is>
      </c>
      <c r="G4465" t="inlineStr">
        <is>
          <t>010-4331-5372</t>
        </is>
      </c>
      <c r="H4465" t="inlineStr">
        <is>
          <t>45서4647</t>
        </is>
      </c>
      <c r="I4465" t="n">
        <v>12900000</v>
      </c>
      <c r="J4465" t="n">
        <v>0.074</v>
      </c>
      <c r="K4465" t="n">
        <v>1.76</v>
      </c>
      <c r="L4465" t="n">
        <v>0.14</v>
      </c>
      <c r="M4465" t="n">
        <v>1.62</v>
      </c>
      <c r="P4465" t="inlineStr">
        <is>
          <t>최형주</t>
        </is>
      </c>
      <c r="AB4465" t="inlineStr">
        <is>
          <t>홈서비스</t>
        </is>
      </c>
      <c r="AC4465" t="n">
        <v>227040</v>
      </c>
      <c r="AD4465" t="n">
        <v>18060</v>
      </c>
      <c r="AE4465" t="n">
        <v>208980</v>
      </c>
      <c r="AF4465" t="n">
        <v>206400</v>
      </c>
      <c r="AG4465" t="n">
        <v>17464.02</v>
      </c>
      <c r="AH4465" t="n">
        <v>188935.98</v>
      </c>
      <c r="AI4465" t="n">
        <v>0</v>
      </c>
    </row>
    <row r="4466">
      <c r="A4466" t="inlineStr">
        <is>
          <t>5월</t>
        </is>
      </c>
      <c r="B4466" t="inlineStr">
        <is>
          <t>21주차</t>
        </is>
      </c>
      <c r="C4466" t="inlineStr">
        <is>
          <t>EP</t>
        </is>
      </c>
      <c r="D4466" s="28" t="n">
        <v>46162</v>
      </c>
      <c r="E4466" t="inlineStr">
        <is>
          <t>현대EP_fast</t>
        </is>
      </c>
      <c r="F4466" t="inlineStr">
        <is>
          <t>나은지</t>
        </is>
      </c>
      <c r="G4466" t="inlineStr">
        <is>
          <t>010-8300-6117</t>
        </is>
      </c>
      <c r="H4466" t="inlineStr">
        <is>
          <t>364로1582</t>
        </is>
      </c>
      <c r="I4466" t="n">
        <v>30900000</v>
      </c>
      <c r="J4466" t="n">
        <v>0.105</v>
      </c>
      <c r="K4466" t="n">
        <v>1.76</v>
      </c>
      <c r="L4466" t="n">
        <v>0.14</v>
      </c>
      <c r="M4466" t="n">
        <v>1.62</v>
      </c>
      <c r="P4466" t="inlineStr">
        <is>
          <t>김나윤</t>
        </is>
      </c>
      <c r="Q4466" t="inlineStr">
        <is>
          <t>홈서비스 60개월</t>
        </is>
      </c>
      <c r="AB4466" t="inlineStr">
        <is>
          <t>홈서비스</t>
        </is>
      </c>
      <c r="AC4466" t="n">
        <v>543840</v>
      </c>
      <c r="AD4466" t="n">
        <v>43260</v>
      </c>
      <c r="AE4466" t="n">
        <v>500580</v>
      </c>
      <c r="AF4466" t="n">
        <v>494400</v>
      </c>
      <c r="AG4466" t="n">
        <v>41832.42</v>
      </c>
      <c r="AH4466" t="n">
        <v>452567.58</v>
      </c>
    </row>
    <row r="4467">
      <c r="A4467" t="inlineStr">
        <is>
          <t>5월</t>
        </is>
      </c>
      <c r="B4467" t="inlineStr">
        <is>
          <t>21주차</t>
        </is>
      </c>
      <c r="C4467" t="inlineStr">
        <is>
          <t>EP</t>
        </is>
      </c>
      <c r="D4467" s="28" t="n">
        <v>46162</v>
      </c>
      <c r="E4467" t="inlineStr">
        <is>
          <t>현대EP</t>
        </is>
      </c>
      <c r="F4467" t="inlineStr">
        <is>
          <t>강금순</t>
        </is>
      </c>
      <c r="G4467" t="inlineStr">
        <is>
          <t>010-7158-4705</t>
        </is>
      </c>
      <c r="H4467" t="inlineStr">
        <is>
          <t>50두1184</t>
        </is>
      </c>
      <c r="I4467" t="n">
        <v>27900000</v>
      </c>
      <c r="J4467" t="n">
        <v>0.102</v>
      </c>
      <c r="K4467" t="n">
        <v>1.76</v>
      </c>
      <c r="L4467" t="n">
        <v>0.14</v>
      </c>
      <c r="M4467" t="n">
        <v>1.62</v>
      </c>
      <c r="P4467" t="inlineStr">
        <is>
          <t>김수연</t>
        </is>
      </c>
      <c r="AB4467" t="inlineStr">
        <is>
          <t>홈서비스</t>
        </is>
      </c>
      <c r="AC4467" t="n">
        <v>491040</v>
      </c>
      <c r="AD4467" t="n">
        <v>39060</v>
      </c>
      <c r="AE4467" t="n">
        <v>451980</v>
      </c>
      <c r="AF4467" t="n">
        <v>446400</v>
      </c>
      <c r="AG4467" t="n">
        <v>37771.02</v>
      </c>
      <c r="AH4467" t="n">
        <v>408628.98</v>
      </c>
      <c r="AI4467" t="n">
        <v>0</v>
      </c>
    </row>
    <row r="4468">
      <c r="A4468" t="inlineStr">
        <is>
          <t>5월</t>
        </is>
      </c>
      <c r="B4468" t="inlineStr">
        <is>
          <t>21주차</t>
        </is>
      </c>
      <c r="C4468" t="inlineStr">
        <is>
          <t>EP</t>
        </is>
      </c>
      <c r="D4468" s="28" t="n">
        <v>46162</v>
      </c>
      <c r="E4468" t="inlineStr">
        <is>
          <t>현대EP</t>
        </is>
      </c>
      <c r="F4468" t="inlineStr">
        <is>
          <t>김영국</t>
        </is>
      </c>
      <c r="G4468" t="inlineStr">
        <is>
          <t>010-8843-1961</t>
        </is>
      </c>
      <c r="H4468" t="inlineStr">
        <is>
          <t>370라4558</t>
        </is>
      </c>
      <c r="I4468" t="n">
        <v>5000000</v>
      </c>
      <c r="J4468" t="n">
        <v>0.095</v>
      </c>
      <c r="K4468" t="n">
        <v>1.76</v>
      </c>
      <c r="L4468" t="n">
        <v>0.14</v>
      </c>
      <c r="M4468" t="n">
        <v>1.62</v>
      </c>
      <c r="P4468" t="inlineStr">
        <is>
          <t>김수연</t>
        </is>
      </c>
      <c r="AB4468" t="inlineStr">
        <is>
          <t>홈서비스</t>
        </is>
      </c>
      <c r="AC4468" t="n">
        <v>88000</v>
      </c>
      <c r="AD4468" t="n">
        <v>7000</v>
      </c>
      <c r="AE4468" t="n">
        <v>81000</v>
      </c>
      <c r="AF4468" t="n">
        <v>80000</v>
      </c>
      <c r="AG4468" t="n">
        <v>6769</v>
      </c>
      <c r="AH4468" t="n">
        <v>73231</v>
      </c>
    </row>
    <row r="4469">
      <c r="A4469" t="inlineStr">
        <is>
          <t>5월</t>
        </is>
      </c>
      <c r="B4469" t="inlineStr">
        <is>
          <t>21주차</t>
        </is>
      </c>
      <c r="C4469" t="inlineStr">
        <is>
          <t>EP</t>
        </is>
      </c>
      <c r="D4469" s="28" t="n">
        <v>46162</v>
      </c>
      <c r="E4469" t="inlineStr">
        <is>
          <t>현대EP</t>
        </is>
      </c>
      <c r="F4469" t="inlineStr">
        <is>
          <t>김진한</t>
        </is>
      </c>
      <c r="G4469" t="inlineStr">
        <is>
          <t>010-3760-6296</t>
        </is>
      </c>
      <c r="H4469" t="inlineStr">
        <is>
          <t>56가7150</t>
        </is>
      </c>
      <c r="I4469" t="n">
        <v>3600000</v>
      </c>
      <c r="J4469" t="n">
        <v>0.06900000000000001</v>
      </c>
      <c r="K4469" t="n">
        <v>1.76</v>
      </c>
      <c r="L4469" t="n">
        <v>0.14</v>
      </c>
      <c r="M4469" t="n">
        <v>1.62</v>
      </c>
      <c r="P4469" t="inlineStr">
        <is>
          <t>김나윤</t>
        </is>
      </c>
      <c r="AB4469" t="inlineStr">
        <is>
          <t>홈서비스</t>
        </is>
      </c>
      <c r="AC4469" t="n">
        <v>63360</v>
      </c>
      <c r="AD4469" t="n">
        <v>5040</v>
      </c>
      <c r="AE4469" t="n">
        <v>58320</v>
      </c>
      <c r="AF4469" t="n">
        <v>57600</v>
      </c>
      <c r="AG4469" t="n">
        <v>4873.68</v>
      </c>
      <c r="AH4469" t="n">
        <v>52726.32</v>
      </c>
    </row>
    <row r="4470">
      <c r="A4470" t="inlineStr">
        <is>
          <t>5월</t>
        </is>
      </c>
      <c r="B4470" t="inlineStr">
        <is>
          <t>21주차</t>
        </is>
      </c>
      <c r="C4470" t="inlineStr">
        <is>
          <t>IM</t>
        </is>
      </c>
      <c r="D4470" s="28" t="n">
        <v>46162</v>
      </c>
      <c r="E4470" t="inlineStr">
        <is>
          <t>IM캐피탈</t>
        </is>
      </c>
      <c r="F4470" t="inlineStr">
        <is>
          <t>홍성희</t>
        </is>
      </c>
      <c r="G4470" t="inlineStr">
        <is>
          <t>010-9216-7004</t>
        </is>
      </c>
      <c r="H4470" t="inlineStr">
        <is>
          <t>23도6278</t>
        </is>
      </c>
      <c r="I4470" t="n">
        <v>21700000</v>
      </c>
      <c r="J4470" t="n">
        <v>0.049</v>
      </c>
      <c r="K4470" t="n">
        <v>1.1</v>
      </c>
      <c r="L4470" t="n">
        <v>0.14</v>
      </c>
      <c r="M4470" t="n">
        <v>0.96</v>
      </c>
      <c r="P4470" t="inlineStr">
        <is>
          <t>정세빈</t>
        </is>
      </c>
      <c r="Q4470" t="inlineStr">
        <is>
          <t>홈서비스 60개월</t>
        </is>
      </c>
      <c r="AB4470" t="inlineStr">
        <is>
          <t>홈서비스</t>
        </is>
      </c>
      <c r="AC4470" t="n">
        <v>238700</v>
      </c>
      <c r="AD4470" t="n">
        <v>30380</v>
      </c>
      <c r="AE4470" t="n">
        <v>208320</v>
      </c>
      <c r="AF4470" t="n">
        <v>217000</v>
      </c>
      <c r="AG4470" t="n">
        <v>29377.46</v>
      </c>
      <c r="AH4470" t="n">
        <v>187622.54</v>
      </c>
      <c r="AI4470" t="n">
        <v>0</v>
      </c>
    </row>
    <row r="4471">
      <c r="A4471" t="inlineStr">
        <is>
          <t>5월</t>
        </is>
      </c>
      <c r="B4471" t="inlineStr">
        <is>
          <t>21주차</t>
        </is>
      </c>
      <c r="C4471" t="inlineStr">
        <is>
          <t>EP</t>
        </is>
      </c>
      <c r="D4471" s="28" t="n">
        <v>46162</v>
      </c>
      <c r="E4471" t="inlineStr">
        <is>
          <t>현대EP</t>
        </is>
      </c>
      <c r="F4471" t="inlineStr">
        <is>
          <t>태성훈</t>
        </is>
      </c>
      <c r="G4471" t="inlineStr">
        <is>
          <t>010-2639-1005</t>
        </is>
      </c>
      <c r="H4471" t="inlineStr">
        <is>
          <t>257보3518</t>
        </is>
      </c>
      <c r="I4471" t="n">
        <v>38900000</v>
      </c>
      <c r="J4471" t="n">
        <v>0.07099999999999999</v>
      </c>
      <c r="K4471" t="n">
        <v>1.76</v>
      </c>
      <c r="L4471" t="n">
        <v>0.14</v>
      </c>
      <c r="M4471" t="n">
        <v>1.62</v>
      </c>
      <c r="P4471" t="inlineStr">
        <is>
          <t>김나윤</t>
        </is>
      </c>
      <c r="AB4471" t="inlineStr">
        <is>
          <t>홈서비스</t>
        </is>
      </c>
      <c r="AC4471" t="n">
        <v>684640</v>
      </c>
      <c r="AD4471" t="n">
        <v>54460</v>
      </c>
      <c r="AE4471" t="n">
        <v>630180</v>
      </c>
      <c r="AF4471" t="n">
        <v>622400</v>
      </c>
      <c r="AG4471" t="n">
        <v>52662.82</v>
      </c>
      <c r="AH4471" t="n">
        <v>569737.1800000001</v>
      </c>
    </row>
    <row r="4472">
      <c r="A4472" t="inlineStr">
        <is>
          <t>5월</t>
        </is>
      </c>
      <c r="B4472" t="inlineStr">
        <is>
          <t>21주차</t>
        </is>
      </c>
      <c r="C4472" t="inlineStr">
        <is>
          <t>IM</t>
        </is>
      </c>
      <c r="D4472" s="28" t="n">
        <v>46161</v>
      </c>
      <c r="E4472" t="inlineStr">
        <is>
          <t>IM캐피탈</t>
        </is>
      </c>
      <c r="F4472" t="inlineStr">
        <is>
          <t>박채든</t>
        </is>
      </c>
      <c r="G4472" t="inlineStr">
        <is>
          <t>010-7523-6808</t>
        </is>
      </c>
      <c r="H4472" t="inlineStr">
        <is>
          <t>125조6130</t>
        </is>
      </c>
      <c r="I4472" t="n">
        <v>26500000</v>
      </c>
      <c r="J4472" t="n">
        <v>0.067</v>
      </c>
      <c r="K4472" t="n">
        <v>1.1</v>
      </c>
      <c r="L4472" t="n">
        <v>0.4</v>
      </c>
      <c r="M4472" t="n">
        <v>0.7</v>
      </c>
      <c r="P4472" t="inlineStr">
        <is>
          <t>박소현</t>
        </is>
      </c>
      <c r="Q4472" t="inlineStr">
        <is>
          <t>공동명의</t>
        </is>
      </c>
      <c r="AB4472" t="inlineStr">
        <is>
          <t>엔카</t>
        </is>
      </c>
      <c r="AC4472" t="n">
        <v>291500</v>
      </c>
      <c r="AD4472" t="n">
        <v>106000</v>
      </c>
      <c r="AE4472" t="n">
        <v>185500</v>
      </c>
      <c r="AF4472" t="n">
        <v>265000</v>
      </c>
      <c r="AG4472" t="n">
        <v>102502</v>
      </c>
      <c r="AH4472" t="n">
        <v>162498</v>
      </c>
      <c r="AI4472" t="n">
        <v>0</v>
      </c>
    </row>
    <row r="4473">
      <c r="A4473" t="inlineStr">
        <is>
          <t>5월</t>
        </is>
      </c>
      <c r="B4473" t="inlineStr">
        <is>
          <t>21주차</t>
        </is>
      </c>
      <c r="C4473" t="inlineStr">
        <is>
          <t>EP</t>
        </is>
      </c>
      <c r="D4473" s="28" t="n">
        <v>46162</v>
      </c>
      <c r="E4473" t="inlineStr">
        <is>
          <t>현대EP_fast</t>
        </is>
      </c>
      <c r="F4473" t="inlineStr">
        <is>
          <t>이기남</t>
        </is>
      </c>
      <c r="G4473" t="inlineStr">
        <is>
          <t>010-2028-9582</t>
        </is>
      </c>
      <c r="H4473" t="inlineStr">
        <is>
          <t>07버5452</t>
        </is>
      </c>
      <c r="I4473" t="n">
        <v>30000000</v>
      </c>
      <c r="J4473" t="n">
        <v>0.06900000000000001</v>
      </c>
      <c r="K4473" t="n">
        <v>1.76</v>
      </c>
      <c r="L4473" t="n">
        <v>0.14</v>
      </c>
      <c r="M4473" t="n">
        <v>1.62</v>
      </c>
      <c r="P4473" t="inlineStr">
        <is>
          <t>정세빈</t>
        </is>
      </c>
      <c r="Q4473" t="inlineStr">
        <is>
          <t>홈서비스 60개월</t>
        </is>
      </c>
      <c r="AB4473" t="inlineStr">
        <is>
          <t>홈서비스</t>
        </is>
      </c>
      <c r="AC4473" t="n">
        <v>528000</v>
      </c>
      <c r="AD4473" t="n">
        <v>42000</v>
      </c>
      <c r="AE4473" t="n">
        <v>486000</v>
      </c>
      <c r="AF4473" t="n">
        <v>480000</v>
      </c>
      <c r="AG4473" t="n">
        <v>40614</v>
      </c>
      <c r="AH4473" t="n">
        <v>439386</v>
      </c>
      <c r="AI4473" t="n">
        <v>0</v>
      </c>
    </row>
    <row r="4474">
      <c r="A4474" t="inlineStr">
        <is>
          <t>5월</t>
        </is>
      </c>
      <c r="B4474" t="inlineStr">
        <is>
          <t>21주차</t>
        </is>
      </c>
      <c r="C4474" t="inlineStr">
        <is>
          <t>EP</t>
        </is>
      </c>
      <c r="D4474" s="28" t="n">
        <v>46163</v>
      </c>
      <c r="E4474" t="inlineStr">
        <is>
          <t>현대EP_fast</t>
        </is>
      </c>
      <c r="F4474" t="inlineStr">
        <is>
          <t>최장석</t>
        </is>
      </c>
      <c r="G4474" t="inlineStr">
        <is>
          <t>010-4412-0035</t>
        </is>
      </c>
      <c r="H4474" t="inlineStr">
        <is>
          <t>156나7609</t>
        </is>
      </c>
      <c r="I4474" t="n">
        <v>21100000</v>
      </c>
      <c r="J4474" t="n">
        <v>0.089</v>
      </c>
      <c r="K4474" t="n">
        <v>1.76</v>
      </c>
      <c r="L4474" t="n">
        <v>0.14</v>
      </c>
      <c r="M4474" t="n">
        <v>1.62</v>
      </c>
      <c r="P4474" t="inlineStr">
        <is>
          <t>김수연</t>
        </is>
      </c>
      <c r="Q4474" t="inlineStr">
        <is>
          <t>홈서비스 36개월</t>
        </is>
      </c>
      <c r="AB4474" t="inlineStr">
        <is>
          <t>홈서비스</t>
        </is>
      </c>
      <c r="AC4474" t="n">
        <v>371360</v>
      </c>
      <c r="AD4474" t="n">
        <v>29540</v>
      </c>
      <c r="AE4474" t="n">
        <v>341820</v>
      </c>
      <c r="AF4474" t="n">
        <v>337600</v>
      </c>
      <c r="AG4474" t="n">
        <v>28565.18</v>
      </c>
      <c r="AH4474" t="n">
        <v>309034.82</v>
      </c>
    </row>
    <row r="4475">
      <c r="A4475" t="inlineStr">
        <is>
          <t>5월</t>
        </is>
      </c>
      <c r="B4475" t="inlineStr">
        <is>
          <t>21주차</t>
        </is>
      </c>
      <c r="C4475" t="inlineStr">
        <is>
          <t>IM</t>
        </is>
      </c>
      <c r="D4475" s="28" t="n">
        <v>46162</v>
      </c>
      <c r="E4475" t="inlineStr">
        <is>
          <t>IM캐피탈</t>
        </is>
      </c>
      <c r="F4475" t="inlineStr">
        <is>
          <t>정민규</t>
        </is>
      </c>
      <c r="G4475" t="inlineStr">
        <is>
          <t>010-4787-3370</t>
        </is>
      </c>
      <c r="H4475" t="inlineStr">
        <is>
          <t>349모2224</t>
        </is>
      </c>
      <c r="I4475" t="n">
        <v>32700000</v>
      </c>
      <c r="J4475" t="n">
        <v>0.059</v>
      </c>
      <c r="K4475" t="n">
        <v>1.1</v>
      </c>
      <c r="L4475" t="n">
        <v>0.14</v>
      </c>
      <c r="M4475" t="n">
        <v>0.96</v>
      </c>
      <c r="P4475" t="inlineStr">
        <is>
          <t>박소현</t>
        </is>
      </c>
      <c r="Q4475" t="inlineStr">
        <is>
          <t>선상담 / 홈서비스 36개월</t>
        </is>
      </c>
      <c r="AB4475" t="inlineStr">
        <is>
          <t>홈서비스</t>
        </is>
      </c>
      <c r="AC4475" t="n">
        <v>359700</v>
      </c>
      <c r="AD4475" t="n">
        <v>45780</v>
      </c>
      <c r="AE4475" t="n">
        <v>313920</v>
      </c>
      <c r="AF4475" t="n">
        <v>327000</v>
      </c>
      <c r="AG4475" t="n">
        <v>44269.26</v>
      </c>
      <c r="AH4475" t="n">
        <v>282730.74</v>
      </c>
      <c r="AI4475" t="n">
        <v>0</v>
      </c>
    </row>
    <row r="4476">
      <c r="A4476" t="inlineStr">
        <is>
          <t>5월</t>
        </is>
      </c>
      <c r="B4476" t="inlineStr">
        <is>
          <t>21주차</t>
        </is>
      </c>
      <c r="C4476" t="inlineStr">
        <is>
          <t>EP</t>
        </is>
      </c>
      <c r="D4476" s="28" t="n">
        <v>46163</v>
      </c>
      <c r="E4476" t="inlineStr">
        <is>
          <t>현대EP_fast</t>
        </is>
      </c>
      <c r="F4476" t="inlineStr">
        <is>
          <t>이보미</t>
        </is>
      </c>
      <c r="G4476" t="inlineStr">
        <is>
          <t>010-9800-4839</t>
        </is>
      </c>
      <c r="H4476" t="inlineStr">
        <is>
          <t>100로8569</t>
        </is>
      </c>
      <c r="I4476" t="n">
        <v>22500000</v>
      </c>
      <c r="J4476" t="n">
        <v>0.08500000000000001</v>
      </c>
      <c r="K4476" t="n">
        <v>1.76</v>
      </c>
      <c r="L4476" t="n">
        <v>0.14</v>
      </c>
      <c r="M4476" t="n">
        <v>1.62</v>
      </c>
      <c r="P4476" t="inlineStr">
        <is>
          <t>황채이</t>
        </is>
      </c>
      <c r="Q4476" t="inlineStr">
        <is>
          <t>홈서비스 60개월</t>
        </is>
      </c>
      <c r="AB4476" t="inlineStr">
        <is>
          <t>홈서비스</t>
        </is>
      </c>
      <c r="AC4476" t="n">
        <v>396000</v>
      </c>
      <c r="AD4476" t="n">
        <v>31500</v>
      </c>
      <c r="AE4476" t="n">
        <v>364500</v>
      </c>
      <c r="AF4476" t="n">
        <v>360000</v>
      </c>
      <c r="AG4476" t="n">
        <v>30460.5</v>
      </c>
      <c r="AH4476" t="n">
        <v>329539.5</v>
      </c>
    </row>
    <row r="4477">
      <c r="A4477" t="inlineStr">
        <is>
          <t>5월</t>
        </is>
      </c>
      <c r="B4477" t="inlineStr">
        <is>
          <t>21주차</t>
        </is>
      </c>
      <c r="C4477" t="inlineStr">
        <is>
          <t>EP</t>
        </is>
      </c>
      <c r="D4477" s="28" t="n">
        <v>46163</v>
      </c>
      <c r="E4477" t="inlineStr">
        <is>
          <t>BNKEP</t>
        </is>
      </c>
      <c r="F4477" t="inlineStr">
        <is>
          <t>정민준</t>
        </is>
      </c>
      <c r="G4477" t="inlineStr">
        <is>
          <t>010-3600-2402</t>
        </is>
      </c>
      <c r="H4477" t="inlineStr">
        <is>
          <t>386더8469</t>
        </is>
      </c>
      <c r="I4477" t="n">
        <v>8700000</v>
      </c>
      <c r="J4477" t="n">
        <v>0.063</v>
      </c>
      <c r="K4477" t="n">
        <v>1.65</v>
      </c>
      <c r="L4477" t="n">
        <v>0.14</v>
      </c>
      <c r="M4477" t="n">
        <v>1.51</v>
      </c>
      <c r="P4477" t="inlineStr">
        <is>
          <t>황채이</t>
        </is>
      </c>
      <c r="Q4477" t="inlineStr">
        <is>
          <t>홈서비스 60개월 / 공동명의</t>
        </is>
      </c>
      <c r="AB4477" t="inlineStr">
        <is>
          <t>홈서비스</t>
        </is>
      </c>
      <c r="AC4477" t="n">
        <v>143550</v>
      </c>
      <c r="AD4477" t="n">
        <v>12180</v>
      </c>
      <c r="AE4477" t="n">
        <v>131370</v>
      </c>
      <c r="AF4477" t="n">
        <v>130500</v>
      </c>
      <c r="AG4477" t="n">
        <v>11778.06</v>
      </c>
      <c r="AH4477" t="n">
        <v>118721.94</v>
      </c>
    </row>
    <row r="4478">
      <c r="A4478" t="inlineStr">
        <is>
          <t>5월</t>
        </is>
      </c>
      <c r="B4478" t="inlineStr">
        <is>
          <t>21주차</t>
        </is>
      </c>
      <c r="C4478" t="inlineStr">
        <is>
          <t>EP</t>
        </is>
      </c>
      <c r="D4478" s="28" t="n">
        <v>46163</v>
      </c>
      <c r="E4478" t="inlineStr">
        <is>
          <t>현대EP_fast</t>
        </is>
      </c>
      <c r="F4478" t="inlineStr">
        <is>
          <t>김원혁</t>
        </is>
      </c>
      <c r="G4478" t="inlineStr">
        <is>
          <t>010-3910-5343</t>
        </is>
      </c>
      <c r="H4478" t="inlineStr">
        <is>
          <t>259로1317</t>
        </is>
      </c>
      <c r="I4478" t="n">
        <v>21600000</v>
      </c>
      <c r="J4478" t="n">
        <v>0.118</v>
      </c>
      <c r="K4478" t="n">
        <v>1.76</v>
      </c>
      <c r="L4478" t="n">
        <v>0.14</v>
      </c>
      <c r="M4478" t="n">
        <v>1.62</v>
      </c>
      <c r="P4478" t="inlineStr">
        <is>
          <t>정세빈</t>
        </is>
      </c>
      <c r="Q4478" t="inlineStr">
        <is>
          <t>홈서비스 60개월</t>
        </is>
      </c>
      <c r="AB4478" t="inlineStr">
        <is>
          <t>홈서비스</t>
        </is>
      </c>
      <c r="AC4478" t="n">
        <v>380160</v>
      </c>
      <c r="AD4478" t="n">
        <v>30240</v>
      </c>
      <c r="AE4478" t="n">
        <v>349920</v>
      </c>
      <c r="AF4478" t="n">
        <v>345600</v>
      </c>
      <c r="AG4478" t="n">
        <v>29242.08</v>
      </c>
      <c r="AH4478" t="n">
        <v>316357.92</v>
      </c>
      <c r="AI4478" t="n">
        <v>0</v>
      </c>
    </row>
    <row r="4479">
      <c r="A4479" t="inlineStr">
        <is>
          <t>5월</t>
        </is>
      </c>
      <c r="B4479" t="inlineStr">
        <is>
          <t>21주차</t>
        </is>
      </c>
      <c r="C4479" t="inlineStr">
        <is>
          <t>IM</t>
        </is>
      </c>
      <c r="D4479" s="28" t="n">
        <v>46163</v>
      </c>
      <c r="E4479" t="inlineStr">
        <is>
          <t>IM캐피탈</t>
        </is>
      </c>
      <c r="F4479" t="inlineStr">
        <is>
          <t>이재환</t>
        </is>
      </c>
      <c r="G4479" t="inlineStr">
        <is>
          <t>010-8398-3167</t>
        </is>
      </c>
      <c r="H4479" t="inlineStr">
        <is>
          <t>68조2693</t>
        </is>
      </c>
      <c r="I4479" t="n">
        <v>18500000</v>
      </c>
      <c r="J4479" t="n">
        <v>0.076</v>
      </c>
      <c r="K4479" t="n">
        <v>1.1</v>
      </c>
      <c r="L4479" t="n">
        <v>0.14</v>
      </c>
      <c r="M4479" t="n">
        <v>0.96</v>
      </c>
      <c r="P4479" t="inlineStr">
        <is>
          <t>황채이</t>
        </is>
      </c>
      <c r="Q4479" t="inlineStr">
        <is>
          <t>홈서비스 48개월 / 부대비용 추가진행</t>
        </is>
      </c>
      <c r="AB4479" t="inlineStr">
        <is>
          <t>홈서비스</t>
        </is>
      </c>
      <c r="AC4479" t="n">
        <v>203500</v>
      </c>
      <c r="AD4479" t="n">
        <v>25900</v>
      </c>
      <c r="AE4479" t="n">
        <v>177600</v>
      </c>
      <c r="AF4479" t="n">
        <v>185000</v>
      </c>
      <c r="AG4479" t="n">
        <v>25045.3</v>
      </c>
      <c r="AH4479" t="n">
        <v>159954.7</v>
      </c>
      <c r="AI4479" t="n">
        <v>0</v>
      </c>
    </row>
    <row r="4480">
      <c r="A4480" t="inlineStr">
        <is>
          <t>5월</t>
        </is>
      </c>
      <c r="B4480" t="inlineStr">
        <is>
          <t>21주차</t>
        </is>
      </c>
      <c r="C4480" t="inlineStr">
        <is>
          <t>EP</t>
        </is>
      </c>
      <c r="D4480" s="28" t="n">
        <v>46163</v>
      </c>
      <c r="E4480" t="inlineStr">
        <is>
          <t>현대EP_fast</t>
        </is>
      </c>
      <c r="F4480" t="inlineStr">
        <is>
          <t>정양호</t>
        </is>
      </c>
      <c r="G4480" t="inlineStr">
        <is>
          <t>010-2015-5558</t>
        </is>
      </c>
      <c r="H4480" t="inlineStr">
        <is>
          <t>42마5712</t>
        </is>
      </c>
      <c r="I4480" t="n">
        <v>30900000</v>
      </c>
      <c r="J4480" t="n">
        <v>0.089</v>
      </c>
      <c r="K4480" t="n">
        <v>1.76</v>
      </c>
      <c r="L4480" t="n">
        <v>0.14</v>
      </c>
      <c r="M4480" t="n">
        <v>1.62</v>
      </c>
      <c r="P4480" t="inlineStr">
        <is>
          <t>김나윤</t>
        </is>
      </c>
      <c r="Q4480" t="inlineStr">
        <is>
          <t>홈서비스 60개월</t>
        </is>
      </c>
      <c r="AB4480" t="inlineStr">
        <is>
          <t>홈서비스</t>
        </is>
      </c>
      <c r="AC4480" t="n">
        <v>543840</v>
      </c>
      <c r="AD4480" t="n">
        <v>43260</v>
      </c>
      <c r="AE4480" t="n">
        <v>500580</v>
      </c>
      <c r="AF4480" t="n">
        <v>494400</v>
      </c>
      <c r="AG4480" t="n">
        <v>41832.42</v>
      </c>
      <c r="AH4480" t="n">
        <v>452567.58</v>
      </c>
      <c r="AI4480" t="n">
        <v>0</v>
      </c>
    </row>
    <row r="4481">
      <c r="A4481" t="inlineStr">
        <is>
          <t>5월</t>
        </is>
      </c>
      <c r="B4481" t="inlineStr">
        <is>
          <t>21주차</t>
        </is>
      </c>
      <c r="C4481" t="inlineStr">
        <is>
          <t>IM</t>
        </is>
      </c>
      <c r="D4481" s="28" t="n">
        <v>46163</v>
      </c>
      <c r="E4481" t="inlineStr">
        <is>
          <t>IM캐피탈</t>
        </is>
      </c>
      <c r="F4481" t="inlineStr">
        <is>
          <t>오진택</t>
        </is>
      </c>
      <c r="G4481" t="inlineStr">
        <is>
          <t>010-6755-0585</t>
        </is>
      </c>
      <c r="H4481" t="inlineStr">
        <is>
          <t>155소8826</t>
        </is>
      </c>
      <c r="I4481" t="n">
        <v>36200000</v>
      </c>
      <c r="J4481" t="n">
        <v>0.049</v>
      </c>
      <c r="K4481" t="n">
        <v>1.1</v>
      </c>
      <c r="L4481" t="n">
        <v>0.14</v>
      </c>
      <c r="M4481" t="n">
        <v>0.96</v>
      </c>
      <c r="P4481" t="inlineStr">
        <is>
          <t>정세빈</t>
        </is>
      </c>
      <c r="Q4481" t="inlineStr">
        <is>
          <t>홈서비스 60개월</t>
        </is>
      </c>
      <c r="AB4481" t="inlineStr">
        <is>
          <t>홈서비스</t>
        </is>
      </c>
      <c r="AC4481" t="n">
        <v>398200</v>
      </c>
      <c r="AD4481" t="n">
        <v>50680</v>
      </c>
      <c r="AE4481" t="n">
        <v>347520</v>
      </c>
      <c r="AF4481" t="n">
        <v>362000</v>
      </c>
      <c r="AG4481" t="n">
        <v>49007.56</v>
      </c>
      <c r="AH4481" t="n">
        <v>312992.44</v>
      </c>
    </row>
    <row r="4482">
      <c r="A4482" t="inlineStr">
        <is>
          <t>5월</t>
        </is>
      </c>
      <c r="B4482" t="inlineStr">
        <is>
          <t>21주차</t>
        </is>
      </c>
      <c r="C4482" t="inlineStr">
        <is>
          <t>EP</t>
        </is>
      </c>
      <c r="D4482" s="28" t="n">
        <v>46163</v>
      </c>
      <c r="E4482" t="inlineStr">
        <is>
          <t>현대EP_fast</t>
        </is>
      </c>
      <c r="F4482" t="inlineStr">
        <is>
          <t>최윤석</t>
        </is>
      </c>
      <c r="G4482" t="inlineStr">
        <is>
          <t>010-6350-2662</t>
        </is>
      </c>
      <c r="H4482" t="inlineStr">
        <is>
          <t>58루0503</t>
        </is>
      </c>
      <c r="I4482" t="n">
        <v>4900000</v>
      </c>
      <c r="J4482" t="n">
        <v>0.118</v>
      </c>
      <c r="K4482" t="n">
        <v>1.76</v>
      </c>
      <c r="L4482" t="n">
        <v>0.14</v>
      </c>
      <c r="M4482" t="n">
        <v>1.62</v>
      </c>
      <c r="P4482" t="inlineStr">
        <is>
          <t>김나윤</t>
        </is>
      </c>
      <c r="Q4482" t="inlineStr">
        <is>
          <t>홈서비스 48개월</t>
        </is>
      </c>
      <c r="AB4482" t="inlineStr">
        <is>
          <t>홈서비스</t>
        </is>
      </c>
      <c r="AC4482" t="n">
        <v>86240</v>
      </c>
      <c r="AD4482" t="n">
        <v>6860</v>
      </c>
      <c r="AE4482" t="n">
        <v>79380</v>
      </c>
      <c r="AF4482" t="n">
        <v>78400</v>
      </c>
      <c r="AG4482" t="n">
        <v>6633.62</v>
      </c>
      <c r="AH4482" t="n">
        <v>71766.38</v>
      </c>
      <c r="AI4482" t="n">
        <v>0</v>
      </c>
    </row>
    <row r="4483">
      <c r="A4483" t="inlineStr">
        <is>
          <t>5월</t>
        </is>
      </c>
      <c r="B4483" t="inlineStr">
        <is>
          <t>21주차</t>
        </is>
      </c>
      <c r="C4483" t="inlineStr">
        <is>
          <t>IM</t>
        </is>
      </c>
      <c r="D4483" s="28" t="n">
        <v>46163</v>
      </c>
      <c r="E4483" t="inlineStr">
        <is>
          <t>IM캐피탈</t>
        </is>
      </c>
      <c r="F4483" t="inlineStr">
        <is>
          <t>이명수</t>
        </is>
      </c>
      <c r="G4483" t="inlineStr">
        <is>
          <t>010-9912-5739</t>
        </is>
      </c>
      <c r="H4483" t="inlineStr">
        <is>
          <t>277무7847</t>
        </is>
      </c>
      <c r="I4483" t="n">
        <v>54300000</v>
      </c>
      <c r="J4483" t="n">
        <v>0.049</v>
      </c>
      <c r="K4483" t="n">
        <v>1.1</v>
      </c>
      <c r="L4483" t="n">
        <v>0.14</v>
      </c>
      <c r="M4483" t="n">
        <v>0.96</v>
      </c>
      <c r="P4483" t="inlineStr">
        <is>
          <t>김나윤</t>
        </is>
      </c>
      <c r="Q4483" t="inlineStr">
        <is>
          <t>홈서비스 60개월</t>
        </is>
      </c>
      <c r="AB4483" t="inlineStr">
        <is>
          <t>홈서비스</t>
        </is>
      </c>
      <c r="AC4483" t="n">
        <v>597300</v>
      </c>
      <c r="AD4483" t="n">
        <v>76020</v>
      </c>
      <c r="AE4483" t="n">
        <v>521280</v>
      </c>
      <c r="AF4483" t="n">
        <v>543000</v>
      </c>
      <c r="AG4483" t="n">
        <v>73511.34</v>
      </c>
      <c r="AH4483" t="n">
        <v>469488.66</v>
      </c>
      <c r="AI4483" t="n">
        <v>0</v>
      </c>
    </row>
    <row r="4484">
      <c r="A4484" t="inlineStr">
        <is>
          <t>5월</t>
        </is>
      </c>
      <c r="B4484" t="inlineStr">
        <is>
          <t>21주차</t>
        </is>
      </c>
      <c r="C4484" t="inlineStr">
        <is>
          <t>IM</t>
        </is>
      </c>
      <c r="D4484" s="28" t="n">
        <v>46163</v>
      </c>
      <c r="E4484" t="inlineStr">
        <is>
          <t>IM캐피탈</t>
        </is>
      </c>
      <c r="F4484" t="inlineStr">
        <is>
          <t>이상원</t>
        </is>
      </c>
      <c r="G4484" t="inlineStr">
        <is>
          <t>010-6229-4202</t>
        </is>
      </c>
      <c r="H4484" t="inlineStr">
        <is>
          <t>183누3548</t>
        </is>
      </c>
      <c r="I4484" t="n">
        <v>43700000</v>
      </c>
      <c r="J4484" t="n">
        <v>0.049</v>
      </c>
      <c r="K4484" t="n">
        <v>1.1</v>
      </c>
      <c r="L4484" t="n">
        <v>0.14</v>
      </c>
      <c r="M4484" t="n">
        <v>0.96</v>
      </c>
      <c r="P4484" t="inlineStr">
        <is>
          <t>김나윤</t>
        </is>
      </c>
      <c r="Q4484" t="inlineStr">
        <is>
          <t>홈서비스 36개월 / 부대비용 추가진행</t>
        </is>
      </c>
      <c r="AB4484" t="inlineStr">
        <is>
          <t>홈서비스</t>
        </is>
      </c>
      <c r="AC4484" t="n">
        <v>480700</v>
      </c>
      <c r="AD4484" t="n">
        <v>61180</v>
      </c>
      <c r="AE4484" t="n">
        <v>419520</v>
      </c>
      <c r="AF4484" t="n">
        <v>437000</v>
      </c>
      <c r="AG4484" t="n">
        <v>59161.06</v>
      </c>
      <c r="AH4484" t="n">
        <v>377838.94</v>
      </c>
      <c r="AI4484" t="n">
        <v>0</v>
      </c>
    </row>
    <row r="4485">
      <c r="A4485" t="inlineStr">
        <is>
          <t>5월</t>
        </is>
      </c>
      <c r="B4485" t="inlineStr">
        <is>
          <t>21주차</t>
        </is>
      </c>
      <c r="C4485" t="inlineStr">
        <is>
          <t>IM</t>
        </is>
      </c>
      <c r="D4485" s="28" t="n">
        <v>46163</v>
      </c>
      <c r="E4485" t="inlineStr">
        <is>
          <t>IM캐피탈</t>
        </is>
      </c>
      <c r="F4485" t="inlineStr">
        <is>
          <t>김상두</t>
        </is>
      </c>
      <c r="G4485" t="inlineStr">
        <is>
          <t>010-6623-6894</t>
        </is>
      </c>
      <c r="H4485" t="inlineStr">
        <is>
          <t>36더4299</t>
        </is>
      </c>
      <c r="I4485" t="n">
        <v>24700000</v>
      </c>
      <c r="J4485" t="n">
        <v>0.08400000000000001</v>
      </c>
      <c r="K4485" t="n">
        <v>1.1</v>
      </c>
      <c r="L4485" t="n">
        <v>0.14</v>
      </c>
      <c r="M4485" t="n">
        <v>0.96</v>
      </c>
      <c r="P4485" t="inlineStr">
        <is>
          <t>황채이</t>
        </is>
      </c>
      <c r="Q4485" t="inlineStr">
        <is>
          <t>홈서비스 72개월</t>
        </is>
      </c>
      <c r="AB4485" t="inlineStr">
        <is>
          <t>홈서비스</t>
        </is>
      </c>
      <c r="AC4485" t="n">
        <v>271700</v>
      </c>
      <c r="AD4485" t="n">
        <v>34580</v>
      </c>
      <c r="AE4485" t="n">
        <v>237120</v>
      </c>
      <c r="AF4485" t="n">
        <v>247000</v>
      </c>
      <c r="AG4485" t="n">
        <v>33438.86</v>
      </c>
      <c r="AH4485" t="n">
        <v>213561.14</v>
      </c>
    </row>
    <row r="4486">
      <c r="A4486" t="inlineStr">
        <is>
          <t>5월</t>
        </is>
      </c>
      <c r="B4486" t="inlineStr">
        <is>
          <t>21주차</t>
        </is>
      </c>
      <c r="C4486" t="inlineStr">
        <is>
          <t>IM</t>
        </is>
      </c>
      <c r="D4486" s="28" t="n">
        <v>46163</v>
      </c>
      <c r="E4486" t="inlineStr">
        <is>
          <t>IM캐피탈</t>
        </is>
      </c>
      <c r="F4486" t="inlineStr">
        <is>
          <t>유대성</t>
        </is>
      </c>
      <c r="G4486" t="inlineStr">
        <is>
          <t>010-4389-3637</t>
        </is>
      </c>
      <c r="H4486" t="inlineStr">
        <is>
          <t>107소2515</t>
        </is>
      </c>
      <c r="I4486" t="n">
        <v>12600000</v>
      </c>
      <c r="J4486" t="n">
        <v>0.049</v>
      </c>
      <c r="K4486" t="n">
        <v>1.1</v>
      </c>
      <c r="L4486" t="n">
        <v>0.14</v>
      </c>
      <c r="M4486" t="n">
        <v>0.96</v>
      </c>
      <c r="P4486" t="inlineStr">
        <is>
          <t>정세빈</t>
        </is>
      </c>
      <c r="Q4486" t="inlineStr">
        <is>
          <t>홈서비스 24개월</t>
        </is>
      </c>
      <c r="AB4486" t="inlineStr">
        <is>
          <t>홈서비스</t>
        </is>
      </c>
      <c r="AC4486" t="n">
        <v>138600</v>
      </c>
      <c r="AD4486" t="n">
        <v>17640</v>
      </c>
      <c r="AE4486" t="n">
        <v>120960</v>
      </c>
      <c r="AF4486" t="n">
        <v>126000</v>
      </c>
      <c r="AG4486" t="n">
        <v>17057.88</v>
      </c>
      <c r="AH4486" t="n">
        <v>108942.12</v>
      </c>
      <c r="AI4486" t="n">
        <v>0</v>
      </c>
    </row>
    <row r="4487">
      <c r="A4487" t="inlineStr">
        <is>
          <t>5월</t>
        </is>
      </c>
      <c r="B4487" t="inlineStr">
        <is>
          <t>21주차</t>
        </is>
      </c>
      <c r="C4487" t="inlineStr">
        <is>
          <t>IM</t>
        </is>
      </c>
      <c r="D4487" s="28" t="n">
        <v>46160</v>
      </c>
      <c r="E4487" t="inlineStr">
        <is>
          <t>IM캐피탈</t>
        </is>
      </c>
      <c r="F4487" t="inlineStr">
        <is>
          <t>임병동</t>
        </is>
      </c>
      <c r="G4487" t="inlineStr">
        <is>
          <t>010-3271-6719</t>
        </is>
      </c>
      <c r="H4487" t="inlineStr">
        <is>
          <t>258누8550</t>
        </is>
      </c>
      <c r="I4487" t="n">
        <v>4500000</v>
      </c>
      <c r="J4487" t="n">
        <v>0.063</v>
      </c>
      <c r="K4487" t="n">
        <v>1.1</v>
      </c>
      <c r="L4487" t="n">
        <v>0.4</v>
      </c>
      <c r="M4487" t="n">
        <v>0.7</v>
      </c>
      <c r="P4487" t="inlineStr">
        <is>
          <t>박현민</t>
        </is>
      </c>
      <c r="AB4487" t="inlineStr">
        <is>
          <t>엔카</t>
        </is>
      </c>
      <c r="AC4487" t="n">
        <v>49500</v>
      </c>
      <c r="AD4487" t="n">
        <v>18000</v>
      </c>
      <c r="AE4487" t="n">
        <v>31500</v>
      </c>
      <c r="AF4487" t="n">
        <v>45000</v>
      </c>
      <c r="AG4487" t="n">
        <v>17406</v>
      </c>
      <c r="AH4487" t="n">
        <v>27594</v>
      </c>
      <c r="AI4487" t="n">
        <v>0</v>
      </c>
    </row>
    <row r="4488">
      <c r="A4488" t="inlineStr">
        <is>
          <t>5월</t>
        </is>
      </c>
      <c r="B4488" t="inlineStr">
        <is>
          <t>21주차</t>
        </is>
      </c>
      <c r="C4488" t="inlineStr">
        <is>
          <t>WR</t>
        </is>
      </c>
      <c r="D4488" s="28" t="n">
        <v>46161</v>
      </c>
      <c r="E4488" t="inlineStr">
        <is>
          <t>우리금융</t>
        </is>
      </c>
      <c r="F4488" t="inlineStr">
        <is>
          <t>박미라</t>
        </is>
      </c>
      <c r="G4488" t="inlineStr">
        <is>
          <t>010-5568-1522</t>
        </is>
      </c>
      <c r="H4488" t="inlineStr">
        <is>
          <t>04저7511</t>
        </is>
      </c>
      <c r="I4488" t="n">
        <v>23900000</v>
      </c>
      <c r="J4488" t="n">
        <v>0.075</v>
      </c>
      <c r="K4488" t="n">
        <v>2.2</v>
      </c>
      <c r="L4488" t="n">
        <v>0.14</v>
      </c>
      <c r="M4488" t="n">
        <v>2.06</v>
      </c>
      <c r="P4488" t="inlineStr">
        <is>
          <t>장진경</t>
        </is>
      </c>
      <c r="Q4488" t="inlineStr">
        <is>
          <t>선상담 / 홈서비스 60개월</t>
        </is>
      </c>
      <c r="AB4488" t="inlineStr">
        <is>
          <t>홈서비스</t>
        </is>
      </c>
      <c r="AC4488" t="n">
        <v>525800</v>
      </c>
      <c r="AD4488" t="n">
        <v>33460</v>
      </c>
      <c r="AE4488" t="n">
        <v>492340</v>
      </c>
      <c r="AF4488" t="n">
        <v>478000</v>
      </c>
      <c r="AG4488" t="n">
        <v>32355.82</v>
      </c>
      <c r="AH4488" t="n">
        <v>445644.18</v>
      </c>
      <c r="AI4488" t="n">
        <v>0</v>
      </c>
    </row>
    <row r="4489">
      <c r="A4489" t="inlineStr">
        <is>
          <t>5월</t>
        </is>
      </c>
      <c r="B4489" t="inlineStr">
        <is>
          <t>21주차</t>
        </is>
      </c>
      <c r="C4489" t="inlineStr">
        <is>
          <t>IM</t>
        </is>
      </c>
      <c r="D4489" s="28" t="n">
        <v>46162</v>
      </c>
      <c r="E4489" t="inlineStr">
        <is>
          <t>IM캐피탈</t>
        </is>
      </c>
      <c r="F4489" t="inlineStr">
        <is>
          <t>오정은</t>
        </is>
      </c>
      <c r="G4489" t="inlineStr">
        <is>
          <t>010-2666-5699</t>
        </is>
      </c>
      <c r="H4489" t="inlineStr">
        <is>
          <t>155다8229</t>
        </is>
      </c>
      <c r="I4489" t="n">
        <v>25500000</v>
      </c>
      <c r="J4489" t="n">
        <v>0.079</v>
      </c>
      <c r="K4489" t="n">
        <v>1.1</v>
      </c>
      <c r="L4489" t="n">
        <v>0.14</v>
      </c>
      <c r="M4489" t="n">
        <v>0.96</v>
      </c>
      <c r="P4489" t="inlineStr">
        <is>
          <t>장진경</t>
        </is>
      </c>
      <c r="Q4489" t="inlineStr">
        <is>
          <t>섬상담 / 홈서비스 72개월 / 부대비용 추가진행</t>
        </is>
      </c>
      <c r="AB4489" t="inlineStr">
        <is>
          <t>홈서비스</t>
        </is>
      </c>
      <c r="AC4489" t="n">
        <v>280500</v>
      </c>
      <c r="AD4489" t="n">
        <v>35700</v>
      </c>
      <c r="AE4489" t="n">
        <v>244800</v>
      </c>
      <c r="AF4489" t="n">
        <v>255000</v>
      </c>
      <c r="AG4489" t="n">
        <v>34521.9</v>
      </c>
      <c r="AH4489" t="n">
        <v>220478.1</v>
      </c>
      <c r="AI4489" t="n">
        <v>0</v>
      </c>
    </row>
    <row r="4490">
      <c r="A4490" t="inlineStr">
        <is>
          <t>5월</t>
        </is>
      </c>
      <c r="B4490" t="inlineStr">
        <is>
          <t>21주차</t>
        </is>
      </c>
      <c r="C4490" t="inlineStr">
        <is>
          <t>EP</t>
        </is>
      </c>
      <c r="D4490" s="28" t="n">
        <v>46163</v>
      </c>
      <c r="E4490" t="inlineStr">
        <is>
          <t>현대EP_fast</t>
        </is>
      </c>
      <c r="F4490" t="inlineStr">
        <is>
          <t>이창헌</t>
        </is>
      </c>
      <c r="G4490" t="inlineStr">
        <is>
          <t>010-3479-0097</t>
        </is>
      </c>
      <c r="H4490" t="inlineStr">
        <is>
          <t>191누7703</t>
        </is>
      </c>
      <c r="I4490" t="n">
        <v>9000000</v>
      </c>
      <c r="J4490" t="n">
        <v>0.06900000000000001</v>
      </c>
      <c r="K4490" t="n">
        <v>1.76</v>
      </c>
      <c r="L4490" t="n">
        <v>0.14</v>
      </c>
      <c r="M4490" t="n">
        <v>1.62</v>
      </c>
      <c r="P4490" t="inlineStr">
        <is>
          <t>김나윤</t>
        </is>
      </c>
      <c r="Q4490" t="inlineStr">
        <is>
          <t>홈서비스 60개월</t>
        </is>
      </c>
      <c r="AB4490" t="inlineStr">
        <is>
          <t>홈서비스</t>
        </is>
      </c>
      <c r="AC4490" t="n">
        <v>158400</v>
      </c>
      <c r="AD4490" t="n">
        <v>12600</v>
      </c>
      <c r="AE4490" t="n">
        <v>145800</v>
      </c>
      <c r="AF4490" t="n">
        <v>144000</v>
      </c>
      <c r="AG4490" t="n">
        <v>12184.2</v>
      </c>
      <c r="AH4490" t="n">
        <v>131815.8</v>
      </c>
      <c r="AI4490" t="n">
        <v>0</v>
      </c>
    </row>
    <row r="4491">
      <c r="A4491" t="inlineStr">
        <is>
          <t>5월</t>
        </is>
      </c>
      <c r="B4491" t="inlineStr">
        <is>
          <t>21주차</t>
        </is>
      </c>
      <c r="C4491" t="inlineStr">
        <is>
          <t>EP</t>
        </is>
      </c>
      <c r="D4491" s="28" t="n">
        <v>46163</v>
      </c>
      <c r="E4491" t="inlineStr">
        <is>
          <t>현대EP_fast</t>
        </is>
      </c>
      <c r="F4491" t="inlineStr">
        <is>
          <t>최석원</t>
        </is>
      </c>
      <c r="G4491" t="inlineStr">
        <is>
          <t>010-8909-5889</t>
        </is>
      </c>
      <c r="H4491" t="inlineStr">
        <is>
          <t>124고9793</t>
        </is>
      </c>
      <c r="I4491" t="n">
        <v>39000000</v>
      </c>
      <c r="J4491" t="n">
        <v>0.08799999999999999</v>
      </c>
      <c r="K4491" t="n">
        <v>1.76</v>
      </c>
      <c r="L4491" t="n">
        <v>0.14</v>
      </c>
      <c r="M4491" t="n">
        <v>1.62</v>
      </c>
      <c r="P4491" t="inlineStr">
        <is>
          <t>김나윤</t>
        </is>
      </c>
      <c r="Q4491" t="inlineStr">
        <is>
          <t>홈서비스 60개월</t>
        </is>
      </c>
      <c r="AB4491" t="inlineStr">
        <is>
          <t>홈서비스</t>
        </is>
      </c>
      <c r="AC4491" t="n">
        <v>686400</v>
      </c>
      <c r="AD4491" t="n">
        <v>54600</v>
      </c>
      <c r="AE4491" t="n">
        <v>631800</v>
      </c>
      <c r="AF4491" t="n">
        <v>624000</v>
      </c>
      <c r="AG4491" t="n">
        <v>52798.2</v>
      </c>
      <c r="AH4491" t="n">
        <v>571201.8</v>
      </c>
      <c r="AI4491" t="n">
        <v>0</v>
      </c>
    </row>
    <row r="4492">
      <c r="A4492" t="inlineStr">
        <is>
          <t>5월</t>
        </is>
      </c>
      <c r="B4492" t="inlineStr">
        <is>
          <t>21주차</t>
        </is>
      </c>
      <c r="C4492" t="inlineStr">
        <is>
          <t>EP</t>
        </is>
      </c>
      <c r="D4492" s="28" t="n">
        <v>46163</v>
      </c>
      <c r="E4492" t="inlineStr">
        <is>
          <t>현대EP_fast</t>
        </is>
      </c>
      <c r="F4492" t="inlineStr">
        <is>
          <t>이준희</t>
        </is>
      </c>
      <c r="G4492" t="inlineStr">
        <is>
          <t>010-9067-6655</t>
        </is>
      </c>
      <c r="H4492" t="inlineStr">
        <is>
          <t>01저7053</t>
        </is>
      </c>
      <c r="I4492" t="n">
        <v>47900000</v>
      </c>
      <c r="J4492" t="n">
        <v>0.118</v>
      </c>
      <c r="K4492" t="n">
        <v>1.76</v>
      </c>
      <c r="L4492" t="n">
        <v>0.14</v>
      </c>
      <c r="M4492" t="n">
        <v>1.62</v>
      </c>
      <c r="P4492" t="inlineStr">
        <is>
          <t>김수연</t>
        </is>
      </c>
      <c r="Q4492" t="inlineStr">
        <is>
          <t>홈서비스 36개월</t>
        </is>
      </c>
      <c r="AB4492" t="inlineStr">
        <is>
          <t>홈서비스</t>
        </is>
      </c>
      <c r="AC4492" t="n">
        <v>843040</v>
      </c>
      <c r="AD4492" t="n">
        <v>67060</v>
      </c>
      <c r="AE4492" t="n">
        <v>775980</v>
      </c>
      <c r="AF4492" t="n">
        <v>766400</v>
      </c>
      <c r="AG4492" t="n">
        <v>64847.02</v>
      </c>
      <c r="AH4492" t="n">
        <v>701552.98</v>
      </c>
      <c r="AI4492" t="n">
        <v>0</v>
      </c>
    </row>
    <row r="4493">
      <c r="A4493" t="inlineStr">
        <is>
          <t>5월</t>
        </is>
      </c>
      <c r="B4493" t="inlineStr">
        <is>
          <t>21주차</t>
        </is>
      </c>
      <c r="C4493" t="inlineStr">
        <is>
          <t>IM</t>
        </is>
      </c>
      <c r="D4493" s="28" t="n">
        <v>46163</v>
      </c>
      <c r="E4493" t="inlineStr">
        <is>
          <t>IM캐피탈</t>
        </is>
      </c>
      <c r="F4493" t="inlineStr">
        <is>
          <t>손세별</t>
        </is>
      </c>
      <c r="G4493" t="inlineStr">
        <is>
          <t>010-5497-0719</t>
        </is>
      </c>
      <c r="H4493" t="inlineStr">
        <is>
          <t>01가6305</t>
        </is>
      </c>
      <c r="I4493" t="n">
        <v>4300000</v>
      </c>
      <c r="J4493" t="n">
        <v>0.119</v>
      </c>
      <c r="K4493" t="n">
        <v>1.1</v>
      </c>
      <c r="L4493" t="n">
        <v>0.14</v>
      </c>
      <c r="M4493" t="n">
        <v>0.96</v>
      </c>
      <c r="P4493" t="inlineStr">
        <is>
          <t>황채이</t>
        </is>
      </c>
      <c r="Q4493" t="inlineStr">
        <is>
          <t>홈서비스 24개월</t>
        </is>
      </c>
      <c r="AB4493" t="inlineStr">
        <is>
          <t>홈서비스</t>
        </is>
      </c>
      <c r="AC4493" t="n">
        <v>47300</v>
      </c>
      <c r="AD4493" t="n">
        <v>6020</v>
      </c>
      <c r="AE4493" t="n">
        <v>41280</v>
      </c>
      <c r="AF4493" t="n">
        <v>43000</v>
      </c>
      <c r="AG4493" t="n">
        <v>5821.34</v>
      </c>
      <c r="AH4493" t="n">
        <v>37178.66</v>
      </c>
      <c r="AI4493" t="n">
        <v>0</v>
      </c>
    </row>
    <row r="4494">
      <c r="A4494" t="inlineStr">
        <is>
          <t>5월</t>
        </is>
      </c>
      <c r="B4494" t="inlineStr">
        <is>
          <t>21주차</t>
        </is>
      </c>
      <c r="C4494" t="inlineStr">
        <is>
          <t>IM</t>
        </is>
      </c>
      <c r="D4494" s="28" t="n">
        <v>46163</v>
      </c>
      <c r="E4494" t="inlineStr">
        <is>
          <t>IM캐피탈</t>
        </is>
      </c>
      <c r="F4494" t="inlineStr">
        <is>
          <t>권혁민</t>
        </is>
      </c>
      <c r="G4494" t="inlineStr">
        <is>
          <t>010-3997-7933</t>
        </is>
      </c>
      <c r="H4494" t="inlineStr">
        <is>
          <t>360우6944</t>
        </is>
      </c>
      <c r="I4494" t="n">
        <v>16000000</v>
      </c>
      <c r="J4494" t="n">
        <v>0.063</v>
      </c>
      <c r="K4494" t="n">
        <v>1.1</v>
      </c>
      <c r="L4494" t="n">
        <v>0.14</v>
      </c>
      <c r="M4494" t="n">
        <v>0.96</v>
      </c>
      <c r="P4494" t="inlineStr">
        <is>
          <t>김수연</t>
        </is>
      </c>
      <c r="Q4494" t="inlineStr">
        <is>
          <t>홈서비스 60개월</t>
        </is>
      </c>
      <c r="AB4494" t="inlineStr">
        <is>
          <t>홈서비스</t>
        </is>
      </c>
      <c r="AC4494" t="n">
        <v>176000</v>
      </c>
      <c r="AD4494" t="n">
        <v>22400</v>
      </c>
      <c r="AE4494" t="n">
        <v>153600</v>
      </c>
      <c r="AF4494" t="n">
        <v>160000</v>
      </c>
      <c r="AG4494" t="n">
        <v>21660.8</v>
      </c>
      <c r="AH4494" t="n">
        <v>138339.2</v>
      </c>
      <c r="AI4494" t="n">
        <v>0</v>
      </c>
    </row>
    <row r="4495">
      <c r="A4495" t="inlineStr">
        <is>
          <t>5월</t>
        </is>
      </c>
      <c r="B4495" t="inlineStr">
        <is>
          <t>21주차</t>
        </is>
      </c>
      <c r="C4495" t="inlineStr">
        <is>
          <t>EP</t>
        </is>
      </c>
      <c r="D4495" s="28" t="n">
        <v>46163</v>
      </c>
      <c r="E4495" t="inlineStr">
        <is>
          <t>현대EP_fast</t>
        </is>
      </c>
      <c r="F4495" t="inlineStr">
        <is>
          <t>반가운</t>
        </is>
      </c>
      <c r="G4495" t="inlineStr">
        <is>
          <t>010-3582-5492</t>
        </is>
      </c>
      <c r="H4495" t="inlineStr">
        <is>
          <t>150노6954</t>
        </is>
      </c>
      <c r="I4495" t="n">
        <v>42900000</v>
      </c>
      <c r="J4495" t="n">
        <v>0.07000000000000001</v>
      </c>
      <c r="K4495" t="n">
        <v>1.76</v>
      </c>
      <c r="L4495" t="n">
        <v>0.14</v>
      </c>
      <c r="M4495" t="n">
        <v>1.62</v>
      </c>
      <c r="P4495" t="inlineStr">
        <is>
          <t>김나윤</t>
        </is>
      </c>
      <c r="Q4495" t="inlineStr">
        <is>
          <t>홈서비스 48개월 / 공동명의</t>
        </is>
      </c>
      <c r="AB4495" t="inlineStr">
        <is>
          <t>홈서비스</t>
        </is>
      </c>
      <c r="AC4495" t="n">
        <v>755040</v>
      </c>
      <c r="AD4495" t="n">
        <v>60060</v>
      </c>
      <c r="AE4495" t="n">
        <v>694980</v>
      </c>
      <c r="AF4495" t="n">
        <v>686400</v>
      </c>
      <c r="AG4495" t="n">
        <v>58078.02</v>
      </c>
      <c r="AH4495" t="n">
        <v>628321.98</v>
      </c>
      <c r="AI4495" t="n">
        <v>0</v>
      </c>
    </row>
    <row r="4496">
      <c r="A4496" t="inlineStr">
        <is>
          <t>5월</t>
        </is>
      </c>
      <c r="B4496" t="inlineStr">
        <is>
          <t>21주차</t>
        </is>
      </c>
      <c r="C4496" t="inlineStr">
        <is>
          <t>IM</t>
        </is>
      </c>
      <c r="D4496" s="28" t="n">
        <v>46163</v>
      </c>
      <c r="E4496" t="inlineStr">
        <is>
          <t>IM캐피탈</t>
        </is>
      </c>
      <c r="F4496" t="inlineStr">
        <is>
          <t>김용환</t>
        </is>
      </c>
      <c r="G4496" t="inlineStr">
        <is>
          <t>010-7768-7168</t>
        </is>
      </c>
      <c r="H4496" t="inlineStr">
        <is>
          <t>215보6196</t>
        </is>
      </c>
      <c r="I4496" t="n">
        <v>28100000</v>
      </c>
      <c r="J4496" t="n">
        <v>0.063</v>
      </c>
      <c r="K4496" t="n">
        <v>1.1</v>
      </c>
      <c r="L4496" t="n">
        <v>0.14</v>
      </c>
      <c r="M4496" t="n">
        <v>0.96</v>
      </c>
      <c r="P4496" t="inlineStr">
        <is>
          <t>정세빈</t>
        </is>
      </c>
      <c r="Q4496" t="inlineStr">
        <is>
          <t>홈서비스 60개월</t>
        </is>
      </c>
      <c r="AB4496" t="inlineStr">
        <is>
          <t>홈서비스</t>
        </is>
      </c>
      <c r="AC4496" t="n">
        <v>309100</v>
      </c>
      <c r="AD4496" t="n">
        <v>39340</v>
      </c>
      <c r="AE4496" t="n">
        <v>269760</v>
      </c>
      <c r="AF4496" t="n">
        <v>281000</v>
      </c>
      <c r="AG4496" t="n">
        <v>38041.78</v>
      </c>
      <c r="AH4496" t="n">
        <v>242958.22</v>
      </c>
      <c r="AI4496" t="n">
        <v>0</v>
      </c>
    </row>
    <row r="4497">
      <c r="A4497" t="inlineStr">
        <is>
          <t>5월</t>
        </is>
      </c>
      <c r="B4497" t="inlineStr">
        <is>
          <t>21주차</t>
        </is>
      </c>
      <c r="C4497" t="inlineStr">
        <is>
          <t>EP</t>
        </is>
      </c>
      <c r="D4497" s="28" t="n">
        <v>46163</v>
      </c>
      <c r="E4497" t="inlineStr">
        <is>
          <t>현대EP</t>
        </is>
      </c>
      <c r="F4497" t="inlineStr">
        <is>
          <t>강민호</t>
        </is>
      </c>
      <c r="G4497" t="inlineStr">
        <is>
          <t>010-4949-1898</t>
        </is>
      </c>
      <c r="H4497" t="inlineStr">
        <is>
          <t>179러2083</t>
        </is>
      </c>
      <c r="I4497" t="n">
        <v>20000000</v>
      </c>
      <c r="J4497" t="n">
        <v>0.062</v>
      </c>
      <c r="K4497" t="n">
        <v>1.76</v>
      </c>
      <c r="L4497" t="n">
        <v>0.14</v>
      </c>
      <c r="M4497" t="n">
        <v>1.62</v>
      </c>
      <c r="P4497" t="inlineStr">
        <is>
          <t>김수연</t>
        </is>
      </c>
      <c r="AB4497" t="inlineStr">
        <is>
          <t>홈서비스</t>
        </is>
      </c>
      <c r="AC4497" t="n">
        <v>352000</v>
      </c>
      <c r="AD4497" t="n">
        <v>28000</v>
      </c>
      <c r="AE4497" t="n">
        <v>324000</v>
      </c>
      <c r="AF4497" t="n">
        <v>320000</v>
      </c>
      <c r="AG4497" t="n">
        <v>27076</v>
      </c>
      <c r="AH4497" t="n">
        <v>292924</v>
      </c>
      <c r="AI4497" t="n">
        <v>0</v>
      </c>
    </row>
    <row r="4498">
      <c r="A4498" t="inlineStr">
        <is>
          <t>5월</t>
        </is>
      </c>
      <c r="B4498" t="inlineStr">
        <is>
          <t>21주차</t>
        </is>
      </c>
      <c r="C4498" t="inlineStr">
        <is>
          <t>EP</t>
        </is>
      </c>
      <c r="D4498" s="28" t="n">
        <v>46163</v>
      </c>
      <c r="E4498" t="inlineStr">
        <is>
          <t>현대EP</t>
        </is>
      </c>
      <c r="F4498" t="inlineStr">
        <is>
          <t>김건우</t>
        </is>
      </c>
      <c r="G4498" t="inlineStr">
        <is>
          <t>010-7558-8661</t>
        </is>
      </c>
      <c r="H4498" t="inlineStr">
        <is>
          <t>23로8258</t>
        </is>
      </c>
      <c r="I4498" t="n">
        <v>14500000</v>
      </c>
      <c r="J4498" t="n">
        <v>0.089</v>
      </c>
      <c r="K4498" t="n">
        <v>1.76</v>
      </c>
      <c r="L4498" t="n">
        <v>0.14</v>
      </c>
      <c r="M4498" t="n">
        <v>1.62</v>
      </c>
      <c r="P4498" t="inlineStr">
        <is>
          <t>황채이</t>
        </is>
      </c>
      <c r="AB4498" t="inlineStr">
        <is>
          <t>홈서비스</t>
        </is>
      </c>
      <c r="AC4498" t="n">
        <v>255200</v>
      </c>
      <c r="AD4498" t="n">
        <v>20300</v>
      </c>
      <c r="AE4498" t="n">
        <v>234900</v>
      </c>
      <c r="AF4498" t="n">
        <v>232000</v>
      </c>
      <c r="AG4498" t="n">
        <v>19630.1</v>
      </c>
      <c r="AH4498" t="n">
        <v>212369.9</v>
      </c>
      <c r="AI4498" t="n">
        <v>0</v>
      </c>
    </row>
    <row r="4499">
      <c r="A4499" t="inlineStr">
        <is>
          <t>5월</t>
        </is>
      </c>
      <c r="B4499" t="inlineStr">
        <is>
          <t>21주차</t>
        </is>
      </c>
      <c r="C4499" t="inlineStr">
        <is>
          <t>EP</t>
        </is>
      </c>
      <c r="D4499" s="28" t="n">
        <v>46162</v>
      </c>
      <c r="E4499" t="inlineStr">
        <is>
          <t>현대EP</t>
        </is>
      </c>
      <c r="F4499" t="inlineStr">
        <is>
          <t>윤지훈</t>
        </is>
      </c>
      <c r="G4499" t="inlineStr">
        <is>
          <t>010-6549-1001</t>
        </is>
      </c>
      <c r="H4499" t="inlineStr">
        <is>
          <t>182로4216</t>
        </is>
      </c>
      <c r="I4499" t="n">
        <v>10900000</v>
      </c>
      <c r="J4499" t="n">
        <v>0.06900000000000001</v>
      </c>
      <c r="K4499" t="n">
        <v>1.76</v>
      </c>
      <c r="L4499" t="n">
        <v>0.14</v>
      </c>
      <c r="M4499" t="n">
        <v>1.62</v>
      </c>
      <c r="P4499" t="inlineStr">
        <is>
          <t>최형주</t>
        </is>
      </c>
      <c r="AB4499" t="inlineStr">
        <is>
          <t>홈서비스</t>
        </is>
      </c>
      <c r="AC4499" t="n">
        <v>191840</v>
      </c>
      <c r="AD4499" t="n">
        <v>15260</v>
      </c>
      <c r="AE4499" t="n">
        <v>176580</v>
      </c>
      <c r="AF4499" t="n">
        <v>174400</v>
      </c>
      <c r="AG4499" t="n">
        <v>14756.42</v>
      </c>
      <c r="AH4499" t="n">
        <v>159643.58</v>
      </c>
      <c r="AI4499" t="n">
        <v>0</v>
      </c>
    </row>
    <row r="4500">
      <c r="A4500" t="inlineStr">
        <is>
          <t>5월</t>
        </is>
      </c>
      <c r="B4500" t="inlineStr">
        <is>
          <t>21주차</t>
        </is>
      </c>
      <c r="C4500" t="inlineStr">
        <is>
          <t>EP</t>
        </is>
      </c>
      <c r="D4500" s="28" t="n">
        <v>46162</v>
      </c>
      <c r="E4500" t="inlineStr">
        <is>
          <t>현대EP</t>
        </is>
      </c>
      <c r="F4500" t="inlineStr">
        <is>
          <t>정병길</t>
        </is>
      </c>
      <c r="G4500" t="inlineStr">
        <is>
          <t>010-4431-7105</t>
        </is>
      </c>
      <c r="H4500" t="inlineStr">
        <is>
          <t>221어8148</t>
        </is>
      </c>
      <c r="I4500" t="n">
        <v>16900000</v>
      </c>
      <c r="J4500" t="n">
        <v>0.095</v>
      </c>
      <c r="K4500" t="n">
        <v>1.76</v>
      </c>
      <c r="L4500" t="n">
        <v>0.14</v>
      </c>
      <c r="M4500" t="n">
        <v>1.62</v>
      </c>
      <c r="P4500" t="inlineStr">
        <is>
          <t>최형주</t>
        </is>
      </c>
      <c r="AB4500" t="inlineStr">
        <is>
          <t>홈서비스</t>
        </is>
      </c>
      <c r="AC4500" t="n">
        <v>297440</v>
      </c>
      <c r="AD4500" t="n">
        <v>23660</v>
      </c>
      <c r="AE4500" t="n">
        <v>273780</v>
      </c>
      <c r="AF4500" t="n">
        <v>270400</v>
      </c>
      <c r="AG4500" t="n">
        <v>22879.22</v>
      </c>
      <c r="AH4500" t="n">
        <v>247520.78</v>
      </c>
      <c r="AI4500" t="n">
        <v>0</v>
      </c>
    </row>
    <row r="4501">
      <c r="A4501" t="inlineStr">
        <is>
          <t>5월</t>
        </is>
      </c>
      <c r="B4501" t="inlineStr">
        <is>
          <t>21주차</t>
        </is>
      </c>
      <c r="C4501" t="inlineStr">
        <is>
          <t>IM</t>
        </is>
      </c>
      <c r="D4501" s="28" t="n">
        <v>46163</v>
      </c>
      <c r="E4501" t="inlineStr">
        <is>
          <t>IM캐피탈</t>
        </is>
      </c>
      <c r="F4501" t="inlineStr">
        <is>
          <t>하정란</t>
        </is>
      </c>
      <c r="G4501" t="inlineStr">
        <is>
          <t>010-2787-6199</t>
        </is>
      </c>
      <c r="H4501" t="inlineStr">
        <is>
          <t>39저8534</t>
        </is>
      </c>
      <c r="I4501" t="n">
        <v>23100000</v>
      </c>
      <c r="J4501" t="n">
        <v>0.049</v>
      </c>
      <c r="K4501" t="n">
        <v>1.1</v>
      </c>
      <c r="L4501" t="n">
        <v>0.14</v>
      </c>
      <c r="M4501" t="n">
        <v>0.96</v>
      </c>
      <c r="P4501" t="inlineStr">
        <is>
          <t>김나윤</t>
        </is>
      </c>
      <c r="Q4501" t="inlineStr">
        <is>
          <t>홈서비스 60개월</t>
        </is>
      </c>
      <c r="AB4501" t="inlineStr">
        <is>
          <t>홈서비스</t>
        </is>
      </c>
      <c r="AC4501" t="n">
        <v>254100</v>
      </c>
      <c r="AD4501" t="n">
        <v>32340</v>
      </c>
      <c r="AE4501" t="n">
        <v>221760</v>
      </c>
      <c r="AF4501" t="n">
        <v>231000</v>
      </c>
      <c r="AG4501" t="n">
        <v>31272.78</v>
      </c>
      <c r="AH4501" t="n">
        <v>199727.22</v>
      </c>
      <c r="AI4501" t="n">
        <v>0</v>
      </c>
    </row>
    <row r="4502">
      <c r="A4502" t="inlineStr">
        <is>
          <t>5월</t>
        </is>
      </c>
      <c r="B4502" t="inlineStr">
        <is>
          <t>21주차</t>
        </is>
      </c>
      <c r="C4502" t="inlineStr">
        <is>
          <t>IM</t>
        </is>
      </c>
      <c r="D4502" s="28" t="n">
        <v>46162</v>
      </c>
      <c r="E4502" t="inlineStr">
        <is>
          <t>IM캐피탈</t>
        </is>
      </c>
      <c r="F4502" t="inlineStr">
        <is>
          <t>오광환</t>
        </is>
      </c>
      <c r="G4502" t="inlineStr">
        <is>
          <t>010-2328-8783</t>
        </is>
      </c>
      <c r="H4502" t="inlineStr">
        <is>
          <t>362모3740</t>
        </is>
      </c>
      <c r="I4502" t="n">
        <v>34000000</v>
      </c>
      <c r="J4502" t="n">
        <v>0.049</v>
      </c>
      <c r="K4502" t="n">
        <v>1.1</v>
      </c>
      <c r="L4502" t="n">
        <v>0.5</v>
      </c>
      <c r="M4502" t="n">
        <v>0.6</v>
      </c>
      <c r="P4502" t="inlineStr">
        <is>
          <t>임대경</t>
        </is>
      </c>
      <c r="Q4502" t="inlineStr">
        <is>
          <t>부대비용추가대출</t>
        </is>
      </c>
      <c r="AB4502" t="inlineStr">
        <is>
          <t>엔카</t>
        </is>
      </c>
      <c r="AC4502" t="n">
        <v>374000</v>
      </c>
      <c r="AD4502" t="n">
        <v>170000</v>
      </c>
      <c r="AE4502" t="n">
        <v>204000</v>
      </c>
      <c r="AF4502" t="n">
        <v>340000</v>
      </c>
      <c r="AG4502" t="n">
        <v>164390</v>
      </c>
      <c r="AH4502" t="n">
        <v>175610</v>
      </c>
      <c r="AI4502" t="n">
        <v>0</v>
      </c>
    </row>
    <row r="4503">
      <c r="A4503" t="inlineStr">
        <is>
          <t>5월</t>
        </is>
      </c>
      <c r="B4503" t="inlineStr">
        <is>
          <t>21주차</t>
        </is>
      </c>
      <c r="C4503" t="inlineStr">
        <is>
          <t>EP</t>
        </is>
      </c>
      <c r="D4503" s="28" t="n">
        <v>46163</v>
      </c>
      <c r="E4503" t="inlineStr">
        <is>
          <t>현대EP</t>
        </is>
      </c>
      <c r="F4503" t="inlineStr">
        <is>
          <t>김건희</t>
        </is>
      </c>
      <c r="G4503" t="inlineStr">
        <is>
          <t>010-4661-4867</t>
        </is>
      </c>
      <c r="H4503" t="inlineStr">
        <is>
          <t>173보1373</t>
        </is>
      </c>
      <c r="I4503" t="n">
        <v>21500000</v>
      </c>
      <c r="J4503" t="n">
        <v>0.08500000000000001</v>
      </c>
      <c r="K4503" t="n">
        <v>1.76</v>
      </c>
      <c r="L4503" t="n">
        <v>0.14</v>
      </c>
      <c r="M4503" t="n">
        <v>1.62</v>
      </c>
      <c r="P4503" t="inlineStr">
        <is>
          <t>김수연</t>
        </is>
      </c>
      <c r="AB4503" t="inlineStr">
        <is>
          <t>홈서비스</t>
        </is>
      </c>
      <c r="AC4503" t="n">
        <v>378400</v>
      </c>
      <c r="AD4503" t="n">
        <v>30100</v>
      </c>
      <c r="AE4503" t="n">
        <v>348300</v>
      </c>
      <c r="AF4503" t="n">
        <v>344000</v>
      </c>
      <c r="AG4503" t="n">
        <v>29106.7</v>
      </c>
      <c r="AH4503" t="n">
        <v>314893.3</v>
      </c>
      <c r="AI4503" t="n">
        <v>0</v>
      </c>
    </row>
    <row r="4504">
      <c r="A4504" t="inlineStr">
        <is>
          <t>5월</t>
        </is>
      </c>
      <c r="B4504" t="inlineStr">
        <is>
          <t>21주차</t>
        </is>
      </c>
      <c r="C4504" t="inlineStr">
        <is>
          <t>EP</t>
        </is>
      </c>
      <c r="D4504" s="28" t="n">
        <v>46163</v>
      </c>
      <c r="E4504" t="inlineStr">
        <is>
          <t>현대EP</t>
        </is>
      </c>
      <c r="F4504" t="inlineStr">
        <is>
          <t>남우열</t>
        </is>
      </c>
      <c r="G4504" t="inlineStr">
        <is>
          <t>010-6214-7330</t>
        </is>
      </c>
      <c r="H4504" t="inlineStr">
        <is>
          <t>353누9800</t>
        </is>
      </c>
      <c r="I4504" t="n">
        <v>20000000</v>
      </c>
      <c r="J4504" t="n">
        <v>0.06900000000000001</v>
      </c>
      <c r="K4504" t="n">
        <v>1.76</v>
      </c>
      <c r="L4504" t="n">
        <v>0.14</v>
      </c>
      <c r="M4504" t="n">
        <v>1.62</v>
      </c>
      <c r="P4504" t="inlineStr">
        <is>
          <t>황채이</t>
        </is>
      </c>
      <c r="AB4504" t="inlineStr">
        <is>
          <t>홈서비스</t>
        </is>
      </c>
      <c r="AC4504" t="n">
        <v>352000</v>
      </c>
      <c r="AD4504" t="n">
        <v>28000</v>
      </c>
      <c r="AE4504" t="n">
        <v>324000</v>
      </c>
      <c r="AF4504" t="n">
        <v>320000</v>
      </c>
      <c r="AG4504" t="n">
        <v>27076</v>
      </c>
      <c r="AH4504" t="n">
        <v>292924</v>
      </c>
      <c r="AI4504" t="n">
        <v>0</v>
      </c>
    </row>
    <row r="4505">
      <c r="A4505" t="inlineStr">
        <is>
          <t>5월</t>
        </is>
      </c>
      <c r="B4505" t="inlineStr">
        <is>
          <t>21주차</t>
        </is>
      </c>
      <c r="C4505" t="inlineStr">
        <is>
          <t>IM</t>
        </is>
      </c>
      <c r="D4505" s="28" t="n">
        <v>46162</v>
      </c>
      <c r="E4505" t="inlineStr">
        <is>
          <t>IM캐피탈</t>
        </is>
      </c>
      <c r="F4505" t="inlineStr">
        <is>
          <t>김수훈</t>
        </is>
      </c>
      <c r="G4505" t="inlineStr">
        <is>
          <t>010-7364-1093</t>
        </is>
      </c>
      <c r="H4505" t="inlineStr">
        <is>
          <t>35너5811</t>
        </is>
      </c>
      <c r="I4505" t="n">
        <v>13000000</v>
      </c>
      <c r="J4505" t="n">
        <v>0.059</v>
      </c>
      <c r="K4505" t="n">
        <v>1.1</v>
      </c>
      <c r="L4505" t="n">
        <v>0.5</v>
      </c>
      <c r="M4505" t="n">
        <v>0.6</v>
      </c>
      <c r="P4505" t="inlineStr">
        <is>
          <t>임대경</t>
        </is>
      </c>
      <c r="AB4505" t="inlineStr">
        <is>
          <t>엔카</t>
        </is>
      </c>
      <c r="AC4505" t="n">
        <v>143000</v>
      </c>
      <c r="AD4505" t="n">
        <v>65000</v>
      </c>
      <c r="AE4505" t="n">
        <v>78000</v>
      </c>
      <c r="AF4505" t="n">
        <v>130000</v>
      </c>
      <c r="AG4505" t="n">
        <v>62855</v>
      </c>
      <c r="AH4505" t="n">
        <v>67145</v>
      </c>
      <c r="AI4505" t="n">
        <v>0</v>
      </c>
    </row>
    <row r="4506">
      <c r="A4506" t="inlineStr">
        <is>
          <t>5월</t>
        </is>
      </c>
      <c r="B4506" t="inlineStr">
        <is>
          <t>21주차</t>
        </is>
      </c>
      <c r="C4506" t="inlineStr">
        <is>
          <t>EP</t>
        </is>
      </c>
      <c r="D4506" s="28" t="n">
        <v>46163</v>
      </c>
      <c r="E4506" t="inlineStr">
        <is>
          <t>현대EP</t>
        </is>
      </c>
      <c r="F4506" t="inlineStr">
        <is>
          <t>김정</t>
        </is>
      </c>
      <c r="G4506" t="inlineStr">
        <is>
          <t>010-3157-4848</t>
        </is>
      </c>
      <c r="H4506" t="inlineStr">
        <is>
          <t>117로7923</t>
        </is>
      </c>
      <c r="I4506" t="n">
        <v>25400000</v>
      </c>
      <c r="J4506" t="n">
        <v>0.105</v>
      </c>
      <c r="K4506" t="n">
        <v>1.76</v>
      </c>
      <c r="L4506" t="n">
        <v>0.14</v>
      </c>
      <c r="M4506" t="n">
        <v>1.62</v>
      </c>
      <c r="P4506" t="inlineStr">
        <is>
          <t>김나윤</t>
        </is>
      </c>
      <c r="AB4506" t="inlineStr">
        <is>
          <t>홈서비스</t>
        </is>
      </c>
      <c r="AC4506" t="n">
        <v>447040</v>
      </c>
      <c r="AD4506" t="n">
        <v>35560</v>
      </c>
      <c r="AE4506" t="n">
        <v>411480</v>
      </c>
      <c r="AF4506" t="n">
        <v>406400</v>
      </c>
      <c r="AG4506" t="n">
        <v>34386.52</v>
      </c>
      <c r="AH4506" t="n">
        <v>372013.48</v>
      </c>
    </row>
    <row r="4507">
      <c r="A4507" t="inlineStr">
        <is>
          <t>5월</t>
        </is>
      </c>
      <c r="B4507" t="inlineStr">
        <is>
          <t>21주차</t>
        </is>
      </c>
      <c r="C4507" t="inlineStr">
        <is>
          <t>EP</t>
        </is>
      </c>
      <c r="D4507" s="28" t="n">
        <v>46163</v>
      </c>
      <c r="E4507" t="inlineStr">
        <is>
          <t>현대EP</t>
        </is>
      </c>
      <c r="F4507" t="inlineStr">
        <is>
          <t>임용준</t>
        </is>
      </c>
      <c r="G4507" t="inlineStr">
        <is>
          <t>010-8483-6079</t>
        </is>
      </c>
      <c r="H4507" t="inlineStr">
        <is>
          <t>233고7136</t>
        </is>
      </c>
      <c r="I4507" t="n">
        <v>20000000</v>
      </c>
      <c r="J4507" t="n">
        <v>0.06900000000000001</v>
      </c>
      <c r="K4507" t="n">
        <v>1.76</v>
      </c>
      <c r="L4507" t="n">
        <v>0.14</v>
      </c>
      <c r="M4507" t="n">
        <v>1.62</v>
      </c>
      <c r="P4507" t="inlineStr">
        <is>
          <t>임대경</t>
        </is>
      </c>
      <c r="AB4507" t="inlineStr">
        <is>
          <t>홈서비스</t>
        </is>
      </c>
      <c r="AC4507" t="n">
        <v>352000</v>
      </c>
      <c r="AD4507" t="n">
        <v>28000</v>
      </c>
      <c r="AE4507" t="n">
        <v>324000</v>
      </c>
      <c r="AF4507" t="n">
        <v>320000</v>
      </c>
      <c r="AG4507" t="n">
        <v>27076</v>
      </c>
      <c r="AH4507" t="n">
        <v>292924</v>
      </c>
    </row>
    <row r="4508">
      <c r="A4508" t="inlineStr">
        <is>
          <t>5월</t>
        </is>
      </c>
      <c r="B4508" t="inlineStr">
        <is>
          <t>21주차</t>
        </is>
      </c>
      <c r="C4508" t="inlineStr">
        <is>
          <t>EP</t>
        </is>
      </c>
      <c r="D4508" s="28" t="n">
        <v>46163</v>
      </c>
      <c r="E4508" t="inlineStr">
        <is>
          <t>현대EP</t>
        </is>
      </c>
      <c r="F4508" t="inlineStr">
        <is>
          <t>김효석</t>
        </is>
      </c>
      <c r="G4508" t="inlineStr">
        <is>
          <t>010-4360-0404</t>
        </is>
      </c>
      <c r="H4508" t="inlineStr">
        <is>
          <t>358수8815</t>
        </is>
      </c>
      <c r="I4508" t="n">
        <v>14900000</v>
      </c>
      <c r="J4508" t="n">
        <v>0.07000000000000001</v>
      </c>
      <c r="K4508" t="n">
        <v>1.76</v>
      </c>
      <c r="L4508" t="n">
        <v>0.14</v>
      </c>
      <c r="M4508" t="n">
        <v>1.62</v>
      </c>
      <c r="P4508" t="inlineStr">
        <is>
          <t>김수연</t>
        </is>
      </c>
      <c r="AB4508" t="inlineStr">
        <is>
          <t>홈서비스</t>
        </is>
      </c>
      <c r="AC4508" t="n">
        <v>262240</v>
      </c>
      <c r="AD4508" t="n">
        <v>20860</v>
      </c>
      <c r="AE4508" t="n">
        <v>241380</v>
      </c>
      <c r="AF4508" t="n">
        <v>238400</v>
      </c>
      <c r="AG4508" t="n">
        <v>20171.62</v>
      </c>
      <c r="AH4508" t="n">
        <v>218228.38</v>
      </c>
      <c r="AI4508" t="n">
        <v>0</v>
      </c>
    </row>
    <row r="4509">
      <c r="A4509" t="inlineStr">
        <is>
          <t>5월</t>
        </is>
      </c>
      <c r="B4509" t="inlineStr">
        <is>
          <t>21주차</t>
        </is>
      </c>
      <c r="C4509" t="inlineStr">
        <is>
          <t>EP</t>
        </is>
      </c>
      <c r="D4509" s="28" t="n">
        <v>46163</v>
      </c>
      <c r="E4509" t="inlineStr">
        <is>
          <t>현대EP</t>
        </is>
      </c>
      <c r="F4509" t="inlineStr">
        <is>
          <t>최명수</t>
        </is>
      </c>
      <c r="G4509" t="inlineStr">
        <is>
          <t>010-3939-5131</t>
        </is>
      </c>
      <c r="H4509" t="inlineStr">
        <is>
          <t>28너2808</t>
        </is>
      </c>
      <c r="I4509" t="n">
        <v>26400000</v>
      </c>
      <c r="J4509" t="n">
        <v>0.062</v>
      </c>
      <c r="K4509" t="n">
        <v>1.76</v>
      </c>
      <c r="L4509" t="n">
        <v>0.14</v>
      </c>
      <c r="M4509" t="n">
        <v>1.62</v>
      </c>
      <c r="P4509" t="inlineStr">
        <is>
          <t>황채이</t>
        </is>
      </c>
      <c r="AB4509" t="inlineStr">
        <is>
          <t>홈서비스</t>
        </is>
      </c>
      <c r="AC4509" t="n">
        <v>464640</v>
      </c>
      <c r="AD4509" t="n">
        <v>36960</v>
      </c>
      <c r="AE4509" t="n">
        <v>427680</v>
      </c>
      <c r="AF4509" t="n">
        <v>422400</v>
      </c>
      <c r="AG4509" t="n">
        <v>35740.32</v>
      </c>
      <c r="AH4509" t="n">
        <v>386659.68</v>
      </c>
      <c r="AI4509" t="n">
        <v>0</v>
      </c>
    </row>
    <row r="4510">
      <c r="A4510" t="inlineStr">
        <is>
          <t>5월</t>
        </is>
      </c>
      <c r="B4510" t="inlineStr">
        <is>
          <t>21주차</t>
        </is>
      </c>
      <c r="C4510" t="inlineStr">
        <is>
          <t>EP</t>
        </is>
      </c>
      <c r="D4510" s="28" t="n">
        <v>46163</v>
      </c>
      <c r="E4510" t="inlineStr">
        <is>
          <t>현대EP</t>
        </is>
      </c>
      <c r="F4510" t="inlineStr">
        <is>
          <t>이주성</t>
        </is>
      </c>
      <c r="G4510" t="inlineStr">
        <is>
          <t>010-7620-2218</t>
        </is>
      </c>
      <c r="H4510" t="inlineStr">
        <is>
          <t>805우8602</t>
        </is>
      </c>
      <c r="I4510" t="n">
        <v>10000000</v>
      </c>
      <c r="J4510" t="n">
        <v>0.122</v>
      </c>
      <c r="K4510" t="n">
        <v>1.76</v>
      </c>
      <c r="L4510" t="n">
        <v>0.14</v>
      </c>
      <c r="M4510" t="n">
        <v>1.62</v>
      </c>
      <c r="P4510" t="inlineStr">
        <is>
          <t>김나윤</t>
        </is>
      </c>
      <c r="AB4510" t="inlineStr">
        <is>
          <t>홈서비스</t>
        </is>
      </c>
      <c r="AC4510" t="n">
        <v>176000</v>
      </c>
      <c r="AD4510" t="n">
        <v>14000</v>
      </c>
      <c r="AE4510" t="n">
        <v>162000</v>
      </c>
      <c r="AF4510" t="n">
        <v>160000</v>
      </c>
      <c r="AG4510" t="n">
        <v>13538</v>
      </c>
      <c r="AH4510" t="n">
        <v>146462</v>
      </c>
      <c r="AI4510" t="n">
        <v>0</v>
      </c>
    </row>
    <row r="4511">
      <c r="A4511" t="inlineStr">
        <is>
          <t>5월</t>
        </is>
      </c>
      <c r="B4511" t="inlineStr">
        <is>
          <t>21주차</t>
        </is>
      </c>
      <c r="C4511" t="inlineStr">
        <is>
          <t>EP</t>
        </is>
      </c>
      <c r="D4511" s="28" t="n">
        <v>46163</v>
      </c>
      <c r="E4511" t="inlineStr">
        <is>
          <t>현대EP_fast</t>
        </is>
      </c>
      <c r="F4511" t="inlineStr">
        <is>
          <t>김언철</t>
        </is>
      </c>
      <c r="G4511" t="inlineStr">
        <is>
          <t>010-2864-3331</t>
        </is>
      </c>
      <c r="H4511" t="inlineStr">
        <is>
          <t>287두4686</t>
        </is>
      </c>
      <c r="I4511" t="n">
        <v>33000000</v>
      </c>
      <c r="J4511" t="n">
        <v>0.129</v>
      </c>
      <c r="K4511" t="n">
        <v>1.76</v>
      </c>
      <c r="L4511" t="n">
        <v>0.14</v>
      </c>
      <c r="M4511" t="n">
        <v>1.62</v>
      </c>
      <c r="P4511" t="inlineStr">
        <is>
          <t>박소현</t>
        </is>
      </c>
      <c r="Q4511" t="inlineStr">
        <is>
          <t>선상담 / 홈서비스 60개월</t>
        </is>
      </c>
      <c r="AB4511" t="inlineStr">
        <is>
          <t>홈서비스</t>
        </is>
      </c>
      <c r="AC4511" t="n">
        <v>580800</v>
      </c>
      <c r="AD4511" t="n">
        <v>46200</v>
      </c>
      <c r="AE4511" t="n">
        <v>534600</v>
      </c>
      <c r="AF4511" t="n">
        <v>528000</v>
      </c>
      <c r="AG4511" t="n">
        <v>44675.4</v>
      </c>
      <c r="AH4511" t="n">
        <v>483324.6</v>
      </c>
      <c r="AI4511" t="n">
        <v>0</v>
      </c>
    </row>
    <row r="4512">
      <c r="A4512" t="inlineStr">
        <is>
          <t>5월</t>
        </is>
      </c>
      <c r="B4512" t="inlineStr">
        <is>
          <t>21주차</t>
        </is>
      </c>
      <c r="C4512" t="inlineStr">
        <is>
          <t>OR</t>
        </is>
      </c>
      <c r="D4512" s="28" t="n">
        <v>46163</v>
      </c>
      <c r="E4512" t="inlineStr">
        <is>
          <t>오릭스</t>
        </is>
      </c>
      <c r="F4512" t="inlineStr">
        <is>
          <t>이형철</t>
        </is>
      </c>
      <c r="G4512" t="inlineStr">
        <is>
          <t>010-5027-3009</t>
        </is>
      </c>
      <c r="H4512" t="inlineStr">
        <is>
          <t>225모3071</t>
        </is>
      </c>
      <c r="I4512" t="n">
        <v>33000000</v>
      </c>
      <c r="J4512" t="n">
        <v>0.064</v>
      </c>
      <c r="K4512" t="n">
        <v>1.65</v>
      </c>
      <c r="L4512" t="n">
        <v>0.4</v>
      </c>
      <c r="M4512" t="n">
        <v>1.25</v>
      </c>
      <c r="P4512" t="inlineStr">
        <is>
          <t>박소현</t>
        </is>
      </c>
      <c r="AB4512" t="inlineStr">
        <is>
          <t>엔카</t>
        </is>
      </c>
      <c r="AC4512" t="n">
        <v>544500</v>
      </c>
      <c r="AD4512" t="n">
        <v>132000</v>
      </c>
      <c r="AE4512" t="n">
        <v>412500</v>
      </c>
      <c r="AF4512" t="n">
        <v>495000</v>
      </c>
      <c r="AG4512" t="n">
        <v>127644</v>
      </c>
      <c r="AH4512" t="n">
        <v>367356</v>
      </c>
      <c r="AI4512" t="n">
        <v>0</v>
      </c>
    </row>
    <row r="4513">
      <c r="A4513" t="inlineStr">
        <is>
          <t>5월</t>
        </is>
      </c>
      <c r="B4513" t="inlineStr">
        <is>
          <t>21주차</t>
        </is>
      </c>
      <c r="C4513" t="inlineStr">
        <is>
          <t>EP</t>
        </is>
      </c>
      <c r="D4513" s="28" t="n">
        <v>46163</v>
      </c>
      <c r="E4513" t="inlineStr">
        <is>
          <t>현대EP</t>
        </is>
      </c>
      <c r="F4513" t="inlineStr">
        <is>
          <t>조찬영</t>
        </is>
      </c>
      <c r="G4513" t="inlineStr">
        <is>
          <t>010-4516-1326</t>
        </is>
      </c>
      <c r="H4513" t="inlineStr">
        <is>
          <t>338주9887</t>
        </is>
      </c>
      <c r="I4513" t="n">
        <v>34900000</v>
      </c>
      <c r="J4513" t="n">
        <v>0.075</v>
      </c>
      <c r="K4513" t="n">
        <v>1.76</v>
      </c>
      <c r="L4513" t="n">
        <v>0.14</v>
      </c>
      <c r="M4513" t="n">
        <v>1.62</v>
      </c>
      <c r="P4513" t="inlineStr">
        <is>
          <t>김수연</t>
        </is>
      </c>
      <c r="AB4513" t="inlineStr">
        <is>
          <t>홈서비스</t>
        </is>
      </c>
      <c r="AC4513" t="n">
        <v>614240</v>
      </c>
      <c r="AD4513" t="n">
        <v>48860</v>
      </c>
      <c r="AE4513" t="n">
        <v>565380</v>
      </c>
      <c r="AF4513" t="n">
        <v>558400</v>
      </c>
      <c r="AG4513" t="n">
        <v>47247.62</v>
      </c>
      <c r="AH4513" t="n">
        <v>511152.38</v>
      </c>
    </row>
    <row r="4514">
      <c r="A4514" t="inlineStr">
        <is>
          <t>5월</t>
        </is>
      </c>
      <c r="B4514" t="inlineStr">
        <is>
          <t>21주차</t>
        </is>
      </c>
      <c r="C4514" t="inlineStr">
        <is>
          <t>WC</t>
        </is>
      </c>
      <c r="D4514" s="28" t="n">
        <v>46163</v>
      </c>
      <c r="E4514" t="inlineStr">
        <is>
          <t>웰컴저축은행</t>
        </is>
      </c>
      <c r="F4514" t="inlineStr">
        <is>
          <t>정세정</t>
        </is>
      </c>
      <c r="G4514" t="inlineStr">
        <is>
          <t>010-3045-8933</t>
        </is>
      </c>
      <c r="H4514" t="inlineStr">
        <is>
          <t>06오6415</t>
        </is>
      </c>
      <c r="I4514" t="n">
        <v>7900000</v>
      </c>
      <c r="J4514" t="n">
        <v>0.154</v>
      </c>
      <c r="K4514" t="n">
        <v>2.2</v>
      </c>
      <c r="L4514" t="n">
        <v>0.14</v>
      </c>
      <c r="M4514" t="n">
        <v>2.06</v>
      </c>
      <c r="P4514" t="inlineStr">
        <is>
          <t>정세빈</t>
        </is>
      </c>
      <c r="Q4514" t="inlineStr">
        <is>
          <t>홈서비스 48개월 / 부결DB 실행</t>
        </is>
      </c>
      <c r="AB4514" t="inlineStr">
        <is>
          <t>홈서비스</t>
        </is>
      </c>
      <c r="AC4514" t="n">
        <v>173800</v>
      </c>
      <c r="AD4514" t="n">
        <v>11060</v>
      </c>
      <c r="AE4514" t="n">
        <v>162740</v>
      </c>
      <c r="AF4514" t="n">
        <v>158000</v>
      </c>
      <c r="AG4514" t="n">
        <v>10695.02</v>
      </c>
      <c r="AH4514" t="n">
        <v>147304.98</v>
      </c>
    </row>
    <row r="4515">
      <c r="A4515" t="inlineStr">
        <is>
          <t>5월</t>
        </is>
      </c>
      <c r="B4515" t="inlineStr">
        <is>
          <t>21주차</t>
        </is>
      </c>
      <c r="C4515" t="inlineStr">
        <is>
          <t>EP</t>
        </is>
      </c>
      <c r="D4515" s="28" t="n">
        <v>46163</v>
      </c>
      <c r="E4515" t="inlineStr">
        <is>
          <t>현대EP</t>
        </is>
      </c>
      <c r="F4515" t="inlineStr">
        <is>
          <t>김형남</t>
        </is>
      </c>
      <c r="G4515" t="inlineStr">
        <is>
          <t>010-4221-5242</t>
        </is>
      </c>
      <c r="H4515" t="inlineStr">
        <is>
          <t>247서5232</t>
        </is>
      </c>
      <c r="I4515" t="n">
        <v>40500000</v>
      </c>
      <c r="J4515" t="n">
        <v>0.062</v>
      </c>
      <c r="K4515" t="n">
        <v>1.76</v>
      </c>
      <c r="L4515" t="n">
        <v>0.14</v>
      </c>
      <c r="M4515" t="n">
        <v>1.62</v>
      </c>
      <c r="P4515" t="inlineStr">
        <is>
          <t>정세빈</t>
        </is>
      </c>
      <c r="AB4515" t="inlineStr">
        <is>
          <t>홈서비스</t>
        </is>
      </c>
      <c r="AC4515" t="n">
        <v>712800</v>
      </c>
      <c r="AD4515" t="n">
        <v>56700</v>
      </c>
      <c r="AE4515" t="n">
        <v>656100</v>
      </c>
      <c r="AF4515" t="n">
        <v>648000</v>
      </c>
      <c r="AG4515" t="n">
        <v>54828.9</v>
      </c>
      <c r="AH4515" t="n">
        <v>593171.1</v>
      </c>
      <c r="AI4515" t="n">
        <v>0</v>
      </c>
    </row>
    <row r="4516">
      <c r="A4516" t="inlineStr">
        <is>
          <t>5월</t>
        </is>
      </c>
      <c r="B4516" t="inlineStr">
        <is>
          <t>21주차</t>
        </is>
      </c>
      <c r="C4516" t="inlineStr">
        <is>
          <t>EP</t>
        </is>
      </c>
      <c r="D4516" s="28" t="n">
        <v>46163</v>
      </c>
      <c r="E4516" t="inlineStr">
        <is>
          <t>현대EP</t>
        </is>
      </c>
      <c r="F4516" t="inlineStr">
        <is>
          <t>하원영</t>
        </is>
      </c>
      <c r="G4516" t="inlineStr">
        <is>
          <t>010-5436-8654</t>
        </is>
      </c>
      <c r="H4516" t="inlineStr">
        <is>
          <t>181저8669</t>
        </is>
      </c>
      <c r="I4516" t="n">
        <v>26900000</v>
      </c>
      <c r="J4516" t="n">
        <v>0.08500000000000001</v>
      </c>
      <c r="K4516" t="n">
        <v>1.76</v>
      </c>
      <c r="L4516" t="n">
        <v>0.14</v>
      </c>
      <c r="M4516" t="n">
        <v>1.62</v>
      </c>
      <c r="P4516" t="inlineStr">
        <is>
          <t>임대경</t>
        </is>
      </c>
      <c r="AB4516" t="inlineStr">
        <is>
          <t>홈서비스</t>
        </is>
      </c>
      <c r="AC4516" t="n">
        <v>473440</v>
      </c>
      <c r="AD4516" t="n">
        <v>37660</v>
      </c>
      <c r="AE4516" t="n">
        <v>435780</v>
      </c>
      <c r="AF4516" t="n">
        <v>430400</v>
      </c>
      <c r="AG4516" t="n">
        <v>36417.22</v>
      </c>
      <c r="AH4516" t="n">
        <v>393982.78</v>
      </c>
    </row>
    <row r="4517">
      <c r="A4517" t="inlineStr">
        <is>
          <t>5월</t>
        </is>
      </c>
      <c r="B4517" t="inlineStr">
        <is>
          <t>21주차</t>
        </is>
      </c>
      <c r="C4517" t="inlineStr">
        <is>
          <t>EP</t>
        </is>
      </c>
      <c r="D4517" s="28" t="n">
        <v>46164</v>
      </c>
      <c r="E4517" t="inlineStr">
        <is>
          <t>현대EP_fast</t>
        </is>
      </c>
      <c r="F4517" t="inlineStr">
        <is>
          <t>추형배</t>
        </is>
      </c>
      <c r="G4517" t="inlineStr">
        <is>
          <t>010-6286-5426</t>
        </is>
      </c>
      <c r="H4517" t="inlineStr">
        <is>
          <t>368수6154</t>
        </is>
      </c>
      <c r="I4517" t="n">
        <v>29600000</v>
      </c>
      <c r="J4517" t="n">
        <v>0.095</v>
      </c>
      <c r="K4517" t="n">
        <v>1.76</v>
      </c>
      <c r="L4517" t="n">
        <v>0.14</v>
      </c>
      <c r="M4517" t="n">
        <v>1.62</v>
      </c>
      <c r="P4517" t="inlineStr">
        <is>
          <t>황채이</t>
        </is>
      </c>
      <c r="Q4517" t="inlineStr">
        <is>
          <t>홈서비스 60개월</t>
        </is>
      </c>
      <c r="AB4517" t="inlineStr">
        <is>
          <t>홈서비스</t>
        </is>
      </c>
      <c r="AC4517" t="n">
        <v>520960</v>
      </c>
      <c r="AD4517" t="n">
        <v>41440</v>
      </c>
      <c r="AE4517" t="n">
        <v>479520</v>
      </c>
      <c r="AF4517" t="n">
        <v>473600</v>
      </c>
      <c r="AG4517" t="n">
        <v>40072.48</v>
      </c>
      <c r="AH4517" t="n">
        <v>433527.52</v>
      </c>
    </row>
    <row r="4518">
      <c r="A4518" t="inlineStr">
        <is>
          <t>5월</t>
        </is>
      </c>
      <c r="B4518" t="inlineStr">
        <is>
          <t>21주차</t>
        </is>
      </c>
      <c r="C4518" t="inlineStr">
        <is>
          <t>EP</t>
        </is>
      </c>
      <c r="D4518" s="28" t="n">
        <v>46160</v>
      </c>
      <c r="E4518" t="inlineStr">
        <is>
          <t>제이비EP</t>
        </is>
      </c>
      <c r="F4518" t="inlineStr">
        <is>
          <t>김영준</t>
        </is>
      </c>
      <c r="G4518" t="inlineStr">
        <is>
          <t>010-7110-8000</t>
        </is>
      </c>
      <c r="H4518" t="inlineStr">
        <is>
          <t>84가0126</t>
        </is>
      </c>
      <c r="I4518" t="n">
        <v>12000000</v>
      </c>
      <c r="J4518" t="n">
        <v>0.081</v>
      </c>
      <c r="K4518" t="n">
        <v>1.65</v>
      </c>
      <c r="L4518" t="n">
        <v>0.4</v>
      </c>
      <c r="M4518" t="n">
        <v>1.25</v>
      </c>
      <c r="P4518" t="inlineStr">
        <is>
          <t>박현민</t>
        </is>
      </c>
      <c r="AB4518" t="inlineStr">
        <is>
          <t>엔카</t>
        </is>
      </c>
      <c r="AC4518" t="n">
        <v>198000</v>
      </c>
      <c r="AD4518" t="n">
        <v>48000</v>
      </c>
      <c r="AE4518" t="n">
        <v>150000</v>
      </c>
      <c r="AF4518" t="n">
        <v>180000</v>
      </c>
      <c r="AG4518" t="n">
        <v>46416</v>
      </c>
      <c r="AH4518" t="n">
        <v>133584</v>
      </c>
      <c r="AI4518" t="n">
        <v>0</v>
      </c>
    </row>
    <row r="4519">
      <c r="A4519" t="inlineStr">
        <is>
          <t>5월</t>
        </is>
      </c>
      <c r="B4519" t="inlineStr">
        <is>
          <t>21주차</t>
        </is>
      </c>
      <c r="C4519" t="inlineStr">
        <is>
          <t>EP</t>
        </is>
      </c>
      <c r="D4519" s="28" t="n">
        <v>46164</v>
      </c>
      <c r="E4519" t="inlineStr">
        <is>
          <t>현대EP_fast</t>
        </is>
      </c>
      <c r="F4519" t="inlineStr">
        <is>
          <t>이주형</t>
        </is>
      </c>
      <c r="G4519" t="inlineStr">
        <is>
          <t>010-2537-3402</t>
        </is>
      </c>
      <c r="H4519" t="inlineStr">
        <is>
          <t>156누7274</t>
        </is>
      </c>
      <c r="I4519" t="n">
        <v>6900000</v>
      </c>
      <c r="J4519" t="n">
        <v>0.105</v>
      </c>
      <c r="K4519" t="n">
        <v>1.76</v>
      </c>
      <c r="L4519" t="n">
        <v>0.14</v>
      </c>
      <c r="M4519" t="n">
        <v>1.62</v>
      </c>
      <c r="P4519" t="inlineStr">
        <is>
          <t>김수연</t>
        </is>
      </c>
      <c r="Q4519" t="inlineStr">
        <is>
          <t>홈서비스 36개월</t>
        </is>
      </c>
      <c r="AB4519" t="inlineStr">
        <is>
          <t>홈서비스</t>
        </is>
      </c>
      <c r="AC4519" t="n">
        <v>121440</v>
      </c>
      <c r="AD4519" t="n">
        <v>9660</v>
      </c>
      <c r="AE4519" t="n">
        <v>111780</v>
      </c>
      <c r="AF4519" t="n">
        <v>110400</v>
      </c>
      <c r="AG4519" t="n">
        <v>9341.219999999999</v>
      </c>
      <c r="AH4519" t="n">
        <v>101058.78</v>
      </c>
      <c r="AI4519" t="n">
        <v>0</v>
      </c>
    </row>
    <row r="4520">
      <c r="A4520" t="inlineStr">
        <is>
          <t>5월</t>
        </is>
      </c>
      <c r="B4520" t="inlineStr">
        <is>
          <t>21주차</t>
        </is>
      </c>
      <c r="C4520" t="inlineStr">
        <is>
          <t>EP</t>
        </is>
      </c>
      <c r="D4520" s="28" t="n">
        <v>46163</v>
      </c>
      <c r="E4520" t="inlineStr">
        <is>
          <t>현대EP</t>
        </is>
      </c>
      <c r="F4520" t="inlineStr">
        <is>
          <t>황교관</t>
        </is>
      </c>
      <c r="G4520" t="inlineStr">
        <is>
          <t>010-4765-6522</t>
        </is>
      </c>
      <c r="H4520" t="inlineStr">
        <is>
          <t>67어4362</t>
        </is>
      </c>
      <c r="I4520" t="n">
        <v>34000000</v>
      </c>
      <c r="J4520" t="n">
        <v>0.074</v>
      </c>
      <c r="K4520" t="n">
        <v>1.76</v>
      </c>
      <c r="L4520" t="n">
        <v>0.14</v>
      </c>
      <c r="M4520" t="n">
        <v>1.62</v>
      </c>
      <c r="P4520" t="inlineStr">
        <is>
          <t>김나윤</t>
        </is>
      </c>
      <c r="AB4520" t="inlineStr">
        <is>
          <t>홈서비스</t>
        </is>
      </c>
      <c r="AC4520" t="n">
        <v>598400</v>
      </c>
      <c r="AD4520" t="n">
        <v>47600</v>
      </c>
      <c r="AE4520" t="n">
        <v>550800</v>
      </c>
      <c r="AF4520" t="n">
        <v>544000</v>
      </c>
      <c r="AG4520" t="n">
        <v>46029.2</v>
      </c>
      <c r="AH4520" t="n">
        <v>497970.8</v>
      </c>
      <c r="AI4520" t="n">
        <v>0</v>
      </c>
    </row>
    <row r="4521">
      <c r="A4521" t="inlineStr">
        <is>
          <t>5월</t>
        </is>
      </c>
      <c r="B4521" t="inlineStr">
        <is>
          <t>21주차</t>
        </is>
      </c>
      <c r="C4521" t="inlineStr">
        <is>
          <t>EP</t>
        </is>
      </c>
      <c r="D4521" s="28" t="n">
        <v>46160</v>
      </c>
      <c r="E4521" t="inlineStr">
        <is>
          <t>제이비EP</t>
        </is>
      </c>
      <c r="F4521" t="inlineStr">
        <is>
          <t>장진희</t>
        </is>
      </c>
      <c r="G4521" t="inlineStr">
        <is>
          <t>010-6485-1443</t>
        </is>
      </c>
      <c r="H4521" t="inlineStr">
        <is>
          <t>61나6447</t>
        </is>
      </c>
      <c r="I4521" t="n">
        <v>7000000</v>
      </c>
      <c r="J4521" t="n">
        <v>0.074</v>
      </c>
      <c r="K4521" t="n">
        <v>1.65</v>
      </c>
      <c r="L4521" t="n">
        <v>0.4</v>
      </c>
      <c r="M4521" t="n">
        <v>1.25</v>
      </c>
      <c r="P4521" t="inlineStr">
        <is>
          <t>장현경</t>
        </is>
      </c>
      <c r="AB4521" t="inlineStr">
        <is>
          <t>엔카</t>
        </is>
      </c>
      <c r="AC4521" t="n">
        <v>115500</v>
      </c>
      <c r="AD4521" t="n">
        <v>28000</v>
      </c>
      <c r="AE4521" t="n">
        <v>87500</v>
      </c>
      <c r="AF4521" t="n">
        <v>105000</v>
      </c>
      <c r="AG4521" t="n">
        <v>27076</v>
      </c>
      <c r="AH4521" t="n">
        <v>77924</v>
      </c>
      <c r="AI4521" t="n">
        <v>0</v>
      </c>
    </row>
    <row r="4522">
      <c r="A4522" t="inlineStr">
        <is>
          <t>5월</t>
        </is>
      </c>
      <c r="B4522" t="inlineStr">
        <is>
          <t>21주차</t>
        </is>
      </c>
      <c r="C4522" t="inlineStr">
        <is>
          <t>IM</t>
        </is>
      </c>
      <c r="D4522" s="28" t="n">
        <v>46161</v>
      </c>
      <c r="E4522" t="inlineStr">
        <is>
          <t>IM캐피탈</t>
        </is>
      </c>
      <c r="F4522" t="inlineStr">
        <is>
          <t>신주은</t>
        </is>
      </c>
      <c r="G4522" t="inlineStr">
        <is>
          <t>010-86000078</t>
        </is>
      </c>
      <c r="H4522" t="inlineStr">
        <is>
          <t>381수1297</t>
        </is>
      </c>
      <c r="I4522" t="n">
        <v>12500000</v>
      </c>
      <c r="J4522" t="n">
        <v>0.049</v>
      </c>
      <c r="K4522" t="n">
        <v>1.1</v>
      </c>
      <c r="L4522" t="n">
        <v>0.14</v>
      </c>
      <c r="M4522" t="n">
        <v>0.96</v>
      </c>
      <c r="P4522" t="inlineStr">
        <is>
          <t>최혁</t>
        </is>
      </c>
      <c r="Q4522" t="inlineStr">
        <is>
          <t>홈서비스72개월</t>
        </is>
      </c>
      <c r="AB4522" t="inlineStr">
        <is>
          <t>홈서비스</t>
        </is>
      </c>
      <c r="AC4522" t="n">
        <v>137500</v>
      </c>
      <c r="AD4522" t="n">
        <v>17500</v>
      </c>
      <c r="AE4522" t="n">
        <v>120000</v>
      </c>
      <c r="AF4522" t="n">
        <v>125000</v>
      </c>
      <c r="AG4522" t="n">
        <v>16922.5</v>
      </c>
      <c r="AH4522" t="n">
        <v>108077.5</v>
      </c>
    </row>
    <row r="4523">
      <c r="A4523" t="inlineStr">
        <is>
          <t>5월</t>
        </is>
      </c>
      <c r="B4523" t="inlineStr">
        <is>
          <t>21주차</t>
        </is>
      </c>
      <c r="C4523" t="inlineStr">
        <is>
          <t>EP</t>
        </is>
      </c>
      <c r="D4523" s="28" t="n">
        <v>46164</v>
      </c>
      <c r="E4523" t="inlineStr">
        <is>
          <t>BNKEP</t>
        </is>
      </c>
      <c r="F4523" t="inlineStr">
        <is>
          <t>김영완</t>
        </is>
      </c>
      <c r="G4523" t="inlineStr">
        <is>
          <t>010-8003-0658</t>
        </is>
      </c>
      <c r="H4523" t="inlineStr">
        <is>
          <t>155마4590</t>
        </is>
      </c>
      <c r="I4523" t="n">
        <v>35500000</v>
      </c>
      <c r="J4523" t="n">
        <v>0.117</v>
      </c>
      <c r="K4523" t="n">
        <v>1.65</v>
      </c>
      <c r="L4523" t="n">
        <v>0.14</v>
      </c>
      <c r="M4523" t="n">
        <v>1.51</v>
      </c>
      <c r="P4523" t="inlineStr">
        <is>
          <t>황채이</t>
        </is>
      </c>
      <c r="Q4523" t="inlineStr">
        <is>
          <t>홈서비스 60개월</t>
        </is>
      </c>
      <c r="AB4523" t="inlineStr">
        <is>
          <t>홈서비스</t>
        </is>
      </c>
      <c r="AC4523" t="n">
        <v>585750</v>
      </c>
      <c r="AD4523" t="n">
        <v>49700</v>
      </c>
      <c r="AE4523" t="n">
        <v>536050</v>
      </c>
      <c r="AF4523" t="n">
        <v>532500</v>
      </c>
      <c r="AG4523" t="n">
        <v>48059.9</v>
      </c>
      <c r="AH4523" t="n">
        <v>484440.1</v>
      </c>
    </row>
    <row r="4524">
      <c r="A4524" t="inlineStr">
        <is>
          <t>5월</t>
        </is>
      </c>
      <c r="B4524" t="inlineStr">
        <is>
          <t>21주차</t>
        </is>
      </c>
      <c r="C4524" t="inlineStr">
        <is>
          <t>EP</t>
        </is>
      </c>
      <c r="D4524" s="28" t="n">
        <v>46161</v>
      </c>
      <c r="E4524" t="inlineStr">
        <is>
          <t>BNKEP</t>
        </is>
      </c>
      <c r="F4524" t="inlineStr">
        <is>
          <t>김현주</t>
        </is>
      </c>
      <c r="G4524" t="inlineStr">
        <is>
          <t>010-9281-2056</t>
        </is>
      </c>
      <c r="H4524" t="inlineStr">
        <is>
          <t>15마0884</t>
        </is>
      </c>
      <c r="I4524" t="n">
        <v>11900000</v>
      </c>
      <c r="J4524" t="n">
        <v>0.106</v>
      </c>
      <c r="K4524" t="n">
        <v>1.65</v>
      </c>
      <c r="L4524" t="n">
        <v>0.14</v>
      </c>
      <c r="M4524" t="n">
        <v>1.51</v>
      </c>
      <c r="P4524" t="inlineStr">
        <is>
          <t>구성완</t>
        </is>
      </c>
      <c r="Q4524" t="inlineStr">
        <is>
          <t>안심거래존건</t>
        </is>
      </c>
      <c r="AB4524" t="inlineStr">
        <is>
          <t>믿고</t>
        </is>
      </c>
      <c r="AC4524" t="n">
        <v>196350</v>
      </c>
      <c r="AD4524" t="n">
        <v>16660</v>
      </c>
      <c r="AE4524" t="n">
        <v>179690</v>
      </c>
      <c r="AF4524" t="n">
        <v>178500</v>
      </c>
      <c r="AG4524" t="n">
        <v>16110.22</v>
      </c>
      <c r="AH4524" t="n">
        <v>162389.78</v>
      </c>
      <c r="AI4524" t="n">
        <v>0</v>
      </c>
    </row>
    <row r="4525">
      <c r="A4525" t="inlineStr">
        <is>
          <t>5월</t>
        </is>
      </c>
      <c r="B4525" t="inlineStr">
        <is>
          <t>21주차</t>
        </is>
      </c>
      <c r="C4525" t="inlineStr">
        <is>
          <t>EP</t>
        </is>
      </c>
      <c r="D4525" s="28" t="n">
        <v>46164</v>
      </c>
      <c r="E4525" t="inlineStr">
        <is>
          <t>현대EP_fast</t>
        </is>
      </c>
      <c r="F4525" t="inlineStr">
        <is>
          <t>이유승</t>
        </is>
      </c>
      <c r="G4525" t="inlineStr">
        <is>
          <t>010-7589-8963</t>
        </is>
      </c>
      <c r="H4525" t="inlineStr">
        <is>
          <t>349고2264</t>
        </is>
      </c>
      <c r="I4525" t="n">
        <v>15000000</v>
      </c>
      <c r="J4525" t="n">
        <v>0.074</v>
      </c>
      <c r="K4525" t="n">
        <v>1.76</v>
      </c>
      <c r="L4525" t="n">
        <v>0.14</v>
      </c>
      <c r="M4525" t="n">
        <v>1.62</v>
      </c>
      <c r="P4525" t="inlineStr">
        <is>
          <t>정세빈</t>
        </is>
      </c>
      <c r="Q4525" t="inlineStr">
        <is>
          <t>홈서비스 60개월</t>
        </is>
      </c>
      <c r="AB4525" t="inlineStr">
        <is>
          <t>홈서비스</t>
        </is>
      </c>
      <c r="AC4525" t="n">
        <v>264000</v>
      </c>
      <c r="AD4525" t="n">
        <v>21000</v>
      </c>
      <c r="AE4525" t="n">
        <v>243000</v>
      </c>
      <c r="AF4525" t="n">
        <v>240000</v>
      </c>
      <c r="AG4525" t="n">
        <v>20307</v>
      </c>
      <c r="AH4525" t="n">
        <v>219693</v>
      </c>
    </row>
    <row r="4526">
      <c r="A4526" t="inlineStr">
        <is>
          <t>5월</t>
        </is>
      </c>
      <c r="B4526" t="inlineStr">
        <is>
          <t>21주차</t>
        </is>
      </c>
      <c r="C4526" t="inlineStr">
        <is>
          <t>EP</t>
        </is>
      </c>
      <c r="D4526" s="28" t="n">
        <v>46164</v>
      </c>
      <c r="E4526" t="inlineStr">
        <is>
          <t>현대EP_fast</t>
        </is>
      </c>
      <c r="F4526" t="inlineStr">
        <is>
          <t>원호연</t>
        </is>
      </c>
      <c r="G4526" t="inlineStr">
        <is>
          <t>010-5787-8736</t>
        </is>
      </c>
      <c r="H4526" t="inlineStr">
        <is>
          <t>278우4537</t>
        </is>
      </c>
      <c r="I4526" t="n">
        <v>8100000</v>
      </c>
      <c r="J4526" t="n">
        <v>0.095</v>
      </c>
      <c r="K4526" t="n">
        <v>1.76</v>
      </c>
      <c r="L4526" t="n">
        <v>0.14</v>
      </c>
      <c r="M4526" t="n">
        <v>1.62</v>
      </c>
      <c r="P4526" t="inlineStr">
        <is>
          <t>황채이</t>
        </is>
      </c>
      <c r="Q4526" t="inlineStr">
        <is>
          <t>홈서비스 60개월</t>
        </is>
      </c>
      <c r="AB4526" t="inlineStr">
        <is>
          <t>홈서비스</t>
        </is>
      </c>
      <c r="AC4526" t="n">
        <v>142560</v>
      </c>
      <c r="AD4526" t="n">
        <v>11340</v>
      </c>
      <c r="AE4526" t="n">
        <v>131220</v>
      </c>
      <c r="AF4526" t="n">
        <v>129600</v>
      </c>
      <c r="AG4526" t="n">
        <v>10965.78</v>
      </c>
      <c r="AH4526" t="n">
        <v>118634.22</v>
      </c>
      <c r="AI4526" t="n">
        <v>0</v>
      </c>
    </row>
    <row r="4527">
      <c r="A4527" t="inlineStr">
        <is>
          <t>5월</t>
        </is>
      </c>
      <c r="B4527" t="inlineStr">
        <is>
          <t>21주차</t>
        </is>
      </c>
      <c r="C4527" t="inlineStr">
        <is>
          <t>EP</t>
        </is>
      </c>
      <c r="D4527" s="28" t="n">
        <v>46164</v>
      </c>
      <c r="E4527" t="inlineStr">
        <is>
          <t>BNKEP</t>
        </is>
      </c>
      <c r="F4527" t="inlineStr">
        <is>
          <t>이충훈</t>
        </is>
      </c>
      <c r="G4527" t="inlineStr">
        <is>
          <t>010-3817-7351</t>
        </is>
      </c>
      <c r="H4527" t="inlineStr">
        <is>
          <t>07라5953</t>
        </is>
      </c>
      <c r="I4527" t="n">
        <v>16900000</v>
      </c>
      <c r="J4527" t="n">
        <v>0.055</v>
      </c>
      <c r="K4527" t="n">
        <v>1.65</v>
      </c>
      <c r="L4527" t="n">
        <v>0.14</v>
      </c>
      <c r="M4527" t="n">
        <v>1.51</v>
      </c>
      <c r="P4527" t="inlineStr">
        <is>
          <t>김수연</t>
        </is>
      </c>
      <c r="Q4527" t="inlineStr">
        <is>
          <t>홈서비스 72개월</t>
        </is>
      </c>
      <c r="AB4527" t="inlineStr">
        <is>
          <t>홈서비스</t>
        </is>
      </c>
      <c r="AC4527" t="n">
        <v>278850</v>
      </c>
      <c r="AD4527" t="n">
        <v>23660</v>
      </c>
      <c r="AE4527" t="n">
        <v>255190</v>
      </c>
      <c r="AF4527" t="n">
        <v>253500</v>
      </c>
      <c r="AG4527" t="n">
        <v>22879.22</v>
      </c>
      <c r="AH4527" t="n">
        <v>230620.78</v>
      </c>
      <c r="AI4527" t="n">
        <v>0</v>
      </c>
    </row>
    <row r="4528">
      <c r="A4528" t="inlineStr">
        <is>
          <t>5월</t>
        </is>
      </c>
      <c r="B4528" t="inlineStr">
        <is>
          <t>21주차</t>
        </is>
      </c>
      <c r="C4528" t="inlineStr">
        <is>
          <t>EP</t>
        </is>
      </c>
      <c r="D4528" s="28" t="n">
        <v>46164</v>
      </c>
      <c r="E4528" t="inlineStr">
        <is>
          <t>제이비EP</t>
        </is>
      </c>
      <c r="F4528" t="inlineStr">
        <is>
          <t>이혜현</t>
        </is>
      </c>
      <c r="G4528" t="inlineStr">
        <is>
          <t>010-6729-0903</t>
        </is>
      </c>
      <c r="H4528" t="inlineStr">
        <is>
          <t>93두2990</t>
        </is>
      </c>
      <c r="I4528" t="n">
        <v>6000000</v>
      </c>
      <c r="J4528" t="n">
        <v>0.066</v>
      </c>
      <c r="K4528" t="n">
        <v>1.65</v>
      </c>
      <c r="L4528" t="n">
        <v>0.4</v>
      </c>
      <c r="M4528" t="n">
        <v>1.25</v>
      </c>
      <c r="P4528" t="inlineStr">
        <is>
          <t>박소현</t>
        </is>
      </c>
      <c r="Q4528" t="inlineStr">
        <is>
          <t>법인할부 / (유)토리앤쿡 / 전산 :윤영우</t>
        </is>
      </c>
      <c r="AB4528" t="inlineStr">
        <is>
          <t>엔카</t>
        </is>
      </c>
      <c r="AC4528" t="n">
        <v>99000</v>
      </c>
      <c r="AD4528" t="n">
        <v>24000</v>
      </c>
      <c r="AE4528" t="n">
        <v>75000</v>
      </c>
      <c r="AF4528" t="n">
        <v>90000</v>
      </c>
      <c r="AG4528" t="n">
        <v>23208</v>
      </c>
      <c r="AH4528" t="n">
        <v>66792</v>
      </c>
    </row>
    <row r="4529">
      <c r="A4529" t="inlineStr">
        <is>
          <t>5월</t>
        </is>
      </c>
      <c r="B4529" t="inlineStr">
        <is>
          <t>21주차</t>
        </is>
      </c>
      <c r="C4529" t="inlineStr">
        <is>
          <t>IM</t>
        </is>
      </c>
      <c r="D4529" s="28" t="n">
        <v>46162</v>
      </c>
      <c r="E4529" t="inlineStr">
        <is>
          <t>IM캐피탈</t>
        </is>
      </c>
      <c r="F4529" t="inlineStr">
        <is>
          <t>황용철</t>
        </is>
      </c>
      <c r="G4529" t="inlineStr">
        <is>
          <t>010-8879-1605</t>
        </is>
      </c>
      <c r="H4529" t="inlineStr">
        <is>
          <t>163가7465</t>
        </is>
      </c>
      <c r="I4529" t="n">
        <v>65000000</v>
      </c>
      <c r="J4529" t="n">
        <v>0.06900000000000001</v>
      </c>
      <c r="K4529" t="n">
        <v>1.1</v>
      </c>
      <c r="L4529" t="n">
        <v>0.4</v>
      </c>
      <c r="M4529" t="n">
        <v>0.7</v>
      </c>
      <c r="P4529" t="inlineStr">
        <is>
          <t>구성완</t>
        </is>
      </c>
      <c r="AB4529" t="inlineStr">
        <is>
          <t>엔카</t>
        </is>
      </c>
      <c r="AC4529" t="n">
        <v>715000</v>
      </c>
      <c r="AD4529" t="n">
        <v>260000</v>
      </c>
      <c r="AE4529" t="n">
        <v>455000</v>
      </c>
      <c r="AF4529" t="n">
        <v>650000</v>
      </c>
      <c r="AG4529" t="n">
        <v>251420</v>
      </c>
      <c r="AH4529" t="n">
        <v>398580</v>
      </c>
      <c r="AI4529" t="n">
        <v>0</v>
      </c>
    </row>
    <row r="4530">
      <c r="A4530" t="inlineStr">
        <is>
          <t>5월</t>
        </is>
      </c>
      <c r="B4530" t="inlineStr">
        <is>
          <t>21주차</t>
        </is>
      </c>
      <c r="C4530" t="inlineStr">
        <is>
          <t>IM</t>
        </is>
      </c>
      <c r="D4530" s="28" t="n">
        <v>46164</v>
      </c>
      <c r="E4530" t="inlineStr">
        <is>
          <t>IM캐피탈</t>
        </is>
      </c>
      <c r="F4530" t="inlineStr">
        <is>
          <t>최윤희</t>
        </is>
      </c>
      <c r="G4530" t="inlineStr">
        <is>
          <t>010-7702-5126</t>
        </is>
      </c>
      <c r="H4530" t="inlineStr">
        <is>
          <t>102노8328</t>
        </is>
      </c>
      <c r="I4530" t="n">
        <v>16000000</v>
      </c>
      <c r="J4530" t="n">
        <v>0.079</v>
      </c>
      <c r="K4530" t="n">
        <v>1.1</v>
      </c>
      <c r="L4530" t="n">
        <v>0.5</v>
      </c>
      <c r="M4530" t="n">
        <v>0.6</v>
      </c>
      <c r="P4530" t="inlineStr">
        <is>
          <t>임대경</t>
        </is>
      </c>
      <c r="Q4530" t="inlineStr">
        <is>
          <t>부대비용 추가 진행</t>
        </is>
      </c>
      <c r="AB4530" t="inlineStr">
        <is>
          <t>엔카</t>
        </is>
      </c>
      <c r="AC4530" t="n">
        <v>176000</v>
      </c>
      <c r="AD4530" t="n">
        <v>80000</v>
      </c>
      <c r="AE4530" t="n">
        <v>96000</v>
      </c>
      <c r="AF4530" t="n">
        <v>160000</v>
      </c>
      <c r="AG4530" t="n">
        <v>77360</v>
      </c>
      <c r="AH4530" t="n">
        <v>82640</v>
      </c>
      <c r="AI4530" t="n">
        <v>0</v>
      </c>
    </row>
    <row r="4531">
      <c r="A4531" t="inlineStr">
        <is>
          <t>5월</t>
        </is>
      </c>
      <c r="B4531" t="inlineStr">
        <is>
          <t>21주차</t>
        </is>
      </c>
      <c r="C4531" t="inlineStr">
        <is>
          <t>EP</t>
        </is>
      </c>
      <c r="D4531" s="28" t="n">
        <v>46164</v>
      </c>
      <c r="E4531" t="inlineStr">
        <is>
          <t>BNKEP</t>
        </is>
      </c>
      <c r="F4531" t="inlineStr">
        <is>
          <t>박시현</t>
        </is>
      </c>
      <c r="G4531" t="inlineStr">
        <is>
          <t>010-8968-8758</t>
        </is>
      </c>
      <c r="H4531" t="inlineStr">
        <is>
          <t>130어2966</t>
        </is>
      </c>
      <c r="I4531" t="n">
        <v>52900000</v>
      </c>
      <c r="J4531" t="n">
        <v>0.07199999999999999</v>
      </c>
      <c r="K4531" t="n">
        <v>1.65</v>
      </c>
      <c r="L4531" t="n">
        <v>0.14</v>
      </c>
      <c r="M4531" t="n">
        <v>1.51</v>
      </c>
      <c r="P4531" t="inlineStr">
        <is>
          <t>황채이</t>
        </is>
      </c>
      <c r="Q4531" t="inlineStr">
        <is>
          <t>홈서비스 60개월 / 부대비용 추가진행</t>
        </is>
      </c>
      <c r="AB4531" t="inlineStr">
        <is>
          <t>홈서비스</t>
        </is>
      </c>
      <c r="AC4531" t="n">
        <v>872850</v>
      </c>
      <c r="AD4531" t="n">
        <v>74060</v>
      </c>
      <c r="AE4531" t="n">
        <v>798790</v>
      </c>
      <c r="AF4531" t="n">
        <v>793500</v>
      </c>
      <c r="AG4531" t="n">
        <v>71616.02</v>
      </c>
      <c r="AH4531" t="n">
        <v>721883.98</v>
      </c>
      <c r="AI4531" t="n">
        <v>0</v>
      </c>
    </row>
    <row r="4532">
      <c r="A4532" t="inlineStr">
        <is>
          <t>5월</t>
        </is>
      </c>
      <c r="B4532" t="inlineStr">
        <is>
          <t>21주차</t>
        </is>
      </c>
      <c r="C4532" t="inlineStr">
        <is>
          <t>EP</t>
        </is>
      </c>
      <c r="D4532" s="28" t="n">
        <v>46162</v>
      </c>
      <c r="E4532" t="inlineStr">
        <is>
          <t>현대EP_fast</t>
        </is>
      </c>
      <c r="F4532" t="inlineStr">
        <is>
          <t>윤해원</t>
        </is>
      </c>
      <c r="G4532" t="inlineStr">
        <is>
          <t>010-4439-8347</t>
        </is>
      </c>
      <c r="H4532" t="inlineStr">
        <is>
          <t>390마7961</t>
        </is>
      </c>
      <c r="I4532" t="n">
        <v>6000000</v>
      </c>
      <c r="J4532" t="n">
        <v>0.129</v>
      </c>
      <c r="K4532" t="n">
        <v>1.76</v>
      </c>
      <c r="L4532" t="n">
        <v>0.4</v>
      </c>
      <c r="M4532" t="n">
        <v>1.36</v>
      </c>
      <c r="P4532" t="inlineStr">
        <is>
          <t>최혁</t>
        </is>
      </c>
      <c r="AB4532" t="inlineStr">
        <is>
          <t>엔카</t>
        </is>
      </c>
      <c r="AC4532" t="n">
        <v>105600</v>
      </c>
      <c r="AD4532" t="n">
        <v>24000</v>
      </c>
      <c r="AE4532" t="n">
        <v>81600</v>
      </c>
      <c r="AF4532" t="n">
        <v>96000</v>
      </c>
      <c r="AG4532" t="n">
        <v>23208</v>
      </c>
      <c r="AH4532" t="n">
        <v>72792</v>
      </c>
      <c r="AI4532" t="n">
        <v>0</v>
      </c>
    </row>
    <row r="4533">
      <c r="A4533" t="inlineStr">
        <is>
          <t>5월</t>
        </is>
      </c>
      <c r="B4533" t="inlineStr">
        <is>
          <t>21주차</t>
        </is>
      </c>
      <c r="C4533" t="inlineStr">
        <is>
          <t>EP</t>
        </is>
      </c>
      <c r="D4533" s="28" t="n">
        <v>46164</v>
      </c>
      <c r="E4533" t="inlineStr">
        <is>
          <t>제이비EP</t>
        </is>
      </c>
      <c r="F4533" t="inlineStr">
        <is>
          <t>유정상</t>
        </is>
      </c>
      <c r="G4533" t="inlineStr">
        <is>
          <t>010-2819-0724</t>
        </is>
      </c>
      <c r="H4533" t="inlineStr">
        <is>
          <t>15저9250</t>
        </is>
      </c>
      <c r="I4533" t="n">
        <v>31900000</v>
      </c>
      <c r="J4533" t="n">
        <v>0.079</v>
      </c>
      <c r="K4533" t="n">
        <v>1.65</v>
      </c>
      <c r="L4533" t="n">
        <v>0.14</v>
      </c>
      <c r="M4533" t="n">
        <v>1.51</v>
      </c>
      <c r="P4533" t="inlineStr">
        <is>
          <t>정세빈</t>
        </is>
      </c>
      <c r="Q4533" t="inlineStr">
        <is>
          <t>홈서비스 60개월 / 전산X</t>
        </is>
      </c>
      <c r="AB4533" t="inlineStr">
        <is>
          <t>홈서비스</t>
        </is>
      </c>
      <c r="AC4533" t="n">
        <v>526350</v>
      </c>
      <c r="AD4533" t="n">
        <v>44660</v>
      </c>
      <c r="AE4533" t="n">
        <v>481690</v>
      </c>
      <c r="AF4533" t="n">
        <v>478500</v>
      </c>
      <c r="AG4533" t="n">
        <v>43186.22</v>
      </c>
      <c r="AH4533" t="n">
        <v>435313.78</v>
      </c>
      <c r="AI4533" t="n">
        <v>0</v>
      </c>
    </row>
    <row r="4534">
      <c r="A4534" t="inlineStr">
        <is>
          <t>5월</t>
        </is>
      </c>
      <c r="B4534" t="inlineStr">
        <is>
          <t>21주차</t>
        </is>
      </c>
      <c r="C4534" t="inlineStr">
        <is>
          <t>IM</t>
        </is>
      </c>
      <c r="D4534" s="28" t="n">
        <v>46163</v>
      </c>
      <c r="E4534" t="inlineStr">
        <is>
          <t>IM캐피탈</t>
        </is>
      </c>
      <c r="F4534" t="inlineStr">
        <is>
          <t>나정우</t>
        </is>
      </c>
      <c r="G4534" t="inlineStr">
        <is>
          <t>010-5326-9510</t>
        </is>
      </c>
      <c r="H4534" t="inlineStr">
        <is>
          <t>207마7546</t>
        </is>
      </c>
      <c r="I4534" t="n">
        <v>64900000</v>
      </c>
      <c r="J4534" t="n">
        <v>0.063</v>
      </c>
      <c r="K4534" t="n">
        <v>1.1</v>
      </c>
      <c r="L4534" t="n">
        <v>0.14</v>
      </c>
      <c r="M4534" t="n">
        <v>0.96</v>
      </c>
      <c r="P4534" t="inlineStr">
        <is>
          <t>박현민</t>
        </is>
      </c>
      <c r="Q4534" t="inlineStr">
        <is>
          <t>홈서비스 60개월</t>
        </is>
      </c>
      <c r="AB4534" t="inlineStr">
        <is>
          <t>홈서비스</t>
        </is>
      </c>
      <c r="AC4534" t="n">
        <v>713900</v>
      </c>
      <c r="AD4534" t="n">
        <v>90860</v>
      </c>
      <c r="AE4534" t="n">
        <v>623040</v>
      </c>
      <c r="AF4534" t="n">
        <v>649000</v>
      </c>
      <c r="AG4534" t="n">
        <v>87861.62</v>
      </c>
      <c r="AH4534" t="n">
        <v>561138.38</v>
      </c>
      <c r="AI4534" t="n">
        <v>0</v>
      </c>
    </row>
    <row r="4535">
      <c r="A4535" t="inlineStr">
        <is>
          <t>5월</t>
        </is>
      </c>
      <c r="B4535" t="inlineStr">
        <is>
          <t>21주차</t>
        </is>
      </c>
      <c r="C4535" t="inlineStr">
        <is>
          <t>EP</t>
        </is>
      </c>
      <c r="D4535" s="28" t="n">
        <v>46164</v>
      </c>
      <c r="E4535" t="inlineStr">
        <is>
          <t>현대EP_fast</t>
        </is>
      </c>
      <c r="F4535" t="inlineStr">
        <is>
          <t>배민수</t>
        </is>
      </c>
      <c r="G4535" t="inlineStr">
        <is>
          <t>010-3300-2158</t>
        </is>
      </c>
      <c r="H4535" t="inlineStr">
        <is>
          <t>68두8518</t>
        </is>
      </c>
      <c r="I4535" t="n">
        <v>10900000</v>
      </c>
      <c r="J4535" t="n">
        <v>0.129</v>
      </c>
      <c r="K4535" t="n">
        <v>1.76</v>
      </c>
      <c r="L4535" t="n">
        <v>0.14</v>
      </c>
      <c r="M4535" t="n">
        <v>1.62</v>
      </c>
      <c r="P4535" t="inlineStr">
        <is>
          <t>정세빈</t>
        </is>
      </c>
      <c r="Q4535" t="inlineStr">
        <is>
          <t>홈서비스 48개월</t>
        </is>
      </c>
      <c r="AB4535" t="inlineStr">
        <is>
          <t>홈서비스</t>
        </is>
      </c>
      <c r="AC4535" t="n">
        <v>191840</v>
      </c>
      <c r="AD4535" t="n">
        <v>15260</v>
      </c>
      <c r="AE4535" t="n">
        <v>176580</v>
      </c>
      <c r="AF4535" t="n">
        <v>174400</v>
      </c>
      <c r="AG4535" t="n">
        <v>14756.42</v>
      </c>
      <c r="AH4535" t="n">
        <v>159643.58</v>
      </c>
      <c r="AI4535" t="n">
        <v>0</v>
      </c>
    </row>
    <row r="4536">
      <c r="A4536" t="inlineStr">
        <is>
          <t>5월</t>
        </is>
      </c>
      <c r="B4536" t="inlineStr">
        <is>
          <t>21주차</t>
        </is>
      </c>
      <c r="C4536" t="inlineStr">
        <is>
          <t>IM</t>
        </is>
      </c>
      <c r="D4536" s="28" t="n">
        <v>46164</v>
      </c>
      <c r="E4536" t="inlineStr">
        <is>
          <t>IM캐피탈</t>
        </is>
      </c>
      <c r="F4536" t="inlineStr">
        <is>
          <t>고명선</t>
        </is>
      </c>
      <c r="G4536" t="inlineStr">
        <is>
          <t>010-3667-6114</t>
        </is>
      </c>
      <c r="H4536" t="inlineStr">
        <is>
          <t>55구1564</t>
        </is>
      </c>
      <c r="I4536" t="n">
        <v>10000000</v>
      </c>
      <c r="J4536" t="n">
        <v>0.063</v>
      </c>
      <c r="K4536" t="n">
        <v>1.1</v>
      </c>
      <c r="L4536" t="n">
        <v>0.14</v>
      </c>
      <c r="M4536" t="n">
        <v>0.96</v>
      </c>
      <c r="P4536" t="inlineStr">
        <is>
          <t>정세빈</t>
        </is>
      </c>
      <c r="Q4536" t="inlineStr">
        <is>
          <t>홈서비스 36개월</t>
        </is>
      </c>
      <c r="AB4536" t="inlineStr">
        <is>
          <t>홈서비스</t>
        </is>
      </c>
      <c r="AC4536" t="n">
        <v>110000</v>
      </c>
      <c r="AD4536" t="n">
        <v>14000</v>
      </c>
      <c r="AE4536" t="n">
        <v>96000</v>
      </c>
      <c r="AF4536" t="n">
        <v>100000</v>
      </c>
      <c r="AG4536" t="n">
        <v>13538</v>
      </c>
      <c r="AH4536" t="n">
        <v>86462</v>
      </c>
      <c r="AI4536" t="n">
        <v>0</v>
      </c>
    </row>
    <row r="4537">
      <c r="A4537" t="inlineStr">
        <is>
          <t>5월</t>
        </is>
      </c>
      <c r="B4537" t="inlineStr">
        <is>
          <t>21주차</t>
        </is>
      </c>
      <c r="C4537" t="inlineStr">
        <is>
          <t>IM</t>
        </is>
      </c>
      <c r="D4537" s="28" t="n">
        <v>46164</v>
      </c>
      <c r="E4537" t="inlineStr">
        <is>
          <t>IM캐피탈</t>
        </is>
      </c>
      <c r="F4537" t="inlineStr">
        <is>
          <t>임다진</t>
        </is>
      </c>
      <c r="G4537" t="inlineStr">
        <is>
          <t>010-7635-0622</t>
        </is>
      </c>
      <c r="H4537" t="inlineStr">
        <is>
          <t>198버6205</t>
        </is>
      </c>
      <c r="I4537" t="n">
        <v>9100000</v>
      </c>
      <c r="J4537" t="n">
        <v>0.067</v>
      </c>
      <c r="K4537" t="n">
        <v>1.1</v>
      </c>
      <c r="L4537" t="n">
        <v>0.14</v>
      </c>
      <c r="M4537" t="n">
        <v>0.96</v>
      </c>
      <c r="P4537" t="inlineStr">
        <is>
          <t>정세빈</t>
        </is>
      </c>
      <c r="Q4537" t="inlineStr">
        <is>
          <t xml:space="preserve">홈서비스 48개월 </t>
        </is>
      </c>
      <c r="AB4537" t="inlineStr">
        <is>
          <t>홈서비스</t>
        </is>
      </c>
      <c r="AC4537" t="n">
        <v>100100</v>
      </c>
      <c r="AD4537" t="n">
        <v>12740</v>
      </c>
      <c r="AE4537" t="n">
        <v>87360</v>
      </c>
      <c r="AF4537" t="n">
        <v>91000</v>
      </c>
      <c r="AG4537" t="n">
        <v>12319.58</v>
      </c>
      <c r="AH4537" t="n">
        <v>78680.42</v>
      </c>
      <c r="AI4537" t="n">
        <v>0</v>
      </c>
    </row>
    <row r="4538">
      <c r="A4538" t="inlineStr">
        <is>
          <t>5월</t>
        </is>
      </c>
      <c r="B4538" t="inlineStr">
        <is>
          <t>21주차</t>
        </is>
      </c>
      <c r="C4538" t="inlineStr">
        <is>
          <t>EP</t>
        </is>
      </c>
      <c r="D4538" s="28" t="n">
        <v>46163</v>
      </c>
      <c r="E4538" t="inlineStr">
        <is>
          <t>제이비EP</t>
        </is>
      </c>
      <c r="F4538" t="inlineStr">
        <is>
          <t>오점환</t>
        </is>
      </c>
      <c r="G4538" t="inlineStr">
        <is>
          <t>010-2269-4082</t>
        </is>
      </c>
      <c r="H4538" t="inlineStr">
        <is>
          <t>383더6447</t>
        </is>
      </c>
      <c r="I4538" t="n">
        <v>20700000</v>
      </c>
      <c r="J4538" t="n">
        <v>0.08699999999999999</v>
      </c>
      <c r="K4538" t="n">
        <v>1.65</v>
      </c>
      <c r="L4538" t="n">
        <v>0.4</v>
      </c>
      <c r="M4538" t="n">
        <v>1.25</v>
      </c>
      <c r="P4538" t="inlineStr">
        <is>
          <t>장진경</t>
        </is>
      </c>
      <c r="Q4538" t="inlineStr">
        <is>
          <t>부대비용 추가진행</t>
        </is>
      </c>
      <c r="AB4538" t="inlineStr">
        <is>
          <t>엔카</t>
        </is>
      </c>
      <c r="AC4538" t="n">
        <v>341550</v>
      </c>
      <c r="AD4538" t="n">
        <v>82800</v>
      </c>
      <c r="AE4538" t="n">
        <v>258750</v>
      </c>
      <c r="AF4538" t="n">
        <v>310500</v>
      </c>
      <c r="AG4538" t="n">
        <v>80067.60000000001</v>
      </c>
      <c r="AH4538" t="n">
        <v>230432.4</v>
      </c>
    </row>
    <row r="4539">
      <c r="A4539" t="inlineStr">
        <is>
          <t>5월</t>
        </is>
      </c>
      <c r="B4539" t="inlineStr">
        <is>
          <t>21주차</t>
        </is>
      </c>
      <c r="C4539" t="inlineStr">
        <is>
          <t>IM</t>
        </is>
      </c>
      <c r="D4539" s="28" t="n">
        <v>46164</v>
      </c>
      <c r="E4539" t="inlineStr">
        <is>
          <t>IM캐피탈</t>
        </is>
      </c>
      <c r="F4539" t="inlineStr">
        <is>
          <t>문정효</t>
        </is>
      </c>
      <c r="G4539" t="inlineStr">
        <is>
          <t>010-3555-3229</t>
        </is>
      </c>
      <c r="H4539" t="inlineStr">
        <is>
          <t>229로6746</t>
        </is>
      </c>
      <c r="I4539" t="n">
        <v>23000000</v>
      </c>
      <c r="J4539" t="n">
        <v>0.067</v>
      </c>
      <c r="K4539" t="n">
        <v>1.1</v>
      </c>
      <c r="L4539" t="n">
        <v>0.5</v>
      </c>
      <c r="M4539" t="n">
        <v>0.6</v>
      </c>
      <c r="P4539" t="inlineStr">
        <is>
          <t>임대경</t>
        </is>
      </c>
      <c r="Q4539" t="inlineStr">
        <is>
          <t>부대비용 추가진행</t>
        </is>
      </c>
      <c r="AB4539" t="inlineStr">
        <is>
          <t>엔카</t>
        </is>
      </c>
      <c r="AC4539" t="n">
        <v>253000</v>
      </c>
      <c r="AD4539" t="n">
        <v>115000</v>
      </c>
      <c r="AE4539" t="n">
        <v>138000</v>
      </c>
      <c r="AF4539" t="n">
        <v>230000</v>
      </c>
      <c r="AG4539" t="n">
        <v>111205</v>
      </c>
      <c r="AH4539" t="n">
        <v>118795</v>
      </c>
      <c r="AI4539" t="n">
        <v>0</v>
      </c>
    </row>
    <row r="4540">
      <c r="A4540" t="inlineStr">
        <is>
          <t>5월</t>
        </is>
      </c>
      <c r="B4540" t="inlineStr">
        <is>
          <t>21주차</t>
        </is>
      </c>
      <c r="C4540" t="inlineStr">
        <is>
          <t>EP</t>
        </is>
      </c>
      <c r="D4540" s="28" t="n">
        <v>46164</v>
      </c>
      <c r="E4540" t="inlineStr">
        <is>
          <t>현대EP_fast</t>
        </is>
      </c>
      <c r="F4540" t="inlineStr">
        <is>
          <t>조해승</t>
        </is>
      </c>
      <c r="G4540" t="inlineStr">
        <is>
          <t>010-5636-8184</t>
        </is>
      </c>
      <c r="H4540" t="inlineStr">
        <is>
          <t>148마7486</t>
        </is>
      </c>
      <c r="I4540" t="n">
        <v>28800000</v>
      </c>
      <c r="J4540" t="n">
        <v>0.129</v>
      </c>
      <c r="K4540" t="n">
        <v>1.76</v>
      </c>
      <c r="L4540" t="n">
        <v>0.4</v>
      </c>
      <c r="M4540" t="n">
        <v>1.36</v>
      </c>
      <c r="P4540" t="inlineStr">
        <is>
          <t>최혁</t>
        </is>
      </c>
      <c r="AB4540" t="inlineStr">
        <is>
          <t>엔카</t>
        </is>
      </c>
      <c r="AC4540" t="n">
        <v>506880</v>
      </c>
      <c r="AD4540" t="n">
        <v>115200</v>
      </c>
      <c r="AE4540" t="n">
        <v>391680</v>
      </c>
      <c r="AF4540" t="n">
        <v>460800</v>
      </c>
      <c r="AG4540" t="n">
        <v>111398.4</v>
      </c>
      <c r="AH4540" t="n">
        <v>349401.6</v>
      </c>
      <c r="AI4540" t="n">
        <v>0</v>
      </c>
    </row>
    <row r="4541">
      <c r="A4541" t="inlineStr">
        <is>
          <t>5월</t>
        </is>
      </c>
      <c r="B4541" t="inlineStr">
        <is>
          <t>21주차</t>
        </is>
      </c>
      <c r="C4541" t="inlineStr">
        <is>
          <t>EP</t>
        </is>
      </c>
      <c r="D4541" s="28" t="n">
        <v>46163</v>
      </c>
      <c r="E4541" t="inlineStr">
        <is>
          <t>제이비EP</t>
        </is>
      </c>
      <c r="F4541" t="inlineStr">
        <is>
          <t>정시몬</t>
        </is>
      </c>
      <c r="G4541" t="inlineStr">
        <is>
          <t>010-4768-7992</t>
        </is>
      </c>
      <c r="H4541" t="inlineStr">
        <is>
          <t>159우8753</t>
        </is>
      </c>
      <c r="I4541" t="n">
        <v>50000000</v>
      </c>
      <c r="J4541" t="n">
        <v>0.079</v>
      </c>
      <c r="K4541" t="n">
        <v>1.65</v>
      </c>
      <c r="L4541" t="n">
        <v>0.4</v>
      </c>
      <c r="M4541" t="n">
        <v>1.25</v>
      </c>
      <c r="P4541" t="inlineStr">
        <is>
          <t>장진경</t>
        </is>
      </c>
      <c r="AB4541" t="inlineStr">
        <is>
          <t>엔카</t>
        </is>
      </c>
      <c r="AC4541" t="n">
        <v>825000</v>
      </c>
      <c r="AD4541" t="n">
        <v>200000</v>
      </c>
      <c r="AE4541" t="n">
        <v>625000</v>
      </c>
      <c r="AF4541" t="n">
        <v>750000</v>
      </c>
      <c r="AG4541" t="n">
        <v>193400</v>
      </c>
      <c r="AH4541" t="n">
        <v>556600</v>
      </c>
      <c r="AI4541" t="n">
        <v>0</v>
      </c>
    </row>
    <row r="4542">
      <c r="A4542" t="inlineStr">
        <is>
          <t>5월</t>
        </is>
      </c>
      <c r="B4542" t="inlineStr">
        <is>
          <t>21주차</t>
        </is>
      </c>
      <c r="C4542" t="inlineStr">
        <is>
          <t>IM</t>
        </is>
      </c>
      <c r="D4542" s="28" t="n">
        <v>46164</v>
      </c>
      <c r="E4542" t="inlineStr">
        <is>
          <t>IM캐피탈</t>
        </is>
      </c>
      <c r="F4542" t="inlineStr">
        <is>
          <t>양태령</t>
        </is>
      </c>
      <c r="G4542" t="inlineStr">
        <is>
          <t>010-9672-5339</t>
        </is>
      </c>
      <c r="H4542" t="inlineStr">
        <is>
          <t>48거5704</t>
        </is>
      </c>
      <c r="I4542" t="n">
        <v>6300000</v>
      </c>
      <c r="J4542" t="n">
        <v>0.06900000000000001</v>
      </c>
      <c r="K4542" t="n">
        <v>1.1</v>
      </c>
      <c r="L4542" t="n">
        <v>0.4</v>
      </c>
      <c r="M4542" t="n">
        <v>0.7</v>
      </c>
      <c r="P4542" t="inlineStr">
        <is>
          <t>장진경</t>
        </is>
      </c>
      <c r="Q4542" t="inlineStr">
        <is>
          <t>부대비용 추가진행</t>
        </is>
      </c>
      <c r="AB4542" t="inlineStr">
        <is>
          <t>엔카</t>
        </is>
      </c>
      <c r="AC4542" t="n">
        <v>69300</v>
      </c>
      <c r="AD4542" t="n">
        <v>25200</v>
      </c>
      <c r="AE4542" t="n">
        <v>44100</v>
      </c>
      <c r="AF4542" t="n">
        <v>63000</v>
      </c>
      <c r="AG4542" t="n">
        <v>24368.4</v>
      </c>
      <c r="AH4542" t="n">
        <v>38631.6</v>
      </c>
      <c r="AI4542" t="n">
        <v>0</v>
      </c>
    </row>
    <row r="4543">
      <c r="A4543" t="inlineStr">
        <is>
          <t>5월</t>
        </is>
      </c>
      <c r="B4543" t="inlineStr">
        <is>
          <t>21주차</t>
        </is>
      </c>
      <c r="C4543" t="inlineStr">
        <is>
          <t>EP</t>
        </is>
      </c>
      <c r="D4543" s="28" t="n">
        <v>46164</v>
      </c>
      <c r="E4543" t="inlineStr">
        <is>
          <t>현대EP_fast</t>
        </is>
      </c>
      <c r="F4543" t="inlineStr">
        <is>
          <t>마쯔나가가쯔꼬</t>
        </is>
      </c>
      <c r="G4543" t="inlineStr">
        <is>
          <t>010-5120-9245</t>
        </is>
      </c>
      <c r="H4543" t="inlineStr">
        <is>
          <t>11우6676</t>
        </is>
      </c>
      <c r="I4543" t="n">
        <v>7800000</v>
      </c>
      <c r="J4543" t="n">
        <v>0.07099999999999999</v>
      </c>
      <c r="K4543" t="n">
        <v>1.76</v>
      </c>
      <c r="L4543" t="n">
        <v>0.14</v>
      </c>
      <c r="M4543" t="n">
        <v>1.62</v>
      </c>
      <c r="P4543" t="inlineStr">
        <is>
          <t>임대경</t>
        </is>
      </c>
      <c r="Q4543" t="inlineStr">
        <is>
          <t>홈서비스 60개월</t>
        </is>
      </c>
      <c r="AB4543" t="inlineStr">
        <is>
          <t>홈서비스</t>
        </is>
      </c>
      <c r="AC4543" t="n">
        <v>137280</v>
      </c>
      <c r="AD4543" t="n">
        <v>10920</v>
      </c>
      <c r="AE4543" t="n">
        <v>126360</v>
      </c>
      <c r="AF4543" t="n">
        <v>124800</v>
      </c>
      <c r="AG4543" t="n">
        <v>10559.64</v>
      </c>
      <c r="AH4543" t="n">
        <v>114240.36</v>
      </c>
      <c r="AI4543" t="n">
        <v>0</v>
      </c>
    </row>
    <row r="4544">
      <c r="A4544" t="inlineStr">
        <is>
          <t>5월</t>
        </is>
      </c>
      <c r="B4544" t="inlineStr">
        <is>
          <t>21주차</t>
        </is>
      </c>
      <c r="C4544" t="inlineStr">
        <is>
          <t>EP</t>
        </is>
      </c>
      <c r="D4544" s="28" t="n">
        <v>46164</v>
      </c>
      <c r="E4544" t="inlineStr">
        <is>
          <t>현대EP_fast</t>
        </is>
      </c>
      <c r="F4544" t="inlineStr">
        <is>
          <t>문종희</t>
        </is>
      </c>
      <c r="G4544" t="inlineStr">
        <is>
          <t>010-5148-9986</t>
        </is>
      </c>
      <c r="H4544" t="inlineStr">
        <is>
          <t>220호2689</t>
        </is>
      </c>
      <c r="I4544" t="n">
        <v>22900000</v>
      </c>
      <c r="J4544" t="n">
        <v>0.105</v>
      </c>
      <c r="K4544" t="n">
        <v>1.76</v>
      </c>
      <c r="L4544" t="n">
        <v>0.14</v>
      </c>
      <c r="M4544" t="n">
        <v>1.62</v>
      </c>
      <c r="P4544" t="inlineStr">
        <is>
          <t>임대경</t>
        </is>
      </c>
      <c r="Q4544" t="inlineStr">
        <is>
          <t>홈서비스 60개월</t>
        </is>
      </c>
      <c r="AB4544" t="inlineStr">
        <is>
          <t>홈서비스</t>
        </is>
      </c>
      <c r="AC4544" t="n">
        <v>403040</v>
      </c>
      <c r="AD4544" t="n">
        <v>32060</v>
      </c>
      <c r="AE4544" t="n">
        <v>370980</v>
      </c>
      <c r="AF4544" t="n">
        <v>366400</v>
      </c>
      <c r="AG4544" t="n">
        <v>31002.02</v>
      </c>
      <c r="AH4544" t="n">
        <v>335397.98</v>
      </c>
      <c r="AI4544" t="n">
        <v>0</v>
      </c>
    </row>
    <row r="4545">
      <c r="A4545" t="inlineStr">
        <is>
          <t>5월</t>
        </is>
      </c>
      <c r="B4545" t="inlineStr">
        <is>
          <t>21주차</t>
        </is>
      </c>
      <c r="C4545" t="inlineStr">
        <is>
          <t>IM</t>
        </is>
      </c>
      <c r="D4545" s="28" t="n">
        <v>46164</v>
      </c>
      <c r="E4545" t="inlineStr">
        <is>
          <t>IM캐피탈</t>
        </is>
      </c>
      <c r="F4545" t="inlineStr">
        <is>
          <t>박한수</t>
        </is>
      </c>
      <c r="G4545" t="inlineStr">
        <is>
          <t>010-8632-8843</t>
        </is>
      </c>
      <c r="H4545" t="inlineStr">
        <is>
          <t>27누3719</t>
        </is>
      </c>
      <c r="I4545" t="n">
        <v>13900000</v>
      </c>
      <c r="J4545" t="n">
        <v>0.06900000000000001</v>
      </c>
      <c r="K4545" t="n">
        <v>1.1</v>
      </c>
      <c r="L4545" t="n">
        <v>0.14</v>
      </c>
      <c r="M4545" t="n">
        <v>0.96</v>
      </c>
      <c r="P4545" t="inlineStr">
        <is>
          <t>김수연</t>
        </is>
      </c>
      <c r="Q4545" t="inlineStr">
        <is>
          <t>홈서비스 84개월</t>
        </is>
      </c>
      <c r="AB4545" t="inlineStr">
        <is>
          <t>홈서비스</t>
        </is>
      </c>
      <c r="AC4545" t="n">
        <v>152900</v>
      </c>
      <c r="AD4545" t="n">
        <v>19460</v>
      </c>
      <c r="AE4545" t="n">
        <v>133440</v>
      </c>
      <c r="AF4545" t="n">
        <v>139000</v>
      </c>
      <c r="AG4545" t="n">
        <v>18817.82</v>
      </c>
      <c r="AH4545" t="n">
        <v>120182.18</v>
      </c>
      <c r="AI4545" t="n">
        <v>0</v>
      </c>
    </row>
    <row r="4546">
      <c r="A4546" t="inlineStr">
        <is>
          <t>5월</t>
        </is>
      </c>
      <c r="B4546" t="inlineStr">
        <is>
          <t>21주차</t>
        </is>
      </c>
      <c r="C4546" t="inlineStr">
        <is>
          <t>EP</t>
        </is>
      </c>
      <c r="D4546" s="28" t="n">
        <v>46164</v>
      </c>
      <c r="E4546" t="inlineStr">
        <is>
          <t>현대EP_fast</t>
        </is>
      </c>
      <c r="F4546" t="inlineStr">
        <is>
          <t>이민준</t>
        </is>
      </c>
      <c r="G4546" t="inlineStr">
        <is>
          <t>010-9103-2258</t>
        </is>
      </c>
      <c r="H4546" t="inlineStr">
        <is>
          <t>47무0127</t>
        </is>
      </c>
      <c r="I4546" t="n">
        <v>11800000</v>
      </c>
      <c r="J4546" t="n">
        <v>0.145</v>
      </c>
      <c r="K4546" t="n">
        <v>1.76</v>
      </c>
      <c r="L4546" t="n">
        <v>0.14</v>
      </c>
      <c r="M4546" t="n">
        <v>1.62</v>
      </c>
      <c r="P4546" t="inlineStr">
        <is>
          <t>김수연</t>
        </is>
      </c>
      <c r="Q4546" t="inlineStr">
        <is>
          <t>홈서비스 48개월</t>
        </is>
      </c>
      <c r="AB4546" t="inlineStr">
        <is>
          <t>홈서비스</t>
        </is>
      </c>
      <c r="AC4546" t="n">
        <v>207680</v>
      </c>
      <c r="AD4546" t="n">
        <v>16520</v>
      </c>
      <c r="AE4546" t="n">
        <v>191160</v>
      </c>
      <c r="AF4546" t="n">
        <v>188800</v>
      </c>
      <c r="AG4546" t="n">
        <v>15974.84</v>
      </c>
      <c r="AH4546" t="n">
        <v>172825.16</v>
      </c>
    </row>
    <row r="4547">
      <c r="A4547" t="inlineStr">
        <is>
          <t>5월</t>
        </is>
      </c>
      <c r="B4547" t="inlineStr">
        <is>
          <t>21주차</t>
        </is>
      </c>
      <c r="C4547" t="inlineStr">
        <is>
          <t>EP</t>
        </is>
      </c>
      <c r="D4547" s="28" t="n">
        <v>46164</v>
      </c>
      <c r="E4547" t="inlineStr">
        <is>
          <t>현대EP</t>
        </is>
      </c>
      <c r="F4547" t="inlineStr">
        <is>
          <t>이풍주</t>
        </is>
      </c>
      <c r="G4547" t="inlineStr">
        <is>
          <t>010-7721-5991</t>
        </is>
      </c>
      <c r="H4547" t="inlineStr">
        <is>
          <t>106서3311</t>
        </is>
      </c>
      <c r="I4547" t="n">
        <v>11000000</v>
      </c>
      <c r="J4547" t="n">
        <v>0.06900000000000001</v>
      </c>
      <c r="K4547" t="n">
        <v>1.76</v>
      </c>
      <c r="L4547" t="n">
        <v>0.14</v>
      </c>
      <c r="M4547" t="n">
        <v>1.62</v>
      </c>
      <c r="P4547" t="inlineStr">
        <is>
          <t>김수연</t>
        </is>
      </c>
      <c r="AB4547" t="inlineStr">
        <is>
          <t>홈서비스</t>
        </is>
      </c>
      <c r="AC4547" t="n">
        <v>193600</v>
      </c>
      <c r="AD4547" t="n">
        <v>15400</v>
      </c>
      <c r="AE4547" t="n">
        <v>178200</v>
      </c>
      <c r="AF4547" t="n">
        <v>176000</v>
      </c>
      <c r="AG4547" t="n">
        <v>14891.8</v>
      </c>
      <c r="AH4547" t="n">
        <v>161108.2</v>
      </c>
      <c r="AI4547" t="n">
        <v>0</v>
      </c>
    </row>
    <row r="4548">
      <c r="A4548" t="inlineStr">
        <is>
          <t>5월</t>
        </is>
      </c>
      <c r="B4548" t="inlineStr">
        <is>
          <t>21주차</t>
        </is>
      </c>
      <c r="C4548" t="inlineStr">
        <is>
          <t>EP</t>
        </is>
      </c>
      <c r="D4548" s="28" t="n">
        <v>46164</v>
      </c>
      <c r="E4548" t="inlineStr">
        <is>
          <t>BNKEP</t>
        </is>
      </c>
      <c r="F4548" t="inlineStr">
        <is>
          <t>김정근</t>
        </is>
      </c>
      <c r="G4548" t="inlineStr">
        <is>
          <t>010-6633-3744</t>
        </is>
      </c>
      <c r="H4548" t="inlineStr">
        <is>
          <t>14서3515</t>
        </is>
      </c>
      <c r="I4548" t="n">
        <v>7500000</v>
      </c>
      <c r="J4548" t="n">
        <v>0.07000000000000001</v>
      </c>
      <c r="K4548" t="n">
        <v>1.65</v>
      </c>
      <c r="L4548" t="n">
        <v>0.14</v>
      </c>
      <c r="M4548" t="n">
        <v>1.51</v>
      </c>
      <c r="P4548" t="inlineStr">
        <is>
          <t>김나윤</t>
        </is>
      </c>
      <c r="Q4548" t="inlineStr">
        <is>
          <t>홈서비스 60개월</t>
        </is>
      </c>
      <c r="AB4548" t="inlineStr">
        <is>
          <t>홈서비스</t>
        </is>
      </c>
      <c r="AC4548" t="n">
        <v>123750</v>
      </c>
      <c r="AD4548" t="n">
        <v>10500</v>
      </c>
      <c r="AE4548" t="n">
        <v>113250</v>
      </c>
      <c r="AF4548" t="n">
        <v>112500</v>
      </c>
      <c r="AG4548" t="n">
        <v>10153.5</v>
      </c>
      <c r="AH4548" t="n">
        <v>102346.5</v>
      </c>
    </row>
    <row r="4549">
      <c r="A4549" t="inlineStr">
        <is>
          <t>5월</t>
        </is>
      </c>
      <c r="B4549" t="inlineStr">
        <is>
          <t>21주차</t>
        </is>
      </c>
      <c r="C4549" t="inlineStr">
        <is>
          <t>EP</t>
        </is>
      </c>
      <c r="D4549" s="28" t="n">
        <v>46164</v>
      </c>
      <c r="E4549" t="inlineStr">
        <is>
          <t>현대EP_fast</t>
        </is>
      </c>
      <c r="F4549" t="inlineStr">
        <is>
          <t>한명수</t>
        </is>
      </c>
      <c r="G4549" t="inlineStr">
        <is>
          <t>010-3329-5292</t>
        </is>
      </c>
      <c r="H4549" t="inlineStr">
        <is>
          <t>317러1956</t>
        </is>
      </c>
      <c r="I4549" t="n">
        <v>24600000</v>
      </c>
      <c r="J4549" t="n">
        <v>0.06900000000000001</v>
      </c>
      <c r="K4549" t="n">
        <v>1.76</v>
      </c>
      <c r="L4549" t="n">
        <v>0.14</v>
      </c>
      <c r="M4549" t="n">
        <v>1.62</v>
      </c>
      <c r="P4549" t="inlineStr">
        <is>
          <t>정세빈</t>
        </is>
      </c>
      <c r="Q4549" t="inlineStr">
        <is>
          <t>홈서비스 36개월</t>
        </is>
      </c>
      <c r="AB4549" t="inlineStr">
        <is>
          <t>홈서비스</t>
        </is>
      </c>
      <c r="AC4549" t="n">
        <v>432960</v>
      </c>
      <c r="AD4549" t="n">
        <v>34440</v>
      </c>
      <c r="AE4549" t="n">
        <v>398520</v>
      </c>
      <c r="AF4549" t="n">
        <v>393600</v>
      </c>
      <c r="AG4549" t="n">
        <v>33303.48</v>
      </c>
      <c r="AH4549" t="n">
        <v>360296.52</v>
      </c>
      <c r="AI4549" t="n">
        <v>0</v>
      </c>
    </row>
    <row r="4550">
      <c r="A4550" t="inlineStr">
        <is>
          <t>5월</t>
        </is>
      </c>
      <c r="B4550" t="inlineStr">
        <is>
          <t>21주차</t>
        </is>
      </c>
      <c r="C4550" t="inlineStr">
        <is>
          <t>IM</t>
        </is>
      </c>
      <c r="D4550" s="28" t="n">
        <v>46165</v>
      </c>
      <c r="E4550" t="inlineStr">
        <is>
          <t>IM캐피탈</t>
        </is>
      </c>
      <c r="F4550" t="inlineStr">
        <is>
          <t>이민규</t>
        </is>
      </c>
      <c r="G4550" t="inlineStr">
        <is>
          <t>010-3618-6258</t>
        </is>
      </c>
      <c r="H4550" t="inlineStr">
        <is>
          <t>31도4246</t>
        </is>
      </c>
      <c r="I4550" t="n">
        <v>7300000</v>
      </c>
      <c r="J4550" t="n">
        <v>0.063</v>
      </c>
      <c r="K4550" t="n">
        <v>1.1</v>
      </c>
      <c r="L4550" t="n">
        <v>0.5</v>
      </c>
      <c r="M4550" t="n">
        <v>0.6</v>
      </c>
      <c r="P4550" t="inlineStr">
        <is>
          <t>임대경</t>
        </is>
      </c>
      <c r="Q4550" t="inlineStr">
        <is>
          <t>부대비용 추가진행</t>
        </is>
      </c>
      <c r="AB4550" t="inlineStr">
        <is>
          <t>엔카</t>
        </is>
      </c>
      <c r="AC4550" t="n">
        <v>80300</v>
      </c>
      <c r="AD4550" t="n">
        <v>36500</v>
      </c>
      <c r="AE4550" t="n">
        <v>43800</v>
      </c>
      <c r="AF4550" t="n">
        <v>73000</v>
      </c>
      <c r="AG4550" t="n">
        <v>35295.5</v>
      </c>
      <c r="AH4550" t="n">
        <v>37704.5</v>
      </c>
      <c r="AI4550" t="n">
        <v>0</v>
      </c>
    </row>
    <row r="4551">
      <c r="A4551" t="inlineStr">
        <is>
          <t>5월</t>
        </is>
      </c>
      <c r="B4551" t="inlineStr">
        <is>
          <t>21주차</t>
        </is>
      </c>
      <c r="C4551" t="inlineStr">
        <is>
          <t>EP</t>
        </is>
      </c>
      <c r="D4551" s="28" t="n">
        <v>46164</v>
      </c>
      <c r="E4551" t="inlineStr">
        <is>
          <t>현대EP_fast</t>
        </is>
      </c>
      <c r="F4551" t="inlineStr">
        <is>
          <t>한진우</t>
        </is>
      </c>
      <c r="G4551" t="inlineStr">
        <is>
          <t>010-2181-6376</t>
        </is>
      </c>
      <c r="H4551" t="inlineStr">
        <is>
          <t>57나2735</t>
        </is>
      </c>
      <c r="I4551" t="n">
        <v>37400000</v>
      </c>
      <c r="J4551" t="n">
        <v>0.08500000000000001</v>
      </c>
      <c r="K4551" t="n">
        <v>1.76</v>
      </c>
      <c r="L4551" t="n">
        <v>0.14</v>
      </c>
      <c r="M4551" t="n">
        <v>1.62</v>
      </c>
      <c r="P4551" t="inlineStr">
        <is>
          <t>김나윤</t>
        </is>
      </c>
      <c r="Q4551" t="inlineStr">
        <is>
          <t>홈서비스 60개월 / 공동명의</t>
        </is>
      </c>
      <c r="AB4551" t="inlineStr">
        <is>
          <t>홈서비스</t>
        </is>
      </c>
      <c r="AC4551" t="n">
        <v>658240</v>
      </c>
      <c r="AD4551" t="n">
        <v>52360</v>
      </c>
      <c r="AE4551" t="n">
        <v>605880</v>
      </c>
      <c r="AF4551" t="n">
        <v>598400</v>
      </c>
      <c r="AG4551" t="n">
        <v>50632.12</v>
      </c>
      <c r="AH4551" t="n">
        <v>547767.88</v>
      </c>
      <c r="AI4551" t="n">
        <v>0</v>
      </c>
    </row>
    <row r="4552">
      <c r="A4552" t="inlineStr">
        <is>
          <t>5월</t>
        </is>
      </c>
      <c r="B4552" t="inlineStr">
        <is>
          <t>21주차</t>
        </is>
      </c>
      <c r="C4552" t="inlineStr">
        <is>
          <t>EP</t>
        </is>
      </c>
      <c r="D4552" s="28" t="n">
        <v>46165</v>
      </c>
      <c r="E4552" t="inlineStr">
        <is>
          <t>현대EP</t>
        </is>
      </c>
      <c r="F4552" t="inlineStr">
        <is>
          <t>윤희숙</t>
        </is>
      </c>
      <c r="G4552" t="inlineStr">
        <is>
          <t>010-4813-6993</t>
        </is>
      </c>
      <c r="H4552" t="inlineStr">
        <is>
          <t>171가7552</t>
        </is>
      </c>
      <c r="I4552" t="n">
        <v>11000000</v>
      </c>
      <c r="J4552" t="n">
        <v>0.06900000000000001</v>
      </c>
      <c r="K4552" t="n">
        <v>1.76</v>
      </c>
      <c r="L4552" t="n">
        <v>0.14</v>
      </c>
      <c r="M4552" t="n">
        <v>1.62</v>
      </c>
      <c r="P4552" t="inlineStr">
        <is>
          <t>김나윤</t>
        </is>
      </c>
      <c r="AB4552" t="inlineStr">
        <is>
          <t>홈서비스</t>
        </is>
      </c>
      <c r="AC4552" t="n">
        <v>193600</v>
      </c>
      <c r="AD4552" t="n">
        <v>15400</v>
      </c>
      <c r="AE4552" t="n">
        <v>178200</v>
      </c>
      <c r="AF4552" t="n">
        <v>176000</v>
      </c>
      <c r="AG4552" t="n">
        <v>14891.8</v>
      </c>
      <c r="AH4552" t="n">
        <v>161108.2</v>
      </c>
      <c r="AI4552" t="n">
        <v>0</v>
      </c>
    </row>
    <row r="4553">
      <c r="A4553" t="inlineStr">
        <is>
          <t>5월</t>
        </is>
      </c>
      <c r="B4553" t="inlineStr">
        <is>
          <t>21주차</t>
        </is>
      </c>
      <c r="C4553" t="inlineStr">
        <is>
          <t>EP</t>
        </is>
      </c>
      <c r="D4553" s="28" t="n">
        <v>46166</v>
      </c>
      <c r="E4553" t="inlineStr">
        <is>
          <t>현대EP</t>
        </is>
      </c>
      <c r="F4553" t="inlineStr">
        <is>
          <t>오승환</t>
        </is>
      </c>
      <c r="G4553" t="inlineStr">
        <is>
          <t>010-8445-1185</t>
        </is>
      </c>
      <c r="H4553" t="inlineStr">
        <is>
          <t>65머2195</t>
        </is>
      </c>
      <c r="I4553" t="n">
        <v>10000000</v>
      </c>
      <c r="J4553" t="n">
        <v>0.062</v>
      </c>
      <c r="K4553" t="n">
        <v>1.76</v>
      </c>
      <c r="L4553" t="n">
        <v>0.14</v>
      </c>
      <c r="M4553" t="n">
        <v>1.62</v>
      </c>
      <c r="P4553" t="inlineStr">
        <is>
          <t>김나윤</t>
        </is>
      </c>
      <c r="AB4553" t="inlineStr">
        <is>
          <t>홈서비스</t>
        </is>
      </c>
      <c r="AC4553" t="n">
        <v>176000</v>
      </c>
      <c r="AD4553" t="n">
        <v>14000</v>
      </c>
      <c r="AE4553" t="n">
        <v>162000</v>
      </c>
      <c r="AF4553" t="n">
        <v>160000</v>
      </c>
      <c r="AG4553" t="n">
        <v>13538</v>
      </c>
      <c r="AH4553" t="n">
        <v>146462</v>
      </c>
      <c r="AI4553" t="n">
        <v>0</v>
      </c>
    </row>
    <row r="4554">
      <c r="A4554" t="inlineStr">
        <is>
          <t>5월</t>
        </is>
      </c>
      <c r="B4554" t="inlineStr">
        <is>
          <t>21주차</t>
        </is>
      </c>
      <c r="C4554" t="inlineStr">
        <is>
          <t>EP</t>
        </is>
      </c>
      <c r="D4554" s="28" t="n">
        <v>46166</v>
      </c>
      <c r="E4554" t="inlineStr">
        <is>
          <t>현대EP</t>
        </is>
      </c>
      <c r="F4554" t="inlineStr">
        <is>
          <t>한동훈</t>
        </is>
      </c>
      <c r="G4554" t="inlineStr">
        <is>
          <t>010-2586-2498</t>
        </is>
      </c>
      <c r="H4554" t="inlineStr">
        <is>
          <t>110가1617</t>
        </is>
      </c>
      <c r="I4554" t="n">
        <v>24000000</v>
      </c>
      <c r="J4554" t="n">
        <v>0.074</v>
      </c>
      <c r="K4554" t="n">
        <v>1.76</v>
      </c>
      <c r="L4554" t="n">
        <v>0.14</v>
      </c>
      <c r="M4554" t="n">
        <v>1.62</v>
      </c>
      <c r="P4554" t="inlineStr">
        <is>
          <t>김나윤</t>
        </is>
      </c>
      <c r="AB4554" t="inlineStr">
        <is>
          <t>홈서비스</t>
        </is>
      </c>
      <c r="AC4554" t="n">
        <v>422400</v>
      </c>
      <c r="AD4554" t="n">
        <v>33600</v>
      </c>
      <c r="AE4554" t="n">
        <v>388800</v>
      </c>
      <c r="AF4554" t="n">
        <v>384000</v>
      </c>
      <c r="AG4554" t="n">
        <v>32491.2</v>
      </c>
      <c r="AH4554" t="n">
        <v>351508.8</v>
      </c>
      <c r="AI4554" t="n">
        <v>0</v>
      </c>
    </row>
    <row r="4555">
      <c r="A4555" t="inlineStr">
        <is>
          <t>5월</t>
        </is>
      </c>
      <c r="B4555" t="inlineStr">
        <is>
          <t>21주차</t>
        </is>
      </c>
      <c r="C4555" t="inlineStr">
        <is>
          <t>EP</t>
        </is>
      </c>
      <c r="D4555" s="28" t="n">
        <v>46164</v>
      </c>
      <c r="E4555" t="inlineStr">
        <is>
          <t>현대EP_fast</t>
        </is>
      </c>
      <c r="F4555" t="inlineStr">
        <is>
          <t>김도훈</t>
        </is>
      </c>
      <c r="G4555" t="inlineStr">
        <is>
          <t>010-2224-7333</t>
        </is>
      </c>
      <c r="H4555" t="inlineStr">
        <is>
          <t>19너5718</t>
        </is>
      </c>
      <c r="I4555" t="n">
        <v>15700000</v>
      </c>
      <c r="J4555" t="n">
        <v>0.145</v>
      </c>
      <c r="K4555" t="n">
        <v>1.76</v>
      </c>
      <c r="L4555" t="n">
        <v>0.14</v>
      </c>
      <c r="M4555" t="n">
        <v>1.62</v>
      </c>
      <c r="P4555" t="inlineStr">
        <is>
          <t>정세빈</t>
        </is>
      </c>
      <c r="Q4555" t="inlineStr">
        <is>
          <t>홈서비스 48개월</t>
        </is>
      </c>
      <c r="AB4555" t="inlineStr">
        <is>
          <t>홈서비스</t>
        </is>
      </c>
      <c r="AC4555" t="n">
        <v>276320</v>
      </c>
      <c r="AD4555" t="n">
        <v>21980</v>
      </c>
      <c r="AE4555" t="n">
        <v>254340</v>
      </c>
      <c r="AF4555" t="n">
        <v>251200</v>
      </c>
      <c r="AG4555" t="n">
        <v>21254.66</v>
      </c>
      <c r="AH4555" t="n">
        <v>229945.34</v>
      </c>
      <c r="AI4555" t="n">
        <v>0</v>
      </c>
    </row>
    <row r="4556">
      <c r="A4556" t="inlineStr">
        <is>
          <t>5월</t>
        </is>
      </c>
      <c r="B4556" t="inlineStr">
        <is>
          <t>21주차</t>
        </is>
      </c>
      <c r="C4556" t="inlineStr">
        <is>
          <t>EP</t>
        </is>
      </c>
      <c r="D4556" s="28" t="n">
        <v>46164</v>
      </c>
      <c r="E4556" t="inlineStr">
        <is>
          <t>현대EP</t>
        </is>
      </c>
      <c r="F4556" t="inlineStr">
        <is>
          <t>임하영</t>
        </is>
      </c>
      <c r="G4556" t="inlineStr">
        <is>
          <t>010-2399-3761</t>
        </is>
      </c>
      <c r="H4556" t="inlineStr">
        <is>
          <t>03서7993</t>
        </is>
      </c>
      <c r="I4556" t="n">
        <v>15400000</v>
      </c>
      <c r="J4556" t="n">
        <v>0.089</v>
      </c>
      <c r="K4556" t="n">
        <v>1.76</v>
      </c>
      <c r="L4556" t="n">
        <v>0.14</v>
      </c>
      <c r="M4556" t="n">
        <v>1.62</v>
      </c>
      <c r="P4556" t="inlineStr">
        <is>
          <t>김수연</t>
        </is>
      </c>
      <c r="AB4556" t="inlineStr">
        <is>
          <t>홈서비스</t>
        </is>
      </c>
      <c r="AC4556" t="n">
        <v>271040</v>
      </c>
      <c r="AD4556" t="n">
        <v>21560</v>
      </c>
      <c r="AE4556" t="n">
        <v>249480</v>
      </c>
      <c r="AF4556" t="n">
        <v>246400</v>
      </c>
      <c r="AG4556" t="n">
        <v>20848.52</v>
      </c>
      <c r="AH4556" t="n">
        <v>225551.48</v>
      </c>
      <c r="AI4556" t="n">
        <v>0</v>
      </c>
    </row>
    <row r="4557">
      <c r="A4557" t="inlineStr">
        <is>
          <t>5월</t>
        </is>
      </c>
      <c r="B4557" t="inlineStr">
        <is>
          <t>21주차</t>
        </is>
      </c>
      <c r="C4557" t="inlineStr">
        <is>
          <t>EP</t>
        </is>
      </c>
      <c r="D4557" s="28" t="n">
        <v>46166</v>
      </c>
      <c r="E4557" t="inlineStr">
        <is>
          <t>현대EP</t>
        </is>
      </c>
      <c r="F4557" t="inlineStr">
        <is>
          <t>강민하</t>
        </is>
      </c>
      <c r="G4557" t="inlineStr">
        <is>
          <t>010-6389-8943</t>
        </is>
      </c>
      <c r="H4557" t="inlineStr">
        <is>
          <t>311다4900</t>
        </is>
      </c>
      <c r="I4557" t="n">
        <v>35000000</v>
      </c>
      <c r="J4557" t="n">
        <v>0.118</v>
      </c>
      <c r="K4557" t="n">
        <v>1.76</v>
      </c>
      <c r="L4557" t="n">
        <v>0.14</v>
      </c>
      <c r="M4557" t="n">
        <v>1.62</v>
      </c>
      <c r="P4557" t="inlineStr">
        <is>
          <t>정세빈</t>
        </is>
      </c>
      <c r="AB4557" t="inlineStr">
        <is>
          <t>홈서비스</t>
        </is>
      </c>
      <c r="AC4557" t="n">
        <v>616000</v>
      </c>
      <c r="AD4557" t="n">
        <v>49000</v>
      </c>
      <c r="AE4557" t="n">
        <v>567000</v>
      </c>
      <c r="AF4557" t="n">
        <v>560000</v>
      </c>
      <c r="AG4557" t="n">
        <v>47383</v>
      </c>
      <c r="AH4557" t="n">
        <v>512617</v>
      </c>
    </row>
    <row r="4558">
      <c r="A4558" t="inlineStr">
        <is>
          <t>5월</t>
        </is>
      </c>
      <c r="B4558" t="inlineStr">
        <is>
          <t>21주차</t>
        </is>
      </c>
      <c r="C4558" t="inlineStr">
        <is>
          <t>EP</t>
        </is>
      </c>
      <c r="D4558" s="28" t="n">
        <v>46164</v>
      </c>
      <c r="E4558" t="inlineStr">
        <is>
          <t>현대EP_fast</t>
        </is>
      </c>
      <c r="F4558" t="inlineStr">
        <is>
          <t>신진용</t>
        </is>
      </c>
      <c r="G4558" t="inlineStr">
        <is>
          <t>010-9203-1764</t>
        </is>
      </c>
      <c r="H4558" t="inlineStr">
        <is>
          <t>130호5803</t>
        </is>
      </c>
      <c r="I4558" t="n">
        <v>27600000</v>
      </c>
      <c r="J4558" t="n">
        <v>0.118</v>
      </c>
      <c r="K4558" t="n">
        <v>1.76</v>
      </c>
      <c r="L4558" t="n">
        <v>0.14</v>
      </c>
      <c r="M4558" t="n">
        <v>1.62</v>
      </c>
      <c r="P4558" t="inlineStr">
        <is>
          <t>황채이</t>
        </is>
      </c>
      <c r="Q4558" t="inlineStr">
        <is>
          <t>홈서비스 60개월</t>
        </is>
      </c>
      <c r="AB4558" t="inlineStr">
        <is>
          <t>홈서비스</t>
        </is>
      </c>
      <c r="AC4558" t="n">
        <v>485760</v>
      </c>
      <c r="AD4558" t="n">
        <v>38640</v>
      </c>
      <c r="AE4558" t="n">
        <v>447120</v>
      </c>
      <c r="AF4558" t="n">
        <v>441600</v>
      </c>
      <c r="AG4558" t="n">
        <v>37364.88</v>
      </c>
      <c r="AH4558" t="n">
        <v>404235.12</v>
      </c>
      <c r="AI4558" t="n">
        <v>0</v>
      </c>
    </row>
    <row r="4559">
      <c r="A4559" t="inlineStr">
        <is>
          <t>5월</t>
        </is>
      </c>
      <c r="B4559" t="inlineStr">
        <is>
          <t>21주차</t>
        </is>
      </c>
      <c r="C4559" t="inlineStr">
        <is>
          <t>EP</t>
        </is>
      </c>
      <c r="D4559" s="28" t="n">
        <v>46165</v>
      </c>
      <c r="E4559" t="inlineStr">
        <is>
          <t>현대EP_fast</t>
        </is>
      </c>
      <c r="F4559" t="inlineStr">
        <is>
          <t>김주원</t>
        </is>
      </c>
      <c r="G4559" t="inlineStr">
        <is>
          <t>010-9991-4801</t>
        </is>
      </c>
      <c r="H4559" t="inlineStr">
        <is>
          <t>247수5808</t>
        </is>
      </c>
      <c r="I4559" t="n">
        <v>17000000</v>
      </c>
      <c r="J4559" t="n">
        <v>0.102</v>
      </c>
      <c r="K4559" t="n">
        <v>1.76</v>
      </c>
      <c r="L4559" t="n">
        <v>0.4</v>
      </c>
      <c r="M4559" t="n">
        <v>1.36</v>
      </c>
      <c r="P4559" t="inlineStr">
        <is>
          <t>장진경</t>
        </is>
      </c>
      <c r="AB4559" t="inlineStr">
        <is>
          <t>엔카</t>
        </is>
      </c>
      <c r="AC4559" t="n">
        <v>299200</v>
      </c>
      <c r="AD4559" t="n">
        <v>68000</v>
      </c>
      <c r="AE4559" t="n">
        <v>231200</v>
      </c>
      <c r="AF4559" t="n">
        <v>272000</v>
      </c>
      <c r="AG4559" t="n">
        <v>65756</v>
      </c>
      <c r="AH4559" t="n">
        <v>206244</v>
      </c>
      <c r="AI4559" t="n">
        <v>0</v>
      </c>
    </row>
    <row r="4560">
      <c r="A4560" t="inlineStr">
        <is>
          <t>5월</t>
        </is>
      </c>
      <c r="B4560" t="inlineStr">
        <is>
          <t>21주차</t>
        </is>
      </c>
      <c r="C4560" t="inlineStr">
        <is>
          <t>EP</t>
        </is>
      </c>
      <c r="D4560" s="28" t="n">
        <v>46165</v>
      </c>
      <c r="E4560" t="inlineStr">
        <is>
          <t>현대EP_fast</t>
        </is>
      </c>
      <c r="F4560" t="inlineStr">
        <is>
          <t>장석현</t>
        </is>
      </c>
      <c r="G4560" t="inlineStr">
        <is>
          <t>010-5620-4968</t>
        </is>
      </c>
      <c r="H4560" t="inlineStr">
        <is>
          <t>12노9839</t>
        </is>
      </c>
      <c r="I4560" t="n">
        <v>9500000</v>
      </c>
      <c r="J4560" t="n">
        <v>0.089</v>
      </c>
      <c r="K4560" t="n">
        <v>1.76</v>
      </c>
      <c r="L4560" t="n">
        <v>0.5</v>
      </c>
      <c r="M4560" t="n">
        <v>1.26</v>
      </c>
      <c r="P4560" t="inlineStr">
        <is>
          <t>임대경</t>
        </is>
      </c>
      <c r="AB4560" t="inlineStr">
        <is>
          <t>엔카</t>
        </is>
      </c>
      <c r="AC4560" t="n">
        <v>167200</v>
      </c>
      <c r="AD4560" t="n">
        <v>47500</v>
      </c>
      <c r="AE4560" t="n">
        <v>119700</v>
      </c>
      <c r="AF4560" t="n">
        <v>152000</v>
      </c>
      <c r="AG4560" t="n">
        <v>45932.5</v>
      </c>
      <c r="AH4560" t="n">
        <v>106067.5</v>
      </c>
    </row>
    <row r="4561">
      <c r="A4561" t="inlineStr">
        <is>
          <t>5월</t>
        </is>
      </c>
      <c r="B4561" t="inlineStr">
        <is>
          <t>22주차</t>
        </is>
      </c>
      <c r="C4561" t="inlineStr">
        <is>
          <t>EP</t>
        </is>
      </c>
      <c r="D4561" s="28" t="n">
        <v>46167</v>
      </c>
      <c r="E4561" t="inlineStr">
        <is>
          <t>현대EP</t>
        </is>
      </c>
      <c r="F4561" t="inlineStr">
        <is>
          <t>강진구</t>
        </is>
      </c>
      <c r="G4561" t="inlineStr">
        <is>
          <t>010-5011-8469</t>
        </is>
      </c>
      <c r="H4561" t="inlineStr">
        <is>
          <t>49도8552</t>
        </is>
      </c>
      <c r="I4561" t="n">
        <v>6500000</v>
      </c>
      <c r="J4561" t="n">
        <v>0.06900000000000001</v>
      </c>
      <c r="K4561" t="n">
        <v>1.76</v>
      </c>
      <c r="L4561" t="n">
        <v>0.14</v>
      </c>
      <c r="M4561" t="n">
        <v>1.62</v>
      </c>
      <c r="P4561" t="inlineStr">
        <is>
          <t>김나윤</t>
        </is>
      </c>
      <c r="AB4561" t="inlineStr">
        <is>
          <t>홈서비스</t>
        </is>
      </c>
      <c r="AC4561" t="n">
        <v>114400</v>
      </c>
      <c r="AD4561" t="n">
        <v>9100</v>
      </c>
      <c r="AE4561" t="n">
        <v>105300</v>
      </c>
      <c r="AF4561" t="n">
        <v>104000</v>
      </c>
      <c r="AG4561" t="n">
        <v>8799.700000000001</v>
      </c>
      <c r="AH4561" t="n">
        <v>95200.3</v>
      </c>
      <c r="AI4561" t="n">
        <v>0</v>
      </c>
    </row>
    <row r="4562">
      <c r="A4562" t="inlineStr">
        <is>
          <t>5월</t>
        </is>
      </c>
      <c r="B4562" t="inlineStr">
        <is>
          <t>22주차</t>
        </is>
      </c>
      <c r="C4562" t="inlineStr">
        <is>
          <t>EP</t>
        </is>
      </c>
      <c r="D4562" s="28" t="n">
        <v>46167</v>
      </c>
      <c r="E4562" t="inlineStr">
        <is>
          <t>현대EP</t>
        </is>
      </c>
      <c r="F4562" t="inlineStr">
        <is>
          <t>배강오</t>
        </is>
      </c>
      <c r="G4562" t="inlineStr">
        <is>
          <t>010-2976-8818</t>
        </is>
      </c>
      <c r="H4562" t="inlineStr">
        <is>
          <t>63도6404</t>
        </is>
      </c>
      <c r="I4562" t="n">
        <v>4900000</v>
      </c>
      <c r="J4562" t="n">
        <v>0.074</v>
      </c>
      <c r="K4562" t="n">
        <v>1.76</v>
      </c>
      <c r="L4562" t="n">
        <v>0.14</v>
      </c>
      <c r="M4562" t="n">
        <v>1.62</v>
      </c>
      <c r="P4562" t="inlineStr">
        <is>
          <t>김나윤</t>
        </is>
      </c>
      <c r="AB4562" t="inlineStr">
        <is>
          <t>홈서비스</t>
        </is>
      </c>
      <c r="AC4562" t="n">
        <v>86240</v>
      </c>
      <c r="AD4562" t="n">
        <v>6860</v>
      </c>
      <c r="AE4562" t="n">
        <v>79380</v>
      </c>
      <c r="AF4562" t="n">
        <v>78400</v>
      </c>
      <c r="AG4562" t="n">
        <v>6633.62</v>
      </c>
      <c r="AH4562" t="n">
        <v>71766.38</v>
      </c>
    </row>
    <row r="4563">
      <c r="A4563" t="inlineStr">
        <is>
          <t>5월</t>
        </is>
      </c>
      <c r="B4563" t="inlineStr">
        <is>
          <t>21주차</t>
        </is>
      </c>
      <c r="C4563" t="inlineStr">
        <is>
          <t>EP</t>
        </is>
      </c>
      <c r="D4563" s="28" t="n">
        <v>46165</v>
      </c>
      <c r="E4563" t="inlineStr">
        <is>
          <t>현대EP</t>
        </is>
      </c>
      <c r="F4563" t="inlineStr">
        <is>
          <t>윤도희</t>
        </is>
      </c>
      <c r="G4563" t="inlineStr">
        <is>
          <t>010-3372-0465</t>
        </is>
      </c>
      <c r="H4563" t="inlineStr">
        <is>
          <t>146구5635</t>
        </is>
      </c>
      <c r="I4563" t="n">
        <v>9200000</v>
      </c>
      <c r="J4563" t="n">
        <v>0.08500000000000001</v>
      </c>
      <c r="K4563" t="n">
        <v>1.76</v>
      </c>
      <c r="L4563" t="n">
        <v>0.14</v>
      </c>
      <c r="M4563" t="n">
        <v>1.62</v>
      </c>
      <c r="P4563" t="inlineStr">
        <is>
          <t>김수연</t>
        </is>
      </c>
      <c r="AB4563" t="inlineStr">
        <is>
          <t>홈서비스</t>
        </is>
      </c>
      <c r="AC4563" t="n">
        <v>161920</v>
      </c>
      <c r="AD4563" t="n">
        <v>12880</v>
      </c>
      <c r="AE4563" t="n">
        <v>149040</v>
      </c>
      <c r="AF4563" t="n">
        <v>147200</v>
      </c>
      <c r="AG4563" t="n">
        <v>12454.96</v>
      </c>
      <c r="AH4563" t="n">
        <v>134745.04</v>
      </c>
      <c r="AI4563" t="n">
        <v>0</v>
      </c>
    </row>
    <row r="4564">
      <c r="A4564" t="inlineStr">
        <is>
          <t>5월</t>
        </is>
      </c>
      <c r="B4564" t="inlineStr">
        <is>
          <t>21주차</t>
        </is>
      </c>
      <c r="C4564" t="inlineStr">
        <is>
          <t>IM</t>
        </is>
      </c>
      <c r="D4564" s="28" t="n">
        <v>46164</v>
      </c>
      <c r="E4564" t="inlineStr">
        <is>
          <t>IM캐피탈</t>
        </is>
      </c>
      <c r="F4564" t="inlineStr">
        <is>
          <t>양지훈</t>
        </is>
      </c>
      <c r="G4564" t="inlineStr">
        <is>
          <t>010-5380-0615</t>
        </is>
      </c>
      <c r="H4564" t="inlineStr">
        <is>
          <t>371조4247</t>
        </is>
      </c>
      <c r="I4564" t="n">
        <v>33000000</v>
      </c>
      <c r="J4564" t="n">
        <v>0.049</v>
      </c>
      <c r="K4564" t="n">
        <v>1.1</v>
      </c>
      <c r="L4564" t="n">
        <v>0.14</v>
      </c>
      <c r="M4564" t="n">
        <v>0.96</v>
      </c>
      <c r="P4564" t="inlineStr">
        <is>
          <t>박현민</t>
        </is>
      </c>
      <c r="Q4564" t="inlineStr">
        <is>
          <t>홈서비스 72개월</t>
        </is>
      </c>
      <c r="AB4564" t="inlineStr">
        <is>
          <t>홈서비스</t>
        </is>
      </c>
      <c r="AC4564" t="n">
        <v>363000</v>
      </c>
      <c r="AD4564" t="n">
        <v>46200</v>
      </c>
      <c r="AE4564" t="n">
        <v>316800</v>
      </c>
      <c r="AF4564" t="n">
        <v>330000</v>
      </c>
      <c r="AG4564" t="n">
        <v>44675.4</v>
      </c>
      <c r="AH4564" t="n">
        <v>285324.6</v>
      </c>
    </row>
    <row r="4565">
      <c r="A4565" t="inlineStr">
        <is>
          <t>5월</t>
        </is>
      </c>
      <c r="B4565" t="inlineStr">
        <is>
          <t>21주차</t>
        </is>
      </c>
      <c r="C4565" t="inlineStr">
        <is>
          <t>EP</t>
        </is>
      </c>
      <c r="D4565" s="28" t="n">
        <v>46166</v>
      </c>
      <c r="E4565" t="inlineStr">
        <is>
          <t>현대EP</t>
        </is>
      </c>
      <c r="F4565" t="inlineStr">
        <is>
          <t>백경렬</t>
        </is>
      </c>
      <c r="G4565" t="inlineStr">
        <is>
          <t>010-2050-7285</t>
        </is>
      </c>
      <c r="H4565" t="inlineStr">
        <is>
          <t>39노7020</t>
        </is>
      </c>
      <c r="I4565" t="n">
        <v>25500000</v>
      </c>
      <c r="J4565" t="n">
        <v>0.105</v>
      </c>
      <c r="K4565" t="n">
        <v>1.76</v>
      </c>
      <c r="L4565" t="n">
        <v>0.14</v>
      </c>
      <c r="M4565" t="n">
        <v>1.62</v>
      </c>
      <c r="P4565" t="inlineStr">
        <is>
          <t>임대경</t>
        </is>
      </c>
      <c r="AB4565" t="inlineStr">
        <is>
          <t>홈서비스</t>
        </is>
      </c>
      <c r="AC4565" t="n">
        <v>448800</v>
      </c>
      <c r="AD4565" t="n">
        <v>35700</v>
      </c>
      <c r="AE4565" t="n">
        <v>413100</v>
      </c>
      <c r="AF4565" t="n">
        <v>408000</v>
      </c>
      <c r="AG4565" t="n">
        <v>34521.9</v>
      </c>
      <c r="AH4565" t="n">
        <v>373478.1</v>
      </c>
    </row>
    <row r="4566">
      <c r="A4566" t="inlineStr">
        <is>
          <t>5월</t>
        </is>
      </c>
      <c r="B4566" t="inlineStr">
        <is>
          <t>22주차</t>
        </is>
      </c>
      <c r="C4566" t="inlineStr">
        <is>
          <t>EP</t>
        </is>
      </c>
      <c r="D4566" s="28" t="n">
        <v>46167</v>
      </c>
      <c r="E4566" t="inlineStr">
        <is>
          <t>현대EP</t>
        </is>
      </c>
      <c r="F4566" t="inlineStr">
        <is>
          <t>안상용</t>
        </is>
      </c>
      <c r="G4566" t="inlineStr">
        <is>
          <t>010-5405-9390</t>
        </is>
      </c>
      <c r="H4566" t="inlineStr">
        <is>
          <t>342무2145</t>
        </is>
      </c>
      <c r="I4566" t="n">
        <v>27500000</v>
      </c>
      <c r="J4566" t="n">
        <v>0.07099999999999999</v>
      </c>
      <c r="K4566" t="n">
        <v>1.76</v>
      </c>
      <c r="L4566" t="n">
        <v>0.14</v>
      </c>
      <c r="M4566" t="n">
        <v>1.62</v>
      </c>
      <c r="P4566" t="inlineStr">
        <is>
          <t>김수연</t>
        </is>
      </c>
      <c r="AB4566" t="inlineStr">
        <is>
          <t>홈서비스</t>
        </is>
      </c>
      <c r="AC4566" t="n">
        <v>484000</v>
      </c>
      <c r="AD4566" t="n">
        <v>38500</v>
      </c>
      <c r="AE4566" t="n">
        <v>445500</v>
      </c>
      <c r="AF4566" t="n">
        <v>440000</v>
      </c>
      <c r="AG4566" t="n">
        <v>37229.5</v>
      </c>
      <c r="AH4566" t="n">
        <v>402770.5</v>
      </c>
      <c r="AI4566" t="n">
        <v>0</v>
      </c>
    </row>
    <row r="4567">
      <c r="A4567" t="inlineStr">
        <is>
          <t>5월</t>
        </is>
      </c>
      <c r="B4567" t="inlineStr">
        <is>
          <t>22주차</t>
        </is>
      </c>
      <c r="C4567" t="inlineStr">
        <is>
          <t>IM</t>
        </is>
      </c>
      <c r="D4567" s="28" t="n">
        <v>46168</v>
      </c>
      <c r="E4567" t="inlineStr">
        <is>
          <t>IM캐피탈</t>
        </is>
      </c>
      <c r="F4567" t="inlineStr">
        <is>
          <t>한여름</t>
        </is>
      </c>
      <c r="G4567" t="inlineStr">
        <is>
          <t>010-9587-2636</t>
        </is>
      </c>
      <c r="H4567" t="inlineStr">
        <is>
          <t>187수5087</t>
        </is>
      </c>
      <c r="I4567" t="n">
        <v>30000000</v>
      </c>
      <c r="J4567" t="n">
        <v>0.049</v>
      </c>
      <c r="K4567" t="n">
        <v>1.1</v>
      </c>
      <c r="L4567" t="n">
        <v>0.14</v>
      </c>
      <c r="M4567" t="n">
        <v>0.96</v>
      </c>
      <c r="P4567" t="inlineStr">
        <is>
          <t>김수연</t>
        </is>
      </c>
      <c r="Q4567" t="inlineStr">
        <is>
          <t>홈서비스 60개월</t>
        </is>
      </c>
      <c r="AB4567" t="inlineStr">
        <is>
          <t>홈서비스</t>
        </is>
      </c>
      <c r="AC4567" t="n">
        <v>330000</v>
      </c>
      <c r="AD4567" t="n">
        <v>42000</v>
      </c>
      <c r="AE4567" t="n">
        <v>288000</v>
      </c>
      <c r="AF4567" t="n">
        <v>300000</v>
      </c>
      <c r="AG4567" t="n">
        <v>40614</v>
      </c>
      <c r="AH4567" t="n">
        <v>259386</v>
      </c>
      <c r="AI4567" t="n">
        <v>0</v>
      </c>
    </row>
    <row r="4568">
      <c r="A4568" t="inlineStr">
        <is>
          <t>5월</t>
        </is>
      </c>
      <c r="B4568" t="inlineStr">
        <is>
          <t>22주차</t>
        </is>
      </c>
      <c r="C4568" t="inlineStr">
        <is>
          <t>IM</t>
        </is>
      </c>
      <c r="D4568" s="28" t="n">
        <v>46168</v>
      </c>
      <c r="E4568" t="inlineStr">
        <is>
          <t>IM캐피탈</t>
        </is>
      </c>
      <c r="F4568" t="inlineStr">
        <is>
          <t>민동호</t>
        </is>
      </c>
      <c r="G4568" t="inlineStr">
        <is>
          <t>010-4911-3839</t>
        </is>
      </c>
      <c r="H4568" t="inlineStr">
        <is>
          <t>145모2452</t>
        </is>
      </c>
      <c r="I4568" t="n">
        <v>27800000</v>
      </c>
      <c r="J4568" t="n">
        <v>0.059</v>
      </c>
      <c r="K4568" t="n">
        <v>1.1</v>
      </c>
      <c r="L4568" t="n">
        <v>0.14</v>
      </c>
      <c r="M4568" t="n">
        <v>0.96</v>
      </c>
      <c r="P4568" t="inlineStr">
        <is>
          <t>김나윤</t>
        </is>
      </c>
      <c r="Q4568" t="inlineStr">
        <is>
          <t>홈서비스 72개월</t>
        </is>
      </c>
      <c r="AB4568" t="inlineStr">
        <is>
          <t>홈서비스</t>
        </is>
      </c>
      <c r="AC4568" t="n">
        <v>305800</v>
      </c>
      <c r="AD4568" t="n">
        <v>38920</v>
      </c>
      <c r="AE4568" t="n">
        <v>266880</v>
      </c>
      <c r="AF4568" t="n">
        <v>278000</v>
      </c>
      <c r="AG4568" t="n">
        <v>37635.64</v>
      </c>
      <c r="AH4568" t="n">
        <v>240364.36</v>
      </c>
      <c r="AI4568" t="n">
        <v>0</v>
      </c>
    </row>
    <row r="4569">
      <c r="A4569" t="inlineStr">
        <is>
          <t>5월</t>
        </is>
      </c>
      <c r="B4569" t="inlineStr">
        <is>
          <t>22주차</t>
        </is>
      </c>
      <c r="C4569" t="inlineStr">
        <is>
          <t>EP</t>
        </is>
      </c>
      <c r="D4569" s="28" t="n">
        <v>46168</v>
      </c>
      <c r="E4569" t="inlineStr">
        <is>
          <t>현대EP_fast</t>
        </is>
      </c>
      <c r="F4569" t="inlineStr">
        <is>
          <t>정건영</t>
        </is>
      </c>
      <c r="G4569" t="inlineStr">
        <is>
          <t>010-4909-4518</t>
        </is>
      </c>
      <c r="H4569" t="inlineStr">
        <is>
          <t>40다3641</t>
        </is>
      </c>
      <c r="I4569" t="n">
        <v>27000000</v>
      </c>
      <c r="J4569" t="n">
        <v>0.102</v>
      </c>
      <c r="K4569" t="n">
        <v>1.76</v>
      </c>
      <c r="L4569" t="n">
        <v>0.14</v>
      </c>
      <c r="M4569" t="n">
        <v>1.62</v>
      </c>
      <c r="P4569" t="inlineStr">
        <is>
          <t>김나윤</t>
        </is>
      </c>
      <c r="Q4569" t="inlineStr">
        <is>
          <t>홈서비스 60개월 / 공동명의</t>
        </is>
      </c>
      <c r="AB4569" t="inlineStr">
        <is>
          <t>홈서비스</t>
        </is>
      </c>
      <c r="AC4569" t="n">
        <v>475200</v>
      </c>
      <c r="AD4569" t="n">
        <v>37800</v>
      </c>
      <c r="AE4569" t="n">
        <v>437400</v>
      </c>
      <c r="AF4569" t="n">
        <v>432000</v>
      </c>
      <c r="AG4569" t="n">
        <v>36552.6</v>
      </c>
      <c r="AH4569" t="n">
        <v>395447.4</v>
      </c>
      <c r="AI4569" t="n">
        <v>0</v>
      </c>
    </row>
    <row r="4570">
      <c r="A4570" t="inlineStr">
        <is>
          <t>5월</t>
        </is>
      </c>
      <c r="B4570" t="inlineStr">
        <is>
          <t>21주차</t>
        </is>
      </c>
      <c r="C4570" t="inlineStr">
        <is>
          <t>IM</t>
        </is>
      </c>
      <c r="D4570" s="28" t="n">
        <v>46165</v>
      </c>
      <c r="E4570" t="inlineStr">
        <is>
          <t>IM캐피탈</t>
        </is>
      </c>
      <c r="F4570" t="inlineStr">
        <is>
          <t>하중석</t>
        </is>
      </c>
      <c r="G4570" t="inlineStr">
        <is>
          <t>010-9322-4226</t>
        </is>
      </c>
      <c r="H4570" t="inlineStr">
        <is>
          <t>199버3202</t>
        </is>
      </c>
      <c r="I4570" t="n">
        <v>25000000</v>
      </c>
      <c r="J4570" t="n">
        <v>0.049</v>
      </c>
      <c r="K4570" t="n">
        <v>1.1</v>
      </c>
      <c r="L4570" t="n">
        <v>0.4</v>
      </c>
      <c r="M4570" t="n">
        <v>0.7</v>
      </c>
      <c r="P4570" t="inlineStr">
        <is>
          <t>장진경</t>
        </is>
      </c>
      <c r="AB4570" t="inlineStr">
        <is>
          <t>엔카</t>
        </is>
      </c>
      <c r="AC4570" t="n">
        <v>275000</v>
      </c>
      <c r="AD4570" t="n">
        <v>100000</v>
      </c>
      <c r="AE4570" t="n">
        <v>175000</v>
      </c>
      <c r="AF4570" t="n">
        <v>250000</v>
      </c>
      <c r="AG4570" t="n">
        <v>96700</v>
      </c>
      <c r="AH4570" t="n">
        <v>153300</v>
      </c>
      <c r="AI4570" t="n">
        <v>0</v>
      </c>
    </row>
    <row r="4571">
      <c r="A4571" t="inlineStr">
        <is>
          <t>5월</t>
        </is>
      </c>
      <c r="B4571" t="inlineStr">
        <is>
          <t>22주차</t>
        </is>
      </c>
      <c r="C4571" t="inlineStr">
        <is>
          <t>EP</t>
        </is>
      </c>
      <c r="D4571" s="28" t="n">
        <v>46168</v>
      </c>
      <c r="E4571" t="inlineStr">
        <is>
          <t>현대EP_fast</t>
        </is>
      </c>
      <c r="F4571" t="inlineStr">
        <is>
          <t>강산</t>
        </is>
      </c>
      <c r="G4571" t="inlineStr">
        <is>
          <t>010-5683-0486</t>
        </is>
      </c>
      <c r="H4571" t="inlineStr">
        <is>
          <t>59어5127</t>
        </is>
      </c>
      <c r="I4571" t="n">
        <v>22300000</v>
      </c>
      <c r="J4571" t="n">
        <v>0.118</v>
      </c>
      <c r="K4571" t="n">
        <v>1.76</v>
      </c>
      <c r="L4571" t="n">
        <v>0.14</v>
      </c>
      <c r="M4571" t="n">
        <v>1.62</v>
      </c>
      <c r="P4571" t="inlineStr">
        <is>
          <t>김수연</t>
        </is>
      </c>
      <c r="Q4571" t="inlineStr">
        <is>
          <t>홈서비스 60개월</t>
        </is>
      </c>
      <c r="AB4571" t="inlineStr">
        <is>
          <t>홈서비스</t>
        </is>
      </c>
      <c r="AC4571" t="n">
        <v>392480</v>
      </c>
      <c r="AD4571" t="n">
        <v>31220</v>
      </c>
      <c r="AE4571" t="n">
        <v>361260</v>
      </c>
      <c r="AF4571" t="n">
        <v>356800</v>
      </c>
      <c r="AG4571" t="n">
        <v>30189.74</v>
      </c>
      <c r="AH4571" t="n">
        <v>326610.26</v>
      </c>
      <c r="AI4571" t="n">
        <v>0</v>
      </c>
    </row>
    <row r="4572">
      <c r="A4572" t="inlineStr">
        <is>
          <t>5월</t>
        </is>
      </c>
      <c r="B4572" t="inlineStr">
        <is>
          <t>22주차</t>
        </is>
      </c>
      <c r="C4572" t="inlineStr">
        <is>
          <t>EP</t>
        </is>
      </c>
      <c r="D4572" s="28" t="n">
        <v>46167</v>
      </c>
      <c r="E4572" t="inlineStr">
        <is>
          <t>현대EP</t>
        </is>
      </c>
      <c r="F4572" t="inlineStr">
        <is>
          <t>서동환</t>
        </is>
      </c>
      <c r="G4572" t="inlineStr">
        <is>
          <t>010-3646-5349</t>
        </is>
      </c>
      <c r="H4572" t="inlineStr">
        <is>
          <t>149누1173</t>
        </is>
      </c>
      <c r="I4572" t="n">
        <v>27100000</v>
      </c>
      <c r="J4572" t="n">
        <v>0.074</v>
      </c>
      <c r="K4572" t="n">
        <v>1.76</v>
      </c>
      <c r="L4572" t="n">
        <v>0.14</v>
      </c>
      <c r="M4572" t="n">
        <v>1.62</v>
      </c>
      <c r="P4572" t="inlineStr">
        <is>
          <t>정세빈</t>
        </is>
      </c>
      <c r="AB4572" t="inlineStr">
        <is>
          <t>홈서비스</t>
        </is>
      </c>
      <c r="AC4572" t="n">
        <v>476960</v>
      </c>
      <c r="AD4572" t="n">
        <v>37940</v>
      </c>
      <c r="AE4572" t="n">
        <v>439020</v>
      </c>
      <c r="AF4572" t="n">
        <v>433600</v>
      </c>
      <c r="AG4572" t="n">
        <v>36687.98</v>
      </c>
      <c r="AH4572" t="n">
        <v>396912.02</v>
      </c>
      <c r="AI4572" t="n">
        <v>0</v>
      </c>
    </row>
    <row r="4573">
      <c r="A4573" t="inlineStr">
        <is>
          <t>5월</t>
        </is>
      </c>
      <c r="B4573" t="inlineStr">
        <is>
          <t>22주차</t>
        </is>
      </c>
      <c r="C4573" t="inlineStr">
        <is>
          <t>EP</t>
        </is>
      </c>
      <c r="D4573" s="28" t="n">
        <v>46168</v>
      </c>
      <c r="E4573" t="inlineStr">
        <is>
          <t>현대EP_fast</t>
        </is>
      </c>
      <c r="F4573" t="inlineStr">
        <is>
          <t>김미령</t>
        </is>
      </c>
      <c r="G4573" t="inlineStr">
        <is>
          <t>010-4068-0281</t>
        </is>
      </c>
      <c r="H4573" t="inlineStr">
        <is>
          <t>200가8406</t>
        </is>
      </c>
      <c r="I4573" t="n">
        <v>10000000</v>
      </c>
      <c r="J4573" t="n">
        <v>0.062</v>
      </c>
      <c r="K4573" t="n">
        <v>1.76</v>
      </c>
      <c r="L4573" t="n">
        <v>0.14</v>
      </c>
      <c r="M4573" t="n">
        <v>1.62</v>
      </c>
      <c r="P4573" t="inlineStr">
        <is>
          <t>김수연</t>
        </is>
      </c>
      <c r="Q4573" t="inlineStr">
        <is>
          <t>홈서비스 36개월</t>
        </is>
      </c>
      <c r="AB4573" t="inlineStr">
        <is>
          <t>홈서비스</t>
        </is>
      </c>
      <c r="AC4573" t="n">
        <v>176000</v>
      </c>
      <c r="AD4573" t="n">
        <v>14000</v>
      </c>
      <c r="AE4573" t="n">
        <v>162000</v>
      </c>
      <c r="AF4573" t="n">
        <v>160000</v>
      </c>
      <c r="AG4573" t="n">
        <v>13538</v>
      </c>
      <c r="AH4573" t="n">
        <v>146462</v>
      </c>
      <c r="AI4573" t="n">
        <v>0</v>
      </c>
    </row>
    <row r="4574">
      <c r="A4574" t="inlineStr">
        <is>
          <t>5월</t>
        </is>
      </c>
      <c r="B4574" t="inlineStr">
        <is>
          <t>22주차</t>
        </is>
      </c>
      <c r="C4574" t="inlineStr">
        <is>
          <t>IM</t>
        </is>
      </c>
      <c r="D4574" s="28" t="n">
        <v>46168</v>
      </c>
      <c r="E4574" t="inlineStr">
        <is>
          <t>IM캐피탈</t>
        </is>
      </c>
      <c r="F4574" t="inlineStr">
        <is>
          <t>하귀순</t>
        </is>
      </c>
      <c r="G4574" t="inlineStr">
        <is>
          <t>010-9566-6674</t>
        </is>
      </c>
      <c r="H4574" t="inlineStr">
        <is>
          <t>810루3131</t>
        </is>
      </c>
      <c r="I4574" t="n">
        <v>19900000</v>
      </c>
      <c r="J4574" t="n">
        <v>0.063</v>
      </c>
      <c r="K4574" t="n">
        <v>1.1</v>
      </c>
      <c r="L4574" t="n">
        <v>0.14</v>
      </c>
      <c r="M4574" t="n">
        <v>0.96</v>
      </c>
      <c r="P4574" t="inlineStr">
        <is>
          <t>김수연</t>
        </is>
      </c>
      <c r="Q4574" t="inlineStr">
        <is>
          <t>홈서비스 60개월</t>
        </is>
      </c>
      <c r="AB4574" t="inlineStr">
        <is>
          <t>홈서비스</t>
        </is>
      </c>
      <c r="AC4574" t="n">
        <v>218900</v>
      </c>
      <c r="AD4574" t="n">
        <v>27860</v>
      </c>
      <c r="AE4574" t="n">
        <v>191040</v>
      </c>
      <c r="AF4574" t="n">
        <v>199000</v>
      </c>
      <c r="AG4574" t="n">
        <v>26940.62</v>
      </c>
      <c r="AH4574" t="n">
        <v>172059.38</v>
      </c>
      <c r="AI4574" t="n">
        <v>0</v>
      </c>
    </row>
    <row r="4575">
      <c r="A4575" t="inlineStr">
        <is>
          <t>5월</t>
        </is>
      </c>
      <c r="B4575" t="inlineStr">
        <is>
          <t>21주차</t>
        </is>
      </c>
      <c r="C4575" t="inlineStr">
        <is>
          <t>IM</t>
        </is>
      </c>
      <c r="D4575" s="28" t="n">
        <v>46164</v>
      </c>
      <c r="E4575" t="inlineStr">
        <is>
          <t>IM캐피탈</t>
        </is>
      </c>
      <c r="F4575" t="inlineStr">
        <is>
          <t>전성호</t>
        </is>
      </c>
      <c r="G4575" t="inlineStr">
        <is>
          <t>010-8598-6104</t>
        </is>
      </c>
      <c r="H4575" t="inlineStr">
        <is>
          <t>223서3314</t>
        </is>
      </c>
      <c r="I4575" t="n">
        <v>10000000</v>
      </c>
      <c r="J4575" t="n">
        <v>0.063</v>
      </c>
      <c r="K4575" t="n">
        <v>1.1</v>
      </c>
      <c r="L4575" t="n">
        <v>0.14</v>
      </c>
      <c r="M4575" t="n">
        <v>0.96</v>
      </c>
      <c r="P4575" t="inlineStr">
        <is>
          <t>박소현</t>
        </is>
      </c>
      <c r="Q4575" t="inlineStr">
        <is>
          <t>선상담 / 홈서비스 60개월</t>
        </is>
      </c>
      <c r="AB4575" t="inlineStr">
        <is>
          <t>홈서비스</t>
        </is>
      </c>
      <c r="AC4575" t="n">
        <v>110000</v>
      </c>
      <c r="AD4575" t="n">
        <v>14000</v>
      </c>
      <c r="AE4575" t="n">
        <v>96000</v>
      </c>
      <c r="AF4575" t="n">
        <v>100000</v>
      </c>
      <c r="AG4575" t="n">
        <v>13538</v>
      </c>
      <c r="AH4575" t="n">
        <v>86462</v>
      </c>
      <c r="AI4575" t="n">
        <v>0</v>
      </c>
    </row>
    <row r="4576">
      <c r="A4576" t="inlineStr">
        <is>
          <t>5월</t>
        </is>
      </c>
      <c r="B4576" t="inlineStr">
        <is>
          <t>22주차</t>
        </is>
      </c>
      <c r="C4576" t="inlineStr">
        <is>
          <t>EP</t>
        </is>
      </c>
      <c r="D4576" s="28" t="n">
        <v>46168</v>
      </c>
      <c r="E4576" t="inlineStr">
        <is>
          <t>현대EP_fast</t>
        </is>
      </c>
      <c r="F4576" t="inlineStr">
        <is>
          <t>이광식</t>
        </is>
      </c>
      <c r="G4576" t="inlineStr">
        <is>
          <t>010-8558-2772</t>
        </is>
      </c>
      <c r="H4576" t="inlineStr">
        <is>
          <t>17오0915</t>
        </is>
      </c>
      <c r="I4576" t="n">
        <v>23500000</v>
      </c>
      <c r="J4576" t="n">
        <v>0.07099999999999999</v>
      </c>
      <c r="K4576" t="n">
        <v>1.76</v>
      </c>
      <c r="L4576" t="n">
        <v>0.14</v>
      </c>
      <c r="M4576" t="n">
        <v>1.62</v>
      </c>
      <c r="P4576" t="inlineStr">
        <is>
          <t>김나윤</t>
        </is>
      </c>
      <c r="Q4576" t="inlineStr">
        <is>
          <t>홈서비스 60개월</t>
        </is>
      </c>
      <c r="AB4576" t="inlineStr">
        <is>
          <t>홈서비스</t>
        </is>
      </c>
      <c r="AC4576" t="n">
        <v>413600</v>
      </c>
      <c r="AD4576" t="n">
        <v>32900</v>
      </c>
      <c r="AE4576" t="n">
        <v>380700</v>
      </c>
      <c r="AF4576" t="n">
        <v>376000</v>
      </c>
      <c r="AG4576" t="n">
        <v>31814.3</v>
      </c>
      <c r="AH4576" t="n">
        <v>344185.7</v>
      </c>
      <c r="AI4576" t="n">
        <v>0</v>
      </c>
    </row>
    <row r="4577">
      <c r="A4577" t="inlineStr">
        <is>
          <t>5월</t>
        </is>
      </c>
      <c r="B4577" t="inlineStr">
        <is>
          <t>22주차</t>
        </is>
      </c>
      <c r="C4577" t="inlineStr">
        <is>
          <t>IM</t>
        </is>
      </c>
      <c r="D4577" s="28" t="n">
        <v>46168</v>
      </c>
      <c r="E4577" t="inlineStr">
        <is>
          <t>IM캐피탈</t>
        </is>
      </c>
      <c r="F4577" t="inlineStr">
        <is>
          <t>전예지</t>
        </is>
      </c>
      <c r="G4577" t="inlineStr">
        <is>
          <t>010-4790-6174</t>
        </is>
      </c>
      <c r="H4577" t="inlineStr">
        <is>
          <t>01로7188</t>
        </is>
      </c>
      <c r="I4577" t="n">
        <v>43300000</v>
      </c>
      <c r="J4577" t="n">
        <v>0.049</v>
      </c>
      <c r="K4577" t="n">
        <v>1.1</v>
      </c>
      <c r="L4577" t="n">
        <v>0.5</v>
      </c>
      <c r="M4577" t="n">
        <v>0.6</v>
      </c>
      <c r="P4577" t="inlineStr">
        <is>
          <t>임대경</t>
        </is>
      </c>
      <c r="Q4577" t="inlineStr">
        <is>
          <t>부대비용 추가진행</t>
        </is>
      </c>
      <c r="AB4577" t="inlineStr">
        <is>
          <t>엔카</t>
        </is>
      </c>
      <c r="AC4577" t="n">
        <v>476300</v>
      </c>
      <c r="AD4577" t="n">
        <v>216500</v>
      </c>
      <c r="AE4577" t="n">
        <v>259800</v>
      </c>
      <c r="AF4577" t="n">
        <v>433000</v>
      </c>
      <c r="AG4577" t="n">
        <v>209355.5</v>
      </c>
      <c r="AH4577" t="n">
        <v>223644.5</v>
      </c>
      <c r="AI4577" t="n">
        <v>0</v>
      </c>
    </row>
    <row r="4578">
      <c r="A4578" t="inlineStr">
        <is>
          <t>5월</t>
        </is>
      </c>
      <c r="B4578" t="inlineStr">
        <is>
          <t>21주차</t>
        </is>
      </c>
      <c r="C4578" t="inlineStr">
        <is>
          <t>IM</t>
        </is>
      </c>
      <c r="D4578" s="28" t="n">
        <v>46164</v>
      </c>
      <c r="E4578" t="inlineStr">
        <is>
          <t>IM캐피탈</t>
        </is>
      </c>
      <c r="F4578" t="inlineStr">
        <is>
          <t>이창목</t>
        </is>
      </c>
      <c r="G4578" t="inlineStr">
        <is>
          <t>010-2460-1832</t>
        </is>
      </c>
      <c r="H4578" t="inlineStr">
        <is>
          <t>277라9365</t>
        </is>
      </c>
      <c r="I4578" t="n">
        <v>22000000</v>
      </c>
      <c r="J4578" t="n">
        <v>0.049</v>
      </c>
      <c r="K4578" t="n">
        <v>1.1</v>
      </c>
      <c r="L4578" t="n">
        <v>0.14</v>
      </c>
      <c r="M4578" t="n">
        <v>0.96</v>
      </c>
      <c r="P4578" t="inlineStr">
        <is>
          <t>박소현</t>
        </is>
      </c>
      <c r="Q4578" t="inlineStr">
        <is>
          <t>선상담 / 홈서비스 60개월</t>
        </is>
      </c>
      <c r="AB4578" t="inlineStr">
        <is>
          <t>홈서비스</t>
        </is>
      </c>
      <c r="AC4578" t="n">
        <v>242000</v>
      </c>
      <c r="AD4578" t="n">
        <v>30800</v>
      </c>
      <c r="AE4578" t="n">
        <v>211200</v>
      </c>
      <c r="AF4578" t="n">
        <v>220000</v>
      </c>
      <c r="AG4578" t="n">
        <v>29783.6</v>
      </c>
      <c r="AH4578" t="n">
        <v>190216.4</v>
      </c>
      <c r="AI4578" t="n">
        <v>0</v>
      </c>
    </row>
    <row r="4579">
      <c r="A4579" t="inlineStr">
        <is>
          <t>5월</t>
        </is>
      </c>
      <c r="B4579" t="inlineStr">
        <is>
          <t>22주차</t>
        </is>
      </c>
      <c r="C4579" t="inlineStr">
        <is>
          <t>IM</t>
        </is>
      </c>
      <c r="D4579" s="28" t="n">
        <v>46168</v>
      </c>
      <c r="E4579" t="inlineStr">
        <is>
          <t>IM캐피탈</t>
        </is>
      </c>
      <c r="F4579" t="inlineStr">
        <is>
          <t>이정훈</t>
        </is>
      </c>
      <c r="G4579" t="inlineStr">
        <is>
          <t>010-5042-0818</t>
        </is>
      </c>
      <c r="H4579" t="inlineStr">
        <is>
          <t>362머2885</t>
        </is>
      </c>
      <c r="I4579" t="n">
        <v>15900000</v>
      </c>
      <c r="J4579" t="n">
        <v>0.049</v>
      </c>
      <c r="K4579" t="n">
        <v>1.1</v>
      </c>
      <c r="L4579" t="n">
        <v>0.14</v>
      </c>
      <c r="M4579" t="n">
        <v>0.96</v>
      </c>
      <c r="P4579" t="inlineStr">
        <is>
          <t>김나윤</t>
        </is>
      </c>
      <c r="Q4579" t="inlineStr">
        <is>
          <t>홈서비스 60개월</t>
        </is>
      </c>
      <c r="AB4579" t="inlineStr">
        <is>
          <t>홈서비스</t>
        </is>
      </c>
      <c r="AC4579" t="n">
        <v>174900</v>
      </c>
      <c r="AD4579" t="n">
        <v>22260</v>
      </c>
      <c r="AE4579" t="n">
        <v>152640</v>
      </c>
      <c r="AF4579" t="n">
        <v>159000</v>
      </c>
      <c r="AG4579" t="n">
        <v>21525.42</v>
      </c>
      <c r="AH4579" t="n">
        <v>137474.58</v>
      </c>
      <c r="AI4579" t="n">
        <v>0</v>
      </c>
    </row>
    <row r="4580">
      <c r="A4580" t="inlineStr">
        <is>
          <t>5월</t>
        </is>
      </c>
      <c r="B4580" t="inlineStr">
        <is>
          <t>22주차</t>
        </is>
      </c>
      <c r="C4580" t="inlineStr">
        <is>
          <t>IM</t>
        </is>
      </c>
      <c r="D4580" s="28" t="n">
        <v>46168</v>
      </c>
      <c r="E4580" t="inlineStr">
        <is>
          <t>IM캐피탈</t>
        </is>
      </c>
      <c r="F4580" t="inlineStr">
        <is>
          <t>강봉규</t>
        </is>
      </c>
      <c r="G4580" t="inlineStr">
        <is>
          <t>010-7227-0543</t>
        </is>
      </c>
      <c r="H4580" t="inlineStr">
        <is>
          <t>10어3729</t>
        </is>
      </c>
      <c r="I4580" t="n">
        <v>35900000</v>
      </c>
      <c r="J4580" t="n">
        <v>0.049</v>
      </c>
      <c r="K4580" t="n">
        <v>1.1</v>
      </c>
      <c r="L4580" t="n">
        <v>0.5</v>
      </c>
      <c r="M4580" t="n">
        <v>0.6</v>
      </c>
      <c r="P4580" t="inlineStr">
        <is>
          <t>임대경</t>
        </is>
      </c>
      <c r="Q4580" t="inlineStr">
        <is>
          <t>부대비용 추가진행</t>
        </is>
      </c>
      <c r="AB4580" t="inlineStr">
        <is>
          <t>엔카</t>
        </is>
      </c>
      <c r="AC4580" t="n">
        <v>394900</v>
      </c>
      <c r="AD4580" t="n">
        <v>179500</v>
      </c>
      <c r="AE4580" t="n">
        <v>215400</v>
      </c>
      <c r="AF4580" t="n">
        <v>359000</v>
      </c>
      <c r="AG4580" t="n">
        <v>173576.5</v>
      </c>
      <c r="AH4580" t="n">
        <v>185423.5</v>
      </c>
      <c r="AI4580" t="n">
        <v>0</v>
      </c>
    </row>
    <row r="4581">
      <c r="A4581" t="inlineStr">
        <is>
          <t>5월</t>
        </is>
      </c>
      <c r="B4581" t="inlineStr">
        <is>
          <t>22주차</t>
        </is>
      </c>
      <c r="C4581" t="inlineStr">
        <is>
          <t>EP</t>
        </is>
      </c>
      <c r="D4581" s="28" t="n">
        <v>46167</v>
      </c>
      <c r="E4581" t="inlineStr">
        <is>
          <t>현대EP</t>
        </is>
      </c>
      <c r="F4581" t="inlineStr">
        <is>
          <t>유재훈</t>
        </is>
      </c>
      <c r="G4581" t="inlineStr">
        <is>
          <t>010-3593-1126</t>
        </is>
      </c>
      <c r="H4581" t="inlineStr">
        <is>
          <t>09어0472</t>
        </is>
      </c>
      <c r="I4581" t="n">
        <v>13500000</v>
      </c>
      <c r="J4581" t="n">
        <v>0.06900000000000001</v>
      </c>
      <c r="K4581" t="n">
        <v>1.76</v>
      </c>
      <c r="L4581" t="n">
        <v>0.14</v>
      </c>
      <c r="M4581" t="n">
        <v>1.62</v>
      </c>
      <c r="P4581" t="inlineStr">
        <is>
          <t>정세빈</t>
        </is>
      </c>
      <c r="AB4581" t="inlineStr">
        <is>
          <t>홈서비스</t>
        </is>
      </c>
      <c r="AC4581" t="n">
        <v>237600</v>
      </c>
      <c r="AD4581" t="n">
        <v>18900</v>
      </c>
      <c r="AE4581" t="n">
        <v>218700</v>
      </c>
      <c r="AF4581" t="n">
        <v>216000</v>
      </c>
      <c r="AG4581" t="n">
        <v>18276.3</v>
      </c>
      <c r="AH4581" t="n">
        <v>197723.7</v>
      </c>
      <c r="AI4581" t="n">
        <v>0</v>
      </c>
    </row>
    <row r="4582">
      <c r="A4582" t="inlineStr">
        <is>
          <t>5월</t>
        </is>
      </c>
      <c r="B4582" t="inlineStr">
        <is>
          <t>22주차</t>
        </is>
      </c>
      <c r="C4582" t="inlineStr">
        <is>
          <t>EP</t>
        </is>
      </c>
      <c r="D4582" s="28" t="n">
        <v>46168</v>
      </c>
      <c r="E4582" t="inlineStr">
        <is>
          <t>현대EP_fast</t>
        </is>
      </c>
      <c r="F4582" t="inlineStr">
        <is>
          <t>이청은</t>
        </is>
      </c>
      <c r="G4582" t="inlineStr">
        <is>
          <t>010-9393-7144</t>
        </is>
      </c>
      <c r="H4582" t="inlineStr">
        <is>
          <t>354로2676</t>
        </is>
      </c>
      <c r="I4582" t="n">
        <v>22000000</v>
      </c>
      <c r="J4582" t="n">
        <v>0.109</v>
      </c>
      <c r="K4582" t="n">
        <v>1.76</v>
      </c>
      <c r="L4582" t="n">
        <v>0.14</v>
      </c>
      <c r="M4582" t="n">
        <v>1.62</v>
      </c>
      <c r="P4582" t="inlineStr">
        <is>
          <t>김나윤</t>
        </is>
      </c>
      <c r="Q4582" t="inlineStr">
        <is>
          <t>홈서비스 48개월</t>
        </is>
      </c>
      <c r="AB4582" t="inlineStr">
        <is>
          <t>홈서비스</t>
        </is>
      </c>
      <c r="AC4582" t="n">
        <v>387200</v>
      </c>
      <c r="AD4582" t="n">
        <v>30800</v>
      </c>
      <c r="AE4582" t="n">
        <v>356400</v>
      </c>
      <c r="AF4582" t="n">
        <v>352000</v>
      </c>
      <c r="AG4582" t="n">
        <v>29783.6</v>
      </c>
      <c r="AH4582" t="n">
        <v>322216.4</v>
      </c>
    </row>
    <row r="4583">
      <c r="A4583" t="inlineStr">
        <is>
          <t>5월</t>
        </is>
      </c>
      <c r="B4583" t="inlineStr">
        <is>
          <t>22주차</t>
        </is>
      </c>
      <c r="C4583" t="inlineStr">
        <is>
          <t>EP</t>
        </is>
      </c>
      <c r="D4583" s="28" t="n">
        <v>46168</v>
      </c>
      <c r="E4583" t="inlineStr">
        <is>
          <t>현대EP_fast</t>
        </is>
      </c>
      <c r="F4583" t="inlineStr">
        <is>
          <t>김성억</t>
        </is>
      </c>
      <c r="G4583" t="inlineStr">
        <is>
          <t>010-2448-3298</t>
        </is>
      </c>
      <c r="H4583" t="inlineStr">
        <is>
          <t>52무8166</t>
        </is>
      </c>
      <c r="I4583" t="n">
        <v>16400000</v>
      </c>
      <c r="J4583" t="n">
        <v>0.105</v>
      </c>
      <c r="K4583" t="n">
        <v>1.76</v>
      </c>
      <c r="L4583" t="n">
        <v>0.14</v>
      </c>
      <c r="M4583" t="n">
        <v>1.62</v>
      </c>
      <c r="P4583" t="inlineStr">
        <is>
          <t>김나윤</t>
        </is>
      </c>
      <c r="Q4583" t="inlineStr">
        <is>
          <t>홈서비스 60개월</t>
        </is>
      </c>
      <c r="AB4583" t="inlineStr">
        <is>
          <t>홈서비스</t>
        </is>
      </c>
      <c r="AC4583" t="n">
        <v>288640</v>
      </c>
      <c r="AD4583" t="n">
        <v>22960</v>
      </c>
      <c r="AE4583" t="n">
        <v>265680</v>
      </c>
      <c r="AF4583" t="n">
        <v>262400</v>
      </c>
      <c r="AG4583" t="n">
        <v>22202.32</v>
      </c>
      <c r="AH4583" t="n">
        <v>240197.68</v>
      </c>
      <c r="AI4583" t="n">
        <v>0</v>
      </c>
    </row>
    <row r="4584">
      <c r="A4584" t="inlineStr">
        <is>
          <t>5월</t>
        </is>
      </c>
      <c r="B4584" t="inlineStr">
        <is>
          <t>22주차</t>
        </is>
      </c>
      <c r="C4584" t="inlineStr">
        <is>
          <t>IM</t>
        </is>
      </c>
      <c r="D4584" s="28" t="n">
        <v>46168</v>
      </c>
      <c r="E4584" t="inlineStr">
        <is>
          <t>IM캐피탈</t>
        </is>
      </c>
      <c r="F4584" t="inlineStr">
        <is>
          <t>장현수</t>
        </is>
      </c>
      <c r="G4584" t="inlineStr">
        <is>
          <t>010-2199-1303</t>
        </is>
      </c>
      <c r="H4584" t="inlineStr">
        <is>
          <t>334모5529</t>
        </is>
      </c>
      <c r="I4584" t="n">
        <v>20000000</v>
      </c>
      <c r="J4584" t="n">
        <v>0.049</v>
      </c>
      <c r="K4584" t="n">
        <v>1.1</v>
      </c>
      <c r="L4584" t="n">
        <v>0.14</v>
      </c>
      <c r="M4584" t="n">
        <v>0.96</v>
      </c>
      <c r="P4584" t="inlineStr">
        <is>
          <t>김수연</t>
        </is>
      </c>
      <c r="Q4584" t="inlineStr">
        <is>
          <t>홈서비스 84개월</t>
        </is>
      </c>
      <c r="AB4584" t="inlineStr">
        <is>
          <t>홈서비스</t>
        </is>
      </c>
      <c r="AC4584" t="n">
        <v>220000</v>
      </c>
      <c r="AD4584" t="n">
        <v>28000</v>
      </c>
      <c r="AE4584" t="n">
        <v>192000</v>
      </c>
      <c r="AF4584" t="n">
        <v>200000</v>
      </c>
      <c r="AG4584" t="n">
        <v>27076</v>
      </c>
      <c r="AH4584" t="n">
        <v>172924</v>
      </c>
      <c r="AI4584" t="n">
        <v>0</v>
      </c>
    </row>
    <row r="4585">
      <c r="A4585" t="inlineStr">
        <is>
          <t>5월</t>
        </is>
      </c>
      <c r="B4585" t="inlineStr">
        <is>
          <t>22주차</t>
        </is>
      </c>
      <c r="C4585" t="inlineStr">
        <is>
          <t>EP</t>
        </is>
      </c>
      <c r="D4585" s="28" t="n">
        <v>46168</v>
      </c>
      <c r="E4585" t="inlineStr">
        <is>
          <t>현대EP_fast</t>
        </is>
      </c>
      <c r="F4585" t="inlineStr">
        <is>
          <t>이진수</t>
        </is>
      </c>
      <c r="G4585" t="inlineStr">
        <is>
          <t>010-9906-8642</t>
        </is>
      </c>
      <c r="H4585" t="inlineStr">
        <is>
          <t>09로6225</t>
        </is>
      </c>
      <c r="I4585" t="n">
        <v>47500000</v>
      </c>
      <c r="J4585" t="n">
        <v>0.075</v>
      </c>
      <c r="K4585" t="n">
        <v>1.76</v>
      </c>
      <c r="L4585" t="n">
        <v>0.14</v>
      </c>
      <c r="M4585" t="n">
        <v>1.62</v>
      </c>
      <c r="P4585" t="inlineStr">
        <is>
          <t>정세빈</t>
        </is>
      </c>
      <c r="Q4585" t="inlineStr">
        <is>
          <t>홈서비스 60개월</t>
        </is>
      </c>
      <c r="AB4585" t="inlineStr">
        <is>
          <t>홈서비스</t>
        </is>
      </c>
      <c r="AC4585" t="n">
        <v>836000</v>
      </c>
      <c r="AD4585" t="n">
        <v>66500</v>
      </c>
      <c r="AE4585" t="n">
        <v>769500</v>
      </c>
      <c r="AF4585" t="n">
        <v>760000</v>
      </c>
      <c r="AG4585" t="n">
        <v>64305.5</v>
      </c>
      <c r="AH4585" t="n">
        <v>695694.5</v>
      </c>
      <c r="AI4585" t="n">
        <v>0</v>
      </c>
    </row>
    <row r="4586">
      <c r="A4586" t="inlineStr">
        <is>
          <t>5월</t>
        </is>
      </c>
      <c r="B4586" t="inlineStr">
        <is>
          <t>22주차</t>
        </is>
      </c>
      <c r="C4586" t="inlineStr">
        <is>
          <t>EP</t>
        </is>
      </c>
      <c r="D4586" s="28" t="n">
        <v>46168</v>
      </c>
      <c r="E4586" t="inlineStr">
        <is>
          <t>현대EP_fast</t>
        </is>
      </c>
      <c r="F4586" t="inlineStr">
        <is>
          <t>김은주</t>
        </is>
      </c>
      <c r="G4586" t="inlineStr">
        <is>
          <t>010-3492-2339</t>
        </is>
      </c>
      <c r="H4586" t="inlineStr">
        <is>
          <t>47조3231</t>
        </is>
      </c>
      <c r="I4586" t="n">
        <v>27000000</v>
      </c>
      <c r="J4586" t="n">
        <v>0.062</v>
      </c>
      <c r="K4586" t="n">
        <v>1.76</v>
      </c>
      <c r="L4586" t="n">
        <v>0.14</v>
      </c>
      <c r="M4586" t="n">
        <v>1.62</v>
      </c>
      <c r="P4586" t="inlineStr">
        <is>
          <t>김수연</t>
        </is>
      </c>
      <c r="Q4586" t="inlineStr">
        <is>
          <t>홈서비스 60개월 / 공동명의</t>
        </is>
      </c>
      <c r="AB4586" t="inlineStr">
        <is>
          <t>홈서비스</t>
        </is>
      </c>
      <c r="AC4586" t="n">
        <v>475200</v>
      </c>
      <c r="AD4586" t="n">
        <v>37800</v>
      </c>
      <c r="AE4586" t="n">
        <v>437400</v>
      </c>
      <c r="AF4586" t="n">
        <v>432000</v>
      </c>
      <c r="AG4586" t="n">
        <v>36552.6</v>
      </c>
      <c r="AH4586" t="n">
        <v>395447.4</v>
      </c>
      <c r="AI4586" t="n">
        <v>0</v>
      </c>
    </row>
    <row r="4587">
      <c r="A4587" t="inlineStr">
        <is>
          <t>5월</t>
        </is>
      </c>
      <c r="B4587" t="inlineStr">
        <is>
          <t>21주차</t>
        </is>
      </c>
      <c r="C4587" t="inlineStr">
        <is>
          <t>IM</t>
        </is>
      </c>
      <c r="D4587" s="28" t="n">
        <v>46165</v>
      </c>
      <c r="E4587" t="inlineStr">
        <is>
          <t>IM캐피탈</t>
        </is>
      </c>
      <c r="F4587" t="inlineStr">
        <is>
          <t>장경욱</t>
        </is>
      </c>
      <c r="G4587" t="inlineStr">
        <is>
          <t>010-4333-7732</t>
        </is>
      </c>
      <c r="H4587" t="inlineStr">
        <is>
          <t>322노6795</t>
        </is>
      </c>
      <c r="I4587" t="n">
        <v>30000000</v>
      </c>
      <c r="J4587" t="n">
        <v>0.049</v>
      </c>
      <c r="K4587" t="n">
        <v>1.1</v>
      </c>
      <c r="L4587" t="n">
        <v>0.4</v>
      </c>
      <c r="M4587" t="n">
        <v>0.7</v>
      </c>
      <c r="P4587" t="inlineStr">
        <is>
          <t>최혁</t>
        </is>
      </c>
      <c r="AB4587" t="inlineStr">
        <is>
          <t>엔카</t>
        </is>
      </c>
      <c r="AC4587" t="n">
        <v>330000</v>
      </c>
      <c r="AD4587" t="n">
        <v>120000</v>
      </c>
      <c r="AE4587" t="n">
        <v>210000</v>
      </c>
      <c r="AF4587" t="n">
        <v>300000</v>
      </c>
      <c r="AG4587" t="n">
        <v>116040</v>
      </c>
      <c r="AH4587" t="n">
        <v>183960</v>
      </c>
      <c r="AI4587" t="n">
        <v>0</v>
      </c>
    </row>
    <row r="4588">
      <c r="A4588" t="inlineStr">
        <is>
          <t>5월</t>
        </is>
      </c>
      <c r="B4588" t="inlineStr">
        <is>
          <t>21주차</t>
        </is>
      </c>
      <c r="C4588" t="inlineStr">
        <is>
          <t>EP</t>
        </is>
      </c>
      <c r="D4588" s="28" t="n">
        <v>46164</v>
      </c>
      <c r="E4588" t="inlineStr">
        <is>
          <t>현대EP_fast</t>
        </is>
      </c>
      <c r="F4588" t="inlineStr">
        <is>
          <t>김은경</t>
        </is>
      </c>
      <c r="G4588" t="inlineStr">
        <is>
          <t>010-2000-1082</t>
        </is>
      </c>
      <c r="H4588" t="inlineStr">
        <is>
          <t>26너9799</t>
        </is>
      </c>
      <c r="I4588" t="n">
        <v>8000000</v>
      </c>
      <c r="J4588" t="n">
        <v>0.049</v>
      </c>
      <c r="K4588" t="n">
        <v>1.76</v>
      </c>
      <c r="L4588" t="n">
        <v>0.14</v>
      </c>
      <c r="M4588" t="n">
        <v>1.62</v>
      </c>
      <c r="P4588" t="inlineStr">
        <is>
          <t>최혁</t>
        </is>
      </c>
      <c r="Q4588" t="inlineStr">
        <is>
          <t>홈서비스24개월</t>
        </is>
      </c>
      <c r="AB4588" t="inlineStr">
        <is>
          <t>홈서비스</t>
        </is>
      </c>
      <c r="AC4588" t="n">
        <v>140800</v>
      </c>
      <c r="AD4588" t="n">
        <v>11200</v>
      </c>
      <c r="AE4588" t="n">
        <v>129600</v>
      </c>
      <c r="AF4588" t="n">
        <v>128000</v>
      </c>
      <c r="AG4588" t="n">
        <v>10830.4</v>
      </c>
      <c r="AH4588" t="n">
        <v>117169.6</v>
      </c>
    </row>
    <row r="4589">
      <c r="A4589" t="inlineStr">
        <is>
          <t>5월</t>
        </is>
      </c>
      <c r="B4589" t="inlineStr">
        <is>
          <t>21주차</t>
        </is>
      </c>
      <c r="C4589" t="inlineStr">
        <is>
          <t>IM</t>
        </is>
      </c>
      <c r="D4589" s="28" t="n">
        <v>46164</v>
      </c>
      <c r="E4589" t="inlineStr">
        <is>
          <t>IM캐피탈</t>
        </is>
      </c>
      <c r="F4589" t="inlineStr">
        <is>
          <t>김상일</t>
        </is>
      </c>
      <c r="G4589" t="inlineStr">
        <is>
          <t>010-7725-3122</t>
        </is>
      </c>
      <c r="H4589" t="inlineStr">
        <is>
          <t>263구4928</t>
        </is>
      </c>
      <c r="I4589" t="n">
        <v>43000000</v>
      </c>
      <c r="J4589" t="n">
        <v>0.076</v>
      </c>
      <c r="K4589" t="n">
        <v>1.1</v>
      </c>
      <c r="L4589" t="n">
        <v>0.4</v>
      </c>
      <c r="M4589" t="n">
        <v>0.7</v>
      </c>
      <c r="P4589" t="inlineStr">
        <is>
          <t>최혁</t>
        </is>
      </c>
      <c r="Q4589" t="inlineStr">
        <is>
          <t>부대비용진행</t>
        </is>
      </c>
      <c r="AB4589" t="inlineStr">
        <is>
          <t>엔카</t>
        </is>
      </c>
      <c r="AC4589" t="n">
        <v>473000</v>
      </c>
      <c r="AD4589" t="n">
        <v>172000</v>
      </c>
      <c r="AE4589" t="n">
        <v>301000</v>
      </c>
      <c r="AF4589" t="n">
        <v>430000</v>
      </c>
      <c r="AG4589" t="n">
        <v>166324</v>
      </c>
      <c r="AH4589" t="n">
        <v>263676</v>
      </c>
    </row>
    <row r="4590">
      <c r="A4590" t="inlineStr">
        <is>
          <t>5월</t>
        </is>
      </c>
      <c r="B4590" t="inlineStr">
        <is>
          <t>21주차</t>
        </is>
      </c>
      <c r="C4590" t="inlineStr">
        <is>
          <t>IM</t>
        </is>
      </c>
      <c r="D4590" s="28" t="n">
        <v>46165</v>
      </c>
      <c r="E4590" t="inlineStr">
        <is>
          <t>IM캐피탈</t>
        </is>
      </c>
      <c r="F4590" t="inlineStr">
        <is>
          <t>윤현경</t>
        </is>
      </c>
      <c r="G4590" t="inlineStr">
        <is>
          <t>010-7255-6528</t>
        </is>
      </c>
      <c r="H4590" t="inlineStr">
        <is>
          <t>263구4928</t>
        </is>
      </c>
      <c r="I4590" t="n">
        <v>22000000</v>
      </c>
      <c r="J4590" t="n">
        <v>0.045</v>
      </c>
      <c r="K4590" t="n">
        <v>1.1</v>
      </c>
      <c r="L4590" t="n">
        <v>0.4</v>
      </c>
      <c r="M4590" t="n">
        <v>0.7</v>
      </c>
      <c r="P4590" t="inlineStr">
        <is>
          <t>최혁</t>
        </is>
      </c>
      <c r="AB4590" t="inlineStr">
        <is>
          <t>엔카</t>
        </is>
      </c>
      <c r="AC4590" t="n">
        <v>242000</v>
      </c>
      <c r="AD4590" t="n">
        <v>88000</v>
      </c>
      <c r="AE4590" t="n">
        <v>154000</v>
      </c>
      <c r="AF4590" t="n">
        <v>220000</v>
      </c>
      <c r="AG4590" t="n">
        <v>85096</v>
      </c>
      <c r="AH4590" t="n">
        <v>134904</v>
      </c>
      <c r="AI4590" t="n">
        <v>0</v>
      </c>
    </row>
    <row r="4591">
      <c r="A4591" t="inlineStr">
        <is>
          <t>4월</t>
        </is>
      </c>
      <c r="B4591" t="inlineStr">
        <is>
          <t>16주차</t>
        </is>
      </c>
      <c r="C4591" t="inlineStr">
        <is>
          <t>EP</t>
        </is>
      </c>
      <c r="D4591" s="28" t="n">
        <v>46129</v>
      </c>
      <c r="E4591" t="inlineStr">
        <is>
          <t>현대EP</t>
        </is>
      </c>
      <c r="F4591" t="inlineStr">
        <is>
          <t>배자민</t>
        </is>
      </c>
      <c r="G4591" t="inlineStr">
        <is>
          <t>010-2350-5368</t>
        </is>
      </c>
      <c r="H4591" t="inlineStr">
        <is>
          <t>67오6933</t>
        </is>
      </c>
      <c r="I4591" t="n">
        <v>5000000</v>
      </c>
      <c r="J4591" t="n">
        <v>0.105</v>
      </c>
      <c r="K4591" t="n">
        <v>1.76</v>
      </c>
      <c r="L4591" t="n">
        <v>0.2</v>
      </c>
      <c r="M4591" t="n">
        <v>1.56</v>
      </c>
      <c r="P4591" t="inlineStr">
        <is>
          <t>최형주</t>
        </is>
      </c>
      <c r="AB4591" t="inlineStr">
        <is>
          <t>홈서비스</t>
        </is>
      </c>
      <c r="AC4591" t="n">
        <v>88000</v>
      </c>
      <c r="AD4591" t="n">
        <v>10000</v>
      </c>
      <c r="AE4591" t="n">
        <v>78000</v>
      </c>
      <c r="AF4591" t="n">
        <v>80000</v>
      </c>
      <c r="AG4591" t="n">
        <v>9670</v>
      </c>
      <c r="AH4591" t="n">
        <v>70330</v>
      </c>
      <c r="AI4591" t="n">
        <v>0</v>
      </c>
      <c r="AJ4591" t="inlineStr">
        <is>
          <t>개인</t>
        </is>
      </c>
    </row>
    <row r="4592">
      <c r="A4592" t="inlineStr">
        <is>
          <t>5월</t>
        </is>
      </c>
      <c r="B4592" t="inlineStr">
        <is>
          <t>22주차</t>
        </is>
      </c>
      <c r="C4592" t="inlineStr">
        <is>
          <t>IM</t>
        </is>
      </c>
      <c r="D4592" s="28" t="n">
        <v>46168</v>
      </c>
      <c r="E4592" t="inlineStr">
        <is>
          <t>IM캐피탈</t>
        </is>
      </c>
      <c r="F4592" t="inlineStr">
        <is>
          <t>최영현</t>
        </is>
      </c>
      <c r="G4592" t="inlineStr">
        <is>
          <t>010-7700-5325</t>
        </is>
      </c>
      <c r="H4592" t="inlineStr">
        <is>
          <t>81저3280</t>
        </is>
      </c>
      <c r="I4592" t="n">
        <v>15000000</v>
      </c>
      <c r="J4592" t="n">
        <v>0.079</v>
      </c>
      <c r="K4592" t="n">
        <v>1.1</v>
      </c>
      <c r="L4592" t="n">
        <v>0.4</v>
      </c>
      <c r="M4592" t="n">
        <v>0.7</v>
      </c>
      <c r="P4592" t="inlineStr">
        <is>
          <t>장진경</t>
        </is>
      </c>
      <c r="AB4592" t="inlineStr">
        <is>
          <t>엔카</t>
        </is>
      </c>
      <c r="AC4592" t="n">
        <v>165000</v>
      </c>
      <c r="AD4592" t="n">
        <v>60000</v>
      </c>
      <c r="AE4592" t="n">
        <v>105000</v>
      </c>
      <c r="AF4592" t="n">
        <v>150000</v>
      </c>
      <c r="AG4592" t="n">
        <v>58020</v>
      </c>
      <c r="AH4592" t="n">
        <v>91980</v>
      </c>
      <c r="AI4592" t="n">
        <v>0</v>
      </c>
    </row>
    <row r="4593">
      <c r="A4593" t="inlineStr">
        <is>
          <t>5월</t>
        </is>
      </c>
      <c r="B4593" t="inlineStr">
        <is>
          <t>22주차</t>
        </is>
      </c>
      <c r="C4593" t="inlineStr">
        <is>
          <t>IM</t>
        </is>
      </c>
      <c r="D4593" s="28" t="n">
        <v>46168</v>
      </c>
      <c r="E4593" t="inlineStr">
        <is>
          <t>IM캐피탈</t>
        </is>
      </c>
      <c r="F4593" t="inlineStr">
        <is>
          <t>오민규</t>
        </is>
      </c>
      <c r="G4593" t="inlineStr">
        <is>
          <t>010-4800-3553</t>
        </is>
      </c>
      <c r="H4593" t="inlineStr">
        <is>
          <t>114누2789</t>
        </is>
      </c>
      <c r="I4593" t="n">
        <v>40000000</v>
      </c>
      <c r="J4593" t="n">
        <v>0.063</v>
      </c>
      <c r="K4593" t="n">
        <v>1.1</v>
      </c>
      <c r="L4593" t="n">
        <v>0.14</v>
      </c>
      <c r="M4593" t="n">
        <v>0.96</v>
      </c>
      <c r="P4593" t="inlineStr">
        <is>
          <t>김나윤</t>
        </is>
      </c>
      <c r="Q4593" t="inlineStr">
        <is>
          <t>홈서비스 60개월 / 부대비용 추가진행</t>
        </is>
      </c>
      <c r="AB4593" t="inlineStr">
        <is>
          <t>홈서비스</t>
        </is>
      </c>
      <c r="AC4593" t="n">
        <v>440000</v>
      </c>
      <c r="AD4593" t="n">
        <v>56000</v>
      </c>
      <c r="AE4593" t="n">
        <v>384000</v>
      </c>
      <c r="AF4593" t="n">
        <v>400000</v>
      </c>
      <c r="AG4593" t="n">
        <v>54152</v>
      </c>
      <c r="AH4593" t="n">
        <v>345848</v>
      </c>
      <c r="AI4593" t="n">
        <v>0</v>
      </c>
    </row>
    <row r="4594">
      <c r="A4594" t="inlineStr">
        <is>
          <t>5월</t>
        </is>
      </c>
      <c r="B4594" t="inlineStr">
        <is>
          <t>22주차</t>
        </is>
      </c>
      <c r="C4594" t="inlineStr">
        <is>
          <t>IM</t>
        </is>
      </c>
      <c r="D4594" s="28" t="n">
        <v>46168</v>
      </c>
      <c r="E4594" t="inlineStr">
        <is>
          <t>IM캐피탈</t>
        </is>
      </c>
      <c r="F4594" t="inlineStr">
        <is>
          <t>박지운</t>
        </is>
      </c>
      <c r="G4594" t="inlineStr">
        <is>
          <t>010-9745-5090</t>
        </is>
      </c>
      <c r="H4594" t="inlineStr">
        <is>
          <t>150머3259</t>
        </is>
      </c>
      <c r="I4594" t="n">
        <v>18000000</v>
      </c>
      <c r="J4594" t="n">
        <v>0.063</v>
      </c>
      <c r="K4594" t="n">
        <v>1.1</v>
      </c>
      <c r="L4594" t="n">
        <v>0.14</v>
      </c>
      <c r="M4594" t="n">
        <v>0.96</v>
      </c>
      <c r="P4594" t="inlineStr">
        <is>
          <t>김수연</t>
        </is>
      </c>
      <c r="Q4594" t="inlineStr">
        <is>
          <t>홈서비스 60개월 / 공동명의</t>
        </is>
      </c>
      <c r="AB4594" t="inlineStr">
        <is>
          <t>홈서비스</t>
        </is>
      </c>
      <c r="AC4594" t="n">
        <v>198000</v>
      </c>
      <c r="AD4594" t="n">
        <v>25200</v>
      </c>
      <c r="AE4594" t="n">
        <v>172800</v>
      </c>
      <c r="AF4594" t="n">
        <v>180000</v>
      </c>
      <c r="AG4594" t="n">
        <v>24368.4</v>
      </c>
      <c r="AH4594" t="n">
        <v>155631.6</v>
      </c>
      <c r="AI4594" t="n">
        <v>0</v>
      </c>
    </row>
    <row r="4595">
      <c r="A4595" t="inlineStr">
        <is>
          <t>4월</t>
        </is>
      </c>
      <c r="B4595" t="inlineStr">
        <is>
          <t>16주차</t>
        </is>
      </c>
      <c r="C4595" t="inlineStr">
        <is>
          <t>EP</t>
        </is>
      </c>
      <c r="D4595" s="28" t="n">
        <v>46127</v>
      </c>
      <c r="E4595" t="inlineStr">
        <is>
          <t>BNKEP</t>
        </is>
      </c>
      <c r="F4595" t="inlineStr">
        <is>
          <t>박성수</t>
        </is>
      </c>
      <c r="G4595" t="inlineStr">
        <is>
          <t>010-9805-5744</t>
        </is>
      </c>
      <c r="H4595" t="inlineStr">
        <is>
          <t>54나2735</t>
        </is>
      </c>
      <c r="I4595" t="n">
        <v>12500000</v>
      </c>
      <c r="J4595" t="n">
        <v>0.061</v>
      </c>
      <c r="K4595" t="n">
        <v>1.65</v>
      </c>
      <c r="L4595" t="n">
        <v>0.07000000000000001</v>
      </c>
      <c r="M4595" t="n">
        <v>1.58</v>
      </c>
      <c r="P4595" t="inlineStr">
        <is>
          <t>정광호</t>
        </is>
      </c>
      <c r="Q4595" t="inlineStr">
        <is>
          <t>담당자 입력 누락건</t>
        </is>
      </c>
      <c r="AB4595" t="inlineStr">
        <is>
          <t>홈서비스</t>
        </is>
      </c>
      <c r="AC4595" t="n">
        <v>206250</v>
      </c>
      <c r="AD4595" t="n">
        <v>8750</v>
      </c>
      <c r="AE4595" t="n">
        <v>197500</v>
      </c>
      <c r="AF4595" t="n">
        <v>187500</v>
      </c>
      <c r="AG4595" t="n">
        <v>8461.25</v>
      </c>
      <c r="AH4595" t="n">
        <v>179038.75</v>
      </c>
    </row>
    <row r="4596">
      <c r="A4596" t="inlineStr">
        <is>
          <t>5월</t>
        </is>
      </c>
      <c r="B4596" t="inlineStr">
        <is>
          <t>21주차</t>
        </is>
      </c>
      <c r="C4596" t="inlineStr">
        <is>
          <t>IM</t>
        </is>
      </c>
      <c r="D4596" s="28" t="n">
        <v>46164</v>
      </c>
      <c r="E4596" t="inlineStr">
        <is>
          <t>IM캐피탈</t>
        </is>
      </c>
      <c r="F4596" t="inlineStr">
        <is>
          <t>이태현</t>
        </is>
      </c>
      <c r="G4596" t="inlineStr">
        <is>
          <t>010-7139-5285</t>
        </is>
      </c>
      <c r="H4596" t="inlineStr">
        <is>
          <t>354오2144</t>
        </is>
      </c>
      <c r="I4596" t="n">
        <v>37000000</v>
      </c>
      <c r="J4596" t="n">
        <v>0.049</v>
      </c>
      <c r="K4596" t="n">
        <v>1.1</v>
      </c>
      <c r="L4596" t="n">
        <v>0.4</v>
      </c>
      <c r="M4596" t="n">
        <v>0.7</v>
      </c>
      <c r="P4596" t="inlineStr">
        <is>
          <t>박현민</t>
        </is>
      </c>
      <c r="Q4596" t="inlineStr">
        <is>
          <t>부대비용 추가진행</t>
        </is>
      </c>
      <c r="AB4596" t="inlineStr">
        <is>
          <t>엔카</t>
        </is>
      </c>
      <c r="AC4596" t="n">
        <v>407000</v>
      </c>
      <c r="AD4596" t="n">
        <v>148000</v>
      </c>
      <c r="AE4596" t="n">
        <v>259000</v>
      </c>
      <c r="AF4596" t="n">
        <v>370000</v>
      </c>
      <c r="AG4596" t="n">
        <v>143116</v>
      </c>
      <c r="AH4596" t="n">
        <v>226884</v>
      </c>
    </row>
    <row r="4597">
      <c r="A4597" t="inlineStr">
        <is>
          <t>4월</t>
        </is>
      </c>
      <c r="B4597" t="inlineStr">
        <is>
          <t>16주차</t>
        </is>
      </c>
      <c r="C4597" t="inlineStr">
        <is>
          <t>EP</t>
        </is>
      </c>
      <c r="D4597" s="28" t="n">
        <v>46128</v>
      </c>
      <c r="E4597" t="inlineStr">
        <is>
          <t>현대EP_fast</t>
        </is>
      </c>
      <c r="F4597" t="inlineStr">
        <is>
          <t>김현아</t>
        </is>
      </c>
      <c r="G4597" t="inlineStr">
        <is>
          <t>010-8959-0575</t>
        </is>
      </c>
      <c r="H4597" t="inlineStr">
        <is>
          <t>269가8341</t>
        </is>
      </c>
      <c r="I4597" t="n">
        <v>31900000</v>
      </c>
      <c r="J4597" t="n">
        <v>0.102</v>
      </c>
      <c r="K4597" t="n">
        <v>1.76</v>
      </c>
      <c r="L4597" t="n">
        <v>0.2</v>
      </c>
      <c r="M4597" t="n">
        <v>1.56</v>
      </c>
      <c r="P4597" t="inlineStr">
        <is>
          <t>정세빈</t>
        </is>
      </c>
      <c r="Q4597" t="inlineStr">
        <is>
          <t>홈서비스 60개월</t>
        </is>
      </c>
      <c r="AB4597" t="inlineStr">
        <is>
          <t>홈서비스</t>
        </is>
      </c>
      <c r="AC4597" t="n">
        <v>561440</v>
      </c>
      <c r="AD4597" t="n">
        <v>63800</v>
      </c>
      <c r="AE4597" t="n">
        <v>497640</v>
      </c>
      <c r="AF4597" t="n">
        <v>510400</v>
      </c>
      <c r="AG4597" t="n">
        <v>61694.6</v>
      </c>
      <c r="AH4597" t="n">
        <v>448705.4</v>
      </c>
    </row>
    <row r="4598">
      <c r="A4598" t="inlineStr">
        <is>
          <t>5월</t>
        </is>
      </c>
      <c r="B4598" t="inlineStr">
        <is>
          <t>22주차</t>
        </is>
      </c>
      <c r="C4598" t="inlineStr">
        <is>
          <t>EP</t>
        </is>
      </c>
      <c r="D4598" s="28" t="n">
        <v>46167</v>
      </c>
      <c r="E4598" t="inlineStr">
        <is>
          <t>현대EP</t>
        </is>
      </c>
      <c r="F4598" t="inlineStr">
        <is>
          <t>이동국</t>
        </is>
      </c>
      <c r="G4598" t="inlineStr">
        <is>
          <t>010-2375-0516</t>
        </is>
      </c>
      <c r="H4598" t="inlineStr">
        <is>
          <t>277누9820</t>
        </is>
      </c>
      <c r="I4598" t="n">
        <v>14000000</v>
      </c>
      <c r="J4598" t="n">
        <v>0.06900000000000001</v>
      </c>
      <c r="K4598" t="n">
        <v>1.76</v>
      </c>
      <c r="L4598" t="n">
        <v>0.14</v>
      </c>
      <c r="M4598" t="n">
        <v>1.62</v>
      </c>
      <c r="P4598" t="inlineStr">
        <is>
          <t>황채이</t>
        </is>
      </c>
      <c r="AB4598" t="inlineStr">
        <is>
          <t>홈서비스</t>
        </is>
      </c>
      <c r="AC4598" t="n">
        <v>246400</v>
      </c>
      <c r="AD4598" t="n">
        <v>19600</v>
      </c>
      <c r="AE4598" t="n">
        <v>226800</v>
      </c>
      <c r="AF4598" t="n">
        <v>224000</v>
      </c>
      <c r="AG4598" t="n">
        <v>18953.2</v>
      </c>
      <c r="AH4598" t="n">
        <v>205046.8</v>
      </c>
    </row>
    <row r="4599">
      <c r="A4599" t="inlineStr">
        <is>
          <t>5월</t>
        </is>
      </c>
      <c r="B4599" t="inlineStr">
        <is>
          <t>22주차</t>
        </is>
      </c>
      <c r="C4599" t="inlineStr">
        <is>
          <t>EP</t>
        </is>
      </c>
      <c r="D4599" s="28" t="n">
        <v>46168</v>
      </c>
      <c r="E4599" t="inlineStr">
        <is>
          <t>현대EP_fast</t>
        </is>
      </c>
      <c r="F4599" t="inlineStr">
        <is>
          <t>신성제</t>
        </is>
      </c>
      <c r="G4599" t="inlineStr">
        <is>
          <t>010-4911-9134</t>
        </is>
      </c>
      <c r="H4599" t="inlineStr">
        <is>
          <t>136도2489</t>
        </is>
      </c>
      <c r="I4599" t="n">
        <v>8000000</v>
      </c>
      <c r="J4599" t="n">
        <v>0.07099999999999999</v>
      </c>
      <c r="K4599" t="n">
        <v>1.76</v>
      </c>
      <c r="L4599" t="n">
        <v>0.14</v>
      </c>
      <c r="M4599" t="n">
        <v>1.62</v>
      </c>
      <c r="P4599" t="inlineStr">
        <is>
          <t>황채이</t>
        </is>
      </c>
      <c r="Q4599" t="inlineStr">
        <is>
          <t>홈서비스 60개월</t>
        </is>
      </c>
      <c r="AB4599" t="inlineStr">
        <is>
          <t>홈서비스</t>
        </is>
      </c>
      <c r="AC4599" t="n">
        <v>140800</v>
      </c>
      <c r="AD4599" t="n">
        <v>11200</v>
      </c>
      <c r="AE4599" t="n">
        <v>129600</v>
      </c>
      <c r="AF4599" t="n">
        <v>128000</v>
      </c>
      <c r="AG4599" t="n">
        <v>10830.4</v>
      </c>
      <c r="AH4599" t="n">
        <v>117169.6</v>
      </c>
    </row>
    <row r="4600">
      <c r="A4600" t="inlineStr">
        <is>
          <t>5월</t>
        </is>
      </c>
      <c r="B4600" t="inlineStr">
        <is>
          <t>22주차</t>
        </is>
      </c>
      <c r="C4600" t="inlineStr">
        <is>
          <t>EP</t>
        </is>
      </c>
      <c r="D4600" s="28" t="n">
        <v>46168</v>
      </c>
      <c r="E4600" t="inlineStr">
        <is>
          <t>현대EP_fast</t>
        </is>
      </c>
      <c r="F4600" t="inlineStr">
        <is>
          <t>이경원</t>
        </is>
      </c>
      <c r="G4600" t="inlineStr">
        <is>
          <t>010-8956-0997</t>
        </is>
      </c>
      <c r="H4600" t="inlineStr">
        <is>
          <t>347수8893</t>
        </is>
      </c>
      <c r="I4600" t="n">
        <v>24600000</v>
      </c>
      <c r="J4600" t="n">
        <v>0.089</v>
      </c>
      <c r="K4600" t="n">
        <v>1.76</v>
      </c>
      <c r="L4600" t="n">
        <v>0.14</v>
      </c>
      <c r="M4600" t="n">
        <v>1.62</v>
      </c>
      <c r="P4600" t="inlineStr">
        <is>
          <t>황채이</t>
        </is>
      </c>
      <c r="Q4600" t="inlineStr">
        <is>
          <t>홈서비스 60개월</t>
        </is>
      </c>
      <c r="AB4600" t="inlineStr">
        <is>
          <t>홈서비스</t>
        </is>
      </c>
      <c r="AC4600" t="n">
        <v>432960</v>
      </c>
      <c r="AD4600" t="n">
        <v>34440</v>
      </c>
      <c r="AE4600" t="n">
        <v>398520</v>
      </c>
      <c r="AF4600" t="n">
        <v>393600</v>
      </c>
      <c r="AG4600" t="n">
        <v>33303.48</v>
      </c>
      <c r="AH4600" t="n">
        <v>360296.52</v>
      </c>
    </row>
    <row r="4601">
      <c r="A4601" t="inlineStr">
        <is>
          <t>5월</t>
        </is>
      </c>
      <c r="B4601" t="inlineStr">
        <is>
          <t>22주차</t>
        </is>
      </c>
      <c r="C4601" t="inlineStr">
        <is>
          <t>IM</t>
        </is>
      </c>
      <c r="D4601" s="28" t="n">
        <v>46168</v>
      </c>
      <c r="E4601" t="inlineStr">
        <is>
          <t>IM캐피탈</t>
        </is>
      </c>
      <c r="F4601" t="inlineStr">
        <is>
          <t>이준근</t>
        </is>
      </c>
      <c r="G4601" t="inlineStr">
        <is>
          <t>010-3932-0852</t>
        </is>
      </c>
      <c r="H4601" t="inlineStr">
        <is>
          <t>18너0356</t>
        </is>
      </c>
      <c r="I4601" t="n">
        <v>8400000</v>
      </c>
      <c r="J4601" t="n">
        <v>0.119</v>
      </c>
      <c r="K4601" t="n">
        <v>1.1</v>
      </c>
      <c r="L4601" t="n">
        <v>0.14</v>
      </c>
      <c r="M4601" t="n">
        <v>0.96</v>
      </c>
      <c r="P4601" t="inlineStr">
        <is>
          <t>황채이</t>
        </is>
      </c>
      <c r="Q4601" t="inlineStr">
        <is>
          <t>홈서비스 36개월 / 부대비용 추가진행</t>
        </is>
      </c>
      <c r="AB4601" t="inlineStr">
        <is>
          <t>홈서비스</t>
        </is>
      </c>
      <c r="AC4601" t="n">
        <v>92400</v>
      </c>
      <c r="AD4601" t="n">
        <v>11760</v>
      </c>
      <c r="AE4601" t="n">
        <v>80640</v>
      </c>
      <c r="AF4601" t="n">
        <v>84000</v>
      </c>
      <c r="AG4601" t="n">
        <v>11371.92</v>
      </c>
      <c r="AH4601" t="n">
        <v>72628.08</v>
      </c>
      <c r="AI4601" t="n">
        <v>0</v>
      </c>
    </row>
    <row r="4602">
      <c r="A4602" t="inlineStr">
        <is>
          <t>5월</t>
        </is>
      </c>
      <c r="B4602" t="inlineStr">
        <is>
          <t>22주차</t>
        </is>
      </c>
      <c r="C4602" t="inlineStr">
        <is>
          <t>EP</t>
        </is>
      </c>
      <c r="D4602" s="28" t="n">
        <v>46168</v>
      </c>
      <c r="E4602" t="inlineStr">
        <is>
          <t>현대EP_fast</t>
        </is>
      </c>
      <c r="F4602" t="inlineStr">
        <is>
          <t>여고은</t>
        </is>
      </c>
      <c r="G4602" t="inlineStr">
        <is>
          <t>010-3357-1092</t>
        </is>
      </c>
      <c r="H4602" t="inlineStr">
        <is>
          <t>12너0751</t>
        </is>
      </c>
      <c r="I4602" t="n">
        <v>8300000</v>
      </c>
      <c r="J4602" t="n">
        <v>0.105</v>
      </c>
      <c r="K4602" t="n">
        <v>1.76</v>
      </c>
      <c r="L4602" t="n">
        <v>0.14</v>
      </c>
      <c r="M4602" t="n">
        <v>1.62</v>
      </c>
      <c r="P4602" t="inlineStr">
        <is>
          <t>황채이</t>
        </is>
      </c>
      <c r="Q4602" t="inlineStr">
        <is>
          <t>홈서비스 60개월</t>
        </is>
      </c>
      <c r="AB4602" t="inlineStr">
        <is>
          <t>홈서비스</t>
        </is>
      </c>
      <c r="AC4602" t="n">
        <v>146080</v>
      </c>
      <c r="AD4602" t="n">
        <v>11620</v>
      </c>
      <c r="AE4602" t="n">
        <v>134460</v>
      </c>
      <c r="AF4602" t="n">
        <v>132800</v>
      </c>
      <c r="AG4602" t="n">
        <v>11236.54</v>
      </c>
      <c r="AH4602" t="n">
        <v>121563.46</v>
      </c>
      <c r="AI4602" t="n">
        <v>0</v>
      </c>
    </row>
    <row r="4603">
      <c r="A4603" t="inlineStr">
        <is>
          <t>5월</t>
        </is>
      </c>
      <c r="B4603" t="inlineStr">
        <is>
          <t>22주차</t>
        </is>
      </c>
      <c r="C4603" t="inlineStr">
        <is>
          <t>IM</t>
        </is>
      </c>
      <c r="D4603" s="28" t="n">
        <v>46168</v>
      </c>
      <c r="E4603" t="inlineStr">
        <is>
          <t>IM캐피탈</t>
        </is>
      </c>
      <c r="F4603" t="inlineStr">
        <is>
          <t>홍용</t>
        </is>
      </c>
      <c r="G4603" t="inlineStr">
        <is>
          <t>010-7168-3992</t>
        </is>
      </c>
      <c r="H4603" t="inlineStr">
        <is>
          <t>195주5241</t>
        </is>
      </c>
      <c r="I4603" t="n">
        <v>62800000</v>
      </c>
      <c r="J4603" t="n">
        <v>0.063</v>
      </c>
      <c r="K4603" t="n">
        <v>1.1</v>
      </c>
      <c r="L4603" t="n">
        <v>0.14</v>
      </c>
      <c r="M4603" t="n">
        <v>0.96</v>
      </c>
      <c r="P4603" t="inlineStr">
        <is>
          <t>김수연</t>
        </is>
      </c>
      <c r="Q4603" t="inlineStr">
        <is>
          <t>홈서비스 60개월</t>
        </is>
      </c>
      <c r="AB4603" t="inlineStr">
        <is>
          <t>홈서비스</t>
        </is>
      </c>
      <c r="AC4603" t="n">
        <v>690800</v>
      </c>
      <c r="AD4603" t="n">
        <v>87920</v>
      </c>
      <c r="AE4603" t="n">
        <v>602880</v>
      </c>
      <c r="AF4603" t="n">
        <v>628000</v>
      </c>
      <c r="AG4603" t="n">
        <v>85018.64</v>
      </c>
      <c r="AH4603" t="n">
        <v>542981.36</v>
      </c>
      <c r="AI4603" t="n">
        <v>0</v>
      </c>
    </row>
    <row r="4604">
      <c r="A4604" t="inlineStr">
        <is>
          <t>5월</t>
        </is>
      </c>
      <c r="B4604" t="inlineStr">
        <is>
          <t>22주차</t>
        </is>
      </c>
      <c r="C4604" t="inlineStr">
        <is>
          <t>IM</t>
        </is>
      </c>
      <c r="D4604" s="28" t="n">
        <v>46168</v>
      </c>
      <c r="E4604" t="inlineStr">
        <is>
          <t>IM캐피탈</t>
        </is>
      </c>
      <c r="F4604" t="inlineStr">
        <is>
          <t>최민석</t>
        </is>
      </c>
      <c r="G4604" t="inlineStr">
        <is>
          <t>010-2394-4790</t>
        </is>
      </c>
      <c r="H4604" t="inlineStr">
        <is>
          <t>175우9549</t>
        </is>
      </c>
      <c r="I4604" t="n">
        <v>10000000</v>
      </c>
      <c r="J4604" t="n">
        <v>0.049</v>
      </c>
      <c r="K4604" t="n">
        <v>1.1</v>
      </c>
      <c r="L4604" t="n">
        <v>0.14</v>
      </c>
      <c r="M4604" t="n">
        <v>0.96</v>
      </c>
      <c r="P4604" t="inlineStr">
        <is>
          <t>정세빈</t>
        </is>
      </c>
      <c r="Q4604" t="inlineStr">
        <is>
          <t>홈서비스 60개월</t>
        </is>
      </c>
      <c r="AB4604" t="inlineStr">
        <is>
          <t>홈서비스</t>
        </is>
      </c>
      <c r="AC4604" t="n">
        <v>110000</v>
      </c>
      <c r="AD4604" t="n">
        <v>14000</v>
      </c>
      <c r="AE4604" t="n">
        <v>96000</v>
      </c>
      <c r="AF4604" t="n">
        <v>100000</v>
      </c>
      <c r="AG4604" t="n">
        <v>13538</v>
      </c>
      <c r="AH4604" t="n">
        <v>86462</v>
      </c>
      <c r="AI4604" t="n">
        <v>0</v>
      </c>
    </row>
    <row r="4605">
      <c r="A4605" t="inlineStr">
        <is>
          <t>5월</t>
        </is>
      </c>
      <c r="B4605" t="inlineStr">
        <is>
          <t>22주차</t>
        </is>
      </c>
      <c r="C4605" t="inlineStr">
        <is>
          <t>EP</t>
        </is>
      </c>
      <c r="D4605" s="28" t="n">
        <v>46168</v>
      </c>
      <c r="E4605" t="inlineStr">
        <is>
          <t>현대EP_fast</t>
        </is>
      </c>
      <c r="F4605" t="inlineStr">
        <is>
          <t>이서준</t>
        </is>
      </c>
      <c r="G4605" t="inlineStr">
        <is>
          <t>010-8783-4261</t>
        </is>
      </c>
      <c r="H4605" t="inlineStr">
        <is>
          <t>23더6329</t>
        </is>
      </c>
      <c r="I4605" t="n">
        <v>5600000</v>
      </c>
      <c r="J4605" t="n">
        <v>0.06900000000000001</v>
      </c>
      <c r="K4605" t="n">
        <v>1.76</v>
      </c>
      <c r="L4605" t="n">
        <v>0.14</v>
      </c>
      <c r="M4605" t="n">
        <v>1.62</v>
      </c>
      <c r="P4605" t="inlineStr">
        <is>
          <t>황채이</t>
        </is>
      </c>
      <c r="Q4605" t="inlineStr">
        <is>
          <t>홈서비스 24개월</t>
        </is>
      </c>
      <c r="AB4605" t="inlineStr">
        <is>
          <t>홈서비스</t>
        </is>
      </c>
      <c r="AC4605" t="n">
        <v>98560</v>
      </c>
      <c r="AD4605" t="n">
        <v>7840</v>
      </c>
      <c r="AE4605" t="n">
        <v>90720</v>
      </c>
      <c r="AF4605" t="n">
        <v>89600</v>
      </c>
      <c r="AG4605" t="n">
        <v>7581.28</v>
      </c>
      <c r="AH4605" t="n">
        <v>82018.72</v>
      </c>
      <c r="AI4605" t="n">
        <v>0</v>
      </c>
    </row>
    <row r="4606">
      <c r="A4606" t="inlineStr">
        <is>
          <t>5월</t>
        </is>
      </c>
      <c r="B4606" t="inlineStr">
        <is>
          <t>22주차</t>
        </is>
      </c>
      <c r="C4606" t="inlineStr">
        <is>
          <t>IM</t>
        </is>
      </c>
      <c r="D4606" s="28" t="n">
        <v>46168</v>
      </c>
      <c r="E4606" t="inlineStr">
        <is>
          <t>IM캐피탈</t>
        </is>
      </c>
      <c r="F4606" t="inlineStr">
        <is>
          <t>홍세현</t>
        </is>
      </c>
      <c r="G4606" t="inlineStr">
        <is>
          <t>010-8278-0912</t>
        </is>
      </c>
      <c r="H4606" t="inlineStr">
        <is>
          <t>237우2050</t>
        </is>
      </c>
      <c r="I4606" t="n">
        <v>20000000</v>
      </c>
      <c r="J4606" t="n">
        <v>0.063</v>
      </c>
      <c r="K4606" t="n">
        <v>1.1</v>
      </c>
      <c r="L4606" t="n">
        <v>0.14</v>
      </c>
      <c r="M4606" t="n">
        <v>0.96</v>
      </c>
      <c r="P4606" t="inlineStr">
        <is>
          <t>박현민</t>
        </is>
      </c>
      <c r="Q4606" t="inlineStr">
        <is>
          <t>홈서비스 60개월</t>
        </is>
      </c>
      <c r="AB4606" t="inlineStr">
        <is>
          <t>홈서비스</t>
        </is>
      </c>
      <c r="AC4606" t="n">
        <v>220000</v>
      </c>
      <c r="AD4606" t="n">
        <v>28000</v>
      </c>
      <c r="AE4606" t="n">
        <v>192000</v>
      </c>
      <c r="AF4606" t="n">
        <v>200000</v>
      </c>
      <c r="AG4606" t="n">
        <v>27076</v>
      </c>
      <c r="AH4606" t="n">
        <v>172924</v>
      </c>
      <c r="AI4606" t="n">
        <v>0</v>
      </c>
    </row>
    <row r="4607">
      <c r="A4607" t="inlineStr">
        <is>
          <t>5월</t>
        </is>
      </c>
      <c r="B4607" t="inlineStr">
        <is>
          <t>22주차</t>
        </is>
      </c>
      <c r="C4607" t="inlineStr">
        <is>
          <t>EP</t>
        </is>
      </c>
      <c r="D4607" s="28" t="n">
        <v>46168</v>
      </c>
      <c r="E4607" t="inlineStr">
        <is>
          <t>현대EP</t>
        </is>
      </c>
      <c r="F4607" t="inlineStr">
        <is>
          <t>김익재</t>
        </is>
      </c>
      <c r="G4607" t="inlineStr">
        <is>
          <t>010-9869-1122</t>
        </is>
      </c>
      <c r="H4607" t="inlineStr">
        <is>
          <t>114두6412</t>
        </is>
      </c>
      <c r="I4607" t="n">
        <v>14900000</v>
      </c>
      <c r="J4607" t="n">
        <v>0.06900000000000001</v>
      </c>
      <c r="K4607" t="n">
        <v>1.76</v>
      </c>
      <c r="L4607" t="n">
        <v>0.14</v>
      </c>
      <c r="M4607" t="n">
        <v>1.62</v>
      </c>
      <c r="P4607" t="inlineStr">
        <is>
          <t>황채이</t>
        </is>
      </c>
      <c r="AB4607" t="inlineStr">
        <is>
          <t>홈서비스</t>
        </is>
      </c>
      <c r="AC4607" t="n">
        <v>262240</v>
      </c>
      <c r="AD4607" t="n">
        <v>20860</v>
      </c>
      <c r="AE4607" t="n">
        <v>241380</v>
      </c>
      <c r="AF4607" t="n">
        <v>238400</v>
      </c>
      <c r="AG4607" t="n">
        <v>20171.62</v>
      </c>
      <c r="AH4607" t="n">
        <v>218228.38</v>
      </c>
      <c r="AI4607" t="n">
        <v>0</v>
      </c>
    </row>
    <row r="4608">
      <c r="A4608" t="inlineStr">
        <is>
          <t>5월</t>
        </is>
      </c>
      <c r="B4608" t="inlineStr">
        <is>
          <t>22주차</t>
        </is>
      </c>
      <c r="C4608" t="inlineStr">
        <is>
          <t>IM</t>
        </is>
      </c>
      <c r="D4608" s="28" t="n">
        <v>46168</v>
      </c>
      <c r="E4608" t="inlineStr">
        <is>
          <t>IM캐피탈</t>
        </is>
      </c>
      <c r="F4608" t="inlineStr">
        <is>
          <t>남익현</t>
        </is>
      </c>
      <c r="G4608" t="inlineStr">
        <is>
          <t>010-4794-7994</t>
        </is>
      </c>
      <c r="H4608" t="inlineStr">
        <is>
          <t>221서1154</t>
        </is>
      </c>
      <c r="I4608" t="n">
        <v>16300000</v>
      </c>
      <c r="J4608" t="n">
        <v>0.063</v>
      </c>
      <c r="K4608" t="n">
        <v>1.1</v>
      </c>
      <c r="L4608" t="n">
        <v>0.14</v>
      </c>
      <c r="M4608" t="n">
        <v>0.96</v>
      </c>
      <c r="P4608" t="inlineStr">
        <is>
          <t>정세빈</t>
        </is>
      </c>
      <c r="Q4608" t="inlineStr">
        <is>
          <t>홈서비스 60개월</t>
        </is>
      </c>
      <c r="AB4608" t="inlineStr">
        <is>
          <t>홈서비스</t>
        </is>
      </c>
      <c r="AC4608" t="n">
        <v>179300</v>
      </c>
      <c r="AD4608" t="n">
        <v>22820</v>
      </c>
      <c r="AE4608" t="n">
        <v>156480</v>
      </c>
      <c r="AF4608" t="n">
        <v>163000</v>
      </c>
      <c r="AG4608" t="n">
        <v>22066.94</v>
      </c>
      <c r="AH4608" t="n">
        <v>140933.06</v>
      </c>
      <c r="AI4608" t="n">
        <v>0</v>
      </c>
    </row>
    <row r="4609">
      <c r="A4609" t="inlineStr">
        <is>
          <t>5월</t>
        </is>
      </c>
      <c r="B4609" t="inlineStr">
        <is>
          <t>22주차</t>
        </is>
      </c>
      <c r="C4609" t="inlineStr">
        <is>
          <t>EP</t>
        </is>
      </c>
      <c r="D4609" s="28" t="n">
        <v>46168</v>
      </c>
      <c r="E4609" t="inlineStr">
        <is>
          <t>현대EP</t>
        </is>
      </c>
      <c r="F4609" t="inlineStr">
        <is>
          <t>박지은</t>
        </is>
      </c>
      <c r="G4609" t="inlineStr">
        <is>
          <t>010-5579-0568</t>
        </is>
      </c>
      <c r="H4609" t="inlineStr">
        <is>
          <t>342루9860</t>
        </is>
      </c>
      <c r="I4609" t="n">
        <v>39900000</v>
      </c>
      <c r="J4609" t="n">
        <v>0.089</v>
      </c>
      <c r="K4609" t="n">
        <v>1.76</v>
      </c>
      <c r="L4609" t="n">
        <v>0.14</v>
      </c>
      <c r="M4609" t="n">
        <v>1.62</v>
      </c>
      <c r="P4609" t="inlineStr">
        <is>
          <t>황채이</t>
        </is>
      </c>
      <c r="AB4609" t="inlineStr">
        <is>
          <t>홈서비스</t>
        </is>
      </c>
      <c r="AC4609" t="n">
        <v>702240</v>
      </c>
      <c r="AD4609" t="n">
        <v>55860</v>
      </c>
      <c r="AE4609" t="n">
        <v>646380</v>
      </c>
      <c r="AF4609" t="n">
        <v>638400</v>
      </c>
      <c r="AG4609" t="n">
        <v>54016.62</v>
      </c>
      <c r="AH4609" t="n">
        <v>584383.38</v>
      </c>
      <c r="AI4609" t="n">
        <v>0</v>
      </c>
    </row>
    <row r="4610">
      <c r="A4610" t="inlineStr">
        <is>
          <t>5월</t>
        </is>
      </c>
      <c r="B4610" t="inlineStr">
        <is>
          <t>22주차</t>
        </is>
      </c>
      <c r="C4610" t="inlineStr">
        <is>
          <t>EP</t>
        </is>
      </c>
      <c r="D4610" s="28" t="n">
        <v>46168</v>
      </c>
      <c r="E4610" t="inlineStr">
        <is>
          <t>현대EP_fast</t>
        </is>
      </c>
      <c r="F4610" t="inlineStr">
        <is>
          <t>유영희</t>
        </is>
      </c>
      <c r="G4610" t="inlineStr">
        <is>
          <t>010-5898-8321</t>
        </is>
      </c>
      <c r="H4610" t="inlineStr">
        <is>
          <t>285더3177</t>
        </is>
      </c>
      <c r="I4610" t="n">
        <v>18000000</v>
      </c>
      <c r="J4610" t="n">
        <v>0.118</v>
      </c>
      <c r="K4610" t="n">
        <v>1.76</v>
      </c>
      <c r="L4610" t="n">
        <v>0.14</v>
      </c>
      <c r="M4610" t="n">
        <v>1.62</v>
      </c>
      <c r="P4610" t="inlineStr">
        <is>
          <t>김수연</t>
        </is>
      </c>
      <c r="Q4610" t="inlineStr">
        <is>
          <t>홈서비스 60개월</t>
        </is>
      </c>
      <c r="AB4610" t="inlineStr">
        <is>
          <t>홈서비스</t>
        </is>
      </c>
      <c r="AC4610" t="n">
        <v>316800</v>
      </c>
      <c r="AD4610" t="n">
        <v>25200</v>
      </c>
      <c r="AE4610" t="n">
        <v>291600</v>
      </c>
      <c r="AF4610" t="n">
        <v>288000</v>
      </c>
      <c r="AG4610" t="n">
        <v>24368.4</v>
      </c>
      <c r="AH4610" t="n">
        <v>263631.6</v>
      </c>
    </row>
    <row r="4611">
      <c r="A4611" t="inlineStr">
        <is>
          <t>5월</t>
        </is>
      </c>
      <c r="B4611" t="inlineStr">
        <is>
          <t>22주차</t>
        </is>
      </c>
      <c r="C4611" t="inlineStr">
        <is>
          <t>EP</t>
        </is>
      </c>
      <c r="D4611" s="28" t="n">
        <v>46168</v>
      </c>
      <c r="E4611" t="inlineStr">
        <is>
          <t>현대EP</t>
        </is>
      </c>
      <c r="F4611" t="inlineStr">
        <is>
          <t>권영진</t>
        </is>
      </c>
      <c r="G4611" t="inlineStr">
        <is>
          <t>010-2809-1353</t>
        </is>
      </c>
      <c r="H4611" t="inlineStr">
        <is>
          <t>36누3925</t>
        </is>
      </c>
      <c r="I4611" t="n">
        <v>7000000</v>
      </c>
      <c r="J4611" t="n">
        <v>0.099</v>
      </c>
      <c r="K4611" t="n">
        <v>1.76</v>
      </c>
      <c r="L4611" t="n">
        <v>0.14</v>
      </c>
      <c r="M4611" t="n">
        <v>1.62</v>
      </c>
      <c r="P4611" t="inlineStr">
        <is>
          <t>정세빈</t>
        </is>
      </c>
      <c r="AB4611" t="inlineStr">
        <is>
          <t>홈서비스</t>
        </is>
      </c>
      <c r="AC4611" t="n">
        <v>123200</v>
      </c>
      <c r="AD4611" t="n">
        <v>9800</v>
      </c>
      <c r="AE4611" t="n">
        <v>113400</v>
      </c>
      <c r="AF4611" t="n">
        <v>112000</v>
      </c>
      <c r="AG4611" t="n">
        <v>9476.6</v>
      </c>
      <c r="AH4611" t="n">
        <v>102523.4</v>
      </c>
    </row>
    <row r="4612">
      <c r="A4612" t="inlineStr">
        <is>
          <t>5월</t>
        </is>
      </c>
      <c r="B4612" t="inlineStr">
        <is>
          <t>22주차</t>
        </is>
      </c>
      <c r="C4612" t="inlineStr">
        <is>
          <t>EP</t>
        </is>
      </c>
      <c r="D4612" s="28" t="n">
        <v>46168</v>
      </c>
      <c r="E4612" t="inlineStr">
        <is>
          <t>현대EP_fast</t>
        </is>
      </c>
      <c r="F4612" t="inlineStr">
        <is>
          <t>이종현</t>
        </is>
      </c>
      <c r="G4612" t="inlineStr">
        <is>
          <t>010-9046-8711</t>
        </is>
      </c>
      <c r="H4612" t="inlineStr">
        <is>
          <t>17다8733</t>
        </is>
      </c>
      <c r="I4612" t="n">
        <v>10000000</v>
      </c>
      <c r="J4612" t="n">
        <v>0.08799999999999999</v>
      </c>
      <c r="K4612" t="n">
        <v>1.76</v>
      </c>
      <c r="L4612" t="n">
        <v>0.14</v>
      </c>
      <c r="M4612" t="n">
        <v>1.62</v>
      </c>
      <c r="P4612" t="inlineStr">
        <is>
          <t>김나윤</t>
        </is>
      </c>
      <c r="Q4612" t="inlineStr">
        <is>
          <t>홈서비스 24개월</t>
        </is>
      </c>
      <c r="AB4612" t="inlineStr">
        <is>
          <t>홈서비스</t>
        </is>
      </c>
      <c r="AC4612" t="n">
        <v>176000</v>
      </c>
      <c r="AD4612" t="n">
        <v>14000</v>
      </c>
      <c r="AE4612" t="n">
        <v>162000</v>
      </c>
      <c r="AF4612" t="n">
        <v>160000</v>
      </c>
      <c r="AG4612" t="n">
        <v>13538</v>
      </c>
      <c r="AH4612" t="n">
        <v>146462</v>
      </c>
    </row>
    <row r="4613">
      <c r="A4613" t="inlineStr">
        <is>
          <t>5월</t>
        </is>
      </c>
      <c r="B4613" t="inlineStr">
        <is>
          <t>22주차</t>
        </is>
      </c>
      <c r="C4613" t="inlineStr">
        <is>
          <t>EP</t>
        </is>
      </c>
      <c r="D4613" s="28" t="n">
        <v>46168</v>
      </c>
      <c r="E4613" t="inlineStr">
        <is>
          <t>현대EP</t>
        </is>
      </c>
      <c r="F4613" t="inlineStr">
        <is>
          <t>서영옥</t>
        </is>
      </c>
      <c r="G4613" t="inlineStr">
        <is>
          <t>010-2930-1116</t>
        </is>
      </c>
      <c r="H4613" t="inlineStr">
        <is>
          <t>221모8990</t>
        </is>
      </c>
      <c r="I4613" t="n">
        <v>27800000</v>
      </c>
      <c r="J4613" t="n">
        <v>0.074</v>
      </c>
      <c r="K4613" t="n">
        <v>1.76</v>
      </c>
      <c r="L4613" t="n">
        <v>0.14</v>
      </c>
      <c r="M4613" t="n">
        <v>1.62</v>
      </c>
      <c r="P4613" t="inlineStr">
        <is>
          <t>정세빈</t>
        </is>
      </c>
      <c r="AB4613" t="inlineStr">
        <is>
          <t>홈서비스</t>
        </is>
      </c>
      <c r="AC4613" t="n">
        <v>489280</v>
      </c>
      <c r="AD4613" t="n">
        <v>38920</v>
      </c>
      <c r="AE4613" t="n">
        <v>450360</v>
      </c>
      <c r="AF4613" t="n">
        <v>444800</v>
      </c>
      <c r="AG4613" t="n">
        <v>37635.64</v>
      </c>
      <c r="AH4613" t="n">
        <v>407164.36</v>
      </c>
    </row>
    <row r="4614">
      <c r="A4614" t="inlineStr">
        <is>
          <t>5월</t>
        </is>
      </c>
      <c r="B4614" t="inlineStr">
        <is>
          <t>22주차</t>
        </is>
      </c>
      <c r="C4614" t="inlineStr">
        <is>
          <t>EP</t>
        </is>
      </c>
      <c r="D4614" s="28" t="n">
        <v>46168</v>
      </c>
      <c r="E4614" t="inlineStr">
        <is>
          <t>현대EP</t>
        </is>
      </c>
      <c r="F4614" t="inlineStr">
        <is>
          <t>이미용</t>
        </is>
      </c>
      <c r="G4614" t="inlineStr">
        <is>
          <t>010-6299-5193</t>
        </is>
      </c>
      <c r="H4614" t="inlineStr">
        <is>
          <t>46나2374</t>
        </is>
      </c>
      <c r="I4614" t="n">
        <v>40500000</v>
      </c>
      <c r="J4614" t="n">
        <v>0.07099999999999999</v>
      </c>
      <c r="K4614" t="n">
        <v>1.76</v>
      </c>
      <c r="L4614" t="n">
        <v>0.14</v>
      </c>
      <c r="M4614" t="n">
        <v>1.62</v>
      </c>
      <c r="P4614" t="inlineStr">
        <is>
          <t>김수연</t>
        </is>
      </c>
      <c r="AB4614" t="inlineStr">
        <is>
          <t>홈서비스</t>
        </is>
      </c>
      <c r="AC4614" t="n">
        <v>712800</v>
      </c>
      <c r="AD4614" t="n">
        <v>56700</v>
      </c>
      <c r="AE4614" t="n">
        <v>656100</v>
      </c>
      <c r="AF4614" t="n">
        <v>648000</v>
      </c>
      <c r="AG4614" t="n">
        <v>54828.9</v>
      </c>
      <c r="AH4614" t="n">
        <v>593171.1</v>
      </c>
    </row>
    <row r="4615">
      <c r="A4615" t="inlineStr">
        <is>
          <t>5월</t>
        </is>
      </c>
      <c r="B4615" t="inlineStr">
        <is>
          <t>22주차</t>
        </is>
      </c>
      <c r="C4615" t="inlineStr">
        <is>
          <t>EP</t>
        </is>
      </c>
      <c r="D4615" s="28" t="n">
        <v>46168</v>
      </c>
      <c r="E4615" t="inlineStr">
        <is>
          <t>현대EP_fast</t>
        </is>
      </c>
      <c r="F4615" t="inlineStr">
        <is>
          <t>권제나</t>
        </is>
      </c>
      <c r="G4615" t="inlineStr">
        <is>
          <t>010-3910-9654</t>
        </is>
      </c>
      <c r="H4615" t="inlineStr">
        <is>
          <t>398버2838</t>
        </is>
      </c>
      <c r="I4615" t="n">
        <v>11900000</v>
      </c>
      <c r="J4615" t="n">
        <v>0.089</v>
      </c>
      <c r="K4615" t="n">
        <v>1.76</v>
      </c>
      <c r="L4615" t="n">
        <v>0.14</v>
      </c>
      <c r="M4615" t="n">
        <v>1.62</v>
      </c>
      <c r="P4615" t="inlineStr">
        <is>
          <t>김나윤</t>
        </is>
      </c>
      <c r="Q4615" t="inlineStr">
        <is>
          <t>홈서비스 48개월</t>
        </is>
      </c>
      <c r="AB4615" t="inlineStr">
        <is>
          <t>홈서비스</t>
        </is>
      </c>
      <c r="AC4615" t="n">
        <v>209440</v>
      </c>
      <c r="AD4615" t="n">
        <v>16660</v>
      </c>
      <c r="AE4615" t="n">
        <v>192780</v>
      </c>
      <c r="AF4615" t="n">
        <v>190400</v>
      </c>
      <c r="AG4615" t="n">
        <v>16110.22</v>
      </c>
      <c r="AH4615" t="n">
        <v>174289.78</v>
      </c>
      <c r="AI4615" t="n">
        <v>0</v>
      </c>
    </row>
    <row r="4616">
      <c r="A4616" t="inlineStr">
        <is>
          <t>5월</t>
        </is>
      </c>
      <c r="B4616" t="inlineStr">
        <is>
          <t>22주차</t>
        </is>
      </c>
      <c r="C4616" t="inlineStr">
        <is>
          <t>IM</t>
        </is>
      </c>
      <c r="D4616" s="28" t="n">
        <v>46168</v>
      </c>
      <c r="E4616" t="inlineStr">
        <is>
          <t>IM캐피탈</t>
        </is>
      </c>
      <c r="F4616" t="inlineStr">
        <is>
          <t>서기원</t>
        </is>
      </c>
      <c r="G4616" t="inlineStr">
        <is>
          <t>010-9397-5944</t>
        </is>
      </c>
      <c r="H4616" t="inlineStr">
        <is>
          <t>805다4833</t>
        </is>
      </c>
      <c r="I4616" t="n">
        <v>27000000</v>
      </c>
      <c r="J4616" t="n">
        <v>0.063</v>
      </c>
      <c r="K4616" t="n">
        <v>1.1</v>
      </c>
      <c r="L4616" t="n">
        <v>0.5</v>
      </c>
      <c r="M4616" t="n">
        <v>0.6</v>
      </c>
      <c r="P4616" t="inlineStr">
        <is>
          <t>임대경</t>
        </is>
      </c>
      <c r="AB4616" t="inlineStr">
        <is>
          <t>엔카</t>
        </is>
      </c>
      <c r="AC4616" t="n">
        <v>297000</v>
      </c>
      <c r="AD4616" t="n">
        <v>135000</v>
      </c>
      <c r="AE4616" t="n">
        <v>162000</v>
      </c>
      <c r="AF4616" t="n">
        <v>270000</v>
      </c>
      <c r="AG4616" t="n">
        <v>130545</v>
      </c>
      <c r="AH4616" t="n">
        <v>139455</v>
      </c>
      <c r="AI4616" t="n">
        <v>0</v>
      </c>
    </row>
    <row r="4617">
      <c r="A4617" t="inlineStr">
        <is>
          <t>5월</t>
        </is>
      </c>
      <c r="B4617" t="inlineStr">
        <is>
          <t>22주차</t>
        </is>
      </c>
      <c r="C4617" t="inlineStr">
        <is>
          <t>EP</t>
        </is>
      </c>
      <c r="D4617" s="28" t="n">
        <v>46169</v>
      </c>
      <c r="E4617" t="inlineStr">
        <is>
          <t>현대EP_fast</t>
        </is>
      </c>
      <c r="F4617" t="inlineStr">
        <is>
          <t>박창우</t>
        </is>
      </c>
      <c r="G4617" t="inlineStr">
        <is>
          <t>010-3792-1171</t>
        </is>
      </c>
      <c r="H4617" t="inlineStr">
        <is>
          <t>60소2674</t>
        </is>
      </c>
      <c r="I4617" t="n">
        <v>26900000</v>
      </c>
      <c r="J4617" t="n">
        <v>0.08500000000000001</v>
      </c>
      <c r="K4617" t="n">
        <v>1.76</v>
      </c>
      <c r="L4617" t="n">
        <v>0.14</v>
      </c>
      <c r="M4617" t="n">
        <v>1.62</v>
      </c>
      <c r="P4617" t="inlineStr">
        <is>
          <t>김수연</t>
        </is>
      </c>
      <c r="Q4617" t="inlineStr">
        <is>
          <t>홈서비스 60개월</t>
        </is>
      </c>
      <c r="AB4617" t="inlineStr">
        <is>
          <t>홈서비스</t>
        </is>
      </c>
      <c r="AC4617" t="n">
        <v>473440</v>
      </c>
      <c r="AD4617" t="n">
        <v>37660</v>
      </c>
      <c r="AE4617" t="n">
        <v>435780</v>
      </c>
      <c r="AF4617" t="n">
        <v>430400</v>
      </c>
      <c r="AG4617" t="n">
        <v>36417.22</v>
      </c>
      <c r="AH4617" t="n">
        <v>393982.78</v>
      </c>
      <c r="AI4617" t="n">
        <v>0</v>
      </c>
    </row>
    <row r="4618">
      <c r="A4618" t="inlineStr">
        <is>
          <t>5월</t>
        </is>
      </c>
      <c r="B4618" t="inlineStr">
        <is>
          <t>22주차</t>
        </is>
      </c>
      <c r="C4618" t="inlineStr">
        <is>
          <t>EP</t>
        </is>
      </c>
      <c r="D4618" s="28" t="n">
        <v>46168</v>
      </c>
      <c r="E4618" t="inlineStr">
        <is>
          <t>현대EP_fast</t>
        </is>
      </c>
      <c r="F4618" t="inlineStr">
        <is>
          <t>이수현</t>
        </is>
      </c>
      <c r="G4618" t="inlineStr">
        <is>
          <t>010-5527-5110</t>
        </is>
      </c>
      <c r="H4618" t="inlineStr">
        <is>
          <t>234주4249</t>
        </is>
      </c>
      <c r="I4618" t="n">
        <v>14900000</v>
      </c>
      <c r="J4618" t="n">
        <v>0.089</v>
      </c>
      <c r="K4618" t="n">
        <v>1.76</v>
      </c>
      <c r="L4618" t="n">
        <v>0.14</v>
      </c>
      <c r="M4618" t="n">
        <v>1.62</v>
      </c>
      <c r="P4618" t="inlineStr">
        <is>
          <t>박소현</t>
        </is>
      </c>
      <c r="Q4618" t="inlineStr">
        <is>
          <t>선상담 / 홈서비스 24개월</t>
        </is>
      </c>
      <c r="AB4618" t="inlineStr">
        <is>
          <t>홈서비스</t>
        </is>
      </c>
      <c r="AC4618" t="n">
        <v>262240</v>
      </c>
      <c r="AD4618" t="n">
        <v>20860</v>
      </c>
      <c r="AE4618" t="n">
        <v>241380</v>
      </c>
      <c r="AF4618" t="n">
        <v>238400</v>
      </c>
      <c r="AG4618" t="n">
        <v>20171.62</v>
      </c>
      <c r="AH4618" t="n">
        <v>218228.38</v>
      </c>
    </row>
    <row r="4619">
      <c r="A4619" t="inlineStr">
        <is>
          <t>5월</t>
        </is>
      </c>
      <c r="B4619" t="inlineStr">
        <is>
          <t>22주차</t>
        </is>
      </c>
      <c r="C4619" t="inlineStr">
        <is>
          <t>IM</t>
        </is>
      </c>
      <c r="D4619" s="28" t="n">
        <v>46168</v>
      </c>
      <c r="E4619" t="inlineStr">
        <is>
          <t>IM캐피탈</t>
        </is>
      </c>
      <c r="F4619" t="inlineStr">
        <is>
          <t>최희</t>
        </is>
      </c>
      <c r="G4619" t="inlineStr">
        <is>
          <t>010-8755-1252</t>
        </is>
      </c>
      <c r="H4619" t="inlineStr">
        <is>
          <t>26버5552</t>
        </is>
      </c>
      <c r="I4619" t="n">
        <v>9300000</v>
      </c>
      <c r="J4619" t="n">
        <v>0.049</v>
      </c>
      <c r="K4619" t="n">
        <v>1.1</v>
      </c>
      <c r="L4619" t="n">
        <v>0.4</v>
      </c>
      <c r="M4619" t="n">
        <v>0.7</v>
      </c>
      <c r="P4619" t="inlineStr">
        <is>
          <t>박현민</t>
        </is>
      </c>
      <c r="AB4619" t="inlineStr">
        <is>
          <t>엔카</t>
        </is>
      </c>
      <c r="AC4619" t="n">
        <v>102300</v>
      </c>
      <c r="AD4619" t="n">
        <v>37200</v>
      </c>
      <c r="AE4619" t="n">
        <v>65100</v>
      </c>
      <c r="AF4619" t="n">
        <v>93000</v>
      </c>
      <c r="AG4619" t="n">
        <v>35972.4</v>
      </c>
      <c r="AH4619" t="n">
        <v>57027.6</v>
      </c>
    </row>
    <row r="4620">
      <c r="A4620" t="inlineStr">
        <is>
          <t>5월</t>
        </is>
      </c>
      <c r="B4620" t="inlineStr">
        <is>
          <t>22주차</t>
        </is>
      </c>
      <c r="C4620" t="inlineStr">
        <is>
          <t>EP</t>
        </is>
      </c>
      <c r="D4620" s="28" t="n">
        <v>46168</v>
      </c>
      <c r="E4620" t="inlineStr">
        <is>
          <t>현대EP</t>
        </is>
      </c>
      <c r="F4620" t="inlineStr">
        <is>
          <t>황준</t>
        </is>
      </c>
      <c r="G4620" t="inlineStr">
        <is>
          <t>010-5746-5755</t>
        </is>
      </c>
      <c r="H4620" t="inlineStr">
        <is>
          <t>209구4873</t>
        </is>
      </c>
      <c r="I4620" t="n">
        <v>10200000</v>
      </c>
      <c r="J4620" t="n">
        <v>0.08699999999999999</v>
      </c>
      <c r="K4620" t="n">
        <v>1.76</v>
      </c>
      <c r="L4620" t="n">
        <v>0.14</v>
      </c>
      <c r="M4620" t="n">
        <v>1.62</v>
      </c>
      <c r="P4620" t="inlineStr">
        <is>
          <t>정세빈</t>
        </is>
      </c>
      <c r="AB4620" t="inlineStr">
        <is>
          <t>홈서비스</t>
        </is>
      </c>
      <c r="AC4620" t="n">
        <v>179520</v>
      </c>
      <c r="AD4620" t="n">
        <v>14280</v>
      </c>
      <c r="AE4620" t="n">
        <v>165240</v>
      </c>
      <c r="AF4620" t="n">
        <v>163200</v>
      </c>
      <c r="AG4620" t="n">
        <v>13808.76</v>
      </c>
      <c r="AH4620" t="n">
        <v>149391.24</v>
      </c>
      <c r="AI4620" t="n">
        <v>0</v>
      </c>
    </row>
    <row r="4621">
      <c r="A4621" t="inlineStr">
        <is>
          <t>5월</t>
        </is>
      </c>
      <c r="B4621" t="inlineStr">
        <is>
          <t>22주차</t>
        </is>
      </c>
      <c r="C4621" t="inlineStr">
        <is>
          <t>EP</t>
        </is>
      </c>
      <c r="D4621" s="28" t="n">
        <v>46169</v>
      </c>
      <c r="E4621" t="inlineStr">
        <is>
          <t>현대EP_fast</t>
        </is>
      </c>
      <c r="F4621" t="inlineStr">
        <is>
          <t>송현진</t>
        </is>
      </c>
      <c r="G4621" t="inlineStr">
        <is>
          <t>010-6376-7553</t>
        </is>
      </c>
      <c r="H4621" t="inlineStr">
        <is>
          <t>308노1059</t>
        </is>
      </c>
      <c r="I4621" t="n">
        <v>10000000</v>
      </c>
      <c r="J4621" t="n">
        <v>0.105</v>
      </c>
      <c r="K4621" t="n">
        <v>1.76</v>
      </c>
      <c r="L4621" t="n">
        <v>0.14</v>
      </c>
      <c r="M4621" t="n">
        <v>1.62</v>
      </c>
      <c r="P4621" t="inlineStr">
        <is>
          <t>정세빈</t>
        </is>
      </c>
      <c r="Q4621" t="inlineStr">
        <is>
          <t>홈서비스 60개월</t>
        </is>
      </c>
      <c r="AB4621" t="inlineStr">
        <is>
          <t>홈서비스</t>
        </is>
      </c>
      <c r="AC4621" t="n">
        <v>176000</v>
      </c>
      <c r="AD4621" t="n">
        <v>14000</v>
      </c>
      <c r="AE4621" t="n">
        <v>162000</v>
      </c>
      <c r="AF4621" t="n">
        <v>160000</v>
      </c>
      <c r="AG4621" t="n">
        <v>13538</v>
      </c>
      <c r="AH4621" t="n">
        <v>146462</v>
      </c>
      <c r="AI4621" t="n">
        <v>0</v>
      </c>
    </row>
    <row r="4622">
      <c r="A4622" t="inlineStr">
        <is>
          <t>5월</t>
        </is>
      </c>
      <c r="B4622" t="inlineStr">
        <is>
          <t>22주차</t>
        </is>
      </c>
      <c r="C4622" t="inlineStr">
        <is>
          <t>EP</t>
        </is>
      </c>
      <c r="D4622" s="28" t="n">
        <v>46169</v>
      </c>
      <c r="E4622" t="inlineStr">
        <is>
          <t>현대EP_fast</t>
        </is>
      </c>
      <c r="F4622" t="inlineStr">
        <is>
          <t>김한라</t>
        </is>
      </c>
      <c r="G4622" t="inlineStr">
        <is>
          <t>010-4143-0418</t>
        </is>
      </c>
      <c r="H4622" t="inlineStr">
        <is>
          <t>23버0968</t>
        </is>
      </c>
      <c r="I4622" t="n">
        <v>9200000</v>
      </c>
      <c r="J4622" t="n">
        <v>0.08500000000000001</v>
      </c>
      <c r="K4622" t="n">
        <v>1.76</v>
      </c>
      <c r="L4622" t="n">
        <v>0.14</v>
      </c>
      <c r="M4622" t="n">
        <v>1.62</v>
      </c>
      <c r="P4622" t="inlineStr">
        <is>
          <t>정세빈</t>
        </is>
      </c>
      <c r="Q4622" t="inlineStr">
        <is>
          <t>홈서비스 36개월</t>
        </is>
      </c>
      <c r="AB4622" t="inlineStr">
        <is>
          <t>홈서비스</t>
        </is>
      </c>
      <c r="AC4622" t="n">
        <v>161920</v>
      </c>
      <c r="AD4622" t="n">
        <v>12880</v>
      </c>
      <c r="AE4622" t="n">
        <v>149040</v>
      </c>
      <c r="AF4622" t="n">
        <v>147200</v>
      </c>
      <c r="AG4622" t="n">
        <v>12454.96</v>
      </c>
      <c r="AH4622" t="n">
        <v>134745.04</v>
      </c>
    </row>
    <row r="4623">
      <c r="A4623" t="inlineStr">
        <is>
          <t>5월</t>
        </is>
      </c>
      <c r="B4623" t="inlineStr">
        <is>
          <t>22주차</t>
        </is>
      </c>
      <c r="C4623" t="inlineStr">
        <is>
          <t>EP</t>
        </is>
      </c>
      <c r="D4623" s="28" t="n">
        <v>46169</v>
      </c>
      <c r="E4623" t="inlineStr">
        <is>
          <t>현대EP_fast</t>
        </is>
      </c>
      <c r="F4623" t="inlineStr">
        <is>
          <t>강건희</t>
        </is>
      </c>
      <c r="G4623" t="inlineStr">
        <is>
          <t>010-8968-6067</t>
        </is>
      </c>
      <c r="H4623" t="inlineStr">
        <is>
          <t>277마5785</t>
        </is>
      </c>
      <c r="I4623" t="n">
        <v>29500000</v>
      </c>
      <c r="J4623" t="n">
        <v>0.08500000000000001</v>
      </c>
      <c r="K4623" t="n">
        <v>1.76</v>
      </c>
      <c r="L4623" t="n">
        <v>0.14</v>
      </c>
      <c r="M4623" t="n">
        <v>1.62</v>
      </c>
      <c r="P4623" t="inlineStr">
        <is>
          <t>정세빈</t>
        </is>
      </c>
      <c r="Q4623" t="inlineStr">
        <is>
          <t>홈서비스 36개월</t>
        </is>
      </c>
      <c r="AB4623" t="inlineStr">
        <is>
          <t>홈서비스</t>
        </is>
      </c>
      <c r="AC4623" t="n">
        <v>519200</v>
      </c>
      <c r="AD4623" t="n">
        <v>41300</v>
      </c>
      <c r="AE4623" t="n">
        <v>477900</v>
      </c>
      <c r="AF4623" t="n">
        <v>472000</v>
      </c>
      <c r="AG4623" t="n">
        <v>39937.1</v>
      </c>
      <c r="AH4623" t="n">
        <v>432062.9</v>
      </c>
    </row>
    <row r="4624">
      <c r="A4624" t="inlineStr">
        <is>
          <t>5월</t>
        </is>
      </c>
      <c r="B4624" t="inlineStr">
        <is>
          <t>22주차</t>
        </is>
      </c>
      <c r="C4624" t="inlineStr">
        <is>
          <t>EP</t>
        </is>
      </c>
      <c r="D4624" s="28" t="n">
        <v>46169</v>
      </c>
      <c r="E4624" t="inlineStr">
        <is>
          <t>BNKEP</t>
        </is>
      </c>
      <c r="F4624" t="inlineStr">
        <is>
          <t>신재익</t>
        </is>
      </c>
      <c r="G4624" t="inlineStr">
        <is>
          <t>010-5493-3005</t>
        </is>
      </c>
      <c r="H4624" t="inlineStr">
        <is>
          <t>247오3082</t>
        </is>
      </c>
      <c r="I4624" t="n">
        <v>15900000</v>
      </c>
      <c r="J4624" t="n">
        <v>0.077</v>
      </c>
      <c r="K4624" t="n">
        <v>1.65</v>
      </c>
      <c r="L4624" t="n">
        <v>0.14</v>
      </c>
      <c r="M4624" t="n">
        <v>1.51</v>
      </c>
      <c r="P4624" t="inlineStr">
        <is>
          <t>정세빈</t>
        </is>
      </c>
      <c r="Q4624" t="inlineStr">
        <is>
          <t>홈서비스 60개월</t>
        </is>
      </c>
      <c r="AB4624" t="inlineStr">
        <is>
          <t>홈서비스</t>
        </is>
      </c>
      <c r="AC4624" t="n">
        <v>262350</v>
      </c>
      <c r="AD4624" t="n">
        <v>22260</v>
      </c>
      <c r="AE4624" t="n">
        <v>240090</v>
      </c>
      <c r="AF4624" t="n">
        <v>238500</v>
      </c>
      <c r="AG4624" t="n">
        <v>21525.42</v>
      </c>
      <c r="AH4624" t="n">
        <v>216974.58</v>
      </c>
      <c r="AI4624" t="n">
        <v>0</v>
      </c>
    </row>
    <row r="4625">
      <c r="A4625" t="inlineStr">
        <is>
          <t>5월</t>
        </is>
      </c>
      <c r="B4625" t="inlineStr">
        <is>
          <t>22주차</t>
        </is>
      </c>
      <c r="C4625" t="inlineStr">
        <is>
          <t>EP</t>
        </is>
      </c>
      <c r="D4625" s="28" t="n">
        <v>46169</v>
      </c>
      <c r="E4625" t="inlineStr">
        <is>
          <t>BNKEP</t>
        </is>
      </c>
      <c r="F4625" t="inlineStr">
        <is>
          <t>임상훈</t>
        </is>
      </c>
      <c r="G4625" t="inlineStr">
        <is>
          <t>010-2608-3402</t>
        </is>
      </c>
      <c r="H4625" t="inlineStr">
        <is>
          <t>109더5126</t>
        </is>
      </c>
      <c r="I4625" t="n">
        <v>30900000</v>
      </c>
      <c r="J4625" t="n">
        <v>0.067</v>
      </c>
      <c r="K4625" t="n">
        <v>1.65</v>
      </c>
      <c r="L4625" t="n">
        <v>0.14</v>
      </c>
      <c r="M4625" t="n">
        <v>1.51</v>
      </c>
      <c r="P4625" t="inlineStr">
        <is>
          <t>정세빈</t>
        </is>
      </c>
      <c r="Q4625" t="inlineStr">
        <is>
          <t>홈서비스 60개월</t>
        </is>
      </c>
      <c r="AB4625" t="inlineStr">
        <is>
          <t>홈서비스</t>
        </is>
      </c>
      <c r="AC4625" t="n">
        <v>509850</v>
      </c>
      <c r="AD4625" t="n">
        <v>43260</v>
      </c>
      <c r="AE4625" t="n">
        <v>466590</v>
      </c>
      <c r="AF4625" t="n">
        <v>463500</v>
      </c>
      <c r="AG4625" t="n">
        <v>41832.42</v>
      </c>
      <c r="AH4625" t="n">
        <v>421667.58</v>
      </c>
      <c r="AI4625" t="n">
        <v>0</v>
      </c>
    </row>
    <row r="4626">
      <c r="A4626" t="inlineStr">
        <is>
          <t>5월</t>
        </is>
      </c>
      <c r="B4626" t="inlineStr">
        <is>
          <t>22주차</t>
        </is>
      </c>
      <c r="C4626" t="inlineStr">
        <is>
          <t>IM</t>
        </is>
      </c>
      <c r="D4626" s="28" t="n">
        <v>46169</v>
      </c>
      <c r="E4626" t="inlineStr">
        <is>
          <t>IM캐피탈</t>
        </is>
      </c>
      <c r="F4626" t="inlineStr">
        <is>
          <t>김은경</t>
        </is>
      </c>
      <c r="G4626" t="inlineStr">
        <is>
          <t>010-3502-3159</t>
        </is>
      </c>
      <c r="H4626" t="inlineStr">
        <is>
          <t>279노9118</t>
        </is>
      </c>
      <c r="I4626" t="n">
        <v>35000000</v>
      </c>
      <c r="J4626" t="n">
        <v>0.045</v>
      </c>
      <c r="K4626" t="n">
        <v>1.1</v>
      </c>
      <c r="L4626" t="n">
        <v>0.14</v>
      </c>
      <c r="M4626" t="n">
        <v>0.96</v>
      </c>
      <c r="P4626" t="inlineStr">
        <is>
          <t>정세빈</t>
        </is>
      </c>
      <c r="Q4626" t="inlineStr">
        <is>
          <t>홈서비스 24개월</t>
        </is>
      </c>
      <c r="AB4626" t="inlineStr">
        <is>
          <t>홈서비스</t>
        </is>
      </c>
      <c r="AC4626" t="n">
        <v>385000</v>
      </c>
      <c r="AD4626" t="n">
        <v>49000</v>
      </c>
      <c r="AE4626" t="n">
        <v>336000</v>
      </c>
      <c r="AF4626" t="n">
        <v>350000</v>
      </c>
      <c r="AG4626" t="n">
        <v>47383</v>
      </c>
      <c r="AH4626" t="n">
        <v>302617</v>
      </c>
    </row>
    <row r="4627">
      <c r="A4627" t="inlineStr">
        <is>
          <t>5월</t>
        </is>
      </c>
      <c r="B4627" t="inlineStr">
        <is>
          <t>22주차</t>
        </is>
      </c>
      <c r="C4627" t="inlineStr">
        <is>
          <t>EP</t>
        </is>
      </c>
      <c r="D4627" s="28" t="n">
        <v>46168</v>
      </c>
      <c r="E4627" t="inlineStr">
        <is>
          <t>BNKEP</t>
        </is>
      </c>
      <c r="F4627" t="inlineStr">
        <is>
          <t>박민혁</t>
        </is>
      </c>
      <c r="G4627" t="inlineStr">
        <is>
          <t>010-4561-4421</t>
        </is>
      </c>
      <c r="H4627" t="inlineStr">
        <is>
          <t>239두8006</t>
        </is>
      </c>
      <c r="I4627" t="n">
        <v>20000000</v>
      </c>
      <c r="J4627" t="n">
        <v>0.077</v>
      </c>
      <c r="K4627" t="n">
        <v>1.65</v>
      </c>
      <c r="L4627" t="n">
        <v>0.4</v>
      </c>
      <c r="M4627" t="n">
        <v>1.25</v>
      </c>
      <c r="P4627" t="inlineStr">
        <is>
          <t>박소현</t>
        </is>
      </c>
      <c r="Q4627" t="inlineStr">
        <is>
          <t>기고객 소개</t>
        </is>
      </c>
      <c r="AB4627" t="inlineStr">
        <is>
          <t>엔카</t>
        </is>
      </c>
      <c r="AC4627" t="n">
        <v>330000</v>
      </c>
      <c r="AD4627" t="n">
        <v>80000</v>
      </c>
      <c r="AE4627" t="n">
        <v>250000</v>
      </c>
      <c r="AF4627" t="n">
        <v>300000</v>
      </c>
      <c r="AG4627" t="n">
        <v>77360</v>
      </c>
      <c r="AH4627" t="n">
        <v>222640</v>
      </c>
      <c r="AI4627" t="n">
        <v>0</v>
      </c>
    </row>
    <row r="4628">
      <c r="A4628" t="inlineStr">
        <is>
          <t>5월</t>
        </is>
      </c>
      <c r="B4628" t="inlineStr">
        <is>
          <t>22주차</t>
        </is>
      </c>
      <c r="C4628" t="inlineStr">
        <is>
          <t>EP</t>
        </is>
      </c>
      <c r="D4628" s="28" t="n">
        <v>46169</v>
      </c>
      <c r="E4628" t="inlineStr">
        <is>
          <t>현대EP_fast</t>
        </is>
      </c>
      <c r="F4628" t="inlineStr">
        <is>
          <t>김한나</t>
        </is>
      </c>
      <c r="G4628" t="inlineStr">
        <is>
          <t>010-9497-7048</t>
        </is>
      </c>
      <c r="H4628" t="inlineStr">
        <is>
          <t>159호4870</t>
        </is>
      </c>
      <c r="I4628" t="n">
        <v>27800000</v>
      </c>
      <c r="J4628" t="n">
        <v>0.06900000000000001</v>
      </c>
      <c r="K4628" t="n">
        <v>1.76</v>
      </c>
      <c r="L4628" t="n">
        <v>0.14</v>
      </c>
      <c r="M4628" t="n">
        <v>1.62</v>
      </c>
      <c r="P4628" t="inlineStr">
        <is>
          <t>김나윤</t>
        </is>
      </c>
      <c r="Q4628" t="inlineStr">
        <is>
          <t>홈서비스 60개월</t>
        </is>
      </c>
      <c r="AB4628" t="inlineStr">
        <is>
          <t>홈서비스</t>
        </is>
      </c>
      <c r="AC4628" t="n">
        <v>489280</v>
      </c>
      <c r="AD4628" t="n">
        <v>38920</v>
      </c>
      <c r="AE4628" t="n">
        <v>450360</v>
      </c>
      <c r="AF4628" t="n">
        <v>444800</v>
      </c>
      <c r="AG4628" t="n">
        <v>37635.64</v>
      </c>
      <c r="AH4628" t="n">
        <v>407164.36</v>
      </c>
      <c r="AI4628" t="n">
        <v>0</v>
      </c>
    </row>
    <row r="4629">
      <c r="A4629" t="inlineStr">
        <is>
          <t>5월</t>
        </is>
      </c>
      <c r="B4629" t="inlineStr">
        <is>
          <t>22주차</t>
        </is>
      </c>
      <c r="C4629" t="inlineStr">
        <is>
          <t>EP</t>
        </is>
      </c>
      <c r="D4629" s="28" t="n">
        <v>46169</v>
      </c>
      <c r="E4629" t="inlineStr">
        <is>
          <t>현대EP_fast</t>
        </is>
      </c>
      <c r="F4629" t="inlineStr">
        <is>
          <t>연해수</t>
        </is>
      </c>
      <c r="G4629" t="inlineStr">
        <is>
          <t>010-7340-0092</t>
        </is>
      </c>
      <c r="H4629" t="inlineStr">
        <is>
          <t>69고9648</t>
        </is>
      </c>
      <c r="I4629" t="n">
        <v>4400000</v>
      </c>
      <c r="J4629" t="n">
        <v>0.109</v>
      </c>
      <c r="K4629" t="n">
        <v>1.76</v>
      </c>
      <c r="L4629" t="n">
        <v>0.14</v>
      </c>
      <c r="M4629" t="n">
        <v>1.62</v>
      </c>
      <c r="P4629" t="inlineStr">
        <is>
          <t>김나윤</t>
        </is>
      </c>
      <c r="Q4629" t="inlineStr">
        <is>
          <t>홈서비스 60개월</t>
        </is>
      </c>
      <c r="AB4629" t="inlineStr">
        <is>
          <t>홈서비스</t>
        </is>
      </c>
      <c r="AC4629" t="n">
        <v>77440</v>
      </c>
      <c r="AD4629" t="n">
        <v>6160</v>
      </c>
      <c r="AE4629" t="n">
        <v>71280</v>
      </c>
      <c r="AF4629" t="n">
        <v>70400</v>
      </c>
      <c r="AG4629" t="n">
        <v>5956.72</v>
      </c>
      <c r="AH4629" t="n">
        <v>64443.28</v>
      </c>
      <c r="AI4629" t="n">
        <v>0</v>
      </c>
    </row>
    <row r="4630">
      <c r="A4630" t="inlineStr">
        <is>
          <t>5월</t>
        </is>
      </c>
      <c r="B4630" t="inlineStr">
        <is>
          <t>22주차</t>
        </is>
      </c>
      <c r="C4630" t="inlineStr">
        <is>
          <t>IM</t>
        </is>
      </c>
      <c r="D4630" s="28" t="n">
        <v>46169</v>
      </c>
      <c r="E4630" t="inlineStr">
        <is>
          <t>IM캐피탈</t>
        </is>
      </c>
      <c r="F4630" t="inlineStr">
        <is>
          <t>방휘웅</t>
        </is>
      </c>
      <c r="G4630" t="inlineStr">
        <is>
          <t>010-2041-9489</t>
        </is>
      </c>
      <c r="H4630" t="inlineStr">
        <is>
          <t>273라8715</t>
        </is>
      </c>
      <c r="I4630" t="n">
        <v>15000000</v>
      </c>
      <c r="J4630" t="n">
        <v>0.059</v>
      </c>
      <c r="K4630" t="n">
        <v>1.1</v>
      </c>
      <c r="L4630" t="n">
        <v>0.14</v>
      </c>
      <c r="M4630" t="n">
        <v>0.96</v>
      </c>
      <c r="P4630" t="inlineStr">
        <is>
          <t>박소현</t>
        </is>
      </c>
      <c r="Q4630" t="inlineStr">
        <is>
          <t>선상담 / 홈서비스 60개월</t>
        </is>
      </c>
      <c r="AB4630" t="inlineStr">
        <is>
          <t>홈서비스</t>
        </is>
      </c>
      <c r="AC4630" t="n">
        <v>165000</v>
      </c>
      <c r="AD4630" t="n">
        <v>21000</v>
      </c>
      <c r="AE4630" t="n">
        <v>144000</v>
      </c>
      <c r="AF4630" t="n">
        <v>150000</v>
      </c>
      <c r="AG4630" t="n">
        <v>20307</v>
      </c>
      <c r="AH4630" t="n">
        <v>129693</v>
      </c>
      <c r="AI4630" t="n">
        <v>0</v>
      </c>
    </row>
    <row r="4631">
      <c r="A4631" t="inlineStr">
        <is>
          <t>5월</t>
        </is>
      </c>
      <c r="B4631" t="inlineStr">
        <is>
          <t>22주차</t>
        </is>
      </c>
      <c r="C4631" t="inlineStr">
        <is>
          <t>EP</t>
        </is>
      </c>
      <c r="D4631" s="28" t="n">
        <v>46169</v>
      </c>
      <c r="E4631" t="inlineStr">
        <is>
          <t>현대EP_fast</t>
        </is>
      </c>
      <c r="F4631" t="inlineStr">
        <is>
          <t>임효일</t>
        </is>
      </c>
      <c r="G4631" t="inlineStr">
        <is>
          <t>010-3292-5890</t>
        </is>
      </c>
      <c r="H4631" t="inlineStr">
        <is>
          <t>45나2765</t>
        </is>
      </c>
      <c r="I4631" t="n">
        <v>16000000</v>
      </c>
      <c r="J4631" t="n">
        <v>0.105</v>
      </c>
      <c r="K4631" t="n">
        <v>1.76</v>
      </c>
      <c r="L4631" t="n">
        <v>0.14</v>
      </c>
      <c r="M4631" t="n">
        <v>1.62</v>
      </c>
      <c r="P4631" t="inlineStr">
        <is>
          <t>김나윤</t>
        </is>
      </c>
      <c r="Q4631" t="inlineStr">
        <is>
          <t>홈서비스 60개월</t>
        </is>
      </c>
      <c r="AB4631" t="inlineStr">
        <is>
          <t>홈서비스</t>
        </is>
      </c>
      <c r="AC4631" t="n">
        <v>281600</v>
      </c>
      <c r="AD4631" t="n">
        <v>22400</v>
      </c>
      <c r="AE4631" t="n">
        <v>259200</v>
      </c>
      <c r="AF4631" t="n">
        <v>256000</v>
      </c>
      <c r="AG4631" t="n">
        <v>21660.8</v>
      </c>
      <c r="AH4631" t="n">
        <v>234339.2</v>
      </c>
      <c r="AI4631" t="n">
        <v>0</v>
      </c>
    </row>
    <row r="4632">
      <c r="A4632" t="inlineStr">
        <is>
          <t>5월</t>
        </is>
      </c>
      <c r="B4632" t="inlineStr">
        <is>
          <t>21주차</t>
        </is>
      </c>
      <c r="C4632" t="inlineStr">
        <is>
          <t>IM</t>
        </is>
      </c>
      <c r="D4632" s="28" t="n">
        <v>46164</v>
      </c>
      <c r="E4632" t="inlineStr">
        <is>
          <t>IM캐피탈</t>
        </is>
      </c>
      <c r="F4632" t="inlineStr">
        <is>
          <t>박창훈</t>
        </is>
      </c>
      <c r="G4632" t="inlineStr">
        <is>
          <t>010-2750-2656</t>
        </is>
      </c>
      <c r="H4632" t="inlineStr">
        <is>
          <t>163보5469</t>
        </is>
      </c>
      <c r="I4632" t="n">
        <v>20000000</v>
      </c>
      <c r="J4632" t="n">
        <v>0.059</v>
      </c>
      <c r="K4632" t="n">
        <v>1.1</v>
      </c>
      <c r="L4632" t="n">
        <v>0.4</v>
      </c>
      <c r="M4632" t="n">
        <v>0.7</v>
      </c>
      <c r="P4632" t="inlineStr">
        <is>
          <t>구성완</t>
        </is>
      </c>
      <c r="AB4632" t="inlineStr">
        <is>
          <t>엔카</t>
        </is>
      </c>
      <c r="AC4632" t="n">
        <v>220000</v>
      </c>
      <c r="AD4632" t="n">
        <v>80000</v>
      </c>
      <c r="AE4632" t="n">
        <v>140000</v>
      </c>
      <c r="AF4632" t="n">
        <v>200000</v>
      </c>
      <c r="AG4632" t="n">
        <v>77360</v>
      </c>
      <c r="AH4632" t="n">
        <v>122640</v>
      </c>
    </row>
    <row r="4633">
      <c r="A4633" t="inlineStr">
        <is>
          <t>5월</t>
        </is>
      </c>
      <c r="B4633" t="inlineStr">
        <is>
          <t>22주차</t>
        </is>
      </c>
      <c r="C4633" t="inlineStr">
        <is>
          <t>OR</t>
        </is>
      </c>
      <c r="D4633" s="28" t="n">
        <v>46168</v>
      </c>
      <c r="E4633" t="inlineStr">
        <is>
          <t>오릭스</t>
        </is>
      </c>
      <c r="F4633" t="inlineStr">
        <is>
          <t>김도연</t>
        </is>
      </c>
      <c r="G4633" t="inlineStr">
        <is>
          <t>010-3227-9811</t>
        </is>
      </c>
      <c r="H4633" t="inlineStr">
        <is>
          <t>55보4507</t>
        </is>
      </c>
      <c r="I4633" t="n">
        <v>22000000</v>
      </c>
      <c r="J4633" t="n">
        <v>0.089</v>
      </c>
      <c r="K4633" t="n">
        <v>1.65</v>
      </c>
      <c r="L4633" t="n">
        <v>0.4</v>
      </c>
      <c r="M4633" t="n">
        <v>1.25</v>
      </c>
      <c r="P4633" t="inlineStr">
        <is>
          <t>최혁</t>
        </is>
      </c>
      <c r="Q4633" t="inlineStr">
        <is>
          <t>론진행</t>
        </is>
      </c>
      <c r="AB4633" t="inlineStr">
        <is>
          <t>엔카</t>
        </is>
      </c>
      <c r="AC4633" t="n">
        <v>363000</v>
      </c>
      <c r="AD4633" t="n">
        <v>88000</v>
      </c>
      <c r="AE4633" t="n">
        <v>275000</v>
      </c>
      <c r="AF4633" t="n">
        <v>330000</v>
      </c>
      <c r="AG4633" t="n">
        <v>85096</v>
      </c>
      <c r="AH4633" t="n">
        <v>244904</v>
      </c>
      <c r="AI4633" t="n">
        <v>0</v>
      </c>
    </row>
    <row r="4634">
      <c r="A4634" t="inlineStr">
        <is>
          <t>5월</t>
        </is>
      </c>
      <c r="B4634" t="inlineStr">
        <is>
          <t>22주차</t>
        </is>
      </c>
      <c r="C4634" t="inlineStr">
        <is>
          <t>EP</t>
        </is>
      </c>
      <c r="D4634" s="28" t="n">
        <v>46169</v>
      </c>
      <c r="E4634" t="inlineStr">
        <is>
          <t>현대EP_fast</t>
        </is>
      </c>
      <c r="F4634" t="inlineStr">
        <is>
          <t>여준태</t>
        </is>
      </c>
      <c r="G4634" t="inlineStr">
        <is>
          <t>010-3930-0422</t>
        </is>
      </c>
      <c r="H4634" t="inlineStr">
        <is>
          <t>366주9873</t>
        </is>
      </c>
      <c r="I4634" t="n">
        <v>29300000</v>
      </c>
      <c r="J4634" t="n">
        <v>0.095</v>
      </c>
      <c r="K4634" t="n">
        <v>1.76</v>
      </c>
      <c r="L4634" t="n">
        <v>0.14</v>
      </c>
      <c r="M4634" t="n">
        <v>1.62</v>
      </c>
      <c r="P4634" t="inlineStr">
        <is>
          <t>김수연</t>
        </is>
      </c>
      <c r="Q4634" t="inlineStr">
        <is>
          <t>홈서비스 60개월</t>
        </is>
      </c>
      <c r="AB4634" t="inlineStr">
        <is>
          <t>홈서비스</t>
        </is>
      </c>
      <c r="AC4634" t="n">
        <v>515680</v>
      </c>
      <c r="AD4634" t="n">
        <v>41020</v>
      </c>
      <c r="AE4634" t="n">
        <v>474660</v>
      </c>
      <c r="AF4634" t="n">
        <v>468800</v>
      </c>
      <c r="AG4634" t="n">
        <v>39666.34</v>
      </c>
      <c r="AH4634" t="n">
        <v>429133.66</v>
      </c>
      <c r="AI4634" t="n">
        <v>0</v>
      </c>
    </row>
    <row r="4635">
      <c r="A4635" t="inlineStr">
        <is>
          <t>5월</t>
        </is>
      </c>
      <c r="B4635" t="inlineStr">
        <is>
          <t>22주차</t>
        </is>
      </c>
      <c r="C4635" t="inlineStr">
        <is>
          <t>EP</t>
        </is>
      </c>
      <c r="D4635" s="28" t="n">
        <v>46169</v>
      </c>
      <c r="E4635" t="inlineStr">
        <is>
          <t>현대EP_fast</t>
        </is>
      </c>
      <c r="F4635" t="inlineStr">
        <is>
          <t>강한샘</t>
        </is>
      </c>
      <c r="G4635" t="inlineStr">
        <is>
          <t>010-9919-2749</t>
        </is>
      </c>
      <c r="H4635" t="inlineStr">
        <is>
          <t>69조1917</t>
        </is>
      </c>
      <c r="I4635" t="n">
        <v>34800000</v>
      </c>
      <c r="J4635" t="n">
        <v>0.07099999999999999</v>
      </c>
      <c r="K4635" t="n">
        <v>1.76</v>
      </c>
      <c r="L4635" t="n">
        <v>0.14</v>
      </c>
      <c r="M4635" t="n">
        <v>1.62</v>
      </c>
      <c r="P4635" t="inlineStr">
        <is>
          <t>김나윤</t>
        </is>
      </c>
      <c r="Q4635" t="inlineStr">
        <is>
          <t>홈서비스 60개월</t>
        </is>
      </c>
      <c r="AB4635" t="inlineStr">
        <is>
          <t>홈서비스</t>
        </is>
      </c>
      <c r="AC4635" t="n">
        <v>612480</v>
      </c>
      <c r="AD4635" t="n">
        <v>48720</v>
      </c>
      <c r="AE4635" t="n">
        <v>563760</v>
      </c>
      <c r="AF4635" t="n">
        <v>556800</v>
      </c>
      <c r="AG4635" t="n">
        <v>47112.24</v>
      </c>
      <c r="AH4635" t="n">
        <v>509687.76</v>
      </c>
      <c r="AI4635" t="n">
        <v>0</v>
      </c>
    </row>
    <row r="4636">
      <c r="A4636" t="inlineStr">
        <is>
          <t>5월</t>
        </is>
      </c>
      <c r="B4636" t="inlineStr">
        <is>
          <t>22주차</t>
        </is>
      </c>
      <c r="C4636" t="inlineStr">
        <is>
          <t>EP</t>
        </is>
      </c>
      <c r="D4636" s="28" t="n">
        <v>46169</v>
      </c>
      <c r="E4636" t="inlineStr">
        <is>
          <t>현대EP_fast</t>
        </is>
      </c>
      <c r="F4636" t="inlineStr">
        <is>
          <t>성희주</t>
        </is>
      </c>
      <c r="G4636" t="inlineStr">
        <is>
          <t>010-3923-1062</t>
        </is>
      </c>
      <c r="H4636" t="inlineStr">
        <is>
          <t>259너9183</t>
        </is>
      </c>
      <c r="I4636" t="n">
        <v>27200000</v>
      </c>
      <c r="J4636" t="n">
        <v>0.07000000000000001</v>
      </c>
      <c r="K4636" t="n">
        <v>1.76</v>
      </c>
      <c r="L4636" t="n">
        <v>0.14</v>
      </c>
      <c r="M4636" t="n">
        <v>1.62</v>
      </c>
      <c r="P4636" t="inlineStr">
        <is>
          <t>김수연</t>
        </is>
      </c>
      <c r="Q4636" t="inlineStr">
        <is>
          <t>홈서비스 60개월</t>
        </is>
      </c>
      <c r="AB4636" t="inlineStr">
        <is>
          <t>홈서비스</t>
        </is>
      </c>
      <c r="AC4636" t="n">
        <v>478720</v>
      </c>
      <c r="AD4636" t="n">
        <v>38080</v>
      </c>
      <c r="AE4636" t="n">
        <v>440640</v>
      </c>
      <c r="AF4636" t="n">
        <v>435200</v>
      </c>
      <c r="AG4636" t="n">
        <v>36823.36</v>
      </c>
      <c r="AH4636" t="n">
        <v>398376.64</v>
      </c>
    </row>
    <row r="4637">
      <c r="A4637" t="inlineStr">
        <is>
          <t>5월</t>
        </is>
      </c>
      <c r="B4637" t="inlineStr">
        <is>
          <t>22주차</t>
        </is>
      </c>
      <c r="C4637" t="inlineStr">
        <is>
          <t>IM</t>
        </is>
      </c>
      <c r="D4637" s="28" t="n">
        <v>46169</v>
      </c>
      <c r="E4637" t="inlineStr">
        <is>
          <t>IM캐피탈</t>
        </is>
      </c>
      <c r="F4637" t="inlineStr">
        <is>
          <t>최경수</t>
        </is>
      </c>
      <c r="G4637" t="inlineStr">
        <is>
          <t>010-3357-2679</t>
        </is>
      </c>
      <c r="H4637" t="inlineStr">
        <is>
          <t>149루1885</t>
        </is>
      </c>
      <c r="I4637" t="n">
        <v>20000000</v>
      </c>
      <c r="J4637" t="n">
        <v>0.06900000000000001</v>
      </c>
      <c r="K4637" t="n">
        <v>1.1</v>
      </c>
      <c r="L4637" t="n">
        <v>0.14</v>
      </c>
      <c r="M4637" t="n">
        <v>0.96</v>
      </c>
      <c r="P4637" t="inlineStr">
        <is>
          <t>김수연</t>
        </is>
      </c>
      <c r="Q4637" t="inlineStr">
        <is>
          <t>홈서비스 48개월</t>
        </is>
      </c>
      <c r="AB4637" t="inlineStr">
        <is>
          <t>홈서비스</t>
        </is>
      </c>
      <c r="AC4637" t="n">
        <v>220000</v>
      </c>
      <c r="AD4637" t="n">
        <v>28000</v>
      </c>
      <c r="AE4637" t="n">
        <v>192000</v>
      </c>
      <c r="AF4637" t="n">
        <v>200000</v>
      </c>
      <c r="AG4637" t="n">
        <v>27076</v>
      </c>
      <c r="AH4637" t="n">
        <v>172924</v>
      </c>
      <c r="AI4637" t="n">
        <v>0</v>
      </c>
    </row>
    <row r="4638">
      <c r="A4638" t="inlineStr">
        <is>
          <t>5월</t>
        </is>
      </c>
      <c r="B4638" t="inlineStr">
        <is>
          <t>22주차</t>
        </is>
      </c>
      <c r="C4638" t="inlineStr">
        <is>
          <t>IM</t>
        </is>
      </c>
      <c r="D4638" s="28" t="n">
        <v>46168</v>
      </c>
      <c r="E4638" t="inlineStr">
        <is>
          <t>IM캐피탈</t>
        </is>
      </c>
      <c r="F4638" t="inlineStr">
        <is>
          <t>김근록</t>
        </is>
      </c>
      <c r="G4638" t="inlineStr">
        <is>
          <t>010-4427-7499</t>
        </is>
      </c>
      <c r="H4638" t="inlineStr">
        <is>
          <t>182어4784</t>
        </is>
      </c>
      <c r="I4638" t="n">
        <v>26000000</v>
      </c>
      <c r="J4638" t="n">
        <v>0.063</v>
      </c>
      <c r="K4638" t="n">
        <v>1.1</v>
      </c>
      <c r="L4638" t="n">
        <v>0.14</v>
      </c>
      <c r="M4638" t="n">
        <v>0.96</v>
      </c>
      <c r="P4638" t="inlineStr">
        <is>
          <t>임대경</t>
        </is>
      </c>
      <c r="AB4638" t="inlineStr">
        <is>
          <t>홈서비스</t>
        </is>
      </c>
      <c r="AC4638" t="n">
        <v>286000</v>
      </c>
      <c r="AD4638" t="n">
        <v>36400</v>
      </c>
      <c r="AE4638" t="n">
        <v>249600</v>
      </c>
      <c r="AF4638" t="n">
        <v>260000</v>
      </c>
      <c r="AG4638" t="n">
        <v>35198.8</v>
      </c>
      <c r="AH4638" t="n">
        <v>224801.2</v>
      </c>
    </row>
    <row r="4639">
      <c r="A4639" t="inlineStr">
        <is>
          <t>5월</t>
        </is>
      </c>
      <c r="B4639" t="inlineStr">
        <is>
          <t>22주차</t>
        </is>
      </c>
      <c r="C4639" t="inlineStr">
        <is>
          <t>IM</t>
        </is>
      </c>
      <c r="D4639" s="28" t="n">
        <v>46168</v>
      </c>
      <c r="E4639" t="inlineStr">
        <is>
          <t>IM캐피탈</t>
        </is>
      </c>
      <c r="F4639" t="inlineStr">
        <is>
          <t>정재영</t>
        </is>
      </c>
      <c r="G4639" t="inlineStr">
        <is>
          <t>010-3108-1036</t>
        </is>
      </c>
      <c r="H4639" t="inlineStr">
        <is>
          <t>131어6710</t>
        </is>
      </c>
      <c r="I4639" t="n">
        <v>28900000</v>
      </c>
      <c r="J4639" t="n">
        <v>0.049</v>
      </c>
      <c r="K4639" t="n">
        <v>1.1</v>
      </c>
      <c r="L4639" t="n">
        <v>0.4</v>
      </c>
      <c r="M4639" t="n">
        <v>0.7</v>
      </c>
      <c r="P4639" t="inlineStr">
        <is>
          <t>최혁</t>
        </is>
      </c>
      <c r="Q4639" t="inlineStr">
        <is>
          <t>미성년자공동명의</t>
        </is>
      </c>
      <c r="AB4639" t="inlineStr">
        <is>
          <t>엔카</t>
        </is>
      </c>
      <c r="AC4639" t="n">
        <v>317900</v>
      </c>
      <c r="AD4639" t="n">
        <v>115600</v>
      </c>
      <c r="AE4639" t="n">
        <v>202300</v>
      </c>
      <c r="AF4639" t="n">
        <v>289000</v>
      </c>
      <c r="AG4639" t="n">
        <v>111785.2</v>
      </c>
      <c r="AH4639" t="n">
        <v>177214.8</v>
      </c>
      <c r="AI4639" t="n">
        <v>0</v>
      </c>
    </row>
    <row r="4640">
      <c r="A4640" t="inlineStr">
        <is>
          <t>5월</t>
        </is>
      </c>
      <c r="B4640" t="inlineStr">
        <is>
          <t>22주차</t>
        </is>
      </c>
      <c r="C4640" t="inlineStr">
        <is>
          <t>EP</t>
        </is>
      </c>
      <c r="D4640" s="28" t="n">
        <v>46169</v>
      </c>
      <c r="E4640" t="inlineStr">
        <is>
          <t>현대EP_fast</t>
        </is>
      </c>
      <c r="F4640" t="inlineStr">
        <is>
          <t>윤지수</t>
        </is>
      </c>
      <c r="G4640" t="inlineStr">
        <is>
          <t>010-9091-1012</t>
        </is>
      </c>
      <c r="H4640" t="inlineStr">
        <is>
          <t>33거9240</t>
        </is>
      </c>
      <c r="I4640" t="n">
        <v>26000000</v>
      </c>
      <c r="J4640" t="n">
        <v>0.089</v>
      </c>
      <c r="K4640" t="n">
        <v>1.76</v>
      </c>
      <c r="L4640" t="n">
        <v>0.4</v>
      </c>
      <c r="M4640" t="n">
        <v>1.36</v>
      </c>
      <c r="P4640" t="inlineStr">
        <is>
          <t>박소현</t>
        </is>
      </c>
      <c r="AB4640" t="inlineStr">
        <is>
          <t>엔카</t>
        </is>
      </c>
      <c r="AC4640" t="n">
        <v>457600</v>
      </c>
      <c r="AD4640" t="n">
        <v>104000</v>
      </c>
      <c r="AE4640" t="n">
        <v>353600</v>
      </c>
      <c r="AF4640" t="n">
        <v>416000</v>
      </c>
      <c r="AG4640" t="n">
        <v>100568</v>
      </c>
      <c r="AH4640" t="n">
        <v>315432</v>
      </c>
      <c r="AI4640" t="n">
        <v>0</v>
      </c>
    </row>
    <row r="4641">
      <c r="A4641" t="inlineStr">
        <is>
          <t>5월</t>
        </is>
      </c>
      <c r="B4641" t="inlineStr">
        <is>
          <t>21주차</t>
        </is>
      </c>
      <c r="C4641" t="inlineStr">
        <is>
          <t>IM</t>
        </is>
      </c>
      <c r="D4641" s="28" t="n">
        <v>46164</v>
      </c>
      <c r="E4641" t="inlineStr">
        <is>
          <t>IM캐피탈</t>
        </is>
      </c>
      <c r="F4641" t="inlineStr">
        <is>
          <t>유영현</t>
        </is>
      </c>
      <c r="G4641" t="inlineStr">
        <is>
          <t>010-6425-7052</t>
        </is>
      </c>
      <c r="H4641" t="inlineStr">
        <is>
          <t>128무7960</t>
        </is>
      </c>
      <c r="I4641" t="n">
        <v>77000000</v>
      </c>
      <c r="J4641" t="n">
        <v>0.049</v>
      </c>
      <c r="K4641" t="n">
        <v>1.1</v>
      </c>
      <c r="L4641" t="n">
        <v>0.4</v>
      </c>
      <c r="M4641" t="n">
        <v>0.7</v>
      </c>
      <c r="P4641" t="inlineStr">
        <is>
          <t>구성완</t>
        </is>
      </c>
      <c r="AB4641" t="inlineStr">
        <is>
          <t>엔카</t>
        </is>
      </c>
      <c r="AC4641" t="n">
        <v>847000</v>
      </c>
      <c r="AD4641" t="n">
        <v>308000</v>
      </c>
      <c r="AE4641" t="n">
        <v>539000</v>
      </c>
      <c r="AF4641" t="n">
        <v>770000</v>
      </c>
      <c r="AG4641" t="n">
        <v>297836</v>
      </c>
      <c r="AH4641" t="n">
        <v>472164</v>
      </c>
      <c r="AI4641" t="n">
        <v>0</v>
      </c>
    </row>
    <row r="4642">
      <c r="A4642" t="inlineStr">
        <is>
          <t>5월</t>
        </is>
      </c>
      <c r="B4642" t="inlineStr">
        <is>
          <t>22주차</t>
        </is>
      </c>
      <c r="C4642" t="inlineStr">
        <is>
          <t>EP</t>
        </is>
      </c>
      <c r="D4642" s="28" t="n">
        <v>46169</v>
      </c>
      <c r="E4642" t="inlineStr">
        <is>
          <t>현대EP_fast</t>
        </is>
      </c>
      <c r="F4642" t="inlineStr">
        <is>
          <t>한준희</t>
        </is>
      </c>
      <c r="G4642" t="inlineStr">
        <is>
          <t>010-2330-4261</t>
        </is>
      </c>
      <c r="H4642" t="inlineStr">
        <is>
          <t>200어9845</t>
        </is>
      </c>
      <c r="I4642" t="n">
        <v>25000000</v>
      </c>
      <c r="J4642" t="n">
        <v>0.06900000000000001</v>
      </c>
      <c r="K4642" t="n">
        <v>1.76</v>
      </c>
      <c r="L4642" t="n">
        <v>0.14</v>
      </c>
      <c r="M4642" t="n">
        <v>1.62</v>
      </c>
      <c r="P4642" t="inlineStr">
        <is>
          <t>김수연</t>
        </is>
      </c>
      <c r="Q4642" t="inlineStr">
        <is>
          <t>홈서비스 48개월</t>
        </is>
      </c>
      <c r="AB4642" t="inlineStr">
        <is>
          <t>홈서비스</t>
        </is>
      </c>
      <c r="AC4642" t="n">
        <v>440000</v>
      </c>
      <c r="AD4642" t="n">
        <v>35000</v>
      </c>
      <c r="AE4642" t="n">
        <v>405000</v>
      </c>
      <c r="AF4642" t="n">
        <v>400000</v>
      </c>
      <c r="AG4642" t="n">
        <v>33845</v>
      </c>
      <c r="AH4642" t="n">
        <v>366155</v>
      </c>
      <c r="AI4642" t="n">
        <v>0</v>
      </c>
    </row>
    <row r="4643">
      <c r="A4643" t="inlineStr">
        <is>
          <t>5월</t>
        </is>
      </c>
      <c r="B4643" t="inlineStr">
        <is>
          <t>22주차</t>
        </is>
      </c>
      <c r="C4643" t="inlineStr">
        <is>
          <t>EP</t>
        </is>
      </c>
      <c r="D4643" s="28" t="n">
        <v>46169</v>
      </c>
      <c r="E4643" t="inlineStr">
        <is>
          <t>현대EP_fast</t>
        </is>
      </c>
      <c r="F4643" t="inlineStr">
        <is>
          <t>최성묵</t>
        </is>
      </c>
      <c r="G4643" t="inlineStr">
        <is>
          <t>010-9919-1037</t>
        </is>
      </c>
      <c r="H4643" t="inlineStr">
        <is>
          <t>164다1571</t>
        </is>
      </c>
      <c r="I4643" t="n">
        <v>8700000</v>
      </c>
      <c r="J4643" t="n">
        <v>0.06900000000000001</v>
      </c>
      <c r="K4643" t="n">
        <v>1.76</v>
      </c>
      <c r="L4643" t="n">
        <v>0.14</v>
      </c>
      <c r="M4643" t="n">
        <v>1.62</v>
      </c>
      <c r="P4643" t="inlineStr">
        <is>
          <t>김수연</t>
        </is>
      </c>
      <c r="Q4643" t="inlineStr">
        <is>
          <t>홈서비스 36개월</t>
        </is>
      </c>
      <c r="AB4643" t="inlineStr">
        <is>
          <t>홈서비스</t>
        </is>
      </c>
      <c r="AC4643" t="n">
        <v>153120</v>
      </c>
      <c r="AD4643" t="n">
        <v>12180</v>
      </c>
      <c r="AE4643" t="n">
        <v>140940</v>
      </c>
      <c r="AF4643" t="n">
        <v>139200</v>
      </c>
      <c r="AG4643" t="n">
        <v>11778.06</v>
      </c>
      <c r="AH4643" t="n">
        <v>127421.94</v>
      </c>
      <c r="AI4643" t="n">
        <v>0</v>
      </c>
    </row>
    <row r="4644">
      <c r="A4644" t="inlineStr">
        <is>
          <t>5월</t>
        </is>
      </c>
      <c r="B4644" t="inlineStr">
        <is>
          <t>22주차</t>
        </is>
      </c>
      <c r="C4644" t="inlineStr">
        <is>
          <t>IM</t>
        </is>
      </c>
      <c r="D4644" s="28" t="n">
        <v>46169</v>
      </c>
      <c r="E4644" t="inlineStr">
        <is>
          <t>IM캐피탈</t>
        </is>
      </c>
      <c r="F4644" t="inlineStr">
        <is>
          <t>김기훈</t>
        </is>
      </c>
      <c r="G4644" t="inlineStr">
        <is>
          <t>010-4475-8953</t>
        </is>
      </c>
      <c r="H4644" t="inlineStr">
        <is>
          <t>121고3949</t>
        </is>
      </c>
      <c r="I4644" t="n">
        <v>14100000</v>
      </c>
      <c r="J4644" t="n">
        <v>0.079</v>
      </c>
      <c r="K4644" t="n">
        <v>1.1</v>
      </c>
      <c r="L4644" t="n">
        <v>0.14</v>
      </c>
      <c r="M4644" t="n">
        <v>0.96</v>
      </c>
      <c r="P4644" t="inlineStr">
        <is>
          <t>김나윤</t>
        </is>
      </c>
      <c r="Q4644" t="inlineStr">
        <is>
          <t>홈서비스 36개월</t>
        </is>
      </c>
      <c r="AB4644" t="inlineStr">
        <is>
          <t>홈서비스</t>
        </is>
      </c>
      <c r="AC4644" t="n">
        <v>155100</v>
      </c>
      <c r="AD4644" t="n">
        <v>19740</v>
      </c>
      <c r="AE4644" t="n">
        <v>135360</v>
      </c>
      <c r="AF4644" t="n">
        <v>141000</v>
      </c>
      <c r="AG4644" t="n">
        <v>19088.58</v>
      </c>
      <c r="AH4644" t="n">
        <v>121911.42</v>
      </c>
      <c r="AI4644" t="n">
        <v>0</v>
      </c>
    </row>
    <row r="4645">
      <c r="A4645" t="inlineStr">
        <is>
          <t>5월</t>
        </is>
      </c>
      <c r="B4645" t="inlineStr">
        <is>
          <t>22주차</t>
        </is>
      </c>
      <c r="C4645" t="inlineStr">
        <is>
          <t>EP</t>
        </is>
      </c>
      <c r="D4645" s="28" t="n">
        <v>46169</v>
      </c>
      <c r="E4645" t="inlineStr">
        <is>
          <t>현대EP_fast</t>
        </is>
      </c>
      <c r="F4645" t="inlineStr">
        <is>
          <t>김홍록</t>
        </is>
      </c>
      <c r="G4645" t="inlineStr">
        <is>
          <t>010-2008-2820</t>
        </is>
      </c>
      <c r="H4645" t="inlineStr">
        <is>
          <t>30보5099</t>
        </is>
      </c>
      <c r="I4645" t="n">
        <v>16000000</v>
      </c>
      <c r="J4645" t="n">
        <v>0.118</v>
      </c>
      <c r="K4645" t="n">
        <v>1.76</v>
      </c>
      <c r="L4645" t="n">
        <v>0.4</v>
      </c>
      <c r="M4645" t="n">
        <v>1.36</v>
      </c>
      <c r="P4645" t="inlineStr">
        <is>
          <t>박소현</t>
        </is>
      </c>
      <c r="Q4645" t="inlineStr">
        <is>
          <t>일반차량</t>
        </is>
      </c>
      <c r="AB4645" t="inlineStr">
        <is>
          <t>엔카</t>
        </is>
      </c>
      <c r="AC4645" t="n">
        <v>281600</v>
      </c>
      <c r="AD4645" t="n">
        <v>64000</v>
      </c>
      <c r="AE4645" t="n">
        <v>217600</v>
      </c>
      <c r="AF4645" t="n">
        <v>256000</v>
      </c>
      <c r="AG4645" t="n">
        <v>61888</v>
      </c>
      <c r="AH4645" t="n">
        <v>194112</v>
      </c>
      <c r="AI4645" t="n">
        <v>0</v>
      </c>
    </row>
    <row r="4646">
      <c r="A4646" t="inlineStr">
        <is>
          <t>5월</t>
        </is>
      </c>
      <c r="B4646" t="inlineStr">
        <is>
          <t>22주차</t>
        </is>
      </c>
      <c r="C4646" t="inlineStr">
        <is>
          <t>EP</t>
        </is>
      </c>
      <c r="D4646" s="28" t="n">
        <v>46169</v>
      </c>
      <c r="E4646" t="inlineStr">
        <is>
          <t>현대EP_fast</t>
        </is>
      </c>
      <c r="F4646" t="inlineStr">
        <is>
          <t>전민서</t>
        </is>
      </c>
      <c r="G4646" t="inlineStr">
        <is>
          <t>010-2035-1815</t>
        </is>
      </c>
      <c r="H4646" t="inlineStr">
        <is>
          <t>376로9137</t>
        </is>
      </c>
      <c r="I4646" t="n">
        <v>36800000</v>
      </c>
      <c r="J4646" t="n">
        <v>0.075</v>
      </c>
      <c r="K4646" t="n">
        <v>1.76</v>
      </c>
      <c r="L4646" t="n">
        <v>0.14</v>
      </c>
      <c r="M4646" t="n">
        <v>1.62</v>
      </c>
      <c r="P4646" t="inlineStr">
        <is>
          <t>정세빈</t>
        </is>
      </c>
      <c r="Q4646" t="inlineStr">
        <is>
          <t>홈서비스 60개월</t>
        </is>
      </c>
      <c r="AB4646" t="inlineStr">
        <is>
          <t>홈서비스</t>
        </is>
      </c>
      <c r="AC4646" t="n">
        <v>647680</v>
      </c>
      <c r="AD4646" t="n">
        <v>51520</v>
      </c>
      <c r="AE4646" t="n">
        <v>596160</v>
      </c>
      <c r="AF4646" t="n">
        <v>588800</v>
      </c>
      <c r="AG4646" t="n">
        <v>49819.84</v>
      </c>
      <c r="AH4646" t="n">
        <v>538980.16</v>
      </c>
    </row>
    <row r="4647">
      <c r="A4647" t="inlineStr">
        <is>
          <t>5월</t>
        </is>
      </c>
      <c r="B4647" t="inlineStr">
        <is>
          <t>22주차</t>
        </is>
      </c>
      <c r="C4647" t="inlineStr">
        <is>
          <t>IM</t>
        </is>
      </c>
      <c r="D4647" s="28" t="n">
        <v>46169</v>
      </c>
      <c r="E4647" t="inlineStr">
        <is>
          <t>IM캐피탈</t>
        </is>
      </c>
      <c r="F4647" t="inlineStr">
        <is>
          <t>김혜진</t>
        </is>
      </c>
      <c r="G4647" t="inlineStr">
        <is>
          <t>010-8503-9401</t>
        </is>
      </c>
      <c r="H4647" t="inlineStr">
        <is>
          <t>154고3849</t>
        </is>
      </c>
      <c r="I4647" t="n">
        <v>13900000</v>
      </c>
      <c r="J4647" t="n">
        <v>0.067</v>
      </c>
      <c r="K4647" t="n">
        <v>1.1</v>
      </c>
      <c r="L4647" t="n">
        <v>0.14</v>
      </c>
      <c r="M4647" t="n">
        <v>0.96</v>
      </c>
      <c r="P4647" t="inlineStr">
        <is>
          <t>임대경</t>
        </is>
      </c>
      <c r="Q4647" t="inlineStr">
        <is>
          <t>홈서비스 60개월</t>
        </is>
      </c>
      <c r="AB4647" t="inlineStr">
        <is>
          <t>홈서비스</t>
        </is>
      </c>
      <c r="AC4647" t="n">
        <v>152900</v>
      </c>
      <c r="AD4647" t="n">
        <v>19460</v>
      </c>
      <c r="AE4647" t="n">
        <v>133440</v>
      </c>
      <c r="AF4647" t="n">
        <v>139000</v>
      </c>
      <c r="AG4647" t="n">
        <v>18817.82</v>
      </c>
      <c r="AH4647" t="n">
        <v>120182.18</v>
      </c>
      <c r="AI4647" t="n">
        <v>0</v>
      </c>
    </row>
    <row r="4648">
      <c r="A4648" t="inlineStr">
        <is>
          <t>4월</t>
        </is>
      </c>
      <c r="B4648" t="inlineStr">
        <is>
          <t>18주차</t>
        </is>
      </c>
      <c r="C4648" t="inlineStr">
        <is>
          <t>IM</t>
        </is>
      </c>
      <c r="D4648" s="28" t="n">
        <v>46141</v>
      </c>
      <c r="E4648" t="inlineStr">
        <is>
          <t>IM캐피탈</t>
        </is>
      </c>
      <c r="F4648" t="inlineStr">
        <is>
          <t>오세록</t>
        </is>
      </c>
      <c r="G4648" t="inlineStr">
        <is>
          <t>010-8939-4571</t>
        </is>
      </c>
      <c r="H4648" t="inlineStr">
        <is>
          <t>113고4831</t>
        </is>
      </c>
      <c r="I4648" t="n">
        <v>23900000</v>
      </c>
      <c r="J4648" t="n">
        <v>0.045</v>
      </c>
      <c r="K4648" t="n">
        <v>1.1</v>
      </c>
      <c r="L4648" t="n">
        <v>0.4</v>
      </c>
      <c r="M4648" t="n">
        <v>0.7</v>
      </c>
      <c r="P4648" t="inlineStr">
        <is>
          <t>최혁</t>
        </is>
      </c>
      <c r="AB4648" t="inlineStr">
        <is>
          <t>엔카</t>
        </is>
      </c>
      <c r="AC4648" t="n">
        <v>262900</v>
      </c>
      <c r="AD4648" t="n">
        <v>95600</v>
      </c>
      <c r="AE4648" t="n">
        <v>167300</v>
      </c>
      <c r="AF4648" t="n">
        <v>239000</v>
      </c>
      <c r="AG4648" t="n">
        <v>92445.2</v>
      </c>
      <c r="AH4648" t="n">
        <v>146554.8</v>
      </c>
      <c r="AI4648" t="n">
        <v>0</v>
      </c>
    </row>
    <row r="4649">
      <c r="A4649" t="inlineStr">
        <is>
          <t>5월</t>
        </is>
      </c>
      <c r="B4649" t="inlineStr">
        <is>
          <t>22주차</t>
        </is>
      </c>
      <c r="C4649" t="inlineStr">
        <is>
          <t>IM</t>
        </is>
      </c>
      <c r="D4649" s="28" t="n">
        <v>46169</v>
      </c>
      <c r="E4649" t="inlineStr">
        <is>
          <t>IM캐피탈</t>
        </is>
      </c>
      <c r="F4649" t="inlineStr">
        <is>
          <t>황운필</t>
        </is>
      </c>
      <c r="G4649" t="inlineStr">
        <is>
          <t>010-8255-3228</t>
        </is>
      </c>
      <c r="H4649" t="inlineStr">
        <is>
          <t>29로7961</t>
        </is>
      </c>
      <c r="I4649" t="n">
        <v>19900000</v>
      </c>
      <c r="J4649" t="n">
        <v>0.07099999999999999</v>
      </c>
      <c r="K4649" t="n">
        <v>1.1</v>
      </c>
      <c r="L4649" t="n">
        <v>0.14</v>
      </c>
      <c r="M4649" t="n">
        <v>0.96</v>
      </c>
      <c r="P4649" t="inlineStr">
        <is>
          <t>김수연</t>
        </is>
      </c>
      <c r="Q4649" t="inlineStr">
        <is>
          <t>홈서비스 72개월</t>
        </is>
      </c>
      <c r="AB4649" t="inlineStr">
        <is>
          <t>홈서비스</t>
        </is>
      </c>
      <c r="AC4649" t="n">
        <v>218900</v>
      </c>
      <c r="AD4649" t="n">
        <v>27860</v>
      </c>
      <c r="AE4649" t="n">
        <v>191040</v>
      </c>
      <c r="AF4649" t="n">
        <v>199000</v>
      </c>
      <c r="AG4649" t="n">
        <v>26940.62</v>
      </c>
      <c r="AH4649" t="n">
        <v>172059.38</v>
      </c>
      <c r="AI4649" t="n">
        <v>0</v>
      </c>
    </row>
    <row r="4650">
      <c r="A4650" t="inlineStr">
        <is>
          <t>5월</t>
        </is>
      </c>
      <c r="B4650" t="inlineStr">
        <is>
          <t>22주차</t>
        </is>
      </c>
      <c r="C4650" t="inlineStr">
        <is>
          <t>EP</t>
        </is>
      </c>
      <c r="D4650" s="28" t="n">
        <v>46168</v>
      </c>
      <c r="E4650" t="inlineStr">
        <is>
          <t>현대EP</t>
        </is>
      </c>
      <c r="F4650" t="inlineStr">
        <is>
          <t>손영관</t>
        </is>
      </c>
      <c r="G4650" t="inlineStr">
        <is>
          <t>010-8618-0617</t>
        </is>
      </c>
      <c r="H4650" t="inlineStr">
        <is>
          <t>227소5900</t>
        </is>
      </c>
      <c r="I4650" t="n">
        <v>18700000</v>
      </c>
      <c r="J4650" t="n">
        <v>0.075</v>
      </c>
      <c r="K4650" t="n">
        <v>1.76</v>
      </c>
      <c r="L4650" t="n">
        <v>0.14</v>
      </c>
      <c r="M4650" t="n">
        <v>1.62</v>
      </c>
      <c r="P4650" t="inlineStr">
        <is>
          <t>황채이</t>
        </is>
      </c>
      <c r="AB4650" t="inlineStr">
        <is>
          <t>홈서비스</t>
        </is>
      </c>
      <c r="AC4650" t="n">
        <v>329120</v>
      </c>
      <c r="AD4650" t="n">
        <v>26180</v>
      </c>
      <c r="AE4650" t="n">
        <v>302940</v>
      </c>
      <c r="AF4650" t="n">
        <v>299200</v>
      </c>
      <c r="AG4650" t="n">
        <v>25316.06</v>
      </c>
      <c r="AH4650" t="n">
        <v>273883.94</v>
      </c>
      <c r="AI4650" t="n">
        <v>0</v>
      </c>
    </row>
    <row r="4651">
      <c r="A4651" t="inlineStr">
        <is>
          <t>5월</t>
        </is>
      </c>
      <c r="B4651" t="inlineStr">
        <is>
          <t>22주차</t>
        </is>
      </c>
      <c r="C4651" t="inlineStr">
        <is>
          <t>EP</t>
        </is>
      </c>
      <c r="D4651" s="28" t="n">
        <v>46169</v>
      </c>
      <c r="E4651" t="inlineStr">
        <is>
          <t>현대EP_fast</t>
        </is>
      </c>
      <c r="F4651" t="inlineStr">
        <is>
          <t>박문귀</t>
        </is>
      </c>
      <c r="G4651" t="inlineStr">
        <is>
          <t>010-9964-2333</t>
        </is>
      </c>
      <c r="H4651" t="inlineStr">
        <is>
          <t>108루8151</t>
        </is>
      </c>
      <c r="I4651" t="n">
        <v>20000000</v>
      </c>
      <c r="J4651" t="n">
        <v>0.08799999999999999</v>
      </c>
      <c r="K4651" t="n">
        <v>1.76</v>
      </c>
      <c r="L4651" t="n">
        <v>0.14</v>
      </c>
      <c r="M4651" t="n">
        <v>1.62</v>
      </c>
      <c r="P4651" t="inlineStr">
        <is>
          <t>황채이</t>
        </is>
      </c>
      <c r="Q4651" t="inlineStr">
        <is>
          <t>홈서비스 60개월</t>
        </is>
      </c>
      <c r="AB4651" t="inlineStr">
        <is>
          <t>홈서비스</t>
        </is>
      </c>
      <c r="AC4651" t="n">
        <v>352000</v>
      </c>
      <c r="AD4651" t="n">
        <v>28000</v>
      </c>
      <c r="AE4651" t="n">
        <v>324000</v>
      </c>
      <c r="AF4651" t="n">
        <v>320000</v>
      </c>
      <c r="AG4651" t="n">
        <v>27076</v>
      </c>
      <c r="AH4651" t="n">
        <v>292924</v>
      </c>
      <c r="AI4651" t="n">
        <v>0</v>
      </c>
    </row>
    <row r="4652">
      <c r="A4652" t="inlineStr">
        <is>
          <t>5월</t>
        </is>
      </c>
      <c r="B4652" t="inlineStr">
        <is>
          <t>22주차</t>
        </is>
      </c>
      <c r="C4652" t="inlineStr">
        <is>
          <t>EP</t>
        </is>
      </c>
      <c r="D4652" s="28" t="n">
        <v>46169</v>
      </c>
      <c r="E4652" t="inlineStr">
        <is>
          <t>현대EP_fast</t>
        </is>
      </c>
      <c r="F4652" t="inlineStr">
        <is>
          <t>김향숙</t>
        </is>
      </c>
      <c r="G4652" t="inlineStr">
        <is>
          <t>010-3393-6856</t>
        </is>
      </c>
      <c r="H4652" t="inlineStr">
        <is>
          <t>159저1368</t>
        </is>
      </c>
      <c r="I4652" t="n">
        <v>4000000</v>
      </c>
      <c r="J4652" t="n">
        <v>0.062</v>
      </c>
      <c r="K4652" t="n">
        <v>1.76</v>
      </c>
      <c r="L4652" t="n">
        <v>0.14</v>
      </c>
      <c r="M4652" t="n">
        <v>1.62</v>
      </c>
      <c r="P4652" t="inlineStr">
        <is>
          <t>황채이</t>
        </is>
      </c>
      <c r="Q4652" t="inlineStr">
        <is>
          <t xml:space="preserve">홈서비스 24개월 </t>
        </is>
      </c>
      <c r="AB4652" t="inlineStr">
        <is>
          <t>홈서비스</t>
        </is>
      </c>
      <c r="AC4652" t="n">
        <v>70400</v>
      </c>
      <c r="AD4652" t="n">
        <v>5600</v>
      </c>
      <c r="AE4652" t="n">
        <v>64800</v>
      </c>
      <c r="AF4652" t="n">
        <v>64000</v>
      </c>
      <c r="AG4652" t="n">
        <v>5415.2</v>
      </c>
      <c r="AH4652" t="n">
        <v>58584.8</v>
      </c>
      <c r="AI4652" t="n">
        <v>0</v>
      </c>
    </row>
    <row r="4653">
      <c r="A4653" t="inlineStr">
        <is>
          <t>5월</t>
        </is>
      </c>
      <c r="B4653" t="inlineStr">
        <is>
          <t>22주차</t>
        </is>
      </c>
      <c r="C4653" t="inlineStr">
        <is>
          <t>EP</t>
        </is>
      </c>
      <c r="D4653" s="28" t="n">
        <v>46169</v>
      </c>
      <c r="E4653" t="inlineStr">
        <is>
          <t>현대EP_fast</t>
        </is>
      </c>
      <c r="F4653" t="inlineStr">
        <is>
          <t xml:space="preserve"> 황승민</t>
        </is>
      </c>
      <c r="G4653" t="inlineStr">
        <is>
          <t>010-9400-3951</t>
        </is>
      </c>
      <c r="H4653" t="inlineStr">
        <is>
          <t>108저2092</t>
        </is>
      </c>
      <c r="I4653" t="n">
        <v>10500000</v>
      </c>
      <c r="J4653" t="n">
        <v>0.099</v>
      </c>
      <c r="K4653" t="n">
        <v>1.76</v>
      </c>
      <c r="L4653" t="n">
        <v>0.5</v>
      </c>
      <c r="M4653" t="n">
        <v>1.26</v>
      </c>
      <c r="P4653" t="inlineStr">
        <is>
          <t>임대경</t>
        </is>
      </c>
      <c r="AB4653" t="inlineStr">
        <is>
          <t>엔카</t>
        </is>
      </c>
      <c r="AC4653" t="n">
        <v>184800</v>
      </c>
      <c r="AD4653" t="n">
        <v>52500</v>
      </c>
      <c r="AE4653" t="n">
        <v>132300</v>
      </c>
      <c r="AF4653" t="n">
        <v>168000</v>
      </c>
      <c r="AG4653" t="n">
        <v>50767.5</v>
      </c>
      <c r="AH4653" t="n">
        <v>117232.5</v>
      </c>
      <c r="AI4653" t="n">
        <v>0</v>
      </c>
    </row>
    <row r="4654">
      <c r="A4654" t="inlineStr">
        <is>
          <t>5월</t>
        </is>
      </c>
      <c r="B4654" t="inlineStr">
        <is>
          <t>22주차</t>
        </is>
      </c>
      <c r="C4654" t="inlineStr">
        <is>
          <t>IM</t>
        </is>
      </c>
      <c r="D4654" s="28" t="n">
        <v>46169</v>
      </c>
      <c r="E4654" t="inlineStr">
        <is>
          <t>IM캐피탈</t>
        </is>
      </c>
      <c r="F4654" t="inlineStr">
        <is>
          <t>김용주</t>
        </is>
      </c>
      <c r="G4654" t="inlineStr">
        <is>
          <t>010-5552-5218</t>
        </is>
      </c>
      <c r="H4654" t="inlineStr">
        <is>
          <t>265주4221</t>
        </is>
      </c>
      <c r="I4654" t="n">
        <v>37800000</v>
      </c>
      <c r="J4654" t="n">
        <v>0.049</v>
      </c>
      <c r="K4654" t="n">
        <v>1.1</v>
      </c>
      <c r="L4654" t="n">
        <v>0.14</v>
      </c>
      <c r="M4654" t="n">
        <v>0.96</v>
      </c>
      <c r="P4654" t="inlineStr">
        <is>
          <t>황채이</t>
        </is>
      </c>
      <c r="Q4654" t="inlineStr">
        <is>
          <t>홈서비스 60개월 / 부대비용 추가진행</t>
        </is>
      </c>
      <c r="AB4654" t="inlineStr">
        <is>
          <t>홈서비스</t>
        </is>
      </c>
      <c r="AC4654" t="n">
        <v>415800</v>
      </c>
      <c r="AD4654" t="n">
        <v>52920</v>
      </c>
      <c r="AE4654" t="n">
        <v>362880</v>
      </c>
      <c r="AF4654" t="n">
        <v>378000</v>
      </c>
      <c r="AG4654" t="n">
        <v>51173.64</v>
      </c>
      <c r="AH4654" t="n">
        <v>326826.36</v>
      </c>
    </row>
    <row r="4655">
      <c r="A4655" t="inlineStr">
        <is>
          <t>5월</t>
        </is>
      </c>
      <c r="B4655" t="inlineStr">
        <is>
          <t>22주차</t>
        </is>
      </c>
      <c r="C4655" t="inlineStr">
        <is>
          <t>EP</t>
        </is>
      </c>
      <c r="D4655" s="28" t="n">
        <v>46169</v>
      </c>
      <c r="E4655" t="inlineStr">
        <is>
          <t>현대EP_fast</t>
        </is>
      </c>
      <c r="F4655" t="inlineStr">
        <is>
          <t>김민관</t>
        </is>
      </c>
      <c r="G4655" t="inlineStr">
        <is>
          <t>010-7678-4601</t>
        </is>
      </c>
      <c r="H4655" t="inlineStr">
        <is>
          <t>149러6198</t>
        </is>
      </c>
      <c r="I4655" t="n">
        <v>14900000</v>
      </c>
      <c r="J4655" t="n">
        <v>0.139</v>
      </c>
      <c r="K4655" t="n">
        <v>1.76</v>
      </c>
      <c r="L4655" t="n">
        <v>0.14</v>
      </c>
      <c r="M4655" t="n">
        <v>1.62</v>
      </c>
      <c r="P4655" t="inlineStr">
        <is>
          <t>황채이</t>
        </is>
      </c>
      <c r="Q4655" t="inlineStr">
        <is>
          <t>홈서비스 48개월</t>
        </is>
      </c>
      <c r="AB4655" t="inlineStr">
        <is>
          <t>홈서비스</t>
        </is>
      </c>
      <c r="AC4655" t="n">
        <v>262240</v>
      </c>
      <c r="AD4655" t="n">
        <v>20860</v>
      </c>
      <c r="AE4655" t="n">
        <v>241380</v>
      </c>
      <c r="AF4655" t="n">
        <v>238400</v>
      </c>
      <c r="AG4655" t="n">
        <v>20171.62</v>
      </c>
      <c r="AH4655" t="n">
        <v>218228.38</v>
      </c>
    </row>
    <row r="4656">
      <c r="A4656" t="inlineStr">
        <is>
          <t>5월</t>
        </is>
      </c>
      <c r="B4656" t="inlineStr">
        <is>
          <t>22주차</t>
        </is>
      </c>
      <c r="C4656" t="inlineStr">
        <is>
          <t>IM</t>
        </is>
      </c>
      <c r="D4656" s="28" t="n">
        <v>46169</v>
      </c>
      <c r="E4656" t="inlineStr">
        <is>
          <t>IM캐피탈</t>
        </is>
      </c>
      <c r="F4656" t="inlineStr">
        <is>
          <t>신태웅</t>
        </is>
      </c>
      <c r="G4656" t="inlineStr">
        <is>
          <t>010-4538-4970</t>
        </is>
      </c>
      <c r="H4656" t="inlineStr">
        <is>
          <t>167구3828</t>
        </is>
      </c>
      <c r="I4656" t="n">
        <v>11500000</v>
      </c>
      <c r="J4656" t="n">
        <v>0.063</v>
      </c>
      <c r="K4656" t="n">
        <v>1.1</v>
      </c>
      <c r="L4656" t="n">
        <v>0.4</v>
      </c>
      <c r="M4656" t="n">
        <v>0.7</v>
      </c>
      <c r="P4656" t="inlineStr">
        <is>
          <t>최혁</t>
        </is>
      </c>
      <c r="Q4656" t="inlineStr">
        <is>
          <t>부대비용진행</t>
        </is>
      </c>
      <c r="AB4656" t="inlineStr">
        <is>
          <t>엔카</t>
        </is>
      </c>
      <c r="AC4656" t="n">
        <v>126500</v>
      </c>
      <c r="AD4656" t="n">
        <v>46000</v>
      </c>
      <c r="AE4656" t="n">
        <v>80500</v>
      </c>
      <c r="AF4656" t="n">
        <v>115000</v>
      </c>
      <c r="AG4656" t="n">
        <v>44482</v>
      </c>
      <c r="AH4656" t="n">
        <v>70518</v>
      </c>
      <c r="AI4656" t="n">
        <v>0</v>
      </c>
    </row>
    <row r="4657">
      <c r="A4657" t="inlineStr">
        <is>
          <t>5월</t>
        </is>
      </c>
      <c r="B4657" t="inlineStr">
        <is>
          <t>22주차</t>
        </is>
      </c>
      <c r="C4657" t="inlineStr">
        <is>
          <t>IM</t>
        </is>
      </c>
      <c r="D4657" s="28" t="n">
        <v>46169</v>
      </c>
      <c r="E4657" t="inlineStr">
        <is>
          <t>IM캐피탈</t>
        </is>
      </c>
      <c r="F4657" t="inlineStr">
        <is>
          <t>우진범</t>
        </is>
      </c>
      <c r="G4657" t="inlineStr">
        <is>
          <t>010-9210-1761</t>
        </is>
      </c>
      <c r="H4657" t="inlineStr">
        <is>
          <t>245나2295</t>
        </is>
      </c>
      <c r="I4657" t="n">
        <v>60000000</v>
      </c>
      <c r="J4657" t="n">
        <v>0.045</v>
      </c>
      <c r="K4657" t="n">
        <v>1.1</v>
      </c>
      <c r="L4657" t="n">
        <v>0.4</v>
      </c>
      <c r="M4657" t="n">
        <v>0.7</v>
      </c>
      <c r="P4657" t="inlineStr">
        <is>
          <t>구성완</t>
        </is>
      </c>
      <c r="Q4657" t="inlineStr">
        <is>
          <t>부대비용진행</t>
        </is>
      </c>
      <c r="AB4657" t="inlineStr">
        <is>
          <t>엔카</t>
        </is>
      </c>
      <c r="AC4657" t="n">
        <v>660000</v>
      </c>
      <c r="AD4657" t="n">
        <v>240000</v>
      </c>
      <c r="AE4657" t="n">
        <v>420000</v>
      </c>
      <c r="AF4657" t="n">
        <v>600000</v>
      </c>
      <c r="AG4657" t="n">
        <v>232080</v>
      </c>
      <c r="AH4657" t="n">
        <v>367920</v>
      </c>
      <c r="AI4657" t="n">
        <v>0</v>
      </c>
    </row>
    <row r="4658">
      <c r="A4658" t="inlineStr">
        <is>
          <t>5월</t>
        </is>
      </c>
      <c r="B4658" t="inlineStr">
        <is>
          <t>22주차</t>
        </is>
      </c>
      <c r="C4658" t="inlineStr">
        <is>
          <t>EP</t>
        </is>
      </c>
      <c r="D4658" s="28" t="n">
        <v>46169</v>
      </c>
      <c r="E4658" t="inlineStr">
        <is>
          <t>BNKEP</t>
        </is>
      </c>
      <c r="F4658" t="inlineStr">
        <is>
          <t>김설진</t>
        </is>
      </c>
      <c r="G4658" t="inlineStr">
        <is>
          <t>010-9879-1323</t>
        </is>
      </c>
      <c r="H4658" t="inlineStr">
        <is>
          <t>29주6324</t>
        </is>
      </c>
      <c r="I4658" t="n">
        <v>41900000</v>
      </c>
      <c r="J4658" t="n">
        <v>0.077</v>
      </c>
      <c r="K4658" t="n">
        <v>1.65</v>
      </c>
      <c r="L4658" t="n">
        <v>0.14</v>
      </c>
      <c r="M4658" t="n">
        <v>1.51</v>
      </c>
      <c r="P4658" t="inlineStr">
        <is>
          <t>구성완</t>
        </is>
      </c>
      <c r="Q4658" t="inlineStr">
        <is>
          <t>안심거래존건</t>
        </is>
      </c>
      <c r="AB4658" t="inlineStr">
        <is>
          <t>믿고</t>
        </is>
      </c>
      <c r="AC4658" t="n">
        <v>691350</v>
      </c>
      <c r="AD4658" t="n">
        <v>58660</v>
      </c>
      <c r="AE4658" t="n">
        <v>632690</v>
      </c>
      <c r="AF4658" t="n">
        <v>628500</v>
      </c>
      <c r="AG4658" t="n">
        <v>56724.22</v>
      </c>
      <c r="AH4658" t="n">
        <v>571775.78</v>
      </c>
      <c r="AI4658" t="n">
        <v>0</v>
      </c>
    </row>
    <row r="4659">
      <c r="A4659" t="inlineStr">
        <is>
          <t>4월</t>
        </is>
      </c>
      <c r="B4659" t="inlineStr">
        <is>
          <t>16주차</t>
        </is>
      </c>
      <c r="C4659" t="inlineStr">
        <is>
          <t>EP</t>
        </is>
      </c>
      <c r="D4659" s="28" t="n">
        <v>46125</v>
      </c>
      <c r="E4659" t="inlineStr">
        <is>
          <t>현대EP</t>
        </is>
      </c>
      <c r="F4659" t="inlineStr">
        <is>
          <t>이정환</t>
        </is>
      </c>
      <c r="G4659" t="inlineStr">
        <is>
          <t>010-3656-1225</t>
        </is>
      </c>
      <c r="H4659" t="inlineStr">
        <is>
          <t>177버7094</t>
        </is>
      </c>
      <c r="I4659" t="n">
        <v>20000000</v>
      </c>
      <c r="J4659" t="n">
        <v>0.07099999999999999</v>
      </c>
      <c r="K4659" t="n">
        <v>1.76</v>
      </c>
      <c r="L4659" t="n">
        <v>0.2</v>
      </c>
      <c r="M4659" t="n">
        <v>1.56</v>
      </c>
      <c r="P4659" t="inlineStr">
        <is>
          <t>김나윤</t>
        </is>
      </c>
      <c r="Q4659" t="inlineStr">
        <is>
          <t>홈서비스 60개월</t>
        </is>
      </c>
      <c r="AB4659" t="inlineStr">
        <is>
          <t>홈서비스</t>
        </is>
      </c>
      <c r="AC4659" t="n">
        <v>352000</v>
      </c>
      <c r="AD4659" t="n">
        <v>40000</v>
      </c>
      <c r="AE4659" t="n">
        <v>312000</v>
      </c>
      <c r="AF4659" t="n">
        <v>320000</v>
      </c>
      <c r="AG4659" t="n">
        <v>38680</v>
      </c>
      <c r="AH4659" t="n">
        <v>281320</v>
      </c>
    </row>
    <row r="4660">
      <c r="A4660" t="inlineStr">
        <is>
          <t>4월</t>
        </is>
      </c>
      <c r="B4660" t="inlineStr">
        <is>
          <t>16주차</t>
        </is>
      </c>
      <c r="C4660" t="inlineStr">
        <is>
          <t>EP</t>
        </is>
      </c>
      <c r="D4660" s="28" t="n">
        <v>46127</v>
      </c>
      <c r="E4660" t="inlineStr">
        <is>
          <t>BNKEP</t>
        </is>
      </c>
      <c r="F4660" t="inlineStr">
        <is>
          <t>김준구</t>
        </is>
      </c>
      <c r="G4660" t="inlineStr">
        <is>
          <t>010-6678-3242</t>
        </is>
      </c>
      <c r="H4660" t="inlineStr">
        <is>
          <t>38더1927</t>
        </is>
      </c>
      <c r="I4660" t="n">
        <v>50000000</v>
      </c>
      <c r="J4660" t="n">
        <v>0.117</v>
      </c>
      <c r="K4660" t="n">
        <v>1.65</v>
      </c>
      <c r="L4660" t="n">
        <v>0.07000000000000001</v>
      </c>
      <c r="M4660" t="n">
        <v>1.58</v>
      </c>
      <c r="P4660" t="inlineStr">
        <is>
          <t>정세빈</t>
        </is>
      </c>
      <c r="Q4660" t="inlineStr">
        <is>
          <t>홈서비스 60개월</t>
        </is>
      </c>
      <c r="AB4660" t="inlineStr">
        <is>
          <t>홈서비스</t>
        </is>
      </c>
      <c r="AC4660" t="n">
        <v>825000</v>
      </c>
      <c r="AD4660" t="n">
        <v>35000</v>
      </c>
      <c r="AE4660" t="n">
        <v>790000</v>
      </c>
      <c r="AF4660" t="n">
        <v>750000</v>
      </c>
      <c r="AG4660" t="n">
        <v>33845</v>
      </c>
      <c r="AH4660" t="n">
        <v>716155</v>
      </c>
      <c r="AI4660" t="n">
        <v>0</v>
      </c>
    </row>
    <row r="4661">
      <c r="A4661" t="inlineStr">
        <is>
          <t>4월</t>
        </is>
      </c>
      <c r="B4661" t="inlineStr">
        <is>
          <t>17주차</t>
        </is>
      </c>
      <c r="C4661" t="inlineStr">
        <is>
          <t>EP</t>
        </is>
      </c>
      <c r="D4661" s="28" t="n">
        <v>46134</v>
      </c>
      <c r="E4661" t="inlineStr">
        <is>
          <t>현대EP</t>
        </is>
      </c>
      <c r="F4661" t="inlineStr">
        <is>
          <t>이명주</t>
        </is>
      </c>
      <c r="G4661" t="inlineStr">
        <is>
          <t>010-6314-9229</t>
        </is>
      </c>
      <c r="H4661" t="inlineStr">
        <is>
          <t>108주5121</t>
        </is>
      </c>
      <c r="I4661" t="n">
        <v>42900000</v>
      </c>
      <c r="J4661" t="n">
        <v>0.07099999999999999</v>
      </c>
      <c r="K4661" t="n">
        <v>1.76</v>
      </c>
      <c r="L4661" t="n">
        <v>0.2</v>
      </c>
      <c r="M4661" t="n">
        <v>1.56</v>
      </c>
      <c r="P4661" t="inlineStr">
        <is>
          <t>황채이</t>
        </is>
      </c>
      <c r="Q4661" t="inlineStr">
        <is>
          <t>홈서비스 60개월</t>
        </is>
      </c>
      <c r="AB4661" t="inlineStr">
        <is>
          <t>홈서비스</t>
        </is>
      </c>
      <c r="AC4661" t="n">
        <v>755040</v>
      </c>
      <c r="AD4661" t="n">
        <v>85800</v>
      </c>
      <c r="AE4661" t="n">
        <v>669240</v>
      </c>
      <c r="AF4661" t="n">
        <v>686400</v>
      </c>
      <c r="AG4661" t="n">
        <v>82968.60000000001</v>
      </c>
      <c r="AH4661" t="n">
        <v>603431.4</v>
      </c>
      <c r="AI4661" t="n">
        <v>0</v>
      </c>
    </row>
    <row r="4662">
      <c r="A4662" t="inlineStr">
        <is>
          <t>4월</t>
        </is>
      </c>
      <c r="B4662" t="inlineStr">
        <is>
          <t>16주차</t>
        </is>
      </c>
      <c r="C4662" t="inlineStr">
        <is>
          <t>EP</t>
        </is>
      </c>
      <c r="D4662" s="28" t="n">
        <v>46129</v>
      </c>
      <c r="E4662" t="inlineStr">
        <is>
          <t>현대EP_fast</t>
        </is>
      </c>
      <c r="F4662" t="inlineStr">
        <is>
          <t>김덕영</t>
        </is>
      </c>
      <c r="G4662" t="inlineStr">
        <is>
          <t>010-2029-5158</t>
        </is>
      </c>
      <c r="H4662" t="inlineStr">
        <is>
          <t>276너9208</t>
        </is>
      </c>
      <c r="I4662" t="n">
        <v>3000000</v>
      </c>
      <c r="J4662" t="n">
        <v>0.09</v>
      </c>
      <c r="K4662" t="n">
        <v>1.76</v>
      </c>
      <c r="L4662" t="n">
        <v>0.2</v>
      </c>
      <c r="M4662" t="n">
        <v>1.56</v>
      </c>
      <c r="P4662" t="inlineStr">
        <is>
          <t>정광호</t>
        </is>
      </c>
      <c r="Q4662" t="inlineStr">
        <is>
          <t>홈서비스 36개월</t>
        </is>
      </c>
      <c r="AB4662" t="inlineStr">
        <is>
          <t>홈서비스</t>
        </is>
      </c>
      <c r="AC4662" t="n">
        <v>52800</v>
      </c>
      <c r="AD4662" t="n">
        <v>6000</v>
      </c>
      <c r="AE4662" t="n">
        <v>46800</v>
      </c>
      <c r="AF4662" t="n">
        <v>48000</v>
      </c>
      <c r="AG4662" t="n">
        <v>5802</v>
      </c>
      <c r="AH4662" t="n">
        <v>42198</v>
      </c>
    </row>
    <row r="4663">
      <c r="A4663" t="inlineStr">
        <is>
          <t>4월</t>
        </is>
      </c>
      <c r="B4663" t="inlineStr">
        <is>
          <t>16주차</t>
        </is>
      </c>
      <c r="C4663" t="inlineStr">
        <is>
          <t>EP</t>
        </is>
      </c>
      <c r="D4663" s="28" t="n">
        <v>46127</v>
      </c>
      <c r="E4663" t="inlineStr">
        <is>
          <t>현대EP_fast</t>
        </is>
      </c>
      <c r="F4663" t="inlineStr">
        <is>
          <t>여하린</t>
        </is>
      </c>
      <c r="G4663" t="inlineStr">
        <is>
          <t>010-7174-5235</t>
        </is>
      </c>
      <c r="H4663" t="inlineStr">
        <is>
          <t>27마0387</t>
        </is>
      </c>
      <c r="I4663" t="n">
        <v>14900000</v>
      </c>
      <c r="J4663" t="n">
        <v>0.127</v>
      </c>
      <c r="K4663" t="n">
        <v>1.76</v>
      </c>
      <c r="L4663" t="n">
        <v>0.2</v>
      </c>
      <c r="M4663" t="n">
        <v>1.56</v>
      </c>
      <c r="P4663" t="inlineStr">
        <is>
          <t>정광호</t>
        </is>
      </c>
      <c r="Q4663" t="inlineStr">
        <is>
          <t>홈서비스 48개월</t>
        </is>
      </c>
      <c r="AB4663" t="inlineStr">
        <is>
          <t>홈서비스</t>
        </is>
      </c>
      <c r="AC4663" t="n">
        <v>262240</v>
      </c>
      <c r="AD4663" t="n">
        <v>29800</v>
      </c>
      <c r="AE4663" t="n">
        <v>232440</v>
      </c>
      <c r="AF4663" t="n">
        <v>238400</v>
      </c>
      <c r="AG4663" t="n">
        <v>28816.6</v>
      </c>
      <c r="AH4663" t="n">
        <v>209583.4</v>
      </c>
      <c r="AI4663" t="n">
        <v>0</v>
      </c>
    </row>
    <row r="4664">
      <c r="A4664" t="inlineStr">
        <is>
          <t>4월</t>
        </is>
      </c>
      <c r="B4664" t="inlineStr">
        <is>
          <t>15주차</t>
        </is>
      </c>
      <c r="C4664" t="inlineStr">
        <is>
          <t>IM</t>
        </is>
      </c>
      <c r="D4664" s="28" t="n">
        <v>46119</v>
      </c>
      <c r="E4664" t="inlineStr">
        <is>
          <t>IM캐피탈</t>
        </is>
      </c>
      <c r="F4664" t="inlineStr">
        <is>
          <t>곽광은</t>
        </is>
      </c>
      <c r="G4664" t="inlineStr">
        <is>
          <t>010-2545-6301</t>
        </is>
      </c>
      <c r="H4664" t="inlineStr">
        <is>
          <t>52마3586</t>
        </is>
      </c>
      <c r="I4664" t="n">
        <v>-5200000</v>
      </c>
      <c r="J4664" t="n">
        <v>0.075</v>
      </c>
      <c r="K4664" t="n">
        <v>1.1</v>
      </c>
      <c r="L4664" t="n">
        <v>0</v>
      </c>
      <c r="M4664" t="n">
        <v>1.1</v>
      </c>
      <c r="P4664" t="inlineStr">
        <is>
          <t>임대경</t>
        </is>
      </c>
      <c r="AC4664" t="n">
        <v>-57200</v>
      </c>
      <c r="AD4664" t="n">
        <v>0</v>
      </c>
      <c r="AE4664" t="n">
        <v>-57200</v>
      </c>
      <c r="AF4664" t="n">
        <v>-52000</v>
      </c>
      <c r="AG4664" t="n">
        <v>0</v>
      </c>
      <c r="AH4664" t="n">
        <v>-52000</v>
      </c>
      <c r="AI4664" t="n">
        <v>0</v>
      </c>
    </row>
    <row r="4665">
      <c r="A4665" t="inlineStr">
        <is>
          <t>4월</t>
        </is>
      </c>
      <c r="B4665" t="inlineStr">
        <is>
          <t>15주차</t>
        </is>
      </c>
      <c r="C4665" t="inlineStr">
        <is>
          <t>IM</t>
        </is>
      </c>
      <c r="D4665" s="28" t="n">
        <v>46120</v>
      </c>
      <c r="E4665" t="inlineStr">
        <is>
          <t>IM캐피탈</t>
        </is>
      </c>
      <c r="F4665" t="inlineStr">
        <is>
          <t>권희수</t>
        </is>
      </c>
      <c r="G4665" t="inlineStr">
        <is>
          <t>010-8439-3737</t>
        </is>
      </c>
      <c r="H4665" t="inlineStr">
        <is>
          <t>294서7495</t>
        </is>
      </c>
      <c r="I4665" t="n">
        <v>-20000000</v>
      </c>
      <c r="J4665" t="n">
        <v>0.049</v>
      </c>
      <c r="K4665" t="n">
        <v>1.1</v>
      </c>
      <c r="L4665" t="n">
        <v>0</v>
      </c>
      <c r="M4665" t="n">
        <v>1.1</v>
      </c>
      <c r="P4665" t="inlineStr">
        <is>
          <t>황채이</t>
        </is>
      </c>
      <c r="AC4665" t="n">
        <v>-220000</v>
      </c>
      <c r="AD4665" t="n">
        <v>0</v>
      </c>
      <c r="AE4665" t="n">
        <v>-220000</v>
      </c>
      <c r="AF4665" t="n">
        <v>-200000</v>
      </c>
      <c r="AG4665" t="n">
        <v>0</v>
      </c>
      <c r="AH4665" t="n">
        <v>-200000</v>
      </c>
      <c r="AI4665" t="n">
        <v>0</v>
      </c>
    </row>
    <row r="4666">
      <c r="A4666" t="inlineStr">
        <is>
          <t>5월</t>
        </is>
      </c>
      <c r="B4666" t="inlineStr">
        <is>
          <t>22주차</t>
        </is>
      </c>
      <c r="C4666" t="inlineStr">
        <is>
          <t>EP</t>
        </is>
      </c>
      <c r="D4666" s="28" t="n">
        <v>46169</v>
      </c>
      <c r="E4666" t="inlineStr">
        <is>
          <t>현대EP</t>
        </is>
      </c>
      <c r="F4666" t="inlineStr">
        <is>
          <t>강은서</t>
        </is>
      </c>
      <c r="G4666" t="inlineStr">
        <is>
          <t>010-9254-7767</t>
        </is>
      </c>
      <c r="H4666" t="inlineStr">
        <is>
          <t>313루9843</t>
        </is>
      </c>
      <c r="I4666" t="n">
        <v>21900000</v>
      </c>
      <c r="J4666" t="n">
        <v>0.06900000000000001</v>
      </c>
      <c r="K4666" t="n">
        <v>1.76</v>
      </c>
      <c r="L4666" t="n">
        <v>0.14</v>
      </c>
      <c r="M4666" t="n">
        <v>1.62</v>
      </c>
      <c r="P4666" t="inlineStr">
        <is>
          <t>김나윤</t>
        </is>
      </c>
      <c r="AB4666" t="inlineStr">
        <is>
          <t>홈서비스</t>
        </is>
      </c>
      <c r="AC4666" t="n">
        <v>385440</v>
      </c>
      <c r="AD4666" t="n">
        <v>30660</v>
      </c>
      <c r="AE4666" t="n">
        <v>354780</v>
      </c>
      <c r="AF4666" t="n">
        <v>350400</v>
      </c>
      <c r="AG4666" t="n">
        <v>29648.22</v>
      </c>
      <c r="AH4666" t="n">
        <v>320751.78</v>
      </c>
      <c r="AI4666" t="n">
        <v>0</v>
      </c>
    </row>
    <row r="4667">
      <c r="A4667" t="inlineStr">
        <is>
          <t>5월</t>
        </is>
      </c>
      <c r="B4667" t="inlineStr">
        <is>
          <t>22주차</t>
        </is>
      </c>
      <c r="C4667" t="inlineStr">
        <is>
          <t>EP</t>
        </is>
      </c>
      <c r="D4667" s="28" t="n">
        <v>46169</v>
      </c>
      <c r="E4667" t="inlineStr">
        <is>
          <t>현대EP</t>
        </is>
      </c>
      <c r="F4667" t="inlineStr">
        <is>
          <t>김명호</t>
        </is>
      </c>
      <c r="G4667" t="inlineStr">
        <is>
          <t>010-9131-7378</t>
        </is>
      </c>
      <c r="H4667" t="inlineStr">
        <is>
          <t>198다9021</t>
        </is>
      </c>
      <c r="I4667" t="n">
        <v>14600000</v>
      </c>
      <c r="J4667" t="n">
        <v>0.089</v>
      </c>
      <c r="K4667" t="n">
        <v>1.76</v>
      </c>
      <c r="L4667" t="n">
        <v>0.14</v>
      </c>
      <c r="M4667" t="n">
        <v>1.62</v>
      </c>
      <c r="P4667" t="inlineStr">
        <is>
          <t>황채이</t>
        </is>
      </c>
      <c r="AB4667" t="inlineStr">
        <is>
          <t>홈서비스</t>
        </is>
      </c>
      <c r="AC4667" t="n">
        <v>256960</v>
      </c>
      <c r="AD4667" t="n">
        <v>20440</v>
      </c>
      <c r="AE4667" t="n">
        <v>236520</v>
      </c>
      <c r="AF4667" t="n">
        <v>233600</v>
      </c>
      <c r="AG4667" t="n">
        <v>19765.48</v>
      </c>
      <c r="AH4667" t="n">
        <v>213834.52</v>
      </c>
      <c r="AI4667" t="n">
        <v>0</v>
      </c>
    </row>
    <row r="4668">
      <c r="A4668" t="inlineStr">
        <is>
          <t>5월</t>
        </is>
      </c>
      <c r="B4668" t="inlineStr">
        <is>
          <t>22주차</t>
        </is>
      </c>
      <c r="C4668" t="inlineStr">
        <is>
          <t>EP</t>
        </is>
      </c>
      <c r="D4668" s="28" t="n">
        <v>46169</v>
      </c>
      <c r="E4668" t="inlineStr">
        <is>
          <t>현대EP</t>
        </is>
      </c>
      <c r="F4668" t="inlineStr">
        <is>
          <t>김상춘</t>
        </is>
      </c>
      <c r="G4668" t="inlineStr">
        <is>
          <t>010-3648-5689</t>
        </is>
      </c>
      <c r="H4668" t="inlineStr">
        <is>
          <t>62버8080</t>
        </is>
      </c>
      <c r="I4668" t="n">
        <v>4400000</v>
      </c>
      <c r="J4668" t="n">
        <v>0.062</v>
      </c>
      <c r="K4668" t="n">
        <v>1.76</v>
      </c>
      <c r="L4668" t="n">
        <v>0.14</v>
      </c>
      <c r="M4668" t="n">
        <v>1.62</v>
      </c>
      <c r="P4668" t="inlineStr">
        <is>
          <t>김나윤</t>
        </is>
      </c>
      <c r="AB4668" t="inlineStr">
        <is>
          <t>홈서비스</t>
        </is>
      </c>
      <c r="AC4668" t="n">
        <v>77440</v>
      </c>
      <c r="AD4668" t="n">
        <v>6160</v>
      </c>
      <c r="AE4668" t="n">
        <v>71280</v>
      </c>
      <c r="AF4668" t="n">
        <v>70400</v>
      </c>
      <c r="AG4668" t="n">
        <v>5956.72</v>
      </c>
      <c r="AH4668" t="n">
        <v>64443.28</v>
      </c>
      <c r="AI4668" t="n">
        <v>0</v>
      </c>
    </row>
    <row r="4669">
      <c r="A4669" t="inlineStr">
        <is>
          <t>5월</t>
        </is>
      </c>
      <c r="B4669" t="inlineStr">
        <is>
          <t>22주차</t>
        </is>
      </c>
      <c r="C4669" t="inlineStr">
        <is>
          <t>EP</t>
        </is>
      </c>
      <c r="D4669" s="28" t="n">
        <v>46169</v>
      </c>
      <c r="E4669" t="inlineStr">
        <is>
          <t>현대EP</t>
        </is>
      </c>
      <c r="F4669" t="inlineStr">
        <is>
          <t>윤상용</t>
        </is>
      </c>
      <c r="G4669" t="inlineStr">
        <is>
          <t>010-9011-9942</t>
        </is>
      </c>
      <c r="H4669" t="inlineStr">
        <is>
          <t>194무3024</t>
        </is>
      </c>
      <c r="I4669" t="n">
        <v>17900000</v>
      </c>
      <c r="J4669" t="n">
        <v>0.075</v>
      </c>
      <c r="K4669" t="n">
        <v>1.76</v>
      </c>
      <c r="L4669" t="n">
        <v>0.14</v>
      </c>
      <c r="M4669" t="n">
        <v>1.62</v>
      </c>
      <c r="P4669" t="inlineStr">
        <is>
          <t>황채이</t>
        </is>
      </c>
      <c r="AB4669" t="inlineStr">
        <is>
          <t>홈서비스</t>
        </is>
      </c>
      <c r="AC4669" t="n">
        <v>315040</v>
      </c>
      <c r="AD4669" t="n">
        <v>25060</v>
      </c>
      <c r="AE4669" t="n">
        <v>289980</v>
      </c>
      <c r="AF4669" t="n">
        <v>286400</v>
      </c>
      <c r="AG4669" t="n">
        <v>24233.02</v>
      </c>
      <c r="AH4669" t="n">
        <v>262166.98</v>
      </c>
      <c r="AI4669" t="n">
        <v>0</v>
      </c>
    </row>
    <row r="4670">
      <c r="A4670" t="inlineStr">
        <is>
          <t>5월</t>
        </is>
      </c>
      <c r="B4670" t="inlineStr">
        <is>
          <t>22주차</t>
        </is>
      </c>
      <c r="C4670" t="inlineStr">
        <is>
          <t>EP</t>
        </is>
      </c>
      <c r="D4670" s="28" t="n">
        <v>46169</v>
      </c>
      <c r="E4670" t="inlineStr">
        <is>
          <t>현대EP</t>
        </is>
      </c>
      <c r="F4670" t="inlineStr">
        <is>
          <t>이석훈</t>
        </is>
      </c>
      <c r="G4670" t="inlineStr">
        <is>
          <t>010-5139-4658</t>
        </is>
      </c>
      <c r="H4670" t="inlineStr">
        <is>
          <t>140구2322</t>
        </is>
      </c>
      <c r="I4670" t="n">
        <v>73500000</v>
      </c>
      <c r="J4670" t="n">
        <v>0.06900000000000001</v>
      </c>
      <c r="K4670" t="n">
        <v>1.76</v>
      </c>
      <c r="L4670" t="n">
        <v>0.14</v>
      </c>
      <c r="M4670" t="n">
        <v>1.62</v>
      </c>
      <c r="P4670" t="inlineStr">
        <is>
          <t>김수연</t>
        </is>
      </c>
      <c r="AB4670" t="inlineStr">
        <is>
          <t>홈서비스</t>
        </is>
      </c>
      <c r="AC4670" t="n">
        <v>1293600</v>
      </c>
      <c r="AD4670" t="n">
        <v>102900</v>
      </c>
      <c r="AE4670" t="n">
        <v>1190700</v>
      </c>
      <c r="AF4670" t="n">
        <v>1176000</v>
      </c>
      <c r="AG4670" t="n">
        <v>99504.3</v>
      </c>
      <c r="AH4670" t="n">
        <v>1076495.7</v>
      </c>
    </row>
    <row r="4671">
      <c r="A4671" t="inlineStr">
        <is>
          <t>5월</t>
        </is>
      </c>
      <c r="B4671" t="inlineStr">
        <is>
          <t>22주차</t>
        </is>
      </c>
      <c r="C4671" t="inlineStr">
        <is>
          <t>EP</t>
        </is>
      </c>
      <c r="D4671" s="28" t="n">
        <v>46169</v>
      </c>
      <c r="E4671" t="inlineStr">
        <is>
          <t>현대EP</t>
        </is>
      </c>
      <c r="F4671" t="inlineStr">
        <is>
          <t>전한수</t>
        </is>
      </c>
      <c r="G4671" t="inlineStr">
        <is>
          <t>010-2563-4525</t>
        </is>
      </c>
      <c r="H4671" t="inlineStr">
        <is>
          <t>152저2090</t>
        </is>
      </c>
      <c r="I4671" t="n">
        <v>32900000</v>
      </c>
      <c r="J4671" t="n">
        <v>0.08699999999999999</v>
      </c>
      <c r="K4671" t="n">
        <v>1.76</v>
      </c>
      <c r="L4671" t="n">
        <v>0.14</v>
      </c>
      <c r="M4671" t="n">
        <v>1.62</v>
      </c>
      <c r="P4671" t="inlineStr">
        <is>
          <t>황채이</t>
        </is>
      </c>
      <c r="AB4671" t="inlineStr">
        <is>
          <t>홈서비스</t>
        </is>
      </c>
      <c r="AC4671" t="n">
        <v>579040</v>
      </c>
      <c r="AD4671" t="n">
        <v>46060</v>
      </c>
      <c r="AE4671" t="n">
        <v>532980</v>
      </c>
      <c r="AF4671" t="n">
        <v>526400</v>
      </c>
      <c r="AG4671" t="n">
        <v>44540.02</v>
      </c>
      <c r="AH4671" t="n">
        <v>481859.98</v>
      </c>
      <c r="AI4671" t="n">
        <v>0</v>
      </c>
    </row>
    <row r="4672">
      <c r="A4672" t="inlineStr">
        <is>
          <t>5월</t>
        </is>
      </c>
      <c r="B4672" t="inlineStr">
        <is>
          <t>22주차</t>
        </is>
      </c>
      <c r="C4672" t="inlineStr">
        <is>
          <t>EP</t>
        </is>
      </c>
      <c r="D4672" s="28" t="n">
        <v>46169</v>
      </c>
      <c r="E4672" t="inlineStr">
        <is>
          <t>현대EP</t>
        </is>
      </c>
      <c r="F4672" t="inlineStr">
        <is>
          <t>조준원</t>
        </is>
      </c>
      <c r="G4672" t="inlineStr">
        <is>
          <t>010-8509-0704</t>
        </is>
      </c>
      <c r="H4672" t="inlineStr">
        <is>
          <t>133수5707</t>
        </is>
      </c>
      <c r="I4672" t="n">
        <v>29500000</v>
      </c>
      <c r="J4672" t="n">
        <v>0.089</v>
      </c>
      <c r="K4672" t="n">
        <v>1.76</v>
      </c>
      <c r="L4672" t="n">
        <v>0.14</v>
      </c>
      <c r="M4672" t="n">
        <v>1.62</v>
      </c>
      <c r="P4672" t="inlineStr">
        <is>
          <t>최혁</t>
        </is>
      </c>
      <c r="AB4672" t="inlineStr">
        <is>
          <t>홈서비스</t>
        </is>
      </c>
      <c r="AC4672" t="n">
        <v>519200</v>
      </c>
      <c r="AD4672" t="n">
        <v>41300</v>
      </c>
      <c r="AE4672" t="n">
        <v>477900</v>
      </c>
      <c r="AF4672" t="n">
        <v>472000</v>
      </c>
      <c r="AG4672" t="n">
        <v>39937.1</v>
      </c>
      <c r="AH4672" t="n">
        <v>432062.9</v>
      </c>
    </row>
    <row r="4673">
      <c r="A4673" t="inlineStr">
        <is>
          <t>5월</t>
        </is>
      </c>
      <c r="B4673" t="inlineStr">
        <is>
          <t>22주차</t>
        </is>
      </c>
      <c r="C4673" t="inlineStr">
        <is>
          <t>EP</t>
        </is>
      </c>
      <c r="D4673" s="28" t="n">
        <v>46169</v>
      </c>
      <c r="E4673" t="inlineStr">
        <is>
          <t>현대EP</t>
        </is>
      </c>
      <c r="F4673" t="inlineStr">
        <is>
          <t>지성제</t>
        </is>
      </c>
      <c r="G4673" t="inlineStr">
        <is>
          <t>010-2370-6960</t>
        </is>
      </c>
      <c r="H4673" t="inlineStr">
        <is>
          <t>06나6758</t>
        </is>
      </c>
      <c r="I4673" t="n">
        <v>8800000</v>
      </c>
      <c r="J4673" t="n">
        <v>0.074</v>
      </c>
      <c r="K4673" t="n">
        <v>1.76</v>
      </c>
      <c r="L4673" t="n">
        <v>0.14</v>
      </c>
      <c r="M4673" t="n">
        <v>1.62</v>
      </c>
      <c r="P4673" t="inlineStr">
        <is>
          <t>정세빈</t>
        </is>
      </c>
      <c r="AB4673" t="inlineStr">
        <is>
          <t>홈서비스</t>
        </is>
      </c>
      <c r="AC4673" t="n">
        <v>154880</v>
      </c>
      <c r="AD4673" t="n">
        <v>12320</v>
      </c>
      <c r="AE4673" t="n">
        <v>142560</v>
      </c>
      <c r="AF4673" t="n">
        <v>140800</v>
      </c>
      <c r="AG4673" t="n">
        <v>11913.44</v>
      </c>
      <c r="AH4673" t="n">
        <v>128886.56</v>
      </c>
    </row>
    <row r="4674">
      <c r="A4674" t="inlineStr">
        <is>
          <t>5월</t>
        </is>
      </c>
      <c r="B4674" t="inlineStr">
        <is>
          <t>22주차</t>
        </is>
      </c>
      <c r="C4674" t="inlineStr">
        <is>
          <t>EP</t>
        </is>
      </c>
      <c r="D4674" s="28" t="n">
        <v>46170</v>
      </c>
      <c r="E4674" t="inlineStr">
        <is>
          <t>현대EP_fast</t>
        </is>
      </c>
      <c r="F4674" t="inlineStr">
        <is>
          <t>손지우</t>
        </is>
      </c>
      <c r="G4674" t="inlineStr">
        <is>
          <t>010-6690-3932</t>
        </is>
      </c>
      <c r="H4674" t="inlineStr">
        <is>
          <t>66가1546</t>
        </is>
      </c>
      <c r="I4674" t="n">
        <v>17200000</v>
      </c>
      <c r="J4674" t="n">
        <v>0.105</v>
      </c>
      <c r="K4674" t="n">
        <v>1.76</v>
      </c>
      <c r="L4674" t="n">
        <v>0.14</v>
      </c>
      <c r="M4674" t="n">
        <v>1.62</v>
      </c>
      <c r="P4674" t="inlineStr">
        <is>
          <t>김나윤</t>
        </is>
      </c>
      <c r="Q4674" t="inlineStr">
        <is>
          <t>홈서비스 60개월</t>
        </is>
      </c>
      <c r="AB4674" t="inlineStr">
        <is>
          <t>홈서비스</t>
        </is>
      </c>
      <c r="AC4674" t="n">
        <v>302720</v>
      </c>
      <c r="AD4674" t="n">
        <v>24080</v>
      </c>
      <c r="AE4674" t="n">
        <v>278640</v>
      </c>
      <c r="AF4674" t="n">
        <v>275200</v>
      </c>
      <c r="AG4674" t="n">
        <v>23285.36</v>
      </c>
      <c r="AH4674" t="n">
        <v>251914.64</v>
      </c>
    </row>
    <row r="4675">
      <c r="A4675" t="inlineStr">
        <is>
          <t>5월</t>
        </is>
      </c>
      <c r="B4675" t="inlineStr">
        <is>
          <t>22주차</t>
        </is>
      </c>
      <c r="C4675" t="inlineStr">
        <is>
          <t>HC</t>
        </is>
      </c>
      <c r="D4675" s="28" t="n">
        <v>46170</v>
      </c>
      <c r="E4675" t="inlineStr">
        <is>
          <t>하나캐피탈</t>
        </is>
      </c>
      <c r="F4675" t="inlineStr">
        <is>
          <t>정민정</t>
        </is>
      </c>
      <c r="G4675" t="inlineStr">
        <is>
          <t>010-8822-2762</t>
        </is>
      </c>
      <c r="H4675" t="inlineStr">
        <is>
          <t>143거8825</t>
        </is>
      </c>
      <c r="I4675" t="n">
        <v>16600000</v>
      </c>
      <c r="J4675" t="n">
        <v>0.059</v>
      </c>
      <c r="K4675" t="n">
        <v>2.2</v>
      </c>
      <c r="L4675" t="n">
        <v>0.14</v>
      </c>
      <c r="M4675" t="n">
        <v>2.06</v>
      </c>
      <c r="P4675" t="inlineStr">
        <is>
          <t>정세빈</t>
        </is>
      </c>
      <c r="Q4675" t="inlineStr">
        <is>
          <t>홈서비스 60개월</t>
        </is>
      </c>
      <c r="AB4675" t="inlineStr">
        <is>
          <t>홈서비스</t>
        </is>
      </c>
      <c r="AC4675" t="n">
        <v>365200</v>
      </c>
      <c r="AD4675" t="n">
        <v>23240</v>
      </c>
      <c r="AE4675" t="n">
        <v>341960</v>
      </c>
      <c r="AF4675" t="n">
        <v>332000</v>
      </c>
      <c r="AG4675" t="n">
        <v>22473.08</v>
      </c>
      <c r="AH4675" t="n">
        <v>309526.92</v>
      </c>
    </row>
    <row r="4676">
      <c r="A4676" t="inlineStr">
        <is>
          <t>5월</t>
        </is>
      </c>
      <c r="B4676" t="inlineStr">
        <is>
          <t>22주차</t>
        </is>
      </c>
      <c r="C4676" t="inlineStr">
        <is>
          <t>EP</t>
        </is>
      </c>
      <c r="D4676" s="28" t="n">
        <v>46170</v>
      </c>
      <c r="E4676" t="inlineStr">
        <is>
          <t>BNKEP</t>
        </is>
      </c>
      <c r="F4676" t="inlineStr">
        <is>
          <t>송정안</t>
        </is>
      </c>
      <c r="G4676" t="inlineStr">
        <is>
          <t>010-5095-0337</t>
        </is>
      </c>
      <c r="H4676" t="inlineStr">
        <is>
          <t>348어4788</t>
        </is>
      </c>
      <c r="I4676" t="n">
        <v>23700000</v>
      </c>
      <c r="J4676" t="n">
        <v>0.081</v>
      </c>
      <c r="K4676" t="n">
        <v>1.65</v>
      </c>
      <c r="L4676" t="n">
        <v>0.4</v>
      </c>
      <c r="M4676" t="n">
        <v>1.25</v>
      </c>
      <c r="P4676" t="inlineStr">
        <is>
          <t>박소현</t>
        </is>
      </c>
      <c r="Q4676" t="inlineStr">
        <is>
          <t>공동명의 / 부대비용추가진행</t>
        </is>
      </c>
      <c r="AB4676" t="inlineStr">
        <is>
          <t>엔카</t>
        </is>
      </c>
      <c r="AC4676" t="n">
        <v>391050</v>
      </c>
      <c r="AD4676" t="n">
        <v>94800</v>
      </c>
      <c r="AE4676" t="n">
        <v>296250</v>
      </c>
      <c r="AF4676" t="n">
        <v>355500</v>
      </c>
      <c r="AG4676" t="n">
        <v>91671.60000000001</v>
      </c>
      <c r="AH4676" t="n">
        <v>263828.4</v>
      </c>
      <c r="AI4676" t="n">
        <v>0</v>
      </c>
    </row>
    <row r="4677">
      <c r="A4677" t="inlineStr">
        <is>
          <t>4월</t>
        </is>
      </c>
      <c r="B4677" t="inlineStr">
        <is>
          <t>18주차</t>
        </is>
      </c>
      <c r="C4677" t="inlineStr">
        <is>
          <t>HC</t>
        </is>
      </c>
      <c r="D4677" s="28" t="n">
        <v>46142</v>
      </c>
      <c r="E4677" t="inlineStr">
        <is>
          <t>하나캐피탈</t>
        </is>
      </c>
      <c r="F4677" t="inlineStr">
        <is>
          <t>조규식</t>
        </is>
      </c>
      <c r="G4677" t="inlineStr">
        <is>
          <t>010-3446-3612</t>
        </is>
      </c>
      <c r="H4677" t="inlineStr">
        <is>
          <t>03모9339</t>
        </is>
      </c>
      <c r="I4677" t="n">
        <v>-25400000</v>
      </c>
      <c r="J4677" t="n">
        <v>0.065</v>
      </c>
      <c r="K4677" t="n">
        <v>2.2</v>
      </c>
      <c r="L4677" t="n">
        <v>0.07000000000000001</v>
      </c>
      <c r="M4677" t="n">
        <v>2.13</v>
      </c>
      <c r="P4677" t="inlineStr">
        <is>
          <t>김수연</t>
        </is>
      </c>
      <c r="Q4677" t="inlineStr">
        <is>
          <t>홈서비스 36개월</t>
        </is>
      </c>
      <c r="AB4677" t="inlineStr">
        <is>
          <t>홈서비스</t>
        </is>
      </c>
      <c r="AC4677" t="n">
        <v>-558800</v>
      </c>
      <c r="AD4677" t="n">
        <v>-17780</v>
      </c>
      <c r="AE4677" t="n">
        <v>-541020</v>
      </c>
      <c r="AF4677" t="n">
        <v>-508000</v>
      </c>
      <c r="AG4677" t="n">
        <v>-17193.26</v>
      </c>
      <c r="AH4677" t="n">
        <v>-490806.74</v>
      </c>
    </row>
    <row r="4678">
      <c r="A4678" t="inlineStr">
        <is>
          <t>5월</t>
        </is>
      </c>
      <c r="B4678" t="inlineStr">
        <is>
          <t>22주차</t>
        </is>
      </c>
      <c r="C4678" t="inlineStr">
        <is>
          <t>EP</t>
        </is>
      </c>
      <c r="D4678" s="28" t="n">
        <v>46170</v>
      </c>
      <c r="E4678" t="inlineStr">
        <is>
          <t>현대EP_fast</t>
        </is>
      </c>
      <c r="F4678" t="inlineStr">
        <is>
          <t>안덕영</t>
        </is>
      </c>
      <c r="G4678" t="inlineStr">
        <is>
          <t>010-5063-4072</t>
        </is>
      </c>
      <c r="H4678" t="inlineStr">
        <is>
          <t>107부2641</t>
        </is>
      </c>
      <c r="I4678" t="n">
        <v>18600000</v>
      </c>
      <c r="J4678" t="n">
        <v>0.081</v>
      </c>
      <c r="K4678" t="n">
        <v>1.76</v>
      </c>
      <c r="L4678" t="n">
        <v>0.14</v>
      </c>
      <c r="M4678" t="n">
        <v>1.62</v>
      </c>
      <c r="P4678" t="inlineStr">
        <is>
          <t>정세빈</t>
        </is>
      </c>
      <c r="Q4678" t="inlineStr">
        <is>
          <t>홈서비스 24개월</t>
        </is>
      </c>
      <c r="AB4678" t="inlineStr">
        <is>
          <t>홈서비스</t>
        </is>
      </c>
      <c r="AC4678" t="n">
        <v>327360</v>
      </c>
      <c r="AD4678" t="n">
        <v>26040</v>
      </c>
      <c r="AE4678" t="n">
        <v>301320</v>
      </c>
      <c r="AF4678" t="n">
        <v>297600</v>
      </c>
      <c r="AG4678" t="n">
        <v>25180.68</v>
      </c>
      <c r="AH4678" t="n">
        <v>272419.32</v>
      </c>
    </row>
    <row r="4679">
      <c r="A4679" t="inlineStr">
        <is>
          <t>4월</t>
        </is>
      </c>
      <c r="B4679" t="inlineStr">
        <is>
          <t>16주차</t>
        </is>
      </c>
      <c r="C4679" t="inlineStr">
        <is>
          <t>EP</t>
        </is>
      </c>
      <c r="D4679" s="28" t="n">
        <v>46127</v>
      </c>
      <c r="E4679" t="inlineStr">
        <is>
          <t>현대EP_fast</t>
        </is>
      </c>
      <c r="F4679" t="inlineStr">
        <is>
          <t>남유진</t>
        </is>
      </c>
      <c r="G4679" t="inlineStr">
        <is>
          <t>010-9078-9846</t>
        </is>
      </c>
      <c r="H4679" t="inlineStr">
        <is>
          <t>51두9532</t>
        </is>
      </c>
      <c r="I4679" t="n">
        <v>-4800000</v>
      </c>
      <c r="J4679" t="n">
        <v>0.118</v>
      </c>
      <c r="K4679" t="n">
        <v>1.76</v>
      </c>
      <c r="L4679" t="n">
        <v>0.2</v>
      </c>
      <c r="M4679" t="n">
        <v>1.56</v>
      </c>
      <c r="P4679" t="inlineStr">
        <is>
          <t>최혁</t>
        </is>
      </c>
      <c r="Q4679" t="inlineStr">
        <is>
          <t>홈서비스24개월</t>
        </is>
      </c>
      <c r="AB4679" t="inlineStr">
        <is>
          <t>홈서비스</t>
        </is>
      </c>
      <c r="AC4679" t="n">
        <v>-84480</v>
      </c>
      <c r="AD4679" t="n">
        <v>-9600</v>
      </c>
      <c r="AE4679" t="n">
        <v>-74880</v>
      </c>
      <c r="AF4679" t="n">
        <v>-76800</v>
      </c>
      <c r="AG4679" t="n">
        <v>-9283.200000000001</v>
      </c>
      <c r="AH4679" t="n">
        <v>-67516.8</v>
      </c>
      <c r="AI4679" t="n">
        <v>0</v>
      </c>
    </row>
    <row r="4680">
      <c r="A4680" t="inlineStr">
        <is>
          <t>4월</t>
        </is>
      </c>
      <c r="B4680" t="inlineStr">
        <is>
          <t>16주차</t>
        </is>
      </c>
      <c r="C4680" t="inlineStr">
        <is>
          <t>EP</t>
        </is>
      </c>
      <c r="D4680" s="28" t="n">
        <v>46128</v>
      </c>
      <c r="E4680" t="inlineStr">
        <is>
          <t>현대EP_fast</t>
        </is>
      </c>
      <c r="F4680" t="inlineStr">
        <is>
          <t>박수빈</t>
        </is>
      </c>
      <c r="G4680" t="inlineStr">
        <is>
          <t>010-9341-2296</t>
        </is>
      </c>
      <c r="H4680" t="inlineStr">
        <is>
          <t>137가9909</t>
        </is>
      </c>
      <c r="I4680" t="n">
        <v>-5000000</v>
      </c>
      <c r="J4680" t="n">
        <v>0.11</v>
      </c>
      <c r="K4680" t="n">
        <v>1.76</v>
      </c>
      <c r="L4680" t="n">
        <v>0.6</v>
      </c>
      <c r="M4680" t="n">
        <v>1.16</v>
      </c>
      <c r="P4680" t="inlineStr">
        <is>
          <t>박보람</t>
        </is>
      </c>
      <c r="AB4680" t="inlineStr">
        <is>
          <t>엔카</t>
        </is>
      </c>
      <c r="AC4680" t="n">
        <v>-88000</v>
      </c>
      <c r="AD4680" t="n">
        <v>-30000</v>
      </c>
      <c r="AE4680" t="n">
        <v>-58000</v>
      </c>
      <c r="AF4680" t="n">
        <v>-80000</v>
      </c>
      <c r="AG4680" t="n">
        <v>-29010</v>
      </c>
      <c r="AH4680" t="n">
        <v>-50990</v>
      </c>
      <c r="AI4680" t="n">
        <v>0</v>
      </c>
    </row>
    <row r="4681">
      <c r="A4681" t="inlineStr">
        <is>
          <t>4월</t>
        </is>
      </c>
      <c r="B4681" t="inlineStr">
        <is>
          <t>16주차</t>
        </is>
      </c>
      <c r="C4681" t="inlineStr">
        <is>
          <t>EP</t>
        </is>
      </c>
      <c r="D4681" s="28" t="n">
        <v>46128</v>
      </c>
      <c r="E4681" t="inlineStr">
        <is>
          <t>현대EP_fast</t>
        </is>
      </c>
      <c r="F4681" t="inlineStr">
        <is>
          <t>서가빈</t>
        </is>
      </c>
      <c r="G4681" t="inlineStr">
        <is>
          <t>010-5574-0318</t>
        </is>
      </c>
      <c r="H4681" t="inlineStr">
        <is>
          <t>28로1367</t>
        </is>
      </c>
      <c r="I4681" t="n">
        <v>-3400000</v>
      </c>
      <c r="J4681" t="n">
        <v>0.105</v>
      </c>
      <c r="K4681" t="n">
        <v>1.76</v>
      </c>
      <c r="L4681" t="n">
        <v>0.6</v>
      </c>
      <c r="M4681" t="n">
        <v>1.16</v>
      </c>
      <c r="P4681" t="inlineStr">
        <is>
          <t>구성완</t>
        </is>
      </c>
      <c r="AB4681" t="inlineStr">
        <is>
          <t>엔카</t>
        </is>
      </c>
      <c r="AC4681" t="n">
        <v>-59840</v>
      </c>
      <c r="AD4681" t="n">
        <v>-20400</v>
      </c>
      <c r="AE4681" t="n">
        <v>-39440</v>
      </c>
      <c r="AF4681" t="n">
        <v>-54400</v>
      </c>
      <c r="AG4681" t="n">
        <v>-19726.8</v>
      </c>
      <c r="AH4681" t="n">
        <v>-34673.2</v>
      </c>
    </row>
    <row r="4682">
      <c r="A4682" t="inlineStr">
        <is>
          <t>4월</t>
        </is>
      </c>
      <c r="B4682" t="inlineStr">
        <is>
          <t>15주차</t>
        </is>
      </c>
      <c r="C4682" t="inlineStr">
        <is>
          <t>EP</t>
        </is>
      </c>
      <c r="D4682" s="28" t="n">
        <v>46118</v>
      </c>
      <c r="E4682" t="inlineStr">
        <is>
          <t>현대EP_fast</t>
        </is>
      </c>
      <c r="F4682" t="inlineStr">
        <is>
          <t>박종복</t>
        </is>
      </c>
      <c r="G4682" t="inlineStr">
        <is>
          <t>010-7661-3216</t>
        </is>
      </c>
      <c r="H4682" t="inlineStr">
        <is>
          <t>02너0934</t>
        </is>
      </c>
      <c r="I4682" t="n">
        <v>-4000000</v>
      </c>
      <c r="J4682" t="n">
        <v>0.07099999999999999</v>
      </c>
      <c r="K4682" t="n">
        <v>1.76</v>
      </c>
      <c r="L4682" t="n">
        <v>0.2</v>
      </c>
      <c r="M4682" t="n">
        <v>1.56</v>
      </c>
      <c r="P4682" t="inlineStr">
        <is>
          <t>정광호</t>
        </is>
      </c>
      <c r="Q4682" t="inlineStr">
        <is>
          <t>홈서비스 48개월</t>
        </is>
      </c>
      <c r="AB4682" t="inlineStr">
        <is>
          <t>홈서비스</t>
        </is>
      </c>
      <c r="AC4682" t="n">
        <v>-70400</v>
      </c>
      <c r="AD4682" t="n">
        <v>-8000</v>
      </c>
      <c r="AE4682" t="n">
        <v>-62400</v>
      </c>
      <c r="AF4682" t="n">
        <v>-64000</v>
      </c>
      <c r="AG4682" t="n">
        <v>-7736</v>
      </c>
      <c r="AH4682" t="n">
        <v>-56264</v>
      </c>
      <c r="AI4682" t="n">
        <v>0</v>
      </c>
    </row>
    <row r="4683">
      <c r="A4683" t="inlineStr">
        <is>
          <t>4월</t>
        </is>
      </c>
      <c r="B4683" t="inlineStr">
        <is>
          <t>14주차</t>
        </is>
      </c>
      <c r="C4683" t="inlineStr">
        <is>
          <t>EP</t>
        </is>
      </c>
      <c r="D4683" s="28" t="n">
        <v>46113</v>
      </c>
      <c r="E4683" t="inlineStr">
        <is>
          <t>현대EP_fast</t>
        </is>
      </c>
      <c r="F4683" t="inlineStr">
        <is>
          <t>김시연</t>
        </is>
      </c>
      <c r="G4683" t="inlineStr">
        <is>
          <t>010-7765-3139</t>
        </is>
      </c>
      <c r="H4683" t="inlineStr">
        <is>
          <t>360로9990</t>
        </is>
      </c>
      <c r="I4683" t="n">
        <v>-5200000</v>
      </c>
      <c r="J4683" t="n">
        <v>0.1</v>
      </c>
      <c r="K4683" t="n">
        <v>1.76</v>
      </c>
      <c r="L4683" t="n">
        <v>0.2</v>
      </c>
      <c r="M4683" t="n">
        <v>1.56</v>
      </c>
      <c r="P4683" t="inlineStr">
        <is>
          <t>김나윤</t>
        </is>
      </c>
      <c r="Q4683" t="inlineStr">
        <is>
          <t>홈서비스 24개월</t>
        </is>
      </c>
      <c r="AB4683" t="inlineStr">
        <is>
          <t>홈서비스</t>
        </is>
      </c>
      <c r="AC4683" t="n">
        <v>-91520</v>
      </c>
      <c r="AD4683" t="n">
        <v>-10400</v>
      </c>
      <c r="AE4683" t="n">
        <v>-81120</v>
      </c>
      <c r="AF4683" t="n">
        <v>-83200</v>
      </c>
      <c r="AG4683" t="n">
        <v>-10056.8</v>
      </c>
      <c r="AH4683" t="n">
        <v>-73143.2</v>
      </c>
      <c r="AI4683" t="n">
        <v>0</v>
      </c>
    </row>
    <row r="4684">
      <c r="A4684" t="inlineStr">
        <is>
          <t>4월</t>
        </is>
      </c>
      <c r="B4684" t="inlineStr">
        <is>
          <t>14주차</t>
        </is>
      </c>
      <c r="C4684" t="inlineStr">
        <is>
          <t>EP</t>
        </is>
      </c>
      <c r="D4684" s="28" t="n">
        <v>46115</v>
      </c>
      <c r="E4684" t="inlineStr">
        <is>
          <t>현대EP_fast</t>
        </is>
      </c>
      <c r="F4684" t="inlineStr">
        <is>
          <t>이정훈</t>
        </is>
      </c>
      <c r="G4684" t="inlineStr">
        <is>
          <t>010-2676-8365</t>
        </is>
      </c>
      <c r="H4684" t="inlineStr">
        <is>
          <t>202너3869</t>
        </is>
      </c>
      <c r="I4684" t="n">
        <v>-8000000</v>
      </c>
      <c r="J4684" t="n">
        <v>0.08799999999999999</v>
      </c>
      <c r="K4684" t="n">
        <v>1.76</v>
      </c>
      <c r="L4684" t="n">
        <v>0.2</v>
      </c>
      <c r="M4684" t="n">
        <v>1.56</v>
      </c>
      <c r="P4684" t="inlineStr">
        <is>
          <t>황채이</t>
        </is>
      </c>
      <c r="Q4684" t="inlineStr">
        <is>
          <t>홈서비스 36개월</t>
        </is>
      </c>
      <c r="AB4684" t="inlineStr">
        <is>
          <t>홈서비스</t>
        </is>
      </c>
      <c r="AC4684" t="n">
        <v>-140800</v>
      </c>
      <c r="AD4684" t="n">
        <v>-16000</v>
      </c>
      <c r="AE4684" t="n">
        <v>-124800</v>
      </c>
      <c r="AF4684" t="n">
        <v>-128000</v>
      </c>
      <c r="AG4684" t="n">
        <v>-15472</v>
      </c>
      <c r="AH4684" t="n">
        <v>-112528</v>
      </c>
    </row>
    <row r="4685">
      <c r="A4685" t="inlineStr">
        <is>
          <t>4월</t>
        </is>
      </c>
      <c r="B4685" t="inlineStr">
        <is>
          <t>15주차</t>
        </is>
      </c>
      <c r="C4685" t="inlineStr">
        <is>
          <t>EP</t>
        </is>
      </c>
      <c r="D4685" s="28" t="n">
        <v>46122</v>
      </c>
      <c r="E4685" t="inlineStr">
        <is>
          <t>현대EP</t>
        </is>
      </c>
      <c r="F4685" t="inlineStr">
        <is>
          <t>최준혁</t>
        </is>
      </c>
      <c r="G4685" t="inlineStr">
        <is>
          <t>010-3941-5622</t>
        </is>
      </c>
      <c r="H4685" t="inlineStr">
        <is>
          <t>165어8938</t>
        </is>
      </c>
      <c r="I4685" t="n">
        <v>-11400000</v>
      </c>
      <c r="J4685" t="n">
        <v>0.079</v>
      </c>
      <c r="K4685" t="n">
        <v>1.76</v>
      </c>
      <c r="L4685" t="n">
        <v>0.2</v>
      </c>
      <c r="M4685" t="n">
        <v>1.56</v>
      </c>
      <c r="P4685" t="inlineStr">
        <is>
          <t>황채이</t>
        </is>
      </c>
      <c r="Q4685" t="inlineStr">
        <is>
          <t>홈서비스 60개월</t>
        </is>
      </c>
      <c r="AB4685" t="inlineStr">
        <is>
          <t>홈서비스</t>
        </is>
      </c>
      <c r="AC4685" t="n">
        <v>-200640</v>
      </c>
      <c r="AD4685" t="n">
        <v>-22800</v>
      </c>
      <c r="AE4685" t="n">
        <v>-177840</v>
      </c>
      <c r="AF4685" t="n">
        <v>-182400</v>
      </c>
      <c r="AG4685" t="n">
        <v>-22047.6</v>
      </c>
      <c r="AH4685" t="n">
        <v>-160352.4</v>
      </c>
      <c r="AI4685" t="n">
        <v>0</v>
      </c>
    </row>
    <row r="4686">
      <c r="A4686" t="inlineStr">
        <is>
          <t>4월</t>
        </is>
      </c>
      <c r="B4686" t="inlineStr">
        <is>
          <t>14주차</t>
        </is>
      </c>
      <c r="C4686" t="inlineStr">
        <is>
          <t>EP</t>
        </is>
      </c>
      <c r="D4686" s="28" t="n">
        <v>46114</v>
      </c>
      <c r="E4686" t="inlineStr">
        <is>
          <t>현대EP_fast</t>
        </is>
      </c>
      <c r="F4686" t="inlineStr">
        <is>
          <t>김승리</t>
        </is>
      </c>
      <c r="G4686" t="inlineStr">
        <is>
          <t>010-5121-3232</t>
        </is>
      </c>
      <c r="H4686" t="inlineStr">
        <is>
          <t>39부3227</t>
        </is>
      </c>
      <c r="I4686" t="n">
        <v>-7900000</v>
      </c>
      <c r="J4686" t="n">
        <v>0.07099999999999999</v>
      </c>
      <c r="K4686" t="n">
        <v>1.76</v>
      </c>
      <c r="L4686" t="n">
        <v>0.6</v>
      </c>
      <c r="M4686" t="n">
        <v>1.16</v>
      </c>
      <c r="P4686" t="inlineStr">
        <is>
          <t>최혁</t>
        </is>
      </c>
      <c r="AB4686" t="inlineStr">
        <is>
          <t>엔카</t>
        </is>
      </c>
      <c r="AC4686" t="n">
        <v>-139040</v>
      </c>
      <c r="AD4686" t="n">
        <v>-47400</v>
      </c>
      <c r="AE4686" t="n">
        <v>-91640</v>
      </c>
      <c r="AF4686" t="n">
        <v>-126400</v>
      </c>
      <c r="AG4686" t="n">
        <v>-45835.8</v>
      </c>
      <c r="AH4686" t="n">
        <v>-80564.2</v>
      </c>
      <c r="AI4686" t="n">
        <v>0</v>
      </c>
    </row>
    <row r="4687">
      <c r="A4687" t="inlineStr">
        <is>
          <t>4월</t>
        </is>
      </c>
      <c r="B4687" t="inlineStr">
        <is>
          <t>15주차</t>
        </is>
      </c>
      <c r="C4687" t="inlineStr">
        <is>
          <t>EP</t>
        </is>
      </c>
      <c r="D4687" s="28" t="n">
        <v>46122</v>
      </c>
      <c r="E4687" t="inlineStr">
        <is>
          <t>현대EP</t>
        </is>
      </c>
      <c r="F4687" t="inlineStr">
        <is>
          <t>최현민</t>
        </is>
      </c>
      <c r="G4687" t="inlineStr">
        <is>
          <t>010-2245-4222</t>
        </is>
      </c>
      <c r="H4687" t="inlineStr">
        <is>
          <t>11버3694</t>
        </is>
      </c>
      <c r="I4687" t="n">
        <v>-12000000</v>
      </c>
      <c r="J4687" t="n">
        <v>0.092</v>
      </c>
      <c r="K4687" t="n">
        <v>1.76</v>
      </c>
      <c r="L4687" t="n">
        <v>0.2</v>
      </c>
      <c r="M4687" t="n">
        <v>1.56</v>
      </c>
      <c r="P4687" t="inlineStr">
        <is>
          <t>정세빈</t>
        </is>
      </c>
      <c r="Q4687" t="inlineStr">
        <is>
          <t>홈서비스 60개월</t>
        </is>
      </c>
      <c r="AB4687" t="inlineStr">
        <is>
          <t>홈서비스</t>
        </is>
      </c>
      <c r="AC4687" t="n">
        <v>-211200</v>
      </c>
      <c r="AD4687" t="n">
        <v>-24000</v>
      </c>
      <c r="AE4687" t="n">
        <v>-187200</v>
      </c>
      <c r="AF4687" t="n">
        <v>-192000</v>
      </c>
      <c r="AG4687" t="n">
        <v>-23208</v>
      </c>
      <c r="AH4687" t="n">
        <v>-168792</v>
      </c>
      <c r="AI4687" t="n">
        <v>0</v>
      </c>
    </row>
    <row r="4688">
      <c r="A4688" t="inlineStr">
        <is>
          <t>4월</t>
        </is>
      </c>
      <c r="B4688" t="inlineStr">
        <is>
          <t>17주차</t>
        </is>
      </c>
      <c r="C4688" t="inlineStr">
        <is>
          <t>EP</t>
        </is>
      </c>
      <c r="D4688" s="28" t="n">
        <v>46134</v>
      </c>
      <c r="E4688" t="inlineStr">
        <is>
          <t>현대EP</t>
        </is>
      </c>
      <c r="F4688" t="inlineStr">
        <is>
          <t>김현우</t>
        </is>
      </c>
      <c r="G4688" t="inlineStr">
        <is>
          <t>010-2848-2070</t>
        </is>
      </c>
      <c r="H4688" t="inlineStr">
        <is>
          <t>354도2281</t>
        </is>
      </c>
      <c r="I4688" t="n">
        <v>-9300000</v>
      </c>
      <c r="J4688" t="n">
        <v>0.08799999999999999</v>
      </c>
      <c r="K4688" t="n">
        <v>1.76</v>
      </c>
      <c r="L4688" t="n">
        <v>0.2</v>
      </c>
      <c r="M4688" t="n">
        <v>1.56</v>
      </c>
      <c r="P4688" t="inlineStr">
        <is>
          <t>정세빈</t>
        </is>
      </c>
      <c r="Q4688" t="inlineStr">
        <is>
          <t>홈서비스 60개월</t>
        </is>
      </c>
      <c r="AB4688" t="inlineStr">
        <is>
          <t>홈서비스</t>
        </is>
      </c>
      <c r="AC4688" t="n">
        <v>-163680</v>
      </c>
      <c r="AD4688" t="n">
        <v>-18600</v>
      </c>
      <c r="AE4688" t="n">
        <v>-145080</v>
      </c>
      <c r="AF4688" t="n">
        <v>-148800</v>
      </c>
      <c r="AG4688" t="n">
        <v>-17986.2</v>
      </c>
      <c r="AH4688" t="n">
        <v>-130813.8</v>
      </c>
      <c r="AI4688" t="n">
        <v>0</v>
      </c>
    </row>
    <row r="4689">
      <c r="A4689" t="inlineStr">
        <is>
          <t>4월</t>
        </is>
      </c>
      <c r="B4689" t="inlineStr">
        <is>
          <t>15주차</t>
        </is>
      </c>
      <c r="C4689" t="inlineStr">
        <is>
          <t>EP</t>
        </is>
      </c>
      <c r="D4689" s="28" t="n">
        <v>46122</v>
      </c>
      <c r="E4689" t="inlineStr">
        <is>
          <t>현대EP_fast</t>
        </is>
      </c>
      <c r="F4689" t="inlineStr">
        <is>
          <t>윤용훈</t>
        </is>
      </c>
      <c r="G4689" t="inlineStr">
        <is>
          <t>010-6208-6743</t>
        </is>
      </c>
      <c r="H4689" t="inlineStr">
        <is>
          <t>129모4952</t>
        </is>
      </c>
      <c r="I4689" t="n">
        <v>-12900000</v>
      </c>
      <c r="J4689" t="n">
        <v>0.118</v>
      </c>
      <c r="K4689" t="n">
        <v>1.76</v>
      </c>
      <c r="L4689" t="n">
        <v>0.2</v>
      </c>
      <c r="M4689" t="n">
        <v>1.56</v>
      </c>
      <c r="P4689" t="inlineStr">
        <is>
          <t>김수연</t>
        </is>
      </c>
      <c r="Q4689" t="inlineStr">
        <is>
          <t>홈서비스 48개월</t>
        </is>
      </c>
      <c r="AB4689" t="inlineStr">
        <is>
          <t>홈서비스</t>
        </is>
      </c>
      <c r="AC4689" t="n">
        <v>-227040</v>
      </c>
      <c r="AD4689" t="n">
        <v>-25800</v>
      </c>
      <c r="AE4689" t="n">
        <v>-201240</v>
      </c>
      <c r="AF4689" t="n">
        <v>-206400</v>
      </c>
      <c r="AG4689" t="n">
        <v>-24948.6</v>
      </c>
      <c r="AH4689" t="n">
        <v>-181451.4</v>
      </c>
      <c r="AI4689" t="n">
        <v>0</v>
      </c>
    </row>
    <row r="4690">
      <c r="A4690" t="inlineStr">
        <is>
          <t>4월</t>
        </is>
      </c>
      <c r="B4690" t="inlineStr">
        <is>
          <t>17주차</t>
        </is>
      </c>
      <c r="C4690" t="inlineStr">
        <is>
          <t>EP</t>
        </is>
      </c>
      <c r="D4690" s="28" t="n">
        <v>46137</v>
      </c>
      <c r="E4690" t="inlineStr">
        <is>
          <t>현대EP</t>
        </is>
      </c>
      <c r="F4690" t="inlineStr">
        <is>
          <t>최대현</t>
        </is>
      </c>
      <c r="G4690" t="inlineStr">
        <is>
          <t>010-2439-5043</t>
        </is>
      </c>
      <c r="H4690" t="inlineStr">
        <is>
          <t>14수0979</t>
        </is>
      </c>
      <c r="I4690" t="n">
        <v>-3000000</v>
      </c>
      <c r="J4690" t="n">
        <v>0.062</v>
      </c>
      <c r="K4690" t="n">
        <v>1.76</v>
      </c>
      <c r="L4690" t="n">
        <v>0.2</v>
      </c>
      <c r="M4690" t="n">
        <v>1.56</v>
      </c>
      <c r="P4690" t="inlineStr">
        <is>
          <t>김수연</t>
        </is>
      </c>
      <c r="AB4690" t="inlineStr">
        <is>
          <t>홈서비스</t>
        </is>
      </c>
      <c r="AC4690" t="n">
        <v>-52800</v>
      </c>
      <c r="AD4690" t="n">
        <v>-6000</v>
      </c>
      <c r="AE4690" t="n">
        <v>-46800</v>
      </c>
      <c r="AF4690" t="n">
        <v>-48000</v>
      </c>
      <c r="AG4690" t="n">
        <v>-5802</v>
      </c>
      <c r="AH4690" t="n">
        <v>-42198</v>
      </c>
    </row>
    <row r="4691">
      <c r="A4691" t="inlineStr">
        <is>
          <t>5월</t>
        </is>
      </c>
      <c r="B4691" t="inlineStr">
        <is>
          <t>22주차</t>
        </is>
      </c>
      <c r="C4691" t="inlineStr">
        <is>
          <t>IM</t>
        </is>
      </c>
      <c r="D4691" s="28" t="n">
        <v>46170</v>
      </c>
      <c r="E4691" t="inlineStr">
        <is>
          <t>IM캐피탈</t>
        </is>
      </c>
      <c r="F4691" t="inlineStr">
        <is>
          <t>이찬재</t>
        </is>
      </c>
      <c r="G4691" t="inlineStr">
        <is>
          <t>010-7656-5344</t>
        </is>
      </c>
      <c r="H4691" t="inlineStr">
        <is>
          <t>338주5075</t>
        </is>
      </c>
      <c r="I4691" t="n">
        <v>18800000</v>
      </c>
      <c r="J4691" t="n">
        <v>0.063</v>
      </c>
      <c r="K4691" t="n">
        <v>1.1</v>
      </c>
      <c r="L4691" t="n">
        <v>0.14</v>
      </c>
      <c r="M4691" t="n">
        <v>0.96</v>
      </c>
      <c r="P4691" t="inlineStr">
        <is>
          <t>정세빈</t>
        </is>
      </c>
      <c r="Q4691" t="inlineStr">
        <is>
          <t>홈서비스 60개월</t>
        </is>
      </c>
      <c r="AB4691" t="inlineStr">
        <is>
          <t>홈서비스</t>
        </is>
      </c>
      <c r="AC4691" t="n">
        <v>206800</v>
      </c>
      <c r="AD4691" t="n">
        <v>26320</v>
      </c>
      <c r="AE4691" t="n">
        <v>180480</v>
      </c>
      <c r="AF4691" t="n">
        <v>188000</v>
      </c>
      <c r="AG4691" t="n">
        <v>25451.44</v>
      </c>
      <c r="AH4691" t="n">
        <v>162548.56</v>
      </c>
    </row>
    <row r="4692">
      <c r="A4692" t="inlineStr">
        <is>
          <t>5월</t>
        </is>
      </c>
      <c r="B4692" t="inlineStr">
        <is>
          <t>22주차</t>
        </is>
      </c>
      <c r="C4692" t="inlineStr">
        <is>
          <t>WR</t>
        </is>
      </c>
      <c r="D4692" s="28" t="n">
        <v>46170</v>
      </c>
      <c r="E4692" t="inlineStr">
        <is>
          <t>우리금융</t>
        </is>
      </c>
      <c r="F4692" t="inlineStr">
        <is>
          <t>김효성</t>
        </is>
      </c>
      <c r="G4692" t="inlineStr">
        <is>
          <t>010-5710-9080</t>
        </is>
      </c>
      <c r="H4692" t="inlineStr">
        <is>
          <t>274로2121</t>
        </is>
      </c>
      <c r="I4692" t="n">
        <v>20500000</v>
      </c>
      <c r="J4692" t="n">
        <v>0.075</v>
      </c>
      <c r="K4692" t="n">
        <v>2.2</v>
      </c>
      <c r="L4692" t="n">
        <v>0.14</v>
      </c>
      <c r="M4692" t="n">
        <v>2.06</v>
      </c>
      <c r="P4692" t="inlineStr">
        <is>
          <t>박소현</t>
        </is>
      </c>
      <c r="Q4692" t="inlineStr">
        <is>
          <t>선상담 / 홈서비스 60개월</t>
        </is>
      </c>
      <c r="AB4692" t="inlineStr">
        <is>
          <t>홈서비스</t>
        </is>
      </c>
      <c r="AC4692" t="n">
        <v>451000</v>
      </c>
      <c r="AD4692" t="n">
        <v>28700</v>
      </c>
      <c r="AE4692" t="n">
        <v>422300</v>
      </c>
      <c r="AF4692" t="n">
        <v>410000</v>
      </c>
      <c r="AG4692" t="n">
        <v>27752.9</v>
      </c>
      <c r="AH4692" t="n">
        <v>382247.1</v>
      </c>
      <c r="AI4692" t="n">
        <v>0</v>
      </c>
    </row>
    <row r="4693">
      <c r="A4693" t="inlineStr">
        <is>
          <t>5월</t>
        </is>
      </c>
      <c r="B4693" t="inlineStr">
        <is>
          <t>22주차</t>
        </is>
      </c>
      <c r="C4693" t="inlineStr">
        <is>
          <t>EP</t>
        </is>
      </c>
      <c r="D4693" s="28" t="n">
        <v>46170</v>
      </c>
      <c r="E4693" t="inlineStr">
        <is>
          <t>현대EP_fast</t>
        </is>
      </c>
      <c r="F4693" t="inlineStr">
        <is>
          <t>김해동</t>
        </is>
      </c>
      <c r="G4693" t="inlineStr">
        <is>
          <t>010-8943-2996</t>
        </is>
      </c>
      <c r="H4693" t="inlineStr">
        <is>
          <t>03부4139</t>
        </is>
      </c>
      <c r="I4693" t="n">
        <v>16500000</v>
      </c>
      <c r="J4693" t="n">
        <v>0.154</v>
      </c>
      <c r="K4693" t="n">
        <v>1.76</v>
      </c>
      <c r="L4693" t="n">
        <v>0.4</v>
      </c>
      <c r="M4693" t="n">
        <v>1.36</v>
      </c>
      <c r="P4693" t="inlineStr">
        <is>
          <t>박현민</t>
        </is>
      </c>
      <c r="AB4693" t="inlineStr">
        <is>
          <t>엔카</t>
        </is>
      </c>
      <c r="AC4693" t="n">
        <v>290400</v>
      </c>
      <c r="AD4693" t="n">
        <v>66000</v>
      </c>
      <c r="AE4693" t="n">
        <v>224400</v>
      </c>
      <c r="AF4693" t="n">
        <v>264000</v>
      </c>
      <c r="AG4693" t="n">
        <v>63822</v>
      </c>
      <c r="AH4693" t="n">
        <v>200178</v>
      </c>
      <c r="AI4693" t="n">
        <v>0</v>
      </c>
    </row>
    <row r="4694">
      <c r="A4694" t="inlineStr">
        <is>
          <t>5월</t>
        </is>
      </c>
      <c r="B4694" t="inlineStr">
        <is>
          <t>22주차</t>
        </is>
      </c>
      <c r="C4694" t="inlineStr">
        <is>
          <t>IM</t>
        </is>
      </c>
      <c r="D4694" s="28" t="n">
        <v>46170</v>
      </c>
      <c r="E4694" t="inlineStr">
        <is>
          <t>IM캐피탈</t>
        </is>
      </c>
      <c r="F4694" t="inlineStr">
        <is>
          <t>안진혁</t>
        </is>
      </c>
      <c r="G4694" t="inlineStr">
        <is>
          <t>010-4353-4613</t>
        </is>
      </c>
      <c r="H4694" t="inlineStr">
        <is>
          <t>61모3452</t>
        </is>
      </c>
      <c r="I4694" t="n">
        <v>17000000</v>
      </c>
      <c r="J4694" t="n">
        <v>0.059</v>
      </c>
      <c r="K4694" t="n">
        <v>1.1</v>
      </c>
      <c r="L4694" t="n">
        <v>0.14</v>
      </c>
      <c r="M4694" t="n">
        <v>0.96</v>
      </c>
      <c r="P4694" t="inlineStr">
        <is>
          <t>김나윤</t>
        </is>
      </c>
      <c r="Q4694" t="inlineStr">
        <is>
          <t>홈서비스 60개월</t>
        </is>
      </c>
      <c r="AB4694" t="inlineStr">
        <is>
          <t>홈서비스</t>
        </is>
      </c>
      <c r="AC4694" t="n">
        <v>187000</v>
      </c>
      <c r="AD4694" t="n">
        <v>23800</v>
      </c>
      <c r="AE4694" t="n">
        <v>163200</v>
      </c>
      <c r="AF4694" t="n">
        <v>170000</v>
      </c>
      <c r="AG4694" t="n">
        <v>23014.6</v>
      </c>
      <c r="AH4694" t="n">
        <v>146985.4</v>
      </c>
    </row>
    <row r="4695">
      <c r="A4695" t="inlineStr">
        <is>
          <t>5월</t>
        </is>
      </c>
      <c r="B4695" t="inlineStr">
        <is>
          <t>22주차</t>
        </is>
      </c>
      <c r="C4695" t="inlineStr">
        <is>
          <t>IM</t>
        </is>
      </c>
      <c r="D4695" s="28" t="n">
        <v>46170</v>
      </c>
      <c r="E4695" t="inlineStr">
        <is>
          <t>IM캐피탈</t>
        </is>
      </c>
      <c r="F4695" t="inlineStr">
        <is>
          <t>윤시아</t>
        </is>
      </c>
      <c r="G4695" t="inlineStr">
        <is>
          <t>010-3394-4422</t>
        </is>
      </c>
      <c r="H4695" t="inlineStr">
        <is>
          <t>364모3099</t>
        </is>
      </c>
      <c r="I4695" t="n">
        <v>35000000</v>
      </c>
      <c r="J4695" t="n">
        <v>0.045</v>
      </c>
      <c r="K4695" t="n">
        <v>1.1</v>
      </c>
      <c r="L4695" t="n">
        <v>0.5</v>
      </c>
      <c r="M4695" t="n">
        <v>0.6</v>
      </c>
      <c r="P4695" t="inlineStr">
        <is>
          <t>임대경</t>
        </is>
      </c>
      <c r="AB4695" t="inlineStr">
        <is>
          <t>엔카</t>
        </is>
      </c>
      <c r="AC4695" t="n">
        <v>12500000</v>
      </c>
      <c r="AD4695" t="n">
        <v>175000</v>
      </c>
      <c r="AE4695" t="n">
        <v>210000</v>
      </c>
      <c r="AF4695" t="n">
        <v>11363636.36</v>
      </c>
      <c r="AG4695" t="n">
        <v>169225</v>
      </c>
      <c r="AH4695" t="n">
        <v>11194411.36</v>
      </c>
    </row>
    <row r="4696">
      <c r="A4696" t="inlineStr">
        <is>
          <t>5월</t>
        </is>
      </c>
      <c r="B4696" t="inlineStr">
        <is>
          <t>22주차</t>
        </is>
      </c>
      <c r="C4696" t="inlineStr">
        <is>
          <t>IM</t>
        </is>
      </c>
      <c r="D4696" s="28" t="n">
        <v>46170</v>
      </c>
      <c r="E4696" t="inlineStr">
        <is>
          <t>IM캐피탈</t>
        </is>
      </c>
      <c r="F4696" t="inlineStr">
        <is>
          <t>윤철호</t>
        </is>
      </c>
      <c r="G4696" t="inlineStr">
        <is>
          <t>010-2224-7558</t>
        </is>
      </c>
      <c r="H4696" t="inlineStr">
        <is>
          <t>380머9625</t>
        </is>
      </c>
      <c r="I4696" t="n">
        <v>47300000</v>
      </c>
      <c r="J4696" t="n">
        <v>0.067</v>
      </c>
      <c r="K4696" t="n">
        <v>1.1</v>
      </c>
      <c r="L4696" t="n">
        <v>0.14</v>
      </c>
      <c r="M4696" t="n">
        <v>0.96</v>
      </c>
      <c r="P4696" t="inlineStr">
        <is>
          <t>박소현</t>
        </is>
      </c>
      <c r="Q4696" t="inlineStr">
        <is>
          <t>선상담 / 홈서비스 60개월</t>
        </is>
      </c>
      <c r="AB4696" t="inlineStr">
        <is>
          <t>홈서비스</t>
        </is>
      </c>
      <c r="AC4696" t="n">
        <v>520300</v>
      </c>
      <c r="AD4696" t="n">
        <v>66220</v>
      </c>
      <c r="AE4696" t="n">
        <v>454080</v>
      </c>
      <c r="AF4696" t="n">
        <v>473000</v>
      </c>
      <c r="AG4696" t="n">
        <v>64034.74</v>
      </c>
      <c r="AH4696" t="n">
        <v>408965.26</v>
      </c>
      <c r="AI4696" t="n">
        <v>0</v>
      </c>
    </row>
    <row r="4697">
      <c r="A4697" t="inlineStr">
        <is>
          <t>5월</t>
        </is>
      </c>
      <c r="B4697" t="inlineStr">
        <is>
          <t>22주차</t>
        </is>
      </c>
      <c r="C4697" t="inlineStr">
        <is>
          <t>EP</t>
        </is>
      </c>
      <c r="D4697" s="28" t="n">
        <v>46170</v>
      </c>
      <c r="E4697" t="inlineStr">
        <is>
          <t>현대EP_fast</t>
        </is>
      </c>
      <c r="F4697" t="inlineStr">
        <is>
          <t>여해인</t>
        </is>
      </c>
      <c r="G4697" t="inlineStr">
        <is>
          <t>010-3082-7578</t>
        </is>
      </c>
      <c r="H4697" t="inlineStr">
        <is>
          <t>287러7681</t>
        </is>
      </c>
      <c r="I4697" t="n">
        <v>16000000</v>
      </c>
      <c r="J4697" t="n">
        <v>0.102</v>
      </c>
      <c r="K4697" t="n">
        <v>1.76</v>
      </c>
      <c r="L4697" t="n">
        <v>0.14</v>
      </c>
      <c r="M4697" t="n">
        <v>1.62</v>
      </c>
      <c r="P4697" t="inlineStr">
        <is>
          <t>김나윤</t>
        </is>
      </c>
      <c r="Q4697" t="inlineStr">
        <is>
          <t>홈서비스 60개월</t>
        </is>
      </c>
      <c r="AB4697" t="inlineStr">
        <is>
          <t>홈서비스</t>
        </is>
      </c>
      <c r="AC4697" t="n">
        <v>281600</v>
      </c>
      <c r="AD4697" t="n">
        <v>22400</v>
      </c>
      <c r="AE4697" t="n">
        <v>259200</v>
      </c>
      <c r="AF4697" t="n">
        <v>256000</v>
      </c>
      <c r="AG4697" t="n">
        <v>21660.8</v>
      </c>
      <c r="AH4697" t="n">
        <v>234339.2</v>
      </c>
    </row>
    <row r="4698">
      <c r="A4698" t="inlineStr">
        <is>
          <t>5월</t>
        </is>
      </c>
      <c r="B4698" t="inlineStr">
        <is>
          <t>22주차</t>
        </is>
      </c>
      <c r="C4698" t="inlineStr">
        <is>
          <t>HC</t>
        </is>
      </c>
      <c r="D4698" s="28" t="n">
        <v>46170</v>
      </c>
      <c r="E4698" t="inlineStr">
        <is>
          <t>하나캐피탈</t>
        </is>
      </c>
      <c r="F4698" t="inlineStr">
        <is>
          <t>강주원</t>
        </is>
      </c>
      <c r="G4698" t="inlineStr">
        <is>
          <t>010-8822-2762</t>
        </is>
      </c>
      <c r="H4698" t="inlineStr">
        <is>
          <t>54다6088</t>
        </is>
      </c>
      <c r="I4698" t="n">
        <v>15300000</v>
      </c>
      <c r="J4698" t="n">
        <v>0.065</v>
      </c>
      <c r="K4698" t="n">
        <v>2.2</v>
      </c>
      <c r="L4698" t="n">
        <v>0.14</v>
      </c>
      <c r="M4698" t="n">
        <v>2.06</v>
      </c>
      <c r="P4698" t="inlineStr">
        <is>
          <t>정세빈</t>
        </is>
      </c>
      <c r="Q4698" t="inlineStr">
        <is>
          <t>홈서비스 48개월</t>
        </is>
      </c>
      <c r="AB4698" t="inlineStr">
        <is>
          <t>홈서비스</t>
        </is>
      </c>
      <c r="AC4698" t="n">
        <v>336600</v>
      </c>
      <c r="AD4698" t="n">
        <v>21420</v>
      </c>
      <c r="AE4698" t="n">
        <v>315180</v>
      </c>
      <c r="AF4698" t="n">
        <v>306000</v>
      </c>
      <c r="AG4698" t="n">
        <v>20713.14</v>
      </c>
      <c r="AH4698" t="n">
        <v>285286.86</v>
      </c>
    </row>
    <row r="4699">
      <c r="A4699" t="inlineStr">
        <is>
          <t>5월</t>
        </is>
      </c>
      <c r="B4699" t="inlineStr">
        <is>
          <t>22주차</t>
        </is>
      </c>
      <c r="C4699" t="inlineStr">
        <is>
          <t>EP</t>
        </is>
      </c>
      <c r="D4699" s="28" t="n">
        <v>46170</v>
      </c>
      <c r="E4699" t="inlineStr">
        <is>
          <t>현대EP_fast</t>
        </is>
      </c>
      <c r="F4699" t="inlineStr">
        <is>
          <t>최선</t>
        </is>
      </c>
      <c r="G4699" t="inlineStr">
        <is>
          <t>010-5630-1206</t>
        </is>
      </c>
      <c r="H4699" t="inlineStr">
        <is>
          <t>113누1049</t>
        </is>
      </c>
      <c r="I4699" t="n">
        <v>27200000</v>
      </c>
      <c r="J4699" t="n">
        <v>0.089</v>
      </c>
      <c r="K4699" t="n">
        <v>1.76</v>
      </c>
      <c r="L4699" t="n">
        <v>0.14</v>
      </c>
      <c r="M4699" t="n">
        <v>1.62</v>
      </c>
      <c r="P4699" t="inlineStr">
        <is>
          <t>김수연</t>
        </is>
      </c>
      <c r="Q4699" t="inlineStr">
        <is>
          <t>홈서비스 60개월</t>
        </is>
      </c>
      <c r="AB4699" t="inlineStr">
        <is>
          <t>홈서비스</t>
        </is>
      </c>
      <c r="AC4699" t="n">
        <v>478720</v>
      </c>
      <c r="AD4699" t="n">
        <v>38080</v>
      </c>
      <c r="AE4699" t="n">
        <v>440640</v>
      </c>
      <c r="AF4699" t="n">
        <v>435200</v>
      </c>
      <c r="AG4699" t="n">
        <v>36823.36</v>
      </c>
      <c r="AH4699" t="n">
        <v>398376.64</v>
      </c>
      <c r="AI4699" t="n">
        <v>0</v>
      </c>
    </row>
    <row r="4700">
      <c r="A4700" t="inlineStr">
        <is>
          <t>5월</t>
        </is>
      </c>
      <c r="B4700" t="inlineStr">
        <is>
          <t>22주차</t>
        </is>
      </c>
      <c r="C4700" t="inlineStr">
        <is>
          <t>IM</t>
        </is>
      </c>
      <c r="D4700" s="28" t="n">
        <v>46170</v>
      </c>
      <c r="E4700" t="inlineStr">
        <is>
          <t>IM캐피탈</t>
        </is>
      </c>
      <c r="F4700" t="inlineStr">
        <is>
          <t>손영은</t>
        </is>
      </c>
      <c r="G4700" t="inlineStr">
        <is>
          <t>010-3156-8572</t>
        </is>
      </c>
      <c r="H4700" t="inlineStr">
        <is>
          <t>21더8930</t>
        </is>
      </c>
      <c r="I4700" t="n">
        <v>19500000</v>
      </c>
      <c r="J4700" t="n">
        <v>0.049</v>
      </c>
      <c r="K4700" t="n">
        <v>1.1</v>
      </c>
      <c r="L4700" t="n">
        <v>0.14</v>
      </c>
      <c r="M4700" t="n">
        <v>0.96</v>
      </c>
      <c r="P4700" t="inlineStr">
        <is>
          <t>김수연</t>
        </is>
      </c>
      <c r="Q4700" t="inlineStr">
        <is>
          <t>홈서비스 60개월</t>
        </is>
      </c>
      <c r="AB4700" t="inlineStr">
        <is>
          <t>홈서비스</t>
        </is>
      </c>
      <c r="AC4700" t="n">
        <v>214500</v>
      </c>
      <c r="AD4700" t="n">
        <v>27300</v>
      </c>
      <c r="AE4700" t="n">
        <v>187200</v>
      </c>
      <c r="AF4700" t="n">
        <v>195000</v>
      </c>
      <c r="AG4700" t="n">
        <v>26399.1</v>
      </c>
      <c r="AH4700" t="n">
        <v>168600.9</v>
      </c>
      <c r="AI4700" t="n">
        <v>0</v>
      </c>
    </row>
    <row r="4701">
      <c r="A4701" t="inlineStr">
        <is>
          <t>4월</t>
        </is>
      </c>
      <c r="B4701" t="inlineStr">
        <is>
          <t>16주차</t>
        </is>
      </c>
      <c r="C4701" t="inlineStr">
        <is>
          <t>EP</t>
        </is>
      </c>
      <c r="D4701" s="28" t="n">
        <v>46125</v>
      </c>
      <c r="E4701" t="inlineStr">
        <is>
          <t>현대EP_fast</t>
        </is>
      </c>
      <c r="F4701" t="inlineStr">
        <is>
          <t>박준봉</t>
        </is>
      </c>
      <c r="G4701" t="inlineStr">
        <is>
          <t>010-8428-8003</t>
        </is>
      </c>
      <c r="H4701" t="inlineStr">
        <is>
          <t>128무1443</t>
        </is>
      </c>
      <c r="I4701" t="n">
        <v>-32700000</v>
      </c>
      <c r="J4701" t="n">
        <v>0.07199999999999999</v>
      </c>
      <c r="K4701" t="n">
        <v>1.76</v>
      </c>
      <c r="L4701" t="n">
        <v>0.2</v>
      </c>
      <c r="M4701" t="n">
        <v>1.56</v>
      </c>
      <c r="P4701" t="inlineStr">
        <is>
          <t>황채이</t>
        </is>
      </c>
      <c r="Q4701" t="inlineStr">
        <is>
          <t>홈서비스 60개월</t>
        </is>
      </c>
      <c r="AB4701" t="inlineStr">
        <is>
          <t>홈서비스</t>
        </is>
      </c>
      <c r="AC4701" t="n">
        <v>-575520</v>
      </c>
      <c r="AD4701" t="n">
        <v>-65400</v>
      </c>
      <c r="AE4701" t="n">
        <v>-510120</v>
      </c>
      <c r="AF4701" t="n">
        <v>-523200</v>
      </c>
      <c r="AG4701" t="n">
        <v>-63241.8</v>
      </c>
      <c r="AH4701" t="n">
        <v>-459958.2</v>
      </c>
      <c r="AI4701" t="n">
        <v>0</v>
      </c>
    </row>
    <row r="4702">
      <c r="A4702" t="inlineStr">
        <is>
          <t>4월</t>
        </is>
      </c>
      <c r="B4702" t="inlineStr">
        <is>
          <t>17주차</t>
        </is>
      </c>
      <c r="C4702" t="inlineStr">
        <is>
          <t>EP</t>
        </is>
      </c>
      <c r="D4702" s="28" t="n">
        <v>46132</v>
      </c>
      <c r="E4702" t="inlineStr">
        <is>
          <t>현대EP_fast</t>
        </is>
      </c>
      <c r="F4702" t="inlineStr">
        <is>
          <t>김소정</t>
        </is>
      </c>
      <c r="G4702" t="inlineStr">
        <is>
          <t>010-7547-5121</t>
        </is>
      </c>
      <c r="H4702" t="inlineStr">
        <is>
          <t>57어1968</t>
        </is>
      </c>
      <c r="I4702" t="n">
        <v>-5000000</v>
      </c>
      <c r="J4702" t="n">
        <v>0.07099999999999999</v>
      </c>
      <c r="K4702" t="n">
        <v>1.76</v>
      </c>
      <c r="L4702" t="n">
        <v>0.2</v>
      </c>
      <c r="M4702" t="n">
        <v>1.56</v>
      </c>
      <c r="P4702" t="inlineStr">
        <is>
          <t>황채이</t>
        </is>
      </c>
      <c r="Q4702" t="inlineStr">
        <is>
          <t>홈서비스 24개월</t>
        </is>
      </c>
      <c r="AB4702" t="inlineStr">
        <is>
          <t>홈서비스</t>
        </is>
      </c>
      <c r="AC4702" t="n">
        <v>-88000</v>
      </c>
      <c r="AD4702" t="n">
        <v>-10000</v>
      </c>
      <c r="AE4702" t="n">
        <v>-78000</v>
      </c>
      <c r="AF4702" t="n">
        <v>-80000</v>
      </c>
      <c r="AG4702" t="n">
        <v>-9670</v>
      </c>
      <c r="AH4702" t="n">
        <v>-70330</v>
      </c>
      <c r="AI4702" t="n">
        <v>0</v>
      </c>
    </row>
    <row r="4703">
      <c r="A4703" t="inlineStr">
        <is>
          <t>4월</t>
        </is>
      </c>
      <c r="B4703" t="inlineStr">
        <is>
          <t>17주차</t>
        </is>
      </c>
      <c r="C4703" t="inlineStr">
        <is>
          <t>EP</t>
        </is>
      </c>
      <c r="D4703" s="28" t="n">
        <v>46133</v>
      </c>
      <c r="E4703" t="inlineStr">
        <is>
          <t>현대EP_fast</t>
        </is>
      </c>
      <c r="F4703" t="inlineStr">
        <is>
          <t>김길수</t>
        </is>
      </c>
      <c r="G4703" t="inlineStr">
        <is>
          <t>010-4607-7999</t>
        </is>
      </c>
      <c r="H4703" t="inlineStr">
        <is>
          <t>161보8307</t>
        </is>
      </c>
      <c r="I4703" t="n">
        <v>-10300000</v>
      </c>
      <c r="J4703" t="n">
        <v>0.102</v>
      </c>
      <c r="K4703" t="n">
        <v>1.76</v>
      </c>
      <c r="L4703" t="n">
        <v>0.2</v>
      </c>
      <c r="M4703" t="n">
        <v>1.56</v>
      </c>
      <c r="P4703" t="inlineStr">
        <is>
          <t>황채이</t>
        </is>
      </c>
      <c r="Q4703" t="inlineStr">
        <is>
          <t>홈서비스 48개월</t>
        </is>
      </c>
      <c r="AB4703" t="inlineStr">
        <is>
          <t>홈서비스</t>
        </is>
      </c>
      <c r="AC4703" t="n">
        <v>-181280</v>
      </c>
      <c r="AD4703" t="n">
        <v>-20600</v>
      </c>
      <c r="AE4703" t="n">
        <v>-160680</v>
      </c>
      <c r="AF4703" t="n">
        <v>-164800</v>
      </c>
      <c r="AG4703" t="n">
        <v>-19920.2</v>
      </c>
      <c r="AH4703" t="n">
        <v>-144879.8</v>
      </c>
    </row>
    <row r="4704">
      <c r="A4704" t="inlineStr">
        <is>
          <t>4월</t>
        </is>
      </c>
      <c r="B4704" t="inlineStr">
        <is>
          <t>15주차</t>
        </is>
      </c>
      <c r="C4704" t="inlineStr">
        <is>
          <t>EP</t>
        </is>
      </c>
      <c r="D4704" s="28" t="n">
        <v>46118</v>
      </c>
      <c r="E4704" t="inlineStr">
        <is>
          <t>현대EP_fast</t>
        </is>
      </c>
      <c r="F4704" t="inlineStr">
        <is>
          <t>곽종열</t>
        </is>
      </c>
      <c r="G4704" t="inlineStr">
        <is>
          <t>010-2869-5259</t>
        </is>
      </c>
      <c r="H4704" t="inlineStr">
        <is>
          <t>189서1158</t>
        </is>
      </c>
      <c r="I4704" t="n">
        <v>-50600000</v>
      </c>
      <c r="J4704" t="n">
        <v>0.075</v>
      </c>
      <c r="K4704" t="n">
        <v>1.76</v>
      </c>
      <c r="L4704" t="n">
        <v>0.2</v>
      </c>
      <c r="M4704" t="n">
        <v>1.56</v>
      </c>
      <c r="P4704" t="inlineStr">
        <is>
          <t>최형주</t>
        </is>
      </c>
      <c r="Q4704" t="inlineStr">
        <is>
          <t>홈서비스 60개월</t>
        </is>
      </c>
      <c r="AB4704" t="inlineStr">
        <is>
          <t>홈서비스</t>
        </is>
      </c>
      <c r="AC4704" t="n">
        <v>-890560</v>
      </c>
      <c r="AD4704" t="n">
        <v>-101200</v>
      </c>
      <c r="AE4704" t="n">
        <v>-789360</v>
      </c>
      <c r="AF4704" t="n">
        <v>-809600</v>
      </c>
      <c r="AG4704" t="n">
        <v>-97860.39999999999</v>
      </c>
      <c r="AH4704" t="n">
        <v>-711739.6</v>
      </c>
    </row>
    <row r="4705">
      <c r="A4705" t="inlineStr">
        <is>
          <t>4월</t>
        </is>
      </c>
      <c r="B4705" t="inlineStr">
        <is>
          <t>15주차</t>
        </is>
      </c>
      <c r="C4705" t="inlineStr">
        <is>
          <t>EP</t>
        </is>
      </c>
      <c r="D4705" s="28" t="n">
        <v>46120</v>
      </c>
      <c r="E4705" t="inlineStr">
        <is>
          <t>현대EP</t>
        </is>
      </c>
      <c r="F4705" t="inlineStr">
        <is>
          <t>정원</t>
        </is>
      </c>
      <c r="G4705" t="inlineStr">
        <is>
          <t>010-7365-9903</t>
        </is>
      </c>
      <c r="H4705" t="inlineStr">
        <is>
          <t>22수1696</t>
        </is>
      </c>
      <c r="I4705" t="n">
        <v>-3300000</v>
      </c>
      <c r="J4705" t="n">
        <v>0.08799999999999999</v>
      </c>
      <c r="K4705" t="n">
        <v>1.76</v>
      </c>
      <c r="L4705" t="n">
        <v>0.2</v>
      </c>
      <c r="M4705" t="n">
        <v>1.56</v>
      </c>
      <c r="P4705" t="inlineStr">
        <is>
          <t>최형주</t>
        </is>
      </c>
      <c r="Q4705" t="inlineStr">
        <is>
          <t>홈서비스 36개월</t>
        </is>
      </c>
      <c r="AB4705" t="inlineStr">
        <is>
          <t>홈서비스</t>
        </is>
      </c>
      <c r="AC4705" t="n">
        <v>-58080</v>
      </c>
      <c r="AD4705" t="n">
        <v>-6600</v>
      </c>
      <c r="AE4705" t="n">
        <v>-51480</v>
      </c>
      <c r="AF4705" t="n">
        <v>-52800</v>
      </c>
      <c r="AG4705" t="n">
        <v>-6382.2</v>
      </c>
      <c r="AH4705" t="n">
        <v>-46417.8</v>
      </c>
      <c r="AI4705" t="n">
        <v>0</v>
      </c>
    </row>
    <row r="4706">
      <c r="A4706" t="inlineStr">
        <is>
          <t>4월</t>
        </is>
      </c>
      <c r="B4706" t="inlineStr">
        <is>
          <t>15주차</t>
        </is>
      </c>
      <c r="C4706" t="inlineStr">
        <is>
          <t>EP</t>
        </is>
      </c>
      <c r="D4706" s="28" t="n">
        <v>46121</v>
      </c>
      <c r="E4706" t="inlineStr">
        <is>
          <t>현대EP_fast</t>
        </is>
      </c>
      <c r="F4706" t="inlineStr">
        <is>
          <t>강성훈</t>
        </is>
      </c>
      <c r="G4706" t="inlineStr">
        <is>
          <t>010-2639-8867</t>
        </is>
      </c>
      <c r="H4706" t="inlineStr">
        <is>
          <t>19너2957</t>
        </is>
      </c>
      <c r="I4706" t="n">
        <v>-3000000</v>
      </c>
      <c r="J4706" t="n">
        <v>0.102</v>
      </c>
      <c r="K4706" t="n">
        <v>1.76</v>
      </c>
      <c r="L4706" t="n">
        <v>0.2</v>
      </c>
      <c r="M4706" t="n">
        <v>1.56</v>
      </c>
      <c r="P4706" t="inlineStr">
        <is>
          <t>최형주</t>
        </is>
      </c>
      <c r="Q4706" t="inlineStr">
        <is>
          <t>홈서비스 24개월</t>
        </is>
      </c>
      <c r="AB4706" t="inlineStr">
        <is>
          <t>홈서비스</t>
        </is>
      </c>
      <c r="AC4706" t="n">
        <v>-52800</v>
      </c>
      <c r="AD4706" t="n">
        <v>-6000</v>
      </c>
      <c r="AE4706" t="n">
        <v>-46800</v>
      </c>
      <c r="AF4706" t="n">
        <v>-48000</v>
      </c>
      <c r="AG4706" t="n">
        <v>-5802</v>
      </c>
      <c r="AH4706" t="n">
        <v>-42198</v>
      </c>
      <c r="AI4706" t="n">
        <v>0</v>
      </c>
    </row>
    <row r="4707">
      <c r="A4707" t="inlineStr">
        <is>
          <t>4월</t>
        </is>
      </c>
      <c r="B4707" t="inlineStr">
        <is>
          <t>15주차</t>
        </is>
      </c>
      <c r="C4707" t="inlineStr">
        <is>
          <t>EP</t>
        </is>
      </c>
      <c r="D4707" s="28" t="n">
        <v>46122</v>
      </c>
      <c r="E4707" t="inlineStr">
        <is>
          <t>현대EP_fast</t>
        </is>
      </c>
      <c r="F4707" t="inlineStr">
        <is>
          <t>김정호</t>
        </is>
      </c>
      <c r="G4707" t="inlineStr">
        <is>
          <t>010-9215-4455</t>
        </is>
      </c>
      <c r="H4707" t="inlineStr">
        <is>
          <t>122보2807</t>
        </is>
      </c>
      <c r="I4707" t="n">
        <v>-18000000</v>
      </c>
      <c r="J4707" t="n">
        <v>0.07199999999999999</v>
      </c>
      <c r="K4707" t="n">
        <v>1.76</v>
      </c>
      <c r="L4707" t="n">
        <v>0.2</v>
      </c>
      <c r="M4707" t="n">
        <v>1.56</v>
      </c>
      <c r="P4707" t="inlineStr">
        <is>
          <t>최형주</t>
        </is>
      </c>
      <c r="Q4707" t="inlineStr">
        <is>
          <t>홈서비스 60개월</t>
        </is>
      </c>
      <c r="AB4707" t="inlineStr">
        <is>
          <t>홈서비스</t>
        </is>
      </c>
      <c r="AC4707" t="n">
        <v>-316800</v>
      </c>
      <c r="AD4707" t="n">
        <v>-36000</v>
      </c>
      <c r="AE4707" t="n">
        <v>-280800</v>
      </c>
      <c r="AF4707" t="n">
        <v>-288000</v>
      </c>
      <c r="AG4707" t="n">
        <v>-34812</v>
      </c>
      <c r="AH4707" t="n">
        <v>-253188</v>
      </c>
      <c r="AI4707" t="n">
        <v>0</v>
      </c>
    </row>
    <row r="4708">
      <c r="A4708" t="inlineStr">
        <is>
          <t>4월</t>
        </is>
      </c>
      <c r="B4708" t="inlineStr">
        <is>
          <t>16주차</t>
        </is>
      </c>
      <c r="C4708" t="inlineStr">
        <is>
          <t>EP</t>
        </is>
      </c>
      <c r="D4708" s="28" t="n">
        <v>46128</v>
      </c>
      <c r="E4708" t="inlineStr">
        <is>
          <t>현대EP_fast</t>
        </is>
      </c>
      <c r="F4708" t="inlineStr">
        <is>
          <t>김지우</t>
        </is>
      </c>
      <c r="G4708" t="inlineStr">
        <is>
          <t>010-8298-2892</t>
        </is>
      </c>
      <c r="H4708" t="inlineStr">
        <is>
          <t>107라8424</t>
        </is>
      </c>
      <c r="I4708" t="n">
        <v>-37000000</v>
      </c>
      <c r="J4708" t="n">
        <v>0.07099999999999999</v>
      </c>
      <c r="K4708" t="n">
        <v>1.76</v>
      </c>
      <c r="L4708" t="n">
        <v>0.2</v>
      </c>
      <c r="M4708" t="n">
        <v>1.56</v>
      </c>
      <c r="P4708" t="inlineStr">
        <is>
          <t>최형주</t>
        </is>
      </c>
      <c r="Q4708" t="inlineStr">
        <is>
          <t>홈서비스 48개월</t>
        </is>
      </c>
      <c r="AB4708" t="inlineStr">
        <is>
          <t>홈서비스</t>
        </is>
      </c>
      <c r="AC4708" t="n">
        <v>-651200</v>
      </c>
      <c r="AD4708" t="n">
        <v>-74000</v>
      </c>
      <c r="AE4708" t="n">
        <v>-577200</v>
      </c>
      <c r="AF4708" t="n">
        <v>-592000</v>
      </c>
      <c r="AG4708" t="n">
        <v>-71558</v>
      </c>
      <c r="AH4708" t="n">
        <v>-520442</v>
      </c>
    </row>
    <row r="4709">
      <c r="A4709" t="inlineStr">
        <is>
          <t>4월</t>
        </is>
      </c>
      <c r="B4709" t="inlineStr">
        <is>
          <t>16주차</t>
        </is>
      </c>
      <c r="C4709" t="inlineStr">
        <is>
          <t>EP</t>
        </is>
      </c>
      <c r="D4709" s="28" t="n">
        <v>46129</v>
      </c>
      <c r="E4709" t="inlineStr">
        <is>
          <t>현대EP_fast</t>
        </is>
      </c>
      <c r="F4709" t="inlineStr">
        <is>
          <t>정예원</t>
        </is>
      </c>
      <c r="G4709" t="inlineStr">
        <is>
          <t>010-4032-7060</t>
        </is>
      </c>
      <c r="H4709" t="inlineStr">
        <is>
          <t>333어6348</t>
        </is>
      </c>
      <c r="I4709" t="n">
        <v>-24500000</v>
      </c>
      <c r="J4709" t="n">
        <v>0.062</v>
      </c>
      <c r="K4709" t="n">
        <v>1.76</v>
      </c>
      <c r="L4709" t="n">
        <v>0.2</v>
      </c>
      <c r="M4709" t="n">
        <v>1.56</v>
      </c>
      <c r="P4709" t="inlineStr">
        <is>
          <t>최형주</t>
        </is>
      </c>
      <c r="Q4709" t="inlineStr">
        <is>
          <t>홈서비스 36개월 / 고객주도체결</t>
        </is>
      </c>
      <c r="AB4709" t="inlineStr">
        <is>
          <t>홈서비스</t>
        </is>
      </c>
      <c r="AC4709" t="n">
        <v>-431200</v>
      </c>
      <c r="AD4709" t="n">
        <v>-49000</v>
      </c>
      <c r="AE4709" t="n">
        <v>-382200</v>
      </c>
      <c r="AF4709" t="n">
        <v>-392000</v>
      </c>
      <c r="AG4709" t="n">
        <v>-47383</v>
      </c>
      <c r="AH4709" t="n">
        <v>-344617</v>
      </c>
      <c r="AI4709" t="n">
        <v>0</v>
      </c>
    </row>
    <row r="4710">
      <c r="A4710" t="inlineStr">
        <is>
          <t>4월</t>
        </is>
      </c>
      <c r="B4710" t="inlineStr">
        <is>
          <t>16주차</t>
        </is>
      </c>
      <c r="C4710" t="inlineStr">
        <is>
          <t>EP</t>
        </is>
      </c>
      <c r="D4710" s="28" t="n">
        <v>46129</v>
      </c>
      <c r="E4710" t="inlineStr">
        <is>
          <t>현대EP_fast</t>
        </is>
      </c>
      <c r="F4710" t="inlineStr">
        <is>
          <t>박인찬</t>
        </is>
      </c>
      <c r="G4710" t="inlineStr">
        <is>
          <t>010-9264-8388</t>
        </is>
      </c>
      <c r="H4710" t="inlineStr">
        <is>
          <t>356누8225</t>
        </is>
      </c>
      <c r="I4710" t="n">
        <v>-18300000</v>
      </c>
      <c r="J4710" t="n">
        <v>0.08799999999999999</v>
      </c>
      <c r="K4710" t="n">
        <v>1.76</v>
      </c>
      <c r="L4710" t="n">
        <v>0.2</v>
      </c>
      <c r="M4710" t="n">
        <v>1.56</v>
      </c>
      <c r="P4710" t="inlineStr">
        <is>
          <t>최형주</t>
        </is>
      </c>
      <c r="Q4710" t="inlineStr">
        <is>
          <t>홈서비스 48개월</t>
        </is>
      </c>
      <c r="AB4710" t="inlineStr">
        <is>
          <t>홈서비스</t>
        </is>
      </c>
      <c r="AC4710" t="n">
        <v>-322080</v>
      </c>
      <c r="AD4710" t="n">
        <v>-36600</v>
      </c>
      <c r="AE4710" t="n">
        <v>-285480</v>
      </c>
      <c r="AF4710" t="n">
        <v>-292800</v>
      </c>
      <c r="AG4710" t="n">
        <v>-35392.2</v>
      </c>
      <c r="AH4710" t="n">
        <v>-257407.8</v>
      </c>
    </row>
    <row r="4711">
      <c r="A4711" t="inlineStr">
        <is>
          <t>4월</t>
        </is>
      </c>
      <c r="B4711" t="inlineStr">
        <is>
          <t>17주차</t>
        </is>
      </c>
      <c r="C4711" t="inlineStr">
        <is>
          <t>EP</t>
        </is>
      </c>
      <c r="D4711" s="28" t="n">
        <v>46132</v>
      </c>
      <c r="E4711" t="inlineStr">
        <is>
          <t>현대EP_fast</t>
        </is>
      </c>
      <c r="F4711" t="inlineStr">
        <is>
          <t>곽시원</t>
        </is>
      </c>
      <c r="G4711" t="inlineStr">
        <is>
          <t>010-7678-4124</t>
        </is>
      </c>
      <c r="H4711" t="inlineStr">
        <is>
          <t>275도2219</t>
        </is>
      </c>
      <c r="I4711" t="n">
        <v>-9900000</v>
      </c>
      <c r="J4711" t="n">
        <v>0.08799999999999999</v>
      </c>
      <c r="K4711" t="n">
        <v>1.76</v>
      </c>
      <c r="L4711" t="n">
        <v>0.2</v>
      </c>
      <c r="M4711" t="n">
        <v>1.56</v>
      </c>
      <c r="P4711" t="inlineStr">
        <is>
          <t>최형주</t>
        </is>
      </c>
      <c r="Q4711" t="inlineStr">
        <is>
          <t>홈서비스 60개월</t>
        </is>
      </c>
      <c r="AB4711" t="inlineStr">
        <is>
          <t>홈서비스</t>
        </is>
      </c>
      <c r="AC4711" t="n">
        <v>-174240</v>
      </c>
      <c r="AD4711" t="n">
        <v>-19800</v>
      </c>
      <c r="AE4711" t="n">
        <v>-154440</v>
      </c>
      <c r="AF4711" t="n">
        <v>-158400</v>
      </c>
      <c r="AG4711" t="n">
        <v>-19146.6</v>
      </c>
      <c r="AH4711" t="n">
        <v>-139253.4</v>
      </c>
    </row>
    <row r="4712">
      <c r="A4712" t="inlineStr">
        <is>
          <t>4월</t>
        </is>
      </c>
      <c r="B4712" t="inlineStr">
        <is>
          <t>17주차</t>
        </is>
      </c>
      <c r="C4712" t="inlineStr">
        <is>
          <t>EP</t>
        </is>
      </c>
      <c r="D4712" s="28" t="n">
        <v>46134</v>
      </c>
      <c r="E4712" t="inlineStr">
        <is>
          <t>현대EP_fast</t>
        </is>
      </c>
      <c r="F4712" t="inlineStr">
        <is>
          <t>김동환</t>
        </is>
      </c>
      <c r="G4712" t="inlineStr">
        <is>
          <t>010-4794-4244</t>
        </is>
      </c>
      <c r="H4712" t="inlineStr">
        <is>
          <t>132소7551</t>
        </is>
      </c>
      <c r="I4712" t="n">
        <v>-24800000</v>
      </c>
      <c r="J4712" t="n">
        <v>0.077</v>
      </c>
      <c r="K4712" t="n">
        <v>1.76</v>
      </c>
      <c r="L4712" t="n">
        <v>0.2</v>
      </c>
      <c r="M4712" t="n">
        <v>1.56</v>
      </c>
      <c r="P4712" t="inlineStr">
        <is>
          <t>최형주</t>
        </is>
      </c>
      <c r="Q4712" t="inlineStr">
        <is>
          <t>홈서비스 60개월</t>
        </is>
      </c>
      <c r="AB4712" t="inlineStr">
        <is>
          <t>홈서비스</t>
        </is>
      </c>
      <c r="AC4712" t="n">
        <v>-436480</v>
      </c>
      <c r="AD4712" t="n">
        <v>-49600</v>
      </c>
      <c r="AE4712" t="n">
        <v>-386880</v>
      </c>
      <c r="AF4712" t="n">
        <v>-396800</v>
      </c>
      <c r="AG4712" t="n">
        <v>-47963.2</v>
      </c>
      <c r="AH4712" t="n">
        <v>-348836.8</v>
      </c>
      <c r="AI4712" t="n">
        <v>0</v>
      </c>
    </row>
    <row r="4713">
      <c r="A4713" t="inlineStr">
        <is>
          <t>4월</t>
        </is>
      </c>
      <c r="B4713" t="inlineStr">
        <is>
          <t>18주차</t>
        </is>
      </c>
      <c r="C4713" t="inlineStr">
        <is>
          <t>EP</t>
        </is>
      </c>
      <c r="D4713" s="28" t="n">
        <v>46139</v>
      </c>
      <c r="E4713" t="inlineStr">
        <is>
          <t>현대EP_fast</t>
        </is>
      </c>
      <c r="F4713" t="inlineStr">
        <is>
          <t>이정희</t>
        </is>
      </c>
      <c r="G4713" t="inlineStr">
        <is>
          <t>010-3134-3369</t>
        </is>
      </c>
      <c r="H4713" t="inlineStr">
        <is>
          <t>255소2457</t>
        </is>
      </c>
      <c r="I4713" t="n">
        <v>-5000000</v>
      </c>
      <c r="J4713" t="n">
        <v>0.09</v>
      </c>
      <c r="K4713" t="n">
        <v>1.76</v>
      </c>
      <c r="L4713" t="n">
        <v>0.2</v>
      </c>
      <c r="M4713" t="n">
        <v>1.56</v>
      </c>
      <c r="P4713" t="inlineStr">
        <is>
          <t>최형주</t>
        </is>
      </c>
      <c r="Q4713" t="inlineStr">
        <is>
          <t>홈서비스 36개월</t>
        </is>
      </c>
      <c r="AB4713" t="inlineStr">
        <is>
          <t>홈서비스</t>
        </is>
      </c>
      <c r="AC4713" t="n">
        <v>-88000</v>
      </c>
      <c r="AD4713" t="n">
        <v>-10000</v>
      </c>
      <c r="AE4713" t="n">
        <v>-78000</v>
      </c>
      <c r="AF4713" t="n">
        <v>-80000</v>
      </c>
      <c r="AG4713" t="n">
        <v>-9670</v>
      </c>
      <c r="AH4713" t="n">
        <v>-70330</v>
      </c>
      <c r="AI4713" t="n">
        <v>0</v>
      </c>
    </row>
    <row r="4714">
      <c r="A4714" t="inlineStr">
        <is>
          <t>4월</t>
        </is>
      </c>
      <c r="B4714" t="inlineStr">
        <is>
          <t>18주차</t>
        </is>
      </c>
      <c r="C4714" t="inlineStr">
        <is>
          <t>EP</t>
        </is>
      </c>
      <c r="D4714" s="28" t="n">
        <v>46141</v>
      </c>
      <c r="E4714" t="inlineStr">
        <is>
          <t>현대EP_fast</t>
        </is>
      </c>
      <c r="F4714" t="inlineStr">
        <is>
          <t>방승규</t>
        </is>
      </c>
      <c r="G4714" t="inlineStr">
        <is>
          <t>010-5121-9695</t>
        </is>
      </c>
      <c r="H4714" t="inlineStr">
        <is>
          <t>57버4773</t>
        </is>
      </c>
      <c r="I4714" t="n">
        <v>-4200000</v>
      </c>
      <c r="J4714" t="n">
        <v>0.07099999999999999</v>
      </c>
      <c r="K4714" t="n">
        <v>1.76</v>
      </c>
      <c r="L4714" t="n">
        <v>0.2</v>
      </c>
      <c r="M4714" t="n">
        <v>1.56</v>
      </c>
      <c r="P4714" t="inlineStr">
        <is>
          <t>최형주</t>
        </is>
      </c>
      <c r="Q4714" t="inlineStr">
        <is>
          <t>홈서비스 24개월</t>
        </is>
      </c>
      <c r="AB4714" t="inlineStr">
        <is>
          <t>홈서비스</t>
        </is>
      </c>
      <c r="AC4714" t="n">
        <v>-73920</v>
      </c>
      <c r="AD4714" t="n">
        <v>-8400</v>
      </c>
      <c r="AE4714" t="n">
        <v>-65520</v>
      </c>
      <c r="AF4714" t="n">
        <v>-67200</v>
      </c>
      <c r="AG4714" t="n">
        <v>-8122.8</v>
      </c>
      <c r="AH4714" t="n">
        <v>-59077.2</v>
      </c>
    </row>
    <row r="4715">
      <c r="A4715" t="inlineStr">
        <is>
          <t>4월</t>
        </is>
      </c>
      <c r="B4715" t="inlineStr">
        <is>
          <t>16주차</t>
        </is>
      </c>
      <c r="C4715" t="inlineStr">
        <is>
          <t>EP</t>
        </is>
      </c>
      <c r="D4715" s="28" t="n">
        <v>46130</v>
      </c>
      <c r="E4715" t="inlineStr">
        <is>
          <t>현대EP_fast</t>
        </is>
      </c>
      <c r="F4715" t="inlineStr">
        <is>
          <t>김효선</t>
        </is>
      </c>
      <c r="G4715" t="inlineStr">
        <is>
          <t>010-8184-8900</t>
        </is>
      </c>
      <c r="H4715" t="inlineStr">
        <is>
          <t>01나4058</t>
        </is>
      </c>
      <c r="I4715" t="n">
        <v>-17000000</v>
      </c>
      <c r="J4715" t="n">
        <v>0.102</v>
      </c>
      <c r="K4715" t="n">
        <v>1.76</v>
      </c>
      <c r="L4715" t="n">
        <v>0.2</v>
      </c>
      <c r="M4715" t="n">
        <v>1.56</v>
      </c>
      <c r="P4715" t="inlineStr">
        <is>
          <t>최혁</t>
        </is>
      </c>
      <c r="Q4715" t="inlineStr">
        <is>
          <t>홈서비스60개월</t>
        </is>
      </c>
      <c r="AB4715" t="inlineStr">
        <is>
          <t>홈서비스</t>
        </is>
      </c>
      <c r="AC4715" t="n">
        <v>-299200</v>
      </c>
      <c r="AD4715" t="n">
        <v>-34000</v>
      </c>
      <c r="AE4715" t="n">
        <v>-265200</v>
      </c>
      <c r="AF4715" t="n">
        <v>-272000</v>
      </c>
      <c r="AG4715" t="n">
        <v>-32878</v>
      </c>
      <c r="AH4715" t="n">
        <v>-239122</v>
      </c>
      <c r="AI4715" t="n">
        <v>0</v>
      </c>
    </row>
    <row r="4716">
      <c r="A4716" t="inlineStr">
        <is>
          <t>4월</t>
        </is>
      </c>
      <c r="B4716" t="inlineStr">
        <is>
          <t>16주차</t>
        </is>
      </c>
      <c r="C4716" t="inlineStr">
        <is>
          <t>EP</t>
        </is>
      </c>
      <c r="D4716" s="28" t="n">
        <v>46126</v>
      </c>
      <c r="E4716" t="inlineStr">
        <is>
          <t>현대EP</t>
        </is>
      </c>
      <c r="F4716" t="inlineStr">
        <is>
          <t>이예린</t>
        </is>
      </c>
      <c r="G4716" t="inlineStr">
        <is>
          <t>010-2578-8990</t>
        </is>
      </c>
      <c r="H4716" t="inlineStr">
        <is>
          <t>46라9791</t>
        </is>
      </c>
      <c r="I4716" t="n">
        <v>-6900000</v>
      </c>
      <c r="J4716" t="n">
        <v>0.14</v>
      </c>
      <c r="K4716" t="n">
        <v>1.76</v>
      </c>
      <c r="L4716" t="n">
        <v>0.2</v>
      </c>
      <c r="M4716" t="n">
        <v>1.56</v>
      </c>
      <c r="P4716" t="inlineStr">
        <is>
          <t>정하은</t>
        </is>
      </c>
      <c r="Q4716" t="inlineStr">
        <is>
          <t>홈서비스 36개월</t>
        </is>
      </c>
      <c r="AB4716" t="inlineStr">
        <is>
          <t>홈서비스</t>
        </is>
      </c>
      <c r="AC4716" t="n">
        <v>-121440</v>
      </c>
      <c r="AD4716" t="n">
        <v>-13800</v>
      </c>
      <c r="AE4716" t="n">
        <v>-107640</v>
      </c>
      <c r="AF4716" t="n">
        <v>-110400</v>
      </c>
      <c r="AG4716" t="n">
        <v>-13344.6</v>
      </c>
      <c r="AH4716" t="n">
        <v>-97055.39999999999</v>
      </c>
    </row>
    <row r="4717">
      <c r="A4717" t="inlineStr">
        <is>
          <t>4월</t>
        </is>
      </c>
      <c r="B4717" t="inlineStr">
        <is>
          <t>15주차</t>
        </is>
      </c>
      <c r="C4717" t="inlineStr">
        <is>
          <t>EP</t>
        </is>
      </c>
      <c r="D4717" s="28" t="n">
        <v>46121</v>
      </c>
      <c r="E4717" t="inlineStr">
        <is>
          <t>현대EP</t>
        </is>
      </c>
      <c r="F4717" t="inlineStr">
        <is>
          <t>박정기</t>
        </is>
      </c>
      <c r="G4717" t="inlineStr">
        <is>
          <t>010-6427-9473</t>
        </is>
      </c>
      <c r="H4717" t="inlineStr">
        <is>
          <t>385고4736</t>
        </is>
      </c>
      <c r="I4717" t="n">
        <v>-40500000</v>
      </c>
      <c r="J4717" t="n">
        <v>0.062</v>
      </c>
      <c r="K4717" t="n">
        <v>1.76</v>
      </c>
      <c r="L4717" t="n">
        <v>0.2</v>
      </c>
      <c r="M4717" t="n">
        <v>1.56</v>
      </c>
      <c r="P4717" t="inlineStr">
        <is>
          <t>정세빈</t>
        </is>
      </c>
      <c r="Q4717" t="inlineStr">
        <is>
          <t>홈서비스 60개월</t>
        </is>
      </c>
      <c r="AB4717" t="inlineStr">
        <is>
          <t>홈서비스</t>
        </is>
      </c>
      <c r="AC4717" t="n">
        <v>-712800</v>
      </c>
      <c r="AD4717" t="n">
        <v>-81000</v>
      </c>
      <c r="AE4717" t="n">
        <v>-631800</v>
      </c>
      <c r="AF4717" t="n">
        <v>-648000</v>
      </c>
      <c r="AG4717" t="n">
        <v>-78327</v>
      </c>
      <c r="AH4717" t="n">
        <v>-569673</v>
      </c>
      <c r="AI4717" t="n">
        <v>0</v>
      </c>
    </row>
    <row r="4718">
      <c r="A4718" t="inlineStr">
        <is>
          <t>4월</t>
        </is>
      </c>
      <c r="B4718" t="inlineStr">
        <is>
          <t>15주차</t>
        </is>
      </c>
      <c r="C4718" t="inlineStr">
        <is>
          <t>EP</t>
        </is>
      </c>
      <c r="D4718" s="28" t="n">
        <v>46122</v>
      </c>
      <c r="E4718" t="inlineStr">
        <is>
          <t>현대EP_fast</t>
        </is>
      </c>
      <c r="F4718" t="inlineStr">
        <is>
          <t>이예진</t>
        </is>
      </c>
      <c r="G4718" t="inlineStr">
        <is>
          <t>010-6299-0931</t>
        </is>
      </c>
      <c r="H4718" t="inlineStr">
        <is>
          <t>58두0379</t>
        </is>
      </c>
      <c r="I4718" t="n">
        <v>-4200000</v>
      </c>
      <c r="J4718" t="n">
        <v>0.09</v>
      </c>
      <c r="K4718" t="n">
        <v>1.76</v>
      </c>
      <c r="L4718" t="n">
        <v>0.2</v>
      </c>
      <c r="M4718" t="n">
        <v>1.56</v>
      </c>
      <c r="P4718" t="inlineStr">
        <is>
          <t>정세빈</t>
        </is>
      </c>
      <c r="Q4718" t="inlineStr">
        <is>
          <t>홈서비스 48개월</t>
        </is>
      </c>
      <c r="AB4718" t="inlineStr">
        <is>
          <t>홈서비스</t>
        </is>
      </c>
      <c r="AC4718" t="n">
        <v>-73920</v>
      </c>
      <c r="AD4718" t="n">
        <v>-8400</v>
      </c>
      <c r="AE4718" t="n">
        <v>-65520</v>
      </c>
      <c r="AF4718" t="n">
        <v>-67200</v>
      </c>
      <c r="AG4718" t="n">
        <v>-8122.8</v>
      </c>
      <c r="AH4718" t="n">
        <v>-59077.2</v>
      </c>
      <c r="AI4718" t="n">
        <v>0</v>
      </c>
      <c r="AJ4718" t="inlineStr">
        <is>
          <t>개인</t>
        </is>
      </c>
    </row>
    <row r="4719">
      <c r="A4719" t="inlineStr">
        <is>
          <t>4월</t>
        </is>
      </c>
      <c r="B4719" t="inlineStr">
        <is>
          <t>16주차</t>
        </is>
      </c>
      <c r="C4719" t="inlineStr">
        <is>
          <t>EP</t>
        </is>
      </c>
      <c r="D4719" s="28" t="n">
        <v>46125</v>
      </c>
      <c r="E4719" t="inlineStr">
        <is>
          <t>현대EP_fast</t>
        </is>
      </c>
      <c r="F4719" t="inlineStr">
        <is>
          <t>박경선</t>
        </is>
      </c>
      <c r="G4719" t="inlineStr">
        <is>
          <t>010-2239-9415</t>
        </is>
      </c>
      <c r="H4719" t="inlineStr">
        <is>
          <t>58고1834</t>
        </is>
      </c>
      <c r="I4719" t="n">
        <v>-12000000</v>
      </c>
      <c r="J4719" t="n">
        <v>0.07099999999999999</v>
      </c>
      <c r="K4719" t="n">
        <v>1.76</v>
      </c>
      <c r="L4719" t="n">
        <v>0.2</v>
      </c>
      <c r="M4719" t="n">
        <v>1.56</v>
      </c>
      <c r="P4719" t="inlineStr">
        <is>
          <t>정세빈</t>
        </is>
      </c>
      <c r="Q4719" t="inlineStr">
        <is>
          <t>홈서비스 60개월</t>
        </is>
      </c>
      <c r="AB4719" t="inlineStr">
        <is>
          <t>홈서비스</t>
        </is>
      </c>
      <c r="AC4719" t="n">
        <v>-211200</v>
      </c>
      <c r="AD4719" t="n">
        <v>-24000</v>
      </c>
      <c r="AE4719" t="n">
        <v>-187200</v>
      </c>
      <c r="AF4719" t="n">
        <v>-192000</v>
      </c>
      <c r="AG4719" t="n">
        <v>-23208</v>
      </c>
      <c r="AH4719" t="n">
        <v>-168792</v>
      </c>
      <c r="AI4719" t="n">
        <v>0</v>
      </c>
    </row>
    <row r="4720">
      <c r="A4720" t="inlineStr">
        <is>
          <t>4월</t>
        </is>
      </c>
      <c r="B4720" t="inlineStr">
        <is>
          <t>14주차</t>
        </is>
      </c>
      <c r="C4720" t="inlineStr">
        <is>
          <t>EP</t>
        </is>
      </c>
      <c r="D4720" s="28" t="n">
        <v>46114</v>
      </c>
      <c r="E4720" t="inlineStr">
        <is>
          <t>현대EP_fast</t>
        </is>
      </c>
      <c r="F4720" t="inlineStr">
        <is>
          <t>이동화</t>
        </is>
      </c>
      <c r="G4720" t="inlineStr">
        <is>
          <t>010-9194-3164</t>
        </is>
      </c>
      <c r="H4720" t="inlineStr">
        <is>
          <t>393가2385</t>
        </is>
      </c>
      <c r="I4720" t="n">
        <v>-14000000</v>
      </c>
      <c r="J4720" t="n">
        <v>0.08599999999999999</v>
      </c>
      <c r="K4720" t="n">
        <v>1.76</v>
      </c>
      <c r="L4720" t="n">
        <v>0.2</v>
      </c>
      <c r="M4720" t="n">
        <v>1.56</v>
      </c>
      <c r="P4720" t="inlineStr">
        <is>
          <t>정세빈</t>
        </is>
      </c>
      <c r="Q4720" t="inlineStr">
        <is>
          <t>홈서비스 36개월</t>
        </is>
      </c>
      <c r="AB4720" t="inlineStr">
        <is>
          <t>홈서비스</t>
        </is>
      </c>
      <c r="AC4720" t="n">
        <v>-246400</v>
      </c>
      <c r="AD4720" t="n">
        <v>-28000</v>
      </c>
      <c r="AE4720" t="n">
        <v>-218400</v>
      </c>
      <c r="AF4720" t="n">
        <v>-224000</v>
      </c>
      <c r="AG4720" t="n">
        <v>-27076</v>
      </c>
      <c r="AH4720" t="n">
        <v>-196924</v>
      </c>
    </row>
    <row r="4721">
      <c r="A4721" t="inlineStr">
        <is>
          <t>4월</t>
        </is>
      </c>
      <c r="B4721" t="inlineStr">
        <is>
          <t>16주차</t>
        </is>
      </c>
      <c r="C4721" t="inlineStr">
        <is>
          <t>EP</t>
        </is>
      </c>
      <c r="D4721" s="28" t="n">
        <v>46126</v>
      </c>
      <c r="E4721" t="inlineStr">
        <is>
          <t>현대EP_fast</t>
        </is>
      </c>
      <c r="F4721" t="inlineStr">
        <is>
          <t>조한오</t>
        </is>
      </c>
      <c r="G4721" t="inlineStr">
        <is>
          <t>010-4221-4839</t>
        </is>
      </c>
      <c r="H4721" t="inlineStr">
        <is>
          <t>35도8271</t>
        </is>
      </c>
      <c r="I4721" t="n">
        <v>-8200000</v>
      </c>
      <c r="J4721" t="n">
        <v>0.07099999999999999</v>
      </c>
      <c r="K4721" t="n">
        <v>1.76</v>
      </c>
      <c r="L4721" t="n">
        <v>0.2</v>
      </c>
      <c r="M4721" t="n">
        <v>1.56</v>
      </c>
      <c r="P4721" t="inlineStr">
        <is>
          <t>정세빈</t>
        </is>
      </c>
      <c r="Q4721" t="inlineStr">
        <is>
          <t>홈서비스 36개월</t>
        </is>
      </c>
      <c r="AB4721" t="inlineStr">
        <is>
          <t>홈서비스</t>
        </is>
      </c>
      <c r="AC4721" t="n">
        <v>-144320</v>
      </c>
      <c r="AD4721" t="n">
        <v>-16400</v>
      </c>
      <c r="AE4721" t="n">
        <v>-127920</v>
      </c>
      <c r="AF4721" t="n">
        <v>-131200</v>
      </c>
      <c r="AG4721" t="n">
        <v>-15858.8</v>
      </c>
      <c r="AH4721" t="n">
        <v>-115341.2</v>
      </c>
      <c r="AI4721" t="n">
        <v>0</v>
      </c>
    </row>
    <row r="4722">
      <c r="A4722" t="inlineStr">
        <is>
          <t>4월</t>
        </is>
      </c>
      <c r="B4722" t="inlineStr">
        <is>
          <t>17주차</t>
        </is>
      </c>
      <c r="C4722" t="inlineStr">
        <is>
          <t>EP</t>
        </is>
      </c>
      <c r="D4722" s="28" t="n">
        <v>46134</v>
      </c>
      <c r="E4722" t="inlineStr">
        <is>
          <t>현대EP_fast</t>
        </is>
      </c>
      <c r="F4722" t="inlineStr">
        <is>
          <t>강영석</t>
        </is>
      </c>
      <c r="G4722" t="inlineStr">
        <is>
          <t>010-6359-5300</t>
        </is>
      </c>
      <c r="H4722" t="inlineStr">
        <is>
          <t>340보1136</t>
        </is>
      </c>
      <c r="I4722" t="n">
        <v>-17900000</v>
      </c>
      <c r="J4722" t="n">
        <v>0.092</v>
      </c>
      <c r="K4722" t="n">
        <v>1.76</v>
      </c>
      <c r="L4722" t="n">
        <v>0.2</v>
      </c>
      <c r="M4722" t="n">
        <v>1.56</v>
      </c>
      <c r="P4722" t="inlineStr">
        <is>
          <t>정세빈</t>
        </is>
      </c>
      <c r="Q4722" t="inlineStr">
        <is>
          <t>홈서비스 60개월</t>
        </is>
      </c>
      <c r="AB4722" t="inlineStr">
        <is>
          <t>홈서비스</t>
        </is>
      </c>
      <c r="AC4722" t="n">
        <v>-315040</v>
      </c>
      <c r="AD4722" t="n">
        <v>-35800</v>
      </c>
      <c r="AE4722" t="n">
        <v>-279240</v>
      </c>
      <c r="AF4722" t="n">
        <v>-286400</v>
      </c>
      <c r="AG4722" t="n">
        <v>-34618.6</v>
      </c>
      <c r="AH4722" t="n">
        <v>-251781.4</v>
      </c>
      <c r="AI4722" t="n">
        <v>0</v>
      </c>
    </row>
    <row r="4723">
      <c r="A4723" t="inlineStr">
        <is>
          <t>4월</t>
        </is>
      </c>
      <c r="B4723" t="inlineStr">
        <is>
          <t>17주차</t>
        </is>
      </c>
      <c r="C4723" t="inlineStr">
        <is>
          <t>EP</t>
        </is>
      </c>
      <c r="D4723" s="28" t="n">
        <v>46135</v>
      </c>
      <c r="E4723" t="inlineStr">
        <is>
          <t>현대EP</t>
        </is>
      </c>
      <c r="F4723" t="inlineStr">
        <is>
          <t>김대유</t>
        </is>
      </c>
      <c r="G4723" t="inlineStr">
        <is>
          <t>010-2724-3888</t>
        </is>
      </c>
      <c r="H4723" t="inlineStr">
        <is>
          <t>132마5379</t>
        </is>
      </c>
      <c r="I4723" t="n">
        <v>-24700000</v>
      </c>
      <c r="J4723" t="n">
        <v>0.09</v>
      </c>
      <c r="K4723" t="n">
        <v>1.76</v>
      </c>
      <c r="L4723" t="n">
        <v>0.2</v>
      </c>
      <c r="M4723" t="n">
        <v>1.56</v>
      </c>
      <c r="P4723" t="inlineStr">
        <is>
          <t>정세빈</t>
        </is>
      </c>
      <c r="AB4723" t="inlineStr">
        <is>
          <t>홈서비스</t>
        </is>
      </c>
      <c r="AC4723" t="n">
        <v>-434720</v>
      </c>
      <c r="AD4723" t="n">
        <v>-49400</v>
      </c>
      <c r="AE4723" t="n">
        <v>-385320</v>
      </c>
      <c r="AF4723" t="n">
        <v>-395200</v>
      </c>
      <c r="AG4723" t="n">
        <v>-47769.8</v>
      </c>
      <c r="AH4723" t="n">
        <v>-347430.2</v>
      </c>
      <c r="AI4723" t="n">
        <v>0</v>
      </c>
    </row>
    <row r="4724">
      <c r="A4724" t="inlineStr">
        <is>
          <t>4월</t>
        </is>
      </c>
      <c r="B4724" t="inlineStr">
        <is>
          <t>14주차</t>
        </is>
      </c>
      <c r="C4724" t="inlineStr">
        <is>
          <t>EP</t>
        </is>
      </c>
      <c r="D4724" s="28" t="n">
        <v>46113</v>
      </c>
      <c r="E4724" t="inlineStr">
        <is>
          <t>현대EP_fast</t>
        </is>
      </c>
      <c r="F4724" t="inlineStr">
        <is>
          <t>윤지현</t>
        </is>
      </c>
      <c r="G4724" t="inlineStr">
        <is>
          <t>010-2849-7574</t>
        </is>
      </c>
      <c r="H4724" t="inlineStr">
        <is>
          <t>363더1507</t>
        </is>
      </c>
      <c r="I4724" t="n">
        <v>-16000000</v>
      </c>
      <c r="J4724" t="n">
        <v>0.062</v>
      </c>
      <c r="K4724" t="n">
        <v>1.76</v>
      </c>
      <c r="L4724" t="n">
        <v>0.2</v>
      </c>
      <c r="M4724" t="n">
        <v>1.56</v>
      </c>
      <c r="P4724" t="inlineStr">
        <is>
          <t>정광호</t>
        </is>
      </c>
      <c r="Q4724" t="inlineStr">
        <is>
          <t>홈서비스 36개월</t>
        </is>
      </c>
      <c r="AB4724" t="inlineStr">
        <is>
          <t>홈서비스</t>
        </is>
      </c>
      <c r="AC4724" t="n">
        <v>-281600</v>
      </c>
      <c r="AD4724" t="n">
        <v>-32000</v>
      </c>
      <c r="AE4724" t="n">
        <v>-249600</v>
      </c>
      <c r="AF4724" t="n">
        <v>-256000</v>
      </c>
      <c r="AG4724" t="n">
        <v>-30944</v>
      </c>
      <c r="AH4724" t="n">
        <v>-225056</v>
      </c>
      <c r="AI4724" t="n">
        <v>0</v>
      </c>
    </row>
    <row r="4725">
      <c r="A4725" t="inlineStr">
        <is>
          <t>4월</t>
        </is>
      </c>
      <c r="B4725" t="inlineStr">
        <is>
          <t>15주차</t>
        </is>
      </c>
      <c r="C4725" t="inlineStr">
        <is>
          <t>EP</t>
        </is>
      </c>
      <c r="D4725" s="28" t="n">
        <v>46122</v>
      </c>
      <c r="E4725" t="inlineStr">
        <is>
          <t>현대EP_fast</t>
        </is>
      </c>
      <c r="F4725" t="inlineStr">
        <is>
          <t>조민아</t>
        </is>
      </c>
      <c r="G4725" t="inlineStr">
        <is>
          <t>010-5068-1787</t>
        </is>
      </c>
      <c r="H4725" t="inlineStr">
        <is>
          <t>56서5413</t>
        </is>
      </c>
      <c r="I4725" t="n">
        <v>-14600000</v>
      </c>
      <c r="J4725" t="n">
        <v>0.154</v>
      </c>
      <c r="K4725" t="n">
        <v>1.76</v>
      </c>
      <c r="L4725" t="n">
        <v>0.2</v>
      </c>
      <c r="M4725" t="n">
        <v>1.56</v>
      </c>
      <c r="P4725" t="inlineStr">
        <is>
          <t>정광호</t>
        </is>
      </c>
      <c r="Q4725" t="inlineStr">
        <is>
          <t>홈서비스 48개월</t>
        </is>
      </c>
      <c r="AB4725" t="inlineStr">
        <is>
          <t>홈서비스</t>
        </is>
      </c>
      <c r="AC4725" t="n">
        <v>-256960</v>
      </c>
      <c r="AD4725" t="n">
        <v>-29200</v>
      </c>
      <c r="AE4725" t="n">
        <v>-227760</v>
      </c>
      <c r="AF4725" t="n">
        <v>-233600</v>
      </c>
      <c r="AG4725" t="n">
        <v>-28236.4</v>
      </c>
      <c r="AH4725" t="n">
        <v>-205363.6</v>
      </c>
      <c r="AI4725" t="n">
        <v>0</v>
      </c>
    </row>
    <row r="4726">
      <c r="A4726" t="inlineStr">
        <is>
          <t>4월</t>
        </is>
      </c>
      <c r="B4726" t="inlineStr">
        <is>
          <t>16주차</t>
        </is>
      </c>
      <c r="C4726" t="inlineStr">
        <is>
          <t>EP</t>
        </is>
      </c>
      <c r="D4726" s="28" t="n">
        <v>46127</v>
      </c>
      <c r="E4726" t="inlineStr">
        <is>
          <t>현대EP_fast</t>
        </is>
      </c>
      <c r="F4726" t="inlineStr">
        <is>
          <t>황현</t>
        </is>
      </c>
      <c r="G4726" t="inlineStr">
        <is>
          <t>010-9676-3683</t>
        </is>
      </c>
      <c r="H4726" t="inlineStr">
        <is>
          <t>145소9042</t>
        </is>
      </c>
      <c r="I4726" t="n">
        <v>-17900000</v>
      </c>
      <c r="J4726" t="n">
        <v>0.102</v>
      </c>
      <c r="K4726" t="n">
        <v>1.76</v>
      </c>
      <c r="L4726" t="n">
        <v>0.2</v>
      </c>
      <c r="M4726" t="n">
        <v>1.56</v>
      </c>
      <c r="P4726" t="inlineStr">
        <is>
          <t>정광호</t>
        </is>
      </c>
      <c r="Q4726" t="inlineStr">
        <is>
          <t>홈서비스 60개월</t>
        </is>
      </c>
      <c r="AB4726" t="inlineStr">
        <is>
          <t>홈서비스</t>
        </is>
      </c>
      <c r="AC4726" t="n">
        <v>-315040</v>
      </c>
      <c r="AD4726" t="n">
        <v>-35800</v>
      </c>
      <c r="AE4726" t="n">
        <v>-279240</v>
      </c>
      <c r="AF4726" t="n">
        <v>-286400</v>
      </c>
      <c r="AG4726" t="n">
        <v>-34618.6</v>
      </c>
      <c r="AH4726" t="n">
        <v>-251781.4</v>
      </c>
      <c r="AI4726" t="n">
        <v>0</v>
      </c>
    </row>
    <row r="4727">
      <c r="A4727" t="inlineStr">
        <is>
          <t>4월</t>
        </is>
      </c>
      <c r="B4727" t="inlineStr">
        <is>
          <t>15주차</t>
        </is>
      </c>
      <c r="C4727" t="inlineStr">
        <is>
          <t>EP</t>
        </is>
      </c>
      <c r="D4727" s="28" t="n">
        <v>46119</v>
      </c>
      <c r="E4727" t="inlineStr">
        <is>
          <t>현대EP</t>
        </is>
      </c>
      <c r="F4727" t="inlineStr">
        <is>
          <t>박하나</t>
        </is>
      </c>
      <c r="G4727" t="inlineStr">
        <is>
          <t>010-7757-4852</t>
        </is>
      </c>
      <c r="H4727" t="inlineStr">
        <is>
          <t>43조0586</t>
        </is>
      </c>
      <c r="I4727" t="n">
        <v>-17000000</v>
      </c>
      <c r="J4727" t="n">
        <v>0.077</v>
      </c>
      <c r="K4727" t="n">
        <v>1.76</v>
      </c>
      <c r="L4727" t="n">
        <v>0.2</v>
      </c>
      <c r="M4727" t="n">
        <v>1.56</v>
      </c>
      <c r="P4727" t="inlineStr">
        <is>
          <t>장현경</t>
        </is>
      </c>
      <c r="Q4727" t="inlineStr">
        <is>
          <t>홈서비스 60개월</t>
        </is>
      </c>
      <c r="AB4727" t="inlineStr">
        <is>
          <t>홈서비스</t>
        </is>
      </c>
      <c r="AC4727" t="n">
        <v>-299200</v>
      </c>
      <c r="AD4727" t="n">
        <v>-34000</v>
      </c>
      <c r="AE4727" t="n">
        <v>-265200</v>
      </c>
      <c r="AF4727" t="n">
        <v>-272000</v>
      </c>
      <c r="AG4727" t="n">
        <v>-32878</v>
      </c>
      <c r="AH4727" t="n">
        <v>-239122</v>
      </c>
      <c r="AI4727" t="n">
        <v>0</v>
      </c>
    </row>
    <row r="4728">
      <c r="A4728" t="inlineStr">
        <is>
          <t>4월</t>
        </is>
      </c>
      <c r="B4728" t="inlineStr">
        <is>
          <t>16주차</t>
        </is>
      </c>
      <c r="C4728" t="inlineStr">
        <is>
          <t>EP</t>
        </is>
      </c>
      <c r="D4728" s="28" t="n">
        <v>46126</v>
      </c>
      <c r="E4728" t="inlineStr">
        <is>
          <t>현대EP_fast</t>
        </is>
      </c>
      <c r="F4728" t="inlineStr">
        <is>
          <t>옥기주</t>
        </is>
      </c>
      <c r="G4728" t="inlineStr">
        <is>
          <t>010-5142-0411</t>
        </is>
      </c>
      <c r="H4728" t="inlineStr">
        <is>
          <t>34서4597</t>
        </is>
      </c>
      <c r="I4728" t="n">
        <v>-13500000</v>
      </c>
      <c r="J4728" t="n">
        <v>0.102</v>
      </c>
      <c r="K4728" t="n">
        <v>1.76</v>
      </c>
      <c r="L4728" t="n">
        <v>0.2</v>
      </c>
      <c r="M4728" t="n">
        <v>1.56</v>
      </c>
      <c r="P4728" t="inlineStr">
        <is>
          <t>장현경</t>
        </is>
      </c>
      <c r="Q4728" t="inlineStr">
        <is>
          <t>선상담 / 홈서비스 24개월</t>
        </is>
      </c>
      <c r="AB4728" t="inlineStr">
        <is>
          <t>홈서비스</t>
        </is>
      </c>
      <c r="AC4728" t="n">
        <v>-237600</v>
      </c>
      <c r="AD4728" t="n">
        <v>-27000</v>
      </c>
      <c r="AE4728" t="n">
        <v>-210600</v>
      </c>
      <c r="AF4728" t="n">
        <v>-216000</v>
      </c>
      <c r="AG4728" t="n">
        <v>-26109</v>
      </c>
      <c r="AH4728" t="n">
        <v>-189891</v>
      </c>
      <c r="AI4728" t="n">
        <v>0</v>
      </c>
    </row>
    <row r="4729">
      <c r="A4729" t="inlineStr">
        <is>
          <t>4월</t>
        </is>
      </c>
      <c r="B4729" t="inlineStr">
        <is>
          <t>14주차</t>
        </is>
      </c>
      <c r="C4729" t="inlineStr">
        <is>
          <t>EP</t>
        </is>
      </c>
      <c r="D4729" s="28" t="n">
        <v>46115</v>
      </c>
      <c r="E4729" t="inlineStr">
        <is>
          <t>현대EP</t>
        </is>
      </c>
      <c r="F4729" t="inlineStr">
        <is>
          <t>장준섭</t>
        </is>
      </c>
      <c r="G4729" t="inlineStr">
        <is>
          <t>010-9557-6453</t>
        </is>
      </c>
      <c r="H4729" t="inlineStr">
        <is>
          <t>15무6776</t>
        </is>
      </c>
      <c r="I4729" t="n">
        <v>-7000000</v>
      </c>
      <c r="J4729" t="n">
        <v>0.119</v>
      </c>
      <c r="K4729" t="n">
        <v>1.76</v>
      </c>
      <c r="L4729" t="n">
        <v>0.2</v>
      </c>
      <c r="M4729" t="n">
        <v>1.56</v>
      </c>
      <c r="P4729" t="inlineStr">
        <is>
          <t>장진경</t>
        </is>
      </c>
      <c r="Q4729" t="inlineStr">
        <is>
          <t>홈서비스 60개월</t>
        </is>
      </c>
      <c r="AB4729" t="inlineStr">
        <is>
          <t>홈서비스</t>
        </is>
      </c>
      <c r="AC4729" t="n">
        <v>-123200</v>
      </c>
      <c r="AD4729" t="n">
        <v>-14000</v>
      </c>
      <c r="AE4729" t="n">
        <v>-109200</v>
      </c>
      <c r="AF4729" t="n">
        <v>-112000</v>
      </c>
      <c r="AG4729" t="n">
        <v>-13538</v>
      </c>
      <c r="AH4729" t="n">
        <v>-98462</v>
      </c>
      <c r="AI4729" t="n">
        <v>0</v>
      </c>
    </row>
    <row r="4730">
      <c r="A4730" t="inlineStr">
        <is>
          <t>4월</t>
        </is>
      </c>
      <c r="B4730" t="inlineStr">
        <is>
          <t>16주차</t>
        </is>
      </c>
      <c r="C4730" t="inlineStr">
        <is>
          <t>EP</t>
        </is>
      </c>
      <c r="D4730" s="28" t="n">
        <v>46127</v>
      </c>
      <c r="E4730" t="inlineStr">
        <is>
          <t>현대EP_fast</t>
        </is>
      </c>
      <c r="F4730" t="inlineStr">
        <is>
          <t>천인영</t>
        </is>
      </c>
      <c r="G4730" t="inlineStr">
        <is>
          <t>010-9919-4204</t>
        </is>
      </c>
      <c r="H4730" t="inlineStr">
        <is>
          <t>156구7729</t>
        </is>
      </c>
      <c r="I4730" t="n">
        <v>-15900000</v>
      </c>
      <c r="J4730" t="n">
        <v>0.079</v>
      </c>
      <c r="K4730" t="n">
        <v>1.76</v>
      </c>
      <c r="L4730" t="n">
        <v>0.2</v>
      </c>
      <c r="M4730" t="n">
        <v>1.56</v>
      </c>
      <c r="P4730" t="inlineStr">
        <is>
          <t>장진경</t>
        </is>
      </c>
      <c r="Q4730" t="inlineStr">
        <is>
          <t>선상담 / 홈서비스 60개월</t>
        </is>
      </c>
      <c r="AB4730" t="inlineStr">
        <is>
          <t>홈서비스</t>
        </is>
      </c>
      <c r="AC4730" t="n">
        <v>-279840</v>
      </c>
      <c r="AD4730" t="n">
        <v>-31800</v>
      </c>
      <c r="AE4730" t="n">
        <v>-248040</v>
      </c>
      <c r="AF4730" t="n">
        <v>-254400</v>
      </c>
      <c r="AG4730" t="n">
        <v>-30750.6</v>
      </c>
      <c r="AH4730" t="n">
        <v>-223649.4</v>
      </c>
    </row>
    <row r="4731">
      <c r="A4731" t="inlineStr">
        <is>
          <t>4월</t>
        </is>
      </c>
      <c r="B4731" t="inlineStr">
        <is>
          <t>15주차</t>
        </is>
      </c>
      <c r="C4731" t="inlineStr">
        <is>
          <t>EP</t>
        </is>
      </c>
      <c r="D4731" s="28" t="n">
        <v>46123</v>
      </c>
      <c r="E4731" t="inlineStr">
        <is>
          <t>현대EP_fast</t>
        </is>
      </c>
      <c r="F4731" t="inlineStr">
        <is>
          <t>복승규</t>
        </is>
      </c>
      <c r="G4731" t="inlineStr">
        <is>
          <t>010-8383-8301</t>
        </is>
      </c>
      <c r="H4731" t="inlineStr">
        <is>
          <t>60두4557</t>
        </is>
      </c>
      <c r="I4731" t="n">
        <v>-16300000</v>
      </c>
      <c r="J4731" t="n">
        <v>0.07099999999999999</v>
      </c>
      <c r="K4731" t="n">
        <v>1.76</v>
      </c>
      <c r="L4731" t="n">
        <v>0.2</v>
      </c>
      <c r="M4731" t="n">
        <v>1.56</v>
      </c>
      <c r="P4731" t="inlineStr">
        <is>
          <t>임대경</t>
        </is>
      </c>
      <c r="Q4731" t="inlineStr">
        <is>
          <t>홈서비스 60개월</t>
        </is>
      </c>
      <c r="AB4731" t="inlineStr">
        <is>
          <t>홈서비스</t>
        </is>
      </c>
      <c r="AC4731" t="n">
        <v>-286880</v>
      </c>
      <c r="AD4731" t="n">
        <v>-32600</v>
      </c>
      <c r="AE4731" t="n">
        <v>-254280</v>
      </c>
      <c r="AF4731" t="n">
        <v>-260800</v>
      </c>
      <c r="AG4731" t="n">
        <v>-31524.2</v>
      </c>
      <c r="AH4731" t="n">
        <v>-229275.8</v>
      </c>
      <c r="AI4731" t="n">
        <v>0</v>
      </c>
    </row>
    <row r="4732">
      <c r="A4732" t="inlineStr">
        <is>
          <t>4월</t>
        </is>
      </c>
      <c r="B4732" t="inlineStr">
        <is>
          <t>16주차</t>
        </is>
      </c>
      <c r="C4732" t="inlineStr">
        <is>
          <t>EP</t>
        </is>
      </c>
      <c r="D4732" s="28" t="n">
        <v>46128</v>
      </c>
      <c r="E4732" t="inlineStr">
        <is>
          <t>현대EP_fast</t>
        </is>
      </c>
      <c r="F4732" t="inlineStr">
        <is>
          <t>김영직</t>
        </is>
      </c>
      <c r="G4732" t="inlineStr">
        <is>
          <t>010-9671-0369</t>
        </is>
      </c>
      <c r="H4732" t="inlineStr">
        <is>
          <t>55서8388</t>
        </is>
      </c>
      <c r="I4732" t="n">
        <v>-8600000</v>
      </c>
      <c r="J4732" t="n">
        <v>0.118</v>
      </c>
      <c r="K4732" t="n">
        <v>1.76</v>
      </c>
      <c r="L4732" t="n">
        <v>0.2</v>
      </c>
      <c r="M4732" t="n">
        <v>1.56</v>
      </c>
      <c r="P4732" t="inlineStr">
        <is>
          <t>임대경</t>
        </is>
      </c>
      <c r="Q4732" t="inlineStr">
        <is>
          <t>홈서비스 36개월</t>
        </is>
      </c>
      <c r="AB4732" t="inlineStr">
        <is>
          <t>홈서비스</t>
        </is>
      </c>
      <c r="AC4732" t="n">
        <v>-151360</v>
      </c>
      <c r="AD4732" t="n">
        <v>-17200</v>
      </c>
      <c r="AE4732" t="n">
        <v>-134160</v>
      </c>
      <c r="AF4732" t="n">
        <v>-137600</v>
      </c>
      <c r="AG4732" t="n">
        <v>-16632.4</v>
      </c>
      <c r="AH4732" t="n">
        <v>-120967.6</v>
      </c>
      <c r="AI4732" t="n">
        <v>0</v>
      </c>
    </row>
    <row r="4733">
      <c r="A4733" t="inlineStr">
        <is>
          <t>4월</t>
        </is>
      </c>
      <c r="B4733" t="inlineStr">
        <is>
          <t>18주차</t>
        </is>
      </c>
      <c r="C4733" t="inlineStr">
        <is>
          <t>EP</t>
        </is>
      </c>
      <c r="D4733" s="28" t="n">
        <v>46139</v>
      </c>
      <c r="E4733" t="inlineStr">
        <is>
          <t>현대EP_fast</t>
        </is>
      </c>
      <c r="F4733" t="inlineStr">
        <is>
          <t>홍다은</t>
        </is>
      </c>
      <c r="G4733" t="inlineStr">
        <is>
          <t>010-8288-3723</t>
        </is>
      </c>
      <c r="H4733" t="inlineStr">
        <is>
          <t>26어7599</t>
        </is>
      </c>
      <c r="I4733" t="n">
        <v>-10500000</v>
      </c>
      <c r="J4733" t="n">
        <v>0.118</v>
      </c>
      <c r="K4733" t="n">
        <v>1.76</v>
      </c>
      <c r="L4733" t="n">
        <v>0.2</v>
      </c>
      <c r="M4733" t="n">
        <v>1.56</v>
      </c>
      <c r="P4733" t="inlineStr">
        <is>
          <t>임대경</t>
        </is>
      </c>
      <c r="Q4733" t="inlineStr">
        <is>
          <t>홈서비스 36개월</t>
        </is>
      </c>
      <c r="AB4733" t="inlineStr">
        <is>
          <t>홈서비스</t>
        </is>
      </c>
      <c r="AC4733" t="n">
        <v>-184800</v>
      </c>
      <c r="AD4733" t="n">
        <v>-21000</v>
      </c>
      <c r="AE4733" t="n">
        <v>-163800</v>
      </c>
      <c r="AF4733" t="n">
        <v>-168000</v>
      </c>
      <c r="AG4733" t="n">
        <v>-20307</v>
      </c>
      <c r="AH4733" t="n">
        <v>-147693</v>
      </c>
    </row>
    <row r="4734">
      <c r="A4734" t="inlineStr">
        <is>
          <t>4월</t>
        </is>
      </c>
      <c r="B4734" t="inlineStr">
        <is>
          <t>16주차</t>
        </is>
      </c>
      <c r="C4734" t="inlineStr">
        <is>
          <t>EP</t>
        </is>
      </c>
      <c r="D4734" s="28" t="n">
        <v>46126</v>
      </c>
      <c r="E4734" t="inlineStr">
        <is>
          <t>현대EP_fast</t>
        </is>
      </c>
      <c r="F4734" t="inlineStr">
        <is>
          <t>강정훈</t>
        </is>
      </c>
      <c r="G4734" t="inlineStr">
        <is>
          <t>010-7155-9047</t>
        </is>
      </c>
      <c r="H4734" t="inlineStr">
        <is>
          <t>27어4424</t>
        </is>
      </c>
      <c r="I4734" t="n">
        <v>-4500000</v>
      </c>
      <c r="J4734" t="n">
        <v>0.079</v>
      </c>
      <c r="K4734" t="n">
        <v>1.76</v>
      </c>
      <c r="L4734" t="n">
        <v>0.2</v>
      </c>
      <c r="M4734" t="n">
        <v>1.56</v>
      </c>
      <c r="P4734" t="inlineStr">
        <is>
          <t>박현민</t>
        </is>
      </c>
      <c r="Q4734" t="inlineStr">
        <is>
          <t>홈서비스 36개월</t>
        </is>
      </c>
      <c r="AB4734" t="inlineStr">
        <is>
          <t>홈서비스</t>
        </is>
      </c>
      <c r="AC4734" t="n">
        <v>-79200</v>
      </c>
      <c r="AD4734" t="n">
        <v>-9000</v>
      </c>
      <c r="AE4734" t="n">
        <v>-70200</v>
      </c>
      <c r="AF4734" t="n">
        <v>-72000</v>
      </c>
      <c r="AG4734" t="n">
        <v>-8703</v>
      </c>
      <c r="AH4734" t="n">
        <v>-63297</v>
      </c>
      <c r="AI4734" t="n">
        <v>0</v>
      </c>
    </row>
    <row r="4735">
      <c r="A4735" t="inlineStr">
        <is>
          <t>4월</t>
        </is>
      </c>
      <c r="B4735" t="inlineStr">
        <is>
          <t>17주차</t>
        </is>
      </c>
      <c r="C4735" t="inlineStr">
        <is>
          <t>EP</t>
        </is>
      </c>
      <c r="D4735" s="28" t="n">
        <v>46132</v>
      </c>
      <c r="E4735" t="inlineStr">
        <is>
          <t>현대EP_fast</t>
        </is>
      </c>
      <c r="F4735" t="inlineStr">
        <is>
          <t>김세하</t>
        </is>
      </c>
      <c r="G4735" t="inlineStr">
        <is>
          <t>010-3768-0669</t>
        </is>
      </c>
      <c r="H4735" t="inlineStr">
        <is>
          <t>28가6782</t>
        </is>
      </c>
      <c r="I4735" t="n">
        <v>-3700000</v>
      </c>
      <c r="J4735" t="n">
        <v>0.08500000000000001</v>
      </c>
      <c r="K4735" t="n">
        <v>1.76</v>
      </c>
      <c r="L4735" t="n">
        <v>0.2</v>
      </c>
      <c r="M4735" t="n">
        <v>1.56</v>
      </c>
      <c r="P4735" t="inlineStr">
        <is>
          <t>박현민</t>
        </is>
      </c>
      <c r="Q4735" t="inlineStr">
        <is>
          <t>홈서비스 60개월</t>
        </is>
      </c>
      <c r="AB4735" t="inlineStr">
        <is>
          <t>홈서비스</t>
        </is>
      </c>
      <c r="AC4735" t="n">
        <v>-65120</v>
      </c>
      <c r="AD4735" t="n">
        <v>-7400</v>
      </c>
      <c r="AE4735" t="n">
        <v>-57720</v>
      </c>
      <c r="AF4735" t="n">
        <v>-59200</v>
      </c>
      <c r="AG4735" t="n">
        <v>-7155.8</v>
      </c>
      <c r="AH4735" t="n">
        <v>-52044.2</v>
      </c>
      <c r="AI4735" t="n">
        <v>0</v>
      </c>
    </row>
    <row r="4736">
      <c r="A4736" t="inlineStr">
        <is>
          <t>4월</t>
        </is>
      </c>
      <c r="B4736" t="inlineStr">
        <is>
          <t>14주차</t>
        </is>
      </c>
      <c r="C4736" t="inlineStr">
        <is>
          <t>EP</t>
        </is>
      </c>
      <c r="D4736" s="28" t="n">
        <v>46115</v>
      </c>
      <c r="E4736" t="inlineStr">
        <is>
          <t>현대EP_fast</t>
        </is>
      </c>
      <c r="F4736" t="inlineStr">
        <is>
          <t>전윤석</t>
        </is>
      </c>
      <c r="G4736" t="inlineStr">
        <is>
          <t>010-2515-0910</t>
        </is>
      </c>
      <c r="H4736" t="inlineStr">
        <is>
          <t>110버3172</t>
        </is>
      </c>
      <c r="I4736" t="n">
        <v>-15000000</v>
      </c>
      <c r="J4736" t="n">
        <v>0.062</v>
      </c>
      <c r="K4736" t="n">
        <v>1.76</v>
      </c>
      <c r="L4736" t="n">
        <v>0.2</v>
      </c>
      <c r="M4736" t="n">
        <v>1.56</v>
      </c>
      <c r="P4736" t="inlineStr">
        <is>
          <t>김수연</t>
        </is>
      </c>
      <c r="Q4736" t="inlineStr">
        <is>
          <t>홈서비스 60개월</t>
        </is>
      </c>
      <c r="AB4736" t="inlineStr">
        <is>
          <t>홈서비스</t>
        </is>
      </c>
      <c r="AC4736" t="n">
        <v>-264000</v>
      </c>
      <c r="AD4736" t="n">
        <v>-30000</v>
      </c>
      <c r="AE4736" t="n">
        <v>-234000</v>
      </c>
      <c r="AF4736" t="n">
        <v>-240000</v>
      </c>
      <c r="AG4736" t="n">
        <v>-29010</v>
      </c>
      <c r="AH4736" t="n">
        <v>-210990</v>
      </c>
      <c r="AI4736" t="n">
        <v>0</v>
      </c>
    </row>
    <row r="4737">
      <c r="A4737" t="inlineStr">
        <is>
          <t>4월</t>
        </is>
      </c>
      <c r="B4737" t="inlineStr">
        <is>
          <t>14주차</t>
        </is>
      </c>
      <c r="C4737" t="inlineStr">
        <is>
          <t>EP</t>
        </is>
      </c>
      <c r="D4737" s="28" t="n">
        <v>46115</v>
      </c>
      <c r="E4737" t="inlineStr">
        <is>
          <t>현대EP</t>
        </is>
      </c>
      <c r="F4737" t="inlineStr">
        <is>
          <t>김진수</t>
        </is>
      </c>
      <c r="G4737" t="inlineStr">
        <is>
          <t>010-4479-7921</t>
        </is>
      </c>
      <c r="H4737" t="inlineStr">
        <is>
          <t>160저9428</t>
        </is>
      </c>
      <c r="I4737" t="n">
        <v>-13000000</v>
      </c>
      <c r="J4737" t="n">
        <v>0.062</v>
      </c>
      <c r="K4737" t="n">
        <v>1.76</v>
      </c>
      <c r="L4737" t="n">
        <v>0.2</v>
      </c>
      <c r="M4737" t="n">
        <v>1.56</v>
      </c>
      <c r="P4737" t="inlineStr">
        <is>
          <t>김수연</t>
        </is>
      </c>
      <c r="Q4737" t="inlineStr">
        <is>
          <t>홈서비스 60개월</t>
        </is>
      </c>
      <c r="AB4737" t="inlineStr">
        <is>
          <t>홈서비스</t>
        </is>
      </c>
      <c r="AC4737" t="n">
        <v>-228800</v>
      </c>
      <c r="AD4737" t="n">
        <v>-26000</v>
      </c>
      <c r="AE4737" t="n">
        <v>-202800</v>
      </c>
      <c r="AF4737" t="n">
        <v>-208000</v>
      </c>
      <c r="AG4737" t="n">
        <v>-25142</v>
      </c>
      <c r="AH4737" t="n">
        <v>-182858</v>
      </c>
      <c r="AI4737" t="n">
        <v>0</v>
      </c>
    </row>
    <row r="4738">
      <c r="A4738" t="inlineStr">
        <is>
          <t>4월</t>
        </is>
      </c>
      <c r="B4738" t="inlineStr">
        <is>
          <t>15주차</t>
        </is>
      </c>
      <c r="C4738" t="inlineStr">
        <is>
          <t>EP</t>
        </is>
      </c>
      <c r="D4738" s="28" t="n">
        <v>46118</v>
      </c>
      <c r="E4738" t="inlineStr">
        <is>
          <t>현대EP_fast</t>
        </is>
      </c>
      <c r="F4738" t="inlineStr">
        <is>
          <t>박근흥</t>
        </is>
      </c>
      <c r="G4738" t="inlineStr">
        <is>
          <t>010-6738-8023</t>
        </is>
      </c>
      <c r="H4738" t="inlineStr">
        <is>
          <t>286루4183</t>
        </is>
      </c>
      <c r="I4738" t="n">
        <v>-18000000</v>
      </c>
      <c r="J4738" t="n">
        <v>0.07099999999999999</v>
      </c>
      <c r="K4738" t="n">
        <v>1.76</v>
      </c>
      <c r="L4738" t="n">
        <v>0.2</v>
      </c>
      <c r="M4738" t="n">
        <v>1.56</v>
      </c>
      <c r="P4738" t="inlineStr">
        <is>
          <t>김수연</t>
        </is>
      </c>
      <c r="Q4738" t="inlineStr">
        <is>
          <t>홈서비스 60개월</t>
        </is>
      </c>
      <c r="AB4738" t="inlineStr">
        <is>
          <t>홈서비스</t>
        </is>
      </c>
      <c r="AC4738" t="n">
        <v>-316800</v>
      </c>
      <c r="AD4738" t="n">
        <v>-36000</v>
      </c>
      <c r="AE4738" t="n">
        <v>-280800</v>
      </c>
      <c r="AF4738" t="n">
        <v>-288000</v>
      </c>
      <c r="AG4738" t="n">
        <v>-34812</v>
      </c>
      <c r="AH4738" t="n">
        <v>-253188</v>
      </c>
    </row>
    <row r="4739">
      <c r="A4739" t="inlineStr">
        <is>
          <t>4월</t>
        </is>
      </c>
      <c r="B4739" t="inlineStr">
        <is>
          <t>16주차</t>
        </is>
      </c>
      <c r="C4739" t="inlineStr">
        <is>
          <t>EP</t>
        </is>
      </c>
      <c r="D4739" s="28" t="n">
        <v>46125</v>
      </c>
      <c r="E4739" t="inlineStr">
        <is>
          <t>현대EP_fast</t>
        </is>
      </c>
      <c r="F4739" t="inlineStr">
        <is>
          <t>박종천</t>
        </is>
      </c>
      <c r="G4739" t="inlineStr">
        <is>
          <t>010-9189-3358</t>
        </is>
      </c>
      <c r="H4739" t="inlineStr">
        <is>
          <t>15마9311</t>
        </is>
      </c>
      <c r="I4739" t="n">
        <v>-4200000</v>
      </c>
      <c r="J4739" t="n">
        <v>0.118</v>
      </c>
      <c r="K4739" t="n">
        <v>1.76</v>
      </c>
      <c r="L4739" t="n">
        <v>0.2</v>
      </c>
      <c r="M4739" t="n">
        <v>1.56</v>
      </c>
      <c r="P4739" t="inlineStr">
        <is>
          <t>김수연</t>
        </is>
      </c>
      <c r="Q4739" t="inlineStr">
        <is>
          <t>홈서비스 24개월</t>
        </is>
      </c>
      <c r="AB4739" t="inlineStr">
        <is>
          <t>홈서비스</t>
        </is>
      </c>
      <c r="AC4739" t="n">
        <v>-73920</v>
      </c>
      <c r="AD4739" t="n">
        <v>-8400</v>
      </c>
      <c r="AE4739" t="n">
        <v>-65520</v>
      </c>
      <c r="AF4739" t="n">
        <v>-67200</v>
      </c>
      <c r="AG4739" t="n">
        <v>-8122.8</v>
      </c>
      <c r="AH4739" t="n">
        <v>-59077.2</v>
      </c>
    </row>
    <row r="4740">
      <c r="A4740" t="inlineStr">
        <is>
          <t>4월</t>
        </is>
      </c>
      <c r="B4740" t="inlineStr">
        <is>
          <t>16주차</t>
        </is>
      </c>
      <c r="C4740" t="inlineStr">
        <is>
          <t>EP</t>
        </is>
      </c>
      <c r="D4740" s="28" t="n">
        <v>46125</v>
      </c>
      <c r="E4740" t="inlineStr">
        <is>
          <t>현대EP</t>
        </is>
      </c>
      <c r="F4740" t="inlineStr">
        <is>
          <t>박병구</t>
        </is>
      </c>
      <c r="G4740" t="inlineStr">
        <is>
          <t>010-2847-5123</t>
        </is>
      </c>
      <c r="H4740" t="inlineStr">
        <is>
          <t>03로1625</t>
        </is>
      </c>
      <c r="I4740" t="n">
        <v>-91800000</v>
      </c>
      <c r="J4740" t="n">
        <v>0.075</v>
      </c>
      <c r="K4740" t="n">
        <v>1.76</v>
      </c>
      <c r="L4740" t="n">
        <v>0.2</v>
      </c>
      <c r="M4740" t="n">
        <v>1.56</v>
      </c>
      <c r="P4740" t="inlineStr">
        <is>
          <t>김수연</t>
        </is>
      </c>
      <c r="Q4740" t="inlineStr">
        <is>
          <t>홈서비스 60개월</t>
        </is>
      </c>
      <c r="AB4740" t="inlineStr">
        <is>
          <t>홈서비스</t>
        </is>
      </c>
      <c r="AC4740" t="n">
        <v>-1615680</v>
      </c>
      <c r="AD4740" t="n">
        <v>-183600</v>
      </c>
      <c r="AE4740" t="n">
        <v>-1432080</v>
      </c>
      <c r="AF4740" t="n">
        <v>-1468800</v>
      </c>
      <c r="AG4740" t="n">
        <v>-177541.2</v>
      </c>
      <c r="AH4740" t="n">
        <v>-1291258.8</v>
      </c>
      <c r="AI4740" t="n">
        <v>0</v>
      </c>
    </row>
    <row r="4741">
      <c r="A4741" t="inlineStr">
        <is>
          <t>4월</t>
        </is>
      </c>
      <c r="B4741" t="inlineStr">
        <is>
          <t>16주차</t>
        </is>
      </c>
      <c r="C4741" t="inlineStr">
        <is>
          <t>EP</t>
        </is>
      </c>
      <c r="D4741" s="28" t="n">
        <v>46126</v>
      </c>
      <c r="E4741" t="inlineStr">
        <is>
          <t>현대EP_fast</t>
        </is>
      </c>
      <c r="F4741" t="inlineStr">
        <is>
          <t>이정도</t>
        </is>
      </c>
      <c r="G4741" t="inlineStr">
        <is>
          <t>010-7933-3460</t>
        </is>
      </c>
      <c r="H4741" t="inlineStr">
        <is>
          <t>60모0179</t>
        </is>
      </c>
      <c r="I4741" t="n">
        <v>-7000000</v>
      </c>
      <c r="J4741" t="n">
        <v>0.08599999999999999</v>
      </c>
      <c r="K4741" t="n">
        <v>1.76</v>
      </c>
      <c r="L4741" t="n">
        <v>0.2</v>
      </c>
      <c r="M4741" t="n">
        <v>1.56</v>
      </c>
      <c r="P4741" t="inlineStr">
        <is>
          <t>김수연</t>
        </is>
      </c>
      <c r="Q4741" t="inlineStr">
        <is>
          <t>홈서비스 36개월</t>
        </is>
      </c>
      <c r="AB4741" t="inlineStr">
        <is>
          <t>홈서비스</t>
        </is>
      </c>
      <c r="AC4741" t="n">
        <v>-123200</v>
      </c>
      <c r="AD4741" t="n">
        <v>-14000</v>
      </c>
      <c r="AE4741" t="n">
        <v>-109200</v>
      </c>
      <c r="AF4741" t="n">
        <v>-112000</v>
      </c>
      <c r="AG4741" t="n">
        <v>-13538</v>
      </c>
      <c r="AH4741" t="n">
        <v>-98462</v>
      </c>
      <c r="AI4741" t="n">
        <v>0</v>
      </c>
    </row>
    <row r="4742">
      <c r="A4742" t="inlineStr">
        <is>
          <t>4월</t>
        </is>
      </c>
      <c r="B4742" t="inlineStr">
        <is>
          <t>17주차</t>
        </is>
      </c>
      <c r="C4742" t="inlineStr">
        <is>
          <t>EP</t>
        </is>
      </c>
      <c r="D4742" s="28" t="n">
        <v>46134</v>
      </c>
      <c r="E4742" t="inlineStr">
        <is>
          <t>현대EP_fast</t>
        </is>
      </c>
      <c r="F4742" t="inlineStr">
        <is>
          <t>윤준서</t>
        </is>
      </c>
      <c r="G4742" t="inlineStr">
        <is>
          <t>010-3693-6447</t>
        </is>
      </c>
      <c r="H4742" t="inlineStr">
        <is>
          <t>32버6788</t>
        </is>
      </c>
      <c r="I4742" t="n">
        <v>-3000000</v>
      </c>
      <c r="J4742" t="n">
        <v>0.119</v>
      </c>
      <c r="K4742" t="n">
        <v>1.76</v>
      </c>
      <c r="L4742" t="n">
        <v>0.2</v>
      </c>
      <c r="M4742" t="n">
        <v>1.56</v>
      </c>
      <c r="P4742" t="inlineStr">
        <is>
          <t>김수연</t>
        </is>
      </c>
      <c r="Q4742" t="inlineStr">
        <is>
          <t>홈서비스 24개월</t>
        </is>
      </c>
      <c r="AB4742" t="inlineStr">
        <is>
          <t>홈서비스</t>
        </is>
      </c>
      <c r="AC4742" t="n">
        <v>-52800</v>
      </c>
      <c r="AD4742" t="n">
        <v>-6000</v>
      </c>
      <c r="AE4742" t="n">
        <v>-46800</v>
      </c>
      <c r="AF4742" t="n">
        <v>-48000</v>
      </c>
      <c r="AG4742" t="n">
        <v>-5802</v>
      </c>
      <c r="AH4742" t="n">
        <v>-42198</v>
      </c>
    </row>
    <row r="4743">
      <c r="A4743" t="inlineStr">
        <is>
          <t>4월</t>
        </is>
      </c>
      <c r="B4743" t="inlineStr">
        <is>
          <t>17주차</t>
        </is>
      </c>
      <c r="C4743" t="inlineStr">
        <is>
          <t>EP</t>
        </is>
      </c>
      <c r="D4743" s="28" t="n">
        <v>46134</v>
      </c>
      <c r="E4743" t="inlineStr">
        <is>
          <t>현대EP</t>
        </is>
      </c>
      <c r="F4743" t="inlineStr">
        <is>
          <t>민경수</t>
        </is>
      </c>
      <c r="G4743" t="inlineStr">
        <is>
          <t>010-9823-6111</t>
        </is>
      </c>
      <c r="H4743" t="inlineStr">
        <is>
          <t>185고7147</t>
        </is>
      </c>
      <c r="I4743" t="n">
        <v>-31400000</v>
      </c>
      <c r="J4743" t="n">
        <v>0.079</v>
      </c>
      <c r="K4743" t="n">
        <v>1.76</v>
      </c>
      <c r="L4743" t="n">
        <v>0.2</v>
      </c>
      <c r="M4743" t="n">
        <v>1.56</v>
      </c>
      <c r="P4743" t="inlineStr">
        <is>
          <t>김수연</t>
        </is>
      </c>
      <c r="Q4743" t="inlineStr">
        <is>
          <t>홈서비스 60개월</t>
        </is>
      </c>
      <c r="AB4743" t="inlineStr">
        <is>
          <t>홈서비스</t>
        </is>
      </c>
      <c r="AC4743" t="n">
        <v>-552640</v>
      </c>
      <c r="AD4743" t="n">
        <v>-62800</v>
      </c>
      <c r="AE4743" t="n">
        <v>-489840</v>
      </c>
      <c r="AF4743" t="n">
        <v>-502400</v>
      </c>
      <c r="AG4743" t="n">
        <v>-60727.6</v>
      </c>
      <c r="AH4743" t="n">
        <v>-441672.4</v>
      </c>
      <c r="AI4743" t="n">
        <v>0</v>
      </c>
    </row>
    <row r="4744">
      <c r="A4744" t="inlineStr">
        <is>
          <t>4월</t>
        </is>
      </c>
      <c r="B4744" t="inlineStr">
        <is>
          <t>18주차</t>
        </is>
      </c>
      <c r="C4744" t="inlineStr">
        <is>
          <t>EP</t>
        </is>
      </c>
      <c r="D4744" s="28" t="n">
        <v>46139</v>
      </c>
      <c r="E4744" t="inlineStr">
        <is>
          <t>현대EP</t>
        </is>
      </c>
      <c r="F4744" t="inlineStr">
        <is>
          <t>손경준</t>
        </is>
      </c>
      <c r="G4744" t="inlineStr">
        <is>
          <t>010-4477-7895</t>
        </is>
      </c>
      <c r="H4744" t="inlineStr">
        <is>
          <t>217부3616</t>
        </is>
      </c>
      <c r="I4744" t="n">
        <v>-39600000</v>
      </c>
      <c r="J4744" t="n">
        <v>0.079</v>
      </c>
      <c r="K4744" t="n">
        <v>1.76</v>
      </c>
      <c r="L4744" t="n">
        <v>0.2</v>
      </c>
      <c r="M4744" t="n">
        <v>1.56</v>
      </c>
      <c r="P4744" t="inlineStr">
        <is>
          <t>김수연</t>
        </is>
      </c>
      <c r="AB4744" t="inlineStr">
        <is>
          <t>홈서비스</t>
        </is>
      </c>
      <c r="AC4744" t="n">
        <v>-696960</v>
      </c>
      <c r="AD4744" t="n">
        <v>-79200</v>
      </c>
      <c r="AE4744" t="n">
        <v>-617760</v>
      </c>
      <c r="AF4744" t="n">
        <v>-633600</v>
      </c>
      <c r="AG4744" t="n">
        <v>-76586.39999999999</v>
      </c>
      <c r="AH4744" t="n">
        <v>-557013.6</v>
      </c>
      <c r="AI4744" t="n">
        <v>0</v>
      </c>
    </row>
    <row r="4745">
      <c r="A4745" t="inlineStr">
        <is>
          <t>4월</t>
        </is>
      </c>
      <c r="B4745" t="inlineStr">
        <is>
          <t>18주차</t>
        </is>
      </c>
      <c r="C4745" t="inlineStr">
        <is>
          <t>EP</t>
        </is>
      </c>
      <c r="D4745" s="28" t="n">
        <v>46141</v>
      </c>
      <c r="E4745" t="inlineStr">
        <is>
          <t>현대EP_fast</t>
        </is>
      </c>
      <c r="F4745" t="inlineStr">
        <is>
          <t>조예빈</t>
        </is>
      </c>
      <c r="G4745" t="inlineStr">
        <is>
          <t>010-4812-9664</t>
        </is>
      </c>
      <c r="H4745" t="inlineStr">
        <is>
          <t>63무9222</t>
        </is>
      </c>
      <c r="I4745" t="n">
        <v>-7500000</v>
      </c>
      <c r="J4745" t="n">
        <v>0.07099999999999999</v>
      </c>
      <c r="K4745" t="n">
        <v>1.76</v>
      </c>
      <c r="L4745" t="n">
        <v>0.2</v>
      </c>
      <c r="M4745" t="n">
        <v>1.56</v>
      </c>
      <c r="P4745" t="inlineStr">
        <is>
          <t>김수연</t>
        </is>
      </c>
      <c r="Q4745" t="inlineStr">
        <is>
          <t>홈서비스 24개월</t>
        </is>
      </c>
      <c r="AB4745" t="inlineStr">
        <is>
          <t>홈서비스</t>
        </is>
      </c>
      <c r="AC4745" t="n">
        <v>-132000</v>
      </c>
      <c r="AD4745" t="n">
        <v>-15000</v>
      </c>
      <c r="AE4745" t="n">
        <v>-117000</v>
      </c>
      <c r="AF4745" t="n">
        <v>-120000</v>
      </c>
      <c r="AG4745" t="n">
        <v>-14505</v>
      </c>
      <c r="AH4745" t="n">
        <v>-105495</v>
      </c>
    </row>
    <row r="4746">
      <c r="A4746" t="inlineStr">
        <is>
          <t>4월</t>
        </is>
      </c>
      <c r="B4746" t="inlineStr">
        <is>
          <t>14주차</t>
        </is>
      </c>
      <c r="C4746" t="inlineStr">
        <is>
          <t>EP</t>
        </is>
      </c>
      <c r="D4746" s="28" t="n">
        <v>46114</v>
      </c>
      <c r="E4746" t="inlineStr">
        <is>
          <t>현대EP_fast</t>
        </is>
      </c>
      <c r="F4746" t="inlineStr">
        <is>
          <t>박치영</t>
        </is>
      </c>
      <c r="G4746" t="inlineStr">
        <is>
          <t>010-4278-5070</t>
        </is>
      </c>
      <c r="H4746" t="inlineStr">
        <is>
          <t>713라6651</t>
        </is>
      </c>
      <c r="I4746" t="n">
        <v>-23500000</v>
      </c>
      <c r="J4746" t="n">
        <v>0.08599999999999999</v>
      </c>
      <c r="K4746" t="n">
        <v>1.76</v>
      </c>
      <c r="L4746" t="n">
        <v>0.2</v>
      </c>
      <c r="M4746" t="n">
        <v>1.56</v>
      </c>
      <c r="P4746" t="inlineStr">
        <is>
          <t>김나윤</t>
        </is>
      </c>
      <c r="Q4746" t="inlineStr">
        <is>
          <t>홈서비스 60개월</t>
        </is>
      </c>
      <c r="AB4746" t="inlineStr">
        <is>
          <t>홈서비스</t>
        </is>
      </c>
      <c r="AC4746" t="n">
        <v>-413600</v>
      </c>
      <c r="AD4746" t="n">
        <v>-47000</v>
      </c>
      <c r="AE4746" t="n">
        <v>-366600</v>
      </c>
      <c r="AF4746" t="n">
        <v>-376000</v>
      </c>
      <c r="AG4746" t="n">
        <v>-45449</v>
      </c>
      <c r="AH4746" t="n">
        <v>-330551</v>
      </c>
      <c r="AI4746" t="n">
        <v>0</v>
      </c>
    </row>
    <row r="4747">
      <c r="A4747" t="inlineStr">
        <is>
          <t>4월</t>
        </is>
      </c>
      <c r="B4747" t="inlineStr">
        <is>
          <t>16주차</t>
        </is>
      </c>
      <c r="C4747" t="inlineStr">
        <is>
          <t>EP</t>
        </is>
      </c>
      <c r="D4747" s="28" t="n">
        <v>46125</v>
      </c>
      <c r="E4747" t="inlineStr">
        <is>
          <t>현대EP</t>
        </is>
      </c>
      <c r="F4747" t="inlineStr">
        <is>
          <t>김동민</t>
        </is>
      </c>
      <c r="G4747" t="inlineStr">
        <is>
          <t>010-5069-3470</t>
        </is>
      </c>
      <c r="H4747" t="inlineStr">
        <is>
          <t>196마1707</t>
        </is>
      </c>
      <c r="I4747" t="n">
        <v>-36600000</v>
      </c>
      <c r="J4747" t="n">
        <v>0.07099999999999999</v>
      </c>
      <c r="K4747" t="n">
        <v>1.76</v>
      </c>
      <c r="L4747" t="n">
        <v>0.2</v>
      </c>
      <c r="M4747" t="n">
        <v>1.56</v>
      </c>
      <c r="P4747" t="inlineStr">
        <is>
          <t>김나윤</t>
        </is>
      </c>
      <c r="Q4747" t="inlineStr">
        <is>
          <t>홈서비스 60개월</t>
        </is>
      </c>
      <c r="AB4747" t="inlineStr">
        <is>
          <t>홈서비스</t>
        </is>
      </c>
      <c r="AC4747" t="n">
        <v>-644160</v>
      </c>
      <c r="AD4747" t="n">
        <v>-73200</v>
      </c>
      <c r="AE4747" t="n">
        <v>-570960</v>
      </c>
      <c r="AF4747" t="n">
        <v>-585600</v>
      </c>
      <c r="AG4747" t="n">
        <v>-70784.39999999999</v>
      </c>
      <c r="AH4747" t="n">
        <v>-514815.6</v>
      </c>
    </row>
    <row r="4748">
      <c r="A4748" t="inlineStr">
        <is>
          <t>4월</t>
        </is>
      </c>
      <c r="B4748" t="inlineStr">
        <is>
          <t>16주차</t>
        </is>
      </c>
      <c r="C4748" t="inlineStr">
        <is>
          <t>EP</t>
        </is>
      </c>
      <c r="D4748" s="28" t="n">
        <v>46125</v>
      </c>
      <c r="E4748" t="inlineStr">
        <is>
          <t>현대EP</t>
        </is>
      </c>
      <c r="F4748" t="inlineStr">
        <is>
          <t>한석진</t>
        </is>
      </c>
      <c r="G4748" t="inlineStr">
        <is>
          <t>010-2344-9015</t>
        </is>
      </c>
      <c r="H4748" t="inlineStr">
        <is>
          <t>09주4020</t>
        </is>
      </c>
      <c r="I4748" t="n">
        <v>-10900000</v>
      </c>
      <c r="J4748" t="n">
        <v>0.076</v>
      </c>
      <c r="K4748" t="n">
        <v>1.76</v>
      </c>
      <c r="L4748" t="n">
        <v>0.2</v>
      </c>
      <c r="M4748" t="n">
        <v>1.56</v>
      </c>
      <c r="P4748" t="inlineStr">
        <is>
          <t>김나윤</t>
        </is>
      </c>
      <c r="Q4748" t="inlineStr">
        <is>
          <t>홈서비스 60개월</t>
        </is>
      </c>
      <c r="AB4748" t="inlineStr">
        <is>
          <t>홈서비스</t>
        </is>
      </c>
      <c r="AC4748" t="n">
        <v>-191840</v>
      </c>
      <c r="AD4748" t="n">
        <v>-21800</v>
      </c>
      <c r="AE4748" t="n">
        <v>-170040</v>
      </c>
      <c r="AF4748" t="n">
        <v>-174400</v>
      </c>
      <c r="AG4748" t="n">
        <v>-21080.6</v>
      </c>
      <c r="AH4748" t="n">
        <v>-153319.4</v>
      </c>
    </row>
    <row r="4749">
      <c r="A4749" t="inlineStr">
        <is>
          <t>4월</t>
        </is>
      </c>
      <c r="B4749" t="inlineStr">
        <is>
          <t>16주차</t>
        </is>
      </c>
      <c r="C4749" t="inlineStr">
        <is>
          <t>EP</t>
        </is>
      </c>
      <c r="D4749" s="28" t="n">
        <v>46129</v>
      </c>
      <c r="E4749" t="inlineStr">
        <is>
          <t>현대EP_fast</t>
        </is>
      </c>
      <c r="F4749" t="inlineStr">
        <is>
          <t>임진영</t>
        </is>
      </c>
      <c r="G4749" t="inlineStr">
        <is>
          <t>010-5519-6323</t>
        </is>
      </c>
      <c r="H4749" t="inlineStr">
        <is>
          <t>107무7986</t>
        </is>
      </c>
      <c r="I4749" t="n">
        <v>-3000000</v>
      </c>
      <c r="J4749" t="n">
        <v>0.092</v>
      </c>
      <c r="K4749" t="n">
        <v>1.76</v>
      </c>
      <c r="L4749" t="n">
        <v>0.2</v>
      </c>
      <c r="M4749" t="n">
        <v>1.56</v>
      </c>
      <c r="P4749" t="inlineStr">
        <is>
          <t>김나윤</t>
        </is>
      </c>
      <c r="Q4749" t="inlineStr">
        <is>
          <t>홈서비스 36개월</t>
        </is>
      </c>
      <c r="AB4749" t="inlineStr">
        <is>
          <t>홈서비스</t>
        </is>
      </c>
      <c r="AC4749" t="n">
        <v>-52800</v>
      </c>
      <c r="AD4749" t="n">
        <v>-6000</v>
      </c>
      <c r="AE4749" t="n">
        <v>-46800</v>
      </c>
      <c r="AF4749" t="n">
        <v>-48000</v>
      </c>
      <c r="AG4749" t="n">
        <v>-5802</v>
      </c>
      <c r="AH4749" t="n">
        <v>-42198</v>
      </c>
      <c r="AI4749" t="n">
        <v>0</v>
      </c>
    </row>
    <row r="4750">
      <c r="A4750" t="inlineStr">
        <is>
          <t>4월</t>
        </is>
      </c>
      <c r="B4750" t="inlineStr">
        <is>
          <t>17주차</t>
        </is>
      </c>
      <c r="C4750" t="inlineStr">
        <is>
          <t>EP</t>
        </is>
      </c>
      <c r="D4750" s="28" t="n">
        <v>46132</v>
      </c>
      <c r="E4750" t="inlineStr">
        <is>
          <t>현대EP_fast</t>
        </is>
      </c>
      <c r="F4750" t="inlineStr">
        <is>
          <t>한건우</t>
        </is>
      </c>
      <c r="G4750" t="inlineStr">
        <is>
          <t>010-3363-6515</t>
        </is>
      </c>
      <c r="H4750" t="inlineStr">
        <is>
          <t>334오6158</t>
        </is>
      </c>
      <c r="I4750" t="n">
        <v>-17000000</v>
      </c>
      <c r="J4750" t="n">
        <v>0.118</v>
      </c>
      <c r="K4750" t="n">
        <v>1.76</v>
      </c>
      <c r="L4750" t="n">
        <v>0.2</v>
      </c>
      <c r="M4750" t="n">
        <v>1.56</v>
      </c>
      <c r="P4750" t="inlineStr">
        <is>
          <t>김나윤</t>
        </is>
      </c>
      <c r="Q4750" t="inlineStr">
        <is>
          <t>홈서비스 36개월 / 고객주도체결</t>
        </is>
      </c>
      <c r="AB4750" t="inlineStr">
        <is>
          <t>홈서비스</t>
        </is>
      </c>
      <c r="AC4750" t="n">
        <v>-299200</v>
      </c>
      <c r="AD4750" t="n">
        <v>-34000</v>
      </c>
      <c r="AE4750" t="n">
        <v>-265200</v>
      </c>
      <c r="AF4750" t="n">
        <v>-272000</v>
      </c>
      <c r="AG4750" t="n">
        <v>-32878</v>
      </c>
      <c r="AH4750" t="n">
        <v>-239122</v>
      </c>
      <c r="AI4750" t="n">
        <v>0</v>
      </c>
    </row>
    <row r="4751">
      <c r="A4751" t="inlineStr">
        <is>
          <t>4월</t>
        </is>
      </c>
      <c r="B4751" t="inlineStr">
        <is>
          <t>17주차</t>
        </is>
      </c>
      <c r="C4751" t="inlineStr">
        <is>
          <t>EP</t>
        </is>
      </c>
      <c r="D4751" s="28" t="n">
        <v>46133</v>
      </c>
      <c r="E4751" t="inlineStr">
        <is>
          <t>현대EP_fast</t>
        </is>
      </c>
      <c r="F4751" t="inlineStr">
        <is>
          <t>고인국</t>
        </is>
      </c>
      <c r="G4751" t="inlineStr">
        <is>
          <t>010-5460-0312</t>
        </is>
      </c>
      <c r="H4751" t="inlineStr">
        <is>
          <t>379모5512</t>
        </is>
      </c>
      <c r="I4751" t="n">
        <v>-4900000</v>
      </c>
      <c r="J4751" t="n">
        <v>0.118</v>
      </c>
      <c r="K4751" t="n">
        <v>1.76</v>
      </c>
      <c r="L4751" t="n">
        <v>0.2</v>
      </c>
      <c r="M4751" t="n">
        <v>1.56</v>
      </c>
      <c r="P4751" t="inlineStr">
        <is>
          <t>김나윤</t>
        </is>
      </c>
      <c r="Q4751" t="inlineStr">
        <is>
          <t>홈서비스 60개월</t>
        </is>
      </c>
      <c r="AB4751" t="inlineStr">
        <is>
          <t>홈서비스</t>
        </is>
      </c>
      <c r="AC4751" t="n">
        <v>-86240</v>
      </c>
      <c r="AD4751" t="n">
        <v>-9800</v>
      </c>
      <c r="AE4751" t="n">
        <v>-76440</v>
      </c>
      <c r="AF4751" t="n">
        <v>-78400</v>
      </c>
      <c r="AG4751" t="n">
        <v>-9476.6</v>
      </c>
      <c r="AH4751" t="n">
        <v>-68923.39999999999</v>
      </c>
      <c r="AI4751" t="n">
        <v>0</v>
      </c>
    </row>
    <row r="4752">
      <c r="A4752" t="inlineStr">
        <is>
          <t>4월</t>
        </is>
      </c>
      <c r="B4752" t="inlineStr">
        <is>
          <t>17주차</t>
        </is>
      </c>
      <c r="C4752" t="inlineStr">
        <is>
          <t>EP</t>
        </is>
      </c>
      <c r="D4752" s="28" t="n">
        <v>46135</v>
      </c>
      <c r="E4752" t="inlineStr">
        <is>
          <t>현대EP</t>
        </is>
      </c>
      <c r="F4752" t="inlineStr">
        <is>
          <t>방대현</t>
        </is>
      </c>
      <c r="G4752" t="inlineStr">
        <is>
          <t>010-2881-3399</t>
        </is>
      </c>
      <c r="H4752" t="inlineStr">
        <is>
          <t>299두6263</t>
        </is>
      </c>
      <c r="I4752" t="n">
        <v>-34000000</v>
      </c>
      <c r="J4752" t="n">
        <v>0.075</v>
      </c>
      <c r="K4752" t="n">
        <v>1.76</v>
      </c>
      <c r="L4752" t="n">
        <v>0.2</v>
      </c>
      <c r="M4752" t="n">
        <v>1.56</v>
      </c>
      <c r="P4752" t="inlineStr">
        <is>
          <t>김나윤</t>
        </is>
      </c>
      <c r="AB4752" t="inlineStr">
        <is>
          <t>홈서비스</t>
        </is>
      </c>
      <c r="AC4752" t="n">
        <v>-598400</v>
      </c>
      <c r="AD4752" t="n">
        <v>-68000</v>
      </c>
      <c r="AE4752" t="n">
        <v>-530400</v>
      </c>
      <c r="AF4752" t="n">
        <v>-544000</v>
      </c>
      <c r="AG4752" t="n">
        <v>-65756</v>
      </c>
      <c r="AH4752" t="n">
        <v>-478244</v>
      </c>
      <c r="AI4752" t="n">
        <v>0</v>
      </c>
    </row>
    <row r="4753">
      <c r="A4753" t="inlineStr">
        <is>
          <t>4월</t>
        </is>
      </c>
      <c r="B4753" t="inlineStr">
        <is>
          <t>17주차</t>
        </is>
      </c>
      <c r="C4753" t="inlineStr">
        <is>
          <t>EP</t>
        </is>
      </c>
      <c r="D4753" s="28" t="n">
        <v>46136</v>
      </c>
      <c r="E4753" t="inlineStr">
        <is>
          <t>현대EP_fast</t>
        </is>
      </c>
      <c r="F4753" t="inlineStr">
        <is>
          <t>김민혁</t>
        </is>
      </c>
      <c r="G4753" t="inlineStr">
        <is>
          <t>010-2050-4300</t>
        </is>
      </c>
      <c r="H4753" t="inlineStr">
        <is>
          <t>55누3121</t>
        </is>
      </c>
      <c r="I4753" t="n">
        <v>-27900000</v>
      </c>
      <c r="J4753" t="n">
        <v>0.08500000000000001</v>
      </c>
      <c r="K4753" t="n">
        <v>1.76</v>
      </c>
      <c r="L4753" t="n">
        <v>0.2</v>
      </c>
      <c r="M4753" t="n">
        <v>1.56</v>
      </c>
      <c r="P4753" t="inlineStr">
        <is>
          <t>김나윤</t>
        </is>
      </c>
      <c r="Q4753" t="inlineStr">
        <is>
          <t>홈서비스 60개월 / 고객주도체결</t>
        </is>
      </c>
      <c r="AB4753" t="inlineStr">
        <is>
          <t>홈서비스</t>
        </is>
      </c>
      <c r="AC4753" t="n">
        <v>-491040</v>
      </c>
      <c r="AD4753" t="n">
        <v>-55800</v>
      </c>
      <c r="AE4753" t="n">
        <v>-435240</v>
      </c>
      <c r="AF4753" t="n">
        <v>-446400</v>
      </c>
      <c r="AG4753" t="n">
        <v>-53958.6</v>
      </c>
      <c r="AH4753" t="n">
        <v>-392441.4</v>
      </c>
      <c r="AI4753" t="n">
        <v>0</v>
      </c>
    </row>
    <row r="4754">
      <c r="A4754" t="inlineStr">
        <is>
          <t>5월</t>
        </is>
      </c>
      <c r="B4754" t="inlineStr">
        <is>
          <t>22주차</t>
        </is>
      </c>
      <c r="C4754" t="inlineStr">
        <is>
          <t>EP</t>
        </is>
      </c>
      <c r="D4754" s="28" t="n">
        <v>46170</v>
      </c>
      <c r="E4754" t="inlineStr">
        <is>
          <t>BNKEP</t>
        </is>
      </c>
      <c r="F4754" t="inlineStr">
        <is>
          <t>곽인석</t>
        </is>
      </c>
      <c r="G4754" t="inlineStr">
        <is>
          <t>010-2020-5473</t>
        </is>
      </c>
      <c r="H4754" t="inlineStr">
        <is>
          <t>237수7471</t>
        </is>
      </c>
      <c r="I4754" t="n">
        <v>34500000</v>
      </c>
      <c r="J4754" t="n">
        <v>0.055</v>
      </c>
      <c r="K4754" t="n">
        <v>1.65</v>
      </c>
      <c r="L4754" t="n">
        <v>0.14</v>
      </c>
      <c r="M4754" t="n">
        <v>1.51</v>
      </c>
      <c r="P4754" t="inlineStr">
        <is>
          <t>김수연</t>
        </is>
      </c>
      <c r="Q4754" t="inlineStr">
        <is>
          <t>홈서비스 48개월</t>
        </is>
      </c>
      <c r="AB4754" t="inlineStr">
        <is>
          <t>홈서비스</t>
        </is>
      </c>
      <c r="AC4754" t="n">
        <v>569250</v>
      </c>
      <c r="AD4754" t="n">
        <v>48300</v>
      </c>
      <c r="AE4754" t="n">
        <v>520950</v>
      </c>
      <c r="AF4754" t="n">
        <v>517500</v>
      </c>
      <c r="AG4754" t="n">
        <v>46706.1</v>
      </c>
      <c r="AH4754" t="n">
        <v>470793.9</v>
      </c>
      <c r="AI4754" t="n">
        <v>0</v>
      </c>
    </row>
    <row r="4755">
      <c r="A4755" t="inlineStr">
        <is>
          <t>5월</t>
        </is>
      </c>
      <c r="B4755" t="inlineStr">
        <is>
          <t>22주차</t>
        </is>
      </c>
      <c r="C4755" t="inlineStr">
        <is>
          <t>EP</t>
        </is>
      </c>
      <c r="D4755" s="28" t="n">
        <v>46170</v>
      </c>
      <c r="E4755" t="inlineStr">
        <is>
          <t>현대EP_fast</t>
        </is>
      </c>
      <c r="F4755" t="inlineStr">
        <is>
          <t>이준영</t>
        </is>
      </c>
      <c r="G4755" t="inlineStr">
        <is>
          <t>010-8886-8884</t>
        </is>
      </c>
      <c r="H4755" t="inlineStr">
        <is>
          <t>220호2615</t>
        </is>
      </c>
      <c r="I4755" t="n">
        <v>10000000</v>
      </c>
      <c r="J4755" t="n">
        <v>0.081</v>
      </c>
      <c r="K4755" t="n">
        <v>1.76</v>
      </c>
      <c r="L4755" t="n">
        <v>0.14</v>
      </c>
      <c r="M4755" t="n">
        <v>1.62</v>
      </c>
      <c r="P4755" t="inlineStr">
        <is>
          <t>임대경</t>
        </is>
      </c>
      <c r="Q4755" t="inlineStr">
        <is>
          <t>홈서비스 24개월</t>
        </is>
      </c>
      <c r="AB4755" t="inlineStr">
        <is>
          <t>홈서비스</t>
        </is>
      </c>
      <c r="AC4755" t="n">
        <v>176000</v>
      </c>
      <c r="AD4755" t="n">
        <v>14000</v>
      </c>
      <c r="AE4755" t="n">
        <v>162000</v>
      </c>
      <c r="AF4755" t="n">
        <v>160000</v>
      </c>
      <c r="AG4755" t="n">
        <v>13538</v>
      </c>
      <c r="AH4755" t="n">
        <v>146462</v>
      </c>
      <c r="AI4755" t="n">
        <v>0</v>
      </c>
    </row>
    <row r="4756">
      <c r="A4756" t="inlineStr">
        <is>
          <t>5월</t>
        </is>
      </c>
      <c r="B4756" t="inlineStr">
        <is>
          <t>22주차</t>
        </is>
      </c>
      <c r="C4756" t="inlineStr">
        <is>
          <t>EP</t>
        </is>
      </c>
      <c r="D4756" s="28" t="n">
        <v>46170</v>
      </c>
      <c r="E4756" t="inlineStr">
        <is>
          <t>현대EP_fast</t>
        </is>
      </c>
      <c r="F4756" t="inlineStr">
        <is>
          <t>김아름</t>
        </is>
      </c>
      <c r="G4756" t="inlineStr">
        <is>
          <t>010-2597-2028</t>
        </is>
      </c>
      <c r="H4756" t="inlineStr">
        <is>
          <t>193서3414</t>
        </is>
      </c>
      <c r="I4756" t="n">
        <v>9000000</v>
      </c>
      <c r="J4756" t="n">
        <v>0.105</v>
      </c>
      <c r="K4756" t="n">
        <v>1.76</v>
      </c>
      <c r="L4756" t="n">
        <v>0.14</v>
      </c>
      <c r="M4756" t="n">
        <v>1.62</v>
      </c>
      <c r="P4756" t="inlineStr">
        <is>
          <t>정세빈</t>
        </is>
      </c>
      <c r="Q4756" t="inlineStr">
        <is>
          <t>홈서비스 60개월</t>
        </is>
      </c>
      <c r="AB4756" t="inlineStr">
        <is>
          <t>홈서비스</t>
        </is>
      </c>
      <c r="AC4756" t="n">
        <v>158400</v>
      </c>
      <c r="AD4756" t="n">
        <v>12600</v>
      </c>
      <c r="AE4756" t="n">
        <v>145800</v>
      </c>
      <c r="AF4756" t="n">
        <v>144000</v>
      </c>
      <c r="AG4756" t="n">
        <v>12184.2</v>
      </c>
      <c r="AH4756" t="n">
        <v>131815.8</v>
      </c>
    </row>
    <row r="4757">
      <c r="A4757" t="inlineStr">
        <is>
          <t>4월</t>
        </is>
      </c>
      <c r="B4757" t="inlineStr">
        <is>
          <t>16주차</t>
        </is>
      </c>
      <c r="C4757" t="inlineStr">
        <is>
          <t>EP</t>
        </is>
      </c>
      <c r="D4757" s="28" t="n">
        <v>46129</v>
      </c>
      <c r="E4757" t="inlineStr">
        <is>
          <t>현대EP_fast</t>
        </is>
      </c>
      <c r="F4757" t="inlineStr">
        <is>
          <t>이은아</t>
        </is>
      </c>
      <c r="G4757" t="inlineStr">
        <is>
          <t>010-4920-9221</t>
        </is>
      </c>
      <c r="H4757" t="inlineStr">
        <is>
          <t>31거9356</t>
        </is>
      </c>
      <c r="I4757" t="n">
        <v>3000000</v>
      </c>
      <c r="J4757" t="n">
        <v>0.08500000000000001</v>
      </c>
      <c r="K4757" t="n">
        <v>1.76</v>
      </c>
      <c r="L4757" t="n">
        <v>0.2</v>
      </c>
      <c r="M4757" t="n">
        <v>1.56</v>
      </c>
      <c r="P4757" t="inlineStr">
        <is>
          <t>정광호</t>
        </is>
      </c>
      <c r="Q4757" t="inlineStr">
        <is>
          <t>담당자 기재 누락건</t>
        </is>
      </c>
      <c r="AB4757" t="inlineStr">
        <is>
          <t>홈서비스</t>
        </is>
      </c>
      <c r="AC4757" t="n">
        <v>52800</v>
      </c>
      <c r="AD4757" t="n">
        <v>6000</v>
      </c>
      <c r="AE4757" t="n">
        <v>46800</v>
      </c>
      <c r="AF4757" t="n">
        <v>48000</v>
      </c>
      <c r="AG4757" t="n">
        <v>5802</v>
      </c>
      <c r="AH4757" t="n">
        <v>42198</v>
      </c>
      <c r="AJ4757" t="inlineStr">
        <is>
          <t>개인</t>
        </is>
      </c>
    </row>
    <row r="4758">
      <c r="A4758" t="inlineStr">
        <is>
          <t>4월</t>
        </is>
      </c>
      <c r="B4758" t="inlineStr">
        <is>
          <t>16주차</t>
        </is>
      </c>
      <c r="C4758" t="inlineStr">
        <is>
          <t>EP</t>
        </is>
      </c>
      <c r="D4758" s="28" t="n">
        <v>46129</v>
      </c>
      <c r="E4758" t="inlineStr">
        <is>
          <t>현대EP_fast</t>
        </is>
      </c>
      <c r="F4758" t="inlineStr">
        <is>
          <t>김형상</t>
        </is>
      </c>
      <c r="G4758" t="inlineStr">
        <is>
          <t>010-2481-1000</t>
        </is>
      </c>
      <c r="H4758" t="inlineStr">
        <is>
          <t>394고6383</t>
        </is>
      </c>
      <c r="I4758" t="n">
        <v>6500000</v>
      </c>
      <c r="J4758" t="n">
        <v>0.08599999999999999</v>
      </c>
      <c r="K4758" t="n">
        <v>1.76</v>
      </c>
      <c r="L4758" t="n">
        <v>0.2</v>
      </c>
      <c r="M4758" t="n">
        <v>1.56</v>
      </c>
      <c r="P4758" t="inlineStr">
        <is>
          <t>정광호</t>
        </is>
      </c>
      <c r="Q4758" t="inlineStr">
        <is>
          <t>담당자 기재 누락건</t>
        </is>
      </c>
      <c r="AB4758" t="inlineStr">
        <is>
          <t>홈서비스</t>
        </is>
      </c>
      <c r="AC4758" t="n">
        <v>114400</v>
      </c>
      <c r="AD4758" t="n">
        <v>13000</v>
      </c>
      <c r="AE4758" t="n">
        <v>101400</v>
      </c>
      <c r="AF4758" t="n">
        <v>104000</v>
      </c>
      <c r="AG4758" t="n">
        <v>12571</v>
      </c>
      <c r="AH4758" t="n">
        <v>91429</v>
      </c>
      <c r="AI4758" t="n">
        <v>0</v>
      </c>
    </row>
    <row r="4759">
      <c r="A4759" t="inlineStr">
        <is>
          <t>4월</t>
        </is>
      </c>
      <c r="B4759" t="inlineStr">
        <is>
          <t>16주차</t>
        </is>
      </c>
      <c r="C4759" t="inlineStr">
        <is>
          <t>EP</t>
        </is>
      </c>
      <c r="D4759" s="28" t="n">
        <v>46129</v>
      </c>
      <c r="E4759" t="inlineStr">
        <is>
          <t>현대EP_fast</t>
        </is>
      </c>
      <c r="F4759" t="inlineStr">
        <is>
          <t>김형상</t>
        </is>
      </c>
      <c r="G4759" t="inlineStr">
        <is>
          <t>010-2481-1000</t>
        </is>
      </c>
      <c r="H4759" t="inlineStr">
        <is>
          <t>394고6383</t>
        </is>
      </c>
      <c r="I4759" t="n">
        <v>-6500000</v>
      </c>
      <c r="J4759" t="n">
        <v>0.08599999999999999</v>
      </c>
      <c r="K4759" t="n">
        <v>1.76</v>
      </c>
      <c r="L4759" t="n">
        <v>0.2</v>
      </c>
      <c r="M4759" t="n">
        <v>1.56</v>
      </c>
      <c r="P4759" t="inlineStr">
        <is>
          <t>정광호</t>
        </is>
      </c>
      <c r="Q4759" t="inlineStr">
        <is>
          <t>담당자 기재 누락건</t>
        </is>
      </c>
      <c r="AB4759" t="inlineStr">
        <is>
          <t>홈서비스</t>
        </is>
      </c>
      <c r="AC4759" t="n">
        <v>-114400</v>
      </c>
      <c r="AD4759" t="n">
        <v>-13000</v>
      </c>
      <c r="AE4759" t="n">
        <v>-101400</v>
      </c>
      <c r="AF4759" t="n">
        <v>-104000</v>
      </c>
      <c r="AG4759" t="n">
        <v>-12571</v>
      </c>
      <c r="AH4759" t="n">
        <v>-91429</v>
      </c>
    </row>
    <row r="4760">
      <c r="A4760" t="inlineStr">
        <is>
          <t>5월</t>
        </is>
      </c>
      <c r="B4760" t="inlineStr">
        <is>
          <t>22주차</t>
        </is>
      </c>
      <c r="C4760" t="inlineStr">
        <is>
          <t>IM</t>
        </is>
      </c>
      <c r="D4760" s="28" t="n">
        <v>46170</v>
      </c>
      <c r="E4760" t="inlineStr">
        <is>
          <t>IM캐피탈</t>
        </is>
      </c>
      <c r="F4760" t="inlineStr">
        <is>
          <t>김용훈</t>
        </is>
      </c>
      <c r="G4760" t="inlineStr">
        <is>
          <t>010-6387-1599</t>
        </is>
      </c>
      <c r="H4760" t="inlineStr">
        <is>
          <t>247소7592</t>
        </is>
      </c>
      <c r="I4760" t="n">
        <v>28300000</v>
      </c>
      <c r="J4760" t="n">
        <v>0.049</v>
      </c>
      <c r="K4760" t="n">
        <v>1.1</v>
      </c>
      <c r="L4760" t="n">
        <v>0.14</v>
      </c>
      <c r="M4760" t="n">
        <v>0.96</v>
      </c>
      <c r="P4760" t="inlineStr">
        <is>
          <t>정세빈</t>
        </is>
      </c>
      <c r="Q4760" t="inlineStr">
        <is>
          <t>홈서비스 60개월</t>
        </is>
      </c>
      <c r="AB4760" t="inlineStr">
        <is>
          <t>홈서비스</t>
        </is>
      </c>
      <c r="AC4760" t="n">
        <v>311300</v>
      </c>
      <c r="AD4760" t="n">
        <v>39620</v>
      </c>
      <c r="AE4760" t="n">
        <v>271680</v>
      </c>
      <c r="AF4760" t="n">
        <v>283000</v>
      </c>
      <c r="AG4760" t="n">
        <v>38312.54</v>
      </c>
      <c r="AH4760" t="n">
        <v>244687.46</v>
      </c>
      <c r="AI4760" t="n">
        <v>0</v>
      </c>
    </row>
    <row r="4761">
      <c r="A4761" t="inlineStr">
        <is>
          <t>5월</t>
        </is>
      </c>
      <c r="B4761" t="inlineStr">
        <is>
          <t>22주차</t>
        </is>
      </c>
      <c r="C4761" t="inlineStr">
        <is>
          <t>IM</t>
        </is>
      </c>
      <c r="D4761" s="28" t="n">
        <v>46170</v>
      </c>
      <c r="E4761" t="inlineStr">
        <is>
          <t>IM캐피탈</t>
        </is>
      </c>
      <c r="F4761" t="inlineStr">
        <is>
          <t>강하늘</t>
        </is>
      </c>
      <c r="G4761" t="inlineStr">
        <is>
          <t>010-9179-8431</t>
        </is>
      </c>
      <c r="H4761" t="inlineStr">
        <is>
          <t>17보6523</t>
        </is>
      </c>
      <c r="I4761" t="n">
        <v>11800000</v>
      </c>
      <c r="J4761" t="n">
        <v>0.067</v>
      </c>
      <c r="K4761" t="n">
        <v>1.1</v>
      </c>
      <c r="L4761" t="n">
        <v>0.14</v>
      </c>
      <c r="M4761" t="n">
        <v>0.96</v>
      </c>
      <c r="P4761" t="inlineStr">
        <is>
          <t>임대경</t>
        </is>
      </c>
      <c r="Q4761" t="inlineStr">
        <is>
          <t>홈서비스 60개월</t>
        </is>
      </c>
      <c r="AB4761" t="inlineStr">
        <is>
          <t>홈서비스</t>
        </is>
      </c>
      <c r="AC4761" t="n">
        <v>129800</v>
      </c>
      <c r="AD4761" t="n">
        <v>16520</v>
      </c>
      <c r="AE4761" t="n">
        <v>113280</v>
      </c>
      <c r="AF4761" t="n">
        <v>118000</v>
      </c>
      <c r="AG4761" t="n">
        <v>15974.84</v>
      </c>
      <c r="AH4761" t="n">
        <v>102025.16</v>
      </c>
      <c r="AI4761" t="n">
        <v>0</v>
      </c>
    </row>
    <row r="4762">
      <c r="A4762" t="inlineStr">
        <is>
          <t>5월</t>
        </is>
      </c>
      <c r="B4762" t="inlineStr">
        <is>
          <t>22주차</t>
        </is>
      </c>
      <c r="C4762" t="inlineStr">
        <is>
          <t>IM</t>
        </is>
      </c>
      <c r="D4762" s="28" t="n">
        <v>46170</v>
      </c>
      <c r="E4762" t="inlineStr">
        <is>
          <t>IM캐피탈</t>
        </is>
      </c>
      <c r="F4762" t="inlineStr">
        <is>
          <t>이미희</t>
        </is>
      </c>
      <c r="G4762" t="inlineStr">
        <is>
          <t>010-3106-7474</t>
        </is>
      </c>
      <c r="H4762" t="inlineStr">
        <is>
          <t>07어6260</t>
        </is>
      </c>
      <c r="I4762" t="n">
        <v>11300000</v>
      </c>
      <c r="J4762" t="n">
        <v>0.079</v>
      </c>
      <c r="K4762" t="n">
        <v>1.1</v>
      </c>
      <c r="L4762" t="n">
        <v>0.5</v>
      </c>
      <c r="M4762" t="n">
        <v>0.6</v>
      </c>
      <c r="P4762" t="inlineStr">
        <is>
          <t>임대경</t>
        </is>
      </c>
      <c r="Q4762" t="inlineStr">
        <is>
          <t>부대비용 추가진행</t>
        </is>
      </c>
      <c r="AB4762" t="inlineStr">
        <is>
          <t>엔카</t>
        </is>
      </c>
      <c r="AC4762" t="n">
        <v>124300</v>
      </c>
      <c r="AD4762" t="n">
        <v>56500</v>
      </c>
      <c r="AE4762" t="n">
        <v>67800</v>
      </c>
      <c r="AF4762" t="n">
        <v>113000</v>
      </c>
      <c r="AG4762" t="n">
        <v>54635.5</v>
      </c>
      <c r="AH4762" t="n">
        <v>58364.5</v>
      </c>
      <c r="AI4762" t="n">
        <v>0</v>
      </c>
    </row>
    <row r="4763">
      <c r="A4763" t="inlineStr">
        <is>
          <t>5월</t>
        </is>
      </c>
      <c r="B4763" t="inlineStr">
        <is>
          <t>22주차</t>
        </is>
      </c>
      <c r="C4763" t="inlineStr">
        <is>
          <t>IM</t>
        </is>
      </c>
      <c r="D4763" s="28" t="n">
        <v>46170</v>
      </c>
      <c r="E4763" t="inlineStr">
        <is>
          <t>IM캐피탈</t>
        </is>
      </c>
      <c r="F4763" t="inlineStr">
        <is>
          <t>유재근</t>
        </is>
      </c>
      <c r="G4763" t="inlineStr">
        <is>
          <t>010-8801-8280</t>
        </is>
      </c>
      <c r="H4763" t="inlineStr">
        <is>
          <t>730고2505</t>
        </is>
      </c>
      <c r="I4763" t="n">
        <v>15000000</v>
      </c>
      <c r="J4763" t="n">
        <v>0.049</v>
      </c>
      <c r="K4763" t="n">
        <v>1.1</v>
      </c>
      <c r="L4763" t="n">
        <v>0.14</v>
      </c>
      <c r="M4763" t="n">
        <v>0.96</v>
      </c>
      <c r="P4763" t="inlineStr">
        <is>
          <t>김수연</t>
        </is>
      </c>
      <c r="Q4763" t="inlineStr">
        <is>
          <t>홈서비스 36개월</t>
        </is>
      </c>
      <c r="AB4763" t="inlineStr">
        <is>
          <t>홈서비스</t>
        </is>
      </c>
      <c r="AC4763" t="n">
        <v>165000</v>
      </c>
      <c r="AD4763" t="n">
        <v>21000</v>
      </c>
      <c r="AE4763" t="n">
        <v>144000</v>
      </c>
      <c r="AF4763" t="n">
        <v>150000</v>
      </c>
      <c r="AG4763" t="n">
        <v>20307</v>
      </c>
      <c r="AH4763" t="n">
        <v>129693</v>
      </c>
      <c r="AI4763" t="n">
        <v>0</v>
      </c>
    </row>
    <row r="4764">
      <c r="A4764" t="inlineStr">
        <is>
          <t>5월</t>
        </is>
      </c>
      <c r="B4764" t="inlineStr">
        <is>
          <t>22주차</t>
        </is>
      </c>
      <c r="C4764" t="inlineStr">
        <is>
          <t>WC</t>
        </is>
      </c>
      <c r="D4764" s="28" t="n">
        <v>46170</v>
      </c>
      <c r="E4764" t="inlineStr">
        <is>
          <t>웰컴저축은행</t>
        </is>
      </c>
      <c r="F4764" t="inlineStr">
        <is>
          <t>이윤성</t>
        </is>
      </c>
      <c r="G4764" t="inlineStr">
        <is>
          <t>010-6668-6066</t>
        </is>
      </c>
      <c r="H4764" t="inlineStr">
        <is>
          <t>110두5818</t>
        </is>
      </c>
      <c r="I4764" t="n">
        <v>20200000</v>
      </c>
      <c r="J4764" t="n">
        <v>0.089</v>
      </c>
      <c r="K4764" t="n">
        <v>2.2</v>
      </c>
      <c r="L4764" t="n">
        <v>0.14</v>
      </c>
      <c r="M4764" t="n">
        <v>2.06</v>
      </c>
      <c r="P4764" t="inlineStr">
        <is>
          <t>김수연</t>
        </is>
      </c>
      <c r="Q4764" t="inlineStr">
        <is>
          <t>홈서비스 60개월</t>
        </is>
      </c>
      <c r="AB4764" t="inlineStr">
        <is>
          <t>홈서비스</t>
        </is>
      </c>
      <c r="AC4764" t="n">
        <v>444400</v>
      </c>
      <c r="AD4764" t="n">
        <v>28280</v>
      </c>
      <c r="AE4764" t="n">
        <v>416120</v>
      </c>
      <c r="AF4764" t="n">
        <v>404000</v>
      </c>
      <c r="AG4764" t="n">
        <v>27346.76</v>
      </c>
      <c r="AH4764" t="n">
        <v>376653.24</v>
      </c>
      <c r="AI4764" t="n">
        <v>0</v>
      </c>
    </row>
    <row r="4765">
      <c r="A4765" t="inlineStr">
        <is>
          <t>5월</t>
        </is>
      </c>
      <c r="B4765" t="inlineStr">
        <is>
          <t>22주차</t>
        </is>
      </c>
      <c r="C4765" t="inlineStr">
        <is>
          <t>EP</t>
        </is>
      </c>
      <c r="D4765" s="28" t="n">
        <v>46170</v>
      </c>
      <c r="E4765" t="inlineStr">
        <is>
          <t>BNKEP</t>
        </is>
      </c>
      <c r="F4765" t="inlineStr">
        <is>
          <t>박상혁</t>
        </is>
      </c>
      <c r="G4765" t="inlineStr">
        <is>
          <t>010-3064-1488</t>
        </is>
      </c>
      <c r="H4765" t="inlineStr">
        <is>
          <t>09우3102</t>
        </is>
      </c>
      <c r="I4765" t="n">
        <v>39800000</v>
      </c>
      <c r="J4765" t="n">
        <v>0.08599999999999999</v>
      </c>
      <c r="K4765" t="n">
        <v>1.65</v>
      </c>
      <c r="L4765" t="n">
        <v>0.14</v>
      </c>
      <c r="M4765" t="n">
        <v>1.51</v>
      </c>
      <c r="P4765" t="inlineStr">
        <is>
          <t>김수연</t>
        </is>
      </c>
      <c r="Q4765" t="inlineStr">
        <is>
          <t>홈서비스 60개월</t>
        </is>
      </c>
      <c r="AB4765" t="inlineStr">
        <is>
          <t>홈서비스</t>
        </is>
      </c>
      <c r="AC4765" t="n">
        <v>656700</v>
      </c>
      <c r="AD4765" t="n">
        <v>55720</v>
      </c>
      <c r="AE4765" t="n">
        <v>600980</v>
      </c>
      <c r="AF4765" t="n">
        <v>597000</v>
      </c>
      <c r="AG4765" t="n">
        <v>53881.24</v>
      </c>
      <c r="AH4765" t="n">
        <v>543118.76</v>
      </c>
      <c r="AI4765" t="n">
        <v>0</v>
      </c>
    </row>
    <row r="4766">
      <c r="A4766" t="inlineStr">
        <is>
          <t>5월</t>
        </is>
      </c>
      <c r="B4766" t="inlineStr">
        <is>
          <t>22주차</t>
        </is>
      </c>
      <c r="C4766" t="inlineStr">
        <is>
          <t>IM</t>
        </is>
      </c>
      <c r="D4766" s="28" t="n">
        <v>46170</v>
      </c>
      <c r="E4766" t="inlineStr">
        <is>
          <t>IM캐피탈</t>
        </is>
      </c>
      <c r="F4766" t="inlineStr">
        <is>
          <t>권윤정</t>
        </is>
      </c>
      <c r="G4766" t="inlineStr">
        <is>
          <t>010-8609-3850</t>
        </is>
      </c>
      <c r="H4766" t="inlineStr">
        <is>
          <t>160주8417</t>
        </is>
      </c>
      <c r="I4766" t="n">
        <v>29100000</v>
      </c>
      <c r="J4766" t="n">
        <v>0.063</v>
      </c>
      <c r="K4766" t="n">
        <v>1.1</v>
      </c>
      <c r="L4766" t="n">
        <v>0.14</v>
      </c>
      <c r="M4766" t="n">
        <v>0.96</v>
      </c>
      <c r="P4766" t="inlineStr">
        <is>
          <t>임대경</t>
        </is>
      </c>
      <c r="Q4766" t="inlineStr">
        <is>
          <t>홈서비스 72개월</t>
        </is>
      </c>
      <c r="AB4766" t="inlineStr">
        <is>
          <t>홈서비스</t>
        </is>
      </c>
      <c r="AC4766" t="n">
        <v>320100</v>
      </c>
      <c r="AD4766" t="n">
        <v>40740</v>
      </c>
      <c r="AE4766" t="n">
        <v>279360</v>
      </c>
      <c r="AF4766" t="n">
        <v>291000</v>
      </c>
      <c r="AG4766" t="n">
        <v>39395.58</v>
      </c>
      <c r="AH4766" t="n">
        <v>251604.42</v>
      </c>
      <c r="AI4766" t="n">
        <v>0</v>
      </c>
    </row>
    <row r="4767">
      <c r="A4767" t="inlineStr">
        <is>
          <t>5월</t>
        </is>
      </c>
      <c r="B4767" t="inlineStr">
        <is>
          <t>22주차</t>
        </is>
      </c>
      <c r="C4767" t="inlineStr">
        <is>
          <t>IM</t>
        </is>
      </c>
      <c r="D4767" s="28" t="n">
        <v>46170</v>
      </c>
      <c r="E4767" t="inlineStr">
        <is>
          <t>IM캐피탈</t>
        </is>
      </c>
      <c r="F4767" t="inlineStr">
        <is>
          <t>안인기</t>
        </is>
      </c>
      <c r="G4767" t="inlineStr">
        <is>
          <t>010-9186-6670</t>
        </is>
      </c>
      <c r="H4767" t="inlineStr">
        <is>
          <t>19모8564</t>
        </is>
      </c>
      <c r="I4767" t="n">
        <v>24000000</v>
      </c>
      <c r="J4767" t="n">
        <v>0.049</v>
      </c>
      <c r="K4767" t="n">
        <v>1.1</v>
      </c>
      <c r="L4767" t="n">
        <v>0.14</v>
      </c>
      <c r="M4767" t="n">
        <v>0.96</v>
      </c>
      <c r="P4767" t="inlineStr">
        <is>
          <t>정세빈</t>
        </is>
      </c>
      <c r="Q4767" t="inlineStr">
        <is>
          <t>홈서비스 48개월</t>
        </is>
      </c>
      <c r="AB4767" t="inlineStr">
        <is>
          <t>홈서비스</t>
        </is>
      </c>
      <c r="AC4767" t="n">
        <v>264000</v>
      </c>
      <c r="AD4767" t="n">
        <v>33600</v>
      </c>
      <c r="AE4767" t="n">
        <v>230400</v>
      </c>
      <c r="AF4767" t="n">
        <v>240000</v>
      </c>
      <c r="AG4767" t="n">
        <v>32491.2</v>
      </c>
      <c r="AH4767" t="n">
        <v>207508.8</v>
      </c>
      <c r="AI4767" t="n">
        <v>0</v>
      </c>
    </row>
    <row r="4768">
      <c r="A4768" t="inlineStr">
        <is>
          <t>5월</t>
        </is>
      </c>
      <c r="B4768" t="inlineStr">
        <is>
          <t>22주차</t>
        </is>
      </c>
      <c r="C4768" t="inlineStr">
        <is>
          <t>EP</t>
        </is>
      </c>
      <c r="D4768" s="28" t="n">
        <v>46170</v>
      </c>
      <c r="E4768" t="inlineStr">
        <is>
          <t>BNKEP</t>
        </is>
      </c>
      <c r="F4768" t="inlineStr">
        <is>
          <t>전홍석</t>
        </is>
      </c>
      <c r="G4768" t="inlineStr">
        <is>
          <t>010-2977-6852</t>
        </is>
      </c>
      <c r="H4768" t="inlineStr">
        <is>
          <t>286두7071</t>
        </is>
      </c>
      <c r="I4768" t="n">
        <v>9500000</v>
      </c>
      <c r="J4768" t="n">
        <v>0.067</v>
      </c>
      <c r="K4768" t="n">
        <v>1.65</v>
      </c>
      <c r="L4768" t="n">
        <v>0.4</v>
      </c>
      <c r="M4768" t="n">
        <v>1.25</v>
      </c>
      <c r="P4768" t="inlineStr">
        <is>
          <t>구성완</t>
        </is>
      </c>
      <c r="AB4768" t="inlineStr">
        <is>
          <t>엔카</t>
        </is>
      </c>
      <c r="AC4768" t="n">
        <v>156750</v>
      </c>
      <c r="AD4768" t="n">
        <v>38000</v>
      </c>
      <c r="AE4768" t="n">
        <v>118750</v>
      </c>
      <c r="AF4768" t="n">
        <v>142500</v>
      </c>
      <c r="AG4768" t="n">
        <v>36746</v>
      </c>
      <c r="AH4768" t="n">
        <v>105754</v>
      </c>
    </row>
    <row r="4769">
      <c r="A4769" t="inlineStr">
        <is>
          <t>5월</t>
        </is>
      </c>
      <c r="B4769" t="inlineStr">
        <is>
          <t>22주차</t>
        </is>
      </c>
      <c r="C4769" t="inlineStr">
        <is>
          <t>EP</t>
        </is>
      </c>
      <c r="D4769" s="28" t="n">
        <v>46170</v>
      </c>
      <c r="E4769" t="inlineStr">
        <is>
          <t>현대EP_fast</t>
        </is>
      </c>
      <c r="F4769" t="inlineStr">
        <is>
          <t>천인재</t>
        </is>
      </c>
      <c r="G4769" t="inlineStr">
        <is>
          <t>010-4509-8497</t>
        </is>
      </c>
      <c r="H4769" t="inlineStr">
        <is>
          <t>341부1058</t>
        </is>
      </c>
      <c r="I4769" t="n">
        <v>19500000</v>
      </c>
      <c r="J4769" t="n">
        <v>0.089</v>
      </c>
      <c r="K4769" t="n">
        <v>1.76</v>
      </c>
      <c r="L4769" t="n">
        <v>0.14</v>
      </c>
      <c r="M4769" t="n">
        <v>1.62</v>
      </c>
      <c r="P4769" t="inlineStr">
        <is>
          <t>임대경</t>
        </is>
      </c>
      <c r="Q4769" t="inlineStr">
        <is>
          <t>홈서비스 60개월</t>
        </is>
      </c>
      <c r="AB4769" t="inlineStr">
        <is>
          <t>홈서비스</t>
        </is>
      </c>
      <c r="AC4769" t="n">
        <v>343200</v>
      </c>
      <c r="AD4769" t="n">
        <v>27300</v>
      </c>
      <c r="AE4769" t="n">
        <v>315900</v>
      </c>
      <c r="AF4769" t="n">
        <v>312000</v>
      </c>
      <c r="AG4769" t="n">
        <v>26399.1</v>
      </c>
      <c r="AH4769" t="n">
        <v>285600.9</v>
      </c>
      <c r="AI4769" t="n">
        <v>0</v>
      </c>
    </row>
    <row r="4770">
      <c r="A4770" t="inlineStr">
        <is>
          <t>5월</t>
        </is>
      </c>
      <c r="B4770" t="inlineStr">
        <is>
          <t>22주차</t>
        </is>
      </c>
      <c r="C4770" t="inlineStr">
        <is>
          <t>EP</t>
        </is>
      </c>
      <c r="D4770" s="28" t="n">
        <v>46170</v>
      </c>
      <c r="E4770" t="inlineStr">
        <is>
          <t>현대EP_fast</t>
        </is>
      </c>
      <c r="F4770" t="inlineStr">
        <is>
          <t>이도현</t>
        </is>
      </c>
      <c r="G4770" t="inlineStr">
        <is>
          <t>010-4201-8204</t>
        </is>
      </c>
      <c r="H4770" t="inlineStr">
        <is>
          <t>816오9559</t>
        </is>
      </c>
      <c r="I4770" t="n">
        <v>10600000</v>
      </c>
      <c r="J4770" t="n">
        <v>0.102</v>
      </c>
      <c r="K4770" t="n">
        <v>1.76</v>
      </c>
      <c r="L4770" t="n">
        <v>0.14</v>
      </c>
      <c r="M4770" t="n">
        <v>1.62</v>
      </c>
      <c r="P4770" t="inlineStr">
        <is>
          <t>황채이</t>
        </is>
      </c>
      <c r="Q4770" t="inlineStr">
        <is>
          <t>홈서비스 24개월</t>
        </is>
      </c>
      <c r="AB4770" t="inlineStr">
        <is>
          <t>홈서비스</t>
        </is>
      </c>
      <c r="AC4770" t="n">
        <v>186560</v>
      </c>
      <c r="AD4770" t="n">
        <v>14840</v>
      </c>
      <c r="AE4770" t="n">
        <v>171720</v>
      </c>
      <c r="AF4770" t="n">
        <v>169600</v>
      </c>
      <c r="AG4770" t="n">
        <v>14350.28</v>
      </c>
      <c r="AH4770" t="n">
        <v>155249.72</v>
      </c>
      <c r="AI4770" t="n">
        <v>0</v>
      </c>
    </row>
    <row r="4771">
      <c r="A4771" t="inlineStr">
        <is>
          <t>5월</t>
        </is>
      </c>
      <c r="B4771" t="inlineStr">
        <is>
          <t>22주차</t>
        </is>
      </c>
      <c r="C4771" t="inlineStr">
        <is>
          <t>EP</t>
        </is>
      </c>
      <c r="D4771" s="28" t="n">
        <v>46170</v>
      </c>
      <c r="E4771" t="inlineStr">
        <is>
          <t>현대EP_fast</t>
        </is>
      </c>
      <c r="F4771" t="inlineStr">
        <is>
          <t>김경태</t>
        </is>
      </c>
      <c r="G4771" t="inlineStr">
        <is>
          <t>010-3167-6928</t>
        </is>
      </c>
      <c r="H4771" t="inlineStr">
        <is>
          <t>337어6375</t>
        </is>
      </c>
      <c r="I4771" t="n">
        <v>15900000</v>
      </c>
      <c r="J4771" t="n">
        <v>0.099</v>
      </c>
      <c r="K4771" t="n">
        <v>1.76</v>
      </c>
      <c r="L4771" t="n">
        <v>0.14</v>
      </c>
      <c r="M4771" t="n">
        <v>1.62</v>
      </c>
      <c r="P4771" t="inlineStr">
        <is>
          <t>황채이</t>
        </is>
      </c>
      <c r="Q4771" t="inlineStr">
        <is>
          <t>홈서비스 60개월</t>
        </is>
      </c>
      <c r="AB4771" t="inlineStr">
        <is>
          <t>홈서비스</t>
        </is>
      </c>
      <c r="AC4771" t="n">
        <v>279840</v>
      </c>
      <c r="AD4771" t="n">
        <v>22260</v>
      </c>
      <c r="AE4771" t="n">
        <v>257580</v>
      </c>
      <c r="AF4771" t="n">
        <v>254400</v>
      </c>
      <c r="AG4771" t="n">
        <v>21525.42</v>
      </c>
      <c r="AH4771" t="n">
        <v>232874.58</v>
      </c>
      <c r="AI4771" t="n">
        <v>0</v>
      </c>
    </row>
    <row r="4772">
      <c r="A4772" t="inlineStr">
        <is>
          <t>5월</t>
        </is>
      </c>
      <c r="B4772" t="inlineStr">
        <is>
          <t>22주차</t>
        </is>
      </c>
      <c r="C4772" t="inlineStr">
        <is>
          <t>EP</t>
        </is>
      </c>
      <c r="D4772" s="28" t="n">
        <v>46170</v>
      </c>
      <c r="E4772" t="inlineStr">
        <is>
          <t>BNKEP</t>
        </is>
      </c>
      <c r="F4772" t="inlineStr">
        <is>
          <t>최도권</t>
        </is>
      </c>
      <c r="G4772" t="inlineStr">
        <is>
          <t>010-7143-6537</t>
        </is>
      </c>
      <c r="H4772" t="inlineStr">
        <is>
          <t>372오9140</t>
        </is>
      </c>
      <c r="I4772" t="n">
        <v>20200000</v>
      </c>
      <c r="J4772" t="n">
        <v>0.07199999999999999</v>
      </c>
      <c r="K4772" t="n">
        <v>1.65</v>
      </c>
      <c r="L4772" t="n">
        <v>0.14</v>
      </c>
      <c r="M4772" t="n">
        <v>1.51</v>
      </c>
      <c r="P4772" t="inlineStr">
        <is>
          <t>황채이</t>
        </is>
      </c>
      <c r="Q4772" t="inlineStr">
        <is>
          <t>홈서비스 60개월 / 부대비용 추가진행</t>
        </is>
      </c>
      <c r="AB4772" t="inlineStr">
        <is>
          <t>홈서비스</t>
        </is>
      </c>
      <c r="AC4772" t="n">
        <v>333300</v>
      </c>
      <c r="AD4772" t="n">
        <v>28280</v>
      </c>
      <c r="AE4772" t="n">
        <v>305020</v>
      </c>
      <c r="AF4772" t="n">
        <v>303000</v>
      </c>
      <c r="AG4772" t="n">
        <v>27346.76</v>
      </c>
      <c r="AH4772" t="n">
        <v>275653.24</v>
      </c>
    </row>
    <row r="4773">
      <c r="A4773" t="inlineStr">
        <is>
          <t>5월</t>
        </is>
      </c>
      <c r="B4773" t="inlineStr">
        <is>
          <t>22주차</t>
        </is>
      </c>
      <c r="C4773" t="inlineStr">
        <is>
          <t>IM</t>
        </is>
      </c>
      <c r="D4773" s="28" t="n">
        <v>46170</v>
      </c>
      <c r="E4773" t="inlineStr">
        <is>
          <t>IM캐피탈</t>
        </is>
      </c>
      <c r="F4773" t="inlineStr">
        <is>
          <t>유지나</t>
        </is>
      </c>
      <c r="G4773" t="inlineStr">
        <is>
          <t>010-5718-0955</t>
        </is>
      </c>
      <c r="H4773" t="inlineStr">
        <is>
          <t>117마9177</t>
        </is>
      </c>
      <c r="I4773" t="n">
        <v>19600000</v>
      </c>
      <c r="J4773" t="n">
        <v>0.049</v>
      </c>
      <c r="K4773" t="n">
        <v>1.1</v>
      </c>
      <c r="L4773" t="n">
        <v>0.14</v>
      </c>
      <c r="M4773" t="n">
        <v>0.96</v>
      </c>
      <c r="P4773" t="inlineStr">
        <is>
          <t>황채이</t>
        </is>
      </c>
      <c r="Q4773" t="inlineStr">
        <is>
          <t>홈서비스 48개월</t>
        </is>
      </c>
      <c r="AB4773" t="inlineStr">
        <is>
          <t>홈서비스</t>
        </is>
      </c>
      <c r="AC4773" t="n">
        <v>215600</v>
      </c>
      <c r="AD4773" t="n">
        <v>27440</v>
      </c>
      <c r="AE4773" t="n">
        <v>188160</v>
      </c>
      <c r="AF4773" t="n">
        <v>196000</v>
      </c>
      <c r="AG4773" t="n">
        <v>26534.48</v>
      </c>
      <c r="AH4773" t="n">
        <v>169465.52</v>
      </c>
      <c r="AI4773" t="n">
        <v>0</v>
      </c>
    </row>
    <row r="4774">
      <c r="A4774" t="inlineStr">
        <is>
          <t>5월</t>
        </is>
      </c>
      <c r="B4774" t="inlineStr">
        <is>
          <t>22주차</t>
        </is>
      </c>
      <c r="C4774" t="inlineStr">
        <is>
          <t>IM</t>
        </is>
      </c>
      <c r="D4774" s="28" t="n">
        <v>46170</v>
      </c>
      <c r="E4774" t="inlineStr">
        <is>
          <t>IM캐피탈</t>
        </is>
      </c>
      <c r="F4774" t="inlineStr">
        <is>
          <t>이다빈</t>
        </is>
      </c>
      <c r="G4774" t="inlineStr">
        <is>
          <t>010-6435-6212</t>
        </is>
      </c>
      <c r="H4774" t="inlineStr">
        <is>
          <t>311도4718</t>
        </is>
      </c>
      <c r="I4774" t="n">
        <v>9900000</v>
      </c>
      <c r="J4774" t="n">
        <v>0.079</v>
      </c>
      <c r="K4774" t="n">
        <v>1.1</v>
      </c>
      <c r="L4774" t="n">
        <v>0.14</v>
      </c>
      <c r="M4774" t="n">
        <v>0.96</v>
      </c>
      <c r="P4774" t="inlineStr">
        <is>
          <t>황채이</t>
        </is>
      </c>
      <c r="Q4774" t="inlineStr">
        <is>
          <t>홈서비스 36개월</t>
        </is>
      </c>
      <c r="AB4774" t="inlineStr">
        <is>
          <t>홈서비스</t>
        </is>
      </c>
      <c r="AC4774" t="n">
        <v>108900</v>
      </c>
      <c r="AD4774" t="n">
        <v>13860</v>
      </c>
      <c r="AE4774" t="n">
        <v>95040</v>
      </c>
      <c r="AF4774" t="n">
        <v>99000</v>
      </c>
      <c r="AG4774" t="n">
        <v>13402.62</v>
      </c>
      <c r="AH4774" t="n">
        <v>85597.38</v>
      </c>
    </row>
    <row r="4775">
      <c r="A4775" t="inlineStr">
        <is>
          <t>5월</t>
        </is>
      </c>
      <c r="B4775" t="inlineStr">
        <is>
          <t>22주차</t>
        </is>
      </c>
      <c r="C4775" t="inlineStr">
        <is>
          <t>EP</t>
        </is>
      </c>
      <c r="D4775" s="28" t="n">
        <v>46170</v>
      </c>
      <c r="E4775" t="inlineStr">
        <is>
          <t>현대EP_fast</t>
        </is>
      </c>
      <c r="F4775" t="inlineStr">
        <is>
          <t>강정태</t>
        </is>
      </c>
      <c r="G4775" t="inlineStr">
        <is>
          <t>010-5026-2744</t>
        </is>
      </c>
      <c r="H4775" t="inlineStr">
        <is>
          <t>112부8591</t>
        </is>
      </c>
      <c r="I4775" t="n">
        <v>6500000</v>
      </c>
      <c r="J4775" t="n">
        <v>0.089</v>
      </c>
      <c r="K4775" t="n">
        <v>1.76</v>
      </c>
      <c r="L4775" t="n">
        <v>0.14</v>
      </c>
      <c r="M4775" t="n">
        <v>1.62</v>
      </c>
      <c r="P4775" t="inlineStr">
        <is>
          <t>황채이</t>
        </is>
      </c>
      <c r="Q4775" t="inlineStr">
        <is>
          <t>홈서비스 60개월</t>
        </is>
      </c>
      <c r="AB4775" t="inlineStr">
        <is>
          <t>홈서비스</t>
        </is>
      </c>
      <c r="AC4775" t="n">
        <v>114400</v>
      </c>
      <c r="AD4775" t="n">
        <v>9100</v>
      </c>
      <c r="AE4775" t="n">
        <v>105300</v>
      </c>
      <c r="AF4775" t="n">
        <v>104000</v>
      </c>
      <c r="AG4775" t="n">
        <v>8799.700000000001</v>
      </c>
      <c r="AH4775" t="n">
        <v>95200.3</v>
      </c>
      <c r="AI4775" t="n">
        <v>0</v>
      </c>
    </row>
    <row r="4776">
      <c r="A4776" t="inlineStr">
        <is>
          <t>5월</t>
        </is>
      </c>
      <c r="B4776" t="inlineStr">
        <is>
          <t>22주차</t>
        </is>
      </c>
      <c r="C4776" t="inlineStr">
        <is>
          <t>EP</t>
        </is>
      </c>
      <c r="D4776" s="28" t="n">
        <v>46170</v>
      </c>
      <c r="E4776" t="inlineStr">
        <is>
          <t>현대EP_fast</t>
        </is>
      </c>
      <c r="F4776" t="inlineStr">
        <is>
          <t>정지은</t>
        </is>
      </c>
      <c r="G4776" t="inlineStr">
        <is>
          <t>010-9297-1829</t>
        </is>
      </c>
      <c r="H4776" t="inlineStr">
        <is>
          <t>179라8677</t>
        </is>
      </c>
      <c r="I4776" t="n">
        <v>12500000</v>
      </c>
      <c r="J4776" t="n">
        <v>0.075</v>
      </c>
      <c r="K4776" t="n">
        <v>1.76</v>
      </c>
      <c r="L4776" t="n">
        <v>0.14</v>
      </c>
      <c r="M4776" t="n">
        <v>1.62</v>
      </c>
      <c r="P4776" t="inlineStr">
        <is>
          <t>황채이</t>
        </is>
      </c>
      <c r="Q4776" t="inlineStr">
        <is>
          <t>홈서비스 60개월 / 공동명의</t>
        </is>
      </c>
      <c r="AB4776" t="inlineStr">
        <is>
          <t>홈서비스</t>
        </is>
      </c>
      <c r="AC4776" t="n">
        <v>220000</v>
      </c>
      <c r="AD4776" t="n">
        <v>17500</v>
      </c>
      <c r="AE4776" t="n">
        <v>202500</v>
      </c>
      <c r="AF4776" t="n">
        <v>200000</v>
      </c>
      <c r="AG4776" t="n">
        <v>16922.5</v>
      </c>
      <c r="AH4776" t="n">
        <v>183077.5</v>
      </c>
      <c r="AI4776" t="n">
        <v>0</v>
      </c>
    </row>
    <row r="4777">
      <c r="A4777" t="inlineStr">
        <is>
          <t>5월</t>
        </is>
      </c>
      <c r="B4777" t="inlineStr">
        <is>
          <t>22주차</t>
        </is>
      </c>
      <c r="C4777" t="inlineStr">
        <is>
          <t>IM</t>
        </is>
      </c>
      <c r="D4777" s="28" t="n">
        <v>46170</v>
      </c>
      <c r="E4777" t="inlineStr">
        <is>
          <t>IM캐피탈</t>
        </is>
      </c>
      <c r="F4777" t="inlineStr">
        <is>
          <t>박지찬</t>
        </is>
      </c>
      <c r="G4777" t="inlineStr">
        <is>
          <t>010-3897-6501</t>
        </is>
      </c>
      <c r="H4777" t="inlineStr">
        <is>
          <t>16노2448</t>
        </is>
      </c>
      <c r="I4777" t="n">
        <v>20000000</v>
      </c>
      <c r="J4777" t="n">
        <v>0.06900000000000001</v>
      </c>
      <c r="K4777" t="n">
        <v>1.1</v>
      </c>
      <c r="L4777" t="n">
        <v>0.14</v>
      </c>
      <c r="M4777" t="n">
        <v>0.96</v>
      </c>
      <c r="P4777" t="inlineStr">
        <is>
          <t>황채이</t>
        </is>
      </c>
      <c r="Q4777" t="inlineStr">
        <is>
          <t>홈서비스 48개월</t>
        </is>
      </c>
      <c r="AB4777" t="inlineStr">
        <is>
          <t>홈서비스</t>
        </is>
      </c>
      <c r="AC4777" t="n">
        <v>220000</v>
      </c>
      <c r="AD4777" t="n">
        <v>28000</v>
      </c>
      <c r="AE4777" t="n">
        <v>192000</v>
      </c>
      <c r="AF4777" t="n">
        <v>200000</v>
      </c>
      <c r="AG4777" t="n">
        <v>27076</v>
      </c>
      <c r="AH4777" t="n">
        <v>172924</v>
      </c>
      <c r="AI4777" t="n">
        <v>0</v>
      </c>
    </row>
    <row r="4778">
      <c r="A4778" t="inlineStr">
        <is>
          <t>5월</t>
        </is>
      </c>
      <c r="B4778" t="inlineStr">
        <is>
          <t>22주차</t>
        </is>
      </c>
      <c r="C4778" t="inlineStr">
        <is>
          <t>IM</t>
        </is>
      </c>
      <c r="D4778" s="28" t="n">
        <v>46170</v>
      </c>
      <c r="E4778" t="inlineStr">
        <is>
          <t>IM캐피탈</t>
        </is>
      </c>
      <c r="F4778" t="inlineStr">
        <is>
          <t>이보연</t>
        </is>
      </c>
      <c r="G4778" t="inlineStr">
        <is>
          <t>010-3340-4128</t>
        </is>
      </c>
      <c r="H4778" t="inlineStr">
        <is>
          <t>111가5117</t>
        </is>
      </c>
      <c r="I4778" t="n">
        <v>10000000</v>
      </c>
      <c r="J4778" t="n">
        <v>0.045</v>
      </c>
      <c r="K4778" t="n">
        <v>1.1</v>
      </c>
      <c r="L4778" t="n">
        <v>0.14</v>
      </c>
      <c r="M4778" t="n">
        <v>0.96</v>
      </c>
      <c r="P4778" t="inlineStr">
        <is>
          <t>황채이</t>
        </is>
      </c>
      <c r="Q4778" t="inlineStr">
        <is>
          <t>홈서비스 24개월</t>
        </is>
      </c>
      <c r="AB4778" t="inlineStr">
        <is>
          <t>홈서비스</t>
        </is>
      </c>
      <c r="AC4778" t="n">
        <v>110000</v>
      </c>
      <c r="AD4778" t="n">
        <v>14000</v>
      </c>
      <c r="AE4778" t="n">
        <v>96000</v>
      </c>
      <c r="AF4778" t="n">
        <v>100000</v>
      </c>
      <c r="AG4778" t="n">
        <v>13538</v>
      </c>
      <c r="AH4778" t="n">
        <v>86462</v>
      </c>
      <c r="AI4778" t="n">
        <v>0</v>
      </c>
    </row>
    <row r="4779">
      <c r="A4779" t="inlineStr">
        <is>
          <t>5월</t>
        </is>
      </c>
      <c r="B4779" t="inlineStr">
        <is>
          <t>22주차</t>
        </is>
      </c>
      <c r="C4779" t="inlineStr">
        <is>
          <t>IM</t>
        </is>
      </c>
      <c r="D4779" s="28" t="n">
        <v>46170</v>
      </c>
      <c r="E4779" t="inlineStr">
        <is>
          <t>IM캐피탈</t>
        </is>
      </c>
      <c r="F4779" t="inlineStr">
        <is>
          <t>이동조</t>
        </is>
      </c>
      <c r="G4779" t="inlineStr">
        <is>
          <t>010-5599-0999</t>
        </is>
      </c>
      <c r="H4779" t="inlineStr">
        <is>
          <t>35로0743</t>
        </is>
      </c>
      <c r="I4779" t="n">
        <v>4000000</v>
      </c>
      <c r="J4779" t="n">
        <v>0.045</v>
      </c>
      <c r="K4779" t="n">
        <v>1.1</v>
      </c>
      <c r="L4779" t="n">
        <v>0.14</v>
      </c>
      <c r="M4779" t="n">
        <v>0.96</v>
      </c>
      <c r="P4779" t="inlineStr">
        <is>
          <t>정세빈</t>
        </is>
      </c>
      <c r="Q4779" t="inlineStr">
        <is>
          <t>홈서비스 48개월</t>
        </is>
      </c>
      <c r="AB4779" t="inlineStr">
        <is>
          <t>홈서비스</t>
        </is>
      </c>
      <c r="AC4779" t="n">
        <v>44000</v>
      </c>
      <c r="AD4779" t="n">
        <v>5600</v>
      </c>
      <c r="AE4779" t="n">
        <v>38400</v>
      </c>
      <c r="AF4779" t="n">
        <v>40000</v>
      </c>
      <c r="AG4779" t="n">
        <v>5415.2</v>
      </c>
      <c r="AH4779" t="n">
        <v>34584.8</v>
      </c>
      <c r="AI4779" t="n">
        <v>0</v>
      </c>
    </row>
    <row r="4780">
      <c r="A4780" t="inlineStr">
        <is>
          <t>5월</t>
        </is>
      </c>
      <c r="B4780" t="inlineStr">
        <is>
          <t>22주차</t>
        </is>
      </c>
      <c r="C4780" t="inlineStr">
        <is>
          <t>EP</t>
        </is>
      </c>
      <c r="D4780" s="28" t="n">
        <v>46170</v>
      </c>
      <c r="E4780" t="inlineStr">
        <is>
          <t>현대EP_fast</t>
        </is>
      </c>
      <c r="F4780" t="inlineStr">
        <is>
          <t>김지훈</t>
        </is>
      </c>
      <c r="G4780" t="inlineStr">
        <is>
          <t>010-6808-6143</t>
        </is>
      </c>
      <c r="H4780" t="inlineStr">
        <is>
          <t>22너0274</t>
        </is>
      </c>
      <c r="I4780" t="n">
        <v>3900000</v>
      </c>
      <c r="J4780" t="n">
        <v>0.089</v>
      </c>
      <c r="K4780" t="n">
        <v>1.76</v>
      </c>
      <c r="L4780" t="n">
        <v>0.4</v>
      </c>
      <c r="M4780" t="n">
        <v>1.36</v>
      </c>
      <c r="P4780" t="inlineStr">
        <is>
          <t>최혁</t>
        </is>
      </c>
      <c r="AB4780" t="inlineStr">
        <is>
          <t>엔카</t>
        </is>
      </c>
      <c r="AC4780" t="n">
        <v>68640</v>
      </c>
      <c r="AD4780" t="n">
        <v>15600</v>
      </c>
      <c r="AE4780" t="n">
        <v>53040</v>
      </c>
      <c r="AF4780" t="n">
        <v>62400</v>
      </c>
      <c r="AG4780" t="n">
        <v>15085.2</v>
      </c>
      <c r="AH4780" t="n">
        <v>47314.8</v>
      </c>
    </row>
    <row r="4781">
      <c r="A4781" t="inlineStr">
        <is>
          <t>5월</t>
        </is>
      </c>
      <c r="B4781" t="inlineStr">
        <is>
          <t>22주차</t>
        </is>
      </c>
      <c r="C4781" t="inlineStr">
        <is>
          <t>IM</t>
        </is>
      </c>
      <c r="D4781" s="28" t="n">
        <v>46170</v>
      </c>
      <c r="E4781" t="inlineStr">
        <is>
          <t>IM캐피탈</t>
        </is>
      </c>
      <c r="F4781" t="inlineStr">
        <is>
          <t>이은기</t>
        </is>
      </c>
      <c r="G4781" t="inlineStr">
        <is>
          <t>010-5467-1362</t>
        </is>
      </c>
      <c r="H4781" t="inlineStr">
        <is>
          <t>122수4090</t>
        </is>
      </c>
      <c r="I4781" t="n">
        <v>16800000</v>
      </c>
      <c r="J4781" t="n">
        <v>0.045</v>
      </c>
      <c r="K4781" t="n">
        <v>1.1</v>
      </c>
      <c r="L4781" t="n">
        <v>0.4</v>
      </c>
      <c r="M4781" t="n">
        <v>0.7</v>
      </c>
      <c r="P4781" t="inlineStr">
        <is>
          <t>최혁</t>
        </is>
      </c>
      <c r="AB4781" t="inlineStr">
        <is>
          <t>엔카</t>
        </is>
      </c>
      <c r="AC4781" t="n">
        <v>184800</v>
      </c>
      <c r="AD4781" t="n">
        <v>67200</v>
      </c>
      <c r="AE4781" t="n">
        <v>117600</v>
      </c>
      <c r="AF4781" t="n">
        <v>168000</v>
      </c>
      <c r="AG4781" t="n">
        <v>64982.4</v>
      </c>
      <c r="AH4781" t="n">
        <v>103017.6</v>
      </c>
      <c r="AI4781" t="n">
        <v>0</v>
      </c>
    </row>
    <row r="4782">
      <c r="A4782" t="inlineStr">
        <is>
          <t>5월</t>
        </is>
      </c>
      <c r="B4782" t="inlineStr">
        <is>
          <t>22주차</t>
        </is>
      </c>
      <c r="C4782" t="inlineStr">
        <is>
          <t>EP</t>
        </is>
      </c>
      <c r="D4782" s="28" t="n">
        <v>46170</v>
      </c>
      <c r="E4782" t="inlineStr">
        <is>
          <t>현대EP</t>
        </is>
      </c>
      <c r="F4782" t="inlineStr">
        <is>
          <t>김병국</t>
        </is>
      </c>
      <c r="G4782" t="inlineStr">
        <is>
          <t>010-7118-5707</t>
        </is>
      </c>
      <c r="H4782" t="inlineStr">
        <is>
          <t>250서9069</t>
        </is>
      </c>
      <c r="I4782" t="n">
        <v>4100000</v>
      </c>
      <c r="J4782" t="n">
        <v>0.06900000000000001</v>
      </c>
      <c r="K4782" t="n">
        <v>1.76</v>
      </c>
      <c r="L4782" t="n">
        <v>0.14</v>
      </c>
      <c r="M4782" t="n">
        <v>1.62</v>
      </c>
      <c r="P4782" t="inlineStr">
        <is>
          <t>김수연</t>
        </is>
      </c>
      <c r="AB4782" t="inlineStr">
        <is>
          <t>홈서비스</t>
        </is>
      </c>
      <c r="AC4782" t="n">
        <v>72160</v>
      </c>
      <c r="AD4782" t="n">
        <v>5740</v>
      </c>
      <c r="AE4782" t="n">
        <v>66420</v>
      </c>
      <c r="AF4782" t="n">
        <v>65600</v>
      </c>
      <c r="AG4782" t="n">
        <v>5550.58</v>
      </c>
      <c r="AH4782" t="n">
        <v>60049.42</v>
      </c>
      <c r="AI4782" t="n">
        <v>0</v>
      </c>
    </row>
    <row r="4783">
      <c r="A4783" t="inlineStr">
        <is>
          <t>5월</t>
        </is>
      </c>
      <c r="B4783" t="inlineStr">
        <is>
          <t>22주차</t>
        </is>
      </c>
      <c r="C4783" t="inlineStr">
        <is>
          <t>EP</t>
        </is>
      </c>
      <c r="D4783" s="28" t="n">
        <v>46170</v>
      </c>
      <c r="E4783" t="inlineStr">
        <is>
          <t>현대EP</t>
        </is>
      </c>
      <c r="F4783" t="inlineStr">
        <is>
          <t>양인혜</t>
        </is>
      </c>
      <c r="G4783" t="inlineStr">
        <is>
          <t>010-8279-3398</t>
        </is>
      </c>
      <c r="H4783" t="inlineStr">
        <is>
          <t>60더5985</t>
        </is>
      </c>
      <c r="I4783" t="n">
        <v>5900000</v>
      </c>
      <c r="J4783" t="n">
        <v>0.062</v>
      </c>
      <c r="K4783" t="n">
        <v>1.76</v>
      </c>
      <c r="L4783" t="n">
        <v>0.14</v>
      </c>
      <c r="M4783" t="n">
        <v>1.62</v>
      </c>
      <c r="P4783" t="inlineStr">
        <is>
          <t>정세빈</t>
        </is>
      </c>
      <c r="AB4783" t="inlineStr">
        <is>
          <t>홈서비스</t>
        </is>
      </c>
      <c r="AC4783" t="n">
        <v>103840</v>
      </c>
      <c r="AD4783" t="n">
        <v>8260</v>
      </c>
      <c r="AE4783" t="n">
        <v>95580</v>
      </c>
      <c r="AF4783" t="n">
        <v>94400</v>
      </c>
      <c r="AG4783" t="n">
        <v>7987.42</v>
      </c>
      <c r="AH4783" t="n">
        <v>86412.58</v>
      </c>
    </row>
    <row r="4784">
      <c r="A4784" t="inlineStr">
        <is>
          <t>5월</t>
        </is>
      </c>
      <c r="B4784" t="inlineStr">
        <is>
          <t>22주차</t>
        </is>
      </c>
      <c r="C4784" t="inlineStr">
        <is>
          <t>EP</t>
        </is>
      </c>
      <c r="D4784" s="28" t="n">
        <v>46170</v>
      </c>
      <c r="E4784" t="inlineStr">
        <is>
          <t>현대EP</t>
        </is>
      </c>
      <c r="F4784" t="inlineStr">
        <is>
          <t>이병호</t>
        </is>
      </c>
      <c r="G4784" t="inlineStr">
        <is>
          <t>010-9946-2538</t>
        </is>
      </c>
      <c r="H4784" t="inlineStr">
        <is>
          <t>02도6166</t>
        </is>
      </c>
      <c r="I4784" t="n">
        <v>27200000</v>
      </c>
      <c r="J4784" t="n">
        <v>0.07099999999999999</v>
      </c>
      <c r="K4784" t="n">
        <v>1.76</v>
      </c>
      <c r="L4784" t="n">
        <v>0.14</v>
      </c>
      <c r="M4784" t="n">
        <v>1.62</v>
      </c>
      <c r="P4784" t="inlineStr">
        <is>
          <t>김나윤</t>
        </is>
      </c>
      <c r="AB4784" t="inlineStr">
        <is>
          <t>홈서비스</t>
        </is>
      </c>
      <c r="AC4784" t="n">
        <v>478720</v>
      </c>
      <c r="AD4784" t="n">
        <v>38080</v>
      </c>
      <c r="AE4784" t="n">
        <v>440640</v>
      </c>
      <c r="AF4784" t="n">
        <v>435200</v>
      </c>
      <c r="AG4784" t="n">
        <v>36823.36</v>
      </c>
      <c r="AH4784" t="n">
        <v>398376.64</v>
      </c>
      <c r="AI4784" t="n">
        <v>0</v>
      </c>
    </row>
    <row r="4785">
      <c r="A4785" t="inlineStr">
        <is>
          <t>5월</t>
        </is>
      </c>
      <c r="B4785" t="inlineStr">
        <is>
          <t>22주차</t>
        </is>
      </c>
      <c r="C4785" t="inlineStr">
        <is>
          <t>EP</t>
        </is>
      </c>
      <c r="D4785" s="28" t="n">
        <v>46170</v>
      </c>
      <c r="E4785" t="inlineStr">
        <is>
          <t>현대EP</t>
        </is>
      </c>
      <c r="F4785" t="inlineStr">
        <is>
          <t>이지형</t>
        </is>
      </c>
      <c r="G4785" t="inlineStr">
        <is>
          <t>010-7707-0866</t>
        </is>
      </c>
      <c r="H4785" t="inlineStr">
        <is>
          <t>355고1487</t>
        </is>
      </c>
      <c r="I4785" t="n">
        <v>7900000</v>
      </c>
      <c r="J4785" t="n">
        <v>0.06900000000000001</v>
      </c>
      <c r="K4785" t="n">
        <v>1.76</v>
      </c>
      <c r="L4785" t="n">
        <v>0.14</v>
      </c>
      <c r="M4785" t="n">
        <v>1.62</v>
      </c>
      <c r="P4785" t="inlineStr">
        <is>
          <t>정세빈</t>
        </is>
      </c>
      <c r="AB4785" t="inlineStr">
        <is>
          <t>홈서비스</t>
        </is>
      </c>
      <c r="AC4785" t="n">
        <v>139040</v>
      </c>
      <c r="AD4785" t="n">
        <v>11060</v>
      </c>
      <c r="AE4785" t="n">
        <v>127980</v>
      </c>
      <c r="AF4785" t="n">
        <v>126400</v>
      </c>
      <c r="AG4785" t="n">
        <v>10695.02</v>
      </c>
      <c r="AH4785" t="n">
        <v>115704.98</v>
      </c>
      <c r="AI4785" t="n">
        <v>0</v>
      </c>
    </row>
    <row r="4786">
      <c r="A4786" t="inlineStr">
        <is>
          <t>5월</t>
        </is>
      </c>
      <c r="B4786" t="inlineStr">
        <is>
          <t>22주차</t>
        </is>
      </c>
      <c r="C4786" t="inlineStr">
        <is>
          <t>EP</t>
        </is>
      </c>
      <c r="D4786" s="28" t="n">
        <v>46170</v>
      </c>
      <c r="E4786" t="inlineStr">
        <is>
          <t>현대EP</t>
        </is>
      </c>
      <c r="F4786" t="inlineStr">
        <is>
          <t>홍승우</t>
        </is>
      </c>
      <c r="G4786" t="inlineStr">
        <is>
          <t>010-3305-3525</t>
        </is>
      </c>
      <c r="H4786" t="inlineStr">
        <is>
          <t>335더8653</t>
        </is>
      </c>
      <c r="I4786" t="n">
        <v>8000000</v>
      </c>
      <c r="J4786" t="n">
        <v>0.105</v>
      </c>
      <c r="K4786" t="n">
        <v>1.76</v>
      </c>
      <c r="L4786" t="n">
        <v>0.14</v>
      </c>
      <c r="M4786" t="n">
        <v>1.62</v>
      </c>
      <c r="P4786" t="inlineStr">
        <is>
          <t>김수연</t>
        </is>
      </c>
      <c r="AB4786" t="inlineStr">
        <is>
          <t>홈서비스</t>
        </is>
      </c>
      <c r="AC4786" t="n">
        <v>140800</v>
      </c>
      <c r="AD4786" t="n">
        <v>11200</v>
      </c>
      <c r="AE4786" t="n">
        <v>129600</v>
      </c>
      <c r="AF4786" t="n">
        <v>128000</v>
      </c>
      <c r="AG4786" t="n">
        <v>10830.4</v>
      </c>
      <c r="AH4786" t="n">
        <v>117169.6</v>
      </c>
      <c r="AI4786" t="n">
        <v>0</v>
      </c>
    </row>
    <row r="4787">
      <c r="A4787" t="inlineStr">
        <is>
          <t>5월</t>
        </is>
      </c>
      <c r="B4787" t="inlineStr">
        <is>
          <t>22주차</t>
        </is>
      </c>
      <c r="C4787" t="inlineStr">
        <is>
          <t>EP</t>
        </is>
      </c>
      <c r="D4787" s="28" t="n">
        <v>46171</v>
      </c>
      <c r="E4787" t="inlineStr">
        <is>
          <t>현대EP_fast</t>
        </is>
      </c>
      <c r="F4787" t="inlineStr">
        <is>
          <t>황희진</t>
        </is>
      </c>
      <c r="G4787" t="inlineStr">
        <is>
          <t>010-3354-1444</t>
        </is>
      </c>
      <c r="H4787" t="inlineStr">
        <is>
          <t>293루5008</t>
        </is>
      </c>
      <c r="I4787" t="n">
        <v>15100000</v>
      </c>
      <c r="J4787" t="n">
        <v>0.129</v>
      </c>
      <c r="K4787" t="n">
        <v>1.76</v>
      </c>
      <c r="L4787" t="n">
        <v>0.14</v>
      </c>
      <c r="M4787" t="n">
        <v>1.62</v>
      </c>
      <c r="P4787" t="inlineStr">
        <is>
          <t>김수연</t>
        </is>
      </c>
      <c r="Q4787" t="inlineStr">
        <is>
          <t>홈서비스 36개월</t>
        </is>
      </c>
      <c r="AB4787" t="inlineStr">
        <is>
          <t>홈서비스</t>
        </is>
      </c>
      <c r="AC4787" t="n">
        <v>265760</v>
      </c>
      <c r="AD4787" t="n">
        <v>21140</v>
      </c>
      <c r="AE4787" t="n">
        <v>244620</v>
      </c>
      <c r="AF4787" t="n">
        <v>241600</v>
      </c>
      <c r="AG4787" t="n">
        <v>20442.38</v>
      </c>
      <c r="AH4787" t="n">
        <v>221157.62</v>
      </c>
    </row>
    <row r="4788">
      <c r="A4788" t="inlineStr">
        <is>
          <t>5월</t>
        </is>
      </c>
      <c r="B4788" t="inlineStr">
        <is>
          <t>22주차</t>
        </is>
      </c>
      <c r="C4788" t="inlineStr">
        <is>
          <t>IM</t>
        </is>
      </c>
      <c r="D4788" s="28" t="n">
        <v>46171</v>
      </c>
      <c r="E4788" t="inlineStr">
        <is>
          <t>IM캐피탈</t>
        </is>
      </c>
      <c r="F4788" t="inlineStr">
        <is>
          <t>손선희</t>
        </is>
      </c>
      <c r="G4788" t="inlineStr">
        <is>
          <t>010-7700-8545</t>
        </is>
      </c>
      <c r="H4788" t="inlineStr">
        <is>
          <t>37소5846</t>
        </is>
      </c>
      <c r="I4788" t="n">
        <v>10000000</v>
      </c>
      <c r="J4788" t="n">
        <v>0.049</v>
      </c>
      <c r="K4788" t="n">
        <v>1.1</v>
      </c>
      <c r="L4788" t="n">
        <v>0.4</v>
      </c>
      <c r="M4788" t="n">
        <v>0.7</v>
      </c>
      <c r="P4788" t="inlineStr">
        <is>
          <t>장진경</t>
        </is>
      </c>
      <c r="AB4788" t="inlineStr">
        <is>
          <t>엔카</t>
        </is>
      </c>
      <c r="AC4788" t="n">
        <v>110000</v>
      </c>
      <c r="AD4788" t="n">
        <v>40000</v>
      </c>
      <c r="AE4788" t="n">
        <v>70000</v>
      </c>
      <c r="AF4788" t="n">
        <v>100000</v>
      </c>
      <c r="AG4788" t="n">
        <v>38680</v>
      </c>
      <c r="AH4788" t="n">
        <v>61320</v>
      </c>
      <c r="AI4788" t="n">
        <v>0</v>
      </c>
    </row>
    <row r="4789">
      <c r="A4789" t="inlineStr">
        <is>
          <t>5월</t>
        </is>
      </c>
      <c r="B4789" t="inlineStr">
        <is>
          <t>22주차</t>
        </is>
      </c>
      <c r="C4789" t="inlineStr">
        <is>
          <t>IM</t>
        </is>
      </c>
      <c r="D4789" s="28" t="n">
        <v>46171</v>
      </c>
      <c r="E4789" t="inlineStr">
        <is>
          <t>IM캐피탈</t>
        </is>
      </c>
      <c r="F4789" t="inlineStr">
        <is>
          <t>김민재</t>
        </is>
      </c>
      <c r="G4789" t="inlineStr">
        <is>
          <t>010-4002-2299</t>
        </is>
      </c>
      <c r="H4789" t="inlineStr">
        <is>
          <t>26버6113</t>
        </is>
      </c>
      <c r="I4789" t="n">
        <v>17200000</v>
      </c>
      <c r="J4789" t="n">
        <v>0.049</v>
      </c>
      <c r="K4789" t="n">
        <v>1.1</v>
      </c>
      <c r="L4789" t="n">
        <v>0.14</v>
      </c>
      <c r="M4789" t="n">
        <v>0.96</v>
      </c>
      <c r="P4789" t="inlineStr">
        <is>
          <t>정세빈</t>
        </is>
      </c>
      <c r="Q4789" t="inlineStr">
        <is>
          <t>홈서비스 60개월</t>
        </is>
      </c>
      <c r="AB4789" t="inlineStr">
        <is>
          <t>홈서비스</t>
        </is>
      </c>
      <c r="AC4789" t="n">
        <v>189200</v>
      </c>
      <c r="AD4789" t="n">
        <v>24080</v>
      </c>
      <c r="AE4789" t="n">
        <v>165120</v>
      </c>
      <c r="AF4789" t="n">
        <v>172000</v>
      </c>
      <c r="AG4789" t="n">
        <v>23285.36</v>
      </c>
      <c r="AH4789" t="n">
        <v>148714.64</v>
      </c>
      <c r="AI4789" t="n">
        <v>0</v>
      </c>
    </row>
    <row r="4790">
      <c r="A4790" t="inlineStr">
        <is>
          <t>5월</t>
        </is>
      </c>
      <c r="B4790" t="inlineStr">
        <is>
          <t>22주차</t>
        </is>
      </c>
      <c r="C4790" t="inlineStr">
        <is>
          <t>EP</t>
        </is>
      </c>
      <c r="D4790" s="28" t="n">
        <v>46171</v>
      </c>
      <c r="E4790" t="inlineStr">
        <is>
          <t>현대EP_fast</t>
        </is>
      </c>
      <c r="F4790" t="inlineStr">
        <is>
          <t>허재준</t>
        </is>
      </c>
      <c r="G4790" t="inlineStr">
        <is>
          <t>010-5436-6566</t>
        </is>
      </c>
      <c r="H4790" t="inlineStr">
        <is>
          <t>317마6469</t>
        </is>
      </c>
      <c r="I4790" t="n">
        <v>25000000</v>
      </c>
      <c r="J4790" t="n">
        <v>0.08500000000000001</v>
      </c>
      <c r="K4790" t="n">
        <v>1.76</v>
      </c>
      <c r="L4790" t="n">
        <v>0.14</v>
      </c>
      <c r="M4790" t="n">
        <v>1.62</v>
      </c>
      <c r="P4790" t="inlineStr">
        <is>
          <t>김수연</t>
        </is>
      </c>
      <c r="Q4790" t="inlineStr">
        <is>
          <t>홈서비스 60개월</t>
        </is>
      </c>
      <c r="AB4790" t="inlineStr">
        <is>
          <t>홈서비스</t>
        </is>
      </c>
      <c r="AC4790" t="n">
        <v>440000</v>
      </c>
      <c r="AD4790" t="n">
        <v>35000</v>
      </c>
      <c r="AE4790" t="n">
        <v>405000</v>
      </c>
      <c r="AF4790" t="n">
        <v>400000</v>
      </c>
      <c r="AG4790" t="n">
        <v>33845</v>
      </c>
      <c r="AH4790" t="n">
        <v>366155</v>
      </c>
      <c r="AI4790" t="n">
        <v>0</v>
      </c>
    </row>
    <row r="4791">
      <c r="A4791" t="inlineStr">
        <is>
          <t>5월</t>
        </is>
      </c>
      <c r="B4791" t="inlineStr">
        <is>
          <t>22주차</t>
        </is>
      </c>
      <c r="C4791" t="inlineStr">
        <is>
          <t>IM</t>
        </is>
      </c>
      <c r="D4791" s="28" t="n">
        <v>46171</v>
      </c>
      <c r="E4791" t="inlineStr">
        <is>
          <t>IM캐피탈</t>
        </is>
      </c>
      <c r="F4791" t="inlineStr">
        <is>
          <t>김재훈</t>
        </is>
      </c>
      <c r="G4791" t="inlineStr">
        <is>
          <t>010-4642-0165</t>
        </is>
      </c>
      <c r="H4791" t="inlineStr">
        <is>
          <t>19가0690</t>
        </is>
      </c>
      <c r="I4791" t="n">
        <v>8900000</v>
      </c>
      <c r="J4791" t="n">
        <v>0.059</v>
      </c>
      <c r="K4791" t="n">
        <v>1.1</v>
      </c>
      <c r="L4791" t="n">
        <v>0.14</v>
      </c>
      <c r="M4791" t="n">
        <v>0.96</v>
      </c>
      <c r="P4791" t="inlineStr">
        <is>
          <t>김수연</t>
        </is>
      </c>
      <c r="Q4791" t="inlineStr">
        <is>
          <t>홈서비스 48개월</t>
        </is>
      </c>
      <c r="AB4791" t="inlineStr">
        <is>
          <t>홈서비스</t>
        </is>
      </c>
      <c r="AC4791" t="n">
        <v>97900</v>
      </c>
      <c r="AD4791" t="n">
        <v>12460</v>
      </c>
      <c r="AE4791" t="n">
        <v>85440</v>
      </c>
      <c r="AF4791" t="n">
        <v>89000</v>
      </c>
      <c r="AG4791" t="n">
        <v>12048.82</v>
      </c>
      <c r="AH4791" t="n">
        <v>76951.17999999999</v>
      </c>
    </row>
    <row r="4792">
      <c r="A4792" t="inlineStr">
        <is>
          <t>5월</t>
        </is>
      </c>
      <c r="B4792" t="inlineStr">
        <is>
          <t>22주차</t>
        </is>
      </c>
      <c r="C4792" t="inlineStr">
        <is>
          <t>EP</t>
        </is>
      </c>
      <c r="D4792" s="28" t="n">
        <v>46171</v>
      </c>
      <c r="E4792" t="inlineStr">
        <is>
          <t>현대EP_fast</t>
        </is>
      </c>
      <c r="F4792" t="inlineStr">
        <is>
          <t>김경미</t>
        </is>
      </c>
      <c r="G4792" t="inlineStr">
        <is>
          <t>010-2652-2487</t>
        </is>
      </c>
      <c r="H4792" t="inlineStr">
        <is>
          <t>311구5464</t>
        </is>
      </c>
      <c r="I4792" t="n">
        <v>16400000</v>
      </c>
      <c r="J4792" t="n">
        <v>0.089</v>
      </c>
      <c r="K4792" t="n">
        <v>1.76</v>
      </c>
      <c r="L4792" t="n">
        <v>0.14</v>
      </c>
      <c r="M4792" t="n">
        <v>1.62</v>
      </c>
      <c r="P4792" t="inlineStr">
        <is>
          <t>김나윤</t>
        </is>
      </c>
      <c r="Q4792" t="inlineStr">
        <is>
          <t>홈서비스 60개월</t>
        </is>
      </c>
      <c r="AB4792" t="inlineStr">
        <is>
          <t>홈서비스</t>
        </is>
      </c>
      <c r="AC4792" t="n">
        <v>288640</v>
      </c>
      <c r="AD4792" t="n">
        <v>22960</v>
      </c>
      <c r="AE4792" t="n">
        <v>265680</v>
      </c>
      <c r="AF4792" t="n">
        <v>262400</v>
      </c>
      <c r="AG4792" t="n">
        <v>22202.32</v>
      </c>
      <c r="AH4792" t="n">
        <v>240197.68</v>
      </c>
      <c r="AI4792" t="n">
        <v>0</v>
      </c>
    </row>
    <row r="4793">
      <c r="A4793" t="inlineStr">
        <is>
          <t>5월</t>
        </is>
      </c>
      <c r="B4793" t="inlineStr">
        <is>
          <t>22주차</t>
        </is>
      </c>
      <c r="C4793" t="inlineStr">
        <is>
          <t>EP</t>
        </is>
      </c>
      <c r="D4793" s="28" t="n">
        <v>46171</v>
      </c>
      <c r="E4793" t="inlineStr">
        <is>
          <t>BNKEP</t>
        </is>
      </c>
      <c r="F4793" t="inlineStr">
        <is>
          <t>장재영</t>
        </is>
      </c>
      <c r="G4793" t="inlineStr">
        <is>
          <t>010-5025-3880</t>
        </is>
      </c>
      <c r="H4793" t="inlineStr">
        <is>
          <t>364나6923</t>
        </is>
      </c>
      <c r="I4793" t="n">
        <v>15500000</v>
      </c>
      <c r="J4793" t="n">
        <v>0.07000000000000001</v>
      </c>
      <c r="K4793" t="n">
        <v>1.65</v>
      </c>
      <c r="L4793" t="n">
        <v>0.14</v>
      </c>
      <c r="M4793" t="n">
        <v>1.51</v>
      </c>
      <c r="P4793" t="inlineStr">
        <is>
          <t>김수연</t>
        </is>
      </c>
      <c r="Q4793" t="inlineStr">
        <is>
          <t>홈서비스 36개월</t>
        </is>
      </c>
      <c r="AB4793" t="inlineStr">
        <is>
          <t>홈서비스</t>
        </is>
      </c>
      <c r="AC4793" t="n">
        <v>255750</v>
      </c>
      <c r="AD4793" t="n">
        <v>21700</v>
      </c>
      <c r="AE4793" t="n">
        <v>234050</v>
      </c>
      <c r="AF4793" t="n">
        <v>232500</v>
      </c>
      <c r="AG4793" t="n">
        <v>20983.9</v>
      </c>
      <c r="AH4793" t="n">
        <v>211516.1</v>
      </c>
      <c r="AI4793" t="n">
        <v>0</v>
      </c>
    </row>
    <row r="4794">
      <c r="A4794" t="inlineStr">
        <is>
          <t>5월</t>
        </is>
      </c>
      <c r="B4794" t="inlineStr">
        <is>
          <t>22주차</t>
        </is>
      </c>
      <c r="C4794" t="inlineStr">
        <is>
          <t>IM</t>
        </is>
      </c>
      <c r="D4794" s="28" t="n">
        <v>46171</v>
      </c>
      <c r="E4794" t="inlineStr">
        <is>
          <t>IM캐피탈</t>
        </is>
      </c>
      <c r="F4794" t="inlineStr">
        <is>
          <t>신동혁</t>
        </is>
      </c>
      <c r="G4794" t="inlineStr">
        <is>
          <t>010-8007-0785</t>
        </is>
      </c>
      <c r="H4794" t="inlineStr">
        <is>
          <t>58저6200</t>
        </is>
      </c>
      <c r="I4794" t="n">
        <v>60000000</v>
      </c>
      <c r="J4794" t="n">
        <v>0.06900000000000001</v>
      </c>
      <c r="K4794" t="n">
        <v>1.1</v>
      </c>
      <c r="L4794" t="n">
        <v>0.4</v>
      </c>
      <c r="M4794" t="n">
        <v>0.7</v>
      </c>
      <c r="P4794" t="inlineStr">
        <is>
          <t>구성완</t>
        </is>
      </c>
      <c r="AB4794" t="inlineStr">
        <is>
          <t>엔카</t>
        </is>
      </c>
      <c r="AC4794" t="n">
        <v>660000</v>
      </c>
      <c r="AD4794" t="n">
        <v>240000</v>
      </c>
      <c r="AE4794" t="n">
        <v>420000</v>
      </c>
      <c r="AF4794" t="n">
        <v>600000</v>
      </c>
      <c r="AG4794" t="n">
        <v>232080</v>
      </c>
      <c r="AH4794" t="n">
        <v>367920</v>
      </c>
      <c r="AI4794" t="n">
        <v>0</v>
      </c>
    </row>
    <row r="4795">
      <c r="A4795" t="inlineStr">
        <is>
          <t>5월</t>
        </is>
      </c>
      <c r="B4795" t="inlineStr">
        <is>
          <t>22주차</t>
        </is>
      </c>
      <c r="C4795" t="inlineStr">
        <is>
          <t>IM</t>
        </is>
      </c>
      <c r="D4795" s="28" t="n">
        <v>46171</v>
      </c>
      <c r="E4795" t="inlineStr">
        <is>
          <t>IM캐피탈</t>
        </is>
      </c>
      <c r="F4795" t="inlineStr">
        <is>
          <t>노승왕</t>
        </is>
      </c>
      <c r="G4795" t="inlineStr">
        <is>
          <t>010-4418-7087</t>
        </is>
      </c>
      <c r="H4795" t="inlineStr">
        <is>
          <t>09머7049</t>
        </is>
      </c>
      <c r="I4795" t="n">
        <v>19900000</v>
      </c>
      <c r="J4795" t="n">
        <v>0.079</v>
      </c>
      <c r="K4795" t="n">
        <v>1.1</v>
      </c>
      <c r="L4795" t="n">
        <v>0.4</v>
      </c>
      <c r="M4795" t="n">
        <v>0.7</v>
      </c>
      <c r="P4795" t="inlineStr">
        <is>
          <t>구성완</t>
        </is>
      </c>
      <c r="AB4795" t="inlineStr">
        <is>
          <t>엔카</t>
        </is>
      </c>
      <c r="AC4795" t="n">
        <v>218900</v>
      </c>
      <c r="AD4795" t="n">
        <v>79600</v>
      </c>
      <c r="AE4795" t="n">
        <v>139300</v>
      </c>
      <c r="AF4795" t="n">
        <v>199000</v>
      </c>
      <c r="AG4795" t="n">
        <v>76973.2</v>
      </c>
      <c r="AH4795" t="n">
        <v>122026.8</v>
      </c>
    </row>
    <row r="4796">
      <c r="A4796" t="inlineStr">
        <is>
          <t>5월</t>
        </is>
      </c>
      <c r="B4796" t="inlineStr">
        <is>
          <t>22주차</t>
        </is>
      </c>
      <c r="C4796" t="inlineStr">
        <is>
          <t>EP</t>
        </is>
      </c>
      <c r="D4796" s="28" t="n">
        <v>46171</v>
      </c>
      <c r="E4796" t="inlineStr">
        <is>
          <t>현대EP_fast</t>
        </is>
      </c>
      <c r="F4796" t="inlineStr">
        <is>
          <t>한준엽</t>
        </is>
      </c>
      <c r="G4796" t="inlineStr">
        <is>
          <t>010-7666-3716</t>
        </is>
      </c>
      <c r="H4796" t="inlineStr">
        <is>
          <t>109로7173</t>
        </is>
      </c>
      <c r="I4796" t="n">
        <v>46500000</v>
      </c>
      <c r="J4796" t="n">
        <v>0.089</v>
      </c>
      <c r="K4796" t="n">
        <v>1.76</v>
      </c>
      <c r="L4796" t="n">
        <v>0.5</v>
      </c>
      <c r="M4796" t="n">
        <v>1.26</v>
      </c>
      <c r="P4796" t="inlineStr">
        <is>
          <t>임대경</t>
        </is>
      </c>
      <c r="AB4796" t="inlineStr">
        <is>
          <t>엔카</t>
        </is>
      </c>
      <c r="AC4796" t="n">
        <v>818400</v>
      </c>
      <c r="AD4796" t="n">
        <v>232500</v>
      </c>
      <c r="AE4796" t="n">
        <v>585900</v>
      </c>
      <c r="AF4796" t="n">
        <v>744000</v>
      </c>
      <c r="AG4796" t="n">
        <v>224827.5</v>
      </c>
      <c r="AH4796" t="n">
        <v>519172.5</v>
      </c>
    </row>
    <row r="4797">
      <c r="A4797" t="inlineStr">
        <is>
          <t>5월</t>
        </is>
      </c>
      <c r="B4797" t="inlineStr">
        <is>
          <t>22주차</t>
        </is>
      </c>
      <c r="C4797" t="inlineStr">
        <is>
          <t>HC</t>
        </is>
      </c>
      <c r="D4797" s="28" t="n">
        <v>46171</v>
      </c>
      <c r="E4797" t="inlineStr">
        <is>
          <t>하나캐피탈</t>
        </is>
      </c>
      <c r="F4797" t="inlineStr">
        <is>
          <t>정민정</t>
        </is>
      </c>
      <c r="G4797" t="inlineStr">
        <is>
          <t>010-2456-6966</t>
        </is>
      </c>
      <c r="H4797" t="inlineStr">
        <is>
          <t>105마5723</t>
        </is>
      </c>
      <c r="I4797" t="n">
        <v>16600000</v>
      </c>
      <c r="J4797" t="n">
        <v>0.059</v>
      </c>
      <c r="K4797" t="n">
        <v>2.2</v>
      </c>
      <c r="L4797" t="n">
        <v>0.14</v>
      </c>
      <c r="M4797" t="n">
        <v>2.06</v>
      </c>
      <c r="P4797" t="inlineStr">
        <is>
          <t>정세빈</t>
        </is>
      </c>
      <c r="Q4797" t="inlineStr">
        <is>
          <t>홈서비스 60개월</t>
        </is>
      </c>
      <c r="AB4797" t="inlineStr">
        <is>
          <t>홈서비스</t>
        </is>
      </c>
      <c r="AC4797" t="n">
        <v>365200</v>
      </c>
      <c r="AD4797" t="n">
        <v>23240</v>
      </c>
      <c r="AE4797" t="n">
        <v>341960</v>
      </c>
      <c r="AF4797" t="n">
        <v>332000</v>
      </c>
      <c r="AG4797" t="n">
        <v>22473.08</v>
      </c>
      <c r="AH4797" t="n">
        <v>309526.92</v>
      </c>
      <c r="AI4797" t="n">
        <v>0</v>
      </c>
    </row>
    <row r="4798">
      <c r="A4798" t="inlineStr">
        <is>
          <t>5월</t>
        </is>
      </c>
      <c r="B4798" t="inlineStr">
        <is>
          <t>22주차</t>
        </is>
      </c>
      <c r="C4798" t="inlineStr">
        <is>
          <t>IM</t>
        </is>
      </c>
      <c r="D4798" s="28" t="n">
        <v>46171</v>
      </c>
      <c r="E4798" t="inlineStr">
        <is>
          <t>IM캐피탈</t>
        </is>
      </c>
      <c r="F4798" t="inlineStr">
        <is>
          <t>윤중호</t>
        </is>
      </c>
      <c r="G4798" t="inlineStr">
        <is>
          <t>010-7197-8157</t>
        </is>
      </c>
      <c r="H4798" t="inlineStr">
        <is>
          <t>59마5286</t>
        </is>
      </c>
      <c r="I4798" t="n">
        <v>7900000</v>
      </c>
      <c r="J4798" t="n">
        <v>0.049</v>
      </c>
      <c r="K4798" t="n">
        <v>1.1</v>
      </c>
      <c r="L4798" t="n">
        <v>0.14</v>
      </c>
      <c r="M4798" t="n">
        <v>0.96</v>
      </c>
      <c r="P4798" t="inlineStr">
        <is>
          <t>최혁</t>
        </is>
      </c>
      <c r="Q4798" t="inlineStr">
        <is>
          <t>홈서비스60개월</t>
        </is>
      </c>
      <c r="AB4798" t="inlineStr">
        <is>
          <t>홈서비스</t>
        </is>
      </c>
      <c r="AC4798" t="n">
        <v>86900</v>
      </c>
      <c r="AD4798" t="n">
        <v>11060</v>
      </c>
      <c r="AE4798" t="n">
        <v>75840</v>
      </c>
      <c r="AF4798" t="n">
        <v>79000</v>
      </c>
      <c r="AG4798" t="n">
        <v>10695.02</v>
      </c>
      <c r="AH4798" t="n">
        <v>68304.98</v>
      </c>
    </row>
    <row r="4799">
      <c r="A4799" t="inlineStr">
        <is>
          <t>5월</t>
        </is>
      </c>
      <c r="B4799" t="inlineStr">
        <is>
          <t>22주차</t>
        </is>
      </c>
      <c r="C4799" t="inlineStr">
        <is>
          <t>EP</t>
        </is>
      </c>
      <c r="D4799" s="28" t="n">
        <v>46171</v>
      </c>
      <c r="E4799" t="inlineStr">
        <is>
          <t>BNKEP</t>
        </is>
      </c>
      <c r="F4799" t="inlineStr">
        <is>
          <t>신규항</t>
        </is>
      </c>
      <c r="G4799" t="inlineStr">
        <is>
          <t>010-5882-8782</t>
        </is>
      </c>
      <c r="H4799" t="inlineStr">
        <is>
          <t>170서6746</t>
        </is>
      </c>
      <c r="I4799" t="n">
        <v>13000000</v>
      </c>
      <c r="J4799" t="n">
        <v>0.063</v>
      </c>
      <c r="K4799" t="n">
        <v>1.65</v>
      </c>
      <c r="L4799" t="n">
        <v>0.4</v>
      </c>
      <c r="M4799" t="n">
        <v>1.25</v>
      </c>
      <c r="P4799" t="inlineStr">
        <is>
          <t>장진경</t>
        </is>
      </c>
      <c r="Q4799" t="inlineStr">
        <is>
          <t>개인간거래 / 공동명의</t>
        </is>
      </c>
      <c r="AB4799" t="inlineStr">
        <is>
          <t>엔카</t>
        </is>
      </c>
      <c r="AC4799" t="n">
        <v>214500</v>
      </c>
      <c r="AD4799" t="n">
        <v>52000</v>
      </c>
      <c r="AE4799" t="n">
        <v>162500</v>
      </c>
      <c r="AF4799" t="n">
        <v>195000</v>
      </c>
      <c r="AG4799" t="n">
        <v>50284</v>
      </c>
      <c r="AH4799" t="n">
        <v>144716</v>
      </c>
      <c r="AI4799" t="n">
        <v>0</v>
      </c>
    </row>
    <row r="4800">
      <c r="A4800" t="inlineStr">
        <is>
          <t>5월</t>
        </is>
      </c>
      <c r="B4800" t="inlineStr">
        <is>
          <t>22주차</t>
        </is>
      </c>
      <c r="C4800" t="inlineStr">
        <is>
          <t>IM</t>
        </is>
      </c>
      <c r="D4800" s="28" t="n">
        <v>46171</v>
      </c>
      <c r="E4800" t="inlineStr">
        <is>
          <t>IM캐피탈</t>
        </is>
      </c>
      <c r="F4800" t="inlineStr">
        <is>
          <t>이준영</t>
        </is>
      </c>
      <c r="G4800" t="inlineStr">
        <is>
          <t>010-3389-8718</t>
        </is>
      </c>
      <c r="H4800" t="inlineStr">
        <is>
          <t>138어8993</t>
        </is>
      </c>
      <c r="I4800" t="n">
        <v>39500000</v>
      </c>
      <c r="J4800" t="n">
        <v>0.049</v>
      </c>
      <c r="K4800" t="n">
        <v>1.1</v>
      </c>
      <c r="L4800" t="n">
        <v>0.14</v>
      </c>
      <c r="M4800" t="n">
        <v>0.96</v>
      </c>
      <c r="P4800" t="inlineStr">
        <is>
          <t>정세빈</t>
        </is>
      </c>
      <c r="Q4800" t="inlineStr">
        <is>
          <t>홈서비스 60개월 / 부대비용추가대출</t>
        </is>
      </c>
      <c r="AB4800" t="inlineStr">
        <is>
          <t>홈서비스</t>
        </is>
      </c>
      <c r="AC4800" t="n">
        <v>434500</v>
      </c>
      <c r="AD4800" t="n">
        <v>55300</v>
      </c>
      <c r="AE4800" t="n">
        <v>379200</v>
      </c>
      <c r="AF4800" t="n">
        <v>395000</v>
      </c>
      <c r="AG4800" t="n">
        <v>53475.1</v>
      </c>
      <c r="AH4800" t="n">
        <v>341524.9</v>
      </c>
      <c r="AI4800" t="n">
        <v>0</v>
      </c>
    </row>
    <row r="4801">
      <c r="A4801" t="inlineStr">
        <is>
          <t>5월</t>
        </is>
      </c>
      <c r="B4801" t="inlineStr">
        <is>
          <t>22주차</t>
        </is>
      </c>
      <c r="C4801" t="inlineStr">
        <is>
          <t>IM</t>
        </is>
      </c>
      <c r="D4801" s="28" t="n">
        <v>46171</v>
      </c>
      <c r="E4801" t="inlineStr">
        <is>
          <t>IM캐피탈</t>
        </is>
      </c>
      <c r="F4801" t="inlineStr">
        <is>
          <t>김영목</t>
        </is>
      </c>
      <c r="G4801" t="inlineStr">
        <is>
          <t>010-2064-1959</t>
        </is>
      </c>
      <c r="H4801" t="inlineStr">
        <is>
          <t>135모8117</t>
        </is>
      </c>
      <c r="I4801" t="n">
        <v>15000000</v>
      </c>
      <c r="J4801" t="n">
        <v>0.07099999999999999</v>
      </c>
      <c r="K4801" t="n">
        <v>1.1</v>
      </c>
      <c r="L4801" t="n">
        <v>0.14</v>
      </c>
      <c r="M4801" t="n">
        <v>0.96</v>
      </c>
      <c r="P4801" t="inlineStr">
        <is>
          <t>김수연</t>
        </is>
      </c>
      <c r="Q4801" t="inlineStr">
        <is>
          <t>홈서비스 36개월</t>
        </is>
      </c>
      <c r="AB4801" t="inlineStr">
        <is>
          <t>홈서비스</t>
        </is>
      </c>
      <c r="AC4801" t="n">
        <v>165000</v>
      </c>
      <c r="AD4801" t="n">
        <v>21000</v>
      </c>
      <c r="AE4801" t="n">
        <v>144000</v>
      </c>
      <c r="AF4801" t="n">
        <v>150000</v>
      </c>
      <c r="AG4801" t="n">
        <v>20307</v>
      </c>
      <c r="AH4801" t="n">
        <v>129693</v>
      </c>
      <c r="AI4801" t="n">
        <v>0</v>
      </c>
    </row>
    <row r="4802">
      <c r="A4802" t="inlineStr">
        <is>
          <t>5월</t>
        </is>
      </c>
      <c r="B4802" t="inlineStr">
        <is>
          <t>22주차</t>
        </is>
      </c>
      <c r="C4802" t="inlineStr">
        <is>
          <t>IM</t>
        </is>
      </c>
      <c r="D4802" s="28" t="n">
        <v>46171</v>
      </c>
      <c r="E4802" t="inlineStr">
        <is>
          <t>IM캐피탈</t>
        </is>
      </c>
      <c r="F4802" t="inlineStr">
        <is>
          <t>임설유</t>
        </is>
      </c>
      <c r="G4802" t="inlineStr">
        <is>
          <t>010-4141-2384</t>
        </is>
      </c>
      <c r="H4802" t="inlineStr">
        <is>
          <t>380부3461</t>
        </is>
      </c>
      <c r="I4802" t="n">
        <v>60000000</v>
      </c>
      <c r="J4802" t="n">
        <v>0.07099999999999999</v>
      </c>
      <c r="K4802" t="n">
        <v>1.1</v>
      </c>
      <c r="L4802" t="n">
        <v>0.5</v>
      </c>
      <c r="M4802" t="n">
        <v>0.6</v>
      </c>
      <c r="P4802" t="inlineStr">
        <is>
          <t>임대경</t>
        </is>
      </c>
      <c r="Q4802" t="inlineStr">
        <is>
          <t>부대비용 추가진행</t>
        </is>
      </c>
      <c r="AB4802" t="inlineStr">
        <is>
          <t>엔카</t>
        </is>
      </c>
      <c r="AC4802" t="n">
        <v>660000</v>
      </c>
      <c r="AD4802" t="n">
        <v>300000</v>
      </c>
      <c r="AE4802" t="n">
        <v>360000</v>
      </c>
      <c r="AF4802" t="n">
        <v>600000</v>
      </c>
      <c r="AG4802" t="n">
        <v>290100</v>
      </c>
      <c r="AH4802" t="n">
        <v>309900</v>
      </c>
      <c r="AI4802" t="n">
        <v>0</v>
      </c>
    </row>
    <row r="4803">
      <c r="A4803" t="inlineStr">
        <is>
          <t>5월</t>
        </is>
      </c>
      <c r="B4803" t="inlineStr">
        <is>
          <t>22주차</t>
        </is>
      </c>
      <c r="C4803" t="inlineStr">
        <is>
          <t>EP</t>
        </is>
      </c>
      <c r="D4803" s="28" t="n">
        <v>46171</v>
      </c>
      <c r="E4803" t="inlineStr">
        <is>
          <t>제이비EP</t>
        </is>
      </c>
      <c r="F4803" t="inlineStr">
        <is>
          <t>최세원</t>
        </is>
      </c>
      <c r="G4803" t="inlineStr">
        <is>
          <t>010-8750-6888</t>
        </is>
      </c>
      <c r="H4803" t="inlineStr">
        <is>
          <t>169라1374</t>
        </is>
      </c>
      <c r="I4803" t="n">
        <v>9100000</v>
      </c>
      <c r="J4803" t="n">
        <v>0.08699999999999999</v>
      </c>
      <c r="K4803" t="n">
        <v>1.65</v>
      </c>
      <c r="L4803" t="n">
        <v>0.4</v>
      </c>
      <c r="M4803" t="n">
        <v>1.25</v>
      </c>
      <c r="P4803" t="inlineStr">
        <is>
          <t>최혁</t>
        </is>
      </c>
      <c r="AB4803" t="inlineStr">
        <is>
          <t>엔카</t>
        </is>
      </c>
      <c r="AC4803" t="n">
        <v>150150</v>
      </c>
      <c r="AD4803" t="n">
        <v>36400</v>
      </c>
      <c r="AE4803" t="n">
        <v>113750</v>
      </c>
      <c r="AF4803" t="n">
        <v>136500</v>
      </c>
      <c r="AG4803" t="n">
        <v>35198.8</v>
      </c>
      <c r="AH4803" t="n">
        <v>101301.2</v>
      </c>
      <c r="AI4803" t="n">
        <v>0</v>
      </c>
    </row>
    <row r="4804">
      <c r="A4804" t="inlineStr">
        <is>
          <t>5월</t>
        </is>
      </c>
      <c r="B4804" t="inlineStr">
        <is>
          <t>22주차</t>
        </is>
      </c>
      <c r="C4804" t="inlineStr">
        <is>
          <t>EP</t>
        </is>
      </c>
      <c r="D4804" s="28" t="n">
        <v>46171</v>
      </c>
      <c r="E4804" t="inlineStr">
        <is>
          <t>현대EP_fast</t>
        </is>
      </c>
      <c r="F4804" t="inlineStr">
        <is>
          <t>이용욱</t>
        </is>
      </c>
      <c r="G4804" t="inlineStr">
        <is>
          <t>010-8997-1149</t>
        </is>
      </c>
      <c r="H4804" t="inlineStr">
        <is>
          <t>220호2445</t>
        </is>
      </c>
      <c r="I4804" t="n">
        <v>27600000</v>
      </c>
      <c r="J4804" t="n">
        <v>0.075</v>
      </c>
      <c r="K4804" t="n">
        <v>1.76</v>
      </c>
      <c r="L4804" t="n">
        <v>0.14</v>
      </c>
      <c r="M4804" t="n">
        <v>1.62</v>
      </c>
      <c r="P4804" t="inlineStr">
        <is>
          <t>정세빈</t>
        </is>
      </c>
      <c r="Q4804" t="inlineStr">
        <is>
          <t>홈서비스 60개월</t>
        </is>
      </c>
      <c r="AB4804" t="inlineStr">
        <is>
          <t>홈서비스</t>
        </is>
      </c>
      <c r="AC4804" t="n">
        <v>485760</v>
      </c>
      <c r="AD4804" t="n">
        <v>38640</v>
      </c>
      <c r="AE4804" t="n">
        <v>447120</v>
      </c>
      <c r="AF4804" t="n">
        <v>441600</v>
      </c>
      <c r="AG4804" t="n">
        <v>37364.88</v>
      </c>
      <c r="AH4804" t="n">
        <v>404235.12</v>
      </c>
      <c r="AI4804" t="n">
        <v>0</v>
      </c>
    </row>
    <row r="4805">
      <c r="A4805" t="inlineStr">
        <is>
          <t>5월</t>
        </is>
      </c>
      <c r="B4805" t="inlineStr">
        <is>
          <t>22주차</t>
        </is>
      </c>
      <c r="C4805" t="inlineStr">
        <is>
          <t>IM</t>
        </is>
      </c>
      <c r="D4805" s="28" t="n">
        <v>46171</v>
      </c>
      <c r="E4805" t="inlineStr">
        <is>
          <t>IM캐피탈</t>
        </is>
      </c>
      <c r="F4805" t="inlineStr">
        <is>
          <t>이지혁</t>
        </is>
      </c>
      <c r="G4805" t="inlineStr">
        <is>
          <t>010-3912-5787</t>
        </is>
      </c>
      <c r="H4805" t="inlineStr">
        <is>
          <t>268구5400</t>
        </is>
      </c>
      <c r="I4805" t="n">
        <v>11800000</v>
      </c>
      <c r="J4805" t="n">
        <v>0.049</v>
      </c>
      <c r="K4805" t="n">
        <v>1.1</v>
      </c>
      <c r="L4805" t="n">
        <v>0.5</v>
      </c>
      <c r="M4805" t="n">
        <v>0.6</v>
      </c>
      <c r="P4805" t="inlineStr">
        <is>
          <t>임대경</t>
        </is>
      </c>
      <c r="Q4805" t="inlineStr">
        <is>
          <t>부대비용 추가진행</t>
        </is>
      </c>
      <c r="AB4805" t="inlineStr">
        <is>
          <t>엔카</t>
        </is>
      </c>
      <c r="AC4805" t="n">
        <v>129800</v>
      </c>
      <c r="AD4805" t="n">
        <v>59000</v>
      </c>
      <c r="AE4805" t="n">
        <v>70800</v>
      </c>
      <c r="AF4805" t="n">
        <v>118000</v>
      </c>
      <c r="AG4805" t="n">
        <v>57053</v>
      </c>
      <c r="AH4805" t="n">
        <v>60947</v>
      </c>
      <c r="AI4805" t="n">
        <v>0</v>
      </c>
    </row>
    <row r="4806">
      <c r="A4806" t="inlineStr">
        <is>
          <t>5월</t>
        </is>
      </c>
      <c r="B4806" t="inlineStr">
        <is>
          <t>22주차</t>
        </is>
      </c>
      <c r="C4806" t="inlineStr">
        <is>
          <t>IM</t>
        </is>
      </c>
      <c r="D4806" s="28" t="n">
        <v>46171</v>
      </c>
      <c r="E4806" t="inlineStr">
        <is>
          <t>IM캐피탈</t>
        </is>
      </c>
      <c r="F4806" t="inlineStr">
        <is>
          <t>이건형</t>
        </is>
      </c>
      <c r="G4806" t="inlineStr">
        <is>
          <t>010-3718-1113</t>
        </is>
      </c>
      <c r="H4806" t="inlineStr">
        <is>
          <t>198서5174</t>
        </is>
      </c>
      <c r="I4806" t="n">
        <v>6000000</v>
      </c>
      <c r="J4806" t="n">
        <v>0.059</v>
      </c>
      <c r="K4806" t="n">
        <v>1.1</v>
      </c>
      <c r="L4806" t="n">
        <v>0.14</v>
      </c>
      <c r="M4806" t="n">
        <v>0.96</v>
      </c>
      <c r="P4806" t="inlineStr">
        <is>
          <t>박소현</t>
        </is>
      </c>
      <c r="Q4806" t="inlineStr">
        <is>
          <t>선상담 / 홈서비스 60개월</t>
        </is>
      </c>
      <c r="AB4806" t="inlineStr">
        <is>
          <t>홈서비스</t>
        </is>
      </c>
      <c r="AC4806" t="n">
        <v>66000</v>
      </c>
      <c r="AD4806" t="n">
        <v>8400</v>
      </c>
      <c r="AE4806" t="n">
        <v>57600</v>
      </c>
      <c r="AF4806" t="n">
        <v>60000</v>
      </c>
      <c r="AG4806" t="n">
        <v>8122.8</v>
      </c>
      <c r="AH4806" t="n">
        <v>51877.2</v>
      </c>
    </row>
    <row r="4807">
      <c r="A4807" t="inlineStr">
        <is>
          <t>4월</t>
        </is>
      </c>
      <c r="B4807" t="inlineStr">
        <is>
          <t>16주차</t>
        </is>
      </c>
      <c r="C4807" t="inlineStr">
        <is>
          <t>EP</t>
        </is>
      </c>
      <c r="D4807" s="28" t="n">
        <v>46129</v>
      </c>
      <c r="E4807" t="inlineStr">
        <is>
          <t>BNKEP</t>
        </is>
      </c>
      <c r="F4807" t="inlineStr">
        <is>
          <t>하종찬</t>
        </is>
      </c>
      <c r="G4807" t="inlineStr">
        <is>
          <t>010-7455-6986</t>
        </is>
      </c>
      <c r="H4807" t="inlineStr">
        <is>
          <t xml:space="preserve">04부7613
</t>
        </is>
      </c>
      <c r="I4807" t="n">
        <v>4500000</v>
      </c>
      <c r="J4807" t="n">
        <v>0.063</v>
      </c>
      <c r="K4807" t="n">
        <v>1.65</v>
      </c>
      <c r="L4807" t="n">
        <v>0.07000000000000001</v>
      </c>
      <c r="M4807" t="n">
        <v>1.58</v>
      </c>
      <c r="P4807" t="inlineStr">
        <is>
          <t>정광호</t>
        </is>
      </c>
      <c r="AB4807" t="inlineStr">
        <is>
          <t>홈서비스</t>
        </is>
      </c>
      <c r="AC4807" t="n">
        <v>74250</v>
      </c>
      <c r="AD4807" t="n">
        <v>3150</v>
      </c>
      <c r="AE4807" t="n">
        <v>71100</v>
      </c>
      <c r="AF4807" t="n">
        <v>67500</v>
      </c>
      <c r="AG4807" t="n">
        <v>3046.05</v>
      </c>
      <c r="AH4807" t="n">
        <v>64453.95</v>
      </c>
    </row>
    <row r="4808">
      <c r="A4808" t="inlineStr">
        <is>
          <t>4월</t>
        </is>
      </c>
      <c r="B4808" t="inlineStr">
        <is>
          <t>16주차</t>
        </is>
      </c>
      <c r="C4808" t="inlineStr">
        <is>
          <t>EP</t>
        </is>
      </c>
      <c r="D4808" s="28" t="n">
        <v>46129</v>
      </c>
      <c r="E4808" t="inlineStr">
        <is>
          <t>BNKEP</t>
        </is>
      </c>
      <c r="F4808" t="inlineStr">
        <is>
          <t>하종찬</t>
        </is>
      </c>
      <c r="G4808" t="inlineStr">
        <is>
          <t>010-7455-6986</t>
        </is>
      </c>
      <c r="H4808" t="inlineStr">
        <is>
          <t xml:space="preserve">04부7613
</t>
        </is>
      </c>
      <c r="I4808" t="n">
        <v>-4500000</v>
      </c>
      <c r="J4808" t="n">
        <v>0.063</v>
      </c>
      <c r="K4808" t="n">
        <v>1.65</v>
      </c>
      <c r="L4808" t="n">
        <v>0.07000000000000001</v>
      </c>
      <c r="M4808" t="n">
        <v>1.58</v>
      </c>
      <c r="P4808" t="inlineStr">
        <is>
          <t>정광호</t>
        </is>
      </c>
      <c r="AB4808" t="inlineStr">
        <is>
          <t>홈서비스</t>
        </is>
      </c>
      <c r="AC4808" t="n">
        <v>-74250</v>
      </c>
      <c r="AD4808" t="n">
        <v>-3150</v>
      </c>
      <c r="AE4808" t="n">
        <v>-71100</v>
      </c>
      <c r="AF4808" t="n">
        <v>-67500</v>
      </c>
      <c r="AG4808" t="n">
        <v>-3046.05</v>
      </c>
      <c r="AH4808" t="n">
        <v>-64453.95</v>
      </c>
    </row>
    <row r="4809">
      <c r="A4809" t="inlineStr">
        <is>
          <t>5월</t>
        </is>
      </c>
      <c r="B4809" t="inlineStr">
        <is>
          <t>22주차</t>
        </is>
      </c>
      <c r="C4809" t="inlineStr">
        <is>
          <t>EP</t>
        </is>
      </c>
      <c r="D4809" s="28" t="n">
        <v>46171</v>
      </c>
      <c r="E4809" t="inlineStr">
        <is>
          <t>현대EP_fast</t>
        </is>
      </c>
      <c r="F4809" t="inlineStr">
        <is>
          <t>김민아</t>
        </is>
      </c>
      <c r="G4809" t="inlineStr">
        <is>
          <t>010-2693-1090</t>
        </is>
      </c>
      <c r="H4809" t="inlineStr">
        <is>
          <t>53오1729</t>
        </is>
      </c>
      <c r="I4809" t="n">
        <v>5300000</v>
      </c>
      <c r="J4809" t="n">
        <v>0.122</v>
      </c>
      <c r="K4809" t="n">
        <v>1.76</v>
      </c>
      <c r="L4809" t="n">
        <v>0.14</v>
      </c>
      <c r="M4809" t="n">
        <v>1.62</v>
      </c>
      <c r="P4809" t="inlineStr">
        <is>
          <t>김나윤</t>
        </is>
      </c>
      <c r="Q4809" t="inlineStr">
        <is>
          <t>홈서비스 48개월</t>
        </is>
      </c>
      <c r="AB4809" t="inlineStr">
        <is>
          <t>홈서비스</t>
        </is>
      </c>
      <c r="AC4809" t="n">
        <v>93280</v>
      </c>
      <c r="AD4809" t="n">
        <v>7420</v>
      </c>
      <c r="AE4809" t="n">
        <v>85860</v>
      </c>
      <c r="AF4809" t="n">
        <v>84800</v>
      </c>
      <c r="AG4809" t="n">
        <v>7175.14</v>
      </c>
      <c r="AH4809" t="n">
        <v>77624.86</v>
      </c>
      <c r="AI4809" t="n">
        <v>0</v>
      </c>
    </row>
    <row r="4810">
      <c r="A4810" t="inlineStr">
        <is>
          <t>5월</t>
        </is>
      </c>
      <c r="B4810" t="inlineStr">
        <is>
          <t>22주차</t>
        </is>
      </c>
      <c r="C4810" t="inlineStr">
        <is>
          <t>EP</t>
        </is>
      </c>
      <c r="D4810" s="28" t="n">
        <v>46171</v>
      </c>
      <c r="E4810" t="inlineStr">
        <is>
          <t>현대EP_fast</t>
        </is>
      </c>
      <c r="F4810" t="inlineStr">
        <is>
          <t>전승철</t>
        </is>
      </c>
      <c r="G4810" t="inlineStr">
        <is>
          <t>010-7534-5936</t>
        </is>
      </c>
      <c r="H4810" t="inlineStr">
        <is>
          <t>188노1922</t>
        </is>
      </c>
      <c r="I4810" t="n">
        <v>31500000</v>
      </c>
      <c r="J4810" t="n">
        <v>0.109</v>
      </c>
      <c r="K4810" t="n">
        <v>1.76</v>
      </c>
      <c r="L4810" t="n">
        <v>0.14</v>
      </c>
      <c r="M4810" t="n">
        <v>1.62</v>
      </c>
      <c r="P4810" t="inlineStr">
        <is>
          <t>최혁</t>
        </is>
      </c>
      <c r="Q4810" t="inlineStr">
        <is>
          <t>홈서비스48개월</t>
        </is>
      </c>
      <c r="AB4810" t="inlineStr">
        <is>
          <t>홈서비스</t>
        </is>
      </c>
      <c r="AC4810" t="n">
        <v>554400</v>
      </c>
      <c r="AD4810" t="n">
        <v>44100</v>
      </c>
      <c r="AE4810" t="n">
        <v>510300</v>
      </c>
      <c r="AF4810" t="n">
        <v>504000</v>
      </c>
      <c r="AG4810" t="n">
        <v>42644.7</v>
      </c>
      <c r="AH4810" t="n">
        <v>461355.3</v>
      </c>
      <c r="AI4810" t="n">
        <v>0</v>
      </c>
    </row>
    <row r="4811">
      <c r="A4811" t="inlineStr">
        <is>
          <t>5월</t>
        </is>
      </c>
      <c r="B4811" t="inlineStr">
        <is>
          <t>22주차</t>
        </is>
      </c>
      <c r="C4811" t="inlineStr">
        <is>
          <t>IM</t>
        </is>
      </c>
      <c r="D4811" s="28" t="n">
        <v>46171</v>
      </c>
      <c r="E4811" t="inlineStr">
        <is>
          <t>IM캐피탈</t>
        </is>
      </c>
      <c r="F4811" t="inlineStr">
        <is>
          <t>지상욱</t>
        </is>
      </c>
      <c r="G4811" t="inlineStr">
        <is>
          <t>010-2767-4515</t>
        </is>
      </c>
      <c r="H4811" t="inlineStr">
        <is>
          <t>355저4338</t>
        </is>
      </c>
      <c r="I4811" t="n">
        <v>32000000</v>
      </c>
      <c r="J4811" t="n">
        <v>0.059</v>
      </c>
      <c r="K4811" t="n">
        <v>1.1</v>
      </c>
      <c r="L4811" t="n">
        <v>0.14</v>
      </c>
      <c r="M4811" t="n">
        <v>0.96</v>
      </c>
      <c r="P4811" t="inlineStr">
        <is>
          <t>박현민</t>
        </is>
      </c>
      <c r="Q4811" t="inlineStr">
        <is>
          <t>홈서비스 60개월</t>
        </is>
      </c>
      <c r="AB4811" t="inlineStr">
        <is>
          <t>홈서비스</t>
        </is>
      </c>
      <c r="AC4811" t="n">
        <v>352000</v>
      </c>
      <c r="AD4811" t="n">
        <v>44800</v>
      </c>
      <c r="AE4811" t="n">
        <v>307200</v>
      </c>
      <c r="AF4811" t="n">
        <v>320000</v>
      </c>
      <c r="AG4811" t="n">
        <v>43321.6</v>
      </c>
      <c r="AH4811" t="n">
        <v>276678.4</v>
      </c>
      <c r="AI4811" t="n">
        <v>0</v>
      </c>
    </row>
    <row r="4812">
      <c r="A4812" t="inlineStr">
        <is>
          <t>5월</t>
        </is>
      </c>
      <c r="B4812" t="inlineStr">
        <is>
          <t>22주차</t>
        </is>
      </c>
      <c r="C4812" t="inlineStr">
        <is>
          <t>WC</t>
        </is>
      </c>
      <c r="D4812" s="28" t="n">
        <v>46171</v>
      </c>
      <c r="E4812" t="inlineStr">
        <is>
          <t>웰컴저축은행</t>
        </is>
      </c>
      <c r="F4812" t="inlineStr">
        <is>
          <t>김광준</t>
        </is>
      </c>
      <c r="G4812" t="inlineStr">
        <is>
          <t>010-9237-6192</t>
        </is>
      </c>
      <c r="H4812" t="inlineStr">
        <is>
          <t>224저3123</t>
        </is>
      </c>
      <c r="I4812" t="n">
        <v>25000000</v>
      </c>
      <c r="J4812" t="n">
        <v>0.166</v>
      </c>
      <c r="K4812" t="n">
        <v>2.2</v>
      </c>
      <c r="L4812" t="n">
        <v>0.5</v>
      </c>
      <c r="M4812" t="n">
        <v>1.7</v>
      </c>
      <c r="P4812" t="inlineStr">
        <is>
          <t>임대경</t>
        </is>
      </c>
      <c r="AB4812" t="inlineStr">
        <is>
          <t>엔카</t>
        </is>
      </c>
      <c r="AC4812" t="n">
        <v>550000</v>
      </c>
      <c r="AD4812" t="n">
        <v>125000</v>
      </c>
      <c r="AE4812" t="n">
        <v>425000</v>
      </c>
      <c r="AF4812" t="n">
        <v>500000</v>
      </c>
      <c r="AG4812" t="n">
        <v>120875</v>
      </c>
      <c r="AH4812" t="n">
        <v>379125</v>
      </c>
    </row>
    <row r="4813">
      <c r="A4813" t="inlineStr">
        <is>
          <t>5월</t>
        </is>
      </c>
      <c r="B4813" t="inlineStr">
        <is>
          <t>22주차</t>
        </is>
      </c>
      <c r="C4813" t="inlineStr">
        <is>
          <t>IM</t>
        </is>
      </c>
      <c r="D4813" s="28" t="n">
        <v>46171</v>
      </c>
      <c r="E4813" t="inlineStr">
        <is>
          <t>IM캐피탈</t>
        </is>
      </c>
      <c r="F4813" t="inlineStr">
        <is>
          <t>김찬양</t>
        </is>
      </c>
      <c r="G4813" t="inlineStr">
        <is>
          <t>010-5531-3035</t>
        </is>
      </c>
      <c r="H4813" t="inlineStr">
        <is>
          <t>350누2546</t>
        </is>
      </c>
      <c r="I4813" t="n">
        <v>23000000</v>
      </c>
      <c r="J4813" t="n">
        <v>0.049</v>
      </c>
      <c r="K4813" t="n">
        <v>1.1</v>
      </c>
      <c r="L4813" t="n">
        <v>0.14</v>
      </c>
      <c r="M4813" t="n">
        <v>0.96</v>
      </c>
      <c r="P4813" t="inlineStr">
        <is>
          <t>김나윤</t>
        </is>
      </c>
      <c r="Q4813" t="inlineStr">
        <is>
          <t>홈서비스 60개월</t>
        </is>
      </c>
      <c r="AB4813" t="inlineStr">
        <is>
          <t>홈서비스</t>
        </is>
      </c>
      <c r="AC4813" t="n">
        <v>253000</v>
      </c>
      <c r="AD4813" t="n">
        <v>32200</v>
      </c>
      <c r="AE4813" t="n">
        <v>220800</v>
      </c>
      <c r="AF4813" t="n">
        <v>230000</v>
      </c>
      <c r="AG4813" t="n">
        <v>31137.4</v>
      </c>
      <c r="AH4813" t="n">
        <v>198862.6</v>
      </c>
      <c r="AI4813" t="n">
        <v>0</v>
      </c>
    </row>
    <row r="4814">
      <c r="A4814" t="inlineStr">
        <is>
          <t>5월</t>
        </is>
      </c>
      <c r="B4814" t="inlineStr">
        <is>
          <t>22주차</t>
        </is>
      </c>
      <c r="C4814" t="inlineStr">
        <is>
          <t>EP</t>
        </is>
      </c>
      <c r="D4814" s="28" t="n">
        <v>46171</v>
      </c>
      <c r="E4814" t="inlineStr">
        <is>
          <t>현대EP_fast</t>
        </is>
      </c>
      <c r="F4814" t="inlineStr">
        <is>
          <t>이예빈</t>
        </is>
      </c>
      <c r="G4814" t="inlineStr">
        <is>
          <t>010-9056-3912</t>
        </is>
      </c>
      <c r="H4814" t="inlineStr">
        <is>
          <t>38두4932</t>
        </is>
      </c>
      <c r="I4814" t="n">
        <v>5900000</v>
      </c>
      <c r="J4814" t="n">
        <v>0.06900000000000001</v>
      </c>
      <c r="K4814" t="n">
        <v>1.76</v>
      </c>
      <c r="L4814" t="n">
        <v>0.14</v>
      </c>
      <c r="M4814" t="n">
        <v>1.62</v>
      </c>
      <c r="P4814" t="inlineStr">
        <is>
          <t>최혁</t>
        </is>
      </c>
      <c r="Q4814" t="inlineStr">
        <is>
          <t>홈서비스36개월</t>
        </is>
      </c>
      <c r="AB4814" t="inlineStr">
        <is>
          <t>홈서비스</t>
        </is>
      </c>
      <c r="AC4814" t="n">
        <v>103840</v>
      </c>
      <c r="AD4814" t="n">
        <v>8260</v>
      </c>
      <c r="AE4814" t="n">
        <v>95580</v>
      </c>
      <c r="AF4814" t="n">
        <v>94400</v>
      </c>
      <c r="AG4814" t="n">
        <v>7987.42</v>
      </c>
      <c r="AH4814" t="n">
        <v>86412.58</v>
      </c>
    </row>
    <row r="4815">
      <c r="A4815" t="inlineStr">
        <is>
          <t>5월</t>
        </is>
      </c>
      <c r="B4815" t="inlineStr">
        <is>
          <t>22주차</t>
        </is>
      </c>
      <c r="C4815" t="inlineStr">
        <is>
          <t>IM</t>
        </is>
      </c>
      <c r="D4815" s="28" t="n">
        <v>46171</v>
      </c>
      <c r="E4815" t="inlineStr">
        <is>
          <t>IM캐피탈</t>
        </is>
      </c>
      <c r="F4815" t="inlineStr">
        <is>
          <t>김태연</t>
        </is>
      </c>
      <c r="G4815" t="inlineStr">
        <is>
          <t>010-8808-2519</t>
        </is>
      </c>
      <c r="H4815" t="inlineStr">
        <is>
          <t>229모9638</t>
        </is>
      </c>
      <c r="I4815" t="n">
        <v>44900000</v>
      </c>
      <c r="J4815" t="n">
        <v>0.063</v>
      </c>
      <c r="K4815" t="n">
        <v>1.1</v>
      </c>
      <c r="L4815" t="n">
        <v>0.14</v>
      </c>
      <c r="M4815" t="n">
        <v>0.96</v>
      </c>
      <c r="P4815" t="inlineStr">
        <is>
          <t>박현민</t>
        </is>
      </c>
      <c r="Q4815" t="inlineStr">
        <is>
          <t>홈서비스 84개월</t>
        </is>
      </c>
      <c r="AB4815" t="inlineStr">
        <is>
          <t>홈서비스</t>
        </is>
      </c>
      <c r="AC4815" t="n">
        <v>493900</v>
      </c>
      <c r="AD4815" t="n">
        <v>62860</v>
      </c>
      <c r="AE4815" t="n">
        <v>431040</v>
      </c>
      <c r="AF4815" t="n">
        <v>449000</v>
      </c>
      <c r="AG4815" t="n">
        <v>60785.62</v>
      </c>
      <c r="AH4815" t="n">
        <v>388214.38</v>
      </c>
      <c r="AI4815" t="n">
        <v>0</v>
      </c>
    </row>
    <row r="4816">
      <c r="A4816" t="inlineStr">
        <is>
          <t>5월</t>
        </is>
      </c>
      <c r="B4816" t="inlineStr">
        <is>
          <t>22주차</t>
        </is>
      </c>
      <c r="C4816" t="inlineStr">
        <is>
          <t>IM</t>
        </is>
      </c>
      <c r="D4816" s="28" t="n">
        <v>46171</v>
      </c>
      <c r="E4816" t="inlineStr">
        <is>
          <t>IM캐피탈</t>
        </is>
      </c>
      <c r="F4816" t="inlineStr">
        <is>
          <t>정진원</t>
        </is>
      </c>
      <c r="G4816" t="inlineStr">
        <is>
          <t>010-5141-9104</t>
        </is>
      </c>
      <c r="H4816" t="inlineStr">
        <is>
          <t>181무3168</t>
        </is>
      </c>
      <c r="I4816" t="n">
        <v>12000000</v>
      </c>
      <c r="J4816" t="n">
        <v>0.049</v>
      </c>
      <c r="K4816" t="n">
        <v>1.1</v>
      </c>
      <c r="L4816" t="n">
        <v>0.4</v>
      </c>
      <c r="M4816" t="n">
        <v>0.7</v>
      </c>
      <c r="P4816" t="inlineStr">
        <is>
          <t>박현민</t>
        </is>
      </c>
      <c r="AB4816" t="inlineStr">
        <is>
          <t>엔카</t>
        </is>
      </c>
      <c r="AC4816" t="n">
        <v>132000</v>
      </c>
      <c r="AD4816" t="n">
        <v>48000</v>
      </c>
      <c r="AE4816" t="n">
        <v>84000</v>
      </c>
      <c r="AF4816" t="n">
        <v>120000</v>
      </c>
      <c r="AG4816" t="n">
        <v>46416</v>
      </c>
      <c r="AH4816" t="n">
        <v>73584</v>
      </c>
      <c r="AI4816" t="n">
        <v>0</v>
      </c>
    </row>
    <row r="4817">
      <c r="A4817" t="inlineStr">
        <is>
          <t>5월</t>
        </is>
      </c>
      <c r="B4817" t="inlineStr">
        <is>
          <t>22주차</t>
        </is>
      </c>
      <c r="C4817" t="inlineStr">
        <is>
          <t>IM</t>
        </is>
      </c>
      <c r="D4817" s="28" t="n">
        <v>46171</v>
      </c>
      <c r="E4817" t="inlineStr">
        <is>
          <t>IM캐피탈</t>
        </is>
      </c>
      <c r="F4817" t="inlineStr">
        <is>
          <t>김민준</t>
        </is>
      </c>
      <c r="G4817" t="inlineStr">
        <is>
          <t>010-3059-2005</t>
        </is>
      </c>
      <c r="H4817" t="inlineStr">
        <is>
          <t>169무7236</t>
        </is>
      </c>
      <c r="I4817" t="n">
        <v>63600000</v>
      </c>
      <c r="J4817" t="n">
        <v>0.059</v>
      </c>
      <c r="K4817" t="n">
        <v>1.1</v>
      </c>
      <c r="L4817" t="n">
        <v>0.14</v>
      </c>
      <c r="M4817" t="n">
        <v>0.96</v>
      </c>
      <c r="P4817" t="inlineStr">
        <is>
          <t>장진경</t>
        </is>
      </c>
      <c r="Q4817" t="inlineStr">
        <is>
          <t>선상담 / 홈서비스 60개월 / 부대비용 추가진행</t>
        </is>
      </c>
      <c r="AB4817" t="inlineStr">
        <is>
          <t>홈서비스</t>
        </is>
      </c>
      <c r="AC4817" t="n">
        <v>699600</v>
      </c>
      <c r="AD4817" t="n">
        <v>89040</v>
      </c>
      <c r="AE4817" t="n">
        <v>610560</v>
      </c>
      <c r="AF4817" t="n">
        <v>636000</v>
      </c>
      <c r="AG4817" t="n">
        <v>86101.67999999999</v>
      </c>
      <c r="AH4817" t="n">
        <v>549898.3199999999</v>
      </c>
      <c r="AI4817" t="n">
        <v>0</v>
      </c>
    </row>
    <row r="4818">
      <c r="A4818" t="inlineStr">
        <is>
          <t>5월</t>
        </is>
      </c>
      <c r="B4818" t="inlineStr">
        <is>
          <t>22주차</t>
        </is>
      </c>
      <c r="C4818" t="inlineStr">
        <is>
          <t>EP</t>
        </is>
      </c>
      <c r="D4818" s="28" t="n">
        <v>46171</v>
      </c>
      <c r="E4818" t="inlineStr">
        <is>
          <t>현대EP_fast</t>
        </is>
      </c>
      <c r="F4818" t="inlineStr">
        <is>
          <t>김재훈</t>
        </is>
      </c>
      <c r="G4818" t="inlineStr">
        <is>
          <t>010-9648-8888</t>
        </is>
      </c>
      <c r="H4818" t="inlineStr">
        <is>
          <t>50보1383</t>
        </is>
      </c>
      <c r="I4818" t="n">
        <v>39000000</v>
      </c>
      <c r="J4818" t="n">
        <v>0.06900000000000001</v>
      </c>
      <c r="K4818" t="n">
        <v>1.76</v>
      </c>
      <c r="L4818" t="n">
        <v>0.14</v>
      </c>
      <c r="M4818" t="n">
        <v>1.62</v>
      </c>
      <c r="P4818" t="inlineStr">
        <is>
          <t>박현민</t>
        </is>
      </c>
      <c r="Q4818" t="inlineStr">
        <is>
          <t>홈서비스 60개월</t>
        </is>
      </c>
      <c r="AB4818" t="inlineStr">
        <is>
          <t>홈서비스</t>
        </is>
      </c>
      <c r="AC4818" t="n">
        <v>686400</v>
      </c>
      <c r="AD4818" t="n">
        <v>54600</v>
      </c>
      <c r="AE4818" t="n">
        <v>631800</v>
      </c>
      <c r="AF4818" t="n">
        <v>624000</v>
      </c>
      <c r="AG4818" t="n">
        <v>52798.2</v>
      </c>
      <c r="AH4818" t="n">
        <v>571201.8</v>
      </c>
    </row>
    <row r="4819">
      <c r="A4819" t="inlineStr">
        <is>
          <t>5월</t>
        </is>
      </c>
      <c r="B4819" t="inlineStr">
        <is>
          <t>22주차</t>
        </is>
      </c>
      <c r="C4819" t="inlineStr">
        <is>
          <t>IM</t>
        </is>
      </c>
      <c r="D4819" s="28" t="n">
        <v>46171</v>
      </c>
      <c r="E4819" t="inlineStr">
        <is>
          <t>IM캐피탈</t>
        </is>
      </c>
      <c r="F4819" t="inlineStr">
        <is>
          <t>이원재</t>
        </is>
      </c>
      <c r="G4819" t="inlineStr">
        <is>
          <t>010-5013-9371</t>
        </is>
      </c>
      <c r="H4819" t="inlineStr">
        <is>
          <t>347루9574</t>
        </is>
      </c>
      <c r="I4819" t="n">
        <v>62000000</v>
      </c>
      <c r="J4819" t="inlineStr">
        <is>
          <t>6.3 %</t>
        </is>
      </c>
      <c r="K4819" t="n">
        <v>1.1</v>
      </c>
      <c r="L4819" t="n">
        <v>0.14</v>
      </c>
      <c r="M4819" t="n">
        <v>0.96</v>
      </c>
      <c r="P4819" t="inlineStr">
        <is>
          <t>황채이</t>
        </is>
      </c>
      <c r="Q4819" t="inlineStr">
        <is>
          <t>홈서비스 72개월</t>
        </is>
      </c>
      <c r="AB4819" t="inlineStr">
        <is>
          <t>홈서비스</t>
        </is>
      </c>
      <c r="AC4819" t="n">
        <v>682000</v>
      </c>
      <c r="AD4819" t="n">
        <v>86800</v>
      </c>
      <c r="AE4819" t="n">
        <v>595200</v>
      </c>
      <c r="AF4819" t="n">
        <v>620000</v>
      </c>
      <c r="AG4819" t="n">
        <v>83935.60000000001</v>
      </c>
      <c r="AH4819" t="n">
        <v>536064.4</v>
      </c>
      <c r="AI4819" t="n">
        <v>0</v>
      </c>
    </row>
    <row r="4820">
      <c r="A4820" t="inlineStr">
        <is>
          <t>5월</t>
        </is>
      </c>
      <c r="B4820" t="inlineStr">
        <is>
          <t>22주차</t>
        </is>
      </c>
      <c r="C4820" t="inlineStr">
        <is>
          <t>EP</t>
        </is>
      </c>
      <c r="D4820" s="28" t="n">
        <v>46171</v>
      </c>
      <c r="E4820" t="inlineStr">
        <is>
          <t>현대EP_fast</t>
        </is>
      </c>
      <c r="F4820" t="inlineStr">
        <is>
          <t>이현석</t>
        </is>
      </c>
      <c r="G4820" t="inlineStr">
        <is>
          <t>010-7189-9102</t>
        </is>
      </c>
      <c r="H4820" t="inlineStr">
        <is>
          <t>374러4840</t>
        </is>
      </c>
      <c r="I4820" t="n">
        <v>14000000</v>
      </c>
      <c r="J4820" t="n">
        <v>0.102</v>
      </c>
      <c r="K4820" t="n">
        <v>1.76</v>
      </c>
      <c r="L4820" t="n">
        <v>0.14</v>
      </c>
      <c r="M4820" t="n">
        <v>1.62</v>
      </c>
      <c r="P4820" t="inlineStr">
        <is>
          <t>정세빈</t>
        </is>
      </c>
      <c r="Q4820" t="inlineStr">
        <is>
          <t>홈서비스 36개월</t>
        </is>
      </c>
      <c r="AB4820" t="inlineStr">
        <is>
          <t>홈서비스</t>
        </is>
      </c>
      <c r="AC4820" t="n">
        <v>246400</v>
      </c>
      <c r="AD4820" t="n">
        <v>19600</v>
      </c>
      <c r="AE4820" t="n">
        <v>226800</v>
      </c>
      <c r="AF4820" t="n">
        <v>224000</v>
      </c>
      <c r="AG4820" t="n">
        <v>18953.2</v>
      </c>
      <c r="AH4820" t="n">
        <v>205046.8</v>
      </c>
      <c r="AI4820" t="n">
        <v>0</v>
      </c>
    </row>
    <row r="4821">
      <c r="A4821" t="inlineStr">
        <is>
          <t>5월</t>
        </is>
      </c>
      <c r="B4821" t="inlineStr">
        <is>
          <t>22주차</t>
        </is>
      </c>
      <c r="C4821" t="inlineStr">
        <is>
          <t>IM</t>
        </is>
      </c>
      <c r="D4821" s="28" t="n">
        <v>46171</v>
      </c>
      <c r="E4821" t="inlineStr">
        <is>
          <t>IM캐피탈</t>
        </is>
      </c>
      <c r="F4821" t="inlineStr">
        <is>
          <t>김동욱</t>
        </is>
      </c>
      <c r="G4821" t="inlineStr">
        <is>
          <t>010-8412-9698</t>
        </is>
      </c>
      <c r="H4821" t="inlineStr">
        <is>
          <t>255노5159</t>
        </is>
      </c>
      <c r="I4821" t="n">
        <v>41200000</v>
      </c>
      <c r="J4821" t="n">
        <v>0.059</v>
      </c>
      <c r="K4821" t="n">
        <v>1.1</v>
      </c>
      <c r="L4821" t="n">
        <v>0.14</v>
      </c>
      <c r="M4821" t="n">
        <v>0.96</v>
      </c>
      <c r="P4821" t="inlineStr">
        <is>
          <t>정세빈</t>
        </is>
      </c>
      <c r="Q4821" t="inlineStr">
        <is>
          <t>홈서비스 84개월</t>
        </is>
      </c>
      <c r="AB4821" t="inlineStr">
        <is>
          <t>홈서비스</t>
        </is>
      </c>
      <c r="AC4821" t="n">
        <v>453200</v>
      </c>
      <c r="AD4821" t="n">
        <v>57680</v>
      </c>
      <c r="AE4821" t="n">
        <v>395520</v>
      </c>
      <c r="AF4821" t="n">
        <v>412000</v>
      </c>
      <c r="AG4821" t="n">
        <v>55776.56</v>
      </c>
      <c r="AH4821" t="n">
        <v>356223.44</v>
      </c>
      <c r="AI4821" t="n">
        <v>0</v>
      </c>
    </row>
    <row r="4822">
      <c r="A4822" t="inlineStr">
        <is>
          <t>5월</t>
        </is>
      </c>
      <c r="B4822" t="inlineStr">
        <is>
          <t>22주차</t>
        </is>
      </c>
      <c r="C4822" t="inlineStr">
        <is>
          <t>EP</t>
        </is>
      </c>
      <c r="D4822" s="28" t="n">
        <v>46171</v>
      </c>
      <c r="E4822" t="inlineStr">
        <is>
          <t>현대EP_fast</t>
        </is>
      </c>
      <c r="F4822" t="inlineStr">
        <is>
          <t>변경록</t>
        </is>
      </c>
      <c r="G4822" t="inlineStr">
        <is>
          <t>010-4800-9788</t>
        </is>
      </c>
      <c r="H4822" t="inlineStr">
        <is>
          <t>311구5464</t>
        </is>
      </c>
      <c r="I4822" t="n">
        <v>10000000</v>
      </c>
      <c r="J4822" t="n">
        <v>0.089</v>
      </c>
      <c r="K4822" t="n">
        <v>1.76</v>
      </c>
      <c r="L4822" t="n">
        <v>0.14</v>
      </c>
      <c r="M4822" t="n">
        <v>1.62</v>
      </c>
      <c r="P4822" t="inlineStr">
        <is>
          <t>박소현</t>
        </is>
      </c>
      <c r="Q4822" t="inlineStr">
        <is>
          <t>홈서비스 48개월</t>
        </is>
      </c>
      <c r="AB4822" t="inlineStr">
        <is>
          <t>홈서비스</t>
        </is>
      </c>
      <c r="AC4822" t="n">
        <v>176000</v>
      </c>
      <c r="AD4822" t="n">
        <v>14000</v>
      </c>
      <c r="AE4822" t="n">
        <v>162000</v>
      </c>
      <c r="AF4822" t="n">
        <v>160000</v>
      </c>
      <c r="AG4822" t="n">
        <v>13538</v>
      </c>
      <c r="AH4822" t="n">
        <v>146462</v>
      </c>
      <c r="AI4822" t="n">
        <v>0</v>
      </c>
    </row>
    <row r="4823">
      <c r="A4823" t="inlineStr">
        <is>
          <t>5월</t>
        </is>
      </c>
      <c r="B4823" t="inlineStr">
        <is>
          <t>22주차</t>
        </is>
      </c>
      <c r="C4823" t="inlineStr">
        <is>
          <t>IM</t>
        </is>
      </c>
      <c r="D4823" s="28" t="n">
        <v>46171</v>
      </c>
      <c r="E4823" t="inlineStr">
        <is>
          <t>IM캐피탈</t>
        </is>
      </c>
      <c r="F4823" t="inlineStr">
        <is>
          <t>원상진</t>
        </is>
      </c>
      <c r="G4823" t="inlineStr">
        <is>
          <t>010-5846-5352</t>
        </is>
      </c>
      <c r="H4823" t="inlineStr">
        <is>
          <t>205고9710</t>
        </is>
      </c>
      <c r="I4823" t="n">
        <v>30000000</v>
      </c>
      <c r="J4823" t="n">
        <v>0.059</v>
      </c>
      <c r="K4823" t="n">
        <v>1.1</v>
      </c>
      <c r="L4823" t="n">
        <v>0.14</v>
      </c>
      <c r="M4823" t="n">
        <v>0.96</v>
      </c>
      <c r="P4823" t="inlineStr">
        <is>
          <t>정세빈</t>
        </is>
      </c>
      <c r="Q4823" t="inlineStr">
        <is>
          <t>홈서비스 72개월</t>
        </is>
      </c>
      <c r="AB4823" t="inlineStr">
        <is>
          <t>홈서비스</t>
        </is>
      </c>
      <c r="AC4823" t="n">
        <v>330000</v>
      </c>
      <c r="AD4823" t="n">
        <v>42000</v>
      </c>
      <c r="AE4823" t="n">
        <v>288000</v>
      </c>
      <c r="AF4823" t="n">
        <v>300000</v>
      </c>
      <c r="AG4823" t="n">
        <v>40614</v>
      </c>
      <c r="AH4823" t="n">
        <v>259386</v>
      </c>
      <c r="AI4823" t="n">
        <v>0</v>
      </c>
    </row>
    <row r="4824">
      <c r="A4824" t="inlineStr">
        <is>
          <t>5월</t>
        </is>
      </c>
      <c r="B4824" t="inlineStr">
        <is>
          <t>22주차</t>
        </is>
      </c>
      <c r="C4824" t="inlineStr">
        <is>
          <t>IM</t>
        </is>
      </c>
      <c r="D4824" s="28" t="n">
        <v>46171</v>
      </c>
      <c r="E4824" t="inlineStr">
        <is>
          <t>IM캐피탈</t>
        </is>
      </c>
      <c r="F4824" t="inlineStr">
        <is>
          <t>성민호</t>
        </is>
      </c>
      <c r="G4824" t="inlineStr">
        <is>
          <t>010-5777-0090</t>
        </is>
      </c>
      <c r="H4824" t="inlineStr">
        <is>
          <t>71노5493</t>
        </is>
      </c>
      <c r="I4824" t="n">
        <v>3300000</v>
      </c>
      <c r="J4824" t="n">
        <v>0.049</v>
      </c>
      <c r="K4824" t="n">
        <v>1.1</v>
      </c>
      <c r="L4824" t="n">
        <v>0.4</v>
      </c>
      <c r="M4824" t="n">
        <v>0.7</v>
      </c>
      <c r="P4824" t="inlineStr">
        <is>
          <t>박소현</t>
        </is>
      </c>
      <c r="Q4824" t="inlineStr">
        <is>
          <t>부대비용추가진행</t>
        </is>
      </c>
      <c r="AB4824" t="inlineStr">
        <is>
          <t>엔카</t>
        </is>
      </c>
      <c r="AC4824" t="n">
        <v>36300</v>
      </c>
      <c r="AD4824" t="n">
        <v>13200</v>
      </c>
      <c r="AE4824" t="n">
        <v>23100</v>
      </c>
      <c r="AF4824" t="n">
        <v>33000</v>
      </c>
      <c r="AG4824" t="n">
        <v>12764.4</v>
      </c>
      <c r="AH4824" t="n">
        <v>20235.6</v>
      </c>
      <c r="AI4824" t="n">
        <v>0</v>
      </c>
    </row>
    <row r="4825">
      <c r="A4825" t="inlineStr">
        <is>
          <t>5월</t>
        </is>
      </c>
      <c r="B4825" t="inlineStr">
        <is>
          <t>22주차</t>
        </is>
      </c>
      <c r="C4825" t="inlineStr">
        <is>
          <t>EP</t>
        </is>
      </c>
      <c r="D4825" s="28" t="n">
        <v>46171</v>
      </c>
      <c r="E4825" t="inlineStr">
        <is>
          <t>현대EP_fast</t>
        </is>
      </c>
      <c r="F4825" t="inlineStr">
        <is>
          <t>이장수</t>
        </is>
      </c>
      <c r="G4825" t="inlineStr">
        <is>
          <t>010-8712-2449</t>
        </is>
      </c>
      <c r="H4825" t="inlineStr">
        <is>
          <t>197호7313</t>
        </is>
      </c>
      <c r="I4825" t="n">
        <v>10000000</v>
      </c>
      <c r="J4825" t="n">
        <v>0.08500000000000001</v>
      </c>
      <c r="K4825" t="n">
        <v>1.76</v>
      </c>
      <c r="L4825" t="n">
        <v>0.14</v>
      </c>
      <c r="M4825" t="n">
        <v>1.62</v>
      </c>
      <c r="P4825" t="inlineStr">
        <is>
          <t>김나윤</t>
        </is>
      </c>
      <c r="Q4825" t="inlineStr">
        <is>
          <t>홈서비스 24개월</t>
        </is>
      </c>
      <c r="AB4825" t="inlineStr">
        <is>
          <t>홈서비스</t>
        </is>
      </c>
      <c r="AC4825" t="n">
        <v>176000</v>
      </c>
      <c r="AD4825" t="n">
        <v>14000</v>
      </c>
      <c r="AE4825" t="n">
        <v>162000</v>
      </c>
      <c r="AF4825" t="n">
        <v>160000</v>
      </c>
      <c r="AG4825" t="n">
        <v>13538</v>
      </c>
      <c r="AH4825" t="n">
        <v>146462</v>
      </c>
      <c r="AI4825" t="n">
        <v>0</v>
      </c>
    </row>
    <row r="4826">
      <c r="A4826" t="inlineStr">
        <is>
          <t>5월</t>
        </is>
      </c>
      <c r="B4826" t="inlineStr">
        <is>
          <t>22주차</t>
        </is>
      </c>
      <c r="C4826" t="inlineStr">
        <is>
          <t>EP</t>
        </is>
      </c>
      <c r="D4826" s="28" t="n">
        <v>46171</v>
      </c>
      <c r="E4826" t="inlineStr">
        <is>
          <t>현대EP_fast</t>
        </is>
      </c>
      <c r="F4826" t="inlineStr">
        <is>
          <t>권오준</t>
        </is>
      </c>
      <c r="G4826" t="inlineStr">
        <is>
          <t>010-7470-6670</t>
        </is>
      </c>
      <c r="H4826" t="inlineStr">
        <is>
          <t>123어2432</t>
        </is>
      </c>
      <c r="I4826" t="n">
        <v>7400000</v>
      </c>
      <c r="J4826" t="n">
        <v>0.074</v>
      </c>
      <c r="K4826" t="n">
        <v>1.76</v>
      </c>
      <c r="L4826" t="n">
        <v>0.14</v>
      </c>
      <c r="M4826" t="n">
        <v>1.62</v>
      </c>
      <c r="P4826" t="inlineStr">
        <is>
          <t>황채이</t>
        </is>
      </c>
      <c r="Q4826" t="inlineStr">
        <is>
          <t>홈서비스 60개월</t>
        </is>
      </c>
      <c r="AB4826" t="inlineStr">
        <is>
          <t>홈서비스</t>
        </is>
      </c>
      <c r="AC4826" t="n">
        <v>130240</v>
      </c>
      <c r="AD4826" t="n">
        <v>10360</v>
      </c>
      <c r="AE4826" t="n">
        <v>119880</v>
      </c>
      <c r="AF4826" t="n">
        <v>118400</v>
      </c>
      <c r="AG4826" t="n">
        <v>10018.12</v>
      </c>
      <c r="AH4826" t="n">
        <v>108381.88</v>
      </c>
      <c r="AI4826" t="n">
        <v>0</v>
      </c>
    </row>
    <row r="4827">
      <c r="A4827" t="inlineStr">
        <is>
          <t>5월</t>
        </is>
      </c>
      <c r="B4827" t="inlineStr">
        <is>
          <t>22주차</t>
        </is>
      </c>
      <c r="C4827" t="inlineStr">
        <is>
          <t>EP</t>
        </is>
      </c>
      <c r="D4827" s="28" t="n">
        <v>46171</v>
      </c>
      <c r="E4827" t="inlineStr">
        <is>
          <t>현대EP_fast</t>
        </is>
      </c>
      <c r="F4827" t="inlineStr">
        <is>
          <t>이상진</t>
        </is>
      </c>
      <c r="G4827" t="inlineStr">
        <is>
          <t>010-8231-6845</t>
        </is>
      </c>
      <c r="H4827" t="inlineStr">
        <is>
          <t>207부6165</t>
        </is>
      </c>
      <c r="I4827" t="n">
        <v>12400000</v>
      </c>
      <c r="J4827" t="n">
        <v>0.118</v>
      </c>
      <c r="K4827" t="n">
        <v>1.76</v>
      </c>
      <c r="L4827" t="n">
        <v>0.4</v>
      </c>
      <c r="M4827" t="n">
        <v>1.36</v>
      </c>
      <c r="P4827" t="inlineStr">
        <is>
          <t>최혁</t>
        </is>
      </c>
      <c r="AB4827" t="inlineStr">
        <is>
          <t>엔카</t>
        </is>
      </c>
      <c r="AC4827" t="n">
        <v>218240</v>
      </c>
      <c r="AD4827" t="n">
        <v>49600</v>
      </c>
      <c r="AE4827" t="n">
        <v>168640</v>
      </c>
      <c r="AF4827" t="n">
        <v>198400</v>
      </c>
      <c r="AG4827" t="n">
        <v>47963.2</v>
      </c>
      <c r="AH4827" t="n">
        <v>150436.8</v>
      </c>
      <c r="AI4827" t="n">
        <v>0</v>
      </c>
    </row>
    <row r="4828">
      <c r="A4828" t="inlineStr">
        <is>
          <t>5월</t>
        </is>
      </c>
      <c r="B4828" t="inlineStr">
        <is>
          <t>22주차</t>
        </is>
      </c>
      <c r="C4828" t="inlineStr">
        <is>
          <t>EP</t>
        </is>
      </c>
      <c r="D4828" s="28" t="n">
        <v>46171</v>
      </c>
      <c r="E4828" t="inlineStr">
        <is>
          <t>BNKEP</t>
        </is>
      </c>
      <c r="F4828" t="inlineStr">
        <is>
          <t>유보현</t>
        </is>
      </c>
      <c r="G4828" t="inlineStr">
        <is>
          <t>010-3937-4439</t>
        </is>
      </c>
      <c r="H4828" t="inlineStr">
        <is>
          <t>240수3366</t>
        </is>
      </c>
      <c r="I4828" t="n">
        <v>8100000</v>
      </c>
      <c r="J4828" t="n">
        <v>0.07000000000000001</v>
      </c>
      <c r="K4828" t="n">
        <v>1.65</v>
      </c>
      <c r="L4828" t="n">
        <v>0.14</v>
      </c>
      <c r="M4828" t="n">
        <v>1.51</v>
      </c>
      <c r="P4828" t="inlineStr">
        <is>
          <t>정세빈</t>
        </is>
      </c>
      <c r="Q4828" t="inlineStr">
        <is>
          <t>홈서비스 36개월</t>
        </is>
      </c>
      <c r="AB4828" t="inlineStr">
        <is>
          <t>홈서비스</t>
        </is>
      </c>
      <c r="AC4828" t="n">
        <v>133650</v>
      </c>
      <c r="AD4828" t="n">
        <v>11340</v>
      </c>
      <c r="AE4828" t="n">
        <v>122310</v>
      </c>
      <c r="AF4828" t="n">
        <v>121500</v>
      </c>
      <c r="AG4828" t="n">
        <v>10965.78</v>
      </c>
      <c r="AH4828" t="n">
        <v>110534.22</v>
      </c>
      <c r="AI4828" t="n">
        <v>0</v>
      </c>
    </row>
    <row r="4829">
      <c r="A4829" t="inlineStr">
        <is>
          <t>5월</t>
        </is>
      </c>
      <c r="B4829" t="inlineStr">
        <is>
          <t>22주차</t>
        </is>
      </c>
      <c r="C4829" t="inlineStr">
        <is>
          <t>HC</t>
        </is>
      </c>
      <c r="D4829" s="28" t="n">
        <v>46171</v>
      </c>
      <c r="E4829" t="inlineStr">
        <is>
          <t>하나캐피탈</t>
        </is>
      </c>
      <c r="F4829" t="inlineStr">
        <is>
          <t>신민주</t>
        </is>
      </c>
      <c r="G4829" t="inlineStr">
        <is>
          <t>010-4929-8075</t>
        </is>
      </c>
      <c r="H4829" t="inlineStr">
        <is>
          <t>09어8446</t>
        </is>
      </c>
      <c r="I4829" t="n">
        <v>48900000</v>
      </c>
      <c r="J4829" t="n">
        <v>0.065</v>
      </c>
      <c r="K4829" t="n">
        <v>2.2</v>
      </c>
      <c r="L4829" t="n">
        <v>0.14</v>
      </c>
      <c r="M4829" t="n">
        <v>2.06</v>
      </c>
      <c r="P4829" t="inlineStr">
        <is>
          <t>정세빈</t>
        </is>
      </c>
      <c r="Q4829" t="inlineStr">
        <is>
          <t>홈서비스 60개월</t>
        </is>
      </c>
      <c r="AB4829" t="inlineStr">
        <is>
          <t>홈서비스</t>
        </is>
      </c>
      <c r="AC4829" t="n">
        <v>1075800</v>
      </c>
      <c r="AD4829" t="n">
        <v>68460</v>
      </c>
      <c r="AE4829" t="n">
        <v>1007340</v>
      </c>
      <c r="AF4829" t="n">
        <v>978000</v>
      </c>
      <c r="AG4829" t="n">
        <v>66200.82000000001</v>
      </c>
      <c r="AH4829" t="n">
        <v>911799.1800000001</v>
      </c>
      <c r="AI4829" t="n">
        <v>0</v>
      </c>
    </row>
    <row r="4830">
      <c r="A4830" t="inlineStr">
        <is>
          <t>5월</t>
        </is>
      </c>
      <c r="B4830" t="inlineStr">
        <is>
          <t>22주차</t>
        </is>
      </c>
      <c r="C4830" t="inlineStr">
        <is>
          <t>HC</t>
        </is>
      </c>
      <c r="D4830" s="28" t="n">
        <v>46171</v>
      </c>
      <c r="E4830" t="inlineStr">
        <is>
          <t>하나캐피탈</t>
        </is>
      </c>
      <c r="F4830" t="inlineStr">
        <is>
          <t>왕명신</t>
        </is>
      </c>
      <c r="G4830" t="inlineStr">
        <is>
          <t>010-8797-5798</t>
        </is>
      </c>
      <c r="H4830" t="inlineStr">
        <is>
          <t>164다1571</t>
        </is>
      </c>
      <c r="I4830" t="n">
        <v>8700000</v>
      </c>
      <c r="J4830" t="n">
        <v>0.065</v>
      </c>
      <c r="K4830" t="n">
        <v>2.2</v>
      </c>
      <c r="L4830" t="n">
        <v>0.14</v>
      </c>
      <c r="M4830" t="n">
        <v>2.06</v>
      </c>
      <c r="P4830" t="inlineStr">
        <is>
          <t>정세빈</t>
        </is>
      </c>
      <c r="Q4830" t="inlineStr">
        <is>
          <t>홈서비스 36개월</t>
        </is>
      </c>
      <c r="AB4830" t="inlineStr">
        <is>
          <t>홈서비스</t>
        </is>
      </c>
      <c r="AC4830" t="n">
        <v>191400</v>
      </c>
      <c r="AD4830" t="n">
        <v>12180</v>
      </c>
      <c r="AE4830" t="n">
        <v>179220</v>
      </c>
      <c r="AF4830" t="n">
        <v>174000</v>
      </c>
      <c r="AG4830" t="n">
        <v>11778.06</v>
      </c>
      <c r="AH4830" t="n">
        <v>162221.94</v>
      </c>
      <c r="AI4830" t="n">
        <v>0</v>
      </c>
    </row>
    <row r="4831">
      <c r="A4831" t="inlineStr">
        <is>
          <t>5월</t>
        </is>
      </c>
      <c r="B4831" t="inlineStr">
        <is>
          <t>22주차</t>
        </is>
      </c>
      <c r="C4831" t="inlineStr">
        <is>
          <t>EP</t>
        </is>
      </c>
      <c r="D4831" s="28" t="n">
        <v>46171</v>
      </c>
      <c r="E4831" t="inlineStr">
        <is>
          <t>현대EP_fast</t>
        </is>
      </c>
      <c r="F4831" t="inlineStr">
        <is>
          <t>전비호</t>
        </is>
      </c>
      <c r="G4831" t="inlineStr">
        <is>
          <t>010-3935-7543</t>
        </is>
      </c>
      <c r="H4831" t="inlineStr">
        <is>
          <t>38루8634</t>
        </is>
      </c>
      <c r="I4831" t="n">
        <v>6400000</v>
      </c>
      <c r="J4831" t="n">
        <v>0.154</v>
      </c>
      <c r="K4831" t="n">
        <v>1.76</v>
      </c>
      <c r="L4831" t="n">
        <v>0.4</v>
      </c>
      <c r="M4831" t="n">
        <v>1.36</v>
      </c>
      <c r="P4831" t="inlineStr">
        <is>
          <t>장진경</t>
        </is>
      </c>
      <c r="AB4831" t="inlineStr">
        <is>
          <t>엔카</t>
        </is>
      </c>
      <c r="AC4831" t="n">
        <v>112640</v>
      </c>
      <c r="AD4831" t="n">
        <v>25600</v>
      </c>
      <c r="AE4831" t="n">
        <v>87040</v>
      </c>
      <c r="AF4831" t="n">
        <v>102400</v>
      </c>
      <c r="AG4831" t="n">
        <v>24755.2</v>
      </c>
      <c r="AH4831" t="n">
        <v>77644.8</v>
      </c>
      <c r="AI4831" t="n">
        <v>0</v>
      </c>
    </row>
    <row r="4832">
      <c r="A4832" t="inlineStr">
        <is>
          <t>5월</t>
        </is>
      </c>
      <c r="B4832" t="inlineStr">
        <is>
          <t>22주차</t>
        </is>
      </c>
      <c r="C4832" t="inlineStr">
        <is>
          <t>IM</t>
        </is>
      </c>
      <c r="D4832" s="28" t="n">
        <v>46171</v>
      </c>
      <c r="E4832" t="inlineStr">
        <is>
          <t>IM캐피탈</t>
        </is>
      </c>
      <c r="F4832" t="inlineStr">
        <is>
          <t>민정영</t>
        </is>
      </c>
      <c r="G4832" t="inlineStr">
        <is>
          <t>010-5653-0287</t>
        </is>
      </c>
      <c r="H4832" t="inlineStr">
        <is>
          <t>224노2001</t>
        </is>
      </c>
      <c r="I4832" t="n">
        <v>48000000</v>
      </c>
      <c r="J4832" t="n">
        <v>0.076</v>
      </c>
      <c r="K4832" t="n">
        <v>1.1</v>
      </c>
      <c r="L4832" t="n">
        <v>0.4</v>
      </c>
      <c r="M4832" t="n">
        <v>0.7</v>
      </c>
      <c r="P4832" t="inlineStr">
        <is>
          <t>최혁</t>
        </is>
      </c>
      <c r="AB4832" t="inlineStr">
        <is>
          <t>엔카</t>
        </is>
      </c>
      <c r="AC4832" t="n">
        <v>528000</v>
      </c>
      <c r="AD4832" t="n">
        <v>192000</v>
      </c>
      <c r="AE4832" t="n">
        <v>336000</v>
      </c>
      <c r="AF4832" t="n">
        <v>480000</v>
      </c>
      <c r="AG4832" t="n">
        <v>185664</v>
      </c>
      <c r="AH4832" t="n">
        <v>294336</v>
      </c>
      <c r="AI4832" t="n">
        <v>0</v>
      </c>
    </row>
    <row r="4833">
      <c r="A4833" t="inlineStr">
        <is>
          <t>5월</t>
        </is>
      </c>
      <c r="B4833" t="inlineStr">
        <is>
          <t>22주차</t>
        </is>
      </c>
      <c r="C4833" t="inlineStr">
        <is>
          <t>IM</t>
        </is>
      </c>
      <c r="D4833" s="28" t="n">
        <v>46171</v>
      </c>
      <c r="E4833" t="inlineStr">
        <is>
          <t>IM캐피탈</t>
        </is>
      </c>
      <c r="F4833" t="inlineStr">
        <is>
          <t>신호철</t>
        </is>
      </c>
      <c r="G4833" t="inlineStr">
        <is>
          <t>010-9491-7373</t>
        </is>
      </c>
      <c r="H4833" t="inlineStr">
        <is>
          <t>258두9422</t>
        </is>
      </c>
      <c r="I4833" t="n">
        <v>31700000</v>
      </c>
      <c r="J4833" t="n">
        <v>0.063</v>
      </c>
      <c r="K4833" t="n">
        <v>1.1</v>
      </c>
      <c r="L4833" t="n">
        <v>0.5</v>
      </c>
      <c r="M4833" t="n">
        <v>0.6</v>
      </c>
      <c r="P4833" t="inlineStr">
        <is>
          <t>임대경</t>
        </is>
      </c>
      <c r="AB4833" t="inlineStr">
        <is>
          <t>엔카</t>
        </is>
      </c>
      <c r="AC4833" t="n">
        <v>348700</v>
      </c>
      <c r="AD4833" t="n">
        <v>158500</v>
      </c>
      <c r="AE4833" t="n">
        <v>190200</v>
      </c>
      <c r="AF4833" t="n">
        <v>317000</v>
      </c>
      <c r="AG4833" t="n">
        <v>153269.5</v>
      </c>
      <c r="AH4833" t="n">
        <v>163730.5</v>
      </c>
      <c r="AI4833" t="n">
        <v>0</v>
      </c>
    </row>
    <row r="4834">
      <c r="A4834" t="inlineStr">
        <is>
          <t>5월</t>
        </is>
      </c>
      <c r="B4834" t="inlineStr">
        <is>
          <t>22주차</t>
        </is>
      </c>
      <c r="C4834" t="inlineStr">
        <is>
          <t>IM</t>
        </is>
      </c>
      <c r="D4834" s="28" t="n">
        <v>46172</v>
      </c>
      <c r="E4834" t="inlineStr">
        <is>
          <t>IM캐피탈</t>
        </is>
      </c>
      <c r="F4834" t="inlineStr">
        <is>
          <t>구성재</t>
        </is>
      </c>
      <c r="G4834" t="inlineStr">
        <is>
          <t>010-5888-9996</t>
        </is>
      </c>
      <c r="H4834" t="inlineStr">
        <is>
          <t>115루2743</t>
        </is>
      </c>
      <c r="I4834" t="n">
        <v>30000000</v>
      </c>
      <c r="J4834" t="n">
        <v>0.045</v>
      </c>
      <c r="K4834" t="n">
        <v>1.1</v>
      </c>
      <c r="L4834" t="n">
        <v>0.5</v>
      </c>
      <c r="M4834" t="n">
        <v>0.6</v>
      </c>
      <c r="P4834" t="inlineStr">
        <is>
          <t>임대경</t>
        </is>
      </c>
      <c r="Q4834" t="inlineStr">
        <is>
          <t>부대비용 추가진행</t>
        </is>
      </c>
      <c r="AB4834" t="inlineStr">
        <is>
          <t>엔카</t>
        </is>
      </c>
      <c r="AC4834" t="n">
        <v>330000</v>
      </c>
      <c r="AD4834" t="n">
        <v>150000</v>
      </c>
      <c r="AE4834" t="n">
        <v>180000</v>
      </c>
      <c r="AF4834" t="n">
        <v>300000</v>
      </c>
      <c r="AG4834" t="n">
        <v>145050</v>
      </c>
      <c r="AH4834" t="n">
        <v>154950</v>
      </c>
      <c r="AI4834" t="n">
        <v>0</v>
      </c>
    </row>
    <row r="4835">
      <c r="A4835" t="inlineStr">
        <is>
          <t>5월</t>
        </is>
      </c>
      <c r="B4835" t="inlineStr">
        <is>
          <t>22주차</t>
        </is>
      </c>
      <c r="C4835" t="inlineStr">
        <is>
          <t>IM</t>
        </is>
      </c>
      <c r="D4835" s="28" t="n">
        <v>46172</v>
      </c>
      <c r="E4835" t="inlineStr">
        <is>
          <t>IM캐피탈</t>
        </is>
      </c>
      <c r="F4835" t="inlineStr">
        <is>
          <t>배인주</t>
        </is>
      </c>
      <c r="G4835" t="inlineStr">
        <is>
          <t>010-9778-6133</t>
        </is>
      </c>
      <c r="H4835" t="inlineStr">
        <is>
          <t>353라6683</t>
        </is>
      </c>
      <c r="I4835" t="n">
        <v>24900000</v>
      </c>
      <c r="J4835" t="n">
        <v>0.067</v>
      </c>
      <c r="K4835" t="n">
        <v>1.1</v>
      </c>
      <c r="L4835" t="n">
        <v>0.4</v>
      </c>
      <c r="M4835" t="n">
        <v>0.7</v>
      </c>
      <c r="P4835" t="inlineStr">
        <is>
          <t>최혁</t>
        </is>
      </c>
      <c r="AB4835" t="inlineStr">
        <is>
          <t>엔카</t>
        </is>
      </c>
      <c r="AC4835" t="n">
        <v>273900</v>
      </c>
      <c r="AD4835" t="n">
        <v>99600</v>
      </c>
      <c r="AE4835" t="n">
        <v>174300</v>
      </c>
      <c r="AF4835" t="n">
        <v>249000</v>
      </c>
      <c r="AG4835" t="n">
        <v>96313.2</v>
      </c>
      <c r="AH4835" t="n">
        <v>152686.8</v>
      </c>
      <c r="AI4835" t="n">
        <v>0</v>
      </c>
    </row>
    <row r="4836">
      <c r="A4836" t="inlineStr">
        <is>
          <t>5월</t>
        </is>
      </c>
      <c r="B4836" t="inlineStr">
        <is>
          <t>22주차</t>
        </is>
      </c>
      <c r="C4836" t="inlineStr">
        <is>
          <t>IM</t>
        </is>
      </c>
      <c r="D4836" s="28" t="n">
        <v>46172</v>
      </c>
      <c r="E4836" t="inlineStr">
        <is>
          <t>IM캐피탈</t>
        </is>
      </c>
      <c r="F4836" t="inlineStr">
        <is>
          <t>유진희</t>
        </is>
      </c>
      <c r="G4836" t="inlineStr">
        <is>
          <t>010-3682-0828</t>
        </is>
      </c>
      <c r="H4836" t="inlineStr">
        <is>
          <t>252구4695</t>
        </is>
      </c>
      <c r="I4836" t="n">
        <v>56000000</v>
      </c>
      <c r="J4836" t="n">
        <v>0.049</v>
      </c>
      <c r="K4836" t="n">
        <v>1.1</v>
      </c>
      <c r="L4836" t="n">
        <v>0.5</v>
      </c>
      <c r="M4836" t="n">
        <v>0.6</v>
      </c>
      <c r="P4836" t="inlineStr">
        <is>
          <t>임대경</t>
        </is>
      </c>
      <c r="Q4836" t="inlineStr">
        <is>
          <t>부대비용 추가진행</t>
        </is>
      </c>
      <c r="AB4836" t="inlineStr">
        <is>
          <t>엔카</t>
        </is>
      </c>
      <c r="AC4836" t="n">
        <v>616000</v>
      </c>
      <c r="AD4836" t="n">
        <v>280000</v>
      </c>
      <c r="AE4836" t="n">
        <v>336000</v>
      </c>
      <c r="AF4836" t="n">
        <v>560000</v>
      </c>
      <c r="AG4836" t="n">
        <v>270760</v>
      </c>
      <c r="AH4836" t="n">
        <v>289240</v>
      </c>
      <c r="AI4836" t="n">
        <v>0</v>
      </c>
    </row>
    <row r="4837">
      <c r="A4837" t="inlineStr">
        <is>
          <t>5월</t>
        </is>
      </c>
      <c r="B4837" t="inlineStr">
        <is>
          <t>22주차</t>
        </is>
      </c>
      <c r="C4837" t="inlineStr">
        <is>
          <t>EP</t>
        </is>
      </c>
      <c r="D4837" s="28" t="n">
        <v>46171</v>
      </c>
      <c r="E4837" t="inlineStr">
        <is>
          <t>현대EP</t>
        </is>
      </c>
      <c r="F4837" t="inlineStr">
        <is>
          <t>김선호</t>
        </is>
      </c>
      <c r="G4837" t="inlineStr">
        <is>
          <t>010-9868-9773</t>
        </is>
      </c>
      <c r="H4837" t="inlineStr">
        <is>
          <t>166소9012</t>
        </is>
      </c>
      <c r="I4837" t="n">
        <v>12900000</v>
      </c>
      <c r="J4837" t="n">
        <v>0.07099999999999999</v>
      </c>
      <c r="K4837" t="n">
        <v>1.76</v>
      </c>
      <c r="L4837" t="n">
        <v>0.14</v>
      </c>
      <c r="M4837" t="n">
        <v>1.62</v>
      </c>
      <c r="P4837" t="inlineStr">
        <is>
          <t>김나윤</t>
        </is>
      </c>
      <c r="AB4837" t="inlineStr">
        <is>
          <t>홈서비스</t>
        </is>
      </c>
      <c r="AC4837" t="n">
        <v>227040</v>
      </c>
      <c r="AD4837" t="n">
        <v>18060</v>
      </c>
      <c r="AE4837" t="n">
        <v>208980</v>
      </c>
      <c r="AF4837" t="n">
        <v>206400</v>
      </c>
      <c r="AG4837" t="n">
        <v>17464.02</v>
      </c>
      <c r="AH4837" t="n">
        <v>188935.98</v>
      </c>
      <c r="AI4837" t="n">
        <v>0</v>
      </c>
    </row>
    <row r="4838">
      <c r="A4838" t="inlineStr">
        <is>
          <t>5월</t>
        </is>
      </c>
      <c r="B4838" t="inlineStr">
        <is>
          <t>22주차</t>
        </is>
      </c>
      <c r="C4838" t="inlineStr">
        <is>
          <t>EP</t>
        </is>
      </c>
      <c r="D4838" s="28" t="n">
        <v>46171</v>
      </c>
      <c r="E4838" t="inlineStr">
        <is>
          <t>현대EP</t>
        </is>
      </c>
      <c r="F4838" t="inlineStr">
        <is>
          <t>김호성</t>
        </is>
      </c>
      <c r="G4838" t="inlineStr">
        <is>
          <t>010-7110-9009</t>
        </is>
      </c>
      <c r="H4838" t="inlineStr">
        <is>
          <t>80나4158</t>
        </is>
      </c>
      <c r="I4838" t="n">
        <v>20500000</v>
      </c>
      <c r="J4838" t="n">
        <v>0.095</v>
      </c>
      <c r="K4838" t="n">
        <v>1.76</v>
      </c>
      <c r="L4838" t="n">
        <v>0.14</v>
      </c>
      <c r="M4838" t="n">
        <v>1.62</v>
      </c>
      <c r="P4838" t="inlineStr">
        <is>
          <t>김수연</t>
        </is>
      </c>
      <c r="AB4838" t="inlineStr">
        <is>
          <t>홈서비스</t>
        </is>
      </c>
      <c r="AC4838" t="n">
        <v>360800</v>
      </c>
      <c r="AD4838" t="n">
        <v>28700</v>
      </c>
      <c r="AE4838" t="n">
        <v>332100</v>
      </c>
      <c r="AF4838" t="n">
        <v>328000</v>
      </c>
      <c r="AG4838" t="n">
        <v>27752.9</v>
      </c>
      <c r="AH4838" t="n">
        <v>300247.1</v>
      </c>
      <c r="AI4838" t="n">
        <v>0</v>
      </c>
    </row>
    <row r="4839">
      <c r="A4839" t="inlineStr">
        <is>
          <t>5월</t>
        </is>
      </c>
      <c r="B4839" t="inlineStr">
        <is>
          <t>22주차</t>
        </is>
      </c>
      <c r="C4839" t="inlineStr">
        <is>
          <t>EP</t>
        </is>
      </c>
      <c r="D4839" s="28" t="n">
        <v>46171</v>
      </c>
      <c r="E4839" t="inlineStr">
        <is>
          <t>현대EP</t>
        </is>
      </c>
      <c r="F4839" t="inlineStr">
        <is>
          <t>변다빈</t>
        </is>
      </c>
      <c r="G4839" t="inlineStr">
        <is>
          <t>010-9250-8354</t>
        </is>
      </c>
      <c r="H4839" t="inlineStr">
        <is>
          <t>306저5269</t>
        </is>
      </c>
      <c r="I4839" t="n">
        <v>36900000</v>
      </c>
      <c r="J4839" t="n">
        <v>0.06900000000000001</v>
      </c>
      <c r="K4839" t="n">
        <v>1.76</v>
      </c>
      <c r="L4839" t="n">
        <v>0.14</v>
      </c>
      <c r="M4839" t="n">
        <v>1.62</v>
      </c>
      <c r="P4839" t="inlineStr">
        <is>
          <t>김나윤</t>
        </is>
      </c>
      <c r="AB4839" t="inlineStr">
        <is>
          <t>홈서비스</t>
        </is>
      </c>
      <c r="AC4839" t="n">
        <v>649440</v>
      </c>
      <c r="AD4839" t="n">
        <v>51660</v>
      </c>
      <c r="AE4839" t="n">
        <v>597780</v>
      </c>
      <c r="AF4839" t="n">
        <v>590400</v>
      </c>
      <c r="AG4839" t="n">
        <v>49955.22</v>
      </c>
      <c r="AH4839" t="n">
        <v>540444.78</v>
      </c>
      <c r="AI4839" t="n">
        <v>0</v>
      </c>
    </row>
    <row r="4840">
      <c r="A4840" t="inlineStr">
        <is>
          <t>5월</t>
        </is>
      </c>
      <c r="B4840" t="inlineStr">
        <is>
          <t>22주차</t>
        </is>
      </c>
      <c r="C4840" t="inlineStr">
        <is>
          <t>EP</t>
        </is>
      </c>
      <c r="D4840" s="28" t="n">
        <v>46171</v>
      </c>
      <c r="E4840" t="inlineStr">
        <is>
          <t>현대EP</t>
        </is>
      </c>
      <c r="F4840" t="inlineStr">
        <is>
          <t>이명연</t>
        </is>
      </c>
      <c r="G4840" t="inlineStr">
        <is>
          <t>010-9725-3562</t>
        </is>
      </c>
      <c r="H4840" t="inlineStr">
        <is>
          <t>83노8747</t>
        </is>
      </c>
      <c r="I4840" t="n">
        <v>10000000</v>
      </c>
      <c r="J4840" t="n">
        <v>0.07099999999999999</v>
      </c>
      <c r="K4840" t="n">
        <v>1.76</v>
      </c>
      <c r="L4840" t="n">
        <v>0.14</v>
      </c>
      <c r="M4840" t="n">
        <v>1.62</v>
      </c>
      <c r="P4840" t="inlineStr">
        <is>
          <t>김수연</t>
        </is>
      </c>
      <c r="AB4840" t="inlineStr">
        <is>
          <t>홈서비스</t>
        </is>
      </c>
      <c r="AC4840" t="n">
        <v>176000</v>
      </c>
      <c r="AD4840" t="n">
        <v>14000</v>
      </c>
      <c r="AE4840" t="n">
        <v>162000</v>
      </c>
      <c r="AF4840" t="n">
        <v>160000</v>
      </c>
      <c r="AG4840" t="n">
        <v>13538</v>
      </c>
      <c r="AH4840" t="n">
        <v>146462</v>
      </c>
      <c r="AI4840" t="n">
        <v>0</v>
      </c>
    </row>
    <row r="4841">
      <c r="A4841" t="inlineStr">
        <is>
          <t>5월</t>
        </is>
      </c>
      <c r="B4841" t="inlineStr">
        <is>
          <t>22주차</t>
        </is>
      </c>
      <c r="C4841" t="inlineStr">
        <is>
          <t>EP</t>
        </is>
      </c>
      <c r="D4841" s="28" t="n">
        <v>46171</v>
      </c>
      <c r="E4841" t="inlineStr">
        <is>
          <t>현대EP</t>
        </is>
      </c>
      <c r="F4841" t="inlineStr">
        <is>
          <t>이영열</t>
        </is>
      </c>
      <c r="G4841" t="inlineStr">
        <is>
          <t>010-8839-2905</t>
        </is>
      </c>
      <c r="H4841" t="inlineStr">
        <is>
          <t>258두4073</t>
        </is>
      </c>
      <c r="I4841" t="n">
        <v>27500000</v>
      </c>
      <c r="J4841" t="n">
        <v>0.075</v>
      </c>
      <c r="K4841" t="n">
        <v>1.76</v>
      </c>
      <c r="L4841" t="n">
        <v>0.14</v>
      </c>
      <c r="M4841" t="n">
        <v>1.62</v>
      </c>
      <c r="P4841" t="inlineStr">
        <is>
          <t>황채이</t>
        </is>
      </c>
      <c r="AB4841" t="inlineStr">
        <is>
          <t>홈서비스</t>
        </is>
      </c>
      <c r="AC4841" t="n">
        <v>484000</v>
      </c>
      <c r="AD4841" t="n">
        <v>38500</v>
      </c>
      <c r="AE4841" t="n">
        <v>445500</v>
      </c>
      <c r="AF4841" t="n">
        <v>440000</v>
      </c>
      <c r="AG4841" t="n">
        <v>37229.5</v>
      </c>
      <c r="AH4841" t="n">
        <v>402770.5</v>
      </c>
      <c r="AI4841" t="n">
        <v>0</v>
      </c>
    </row>
    <row r="4842">
      <c r="A4842" t="inlineStr">
        <is>
          <t>5월</t>
        </is>
      </c>
      <c r="B4842" t="inlineStr">
        <is>
          <t>22주차</t>
        </is>
      </c>
      <c r="C4842" t="inlineStr">
        <is>
          <t>EP</t>
        </is>
      </c>
      <c r="D4842" s="28" t="n">
        <v>46171</v>
      </c>
      <c r="E4842" t="inlineStr">
        <is>
          <t>현대EP</t>
        </is>
      </c>
      <c r="F4842" t="inlineStr">
        <is>
          <t>조상우</t>
        </is>
      </c>
      <c r="G4842" t="inlineStr">
        <is>
          <t>010-5517-7211</t>
        </is>
      </c>
      <c r="H4842" t="inlineStr">
        <is>
          <t>333고3587</t>
        </is>
      </c>
      <c r="I4842" t="n">
        <v>24900000</v>
      </c>
      <c r="J4842" t="n">
        <v>0.06900000000000001</v>
      </c>
      <c r="K4842" t="n">
        <v>1.76</v>
      </c>
      <c r="L4842" t="n">
        <v>0.14</v>
      </c>
      <c r="M4842" t="n">
        <v>1.62</v>
      </c>
      <c r="P4842" t="inlineStr">
        <is>
          <t>정세빈</t>
        </is>
      </c>
      <c r="AB4842" t="inlineStr">
        <is>
          <t>홈서비스</t>
        </is>
      </c>
      <c r="AC4842" t="n">
        <v>438240</v>
      </c>
      <c r="AD4842" t="n">
        <v>34860</v>
      </c>
      <c r="AE4842" t="n">
        <v>403380</v>
      </c>
      <c r="AF4842" t="n">
        <v>398400</v>
      </c>
      <c r="AG4842" t="n">
        <v>33709.62</v>
      </c>
      <c r="AH4842" t="n">
        <v>364690.38</v>
      </c>
      <c r="AI4842" t="n">
        <v>0</v>
      </c>
    </row>
    <row r="4843">
      <c r="A4843" t="inlineStr">
        <is>
          <t>5월</t>
        </is>
      </c>
      <c r="B4843" t="inlineStr">
        <is>
          <t>22주차</t>
        </is>
      </c>
      <c r="C4843" t="inlineStr">
        <is>
          <t>EP</t>
        </is>
      </c>
      <c r="D4843" s="28" t="n">
        <v>46171</v>
      </c>
      <c r="E4843" t="inlineStr">
        <is>
          <t>현대EP</t>
        </is>
      </c>
      <c r="F4843" t="inlineStr">
        <is>
          <t>현병주</t>
        </is>
      </c>
      <c r="G4843" t="inlineStr">
        <is>
          <t>010-9432-9097</t>
        </is>
      </c>
      <c r="H4843" t="inlineStr">
        <is>
          <t>05가2450</t>
        </is>
      </c>
      <c r="I4843" t="n">
        <v>15000000</v>
      </c>
      <c r="J4843" t="n">
        <v>0.075</v>
      </c>
      <c r="K4843" t="n">
        <v>1.76</v>
      </c>
      <c r="L4843" t="n">
        <v>0.14</v>
      </c>
      <c r="M4843" t="n">
        <v>1.62</v>
      </c>
      <c r="P4843" t="inlineStr">
        <is>
          <t>황채이</t>
        </is>
      </c>
      <c r="AB4843" t="inlineStr">
        <is>
          <t>홈서비스</t>
        </is>
      </c>
      <c r="AC4843" t="n">
        <v>264000</v>
      </c>
      <c r="AD4843" t="n">
        <v>21000</v>
      </c>
      <c r="AE4843" t="n">
        <v>243000</v>
      </c>
      <c r="AF4843" t="n">
        <v>240000</v>
      </c>
      <c r="AG4843" t="n">
        <v>20307</v>
      </c>
      <c r="AH4843" t="n">
        <v>219693</v>
      </c>
      <c r="AI4843" t="n">
        <v>0</v>
      </c>
    </row>
    <row r="4844">
      <c r="A4844" t="inlineStr">
        <is>
          <t>5월</t>
        </is>
      </c>
      <c r="B4844" t="inlineStr">
        <is>
          <t>22주차</t>
        </is>
      </c>
      <c r="C4844" t="inlineStr">
        <is>
          <t>EP</t>
        </is>
      </c>
      <c r="D4844" s="28" t="n">
        <v>46171</v>
      </c>
      <c r="E4844" t="inlineStr">
        <is>
          <t>현대EP</t>
        </is>
      </c>
      <c r="F4844" t="inlineStr">
        <is>
          <t>홍성대</t>
        </is>
      </c>
      <c r="G4844" t="inlineStr">
        <is>
          <t>010-6865-1594</t>
        </is>
      </c>
      <c r="H4844" t="inlineStr">
        <is>
          <t>33수8976</t>
        </is>
      </c>
      <c r="I4844" t="n">
        <v>29600000</v>
      </c>
      <c r="J4844" t="n">
        <v>0.105</v>
      </c>
      <c r="K4844" t="n">
        <v>1.76</v>
      </c>
      <c r="L4844" t="n">
        <v>0.14</v>
      </c>
      <c r="M4844" t="n">
        <v>1.62</v>
      </c>
      <c r="P4844" t="inlineStr">
        <is>
          <t>박현민</t>
        </is>
      </c>
      <c r="AB4844" t="inlineStr">
        <is>
          <t>홈서비스</t>
        </is>
      </c>
      <c r="AC4844" t="n">
        <v>520960</v>
      </c>
      <c r="AD4844" t="n">
        <v>41440</v>
      </c>
      <c r="AE4844" t="n">
        <v>479520</v>
      </c>
      <c r="AF4844" t="n">
        <v>473600</v>
      </c>
      <c r="AG4844" t="n">
        <v>40072.48</v>
      </c>
      <c r="AH4844" t="n">
        <v>433527.52</v>
      </c>
    </row>
    <row r="4845">
      <c r="A4845" t="inlineStr">
        <is>
          <t>5월</t>
        </is>
      </c>
      <c r="B4845" t="inlineStr">
        <is>
          <t>22주차</t>
        </is>
      </c>
      <c r="C4845" t="inlineStr">
        <is>
          <t>EP</t>
        </is>
      </c>
      <c r="D4845" s="28" t="n">
        <v>46172</v>
      </c>
      <c r="E4845" t="inlineStr">
        <is>
          <t>현대EP</t>
        </is>
      </c>
      <c r="F4845" t="inlineStr">
        <is>
          <t>김효정</t>
        </is>
      </c>
      <c r="G4845" t="inlineStr">
        <is>
          <t>010-2224-4486</t>
        </is>
      </c>
      <c r="H4845" t="inlineStr">
        <is>
          <t>29누5450</t>
        </is>
      </c>
      <c r="I4845" t="n">
        <v>21500000</v>
      </c>
      <c r="J4845" t="n">
        <v>0.062</v>
      </c>
      <c r="K4845" t="n">
        <v>1.76</v>
      </c>
      <c r="L4845" t="n">
        <v>0.14</v>
      </c>
      <c r="M4845" t="n">
        <v>1.62</v>
      </c>
      <c r="P4845" t="inlineStr">
        <is>
          <t>황채이</t>
        </is>
      </c>
      <c r="AB4845" t="inlineStr">
        <is>
          <t>홈서비스</t>
        </is>
      </c>
      <c r="AC4845" t="n">
        <v>378400</v>
      </c>
      <c r="AD4845" t="n">
        <v>30100</v>
      </c>
      <c r="AE4845" t="n">
        <v>348300</v>
      </c>
      <c r="AF4845" t="n">
        <v>344000</v>
      </c>
      <c r="AG4845" t="n">
        <v>29106.7</v>
      </c>
      <c r="AH4845" t="n">
        <v>314893.3</v>
      </c>
      <c r="AI4845" t="n">
        <v>0</v>
      </c>
    </row>
    <row r="4846">
      <c r="A4846" t="inlineStr">
        <is>
          <t>6월</t>
        </is>
      </c>
      <c r="B4846" t="inlineStr">
        <is>
          <t>23주차</t>
        </is>
      </c>
      <c r="C4846" t="inlineStr">
        <is>
          <t>EP</t>
        </is>
      </c>
      <c r="D4846" s="28" t="n">
        <v>46174</v>
      </c>
      <c r="E4846" t="inlineStr">
        <is>
          <t>현대EP_fast</t>
        </is>
      </c>
      <c r="F4846" t="inlineStr">
        <is>
          <t>김정민</t>
        </is>
      </c>
      <c r="G4846" t="inlineStr">
        <is>
          <t>010-8109-3012</t>
        </is>
      </c>
      <c r="H4846" t="inlineStr">
        <is>
          <t>163로2060</t>
        </is>
      </c>
      <c r="I4846" t="n">
        <v>8000000</v>
      </c>
      <c r="J4846" t="n">
        <v>0.102</v>
      </c>
      <c r="K4846" t="n">
        <v>1.76</v>
      </c>
      <c r="L4846" t="n">
        <v>0.14</v>
      </c>
      <c r="M4846" t="n">
        <v>1.62</v>
      </c>
      <c r="P4846" t="inlineStr">
        <is>
          <t>김수연</t>
        </is>
      </c>
      <c r="Q4846" t="inlineStr">
        <is>
          <t>홈서비스 24개월/현금접수로 진행 /공동명의</t>
        </is>
      </c>
      <c r="AB4846" t="inlineStr">
        <is>
          <t>홈서비스</t>
        </is>
      </c>
      <c r="AC4846" t="n">
        <v>140800</v>
      </c>
      <c r="AD4846" t="n">
        <v>11200</v>
      </c>
      <c r="AE4846" t="n">
        <v>129600</v>
      </c>
      <c r="AF4846" t="n">
        <v>128000</v>
      </c>
      <c r="AG4846" t="n">
        <v>10830.4</v>
      </c>
      <c r="AH4846" t="n">
        <v>117169.6</v>
      </c>
      <c r="AI4846" t="n">
        <v>0</v>
      </c>
    </row>
    <row r="4847">
      <c r="A4847" t="inlineStr">
        <is>
          <t>6월</t>
        </is>
      </c>
      <c r="B4847" t="inlineStr">
        <is>
          <t>23주차</t>
        </is>
      </c>
      <c r="C4847" t="inlineStr">
        <is>
          <t>EP</t>
        </is>
      </c>
      <c r="D4847" s="28" t="n">
        <v>46174</v>
      </c>
      <c r="E4847" t="inlineStr">
        <is>
          <t>현대EP_fast</t>
        </is>
      </c>
      <c r="F4847" t="inlineStr">
        <is>
          <t>이영한</t>
        </is>
      </c>
      <c r="G4847" t="inlineStr">
        <is>
          <t>010-5211-7017</t>
        </is>
      </c>
      <c r="H4847" t="inlineStr">
        <is>
          <t>45조6403</t>
        </is>
      </c>
      <c r="I4847" t="n">
        <v>11900000</v>
      </c>
      <c r="J4847" t="n">
        <v>0.105</v>
      </c>
      <c r="K4847" t="n">
        <v>1.76</v>
      </c>
      <c r="L4847" t="n">
        <v>0.4</v>
      </c>
      <c r="M4847" t="n">
        <v>1.36</v>
      </c>
      <c r="P4847" t="inlineStr">
        <is>
          <t>최혁</t>
        </is>
      </c>
      <c r="AB4847" t="inlineStr">
        <is>
          <t>엔카</t>
        </is>
      </c>
      <c r="AC4847" t="n">
        <v>209440</v>
      </c>
      <c r="AD4847" t="n">
        <v>47600</v>
      </c>
      <c r="AE4847" t="n">
        <v>161840</v>
      </c>
      <c r="AF4847" t="n">
        <v>190400</v>
      </c>
      <c r="AG4847" t="n">
        <v>46029.2</v>
      </c>
      <c r="AH4847" t="n">
        <v>144370.8</v>
      </c>
      <c r="AI4847" t="n">
        <v>0</v>
      </c>
    </row>
    <row r="4848">
      <c r="A4848" t="inlineStr">
        <is>
          <t>6월</t>
        </is>
      </c>
      <c r="B4848" t="inlineStr">
        <is>
          <t>23주차</t>
        </is>
      </c>
      <c r="C4848" t="inlineStr">
        <is>
          <t>EP</t>
        </is>
      </c>
      <c r="D4848" s="28" t="n">
        <v>46174</v>
      </c>
      <c r="E4848" t="inlineStr">
        <is>
          <t>현대EP_fast</t>
        </is>
      </c>
      <c r="F4848" t="inlineStr">
        <is>
          <t>양탁형</t>
        </is>
      </c>
      <c r="G4848" t="inlineStr">
        <is>
          <t>010-4177-0898</t>
        </is>
      </c>
      <c r="H4848" t="inlineStr">
        <is>
          <t>15머2213</t>
        </is>
      </c>
      <c r="I4848" t="n">
        <v>4600000</v>
      </c>
      <c r="J4848" t="n">
        <v>0.109</v>
      </c>
      <c r="K4848" t="n">
        <v>1.76</v>
      </c>
      <c r="L4848" t="n">
        <v>0.14</v>
      </c>
      <c r="M4848" t="n">
        <v>1.62</v>
      </c>
      <c r="P4848" t="inlineStr">
        <is>
          <t>김수연</t>
        </is>
      </c>
      <c r="Q4848" t="inlineStr">
        <is>
          <t>홈서비스 60개월</t>
        </is>
      </c>
      <c r="AB4848" t="inlineStr">
        <is>
          <t>홈서비스</t>
        </is>
      </c>
      <c r="AC4848" t="n">
        <v>80960</v>
      </c>
      <c r="AD4848" t="n">
        <v>6440</v>
      </c>
      <c r="AE4848" t="n">
        <v>74520</v>
      </c>
      <c r="AF4848" t="n">
        <v>73600</v>
      </c>
      <c r="AG4848" t="n">
        <v>6227.48</v>
      </c>
      <c r="AH4848" t="n">
        <v>67372.52</v>
      </c>
      <c r="AI4848" t="n">
        <v>0</v>
      </c>
    </row>
    <row r="4849">
      <c r="A4849" t="inlineStr">
        <is>
          <t>6월</t>
        </is>
      </c>
      <c r="B4849" t="inlineStr">
        <is>
          <t>23주차</t>
        </is>
      </c>
      <c r="C4849" t="inlineStr">
        <is>
          <t>EP</t>
        </is>
      </c>
      <c r="D4849" s="28" t="n">
        <v>46174</v>
      </c>
      <c r="E4849" t="inlineStr">
        <is>
          <t>현대EP_fast</t>
        </is>
      </c>
      <c r="F4849" t="inlineStr">
        <is>
          <t>박기태</t>
        </is>
      </c>
      <c r="G4849" t="inlineStr">
        <is>
          <t>010-5833-4578</t>
        </is>
      </c>
      <c r="H4849" t="inlineStr">
        <is>
          <t>31주2398</t>
        </is>
      </c>
      <c r="I4849" t="n">
        <v>6700000</v>
      </c>
      <c r="J4849" t="n">
        <v>0.109</v>
      </c>
      <c r="K4849" t="n">
        <v>1.76</v>
      </c>
      <c r="L4849" t="n">
        <v>0.4</v>
      </c>
      <c r="M4849" t="n">
        <v>1.36</v>
      </c>
      <c r="P4849" t="inlineStr">
        <is>
          <t>박현민</t>
        </is>
      </c>
      <c r="AB4849" t="inlineStr">
        <is>
          <t>엔카</t>
        </is>
      </c>
      <c r="AC4849" t="n">
        <v>117920</v>
      </c>
      <c r="AD4849" t="n">
        <v>26800</v>
      </c>
      <c r="AE4849" t="n">
        <v>91120</v>
      </c>
      <c r="AF4849" t="n">
        <v>107200</v>
      </c>
      <c r="AG4849" t="n">
        <v>25915.6</v>
      </c>
      <c r="AH4849" t="n">
        <v>81284.39999999999</v>
      </c>
      <c r="AI4849" t="n">
        <v>0</v>
      </c>
    </row>
    <row r="4850">
      <c r="A4850" t="inlineStr">
        <is>
          <t>6월</t>
        </is>
      </c>
      <c r="B4850" t="inlineStr">
        <is>
          <t>23주차</t>
        </is>
      </c>
      <c r="C4850" t="inlineStr">
        <is>
          <t>WC</t>
        </is>
      </c>
      <c r="D4850" s="28" t="n">
        <v>46174</v>
      </c>
      <c r="E4850" t="inlineStr">
        <is>
          <t>웰컴저축은행</t>
        </is>
      </c>
      <c r="F4850" t="inlineStr">
        <is>
          <t>김일연</t>
        </is>
      </c>
      <c r="G4850" t="inlineStr">
        <is>
          <t>010-5781-7452</t>
        </is>
      </c>
      <c r="H4850" t="inlineStr">
        <is>
          <t>108고3014</t>
        </is>
      </c>
      <c r="I4850" t="n">
        <v>17200000</v>
      </c>
      <c r="J4850" t="n">
        <v>0.154</v>
      </c>
      <c r="K4850" t="n">
        <v>2.2</v>
      </c>
      <c r="L4850" t="n">
        <v>0.14</v>
      </c>
      <c r="M4850" t="n">
        <v>2.06</v>
      </c>
      <c r="P4850" t="inlineStr">
        <is>
          <t>박현민</t>
        </is>
      </c>
      <c r="Q4850" t="inlineStr">
        <is>
          <t>홈서비스 60개월</t>
        </is>
      </c>
      <c r="AB4850" t="inlineStr">
        <is>
          <t>홈서비스</t>
        </is>
      </c>
      <c r="AC4850" t="n">
        <v>378400</v>
      </c>
      <c r="AD4850" t="n">
        <v>24080</v>
      </c>
      <c r="AE4850" t="n">
        <v>354320</v>
      </c>
      <c r="AF4850" t="n">
        <v>344000</v>
      </c>
      <c r="AG4850" t="n">
        <v>23285.36</v>
      </c>
      <c r="AH4850" t="n">
        <v>320714.64</v>
      </c>
      <c r="AI4850" t="n">
        <v>0</v>
      </c>
    </row>
    <row r="4851">
      <c r="A4851" t="inlineStr">
        <is>
          <t>6월</t>
        </is>
      </c>
      <c r="B4851" t="inlineStr">
        <is>
          <t>23주차</t>
        </is>
      </c>
      <c r="C4851" t="inlineStr">
        <is>
          <t>EP</t>
        </is>
      </c>
      <c r="D4851" s="28" t="n">
        <v>46174</v>
      </c>
      <c r="E4851" t="inlineStr">
        <is>
          <t>현대EP_fast</t>
        </is>
      </c>
      <c r="F4851" t="inlineStr">
        <is>
          <t>이동호</t>
        </is>
      </c>
      <c r="G4851" t="inlineStr">
        <is>
          <t>010-8834-2624</t>
        </is>
      </c>
      <c r="H4851" t="inlineStr">
        <is>
          <t>168러8599</t>
        </is>
      </c>
      <c r="I4851" t="n">
        <v>23400000</v>
      </c>
      <c r="J4851" t="n">
        <v>0.06900000000000001</v>
      </c>
      <c r="K4851" t="n">
        <v>1.76</v>
      </c>
      <c r="L4851" t="n">
        <v>0.14</v>
      </c>
      <c r="M4851" t="n">
        <v>1.62</v>
      </c>
      <c r="P4851" t="inlineStr">
        <is>
          <t>정세빈</t>
        </is>
      </c>
      <c r="Q4851" t="inlineStr">
        <is>
          <t>홈서비스 60개월</t>
        </is>
      </c>
      <c r="AB4851" t="inlineStr">
        <is>
          <t>홈서비스</t>
        </is>
      </c>
      <c r="AC4851" t="n">
        <v>411840</v>
      </c>
      <c r="AD4851" t="n">
        <v>32760</v>
      </c>
      <c r="AE4851" t="n">
        <v>379080</v>
      </c>
      <c r="AF4851" t="n">
        <v>374400</v>
      </c>
      <c r="AG4851" t="n">
        <v>31678.92</v>
      </c>
      <c r="AH4851" t="n">
        <v>342721.08</v>
      </c>
      <c r="AI4851" t="n">
        <v>0</v>
      </c>
    </row>
    <row r="4852">
      <c r="A4852" t="inlineStr">
        <is>
          <t>6월</t>
        </is>
      </c>
      <c r="B4852" t="inlineStr">
        <is>
          <t>23주차</t>
        </is>
      </c>
      <c r="C4852" t="inlineStr">
        <is>
          <t>EP</t>
        </is>
      </c>
      <c r="D4852" s="28" t="n">
        <v>46174</v>
      </c>
      <c r="E4852" t="inlineStr">
        <is>
          <t>현대EP_fast</t>
        </is>
      </c>
      <c r="F4852" t="inlineStr">
        <is>
          <t>임재형</t>
        </is>
      </c>
      <c r="G4852" t="inlineStr">
        <is>
          <t>010-9459-7585</t>
        </is>
      </c>
      <c r="H4852" t="inlineStr">
        <is>
          <t>180저8600</t>
        </is>
      </c>
      <c r="I4852" t="n">
        <v>27500000</v>
      </c>
      <c r="J4852" t="n">
        <v>0.06900000000000001</v>
      </c>
      <c r="K4852" t="n">
        <v>1.76</v>
      </c>
      <c r="L4852" t="n">
        <v>0.14</v>
      </c>
      <c r="M4852" t="n">
        <v>1.62</v>
      </c>
      <c r="P4852" t="inlineStr">
        <is>
          <t>김나윤</t>
        </is>
      </c>
      <c r="Q4852" t="inlineStr">
        <is>
          <t>홈서비스 60개월</t>
        </is>
      </c>
      <c r="AB4852" t="inlineStr">
        <is>
          <t>홈서비스</t>
        </is>
      </c>
      <c r="AC4852" t="n">
        <v>484000</v>
      </c>
      <c r="AD4852" t="n">
        <v>38500</v>
      </c>
      <c r="AE4852" t="n">
        <v>445500</v>
      </c>
      <c r="AF4852" t="n">
        <v>440000</v>
      </c>
      <c r="AG4852" t="n">
        <v>37229.5</v>
      </c>
      <c r="AH4852" t="n">
        <v>402770.5</v>
      </c>
    </row>
    <row r="4853">
      <c r="A4853" t="inlineStr">
        <is>
          <t>6월</t>
        </is>
      </c>
      <c r="B4853" t="inlineStr">
        <is>
          <t>23주차</t>
        </is>
      </c>
      <c r="C4853" t="inlineStr">
        <is>
          <t>EP</t>
        </is>
      </c>
      <c r="D4853" s="28" t="n">
        <v>46174</v>
      </c>
      <c r="E4853" t="inlineStr">
        <is>
          <t>현대EP_fast</t>
        </is>
      </c>
      <c r="F4853" t="inlineStr">
        <is>
          <t>한희정</t>
        </is>
      </c>
      <c r="G4853" t="inlineStr">
        <is>
          <t>010-9638-8827</t>
        </is>
      </c>
      <c r="H4853" t="inlineStr">
        <is>
          <t>391마4019</t>
        </is>
      </c>
      <c r="I4853" t="n">
        <v>30500000</v>
      </c>
      <c r="J4853" t="n">
        <v>0.104</v>
      </c>
      <c r="K4853" t="n">
        <v>1.76</v>
      </c>
      <c r="L4853" t="n">
        <v>0.4</v>
      </c>
      <c r="M4853" t="n">
        <v>1.36</v>
      </c>
      <c r="P4853" t="inlineStr">
        <is>
          <t>최혁</t>
        </is>
      </c>
      <c r="Q4853" t="inlineStr">
        <is>
          <t>공동명의</t>
        </is>
      </c>
      <c r="AB4853" t="inlineStr">
        <is>
          <t>엔카</t>
        </is>
      </c>
      <c r="AC4853" t="n">
        <v>536800</v>
      </c>
      <c r="AD4853" t="n">
        <v>122000</v>
      </c>
      <c r="AE4853" t="n">
        <v>414800</v>
      </c>
      <c r="AF4853" t="n">
        <v>488000</v>
      </c>
      <c r="AG4853" t="n">
        <v>117974</v>
      </c>
      <c r="AH4853" t="n">
        <v>370026</v>
      </c>
      <c r="AI4853" t="n">
        <v>0</v>
      </c>
    </row>
    <row r="4854">
      <c r="A4854" t="inlineStr">
        <is>
          <t>6월</t>
        </is>
      </c>
      <c r="B4854" t="inlineStr">
        <is>
          <t>23주차</t>
        </is>
      </c>
      <c r="C4854" t="inlineStr">
        <is>
          <t>EP</t>
        </is>
      </c>
      <c r="D4854" s="28" t="n">
        <v>46174</v>
      </c>
      <c r="E4854" t="inlineStr">
        <is>
          <t>제이비EP</t>
        </is>
      </c>
      <c r="F4854" t="inlineStr">
        <is>
          <t>김승윤</t>
        </is>
      </c>
      <c r="G4854" t="inlineStr">
        <is>
          <t>010-5028-0785</t>
        </is>
      </c>
      <c r="H4854" t="inlineStr">
        <is>
          <t>148마4007</t>
        </is>
      </c>
      <c r="I4854" t="n">
        <v>21400000</v>
      </c>
      <c r="J4854" t="n">
        <v>0.078</v>
      </c>
      <c r="K4854" t="n">
        <v>1.65</v>
      </c>
      <c r="L4854" t="n">
        <v>0.4</v>
      </c>
      <c r="M4854" t="n">
        <v>1.25</v>
      </c>
      <c r="P4854" t="inlineStr">
        <is>
          <t>최혁</t>
        </is>
      </c>
      <c r="Q4854" t="inlineStr">
        <is>
          <t>부대비용추가진행건</t>
        </is>
      </c>
      <c r="AB4854" t="inlineStr">
        <is>
          <t>엔카</t>
        </is>
      </c>
      <c r="AC4854" t="n">
        <v>353100</v>
      </c>
      <c r="AD4854" t="n">
        <v>85600</v>
      </c>
      <c r="AE4854" t="n">
        <v>267500</v>
      </c>
      <c r="AF4854" t="n">
        <v>321000</v>
      </c>
      <c r="AG4854" t="n">
        <v>82775.2</v>
      </c>
      <c r="AH4854" t="n">
        <v>238224.8</v>
      </c>
      <c r="AI4854" t="n">
        <v>0</v>
      </c>
    </row>
    <row r="4855">
      <c r="A4855" t="inlineStr">
        <is>
          <t>6월</t>
        </is>
      </c>
      <c r="B4855" t="inlineStr">
        <is>
          <t>23주차</t>
        </is>
      </c>
      <c r="C4855" t="inlineStr">
        <is>
          <t>EP</t>
        </is>
      </c>
      <c r="D4855" s="28" t="n">
        <v>46174</v>
      </c>
      <c r="E4855" t="inlineStr">
        <is>
          <t>현대EP_fast</t>
        </is>
      </c>
      <c r="F4855" t="inlineStr">
        <is>
          <t>류기현</t>
        </is>
      </c>
      <c r="G4855" t="inlineStr">
        <is>
          <t>010-5673-0943</t>
        </is>
      </c>
      <c r="H4855" t="inlineStr">
        <is>
          <t>284저6433</t>
        </is>
      </c>
      <c r="I4855" t="n">
        <v>10900000</v>
      </c>
      <c r="J4855" t="n">
        <v>0.109</v>
      </c>
      <c r="K4855" t="n">
        <v>1.76</v>
      </c>
      <c r="L4855" t="n">
        <v>0.14</v>
      </c>
      <c r="M4855" t="n">
        <v>1.62</v>
      </c>
      <c r="P4855" t="inlineStr">
        <is>
          <t>김수연</t>
        </is>
      </c>
      <c r="Q4855" t="inlineStr">
        <is>
          <t>홈서비스 48개월</t>
        </is>
      </c>
      <c r="AB4855" t="inlineStr">
        <is>
          <t>홈서비스</t>
        </is>
      </c>
      <c r="AC4855" t="n">
        <v>191840</v>
      </c>
      <c r="AD4855" t="n">
        <v>15260</v>
      </c>
      <c r="AE4855" t="n">
        <v>176580</v>
      </c>
      <c r="AF4855" t="n">
        <v>174400</v>
      </c>
      <c r="AG4855" t="n">
        <v>14756.42</v>
      </c>
      <c r="AH4855" t="n">
        <v>159643.58</v>
      </c>
    </row>
    <row r="4856">
      <c r="A4856" t="inlineStr">
        <is>
          <t>6월</t>
        </is>
      </c>
      <c r="B4856" t="inlineStr">
        <is>
          <t>23주차</t>
        </is>
      </c>
      <c r="C4856" t="inlineStr">
        <is>
          <t>EP</t>
        </is>
      </c>
      <c r="D4856" s="28" t="n">
        <v>46174</v>
      </c>
      <c r="E4856" t="inlineStr">
        <is>
          <t>현대EP_fast</t>
        </is>
      </c>
      <c r="F4856" t="inlineStr">
        <is>
          <t>최명상</t>
        </is>
      </c>
      <c r="G4856" t="inlineStr">
        <is>
          <t>010-5202-1174</t>
        </is>
      </c>
      <c r="H4856" t="inlineStr">
        <is>
          <t>258더9554</t>
        </is>
      </c>
      <c r="I4856" t="n">
        <v>5500000</v>
      </c>
      <c r="J4856" t="n">
        <v>0.102</v>
      </c>
      <c r="K4856" t="n">
        <v>1.76</v>
      </c>
      <c r="L4856" t="n">
        <v>0.14</v>
      </c>
      <c r="M4856" t="n">
        <v>1.62</v>
      </c>
      <c r="P4856" t="inlineStr">
        <is>
          <t>김나윤</t>
        </is>
      </c>
      <c r="Q4856" t="inlineStr">
        <is>
          <t>홈서비스 24개월</t>
        </is>
      </c>
      <c r="AB4856" t="inlineStr">
        <is>
          <t>홈서비스</t>
        </is>
      </c>
      <c r="AC4856" t="n">
        <v>96800</v>
      </c>
      <c r="AD4856" t="n">
        <v>7700</v>
      </c>
      <c r="AE4856" t="n">
        <v>89100</v>
      </c>
      <c r="AF4856" t="n">
        <v>88000</v>
      </c>
      <c r="AG4856" t="n">
        <v>7445.9</v>
      </c>
      <c r="AH4856" t="n">
        <v>80554.10000000001</v>
      </c>
    </row>
    <row r="4857">
      <c r="A4857" t="inlineStr">
        <is>
          <t>6월</t>
        </is>
      </c>
      <c r="B4857" t="inlineStr">
        <is>
          <t>23주차</t>
        </is>
      </c>
      <c r="C4857" t="inlineStr">
        <is>
          <t>IM</t>
        </is>
      </c>
      <c r="D4857" s="28" t="n">
        <v>46174</v>
      </c>
      <c r="E4857" t="inlineStr">
        <is>
          <t>IM캐피탈</t>
        </is>
      </c>
      <c r="F4857" t="inlineStr">
        <is>
          <t>박원석</t>
        </is>
      </c>
      <c r="G4857" t="inlineStr">
        <is>
          <t>010-2411-3611</t>
        </is>
      </c>
      <c r="H4857" t="inlineStr">
        <is>
          <t>350너7190</t>
        </is>
      </c>
      <c r="I4857" t="n">
        <v>22000000</v>
      </c>
      <c r="J4857" t="n">
        <v>0.049</v>
      </c>
      <c r="K4857" t="n">
        <v>1.1</v>
      </c>
      <c r="L4857" t="n">
        <v>0.4</v>
      </c>
      <c r="M4857" t="n">
        <v>0.7</v>
      </c>
      <c r="P4857" t="inlineStr">
        <is>
          <t>구성완</t>
        </is>
      </c>
      <c r="AB4857" t="inlineStr">
        <is>
          <t>엔카</t>
        </is>
      </c>
      <c r="AC4857" t="n">
        <v>242000</v>
      </c>
      <c r="AD4857" t="n">
        <v>88000</v>
      </c>
      <c r="AE4857" t="n">
        <v>154000</v>
      </c>
      <c r="AF4857" t="n">
        <v>220000</v>
      </c>
      <c r="AG4857" t="n">
        <v>85096</v>
      </c>
      <c r="AH4857" t="n">
        <v>134904</v>
      </c>
    </row>
    <row r="4858">
      <c r="A4858" t="inlineStr">
        <is>
          <t>6월</t>
        </is>
      </c>
      <c r="B4858" t="inlineStr">
        <is>
          <t>23주차</t>
        </is>
      </c>
      <c r="C4858" t="inlineStr">
        <is>
          <t>IM</t>
        </is>
      </c>
      <c r="D4858" s="28" t="n">
        <v>46174</v>
      </c>
      <c r="E4858" t="inlineStr">
        <is>
          <t>IM캐피탈</t>
        </is>
      </c>
      <c r="F4858" t="inlineStr">
        <is>
          <t>김경태</t>
        </is>
      </c>
      <c r="G4858" t="inlineStr">
        <is>
          <t>010-7212-5252</t>
        </is>
      </c>
      <c r="H4858" t="inlineStr">
        <is>
          <t xml:space="preserve"> 22라1244</t>
        </is>
      </c>
      <c r="I4858" t="n">
        <v>10200000</v>
      </c>
      <c r="J4858" t="n">
        <v>0.049</v>
      </c>
      <c r="K4858" t="n">
        <v>1.1</v>
      </c>
      <c r="L4858" t="n">
        <v>0.4</v>
      </c>
      <c r="M4858" t="n">
        <v>0.7</v>
      </c>
      <c r="P4858" t="inlineStr">
        <is>
          <t>구성완</t>
        </is>
      </c>
      <c r="AB4858" t="inlineStr">
        <is>
          <t>엔카</t>
        </is>
      </c>
      <c r="AC4858" t="n">
        <v>112200</v>
      </c>
      <c r="AD4858" t="n">
        <v>40800</v>
      </c>
      <c r="AE4858" t="n">
        <v>71400</v>
      </c>
      <c r="AF4858" t="n">
        <v>102000</v>
      </c>
      <c r="AG4858" t="n">
        <v>39453.6</v>
      </c>
      <c r="AH4858" t="n">
        <v>62546.4</v>
      </c>
      <c r="AI4858" t="n">
        <v>0</v>
      </c>
    </row>
    <row r="4859">
      <c r="A4859" t="inlineStr">
        <is>
          <t>6월</t>
        </is>
      </c>
      <c r="B4859" t="inlineStr">
        <is>
          <t>23주차</t>
        </is>
      </c>
      <c r="C4859" t="inlineStr">
        <is>
          <t>EP</t>
        </is>
      </c>
      <c r="D4859" s="28" t="n">
        <v>46174</v>
      </c>
      <c r="E4859" t="inlineStr">
        <is>
          <t>현대EP_fast</t>
        </is>
      </c>
      <c r="F4859" t="inlineStr">
        <is>
          <t>김성범</t>
        </is>
      </c>
      <c r="G4859" t="inlineStr">
        <is>
          <t>010-5478-0840</t>
        </is>
      </c>
      <c r="H4859" t="inlineStr">
        <is>
          <t>57서6166</t>
        </is>
      </c>
      <c r="I4859" t="n">
        <v>5500000</v>
      </c>
      <c r="J4859" t="n">
        <v>0.129</v>
      </c>
      <c r="K4859" t="n">
        <v>1.76</v>
      </c>
      <c r="L4859" t="n">
        <v>0.14</v>
      </c>
      <c r="M4859" t="n">
        <v>1.62</v>
      </c>
      <c r="P4859" t="inlineStr">
        <is>
          <t>김수연</t>
        </is>
      </c>
      <c r="Q4859" t="inlineStr">
        <is>
          <t>홈서비스 48개월</t>
        </is>
      </c>
      <c r="AB4859" t="inlineStr">
        <is>
          <t>홈서비스</t>
        </is>
      </c>
      <c r="AC4859" t="n">
        <v>96800</v>
      </c>
      <c r="AD4859" t="n">
        <v>7700</v>
      </c>
      <c r="AE4859" t="n">
        <v>89100</v>
      </c>
      <c r="AF4859" t="n">
        <v>88000</v>
      </c>
      <c r="AG4859" t="n">
        <v>7445.9</v>
      </c>
      <c r="AH4859" t="n">
        <v>80554.10000000001</v>
      </c>
      <c r="AI4859" t="n">
        <v>0</v>
      </c>
    </row>
    <row r="4860">
      <c r="A4860" t="inlineStr">
        <is>
          <t>6월</t>
        </is>
      </c>
      <c r="B4860" t="inlineStr">
        <is>
          <t>23주차</t>
        </is>
      </c>
      <c r="C4860" t="inlineStr">
        <is>
          <t>EP</t>
        </is>
      </c>
      <c r="D4860" s="28" t="n">
        <v>46174</v>
      </c>
      <c r="E4860" t="inlineStr">
        <is>
          <t>현대EP_fast</t>
        </is>
      </c>
      <c r="F4860" t="inlineStr">
        <is>
          <t>정승한</t>
        </is>
      </c>
      <c r="G4860" t="inlineStr">
        <is>
          <t>010-2490-4453</t>
        </is>
      </c>
      <c r="H4860" t="inlineStr">
        <is>
          <t>10저3634</t>
        </is>
      </c>
      <c r="I4860" t="n">
        <v>6400000</v>
      </c>
      <c r="J4860" t="n">
        <v>0.093</v>
      </c>
      <c r="K4860" t="n">
        <v>1.76</v>
      </c>
      <c r="L4860" t="n">
        <v>0.14</v>
      </c>
      <c r="M4860" t="n">
        <v>1.62</v>
      </c>
      <c r="P4860" t="inlineStr">
        <is>
          <t>김수연</t>
        </is>
      </c>
      <c r="Q4860" t="inlineStr">
        <is>
          <t>홈서비스 60개월</t>
        </is>
      </c>
      <c r="AB4860" t="inlineStr">
        <is>
          <t>홈서비스</t>
        </is>
      </c>
      <c r="AC4860" t="n">
        <v>112640</v>
      </c>
      <c r="AD4860" t="n">
        <v>8960</v>
      </c>
      <c r="AE4860" t="n">
        <v>103680</v>
      </c>
      <c r="AF4860" t="n">
        <v>102400</v>
      </c>
      <c r="AG4860" t="n">
        <v>8664.32</v>
      </c>
      <c r="AH4860" t="n">
        <v>93735.67999999999</v>
      </c>
      <c r="AI4860" t="n">
        <v>0</v>
      </c>
    </row>
    <row r="4861">
      <c r="A4861" t="inlineStr">
        <is>
          <t>6월</t>
        </is>
      </c>
      <c r="B4861" t="inlineStr">
        <is>
          <t>23주차</t>
        </is>
      </c>
      <c r="C4861" t="inlineStr">
        <is>
          <t>EP</t>
        </is>
      </c>
      <c r="D4861" s="28" t="n">
        <v>46174</v>
      </c>
      <c r="E4861" t="inlineStr">
        <is>
          <t>현대EP_fast</t>
        </is>
      </c>
      <c r="F4861" t="inlineStr">
        <is>
          <t>정문기</t>
        </is>
      </c>
      <c r="G4861" t="inlineStr">
        <is>
          <t>010-2787-2771</t>
        </is>
      </c>
      <c r="H4861" t="inlineStr">
        <is>
          <t>158누4348</t>
        </is>
      </c>
      <c r="I4861" t="n">
        <v>6900000</v>
      </c>
      <c r="J4861" t="n">
        <v>0.093</v>
      </c>
      <c r="K4861" t="n">
        <v>1.76</v>
      </c>
      <c r="L4861" t="n">
        <v>0.14</v>
      </c>
      <c r="M4861" t="n">
        <v>1.62</v>
      </c>
      <c r="P4861" t="inlineStr">
        <is>
          <t>최혁</t>
        </is>
      </c>
      <c r="Q4861" t="inlineStr">
        <is>
          <t>홈서비스36개월</t>
        </is>
      </c>
      <c r="AB4861" t="inlineStr">
        <is>
          <t>홈서비스</t>
        </is>
      </c>
      <c r="AC4861" t="n">
        <v>121440</v>
      </c>
      <c r="AD4861" t="n">
        <v>9660</v>
      </c>
      <c r="AE4861" t="n">
        <v>111780</v>
      </c>
      <c r="AF4861" t="n">
        <v>110400</v>
      </c>
      <c r="AG4861" t="n">
        <v>9341.219999999999</v>
      </c>
      <c r="AH4861" t="n">
        <v>101058.78</v>
      </c>
    </row>
    <row r="4862">
      <c r="A4862" t="inlineStr">
        <is>
          <t>6월</t>
        </is>
      </c>
      <c r="B4862" t="inlineStr">
        <is>
          <t>23주차</t>
        </is>
      </c>
      <c r="C4862" t="inlineStr">
        <is>
          <t>IM</t>
        </is>
      </c>
      <c r="D4862" s="28" t="n">
        <v>46174</v>
      </c>
      <c r="E4862" t="inlineStr">
        <is>
          <t>IM캐피탈</t>
        </is>
      </c>
      <c r="F4862" t="inlineStr">
        <is>
          <t>오서영</t>
        </is>
      </c>
      <c r="G4862" t="inlineStr">
        <is>
          <t>010-7979-7906</t>
        </is>
      </c>
      <c r="H4862" t="inlineStr">
        <is>
          <t>341소7336</t>
        </is>
      </c>
      <c r="I4862" t="n">
        <v>48000000</v>
      </c>
      <c r="J4862" t="n">
        <v>0.049</v>
      </c>
      <c r="K4862" t="n">
        <v>1.1</v>
      </c>
      <c r="L4862" t="n">
        <v>0.4</v>
      </c>
      <c r="M4862" t="n">
        <v>0.7</v>
      </c>
      <c r="P4862" t="inlineStr">
        <is>
          <t>장진경</t>
        </is>
      </c>
      <c r="AB4862" t="inlineStr">
        <is>
          <t>엔카</t>
        </is>
      </c>
      <c r="AC4862" t="n">
        <v>528000</v>
      </c>
      <c r="AD4862" t="n">
        <v>192000</v>
      </c>
      <c r="AE4862" t="n">
        <v>336000</v>
      </c>
      <c r="AF4862" t="n">
        <v>480000</v>
      </c>
      <c r="AG4862" t="n">
        <v>185664</v>
      </c>
      <c r="AH4862" t="n">
        <v>294336</v>
      </c>
      <c r="AI4862" t="n">
        <v>0</v>
      </c>
    </row>
    <row r="4863">
      <c r="A4863" t="inlineStr">
        <is>
          <t>6월</t>
        </is>
      </c>
      <c r="B4863" t="inlineStr">
        <is>
          <t>23주차</t>
        </is>
      </c>
      <c r="C4863" t="inlineStr">
        <is>
          <t>WC</t>
        </is>
      </c>
      <c r="D4863" s="28" t="n">
        <v>46174</v>
      </c>
      <c r="E4863" t="inlineStr">
        <is>
          <t>웰컴저축은행</t>
        </is>
      </c>
      <c r="F4863" t="inlineStr">
        <is>
          <t>박성규</t>
        </is>
      </c>
      <c r="G4863" t="inlineStr">
        <is>
          <t>010-2710-1283</t>
        </is>
      </c>
      <c r="H4863" t="inlineStr">
        <is>
          <t>13다1302</t>
        </is>
      </c>
      <c r="I4863" t="n">
        <v>13900000</v>
      </c>
      <c r="J4863" t="n">
        <v>0.154</v>
      </c>
      <c r="K4863" t="n">
        <v>2.2</v>
      </c>
      <c r="L4863" t="n">
        <v>0.14</v>
      </c>
      <c r="M4863" t="n">
        <v>2.06</v>
      </c>
      <c r="P4863" t="inlineStr">
        <is>
          <t>박현민</t>
        </is>
      </c>
      <c r="Q4863" t="inlineStr">
        <is>
          <t>홈서비스 60개월</t>
        </is>
      </c>
      <c r="AB4863" t="inlineStr">
        <is>
          <t>홈서비스</t>
        </is>
      </c>
      <c r="AC4863" t="n">
        <v>305800</v>
      </c>
      <c r="AD4863" t="n">
        <v>19460</v>
      </c>
      <c r="AE4863" t="n">
        <v>286340</v>
      </c>
      <c r="AF4863" t="n">
        <v>278000</v>
      </c>
      <c r="AG4863" t="n">
        <v>18817.82</v>
      </c>
      <c r="AH4863" t="n">
        <v>259182.18</v>
      </c>
      <c r="AI4863" t="n">
        <v>0</v>
      </c>
    </row>
    <row r="4864">
      <c r="A4864" t="inlineStr">
        <is>
          <t>6월</t>
        </is>
      </c>
      <c r="B4864" t="inlineStr">
        <is>
          <t>23주차</t>
        </is>
      </c>
      <c r="C4864" t="inlineStr">
        <is>
          <t>IM</t>
        </is>
      </c>
      <c r="D4864" s="28" t="n">
        <v>46174</v>
      </c>
      <c r="E4864" t="inlineStr">
        <is>
          <t>IM캐피탈</t>
        </is>
      </c>
      <c r="F4864" t="inlineStr">
        <is>
          <t>나현기</t>
        </is>
      </c>
      <c r="G4864" t="inlineStr">
        <is>
          <t>010-8305-0614</t>
        </is>
      </c>
      <c r="H4864" t="inlineStr">
        <is>
          <t>154도4028</t>
        </is>
      </c>
      <c r="I4864" t="n">
        <v>53900000</v>
      </c>
      <c r="J4864" t="n">
        <v>0.063</v>
      </c>
      <c r="K4864" t="n">
        <v>1.1</v>
      </c>
      <c r="L4864" t="n">
        <v>0.14</v>
      </c>
      <c r="M4864" t="n">
        <v>0.96</v>
      </c>
      <c r="P4864" t="inlineStr">
        <is>
          <t>정세빈</t>
        </is>
      </c>
      <c r="Q4864" t="inlineStr">
        <is>
          <t>홈서비스 60개월 / 공동명의</t>
        </is>
      </c>
      <c r="AB4864" t="inlineStr">
        <is>
          <t>홈서비스</t>
        </is>
      </c>
      <c r="AC4864" t="n">
        <v>592900</v>
      </c>
      <c r="AD4864" t="n">
        <v>75460</v>
      </c>
      <c r="AE4864" t="n">
        <v>517440</v>
      </c>
      <c r="AF4864" t="n">
        <v>539000</v>
      </c>
      <c r="AG4864" t="n">
        <v>72969.82000000001</v>
      </c>
      <c r="AH4864" t="n">
        <v>466030.18</v>
      </c>
      <c r="AI4864" t="n">
        <v>0</v>
      </c>
    </row>
    <row r="4865">
      <c r="A4865" t="inlineStr">
        <is>
          <t>6월</t>
        </is>
      </c>
      <c r="B4865" t="inlineStr">
        <is>
          <t>23주차</t>
        </is>
      </c>
      <c r="C4865" t="inlineStr">
        <is>
          <t>IM</t>
        </is>
      </c>
      <c r="D4865" s="28" t="n">
        <v>46174</v>
      </c>
      <c r="E4865" t="inlineStr">
        <is>
          <t>IM캐피탈</t>
        </is>
      </c>
      <c r="F4865" t="inlineStr">
        <is>
          <t>이현준</t>
        </is>
      </c>
      <c r="G4865" t="inlineStr">
        <is>
          <t>010-8120-2625</t>
        </is>
      </c>
      <c r="H4865" t="inlineStr">
        <is>
          <t>370무3747</t>
        </is>
      </c>
      <c r="I4865" t="n">
        <v>37000000</v>
      </c>
      <c r="J4865" t="n">
        <v>0.049</v>
      </c>
      <c r="K4865" t="n">
        <v>1.1</v>
      </c>
      <c r="L4865" t="n">
        <v>0.4</v>
      </c>
      <c r="M4865" t="n">
        <v>0.7</v>
      </c>
      <c r="P4865" t="inlineStr">
        <is>
          <t>장진경</t>
        </is>
      </c>
      <c r="AB4865" t="inlineStr">
        <is>
          <t>엔카</t>
        </is>
      </c>
      <c r="AC4865" t="n">
        <v>407000</v>
      </c>
      <c r="AD4865" t="n">
        <v>148000</v>
      </c>
      <c r="AE4865" t="n">
        <v>259000</v>
      </c>
      <c r="AF4865" t="n">
        <v>370000</v>
      </c>
      <c r="AG4865" t="n">
        <v>143116</v>
      </c>
      <c r="AH4865" t="n">
        <v>226884</v>
      </c>
    </row>
    <row r="4866">
      <c r="A4866" t="inlineStr">
        <is>
          <t>6월</t>
        </is>
      </c>
      <c r="B4866" t="inlineStr">
        <is>
          <t>23주차</t>
        </is>
      </c>
      <c r="C4866" t="inlineStr">
        <is>
          <t>IM</t>
        </is>
      </c>
      <c r="D4866" s="28" t="n">
        <v>46174</v>
      </c>
      <c r="E4866" t="inlineStr">
        <is>
          <t>IM캐피탈</t>
        </is>
      </c>
      <c r="F4866" t="inlineStr">
        <is>
          <t>박홍철</t>
        </is>
      </c>
      <c r="G4866" t="inlineStr">
        <is>
          <t>010-2580-3500</t>
        </is>
      </c>
      <c r="H4866" t="inlineStr">
        <is>
          <t>220누8351</t>
        </is>
      </c>
      <c r="I4866" t="n">
        <v>16000000</v>
      </c>
      <c r="J4866" t="n">
        <v>0.049</v>
      </c>
      <c r="K4866" t="n">
        <v>1.1</v>
      </c>
      <c r="L4866" t="n">
        <v>0.14</v>
      </c>
      <c r="M4866" t="n">
        <v>0.96</v>
      </c>
      <c r="P4866" t="inlineStr">
        <is>
          <t>김수연</t>
        </is>
      </c>
      <c r="Q4866" t="inlineStr">
        <is>
          <t>홈서비스36개월</t>
        </is>
      </c>
      <c r="AB4866" t="inlineStr">
        <is>
          <t>홈서비스</t>
        </is>
      </c>
      <c r="AC4866" t="n">
        <v>176000</v>
      </c>
      <c r="AD4866" t="n">
        <v>22400</v>
      </c>
      <c r="AE4866" t="n">
        <v>153600</v>
      </c>
      <c r="AF4866" t="n">
        <v>160000</v>
      </c>
      <c r="AG4866" t="n">
        <v>21660.8</v>
      </c>
      <c r="AH4866" t="n">
        <v>138339.2</v>
      </c>
      <c r="AI4866" t="n">
        <v>0</v>
      </c>
    </row>
    <row r="4867">
      <c r="A4867" t="inlineStr">
        <is>
          <t>6월</t>
        </is>
      </c>
      <c r="B4867" t="inlineStr">
        <is>
          <t>23주차</t>
        </is>
      </c>
      <c r="C4867" t="inlineStr">
        <is>
          <t>IM</t>
        </is>
      </c>
      <c r="D4867" s="28" t="n">
        <v>46174</v>
      </c>
      <c r="E4867" t="inlineStr">
        <is>
          <t>IM캐피탈</t>
        </is>
      </c>
      <c r="F4867" t="inlineStr">
        <is>
          <t>강구현</t>
        </is>
      </c>
      <c r="G4867" t="inlineStr">
        <is>
          <t>010-5484-7851</t>
        </is>
      </c>
      <c r="H4867" t="inlineStr">
        <is>
          <t>382어4718</t>
        </is>
      </c>
      <c r="I4867" t="n">
        <v>35000000</v>
      </c>
      <c r="J4867" t="n">
        <v>0.067</v>
      </c>
      <c r="K4867" t="n">
        <v>1.1</v>
      </c>
      <c r="L4867" t="n">
        <v>0.14</v>
      </c>
      <c r="M4867" t="n">
        <v>0.96</v>
      </c>
      <c r="P4867" t="inlineStr">
        <is>
          <t>정세빈</t>
        </is>
      </c>
      <c r="Q4867" t="inlineStr">
        <is>
          <t>홈서비스 60개월 / 부대비용추가대출</t>
        </is>
      </c>
      <c r="AB4867" t="inlineStr">
        <is>
          <t>홈서비스</t>
        </is>
      </c>
      <c r="AC4867" t="n">
        <v>385000</v>
      </c>
      <c r="AD4867" t="n">
        <v>49000</v>
      </c>
      <c r="AE4867" t="n">
        <v>336000</v>
      </c>
      <c r="AF4867" t="n">
        <v>350000</v>
      </c>
      <c r="AG4867" t="n">
        <v>47383</v>
      </c>
      <c r="AH4867" t="n">
        <v>302617</v>
      </c>
      <c r="AI4867" t="n">
        <v>0</v>
      </c>
    </row>
    <row r="4868">
      <c r="A4868" t="inlineStr">
        <is>
          <t>6월</t>
        </is>
      </c>
      <c r="B4868" t="inlineStr">
        <is>
          <t>23주차</t>
        </is>
      </c>
      <c r="C4868" t="inlineStr">
        <is>
          <t>IM</t>
        </is>
      </c>
      <c r="D4868" s="28" t="n">
        <v>46174</v>
      </c>
      <c r="E4868" t="inlineStr">
        <is>
          <t>IM캐피탈</t>
        </is>
      </c>
      <c r="F4868" t="inlineStr">
        <is>
          <t>김정구</t>
        </is>
      </c>
      <c r="G4868" t="inlineStr">
        <is>
          <t>010-3994-6385</t>
        </is>
      </c>
      <c r="H4868" t="inlineStr">
        <is>
          <t>289저7657</t>
        </is>
      </c>
      <c r="I4868" t="n">
        <v>20500000</v>
      </c>
      <c r="J4868" t="n">
        <v>0.07099999999999999</v>
      </c>
      <c r="K4868" t="n">
        <v>1.1</v>
      </c>
      <c r="L4868" t="n">
        <v>0.14</v>
      </c>
      <c r="M4868" t="n">
        <v>0.96</v>
      </c>
      <c r="P4868" t="inlineStr">
        <is>
          <t>장진경</t>
        </is>
      </c>
      <c r="Q4868" t="inlineStr">
        <is>
          <t>선상담 / 홈서비스 60개월 / 공동명의</t>
        </is>
      </c>
      <c r="AB4868" t="inlineStr">
        <is>
          <t>홈서비스</t>
        </is>
      </c>
      <c r="AC4868" t="n">
        <v>225500</v>
      </c>
      <c r="AD4868" t="n">
        <v>28700</v>
      </c>
      <c r="AE4868" t="n">
        <v>196800</v>
      </c>
      <c r="AF4868" t="n">
        <v>205000</v>
      </c>
      <c r="AG4868" t="n">
        <v>27752.9</v>
      </c>
      <c r="AH4868" t="n">
        <v>177247.1</v>
      </c>
      <c r="AI4868" t="n">
        <v>0</v>
      </c>
    </row>
    <row r="4869">
      <c r="A4869" t="inlineStr">
        <is>
          <t>6월</t>
        </is>
      </c>
      <c r="B4869" t="inlineStr">
        <is>
          <t>23주차</t>
        </is>
      </c>
      <c r="C4869" t="inlineStr">
        <is>
          <t>IM</t>
        </is>
      </c>
      <c r="D4869" s="28" t="n">
        <v>46174</v>
      </c>
      <c r="E4869" t="inlineStr">
        <is>
          <t>IM캐피탈</t>
        </is>
      </c>
      <c r="F4869" t="inlineStr">
        <is>
          <t>홍미숙</t>
        </is>
      </c>
      <c r="G4869" t="inlineStr">
        <is>
          <t>010-5001-9087</t>
        </is>
      </c>
      <c r="H4869" t="inlineStr">
        <is>
          <t>302로1084</t>
        </is>
      </c>
      <c r="I4869" t="n">
        <v>14900000</v>
      </c>
      <c r="J4869" t="n">
        <v>0.07099999999999999</v>
      </c>
      <c r="K4869" t="n">
        <v>1.1</v>
      </c>
      <c r="L4869" t="n">
        <v>0.14</v>
      </c>
      <c r="M4869" t="n">
        <v>0.96</v>
      </c>
      <c r="P4869" t="inlineStr">
        <is>
          <t>박현민</t>
        </is>
      </c>
      <c r="Q4869" t="inlineStr">
        <is>
          <t>홈서비스 60개월</t>
        </is>
      </c>
      <c r="AB4869" t="inlineStr">
        <is>
          <t>홈서비스</t>
        </is>
      </c>
      <c r="AC4869" t="n">
        <v>163900</v>
      </c>
      <c r="AD4869" t="n">
        <v>20860</v>
      </c>
      <c r="AE4869" t="n">
        <v>143040</v>
      </c>
      <c r="AF4869" t="n">
        <v>149000</v>
      </c>
      <c r="AG4869" t="n">
        <v>20171.62</v>
      </c>
      <c r="AH4869" t="n">
        <v>128828.38</v>
      </c>
      <c r="AI4869" t="n">
        <v>0</v>
      </c>
    </row>
    <row r="4870">
      <c r="A4870" t="inlineStr">
        <is>
          <t>6월</t>
        </is>
      </c>
      <c r="B4870" t="inlineStr">
        <is>
          <t>23주차</t>
        </is>
      </c>
      <c r="C4870" t="inlineStr">
        <is>
          <t>EP</t>
        </is>
      </c>
      <c r="D4870" s="28" t="n">
        <v>46174</v>
      </c>
      <c r="E4870" t="inlineStr">
        <is>
          <t>현대EP_fast</t>
        </is>
      </c>
      <c r="F4870" t="inlineStr">
        <is>
          <t>최현순</t>
        </is>
      </c>
      <c r="G4870" t="inlineStr">
        <is>
          <t>010-9474-9147</t>
        </is>
      </c>
      <c r="H4870" t="inlineStr">
        <is>
          <t>09부0543</t>
        </is>
      </c>
      <c r="I4870" t="n">
        <v>5500000</v>
      </c>
      <c r="J4870" t="n">
        <v>0.129</v>
      </c>
      <c r="K4870" t="n">
        <v>1.76</v>
      </c>
      <c r="L4870" t="n">
        <v>0.14</v>
      </c>
      <c r="M4870" t="n">
        <v>1.62</v>
      </c>
      <c r="P4870" t="inlineStr">
        <is>
          <t>정세빈</t>
        </is>
      </c>
      <c r="Q4870" t="inlineStr">
        <is>
          <t>홈서비스 36개월</t>
        </is>
      </c>
      <c r="AB4870" t="inlineStr">
        <is>
          <t>홈서비스</t>
        </is>
      </c>
      <c r="AC4870" t="n">
        <v>96800</v>
      </c>
      <c r="AD4870" t="n">
        <v>7700</v>
      </c>
      <c r="AE4870" t="n">
        <v>89100</v>
      </c>
      <c r="AF4870" t="n">
        <v>88000</v>
      </c>
      <c r="AG4870" t="n">
        <v>7445.9</v>
      </c>
      <c r="AH4870" t="n">
        <v>80554.10000000001</v>
      </c>
      <c r="AI4870" t="n">
        <v>0</v>
      </c>
    </row>
    <row r="4871">
      <c r="A4871" t="inlineStr">
        <is>
          <t>6월</t>
        </is>
      </c>
      <c r="B4871" t="inlineStr">
        <is>
          <t>23주차</t>
        </is>
      </c>
      <c r="C4871" t="inlineStr">
        <is>
          <t>WC</t>
        </is>
      </c>
      <c r="D4871" s="28" t="n">
        <v>46174</v>
      </c>
      <c r="E4871" t="inlineStr">
        <is>
          <t>웰컴저축은행</t>
        </is>
      </c>
      <c r="F4871" t="inlineStr">
        <is>
          <t>임정윤</t>
        </is>
      </c>
      <c r="G4871" t="inlineStr">
        <is>
          <t>010-2403-2740</t>
        </is>
      </c>
      <c r="H4871" t="inlineStr">
        <is>
          <t>28모5505</t>
        </is>
      </c>
      <c r="I4871" t="n">
        <v>9500000</v>
      </c>
      <c r="J4871" t="n">
        <v>0.13</v>
      </c>
      <c r="K4871" t="n">
        <v>2.2</v>
      </c>
      <c r="L4871" t="n">
        <v>0.14</v>
      </c>
      <c r="M4871" t="n">
        <v>2.06</v>
      </c>
      <c r="P4871" t="inlineStr">
        <is>
          <t>정세빈</t>
        </is>
      </c>
      <c r="Q4871" t="inlineStr">
        <is>
          <t>홈서비스 36개월</t>
        </is>
      </c>
      <c r="AB4871" t="inlineStr">
        <is>
          <t>홈서비스</t>
        </is>
      </c>
      <c r="AC4871" t="n">
        <v>209000</v>
      </c>
      <c r="AD4871" t="n">
        <v>13300</v>
      </c>
      <c r="AE4871" t="n">
        <v>195700</v>
      </c>
      <c r="AF4871" t="n">
        <v>190000</v>
      </c>
      <c r="AG4871" t="n">
        <v>12861.1</v>
      </c>
      <c r="AH4871" t="n">
        <v>177138.9</v>
      </c>
    </row>
    <row r="4872">
      <c r="A4872" t="inlineStr">
        <is>
          <t>6월</t>
        </is>
      </c>
      <c r="B4872" t="inlineStr">
        <is>
          <t>23주차</t>
        </is>
      </c>
      <c r="C4872" t="inlineStr">
        <is>
          <t>EP</t>
        </is>
      </c>
      <c r="D4872" s="28" t="n">
        <v>46174</v>
      </c>
      <c r="E4872" t="inlineStr">
        <is>
          <t>현대EP_fast</t>
        </is>
      </c>
      <c r="F4872" t="inlineStr">
        <is>
          <t>문아련</t>
        </is>
      </c>
      <c r="G4872" t="inlineStr">
        <is>
          <t>010-6315-0428</t>
        </is>
      </c>
      <c r="H4872" t="inlineStr">
        <is>
          <t>46주2460</t>
        </is>
      </c>
      <c r="I4872" t="n">
        <v>12900000</v>
      </c>
      <c r="J4872" t="n">
        <v>0.06900000000000001</v>
      </c>
      <c r="K4872" t="n">
        <v>1.76</v>
      </c>
      <c r="L4872" t="n">
        <v>0.14</v>
      </c>
      <c r="M4872" t="n">
        <v>1.62</v>
      </c>
      <c r="P4872" t="inlineStr">
        <is>
          <t>김나윤</t>
        </is>
      </c>
      <c r="Q4872" t="inlineStr">
        <is>
          <t>홈서비스 60개월</t>
        </is>
      </c>
      <c r="AB4872" t="inlineStr">
        <is>
          <t>홈서비스</t>
        </is>
      </c>
      <c r="AC4872" t="n">
        <v>227040</v>
      </c>
      <c r="AD4872" t="n">
        <v>18060</v>
      </c>
      <c r="AE4872" t="n">
        <v>208980</v>
      </c>
      <c r="AF4872" t="n">
        <v>206400</v>
      </c>
      <c r="AG4872" t="n">
        <v>17464.02</v>
      </c>
      <c r="AH4872" t="n">
        <v>188935.98</v>
      </c>
      <c r="AI4872" t="n">
        <v>0</v>
      </c>
    </row>
    <row r="4873">
      <c r="A4873" t="inlineStr">
        <is>
          <t>6월</t>
        </is>
      </c>
      <c r="B4873" t="inlineStr">
        <is>
          <t>23주차</t>
        </is>
      </c>
      <c r="C4873" t="inlineStr">
        <is>
          <t>IM</t>
        </is>
      </c>
      <c r="D4873" s="28" t="n">
        <v>46174</v>
      </c>
      <c r="E4873" t="inlineStr">
        <is>
          <t>IM캐피탈</t>
        </is>
      </c>
      <c r="F4873" t="inlineStr">
        <is>
          <t>이용걸</t>
        </is>
      </c>
      <c r="G4873" t="inlineStr">
        <is>
          <t>010-3798-2933</t>
        </is>
      </c>
      <c r="H4873" t="inlineStr">
        <is>
          <t>819소9805</t>
        </is>
      </c>
      <c r="I4873" t="n">
        <v>19900000</v>
      </c>
      <c r="J4873" t="n">
        <v>0.049</v>
      </c>
      <c r="K4873" t="n">
        <v>1.1</v>
      </c>
      <c r="L4873" t="n">
        <v>0.14</v>
      </c>
      <c r="M4873" t="n">
        <v>0.96</v>
      </c>
      <c r="P4873" t="inlineStr">
        <is>
          <t>정세빈</t>
        </is>
      </c>
      <c r="Q4873" t="inlineStr">
        <is>
          <t>홈서비스 60개월</t>
        </is>
      </c>
      <c r="AB4873" t="inlineStr">
        <is>
          <t>홈서비스</t>
        </is>
      </c>
      <c r="AC4873" t="n">
        <v>218900</v>
      </c>
      <c r="AD4873" t="n">
        <v>27860</v>
      </c>
      <c r="AE4873" t="n">
        <v>191040</v>
      </c>
      <c r="AF4873" t="n">
        <v>199000</v>
      </c>
      <c r="AG4873" t="n">
        <v>26940.62</v>
      </c>
      <c r="AH4873" t="n">
        <v>172059.38</v>
      </c>
      <c r="AI4873" t="n">
        <v>0</v>
      </c>
    </row>
    <row r="4874">
      <c r="A4874" t="inlineStr">
        <is>
          <t>6월</t>
        </is>
      </c>
      <c r="B4874" t="inlineStr">
        <is>
          <t>23주차</t>
        </is>
      </c>
      <c r="C4874" t="inlineStr">
        <is>
          <t>EP</t>
        </is>
      </c>
      <c r="D4874" s="28" t="n">
        <v>46174</v>
      </c>
      <c r="E4874" t="inlineStr">
        <is>
          <t>현대EP_fast</t>
        </is>
      </c>
      <c r="F4874" t="inlineStr">
        <is>
          <t>조화숙</t>
        </is>
      </c>
      <c r="G4874" t="inlineStr">
        <is>
          <t>010-5424-0602</t>
        </is>
      </c>
      <c r="H4874" t="inlineStr">
        <is>
          <t>332노9955</t>
        </is>
      </c>
      <c r="I4874" t="n">
        <v>23800000</v>
      </c>
      <c r="J4874" t="n">
        <v>0.06900000000000001</v>
      </c>
      <c r="K4874" t="n">
        <v>1.76</v>
      </c>
      <c r="L4874" t="n">
        <v>0.14</v>
      </c>
      <c r="M4874" t="n">
        <v>1.62</v>
      </c>
      <c r="P4874" t="inlineStr">
        <is>
          <t>김나윤</t>
        </is>
      </c>
      <c r="Q4874" t="inlineStr">
        <is>
          <t>홈서비스 60개월</t>
        </is>
      </c>
      <c r="AB4874" t="inlineStr">
        <is>
          <t>홈서비스</t>
        </is>
      </c>
      <c r="AC4874" t="n">
        <v>418880</v>
      </c>
      <c r="AD4874" t="n">
        <v>33320</v>
      </c>
      <c r="AE4874" t="n">
        <v>385560</v>
      </c>
      <c r="AF4874" t="n">
        <v>380800</v>
      </c>
      <c r="AG4874" t="n">
        <v>32220.44</v>
      </c>
      <c r="AH4874" t="n">
        <v>348579.56</v>
      </c>
      <c r="AI4874" t="n">
        <v>0</v>
      </c>
    </row>
    <row r="4875">
      <c r="A4875" t="inlineStr">
        <is>
          <t>6월</t>
        </is>
      </c>
      <c r="B4875" t="inlineStr">
        <is>
          <t>23주차</t>
        </is>
      </c>
      <c r="C4875" t="inlineStr">
        <is>
          <t>IM</t>
        </is>
      </c>
      <c r="D4875" s="28" t="n">
        <v>46174</v>
      </c>
      <c r="E4875" t="inlineStr">
        <is>
          <t>IM캐피탈</t>
        </is>
      </c>
      <c r="F4875" t="inlineStr">
        <is>
          <t>표정호</t>
        </is>
      </c>
      <c r="G4875" t="inlineStr">
        <is>
          <t>010-3242-6608</t>
        </is>
      </c>
      <c r="H4875" t="inlineStr">
        <is>
          <t>100거3282</t>
        </is>
      </c>
      <c r="I4875" t="n">
        <v>40600000</v>
      </c>
      <c r="J4875" t="n">
        <v>0.067</v>
      </c>
      <c r="K4875" t="n">
        <v>1.1</v>
      </c>
      <c r="L4875" t="n">
        <v>0.14</v>
      </c>
      <c r="M4875" t="n">
        <v>0.96</v>
      </c>
      <c r="P4875" t="inlineStr">
        <is>
          <t>정세빈</t>
        </is>
      </c>
      <c r="Q4875" t="inlineStr">
        <is>
          <t>홈서비스 72개월</t>
        </is>
      </c>
      <c r="AB4875" t="inlineStr">
        <is>
          <t>홈서비스</t>
        </is>
      </c>
      <c r="AC4875" t="n">
        <v>446600</v>
      </c>
      <c r="AD4875" t="n">
        <v>56840</v>
      </c>
      <c r="AE4875" t="n">
        <v>389760</v>
      </c>
      <c r="AF4875" t="n">
        <v>406000</v>
      </c>
      <c r="AG4875" t="n">
        <v>54964.28</v>
      </c>
      <c r="AH4875" t="n">
        <v>351035.72</v>
      </c>
    </row>
    <row r="4876">
      <c r="A4876" t="inlineStr">
        <is>
          <t>6월</t>
        </is>
      </c>
      <c r="B4876" t="inlineStr">
        <is>
          <t>23주차</t>
        </is>
      </c>
      <c r="C4876" t="inlineStr">
        <is>
          <t>IM</t>
        </is>
      </c>
      <c r="D4876" s="28" t="n">
        <v>46174</v>
      </c>
      <c r="E4876" t="inlineStr">
        <is>
          <t>IM캐피탈</t>
        </is>
      </c>
      <c r="F4876" t="inlineStr">
        <is>
          <t>한수연</t>
        </is>
      </c>
      <c r="G4876" t="inlineStr">
        <is>
          <t>010-5577-3648</t>
        </is>
      </c>
      <c r="H4876" t="inlineStr">
        <is>
          <t>147가8259</t>
        </is>
      </c>
      <c r="I4876" t="n">
        <v>25900000</v>
      </c>
      <c r="J4876" t="n">
        <v>0.067</v>
      </c>
      <c r="K4876" t="n">
        <v>1.1</v>
      </c>
      <c r="L4876" t="n">
        <v>0.14</v>
      </c>
      <c r="M4876" t="n">
        <v>0.96</v>
      </c>
      <c r="P4876" t="inlineStr">
        <is>
          <t>황채이</t>
        </is>
      </c>
      <c r="Q4876" t="inlineStr">
        <is>
          <t>홈서비스 84개월</t>
        </is>
      </c>
      <c r="AB4876" t="inlineStr">
        <is>
          <t>홈서비스</t>
        </is>
      </c>
      <c r="AC4876" t="n">
        <v>284900</v>
      </c>
      <c r="AD4876" t="n">
        <v>36260</v>
      </c>
      <c r="AE4876" t="n">
        <v>248640</v>
      </c>
      <c r="AF4876" t="n">
        <v>259000</v>
      </c>
      <c r="AG4876" t="n">
        <v>35063.42</v>
      </c>
      <c r="AH4876" t="n">
        <v>223936.58</v>
      </c>
      <c r="AI4876" t="n">
        <v>0</v>
      </c>
    </row>
    <row r="4877">
      <c r="A4877" t="inlineStr">
        <is>
          <t>6월</t>
        </is>
      </c>
      <c r="B4877" t="inlineStr">
        <is>
          <t>23주차</t>
        </is>
      </c>
      <c r="C4877" t="inlineStr">
        <is>
          <t>EP</t>
        </is>
      </c>
      <c r="D4877" s="28" t="n">
        <v>46174</v>
      </c>
      <c r="E4877" t="inlineStr">
        <is>
          <t>현대EP_fast</t>
        </is>
      </c>
      <c r="F4877" t="inlineStr">
        <is>
          <t>김민현</t>
        </is>
      </c>
      <c r="G4877" t="inlineStr">
        <is>
          <t>010-9588-2636</t>
        </is>
      </c>
      <c r="H4877" t="inlineStr">
        <is>
          <t>150루6877</t>
        </is>
      </c>
      <c r="I4877" t="n">
        <v>16600000</v>
      </c>
      <c r="J4877" t="n">
        <v>0.077</v>
      </c>
      <c r="K4877" t="n">
        <v>1.76</v>
      </c>
      <c r="L4877" t="n">
        <v>0.14</v>
      </c>
      <c r="M4877" t="n">
        <v>1.62</v>
      </c>
      <c r="P4877" t="inlineStr">
        <is>
          <t>황채이</t>
        </is>
      </c>
      <c r="Q4877" t="inlineStr">
        <is>
          <t>홈서비스 60개월</t>
        </is>
      </c>
      <c r="AB4877" t="inlineStr">
        <is>
          <t>홈서비스</t>
        </is>
      </c>
      <c r="AC4877" t="n">
        <v>292160</v>
      </c>
      <c r="AD4877" t="n">
        <v>23240</v>
      </c>
      <c r="AE4877" t="n">
        <v>268920</v>
      </c>
      <c r="AF4877" t="n">
        <v>265600</v>
      </c>
      <c r="AG4877" t="n">
        <v>22473.08</v>
      </c>
      <c r="AH4877" t="n">
        <v>243126.92</v>
      </c>
      <c r="AI4877" t="n">
        <v>0</v>
      </c>
    </row>
    <row r="4878">
      <c r="A4878" t="inlineStr">
        <is>
          <t>6월</t>
        </is>
      </c>
      <c r="B4878" t="inlineStr">
        <is>
          <t>23주차</t>
        </is>
      </c>
      <c r="C4878" t="inlineStr">
        <is>
          <t>EP</t>
        </is>
      </c>
      <c r="D4878" s="28" t="n">
        <v>46174</v>
      </c>
      <c r="E4878" t="inlineStr">
        <is>
          <t>BNKEP</t>
        </is>
      </c>
      <c r="F4878" t="inlineStr">
        <is>
          <t>김지수</t>
        </is>
      </c>
      <c r="G4878" t="inlineStr">
        <is>
          <t>010-5562-0958</t>
        </is>
      </c>
      <c r="H4878" t="inlineStr">
        <is>
          <t>180소5107</t>
        </is>
      </c>
      <c r="I4878" t="n">
        <v>16000000</v>
      </c>
      <c r="J4878" t="n">
        <v>0.061</v>
      </c>
      <c r="K4878" t="n">
        <v>1.65</v>
      </c>
      <c r="L4878" t="n">
        <v>0.14</v>
      </c>
      <c r="M4878" t="n">
        <v>1.51</v>
      </c>
      <c r="P4878" t="inlineStr">
        <is>
          <t>황채이</t>
        </is>
      </c>
      <c r="Q4878" t="inlineStr">
        <is>
          <t>홈서비스 36개월 / 부대비용 추가진행</t>
        </is>
      </c>
      <c r="AB4878" t="inlineStr">
        <is>
          <t>홈서비스</t>
        </is>
      </c>
      <c r="AC4878" t="n">
        <v>264000</v>
      </c>
      <c r="AD4878" t="n">
        <v>22400</v>
      </c>
      <c r="AE4878" t="n">
        <v>241600</v>
      </c>
      <c r="AF4878" t="n">
        <v>240000</v>
      </c>
      <c r="AG4878" t="n">
        <v>21660.8</v>
      </c>
      <c r="AH4878" t="n">
        <v>218339.2</v>
      </c>
      <c r="AI4878" t="n">
        <v>0</v>
      </c>
    </row>
    <row r="4879">
      <c r="A4879" t="inlineStr">
        <is>
          <t>6월</t>
        </is>
      </c>
      <c r="B4879" t="inlineStr">
        <is>
          <t>23주차</t>
        </is>
      </c>
      <c r="C4879" t="inlineStr">
        <is>
          <t>EP</t>
        </is>
      </c>
      <c r="D4879" s="28" t="n">
        <v>46174</v>
      </c>
      <c r="E4879" t="inlineStr">
        <is>
          <t>현대EP_fast</t>
        </is>
      </c>
      <c r="F4879" t="inlineStr">
        <is>
          <t>임승준</t>
        </is>
      </c>
      <c r="G4879" t="inlineStr">
        <is>
          <t>010-4174-5766</t>
        </is>
      </c>
      <c r="H4879" t="inlineStr">
        <is>
          <t>60무6320</t>
        </is>
      </c>
      <c r="I4879" t="n">
        <v>36500000</v>
      </c>
      <c r="J4879" t="n">
        <v>0.08400000000000001</v>
      </c>
      <c r="K4879" t="n">
        <v>1.76</v>
      </c>
      <c r="L4879" t="n">
        <v>0.14</v>
      </c>
      <c r="M4879" t="n">
        <v>1.62</v>
      </c>
      <c r="P4879" t="inlineStr">
        <is>
          <t>황채이</t>
        </is>
      </c>
      <c r="Q4879" t="inlineStr">
        <is>
          <t>홈서비스 60개월</t>
        </is>
      </c>
      <c r="AB4879" t="inlineStr">
        <is>
          <t>홈서비스</t>
        </is>
      </c>
      <c r="AC4879" t="n">
        <v>642400</v>
      </c>
      <c r="AD4879" t="n">
        <v>51100</v>
      </c>
      <c r="AE4879" t="n">
        <v>591300</v>
      </c>
      <c r="AF4879" t="n">
        <v>584000</v>
      </c>
      <c r="AG4879" t="n">
        <v>49413.7</v>
      </c>
      <c r="AH4879" t="n">
        <v>534586.3</v>
      </c>
      <c r="AI4879" t="n">
        <v>0</v>
      </c>
    </row>
    <row r="4880">
      <c r="A4880" t="inlineStr">
        <is>
          <t>6월</t>
        </is>
      </c>
      <c r="B4880" t="inlineStr">
        <is>
          <t>23주차</t>
        </is>
      </c>
      <c r="C4880" t="inlineStr">
        <is>
          <t>EP</t>
        </is>
      </c>
      <c r="D4880" s="28" t="n">
        <v>46174</v>
      </c>
      <c r="E4880" t="inlineStr">
        <is>
          <t>현대EP</t>
        </is>
      </c>
      <c r="F4880" t="inlineStr">
        <is>
          <t>강순정</t>
        </is>
      </c>
      <c r="G4880" t="inlineStr">
        <is>
          <t>010-5477-6914</t>
        </is>
      </c>
      <c r="H4880" t="inlineStr">
        <is>
          <t>204모6452</t>
        </is>
      </c>
      <c r="I4880" t="n">
        <v>20900000</v>
      </c>
      <c r="J4880" t="n">
        <v>0.06900000000000001</v>
      </c>
      <c r="K4880" t="n">
        <v>1.76</v>
      </c>
      <c r="L4880" t="n">
        <v>0.14</v>
      </c>
      <c r="M4880" t="n">
        <v>1.62</v>
      </c>
      <c r="P4880" t="inlineStr">
        <is>
          <t>김나윤</t>
        </is>
      </c>
      <c r="AB4880" t="inlineStr">
        <is>
          <t>홈서비스</t>
        </is>
      </c>
      <c r="AC4880" t="n">
        <v>367840</v>
      </c>
      <c r="AD4880" t="n">
        <v>29260</v>
      </c>
      <c r="AE4880" t="n">
        <v>338580</v>
      </c>
      <c r="AF4880" t="n">
        <v>334400</v>
      </c>
      <c r="AG4880" t="n">
        <v>28294.42</v>
      </c>
      <c r="AH4880" t="n">
        <v>306105.58</v>
      </c>
      <c r="AI4880" t="n">
        <v>0</v>
      </c>
    </row>
    <row r="4881">
      <c r="A4881" t="inlineStr">
        <is>
          <t>6월</t>
        </is>
      </c>
      <c r="B4881" t="inlineStr">
        <is>
          <t>23주차</t>
        </is>
      </c>
      <c r="C4881" t="inlineStr">
        <is>
          <t>EP</t>
        </is>
      </c>
      <c r="D4881" s="28" t="n">
        <v>46174</v>
      </c>
      <c r="E4881" t="inlineStr">
        <is>
          <t>현대EP</t>
        </is>
      </c>
      <c r="F4881" t="inlineStr">
        <is>
          <t>김준형</t>
        </is>
      </c>
      <c r="G4881" t="inlineStr">
        <is>
          <t>010-4177-3612</t>
        </is>
      </c>
      <c r="H4881" t="inlineStr">
        <is>
          <t>324서9021</t>
        </is>
      </c>
      <c r="I4881" t="n">
        <v>13400000</v>
      </c>
      <c r="J4881" t="n">
        <v>0.07000000000000001</v>
      </c>
      <c r="K4881" t="n">
        <v>1.76</v>
      </c>
      <c r="L4881" t="n">
        <v>0.14</v>
      </c>
      <c r="M4881" t="n">
        <v>1.62</v>
      </c>
      <c r="P4881" t="inlineStr">
        <is>
          <t>김수연</t>
        </is>
      </c>
      <c r="AB4881" t="inlineStr">
        <is>
          <t>홈서비스</t>
        </is>
      </c>
      <c r="AC4881" t="n">
        <v>235840</v>
      </c>
      <c r="AD4881" t="n">
        <v>18760</v>
      </c>
      <c r="AE4881" t="n">
        <v>217080</v>
      </c>
      <c r="AF4881" t="n">
        <v>214400</v>
      </c>
      <c r="AG4881" t="n">
        <v>18140.92</v>
      </c>
      <c r="AH4881" t="n">
        <v>196259.08</v>
      </c>
      <c r="AI4881" t="n">
        <v>0</v>
      </c>
    </row>
    <row r="4882">
      <c r="A4882" t="inlineStr">
        <is>
          <t>6월</t>
        </is>
      </c>
      <c r="B4882" t="inlineStr">
        <is>
          <t>23주차</t>
        </is>
      </c>
      <c r="C4882" t="inlineStr">
        <is>
          <t>EP</t>
        </is>
      </c>
      <c r="D4882" s="28" t="n">
        <v>46174</v>
      </c>
      <c r="E4882" t="inlineStr">
        <is>
          <t>현대EP</t>
        </is>
      </c>
      <c r="F4882" t="inlineStr">
        <is>
          <t>김진영</t>
        </is>
      </c>
      <c r="G4882" t="inlineStr">
        <is>
          <t>010-2592-4918</t>
        </is>
      </c>
      <c r="H4882" t="inlineStr">
        <is>
          <t>116수9005</t>
        </is>
      </c>
      <c r="I4882" t="n">
        <v>24500000</v>
      </c>
      <c r="J4882" t="n">
        <v>0.06900000000000001</v>
      </c>
      <c r="K4882" t="n">
        <v>1.76</v>
      </c>
      <c r="L4882" t="n">
        <v>0.14</v>
      </c>
      <c r="M4882" t="n">
        <v>1.62</v>
      </c>
      <c r="P4882" t="inlineStr">
        <is>
          <t>황채이</t>
        </is>
      </c>
      <c r="AB4882" t="inlineStr">
        <is>
          <t>홈서비스</t>
        </is>
      </c>
      <c r="AC4882" t="n">
        <v>431200</v>
      </c>
      <c r="AD4882" t="n">
        <v>34300</v>
      </c>
      <c r="AE4882" t="n">
        <v>396900</v>
      </c>
      <c r="AF4882" t="n">
        <v>392000</v>
      </c>
      <c r="AG4882" t="n">
        <v>33168.1</v>
      </c>
      <c r="AH4882" t="n">
        <v>358831.9</v>
      </c>
      <c r="AI4882" t="n">
        <v>0</v>
      </c>
    </row>
    <row r="4883">
      <c r="A4883" t="inlineStr">
        <is>
          <t>6월</t>
        </is>
      </c>
      <c r="B4883" t="inlineStr">
        <is>
          <t>23주차</t>
        </is>
      </c>
      <c r="C4883" t="inlineStr">
        <is>
          <t>EP</t>
        </is>
      </c>
      <c r="D4883" s="28" t="n">
        <v>46174</v>
      </c>
      <c r="E4883" t="inlineStr">
        <is>
          <t>현대EP</t>
        </is>
      </c>
      <c r="F4883" t="inlineStr">
        <is>
          <t>김택수</t>
        </is>
      </c>
      <c r="G4883" t="inlineStr">
        <is>
          <t>010-7732-2857</t>
        </is>
      </c>
      <c r="H4883" t="inlineStr">
        <is>
          <t>326로4141</t>
        </is>
      </c>
      <c r="I4883" t="n">
        <v>24900000</v>
      </c>
      <c r="J4883" t="n">
        <v>0.06900000000000001</v>
      </c>
      <c r="K4883" t="n">
        <v>1.76</v>
      </c>
      <c r="L4883" t="n">
        <v>0.14</v>
      </c>
      <c r="M4883" t="n">
        <v>1.62</v>
      </c>
      <c r="P4883" t="inlineStr">
        <is>
          <t>정세빈</t>
        </is>
      </c>
      <c r="AB4883" t="inlineStr">
        <is>
          <t>홈서비스</t>
        </is>
      </c>
      <c r="AC4883" t="n">
        <v>438240</v>
      </c>
      <c r="AD4883" t="n">
        <v>34860</v>
      </c>
      <c r="AE4883" t="n">
        <v>403380</v>
      </c>
      <c r="AF4883" t="n">
        <v>398400</v>
      </c>
      <c r="AG4883" t="n">
        <v>33709.62</v>
      </c>
      <c r="AH4883" t="n">
        <v>364690.38</v>
      </c>
      <c r="AI4883" t="n">
        <v>0</v>
      </c>
    </row>
    <row r="4884">
      <c r="A4884" t="inlineStr">
        <is>
          <t>6월</t>
        </is>
      </c>
      <c r="B4884" t="inlineStr">
        <is>
          <t>23주차</t>
        </is>
      </c>
      <c r="C4884" t="inlineStr">
        <is>
          <t>EP</t>
        </is>
      </c>
      <c r="D4884" s="28" t="n">
        <v>46174</v>
      </c>
      <c r="E4884" t="inlineStr">
        <is>
          <t>현대EP</t>
        </is>
      </c>
      <c r="F4884" t="inlineStr">
        <is>
          <t>김화규</t>
        </is>
      </c>
      <c r="G4884" t="inlineStr">
        <is>
          <t>010-5389-3703</t>
        </is>
      </c>
      <c r="H4884" t="inlineStr">
        <is>
          <t>57버1942</t>
        </is>
      </c>
      <c r="I4884" t="n">
        <v>8000000</v>
      </c>
      <c r="J4884" t="n">
        <v>0.06900000000000001</v>
      </c>
      <c r="K4884" t="n">
        <v>1.76</v>
      </c>
      <c r="L4884" t="n">
        <v>0.14</v>
      </c>
      <c r="M4884" t="n">
        <v>1.62</v>
      </c>
      <c r="P4884" t="inlineStr">
        <is>
          <t>김수연</t>
        </is>
      </c>
      <c r="AB4884" t="inlineStr">
        <is>
          <t>홈서비스</t>
        </is>
      </c>
      <c r="AC4884" t="n">
        <v>140800</v>
      </c>
      <c r="AD4884" t="n">
        <v>11200</v>
      </c>
      <c r="AE4884" t="n">
        <v>129600</v>
      </c>
      <c r="AF4884" t="n">
        <v>128000</v>
      </c>
      <c r="AG4884" t="n">
        <v>10830.4</v>
      </c>
      <c r="AH4884" t="n">
        <v>117169.6</v>
      </c>
      <c r="AI4884" t="n">
        <v>0</v>
      </c>
    </row>
    <row r="4885">
      <c r="A4885" t="inlineStr">
        <is>
          <t>6월</t>
        </is>
      </c>
      <c r="B4885" t="inlineStr">
        <is>
          <t>23주차</t>
        </is>
      </c>
      <c r="C4885" t="inlineStr">
        <is>
          <t>EP</t>
        </is>
      </c>
      <c r="D4885" s="28" t="n">
        <v>46174</v>
      </c>
      <c r="E4885" t="inlineStr">
        <is>
          <t>현대EP</t>
        </is>
      </c>
      <c r="F4885" t="inlineStr">
        <is>
          <t>박동혜</t>
        </is>
      </c>
      <c r="G4885" t="inlineStr">
        <is>
          <t>010-6352-6648</t>
        </is>
      </c>
      <c r="H4885" t="inlineStr">
        <is>
          <t>47서5149</t>
        </is>
      </c>
      <c r="I4885" t="n">
        <v>21000000</v>
      </c>
      <c r="J4885" t="n">
        <v>0.06900000000000001</v>
      </c>
      <c r="K4885" t="n">
        <v>1.76</v>
      </c>
      <c r="L4885" t="n">
        <v>0.14</v>
      </c>
      <c r="M4885" t="n">
        <v>1.62</v>
      </c>
      <c r="P4885" t="inlineStr">
        <is>
          <t>황채이</t>
        </is>
      </c>
      <c r="AB4885" t="inlineStr">
        <is>
          <t>홈서비스</t>
        </is>
      </c>
      <c r="AC4885" t="n">
        <v>369600</v>
      </c>
      <c r="AD4885" t="n">
        <v>29400</v>
      </c>
      <c r="AE4885" t="n">
        <v>340200</v>
      </c>
      <c r="AF4885" t="n">
        <v>336000</v>
      </c>
      <c r="AG4885" t="n">
        <v>28429.8</v>
      </c>
      <c r="AH4885" t="n">
        <v>307570.2</v>
      </c>
    </row>
    <row r="4886">
      <c r="A4886" t="inlineStr">
        <is>
          <t>6월</t>
        </is>
      </c>
      <c r="B4886" t="inlineStr">
        <is>
          <t>23주차</t>
        </is>
      </c>
      <c r="C4886" t="inlineStr">
        <is>
          <t>EP</t>
        </is>
      </c>
      <c r="D4886" s="28" t="n">
        <v>46174</v>
      </c>
      <c r="E4886" t="inlineStr">
        <is>
          <t>현대EP</t>
        </is>
      </c>
      <c r="F4886" t="inlineStr">
        <is>
          <t>박철용</t>
        </is>
      </c>
      <c r="G4886" t="inlineStr">
        <is>
          <t>010-8298-8625</t>
        </is>
      </c>
      <c r="H4886" t="inlineStr">
        <is>
          <t>108보7743</t>
        </is>
      </c>
      <c r="I4886" t="n">
        <v>5000000</v>
      </c>
      <c r="J4886" t="n">
        <v>0.139</v>
      </c>
      <c r="K4886" t="n">
        <v>1.76</v>
      </c>
      <c r="L4886" t="n">
        <v>0.14</v>
      </c>
      <c r="M4886" t="n">
        <v>1.62</v>
      </c>
      <c r="P4886" t="inlineStr">
        <is>
          <t>정세빈</t>
        </is>
      </c>
      <c r="AB4886" t="inlineStr">
        <is>
          <t>홈서비스</t>
        </is>
      </c>
      <c r="AC4886" t="n">
        <v>88000</v>
      </c>
      <c r="AD4886" t="n">
        <v>7000</v>
      </c>
      <c r="AE4886" t="n">
        <v>81000</v>
      </c>
      <c r="AF4886" t="n">
        <v>80000</v>
      </c>
      <c r="AG4886" t="n">
        <v>6769</v>
      </c>
      <c r="AH4886" t="n">
        <v>73231</v>
      </c>
      <c r="AI4886" t="n">
        <v>0</v>
      </c>
    </row>
    <row r="4887">
      <c r="A4887" t="inlineStr">
        <is>
          <t>6월</t>
        </is>
      </c>
      <c r="B4887" t="inlineStr">
        <is>
          <t>23주차</t>
        </is>
      </c>
      <c r="C4887" t="inlineStr">
        <is>
          <t>EP</t>
        </is>
      </c>
      <c r="D4887" s="28" t="n">
        <v>46174</v>
      </c>
      <c r="E4887" t="inlineStr">
        <is>
          <t>현대EP</t>
        </is>
      </c>
      <c r="F4887" t="inlineStr">
        <is>
          <t>이시열</t>
        </is>
      </c>
      <c r="G4887" t="inlineStr">
        <is>
          <t>010-9147-0690</t>
        </is>
      </c>
      <c r="H4887" t="inlineStr">
        <is>
          <t>248거7201</t>
        </is>
      </c>
      <c r="I4887" t="n">
        <v>43500000</v>
      </c>
      <c r="J4887" t="n">
        <v>0.06900000000000001</v>
      </c>
      <c r="K4887" t="n">
        <v>1.76</v>
      </c>
      <c r="L4887" t="n">
        <v>0.14</v>
      </c>
      <c r="M4887" t="n">
        <v>1.62</v>
      </c>
      <c r="P4887" t="inlineStr">
        <is>
          <t>김나윤</t>
        </is>
      </c>
      <c r="AB4887" t="inlineStr">
        <is>
          <t>홈서비스</t>
        </is>
      </c>
      <c r="AC4887" t="n">
        <v>765600</v>
      </c>
      <c r="AD4887" t="n">
        <v>60900</v>
      </c>
      <c r="AE4887" t="n">
        <v>704700</v>
      </c>
      <c r="AF4887" t="n">
        <v>696000</v>
      </c>
      <c r="AG4887" t="n">
        <v>58890.3</v>
      </c>
      <c r="AH4887" t="n">
        <v>637109.7</v>
      </c>
      <c r="AI4887" t="n">
        <v>0</v>
      </c>
    </row>
    <row r="4888">
      <c r="A4888" t="inlineStr">
        <is>
          <t>6월</t>
        </is>
      </c>
      <c r="B4888" t="inlineStr">
        <is>
          <t>23주차</t>
        </is>
      </c>
      <c r="C4888" t="inlineStr">
        <is>
          <t>EP</t>
        </is>
      </c>
      <c r="D4888" s="28" t="n">
        <v>46174</v>
      </c>
      <c r="E4888" t="inlineStr">
        <is>
          <t>현대EP</t>
        </is>
      </c>
      <c r="F4888" t="inlineStr">
        <is>
          <t>임동현</t>
        </is>
      </c>
      <c r="G4888" t="inlineStr">
        <is>
          <t>010-2553-7641</t>
        </is>
      </c>
      <c r="H4888" t="inlineStr">
        <is>
          <t>100두2243</t>
        </is>
      </c>
      <c r="I4888" t="n">
        <v>20000000</v>
      </c>
      <c r="J4888" t="n">
        <v>0.145</v>
      </c>
      <c r="K4888" t="n">
        <v>1.76</v>
      </c>
      <c r="L4888" t="n">
        <v>0.14</v>
      </c>
      <c r="M4888" t="n">
        <v>1.62</v>
      </c>
      <c r="P4888" t="inlineStr">
        <is>
          <t>장진경</t>
        </is>
      </c>
      <c r="AB4888" t="inlineStr">
        <is>
          <t>홈서비스</t>
        </is>
      </c>
      <c r="AC4888" t="n">
        <v>352000</v>
      </c>
      <c r="AD4888" t="n">
        <v>28000</v>
      </c>
      <c r="AE4888" t="n">
        <v>324000</v>
      </c>
      <c r="AF4888" t="n">
        <v>320000</v>
      </c>
      <c r="AG4888" t="n">
        <v>27076</v>
      </c>
      <c r="AH4888" t="n">
        <v>292924</v>
      </c>
      <c r="AI4888" t="n">
        <v>0</v>
      </c>
    </row>
    <row r="4889">
      <c r="A4889" t="inlineStr">
        <is>
          <t>6월</t>
        </is>
      </c>
      <c r="B4889" t="inlineStr">
        <is>
          <t>23주차</t>
        </is>
      </c>
      <c r="C4889" t="inlineStr">
        <is>
          <t>EP</t>
        </is>
      </c>
      <c r="D4889" s="28" t="n">
        <v>46174</v>
      </c>
      <c r="E4889" t="inlineStr">
        <is>
          <t>현대EP</t>
        </is>
      </c>
      <c r="F4889" t="inlineStr">
        <is>
          <t>정선해</t>
        </is>
      </c>
      <c r="G4889" t="inlineStr">
        <is>
          <t>010-3929-0760</t>
        </is>
      </c>
      <c r="H4889" t="inlineStr">
        <is>
          <t>07버9335</t>
        </is>
      </c>
      <c r="I4889" t="n">
        <v>4000000</v>
      </c>
      <c r="J4889" t="n">
        <v>0.102</v>
      </c>
      <c r="K4889" t="n">
        <v>1.76</v>
      </c>
      <c r="L4889" t="n">
        <v>0.14</v>
      </c>
      <c r="M4889" t="n">
        <v>1.62</v>
      </c>
      <c r="P4889" t="inlineStr">
        <is>
          <t>황채이</t>
        </is>
      </c>
      <c r="AB4889" t="inlineStr">
        <is>
          <t>홈서비스</t>
        </is>
      </c>
      <c r="AC4889" t="n">
        <v>70400</v>
      </c>
      <c r="AD4889" t="n">
        <v>5600</v>
      </c>
      <c r="AE4889" t="n">
        <v>64800</v>
      </c>
      <c r="AF4889" t="n">
        <v>64000</v>
      </c>
      <c r="AG4889" t="n">
        <v>5415.2</v>
      </c>
      <c r="AH4889" t="n">
        <v>58584.8</v>
      </c>
      <c r="AI4889" t="n">
        <v>0</v>
      </c>
    </row>
    <row r="4890">
      <c r="A4890" t="inlineStr">
        <is>
          <t>6월</t>
        </is>
      </c>
      <c r="B4890" t="inlineStr">
        <is>
          <t>23주차</t>
        </is>
      </c>
      <c r="C4890" t="inlineStr">
        <is>
          <t>EP</t>
        </is>
      </c>
      <c r="D4890" s="28" t="n">
        <v>46174</v>
      </c>
      <c r="E4890" t="inlineStr">
        <is>
          <t>현대EP</t>
        </is>
      </c>
      <c r="F4890" t="inlineStr">
        <is>
          <t>추대범</t>
        </is>
      </c>
      <c r="G4890" t="inlineStr">
        <is>
          <t>010-2629-9303</t>
        </is>
      </c>
      <c r="H4890" t="inlineStr">
        <is>
          <t>378모6694</t>
        </is>
      </c>
      <c r="I4890" t="n">
        <v>7600000</v>
      </c>
      <c r="J4890" t="n">
        <v>0.06900000000000001</v>
      </c>
      <c r="K4890" t="n">
        <v>1.76</v>
      </c>
      <c r="L4890" t="n">
        <v>0.14</v>
      </c>
      <c r="M4890" t="n">
        <v>1.62</v>
      </c>
      <c r="P4890" t="inlineStr">
        <is>
          <t>김나윤</t>
        </is>
      </c>
      <c r="AB4890" t="inlineStr">
        <is>
          <t>홈서비스</t>
        </is>
      </c>
      <c r="AC4890" t="n">
        <v>133760</v>
      </c>
      <c r="AD4890" t="n">
        <v>10640</v>
      </c>
      <c r="AE4890" t="n">
        <v>123120</v>
      </c>
      <c r="AF4890" t="n">
        <v>121600</v>
      </c>
      <c r="AG4890" t="n">
        <v>10288.88</v>
      </c>
      <c r="AH4890" t="n">
        <v>111311.12</v>
      </c>
      <c r="AI4890" t="n">
        <v>0</v>
      </c>
    </row>
    <row r="4891">
      <c r="A4891" t="inlineStr">
        <is>
          <t>6월</t>
        </is>
      </c>
      <c r="B4891" t="inlineStr">
        <is>
          <t>23주차</t>
        </is>
      </c>
      <c r="C4891" t="inlineStr">
        <is>
          <t>IM</t>
        </is>
      </c>
      <c r="D4891" s="28" t="n">
        <v>46175</v>
      </c>
      <c r="E4891" t="inlineStr">
        <is>
          <t>IM캐피탈</t>
        </is>
      </c>
      <c r="F4891" t="inlineStr">
        <is>
          <t>김선구</t>
        </is>
      </c>
      <c r="G4891" t="inlineStr">
        <is>
          <t>010-2429-8722</t>
        </is>
      </c>
      <c r="H4891" t="inlineStr">
        <is>
          <t>105구7988</t>
        </is>
      </c>
      <c r="I4891" t="n">
        <v>70000000</v>
      </c>
      <c r="J4891" t="n">
        <v>0.067</v>
      </c>
      <c r="K4891" t="n">
        <v>1.1</v>
      </c>
      <c r="L4891" t="n">
        <v>0.14</v>
      </c>
      <c r="M4891" t="n">
        <v>0.96</v>
      </c>
      <c r="P4891" t="inlineStr">
        <is>
          <t>정세빈</t>
        </is>
      </c>
      <c r="Q4891" t="inlineStr">
        <is>
          <t>홈서비스 60개월</t>
        </is>
      </c>
      <c r="AB4891" t="inlineStr">
        <is>
          <t>홈서비스</t>
        </is>
      </c>
      <c r="AC4891" t="n">
        <v>770000</v>
      </c>
      <c r="AD4891" t="n">
        <v>98000</v>
      </c>
      <c r="AE4891" t="n">
        <v>672000</v>
      </c>
      <c r="AF4891" t="n">
        <v>700000</v>
      </c>
      <c r="AG4891" t="n">
        <v>94766</v>
      </c>
      <c r="AH4891" t="n">
        <v>605234</v>
      </c>
      <c r="AI4891" t="n">
        <v>0</v>
      </c>
    </row>
    <row r="4892">
      <c r="A4892" t="inlineStr">
        <is>
          <t>6월</t>
        </is>
      </c>
      <c r="B4892" t="inlineStr">
        <is>
          <t>23주차</t>
        </is>
      </c>
      <c r="C4892" t="inlineStr">
        <is>
          <t>EP</t>
        </is>
      </c>
      <c r="D4892" s="28" t="n">
        <v>46175</v>
      </c>
      <c r="E4892" t="inlineStr">
        <is>
          <t>현대EP_fast</t>
        </is>
      </c>
      <c r="F4892" t="inlineStr">
        <is>
          <t>허아진</t>
        </is>
      </c>
      <c r="G4892" t="inlineStr">
        <is>
          <t>010-9819-0602</t>
        </is>
      </c>
      <c r="H4892" t="inlineStr">
        <is>
          <t>57보7366</t>
        </is>
      </c>
      <c r="I4892" t="n">
        <v>9900000</v>
      </c>
      <c r="J4892" t="n">
        <v>0.093</v>
      </c>
      <c r="K4892" t="n">
        <v>1.76</v>
      </c>
      <c r="L4892" t="n">
        <v>0.14</v>
      </c>
      <c r="M4892" t="n">
        <v>1.62</v>
      </c>
      <c r="P4892" t="inlineStr">
        <is>
          <t>박현민</t>
        </is>
      </c>
      <c r="Q4892" t="inlineStr">
        <is>
          <t>홈서비스 60개월</t>
        </is>
      </c>
      <c r="AB4892" t="inlineStr">
        <is>
          <t>홈서비스</t>
        </is>
      </c>
      <c r="AC4892" t="n">
        <v>174240</v>
      </c>
      <c r="AD4892" t="n">
        <v>13860</v>
      </c>
      <c r="AE4892" t="n">
        <v>160380</v>
      </c>
      <c r="AF4892" t="n">
        <v>158400</v>
      </c>
      <c r="AG4892" t="n">
        <v>13402.62</v>
      </c>
      <c r="AH4892" t="n">
        <v>144997.38</v>
      </c>
      <c r="AI4892" t="n">
        <v>0</v>
      </c>
    </row>
    <row r="4893">
      <c r="A4893" t="inlineStr">
        <is>
          <t>6월</t>
        </is>
      </c>
      <c r="B4893" t="inlineStr">
        <is>
          <t>23주차</t>
        </is>
      </c>
      <c r="C4893" t="inlineStr">
        <is>
          <t>IM</t>
        </is>
      </c>
      <c r="D4893" s="28" t="n">
        <v>46175</v>
      </c>
      <c r="E4893" t="inlineStr">
        <is>
          <t>IM캐피탈</t>
        </is>
      </c>
      <c r="F4893" t="inlineStr">
        <is>
          <t>장규석</t>
        </is>
      </c>
      <c r="G4893" t="inlineStr">
        <is>
          <t>010-4266-3542</t>
        </is>
      </c>
      <c r="H4893" t="inlineStr">
        <is>
          <t>53소7689</t>
        </is>
      </c>
      <c r="I4893" t="n">
        <v>10000000</v>
      </c>
      <c r="J4893" t="n">
        <v>0.049</v>
      </c>
      <c r="K4893" t="n">
        <v>1.1</v>
      </c>
      <c r="L4893" t="n">
        <v>0.14</v>
      </c>
      <c r="M4893" t="n">
        <v>0.96</v>
      </c>
      <c r="P4893" t="inlineStr">
        <is>
          <t>김수연</t>
        </is>
      </c>
      <c r="Q4893" t="inlineStr">
        <is>
          <t>홈서비스 60개월</t>
        </is>
      </c>
      <c r="AB4893" t="inlineStr">
        <is>
          <t>홈서비스</t>
        </is>
      </c>
      <c r="AC4893" t="n">
        <v>110000</v>
      </c>
      <c r="AD4893" t="n">
        <v>14000</v>
      </c>
      <c r="AE4893" t="n">
        <v>96000</v>
      </c>
      <c r="AF4893" t="n">
        <v>100000</v>
      </c>
      <c r="AG4893" t="n">
        <v>13538</v>
      </c>
      <c r="AH4893" t="n">
        <v>86462</v>
      </c>
      <c r="AI4893" t="n">
        <v>0</v>
      </c>
    </row>
    <row r="4894">
      <c r="A4894" t="inlineStr">
        <is>
          <t>6월</t>
        </is>
      </c>
      <c r="B4894" t="inlineStr">
        <is>
          <t>23주차</t>
        </is>
      </c>
      <c r="C4894" t="inlineStr">
        <is>
          <t>EP</t>
        </is>
      </c>
      <c r="D4894" s="28" t="n">
        <v>46175</v>
      </c>
      <c r="E4894" t="inlineStr">
        <is>
          <t>현대EP_fast</t>
        </is>
      </c>
      <c r="F4894" t="inlineStr">
        <is>
          <t>김민찬</t>
        </is>
      </c>
      <c r="G4894" t="inlineStr">
        <is>
          <t>010-3948-0903</t>
        </is>
      </c>
      <c r="H4894" t="inlineStr">
        <is>
          <t>175루8455</t>
        </is>
      </c>
      <c r="I4894" t="n">
        <v>12000000</v>
      </c>
      <c r="J4894" t="n">
        <v>0.08</v>
      </c>
      <c r="K4894" t="n">
        <v>1.76</v>
      </c>
      <c r="L4894" t="n">
        <v>0.14</v>
      </c>
      <c r="M4894" t="n">
        <v>1.62</v>
      </c>
      <c r="P4894" t="inlineStr">
        <is>
          <t>황채이</t>
        </is>
      </c>
      <c r="Q4894" t="inlineStr">
        <is>
          <t>홈서비스 36개월</t>
        </is>
      </c>
      <c r="AB4894" t="inlineStr">
        <is>
          <t>홈서비스</t>
        </is>
      </c>
      <c r="AC4894" t="n">
        <v>211200</v>
      </c>
      <c r="AD4894" t="n">
        <v>16800</v>
      </c>
      <c r="AE4894" t="n">
        <v>194400</v>
      </c>
      <c r="AF4894" t="n">
        <v>192000</v>
      </c>
      <c r="AG4894" t="n">
        <v>16245.6</v>
      </c>
      <c r="AH4894" t="n">
        <v>175754.4</v>
      </c>
    </row>
    <row r="4895">
      <c r="A4895" t="inlineStr">
        <is>
          <t>6월</t>
        </is>
      </c>
      <c r="B4895" t="inlineStr">
        <is>
          <t>23주차</t>
        </is>
      </c>
      <c r="C4895" t="inlineStr">
        <is>
          <t>EP</t>
        </is>
      </c>
      <c r="D4895" s="28" t="n">
        <v>46175</v>
      </c>
      <c r="E4895" t="inlineStr">
        <is>
          <t>현대EP_fast</t>
        </is>
      </c>
      <c r="F4895" t="inlineStr">
        <is>
          <t>서동윤</t>
        </is>
      </c>
      <c r="G4895" t="inlineStr">
        <is>
          <t>010-4516-1432</t>
        </is>
      </c>
      <c r="H4895" t="inlineStr">
        <is>
          <t>43주4299</t>
        </is>
      </c>
      <c r="I4895" t="n">
        <v>5700000</v>
      </c>
      <c r="J4895" t="n">
        <v>0.142</v>
      </c>
      <c r="K4895" t="n">
        <v>1.76</v>
      </c>
      <c r="L4895" t="n">
        <v>0.14</v>
      </c>
      <c r="M4895" t="n">
        <v>1.62</v>
      </c>
      <c r="P4895" t="inlineStr">
        <is>
          <t>황채이</t>
        </is>
      </c>
      <c r="Q4895" t="inlineStr">
        <is>
          <t>홈서비스 48개월</t>
        </is>
      </c>
      <c r="AB4895" t="inlineStr">
        <is>
          <t>홈서비스</t>
        </is>
      </c>
      <c r="AC4895" t="n">
        <v>100320</v>
      </c>
      <c r="AD4895" t="n">
        <v>7980</v>
      </c>
      <c r="AE4895" t="n">
        <v>92340</v>
      </c>
      <c r="AF4895" t="n">
        <v>91200</v>
      </c>
      <c r="AG4895" t="n">
        <v>7716.66</v>
      </c>
      <c r="AH4895" t="n">
        <v>83483.34</v>
      </c>
      <c r="AI4895" t="n">
        <v>0</v>
      </c>
    </row>
    <row r="4896">
      <c r="A4896" t="inlineStr">
        <is>
          <t>6월</t>
        </is>
      </c>
      <c r="B4896" t="inlineStr">
        <is>
          <t>23주차</t>
        </is>
      </c>
      <c r="C4896" t="inlineStr">
        <is>
          <t>EP</t>
        </is>
      </c>
      <c r="D4896" s="28" t="n">
        <v>46175</v>
      </c>
      <c r="E4896" t="inlineStr">
        <is>
          <t>BNKEP</t>
        </is>
      </c>
      <c r="F4896" t="inlineStr">
        <is>
          <t>안예지</t>
        </is>
      </c>
      <c r="G4896" t="inlineStr">
        <is>
          <t>010-5172-5308</t>
        </is>
      </c>
      <c r="H4896" t="inlineStr">
        <is>
          <t>156모5572</t>
        </is>
      </c>
      <c r="I4896" t="n">
        <v>32600000</v>
      </c>
      <c r="J4896" t="n">
        <v>0.055</v>
      </c>
      <c r="K4896" t="n">
        <v>1.65</v>
      </c>
      <c r="L4896" t="n">
        <v>0.14</v>
      </c>
      <c r="M4896" t="n">
        <v>1.51</v>
      </c>
      <c r="P4896" t="inlineStr">
        <is>
          <t>황채이</t>
        </is>
      </c>
      <c r="Q4896" t="inlineStr">
        <is>
          <t>홈서비스 60개월</t>
        </is>
      </c>
      <c r="AB4896" t="inlineStr">
        <is>
          <t>홈서비스</t>
        </is>
      </c>
      <c r="AC4896" t="n">
        <v>537900</v>
      </c>
      <c r="AD4896" t="n">
        <v>45640</v>
      </c>
      <c r="AE4896" t="n">
        <v>492260</v>
      </c>
      <c r="AF4896" t="n">
        <v>489000</v>
      </c>
      <c r="AG4896" t="n">
        <v>44133.88</v>
      </c>
      <c r="AH4896" t="n">
        <v>444866.12</v>
      </c>
      <c r="AI4896" t="n">
        <v>0</v>
      </c>
    </row>
    <row r="4897">
      <c r="A4897" t="inlineStr">
        <is>
          <t>6월</t>
        </is>
      </c>
      <c r="B4897" t="inlineStr">
        <is>
          <t>23주차</t>
        </is>
      </c>
      <c r="C4897" t="inlineStr">
        <is>
          <t>EP</t>
        </is>
      </c>
      <c r="D4897" s="28" t="n">
        <v>46175</v>
      </c>
      <c r="E4897" t="inlineStr">
        <is>
          <t>현대EP_fast</t>
        </is>
      </c>
      <c r="F4897" t="inlineStr">
        <is>
          <t>옥순현</t>
        </is>
      </c>
      <c r="G4897" t="inlineStr">
        <is>
          <t>010-6722-6533</t>
        </is>
      </c>
      <c r="H4897" t="inlineStr">
        <is>
          <t>245우8520</t>
        </is>
      </c>
      <c r="I4897" t="n">
        <v>30000000</v>
      </c>
      <c r="J4897" t="n">
        <v>0.06900000000000001</v>
      </c>
      <c r="K4897" t="n">
        <v>1.76</v>
      </c>
      <c r="L4897" t="n">
        <v>0.14</v>
      </c>
      <c r="M4897" t="n">
        <v>1.62</v>
      </c>
      <c r="P4897" t="inlineStr">
        <is>
          <t>황채이</t>
        </is>
      </c>
      <c r="Q4897" t="inlineStr">
        <is>
          <t>홈서비스 60개월</t>
        </is>
      </c>
      <c r="AB4897" t="inlineStr">
        <is>
          <t>홈서비스</t>
        </is>
      </c>
      <c r="AC4897" t="n">
        <v>528000</v>
      </c>
      <c r="AD4897" t="n">
        <v>42000</v>
      </c>
      <c r="AE4897" t="n">
        <v>486000</v>
      </c>
      <c r="AF4897" t="n">
        <v>480000</v>
      </c>
      <c r="AG4897" t="n">
        <v>40614</v>
      </c>
      <c r="AH4897" t="n">
        <v>439386</v>
      </c>
      <c r="AI4897" t="n">
        <v>0</v>
      </c>
    </row>
    <row r="4898">
      <c r="A4898" t="inlineStr">
        <is>
          <t>6월</t>
        </is>
      </c>
      <c r="B4898" t="inlineStr">
        <is>
          <t>23주차</t>
        </is>
      </c>
      <c r="C4898" t="inlineStr">
        <is>
          <t>EP</t>
        </is>
      </c>
      <c r="D4898" s="28" t="n">
        <v>46175</v>
      </c>
      <c r="E4898" t="inlineStr">
        <is>
          <t>현대EP_fast</t>
        </is>
      </c>
      <c r="F4898" t="inlineStr">
        <is>
          <t>백민준</t>
        </is>
      </c>
      <c r="G4898" t="inlineStr">
        <is>
          <t>010-5664-7752</t>
        </is>
      </c>
      <c r="H4898" t="inlineStr">
        <is>
          <t>61가5911</t>
        </is>
      </c>
      <c r="I4898" t="n">
        <v>32500000</v>
      </c>
      <c r="J4898" t="n">
        <v>0.077</v>
      </c>
      <c r="K4898" t="n">
        <v>1.76</v>
      </c>
      <c r="L4898" t="n">
        <v>0.14</v>
      </c>
      <c r="M4898" t="n">
        <v>1.62</v>
      </c>
      <c r="P4898" t="inlineStr">
        <is>
          <t>황채이</t>
        </is>
      </c>
      <c r="Q4898" t="inlineStr">
        <is>
          <t>홈서비스 60개월</t>
        </is>
      </c>
      <c r="AB4898" t="inlineStr">
        <is>
          <t>홈서비스</t>
        </is>
      </c>
      <c r="AC4898" t="n">
        <v>572000</v>
      </c>
      <c r="AD4898" t="n">
        <v>45500</v>
      </c>
      <c r="AE4898" t="n">
        <v>526500</v>
      </c>
      <c r="AF4898" t="n">
        <v>520000</v>
      </c>
      <c r="AG4898" t="n">
        <v>43998.5</v>
      </c>
      <c r="AH4898" t="n">
        <v>476001.5</v>
      </c>
    </row>
    <row r="4899">
      <c r="A4899" t="inlineStr">
        <is>
          <t>6월</t>
        </is>
      </c>
      <c r="B4899" t="inlineStr">
        <is>
          <t>23주차</t>
        </is>
      </c>
      <c r="C4899" t="inlineStr">
        <is>
          <t>IM</t>
        </is>
      </c>
      <c r="D4899" s="28" t="n">
        <v>46175</v>
      </c>
      <c r="E4899" t="inlineStr">
        <is>
          <t>IM캐피탈</t>
        </is>
      </c>
      <c r="F4899" t="inlineStr">
        <is>
          <t>황동현</t>
        </is>
      </c>
      <c r="G4899" t="inlineStr">
        <is>
          <t>010-9106-3788</t>
        </is>
      </c>
      <c r="H4899" t="inlineStr">
        <is>
          <t>257더3912</t>
        </is>
      </c>
      <c r="I4899" t="n">
        <v>20000000</v>
      </c>
      <c r="J4899" t="n">
        <v>0.045</v>
      </c>
      <c r="K4899" t="n">
        <v>1.1</v>
      </c>
      <c r="L4899" t="n">
        <v>0.14</v>
      </c>
      <c r="M4899" t="n">
        <v>0.96</v>
      </c>
      <c r="P4899" t="inlineStr">
        <is>
          <t>김수연</t>
        </is>
      </c>
      <c r="Q4899" t="inlineStr">
        <is>
          <t>홈서비스 24개월</t>
        </is>
      </c>
      <c r="AB4899" t="inlineStr">
        <is>
          <t>홈서비스</t>
        </is>
      </c>
      <c r="AC4899" t="n">
        <v>220000</v>
      </c>
      <c r="AD4899" t="n">
        <v>28000</v>
      </c>
      <c r="AE4899" t="n">
        <v>192000</v>
      </c>
      <c r="AF4899" t="n">
        <v>200000</v>
      </c>
      <c r="AG4899" t="n">
        <v>27076</v>
      </c>
      <c r="AH4899" t="n">
        <v>172924</v>
      </c>
      <c r="AI4899" t="n">
        <v>0</v>
      </c>
    </row>
    <row r="4900">
      <c r="A4900" t="inlineStr">
        <is>
          <t>6월</t>
        </is>
      </c>
      <c r="B4900" t="inlineStr">
        <is>
          <t>23주차</t>
        </is>
      </c>
      <c r="C4900" t="inlineStr">
        <is>
          <t>EP</t>
        </is>
      </c>
      <c r="D4900" s="28" t="n">
        <v>46175</v>
      </c>
      <c r="E4900" t="inlineStr">
        <is>
          <t>현대EP_fast</t>
        </is>
      </c>
      <c r="F4900" t="inlineStr">
        <is>
          <t>강경동</t>
        </is>
      </c>
      <c r="G4900" t="inlineStr">
        <is>
          <t>010-5230-6124</t>
        </is>
      </c>
      <c r="H4900" t="inlineStr">
        <is>
          <t>148서4384</t>
        </is>
      </c>
      <c r="I4900" t="n">
        <v>7000000</v>
      </c>
      <c r="J4900" t="n">
        <v>0.142</v>
      </c>
      <c r="K4900" t="n">
        <v>1.76</v>
      </c>
      <c r="L4900" t="n">
        <v>0.14</v>
      </c>
      <c r="M4900" t="n">
        <v>1.62</v>
      </c>
      <c r="P4900" t="inlineStr">
        <is>
          <t>황채이</t>
        </is>
      </c>
      <c r="Q4900" t="inlineStr">
        <is>
          <t>홈서비스 24개월</t>
        </is>
      </c>
      <c r="AB4900" t="inlineStr">
        <is>
          <t>홈서비스</t>
        </is>
      </c>
      <c r="AC4900" t="n">
        <v>123200</v>
      </c>
      <c r="AD4900" t="n">
        <v>9800</v>
      </c>
      <c r="AE4900" t="n">
        <v>113400</v>
      </c>
      <c r="AF4900" t="n">
        <v>112000</v>
      </c>
      <c r="AG4900" t="n">
        <v>9476.6</v>
      </c>
      <c r="AH4900" t="n">
        <v>102523.4</v>
      </c>
    </row>
    <row r="4901">
      <c r="A4901" t="inlineStr">
        <is>
          <t>6월</t>
        </is>
      </c>
      <c r="B4901" t="inlineStr">
        <is>
          <t>23주차</t>
        </is>
      </c>
      <c r="C4901" t="inlineStr">
        <is>
          <t>EP</t>
        </is>
      </c>
      <c r="D4901" s="28" t="n">
        <v>46175</v>
      </c>
      <c r="E4901" t="inlineStr">
        <is>
          <t>현대EP_fast</t>
        </is>
      </c>
      <c r="F4901" t="inlineStr">
        <is>
          <t>주윤호</t>
        </is>
      </c>
      <c r="G4901" t="inlineStr">
        <is>
          <t>010-3516-8485</t>
        </is>
      </c>
      <c r="H4901" t="inlineStr">
        <is>
          <t>43마1964</t>
        </is>
      </c>
      <c r="I4901" t="n">
        <v>28500000</v>
      </c>
      <c r="J4901" t="n">
        <v>0.097</v>
      </c>
      <c r="K4901" t="n">
        <v>1.76</v>
      </c>
      <c r="L4901" t="n">
        <v>0.14</v>
      </c>
      <c r="M4901" t="n">
        <v>1.62</v>
      </c>
      <c r="P4901" t="inlineStr">
        <is>
          <t>김나윤</t>
        </is>
      </c>
      <c r="Q4901" t="inlineStr">
        <is>
          <t>홈서비스 60개월 / 공동명의</t>
        </is>
      </c>
      <c r="AB4901" t="inlineStr">
        <is>
          <t>홈서비스</t>
        </is>
      </c>
      <c r="AC4901" t="n">
        <v>501600</v>
      </c>
      <c r="AD4901" t="n">
        <v>39900</v>
      </c>
      <c r="AE4901" t="n">
        <v>461700</v>
      </c>
      <c r="AF4901" t="n">
        <v>456000</v>
      </c>
      <c r="AG4901" t="n">
        <v>38583.3</v>
      </c>
      <c r="AH4901" t="n">
        <v>417416.7</v>
      </c>
      <c r="AI4901" t="n">
        <v>0</v>
      </c>
    </row>
    <row r="4902">
      <c r="A4902" t="inlineStr">
        <is>
          <t>6월</t>
        </is>
      </c>
      <c r="B4902" t="inlineStr">
        <is>
          <t>23주차</t>
        </is>
      </c>
      <c r="C4902" t="inlineStr">
        <is>
          <t>EP</t>
        </is>
      </c>
      <c r="D4902" s="28" t="n">
        <v>46175</v>
      </c>
      <c r="E4902" t="inlineStr">
        <is>
          <t>현대EP_fast</t>
        </is>
      </c>
      <c r="F4902" t="inlineStr">
        <is>
          <t>김수환</t>
        </is>
      </c>
      <c r="G4902" t="inlineStr">
        <is>
          <t>010-5769-9303</t>
        </is>
      </c>
      <c r="H4902" t="inlineStr">
        <is>
          <t>124라6386</t>
        </is>
      </c>
      <c r="I4902" t="n">
        <v>3300000</v>
      </c>
      <c r="J4902" t="n">
        <v>0.142</v>
      </c>
      <c r="K4902" t="n">
        <v>1.76</v>
      </c>
      <c r="L4902" t="n">
        <v>0.14</v>
      </c>
      <c r="M4902" t="n">
        <v>1.62</v>
      </c>
      <c r="P4902" t="inlineStr">
        <is>
          <t>황채이</t>
        </is>
      </c>
      <c r="Q4902" t="inlineStr">
        <is>
          <t>홈서비스 48개월</t>
        </is>
      </c>
      <c r="AB4902" t="inlineStr">
        <is>
          <t>홈서비스</t>
        </is>
      </c>
      <c r="AC4902" t="n">
        <v>58080</v>
      </c>
      <c r="AD4902" t="n">
        <v>4620</v>
      </c>
      <c r="AE4902" t="n">
        <v>53460</v>
      </c>
      <c r="AF4902" t="n">
        <v>52800</v>
      </c>
      <c r="AG4902" t="n">
        <v>4467.54</v>
      </c>
      <c r="AH4902" t="n">
        <v>48332.46</v>
      </c>
      <c r="AI4902" t="n">
        <v>0</v>
      </c>
    </row>
    <row r="4903">
      <c r="A4903" t="inlineStr">
        <is>
          <t>6월</t>
        </is>
      </c>
      <c r="B4903" t="inlineStr">
        <is>
          <t>23주차</t>
        </is>
      </c>
      <c r="C4903" t="inlineStr">
        <is>
          <t>EP</t>
        </is>
      </c>
      <c r="D4903" s="28" t="n">
        <v>46175</v>
      </c>
      <c r="E4903" t="inlineStr">
        <is>
          <t>BNKEP</t>
        </is>
      </c>
      <c r="F4903" t="inlineStr">
        <is>
          <t>박경민</t>
        </is>
      </c>
      <c r="G4903" t="inlineStr">
        <is>
          <t>010-5158-4365</t>
        </is>
      </c>
      <c r="H4903" t="inlineStr">
        <is>
          <t>234고1527</t>
        </is>
      </c>
      <c r="I4903" t="n">
        <v>4600000</v>
      </c>
      <c r="J4903" t="n">
        <v>0.07099999999999999</v>
      </c>
      <c r="K4903" t="n">
        <v>1.65</v>
      </c>
      <c r="L4903" t="n">
        <v>0.14</v>
      </c>
      <c r="M4903" t="n">
        <v>1.51</v>
      </c>
      <c r="P4903" t="inlineStr">
        <is>
          <t>황채이</t>
        </is>
      </c>
      <c r="Q4903" t="inlineStr">
        <is>
          <t>홈서비스 24개월</t>
        </is>
      </c>
      <c r="AB4903" t="inlineStr">
        <is>
          <t>홈서비스</t>
        </is>
      </c>
      <c r="AC4903" t="n">
        <v>75900</v>
      </c>
      <c r="AD4903" t="n">
        <v>6440</v>
      </c>
      <c r="AE4903" t="n">
        <v>69460</v>
      </c>
      <c r="AF4903" t="n">
        <v>69000</v>
      </c>
      <c r="AG4903" t="n">
        <v>6227.48</v>
      </c>
      <c r="AH4903" t="n">
        <v>62772.52</v>
      </c>
      <c r="AI4903" t="n">
        <v>0</v>
      </c>
    </row>
    <row r="4904">
      <c r="A4904" t="inlineStr">
        <is>
          <t>6월</t>
        </is>
      </c>
      <c r="B4904" t="inlineStr">
        <is>
          <t>23주차</t>
        </is>
      </c>
      <c r="C4904" t="inlineStr">
        <is>
          <t>IM</t>
        </is>
      </c>
      <c r="D4904" s="28" t="n">
        <v>46175</v>
      </c>
      <c r="E4904" t="inlineStr">
        <is>
          <t>IM캐피탈</t>
        </is>
      </c>
      <c r="F4904" t="inlineStr">
        <is>
          <t>천하현</t>
        </is>
      </c>
      <c r="G4904" t="inlineStr">
        <is>
          <t>010-5800-0945</t>
        </is>
      </c>
      <c r="H4904" t="inlineStr">
        <is>
          <t>142서1119</t>
        </is>
      </c>
      <c r="I4904" t="n">
        <v>22100000</v>
      </c>
      <c r="J4904" t="n">
        <v>0.06900000000000001</v>
      </c>
      <c r="K4904" t="n">
        <v>1.1</v>
      </c>
      <c r="L4904" t="n">
        <v>0.14</v>
      </c>
      <c r="M4904" t="n">
        <v>0.96</v>
      </c>
      <c r="P4904" t="inlineStr">
        <is>
          <t>김나윤</t>
        </is>
      </c>
      <c r="Q4904" t="inlineStr">
        <is>
          <t>홈서비스 60개월</t>
        </is>
      </c>
      <c r="AB4904" t="inlineStr">
        <is>
          <t>홈서비스</t>
        </is>
      </c>
      <c r="AC4904" t="n">
        <v>243100</v>
      </c>
      <c r="AD4904" t="n">
        <v>30940</v>
      </c>
      <c r="AE4904" t="n">
        <v>212160</v>
      </c>
      <c r="AF4904" t="n">
        <v>221000</v>
      </c>
      <c r="AG4904" t="n">
        <v>29918.98</v>
      </c>
      <c r="AH4904" t="n">
        <v>191081.02</v>
      </c>
      <c r="AI4904" t="n">
        <v>0</v>
      </c>
    </row>
    <row r="4905">
      <c r="A4905" t="inlineStr">
        <is>
          <t>6월</t>
        </is>
      </c>
      <c r="B4905" t="inlineStr">
        <is>
          <t>23주차</t>
        </is>
      </c>
      <c r="C4905" t="inlineStr">
        <is>
          <t>IM</t>
        </is>
      </c>
      <c r="D4905" s="28" t="n">
        <v>46175</v>
      </c>
      <c r="E4905" t="inlineStr">
        <is>
          <t>IM캐피탈</t>
        </is>
      </c>
      <c r="F4905" t="inlineStr">
        <is>
          <t>전국일</t>
        </is>
      </c>
      <c r="G4905" t="inlineStr">
        <is>
          <t>010-4424-2867</t>
        </is>
      </c>
      <c r="H4905" t="inlineStr">
        <is>
          <t>185거1787</t>
        </is>
      </c>
      <c r="I4905" t="n">
        <v>36000000</v>
      </c>
      <c r="J4905" t="n">
        <v>0.049</v>
      </c>
      <c r="K4905" t="n">
        <v>1.1</v>
      </c>
      <c r="L4905" t="n">
        <v>0.4</v>
      </c>
      <c r="M4905" t="n">
        <v>0.7</v>
      </c>
      <c r="P4905" t="inlineStr">
        <is>
          <t>박소현</t>
        </is>
      </c>
      <c r="Q4905" t="inlineStr">
        <is>
          <t>부대비용추가진행 / 공동명의</t>
        </is>
      </c>
      <c r="AB4905" t="inlineStr">
        <is>
          <t>엔카</t>
        </is>
      </c>
      <c r="AC4905" t="n">
        <v>396000</v>
      </c>
      <c r="AD4905" t="n">
        <v>144000</v>
      </c>
      <c r="AE4905" t="n">
        <v>252000</v>
      </c>
      <c r="AF4905" t="n">
        <v>360000</v>
      </c>
      <c r="AG4905" t="n">
        <v>139248</v>
      </c>
      <c r="AH4905" t="n">
        <v>220752</v>
      </c>
      <c r="AI4905" t="n">
        <v>0</v>
      </c>
    </row>
    <row r="4906">
      <c r="A4906" t="inlineStr">
        <is>
          <t>6월</t>
        </is>
      </c>
      <c r="B4906" t="inlineStr">
        <is>
          <t>23주차</t>
        </is>
      </c>
      <c r="C4906" t="inlineStr">
        <is>
          <t>EP</t>
        </is>
      </c>
      <c r="D4906" s="28" t="n">
        <v>46175</v>
      </c>
      <c r="E4906" t="inlineStr">
        <is>
          <t>현대EP_fast</t>
        </is>
      </c>
      <c r="F4906" t="inlineStr">
        <is>
          <t>박호현</t>
        </is>
      </c>
      <c r="G4906" t="inlineStr">
        <is>
          <t>010-5556-1811</t>
        </is>
      </c>
      <c r="H4906" t="inlineStr">
        <is>
          <t>50두9569</t>
        </is>
      </c>
      <c r="I4906" t="n">
        <v>11900000</v>
      </c>
      <c r="J4906" t="n">
        <v>0.113</v>
      </c>
      <c r="K4906" t="n">
        <v>1.76</v>
      </c>
      <c r="L4906" t="n">
        <v>0.14</v>
      </c>
      <c r="M4906" t="n">
        <v>1.62</v>
      </c>
      <c r="P4906" t="inlineStr">
        <is>
          <t>김수연</t>
        </is>
      </c>
      <c r="Q4906" t="inlineStr">
        <is>
          <t>홈서비스 60개월</t>
        </is>
      </c>
      <c r="AB4906" t="inlineStr">
        <is>
          <t>홈서비스</t>
        </is>
      </c>
      <c r="AC4906" t="n">
        <v>209440</v>
      </c>
      <c r="AD4906" t="n">
        <v>16660</v>
      </c>
      <c r="AE4906" t="n">
        <v>192780</v>
      </c>
      <c r="AF4906" t="n">
        <v>190400</v>
      </c>
      <c r="AG4906" t="n">
        <v>16110.22</v>
      </c>
      <c r="AH4906" t="n">
        <v>174289.78</v>
      </c>
      <c r="AI4906" t="n">
        <v>0</v>
      </c>
    </row>
    <row r="4907">
      <c r="A4907" t="inlineStr">
        <is>
          <t>6월</t>
        </is>
      </c>
      <c r="B4907" t="inlineStr">
        <is>
          <t>23주차</t>
        </is>
      </c>
      <c r="C4907" t="inlineStr">
        <is>
          <t>IM</t>
        </is>
      </c>
      <c r="D4907" s="28" t="n">
        <v>46175</v>
      </c>
      <c r="E4907" t="inlineStr">
        <is>
          <t>IM캐피탈</t>
        </is>
      </c>
      <c r="F4907" t="inlineStr">
        <is>
          <t>곽병욱</t>
        </is>
      </c>
      <c r="G4907" t="inlineStr">
        <is>
          <t>010-2726-9342</t>
        </is>
      </c>
      <c r="H4907" t="inlineStr">
        <is>
          <t>227머8620</t>
        </is>
      </c>
      <c r="I4907" t="n">
        <v>11000000</v>
      </c>
      <c r="J4907" t="n">
        <v>0.049</v>
      </c>
      <c r="K4907" t="n">
        <v>1.1</v>
      </c>
      <c r="L4907" t="n">
        <v>0.14</v>
      </c>
      <c r="M4907" t="n">
        <v>0.96</v>
      </c>
      <c r="P4907" t="inlineStr">
        <is>
          <t>정세빈</t>
        </is>
      </c>
      <c r="Q4907" t="inlineStr">
        <is>
          <t>홈서비스 60개월</t>
        </is>
      </c>
      <c r="AB4907" t="inlineStr">
        <is>
          <t>홈서비스</t>
        </is>
      </c>
      <c r="AC4907" t="n">
        <v>121000</v>
      </c>
      <c r="AD4907" t="n">
        <v>15400</v>
      </c>
      <c r="AE4907" t="n">
        <v>105600</v>
      </c>
      <c r="AF4907" t="n">
        <v>110000</v>
      </c>
      <c r="AG4907" t="n">
        <v>14891.8</v>
      </c>
      <c r="AH4907" t="n">
        <v>95108.2</v>
      </c>
      <c r="AI4907" t="n">
        <v>0</v>
      </c>
    </row>
    <row r="4908">
      <c r="A4908" t="inlineStr">
        <is>
          <t>6월</t>
        </is>
      </c>
      <c r="B4908" t="inlineStr">
        <is>
          <t>23주차</t>
        </is>
      </c>
      <c r="C4908" t="inlineStr">
        <is>
          <t>IM</t>
        </is>
      </c>
      <c r="D4908" s="28" t="n">
        <v>46175</v>
      </c>
      <c r="E4908" t="inlineStr">
        <is>
          <t>IM캐피탈</t>
        </is>
      </c>
      <c r="F4908" t="inlineStr">
        <is>
          <t>신희철</t>
        </is>
      </c>
      <c r="G4908" t="inlineStr">
        <is>
          <t>010-4977-6617</t>
        </is>
      </c>
      <c r="H4908" t="inlineStr">
        <is>
          <t>05머3240</t>
        </is>
      </c>
      <c r="I4908" t="n">
        <v>14600000</v>
      </c>
      <c r="J4908" t="n">
        <v>0.045</v>
      </c>
      <c r="K4908" t="n">
        <v>1.1</v>
      </c>
      <c r="L4908" t="n">
        <v>0.4</v>
      </c>
      <c r="M4908" t="n">
        <v>0.7</v>
      </c>
      <c r="P4908" t="inlineStr">
        <is>
          <t>구성완</t>
        </is>
      </c>
      <c r="AB4908" t="inlineStr">
        <is>
          <t>엔카</t>
        </is>
      </c>
      <c r="AC4908" t="n">
        <v>160600</v>
      </c>
      <c r="AD4908" t="n">
        <v>58400</v>
      </c>
      <c r="AE4908" t="n">
        <v>102200</v>
      </c>
      <c r="AF4908" t="n">
        <v>146000</v>
      </c>
      <c r="AG4908" t="n">
        <v>56472.8</v>
      </c>
      <c r="AH4908" t="n">
        <v>89527.2</v>
      </c>
      <c r="AI4908" t="n">
        <v>0</v>
      </c>
    </row>
    <row r="4909">
      <c r="A4909" t="inlineStr">
        <is>
          <t>6월</t>
        </is>
      </c>
      <c r="B4909" t="inlineStr">
        <is>
          <t>23주차</t>
        </is>
      </c>
      <c r="C4909" t="inlineStr">
        <is>
          <t>HC</t>
        </is>
      </c>
      <c r="D4909" s="28" t="n">
        <v>46175</v>
      </c>
      <c r="E4909" t="inlineStr">
        <is>
          <t>하나캐피탈</t>
        </is>
      </c>
      <c r="F4909" t="inlineStr">
        <is>
          <t>김제완</t>
        </is>
      </c>
      <c r="G4909" t="inlineStr">
        <is>
          <t>010-3735-1682</t>
        </is>
      </c>
      <c r="H4909" t="inlineStr">
        <is>
          <t>329더2325</t>
        </is>
      </c>
      <c r="I4909" t="n">
        <v>29000000</v>
      </c>
      <c r="J4909" t="n">
        <v>0.059</v>
      </c>
      <c r="K4909" t="n">
        <v>2.2</v>
      </c>
      <c r="L4909" t="n">
        <v>0.4</v>
      </c>
      <c r="M4909" t="n">
        <v>1.8</v>
      </c>
      <c r="P4909" t="inlineStr">
        <is>
          <t>구성완</t>
        </is>
      </c>
      <c r="AB4909" t="inlineStr">
        <is>
          <t>엔카</t>
        </is>
      </c>
      <c r="AC4909" t="n">
        <v>638000</v>
      </c>
      <c r="AD4909" t="n">
        <v>116000</v>
      </c>
      <c r="AE4909" t="n">
        <v>522000</v>
      </c>
      <c r="AF4909" t="n">
        <v>580000</v>
      </c>
      <c r="AG4909" t="n">
        <v>112172</v>
      </c>
      <c r="AH4909" t="n">
        <v>467828</v>
      </c>
      <c r="AI4909" t="n">
        <v>0</v>
      </c>
    </row>
    <row r="4910">
      <c r="A4910" t="inlineStr">
        <is>
          <t>6월</t>
        </is>
      </c>
      <c r="B4910" t="inlineStr">
        <is>
          <t>23주차</t>
        </is>
      </c>
      <c r="C4910" t="inlineStr">
        <is>
          <t>IM</t>
        </is>
      </c>
      <c r="D4910" s="28" t="n">
        <v>46175</v>
      </c>
      <c r="E4910" t="inlineStr">
        <is>
          <t>IM캐피탈</t>
        </is>
      </c>
      <c r="F4910" t="inlineStr">
        <is>
          <t>장중훈</t>
        </is>
      </c>
      <c r="G4910" t="inlineStr">
        <is>
          <t>010-4715-8617</t>
        </is>
      </c>
      <c r="H4910" t="inlineStr">
        <is>
          <t>50무1525</t>
        </is>
      </c>
      <c r="I4910" t="n">
        <v>7400000</v>
      </c>
      <c r="J4910" t="n">
        <v>0.07099999999999999</v>
      </c>
      <c r="K4910" t="n">
        <v>1.1</v>
      </c>
      <c r="L4910" t="n">
        <v>0.4</v>
      </c>
      <c r="M4910" t="n">
        <v>0.7</v>
      </c>
      <c r="P4910" t="inlineStr">
        <is>
          <t>구성완</t>
        </is>
      </c>
      <c r="Q4910" t="inlineStr">
        <is>
          <t>공동명의</t>
        </is>
      </c>
      <c r="AB4910" t="inlineStr">
        <is>
          <t>엔카</t>
        </is>
      </c>
      <c r="AC4910" t="n">
        <v>81400</v>
      </c>
      <c r="AD4910" t="n">
        <v>29600</v>
      </c>
      <c r="AE4910" t="n">
        <v>51800</v>
      </c>
      <c r="AF4910" t="n">
        <v>74000</v>
      </c>
      <c r="AG4910" t="n">
        <v>28623.2</v>
      </c>
      <c r="AH4910" t="n">
        <v>45376.8</v>
      </c>
      <c r="AI4910" t="n">
        <v>0</v>
      </c>
    </row>
    <row r="4911">
      <c r="A4911" t="inlineStr">
        <is>
          <t>6월</t>
        </is>
      </c>
      <c r="B4911" t="inlineStr">
        <is>
          <t>23주차</t>
        </is>
      </c>
      <c r="C4911" t="inlineStr">
        <is>
          <t>EP</t>
        </is>
      </c>
      <c r="D4911" s="28" t="n">
        <v>46175</v>
      </c>
      <c r="E4911" t="inlineStr">
        <is>
          <t>제이비EP</t>
        </is>
      </c>
      <c r="F4911" t="inlineStr">
        <is>
          <t>홍정수</t>
        </is>
      </c>
      <c r="G4911" t="inlineStr">
        <is>
          <t>010-7668-1365</t>
        </is>
      </c>
      <c r="H4911" t="inlineStr">
        <is>
          <t>226러4324</t>
        </is>
      </c>
      <c r="I4911" t="n">
        <v>50000000</v>
      </c>
      <c r="J4911" t="n">
        <v>0.063</v>
      </c>
      <c r="K4911" t="n">
        <v>1.65</v>
      </c>
      <c r="L4911" t="n">
        <v>0.4</v>
      </c>
      <c r="M4911" t="n">
        <v>1.25</v>
      </c>
      <c r="P4911" t="inlineStr">
        <is>
          <t>구성완</t>
        </is>
      </c>
      <c r="AB4911" t="inlineStr">
        <is>
          <t>엔카</t>
        </is>
      </c>
      <c r="AC4911" t="n">
        <v>825000</v>
      </c>
      <c r="AD4911" t="n">
        <v>200000</v>
      </c>
      <c r="AE4911" t="n">
        <v>625000</v>
      </c>
      <c r="AF4911" t="n">
        <v>750000</v>
      </c>
      <c r="AG4911" t="n">
        <v>193400</v>
      </c>
      <c r="AH4911" t="n">
        <v>556600</v>
      </c>
      <c r="AI4911" t="n">
        <v>0</v>
      </c>
    </row>
    <row r="4912">
      <c r="A4912" t="inlineStr">
        <is>
          <t>6월</t>
        </is>
      </c>
      <c r="B4912" t="inlineStr">
        <is>
          <t>23주차</t>
        </is>
      </c>
      <c r="C4912" t="inlineStr">
        <is>
          <t>EP</t>
        </is>
      </c>
      <c r="D4912" s="28" t="n">
        <v>46175</v>
      </c>
      <c r="E4912" t="inlineStr">
        <is>
          <t>현대EP_fast</t>
        </is>
      </c>
      <c r="F4912" t="inlineStr">
        <is>
          <t>신용준</t>
        </is>
      </c>
      <c r="G4912" t="inlineStr">
        <is>
          <t>010-4397-3111</t>
        </is>
      </c>
      <c r="H4912" t="inlineStr">
        <is>
          <t>26주6759</t>
        </is>
      </c>
      <c r="I4912" t="n">
        <v>13500000</v>
      </c>
      <c r="J4912" t="n">
        <v>0.113</v>
      </c>
      <c r="K4912" t="n">
        <v>1.76</v>
      </c>
      <c r="L4912" t="n">
        <v>0.4</v>
      </c>
      <c r="M4912" t="n">
        <v>1.36</v>
      </c>
      <c r="P4912" t="inlineStr">
        <is>
          <t>장진경</t>
        </is>
      </c>
      <c r="AB4912" t="inlineStr">
        <is>
          <t>엔카</t>
        </is>
      </c>
      <c r="AC4912" t="n">
        <v>237600</v>
      </c>
      <c r="AD4912" t="n">
        <v>54000</v>
      </c>
      <c r="AE4912" t="n">
        <v>183600</v>
      </c>
      <c r="AF4912" t="n">
        <v>216000</v>
      </c>
      <c r="AG4912" t="n">
        <v>52218</v>
      </c>
      <c r="AH4912" t="n">
        <v>163782</v>
      </c>
      <c r="AI4912" t="n">
        <v>0</v>
      </c>
    </row>
    <row r="4913">
      <c r="A4913" t="inlineStr">
        <is>
          <t>6월</t>
        </is>
      </c>
      <c r="B4913" t="inlineStr">
        <is>
          <t>23주차</t>
        </is>
      </c>
      <c r="C4913" t="inlineStr">
        <is>
          <t>EP</t>
        </is>
      </c>
      <c r="D4913" s="28" t="n">
        <v>46175</v>
      </c>
      <c r="E4913" t="inlineStr">
        <is>
          <t>제이비EP</t>
        </is>
      </c>
      <c r="F4913" t="inlineStr">
        <is>
          <t>서지은</t>
        </is>
      </c>
      <c r="G4913" t="inlineStr">
        <is>
          <t>010-6213-5272</t>
        </is>
      </c>
      <c r="H4913" t="inlineStr">
        <is>
          <t>256루3313</t>
        </is>
      </c>
      <c r="I4913" t="n">
        <v>4500000</v>
      </c>
      <c r="J4913" t="n">
        <v>0.08699999999999999</v>
      </c>
      <c r="K4913" t="n">
        <v>1.65</v>
      </c>
      <c r="L4913" t="n">
        <v>0.4</v>
      </c>
      <c r="M4913" t="n">
        <v>1.25</v>
      </c>
      <c r="P4913" t="inlineStr">
        <is>
          <t>박현민</t>
        </is>
      </c>
      <c r="AB4913" t="inlineStr">
        <is>
          <t>엔카</t>
        </is>
      </c>
      <c r="AC4913" t="n">
        <v>74250</v>
      </c>
      <c r="AD4913" t="n">
        <v>18000</v>
      </c>
      <c r="AE4913" t="n">
        <v>56250</v>
      </c>
      <c r="AF4913" t="n">
        <v>67500</v>
      </c>
      <c r="AG4913" t="n">
        <v>17406</v>
      </c>
      <c r="AH4913" t="n">
        <v>50094</v>
      </c>
      <c r="AI4913" t="n">
        <v>0</v>
      </c>
    </row>
    <row r="4914">
      <c r="A4914" t="inlineStr">
        <is>
          <t>6월</t>
        </is>
      </c>
      <c r="B4914" t="inlineStr">
        <is>
          <t>23주차</t>
        </is>
      </c>
      <c r="C4914" t="inlineStr">
        <is>
          <t>EP</t>
        </is>
      </c>
      <c r="D4914" s="28" t="n">
        <v>46175</v>
      </c>
      <c r="E4914" t="inlineStr">
        <is>
          <t>현대EP_fast</t>
        </is>
      </c>
      <c r="F4914" t="inlineStr">
        <is>
          <t>문동산</t>
        </is>
      </c>
      <c r="G4914" t="inlineStr">
        <is>
          <t>010-8469-3232</t>
        </is>
      </c>
      <c r="H4914" t="inlineStr">
        <is>
          <t>394서6452</t>
        </is>
      </c>
      <c r="I4914" t="n">
        <v>25400000</v>
      </c>
      <c r="J4914" t="n">
        <v>0.083</v>
      </c>
      <c r="K4914" t="n">
        <v>1.76</v>
      </c>
      <c r="L4914" t="n">
        <v>0.14</v>
      </c>
      <c r="M4914" t="n">
        <v>1.62</v>
      </c>
      <c r="P4914" t="inlineStr">
        <is>
          <t>임대경</t>
        </is>
      </c>
      <c r="Q4914" t="inlineStr">
        <is>
          <t>홈서비스 60개월</t>
        </is>
      </c>
      <c r="AB4914" t="inlineStr">
        <is>
          <t>홈서비스</t>
        </is>
      </c>
      <c r="AC4914" t="n">
        <v>447040</v>
      </c>
      <c r="AD4914" t="n">
        <v>35560</v>
      </c>
      <c r="AE4914" t="n">
        <v>411480</v>
      </c>
      <c r="AF4914" t="n">
        <v>406400</v>
      </c>
      <c r="AG4914" t="n">
        <v>34386.52</v>
      </c>
      <c r="AH4914" t="n">
        <v>372013.48</v>
      </c>
    </row>
    <row r="4915">
      <c r="A4915" t="inlineStr">
        <is>
          <t>6월</t>
        </is>
      </c>
      <c r="B4915" t="inlineStr">
        <is>
          <t>23주차</t>
        </is>
      </c>
      <c r="C4915" t="inlineStr">
        <is>
          <t>IM</t>
        </is>
      </c>
      <c r="D4915" s="28" t="n">
        <v>46175</v>
      </c>
      <c r="E4915" t="inlineStr">
        <is>
          <t>IM캐피탈</t>
        </is>
      </c>
      <c r="F4915" t="inlineStr">
        <is>
          <t>방경환</t>
        </is>
      </c>
      <c r="G4915" t="inlineStr">
        <is>
          <t>010-9321-1104</t>
        </is>
      </c>
      <c r="H4915" t="inlineStr">
        <is>
          <t>284가5919</t>
        </is>
      </c>
      <c r="I4915" t="n">
        <v>36000000</v>
      </c>
      <c r="J4915" t="n">
        <v>0.049</v>
      </c>
      <c r="K4915" t="n">
        <v>1.1</v>
      </c>
      <c r="L4915" t="n">
        <v>0.14</v>
      </c>
      <c r="M4915" t="n">
        <v>0.96</v>
      </c>
      <c r="P4915" t="inlineStr">
        <is>
          <t>황채이</t>
        </is>
      </c>
      <c r="Q4915" t="inlineStr">
        <is>
          <t>홈서비스 48개월</t>
        </is>
      </c>
      <c r="AB4915" t="inlineStr">
        <is>
          <t>홈서비스</t>
        </is>
      </c>
      <c r="AC4915" t="n">
        <v>396000</v>
      </c>
      <c r="AD4915" t="n">
        <v>50400</v>
      </c>
      <c r="AE4915" t="n">
        <v>345600</v>
      </c>
      <c r="AF4915" t="n">
        <v>360000</v>
      </c>
      <c r="AG4915" t="n">
        <v>48736.8</v>
      </c>
      <c r="AH4915" t="n">
        <v>311263.2</v>
      </c>
      <c r="AI4915" t="n">
        <v>0</v>
      </c>
    </row>
    <row r="4916">
      <c r="A4916" t="inlineStr">
        <is>
          <t>6월</t>
        </is>
      </c>
      <c r="B4916" t="inlineStr">
        <is>
          <t>23주차</t>
        </is>
      </c>
      <c r="C4916" t="inlineStr">
        <is>
          <t>IM</t>
        </is>
      </c>
      <c r="D4916" s="28" t="n">
        <v>46175</v>
      </c>
      <c r="E4916" t="inlineStr">
        <is>
          <t>IM캐피탈</t>
        </is>
      </c>
      <c r="F4916" t="inlineStr">
        <is>
          <t>정희종</t>
        </is>
      </c>
      <c r="G4916" t="inlineStr">
        <is>
          <t>010-5123-6845</t>
        </is>
      </c>
      <c r="H4916" t="inlineStr">
        <is>
          <t>187구4744</t>
        </is>
      </c>
      <c r="I4916" t="n">
        <v>13500000</v>
      </c>
      <c r="J4916" t="n">
        <v>0.049</v>
      </c>
      <c r="K4916" t="n">
        <v>1.1</v>
      </c>
      <c r="L4916" t="n">
        <v>0.14</v>
      </c>
      <c r="M4916" t="n">
        <v>0.96</v>
      </c>
      <c r="P4916" t="inlineStr">
        <is>
          <t>황채이</t>
        </is>
      </c>
      <c r="Q4916" t="inlineStr">
        <is>
          <t>홈서비스 60개월</t>
        </is>
      </c>
      <c r="AB4916" t="inlineStr">
        <is>
          <t>홈서비스</t>
        </is>
      </c>
      <c r="AC4916" t="n">
        <v>148500</v>
      </c>
      <c r="AD4916" t="n">
        <v>18900</v>
      </c>
      <c r="AE4916" t="n">
        <v>129600</v>
      </c>
      <c r="AF4916" t="n">
        <v>135000</v>
      </c>
      <c r="AG4916" t="n">
        <v>18276.3</v>
      </c>
      <c r="AH4916" t="n">
        <v>116723.7</v>
      </c>
      <c r="AI4916" t="n">
        <v>0</v>
      </c>
    </row>
    <row r="4917">
      <c r="A4917" t="inlineStr">
        <is>
          <t>6월</t>
        </is>
      </c>
      <c r="B4917" t="inlineStr">
        <is>
          <t>23주차</t>
        </is>
      </c>
      <c r="C4917" t="inlineStr">
        <is>
          <t>EP</t>
        </is>
      </c>
      <c r="D4917" s="28" t="n">
        <v>46175</v>
      </c>
      <c r="E4917" t="inlineStr">
        <is>
          <t>현대EP_fast</t>
        </is>
      </c>
      <c r="F4917" t="inlineStr">
        <is>
          <t>오승아</t>
        </is>
      </c>
      <c r="G4917" t="inlineStr">
        <is>
          <t>010-9318-7526</t>
        </is>
      </c>
      <c r="H4917" t="inlineStr">
        <is>
          <t>155소3346</t>
        </is>
      </c>
      <c r="I4917" t="n">
        <v>48900000</v>
      </c>
      <c r="J4917" t="n">
        <v>0.08</v>
      </c>
      <c r="K4917" t="n">
        <v>1.76</v>
      </c>
      <c r="L4917" t="n">
        <v>0.14</v>
      </c>
      <c r="M4917" t="n">
        <v>1.62</v>
      </c>
      <c r="P4917" t="inlineStr">
        <is>
          <t>황채이</t>
        </is>
      </c>
      <c r="Q4917" t="inlineStr">
        <is>
          <t>홈서비스 60개월</t>
        </is>
      </c>
      <c r="AB4917" t="inlineStr">
        <is>
          <t>홈서비스</t>
        </is>
      </c>
      <c r="AC4917" t="n">
        <v>860640</v>
      </c>
      <c r="AD4917" t="n">
        <v>68460</v>
      </c>
      <c r="AE4917" t="n">
        <v>792180</v>
      </c>
      <c r="AF4917" t="n">
        <v>782400</v>
      </c>
      <c r="AG4917" t="n">
        <v>66200.82000000001</v>
      </c>
      <c r="AH4917" t="n">
        <v>716199.1800000001</v>
      </c>
      <c r="AI4917" t="n">
        <v>0</v>
      </c>
    </row>
    <row r="4918">
      <c r="A4918" t="inlineStr">
        <is>
          <t>6월</t>
        </is>
      </c>
      <c r="B4918" t="inlineStr">
        <is>
          <t>23주차</t>
        </is>
      </c>
      <c r="C4918" t="inlineStr">
        <is>
          <t>EP</t>
        </is>
      </c>
      <c r="D4918" s="28" t="n">
        <v>46175</v>
      </c>
      <c r="E4918" t="inlineStr">
        <is>
          <t>현대EP_fast</t>
        </is>
      </c>
      <c r="F4918" t="inlineStr">
        <is>
          <t>김나영</t>
        </is>
      </c>
      <c r="G4918" t="inlineStr">
        <is>
          <t>010-2463-7486</t>
        </is>
      </c>
      <c r="H4918" t="inlineStr">
        <is>
          <t>202우2147</t>
        </is>
      </c>
      <c r="I4918" t="n">
        <v>32900000</v>
      </c>
      <c r="J4918" t="n">
        <v>0.093</v>
      </c>
      <c r="K4918" t="n">
        <v>1.76</v>
      </c>
      <c r="L4918" t="n">
        <v>0.14</v>
      </c>
      <c r="M4918" t="n">
        <v>1.62</v>
      </c>
      <c r="P4918" t="inlineStr">
        <is>
          <t>황채이</t>
        </is>
      </c>
      <c r="Q4918" t="inlineStr">
        <is>
          <t>홈서비스 60개월 / 공동명의</t>
        </is>
      </c>
      <c r="AB4918" t="inlineStr">
        <is>
          <t>홈서비스</t>
        </is>
      </c>
      <c r="AC4918" t="n">
        <v>579040</v>
      </c>
      <c r="AD4918" t="n">
        <v>46060</v>
      </c>
      <c r="AE4918" t="n">
        <v>532980</v>
      </c>
      <c r="AF4918" t="n">
        <v>526400</v>
      </c>
      <c r="AG4918" t="n">
        <v>44540.02</v>
      </c>
      <c r="AH4918" t="n">
        <v>481859.98</v>
      </c>
    </row>
    <row r="4919">
      <c r="A4919" t="inlineStr">
        <is>
          <t>6월</t>
        </is>
      </c>
      <c r="B4919" t="inlineStr">
        <is>
          <t>23주차</t>
        </is>
      </c>
      <c r="C4919" t="inlineStr">
        <is>
          <t>EP</t>
        </is>
      </c>
      <c r="D4919" s="28" t="n">
        <v>46175</v>
      </c>
      <c r="E4919" t="inlineStr">
        <is>
          <t>현대EP_fast</t>
        </is>
      </c>
      <c r="F4919" t="inlineStr">
        <is>
          <t>박정준</t>
        </is>
      </c>
      <c r="G4919" t="inlineStr">
        <is>
          <t>010-8188-8019</t>
        </is>
      </c>
      <c r="H4919" t="inlineStr">
        <is>
          <t>308로1058</t>
        </is>
      </c>
      <c r="I4919" t="n">
        <v>13700000</v>
      </c>
      <c r="J4919" t="n">
        <v>0.142</v>
      </c>
      <c r="K4919" t="n">
        <v>1.76</v>
      </c>
      <c r="L4919" t="n">
        <v>0.4</v>
      </c>
      <c r="M4919" t="n">
        <v>1.36</v>
      </c>
      <c r="P4919" t="inlineStr">
        <is>
          <t>박소현</t>
        </is>
      </c>
      <c r="AB4919" t="inlineStr">
        <is>
          <t>엔카</t>
        </is>
      </c>
      <c r="AC4919" t="n">
        <v>241120</v>
      </c>
      <c r="AD4919" t="n">
        <v>54800</v>
      </c>
      <c r="AE4919" t="n">
        <v>186320</v>
      </c>
      <c r="AF4919" t="n">
        <v>219200</v>
      </c>
      <c r="AG4919" t="n">
        <v>52991.6</v>
      </c>
      <c r="AH4919" t="n">
        <v>166208.4</v>
      </c>
    </row>
    <row r="4920">
      <c r="A4920" t="inlineStr">
        <is>
          <t>6월</t>
        </is>
      </c>
      <c r="B4920" t="inlineStr">
        <is>
          <t>23주차</t>
        </is>
      </c>
      <c r="C4920" t="inlineStr">
        <is>
          <t>EP</t>
        </is>
      </c>
      <c r="D4920" s="28" t="n">
        <v>46175</v>
      </c>
      <c r="E4920" t="inlineStr">
        <is>
          <t>제이비EP</t>
        </is>
      </c>
      <c r="F4920" t="inlineStr">
        <is>
          <t>임정인</t>
        </is>
      </c>
      <c r="G4920" t="inlineStr">
        <is>
          <t>010-6276-0270</t>
        </is>
      </c>
      <c r="H4920" t="inlineStr">
        <is>
          <t>240가6778</t>
        </is>
      </c>
      <c r="I4920" t="n">
        <v>26500000</v>
      </c>
      <c r="J4920" t="n">
        <v>0.08699999999999999</v>
      </c>
      <c r="K4920" t="n">
        <v>1.65</v>
      </c>
      <c r="L4920" t="n">
        <v>0.14</v>
      </c>
      <c r="M4920" t="n">
        <v>1.51</v>
      </c>
      <c r="P4920" t="inlineStr">
        <is>
          <t>박소현</t>
        </is>
      </c>
      <c r="Q4920" t="inlineStr">
        <is>
          <t>선상담 / 홈서비스 60개월</t>
        </is>
      </c>
      <c r="AB4920" t="inlineStr">
        <is>
          <t>홈서비스</t>
        </is>
      </c>
      <c r="AC4920" t="n">
        <v>437250</v>
      </c>
      <c r="AD4920" t="n">
        <v>37100</v>
      </c>
      <c r="AE4920" t="n">
        <v>400150</v>
      </c>
      <c r="AF4920" t="n">
        <v>397500</v>
      </c>
      <c r="AG4920" t="n">
        <v>35875.7</v>
      </c>
      <c r="AH4920" t="n">
        <v>361624.3</v>
      </c>
    </row>
    <row r="4921">
      <c r="A4921" t="inlineStr">
        <is>
          <t>6월</t>
        </is>
      </c>
      <c r="B4921" t="inlineStr">
        <is>
          <t>23주차</t>
        </is>
      </c>
      <c r="C4921" t="inlineStr">
        <is>
          <t>EP</t>
        </is>
      </c>
      <c r="D4921" s="28" t="n">
        <v>46175</v>
      </c>
      <c r="E4921" t="inlineStr">
        <is>
          <t>현대EP_fast</t>
        </is>
      </c>
      <c r="F4921" t="inlineStr">
        <is>
          <t>김호윤</t>
        </is>
      </c>
      <c r="G4921" t="inlineStr">
        <is>
          <t>010-3000-1783</t>
        </is>
      </c>
      <c r="H4921" t="inlineStr">
        <is>
          <t>87더7385</t>
        </is>
      </c>
      <c r="I4921" t="n">
        <v>7900000</v>
      </c>
      <c r="J4921" t="n">
        <v>0.06900000000000001</v>
      </c>
      <c r="K4921" t="n">
        <v>1.76</v>
      </c>
      <c r="L4921" t="n">
        <v>0.14</v>
      </c>
      <c r="M4921" t="n">
        <v>1.62</v>
      </c>
      <c r="P4921" t="inlineStr">
        <is>
          <t>정세빈</t>
        </is>
      </c>
      <c r="Q4921" t="inlineStr">
        <is>
          <t>홈서비스 60개월</t>
        </is>
      </c>
      <c r="AB4921" t="inlineStr">
        <is>
          <t>홈서비스</t>
        </is>
      </c>
      <c r="AC4921" t="n">
        <v>139040</v>
      </c>
      <c r="AD4921" t="n">
        <v>11060</v>
      </c>
      <c r="AE4921" t="n">
        <v>127980</v>
      </c>
      <c r="AF4921" t="n">
        <v>126400</v>
      </c>
      <c r="AG4921" t="n">
        <v>10695.02</v>
      </c>
      <c r="AH4921" t="n">
        <v>115704.98</v>
      </c>
      <c r="AI4921" t="n">
        <v>0</v>
      </c>
    </row>
    <row r="4922">
      <c r="A4922" t="inlineStr">
        <is>
          <t>6월</t>
        </is>
      </c>
      <c r="B4922" t="inlineStr">
        <is>
          <t>23주차</t>
        </is>
      </c>
      <c r="C4922" t="inlineStr">
        <is>
          <t>IM</t>
        </is>
      </c>
      <c r="D4922" s="28" t="n">
        <v>46175</v>
      </c>
      <c r="E4922" t="inlineStr">
        <is>
          <t>IM캐피탈</t>
        </is>
      </c>
      <c r="F4922" t="inlineStr">
        <is>
          <t>소병훈</t>
        </is>
      </c>
      <c r="G4922" t="inlineStr">
        <is>
          <t>010-2622-1928</t>
        </is>
      </c>
      <c r="H4922" t="inlineStr">
        <is>
          <t>146우7054</t>
        </is>
      </c>
      <c r="I4922" t="n">
        <v>18900000</v>
      </c>
      <c r="J4922" t="n">
        <v>0.049</v>
      </c>
      <c r="K4922" t="n">
        <v>1.1</v>
      </c>
      <c r="L4922" t="n">
        <v>0.14</v>
      </c>
      <c r="M4922" t="n">
        <v>0.96</v>
      </c>
      <c r="P4922" t="inlineStr">
        <is>
          <t>김수연</t>
        </is>
      </c>
      <c r="Q4922" t="inlineStr">
        <is>
          <t>홈서비스 60개월</t>
        </is>
      </c>
      <c r="AB4922" t="inlineStr">
        <is>
          <t>홈서비스</t>
        </is>
      </c>
      <c r="AC4922" t="n">
        <v>207900</v>
      </c>
      <c r="AD4922" t="n">
        <v>26460</v>
      </c>
      <c r="AE4922" t="n">
        <v>181440</v>
      </c>
      <c r="AF4922" t="n">
        <v>189000</v>
      </c>
      <c r="AG4922" t="n">
        <v>25586.82</v>
      </c>
      <c r="AH4922" t="n">
        <v>163413.18</v>
      </c>
      <c r="AI4922" t="n">
        <v>0</v>
      </c>
    </row>
    <row r="4923">
      <c r="A4923" t="inlineStr">
        <is>
          <t>6월</t>
        </is>
      </c>
      <c r="B4923" t="inlineStr">
        <is>
          <t>23주차</t>
        </is>
      </c>
      <c r="C4923" t="inlineStr">
        <is>
          <t>EP</t>
        </is>
      </c>
      <c r="D4923" s="28" t="n">
        <v>46175</v>
      </c>
      <c r="E4923" t="inlineStr">
        <is>
          <t>현대EP_fast</t>
        </is>
      </c>
      <c r="F4923" t="inlineStr">
        <is>
          <t>김인철</t>
        </is>
      </c>
      <c r="G4923" t="inlineStr">
        <is>
          <t>010-5571-8239</t>
        </is>
      </c>
      <c r="H4923" t="inlineStr">
        <is>
          <t>04저3218</t>
        </is>
      </c>
      <c r="I4923" t="n">
        <v>23500000</v>
      </c>
      <c r="J4923" t="n">
        <v>0.096</v>
      </c>
      <c r="K4923" t="n">
        <v>1.76</v>
      </c>
      <c r="L4923" t="n">
        <v>0.14</v>
      </c>
      <c r="M4923" t="n">
        <v>1.62</v>
      </c>
      <c r="P4923" t="inlineStr">
        <is>
          <t>김나윤</t>
        </is>
      </c>
      <c r="Q4923" t="inlineStr">
        <is>
          <t>홈서비스 60개월</t>
        </is>
      </c>
      <c r="AB4923" t="inlineStr">
        <is>
          <t>홈서비스</t>
        </is>
      </c>
      <c r="AC4923" t="n">
        <v>413600</v>
      </c>
      <c r="AD4923" t="n">
        <v>32900</v>
      </c>
      <c r="AE4923" t="n">
        <v>380700</v>
      </c>
      <c r="AF4923" t="n">
        <v>376000</v>
      </c>
      <c r="AG4923" t="n">
        <v>31814.3</v>
      </c>
      <c r="AH4923" t="n">
        <v>344185.7</v>
      </c>
    </row>
    <row r="4924">
      <c r="A4924" t="inlineStr">
        <is>
          <t>6월</t>
        </is>
      </c>
      <c r="B4924" t="inlineStr">
        <is>
          <t>23주차</t>
        </is>
      </c>
      <c r="C4924" t="inlineStr">
        <is>
          <t>WR</t>
        </is>
      </c>
      <c r="D4924" s="28" t="n">
        <v>46175</v>
      </c>
      <c r="E4924" t="inlineStr">
        <is>
          <t>우리금융</t>
        </is>
      </c>
      <c r="F4924" t="inlineStr">
        <is>
          <t>김부성</t>
        </is>
      </c>
      <c r="G4924" t="inlineStr">
        <is>
          <t>010-2494-0826</t>
        </is>
      </c>
      <c r="H4924" t="inlineStr">
        <is>
          <t>96구4199</t>
        </is>
      </c>
      <c r="I4924" t="n">
        <v>28000000</v>
      </c>
      <c r="J4924" t="n">
        <v>0.075</v>
      </c>
      <c r="K4924" t="n">
        <v>2.2</v>
      </c>
      <c r="L4924" t="n">
        <v>0.4</v>
      </c>
      <c r="M4924" t="n">
        <v>1.8</v>
      </c>
      <c r="P4924" t="inlineStr">
        <is>
          <t>장진경</t>
        </is>
      </c>
      <c r="Q4924" t="inlineStr">
        <is>
          <t>부대비용 추가진행</t>
        </is>
      </c>
      <c r="AB4924" t="inlineStr">
        <is>
          <t>엔카</t>
        </is>
      </c>
      <c r="AC4924" t="n">
        <v>616000</v>
      </c>
      <c r="AD4924" t="n">
        <v>112000</v>
      </c>
      <c r="AE4924" t="n">
        <v>504000</v>
      </c>
      <c r="AF4924" t="n">
        <v>560000</v>
      </c>
      <c r="AG4924" t="n">
        <v>108304</v>
      </c>
      <c r="AH4924" t="n">
        <v>451696</v>
      </c>
    </row>
    <row r="4925">
      <c r="A4925" t="inlineStr">
        <is>
          <t>6월</t>
        </is>
      </c>
      <c r="B4925" t="inlineStr">
        <is>
          <t>23주차</t>
        </is>
      </c>
      <c r="C4925" t="inlineStr">
        <is>
          <t>EP</t>
        </is>
      </c>
      <c r="D4925" s="28" t="n">
        <v>46175</v>
      </c>
      <c r="E4925" t="inlineStr">
        <is>
          <t>현대EP_fast</t>
        </is>
      </c>
      <c r="F4925" t="inlineStr">
        <is>
          <t>남웅현</t>
        </is>
      </c>
      <c r="G4925" t="inlineStr">
        <is>
          <t>010-9335-0909</t>
        </is>
      </c>
      <c r="H4925" t="inlineStr">
        <is>
          <t>28오9105</t>
        </is>
      </c>
      <c r="I4925" t="n">
        <v>4900000</v>
      </c>
      <c r="J4925" t="n">
        <v>0.129</v>
      </c>
      <c r="K4925" t="n">
        <v>1.76</v>
      </c>
      <c r="L4925" t="n">
        <v>0.14</v>
      </c>
      <c r="M4925" t="n">
        <v>1.62</v>
      </c>
      <c r="P4925" t="inlineStr">
        <is>
          <t>박보람</t>
        </is>
      </c>
      <c r="AB4925" t="inlineStr">
        <is>
          <t>홈서비스</t>
        </is>
      </c>
      <c r="AC4925" t="n">
        <v>86240</v>
      </c>
      <c r="AD4925" t="n">
        <v>6860</v>
      </c>
      <c r="AE4925" t="n">
        <v>79380</v>
      </c>
      <c r="AF4925" t="n">
        <v>78400</v>
      </c>
      <c r="AG4925" t="n">
        <v>6633.62</v>
      </c>
      <c r="AH4925" t="n">
        <v>71766.38</v>
      </c>
      <c r="AI4925" t="n">
        <v>0</v>
      </c>
    </row>
    <row r="4926">
      <c r="A4926" t="inlineStr">
        <is>
          <t>6월</t>
        </is>
      </c>
      <c r="B4926" t="inlineStr">
        <is>
          <t>23주차</t>
        </is>
      </c>
      <c r="C4926" t="inlineStr">
        <is>
          <t>EP</t>
        </is>
      </c>
      <c r="D4926" s="28" t="n">
        <v>46175</v>
      </c>
      <c r="E4926" t="inlineStr">
        <is>
          <t>현대EP_fast</t>
        </is>
      </c>
      <c r="F4926" t="inlineStr">
        <is>
          <t>박성진</t>
        </is>
      </c>
      <c r="G4926" t="inlineStr">
        <is>
          <t>010-8937-7383</t>
        </is>
      </c>
      <c r="H4926" t="inlineStr">
        <is>
          <t>312누3108</t>
        </is>
      </c>
      <c r="I4926" t="n">
        <v>34500000</v>
      </c>
      <c r="J4926" t="n">
        <v>0.129</v>
      </c>
      <c r="K4926" t="n">
        <v>1.76</v>
      </c>
      <c r="L4926" t="n">
        <v>0.14</v>
      </c>
      <c r="M4926" t="n">
        <v>1.62</v>
      </c>
      <c r="P4926" t="inlineStr">
        <is>
          <t>박현민</t>
        </is>
      </c>
      <c r="Q4926" t="inlineStr">
        <is>
          <t>홈서비스 60개월</t>
        </is>
      </c>
      <c r="AB4926" t="inlineStr">
        <is>
          <t>홈서비스</t>
        </is>
      </c>
      <c r="AC4926" t="n">
        <v>607200</v>
      </c>
      <c r="AD4926" t="n">
        <v>48300</v>
      </c>
      <c r="AE4926" t="n">
        <v>558900</v>
      </c>
      <c r="AF4926" t="n">
        <v>552000</v>
      </c>
      <c r="AG4926" t="n">
        <v>46706.1</v>
      </c>
      <c r="AH4926" t="n">
        <v>505293.9</v>
      </c>
      <c r="AI4926" t="n">
        <v>0</v>
      </c>
    </row>
    <row r="4927">
      <c r="A4927" t="inlineStr">
        <is>
          <t>6월</t>
        </is>
      </c>
      <c r="B4927" t="inlineStr">
        <is>
          <t>23주차</t>
        </is>
      </c>
      <c r="C4927" t="inlineStr">
        <is>
          <t>EP</t>
        </is>
      </c>
      <c r="D4927" s="28" t="n">
        <v>46175</v>
      </c>
      <c r="E4927" t="inlineStr">
        <is>
          <t>현대EP_fast</t>
        </is>
      </c>
      <c r="F4927" t="inlineStr">
        <is>
          <t>표시윤</t>
        </is>
      </c>
      <c r="G4927" t="inlineStr">
        <is>
          <t>010-5934-6640</t>
        </is>
      </c>
      <c r="H4927" t="inlineStr">
        <is>
          <t>367너5088</t>
        </is>
      </c>
      <c r="I4927" t="n">
        <v>15900000</v>
      </c>
      <c r="J4927" t="n">
        <v>0.104</v>
      </c>
      <c r="K4927" t="n">
        <v>1.76</v>
      </c>
      <c r="L4927" t="n">
        <v>0.4</v>
      </c>
      <c r="M4927" t="n">
        <v>1.36</v>
      </c>
      <c r="P4927" t="inlineStr">
        <is>
          <t>박소현</t>
        </is>
      </c>
      <c r="AB4927" t="inlineStr">
        <is>
          <t>엔카</t>
        </is>
      </c>
      <c r="AC4927" t="n">
        <v>279840</v>
      </c>
      <c r="AD4927" t="n">
        <v>63600</v>
      </c>
      <c r="AE4927" t="n">
        <v>216240</v>
      </c>
      <c r="AF4927" t="n">
        <v>254400</v>
      </c>
      <c r="AG4927" t="n">
        <v>61501.2</v>
      </c>
      <c r="AH4927" t="n">
        <v>192898.8</v>
      </c>
      <c r="AI4927" t="n">
        <v>0</v>
      </c>
    </row>
    <row r="4928">
      <c r="A4928" t="inlineStr">
        <is>
          <t>6월</t>
        </is>
      </c>
      <c r="B4928" t="inlineStr">
        <is>
          <t>23주차</t>
        </is>
      </c>
      <c r="C4928" t="inlineStr">
        <is>
          <t>IM</t>
        </is>
      </c>
      <c r="D4928" s="28" t="n">
        <v>46175</v>
      </c>
      <c r="E4928" t="inlineStr">
        <is>
          <t>IM캐피탈</t>
        </is>
      </c>
      <c r="F4928" t="inlineStr">
        <is>
          <t>정혜숙</t>
        </is>
      </c>
      <c r="G4928" t="inlineStr">
        <is>
          <t>010-3760-9252</t>
        </is>
      </c>
      <c r="H4928" t="inlineStr">
        <is>
          <t>296구9499</t>
        </is>
      </c>
      <c r="I4928" t="n">
        <v>27800000</v>
      </c>
      <c r="J4928" t="n">
        <v>0.063</v>
      </c>
      <c r="K4928" t="n">
        <v>1.1</v>
      </c>
      <c r="L4928" t="n">
        <v>0.4</v>
      </c>
      <c r="M4928" t="n">
        <v>0.7</v>
      </c>
      <c r="P4928" t="inlineStr">
        <is>
          <t>구성완</t>
        </is>
      </c>
      <c r="AB4928" t="inlineStr">
        <is>
          <t>엔카</t>
        </is>
      </c>
      <c r="AC4928" t="n">
        <v>305800</v>
      </c>
      <c r="AD4928" t="n">
        <v>111200</v>
      </c>
      <c r="AE4928" t="n">
        <v>194600</v>
      </c>
      <c r="AF4928" t="n">
        <v>278000</v>
      </c>
      <c r="AG4928" t="n">
        <v>107530.4</v>
      </c>
      <c r="AH4928" t="n">
        <v>170469.6</v>
      </c>
      <c r="AI4928" t="n">
        <v>0</v>
      </c>
    </row>
    <row r="4929">
      <c r="A4929" t="inlineStr">
        <is>
          <t>6월</t>
        </is>
      </c>
      <c r="B4929" t="inlineStr">
        <is>
          <t>23주차</t>
        </is>
      </c>
      <c r="C4929" t="inlineStr">
        <is>
          <t>IM</t>
        </is>
      </c>
      <c r="D4929" s="28" t="n">
        <v>46175</v>
      </c>
      <c r="E4929" t="inlineStr">
        <is>
          <t>IM캐피탈</t>
        </is>
      </c>
      <c r="F4929" t="inlineStr">
        <is>
          <t>남창훈</t>
        </is>
      </c>
      <c r="G4929" t="inlineStr">
        <is>
          <t>010-2255-6032</t>
        </is>
      </c>
      <c r="H4929" t="inlineStr">
        <is>
          <t>200어9834</t>
        </is>
      </c>
      <c r="I4929" t="n">
        <v>22800000</v>
      </c>
      <c r="J4929" t="n">
        <v>0.076</v>
      </c>
      <c r="K4929" t="n">
        <v>1.1</v>
      </c>
      <c r="L4929" t="n">
        <v>0.14</v>
      </c>
      <c r="M4929" t="n">
        <v>0.96</v>
      </c>
      <c r="P4929" t="inlineStr">
        <is>
          <t>황채이</t>
        </is>
      </c>
      <c r="Q4929" t="inlineStr">
        <is>
          <t>홈서비스 60개월 / 부대비용 추가진행</t>
        </is>
      </c>
      <c r="AB4929" t="inlineStr">
        <is>
          <t>홈서비스</t>
        </is>
      </c>
      <c r="AC4929" t="n">
        <v>250800</v>
      </c>
      <c r="AD4929" t="n">
        <v>31920</v>
      </c>
      <c r="AE4929" t="n">
        <v>218880</v>
      </c>
      <c r="AF4929" t="n">
        <v>228000</v>
      </c>
      <c r="AG4929" t="n">
        <v>30866.64</v>
      </c>
      <c r="AH4929" t="n">
        <v>197133.36</v>
      </c>
    </row>
    <row r="4930">
      <c r="A4930" t="inlineStr">
        <is>
          <t>6월</t>
        </is>
      </c>
      <c r="B4930" t="inlineStr">
        <is>
          <t>23주차</t>
        </is>
      </c>
      <c r="C4930" t="inlineStr">
        <is>
          <t>IM</t>
        </is>
      </c>
      <c r="D4930" s="28" t="n">
        <v>46175</v>
      </c>
      <c r="E4930" t="inlineStr">
        <is>
          <t>IM캐피탈</t>
        </is>
      </c>
      <c r="F4930" t="inlineStr">
        <is>
          <t>서유영</t>
        </is>
      </c>
      <c r="G4930" t="inlineStr">
        <is>
          <t>010-2702-9641</t>
        </is>
      </c>
      <c r="H4930" t="inlineStr">
        <is>
          <t>65두3945</t>
        </is>
      </c>
      <c r="I4930" t="n">
        <v>15000000</v>
      </c>
      <c r="J4930" t="n">
        <v>0.076</v>
      </c>
      <c r="K4930" t="n">
        <v>1.1</v>
      </c>
      <c r="L4930" t="n">
        <v>0.14</v>
      </c>
      <c r="M4930" t="n">
        <v>0.96</v>
      </c>
      <c r="P4930" t="inlineStr">
        <is>
          <t>정세빈</t>
        </is>
      </c>
      <c r="Q4930" t="inlineStr">
        <is>
          <t>홈서비스 60개월</t>
        </is>
      </c>
      <c r="AB4930" t="inlineStr">
        <is>
          <t>홈서비스</t>
        </is>
      </c>
      <c r="AC4930" t="n">
        <v>165000</v>
      </c>
      <c r="AD4930" t="n">
        <v>21000</v>
      </c>
      <c r="AE4930" t="n">
        <v>144000</v>
      </c>
      <c r="AF4930" t="n">
        <v>150000</v>
      </c>
      <c r="AG4930" t="n">
        <v>20307</v>
      </c>
      <c r="AH4930" t="n">
        <v>129693</v>
      </c>
    </row>
    <row r="4931">
      <c r="A4931" t="inlineStr">
        <is>
          <t>6월</t>
        </is>
      </c>
      <c r="B4931" t="inlineStr">
        <is>
          <t>23주차</t>
        </is>
      </c>
      <c r="C4931" t="inlineStr">
        <is>
          <t>IM</t>
        </is>
      </c>
      <c r="D4931" s="28" t="n">
        <v>46175</v>
      </c>
      <c r="E4931" t="inlineStr">
        <is>
          <t>IM캐피탈</t>
        </is>
      </c>
      <c r="F4931" t="inlineStr">
        <is>
          <t>황규상</t>
        </is>
      </c>
      <c r="G4931" t="inlineStr">
        <is>
          <t>010-8289-4501</t>
        </is>
      </c>
      <c r="H4931" t="inlineStr">
        <is>
          <t>184두1387</t>
        </is>
      </c>
      <c r="I4931" t="n">
        <v>31900000</v>
      </c>
      <c r="J4931" t="n">
        <v>0.049</v>
      </c>
      <c r="K4931" t="n">
        <v>1.1</v>
      </c>
      <c r="L4931" t="n">
        <v>0.14</v>
      </c>
      <c r="M4931" t="n">
        <v>0.96</v>
      </c>
      <c r="P4931" t="inlineStr">
        <is>
          <t>정세빈</t>
        </is>
      </c>
      <c r="Q4931" t="inlineStr">
        <is>
          <t>홈서비스 72개월</t>
        </is>
      </c>
      <c r="AB4931" t="inlineStr">
        <is>
          <t>홈서비스</t>
        </is>
      </c>
      <c r="AC4931" t="n">
        <v>350900</v>
      </c>
      <c r="AD4931" t="n">
        <v>44660</v>
      </c>
      <c r="AE4931" t="n">
        <v>306240</v>
      </c>
      <c r="AF4931" t="n">
        <v>319000</v>
      </c>
      <c r="AG4931" t="n">
        <v>43186.22</v>
      </c>
      <c r="AH4931" t="n">
        <v>275813.78</v>
      </c>
    </row>
    <row r="4932">
      <c r="A4932" t="inlineStr">
        <is>
          <t>6월</t>
        </is>
      </c>
      <c r="B4932" t="inlineStr">
        <is>
          <t>23주차</t>
        </is>
      </c>
      <c r="C4932" t="inlineStr">
        <is>
          <t>IM</t>
        </is>
      </c>
      <c r="D4932" s="28" t="n">
        <v>46175</v>
      </c>
      <c r="E4932" t="inlineStr">
        <is>
          <t>IM캐피탈</t>
        </is>
      </c>
      <c r="F4932" t="inlineStr">
        <is>
          <t>오진결</t>
        </is>
      </c>
      <c r="G4932" t="inlineStr">
        <is>
          <t>010-9588-0872</t>
        </is>
      </c>
      <c r="H4932" t="inlineStr">
        <is>
          <t>260서4181</t>
        </is>
      </c>
      <c r="I4932" t="n">
        <v>11200000</v>
      </c>
      <c r="J4932" t="n">
        <v>0.049</v>
      </c>
      <c r="K4932" t="n">
        <v>1.1</v>
      </c>
      <c r="L4932" t="n">
        <v>0.14</v>
      </c>
      <c r="M4932" t="n">
        <v>0.96</v>
      </c>
      <c r="P4932" t="inlineStr">
        <is>
          <t>정세빈</t>
        </is>
      </c>
      <c r="Q4932" t="inlineStr">
        <is>
          <t>홈서비스 36개월</t>
        </is>
      </c>
      <c r="AB4932" t="inlineStr">
        <is>
          <t>홈서비스</t>
        </is>
      </c>
      <c r="AC4932" t="n">
        <v>123200</v>
      </c>
      <c r="AD4932" t="n">
        <v>15680</v>
      </c>
      <c r="AE4932" t="n">
        <v>107520</v>
      </c>
      <c r="AF4932" t="n">
        <v>112000</v>
      </c>
      <c r="AG4932" t="n">
        <v>15162.56</v>
      </c>
      <c r="AH4932" t="n">
        <v>96837.44</v>
      </c>
    </row>
    <row r="4933">
      <c r="A4933" t="inlineStr">
        <is>
          <t>6월</t>
        </is>
      </c>
      <c r="B4933" t="inlineStr">
        <is>
          <t>23주차</t>
        </is>
      </c>
      <c r="C4933" t="inlineStr">
        <is>
          <t>HC</t>
        </is>
      </c>
      <c r="D4933" s="28" t="n">
        <v>46175</v>
      </c>
      <c r="E4933" t="inlineStr">
        <is>
          <t>하나캐피탈</t>
        </is>
      </c>
      <c r="F4933" t="inlineStr">
        <is>
          <t>조철희</t>
        </is>
      </c>
      <c r="G4933" t="inlineStr">
        <is>
          <t>010-9913-9875</t>
        </is>
      </c>
      <c r="H4933" t="inlineStr">
        <is>
          <t>323보6536</t>
        </is>
      </c>
      <c r="I4933" t="n">
        <v>3000000</v>
      </c>
      <c r="J4933" t="n">
        <v>0.059</v>
      </c>
      <c r="K4933" t="n">
        <v>2.2</v>
      </c>
      <c r="L4933" t="n">
        <v>0.14</v>
      </c>
      <c r="M4933" t="n">
        <v>2.06</v>
      </c>
      <c r="P4933" t="inlineStr">
        <is>
          <t>정세빈</t>
        </is>
      </c>
      <c r="Q4933" t="inlineStr">
        <is>
          <t>홈서비스 36개월</t>
        </is>
      </c>
      <c r="AB4933" t="inlineStr">
        <is>
          <t>홈서비스</t>
        </is>
      </c>
      <c r="AC4933" t="n">
        <v>66000</v>
      </c>
      <c r="AD4933" t="n">
        <v>4200</v>
      </c>
      <c r="AE4933" t="n">
        <v>61800</v>
      </c>
      <c r="AF4933" t="n">
        <v>60000</v>
      </c>
      <c r="AG4933" t="n">
        <v>4061.4</v>
      </c>
      <c r="AH4933" t="n">
        <v>55938.6</v>
      </c>
      <c r="AI4933" t="n">
        <v>0</v>
      </c>
    </row>
    <row r="4934">
      <c r="A4934" t="inlineStr">
        <is>
          <t>6월</t>
        </is>
      </c>
      <c r="B4934" t="inlineStr">
        <is>
          <t>23주차</t>
        </is>
      </c>
      <c r="C4934" t="inlineStr">
        <is>
          <t>IM</t>
        </is>
      </c>
      <c r="D4934" s="28" t="n">
        <v>46175</v>
      </c>
      <c r="E4934" t="inlineStr">
        <is>
          <t>IM캐피탈</t>
        </is>
      </c>
      <c r="F4934" t="inlineStr">
        <is>
          <t>김기범</t>
        </is>
      </c>
      <c r="G4934" t="inlineStr">
        <is>
          <t>010-8077-8181</t>
        </is>
      </c>
      <c r="H4934" t="inlineStr">
        <is>
          <t>191조3627</t>
        </is>
      </c>
      <c r="I4934" t="n">
        <v>30000000</v>
      </c>
      <c r="J4934" t="n">
        <v>0.059</v>
      </c>
      <c r="K4934" t="n">
        <v>1.1</v>
      </c>
      <c r="L4934" t="n">
        <v>0.4</v>
      </c>
      <c r="M4934" t="n">
        <v>0.7</v>
      </c>
      <c r="P4934" t="inlineStr">
        <is>
          <t>최혁</t>
        </is>
      </c>
      <c r="AB4934" t="inlineStr">
        <is>
          <t>엔카</t>
        </is>
      </c>
      <c r="AC4934" t="n">
        <v>330000</v>
      </c>
      <c r="AD4934" t="n">
        <v>120000</v>
      </c>
      <c r="AE4934" t="n">
        <v>210000</v>
      </c>
      <c r="AF4934" t="n">
        <v>300000</v>
      </c>
      <c r="AG4934" t="n">
        <v>116040</v>
      </c>
      <c r="AH4934" t="n">
        <v>183960</v>
      </c>
    </row>
    <row r="4935">
      <c r="A4935" t="inlineStr">
        <is>
          <t>6월</t>
        </is>
      </c>
      <c r="B4935" t="inlineStr">
        <is>
          <t>23주차</t>
        </is>
      </c>
      <c r="C4935" t="inlineStr">
        <is>
          <t>EP</t>
        </is>
      </c>
      <c r="D4935" s="28" t="n">
        <v>46175</v>
      </c>
      <c r="E4935" t="inlineStr">
        <is>
          <t>현대EP_fast</t>
        </is>
      </c>
      <c r="F4935" t="inlineStr">
        <is>
          <t>주지환</t>
        </is>
      </c>
      <c r="G4935" t="inlineStr">
        <is>
          <t>010-7302-5746</t>
        </is>
      </c>
      <c r="H4935" t="inlineStr">
        <is>
          <t>209저6196</t>
        </is>
      </c>
      <c r="I4935" t="n">
        <v>37000000</v>
      </c>
      <c r="J4935" t="n">
        <v>0.097</v>
      </c>
      <c r="K4935" t="n">
        <v>1.76</v>
      </c>
      <c r="L4935" t="n">
        <v>0.14</v>
      </c>
      <c r="M4935" t="n">
        <v>1.62</v>
      </c>
      <c r="P4935" t="inlineStr">
        <is>
          <t>박소현</t>
        </is>
      </c>
      <c r="Q4935" t="inlineStr">
        <is>
          <t>선상담  /홈서비스 60개월 / 공동명의</t>
        </is>
      </c>
      <c r="AB4935" t="inlineStr">
        <is>
          <t>홈서비스</t>
        </is>
      </c>
      <c r="AC4935" t="n">
        <v>651200</v>
      </c>
      <c r="AD4935" t="n">
        <v>51800</v>
      </c>
      <c r="AE4935" t="n">
        <v>599400</v>
      </c>
      <c r="AF4935" t="n">
        <v>592000</v>
      </c>
      <c r="AG4935" t="n">
        <v>50090.6</v>
      </c>
      <c r="AH4935" t="n">
        <v>541909.4</v>
      </c>
      <c r="AI4935" t="n">
        <v>0</v>
      </c>
    </row>
    <row r="4936">
      <c r="A4936" t="inlineStr">
        <is>
          <t>6월</t>
        </is>
      </c>
      <c r="B4936" t="inlineStr">
        <is>
          <t>23주차</t>
        </is>
      </c>
      <c r="C4936" t="inlineStr">
        <is>
          <t>EP</t>
        </is>
      </c>
      <c r="D4936" s="28" t="n">
        <v>46175</v>
      </c>
      <c r="E4936" t="inlineStr">
        <is>
          <t>현대EP_fast</t>
        </is>
      </c>
      <c r="F4936" t="inlineStr">
        <is>
          <t>임형기</t>
        </is>
      </c>
      <c r="G4936" t="inlineStr">
        <is>
          <t>010-4234-1471</t>
        </is>
      </c>
      <c r="H4936" t="inlineStr">
        <is>
          <t>372버5392</t>
        </is>
      </c>
      <c r="I4936" t="n">
        <v>20000000</v>
      </c>
      <c r="J4936" t="n">
        <v>0.077</v>
      </c>
      <c r="K4936" t="n">
        <v>1.76</v>
      </c>
      <c r="L4936" t="n">
        <v>0.14</v>
      </c>
      <c r="M4936" t="n">
        <v>1.62</v>
      </c>
      <c r="P4936" t="inlineStr">
        <is>
          <t>김나윤</t>
        </is>
      </c>
      <c r="Q4936" t="inlineStr">
        <is>
          <t>홈서비스 60개월</t>
        </is>
      </c>
      <c r="AB4936" t="inlineStr">
        <is>
          <t>홈서비스</t>
        </is>
      </c>
      <c r="AC4936" t="n">
        <v>352000</v>
      </c>
      <c r="AD4936" t="n">
        <v>28000</v>
      </c>
      <c r="AE4936" t="n">
        <v>324000</v>
      </c>
      <c r="AF4936" t="n">
        <v>320000</v>
      </c>
      <c r="AG4936" t="n">
        <v>27076</v>
      </c>
      <c r="AH4936" t="n">
        <v>292924</v>
      </c>
    </row>
    <row r="4937">
      <c r="A4937" t="inlineStr">
        <is>
          <t>6월</t>
        </is>
      </c>
      <c r="B4937" t="inlineStr">
        <is>
          <t>23주차</t>
        </is>
      </c>
      <c r="C4937" t="inlineStr">
        <is>
          <t>EP</t>
        </is>
      </c>
      <c r="D4937" s="28" t="n">
        <v>46175</v>
      </c>
      <c r="E4937" t="inlineStr">
        <is>
          <t>현대EP_fast</t>
        </is>
      </c>
      <c r="F4937" t="inlineStr">
        <is>
          <t>신재열</t>
        </is>
      </c>
      <c r="G4937" t="inlineStr">
        <is>
          <t>010-9411-6889</t>
        </is>
      </c>
      <c r="H4937" t="inlineStr">
        <is>
          <t>24누7714</t>
        </is>
      </c>
      <c r="I4937" t="n">
        <v>3300000</v>
      </c>
      <c r="J4937" t="n">
        <v>0.093</v>
      </c>
      <c r="K4937" t="n">
        <v>1.76</v>
      </c>
      <c r="L4937" t="n">
        <v>0.14</v>
      </c>
      <c r="M4937" t="n">
        <v>1.62</v>
      </c>
      <c r="P4937" t="inlineStr">
        <is>
          <t>김수연</t>
        </is>
      </c>
      <c r="Q4937" t="inlineStr">
        <is>
          <t>홈서비스 24개월</t>
        </is>
      </c>
      <c r="AB4937" t="inlineStr">
        <is>
          <t>홈서비스</t>
        </is>
      </c>
      <c r="AC4937" t="n">
        <v>58080</v>
      </c>
      <c r="AD4937" t="n">
        <v>4620</v>
      </c>
      <c r="AE4937" t="n">
        <v>53460</v>
      </c>
      <c r="AF4937" t="n">
        <v>52800</v>
      </c>
      <c r="AG4937" t="n">
        <v>4467.54</v>
      </c>
      <c r="AH4937" t="n">
        <v>48332.46</v>
      </c>
      <c r="AI4937" t="n">
        <v>0</v>
      </c>
    </row>
    <row r="4938">
      <c r="A4938" t="inlineStr">
        <is>
          <t>6월</t>
        </is>
      </c>
      <c r="B4938" t="inlineStr">
        <is>
          <t>23주차</t>
        </is>
      </c>
      <c r="C4938" t="inlineStr">
        <is>
          <t>EP</t>
        </is>
      </c>
      <c r="D4938" s="28" t="n">
        <v>46175</v>
      </c>
      <c r="E4938" t="inlineStr">
        <is>
          <t>제이비EP</t>
        </is>
      </c>
      <c r="F4938" t="inlineStr">
        <is>
          <t>성현채</t>
        </is>
      </c>
      <c r="G4938" t="inlineStr">
        <is>
          <t>010-7474-0866</t>
        </is>
      </c>
      <c r="H4938" t="inlineStr">
        <is>
          <t>158더9013</t>
        </is>
      </c>
      <c r="I4938" t="n">
        <v>19500000</v>
      </c>
      <c r="J4938" t="n">
        <v>0.079</v>
      </c>
      <c r="K4938" t="n">
        <v>1.65</v>
      </c>
      <c r="L4938" t="n">
        <v>0.14</v>
      </c>
      <c r="M4938" t="n">
        <v>1.51</v>
      </c>
      <c r="P4938" t="inlineStr">
        <is>
          <t>정세빈</t>
        </is>
      </c>
      <c r="Q4938" t="inlineStr">
        <is>
          <t>홈서비스 60개월</t>
        </is>
      </c>
      <c r="AB4938" t="inlineStr">
        <is>
          <t>홈서비스</t>
        </is>
      </c>
      <c r="AC4938" t="n">
        <v>321750</v>
      </c>
      <c r="AD4938" t="n">
        <v>27300</v>
      </c>
      <c r="AE4938" t="n">
        <v>294450</v>
      </c>
      <c r="AF4938" t="n">
        <v>292500</v>
      </c>
      <c r="AG4938" t="n">
        <v>26399.1</v>
      </c>
      <c r="AH4938" t="n">
        <v>266100.9</v>
      </c>
      <c r="AI4938" t="n">
        <v>0</v>
      </c>
    </row>
    <row r="4939">
      <c r="A4939" t="inlineStr">
        <is>
          <t>6월</t>
        </is>
      </c>
      <c r="B4939" t="inlineStr">
        <is>
          <t>23주차</t>
        </is>
      </c>
      <c r="C4939" t="inlineStr">
        <is>
          <t>IM</t>
        </is>
      </c>
      <c r="D4939" s="28" t="n">
        <v>46175</v>
      </c>
      <c r="E4939" t="inlineStr">
        <is>
          <t>IM캐피탈</t>
        </is>
      </c>
      <c r="F4939" t="inlineStr">
        <is>
          <t>이진용</t>
        </is>
      </c>
      <c r="G4939" t="inlineStr">
        <is>
          <t>010-7284-8440</t>
        </is>
      </c>
      <c r="H4939" t="inlineStr">
        <is>
          <t>242노5355</t>
        </is>
      </c>
      <c r="I4939" t="n">
        <v>32300000</v>
      </c>
      <c r="J4939" t="n">
        <v>0.093</v>
      </c>
      <c r="K4939" t="n">
        <v>1.1</v>
      </c>
      <c r="L4939" t="n">
        <v>0.4</v>
      </c>
      <c r="M4939" t="n">
        <v>0.7</v>
      </c>
      <c r="P4939" t="inlineStr">
        <is>
          <t>박소현</t>
        </is>
      </c>
      <c r="Q4939" t="inlineStr">
        <is>
          <t>부대비용추가진행</t>
        </is>
      </c>
      <c r="AB4939" t="inlineStr">
        <is>
          <t>엔카</t>
        </is>
      </c>
      <c r="AC4939" t="n">
        <v>355300</v>
      </c>
      <c r="AD4939" t="n">
        <v>129200</v>
      </c>
      <c r="AE4939" t="n">
        <v>226100</v>
      </c>
      <c r="AF4939" t="n">
        <v>323000</v>
      </c>
      <c r="AG4939" t="n">
        <v>124936.4</v>
      </c>
      <c r="AH4939" t="n">
        <v>198063.6</v>
      </c>
      <c r="AI4939" t="n">
        <v>0</v>
      </c>
    </row>
    <row r="4940">
      <c r="A4940" t="inlineStr">
        <is>
          <t>6월</t>
        </is>
      </c>
      <c r="B4940" t="inlineStr">
        <is>
          <t>23주차</t>
        </is>
      </c>
      <c r="C4940" t="inlineStr">
        <is>
          <t>IM</t>
        </is>
      </c>
      <c r="D4940" s="28" t="n">
        <v>46175</v>
      </c>
      <c r="E4940" t="inlineStr">
        <is>
          <t>IM캐피탈</t>
        </is>
      </c>
      <c r="F4940" t="inlineStr">
        <is>
          <t>강현우</t>
        </is>
      </c>
      <c r="G4940" t="inlineStr">
        <is>
          <t>010-5353-7467</t>
        </is>
      </c>
      <c r="H4940" t="inlineStr">
        <is>
          <t>108수1820</t>
        </is>
      </c>
      <c r="I4940" t="n">
        <v>7000000</v>
      </c>
      <c r="J4940" t="n">
        <v>0.049</v>
      </c>
      <c r="K4940" t="n">
        <v>1.1</v>
      </c>
      <c r="L4940" t="n">
        <v>0.14</v>
      </c>
      <c r="M4940" t="n">
        <v>0.96</v>
      </c>
      <c r="P4940" t="inlineStr">
        <is>
          <t>황채이</t>
        </is>
      </c>
      <c r="Q4940" t="inlineStr">
        <is>
          <t>홈서비스 48개월</t>
        </is>
      </c>
      <c r="AB4940" t="inlineStr">
        <is>
          <t>홈서비스</t>
        </is>
      </c>
      <c r="AC4940" t="n">
        <v>77000</v>
      </c>
      <c r="AD4940" t="n">
        <v>9800</v>
      </c>
      <c r="AE4940" t="n">
        <v>67200</v>
      </c>
      <c r="AF4940" t="n">
        <v>70000</v>
      </c>
      <c r="AG4940" t="n">
        <v>9476.6</v>
      </c>
      <c r="AH4940" t="n">
        <v>60523.4</v>
      </c>
      <c r="AI4940" t="n">
        <v>0</v>
      </c>
    </row>
    <row r="4941">
      <c r="A4941" t="inlineStr">
        <is>
          <t>6월</t>
        </is>
      </c>
      <c r="B4941" t="inlineStr">
        <is>
          <t>23주차</t>
        </is>
      </c>
      <c r="C4941" t="inlineStr">
        <is>
          <t>EP</t>
        </is>
      </c>
      <c r="D4941" s="28" t="n">
        <v>46175</v>
      </c>
      <c r="E4941" t="inlineStr">
        <is>
          <t>현대EP_fast</t>
        </is>
      </c>
      <c r="F4941" t="inlineStr">
        <is>
          <t>조현천</t>
        </is>
      </c>
      <c r="G4941" t="inlineStr">
        <is>
          <t>010-9406-3032</t>
        </is>
      </c>
      <c r="H4941" t="inlineStr">
        <is>
          <t>34나9853</t>
        </is>
      </c>
      <c r="I4941" t="n">
        <v>11000000</v>
      </c>
      <c r="J4941" t="n">
        <v>0.06900000000000001</v>
      </c>
      <c r="K4941" t="n">
        <v>1.76</v>
      </c>
      <c r="L4941" t="n">
        <v>0.14</v>
      </c>
      <c r="M4941" t="n">
        <v>1.62</v>
      </c>
      <c r="P4941" t="inlineStr">
        <is>
          <t>박현민</t>
        </is>
      </c>
      <c r="Q4941" t="inlineStr">
        <is>
          <t>홈서비스 24개월</t>
        </is>
      </c>
      <c r="AB4941" t="inlineStr">
        <is>
          <t>홈서비스</t>
        </is>
      </c>
      <c r="AC4941" t="n">
        <v>193600</v>
      </c>
      <c r="AD4941" t="n">
        <v>15400</v>
      </c>
      <c r="AE4941" t="n">
        <v>178200</v>
      </c>
      <c r="AF4941" t="n">
        <v>176000</v>
      </c>
      <c r="AG4941" t="n">
        <v>14891.8</v>
      </c>
      <c r="AH4941" t="n">
        <v>161108.2</v>
      </c>
      <c r="AI4941" t="n">
        <v>0</v>
      </c>
    </row>
    <row r="4942">
      <c r="A4942" t="inlineStr">
        <is>
          <t>6월</t>
        </is>
      </c>
      <c r="B4942" t="inlineStr">
        <is>
          <t>23주차</t>
        </is>
      </c>
      <c r="C4942" t="inlineStr">
        <is>
          <t>IM</t>
        </is>
      </c>
      <c r="D4942" s="28" t="n">
        <v>46175</v>
      </c>
      <c r="E4942" t="inlineStr">
        <is>
          <t>IM캐피탈</t>
        </is>
      </c>
      <c r="F4942" t="inlineStr">
        <is>
          <t>김대운</t>
        </is>
      </c>
      <c r="G4942" t="inlineStr">
        <is>
          <t>010-4850-1028</t>
        </is>
      </c>
      <c r="H4942" t="inlineStr">
        <is>
          <t>361저1955</t>
        </is>
      </c>
      <c r="I4942" t="n">
        <v>56000000</v>
      </c>
      <c r="J4942" t="n">
        <v>0.049</v>
      </c>
      <c r="K4942" t="n">
        <v>1.1</v>
      </c>
      <c r="L4942" t="n">
        <v>0.14</v>
      </c>
      <c r="M4942" t="n">
        <v>0.96</v>
      </c>
      <c r="P4942" t="inlineStr">
        <is>
          <t>박소현</t>
        </is>
      </c>
      <c r="Q4942" t="inlineStr">
        <is>
          <t>선상담 / 홈서비스 60개월</t>
        </is>
      </c>
      <c r="AB4942" t="inlineStr">
        <is>
          <t>홈서비스</t>
        </is>
      </c>
      <c r="AC4942" t="n">
        <v>616000</v>
      </c>
      <c r="AD4942" t="n">
        <v>78400</v>
      </c>
      <c r="AE4942" t="n">
        <v>537600</v>
      </c>
      <c r="AF4942" t="n">
        <v>560000</v>
      </c>
      <c r="AG4942" t="n">
        <v>75812.8</v>
      </c>
      <c r="AH4942" t="n">
        <v>484187.2</v>
      </c>
      <c r="AI4942" t="n">
        <v>0</v>
      </c>
    </row>
    <row r="4943">
      <c r="A4943" t="inlineStr">
        <is>
          <t>6월</t>
        </is>
      </c>
      <c r="B4943" t="inlineStr">
        <is>
          <t>23주차</t>
        </is>
      </c>
      <c r="C4943" t="inlineStr">
        <is>
          <t>IM</t>
        </is>
      </c>
      <c r="D4943" s="28" t="n">
        <v>46175</v>
      </c>
      <c r="E4943" t="inlineStr">
        <is>
          <t>IM캐피탈</t>
        </is>
      </c>
      <c r="F4943" t="inlineStr">
        <is>
          <t>이시열</t>
        </is>
      </c>
      <c r="G4943" t="inlineStr">
        <is>
          <t>010-7656-9037</t>
        </is>
      </c>
      <c r="H4943" t="inlineStr">
        <is>
          <t>127부6154</t>
        </is>
      </c>
      <c r="I4943" t="n">
        <v>4000000</v>
      </c>
      <c r="J4943" t="n">
        <v>0.059</v>
      </c>
      <c r="K4943" t="n">
        <v>1.1</v>
      </c>
      <c r="L4943" t="n">
        <v>0.14</v>
      </c>
      <c r="M4943" t="n">
        <v>0.96</v>
      </c>
      <c r="P4943" t="inlineStr">
        <is>
          <t>황채이</t>
        </is>
      </c>
      <c r="Q4943" t="inlineStr">
        <is>
          <t>홈서비스 24개월</t>
        </is>
      </c>
      <c r="AB4943" t="inlineStr">
        <is>
          <t>홈서비스</t>
        </is>
      </c>
      <c r="AC4943" t="n">
        <v>44000</v>
      </c>
      <c r="AD4943" t="n">
        <v>5600</v>
      </c>
      <c r="AE4943" t="n">
        <v>38400</v>
      </c>
      <c r="AF4943" t="n">
        <v>40000</v>
      </c>
      <c r="AG4943" t="n">
        <v>5415.2</v>
      </c>
      <c r="AH4943" t="n">
        <v>34584.8</v>
      </c>
      <c r="AI4943" t="n">
        <v>0</v>
      </c>
    </row>
    <row r="4944">
      <c r="A4944" t="inlineStr">
        <is>
          <t>6월</t>
        </is>
      </c>
      <c r="B4944" t="inlineStr">
        <is>
          <t>23주차</t>
        </is>
      </c>
      <c r="C4944" t="inlineStr">
        <is>
          <t>EP</t>
        </is>
      </c>
      <c r="D4944" s="28" t="n">
        <v>46175</v>
      </c>
      <c r="E4944" t="inlineStr">
        <is>
          <t>BNKEP</t>
        </is>
      </c>
      <c r="F4944" t="inlineStr">
        <is>
          <t>강태훈</t>
        </is>
      </c>
      <c r="G4944" t="inlineStr">
        <is>
          <t>010-2716-5860</t>
        </is>
      </c>
      <c r="H4944" t="inlineStr">
        <is>
          <t>10러6359</t>
        </is>
      </c>
      <c r="I4944" t="n">
        <v>13000000</v>
      </c>
      <c r="J4944" t="n">
        <v>0.08599999999999999</v>
      </c>
      <c r="K4944" t="n">
        <v>1.65</v>
      </c>
      <c r="L4944" t="n">
        <v>0.14</v>
      </c>
      <c r="M4944" t="n">
        <v>1.51</v>
      </c>
      <c r="P4944" t="inlineStr">
        <is>
          <t>정세빈</t>
        </is>
      </c>
      <c r="Q4944" t="inlineStr">
        <is>
          <t>홈서비스 60개월</t>
        </is>
      </c>
      <c r="AB4944" t="inlineStr">
        <is>
          <t>홈서비스</t>
        </is>
      </c>
      <c r="AC4944" t="n">
        <v>214500</v>
      </c>
      <c r="AD4944" t="n">
        <v>18200</v>
      </c>
      <c r="AE4944" t="n">
        <v>196300</v>
      </c>
      <c r="AF4944" t="n">
        <v>195000</v>
      </c>
      <c r="AG4944" t="n">
        <v>17599.4</v>
      </c>
      <c r="AH4944" t="n">
        <v>177400.6</v>
      </c>
      <c r="AI4944" t="n">
        <v>0</v>
      </c>
    </row>
    <row r="4945">
      <c r="A4945" t="inlineStr">
        <is>
          <t>6월</t>
        </is>
      </c>
      <c r="B4945" t="inlineStr">
        <is>
          <t>23주차</t>
        </is>
      </c>
      <c r="C4945" t="inlineStr">
        <is>
          <t>EP</t>
        </is>
      </c>
      <c r="D4945" s="28" t="n">
        <v>46175</v>
      </c>
      <c r="E4945" t="inlineStr">
        <is>
          <t>현대EP_fast</t>
        </is>
      </c>
      <c r="F4945" t="inlineStr">
        <is>
          <t>이성민</t>
        </is>
      </c>
      <c r="G4945" t="inlineStr">
        <is>
          <t>010-7175-1632</t>
        </is>
      </c>
      <c r="H4945" t="inlineStr">
        <is>
          <t>108어7077</t>
        </is>
      </c>
      <c r="I4945" t="n">
        <v>20000000</v>
      </c>
      <c r="J4945" t="n">
        <v>0.113</v>
      </c>
      <c r="K4945" t="n">
        <v>1.76</v>
      </c>
      <c r="L4945" t="n">
        <v>0.14</v>
      </c>
      <c r="M4945" t="n">
        <v>1.62</v>
      </c>
      <c r="P4945" t="inlineStr">
        <is>
          <t>황채이</t>
        </is>
      </c>
      <c r="Q4945" t="inlineStr">
        <is>
          <t>홈서비스 48개월</t>
        </is>
      </c>
      <c r="AB4945" t="inlineStr">
        <is>
          <t>홈서비스</t>
        </is>
      </c>
      <c r="AC4945" t="n">
        <v>352000</v>
      </c>
      <c r="AD4945" t="n">
        <v>28000</v>
      </c>
      <c r="AE4945" t="n">
        <v>324000</v>
      </c>
      <c r="AF4945" t="n">
        <v>320000</v>
      </c>
      <c r="AG4945" t="n">
        <v>27076</v>
      </c>
      <c r="AH4945" t="n">
        <v>292924</v>
      </c>
      <c r="AI4945" t="n">
        <v>0</v>
      </c>
    </row>
    <row r="4946">
      <c r="A4946" t="inlineStr">
        <is>
          <t>6월</t>
        </is>
      </c>
      <c r="B4946" t="inlineStr">
        <is>
          <t>23주차</t>
        </is>
      </c>
      <c r="C4946" t="inlineStr">
        <is>
          <t>EP</t>
        </is>
      </c>
      <c r="D4946" s="28" t="n">
        <v>46175</v>
      </c>
      <c r="E4946" t="inlineStr">
        <is>
          <t>현대EP</t>
        </is>
      </c>
      <c r="F4946" t="inlineStr">
        <is>
          <t>강석우</t>
        </is>
      </c>
      <c r="G4946" t="inlineStr">
        <is>
          <t>010-7935-7972</t>
        </is>
      </c>
      <c r="H4946" t="inlineStr">
        <is>
          <t>69라0910</t>
        </is>
      </c>
      <c r="I4946" t="n">
        <v>5800000</v>
      </c>
      <c r="J4946" t="n">
        <v>0.06900000000000001</v>
      </c>
      <c r="K4946" t="n">
        <v>1.76</v>
      </c>
      <c r="L4946" t="n">
        <v>0.14</v>
      </c>
      <c r="M4946" t="n">
        <v>1.62</v>
      </c>
      <c r="P4946" t="inlineStr">
        <is>
          <t>황채이</t>
        </is>
      </c>
      <c r="AB4946" t="inlineStr">
        <is>
          <t>홈서비스</t>
        </is>
      </c>
      <c r="AC4946" t="n">
        <v>102080</v>
      </c>
      <c r="AD4946" t="n">
        <v>8120</v>
      </c>
      <c r="AE4946" t="n">
        <v>93960</v>
      </c>
      <c r="AF4946" t="n">
        <v>92800</v>
      </c>
      <c r="AG4946" t="n">
        <v>7852.04</v>
      </c>
      <c r="AH4946" t="n">
        <v>84947.96000000001</v>
      </c>
      <c r="AI4946" t="n">
        <v>0</v>
      </c>
    </row>
    <row r="4947">
      <c r="A4947" t="inlineStr">
        <is>
          <t>6월</t>
        </is>
      </c>
      <c r="B4947" t="inlineStr">
        <is>
          <t>23주차</t>
        </is>
      </c>
      <c r="C4947" t="inlineStr">
        <is>
          <t>EP</t>
        </is>
      </c>
      <c r="D4947" s="28" t="n">
        <v>46175</v>
      </c>
      <c r="E4947" t="inlineStr">
        <is>
          <t>현대EP</t>
        </is>
      </c>
      <c r="F4947" t="inlineStr">
        <is>
          <t>김예빈</t>
        </is>
      </c>
      <c r="G4947" t="inlineStr">
        <is>
          <t>010-5706-9712</t>
        </is>
      </c>
      <c r="H4947" t="inlineStr">
        <is>
          <t>28마8358</t>
        </is>
      </c>
      <c r="I4947" t="n">
        <v>8600000</v>
      </c>
      <c r="J4947" t="n">
        <v>0.154</v>
      </c>
      <c r="K4947" t="n">
        <v>1.76</v>
      </c>
      <c r="L4947" t="n">
        <v>0.14</v>
      </c>
      <c r="M4947" t="n">
        <v>1.62</v>
      </c>
      <c r="P4947" t="inlineStr">
        <is>
          <t>김수연</t>
        </is>
      </c>
      <c r="AB4947" t="inlineStr">
        <is>
          <t>홈서비스</t>
        </is>
      </c>
      <c r="AC4947" t="n">
        <v>151360</v>
      </c>
      <c r="AD4947" t="n">
        <v>12040</v>
      </c>
      <c r="AE4947" t="n">
        <v>139320</v>
      </c>
      <c r="AF4947" t="n">
        <v>137600</v>
      </c>
      <c r="AG4947" t="n">
        <v>11642.68</v>
      </c>
      <c r="AH4947" t="n">
        <v>125957.32</v>
      </c>
      <c r="AI4947" t="n">
        <v>0</v>
      </c>
    </row>
    <row r="4948">
      <c r="A4948" t="inlineStr">
        <is>
          <t>6월</t>
        </is>
      </c>
      <c r="B4948" t="inlineStr">
        <is>
          <t>23주차</t>
        </is>
      </c>
      <c r="C4948" t="inlineStr">
        <is>
          <t>EP</t>
        </is>
      </c>
      <c r="D4948" s="28" t="n">
        <v>46175</v>
      </c>
      <c r="E4948" t="inlineStr">
        <is>
          <t>현대EP</t>
        </is>
      </c>
      <c r="F4948" t="inlineStr">
        <is>
          <t>김우중</t>
        </is>
      </c>
      <c r="G4948" t="inlineStr">
        <is>
          <t>010-9279-9084</t>
        </is>
      </c>
      <c r="H4948" t="inlineStr">
        <is>
          <t>58러7281</t>
        </is>
      </c>
      <c r="I4948" t="n">
        <v>15500000</v>
      </c>
      <c r="J4948" t="n">
        <v>0.074</v>
      </c>
      <c r="K4948" t="n">
        <v>1.76</v>
      </c>
      <c r="L4948" t="n">
        <v>0.14</v>
      </c>
      <c r="M4948" t="n">
        <v>1.62</v>
      </c>
      <c r="P4948" t="inlineStr">
        <is>
          <t>정세빈</t>
        </is>
      </c>
      <c r="AB4948" t="inlineStr">
        <is>
          <t>홈서비스</t>
        </is>
      </c>
      <c r="AC4948" t="n">
        <v>272800</v>
      </c>
      <c r="AD4948" t="n">
        <v>21700</v>
      </c>
      <c r="AE4948" t="n">
        <v>251100</v>
      </c>
      <c r="AF4948" t="n">
        <v>248000</v>
      </c>
      <c r="AG4948" t="n">
        <v>20983.9</v>
      </c>
      <c r="AH4948" t="n">
        <v>227016.1</v>
      </c>
      <c r="AI4948" t="n">
        <v>0</v>
      </c>
    </row>
    <row r="4949">
      <c r="A4949" t="inlineStr">
        <is>
          <t>6월</t>
        </is>
      </c>
      <c r="B4949" t="inlineStr">
        <is>
          <t>23주차</t>
        </is>
      </c>
      <c r="C4949" t="inlineStr">
        <is>
          <t>EP</t>
        </is>
      </c>
      <c r="D4949" s="28" t="n">
        <v>46175</v>
      </c>
      <c r="E4949" t="inlineStr">
        <is>
          <t>현대EP</t>
        </is>
      </c>
      <c r="F4949" t="inlineStr">
        <is>
          <t>김정훈</t>
        </is>
      </c>
      <c r="G4949" t="inlineStr">
        <is>
          <t>010-5507-5062</t>
        </is>
      </c>
      <c r="H4949" t="inlineStr">
        <is>
          <t>174무7918</t>
        </is>
      </c>
      <c r="I4949" t="n">
        <v>16500000</v>
      </c>
      <c r="J4949" t="n">
        <v>0.06900000000000001</v>
      </c>
      <c r="K4949" t="n">
        <v>1.76</v>
      </c>
      <c r="L4949" t="n">
        <v>0.14</v>
      </c>
      <c r="M4949" t="n">
        <v>1.62</v>
      </c>
      <c r="P4949" t="inlineStr">
        <is>
          <t>김나윤</t>
        </is>
      </c>
      <c r="AB4949" t="inlineStr">
        <is>
          <t>홈서비스</t>
        </is>
      </c>
      <c r="AC4949" t="n">
        <v>290400</v>
      </c>
      <c r="AD4949" t="n">
        <v>23100</v>
      </c>
      <c r="AE4949" t="n">
        <v>267300</v>
      </c>
      <c r="AF4949" t="n">
        <v>264000</v>
      </c>
      <c r="AG4949" t="n">
        <v>22337.7</v>
      </c>
      <c r="AH4949" t="n">
        <v>241662.3</v>
      </c>
    </row>
    <row r="4950">
      <c r="A4950" t="inlineStr">
        <is>
          <t>6월</t>
        </is>
      </c>
      <c r="B4950" t="inlineStr">
        <is>
          <t>23주차</t>
        </is>
      </c>
      <c r="C4950" t="inlineStr">
        <is>
          <t>EP</t>
        </is>
      </c>
      <c r="D4950" s="28" t="n">
        <v>46175</v>
      </c>
      <c r="E4950" t="inlineStr">
        <is>
          <t>현대EP</t>
        </is>
      </c>
      <c r="F4950" t="inlineStr">
        <is>
          <t>김준</t>
        </is>
      </c>
      <c r="G4950" t="inlineStr">
        <is>
          <t>010-5142-3758</t>
        </is>
      </c>
      <c r="H4950" t="inlineStr">
        <is>
          <t>67다4508</t>
        </is>
      </c>
      <c r="I4950" t="n">
        <v>13700000</v>
      </c>
      <c r="J4950" t="n">
        <v>0.08699999999999999</v>
      </c>
      <c r="K4950" t="n">
        <v>1.76</v>
      </c>
      <c r="L4950" t="n">
        <v>0.14</v>
      </c>
      <c r="M4950" t="n">
        <v>1.62</v>
      </c>
      <c r="P4950" t="inlineStr">
        <is>
          <t>정세빈</t>
        </is>
      </c>
      <c r="AB4950" t="inlineStr">
        <is>
          <t>홈서비스</t>
        </is>
      </c>
      <c r="AC4950" t="n">
        <v>241120</v>
      </c>
      <c r="AD4950" t="n">
        <v>19180</v>
      </c>
      <c r="AE4950" t="n">
        <v>221940</v>
      </c>
      <c r="AF4950" t="n">
        <v>219200</v>
      </c>
      <c r="AG4950" t="n">
        <v>18547.06</v>
      </c>
      <c r="AH4950" t="n">
        <v>200652.94</v>
      </c>
    </row>
    <row r="4951">
      <c r="A4951" t="inlineStr">
        <is>
          <t>6월</t>
        </is>
      </c>
      <c r="B4951" t="inlineStr">
        <is>
          <t>23주차</t>
        </is>
      </c>
      <c r="C4951" t="inlineStr">
        <is>
          <t>EP</t>
        </is>
      </c>
      <c r="D4951" s="28" t="n">
        <v>46175</v>
      </c>
      <c r="E4951" t="inlineStr">
        <is>
          <t>현대EP</t>
        </is>
      </c>
      <c r="F4951" t="inlineStr">
        <is>
          <t>박종빈</t>
        </is>
      </c>
      <c r="G4951" t="inlineStr">
        <is>
          <t>010-5212-0498</t>
        </is>
      </c>
      <c r="H4951" t="inlineStr">
        <is>
          <t>399오8681</t>
        </is>
      </c>
      <c r="I4951" t="n">
        <v>14000000</v>
      </c>
      <c r="J4951" t="n">
        <v>0.08799999999999999</v>
      </c>
      <c r="K4951" t="n">
        <v>1.76</v>
      </c>
      <c r="L4951" t="n">
        <v>0.14</v>
      </c>
      <c r="M4951" t="n">
        <v>1.62</v>
      </c>
      <c r="P4951" t="inlineStr">
        <is>
          <t>김수연</t>
        </is>
      </c>
      <c r="AB4951" t="inlineStr">
        <is>
          <t>홈서비스</t>
        </is>
      </c>
      <c r="AC4951" t="n">
        <v>246400</v>
      </c>
      <c r="AD4951" t="n">
        <v>19600</v>
      </c>
      <c r="AE4951" t="n">
        <v>226800</v>
      </c>
      <c r="AF4951" t="n">
        <v>224000</v>
      </c>
      <c r="AG4951" t="n">
        <v>18953.2</v>
      </c>
      <c r="AH4951" t="n">
        <v>205046.8</v>
      </c>
    </row>
    <row r="4952">
      <c r="A4952" t="inlineStr">
        <is>
          <t>6월</t>
        </is>
      </c>
      <c r="B4952" t="inlineStr">
        <is>
          <t>23주차</t>
        </is>
      </c>
      <c r="C4952" t="inlineStr">
        <is>
          <t>EP</t>
        </is>
      </c>
      <c r="D4952" s="28" t="n">
        <v>46175</v>
      </c>
      <c r="E4952" t="inlineStr">
        <is>
          <t>현대EP</t>
        </is>
      </c>
      <c r="F4952" t="inlineStr">
        <is>
          <t>이연지</t>
        </is>
      </c>
      <c r="G4952" t="inlineStr">
        <is>
          <t>010-4058-2451</t>
        </is>
      </c>
      <c r="H4952" t="inlineStr">
        <is>
          <t>09더7362</t>
        </is>
      </c>
      <c r="I4952" t="n">
        <v>11500000</v>
      </c>
      <c r="J4952" t="n">
        <v>0.07099999999999999</v>
      </c>
      <c r="K4952" t="n">
        <v>1.76</v>
      </c>
      <c r="L4952" t="n">
        <v>0.14</v>
      </c>
      <c r="M4952" t="n">
        <v>1.62</v>
      </c>
      <c r="P4952" t="inlineStr">
        <is>
          <t>김나윤</t>
        </is>
      </c>
      <c r="AB4952" t="inlineStr">
        <is>
          <t>홈서비스</t>
        </is>
      </c>
      <c r="AC4952" t="n">
        <v>202400</v>
      </c>
      <c r="AD4952" t="n">
        <v>16100</v>
      </c>
      <c r="AE4952" t="n">
        <v>186300</v>
      </c>
      <c r="AF4952" t="n">
        <v>184000</v>
      </c>
      <c r="AG4952" t="n">
        <v>15568.7</v>
      </c>
      <c r="AH4952" t="n">
        <v>168431.3</v>
      </c>
    </row>
    <row r="4953">
      <c r="A4953" t="inlineStr">
        <is>
          <t>6월</t>
        </is>
      </c>
      <c r="B4953" t="inlineStr">
        <is>
          <t>23주차</t>
        </is>
      </c>
      <c r="C4953" t="inlineStr">
        <is>
          <t>EP</t>
        </is>
      </c>
      <c r="D4953" s="28" t="n">
        <v>46175</v>
      </c>
      <c r="E4953" t="inlineStr">
        <is>
          <t>현대EP</t>
        </is>
      </c>
      <c r="F4953" t="inlineStr">
        <is>
          <t>이호석</t>
        </is>
      </c>
      <c r="G4953" t="inlineStr">
        <is>
          <t>010-5090-3556</t>
        </is>
      </c>
      <c r="H4953" t="inlineStr">
        <is>
          <t>62저6797</t>
        </is>
      </c>
      <c r="I4953" t="n">
        <v>38500000</v>
      </c>
      <c r="J4953" t="n">
        <v>0.081</v>
      </c>
      <c r="K4953" t="n">
        <v>1.76</v>
      </c>
      <c r="L4953" t="n">
        <v>0.14</v>
      </c>
      <c r="M4953" t="n">
        <v>1.62</v>
      </c>
      <c r="P4953" t="inlineStr">
        <is>
          <t>황채이</t>
        </is>
      </c>
      <c r="AB4953" t="inlineStr">
        <is>
          <t>홈서비스</t>
        </is>
      </c>
      <c r="AC4953" t="n">
        <v>677600</v>
      </c>
      <c r="AD4953" t="n">
        <v>53900</v>
      </c>
      <c r="AE4953" t="n">
        <v>623700</v>
      </c>
      <c r="AF4953" t="n">
        <v>616000</v>
      </c>
      <c r="AG4953" t="n">
        <v>52121.3</v>
      </c>
      <c r="AH4953" t="n">
        <v>563878.7</v>
      </c>
      <c r="AI4953" t="n">
        <v>0</v>
      </c>
    </row>
    <row r="4954">
      <c r="A4954" t="inlineStr">
        <is>
          <t>6월</t>
        </is>
      </c>
      <c r="B4954" t="inlineStr">
        <is>
          <t>23주차</t>
        </is>
      </c>
      <c r="C4954" t="inlineStr">
        <is>
          <t>EP</t>
        </is>
      </c>
      <c r="D4954" s="28" t="n">
        <v>46175</v>
      </c>
      <c r="E4954" t="inlineStr">
        <is>
          <t>현대EP</t>
        </is>
      </c>
      <c r="F4954" t="inlineStr">
        <is>
          <t>장민주</t>
        </is>
      </c>
      <c r="G4954" t="inlineStr">
        <is>
          <t>010-7686-7773</t>
        </is>
      </c>
      <c r="H4954" t="inlineStr">
        <is>
          <t>59모7724</t>
        </is>
      </c>
      <c r="I4954" t="n">
        <v>8800000</v>
      </c>
      <c r="J4954" t="n">
        <v>0.062</v>
      </c>
      <c r="K4954" t="n">
        <v>1.76</v>
      </c>
      <c r="L4954" t="n">
        <v>0.14</v>
      </c>
      <c r="M4954" t="n">
        <v>1.62</v>
      </c>
      <c r="P4954" t="inlineStr">
        <is>
          <t>김나윤</t>
        </is>
      </c>
      <c r="AB4954" t="inlineStr">
        <is>
          <t>홈서비스</t>
        </is>
      </c>
      <c r="AC4954" t="n">
        <v>154880</v>
      </c>
      <c r="AD4954" t="n">
        <v>12320</v>
      </c>
      <c r="AE4954" t="n">
        <v>142560</v>
      </c>
      <c r="AF4954" t="n">
        <v>140800</v>
      </c>
      <c r="AG4954" t="n">
        <v>11913.44</v>
      </c>
      <c r="AH4954" t="n">
        <v>128886.56</v>
      </c>
      <c r="AI4954" t="n">
        <v>0</v>
      </c>
    </row>
    <row r="4955">
      <c r="A4955" t="inlineStr">
        <is>
          <t>6월</t>
        </is>
      </c>
      <c r="B4955" t="inlineStr">
        <is>
          <t>23주차</t>
        </is>
      </c>
      <c r="C4955" t="inlineStr">
        <is>
          <t>EP</t>
        </is>
      </c>
      <c r="D4955" s="28" t="n">
        <v>46175</v>
      </c>
      <c r="E4955" t="inlineStr">
        <is>
          <t>현대EP</t>
        </is>
      </c>
      <c r="F4955" t="inlineStr">
        <is>
          <t>정수용</t>
        </is>
      </c>
      <c r="G4955" t="inlineStr">
        <is>
          <t>010-9575-2837</t>
        </is>
      </c>
      <c r="H4955" t="inlineStr">
        <is>
          <t>357가8660</t>
        </is>
      </c>
      <c r="I4955" t="n">
        <v>24500000</v>
      </c>
      <c r="J4955" t="n">
        <v>0.074</v>
      </c>
      <c r="K4955" t="n">
        <v>1.76</v>
      </c>
      <c r="L4955" t="n">
        <v>0.14</v>
      </c>
      <c r="M4955" t="n">
        <v>1.62</v>
      </c>
      <c r="P4955" t="inlineStr">
        <is>
          <t>황채이</t>
        </is>
      </c>
      <c r="AB4955" t="inlineStr">
        <is>
          <t>홈서비스</t>
        </is>
      </c>
      <c r="AC4955" t="n">
        <v>431200</v>
      </c>
      <c r="AD4955" t="n">
        <v>34300</v>
      </c>
      <c r="AE4955" t="n">
        <v>396900</v>
      </c>
      <c r="AF4955" t="n">
        <v>392000</v>
      </c>
      <c r="AG4955" t="n">
        <v>33168.1</v>
      </c>
      <c r="AH4955" t="n">
        <v>358831.9</v>
      </c>
    </row>
    <row r="4956">
      <c r="A4956" t="inlineStr">
        <is>
          <t>6월</t>
        </is>
      </c>
      <c r="B4956" t="inlineStr">
        <is>
          <t>23주차</t>
        </is>
      </c>
      <c r="C4956" t="inlineStr">
        <is>
          <t>EP</t>
        </is>
      </c>
      <c r="D4956" s="28" t="n">
        <v>46175</v>
      </c>
      <c r="E4956" t="inlineStr">
        <is>
          <t>현대EP</t>
        </is>
      </c>
      <c r="F4956" t="inlineStr">
        <is>
          <t>조인후</t>
        </is>
      </c>
      <c r="G4956" t="inlineStr">
        <is>
          <t>010-8908-6495</t>
        </is>
      </c>
      <c r="H4956" t="inlineStr">
        <is>
          <t>267구7200</t>
        </is>
      </c>
      <c r="I4956" t="n">
        <v>3000000</v>
      </c>
      <c r="J4956" t="n">
        <v>0.096</v>
      </c>
      <c r="K4956" t="n">
        <v>1.76</v>
      </c>
      <c r="L4956" t="n">
        <v>0.14</v>
      </c>
      <c r="M4956" t="n">
        <v>1.62</v>
      </c>
      <c r="P4956" t="inlineStr">
        <is>
          <t>김수연</t>
        </is>
      </c>
      <c r="AB4956" t="inlineStr">
        <is>
          <t>홈서비스</t>
        </is>
      </c>
      <c r="AC4956" t="n">
        <v>52800</v>
      </c>
      <c r="AD4956" t="n">
        <v>4200</v>
      </c>
      <c r="AE4956" t="n">
        <v>48600</v>
      </c>
      <c r="AF4956" t="n">
        <v>48000</v>
      </c>
      <c r="AG4956" t="n">
        <v>4061.4</v>
      </c>
      <c r="AH4956" t="n">
        <v>43938.6</v>
      </c>
      <c r="AI4956" t="n">
        <v>0</v>
      </c>
    </row>
    <row r="4957">
      <c r="A4957" t="inlineStr">
        <is>
          <t>6월</t>
        </is>
      </c>
      <c r="B4957" t="inlineStr">
        <is>
          <t>23주차</t>
        </is>
      </c>
      <c r="C4957" t="inlineStr">
        <is>
          <t>EP</t>
        </is>
      </c>
      <c r="D4957" s="28" t="n">
        <v>46175</v>
      </c>
      <c r="E4957" t="inlineStr">
        <is>
          <t>현대EP</t>
        </is>
      </c>
      <c r="F4957" t="inlineStr">
        <is>
          <t>한영학</t>
        </is>
      </c>
      <c r="G4957" t="inlineStr">
        <is>
          <t>010-8431-2491</t>
        </is>
      </c>
      <c r="H4957" t="inlineStr">
        <is>
          <t>152가7304</t>
        </is>
      </c>
      <c r="I4957" t="n">
        <v>16900000</v>
      </c>
      <c r="J4957" t="n">
        <v>0.08400000000000001</v>
      </c>
      <c r="K4957" t="n">
        <v>1.76</v>
      </c>
      <c r="L4957" t="n">
        <v>0.14</v>
      </c>
      <c r="M4957" t="n">
        <v>1.62</v>
      </c>
      <c r="P4957" t="inlineStr">
        <is>
          <t>황채이</t>
        </is>
      </c>
      <c r="AB4957" t="inlineStr">
        <is>
          <t>홈서비스</t>
        </is>
      </c>
      <c r="AC4957" t="n">
        <v>297440</v>
      </c>
      <c r="AD4957" t="n">
        <v>23660</v>
      </c>
      <c r="AE4957" t="n">
        <v>273780</v>
      </c>
      <c r="AF4957" t="n">
        <v>270400</v>
      </c>
      <c r="AG4957" t="n">
        <v>22879.22</v>
      </c>
      <c r="AH4957" t="n">
        <v>247520.78</v>
      </c>
      <c r="AI4957" t="n">
        <v>0</v>
      </c>
    </row>
    <row r="4958">
      <c r="A4958" t="inlineStr">
        <is>
          <t>6월</t>
        </is>
      </c>
      <c r="B4958" t="inlineStr">
        <is>
          <t>23주차</t>
        </is>
      </c>
      <c r="C4958" t="inlineStr">
        <is>
          <t>EP</t>
        </is>
      </c>
      <c r="D4958" s="28" t="n">
        <v>46176</v>
      </c>
      <c r="E4958" t="inlineStr">
        <is>
          <t>현대EP</t>
        </is>
      </c>
      <c r="F4958" t="inlineStr">
        <is>
          <t>구자웅</t>
        </is>
      </c>
      <c r="G4958" t="inlineStr">
        <is>
          <t>010-3641-1898</t>
        </is>
      </c>
      <c r="H4958" t="inlineStr">
        <is>
          <t>51보6349</t>
        </is>
      </c>
      <c r="I4958" t="n">
        <v>12900000</v>
      </c>
      <c r="J4958" t="n">
        <v>0.06900000000000001</v>
      </c>
      <c r="K4958" t="n">
        <v>1.76</v>
      </c>
      <c r="L4958" t="n">
        <v>0.14</v>
      </c>
      <c r="M4958" t="n">
        <v>1.62</v>
      </c>
      <c r="P4958" t="inlineStr">
        <is>
          <t>황채이</t>
        </is>
      </c>
      <c r="AB4958" t="inlineStr">
        <is>
          <t>홈서비스</t>
        </is>
      </c>
      <c r="AC4958" t="n">
        <v>227040</v>
      </c>
      <c r="AD4958" t="n">
        <v>18060</v>
      </c>
      <c r="AE4958" t="n">
        <v>208980</v>
      </c>
      <c r="AF4958" t="n">
        <v>206400</v>
      </c>
      <c r="AG4958" t="n">
        <v>17464.02</v>
      </c>
      <c r="AH4958" t="n">
        <v>188935.98</v>
      </c>
    </row>
    <row r="4959">
      <c r="A4959" t="inlineStr">
        <is>
          <t>6월</t>
        </is>
      </c>
      <c r="B4959" t="inlineStr">
        <is>
          <t>23주차</t>
        </is>
      </c>
      <c r="C4959" t="inlineStr">
        <is>
          <t>EP</t>
        </is>
      </c>
      <c r="D4959" s="28" t="n">
        <v>46176</v>
      </c>
      <c r="E4959" t="inlineStr">
        <is>
          <t>현대EP</t>
        </is>
      </c>
      <c r="F4959" t="inlineStr">
        <is>
          <t>전계학</t>
        </is>
      </c>
      <c r="G4959" t="inlineStr">
        <is>
          <t>010-9375-9021</t>
        </is>
      </c>
      <c r="H4959" t="inlineStr">
        <is>
          <t>368소7329</t>
        </is>
      </c>
      <c r="I4959" t="n">
        <v>10000000</v>
      </c>
      <c r="J4959" t="n">
        <v>0.109</v>
      </c>
      <c r="K4959" t="n">
        <v>1.76</v>
      </c>
      <c r="L4959" t="n">
        <v>0.14</v>
      </c>
      <c r="M4959" t="n">
        <v>1.62</v>
      </c>
      <c r="P4959" t="inlineStr">
        <is>
          <t>김수연</t>
        </is>
      </c>
      <c r="AB4959" t="inlineStr">
        <is>
          <t>홈서비스</t>
        </is>
      </c>
      <c r="AC4959" t="n">
        <v>176000</v>
      </c>
      <c r="AD4959" t="n">
        <v>14000</v>
      </c>
      <c r="AE4959" t="n">
        <v>162000</v>
      </c>
      <c r="AF4959" t="n">
        <v>160000</v>
      </c>
      <c r="AG4959" t="n">
        <v>13538</v>
      </c>
      <c r="AH4959" t="n">
        <v>146462</v>
      </c>
      <c r="AI4959" t="n">
        <v>0</v>
      </c>
    </row>
    <row r="4960">
      <c r="A4960" t="inlineStr">
        <is>
          <t>6월</t>
        </is>
      </c>
      <c r="B4960" t="inlineStr">
        <is>
          <t>23주차</t>
        </is>
      </c>
      <c r="C4960" t="inlineStr">
        <is>
          <t>EP</t>
        </is>
      </c>
      <c r="D4960" s="28" t="n">
        <v>46176</v>
      </c>
      <c r="E4960" t="inlineStr">
        <is>
          <t>현대EP</t>
        </is>
      </c>
      <c r="F4960" t="inlineStr">
        <is>
          <t>정수환</t>
        </is>
      </c>
      <c r="G4960" t="inlineStr">
        <is>
          <t>010-3955-0252</t>
        </is>
      </c>
      <c r="H4960" t="inlineStr">
        <is>
          <t>148고6792</t>
        </is>
      </c>
      <c r="I4960" t="n">
        <v>24800000</v>
      </c>
      <c r="J4960" t="n">
        <v>0.089</v>
      </c>
      <c r="K4960" t="n">
        <v>1.76</v>
      </c>
      <c r="L4960" t="n">
        <v>0.14</v>
      </c>
      <c r="M4960" t="n">
        <v>1.62</v>
      </c>
      <c r="P4960" t="inlineStr">
        <is>
          <t>정세빈</t>
        </is>
      </c>
      <c r="AB4960" t="inlineStr">
        <is>
          <t>홈서비스</t>
        </is>
      </c>
      <c r="AC4960" t="n">
        <v>436480</v>
      </c>
      <c r="AD4960" t="n">
        <v>34720</v>
      </c>
      <c r="AE4960" t="n">
        <v>401760</v>
      </c>
      <c r="AF4960" t="n">
        <v>396800</v>
      </c>
      <c r="AG4960" t="n">
        <v>33574.24</v>
      </c>
      <c r="AH4960" t="n">
        <v>363225.76</v>
      </c>
      <c r="AI4960" t="n">
        <v>0</v>
      </c>
    </row>
    <row r="4961">
      <c r="A4961" t="inlineStr">
        <is>
          <t>6월</t>
        </is>
      </c>
      <c r="B4961" t="inlineStr">
        <is>
          <t>23주차</t>
        </is>
      </c>
      <c r="C4961" t="inlineStr">
        <is>
          <t>EP</t>
        </is>
      </c>
      <c r="D4961" s="28" t="n">
        <v>46176</v>
      </c>
      <c r="E4961" t="inlineStr">
        <is>
          <t>현대EP</t>
        </is>
      </c>
      <c r="F4961" t="inlineStr">
        <is>
          <t>조민규</t>
        </is>
      </c>
      <c r="G4961" t="inlineStr">
        <is>
          <t>010-2988-6018</t>
        </is>
      </c>
      <c r="H4961" t="inlineStr">
        <is>
          <t>41우1149</t>
        </is>
      </c>
      <c r="I4961" t="n">
        <v>4600000</v>
      </c>
      <c r="J4961" t="n">
        <v>0.074</v>
      </c>
      <c r="K4961" t="n">
        <v>1.76</v>
      </c>
      <c r="L4961" t="n">
        <v>0.14</v>
      </c>
      <c r="M4961" t="n">
        <v>1.62</v>
      </c>
      <c r="P4961" t="inlineStr">
        <is>
          <t>정세빈</t>
        </is>
      </c>
      <c r="AB4961" t="inlineStr">
        <is>
          <t>홈서비스</t>
        </is>
      </c>
      <c r="AC4961" t="n">
        <v>80960</v>
      </c>
      <c r="AD4961" t="n">
        <v>6440</v>
      </c>
      <c r="AE4961" t="n">
        <v>74520</v>
      </c>
      <c r="AF4961" t="n">
        <v>73600</v>
      </c>
      <c r="AG4961" t="n">
        <v>6227.48</v>
      </c>
      <c r="AH4961" t="n">
        <v>67372.52</v>
      </c>
    </row>
    <row r="4962">
      <c r="A4962" t="inlineStr">
        <is>
          <t>6월</t>
        </is>
      </c>
      <c r="B4962" t="inlineStr">
        <is>
          <t>23주차</t>
        </is>
      </c>
      <c r="C4962" t="inlineStr">
        <is>
          <t>EP</t>
        </is>
      </c>
      <c r="D4962" s="28" t="n">
        <v>46177</v>
      </c>
      <c r="E4962" t="inlineStr">
        <is>
          <t>현대EP_fast</t>
        </is>
      </c>
      <c r="F4962" t="inlineStr">
        <is>
          <t>박희대</t>
        </is>
      </c>
      <c r="G4962" t="inlineStr">
        <is>
          <t>010-6322-4773</t>
        </is>
      </c>
      <c r="H4962" t="inlineStr">
        <is>
          <t>71우8102</t>
        </is>
      </c>
      <c r="I4962" t="n">
        <v>21300000</v>
      </c>
      <c r="J4962" t="n">
        <v>0.109</v>
      </c>
      <c r="K4962" t="n">
        <v>1.76</v>
      </c>
      <c r="L4962" t="n">
        <v>0.4</v>
      </c>
      <c r="M4962" t="n">
        <v>1.36</v>
      </c>
      <c r="P4962" t="inlineStr">
        <is>
          <t>임대경</t>
        </is>
      </c>
      <c r="AB4962" t="inlineStr">
        <is>
          <t>엔카</t>
        </is>
      </c>
      <c r="AC4962" t="n">
        <v>374880</v>
      </c>
      <c r="AD4962" t="n">
        <v>85200</v>
      </c>
      <c r="AE4962" t="n">
        <v>289680</v>
      </c>
      <c r="AF4962" t="n">
        <v>340800</v>
      </c>
      <c r="AG4962" t="n">
        <v>82388.39999999999</v>
      </c>
      <c r="AH4962" t="n">
        <v>258411.6</v>
      </c>
      <c r="AI4962" t="n">
        <v>0</v>
      </c>
    </row>
    <row r="4963">
      <c r="A4963" t="inlineStr">
        <is>
          <t>6월</t>
        </is>
      </c>
      <c r="B4963" t="inlineStr">
        <is>
          <t>23주차</t>
        </is>
      </c>
      <c r="C4963" t="inlineStr">
        <is>
          <t>IM</t>
        </is>
      </c>
      <c r="D4963" s="28" t="n">
        <v>46177</v>
      </c>
      <c r="E4963" t="inlineStr">
        <is>
          <t>IM캐피탈</t>
        </is>
      </c>
      <c r="F4963" t="inlineStr">
        <is>
          <t>성규범</t>
        </is>
      </c>
      <c r="G4963" t="inlineStr">
        <is>
          <t>010-3645-9302</t>
        </is>
      </c>
      <c r="H4963" t="inlineStr">
        <is>
          <t>148노1105</t>
        </is>
      </c>
      <c r="I4963" t="n">
        <v>40000000</v>
      </c>
      <c r="J4963" t="n">
        <v>0.063</v>
      </c>
      <c r="K4963" t="n">
        <v>1.1</v>
      </c>
      <c r="L4963" t="n">
        <v>0.14</v>
      </c>
      <c r="M4963" t="n">
        <v>0.96</v>
      </c>
      <c r="P4963" t="inlineStr">
        <is>
          <t>최혁</t>
        </is>
      </c>
      <c r="Q4963" t="inlineStr">
        <is>
          <t>홈서비스60개월</t>
        </is>
      </c>
      <c r="AB4963" t="inlineStr">
        <is>
          <t>홈서비스</t>
        </is>
      </c>
      <c r="AC4963" t="n">
        <v>440000</v>
      </c>
      <c r="AD4963" t="n">
        <v>56000</v>
      </c>
      <c r="AE4963" t="n">
        <v>384000</v>
      </c>
      <c r="AF4963" t="n">
        <v>400000</v>
      </c>
      <c r="AG4963" t="n">
        <v>54152</v>
      </c>
      <c r="AH4963" t="n">
        <v>345848</v>
      </c>
      <c r="AI4963" t="n">
        <v>0</v>
      </c>
    </row>
    <row r="4964">
      <c r="A4964" t="inlineStr">
        <is>
          <t>6월</t>
        </is>
      </c>
      <c r="B4964" t="inlineStr">
        <is>
          <t>23주차</t>
        </is>
      </c>
      <c r="C4964" t="inlineStr">
        <is>
          <t>IM</t>
        </is>
      </c>
      <c r="D4964" s="28" t="n">
        <v>46177</v>
      </c>
      <c r="E4964" t="inlineStr">
        <is>
          <t>IM캐피탈</t>
        </is>
      </c>
      <c r="F4964" t="inlineStr">
        <is>
          <t>백진욱</t>
        </is>
      </c>
      <c r="G4964" t="inlineStr">
        <is>
          <t>010-2636-1949</t>
        </is>
      </c>
      <c r="H4964" t="inlineStr">
        <is>
          <t>34도4250</t>
        </is>
      </c>
      <c r="I4964" t="n">
        <v>10000000</v>
      </c>
      <c r="J4964" t="n">
        <v>0.063</v>
      </c>
      <c r="K4964" t="n">
        <v>1.1</v>
      </c>
      <c r="L4964" t="n">
        <v>0.4</v>
      </c>
      <c r="M4964" t="n">
        <v>0.7</v>
      </c>
      <c r="P4964" t="inlineStr">
        <is>
          <t>박소현</t>
        </is>
      </c>
      <c r="AB4964" t="inlineStr">
        <is>
          <t>엔카</t>
        </is>
      </c>
      <c r="AC4964" t="n">
        <v>110000</v>
      </c>
      <c r="AD4964" t="n">
        <v>40000</v>
      </c>
      <c r="AE4964" t="n">
        <v>70000</v>
      </c>
      <c r="AF4964" t="n">
        <v>100000</v>
      </c>
      <c r="AG4964" t="n">
        <v>38680</v>
      </c>
      <c r="AH4964" t="n">
        <v>61320</v>
      </c>
      <c r="AI4964" t="n">
        <v>0</v>
      </c>
    </row>
    <row r="4965">
      <c r="A4965" t="inlineStr">
        <is>
          <t>6월</t>
        </is>
      </c>
      <c r="B4965" t="inlineStr">
        <is>
          <t>23주차</t>
        </is>
      </c>
      <c r="C4965" t="inlineStr">
        <is>
          <t>IM</t>
        </is>
      </c>
      <c r="D4965" s="28" t="n">
        <v>46177</v>
      </c>
      <c r="E4965" t="inlineStr">
        <is>
          <t>IM캐피탈</t>
        </is>
      </c>
      <c r="F4965" t="inlineStr">
        <is>
          <t>김도훈</t>
        </is>
      </c>
      <c r="G4965" t="inlineStr">
        <is>
          <t>010-3540-7450</t>
        </is>
      </c>
      <c r="H4965" t="inlineStr">
        <is>
          <t>175버2788</t>
        </is>
      </c>
      <c r="I4965" t="n">
        <v>40000000</v>
      </c>
      <c r="J4965" t="n">
        <v>0.049</v>
      </c>
      <c r="K4965" t="n">
        <v>1.1</v>
      </c>
      <c r="L4965" t="n">
        <v>0.4</v>
      </c>
      <c r="M4965" t="n">
        <v>0.7</v>
      </c>
      <c r="P4965" t="inlineStr">
        <is>
          <t>박소현</t>
        </is>
      </c>
      <c r="AB4965" t="inlineStr">
        <is>
          <t>엔카</t>
        </is>
      </c>
      <c r="AC4965" t="n">
        <v>440000</v>
      </c>
      <c r="AD4965" t="n">
        <v>160000</v>
      </c>
      <c r="AE4965" t="n">
        <v>280000</v>
      </c>
      <c r="AF4965" t="n">
        <v>400000</v>
      </c>
      <c r="AG4965" t="n">
        <v>154720</v>
      </c>
      <c r="AH4965" t="n">
        <v>245280</v>
      </c>
      <c r="AI4965" t="n">
        <v>0</v>
      </c>
    </row>
    <row r="4966">
      <c r="A4966" t="inlineStr">
        <is>
          <t>6월</t>
        </is>
      </c>
      <c r="B4966" t="inlineStr">
        <is>
          <t>23주차</t>
        </is>
      </c>
      <c r="C4966" t="inlineStr">
        <is>
          <t>EP</t>
        </is>
      </c>
      <c r="D4966" s="28" t="n">
        <v>46177</v>
      </c>
      <c r="E4966" t="inlineStr">
        <is>
          <t>현대EP_fast</t>
        </is>
      </c>
      <c r="F4966" t="inlineStr">
        <is>
          <t>김중일</t>
        </is>
      </c>
      <c r="G4966" t="inlineStr">
        <is>
          <t>010-7533-4763</t>
        </is>
      </c>
      <c r="H4966" t="inlineStr">
        <is>
          <t>55머7344</t>
        </is>
      </c>
      <c r="I4966" t="n">
        <v>8200000</v>
      </c>
      <c r="J4966" t="n">
        <v>0.06900000000000001</v>
      </c>
      <c r="K4966" t="n">
        <v>1.76</v>
      </c>
      <c r="L4966" t="n">
        <v>0.14</v>
      </c>
      <c r="M4966" t="n">
        <v>1.62</v>
      </c>
      <c r="P4966" t="inlineStr">
        <is>
          <t>정세빈</t>
        </is>
      </c>
      <c r="Q4966" t="inlineStr">
        <is>
          <t>홈서비스 60개월</t>
        </is>
      </c>
      <c r="AB4966" t="inlineStr">
        <is>
          <t>홈서비스</t>
        </is>
      </c>
      <c r="AC4966" t="n">
        <v>144320</v>
      </c>
      <c r="AD4966" t="n">
        <v>11480</v>
      </c>
      <c r="AE4966" t="n">
        <v>132840</v>
      </c>
      <c r="AF4966" t="n">
        <v>131200</v>
      </c>
      <c r="AG4966" t="n">
        <v>11101.16</v>
      </c>
      <c r="AH4966" t="n">
        <v>120098.84</v>
      </c>
      <c r="AI4966" t="n">
        <v>0</v>
      </c>
    </row>
    <row r="4967">
      <c r="A4967" t="inlineStr">
        <is>
          <t>6월</t>
        </is>
      </c>
      <c r="B4967" t="inlineStr">
        <is>
          <t>23주차</t>
        </is>
      </c>
      <c r="C4967" t="inlineStr">
        <is>
          <t>IM</t>
        </is>
      </c>
      <c r="D4967" s="28" t="n">
        <v>46177</v>
      </c>
      <c r="E4967" t="inlineStr">
        <is>
          <t>IM캐피탈</t>
        </is>
      </c>
      <c r="F4967" t="inlineStr">
        <is>
          <t>이창수</t>
        </is>
      </c>
      <c r="G4967" t="inlineStr">
        <is>
          <t>010-6750-5136</t>
        </is>
      </c>
      <c r="H4967" t="inlineStr">
        <is>
          <t>52도3530</t>
        </is>
      </c>
      <c r="I4967" t="n">
        <v>14800000</v>
      </c>
      <c r="J4967" t="n">
        <v>0.049</v>
      </c>
      <c r="K4967" t="n">
        <v>1.1</v>
      </c>
      <c r="L4967" t="n">
        <v>0.14</v>
      </c>
      <c r="M4967" t="n">
        <v>0.96</v>
      </c>
      <c r="P4967" t="inlineStr">
        <is>
          <t>임대경</t>
        </is>
      </c>
      <c r="Q4967" t="inlineStr">
        <is>
          <t>홈서비스 72개월</t>
        </is>
      </c>
      <c r="AB4967" t="inlineStr">
        <is>
          <t>홈서비스</t>
        </is>
      </c>
      <c r="AC4967" t="n">
        <v>162800</v>
      </c>
      <c r="AD4967" t="n">
        <v>20720</v>
      </c>
      <c r="AE4967" t="n">
        <v>142080</v>
      </c>
      <c r="AF4967" t="n">
        <v>148000</v>
      </c>
      <c r="AG4967" t="n">
        <v>20036.24</v>
      </c>
      <c r="AH4967" t="n">
        <v>127963.76</v>
      </c>
      <c r="AI4967" t="n">
        <v>0</v>
      </c>
    </row>
    <row r="4968">
      <c r="A4968" t="inlineStr">
        <is>
          <t>6월</t>
        </is>
      </c>
      <c r="B4968" t="inlineStr">
        <is>
          <t>23주차</t>
        </is>
      </c>
      <c r="C4968" t="inlineStr">
        <is>
          <t>EP</t>
        </is>
      </c>
      <c r="D4968" s="28" t="n">
        <v>46177</v>
      </c>
      <c r="E4968" t="inlineStr">
        <is>
          <t>현대EP_fast</t>
        </is>
      </c>
      <c r="F4968" t="inlineStr">
        <is>
          <t>신우정</t>
        </is>
      </c>
      <c r="G4968" t="inlineStr">
        <is>
          <t>010-8312-2229</t>
        </is>
      </c>
      <c r="H4968" t="inlineStr">
        <is>
          <t>58다4967</t>
        </is>
      </c>
      <c r="I4968" t="n">
        <v>6000000</v>
      </c>
      <c r="J4968" t="n">
        <v>0.142</v>
      </c>
      <c r="K4968" t="n">
        <v>1.76</v>
      </c>
      <c r="L4968" t="n">
        <v>0.4</v>
      </c>
      <c r="M4968" t="n">
        <v>1.36</v>
      </c>
      <c r="P4968" t="inlineStr">
        <is>
          <t>임대경</t>
        </is>
      </c>
      <c r="AB4968" t="inlineStr">
        <is>
          <t>엔카</t>
        </is>
      </c>
      <c r="AC4968" t="n">
        <v>105600</v>
      </c>
      <c r="AD4968" t="n">
        <v>24000</v>
      </c>
      <c r="AE4968" t="n">
        <v>81600</v>
      </c>
      <c r="AF4968" t="n">
        <v>96000</v>
      </c>
      <c r="AG4968" t="n">
        <v>23208</v>
      </c>
      <c r="AH4968" t="n">
        <v>72792</v>
      </c>
      <c r="AI4968" t="n">
        <v>0</v>
      </c>
    </row>
    <row r="4969">
      <c r="A4969" t="inlineStr">
        <is>
          <t>6월</t>
        </is>
      </c>
      <c r="B4969" t="inlineStr">
        <is>
          <t>23주차</t>
        </is>
      </c>
      <c r="C4969" t="inlineStr">
        <is>
          <t>IM</t>
        </is>
      </c>
      <c r="D4969" s="28" t="n">
        <v>46177</v>
      </c>
      <c r="E4969" t="inlineStr">
        <is>
          <t>IM캐피탈</t>
        </is>
      </c>
      <c r="F4969" t="inlineStr">
        <is>
          <t>최기원</t>
        </is>
      </c>
      <c r="G4969" t="inlineStr">
        <is>
          <t>010-9080-7122</t>
        </is>
      </c>
      <c r="H4969" t="inlineStr">
        <is>
          <t>304누5026</t>
        </is>
      </c>
      <c r="I4969" t="n">
        <v>10000000</v>
      </c>
      <c r="J4969" t="n">
        <v>0.045</v>
      </c>
      <c r="K4969" t="n">
        <v>1.1</v>
      </c>
      <c r="L4969" t="n">
        <v>0.14</v>
      </c>
      <c r="M4969" t="n">
        <v>0.96</v>
      </c>
      <c r="P4969" t="inlineStr">
        <is>
          <t>구성완</t>
        </is>
      </c>
      <c r="Q4969" t="inlineStr">
        <is>
          <t>안심거래존건</t>
        </is>
      </c>
      <c r="AB4969" t="inlineStr">
        <is>
          <t>믿고</t>
        </is>
      </c>
      <c r="AC4969" t="n">
        <v>110000</v>
      </c>
      <c r="AD4969" t="n">
        <v>14000</v>
      </c>
      <c r="AE4969" t="n">
        <v>96000</v>
      </c>
      <c r="AF4969" t="n">
        <v>100000</v>
      </c>
      <c r="AG4969" t="n">
        <v>13538</v>
      </c>
      <c r="AH4969" t="n">
        <v>86462</v>
      </c>
      <c r="AI4969" t="n">
        <v>0</v>
      </c>
    </row>
    <row r="4970">
      <c r="A4970" t="inlineStr">
        <is>
          <t>6월</t>
        </is>
      </c>
      <c r="B4970" t="inlineStr">
        <is>
          <t>23주차</t>
        </is>
      </c>
      <c r="C4970" t="inlineStr">
        <is>
          <t>EP</t>
        </is>
      </c>
      <c r="D4970" s="28" t="n">
        <v>46177</v>
      </c>
      <c r="E4970" t="inlineStr">
        <is>
          <t>현대EP_fast</t>
        </is>
      </c>
      <c r="F4970" t="inlineStr">
        <is>
          <t>이우섭</t>
        </is>
      </c>
      <c r="G4970" t="inlineStr">
        <is>
          <t>010-6397-3989</t>
        </is>
      </c>
      <c r="H4970" t="inlineStr">
        <is>
          <t>271구4601</t>
        </is>
      </c>
      <c r="I4970" t="n">
        <v>16900000</v>
      </c>
      <c r="J4970" t="n">
        <v>0.113</v>
      </c>
      <c r="K4970" t="n">
        <v>1.76</v>
      </c>
      <c r="L4970" t="n">
        <v>0.14</v>
      </c>
      <c r="M4970" t="n">
        <v>1.62</v>
      </c>
      <c r="P4970" t="inlineStr">
        <is>
          <t>정세빈</t>
        </is>
      </c>
      <c r="Q4970" t="inlineStr">
        <is>
          <t>홈서비스 60개월</t>
        </is>
      </c>
      <c r="AB4970" t="inlineStr">
        <is>
          <t>홈서비스</t>
        </is>
      </c>
      <c r="AC4970" t="n">
        <v>297440</v>
      </c>
      <c r="AD4970" t="n">
        <v>23660</v>
      </c>
      <c r="AE4970" t="n">
        <v>273780</v>
      </c>
      <c r="AF4970" t="n">
        <v>270400</v>
      </c>
      <c r="AG4970" t="n">
        <v>22879.22</v>
      </c>
      <c r="AH4970" t="n">
        <v>247520.78</v>
      </c>
      <c r="AI4970" t="n">
        <v>0</v>
      </c>
    </row>
    <row r="4971">
      <c r="A4971" t="inlineStr">
        <is>
          <t>6월</t>
        </is>
      </c>
      <c r="B4971" t="inlineStr">
        <is>
          <t>23주차</t>
        </is>
      </c>
      <c r="C4971" t="inlineStr">
        <is>
          <t>IM</t>
        </is>
      </c>
      <c r="D4971" s="28" t="n">
        <v>46177</v>
      </c>
      <c r="E4971" t="inlineStr">
        <is>
          <t>IM캐피탈</t>
        </is>
      </c>
      <c r="F4971" t="inlineStr">
        <is>
          <t>심병헌</t>
        </is>
      </c>
      <c r="G4971" t="inlineStr">
        <is>
          <t>010-2796-5345</t>
        </is>
      </c>
      <c r="H4971" t="inlineStr">
        <is>
          <t>149버6294</t>
        </is>
      </c>
      <c r="I4971" t="n">
        <v>20000000</v>
      </c>
      <c r="J4971" t="n">
        <v>0.067</v>
      </c>
      <c r="K4971" t="n">
        <v>1.1</v>
      </c>
      <c r="L4971" t="n">
        <v>0.14</v>
      </c>
      <c r="M4971" t="n">
        <v>0.96</v>
      </c>
      <c r="P4971" t="inlineStr">
        <is>
          <t>정세빈</t>
        </is>
      </c>
      <c r="Q4971" t="inlineStr">
        <is>
          <t>홈서비스 48개월</t>
        </is>
      </c>
      <c r="AB4971" t="inlineStr">
        <is>
          <t>홈서비스</t>
        </is>
      </c>
      <c r="AC4971" t="n">
        <v>220000</v>
      </c>
      <c r="AD4971" t="n">
        <v>28000</v>
      </c>
      <c r="AE4971" t="n">
        <v>192000</v>
      </c>
      <c r="AF4971" t="n">
        <v>200000</v>
      </c>
      <c r="AG4971" t="n">
        <v>27076</v>
      </c>
      <c r="AH4971" t="n">
        <v>172924</v>
      </c>
      <c r="AI4971" t="n">
        <v>0</v>
      </c>
    </row>
    <row r="4972">
      <c r="A4972" t="inlineStr">
        <is>
          <t>6월</t>
        </is>
      </c>
      <c r="B4972" t="inlineStr">
        <is>
          <t>23주차</t>
        </is>
      </c>
      <c r="C4972" t="inlineStr">
        <is>
          <t>EP</t>
        </is>
      </c>
      <c r="D4972" s="28" t="n">
        <v>46177</v>
      </c>
      <c r="E4972" t="inlineStr">
        <is>
          <t>현대EP_fast</t>
        </is>
      </c>
      <c r="F4972" t="inlineStr">
        <is>
          <t>박도현</t>
        </is>
      </c>
      <c r="G4972" t="inlineStr">
        <is>
          <t>010-4210-2737</t>
        </is>
      </c>
      <c r="H4972" t="inlineStr">
        <is>
          <t>27다7549</t>
        </is>
      </c>
      <c r="I4972" t="n">
        <v>3000000</v>
      </c>
      <c r="J4972" t="n">
        <v>0.062</v>
      </c>
      <c r="K4972" t="n">
        <v>1.76</v>
      </c>
      <c r="L4972" t="n">
        <v>0.14</v>
      </c>
      <c r="M4972" t="n">
        <v>1.62</v>
      </c>
      <c r="P4972" t="inlineStr">
        <is>
          <t>정세빈</t>
        </is>
      </c>
      <c r="Q4972" t="inlineStr">
        <is>
          <t>홈서비스 24개월</t>
        </is>
      </c>
      <c r="AB4972" t="inlineStr">
        <is>
          <t>홈서비스</t>
        </is>
      </c>
      <c r="AC4972" t="n">
        <v>52800</v>
      </c>
      <c r="AD4972" t="n">
        <v>4200</v>
      </c>
      <c r="AE4972" t="n">
        <v>48600</v>
      </c>
      <c r="AF4972" t="n">
        <v>48000</v>
      </c>
      <c r="AG4972" t="n">
        <v>4061.4</v>
      </c>
      <c r="AH4972" t="n">
        <v>43938.6</v>
      </c>
      <c r="AI4972" t="n">
        <v>0</v>
      </c>
    </row>
    <row r="4973">
      <c r="A4973" t="inlineStr">
        <is>
          <t>6월</t>
        </is>
      </c>
      <c r="B4973" t="inlineStr">
        <is>
          <t>23주차</t>
        </is>
      </c>
      <c r="C4973" t="inlineStr">
        <is>
          <t>IM</t>
        </is>
      </c>
      <c r="D4973" s="28" t="n">
        <v>46177</v>
      </c>
      <c r="E4973" t="inlineStr">
        <is>
          <t>IM캐피탈</t>
        </is>
      </c>
      <c r="F4973" t="inlineStr">
        <is>
          <t>주미진</t>
        </is>
      </c>
      <c r="G4973" t="inlineStr">
        <is>
          <t>010-2993-6722</t>
        </is>
      </c>
      <c r="H4973" t="inlineStr">
        <is>
          <t>221어8197</t>
        </is>
      </c>
      <c r="I4973" t="n">
        <v>8500000</v>
      </c>
      <c r="J4973" t="n">
        <v>0.049</v>
      </c>
      <c r="K4973" t="n">
        <v>1.1</v>
      </c>
      <c r="L4973" t="n">
        <v>0.14</v>
      </c>
      <c r="M4973" t="n">
        <v>0.96</v>
      </c>
      <c r="P4973" t="inlineStr">
        <is>
          <t>구성완</t>
        </is>
      </c>
      <c r="Q4973" t="inlineStr">
        <is>
          <t>안심거래존건</t>
        </is>
      </c>
      <c r="AB4973" t="inlineStr">
        <is>
          <t>믿고</t>
        </is>
      </c>
      <c r="AC4973" t="n">
        <v>93500</v>
      </c>
      <c r="AD4973" t="n">
        <v>11900</v>
      </c>
      <c r="AE4973" t="n">
        <v>81600</v>
      </c>
      <c r="AF4973" t="n">
        <v>85000</v>
      </c>
      <c r="AG4973" t="n">
        <v>11507.3</v>
      </c>
      <c r="AH4973" t="n">
        <v>73492.7</v>
      </c>
    </row>
    <row r="4974">
      <c r="A4974" t="inlineStr">
        <is>
          <t>6월</t>
        </is>
      </c>
      <c r="B4974" t="inlineStr">
        <is>
          <t>23주차</t>
        </is>
      </c>
      <c r="C4974" t="inlineStr">
        <is>
          <t>EP</t>
        </is>
      </c>
      <c r="D4974" s="28" t="n">
        <v>46177</v>
      </c>
      <c r="E4974" t="inlineStr">
        <is>
          <t>현대EP_fast</t>
        </is>
      </c>
      <c r="F4974" t="inlineStr">
        <is>
          <t>김경훈</t>
        </is>
      </c>
      <c r="G4974" t="inlineStr">
        <is>
          <t>010-2793-3332</t>
        </is>
      </c>
      <c r="H4974" t="inlineStr">
        <is>
          <t>172조6859</t>
        </is>
      </c>
      <c r="I4974" t="n">
        <v>25300000</v>
      </c>
      <c r="J4974" t="n">
        <v>0.096</v>
      </c>
      <c r="K4974" t="n">
        <v>1.76</v>
      </c>
      <c r="L4974" t="n">
        <v>0.14</v>
      </c>
      <c r="M4974" t="n">
        <v>1.62</v>
      </c>
      <c r="P4974" t="inlineStr">
        <is>
          <t>황채이</t>
        </is>
      </c>
      <c r="Q4974" t="inlineStr">
        <is>
          <t>홈서비스 60개월</t>
        </is>
      </c>
      <c r="AB4974" t="inlineStr">
        <is>
          <t>홈서비스</t>
        </is>
      </c>
      <c r="AC4974" t="n">
        <v>445280</v>
      </c>
      <c r="AD4974" t="n">
        <v>35420</v>
      </c>
      <c r="AE4974" t="n">
        <v>409860</v>
      </c>
      <c r="AF4974" t="n">
        <v>404800</v>
      </c>
      <c r="AG4974" t="n">
        <v>34251.14</v>
      </c>
      <c r="AH4974" t="n">
        <v>370548.86</v>
      </c>
      <c r="AI4974" t="n">
        <v>0</v>
      </c>
    </row>
    <row r="4975">
      <c r="A4975" t="inlineStr">
        <is>
          <t>6월</t>
        </is>
      </c>
      <c r="B4975" t="inlineStr">
        <is>
          <t>23주차</t>
        </is>
      </c>
      <c r="C4975" t="inlineStr">
        <is>
          <t>IM</t>
        </is>
      </c>
      <c r="D4975" s="28" t="n">
        <v>46177</v>
      </c>
      <c r="E4975" t="inlineStr">
        <is>
          <t>IM캐피탈</t>
        </is>
      </c>
      <c r="F4975" t="inlineStr">
        <is>
          <t>한미선</t>
        </is>
      </c>
      <c r="G4975" t="inlineStr">
        <is>
          <t>010-8432-4595</t>
        </is>
      </c>
      <c r="H4975" t="inlineStr">
        <is>
          <t>121부5231</t>
        </is>
      </c>
      <c r="I4975" t="n">
        <v>24500000</v>
      </c>
      <c r="J4975" t="n">
        <v>0.045</v>
      </c>
      <c r="K4975" t="n">
        <v>1.1</v>
      </c>
      <c r="L4975" t="n">
        <v>0.4</v>
      </c>
      <c r="M4975" t="n">
        <v>0.7</v>
      </c>
      <c r="P4975" t="inlineStr">
        <is>
          <t>박소현</t>
        </is>
      </c>
      <c r="AB4975" t="inlineStr">
        <is>
          <t>엔카</t>
        </is>
      </c>
      <c r="AC4975" t="n">
        <v>269500</v>
      </c>
      <c r="AD4975" t="n">
        <v>98000</v>
      </c>
      <c r="AE4975" t="n">
        <v>171500</v>
      </c>
      <c r="AF4975" t="n">
        <v>245000</v>
      </c>
      <c r="AG4975" t="n">
        <v>94766</v>
      </c>
      <c r="AH4975" t="n">
        <v>150234</v>
      </c>
      <c r="AI4975" t="n">
        <v>0</v>
      </c>
    </row>
    <row r="4976">
      <c r="A4976" t="inlineStr">
        <is>
          <t>6월</t>
        </is>
      </c>
      <c r="B4976" t="inlineStr">
        <is>
          <t>23주차</t>
        </is>
      </c>
      <c r="C4976" t="inlineStr">
        <is>
          <t>EP</t>
        </is>
      </c>
      <c r="D4976" s="28" t="n">
        <v>46177</v>
      </c>
      <c r="E4976" t="inlineStr">
        <is>
          <t>현대EP_fast</t>
        </is>
      </c>
      <c r="F4976" t="inlineStr">
        <is>
          <t>이지현</t>
        </is>
      </c>
      <c r="G4976" t="inlineStr">
        <is>
          <t>010-3335-6464</t>
        </is>
      </c>
      <c r="H4976" t="inlineStr">
        <is>
          <t>45고0674</t>
        </is>
      </c>
      <c r="I4976" t="n">
        <v>10500000</v>
      </c>
      <c r="J4976" t="n">
        <v>0.113</v>
      </c>
      <c r="K4976" t="n">
        <v>1.76</v>
      </c>
      <c r="L4976" t="n">
        <v>0.14</v>
      </c>
      <c r="M4976" t="n">
        <v>1.62</v>
      </c>
      <c r="P4976" t="inlineStr">
        <is>
          <t>김수연</t>
        </is>
      </c>
      <c r="Q4976" t="inlineStr">
        <is>
          <t>홈서비스 60개월</t>
        </is>
      </c>
      <c r="AB4976" t="inlineStr">
        <is>
          <t>홈서비스</t>
        </is>
      </c>
      <c r="AC4976" t="n">
        <v>184800</v>
      </c>
      <c r="AD4976" t="n">
        <v>14700</v>
      </c>
      <c r="AE4976" t="n">
        <v>170100</v>
      </c>
      <c r="AF4976" t="n">
        <v>168000</v>
      </c>
      <c r="AG4976" t="n">
        <v>14214.9</v>
      </c>
      <c r="AH4976" t="n">
        <v>153785.1</v>
      </c>
      <c r="AI4976" t="n">
        <v>0</v>
      </c>
    </row>
    <row r="4977">
      <c r="A4977" t="inlineStr">
        <is>
          <t>6월</t>
        </is>
      </c>
      <c r="B4977" t="inlineStr">
        <is>
          <t>23주차</t>
        </is>
      </c>
      <c r="C4977" t="inlineStr">
        <is>
          <t>IM</t>
        </is>
      </c>
      <c r="D4977" s="28" t="n">
        <v>46177</v>
      </c>
      <c r="E4977" t="inlineStr">
        <is>
          <t>IM캐피탈</t>
        </is>
      </c>
      <c r="F4977" t="inlineStr">
        <is>
          <t>유재홍</t>
        </is>
      </c>
      <c r="G4977" t="inlineStr">
        <is>
          <t>010-4202-5896</t>
        </is>
      </c>
      <c r="H4977" t="inlineStr">
        <is>
          <t>396거3192</t>
        </is>
      </c>
      <c r="I4977" t="n">
        <v>27000000</v>
      </c>
      <c r="J4977" t="n">
        <v>0.06900000000000001</v>
      </c>
      <c r="K4977" t="n">
        <v>1.1</v>
      </c>
      <c r="L4977" t="n">
        <v>0.14</v>
      </c>
      <c r="M4977" t="n">
        <v>0.96</v>
      </c>
      <c r="P4977" t="inlineStr">
        <is>
          <t>황채이</t>
        </is>
      </c>
      <c r="Q4977" t="inlineStr">
        <is>
          <t>홈서비스 36개월 / 공동명의</t>
        </is>
      </c>
      <c r="AB4977" t="inlineStr">
        <is>
          <t>홈서비스</t>
        </is>
      </c>
      <c r="AC4977" t="n">
        <v>297000</v>
      </c>
      <c r="AD4977" t="n">
        <v>37800</v>
      </c>
      <c r="AE4977" t="n">
        <v>259200</v>
      </c>
      <c r="AF4977" t="n">
        <v>270000</v>
      </c>
      <c r="AG4977" t="n">
        <v>36552.6</v>
      </c>
      <c r="AH4977" t="n">
        <v>233447.4</v>
      </c>
    </row>
    <row r="4978">
      <c r="A4978" t="inlineStr">
        <is>
          <t>6월</t>
        </is>
      </c>
      <c r="B4978" t="inlineStr">
        <is>
          <t>23주차</t>
        </is>
      </c>
      <c r="C4978" t="inlineStr">
        <is>
          <t>EP</t>
        </is>
      </c>
      <c r="D4978" s="28" t="n">
        <v>46177</v>
      </c>
      <c r="E4978" t="inlineStr">
        <is>
          <t>현대EP_fast</t>
        </is>
      </c>
      <c r="F4978" t="inlineStr">
        <is>
          <t>허해선</t>
        </is>
      </c>
      <c r="G4978" t="inlineStr">
        <is>
          <t>010-8912-9898</t>
        </is>
      </c>
      <c r="H4978" t="inlineStr">
        <is>
          <t>19머0897</t>
        </is>
      </c>
      <c r="I4978" t="n">
        <v>51400000</v>
      </c>
      <c r="J4978" t="n">
        <v>0.077</v>
      </c>
      <c r="K4978" t="n">
        <v>1.76</v>
      </c>
      <c r="L4978" t="n">
        <v>0.14</v>
      </c>
      <c r="M4978" t="n">
        <v>1.62</v>
      </c>
      <c r="P4978" t="inlineStr">
        <is>
          <t>정세빈</t>
        </is>
      </c>
      <c r="Q4978" t="inlineStr">
        <is>
          <t>홈서비스 60개월</t>
        </is>
      </c>
      <c r="AB4978" t="inlineStr">
        <is>
          <t>홈서비스</t>
        </is>
      </c>
      <c r="AC4978" t="n">
        <v>904640</v>
      </c>
      <c r="AD4978" t="n">
        <v>71960</v>
      </c>
      <c r="AE4978" t="n">
        <v>832680</v>
      </c>
      <c r="AF4978" t="n">
        <v>822400</v>
      </c>
      <c r="AG4978" t="n">
        <v>69585.32000000001</v>
      </c>
      <c r="AH4978" t="n">
        <v>752814.6800000001</v>
      </c>
    </row>
    <row r="4979">
      <c r="A4979" t="inlineStr">
        <is>
          <t>6월</t>
        </is>
      </c>
      <c r="B4979" t="inlineStr">
        <is>
          <t>23주차</t>
        </is>
      </c>
      <c r="C4979" t="inlineStr">
        <is>
          <t>EP</t>
        </is>
      </c>
      <c r="D4979" s="28" t="n">
        <v>46177</v>
      </c>
      <c r="E4979" t="inlineStr">
        <is>
          <t>현대EP_fast</t>
        </is>
      </c>
      <c r="F4979" t="inlineStr">
        <is>
          <t>박하준</t>
        </is>
      </c>
      <c r="G4979" t="inlineStr">
        <is>
          <t>010-7415-7525</t>
        </is>
      </c>
      <c r="H4979" t="inlineStr">
        <is>
          <t>34노5268</t>
        </is>
      </c>
      <c r="I4979" t="n">
        <v>20200000</v>
      </c>
      <c r="J4979" t="n">
        <v>0.08400000000000001</v>
      </c>
      <c r="K4979" t="n">
        <v>1.76</v>
      </c>
      <c r="L4979" t="n">
        <v>0.14</v>
      </c>
      <c r="M4979" t="n">
        <v>1.62</v>
      </c>
      <c r="P4979" t="inlineStr">
        <is>
          <t>김나윤</t>
        </is>
      </c>
      <c r="Q4979" t="inlineStr">
        <is>
          <t>홈서비스 36개월</t>
        </is>
      </c>
      <c r="AB4979" t="inlineStr">
        <is>
          <t>홈서비스</t>
        </is>
      </c>
      <c r="AC4979" t="n">
        <v>355520</v>
      </c>
      <c r="AD4979" t="n">
        <v>28280</v>
      </c>
      <c r="AE4979" t="n">
        <v>327240</v>
      </c>
      <c r="AF4979" t="n">
        <v>323200</v>
      </c>
      <c r="AG4979" t="n">
        <v>27346.76</v>
      </c>
      <c r="AH4979" t="n">
        <v>295853.24</v>
      </c>
      <c r="AI4979" t="n">
        <v>0</v>
      </c>
    </row>
    <row r="4980">
      <c r="A4980" t="inlineStr">
        <is>
          <t>6월</t>
        </is>
      </c>
      <c r="B4980" t="inlineStr">
        <is>
          <t>23주차</t>
        </is>
      </c>
      <c r="C4980" t="inlineStr">
        <is>
          <t>IM</t>
        </is>
      </c>
      <c r="D4980" s="28" t="n">
        <v>46177</v>
      </c>
      <c r="E4980" t="inlineStr">
        <is>
          <t>IM캐피탈</t>
        </is>
      </c>
      <c r="F4980" t="inlineStr">
        <is>
          <t>모지훈</t>
        </is>
      </c>
      <c r="G4980" t="inlineStr">
        <is>
          <t>010-2241-6630</t>
        </is>
      </c>
      <c r="H4980" t="inlineStr">
        <is>
          <t>347루9518</t>
        </is>
      </c>
      <c r="I4980" t="n">
        <v>25700000</v>
      </c>
      <c r="J4980" t="n">
        <v>0.045</v>
      </c>
      <c r="K4980" t="n">
        <v>1.1</v>
      </c>
      <c r="L4980" t="n">
        <v>0.14</v>
      </c>
      <c r="M4980" t="n">
        <v>0.96</v>
      </c>
      <c r="P4980" t="inlineStr">
        <is>
          <t>황채이</t>
        </is>
      </c>
      <c r="Q4980" t="inlineStr">
        <is>
          <t>홈서비스 72개월</t>
        </is>
      </c>
      <c r="AB4980" t="inlineStr">
        <is>
          <t>홈서비스</t>
        </is>
      </c>
      <c r="AC4980" t="n">
        <v>282700</v>
      </c>
      <c r="AD4980" t="n">
        <v>35980</v>
      </c>
      <c r="AE4980" t="n">
        <v>246720</v>
      </c>
      <c r="AF4980" t="n">
        <v>257000</v>
      </c>
      <c r="AG4980" t="n">
        <v>34792.66</v>
      </c>
      <c r="AH4980" t="n">
        <v>222207.34</v>
      </c>
    </row>
    <row r="4981">
      <c r="A4981" t="inlineStr">
        <is>
          <t>6월</t>
        </is>
      </c>
      <c r="B4981" t="inlineStr">
        <is>
          <t>23주차</t>
        </is>
      </c>
      <c r="C4981" t="inlineStr">
        <is>
          <t>EP</t>
        </is>
      </c>
      <c r="D4981" s="28" t="n">
        <v>46177</v>
      </c>
      <c r="E4981" t="inlineStr">
        <is>
          <t>현대EP_fast</t>
        </is>
      </c>
      <c r="F4981" t="inlineStr">
        <is>
          <t>최기형</t>
        </is>
      </c>
      <c r="G4981" t="inlineStr">
        <is>
          <t>010-9665-8027</t>
        </is>
      </c>
      <c r="H4981" t="inlineStr">
        <is>
          <t>361주6683</t>
        </is>
      </c>
      <c r="I4981" t="n">
        <v>10000000</v>
      </c>
      <c r="J4981" t="n">
        <v>0.129</v>
      </c>
      <c r="K4981" t="n">
        <v>1.76</v>
      </c>
      <c r="L4981" t="n">
        <v>0.14</v>
      </c>
      <c r="M4981" t="n">
        <v>1.62</v>
      </c>
      <c r="P4981" t="inlineStr">
        <is>
          <t>정세빈</t>
        </is>
      </c>
      <c r="Q4981" t="inlineStr">
        <is>
          <t>홈서비스 48개월</t>
        </is>
      </c>
      <c r="AB4981" t="inlineStr">
        <is>
          <t>홈서비스</t>
        </is>
      </c>
      <c r="AC4981" t="n">
        <v>176000</v>
      </c>
      <c r="AD4981" t="n">
        <v>14000</v>
      </c>
      <c r="AE4981" t="n">
        <v>162000</v>
      </c>
      <c r="AF4981" t="n">
        <v>160000</v>
      </c>
      <c r="AG4981" t="n">
        <v>13538</v>
      </c>
      <c r="AH4981" t="n">
        <v>146462</v>
      </c>
    </row>
    <row r="4982">
      <c r="A4982" t="inlineStr">
        <is>
          <t>6월</t>
        </is>
      </c>
      <c r="B4982" t="inlineStr">
        <is>
          <t>23주차</t>
        </is>
      </c>
      <c r="C4982" t="inlineStr">
        <is>
          <t>IM</t>
        </is>
      </c>
      <c r="D4982" s="28" t="n">
        <v>46177</v>
      </c>
      <c r="E4982" t="inlineStr">
        <is>
          <t>IM캐피탈</t>
        </is>
      </c>
      <c r="F4982" t="inlineStr">
        <is>
          <t>정재은</t>
        </is>
      </c>
      <c r="G4982" t="inlineStr">
        <is>
          <t>010-3791-0734</t>
        </is>
      </c>
      <c r="H4982" t="inlineStr">
        <is>
          <t>361서5898</t>
        </is>
      </c>
      <c r="I4982" t="n">
        <v>70000000</v>
      </c>
      <c r="J4982" t="n">
        <v>0.06900000000000001</v>
      </c>
      <c r="K4982" t="n">
        <v>1.1</v>
      </c>
      <c r="L4982" t="n">
        <v>0.14</v>
      </c>
      <c r="M4982" t="n">
        <v>0.96</v>
      </c>
      <c r="P4982" t="inlineStr">
        <is>
          <t>정세빈</t>
        </is>
      </c>
      <c r="Q4982" t="inlineStr">
        <is>
          <t>홈서비스 72개월</t>
        </is>
      </c>
      <c r="AB4982" t="inlineStr">
        <is>
          <t>홈서비스</t>
        </is>
      </c>
      <c r="AC4982" t="n">
        <v>770000</v>
      </c>
      <c r="AD4982" t="n">
        <v>98000</v>
      </c>
      <c r="AE4982" t="n">
        <v>672000</v>
      </c>
      <c r="AF4982" t="n">
        <v>700000</v>
      </c>
      <c r="AG4982" t="n">
        <v>94766</v>
      </c>
      <c r="AH4982" t="n">
        <v>605234</v>
      </c>
    </row>
    <row r="4983">
      <c r="A4983" t="inlineStr">
        <is>
          <t>6월</t>
        </is>
      </c>
      <c r="B4983" t="inlineStr">
        <is>
          <t>23주차</t>
        </is>
      </c>
      <c r="C4983" t="inlineStr">
        <is>
          <t>IM</t>
        </is>
      </c>
      <c r="D4983" s="28" t="n">
        <v>46177</v>
      </c>
      <c r="E4983" t="inlineStr">
        <is>
          <t>IM캐피탈</t>
        </is>
      </c>
      <c r="F4983" t="inlineStr">
        <is>
          <t>홍경식</t>
        </is>
      </c>
      <c r="G4983" t="inlineStr">
        <is>
          <t>010-9353-9760</t>
        </is>
      </c>
      <c r="H4983" t="inlineStr">
        <is>
          <t>170어4861</t>
        </is>
      </c>
      <c r="I4983" t="n">
        <v>9000000</v>
      </c>
      <c r="J4983" t="n">
        <v>0.045</v>
      </c>
      <c r="K4983" t="n">
        <v>1.1</v>
      </c>
      <c r="L4983" t="n">
        <v>0.14</v>
      </c>
      <c r="M4983" t="n">
        <v>0.96</v>
      </c>
      <c r="P4983" t="inlineStr">
        <is>
          <t>김수연</t>
        </is>
      </c>
      <c r="Q4983" t="inlineStr">
        <is>
          <t>홈서비스 60개월</t>
        </is>
      </c>
      <c r="AB4983" t="inlineStr">
        <is>
          <t>홈서비스</t>
        </is>
      </c>
      <c r="AC4983" t="n">
        <v>99000</v>
      </c>
      <c r="AD4983" t="n">
        <v>12600</v>
      </c>
      <c r="AE4983" t="n">
        <v>86400</v>
      </c>
      <c r="AF4983" t="n">
        <v>90000</v>
      </c>
      <c r="AG4983" t="n">
        <v>12184.2</v>
      </c>
      <c r="AH4983" t="n">
        <v>77815.8</v>
      </c>
    </row>
    <row r="4984">
      <c r="A4984" t="inlineStr">
        <is>
          <t>6월</t>
        </is>
      </c>
      <c r="B4984" t="inlineStr">
        <is>
          <t>23주차</t>
        </is>
      </c>
      <c r="C4984" t="inlineStr">
        <is>
          <t>EP</t>
        </is>
      </c>
      <c r="D4984" s="28" t="n">
        <v>46177</v>
      </c>
      <c r="E4984" t="inlineStr">
        <is>
          <t>현대EP_fast</t>
        </is>
      </c>
      <c r="F4984" t="inlineStr">
        <is>
          <t>문종희</t>
        </is>
      </c>
      <c r="G4984" t="inlineStr">
        <is>
          <t>010-5148-9986</t>
        </is>
      </c>
      <c r="H4984" t="inlineStr">
        <is>
          <t>123라5598</t>
        </is>
      </c>
      <c r="I4984" t="n">
        <v>18000000</v>
      </c>
      <c r="J4984" t="n">
        <v>0.113</v>
      </c>
      <c r="K4984" t="n">
        <v>1.76</v>
      </c>
      <c r="L4984" t="n">
        <v>0.14</v>
      </c>
      <c r="M4984" t="n">
        <v>1.62</v>
      </c>
      <c r="P4984" t="inlineStr">
        <is>
          <t>황채이</t>
        </is>
      </c>
      <c r="Q4984" t="inlineStr">
        <is>
          <t>홈서비스 60개월</t>
        </is>
      </c>
      <c r="AB4984" t="inlineStr">
        <is>
          <t>홈서비스</t>
        </is>
      </c>
      <c r="AC4984" t="n">
        <v>316800</v>
      </c>
      <c r="AD4984" t="n">
        <v>25200</v>
      </c>
      <c r="AE4984" t="n">
        <v>291600</v>
      </c>
      <c r="AF4984" t="n">
        <v>288000</v>
      </c>
      <c r="AG4984" t="n">
        <v>24368.4</v>
      </c>
      <c r="AH4984" t="n">
        <v>263631.6</v>
      </c>
    </row>
    <row r="4985">
      <c r="A4985" t="inlineStr">
        <is>
          <t>6월</t>
        </is>
      </c>
      <c r="B4985" t="inlineStr">
        <is>
          <t>23주차</t>
        </is>
      </c>
      <c r="C4985" t="inlineStr">
        <is>
          <t>EP</t>
        </is>
      </c>
      <c r="D4985" s="28" t="n">
        <v>46177</v>
      </c>
      <c r="E4985" t="inlineStr">
        <is>
          <t>현대EP_fast</t>
        </is>
      </c>
      <c r="F4985" t="inlineStr">
        <is>
          <t>이채연</t>
        </is>
      </c>
      <c r="G4985" t="inlineStr">
        <is>
          <t>010-7602-3224</t>
        </is>
      </c>
      <c r="H4985" t="inlineStr">
        <is>
          <t>05머4035</t>
        </is>
      </c>
      <c r="I4985" t="n">
        <v>4300000</v>
      </c>
      <c r="J4985" t="n">
        <v>0.142</v>
      </c>
      <c r="K4985" t="n">
        <v>1.76</v>
      </c>
      <c r="L4985" t="n">
        <v>0.14</v>
      </c>
      <c r="M4985" t="n">
        <v>1.62</v>
      </c>
      <c r="P4985" t="inlineStr">
        <is>
          <t>김수연</t>
        </is>
      </c>
      <c r="Q4985" t="inlineStr">
        <is>
          <t>홈서비스 48개월</t>
        </is>
      </c>
      <c r="AB4985" t="inlineStr">
        <is>
          <t>홈서비스</t>
        </is>
      </c>
      <c r="AC4985" t="n">
        <v>75680</v>
      </c>
      <c r="AD4985" t="n">
        <v>6020</v>
      </c>
      <c r="AE4985" t="n">
        <v>69660</v>
      </c>
      <c r="AF4985" t="n">
        <v>68800</v>
      </c>
      <c r="AG4985" t="n">
        <v>5821.34</v>
      </c>
      <c r="AH4985" t="n">
        <v>62978.66</v>
      </c>
      <c r="AI4985" t="n">
        <v>0</v>
      </c>
    </row>
    <row r="4986">
      <c r="A4986" t="inlineStr">
        <is>
          <t>6월</t>
        </is>
      </c>
      <c r="B4986" t="inlineStr">
        <is>
          <t>23주차</t>
        </is>
      </c>
      <c r="C4986" t="inlineStr">
        <is>
          <t>EP</t>
        </is>
      </c>
      <c r="D4986" s="28" t="n">
        <v>46177</v>
      </c>
      <c r="E4986" t="inlineStr">
        <is>
          <t>현대EP_fast</t>
        </is>
      </c>
      <c r="F4986" t="inlineStr">
        <is>
          <t>김진영</t>
        </is>
      </c>
      <c r="G4986" t="inlineStr">
        <is>
          <t>010-4531-5167</t>
        </is>
      </c>
      <c r="H4986" t="inlineStr">
        <is>
          <t>22두0480</t>
        </is>
      </c>
      <c r="I4986" t="n">
        <v>8500000</v>
      </c>
      <c r="J4986" t="n">
        <v>0.096</v>
      </c>
      <c r="K4986" t="n">
        <v>1.76</v>
      </c>
      <c r="L4986" t="n">
        <v>0.14</v>
      </c>
      <c r="M4986" t="n">
        <v>1.62</v>
      </c>
      <c r="P4986" t="inlineStr">
        <is>
          <t>김수연</t>
        </is>
      </c>
      <c r="Q4986" t="inlineStr">
        <is>
          <t>홈서비스 60개월</t>
        </is>
      </c>
      <c r="AB4986" t="inlineStr">
        <is>
          <t>홈서비스</t>
        </is>
      </c>
      <c r="AC4986" t="n">
        <v>149600</v>
      </c>
      <c r="AD4986" t="n">
        <v>11900</v>
      </c>
      <c r="AE4986" t="n">
        <v>137700</v>
      </c>
      <c r="AF4986" t="n">
        <v>136000</v>
      </c>
      <c r="AG4986" t="n">
        <v>11507.3</v>
      </c>
      <c r="AH4986" t="n">
        <v>124492.7</v>
      </c>
    </row>
    <row r="4987">
      <c r="A4987" t="inlineStr">
        <is>
          <t>6월</t>
        </is>
      </c>
      <c r="B4987" t="inlineStr">
        <is>
          <t>23주차</t>
        </is>
      </c>
      <c r="C4987" t="inlineStr">
        <is>
          <t>IM</t>
        </is>
      </c>
      <c r="D4987" s="28" t="n">
        <v>46177</v>
      </c>
      <c r="E4987" t="inlineStr">
        <is>
          <t>IM캐피탈</t>
        </is>
      </c>
      <c r="F4987" t="inlineStr">
        <is>
          <t>장윤필</t>
        </is>
      </c>
      <c r="G4987" t="inlineStr">
        <is>
          <t>010-8973-1712</t>
        </is>
      </c>
      <c r="H4987" t="inlineStr">
        <is>
          <t>116서2799</t>
        </is>
      </c>
      <c r="I4987" t="n">
        <v>40900000</v>
      </c>
      <c r="J4987" t="n">
        <v>0.067</v>
      </c>
      <c r="K4987" t="n">
        <v>1.1</v>
      </c>
      <c r="L4987" t="n">
        <v>0.14</v>
      </c>
      <c r="M4987" t="n">
        <v>0.96</v>
      </c>
      <c r="P4987" t="inlineStr">
        <is>
          <t>황채이</t>
        </is>
      </c>
      <c r="Q4987" t="inlineStr">
        <is>
          <t>홈서비스 72개월</t>
        </is>
      </c>
      <c r="AB4987" t="inlineStr">
        <is>
          <t>홈서비스</t>
        </is>
      </c>
      <c r="AC4987" t="n">
        <v>449900</v>
      </c>
      <c r="AD4987" t="n">
        <v>57260</v>
      </c>
      <c r="AE4987" t="n">
        <v>392640</v>
      </c>
      <c r="AF4987" t="n">
        <v>409000</v>
      </c>
      <c r="AG4987" t="n">
        <v>55370.42</v>
      </c>
      <c r="AH4987" t="n">
        <v>353629.58</v>
      </c>
      <c r="AI4987" t="n">
        <v>0</v>
      </c>
    </row>
    <row r="4988">
      <c r="A4988" t="inlineStr">
        <is>
          <t>6월</t>
        </is>
      </c>
      <c r="B4988" t="inlineStr">
        <is>
          <t>23주차</t>
        </is>
      </c>
      <c r="C4988" t="inlineStr">
        <is>
          <t>IM</t>
        </is>
      </c>
      <c r="D4988" s="28" t="n">
        <v>46177</v>
      </c>
      <c r="E4988" t="inlineStr">
        <is>
          <t>IM캐피탈</t>
        </is>
      </c>
      <c r="F4988" t="inlineStr">
        <is>
          <t>장은호</t>
        </is>
      </c>
      <c r="G4988" t="inlineStr">
        <is>
          <t>010-3470-5151</t>
        </is>
      </c>
      <c r="H4988" t="inlineStr">
        <is>
          <t>269주7419</t>
        </is>
      </c>
      <c r="I4988" t="n">
        <v>36900000</v>
      </c>
      <c r="J4988" t="n">
        <v>0.045</v>
      </c>
      <c r="K4988" t="n">
        <v>1.1</v>
      </c>
      <c r="L4988" t="n">
        <v>0.14</v>
      </c>
      <c r="M4988" t="n">
        <v>0.96</v>
      </c>
      <c r="P4988" t="inlineStr">
        <is>
          <t>황채이</t>
        </is>
      </c>
      <c r="Q4988" t="inlineStr">
        <is>
          <t>홈서비스 72개월</t>
        </is>
      </c>
      <c r="AB4988" t="inlineStr">
        <is>
          <t>홈서비스</t>
        </is>
      </c>
      <c r="AC4988" t="n">
        <v>405900</v>
      </c>
      <c r="AD4988" t="n">
        <v>51660</v>
      </c>
      <c r="AE4988" t="n">
        <v>354240</v>
      </c>
      <c r="AF4988" t="n">
        <v>369000</v>
      </c>
      <c r="AG4988" t="n">
        <v>49955.22</v>
      </c>
      <c r="AH4988" t="n">
        <v>319044.78</v>
      </c>
      <c r="AI4988" t="n">
        <v>0</v>
      </c>
    </row>
    <row r="4989">
      <c r="A4989" t="inlineStr">
        <is>
          <t>6월</t>
        </is>
      </c>
      <c r="B4989" t="inlineStr">
        <is>
          <t>23주차</t>
        </is>
      </c>
      <c r="C4989" t="inlineStr">
        <is>
          <t>IM</t>
        </is>
      </c>
      <c r="D4989" s="28" t="n">
        <v>46177</v>
      </c>
      <c r="E4989" t="inlineStr">
        <is>
          <t>IM캐피탈</t>
        </is>
      </c>
      <c r="F4989" t="inlineStr">
        <is>
          <t>박상일</t>
        </is>
      </c>
      <c r="G4989" t="inlineStr">
        <is>
          <t>010-9227-9361</t>
        </is>
      </c>
      <c r="H4989" t="inlineStr">
        <is>
          <t>51라9805</t>
        </is>
      </c>
      <c r="I4989" t="n">
        <v>13000000</v>
      </c>
      <c r="J4989" t="n">
        <v>0.049</v>
      </c>
      <c r="K4989" t="n">
        <v>1.1</v>
      </c>
      <c r="L4989" t="n">
        <v>0.4</v>
      </c>
      <c r="M4989" t="n">
        <v>0.7</v>
      </c>
      <c r="P4989" t="inlineStr">
        <is>
          <t>장진경</t>
        </is>
      </c>
      <c r="Q4989" t="inlineStr">
        <is>
          <t>부대비용 추가진행</t>
        </is>
      </c>
      <c r="AB4989" t="inlineStr">
        <is>
          <t>엔카</t>
        </is>
      </c>
      <c r="AC4989" t="n">
        <v>143000</v>
      </c>
      <c r="AD4989" t="n">
        <v>52000</v>
      </c>
      <c r="AE4989" t="n">
        <v>91000</v>
      </c>
      <c r="AF4989" t="n">
        <v>130000</v>
      </c>
      <c r="AG4989" t="n">
        <v>50284</v>
      </c>
      <c r="AH4989" t="n">
        <v>79716</v>
      </c>
      <c r="AI4989" t="n">
        <v>0</v>
      </c>
    </row>
    <row r="4990">
      <c r="A4990" t="inlineStr">
        <is>
          <t>6월</t>
        </is>
      </c>
      <c r="B4990" t="inlineStr">
        <is>
          <t>23주차</t>
        </is>
      </c>
      <c r="C4990" t="inlineStr">
        <is>
          <t>EP</t>
        </is>
      </c>
      <c r="D4990" s="28" t="n">
        <v>46177</v>
      </c>
      <c r="E4990" t="inlineStr">
        <is>
          <t>현대EP_fast</t>
        </is>
      </c>
      <c r="F4990" t="inlineStr">
        <is>
          <t>서지원</t>
        </is>
      </c>
      <c r="G4990" t="inlineStr">
        <is>
          <t>010-4215-9919</t>
        </is>
      </c>
      <c r="H4990" t="inlineStr">
        <is>
          <t>13어2445</t>
        </is>
      </c>
      <c r="I4990" t="n">
        <v>22200000</v>
      </c>
      <c r="J4990" t="n">
        <v>0.104</v>
      </c>
      <c r="K4990" t="n">
        <v>1.76</v>
      </c>
      <c r="L4990" t="n">
        <v>0.14</v>
      </c>
      <c r="M4990" t="n">
        <v>1.62</v>
      </c>
      <c r="P4990" t="inlineStr">
        <is>
          <t>정하은</t>
        </is>
      </c>
      <c r="Q4990" t="inlineStr">
        <is>
          <t>홈서비스 60개월</t>
        </is>
      </c>
      <c r="AB4990" t="inlineStr">
        <is>
          <t>홈서비스</t>
        </is>
      </c>
      <c r="AC4990" t="n">
        <v>390720</v>
      </c>
      <c r="AD4990" t="n">
        <v>31080</v>
      </c>
      <c r="AE4990" t="n">
        <v>359640</v>
      </c>
      <c r="AF4990" t="n">
        <v>355200</v>
      </c>
      <c r="AG4990" t="n">
        <v>30054.36</v>
      </c>
      <c r="AH4990" t="n">
        <v>325145.64</v>
      </c>
    </row>
    <row r="4991">
      <c r="A4991" t="inlineStr">
        <is>
          <t>6월</t>
        </is>
      </c>
      <c r="B4991" t="inlineStr">
        <is>
          <t>23주차</t>
        </is>
      </c>
      <c r="C4991" t="inlineStr">
        <is>
          <t>IM</t>
        </is>
      </c>
      <c r="D4991" s="28" t="n">
        <v>46177</v>
      </c>
      <c r="E4991" t="inlineStr">
        <is>
          <t>IM캐피탈</t>
        </is>
      </c>
      <c r="F4991" t="inlineStr">
        <is>
          <t>이순자</t>
        </is>
      </c>
      <c r="G4991" t="inlineStr">
        <is>
          <t>010-9823-3202</t>
        </is>
      </c>
      <c r="H4991" t="inlineStr">
        <is>
          <t>222노8538</t>
        </is>
      </c>
      <c r="I4991" t="n">
        <v>45300000</v>
      </c>
      <c r="J4991" t="n">
        <v>0.045</v>
      </c>
      <c r="K4991" t="n">
        <v>1.1</v>
      </c>
      <c r="L4991" t="n">
        <v>0.4</v>
      </c>
      <c r="M4991" t="n">
        <v>0.7</v>
      </c>
      <c r="P4991" t="inlineStr">
        <is>
          <t>박소현</t>
        </is>
      </c>
      <c r="AB4991" t="inlineStr">
        <is>
          <t>엔카</t>
        </is>
      </c>
      <c r="AC4991" t="n">
        <v>498300</v>
      </c>
      <c r="AD4991" t="n">
        <v>181200</v>
      </c>
      <c r="AE4991" t="n">
        <v>317100</v>
      </c>
      <c r="AF4991" t="n">
        <v>453000</v>
      </c>
      <c r="AG4991" t="n">
        <v>175220.4</v>
      </c>
      <c r="AH4991" t="n">
        <v>277779.6</v>
      </c>
    </row>
    <row r="4992">
      <c r="A4992" t="inlineStr">
        <is>
          <t>6월</t>
        </is>
      </c>
      <c r="B4992" t="inlineStr">
        <is>
          <t>23주차</t>
        </is>
      </c>
      <c r="C4992" t="inlineStr">
        <is>
          <t>EP</t>
        </is>
      </c>
      <c r="D4992" s="28" t="n">
        <v>46177</v>
      </c>
      <c r="E4992" t="inlineStr">
        <is>
          <t>현대EP_fast</t>
        </is>
      </c>
      <c r="F4992" t="inlineStr">
        <is>
          <t>이태우</t>
        </is>
      </c>
      <c r="G4992" t="inlineStr">
        <is>
          <t>010-7401-9109</t>
        </is>
      </c>
      <c r="H4992" t="inlineStr">
        <is>
          <t>42조5111</t>
        </is>
      </c>
      <c r="I4992" t="n">
        <v>7400000</v>
      </c>
      <c r="J4992" t="n">
        <v>0.109</v>
      </c>
      <c r="K4992" t="n">
        <v>1.76</v>
      </c>
      <c r="L4992" t="n">
        <v>0.14</v>
      </c>
      <c r="M4992" t="n">
        <v>1.62</v>
      </c>
      <c r="P4992" t="inlineStr">
        <is>
          <t>김나윤</t>
        </is>
      </c>
      <c r="Q4992" t="inlineStr">
        <is>
          <t>홈서비스 48개월</t>
        </is>
      </c>
      <c r="AB4992" t="inlineStr">
        <is>
          <t>홈서비스</t>
        </is>
      </c>
      <c r="AC4992" t="n">
        <v>130240</v>
      </c>
      <c r="AD4992" t="n">
        <v>10360</v>
      </c>
      <c r="AE4992" t="n">
        <v>119880</v>
      </c>
      <c r="AF4992" t="n">
        <v>118400</v>
      </c>
      <c r="AG4992" t="n">
        <v>10018.12</v>
      </c>
      <c r="AH4992" t="n">
        <v>108381.88</v>
      </c>
      <c r="AI4992" t="n">
        <v>0</v>
      </c>
    </row>
    <row r="4993">
      <c r="A4993" t="inlineStr">
        <is>
          <t>6월</t>
        </is>
      </c>
      <c r="B4993" t="inlineStr">
        <is>
          <t>23주차</t>
        </is>
      </c>
      <c r="C4993" t="inlineStr">
        <is>
          <t>EP</t>
        </is>
      </c>
      <c r="D4993" s="28" t="n">
        <v>46177</v>
      </c>
      <c r="E4993" t="inlineStr">
        <is>
          <t>현대EP_fast</t>
        </is>
      </c>
      <c r="F4993" t="inlineStr">
        <is>
          <t>허영민</t>
        </is>
      </c>
      <c r="G4993" t="inlineStr">
        <is>
          <t>010-2402-9532</t>
        </is>
      </c>
      <c r="H4993" t="inlineStr">
        <is>
          <t>21수6028</t>
        </is>
      </c>
      <c r="I4993" t="n">
        <v>34000000</v>
      </c>
      <c r="J4993" t="n">
        <v>0.076</v>
      </c>
      <c r="K4993" t="n">
        <v>1.76</v>
      </c>
      <c r="L4993" t="n">
        <v>0.14</v>
      </c>
      <c r="M4993" t="n">
        <v>1.62</v>
      </c>
      <c r="P4993" t="inlineStr">
        <is>
          <t>김나윤</t>
        </is>
      </c>
      <c r="Q4993" t="inlineStr">
        <is>
          <t>홈서비스 60개월 / 공동명의/오프라인설정대기</t>
        </is>
      </c>
      <c r="AB4993" t="inlineStr">
        <is>
          <t>홈서비스</t>
        </is>
      </c>
      <c r="AC4993" t="n">
        <v>598400</v>
      </c>
      <c r="AD4993" t="n">
        <v>47600</v>
      </c>
      <c r="AE4993" t="n">
        <v>550800</v>
      </c>
      <c r="AF4993" t="n">
        <v>544000</v>
      </c>
      <c r="AG4993" t="n">
        <v>46029.2</v>
      </c>
      <c r="AH4993" t="n">
        <v>497970.8</v>
      </c>
      <c r="AI4993" t="n">
        <v>0</v>
      </c>
    </row>
    <row r="4994">
      <c r="A4994" t="inlineStr">
        <is>
          <t>6월</t>
        </is>
      </c>
      <c r="B4994" t="inlineStr">
        <is>
          <t>23주차</t>
        </is>
      </c>
      <c r="C4994" t="inlineStr">
        <is>
          <t>EP</t>
        </is>
      </c>
      <c r="D4994" s="28" t="n">
        <v>46177</v>
      </c>
      <c r="E4994" t="inlineStr">
        <is>
          <t>현대EP_fast</t>
        </is>
      </c>
      <c r="F4994" t="inlineStr">
        <is>
          <t>이재홍</t>
        </is>
      </c>
      <c r="G4994" t="inlineStr">
        <is>
          <t>010-3008-1333</t>
        </is>
      </c>
      <c r="H4994" t="inlineStr">
        <is>
          <t>172주5298</t>
        </is>
      </c>
      <c r="I4994" t="n">
        <v>84400000</v>
      </c>
      <c r="J4994" t="n">
        <v>0.06900000000000001</v>
      </c>
      <c r="K4994" t="n">
        <v>1.76</v>
      </c>
      <c r="L4994" t="n">
        <v>0.14</v>
      </c>
      <c r="M4994" t="n">
        <v>1.62</v>
      </c>
      <c r="P4994" t="inlineStr">
        <is>
          <t>김나윤</t>
        </is>
      </c>
      <c r="Q4994" t="inlineStr">
        <is>
          <t>홈서비스 60개월</t>
        </is>
      </c>
      <c r="AB4994" t="inlineStr">
        <is>
          <t>홈서비스</t>
        </is>
      </c>
      <c r="AC4994" t="n">
        <v>1485440</v>
      </c>
      <c r="AD4994" t="n">
        <v>118160</v>
      </c>
      <c r="AE4994" t="n">
        <v>1367280</v>
      </c>
      <c r="AF4994" t="n">
        <v>1350400</v>
      </c>
      <c r="AG4994" t="n">
        <v>114260.72</v>
      </c>
      <c r="AH4994" t="n">
        <v>1236139.28</v>
      </c>
      <c r="AI4994" t="n">
        <v>0</v>
      </c>
    </row>
    <row r="4995">
      <c r="A4995" t="inlineStr">
        <is>
          <t>6월</t>
        </is>
      </c>
      <c r="B4995" t="inlineStr">
        <is>
          <t>23주차</t>
        </is>
      </c>
      <c r="C4995" t="inlineStr">
        <is>
          <t>EP</t>
        </is>
      </c>
      <c r="D4995" s="28" t="n">
        <v>46177</v>
      </c>
      <c r="E4995" t="inlineStr">
        <is>
          <t>현대EP_fast</t>
        </is>
      </c>
      <c r="F4995" t="inlineStr">
        <is>
          <t>최신영</t>
        </is>
      </c>
      <c r="G4995" t="inlineStr">
        <is>
          <t>010-4551-9879</t>
        </is>
      </c>
      <c r="H4995" t="inlineStr">
        <is>
          <t>332로6755</t>
        </is>
      </c>
      <c r="I4995" t="n">
        <v>98000000</v>
      </c>
      <c r="J4995" t="n">
        <v>0.06900000000000001</v>
      </c>
      <c r="K4995" t="n">
        <v>1.76</v>
      </c>
      <c r="L4995" t="n">
        <v>0.14</v>
      </c>
      <c r="M4995" t="n">
        <v>1.62</v>
      </c>
      <c r="P4995" t="inlineStr">
        <is>
          <t>김나윤</t>
        </is>
      </c>
      <c r="Q4995" t="inlineStr">
        <is>
          <t>홈서비스 48개월</t>
        </is>
      </c>
      <c r="AB4995" t="inlineStr">
        <is>
          <t>홈서비스</t>
        </is>
      </c>
      <c r="AC4995" t="n">
        <v>1724800</v>
      </c>
      <c r="AD4995" t="n">
        <v>137200</v>
      </c>
      <c r="AE4995" t="n">
        <v>1587600</v>
      </c>
      <c r="AF4995" t="n">
        <v>1568000</v>
      </c>
      <c r="AG4995" t="n">
        <v>132672.4</v>
      </c>
      <c r="AH4995" t="n">
        <v>1435327.6</v>
      </c>
    </row>
    <row r="4996">
      <c r="A4996" t="inlineStr">
        <is>
          <t>6월</t>
        </is>
      </c>
      <c r="B4996" t="inlineStr">
        <is>
          <t>23주차</t>
        </is>
      </c>
      <c r="C4996" t="inlineStr">
        <is>
          <t>EP</t>
        </is>
      </c>
      <c r="D4996" s="28" t="n">
        <v>46177</v>
      </c>
      <c r="E4996" t="inlineStr">
        <is>
          <t>현대EP_fast</t>
        </is>
      </c>
      <c r="F4996" t="inlineStr">
        <is>
          <t>진성호</t>
        </is>
      </c>
      <c r="G4996" t="inlineStr">
        <is>
          <t>010-4435-0776</t>
        </is>
      </c>
      <c r="H4996" t="inlineStr">
        <is>
          <t>53조5376</t>
        </is>
      </c>
      <c r="I4996" t="n">
        <v>25000000</v>
      </c>
      <c r="J4996" t="n">
        <v>0.113</v>
      </c>
      <c r="K4996" t="n">
        <v>1.76</v>
      </c>
      <c r="L4996" t="n">
        <v>0.14</v>
      </c>
      <c r="M4996" t="n">
        <v>1.62</v>
      </c>
      <c r="P4996" t="inlineStr">
        <is>
          <t>김나윤</t>
        </is>
      </c>
      <c r="Q4996" t="inlineStr">
        <is>
          <t>홈서비스 60개월</t>
        </is>
      </c>
      <c r="AB4996" t="inlineStr">
        <is>
          <t>홈서비스</t>
        </is>
      </c>
      <c r="AC4996" t="n">
        <v>440000</v>
      </c>
      <c r="AD4996" t="n">
        <v>35000</v>
      </c>
      <c r="AE4996" t="n">
        <v>405000</v>
      </c>
      <c r="AF4996" t="n">
        <v>400000</v>
      </c>
      <c r="AG4996" t="n">
        <v>33845</v>
      </c>
      <c r="AH4996" t="n">
        <v>366155</v>
      </c>
      <c r="AI4996" t="n">
        <v>0</v>
      </c>
    </row>
    <row r="4997">
      <c r="A4997" t="inlineStr">
        <is>
          <t>6월</t>
        </is>
      </c>
      <c r="B4997" t="inlineStr">
        <is>
          <t>23주차</t>
        </is>
      </c>
      <c r="C4997" t="inlineStr">
        <is>
          <t>EP</t>
        </is>
      </c>
      <c r="D4997" s="28" t="n">
        <v>46177</v>
      </c>
      <c r="E4997" t="inlineStr">
        <is>
          <t>현대EP_fast</t>
        </is>
      </c>
      <c r="F4997" t="inlineStr">
        <is>
          <t>정두현</t>
        </is>
      </c>
      <c r="G4997" t="inlineStr">
        <is>
          <t>0106565-7090</t>
        </is>
      </c>
      <c r="H4997" t="inlineStr">
        <is>
          <t>27마0808</t>
        </is>
      </c>
      <c r="I4997" t="n">
        <v>3000000</v>
      </c>
      <c r="J4997" t="n">
        <v>0.06900000000000001</v>
      </c>
      <c r="K4997" t="n">
        <v>1.76</v>
      </c>
      <c r="L4997" t="n">
        <v>0.14</v>
      </c>
      <c r="M4997" t="n">
        <v>1.62</v>
      </c>
      <c r="P4997" t="inlineStr">
        <is>
          <t>황채이</t>
        </is>
      </c>
      <c r="Q4997" t="inlineStr">
        <is>
          <t>홈서비스 24개월</t>
        </is>
      </c>
      <c r="AB4997" t="inlineStr">
        <is>
          <t>홈서비스</t>
        </is>
      </c>
      <c r="AC4997" t="n">
        <v>52800</v>
      </c>
      <c r="AD4997" t="n">
        <v>4200</v>
      </c>
      <c r="AE4997" t="n">
        <v>48600</v>
      </c>
      <c r="AF4997" t="n">
        <v>48000</v>
      </c>
      <c r="AG4997" t="n">
        <v>4061.4</v>
      </c>
      <c r="AH4997" t="n">
        <v>43938.6</v>
      </c>
      <c r="AI4997" t="n">
        <v>0</v>
      </c>
    </row>
    <row r="4998">
      <c r="A4998" t="inlineStr">
        <is>
          <t>6월</t>
        </is>
      </c>
      <c r="B4998" t="inlineStr">
        <is>
          <t>23주차</t>
        </is>
      </c>
      <c r="C4998" t="inlineStr">
        <is>
          <t>EP</t>
        </is>
      </c>
      <c r="D4998" s="28" t="n">
        <v>46177</v>
      </c>
      <c r="E4998" t="inlineStr">
        <is>
          <t>현대EP_fast</t>
        </is>
      </c>
      <c r="F4998" t="inlineStr">
        <is>
          <t>박순옥</t>
        </is>
      </c>
      <c r="G4998" t="inlineStr">
        <is>
          <t>010-6317-2017</t>
        </is>
      </c>
      <c r="H4998" t="inlineStr">
        <is>
          <t>79마9588</t>
        </is>
      </c>
      <c r="I4998" t="n">
        <v>16200000</v>
      </c>
      <c r="J4998" t="n">
        <v>0.142</v>
      </c>
      <c r="K4998" t="n">
        <v>1.76</v>
      </c>
      <c r="L4998" t="n">
        <v>0.14</v>
      </c>
      <c r="M4998" t="n">
        <v>1.62</v>
      </c>
      <c r="P4998" t="inlineStr">
        <is>
          <t>박소현</t>
        </is>
      </c>
      <c r="Q4998" t="inlineStr">
        <is>
          <t>선상담 / 홈서비스 60개월</t>
        </is>
      </c>
      <c r="AB4998" t="inlineStr">
        <is>
          <t>홈서비스</t>
        </is>
      </c>
      <c r="AC4998" t="n">
        <v>285120</v>
      </c>
      <c r="AD4998" t="n">
        <v>22680</v>
      </c>
      <c r="AE4998" t="n">
        <v>262440</v>
      </c>
      <c r="AF4998" t="n">
        <v>259200</v>
      </c>
      <c r="AG4998" t="n">
        <v>21931.56</v>
      </c>
      <c r="AH4998" t="n">
        <v>237268.44</v>
      </c>
    </row>
    <row r="4999">
      <c r="A4999" t="inlineStr">
        <is>
          <t>6월</t>
        </is>
      </c>
      <c r="B4999" t="inlineStr">
        <is>
          <t>23주차</t>
        </is>
      </c>
      <c r="C4999" t="inlineStr">
        <is>
          <t>EP</t>
        </is>
      </c>
      <c r="D4999" s="28" t="n">
        <v>46177</v>
      </c>
      <c r="E4999" t="inlineStr">
        <is>
          <t>제이비EP</t>
        </is>
      </c>
      <c r="F4999" t="inlineStr">
        <is>
          <t>안영희</t>
        </is>
      </c>
      <c r="G4999" t="inlineStr">
        <is>
          <t>010-6655-4298</t>
        </is>
      </c>
      <c r="H4999" t="inlineStr">
        <is>
          <t>183구3017</t>
        </is>
      </c>
      <c r="I4999" t="n">
        <v>29100000</v>
      </c>
      <c r="J4999" t="n">
        <v>0.081</v>
      </c>
      <c r="K4999" t="n">
        <v>1.65</v>
      </c>
      <c r="L4999" t="n">
        <v>0.4</v>
      </c>
      <c r="M4999" t="n">
        <v>1.25</v>
      </c>
      <c r="P4999" t="inlineStr">
        <is>
          <t>최혁</t>
        </is>
      </c>
      <c r="Q4999" t="inlineStr">
        <is>
          <t>부대비용추가진행</t>
        </is>
      </c>
      <c r="AB4999" t="inlineStr">
        <is>
          <t>엔카</t>
        </is>
      </c>
      <c r="AC4999" t="n">
        <v>480150</v>
      </c>
      <c r="AD4999" t="n">
        <v>116400</v>
      </c>
      <c r="AE4999" t="n">
        <v>363750</v>
      </c>
      <c r="AF4999" t="n">
        <v>436500</v>
      </c>
      <c r="AG4999" t="n">
        <v>112558.8</v>
      </c>
      <c r="AH4999" t="n">
        <v>323941.2</v>
      </c>
    </row>
    <row r="5000">
      <c r="A5000" t="inlineStr">
        <is>
          <t>6월</t>
        </is>
      </c>
      <c r="B5000" t="inlineStr">
        <is>
          <t>23주차</t>
        </is>
      </c>
      <c r="C5000" t="inlineStr">
        <is>
          <t>EP</t>
        </is>
      </c>
      <c r="D5000" s="28" t="n">
        <v>46177</v>
      </c>
      <c r="E5000" t="inlineStr">
        <is>
          <t>BNKEP</t>
        </is>
      </c>
      <c r="F5000" t="inlineStr">
        <is>
          <t>강성남</t>
        </is>
      </c>
      <c r="G5000" t="inlineStr">
        <is>
          <t>010-4533-1624</t>
        </is>
      </c>
      <c r="H5000" t="inlineStr">
        <is>
          <t>88다5942</t>
        </is>
      </c>
      <c r="I5000" t="n">
        <v>7900000</v>
      </c>
      <c r="J5000" t="n">
        <v>0.07000000000000001</v>
      </c>
      <c r="K5000" t="n">
        <v>1.65</v>
      </c>
      <c r="L5000" t="n">
        <v>0.14</v>
      </c>
      <c r="M5000" t="n">
        <v>1.51</v>
      </c>
      <c r="P5000" t="inlineStr">
        <is>
          <t>정세빈</t>
        </is>
      </c>
      <c r="Q5000" t="inlineStr">
        <is>
          <t>홈서비스 36개월</t>
        </is>
      </c>
      <c r="AB5000" t="inlineStr">
        <is>
          <t>홈서비스</t>
        </is>
      </c>
      <c r="AC5000" t="n">
        <v>130350</v>
      </c>
      <c r="AD5000" t="n">
        <v>11060</v>
      </c>
      <c r="AE5000" t="n">
        <v>119290</v>
      </c>
      <c r="AF5000" t="n">
        <v>118500</v>
      </c>
      <c r="AG5000" t="n">
        <v>10695.02</v>
      </c>
      <c r="AH5000" t="n">
        <v>107804.98</v>
      </c>
    </row>
    <row r="5001">
      <c r="A5001" t="inlineStr">
        <is>
          <t>6월</t>
        </is>
      </c>
      <c r="B5001" t="inlineStr">
        <is>
          <t>23주차</t>
        </is>
      </c>
      <c r="C5001" t="inlineStr">
        <is>
          <t>EP</t>
        </is>
      </c>
      <c r="D5001" s="28" t="n">
        <v>46177</v>
      </c>
      <c r="E5001" t="inlineStr">
        <is>
          <t>제이비EP</t>
        </is>
      </c>
      <c r="F5001" t="inlineStr">
        <is>
          <t>이상덕</t>
        </is>
      </c>
      <c r="G5001" t="inlineStr">
        <is>
          <t>010-9402-9992</t>
        </is>
      </c>
      <c r="H5001" t="inlineStr">
        <is>
          <t>294노9838</t>
        </is>
      </c>
      <c r="I5001" t="n">
        <v>24300000</v>
      </c>
      <c r="J5001" t="n">
        <v>0.08500000000000001</v>
      </c>
      <c r="K5001" t="n">
        <v>1.65</v>
      </c>
      <c r="L5001" t="n">
        <v>0.4</v>
      </c>
      <c r="M5001" t="n">
        <v>1.25</v>
      </c>
      <c r="P5001" t="inlineStr">
        <is>
          <t>최혁</t>
        </is>
      </c>
      <c r="AB5001" t="inlineStr">
        <is>
          <t>엔카</t>
        </is>
      </c>
      <c r="AC5001" t="n">
        <v>400950</v>
      </c>
      <c r="AD5001" t="n">
        <v>97200</v>
      </c>
      <c r="AE5001" t="n">
        <v>303750</v>
      </c>
      <c r="AF5001" t="n">
        <v>364500</v>
      </c>
      <c r="AG5001" t="n">
        <v>93992.39999999999</v>
      </c>
      <c r="AH5001" t="n">
        <v>270507.6</v>
      </c>
      <c r="AI5001" t="n">
        <v>0</v>
      </c>
    </row>
    <row r="5002">
      <c r="A5002" t="inlineStr">
        <is>
          <t>6월</t>
        </is>
      </c>
      <c r="B5002" t="inlineStr">
        <is>
          <t>23주차</t>
        </is>
      </c>
      <c r="C5002" t="inlineStr">
        <is>
          <t>EP</t>
        </is>
      </c>
      <c r="D5002" s="28" t="n">
        <v>46177</v>
      </c>
      <c r="E5002" t="inlineStr">
        <is>
          <t>현대EP</t>
        </is>
      </c>
      <c r="F5002" t="inlineStr">
        <is>
          <t>김여현</t>
        </is>
      </c>
      <c r="G5002" t="inlineStr">
        <is>
          <t>010-4801-5222</t>
        </is>
      </c>
      <c r="H5002" t="inlineStr">
        <is>
          <t>173서8454</t>
        </is>
      </c>
      <c r="I5002" t="n">
        <v>46300000</v>
      </c>
      <c r="J5002" t="n">
        <v>0.077</v>
      </c>
      <c r="K5002" t="n">
        <v>1.76</v>
      </c>
      <c r="L5002" t="n">
        <v>0.14</v>
      </c>
      <c r="M5002" t="n">
        <v>1.62</v>
      </c>
      <c r="P5002" t="inlineStr">
        <is>
          <t>김나윤</t>
        </is>
      </c>
      <c r="AB5002" t="inlineStr">
        <is>
          <t>홈서비스</t>
        </is>
      </c>
      <c r="AC5002" t="n">
        <v>814880</v>
      </c>
      <c r="AD5002" t="n">
        <v>64820</v>
      </c>
      <c r="AE5002" t="n">
        <v>750060</v>
      </c>
      <c r="AF5002" t="n">
        <v>740800</v>
      </c>
      <c r="AG5002" t="n">
        <v>62680.94</v>
      </c>
      <c r="AH5002" t="n">
        <v>678119.0600000001</v>
      </c>
    </row>
    <row r="5003">
      <c r="A5003" t="inlineStr">
        <is>
          <t>6월</t>
        </is>
      </c>
      <c r="B5003" t="inlineStr">
        <is>
          <t>23주차</t>
        </is>
      </c>
      <c r="C5003" t="inlineStr">
        <is>
          <t>EP</t>
        </is>
      </c>
      <c r="D5003" s="28" t="n">
        <v>46177</v>
      </c>
      <c r="E5003" t="inlineStr">
        <is>
          <t>현대EP</t>
        </is>
      </c>
      <c r="F5003" t="inlineStr">
        <is>
          <t>김진찬</t>
        </is>
      </c>
      <c r="G5003" t="inlineStr">
        <is>
          <t>010-3618-6354</t>
        </is>
      </c>
      <c r="H5003" t="inlineStr">
        <is>
          <t>41러7344</t>
        </is>
      </c>
      <c r="I5003" t="n">
        <v>30500000</v>
      </c>
      <c r="J5003" t="n">
        <v>0.077</v>
      </c>
      <c r="K5003" t="n">
        <v>1.76</v>
      </c>
      <c r="L5003" t="n">
        <v>0.14</v>
      </c>
      <c r="M5003" t="n">
        <v>1.62</v>
      </c>
      <c r="P5003" t="inlineStr">
        <is>
          <t>김나윤</t>
        </is>
      </c>
      <c r="AB5003" t="inlineStr">
        <is>
          <t>홈서비스</t>
        </is>
      </c>
      <c r="AC5003" t="n">
        <v>536800</v>
      </c>
      <c r="AD5003" t="n">
        <v>42700</v>
      </c>
      <c r="AE5003" t="n">
        <v>494100</v>
      </c>
      <c r="AF5003" t="n">
        <v>488000</v>
      </c>
      <c r="AG5003" t="n">
        <v>41290.9</v>
      </c>
      <c r="AH5003" t="n">
        <v>446709.1</v>
      </c>
    </row>
    <row r="5004">
      <c r="A5004" t="inlineStr">
        <is>
          <t>6월</t>
        </is>
      </c>
      <c r="B5004" t="inlineStr">
        <is>
          <t>23주차</t>
        </is>
      </c>
      <c r="C5004" t="inlineStr">
        <is>
          <t>EP</t>
        </is>
      </c>
      <c r="D5004" s="28" t="n">
        <v>46177</v>
      </c>
      <c r="E5004" t="inlineStr">
        <is>
          <t>현대EP</t>
        </is>
      </c>
      <c r="F5004" t="inlineStr">
        <is>
          <t>노길상</t>
        </is>
      </c>
      <c r="G5004" t="inlineStr">
        <is>
          <t>010-4789-9561</t>
        </is>
      </c>
      <c r="H5004" t="inlineStr">
        <is>
          <t>237나8770</t>
        </is>
      </c>
      <c r="I5004" t="n">
        <v>15000000</v>
      </c>
      <c r="J5004" t="n">
        <v>0.074</v>
      </c>
      <c r="K5004" t="n">
        <v>1.76</v>
      </c>
      <c r="L5004" t="n">
        <v>0.14</v>
      </c>
      <c r="M5004" t="n">
        <v>1.62</v>
      </c>
      <c r="P5004" t="inlineStr">
        <is>
          <t>황채이</t>
        </is>
      </c>
      <c r="AB5004" t="inlineStr">
        <is>
          <t>홈서비스</t>
        </is>
      </c>
      <c r="AC5004" t="n">
        <v>264000</v>
      </c>
      <c r="AD5004" t="n">
        <v>21000</v>
      </c>
      <c r="AE5004" t="n">
        <v>243000</v>
      </c>
      <c r="AF5004" t="n">
        <v>240000</v>
      </c>
      <c r="AG5004" t="n">
        <v>20307</v>
      </c>
      <c r="AH5004" t="n">
        <v>219693</v>
      </c>
      <c r="AI5004" t="n">
        <v>0</v>
      </c>
    </row>
    <row r="5005">
      <c r="A5005" t="inlineStr">
        <is>
          <t>6월</t>
        </is>
      </c>
      <c r="B5005" t="inlineStr">
        <is>
          <t>23주차</t>
        </is>
      </c>
      <c r="C5005" t="inlineStr">
        <is>
          <t>EP</t>
        </is>
      </c>
      <c r="D5005" s="28" t="n">
        <v>46177</v>
      </c>
      <c r="E5005" t="inlineStr">
        <is>
          <t>현대EP</t>
        </is>
      </c>
      <c r="F5005" t="inlineStr">
        <is>
          <t>박월진</t>
        </is>
      </c>
      <c r="G5005" t="inlineStr">
        <is>
          <t>010-8620-4507</t>
        </is>
      </c>
      <c r="H5005" t="inlineStr">
        <is>
          <t>30도5237</t>
        </is>
      </c>
      <c r="I5005" t="n">
        <v>7300000</v>
      </c>
      <c r="J5005" t="n">
        <v>0.08799999999999999</v>
      </c>
      <c r="K5005" t="n">
        <v>1.76</v>
      </c>
      <c r="L5005" t="n">
        <v>0.14</v>
      </c>
      <c r="M5005" t="n">
        <v>1.62</v>
      </c>
      <c r="P5005" t="inlineStr">
        <is>
          <t>김나윤</t>
        </is>
      </c>
      <c r="AB5005" t="inlineStr">
        <is>
          <t>홈서비스</t>
        </is>
      </c>
      <c r="AC5005" t="n">
        <v>128480</v>
      </c>
      <c r="AD5005" t="n">
        <v>10220</v>
      </c>
      <c r="AE5005" t="n">
        <v>118260</v>
      </c>
      <c r="AF5005" t="n">
        <v>116800</v>
      </c>
      <c r="AG5005" t="n">
        <v>9882.74</v>
      </c>
      <c r="AH5005" t="n">
        <v>106917.26</v>
      </c>
    </row>
    <row r="5006">
      <c r="A5006" t="inlineStr">
        <is>
          <t>6월</t>
        </is>
      </c>
      <c r="B5006" t="inlineStr">
        <is>
          <t>23주차</t>
        </is>
      </c>
      <c r="C5006" t="inlineStr">
        <is>
          <t>EP</t>
        </is>
      </c>
      <c r="D5006" s="28" t="n">
        <v>46177</v>
      </c>
      <c r="E5006" t="inlineStr">
        <is>
          <t>현대EP</t>
        </is>
      </c>
      <c r="F5006" t="inlineStr">
        <is>
          <t>박준형</t>
        </is>
      </c>
      <c r="G5006" t="inlineStr">
        <is>
          <t>010-9240-6949</t>
        </is>
      </c>
      <c r="H5006" t="inlineStr">
        <is>
          <t>158더9058</t>
        </is>
      </c>
      <c r="I5006" t="n">
        <v>20900000</v>
      </c>
      <c r="J5006" t="n">
        <v>0.076</v>
      </c>
      <c r="K5006" t="n">
        <v>1.76</v>
      </c>
      <c r="L5006" t="n">
        <v>0.14</v>
      </c>
      <c r="M5006" t="n">
        <v>1.62</v>
      </c>
      <c r="P5006" t="inlineStr">
        <is>
          <t>황채이</t>
        </is>
      </c>
      <c r="AB5006" t="inlineStr">
        <is>
          <t>홈서비스</t>
        </is>
      </c>
      <c r="AC5006" t="n">
        <v>367840</v>
      </c>
      <c r="AD5006" t="n">
        <v>29260</v>
      </c>
      <c r="AE5006" t="n">
        <v>338580</v>
      </c>
      <c r="AF5006" t="n">
        <v>334400</v>
      </c>
      <c r="AG5006" t="n">
        <v>28294.42</v>
      </c>
      <c r="AH5006" t="n">
        <v>306105.58</v>
      </c>
      <c r="AI5006" t="n">
        <v>0</v>
      </c>
    </row>
    <row r="5007">
      <c r="A5007" t="inlineStr">
        <is>
          <t>6월</t>
        </is>
      </c>
      <c r="B5007" t="inlineStr">
        <is>
          <t>23주차</t>
        </is>
      </c>
      <c r="C5007" t="inlineStr">
        <is>
          <t>EP</t>
        </is>
      </c>
      <c r="D5007" s="28" t="n">
        <v>46177</v>
      </c>
      <c r="E5007" t="inlineStr">
        <is>
          <t>현대EP</t>
        </is>
      </c>
      <c r="F5007" t="inlineStr">
        <is>
          <t>안득균</t>
        </is>
      </c>
      <c r="G5007" t="inlineStr">
        <is>
          <t>010-5172-2427</t>
        </is>
      </c>
      <c r="H5007" t="inlineStr">
        <is>
          <t>48마3952</t>
        </is>
      </c>
      <c r="I5007" t="n">
        <v>4100000</v>
      </c>
      <c r="J5007" t="n">
        <v>0.08500000000000001</v>
      </c>
      <c r="K5007" t="n">
        <v>1.76</v>
      </c>
      <c r="L5007" t="n">
        <v>0.14</v>
      </c>
      <c r="M5007" t="n">
        <v>1.62</v>
      </c>
      <c r="P5007" t="inlineStr">
        <is>
          <t>황채이</t>
        </is>
      </c>
      <c r="AB5007" t="inlineStr">
        <is>
          <t>홈서비스</t>
        </is>
      </c>
      <c r="AC5007" t="n">
        <v>72160</v>
      </c>
      <c r="AD5007" t="n">
        <v>5740</v>
      </c>
      <c r="AE5007" t="n">
        <v>66420</v>
      </c>
      <c r="AF5007" t="n">
        <v>65600</v>
      </c>
      <c r="AG5007" t="n">
        <v>5550.58</v>
      </c>
      <c r="AH5007" t="n">
        <v>60049.42</v>
      </c>
      <c r="AI5007" t="n">
        <v>0</v>
      </c>
    </row>
    <row r="5008">
      <c r="A5008" t="inlineStr">
        <is>
          <t>6월</t>
        </is>
      </c>
      <c r="B5008" t="inlineStr">
        <is>
          <t>23주차</t>
        </is>
      </c>
      <c r="C5008" t="inlineStr">
        <is>
          <t>EP</t>
        </is>
      </c>
      <c r="D5008" s="28" t="n">
        <v>46177</v>
      </c>
      <c r="E5008" t="inlineStr">
        <is>
          <t>현대EP</t>
        </is>
      </c>
      <c r="F5008" t="inlineStr">
        <is>
          <t>양진경</t>
        </is>
      </c>
      <c r="G5008" t="inlineStr">
        <is>
          <t>010-2331-2157</t>
        </is>
      </c>
      <c r="H5008" t="inlineStr">
        <is>
          <t>397너6060</t>
        </is>
      </c>
      <c r="I5008" t="n">
        <v>20000000</v>
      </c>
      <c r="J5008" t="n">
        <v>0.074</v>
      </c>
      <c r="K5008" t="n">
        <v>1.76</v>
      </c>
      <c r="L5008" t="n">
        <v>0.14</v>
      </c>
      <c r="M5008" t="n">
        <v>1.62</v>
      </c>
      <c r="P5008" t="inlineStr">
        <is>
          <t>황채이</t>
        </is>
      </c>
      <c r="AB5008" t="inlineStr">
        <is>
          <t>홈서비스</t>
        </is>
      </c>
      <c r="AC5008" t="n">
        <v>352000</v>
      </c>
      <c r="AD5008" t="n">
        <v>28000</v>
      </c>
      <c r="AE5008" t="n">
        <v>324000</v>
      </c>
      <c r="AF5008" t="n">
        <v>320000</v>
      </c>
      <c r="AG5008" t="n">
        <v>27076</v>
      </c>
      <c r="AH5008" t="n">
        <v>292924</v>
      </c>
    </row>
    <row r="5009">
      <c r="A5009" t="inlineStr">
        <is>
          <t>6월</t>
        </is>
      </c>
      <c r="B5009" t="inlineStr">
        <is>
          <t>23주차</t>
        </is>
      </c>
      <c r="C5009" t="inlineStr">
        <is>
          <t>EP</t>
        </is>
      </c>
      <c r="D5009" s="28" t="n">
        <v>46177</v>
      </c>
      <c r="E5009" t="inlineStr">
        <is>
          <t>현대EP</t>
        </is>
      </c>
      <c r="F5009" t="inlineStr">
        <is>
          <t>이민지</t>
        </is>
      </c>
      <c r="G5009" t="inlineStr">
        <is>
          <t>010-2264-0516</t>
        </is>
      </c>
      <c r="H5009" t="inlineStr">
        <is>
          <t>227어2233</t>
        </is>
      </c>
      <c r="I5009" t="n">
        <v>35600000</v>
      </c>
      <c r="J5009" t="n">
        <v>0.102</v>
      </c>
      <c r="K5009" t="n">
        <v>1.76</v>
      </c>
      <c r="L5009" t="n">
        <v>0.14</v>
      </c>
      <c r="M5009" t="n">
        <v>1.62</v>
      </c>
      <c r="P5009" t="inlineStr">
        <is>
          <t>정세빈</t>
        </is>
      </c>
      <c r="AB5009" t="inlineStr">
        <is>
          <t>홈서비스</t>
        </is>
      </c>
      <c r="AC5009" t="n">
        <v>626560</v>
      </c>
      <c r="AD5009" t="n">
        <v>49840</v>
      </c>
      <c r="AE5009" t="n">
        <v>576720</v>
      </c>
      <c r="AF5009" t="n">
        <v>569600</v>
      </c>
      <c r="AG5009" t="n">
        <v>48195.28</v>
      </c>
      <c r="AH5009" t="n">
        <v>521404.72</v>
      </c>
      <c r="AI5009" t="n">
        <v>0</v>
      </c>
    </row>
    <row r="5010">
      <c r="A5010" t="inlineStr">
        <is>
          <t>6월</t>
        </is>
      </c>
      <c r="B5010" t="inlineStr">
        <is>
          <t>23주차</t>
        </is>
      </c>
      <c r="C5010" t="inlineStr">
        <is>
          <t>EP</t>
        </is>
      </c>
      <c r="D5010" s="28" t="n">
        <v>46178</v>
      </c>
      <c r="E5010" t="inlineStr">
        <is>
          <t>현대EP_fast</t>
        </is>
      </c>
      <c r="F5010" t="inlineStr">
        <is>
          <t>서지현</t>
        </is>
      </c>
      <c r="G5010" t="inlineStr">
        <is>
          <t>010-8761-7938</t>
        </is>
      </c>
      <c r="H5010" t="inlineStr">
        <is>
          <t>11두2522</t>
        </is>
      </c>
      <c r="I5010" t="n">
        <v>3300000</v>
      </c>
      <c r="J5010" t="n">
        <v>0.142</v>
      </c>
      <c r="K5010" t="n">
        <v>1.76</v>
      </c>
      <c r="L5010" t="n">
        <v>0.14</v>
      </c>
      <c r="M5010" t="n">
        <v>1.62</v>
      </c>
      <c r="P5010" t="inlineStr">
        <is>
          <t>김나윤</t>
        </is>
      </c>
      <c r="Q5010" t="inlineStr">
        <is>
          <t>홈서비스 48개월</t>
        </is>
      </c>
      <c r="AB5010" t="inlineStr">
        <is>
          <t>홈서비스</t>
        </is>
      </c>
      <c r="AC5010" t="n">
        <v>58080</v>
      </c>
      <c r="AD5010" t="n">
        <v>4620</v>
      </c>
      <c r="AE5010" t="n">
        <v>53460</v>
      </c>
      <c r="AF5010" t="n">
        <v>52800</v>
      </c>
      <c r="AG5010" t="n">
        <v>4467.54</v>
      </c>
      <c r="AH5010" t="n">
        <v>48332.46</v>
      </c>
    </row>
    <row r="5011">
      <c r="A5011" t="inlineStr">
        <is>
          <t>6월</t>
        </is>
      </c>
      <c r="B5011" t="inlineStr">
        <is>
          <t>23주차</t>
        </is>
      </c>
      <c r="C5011" t="inlineStr">
        <is>
          <t>IM</t>
        </is>
      </c>
      <c r="D5011" s="28" t="n">
        <v>46178</v>
      </c>
      <c r="E5011" t="inlineStr">
        <is>
          <t>IM캐피탈</t>
        </is>
      </c>
      <c r="F5011" t="inlineStr">
        <is>
          <t>김낭희</t>
        </is>
      </c>
      <c r="G5011" t="inlineStr">
        <is>
          <t>010-7535-5613</t>
        </is>
      </c>
      <c r="H5011" t="inlineStr">
        <is>
          <t>30버2631</t>
        </is>
      </c>
      <c r="I5011" t="n">
        <v>24900000</v>
      </c>
      <c r="J5011" t="n">
        <v>0.08400000000000001</v>
      </c>
      <c r="K5011" t="n">
        <v>1.1</v>
      </c>
      <c r="L5011" t="n">
        <v>0.14</v>
      </c>
      <c r="M5011" t="n">
        <v>0.96</v>
      </c>
      <c r="P5011" t="inlineStr">
        <is>
          <t>황채이</t>
        </is>
      </c>
      <c r="Q5011" t="inlineStr">
        <is>
          <t>홈서비스 72개월</t>
        </is>
      </c>
      <c r="AB5011" t="inlineStr">
        <is>
          <t>홈서비스</t>
        </is>
      </c>
      <c r="AC5011" t="n">
        <v>273900</v>
      </c>
      <c r="AD5011" t="n">
        <v>34860</v>
      </c>
      <c r="AE5011" t="n">
        <v>239040</v>
      </c>
      <c r="AF5011" t="n">
        <v>249000</v>
      </c>
      <c r="AG5011" t="n">
        <v>33709.62</v>
      </c>
      <c r="AH5011" t="n">
        <v>215290.38</v>
      </c>
      <c r="AI5011" t="n">
        <v>0</v>
      </c>
    </row>
    <row r="5012">
      <c r="A5012" t="inlineStr">
        <is>
          <t>6월</t>
        </is>
      </c>
      <c r="B5012" t="inlineStr">
        <is>
          <t>23주차</t>
        </is>
      </c>
      <c r="C5012" t="inlineStr">
        <is>
          <t>IM</t>
        </is>
      </c>
      <c r="D5012" s="28" t="n">
        <v>46178</v>
      </c>
      <c r="E5012" t="inlineStr">
        <is>
          <t>IM캐피탈</t>
        </is>
      </c>
      <c r="F5012" t="inlineStr">
        <is>
          <t>권미영</t>
        </is>
      </c>
      <c r="G5012" t="inlineStr">
        <is>
          <t>010-8754-4269</t>
        </is>
      </c>
      <c r="H5012" t="inlineStr">
        <is>
          <t>241모6952</t>
        </is>
      </c>
      <c r="I5012" t="n">
        <v>37900000</v>
      </c>
      <c r="J5012" t="n">
        <v>0.045</v>
      </c>
      <c r="K5012" t="n">
        <v>1.1</v>
      </c>
      <c r="L5012" t="n">
        <v>0.4</v>
      </c>
      <c r="M5012" t="n">
        <v>0.7</v>
      </c>
      <c r="P5012" t="inlineStr">
        <is>
          <t>최혁</t>
        </is>
      </c>
      <c r="Q5012" t="inlineStr">
        <is>
          <t>부대비용 추가진행</t>
        </is>
      </c>
      <c r="AB5012" t="inlineStr">
        <is>
          <t>엔카</t>
        </is>
      </c>
      <c r="AC5012" t="n">
        <v>416900</v>
      </c>
      <c r="AD5012" t="n">
        <v>151600</v>
      </c>
      <c r="AE5012" t="n">
        <v>265300</v>
      </c>
      <c r="AF5012" t="n">
        <v>379000</v>
      </c>
      <c r="AG5012" t="n">
        <v>146597.2</v>
      </c>
      <c r="AH5012" t="n">
        <v>232402.8</v>
      </c>
      <c r="AI5012" t="n">
        <v>0</v>
      </c>
    </row>
    <row r="5013">
      <c r="A5013" t="inlineStr">
        <is>
          <t>6월</t>
        </is>
      </c>
      <c r="B5013" t="inlineStr">
        <is>
          <t>23주차</t>
        </is>
      </c>
      <c r="C5013" t="inlineStr">
        <is>
          <t>EP</t>
        </is>
      </c>
      <c r="D5013" s="28" t="n">
        <v>46178</v>
      </c>
      <c r="E5013" t="inlineStr">
        <is>
          <t>현대EP_fast</t>
        </is>
      </c>
      <c r="F5013" t="inlineStr">
        <is>
          <t>박승원</t>
        </is>
      </c>
      <c r="G5013" t="inlineStr">
        <is>
          <t>010-6384-9291</t>
        </is>
      </c>
      <c r="H5013" t="inlineStr">
        <is>
          <t>357주3310</t>
        </is>
      </c>
      <c r="I5013" t="n">
        <v>18000000</v>
      </c>
      <c r="J5013" t="n">
        <v>0.096</v>
      </c>
      <c r="K5013" t="n">
        <v>1.76</v>
      </c>
      <c r="L5013" t="n">
        <v>0.14</v>
      </c>
      <c r="M5013" t="n">
        <v>1.62</v>
      </c>
      <c r="P5013" t="inlineStr">
        <is>
          <t>김나윤</t>
        </is>
      </c>
      <c r="Q5013" t="inlineStr">
        <is>
          <t>홈서비스 60개월</t>
        </is>
      </c>
      <c r="AB5013" t="inlineStr">
        <is>
          <t>홈서비스</t>
        </is>
      </c>
      <c r="AC5013" t="n">
        <v>316800</v>
      </c>
      <c r="AD5013" t="n">
        <v>25200</v>
      </c>
      <c r="AE5013" t="n">
        <v>291600</v>
      </c>
      <c r="AF5013" t="n">
        <v>288000</v>
      </c>
      <c r="AG5013" t="n">
        <v>24368.4</v>
      </c>
      <c r="AH5013" t="n">
        <v>263631.6</v>
      </c>
      <c r="AI5013" t="n">
        <v>0</v>
      </c>
    </row>
    <row r="5014">
      <c r="A5014" t="inlineStr">
        <is>
          <t>6월</t>
        </is>
      </c>
      <c r="B5014" t="inlineStr">
        <is>
          <t>23주차</t>
        </is>
      </c>
      <c r="C5014" t="inlineStr">
        <is>
          <t>EP</t>
        </is>
      </c>
      <c r="D5014" s="28" t="n">
        <v>46178</v>
      </c>
      <c r="E5014" t="inlineStr">
        <is>
          <t>현대EP_fast</t>
        </is>
      </c>
      <c r="F5014" t="inlineStr">
        <is>
          <t>김재원</t>
        </is>
      </c>
      <c r="G5014" t="inlineStr">
        <is>
          <t>010-3436-3471</t>
        </is>
      </c>
      <c r="H5014" t="inlineStr">
        <is>
          <t>19마7453</t>
        </is>
      </c>
      <c r="I5014" t="n">
        <v>15500000</v>
      </c>
      <c r="J5014" t="n">
        <v>0.109</v>
      </c>
      <c r="K5014" t="n">
        <v>1.76</v>
      </c>
      <c r="L5014" t="n">
        <v>0.14</v>
      </c>
      <c r="M5014" t="n">
        <v>1.62</v>
      </c>
      <c r="P5014" t="inlineStr">
        <is>
          <t>황채이</t>
        </is>
      </c>
      <c r="Q5014" t="inlineStr">
        <is>
          <t>홈서비스 60개월</t>
        </is>
      </c>
      <c r="AB5014" t="inlineStr">
        <is>
          <t>홈서비스</t>
        </is>
      </c>
      <c r="AC5014" t="n">
        <v>272800</v>
      </c>
      <c r="AD5014" t="n">
        <v>21700</v>
      </c>
      <c r="AE5014" t="n">
        <v>251100</v>
      </c>
      <c r="AF5014" t="n">
        <v>248000</v>
      </c>
      <c r="AG5014" t="n">
        <v>20983.9</v>
      </c>
      <c r="AH5014" t="n">
        <v>227016.1</v>
      </c>
      <c r="AI5014" t="n">
        <v>0</v>
      </c>
    </row>
    <row r="5015">
      <c r="A5015" t="inlineStr">
        <is>
          <t>6월</t>
        </is>
      </c>
      <c r="B5015" t="inlineStr">
        <is>
          <t>23주차</t>
        </is>
      </c>
      <c r="C5015" t="inlineStr">
        <is>
          <t>IM</t>
        </is>
      </c>
      <c r="D5015" s="28" t="n">
        <v>46178</v>
      </c>
      <c r="E5015" t="inlineStr">
        <is>
          <t>IM캐피탈</t>
        </is>
      </c>
      <c r="F5015" t="inlineStr">
        <is>
          <t>한규형</t>
        </is>
      </c>
      <c r="G5015" t="inlineStr">
        <is>
          <t>010-3208-9413</t>
        </is>
      </c>
      <c r="H5015" t="inlineStr">
        <is>
          <t>370조1060</t>
        </is>
      </c>
      <c r="I5015" t="n">
        <v>20900000</v>
      </c>
      <c r="J5015" t="n">
        <v>0.059</v>
      </c>
      <c r="K5015" t="n">
        <v>1.1</v>
      </c>
      <c r="L5015" t="n">
        <v>0.14</v>
      </c>
      <c r="M5015" t="n">
        <v>0.96</v>
      </c>
      <c r="P5015" t="inlineStr">
        <is>
          <t>황채이</t>
        </is>
      </c>
      <c r="Q5015" t="inlineStr">
        <is>
          <t>홈서비스 48개월</t>
        </is>
      </c>
      <c r="AB5015" t="inlineStr">
        <is>
          <t>홈서비스</t>
        </is>
      </c>
      <c r="AC5015" t="n">
        <v>229900</v>
      </c>
      <c r="AD5015" t="n">
        <v>29260</v>
      </c>
      <c r="AE5015" t="n">
        <v>200640</v>
      </c>
      <c r="AF5015" t="n">
        <v>209000</v>
      </c>
      <c r="AG5015" t="n">
        <v>28294.42</v>
      </c>
      <c r="AH5015" t="n">
        <v>180705.58</v>
      </c>
      <c r="AI5015" t="n">
        <v>0</v>
      </c>
    </row>
    <row r="5016">
      <c r="A5016" t="inlineStr">
        <is>
          <t>6월</t>
        </is>
      </c>
      <c r="B5016" t="inlineStr">
        <is>
          <t>23주차</t>
        </is>
      </c>
      <c r="C5016" t="inlineStr">
        <is>
          <t>IM</t>
        </is>
      </c>
      <c r="D5016" s="28" t="n">
        <v>46178</v>
      </c>
      <c r="E5016" t="inlineStr">
        <is>
          <t>IM캐피탈</t>
        </is>
      </c>
      <c r="F5016" t="inlineStr">
        <is>
          <t>오정숙</t>
        </is>
      </c>
      <c r="G5016" t="inlineStr">
        <is>
          <t>010-8470-0355</t>
        </is>
      </c>
      <c r="H5016" t="inlineStr">
        <is>
          <t>16노2481</t>
        </is>
      </c>
      <c r="I5016" t="n">
        <v>20000000</v>
      </c>
      <c r="J5016" t="n">
        <v>0.059</v>
      </c>
      <c r="K5016" t="n">
        <v>1.1</v>
      </c>
      <c r="L5016" t="n">
        <v>0.14</v>
      </c>
      <c r="M5016" t="n">
        <v>0.96</v>
      </c>
      <c r="P5016" t="inlineStr">
        <is>
          <t>정세빈</t>
        </is>
      </c>
      <c r="Q5016" t="inlineStr">
        <is>
          <t>홈서비스 60개월</t>
        </is>
      </c>
      <c r="AB5016" t="inlineStr">
        <is>
          <t>홈서비스</t>
        </is>
      </c>
      <c r="AC5016" t="n">
        <v>220000</v>
      </c>
      <c r="AD5016" t="n">
        <v>28000</v>
      </c>
      <c r="AE5016" t="n">
        <v>192000</v>
      </c>
      <c r="AF5016" t="n">
        <v>200000</v>
      </c>
      <c r="AG5016" t="n">
        <v>27076</v>
      </c>
      <c r="AH5016" t="n">
        <v>172924</v>
      </c>
      <c r="AI5016" t="n">
        <v>0</v>
      </c>
    </row>
    <row r="5017">
      <c r="A5017" t="inlineStr">
        <is>
          <t>6월</t>
        </is>
      </c>
      <c r="B5017" t="inlineStr">
        <is>
          <t>23주차</t>
        </is>
      </c>
      <c r="C5017" t="inlineStr">
        <is>
          <t>IM</t>
        </is>
      </c>
      <c r="D5017" s="28" t="n">
        <v>46178</v>
      </c>
      <c r="E5017" t="inlineStr">
        <is>
          <t>IM캐피탈</t>
        </is>
      </c>
      <c r="F5017" t="inlineStr">
        <is>
          <t>이영훈</t>
        </is>
      </c>
      <c r="G5017" t="inlineStr">
        <is>
          <t>010-8033-2040</t>
        </is>
      </c>
      <c r="H5017" t="inlineStr">
        <is>
          <t>08라3308</t>
        </is>
      </c>
      <c r="I5017" t="n">
        <v>6100000</v>
      </c>
      <c r="J5017" t="n">
        <v>0.059</v>
      </c>
      <c r="K5017" t="n">
        <v>1.1</v>
      </c>
      <c r="L5017" t="n">
        <v>0.14</v>
      </c>
      <c r="M5017" t="n">
        <v>0.96</v>
      </c>
      <c r="P5017" t="inlineStr">
        <is>
          <t>박소현</t>
        </is>
      </c>
      <c r="Q5017" t="inlineStr">
        <is>
          <t>선상담 / 홈서비스 72개월</t>
        </is>
      </c>
      <c r="AB5017" t="inlineStr">
        <is>
          <t>홈서비스</t>
        </is>
      </c>
      <c r="AC5017" t="n">
        <v>67100</v>
      </c>
      <c r="AD5017" t="n">
        <v>8540</v>
      </c>
      <c r="AE5017" t="n">
        <v>58560</v>
      </c>
      <c r="AF5017" t="n">
        <v>61000</v>
      </c>
      <c r="AG5017" t="n">
        <v>8258.18</v>
      </c>
      <c r="AH5017" t="n">
        <v>52741.82</v>
      </c>
    </row>
    <row r="5018">
      <c r="A5018" t="inlineStr">
        <is>
          <t>6월</t>
        </is>
      </c>
      <c r="B5018" t="inlineStr">
        <is>
          <t>23주차</t>
        </is>
      </c>
      <c r="C5018" t="inlineStr">
        <is>
          <t>EP</t>
        </is>
      </c>
      <c r="D5018" s="28" t="n">
        <v>46178</v>
      </c>
      <c r="E5018" t="inlineStr">
        <is>
          <t>BNKEP</t>
        </is>
      </c>
      <c r="F5018" t="inlineStr">
        <is>
          <t>안준식</t>
        </is>
      </c>
      <c r="G5018" t="inlineStr">
        <is>
          <t>010-2365-0250</t>
        </is>
      </c>
      <c r="H5018" t="inlineStr">
        <is>
          <t>53러4893</t>
        </is>
      </c>
      <c r="I5018" t="n">
        <v>32800000</v>
      </c>
      <c r="J5018" t="n">
        <v>0.07000000000000001</v>
      </c>
      <c r="K5018" t="n">
        <v>1.65</v>
      </c>
      <c r="L5018" t="n">
        <v>0.4</v>
      </c>
      <c r="M5018" t="n">
        <v>1.25</v>
      </c>
      <c r="P5018" t="inlineStr">
        <is>
          <t>구성완</t>
        </is>
      </c>
      <c r="AB5018" t="inlineStr">
        <is>
          <t>엔카</t>
        </is>
      </c>
      <c r="AC5018" t="n">
        <v>541200</v>
      </c>
      <c r="AD5018" t="n">
        <v>131200</v>
      </c>
      <c r="AE5018" t="n">
        <v>410000</v>
      </c>
      <c r="AF5018" t="n">
        <v>492000</v>
      </c>
      <c r="AG5018" t="n">
        <v>126870.4</v>
      </c>
      <c r="AH5018" t="n">
        <v>365129.6</v>
      </c>
      <c r="AI5018" t="n">
        <v>0</v>
      </c>
    </row>
    <row r="5019">
      <c r="A5019" t="inlineStr">
        <is>
          <t>6월</t>
        </is>
      </c>
      <c r="B5019" t="inlineStr">
        <is>
          <t>23주차</t>
        </is>
      </c>
      <c r="C5019" t="inlineStr">
        <is>
          <t>EP</t>
        </is>
      </c>
      <c r="D5019" s="28" t="n">
        <v>46178</v>
      </c>
      <c r="E5019" t="inlineStr">
        <is>
          <t>현대EP_fast</t>
        </is>
      </c>
      <c r="F5019" t="inlineStr">
        <is>
          <t>문소희</t>
        </is>
      </c>
      <c r="G5019" t="inlineStr">
        <is>
          <t>010-5102-4658</t>
        </is>
      </c>
      <c r="H5019" t="inlineStr">
        <is>
          <t>15주6619</t>
        </is>
      </c>
      <c r="I5019" t="n">
        <v>5500000</v>
      </c>
      <c r="J5019" t="n">
        <v>0.113</v>
      </c>
      <c r="K5019" t="n">
        <v>1.76</v>
      </c>
      <c r="L5019" t="n">
        <v>0.14</v>
      </c>
      <c r="M5019" t="n">
        <v>1.62</v>
      </c>
      <c r="P5019" t="inlineStr">
        <is>
          <t>김나윤</t>
        </is>
      </c>
      <c r="Q5019" t="inlineStr">
        <is>
          <t>홈서비스 60개월</t>
        </is>
      </c>
      <c r="AB5019" t="inlineStr">
        <is>
          <t>홈서비스</t>
        </is>
      </c>
      <c r="AC5019" t="n">
        <v>96800</v>
      </c>
      <c r="AD5019" t="n">
        <v>7700</v>
      </c>
      <c r="AE5019" t="n">
        <v>89100</v>
      </c>
      <c r="AF5019" t="n">
        <v>88000</v>
      </c>
      <c r="AG5019" t="n">
        <v>7445.9</v>
      </c>
      <c r="AH5019" t="n">
        <v>80554.10000000001</v>
      </c>
      <c r="AI5019" t="n">
        <v>0</v>
      </c>
    </row>
    <row r="5020">
      <c r="A5020" t="inlineStr">
        <is>
          <t>6월</t>
        </is>
      </c>
      <c r="B5020" t="inlineStr">
        <is>
          <t>23주차</t>
        </is>
      </c>
      <c r="C5020" t="inlineStr">
        <is>
          <t>WC</t>
        </is>
      </c>
      <c r="D5020" s="28" t="n">
        <v>46178</v>
      </c>
      <c r="E5020" t="inlineStr">
        <is>
          <t>웰컴저축은행</t>
        </is>
      </c>
      <c r="F5020" t="inlineStr">
        <is>
          <t>정경록</t>
        </is>
      </c>
      <c r="G5020" t="inlineStr">
        <is>
          <t>010-4024-3181</t>
        </is>
      </c>
      <c r="H5020" t="inlineStr">
        <is>
          <t>52모3961</t>
        </is>
      </c>
      <c r="I5020" t="n">
        <v>4900000</v>
      </c>
      <c r="J5020" t="n">
        <v>0.189</v>
      </c>
      <c r="K5020" t="n">
        <v>2.2</v>
      </c>
      <c r="L5020" t="n">
        <v>0.14</v>
      </c>
      <c r="M5020" t="n">
        <v>2.06</v>
      </c>
      <c r="P5020" t="inlineStr">
        <is>
          <t>김수연</t>
        </is>
      </c>
      <c r="Q5020" t="inlineStr">
        <is>
          <t>홈서비스 60개월</t>
        </is>
      </c>
      <c r="AB5020" t="inlineStr">
        <is>
          <t>홈서비스</t>
        </is>
      </c>
      <c r="AC5020" t="n">
        <v>107800</v>
      </c>
      <c r="AD5020" t="n">
        <v>6860</v>
      </c>
      <c r="AE5020" t="n">
        <v>100940</v>
      </c>
      <c r="AF5020" t="n">
        <v>98000</v>
      </c>
      <c r="AG5020" t="n">
        <v>6633.62</v>
      </c>
      <c r="AH5020" t="n">
        <v>91366.38</v>
      </c>
      <c r="AI5020" t="n">
        <v>0</v>
      </c>
    </row>
    <row r="5021">
      <c r="A5021" t="inlineStr">
        <is>
          <t>6월</t>
        </is>
      </c>
      <c r="B5021" t="inlineStr">
        <is>
          <t>23주차</t>
        </is>
      </c>
      <c r="C5021" t="inlineStr">
        <is>
          <t>IM</t>
        </is>
      </c>
      <c r="D5021" s="28" t="n">
        <v>46178</v>
      </c>
      <c r="E5021" t="inlineStr">
        <is>
          <t>IM캐피탈</t>
        </is>
      </c>
      <c r="F5021" t="inlineStr">
        <is>
          <t>김동현</t>
        </is>
      </c>
      <c r="G5021" t="inlineStr">
        <is>
          <t>010-5847-1737</t>
        </is>
      </c>
      <c r="H5021" t="inlineStr">
        <is>
          <t>387머3855</t>
        </is>
      </c>
      <c r="I5021" t="n">
        <v>42800000</v>
      </c>
      <c r="J5021" t="n">
        <v>0.067</v>
      </c>
      <c r="K5021" t="n">
        <v>1.1</v>
      </c>
      <c r="L5021" t="n">
        <v>0.4</v>
      </c>
      <c r="M5021" t="n">
        <v>0.7</v>
      </c>
      <c r="P5021" t="inlineStr">
        <is>
          <t>임대경</t>
        </is>
      </c>
      <c r="Q5021" t="inlineStr">
        <is>
          <t>부대비용 추가진행</t>
        </is>
      </c>
      <c r="AB5021" t="inlineStr">
        <is>
          <t>엔카</t>
        </is>
      </c>
      <c r="AC5021" t="n">
        <v>470800</v>
      </c>
      <c r="AD5021" t="n">
        <v>171200</v>
      </c>
      <c r="AE5021" t="n">
        <v>299600</v>
      </c>
      <c r="AF5021" t="n">
        <v>428000</v>
      </c>
      <c r="AG5021" t="n">
        <v>165550.4</v>
      </c>
      <c r="AH5021" t="n">
        <v>262449.6</v>
      </c>
    </row>
    <row r="5022">
      <c r="A5022" t="inlineStr">
        <is>
          <t>6월</t>
        </is>
      </c>
      <c r="B5022" t="inlineStr">
        <is>
          <t>23주차</t>
        </is>
      </c>
      <c r="C5022" t="inlineStr">
        <is>
          <t>EP</t>
        </is>
      </c>
      <c r="D5022" s="28" t="n">
        <v>46178</v>
      </c>
      <c r="E5022" t="inlineStr">
        <is>
          <t>현대EP_fast</t>
        </is>
      </c>
      <c r="F5022" t="inlineStr">
        <is>
          <t>이충현</t>
        </is>
      </c>
      <c r="G5022" t="inlineStr">
        <is>
          <t>010-8624-7238</t>
        </is>
      </c>
      <c r="H5022" t="inlineStr">
        <is>
          <t>02누9554</t>
        </is>
      </c>
      <c r="I5022" t="n">
        <v>5900000</v>
      </c>
      <c r="J5022" t="n">
        <v>0.077</v>
      </c>
      <c r="K5022" t="n">
        <v>1.76</v>
      </c>
      <c r="L5022" t="n">
        <v>0.14</v>
      </c>
      <c r="M5022" t="n">
        <v>1.62</v>
      </c>
      <c r="P5022" t="inlineStr">
        <is>
          <t>황채이</t>
        </is>
      </c>
      <c r="Q5022" t="inlineStr">
        <is>
          <t>홈서비스 48개월</t>
        </is>
      </c>
      <c r="AB5022" t="inlineStr">
        <is>
          <t>홈서비스</t>
        </is>
      </c>
      <c r="AC5022" t="n">
        <v>103840</v>
      </c>
      <c r="AD5022" t="n">
        <v>8260</v>
      </c>
      <c r="AE5022" t="n">
        <v>95580</v>
      </c>
      <c r="AF5022" t="n">
        <v>94400</v>
      </c>
      <c r="AG5022" t="n">
        <v>7987.42</v>
      </c>
      <c r="AH5022" t="n">
        <v>86412.58</v>
      </c>
      <c r="AI5022" t="n">
        <v>0</v>
      </c>
    </row>
    <row r="5023">
      <c r="A5023" t="inlineStr">
        <is>
          <t>6월</t>
        </is>
      </c>
      <c r="B5023" t="inlineStr">
        <is>
          <t>23주차</t>
        </is>
      </c>
      <c r="C5023" t="inlineStr">
        <is>
          <t>EP</t>
        </is>
      </c>
      <c r="D5023" s="28" t="n">
        <v>46178</v>
      </c>
      <c r="E5023" t="inlineStr">
        <is>
          <t>현대EP_fast</t>
        </is>
      </c>
      <c r="F5023" t="inlineStr">
        <is>
          <t>이송</t>
        </is>
      </c>
      <c r="G5023" t="inlineStr">
        <is>
          <t>010-2349-0103</t>
        </is>
      </c>
      <c r="H5023" t="inlineStr">
        <is>
          <t>242어5545</t>
        </is>
      </c>
      <c r="I5023" t="n">
        <v>40000000</v>
      </c>
      <c r="J5023" t="n">
        <v>0.08400000000000001</v>
      </c>
      <c r="K5023" t="n">
        <v>1.76</v>
      </c>
      <c r="L5023" t="n">
        <v>0.14</v>
      </c>
      <c r="M5023" t="n">
        <v>1.62</v>
      </c>
      <c r="P5023" t="inlineStr">
        <is>
          <t>황채이</t>
        </is>
      </c>
      <c r="Q5023" t="inlineStr">
        <is>
          <t>홈서비스 60개월</t>
        </is>
      </c>
      <c r="AB5023" t="inlineStr">
        <is>
          <t>홈서비스</t>
        </is>
      </c>
      <c r="AC5023" t="n">
        <v>704000</v>
      </c>
      <c r="AD5023" t="n">
        <v>56000</v>
      </c>
      <c r="AE5023" t="n">
        <v>648000</v>
      </c>
      <c r="AF5023" t="n">
        <v>640000</v>
      </c>
      <c r="AG5023" t="n">
        <v>54152</v>
      </c>
      <c r="AH5023" t="n">
        <v>585848</v>
      </c>
      <c r="AI5023" t="n">
        <v>0</v>
      </c>
    </row>
    <row r="5024">
      <c r="A5024" t="inlineStr">
        <is>
          <t>6월</t>
        </is>
      </c>
      <c r="B5024" t="inlineStr">
        <is>
          <t>23주차</t>
        </is>
      </c>
      <c r="C5024" t="inlineStr">
        <is>
          <t>EP</t>
        </is>
      </c>
      <c r="D5024" s="28" t="n">
        <v>46178</v>
      </c>
      <c r="E5024" t="inlineStr">
        <is>
          <t>현대EP_fast</t>
        </is>
      </c>
      <c r="F5024" t="inlineStr">
        <is>
          <t>김민영</t>
        </is>
      </c>
      <c r="G5024" t="inlineStr">
        <is>
          <t>010-4943-0944</t>
        </is>
      </c>
      <c r="H5024" t="inlineStr">
        <is>
          <t>840고2863</t>
        </is>
      </c>
      <c r="I5024" t="n">
        <v>16900000</v>
      </c>
      <c r="J5024" t="n">
        <v>0.06900000000000001</v>
      </c>
      <c r="K5024" t="n">
        <v>1.76</v>
      </c>
      <c r="L5024" t="n">
        <v>0.14</v>
      </c>
      <c r="M5024" t="n">
        <v>1.62</v>
      </c>
      <c r="P5024" t="inlineStr">
        <is>
          <t>김나윤</t>
        </is>
      </c>
      <c r="Q5024" t="inlineStr">
        <is>
          <t>홈서비스 60개월</t>
        </is>
      </c>
      <c r="AB5024" t="inlineStr">
        <is>
          <t>홈서비스</t>
        </is>
      </c>
      <c r="AC5024" t="n">
        <v>297440</v>
      </c>
      <c r="AD5024" t="n">
        <v>23660</v>
      </c>
      <c r="AE5024" t="n">
        <v>273780</v>
      </c>
      <c r="AF5024" t="n">
        <v>270400</v>
      </c>
      <c r="AG5024" t="n">
        <v>22879.22</v>
      </c>
      <c r="AH5024" t="n">
        <v>247520.78</v>
      </c>
      <c r="AI5024" t="n">
        <v>0</v>
      </c>
    </row>
    <row r="5025">
      <c r="A5025" t="inlineStr">
        <is>
          <t>6월</t>
        </is>
      </c>
      <c r="B5025" t="inlineStr">
        <is>
          <t>23주차</t>
        </is>
      </c>
      <c r="C5025" t="inlineStr">
        <is>
          <t>EP</t>
        </is>
      </c>
      <c r="D5025" s="28" t="n">
        <v>46178</v>
      </c>
      <c r="E5025" t="inlineStr">
        <is>
          <t>현대EP_fast</t>
        </is>
      </c>
      <c r="F5025" t="inlineStr">
        <is>
          <t>정유빈</t>
        </is>
      </c>
      <c r="G5025" t="inlineStr">
        <is>
          <t>010-9992-2983</t>
        </is>
      </c>
      <c r="H5025" t="inlineStr">
        <is>
          <t>141머4806</t>
        </is>
      </c>
      <c r="I5025" t="n">
        <v>20000000</v>
      </c>
      <c r="J5025" t="n">
        <v>0.08400000000000001</v>
      </c>
      <c r="K5025" t="n">
        <v>1.76</v>
      </c>
      <c r="L5025" t="n">
        <v>0.14</v>
      </c>
      <c r="M5025" t="n">
        <v>1.62</v>
      </c>
      <c r="P5025" t="inlineStr">
        <is>
          <t>정세빈</t>
        </is>
      </c>
      <c r="Q5025" t="inlineStr">
        <is>
          <t>홈서비스 60개월</t>
        </is>
      </c>
      <c r="AB5025" t="inlineStr">
        <is>
          <t>홈서비스</t>
        </is>
      </c>
      <c r="AC5025" t="n">
        <v>352000</v>
      </c>
      <c r="AD5025" t="n">
        <v>28000</v>
      </c>
      <c r="AE5025" t="n">
        <v>324000</v>
      </c>
      <c r="AF5025" t="n">
        <v>320000</v>
      </c>
      <c r="AG5025" t="n">
        <v>27076</v>
      </c>
      <c r="AH5025" t="n">
        <v>292924</v>
      </c>
    </row>
    <row r="5026">
      <c r="A5026" t="inlineStr">
        <is>
          <t>6월</t>
        </is>
      </c>
      <c r="B5026" t="inlineStr">
        <is>
          <t>23주차</t>
        </is>
      </c>
      <c r="C5026" t="inlineStr">
        <is>
          <t>EP</t>
        </is>
      </c>
      <c r="D5026" s="28" t="n">
        <v>46178</v>
      </c>
      <c r="E5026" t="inlineStr">
        <is>
          <t>제이비EP</t>
        </is>
      </c>
      <c r="F5026" t="inlineStr">
        <is>
          <t>노태경</t>
        </is>
      </c>
      <c r="G5026" t="inlineStr">
        <is>
          <t>010-4061-6188</t>
        </is>
      </c>
      <c r="H5026" t="inlineStr">
        <is>
          <t>42누2854</t>
        </is>
      </c>
      <c r="I5026" t="n">
        <v>8700000</v>
      </c>
      <c r="J5026" t="n">
        <v>0.08699999999999999</v>
      </c>
      <c r="K5026" t="n">
        <v>1.65</v>
      </c>
      <c r="L5026" t="n">
        <v>0.4</v>
      </c>
      <c r="M5026" t="n">
        <v>1.25</v>
      </c>
      <c r="P5026" t="inlineStr">
        <is>
          <t>최혁</t>
        </is>
      </c>
      <c r="Q5026" t="inlineStr">
        <is>
          <t>부대비용 추가진행</t>
        </is>
      </c>
      <c r="AB5026" t="inlineStr">
        <is>
          <t>엔카</t>
        </is>
      </c>
      <c r="AC5026" t="n">
        <v>143550</v>
      </c>
      <c r="AD5026" t="n">
        <v>34800</v>
      </c>
      <c r="AE5026" t="n">
        <v>108750</v>
      </c>
      <c r="AF5026" t="n">
        <v>130500</v>
      </c>
      <c r="AG5026" t="n">
        <v>33651.6</v>
      </c>
      <c r="AH5026" t="n">
        <v>96848.39999999999</v>
      </c>
      <c r="AI5026" t="n">
        <v>0</v>
      </c>
    </row>
    <row r="5027">
      <c r="A5027" t="inlineStr">
        <is>
          <t>6월</t>
        </is>
      </c>
      <c r="B5027" t="inlineStr">
        <is>
          <t>23주차</t>
        </is>
      </c>
      <c r="C5027" t="inlineStr">
        <is>
          <t>EP</t>
        </is>
      </c>
      <c r="D5027" s="28" t="n">
        <v>46178</v>
      </c>
      <c r="E5027" t="inlineStr">
        <is>
          <t>현대EP_fast</t>
        </is>
      </c>
      <c r="F5027" t="inlineStr">
        <is>
          <t>김애경</t>
        </is>
      </c>
      <c r="G5027" t="inlineStr">
        <is>
          <t>010-7661-3903</t>
        </is>
      </c>
      <c r="H5027" t="inlineStr">
        <is>
          <t>305무5417</t>
        </is>
      </c>
      <c r="I5027" t="n">
        <v>21500000</v>
      </c>
      <c r="J5027" t="n">
        <v>0.109</v>
      </c>
      <c r="K5027" t="n">
        <v>1.76</v>
      </c>
      <c r="L5027" t="n">
        <v>0.14</v>
      </c>
      <c r="M5027" t="n">
        <v>1.62</v>
      </c>
      <c r="P5027" t="inlineStr">
        <is>
          <t>정세빈</t>
        </is>
      </c>
      <c r="Q5027" t="inlineStr">
        <is>
          <t>홈서비스 60개월 / 공동명의</t>
        </is>
      </c>
      <c r="AB5027" t="inlineStr">
        <is>
          <t>홈서비스</t>
        </is>
      </c>
      <c r="AC5027" t="n">
        <v>378400</v>
      </c>
      <c r="AD5027" t="n">
        <v>30100</v>
      </c>
      <c r="AE5027" t="n">
        <v>348300</v>
      </c>
      <c r="AF5027" t="n">
        <v>344000</v>
      </c>
      <c r="AG5027" t="n">
        <v>29106.7</v>
      </c>
      <c r="AH5027" t="n">
        <v>314893.3</v>
      </c>
      <c r="AI5027" t="n">
        <v>0</v>
      </c>
    </row>
    <row r="5028">
      <c r="A5028" t="inlineStr">
        <is>
          <t>6월</t>
        </is>
      </c>
      <c r="B5028" t="inlineStr">
        <is>
          <t>23주차</t>
        </is>
      </c>
      <c r="C5028" t="inlineStr">
        <is>
          <t>EP</t>
        </is>
      </c>
      <c r="D5028" s="28" t="n">
        <v>46178</v>
      </c>
      <c r="E5028" t="inlineStr">
        <is>
          <t>현대EP_fast</t>
        </is>
      </c>
      <c r="F5028" t="inlineStr">
        <is>
          <t>김동운</t>
        </is>
      </c>
      <c r="G5028" t="inlineStr">
        <is>
          <t>010-9964-2830</t>
        </is>
      </c>
      <c r="H5028" t="inlineStr">
        <is>
          <t>35너5433</t>
        </is>
      </c>
      <c r="I5028" t="n">
        <v>13000000</v>
      </c>
      <c r="J5028" t="n">
        <v>0.142</v>
      </c>
      <c r="K5028" t="n">
        <v>1.76</v>
      </c>
      <c r="L5028" t="n">
        <v>0.14</v>
      </c>
      <c r="M5028" t="n">
        <v>1.62</v>
      </c>
      <c r="P5028" t="inlineStr">
        <is>
          <t>김나윤</t>
        </is>
      </c>
      <c r="Q5028" t="inlineStr">
        <is>
          <t>홈서비스 24개월</t>
        </is>
      </c>
      <c r="AB5028" t="inlineStr">
        <is>
          <t>홈서비스</t>
        </is>
      </c>
      <c r="AC5028" t="n">
        <v>228800</v>
      </c>
      <c r="AD5028" t="n">
        <v>18200</v>
      </c>
      <c r="AE5028" t="n">
        <v>210600</v>
      </c>
      <c r="AF5028" t="n">
        <v>208000</v>
      </c>
      <c r="AG5028" t="n">
        <v>17599.4</v>
      </c>
      <c r="AH5028" t="n">
        <v>190400.6</v>
      </c>
      <c r="AI5028" t="n">
        <v>0</v>
      </c>
    </row>
    <row r="5029">
      <c r="A5029" t="inlineStr">
        <is>
          <t>6월</t>
        </is>
      </c>
      <c r="B5029" t="inlineStr">
        <is>
          <t>23주차</t>
        </is>
      </c>
      <c r="C5029" t="inlineStr">
        <is>
          <t>IM</t>
        </is>
      </c>
      <c r="D5029" s="28" t="n">
        <v>46178</v>
      </c>
      <c r="E5029" t="inlineStr">
        <is>
          <t>IM캐피탈</t>
        </is>
      </c>
      <c r="F5029" t="inlineStr">
        <is>
          <t>정현주</t>
        </is>
      </c>
      <c r="G5029" t="inlineStr">
        <is>
          <t>010-9154-5965</t>
        </is>
      </c>
      <c r="H5029" t="inlineStr">
        <is>
          <t>195주5396</t>
        </is>
      </c>
      <c r="I5029" t="n">
        <v>33200000</v>
      </c>
      <c r="J5029" t="n">
        <v>0.076</v>
      </c>
      <c r="K5029" t="n">
        <v>1.1</v>
      </c>
      <c r="L5029" t="n">
        <v>0.4</v>
      </c>
      <c r="M5029" t="n">
        <v>0.7</v>
      </c>
      <c r="P5029" t="inlineStr">
        <is>
          <t>박소현</t>
        </is>
      </c>
      <c r="AB5029" t="inlineStr">
        <is>
          <t>엔카</t>
        </is>
      </c>
      <c r="AC5029" t="n">
        <v>365200</v>
      </c>
      <c r="AD5029" t="n">
        <v>132800</v>
      </c>
      <c r="AE5029" t="n">
        <v>232400</v>
      </c>
      <c r="AF5029" t="n">
        <v>332000</v>
      </c>
      <c r="AG5029" t="n">
        <v>128417.6</v>
      </c>
      <c r="AH5029" t="n">
        <v>203582.4</v>
      </c>
      <c r="AI5029" t="n">
        <v>0</v>
      </c>
    </row>
    <row r="5030">
      <c r="A5030" t="inlineStr">
        <is>
          <t>6월</t>
        </is>
      </c>
      <c r="B5030" t="inlineStr">
        <is>
          <t>23주차</t>
        </is>
      </c>
      <c r="C5030" t="inlineStr">
        <is>
          <t>EP</t>
        </is>
      </c>
      <c r="D5030" s="28" t="n">
        <v>46178</v>
      </c>
      <c r="E5030" t="inlineStr">
        <is>
          <t>현대EP_fast</t>
        </is>
      </c>
      <c r="F5030" t="inlineStr">
        <is>
          <t>남상천</t>
        </is>
      </c>
      <c r="G5030" t="inlineStr">
        <is>
          <t>010-3876-8404</t>
        </is>
      </c>
      <c r="H5030" t="inlineStr">
        <is>
          <t>02두0745</t>
        </is>
      </c>
      <c r="I5030" t="n">
        <v>10900000</v>
      </c>
      <c r="J5030" t="n">
        <v>0.06900000000000001</v>
      </c>
      <c r="K5030" t="n">
        <v>1.76</v>
      </c>
      <c r="L5030" t="n">
        <v>0.14</v>
      </c>
      <c r="M5030" t="n">
        <v>1.62</v>
      </c>
      <c r="P5030" t="inlineStr">
        <is>
          <t>김나윤</t>
        </is>
      </c>
      <c r="Q5030" t="inlineStr">
        <is>
          <t>홈서비스 60개월</t>
        </is>
      </c>
      <c r="AB5030" t="inlineStr">
        <is>
          <t>홈서비스</t>
        </is>
      </c>
      <c r="AC5030" t="n">
        <v>191840</v>
      </c>
      <c r="AD5030" t="n">
        <v>15260</v>
      </c>
      <c r="AE5030" t="n">
        <v>176580</v>
      </c>
      <c r="AF5030" t="n">
        <v>174400</v>
      </c>
      <c r="AG5030" t="n">
        <v>14756.42</v>
      </c>
      <c r="AH5030" t="n">
        <v>159643.58</v>
      </c>
      <c r="AI5030" t="n">
        <v>0</v>
      </c>
    </row>
    <row r="5031">
      <c r="A5031" t="inlineStr">
        <is>
          <t>6월</t>
        </is>
      </c>
      <c r="B5031" t="inlineStr">
        <is>
          <t>23주차</t>
        </is>
      </c>
      <c r="C5031" t="inlineStr">
        <is>
          <t>EP</t>
        </is>
      </c>
      <c r="D5031" s="28" t="n">
        <v>46178</v>
      </c>
      <c r="E5031" t="inlineStr">
        <is>
          <t>현대EP_fast</t>
        </is>
      </c>
      <c r="F5031" t="inlineStr">
        <is>
          <t>우상식</t>
        </is>
      </c>
      <c r="G5031" t="inlineStr">
        <is>
          <t>010-2430-7628</t>
        </is>
      </c>
      <c r="H5031" t="inlineStr">
        <is>
          <t>57서2900</t>
        </is>
      </c>
      <c r="I5031" t="n">
        <v>6500000</v>
      </c>
      <c r="J5031" t="n">
        <v>0.113</v>
      </c>
      <c r="K5031" t="n">
        <v>1.76</v>
      </c>
      <c r="L5031" t="n">
        <v>0.14</v>
      </c>
      <c r="M5031" t="n">
        <v>1.62</v>
      </c>
      <c r="P5031" t="inlineStr">
        <is>
          <t>김나윤</t>
        </is>
      </c>
      <c r="Q5031" t="inlineStr">
        <is>
          <t>홈서비스 36개월</t>
        </is>
      </c>
      <c r="AB5031" t="inlineStr">
        <is>
          <t>홈서비스</t>
        </is>
      </c>
      <c r="AC5031" t="n">
        <v>114400</v>
      </c>
      <c r="AD5031" t="n">
        <v>9100</v>
      </c>
      <c r="AE5031" t="n">
        <v>105300</v>
      </c>
      <c r="AF5031" t="n">
        <v>104000</v>
      </c>
      <c r="AG5031" t="n">
        <v>8799.700000000001</v>
      </c>
      <c r="AH5031" t="n">
        <v>95200.3</v>
      </c>
      <c r="AI5031" t="n">
        <v>0</v>
      </c>
    </row>
    <row r="5032">
      <c r="A5032" t="inlineStr">
        <is>
          <t>6월</t>
        </is>
      </c>
      <c r="B5032" t="inlineStr">
        <is>
          <t>23주차</t>
        </is>
      </c>
      <c r="C5032" t="inlineStr">
        <is>
          <t>EP</t>
        </is>
      </c>
      <c r="D5032" s="28" t="n">
        <v>46178</v>
      </c>
      <c r="E5032" t="inlineStr">
        <is>
          <t>제이비EP</t>
        </is>
      </c>
      <c r="F5032" t="inlineStr">
        <is>
          <t>이정민</t>
        </is>
      </c>
      <c r="G5032" t="inlineStr">
        <is>
          <t>010-3620-4964</t>
        </is>
      </c>
      <c r="H5032" t="inlineStr">
        <is>
          <t>244조2639</t>
        </is>
      </c>
      <c r="I5032" t="n">
        <v>13500000</v>
      </c>
      <c r="J5032" t="n">
        <v>0.112</v>
      </c>
      <c r="K5032" t="n">
        <v>1.65</v>
      </c>
      <c r="L5032" t="n">
        <v>0.4</v>
      </c>
      <c r="M5032" t="n">
        <v>1.25</v>
      </c>
      <c r="P5032" t="inlineStr">
        <is>
          <t>박소현</t>
        </is>
      </c>
      <c r="Q5032" t="inlineStr">
        <is>
          <t>부대비용추가진행</t>
        </is>
      </c>
      <c r="AB5032" t="inlineStr">
        <is>
          <t>엔카</t>
        </is>
      </c>
      <c r="AC5032" t="n">
        <v>222750</v>
      </c>
      <c r="AD5032" t="n">
        <v>54000</v>
      </c>
      <c r="AE5032" t="n">
        <v>168750</v>
      </c>
      <c r="AF5032" t="n">
        <v>202500</v>
      </c>
      <c r="AG5032" t="n">
        <v>52218</v>
      </c>
      <c r="AH5032" t="n">
        <v>150282</v>
      </c>
      <c r="AI5032" t="n">
        <v>0</v>
      </c>
    </row>
    <row r="5033">
      <c r="A5033" t="inlineStr">
        <is>
          <t>6월</t>
        </is>
      </c>
      <c r="B5033" t="inlineStr">
        <is>
          <t>23주차</t>
        </is>
      </c>
      <c r="C5033" t="inlineStr">
        <is>
          <t>IM</t>
        </is>
      </c>
      <c r="D5033" s="28" t="n">
        <v>46178</v>
      </c>
      <c r="E5033" t="inlineStr">
        <is>
          <t>IM캐피탈</t>
        </is>
      </c>
      <c r="F5033" t="inlineStr">
        <is>
          <t>오세진</t>
        </is>
      </c>
      <c r="G5033" t="inlineStr">
        <is>
          <t>010-2203-3038</t>
        </is>
      </c>
      <c r="H5033" t="inlineStr">
        <is>
          <t>168고4985</t>
        </is>
      </c>
      <c r="I5033" t="n">
        <v>30200000</v>
      </c>
      <c r="J5033" t="n">
        <v>0.063</v>
      </c>
      <c r="K5033" t="n">
        <v>1.1</v>
      </c>
      <c r="L5033" t="n">
        <v>0.14</v>
      </c>
      <c r="M5033" t="n">
        <v>0.96</v>
      </c>
      <c r="P5033" t="inlineStr">
        <is>
          <t>황채이</t>
        </is>
      </c>
      <c r="Q5033" t="inlineStr">
        <is>
          <t>홈서비스 60개월</t>
        </is>
      </c>
      <c r="AB5033" t="inlineStr">
        <is>
          <t>홈서비스</t>
        </is>
      </c>
      <c r="AC5033" t="n">
        <v>332200</v>
      </c>
      <c r="AD5033" t="n">
        <v>42280</v>
      </c>
      <c r="AE5033" t="n">
        <v>289920</v>
      </c>
      <c r="AF5033" t="n">
        <v>302000</v>
      </c>
      <c r="AG5033" t="n">
        <v>40884.76</v>
      </c>
      <c r="AH5033" t="n">
        <v>261115.24</v>
      </c>
    </row>
    <row r="5034">
      <c r="A5034" t="inlineStr">
        <is>
          <t>6월</t>
        </is>
      </c>
      <c r="B5034" t="inlineStr">
        <is>
          <t>23주차</t>
        </is>
      </c>
      <c r="C5034" t="inlineStr">
        <is>
          <t>EP</t>
        </is>
      </c>
      <c r="D5034" s="28" t="n">
        <v>46178</v>
      </c>
      <c r="E5034" t="inlineStr">
        <is>
          <t>현대EP_fast</t>
        </is>
      </c>
      <c r="F5034" t="inlineStr">
        <is>
          <t>김재윤</t>
        </is>
      </c>
      <c r="G5034" t="inlineStr">
        <is>
          <t>010-5194-3732</t>
        </is>
      </c>
      <c r="H5034" t="inlineStr">
        <is>
          <t>381부9736</t>
        </is>
      </c>
      <c r="I5034" t="n">
        <v>33600000</v>
      </c>
      <c r="J5034" t="n">
        <v>0.083</v>
      </c>
      <c r="K5034" t="n">
        <v>1.76</v>
      </c>
      <c r="L5034" t="n">
        <v>0.14</v>
      </c>
      <c r="M5034" t="n">
        <v>1.62</v>
      </c>
      <c r="P5034" t="inlineStr">
        <is>
          <t>김나윤</t>
        </is>
      </c>
      <c r="Q5034" t="inlineStr">
        <is>
          <t>홈서비스 60개월</t>
        </is>
      </c>
      <c r="AB5034" t="inlineStr">
        <is>
          <t>홈서비스</t>
        </is>
      </c>
      <c r="AC5034" t="n">
        <v>591360</v>
      </c>
      <c r="AD5034" t="n">
        <v>47040</v>
      </c>
      <c r="AE5034" t="n">
        <v>544320</v>
      </c>
      <c r="AF5034" t="n">
        <v>537600</v>
      </c>
      <c r="AG5034" t="n">
        <v>45487.68</v>
      </c>
      <c r="AH5034" t="n">
        <v>492112.32</v>
      </c>
      <c r="AI5034" t="n">
        <v>0</v>
      </c>
    </row>
    <row r="5035">
      <c r="A5035" t="inlineStr">
        <is>
          <t>6월</t>
        </is>
      </c>
      <c r="B5035" t="inlineStr">
        <is>
          <t>23주차</t>
        </is>
      </c>
      <c r="C5035" t="inlineStr">
        <is>
          <t>EP</t>
        </is>
      </c>
      <c r="D5035" s="28" t="n">
        <v>46178</v>
      </c>
      <c r="E5035" t="inlineStr">
        <is>
          <t>현대EP_fast</t>
        </is>
      </c>
      <c r="F5035" t="inlineStr">
        <is>
          <t>조은현</t>
        </is>
      </c>
      <c r="G5035" t="inlineStr">
        <is>
          <t>010-2575-0495</t>
        </is>
      </c>
      <c r="H5035" t="inlineStr">
        <is>
          <t>54오3099</t>
        </is>
      </c>
      <c r="I5035" t="n">
        <v>3000000</v>
      </c>
      <c r="J5035" t="n">
        <v>0.083</v>
      </c>
      <c r="K5035" t="n">
        <v>1.76</v>
      </c>
      <c r="L5035" t="n">
        <v>0.14</v>
      </c>
      <c r="M5035" t="n">
        <v>1.62</v>
      </c>
      <c r="P5035" t="inlineStr">
        <is>
          <t>김수연</t>
        </is>
      </c>
      <c r="Q5035" t="inlineStr">
        <is>
          <t>홈서비스 36개월/공동명의건</t>
        </is>
      </c>
      <c r="AB5035" t="inlineStr">
        <is>
          <t>홈서비스</t>
        </is>
      </c>
      <c r="AC5035" t="n">
        <v>52800</v>
      </c>
      <c r="AD5035" t="n">
        <v>4200</v>
      </c>
      <c r="AE5035" t="n">
        <v>48600</v>
      </c>
      <c r="AF5035" t="n">
        <v>48000</v>
      </c>
      <c r="AG5035" t="n">
        <v>4061.4</v>
      </c>
      <c r="AH5035" t="n">
        <v>43938.6</v>
      </c>
      <c r="AI5035" t="n">
        <v>0</v>
      </c>
    </row>
    <row r="5036">
      <c r="A5036" t="inlineStr">
        <is>
          <t>6월</t>
        </is>
      </c>
      <c r="B5036" t="inlineStr">
        <is>
          <t>23주차</t>
        </is>
      </c>
      <c r="C5036" t="inlineStr">
        <is>
          <t>WC</t>
        </is>
      </c>
      <c r="D5036" s="28" t="n">
        <v>46178</v>
      </c>
      <c r="E5036" t="inlineStr">
        <is>
          <t>웰컴저축은행</t>
        </is>
      </c>
      <c r="F5036" t="inlineStr">
        <is>
          <t>정권환</t>
        </is>
      </c>
      <c r="G5036" t="inlineStr">
        <is>
          <t>010-9130-8793</t>
        </is>
      </c>
      <c r="H5036" t="inlineStr">
        <is>
          <t>703오6410</t>
        </is>
      </c>
      <c r="I5036" t="n">
        <v>26000000</v>
      </c>
      <c r="J5036" t="n">
        <v>0.13</v>
      </c>
      <c r="K5036" t="n">
        <v>2.2</v>
      </c>
      <c r="L5036" t="n">
        <v>0.14</v>
      </c>
      <c r="M5036" t="n">
        <v>2.06</v>
      </c>
      <c r="P5036" t="inlineStr">
        <is>
          <t>김나윤</t>
        </is>
      </c>
      <c r="Q5036" t="inlineStr">
        <is>
          <t>홈서비스 60개월</t>
        </is>
      </c>
      <c r="AB5036" t="inlineStr">
        <is>
          <t>홈서비스</t>
        </is>
      </c>
      <c r="AC5036" t="n">
        <v>572000</v>
      </c>
      <c r="AD5036" t="n">
        <v>36400</v>
      </c>
      <c r="AE5036" t="n">
        <v>535600</v>
      </c>
      <c r="AF5036" t="n">
        <v>520000</v>
      </c>
      <c r="AG5036" t="n">
        <v>35198.8</v>
      </c>
      <c r="AH5036" t="n">
        <v>484801.2</v>
      </c>
    </row>
    <row r="5037">
      <c r="A5037" t="inlineStr">
        <is>
          <t>6월</t>
        </is>
      </c>
      <c r="B5037" t="inlineStr">
        <is>
          <t>23주차</t>
        </is>
      </c>
      <c r="C5037" t="inlineStr">
        <is>
          <t>IM</t>
        </is>
      </c>
      <c r="D5037" s="28" t="n">
        <v>46178</v>
      </c>
      <c r="E5037" t="inlineStr">
        <is>
          <t>IM캐피탈</t>
        </is>
      </c>
      <c r="F5037" t="inlineStr">
        <is>
          <t>염수엽</t>
        </is>
      </c>
      <c r="G5037" t="inlineStr">
        <is>
          <t>010-5176-3361</t>
        </is>
      </c>
      <c r="H5037" t="inlineStr">
        <is>
          <t xml:space="preserve">399고1433 </t>
        </is>
      </c>
      <c r="I5037" t="n">
        <v>16000000</v>
      </c>
      <c r="J5037" t="n">
        <v>0.049</v>
      </c>
      <c r="K5037" t="n">
        <v>1.1</v>
      </c>
      <c r="L5037" t="n">
        <v>0.4</v>
      </c>
      <c r="M5037" t="n">
        <v>0.7</v>
      </c>
      <c r="P5037" t="inlineStr">
        <is>
          <t>장진경</t>
        </is>
      </c>
      <c r="AB5037" t="inlineStr">
        <is>
          <t>엔카</t>
        </is>
      </c>
      <c r="AC5037" t="n">
        <v>176000</v>
      </c>
      <c r="AD5037" t="n">
        <v>64000</v>
      </c>
      <c r="AE5037" t="n">
        <v>112000</v>
      </c>
      <c r="AF5037" t="n">
        <v>160000</v>
      </c>
      <c r="AG5037" t="n">
        <v>61888</v>
      </c>
      <c r="AH5037" t="n">
        <v>98112</v>
      </c>
    </row>
    <row r="5038">
      <c r="A5038" t="inlineStr">
        <is>
          <t>6월</t>
        </is>
      </c>
      <c r="B5038" t="inlineStr">
        <is>
          <t>23주차</t>
        </is>
      </c>
      <c r="C5038" t="inlineStr">
        <is>
          <t>EP</t>
        </is>
      </c>
      <c r="D5038" s="28" t="n">
        <v>46178</v>
      </c>
      <c r="E5038" t="inlineStr">
        <is>
          <t>현대EP_fast</t>
        </is>
      </c>
      <c r="F5038" t="inlineStr">
        <is>
          <t>이선일</t>
        </is>
      </c>
      <c r="G5038" t="inlineStr">
        <is>
          <t>010-9934-2898</t>
        </is>
      </c>
      <c r="H5038" t="inlineStr">
        <is>
          <t>238고8122</t>
        </is>
      </c>
      <c r="I5038" t="n">
        <v>45500000</v>
      </c>
      <c r="J5038" t="n">
        <v>0.079</v>
      </c>
      <c r="K5038" t="n">
        <v>1.76</v>
      </c>
      <c r="L5038" t="n">
        <v>0.14</v>
      </c>
      <c r="M5038" t="n">
        <v>1.62</v>
      </c>
      <c r="P5038" t="inlineStr">
        <is>
          <t>김나윤</t>
        </is>
      </c>
      <c r="Q5038" t="inlineStr">
        <is>
          <t>홈서비스 72개월</t>
        </is>
      </c>
      <c r="AB5038" t="inlineStr">
        <is>
          <t>홈서비스</t>
        </is>
      </c>
      <c r="AC5038" t="n">
        <v>800800</v>
      </c>
      <c r="AD5038" t="n">
        <v>63700</v>
      </c>
      <c r="AE5038" t="n">
        <v>737100</v>
      </c>
      <c r="AF5038" t="n">
        <v>728000</v>
      </c>
      <c r="AG5038" t="n">
        <v>61597.9</v>
      </c>
      <c r="AH5038" t="n">
        <v>666402.1</v>
      </c>
      <c r="AI5038" t="n">
        <v>0</v>
      </c>
    </row>
    <row r="5039">
      <c r="A5039" t="inlineStr">
        <is>
          <t>6월</t>
        </is>
      </c>
      <c r="B5039" t="inlineStr">
        <is>
          <t>23주차</t>
        </is>
      </c>
      <c r="C5039" t="inlineStr">
        <is>
          <t>EP</t>
        </is>
      </c>
      <c r="D5039" s="28" t="n">
        <v>46178</v>
      </c>
      <c r="E5039" t="inlineStr">
        <is>
          <t>현대EP_fast</t>
        </is>
      </c>
      <c r="F5039" t="inlineStr">
        <is>
          <t>최영희</t>
        </is>
      </c>
      <c r="G5039" t="inlineStr">
        <is>
          <t>010-3175-0410</t>
        </is>
      </c>
      <c r="H5039" t="inlineStr">
        <is>
          <t>209더7427</t>
        </is>
      </c>
      <c r="I5039" t="n">
        <v>4500000</v>
      </c>
      <c r="J5039" t="n">
        <v>0.08400000000000001</v>
      </c>
      <c r="K5039" t="n">
        <v>1.76</v>
      </c>
      <c r="L5039" t="n">
        <v>0.14</v>
      </c>
      <c r="M5039" t="n">
        <v>1.62</v>
      </c>
      <c r="P5039" t="inlineStr">
        <is>
          <t>김나윤</t>
        </is>
      </c>
      <c r="Q5039" t="inlineStr">
        <is>
          <t>홈서비스 60개월</t>
        </is>
      </c>
      <c r="AB5039" t="inlineStr">
        <is>
          <t>홈서비스</t>
        </is>
      </c>
      <c r="AC5039" t="n">
        <v>79200</v>
      </c>
      <c r="AD5039" t="n">
        <v>6300</v>
      </c>
      <c r="AE5039" t="n">
        <v>72900</v>
      </c>
      <c r="AF5039" t="n">
        <v>72000</v>
      </c>
      <c r="AG5039" t="n">
        <v>6092.1</v>
      </c>
      <c r="AH5039" t="n">
        <v>65907.89999999999</v>
      </c>
    </row>
    <row r="5040">
      <c r="A5040" t="inlineStr">
        <is>
          <t>6월</t>
        </is>
      </c>
      <c r="B5040" t="inlineStr">
        <is>
          <t>23주차</t>
        </is>
      </c>
      <c r="C5040" t="inlineStr">
        <is>
          <t>EP</t>
        </is>
      </c>
      <c r="D5040" s="28" t="n">
        <v>46178</v>
      </c>
      <c r="E5040" t="inlineStr">
        <is>
          <t>현대EP_fast</t>
        </is>
      </c>
      <c r="F5040" t="inlineStr">
        <is>
          <t>양준혁</t>
        </is>
      </c>
      <c r="G5040" t="inlineStr">
        <is>
          <t>010-4914-5867</t>
        </is>
      </c>
      <c r="H5040" t="inlineStr">
        <is>
          <t>140어1536</t>
        </is>
      </c>
      <c r="I5040" t="n">
        <v>14000000</v>
      </c>
      <c r="J5040" t="n">
        <v>0.093</v>
      </c>
      <c r="K5040" t="n">
        <v>1.76</v>
      </c>
      <c r="L5040" t="n">
        <v>0.14</v>
      </c>
      <c r="M5040" t="n">
        <v>1.62</v>
      </c>
      <c r="P5040" t="inlineStr">
        <is>
          <t>구성완</t>
        </is>
      </c>
      <c r="Q5040" t="inlineStr">
        <is>
          <t>안심거래존건</t>
        </is>
      </c>
      <c r="AB5040" t="inlineStr">
        <is>
          <t>믿고</t>
        </is>
      </c>
      <c r="AC5040" t="n">
        <v>246400</v>
      </c>
      <c r="AD5040" t="n">
        <v>19600</v>
      </c>
      <c r="AE5040" t="n">
        <v>226800</v>
      </c>
      <c r="AF5040" t="n">
        <v>224000</v>
      </c>
      <c r="AG5040" t="n">
        <v>18953.2</v>
      </c>
      <c r="AH5040" t="n">
        <v>205046.8</v>
      </c>
      <c r="AI5040" t="n">
        <v>0</v>
      </c>
    </row>
    <row r="5041">
      <c r="A5041" t="inlineStr">
        <is>
          <t>6월</t>
        </is>
      </c>
      <c r="B5041" t="inlineStr">
        <is>
          <t>23주차</t>
        </is>
      </c>
      <c r="C5041" t="inlineStr">
        <is>
          <t>EP</t>
        </is>
      </c>
      <c r="D5041" s="28" t="n">
        <v>46178</v>
      </c>
      <c r="E5041" t="inlineStr">
        <is>
          <t>현대EP_fast</t>
        </is>
      </c>
      <c r="F5041" t="inlineStr">
        <is>
          <t>김선호</t>
        </is>
      </c>
      <c r="G5041" t="inlineStr">
        <is>
          <t>010-8120-5679</t>
        </is>
      </c>
      <c r="H5041" t="inlineStr">
        <is>
          <t>336머6477</t>
        </is>
      </c>
      <c r="I5041" t="n">
        <v>45000000</v>
      </c>
      <c r="J5041" t="n">
        <v>0.06900000000000001</v>
      </c>
      <c r="K5041" t="n">
        <v>1.76</v>
      </c>
      <c r="L5041" t="n">
        <v>0.14</v>
      </c>
      <c r="M5041" t="n">
        <v>1.62</v>
      </c>
      <c r="P5041" t="inlineStr">
        <is>
          <t>정세빈</t>
        </is>
      </c>
      <c r="Q5041" t="inlineStr">
        <is>
          <t>홈서비스 48개월</t>
        </is>
      </c>
      <c r="AB5041" t="inlineStr">
        <is>
          <t>홈서비스</t>
        </is>
      </c>
      <c r="AC5041" t="n">
        <v>792000</v>
      </c>
      <c r="AD5041" t="n">
        <v>63000</v>
      </c>
      <c r="AE5041" t="n">
        <v>729000</v>
      </c>
      <c r="AF5041" t="n">
        <v>720000</v>
      </c>
      <c r="AG5041" t="n">
        <v>60921</v>
      </c>
      <c r="AH5041" t="n">
        <v>659079</v>
      </c>
    </row>
    <row r="5042">
      <c r="A5042" t="inlineStr">
        <is>
          <t>6월</t>
        </is>
      </c>
      <c r="B5042" t="inlineStr">
        <is>
          <t>23주차</t>
        </is>
      </c>
      <c r="C5042" t="inlineStr">
        <is>
          <t>EP</t>
        </is>
      </c>
      <c r="D5042" s="28" t="n">
        <v>46178</v>
      </c>
      <c r="E5042" t="inlineStr">
        <is>
          <t>현대EP_fast</t>
        </is>
      </c>
      <c r="F5042" t="inlineStr">
        <is>
          <t>김유정</t>
        </is>
      </c>
      <c r="G5042" t="inlineStr">
        <is>
          <t>010-5155-8460</t>
        </is>
      </c>
      <c r="H5042" t="inlineStr">
        <is>
          <t>221부1919</t>
        </is>
      </c>
      <c r="I5042" t="n">
        <v>7400000</v>
      </c>
      <c r="J5042" t="n">
        <v>0.113</v>
      </c>
      <c r="K5042" t="n">
        <v>1.76</v>
      </c>
      <c r="L5042" t="n">
        <v>0.14</v>
      </c>
      <c r="M5042" t="n">
        <v>1.62</v>
      </c>
      <c r="P5042" t="inlineStr">
        <is>
          <t>김나윤</t>
        </is>
      </c>
      <c r="Q5042" t="inlineStr">
        <is>
          <t>홈서비스 36개월</t>
        </is>
      </c>
      <c r="AB5042" t="inlineStr">
        <is>
          <t>홈서비스</t>
        </is>
      </c>
      <c r="AC5042" t="n">
        <v>130240</v>
      </c>
      <c r="AD5042" t="n">
        <v>10360</v>
      </c>
      <c r="AE5042" t="n">
        <v>119880</v>
      </c>
      <c r="AF5042" t="n">
        <v>118400</v>
      </c>
      <c r="AG5042" t="n">
        <v>10018.12</v>
      </c>
      <c r="AH5042" t="n">
        <v>108381.88</v>
      </c>
      <c r="AI5042" t="n">
        <v>0</v>
      </c>
    </row>
    <row r="5043">
      <c r="A5043" t="inlineStr">
        <is>
          <t>6월</t>
        </is>
      </c>
      <c r="B5043" t="inlineStr">
        <is>
          <t>23주차</t>
        </is>
      </c>
      <c r="C5043" t="inlineStr">
        <is>
          <t>EP</t>
        </is>
      </c>
      <c r="D5043" s="28" t="n">
        <v>46178</v>
      </c>
      <c r="E5043" t="inlineStr">
        <is>
          <t>현대EP_fast</t>
        </is>
      </c>
      <c r="F5043" t="inlineStr">
        <is>
          <t>김연우</t>
        </is>
      </c>
      <c r="G5043" t="inlineStr">
        <is>
          <t>010-8745-9664</t>
        </is>
      </c>
      <c r="H5043" t="inlineStr">
        <is>
          <t>359로1801</t>
        </is>
      </c>
      <c r="I5043" t="n">
        <v>9500000</v>
      </c>
      <c r="J5043" t="n">
        <v>0.113</v>
      </c>
      <c r="K5043" t="n">
        <v>1.76</v>
      </c>
      <c r="L5043" t="n">
        <v>0.14</v>
      </c>
      <c r="M5043" t="n">
        <v>1.62</v>
      </c>
      <c r="P5043" t="inlineStr">
        <is>
          <t>장진경</t>
        </is>
      </c>
      <c r="Q5043" t="inlineStr">
        <is>
          <t>선상담 / 홈서비스 36개월</t>
        </is>
      </c>
      <c r="AB5043" t="inlineStr">
        <is>
          <t>홈서비스</t>
        </is>
      </c>
      <c r="AC5043" t="n">
        <v>167200</v>
      </c>
      <c r="AD5043" t="n">
        <v>13300</v>
      </c>
      <c r="AE5043" t="n">
        <v>153900</v>
      </c>
      <c r="AF5043" t="n">
        <v>152000</v>
      </c>
      <c r="AG5043" t="n">
        <v>12861.1</v>
      </c>
      <c r="AH5043" t="n">
        <v>139138.9</v>
      </c>
      <c r="AI5043" t="n">
        <v>0</v>
      </c>
    </row>
    <row r="5044">
      <c r="A5044" t="inlineStr">
        <is>
          <t>6월</t>
        </is>
      </c>
      <c r="B5044" t="inlineStr">
        <is>
          <t>23주차</t>
        </is>
      </c>
      <c r="C5044" t="inlineStr">
        <is>
          <t>EP</t>
        </is>
      </c>
      <c r="D5044" s="28" t="n">
        <v>46178</v>
      </c>
      <c r="E5044" t="inlineStr">
        <is>
          <t>BNKEP</t>
        </is>
      </c>
      <c r="F5044" t="inlineStr">
        <is>
          <t>김왕규</t>
        </is>
      </c>
      <c r="G5044" t="inlineStr">
        <is>
          <t>010-5667-0451</t>
        </is>
      </c>
      <c r="H5044" t="inlineStr">
        <is>
          <t>107거7897</t>
        </is>
      </c>
      <c r="I5044" t="n">
        <v>8000000</v>
      </c>
      <c r="J5044" t="n">
        <v>0.063</v>
      </c>
      <c r="K5044" t="n">
        <v>1.65</v>
      </c>
      <c r="L5044" t="n">
        <v>0.14</v>
      </c>
      <c r="M5044" t="n">
        <v>1.51</v>
      </c>
      <c r="P5044" t="inlineStr">
        <is>
          <t>정세빈</t>
        </is>
      </c>
      <c r="Q5044" t="inlineStr">
        <is>
          <t>홈서비스 36개월</t>
        </is>
      </c>
      <c r="AB5044" t="inlineStr">
        <is>
          <t>홈서비스</t>
        </is>
      </c>
      <c r="AC5044" t="n">
        <v>132000</v>
      </c>
      <c r="AD5044" t="n">
        <v>11200</v>
      </c>
      <c r="AE5044" t="n">
        <v>120800</v>
      </c>
      <c r="AF5044" t="n">
        <v>120000</v>
      </c>
      <c r="AG5044" t="n">
        <v>10830.4</v>
      </c>
      <c r="AH5044" t="n">
        <v>109169.6</v>
      </c>
      <c r="AI5044" t="n">
        <v>0</v>
      </c>
    </row>
    <row r="5045">
      <c r="A5045" t="inlineStr">
        <is>
          <t>6월</t>
        </is>
      </c>
      <c r="B5045" t="inlineStr">
        <is>
          <t>23주차</t>
        </is>
      </c>
      <c r="C5045" t="inlineStr">
        <is>
          <t>EP</t>
        </is>
      </c>
      <c r="D5045" s="28" t="n">
        <v>46178</v>
      </c>
      <c r="E5045" t="inlineStr">
        <is>
          <t>현대EP_fast</t>
        </is>
      </c>
      <c r="F5045" t="inlineStr">
        <is>
          <t>박한기</t>
        </is>
      </c>
      <c r="G5045" t="inlineStr">
        <is>
          <t>010-4972-5760</t>
        </is>
      </c>
      <c r="H5045" t="inlineStr">
        <is>
          <t>380나4543</t>
        </is>
      </c>
      <c r="I5045" t="n">
        <v>11000000</v>
      </c>
      <c r="J5045" t="n">
        <v>0.097</v>
      </c>
      <c r="K5045" t="n">
        <v>1.76</v>
      </c>
      <c r="L5045" t="n">
        <v>0.14</v>
      </c>
      <c r="M5045" t="n">
        <v>1.62</v>
      </c>
      <c r="P5045" t="inlineStr">
        <is>
          <t>정세빈</t>
        </is>
      </c>
      <c r="Q5045" t="inlineStr">
        <is>
          <t>홈서비스 48개월</t>
        </is>
      </c>
      <c r="AB5045" t="inlineStr">
        <is>
          <t>홈서비스</t>
        </is>
      </c>
      <c r="AC5045" t="n">
        <v>193600</v>
      </c>
      <c r="AD5045" t="n">
        <v>15400</v>
      </c>
      <c r="AE5045" t="n">
        <v>178200</v>
      </c>
      <c r="AF5045" t="n">
        <v>176000</v>
      </c>
      <c r="AG5045" t="n">
        <v>14891.8</v>
      </c>
      <c r="AH5045" t="n">
        <v>161108.2</v>
      </c>
      <c r="AI5045" t="n">
        <v>0</v>
      </c>
    </row>
    <row r="5046">
      <c r="A5046" t="inlineStr">
        <is>
          <t>6월</t>
        </is>
      </c>
      <c r="B5046" t="inlineStr">
        <is>
          <t>23주차</t>
        </is>
      </c>
      <c r="C5046" t="inlineStr">
        <is>
          <t>IM</t>
        </is>
      </c>
      <c r="D5046" s="28" t="n">
        <v>46178</v>
      </c>
      <c r="E5046" t="inlineStr">
        <is>
          <t>IM캐피탈</t>
        </is>
      </c>
      <c r="F5046" t="inlineStr">
        <is>
          <t>이동걸</t>
        </is>
      </c>
      <c r="G5046" t="inlineStr">
        <is>
          <t>010-4069-2414</t>
        </is>
      </c>
      <c r="H5046" t="inlineStr">
        <is>
          <t>139어4866</t>
        </is>
      </c>
      <c r="I5046" t="n">
        <v>11000000</v>
      </c>
      <c r="J5046" t="n">
        <v>0.049</v>
      </c>
      <c r="K5046" t="n">
        <v>1.1</v>
      </c>
      <c r="L5046" t="n">
        <v>0.14</v>
      </c>
      <c r="M5046" t="n">
        <v>0.96</v>
      </c>
      <c r="P5046" t="inlineStr">
        <is>
          <t>정세빈</t>
        </is>
      </c>
      <c r="Q5046" t="inlineStr">
        <is>
          <t>홈서비스 36개월</t>
        </is>
      </c>
      <c r="AB5046" t="inlineStr">
        <is>
          <t>홈서비스</t>
        </is>
      </c>
      <c r="AC5046" t="n">
        <v>121000</v>
      </c>
      <c r="AD5046" t="n">
        <v>15400</v>
      </c>
      <c r="AE5046" t="n">
        <v>105600</v>
      </c>
      <c r="AF5046" t="n">
        <v>110000</v>
      </c>
      <c r="AG5046" t="n">
        <v>14891.8</v>
      </c>
      <c r="AH5046" t="n">
        <v>95108.2</v>
      </c>
    </row>
    <row r="5047">
      <c r="A5047" t="inlineStr">
        <is>
          <t>6월</t>
        </is>
      </c>
      <c r="B5047" t="inlineStr">
        <is>
          <t>23주차</t>
        </is>
      </c>
      <c r="C5047" t="inlineStr">
        <is>
          <t>IM</t>
        </is>
      </c>
      <c r="D5047" s="28" t="n">
        <v>46178</v>
      </c>
      <c r="E5047" t="inlineStr">
        <is>
          <t>IM캐피탈</t>
        </is>
      </c>
      <c r="F5047" t="inlineStr">
        <is>
          <t>장민형</t>
        </is>
      </c>
      <c r="G5047" t="inlineStr">
        <is>
          <t>010-2435-1517</t>
        </is>
      </c>
      <c r="H5047" t="inlineStr">
        <is>
          <t>10마3396</t>
        </is>
      </c>
      <c r="I5047" t="n">
        <v>9000000</v>
      </c>
      <c r="J5047" t="n">
        <v>0.049</v>
      </c>
      <c r="K5047" t="n">
        <v>1.1</v>
      </c>
      <c r="L5047" t="n">
        <v>0.14</v>
      </c>
      <c r="M5047" t="n">
        <v>0.96</v>
      </c>
      <c r="P5047" t="inlineStr">
        <is>
          <t>정세빈</t>
        </is>
      </c>
      <c r="Q5047" t="inlineStr">
        <is>
          <t>홈서비스 24개월</t>
        </is>
      </c>
      <c r="AB5047" t="inlineStr">
        <is>
          <t>홈서비스</t>
        </is>
      </c>
      <c r="AC5047" t="n">
        <v>99000</v>
      </c>
      <c r="AD5047" t="n">
        <v>12600</v>
      </c>
      <c r="AE5047" t="n">
        <v>86400</v>
      </c>
      <c r="AF5047" t="n">
        <v>90000</v>
      </c>
      <c r="AG5047" t="n">
        <v>12184.2</v>
      </c>
      <c r="AH5047" t="n">
        <v>77815.8</v>
      </c>
      <c r="AI5047" t="n">
        <v>0</v>
      </c>
    </row>
    <row r="5048">
      <c r="A5048" t="inlineStr">
        <is>
          <t>6월</t>
        </is>
      </c>
      <c r="B5048" t="inlineStr">
        <is>
          <t>23주차</t>
        </is>
      </c>
      <c r="C5048" t="inlineStr">
        <is>
          <t>IM</t>
        </is>
      </c>
      <c r="D5048" s="28" t="n">
        <v>46178</v>
      </c>
      <c r="E5048" t="inlineStr">
        <is>
          <t>IM캐피탈</t>
        </is>
      </c>
      <c r="F5048" t="inlineStr">
        <is>
          <t>양기현</t>
        </is>
      </c>
      <c r="G5048" t="inlineStr">
        <is>
          <t>010-7330-0132</t>
        </is>
      </c>
      <c r="H5048" t="inlineStr">
        <is>
          <t>110라5432</t>
        </is>
      </c>
      <c r="I5048" t="n">
        <v>4000000</v>
      </c>
      <c r="J5048" t="n">
        <v>0.049</v>
      </c>
      <c r="K5048" t="n">
        <v>1.1</v>
      </c>
      <c r="L5048" t="n">
        <v>0.14</v>
      </c>
      <c r="M5048" t="n">
        <v>0.96</v>
      </c>
      <c r="P5048" t="inlineStr">
        <is>
          <t>정세빈</t>
        </is>
      </c>
      <c r="Q5048" t="inlineStr">
        <is>
          <t>홈서비스 48개월</t>
        </is>
      </c>
      <c r="AB5048" t="inlineStr">
        <is>
          <t>홈서비스</t>
        </is>
      </c>
      <c r="AC5048" t="n">
        <v>44000</v>
      </c>
      <c r="AD5048" t="n">
        <v>5600</v>
      </c>
      <c r="AE5048" t="n">
        <v>38400</v>
      </c>
      <c r="AF5048" t="n">
        <v>40000</v>
      </c>
      <c r="AG5048" t="n">
        <v>5415.2</v>
      </c>
      <c r="AH5048" t="n">
        <v>34584.8</v>
      </c>
      <c r="AI5048" t="n">
        <v>0</v>
      </c>
    </row>
    <row r="5049">
      <c r="A5049" t="inlineStr">
        <is>
          <t>6월</t>
        </is>
      </c>
      <c r="B5049" t="inlineStr">
        <is>
          <t>23주차</t>
        </is>
      </c>
      <c r="C5049" t="inlineStr">
        <is>
          <t>IM</t>
        </is>
      </c>
      <c r="D5049" s="28" t="n">
        <v>46178</v>
      </c>
      <c r="E5049" t="inlineStr">
        <is>
          <t>IM캐피탈</t>
        </is>
      </c>
      <c r="F5049" t="inlineStr">
        <is>
          <t>이진호</t>
        </is>
      </c>
      <c r="G5049" t="inlineStr">
        <is>
          <t>010-8866-6043</t>
        </is>
      </c>
      <c r="H5049" t="inlineStr">
        <is>
          <t>36오1050</t>
        </is>
      </c>
      <c r="I5049" t="n">
        <v>10000000</v>
      </c>
      <c r="J5049" t="n">
        <v>0.067</v>
      </c>
      <c r="K5049" t="n">
        <v>1.1</v>
      </c>
      <c r="L5049" t="n">
        <v>0.4</v>
      </c>
      <c r="M5049" t="n">
        <v>0.7</v>
      </c>
      <c r="P5049" t="inlineStr">
        <is>
          <t>구성완</t>
        </is>
      </c>
      <c r="AB5049" t="inlineStr">
        <is>
          <t>엔카</t>
        </is>
      </c>
      <c r="AC5049" t="n">
        <v>110000</v>
      </c>
      <c r="AD5049" t="n">
        <v>40000</v>
      </c>
      <c r="AE5049" t="n">
        <v>70000</v>
      </c>
      <c r="AF5049" t="n">
        <v>100000</v>
      </c>
      <c r="AG5049" t="n">
        <v>38680</v>
      </c>
      <c r="AH5049" t="n">
        <v>61320</v>
      </c>
      <c r="AI5049" t="n">
        <v>0</v>
      </c>
    </row>
    <row r="5050">
      <c r="A5050" t="inlineStr">
        <is>
          <t>6월</t>
        </is>
      </c>
      <c r="B5050" t="inlineStr">
        <is>
          <t>23주차</t>
        </is>
      </c>
      <c r="C5050" t="inlineStr">
        <is>
          <t>IM</t>
        </is>
      </c>
      <c r="D5050" s="28" t="n">
        <v>46178</v>
      </c>
      <c r="E5050" t="inlineStr">
        <is>
          <t>IM캐피탈</t>
        </is>
      </c>
      <c r="F5050" t="inlineStr">
        <is>
          <t>이승환</t>
        </is>
      </c>
      <c r="G5050" t="inlineStr">
        <is>
          <t>010-9653-5030</t>
        </is>
      </c>
      <c r="H5050" t="inlineStr">
        <is>
          <t>11고7182</t>
        </is>
      </c>
      <c r="I5050" t="n">
        <v>21500000</v>
      </c>
      <c r="J5050" t="n">
        <v>0.06900000000000001</v>
      </c>
      <c r="K5050" t="n">
        <v>1.1</v>
      </c>
      <c r="L5050" t="n">
        <v>0.4</v>
      </c>
      <c r="M5050" t="n">
        <v>0.7</v>
      </c>
      <c r="P5050" t="inlineStr">
        <is>
          <t>구성완</t>
        </is>
      </c>
      <c r="Q5050" t="inlineStr">
        <is>
          <t>공동명의 / 부대비용추가진행</t>
        </is>
      </c>
      <c r="AB5050" t="inlineStr">
        <is>
          <t>엔카</t>
        </is>
      </c>
      <c r="AC5050" t="n">
        <v>236500</v>
      </c>
      <c r="AD5050" t="n">
        <v>86000</v>
      </c>
      <c r="AE5050" t="n">
        <v>150500</v>
      </c>
      <c r="AF5050" t="n">
        <v>215000</v>
      </c>
      <c r="AG5050" t="n">
        <v>83162</v>
      </c>
      <c r="AH5050" t="n">
        <v>131838</v>
      </c>
      <c r="AI5050" t="n">
        <v>0</v>
      </c>
    </row>
    <row r="5051">
      <c r="A5051" t="inlineStr">
        <is>
          <t>6월</t>
        </is>
      </c>
      <c r="B5051" t="inlineStr">
        <is>
          <t>23주차</t>
        </is>
      </c>
      <c r="C5051" t="inlineStr">
        <is>
          <t>EP</t>
        </is>
      </c>
      <c r="D5051" s="28" t="n">
        <v>46178</v>
      </c>
      <c r="E5051" t="inlineStr">
        <is>
          <t>현대EP_fast</t>
        </is>
      </c>
      <c r="F5051" t="inlineStr">
        <is>
          <t>송석미</t>
        </is>
      </c>
      <c r="G5051" t="inlineStr">
        <is>
          <t>010-2372-6140</t>
        </is>
      </c>
      <c r="H5051" t="inlineStr">
        <is>
          <t>133두8074</t>
        </is>
      </c>
      <c r="I5051" t="n">
        <v>39300000</v>
      </c>
      <c r="J5051" t="n">
        <v>0.083</v>
      </c>
      <c r="K5051" t="n">
        <v>1.76</v>
      </c>
      <c r="L5051" t="n">
        <v>0.14</v>
      </c>
      <c r="M5051" t="n">
        <v>1.62</v>
      </c>
      <c r="P5051" t="inlineStr">
        <is>
          <t>김나윤</t>
        </is>
      </c>
      <c r="Q5051" t="inlineStr">
        <is>
          <t>홈서비스 60개월</t>
        </is>
      </c>
      <c r="AB5051" t="inlineStr">
        <is>
          <t>홈서비스</t>
        </is>
      </c>
      <c r="AC5051" t="n">
        <v>691680</v>
      </c>
      <c r="AD5051" t="n">
        <v>55020</v>
      </c>
      <c r="AE5051" t="n">
        <v>636660</v>
      </c>
      <c r="AF5051" t="n">
        <v>628800</v>
      </c>
      <c r="AG5051" t="n">
        <v>53204.34</v>
      </c>
      <c r="AH5051" t="n">
        <v>575595.66</v>
      </c>
      <c r="AI5051" t="n">
        <v>0</v>
      </c>
    </row>
    <row r="5052">
      <c r="A5052" t="inlineStr">
        <is>
          <t>6월</t>
        </is>
      </c>
      <c r="B5052" t="inlineStr">
        <is>
          <t>23주차</t>
        </is>
      </c>
      <c r="C5052" t="inlineStr">
        <is>
          <t>EP</t>
        </is>
      </c>
      <c r="D5052" s="28" t="n">
        <v>46178</v>
      </c>
      <c r="E5052" t="inlineStr">
        <is>
          <t>현대EP_fast</t>
        </is>
      </c>
      <c r="F5052" t="inlineStr">
        <is>
          <t>정의진</t>
        </is>
      </c>
      <c r="G5052" t="inlineStr">
        <is>
          <t>010-7135-1113</t>
        </is>
      </c>
      <c r="H5052" t="inlineStr">
        <is>
          <t>178다8385</t>
        </is>
      </c>
      <c r="I5052" t="n">
        <v>10000000</v>
      </c>
      <c r="J5052" t="n">
        <v>0.113</v>
      </c>
      <c r="K5052" t="n">
        <v>1.76</v>
      </c>
      <c r="L5052" t="n">
        <v>0.14</v>
      </c>
      <c r="M5052" t="n">
        <v>1.62</v>
      </c>
      <c r="P5052" t="inlineStr">
        <is>
          <t>정세빈</t>
        </is>
      </c>
      <c r="Q5052" t="inlineStr">
        <is>
          <t>홈서비스 24개월</t>
        </is>
      </c>
      <c r="AB5052" t="inlineStr">
        <is>
          <t>홈서비스</t>
        </is>
      </c>
      <c r="AC5052" t="n">
        <v>176000</v>
      </c>
      <c r="AD5052" t="n">
        <v>14000</v>
      </c>
      <c r="AE5052" t="n">
        <v>162000</v>
      </c>
      <c r="AF5052" t="n">
        <v>160000</v>
      </c>
      <c r="AG5052" t="n">
        <v>13538</v>
      </c>
      <c r="AH5052" t="n">
        <v>146462</v>
      </c>
      <c r="AI5052" t="n">
        <v>0</v>
      </c>
    </row>
    <row r="5053">
      <c r="A5053" t="inlineStr">
        <is>
          <t>6월</t>
        </is>
      </c>
      <c r="B5053" t="inlineStr">
        <is>
          <t>23주차</t>
        </is>
      </c>
      <c r="C5053" t="inlineStr">
        <is>
          <t>IM</t>
        </is>
      </c>
      <c r="D5053" s="28" t="n">
        <v>46178</v>
      </c>
      <c r="E5053" t="inlineStr">
        <is>
          <t>IM캐피탈</t>
        </is>
      </c>
      <c r="F5053" t="inlineStr">
        <is>
          <t>박영규</t>
        </is>
      </c>
      <c r="G5053" t="inlineStr">
        <is>
          <t>010-9855-5855</t>
        </is>
      </c>
      <c r="H5053" t="inlineStr">
        <is>
          <t>168도2434</t>
        </is>
      </c>
      <c r="I5053" t="n">
        <v>30000000</v>
      </c>
      <c r="J5053" t="n">
        <v>0.049</v>
      </c>
      <c r="K5053" t="n">
        <v>1.1</v>
      </c>
      <c r="L5053" t="n">
        <v>0.4</v>
      </c>
      <c r="M5053" t="n">
        <v>0.7</v>
      </c>
      <c r="P5053" t="inlineStr">
        <is>
          <t>박소현</t>
        </is>
      </c>
      <c r="AB5053" t="inlineStr">
        <is>
          <t>엔카</t>
        </is>
      </c>
      <c r="AC5053" t="n">
        <v>330000</v>
      </c>
      <c r="AD5053" t="n">
        <v>120000</v>
      </c>
      <c r="AE5053" t="n">
        <v>210000</v>
      </c>
      <c r="AF5053" t="n">
        <v>300000</v>
      </c>
      <c r="AG5053" t="n">
        <v>116040</v>
      </c>
      <c r="AH5053" t="n">
        <v>183960</v>
      </c>
      <c r="AI5053" t="n">
        <v>0</v>
      </c>
    </row>
    <row r="5054">
      <c r="A5054" t="inlineStr">
        <is>
          <t>6월</t>
        </is>
      </c>
      <c r="B5054" t="inlineStr">
        <is>
          <t>23주차</t>
        </is>
      </c>
      <c r="C5054" t="inlineStr">
        <is>
          <t>IM</t>
        </is>
      </c>
      <c r="D5054" s="28" t="n">
        <v>46178</v>
      </c>
      <c r="E5054" t="inlineStr">
        <is>
          <t>IM캐피탈</t>
        </is>
      </c>
      <c r="F5054" t="inlineStr">
        <is>
          <t>김남혁</t>
        </is>
      </c>
      <c r="G5054" t="inlineStr">
        <is>
          <t>010-3755-3417</t>
        </is>
      </c>
      <c r="H5054" t="inlineStr">
        <is>
          <t>14두5619</t>
        </is>
      </c>
      <c r="I5054" t="n">
        <v>40000000</v>
      </c>
      <c r="J5054" t="n">
        <v>0.049</v>
      </c>
      <c r="K5054" t="n">
        <v>1.1</v>
      </c>
      <c r="L5054" t="n">
        <v>0.4</v>
      </c>
      <c r="M5054" t="n">
        <v>0.7</v>
      </c>
      <c r="P5054" t="inlineStr">
        <is>
          <t>장진경</t>
        </is>
      </c>
      <c r="AB5054" t="inlineStr">
        <is>
          <t>엔카</t>
        </is>
      </c>
      <c r="AC5054" t="n">
        <v>440000</v>
      </c>
      <c r="AD5054" t="n">
        <v>160000</v>
      </c>
      <c r="AE5054" t="n">
        <v>280000</v>
      </c>
      <c r="AF5054" t="n">
        <v>400000</v>
      </c>
      <c r="AG5054" t="n">
        <v>154720</v>
      </c>
      <c r="AH5054" t="n">
        <v>245280</v>
      </c>
      <c r="AI5054" t="n">
        <v>0</v>
      </c>
    </row>
    <row r="5055">
      <c r="A5055" t="inlineStr">
        <is>
          <t>6월</t>
        </is>
      </c>
      <c r="B5055" t="inlineStr">
        <is>
          <t>23주차</t>
        </is>
      </c>
      <c r="C5055" t="inlineStr">
        <is>
          <t>EP</t>
        </is>
      </c>
      <c r="D5055" s="28" t="n">
        <v>46178</v>
      </c>
      <c r="E5055" t="inlineStr">
        <is>
          <t>BNKEP</t>
        </is>
      </c>
      <c r="F5055" t="inlineStr">
        <is>
          <t>임대균</t>
        </is>
      </c>
      <c r="G5055" t="inlineStr">
        <is>
          <t>010-7908-0737</t>
        </is>
      </c>
      <c r="H5055" t="inlineStr">
        <is>
          <t>41무4445</t>
        </is>
      </c>
      <c r="I5055" t="n">
        <v>26900000</v>
      </c>
      <c r="J5055" t="n">
        <v>0.081</v>
      </c>
      <c r="K5055" t="n">
        <v>1.65</v>
      </c>
      <c r="L5055" t="n">
        <v>0.14</v>
      </c>
      <c r="M5055" t="n">
        <v>1.51</v>
      </c>
      <c r="P5055" t="inlineStr">
        <is>
          <t>황채이</t>
        </is>
      </c>
      <c r="Q5055" t="inlineStr">
        <is>
          <t>홈서비스 60개월</t>
        </is>
      </c>
      <c r="AB5055" t="inlineStr">
        <is>
          <t>홈서비스</t>
        </is>
      </c>
      <c r="AC5055" t="n">
        <v>443850</v>
      </c>
      <c r="AD5055" t="n">
        <v>37660</v>
      </c>
      <c r="AE5055" t="n">
        <v>406190</v>
      </c>
      <c r="AF5055" t="n">
        <v>403500</v>
      </c>
      <c r="AG5055" t="n">
        <v>36417.22</v>
      </c>
      <c r="AH5055" t="n">
        <v>367082.78</v>
      </c>
      <c r="AI5055" t="n">
        <v>0</v>
      </c>
    </row>
    <row r="5056">
      <c r="A5056" t="inlineStr">
        <is>
          <t>6월</t>
        </is>
      </c>
      <c r="B5056" t="inlineStr">
        <is>
          <t>23주차</t>
        </is>
      </c>
      <c r="C5056" t="inlineStr">
        <is>
          <t>IM</t>
        </is>
      </c>
      <c r="D5056" s="28" t="n">
        <v>46179</v>
      </c>
      <c r="E5056" t="inlineStr">
        <is>
          <t>IM캐피탈</t>
        </is>
      </c>
      <c r="F5056" t="inlineStr">
        <is>
          <t>양두한</t>
        </is>
      </c>
      <c r="G5056" t="inlineStr">
        <is>
          <t>010-3585-1469</t>
        </is>
      </c>
      <c r="H5056" t="inlineStr">
        <is>
          <t>234도1429</t>
        </is>
      </c>
      <c r="I5056" t="n">
        <v>12000000</v>
      </c>
      <c r="J5056" t="n">
        <v>0.049</v>
      </c>
      <c r="K5056" t="n">
        <v>1.1</v>
      </c>
      <c r="L5056" t="n">
        <v>0.4</v>
      </c>
      <c r="M5056" t="n">
        <v>0.7</v>
      </c>
      <c r="P5056" t="inlineStr">
        <is>
          <t>구성완</t>
        </is>
      </c>
      <c r="AB5056" t="inlineStr">
        <is>
          <t>엔카</t>
        </is>
      </c>
      <c r="AC5056" t="n">
        <v>132000</v>
      </c>
      <c r="AD5056" t="n">
        <v>48000</v>
      </c>
      <c r="AE5056" t="n">
        <v>84000</v>
      </c>
      <c r="AF5056" t="n">
        <v>120000</v>
      </c>
      <c r="AG5056" t="n">
        <v>46416</v>
      </c>
      <c r="AH5056" t="n">
        <v>73584</v>
      </c>
      <c r="AI5056" t="n">
        <v>0</v>
      </c>
    </row>
    <row r="5057">
      <c r="A5057" t="inlineStr">
        <is>
          <t>6월</t>
        </is>
      </c>
      <c r="B5057" t="inlineStr">
        <is>
          <t>23주차</t>
        </is>
      </c>
      <c r="C5057" t="inlineStr">
        <is>
          <t>EP</t>
        </is>
      </c>
      <c r="D5057" s="28" t="n">
        <v>46179</v>
      </c>
      <c r="E5057" t="inlineStr">
        <is>
          <t>현대EP_fast</t>
        </is>
      </c>
      <c r="F5057" t="inlineStr">
        <is>
          <t>김도이</t>
        </is>
      </c>
      <c r="G5057" t="inlineStr">
        <is>
          <t>010-4716-3474</t>
        </is>
      </c>
      <c r="H5057" t="inlineStr">
        <is>
          <t>224도3103</t>
        </is>
      </c>
      <c r="I5057" t="n">
        <v>23900000</v>
      </c>
      <c r="J5057" t="n">
        <v>0.08400000000000001</v>
      </c>
      <c r="K5057" t="n">
        <v>1.76</v>
      </c>
      <c r="L5057" t="n">
        <v>0.14</v>
      </c>
      <c r="M5057" t="n">
        <v>1.62</v>
      </c>
      <c r="P5057" t="inlineStr">
        <is>
          <t>정세빈</t>
        </is>
      </c>
      <c r="Q5057" t="inlineStr">
        <is>
          <t>홈서비스 36개월</t>
        </is>
      </c>
      <c r="AB5057" t="inlineStr">
        <is>
          <t>홈서비스</t>
        </is>
      </c>
      <c r="AC5057" t="n">
        <v>420640</v>
      </c>
      <c r="AD5057" t="n">
        <v>33460</v>
      </c>
      <c r="AE5057" t="n">
        <v>387180</v>
      </c>
      <c r="AF5057" t="n">
        <v>382400</v>
      </c>
      <c r="AG5057" t="n">
        <v>32355.82</v>
      </c>
      <c r="AH5057" t="n">
        <v>350044.18</v>
      </c>
      <c r="AI5057" t="n">
        <v>0</v>
      </c>
    </row>
    <row r="5058">
      <c r="A5058" t="inlineStr">
        <is>
          <t>6월</t>
        </is>
      </c>
      <c r="B5058" t="inlineStr">
        <is>
          <t>23주차</t>
        </is>
      </c>
      <c r="C5058" t="inlineStr">
        <is>
          <t>EP</t>
        </is>
      </c>
      <c r="D5058" s="28" t="n">
        <v>46178</v>
      </c>
      <c r="E5058" t="inlineStr">
        <is>
          <t>현대EP</t>
        </is>
      </c>
      <c r="F5058" t="inlineStr">
        <is>
          <t>김경주</t>
        </is>
      </c>
      <c r="G5058" t="inlineStr">
        <is>
          <t>010-3604-5880</t>
        </is>
      </c>
      <c r="H5058" t="inlineStr">
        <is>
          <t>191너5422</t>
        </is>
      </c>
      <c r="I5058" t="n">
        <v>32900000</v>
      </c>
      <c r="J5058" t="n">
        <v>0.06900000000000001</v>
      </c>
      <c r="K5058" t="n">
        <v>1.76</v>
      </c>
      <c r="L5058" t="n">
        <v>0.14</v>
      </c>
      <c r="M5058" t="n">
        <v>1.62</v>
      </c>
      <c r="P5058" t="inlineStr">
        <is>
          <t>황채이</t>
        </is>
      </c>
      <c r="AB5058" t="inlineStr">
        <is>
          <t>홈서비스</t>
        </is>
      </c>
      <c r="AC5058" t="n">
        <v>579040</v>
      </c>
      <c r="AD5058" t="n">
        <v>46060</v>
      </c>
      <c r="AE5058" t="n">
        <v>532980</v>
      </c>
      <c r="AF5058" t="n">
        <v>526400</v>
      </c>
      <c r="AG5058" t="n">
        <v>44540.02</v>
      </c>
      <c r="AH5058" t="n">
        <v>481859.98</v>
      </c>
      <c r="AI5058" t="n">
        <v>0</v>
      </c>
    </row>
    <row r="5059">
      <c r="A5059" t="inlineStr">
        <is>
          <t>6월</t>
        </is>
      </c>
      <c r="B5059" t="inlineStr">
        <is>
          <t>23주차</t>
        </is>
      </c>
      <c r="C5059" t="inlineStr">
        <is>
          <t>EP</t>
        </is>
      </c>
      <c r="D5059" s="28" t="n">
        <v>46178</v>
      </c>
      <c r="E5059" t="inlineStr">
        <is>
          <t>현대EP</t>
        </is>
      </c>
      <c r="F5059" t="inlineStr">
        <is>
          <t>김동욱</t>
        </is>
      </c>
      <c r="G5059" t="inlineStr">
        <is>
          <t>010-3519-0353</t>
        </is>
      </c>
      <c r="H5059" t="inlineStr">
        <is>
          <t>278고3892</t>
        </is>
      </c>
      <c r="I5059" t="n">
        <v>32000000</v>
      </c>
      <c r="J5059" t="n">
        <v>0.06900000000000001</v>
      </c>
      <c r="K5059" t="n">
        <v>1.76</v>
      </c>
      <c r="L5059" t="n">
        <v>0.14</v>
      </c>
      <c r="M5059" t="n">
        <v>1.62</v>
      </c>
      <c r="P5059" t="inlineStr">
        <is>
          <t>정세빈</t>
        </is>
      </c>
      <c r="AB5059" t="inlineStr">
        <is>
          <t>홈서비스</t>
        </is>
      </c>
      <c r="AC5059" t="n">
        <v>563200</v>
      </c>
      <c r="AD5059" t="n">
        <v>44800</v>
      </c>
      <c r="AE5059" t="n">
        <v>518400</v>
      </c>
      <c r="AF5059" t="n">
        <v>512000</v>
      </c>
      <c r="AG5059" t="n">
        <v>43321.6</v>
      </c>
      <c r="AH5059" t="n">
        <v>468678.4</v>
      </c>
      <c r="AI5059" t="n">
        <v>0</v>
      </c>
    </row>
    <row r="5060">
      <c r="A5060" t="inlineStr">
        <is>
          <t>6월</t>
        </is>
      </c>
      <c r="B5060" t="inlineStr">
        <is>
          <t>23주차</t>
        </is>
      </c>
      <c r="C5060" t="inlineStr">
        <is>
          <t>EP</t>
        </is>
      </c>
      <c r="D5060" s="28" t="n">
        <v>46178</v>
      </c>
      <c r="E5060" t="inlineStr">
        <is>
          <t>현대EP</t>
        </is>
      </c>
      <c r="F5060" t="inlineStr">
        <is>
          <t>김지혜</t>
        </is>
      </c>
      <c r="G5060" t="inlineStr">
        <is>
          <t>010-5923-2637</t>
        </is>
      </c>
      <c r="H5060" t="inlineStr">
        <is>
          <t>226너9293</t>
        </is>
      </c>
      <c r="I5060" t="n">
        <v>43500000</v>
      </c>
      <c r="J5060" t="n">
        <v>0.089</v>
      </c>
      <c r="K5060" t="n">
        <v>1.76</v>
      </c>
      <c r="L5060" t="n">
        <v>0.14</v>
      </c>
      <c r="M5060" t="n">
        <v>1.62</v>
      </c>
      <c r="P5060" t="inlineStr">
        <is>
          <t>정세빈</t>
        </is>
      </c>
      <c r="AB5060" t="inlineStr">
        <is>
          <t>홈서비스</t>
        </is>
      </c>
      <c r="AC5060" t="n">
        <v>765600</v>
      </c>
      <c r="AD5060" t="n">
        <v>60900</v>
      </c>
      <c r="AE5060" t="n">
        <v>704700</v>
      </c>
      <c r="AF5060" t="n">
        <v>696000</v>
      </c>
      <c r="AG5060" t="n">
        <v>58890.3</v>
      </c>
      <c r="AH5060" t="n">
        <v>637109.7</v>
      </c>
      <c r="AI5060" t="n">
        <v>0</v>
      </c>
    </row>
    <row r="5061">
      <c r="A5061" t="inlineStr">
        <is>
          <t>6월</t>
        </is>
      </c>
      <c r="B5061" t="inlineStr">
        <is>
          <t>23주차</t>
        </is>
      </c>
      <c r="C5061" t="inlineStr">
        <is>
          <t>EP</t>
        </is>
      </c>
      <c r="D5061" s="28" t="n">
        <v>46178</v>
      </c>
      <c r="E5061" t="inlineStr">
        <is>
          <t>현대EP</t>
        </is>
      </c>
      <c r="F5061" t="inlineStr">
        <is>
          <t>안선주</t>
        </is>
      </c>
      <c r="G5061" t="inlineStr">
        <is>
          <t>010-9297-9152</t>
        </is>
      </c>
      <c r="H5061" t="inlineStr">
        <is>
          <t>281더3909</t>
        </is>
      </c>
      <c r="I5061" t="n">
        <v>11000000</v>
      </c>
      <c r="J5061" t="n">
        <v>0.06900000000000001</v>
      </c>
      <c r="K5061" t="n">
        <v>1.76</v>
      </c>
      <c r="L5061" t="n">
        <v>0.14</v>
      </c>
      <c r="M5061" t="n">
        <v>1.62</v>
      </c>
      <c r="P5061" t="inlineStr">
        <is>
          <t>정세빈</t>
        </is>
      </c>
      <c r="AB5061" t="inlineStr">
        <is>
          <t>홈서비스</t>
        </is>
      </c>
      <c r="AC5061" t="n">
        <v>193600</v>
      </c>
      <c r="AD5061" t="n">
        <v>15400</v>
      </c>
      <c r="AE5061" t="n">
        <v>178200</v>
      </c>
      <c r="AF5061" t="n">
        <v>176000</v>
      </c>
      <c r="AG5061" t="n">
        <v>14891.8</v>
      </c>
      <c r="AH5061" t="n">
        <v>161108.2</v>
      </c>
      <c r="AI5061" t="n">
        <v>0</v>
      </c>
    </row>
    <row r="5062">
      <c r="A5062" t="inlineStr">
        <is>
          <t>6월</t>
        </is>
      </c>
      <c r="B5062" t="inlineStr">
        <is>
          <t>23주차</t>
        </is>
      </c>
      <c r="C5062" t="inlineStr">
        <is>
          <t>EP</t>
        </is>
      </c>
      <c r="D5062" s="28" t="n">
        <v>46178</v>
      </c>
      <c r="E5062" t="inlineStr">
        <is>
          <t>현대EP</t>
        </is>
      </c>
      <c r="F5062" t="inlineStr">
        <is>
          <t>최상아</t>
        </is>
      </c>
      <c r="G5062" t="inlineStr">
        <is>
          <t>010-5656-1291</t>
        </is>
      </c>
      <c r="H5062" t="inlineStr">
        <is>
          <t>804버2886</t>
        </is>
      </c>
      <c r="I5062" t="n">
        <v>26500000</v>
      </c>
      <c r="J5062" t="n">
        <v>0.077</v>
      </c>
      <c r="K5062" t="n">
        <v>1.76</v>
      </c>
      <c r="L5062" t="n">
        <v>0.14</v>
      </c>
      <c r="M5062" t="n">
        <v>1.62</v>
      </c>
      <c r="P5062" t="inlineStr">
        <is>
          <t>정세빈</t>
        </is>
      </c>
      <c r="AB5062" t="inlineStr">
        <is>
          <t>홈서비스</t>
        </is>
      </c>
      <c r="AC5062" t="n">
        <v>466400</v>
      </c>
      <c r="AD5062" t="n">
        <v>37100</v>
      </c>
      <c r="AE5062" t="n">
        <v>429300</v>
      </c>
      <c r="AF5062" t="n">
        <v>424000</v>
      </c>
      <c r="AG5062" t="n">
        <v>35875.7</v>
      </c>
      <c r="AH5062" t="n">
        <v>388124.3</v>
      </c>
      <c r="AI5062" t="n">
        <v>0</v>
      </c>
    </row>
    <row r="5063">
      <c r="A5063" t="inlineStr">
        <is>
          <t>6월</t>
        </is>
      </c>
      <c r="B5063" t="inlineStr">
        <is>
          <t>23주차</t>
        </is>
      </c>
      <c r="C5063" t="inlineStr">
        <is>
          <t>EP</t>
        </is>
      </c>
      <c r="D5063" s="28" t="n">
        <v>46178</v>
      </c>
      <c r="E5063" t="inlineStr">
        <is>
          <t>현대EP</t>
        </is>
      </c>
      <c r="F5063" t="inlineStr">
        <is>
          <t>최진아</t>
        </is>
      </c>
      <c r="G5063" t="inlineStr">
        <is>
          <t>010-9121-9448</t>
        </is>
      </c>
      <c r="H5063" t="inlineStr">
        <is>
          <t>225어2431</t>
        </is>
      </c>
      <c r="I5063" t="n">
        <v>19900000</v>
      </c>
      <c r="J5063" t="n">
        <v>0.083</v>
      </c>
      <c r="K5063" t="n">
        <v>1.76</v>
      </c>
      <c r="L5063" t="n">
        <v>0.14</v>
      </c>
      <c r="M5063" t="n">
        <v>1.62</v>
      </c>
      <c r="P5063" t="inlineStr">
        <is>
          <t>김나윤</t>
        </is>
      </c>
      <c r="AB5063" t="inlineStr">
        <is>
          <t>홈서비스</t>
        </is>
      </c>
      <c r="AC5063" t="n">
        <v>350240</v>
      </c>
      <c r="AD5063" t="n">
        <v>27860</v>
      </c>
      <c r="AE5063" t="n">
        <v>322380</v>
      </c>
      <c r="AF5063" t="n">
        <v>318400</v>
      </c>
      <c r="AG5063" t="n">
        <v>26940.62</v>
      </c>
      <c r="AH5063" t="n">
        <v>291459.38</v>
      </c>
      <c r="AI5063" t="n">
        <v>0</v>
      </c>
    </row>
    <row r="5064">
      <c r="A5064" t="inlineStr">
        <is>
          <t>6월</t>
        </is>
      </c>
      <c r="B5064" t="inlineStr">
        <is>
          <t>23주차</t>
        </is>
      </c>
      <c r="C5064" t="inlineStr">
        <is>
          <t>EP</t>
        </is>
      </c>
      <c r="D5064" s="28" t="n">
        <v>46179</v>
      </c>
      <c r="E5064" t="inlineStr">
        <is>
          <t>현대EP</t>
        </is>
      </c>
      <c r="F5064" t="inlineStr">
        <is>
          <t>김성빈</t>
        </is>
      </c>
      <c r="G5064" t="inlineStr">
        <is>
          <t>010-7457-4903</t>
        </is>
      </c>
      <c r="H5064" t="inlineStr">
        <is>
          <t>238어4553</t>
        </is>
      </c>
      <c r="I5064" t="n">
        <v>18100000</v>
      </c>
      <c r="J5064" t="n">
        <v>0.113</v>
      </c>
      <c r="K5064" t="n">
        <v>1.76</v>
      </c>
      <c r="L5064" t="n">
        <v>0.14</v>
      </c>
      <c r="M5064" t="n">
        <v>1.62</v>
      </c>
      <c r="P5064" t="inlineStr">
        <is>
          <t>정세빈</t>
        </is>
      </c>
      <c r="AB5064" t="inlineStr">
        <is>
          <t>홈서비스</t>
        </is>
      </c>
      <c r="AC5064" t="n">
        <v>318560</v>
      </c>
      <c r="AD5064" t="n">
        <v>25340</v>
      </c>
      <c r="AE5064" t="n">
        <v>293220</v>
      </c>
      <c r="AF5064" t="n">
        <v>289600</v>
      </c>
      <c r="AG5064" t="n">
        <v>24503.78</v>
      </c>
      <c r="AH5064" t="n">
        <v>265096.22</v>
      </c>
      <c r="AI5064" t="n">
        <v>0</v>
      </c>
    </row>
    <row r="5065">
      <c r="A5065" t="inlineStr">
        <is>
          <t>6월</t>
        </is>
      </c>
      <c r="B5065" t="inlineStr">
        <is>
          <t>23주차</t>
        </is>
      </c>
      <c r="C5065" t="inlineStr">
        <is>
          <t>EP</t>
        </is>
      </c>
      <c r="D5065" s="28" t="n">
        <v>46179</v>
      </c>
      <c r="E5065" t="inlineStr">
        <is>
          <t>현대EP</t>
        </is>
      </c>
      <c r="F5065" t="inlineStr">
        <is>
          <t>장근호</t>
        </is>
      </c>
      <c r="G5065" t="inlineStr">
        <is>
          <t>010-3564-1403</t>
        </is>
      </c>
      <c r="H5065" t="inlineStr">
        <is>
          <t>163부6079</t>
        </is>
      </c>
      <c r="I5065" t="n">
        <v>22800000</v>
      </c>
      <c r="J5065" t="n">
        <v>0.077</v>
      </c>
      <c r="K5065" t="n">
        <v>1.76</v>
      </c>
      <c r="L5065" t="n">
        <v>0.14</v>
      </c>
      <c r="M5065" t="n">
        <v>1.62</v>
      </c>
      <c r="P5065" t="inlineStr">
        <is>
          <t>김나윤</t>
        </is>
      </c>
      <c r="AB5065" t="inlineStr">
        <is>
          <t>홈서비스</t>
        </is>
      </c>
      <c r="AC5065" t="n">
        <v>401280</v>
      </c>
      <c r="AD5065" t="n">
        <v>31920</v>
      </c>
      <c r="AE5065" t="n">
        <v>369360</v>
      </c>
      <c r="AF5065" t="n">
        <v>364800</v>
      </c>
      <c r="AG5065" t="n">
        <v>30866.64</v>
      </c>
      <c r="AH5065" t="n">
        <v>333933.36</v>
      </c>
      <c r="AI5065" t="n">
        <v>0</v>
      </c>
    </row>
    <row r="5066">
      <c r="A5066" t="inlineStr">
        <is>
          <t>6월</t>
        </is>
      </c>
      <c r="B5066" t="inlineStr">
        <is>
          <t>23주차</t>
        </is>
      </c>
      <c r="C5066" t="inlineStr">
        <is>
          <t>EP</t>
        </is>
      </c>
      <c r="D5066" s="28" t="n">
        <v>46179</v>
      </c>
      <c r="E5066" t="inlineStr">
        <is>
          <t>현대EP</t>
        </is>
      </c>
      <c r="F5066" t="inlineStr">
        <is>
          <t>정의찬</t>
        </is>
      </c>
      <c r="G5066" t="inlineStr">
        <is>
          <t>010-4943-0464</t>
        </is>
      </c>
      <c r="H5066" t="inlineStr">
        <is>
          <t>337로6761</t>
        </is>
      </c>
      <c r="I5066" t="n">
        <v>19900000</v>
      </c>
      <c r="J5066" t="n">
        <v>0.074</v>
      </c>
      <c r="K5066" t="n">
        <v>1.76</v>
      </c>
      <c r="L5066" t="n">
        <v>0.14</v>
      </c>
      <c r="M5066" t="n">
        <v>1.62</v>
      </c>
      <c r="P5066" t="inlineStr">
        <is>
          <t>정세빈</t>
        </is>
      </c>
      <c r="AB5066" t="inlineStr">
        <is>
          <t>홈서비스</t>
        </is>
      </c>
      <c r="AC5066" t="n">
        <v>350240</v>
      </c>
      <c r="AD5066" t="n">
        <v>27860</v>
      </c>
      <c r="AE5066" t="n">
        <v>322380</v>
      </c>
      <c r="AF5066" t="n">
        <v>318400</v>
      </c>
      <c r="AG5066" t="n">
        <v>26940.62</v>
      </c>
      <c r="AH5066" t="n">
        <v>291459.38</v>
      </c>
      <c r="AI5066" t="n">
        <v>0</v>
      </c>
    </row>
    <row r="5067">
      <c r="A5067" t="inlineStr">
        <is>
          <t>6월</t>
        </is>
      </c>
      <c r="B5067" t="inlineStr">
        <is>
          <t>23주차</t>
        </is>
      </c>
      <c r="C5067" t="inlineStr">
        <is>
          <t>EP</t>
        </is>
      </c>
      <c r="D5067" s="28" t="n">
        <v>46180</v>
      </c>
      <c r="E5067" t="inlineStr">
        <is>
          <t>현대EP</t>
        </is>
      </c>
      <c r="F5067" t="inlineStr">
        <is>
          <t>강성희</t>
        </is>
      </c>
      <c r="G5067" t="inlineStr">
        <is>
          <t>010-2944-7082</t>
        </is>
      </c>
      <c r="H5067" t="inlineStr">
        <is>
          <t>176머3383</t>
        </is>
      </c>
      <c r="I5067" t="n">
        <v>37500000</v>
      </c>
      <c r="J5067" t="n">
        <v>0</v>
      </c>
      <c r="K5067" t="n">
        <v>1.76</v>
      </c>
      <c r="L5067" t="n">
        <v>0.14</v>
      </c>
      <c r="M5067" t="n">
        <v>1.62</v>
      </c>
      <c r="P5067" t="inlineStr">
        <is>
          <t>김수연</t>
        </is>
      </c>
      <c r="Q5067" t="inlineStr">
        <is>
          <t>무이자할부</t>
        </is>
      </c>
      <c r="AB5067" t="inlineStr">
        <is>
          <t>홈서비스</t>
        </is>
      </c>
      <c r="AC5067" t="n">
        <v>660000</v>
      </c>
      <c r="AD5067" t="n">
        <v>52500</v>
      </c>
      <c r="AE5067" t="n">
        <v>607500</v>
      </c>
      <c r="AF5067" t="n">
        <v>600000</v>
      </c>
      <c r="AG5067" t="n">
        <v>50767.5</v>
      </c>
      <c r="AH5067" t="n">
        <v>549232.5</v>
      </c>
      <c r="AI5067" t="n">
        <v>0</v>
      </c>
    </row>
    <row r="5068">
      <c r="A5068" t="inlineStr">
        <is>
          <t>6월</t>
        </is>
      </c>
      <c r="B5068" t="inlineStr">
        <is>
          <t>23주차</t>
        </is>
      </c>
      <c r="C5068" t="inlineStr">
        <is>
          <t>EP</t>
        </is>
      </c>
      <c r="D5068" s="28" t="n">
        <v>46180</v>
      </c>
      <c r="E5068" t="inlineStr">
        <is>
          <t>현대EP</t>
        </is>
      </c>
      <c r="F5068" t="inlineStr">
        <is>
          <t>김재민</t>
        </is>
      </c>
      <c r="G5068" t="inlineStr">
        <is>
          <t>010-3808-9506</t>
        </is>
      </c>
      <c r="H5068" t="inlineStr">
        <is>
          <t>279가3283</t>
        </is>
      </c>
      <c r="I5068" t="n">
        <v>37900000</v>
      </c>
      <c r="J5068" t="n">
        <v>0.06900000000000001</v>
      </c>
      <c r="K5068" t="n">
        <v>1.76</v>
      </c>
      <c r="L5068" t="n">
        <v>0.14</v>
      </c>
      <c r="M5068" t="n">
        <v>1.62</v>
      </c>
      <c r="P5068" t="inlineStr">
        <is>
          <t>김나윤</t>
        </is>
      </c>
      <c r="AB5068" t="inlineStr">
        <is>
          <t>홈서비스</t>
        </is>
      </c>
      <c r="AC5068" t="n">
        <v>667040</v>
      </c>
      <c r="AD5068" t="n">
        <v>53060</v>
      </c>
      <c r="AE5068" t="n">
        <v>613980</v>
      </c>
      <c r="AF5068" t="n">
        <v>606400</v>
      </c>
      <c r="AG5068" t="n">
        <v>51309.02</v>
      </c>
      <c r="AH5068" t="n">
        <v>555090.98</v>
      </c>
    </row>
    <row r="5069">
      <c r="A5069" t="inlineStr">
        <is>
          <t>6월</t>
        </is>
      </c>
      <c r="B5069" t="inlineStr">
        <is>
          <t>23주차</t>
        </is>
      </c>
      <c r="C5069" t="inlineStr">
        <is>
          <t>EP</t>
        </is>
      </c>
      <c r="D5069" s="28" t="n">
        <v>46180</v>
      </c>
      <c r="E5069" t="inlineStr">
        <is>
          <t>현대EP</t>
        </is>
      </c>
      <c r="F5069" t="inlineStr">
        <is>
          <t>박주현</t>
        </is>
      </c>
      <c r="G5069" t="inlineStr">
        <is>
          <t>010-9298-1031</t>
        </is>
      </c>
      <c r="H5069" t="inlineStr">
        <is>
          <t>35오2250</t>
        </is>
      </c>
      <c r="I5069" t="n">
        <v>3000000</v>
      </c>
      <c r="J5069" t="n">
        <v>0.083</v>
      </c>
      <c r="K5069" t="n">
        <v>1.76</v>
      </c>
      <c r="L5069" t="n">
        <v>0.14</v>
      </c>
      <c r="M5069" t="n">
        <v>1.62</v>
      </c>
      <c r="P5069" t="inlineStr">
        <is>
          <t>정세빈</t>
        </is>
      </c>
      <c r="AB5069" t="inlineStr">
        <is>
          <t>홈서비스</t>
        </is>
      </c>
      <c r="AC5069" t="n">
        <v>52800</v>
      </c>
      <c r="AD5069" t="n">
        <v>4200</v>
      </c>
      <c r="AE5069" t="n">
        <v>48600</v>
      </c>
      <c r="AF5069" t="n">
        <v>48000</v>
      </c>
      <c r="AG5069" t="n">
        <v>4061.4</v>
      </c>
      <c r="AH5069" t="n">
        <v>43938.6</v>
      </c>
    </row>
    <row r="5070">
      <c r="A5070" t="inlineStr">
        <is>
          <t>6월</t>
        </is>
      </c>
      <c r="B5070" t="inlineStr">
        <is>
          <t>23주차</t>
        </is>
      </c>
      <c r="C5070" t="inlineStr">
        <is>
          <t>EP</t>
        </is>
      </c>
      <c r="D5070" s="28" t="n">
        <v>46180</v>
      </c>
      <c r="E5070" t="inlineStr">
        <is>
          <t>현대EP</t>
        </is>
      </c>
      <c r="F5070" t="inlineStr">
        <is>
          <t>서하나</t>
        </is>
      </c>
      <c r="G5070" t="inlineStr">
        <is>
          <t>010-9789-6248</t>
        </is>
      </c>
      <c r="H5070" t="inlineStr">
        <is>
          <t>234서9881</t>
        </is>
      </c>
      <c r="I5070" t="n">
        <v>27600000</v>
      </c>
      <c r="J5070" t="n">
        <v>0.113</v>
      </c>
      <c r="K5070" t="n">
        <v>1.76</v>
      </c>
      <c r="L5070" t="n">
        <v>0.14</v>
      </c>
      <c r="M5070" t="n">
        <v>1.62</v>
      </c>
      <c r="P5070" t="inlineStr">
        <is>
          <t>최혁</t>
        </is>
      </c>
      <c r="AB5070" t="inlineStr">
        <is>
          <t>홈서비스</t>
        </is>
      </c>
      <c r="AC5070" t="n">
        <v>485760</v>
      </c>
      <c r="AD5070" t="n">
        <v>38640</v>
      </c>
      <c r="AE5070" t="n">
        <v>447120</v>
      </c>
      <c r="AF5070" t="n">
        <v>441600</v>
      </c>
      <c r="AG5070" t="n">
        <v>37364.88</v>
      </c>
      <c r="AH5070" t="n">
        <v>404235.12</v>
      </c>
    </row>
    <row r="5071">
      <c r="A5071" t="inlineStr">
        <is>
          <t>6월</t>
        </is>
      </c>
      <c r="B5071" t="inlineStr">
        <is>
          <t>23주차</t>
        </is>
      </c>
      <c r="C5071" t="inlineStr">
        <is>
          <t>EP</t>
        </is>
      </c>
      <c r="D5071" s="28" t="n">
        <v>46180</v>
      </c>
      <c r="E5071" t="inlineStr">
        <is>
          <t>현대EP</t>
        </is>
      </c>
      <c r="F5071" t="inlineStr">
        <is>
          <t>유희재</t>
        </is>
      </c>
      <c r="G5071" t="inlineStr">
        <is>
          <t>010-3875-4657</t>
        </is>
      </c>
      <c r="H5071" t="inlineStr">
        <is>
          <t>117우3010</t>
        </is>
      </c>
      <c r="I5071" t="n">
        <v>9900000</v>
      </c>
      <c r="J5071" t="n">
        <v>0.097</v>
      </c>
      <c r="K5071" t="n">
        <v>1.76</v>
      </c>
      <c r="L5071" t="n">
        <v>0.14</v>
      </c>
      <c r="M5071" t="n">
        <v>1.62</v>
      </c>
      <c r="P5071" t="inlineStr">
        <is>
          <t>황채이</t>
        </is>
      </c>
      <c r="AB5071" t="inlineStr">
        <is>
          <t>홈서비스</t>
        </is>
      </c>
      <c r="AC5071" t="n">
        <v>174240</v>
      </c>
      <c r="AD5071" t="n">
        <v>13860</v>
      </c>
      <c r="AE5071" t="n">
        <v>160380</v>
      </c>
      <c r="AF5071" t="n">
        <v>158400</v>
      </c>
      <c r="AG5071" t="n">
        <v>13402.62</v>
      </c>
      <c r="AH5071" t="n">
        <v>144997.38</v>
      </c>
    </row>
    <row r="5072">
      <c r="A5072" t="inlineStr">
        <is>
          <t>6월</t>
        </is>
      </c>
      <c r="B5072" t="inlineStr">
        <is>
          <t>23주차</t>
        </is>
      </c>
      <c r="C5072" t="inlineStr">
        <is>
          <t>EP</t>
        </is>
      </c>
      <c r="D5072" s="28" t="n">
        <v>46180</v>
      </c>
      <c r="E5072" t="inlineStr">
        <is>
          <t>현대EP</t>
        </is>
      </c>
      <c r="F5072" t="inlineStr">
        <is>
          <t>윤정희</t>
        </is>
      </c>
      <c r="G5072" t="inlineStr">
        <is>
          <t>010-5465-4822</t>
        </is>
      </c>
      <c r="H5072" t="inlineStr">
        <is>
          <t>19주0837</t>
        </is>
      </c>
      <c r="I5072" t="n">
        <v>6500000</v>
      </c>
      <c r="J5072" t="n">
        <v>0.06900000000000001</v>
      </c>
      <c r="K5072" t="n">
        <v>1.76</v>
      </c>
      <c r="L5072" t="n">
        <v>0.14</v>
      </c>
      <c r="M5072" t="n">
        <v>1.62</v>
      </c>
      <c r="P5072" t="inlineStr">
        <is>
          <t>김수연</t>
        </is>
      </c>
      <c r="AB5072" t="inlineStr">
        <is>
          <t>홈서비스</t>
        </is>
      </c>
      <c r="AC5072" t="n">
        <v>114400</v>
      </c>
      <c r="AD5072" t="n">
        <v>9100</v>
      </c>
      <c r="AE5072" t="n">
        <v>105300</v>
      </c>
      <c r="AF5072" t="n">
        <v>104000</v>
      </c>
      <c r="AG5072" t="n">
        <v>8799.700000000001</v>
      </c>
      <c r="AH5072" t="n">
        <v>95200.3</v>
      </c>
      <c r="AI5072" t="n">
        <v>0</v>
      </c>
    </row>
    <row r="5073">
      <c r="A5073" t="inlineStr">
        <is>
          <t>6월</t>
        </is>
      </c>
      <c r="B5073" t="inlineStr">
        <is>
          <t>23주차</t>
        </is>
      </c>
      <c r="C5073" t="inlineStr">
        <is>
          <t>EP</t>
        </is>
      </c>
      <c r="D5073" s="28" t="n">
        <v>46180</v>
      </c>
      <c r="E5073" t="inlineStr">
        <is>
          <t>현대EP</t>
        </is>
      </c>
      <c r="F5073" t="inlineStr">
        <is>
          <t>이치승</t>
        </is>
      </c>
      <c r="G5073" t="inlineStr">
        <is>
          <t>010-9126-8682</t>
        </is>
      </c>
      <c r="H5073" t="inlineStr">
        <is>
          <t>317더4840</t>
        </is>
      </c>
      <c r="I5073" t="n">
        <v>20000000</v>
      </c>
      <c r="J5073" t="n">
        <v>0.083</v>
      </c>
      <c r="K5073" t="n">
        <v>1.76</v>
      </c>
      <c r="L5073" t="n">
        <v>0.14</v>
      </c>
      <c r="M5073" t="n">
        <v>1.62</v>
      </c>
      <c r="P5073" t="inlineStr">
        <is>
          <t>정세빈</t>
        </is>
      </c>
      <c r="AB5073" t="inlineStr">
        <is>
          <t>홈서비스</t>
        </is>
      </c>
      <c r="AC5073" t="n">
        <v>352000</v>
      </c>
      <c r="AD5073" t="n">
        <v>28000</v>
      </c>
      <c r="AE5073" t="n">
        <v>324000</v>
      </c>
      <c r="AF5073" t="n">
        <v>320000</v>
      </c>
      <c r="AG5073" t="n">
        <v>27076</v>
      </c>
      <c r="AH5073" t="n">
        <v>292924</v>
      </c>
      <c r="AI5073" t="n">
        <v>0</v>
      </c>
    </row>
    <row r="5074">
      <c r="A5074" t="inlineStr">
        <is>
          <t>6월</t>
        </is>
      </c>
      <c r="B5074" t="inlineStr">
        <is>
          <t>24주차</t>
        </is>
      </c>
      <c r="C5074" t="inlineStr">
        <is>
          <t>EP</t>
        </is>
      </c>
      <c r="D5074" s="28" t="n">
        <v>46181</v>
      </c>
      <c r="E5074" t="inlineStr">
        <is>
          <t>현대EP_fast</t>
        </is>
      </c>
      <c r="F5074" t="inlineStr">
        <is>
          <t>이도연</t>
        </is>
      </c>
      <c r="G5074" t="inlineStr">
        <is>
          <t>010-6452-6098</t>
        </is>
      </c>
      <c r="H5074" t="inlineStr">
        <is>
          <t>285나2962</t>
        </is>
      </c>
      <c r="I5074" t="n">
        <v>19900000</v>
      </c>
      <c r="J5074" t="n">
        <v>0.129</v>
      </c>
      <c r="K5074" t="n">
        <v>1.76</v>
      </c>
      <c r="L5074" t="n">
        <v>0.4</v>
      </c>
      <c r="M5074" t="n">
        <v>1.36</v>
      </c>
      <c r="P5074" t="inlineStr">
        <is>
          <t>최혁</t>
        </is>
      </c>
      <c r="AB5074" t="inlineStr">
        <is>
          <t>엔카</t>
        </is>
      </c>
      <c r="AC5074" t="n">
        <v>350240</v>
      </c>
      <c r="AD5074" t="n">
        <v>79600</v>
      </c>
      <c r="AE5074" t="n">
        <v>270640</v>
      </c>
      <c r="AF5074" t="n">
        <v>318400</v>
      </c>
      <c r="AG5074" t="n">
        <v>76973.2</v>
      </c>
      <c r="AH5074" t="n">
        <v>241426.8</v>
      </c>
      <c r="AI5074" t="n">
        <v>0</v>
      </c>
    </row>
    <row r="5075">
      <c r="A5075" t="inlineStr">
        <is>
          <t>6월</t>
        </is>
      </c>
      <c r="B5075" t="inlineStr">
        <is>
          <t>24주차</t>
        </is>
      </c>
      <c r="C5075" t="inlineStr">
        <is>
          <t>EP</t>
        </is>
      </c>
      <c r="D5075" s="28" t="n">
        <v>46181</v>
      </c>
      <c r="E5075" t="inlineStr">
        <is>
          <t>현대EP_fast</t>
        </is>
      </c>
      <c r="F5075" t="inlineStr">
        <is>
          <t>은석일</t>
        </is>
      </c>
      <c r="G5075" t="inlineStr">
        <is>
          <t>010-7192-6501</t>
        </is>
      </c>
      <c r="H5075" t="inlineStr">
        <is>
          <t>379모3089</t>
        </is>
      </c>
      <c r="I5075" t="n">
        <v>8700000</v>
      </c>
      <c r="J5075" t="n">
        <v>0.076</v>
      </c>
      <c r="K5075" t="n">
        <v>1.76</v>
      </c>
      <c r="L5075" t="n">
        <v>0.14</v>
      </c>
      <c r="M5075" t="n">
        <v>1.62</v>
      </c>
      <c r="P5075" t="inlineStr">
        <is>
          <t>정세빈</t>
        </is>
      </c>
      <c r="Q5075" t="inlineStr">
        <is>
          <t>홈서비스 36개월</t>
        </is>
      </c>
      <c r="AB5075" t="inlineStr">
        <is>
          <t>홈서비스</t>
        </is>
      </c>
      <c r="AC5075" t="n">
        <v>153120</v>
      </c>
      <c r="AD5075" t="n">
        <v>12180</v>
      </c>
      <c r="AE5075" t="n">
        <v>140940</v>
      </c>
      <c r="AF5075" t="n">
        <v>139200</v>
      </c>
      <c r="AG5075" t="n">
        <v>11778.06</v>
      </c>
      <c r="AH5075" t="n">
        <v>127421.94</v>
      </c>
      <c r="AI5075" t="n">
        <v>0</v>
      </c>
    </row>
    <row r="5076">
      <c r="A5076" t="inlineStr">
        <is>
          <t>6월</t>
        </is>
      </c>
      <c r="B5076" t="inlineStr">
        <is>
          <t>24주차</t>
        </is>
      </c>
      <c r="C5076" t="inlineStr">
        <is>
          <t>IM</t>
        </is>
      </c>
      <c r="D5076" s="28" t="n">
        <v>46181</v>
      </c>
      <c r="E5076" t="inlineStr">
        <is>
          <t>IM캐피탈</t>
        </is>
      </c>
      <c r="F5076" t="inlineStr">
        <is>
          <t>손세욱</t>
        </is>
      </c>
      <c r="G5076" t="inlineStr">
        <is>
          <t>010-9417-7399</t>
        </is>
      </c>
      <c r="H5076" t="inlineStr">
        <is>
          <t>63나4630</t>
        </is>
      </c>
      <c r="I5076" t="n">
        <v>22900000</v>
      </c>
      <c r="J5076" t="n">
        <v>0.093</v>
      </c>
      <c r="K5076" t="n">
        <v>1.1</v>
      </c>
      <c r="L5076" t="n">
        <v>0.14</v>
      </c>
      <c r="M5076" t="n">
        <v>0.96</v>
      </c>
      <c r="P5076" t="inlineStr">
        <is>
          <t>박소현</t>
        </is>
      </c>
      <c r="Q5076" t="inlineStr">
        <is>
          <t>홈서비스 60개월</t>
        </is>
      </c>
      <c r="AB5076" t="inlineStr">
        <is>
          <t>홈서비스</t>
        </is>
      </c>
      <c r="AC5076" t="n">
        <v>251900</v>
      </c>
      <c r="AD5076" t="n">
        <v>32060</v>
      </c>
      <c r="AE5076" t="n">
        <v>219840</v>
      </c>
      <c r="AF5076" t="n">
        <v>229000</v>
      </c>
      <c r="AG5076" t="n">
        <v>31002.02</v>
      </c>
      <c r="AH5076" t="n">
        <v>197997.98</v>
      </c>
      <c r="AI5076" t="n">
        <v>0</v>
      </c>
    </row>
    <row r="5077">
      <c r="A5077" t="inlineStr">
        <is>
          <t>6월</t>
        </is>
      </c>
      <c r="B5077" t="inlineStr">
        <is>
          <t>24주차</t>
        </is>
      </c>
      <c r="C5077" t="inlineStr">
        <is>
          <t>IM</t>
        </is>
      </c>
      <c r="D5077" s="28" t="n">
        <v>46181</v>
      </c>
      <c r="E5077" t="inlineStr">
        <is>
          <t>IM캐피탈</t>
        </is>
      </c>
      <c r="F5077" t="inlineStr">
        <is>
          <t>박세훈</t>
        </is>
      </c>
      <c r="G5077" t="inlineStr">
        <is>
          <t>010-9144-7677</t>
        </is>
      </c>
      <c r="H5077" t="inlineStr">
        <is>
          <t>166소7504</t>
        </is>
      </c>
      <c r="I5077" t="n">
        <v>12700000</v>
      </c>
      <c r="J5077" t="n">
        <v>0.063</v>
      </c>
      <c r="K5077" t="n">
        <v>1.1</v>
      </c>
      <c r="L5077" t="n">
        <v>0.14</v>
      </c>
      <c r="M5077" t="n">
        <v>0.96</v>
      </c>
      <c r="P5077" t="inlineStr">
        <is>
          <t>김나윤</t>
        </is>
      </c>
      <c r="Q5077" t="inlineStr">
        <is>
          <t>홈서비스 60개월</t>
        </is>
      </c>
      <c r="AB5077" t="inlineStr">
        <is>
          <t>홈서비스</t>
        </is>
      </c>
      <c r="AC5077" t="n">
        <v>139700</v>
      </c>
      <c r="AD5077" t="n">
        <v>17780</v>
      </c>
      <c r="AE5077" t="n">
        <v>121920</v>
      </c>
      <c r="AF5077" t="n">
        <v>127000</v>
      </c>
      <c r="AG5077" t="n">
        <v>17193.26</v>
      </c>
      <c r="AH5077" t="n">
        <v>109806.74</v>
      </c>
      <c r="AI5077" t="n">
        <v>0</v>
      </c>
    </row>
    <row r="5078">
      <c r="A5078" t="inlineStr">
        <is>
          <t>6월</t>
        </is>
      </c>
      <c r="B5078" t="inlineStr">
        <is>
          <t>24주차</t>
        </is>
      </c>
      <c r="C5078" t="inlineStr">
        <is>
          <t>IM</t>
        </is>
      </c>
      <c r="D5078" s="28" t="n">
        <v>46181</v>
      </c>
      <c r="E5078" t="inlineStr">
        <is>
          <t>IM캐피탈</t>
        </is>
      </c>
      <c r="F5078" t="inlineStr">
        <is>
          <t>서준재</t>
        </is>
      </c>
      <c r="G5078" t="inlineStr">
        <is>
          <t>010-6447-3902</t>
        </is>
      </c>
      <c r="H5078" t="inlineStr">
        <is>
          <t>381가1671</t>
        </is>
      </c>
      <c r="I5078" t="n">
        <v>21200000</v>
      </c>
      <c r="J5078" t="n">
        <v>0.059</v>
      </c>
      <c r="K5078" t="n">
        <v>1.1</v>
      </c>
      <c r="L5078" t="n">
        <v>0.14</v>
      </c>
      <c r="M5078" t="n">
        <v>0.96</v>
      </c>
      <c r="P5078" t="inlineStr">
        <is>
          <t>김나윤</t>
        </is>
      </c>
      <c r="Q5078" t="inlineStr">
        <is>
          <t>홈서비스 60개월</t>
        </is>
      </c>
      <c r="AB5078" t="inlineStr">
        <is>
          <t>홈서비스</t>
        </is>
      </c>
      <c r="AC5078" t="n">
        <v>233200</v>
      </c>
      <c r="AD5078" t="n">
        <v>29680</v>
      </c>
      <c r="AE5078" t="n">
        <v>203520</v>
      </c>
      <c r="AF5078" t="n">
        <v>212000</v>
      </c>
      <c r="AG5078" t="n">
        <v>28700.56</v>
      </c>
      <c r="AH5078" t="n">
        <v>183299.44</v>
      </c>
      <c r="AI5078" t="n">
        <v>0</v>
      </c>
    </row>
    <row r="5079">
      <c r="A5079" t="inlineStr">
        <is>
          <t>6월</t>
        </is>
      </c>
      <c r="B5079" t="inlineStr">
        <is>
          <t>24주차</t>
        </is>
      </c>
      <c r="C5079" t="inlineStr">
        <is>
          <t>IM</t>
        </is>
      </c>
      <c r="D5079" s="28" t="n">
        <v>46181</v>
      </c>
      <c r="E5079" t="inlineStr">
        <is>
          <t>IM캐피탈</t>
        </is>
      </c>
      <c r="F5079" t="inlineStr">
        <is>
          <t>조윤하</t>
        </is>
      </c>
      <c r="G5079" t="inlineStr">
        <is>
          <t>010-9741-3378</t>
        </is>
      </c>
      <c r="H5079" t="inlineStr">
        <is>
          <t>149보2998</t>
        </is>
      </c>
      <c r="I5079" t="n">
        <v>18700000</v>
      </c>
      <c r="J5079" t="n">
        <v>0.049</v>
      </c>
      <c r="K5079" t="n">
        <v>1.1</v>
      </c>
      <c r="L5079" t="n">
        <v>0.14</v>
      </c>
      <c r="M5079" t="n">
        <v>0.96</v>
      </c>
      <c r="P5079" t="inlineStr">
        <is>
          <t>박소현</t>
        </is>
      </c>
      <c r="Q5079" t="inlineStr">
        <is>
          <t>홈서비스 36개월</t>
        </is>
      </c>
      <c r="AB5079" t="inlineStr">
        <is>
          <t>홈서비스</t>
        </is>
      </c>
      <c r="AC5079" t="n">
        <v>205700</v>
      </c>
      <c r="AD5079" t="n">
        <v>26180</v>
      </c>
      <c r="AE5079" t="n">
        <v>179520</v>
      </c>
      <c r="AF5079" t="n">
        <v>187000</v>
      </c>
      <c r="AG5079" t="n">
        <v>25316.06</v>
      </c>
      <c r="AH5079" t="n">
        <v>161683.94</v>
      </c>
      <c r="AI5079" t="n">
        <v>0</v>
      </c>
    </row>
    <row r="5080">
      <c r="A5080" t="inlineStr">
        <is>
          <t>6월</t>
        </is>
      </c>
      <c r="B5080" t="inlineStr">
        <is>
          <t>24주차</t>
        </is>
      </c>
      <c r="C5080" t="inlineStr">
        <is>
          <t>IM</t>
        </is>
      </c>
      <c r="D5080" s="28" t="n">
        <v>46181</v>
      </c>
      <c r="E5080" t="inlineStr">
        <is>
          <t>IM캐피탈</t>
        </is>
      </c>
      <c r="F5080" t="inlineStr">
        <is>
          <t>추동현</t>
        </is>
      </c>
      <c r="G5080" t="inlineStr">
        <is>
          <t>010-4382-1283</t>
        </is>
      </c>
      <c r="H5080" t="inlineStr">
        <is>
          <t>20로7698</t>
        </is>
      </c>
      <c r="I5080" t="n">
        <v>17200000</v>
      </c>
      <c r="J5080" t="n">
        <v>0.06900000000000001</v>
      </c>
      <c r="K5080" t="n">
        <v>1.1</v>
      </c>
      <c r="L5080" t="n">
        <v>0.14</v>
      </c>
      <c r="M5080" t="n">
        <v>0.96</v>
      </c>
      <c r="P5080" t="inlineStr">
        <is>
          <t>최혁</t>
        </is>
      </c>
      <c r="Q5080" t="inlineStr">
        <is>
          <t>홈서비스60개월</t>
        </is>
      </c>
      <c r="AB5080" t="inlineStr">
        <is>
          <t>홈서비스</t>
        </is>
      </c>
      <c r="AC5080" t="n">
        <v>189200</v>
      </c>
      <c r="AD5080" t="n">
        <v>24080</v>
      </c>
      <c r="AE5080" t="n">
        <v>165120</v>
      </c>
      <c r="AF5080" t="n">
        <v>172000</v>
      </c>
      <c r="AG5080" t="n">
        <v>23285.36</v>
      </c>
      <c r="AH5080" t="n">
        <v>148714.64</v>
      </c>
      <c r="AI5080" t="n">
        <v>0</v>
      </c>
    </row>
    <row r="5081">
      <c r="A5081" t="inlineStr">
        <is>
          <t>6월</t>
        </is>
      </c>
      <c r="B5081" t="inlineStr">
        <is>
          <t>24주차</t>
        </is>
      </c>
      <c r="C5081" t="inlineStr">
        <is>
          <t>IM</t>
        </is>
      </c>
      <c r="D5081" s="28" t="n">
        <v>46181</v>
      </c>
      <c r="E5081" t="inlineStr">
        <is>
          <t>IM캐피탈</t>
        </is>
      </c>
      <c r="F5081" t="inlineStr">
        <is>
          <t>김연화</t>
        </is>
      </c>
      <c r="G5081" t="inlineStr">
        <is>
          <t>010-8786-11196</t>
        </is>
      </c>
      <c r="H5081" t="inlineStr">
        <is>
          <t>32마4149</t>
        </is>
      </c>
      <c r="I5081" t="n">
        <v>7500000</v>
      </c>
      <c r="J5081" t="n">
        <v>0.049</v>
      </c>
      <c r="K5081" t="n">
        <v>1.1</v>
      </c>
      <c r="L5081" t="n">
        <v>0.14</v>
      </c>
      <c r="M5081" t="n">
        <v>0.96</v>
      </c>
      <c r="P5081" t="inlineStr">
        <is>
          <t>장진경</t>
        </is>
      </c>
      <c r="Q5081" t="inlineStr">
        <is>
          <t>선상담 / 홈서비스 72개월 / 공동명의</t>
        </is>
      </c>
      <c r="AB5081" t="inlineStr">
        <is>
          <t>홈서비스</t>
        </is>
      </c>
      <c r="AC5081" t="n">
        <v>82500</v>
      </c>
      <c r="AD5081" t="n">
        <v>10500</v>
      </c>
      <c r="AE5081" t="n">
        <v>72000</v>
      </c>
      <c r="AF5081" t="n">
        <v>75000</v>
      </c>
      <c r="AG5081" t="n">
        <v>10153.5</v>
      </c>
      <c r="AH5081" t="n">
        <v>64846.5</v>
      </c>
      <c r="AI5081" t="n">
        <v>0</v>
      </c>
    </row>
    <row r="5082">
      <c r="A5082" t="inlineStr">
        <is>
          <t>6월</t>
        </is>
      </c>
      <c r="B5082" t="inlineStr">
        <is>
          <t>24주차</t>
        </is>
      </c>
      <c r="C5082" t="inlineStr">
        <is>
          <t>EP</t>
        </is>
      </c>
      <c r="D5082" s="28" t="n">
        <v>46181</v>
      </c>
      <c r="E5082" t="inlineStr">
        <is>
          <t>현대EP_fast</t>
        </is>
      </c>
      <c r="F5082" t="inlineStr">
        <is>
          <t>김민수</t>
        </is>
      </c>
      <c r="G5082" t="inlineStr">
        <is>
          <t>010-9173-5648</t>
        </is>
      </c>
      <c r="H5082" t="inlineStr">
        <is>
          <t>126고9666</t>
        </is>
      </c>
      <c r="I5082" t="n">
        <v>10400000</v>
      </c>
      <c r="J5082" t="n">
        <v>0.129</v>
      </c>
      <c r="K5082" t="n">
        <v>1.76</v>
      </c>
      <c r="L5082" t="n">
        <v>0.14</v>
      </c>
      <c r="M5082" t="n">
        <v>1.62</v>
      </c>
      <c r="P5082" t="inlineStr">
        <is>
          <t>정세빈</t>
        </is>
      </c>
      <c r="Q5082" t="inlineStr">
        <is>
          <t>홈서비스 36개월</t>
        </is>
      </c>
      <c r="AB5082" t="inlineStr">
        <is>
          <t>홈서비스</t>
        </is>
      </c>
      <c r="AC5082" t="n">
        <v>183040</v>
      </c>
      <c r="AD5082" t="n">
        <v>14560</v>
      </c>
      <c r="AE5082" t="n">
        <v>168480</v>
      </c>
      <c r="AF5082" t="n">
        <v>166400</v>
      </c>
      <c r="AG5082" t="n">
        <v>14079.52</v>
      </c>
      <c r="AH5082" t="n">
        <v>152320.48</v>
      </c>
    </row>
    <row r="5083">
      <c r="A5083" t="inlineStr">
        <is>
          <t>6월</t>
        </is>
      </c>
      <c r="B5083" t="inlineStr">
        <is>
          <t>24주차</t>
        </is>
      </c>
      <c r="C5083" t="inlineStr">
        <is>
          <t>IM</t>
        </is>
      </c>
      <c r="D5083" s="28" t="n">
        <v>46181</v>
      </c>
      <c r="E5083" t="inlineStr">
        <is>
          <t>IM캐피탈</t>
        </is>
      </c>
      <c r="F5083" t="inlineStr">
        <is>
          <t>최은미</t>
        </is>
      </c>
      <c r="G5083" t="inlineStr">
        <is>
          <t>010-7355-1979</t>
        </is>
      </c>
      <c r="H5083" t="inlineStr">
        <is>
          <t>202루6886</t>
        </is>
      </c>
      <c r="I5083" t="n">
        <v>40000000</v>
      </c>
      <c r="J5083" t="n">
        <v>0.045</v>
      </c>
      <c r="K5083" t="n">
        <v>1.1</v>
      </c>
      <c r="L5083" t="n">
        <v>0.4</v>
      </c>
      <c r="M5083" t="n">
        <v>0.7</v>
      </c>
      <c r="P5083" t="inlineStr">
        <is>
          <t>박소현</t>
        </is>
      </c>
      <c r="AB5083" t="inlineStr">
        <is>
          <t>엔카</t>
        </is>
      </c>
      <c r="AC5083" t="n">
        <v>440000</v>
      </c>
      <c r="AD5083" t="n">
        <v>160000</v>
      </c>
      <c r="AE5083" t="n">
        <v>280000</v>
      </c>
      <c r="AF5083" t="n">
        <v>400000</v>
      </c>
      <c r="AG5083" t="n">
        <v>154720</v>
      </c>
      <c r="AH5083" t="n">
        <v>245280</v>
      </c>
    </row>
    <row r="5084">
      <c r="A5084" t="inlineStr">
        <is>
          <t>6월</t>
        </is>
      </c>
      <c r="B5084" t="inlineStr">
        <is>
          <t>24주차</t>
        </is>
      </c>
      <c r="C5084" t="inlineStr">
        <is>
          <t>IM</t>
        </is>
      </c>
      <c r="D5084" s="28" t="n">
        <v>46181</v>
      </c>
      <c r="E5084" t="inlineStr">
        <is>
          <t>IM캐피탈</t>
        </is>
      </c>
      <c r="F5084" t="inlineStr">
        <is>
          <t>김햇빛</t>
        </is>
      </c>
      <c r="G5084" t="inlineStr">
        <is>
          <t>010-9067-4065</t>
        </is>
      </c>
      <c r="H5084" t="inlineStr">
        <is>
          <t>221다5955</t>
        </is>
      </c>
      <c r="I5084" t="n">
        <v>18700000</v>
      </c>
      <c r="J5084" t="n">
        <v>0.049</v>
      </c>
      <c r="K5084" t="n">
        <v>1.1</v>
      </c>
      <c r="L5084" t="n">
        <v>0.14</v>
      </c>
      <c r="M5084" t="n">
        <v>0.96</v>
      </c>
      <c r="P5084" t="inlineStr">
        <is>
          <t>장진경</t>
        </is>
      </c>
      <c r="Q5084" t="inlineStr">
        <is>
          <t>선상담 / 홈서비스 84개월</t>
        </is>
      </c>
      <c r="AB5084" t="inlineStr">
        <is>
          <t>홈서비스</t>
        </is>
      </c>
      <c r="AC5084" t="n">
        <v>205700</v>
      </c>
      <c r="AD5084" t="n">
        <v>26180</v>
      </c>
      <c r="AE5084" t="n">
        <v>179520</v>
      </c>
      <c r="AF5084" t="n">
        <v>187000</v>
      </c>
      <c r="AG5084" t="n">
        <v>25316.06</v>
      </c>
      <c r="AH5084" t="n">
        <v>161683.94</v>
      </c>
      <c r="AI5084" t="n">
        <v>0</v>
      </c>
    </row>
    <row r="5085">
      <c r="A5085" t="inlineStr">
        <is>
          <t>6월</t>
        </is>
      </c>
      <c r="B5085" t="inlineStr">
        <is>
          <t>24주차</t>
        </is>
      </c>
      <c r="C5085" t="inlineStr">
        <is>
          <t>IM</t>
        </is>
      </c>
      <c r="D5085" s="28" t="n">
        <v>46181</v>
      </c>
      <c r="E5085" t="inlineStr">
        <is>
          <t>IM캐피탈</t>
        </is>
      </c>
      <c r="F5085" t="inlineStr">
        <is>
          <t>박향미</t>
        </is>
      </c>
      <c r="G5085" t="inlineStr">
        <is>
          <t>010-5189-8541</t>
        </is>
      </c>
      <c r="H5085" t="inlineStr">
        <is>
          <t>826저6608</t>
        </is>
      </c>
      <c r="I5085" t="n">
        <v>22300000</v>
      </c>
      <c r="J5085" t="n">
        <v>0.063</v>
      </c>
      <c r="K5085" t="n">
        <v>1.1</v>
      </c>
      <c r="L5085" t="n">
        <v>0.14</v>
      </c>
      <c r="M5085" t="n">
        <v>0.96</v>
      </c>
      <c r="P5085" t="inlineStr">
        <is>
          <t>정세빈</t>
        </is>
      </c>
      <c r="Q5085" t="inlineStr">
        <is>
          <t>홈서비스 60개월</t>
        </is>
      </c>
      <c r="AB5085" t="inlineStr">
        <is>
          <t>홈서비스</t>
        </is>
      </c>
      <c r="AC5085" t="n">
        <v>245300</v>
      </c>
      <c r="AD5085" t="n">
        <v>31220</v>
      </c>
      <c r="AE5085" t="n">
        <v>214080</v>
      </c>
      <c r="AF5085" t="n">
        <v>223000</v>
      </c>
      <c r="AG5085" t="n">
        <v>30189.74</v>
      </c>
      <c r="AH5085" t="n">
        <v>192810.26</v>
      </c>
    </row>
    <row r="5086">
      <c r="A5086" t="inlineStr">
        <is>
          <t>6월</t>
        </is>
      </c>
      <c r="B5086" t="inlineStr">
        <is>
          <t>24주차</t>
        </is>
      </c>
      <c r="C5086" t="inlineStr">
        <is>
          <t>EP</t>
        </is>
      </c>
      <c r="D5086" s="28" t="n">
        <v>46181</v>
      </c>
      <c r="E5086" t="inlineStr">
        <is>
          <t>현대EP_fast</t>
        </is>
      </c>
      <c r="F5086" t="inlineStr">
        <is>
          <t>김재형</t>
        </is>
      </c>
      <c r="G5086" t="inlineStr">
        <is>
          <t>010-4444-0603</t>
        </is>
      </c>
      <c r="H5086" t="inlineStr">
        <is>
          <t>386고8794</t>
        </is>
      </c>
      <c r="I5086" t="n">
        <v>20000000</v>
      </c>
      <c r="J5086" t="n">
        <v>0.083</v>
      </c>
      <c r="K5086" t="n">
        <v>1.76</v>
      </c>
      <c r="L5086" t="n">
        <v>0.4</v>
      </c>
      <c r="M5086" t="n">
        <v>1.36</v>
      </c>
      <c r="P5086" t="inlineStr">
        <is>
          <t>임대경</t>
        </is>
      </c>
      <c r="AB5086" t="inlineStr">
        <is>
          <t>엔카</t>
        </is>
      </c>
      <c r="AC5086" t="n">
        <v>352000</v>
      </c>
      <c r="AD5086" t="n">
        <v>80000</v>
      </c>
      <c r="AE5086" t="n">
        <v>272000</v>
      </c>
      <c r="AF5086" t="n">
        <v>320000</v>
      </c>
      <c r="AG5086" t="n">
        <v>77360</v>
      </c>
      <c r="AH5086" t="n">
        <v>242640</v>
      </c>
      <c r="AI5086" t="n">
        <v>0</v>
      </c>
    </row>
    <row r="5087">
      <c r="A5087" t="inlineStr">
        <is>
          <t>6월</t>
        </is>
      </c>
      <c r="B5087" t="inlineStr">
        <is>
          <t>24주차</t>
        </is>
      </c>
      <c r="C5087" t="inlineStr">
        <is>
          <t>EP</t>
        </is>
      </c>
      <c r="D5087" s="28" t="n">
        <v>46181</v>
      </c>
      <c r="E5087" t="inlineStr">
        <is>
          <t>현대EP_fast</t>
        </is>
      </c>
      <c r="F5087" t="inlineStr">
        <is>
          <t>오현수</t>
        </is>
      </c>
      <c r="G5087" t="inlineStr">
        <is>
          <t>010-7617-6267</t>
        </is>
      </c>
      <c r="H5087" t="inlineStr">
        <is>
          <t>19저4370</t>
        </is>
      </c>
      <c r="I5087" t="n">
        <v>7800000</v>
      </c>
      <c r="J5087" t="n">
        <v>0.077</v>
      </c>
      <c r="K5087" t="n">
        <v>1.76</v>
      </c>
      <c r="L5087" t="n">
        <v>0.14</v>
      </c>
      <c r="M5087" t="n">
        <v>1.62</v>
      </c>
      <c r="P5087" t="inlineStr">
        <is>
          <t>최혁</t>
        </is>
      </c>
      <c r="Q5087" t="inlineStr">
        <is>
          <t>홈서비스60개월</t>
        </is>
      </c>
      <c r="AB5087" t="inlineStr">
        <is>
          <t>홈서비스</t>
        </is>
      </c>
      <c r="AC5087" t="n">
        <v>137280</v>
      </c>
      <c r="AD5087" t="n">
        <v>10920</v>
      </c>
      <c r="AE5087" t="n">
        <v>126360</v>
      </c>
      <c r="AF5087" t="n">
        <v>124800</v>
      </c>
      <c r="AG5087" t="n">
        <v>10559.64</v>
      </c>
      <c r="AH5087" t="n">
        <v>114240.36</v>
      </c>
      <c r="AI5087" t="n">
        <v>0</v>
      </c>
    </row>
    <row r="5088">
      <c r="A5088" t="inlineStr">
        <is>
          <t>6월</t>
        </is>
      </c>
      <c r="B5088" t="inlineStr">
        <is>
          <t>24주차</t>
        </is>
      </c>
      <c r="C5088" t="inlineStr">
        <is>
          <t>EP</t>
        </is>
      </c>
      <c r="D5088" s="28" t="n">
        <v>46181</v>
      </c>
      <c r="E5088" t="inlineStr">
        <is>
          <t>현대EP_fast</t>
        </is>
      </c>
      <c r="F5088" t="inlineStr">
        <is>
          <t>문덕영</t>
        </is>
      </c>
      <c r="G5088" t="inlineStr">
        <is>
          <t>010-5349-1982</t>
        </is>
      </c>
      <c r="H5088" t="inlineStr">
        <is>
          <t>38도9603</t>
        </is>
      </c>
      <c r="I5088" t="n">
        <v>6000000</v>
      </c>
      <c r="J5088" t="n">
        <v>0.077</v>
      </c>
      <c r="K5088" t="n">
        <v>1.76</v>
      </c>
      <c r="L5088" t="n">
        <v>0.14</v>
      </c>
      <c r="M5088" t="n">
        <v>1.62</v>
      </c>
      <c r="P5088" t="inlineStr">
        <is>
          <t>장진경</t>
        </is>
      </c>
      <c r="Q5088" t="inlineStr">
        <is>
          <t>선상담 / 홈서비스 60개월</t>
        </is>
      </c>
      <c r="AB5088" t="inlineStr">
        <is>
          <t>홈서비스</t>
        </is>
      </c>
      <c r="AC5088" t="n">
        <v>105600</v>
      </c>
      <c r="AD5088" t="n">
        <v>8400</v>
      </c>
      <c r="AE5088" t="n">
        <v>97200</v>
      </c>
      <c r="AF5088" t="n">
        <v>96000</v>
      </c>
      <c r="AG5088" t="n">
        <v>8122.8</v>
      </c>
      <c r="AH5088" t="n">
        <v>87877.2</v>
      </c>
      <c r="AI5088" t="n">
        <v>0</v>
      </c>
    </row>
    <row r="5089">
      <c r="A5089" t="inlineStr">
        <is>
          <t>6월</t>
        </is>
      </c>
      <c r="B5089" t="inlineStr">
        <is>
          <t>24주차</t>
        </is>
      </c>
      <c r="C5089" t="inlineStr">
        <is>
          <t>EP</t>
        </is>
      </c>
      <c r="D5089" s="28" t="n">
        <v>46181</v>
      </c>
      <c r="E5089" t="inlineStr">
        <is>
          <t>현대EP_fast</t>
        </is>
      </c>
      <c r="F5089" t="inlineStr">
        <is>
          <t>김경수</t>
        </is>
      </c>
      <c r="G5089" t="inlineStr">
        <is>
          <t>010-3086-2856</t>
        </is>
      </c>
      <c r="H5089" t="inlineStr">
        <is>
          <t>68오4421</t>
        </is>
      </c>
      <c r="I5089" t="n">
        <v>8900000</v>
      </c>
      <c r="J5089" t="n">
        <v>0.142</v>
      </c>
      <c r="K5089" t="n">
        <v>1.76</v>
      </c>
      <c r="L5089" t="n">
        <v>0.4</v>
      </c>
      <c r="M5089" t="n">
        <v>1.36</v>
      </c>
      <c r="P5089" t="inlineStr">
        <is>
          <t>박소현</t>
        </is>
      </c>
      <c r="AB5089" t="inlineStr">
        <is>
          <t>엔카</t>
        </is>
      </c>
      <c r="AC5089" t="n">
        <v>156640</v>
      </c>
      <c r="AD5089" t="n">
        <v>35600</v>
      </c>
      <c r="AE5089" t="n">
        <v>121040</v>
      </c>
      <c r="AF5089" t="n">
        <v>142400</v>
      </c>
      <c r="AG5089" t="n">
        <v>34425.2</v>
      </c>
      <c r="AH5089" t="n">
        <v>107974.8</v>
      </c>
      <c r="AI5089" t="n">
        <v>0</v>
      </c>
    </row>
    <row r="5090">
      <c r="A5090" t="inlineStr">
        <is>
          <t>6월</t>
        </is>
      </c>
      <c r="B5090" t="inlineStr">
        <is>
          <t>24주차</t>
        </is>
      </c>
      <c r="C5090" t="inlineStr">
        <is>
          <t>EP</t>
        </is>
      </c>
      <c r="D5090" s="28" t="n">
        <v>46181</v>
      </c>
      <c r="E5090" t="inlineStr">
        <is>
          <t>현대EP_fast</t>
        </is>
      </c>
      <c r="F5090" t="inlineStr">
        <is>
          <t>왕준석</t>
        </is>
      </c>
      <c r="G5090" t="inlineStr">
        <is>
          <t>010-3132-3957</t>
        </is>
      </c>
      <c r="H5090" t="inlineStr">
        <is>
          <t>385보7213</t>
        </is>
      </c>
      <c r="I5090" t="n">
        <v>15000000</v>
      </c>
      <c r="J5090" t="n">
        <v>0.129</v>
      </c>
      <c r="K5090" t="n">
        <v>1.76</v>
      </c>
      <c r="L5090" t="n">
        <v>0.14</v>
      </c>
      <c r="M5090" t="n">
        <v>1.62</v>
      </c>
      <c r="P5090" t="inlineStr">
        <is>
          <t>정세빈</t>
        </is>
      </c>
      <c r="Q5090" t="inlineStr">
        <is>
          <t>홈서비스 36개월</t>
        </is>
      </c>
      <c r="AB5090" t="inlineStr">
        <is>
          <t>홈서비스</t>
        </is>
      </c>
      <c r="AC5090" t="n">
        <v>264000</v>
      </c>
      <c r="AD5090" t="n">
        <v>21000</v>
      </c>
      <c r="AE5090" t="n">
        <v>243000</v>
      </c>
      <c r="AF5090" t="n">
        <v>240000</v>
      </c>
      <c r="AG5090" t="n">
        <v>20307</v>
      </c>
      <c r="AH5090" t="n">
        <v>219693</v>
      </c>
      <c r="AI5090" t="n">
        <v>0</v>
      </c>
    </row>
    <row r="5091">
      <c r="A5091" t="inlineStr">
        <is>
          <t>6월</t>
        </is>
      </c>
      <c r="B5091" t="inlineStr">
        <is>
          <t>24주차</t>
        </is>
      </c>
      <c r="C5091" t="inlineStr">
        <is>
          <t>EP</t>
        </is>
      </c>
      <c r="D5091" s="28" t="n">
        <v>46181</v>
      </c>
      <c r="E5091" t="inlineStr">
        <is>
          <t>현대EP_fast</t>
        </is>
      </c>
      <c r="F5091" t="inlineStr">
        <is>
          <t>이경태</t>
        </is>
      </c>
      <c r="G5091" t="inlineStr">
        <is>
          <t>010-9927-4643</t>
        </is>
      </c>
      <c r="H5091" t="inlineStr">
        <is>
          <t>23나0516</t>
        </is>
      </c>
      <c r="I5091" t="n">
        <v>5300000</v>
      </c>
      <c r="J5091" t="n">
        <v>0.113</v>
      </c>
      <c r="K5091" t="n">
        <v>1.76</v>
      </c>
      <c r="L5091" t="n">
        <v>0.14</v>
      </c>
      <c r="M5091" t="n">
        <v>1.62</v>
      </c>
      <c r="P5091" t="inlineStr">
        <is>
          <t>정세빈</t>
        </is>
      </c>
      <c r="Q5091" t="inlineStr">
        <is>
          <t>홈서비스 36개월</t>
        </is>
      </c>
      <c r="AB5091" t="inlineStr">
        <is>
          <t>홈서비스</t>
        </is>
      </c>
      <c r="AC5091" t="n">
        <v>93280</v>
      </c>
      <c r="AD5091" t="n">
        <v>7420</v>
      </c>
      <c r="AE5091" t="n">
        <v>85860</v>
      </c>
      <c r="AF5091" t="n">
        <v>84800</v>
      </c>
      <c r="AG5091" t="n">
        <v>7175.14</v>
      </c>
      <c r="AH5091" t="n">
        <v>77624.86</v>
      </c>
    </row>
    <row r="5092">
      <c r="A5092" t="inlineStr">
        <is>
          <t>6월</t>
        </is>
      </c>
      <c r="B5092" t="inlineStr">
        <is>
          <t>24주차</t>
        </is>
      </c>
      <c r="C5092" t="inlineStr">
        <is>
          <t>EP</t>
        </is>
      </c>
      <c r="D5092" s="28" t="n">
        <v>46181</v>
      </c>
      <c r="E5092" t="inlineStr">
        <is>
          <t>제이비EP</t>
        </is>
      </c>
      <c r="F5092" t="inlineStr">
        <is>
          <t>강문석</t>
        </is>
      </c>
      <c r="G5092" t="inlineStr">
        <is>
          <t>010-3095-3003</t>
        </is>
      </c>
      <c r="H5092" t="inlineStr">
        <is>
          <t>153모2390</t>
        </is>
      </c>
      <c r="I5092" t="n">
        <v>37000000</v>
      </c>
      <c r="J5092" t="n">
        <v>0.08699999999999999</v>
      </c>
      <c r="K5092" t="n">
        <v>1.65</v>
      </c>
      <c r="L5092" t="n">
        <v>0.4</v>
      </c>
      <c r="M5092" t="n">
        <v>1.25</v>
      </c>
      <c r="P5092" t="inlineStr">
        <is>
          <t>장진경</t>
        </is>
      </c>
      <c r="Q5092" t="inlineStr">
        <is>
          <t>부대비용 추가진행</t>
        </is>
      </c>
      <c r="AB5092" t="inlineStr">
        <is>
          <t>엔카</t>
        </is>
      </c>
      <c r="AC5092" t="n">
        <v>610500</v>
      </c>
      <c r="AD5092" t="n">
        <v>148000</v>
      </c>
      <c r="AE5092" t="n">
        <v>462500</v>
      </c>
      <c r="AF5092" t="n">
        <v>555000</v>
      </c>
      <c r="AG5092" t="n">
        <v>143116</v>
      </c>
      <c r="AH5092" t="n">
        <v>411884</v>
      </c>
    </row>
    <row r="5093">
      <c r="A5093" t="inlineStr">
        <is>
          <t>6월</t>
        </is>
      </c>
      <c r="B5093" t="inlineStr">
        <is>
          <t>24주차</t>
        </is>
      </c>
      <c r="C5093" t="inlineStr">
        <is>
          <t>EP</t>
        </is>
      </c>
      <c r="D5093" s="28" t="n">
        <v>46181</v>
      </c>
      <c r="E5093" t="inlineStr">
        <is>
          <t>현대EP_fast</t>
        </is>
      </c>
      <c r="F5093" t="inlineStr">
        <is>
          <t>김슬기</t>
        </is>
      </c>
      <c r="G5093" t="inlineStr">
        <is>
          <t>010-4865-7927</t>
        </is>
      </c>
      <c r="H5093" t="inlineStr">
        <is>
          <t>300누6619</t>
        </is>
      </c>
      <c r="I5093" t="n">
        <v>49900000</v>
      </c>
      <c r="J5093" t="n">
        <v>0.113</v>
      </c>
      <c r="K5093" t="n">
        <v>1.76</v>
      </c>
      <c r="L5093" t="n">
        <v>0.14</v>
      </c>
      <c r="M5093" t="n">
        <v>1.62</v>
      </c>
      <c r="P5093" t="inlineStr">
        <is>
          <t>정세빈</t>
        </is>
      </c>
      <c r="Q5093" t="inlineStr">
        <is>
          <t>홈서비스 60개월</t>
        </is>
      </c>
      <c r="AB5093" t="inlineStr">
        <is>
          <t>홈서비스</t>
        </is>
      </c>
      <c r="AC5093" t="n">
        <v>878240</v>
      </c>
      <c r="AD5093" t="n">
        <v>69860</v>
      </c>
      <c r="AE5093" t="n">
        <v>808380</v>
      </c>
      <c r="AF5093" t="n">
        <v>798400</v>
      </c>
      <c r="AG5093" t="n">
        <v>67554.62</v>
      </c>
      <c r="AH5093" t="n">
        <v>730845.38</v>
      </c>
    </row>
    <row r="5094">
      <c r="A5094" t="inlineStr">
        <is>
          <t>6월</t>
        </is>
      </c>
      <c r="B5094" t="inlineStr">
        <is>
          <t>24주차</t>
        </is>
      </c>
      <c r="C5094" t="inlineStr">
        <is>
          <t>EP</t>
        </is>
      </c>
      <c r="D5094" s="28" t="n">
        <v>46181</v>
      </c>
      <c r="E5094" t="inlineStr">
        <is>
          <t>현대EP_fast</t>
        </is>
      </c>
      <c r="F5094" t="inlineStr">
        <is>
          <t>김선수</t>
        </is>
      </c>
      <c r="G5094" t="inlineStr">
        <is>
          <t>010-7712-6638</t>
        </is>
      </c>
      <c r="H5094" t="inlineStr">
        <is>
          <t>398버4370</t>
        </is>
      </c>
      <c r="I5094" t="n">
        <v>5000000</v>
      </c>
      <c r="J5094" t="n">
        <v>0.077</v>
      </c>
      <c r="K5094" t="n">
        <v>1.76</v>
      </c>
      <c r="L5094" t="n">
        <v>0.14</v>
      </c>
      <c r="M5094" t="n">
        <v>1.62</v>
      </c>
      <c r="P5094" t="inlineStr">
        <is>
          <t>임대경</t>
        </is>
      </c>
      <c r="Q5094" t="inlineStr">
        <is>
          <t>홈서비스 60개월</t>
        </is>
      </c>
      <c r="AB5094" t="inlineStr">
        <is>
          <t>홈서비스</t>
        </is>
      </c>
      <c r="AC5094" t="n">
        <v>88000</v>
      </c>
      <c r="AD5094" t="n">
        <v>7000</v>
      </c>
      <c r="AE5094" t="n">
        <v>81000</v>
      </c>
      <c r="AF5094" t="n">
        <v>80000</v>
      </c>
      <c r="AG5094" t="n">
        <v>6769</v>
      </c>
      <c r="AH5094" t="n">
        <v>73231</v>
      </c>
      <c r="AI5094" t="n">
        <v>0</v>
      </c>
    </row>
    <row r="5095">
      <c r="A5095" t="inlineStr">
        <is>
          <t>6월</t>
        </is>
      </c>
      <c r="B5095" t="inlineStr">
        <is>
          <t>24주차</t>
        </is>
      </c>
      <c r="C5095" t="inlineStr">
        <is>
          <t>IM</t>
        </is>
      </c>
      <c r="D5095" s="28" t="n">
        <v>46181</v>
      </c>
      <c r="E5095" t="inlineStr">
        <is>
          <t>IM캐피탈</t>
        </is>
      </c>
      <c r="F5095" t="inlineStr">
        <is>
          <t>서은정</t>
        </is>
      </c>
      <c r="G5095" t="inlineStr">
        <is>
          <t>010-7604-1985</t>
        </is>
      </c>
      <c r="H5095" t="inlineStr">
        <is>
          <t>153조5863</t>
        </is>
      </c>
      <c r="I5095" t="n">
        <v>12000000</v>
      </c>
      <c r="J5095" t="n">
        <v>0.045</v>
      </c>
      <c r="K5095" t="n">
        <v>1.1</v>
      </c>
      <c r="L5095" t="n">
        <v>0.14</v>
      </c>
      <c r="M5095" t="n">
        <v>0.96</v>
      </c>
      <c r="P5095" t="inlineStr">
        <is>
          <t>임대경</t>
        </is>
      </c>
      <c r="Q5095" t="inlineStr">
        <is>
          <t>홈서비스 36개월</t>
        </is>
      </c>
      <c r="AB5095" t="inlineStr">
        <is>
          <t>홈서비스</t>
        </is>
      </c>
      <c r="AC5095" t="n">
        <v>132000</v>
      </c>
      <c r="AD5095" t="n">
        <v>16800</v>
      </c>
      <c r="AE5095" t="n">
        <v>115200</v>
      </c>
      <c r="AF5095" t="n">
        <v>120000</v>
      </c>
      <c r="AG5095" t="n">
        <v>16245.6</v>
      </c>
      <c r="AH5095" t="n">
        <v>103754.4</v>
      </c>
      <c r="AI5095" t="n">
        <v>0</v>
      </c>
    </row>
    <row r="5096">
      <c r="A5096" t="inlineStr">
        <is>
          <t>6월</t>
        </is>
      </c>
      <c r="B5096" t="inlineStr">
        <is>
          <t>24주차</t>
        </is>
      </c>
      <c r="C5096" t="inlineStr">
        <is>
          <t>EP</t>
        </is>
      </c>
      <c r="D5096" s="28" t="n">
        <v>46181</v>
      </c>
      <c r="E5096" t="inlineStr">
        <is>
          <t>현대EP_fast</t>
        </is>
      </c>
      <c r="F5096" t="inlineStr">
        <is>
          <t>손영상</t>
        </is>
      </c>
      <c r="G5096" t="inlineStr">
        <is>
          <t>010-2016-1111</t>
        </is>
      </c>
      <c r="H5096" t="inlineStr">
        <is>
          <t>48우2329</t>
        </is>
      </c>
      <c r="I5096" t="n">
        <v>37500000</v>
      </c>
      <c r="J5096" t="n">
        <v>0.077</v>
      </c>
      <c r="K5096" t="n">
        <v>1.76</v>
      </c>
      <c r="L5096" t="n">
        <v>0.4</v>
      </c>
      <c r="M5096" t="n">
        <v>1.36</v>
      </c>
      <c r="P5096" t="inlineStr">
        <is>
          <t>장진경</t>
        </is>
      </c>
      <c r="Q5096" t="inlineStr">
        <is>
          <t>고객주도체결</t>
        </is>
      </c>
      <c r="AB5096" t="inlineStr">
        <is>
          <t>엔카</t>
        </is>
      </c>
      <c r="AC5096" t="n">
        <v>660000</v>
      </c>
      <c r="AD5096" t="n">
        <v>150000</v>
      </c>
      <c r="AE5096" t="n">
        <v>510000</v>
      </c>
      <c r="AF5096" t="n">
        <v>600000</v>
      </c>
      <c r="AG5096" t="n">
        <v>145050</v>
      </c>
      <c r="AH5096" t="n">
        <v>454950</v>
      </c>
      <c r="AI5096" t="n">
        <v>0</v>
      </c>
    </row>
    <row r="5097">
      <c r="A5097" t="inlineStr">
        <is>
          <t>6월</t>
        </is>
      </c>
      <c r="B5097" t="inlineStr">
        <is>
          <t>24주차</t>
        </is>
      </c>
      <c r="C5097" t="inlineStr">
        <is>
          <t>EP</t>
        </is>
      </c>
      <c r="D5097" s="28" t="n">
        <v>46181</v>
      </c>
      <c r="E5097" t="inlineStr">
        <is>
          <t>현대EP_fast</t>
        </is>
      </c>
      <c r="F5097" t="inlineStr">
        <is>
          <t>박정님</t>
        </is>
      </c>
      <c r="G5097" t="inlineStr">
        <is>
          <t>010-7593-0675</t>
        </is>
      </c>
      <c r="H5097" t="inlineStr">
        <is>
          <t>24부2643</t>
        </is>
      </c>
      <c r="I5097" t="n">
        <v>26800000</v>
      </c>
      <c r="J5097" t="n">
        <v>0.109</v>
      </c>
      <c r="K5097" t="n">
        <v>1.76</v>
      </c>
      <c r="L5097" t="n">
        <v>0.14</v>
      </c>
      <c r="M5097" t="n">
        <v>1.62</v>
      </c>
      <c r="P5097" t="inlineStr">
        <is>
          <t>박소현</t>
        </is>
      </c>
      <c r="Q5097" t="inlineStr">
        <is>
          <t>홈서비스 60개월</t>
        </is>
      </c>
      <c r="AB5097" t="inlineStr">
        <is>
          <t>홈서비스</t>
        </is>
      </c>
      <c r="AC5097" t="n">
        <v>471680</v>
      </c>
      <c r="AD5097" t="n">
        <v>37520</v>
      </c>
      <c r="AE5097" t="n">
        <v>434160</v>
      </c>
      <c r="AF5097" t="n">
        <v>428800</v>
      </c>
      <c r="AG5097" t="n">
        <v>36281.84</v>
      </c>
      <c r="AH5097" t="n">
        <v>392518.16</v>
      </c>
      <c r="AI5097" t="n">
        <v>0</v>
      </c>
    </row>
    <row r="5098">
      <c r="A5098" t="inlineStr">
        <is>
          <t>6월</t>
        </is>
      </c>
      <c r="B5098" t="inlineStr">
        <is>
          <t>24주차</t>
        </is>
      </c>
      <c r="C5098" t="inlineStr">
        <is>
          <t>IM</t>
        </is>
      </c>
      <c r="D5098" s="28" t="n">
        <v>46181</v>
      </c>
      <c r="E5098" t="inlineStr">
        <is>
          <t>IM캐피탈</t>
        </is>
      </c>
      <c r="F5098" t="inlineStr">
        <is>
          <t>박태현</t>
        </is>
      </c>
      <c r="G5098" t="inlineStr">
        <is>
          <t>010-3935-4157</t>
        </is>
      </c>
      <c r="H5098" t="inlineStr">
        <is>
          <t>103어2033</t>
        </is>
      </c>
      <c r="I5098" t="n">
        <v>32500000</v>
      </c>
      <c r="J5098" t="n">
        <v>0.063</v>
      </c>
      <c r="K5098" t="n">
        <v>1.1</v>
      </c>
      <c r="L5098" t="n">
        <v>0.14</v>
      </c>
      <c r="M5098" t="n">
        <v>0.96</v>
      </c>
      <c r="P5098" t="inlineStr">
        <is>
          <t>임대경</t>
        </is>
      </c>
      <c r="Q5098" t="inlineStr">
        <is>
          <t>홈서비스 60개월</t>
        </is>
      </c>
      <c r="AB5098" t="inlineStr">
        <is>
          <t>홈서비스</t>
        </is>
      </c>
      <c r="AC5098" t="n">
        <v>357500</v>
      </c>
      <c r="AD5098" t="n">
        <v>45500</v>
      </c>
      <c r="AE5098" t="n">
        <v>312000</v>
      </c>
      <c r="AF5098" t="n">
        <v>325000</v>
      </c>
      <c r="AG5098" t="n">
        <v>43998.5</v>
      </c>
      <c r="AH5098" t="n">
        <v>281001.5</v>
      </c>
    </row>
    <row r="5099">
      <c r="A5099" t="inlineStr">
        <is>
          <t>6월</t>
        </is>
      </c>
      <c r="B5099" t="inlineStr">
        <is>
          <t>24주차</t>
        </is>
      </c>
      <c r="C5099" t="inlineStr">
        <is>
          <t>EP</t>
        </is>
      </c>
      <c r="D5099" s="28" t="n">
        <v>46181</v>
      </c>
      <c r="E5099" t="inlineStr">
        <is>
          <t>현대EP_fast</t>
        </is>
      </c>
      <c r="F5099" t="inlineStr">
        <is>
          <t>김홍빈</t>
        </is>
      </c>
      <c r="G5099" t="inlineStr">
        <is>
          <t>010-5191-1009</t>
        </is>
      </c>
      <c r="H5099" t="inlineStr">
        <is>
          <t>371마9710</t>
        </is>
      </c>
      <c r="I5099" t="n">
        <v>14200000</v>
      </c>
      <c r="J5099" t="n">
        <v>0.142</v>
      </c>
      <c r="K5099" t="n">
        <v>1.76</v>
      </c>
      <c r="L5099" t="n">
        <v>0.4</v>
      </c>
      <c r="M5099" t="n">
        <v>1.36</v>
      </c>
      <c r="P5099" t="inlineStr">
        <is>
          <t>장진경</t>
        </is>
      </c>
      <c r="AB5099" t="inlineStr">
        <is>
          <t>엔카</t>
        </is>
      </c>
      <c r="AC5099" t="n">
        <v>249920</v>
      </c>
      <c r="AD5099" t="n">
        <v>56800</v>
      </c>
      <c r="AE5099" t="n">
        <v>193120</v>
      </c>
      <c r="AF5099" t="n">
        <v>227200</v>
      </c>
      <c r="AG5099" t="n">
        <v>54925.6</v>
      </c>
      <c r="AH5099" t="n">
        <v>172274.4</v>
      </c>
      <c r="AI5099" t="n">
        <v>0</v>
      </c>
    </row>
    <row r="5100">
      <c r="A5100" t="inlineStr">
        <is>
          <t>6월</t>
        </is>
      </c>
      <c r="B5100" t="inlineStr">
        <is>
          <t>24주차</t>
        </is>
      </c>
      <c r="C5100" t="inlineStr">
        <is>
          <t>HC</t>
        </is>
      </c>
      <c r="D5100" s="28" t="n">
        <v>46181</v>
      </c>
      <c r="E5100" t="inlineStr">
        <is>
          <t>하나캐피탈</t>
        </is>
      </c>
      <c r="F5100" t="inlineStr">
        <is>
          <t>양세권</t>
        </is>
      </c>
      <c r="G5100" t="inlineStr">
        <is>
          <t>010-2656-7236</t>
        </is>
      </c>
      <c r="H5100" t="inlineStr">
        <is>
          <t>68거3926</t>
        </is>
      </c>
      <c r="I5100" t="n">
        <v>11500000</v>
      </c>
      <c r="J5100" t="n">
        <v>0.07199999999999999</v>
      </c>
      <c r="K5100" t="n">
        <v>2.2</v>
      </c>
      <c r="L5100" t="n">
        <v>0.14</v>
      </c>
      <c r="M5100" t="n">
        <v>2.06</v>
      </c>
      <c r="P5100" t="inlineStr">
        <is>
          <t>정세빈</t>
        </is>
      </c>
      <c r="Q5100" t="inlineStr">
        <is>
          <t>홈서비스 24개월</t>
        </is>
      </c>
      <c r="AB5100" t="inlineStr">
        <is>
          <t>홈서비스</t>
        </is>
      </c>
      <c r="AC5100" t="n">
        <v>253000</v>
      </c>
      <c r="AD5100" t="n">
        <v>16100</v>
      </c>
      <c r="AE5100" t="n">
        <v>236900</v>
      </c>
      <c r="AF5100" t="n">
        <v>230000</v>
      </c>
      <c r="AG5100" t="n">
        <v>15568.7</v>
      </c>
      <c r="AH5100" t="n">
        <v>214431.3</v>
      </c>
      <c r="AI5100" t="n">
        <v>0</v>
      </c>
    </row>
    <row r="5101">
      <c r="A5101" t="inlineStr">
        <is>
          <t>6월</t>
        </is>
      </c>
      <c r="B5101" t="inlineStr">
        <is>
          <t>24주차</t>
        </is>
      </c>
      <c r="C5101" t="inlineStr">
        <is>
          <t>EP</t>
        </is>
      </c>
      <c r="D5101" s="28" t="n">
        <v>46181</v>
      </c>
      <c r="E5101" t="inlineStr">
        <is>
          <t>현대EP_fast</t>
        </is>
      </c>
      <c r="F5101" t="inlineStr">
        <is>
          <t>김수연</t>
        </is>
      </c>
      <c r="G5101" t="inlineStr">
        <is>
          <t>010-7149-9219</t>
        </is>
      </c>
      <c r="H5101" t="inlineStr">
        <is>
          <t>38가8930</t>
        </is>
      </c>
      <c r="I5101" t="n">
        <v>14900000</v>
      </c>
      <c r="J5101" t="n">
        <v>0.093</v>
      </c>
      <c r="K5101" t="n">
        <v>1.76</v>
      </c>
      <c r="L5101" t="n">
        <v>0.14</v>
      </c>
      <c r="M5101" t="n">
        <v>1.62</v>
      </c>
      <c r="P5101" t="inlineStr">
        <is>
          <t>임대경</t>
        </is>
      </c>
      <c r="Q5101" t="inlineStr">
        <is>
          <t>홈서비스 60개월</t>
        </is>
      </c>
      <c r="AB5101" t="inlineStr">
        <is>
          <t>홈서비스</t>
        </is>
      </c>
      <c r="AC5101" t="n">
        <v>262240</v>
      </c>
      <c r="AD5101" t="n">
        <v>20860</v>
      </c>
      <c r="AE5101" t="n">
        <v>241380</v>
      </c>
      <c r="AF5101" t="n">
        <v>238400</v>
      </c>
      <c r="AG5101" t="n">
        <v>20171.62</v>
      </c>
      <c r="AH5101" t="n">
        <v>218228.38</v>
      </c>
      <c r="AI5101" t="n">
        <v>0</v>
      </c>
    </row>
    <row r="5102">
      <c r="A5102" t="inlineStr">
        <is>
          <t>6월</t>
        </is>
      </c>
      <c r="B5102" t="inlineStr">
        <is>
          <t>24주차</t>
        </is>
      </c>
      <c r="C5102" t="inlineStr">
        <is>
          <t>IM</t>
        </is>
      </c>
      <c r="D5102" s="28" t="n">
        <v>46181</v>
      </c>
      <c r="E5102" t="inlineStr">
        <is>
          <t>IM캐피탈</t>
        </is>
      </c>
      <c r="F5102" t="inlineStr">
        <is>
          <t>이흥범</t>
        </is>
      </c>
      <c r="G5102" t="inlineStr">
        <is>
          <t>010-4143-8658</t>
        </is>
      </c>
      <c r="H5102" t="inlineStr">
        <is>
          <t>38다5231</t>
        </is>
      </c>
      <c r="I5102" t="n">
        <v>10200000</v>
      </c>
      <c r="J5102" t="n">
        <v>0.045</v>
      </c>
      <c r="K5102" t="n">
        <v>1.1</v>
      </c>
      <c r="L5102" t="n">
        <v>0.14</v>
      </c>
      <c r="M5102" t="n">
        <v>0.96</v>
      </c>
      <c r="P5102" t="inlineStr">
        <is>
          <t>박소현</t>
        </is>
      </c>
      <c r="Q5102" t="inlineStr">
        <is>
          <t>홈서비스 84개월</t>
        </is>
      </c>
      <c r="AB5102" t="inlineStr">
        <is>
          <t>홈서비스</t>
        </is>
      </c>
      <c r="AC5102" t="n">
        <v>112200</v>
      </c>
      <c r="AD5102" t="n">
        <v>14280</v>
      </c>
      <c r="AE5102" t="n">
        <v>97920</v>
      </c>
      <c r="AF5102" t="n">
        <v>102000</v>
      </c>
      <c r="AG5102" t="n">
        <v>13808.76</v>
      </c>
      <c r="AH5102" t="n">
        <v>88191.24000000001</v>
      </c>
      <c r="AI5102" t="n">
        <v>0</v>
      </c>
    </row>
    <row r="5103">
      <c r="A5103" t="inlineStr">
        <is>
          <t>6월</t>
        </is>
      </c>
      <c r="B5103" t="inlineStr">
        <is>
          <t>24주차</t>
        </is>
      </c>
      <c r="C5103" t="inlineStr">
        <is>
          <t>EP</t>
        </is>
      </c>
      <c r="D5103" s="28" t="n">
        <v>46181</v>
      </c>
      <c r="E5103" t="inlineStr">
        <is>
          <t>현대EP_fast</t>
        </is>
      </c>
      <c r="F5103" t="inlineStr">
        <is>
          <t>강민구</t>
        </is>
      </c>
      <c r="G5103" t="inlineStr">
        <is>
          <t>010-7454-0722</t>
        </is>
      </c>
      <c r="H5103" t="inlineStr">
        <is>
          <t>63저7533</t>
        </is>
      </c>
      <c r="I5103" t="n">
        <v>7000000</v>
      </c>
      <c r="J5103" t="n">
        <v>0.08400000000000001</v>
      </c>
      <c r="K5103" t="n">
        <v>1.76</v>
      </c>
      <c r="L5103" t="n">
        <v>0.14</v>
      </c>
      <c r="M5103" t="n">
        <v>1.62</v>
      </c>
      <c r="P5103" t="inlineStr">
        <is>
          <t>임대경</t>
        </is>
      </c>
      <c r="Q5103" t="inlineStr">
        <is>
          <t>홈서비스 24개월</t>
        </is>
      </c>
      <c r="AB5103" t="inlineStr">
        <is>
          <t>홈서비스</t>
        </is>
      </c>
      <c r="AC5103" t="n">
        <v>123200</v>
      </c>
      <c r="AD5103" t="n">
        <v>9800</v>
      </c>
      <c r="AE5103" t="n">
        <v>113400</v>
      </c>
      <c r="AF5103" t="n">
        <v>112000</v>
      </c>
      <c r="AG5103" t="n">
        <v>9476.6</v>
      </c>
      <c r="AH5103" t="n">
        <v>102523.4</v>
      </c>
      <c r="AI5103" t="n">
        <v>0</v>
      </c>
    </row>
    <row r="5104">
      <c r="A5104" t="inlineStr">
        <is>
          <t>6월</t>
        </is>
      </c>
      <c r="B5104" t="inlineStr">
        <is>
          <t>24주차</t>
        </is>
      </c>
      <c r="C5104" t="inlineStr">
        <is>
          <t>IM</t>
        </is>
      </c>
      <c r="D5104" s="28" t="n">
        <v>46181</v>
      </c>
      <c r="E5104" t="inlineStr">
        <is>
          <t>IM캐피탈</t>
        </is>
      </c>
      <c r="F5104" t="inlineStr">
        <is>
          <t>조창빈</t>
        </is>
      </c>
      <c r="G5104" t="inlineStr">
        <is>
          <t>010-9088-0388</t>
        </is>
      </c>
      <c r="H5104" t="inlineStr">
        <is>
          <t>55더4999</t>
        </is>
      </c>
      <c r="I5104" t="n">
        <v>20000000</v>
      </c>
      <c r="J5104" t="n">
        <v>0.045</v>
      </c>
      <c r="K5104" t="n">
        <v>1.1</v>
      </c>
      <c r="L5104" t="n">
        <v>0.14</v>
      </c>
      <c r="M5104" t="n">
        <v>0.96</v>
      </c>
      <c r="P5104" t="inlineStr">
        <is>
          <t>황채이</t>
        </is>
      </c>
      <c r="Q5104" t="inlineStr">
        <is>
          <t>홈서비스 48개월</t>
        </is>
      </c>
      <c r="AB5104" t="inlineStr">
        <is>
          <t>홈서비스</t>
        </is>
      </c>
      <c r="AC5104" t="n">
        <v>220000</v>
      </c>
      <c r="AD5104" t="n">
        <v>28000</v>
      </c>
      <c r="AE5104" t="n">
        <v>192000</v>
      </c>
      <c r="AF5104" t="n">
        <v>200000</v>
      </c>
      <c r="AG5104" t="n">
        <v>27076</v>
      </c>
      <c r="AH5104" t="n">
        <v>172924</v>
      </c>
      <c r="AI5104" t="n">
        <v>0</v>
      </c>
    </row>
    <row r="5105">
      <c r="A5105" t="inlineStr">
        <is>
          <t>6월</t>
        </is>
      </c>
      <c r="B5105" t="inlineStr">
        <is>
          <t>24주차</t>
        </is>
      </c>
      <c r="C5105" t="inlineStr">
        <is>
          <t>EP</t>
        </is>
      </c>
      <c r="D5105" s="28" t="n">
        <v>46181</v>
      </c>
      <c r="E5105" t="inlineStr">
        <is>
          <t>현대EP_fast</t>
        </is>
      </c>
      <c r="F5105" t="inlineStr">
        <is>
          <t>김수환</t>
        </is>
      </c>
      <c r="G5105" t="inlineStr">
        <is>
          <t>010-5769-9303</t>
        </is>
      </c>
      <c r="H5105" t="inlineStr">
        <is>
          <t>124라6386</t>
        </is>
      </c>
      <c r="I5105" t="n">
        <v>3300000</v>
      </c>
      <c r="J5105" t="n">
        <v>0.142</v>
      </c>
      <c r="K5105" t="n">
        <v>1.76</v>
      </c>
      <c r="L5105" t="n">
        <v>0.14</v>
      </c>
      <c r="M5105" t="n">
        <v>1.62</v>
      </c>
      <c r="P5105" t="inlineStr">
        <is>
          <t>황채이</t>
        </is>
      </c>
      <c r="Q5105" t="inlineStr">
        <is>
          <t>홈서비스 48개월</t>
        </is>
      </c>
      <c r="AB5105" t="inlineStr">
        <is>
          <t>홈서비스</t>
        </is>
      </c>
      <c r="AC5105" t="n">
        <v>58080</v>
      </c>
      <c r="AD5105" t="n">
        <v>4620</v>
      </c>
      <c r="AE5105" t="n">
        <v>53460</v>
      </c>
      <c r="AF5105" t="n">
        <v>52800</v>
      </c>
      <c r="AG5105" t="n">
        <v>4467.54</v>
      </c>
      <c r="AH5105" t="n">
        <v>48332.46</v>
      </c>
      <c r="AI5105" t="n">
        <v>0</v>
      </c>
    </row>
    <row r="5106">
      <c r="A5106" t="inlineStr">
        <is>
          <t>6월</t>
        </is>
      </c>
      <c r="B5106" t="inlineStr">
        <is>
          <t>24주차</t>
        </is>
      </c>
      <c r="C5106" t="inlineStr">
        <is>
          <t>IM</t>
        </is>
      </c>
      <c r="D5106" s="28" t="n">
        <v>46181</v>
      </c>
      <c r="E5106" t="inlineStr">
        <is>
          <t>IM캐피탈</t>
        </is>
      </c>
      <c r="F5106" t="inlineStr">
        <is>
          <t>권예라</t>
        </is>
      </c>
      <c r="G5106" t="inlineStr">
        <is>
          <t>010-6400-7378</t>
        </is>
      </c>
      <c r="H5106" t="inlineStr">
        <is>
          <t>28저2253</t>
        </is>
      </c>
      <c r="I5106" t="n">
        <v>23500000</v>
      </c>
      <c r="J5106" t="n">
        <v>0.076</v>
      </c>
      <c r="K5106" t="n">
        <v>1.1</v>
      </c>
      <c r="L5106" t="n">
        <v>0.14</v>
      </c>
      <c r="M5106" t="n">
        <v>0.96</v>
      </c>
      <c r="P5106" t="inlineStr">
        <is>
          <t>황채이</t>
        </is>
      </c>
      <c r="Q5106" t="inlineStr">
        <is>
          <t>홈서비스 60개월</t>
        </is>
      </c>
      <c r="AB5106" t="inlineStr">
        <is>
          <t>홈서비스</t>
        </is>
      </c>
      <c r="AC5106" t="n">
        <v>258500</v>
      </c>
      <c r="AD5106" t="n">
        <v>32900</v>
      </c>
      <c r="AE5106" t="n">
        <v>225600</v>
      </c>
      <c r="AF5106" t="n">
        <v>235000</v>
      </c>
      <c r="AG5106" t="n">
        <v>31814.3</v>
      </c>
      <c r="AH5106" t="n">
        <v>203185.7</v>
      </c>
    </row>
    <row r="5107">
      <c r="A5107" t="inlineStr">
        <is>
          <t>6월</t>
        </is>
      </c>
      <c r="B5107" t="inlineStr">
        <is>
          <t>24주차</t>
        </is>
      </c>
      <c r="C5107" t="inlineStr">
        <is>
          <t>EP</t>
        </is>
      </c>
      <c r="D5107" s="28" t="n">
        <v>46181</v>
      </c>
      <c r="E5107" t="inlineStr">
        <is>
          <t>현대EP_fast</t>
        </is>
      </c>
      <c r="F5107" t="inlineStr">
        <is>
          <t>신혜경</t>
        </is>
      </c>
      <c r="G5107" t="inlineStr">
        <is>
          <t>010-9927-1610</t>
        </is>
      </c>
      <c r="H5107" t="inlineStr">
        <is>
          <t>29무3131</t>
        </is>
      </c>
      <c r="I5107" t="n">
        <v>10500000</v>
      </c>
      <c r="J5107" t="n">
        <v>0.08400000000000001</v>
      </c>
      <c r="K5107" t="n">
        <v>1.76</v>
      </c>
      <c r="L5107" t="n">
        <v>0.14</v>
      </c>
      <c r="M5107" t="n">
        <v>1.62</v>
      </c>
      <c r="P5107" t="inlineStr">
        <is>
          <t>장진경</t>
        </is>
      </c>
      <c r="Q5107" t="inlineStr">
        <is>
          <t>홈서비스 60개월</t>
        </is>
      </c>
      <c r="AB5107" t="inlineStr">
        <is>
          <t>홈서비스</t>
        </is>
      </c>
      <c r="AC5107" t="n">
        <v>184800</v>
      </c>
      <c r="AD5107" t="n">
        <v>14700</v>
      </c>
      <c r="AE5107" t="n">
        <v>170100</v>
      </c>
      <c r="AF5107" t="n">
        <v>168000</v>
      </c>
      <c r="AG5107" t="n">
        <v>14214.9</v>
      </c>
      <c r="AH5107" t="n">
        <v>153785.1</v>
      </c>
      <c r="AI5107" t="n">
        <v>0</v>
      </c>
    </row>
    <row r="5108">
      <c r="A5108" t="inlineStr">
        <is>
          <t>6월</t>
        </is>
      </c>
      <c r="B5108" t="inlineStr">
        <is>
          <t>24주차</t>
        </is>
      </c>
      <c r="C5108" t="inlineStr">
        <is>
          <t>EP</t>
        </is>
      </c>
      <c r="D5108" s="28" t="n">
        <v>46182</v>
      </c>
      <c r="E5108" t="inlineStr">
        <is>
          <t>BNKEP</t>
        </is>
      </c>
      <c r="F5108" t="inlineStr">
        <is>
          <t>이윤숙</t>
        </is>
      </c>
      <c r="G5108" t="inlineStr">
        <is>
          <t>010-8801-3087</t>
        </is>
      </c>
      <c r="H5108" t="inlineStr">
        <is>
          <t>22보3156</t>
        </is>
      </c>
      <c r="I5108" t="n">
        <v>23900000</v>
      </c>
      <c r="J5108" t="n">
        <v>0.063</v>
      </c>
      <c r="K5108" t="n">
        <v>1.65</v>
      </c>
      <c r="L5108" t="n">
        <v>0.14</v>
      </c>
      <c r="M5108" t="n">
        <v>1.51</v>
      </c>
      <c r="P5108" t="inlineStr">
        <is>
          <t>황채이</t>
        </is>
      </c>
      <c r="Q5108" t="inlineStr">
        <is>
          <t>홈서비스 60개월</t>
        </is>
      </c>
      <c r="AB5108" t="inlineStr">
        <is>
          <t>홈서비스</t>
        </is>
      </c>
      <c r="AC5108" t="n">
        <v>394350</v>
      </c>
      <c r="AD5108" t="n">
        <v>33460</v>
      </c>
      <c r="AE5108" t="n">
        <v>360890</v>
      </c>
      <c r="AF5108" t="n">
        <v>358500</v>
      </c>
      <c r="AG5108" t="n">
        <v>32355.82</v>
      </c>
      <c r="AH5108" t="n">
        <v>326144.18</v>
      </c>
      <c r="AI5108" t="n">
        <v>0</v>
      </c>
    </row>
    <row r="5109">
      <c r="A5109" t="inlineStr">
        <is>
          <t>6월</t>
        </is>
      </c>
      <c r="B5109" t="inlineStr">
        <is>
          <t>24주차</t>
        </is>
      </c>
      <c r="C5109" t="inlineStr">
        <is>
          <t>EP</t>
        </is>
      </c>
      <c r="D5109" s="28" t="n">
        <v>46181</v>
      </c>
      <c r="E5109" t="inlineStr">
        <is>
          <t>현대EP</t>
        </is>
      </c>
      <c r="F5109" t="inlineStr">
        <is>
          <t>김종표</t>
        </is>
      </c>
      <c r="G5109" t="inlineStr">
        <is>
          <t>010-9572-6690</t>
        </is>
      </c>
      <c r="H5109" t="inlineStr">
        <is>
          <t>173보1314</t>
        </is>
      </c>
      <c r="I5109" t="n">
        <v>5000000</v>
      </c>
      <c r="J5109" t="n">
        <v>0.06900000000000001</v>
      </c>
      <c r="K5109" t="n">
        <v>1.76</v>
      </c>
      <c r="L5109" t="n">
        <v>0.14</v>
      </c>
      <c r="M5109" t="n">
        <v>1.62</v>
      </c>
      <c r="P5109" t="inlineStr">
        <is>
          <t>황채이</t>
        </is>
      </c>
      <c r="AB5109" t="inlineStr">
        <is>
          <t>홈서비스</t>
        </is>
      </c>
      <c r="AC5109" t="n">
        <v>88000</v>
      </c>
      <c r="AD5109" t="n">
        <v>7000</v>
      </c>
      <c r="AE5109" t="n">
        <v>81000</v>
      </c>
      <c r="AF5109" t="n">
        <v>80000</v>
      </c>
      <c r="AG5109" t="n">
        <v>6769</v>
      </c>
      <c r="AH5109" t="n">
        <v>73231</v>
      </c>
    </row>
    <row r="5110">
      <c r="A5110" t="inlineStr">
        <is>
          <t>6월</t>
        </is>
      </c>
      <c r="B5110" t="inlineStr">
        <is>
          <t>24주차</t>
        </is>
      </c>
      <c r="C5110" t="inlineStr">
        <is>
          <t>EP</t>
        </is>
      </c>
      <c r="D5110" s="28" t="n">
        <v>46181</v>
      </c>
      <c r="E5110" t="inlineStr">
        <is>
          <t>현대EP</t>
        </is>
      </c>
      <c r="F5110" t="inlineStr">
        <is>
          <t>김희문</t>
        </is>
      </c>
      <c r="G5110" t="inlineStr">
        <is>
          <t>010-5253-3856</t>
        </is>
      </c>
      <c r="H5110" t="inlineStr">
        <is>
          <t>46라0171</t>
        </is>
      </c>
      <c r="I5110" t="n">
        <v>9500000</v>
      </c>
      <c r="J5110" t="n">
        <v>0.08400000000000001</v>
      </c>
      <c r="K5110" t="n">
        <v>1.76</v>
      </c>
      <c r="L5110" t="n">
        <v>0.14</v>
      </c>
      <c r="M5110" t="n">
        <v>1.62</v>
      </c>
      <c r="P5110" t="inlineStr">
        <is>
          <t>정세빈</t>
        </is>
      </c>
      <c r="AB5110" t="inlineStr">
        <is>
          <t>홈서비스</t>
        </is>
      </c>
      <c r="AC5110" t="n">
        <v>167200</v>
      </c>
      <c r="AD5110" t="n">
        <v>13300</v>
      </c>
      <c r="AE5110" t="n">
        <v>153900</v>
      </c>
      <c r="AF5110" t="n">
        <v>152000</v>
      </c>
      <c r="AG5110" t="n">
        <v>12861.1</v>
      </c>
      <c r="AH5110" t="n">
        <v>139138.9</v>
      </c>
      <c r="AI5110" t="n">
        <v>0</v>
      </c>
    </row>
    <row r="5111">
      <c r="A5111" t="inlineStr">
        <is>
          <t>6월</t>
        </is>
      </c>
      <c r="B5111" t="inlineStr">
        <is>
          <t>24주차</t>
        </is>
      </c>
      <c r="C5111" t="inlineStr">
        <is>
          <t>EP</t>
        </is>
      </c>
      <c r="D5111" s="28" t="n">
        <v>46181</v>
      </c>
      <c r="E5111" t="inlineStr">
        <is>
          <t>현대EP</t>
        </is>
      </c>
      <c r="F5111" t="inlineStr">
        <is>
          <t>박승보</t>
        </is>
      </c>
      <c r="G5111" t="inlineStr">
        <is>
          <t>010-3269-5191</t>
        </is>
      </c>
      <c r="H5111" t="inlineStr">
        <is>
          <t>153버7123</t>
        </is>
      </c>
      <c r="I5111" t="n">
        <v>17000000</v>
      </c>
      <c r="J5111" t="n">
        <v>0.142</v>
      </c>
      <c r="K5111" t="n">
        <v>1.76</v>
      </c>
      <c r="L5111" t="n">
        <v>0.14</v>
      </c>
      <c r="M5111" t="n">
        <v>1.62</v>
      </c>
      <c r="P5111" t="inlineStr">
        <is>
          <t>황채이</t>
        </is>
      </c>
      <c r="AB5111" t="inlineStr">
        <is>
          <t>홈서비스</t>
        </is>
      </c>
      <c r="AC5111" t="n">
        <v>299200</v>
      </c>
      <c r="AD5111" t="n">
        <v>23800</v>
      </c>
      <c r="AE5111" t="n">
        <v>275400</v>
      </c>
      <c r="AF5111" t="n">
        <v>272000</v>
      </c>
      <c r="AG5111" t="n">
        <v>23014.6</v>
      </c>
      <c r="AH5111" t="n">
        <v>248985.4</v>
      </c>
      <c r="AI5111" t="n">
        <v>0</v>
      </c>
    </row>
    <row r="5112">
      <c r="A5112" t="inlineStr">
        <is>
          <t>6월</t>
        </is>
      </c>
      <c r="B5112" t="inlineStr">
        <is>
          <t>24주차</t>
        </is>
      </c>
      <c r="C5112" t="inlineStr">
        <is>
          <t>EP</t>
        </is>
      </c>
      <c r="D5112" s="28" t="n">
        <v>46181</v>
      </c>
      <c r="E5112" t="inlineStr">
        <is>
          <t>현대EP</t>
        </is>
      </c>
      <c r="F5112" t="inlineStr">
        <is>
          <t>백영진</t>
        </is>
      </c>
      <c r="G5112" t="inlineStr">
        <is>
          <t>010-8005-0118</t>
        </is>
      </c>
      <c r="H5112" t="inlineStr">
        <is>
          <t>60버7497</t>
        </is>
      </c>
      <c r="I5112" t="n">
        <v>23300000</v>
      </c>
      <c r="J5112" t="n">
        <v>0.076</v>
      </c>
      <c r="K5112" t="n">
        <v>1.76</v>
      </c>
      <c r="L5112" t="n">
        <v>0.14</v>
      </c>
      <c r="M5112" t="n">
        <v>1.62</v>
      </c>
      <c r="P5112" t="inlineStr">
        <is>
          <t>황채이</t>
        </is>
      </c>
      <c r="AB5112" t="inlineStr">
        <is>
          <t>홈서비스</t>
        </is>
      </c>
      <c r="AC5112" t="n">
        <v>410080</v>
      </c>
      <c r="AD5112" t="n">
        <v>32620</v>
      </c>
      <c r="AE5112" t="n">
        <v>377460</v>
      </c>
      <c r="AF5112" t="n">
        <v>372800</v>
      </c>
      <c r="AG5112" t="n">
        <v>31543.54</v>
      </c>
      <c r="AH5112" t="n">
        <v>341256.46</v>
      </c>
      <c r="AI5112" t="n">
        <v>0</v>
      </c>
    </row>
    <row r="5113">
      <c r="A5113" t="inlineStr">
        <is>
          <t>6월</t>
        </is>
      </c>
      <c r="B5113" t="inlineStr">
        <is>
          <t>24주차</t>
        </is>
      </c>
      <c r="C5113" t="inlineStr">
        <is>
          <t>EP</t>
        </is>
      </c>
      <c r="D5113" s="28" t="n">
        <v>46181</v>
      </c>
      <c r="E5113" t="inlineStr">
        <is>
          <t>현대EP</t>
        </is>
      </c>
      <c r="F5113" t="inlineStr">
        <is>
          <t>변식</t>
        </is>
      </c>
      <c r="G5113" t="inlineStr">
        <is>
          <t>010-8788-5287</t>
        </is>
      </c>
      <c r="H5113" t="inlineStr">
        <is>
          <t>16노3140</t>
        </is>
      </c>
      <c r="I5113" t="n">
        <v>30900000</v>
      </c>
      <c r="J5113" t="n">
        <v>0.062</v>
      </c>
      <c r="K5113" t="n">
        <v>1.76</v>
      </c>
      <c r="L5113" t="n">
        <v>0.14</v>
      </c>
      <c r="M5113" t="n">
        <v>1.62</v>
      </c>
      <c r="P5113" t="inlineStr">
        <is>
          <t>정세빈</t>
        </is>
      </c>
      <c r="AB5113" t="inlineStr">
        <is>
          <t>홈서비스</t>
        </is>
      </c>
      <c r="AC5113" t="n">
        <v>543840</v>
      </c>
      <c r="AD5113" t="n">
        <v>43260</v>
      </c>
      <c r="AE5113" t="n">
        <v>500580</v>
      </c>
      <c r="AF5113" t="n">
        <v>494400</v>
      </c>
      <c r="AG5113" t="n">
        <v>41832.42</v>
      </c>
      <c r="AH5113" t="n">
        <v>452567.58</v>
      </c>
      <c r="AI5113" t="n">
        <v>0</v>
      </c>
    </row>
    <row r="5114">
      <c r="A5114" t="inlineStr">
        <is>
          <t>6월</t>
        </is>
      </c>
      <c r="B5114" t="inlineStr">
        <is>
          <t>24주차</t>
        </is>
      </c>
      <c r="C5114" t="inlineStr">
        <is>
          <t>EP</t>
        </is>
      </c>
      <c r="D5114" s="28" t="n">
        <v>46181</v>
      </c>
      <c r="E5114" t="inlineStr">
        <is>
          <t>현대EP</t>
        </is>
      </c>
      <c r="F5114" t="inlineStr">
        <is>
          <t>성준영</t>
        </is>
      </c>
      <c r="G5114" t="inlineStr">
        <is>
          <t>010-8797-4886</t>
        </is>
      </c>
      <c r="H5114" t="inlineStr">
        <is>
          <t>33주2345</t>
        </is>
      </c>
      <c r="I5114" t="n">
        <v>9500000</v>
      </c>
      <c r="J5114" t="n">
        <v>0.093</v>
      </c>
      <c r="K5114" t="n">
        <v>1.76</v>
      </c>
      <c r="L5114" t="n">
        <v>0.14</v>
      </c>
      <c r="M5114" t="n">
        <v>1.62</v>
      </c>
      <c r="P5114" t="inlineStr">
        <is>
          <t>장진경</t>
        </is>
      </c>
      <c r="AB5114" t="inlineStr">
        <is>
          <t>홈서비스</t>
        </is>
      </c>
      <c r="AC5114" t="n">
        <v>167200</v>
      </c>
      <c r="AD5114" t="n">
        <v>13300</v>
      </c>
      <c r="AE5114" t="n">
        <v>153900</v>
      </c>
      <c r="AF5114" t="n">
        <v>152000</v>
      </c>
      <c r="AG5114" t="n">
        <v>12861.1</v>
      </c>
      <c r="AH5114" t="n">
        <v>139138.9</v>
      </c>
      <c r="AI5114" t="n">
        <v>0</v>
      </c>
    </row>
    <row r="5115">
      <c r="A5115" t="inlineStr">
        <is>
          <t>6월</t>
        </is>
      </c>
      <c r="B5115" t="inlineStr">
        <is>
          <t>24주차</t>
        </is>
      </c>
      <c r="C5115" t="inlineStr">
        <is>
          <t>EP</t>
        </is>
      </c>
      <c r="D5115" s="28" t="n">
        <v>46181</v>
      </c>
      <c r="E5115" t="inlineStr">
        <is>
          <t>현대EP</t>
        </is>
      </c>
      <c r="F5115" t="inlineStr">
        <is>
          <t>송성현</t>
        </is>
      </c>
      <c r="G5115" t="inlineStr">
        <is>
          <t>010-9996-9804</t>
        </is>
      </c>
      <c r="H5115" t="inlineStr">
        <is>
          <t>192구3137</t>
        </is>
      </c>
      <c r="I5115" t="n">
        <v>10800000</v>
      </c>
      <c r="J5115" t="n">
        <v>0.076</v>
      </c>
      <c r="K5115" t="n">
        <v>1.76</v>
      </c>
      <c r="L5115" t="n">
        <v>0.14</v>
      </c>
      <c r="M5115" t="n">
        <v>1.62</v>
      </c>
      <c r="P5115" t="inlineStr">
        <is>
          <t>김수연</t>
        </is>
      </c>
      <c r="AB5115" t="inlineStr">
        <is>
          <t>홈서비스</t>
        </is>
      </c>
      <c r="AC5115" t="n">
        <v>190080</v>
      </c>
      <c r="AD5115" t="n">
        <v>15120</v>
      </c>
      <c r="AE5115" t="n">
        <v>174960</v>
      </c>
      <c r="AF5115" t="n">
        <v>172800</v>
      </c>
      <c r="AG5115" t="n">
        <v>14621.04</v>
      </c>
      <c r="AH5115" t="n">
        <v>158178.96</v>
      </c>
      <c r="AI5115" t="n">
        <v>0</v>
      </c>
    </row>
    <row r="5116">
      <c r="A5116" t="inlineStr">
        <is>
          <t>6월</t>
        </is>
      </c>
      <c r="B5116" t="inlineStr">
        <is>
          <t>24주차</t>
        </is>
      </c>
      <c r="C5116" t="inlineStr">
        <is>
          <t>EP</t>
        </is>
      </c>
      <c r="D5116" s="28" t="n">
        <v>46181</v>
      </c>
      <c r="E5116" t="inlineStr">
        <is>
          <t>현대EP</t>
        </is>
      </c>
      <c r="F5116" t="inlineStr">
        <is>
          <t>송인규</t>
        </is>
      </c>
      <c r="G5116" t="inlineStr">
        <is>
          <t>010-9099-1113</t>
        </is>
      </c>
      <c r="H5116" t="inlineStr">
        <is>
          <t>25머0413</t>
        </is>
      </c>
      <c r="I5116" t="n">
        <v>8700000</v>
      </c>
      <c r="J5116" t="n">
        <v>0.06900000000000001</v>
      </c>
      <c r="K5116" t="n">
        <v>1.76</v>
      </c>
      <c r="L5116" t="n">
        <v>0.14</v>
      </c>
      <c r="M5116" t="n">
        <v>1.62</v>
      </c>
      <c r="P5116" t="inlineStr">
        <is>
          <t>김나윤</t>
        </is>
      </c>
      <c r="AB5116" t="inlineStr">
        <is>
          <t>홈서비스</t>
        </is>
      </c>
      <c r="AC5116" t="n">
        <v>153120</v>
      </c>
      <c r="AD5116" t="n">
        <v>12180</v>
      </c>
      <c r="AE5116" t="n">
        <v>140940</v>
      </c>
      <c r="AF5116" t="n">
        <v>139200</v>
      </c>
      <c r="AG5116" t="n">
        <v>11778.06</v>
      </c>
      <c r="AH5116" t="n">
        <v>127421.94</v>
      </c>
    </row>
    <row r="5117">
      <c r="A5117" t="inlineStr">
        <is>
          <t>6월</t>
        </is>
      </c>
      <c r="B5117" t="inlineStr">
        <is>
          <t>24주차</t>
        </is>
      </c>
      <c r="C5117" t="inlineStr">
        <is>
          <t>EP</t>
        </is>
      </c>
      <c r="D5117" s="28" t="n">
        <v>46181</v>
      </c>
      <c r="E5117" t="inlineStr">
        <is>
          <t>현대EP</t>
        </is>
      </c>
      <c r="F5117" t="inlineStr">
        <is>
          <t>송춘식</t>
        </is>
      </c>
      <c r="G5117" t="inlineStr">
        <is>
          <t>010-6268-1116</t>
        </is>
      </c>
      <c r="H5117" t="inlineStr">
        <is>
          <t>76다8919</t>
        </is>
      </c>
      <c r="I5117" t="n">
        <v>4200000</v>
      </c>
      <c r="J5117" t="n">
        <v>0.06900000000000001</v>
      </c>
      <c r="K5117" t="n">
        <v>1.76</v>
      </c>
      <c r="L5117" t="n">
        <v>0.14</v>
      </c>
      <c r="M5117" t="n">
        <v>1.62</v>
      </c>
      <c r="P5117" t="inlineStr">
        <is>
          <t>김수연</t>
        </is>
      </c>
      <c r="AB5117" t="inlineStr">
        <is>
          <t>홈서비스</t>
        </is>
      </c>
      <c r="AC5117" t="n">
        <v>73920</v>
      </c>
      <c r="AD5117" t="n">
        <v>5880</v>
      </c>
      <c r="AE5117" t="n">
        <v>68040</v>
      </c>
      <c r="AF5117" t="n">
        <v>67200</v>
      </c>
      <c r="AG5117" t="n">
        <v>5685.96</v>
      </c>
      <c r="AH5117" t="n">
        <v>61514.04</v>
      </c>
      <c r="AI5117" t="n">
        <v>0</v>
      </c>
    </row>
    <row r="5118">
      <c r="A5118" t="inlineStr">
        <is>
          <t>6월</t>
        </is>
      </c>
      <c r="B5118" t="inlineStr">
        <is>
          <t>24주차</t>
        </is>
      </c>
      <c r="C5118" t="inlineStr">
        <is>
          <t>EP</t>
        </is>
      </c>
      <c r="D5118" s="28" t="n">
        <v>46181</v>
      </c>
      <c r="E5118" t="inlineStr">
        <is>
          <t>현대EP</t>
        </is>
      </c>
      <c r="F5118" t="inlineStr">
        <is>
          <t>신경화</t>
        </is>
      </c>
      <c r="G5118" t="inlineStr">
        <is>
          <t>010-8138-1366</t>
        </is>
      </c>
      <c r="H5118" t="inlineStr">
        <is>
          <t>193나2249</t>
        </is>
      </c>
      <c r="I5118" t="n">
        <v>13600000</v>
      </c>
      <c r="J5118" t="n">
        <v>0.06900000000000001</v>
      </c>
      <c r="K5118" t="n">
        <v>1.76</v>
      </c>
      <c r="L5118" t="n">
        <v>0.14</v>
      </c>
      <c r="M5118" t="n">
        <v>1.62</v>
      </c>
      <c r="P5118" t="inlineStr">
        <is>
          <t>황채이</t>
        </is>
      </c>
      <c r="AB5118" t="inlineStr">
        <is>
          <t>홈서비스</t>
        </is>
      </c>
      <c r="AC5118" t="n">
        <v>239360</v>
      </c>
      <c r="AD5118" t="n">
        <v>19040</v>
      </c>
      <c r="AE5118" t="n">
        <v>220320</v>
      </c>
      <c r="AF5118" t="n">
        <v>217600</v>
      </c>
      <c r="AG5118" t="n">
        <v>18411.68</v>
      </c>
      <c r="AH5118" t="n">
        <v>199188.32</v>
      </c>
      <c r="AI5118" t="n">
        <v>0</v>
      </c>
    </row>
    <row r="5119">
      <c r="A5119" t="inlineStr">
        <is>
          <t>6월</t>
        </is>
      </c>
      <c r="B5119" t="inlineStr">
        <is>
          <t>24주차</t>
        </is>
      </c>
      <c r="C5119" t="inlineStr">
        <is>
          <t>EP</t>
        </is>
      </c>
      <c r="D5119" s="28" t="n">
        <v>46181</v>
      </c>
      <c r="E5119" t="inlineStr">
        <is>
          <t>현대EP</t>
        </is>
      </c>
      <c r="F5119" t="inlineStr">
        <is>
          <t>이경진</t>
        </is>
      </c>
      <c r="G5119" t="inlineStr">
        <is>
          <t>010-8522-0035</t>
        </is>
      </c>
      <c r="H5119" t="inlineStr">
        <is>
          <t>57루4481</t>
        </is>
      </c>
      <c r="I5119" t="n">
        <v>49900000</v>
      </c>
      <c r="J5119" t="n">
        <v>0.102</v>
      </c>
      <c r="K5119" t="n">
        <v>1.76</v>
      </c>
      <c r="L5119" t="n">
        <v>0.14</v>
      </c>
      <c r="M5119" t="n">
        <v>1.62</v>
      </c>
      <c r="P5119" t="inlineStr">
        <is>
          <t>김나윤</t>
        </is>
      </c>
      <c r="AB5119" t="inlineStr">
        <is>
          <t>홈서비스</t>
        </is>
      </c>
      <c r="AC5119" t="n">
        <v>878240</v>
      </c>
      <c r="AD5119" t="n">
        <v>69860</v>
      </c>
      <c r="AE5119" t="n">
        <v>808380</v>
      </c>
      <c r="AF5119" t="n">
        <v>798400</v>
      </c>
      <c r="AG5119" t="n">
        <v>67554.62</v>
      </c>
      <c r="AH5119" t="n">
        <v>730845.38</v>
      </c>
      <c r="AI5119" t="n">
        <v>0</v>
      </c>
    </row>
    <row r="5120">
      <c r="A5120" t="inlineStr">
        <is>
          <t>6월</t>
        </is>
      </c>
      <c r="B5120" t="inlineStr">
        <is>
          <t>24주차</t>
        </is>
      </c>
      <c r="C5120" t="inlineStr">
        <is>
          <t>EP</t>
        </is>
      </c>
      <c r="D5120" s="28" t="n">
        <v>46181</v>
      </c>
      <c r="E5120" t="inlineStr">
        <is>
          <t>현대EP</t>
        </is>
      </c>
      <c r="F5120" t="inlineStr">
        <is>
          <t>이종엽</t>
        </is>
      </c>
      <c r="G5120" t="inlineStr">
        <is>
          <t>010-9214-2997</t>
        </is>
      </c>
      <c r="H5120" t="inlineStr">
        <is>
          <t>111더4097</t>
        </is>
      </c>
      <c r="I5120" t="n">
        <v>11900000</v>
      </c>
      <c r="J5120" t="n">
        <v>0.06900000000000001</v>
      </c>
      <c r="K5120" t="n">
        <v>1.76</v>
      </c>
      <c r="L5120" t="n">
        <v>0.14</v>
      </c>
      <c r="M5120" t="n">
        <v>1.62</v>
      </c>
      <c r="P5120" t="inlineStr">
        <is>
          <t>정세빈</t>
        </is>
      </c>
      <c r="AB5120" t="inlineStr">
        <is>
          <t>홈서비스</t>
        </is>
      </c>
      <c r="AC5120" t="n">
        <v>209440</v>
      </c>
      <c r="AD5120" t="n">
        <v>16660</v>
      </c>
      <c r="AE5120" t="n">
        <v>192780</v>
      </c>
      <c r="AF5120" t="n">
        <v>190400</v>
      </c>
      <c r="AG5120" t="n">
        <v>16110.22</v>
      </c>
      <c r="AH5120" t="n">
        <v>174289.78</v>
      </c>
      <c r="AI5120" t="n">
        <v>0</v>
      </c>
    </row>
    <row r="5121">
      <c r="A5121" t="inlineStr">
        <is>
          <t>6월</t>
        </is>
      </c>
      <c r="B5121" t="inlineStr">
        <is>
          <t>24주차</t>
        </is>
      </c>
      <c r="C5121" t="inlineStr">
        <is>
          <t>EP</t>
        </is>
      </c>
      <c r="D5121" s="28" t="n">
        <v>46181</v>
      </c>
      <c r="E5121" t="inlineStr">
        <is>
          <t>현대EP</t>
        </is>
      </c>
      <c r="F5121" t="inlineStr">
        <is>
          <t>이하나</t>
        </is>
      </c>
      <c r="G5121" t="inlineStr">
        <is>
          <t>010-3091-7035</t>
        </is>
      </c>
      <c r="H5121" t="inlineStr">
        <is>
          <t>62보4686</t>
        </is>
      </c>
      <c r="I5121" t="n">
        <v>8300000</v>
      </c>
      <c r="J5121" t="n">
        <v>0.096</v>
      </c>
      <c r="K5121" t="n">
        <v>1.76</v>
      </c>
      <c r="L5121" t="n">
        <v>0.14</v>
      </c>
      <c r="M5121" t="n">
        <v>1.62</v>
      </c>
      <c r="P5121" t="inlineStr">
        <is>
          <t>김나윤</t>
        </is>
      </c>
      <c r="AB5121" t="inlineStr">
        <is>
          <t>홈서비스</t>
        </is>
      </c>
      <c r="AC5121" t="n">
        <v>146080</v>
      </c>
      <c r="AD5121" t="n">
        <v>11620</v>
      </c>
      <c r="AE5121" t="n">
        <v>134460</v>
      </c>
      <c r="AF5121" t="n">
        <v>132800</v>
      </c>
      <c r="AG5121" t="n">
        <v>11236.54</v>
      </c>
      <c r="AH5121" t="n">
        <v>121563.46</v>
      </c>
      <c r="AI5121" t="n">
        <v>0</v>
      </c>
    </row>
    <row r="5122">
      <c r="A5122" t="inlineStr">
        <is>
          <t>6월</t>
        </is>
      </c>
      <c r="B5122" t="inlineStr">
        <is>
          <t>24주차</t>
        </is>
      </c>
      <c r="C5122" t="inlineStr">
        <is>
          <t>EP</t>
        </is>
      </c>
      <c r="D5122" s="28" t="n">
        <v>46181</v>
      </c>
      <c r="E5122" t="inlineStr">
        <is>
          <t>현대EP</t>
        </is>
      </c>
      <c r="F5122" t="inlineStr">
        <is>
          <t>정준섭</t>
        </is>
      </c>
      <c r="G5122" t="inlineStr">
        <is>
          <t>010-2728-7209</t>
        </is>
      </c>
      <c r="H5122" t="inlineStr">
        <is>
          <t>148마4216</t>
        </is>
      </c>
      <c r="I5122" t="n">
        <v>35900000</v>
      </c>
      <c r="J5122" t="n">
        <v>0.076</v>
      </c>
      <c r="K5122" t="n">
        <v>1.76</v>
      </c>
      <c r="L5122" t="n">
        <v>0.14</v>
      </c>
      <c r="M5122" t="n">
        <v>1.62</v>
      </c>
      <c r="P5122" t="inlineStr">
        <is>
          <t>김나윤</t>
        </is>
      </c>
      <c r="AB5122" t="inlineStr">
        <is>
          <t>홈서비스</t>
        </is>
      </c>
      <c r="AC5122" t="n">
        <v>631840</v>
      </c>
      <c r="AD5122" t="n">
        <v>50260</v>
      </c>
      <c r="AE5122" t="n">
        <v>581580</v>
      </c>
      <c r="AF5122" t="n">
        <v>574400</v>
      </c>
      <c r="AG5122" t="n">
        <v>48601.42</v>
      </c>
      <c r="AH5122" t="n">
        <v>525798.58</v>
      </c>
    </row>
    <row r="5123">
      <c r="A5123" t="inlineStr">
        <is>
          <t>6월</t>
        </is>
      </c>
      <c r="B5123" t="inlineStr">
        <is>
          <t>24주차</t>
        </is>
      </c>
      <c r="C5123" t="inlineStr">
        <is>
          <t>EP</t>
        </is>
      </c>
      <c r="D5123" s="28" t="n">
        <v>46181</v>
      </c>
      <c r="E5123" t="inlineStr">
        <is>
          <t>현대EP</t>
        </is>
      </c>
      <c r="F5123" t="inlineStr">
        <is>
          <t>최경현</t>
        </is>
      </c>
      <c r="G5123" t="inlineStr">
        <is>
          <t>010-8871-4834</t>
        </is>
      </c>
      <c r="H5123" t="inlineStr">
        <is>
          <t>215거7682</t>
        </is>
      </c>
      <c r="I5123" t="n">
        <v>19200000</v>
      </c>
      <c r="J5123" t="n">
        <v>0.096</v>
      </c>
      <c r="K5123" t="n">
        <v>1.76</v>
      </c>
      <c r="L5123" t="n">
        <v>0.14</v>
      </c>
      <c r="M5123" t="n">
        <v>1.62</v>
      </c>
      <c r="P5123" t="inlineStr">
        <is>
          <t>정세빈</t>
        </is>
      </c>
      <c r="AB5123" t="inlineStr">
        <is>
          <t>홈서비스</t>
        </is>
      </c>
      <c r="AC5123" t="n">
        <v>337920</v>
      </c>
      <c r="AD5123" t="n">
        <v>26880</v>
      </c>
      <c r="AE5123" t="n">
        <v>311040</v>
      </c>
      <c r="AF5123" t="n">
        <v>307200</v>
      </c>
      <c r="AG5123" t="n">
        <v>25992.96</v>
      </c>
      <c r="AH5123" t="n">
        <v>281207.04</v>
      </c>
    </row>
    <row r="5124">
      <c r="A5124" t="inlineStr">
        <is>
          <t>6월</t>
        </is>
      </c>
      <c r="B5124" t="inlineStr">
        <is>
          <t>24주차</t>
        </is>
      </c>
      <c r="C5124" t="inlineStr">
        <is>
          <t>EP</t>
        </is>
      </c>
      <c r="D5124" s="28" t="n">
        <v>46181</v>
      </c>
      <c r="E5124" t="inlineStr">
        <is>
          <t>현대EP_fast</t>
        </is>
      </c>
      <c r="F5124" t="inlineStr">
        <is>
          <t>이승협</t>
        </is>
      </c>
      <c r="G5124" t="inlineStr">
        <is>
          <t>010-5254-7965</t>
        </is>
      </c>
      <c r="H5124" t="inlineStr">
        <is>
          <t>161나7830</t>
        </is>
      </c>
      <c r="I5124" t="n">
        <v>29700000</v>
      </c>
      <c r="J5124" t="n">
        <v>0.08400000000000001</v>
      </c>
      <c r="K5124" t="n">
        <v>1.76</v>
      </c>
      <c r="L5124" t="n">
        <v>0.4</v>
      </c>
      <c r="M5124" t="n">
        <v>1.36</v>
      </c>
      <c r="P5124" t="inlineStr">
        <is>
          <t>최혁</t>
        </is>
      </c>
      <c r="AB5124" t="inlineStr">
        <is>
          <t>엔카</t>
        </is>
      </c>
      <c r="AC5124" t="n">
        <v>522720</v>
      </c>
      <c r="AD5124" t="n">
        <v>118800</v>
      </c>
      <c r="AE5124" t="n">
        <v>403920</v>
      </c>
      <c r="AF5124" t="n">
        <v>475200</v>
      </c>
      <c r="AG5124" t="n">
        <v>114879.6</v>
      </c>
      <c r="AH5124" t="n">
        <v>360320.4</v>
      </c>
      <c r="AI5124" t="n">
        <v>0</v>
      </c>
    </row>
    <row r="5125">
      <c r="A5125" t="inlineStr">
        <is>
          <t>6월</t>
        </is>
      </c>
      <c r="B5125" t="inlineStr">
        <is>
          <t>24주차</t>
        </is>
      </c>
      <c r="C5125" t="inlineStr">
        <is>
          <t>EP</t>
        </is>
      </c>
      <c r="D5125" s="28" t="n">
        <v>46181</v>
      </c>
      <c r="E5125" t="inlineStr">
        <is>
          <t>제이비EP</t>
        </is>
      </c>
      <c r="F5125" t="inlineStr">
        <is>
          <t>박규동</t>
        </is>
      </c>
      <c r="G5125" t="inlineStr">
        <is>
          <t>010-9481-9532</t>
        </is>
      </c>
      <c r="H5125" t="inlineStr">
        <is>
          <t>59머1820</t>
        </is>
      </c>
      <c r="I5125" t="n">
        <v>8000000</v>
      </c>
      <c r="J5125" t="n">
        <v>0.112</v>
      </c>
      <c r="K5125" t="n">
        <v>1.65</v>
      </c>
      <c r="L5125" t="n">
        <v>0.4</v>
      </c>
      <c r="M5125" t="n">
        <v>1.25</v>
      </c>
      <c r="P5125" t="inlineStr">
        <is>
          <t>최혁</t>
        </is>
      </c>
      <c r="AB5125" t="inlineStr">
        <is>
          <t>엔카</t>
        </is>
      </c>
      <c r="AC5125" t="n">
        <v>132000</v>
      </c>
      <c r="AD5125" t="n">
        <v>32000</v>
      </c>
      <c r="AE5125" t="n">
        <v>100000</v>
      </c>
      <c r="AF5125" t="n">
        <v>120000</v>
      </c>
      <c r="AG5125" t="n">
        <v>30944</v>
      </c>
      <c r="AH5125" t="n">
        <v>89056</v>
      </c>
      <c r="AI5125" t="n">
        <v>0</v>
      </c>
    </row>
    <row r="5126">
      <c r="A5126" t="inlineStr">
        <is>
          <t>6월</t>
        </is>
      </c>
      <c r="B5126" t="inlineStr">
        <is>
          <t>24주차</t>
        </is>
      </c>
      <c r="C5126" t="inlineStr">
        <is>
          <t>IM</t>
        </is>
      </c>
      <c r="D5126" s="28" t="n">
        <v>46182</v>
      </c>
      <c r="E5126" t="inlineStr">
        <is>
          <t>IM캐피탈</t>
        </is>
      </c>
      <c r="F5126" t="inlineStr">
        <is>
          <t>박두기</t>
        </is>
      </c>
      <c r="G5126" t="inlineStr">
        <is>
          <t>010-2439-0819</t>
        </is>
      </c>
      <c r="H5126" t="inlineStr">
        <is>
          <t>316마7300</t>
        </is>
      </c>
      <c r="I5126" t="n">
        <v>14700000</v>
      </c>
      <c r="J5126" t="n">
        <v>0.045</v>
      </c>
      <c r="K5126" t="n">
        <v>1.1</v>
      </c>
      <c r="L5126" t="n">
        <v>0.14</v>
      </c>
      <c r="M5126" t="n">
        <v>0.96</v>
      </c>
      <c r="P5126" t="inlineStr">
        <is>
          <t>박소현</t>
        </is>
      </c>
      <c r="Q5126" t="inlineStr">
        <is>
          <t>홈서비스 48개월</t>
        </is>
      </c>
      <c r="AB5126" t="inlineStr">
        <is>
          <t>홈서비스</t>
        </is>
      </c>
      <c r="AC5126" t="n">
        <v>161700</v>
      </c>
      <c r="AD5126" t="n">
        <v>20580</v>
      </c>
      <c r="AE5126" t="n">
        <v>141120</v>
      </c>
      <c r="AF5126" t="n">
        <v>147000</v>
      </c>
      <c r="AG5126" t="n">
        <v>19900.86</v>
      </c>
      <c r="AH5126" t="n">
        <v>127099.14</v>
      </c>
      <c r="AI5126" t="n">
        <v>0</v>
      </c>
    </row>
    <row r="5127">
      <c r="A5127" t="inlineStr">
        <is>
          <t>6월</t>
        </is>
      </c>
      <c r="B5127" t="inlineStr">
        <is>
          <t>24주차</t>
        </is>
      </c>
      <c r="C5127" t="inlineStr">
        <is>
          <t>IM</t>
        </is>
      </c>
      <c r="D5127" s="28" t="n">
        <v>46181</v>
      </c>
      <c r="E5127" t="inlineStr">
        <is>
          <t>IM캐피탈</t>
        </is>
      </c>
      <c r="F5127" t="inlineStr">
        <is>
          <t>박중훈</t>
        </is>
      </c>
      <c r="G5127" t="inlineStr">
        <is>
          <t>010-8766-2595</t>
        </is>
      </c>
      <c r="H5127" t="inlineStr">
        <is>
          <t>104도3888</t>
        </is>
      </c>
      <c r="I5127" t="n">
        <v>11000000</v>
      </c>
      <c r="J5127" t="n">
        <v>0.07099999999999999</v>
      </c>
      <c r="K5127" t="n">
        <v>1.1</v>
      </c>
      <c r="L5127" t="n">
        <v>0.14</v>
      </c>
      <c r="M5127" t="n">
        <v>0.96</v>
      </c>
      <c r="P5127" t="inlineStr">
        <is>
          <t>최혁</t>
        </is>
      </c>
      <c r="Q5127" t="inlineStr">
        <is>
          <t>홈서비스72개월</t>
        </is>
      </c>
      <c r="AB5127" t="inlineStr">
        <is>
          <t>홈서비스</t>
        </is>
      </c>
      <c r="AC5127" t="n">
        <v>121000</v>
      </c>
      <c r="AD5127" t="n">
        <v>15400</v>
      </c>
      <c r="AE5127" t="n">
        <v>105600</v>
      </c>
      <c r="AF5127" t="n">
        <v>110000</v>
      </c>
      <c r="AG5127" t="n">
        <v>14891.8</v>
      </c>
      <c r="AH5127" t="n">
        <v>95108.2</v>
      </c>
      <c r="AI5127" t="n">
        <v>0</v>
      </c>
    </row>
    <row r="5128">
      <c r="A5128" t="inlineStr">
        <is>
          <t>6월</t>
        </is>
      </c>
      <c r="B5128" t="inlineStr">
        <is>
          <t>24주차</t>
        </is>
      </c>
      <c r="C5128" t="inlineStr">
        <is>
          <t>EP</t>
        </is>
      </c>
      <c r="D5128" s="28" t="n">
        <v>46181</v>
      </c>
      <c r="E5128" t="inlineStr">
        <is>
          <t>현대EP_fast</t>
        </is>
      </c>
      <c r="F5128" t="inlineStr">
        <is>
          <t>오은율</t>
        </is>
      </c>
      <c r="G5128" t="inlineStr">
        <is>
          <t>010-3243-4326</t>
        </is>
      </c>
      <c r="H5128" t="inlineStr">
        <is>
          <t>54어6592</t>
        </is>
      </c>
      <c r="I5128" t="n">
        <v>27900000</v>
      </c>
      <c r="J5128" t="n">
        <v>0.077</v>
      </c>
      <c r="K5128" t="n">
        <v>1.76</v>
      </c>
      <c r="L5128" t="n">
        <v>0.14</v>
      </c>
      <c r="M5128" t="n">
        <v>1.62</v>
      </c>
      <c r="P5128" t="inlineStr">
        <is>
          <t>최혁</t>
        </is>
      </c>
      <c r="Q5128" t="inlineStr">
        <is>
          <t>홈서비스60개월</t>
        </is>
      </c>
      <c r="AB5128" t="inlineStr">
        <is>
          <t>홈서비스</t>
        </is>
      </c>
      <c r="AC5128" t="n">
        <v>491040</v>
      </c>
      <c r="AD5128" t="n">
        <v>39060</v>
      </c>
      <c r="AE5128" t="n">
        <v>451980</v>
      </c>
      <c r="AF5128" t="n">
        <v>446400</v>
      </c>
      <c r="AG5128" t="n">
        <v>37771.02</v>
      </c>
      <c r="AH5128" t="n">
        <v>408628.98</v>
      </c>
      <c r="AI5128" t="n">
        <v>0</v>
      </c>
    </row>
    <row r="5129">
      <c r="A5129" t="inlineStr">
        <is>
          <t>6월</t>
        </is>
      </c>
      <c r="B5129" t="inlineStr">
        <is>
          <t>24주차</t>
        </is>
      </c>
      <c r="C5129" t="inlineStr">
        <is>
          <t>IM</t>
        </is>
      </c>
      <c r="D5129" s="28" t="n">
        <v>46181</v>
      </c>
      <c r="E5129" t="inlineStr">
        <is>
          <t>IM캐피탈</t>
        </is>
      </c>
      <c r="F5129" t="inlineStr">
        <is>
          <t>이승민</t>
        </is>
      </c>
      <c r="G5129" t="inlineStr">
        <is>
          <t>010-5967-0247</t>
        </is>
      </c>
      <c r="H5129" t="inlineStr">
        <is>
          <t>115마1789</t>
        </is>
      </c>
      <c r="I5129" t="n">
        <v>29600000</v>
      </c>
      <c r="J5129" t="n">
        <v>0.079</v>
      </c>
      <c r="K5129" t="n">
        <v>1.1</v>
      </c>
      <c r="L5129" t="n">
        <v>0.14</v>
      </c>
      <c r="M5129" t="n">
        <v>0.96</v>
      </c>
      <c r="P5129" t="inlineStr">
        <is>
          <t>최혁</t>
        </is>
      </c>
      <c r="Q5129" t="inlineStr">
        <is>
          <t>홈서비스60개월</t>
        </is>
      </c>
      <c r="AB5129" t="inlineStr">
        <is>
          <t>홈서비스</t>
        </is>
      </c>
      <c r="AC5129" t="n">
        <v>325600</v>
      </c>
      <c r="AD5129" t="n">
        <v>41440</v>
      </c>
      <c r="AE5129" t="n">
        <v>284160</v>
      </c>
      <c r="AF5129" t="n">
        <v>296000</v>
      </c>
      <c r="AG5129" t="n">
        <v>40072.48</v>
      </c>
      <c r="AH5129" t="n">
        <v>255927.52</v>
      </c>
      <c r="AI5129" t="n">
        <v>0</v>
      </c>
    </row>
    <row r="5130">
      <c r="A5130" t="inlineStr">
        <is>
          <t>6월</t>
        </is>
      </c>
      <c r="B5130" t="inlineStr">
        <is>
          <t>24주차</t>
        </is>
      </c>
      <c r="C5130" t="inlineStr">
        <is>
          <t>IM</t>
        </is>
      </c>
      <c r="D5130" s="28" t="n">
        <v>46181</v>
      </c>
      <c r="E5130" t="inlineStr">
        <is>
          <t>IM캐피탈</t>
        </is>
      </c>
      <c r="F5130" t="inlineStr">
        <is>
          <t>박유진</t>
        </is>
      </c>
      <c r="G5130" t="inlineStr">
        <is>
          <t>010-6763-9021</t>
        </is>
      </c>
      <c r="H5130" t="inlineStr">
        <is>
          <t>353보9286</t>
        </is>
      </c>
      <c r="I5130" t="n">
        <v>25000000</v>
      </c>
      <c r="J5130" t="n">
        <v>0.063</v>
      </c>
      <c r="K5130" t="n">
        <v>1.1</v>
      </c>
      <c r="L5130" t="n">
        <v>0.14</v>
      </c>
      <c r="M5130" t="n">
        <v>0.96</v>
      </c>
      <c r="P5130" t="inlineStr">
        <is>
          <t>최혁</t>
        </is>
      </c>
      <c r="Q5130" t="inlineStr">
        <is>
          <t>홈서비스60개월</t>
        </is>
      </c>
      <c r="AB5130" t="inlineStr">
        <is>
          <t>홈서비스</t>
        </is>
      </c>
      <c r="AC5130" t="n">
        <v>275000</v>
      </c>
      <c r="AD5130" t="n">
        <v>35000</v>
      </c>
      <c r="AE5130" t="n">
        <v>240000</v>
      </c>
      <c r="AF5130" t="n">
        <v>250000</v>
      </c>
      <c r="AG5130" t="n">
        <v>33845</v>
      </c>
      <c r="AH5130" t="n">
        <v>216155</v>
      </c>
    </row>
    <row r="5131">
      <c r="A5131" t="inlineStr">
        <is>
          <t>6월</t>
        </is>
      </c>
      <c r="B5131" t="inlineStr">
        <is>
          <t>24주차</t>
        </is>
      </c>
      <c r="C5131" t="inlineStr">
        <is>
          <t>EP</t>
        </is>
      </c>
      <c r="D5131" s="28" t="n">
        <v>46182</v>
      </c>
      <c r="E5131" t="inlineStr">
        <is>
          <t>제이비EP</t>
        </is>
      </c>
      <c r="F5131" t="inlineStr">
        <is>
          <t>이동혁</t>
        </is>
      </c>
      <c r="G5131" t="inlineStr">
        <is>
          <t>010-9610-7380</t>
        </is>
      </c>
      <c r="H5131" t="inlineStr">
        <is>
          <t>117주4300</t>
        </is>
      </c>
      <c r="I5131" t="n">
        <v>17000000</v>
      </c>
      <c r="J5131" t="n">
        <v>0.074</v>
      </c>
      <c r="K5131" t="n">
        <v>1.65</v>
      </c>
      <c r="L5131" t="n">
        <v>0.14</v>
      </c>
      <c r="M5131" t="n">
        <v>1.51</v>
      </c>
      <c r="P5131" t="inlineStr">
        <is>
          <t>박소현</t>
        </is>
      </c>
      <c r="Q5131" t="inlineStr">
        <is>
          <t>홈서비스 60개월</t>
        </is>
      </c>
      <c r="AB5131" t="inlineStr">
        <is>
          <t>홈서비스</t>
        </is>
      </c>
      <c r="AC5131" t="n">
        <v>280500</v>
      </c>
      <c r="AD5131" t="n">
        <v>23800</v>
      </c>
      <c r="AE5131" t="n">
        <v>256700</v>
      </c>
      <c r="AF5131" t="n">
        <v>255000</v>
      </c>
      <c r="AG5131" t="n">
        <v>23014.6</v>
      </c>
      <c r="AH5131" t="n">
        <v>231985.4</v>
      </c>
      <c r="AI5131" t="n">
        <v>0</v>
      </c>
    </row>
    <row r="5132">
      <c r="A5132" t="inlineStr">
        <is>
          <t>6월</t>
        </is>
      </c>
      <c r="B5132" t="inlineStr">
        <is>
          <t>24주차</t>
        </is>
      </c>
      <c r="C5132" t="inlineStr">
        <is>
          <t>EP</t>
        </is>
      </c>
      <c r="D5132" s="28" t="n">
        <v>46181</v>
      </c>
      <c r="E5132" t="inlineStr">
        <is>
          <t>현대EP_fast</t>
        </is>
      </c>
      <c r="F5132" t="inlineStr">
        <is>
          <t>채윤미</t>
        </is>
      </c>
      <c r="G5132" t="inlineStr">
        <is>
          <t>010-4279-1187</t>
        </is>
      </c>
      <c r="H5132" t="inlineStr">
        <is>
          <t>23소0360</t>
        </is>
      </c>
      <c r="I5132" t="n">
        <v>10500000</v>
      </c>
      <c r="J5132" t="n">
        <v>0.093</v>
      </c>
      <c r="K5132" t="n">
        <v>1.76</v>
      </c>
      <c r="L5132" t="n">
        <v>0.14</v>
      </c>
      <c r="M5132" t="n">
        <v>1.62</v>
      </c>
      <c r="P5132" t="inlineStr">
        <is>
          <t>최혁</t>
        </is>
      </c>
      <c r="Q5132" t="inlineStr">
        <is>
          <t>홈서비스60개월</t>
        </is>
      </c>
      <c r="AB5132" t="inlineStr">
        <is>
          <t>홈서비스</t>
        </is>
      </c>
      <c r="AC5132" t="n">
        <v>184800</v>
      </c>
      <c r="AD5132" t="n">
        <v>14700</v>
      </c>
      <c r="AE5132" t="n">
        <v>170100</v>
      </c>
      <c r="AF5132" t="n">
        <v>168000</v>
      </c>
      <c r="AG5132" t="n">
        <v>14214.9</v>
      </c>
      <c r="AH5132" t="n">
        <v>153785.1</v>
      </c>
    </row>
    <row r="5133">
      <c r="A5133" t="inlineStr">
        <is>
          <t>6월</t>
        </is>
      </c>
      <c r="B5133" t="inlineStr">
        <is>
          <t>24주차</t>
        </is>
      </c>
      <c r="C5133" t="inlineStr">
        <is>
          <t>EP</t>
        </is>
      </c>
      <c r="D5133" s="28" t="n">
        <v>46182</v>
      </c>
      <c r="E5133" t="inlineStr">
        <is>
          <t>현대EP_fast</t>
        </is>
      </c>
      <c r="F5133" t="inlineStr">
        <is>
          <t>옥재호</t>
        </is>
      </c>
      <c r="G5133" t="inlineStr">
        <is>
          <t>010-5322-3132</t>
        </is>
      </c>
      <c r="H5133" t="inlineStr">
        <is>
          <t>344라8553</t>
        </is>
      </c>
      <c r="I5133" t="n">
        <v>35900000</v>
      </c>
      <c r="J5133" t="n">
        <v>0.104</v>
      </c>
      <c r="K5133" t="n">
        <v>1.76</v>
      </c>
      <c r="L5133" t="n">
        <v>0.14</v>
      </c>
      <c r="M5133" t="n">
        <v>1.62</v>
      </c>
      <c r="P5133" t="inlineStr">
        <is>
          <t>박소현</t>
        </is>
      </c>
      <c r="Q5133" t="inlineStr">
        <is>
          <t>홈서비스60개월</t>
        </is>
      </c>
      <c r="AB5133" t="inlineStr">
        <is>
          <t>홈서비스</t>
        </is>
      </c>
      <c r="AC5133" t="n">
        <v>631840</v>
      </c>
      <c r="AD5133" t="n">
        <v>50260</v>
      </c>
      <c r="AE5133" t="n">
        <v>581580</v>
      </c>
      <c r="AF5133" t="n">
        <v>574400</v>
      </c>
      <c r="AG5133" t="n">
        <v>48601.42</v>
      </c>
      <c r="AH5133" t="n">
        <v>525798.58</v>
      </c>
    </row>
    <row r="5134">
      <c r="A5134" t="inlineStr">
        <is>
          <t>6월</t>
        </is>
      </c>
      <c r="B5134" t="inlineStr">
        <is>
          <t>24주차</t>
        </is>
      </c>
      <c r="C5134" t="inlineStr">
        <is>
          <t>IM</t>
        </is>
      </c>
      <c r="D5134" s="28" t="n">
        <v>46182</v>
      </c>
      <c r="E5134" t="inlineStr">
        <is>
          <t>IM캐피탈</t>
        </is>
      </c>
      <c r="F5134" t="inlineStr">
        <is>
          <t>임선욱</t>
        </is>
      </c>
      <c r="G5134" t="inlineStr">
        <is>
          <t>010-4393-0373</t>
        </is>
      </c>
      <c r="H5134" t="inlineStr">
        <is>
          <t>61두0368</t>
        </is>
      </c>
      <c r="I5134" t="n">
        <v>12700000</v>
      </c>
      <c r="J5134" t="n">
        <v>0.059</v>
      </c>
      <c r="K5134" t="n">
        <v>1.1</v>
      </c>
      <c r="L5134" t="n">
        <v>0.14</v>
      </c>
      <c r="M5134" t="n">
        <v>0.96</v>
      </c>
      <c r="P5134" t="inlineStr">
        <is>
          <t>황채이</t>
        </is>
      </c>
      <c r="Q5134" t="inlineStr">
        <is>
          <t>홈서비스 84개월 / 부대비용 추가진행</t>
        </is>
      </c>
      <c r="AB5134" t="inlineStr">
        <is>
          <t>홈서비스</t>
        </is>
      </c>
      <c r="AC5134" t="n">
        <v>139700</v>
      </c>
      <c r="AD5134" t="n">
        <v>17780</v>
      </c>
      <c r="AE5134" t="n">
        <v>121920</v>
      </c>
      <c r="AF5134" t="n">
        <v>127000</v>
      </c>
      <c r="AG5134" t="n">
        <v>17193.26</v>
      </c>
      <c r="AH5134" t="n">
        <v>109806.74</v>
      </c>
      <c r="AI5134" t="n">
        <v>0</v>
      </c>
    </row>
    <row r="5135">
      <c r="A5135" t="inlineStr">
        <is>
          <t>6월</t>
        </is>
      </c>
      <c r="B5135" t="inlineStr">
        <is>
          <t>24주차</t>
        </is>
      </c>
      <c r="C5135" t="inlineStr">
        <is>
          <t>IM</t>
        </is>
      </c>
      <c r="D5135" s="28" t="n">
        <v>46182</v>
      </c>
      <c r="E5135" t="inlineStr">
        <is>
          <t>IM캐피탈</t>
        </is>
      </c>
      <c r="F5135" t="inlineStr">
        <is>
          <t>김수경</t>
        </is>
      </c>
      <c r="G5135" t="inlineStr">
        <is>
          <t>010-2554-6250</t>
        </is>
      </c>
      <c r="H5135" t="inlineStr">
        <is>
          <t>304거9621</t>
        </is>
      </c>
      <c r="I5135" t="n">
        <v>23900000</v>
      </c>
      <c r="J5135" t="n">
        <v>0.049</v>
      </c>
      <c r="K5135" t="n">
        <v>1.1</v>
      </c>
      <c r="L5135" t="n">
        <v>0.14</v>
      </c>
      <c r="M5135" t="n">
        <v>0.96</v>
      </c>
      <c r="P5135" t="inlineStr">
        <is>
          <t>정세빈</t>
        </is>
      </c>
      <c r="Q5135" t="inlineStr">
        <is>
          <t>홈서비스 60개월</t>
        </is>
      </c>
      <c r="AB5135" t="inlineStr">
        <is>
          <t>홈서비스</t>
        </is>
      </c>
      <c r="AC5135" t="n">
        <v>262900</v>
      </c>
      <c r="AD5135" t="n">
        <v>33460</v>
      </c>
      <c r="AE5135" t="n">
        <v>229440</v>
      </c>
      <c r="AF5135" t="n">
        <v>239000</v>
      </c>
      <c r="AG5135" t="n">
        <v>32355.82</v>
      </c>
      <c r="AH5135" t="n">
        <v>206644.18</v>
      </c>
      <c r="AI5135" t="n">
        <v>0</v>
      </c>
    </row>
    <row r="5136">
      <c r="A5136" t="inlineStr">
        <is>
          <t>6월</t>
        </is>
      </c>
      <c r="B5136" t="inlineStr">
        <is>
          <t>24주차</t>
        </is>
      </c>
      <c r="C5136" t="inlineStr">
        <is>
          <t>IM</t>
        </is>
      </c>
      <c r="D5136" s="28" t="n">
        <v>46182</v>
      </c>
      <c r="E5136" t="inlineStr">
        <is>
          <t>IM캐피탈</t>
        </is>
      </c>
      <c r="F5136" t="inlineStr">
        <is>
          <t>고경영</t>
        </is>
      </c>
      <c r="G5136" t="inlineStr">
        <is>
          <t>010-2277-2098</t>
        </is>
      </c>
      <c r="H5136" t="inlineStr">
        <is>
          <t>156주1505</t>
        </is>
      </c>
      <c r="I5136" t="n">
        <v>21000000</v>
      </c>
      <c r="J5136" t="n">
        <v>0.049</v>
      </c>
      <c r="K5136" t="n">
        <v>1.1</v>
      </c>
      <c r="L5136" t="n">
        <v>0.14</v>
      </c>
      <c r="M5136" t="n">
        <v>0.96</v>
      </c>
      <c r="P5136" t="inlineStr">
        <is>
          <t>정세빈</t>
        </is>
      </c>
      <c r="Q5136" t="inlineStr">
        <is>
          <t>홈서비스 72개월</t>
        </is>
      </c>
      <c r="AB5136" t="inlineStr">
        <is>
          <t>홈서비스</t>
        </is>
      </c>
      <c r="AC5136" t="n">
        <v>231000</v>
      </c>
      <c r="AD5136" t="n">
        <v>29400</v>
      </c>
      <c r="AE5136" t="n">
        <v>201600</v>
      </c>
      <c r="AF5136" t="n">
        <v>210000</v>
      </c>
      <c r="AG5136" t="n">
        <v>28429.8</v>
      </c>
      <c r="AH5136" t="n">
        <v>181570.2</v>
      </c>
      <c r="AI5136" t="n">
        <v>0</v>
      </c>
    </row>
    <row r="5137">
      <c r="A5137" t="inlineStr">
        <is>
          <t>6월</t>
        </is>
      </c>
      <c r="B5137" t="inlineStr">
        <is>
          <t>24주차</t>
        </is>
      </c>
      <c r="C5137" t="inlineStr">
        <is>
          <t>OR</t>
        </is>
      </c>
      <c r="D5137" s="28" t="n">
        <v>46182</v>
      </c>
      <c r="E5137" t="inlineStr">
        <is>
          <t>오릭스</t>
        </is>
      </c>
      <c r="F5137" t="inlineStr">
        <is>
          <t>유대엽</t>
        </is>
      </c>
      <c r="G5137" t="inlineStr">
        <is>
          <t>010-8899-3241</t>
        </is>
      </c>
      <c r="H5137" t="inlineStr">
        <is>
          <t>23우2022</t>
        </is>
      </c>
      <c r="I5137" t="n">
        <v>21400000</v>
      </c>
      <c r="J5137" t="n">
        <v>0.056</v>
      </c>
      <c r="K5137" t="n">
        <v>1.65</v>
      </c>
      <c r="L5137" t="n">
        <v>0.14</v>
      </c>
      <c r="M5137" t="n">
        <v>1.51</v>
      </c>
      <c r="P5137" t="inlineStr">
        <is>
          <t>장진경</t>
        </is>
      </c>
      <c r="Q5137" t="inlineStr">
        <is>
          <t>홈서비스 60개월</t>
        </is>
      </c>
      <c r="AB5137" t="inlineStr">
        <is>
          <t>홈서비스</t>
        </is>
      </c>
      <c r="AC5137" t="n">
        <v>353100</v>
      </c>
      <c r="AD5137" t="n">
        <v>29960</v>
      </c>
      <c r="AE5137" t="n">
        <v>323140</v>
      </c>
      <c r="AF5137" t="n">
        <v>321000</v>
      </c>
      <c r="AG5137" t="n">
        <v>28971.32</v>
      </c>
      <c r="AH5137" t="n">
        <v>292028.68</v>
      </c>
      <c r="AI5137" t="n">
        <v>0</v>
      </c>
    </row>
    <row r="5138">
      <c r="A5138" t="inlineStr">
        <is>
          <t>6월</t>
        </is>
      </c>
      <c r="B5138" t="inlineStr">
        <is>
          <t>24주차</t>
        </is>
      </c>
      <c r="C5138" t="inlineStr">
        <is>
          <t>IM</t>
        </is>
      </c>
      <c r="D5138" s="28" t="n">
        <v>46182</v>
      </c>
      <c r="E5138" t="inlineStr">
        <is>
          <t>IM캐피탈</t>
        </is>
      </c>
      <c r="F5138" t="inlineStr">
        <is>
          <t>김명섭</t>
        </is>
      </c>
      <c r="G5138" t="inlineStr">
        <is>
          <t>010-4997-0224</t>
        </is>
      </c>
      <c r="H5138" t="inlineStr">
        <is>
          <t>62더6369</t>
        </is>
      </c>
      <c r="I5138" t="n">
        <v>64300000</v>
      </c>
      <c r="J5138" t="n">
        <v>0.076</v>
      </c>
      <c r="K5138" t="n">
        <v>1.1</v>
      </c>
      <c r="L5138" t="n">
        <v>0.4</v>
      </c>
      <c r="M5138" t="n">
        <v>0.7</v>
      </c>
      <c r="P5138" t="inlineStr">
        <is>
          <t>임대경</t>
        </is>
      </c>
      <c r="Q5138" t="inlineStr">
        <is>
          <t>부대비용진행</t>
        </is>
      </c>
      <c r="AB5138" t="inlineStr">
        <is>
          <t>엔카</t>
        </is>
      </c>
      <c r="AC5138" t="n">
        <v>707300</v>
      </c>
      <c r="AD5138" t="n">
        <v>257200</v>
      </c>
      <c r="AE5138" t="n">
        <v>450100</v>
      </c>
      <c r="AF5138" t="n">
        <v>643000</v>
      </c>
      <c r="AG5138" t="n">
        <v>248712.4</v>
      </c>
      <c r="AH5138" t="n">
        <v>394287.6</v>
      </c>
      <c r="AI5138" t="n">
        <v>0</v>
      </c>
    </row>
    <row r="5139">
      <c r="A5139" t="inlineStr">
        <is>
          <t>6월</t>
        </is>
      </c>
      <c r="B5139" t="inlineStr">
        <is>
          <t>24주차</t>
        </is>
      </c>
      <c r="C5139" t="inlineStr">
        <is>
          <t>IM</t>
        </is>
      </c>
      <c r="D5139" s="28" t="n">
        <v>46182</v>
      </c>
      <c r="E5139" t="inlineStr">
        <is>
          <t>IM캐피탈</t>
        </is>
      </c>
      <c r="F5139" t="inlineStr">
        <is>
          <t>최우석</t>
        </is>
      </c>
      <c r="G5139" t="inlineStr">
        <is>
          <t>010-2611-1958</t>
        </is>
      </c>
      <c r="H5139" t="inlineStr">
        <is>
          <t>379소4977</t>
        </is>
      </c>
      <c r="I5139" t="n">
        <v>54400000</v>
      </c>
      <c r="J5139" t="n">
        <v>0.067</v>
      </c>
      <c r="K5139" t="n">
        <v>1.1</v>
      </c>
      <c r="L5139" t="n">
        <v>0.14</v>
      </c>
      <c r="M5139" t="n">
        <v>0.96</v>
      </c>
      <c r="P5139" t="inlineStr">
        <is>
          <t>최혁</t>
        </is>
      </c>
      <c r="Q5139" t="inlineStr">
        <is>
          <t>홈서비스36개월</t>
        </is>
      </c>
      <c r="AB5139" t="inlineStr">
        <is>
          <t>홈서비스</t>
        </is>
      </c>
      <c r="AC5139" t="n">
        <v>598400</v>
      </c>
      <c r="AD5139" t="n">
        <v>76160</v>
      </c>
      <c r="AE5139" t="n">
        <v>522240</v>
      </c>
      <c r="AF5139" t="n">
        <v>544000</v>
      </c>
      <c r="AG5139" t="n">
        <v>73646.72</v>
      </c>
      <c r="AH5139" t="n">
        <v>470353.28</v>
      </c>
      <c r="AI5139" t="n">
        <v>0</v>
      </c>
    </row>
    <row r="5140">
      <c r="A5140" t="inlineStr">
        <is>
          <t>6월</t>
        </is>
      </c>
      <c r="B5140" t="inlineStr">
        <is>
          <t>24주차</t>
        </is>
      </c>
      <c r="C5140" t="inlineStr">
        <is>
          <t>IM</t>
        </is>
      </c>
      <c r="D5140" s="28" t="n">
        <v>46182</v>
      </c>
      <c r="E5140" t="inlineStr">
        <is>
          <t>IM캐피탈</t>
        </is>
      </c>
      <c r="F5140" t="inlineStr">
        <is>
          <t>김정선</t>
        </is>
      </c>
      <c r="G5140" t="inlineStr">
        <is>
          <t>010-8389-9203</t>
        </is>
      </c>
      <c r="H5140" t="inlineStr">
        <is>
          <t>63부2462</t>
        </is>
      </c>
      <c r="I5140" t="n">
        <v>42300000</v>
      </c>
      <c r="J5140" t="n">
        <v>0.049</v>
      </c>
      <c r="K5140" t="n">
        <v>1.1</v>
      </c>
      <c r="L5140" t="n">
        <v>0.4</v>
      </c>
      <c r="M5140" t="n">
        <v>0.7</v>
      </c>
      <c r="P5140" t="inlineStr">
        <is>
          <t>최혁</t>
        </is>
      </c>
      <c r="AB5140" t="inlineStr">
        <is>
          <t>엔카</t>
        </is>
      </c>
      <c r="AC5140" t="n">
        <v>465300</v>
      </c>
      <c r="AD5140" t="n">
        <v>169200</v>
      </c>
      <c r="AE5140" t="n">
        <v>296100</v>
      </c>
      <c r="AF5140" t="n">
        <v>423000</v>
      </c>
      <c r="AG5140" t="n">
        <v>163616.4</v>
      </c>
      <c r="AH5140" t="n">
        <v>259383.6</v>
      </c>
      <c r="AI5140" t="n">
        <v>0</v>
      </c>
    </row>
    <row r="5141">
      <c r="A5141" t="inlineStr">
        <is>
          <t>6월</t>
        </is>
      </c>
      <c r="B5141" t="inlineStr">
        <is>
          <t>24주차</t>
        </is>
      </c>
      <c r="C5141" t="inlineStr">
        <is>
          <t>EP</t>
        </is>
      </c>
      <c r="D5141" s="28" t="n">
        <v>46182</v>
      </c>
      <c r="E5141" t="inlineStr">
        <is>
          <t>현대EP_fast</t>
        </is>
      </c>
      <c r="F5141" t="inlineStr">
        <is>
          <t>허소라</t>
        </is>
      </c>
      <c r="G5141" t="inlineStr">
        <is>
          <t>010-5573-6388</t>
        </is>
      </c>
      <c r="H5141" t="inlineStr">
        <is>
          <t>346부9162</t>
        </is>
      </c>
      <c r="I5141" t="n">
        <v>10900000</v>
      </c>
      <c r="J5141" t="n">
        <v>0.113</v>
      </c>
      <c r="K5141" t="n">
        <v>1.76</v>
      </c>
      <c r="L5141" t="n">
        <v>0.14</v>
      </c>
      <c r="M5141" t="n">
        <v>1.62</v>
      </c>
      <c r="P5141" t="inlineStr">
        <is>
          <t>황채이</t>
        </is>
      </c>
      <c r="Q5141" t="inlineStr">
        <is>
          <t>홈서비스 60개월</t>
        </is>
      </c>
      <c r="AB5141" t="inlineStr">
        <is>
          <t>홈서비스</t>
        </is>
      </c>
      <c r="AC5141" t="n">
        <v>191840</v>
      </c>
      <c r="AD5141" t="n">
        <v>15260</v>
      </c>
      <c r="AE5141" t="n">
        <v>176580</v>
      </c>
      <c r="AF5141" t="n">
        <v>174400</v>
      </c>
      <c r="AG5141" t="n">
        <v>14756.42</v>
      </c>
      <c r="AH5141" t="n">
        <v>159643.58</v>
      </c>
      <c r="AI5141" t="n">
        <v>0</v>
      </c>
    </row>
    <row r="5142">
      <c r="A5142" t="inlineStr">
        <is>
          <t>6월</t>
        </is>
      </c>
      <c r="B5142" t="inlineStr">
        <is>
          <t>24주차</t>
        </is>
      </c>
      <c r="C5142" t="inlineStr">
        <is>
          <t>EP</t>
        </is>
      </c>
      <c r="D5142" s="28" t="n">
        <v>46182</v>
      </c>
      <c r="E5142" t="inlineStr">
        <is>
          <t>현대EP_fast</t>
        </is>
      </c>
      <c r="F5142" t="inlineStr">
        <is>
          <t>한주형</t>
        </is>
      </c>
      <c r="G5142" t="inlineStr">
        <is>
          <t>010-4453-4241</t>
        </is>
      </c>
      <c r="H5142" t="inlineStr">
        <is>
          <t>314오3719</t>
        </is>
      </c>
      <c r="I5142" t="n">
        <v>11000000</v>
      </c>
      <c r="J5142" t="n">
        <v>0.113</v>
      </c>
      <c r="K5142" t="n">
        <v>1.76</v>
      </c>
      <c r="L5142" t="n">
        <v>0.14</v>
      </c>
      <c r="M5142" t="n">
        <v>1.62</v>
      </c>
      <c r="P5142" t="inlineStr">
        <is>
          <t>장진경</t>
        </is>
      </c>
      <c r="Q5142" t="inlineStr">
        <is>
          <t>홈서비스 60개월</t>
        </is>
      </c>
      <c r="AB5142" t="inlineStr">
        <is>
          <t>홈서비스</t>
        </is>
      </c>
      <c r="AC5142" t="n">
        <v>193600</v>
      </c>
      <c r="AD5142" t="n">
        <v>15400</v>
      </c>
      <c r="AE5142" t="n">
        <v>178200</v>
      </c>
      <c r="AF5142" t="n">
        <v>176000</v>
      </c>
      <c r="AG5142" t="n">
        <v>14891.8</v>
      </c>
      <c r="AH5142" t="n">
        <v>161108.2</v>
      </c>
      <c r="AI5142" t="n">
        <v>0</v>
      </c>
    </row>
    <row r="5143">
      <c r="A5143" t="inlineStr">
        <is>
          <t>6월</t>
        </is>
      </c>
      <c r="B5143" t="inlineStr">
        <is>
          <t>24주차</t>
        </is>
      </c>
      <c r="C5143" t="inlineStr">
        <is>
          <t>IM</t>
        </is>
      </c>
      <c r="D5143" s="28" t="n">
        <v>46182</v>
      </c>
      <c r="E5143" t="inlineStr">
        <is>
          <t>IM캐피탈</t>
        </is>
      </c>
      <c r="F5143" t="inlineStr">
        <is>
          <t>곽태길</t>
        </is>
      </c>
      <c r="G5143" t="inlineStr">
        <is>
          <t>010-9387-6623</t>
        </is>
      </c>
      <c r="H5143" t="inlineStr">
        <is>
          <t>312두2717</t>
        </is>
      </c>
      <c r="I5143" t="n">
        <v>12900000</v>
      </c>
      <c r="J5143" t="n">
        <v>0.059</v>
      </c>
      <c r="K5143" t="n">
        <v>1.1</v>
      </c>
      <c r="L5143" t="n">
        <v>0.14</v>
      </c>
      <c r="M5143" t="n">
        <v>0.96</v>
      </c>
      <c r="P5143" t="inlineStr">
        <is>
          <t>정세빈</t>
        </is>
      </c>
      <c r="Q5143" t="inlineStr">
        <is>
          <t>홈서비스 72개월</t>
        </is>
      </c>
      <c r="AB5143" t="inlineStr">
        <is>
          <t>홈서비스</t>
        </is>
      </c>
      <c r="AC5143" t="n">
        <v>141900</v>
      </c>
      <c r="AD5143" t="n">
        <v>18060</v>
      </c>
      <c r="AE5143" t="n">
        <v>123840</v>
      </c>
      <c r="AF5143" t="n">
        <v>129000</v>
      </c>
      <c r="AG5143" t="n">
        <v>17464.02</v>
      </c>
      <c r="AH5143" t="n">
        <v>111535.98</v>
      </c>
    </row>
    <row r="5144">
      <c r="A5144" t="inlineStr">
        <is>
          <t>6월</t>
        </is>
      </c>
      <c r="B5144" t="inlineStr">
        <is>
          <t>24주차</t>
        </is>
      </c>
      <c r="C5144" t="inlineStr">
        <is>
          <t>EP</t>
        </is>
      </c>
      <c r="D5144" s="28" t="n">
        <v>46182</v>
      </c>
      <c r="E5144" t="inlineStr">
        <is>
          <t>현대EP_fast</t>
        </is>
      </c>
      <c r="F5144" t="inlineStr">
        <is>
          <t>허재석</t>
        </is>
      </c>
      <c r="G5144" t="inlineStr">
        <is>
          <t>010-2746-3036</t>
        </is>
      </c>
      <c r="H5144" t="inlineStr">
        <is>
          <t>339조1809</t>
        </is>
      </c>
      <c r="I5144" t="n">
        <v>20000000</v>
      </c>
      <c r="J5144" t="n">
        <v>0.109</v>
      </c>
      <c r="K5144" t="n">
        <v>1.76</v>
      </c>
      <c r="L5144" t="n">
        <v>0.14</v>
      </c>
      <c r="M5144" t="n">
        <v>1.62</v>
      </c>
      <c r="P5144" t="inlineStr">
        <is>
          <t>정세빈</t>
        </is>
      </c>
      <c r="Q5144" t="inlineStr">
        <is>
          <t>홈서비스 36개월</t>
        </is>
      </c>
      <c r="AB5144" t="inlineStr">
        <is>
          <t>홈서비스</t>
        </is>
      </c>
      <c r="AC5144" t="n">
        <v>352000</v>
      </c>
      <c r="AD5144" t="n">
        <v>28000</v>
      </c>
      <c r="AE5144" t="n">
        <v>324000</v>
      </c>
      <c r="AF5144" t="n">
        <v>320000</v>
      </c>
      <c r="AG5144" t="n">
        <v>27076</v>
      </c>
      <c r="AH5144" t="n">
        <v>292924</v>
      </c>
      <c r="AI5144" t="n">
        <v>0</v>
      </c>
    </row>
    <row r="5145">
      <c r="A5145" t="inlineStr">
        <is>
          <t>6월</t>
        </is>
      </c>
      <c r="B5145" t="inlineStr">
        <is>
          <t>24주차</t>
        </is>
      </c>
      <c r="C5145" t="inlineStr">
        <is>
          <t>IM</t>
        </is>
      </c>
      <c r="D5145" s="28" t="n">
        <v>46182</v>
      </c>
      <c r="E5145" t="inlineStr">
        <is>
          <t>IM캐피탈</t>
        </is>
      </c>
      <c r="F5145" t="inlineStr">
        <is>
          <t>봉재원</t>
        </is>
      </c>
      <c r="G5145" t="inlineStr">
        <is>
          <t>010-7733-4620</t>
        </is>
      </c>
      <c r="H5145" t="inlineStr">
        <is>
          <t>204주3502</t>
        </is>
      </c>
      <c r="I5145" t="n">
        <v>33000000</v>
      </c>
      <c r="J5145" t="n">
        <v>0.049</v>
      </c>
      <c r="K5145" t="n">
        <v>1.1</v>
      </c>
      <c r="L5145" t="n">
        <v>0.14</v>
      </c>
      <c r="M5145" t="n">
        <v>0.96</v>
      </c>
      <c r="P5145" t="inlineStr">
        <is>
          <t>박소현</t>
        </is>
      </c>
      <c r="Q5145" t="inlineStr">
        <is>
          <t>홈서비스 72개월 / 공동명의  / 부대비용추가진행</t>
        </is>
      </c>
      <c r="AB5145" t="inlineStr">
        <is>
          <t>홈서비스</t>
        </is>
      </c>
      <c r="AC5145" t="n">
        <v>363000</v>
      </c>
      <c r="AD5145" t="n">
        <v>46200</v>
      </c>
      <c r="AE5145" t="n">
        <v>316800</v>
      </c>
      <c r="AF5145" t="n">
        <v>330000</v>
      </c>
      <c r="AG5145" t="n">
        <v>44675.4</v>
      </c>
      <c r="AH5145" t="n">
        <v>285324.6</v>
      </c>
      <c r="AI5145" t="n">
        <v>0</v>
      </c>
    </row>
    <row r="5146">
      <c r="A5146" t="inlineStr">
        <is>
          <t>6월</t>
        </is>
      </c>
      <c r="B5146" t="inlineStr">
        <is>
          <t>24주차</t>
        </is>
      </c>
      <c r="C5146" t="inlineStr">
        <is>
          <t>IM</t>
        </is>
      </c>
      <c r="D5146" s="28" t="n">
        <v>46182</v>
      </c>
      <c r="E5146" t="inlineStr">
        <is>
          <t>IM캐피탈</t>
        </is>
      </c>
      <c r="F5146" t="inlineStr">
        <is>
          <t>유형근</t>
        </is>
      </c>
      <c r="G5146" t="inlineStr">
        <is>
          <t>010-5412-1404</t>
        </is>
      </c>
      <c r="H5146" t="inlineStr">
        <is>
          <t>175소7444</t>
        </is>
      </c>
      <c r="I5146" t="n">
        <v>40600000</v>
      </c>
      <c r="J5146" t="n">
        <v>0.079</v>
      </c>
      <c r="K5146" t="n">
        <v>1.1</v>
      </c>
      <c r="L5146" t="n">
        <v>0.14</v>
      </c>
      <c r="M5146" t="n">
        <v>0.96</v>
      </c>
      <c r="P5146" t="inlineStr">
        <is>
          <t>장진경</t>
        </is>
      </c>
      <c r="Q5146" t="inlineStr">
        <is>
          <t>홈서비스 72개월 / 부대비용 추가진행</t>
        </is>
      </c>
      <c r="AB5146" t="inlineStr">
        <is>
          <t>홈서비스</t>
        </is>
      </c>
      <c r="AC5146" t="n">
        <v>446600</v>
      </c>
      <c r="AD5146" t="n">
        <v>56840</v>
      </c>
      <c r="AE5146" t="n">
        <v>389760</v>
      </c>
      <c r="AF5146" t="n">
        <v>406000</v>
      </c>
      <c r="AG5146" t="n">
        <v>54964.28</v>
      </c>
      <c r="AH5146" t="n">
        <v>351035.72</v>
      </c>
      <c r="AI5146" t="n">
        <v>0</v>
      </c>
    </row>
    <row r="5147">
      <c r="A5147" t="inlineStr">
        <is>
          <t>6월</t>
        </is>
      </c>
      <c r="B5147" t="inlineStr">
        <is>
          <t>24주차</t>
        </is>
      </c>
      <c r="C5147" t="inlineStr">
        <is>
          <t>IM</t>
        </is>
      </c>
      <c r="D5147" s="28" t="n">
        <v>46182</v>
      </c>
      <c r="E5147" t="inlineStr">
        <is>
          <t>IM캐피탈</t>
        </is>
      </c>
      <c r="F5147" t="inlineStr">
        <is>
          <t>박영준</t>
        </is>
      </c>
      <c r="G5147" t="inlineStr">
        <is>
          <t>010-4458-5375</t>
        </is>
      </c>
      <c r="H5147" t="inlineStr">
        <is>
          <t>111어3159</t>
        </is>
      </c>
      <c r="I5147" t="n">
        <v>15400000</v>
      </c>
      <c r="J5147" t="n">
        <v>0.059</v>
      </c>
      <c r="K5147" t="n">
        <v>1.1</v>
      </c>
      <c r="L5147" t="n">
        <v>0.14</v>
      </c>
      <c r="M5147" t="n">
        <v>0.96</v>
      </c>
      <c r="P5147" t="inlineStr">
        <is>
          <t>정세빈</t>
        </is>
      </c>
      <c r="Q5147" t="inlineStr">
        <is>
          <t>홈서비스 60개월</t>
        </is>
      </c>
      <c r="AB5147" t="inlineStr">
        <is>
          <t>홈서비스</t>
        </is>
      </c>
      <c r="AC5147" t="n">
        <v>169400</v>
      </c>
      <c r="AD5147" t="n">
        <v>21560</v>
      </c>
      <c r="AE5147" t="n">
        <v>147840</v>
      </c>
      <c r="AF5147" t="n">
        <v>154000</v>
      </c>
      <c r="AG5147" t="n">
        <v>20848.52</v>
      </c>
      <c r="AH5147" t="n">
        <v>133151.48</v>
      </c>
    </row>
    <row r="5148">
      <c r="A5148" t="inlineStr">
        <is>
          <t>6월</t>
        </is>
      </c>
      <c r="B5148" t="inlineStr">
        <is>
          <t>24주차</t>
        </is>
      </c>
      <c r="C5148" t="inlineStr">
        <is>
          <t>IM</t>
        </is>
      </c>
      <c r="D5148" s="28" t="n">
        <v>46182</v>
      </c>
      <c r="E5148" t="inlineStr">
        <is>
          <t>IM캐피탈</t>
        </is>
      </c>
      <c r="F5148" t="inlineStr">
        <is>
          <t>장은로</t>
        </is>
      </c>
      <c r="G5148" t="inlineStr">
        <is>
          <t>010-6352-1548</t>
        </is>
      </c>
      <c r="H5148" t="inlineStr">
        <is>
          <t>178버5570</t>
        </is>
      </c>
      <c r="I5148" t="n">
        <v>32000000</v>
      </c>
      <c r="J5148" t="n">
        <v>0.049</v>
      </c>
      <c r="K5148" t="n">
        <v>1.1</v>
      </c>
      <c r="L5148" t="n">
        <v>0.4</v>
      </c>
      <c r="M5148" t="n">
        <v>0.7</v>
      </c>
      <c r="P5148" t="inlineStr">
        <is>
          <t>장진경</t>
        </is>
      </c>
      <c r="AB5148" t="inlineStr">
        <is>
          <t>엔카</t>
        </is>
      </c>
      <c r="AC5148" t="n">
        <v>352000</v>
      </c>
      <c r="AD5148" t="n">
        <v>128000</v>
      </c>
      <c r="AE5148" t="n">
        <v>224000</v>
      </c>
      <c r="AF5148" t="n">
        <v>320000</v>
      </c>
      <c r="AG5148" t="n">
        <v>123776</v>
      </c>
      <c r="AH5148" t="n">
        <v>196224</v>
      </c>
      <c r="AI5148" t="n">
        <v>0</v>
      </c>
    </row>
    <row r="5149">
      <c r="A5149" t="inlineStr">
        <is>
          <t>6월</t>
        </is>
      </c>
      <c r="B5149" t="inlineStr">
        <is>
          <t>24주차</t>
        </is>
      </c>
      <c r="C5149" t="inlineStr">
        <is>
          <t>IM</t>
        </is>
      </c>
      <c r="D5149" s="28" t="n">
        <v>46182</v>
      </c>
      <c r="E5149" t="inlineStr">
        <is>
          <t>IM캐피탈</t>
        </is>
      </c>
      <c r="F5149" t="inlineStr">
        <is>
          <t>유환</t>
        </is>
      </c>
      <c r="G5149" t="inlineStr">
        <is>
          <t>010-8844-3285</t>
        </is>
      </c>
      <c r="H5149" t="inlineStr">
        <is>
          <t>01노3305</t>
        </is>
      </c>
      <c r="I5149" t="n">
        <v>21200000</v>
      </c>
      <c r="J5149" t="n">
        <v>0.07099999999999999</v>
      </c>
      <c r="K5149" t="n">
        <v>1.1</v>
      </c>
      <c r="L5149" t="n">
        <v>0.14</v>
      </c>
      <c r="M5149" t="n">
        <v>0.96</v>
      </c>
      <c r="P5149" t="inlineStr">
        <is>
          <t>황채이</t>
        </is>
      </c>
      <c r="Q5149" t="inlineStr">
        <is>
          <t>홈서비스 72개월</t>
        </is>
      </c>
      <c r="AB5149" t="inlineStr">
        <is>
          <t>홈서비스</t>
        </is>
      </c>
      <c r="AC5149" t="n">
        <v>233200</v>
      </c>
      <c r="AD5149" t="n">
        <v>29680</v>
      </c>
      <c r="AE5149" t="n">
        <v>203520</v>
      </c>
      <c r="AF5149" t="n">
        <v>212000</v>
      </c>
      <c r="AG5149" t="n">
        <v>28700.56</v>
      </c>
      <c r="AH5149" t="n">
        <v>183299.44</v>
      </c>
      <c r="AI5149" t="n">
        <v>0</v>
      </c>
    </row>
    <row r="5150">
      <c r="A5150" t="inlineStr">
        <is>
          <t>6월</t>
        </is>
      </c>
      <c r="B5150" t="inlineStr">
        <is>
          <t>24주차</t>
        </is>
      </c>
      <c r="C5150" t="inlineStr">
        <is>
          <t>EP</t>
        </is>
      </c>
      <c r="D5150" s="28" t="n">
        <v>46182</v>
      </c>
      <c r="E5150" t="inlineStr">
        <is>
          <t>현대EP_fast</t>
        </is>
      </c>
      <c r="F5150" t="inlineStr">
        <is>
          <t>라인재</t>
        </is>
      </c>
      <c r="G5150" t="inlineStr">
        <is>
          <t>010-3511-9359</t>
        </is>
      </c>
      <c r="H5150" t="inlineStr">
        <is>
          <t>231수3129</t>
        </is>
      </c>
      <c r="I5150" t="n">
        <v>9200000</v>
      </c>
      <c r="J5150" t="n">
        <v>0.08400000000000001</v>
      </c>
      <c r="K5150" t="n">
        <v>1.76</v>
      </c>
      <c r="L5150" t="n">
        <v>0.14</v>
      </c>
      <c r="M5150" t="n">
        <v>1.62</v>
      </c>
      <c r="P5150" t="inlineStr">
        <is>
          <t>정세빈</t>
        </is>
      </c>
      <c r="Q5150" t="inlineStr">
        <is>
          <t>홈서비스 60개월</t>
        </is>
      </c>
      <c r="AB5150" t="inlineStr">
        <is>
          <t>홈서비스</t>
        </is>
      </c>
      <c r="AC5150" t="n">
        <v>161920</v>
      </c>
      <c r="AD5150" t="n">
        <v>12880</v>
      </c>
      <c r="AE5150" t="n">
        <v>149040</v>
      </c>
      <c r="AF5150" t="n">
        <v>147200</v>
      </c>
      <c r="AG5150" t="n">
        <v>12454.96</v>
      </c>
      <c r="AH5150" t="n">
        <v>134745.04</v>
      </c>
      <c r="AI5150" t="n">
        <v>0</v>
      </c>
    </row>
    <row r="5151">
      <c r="A5151" t="inlineStr">
        <is>
          <t>6월</t>
        </is>
      </c>
      <c r="B5151" t="inlineStr">
        <is>
          <t>24주차</t>
        </is>
      </c>
      <c r="C5151" t="inlineStr">
        <is>
          <t>IM</t>
        </is>
      </c>
      <c r="D5151" s="28" t="n">
        <v>46182</v>
      </c>
      <c r="E5151" t="inlineStr">
        <is>
          <t>IM캐피탈</t>
        </is>
      </c>
      <c r="F5151" t="inlineStr">
        <is>
          <t>이혁</t>
        </is>
      </c>
      <c r="G5151" t="inlineStr">
        <is>
          <t>010-6387-7273</t>
        </is>
      </c>
      <c r="H5151" t="inlineStr">
        <is>
          <t>116보3713</t>
        </is>
      </c>
      <c r="I5151" t="n">
        <v>18000000</v>
      </c>
      <c r="J5151" t="n">
        <v>0.07099999999999999</v>
      </c>
      <c r="K5151" t="n">
        <v>1.1</v>
      </c>
      <c r="L5151" t="n">
        <v>0.14</v>
      </c>
      <c r="M5151" t="n">
        <v>0.96</v>
      </c>
      <c r="P5151" t="inlineStr">
        <is>
          <t>박소현</t>
        </is>
      </c>
      <c r="Q5151" t="inlineStr">
        <is>
          <t>홈서비스 60개월</t>
        </is>
      </c>
      <c r="AB5151" t="inlineStr">
        <is>
          <t>홈서비스</t>
        </is>
      </c>
      <c r="AC5151" t="n">
        <v>198000</v>
      </c>
      <c r="AD5151" t="n">
        <v>25200</v>
      </c>
      <c r="AE5151" t="n">
        <v>172800</v>
      </c>
      <c r="AF5151" t="n">
        <v>180000</v>
      </c>
      <c r="AG5151" t="n">
        <v>24368.4</v>
      </c>
      <c r="AH5151" t="n">
        <v>155631.6</v>
      </c>
      <c r="AI5151" t="n">
        <v>0</v>
      </c>
    </row>
    <row r="5152">
      <c r="A5152" t="inlineStr">
        <is>
          <t>6월</t>
        </is>
      </c>
      <c r="B5152" t="inlineStr">
        <is>
          <t>24주차</t>
        </is>
      </c>
      <c r="C5152" t="inlineStr">
        <is>
          <t>IM</t>
        </is>
      </c>
      <c r="D5152" s="28" t="n">
        <v>46182</v>
      </c>
      <c r="E5152" t="inlineStr">
        <is>
          <t>IM캐피탈</t>
        </is>
      </c>
      <c r="F5152" t="inlineStr">
        <is>
          <t>고병찬</t>
        </is>
      </c>
      <c r="G5152" t="inlineStr">
        <is>
          <t>010-3507-8764</t>
        </is>
      </c>
      <c r="H5152" t="inlineStr">
        <is>
          <t>142오2959</t>
        </is>
      </c>
      <c r="I5152" t="n">
        <v>23000000</v>
      </c>
      <c r="J5152" t="n">
        <v>0.049</v>
      </c>
      <c r="K5152" t="n">
        <v>1.1</v>
      </c>
      <c r="L5152" t="n">
        <v>0.14</v>
      </c>
      <c r="M5152" t="n">
        <v>0.96</v>
      </c>
      <c r="P5152" t="inlineStr">
        <is>
          <t>박현민</t>
        </is>
      </c>
      <c r="Q5152" t="inlineStr">
        <is>
          <t>홈서비스 48개월</t>
        </is>
      </c>
      <c r="AB5152" t="inlineStr">
        <is>
          <t>홈서비스</t>
        </is>
      </c>
      <c r="AC5152" t="n">
        <v>253000</v>
      </c>
      <c r="AD5152" t="n">
        <v>32200</v>
      </c>
      <c r="AE5152" t="n">
        <v>220800</v>
      </c>
      <c r="AF5152" t="n">
        <v>230000</v>
      </c>
      <c r="AG5152" t="n">
        <v>31137.4</v>
      </c>
      <c r="AH5152" t="n">
        <v>198862.6</v>
      </c>
    </row>
    <row r="5153">
      <c r="A5153" t="inlineStr">
        <is>
          <t>6월</t>
        </is>
      </c>
      <c r="B5153" t="inlineStr">
        <is>
          <t>24주차</t>
        </is>
      </c>
      <c r="C5153" t="inlineStr">
        <is>
          <t>EP</t>
        </is>
      </c>
      <c r="D5153" s="28" t="n">
        <v>46182</v>
      </c>
      <c r="E5153" t="inlineStr">
        <is>
          <t>제이비EP</t>
        </is>
      </c>
      <c r="F5153" t="inlineStr">
        <is>
          <t>남윤진</t>
        </is>
      </c>
      <c r="G5153" t="inlineStr">
        <is>
          <t>010-9789-7900</t>
        </is>
      </c>
      <c r="H5153" t="inlineStr">
        <is>
          <t>294조5965</t>
        </is>
      </c>
      <c r="I5153" t="n">
        <v>7000000</v>
      </c>
      <c r="J5153" t="n">
        <v>0.08500000000000001</v>
      </c>
      <c r="K5153" t="n">
        <v>1.65</v>
      </c>
      <c r="L5153" t="n">
        <v>0.14</v>
      </c>
      <c r="M5153" t="n">
        <v>1.51</v>
      </c>
      <c r="P5153" t="inlineStr">
        <is>
          <t>황채이</t>
        </is>
      </c>
      <c r="Q5153" t="inlineStr">
        <is>
          <t>홈서비스 60개월 / 부대비용 추가진행</t>
        </is>
      </c>
      <c r="AB5153" t="inlineStr">
        <is>
          <t>홈서비스</t>
        </is>
      </c>
      <c r="AC5153" t="n">
        <v>115500</v>
      </c>
      <c r="AD5153" t="n">
        <v>9800</v>
      </c>
      <c r="AE5153" t="n">
        <v>105700</v>
      </c>
      <c r="AF5153" t="n">
        <v>105000</v>
      </c>
      <c r="AG5153" t="n">
        <v>9476.6</v>
      </c>
      <c r="AH5153" t="n">
        <v>95523.39999999999</v>
      </c>
      <c r="AI5153" t="n">
        <v>0</v>
      </c>
    </row>
    <row r="5154">
      <c r="A5154" t="inlineStr">
        <is>
          <t>6월</t>
        </is>
      </c>
      <c r="B5154" t="inlineStr">
        <is>
          <t>24주차</t>
        </is>
      </c>
      <c r="C5154" t="inlineStr">
        <is>
          <t>IM</t>
        </is>
      </c>
      <c r="D5154" s="28" t="n">
        <v>46182</v>
      </c>
      <c r="E5154" t="inlineStr">
        <is>
          <t>IM캐피탈</t>
        </is>
      </c>
      <c r="F5154" t="inlineStr">
        <is>
          <t>조한성</t>
        </is>
      </c>
      <c r="G5154" t="inlineStr">
        <is>
          <t>010-7200-6215</t>
        </is>
      </c>
      <c r="H5154" t="inlineStr">
        <is>
          <t>38너2243</t>
        </is>
      </c>
      <c r="I5154" t="n">
        <v>32000000</v>
      </c>
      <c r="J5154" t="n">
        <v>0.049</v>
      </c>
      <c r="K5154" t="n">
        <v>1.1</v>
      </c>
      <c r="L5154" t="n">
        <v>0.4</v>
      </c>
      <c r="M5154" t="n">
        <v>0.7</v>
      </c>
      <c r="P5154" t="inlineStr">
        <is>
          <t>장진경</t>
        </is>
      </c>
      <c r="AB5154" t="inlineStr">
        <is>
          <t>엔카</t>
        </is>
      </c>
      <c r="AC5154" t="n">
        <v>352000</v>
      </c>
      <c r="AD5154" t="n">
        <v>128000</v>
      </c>
      <c r="AE5154" t="n">
        <v>224000</v>
      </c>
      <c r="AF5154" t="n">
        <v>320000</v>
      </c>
      <c r="AG5154" t="n">
        <v>123776</v>
      </c>
      <c r="AH5154" t="n">
        <v>196224</v>
      </c>
      <c r="AI5154" t="n">
        <v>0</v>
      </c>
    </row>
    <row r="5155">
      <c r="A5155" t="inlineStr">
        <is>
          <t>6월</t>
        </is>
      </c>
      <c r="B5155" t="inlineStr">
        <is>
          <t>24주차</t>
        </is>
      </c>
      <c r="C5155" t="inlineStr">
        <is>
          <t>IM</t>
        </is>
      </c>
      <c r="D5155" s="28" t="n">
        <v>46182</v>
      </c>
      <c r="E5155" t="inlineStr">
        <is>
          <t>IM캐피탈</t>
        </is>
      </c>
      <c r="F5155" t="inlineStr">
        <is>
          <t>윤빛찬</t>
        </is>
      </c>
      <c r="G5155" t="inlineStr">
        <is>
          <t>010-5559-6268</t>
        </is>
      </c>
      <c r="H5155" t="inlineStr">
        <is>
          <t>17가0578</t>
        </is>
      </c>
      <c r="I5155" t="n">
        <v>3000000</v>
      </c>
      <c r="J5155" t="n">
        <v>0.059</v>
      </c>
      <c r="K5155" t="n">
        <v>1.1</v>
      </c>
      <c r="L5155" t="n">
        <v>0.14</v>
      </c>
      <c r="M5155" t="n">
        <v>0.96</v>
      </c>
      <c r="P5155" t="inlineStr">
        <is>
          <t>박소현</t>
        </is>
      </c>
      <c r="Q5155" t="inlineStr">
        <is>
          <t>홈서비스 36개월 / 공동명의</t>
        </is>
      </c>
      <c r="AB5155" t="inlineStr">
        <is>
          <t>홈서비스</t>
        </is>
      </c>
      <c r="AC5155" t="n">
        <v>33000</v>
      </c>
      <c r="AD5155" t="n">
        <v>4200</v>
      </c>
      <c r="AE5155" t="n">
        <v>28800</v>
      </c>
      <c r="AF5155" t="n">
        <v>30000</v>
      </c>
      <c r="AG5155" t="n">
        <v>4061.4</v>
      </c>
      <c r="AH5155" t="n">
        <v>25938.6</v>
      </c>
    </row>
    <row r="5156">
      <c r="A5156" t="inlineStr">
        <is>
          <t>6월</t>
        </is>
      </c>
      <c r="B5156" t="inlineStr">
        <is>
          <t>24주차</t>
        </is>
      </c>
      <c r="C5156" t="inlineStr">
        <is>
          <t>IM</t>
        </is>
      </c>
      <c r="D5156" s="28" t="n">
        <v>46182</v>
      </c>
      <c r="E5156" t="inlineStr">
        <is>
          <t>IM캐피탈</t>
        </is>
      </c>
      <c r="F5156" t="inlineStr">
        <is>
          <t>박찬혁</t>
        </is>
      </c>
      <c r="G5156" t="inlineStr">
        <is>
          <t>010-7547-3807</t>
        </is>
      </c>
      <c r="H5156" t="inlineStr">
        <is>
          <t>51너7056</t>
        </is>
      </c>
      <c r="I5156" t="n">
        <v>70000000</v>
      </c>
      <c r="J5156" t="n">
        <v>0.049</v>
      </c>
      <c r="K5156" t="n">
        <v>1.1</v>
      </c>
      <c r="L5156" t="n">
        <v>0.14</v>
      </c>
      <c r="M5156" t="n">
        <v>0.96</v>
      </c>
      <c r="P5156" t="inlineStr">
        <is>
          <t>장진경</t>
        </is>
      </c>
      <c r="Q5156" t="inlineStr">
        <is>
          <t>홈서비스 60개월</t>
        </is>
      </c>
      <c r="AB5156" t="inlineStr">
        <is>
          <t>홈서비스</t>
        </is>
      </c>
      <c r="AC5156" t="n">
        <v>770000</v>
      </c>
      <c r="AD5156" t="n">
        <v>98000</v>
      </c>
      <c r="AE5156" t="n">
        <v>672000</v>
      </c>
      <c r="AF5156" t="n">
        <v>700000</v>
      </c>
      <c r="AG5156" t="n">
        <v>94766</v>
      </c>
      <c r="AH5156" t="n">
        <v>605234</v>
      </c>
    </row>
    <row r="5157">
      <c r="A5157" t="inlineStr">
        <is>
          <t>6월</t>
        </is>
      </c>
      <c r="B5157" t="inlineStr">
        <is>
          <t>24주차</t>
        </is>
      </c>
      <c r="C5157" t="inlineStr">
        <is>
          <t>IM</t>
        </is>
      </c>
      <c r="D5157" s="28" t="n">
        <v>46182</v>
      </c>
      <c r="E5157" t="inlineStr">
        <is>
          <t>IM캐피탈</t>
        </is>
      </c>
      <c r="F5157" t="inlineStr">
        <is>
          <t>이형선</t>
        </is>
      </c>
      <c r="G5157" t="inlineStr">
        <is>
          <t>010-5365-2809</t>
        </is>
      </c>
      <c r="H5157" t="inlineStr">
        <is>
          <t>274도4625</t>
        </is>
      </c>
      <c r="I5157" t="n">
        <v>37800000</v>
      </c>
      <c r="J5157" t="n">
        <v>0.07099999999999999</v>
      </c>
      <c r="K5157" t="n">
        <v>1.1</v>
      </c>
      <c r="L5157" t="n">
        <v>0.4</v>
      </c>
      <c r="M5157" t="n">
        <v>0.7</v>
      </c>
      <c r="P5157" t="inlineStr">
        <is>
          <t>박소현</t>
        </is>
      </c>
      <c r="AB5157" t="inlineStr">
        <is>
          <t>엔카</t>
        </is>
      </c>
      <c r="AC5157" t="n">
        <v>415800</v>
      </c>
      <c r="AD5157" t="n">
        <v>151200</v>
      </c>
      <c r="AE5157" t="n">
        <v>264600</v>
      </c>
      <c r="AF5157" t="n">
        <v>378000</v>
      </c>
      <c r="AG5157" t="n">
        <v>146210.4</v>
      </c>
      <c r="AH5157" t="n">
        <v>231789.6</v>
      </c>
    </row>
    <row r="5158">
      <c r="A5158" t="inlineStr">
        <is>
          <t>6월</t>
        </is>
      </c>
      <c r="B5158" t="inlineStr">
        <is>
          <t>24주차</t>
        </is>
      </c>
      <c r="C5158" t="inlineStr">
        <is>
          <t>IM</t>
        </is>
      </c>
      <c r="D5158" s="28" t="n">
        <v>46182</v>
      </c>
      <c r="E5158" t="inlineStr">
        <is>
          <t>IM캐피탈</t>
        </is>
      </c>
      <c r="F5158" t="inlineStr">
        <is>
          <t>이창호</t>
        </is>
      </c>
      <c r="G5158" t="inlineStr">
        <is>
          <t>010-9000-0130</t>
        </is>
      </c>
      <c r="H5158" t="inlineStr">
        <is>
          <t>380저8400</t>
        </is>
      </c>
      <c r="I5158" t="n">
        <v>15000000</v>
      </c>
      <c r="J5158" t="n">
        <v>0.049</v>
      </c>
      <c r="K5158" t="n">
        <v>1.1</v>
      </c>
      <c r="L5158" t="n">
        <v>0.14</v>
      </c>
      <c r="M5158" t="n">
        <v>0.96</v>
      </c>
      <c r="P5158" t="inlineStr">
        <is>
          <t>황채이</t>
        </is>
      </c>
      <c r="Q5158" t="inlineStr">
        <is>
          <t>홈서비스 36개월 / 공동명의</t>
        </is>
      </c>
      <c r="AB5158" t="inlineStr">
        <is>
          <t>홈서비스</t>
        </is>
      </c>
      <c r="AC5158" t="n">
        <v>165000</v>
      </c>
      <c r="AD5158" t="n">
        <v>21000</v>
      </c>
      <c r="AE5158" t="n">
        <v>144000</v>
      </c>
      <c r="AF5158" t="n">
        <v>150000</v>
      </c>
      <c r="AG5158" t="n">
        <v>20307</v>
      </c>
      <c r="AH5158" t="n">
        <v>129693</v>
      </c>
      <c r="AI5158" t="n">
        <v>0</v>
      </c>
    </row>
    <row r="5159">
      <c r="A5159" t="inlineStr">
        <is>
          <t>6월</t>
        </is>
      </c>
      <c r="B5159" t="inlineStr">
        <is>
          <t>24주차</t>
        </is>
      </c>
      <c r="C5159" t="inlineStr">
        <is>
          <t>IM</t>
        </is>
      </c>
      <c r="D5159" s="28" t="n">
        <v>46182</v>
      </c>
      <c r="E5159" t="inlineStr">
        <is>
          <t>IM캐피탈</t>
        </is>
      </c>
      <c r="F5159" t="inlineStr">
        <is>
          <t>최유나</t>
        </is>
      </c>
      <c r="G5159" t="inlineStr">
        <is>
          <t>010-8351-2403</t>
        </is>
      </c>
      <c r="H5159" t="inlineStr">
        <is>
          <t>64너4318</t>
        </is>
      </c>
      <c r="I5159" t="n">
        <v>12900000</v>
      </c>
      <c r="J5159" t="n">
        <v>0.059</v>
      </c>
      <c r="K5159" t="n">
        <v>1.1</v>
      </c>
      <c r="L5159" t="n">
        <v>0.14</v>
      </c>
      <c r="M5159" t="n">
        <v>0.96</v>
      </c>
      <c r="P5159" t="inlineStr">
        <is>
          <t>정세빈</t>
        </is>
      </c>
      <c r="Q5159" t="inlineStr">
        <is>
          <t>홈서비스 84개월</t>
        </is>
      </c>
      <c r="AB5159" t="inlineStr">
        <is>
          <t>홈서비스</t>
        </is>
      </c>
      <c r="AC5159" t="n">
        <v>141900</v>
      </c>
      <c r="AD5159" t="n">
        <v>18060</v>
      </c>
      <c r="AE5159" t="n">
        <v>123840</v>
      </c>
      <c r="AF5159" t="n">
        <v>129000</v>
      </c>
      <c r="AG5159" t="n">
        <v>17464.02</v>
      </c>
      <c r="AH5159" t="n">
        <v>111535.98</v>
      </c>
      <c r="AI5159" t="n">
        <v>0</v>
      </c>
    </row>
    <row r="5160">
      <c r="A5160" t="inlineStr">
        <is>
          <t>6월</t>
        </is>
      </c>
      <c r="B5160" t="inlineStr">
        <is>
          <t>24주차</t>
        </is>
      </c>
      <c r="C5160" t="inlineStr">
        <is>
          <t>IM</t>
        </is>
      </c>
      <c r="D5160" s="28" t="n">
        <v>46182</v>
      </c>
      <c r="E5160" t="inlineStr">
        <is>
          <t>IM캐피탈</t>
        </is>
      </c>
      <c r="F5160" t="inlineStr">
        <is>
          <t>김현삼</t>
        </is>
      </c>
      <c r="G5160" t="inlineStr">
        <is>
          <t>010-6899-2621</t>
        </is>
      </c>
      <c r="H5160" t="inlineStr">
        <is>
          <t>20나6530</t>
        </is>
      </c>
      <c r="I5160" t="n">
        <v>10000000</v>
      </c>
      <c r="J5160" t="n">
        <v>0.063</v>
      </c>
      <c r="K5160" t="n">
        <v>1.1</v>
      </c>
      <c r="L5160" t="n">
        <v>0.14</v>
      </c>
      <c r="M5160" t="n">
        <v>0.96</v>
      </c>
      <c r="P5160" t="inlineStr">
        <is>
          <t>황채이</t>
        </is>
      </c>
      <c r="Q5160" t="inlineStr">
        <is>
          <t>홈서비스 60개월</t>
        </is>
      </c>
      <c r="AB5160" t="inlineStr">
        <is>
          <t>홈서비스</t>
        </is>
      </c>
      <c r="AC5160" t="n">
        <v>110000</v>
      </c>
      <c r="AD5160" t="n">
        <v>14000</v>
      </c>
      <c r="AE5160" t="n">
        <v>96000</v>
      </c>
      <c r="AF5160" t="n">
        <v>100000</v>
      </c>
      <c r="AG5160" t="n">
        <v>13538</v>
      </c>
      <c r="AH5160" t="n">
        <v>86462</v>
      </c>
      <c r="AI5160" t="n">
        <v>0</v>
      </c>
    </row>
    <row r="5161">
      <c r="A5161" t="inlineStr">
        <is>
          <t>6월</t>
        </is>
      </c>
      <c r="B5161" t="inlineStr">
        <is>
          <t>24주차</t>
        </is>
      </c>
      <c r="C5161" t="inlineStr">
        <is>
          <t>EP</t>
        </is>
      </c>
      <c r="D5161" s="28" t="n">
        <v>46182</v>
      </c>
      <c r="E5161" t="inlineStr">
        <is>
          <t>현대EP_fast</t>
        </is>
      </c>
      <c r="F5161" t="inlineStr">
        <is>
          <t>김옥임</t>
        </is>
      </c>
      <c r="G5161" t="inlineStr">
        <is>
          <t>010-8989-4367</t>
        </is>
      </c>
      <c r="H5161" t="inlineStr">
        <is>
          <t>17거9375</t>
        </is>
      </c>
      <c r="I5161" t="n">
        <v>13500000</v>
      </c>
      <c r="J5161" t="n">
        <v>0.093</v>
      </c>
      <c r="K5161" t="n">
        <v>1.76</v>
      </c>
      <c r="L5161" t="n">
        <v>0.14</v>
      </c>
      <c r="M5161" t="n">
        <v>1.62</v>
      </c>
      <c r="P5161" t="inlineStr">
        <is>
          <t>정세빈</t>
        </is>
      </c>
      <c r="Q5161" t="inlineStr">
        <is>
          <t>홈서비스 60개월</t>
        </is>
      </c>
      <c r="AB5161" t="inlineStr">
        <is>
          <t>홈서비스</t>
        </is>
      </c>
      <c r="AC5161" t="n">
        <v>237600</v>
      </c>
      <c r="AD5161" t="n">
        <v>18900</v>
      </c>
      <c r="AE5161" t="n">
        <v>218700</v>
      </c>
      <c r="AF5161" t="n">
        <v>216000</v>
      </c>
      <c r="AG5161" t="n">
        <v>18276.3</v>
      </c>
      <c r="AH5161" t="n">
        <v>197723.7</v>
      </c>
      <c r="AI5161" t="n">
        <v>0</v>
      </c>
    </row>
    <row r="5162">
      <c r="A5162" t="inlineStr">
        <is>
          <t>6월</t>
        </is>
      </c>
      <c r="B5162" t="inlineStr">
        <is>
          <t>24주차</t>
        </is>
      </c>
      <c r="C5162" t="inlineStr">
        <is>
          <t>IM</t>
        </is>
      </c>
      <c r="D5162" s="28" t="n">
        <v>46182</v>
      </c>
      <c r="E5162" t="inlineStr">
        <is>
          <t>IM캐피탈</t>
        </is>
      </c>
      <c r="F5162" t="inlineStr">
        <is>
          <t>이정환</t>
        </is>
      </c>
      <c r="G5162" t="inlineStr">
        <is>
          <t>010-8529-0644</t>
        </is>
      </c>
      <c r="H5162" t="inlineStr">
        <is>
          <t>252오7003</t>
        </is>
      </c>
      <c r="I5162" t="n">
        <v>11700000</v>
      </c>
      <c r="J5162" t="n">
        <v>0.063</v>
      </c>
      <c r="K5162" t="n">
        <v>1.1</v>
      </c>
      <c r="L5162" t="n">
        <v>0.14</v>
      </c>
      <c r="M5162" t="n">
        <v>0.96</v>
      </c>
      <c r="P5162" t="inlineStr">
        <is>
          <t>정세빈</t>
        </is>
      </c>
      <c r="Q5162" t="inlineStr">
        <is>
          <t>홈서비스 60개월</t>
        </is>
      </c>
      <c r="AB5162" t="inlineStr">
        <is>
          <t>홈서비스</t>
        </is>
      </c>
      <c r="AC5162" t="n">
        <v>128700</v>
      </c>
      <c r="AD5162" t="n">
        <v>16380</v>
      </c>
      <c r="AE5162" t="n">
        <v>112320</v>
      </c>
      <c r="AF5162" t="n">
        <v>117000</v>
      </c>
      <c r="AG5162" t="n">
        <v>15839.46</v>
      </c>
      <c r="AH5162" t="n">
        <v>101160.54</v>
      </c>
      <c r="AI5162" t="n">
        <v>0</v>
      </c>
    </row>
    <row r="5163">
      <c r="A5163" t="inlineStr">
        <is>
          <t>6월</t>
        </is>
      </c>
      <c r="B5163" t="inlineStr">
        <is>
          <t>24주차</t>
        </is>
      </c>
      <c r="C5163" t="inlineStr">
        <is>
          <t>IM</t>
        </is>
      </c>
      <c r="D5163" s="28" t="n">
        <v>46182</v>
      </c>
      <c r="E5163" t="inlineStr">
        <is>
          <t>IM캐피탈</t>
        </is>
      </c>
      <c r="F5163" t="inlineStr">
        <is>
          <t>김희원</t>
        </is>
      </c>
      <c r="G5163" t="inlineStr">
        <is>
          <t>010-8359-6180</t>
        </is>
      </c>
      <c r="H5163" t="inlineStr">
        <is>
          <t>186라8609</t>
        </is>
      </c>
      <c r="I5163" t="n">
        <v>20700000</v>
      </c>
      <c r="J5163" t="n">
        <v>0.067</v>
      </c>
      <c r="K5163" t="n">
        <v>1.1</v>
      </c>
      <c r="L5163" t="n">
        <v>0.14</v>
      </c>
      <c r="M5163" t="n">
        <v>0.96</v>
      </c>
      <c r="P5163" t="inlineStr">
        <is>
          <t>임대경</t>
        </is>
      </c>
      <c r="Q5163" t="inlineStr">
        <is>
          <t>홈서비스 60개월</t>
        </is>
      </c>
      <c r="AB5163" t="inlineStr">
        <is>
          <t>홈서비스</t>
        </is>
      </c>
      <c r="AC5163" t="n">
        <v>227700</v>
      </c>
      <c r="AD5163" t="n">
        <v>28980</v>
      </c>
      <c r="AE5163" t="n">
        <v>198720</v>
      </c>
      <c r="AF5163" t="n">
        <v>207000</v>
      </c>
      <c r="AG5163" t="n">
        <v>28023.66</v>
      </c>
      <c r="AH5163" t="n">
        <v>178976.34</v>
      </c>
      <c r="AI5163" t="n">
        <v>0</v>
      </c>
    </row>
    <row r="5164">
      <c r="A5164" t="inlineStr">
        <is>
          <t>6월</t>
        </is>
      </c>
      <c r="B5164" t="inlineStr">
        <is>
          <t>24주차</t>
        </is>
      </c>
      <c r="C5164" t="inlineStr">
        <is>
          <t>IM</t>
        </is>
      </c>
      <c r="D5164" s="28" t="n">
        <v>46182</v>
      </c>
      <c r="E5164" t="inlineStr">
        <is>
          <t>IM캐피탈</t>
        </is>
      </c>
      <c r="F5164" t="inlineStr">
        <is>
          <t>조성연</t>
        </is>
      </c>
      <c r="G5164" t="inlineStr">
        <is>
          <t>010-3798-6767</t>
        </is>
      </c>
      <c r="H5164" t="inlineStr">
        <is>
          <t>130고3234</t>
        </is>
      </c>
      <c r="I5164" t="n">
        <v>34000000</v>
      </c>
      <c r="J5164" t="n">
        <v>0.059</v>
      </c>
      <c r="K5164" t="n">
        <v>1.1</v>
      </c>
      <c r="L5164" t="n">
        <v>0.14</v>
      </c>
      <c r="M5164" t="n">
        <v>0.96</v>
      </c>
      <c r="P5164" t="inlineStr">
        <is>
          <t>임대경</t>
        </is>
      </c>
      <c r="Q5164" t="inlineStr">
        <is>
          <t>홈서비스 60개월</t>
        </is>
      </c>
      <c r="AB5164" t="inlineStr">
        <is>
          <t>홈서비스</t>
        </is>
      </c>
      <c r="AC5164" t="n">
        <v>374000</v>
      </c>
      <c r="AD5164" t="n">
        <v>47600</v>
      </c>
      <c r="AE5164" t="n">
        <v>326400</v>
      </c>
      <c r="AF5164" t="n">
        <v>340000</v>
      </c>
      <c r="AG5164" t="n">
        <v>46029.2</v>
      </c>
      <c r="AH5164" t="n">
        <v>293970.8</v>
      </c>
    </row>
    <row r="5165">
      <c r="A5165" t="inlineStr">
        <is>
          <t>6월</t>
        </is>
      </c>
      <c r="B5165" t="inlineStr">
        <is>
          <t>24주차</t>
        </is>
      </c>
      <c r="C5165" t="inlineStr">
        <is>
          <t>HC</t>
        </is>
      </c>
      <c r="D5165" s="28" t="n">
        <v>46182</v>
      </c>
      <c r="E5165" t="inlineStr">
        <is>
          <t>하나캐피탈</t>
        </is>
      </c>
      <c r="F5165" t="inlineStr">
        <is>
          <t>김재열</t>
        </is>
      </c>
      <c r="G5165" t="inlineStr">
        <is>
          <t>010-5879-6166</t>
        </is>
      </c>
      <c r="H5165" t="inlineStr">
        <is>
          <t>87도3085</t>
        </is>
      </c>
      <c r="I5165" t="n">
        <v>10000000</v>
      </c>
      <c r="J5165" t="n">
        <v>0.068</v>
      </c>
      <c r="K5165" t="n">
        <v>2.2</v>
      </c>
      <c r="L5165" t="n">
        <v>0.4</v>
      </c>
      <c r="M5165" t="n">
        <v>1.8</v>
      </c>
      <c r="P5165" t="inlineStr">
        <is>
          <t>구성완</t>
        </is>
      </c>
      <c r="AB5165" t="inlineStr">
        <is>
          <t>엔카</t>
        </is>
      </c>
      <c r="AC5165" t="n">
        <v>220000</v>
      </c>
      <c r="AD5165" t="n">
        <v>40000</v>
      </c>
      <c r="AE5165" t="n">
        <v>180000</v>
      </c>
      <c r="AF5165" t="n">
        <v>200000</v>
      </c>
      <c r="AG5165" t="n">
        <v>38680</v>
      </c>
      <c r="AH5165" t="n">
        <v>161320</v>
      </c>
      <c r="AI5165" t="n">
        <v>0</v>
      </c>
    </row>
    <row r="5166">
      <c r="A5166" t="inlineStr">
        <is>
          <t>6월</t>
        </is>
      </c>
      <c r="B5166" t="inlineStr">
        <is>
          <t>24주차</t>
        </is>
      </c>
      <c r="C5166" t="inlineStr">
        <is>
          <t>IM</t>
        </is>
      </c>
      <c r="D5166" s="28" t="n">
        <v>46182</v>
      </c>
      <c r="E5166" t="inlineStr">
        <is>
          <t>IM캐피탈</t>
        </is>
      </c>
      <c r="F5166" t="inlineStr">
        <is>
          <t>박재은</t>
        </is>
      </c>
      <c r="G5166" t="inlineStr">
        <is>
          <t>010-7229-7111</t>
        </is>
      </c>
      <c r="H5166" t="inlineStr">
        <is>
          <t>61버1962</t>
        </is>
      </c>
      <c r="I5166" t="n">
        <v>11800000</v>
      </c>
      <c r="J5166" t="n">
        <v>0.049</v>
      </c>
      <c r="K5166" t="n">
        <v>1.1</v>
      </c>
      <c r="L5166" t="n">
        <v>0.4</v>
      </c>
      <c r="M5166" t="n">
        <v>0.7</v>
      </c>
      <c r="P5166" t="inlineStr">
        <is>
          <t>구성완</t>
        </is>
      </c>
      <c r="Q5166" t="inlineStr">
        <is>
          <t>공동명의</t>
        </is>
      </c>
      <c r="AB5166" t="inlineStr">
        <is>
          <t>엔카</t>
        </is>
      </c>
      <c r="AC5166" t="n">
        <v>129800</v>
      </c>
      <c r="AD5166" t="n">
        <v>47200</v>
      </c>
      <c r="AE5166" t="n">
        <v>82600</v>
      </c>
      <c r="AF5166" t="n">
        <v>118000</v>
      </c>
      <c r="AG5166" t="n">
        <v>45642.4</v>
      </c>
      <c r="AH5166" t="n">
        <v>72357.60000000001</v>
      </c>
    </row>
    <row r="5167">
      <c r="A5167" t="inlineStr">
        <is>
          <t>6월</t>
        </is>
      </c>
      <c r="B5167" t="inlineStr">
        <is>
          <t>24주차</t>
        </is>
      </c>
      <c r="C5167" t="inlineStr">
        <is>
          <t>EP</t>
        </is>
      </c>
      <c r="D5167" s="28" t="n">
        <v>46182</v>
      </c>
      <c r="E5167" t="inlineStr">
        <is>
          <t>현대EP_fast</t>
        </is>
      </c>
      <c r="F5167" t="inlineStr">
        <is>
          <t>강민구</t>
        </is>
      </c>
      <c r="G5167" t="inlineStr">
        <is>
          <t>010-7454-0722</t>
        </is>
      </c>
      <c r="H5167" t="inlineStr">
        <is>
          <t>63저7533</t>
        </is>
      </c>
      <c r="I5167" t="n">
        <v>70000000</v>
      </c>
      <c r="J5167" t="n">
        <v>0.08400000000000001</v>
      </c>
      <c r="K5167" t="n">
        <v>1.76</v>
      </c>
      <c r="L5167" t="n">
        <v>0.14</v>
      </c>
      <c r="M5167" t="n">
        <v>1.62</v>
      </c>
      <c r="P5167" t="inlineStr">
        <is>
          <t>임대경</t>
        </is>
      </c>
      <c r="Q5167" t="inlineStr">
        <is>
          <t>홈서비스24개월</t>
        </is>
      </c>
      <c r="AB5167" t="inlineStr">
        <is>
          <t>홈서비스</t>
        </is>
      </c>
      <c r="AC5167" t="n">
        <v>1232000</v>
      </c>
      <c r="AD5167" t="n">
        <v>98000</v>
      </c>
      <c r="AE5167" t="n">
        <v>1134000</v>
      </c>
      <c r="AF5167" t="n">
        <v>1120000</v>
      </c>
      <c r="AG5167" t="n">
        <v>94766</v>
      </c>
      <c r="AH5167" t="n">
        <v>1025234</v>
      </c>
      <c r="AI5167" t="n">
        <v>0</v>
      </c>
    </row>
    <row r="5168">
      <c r="A5168" t="inlineStr">
        <is>
          <t>6월</t>
        </is>
      </c>
      <c r="B5168" t="inlineStr">
        <is>
          <t>24주차</t>
        </is>
      </c>
      <c r="C5168" t="inlineStr">
        <is>
          <t>EP</t>
        </is>
      </c>
      <c r="D5168" s="28" t="n">
        <v>46182</v>
      </c>
      <c r="E5168" t="inlineStr">
        <is>
          <t>현대EP_fast</t>
        </is>
      </c>
      <c r="F5168" t="inlineStr">
        <is>
          <t>장옥삼</t>
        </is>
      </c>
      <c r="G5168" t="inlineStr">
        <is>
          <t>010-6763-6900</t>
        </is>
      </c>
      <c r="H5168" t="inlineStr">
        <is>
          <t>38라2956</t>
        </is>
      </c>
      <c r="I5168" t="n">
        <v>23200000</v>
      </c>
      <c r="J5168" t="n">
        <v>0.113</v>
      </c>
      <c r="K5168" t="n">
        <v>1.76</v>
      </c>
      <c r="L5168" t="n">
        <v>0.14</v>
      </c>
      <c r="M5168" t="n">
        <v>1.62</v>
      </c>
      <c r="P5168" t="inlineStr">
        <is>
          <t>최혁</t>
        </is>
      </c>
      <c r="Q5168" t="inlineStr">
        <is>
          <t>홈서비스 60개월</t>
        </is>
      </c>
      <c r="AB5168" t="inlineStr">
        <is>
          <t>홈서비스</t>
        </is>
      </c>
      <c r="AC5168" t="n">
        <v>408320</v>
      </c>
      <c r="AD5168" t="n">
        <v>32480</v>
      </c>
      <c r="AE5168" t="n">
        <v>375840</v>
      </c>
      <c r="AF5168" t="n">
        <v>371200</v>
      </c>
      <c r="AG5168" t="n">
        <v>31408.16</v>
      </c>
      <c r="AH5168" t="n">
        <v>339791.84</v>
      </c>
      <c r="AI5168" t="n">
        <v>0</v>
      </c>
    </row>
    <row r="5169">
      <c r="A5169" t="inlineStr">
        <is>
          <t>6월</t>
        </is>
      </c>
      <c r="B5169" t="inlineStr">
        <is>
          <t>24주차</t>
        </is>
      </c>
      <c r="C5169" t="inlineStr">
        <is>
          <t>EP</t>
        </is>
      </c>
      <c r="D5169" s="28" t="n">
        <v>46182</v>
      </c>
      <c r="E5169" t="inlineStr">
        <is>
          <t>현대EP_fast</t>
        </is>
      </c>
      <c r="F5169" t="inlineStr">
        <is>
          <t>한진</t>
        </is>
      </c>
      <c r="G5169" t="inlineStr">
        <is>
          <t>010-8359-6180</t>
        </is>
      </c>
      <c r="H5169" t="inlineStr">
        <is>
          <t>186라8609</t>
        </is>
      </c>
      <c r="I5169" t="n">
        <v>20700000</v>
      </c>
      <c r="J5169" t="n">
        <v>0.067</v>
      </c>
      <c r="K5169" t="n">
        <v>1.76</v>
      </c>
      <c r="L5169" t="n">
        <v>0.14</v>
      </c>
      <c r="M5169" t="n">
        <v>1.62</v>
      </c>
      <c r="P5169" t="inlineStr">
        <is>
          <t>임대경</t>
        </is>
      </c>
      <c r="Q5169" t="inlineStr">
        <is>
          <t>홈서비스 60개월</t>
        </is>
      </c>
      <c r="AB5169" t="inlineStr">
        <is>
          <t>홈서비스</t>
        </is>
      </c>
      <c r="AC5169" t="n">
        <v>364320</v>
      </c>
      <c r="AD5169" t="n">
        <v>28980</v>
      </c>
      <c r="AE5169" t="n">
        <v>335340</v>
      </c>
      <c r="AF5169" t="n">
        <v>331200</v>
      </c>
      <c r="AG5169" t="n">
        <v>28023.66</v>
      </c>
      <c r="AH5169" t="n">
        <v>303176.34</v>
      </c>
    </row>
    <row r="5170">
      <c r="A5170" t="inlineStr">
        <is>
          <t>6월</t>
        </is>
      </c>
      <c r="B5170" t="inlineStr">
        <is>
          <t>24주차</t>
        </is>
      </c>
      <c r="C5170" t="inlineStr">
        <is>
          <t>EP</t>
        </is>
      </c>
      <c r="D5170" s="28" t="n">
        <v>46182</v>
      </c>
      <c r="E5170" t="inlineStr">
        <is>
          <t>현대EP</t>
        </is>
      </c>
      <c r="F5170" t="inlineStr">
        <is>
          <t>김주성</t>
        </is>
      </c>
      <c r="G5170" t="inlineStr">
        <is>
          <t>010-3935-8689</t>
        </is>
      </c>
      <c r="H5170" t="inlineStr">
        <is>
          <t>05머5280</t>
        </is>
      </c>
      <c r="I5170" t="n">
        <v>14900000</v>
      </c>
      <c r="J5170" t="n">
        <v>0.07000000000000001</v>
      </c>
      <c r="K5170" t="n">
        <v>1.76</v>
      </c>
      <c r="L5170" t="n">
        <v>0.14</v>
      </c>
      <c r="M5170" t="n">
        <v>1.62</v>
      </c>
      <c r="P5170" t="inlineStr">
        <is>
          <t>정세빈</t>
        </is>
      </c>
      <c r="AB5170" t="inlineStr">
        <is>
          <t>홈서비스</t>
        </is>
      </c>
      <c r="AC5170" t="n">
        <v>262240</v>
      </c>
      <c r="AD5170" t="n">
        <v>20860</v>
      </c>
      <c r="AE5170" t="n">
        <v>241380</v>
      </c>
      <c r="AF5170" t="n">
        <v>238400</v>
      </c>
      <c r="AG5170" t="n">
        <v>20171.62</v>
      </c>
      <c r="AH5170" t="n">
        <v>218228.38</v>
      </c>
      <c r="AI5170" t="n">
        <v>0</v>
      </c>
    </row>
    <row r="5171">
      <c r="A5171" t="inlineStr">
        <is>
          <t>6월</t>
        </is>
      </c>
      <c r="B5171" t="inlineStr">
        <is>
          <t>24주차</t>
        </is>
      </c>
      <c r="C5171" t="inlineStr">
        <is>
          <t>EP</t>
        </is>
      </c>
      <c r="D5171" s="28" t="n">
        <v>46182</v>
      </c>
      <c r="E5171" t="inlineStr">
        <is>
          <t>현대EP</t>
        </is>
      </c>
      <c r="F5171" t="inlineStr">
        <is>
          <t>나동주</t>
        </is>
      </c>
      <c r="G5171" t="inlineStr">
        <is>
          <t>010-4105-7670</t>
        </is>
      </c>
      <c r="H5171" t="inlineStr">
        <is>
          <t>51너7874</t>
        </is>
      </c>
      <c r="I5171" t="n">
        <v>44900000</v>
      </c>
      <c r="J5171" t="n">
        <v>0.06900000000000001</v>
      </c>
      <c r="K5171" t="n">
        <v>1.76</v>
      </c>
      <c r="L5171" t="n">
        <v>0.14</v>
      </c>
      <c r="M5171" t="n">
        <v>1.62</v>
      </c>
      <c r="P5171" t="inlineStr">
        <is>
          <t>최혁</t>
        </is>
      </c>
      <c r="AB5171" t="inlineStr">
        <is>
          <t>홈서비스</t>
        </is>
      </c>
      <c r="AC5171" t="n">
        <v>790240</v>
      </c>
      <c r="AD5171" t="n">
        <v>62860</v>
      </c>
      <c r="AE5171" t="n">
        <v>727380</v>
      </c>
      <c r="AF5171" t="n">
        <v>718400</v>
      </c>
      <c r="AG5171" t="n">
        <v>60785.62</v>
      </c>
      <c r="AH5171" t="n">
        <v>657614.38</v>
      </c>
    </row>
    <row r="5172">
      <c r="A5172" t="inlineStr">
        <is>
          <t>6월</t>
        </is>
      </c>
      <c r="B5172" t="inlineStr">
        <is>
          <t>24주차</t>
        </is>
      </c>
      <c r="C5172" t="inlineStr">
        <is>
          <t>EP</t>
        </is>
      </c>
      <c r="D5172" s="28" t="n">
        <v>46182</v>
      </c>
      <c r="E5172" t="inlineStr">
        <is>
          <t>현대EP</t>
        </is>
      </c>
      <c r="F5172" t="inlineStr">
        <is>
          <t>박건필</t>
        </is>
      </c>
      <c r="G5172" t="inlineStr">
        <is>
          <t>010-9674-6366</t>
        </is>
      </c>
      <c r="H5172" t="inlineStr">
        <is>
          <t>230누9049</t>
        </is>
      </c>
      <c r="I5172" t="n">
        <v>13000000</v>
      </c>
      <c r="J5172" t="n">
        <v>0.093</v>
      </c>
      <c r="K5172" t="n">
        <v>1.76</v>
      </c>
      <c r="L5172" t="n">
        <v>0.14</v>
      </c>
      <c r="M5172" t="n">
        <v>1.62</v>
      </c>
      <c r="P5172" t="inlineStr">
        <is>
          <t>정세빈</t>
        </is>
      </c>
      <c r="AB5172" t="inlineStr">
        <is>
          <t>홈서비스</t>
        </is>
      </c>
      <c r="AC5172" t="n">
        <v>228800</v>
      </c>
      <c r="AD5172" t="n">
        <v>18200</v>
      </c>
      <c r="AE5172" t="n">
        <v>210600</v>
      </c>
      <c r="AF5172" t="n">
        <v>208000</v>
      </c>
      <c r="AG5172" t="n">
        <v>17599.4</v>
      </c>
      <c r="AH5172" t="n">
        <v>190400.6</v>
      </c>
    </row>
    <row r="5173">
      <c r="A5173" t="inlineStr">
        <is>
          <t>6월</t>
        </is>
      </c>
      <c r="B5173" t="inlineStr">
        <is>
          <t>24주차</t>
        </is>
      </c>
      <c r="C5173" t="inlineStr">
        <is>
          <t>EP</t>
        </is>
      </c>
      <c r="D5173" s="28" t="n">
        <v>46182</v>
      </c>
      <c r="E5173" t="inlineStr">
        <is>
          <t>현대EP</t>
        </is>
      </c>
      <c r="F5173" t="inlineStr">
        <is>
          <t>손준호</t>
        </is>
      </c>
      <c r="G5173" t="inlineStr">
        <is>
          <t>010-6768-6741</t>
        </is>
      </c>
      <c r="H5173" t="inlineStr">
        <is>
          <t>363다7326</t>
        </is>
      </c>
      <c r="I5173" t="n">
        <v>34700000</v>
      </c>
      <c r="J5173" t="n">
        <v>0.089</v>
      </c>
      <c r="K5173" t="n">
        <v>1.76</v>
      </c>
      <c r="L5173" t="n">
        <v>0.14</v>
      </c>
      <c r="M5173" t="n">
        <v>1.62</v>
      </c>
      <c r="P5173" t="inlineStr">
        <is>
          <t>정세빈</t>
        </is>
      </c>
      <c r="AB5173" t="inlineStr">
        <is>
          <t>홈서비스</t>
        </is>
      </c>
      <c r="AC5173" t="n">
        <v>610720</v>
      </c>
      <c r="AD5173" t="n">
        <v>48580</v>
      </c>
      <c r="AE5173" t="n">
        <v>562140</v>
      </c>
      <c r="AF5173" t="n">
        <v>555200</v>
      </c>
      <c r="AG5173" t="n">
        <v>46976.86</v>
      </c>
      <c r="AH5173" t="n">
        <v>508223.14</v>
      </c>
      <c r="AI5173" t="n">
        <v>0</v>
      </c>
    </row>
    <row r="5174">
      <c r="A5174" t="inlineStr">
        <is>
          <t>6월</t>
        </is>
      </c>
      <c r="B5174" t="inlineStr">
        <is>
          <t>24주차</t>
        </is>
      </c>
      <c r="C5174" t="inlineStr">
        <is>
          <t>EP</t>
        </is>
      </c>
      <c r="D5174" s="28" t="n">
        <v>46182</v>
      </c>
      <c r="E5174" t="inlineStr">
        <is>
          <t>현대EP</t>
        </is>
      </c>
      <c r="F5174" t="inlineStr">
        <is>
          <t>윤대성</t>
        </is>
      </c>
      <c r="G5174" t="inlineStr">
        <is>
          <t>010-2554-0375</t>
        </is>
      </c>
      <c r="H5174" t="inlineStr">
        <is>
          <t>152수1517</t>
        </is>
      </c>
      <c r="I5174" t="n">
        <v>54900000</v>
      </c>
      <c r="J5174" t="n">
        <v>0.07000000000000001</v>
      </c>
      <c r="K5174" t="n">
        <v>1.76</v>
      </c>
      <c r="L5174" t="n">
        <v>0.14</v>
      </c>
      <c r="M5174" t="n">
        <v>1.62</v>
      </c>
      <c r="P5174" t="inlineStr">
        <is>
          <t>정세빈</t>
        </is>
      </c>
      <c r="AB5174" t="inlineStr">
        <is>
          <t>홈서비스</t>
        </is>
      </c>
      <c r="AC5174" t="n">
        <v>966240</v>
      </c>
      <c r="AD5174" t="n">
        <v>76860</v>
      </c>
      <c r="AE5174" t="n">
        <v>889380</v>
      </c>
      <c r="AF5174" t="n">
        <v>878400</v>
      </c>
      <c r="AG5174" t="n">
        <v>74323.62</v>
      </c>
      <c r="AH5174" t="n">
        <v>804076.38</v>
      </c>
      <c r="AI5174" t="n">
        <v>0</v>
      </c>
    </row>
    <row r="5175">
      <c r="A5175" t="inlineStr">
        <is>
          <t>6월</t>
        </is>
      </c>
      <c r="B5175" t="inlineStr">
        <is>
          <t>24주차</t>
        </is>
      </c>
      <c r="C5175" t="inlineStr">
        <is>
          <t>EP</t>
        </is>
      </c>
      <c r="D5175" s="28" t="n">
        <v>46182</v>
      </c>
      <c r="E5175" t="inlineStr">
        <is>
          <t>현대EP</t>
        </is>
      </c>
      <c r="F5175" t="inlineStr">
        <is>
          <t>이동근</t>
        </is>
      </c>
      <c r="G5175" t="inlineStr">
        <is>
          <t>010-9206-5544</t>
        </is>
      </c>
      <c r="H5175" t="inlineStr">
        <is>
          <t>43가1198</t>
        </is>
      </c>
      <c r="I5175" t="n">
        <v>32000000</v>
      </c>
      <c r="J5175" t="n">
        <v>0.109</v>
      </c>
      <c r="K5175" t="n">
        <v>1.76</v>
      </c>
      <c r="L5175" t="n">
        <v>0.14</v>
      </c>
      <c r="M5175" t="n">
        <v>1.62</v>
      </c>
      <c r="P5175" t="inlineStr">
        <is>
          <t>김나윤</t>
        </is>
      </c>
      <c r="AB5175" t="inlineStr">
        <is>
          <t>홈서비스</t>
        </is>
      </c>
      <c r="AC5175" t="n">
        <v>563200</v>
      </c>
      <c r="AD5175" t="n">
        <v>44800</v>
      </c>
      <c r="AE5175" t="n">
        <v>518400</v>
      </c>
      <c r="AF5175" t="n">
        <v>512000</v>
      </c>
      <c r="AG5175" t="n">
        <v>43321.6</v>
      </c>
      <c r="AH5175" t="n">
        <v>468678.4</v>
      </c>
      <c r="AI5175" t="n">
        <v>0</v>
      </c>
    </row>
    <row r="5176">
      <c r="A5176" t="inlineStr">
        <is>
          <t>6월</t>
        </is>
      </c>
      <c r="B5176" t="inlineStr">
        <is>
          <t>24주차</t>
        </is>
      </c>
      <c r="C5176" t="inlineStr">
        <is>
          <t>EP</t>
        </is>
      </c>
      <c r="D5176" s="28" t="n">
        <v>46182</v>
      </c>
      <c r="E5176" t="inlineStr">
        <is>
          <t>현대EP</t>
        </is>
      </c>
      <c r="F5176" t="inlineStr">
        <is>
          <t>이상엽</t>
        </is>
      </c>
      <c r="G5176" t="inlineStr">
        <is>
          <t>010-9934-1304</t>
        </is>
      </c>
      <c r="H5176" t="inlineStr">
        <is>
          <t>316저6005</t>
        </is>
      </c>
      <c r="I5176" t="n">
        <v>52300000</v>
      </c>
      <c r="J5176" t="n">
        <v>0.113</v>
      </c>
      <c r="K5176" t="n">
        <v>1.76</v>
      </c>
      <c r="L5176" t="n">
        <v>0.14</v>
      </c>
      <c r="M5176" t="n">
        <v>1.62</v>
      </c>
      <c r="P5176" t="inlineStr">
        <is>
          <t>임대경</t>
        </is>
      </c>
      <c r="AB5176" t="inlineStr">
        <is>
          <t>홈서비스</t>
        </is>
      </c>
      <c r="AC5176" t="n">
        <v>920480</v>
      </c>
      <c r="AD5176" t="n">
        <v>73220</v>
      </c>
      <c r="AE5176" t="n">
        <v>847260</v>
      </c>
      <c r="AF5176" t="n">
        <v>836800</v>
      </c>
      <c r="AG5176" t="n">
        <v>70803.74000000001</v>
      </c>
      <c r="AH5176" t="n">
        <v>765996.26</v>
      </c>
      <c r="AI5176" t="n">
        <v>0</v>
      </c>
    </row>
    <row r="5177">
      <c r="A5177" t="inlineStr">
        <is>
          <t>6월</t>
        </is>
      </c>
      <c r="B5177" t="inlineStr">
        <is>
          <t>24주차</t>
        </is>
      </c>
      <c r="C5177" t="inlineStr">
        <is>
          <t>EP</t>
        </is>
      </c>
      <c r="D5177" s="28" t="n">
        <v>46182</v>
      </c>
      <c r="E5177" t="inlineStr">
        <is>
          <t>현대EP</t>
        </is>
      </c>
      <c r="F5177" t="inlineStr">
        <is>
          <t>이승철</t>
        </is>
      </c>
      <c r="G5177" t="inlineStr">
        <is>
          <t>010-3819-4656</t>
        </is>
      </c>
      <c r="H5177" t="inlineStr">
        <is>
          <t>840고2885</t>
        </is>
      </c>
      <c r="I5177" t="n">
        <v>34000000</v>
      </c>
      <c r="J5177" t="n">
        <v>0.06900000000000001</v>
      </c>
      <c r="K5177" t="n">
        <v>1.76</v>
      </c>
      <c r="L5177" t="n">
        <v>0.14</v>
      </c>
      <c r="M5177" t="n">
        <v>1.62</v>
      </c>
      <c r="P5177" t="inlineStr">
        <is>
          <t>황채이</t>
        </is>
      </c>
      <c r="AB5177" t="inlineStr">
        <is>
          <t>홈서비스</t>
        </is>
      </c>
      <c r="AC5177" t="n">
        <v>598400</v>
      </c>
      <c r="AD5177" t="n">
        <v>47600</v>
      </c>
      <c r="AE5177" t="n">
        <v>550800</v>
      </c>
      <c r="AF5177" t="n">
        <v>544000</v>
      </c>
      <c r="AG5177" t="n">
        <v>46029.2</v>
      </c>
      <c r="AH5177" t="n">
        <v>497970.8</v>
      </c>
      <c r="AI5177" t="n">
        <v>0</v>
      </c>
    </row>
    <row r="5178">
      <c r="A5178" t="inlineStr">
        <is>
          <t>6월</t>
        </is>
      </c>
      <c r="B5178" t="inlineStr">
        <is>
          <t>24주차</t>
        </is>
      </c>
      <c r="C5178" t="inlineStr">
        <is>
          <t>EP</t>
        </is>
      </c>
      <c r="D5178" s="28" t="n">
        <v>46182</v>
      </c>
      <c r="E5178" t="inlineStr">
        <is>
          <t>현대EP</t>
        </is>
      </c>
      <c r="F5178" t="inlineStr">
        <is>
          <t>이용민</t>
        </is>
      </c>
      <c r="G5178" t="inlineStr">
        <is>
          <t>010-9292-0670</t>
        </is>
      </c>
      <c r="H5178" t="inlineStr">
        <is>
          <t>315더3679</t>
        </is>
      </c>
      <c r="I5178" t="n">
        <v>7500000</v>
      </c>
      <c r="J5178" t="n">
        <v>0.07099999999999999</v>
      </c>
      <c r="K5178" t="n">
        <v>1.76</v>
      </c>
      <c r="L5178" t="n">
        <v>0.14</v>
      </c>
      <c r="M5178" t="n">
        <v>1.62</v>
      </c>
      <c r="P5178" t="inlineStr">
        <is>
          <t>황채이</t>
        </is>
      </c>
      <c r="AB5178" t="inlineStr">
        <is>
          <t>홈서비스</t>
        </is>
      </c>
      <c r="AC5178" t="n">
        <v>132000</v>
      </c>
      <c r="AD5178" t="n">
        <v>10500</v>
      </c>
      <c r="AE5178" t="n">
        <v>121500</v>
      </c>
      <c r="AF5178" t="n">
        <v>120000</v>
      </c>
      <c r="AG5178" t="n">
        <v>10153.5</v>
      </c>
      <c r="AH5178" t="n">
        <v>109846.5</v>
      </c>
      <c r="AI5178" t="n">
        <v>0</v>
      </c>
    </row>
    <row r="5179">
      <c r="A5179" t="inlineStr">
        <is>
          <t>6월</t>
        </is>
      </c>
      <c r="B5179" t="inlineStr">
        <is>
          <t>24주차</t>
        </is>
      </c>
      <c r="C5179" t="inlineStr">
        <is>
          <t>EP</t>
        </is>
      </c>
      <c r="D5179" s="28" t="n">
        <v>46182</v>
      </c>
      <c r="E5179" t="inlineStr">
        <is>
          <t>현대EP</t>
        </is>
      </c>
      <c r="F5179" t="inlineStr">
        <is>
          <t>임지영</t>
        </is>
      </c>
      <c r="G5179" t="inlineStr">
        <is>
          <t>010-5019-2844</t>
        </is>
      </c>
      <c r="H5179" t="inlineStr">
        <is>
          <t>122오1508</t>
        </is>
      </c>
      <c r="I5179" t="n">
        <v>31000000</v>
      </c>
      <c r="J5179" t="n">
        <v>0.097</v>
      </c>
      <c r="K5179" t="n">
        <v>1.76</v>
      </c>
      <c r="L5179" t="n">
        <v>0.14</v>
      </c>
      <c r="M5179" t="n">
        <v>1.62</v>
      </c>
      <c r="P5179" t="inlineStr">
        <is>
          <t>정세빈</t>
        </is>
      </c>
      <c r="AB5179" t="inlineStr">
        <is>
          <t>홈서비스</t>
        </is>
      </c>
      <c r="AC5179" t="n">
        <v>545600</v>
      </c>
      <c r="AD5179" t="n">
        <v>43400</v>
      </c>
      <c r="AE5179" t="n">
        <v>502200</v>
      </c>
      <c r="AF5179" t="n">
        <v>496000</v>
      </c>
      <c r="AG5179" t="n">
        <v>41967.8</v>
      </c>
      <c r="AH5179" t="n">
        <v>454032.2</v>
      </c>
      <c r="AI5179" t="n">
        <v>0</v>
      </c>
    </row>
    <row r="5180">
      <c r="A5180" t="inlineStr">
        <is>
          <t>6월</t>
        </is>
      </c>
      <c r="B5180" t="inlineStr">
        <is>
          <t>24주차</t>
        </is>
      </c>
      <c r="C5180" t="inlineStr">
        <is>
          <t>EP</t>
        </is>
      </c>
      <c r="D5180" s="28" t="n">
        <v>46182</v>
      </c>
      <c r="E5180" t="inlineStr">
        <is>
          <t>현대EP</t>
        </is>
      </c>
      <c r="F5180" t="inlineStr">
        <is>
          <t>정민호</t>
        </is>
      </c>
      <c r="G5180" t="inlineStr">
        <is>
          <t>010-2008-8804</t>
        </is>
      </c>
      <c r="H5180" t="inlineStr">
        <is>
          <t>172보3747</t>
        </is>
      </c>
      <c r="I5180" t="n">
        <v>22900000</v>
      </c>
      <c r="J5180" t="n">
        <v>0.113</v>
      </c>
      <c r="K5180" t="n">
        <v>1.76</v>
      </c>
      <c r="L5180" t="n">
        <v>0.14</v>
      </c>
      <c r="M5180" t="n">
        <v>1.62</v>
      </c>
      <c r="P5180" t="inlineStr">
        <is>
          <t>황채이</t>
        </is>
      </c>
      <c r="AB5180" t="inlineStr">
        <is>
          <t>홈서비스</t>
        </is>
      </c>
      <c r="AC5180" t="n">
        <v>403040</v>
      </c>
      <c r="AD5180" t="n">
        <v>32060</v>
      </c>
      <c r="AE5180" t="n">
        <v>370980</v>
      </c>
      <c r="AF5180" t="n">
        <v>366400</v>
      </c>
      <c r="AG5180" t="n">
        <v>31002.02</v>
      </c>
      <c r="AH5180" t="n">
        <v>335397.98</v>
      </c>
      <c r="AI5180" t="n">
        <v>0</v>
      </c>
    </row>
    <row r="5181">
      <c r="A5181" t="inlineStr">
        <is>
          <t>6월</t>
        </is>
      </c>
      <c r="B5181" t="inlineStr">
        <is>
          <t>24주차</t>
        </is>
      </c>
      <c r="C5181" t="inlineStr">
        <is>
          <t>EP</t>
        </is>
      </c>
      <c r="D5181" s="28" t="n">
        <v>46182</v>
      </c>
      <c r="E5181" t="inlineStr">
        <is>
          <t>현대EP</t>
        </is>
      </c>
      <c r="F5181" t="inlineStr">
        <is>
          <t>주민영</t>
        </is>
      </c>
      <c r="G5181" t="inlineStr">
        <is>
          <t>010-8819-1743</t>
        </is>
      </c>
      <c r="H5181" t="inlineStr">
        <is>
          <t>21부1595</t>
        </is>
      </c>
      <c r="I5181" t="n">
        <v>5000000</v>
      </c>
      <c r="J5181" t="n">
        <v>0.06900000000000001</v>
      </c>
      <c r="K5181" t="n">
        <v>1.76</v>
      </c>
      <c r="L5181" t="n">
        <v>0.14</v>
      </c>
      <c r="M5181" t="n">
        <v>1.62</v>
      </c>
      <c r="P5181" t="inlineStr">
        <is>
          <t>박소현</t>
        </is>
      </c>
      <c r="AB5181" t="inlineStr">
        <is>
          <t>홈서비스</t>
        </is>
      </c>
      <c r="AC5181" t="n">
        <v>88000</v>
      </c>
      <c r="AD5181" t="n">
        <v>7000</v>
      </c>
      <c r="AE5181" t="n">
        <v>81000</v>
      </c>
      <c r="AF5181" t="n">
        <v>80000</v>
      </c>
      <c r="AG5181" t="n">
        <v>6769</v>
      </c>
      <c r="AH5181" t="n">
        <v>73231</v>
      </c>
      <c r="AI5181" t="n">
        <v>0</v>
      </c>
    </row>
    <row r="5182">
      <c r="A5182" t="inlineStr">
        <is>
          <t>6월</t>
        </is>
      </c>
      <c r="B5182" t="inlineStr">
        <is>
          <t>24주차</t>
        </is>
      </c>
      <c r="C5182" t="inlineStr">
        <is>
          <t>IM</t>
        </is>
      </c>
      <c r="D5182" s="28" t="n">
        <v>46183</v>
      </c>
      <c r="E5182" t="inlineStr">
        <is>
          <t>IM캐피탈</t>
        </is>
      </c>
      <c r="F5182" t="inlineStr">
        <is>
          <t>이석재</t>
        </is>
      </c>
      <c r="G5182" t="inlineStr">
        <is>
          <t>010-9970-7645</t>
        </is>
      </c>
      <c r="H5182" t="inlineStr">
        <is>
          <t>182오8782</t>
        </is>
      </c>
      <c r="I5182" t="n">
        <v>26800000</v>
      </c>
      <c r="J5182" t="n">
        <v>0.049</v>
      </c>
      <c r="K5182" t="n">
        <v>1.1</v>
      </c>
      <c r="L5182" t="n">
        <v>0.14</v>
      </c>
      <c r="M5182" t="n">
        <v>0.96</v>
      </c>
      <c r="P5182" t="inlineStr">
        <is>
          <t>정세빈</t>
        </is>
      </c>
      <c r="Q5182" t="inlineStr">
        <is>
          <t>홈서비스 60개월</t>
        </is>
      </c>
      <c r="AB5182" t="inlineStr">
        <is>
          <t>홈서비스</t>
        </is>
      </c>
      <c r="AC5182" t="n">
        <v>294800</v>
      </c>
      <c r="AD5182" t="n">
        <v>37520</v>
      </c>
      <c r="AE5182" t="n">
        <v>257280</v>
      </c>
      <c r="AF5182" t="n">
        <v>268000</v>
      </c>
      <c r="AG5182" t="n">
        <v>36281.84</v>
      </c>
      <c r="AH5182" t="n">
        <v>231718.16</v>
      </c>
      <c r="AI5182" t="n">
        <v>0</v>
      </c>
    </row>
    <row r="5183">
      <c r="A5183" t="inlineStr">
        <is>
          <t>6월</t>
        </is>
      </c>
      <c r="B5183" t="inlineStr">
        <is>
          <t>24주차</t>
        </is>
      </c>
      <c r="C5183" t="inlineStr">
        <is>
          <t>EP</t>
        </is>
      </c>
      <c r="D5183" s="28" t="n">
        <v>46183</v>
      </c>
      <c r="E5183" t="inlineStr">
        <is>
          <t>현대EP_fast</t>
        </is>
      </c>
      <c r="F5183" t="inlineStr">
        <is>
          <t>구정우</t>
        </is>
      </c>
      <c r="G5183" t="inlineStr">
        <is>
          <t>010-8798-7778</t>
        </is>
      </c>
      <c r="H5183" t="inlineStr">
        <is>
          <t>45어0844</t>
        </is>
      </c>
      <c r="I5183" t="n">
        <v>12500000</v>
      </c>
      <c r="J5183" t="n">
        <v>0.113</v>
      </c>
      <c r="K5183" t="n">
        <v>1.76</v>
      </c>
      <c r="L5183" t="n">
        <v>0.14</v>
      </c>
      <c r="M5183" t="n">
        <v>1.62</v>
      </c>
      <c r="P5183" t="inlineStr">
        <is>
          <t>정세빈</t>
        </is>
      </c>
      <c r="Q5183" t="inlineStr">
        <is>
          <t>홈서비스 60개월</t>
        </is>
      </c>
      <c r="AB5183" t="inlineStr">
        <is>
          <t>홈서비스</t>
        </is>
      </c>
      <c r="AC5183" t="n">
        <v>220000</v>
      </c>
      <c r="AD5183" t="n">
        <v>17500</v>
      </c>
      <c r="AE5183" t="n">
        <v>202500</v>
      </c>
      <c r="AF5183" t="n">
        <v>200000</v>
      </c>
      <c r="AG5183" t="n">
        <v>16922.5</v>
      </c>
      <c r="AH5183" t="n">
        <v>183077.5</v>
      </c>
      <c r="AI5183" t="n">
        <v>0</v>
      </c>
    </row>
    <row r="5184">
      <c r="A5184" t="inlineStr">
        <is>
          <t>6월</t>
        </is>
      </c>
      <c r="B5184" t="inlineStr">
        <is>
          <t>24주차</t>
        </is>
      </c>
      <c r="C5184" t="inlineStr">
        <is>
          <t>WC</t>
        </is>
      </c>
      <c r="D5184" s="28" t="n">
        <v>46182</v>
      </c>
      <c r="E5184" t="inlineStr">
        <is>
          <t>웰컴저축은행</t>
        </is>
      </c>
      <c r="F5184" t="inlineStr">
        <is>
          <t>이규완</t>
        </is>
      </c>
      <c r="G5184" t="inlineStr">
        <is>
          <t>010-4827-3702</t>
        </is>
      </c>
      <c r="H5184" t="inlineStr">
        <is>
          <t>12어3442</t>
        </is>
      </c>
      <c r="I5184" t="n">
        <v>35900000</v>
      </c>
      <c r="J5184" t="n">
        <v>0.154</v>
      </c>
      <c r="K5184" t="n">
        <v>2.2</v>
      </c>
      <c r="L5184" t="n">
        <v>0.14</v>
      </c>
      <c r="M5184" t="n">
        <v>2.06</v>
      </c>
      <c r="P5184" t="inlineStr">
        <is>
          <t>정하은</t>
        </is>
      </c>
      <c r="Q5184" t="inlineStr">
        <is>
          <t>홈서비스 72개월</t>
        </is>
      </c>
      <c r="AB5184" t="inlineStr">
        <is>
          <t>홈서비스</t>
        </is>
      </c>
      <c r="AC5184" t="n">
        <v>789800</v>
      </c>
      <c r="AD5184" t="n">
        <v>50260</v>
      </c>
      <c r="AE5184" t="n">
        <v>739540</v>
      </c>
      <c r="AF5184" t="n">
        <v>718000</v>
      </c>
      <c r="AG5184" t="n">
        <v>48601.42</v>
      </c>
      <c r="AH5184" t="n">
        <v>669398.58</v>
      </c>
      <c r="AI5184" t="n">
        <v>0</v>
      </c>
    </row>
    <row r="5185">
      <c r="A5185" t="inlineStr">
        <is>
          <t>6월</t>
        </is>
      </c>
      <c r="B5185" t="inlineStr">
        <is>
          <t>24주차</t>
        </is>
      </c>
      <c r="C5185" t="inlineStr">
        <is>
          <t>EP</t>
        </is>
      </c>
      <c r="D5185" s="28" t="n">
        <v>46183</v>
      </c>
      <c r="E5185" t="inlineStr">
        <is>
          <t>현대EP_fast</t>
        </is>
      </c>
      <c r="F5185" t="inlineStr">
        <is>
          <t>이승현</t>
        </is>
      </c>
      <c r="G5185" t="inlineStr">
        <is>
          <t>010-8013-1949</t>
        </is>
      </c>
      <c r="H5185" t="inlineStr">
        <is>
          <t>164주6778</t>
        </is>
      </c>
      <c r="I5185" t="n">
        <v>8000000</v>
      </c>
      <c r="J5185" t="n">
        <v>0.083</v>
      </c>
      <c r="K5185" t="n">
        <v>1.76</v>
      </c>
      <c r="L5185" t="n">
        <v>0.14</v>
      </c>
      <c r="M5185" t="n">
        <v>1.62</v>
      </c>
      <c r="P5185" t="inlineStr">
        <is>
          <t>정세빈</t>
        </is>
      </c>
      <c r="Q5185" t="inlineStr">
        <is>
          <t>홈서비스 60개월</t>
        </is>
      </c>
      <c r="AB5185" t="inlineStr">
        <is>
          <t>홈서비스</t>
        </is>
      </c>
      <c r="AC5185" t="n">
        <v>140800</v>
      </c>
      <c r="AD5185" t="n">
        <v>11200</v>
      </c>
      <c r="AE5185" t="n">
        <v>129600</v>
      </c>
      <c r="AF5185" t="n">
        <v>128000</v>
      </c>
      <c r="AG5185" t="n">
        <v>10830.4</v>
      </c>
      <c r="AH5185" t="n">
        <v>117169.6</v>
      </c>
      <c r="AI5185" t="n">
        <v>0</v>
      </c>
    </row>
    <row r="5186">
      <c r="A5186" t="inlineStr">
        <is>
          <t>6월</t>
        </is>
      </c>
      <c r="B5186" t="inlineStr">
        <is>
          <t>24주차</t>
        </is>
      </c>
      <c r="C5186" t="inlineStr">
        <is>
          <t>IM</t>
        </is>
      </c>
      <c r="D5186" s="28" t="n">
        <v>46183</v>
      </c>
      <c r="E5186" t="inlineStr">
        <is>
          <t>IM캐피탈</t>
        </is>
      </c>
      <c r="F5186" t="inlineStr">
        <is>
          <t>신재웅</t>
        </is>
      </c>
      <c r="G5186" t="inlineStr">
        <is>
          <t>010-3251-0852</t>
        </is>
      </c>
      <c r="H5186" t="inlineStr">
        <is>
          <t>202너7895</t>
        </is>
      </c>
      <c r="I5186" t="n">
        <v>13000000</v>
      </c>
      <c r="J5186" t="n">
        <v>0.119</v>
      </c>
      <c r="K5186" t="n">
        <v>1.1</v>
      </c>
      <c r="L5186" t="n">
        <v>0.14</v>
      </c>
      <c r="M5186" t="n">
        <v>0.96</v>
      </c>
      <c r="P5186" t="inlineStr">
        <is>
          <t>박소현</t>
        </is>
      </c>
      <c r="Q5186" t="inlineStr">
        <is>
          <t>홈서비스 48개월</t>
        </is>
      </c>
      <c r="AB5186" t="inlineStr">
        <is>
          <t>홈서비스</t>
        </is>
      </c>
      <c r="AC5186" t="n">
        <v>143000</v>
      </c>
      <c r="AD5186" t="n">
        <v>18200</v>
      </c>
      <c r="AE5186" t="n">
        <v>124800</v>
      </c>
      <c r="AF5186" t="n">
        <v>130000</v>
      </c>
      <c r="AG5186" t="n">
        <v>17599.4</v>
      </c>
      <c r="AH5186" t="n">
        <v>112400.6</v>
      </c>
      <c r="AI5186" t="n">
        <v>0</v>
      </c>
    </row>
    <row r="5187">
      <c r="A5187" t="inlineStr">
        <is>
          <t>6월</t>
        </is>
      </c>
      <c r="B5187" t="inlineStr">
        <is>
          <t>24주차</t>
        </is>
      </c>
      <c r="C5187" t="inlineStr">
        <is>
          <t>IM</t>
        </is>
      </c>
      <c r="D5187" s="28" t="n">
        <v>46183</v>
      </c>
      <c r="E5187" t="inlineStr">
        <is>
          <t>IM캐피탈</t>
        </is>
      </c>
      <c r="F5187" t="inlineStr">
        <is>
          <t>정종욱</t>
        </is>
      </c>
      <c r="G5187" t="inlineStr">
        <is>
          <t>010-5006-8219</t>
        </is>
      </c>
      <c r="H5187" t="inlineStr">
        <is>
          <t>55서0243</t>
        </is>
      </c>
      <c r="I5187" t="n">
        <v>15000000</v>
      </c>
      <c r="J5187" t="n">
        <v>0.063</v>
      </c>
      <c r="K5187" t="n">
        <v>1.1</v>
      </c>
      <c r="L5187" t="n">
        <v>0.14</v>
      </c>
      <c r="M5187" t="n">
        <v>0.96</v>
      </c>
      <c r="P5187" t="inlineStr">
        <is>
          <t>박소현</t>
        </is>
      </c>
      <c r="Q5187" t="inlineStr">
        <is>
          <t>홈서비스 84개월</t>
        </is>
      </c>
      <c r="AB5187" t="inlineStr">
        <is>
          <t>홈서비스</t>
        </is>
      </c>
      <c r="AC5187" t="n">
        <v>165000</v>
      </c>
      <c r="AD5187" t="n">
        <v>21000</v>
      </c>
      <c r="AE5187" t="n">
        <v>144000</v>
      </c>
      <c r="AF5187" t="n">
        <v>150000</v>
      </c>
      <c r="AG5187" t="n">
        <v>20307</v>
      </c>
      <c r="AH5187" t="n">
        <v>129693</v>
      </c>
      <c r="AI5187" t="n">
        <v>0</v>
      </c>
    </row>
    <row r="5188">
      <c r="A5188" t="inlineStr">
        <is>
          <t>6월</t>
        </is>
      </c>
      <c r="B5188" t="inlineStr">
        <is>
          <t>24주차</t>
        </is>
      </c>
      <c r="C5188" t="inlineStr">
        <is>
          <t>IM</t>
        </is>
      </c>
      <c r="D5188" s="28" t="n">
        <v>46183</v>
      </c>
      <c r="E5188" t="inlineStr">
        <is>
          <t>IM캐피탈</t>
        </is>
      </c>
      <c r="F5188" t="inlineStr">
        <is>
          <t>황현식</t>
        </is>
      </c>
      <c r="G5188" t="inlineStr">
        <is>
          <t>010-9456-9259</t>
        </is>
      </c>
      <c r="H5188" t="inlineStr">
        <is>
          <t>149버7118</t>
        </is>
      </c>
      <c r="I5188" t="n">
        <v>30000000</v>
      </c>
      <c r="J5188" t="n">
        <v>0.049</v>
      </c>
      <c r="K5188" t="n">
        <v>1.1</v>
      </c>
      <c r="L5188" t="n">
        <v>0.4</v>
      </c>
      <c r="M5188" t="n">
        <v>0.7</v>
      </c>
      <c r="P5188" t="inlineStr">
        <is>
          <t>장진경</t>
        </is>
      </c>
      <c r="AB5188" t="inlineStr">
        <is>
          <t>엔카</t>
        </is>
      </c>
      <c r="AC5188" t="n">
        <v>330000</v>
      </c>
      <c r="AD5188" t="n">
        <v>120000</v>
      </c>
      <c r="AE5188" t="n">
        <v>210000</v>
      </c>
      <c r="AF5188" t="n">
        <v>300000</v>
      </c>
      <c r="AG5188" t="n">
        <v>116040</v>
      </c>
      <c r="AH5188" t="n">
        <v>183960</v>
      </c>
      <c r="AI5188" t="n">
        <v>0</v>
      </c>
    </row>
    <row r="5189">
      <c r="A5189" t="inlineStr">
        <is>
          <t>6월</t>
        </is>
      </c>
      <c r="B5189" t="inlineStr">
        <is>
          <t>24주차</t>
        </is>
      </c>
      <c r="C5189" t="inlineStr">
        <is>
          <t>IM</t>
        </is>
      </c>
      <c r="D5189" s="28" t="n">
        <v>46183</v>
      </c>
      <c r="E5189" t="inlineStr">
        <is>
          <t>IM캐피탈</t>
        </is>
      </c>
      <c r="F5189" t="inlineStr">
        <is>
          <t>정진우</t>
        </is>
      </c>
      <c r="G5189" t="inlineStr">
        <is>
          <t>010-5477-5544</t>
        </is>
      </c>
      <c r="H5189" t="inlineStr">
        <is>
          <t>204보4678</t>
        </is>
      </c>
      <c r="I5189" t="n">
        <v>51000000</v>
      </c>
      <c r="J5189" t="n">
        <v>0.076</v>
      </c>
      <c r="K5189" t="n">
        <v>1.1</v>
      </c>
      <c r="L5189" t="n">
        <v>0.4</v>
      </c>
      <c r="M5189" t="n">
        <v>0.7</v>
      </c>
      <c r="P5189" t="inlineStr">
        <is>
          <t>임대경</t>
        </is>
      </c>
      <c r="Q5189" t="inlineStr">
        <is>
          <t>부대비용 추가진행</t>
        </is>
      </c>
      <c r="AB5189" t="inlineStr">
        <is>
          <t>엔카</t>
        </is>
      </c>
      <c r="AC5189" t="n">
        <v>561000</v>
      </c>
      <c r="AD5189" t="n">
        <v>204000</v>
      </c>
      <c r="AE5189" t="n">
        <v>357000</v>
      </c>
      <c r="AF5189" t="n">
        <v>510000</v>
      </c>
      <c r="AG5189" t="n">
        <v>197268</v>
      </c>
      <c r="AH5189" t="n">
        <v>312732</v>
      </c>
      <c r="AI5189" t="n">
        <v>0</v>
      </c>
    </row>
    <row r="5190">
      <c r="A5190" t="inlineStr">
        <is>
          <t>6월</t>
        </is>
      </c>
      <c r="B5190" t="inlineStr">
        <is>
          <t>24주차</t>
        </is>
      </c>
      <c r="C5190" t="inlineStr">
        <is>
          <t>EP</t>
        </is>
      </c>
      <c r="D5190" s="28" t="n">
        <v>46183</v>
      </c>
      <c r="E5190" t="inlineStr">
        <is>
          <t>현대EP_fast</t>
        </is>
      </c>
      <c r="F5190" t="inlineStr">
        <is>
          <t>김대근</t>
        </is>
      </c>
      <c r="G5190" t="inlineStr">
        <is>
          <t>010-4000-0189</t>
        </is>
      </c>
      <c r="H5190" t="inlineStr">
        <is>
          <t>97보5930</t>
        </is>
      </c>
      <c r="I5190" t="n">
        <v>43900000</v>
      </c>
      <c r="J5190" t="n">
        <v>0.06900000000000001</v>
      </c>
      <c r="K5190" t="n">
        <v>1.76</v>
      </c>
      <c r="L5190" t="n">
        <v>0.4</v>
      </c>
      <c r="M5190" t="n">
        <v>1.36</v>
      </c>
      <c r="P5190" t="inlineStr">
        <is>
          <t>임대경</t>
        </is>
      </c>
      <c r="AB5190" t="inlineStr">
        <is>
          <t>엔카</t>
        </is>
      </c>
      <c r="AC5190" t="n">
        <v>772640</v>
      </c>
      <c r="AD5190" t="n">
        <v>175600</v>
      </c>
      <c r="AE5190" t="n">
        <v>597040</v>
      </c>
      <c r="AF5190" t="n">
        <v>702400</v>
      </c>
      <c r="AG5190" t="n">
        <v>169805.2</v>
      </c>
      <c r="AH5190" t="n">
        <v>532594.8</v>
      </c>
    </row>
    <row r="5191">
      <c r="A5191" t="inlineStr">
        <is>
          <t>6월</t>
        </is>
      </c>
      <c r="B5191" t="inlineStr">
        <is>
          <t>24주차</t>
        </is>
      </c>
      <c r="C5191" t="inlineStr">
        <is>
          <t>EP</t>
        </is>
      </c>
      <c r="D5191" s="28" t="n">
        <v>46183</v>
      </c>
      <c r="E5191" t="inlineStr">
        <is>
          <t>현대EP_fast</t>
        </is>
      </c>
      <c r="F5191" t="inlineStr">
        <is>
          <t>백선호</t>
        </is>
      </c>
      <c r="G5191" t="inlineStr">
        <is>
          <t>010-6570-0124</t>
        </is>
      </c>
      <c r="H5191" t="inlineStr">
        <is>
          <t>29머6385</t>
        </is>
      </c>
      <c r="I5191" t="n">
        <v>7400000</v>
      </c>
      <c r="J5191" t="n">
        <v>0.062</v>
      </c>
      <c r="K5191" t="n">
        <v>1.76</v>
      </c>
      <c r="L5191" t="n">
        <v>0.4</v>
      </c>
      <c r="M5191" t="n">
        <v>1.36</v>
      </c>
      <c r="P5191" t="inlineStr">
        <is>
          <t>임대경</t>
        </is>
      </c>
      <c r="AB5191" t="inlineStr">
        <is>
          <t>엔카</t>
        </is>
      </c>
      <c r="AC5191" t="n">
        <v>130240</v>
      </c>
      <c r="AD5191" t="n">
        <v>29600</v>
      </c>
      <c r="AE5191" t="n">
        <v>100640</v>
      </c>
      <c r="AF5191" t="n">
        <v>118400</v>
      </c>
      <c r="AG5191" t="n">
        <v>28623.2</v>
      </c>
      <c r="AH5191" t="n">
        <v>89776.8</v>
      </c>
      <c r="AI5191" t="n">
        <v>0</v>
      </c>
    </row>
    <row r="5192">
      <c r="A5192" t="inlineStr">
        <is>
          <t>6월</t>
        </is>
      </c>
      <c r="B5192" t="inlineStr">
        <is>
          <t>24주차</t>
        </is>
      </c>
      <c r="C5192" t="inlineStr">
        <is>
          <t>IM</t>
        </is>
      </c>
      <c r="D5192" s="28" t="n">
        <v>46183</v>
      </c>
      <c r="E5192" t="inlineStr">
        <is>
          <t>IM캐피탈</t>
        </is>
      </c>
      <c r="F5192" t="inlineStr">
        <is>
          <t>이우람</t>
        </is>
      </c>
      <c r="G5192" t="inlineStr">
        <is>
          <t>010-8159-0313</t>
        </is>
      </c>
      <c r="H5192" t="inlineStr">
        <is>
          <t>284노4576</t>
        </is>
      </c>
      <c r="I5192" t="n">
        <v>19700000</v>
      </c>
      <c r="J5192" t="n">
        <v>0.059</v>
      </c>
      <c r="K5192" t="n">
        <v>1.1</v>
      </c>
      <c r="L5192" t="n">
        <v>0.4</v>
      </c>
      <c r="M5192" t="n">
        <v>0.7</v>
      </c>
      <c r="P5192" t="inlineStr">
        <is>
          <t>장진경</t>
        </is>
      </c>
      <c r="Q5192" t="inlineStr">
        <is>
          <t>부대비용 추가진행</t>
        </is>
      </c>
      <c r="AB5192" t="inlineStr">
        <is>
          <t>엔카</t>
        </is>
      </c>
      <c r="AC5192" t="n">
        <v>216700</v>
      </c>
      <c r="AD5192" t="n">
        <v>78800</v>
      </c>
      <c r="AE5192" t="n">
        <v>137900</v>
      </c>
      <c r="AF5192" t="n">
        <v>197000</v>
      </c>
      <c r="AG5192" t="n">
        <v>76199.60000000001</v>
      </c>
      <c r="AH5192" t="n">
        <v>120800.4</v>
      </c>
      <c r="AI5192" t="n">
        <v>0</v>
      </c>
    </row>
    <row r="5193">
      <c r="A5193" t="inlineStr">
        <is>
          <t>6월</t>
        </is>
      </c>
      <c r="B5193" t="inlineStr">
        <is>
          <t>24주차</t>
        </is>
      </c>
      <c r="C5193" t="inlineStr">
        <is>
          <t>EP</t>
        </is>
      </c>
      <c r="D5193" s="28" t="n">
        <v>46183</v>
      </c>
      <c r="E5193" t="inlineStr">
        <is>
          <t>현대EP_fast</t>
        </is>
      </c>
      <c r="F5193" t="inlineStr">
        <is>
          <t>박다훈</t>
        </is>
      </c>
      <c r="G5193" t="inlineStr">
        <is>
          <t>010-6763-1422</t>
        </is>
      </c>
      <c r="H5193" t="inlineStr">
        <is>
          <t>49조0771</t>
        </is>
      </c>
      <c r="I5193" t="n">
        <v>4000000</v>
      </c>
      <c r="J5193" t="n">
        <v>0.08400000000000001</v>
      </c>
      <c r="K5193" t="n">
        <v>1.76</v>
      </c>
      <c r="L5193" t="n">
        <v>0.14</v>
      </c>
      <c r="M5193" t="n">
        <v>1.62</v>
      </c>
      <c r="P5193" t="inlineStr">
        <is>
          <t>황채이</t>
        </is>
      </c>
      <c r="Q5193" t="inlineStr">
        <is>
          <t>홈서비스 24개월</t>
        </is>
      </c>
      <c r="AB5193" t="inlineStr">
        <is>
          <t>홈서비스</t>
        </is>
      </c>
      <c r="AC5193" t="n">
        <v>70400</v>
      </c>
      <c r="AD5193" t="n">
        <v>5600</v>
      </c>
      <c r="AE5193" t="n">
        <v>64800</v>
      </c>
      <c r="AF5193" t="n">
        <v>64000</v>
      </c>
      <c r="AG5193" t="n">
        <v>5415.2</v>
      </c>
      <c r="AH5193" t="n">
        <v>58584.8</v>
      </c>
    </row>
    <row r="5194">
      <c r="A5194" t="inlineStr">
        <is>
          <t>6월</t>
        </is>
      </c>
      <c r="B5194" t="inlineStr">
        <is>
          <t>24주차</t>
        </is>
      </c>
      <c r="C5194" t="inlineStr">
        <is>
          <t>EP</t>
        </is>
      </c>
      <c r="D5194" s="28" t="n">
        <v>46183</v>
      </c>
      <c r="E5194" t="inlineStr">
        <is>
          <t>현대EP_fast</t>
        </is>
      </c>
      <c r="F5194" t="inlineStr">
        <is>
          <t>김민규</t>
        </is>
      </c>
      <c r="G5194" t="inlineStr">
        <is>
          <t>010-3224-0037</t>
        </is>
      </c>
      <c r="H5194" t="inlineStr">
        <is>
          <t>49도5220</t>
        </is>
      </c>
      <c r="I5194" t="n">
        <v>3000000</v>
      </c>
      <c r="J5194" t="n">
        <v>0.083</v>
      </c>
      <c r="K5194" t="n">
        <v>1.76</v>
      </c>
      <c r="L5194" t="n">
        <v>0.14</v>
      </c>
      <c r="M5194" t="n">
        <v>1.62</v>
      </c>
      <c r="P5194" t="inlineStr">
        <is>
          <t>황채이</t>
        </is>
      </c>
      <c r="Q5194" t="inlineStr">
        <is>
          <t>홈서비스 24개월</t>
        </is>
      </c>
      <c r="AB5194" t="inlineStr">
        <is>
          <t>홈서비스</t>
        </is>
      </c>
      <c r="AC5194" t="n">
        <v>52800</v>
      </c>
      <c r="AD5194" t="n">
        <v>4200</v>
      </c>
      <c r="AE5194" t="n">
        <v>48600</v>
      </c>
      <c r="AF5194" t="n">
        <v>48000</v>
      </c>
      <c r="AG5194" t="n">
        <v>4061.4</v>
      </c>
      <c r="AH5194" t="n">
        <v>43938.6</v>
      </c>
      <c r="AI5194" t="n">
        <v>0</v>
      </c>
    </row>
    <row r="5195">
      <c r="A5195" t="inlineStr">
        <is>
          <t>6월</t>
        </is>
      </c>
      <c r="B5195" t="inlineStr">
        <is>
          <t>24주차</t>
        </is>
      </c>
      <c r="C5195" t="inlineStr">
        <is>
          <t>IM</t>
        </is>
      </c>
      <c r="D5195" s="28" t="n">
        <v>46183</v>
      </c>
      <c r="E5195" t="inlineStr">
        <is>
          <t>IM캐피탈</t>
        </is>
      </c>
      <c r="F5195" t="inlineStr">
        <is>
          <t>양성빈</t>
        </is>
      </c>
      <c r="G5195" t="inlineStr">
        <is>
          <t>010-6899-2517</t>
        </is>
      </c>
      <c r="H5195" t="inlineStr">
        <is>
          <t>353어4755</t>
        </is>
      </c>
      <c r="I5195" t="n">
        <v>14000000</v>
      </c>
      <c r="J5195" t="n">
        <v>0.049</v>
      </c>
      <c r="K5195" t="n">
        <v>1.1</v>
      </c>
      <c r="L5195" t="n">
        <v>0.14</v>
      </c>
      <c r="M5195" t="n">
        <v>0.96</v>
      </c>
      <c r="P5195" t="inlineStr">
        <is>
          <t>황채이</t>
        </is>
      </c>
      <c r="Q5195" t="inlineStr">
        <is>
          <t>홈서비스 36개월</t>
        </is>
      </c>
      <c r="AB5195" t="inlineStr">
        <is>
          <t>홈서비스</t>
        </is>
      </c>
      <c r="AC5195" t="n">
        <v>154000</v>
      </c>
      <c r="AD5195" t="n">
        <v>19600</v>
      </c>
      <c r="AE5195" t="n">
        <v>134400</v>
      </c>
      <c r="AF5195" t="n">
        <v>140000</v>
      </c>
      <c r="AG5195" t="n">
        <v>18953.2</v>
      </c>
      <c r="AH5195" t="n">
        <v>121046.8</v>
      </c>
      <c r="AI5195" t="n">
        <v>0</v>
      </c>
    </row>
    <row r="5196">
      <c r="A5196" t="inlineStr">
        <is>
          <t>6월</t>
        </is>
      </c>
      <c r="B5196" t="inlineStr">
        <is>
          <t>24주차</t>
        </is>
      </c>
      <c r="C5196" t="inlineStr">
        <is>
          <t>IM</t>
        </is>
      </c>
      <c r="D5196" s="28" t="n">
        <v>46183</v>
      </c>
      <c r="E5196" t="inlineStr">
        <is>
          <t>IM캐피탈</t>
        </is>
      </c>
      <c r="F5196" t="inlineStr">
        <is>
          <t>이정빈</t>
        </is>
      </c>
      <c r="G5196" t="inlineStr">
        <is>
          <t>010-7450-0750</t>
        </is>
      </c>
      <c r="H5196" t="inlineStr">
        <is>
          <t>47고5542</t>
        </is>
      </c>
      <c r="I5196" t="n">
        <v>14900000</v>
      </c>
      <c r="J5196" t="n">
        <v>0.059</v>
      </c>
      <c r="K5196" t="n">
        <v>1.1</v>
      </c>
      <c r="L5196" t="n">
        <v>0.14</v>
      </c>
      <c r="M5196" t="n">
        <v>0.96</v>
      </c>
      <c r="P5196" t="inlineStr">
        <is>
          <t>정하은</t>
        </is>
      </c>
      <c r="Q5196" t="inlineStr">
        <is>
          <t>홈서비스 60개월</t>
        </is>
      </c>
      <c r="AB5196" t="inlineStr">
        <is>
          <t>홈서비스</t>
        </is>
      </c>
      <c r="AC5196" t="n">
        <v>163900</v>
      </c>
      <c r="AD5196" t="n">
        <v>20860</v>
      </c>
      <c r="AE5196" t="n">
        <v>143040</v>
      </c>
      <c r="AF5196" t="n">
        <v>149000</v>
      </c>
      <c r="AG5196" t="n">
        <v>20171.62</v>
      </c>
      <c r="AH5196" t="n">
        <v>128828.38</v>
      </c>
      <c r="AI5196" t="n">
        <v>0</v>
      </c>
    </row>
    <row r="5197">
      <c r="A5197" t="inlineStr">
        <is>
          <t>6월</t>
        </is>
      </c>
      <c r="B5197" t="inlineStr">
        <is>
          <t>24주차</t>
        </is>
      </c>
      <c r="C5197" t="inlineStr">
        <is>
          <t>IM</t>
        </is>
      </c>
      <c r="D5197" s="28" t="n">
        <v>46183</v>
      </c>
      <c r="E5197" t="inlineStr">
        <is>
          <t>IM캐피탈</t>
        </is>
      </c>
      <c r="F5197" t="inlineStr">
        <is>
          <t>임어진</t>
        </is>
      </c>
      <c r="G5197" t="inlineStr">
        <is>
          <t>010-9437-8667</t>
        </is>
      </c>
      <c r="H5197" t="inlineStr">
        <is>
          <t>129고4048</t>
        </is>
      </c>
      <c r="I5197" t="n">
        <v>30000000</v>
      </c>
      <c r="J5197" t="n">
        <v>0.059</v>
      </c>
      <c r="K5197" t="n">
        <v>1.1</v>
      </c>
      <c r="L5197" t="n">
        <v>0.14</v>
      </c>
      <c r="M5197" t="n">
        <v>0.96</v>
      </c>
      <c r="P5197" t="inlineStr">
        <is>
          <t>정세빈</t>
        </is>
      </c>
      <c r="Q5197" t="inlineStr">
        <is>
          <t>홈서비스 60개월</t>
        </is>
      </c>
      <c r="AB5197" t="inlineStr">
        <is>
          <t>홈서비스</t>
        </is>
      </c>
      <c r="AC5197" t="n">
        <v>330000</v>
      </c>
      <c r="AD5197" t="n">
        <v>42000</v>
      </c>
      <c r="AE5197" t="n">
        <v>288000</v>
      </c>
      <c r="AF5197" t="n">
        <v>300000</v>
      </c>
      <c r="AG5197" t="n">
        <v>40614</v>
      </c>
      <c r="AH5197" t="n">
        <v>259386</v>
      </c>
      <c r="AI5197" t="n">
        <v>0</v>
      </c>
    </row>
    <row r="5198">
      <c r="A5198" t="inlineStr">
        <is>
          <t>6월</t>
        </is>
      </c>
      <c r="B5198" t="inlineStr">
        <is>
          <t>24주차</t>
        </is>
      </c>
      <c r="C5198" t="inlineStr">
        <is>
          <t>EP</t>
        </is>
      </c>
      <c r="D5198" s="28" t="n">
        <v>46183</v>
      </c>
      <c r="E5198" t="inlineStr">
        <is>
          <t>현대EP_fast</t>
        </is>
      </c>
      <c r="F5198" t="inlineStr">
        <is>
          <t>이종희</t>
        </is>
      </c>
      <c r="G5198" t="inlineStr">
        <is>
          <t>010-8841-2475</t>
        </is>
      </c>
      <c r="H5198" t="inlineStr">
        <is>
          <t>169너2944</t>
        </is>
      </c>
      <c r="I5198" t="n">
        <v>25300000</v>
      </c>
      <c r="J5198" t="n">
        <v>0.083</v>
      </c>
      <c r="K5198" t="n">
        <v>1.76</v>
      </c>
      <c r="L5198" t="n">
        <v>0.14</v>
      </c>
      <c r="M5198" t="n">
        <v>1.62</v>
      </c>
      <c r="P5198" t="inlineStr">
        <is>
          <t>박소현</t>
        </is>
      </c>
      <c r="Q5198" t="inlineStr">
        <is>
          <t>홈서비스 60개월</t>
        </is>
      </c>
      <c r="AB5198" t="inlineStr">
        <is>
          <t>홈서비스</t>
        </is>
      </c>
      <c r="AC5198" t="n">
        <v>445280</v>
      </c>
      <c r="AD5198" t="n">
        <v>35420</v>
      </c>
      <c r="AE5198" t="n">
        <v>409860</v>
      </c>
      <c r="AF5198" t="n">
        <v>404800</v>
      </c>
      <c r="AG5198" t="n">
        <v>34251.14</v>
      </c>
      <c r="AH5198" t="n">
        <v>370548.86</v>
      </c>
    </row>
    <row r="5199">
      <c r="A5199" t="inlineStr">
        <is>
          <t>6월</t>
        </is>
      </c>
      <c r="B5199" t="inlineStr">
        <is>
          <t>24주차</t>
        </is>
      </c>
      <c r="C5199" t="inlineStr">
        <is>
          <t>EP</t>
        </is>
      </c>
      <c r="D5199" s="28" t="n">
        <v>46183</v>
      </c>
      <c r="E5199" t="inlineStr">
        <is>
          <t>현대EP_fast</t>
        </is>
      </c>
      <c r="F5199" t="inlineStr">
        <is>
          <t>김조성</t>
        </is>
      </c>
      <c r="G5199" t="inlineStr">
        <is>
          <t>010-3939-3940</t>
        </is>
      </c>
      <c r="H5199" t="inlineStr">
        <is>
          <t>173마9195</t>
        </is>
      </c>
      <c r="I5199" t="n">
        <v>17500000</v>
      </c>
      <c r="J5199" t="n">
        <v>0.083</v>
      </c>
      <c r="K5199" t="n">
        <v>1.76</v>
      </c>
      <c r="L5199" t="n">
        <v>0.14</v>
      </c>
      <c r="M5199" t="n">
        <v>1.62</v>
      </c>
      <c r="P5199" t="inlineStr">
        <is>
          <t>정세빈</t>
        </is>
      </c>
      <c r="Q5199" t="inlineStr">
        <is>
          <t>홈서비스 60개월</t>
        </is>
      </c>
      <c r="AB5199" t="inlineStr">
        <is>
          <t>홈서비스</t>
        </is>
      </c>
      <c r="AC5199" t="n">
        <v>308000</v>
      </c>
      <c r="AD5199" t="n">
        <v>24500</v>
      </c>
      <c r="AE5199" t="n">
        <v>283500</v>
      </c>
      <c r="AF5199" t="n">
        <v>280000</v>
      </c>
      <c r="AG5199" t="n">
        <v>23691.5</v>
      </c>
      <c r="AH5199" t="n">
        <v>256308.5</v>
      </c>
    </row>
    <row r="5200">
      <c r="A5200" t="inlineStr">
        <is>
          <t>6월</t>
        </is>
      </c>
      <c r="B5200" t="inlineStr">
        <is>
          <t>24주차</t>
        </is>
      </c>
      <c r="C5200" t="inlineStr">
        <is>
          <t>IM</t>
        </is>
      </c>
      <c r="D5200" s="28" t="n">
        <v>46183</v>
      </c>
      <c r="E5200" t="inlineStr">
        <is>
          <t>IM캐피탈</t>
        </is>
      </c>
      <c r="F5200" t="inlineStr">
        <is>
          <t>윤영준</t>
        </is>
      </c>
      <c r="G5200" t="inlineStr">
        <is>
          <t>010-8353-5624</t>
        </is>
      </c>
      <c r="H5200" t="inlineStr">
        <is>
          <t>145조6163</t>
        </is>
      </c>
      <c r="I5200" t="n">
        <v>15000000</v>
      </c>
      <c r="J5200" t="n">
        <v>0.063</v>
      </c>
      <c r="K5200" t="n">
        <v>1.1</v>
      </c>
      <c r="L5200" t="n">
        <v>0.14</v>
      </c>
      <c r="M5200" t="n">
        <v>0.96</v>
      </c>
      <c r="P5200" t="inlineStr">
        <is>
          <t>황채이</t>
        </is>
      </c>
      <c r="Q5200" t="inlineStr">
        <is>
          <t>홈서비스 48개월</t>
        </is>
      </c>
      <c r="AB5200" t="inlineStr">
        <is>
          <t>홈서비스</t>
        </is>
      </c>
      <c r="AC5200" t="n">
        <v>165000</v>
      </c>
      <c r="AD5200" t="n">
        <v>21000</v>
      </c>
      <c r="AE5200" t="n">
        <v>144000</v>
      </c>
      <c r="AF5200" t="n">
        <v>150000</v>
      </c>
      <c r="AG5200" t="n">
        <v>20307</v>
      </c>
      <c r="AH5200" t="n">
        <v>129693</v>
      </c>
    </row>
    <row r="5201">
      <c r="A5201" t="inlineStr">
        <is>
          <t>6월</t>
        </is>
      </c>
      <c r="B5201" t="inlineStr">
        <is>
          <t>24주차</t>
        </is>
      </c>
      <c r="C5201" t="inlineStr">
        <is>
          <t>EP</t>
        </is>
      </c>
      <c r="D5201" s="28" t="n">
        <v>46183</v>
      </c>
      <c r="E5201" t="inlineStr">
        <is>
          <t>현대EP_fast</t>
        </is>
      </c>
      <c r="F5201" t="inlineStr">
        <is>
          <t>최선민</t>
        </is>
      </c>
      <c r="G5201" t="inlineStr">
        <is>
          <t>010-3417-8380</t>
        </is>
      </c>
      <c r="H5201" t="inlineStr">
        <is>
          <t>176라7802</t>
        </is>
      </c>
      <c r="I5201" t="n">
        <v>39500000</v>
      </c>
      <c r="J5201" t="n">
        <v>0.096</v>
      </c>
      <c r="K5201" t="n">
        <v>1.76</v>
      </c>
      <c r="L5201" t="n">
        <v>0.14</v>
      </c>
      <c r="M5201" t="n">
        <v>1.62</v>
      </c>
      <c r="P5201" t="inlineStr">
        <is>
          <t>임대경</t>
        </is>
      </c>
      <c r="Q5201" t="inlineStr">
        <is>
          <t>홈서비스 60개월</t>
        </is>
      </c>
      <c r="AB5201" t="inlineStr">
        <is>
          <t>홈서비스</t>
        </is>
      </c>
      <c r="AC5201" t="n">
        <v>695200</v>
      </c>
      <c r="AD5201" t="n">
        <v>55300</v>
      </c>
      <c r="AE5201" t="n">
        <v>639900</v>
      </c>
      <c r="AF5201" t="n">
        <v>632000</v>
      </c>
      <c r="AG5201" t="n">
        <v>53475.1</v>
      </c>
      <c r="AH5201" t="n">
        <v>578524.9</v>
      </c>
      <c r="AI5201" t="n">
        <v>0</v>
      </c>
    </row>
    <row r="5202">
      <c r="A5202" t="inlineStr">
        <is>
          <t>6월</t>
        </is>
      </c>
      <c r="B5202" t="inlineStr">
        <is>
          <t>24주차</t>
        </is>
      </c>
      <c r="C5202" t="inlineStr">
        <is>
          <t>EP</t>
        </is>
      </c>
      <c r="D5202" s="28" t="n">
        <v>46183</v>
      </c>
      <c r="E5202" t="inlineStr">
        <is>
          <t>현대EP_fast</t>
        </is>
      </c>
      <c r="F5202" t="inlineStr">
        <is>
          <t>이미나</t>
        </is>
      </c>
      <c r="G5202" t="inlineStr">
        <is>
          <t>010-5438-9711</t>
        </is>
      </c>
      <c r="H5202" t="inlineStr">
        <is>
          <t>08두6637</t>
        </is>
      </c>
      <c r="I5202" t="n">
        <v>52800000</v>
      </c>
      <c r="J5202" t="n">
        <v>0.113</v>
      </c>
      <c r="K5202" t="n">
        <v>1.76</v>
      </c>
      <c r="L5202" t="n">
        <v>0.14</v>
      </c>
      <c r="M5202" t="n">
        <v>1.62</v>
      </c>
      <c r="P5202" t="inlineStr">
        <is>
          <t>최혁</t>
        </is>
      </c>
      <c r="Q5202" t="inlineStr">
        <is>
          <t>홈서비스 60개월</t>
        </is>
      </c>
      <c r="AB5202" t="inlineStr">
        <is>
          <t>홈서비스</t>
        </is>
      </c>
      <c r="AC5202" t="n">
        <v>929280</v>
      </c>
      <c r="AD5202" t="n">
        <v>73920</v>
      </c>
      <c r="AE5202" t="n">
        <v>855360</v>
      </c>
      <c r="AF5202" t="n">
        <v>844800</v>
      </c>
      <c r="AG5202" t="n">
        <v>71480.64</v>
      </c>
      <c r="AH5202" t="n">
        <v>773319.36</v>
      </c>
      <c r="AI5202" t="n">
        <v>0</v>
      </c>
    </row>
    <row r="5203">
      <c r="A5203" t="inlineStr">
        <is>
          <t>6월</t>
        </is>
      </c>
      <c r="B5203" t="inlineStr">
        <is>
          <t>24주차</t>
        </is>
      </c>
      <c r="C5203" t="inlineStr">
        <is>
          <t>EP</t>
        </is>
      </c>
      <c r="D5203" s="28" t="n">
        <v>46183</v>
      </c>
      <c r="E5203" t="inlineStr">
        <is>
          <t>현대EP_fast</t>
        </is>
      </c>
      <c r="F5203" t="inlineStr">
        <is>
          <t>전지은</t>
        </is>
      </c>
      <c r="G5203" t="inlineStr">
        <is>
          <t>010-5527-7236</t>
        </is>
      </c>
      <c r="H5203" t="inlineStr">
        <is>
          <t>58루1489</t>
        </is>
      </c>
      <c r="I5203" t="n">
        <v>19900000</v>
      </c>
      <c r="J5203" t="n">
        <v>0.129</v>
      </c>
      <c r="K5203" t="n">
        <v>1.76</v>
      </c>
      <c r="L5203" t="n">
        <v>0.4</v>
      </c>
      <c r="M5203" t="n">
        <v>1.36</v>
      </c>
      <c r="P5203" t="inlineStr">
        <is>
          <t>장진경</t>
        </is>
      </c>
      <c r="AB5203" t="inlineStr">
        <is>
          <t>엔카</t>
        </is>
      </c>
      <c r="AC5203" t="n">
        <v>350240</v>
      </c>
      <c r="AD5203" t="n">
        <v>79600</v>
      </c>
      <c r="AE5203" t="n">
        <v>270640</v>
      </c>
      <c r="AF5203" t="n">
        <v>318400</v>
      </c>
      <c r="AG5203" t="n">
        <v>76973.2</v>
      </c>
      <c r="AH5203" t="n">
        <v>241426.8</v>
      </c>
      <c r="AI5203" t="n">
        <v>0</v>
      </c>
    </row>
    <row r="5204">
      <c r="A5204" t="inlineStr">
        <is>
          <t>6월</t>
        </is>
      </c>
      <c r="B5204" t="inlineStr">
        <is>
          <t>24주차</t>
        </is>
      </c>
      <c r="C5204" t="inlineStr">
        <is>
          <t>WC</t>
        </is>
      </c>
      <c r="D5204" s="28" t="n">
        <v>46183</v>
      </c>
      <c r="E5204" t="inlineStr">
        <is>
          <t>웰컴저축은행</t>
        </is>
      </c>
      <c r="F5204" t="inlineStr">
        <is>
          <t>이민지</t>
        </is>
      </c>
      <c r="G5204" t="inlineStr">
        <is>
          <t>010-80014-7374</t>
        </is>
      </c>
      <c r="H5204" t="inlineStr">
        <is>
          <t xml:space="preserve">35버4269 </t>
        </is>
      </c>
      <c r="I5204" t="n">
        <v>6500000</v>
      </c>
      <c r="J5204" t="n">
        <v>0.166</v>
      </c>
      <c r="K5204" t="n">
        <v>2.2</v>
      </c>
      <c r="L5204" t="n">
        <v>0.14</v>
      </c>
      <c r="M5204" t="n">
        <v>2.06</v>
      </c>
      <c r="P5204" t="inlineStr">
        <is>
          <t>최혁</t>
        </is>
      </c>
      <c r="Q5204" t="inlineStr">
        <is>
          <t>홈서비스 60개월</t>
        </is>
      </c>
      <c r="AB5204" t="inlineStr">
        <is>
          <t>홈서비스</t>
        </is>
      </c>
      <c r="AC5204" t="n">
        <v>143000</v>
      </c>
      <c r="AD5204" t="n">
        <v>9100</v>
      </c>
      <c r="AE5204" t="n">
        <v>133900</v>
      </c>
      <c r="AF5204" t="n">
        <v>130000</v>
      </c>
      <c r="AG5204" t="n">
        <v>8799.700000000001</v>
      </c>
      <c r="AH5204" t="n">
        <v>121200.3</v>
      </c>
      <c r="AI5204" t="n">
        <v>0</v>
      </c>
    </row>
    <row r="5205">
      <c r="A5205" t="inlineStr">
        <is>
          <t>6월</t>
        </is>
      </c>
      <c r="B5205" t="inlineStr">
        <is>
          <t>24주차</t>
        </is>
      </c>
      <c r="C5205" t="inlineStr">
        <is>
          <t>IM</t>
        </is>
      </c>
      <c r="D5205" s="28" t="n">
        <v>46183</v>
      </c>
      <c r="E5205" t="inlineStr">
        <is>
          <t>IM캐피탈</t>
        </is>
      </c>
      <c r="F5205" t="inlineStr">
        <is>
          <t>최연석</t>
        </is>
      </c>
      <c r="G5205" t="inlineStr">
        <is>
          <t>010-7688-7152</t>
        </is>
      </c>
      <c r="H5205" t="inlineStr">
        <is>
          <t>167버1452</t>
        </is>
      </c>
      <c r="I5205" t="n">
        <v>26900000</v>
      </c>
      <c r="J5205" t="n">
        <v>0.059</v>
      </c>
      <c r="K5205" t="n">
        <v>1.1</v>
      </c>
      <c r="L5205" t="n">
        <v>0.14</v>
      </c>
      <c r="M5205" t="n">
        <v>0.96</v>
      </c>
      <c r="P5205" t="inlineStr">
        <is>
          <t>박소현</t>
        </is>
      </c>
      <c r="Q5205" t="inlineStr">
        <is>
          <t>홈서비스 60개월</t>
        </is>
      </c>
      <c r="AB5205" t="inlineStr">
        <is>
          <t>홈서비스</t>
        </is>
      </c>
      <c r="AC5205" t="n">
        <v>295900</v>
      </c>
      <c r="AD5205" t="n">
        <v>37660</v>
      </c>
      <c r="AE5205" t="n">
        <v>258240</v>
      </c>
      <c r="AF5205" t="n">
        <v>269000</v>
      </c>
      <c r="AG5205" t="n">
        <v>36417.22</v>
      </c>
      <c r="AH5205" t="n">
        <v>232582.78</v>
      </c>
      <c r="AI5205" t="n">
        <v>0</v>
      </c>
    </row>
    <row r="5206">
      <c r="A5206" t="inlineStr">
        <is>
          <t>6월</t>
        </is>
      </c>
      <c r="B5206" t="inlineStr">
        <is>
          <t>24주차</t>
        </is>
      </c>
      <c r="C5206" t="inlineStr">
        <is>
          <t>IM</t>
        </is>
      </c>
      <c r="D5206" s="28" t="n">
        <v>46183</v>
      </c>
      <c r="E5206" t="inlineStr">
        <is>
          <t>IM캐피탈</t>
        </is>
      </c>
      <c r="F5206" t="inlineStr">
        <is>
          <t>김민성</t>
        </is>
      </c>
      <c r="G5206" t="inlineStr">
        <is>
          <t>010-3932-4258</t>
        </is>
      </c>
      <c r="H5206" t="inlineStr">
        <is>
          <t>362가4929</t>
        </is>
      </c>
      <c r="I5206" t="n">
        <v>8100000</v>
      </c>
      <c r="J5206" t="n">
        <v>0.063</v>
      </c>
      <c r="K5206" t="n">
        <v>1.1</v>
      </c>
      <c r="L5206" t="n">
        <v>0.14</v>
      </c>
      <c r="M5206" t="n">
        <v>0.96</v>
      </c>
      <c r="P5206" t="inlineStr">
        <is>
          <t>박소현</t>
        </is>
      </c>
      <c r="Q5206" t="inlineStr">
        <is>
          <t>홈서비스 72개월</t>
        </is>
      </c>
      <c r="AB5206" t="inlineStr">
        <is>
          <t>홈서비스</t>
        </is>
      </c>
      <c r="AC5206" t="n">
        <v>89100</v>
      </c>
      <c r="AD5206" t="n">
        <v>11340</v>
      </c>
      <c r="AE5206" t="n">
        <v>77760</v>
      </c>
      <c r="AF5206" t="n">
        <v>81000</v>
      </c>
      <c r="AG5206" t="n">
        <v>10965.78</v>
      </c>
      <c r="AH5206" t="n">
        <v>70034.22</v>
      </c>
    </row>
    <row r="5207">
      <c r="A5207" t="inlineStr">
        <is>
          <t>6월</t>
        </is>
      </c>
      <c r="B5207" t="inlineStr">
        <is>
          <t>24주차</t>
        </is>
      </c>
      <c r="C5207" t="inlineStr">
        <is>
          <t>EP</t>
        </is>
      </c>
      <c r="D5207" s="28" t="n">
        <v>46183</v>
      </c>
      <c r="E5207" t="inlineStr">
        <is>
          <t>현대EP_fast</t>
        </is>
      </c>
      <c r="F5207" t="inlineStr">
        <is>
          <t>김경호</t>
        </is>
      </c>
      <c r="G5207" t="inlineStr">
        <is>
          <t>010-4455-6387</t>
        </is>
      </c>
      <c r="H5207" t="inlineStr">
        <is>
          <t>307오5408</t>
        </is>
      </c>
      <c r="I5207" t="n">
        <v>5000000</v>
      </c>
      <c r="J5207" t="n">
        <v>0.07000000000000001</v>
      </c>
      <c r="K5207" t="n">
        <v>1.76</v>
      </c>
      <c r="L5207" t="n">
        <v>0.14</v>
      </c>
      <c r="M5207" t="n">
        <v>1.62</v>
      </c>
      <c r="P5207" t="inlineStr">
        <is>
          <t>황채이</t>
        </is>
      </c>
      <c r="Q5207" t="inlineStr">
        <is>
          <t>홈서비스 24개월</t>
        </is>
      </c>
      <c r="AB5207" t="inlineStr">
        <is>
          <t>홈서비스</t>
        </is>
      </c>
      <c r="AC5207" t="n">
        <v>88000</v>
      </c>
      <c r="AD5207" t="n">
        <v>7000</v>
      </c>
      <c r="AE5207" t="n">
        <v>81000</v>
      </c>
      <c r="AF5207" t="n">
        <v>80000</v>
      </c>
      <c r="AG5207" t="n">
        <v>6769</v>
      </c>
      <c r="AH5207" t="n">
        <v>73231</v>
      </c>
      <c r="AI5207" t="n">
        <v>0</v>
      </c>
    </row>
    <row r="5208">
      <c r="A5208" t="inlineStr">
        <is>
          <t>6월</t>
        </is>
      </c>
      <c r="B5208" t="inlineStr">
        <is>
          <t>24주차</t>
        </is>
      </c>
      <c r="C5208" t="inlineStr">
        <is>
          <t>EP</t>
        </is>
      </c>
      <c r="D5208" s="28" t="n">
        <v>46183</v>
      </c>
      <c r="E5208" t="inlineStr">
        <is>
          <t>BNKEP</t>
        </is>
      </c>
      <c r="F5208" t="inlineStr">
        <is>
          <t>전현석</t>
        </is>
      </c>
      <c r="G5208" t="inlineStr">
        <is>
          <t>010-3280-6664</t>
        </is>
      </c>
      <c r="H5208" t="inlineStr">
        <is>
          <t>26주8697</t>
        </is>
      </c>
      <c r="I5208" t="n">
        <v>30000000</v>
      </c>
      <c r="J5208" t="n">
        <v>0.07099999999999999</v>
      </c>
      <c r="K5208" t="n">
        <v>1.65</v>
      </c>
      <c r="L5208" t="n">
        <v>0.14</v>
      </c>
      <c r="M5208" t="n">
        <v>1.51</v>
      </c>
      <c r="P5208" t="inlineStr">
        <is>
          <t>정세빈</t>
        </is>
      </c>
      <c r="Q5208" t="inlineStr">
        <is>
          <t>홈서비스 72개월</t>
        </is>
      </c>
      <c r="AB5208" t="inlineStr">
        <is>
          <t>홈서비스</t>
        </is>
      </c>
      <c r="AC5208" t="n">
        <v>495000</v>
      </c>
      <c r="AD5208" t="n">
        <v>42000</v>
      </c>
      <c r="AE5208" t="n">
        <v>453000</v>
      </c>
      <c r="AF5208" t="n">
        <v>450000</v>
      </c>
      <c r="AG5208" t="n">
        <v>40614</v>
      </c>
      <c r="AH5208" t="n">
        <v>409386</v>
      </c>
      <c r="AI5208" t="n">
        <v>0</v>
      </c>
    </row>
    <row r="5209">
      <c r="A5209" t="inlineStr">
        <is>
          <t>6월</t>
        </is>
      </c>
      <c r="B5209" t="inlineStr">
        <is>
          <t>24주차</t>
        </is>
      </c>
      <c r="C5209" t="inlineStr">
        <is>
          <t>EP</t>
        </is>
      </c>
      <c r="D5209" s="28" t="n">
        <v>46183</v>
      </c>
      <c r="E5209" t="inlineStr">
        <is>
          <t>제이비EP</t>
        </is>
      </c>
      <c r="F5209" t="inlineStr">
        <is>
          <t>권두휘</t>
        </is>
      </c>
      <c r="G5209" t="inlineStr">
        <is>
          <t>010-6478-6618</t>
        </is>
      </c>
      <c r="H5209" t="inlineStr">
        <is>
          <t>199누9210</t>
        </is>
      </c>
      <c r="I5209" t="n">
        <v>31700000</v>
      </c>
      <c r="J5209" t="n">
        <v>0.074</v>
      </c>
      <c r="K5209" t="n">
        <v>1.65</v>
      </c>
      <c r="L5209" t="n">
        <v>0.4</v>
      </c>
      <c r="M5209" t="n">
        <v>1.25</v>
      </c>
      <c r="P5209" t="inlineStr">
        <is>
          <t>장진경</t>
        </is>
      </c>
      <c r="Q5209" t="inlineStr">
        <is>
          <t>부대비용 추가진행</t>
        </is>
      </c>
      <c r="AB5209" t="inlineStr">
        <is>
          <t>엔카</t>
        </is>
      </c>
      <c r="AC5209" t="n">
        <v>523050</v>
      </c>
      <c r="AD5209" t="n">
        <v>126800</v>
      </c>
      <c r="AE5209" t="n">
        <v>396250</v>
      </c>
      <c r="AF5209" t="n">
        <v>475500</v>
      </c>
      <c r="AG5209" t="n">
        <v>122615.6</v>
      </c>
      <c r="AH5209" t="n">
        <v>352884.4</v>
      </c>
      <c r="AI5209" t="n">
        <v>0</v>
      </c>
    </row>
    <row r="5210">
      <c r="A5210" t="inlineStr">
        <is>
          <t>6월</t>
        </is>
      </c>
      <c r="B5210" t="inlineStr">
        <is>
          <t>24주차</t>
        </is>
      </c>
      <c r="C5210" t="inlineStr">
        <is>
          <t>IM</t>
        </is>
      </c>
      <c r="D5210" s="28" t="n">
        <v>46183</v>
      </c>
      <c r="E5210" t="inlineStr">
        <is>
          <t>IM캐피탈</t>
        </is>
      </c>
      <c r="F5210" t="inlineStr">
        <is>
          <t>이은호</t>
        </is>
      </c>
      <c r="G5210" t="inlineStr">
        <is>
          <t>010-4462-2324</t>
        </is>
      </c>
      <c r="H5210" t="inlineStr">
        <is>
          <t>184다3347</t>
        </is>
      </c>
      <c r="I5210" t="n">
        <v>23500000</v>
      </c>
      <c r="J5210" t="n">
        <v>0.076</v>
      </c>
      <c r="K5210" t="n">
        <v>1.1</v>
      </c>
      <c r="L5210" t="n">
        <v>0.14</v>
      </c>
      <c r="M5210" t="n">
        <v>0.96</v>
      </c>
      <c r="P5210" t="inlineStr">
        <is>
          <t>박소현</t>
        </is>
      </c>
      <c r="Q5210" t="inlineStr">
        <is>
          <t>홈서비스 60개월</t>
        </is>
      </c>
      <c r="AB5210" t="inlineStr">
        <is>
          <t>홈서비스</t>
        </is>
      </c>
      <c r="AC5210" t="n">
        <v>258500</v>
      </c>
      <c r="AD5210" t="n">
        <v>32900</v>
      </c>
      <c r="AE5210" t="n">
        <v>225600</v>
      </c>
      <c r="AF5210" t="n">
        <v>235000</v>
      </c>
      <c r="AG5210" t="n">
        <v>31814.3</v>
      </c>
      <c r="AH5210" t="n">
        <v>203185.7</v>
      </c>
      <c r="AI5210" t="n">
        <v>0</v>
      </c>
    </row>
    <row r="5211">
      <c r="A5211" t="inlineStr">
        <is>
          <t>6월</t>
        </is>
      </c>
      <c r="B5211" t="inlineStr">
        <is>
          <t>24주차</t>
        </is>
      </c>
      <c r="C5211" t="inlineStr">
        <is>
          <t>IM</t>
        </is>
      </c>
      <c r="D5211" s="28" t="n">
        <v>46183</v>
      </c>
      <c r="E5211" t="inlineStr">
        <is>
          <t>IM캐피탈</t>
        </is>
      </c>
      <c r="F5211" t="inlineStr">
        <is>
          <t>김수빈</t>
        </is>
      </c>
      <c r="G5211" t="inlineStr">
        <is>
          <t>010-8326-1735</t>
        </is>
      </c>
      <c r="H5211" t="inlineStr">
        <is>
          <t>25너6566</t>
        </is>
      </c>
      <c r="I5211" t="n">
        <v>16500000</v>
      </c>
      <c r="J5211" t="n">
        <v>0.059</v>
      </c>
      <c r="K5211" t="n">
        <v>1.1</v>
      </c>
      <c r="L5211" t="n">
        <v>0.14</v>
      </c>
      <c r="M5211" t="n">
        <v>0.96</v>
      </c>
      <c r="P5211" t="inlineStr">
        <is>
          <t>정세빈</t>
        </is>
      </c>
      <c r="Q5211" t="inlineStr">
        <is>
          <t>홈서비스 60개월</t>
        </is>
      </c>
      <c r="AB5211" t="inlineStr">
        <is>
          <t>홈서비스</t>
        </is>
      </c>
      <c r="AC5211" t="n">
        <v>181500</v>
      </c>
      <c r="AD5211" t="n">
        <v>23100</v>
      </c>
      <c r="AE5211" t="n">
        <v>158400</v>
      </c>
      <c r="AF5211" t="n">
        <v>165000</v>
      </c>
      <c r="AG5211" t="n">
        <v>22337.7</v>
      </c>
      <c r="AH5211" t="n">
        <v>142662.3</v>
      </c>
    </row>
    <row r="5212">
      <c r="A5212" t="inlineStr">
        <is>
          <t>6월</t>
        </is>
      </c>
      <c r="B5212" t="inlineStr">
        <is>
          <t>24주차</t>
        </is>
      </c>
      <c r="C5212" t="inlineStr">
        <is>
          <t>IM</t>
        </is>
      </c>
      <c r="D5212" s="28" t="n">
        <v>46183</v>
      </c>
      <c r="E5212" t="inlineStr">
        <is>
          <t>IM캐피탈</t>
        </is>
      </c>
      <c r="F5212" t="inlineStr">
        <is>
          <t>최선주</t>
        </is>
      </c>
      <c r="G5212" t="inlineStr">
        <is>
          <t>010-4944-9546</t>
        </is>
      </c>
      <c r="H5212" t="inlineStr">
        <is>
          <t>166머9707</t>
        </is>
      </c>
      <c r="I5212" t="n">
        <v>11000000</v>
      </c>
      <c r="J5212" t="n">
        <v>0.045</v>
      </c>
      <c r="K5212" t="n">
        <v>1.1</v>
      </c>
      <c r="L5212" t="n">
        <v>0.14</v>
      </c>
      <c r="M5212" t="n">
        <v>0.96</v>
      </c>
      <c r="P5212" t="inlineStr">
        <is>
          <t>박소현</t>
        </is>
      </c>
      <c r="Q5212" t="inlineStr">
        <is>
          <t>홈서비스 48개월</t>
        </is>
      </c>
      <c r="AB5212" t="inlineStr">
        <is>
          <t>홈서비스</t>
        </is>
      </c>
      <c r="AC5212" t="n">
        <v>121000</v>
      </c>
      <c r="AD5212" t="n">
        <v>15400</v>
      </c>
      <c r="AE5212" t="n">
        <v>105600</v>
      </c>
      <c r="AF5212" t="n">
        <v>110000</v>
      </c>
      <c r="AG5212" t="n">
        <v>14891.8</v>
      </c>
      <c r="AH5212" t="n">
        <v>95108.2</v>
      </c>
      <c r="AI5212" t="n">
        <v>0</v>
      </c>
    </row>
    <row r="5213">
      <c r="A5213" t="inlineStr">
        <is>
          <t>6월</t>
        </is>
      </c>
      <c r="B5213" t="inlineStr">
        <is>
          <t>24주차</t>
        </is>
      </c>
      <c r="C5213" t="inlineStr">
        <is>
          <t>IM</t>
        </is>
      </c>
      <c r="D5213" s="28" t="n">
        <v>46183</v>
      </c>
      <c r="E5213" t="inlineStr">
        <is>
          <t>IM캐피탈</t>
        </is>
      </c>
      <c r="F5213" t="inlineStr">
        <is>
          <t>김영준</t>
        </is>
      </c>
      <c r="G5213" t="inlineStr">
        <is>
          <t>010-7793-5705</t>
        </is>
      </c>
      <c r="H5213" t="inlineStr">
        <is>
          <t>241머3118</t>
        </is>
      </c>
      <c r="I5213" t="n">
        <v>16600000</v>
      </c>
      <c r="J5213" t="n">
        <v>0.08400000000000001</v>
      </c>
      <c r="K5213" t="n">
        <v>1.1</v>
      </c>
      <c r="L5213" t="n">
        <v>0.14</v>
      </c>
      <c r="M5213" t="n">
        <v>0.96</v>
      </c>
      <c r="P5213" t="inlineStr">
        <is>
          <t>박소현</t>
        </is>
      </c>
      <c r="Q5213" t="inlineStr">
        <is>
          <t>홈서비스 36개월</t>
        </is>
      </c>
      <c r="AB5213" t="inlineStr">
        <is>
          <t>홈서비스</t>
        </is>
      </c>
      <c r="AC5213" t="n">
        <v>182600</v>
      </c>
      <c r="AD5213" t="n">
        <v>23240</v>
      </c>
      <c r="AE5213" t="n">
        <v>159360</v>
      </c>
      <c r="AF5213" t="n">
        <v>166000</v>
      </c>
      <c r="AG5213" t="n">
        <v>22473.08</v>
      </c>
      <c r="AH5213" t="n">
        <v>143526.92</v>
      </c>
      <c r="AI5213" t="n">
        <v>0</v>
      </c>
    </row>
    <row r="5214">
      <c r="A5214" t="inlineStr">
        <is>
          <t>6월</t>
        </is>
      </c>
      <c r="B5214" t="inlineStr">
        <is>
          <t>24주차</t>
        </is>
      </c>
      <c r="C5214" t="inlineStr">
        <is>
          <t>EP</t>
        </is>
      </c>
      <c r="D5214" s="28" t="n">
        <v>46183</v>
      </c>
      <c r="E5214" t="inlineStr">
        <is>
          <t>현대EP_fast</t>
        </is>
      </c>
      <c r="F5214" t="inlineStr">
        <is>
          <t>김병훈</t>
        </is>
      </c>
      <c r="G5214" t="inlineStr">
        <is>
          <t>010-5210-5698</t>
        </is>
      </c>
      <c r="H5214" t="inlineStr">
        <is>
          <t>398두7008</t>
        </is>
      </c>
      <c r="I5214" t="n">
        <v>30000000</v>
      </c>
      <c r="J5214" t="n">
        <v>0.06900000000000001</v>
      </c>
      <c r="K5214" t="n">
        <v>1.76</v>
      </c>
      <c r="L5214" t="n">
        <v>0.14</v>
      </c>
      <c r="M5214" t="n">
        <v>1.62</v>
      </c>
      <c r="P5214" t="inlineStr">
        <is>
          <t>황채이</t>
        </is>
      </c>
      <c r="Q5214" t="inlineStr">
        <is>
          <t>홈서비스 60개월</t>
        </is>
      </c>
      <c r="AB5214" t="inlineStr">
        <is>
          <t>홈서비스</t>
        </is>
      </c>
      <c r="AC5214" t="n">
        <v>528000</v>
      </c>
      <c r="AD5214" t="n">
        <v>42000</v>
      </c>
      <c r="AE5214" t="n">
        <v>486000</v>
      </c>
      <c r="AF5214" t="n">
        <v>480000</v>
      </c>
      <c r="AG5214" t="n">
        <v>40614</v>
      </c>
      <c r="AH5214" t="n">
        <v>439386</v>
      </c>
      <c r="AI5214" t="n">
        <v>0</v>
      </c>
    </row>
    <row r="5215">
      <c r="A5215" t="inlineStr">
        <is>
          <t>6월</t>
        </is>
      </c>
      <c r="B5215" t="inlineStr">
        <is>
          <t>24주차</t>
        </is>
      </c>
      <c r="C5215" t="inlineStr">
        <is>
          <t>HC</t>
        </is>
      </c>
      <c r="D5215" s="28" t="n">
        <v>46183</v>
      </c>
      <c r="E5215" t="inlineStr">
        <is>
          <t>하나캐피탈</t>
        </is>
      </c>
      <c r="F5215" t="inlineStr">
        <is>
          <t>김현국</t>
        </is>
      </c>
      <c r="G5215" t="inlineStr">
        <is>
          <t>010-3600-2163</t>
        </is>
      </c>
      <c r="H5215" t="inlineStr">
        <is>
          <t>41나2434</t>
        </is>
      </c>
      <c r="I5215" t="n">
        <v>18500000</v>
      </c>
      <c r="J5215" t="n">
        <v>0.098</v>
      </c>
      <c r="K5215" t="n">
        <v>2.2</v>
      </c>
      <c r="L5215" t="n">
        <v>0.4</v>
      </c>
      <c r="M5215" t="n">
        <v>1.8</v>
      </c>
      <c r="P5215" t="inlineStr">
        <is>
          <t>구성완</t>
        </is>
      </c>
      <c r="AB5215" t="inlineStr">
        <is>
          <t>엔카</t>
        </is>
      </c>
      <c r="AC5215" t="n">
        <v>407000</v>
      </c>
      <c r="AD5215" t="n">
        <v>74000</v>
      </c>
      <c r="AE5215" t="n">
        <v>333000</v>
      </c>
      <c r="AF5215" t="n">
        <v>370000</v>
      </c>
      <c r="AG5215" t="n">
        <v>71558</v>
      </c>
      <c r="AH5215" t="n">
        <v>298442</v>
      </c>
      <c r="AI5215" t="n">
        <v>0</v>
      </c>
    </row>
    <row r="5216">
      <c r="A5216" t="inlineStr">
        <is>
          <t>6월</t>
        </is>
      </c>
      <c r="B5216" t="inlineStr">
        <is>
          <t>24주차</t>
        </is>
      </c>
      <c r="C5216" t="inlineStr">
        <is>
          <t>EP</t>
        </is>
      </c>
      <c r="D5216" s="28" t="n">
        <v>46183</v>
      </c>
      <c r="E5216" t="inlineStr">
        <is>
          <t>BNKEP</t>
        </is>
      </c>
      <c r="F5216" t="inlineStr">
        <is>
          <t>양창욱</t>
        </is>
      </c>
      <c r="G5216" t="inlineStr">
        <is>
          <t>010-4385-7557</t>
        </is>
      </c>
      <c r="H5216" t="inlineStr">
        <is>
          <t>813로5784</t>
        </is>
      </c>
      <c r="I5216" t="n">
        <v>21500000</v>
      </c>
      <c r="J5216" t="n">
        <v>0.128</v>
      </c>
      <c r="K5216" t="n">
        <v>1.65</v>
      </c>
      <c r="L5216" t="n">
        <v>0.4</v>
      </c>
      <c r="M5216" t="n">
        <v>1.25</v>
      </c>
      <c r="P5216" t="inlineStr">
        <is>
          <t>구성완</t>
        </is>
      </c>
      <c r="AB5216" t="inlineStr">
        <is>
          <t>엔카</t>
        </is>
      </c>
      <c r="AC5216" t="n">
        <v>354750</v>
      </c>
      <c r="AD5216" t="n">
        <v>86000</v>
      </c>
      <c r="AE5216" t="n">
        <v>268750</v>
      </c>
      <c r="AF5216" t="n">
        <v>322500</v>
      </c>
      <c r="AG5216" t="n">
        <v>83162</v>
      </c>
      <c r="AH5216" t="n">
        <v>239338</v>
      </c>
      <c r="AI5216" t="n">
        <v>0</v>
      </c>
    </row>
    <row r="5217">
      <c r="A5217" t="inlineStr">
        <is>
          <t>6월</t>
        </is>
      </c>
      <c r="B5217" t="inlineStr">
        <is>
          <t>24주차</t>
        </is>
      </c>
      <c r="C5217" t="inlineStr">
        <is>
          <t>IM</t>
        </is>
      </c>
      <c r="D5217" s="28" t="n">
        <v>46183</v>
      </c>
      <c r="E5217" t="inlineStr">
        <is>
          <t>IM캐피탈</t>
        </is>
      </c>
      <c r="F5217" t="inlineStr">
        <is>
          <t>김상준</t>
        </is>
      </c>
      <c r="G5217" t="inlineStr">
        <is>
          <t>10-7797-1524</t>
        </is>
      </c>
      <c r="H5217" t="inlineStr">
        <is>
          <t>395라3646</t>
        </is>
      </c>
      <c r="I5217" t="n">
        <v>18900000</v>
      </c>
      <c r="J5217" t="n">
        <v>0.076</v>
      </c>
      <c r="K5217" t="n">
        <v>1.1</v>
      </c>
      <c r="L5217" t="n">
        <v>0.14</v>
      </c>
      <c r="M5217" t="n">
        <v>0.96</v>
      </c>
      <c r="P5217" t="inlineStr">
        <is>
          <t>구성완</t>
        </is>
      </c>
      <c r="Q5217" t="inlineStr">
        <is>
          <t>안심거래존건</t>
        </is>
      </c>
      <c r="AB5217" t="inlineStr">
        <is>
          <t>믿고</t>
        </is>
      </c>
      <c r="AC5217" t="n">
        <v>207900</v>
      </c>
      <c r="AD5217" t="n">
        <v>26460</v>
      </c>
      <c r="AE5217" t="n">
        <v>181440</v>
      </c>
      <c r="AF5217" t="n">
        <v>189000</v>
      </c>
      <c r="AG5217" t="n">
        <v>25586.82</v>
      </c>
      <c r="AH5217" t="n">
        <v>163413.18</v>
      </c>
      <c r="AI5217" t="n">
        <v>0</v>
      </c>
    </row>
    <row r="5218">
      <c r="A5218" t="inlineStr">
        <is>
          <t>6월</t>
        </is>
      </c>
      <c r="B5218" t="inlineStr">
        <is>
          <t>24주차</t>
        </is>
      </c>
      <c r="C5218" t="inlineStr">
        <is>
          <t>WR</t>
        </is>
      </c>
      <c r="D5218" s="28" t="n">
        <v>46183</v>
      </c>
      <c r="E5218" t="inlineStr">
        <is>
          <t>우리금융</t>
        </is>
      </c>
      <c r="F5218" t="inlineStr">
        <is>
          <t>류은미</t>
        </is>
      </c>
      <c r="G5218" t="inlineStr">
        <is>
          <t>010-5090-4028</t>
        </is>
      </c>
      <c r="H5218" t="inlineStr">
        <is>
          <t>377우1980</t>
        </is>
      </c>
      <c r="I5218" t="n">
        <v>25500000</v>
      </c>
      <c r="J5218" t="n">
        <v>0.089</v>
      </c>
      <c r="K5218" t="n">
        <v>2.2</v>
      </c>
      <c r="L5218" t="n">
        <v>0.14</v>
      </c>
      <c r="M5218" t="n">
        <v>2.06</v>
      </c>
      <c r="P5218" t="inlineStr">
        <is>
          <t>박보람</t>
        </is>
      </c>
      <c r="Q5218" t="inlineStr">
        <is>
          <t>홈서비스 60개월 / 공동명의</t>
        </is>
      </c>
      <c r="AB5218" t="inlineStr">
        <is>
          <t>홈서비스</t>
        </is>
      </c>
      <c r="AC5218" t="n">
        <v>561000</v>
      </c>
      <c r="AD5218" t="n">
        <v>35700</v>
      </c>
      <c r="AE5218" t="n">
        <v>525300</v>
      </c>
      <c r="AF5218" t="n">
        <v>510000</v>
      </c>
      <c r="AG5218" t="n">
        <v>34521.9</v>
      </c>
      <c r="AH5218" t="n">
        <v>475478.1</v>
      </c>
      <c r="AI5218" t="n">
        <v>0</v>
      </c>
    </row>
    <row r="5219">
      <c r="A5219" t="inlineStr">
        <is>
          <t>6월</t>
        </is>
      </c>
      <c r="B5219" t="inlineStr">
        <is>
          <t>24주차</t>
        </is>
      </c>
      <c r="C5219" t="inlineStr">
        <is>
          <t>EP</t>
        </is>
      </c>
      <c r="D5219" s="28" t="n">
        <v>46183</v>
      </c>
      <c r="E5219" t="inlineStr">
        <is>
          <t>현대EP</t>
        </is>
      </c>
      <c r="F5219" t="inlineStr">
        <is>
          <t>강민석</t>
        </is>
      </c>
      <c r="G5219" t="inlineStr">
        <is>
          <t>010-4726-5723</t>
        </is>
      </c>
      <c r="H5219" t="inlineStr">
        <is>
          <t>31어5572</t>
        </is>
      </c>
      <c r="I5219" t="n">
        <v>3900000</v>
      </c>
      <c r="J5219" t="n">
        <v>0.08400000000000001</v>
      </c>
      <c r="K5219" t="n">
        <v>1.76</v>
      </c>
      <c r="L5219" t="n">
        <v>0.14</v>
      </c>
      <c r="M5219" t="n">
        <v>1.62</v>
      </c>
      <c r="P5219" t="inlineStr">
        <is>
          <t>김나윤</t>
        </is>
      </c>
      <c r="AB5219" t="inlineStr">
        <is>
          <t>홈서비스</t>
        </is>
      </c>
      <c r="AC5219" t="n">
        <v>68640</v>
      </c>
      <c r="AD5219" t="n">
        <v>5460</v>
      </c>
      <c r="AE5219" t="n">
        <v>63180</v>
      </c>
      <c r="AF5219" t="n">
        <v>62400</v>
      </c>
      <c r="AG5219" t="n">
        <v>5279.82</v>
      </c>
      <c r="AH5219" t="n">
        <v>57120.18</v>
      </c>
      <c r="AI5219" t="n">
        <v>0</v>
      </c>
    </row>
    <row r="5220">
      <c r="A5220" t="inlineStr">
        <is>
          <t>6월</t>
        </is>
      </c>
      <c r="B5220" t="inlineStr">
        <is>
          <t>24주차</t>
        </is>
      </c>
      <c r="C5220" t="inlineStr">
        <is>
          <t>EP</t>
        </is>
      </c>
      <c r="D5220" s="28" t="n">
        <v>46183</v>
      </c>
      <c r="E5220" t="inlineStr">
        <is>
          <t>현대EP</t>
        </is>
      </c>
      <c r="F5220" t="inlineStr">
        <is>
          <t>공태성</t>
        </is>
      </c>
      <c r="G5220" t="inlineStr">
        <is>
          <t>010-2510-0644</t>
        </is>
      </c>
      <c r="H5220" t="inlineStr">
        <is>
          <t>52루7783</t>
        </is>
      </c>
      <c r="I5220" t="n">
        <v>28700000</v>
      </c>
      <c r="J5220" t="n">
        <v>0.06900000000000001</v>
      </c>
      <c r="K5220" t="n">
        <v>1.76</v>
      </c>
      <c r="L5220" t="n">
        <v>0.14</v>
      </c>
      <c r="M5220" t="n">
        <v>1.62</v>
      </c>
      <c r="P5220" t="inlineStr">
        <is>
          <t>박소현</t>
        </is>
      </c>
      <c r="AB5220" t="inlineStr">
        <is>
          <t>홈서비스</t>
        </is>
      </c>
      <c r="AC5220" t="n">
        <v>505120</v>
      </c>
      <c r="AD5220" t="n">
        <v>40180</v>
      </c>
      <c r="AE5220" t="n">
        <v>464940</v>
      </c>
      <c r="AF5220" t="n">
        <v>459200</v>
      </c>
      <c r="AG5220" t="n">
        <v>38854.06</v>
      </c>
      <c r="AH5220" t="n">
        <v>420345.94</v>
      </c>
      <c r="AI5220" t="n">
        <v>0</v>
      </c>
    </row>
    <row r="5221">
      <c r="A5221" t="inlineStr">
        <is>
          <t>6월</t>
        </is>
      </c>
      <c r="B5221" t="inlineStr">
        <is>
          <t>24주차</t>
        </is>
      </c>
      <c r="C5221" t="inlineStr">
        <is>
          <t>EP</t>
        </is>
      </c>
      <c r="D5221" s="28" t="n">
        <v>46183</v>
      </c>
      <c r="E5221" t="inlineStr">
        <is>
          <t>현대EP</t>
        </is>
      </c>
      <c r="F5221" t="inlineStr">
        <is>
          <t>김동주</t>
        </is>
      </c>
      <c r="G5221" t="inlineStr">
        <is>
          <t>010-9213-9276</t>
        </is>
      </c>
      <c r="H5221" t="inlineStr">
        <is>
          <t>231러5251</t>
        </is>
      </c>
      <c r="I5221" t="n">
        <v>16500000</v>
      </c>
      <c r="J5221" t="n">
        <v>0.113</v>
      </c>
      <c r="K5221" t="n">
        <v>1.76</v>
      </c>
      <c r="L5221" t="n">
        <v>0.14</v>
      </c>
      <c r="M5221" t="n">
        <v>1.62</v>
      </c>
      <c r="P5221" t="inlineStr">
        <is>
          <t>김수연</t>
        </is>
      </c>
      <c r="AB5221" t="inlineStr">
        <is>
          <t>홈서비스</t>
        </is>
      </c>
      <c r="AC5221" t="n">
        <v>290400</v>
      </c>
      <c r="AD5221" t="n">
        <v>23100</v>
      </c>
      <c r="AE5221" t="n">
        <v>267300</v>
      </c>
      <c r="AF5221" t="n">
        <v>264000</v>
      </c>
      <c r="AG5221" t="n">
        <v>22337.7</v>
      </c>
      <c r="AH5221" t="n">
        <v>241662.3</v>
      </c>
    </row>
    <row r="5222">
      <c r="A5222" t="inlineStr">
        <is>
          <t>6월</t>
        </is>
      </c>
      <c r="B5222" t="inlineStr">
        <is>
          <t>24주차</t>
        </is>
      </c>
      <c r="C5222" t="inlineStr">
        <is>
          <t>EP</t>
        </is>
      </c>
      <c r="D5222" s="28" t="n">
        <v>46183</v>
      </c>
      <c r="E5222" t="inlineStr">
        <is>
          <t>현대EP</t>
        </is>
      </c>
      <c r="F5222" t="inlineStr">
        <is>
          <t>김태은</t>
        </is>
      </c>
      <c r="G5222" t="inlineStr">
        <is>
          <t>010-3009-7512</t>
        </is>
      </c>
      <c r="H5222" t="inlineStr">
        <is>
          <t>05러3403</t>
        </is>
      </c>
      <c r="I5222" t="n">
        <v>29900000</v>
      </c>
      <c r="J5222" t="n">
        <v>0.109</v>
      </c>
      <c r="K5222" t="n">
        <v>1.76</v>
      </c>
      <c r="L5222" t="n">
        <v>0.14</v>
      </c>
      <c r="M5222" t="n">
        <v>1.62</v>
      </c>
      <c r="P5222" t="inlineStr">
        <is>
          <t>정세빈</t>
        </is>
      </c>
      <c r="AB5222" t="inlineStr">
        <is>
          <t>홈서비스</t>
        </is>
      </c>
      <c r="AC5222" t="n">
        <v>526240</v>
      </c>
      <c r="AD5222" t="n">
        <v>41860</v>
      </c>
      <c r="AE5222" t="n">
        <v>484380</v>
      </c>
      <c r="AF5222" t="n">
        <v>478400</v>
      </c>
      <c r="AG5222" t="n">
        <v>40478.62</v>
      </c>
      <c r="AH5222" t="n">
        <v>437921.38</v>
      </c>
      <c r="AI5222" t="n">
        <v>0</v>
      </c>
    </row>
    <row r="5223">
      <c r="A5223" t="inlineStr">
        <is>
          <t>6월</t>
        </is>
      </c>
      <c r="B5223" t="inlineStr">
        <is>
          <t>24주차</t>
        </is>
      </c>
      <c r="C5223" t="inlineStr">
        <is>
          <t>EP</t>
        </is>
      </c>
      <c r="D5223" s="28" t="n">
        <v>46183</v>
      </c>
      <c r="E5223" t="inlineStr">
        <is>
          <t>현대EP</t>
        </is>
      </c>
      <c r="F5223" t="inlineStr">
        <is>
          <t>김태은</t>
        </is>
      </c>
      <c r="G5223" t="inlineStr">
        <is>
          <t>010-7503-7053</t>
        </is>
      </c>
      <c r="H5223" t="inlineStr">
        <is>
          <t>252노8320</t>
        </is>
      </c>
      <c r="I5223" t="n">
        <v>11600000</v>
      </c>
      <c r="J5223" t="n">
        <v>0.077</v>
      </c>
      <c r="K5223" t="n">
        <v>1.76</v>
      </c>
      <c r="L5223" t="n">
        <v>0.14</v>
      </c>
      <c r="M5223" t="n">
        <v>1.62</v>
      </c>
      <c r="P5223" t="inlineStr">
        <is>
          <t>김나윤</t>
        </is>
      </c>
      <c r="AB5223" t="inlineStr">
        <is>
          <t>홈서비스</t>
        </is>
      </c>
      <c r="AC5223" t="n">
        <v>204160</v>
      </c>
      <c r="AD5223" t="n">
        <v>16240</v>
      </c>
      <c r="AE5223" t="n">
        <v>187920</v>
      </c>
      <c r="AF5223" t="n">
        <v>185600</v>
      </c>
      <c r="AG5223" t="n">
        <v>15704.08</v>
      </c>
      <c r="AH5223" t="n">
        <v>169895.92</v>
      </c>
    </row>
    <row r="5224">
      <c r="A5224" t="inlineStr">
        <is>
          <t>6월</t>
        </is>
      </c>
      <c r="B5224" t="inlineStr">
        <is>
          <t>24주차</t>
        </is>
      </c>
      <c r="C5224" t="inlineStr">
        <is>
          <t>EP</t>
        </is>
      </c>
      <c r="D5224" s="28" t="n">
        <v>46183</v>
      </c>
      <c r="E5224" t="inlineStr">
        <is>
          <t>현대EP</t>
        </is>
      </c>
      <c r="F5224" t="inlineStr">
        <is>
          <t>박정욱</t>
        </is>
      </c>
      <c r="G5224" t="inlineStr">
        <is>
          <t>010-2122-2598</t>
        </is>
      </c>
      <c r="H5224" t="inlineStr">
        <is>
          <t>229어4091</t>
        </is>
      </c>
      <c r="I5224" t="n">
        <v>20000000</v>
      </c>
      <c r="J5224" t="n">
        <v>0.06900000000000001</v>
      </c>
      <c r="K5224" t="n">
        <v>1.76</v>
      </c>
      <c r="L5224" t="n">
        <v>0.14</v>
      </c>
      <c r="M5224" t="n">
        <v>1.62</v>
      </c>
      <c r="P5224" t="inlineStr">
        <is>
          <t>정세빈</t>
        </is>
      </c>
      <c r="AB5224" t="inlineStr">
        <is>
          <t>홈서비스</t>
        </is>
      </c>
      <c r="AC5224" t="n">
        <v>352000</v>
      </c>
      <c r="AD5224" t="n">
        <v>28000</v>
      </c>
      <c r="AE5224" t="n">
        <v>324000</v>
      </c>
      <c r="AF5224" t="n">
        <v>320000</v>
      </c>
      <c r="AG5224" t="n">
        <v>27076</v>
      </c>
      <c r="AH5224" t="n">
        <v>292924</v>
      </c>
      <c r="AI5224" t="n">
        <v>0</v>
      </c>
    </row>
    <row r="5225">
      <c r="A5225" t="inlineStr">
        <is>
          <t>6월</t>
        </is>
      </c>
      <c r="B5225" t="inlineStr">
        <is>
          <t>24주차</t>
        </is>
      </c>
      <c r="C5225" t="inlineStr">
        <is>
          <t>EP</t>
        </is>
      </c>
      <c r="D5225" s="28" t="n">
        <v>46183</v>
      </c>
      <c r="E5225" t="inlineStr">
        <is>
          <t>현대EP</t>
        </is>
      </c>
      <c r="F5225" t="inlineStr">
        <is>
          <t>박진우</t>
        </is>
      </c>
      <c r="G5225" t="inlineStr">
        <is>
          <t>010-4692-5092</t>
        </is>
      </c>
      <c r="H5225" t="inlineStr">
        <is>
          <t>05거6420</t>
        </is>
      </c>
      <c r="I5225" t="n">
        <v>7400000</v>
      </c>
      <c r="J5225" t="n">
        <v>0.06900000000000001</v>
      </c>
      <c r="K5225" t="n">
        <v>1.76</v>
      </c>
      <c r="L5225" t="n">
        <v>0.14</v>
      </c>
      <c r="M5225" t="n">
        <v>1.62</v>
      </c>
      <c r="P5225" t="inlineStr">
        <is>
          <t>김나윤</t>
        </is>
      </c>
      <c r="AB5225" t="inlineStr">
        <is>
          <t>홈서비스</t>
        </is>
      </c>
      <c r="AC5225" t="n">
        <v>130240</v>
      </c>
      <c r="AD5225" t="n">
        <v>10360</v>
      </c>
      <c r="AE5225" t="n">
        <v>119880</v>
      </c>
      <c r="AF5225" t="n">
        <v>118400</v>
      </c>
      <c r="AG5225" t="n">
        <v>10018.12</v>
      </c>
      <c r="AH5225" t="n">
        <v>108381.88</v>
      </c>
    </row>
    <row r="5226">
      <c r="A5226" t="inlineStr">
        <is>
          <t>6월</t>
        </is>
      </c>
      <c r="B5226" t="inlineStr">
        <is>
          <t>24주차</t>
        </is>
      </c>
      <c r="C5226" t="inlineStr">
        <is>
          <t>EP</t>
        </is>
      </c>
      <c r="D5226" s="28" t="n">
        <v>46183</v>
      </c>
      <c r="E5226" t="inlineStr">
        <is>
          <t>현대EP</t>
        </is>
      </c>
      <c r="F5226" t="inlineStr">
        <is>
          <t>심형섭</t>
        </is>
      </c>
      <c r="G5226" t="inlineStr">
        <is>
          <t>010-3171-1523</t>
        </is>
      </c>
      <c r="H5226" t="inlineStr">
        <is>
          <t>39라0349</t>
        </is>
      </c>
      <c r="I5226" t="n">
        <v>9200000</v>
      </c>
      <c r="J5226" t="n">
        <v>0.07000000000000001</v>
      </c>
      <c r="K5226" t="n">
        <v>1.76</v>
      </c>
      <c r="L5226" t="n">
        <v>0.14</v>
      </c>
      <c r="M5226" t="n">
        <v>1.62</v>
      </c>
      <c r="P5226" t="inlineStr">
        <is>
          <t>김수연</t>
        </is>
      </c>
      <c r="AB5226" t="inlineStr">
        <is>
          <t>홈서비스</t>
        </is>
      </c>
      <c r="AC5226" t="n">
        <v>161920</v>
      </c>
      <c r="AD5226" t="n">
        <v>12880</v>
      </c>
      <c r="AE5226" t="n">
        <v>149040</v>
      </c>
      <c r="AF5226" t="n">
        <v>147200</v>
      </c>
      <c r="AG5226" t="n">
        <v>12454.96</v>
      </c>
      <c r="AH5226" t="n">
        <v>134745.04</v>
      </c>
    </row>
    <row r="5227">
      <c r="A5227" t="inlineStr">
        <is>
          <t>6월</t>
        </is>
      </c>
      <c r="B5227" t="inlineStr">
        <is>
          <t>24주차</t>
        </is>
      </c>
      <c r="C5227" t="inlineStr">
        <is>
          <t>EP</t>
        </is>
      </c>
      <c r="D5227" s="28" t="n">
        <v>46183</v>
      </c>
      <c r="E5227" t="inlineStr">
        <is>
          <t>현대EP</t>
        </is>
      </c>
      <c r="F5227" t="inlineStr">
        <is>
          <t>이동엽</t>
        </is>
      </c>
      <c r="G5227" t="inlineStr">
        <is>
          <t>010-9949-9608</t>
        </is>
      </c>
      <c r="H5227" t="inlineStr">
        <is>
          <t>352주3316</t>
        </is>
      </c>
      <c r="I5227" t="n">
        <v>7800000</v>
      </c>
      <c r="J5227" t="n">
        <v>0.093</v>
      </c>
      <c r="K5227" t="n">
        <v>1.76</v>
      </c>
      <c r="L5227" t="n">
        <v>0.14</v>
      </c>
      <c r="M5227" t="n">
        <v>1.62</v>
      </c>
      <c r="P5227" t="inlineStr">
        <is>
          <t>김나윤</t>
        </is>
      </c>
      <c r="AB5227" t="inlineStr">
        <is>
          <t>홈서비스</t>
        </is>
      </c>
      <c r="AC5227" t="n">
        <v>137280</v>
      </c>
      <c r="AD5227" t="n">
        <v>10920</v>
      </c>
      <c r="AE5227" t="n">
        <v>126360</v>
      </c>
      <c r="AF5227" t="n">
        <v>124800</v>
      </c>
      <c r="AG5227" t="n">
        <v>10559.64</v>
      </c>
      <c r="AH5227" t="n">
        <v>114240.36</v>
      </c>
      <c r="AI5227" t="n">
        <v>0</v>
      </c>
    </row>
    <row r="5228">
      <c r="A5228" t="inlineStr">
        <is>
          <t>6월</t>
        </is>
      </c>
      <c r="B5228" t="inlineStr">
        <is>
          <t>24주차</t>
        </is>
      </c>
      <c r="C5228" t="inlineStr">
        <is>
          <t>EP</t>
        </is>
      </c>
      <c r="D5228" s="28" t="n">
        <v>46183</v>
      </c>
      <c r="E5228" t="inlineStr">
        <is>
          <t>현대EP</t>
        </is>
      </c>
      <c r="F5228" t="inlineStr">
        <is>
          <t>인병훈</t>
        </is>
      </c>
      <c r="G5228" t="inlineStr">
        <is>
          <t>010-2806-1873</t>
        </is>
      </c>
      <c r="H5228" t="inlineStr">
        <is>
          <t>326조3458</t>
        </is>
      </c>
      <c r="I5228" t="n">
        <v>32500000</v>
      </c>
      <c r="J5228" t="n">
        <v>0.06900000000000001</v>
      </c>
      <c r="K5228" t="n">
        <v>1.76</v>
      </c>
      <c r="L5228" t="n">
        <v>0.14</v>
      </c>
      <c r="M5228" t="n">
        <v>1.62</v>
      </c>
      <c r="P5228" t="inlineStr">
        <is>
          <t>김수연</t>
        </is>
      </c>
      <c r="AB5228" t="inlineStr">
        <is>
          <t>홈서비스</t>
        </is>
      </c>
      <c r="AC5228" t="n">
        <v>572000</v>
      </c>
      <c r="AD5228" t="n">
        <v>45500</v>
      </c>
      <c r="AE5228" t="n">
        <v>526500</v>
      </c>
      <c r="AF5228" t="n">
        <v>520000</v>
      </c>
      <c r="AG5228" t="n">
        <v>43998.5</v>
      </c>
      <c r="AH5228" t="n">
        <v>476001.5</v>
      </c>
      <c r="AI5228" t="n">
        <v>0</v>
      </c>
    </row>
    <row r="5229">
      <c r="A5229" t="inlineStr">
        <is>
          <t>6월</t>
        </is>
      </c>
      <c r="B5229" t="inlineStr">
        <is>
          <t>24주차</t>
        </is>
      </c>
      <c r="C5229" t="inlineStr">
        <is>
          <t>EP</t>
        </is>
      </c>
      <c r="D5229" s="28" t="n">
        <v>46183</v>
      </c>
      <c r="E5229" t="inlineStr">
        <is>
          <t>현대EP</t>
        </is>
      </c>
      <c r="F5229" t="inlineStr">
        <is>
          <t>정원식</t>
        </is>
      </c>
      <c r="G5229" t="inlineStr">
        <is>
          <t>010-3399-5547</t>
        </is>
      </c>
      <c r="H5229" t="inlineStr">
        <is>
          <t>22누8986</t>
        </is>
      </c>
      <c r="I5229" t="n">
        <v>6300000</v>
      </c>
      <c r="J5229" t="n">
        <v>0.062</v>
      </c>
      <c r="K5229" t="n">
        <v>1.76</v>
      </c>
      <c r="L5229" t="n">
        <v>0.14</v>
      </c>
      <c r="M5229" t="n">
        <v>1.62</v>
      </c>
      <c r="P5229" t="inlineStr">
        <is>
          <t>황채이</t>
        </is>
      </c>
      <c r="AB5229" t="inlineStr">
        <is>
          <t>홈서비스</t>
        </is>
      </c>
      <c r="AC5229" t="n">
        <v>110880</v>
      </c>
      <c r="AD5229" t="n">
        <v>8820</v>
      </c>
      <c r="AE5229" t="n">
        <v>102060</v>
      </c>
      <c r="AF5229" t="n">
        <v>100800</v>
      </c>
      <c r="AG5229" t="n">
        <v>8528.940000000001</v>
      </c>
      <c r="AH5229" t="n">
        <v>92271.06</v>
      </c>
      <c r="AI5229" t="n">
        <v>0</v>
      </c>
    </row>
    <row r="5230">
      <c r="A5230" t="inlineStr">
        <is>
          <t>6월</t>
        </is>
      </c>
      <c r="B5230" t="inlineStr">
        <is>
          <t>24주차</t>
        </is>
      </c>
      <c r="C5230" t="inlineStr">
        <is>
          <t>EP</t>
        </is>
      </c>
      <c r="D5230" s="28" t="n">
        <v>46183</v>
      </c>
      <c r="E5230" t="inlineStr">
        <is>
          <t>현대EP</t>
        </is>
      </c>
      <c r="F5230" t="inlineStr">
        <is>
          <t>정은선</t>
        </is>
      </c>
      <c r="G5230" t="inlineStr">
        <is>
          <t>010-7720-4844</t>
        </is>
      </c>
      <c r="H5230" t="inlineStr">
        <is>
          <t>06고0764</t>
        </is>
      </c>
      <c r="I5230" t="n">
        <v>3500000</v>
      </c>
      <c r="J5230" t="n">
        <v>0.06900000000000001</v>
      </c>
      <c r="K5230" t="n">
        <v>1.76</v>
      </c>
      <c r="L5230" t="n">
        <v>0.14</v>
      </c>
      <c r="M5230" t="n">
        <v>1.62</v>
      </c>
      <c r="P5230" t="inlineStr">
        <is>
          <t>김수연</t>
        </is>
      </c>
      <c r="AB5230" t="inlineStr">
        <is>
          <t>홈서비스</t>
        </is>
      </c>
      <c r="AC5230" t="n">
        <v>61600</v>
      </c>
      <c r="AD5230" t="n">
        <v>4900</v>
      </c>
      <c r="AE5230" t="n">
        <v>56700</v>
      </c>
      <c r="AF5230" t="n">
        <v>56000</v>
      </c>
      <c r="AG5230" t="n">
        <v>4738.3</v>
      </c>
      <c r="AH5230" t="n">
        <v>51261.7</v>
      </c>
      <c r="AI5230" t="n">
        <v>0</v>
      </c>
    </row>
    <row r="5231">
      <c r="A5231" t="inlineStr">
        <is>
          <t>6월</t>
        </is>
      </c>
      <c r="B5231" t="inlineStr">
        <is>
          <t>24주차</t>
        </is>
      </c>
      <c r="C5231" t="inlineStr">
        <is>
          <t>EP</t>
        </is>
      </c>
      <c r="D5231" s="28" t="n">
        <v>46183</v>
      </c>
      <c r="E5231" t="inlineStr">
        <is>
          <t>현대EP</t>
        </is>
      </c>
      <c r="F5231" t="inlineStr">
        <is>
          <t>정한욱</t>
        </is>
      </c>
      <c r="G5231" t="inlineStr">
        <is>
          <t>010-4053-3021</t>
        </is>
      </c>
      <c r="H5231" t="inlineStr">
        <is>
          <t>235로9954</t>
        </is>
      </c>
      <c r="I5231" t="n">
        <v>14500000</v>
      </c>
      <c r="J5231" t="n">
        <v>0.093</v>
      </c>
      <c r="K5231" t="n">
        <v>1.76</v>
      </c>
      <c r="L5231" t="n">
        <v>0.14</v>
      </c>
      <c r="M5231" t="n">
        <v>1.62</v>
      </c>
      <c r="P5231" t="inlineStr">
        <is>
          <t>김수연</t>
        </is>
      </c>
      <c r="AB5231" t="inlineStr">
        <is>
          <t>홈서비스</t>
        </is>
      </c>
      <c r="AC5231" t="n">
        <v>255200</v>
      </c>
      <c r="AD5231" t="n">
        <v>20300</v>
      </c>
      <c r="AE5231" t="n">
        <v>234900</v>
      </c>
      <c r="AF5231" t="n">
        <v>232000</v>
      </c>
      <c r="AG5231" t="n">
        <v>19630.1</v>
      </c>
      <c r="AH5231" t="n">
        <v>212369.9</v>
      </c>
      <c r="AI5231" t="n">
        <v>0</v>
      </c>
    </row>
    <row r="5232">
      <c r="A5232" t="inlineStr">
        <is>
          <t>6월</t>
        </is>
      </c>
      <c r="B5232" t="inlineStr">
        <is>
          <t>24주차</t>
        </is>
      </c>
      <c r="C5232" t="inlineStr">
        <is>
          <t>IM</t>
        </is>
      </c>
      <c r="D5232" s="28" t="n">
        <v>46184</v>
      </c>
      <c r="E5232" t="inlineStr">
        <is>
          <t>IM캐피탈</t>
        </is>
      </c>
      <c r="F5232" t="inlineStr">
        <is>
          <t>소순녀</t>
        </is>
      </c>
      <c r="G5232" t="inlineStr">
        <is>
          <t>010-3121-2896</t>
        </is>
      </c>
      <c r="H5232" t="inlineStr">
        <is>
          <t>151노2720</t>
        </is>
      </c>
      <c r="I5232" t="n">
        <v>13000000</v>
      </c>
      <c r="J5232" t="n">
        <v>0.045</v>
      </c>
      <c r="K5232" t="n">
        <v>1.1</v>
      </c>
      <c r="L5232" t="n">
        <v>0.14</v>
      </c>
      <c r="M5232" t="n">
        <v>0.96</v>
      </c>
      <c r="P5232" t="inlineStr">
        <is>
          <t>박소현</t>
        </is>
      </c>
      <c r="Q5232" t="inlineStr">
        <is>
          <t>홈서비스 48개월</t>
        </is>
      </c>
      <c r="AB5232" t="inlineStr">
        <is>
          <t>홈서비스</t>
        </is>
      </c>
      <c r="AC5232" t="n">
        <v>143000</v>
      </c>
      <c r="AD5232" t="n">
        <v>18200</v>
      </c>
      <c r="AE5232" t="n">
        <v>124800</v>
      </c>
      <c r="AF5232" t="n">
        <v>130000</v>
      </c>
      <c r="AG5232" t="n">
        <v>17599.4</v>
      </c>
      <c r="AH5232" t="n">
        <v>112400.6</v>
      </c>
      <c r="AI5232" t="n">
        <v>0</v>
      </c>
    </row>
    <row r="5233">
      <c r="A5233" t="inlineStr">
        <is>
          <t>6월</t>
        </is>
      </c>
      <c r="B5233" t="inlineStr">
        <is>
          <t>24주차</t>
        </is>
      </c>
      <c r="C5233" t="inlineStr">
        <is>
          <t>EP</t>
        </is>
      </c>
      <c r="D5233" s="28" t="n">
        <v>46184</v>
      </c>
      <c r="E5233" t="inlineStr">
        <is>
          <t>현대EP_fast</t>
        </is>
      </c>
      <c r="F5233" t="inlineStr">
        <is>
          <t>이수란</t>
        </is>
      </c>
      <c r="G5233" t="inlineStr">
        <is>
          <t>010-7145-8997</t>
        </is>
      </c>
      <c r="H5233" t="inlineStr">
        <is>
          <t>47오5306</t>
        </is>
      </c>
      <c r="I5233" t="n">
        <v>3500000</v>
      </c>
      <c r="J5233" t="n">
        <v>0.06900000000000001</v>
      </c>
      <c r="K5233" t="n">
        <v>1.76</v>
      </c>
      <c r="L5233" t="n">
        <v>0.14</v>
      </c>
      <c r="M5233" t="n">
        <v>1.62</v>
      </c>
      <c r="P5233" t="inlineStr">
        <is>
          <t>정하은</t>
        </is>
      </c>
      <c r="Q5233" t="inlineStr">
        <is>
          <t>홈서비스 24개월</t>
        </is>
      </c>
      <c r="AB5233" t="inlineStr">
        <is>
          <t>홈서비스</t>
        </is>
      </c>
      <c r="AC5233" t="n">
        <v>61600</v>
      </c>
      <c r="AD5233" t="n">
        <v>4900</v>
      </c>
      <c r="AE5233" t="n">
        <v>56700</v>
      </c>
      <c r="AF5233" t="n">
        <v>56000</v>
      </c>
      <c r="AG5233" t="n">
        <v>4738.3</v>
      </c>
      <c r="AH5233" t="n">
        <v>51261.7</v>
      </c>
      <c r="AI5233" t="n">
        <v>0</v>
      </c>
    </row>
    <row r="5234">
      <c r="A5234" t="inlineStr">
        <is>
          <t>6월</t>
        </is>
      </c>
      <c r="B5234" t="inlineStr">
        <is>
          <t>24주차</t>
        </is>
      </c>
      <c r="C5234" t="inlineStr">
        <is>
          <t>IM</t>
        </is>
      </c>
      <c r="D5234" s="28" t="n">
        <v>46184</v>
      </c>
      <c r="E5234" t="inlineStr">
        <is>
          <t>IM캐피탈</t>
        </is>
      </c>
      <c r="F5234" t="inlineStr">
        <is>
          <t>이승혁</t>
        </is>
      </c>
      <c r="G5234" t="inlineStr">
        <is>
          <t>010-8629-1422</t>
        </is>
      </c>
      <c r="H5234" t="inlineStr">
        <is>
          <t>116가2615</t>
        </is>
      </c>
      <c r="I5234" t="n">
        <v>12000000</v>
      </c>
      <c r="J5234" t="n">
        <v>0.063</v>
      </c>
      <c r="K5234" t="n">
        <v>1.1</v>
      </c>
      <c r="L5234" t="n">
        <v>0.14</v>
      </c>
      <c r="M5234" t="n">
        <v>0.96</v>
      </c>
      <c r="P5234" t="inlineStr">
        <is>
          <t>장진경</t>
        </is>
      </c>
      <c r="Q5234" t="inlineStr">
        <is>
          <t xml:space="preserve">홈서비스 60개월 </t>
        </is>
      </c>
      <c r="AB5234" t="inlineStr">
        <is>
          <t>홈서비스</t>
        </is>
      </c>
      <c r="AC5234" t="n">
        <v>132000</v>
      </c>
      <c r="AD5234" t="n">
        <v>16800</v>
      </c>
      <c r="AE5234" t="n">
        <v>115200</v>
      </c>
      <c r="AF5234" t="n">
        <v>120000</v>
      </c>
      <c r="AG5234" t="n">
        <v>16245.6</v>
      </c>
      <c r="AH5234" t="n">
        <v>103754.4</v>
      </c>
      <c r="AI5234" t="n">
        <v>0</v>
      </c>
    </row>
    <row r="5235">
      <c r="A5235" t="inlineStr">
        <is>
          <t>6월</t>
        </is>
      </c>
      <c r="B5235" t="inlineStr">
        <is>
          <t>24주차</t>
        </is>
      </c>
      <c r="C5235" t="inlineStr">
        <is>
          <t>IM</t>
        </is>
      </c>
      <c r="D5235" s="28" t="n">
        <v>46184</v>
      </c>
      <c r="E5235" t="inlineStr">
        <is>
          <t>IM캐피탈</t>
        </is>
      </c>
      <c r="F5235" t="inlineStr">
        <is>
          <t>이진우</t>
        </is>
      </c>
      <c r="G5235" t="inlineStr">
        <is>
          <t>010-2362-5304</t>
        </is>
      </c>
      <c r="H5235" t="inlineStr">
        <is>
          <t>04더3198</t>
        </is>
      </c>
      <c r="I5235" t="n">
        <v>8500000</v>
      </c>
      <c r="J5235" t="n">
        <v>0.049</v>
      </c>
      <c r="K5235" t="n">
        <v>1.1</v>
      </c>
      <c r="L5235" t="n">
        <v>0.14</v>
      </c>
      <c r="M5235" t="n">
        <v>0.96</v>
      </c>
      <c r="P5235" t="inlineStr">
        <is>
          <t>장진경</t>
        </is>
      </c>
      <c r="Q5235" t="inlineStr">
        <is>
          <t>홈서비스 48개월 / 부대비용 추가진행</t>
        </is>
      </c>
      <c r="AB5235" t="inlineStr">
        <is>
          <t>홈서비스</t>
        </is>
      </c>
      <c r="AC5235" t="n">
        <v>93500</v>
      </c>
      <c r="AD5235" t="n">
        <v>11900</v>
      </c>
      <c r="AE5235" t="n">
        <v>81600</v>
      </c>
      <c r="AF5235" t="n">
        <v>85000</v>
      </c>
      <c r="AG5235" t="n">
        <v>11507.3</v>
      </c>
      <c r="AH5235" t="n">
        <v>73492.7</v>
      </c>
      <c r="AI5235" t="n">
        <v>0</v>
      </c>
    </row>
    <row r="5236">
      <c r="A5236" t="inlineStr">
        <is>
          <t>6월</t>
        </is>
      </c>
      <c r="B5236" t="inlineStr">
        <is>
          <t>24주차</t>
        </is>
      </c>
      <c r="C5236" t="inlineStr">
        <is>
          <t>IM</t>
        </is>
      </c>
      <c r="D5236" s="28" t="n">
        <v>46184</v>
      </c>
      <c r="E5236" t="inlineStr">
        <is>
          <t>IM캐피탈</t>
        </is>
      </c>
      <c r="F5236" t="inlineStr">
        <is>
          <t>김희섭</t>
        </is>
      </c>
      <c r="G5236" t="inlineStr">
        <is>
          <t>010-2976-1013</t>
        </is>
      </c>
      <c r="H5236" t="inlineStr">
        <is>
          <t>872두5823</t>
        </is>
      </c>
      <c r="I5236" t="n">
        <v>26700000</v>
      </c>
      <c r="J5236" t="n">
        <v>0.049</v>
      </c>
      <c r="K5236" t="n">
        <v>1.1</v>
      </c>
      <c r="L5236" t="n">
        <v>0.4</v>
      </c>
      <c r="M5236" t="n">
        <v>0.7</v>
      </c>
      <c r="P5236" t="inlineStr">
        <is>
          <t>장진경</t>
        </is>
      </c>
      <c r="Q5236" t="inlineStr">
        <is>
          <t>부대비용 추가진행</t>
        </is>
      </c>
      <c r="AB5236" t="inlineStr">
        <is>
          <t>엔카</t>
        </is>
      </c>
      <c r="AC5236" t="n">
        <v>293700</v>
      </c>
      <c r="AD5236" t="n">
        <v>106800</v>
      </c>
      <c r="AE5236" t="n">
        <v>186900</v>
      </c>
      <c r="AF5236" t="n">
        <v>267000</v>
      </c>
      <c r="AG5236" t="n">
        <v>103275.6</v>
      </c>
      <c r="AH5236" t="n">
        <v>163724.4</v>
      </c>
      <c r="AI5236" t="n">
        <v>0</v>
      </c>
    </row>
    <row r="5237">
      <c r="A5237" t="inlineStr">
        <is>
          <t>6월</t>
        </is>
      </c>
      <c r="B5237" t="inlineStr">
        <is>
          <t>24주차</t>
        </is>
      </c>
      <c r="C5237" t="inlineStr">
        <is>
          <t>EP</t>
        </is>
      </c>
      <c r="D5237" s="28" t="n">
        <v>46184</v>
      </c>
      <c r="E5237" t="inlineStr">
        <is>
          <t>현대EP_fast</t>
        </is>
      </c>
      <c r="F5237" t="inlineStr">
        <is>
          <t>한지인</t>
        </is>
      </c>
      <c r="G5237" t="inlineStr">
        <is>
          <t>010-9014-9022</t>
        </is>
      </c>
      <c r="H5237" t="inlineStr">
        <is>
          <t>182무2802</t>
        </is>
      </c>
      <c r="I5237" t="n">
        <v>28000000</v>
      </c>
      <c r="J5237" t="n">
        <v>0.113</v>
      </c>
      <c r="K5237" t="n">
        <v>1.76</v>
      </c>
      <c r="L5237" t="n">
        <v>0.14</v>
      </c>
      <c r="M5237" t="n">
        <v>1.62</v>
      </c>
      <c r="P5237" t="inlineStr">
        <is>
          <t>정세빈</t>
        </is>
      </c>
      <c r="Q5237" t="inlineStr">
        <is>
          <t>홈서비스 60개월</t>
        </is>
      </c>
      <c r="AB5237" t="inlineStr">
        <is>
          <t>홈서비스</t>
        </is>
      </c>
      <c r="AC5237" t="n">
        <v>492800</v>
      </c>
      <c r="AD5237" t="n">
        <v>39200</v>
      </c>
      <c r="AE5237" t="n">
        <v>453600</v>
      </c>
      <c r="AF5237" t="n">
        <v>448000</v>
      </c>
      <c r="AG5237" t="n">
        <v>37906.4</v>
      </c>
      <c r="AH5237" t="n">
        <v>410093.6</v>
      </c>
      <c r="AI5237" t="n">
        <v>0</v>
      </c>
    </row>
    <row r="5238">
      <c r="A5238" t="inlineStr">
        <is>
          <t>6월</t>
        </is>
      </c>
      <c r="B5238" t="inlineStr">
        <is>
          <t>24주차</t>
        </is>
      </c>
      <c r="C5238" t="inlineStr">
        <is>
          <t>EP</t>
        </is>
      </c>
      <c r="D5238" s="28" t="n">
        <v>46184</v>
      </c>
      <c r="E5238" t="inlineStr">
        <is>
          <t>BNKEP</t>
        </is>
      </c>
      <c r="F5238" t="inlineStr">
        <is>
          <t>김양흔</t>
        </is>
      </c>
      <c r="G5238" t="inlineStr">
        <is>
          <t>010-9556-2571</t>
        </is>
      </c>
      <c r="H5238" t="inlineStr">
        <is>
          <t>382로1833</t>
        </is>
      </c>
      <c r="I5238" t="n">
        <v>11100000</v>
      </c>
      <c r="J5238" t="n">
        <v>0.094</v>
      </c>
      <c r="K5238" t="n">
        <v>1.65</v>
      </c>
      <c r="L5238" t="n">
        <v>0.14</v>
      </c>
      <c r="M5238" t="n">
        <v>1.51</v>
      </c>
      <c r="P5238" t="inlineStr">
        <is>
          <t>구성완</t>
        </is>
      </c>
      <c r="Q5238" t="inlineStr">
        <is>
          <t>안심거래존건</t>
        </is>
      </c>
      <c r="AB5238" t="inlineStr">
        <is>
          <t>믿고</t>
        </is>
      </c>
      <c r="AC5238" t="n">
        <v>183150</v>
      </c>
      <c r="AD5238" t="n">
        <v>15540</v>
      </c>
      <c r="AE5238" t="n">
        <v>167610</v>
      </c>
      <c r="AF5238" t="n">
        <v>166500</v>
      </c>
      <c r="AG5238" t="n">
        <v>15027.18</v>
      </c>
      <c r="AH5238" t="n">
        <v>151472.82</v>
      </c>
      <c r="AI5238" t="n">
        <v>0</v>
      </c>
    </row>
    <row r="5239">
      <c r="A5239" t="inlineStr">
        <is>
          <t>6월</t>
        </is>
      </c>
      <c r="B5239" t="inlineStr">
        <is>
          <t>24주차</t>
        </is>
      </c>
      <c r="C5239" t="inlineStr">
        <is>
          <t>IM</t>
        </is>
      </c>
      <c r="D5239" s="28" t="n">
        <v>46184</v>
      </c>
      <c r="E5239" t="inlineStr">
        <is>
          <t>IM캐피탈</t>
        </is>
      </c>
      <c r="F5239" t="inlineStr">
        <is>
          <t>이지선</t>
        </is>
      </c>
      <c r="G5239" t="inlineStr">
        <is>
          <t>010-9453-3390</t>
        </is>
      </c>
      <c r="H5239" t="inlineStr">
        <is>
          <t>347무9196</t>
        </is>
      </c>
      <c r="I5239" t="n">
        <v>11700000</v>
      </c>
      <c r="J5239" t="n">
        <v>0.067</v>
      </c>
      <c r="K5239" t="n">
        <v>1.1</v>
      </c>
      <c r="L5239" t="n">
        <v>0.4</v>
      </c>
      <c r="M5239" t="n">
        <v>0.7</v>
      </c>
      <c r="P5239" t="inlineStr">
        <is>
          <t>박소현</t>
        </is>
      </c>
      <c r="AB5239" t="inlineStr">
        <is>
          <t>엔카</t>
        </is>
      </c>
      <c r="AC5239" t="n">
        <v>128700</v>
      </c>
      <c r="AD5239" t="n">
        <v>46800</v>
      </c>
      <c r="AE5239" t="n">
        <v>81900</v>
      </c>
      <c r="AF5239" t="n">
        <v>117000</v>
      </c>
      <c r="AG5239" t="n">
        <v>45255.6</v>
      </c>
      <c r="AH5239" t="n">
        <v>71744.39999999999</v>
      </c>
    </row>
    <row r="5240">
      <c r="A5240" t="inlineStr">
        <is>
          <t>6월</t>
        </is>
      </c>
      <c r="B5240" t="inlineStr">
        <is>
          <t>24주차</t>
        </is>
      </c>
      <c r="C5240" t="inlineStr">
        <is>
          <t>WC</t>
        </is>
      </c>
      <c r="D5240" s="28" t="n">
        <v>46184</v>
      </c>
      <c r="E5240" t="inlineStr">
        <is>
          <t>웰컴저축은행</t>
        </is>
      </c>
      <c r="F5240" t="inlineStr">
        <is>
          <t>도상화</t>
        </is>
      </c>
      <c r="G5240" t="inlineStr">
        <is>
          <t>010-2340-4057</t>
        </is>
      </c>
      <c r="H5240" t="inlineStr">
        <is>
          <t>339조5129</t>
        </is>
      </c>
      <c r="I5240" t="n">
        <v>5400000</v>
      </c>
      <c r="J5240" t="n">
        <v>0.129</v>
      </c>
      <c r="K5240" t="n">
        <v>2.2</v>
      </c>
      <c r="L5240" t="n">
        <v>0.4</v>
      </c>
      <c r="M5240" t="n">
        <v>1.8</v>
      </c>
      <c r="P5240" t="inlineStr">
        <is>
          <t>임대경</t>
        </is>
      </c>
      <c r="Q5240" t="inlineStr">
        <is>
          <t>부대비용 추가 진행</t>
        </is>
      </c>
      <c r="AB5240" t="inlineStr">
        <is>
          <t>엔카</t>
        </is>
      </c>
      <c r="AC5240" t="n">
        <v>118800</v>
      </c>
      <c r="AD5240" t="n">
        <v>21600</v>
      </c>
      <c r="AE5240" t="n">
        <v>97200</v>
      </c>
      <c r="AF5240" t="n">
        <v>108000</v>
      </c>
      <c r="AG5240" t="n">
        <v>20887.2</v>
      </c>
      <c r="AH5240" t="n">
        <v>87112.8</v>
      </c>
    </row>
    <row r="5241">
      <c r="A5241" t="inlineStr">
        <is>
          <t>6월</t>
        </is>
      </c>
      <c r="B5241" t="inlineStr">
        <is>
          <t>24주차</t>
        </is>
      </c>
      <c r="C5241" t="inlineStr">
        <is>
          <t>IM</t>
        </is>
      </c>
      <c r="D5241" s="28" t="n">
        <v>46184</v>
      </c>
      <c r="E5241" t="inlineStr">
        <is>
          <t>IM캐피탈</t>
        </is>
      </c>
      <c r="F5241" t="inlineStr">
        <is>
          <t>김창현</t>
        </is>
      </c>
      <c r="G5241" t="inlineStr">
        <is>
          <t>010-4731-0097</t>
        </is>
      </c>
      <c r="H5241" t="inlineStr">
        <is>
          <t>301서3373</t>
        </is>
      </c>
      <c r="I5241" t="n">
        <v>14300000</v>
      </c>
      <c r="J5241" t="n">
        <v>0.059</v>
      </c>
      <c r="K5241" t="n">
        <v>1.1</v>
      </c>
      <c r="L5241" t="n">
        <v>0.14</v>
      </c>
      <c r="M5241" t="n">
        <v>0.96</v>
      </c>
      <c r="P5241" t="inlineStr">
        <is>
          <t>박소현</t>
        </is>
      </c>
      <c r="Q5241" t="inlineStr">
        <is>
          <t>홈서비스 48개월 / 부대비용추가진행</t>
        </is>
      </c>
      <c r="AB5241" t="inlineStr">
        <is>
          <t>홈서비스</t>
        </is>
      </c>
      <c r="AC5241" t="n">
        <v>157300</v>
      </c>
      <c r="AD5241" t="n">
        <v>20020</v>
      </c>
      <c r="AE5241" t="n">
        <v>137280</v>
      </c>
      <c r="AF5241" t="n">
        <v>143000</v>
      </c>
      <c r="AG5241" t="n">
        <v>19359.34</v>
      </c>
      <c r="AH5241" t="n">
        <v>123640.66</v>
      </c>
      <c r="AI5241" t="n">
        <v>0</v>
      </c>
    </row>
    <row r="5242">
      <c r="A5242" t="inlineStr">
        <is>
          <t>6월</t>
        </is>
      </c>
      <c r="B5242" t="inlineStr">
        <is>
          <t>24주차</t>
        </is>
      </c>
      <c r="C5242" t="inlineStr">
        <is>
          <t>IM</t>
        </is>
      </c>
      <c r="D5242" s="28" t="n">
        <v>46184</v>
      </c>
      <c r="E5242" t="inlineStr">
        <is>
          <t>IM캐피탈</t>
        </is>
      </c>
      <c r="F5242" t="inlineStr">
        <is>
          <t>허한창</t>
        </is>
      </c>
      <c r="G5242" t="inlineStr">
        <is>
          <t>0102863-2271</t>
        </is>
      </c>
      <c r="H5242" t="inlineStr">
        <is>
          <t>263구3782</t>
        </is>
      </c>
      <c r="I5242" t="n">
        <v>10000000</v>
      </c>
      <c r="J5242" t="n">
        <v>0.049</v>
      </c>
      <c r="K5242" t="n">
        <v>1.1</v>
      </c>
      <c r="L5242" t="n">
        <v>0.14</v>
      </c>
      <c r="M5242" t="n">
        <v>0.96</v>
      </c>
      <c r="P5242" t="inlineStr">
        <is>
          <t>박소현</t>
        </is>
      </c>
      <c r="Q5242" t="inlineStr">
        <is>
          <t>홈서비스 60개월</t>
        </is>
      </c>
      <c r="AB5242" t="inlineStr">
        <is>
          <t>홈서비스</t>
        </is>
      </c>
      <c r="AC5242" t="n">
        <v>110000</v>
      </c>
      <c r="AD5242" t="n">
        <v>14000</v>
      </c>
      <c r="AE5242" t="n">
        <v>96000</v>
      </c>
      <c r="AF5242" t="n">
        <v>100000</v>
      </c>
      <c r="AG5242" t="n">
        <v>13538</v>
      </c>
      <c r="AH5242" t="n">
        <v>86462</v>
      </c>
      <c r="AI5242" t="n">
        <v>0</v>
      </c>
    </row>
    <row r="5243">
      <c r="A5243" t="inlineStr">
        <is>
          <t>6월</t>
        </is>
      </c>
      <c r="B5243" t="inlineStr">
        <is>
          <t>24주차</t>
        </is>
      </c>
      <c r="C5243" t="inlineStr">
        <is>
          <t>WR</t>
        </is>
      </c>
      <c r="D5243" s="28" t="n">
        <v>46184</v>
      </c>
      <c r="E5243" t="inlineStr">
        <is>
          <t>우리금융</t>
        </is>
      </c>
      <c r="F5243" t="inlineStr">
        <is>
          <t>권용일</t>
        </is>
      </c>
      <c r="G5243" t="inlineStr">
        <is>
          <t>010-5252-3437</t>
        </is>
      </c>
      <c r="H5243" t="inlineStr">
        <is>
          <t>17부3052</t>
        </is>
      </c>
      <c r="I5243" t="n">
        <v>7500000</v>
      </c>
      <c r="J5243" t="n">
        <v>0.089</v>
      </c>
      <c r="K5243" t="n">
        <v>2.2</v>
      </c>
      <c r="L5243" t="n">
        <v>0.4</v>
      </c>
      <c r="M5243" t="n">
        <v>1.8</v>
      </c>
      <c r="P5243" t="inlineStr">
        <is>
          <t>장진경</t>
        </is>
      </c>
      <c r="Q5243" t="inlineStr">
        <is>
          <t>부대비용 추가진행</t>
        </is>
      </c>
      <c r="AB5243" t="inlineStr">
        <is>
          <t>엔카</t>
        </is>
      </c>
      <c r="AC5243" t="n">
        <v>165000</v>
      </c>
      <c r="AD5243" t="n">
        <v>30000</v>
      </c>
      <c r="AE5243" t="n">
        <v>135000</v>
      </c>
      <c r="AF5243" t="n">
        <v>150000</v>
      </c>
      <c r="AG5243" t="n">
        <v>29010</v>
      </c>
      <c r="AH5243" t="n">
        <v>120990</v>
      </c>
    </row>
    <row r="5244">
      <c r="A5244" t="inlineStr">
        <is>
          <t>6월</t>
        </is>
      </c>
      <c r="B5244" t="inlineStr">
        <is>
          <t>24주차</t>
        </is>
      </c>
      <c r="C5244" t="inlineStr">
        <is>
          <t>EP</t>
        </is>
      </c>
      <c r="D5244" s="28" t="n">
        <v>46184</v>
      </c>
      <c r="E5244" t="inlineStr">
        <is>
          <t>제이비EP</t>
        </is>
      </c>
      <c r="F5244" t="inlineStr">
        <is>
          <t>홍민기</t>
        </is>
      </c>
      <c r="G5244" t="inlineStr">
        <is>
          <t>010-4502-9065</t>
        </is>
      </c>
      <c r="H5244" t="inlineStr">
        <is>
          <t>54주8290</t>
        </is>
      </c>
      <c r="I5244" t="n">
        <v>25000000</v>
      </c>
      <c r="J5244" t="n">
        <v>0.11</v>
      </c>
      <c r="K5244" t="n">
        <v>1.65</v>
      </c>
      <c r="L5244" t="n">
        <v>0.4</v>
      </c>
      <c r="M5244" t="n">
        <v>1.25</v>
      </c>
      <c r="P5244" t="inlineStr">
        <is>
          <t>구성완</t>
        </is>
      </c>
      <c r="AB5244" t="inlineStr">
        <is>
          <t>엔카</t>
        </is>
      </c>
      <c r="AC5244" t="n">
        <v>412500</v>
      </c>
      <c r="AD5244" t="n">
        <v>100000</v>
      </c>
      <c r="AE5244" t="n">
        <v>312500</v>
      </c>
      <c r="AF5244" t="n">
        <v>375000</v>
      </c>
      <c r="AG5244" t="n">
        <v>96700</v>
      </c>
      <c r="AH5244" t="n">
        <v>278300</v>
      </c>
      <c r="AI5244" t="n">
        <v>0</v>
      </c>
    </row>
    <row r="5245">
      <c r="A5245" t="inlineStr">
        <is>
          <t>6월</t>
        </is>
      </c>
      <c r="B5245" t="inlineStr">
        <is>
          <t>24주차</t>
        </is>
      </c>
      <c r="C5245" t="inlineStr">
        <is>
          <t>IM</t>
        </is>
      </c>
      <c r="D5245" s="28" t="n">
        <v>46184</v>
      </c>
      <c r="E5245" t="inlineStr">
        <is>
          <t>IM캐피탈</t>
        </is>
      </c>
      <c r="F5245" t="inlineStr">
        <is>
          <t>구경화</t>
        </is>
      </c>
      <c r="G5245" t="inlineStr">
        <is>
          <t>010-4158-1234</t>
        </is>
      </c>
      <c r="H5245" t="inlineStr">
        <is>
          <t>154구9972</t>
        </is>
      </c>
      <c r="I5245" t="n">
        <v>30000000</v>
      </c>
      <c r="J5245" t="n">
        <v>0.049</v>
      </c>
      <c r="K5245" t="n">
        <v>1.1</v>
      </c>
      <c r="L5245" t="n">
        <v>0.4</v>
      </c>
      <c r="M5245" t="n">
        <v>0.7</v>
      </c>
      <c r="P5245" t="inlineStr">
        <is>
          <t>장진경</t>
        </is>
      </c>
      <c r="Q5245" t="inlineStr">
        <is>
          <t>부대비용 추가진행</t>
        </is>
      </c>
      <c r="AB5245" t="inlineStr">
        <is>
          <t>엔카</t>
        </is>
      </c>
      <c r="AC5245" t="n">
        <v>330000</v>
      </c>
      <c r="AD5245" t="n">
        <v>120000</v>
      </c>
      <c r="AE5245" t="n">
        <v>210000</v>
      </c>
      <c r="AF5245" t="n">
        <v>300000</v>
      </c>
      <c r="AG5245" t="n">
        <v>116040</v>
      </c>
      <c r="AH5245" t="n">
        <v>183960</v>
      </c>
      <c r="AI5245" t="n">
        <v>0</v>
      </c>
    </row>
    <row r="5246">
      <c r="A5246" t="inlineStr">
        <is>
          <t>6월</t>
        </is>
      </c>
      <c r="B5246" t="inlineStr">
        <is>
          <t>24주차</t>
        </is>
      </c>
      <c r="C5246" t="inlineStr">
        <is>
          <t>IM</t>
        </is>
      </c>
      <c r="D5246" s="28" t="n">
        <v>46184</v>
      </c>
      <c r="E5246" t="inlineStr">
        <is>
          <t>IM캐피탈</t>
        </is>
      </c>
      <c r="F5246" t="inlineStr">
        <is>
          <t>은송이</t>
        </is>
      </c>
      <c r="G5246" t="inlineStr">
        <is>
          <t>010-6484-0324</t>
        </is>
      </c>
      <c r="H5246" t="inlineStr">
        <is>
          <t>168러3732</t>
        </is>
      </c>
      <c r="I5246" t="n">
        <v>17500000</v>
      </c>
      <c r="J5246" t="n">
        <v>0.049</v>
      </c>
      <c r="K5246" t="n">
        <v>1.1</v>
      </c>
      <c r="L5246" t="n">
        <v>0.14</v>
      </c>
      <c r="M5246" t="n">
        <v>0.96</v>
      </c>
      <c r="P5246" t="inlineStr">
        <is>
          <t>황채이</t>
        </is>
      </c>
      <c r="Q5246" t="inlineStr">
        <is>
          <t>홈서비스 60개월</t>
        </is>
      </c>
      <c r="AB5246" t="inlineStr">
        <is>
          <t>홈서비스</t>
        </is>
      </c>
      <c r="AC5246" t="n">
        <v>192500</v>
      </c>
      <c r="AD5246" t="n">
        <v>24500</v>
      </c>
      <c r="AE5246" t="n">
        <v>168000</v>
      </c>
      <c r="AF5246" t="n">
        <v>175000</v>
      </c>
      <c r="AG5246" t="n">
        <v>23691.5</v>
      </c>
      <c r="AH5246" t="n">
        <v>151308.5</v>
      </c>
      <c r="AI5246" t="n">
        <v>0</v>
      </c>
    </row>
    <row r="5247">
      <c r="A5247" t="inlineStr">
        <is>
          <t>6월</t>
        </is>
      </c>
      <c r="B5247" t="inlineStr">
        <is>
          <t>24주차</t>
        </is>
      </c>
      <c r="C5247" t="inlineStr">
        <is>
          <t>IM</t>
        </is>
      </c>
      <c r="D5247" s="28" t="n">
        <v>46184</v>
      </c>
      <c r="E5247" t="inlineStr">
        <is>
          <t>IM캐피탈</t>
        </is>
      </c>
      <c r="F5247" t="inlineStr">
        <is>
          <t>김동현</t>
        </is>
      </c>
      <c r="G5247" t="inlineStr">
        <is>
          <t>010-5063-4313</t>
        </is>
      </c>
      <c r="H5247" t="inlineStr">
        <is>
          <t>263러5201</t>
        </is>
      </c>
      <c r="I5247" t="n">
        <v>20000000</v>
      </c>
      <c r="J5247" t="n">
        <v>0.067</v>
      </c>
      <c r="K5247" t="n">
        <v>1.1</v>
      </c>
      <c r="L5247" t="n">
        <v>0.4</v>
      </c>
      <c r="M5247" t="n">
        <v>0.7</v>
      </c>
      <c r="P5247" t="inlineStr">
        <is>
          <t>장진경</t>
        </is>
      </c>
      <c r="AB5247" t="inlineStr">
        <is>
          <t>엔카</t>
        </is>
      </c>
      <c r="AC5247" t="n">
        <v>220000</v>
      </c>
      <c r="AD5247" t="n">
        <v>80000</v>
      </c>
      <c r="AE5247" t="n">
        <v>140000</v>
      </c>
      <c r="AF5247" t="n">
        <v>200000</v>
      </c>
      <c r="AG5247" t="n">
        <v>77360</v>
      </c>
      <c r="AH5247" t="n">
        <v>122640</v>
      </c>
    </row>
    <row r="5248">
      <c r="A5248" t="inlineStr">
        <is>
          <t>6월</t>
        </is>
      </c>
      <c r="B5248" t="inlineStr">
        <is>
          <t>24주차</t>
        </is>
      </c>
      <c r="C5248" t="inlineStr">
        <is>
          <t>EP</t>
        </is>
      </c>
      <c r="D5248" s="28" t="n">
        <v>46184</v>
      </c>
      <c r="E5248" t="inlineStr">
        <is>
          <t>현대EP_fast</t>
        </is>
      </c>
      <c r="F5248" t="inlineStr">
        <is>
          <t>여정아</t>
        </is>
      </c>
      <c r="G5248" t="inlineStr">
        <is>
          <t>010-8524-1025</t>
        </is>
      </c>
      <c r="H5248" t="inlineStr">
        <is>
          <t>16머3799</t>
        </is>
      </c>
      <c r="I5248" t="n">
        <v>37500000</v>
      </c>
      <c r="J5248" t="n">
        <v>0.113</v>
      </c>
      <c r="K5248" t="n">
        <v>1.76</v>
      </c>
      <c r="L5248" t="n">
        <v>0.14</v>
      </c>
      <c r="M5248" t="n">
        <v>1.62</v>
      </c>
      <c r="P5248" t="inlineStr">
        <is>
          <t>황채이</t>
        </is>
      </c>
      <c r="Q5248" t="inlineStr">
        <is>
          <t>홈서비스 60개월</t>
        </is>
      </c>
      <c r="AB5248" t="inlineStr">
        <is>
          <t>홈서비스</t>
        </is>
      </c>
      <c r="AC5248" t="n">
        <v>660000</v>
      </c>
      <c r="AD5248" t="n">
        <v>52500</v>
      </c>
      <c r="AE5248" t="n">
        <v>607500</v>
      </c>
      <c r="AF5248" t="n">
        <v>600000</v>
      </c>
      <c r="AG5248" t="n">
        <v>50767.5</v>
      </c>
      <c r="AH5248" t="n">
        <v>549232.5</v>
      </c>
      <c r="AI5248" t="n">
        <v>0</v>
      </c>
    </row>
    <row r="5249">
      <c r="A5249" t="inlineStr">
        <is>
          <t>6월</t>
        </is>
      </c>
      <c r="B5249" t="inlineStr">
        <is>
          <t>24주차</t>
        </is>
      </c>
      <c r="C5249" t="inlineStr">
        <is>
          <t>EP</t>
        </is>
      </c>
      <c r="D5249" s="28" t="n">
        <v>46184</v>
      </c>
      <c r="E5249" t="inlineStr">
        <is>
          <t>현대EP_fast</t>
        </is>
      </c>
      <c r="F5249" t="inlineStr">
        <is>
          <t>허경</t>
        </is>
      </c>
      <c r="G5249" t="inlineStr">
        <is>
          <t>010-8834-2011</t>
        </is>
      </c>
      <c r="H5249" t="inlineStr">
        <is>
          <t>117모6417</t>
        </is>
      </c>
      <c r="I5249" t="n">
        <v>33000000</v>
      </c>
      <c r="J5249" t="n">
        <v>0.06900000000000001</v>
      </c>
      <c r="K5249" t="n">
        <v>1.76</v>
      </c>
      <c r="L5249" t="n">
        <v>0.14</v>
      </c>
      <c r="M5249" t="n">
        <v>1.62</v>
      </c>
      <c r="P5249" t="inlineStr">
        <is>
          <t>황채이</t>
        </is>
      </c>
      <c r="Q5249" t="inlineStr">
        <is>
          <t>홈서비스 60개월</t>
        </is>
      </c>
      <c r="AB5249" t="inlineStr">
        <is>
          <t>홈서비스</t>
        </is>
      </c>
      <c r="AC5249" t="n">
        <v>580800</v>
      </c>
      <c r="AD5249" t="n">
        <v>46200</v>
      </c>
      <c r="AE5249" t="n">
        <v>534600</v>
      </c>
      <c r="AF5249" t="n">
        <v>528000</v>
      </c>
      <c r="AG5249" t="n">
        <v>44675.4</v>
      </c>
      <c r="AH5249" t="n">
        <v>483324.6</v>
      </c>
    </row>
    <row r="5250">
      <c r="A5250" t="inlineStr">
        <is>
          <t>6월</t>
        </is>
      </c>
      <c r="B5250" t="inlineStr">
        <is>
          <t>24주차</t>
        </is>
      </c>
      <c r="C5250" t="inlineStr">
        <is>
          <t>IM</t>
        </is>
      </c>
      <c r="D5250" s="28" t="n">
        <v>46184</v>
      </c>
      <c r="E5250" t="inlineStr">
        <is>
          <t>IM캐피탈</t>
        </is>
      </c>
      <c r="F5250" t="inlineStr">
        <is>
          <t>김민기</t>
        </is>
      </c>
      <c r="G5250" t="inlineStr">
        <is>
          <t>010-7516-7951</t>
        </is>
      </c>
      <c r="H5250" t="inlineStr">
        <is>
          <t>24어5929</t>
        </is>
      </c>
      <c r="I5250" t="n">
        <v>5500000</v>
      </c>
      <c r="J5250" t="n">
        <v>0.08400000000000001</v>
      </c>
      <c r="K5250" t="n">
        <v>1.1</v>
      </c>
      <c r="L5250" t="n">
        <v>0.14</v>
      </c>
      <c r="M5250" t="n">
        <v>0.96</v>
      </c>
      <c r="P5250" t="inlineStr">
        <is>
          <t>황채이</t>
        </is>
      </c>
      <c r="Q5250" t="inlineStr">
        <is>
          <t>홈서비스 48개월</t>
        </is>
      </c>
      <c r="AB5250" t="inlineStr">
        <is>
          <t>홈서비스</t>
        </is>
      </c>
      <c r="AC5250" t="n">
        <v>60500</v>
      </c>
      <c r="AD5250" t="n">
        <v>7700</v>
      </c>
      <c r="AE5250" t="n">
        <v>52800</v>
      </c>
      <c r="AF5250" t="n">
        <v>55000</v>
      </c>
      <c r="AG5250" t="n">
        <v>7445.9</v>
      </c>
      <c r="AH5250" t="n">
        <v>47554.1</v>
      </c>
      <c r="AI5250" t="n">
        <v>0</v>
      </c>
    </row>
    <row r="5251">
      <c r="A5251" t="inlineStr">
        <is>
          <t>6월</t>
        </is>
      </c>
      <c r="B5251" t="inlineStr">
        <is>
          <t>24주차</t>
        </is>
      </c>
      <c r="C5251" t="inlineStr">
        <is>
          <t>WR</t>
        </is>
      </c>
      <c r="D5251" s="28" t="n">
        <v>46184</v>
      </c>
      <c r="E5251" t="inlineStr">
        <is>
          <t>우리금융</t>
        </is>
      </c>
      <c r="F5251" t="inlineStr">
        <is>
          <t>김준진</t>
        </is>
      </c>
      <c r="G5251" t="inlineStr">
        <is>
          <t>010-2894-6662</t>
        </is>
      </c>
      <c r="H5251" t="inlineStr">
        <is>
          <t>59거6039</t>
        </is>
      </c>
      <c r="I5251" t="n">
        <v>100000000</v>
      </c>
      <c r="J5251" t="n">
        <v>0.075</v>
      </c>
      <c r="K5251" t="n">
        <v>2.2</v>
      </c>
      <c r="L5251" t="n">
        <v>0.4</v>
      </c>
      <c r="M5251" t="n">
        <v>1.8</v>
      </c>
      <c r="P5251" t="inlineStr">
        <is>
          <t>최혁</t>
        </is>
      </c>
      <c r="AB5251" t="inlineStr">
        <is>
          <t>엔카</t>
        </is>
      </c>
      <c r="AC5251" t="n">
        <v>2200000</v>
      </c>
      <c r="AD5251" t="n">
        <v>400000</v>
      </c>
      <c r="AE5251" t="n">
        <v>1800000</v>
      </c>
      <c r="AF5251" t="n">
        <v>2000000</v>
      </c>
      <c r="AG5251" t="n">
        <v>386800</v>
      </c>
      <c r="AH5251" t="n">
        <v>1613200</v>
      </c>
      <c r="AI5251" t="n">
        <v>0</v>
      </c>
    </row>
    <row r="5252">
      <c r="A5252" t="inlineStr">
        <is>
          <t>6월</t>
        </is>
      </c>
      <c r="B5252" t="inlineStr">
        <is>
          <t>24주차</t>
        </is>
      </c>
      <c r="C5252" t="inlineStr">
        <is>
          <t>EP</t>
        </is>
      </c>
      <c r="D5252" s="28" t="n">
        <v>46184</v>
      </c>
      <c r="E5252" t="inlineStr">
        <is>
          <t>현대EP_fast</t>
        </is>
      </c>
      <c r="F5252" t="inlineStr">
        <is>
          <t>손유성</t>
        </is>
      </c>
      <c r="G5252" t="inlineStr">
        <is>
          <t>010-4651-6516</t>
        </is>
      </c>
      <c r="H5252" t="inlineStr">
        <is>
          <t>12어3473</t>
        </is>
      </c>
      <c r="I5252" t="n">
        <v>27500000</v>
      </c>
      <c r="J5252" t="n">
        <v>0.093</v>
      </c>
      <c r="K5252" t="n">
        <v>1.76</v>
      </c>
      <c r="L5252" t="n">
        <v>0.14</v>
      </c>
      <c r="M5252" t="n">
        <v>1.62</v>
      </c>
      <c r="P5252" t="inlineStr">
        <is>
          <t>황채이</t>
        </is>
      </c>
      <c r="Q5252" t="inlineStr">
        <is>
          <t>홈서비스 60개월</t>
        </is>
      </c>
      <c r="AB5252" t="inlineStr">
        <is>
          <t>홈서비스</t>
        </is>
      </c>
      <c r="AC5252" t="n">
        <v>484000</v>
      </c>
      <c r="AD5252" t="n">
        <v>38500</v>
      </c>
      <c r="AE5252" t="n">
        <v>445500</v>
      </c>
      <c r="AF5252" t="n">
        <v>440000</v>
      </c>
      <c r="AG5252" t="n">
        <v>37229.5</v>
      </c>
      <c r="AH5252" t="n">
        <v>402770.5</v>
      </c>
      <c r="AI5252" t="n">
        <v>0</v>
      </c>
    </row>
    <row r="5253">
      <c r="A5253" t="inlineStr">
        <is>
          <t>6월</t>
        </is>
      </c>
      <c r="B5253" t="inlineStr">
        <is>
          <t>24주차</t>
        </is>
      </c>
      <c r="C5253" t="inlineStr">
        <is>
          <t>IM</t>
        </is>
      </c>
      <c r="D5253" s="28" t="n">
        <v>46184</v>
      </c>
      <c r="E5253" t="inlineStr">
        <is>
          <t>IM캐피탈</t>
        </is>
      </c>
      <c r="F5253" t="inlineStr">
        <is>
          <t>고병찬</t>
        </is>
      </c>
      <c r="G5253" t="inlineStr">
        <is>
          <t>010-3507-8764</t>
        </is>
      </c>
      <c r="H5253" t="inlineStr">
        <is>
          <t>290노8761</t>
        </is>
      </c>
      <c r="I5253" t="n">
        <v>10000000</v>
      </c>
      <c r="J5253" t="n">
        <v>0.067</v>
      </c>
      <c r="K5253" t="n">
        <v>1.1</v>
      </c>
      <c r="L5253" t="n">
        <v>0.14</v>
      </c>
      <c r="M5253" t="n">
        <v>0.96</v>
      </c>
      <c r="P5253" t="inlineStr">
        <is>
          <t>황채이</t>
        </is>
      </c>
      <c r="Q5253" t="inlineStr">
        <is>
          <t>홈서비스 36개월</t>
        </is>
      </c>
      <c r="AB5253" t="inlineStr">
        <is>
          <t>홈서비스</t>
        </is>
      </c>
      <c r="AC5253" t="n">
        <v>110000</v>
      </c>
      <c r="AD5253" t="n">
        <v>14000</v>
      </c>
      <c r="AE5253" t="n">
        <v>96000</v>
      </c>
      <c r="AF5253" t="n">
        <v>100000</v>
      </c>
      <c r="AG5253" t="n">
        <v>13538</v>
      </c>
      <c r="AH5253" t="n">
        <v>86462</v>
      </c>
      <c r="AI5253" t="n">
        <v>0</v>
      </c>
    </row>
    <row r="5254">
      <c r="A5254" t="inlineStr">
        <is>
          <t>6월</t>
        </is>
      </c>
      <c r="B5254" t="inlineStr">
        <is>
          <t>24주차</t>
        </is>
      </c>
      <c r="C5254" t="inlineStr">
        <is>
          <t>IM</t>
        </is>
      </c>
      <c r="D5254" s="28" t="n">
        <v>46184</v>
      </c>
      <c r="E5254" t="inlineStr">
        <is>
          <t>IM캐피탈</t>
        </is>
      </c>
      <c r="F5254" t="inlineStr">
        <is>
          <t>박동직</t>
        </is>
      </c>
      <c r="G5254" t="inlineStr">
        <is>
          <t>010-4601-8592</t>
        </is>
      </c>
      <c r="H5254" t="inlineStr">
        <is>
          <t>371라4254</t>
        </is>
      </c>
      <c r="I5254" t="n">
        <v>5200000</v>
      </c>
      <c r="J5254" t="n">
        <v>0.079</v>
      </c>
      <c r="K5254" t="n">
        <v>1.1</v>
      </c>
      <c r="L5254" t="n">
        <v>0.14</v>
      </c>
      <c r="M5254" t="n">
        <v>0.96</v>
      </c>
      <c r="P5254" t="inlineStr">
        <is>
          <t>황채이</t>
        </is>
      </c>
      <c r="Q5254" t="inlineStr">
        <is>
          <t>홈서비스 36개월</t>
        </is>
      </c>
      <c r="AB5254" t="inlineStr">
        <is>
          <t>홈서비스</t>
        </is>
      </c>
      <c r="AC5254" t="n">
        <v>57200</v>
      </c>
      <c r="AD5254" t="n">
        <v>7280</v>
      </c>
      <c r="AE5254" t="n">
        <v>49920</v>
      </c>
      <c r="AF5254" t="n">
        <v>52000</v>
      </c>
      <c r="AG5254" t="n">
        <v>7039.76</v>
      </c>
      <c r="AH5254" t="n">
        <v>44960.24</v>
      </c>
      <c r="AI5254" t="n">
        <v>0</v>
      </c>
    </row>
    <row r="5255">
      <c r="A5255" t="inlineStr">
        <is>
          <t>6월</t>
        </is>
      </c>
      <c r="B5255" t="inlineStr">
        <is>
          <t>24주차</t>
        </is>
      </c>
      <c r="C5255" t="inlineStr">
        <is>
          <t>EP</t>
        </is>
      </c>
      <c r="D5255" s="28" t="n">
        <v>46184</v>
      </c>
      <c r="E5255" t="inlineStr">
        <is>
          <t>현대EP_fast</t>
        </is>
      </c>
      <c r="F5255" t="inlineStr">
        <is>
          <t>박정훈</t>
        </is>
      </c>
      <c r="G5255" t="inlineStr">
        <is>
          <t>010-5575-0530</t>
        </is>
      </c>
      <c r="H5255" t="inlineStr">
        <is>
          <t>54부0960</t>
        </is>
      </c>
      <c r="I5255" t="n">
        <v>6000000</v>
      </c>
      <c r="J5255" t="n">
        <v>0.077</v>
      </c>
      <c r="K5255" t="n">
        <v>1.76</v>
      </c>
      <c r="L5255" t="n">
        <v>0.14</v>
      </c>
      <c r="M5255" t="n">
        <v>1.62</v>
      </c>
      <c r="P5255" t="inlineStr">
        <is>
          <t>황채이</t>
        </is>
      </c>
      <c r="Q5255" t="inlineStr">
        <is>
          <t>홈서비스 48개월</t>
        </is>
      </c>
      <c r="AB5255" t="inlineStr">
        <is>
          <t>홈서비스</t>
        </is>
      </c>
      <c r="AC5255" t="n">
        <v>105600</v>
      </c>
      <c r="AD5255" t="n">
        <v>8400</v>
      </c>
      <c r="AE5255" t="n">
        <v>97200</v>
      </c>
      <c r="AF5255" t="n">
        <v>96000</v>
      </c>
      <c r="AG5255" t="n">
        <v>8122.8</v>
      </c>
      <c r="AH5255" t="n">
        <v>87877.2</v>
      </c>
      <c r="AI5255" t="n">
        <v>0</v>
      </c>
    </row>
    <row r="5256">
      <c r="A5256" t="inlineStr">
        <is>
          <t>6월</t>
        </is>
      </c>
      <c r="B5256" t="inlineStr">
        <is>
          <t>24주차</t>
        </is>
      </c>
      <c r="C5256" t="inlineStr">
        <is>
          <t>WC</t>
        </is>
      </c>
      <c r="D5256" s="28" t="n">
        <v>46184</v>
      </c>
      <c r="E5256" t="inlineStr">
        <is>
          <t>웰컴저축은행</t>
        </is>
      </c>
      <c r="F5256" t="inlineStr">
        <is>
          <t>류진영</t>
        </is>
      </c>
      <c r="G5256" t="inlineStr">
        <is>
          <t>010-2073-8825</t>
        </is>
      </c>
      <c r="H5256" t="inlineStr">
        <is>
          <t>199버3240</t>
        </is>
      </c>
      <c r="I5256" t="n">
        <v>19500000</v>
      </c>
      <c r="J5256" t="n">
        <v>0.119</v>
      </c>
      <c r="K5256" t="n">
        <v>2.2</v>
      </c>
      <c r="L5256" t="n">
        <v>0.14</v>
      </c>
      <c r="M5256" t="n">
        <v>2.06</v>
      </c>
      <c r="P5256" t="inlineStr">
        <is>
          <t>황채이</t>
        </is>
      </c>
      <c r="Q5256" t="inlineStr">
        <is>
          <t>홈서비스 72개월</t>
        </is>
      </c>
      <c r="AB5256" t="inlineStr">
        <is>
          <t>홈서비스</t>
        </is>
      </c>
      <c r="AC5256" t="n">
        <v>429000</v>
      </c>
      <c r="AD5256" t="n">
        <v>27300</v>
      </c>
      <c r="AE5256" t="n">
        <v>401700</v>
      </c>
      <c r="AF5256" t="n">
        <v>390000</v>
      </c>
      <c r="AG5256" t="n">
        <v>26399.1</v>
      </c>
      <c r="AH5256" t="n">
        <v>363600.9</v>
      </c>
    </row>
    <row r="5257">
      <c r="A5257" t="inlineStr">
        <is>
          <t>6월</t>
        </is>
      </c>
      <c r="B5257" t="inlineStr">
        <is>
          <t>24주차</t>
        </is>
      </c>
      <c r="C5257" t="inlineStr">
        <is>
          <t>WC</t>
        </is>
      </c>
      <c r="D5257" s="28" t="n">
        <v>46184</v>
      </c>
      <c r="E5257" t="inlineStr">
        <is>
          <t>웰컴저축은행</t>
        </is>
      </c>
      <c r="F5257" t="inlineStr">
        <is>
          <t>김준범</t>
        </is>
      </c>
      <c r="G5257" t="inlineStr">
        <is>
          <t>010-7265-0377</t>
        </is>
      </c>
      <c r="H5257" t="inlineStr">
        <is>
          <t>21오0798</t>
        </is>
      </c>
      <c r="I5257" t="n">
        <v>9700000</v>
      </c>
      <c r="J5257" t="n">
        <v>0.154</v>
      </c>
      <c r="K5257" t="n">
        <v>2.2</v>
      </c>
      <c r="L5257" t="n">
        <v>0.14</v>
      </c>
      <c r="M5257" t="n">
        <v>2.06</v>
      </c>
      <c r="P5257" t="inlineStr">
        <is>
          <t>황채이</t>
        </is>
      </c>
      <c r="Q5257" t="inlineStr">
        <is>
          <t>홈서비스 60개월</t>
        </is>
      </c>
      <c r="AB5257" t="inlineStr">
        <is>
          <t>홈서비스</t>
        </is>
      </c>
      <c r="AC5257" t="n">
        <v>213400</v>
      </c>
      <c r="AD5257" t="n">
        <v>13580</v>
      </c>
      <c r="AE5257" t="n">
        <v>199820</v>
      </c>
      <c r="AF5257" t="n">
        <v>194000</v>
      </c>
      <c r="AG5257" t="n">
        <v>13131.86</v>
      </c>
      <c r="AH5257" t="n">
        <v>180868.14</v>
      </c>
      <c r="AI5257" t="n">
        <v>0</v>
      </c>
    </row>
    <row r="5258">
      <c r="A5258" t="inlineStr">
        <is>
          <t>6월</t>
        </is>
      </c>
      <c r="B5258" t="inlineStr">
        <is>
          <t>24주차</t>
        </is>
      </c>
      <c r="C5258" t="inlineStr">
        <is>
          <t>EP</t>
        </is>
      </c>
      <c r="D5258" s="28" t="n">
        <v>46184</v>
      </c>
      <c r="E5258" t="inlineStr">
        <is>
          <t>현대EP</t>
        </is>
      </c>
      <c r="F5258" t="inlineStr">
        <is>
          <t>강봉희</t>
        </is>
      </c>
      <c r="G5258" t="inlineStr">
        <is>
          <t>010-4949-0560</t>
        </is>
      </c>
      <c r="H5258" t="inlineStr">
        <is>
          <t>67어1476</t>
        </is>
      </c>
      <c r="I5258" t="n">
        <v>27000000</v>
      </c>
      <c r="J5258" t="n">
        <v>0.109</v>
      </c>
      <c r="K5258" t="n">
        <v>1.76</v>
      </c>
      <c r="L5258" t="n">
        <v>0.14</v>
      </c>
      <c r="M5258" t="n">
        <v>1.62</v>
      </c>
      <c r="P5258" t="inlineStr">
        <is>
          <t>김나윤</t>
        </is>
      </c>
      <c r="AB5258" t="inlineStr">
        <is>
          <t>홈서비스</t>
        </is>
      </c>
      <c r="AC5258" t="n">
        <v>475200</v>
      </c>
      <c r="AD5258" t="n">
        <v>37800</v>
      </c>
      <c r="AE5258" t="n">
        <v>437400</v>
      </c>
      <c r="AF5258" t="n">
        <v>432000</v>
      </c>
      <c r="AG5258" t="n">
        <v>36552.6</v>
      </c>
      <c r="AH5258" t="n">
        <v>395447.4</v>
      </c>
      <c r="AI5258" t="n">
        <v>0</v>
      </c>
    </row>
    <row r="5259">
      <c r="A5259" t="inlineStr">
        <is>
          <t>6월</t>
        </is>
      </c>
      <c r="B5259" t="inlineStr">
        <is>
          <t>24주차</t>
        </is>
      </c>
      <c r="C5259" t="inlineStr">
        <is>
          <t>EP</t>
        </is>
      </c>
      <c r="D5259" s="28" t="n">
        <v>46184</v>
      </c>
      <c r="E5259" t="inlineStr">
        <is>
          <t>현대EP</t>
        </is>
      </c>
      <c r="F5259" t="inlineStr">
        <is>
          <t>김철현</t>
        </is>
      </c>
      <c r="G5259" t="inlineStr">
        <is>
          <t>010-3603-5512</t>
        </is>
      </c>
      <c r="H5259" t="inlineStr">
        <is>
          <t>21러0550</t>
        </is>
      </c>
      <c r="I5259" t="n">
        <v>12900000</v>
      </c>
      <c r="J5259" t="n">
        <v>0.129</v>
      </c>
      <c r="K5259" t="n">
        <v>1.76</v>
      </c>
      <c r="L5259" t="n">
        <v>0.14</v>
      </c>
      <c r="M5259" t="n">
        <v>1.62</v>
      </c>
      <c r="P5259" t="inlineStr">
        <is>
          <t>구성완</t>
        </is>
      </c>
      <c r="AB5259" t="inlineStr">
        <is>
          <t>홈서비스</t>
        </is>
      </c>
      <c r="AC5259" t="n">
        <v>227040</v>
      </c>
      <c r="AD5259" t="n">
        <v>18060</v>
      </c>
      <c r="AE5259" t="n">
        <v>208980</v>
      </c>
      <c r="AF5259" t="n">
        <v>206400</v>
      </c>
      <c r="AG5259" t="n">
        <v>17464.02</v>
      </c>
      <c r="AH5259" t="n">
        <v>188935.98</v>
      </c>
      <c r="AI5259" t="n">
        <v>0</v>
      </c>
    </row>
    <row r="5260">
      <c r="A5260" t="inlineStr">
        <is>
          <t>6월</t>
        </is>
      </c>
      <c r="B5260" t="inlineStr">
        <is>
          <t>24주차</t>
        </is>
      </c>
      <c r="C5260" t="inlineStr">
        <is>
          <t>EP</t>
        </is>
      </c>
      <c r="D5260" s="28" t="n">
        <v>46184</v>
      </c>
      <c r="E5260" t="inlineStr">
        <is>
          <t>현대EP</t>
        </is>
      </c>
      <c r="F5260" t="inlineStr">
        <is>
          <t>백찬영</t>
        </is>
      </c>
      <c r="G5260" t="inlineStr">
        <is>
          <t>010-3168-1530</t>
        </is>
      </c>
      <c r="H5260" t="inlineStr">
        <is>
          <t>55구4117</t>
        </is>
      </c>
      <c r="I5260" t="n">
        <v>8000000</v>
      </c>
      <c r="J5260" t="n">
        <v>0.077</v>
      </c>
      <c r="K5260" t="n">
        <v>1.76</v>
      </c>
      <c r="L5260" t="n">
        <v>0.14</v>
      </c>
      <c r="M5260" t="n">
        <v>1.62</v>
      </c>
      <c r="P5260" t="inlineStr">
        <is>
          <t>박소현</t>
        </is>
      </c>
      <c r="AB5260" t="inlineStr">
        <is>
          <t>홈서비스</t>
        </is>
      </c>
      <c r="AC5260" t="n">
        <v>140800</v>
      </c>
      <c r="AD5260" t="n">
        <v>11200</v>
      </c>
      <c r="AE5260" t="n">
        <v>129600</v>
      </c>
      <c r="AF5260" t="n">
        <v>128000</v>
      </c>
      <c r="AG5260" t="n">
        <v>10830.4</v>
      </c>
      <c r="AH5260" t="n">
        <v>117169.6</v>
      </c>
      <c r="AI5260" t="n">
        <v>0</v>
      </c>
    </row>
    <row r="5261">
      <c r="A5261" t="inlineStr">
        <is>
          <t>6월</t>
        </is>
      </c>
      <c r="B5261" t="inlineStr">
        <is>
          <t>24주차</t>
        </is>
      </c>
      <c r="C5261" t="inlineStr">
        <is>
          <t>EP</t>
        </is>
      </c>
      <c r="D5261" s="28" t="n">
        <v>46184</v>
      </c>
      <c r="E5261" t="inlineStr">
        <is>
          <t>현대EP</t>
        </is>
      </c>
      <c r="F5261" t="inlineStr">
        <is>
          <t>안주한</t>
        </is>
      </c>
      <c r="G5261" t="inlineStr">
        <is>
          <t>010-6392-5363</t>
        </is>
      </c>
      <c r="H5261" t="inlineStr">
        <is>
          <t>396러4394</t>
        </is>
      </c>
      <c r="I5261" t="n">
        <v>8100000</v>
      </c>
      <c r="J5261" t="n">
        <v>0.142</v>
      </c>
      <c r="K5261" t="n">
        <v>1.76</v>
      </c>
      <c r="L5261" t="n">
        <v>0.14</v>
      </c>
      <c r="M5261" t="n">
        <v>1.62</v>
      </c>
      <c r="P5261" t="inlineStr">
        <is>
          <t>김수연</t>
        </is>
      </c>
      <c r="AB5261" t="inlineStr">
        <is>
          <t>홈서비스</t>
        </is>
      </c>
      <c r="AC5261" t="n">
        <v>142560</v>
      </c>
      <c r="AD5261" t="n">
        <v>11340</v>
      </c>
      <c r="AE5261" t="n">
        <v>131220</v>
      </c>
      <c r="AF5261" t="n">
        <v>129600</v>
      </c>
      <c r="AG5261" t="n">
        <v>10965.78</v>
      </c>
      <c r="AH5261" t="n">
        <v>118634.22</v>
      </c>
      <c r="AI5261" t="n">
        <v>0</v>
      </c>
    </row>
    <row r="5262">
      <c r="A5262" t="inlineStr">
        <is>
          <t>6월</t>
        </is>
      </c>
      <c r="B5262" t="inlineStr">
        <is>
          <t>24주차</t>
        </is>
      </c>
      <c r="C5262" t="inlineStr">
        <is>
          <t>EP</t>
        </is>
      </c>
      <c r="D5262" s="28" t="n">
        <v>46184</v>
      </c>
      <c r="E5262" t="inlineStr">
        <is>
          <t>현대EP</t>
        </is>
      </c>
      <c r="F5262" t="inlineStr">
        <is>
          <t>유교현</t>
        </is>
      </c>
      <c r="G5262" t="inlineStr">
        <is>
          <t>010-9688-8637</t>
        </is>
      </c>
      <c r="H5262" t="inlineStr">
        <is>
          <t>67주6821</t>
        </is>
      </c>
      <c r="I5262" t="n">
        <v>15000000</v>
      </c>
      <c r="J5262" t="n">
        <v>0.076</v>
      </c>
      <c r="K5262" t="n">
        <v>1.76</v>
      </c>
      <c r="L5262" t="n">
        <v>0.14</v>
      </c>
      <c r="M5262" t="n">
        <v>1.62</v>
      </c>
      <c r="P5262" t="inlineStr">
        <is>
          <t>구성완</t>
        </is>
      </c>
      <c r="AB5262" t="inlineStr">
        <is>
          <t>홈서비스</t>
        </is>
      </c>
      <c r="AC5262" t="n">
        <v>264000</v>
      </c>
      <c r="AD5262" t="n">
        <v>21000</v>
      </c>
      <c r="AE5262" t="n">
        <v>243000</v>
      </c>
      <c r="AF5262" t="n">
        <v>240000</v>
      </c>
      <c r="AG5262" t="n">
        <v>20307</v>
      </c>
      <c r="AH5262" t="n">
        <v>219693</v>
      </c>
      <c r="AI5262" t="n">
        <v>0</v>
      </c>
    </row>
    <row r="5263">
      <c r="A5263" t="inlineStr">
        <is>
          <t>6월</t>
        </is>
      </c>
      <c r="B5263" t="inlineStr">
        <is>
          <t>24주차</t>
        </is>
      </c>
      <c r="C5263" t="inlineStr">
        <is>
          <t>EP</t>
        </is>
      </c>
      <c r="D5263" s="28" t="n">
        <v>46184</v>
      </c>
      <c r="E5263" t="inlineStr">
        <is>
          <t>현대EP</t>
        </is>
      </c>
      <c r="F5263" t="inlineStr">
        <is>
          <t>이호상</t>
        </is>
      </c>
      <c r="G5263" t="inlineStr">
        <is>
          <t>010-9231-5916</t>
        </is>
      </c>
      <c r="H5263" t="inlineStr">
        <is>
          <t>179가5938</t>
        </is>
      </c>
      <c r="I5263" t="n">
        <v>10600000</v>
      </c>
      <c r="J5263" t="n">
        <v>0.097</v>
      </c>
      <c r="K5263" t="n">
        <v>1.76</v>
      </c>
      <c r="L5263" t="n">
        <v>0.14</v>
      </c>
      <c r="M5263" t="n">
        <v>1.62</v>
      </c>
      <c r="P5263" t="inlineStr">
        <is>
          <t>황채이</t>
        </is>
      </c>
      <c r="AB5263" t="inlineStr">
        <is>
          <t>홈서비스</t>
        </is>
      </c>
      <c r="AC5263" t="n">
        <v>186560</v>
      </c>
      <c r="AD5263" t="n">
        <v>14840</v>
      </c>
      <c r="AE5263" t="n">
        <v>171720</v>
      </c>
      <c r="AF5263" t="n">
        <v>169600</v>
      </c>
      <c r="AG5263" t="n">
        <v>14350.28</v>
      </c>
      <c r="AH5263" t="n">
        <v>155249.72</v>
      </c>
      <c r="AI5263" t="n">
        <v>0</v>
      </c>
    </row>
    <row r="5264">
      <c r="A5264" t="inlineStr">
        <is>
          <t>6월</t>
        </is>
      </c>
      <c r="B5264" t="inlineStr">
        <is>
          <t>24주차</t>
        </is>
      </c>
      <c r="C5264" t="inlineStr">
        <is>
          <t>EP</t>
        </is>
      </c>
      <c r="D5264" s="28" t="n">
        <v>46184</v>
      </c>
      <c r="E5264" t="inlineStr">
        <is>
          <t>현대EP</t>
        </is>
      </c>
      <c r="F5264" t="inlineStr">
        <is>
          <t>최민영</t>
        </is>
      </c>
      <c r="G5264" t="inlineStr">
        <is>
          <t>010-9512-2221</t>
        </is>
      </c>
      <c r="H5264" t="inlineStr">
        <is>
          <t>39보6239</t>
        </is>
      </c>
      <c r="I5264" t="n">
        <v>23000000</v>
      </c>
      <c r="J5264" t="n">
        <v>0.109</v>
      </c>
      <c r="K5264" t="n">
        <v>1.76</v>
      </c>
      <c r="L5264" t="n">
        <v>0.14</v>
      </c>
      <c r="M5264" t="n">
        <v>1.62</v>
      </c>
      <c r="P5264" t="inlineStr">
        <is>
          <t>박소현</t>
        </is>
      </c>
      <c r="AB5264" t="inlineStr">
        <is>
          <t>홈서비스</t>
        </is>
      </c>
      <c r="AC5264" t="n">
        <v>404800</v>
      </c>
      <c r="AD5264" t="n">
        <v>32200</v>
      </c>
      <c r="AE5264" t="n">
        <v>372600</v>
      </c>
      <c r="AF5264" t="n">
        <v>368000</v>
      </c>
      <c r="AG5264" t="n">
        <v>31137.4</v>
      </c>
      <c r="AH5264" t="n">
        <v>336862.6</v>
      </c>
    </row>
    <row r="5265">
      <c r="A5265" t="inlineStr">
        <is>
          <t>6월</t>
        </is>
      </c>
      <c r="B5265" t="inlineStr">
        <is>
          <t>24주차</t>
        </is>
      </c>
      <c r="C5265" t="inlineStr">
        <is>
          <t>EP</t>
        </is>
      </c>
      <c r="D5265" s="28" t="n">
        <v>46184</v>
      </c>
      <c r="E5265" t="inlineStr">
        <is>
          <t>현대EP</t>
        </is>
      </c>
      <c r="F5265" t="inlineStr">
        <is>
          <t>최정재</t>
        </is>
      </c>
      <c r="G5265" t="inlineStr">
        <is>
          <t>010-3179-3497</t>
        </is>
      </c>
      <c r="H5265" t="inlineStr">
        <is>
          <t>150머6610</t>
        </is>
      </c>
      <c r="I5265" t="n">
        <v>18000000</v>
      </c>
      <c r="J5265" t="n">
        <v>0.06900000000000001</v>
      </c>
      <c r="K5265" t="n">
        <v>1.76</v>
      </c>
      <c r="L5265" t="n">
        <v>0.14</v>
      </c>
      <c r="M5265" t="n">
        <v>1.62</v>
      </c>
      <c r="P5265" t="inlineStr">
        <is>
          <t>황채이</t>
        </is>
      </c>
      <c r="AB5265" t="inlineStr">
        <is>
          <t>홈서비스</t>
        </is>
      </c>
      <c r="AC5265" t="n">
        <v>316800</v>
      </c>
      <c r="AD5265" t="n">
        <v>25200</v>
      </c>
      <c r="AE5265" t="n">
        <v>291600</v>
      </c>
      <c r="AF5265" t="n">
        <v>288000</v>
      </c>
      <c r="AG5265" t="n">
        <v>24368.4</v>
      </c>
      <c r="AH5265" t="n">
        <v>263631.6</v>
      </c>
    </row>
    <row r="5266">
      <c r="A5266" t="inlineStr">
        <is>
          <t>6월</t>
        </is>
      </c>
      <c r="B5266" t="inlineStr">
        <is>
          <t>24주차</t>
        </is>
      </c>
      <c r="C5266" t="inlineStr">
        <is>
          <t>EP</t>
        </is>
      </c>
      <c r="D5266" s="28" t="n">
        <v>46184</v>
      </c>
      <c r="E5266" t="inlineStr">
        <is>
          <t>현대EP</t>
        </is>
      </c>
      <c r="F5266" t="inlineStr">
        <is>
          <t>최준영</t>
        </is>
      </c>
      <c r="G5266" t="inlineStr">
        <is>
          <t>010-6332-6353</t>
        </is>
      </c>
      <c r="H5266" t="inlineStr">
        <is>
          <t>14버3239</t>
        </is>
      </c>
      <c r="I5266" t="n">
        <v>10500000</v>
      </c>
      <c r="J5266" t="n">
        <v>0.083</v>
      </c>
      <c r="K5266" t="n">
        <v>1.76</v>
      </c>
      <c r="L5266" t="n">
        <v>0.14</v>
      </c>
      <c r="M5266" t="n">
        <v>1.62</v>
      </c>
      <c r="P5266" t="inlineStr">
        <is>
          <t>김수연</t>
        </is>
      </c>
      <c r="AB5266" t="inlineStr">
        <is>
          <t>홈서비스</t>
        </is>
      </c>
      <c r="AC5266" t="n">
        <v>184800</v>
      </c>
      <c r="AD5266" t="n">
        <v>14700</v>
      </c>
      <c r="AE5266" t="n">
        <v>170100</v>
      </c>
      <c r="AF5266" t="n">
        <v>168000</v>
      </c>
      <c r="AG5266" t="n">
        <v>14214.9</v>
      </c>
      <c r="AH5266" t="n">
        <v>153785.1</v>
      </c>
      <c r="AI5266" t="n">
        <v>0</v>
      </c>
    </row>
    <row r="5267">
      <c r="A5267" t="inlineStr">
        <is>
          <t>6월</t>
        </is>
      </c>
      <c r="B5267" t="inlineStr">
        <is>
          <t>24주차</t>
        </is>
      </c>
      <c r="C5267" t="inlineStr">
        <is>
          <t>EP</t>
        </is>
      </c>
      <c r="D5267" s="28" t="n">
        <v>46184</v>
      </c>
      <c r="E5267" t="inlineStr">
        <is>
          <t>현대EP</t>
        </is>
      </c>
      <c r="F5267" t="inlineStr">
        <is>
          <t>황영혁</t>
        </is>
      </c>
      <c r="G5267" t="inlineStr">
        <is>
          <t>010-4169-1954</t>
        </is>
      </c>
      <c r="H5267" t="inlineStr">
        <is>
          <t>46소6245</t>
        </is>
      </c>
      <c r="I5267" t="n">
        <v>5000000</v>
      </c>
      <c r="J5267" t="n">
        <v>0.076</v>
      </c>
      <c r="K5267" t="n">
        <v>1.76</v>
      </c>
      <c r="L5267" t="n">
        <v>0.14</v>
      </c>
      <c r="M5267" t="n">
        <v>1.62</v>
      </c>
      <c r="P5267" t="inlineStr">
        <is>
          <t>김나윤</t>
        </is>
      </c>
      <c r="AB5267" t="inlineStr">
        <is>
          <t>홈서비스</t>
        </is>
      </c>
      <c r="AC5267" t="n">
        <v>88000</v>
      </c>
      <c r="AD5267" t="n">
        <v>7000</v>
      </c>
      <c r="AE5267" t="n">
        <v>81000</v>
      </c>
      <c r="AF5267" t="n">
        <v>80000</v>
      </c>
      <c r="AG5267" t="n">
        <v>6769</v>
      </c>
      <c r="AH5267" t="n">
        <v>73231</v>
      </c>
      <c r="AI5267" t="n">
        <v>0</v>
      </c>
    </row>
    <row r="5268">
      <c r="A5268" t="inlineStr">
        <is>
          <t>6월</t>
        </is>
      </c>
      <c r="B5268" t="inlineStr">
        <is>
          <t>24주차</t>
        </is>
      </c>
      <c r="C5268" t="inlineStr">
        <is>
          <t>EP</t>
        </is>
      </c>
      <c r="D5268" s="28" t="n">
        <v>46184</v>
      </c>
      <c r="E5268" t="inlineStr">
        <is>
          <t>현대EP_fast</t>
        </is>
      </c>
      <c r="F5268" t="inlineStr">
        <is>
          <t>김성열</t>
        </is>
      </c>
      <c r="G5268" t="inlineStr">
        <is>
          <t>010-8414-1660</t>
        </is>
      </c>
      <c r="H5268" t="inlineStr">
        <is>
          <t>42다0972</t>
        </is>
      </c>
      <c r="I5268" t="n">
        <v>11200000</v>
      </c>
      <c r="J5268" t="n">
        <v>0.093</v>
      </c>
      <c r="K5268" t="n">
        <v>1.76</v>
      </c>
      <c r="L5268" t="n">
        <v>0.14</v>
      </c>
      <c r="M5268" t="n">
        <v>1.62</v>
      </c>
      <c r="P5268" t="inlineStr">
        <is>
          <t>최혁</t>
        </is>
      </c>
      <c r="Q5268" t="inlineStr">
        <is>
          <t>홈서비스24개월</t>
        </is>
      </c>
      <c r="AB5268" t="inlineStr">
        <is>
          <t>홈서비스</t>
        </is>
      </c>
      <c r="AC5268" t="n">
        <v>197120</v>
      </c>
      <c r="AD5268" t="n">
        <v>15680</v>
      </c>
      <c r="AE5268" t="n">
        <v>181440</v>
      </c>
      <c r="AF5268" t="n">
        <v>179200</v>
      </c>
      <c r="AG5268" t="n">
        <v>15162.56</v>
      </c>
      <c r="AH5268" t="n">
        <v>164037.44</v>
      </c>
      <c r="AI5268" t="n">
        <v>0</v>
      </c>
    </row>
    <row r="5269">
      <c r="A5269" t="inlineStr">
        <is>
          <t>6월</t>
        </is>
      </c>
      <c r="B5269" t="inlineStr">
        <is>
          <t>24주차</t>
        </is>
      </c>
      <c r="C5269" t="inlineStr">
        <is>
          <t>WR</t>
        </is>
      </c>
      <c r="D5269" s="28" t="n">
        <v>46185</v>
      </c>
      <c r="E5269" t="inlineStr">
        <is>
          <t>우리금융</t>
        </is>
      </c>
      <c r="F5269" t="inlineStr">
        <is>
          <t>강다솜</t>
        </is>
      </c>
      <c r="G5269" t="inlineStr">
        <is>
          <t>010-6348-3610</t>
        </is>
      </c>
      <c r="H5269" t="inlineStr">
        <is>
          <t>268버8522</t>
        </is>
      </c>
      <c r="I5269" t="n">
        <v>17500000</v>
      </c>
      <c r="J5269" t="n">
        <v>0.099</v>
      </c>
      <c r="K5269" t="n">
        <v>2.2</v>
      </c>
      <c r="L5269" t="n">
        <v>0.14</v>
      </c>
      <c r="M5269" t="n">
        <v>2.06</v>
      </c>
      <c r="P5269" t="inlineStr">
        <is>
          <t>박보람</t>
        </is>
      </c>
      <c r="Q5269" t="inlineStr">
        <is>
          <t>홈서비스 60개월</t>
        </is>
      </c>
      <c r="AB5269" t="inlineStr">
        <is>
          <t>홈서비스</t>
        </is>
      </c>
      <c r="AC5269" t="n">
        <v>385000</v>
      </c>
      <c r="AD5269" t="n">
        <v>24500</v>
      </c>
      <c r="AE5269" t="n">
        <v>360500</v>
      </c>
      <c r="AF5269" t="n">
        <v>350000</v>
      </c>
      <c r="AG5269" t="n">
        <v>23691.5</v>
      </c>
      <c r="AH5269" t="n">
        <v>326308.5</v>
      </c>
      <c r="AI5269" t="n">
        <v>0</v>
      </c>
    </row>
    <row r="5270">
      <c r="A5270" t="inlineStr">
        <is>
          <t>6월</t>
        </is>
      </c>
      <c r="B5270" t="inlineStr">
        <is>
          <t>24주차</t>
        </is>
      </c>
      <c r="C5270" t="inlineStr">
        <is>
          <t>IM</t>
        </is>
      </c>
      <c r="D5270" s="28" t="n">
        <v>46185</v>
      </c>
      <c r="E5270" t="inlineStr">
        <is>
          <t>IM캐피탈</t>
        </is>
      </c>
      <c r="F5270" t="inlineStr">
        <is>
          <t>배종문</t>
        </is>
      </c>
      <c r="G5270" t="inlineStr">
        <is>
          <t>010-4874-1279</t>
        </is>
      </c>
      <c r="H5270" t="inlineStr">
        <is>
          <t>06부3656</t>
        </is>
      </c>
      <c r="I5270" t="n">
        <v>20000000</v>
      </c>
      <c r="J5270" t="n">
        <v>0.06900000000000001</v>
      </c>
      <c r="K5270" t="n">
        <v>1.1</v>
      </c>
      <c r="L5270" t="n">
        <v>0.14</v>
      </c>
      <c r="M5270" t="n">
        <v>0.96</v>
      </c>
      <c r="P5270" t="inlineStr">
        <is>
          <t>박소현</t>
        </is>
      </c>
      <c r="Q5270" t="inlineStr">
        <is>
          <t>홈서비스 60개월</t>
        </is>
      </c>
      <c r="AB5270" t="inlineStr">
        <is>
          <t>홈서비스</t>
        </is>
      </c>
      <c r="AC5270" t="n">
        <v>220000</v>
      </c>
      <c r="AD5270" t="n">
        <v>28000</v>
      </c>
      <c r="AE5270" t="n">
        <v>192000</v>
      </c>
      <c r="AF5270" t="n">
        <v>200000</v>
      </c>
      <c r="AG5270" t="n">
        <v>27076</v>
      </c>
      <c r="AH5270" t="n">
        <v>172924</v>
      </c>
      <c r="AI5270" t="n">
        <v>0</v>
      </c>
    </row>
    <row r="5271">
      <c r="A5271" t="inlineStr">
        <is>
          <t>6월</t>
        </is>
      </c>
      <c r="B5271" t="inlineStr">
        <is>
          <t>24주차</t>
        </is>
      </c>
      <c r="C5271" t="inlineStr">
        <is>
          <t>EP</t>
        </is>
      </c>
      <c r="D5271" s="28" t="n">
        <v>46185</v>
      </c>
      <c r="E5271" t="inlineStr">
        <is>
          <t>현대EP_fast</t>
        </is>
      </c>
      <c r="F5271" t="inlineStr">
        <is>
          <t>김홍진</t>
        </is>
      </c>
      <c r="G5271" t="inlineStr">
        <is>
          <t>010-4138-3334</t>
        </is>
      </c>
      <c r="H5271" t="inlineStr">
        <is>
          <t>200너3655</t>
        </is>
      </c>
      <c r="I5271" t="n">
        <v>28800000</v>
      </c>
      <c r="J5271" t="n">
        <v>0.097</v>
      </c>
      <c r="K5271" t="n">
        <v>1.76</v>
      </c>
      <c r="L5271" t="n">
        <v>0.4</v>
      </c>
      <c r="M5271" t="n">
        <v>1.36</v>
      </c>
      <c r="P5271" t="inlineStr">
        <is>
          <t>장진경</t>
        </is>
      </c>
      <c r="Q5271" t="inlineStr">
        <is>
          <t>고객주도체결</t>
        </is>
      </c>
      <c r="AB5271" t="inlineStr">
        <is>
          <t>엔카</t>
        </is>
      </c>
      <c r="AC5271" t="n">
        <v>506880</v>
      </c>
      <c r="AD5271" t="n">
        <v>115200</v>
      </c>
      <c r="AE5271" t="n">
        <v>391680</v>
      </c>
      <c r="AF5271" t="n">
        <v>460800</v>
      </c>
      <c r="AG5271" t="n">
        <v>111398.4</v>
      </c>
      <c r="AH5271" t="n">
        <v>349401.6</v>
      </c>
      <c r="AI5271" t="n">
        <v>0</v>
      </c>
    </row>
    <row r="5272">
      <c r="A5272" t="inlineStr">
        <is>
          <t>6월</t>
        </is>
      </c>
      <c r="B5272" t="inlineStr">
        <is>
          <t>24주차</t>
        </is>
      </c>
      <c r="C5272" t="inlineStr">
        <is>
          <t>EP</t>
        </is>
      </c>
      <c r="D5272" s="28" t="n">
        <v>46185</v>
      </c>
      <c r="E5272" t="inlineStr">
        <is>
          <t>현대EP_fast</t>
        </is>
      </c>
      <c r="F5272" t="inlineStr">
        <is>
          <t>이정표</t>
        </is>
      </c>
      <c r="G5272" t="inlineStr">
        <is>
          <t>010-2261-9290</t>
        </is>
      </c>
      <c r="H5272" t="inlineStr">
        <is>
          <t>38나1326</t>
        </is>
      </c>
      <c r="I5272" t="n">
        <v>30000000</v>
      </c>
      <c r="J5272" t="n">
        <v>0.06900000000000001</v>
      </c>
      <c r="K5272" t="n">
        <v>1.76</v>
      </c>
      <c r="L5272" t="n">
        <v>0.14</v>
      </c>
      <c r="M5272" t="n">
        <v>1.62</v>
      </c>
      <c r="P5272" t="inlineStr">
        <is>
          <t>정세빈</t>
        </is>
      </c>
      <c r="Q5272" t="inlineStr">
        <is>
          <t>홈서비스 48개월</t>
        </is>
      </c>
      <c r="AB5272" t="inlineStr">
        <is>
          <t>홈서비스</t>
        </is>
      </c>
      <c r="AC5272" t="n">
        <v>528000</v>
      </c>
      <c r="AD5272" t="n">
        <v>42000</v>
      </c>
      <c r="AE5272" t="n">
        <v>486000</v>
      </c>
      <c r="AF5272" t="n">
        <v>480000</v>
      </c>
      <c r="AG5272" t="n">
        <v>40614</v>
      </c>
      <c r="AH5272" t="n">
        <v>439386</v>
      </c>
      <c r="AI5272" t="n">
        <v>0</v>
      </c>
    </row>
    <row r="5273">
      <c r="A5273" t="inlineStr">
        <is>
          <t>6월</t>
        </is>
      </c>
      <c r="B5273" t="inlineStr">
        <is>
          <t>24주차</t>
        </is>
      </c>
      <c r="C5273" t="inlineStr">
        <is>
          <t>IM</t>
        </is>
      </c>
      <c r="D5273" s="28" t="n">
        <v>46185</v>
      </c>
      <c r="E5273" t="inlineStr">
        <is>
          <t>IM캐피탈</t>
        </is>
      </c>
      <c r="F5273" t="inlineStr">
        <is>
          <t>남호길</t>
        </is>
      </c>
      <c r="G5273" t="inlineStr">
        <is>
          <t>010-8823-7700</t>
        </is>
      </c>
      <c r="H5273" t="inlineStr">
        <is>
          <t>256라1217</t>
        </is>
      </c>
      <c r="I5273" t="n">
        <v>20000000</v>
      </c>
      <c r="J5273" t="n">
        <v>0.063</v>
      </c>
      <c r="K5273" t="n">
        <v>1.1</v>
      </c>
      <c r="L5273" t="n">
        <v>0.4</v>
      </c>
      <c r="M5273" t="n">
        <v>0.7</v>
      </c>
      <c r="P5273" t="inlineStr">
        <is>
          <t>장진경</t>
        </is>
      </c>
      <c r="AB5273" t="inlineStr">
        <is>
          <t>엔카</t>
        </is>
      </c>
      <c r="AC5273" t="n">
        <v>220000</v>
      </c>
      <c r="AD5273" t="n">
        <v>80000</v>
      </c>
      <c r="AE5273" t="n">
        <v>140000</v>
      </c>
      <c r="AF5273" t="n">
        <v>200000</v>
      </c>
      <c r="AG5273" t="n">
        <v>77360</v>
      </c>
      <c r="AH5273" t="n">
        <v>122640</v>
      </c>
      <c r="AI5273" t="n">
        <v>0</v>
      </c>
    </row>
    <row r="5274">
      <c r="A5274" t="inlineStr">
        <is>
          <t>6월</t>
        </is>
      </c>
      <c r="B5274" t="inlineStr">
        <is>
          <t>24주차</t>
        </is>
      </c>
      <c r="C5274" t="inlineStr">
        <is>
          <t>IM</t>
        </is>
      </c>
      <c r="D5274" s="28" t="n">
        <v>46185</v>
      </c>
      <c r="E5274" t="inlineStr">
        <is>
          <t>IM캐피탈</t>
        </is>
      </c>
      <c r="F5274" t="inlineStr">
        <is>
          <t>김종우</t>
        </is>
      </c>
      <c r="G5274" t="inlineStr">
        <is>
          <t>010-4811-0613</t>
        </is>
      </c>
      <c r="H5274" t="inlineStr">
        <is>
          <t>117라2117</t>
        </is>
      </c>
      <c r="I5274" t="n">
        <v>33400000</v>
      </c>
      <c r="J5274" t="n">
        <v>0.06900000000000001</v>
      </c>
      <c r="K5274" t="n">
        <v>1.1</v>
      </c>
      <c r="L5274" t="n">
        <v>0.14</v>
      </c>
      <c r="M5274" t="n">
        <v>0.96</v>
      </c>
      <c r="P5274" t="inlineStr">
        <is>
          <t>박소현</t>
        </is>
      </c>
      <c r="Q5274" t="inlineStr">
        <is>
          <t>홈서비스 48개월 / 부대비용추가진행</t>
        </is>
      </c>
      <c r="AB5274" t="inlineStr">
        <is>
          <t>홈서비스</t>
        </is>
      </c>
      <c r="AC5274" t="n">
        <v>367400</v>
      </c>
      <c r="AD5274" t="n">
        <v>46760</v>
      </c>
      <c r="AE5274" t="n">
        <v>320640</v>
      </c>
      <c r="AF5274" t="n">
        <v>334000</v>
      </c>
      <c r="AG5274" t="n">
        <v>45216.92</v>
      </c>
      <c r="AH5274" t="n">
        <v>288783.08</v>
      </c>
      <c r="AI5274" t="n">
        <v>0</v>
      </c>
    </row>
    <row r="5275">
      <c r="A5275" t="inlineStr">
        <is>
          <t>6월</t>
        </is>
      </c>
      <c r="B5275" t="inlineStr">
        <is>
          <t>24주차</t>
        </is>
      </c>
      <c r="C5275" t="inlineStr">
        <is>
          <t>EP</t>
        </is>
      </c>
      <c r="D5275" s="28" t="n">
        <v>46185</v>
      </c>
      <c r="E5275" t="inlineStr">
        <is>
          <t>현대EP_fast</t>
        </is>
      </c>
      <c r="F5275" t="inlineStr">
        <is>
          <t>양서진</t>
        </is>
      </c>
      <c r="G5275" t="inlineStr">
        <is>
          <t>010-7540-9490</t>
        </is>
      </c>
      <c r="H5275" t="inlineStr">
        <is>
          <t>144무3186</t>
        </is>
      </c>
      <c r="I5275" t="n">
        <v>13200000</v>
      </c>
      <c r="J5275" t="n">
        <v>0.109</v>
      </c>
      <c r="K5275" t="n">
        <v>1.76</v>
      </c>
      <c r="L5275" t="n">
        <v>0.4</v>
      </c>
      <c r="M5275" t="n">
        <v>1.36</v>
      </c>
      <c r="P5275" t="inlineStr">
        <is>
          <t>최혁</t>
        </is>
      </c>
      <c r="Q5275" t="inlineStr">
        <is>
          <t>공동명의</t>
        </is>
      </c>
      <c r="AB5275" t="inlineStr">
        <is>
          <t>엔카</t>
        </is>
      </c>
      <c r="AC5275" t="n">
        <v>232320</v>
      </c>
      <c r="AD5275" t="n">
        <v>52800</v>
      </c>
      <c r="AE5275" t="n">
        <v>179520</v>
      </c>
      <c r="AF5275" t="n">
        <v>211200</v>
      </c>
      <c r="AG5275" t="n">
        <v>51057.6</v>
      </c>
      <c r="AH5275" t="n">
        <v>160142.4</v>
      </c>
      <c r="AI5275" t="n">
        <v>0</v>
      </c>
    </row>
    <row r="5276">
      <c r="A5276" t="inlineStr">
        <is>
          <t>6월</t>
        </is>
      </c>
      <c r="B5276" t="inlineStr">
        <is>
          <t>24주차</t>
        </is>
      </c>
      <c r="C5276" t="inlineStr">
        <is>
          <t>EP</t>
        </is>
      </c>
      <c r="D5276" s="28" t="n">
        <v>46185</v>
      </c>
      <c r="E5276" t="inlineStr">
        <is>
          <t>현대EP_fast</t>
        </is>
      </c>
      <c r="F5276" t="inlineStr">
        <is>
          <t>박수빈</t>
        </is>
      </c>
      <c r="G5276" t="inlineStr">
        <is>
          <t>010-7457-6626</t>
        </is>
      </c>
      <c r="H5276" t="inlineStr">
        <is>
          <t>10가2766</t>
        </is>
      </c>
      <c r="I5276" t="n">
        <v>10500000</v>
      </c>
      <c r="J5276" t="n">
        <v>0.113</v>
      </c>
      <c r="K5276" t="n">
        <v>1.76</v>
      </c>
      <c r="L5276" t="n">
        <v>0.14</v>
      </c>
      <c r="M5276" t="n">
        <v>1.62</v>
      </c>
      <c r="P5276" t="inlineStr">
        <is>
          <t>박소현</t>
        </is>
      </c>
      <c r="Q5276" t="inlineStr">
        <is>
          <t>홈서비스 60개월</t>
        </is>
      </c>
      <c r="AB5276" t="inlineStr">
        <is>
          <t>홈서비스</t>
        </is>
      </c>
      <c r="AC5276" t="n">
        <v>184800</v>
      </c>
      <c r="AD5276" t="n">
        <v>14700</v>
      </c>
      <c r="AE5276" t="n">
        <v>170100</v>
      </c>
      <c r="AF5276" t="n">
        <v>168000</v>
      </c>
      <c r="AG5276" t="n">
        <v>14214.9</v>
      </c>
      <c r="AH5276" t="n">
        <v>153785.1</v>
      </c>
      <c r="AI5276" t="n">
        <v>0</v>
      </c>
    </row>
    <row r="5277">
      <c r="A5277" t="inlineStr">
        <is>
          <t>6월</t>
        </is>
      </c>
      <c r="B5277" t="inlineStr">
        <is>
          <t>24주차</t>
        </is>
      </c>
      <c r="C5277" t="inlineStr">
        <is>
          <t>EP</t>
        </is>
      </c>
      <c r="D5277" s="28" t="n">
        <v>46185</v>
      </c>
      <c r="E5277" t="inlineStr">
        <is>
          <t>현대EP_fast</t>
        </is>
      </c>
      <c r="F5277" t="inlineStr">
        <is>
          <t>홍명희</t>
        </is>
      </c>
      <c r="G5277" t="inlineStr">
        <is>
          <t>010-8469--7676</t>
        </is>
      </c>
      <c r="H5277" t="inlineStr">
        <is>
          <t>11두5152</t>
        </is>
      </c>
      <c r="I5277" t="n">
        <v>7800000</v>
      </c>
      <c r="J5277" t="n">
        <v>0.096</v>
      </c>
      <c r="K5277" t="n">
        <v>1.76</v>
      </c>
      <c r="L5277" t="n">
        <v>0.4</v>
      </c>
      <c r="M5277" t="n">
        <v>1.36</v>
      </c>
      <c r="P5277" t="inlineStr">
        <is>
          <t>장진경</t>
        </is>
      </c>
      <c r="AB5277" t="inlineStr">
        <is>
          <t>엔카</t>
        </is>
      </c>
      <c r="AC5277" t="n">
        <v>137280</v>
      </c>
      <c r="AD5277" t="n">
        <v>31200</v>
      </c>
      <c r="AE5277" t="n">
        <v>106080</v>
      </c>
      <c r="AF5277" t="n">
        <v>124800</v>
      </c>
      <c r="AG5277" t="n">
        <v>30170.4</v>
      </c>
      <c r="AH5277" t="n">
        <v>94629.60000000001</v>
      </c>
      <c r="AI5277" t="n">
        <v>0</v>
      </c>
    </row>
    <row r="5278">
      <c r="A5278" t="inlineStr">
        <is>
          <t>6월</t>
        </is>
      </c>
      <c r="B5278" t="inlineStr">
        <is>
          <t>24주차</t>
        </is>
      </c>
      <c r="C5278" t="inlineStr">
        <is>
          <t>IM</t>
        </is>
      </c>
      <c r="D5278" s="28" t="n">
        <v>46185</v>
      </c>
      <c r="E5278" t="inlineStr">
        <is>
          <t>IM캐피탈</t>
        </is>
      </c>
      <c r="F5278" t="inlineStr">
        <is>
          <t>하승원</t>
        </is>
      </c>
      <c r="G5278" t="inlineStr">
        <is>
          <t>010-2218-2994</t>
        </is>
      </c>
      <c r="H5278" t="inlineStr">
        <is>
          <t>283버6461</t>
        </is>
      </c>
      <c r="I5278" t="n">
        <v>10000000</v>
      </c>
      <c r="J5278" t="n">
        <v>0.045</v>
      </c>
      <c r="K5278" t="n">
        <v>1.1</v>
      </c>
      <c r="L5278" t="n">
        <v>0.4</v>
      </c>
      <c r="M5278" t="n">
        <v>0.7</v>
      </c>
      <c r="P5278" t="inlineStr">
        <is>
          <t>임대경</t>
        </is>
      </c>
      <c r="AB5278" t="inlineStr">
        <is>
          <t>엔카</t>
        </is>
      </c>
      <c r="AC5278" t="n">
        <v>110000</v>
      </c>
      <c r="AD5278" t="n">
        <v>40000</v>
      </c>
      <c r="AE5278" t="n">
        <v>70000</v>
      </c>
      <c r="AF5278" t="n">
        <v>100000</v>
      </c>
      <c r="AG5278" t="n">
        <v>38680</v>
      </c>
      <c r="AH5278" t="n">
        <v>61320</v>
      </c>
      <c r="AI5278" t="n">
        <v>0</v>
      </c>
    </row>
    <row r="5279">
      <c r="A5279" t="inlineStr">
        <is>
          <t>6월</t>
        </is>
      </c>
      <c r="B5279" t="inlineStr">
        <is>
          <t>24주차</t>
        </is>
      </c>
      <c r="C5279" t="inlineStr">
        <is>
          <t>WR</t>
        </is>
      </c>
      <c r="D5279" s="28" t="n">
        <v>46185</v>
      </c>
      <c r="E5279" t="inlineStr">
        <is>
          <t>우리금융</t>
        </is>
      </c>
      <c r="F5279" t="inlineStr">
        <is>
          <t>이미선</t>
        </is>
      </c>
      <c r="G5279" t="inlineStr">
        <is>
          <t>010-7442-1231</t>
        </is>
      </c>
      <c r="H5279" t="inlineStr">
        <is>
          <t>16마6690</t>
        </is>
      </c>
      <c r="I5279" t="n">
        <v>6000000</v>
      </c>
      <c r="J5279" t="n">
        <v>0.089</v>
      </c>
      <c r="K5279" t="n">
        <v>2.2</v>
      </c>
      <c r="L5279" t="n">
        <v>0.4</v>
      </c>
      <c r="M5279" t="n">
        <v>1.8</v>
      </c>
      <c r="P5279" t="inlineStr">
        <is>
          <t>장진경</t>
        </is>
      </c>
      <c r="Q5279" t="inlineStr">
        <is>
          <t xml:space="preserve">부대비용 추가진행 </t>
        </is>
      </c>
      <c r="AB5279" t="inlineStr">
        <is>
          <t>엔카</t>
        </is>
      </c>
      <c r="AC5279" t="n">
        <v>132000</v>
      </c>
      <c r="AD5279" t="n">
        <v>24000</v>
      </c>
      <c r="AE5279" t="n">
        <v>108000</v>
      </c>
      <c r="AF5279" t="n">
        <v>120000</v>
      </c>
      <c r="AG5279" t="n">
        <v>23208</v>
      </c>
      <c r="AH5279" t="n">
        <v>96792</v>
      </c>
    </row>
    <row r="5280">
      <c r="A5280" t="inlineStr">
        <is>
          <t>6월</t>
        </is>
      </c>
      <c r="B5280" t="inlineStr">
        <is>
          <t>24주차</t>
        </is>
      </c>
      <c r="C5280" t="inlineStr">
        <is>
          <t>IM</t>
        </is>
      </c>
      <c r="D5280" s="28" t="n">
        <v>46185</v>
      </c>
      <c r="E5280" t="inlineStr">
        <is>
          <t>IM캐피탈</t>
        </is>
      </c>
      <c r="F5280" t="inlineStr">
        <is>
          <t>박창현</t>
        </is>
      </c>
      <c r="G5280" t="inlineStr">
        <is>
          <t>010-4072-1155</t>
        </is>
      </c>
      <c r="H5280" t="inlineStr">
        <is>
          <t>383저6002</t>
        </is>
      </c>
      <c r="I5280" t="n">
        <v>20000000</v>
      </c>
      <c r="J5280" t="n">
        <v>0.06900000000000001</v>
      </c>
      <c r="K5280" t="n">
        <v>1.1</v>
      </c>
      <c r="L5280" t="n">
        <v>0.14</v>
      </c>
      <c r="M5280" t="n">
        <v>0.96</v>
      </c>
      <c r="P5280" t="inlineStr">
        <is>
          <t>황채이</t>
        </is>
      </c>
      <c r="Q5280" t="inlineStr">
        <is>
          <t>홈서비스 72개월</t>
        </is>
      </c>
      <c r="AB5280" t="inlineStr">
        <is>
          <t>홈서비스</t>
        </is>
      </c>
      <c r="AC5280" t="n">
        <v>220000</v>
      </c>
      <c r="AD5280" t="n">
        <v>28000</v>
      </c>
      <c r="AE5280" t="n">
        <v>192000</v>
      </c>
      <c r="AF5280" t="n">
        <v>200000</v>
      </c>
      <c r="AG5280" t="n">
        <v>27076</v>
      </c>
      <c r="AH5280" t="n">
        <v>172924</v>
      </c>
      <c r="AI5280" t="n">
        <v>0</v>
      </c>
    </row>
    <row r="5281">
      <c r="A5281" t="inlineStr">
        <is>
          <t>6월</t>
        </is>
      </c>
      <c r="B5281" t="inlineStr">
        <is>
          <t>24주차</t>
        </is>
      </c>
      <c r="C5281" t="inlineStr">
        <is>
          <t>EP</t>
        </is>
      </c>
      <c r="D5281" s="28" t="n">
        <v>46185</v>
      </c>
      <c r="E5281" t="inlineStr">
        <is>
          <t>현대EP_fast</t>
        </is>
      </c>
      <c r="F5281" t="inlineStr">
        <is>
          <t>손세욱</t>
        </is>
      </c>
      <c r="G5281" t="inlineStr">
        <is>
          <t>010-9417-7399</t>
        </is>
      </c>
      <c r="H5281" t="inlineStr">
        <is>
          <t>57어1748</t>
        </is>
      </c>
      <c r="I5281" t="n">
        <v>24300000</v>
      </c>
      <c r="J5281" t="n">
        <v>0.093</v>
      </c>
      <c r="K5281" t="n">
        <v>1.76</v>
      </c>
      <c r="L5281" t="n">
        <v>0.14</v>
      </c>
      <c r="M5281" t="n">
        <v>1.62</v>
      </c>
      <c r="P5281" t="inlineStr">
        <is>
          <t>박소현</t>
        </is>
      </c>
      <c r="Q5281" t="inlineStr">
        <is>
          <t>홈서비스 60개월</t>
        </is>
      </c>
      <c r="AB5281" t="inlineStr">
        <is>
          <t>홈서비스</t>
        </is>
      </c>
      <c r="AC5281" t="n">
        <v>427680</v>
      </c>
      <c r="AD5281" t="n">
        <v>34020</v>
      </c>
      <c r="AE5281" t="n">
        <v>393660</v>
      </c>
      <c r="AF5281" t="n">
        <v>388800</v>
      </c>
      <c r="AG5281" t="n">
        <v>32897.34</v>
      </c>
      <c r="AH5281" t="n">
        <v>355902.66</v>
      </c>
    </row>
    <row r="5282">
      <c r="A5282" t="inlineStr">
        <is>
          <t>6월</t>
        </is>
      </c>
      <c r="B5282" t="inlineStr">
        <is>
          <t>24주차</t>
        </is>
      </c>
      <c r="C5282" t="inlineStr">
        <is>
          <t>EP</t>
        </is>
      </c>
      <c r="D5282" s="28" t="n">
        <v>46185</v>
      </c>
      <c r="E5282" t="inlineStr">
        <is>
          <t>현대EP_fast</t>
        </is>
      </c>
      <c r="F5282" t="inlineStr">
        <is>
          <t>손영승</t>
        </is>
      </c>
      <c r="G5282" t="inlineStr">
        <is>
          <t>010-4878-4806</t>
        </is>
      </c>
      <c r="H5282" t="inlineStr">
        <is>
          <t>03조8759</t>
        </is>
      </c>
      <c r="I5282" t="n">
        <v>17700000</v>
      </c>
      <c r="J5282" t="n">
        <v>0.07000000000000001</v>
      </c>
      <c r="K5282" t="n">
        <v>1.76</v>
      </c>
      <c r="L5282" t="n">
        <v>0.14</v>
      </c>
      <c r="M5282" t="n">
        <v>1.62</v>
      </c>
      <c r="P5282" t="inlineStr">
        <is>
          <t>김나윤</t>
        </is>
      </c>
      <c r="Q5282" t="inlineStr">
        <is>
          <t>홈서비스 60개월</t>
        </is>
      </c>
      <c r="AB5282" t="inlineStr">
        <is>
          <t>홈서비스</t>
        </is>
      </c>
      <c r="AC5282" t="n">
        <v>311520</v>
      </c>
      <c r="AD5282" t="n">
        <v>24780</v>
      </c>
      <c r="AE5282" t="n">
        <v>286740</v>
      </c>
      <c r="AF5282" t="n">
        <v>283200</v>
      </c>
      <c r="AG5282" t="n">
        <v>23962.26</v>
      </c>
      <c r="AH5282" t="n">
        <v>259237.74</v>
      </c>
    </row>
    <row r="5283">
      <c r="A5283" t="inlineStr">
        <is>
          <t>6월</t>
        </is>
      </c>
      <c r="B5283" t="inlineStr">
        <is>
          <t>24주차</t>
        </is>
      </c>
      <c r="C5283" t="inlineStr">
        <is>
          <t>IM</t>
        </is>
      </c>
      <c r="D5283" s="28" t="n">
        <v>46185</v>
      </c>
      <c r="E5283" t="inlineStr">
        <is>
          <t>IM캐피탈</t>
        </is>
      </c>
      <c r="F5283" t="inlineStr">
        <is>
          <t>유재웅</t>
        </is>
      </c>
      <c r="G5283" t="inlineStr">
        <is>
          <t>010-2251-7560</t>
        </is>
      </c>
      <c r="H5283" t="inlineStr">
        <is>
          <t>177수9835</t>
        </is>
      </c>
      <c r="I5283" t="n">
        <v>29500000</v>
      </c>
      <c r="J5283" t="n">
        <v>0.06900000000000001</v>
      </c>
      <c r="K5283" t="n">
        <v>1.1</v>
      </c>
      <c r="L5283" t="n">
        <v>0.14</v>
      </c>
      <c r="M5283" t="n">
        <v>0.96</v>
      </c>
      <c r="P5283" t="inlineStr">
        <is>
          <t>박보람</t>
        </is>
      </c>
      <c r="Q5283" t="inlineStr">
        <is>
          <t>poc진행건 선상담 장진경</t>
        </is>
      </c>
      <c r="AB5283" t="inlineStr">
        <is>
          <t>홈서비스</t>
        </is>
      </c>
      <c r="AC5283" t="n">
        <v>324500</v>
      </c>
      <c r="AD5283" t="n">
        <v>41300</v>
      </c>
      <c r="AE5283" t="n">
        <v>283200</v>
      </c>
      <c r="AF5283" t="n">
        <v>295000</v>
      </c>
      <c r="AG5283" t="n">
        <v>39937.1</v>
      </c>
      <c r="AH5283" t="n">
        <v>255062.9</v>
      </c>
      <c r="AI5283" t="n">
        <v>0</v>
      </c>
    </row>
    <row r="5284">
      <c r="A5284" t="inlineStr">
        <is>
          <t>6월</t>
        </is>
      </c>
      <c r="B5284" t="inlineStr">
        <is>
          <t>24주차</t>
        </is>
      </c>
      <c r="C5284" t="inlineStr">
        <is>
          <t>EP</t>
        </is>
      </c>
      <c r="D5284" s="28" t="n">
        <v>46185</v>
      </c>
      <c r="E5284" t="inlineStr">
        <is>
          <t>제이비EP</t>
        </is>
      </c>
      <c r="F5284" t="inlineStr">
        <is>
          <t>김정훈</t>
        </is>
      </c>
      <c r="G5284" t="inlineStr">
        <is>
          <t>010-9545-4730</t>
        </is>
      </c>
      <c r="H5284" t="inlineStr">
        <is>
          <t>51우8027</t>
        </is>
      </c>
      <c r="I5284" t="n">
        <v>23500000</v>
      </c>
      <c r="J5284" t="n">
        <v>0.07199999999999999</v>
      </c>
      <c r="K5284" t="n">
        <v>1.65</v>
      </c>
      <c r="L5284" t="n">
        <v>0.14</v>
      </c>
      <c r="M5284" t="n">
        <v>1.51</v>
      </c>
      <c r="P5284" t="inlineStr">
        <is>
          <t>정세빈</t>
        </is>
      </c>
      <c r="Q5284" t="inlineStr">
        <is>
          <t>홈서비스 60개월</t>
        </is>
      </c>
      <c r="AB5284" t="inlineStr">
        <is>
          <t>홈서비스</t>
        </is>
      </c>
      <c r="AC5284" t="n">
        <v>387750</v>
      </c>
      <c r="AD5284" t="n">
        <v>32900</v>
      </c>
      <c r="AE5284" t="n">
        <v>354850</v>
      </c>
      <c r="AF5284" t="n">
        <v>352500</v>
      </c>
      <c r="AG5284" t="n">
        <v>31814.3</v>
      </c>
      <c r="AH5284" t="n">
        <v>320685.7</v>
      </c>
    </row>
    <row r="5285">
      <c r="A5285" t="inlineStr">
        <is>
          <t>6월</t>
        </is>
      </c>
      <c r="B5285" t="inlineStr">
        <is>
          <t>24주차</t>
        </is>
      </c>
      <c r="C5285" t="inlineStr">
        <is>
          <t>EP</t>
        </is>
      </c>
      <c r="D5285" s="28" t="n">
        <v>46185</v>
      </c>
      <c r="E5285" t="inlineStr">
        <is>
          <t>현대EP_fast</t>
        </is>
      </c>
      <c r="F5285" t="inlineStr">
        <is>
          <t>윤승노</t>
        </is>
      </c>
      <c r="G5285" t="inlineStr">
        <is>
          <t>010-9357-4092</t>
        </is>
      </c>
      <c r="H5285" t="inlineStr">
        <is>
          <t>226소7538</t>
        </is>
      </c>
      <c r="I5285" t="n">
        <v>30000000</v>
      </c>
      <c r="J5285" t="n">
        <v>0.142</v>
      </c>
      <c r="K5285" t="n">
        <v>1.76</v>
      </c>
      <c r="L5285" t="n">
        <v>0.4</v>
      </c>
      <c r="M5285" t="n">
        <v>1.36</v>
      </c>
      <c r="P5285" t="inlineStr">
        <is>
          <t>장진경</t>
        </is>
      </c>
      <c r="AB5285" t="inlineStr">
        <is>
          <t>엔카</t>
        </is>
      </c>
      <c r="AC5285" t="n">
        <v>528000</v>
      </c>
      <c r="AD5285" t="n">
        <v>120000</v>
      </c>
      <c r="AE5285" t="n">
        <v>408000</v>
      </c>
      <c r="AF5285" t="n">
        <v>480000</v>
      </c>
      <c r="AG5285" t="n">
        <v>116040</v>
      </c>
      <c r="AH5285" t="n">
        <v>363960</v>
      </c>
      <c r="AI5285" t="n">
        <v>0</v>
      </c>
    </row>
    <row r="5286">
      <c r="A5286" t="inlineStr">
        <is>
          <t>6월</t>
        </is>
      </c>
      <c r="B5286" t="inlineStr">
        <is>
          <t>24주차</t>
        </is>
      </c>
      <c r="C5286" t="inlineStr">
        <is>
          <t>WC</t>
        </is>
      </c>
      <c r="D5286" s="28" t="n">
        <v>46185</v>
      </c>
      <c r="E5286" t="inlineStr">
        <is>
          <t>웰컴저축은행</t>
        </is>
      </c>
      <c r="F5286" t="inlineStr">
        <is>
          <t>김시현</t>
        </is>
      </c>
      <c r="G5286" t="inlineStr">
        <is>
          <t>010-3987-9994</t>
        </is>
      </c>
      <c r="H5286" t="inlineStr">
        <is>
          <t>371라2417</t>
        </is>
      </c>
      <c r="I5286" t="n">
        <v>12900000</v>
      </c>
      <c r="J5286" t="n">
        <v>0.166</v>
      </c>
      <c r="K5286" t="n">
        <v>2.2</v>
      </c>
      <c r="L5286" t="n">
        <v>0.14</v>
      </c>
      <c r="M5286" t="n">
        <v>2.06</v>
      </c>
      <c r="P5286" t="inlineStr">
        <is>
          <t>정세빈</t>
        </is>
      </c>
      <c r="Q5286" t="inlineStr">
        <is>
          <t xml:space="preserve">홈서비스 72개월 </t>
        </is>
      </c>
      <c r="AB5286" t="inlineStr">
        <is>
          <t>홈서비스</t>
        </is>
      </c>
      <c r="AC5286" t="n">
        <v>283800</v>
      </c>
      <c r="AD5286" t="n">
        <v>18060</v>
      </c>
      <c r="AE5286" t="n">
        <v>265740</v>
      </c>
      <c r="AF5286" t="n">
        <v>258000</v>
      </c>
      <c r="AG5286" t="n">
        <v>17464.02</v>
      </c>
      <c r="AH5286" t="n">
        <v>240535.98</v>
      </c>
    </row>
    <row r="5287">
      <c r="A5287" t="inlineStr">
        <is>
          <t>6월</t>
        </is>
      </c>
      <c r="B5287" t="inlineStr">
        <is>
          <t>24주차</t>
        </is>
      </c>
      <c r="C5287" t="inlineStr">
        <is>
          <t>WR</t>
        </is>
      </c>
      <c r="D5287" s="28" t="n">
        <v>46185</v>
      </c>
      <c r="E5287" t="inlineStr">
        <is>
          <t>우리금융</t>
        </is>
      </c>
      <c r="F5287" t="inlineStr">
        <is>
          <t>오진웅</t>
        </is>
      </c>
      <c r="G5287" t="inlineStr">
        <is>
          <t>010-7756-0345</t>
        </is>
      </c>
      <c r="H5287" t="inlineStr">
        <is>
          <t>279두7082</t>
        </is>
      </c>
      <c r="I5287" t="n">
        <v>17000000</v>
      </c>
      <c r="J5287" t="n">
        <v>0.099</v>
      </c>
      <c r="K5287" t="n">
        <v>2.2</v>
      </c>
      <c r="L5287" t="n">
        <v>0.4</v>
      </c>
      <c r="M5287" t="n">
        <v>1.8</v>
      </c>
      <c r="P5287" t="inlineStr">
        <is>
          <t>장진경</t>
        </is>
      </c>
      <c r="AB5287" t="inlineStr">
        <is>
          <t>엔카</t>
        </is>
      </c>
      <c r="AC5287" t="n">
        <v>374000</v>
      </c>
      <c r="AD5287" t="n">
        <v>68000</v>
      </c>
      <c r="AE5287" t="n">
        <v>306000</v>
      </c>
      <c r="AF5287" t="n">
        <v>340000</v>
      </c>
      <c r="AG5287" t="n">
        <v>65756</v>
      </c>
      <c r="AH5287" t="n">
        <v>274244</v>
      </c>
    </row>
    <row r="5288">
      <c r="A5288" t="inlineStr">
        <is>
          <t>6월</t>
        </is>
      </c>
      <c r="B5288" t="inlineStr">
        <is>
          <t>24주차</t>
        </is>
      </c>
      <c r="C5288" t="inlineStr">
        <is>
          <t>EP</t>
        </is>
      </c>
      <c r="D5288" s="28" t="n">
        <v>46185</v>
      </c>
      <c r="E5288" t="inlineStr">
        <is>
          <t>제이비EP</t>
        </is>
      </c>
      <c r="F5288" t="inlineStr">
        <is>
          <t>박윤</t>
        </is>
      </c>
      <c r="G5288" t="inlineStr">
        <is>
          <t>010-4707-2642</t>
        </is>
      </c>
      <c r="H5288" t="inlineStr">
        <is>
          <t>71소7073</t>
        </is>
      </c>
      <c r="I5288" t="n">
        <v>3500000</v>
      </c>
      <c r="J5288" t="n">
        <v>0.079</v>
      </c>
      <c r="K5288" t="n">
        <v>1.65</v>
      </c>
      <c r="L5288" t="n">
        <v>0.4</v>
      </c>
      <c r="M5288" t="n">
        <v>1.25</v>
      </c>
      <c r="P5288" t="inlineStr">
        <is>
          <t>구성완</t>
        </is>
      </c>
      <c r="Q5288" t="inlineStr">
        <is>
          <t>공동명의</t>
        </is>
      </c>
      <c r="AB5288" t="inlineStr">
        <is>
          <t>엔카</t>
        </is>
      </c>
      <c r="AC5288" t="n">
        <v>57750</v>
      </c>
      <c r="AD5288" t="n">
        <v>14000</v>
      </c>
      <c r="AE5288" t="n">
        <v>43750</v>
      </c>
      <c r="AF5288" t="n">
        <v>52500</v>
      </c>
      <c r="AG5288" t="n">
        <v>13538</v>
      </c>
      <c r="AH5288" t="n">
        <v>38962</v>
      </c>
    </row>
    <row r="5289">
      <c r="A5289" t="inlineStr">
        <is>
          <t>6월</t>
        </is>
      </c>
      <c r="B5289" t="inlineStr">
        <is>
          <t>24주차</t>
        </is>
      </c>
      <c r="C5289" t="inlineStr">
        <is>
          <t>IM</t>
        </is>
      </c>
      <c r="D5289" s="28" t="n">
        <v>46185</v>
      </c>
      <c r="E5289" t="inlineStr">
        <is>
          <t>IM캐피탈</t>
        </is>
      </c>
      <c r="F5289" t="inlineStr">
        <is>
          <t>지익준</t>
        </is>
      </c>
      <c r="G5289" t="inlineStr">
        <is>
          <t>010-5123-3368</t>
        </is>
      </c>
      <c r="H5289" t="inlineStr">
        <is>
          <t>11너0343</t>
        </is>
      </c>
      <c r="I5289" t="n">
        <v>18300000</v>
      </c>
      <c r="J5289" t="n">
        <v>0.059</v>
      </c>
      <c r="K5289" t="n">
        <v>1.1</v>
      </c>
      <c r="L5289" t="n">
        <v>0.14</v>
      </c>
      <c r="M5289" t="n">
        <v>0.96</v>
      </c>
      <c r="P5289" t="inlineStr">
        <is>
          <t>박소현</t>
        </is>
      </c>
      <c r="Q5289" t="inlineStr">
        <is>
          <t xml:space="preserve">홈서비스 24개월 </t>
        </is>
      </c>
      <c r="AB5289" t="inlineStr">
        <is>
          <t>홈서비스</t>
        </is>
      </c>
      <c r="AC5289" t="n">
        <v>201300</v>
      </c>
      <c r="AD5289" t="n">
        <v>25620</v>
      </c>
      <c r="AE5289" t="n">
        <v>175680</v>
      </c>
      <c r="AF5289" t="n">
        <v>183000</v>
      </c>
      <c r="AG5289" t="n">
        <v>24774.54</v>
      </c>
      <c r="AH5289" t="n">
        <v>158225.46</v>
      </c>
      <c r="AI5289" t="n">
        <v>0</v>
      </c>
    </row>
    <row r="5290">
      <c r="A5290" t="inlineStr">
        <is>
          <t>6월</t>
        </is>
      </c>
      <c r="B5290" t="inlineStr">
        <is>
          <t>24주차</t>
        </is>
      </c>
      <c r="C5290" t="inlineStr">
        <is>
          <t>EP</t>
        </is>
      </c>
      <c r="D5290" s="28" t="n">
        <v>46185</v>
      </c>
      <c r="E5290" t="inlineStr">
        <is>
          <t>현대EP_fast</t>
        </is>
      </c>
      <c r="F5290" t="inlineStr">
        <is>
          <t>강효진</t>
        </is>
      </c>
      <c r="G5290" t="inlineStr">
        <is>
          <t>010-5687-8585</t>
        </is>
      </c>
      <c r="H5290" t="inlineStr">
        <is>
          <t>194러5362</t>
        </is>
      </c>
      <c r="I5290" t="n">
        <v>16400000</v>
      </c>
      <c r="J5290" t="n">
        <v>0.06900000000000001</v>
      </c>
      <c r="K5290" t="n">
        <v>1.76</v>
      </c>
      <c r="L5290" t="n">
        <v>0.4</v>
      </c>
      <c r="M5290" t="n">
        <v>1.36</v>
      </c>
      <c r="P5290" t="inlineStr">
        <is>
          <t>최혁</t>
        </is>
      </c>
      <c r="AB5290" t="inlineStr">
        <is>
          <t>엔카</t>
        </is>
      </c>
      <c r="AC5290" t="n">
        <v>288640</v>
      </c>
      <c r="AD5290" t="n">
        <v>65600</v>
      </c>
      <c r="AE5290" t="n">
        <v>223040</v>
      </c>
      <c r="AF5290" t="n">
        <v>262400</v>
      </c>
      <c r="AG5290" t="n">
        <v>63435.2</v>
      </c>
      <c r="AH5290" t="n">
        <v>198964.8</v>
      </c>
      <c r="AI5290" t="n">
        <v>0</v>
      </c>
    </row>
    <row r="5291">
      <c r="A5291" t="inlineStr">
        <is>
          <t>6월</t>
        </is>
      </c>
      <c r="B5291" t="inlineStr">
        <is>
          <t>24주차</t>
        </is>
      </c>
      <c r="C5291" t="inlineStr">
        <is>
          <t>WC</t>
        </is>
      </c>
      <c r="D5291" s="28" t="n">
        <v>46185</v>
      </c>
      <c r="E5291" t="inlineStr">
        <is>
          <t>웰컴저축은행</t>
        </is>
      </c>
      <c r="F5291" t="inlineStr">
        <is>
          <t>강현석</t>
        </is>
      </c>
      <c r="G5291" t="inlineStr">
        <is>
          <t>010-9179-9726</t>
        </is>
      </c>
      <c r="H5291" t="inlineStr">
        <is>
          <t>45보3318</t>
        </is>
      </c>
      <c r="I5291" t="n">
        <v>7900000</v>
      </c>
      <c r="J5291" t="n">
        <v>0.13</v>
      </c>
      <c r="K5291" t="n">
        <v>2.2</v>
      </c>
      <c r="L5291" t="n">
        <v>0.14</v>
      </c>
      <c r="M5291" t="n">
        <v>2.06</v>
      </c>
      <c r="P5291" t="inlineStr">
        <is>
          <t>박소현</t>
        </is>
      </c>
      <c r="Q5291" t="inlineStr">
        <is>
          <t>홈서비스 60개월</t>
        </is>
      </c>
      <c r="AB5291" t="inlineStr">
        <is>
          <t>홈서비스</t>
        </is>
      </c>
      <c r="AC5291" t="n">
        <v>173800</v>
      </c>
      <c r="AD5291" t="n">
        <v>11060</v>
      </c>
      <c r="AE5291" t="n">
        <v>162740</v>
      </c>
      <c r="AF5291" t="n">
        <v>158000</v>
      </c>
      <c r="AG5291" t="n">
        <v>10695.02</v>
      </c>
      <c r="AH5291" t="n">
        <v>147304.98</v>
      </c>
      <c r="AI5291" t="n">
        <v>0</v>
      </c>
    </row>
    <row r="5292">
      <c r="A5292" t="inlineStr">
        <is>
          <t>6월</t>
        </is>
      </c>
      <c r="B5292" t="inlineStr">
        <is>
          <t>24주차</t>
        </is>
      </c>
      <c r="C5292" t="inlineStr">
        <is>
          <t>IM</t>
        </is>
      </c>
      <c r="D5292" s="28" t="n">
        <v>46185</v>
      </c>
      <c r="E5292" t="inlineStr">
        <is>
          <t>IM캐피탈</t>
        </is>
      </c>
      <c r="F5292" t="inlineStr">
        <is>
          <t>홍정아</t>
        </is>
      </c>
      <c r="G5292" t="inlineStr">
        <is>
          <t>010-9943-5955</t>
        </is>
      </c>
      <c r="H5292" t="inlineStr">
        <is>
          <t>202라9545</t>
        </is>
      </c>
      <c r="I5292" t="n">
        <v>15000000</v>
      </c>
      <c r="J5292" t="n">
        <v>0.063</v>
      </c>
      <c r="K5292" t="n">
        <v>1.1</v>
      </c>
      <c r="L5292" t="n">
        <v>0.4</v>
      </c>
      <c r="M5292" t="n">
        <v>0.7</v>
      </c>
      <c r="P5292" t="inlineStr">
        <is>
          <t>장진경</t>
        </is>
      </c>
      <c r="Q5292" t="inlineStr">
        <is>
          <t xml:space="preserve">부대비용 추가진행 </t>
        </is>
      </c>
      <c r="AB5292" t="inlineStr">
        <is>
          <t>엔카</t>
        </is>
      </c>
      <c r="AC5292" t="n">
        <v>165000</v>
      </c>
      <c r="AD5292" t="n">
        <v>60000</v>
      </c>
      <c r="AE5292" t="n">
        <v>105000</v>
      </c>
      <c r="AF5292" t="n">
        <v>150000</v>
      </c>
      <c r="AG5292" t="n">
        <v>58020</v>
      </c>
      <c r="AH5292" t="n">
        <v>91980</v>
      </c>
      <c r="AI5292" t="n">
        <v>0</v>
      </c>
    </row>
    <row r="5293">
      <c r="A5293" t="inlineStr">
        <is>
          <t>6월</t>
        </is>
      </c>
      <c r="B5293" t="inlineStr">
        <is>
          <t>24주차</t>
        </is>
      </c>
      <c r="C5293" t="inlineStr">
        <is>
          <t>EP</t>
        </is>
      </c>
      <c r="D5293" s="28" t="n">
        <v>46185</v>
      </c>
      <c r="E5293" t="inlineStr">
        <is>
          <t>BNKEP</t>
        </is>
      </c>
      <c r="F5293" t="inlineStr">
        <is>
          <t>조용재</t>
        </is>
      </c>
      <c r="G5293" t="inlineStr">
        <is>
          <t>010-3387-4653</t>
        </is>
      </c>
      <c r="H5293" t="inlineStr">
        <is>
          <t>229더1775</t>
        </is>
      </c>
      <c r="I5293" t="n">
        <v>34600000</v>
      </c>
      <c r="J5293" t="n">
        <v>0.094</v>
      </c>
      <c r="K5293" t="n">
        <v>1.65</v>
      </c>
      <c r="L5293" t="n">
        <v>0.4</v>
      </c>
      <c r="M5293" t="n">
        <v>1.25</v>
      </c>
      <c r="P5293" t="inlineStr">
        <is>
          <t>구성완</t>
        </is>
      </c>
      <c r="Q5293" t="inlineStr">
        <is>
          <t xml:space="preserve">부대비용 추가진행 </t>
        </is>
      </c>
      <c r="AB5293" t="inlineStr">
        <is>
          <t>엔카</t>
        </is>
      </c>
      <c r="AC5293" t="n">
        <v>570900</v>
      </c>
      <c r="AD5293" t="n">
        <v>138400</v>
      </c>
      <c r="AE5293" t="n">
        <v>432500</v>
      </c>
      <c r="AF5293" t="n">
        <v>519000</v>
      </c>
      <c r="AG5293" t="n">
        <v>133832.8</v>
      </c>
      <c r="AH5293" t="n">
        <v>385167.2</v>
      </c>
    </row>
    <row r="5294">
      <c r="A5294" t="inlineStr">
        <is>
          <t>6월</t>
        </is>
      </c>
      <c r="B5294" t="inlineStr">
        <is>
          <t>24주차</t>
        </is>
      </c>
      <c r="C5294" t="inlineStr">
        <is>
          <t>IM</t>
        </is>
      </c>
      <c r="D5294" s="28" t="n">
        <v>46185</v>
      </c>
      <c r="E5294" t="inlineStr">
        <is>
          <t>IM캐피탈</t>
        </is>
      </c>
      <c r="F5294" t="inlineStr">
        <is>
          <t>정현영</t>
        </is>
      </c>
      <c r="G5294" t="inlineStr">
        <is>
          <t>010-7774-5156</t>
        </is>
      </c>
      <c r="H5294" t="inlineStr">
        <is>
          <t>123조9204</t>
        </is>
      </c>
      <c r="I5294" t="n">
        <v>9000000</v>
      </c>
      <c r="J5294" t="n">
        <v>0.076</v>
      </c>
      <c r="K5294" t="n">
        <v>1.1</v>
      </c>
      <c r="L5294" t="n">
        <v>0.4</v>
      </c>
      <c r="M5294" t="n">
        <v>0.7</v>
      </c>
      <c r="P5294" t="inlineStr">
        <is>
          <t>최혁</t>
        </is>
      </c>
      <c r="AB5294" t="inlineStr">
        <is>
          <t>엔카</t>
        </is>
      </c>
      <c r="AC5294" t="n">
        <v>99000</v>
      </c>
      <c r="AD5294" t="n">
        <v>36000</v>
      </c>
      <c r="AE5294" t="n">
        <v>63000</v>
      </c>
      <c r="AF5294" t="n">
        <v>90000</v>
      </c>
      <c r="AG5294" t="n">
        <v>34812</v>
      </c>
      <c r="AH5294" t="n">
        <v>55188</v>
      </c>
    </row>
    <row r="5295">
      <c r="A5295" t="inlineStr">
        <is>
          <t>6월</t>
        </is>
      </c>
      <c r="B5295" t="inlineStr">
        <is>
          <t>24주차</t>
        </is>
      </c>
      <c r="C5295" t="inlineStr">
        <is>
          <t>WC</t>
        </is>
      </c>
      <c r="D5295" s="28" t="n">
        <v>46185</v>
      </c>
      <c r="E5295" t="inlineStr">
        <is>
          <t>웰컴저축은행</t>
        </is>
      </c>
      <c r="F5295" t="inlineStr">
        <is>
          <t>이가은</t>
        </is>
      </c>
      <c r="G5295" t="inlineStr">
        <is>
          <t>010-6302-1237</t>
        </is>
      </c>
      <c r="H5295" t="inlineStr">
        <is>
          <t>356저5202</t>
        </is>
      </c>
      <c r="I5295" t="n">
        <v>25000000</v>
      </c>
      <c r="J5295" t="n">
        <v>0.189</v>
      </c>
      <c r="K5295" t="n">
        <v>2.2</v>
      </c>
      <c r="L5295" t="n">
        <v>0.14</v>
      </c>
      <c r="M5295" t="n">
        <v>2.06</v>
      </c>
      <c r="P5295" t="inlineStr">
        <is>
          <t>박소현</t>
        </is>
      </c>
      <c r="Q5295" t="inlineStr">
        <is>
          <t>홈서비스 60개월</t>
        </is>
      </c>
      <c r="AB5295" t="inlineStr">
        <is>
          <t>홈서비스</t>
        </is>
      </c>
      <c r="AC5295" t="n">
        <v>550000</v>
      </c>
      <c r="AD5295" t="n">
        <v>35000</v>
      </c>
      <c r="AE5295" t="n">
        <v>515000</v>
      </c>
      <c r="AF5295" t="n">
        <v>500000</v>
      </c>
      <c r="AG5295" t="n">
        <v>33845</v>
      </c>
      <c r="AH5295" t="n">
        <v>466155</v>
      </c>
      <c r="AI5295" t="n">
        <v>0</v>
      </c>
    </row>
    <row r="5296">
      <c r="A5296" t="inlineStr">
        <is>
          <t>6월</t>
        </is>
      </c>
      <c r="B5296" t="inlineStr">
        <is>
          <t>24주차</t>
        </is>
      </c>
      <c r="C5296" t="inlineStr">
        <is>
          <t>IM</t>
        </is>
      </c>
      <c r="D5296" s="28" t="n">
        <v>46185</v>
      </c>
      <c r="E5296" t="inlineStr">
        <is>
          <t>IM캐피탈</t>
        </is>
      </c>
      <c r="F5296" t="inlineStr">
        <is>
          <t>한영호</t>
        </is>
      </c>
      <c r="G5296" t="inlineStr">
        <is>
          <t>010-3944-5071</t>
        </is>
      </c>
      <c r="H5296" t="inlineStr">
        <is>
          <t>75라0937</t>
        </is>
      </c>
      <c r="I5296" t="n">
        <v>26600000</v>
      </c>
      <c r="J5296" t="n">
        <v>0.059</v>
      </c>
      <c r="K5296" t="n">
        <v>1.1</v>
      </c>
      <c r="L5296" t="n">
        <v>0.14</v>
      </c>
      <c r="M5296" t="n">
        <v>0.96</v>
      </c>
      <c r="P5296" t="inlineStr">
        <is>
          <t>정하은</t>
        </is>
      </c>
      <c r="Q5296" t="inlineStr">
        <is>
          <t>홈서비스84개월/부대비용추가진행</t>
        </is>
      </c>
      <c r="AB5296" t="inlineStr">
        <is>
          <t>홈서비스</t>
        </is>
      </c>
      <c r="AC5296" t="n">
        <v>292600</v>
      </c>
      <c r="AD5296" t="n">
        <v>37240</v>
      </c>
      <c r="AE5296" t="n">
        <v>255360</v>
      </c>
      <c r="AF5296" t="n">
        <v>266000</v>
      </c>
      <c r="AG5296" t="n">
        <v>36011.08</v>
      </c>
      <c r="AH5296" t="n">
        <v>229988.92</v>
      </c>
      <c r="AI5296" t="n">
        <v>0</v>
      </c>
    </row>
    <row r="5297">
      <c r="A5297" t="inlineStr">
        <is>
          <t>6월</t>
        </is>
      </c>
      <c r="B5297" t="inlineStr">
        <is>
          <t>24주차</t>
        </is>
      </c>
      <c r="C5297" t="inlineStr">
        <is>
          <t>IM</t>
        </is>
      </c>
      <c r="D5297" s="28" t="n">
        <v>46185</v>
      </c>
      <c r="E5297" t="inlineStr">
        <is>
          <t>IM캐피탈</t>
        </is>
      </c>
      <c r="F5297" t="inlineStr">
        <is>
          <t>이승헌</t>
        </is>
      </c>
      <c r="G5297" t="inlineStr">
        <is>
          <t>010-9580-9857</t>
        </is>
      </c>
      <c r="H5297" t="inlineStr">
        <is>
          <t>108수1826</t>
        </is>
      </c>
      <c r="I5297" t="n">
        <v>11900000</v>
      </c>
      <c r="J5297" t="n">
        <v>0.063</v>
      </c>
      <c r="K5297" t="n">
        <v>1.1</v>
      </c>
      <c r="L5297" t="n">
        <v>0.14</v>
      </c>
      <c r="M5297" t="n">
        <v>0.96</v>
      </c>
      <c r="P5297" t="inlineStr">
        <is>
          <t>황채이</t>
        </is>
      </c>
      <c r="Q5297" t="inlineStr">
        <is>
          <t>홈서비스 60개월</t>
        </is>
      </c>
      <c r="AB5297" t="inlineStr">
        <is>
          <t>홈서비스</t>
        </is>
      </c>
      <c r="AC5297" t="n">
        <v>130900</v>
      </c>
      <c r="AD5297" t="n">
        <v>16660</v>
      </c>
      <c r="AE5297" t="n">
        <v>114240</v>
      </c>
      <c r="AF5297" t="n">
        <v>119000</v>
      </c>
      <c r="AG5297" t="n">
        <v>16110.22</v>
      </c>
      <c r="AH5297" t="n">
        <v>102889.78</v>
      </c>
      <c r="AI5297" t="n">
        <v>0</v>
      </c>
    </row>
    <row r="5298">
      <c r="A5298" t="inlineStr">
        <is>
          <t>6월</t>
        </is>
      </c>
      <c r="B5298" t="inlineStr">
        <is>
          <t>24주차</t>
        </is>
      </c>
      <c r="C5298" t="inlineStr">
        <is>
          <t>EP</t>
        </is>
      </c>
      <c r="D5298" s="28" t="n">
        <v>46185</v>
      </c>
      <c r="E5298" t="inlineStr">
        <is>
          <t>BNKEP</t>
        </is>
      </c>
      <c r="F5298" t="inlineStr">
        <is>
          <t>김현서</t>
        </is>
      </c>
      <c r="G5298" t="inlineStr">
        <is>
          <t>010-5594-1723</t>
        </is>
      </c>
      <c r="H5298" t="inlineStr">
        <is>
          <t>207구1578</t>
        </is>
      </c>
      <c r="I5298" t="n">
        <v>4100000</v>
      </c>
      <c r="J5298" t="n">
        <v>0.067</v>
      </c>
      <c r="K5298" t="n">
        <v>1.65</v>
      </c>
      <c r="L5298" t="n">
        <v>0.14</v>
      </c>
      <c r="M5298" t="n">
        <v>1.51</v>
      </c>
      <c r="P5298" t="inlineStr">
        <is>
          <t>황채이</t>
        </is>
      </c>
      <c r="Q5298" t="inlineStr">
        <is>
          <t>홈서비스 60개월 / 부대비용 추가진행</t>
        </is>
      </c>
      <c r="AB5298" t="inlineStr">
        <is>
          <t>홈서비스</t>
        </is>
      </c>
      <c r="AC5298" t="n">
        <v>67650</v>
      </c>
      <c r="AD5298" t="n">
        <v>5740</v>
      </c>
      <c r="AE5298" t="n">
        <v>61910</v>
      </c>
      <c r="AF5298" t="n">
        <v>61500</v>
      </c>
      <c r="AG5298" t="n">
        <v>5550.58</v>
      </c>
      <c r="AH5298" t="n">
        <v>55949.42</v>
      </c>
      <c r="AI5298" t="n">
        <v>0</v>
      </c>
    </row>
    <row r="5299">
      <c r="A5299" t="inlineStr">
        <is>
          <t>6월</t>
        </is>
      </c>
      <c r="B5299" t="inlineStr">
        <is>
          <t>24주차</t>
        </is>
      </c>
      <c r="C5299" t="inlineStr">
        <is>
          <t>EP</t>
        </is>
      </c>
      <c r="D5299" s="28" t="n">
        <v>46185</v>
      </c>
      <c r="E5299" t="inlineStr">
        <is>
          <t>BNKEP</t>
        </is>
      </c>
      <c r="F5299" t="inlineStr">
        <is>
          <t>서영석</t>
        </is>
      </c>
      <c r="G5299" t="inlineStr">
        <is>
          <t>010-8255-2998</t>
        </is>
      </c>
      <c r="H5299" t="inlineStr">
        <is>
          <t>26오8911</t>
        </is>
      </c>
      <c r="I5299" t="n">
        <v>20000000</v>
      </c>
      <c r="J5299" t="n">
        <v>0.077</v>
      </c>
      <c r="K5299" t="n">
        <v>1.65</v>
      </c>
      <c r="L5299" t="n">
        <v>0.14</v>
      </c>
      <c r="M5299" t="n">
        <v>1.51</v>
      </c>
      <c r="P5299" t="inlineStr">
        <is>
          <t>황채이</t>
        </is>
      </c>
      <c r="Q5299" t="inlineStr">
        <is>
          <t>홈서비스 60개월 / 공동명의</t>
        </is>
      </c>
      <c r="AB5299" t="inlineStr">
        <is>
          <t>홈서비스</t>
        </is>
      </c>
      <c r="AC5299" t="n">
        <v>330000</v>
      </c>
      <c r="AD5299" t="n">
        <v>28000</v>
      </c>
      <c r="AE5299" t="n">
        <v>302000</v>
      </c>
      <c r="AF5299" t="n">
        <v>300000</v>
      </c>
      <c r="AG5299" t="n">
        <v>27076</v>
      </c>
      <c r="AH5299" t="n">
        <v>272924</v>
      </c>
      <c r="AI5299" t="n">
        <v>0</v>
      </c>
    </row>
    <row r="5300">
      <c r="A5300" t="inlineStr">
        <is>
          <t>6월</t>
        </is>
      </c>
      <c r="B5300" t="inlineStr">
        <is>
          <t>24주차</t>
        </is>
      </c>
      <c r="C5300" t="inlineStr">
        <is>
          <t>WC</t>
        </is>
      </c>
      <c r="D5300" s="28" t="n">
        <v>46185</v>
      </c>
      <c r="E5300" t="inlineStr">
        <is>
          <t>웰컴저축은행</t>
        </is>
      </c>
      <c r="F5300" t="inlineStr">
        <is>
          <t>이경수</t>
        </is>
      </c>
      <c r="G5300" t="inlineStr">
        <is>
          <t>010-2978-9999</t>
        </is>
      </c>
      <c r="H5300" t="inlineStr">
        <is>
          <t>113수3369</t>
        </is>
      </c>
      <c r="I5300" t="n">
        <v>25000000</v>
      </c>
      <c r="J5300" t="n">
        <v>0.154</v>
      </c>
      <c r="K5300" t="n">
        <v>2.2</v>
      </c>
      <c r="L5300" t="n">
        <v>0.14</v>
      </c>
      <c r="M5300" t="n">
        <v>2.06</v>
      </c>
      <c r="P5300" t="inlineStr">
        <is>
          <t>황채이</t>
        </is>
      </c>
      <c r="Q5300" t="inlineStr">
        <is>
          <t>홈서비스 60개월</t>
        </is>
      </c>
      <c r="AB5300" t="inlineStr">
        <is>
          <t>홈서비스</t>
        </is>
      </c>
      <c r="AC5300" t="n">
        <v>550000</v>
      </c>
      <c r="AD5300" t="n">
        <v>35000</v>
      </c>
      <c r="AE5300" t="n">
        <v>515000</v>
      </c>
      <c r="AF5300" t="n">
        <v>500000</v>
      </c>
      <c r="AG5300" t="n">
        <v>33845</v>
      </c>
      <c r="AH5300" t="n">
        <v>466155</v>
      </c>
      <c r="AI5300" t="n">
        <v>0</v>
      </c>
    </row>
    <row r="5301">
      <c r="A5301" t="inlineStr">
        <is>
          <t>6월</t>
        </is>
      </c>
      <c r="B5301" t="inlineStr">
        <is>
          <t>24주차</t>
        </is>
      </c>
      <c r="C5301" t="inlineStr">
        <is>
          <t>EP</t>
        </is>
      </c>
      <c r="D5301" s="28" t="n">
        <v>46185</v>
      </c>
      <c r="E5301" t="inlineStr">
        <is>
          <t>현대EP_fast</t>
        </is>
      </c>
      <c r="F5301" t="inlineStr">
        <is>
          <t>홍정경</t>
        </is>
      </c>
      <c r="G5301" t="inlineStr">
        <is>
          <t>010-7397-1088</t>
        </is>
      </c>
      <c r="H5301" t="inlineStr">
        <is>
          <t>82가0978</t>
        </is>
      </c>
      <c r="I5301" t="n">
        <v>12900000</v>
      </c>
      <c r="J5301" t="n">
        <v>0.093</v>
      </c>
      <c r="K5301" t="n">
        <v>1.76</v>
      </c>
      <c r="L5301" t="n">
        <v>0.14</v>
      </c>
      <c r="M5301" t="n">
        <v>1.62</v>
      </c>
      <c r="P5301" t="inlineStr">
        <is>
          <t>황채이</t>
        </is>
      </c>
      <c r="Q5301" t="inlineStr">
        <is>
          <t>홈서비스 60개월 / 공동명의</t>
        </is>
      </c>
      <c r="AB5301" t="inlineStr">
        <is>
          <t>홈서비스</t>
        </is>
      </c>
      <c r="AC5301" t="n">
        <v>227040</v>
      </c>
      <c r="AD5301" t="n">
        <v>18060</v>
      </c>
      <c r="AE5301" t="n">
        <v>208980</v>
      </c>
      <c r="AF5301" t="n">
        <v>206400</v>
      </c>
      <c r="AG5301" t="n">
        <v>17464.02</v>
      </c>
      <c r="AH5301" t="n">
        <v>188935.98</v>
      </c>
      <c r="AI5301" t="n">
        <v>0</v>
      </c>
    </row>
    <row r="5302">
      <c r="A5302" t="inlineStr">
        <is>
          <t>6월</t>
        </is>
      </c>
      <c r="B5302" t="inlineStr">
        <is>
          <t>24주차</t>
        </is>
      </c>
      <c r="C5302" t="inlineStr">
        <is>
          <t>IM</t>
        </is>
      </c>
      <c r="D5302" s="28" t="n">
        <v>46186</v>
      </c>
      <c r="E5302" t="inlineStr">
        <is>
          <t>IM캐피탈</t>
        </is>
      </c>
      <c r="F5302" t="inlineStr">
        <is>
          <t>이시안</t>
        </is>
      </c>
      <c r="G5302" t="inlineStr">
        <is>
          <t>010-9452-9212</t>
        </is>
      </c>
      <c r="H5302" t="inlineStr">
        <is>
          <t>399거6242</t>
        </is>
      </c>
      <c r="I5302" t="n">
        <v>42200000</v>
      </c>
      <c r="J5302" t="n">
        <v>0.049</v>
      </c>
      <c r="K5302" t="n">
        <v>1.1</v>
      </c>
      <c r="L5302" t="n">
        <v>0.4</v>
      </c>
      <c r="M5302" t="n">
        <v>0.7</v>
      </c>
      <c r="P5302" t="inlineStr">
        <is>
          <t>구성완</t>
        </is>
      </c>
      <c r="AB5302" t="inlineStr">
        <is>
          <t>엔카</t>
        </is>
      </c>
      <c r="AC5302" t="n">
        <v>464200</v>
      </c>
      <c r="AD5302" t="n">
        <v>168800</v>
      </c>
      <c r="AE5302" t="n">
        <v>295400</v>
      </c>
      <c r="AF5302" t="n">
        <v>422000</v>
      </c>
      <c r="AG5302" t="n">
        <v>163229.6</v>
      </c>
      <c r="AH5302" t="n">
        <v>258770.4</v>
      </c>
      <c r="AI5302" t="n">
        <v>0</v>
      </c>
    </row>
    <row r="5303">
      <c r="A5303" t="inlineStr">
        <is>
          <t>6월</t>
        </is>
      </c>
      <c r="B5303" t="inlineStr">
        <is>
          <t>24주차</t>
        </is>
      </c>
      <c r="C5303" t="inlineStr">
        <is>
          <t>EP</t>
        </is>
      </c>
      <c r="D5303" s="28" t="n">
        <v>46185</v>
      </c>
      <c r="E5303" t="inlineStr">
        <is>
          <t>제이비EP</t>
        </is>
      </c>
      <c r="F5303" t="inlineStr">
        <is>
          <t>윤차주</t>
        </is>
      </c>
      <c r="G5303" t="inlineStr">
        <is>
          <t>010-3874-5602</t>
        </is>
      </c>
      <c r="H5303" t="inlineStr">
        <is>
          <t>63주0541</t>
        </is>
      </c>
      <c r="I5303" t="n">
        <v>35000000</v>
      </c>
      <c r="J5303" t="n">
        <v>0.07199999999999999</v>
      </c>
      <c r="K5303" t="n">
        <v>1.65</v>
      </c>
      <c r="L5303" t="n">
        <v>0.4</v>
      </c>
      <c r="M5303" t="n">
        <v>1.25</v>
      </c>
      <c r="P5303" t="inlineStr">
        <is>
          <t>최혁</t>
        </is>
      </c>
      <c r="AB5303" t="inlineStr">
        <is>
          <t>엔카</t>
        </is>
      </c>
      <c r="AC5303" t="n">
        <v>577500</v>
      </c>
      <c r="AD5303" t="n">
        <v>140000</v>
      </c>
      <c r="AE5303" t="n">
        <v>437500</v>
      </c>
      <c r="AF5303" t="n">
        <v>525000</v>
      </c>
      <c r="AG5303" t="n">
        <v>135380</v>
      </c>
      <c r="AH5303" t="n">
        <v>389620</v>
      </c>
      <c r="AI5303" t="n">
        <v>0</v>
      </c>
    </row>
    <row r="5304">
      <c r="A5304" t="inlineStr">
        <is>
          <t>6월</t>
        </is>
      </c>
      <c r="B5304" t="inlineStr">
        <is>
          <t>24주차</t>
        </is>
      </c>
      <c r="C5304" t="inlineStr">
        <is>
          <t>EP</t>
        </is>
      </c>
      <c r="D5304" s="28" t="n">
        <v>46185</v>
      </c>
      <c r="E5304" t="inlineStr">
        <is>
          <t>현대EP</t>
        </is>
      </c>
      <c r="F5304" t="inlineStr">
        <is>
          <t>박태식</t>
        </is>
      </c>
      <c r="G5304" t="inlineStr">
        <is>
          <t>010-3426-7075</t>
        </is>
      </c>
      <c r="H5304" t="inlineStr">
        <is>
          <t>08저5483</t>
        </is>
      </c>
      <c r="I5304" t="n">
        <v>11500000</v>
      </c>
      <c r="J5304" t="n">
        <v>0.06900000000000001</v>
      </c>
      <c r="K5304" t="n">
        <v>1.76</v>
      </c>
      <c r="L5304" t="n">
        <v>0.14</v>
      </c>
      <c r="M5304" t="n">
        <v>1.62</v>
      </c>
      <c r="P5304" t="inlineStr">
        <is>
          <t>황채이</t>
        </is>
      </c>
      <c r="AB5304" t="inlineStr">
        <is>
          <t>홈서비스</t>
        </is>
      </c>
      <c r="AC5304" t="n">
        <v>202400</v>
      </c>
      <c r="AD5304" t="n">
        <v>16100</v>
      </c>
      <c r="AE5304" t="n">
        <v>186300</v>
      </c>
      <c r="AF5304" t="n">
        <v>184000</v>
      </c>
      <c r="AG5304" t="n">
        <v>15568.7</v>
      </c>
      <c r="AH5304" t="n">
        <v>168431.3</v>
      </c>
      <c r="AI5304" t="n">
        <v>0</v>
      </c>
    </row>
    <row r="5305">
      <c r="A5305" t="inlineStr">
        <is>
          <t>6월</t>
        </is>
      </c>
      <c r="B5305" t="inlineStr">
        <is>
          <t>24주차</t>
        </is>
      </c>
      <c r="C5305" t="inlineStr">
        <is>
          <t>EP</t>
        </is>
      </c>
      <c r="D5305" s="28" t="n">
        <v>46185</v>
      </c>
      <c r="E5305" t="inlineStr">
        <is>
          <t>현대EP</t>
        </is>
      </c>
      <c r="F5305" t="inlineStr">
        <is>
          <t>신희라</t>
        </is>
      </c>
      <c r="G5305" t="inlineStr">
        <is>
          <t>010-5899-8617</t>
        </is>
      </c>
      <c r="H5305" t="inlineStr">
        <is>
          <t>149저4529</t>
        </is>
      </c>
      <c r="I5305" t="n">
        <v>15900000</v>
      </c>
      <c r="J5305" t="n">
        <v>0.06900000000000001</v>
      </c>
      <c r="K5305" t="n">
        <v>1.76</v>
      </c>
      <c r="L5305" t="n">
        <v>0.14</v>
      </c>
      <c r="M5305" t="n">
        <v>1.62</v>
      </c>
      <c r="P5305" t="inlineStr">
        <is>
          <t>정세빈</t>
        </is>
      </c>
      <c r="AB5305" t="inlineStr">
        <is>
          <t>홈서비스</t>
        </is>
      </c>
      <c r="AC5305" t="n">
        <v>279840</v>
      </c>
      <c r="AD5305" t="n">
        <v>22260</v>
      </c>
      <c r="AE5305" t="n">
        <v>257580</v>
      </c>
      <c r="AF5305" t="n">
        <v>254400</v>
      </c>
      <c r="AG5305" t="n">
        <v>21525.42</v>
      </c>
      <c r="AH5305" t="n">
        <v>232874.58</v>
      </c>
      <c r="AI5305" t="n">
        <v>0</v>
      </c>
    </row>
    <row r="5306">
      <c r="A5306" t="inlineStr">
        <is>
          <t>6월</t>
        </is>
      </c>
      <c r="B5306" t="inlineStr">
        <is>
          <t>24주차</t>
        </is>
      </c>
      <c r="C5306" t="inlineStr">
        <is>
          <t>EP</t>
        </is>
      </c>
      <c r="D5306" s="28" t="n">
        <v>46185</v>
      </c>
      <c r="E5306" t="inlineStr">
        <is>
          <t>현대EP</t>
        </is>
      </c>
      <c r="F5306" t="inlineStr">
        <is>
          <t>윤현식</t>
        </is>
      </c>
      <c r="G5306" t="inlineStr">
        <is>
          <t>010-2214-1865</t>
        </is>
      </c>
      <c r="H5306" t="inlineStr">
        <is>
          <t>179누1894</t>
        </is>
      </c>
      <c r="I5306" t="n">
        <v>8900000</v>
      </c>
      <c r="J5306" t="n">
        <v>0.109</v>
      </c>
      <c r="K5306" t="n">
        <v>1.76</v>
      </c>
      <c r="L5306" t="n">
        <v>0.14</v>
      </c>
      <c r="M5306" t="n">
        <v>1.62</v>
      </c>
      <c r="P5306" t="inlineStr">
        <is>
          <t>정세빈</t>
        </is>
      </c>
      <c r="AB5306" t="inlineStr">
        <is>
          <t>홈서비스</t>
        </is>
      </c>
      <c r="AC5306" t="n">
        <v>156640</v>
      </c>
      <c r="AD5306" t="n">
        <v>12460</v>
      </c>
      <c r="AE5306" t="n">
        <v>144180</v>
      </c>
      <c r="AF5306" t="n">
        <v>142400</v>
      </c>
      <c r="AG5306" t="n">
        <v>12048.82</v>
      </c>
      <c r="AH5306" t="n">
        <v>130351.18</v>
      </c>
    </row>
    <row r="5307">
      <c r="A5307" t="inlineStr">
        <is>
          <t>6월</t>
        </is>
      </c>
      <c r="B5307" t="inlineStr">
        <is>
          <t>24주차</t>
        </is>
      </c>
      <c r="C5307" t="inlineStr">
        <is>
          <t>EP</t>
        </is>
      </c>
      <c r="D5307" s="28" t="n">
        <v>46185</v>
      </c>
      <c r="E5307" t="inlineStr">
        <is>
          <t>현대EP</t>
        </is>
      </c>
      <c r="F5307" t="inlineStr">
        <is>
          <t>이영희</t>
        </is>
      </c>
      <c r="G5307" t="inlineStr">
        <is>
          <t>010-5631-6514</t>
        </is>
      </c>
      <c r="H5307" t="inlineStr">
        <is>
          <t>306보4390</t>
        </is>
      </c>
      <c r="I5307" t="n">
        <v>17200000</v>
      </c>
      <c r="J5307" t="n">
        <v>0.06900000000000001</v>
      </c>
      <c r="K5307" t="n">
        <v>1.76</v>
      </c>
      <c r="L5307" t="n">
        <v>0.14</v>
      </c>
      <c r="M5307" t="n">
        <v>1.62</v>
      </c>
      <c r="P5307" t="inlineStr">
        <is>
          <t>황채이</t>
        </is>
      </c>
      <c r="AB5307" t="inlineStr">
        <is>
          <t>홈서비스</t>
        </is>
      </c>
      <c r="AC5307" t="n">
        <v>302720</v>
      </c>
      <c r="AD5307" t="n">
        <v>24080</v>
      </c>
      <c r="AE5307" t="n">
        <v>278640</v>
      </c>
      <c r="AF5307" t="n">
        <v>275200</v>
      </c>
      <c r="AG5307" t="n">
        <v>23285.36</v>
      </c>
      <c r="AH5307" t="n">
        <v>251914.64</v>
      </c>
      <c r="AI5307" t="n">
        <v>0</v>
      </c>
    </row>
    <row r="5308">
      <c r="A5308" t="inlineStr">
        <is>
          <t>6월</t>
        </is>
      </c>
      <c r="B5308" t="inlineStr">
        <is>
          <t>24주차</t>
        </is>
      </c>
      <c r="C5308" t="inlineStr">
        <is>
          <t>EP</t>
        </is>
      </c>
      <c r="D5308" s="28" t="n">
        <v>46185</v>
      </c>
      <c r="E5308" t="inlineStr">
        <is>
          <t>현대EP</t>
        </is>
      </c>
      <c r="F5308" t="inlineStr">
        <is>
          <t>이지원</t>
        </is>
      </c>
      <c r="G5308" t="inlineStr">
        <is>
          <t>010-4915-3446</t>
        </is>
      </c>
      <c r="H5308" t="inlineStr">
        <is>
          <t>58도7120</t>
        </is>
      </c>
      <c r="I5308" t="n">
        <v>20000000</v>
      </c>
      <c r="J5308" t="n">
        <v>0.077</v>
      </c>
      <c r="K5308" t="n">
        <v>1.76</v>
      </c>
      <c r="L5308" t="n">
        <v>0.14</v>
      </c>
      <c r="M5308" t="n">
        <v>1.62</v>
      </c>
      <c r="P5308" t="inlineStr">
        <is>
          <t>정세빈</t>
        </is>
      </c>
      <c r="AB5308" t="inlineStr">
        <is>
          <t>홈서비스</t>
        </is>
      </c>
      <c r="AC5308" t="n">
        <v>352000</v>
      </c>
      <c r="AD5308" t="n">
        <v>28000</v>
      </c>
      <c r="AE5308" t="n">
        <v>324000</v>
      </c>
      <c r="AF5308" t="n">
        <v>320000</v>
      </c>
      <c r="AG5308" t="n">
        <v>27076</v>
      </c>
      <c r="AH5308" t="n">
        <v>292924</v>
      </c>
      <c r="AI5308" t="n">
        <v>0</v>
      </c>
    </row>
    <row r="5309">
      <c r="A5309" t="inlineStr">
        <is>
          <t>6월</t>
        </is>
      </c>
      <c r="B5309" t="inlineStr">
        <is>
          <t>24주차</t>
        </is>
      </c>
      <c r="C5309" t="inlineStr">
        <is>
          <t>EP</t>
        </is>
      </c>
      <c r="D5309" s="28" t="n">
        <v>46185</v>
      </c>
      <c r="E5309" t="inlineStr">
        <is>
          <t>현대EP</t>
        </is>
      </c>
      <c r="F5309" t="inlineStr">
        <is>
          <t>정형진</t>
        </is>
      </c>
      <c r="G5309" t="inlineStr">
        <is>
          <t>010-9422-0256</t>
        </is>
      </c>
      <c r="H5309" t="inlineStr">
        <is>
          <t>193두5547</t>
        </is>
      </c>
      <c r="I5309" t="n">
        <v>23800000</v>
      </c>
      <c r="J5309" t="n">
        <v>0.109</v>
      </c>
      <c r="K5309" t="n">
        <v>1.76</v>
      </c>
      <c r="L5309" t="n">
        <v>0.14</v>
      </c>
      <c r="M5309" t="n">
        <v>1.62</v>
      </c>
      <c r="P5309" t="inlineStr">
        <is>
          <t>황채이</t>
        </is>
      </c>
      <c r="AB5309" t="inlineStr">
        <is>
          <t>홈서비스</t>
        </is>
      </c>
      <c r="AC5309" t="n">
        <v>418880</v>
      </c>
      <c r="AD5309" t="n">
        <v>33320</v>
      </c>
      <c r="AE5309" t="n">
        <v>385560</v>
      </c>
      <c r="AF5309" t="n">
        <v>380800</v>
      </c>
      <c r="AG5309" t="n">
        <v>32220.44</v>
      </c>
      <c r="AH5309" t="n">
        <v>348579.56</v>
      </c>
      <c r="AI5309" t="n">
        <v>0</v>
      </c>
    </row>
    <row r="5310">
      <c r="A5310" t="inlineStr">
        <is>
          <t>6월</t>
        </is>
      </c>
      <c r="B5310" t="inlineStr">
        <is>
          <t>24주차</t>
        </is>
      </c>
      <c r="C5310" t="inlineStr">
        <is>
          <t>EP</t>
        </is>
      </c>
      <c r="D5310" s="28" t="n">
        <v>46185</v>
      </c>
      <c r="E5310" t="inlineStr">
        <is>
          <t>현대EP</t>
        </is>
      </c>
      <c r="F5310" t="inlineStr">
        <is>
          <t>지근희</t>
        </is>
      </c>
      <c r="G5310" t="inlineStr">
        <is>
          <t>010-4575-3077</t>
        </is>
      </c>
      <c r="H5310" t="inlineStr">
        <is>
          <t>182나2225</t>
        </is>
      </c>
      <c r="I5310" t="n">
        <v>26000000</v>
      </c>
      <c r="J5310" t="n">
        <v>0.06900000000000001</v>
      </c>
      <c r="K5310" t="n">
        <v>1.76</v>
      </c>
      <c r="L5310" t="n">
        <v>0.14</v>
      </c>
      <c r="M5310" t="n">
        <v>1.62</v>
      </c>
      <c r="P5310" t="inlineStr">
        <is>
          <t>정세빈</t>
        </is>
      </c>
      <c r="AB5310" t="inlineStr">
        <is>
          <t>홈서비스</t>
        </is>
      </c>
      <c r="AC5310" t="n">
        <v>457600</v>
      </c>
      <c r="AD5310" t="n">
        <v>36400</v>
      </c>
      <c r="AE5310" t="n">
        <v>421200</v>
      </c>
      <c r="AF5310" t="n">
        <v>416000</v>
      </c>
      <c r="AG5310" t="n">
        <v>35198.8</v>
      </c>
      <c r="AH5310" t="n">
        <v>380801.2</v>
      </c>
      <c r="AI5310" t="n">
        <v>0</v>
      </c>
    </row>
    <row r="5311">
      <c r="A5311" t="inlineStr">
        <is>
          <t>6월</t>
        </is>
      </c>
      <c r="B5311" t="inlineStr">
        <is>
          <t>24주차</t>
        </is>
      </c>
      <c r="C5311" t="inlineStr">
        <is>
          <t>EP</t>
        </is>
      </c>
      <c r="D5311" s="28" t="n">
        <v>46185</v>
      </c>
      <c r="E5311" t="inlineStr">
        <is>
          <t>현대EP</t>
        </is>
      </c>
      <c r="F5311" t="inlineStr">
        <is>
          <t>허지은</t>
        </is>
      </c>
      <c r="G5311" t="inlineStr">
        <is>
          <t>010-8224-7097</t>
        </is>
      </c>
      <c r="H5311" t="inlineStr">
        <is>
          <t>372서6412</t>
        </is>
      </c>
      <c r="I5311" t="n">
        <v>17800000</v>
      </c>
      <c r="J5311" t="n">
        <v>0.06900000000000001</v>
      </c>
      <c r="K5311" t="n">
        <v>1.76</v>
      </c>
      <c r="L5311" t="n">
        <v>0.14</v>
      </c>
      <c r="M5311" t="n">
        <v>1.62</v>
      </c>
      <c r="P5311" t="inlineStr">
        <is>
          <t>정세빈</t>
        </is>
      </c>
      <c r="AB5311" t="inlineStr">
        <is>
          <t>홈서비스</t>
        </is>
      </c>
      <c r="AC5311" t="n">
        <v>313280</v>
      </c>
      <c r="AD5311" t="n">
        <v>24920</v>
      </c>
      <c r="AE5311" t="n">
        <v>288360</v>
      </c>
      <c r="AF5311" t="n">
        <v>284800</v>
      </c>
      <c r="AG5311" t="n">
        <v>24097.64</v>
      </c>
      <c r="AH5311" t="n">
        <v>260702.36</v>
      </c>
      <c r="AI5311" t="n">
        <v>0</v>
      </c>
    </row>
    <row r="5312">
      <c r="A5312" t="inlineStr">
        <is>
          <t>6월</t>
        </is>
      </c>
      <c r="B5312" t="inlineStr">
        <is>
          <t>24주차</t>
        </is>
      </c>
      <c r="C5312" t="inlineStr">
        <is>
          <t>EP</t>
        </is>
      </c>
      <c r="D5312" s="28" t="n">
        <v>46187</v>
      </c>
      <c r="E5312" t="inlineStr">
        <is>
          <t>현대EP</t>
        </is>
      </c>
      <c r="F5312" t="inlineStr">
        <is>
          <t>송덕현</t>
        </is>
      </c>
      <c r="G5312" t="inlineStr">
        <is>
          <t>010-2958-5034</t>
        </is>
      </c>
      <c r="H5312" t="inlineStr">
        <is>
          <t>25고7461</t>
        </is>
      </c>
      <c r="I5312" t="n">
        <v>25000000</v>
      </c>
      <c r="J5312" t="n">
        <v>0.083</v>
      </c>
      <c r="K5312" t="n">
        <v>1.76</v>
      </c>
      <c r="L5312" t="n">
        <v>0.14</v>
      </c>
      <c r="M5312" t="n">
        <v>1.62</v>
      </c>
      <c r="P5312" t="inlineStr">
        <is>
          <t>황채이</t>
        </is>
      </c>
      <c r="AB5312" t="inlineStr">
        <is>
          <t>홈서비스</t>
        </is>
      </c>
      <c r="AC5312" t="n">
        <v>440000</v>
      </c>
      <c r="AD5312" t="n">
        <v>35000</v>
      </c>
      <c r="AE5312" t="n">
        <v>405000</v>
      </c>
      <c r="AF5312" t="n">
        <v>400000</v>
      </c>
      <c r="AG5312" t="n">
        <v>33845</v>
      </c>
      <c r="AH5312" t="n">
        <v>366155</v>
      </c>
      <c r="AI5312" t="n">
        <v>0</v>
      </c>
    </row>
    <row r="5313">
      <c r="A5313" t="inlineStr">
        <is>
          <t>6월</t>
        </is>
      </c>
      <c r="B5313" t="inlineStr">
        <is>
          <t>24주차</t>
        </is>
      </c>
      <c r="C5313" t="inlineStr">
        <is>
          <t>EP</t>
        </is>
      </c>
      <c r="D5313" s="28" t="n">
        <v>46187</v>
      </c>
      <c r="E5313" t="inlineStr">
        <is>
          <t>현대EP</t>
        </is>
      </c>
      <c r="F5313" t="inlineStr">
        <is>
          <t>정현주</t>
        </is>
      </c>
      <c r="G5313" t="inlineStr">
        <is>
          <t>010-9819-9814</t>
        </is>
      </c>
      <c r="H5313" t="inlineStr">
        <is>
          <t>371가3252</t>
        </is>
      </c>
      <c r="I5313" t="n">
        <v>19900000</v>
      </c>
      <c r="J5313" t="n">
        <v>0.076</v>
      </c>
      <c r="K5313" t="n">
        <v>1.76</v>
      </c>
      <c r="L5313" t="n">
        <v>0.14</v>
      </c>
      <c r="M5313" t="n">
        <v>1.62</v>
      </c>
      <c r="P5313" t="inlineStr">
        <is>
          <t>임대경</t>
        </is>
      </c>
      <c r="AB5313" t="inlineStr">
        <is>
          <t>홈서비스</t>
        </is>
      </c>
      <c r="AC5313" t="n">
        <v>350240</v>
      </c>
      <c r="AD5313" t="n">
        <v>27860</v>
      </c>
      <c r="AE5313" t="n">
        <v>322380</v>
      </c>
      <c r="AF5313" t="n">
        <v>318400</v>
      </c>
      <c r="AG5313" t="n">
        <v>26940.62</v>
      </c>
      <c r="AH5313" t="n">
        <v>291459.38</v>
      </c>
      <c r="AI5313" t="n">
        <v>0</v>
      </c>
    </row>
    <row r="5314">
      <c r="A5314" t="inlineStr">
        <is>
          <t>6월</t>
        </is>
      </c>
      <c r="B5314" t="inlineStr">
        <is>
          <t>25주차</t>
        </is>
      </c>
      <c r="C5314" t="inlineStr">
        <is>
          <t>IM</t>
        </is>
      </c>
      <c r="D5314" s="28" t="n">
        <v>46188</v>
      </c>
      <c r="E5314" t="inlineStr">
        <is>
          <t>IM캐피탈</t>
        </is>
      </c>
      <c r="F5314" t="inlineStr">
        <is>
          <t>어명옥</t>
        </is>
      </c>
      <c r="G5314" t="inlineStr">
        <is>
          <t>010-4714-9194</t>
        </is>
      </c>
      <c r="H5314" t="inlineStr">
        <is>
          <t>367도2741</t>
        </is>
      </c>
      <c r="I5314" t="n">
        <v>3000000</v>
      </c>
      <c r="J5314" t="n">
        <v>0.059</v>
      </c>
      <c r="K5314" t="n">
        <v>1.1</v>
      </c>
      <c r="L5314" t="n">
        <v>0.14</v>
      </c>
      <c r="M5314" t="n">
        <v>0.96</v>
      </c>
      <c r="P5314" t="inlineStr">
        <is>
          <t>정하은</t>
        </is>
      </c>
      <c r="Q5314" t="inlineStr">
        <is>
          <t>홈서비스 24개월</t>
        </is>
      </c>
      <c r="AB5314" t="inlineStr">
        <is>
          <t>홈서비스</t>
        </is>
      </c>
      <c r="AC5314" t="n">
        <v>33000</v>
      </c>
      <c r="AD5314" t="n">
        <v>4200</v>
      </c>
      <c r="AE5314" t="n">
        <v>28800</v>
      </c>
      <c r="AF5314" t="n">
        <v>30000</v>
      </c>
      <c r="AG5314" t="n">
        <v>4061.4</v>
      </c>
      <c r="AH5314" t="n">
        <v>25938.6</v>
      </c>
      <c r="AI5314" t="n">
        <v>0</v>
      </c>
    </row>
    <row r="5315">
      <c r="A5315" t="inlineStr">
        <is>
          <t>6월</t>
        </is>
      </c>
      <c r="B5315" t="inlineStr">
        <is>
          <t>25주차</t>
        </is>
      </c>
      <c r="C5315" t="inlineStr">
        <is>
          <t>IM</t>
        </is>
      </c>
      <c r="D5315" s="28" t="n">
        <v>46188</v>
      </c>
      <c r="E5315" t="inlineStr">
        <is>
          <t>IM캐피탈</t>
        </is>
      </c>
      <c r="F5315" t="inlineStr">
        <is>
          <t>김진회</t>
        </is>
      </c>
      <c r="G5315" t="inlineStr">
        <is>
          <t>010-4906-4135</t>
        </is>
      </c>
      <c r="H5315" t="inlineStr">
        <is>
          <t>138너3661</t>
        </is>
      </c>
      <c r="I5315" t="n">
        <v>13200000</v>
      </c>
      <c r="J5315" t="n">
        <v>0.059</v>
      </c>
      <c r="K5315" t="n">
        <v>1.1</v>
      </c>
      <c r="L5315" t="n">
        <v>0.4</v>
      </c>
      <c r="M5315" t="n">
        <v>0.7</v>
      </c>
      <c r="P5315" t="inlineStr">
        <is>
          <t>장진경</t>
        </is>
      </c>
      <c r="AB5315" t="inlineStr">
        <is>
          <t>엔카</t>
        </is>
      </c>
      <c r="AC5315" t="n">
        <v>145200</v>
      </c>
      <c r="AD5315" t="n">
        <v>52800</v>
      </c>
      <c r="AE5315" t="n">
        <v>92400</v>
      </c>
      <c r="AF5315" t="n">
        <v>132000</v>
      </c>
      <c r="AG5315" t="n">
        <v>51057.6</v>
      </c>
      <c r="AH5315" t="n">
        <v>80942.39999999999</v>
      </c>
      <c r="AI5315" t="n">
        <v>0</v>
      </c>
    </row>
    <row r="5316">
      <c r="A5316" t="inlineStr">
        <is>
          <t>6월</t>
        </is>
      </c>
      <c r="B5316" t="inlineStr">
        <is>
          <t>24주차</t>
        </is>
      </c>
      <c r="C5316" t="inlineStr">
        <is>
          <t>IM</t>
        </is>
      </c>
      <c r="D5316" s="28" t="n">
        <v>46185</v>
      </c>
      <c r="E5316" t="inlineStr">
        <is>
          <t>IM캐피탈</t>
        </is>
      </c>
      <c r="F5316" t="inlineStr">
        <is>
          <t>김운희</t>
        </is>
      </c>
      <c r="G5316" t="inlineStr">
        <is>
          <t>010-2886-5113</t>
        </is>
      </c>
      <c r="H5316" t="inlineStr">
        <is>
          <t>285머5665</t>
        </is>
      </c>
      <c r="I5316" t="n">
        <v>17200000</v>
      </c>
      <c r="J5316" t="n">
        <v>0.059</v>
      </c>
      <c r="K5316" t="n">
        <v>1.1</v>
      </c>
      <c r="L5316" t="n">
        <v>0.14</v>
      </c>
      <c r="M5316" t="n">
        <v>0.96</v>
      </c>
      <c r="P5316" t="inlineStr">
        <is>
          <t>박소현</t>
        </is>
      </c>
      <c r="Q5316" t="inlineStr">
        <is>
          <t>홈서비스 60개월 / 공동명의</t>
        </is>
      </c>
      <c r="AB5316" t="inlineStr">
        <is>
          <t>홈서비스</t>
        </is>
      </c>
      <c r="AC5316" t="n">
        <v>189200</v>
      </c>
      <c r="AD5316" t="n">
        <v>24080</v>
      </c>
      <c r="AE5316" t="n">
        <v>165120</v>
      </c>
      <c r="AF5316" t="n">
        <v>172000</v>
      </c>
      <c r="AG5316" t="n">
        <v>23285.36</v>
      </c>
      <c r="AH5316" t="n">
        <v>148714.64</v>
      </c>
      <c r="AI5316" t="n">
        <v>0</v>
      </c>
    </row>
    <row r="5317">
      <c r="A5317" t="inlineStr">
        <is>
          <t>6월</t>
        </is>
      </c>
      <c r="B5317" t="inlineStr">
        <is>
          <t>25주차</t>
        </is>
      </c>
      <c r="C5317" t="inlineStr">
        <is>
          <t>IM</t>
        </is>
      </c>
      <c r="D5317" s="28" t="n">
        <v>46188</v>
      </c>
      <c r="E5317" t="inlineStr">
        <is>
          <t>IM캐피탈</t>
        </is>
      </c>
      <c r="F5317" t="inlineStr">
        <is>
          <t>김영수</t>
        </is>
      </c>
      <c r="G5317" t="inlineStr">
        <is>
          <t>010-2398-9845</t>
        </is>
      </c>
      <c r="H5317" t="inlineStr">
        <is>
          <t>171나1406</t>
        </is>
      </c>
      <c r="I5317" t="n">
        <v>19100000</v>
      </c>
      <c r="J5317" t="n">
        <v>0.053</v>
      </c>
      <c r="K5317" t="n">
        <v>1.1</v>
      </c>
      <c r="L5317" t="n">
        <v>0.14</v>
      </c>
      <c r="M5317" t="n">
        <v>0.96</v>
      </c>
      <c r="P5317" t="inlineStr">
        <is>
          <t>정하은</t>
        </is>
      </c>
      <c r="Q5317" t="inlineStr">
        <is>
          <t>홈서비스 84개월</t>
        </is>
      </c>
      <c r="AB5317" t="inlineStr">
        <is>
          <t>홈서비스</t>
        </is>
      </c>
      <c r="AC5317" t="n">
        <v>210100</v>
      </c>
      <c r="AD5317" t="n">
        <v>26740</v>
      </c>
      <c r="AE5317" t="n">
        <v>183360</v>
      </c>
      <c r="AF5317" t="n">
        <v>191000</v>
      </c>
      <c r="AG5317" t="n">
        <v>25857.58</v>
      </c>
      <c r="AH5317" t="n">
        <v>165142.42</v>
      </c>
      <c r="AI5317" t="n">
        <v>0</v>
      </c>
    </row>
    <row r="5318">
      <c r="A5318" t="inlineStr">
        <is>
          <t>6월</t>
        </is>
      </c>
      <c r="B5318" t="inlineStr">
        <is>
          <t>25주차</t>
        </is>
      </c>
      <c r="C5318" t="inlineStr">
        <is>
          <t>IM</t>
        </is>
      </c>
      <c r="D5318" s="28" t="n">
        <v>46188</v>
      </c>
      <c r="E5318" t="inlineStr">
        <is>
          <t>IM캐피탈</t>
        </is>
      </c>
      <c r="F5318" t="inlineStr">
        <is>
          <t>김동규</t>
        </is>
      </c>
      <c r="G5318" t="inlineStr">
        <is>
          <t>010-2026-8447</t>
        </is>
      </c>
      <c r="H5318" t="inlineStr">
        <is>
          <t>25노6343</t>
        </is>
      </c>
      <c r="I5318" t="n">
        <v>19500000</v>
      </c>
      <c r="J5318" t="n">
        <v>0.067</v>
      </c>
      <c r="K5318" t="n">
        <v>1.1</v>
      </c>
      <c r="L5318" t="n">
        <v>0.14</v>
      </c>
      <c r="M5318" t="n">
        <v>0.96</v>
      </c>
      <c r="P5318" t="inlineStr">
        <is>
          <t>임대경</t>
        </is>
      </c>
      <c r="Q5318" t="inlineStr">
        <is>
          <t>홈서비스 48개월</t>
        </is>
      </c>
      <c r="AB5318" t="inlineStr">
        <is>
          <t>홈서비스</t>
        </is>
      </c>
      <c r="AC5318" t="n">
        <v>214500</v>
      </c>
      <c r="AD5318" t="n">
        <v>27300</v>
      </c>
      <c r="AE5318" t="n">
        <v>187200</v>
      </c>
      <c r="AF5318" t="n">
        <v>195000</v>
      </c>
      <c r="AG5318" t="n">
        <v>26399.1</v>
      </c>
      <c r="AH5318" t="n">
        <v>168600.9</v>
      </c>
      <c r="AI5318" t="n">
        <v>0</v>
      </c>
    </row>
    <row r="5319">
      <c r="A5319" t="inlineStr">
        <is>
          <t>6월</t>
        </is>
      </c>
      <c r="B5319" t="inlineStr">
        <is>
          <t>25주차</t>
        </is>
      </c>
      <c r="C5319" t="inlineStr">
        <is>
          <t>HC</t>
        </is>
      </c>
      <c r="D5319" s="28" t="n">
        <v>46188</v>
      </c>
      <c r="E5319" t="inlineStr">
        <is>
          <t>하나캐피탈</t>
        </is>
      </c>
      <c r="F5319" t="inlineStr">
        <is>
          <t>박지예</t>
        </is>
      </c>
      <c r="G5319" t="inlineStr">
        <is>
          <t>010-7336-3015</t>
        </is>
      </c>
      <c r="H5319" t="inlineStr">
        <is>
          <t>234도9504</t>
        </is>
      </c>
      <c r="I5319" t="n">
        <v>28700000</v>
      </c>
      <c r="J5319" t="n">
        <v>0.098</v>
      </c>
      <c r="K5319" t="n">
        <v>2.2</v>
      </c>
      <c r="L5319" t="n">
        <v>0.4</v>
      </c>
      <c r="M5319" t="n">
        <v>1.8</v>
      </c>
      <c r="P5319" t="inlineStr">
        <is>
          <t>구성완</t>
        </is>
      </c>
      <c r="AB5319" t="inlineStr">
        <is>
          <t>엔카</t>
        </is>
      </c>
      <c r="AC5319" t="n">
        <v>631400</v>
      </c>
      <c r="AD5319" t="n">
        <v>114800</v>
      </c>
      <c r="AE5319" t="n">
        <v>516600</v>
      </c>
      <c r="AF5319" t="n">
        <v>574000</v>
      </c>
      <c r="AG5319" t="n">
        <v>111011.6</v>
      </c>
      <c r="AH5319" t="n">
        <v>462988.4</v>
      </c>
      <c r="AI5319" t="n">
        <v>0</v>
      </c>
    </row>
    <row r="5320">
      <c r="A5320" t="inlineStr">
        <is>
          <t>6월</t>
        </is>
      </c>
      <c r="B5320" t="inlineStr">
        <is>
          <t>25주차</t>
        </is>
      </c>
      <c r="C5320" t="inlineStr">
        <is>
          <t>EP</t>
        </is>
      </c>
      <c r="D5320" s="28" t="n">
        <v>46188</v>
      </c>
      <c r="E5320" t="inlineStr">
        <is>
          <t>현대EP_fast</t>
        </is>
      </c>
      <c r="F5320" t="inlineStr">
        <is>
          <t>김준서</t>
        </is>
      </c>
      <c r="G5320" t="inlineStr">
        <is>
          <t>010-8011-6811</t>
        </is>
      </c>
      <c r="H5320" t="inlineStr">
        <is>
          <t>144보7843</t>
        </is>
      </c>
      <c r="I5320" t="n">
        <v>11900000</v>
      </c>
      <c r="J5320" t="n">
        <v>0.129</v>
      </c>
      <c r="K5320" t="n">
        <v>1.76</v>
      </c>
      <c r="L5320" t="n">
        <v>0.4</v>
      </c>
      <c r="M5320" t="n">
        <v>1.36</v>
      </c>
      <c r="P5320" t="inlineStr">
        <is>
          <t>구성완</t>
        </is>
      </c>
      <c r="AB5320" t="inlineStr">
        <is>
          <t>엔카</t>
        </is>
      </c>
      <c r="AC5320" t="n">
        <v>209440</v>
      </c>
      <c r="AD5320" t="n">
        <v>47600</v>
      </c>
      <c r="AE5320" t="n">
        <v>161840</v>
      </c>
      <c r="AF5320" t="n">
        <v>190400</v>
      </c>
      <c r="AG5320" t="n">
        <v>46029.2</v>
      </c>
      <c r="AH5320" t="n">
        <v>144370.8</v>
      </c>
      <c r="AI5320" t="n">
        <v>0</v>
      </c>
    </row>
    <row r="5321">
      <c r="A5321" t="inlineStr">
        <is>
          <t>6월</t>
        </is>
      </c>
      <c r="B5321" t="inlineStr">
        <is>
          <t>25주차</t>
        </is>
      </c>
      <c r="C5321" t="inlineStr">
        <is>
          <t>EP</t>
        </is>
      </c>
      <c r="D5321" s="28" t="n">
        <v>46188</v>
      </c>
      <c r="E5321" t="inlineStr">
        <is>
          <t>현대EP_fast</t>
        </is>
      </c>
      <c r="F5321" t="inlineStr">
        <is>
          <t>김창진</t>
        </is>
      </c>
      <c r="G5321" t="inlineStr">
        <is>
          <t>010-6284-8930</t>
        </is>
      </c>
      <c r="H5321" t="inlineStr">
        <is>
          <t>26구0441</t>
        </is>
      </c>
      <c r="I5321" t="n">
        <v>5000000</v>
      </c>
      <c r="J5321" t="n">
        <v>0.06900000000000001</v>
      </c>
      <c r="K5321" t="n">
        <v>1.76</v>
      </c>
      <c r="L5321" t="n">
        <v>0.14</v>
      </c>
      <c r="M5321" t="n">
        <v>1.62</v>
      </c>
      <c r="P5321" t="inlineStr">
        <is>
          <t>박소현</t>
        </is>
      </c>
      <c r="Q5321" t="inlineStr">
        <is>
          <t>홈서비스 24개월</t>
        </is>
      </c>
      <c r="AB5321" t="inlineStr">
        <is>
          <t>홈서비스</t>
        </is>
      </c>
      <c r="AC5321" t="n">
        <v>88000</v>
      </c>
      <c r="AD5321" t="n">
        <v>7000</v>
      </c>
      <c r="AE5321" t="n">
        <v>81000</v>
      </c>
      <c r="AF5321" t="n">
        <v>80000</v>
      </c>
      <c r="AG5321" t="n">
        <v>6769</v>
      </c>
      <c r="AH5321" t="n">
        <v>73231</v>
      </c>
      <c r="AI5321" t="n">
        <v>0</v>
      </c>
    </row>
    <row r="5322">
      <c r="A5322" t="inlineStr">
        <is>
          <t>6월</t>
        </is>
      </c>
      <c r="B5322" t="inlineStr">
        <is>
          <t>25주차</t>
        </is>
      </c>
      <c r="C5322" t="inlineStr">
        <is>
          <t>EP</t>
        </is>
      </c>
      <c r="D5322" s="28" t="n">
        <v>46188</v>
      </c>
      <c r="E5322" t="inlineStr">
        <is>
          <t>현대EP_fast</t>
        </is>
      </c>
      <c r="F5322" t="inlineStr">
        <is>
          <t>김기현</t>
        </is>
      </c>
      <c r="G5322" t="inlineStr">
        <is>
          <t>010-2570-8314</t>
        </is>
      </c>
      <c r="H5322" t="inlineStr">
        <is>
          <t>839버9666</t>
        </is>
      </c>
      <c r="I5322" t="n">
        <v>29800000</v>
      </c>
      <c r="J5322" t="n">
        <v>0.08400000000000001</v>
      </c>
      <c r="K5322" t="n">
        <v>1.76</v>
      </c>
      <c r="L5322" t="n">
        <v>0.4</v>
      </c>
      <c r="M5322" t="n">
        <v>1.36</v>
      </c>
      <c r="P5322" t="inlineStr">
        <is>
          <t>장진경</t>
        </is>
      </c>
      <c r="Q5322" t="inlineStr">
        <is>
          <t>고객주도체결</t>
        </is>
      </c>
      <c r="AB5322" t="inlineStr">
        <is>
          <t>엔카</t>
        </is>
      </c>
      <c r="AC5322" t="n">
        <v>524480</v>
      </c>
      <c r="AD5322" t="n">
        <v>119200</v>
      </c>
      <c r="AE5322" t="n">
        <v>405280</v>
      </c>
      <c r="AF5322" t="n">
        <v>476800</v>
      </c>
      <c r="AG5322" t="n">
        <v>115266.4</v>
      </c>
      <c r="AH5322" t="n">
        <v>361533.6</v>
      </c>
      <c r="AI5322" t="n">
        <v>0</v>
      </c>
    </row>
    <row r="5323">
      <c r="A5323" t="inlineStr">
        <is>
          <t>6월</t>
        </is>
      </c>
      <c r="B5323" t="inlineStr">
        <is>
          <t>25주차</t>
        </is>
      </c>
      <c r="C5323" t="inlineStr">
        <is>
          <t>EP</t>
        </is>
      </c>
      <c r="D5323" s="28" t="n">
        <v>46188</v>
      </c>
      <c r="E5323" t="inlineStr">
        <is>
          <t>현대EP_fast</t>
        </is>
      </c>
      <c r="F5323" t="inlineStr">
        <is>
          <t>반승진</t>
        </is>
      </c>
      <c r="G5323" t="inlineStr">
        <is>
          <t>010-5288-7325</t>
        </is>
      </c>
      <c r="H5323" t="inlineStr">
        <is>
          <t>104마4975</t>
        </is>
      </c>
      <c r="I5323" t="n">
        <v>37600000</v>
      </c>
      <c r="J5323" t="n">
        <v>0.077</v>
      </c>
      <c r="K5323" t="n">
        <v>1.76</v>
      </c>
      <c r="L5323" t="n">
        <v>0.14</v>
      </c>
      <c r="M5323" t="n">
        <v>1.62</v>
      </c>
      <c r="P5323" t="inlineStr">
        <is>
          <t>장진경</t>
        </is>
      </c>
      <c r="Q5323" t="inlineStr">
        <is>
          <t>홈서비스 60개월 / 공동명의</t>
        </is>
      </c>
      <c r="AB5323" t="inlineStr">
        <is>
          <t>홈서비스</t>
        </is>
      </c>
      <c r="AC5323" t="n">
        <v>661760</v>
      </c>
      <c r="AD5323" t="n">
        <v>52640</v>
      </c>
      <c r="AE5323" t="n">
        <v>609120</v>
      </c>
      <c r="AF5323" t="n">
        <v>601600</v>
      </c>
      <c r="AG5323" t="n">
        <v>50902.88</v>
      </c>
      <c r="AH5323" t="n">
        <v>550697.12</v>
      </c>
      <c r="AI5323" t="n">
        <v>0</v>
      </c>
    </row>
    <row r="5324">
      <c r="A5324" t="inlineStr">
        <is>
          <t>6월</t>
        </is>
      </c>
      <c r="B5324" t="inlineStr">
        <is>
          <t>25주차</t>
        </is>
      </c>
      <c r="C5324" t="inlineStr">
        <is>
          <t>EP</t>
        </is>
      </c>
      <c r="D5324" s="28" t="n">
        <v>46188</v>
      </c>
      <c r="E5324" t="inlineStr">
        <is>
          <t>현대EP_fast</t>
        </is>
      </c>
      <c r="F5324" t="inlineStr">
        <is>
          <t>김기태</t>
        </is>
      </c>
      <c r="G5324" t="inlineStr">
        <is>
          <t>010-5269-5018</t>
        </is>
      </c>
      <c r="H5324" t="inlineStr">
        <is>
          <t>17소0108</t>
        </is>
      </c>
      <c r="I5324" t="n">
        <v>3900000</v>
      </c>
      <c r="J5324" t="n">
        <v>0.083</v>
      </c>
      <c r="K5324" t="n">
        <v>1.76</v>
      </c>
      <c r="L5324" t="n">
        <v>0.14</v>
      </c>
      <c r="M5324" t="n">
        <v>1.62</v>
      </c>
      <c r="P5324" t="inlineStr">
        <is>
          <t>정하은</t>
        </is>
      </c>
      <c r="Q5324" t="inlineStr">
        <is>
          <t>홈서비스 60개월 / 고객주도체결</t>
        </is>
      </c>
      <c r="AB5324" t="inlineStr">
        <is>
          <t>홈서비스</t>
        </is>
      </c>
      <c r="AC5324" t="n">
        <v>68640</v>
      </c>
      <c r="AD5324" t="n">
        <v>5460</v>
      </c>
      <c r="AE5324" t="n">
        <v>63180</v>
      </c>
      <c r="AF5324" t="n">
        <v>62400</v>
      </c>
      <c r="AG5324" t="n">
        <v>5279.82</v>
      </c>
      <c r="AH5324" t="n">
        <v>57120.18</v>
      </c>
      <c r="AI5324" t="n">
        <v>0</v>
      </c>
    </row>
    <row r="5325">
      <c r="A5325" t="inlineStr">
        <is>
          <t>6월</t>
        </is>
      </c>
      <c r="B5325" t="inlineStr">
        <is>
          <t>25주차</t>
        </is>
      </c>
      <c r="C5325" t="inlineStr">
        <is>
          <t>IM</t>
        </is>
      </c>
      <c r="D5325" s="28" t="n">
        <v>46188</v>
      </c>
      <c r="E5325" t="inlineStr">
        <is>
          <t>IM캐피탈</t>
        </is>
      </c>
      <c r="F5325" t="inlineStr">
        <is>
          <t>민형욱</t>
        </is>
      </c>
      <c r="G5325" t="inlineStr">
        <is>
          <t>010-6798-9027</t>
        </is>
      </c>
      <c r="H5325" t="inlineStr">
        <is>
          <t>232우3052</t>
        </is>
      </c>
      <c r="I5325" t="n">
        <v>30000000</v>
      </c>
      <c r="J5325" t="n">
        <v>0.053</v>
      </c>
      <c r="K5325" t="n">
        <v>1.1</v>
      </c>
      <c r="L5325" t="n">
        <v>0.4</v>
      </c>
      <c r="M5325" t="n">
        <v>0.7</v>
      </c>
      <c r="P5325" t="inlineStr">
        <is>
          <t>임대경</t>
        </is>
      </c>
      <c r="AB5325" t="inlineStr">
        <is>
          <t>엔카</t>
        </is>
      </c>
      <c r="AC5325" t="n">
        <v>330000</v>
      </c>
      <c r="AD5325" t="n">
        <v>120000</v>
      </c>
      <c r="AE5325" t="n">
        <v>210000</v>
      </c>
      <c r="AF5325" t="n">
        <v>300000</v>
      </c>
      <c r="AG5325" t="n">
        <v>116040</v>
      </c>
      <c r="AH5325" t="n">
        <v>183960</v>
      </c>
    </row>
    <row r="5326">
      <c r="A5326" t="inlineStr">
        <is>
          <t>2026-0615</t>
        </is>
      </c>
      <c r="B5326" t="e">
        <v>#VALUE!</v>
      </c>
      <c r="C5326" t="inlineStr">
        <is>
          <t>IM</t>
        </is>
      </c>
      <c r="D5326" t="inlineStr">
        <is>
          <t>2026-0615</t>
        </is>
      </c>
      <c r="E5326" t="inlineStr">
        <is>
          <t>IM캐피탈</t>
        </is>
      </c>
      <c r="F5326" t="inlineStr">
        <is>
          <t>박현우</t>
        </is>
      </c>
      <c r="G5326" t="inlineStr">
        <is>
          <t>010-9939-3872</t>
        </is>
      </c>
      <c r="H5326" t="inlineStr">
        <is>
          <t>56어3411</t>
        </is>
      </c>
      <c r="I5326" t="n">
        <v>12000000</v>
      </c>
      <c r="J5326" t="n">
        <v>0.063</v>
      </c>
      <c r="K5326" t="n">
        <v>0</v>
      </c>
      <c r="L5326" t="n">
        <v>0</v>
      </c>
      <c r="M5326" t="n">
        <v>0</v>
      </c>
      <c r="P5326" t="inlineStr">
        <is>
          <t>임대경</t>
        </is>
      </c>
      <c r="Q5326" t="inlineStr">
        <is>
          <t>홈서비스 36개월</t>
        </is>
      </c>
      <c r="AB5326" t="inlineStr">
        <is>
          <t>홈서비스</t>
        </is>
      </c>
      <c r="AC5326" t="n">
        <v>0</v>
      </c>
      <c r="AD5326" t="n">
        <v>0</v>
      </c>
      <c r="AE5326" t="n">
        <v>0</v>
      </c>
      <c r="AF5326" t="n">
        <v>0</v>
      </c>
      <c r="AG5326" t="n">
        <v>0</v>
      </c>
      <c r="AH5326" t="n">
        <v>0</v>
      </c>
      <c r="AI5326" t="n">
        <v>0</v>
      </c>
    </row>
    <row r="5327">
      <c r="A5327" t="inlineStr">
        <is>
          <t>6월</t>
        </is>
      </c>
      <c r="B5327" t="inlineStr">
        <is>
          <t>25주차</t>
        </is>
      </c>
      <c r="C5327" t="inlineStr">
        <is>
          <t>IM</t>
        </is>
      </c>
      <c r="D5327" s="28" t="n">
        <v>46188</v>
      </c>
      <c r="E5327" t="inlineStr">
        <is>
          <t>IM캐피탈</t>
        </is>
      </c>
      <c r="F5327" t="inlineStr">
        <is>
          <t>한준희</t>
        </is>
      </c>
      <c r="G5327" t="inlineStr">
        <is>
          <t>010-7510-0118</t>
        </is>
      </c>
      <c r="H5327" t="inlineStr">
        <is>
          <t>08거1466</t>
        </is>
      </c>
      <c r="I5327" t="n">
        <v>30800000</v>
      </c>
      <c r="J5327" t="n">
        <v>0.067</v>
      </c>
      <c r="K5327" t="n">
        <v>1.1</v>
      </c>
      <c r="L5327" t="n">
        <v>0.14</v>
      </c>
      <c r="M5327" t="n">
        <v>0.96</v>
      </c>
      <c r="P5327" t="inlineStr">
        <is>
          <t>정세빈</t>
        </is>
      </c>
      <c r="Q5327" t="inlineStr">
        <is>
          <t>홈서비스 60개월</t>
        </is>
      </c>
      <c r="AB5327" t="inlineStr">
        <is>
          <t>홈서비스</t>
        </is>
      </c>
      <c r="AC5327" t="n">
        <v>338800</v>
      </c>
      <c r="AD5327" t="n">
        <v>43120</v>
      </c>
      <c r="AE5327" t="n">
        <v>295680</v>
      </c>
      <c r="AF5327" t="n">
        <v>308000</v>
      </c>
      <c r="AG5327" t="n">
        <v>41697.04</v>
      </c>
      <c r="AH5327" t="n">
        <v>266302.96</v>
      </c>
      <c r="AI5327" t="n">
        <v>0</v>
      </c>
    </row>
    <row r="5328">
      <c r="A5328" t="inlineStr">
        <is>
          <t>6월</t>
        </is>
      </c>
      <c r="B5328" t="inlineStr">
        <is>
          <t>25주차</t>
        </is>
      </c>
      <c r="C5328" t="inlineStr">
        <is>
          <t>IM</t>
        </is>
      </c>
      <c r="D5328" s="28" t="n">
        <v>46188</v>
      </c>
      <c r="E5328" t="inlineStr">
        <is>
          <t>IM캐피탈</t>
        </is>
      </c>
      <c r="F5328" t="inlineStr">
        <is>
          <t>유권선</t>
        </is>
      </c>
      <c r="G5328" t="inlineStr">
        <is>
          <t>010-8980-6118</t>
        </is>
      </c>
      <c r="H5328" t="inlineStr">
        <is>
          <t>31도6470</t>
        </is>
      </c>
      <c r="I5328" t="n">
        <v>12400000</v>
      </c>
      <c r="J5328" t="n">
        <v>0.059</v>
      </c>
      <c r="K5328" t="n">
        <v>1.1</v>
      </c>
      <c r="L5328" t="n">
        <v>0.14</v>
      </c>
      <c r="M5328" t="n">
        <v>0.96</v>
      </c>
      <c r="P5328" t="inlineStr">
        <is>
          <t>정세빈</t>
        </is>
      </c>
      <c r="Q5328" t="inlineStr">
        <is>
          <t>홈서비스 48개월</t>
        </is>
      </c>
      <c r="AB5328" t="inlineStr">
        <is>
          <t>홈서비스</t>
        </is>
      </c>
      <c r="AC5328" t="n">
        <v>136400</v>
      </c>
      <c r="AD5328" t="n">
        <v>17360</v>
      </c>
      <c r="AE5328" t="n">
        <v>119040</v>
      </c>
      <c r="AF5328" t="n">
        <v>124000</v>
      </c>
      <c r="AG5328" t="n">
        <v>16787.12</v>
      </c>
      <c r="AH5328" t="n">
        <v>107212.88</v>
      </c>
      <c r="AI5328" t="n">
        <v>0</v>
      </c>
    </row>
    <row r="5329">
      <c r="A5329" t="inlineStr">
        <is>
          <t>6월</t>
        </is>
      </c>
      <c r="B5329" t="inlineStr">
        <is>
          <t>25주차</t>
        </is>
      </c>
      <c r="C5329" t="inlineStr">
        <is>
          <t>EP</t>
        </is>
      </c>
      <c r="D5329" s="28" t="n">
        <v>46188</v>
      </c>
      <c r="E5329" t="inlineStr">
        <is>
          <t>현대EP_fast</t>
        </is>
      </c>
      <c r="F5329" t="inlineStr">
        <is>
          <t>이남구</t>
        </is>
      </c>
      <c r="G5329" t="inlineStr">
        <is>
          <t>010-8004-7177</t>
        </is>
      </c>
      <c r="H5329" t="inlineStr">
        <is>
          <t>148구7405</t>
        </is>
      </c>
      <c r="I5329" t="n">
        <v>10000000</v>
      </c>
      <c r="J5329" t="n">
        <v>0.077</v>
      </c>
      <c r="K5329" t="n">
        <v>1.76</v>
      </c>
      <c r="L5329" t="n">
        <v>0.14</v>
      </c>
      <c r="M5329" t="n">
        <v>1.62</v>
      </c>
      <c r="P5329" t="inlineStr">
        <is>
          <t>정세빈</t>
        </is>
      </c>
      <c r="Q5329" t="inlineStr">
        <is>
          <t>홈서비스 60개월</t>
        </is>
      </c>
      <c r="AB5329" t="inlineStr">
        <is>
          <t>홈서비스</t>
        </is>
      </c>
      <c r="AC5329" t="n">
        <v>176000</v>
      </c>
      <c r="AD5329" t="n">
        <v>14000</v>
      </c>
      <c r="AE5329" t="n">
        <v>162000</v>
      </c>
      <c r="AF5329" t="n">
        <v>160000</v>
      </c>
      <c r="AG5329" t="n">
        <v>13538</v>
      </c>
      <c r="AH5329" t="n">
        <v>146462</v>
      </c>
      <c r="AI5329" t="n">
        <v>0</v>
      </c>
    </row>
    <row r="5330">
      <c r="A5330" t="inlineStr">
        <is>
          <t>6월</t>
        </is>
      </c>
      <c r="B5330" t="inlineStr">
        <is>
          <t>25주차</t>
        </is>
      </c>
      <c r="C5330" t="inlineStr">
        <is>
          <t>EP</t>
        </is>
      </c>
      <c r="D5330" s="28" t="n">
        <v>46188</v>
      </c>
      <c r="E5330" t="inlineStr">
        <is>
          <t>현대EP_fast</t>
        </is>
      </c>
      <c r="F5330" t="inlineStr">
        <is>
          <t>김보형</t>
        </is>
      </c>
      <c r="G5330" t="inlineStr">
        <is>
          <t>010-2598-0903</t>
        </is>
      </c>
      <c r="H5330" t="inlineStr">
        <is>
          <t>151가5060</t>
        </is>
      </c>
      <c r="I5330" t="n">
        <v>49900000</v>
      </c>
      <c r="J5330" t="n">
        <v>0.067</v>
      </c>
      <c r="K5330" t="n">
        <v>1.76</v>
      </c>
      <c r="L5330" t="n">
        <v>0.14</v>
      </c>
      <c r="M5330" t="n">
        <v>1.62</v>
      </c>
      <c r="P5330" t="inlineStr">
        <is>
          <t>정세빈</t>
        </is>
      </c>
      <c r="Q5330" t="inlineStr">
        <is>
          <t>홈서비스 60개월</t>
        </is>
      </c>
      <c r="AB5330" t="inlineStr">
        <is>
          <t>홈서비스</t>
        </is>
      </c>
      <c r="AC5330" t="n">
        <v>878240</v>
      </c>
      <c r="AD5330" t="n">
        <v>69860</v>
      </c>
      <c r="AE5330" t="n">
        <v>808380</v>
      </c>
      <c r="AF5330" t="n">
        <v>798400</v>
      </c>
      <c r="AG5330" t="n">
        <v>67554.62</v>
      </c>
      <c r="AH5330" t="n">
        <v>730845.38</v>
      </c>
      <c r="AI5330" t="n">
        <v>0</v>
      </c>
    </row>
    <row r="5331">
      <c r="A5331" t="inlineStr">
        <is>
          <t>6월</t>
        </is>
      </c>
      <c r="B5331" t="inlineStr">
        <is>
          <t>25주차</t>
        </is>
      </c>
      <c r="C5331" t="inlineStr">
        <is>
          <t>EP</t>
        </is>
      </c>
      <c r="D5331" s="28" t="n">
        <v>46188</v>
      </c>
      <c r="E5331" t="inlineStr">
        <is>
          <t>BNKEP</t>
        </is>
      </c>
      <c r="F5331" t="inlineStr">
        <is>
          <t>김형석</t>
        </is>
      </c>
      <c r="G5331" t="inlineStr">
        <is>
          <t>010-4221-6443</t>
        </is>
      </c>
      <c r="H5331" t="inlineStr">
        <is>
          <t>151우8744</t>
        </is>
      </c>
      <c r="I5331" t="n">
        <v>38000000</v>
      </c>
      <c r="J5331" t="n">
        <v>0.07099999999999999</v>
      </c>
      <c r="K5331" t="n">
        <v>1.65</v>
      </c>
      <c r="L5331" t="n">
        <v>0.4</v>
      </c>
      <c r="M5331" t="n">
        <v>1.25</v>
      </c>
      <c r="P5331" t="inlineStr">
        <is>
          <t>구성완</t>
        </is>
      </c>
      <c r="Q5331" t="inlineStr">
        <is>
          <t>특장/부대비용 추가진행/bnk확인후진행</t>
        </is>
      </c>
      <c r="AB5331" t="inlineStr">
        <is>
          <t>엔카</t>
        </is>
      </c>
      <c r="AC5331" t="n">
        <v>627000</v>
      </c>
      <c r="AD5331" t="n">
        <v>152000</v>
      </c>
      <c r="AE5331" t="n">
        <v>475000</v>
      </c>
      <c r="AF5331" t="n">
        <v>570000</v>
      </c>
      <c r="AG5331" t="n">
        <v>146984</v>
      </c>
      <c r="AH5331" t="n">
        <v>423016</v>
      </c>
    </row>
    <row r="5332">
      <c r="A5332" t="inlineStr">
        <is>
          <t>6월</t>
        </is>
      </c>
      <c r="B5332" t="inlineStr">
        <is>
          <t>25주차</t>
        </is>
      </c>
      <c r="C5332" t="inlineStr">
        <is>
          <t>IM</t>
        </is>
      </c>
      <c r="D5332" s="28" t="n">
        <v>46188</v>
      </c>
      <c r="E5332" t="inlineStr">
        <is>
          <t>IM캐피탈</t>
        </is>
      </c>
      <c r="F5332" t="inlineStr">
        <is>
          <t>김두겸</t>
        </is>
      </c>
      <c r="G5332" t="inlineStr">
        <is>
          <t>010-4471-8565</t>
        </is>
      </c>
      <c r="H5332" t="inlineStr">
        <is>
          <t>01더9943</t>
        </is>
      </c>
      <c r="I5332" t="n">
        <v>20000000</v>
      </c>
      <c r="J5332" t="n">
        <v>0.053</v>
      </c>
      <c r="K5332" t="n">
        <v>1.1</v>
      </c>
      <c r="L5332" t="n">
        <v>0.4</v>
      </c>
      <c r="M5332" t="n">
        <v>0.7</v>
      </c>
      <c r="P5332" t="inlineStr">
        <is>
          <t>박소현</t>
        </is>
      </c>
      <c r="AB5332" t="inlineStr">
        <is>
          <t>엔카</t>
        </is>
      </c>
      <c r="AC5332" t="n">
        <v>220000</v>
      </c>
      <c r="AD5332" t="n">
        <v>80000</v>
      </c>
      <c r="AE5332" t="n">
        <v>140000</v>
      </c>
      <c r="AF5332" t="n">
        <v>200000</v>
      </c>
      <c r="AG5332" t="n">
        <v>77360</v>
      </c>
      <c r="AH5332" t="n">
        <v>122640</v>
      </c>
    </row>
    <row r="5333">
      <c r="A5333" t="inlineStr">
        <is>
          <t>6월</t>
        </is>
      </c>
      <c r="B5333" t="inlineStr">
        <is>
          <t>25주차</t>
        </is>
      </c>
      <c r="C5333" t="inlineStr">
        <is>
          <t>EP</t>
        </is>
      </c>
      <c r="D5333" s="28" t="n">
        <v>46188</v>
      </c>
      <c r="E5333" t="inlineStr">
        <is>
          <t>현대EP_fast</t>
        </is>
      </c>
      <c r="F5333" t="inlineStr">
        <is>
          <t>김태훈</t>
        </is>
      </c>
      <c r="G5333" t="inlineStr">
        <is>
          <t>010-9349-0204</t>
        </is>
      </c>
      <c r="H5333" t="inlineStr">
        <is>
          <t>47오3985</t>
        </is>
      </c>
      <c r="I5333" t="n">
        <v>15000000</v>
      </c>
      <c r="J5333" t="n">
        <v>0.08400000000000001</v>
      </c>
      <c r="K5333" t="n">
        <v>1.76</v>
      </c>
      <c r="L5333" t="n">
        <v>0.14</v>
      </c>
      <c r="M5333" t="n">
        <v>1.62</v>
      </c>
      <c r="P5333" t="inlineStr">
        <is>
          <t>임대경</t>
        </is>
      </c>
      <c r="Q5333" t="inlineStr">
        <is>
          <t>홈서비스 60개월</t>
        </is>
      </c>
      <c r="AB5333" t="inlineStr">
        <is>
          <t>홈서비스</t>
        </is>
      </c>
      <c r="AC5333" t="n">
        <v>264000</v>
      </c>
      <c r="AD5333" t="n">
        <v>21000</v>
      </c>
      <c r="AE5333" t="n">
        <v>243000</v>
      </c>
      <c r="AF5333" t="n">
        <v>240000</v>
      </c>
      <c r="AG5333" t="n">
        <v>20307</v>
      </c>
      <c r="AH5333" t="n">
        <v>219693</v>
      </c>
    </row>
    <row r="5334">
      <c r="A5334" t="inlineStr">
        <is>
          <t>6월</t>
        </is>
      </c>
      <c r="B5334" t="inlineStr">
        <is>
          <t>25주차</t>
        </is>
      </c>
      <c r="C5334" t="inlineStr">
        <is>
          <t>IM</t>
        </is>
      </c>
      <c r="D5334" s="28" t="n">
        <v>46188</v>
      </c>
      <c r="E5334" t="inlineStr">
        <is>
          <t>IM캐피탈</t>
        </is>
      </c>
      <c r="F5334" t="inlineStr">
        <is>
          <t>공경환</t>
        </is>
      </c>
      <c r="G5334" t="inlineStr">
        <is>
          <t>010-2825-5789</t>
        </is>
      </c>
      <c r="H5334" t="inlineStr">
        <is>
          <t>139오8078</t>
        </is>
      </c>
      <c r="I5334" t="n">
        <v>33900000</v>
      </c>
      <c r="J5334" t="n">
        <v>0.053</v>
      </c>
      <c r="K5334" t="n">
        <v>1.1</v>
      </c>
      <c r="L5334" t="n">
        <v>0.14</v>
      </c>
      <c r="M5334" t="n">
        <v>0.96</v>
      </c>
      <c r="P5334" t="inlineStr">
        <is>
          <t>정세빈</t>
        </is>
      </c>
      <c r="Q5334" t="inlineStr">
        <is>
          <t>홈서비스 60개월</t>
        </is>
      </c>
      <c r="AB5334" t="inlineStr">
        <is>
          <t>홈서비스</t>
        </is>
      </c>
      <c r="AC5334" t="n">
        <v>372900</v>
      </c>
      <c r="AD5334" t="n">
        <v>47460</v>
      </c>
      <c r="AE5334" t="n">
        <v>325440</v>
      </c>
      <c r="AF5334" t="n">
        <v>339000</v>
      </c>
      <c r="AG5334" t="n">
        <v>45893.82</v>
      </c>
      <c r="AH5334" t="n">
        <v>293106.18</v>
      </c>
    </row>
    <row r="5335">
      <c r="A5335" t="inlineStr">
        <is>
          <t>6월</t>
        </is>
      </c>
      <c r="B5335" t="inlineStr">
        <is>
          <t>24주차</t>
        </is>
      </c>
      <c r="C5335" t="inlineStr">
        <is>
          <t>EP</t>
        </is>
      </c>
      <c r="D5335" s="28" t="n">
        <v>46182</v>
      </c>
      <c r="E5335" t="inlineStr">
        <is>
          <t>현대EP_fast</t>
        </is>
      </c>
      <c r="F5335" t="inlineStr">
        <is>
          <t>최선영</t>
        </is>
      </c>
      <c r="G5335" t="inlineStr">
        <is>
          <t>010-2255-9523</t>
        </is>
      </c>
      <c r="H5335" t="inlineStr">
        <is>
          <t>347버4371</t>
        </is>
      </c>
      <c r="I5335" t="n">
        <v>10000000</v>
      </c>
      <c r="J5335" t="n">
        <v>0.077</v>
      </c>
      <c r="K5335" t="n">
        <v>1.76</v>
      </c>
      <c r="L5335" t="n">
        <v>0.14</v>
      </c>
      <c r="M5335" t="n">
        <v>1.62</v>
      </c>
      <c r="P5335" t="inlineStr">
        <is>
          <t>최형주</t>
        </is>
      </c>
      <c r="Q5335" t="inlineStr">
        <is>
          <t>홈서비스 36개월</t>
        </is>
      </c>
      <c r="AB5335" t="inlineStr">
        <is>
          <t>홈서비스</t>
        </is>
      </c>
      <c r="AC5335" t="n">
        <v>176000</v>
      </c>
      <c r="AD5335" t="n">
        <v>14000</v>
      </c>
      <c r="AE5335" t="n">
        <v>162000</v>
      </c>
      <c r="AF5335" t="n">
        <v>160000</v>
      </c>
      <c r="AG5335" t="n">
        <v>13538</v>
      </c>
      <c r="AH5335" t="n">
        <v>146462</v>
      </c>
      <c r="AI5335" t="n">
        <v>0</v>
      </c>
    </row>
    <row r="5336">
      <c r="A5336" t="inlineStr">
        <is>
          <t>6월</t>
        </is>
      </c>
      <c r="B5336" t="inlineStr">
        <is>
          <t>24주차</t>
        </is>
      </c>
      <c r="C5336" t="inlineStr">
        <is>
          <t>EP</t>
        </is>
      </c>
      <c r="D5336" s="28" t="n">
        <v>46182</v>
      </c>
      <c r="E5336" t="inlineStr">
        <is>
          <t>현대EP_fast</t>
        </is>
      </c>
      <c r="F5336" t="inlineStr">
        <is>
          <t>김보성</t>
        </is>
      </c>
      <c r="G5336" t="inlineStr">
        <is>
          <t>010-9255-5953</t>
        </is>
      </c>
      <c r="H5336" t="inlineStr">
        <is>
          <t>02버7541</t>
        </is>
      </c>
      <c r="I5336" t="n">
        <v>7600000</v>
      </c>
      <c r="J5336" t="n">
        <v>0.08</v>
      </c>
      <c r="K5336" t="n">
        <v>1.76</v>
      </c>
      <c r="L5336" t="n">
        <v>0.14</v>
      </c>
      <c r="M5336" t="n">
        <v>1.62</v>
      </c>
      <c r="P5336" t="inlineStr">
        <is>
          <t>최형주</t>
        </is>
      </c>
      <c r="Q5336" t="inlineStr">
        <is>
          <t>홈서비스 60개월</t>
        </is>
      </c>
      <c r="AB5336" t="inlineStr">
        <is>
          <t>홈서비스</t>
        </is>
      </c>
      <c r="AC5336" t="n">
        <v>133760</v>
      </c>
      <c r="AD5336" t="n">
        <v>10640</v>
      </c>
      <c r="AE5336" t="n">
        <v>123120</v>
      </c>
      <c r="AF5336" t="n">
        <v>121600</v>
      </c>
      <c r="AG5336" t="n">
        <v>10288.88</v>
      </c>
      <c r="AH5336" t="n">
        <v>111311.12</v>
      </c>
      <c r="AI5336" t="n">
        <v>0</v>
      </c>
    </row>
    <row r="5337">
      <c r="A5337" t="inlineStr">
        <is>
          <t>6월</t>
        </is>
      </c>
      <c r="B5337" t="inlineStr">
        <is>
          <t>24주차</t>
        </is>
      </c>
      <c r="C5337" t="inlineStr">
        <is>
          <t>EP</t>
        </is>
      </c>
      <c r="D5337" s="28" t="n">
        <v>46183</v>
      </c>
      <c r="E5337" t="inlineStr">
        <is>
          <t>현대EP_fast</t>
        </is>
      </c>
      <c r="F5337" t="inlineStr">
        <is>
          <t>김기태</t>
        </is>
      </c>
      <c r="G5337" t="inlineStr">
        <is>
          <t>010-5269-5018</t>
        </is>
      </c>
      <c r="H5337" t="inlineStr">
        <is>
          <t>63보9636</t>
        </is>
      </c>
      <c r="I5337" t="n">
        <v>3600000</v>
      </c>
      <c r="J5337" t="n">
        <v>0.083</v>
      </c>
      <c r="K5337" t="n">
        <v>1.76</v>
      </c>
      <c r="L5337" t="n">
        <v>0.14</v>
      </c>
      <c r="M5337" t="n">
        <v>1.62</v>
      </c>
      <c r="P5337" t="inlineStr">
        <is>
          <t>최형주</t>
        </is>
      </c>
      <c r="Q5337" t="inlineStr">
        <is>
          <t>홈서비스 60개월</t>
        </is>
      </c>
      <c r="AB5337" t="inlineStr">
        <is>
          <t>홈서비스</t>
        </is>
      </c>
      <c r="AC5337" t="n">
        <v>63360</v>
      </c>
      <c r="AD5337" t="n">
        <v>5040</v>
      </c>
      <c r="AE5337" t="n">
        <v>58320</v>
      </c>
      <c r="AF5337" t="n">
        <v>57600</v>
      </c>
      <c r="AG5337" t="n">
        <v>4873.68</v>
      </c>
      <c r="AH5337" t="n">
        <v>52726.32</v>
      </c>
      <c r="AI5337" t="n">
        <v>0</v>
      </c>
    </row>
    <row r="5338">
      <c r="A5338" t="inlineStr">
        <is>
          <t>6월</t>
        </is>
      </c>
      <c r="B5338" t="inlineStr">
        <is>
          <t>24주차</t>
        </is>
      </c>
      <c r="C5338" t="inlineStr">
        <is>
          <t>IM</t>
        </is>
      </c>
      <c r="D5338" s="28" t="n">
        <v>46183</v>
      </c>
      <c r="E5338" t="inlineStr">
        <is>
          <t>IM캐피탈</t>
        </is>
      </c>
      <c r="F5338" t="inlineStr">
        <is>
          <t>윤석진</t>
        </is>
      </c>
      <c r="G5338" t="inlineStr">
        <is>
          <t>010-7193-0599</t>
        </is>
      </c>
      <c r="H5338" t="inlineStr">
        <is>
          <t>33부1773</t>
        </is>
      </c>
      <c r="I5338" t="n">
        <v>25000000</v>
      </c>
      <c r="J5338" t="n">
        <v>0.049</v>
      </c>
      <c r="K5338" t="n">
        <v>1.1</v>
      </c>
      <c r="L5338" t="n">
        <v>0.14</v>
      </c>
      <c r="M5338" t="n">
        <v>0.96</v>
      </c>
      <c r="P5338" t="inlineStr">
        <is>
          <t>최형주</t>
        </is>
      </c>
      <c r="Q5338" t="inlineStr">
        <is>
          <t>홈서비스 72개월</t>
        </is>
      </c>
      <c r="AB5338" t="inlineStr">
        <is>
          <t>홈서비스</t>
        </is>
      </c>
      <c r="AC5338" t="n">
        <v>275000</v>
      </c>
      <c r="AD5338" t="n">
        <v>35000</v>
      </c>
      <c r="AE5338" t="n">
        <v>240000</v>
      </c>
      <c r="AF5338" t="n">
        <v>250000</v>
      </c>
      <c r="AG5338" t="n">
        <v>33845</v>
      </c>
      <c r="AH5338" t="n">
        <v>216155</v>
      </c>
      <c r="AI5338" t="n">
        <v>0</v>
      </c>
    </row>
    <row r="5339">
      <c r="A5339" t="inlineStr">
        <is>
          <t>6월</t>
        </is>
      </c>
      <c r="B5339" t="inlineStr">
        <is>
          <t>24주차</t>
        </is>
      </c>
      <c r="C5339" t="inlineStr">
        <is>
          <t>EP</t>
        </is>
      </c>
      <c r="D5339" s="28" t="n">
        <v>46183</v>
      </c>
      <c r="E5339" t="inlineStr">
        <is>
          <t>현대EP_fast</t>
        </is>
      </c>
      <c r="F5339" t="inlineStr">
        <is>
          <t>태해일</t>
        </is>
      </c>
      <c r="G5339" t="inlineStr">
        <is>
          <t>010-9067-1332</t>
        </is>
      </c>
      <c r="H5339" t="inlineStr">
        <is>
          <t>152오3099</t>
        </is>
      </c>
      <c r="I5339" t="n">
        <v>12000000</v>
      </c>
      <c r="J5339" t="n">
        <v>0.093</v>
      </c>
      <c r="K5339" t="n">
        <v>1.76</v>
      </c>
      <c r="L5339" t="n">
        <v>0.14</v>
      </c>
      <c r="M5339" t="n">
        <v>1.62</v>
      </c>
      <c r="P5339" t="inlineStr">
        <is>
          <t>최형주</t>
        </is>
      </c>
      <c r="Q5339" t="inlineStr">
        <is>
          <t>홈서비스 60개월</t>
        </is>
      </c>
      <c r="AB5339" t="inlineStr">
        <is>
          <t>홈서비스</t>
        </is>
      </c>
      <c r="AC5339" t="n">
        <v>211200</v>
      </c>
      <c r="AD5339" t="n">
        <v>16800</v>
      </c>
      <c r="AE5339" t="n">
        <v>194400</v>
      </c>
      <c r="AF5339" t="n">
        <v>192000</v>
      </c>
      <c r="AG5339" t="n">
        <v>16245.6</v>
      </c>
      <c r="AH5339" t="n">
        <v>175754.4</v>
      </c>
    </row>
    <row r="5340">
      <c r="A5340" t="inlineStr">
        <is>
          <t>6월</t>
        </is>
      </c>
      <c r="B5340" t="inlineStr">
        <is>
          <t>24주차</t>
        </is>
      </c>
      <c r="C5340" t="inlineStr">
        <is>
          <t>EP</t>
        </is>
      </c>
      <c r="D5340" s="28" t="n">
        <v>46183</v>
      </c>
      <c r="E5340" t="inlineStr">
        <is>
          <t>현대EP_fast</t>
        </is>
      </c>
      <c r="F5340" t="inlineStr">
        <is>
          <t>김진공</t>
        </is>
      </c>
      <c r="G5340" t="inlineStr">
        <is>
          <t>010-4823-0230</t>
        </is>
      </c>
      <c r="H5340" t="inlineStr">
        <is>
          <t>153가1653</t>
        </is>
      </c>
      <c r="I5340" t="n">
        <v>20000000</v>
      </c>
      <c r="J5340" t="n">
        <v>0.06900000000000001</v>
      </c>
      <c r="K5340" t="n">
        <v>1.76</v>
      </c>
      <c r="L5340" t="n">
        <v>0.14</v>
      </c>
      <c r="M5340" t="n">
        <v>1.62</v>
      </c>
      <c r="P5340" t="inlineStr">
        <is>
          <t>최형주</t>
        </is>
      </c>
      <c r="Q5340" t="inlineStr">
        <is>
          <t>홈서비스 24개월</t>
        </is>
      </c>
      <c r="AB5340" t="inlineStr">
        <is>
          <t>홈서비스</t>
        </is>
      </c>
      <c r="AC5340" t="n">
        <v>352000</v>
      </c>
      <c r="AD5340" t="n">
        <v>28000</v>
      </c>
      <c r="AE5340" t="n">
        <v>324000</v>
      </c>
      <c r="AF5340" t="n">
        <v>320000</v>
      </c>
      <c r="AG5340" t="n">
        <v>27076</v>
      </c>
      <c r="AH5340" t="n">
        <v>292924</v>
      </c>
      <c r="AI5340" t="n">
        <v>0</v>
      </c>
    </row>
    <row r="5341">
      <c r="A5341" t="inlineStr">
        <is>
          <t>6월</t>
        </is>
      </c>
      <c r="B5341" t="inlineStr">
        <is>
          <t>24주차</t>
        </is>
      </c>
      <c r="C5341" t="inlineStr">
        <is>
          <t>IM</t>
        </is>
      </c>
      <c r="D5341" s="28" t="n">
        <v>46184</v>
      </c>
      <c r="E5341" t="inlineStr">
        <is>
          <t>IM캐피탈</t>
        </is>
      </c>
      <c r="F5341" t="inlineStr">
        <is>
          <t>이채연</t>
        </is>
      </c>
      <c r="G5341" t="inlineStr">
        <is>
          <t>010-9382-5304</t>
        </is>
      </c>
      <c r="H5341" t="inlineStr">
        <is>
          <t>158다2873</t>
        </is>
      </c>
      <c r="I5341" t="n">
        <v>27400000</v>
      </c>
      <c r="J5341" t="n">
        <v>0.06900000000000001</v>
      </c>
      <c r="K5341" t="n">
        <v>1.1</v>
      </c>
      <c r="L5341" t="n">
        <v>0.14</v>
      </c>
      <c r="M5341" t="n">
        <v>0.96</v>
      </c>
      <c r="P5341" t="inlineStr">
        <is>
          <t>최형주</t>
        </is>
      </c>
      <c r="Q5341" t="inlineStr">
        <is>
          <t>홈서비스 60개월</t>
        </is>
      </c>
      <c r="AB5341" t="inlineStr">
        <is>
          <t>홈서비스</t>
        </is>
      </c>
      <c r="AC5341" t="n">
        <v>301400</v>
      </c>
      <c r="AD5341" t="n">
        <v>38360</v>
      </c>
      <c r="AE5341" t="n">
        <v>263040</v>
      </c>
      <c r="AF5341" t="n">
        <v>274000</v>
      </c>
      <c r="AG5341" t="n">
        <v>37094.12</v>
      </c>
      <c r="AH5341" t="n">
        <v>236905.88</v>
      </c>
      <c r="AI5341" t="n">
        <v>0</v>
      </c>
    </row>
    <row r="5342">
      <c r="A5342" t="inlineStr">
        <is>
          <t>6월</t>
        </is>
      </c>
      <c r="B5342" t="inlineStr">
        <is>
          <t>25주차</t>
        </is>
      </c>
      <c r="C5342" t="inlineStr">
        <is>
          <t>EP</t>
        </is>
      </c>
      <c r="D5342" s="28" t="n">
        <v>46188</v>
      </c>
      <c r="E5342" t="inlineStr">
        <is>
          <t>현대EP_fast</t>
        </is>
      </c>
      <c r="F5342" t="inlineStr">
        <is>
          <t>최준희</t>
        </is>
      </c>
      <c r="G5342" t="inlineStr">
        <is>
          <t>010-9307-5951</t>
        </is>
      </c>
      <c r="H5342" t="inlineStr">
        <is>
          <t>348라8543</t>
        </is>
      </c>
      <c r="I5342" t="n">
        <v>6700000</v>
      </c>
      <c r="J5342" t="n">
        <v>0.109</v>
      </c>
      <c r="K5342" t="n">
        <v>1.76</v>
      </c>
      <c r="L5342" t="n">
        <v>0.14</v>
      </c>
      <c r="M5342" t="n">
        <v>1.62</v>
      </c>
      <c r="P5342" t="inlineStr">
        <is>
          <t>최형주</t>
        </is>
      </c>
      <c r="Q5342" t="inlineStr">
        <is>
          <t>홈서비스 60개월</t>
        </is>
      </c>
      <c r="AB5342" t="inlineStr">
        <is>
          <t>홈서비스</t>
        </is>
      </c>
      <c r="AC5342" t="n">
        <v>117920</v>
      </c>
      <c r="AD5342" t="n">
        <v>9380</v>
      </c>
      <c r="AE5342" t="n">
        <v>108540</v>
      </c>
      <c r="AF5342" t="n">
        <v>107200</v>
      </c>
      <c r="AG5342" t="n">
        <v>9070.459999999999</v>
      </c>
      <c r="AH5342" t="n">
        <v>98129.53999999999</v>
      </c>
      <c r="AI5342" t="n">
        <v>0</v>
      </c>
    </row>
    <row r="5343">
      <c r="A5343" t="inlineStr">
        <is>
          <t>6월</t>
        </is>
      </c>
      <c r="B5343" t="inlineStr">
        <is>
          <t>25주차</t>
        </is>
      </c>
      <c r="C5343" t="inlineStr">
        <is>
          <t>IM</t>
        </is>
      </c>
      <c r="D5343" s="28" t="n">
        <v>46188</v>
      </c>
      <c r="E5343" t="inlineStr">
        <is>
          <t>IM캐피탈</t>
        </is>
      </c>
      <c r="F5343" t="inlineStr">
        <is>
          <t>정종배</t>
        </is>
      </c>
      <c r="G5343" t="inlineStr">
        <is>
          <t>010-2878-8699</t>
        </is>
      </c>
      <c r="H5343" t="inlineStr">
        <is>
          <t>308다4383</t>
        </is>
      </c>
      <c r="I5343" t="n">
        <v>26900000</v>
      </c>
      <c r="J5343" t="n">
        <v>0.053</v>
      </c>
      <c r="K5343" t="n">
        <v>1.1</v>
      </c>
      <c r="L5343" t="n">
        <v>0.14</v>
      </c>
      <c r="M5343" t="n">
        <v>0.96</v>
      </c>
      <c r="P5343" t="inlineStr">
        <is>
          <t>박현민</t>
        </is>
      </c>
      <c r="Q5343" t="inlineStr">
        <is>
          <t>홈서비스 60개월</t>
        </is>
      </c>
      <c r="AB5343" t="inlineStr">
        <is>
          <t>홈서비스</t>
        </is>
      </c>
      <c r="AC5343" t="n">
        <v>295900</v>
      </c>
      <c r="AD5343" t="n">
        <v>37660</v>
      </c>
      <c r="AE5343" t="n">
        <v>258240</v>
      </c>
      <c r="AF5343" t="n">
        <v>269000</v>
      </c>
      <c r="AG5343" t="n">
        <v>36417.22</v>
      </c>
      <c r="AH5343" t="n">
        <v>232582.78</v>
      </c>
      <c r="AI5343" t="n">
        <v>0</v>
      </c>
    </row>
    <row r="5344">
      <c r="A5344" t="inlineStr">
        <is>
          <t>6월</t>
        </is>
      </c>
      <c r="B5344" t="inlineStr">
        <is>
          <t>25주차</t>
        </is>
      </c>
      <c r="C5344" t="inlineStr">
        <is>
          <t>WR</t>
        </is>
      </c>
      <c r="D5344" s="28" t="n">
        <v>46188</v>
      </c>
      <c r="E5344" t="inlineStr">
        <is>
          <t>우리금융</t>
        </is>
      </c>
      <c r="F5344" t="inlineStr">
        <is>
          <t>김영대</t>
        </is>
      </c>
      <c r="G5344" t="inlineStr">
        <is>
          <t>010-7658-8011</t>
        </is>
      </c>
      <c r="H5344" t="inlineStr">
        <is>
          <t>131부4305</t>
        </is>
      </c>
      <c r="I5344" t="n">
        <v>24000000</v>
      </c>
      <c r="J5344" t="n">
        <v>0.075</v>
      </c>
      <c r="K5344" t="n">
        <v>2.2</v>
      </c>
      <c r="L5344" t="n">
        <v>0.14</v>
      </c>
      <c r="M5344" t="n">
        <v>2.06</v>
      </c>
      <c r="P5344" t="inlineStr">
        <is>
          <t>박소현</t>
        </is>
      </c>
      <c r="Q5344" t="inlineStr">
        <is>
          <t>홈서비스 60개월</t>
        </is>
      </c>
      <c r="AB5344" t="inlineStr">
        <is>
          <t>홈서비스</t>
        </is>
      </c>
      <c r="AC5344" t="n">
        <v>528000</v>
      </c>
      <c r="AD5344" t="n">
        <v>33600</v>
      </c>
      <c r="AE5344" t="n">
        <v>494400</v>
      </c>
      <c r="AF5344" t="n">
        <v>480000</v>
      </c>
      <c r="AG5344" t="n">
        <v>32491.2</v>
      </c>
      <c r="AH5344" t="n">
        <v>447508.8</v>
      </c>
      <c r="AI5344" t="n">
        <v>0</v>
      </c>
    </row>
    <row r="5345">
      <c r="A5345" t="inlineStr">
        <is>
          <t>6월</t>
        </is>
      </c>
      <c r="B5345" t="inlineStr">
        <is>
          <t>25주차</t>
        </is>
      </c>
      <c r="C5345" t="inlineStr">
        <is>
          <t>IM</t>
        </is>
      </c>
      <c r="D5345" s="28" t="n">
        <v>46188</v>
      </c>
      <c r="E5345" t="inlineStr">
        <is>
          <t>IM캐피탈</t>
        </is>
      </c>
      <c r="F5345" t="inlineStr">
        <is>
          <t>천명박</t>
        </is>
      </c>
      <c r="G5345" t="inlineStr">
        <is>
          <t>010-8029-0415</t>
        </is>
      </c>
      <c r="H5345" t="inlineStr">
        <is>
          <t>281누2830</t>
        </is>
      </c>
      <c r="I5345" t="n">
        <v>40900000</v>
      </c>
      <c r="J5345" t="n">
        <v>0.063</v>
      </c>
      <c r="K5345" t="n">
        <v>1.1</v>
      </c>
      <c r="L5345" t="n">
        <v>0.14</v>
      </c>
      <c r="M5345" t="n">
        <v>0.96</v>
      </c>
      <c r="P5345" t="inlineStr">
        <is>
          <t>임대경</t>
        </is>
      </c>
      <c r="Q5345" t="inlineStr">
        <is>
          <t>홈서비스 36개월</t>
        </is>
      </c>
      <c r="AB5345" t="inlineStr">
        <is>
          <t>홈서비스</t>
        </is>
      </c>
      <c r="AC5345" t="n">
        <v>449900</v>
      </c>
      <c r="AD5345" t="n">
        <v>57260</v>
      </c>
      <c r="AE5345" t="n">
        <v>392640</v>
      </c>
      <c r="AF5345" t="n">
        <v>409000</v>
      </c>
      <c r="AG5345" t="n">
        <v>55370.42</v>
      </c>
      <c r="AH5345" t="n">
        <v>353629.58</v>
      </c>
      <c r="AI5345" t="n">
        <v>0</v>
      </c>
    </row>
    <row r="5346">
      <c r="A5346" t="inlineStr">
        <is>
          <t>6월</t>
        </is>
      </c>
      <c r="B5346" t="inlineStr">
        <is>
          <t>25주차</t>
        </is>
      </c>
      <c r="C5346" t="inlineStr">
        <is>
          <t>IM</t>
        </is>
      </c>
      <c r="D5346" s="28" t="n">
        <v>46188</v>
      </c>
      <c r="E5346" t="inlineStr">
        <is>
          <t>IM캐피탈</t>
        </is>
      </c>
      <c r="F5346" t="inlineStr">
        <is>
          <t>박종원</t>
        </is>
      </c>
      <c r="G5346" t="inlineStr">
        <is>
          <t>010-6542-4342</t>
        </is>
      </c>
      <c r="H5346" t="inlineStr">
        <is>
          <t>129보6135</t>
        </is>
      </c>
      <c r="I5346" t="n">
        <v>5000000</v>
      </c>
      <c r="J5346" t="n">
        <v>0.063</v>
      </c>
      <c r="K5346" t="n">
        <v>1.1</v>
      </c>
      <c r="L5346" t="n">
        <v>0.14</v>
      </c>
      <c r="M5346" t="n">
        <v>0.96</v>
      </c>
      <c r="P5346" t="inlineStr">
        <is>
          <t>김나윤</t>
        </is>
      </c>
      <c r="Q5346" t="inlineStr">
        <is>
          <t>홈서비스 36개월</t>
        </is>
      </c>
      <c r="AB5346" t="inlineStr">
        <is>
          <t>홈서비스</t>
        </is>
      </c>
      <c r="AC5346" t="n">
        <v>55000</v>
      </c>
      <c r="AD5346" t="n">
        <v>7000</v>
      </c>
      <c r="AE5346" t="n">
        <v>48000</v>
      </c>
      <c r="AF5346" t="n">
        <v>50000</v>
      </c>
      <c r="AG5346" t="n">
        <v>6769</v>
      </c>
      <c r="AH5346" t="n">
        <v>43231</v>
      </c>
      <c r="AI5346" t="n">
        <v>0</v>
      </c>
    </row>
    <row r="5347">
      <c r="A5347" t="inlineStr">
        <is>
          <t>6월</t>
        </is>
      </c>
      <c r="B5347" t="inlineStr">
        <is>
          <t>25주차</t>
        </is>
      </c>
      <c r="C5347" t="inlineStr">
        <is>
          <t>EP</t>
        </is>
      </c>
      <c r="D5347" s="28" t="n">
        <v>46188</v>
      </c>
      <c r="E5347" t="inlineStr">
        <is>
          <t>현대EP_fast</t>
        </is>
      </c>
      <c r="F5347" t="inlineStr">
        <is>
          <t>서고은</t>
        </is>
      </c>
      <c r="G5347" t="inlineStr">
        <is>
          <t>010-3861-4179</t>
        </is>
      </c>
      <c r="H5347" t="inlineStr">
        <is>
          <t>05어4303</t>
        </is>
      </c>
      <c r="I5347" t="n">
        <v>8500000</v>
      </c>
      <c r="J5347" t="n">
        <v>0.113</v>
      </c>
      <c r="K5347" t="n">
        <v>1.76</v>
      </c>
      <c r="L5347" t="n">
        <v>0.14</v>
      </c>
      <c r="M5347" t="n">
        <v>1.62</v>
      </c>
      <c r="P5347" t="inlineStr">
        <is>
          <t>임대경</t>
        </is>
      </c>
      <c r="Q5347" t="inlineStr">
        <is>
          <t>홈서비스 48개월</t>
        </is>
      </c>
      <c r="AB5347" t="inlineStr">
        <is>
          <t>홈서비스</t>
        </is>
      </c>
      <c r="AC5347" t="n">
        <v>149600</v>
      </c>
      <c r="AD5347" t="n">
        <v>11900</v>
      </c>
      <c r="AE5347" t="n">
        <v>137700</v>
      </c>
      <c r="AF5347" t="n">
        <v>136000</v>
      </c>
      <c r="AG5347" t="n">
        <v>11507.3</v>
      </c>
      <c r="AH5347" t="n">
        <v>124492.7</v>
      </c>
      <c r="AI5347" t="n">
        <v>0</v>
      </c>
    </row>
    <row r="5348">
      <c r="A5348" t="inlineStr">
        <is>
          <t>6월</t>
        </is>
      </c>
      <c r="B5348" t="inlineStr">
        <is>
          <t>25주차</t>
        </is>
      </c>
      <c r="C5348" t="inlineStr">
        <is>
          <t>EP</t>
        </is>
      </c>
      <c r="D5348" s="28" t="n">
        <v>46188</v>
      </c>
      <c r="E5348" t="inlineStr">
        <is>
          <t>현대EP_fast</t>
        </is>
      </c>
      <c r="F5348" t="inlineStr">
        <is>
          <t>최수빈</t>
        </is>
      </c>
      <c r="G5348" t="inlineStr">
        <is>
          <t>010-4534-6103</t>
        </is>
      </c>
      <c r="H5348" t="inlineStr">
        <is>
          <t>308모7140</t>
        </is>
      </c>
      <c r="I5348" t="n">
        <v>29400000</v>
      </c>
      <c r="J5348" t="n">
        <v>0.093</v>
      </c>
      <c r="K5348" t="n">
        <v>1.76</v>
      </c>
      <c r="L5348" t="n">
        <v>0.14</v>
      </c>
      <c r="M5348" t="n">
        <v>1.62</v>
      </c>
      <c r="P5348" t="inlineStr">
        <is>
          <t>임대경</t>
        </is>
      </c>
      <c r="Q5348" t="inlineStr">
        <is>
          <t>홈서비스 60개월</t>
        </is>
      </c>
      <c r="AB5348" t="inlineStr">
        <is>
          <t>홈서비스</t>
        </is>
      </c>
      <c r="AC5348" t="n">
        <v>517440</v>
      </c>
      <c r="AD5348" t="n">
        <v>41160</v>
      </c>
      <c r="AE5348" t="n">
        <v>476280</v>
      </c>
      <c r="AF5348" t="n">
        <v>470400</v>
      </c>
      <c r="AG5348" t="n">
        <v>39801.72</v>
      </c>
      <c r="AH5348" t="n">
        <v>430598.28</v>
      </c>
      <c r="AI5348" t="n">
        <v>0</v>
      </c>
    </row>
    <row r="5349">
      <c r="A5349" t="inlineStr">
        <is>
          <t>6월</t>
        </is>
      </c>
      <c r="B5349" t="inlineStr">
        <is>
          <t>25주차</t>
        </is>
      </c>
      <c r="C5349" t="inlineStr">
        <is>
          <t>EP</t>
        </is>
      </c>
      <c r="D5349" s="28" t="n">
        <v>46188</v>
      </c>
      <c r="E5349" t="inlineStr">
        <is>
          <t>현대EP_fast</t>
        </is>
      </c>
      <c r="F5349" t="inlineStr">
        <is>
          <t>최현숙</t>
        </is>
      </c>
      <c r="G5349" t="inlineStr">
        <is>
          <t>010-3385-1184</t>
        </is>
      </c>
      <c r="H5349" t="inlineStr">
        <is>
          <t>371라4203</t>
        </is>
      </c>
      <c r="I5349" t="n">
        <v>22500000</v>
      </c>
      <c r="J5349" t="n">
        <v>0.07000000000000001</v>
      </c>
      <c r="K5349" t="n">
        <v>1.76</v>
      </c>
      <c r="L5349" t="n">
        <v>0.14</v>
      </c>
      <c r="M5349" t="n">
        <v>1.62</v>
      </c>
      <c r="P5349" t="inlineStr">
        <is>
          <t>임대경</t>
        </is>
      </c>
      <c r="Q5349" t="inlineStr">
        <is>
          <t>홈서비스 60개월</t>
        </is>
      </c>
      <c r="AB5349" t="inlineStr">
        <is>
          <t>홈서비스</t>
        </is>
      </c>
      <c r="AC5349" t="n">
        <v>396000</v>
      </c>
      <c r="AD5349" t="n">
        <v>31500</v>
      </c>
      <c r="AE5349" t="n">
        <v>364500</v>
      </c>
      <c r="AF5349" t="n">
        <v>360000</v>
      </c>
      <c r="AG5349" t="n">
        <v>30460.5</v>
      </c>
      <c r="AH5349" t="n">
        <v>329539.5</v>
      </c>
      <c r="AI5349" t="n">
        <v>0</v>
      </c>
    </row>
    <row r="5350">
      <c r="A5350" t="inlineStr">
        <is>
          <t>6월</t>
        </is>
      </c>
      <c r="B5350" t="inlineStr">
        <is>
          <t>25주차</t>
        </is>
      </c>
      <c r="C5350" t="inlineStr">
        <is>
          <t>EP</t>
        </is>
      </c>
      <c r="D5350" s="28" t="n">
        <v>46188</v>
      </c>
      <c r="E5350" t="inlineStr">
        <is>
          <t>현대EP_fast</t>
        </is>
      </c>
      <c r="F5350" t="inlineStr">
        <is>
          <t>이국환</t>
        </is>
      </c>
      <c r="G5350" t="inlineStr">
        <is>
          <t>010-8694-0893</t>
        </is>
      </c>
      <c r="H5350" t="inlineStr">
        <is>
          <t>23보7772</t>
        </is>
      </c>
      <c r="I5350" t="n">
        <v>5300000</v>
      </c>
      <c r="J5350" t="n">
        <v>0.06900000000000001</v>
      </c>
      <c r="K5350" t="n">
        <v>1.76</v>
      </c>
      <c r="L5350" t="n">
        <v>0.14</v>
      </c>
      <c r="M5350" t="n">
        <v>1.62</v>
      </c>
      <c r="P5350" t="inlineStr">
        <is>
          <t>정세빈</t>
        </is>
      </c>
      <c r="Q5350" t="inlineStr">
        <is>
          <t>홈서비스 24개월</t>
        </is>
      </c>
      <c r="AB5350" t="inlineStr">
        <is>
          <t>홈서비스</t>
        </is>
      </c>
      <c r="AC5350" t="n">
        <v>93280</v>
      </c>
      <c r="AD5350" t="n">
        <v>7420</v>
      </c>
      <c r="AE5350" t="n">
        <v>85860</v>
      </c>
      <c r="AF5350" t="n">
        <v>84800</v>
      </c>
      <c r="AG5350" t="n">
        <v>7175.14</v>
      </c>
      <c r="AH5350" t="n">
        <v>77624.86</v>
      </c>
      <c r="AI5350" t="n">
        <v>0</v>
      </c>
    </row>
    <row r="5351">
      <c r="A5351" t="inlineStr">
        <is>
          <t>6월</t>
        </is>
      </c>
      <c r="B5351" t="inlineStr">
        <is>
          <t>25주차</t>
        </is>
      </c>
      <c r="C5351" t="inlineStr">
        <is>
          <t>WR</t>
        </is>
      </c>
      <c r="D5351" s="28" t="n">
        <v>46188</v>
      </c>
      <c r="E5351" t="inlineStr">
        <is>
          <t>우리금융</t>
        </is>
      </c>
      <c r="F5351" t="inlineStr">
        <is>
          <t>송인준</t>
        </is>
      </c>
      <c r="G5351" t="inlineStr">
        <is>
          <t>010-4772-0263</t>
        </is>
      </c>
      <c r="H5351" t="inlineStr">
        <is>
          <t>233가9022</t>
        </is>
      </c>
      <c r="I5351" t="n">
        <v>15000000</v>
      </c>
      <c r="J5351" t="n">
        <v>0.075</v>
      </c>
      <c r="K5351" t="n">
        <v>2.2</v>
      </c>
      <c r="L5351" t="n">
        <v>0.14</v>
      </c>
      <c r="M5351" t="n">
        <v>2.06</v>
      </c>
      <c r="P5351" t="inlineStr">
        <is>
          <t>박보람</t>
        </is>
      </c>
      <c r="Q5351" t="inlineStr">
        <is>
          <t>poc진행건 선상담 장진경</t>
        </is>
      </c>
      <c r="AB5351" t="inlineStr">
        <is>
          <t>홈서비스</t>
        </is>
      </c>
      <c r="AC5351" t="n">
        <v>330000</v>
      </c>
      <c r="AD5351" t="n">
        <v>21000</v>
      </c>
      <c r="AE5351" t="n">
        <v>309000</v>
      </c>
      <c r="AF5351" t="n">
        <v>300000</v>
      </c>
      <c r="AG5351" t="n">
        <v>20307</v>
      </c>
      <c r="AH5351" t="n">
        <v>279693</v>
      </c>
      <c r="AI5351" t="n">
        <v>0</v>
      </c>
    </row>
    <row r="5352">
      <c r="A5352" t="inlineStr">
        <is>
          <t>12월</t>
        </is>
      </c>
      <c r="B5352" t="inlineStr">
        <is>
          <t>52주차</t>
        </is>
      </c>
      <c r="C5352" t="e">
        <v>#N/A</v>
      </c>
      <c r="K5352" t="n">
        <v>0</v>
      </c>
      <c r="L5352" t="n">
        <v>0</v>
      </c>
      <c r="M5352" t="n">
        <v>0</v>
      </c>
      <c r="AC5352" t="n">
        <v>0</v>
      </c>
      <c r="AD5352" t="n">
        <v>0</v>
      </c>
      <c r="AE5352" t="n">
        <v>0</v>
      </c>
      <c r="AF5352" t="n">
        <v>0</v>
      </c>
      <c r="AG5352" t="n">
        <v>0</v>
      </c>
      <c r="AH5352" t="n">
        <v>0</v>
      </c>
    </row>
    <row r="5353">
      <c r="A5353" t="inlineStr">
        <is>
          <t>12월</t>
        </is>
      </c>
      <c r="B5353" t="inlineStr">
        <is>
          <t>52주차</t>
        </is>
      </c>
      <c r="C5353" t="e">
        <v>#N/A</v>
      </c>
      <c r="K5353" t="n">
        <v>0</v>
      </c>
      <c r="L5353" t="n">
        <v>0</v>
      </c>
      <c r="M5353" t="n">
        <v>0</v>
      </c>
      <c r="AC5353" t="n">
        <v>0</v>
      </c>
      <c r="AD5353" t="n">
        <v>0</v>
      </c>
      <c r="AE5353" t="n">
        <v>0</v>
      </c>
      <c r="AF5353" t="n">
        <v>0</v>
      </c>
      <c r="AG5353" t="n">
        <v>0</v>
      </c>
      <c r="AH5353" t="n">
        <v>0</v>
      </c>
    </row>
    <row r="5354">
      <c r="A5354" t="inlineStr">
        <is>
          <t>12월</t>
        </is>
      </c>
      <c r="B5354" t="inlineStr">
        <is>
          <t>52주차</t>
        </is>
      </c>
      <c r="C5354" t="e">
        <v>#N/A</v>
      </c>
      <c r="K5354" t="n">
        <v>0</v>
      </c>
      <c r="L5354" t="n">
        <v>0</v>
      </c>
      <c r="M5354" t="n">
        <v>0</v>
      </c>
      <c r="AC5354" t="n">
        <v>0</v>
      </c>
      <c r="AD5354" t="n">
        <v>0</v>
      </c>
      <c r="AE5354" t="n">
        <v>0</v>
      </c>
      <c r="AF5354" t="n">
        <v>0</v>
      </c>
      <c r="AG5354" t="n">
        <v>0</v>
      </c>
      <c r="AH5354" t="n">
        <v>0</v>
      </c>
    </row>
    <row r="5355">
      <c r="A5355" t="inlineStr">
        <is>
          <t>12월</t>
        </is>
      </c>
      <c r="B5355" t="inlineStr">
        <is>
          <t>52주차</t>
        </is>
      </c>
      <c r="C5355" t="e">
        <v>#N/A</v>
      </c>
      <c r="K5355" t="n">
        <v>0</v>
      </c>
      <c r="L5355" t="n">
        <v>0</v>
      </c>
      <c r="M5355" t="n">
        <v>0</v>
      </c>
      <c r="AC5355" t="n">
        <v>0</v>
      </c>
      <c r="AD5355" t="n">
        <v>0</v>
      </c>
      <c r="AE5355" t="n">
        <v>0</v>
      </c>
      <c r="AF5355" t="n">
        <v>0</v>
      </c>
      <c r="AG5355" t="n">
        <v>0</v>
      </c>
      <c r="AH5355" t="n">
        <v>0</v>
      </c>
    </row>
    <row r="5356">
      <c r="A5356" t="inlineStr">
        <is>
          <t>12월</t>
        </is>
      </c>
      <c r="B5356" t="inlineStr">
        <is>
          <t>52주차</t>
        </is>
      </c>
      <c r="C5356" t="e">
        <v>#N/A</v>
      </c>
      <c r="K5356" t="n">
        <v>0</v>
      </c>
      <c r="L5356" t="n">
        <v>0</v>
      </c>
      <c r="M5356" t="n">
        <v>0</v>
      </c>
      <c r="AC5356" t="n">
        <v>0</v>
      </c>
      <c r="AD5356" t="n">
        <v>0</v>
      </c>
      <c r="AE5356" t="n">
        <v>0</v>
      </c>
      <c r="AF5356" t="n">
        <v>0</v>
      </c>
      <c r="AG5356" t="n">
        <v>0</v>
      </c>
      <c r="AH5356" t="n">
        <v>0</v>
      </c>
    </row>
    <row r="5357">
      <c r="A5357" t="inlineStr">
        <is>
          <t>12월</t>
        </is>
      </c>
      <c r="B5357" t="inlineStr">
        <is>
          <t>52주차</t>
        </is>
      </c>
      <c r="C5357" t="e">
        <v>#N/A</v>
      </c>
      <c r="K5357" t="n">
        <v>0</v>
      </c>
      <c r="L5357" t="n">
        <v>0</v>
      </c>
      <c r="M5357" t="n">
        <v>0</v>
      </c>
      <c r="AC5357" t="n">
        <v>0</v>
      </c>
      <c r="AD5357" t="n">
        <v>0</v>
      </c>
      <c r="AE5357" t="n">
        <v>0</v>
      </c>
      <c r="AF5357" t="n">
        <v>0</v>
      </c>
      <c r="AG5357" t="n">
        <v>0</v>
      </c>
      <c r="AH5357" t="n">
        <v>0</v>
      </c>
    </row>
    <row r="5358">
      <c r="A5358" t="inlineStr">
        <is>
          <t>12월</t>
        </is>
      </c>
      <c r="B5358" t="inlineStr">
        <is>
          <t>52주차</t>
        </is>
      </c>
      <c r="C5358" t="e">
        <v>#N/A</v>
      </c>
      <c r="K5358" t="n">
        <v>0</v>
      </c>
      <c r="L5358" t="n">
        <v>0</v>
      </c>
      <c r="M5358" t="n">
        <v>0</v>
      </c>
      <c r="AC5358" t="n">
        <v>0</v>
      </c>
      <c r="AD5358" t="n">
        <v>0</v>
      </c>
      <c r="AE5358" t="n">
        <v>0</v>
      </c>
      <c r="AF5358" t="n">
        <v>0</v>
      </c>
      <c r="AG5358" t="n">
        <v>0</v>
      </c>
      <c r="AH5358" t="n">
        <v>0</v>
      </c>
    </row>
    <row r="5359">
      <c r="A5359" t="inlineStr">
        <is>
          <t>12월</t>
        </is>
      </c>
      <c r="B5359" t="inlineStr">
        <is>
          <t>52주차</t>
        </is>
      </c>
      <c r="C5359" t="e">
        <v>#N/A</v>
      </c>
      <c r="K5359" t="n">
        <v>0</v>
      </c>
      <c r="L5359" t="n">
        <v>0</v>
      </c>
      <c r="M5359" t="n">
        <v>0</v>
      </c>
      <c r="AC5359" t="n">
        <v>0</v>
      </c>
      <c r="AD5359" t="n">
        <v>0</v>
      </c>
      <c r="AE5359" t="n">
        <v>0</v>
      </c>
      <c r="AF5359" t="n">
        <v>0</v>
      </c>
      <c r="AG5359" t="n">
        <v>0</v>
      </c>
      <c r="AH5359" t="n">
        <v>0</v>
      </c>
      <c r="AI5359" t="n">
        <v>0</v>
      </c>
    </row>
    <row r="5360">
      <c r="A5360" t="inlineStr">
        <is>
          <t>12월</t>
        </is>
      </c>
      <c r="B5360" t="inlineStr">
        <is>
          <t>52주차</t>
        </is>
      </c>
      <c r="C5360" t="e">
        <v>#N/A</v>
      </c>
      <c r="K5360" t="n">
        <v>0</v>
      </c>
      <c r="L5360" t="n">
        <v>0</v>
      </c>
      <c r="M5360" t="n">
        <v>0</v>
      </c>
      <c r="AC5360" t="n">
        <v>0</v>
      </c>
      <c r="AD5360" t="n">
        <v>0</v>
      </c>
      <c r="AE5360" t="n">
        <v>0</v>
      </c>
      <c r="AF5360" t="n">
        <v>0</v>
      </c>
      <c r="AG5360" t="n">
        <v>0</v>
      </c>
      <c r="AH5360" t="n">
        <v>0</v>
      </c>
      <c r="AI5360" t="n">
        <v>0</v>
      </c>
    </row>
    <row r="5361">
      <c r="A5361" t="inlineStr">
        <is>
          <t>12월</t>
        </is>
      </c>
      <c r="B5361" t="inlineStr">
        <is>
          <t>52주차</t>
        </is>
      </c>
      <c r="C5361" t="e">
        <v>#N/A</v>
      </c>
      <c r="K5361" t="n">
        <v>0</v>
      </c>
      <c r="L5361" t="n">
        <v>0</v>
      </c>
      <c r="M5361" t="n">
        <v>0</v>
      </c>
      <c r="AC5361" t="n">
        <v>0</v>
      </c>
      <c r="AD5361" t="n">
        <v>0</v>
      </c>
      <c r="AE5361" t="n">
        <v>0</v>
      </c>
      <c r="AF5361" t="n">
        <v>0</v>
      </c>
      <c r="AG5361" t="n">
        <v>0</v>
      </c>
      <c r="AH5361" t="n">
        <v>0</v>
      </c>
      <c r="AI5361" t="n">
        <v>0</v>
      </c>
    </row>
    <row r="5362">
      <c r="A5362" t="inlineStr">
        <is>
          <t>12월</t>
        </is>
      </c>
      <c r="B5362" t="inlineStr">
        <is>
          <t>52주차</t>
        </is>
      </c>
      <c r="C5362" t="e">
        <v>#N/A</v>
      </c>
      <c r="K5362" t="n">
        <v>0</v>
      </c>
      <c r="L5362" t="n">
        <v>0</v>
      </c>
      <c r="M5362" t="n">
        <v>0</v>
      </c>
      <c r="AC5362" t="n">
        <v>0</v>
      </c>
      <c r="AD5362" t="n">
        <v>0</v>
      </c>
      <c r="AE5362" t="n">
        <v>0</v>
      </c>
      <c r="AF5362" t="n">
        <v>0</v>
      </c>
      <c r="AG5362" t="n">
        <v>0</v>
      </c>
      <c r="AH5362" t="n">
        <v>0</v>
      </c>
      <c r="AI5362" t="n">
        <v>0</v>
      </c>
    </row>
    <row r="5363">
      <c r="A5363" t="inlineStr">
        <is>
          <t>12월</t>
        </is>
      </c>
      <c r="B5363" t="inlineStr">
        <is>
          <t>52주차</t>
        </is>
      </c>
      <c r="C5363" t="e">
        <v>#N/A</v>
      </c>
      <c r="K5363" t="n">
        <v>0</v>
      </c>
      <c r="L5363" t="n">
        <v>0</v>
      </c>
      <c r="M5363" t="n">
        <v>0</v>
      </c>
      <c r="AC5363" t="n">
        <v>0</v>
      </c>
      <c r="AD5363" t="n">
        <v>0</v>
      </c>
      <c r="AE5363" t="n">
        <v>0</v>
      </c>
      <c r="AF5363" t="n">
        <v>0</v>
      </c>
      <c r="AG5363" t="n">
        <v>0</v>
      </c>
      <c r="AH5363" t="n">
        <v>0</v>
      </c>
      <c r="AI5363" t="n">
        <v>0</v>
      </c>
    </row>
    <row r="5364">
      <c r="A5364" t="inlineStr">
        <is>
          <t>12월</t>
        </is>
      </c>
      <c r="B5364" t="inlineStr">
        <is>
          <t>52주차</t>
        </is>
      </c>
      <c r="C5364" t="e">
        <v>#N/A</v>
      </c>
      <c r="K5364" t="n">
        <v>0</v>
      </c>
      <c r="L5364" t="n">
        <v>0</v>
      </c>
      <c r="M5364" t="n">
        <v>0</v>
      </c>
      <c r="AC5364" t="n">
        <v>0</v>
      </c>
      <c r="AD5364" t="n">
        <v>0</v>
      </c>
      <c r="AE5364" t="n">
        <v>0</v>
      </c>
      <c r="AF5364" t="n">
        <v>0</v>
      </c>
      <c r="AG5364" t="n">
        <v>0</v>
      </c>
      <c r="AH5364" t="n">
        <v>0</v>
      </c>
      <c r="AI5364" t="n">
        <v>0</v>
      </c>
    </row>
    <row r="5365">
      <c r="A5365" t="inlineStr">
        <is>
          <t>12월</t>
        </is>
      </c>
      <c r="B5365" t="inlineStr">
        <is>
          <t>52주차</t>
        </is>
      </c>
      <c r="C5365" t="e">
        <v>#N/A</v>
      </c>
      <c r="K5365" t="n">
        <v>0</v>
      </c>
      <c r="L5365" t="n">
        <v>0</v>
      </c>
      <c r="M5365" t="n">
        <v>0</v>
      </c>
      <c r="AC5365" t="n">
        <v>0</v>
      </c>
      <c r="AD5365" t="n">
        <v>0</v>
      </c>
      <c r="AE5365" t="n">
        <v>0</v>
      </c>
      <c r="AF5365" t="n">
        <v>0</v>
      </c>
      <c r="AG5365" t="n">
        <v>0</v>
      </c>
      <c r="AH5365" t="n">
        <v>0</v>
      </c>
      <c r="AI5365" t="n">
        <v>0</v>
      </c>
    </row>
    <row r="5366">
      <c r="A5366" t="inlineStr">
        <is>
          <t>12월</t>
        </is>
      </c>
      <c r="B5366" t="inlineStr">
        <is>
          <t>52주차</t>
        </is>
      </c>
      <c r="C5366" t="e">
        <v>#N/A</v>
      </c>
      <c r="K5366" t="n">
        <v>0</v>
      </c>
      <c r="L5366" t="n">
        <v>0</v>
      </c>
      <c r="M5366" t="n">
        <v>0</v>
      </c>
      <c r="AC5366" t="n">
        <v>0</v>
      </c>
      <c r="AD5366" t="n">
        <v>0</v>
      </c>
      <c r="AE5366" t="n">
        <v>0</v>
      </c>
      <c r="AF5366" t="n">
        <v>0</v>
      </c>
      <c r="AG5366" t="n">
        <v>0</v>
      </c>
      <c r="AH5366" t="n">
        <v>0</v>
      </c>
      <c r="AI5366" t="n">
        <v>0</v>
      </c>
    </row>
    <row r="5367">
      <c r="A5367" t="inlineStr">
        <is>
          <t>12월</t>
        </is>
      </c>
      <c r="B5367" t="inlineStr">
        <is>
          <t>52주차</t>
        </is>
      </c>
      <c r="C5367" t="e">
        <v>#N/A</v>
      </c>
      <c r="K5367" t="n">
        <v>0</v>
      </c>
      <c r="L5367" t="n">
        <v>0</v>
      </c>
      <c r="M5367" t="n">
        <v>0</v>
      </c>
      <c r="AC5367" t="n">
        <v>0</v>
      </c>
      <c r="AD5367" t="n">
        <v>0</v>
      </c>
      <c r="AE5367" t="n">
        <v>0</v>
      </c>
      <c r="AF5367" t="n">
        <v>0</v>
      </c>
      <c r="AG5367" t="n">
        <v>0</v>
      </c>
      <c r="AH5367" t="n">
        <v>0</v>
      </c>
      <c r="AI5367" t="n">
        <v>0</v>
      </c>
    </row>
    <row r="5368">
      <c r="A5368" t="inlineStr">
        <is>
          <t>12월</t>
        </is>
      </c>
      <c r="B5368" t="inlineStr">
        <is>
          <t>52주차</t>
        </is>
      </c>
      <c r="C5368" t="e">
        <v>#N/A</v>
      </c>
      <c r="K5368" t="n">
        <v>0</v>
      </c>
      <c r="L5368" t="n">
        <v>0</v>
      </c>
      <c r="M5368" t="n">
        <v>0</v>
      </c>
      <c r="AC5368" t="n">
        <v>0</v>
      </c>
      <c r="AD5368" t="n">
        <v>0</v>
      </c>
      <c r="AE5368" t="n">
        <v>0</v>
      </c>
      <c r="AF5368" t="n">
        <v>0</v>
      </c>
      <c r="AG5368" t="n">
        <v>0</v>
      </c>
      <c r="AH5368" t="n">
        <v>0</v>
      </c>
      <c r="AI5368" t="n">
        <v>0</v>
      </c>
    </row>
    <row r="5369">
      <c r="A5369" t="inlineStr">
        <is>
          <t>12월</t>
        </is>
      </c>
      <c r="B5369" t="inlineStr">
        <is>
          <t>52주차</t>
        </is>
      </c>
      <c r="C5369" t="e">
        <v>#N/A</v>
      </c>
      <c r="K5369" t="n">
        <v>0</v>
      </c>
      <c r="L5369" t="n">
        <v>0</v>
      </c>
      <c r="M5369" t="n">
        <v>0</v>
      </c>
      <c r="AC5369" t="n">
        <v>0</v>
      </c>
      <c r="AD5369" t="n">
        <v>0</v>
      </c>
      <c r="AE5369" t="n">
        <v>0</v>
      </c>
      <c r="AF5369" t="n">
        <v>0</v>
      </c>
      <c r="AG5369" t="n">
        <v>0</v>
      </c>
      <c r="AH5369" t="n">
        <v>0</v>
      </c>
      <c r="AI5369" t="n">
        <v>0</v>
      </c>
    </row>
    <row r="5370">
      <c r="A5370" t="inlineStr">
        <is>
          <t>12월</t>
        </is>
      </c>
      <c r="B5370" t="inlineStr">
        <is>
          <t>52주차</t>
        </is>
      </c>
      <c r="C5370" t="e">
        <v>#N/A</v>
      </c>
      <c r="K5370" t="n">
        <v>0</v>
      </c>
      <c r="L5370" t="n">
        <v>0</v>
      </c>
      <c r="M5370" t="n">
        <v>0</v>
      </c>
      <c r="AC5370" t="n">
        <v>0</v>
      </c>
      <c r="AD5370" t="n">
        <v>0</v>
      </c>
      <c r="AE5370" t="n">
        <v>0</v>
      </c>
      <c r="AF5370" t="n">
        <v>0</v>
      </c>
      <c r="AG5370" t="n">
        <v>0</v>
      </c>
      <c r="AH5370" t="n">
        <v>0</v>
      </c>
      <c r="AI5370" t="n">
        <v>0</v>
      </c>
    </row>
    <row r="5371">
      <c r="A5371" t="inlineStr">
        <is>
          <t>12월</t>
        </is>
      </c>
      <c r="B5371" t="inlineStr">
        <is>
          <t>52주차</t>
        </is>
      </c>
      <c r="C5371" t="e">
        <v>#N/A</v>
      </c>
      <c r="K5371" t="n">
        <v>0</v>
      </c>
      <c r="L5371" t="n">
        <v>0</v>
      </c>
      <c r="M5371" t="n">
        <v>0</v>
      </c>
      <c r="AC5371" t="n">
        <v>0</v>
      </c>
      <c r="AD5371" t="n">
        <v>0</v>
      </c>
      <c r="AE5371" t="n">
        <v>0</v>
      </c>
      <c r="AF5371" t="n">
        <v>0</v>
      </c>
      <c r="AG5371" t="n">
        <v>0</v>
      </c>
      <c r="AH5371" t="n">
        <v>0</v>
      </c>
    </row>
    <row r="5372">
      <c r="A5372" t="inlineStr">
        <is>
          <t>12월</t>
        </is>
      </c>
      <c r="B5372" t="inlineStr">
        <is>
          <t>52주차</t>
        </is>
      </c>
      <c r="C5372" t="e">
        <v>#N/A</v>
      </c>
      <c r="K5372" t="n">
        <v>0</v>
      </c>
      <c r="L5372" t="n">
        <v>0</v>
      </c>
      <c r="M5372" t="n">
        <v>0</v>
      </c>
      <c r="AC5372" t="n">
        <v>0</v>
      </c>
      <c r="AD5372" t="n">
        <v>0</v>
      </c>
      <c r="AE5372" t="n">
        <v>0</v>
      </c>
      <c r="AF5372" t="n">
        <v>0</v>
      </c>
      <c r="AG5372" t="n">
        <v>0</v>
      </c>
      <c r="AH5372" t="n">
        <v>0</v>
      </c>
    </row>
    <row r="5373">
      <c r="A5373" t="inlineStr">
        <is>
          <t>12월</t>
        </is>
      </c>
      <c r="B5373" t="inlineStr">
        <is>
          <t>52주차</t>
        </is>
      </c>
      <c r="C5373" t="e">
        <v>#N/A</v>
      </c>
      <c r="K5373" t="n">
        <v>0</v>
      </c>
      <c r="L5373" t="n">
        <v>0</v>
      </c>
      <c r="M5373" t="n">
        <v>0</v>
      </c>
      <c r="AC5373" t="n">
        <v>0</v>
      </c>
      <c r="AD5373" t="n">
        <v>0</v>
      </c>
      <c r="AE5373" t="n">
        <v>0</v>
      </c>
      <c r="AF5373" t="n">
        <v>0</v>
      </c>
      <c r="AG5373" t="n">
        <v>0</v>
      </c>
      <c r="AH5373" t="n">
        <v>0</v>
      </c>
    </row>
    <row r="5374">
      <c r="A5374" t="inlineStr">
        <is>
          <t>12월</t>
        </is>
      </c>
      <c r="B5374" t="inlineStr">
        <is>
          <t>52주차</t>
        </is>
      </c>
      <c r="C5374" t="e">
        <v>#N/A</v>
      </c>
      <c r="K5374" t="n">
        <v>0</v>
      </c>
      <c r="L5374" t="n">
        <v>0</v>
      </c>
      <c r="M5374" t="n">
        <v>0</v>
      </c>
      <c r="AC5374" t="n">
        <v>0</v>
      </c>
      <c r="AD5374" t="n">
        <v>0</v>
      </c>
      <c r="AE5374" t="n">
        <v>0</v>
      </c>
      <c r="AF5374" t="n">
        <v>0</v>
      </c>
      <c r="AG5374" t="n">
        <v>0</v>
      </c>
      <c r="AH5374" t="n">
        <v>0</v>
      </c>
    </row>
    <row r="5375">
      <c r="A5375" t="inlineStr">
        <is>
          <t>12월</t>
        </is>
      </c>
      <c r="B5375" t="inlineStr">
        <is>
          <t>52주차</t>
        </is>
      </c>
      <c r="C5375" t="e">
        <v>#N/A</v>
      </c>
      <c r="K5375" t="n">
        <v>0</v>
      </c>
      <c r="L5375" t="n">
        <v>0</v>
      </c>
      <c r="M5375" t="n">
        <v>0</v>
      </c>
      <c r="AC5375" t="n">
        <v>0</v>
      </c>
      <c r="AD5375" t="n">
        <v>0</v>
      </c>
      <c r="AE5375" t="n">
        <v>0</v>
      </c>
      <c r="AF5375" t="n">
        <v>0</v>
      </c>
      <c r="AG5375" t="n">
        <v>0</v>
      </c>
      <c r="AH5375" t="n">
        <v>0</v>
      </c>
    </row>
    <row r="5376">
      <c r="A5376" t="inlineStr">
        <is>
          <t>12월</t>
        </is>
      </c>
      <c r="B5376" t="inlineStr">
        <is>
          <t>52주차</t>
        </is>
      </c>
      <c r="C5376" t="e">
        <v>#N/A</v>
      </c>
      <c r="K5376" t="n">
        <v>0</v>
      </c>
      <c r="L5376" t="n">
        <v>0</v>
      </c>
      <c r="M5376" t="n">
        <v>0</v>
      </c>
      <c r="AC5376" t="n">
        <v>0</v>
      </c>
      <c r="AD5376" t="n">
        <v>0</v>
      </c>
      <c r="AE5376" t="n">
        <v>0</v>
      </c>
      <c r="AF5376" t="n">
        <v>0</v>
      </c>
      <c r="AG5376" t="n">
        <v>0</v>
      </c>
      <c r="AH5376" t="n">
        <v>0</v>
      </c>
      <c r="AI5376" t="n">
        <v>0</v>
      </c>
    </row>
    <row r="5377">
      <c r="A5377" t="inlineStr">
        <is>
          <t>12월</t>
        </is>
      </c>
      <c r="B5377" t="inlineStr">
        <is>
          <t>52주차</t>
        </is>
      </c>
      <c r="C5377" t="e">
        <v>#N/A</v>
      </c>
      <c r="K5377" t="n">
        <v>0</v>
      </c>
      <c r="L5377" t="n">
        <v>0</v>
      </c>
      <c r="M5377" t="n">
        <v>0</v>
      </c>
      <c r="AC5377" t="n">
        <v>0</v>
      </c>
      <c r="AD5377" t="n">
        <v>0</v>
      </c>
      <c r="AE5377" t="n">
        <v>0</v>
      </c>
      <c r="AF5377" t="n">
        <v>0</v>
      </c>
      <c r="AG5377" t="n">
        <v>0</v>
      </c>
      <c r="AH5377" t="n">
        <v>0</v>
      </c>
      <c r="AI5377" t="n">
        <v>0</v>
      </c>
    </row>
    <row r="5378">
      <c r="A5378" t="inlineStr">
        <is>
          <t>12월</t>
        </is>
      </c>
      <c r="B5378" t="inlineStr">
        <is>
          <t>52주차</t>
        </is>
      </c>
      <c r="C5378" t="e">
        <v>#N/A</v>
      </c>
      <c r="K5378" t="n">
        <v>0</v>
      </c>
      <c r="L5378" t="n">
        <v>0</v>
      </c>
      <c r="M5378" t="n">
        <v>0</v>
      </c>
      <c r="AC5378" t="n">
        <v>0</v>
      </c>
      <c r="AD5378" t="n">
        <v>0</v>
      </c>
      <c r="AE5378" t="n">
        <v>0</v>
      </c>
      <c r="AF5378" t="n">
        <v>0</v>
      </c>
      <c r="AG5378" t="n">
        <v>0</v>
      </c>
      <c r="AH5378" t="n">
        <v>0</v>
      </c>
    </row>
    <row r="5379">
      <c r="A5379" t="inlineStr">
        <is>
          <t>12월</t>
        </is>
      </c>
      <c r="B5379" t="inlineStr">
        <is>
          <t>52주차</t>
        </is>
      </c>
      <c r="C5379" t="e">
        <v>#N/A</v>
      </c>
      <c r="K5379" t="n">
        <v>0</v>
      </c>
      <c r="L5379" t="n">
        <v>0</v>
      </c>
      <c r="M5379" t="n">
        <v>0</v>
      </c>
      <c r="AC5379" t="n">
        <v>0</v>
      </c>
      <c r="AD5379" t="n">
        <v>0</v>
      </c>
      <c r="AE5379" t="n">
        <v>0</v>
      </c>
      <c r="AF5379" t="n">
        <v>0</v>
      </c>
      <c r="AG5379" t="n">
        <v>0</v>
      </c>
      <c r="AH5379" t="n">
        <v>0</v>
      </c>
      <c r="AI5379" t="n">
        <v>0</v>
      </c>
    </row>
    <row r="5380">
      <c r="A5380" t="inlineStr">
        <is>
          <t>12월</t>
        </is>
      </c>
      <c r="B5380" t="inlineStr">
        <is>
          <t>52주차</t>
        </is>
      </c>
      <c r="C5380" t="e">
        <v>#N/A</v>
      </c>
      <c r="K5380" t="n">
        <v>0</v>
      </c>
      <c r="L5380" t="n">
        <v>0</v>
      </c>
      <c r="M5380" t="n">
        <v>0</v>
      </c>
      <c r="AC5380" t="n">
        <v>0</v>
      </c>
      <c r="AD5380" t="n">
        <v>0</v>
      </c>
      <c r="AE5380" t="n">
        <v>0</v>
      </c>
      <c r="AF5380" t="n">
        <v>0</v>
      </c>
      <c r="AG5380" t="n">
        <v>0</v>
      </c>
      <c r="AH5380" t="n">
        <v>0</v>
      </c>
      <c r="AI5380" t="n">
        <v>0</v>
      </c>
    </row>
    <row r="5381">
      <c r="A5381" t="inlineStr">
        <is>
          <t>12월</t>
        </is>
      </c>
      <c r="B5381" t="inlineStr">
        <is>
          <t>52주차</t>
        </is>
      </c>
      <c r="C5381" t="e">
        <v>#N/A</v>
      </c>
      <c r="K5381" t="n">
        <v>0</v>
      </c>
      <c r="L5381" t="n">
        <v>0</v>
      </c>
      <c r="M5381" t="n">
        <v>0</v>
      </c>
      <c r="AC5381" t="n">
        <v>0</v>
      </c>
      <c r="AD5381" t="n">
        <v>0</v>
      </c>
      <c r="AE5381" t="n">
        <v>0</v>
      </c>
      <c r="AF5381" t="n">
        <v>0</v>
      </c>
      <c r="AG5381" t="n">
        <v>0</v>
      </c>
      <c r="AH5381" t="n">
        <v>0</v>
      </c>
      <c r="AI5381" t="n">
        <v>0</v>
      </c>
    </row>
    <row r="5382">
      <c r="A5382" t="inlineStr">
        <is>
          <t>12월</t>
        </is>
      </c>
      <c r="B5382" t="inlineStr">
        <is>
          <t>52주차</t>
        </is>
      </c>
      <c r="C5382" t="e">
        <v>#N/A</v>
      </c>
      <c r="K5382" t="n">
        <v>0</v>
      </c>
      <c r="L5382" t="n">
        <v>0</v>
      </c>
      <c r="M5382" t="n">
        <v>0</v>
      </c>
      <c r="AC5382" t="n">
        <v>0</v>
      </c>
      <c r="AD5382" t="n">
        <v>0</v>
      </c>
      <c r="AE5382" t="n">
        <v>0</v>
      </c>
      <c r="AF5382" t="n">
        <v>0</v>
      </c>
      <c r="AG5382" t="n">
        <v>0</v>
      </c>
      <c r="AH5382" t="n">
        <v>0</v>
      </c>
      <c r="AI5382" t="n">
        <v>0</v>
      </c>
    </row>
    <row r="5383">
      <c r="A5383" t="inlineStr">
        <is>
          <t>12월</t>
        </is>
      </c>
      <c r="B5383" t="inlineStr">
        <is>
          <t>52주차</t>
        </is>
      </c>
      <c r="C5383" t="e">
        <v>#N/A</v>
      </c>
      <c r="K5383" t="n">
        <v>0</v>
      </c>
      <c r="L5383" t="n">
        <v>0</v>
      </c>
      <c r="M5383" t="n">
        <v>0</v>
      </c>
      <c r="AC5383" t="n">
        <v>0</v>
      </c>
      <c r="AD5383" t="n">
        <v>0</v>
      </c>
      <c r="AE5383" t="n">
        <v>0</v>
      </c>
      <c r="AF5383" t="n">
        <v>0</v>
      </c>
      <c r="AG5383" t="n">
        <v>0</v>
      </c>
      <c r="AH5383" t="n">
        <v>0</v>
      </c>
      <c r="AI5383" t="n">
        <v>0</v>
      </c>
    </row>
    <row r="5384">
      <c r="A5384" t="inlineStr">
        <is>
          <t>12월</t>
        </is>
      </c>
      <c r="B5384" t="inlineStr">
        <is>
          <t>52주차</t>
        </is>
      </c>
      <c r="C5384" t="e">
        <v>#N/A</v>
      </c>
      <c r="K5384" t="n">
        <v>0</v>
      </c>
      <c r="L5384" t="n">
        <v>0</v>
      </c>
      <c r="M5384" t="n">
        <v>0</v>
      </c>
      <c r="AC5384" t="n">
        <v>0</v>
      </c>
      <c r="AD5384" t="n">
        <v>0</v>
      </c>
      <c r="AE5384" t="n">
        <v>0</v>
      </c>
      <c r="AF5384" t="n">
        <v>0</v>
      </c>
      <c r="AG5384" t="n">
        <v>0</v>
      </c>
      <c r="AH5384" t="n">
        <v>0</v>
      </c>
      <c r="AI5384" t="n">
        <v>0</v>
      </c>
    </row>
    <row r="5385">
      <c r="A5385" t="inlineStr">
        <is>
          <t>12월</t>
        </is>
      </c>
      <c r="B5385" t="inlineStr">
        <is>
          <t>52주차</t>
        </is>
      </c>
      <c r="C5385" t="e">
        <v>#N/A</v>
      </c>
      <c r="K5385" t="n">
        <v>0</v>
      </c>
      <c r="L5385" t="n">
        <v>0</v>
      </c>
      <c r="M5385" t="n">
        <v>0</v>
      </c>
      <c r="AC5385" t="n">
        <v>0</v>
      </c>
      <c r="AD5385" t="n">
        <v>0</v>
      </c>
      <c r="AE5385" t="n">
        <v>0</v>
      </c>
      <c r="AF5385" t="n">
        <v>0</v>
      </c>
      <c r="AG5385" t="n">
        <v>0</v>
      </c>
      <c r="AH5385" t="n">
        <v>0</v>
      </c>
      <c r="AI5385" t="n">
        <v>0</v>
      </c>
    </row>
    <row r="5386">
      <c r="A5386" t="inlineStr">
        <is>
          <t>12월</t>
        </is>
      </c>
      <c r="B5386" t="inlineStr">
        <is>
          <t>52주차</t>
        </is>
      </c>
      <c r="C5386" t="e">
        <v>#N/A</v>
      </c>
      <c r="K5386" t="n">
        <v>0</v>
      </c>
      <c r="L5386" t="n">
        <v>0</v>
      </c>
      <c r="M5386" t="n">
        <v>0</v>
      </c>
      <c r="AC5386" t="n">
        <v>0</v>
      </c>
      <c r="AD5386" t="n">
        <v>0</v>
      </c>
      <c r="AE5386" t="n">
        <v>0</v>
      </c>
      <c r="AF5386" t="n">
        <v>0</v>
      </c>
      <c r="AG5386" t="n">
        <v>0</v>
      </c>
      <c r="AH5386" t="n">
        <v>0</v>
      </c>
    </row>
    <row r="5387">
      <c r="A5387" t="inlineStr">
        <is>
          <t>12월</t>
        </is>
      </c>
      <c r="B5387" t="inlineStr">
        <is>
          <t>52주차</t>
        </is>
      </c>
      <c r="C5387" t="e">
        <v>#N/A</v>
      </c>
      <c r="K5387" t="n">
        <v>0</v>
      </c>
      <c r="L5387" t="n">
        <v>0</v>
      </c>
      <c r="M5387" t="n">
        <v>0</v>
      </c>
      <c r="AC5387" t="n">
        <v>0</v>
      </c>
      <c r="AD5387" t="n">
        <v>0</v>
      </c>
      <c r="AE5387" t="n">
        <v>0</v>
      </c>
      <c r="AF5387" t="n">
        <v>0</v>
      </c>
      <c r="AG5387" t="n">
        <v>0</v>
      </c>
      <c r="AH5387" t="n">
        <v>0</v>
      </c>
      <c r="AI5387" t="n">
        <v>0</v>
      </c>
    </row>
    <row r="5388">
      <c r="A5388" t="inlineStr">
        <is>
          <t>12월</t>
        </is>
      </c>
      <c r="B5388" t="inlineStr">
        <is>
          <t>52주차</t>
        </is>
      </c>
      <c r="C5388" t="e">
        <v>#N/A</v>
      </c>
      <c r="K5388" t="n">
        <v>0</v>
      </c>
      <c r="L5388" t="n">
        <v>0</v>
      </c>
      <c r="M5388" t="n">
        <v>0</v>
      </c>
      <c r="AC5388" t="n">
        <v>0</v>
      </c>
      <c r="AD5388" t="n">
        <v>0</v>
      </c>
      <c r="AE5388" t="n">
        <v>0</v>
      </c>
      <c r="AF5388" t="n">
        <v>0</v>
      </c>
      <c r="AG5388" t="n">
        <v>0</v>
      </c>
      <c r="AH5388" t="n">
        <v>0</v>
      </c>
      <c r="AI5388" t="n">
        <v>0</v>
      </c>
    </row>
    <row r="5389">
      <c r="A5389" t="inlineStr">
        <is>
          <t>12월</t>
        </is>
      </c>
      <c r="B5389" t="inlineStr">
        <is>
          <t>52주차</t>
        </is>
      </c>
      <c r="C5389" t="e">
        <v>#N/A</v>
      </c>
      <c r="K5389" t="n">
        <v>0</v>
      </c>
      <c r="L5389" t="n">
        <v>0</v>
      </c>
      <c r="M5389" t="n">
        <v>0</v>
      </c>
      <c r="AC5389" t="n">
        <v>0</v>
      </c>
      <c r="AD5389" t="n">
        <v>0</v>
      </c>
      <c r="AE5389" t="n">
        <v>0</v>
      </c>
      <c r="AF5389" t="n">
        <v>0</v>
      </c>
      <c r="AG5389" t="n">
        <v>0</v>
      </c>
      <c r="AH5389" t="n">
        <v>0</v>
      </c>
      <c r="AI5389" t="n">
        <v>0</v>
      </c>
    </row>
    <row r="5390">
      <c r="A5390" t="inlineStr">
        <is>
          <t>12월</t>
        </is>
      </c>
      <c r="B5390" t="inlineStr">
        <is>
          <t>52주차</t>
        </is>
      </c>
      <c r="C5390" t="e">
        <v>#N/A</v>
      </c>
      <c r="K5390" t="n">
        <v>0</v>
      </c>
      <c r="L5390" t="n">
        <v>0</v>
      </c>
      <c r="M5390" t="n">
        <v>0</v>
      </c>
      <c r="AC5390" t="n">
        <v>0</v>
      </c>
      <c r="AD5390" t="n">
        <v>0</v>
      </c>
      <c r="AE5390" t="n">
        <v>0</v>
      </c>
      <c r="AF5390" t="n">
        <v>0</v>
      </c>
      <c r="AG5390" t="n">
        <v>0</v>
      </c>
      <c r="AH5390" t="n">
        <v>0</v>
      </c>
      <c r="AI5390" t="n">
        <v>0</v>
      </c>
    </row>
    <row r="5391">
      <c r="A5391" t="inlineStr">
        <is>
          <t>12월</t>
        </is>
      </c>
      <c r="B5391" t="inlineStr">
        <is>
          <t>52주차</t>
        </is>
      </c>
      <c r="C5391" t="e">
        <v>#N/A</v>
      </c>
      <c r="K5391" t="n">
        <v>0</v>
      </c>
      <c r="L5391" t="n">
        <v>0</v>
      </c>
      <c r="M5391" t="n">
        <v>0</v>
      </c>
      <c r="AC5391" t="n">
        <v>0</v>
      </c>
      <c r="AD5391" t="n">
        <v>0</v>
      </c>
      <c r="AE5391" t="n">
        <v>0</v>
      </c>
      <c r="AF5391" t="n">
        <v>0</v>
      </c>
      <c r="AG5391" t="n">
        <v>0</v>
      </c>
      <c r="AH5391" t="n">
        <v>0</v>
      </c>
    </row>
    <row r="5392">
      <c r="A5392" t="inlineStr">
        <is>
          <t>12월</t>
        </is>
      </c>
      <c r="B5392" t="inlineStr">
        <is>
          <t>52주차</t>
        </is>
      </c>
      <c r="C5392" t="e">
        <v>#N/A</v>
      </c>
      <c r="K5392" t="n">
        <v>0</v>
      </c>
      <c r="L5392" t="n">
        <v>0</v>
      </c>
      <c r="M5392" t="n">
        <v>0</v>
      </c>
      <c r="AC5392" t="n">
        <v>0</v>
      </c>
      <c r="AD5392" t="n">
        <v>0</v>
      </c>
      <c r="AE5392" t="n">
        <v>0</v>
      </c>
      <c r="AF5392" t="n">
        <v>0</v>
      </c>
      <c r="AG5392" t="n">
        <v>0</v>
      </c>
      <c r="AH5392" t="n">
        <v>0</v>
      </c>
      <c r="AI5392" t="n">
        <v>0</v>
      </c>
    </row>
    <row r="5393">
      <c r="A5393" t="inlineStr">
        <is>
          <t>12월</t>
        </is>
      </c>
      <c r="B5393" t="inlineStr">
        <is>
          <t>52주차</t>
        </is>
      </c>
      <c r="C5393" t="e">
        <v>#N/A</v>
      </c>
      <c r="K5393" t="n">
        <v>0</v>
      </c>
      <c r="L5393" t="n">
        <v>0</v>
      </c>
      <c r="M5393" t="n">
        <v>0</v>
      </c>
      <c r="AC5393" t="n">
        <v>0</v>
      </c>
      <c r="AD5393" t="n">
        <v>0</v>
      </c>
      <c r="AE5393" t="n">
        <v>0</v>
      </c>
      <c r="AF5393" t="n">
        <v>0</v>
      </c>
      <c r="AG5393" t="n">
        <v>0</v>
      </c>
      <c r="AH5393" t="n">
        <v>0</v>
      </c>
    </row>
    <row r="5394">
      <c r="A5394" t="inlineStr">
        <is>
          <t>12월</t>
        </is>
      </c>
      <c r="B5394" t="inlineStr">
        <is>
          <t>52주차</t>
        </is>
      </c>
      <c r="C5394" t="e">
        <v>#N/A</v>
      </c>
      <c r="K5394" t="n">
        <v>0</v>
      </c>
      <c r="L5394" t="n">
        <v>0</v>
      </c>
      <c r="M5394" t="n">
        <v>0</v>
      </c>
      <c r="AC5394" t="n">
        <v>0</v>
      </c>
      <c r="AD5394" t="n">
        <v>0</v>
      </c>
      <c r="AE5394" t="n">
        <v>0</v>
      </c>
      <c r="AF5394" t="n">
        <v>0</v>
      </c>
      <c r="AG5394" t="n">
        <v>0</v>
      </c>
      <c r="AH5394" t="n">
        <v>0</v>
      </c>
      <c r="AI5394" t="n">
        <v>0</v>
      </c>
    </row>
    <row r="5395">
      <c r="A5395" t="inlineStr">
        <is>
          <t>12월</t>
        </is>
      </c>
      <c r="B5395" t="inlineStr">
        <is>
          <t>52주차</t>
        </is>
      </c>
      <c r="C5395" t="e">
        <v>#N/A</v>
      </c>
      <c r="K5395" t="n">
        <v>0</v>
      </c>
      <c r="L5395" t="n">
        <v>0</v>
      </c>
      <c r="M5395" t="n">
        <v>0</v>
      </c>
      <c r="AC5395" t="n">
        <v>0</v>
      </c>
      <c r="AD5395" t="n">
        <v>0</v>
      </c>
      <c r="AE5395" t="n">
        <v>0</v>
      </c>
      <c r="AF5395" t="n">
        <v>0</v>
      </c>
      <c r="AG5395" t="n">
        <v>0</v>
      </c>
      <c r="AH5395" t="n">
        <v>0</v>
      </c>
      <c r="AI5395" t="n">
        <v>0</v>
      </c>
    </row>
    <row r="5396">
      <c r="A5396" t="inlineStr">
        <is>
          <t>12월</t>
        </is>
      </c>
      <c r="B5396" t="inlineStr">
        <is>
          <t>52주차</t>
        </is>
      </c>
      <c r="C5396" t="e">
        <v>#N/A</v>
      </c>
      <c r="K5396" t="n">
        <v>0</v>
      </c>
      <c r="L5396" t="n">
        <v>0</v>
      </c>
      <c r="M5396" t="n">
        <v>0</v>
      </c>
      <c r="AC5396" t="n">
        <v>0</v>
      </c>
      <c r="AD5396" t="n">
        <v>0</v>
      </c>
      <c r="AE5396" t="n">
        <v>0</v>
      </c>
      <c r="AF5396" t="n">
        <v>0</v>
      </c>
      <c r="AG5396" t="n">
        <v>0</v>
      </c>
      <c r="AH5396" t="n">
        <v>0</v>
      </c>
      <c r="AI5396" t="n">
        <v>0</v>
      </c>
    </row>
    <row r="5397">
      <c r="A5397" t="inlineStr">
        <is>
          <t>12월</t>
        </is>
      </c>
      <c r="B5397" t="inlineStr">
        <is>
          <t>52주차</t>
        </is>
      </c>
      <c r="C5397" t="e">
        <v>#N/A</v>
      </c>
      <c r="K5397" t="n">
        <v>0</v>
      </c>
      <c r="L5397" t="n">
        <v>0</v>
      </c>
      <c r="M5397" t="n">
        <v>0</v>
      </c>
      <c r="AC5397" t="n">
        <v>0</v>
      </c>
      <c r="AD5397" t="n">
        <v>0</v>
      </c>
      <c r="AE5397" t="n">
        <v>0</v>
      </c>
      <c r="AF5397" t="n">
        <v>0</v>
      </c>
      <c r="AG5397" t="n">
        <v>0</v>
      </c>
      <c r="AH5397" t="n">
        <v>0</v>
      </c>
      <c r="AI5397" t="n">
        <v>0</v>
      </c>
    </row>
    <row r="5398">
      <c r="A5398" t="inlineStr">
        <is>
          <t>12월</t>
        </is>
      </c>
      <c r="B5398" t="inlineStr">
        <is>
          <t>52주차</t>
        </is>
      </c>
      <c r="C5398" t="e">
        <v>#N/A</v>
      </c>
      <c r="K5398" t="n">
        <v>0</v>
      </c>
      <c r="L5398" t="n">
        <v>0</v>
      </c>
      <c r="M5398" t="n">
        <v>0</v>
      </c>
      <c r="AC5398" t="n">
        <v>0</v>
      </c>
      <c r="AD5398" t="n">
        <v>0</v>
      </c>
      <c r="AE5398" t="n">
        <v>0</v>
      </c>
      <c r="AF5398" t="n">
        <v>0</v>
      </c>
      <c r="AG5398" t="n">
        <v>0</v>
      </c>
      <c r="AH5398" t="n">
        <v>0</v>
      </c>
      <c r="AI5398" t="n">
        <v>0</v>
      </c>
    </row>
    <row r="5399">
      <c r="A5399" t="inlineStr">
        <is>
          <t>12월</t>
        </is>
      </c>
      <c r="B5399" t="inlineStr">
        <is>
          <t>52주차</t>
        </is>
      </c>
      <c r="C5399" t="e">
        <v>#N/A</v>
      </c>
      <c r="K5399" t="n">
        <v>0</v>
      </c>
      <c r="L5399" t="n">
        <v>0</v>
      </c>
      <c r="M5399" t="n">
        <v>0</v>
      </c>
      <c r="AC5399" t="n">
        <v>0</v>
      </c>
      <c r="AD5399" t="n">
        <v>0</v>
      </c>
      <c r="AE5399" t="n">
        <v>0</v>
      </c>
      <c r="AF5399" t="n">
        <v>0</v>
      </c>
      <c r="AG5399" t="n">
        <v>0</v>
      </c>
      <c r="AH5399" t="n">
        <v>0</v>
      </c>
      <c r="AI5399" t="n">
        <v>0</v>
      </c>
    </row>
    <row r="5400">
      <c r="A5400" t="inlineStr">
        <is>
          <t>12월</t>
        </is>
      </c>
      <c r="B5400" t="inlineStr">
        <is>
          <t>52주차</t>
        </is>
      </c>
      <c r="C5400" t="e">
        <v>#N/A</v>
      </c>
      <c r="K5400" t="n">
        <v>0</v>
      </c>
      <c r="L5400" t="n">
        <v>0</v>
      </c>
      <c r="M5400" t="n">
        <v>0</v>
      </c>
      <c r="AC5400" t="n">
        <v>0</v>
      </c>
      <c r="AD5400" t="n">
        <v>0</v>
      </c>
      <c r="AE5400" t="n">
        <v>0</v>
      </c>
      <c r="AF5400" t="n">
        <v>0</v>
      </c>
      <c r="AG5400" t="n">
        <v>0</v>
      </c>
      <c r="AH5400" t="n">
        <v>0</v>
      </c>
      <c r="AI5400" t="n">
        <v>0</v>
      </c>
    </row>
    <row r="5401">
      <c r="A5401" t="inlineStr">
        <is>
          <t>12월</t>
        </is>
      </c>
      <c r="B5401" t="inlineStr">
        <is>
          <t>52주차</t>
        </is>
      </c>
      <c r="C5401" t="e">
        <v>#N/A</v>
      </c>
      <c r="K5401" t="n">
        <v>0</v>
      </c>
      <c r="L5401" t="n">
        <v>0</v>
      </c>
      <c r="M5401" t="n">
        <v>0</v>
      </c>
      <c r="AC5401" t="n">
        <v>0</v>
      </c>
      <c r="AD5401" t="n">
        <v>0</v>
      </c>
      <c r="AE5401" t="n">
        <v>0</v>
      </c>
      <c r="AF5401" t="n">
        <v>0</v>
      </c>
      <c r="AG5401" t="n">
        <v>0</v>
      </c>
      <c r="AH5401" t="n">
        <v>0</v>
      </c>
      <c r="AI5401" t="n">
        <v>0</v>
      </c>
    </row>
    <row r="5402">
      <c r="A5402" t="inlineStr">
        <is>
          <t>12월</t>
        </is>
      </c>
      <c r="B5402" t="inlineStr">
        <is>
          <t>52주차</t>
        </is>
      </c>
      <c r="C5402" t="e">
        <v>#N/A</v>
      </c>
      <c r="K5402" t="n">
        <v>0</v>
      </c>
      <c r="L5402" t="n">
        <v>0</v>
      </c>
      <c r="M5402" t="n">
        <v>0</v>
      </c>
      <c r="AC5402" t="n">
        <v>0</v>
      </c>
      <c r="AD5402" t="n">
        <v>0</v>
      </c>
      <c r="AE5402" t="n">
        <v>0</v>
      </c>
      <c r="AF5402" t="n">
        <v>0</v>
      </c>
      <c r="AG5402" t="n">
        <v>0</v>
      </c>
      <c r="AH5402" t="n">
        <v>0</v>
      </c>
      <c r="AI5402" t="n">
        <v>0</v>
      </c>
    </row>
    <row r="5403">
      <c r="A5403" t="inlineStr">
        <is>
          <t>12월</t>
        </is>
      </c>
      <c r="B5403" t="inlineStr">
        <is>
          <t>52주차</t>
        </is>
      </c>
      <c r="C5403" t="e">
        <v>#N/A</v>
      </c>
      <c r="K5403" t="n">
        <v>0</v>
      </c>
      <c r="L5403" t="n">
        <v>0</v>
      </c>
      <c r="M5403" t="n">
        <v>0</v>
      </c>
      <c r="AC5403" t="n">
        <v>0</v>
      </c>
      <c r="AD5403" t="n">
        <v>0</v>
      </c>
      <c r="AE5403" t="n">
        <v>0</v>
      </c>
      <c r="AF5403" t="n">
        <v>0</v>
      </c>
      <c r="AG5403" t="n">
        <v>0</v>
      </c>
      <c r="AH5403" t="n">
        <v>0</v>
      </c>
      <c r="AI5403" t="n">
        <v>0</v>
      </c>
    </row>
    <row r="5404">
      <c r="A5404" t="inlineStr">
        <is>
          <t>12월</t>
        </is>
      </c>
      <c r="B5404" t="inlineStr">
        <is>
          <t>52주차</t>
        </is>
      </c>
      <c r="C5404" t="e">
        <v>#N/A</v>
      </c>
      <c r="K5404" t="n">
        <v>0</v>
      </c>
      <c r="L5404" t="n">
        <v>0</v>
      </c>
      <c r="M5404" t="n">
        <v>0</v>
      </c>
      <c r="AC5404" t="n">
        <v>0</v>
      </c>
      <c r="AD5404" t="n">
        <v>0</v>
      </c>
      <c r="AE5404" t="n">
        <v>0</v>
      </c>
      <c r="AF5404" t="n">
        <v>0</v>
      </c>
      <c r="AG5404" t="n">
        <v>0</v>
      </c>
      <c r="AH5404" t="n">
        <v>0</v>
      </c>
      <c r="AI5404" t="n">
        <v>0</v>
      </c>
    </row>
    <row r="5405">
      <c r="A5405" t="inlineStr">
        <is>
          <t>12월</t>
        </is>
      </c>
      <c r="B5405" t="inlineStr">
        <is>
          <t>52주차</t>
        </is>
      </c>
      <c r="C5405" t="e">
        <v>#N/A</v>
      </c>
      <c r="K5405" t="n">
        <v>0</v>
      </c>
      <c r="L5405" t="n">
        <v>0</v>
      </c>
      <c r="M5405" t="n">
        <v>0</v>
      </c>
      <c r="AC5405" t="n">
        <v>0</v>
      </c>
      <c r="AD5405" t="n">
        <v>0</v>
      </c>
      <c r="AE5405" t="n">
        <v>0</v>
      </c>
      <c r="AF5405" t="n">
        <v>0</v>
      </c>
      <c r="AG5405" t="n">
        <v>0</v>
      </c>
      <c r="AH5405" t="n">
        <v>0</v>
      </c>
      <c r="AI5405" t="n">
        <v>0</v>
      </c>
    </row>
    <row r="5406">
      <c r="A5406" t="inlineStr">
        <is>
          <t>12월</t>
        </is>
      </c>
      <c r="B5406" t="inlineStr">
        <is>
          <t>52주차</t>
        </is>
      </c>
      <c r="C5406" t="e">
        <v>#N/A</v>
      </c>
      <c r="K5406" t="n">
        <v>0</v>
      </c>
      <c r="L5406" t="n">
        <v>0</v>
      </c>
      <c r="M5406" t="n">
        <v>0</v>
      </c>
      <c r="AC5406" t="n">
        <v>0</v>
      </c>
      <c r="AD5406" t="n">
        <v>0</v>
      </c>
      <c r="AE5406" t="n">
        <v>0</v>
      </c>
      <c r="AF5406" t="n">
        <v>0</v>
      </c>
      <c r="AG5406" t="n">
        <v>0</v>
      </c>
      <c r="AH5406" t="n">
        <v>0</v>
      </c>
      <c r="AI5406" t="n">
        <v>0</v>
      </c>
    </row>
    <row r="5407">
      <c r="A5407" t="inlineStr">
        <is>
          <t>12월</t>
        </is>
      </c>
      <c r="B5407" t="inlineStr">
        <is>
          <t>52주차</t>
        </is>
      </c>
      <c r="C5407" t="e">
        <v>#N/A</v>
      </c>
      <c r="K5407" t="n">
        <v>0</v>
      </c>
      <c r="L5407" t="n">
        <v>0</v>
      </c>
      <c r="M5407" t="n">
        <v>0</v>
      </c>
      <c r="AC5407" t="n">
        <v>0</v>
      </c>
      <c r="AD5407" t="n">
        <v>0</v>
      </c>
      <c r="AE5407" t="n">
        <v>0</v>
      </c>
      <c r="AF5407" t="n">
        <v>0</v>
      </c>
      <c r="AG5407" t="n">
        <v>0</v>
      </c>
      <c r="AH5407" t="n">
        <v>0</v>
      </c>
      <c r="AI5407" t="n">
        <v>0</v>
      </c>
    </row>
    <row r="5408">
      <c r="A5408" t="inlineStr">
        <is>
          <t>12월</t>
        </is>
      </c>
      <c r="B5408" t="inlineStr">
        <is>
          <t>52주차</t>
        </is>
      </c>
      <c r="C5408" t="e">
        <v>#N/A</v>
      </c>
      <c r="K5408" t="n">
        <v>0</v>
      </c>
      <c r="L5408" t="n">
        <v>0</v>
      </c>
      <c r="M5408" t="n">
        <v>0</v>
      </c>
      <c r="AC5408" t="n">
        <v>0</v>
      </c>
      <c r="AD5408" t="n">
        <v>0</v>
      </c>
      <c r="AE5408" t="n">
        <v>0</v>
      </c>
      <c r="AF5408" t="n">
        <v>0</v>
      </c>
      <c r="AG5408" t="n">
        <v>0</v>
      </c>
      <c r="AH5408" t="n">
        <v>0</v>
      </c>
      <c r="AI5408" t="n">
        <v>0</v>
      </c>
    </row>
    <row r="5409">
      <c r="A5409" t="inlineStr">
        <is>
          <t>12월</t>
        </is>
      </c>
      <c r="B5409" t="inlineStr">
        <is>
          <t>52주차</t>
        </is>
      </c>
      <c r="C5409" t="e">
        <v>#N/A</v>
      </c>
      <c r="K5409" t="n">
        <v>0</v>
      </c>
      <c r="L5409" t="n">
        <v>0</v>
      </c>
      <c r="M5409" t="n">
        <v>0</v>
      </c>
      <c r="AC5409" t="n">
        <v>0</v>
      </c>
      <c r="AD5409" t="n">
        <v>0</v>
      </c>
      <c r="AE5409" t="n">
        <v>0</v>
      </c>
      <c r="AF5409" t="n">
        <v>0</v>
      </c>
      <c r="AG5409" t="n">
        <v>0</v>
      </c>
      <c r="AH5409" t="n">
        <v>0</v>
      </c>
      <c r="AI5409" t="n">
        <v>0</v>
      </c>
    </row>
    <row r="5410">
      <c r="A5410" t="inlineStr">
        <is>
          <t>12월</t>
        </is>
      </c>
      <c r="B5410" t="inlineStr">
        <is>
          <t>52주차</t>
        </is>
      </c>
      <c r="C5410" t="e">
        <v>#N/A</v>
      </c>
      <c r="K5410" t="n">
        <v>0</v>
      </c>
      <c r="L5410" t="n">
        <v>0</v>
      </c>
      <c r="M5410" t="n">
        <v>0</v>
      </c>
      <c r="AC5410" t="n">
        <v>0</v>
      </c>
      <c r="AD5410" t="n">
        <v>0</v>
      </c>
      <c r="AE5410" t="n">
        <v>0</v>
      </c>
      <c r="AF5410" t="n">
        <v>0</v>
      </c>
      <c r="AG5410" t="n">
        <v>0</v>
      </c>
      <c r="AH5410" t="n">
        <v>0</v>
      </c>
      <c r="AI5410" t="n">
        <v>0</v>
      </c>
    </row>
    <row r="5411">
      <c r="A5411" t="inlineStr">
        <is>
          <t>12월</t>
        </is>
      </c>
      <c r="B5411" t="inlineStr">
        <is>
          <t>52주차</t>
        </is>
      </c>
      <c r="C5411" t="e">
        <v>#N/A</v>
      </c>
      <c r="K5411" t="n">
        <v>0</v>
      </c>
      <c r="L5411" t="n">
        <v>0</v>
      </c>
      <c r="M5411" t="n">
        <v>0</v>
      </c>
      <c r="AC5411" t="n">
        <v>0</v>
      </c>
      <c r="AD5411" t="n">
        <v>0</v>
      </c>
      <c r="AE5411" t="n">
        <v>0</v>
      </c>
      <c r="AF5411" t="n">
        <v>0</v>
      </c>
      <c r="AG5411" t="n">
        <v>0</v>
      </c>
      <c r="AH5411" t="n">
        <v>0</v>
      </c>
      <c r="AI5411" t="n">
        <v>0</v>
      </c>
    </row>
    <row r="5412">
      <c r="A5412" t="inlineStr">
        <is>
          <t>12월</t>
        </is>
      </c>
      <c r="B5412" t="inlineStr">
        <is>
          <t>52주차</t>
        </is>
      </c>
      <c r="C5412" t="e">
        <v>#N/A</v>
      </c>
      <c r="K5412" t="n">
        <v>0</v>
      </c>
      <c r="L5412" t="n">
        <v>0</v>
      </c>
      <c r="M5412" t="n">
        <v>0</v>
      </c>
      <c r="AC5412" t="n">
        <v>0</v>
      </c>
      <c r="AD5412" t="n">
        <v>0</v>
      </c>
      <c r="AE5412" t="n">
        <v>0</v>
      </c>
      <c r="AF5412" t="n">
        <v>0</v>
      </c>
      <c r="AG5412" t="n">
        <v>0</v>
      </c>
      <c r="AH5412" t="n">
        <v>0</v>
      </c>
      <c r="AI5412" t="n">
        <v>0</v>
      </c>
    </row>
    <row r="5413">
      <c r="A5413" t="inlineStr">
        <is>
          <t>12월</t>
        </is>
      </c>
      <c r="B5413" t="inlineStr">
        <is>
          <t>52주차</t>
        </is>
      </c>
      <c r="C5413" t="e">
        <v>#N/A</v>
      </c>
      <c r="K5413" t="n">
        <v>0</v>
      </c>
      <c r="L5413" t="n">
        <v>0</v>
      </c>
      <c r="M5413" t="n">
        <v>0</v>
      </c>
      <c r="AC5413" t="n">
        <v>0</v>
      </c>
      <c r="AD5413" t="n">
        <v>0</v>
      </c>
      <c r="AE5413" t="n">
        <v>0</v>
      </c>
      <c r="AF5413" t="n">
        <v>0</v>
      </c>
      <c r="AG5413" t="n">
        <v>0</v>
      </c>
      <c r="AH5413" t="n">
        <v>0</v>
      </c>
      <c r="AI5413" t="n">
        <v>0</v>
      </c>
    </row>
    <row r="5414">
      <c r="A5414" t="inlineStr">
        <is>
          <t>12월</t>
        </is>
      </c>
      <c r="B5414" t="inlineStr">
        <is>
          <t>52주차</t>
        </is>
      </c>
      <c r="C5414" t="e">
        <v>#N/A</v>
      </c>
      <c r="K5414" t="n">
        <v>0</v>
      </c>
      <c r="L5414" t="n">
        <v>0</v>
      </c>
      <c r="M5414" t="n">
        <v>0</v>
      </c>
      <c r="AC5414" t="n">
        <v>0</v>
      </c>
      <c r="AD5414" t="n">
        <v>0</v>
      </c>
      <c r="AE5414" t="n">
        <v>0</v>
      </c>
      <c r="AF5414" t="n">
        <v>0</v>
      </c>
      <c r="AG5414" t="n">
        <v>0</v>
      </c>
      <c r="AH5414" t="n">
        <v>0</v>
      </c>
      <c r="AI5414" t="n">
        <v>0</v>
      </c>
    </row>
    <row r="5415">
      <c r="A5415" t="inlineStr">
        <is>
          <t>12월</t>
        </is>
      </c>
      <c r="B5415" t="inlineStr">
        <is>
          <t>52주차</t>
        </is>
      </c>
      <c r="C5415" t="e">
        <v>#N/A</v>
      </c>
      <c r="K5415" t="n">
        <v>0</v>
      </c>
      <c r="L5415" t="n">
        <v>0</v>
      </c>
      <c r="M5415" t="n">
        <v>0</v>
      </c>
      <c r="AC5415" t="n">
        <v>0</v>
      </c>
      <c r="AD5415" t="n">
        <v>0</v>
      </c>
      <c r="AE5415" t="n">
        <v>0</v>
      </c>
      <c r="AF5415" t="n">
        <v>0</v>
      </c>
      <c r="AG5415" t="n">
        <v>0</v>
      </c>
      <c r="AH5415" t="n">
        <v>0</v>
      </c>
      <c r="AI5415" t="n">
        <v>0</v>
      </c>
    </row>
    <row r="5416">
      <c r="A5416" t="inlineStr">
        <is>
          <t>12월</t>
        </is>
      </c>
      <c r="B5416" t="inlineStr">
        <is>
          <t>52주차</t>
        </is>
      </c>
      <c r="C5416" t="e">
        <v>#N/A</v>
      </c>
      <c r="K5416" t="n">
        <v>0</v>
      </c>
      <c r="L5416" t="n">
        <v>0</v>
      </c>
      <c r="M5416" t="n">
        <v>0</v>
      </c>
      <c r="AC5416" t="n">
        <v>0</v>
      </c>
      <c r="AD5416" t="n">
        <v>0</v>
      </c>
      <c r="AE5416" t="n">
        <v>0</v>
      </c>
      <c r="AF5416" t="n">
        <v>0</v>
      </c>
      <c r="AG5416" t="n">
        <v>0</v>
      </c>
      <c r="AH5416" t="n">
        <v>0</v>
      </c>
      <c r="AI5416" t="n">
        <v>0</v>
      </c>
    </row>
    <row r="5417">
      <c r="A5417" t="inlineStr">
        <is>
          <t>12월</t>
        </is>
      </c>
      <c r="B5417" t="inlineStr">
        <is>
          <t>52주차</t>
        </is>
      </c>
      <c r="C5417" t="e">
        <v>#N/A</v>
      </c>
      <c r="K5417" t="n">
        <v>0</v>
      </c>
      <c r="L5417" t="n">
        <v>0</v>
      </c>
      <c r="M5417" t="n">
        <v>0</v>
      </c>
      <c r="AC5417" t="n">
        <v>0</v>
      </c>
      <c r="AD5417" t="n">
        <v>0</v>
      </c>
      <c r="AE5417" t="n">
        <v>0</v>
      </c>
      <c r="AF5417" t="n">
        <v>0</v>
      </c>
      <c r="AG5417" t="n">
        <v>0</v>
      </c>
      <c r="AH5417" t="n">
        <v>0</v>
      </c>
      <c r="AI5417" t="n">
        <v>0</v>
      </c>
    </row>
    <row r="5418">
      <c r="A5418" t="inlineStr">
        <is>
          <t>12월</t>
        </is>
      </c>
      <c r="B5418" t="inlineStr">
        <is>
          <t>52주차</t>
        </is>
      </c>
      <c r="C5418" t="e">
        <v>#N/A</v>
      </c>
      <c r="K5418" t="n">
        <v>0</v>
      </c>
      <c r="L5418" t="n">
        <v>0</v>
      </c>
      <c r="M5418" t="n">
        <v>0</v>
      </c>
      <c r="AC5418" t="n">
        <v>0</v>
      </c>
      <c r="AD5418" t="n">
        <v>0</v>
      </c>
      <c r="AE5418" t="n">
        <v>0</v>
      </c>
      <c r="AF5418" t="n">
        <v>0</v>
      </c>
      <c r="AG5418" t="n">
        <v>0</v>
      </c>
      <c r="AH5418" t="n">
        <v>0</v>
      </c>
    </row>
    <row r="5419">
      <c r="A5419" t="inlineStr">
        <is>
          <t>12월</t>
        </is>
      </c>
      <c r="B5419" t="inlineStr">
        <is>
          <t>52주차</t>
        </is>
      </c>
      <c r="C5419" t="e">
        <v>#N/A</v>
      </c>
      <c r="K5419" t="n">
        <v>0</v>
      </c>
      <c r="L5419" t="n">
        <v>0</v>
      </c>
      <c r="M5419" t="n">
        <v>0</v>
      </c>
      <c r="AC5419" t="n">
        <v>0</v>
      </c>
      <c r="AD5419" t="n">
        <v>0</v>
      </c>
      <c r="AE5419" t="n">
        <v>0</v>
      </c>
      <c r="AF5419" t="n">
        <v>0</v>
      </c>
      <c r="AG5419" t="n">
        <v>0</v>
      </c>
      <c r="AH5419" t="n">
        <v>0</v>
      </c>
      <c r="AI5419" t="n">
        <v>0</v>
      </c>
    </row>
    <row r="5420">
      <c r="A5420" t="inlineStr">
        <is>
          <t>12월</t>
        </is>
      </c>
      <c r="B5420" t="inlineStr">
        <is>
          <t>52주차</t>
        </is>
      </c>
      <c r="C5420" t="e">
        <v>#N/A</v>
      </c>
      <c r="K5420" t="n">
        <v>0</v>
      </c>
      <c r="L5420" t="n">
        <v>0</v>
      </c>
      <c r="M5420" t="n">
        <v>0</v>
      </c>
      <c r="AC5420" t="n">
        <v>0</v>
      </c>
      <c r="AD5420" t="n">
        <v>0</v>
      </c>
      <c r="AE5420" t="n">
        <v>0</v>
      </c>
      <c r="AF5420" t="n">
        <v>0</v>
      </c>
      <c r="AG5420" t="n">
        <v>0</v>
      </c>
      <c r="AH5420" t="n">
        <v>0</v>
      </c>
      <c r="AI5420" t="n">
        <v>0</v>
      </c>
    </row>
    <row r="5421">
      <c r="A5421" t="inlineStr">
        <is>
          <t>12월</t>
        </is>
      </c>
      <c r="B5421" t="inlineStr">
        <is>
          <t>52주차</t>
        </is>
      </c>
      <c r="C5421" t="e">
        <v>#N/A</v>
      </c>
      <c r="K5421" t="n">
        <v>0</v>
      </c>
      <c r="L5421" t="n">
        <v>0</v>
      </c>
      <c r="M5421" t="n">
        <v>0</v>
      </c>
      <c r="AC5421" t="n">
        <v>0</v>
      </c>
      <c r="AD5421" t="n">
        <v>0</v>
      </c>
      <c r="AE5421" t="n">
        <v>0</v>
      </c>
      <c r="AF5421" t="n">
        <v>0</v>
      </c>
      <c r="AG5421" t="n">
        <v>0</v>
      </c>
      <c r="AH5421" t="n">
        <v>0</v>
      </c>
      <c r="AI5421" t="n">
        <v>0</v>
      </c>
    </row>
    <row r="5422">
      <c r="A5422" t="inlineStr">
        <is>
          <t>12월</t>
        </is>
      </c>
      <c r="B5422" t="inlineStr">
        <is>
          <t>52주차</t>
        </is>
      </c>
      <c r="C5422" t="e">
        <v>#N/A</v>
      </c>
      <c r="K5422" t="n">
        <v>0</v>
      </c>
      <c r="L5422" t="n">
        <v>0</v>
      </c>
      <c r="M5422" t="n">
        <v>0</v>
      </c>
      <c r="AC5422" t="n">
        <v>0</v>
      </c>
      <c r="AD5422" t="n">
        <v>0</v>
      </c>
      <c r="AE5422" t="n">
        <v>0</v>
      </c>
      <c r="AF5422" t="n">
        <v>0</v>
      </c>
      <c r="AG5422" t="n">
        <v>0</v>
      </c>
      <c r="AH5422" t="n">
        <v>0</v>
      </c>
      <c r="AI5422" t="n">
        <v>0</v>
      </c>
    </row>
    <row r="5423">
      <c r="A5423" t="inlineStr">
        <is>
          <t>12월</t>
        </is>
      </c>
      <c r="B5423" t="inlineStr">
        <is>
          <t>52주차</t>
        </is>
      </c>
      <c r="C5423" t="e">
        <v>#N/A</v>
      </c>
      <c r="K5423" t="n">
        <v>0</v>
      </c>
      <c r="L5423" t="n">
        <v>0</v>
      </c>
      <c r="M5423" t="n">
        <v>0</v>
      </c>
      <c r="AC5423" t="n">
        <v>0</v>
      </c>
      <c r="AD5423" t="n">
        <v>0</v>
      </c>
      <c r="AE5423" t="n">
        <v>0</v>
      </c>
      <c r="AF5423" t="n">
        <v>0</v>
      </c>
      <c r="AG5423" t="n">
        <v>0</v>
      </c>
      <c r="AH5423" t="n">
        <v>0</v>
      </c>
    </row>
    <row r="5424">
      <c r="A5424" t="inlineStr">
        <is>
          <t>12월</t>
        </is>
      </c>
      <c r="B5424" t="inlineStr">
        <is>
          <t>52주차</t>
        </is>
      </c>
      <c r="C5424" t="e">
        <v>#N/A</v>
      </c>
      <c r="K5424" t="n">
        <v>0</v>
      </c>
      <c r="L5424" t="n">
        <v>0</v>
      </c>
      <c r="M5424" t="n">
        <v>0</v>
      </c>
      <c r="AC5424" t="n">
        <v>0</v>
      </c>
      <c r="AD5424" t="n">
        <v>0</v>
      </c>
      <c r="AE5424" t="n">
        <v>0</v>
      </c>
      <c r="AF5424" t="n">
        <v>0</v>
      </c>
      <c r="AG5424" t="n">
        <v>0</v>
      </c>
      <c r="AH5424" t="n">
        <v>0</v>
      </c>
      <c r="AI5424" t="n">
        <v>0</v>
      </c>
    </row>
    <row r="5425">
      <c r="A5425" t="inlineStr">
        <is>
          <t>12월</t>
        </is>
      </c>
      <c r="B5425" t="inlineStr">
        <is>
          <t>52주차</t>
        </is>
      </c>
      <c r="C5425" t="e">
        <v>#N/A</v>
      </c>
      <c r="K5425" t="n">
        <v>0</v>
      </c>
      <c r="L5425" t="n">
        <v>0</v>
      </c>
      <c r="M5425" t="n">
        <v>0</v>
      </c>
      <c r="AC5425" t="n">
        <v>0</v>
      </c>
      <c r="AD5425" t="n">
        <v>0</v>
      </c>
      <c r="AE5425" t="n">
        <v>0</v>
      </c>
      <c r="AF5425" t="n">
        <v>0</v>
      </c>
      <c r="AG5425" t="n">
        <v>0</v>
      </c>
      <c r="AH5425" t="n">
        <v>0</v>
      </c>
      <c r="AI5425" t="n">
        <v>0</v>
      </c>
    </row>
    <row r="5426">
      <c r="A5426" t="inlineStr">
        <is>
          <t>12월</t>
        </is>
      </c>
      <c r="B5426" t="inlineStr">
        <is>
          <t>52주차</t>
        </is>
      </c>
      <c r="C5426" t="e">
        <v>#N/A</v>
      </c>
      <c r="K5426" t="n">
        <v>0</v>
      </c>
      <c r="L5426" t="n">
        <v>0</v>
      </c>
      <c r="M5426" t="n">
        <v>0</v>
      </c>
      <c r="AC5426" t="n">
        <v>0</v>
      </c>
      <c r="AD5426" t="n">
        <v>0</v>
      </c>
      <c r="AE5426" t="n">
        <v>0</v>
      </c>
      <c r="AF5426" t="n">
        <v>0</v>
      </c>
      <c r="AG5426" t="n">
        <v>0</v>
      </c>
      <c r="AH5426" t="n">
        <v>0</v>
      </c>
    </row>
    <row r="5427">
      <c r="A5427" t="inlineStr">
        <is>
          <t>12월</t>
        </is>
      </c>
      <c r="B5427" t="inlineStr">
        <is>
          <t>52주차</t>
        </is>
      </c>
      <c r="C5427" t="e">
        <v>#N/A</v>
      </c>
      <c r="K5427" t="n">
        <v>0</v>
      </c>
      <c r="L5427" t="n">
        <v>0</v>
      </c>
      <c r="M5427" t="n">
        <v>0</v>
      </c>
      <c r="AC5427" t="n">
        <v>0</v>
      </c>
      <c r="AD5427" t="n">
        <v>0</v>
      </c>
      <c r="AE5427" t="n">
        <v>0</v>
      </c>
      <c r="AF5427" t="n">
        <v>0</v>
      </c>
      <c r="AG5427" t="n">
        <v>0</v>
      </c>
      <c r="AH5427" t="n">
        <v>0</v>
      </c>
    </row>
    <row r="5428">
      <c r="A5428" t="inlineStr">
        <is>
          <t>12월</t>
        </is>
      </c>
      <c r="B5428" t="inlineStr">
        <is>
          <t>52주차</t>
        </is>
      </c>
      <c r="C5428" t="e">
        <v>#N/A</v>
      </c>
      <c r="K5428" t="n">
        <v>0</v>
      </c>
      <c r="L5428" t="n">
        <v>0</v>
      </c>
      <c r="M5428" t="n">
        <v>0</v>
      </c>
      <c r="AC5428" t="n">
        <v>0</v>
      </c>
      <c r="AD5428" t="n">
        <v>0</v>
      </c>
      <c r="AE5428" t="n">
        <v>0</v>
      </c>
      <c r="AF5428" t="n">
        <v>0</v>
      </c>
      <c r="AG5428" t="n">
        <v>0</v>
      </c>
      <c r="AH5428" t="n">
        <v>0</v>
      </c>
    </row>
    <row r="5429">
      <c r="A5429" t="inlineStr">
        <is>
          <t>12월</t>
        </is>
      </c>
      <c r="B5429" t="inlineStr">
        <is>
          <t>52주차</t>
        </is>
      </c>
      <c r="C5429" t="e">
        <v>#N/A</v>
      </c>
      <c r="K5429" t="n">
        <v>0</v>
      </c>
      <c r="L5429" t="n">
        <v>0</v>
      </c>
      <c r="M5429" t="n">
        <v>0</v>
      </c>
      <c r="AC5429" t="n">
        <v>0</v>
      </c>
      <c r="AD5429" t="n">
        <v>0</v>
      </c>
      <c r="AE5429" t="n">
        <v>0</v>
      </c>
      <c r="AF5429" t="n">
        <v>0</v>
      </c>
      <c r="AG5429" t="n">
        <v>0</v>
      </c>
      <c r="AH5429" t="n">
        <v>0</v>
      </c>
    </row>
    <row r="5430">
      <c r="A5430" t="inlineStr">
        <is>
          <t>12월</t>
        </is>
      </c>
      <c r="B5430" t="inlineStr">
        <is>
          <t>52주차</t>
        </is>
      </c>
      <c r="C5430" t="e">
        <v>#N/A</v>
      </c>
      <c r="K5430" t="n">
        <v>0</v>
      </c>
      <c r="L5430" t="n">
        <v>0</v>
      </c>
      <c r="M5430" t="n">
        <v>0</v>
      </c>
      <c r="AC5430" t="n">
        <v>0</v>
      </c>
      <c r="AD5430" t="n">
        <v>0</v>
      </c>
      <c r="AE5430" t="n">
        <v>0</v>
      </c>
      <c r="AF5430" t="n">
        <v>0</v>
      </c>
      <c r="AG5430" t="n">
        <v>0</v>
      </c>
      <c r="AH5430" t="n">
        <v>0</v>
      </c>
    </row>
    <row r="5431">
      <c r="A5431" t="inlineStr">
        <is>
          <t>12월</t>
        </is>
      </c>
      <c r="B5431" t="inlineStr">
        <is>
          <t>52주차</t>
        </is>
      </c>
      <c r="C5431" t="e">
        <v>#N/A</v>
      </c>
      <c r="K5431" t="n">
        <v>0</v>
      </c>
      <c r="L5431" t="n">
        <v>0</v>
      </c>
      <c r="M5431" t="n">
        <v>0</v>
      </c>
      <c r="AC5431" t="n">
        <v>0</v>
      </c>
      <c r="AD5431" t="n">
        <v>0</v>
      </c>
      <c r="AE5431" t="n">
        <v>0</v>
      </c>
      <c r="AF5431" t="n">
        <v>0</v>
      </c>
      <c r="AG5431" t="n">
        <v>0</v>
      </c>
      <c r="AH5431" t="n">
        <v>0</v>
      </c>
    </row>
    <row r="5432">
      <c r="A5432" t="inlineStr">
        <is>
          <t>12월</t>
        </is>
      </c>
      <c r="B5432" t="inlineStr">
        <is>
          <t>52주차</t>
        </is>
      </c>
      <c r="C5432" t="e">
        <v>#N/A</v>
      </c>
      <c r="K5432" t="n">
        <v>0</v>
      </c>
      <c r="L5432" t="n">
        <v>0</v>
      </c>
      <c r="M5432" t="n">
        <v>0</v>
      </c>
      <c r="AC5432" t="n">
        <v>0</v>
      </c>
      <c r="AD5432" t="n">
        <v>0</v>
      </c>
      <c r="AE5432" t="n">
        <v>0</v>
      </c>
      <c r="AF5432" t="n">
        <v>0</v>
      </c>
      <c r="AG5432" t="n">
        <v>0</v>
      </c>
      <c r="AH5432" t="n">
        <v>0</v>
      </c>
      <c r="AI5432" t="n">
        <v>0</v>
      </c>
    </row>
    <row r="5433">
      <c r="A5433" t="inlineStr">
        <is>
          <t>12월</t>
        </is>
      </c>
      <c r="B5433" t="inlineStr">
        <is>
          <t>52주차</t>
        </is>
      </c>
      <c r="C5433" t="e">
        <v>#N/A</v>
      </c>
      <c r="K5433" t="n">
        <v>0</v>
      </c>
      <c r="L5433" t="n">
        <v>0</v>
      </c>
      <c r="M5433" t="n">
        <v>0</v>
      </c>
      <c r="AC5433" t="n">
        <v>0</v>
      </c>
      <c r="AD5433" t="n">
        <v>0</v>
      </c>
      <c r="AE5433" t="n">
        <v>0</v>
      </c>
      <c r="AF5433" t="n">
        <v>0</v>
      </c>
      <c r="AG5433" t="n">
        <v>0</v>
      </c>
      <c r="AH5433" t="n">
        <v>0</v>
      </c>
    </row>
    <row r="5434">
      <c r="A5434" t="inlineStr">
        <is>
          <t>12월</t>
        </is>
      </c>
      <c r="B5434" t="inlineStr">
        <is>
          <t>52주차</t>
        </is>
      </c>
      <c r="C5434" t="e">
        <v>#N/A</v>
      </c>
      <c r="K5434" t="n">
        <v>0</v>
      </c>
      <c r="L5434" t="n">
        <v>0</v>
      </c>
      <c r="M5434" t="n">
        <v>0</v>
      </c>
      <c r="AC5434" t="n">
        <v>0</v>
      </c>
      <c r="AD5434" t="n">
        <v>0</v>
      </c>
      <c r="AE5434" t="n">
        <v>0</v>
      </c>
      <c r="AF5434" t="n">
        <v>0</v>
      </c>
      <c r="AG5434" t="n">
        <v>0</v>
      </c>
      <c r="AH5434" t="n">
        <v>0</v>
      </c>
    </row>
    <row r="5435">
      <c r="A5435" t="inlineStr">
        <is>
          <t>12월</t>
        </is>
      </c>
      <c r="B5435" t="inlineStr">
        <is>
          <t>52주차</t>
        </is>
      </c>
      <c r="C5435" t="e">
        <v>#N/A</v>
      </c>
      <c r="K5435" t="n">
        <v>0</v>
      </c>
      <c r="L5435" t="n">
        <v>0</v>
      </c>
      <c r="M5435" t="n">
        <v>0</v>
      </c>
      <c r="AC5435" t="n">
        <v>0</v>
      </c>
      <c r="AD5435" t="n">
        <v>0</v>
      </c>
      <c r="AE5435" t="n">
        <v>0</v>
      </c>
      <c r="AF5435" t="n">
        <v>0</v>
      </c>
      <c r="AG5435" t="n">
        <v>0</v>
      </c>
      <c r="AH5435" t="n">
        <v>0</v>
      </c>
      <c r="AI5435" t="n">
        <v>0</v>
      </c>
    </row>
    <row r="5436">
      <c r="A5436" t="inlineStr">
        <is>
          <t>12월</t>
        </is>
      </c>
      <c r="B5436" t="inlineStr">
        <is>
          <t>52주차</t>
        </is>
      </c>
      <c r="C5436" t="e">
        <v>#N/A</v>
      </c>
      <c r="K5436" t="n">
        <v>0</v>
      </c>
      <c r="L5436" t="n">
        <v>0</v>
      </c>
      <c r="M5436" t="n">
        <v>0</v>
      </c>
      <c r="AC5436" t="n">
        <v>0</v>
      </c>
      <c r="AD5436" t="n">
        <v>0</v>
      </c>
      <c r="AE5436" t="n">
        <v>0</v>
      </c>
      <c r="AF5436" t="n">
        <v>0</v>
      </c>
      <c r="AG5436" t="n">
        <v>0</v>
      </c>
      <c r="AH5436" t="n">
        <v>0</v>
      </c>
      <c r="AI5436" t="n">
        <v>0</v>
      </c>
    </row>
    <row r="5437">
      <c r="A5437" t="inlineStr">
        <is>
          <t>12월</t>
        </is>
      </c>
      <c r="B5437" t="inlineStr">
        <is>
          <t>52주차</t>
        </is>
      </c>
      <c r="C5437" t="e">
        <v>#N/A</v>
      </c>
      <c r="K5437" t="n">
        <v>0</v>
      </c>
      <c r="L5437" t="n">
        <v>0</v>
      </c>
      <c r="M5437" t="n">
        <v>0</v>
      </c>
      <c r="AC5437" t="n">
        <v>0</v>
      </c>
      <c r="AD5437" t="n">
        <v>0</v>
      </c>
      <c r="AE5437" t="n">
        <v>0</v>
      </c>
      <c r="AF5437" t="n">
        <v>0</v>
      </c>
      <c r="AG5437" t="n">
        <v>0</v>
      </c>
      <c r="AH5437" t="n">
        <v>0</v>
      </c>
      <c r="AI5437" t="n">
        <v>0</v>
      </c>
    </row>
    <row r="5438">
      <c r="A5438" t="inlineStr">
        <is>
          <t>12월</t>
        </is>
      </c>
      <c r="B5438" t="inlineStr">
        <is>
          <t>52주차</t>
        </is>
      </c>
      <c r="C5438" t="e">
        <v>#N/A</v>
      </c>
      <c r="K5438" t="n">
        <v>0</v>
      </c>
      <c r="L5438" t="n">
        <v>0</v>
      </c>
      <c r="M5438" t="n">
        <v>0</v>
      </c>
      <c r="AC5438" t="n">
        <v>0</v>
      </c>
      <c r="AD5438" t="n">
        <v>0</v>
      </c>
      <c r="AE5438" t="n">
        <v>0</v>
      </c>
      <c r="AF5438" t="n">
        <v>0</v>
      </c>
      <c r="AG5438" t="n">
        <v>0</v>
      </c>
      <c r="AH5438" t="n">
        <v>0</v>
      </c>
      <c r="AI5438" t="n">
        <v>0</v>
      </c>
    </row>
    <row r="5439">
      <c r="A5439" t="inlineStr">
        <is>
          <t>12월</t>
        </is>
      </c>
      <c r="B5439" t="inlineStr">
        <is>
          <t>52주차</t>
        </is>
      </c>
      <c r="C5439" t="e">
        <v>#N/A</v>
      </c>
      <c r="K5439" t="n">
        <v>0</v>
      </c>
      <c r="L5439" t="n">
        <v>0</v>
      </c>
      <c r="M5439" t="n">
        <v>0</v>
      </c>
      <c r="AC5439" t="n">
        <v>0</v>
      </c>
      <c r="AD5439" t="n">
        <v>0</v>
      </c>
      <c r="AE5439" t="n">
        <v>0</v>
      </c>
      <c r="AF5439" t="n">
        <v>0</v>
      </c>
      <c r="AG5439" t="n">
        <v>0</v>
      </c>
      <c r="AH5439" t="n">
        <v>0</v>
      </c>
    </row>
    <row r="5440">
      <c r="A5440" t="inlineStr">
        <is>
          <t>12월</t>
        </is>
      </c>
      <c r="B5440" t="inlineStr">
        <is>
          <t>52주차</t>
        </is>
      </c>
      <c r="C5440" t="e">
        <v>#N/A</v>
      </c>
      <c r="K5440" t="n">
        <v>0</v>
      </c>
      <c r="L5440" t="n">
        <v>0</v>
      </c>
      <c r="M5440" t="n">
        <v>0</v>
      </c>
      <c r="AC5440" t="n">
        <v>0</v>
      </c>
      <c r="AD5440" t="n">
        <v>0</v>
      </c>
      <c r="AE5440" t="n">
        <v>0</v>
      </c>
      <c r="AF5440" t="n">
        <v>0</v>
      </c>
      <c r="AG5440" t="n">
        <v>0</v>
      </c>
      <c r="AH5440" t="n">
        <v>0</v>
      </c>
    </row>
    <row r="5441">
      <c r="A5441" t="inlineStr">
        <is>
          <t>12월</t>
        </is>
      </c>
      <c r="B5441" t="inlineStr">
        <is>
          <t>52주차</t>
        </is>
      </c>
      <c r="C5441" t="e">
        <v>#N/A</v>
      </c>
      <c r="K5441" t="n">
        <v>0</v>
      </c>
      <c r="L5441" t="n">
        <v>0</v>
      </c>
      <c r="M5441" t="n">
        <v>0</v>
      </c>
      <c r="AC5441" t="n">
        <v>0</v>
      </c>
      <c r="AD5441" t="n">
        <v>0</v>
      </c>
      <c r="AE5441" t="n">
        <v>0</v>
      </c>
      <c r="AF5441" t="n">
        <v>0</v>
      </c>
      <c r="AG5441" t="n">
        <v>0</v>
      </c>
      <c r="AH5441" t="n">
        <v>0</v>
      </c>
    </row>
    <row r="5442">
      <c r="A5442" t="inlineStr">
        <is>
          <t>12월</t>
        </is>
      </c>
      <c r="B5442" t="inlineStr">
        <is>
          <t>52주차</t>
        </is>
      </c>
      <c r="C5442" t="e">
        <v>#N/A</v>
      </c>
      <c r="K5442" t="n">
        <v>0</v>
      </c>
      <c r="L5442" t="n">
        <v>0</v>
      </c>
      <c r="M5442" t="n">
        <v>0</v>
      </c>
      <c r="AC5442" t="n">
        <v>0</v>
      </c>
      <c r="AD5442" t="n">
        <v>0</v>
      </c>
      <c r="AE5442" t="n">
        <v>0</v>
      </c>
      <c r="AF5442" t="n">
        <v>0</v>
      </c>
      <c r="AG5442" t="n">
        <v>0</v>
      </c>
      <c r="AH5442" t="n">
        <v>0</v>
      </c>
      <c r="AI5442" t="n">
        <v>0</v>
      </c>
    </row>
    <row r="5443">
      <c r="A5443" t="inlineStr">
        <is>
          <t>12월</t>
        </is>
      </c>
      <c r="B5443" t="inlineStr">
        <is>
          <t>52주차</t>
        </is>
      </c>
      <c r="C5443" t="e">
        <v>#N/A</v>
      </c>
      <c r="K5443" t="n">
        <v>0</v>
      </c>
      <c r="L5443" t="n">
        <v>0</v>
      </c>
      <c r="M5443" t="n">
        <v>0</v>
      </c>
      <c r="AC5443" t="n">
        <v>0</v>
      </c>
      <c r="AD5443" t="n">
        <v>0</v>
      </c>
      <c r="AE5443" t="n">
        <v>0</v>
      </c>
      <c r="AF5443" t="n">
        <v>0</v>
      </c>
      <c r="AG5443" t="n">
        <v>0</v>
      </c>
      <c r="AH5443" t="n">
        <v>0</v>
      </c>
      <c r="AI5443" t="n">
        <v>0</v>
      </c>
    </row>
    <row r="5444">
      <c r="A5444" t="inlineStr">
        <is>
          <t>12월</t>
        </is>
      </c>
      <c r="B5444" t="inlineStr">
        <is>
          <t>52주차</t>
        </is>
      </c>
      <c r="C5444" t="e">
        <v>#N/A</v>
      </c>
      <c r="K5444" t="n">
        <v>0</v>
      </c>
      <c r="L5444" t="n">
        <v>0</v>
      </c>
      <c r="M5444" t="n">
        <v>0</v>
      </c>
      <c r="AC5444" t="n">
        <v>0</v>
      </c>
      <c r="AD5444" t="n">
        <v>0</v>
      </c>
      <c r="AE5444" t="n">
        <v>0</v>
      </c>
      <c r="AF5444" t="n">
        <v>0</v>
      </c>
      <c r="AG5444" t="n">
        <v>0</v>
      </c>
      <c r="AH5444" t="n">
        <v>0</v>
      </c>
      <c r="AI5444" t="n">
        <v>0</v>
      </c>
    </row>
    <row r="5445">
      <c r="A5445" t="inlineStr">
        <is>
          <t>12월</t>
        </is>
      </c>
      <c r="B5445" t="inlineStr">
        <is>
          <t>52주차</t>
        </is>
      </c>
      <c r="C5445" t="e">
        <v>#N/A</v>
      </c>
      <c r="K5445" t="n">
        <v>0</v>
      </c>
      <c r="L5445" t="n">
        <v>0</v>
      </c>
      <c r="M5445" t="n">
        <v>0</v>
      </c>
      <c r="AC5445" t="n">
        <v>0</v>
      </c>
      <c r="AD5445" t="n">
        <v>0</v>
      </c>
      <c r="AE5445" t="n">
        <v>0</v>
      </c>
      <c r="AF5445" t="n">
        <v>0</v>
      </c>
      <c r="AG5445" t="n">
        <v>0</v>
      </c>
      <c r="AH5445" t="n">
        <v>0</v>
      </c>
      <c r="AI5445" t="n">
        <v>0</v>
      </c>
    </row>
    <row r="5446">
      <c r="A5446" t="inlineStr">
        <is>
          <t>12월</t>
        </is>
      </c>
      <c r="B5446" t="inlineStr">
        <is>
          <t>52주차</t>
        </is>
      </c>
      <c r="C5446" t="e">
        <v>#N/A</v>
      </c>
      <c r="K5446" t="n">
        <v>0</v>
      </c>
      <c r="L5446" t="n">
        <v>0</v>
      </c>
      <c r="M5446" t="n">
        <v>0</v>
      </c>
      <c r="AC5446" t="n">
        <v>0</v>
      </c>
      <c r="AD5446" t="n">
        <v>0</v>
      </c>
      <c r="AE5446" t="n">
        <v>0</v>
      </c>
      <c r="AF5446" t="n">
        <v>0</v>
      </c>
      <c r="AG5446" t="n">
        <v>0</v>
      </c>
      <c r="AH5446" t="n">
        <v>0</v>
      </c>
    </row>
    <row r="5447">
      <c r="A5447" t="inlineStr">
        <is>
          <t>12월</t>
        </is>
      </c>
      <c r="B5447" t="inlineStr">
        <is>
          <t>52주차</t>
        </is>
      </c>
      <c r="C5447" t="e">
        <v>#N/A</v>
      </c>
      <c r="K5447" t="n">
        <v>0</v>
      </c>
      <c r="L5447" t="n">
        <v>0</v>
      </c>
      <c r="M5447" t="n">
        <v>0</v>
      </c>
      <c r="AC5447" t="n">
        <v>0</v>
      </c>
      <c r="AD5447" t="n">
        <v>0</v>
      </c>
      <c r="AE5447" t="n">
        <v>0</v>
      </c>
      <c r="AF5447" t="n">
        <v>0</v>
      </c>
      <c r="AG5447" t="n">
        <v>0</v>
      </c>
      <c r="AH5447" t="n">
        <v>0</v>
      </c>
      <c r="AI5447" t="n">
        <v>0</v>
      </c>
    </row>
    <row r="5448">
      <c r="A5448" t="inlineStr">
        <is>
          <t>12월</t>
        </is>
      </c>
      <c r="B5448" t="inlineStr">
        <is>
          <t>52주차</t>
        </is>
      </c>
      <c r="C5448" t="e">
        <v>#N/A</v>
      </c>
      <c r="K5448" t="n">
        <v>0</v>
      </c>
      <c r="L5448" t="n">
        <v>0</v>
      </c>
      <c r="M5448" t="n">
        <v>0</v>
      </c>
      <c r="AC5448" t="n">
        <v>0</v>
      </c>
      <c r="AD5448" t="n">
        <v>0</v>
      </c>
      <c r="AE5448" t="n">
        <v>0</v>
      </c>
      <c r="AF5448" t="n">
        <v>0</v>
      </c>
      <c r="AG5448" t="n">
        <v>0</v>
      </c>
      <c r="AH5448" t="n">
        <v>0</v>
      </c>
    </row>
    <row r="5449">
      <c r="A5449" t="inlineStr">
        <is>
          <t>12월</t>
        </is>
      </c>
      <c r="B5449" t="inlineStr">
        <is>
          <t>52주차</t>
        </is>
      </c>
      <c r="C5449" t="e">
        <v>#N/A</v>
      </c>
      <c r="K5449" t="n">
        <v>0</v>
      </c>
      <c r="L5449" t="n">
        <v>0</v>
      </c>
      <c r="M5449" t="n">
        <v>0</v>
      </c>
      <c r="AC5449" t="n">
        <v>0</v>
      </c>
      <c r="AD5449" t="n">
        <v>0</v>
      </c>
      <c r="AE5449" t="n">
        <v>0</v>
      </c>
      <c r="AF5449" t="n">
        <v>0</v>
      </c>
      <c r="AG5449" t="n">
        <v>0</v>
      </c>
      <c r="AH5449" t="n">
        <v>0</v>
      </c>
      <c r="AI5449" t="n">
        <v>0</v>
      </c>
    </row>
    <row r="5450">
      <c r="A5450" t="inlineStr">
        <is>
          <t>12월</t>
        </is>
      </c>
      <c r="B5450" t="inlineStr">
        <is>
          <t>52주차</t>
        </is>
      </c>
      <c r="C5450" t="e">
        <v>#N/A</v>
      </c>
      <c r="K5450" t="n">
        <v>0</v>
      </c>
      <c r="L5450" t="n">
        <v>0</v>
      </c>
      <c r="M5450" t="n">
        <v>0</v>
      </c>
      <c r="AC5450" t="n">
        <v>0</v>
      </c>
      <c r="AD5450" t="n">
        <v>0</v>
      </c>
      <c r="AE5450" t="n">
        <v>0</v>
      </c>
      <c r="AF5450" t="n">
        <v>0</v>
      </c>
      <c r="AG5450" t="n">
        <v>0</v>
      </c>
      <c r="AH5450" t="n">
        <v>0</v>
      </c>
      <c r="AI5450" t="n">
        <v>0</v>
      </c>
    </row>
    <row r="5451">
      <c r="A5451" t="inlineStr">
        <is>
          <t>12월</t>
        </is>
      </c>
      <c r="B5451" t="inlineStr">
        <is>
          <t>52주차</t>
        </is>
      </c>
      <c r="C5451" t="e">
        <v>#N/A</v>
      </c>
      <c r="K5451" t="n">
        <v>0</v>
      </c>
      <c r="L5451" t="n">
        <v>0</v>
      </c>
      <c r="M5451" t="n">
        <v>0</v>
      </c>
      <c r="AC5451" t="n">
        <v>0</v>
      </c>
      <c r="AD5451" t="n">
        <v>0</v>
      </c>
      <c r="AE5451" t="n">
        <v>0</v>
      </c>
      <c r="AF5451" t="n">
        <v>0</v>
      </c>
      <c r="AG5451" t="n">
        <v>0</v>
      </c>
      <c r="AH5451" t="n">
        <v>0</v>
      </c>
      <c r="AI5451" t="n">
        <v>0</v>
      </c>
    </row>
    <row r="5452">
      <c r="A5452" t="inlineStr">
        <is>
          <t>12월</t>
        </is>
      </c>
      <c r="B5452" t="inlineStr">
        <is>
          <t>52주차</t>
        </is>
      </c>
      <c r="C5452" t="e">
        <v>#N/A</v>
      </c>
      <c r="K5452" t="n">
        <v>0</v>
      </c>
      <c r="L5452" t="n">
        <v>0</v>
      </c>
      <c r="M5452" t="n">
        <v>0</v>
      </c>
      <c r="AC5452" t="n">
        <v>0</v>
      </c>
      <c r="AD5452" t="n">
        <v>0</v>
      </c>
      <c r="AE5452" t="n">
        <v>0</v>
      </c>
      <c r="AF5452" t="n">
        <v>0</v>
      </c>
      <c r="AG5452" t="n">
        <v>0</v>
      </c>
      <c r="AH5452" t="n">
        <v>0</v>
      </c>
      <c r="AI5452" t="n">
        <v>0</v>
      </c>
    </row>
    <row r="5453">
      <c r="A5453" t="inlineStr">
        <is>
          <t>12월</t>
        </is>
      </c>
      <c r="B5453" t="inlineStr">
        <is>
          <t>52주차</t>
        </is>
      </c>
      <c r="C5453" t="e">
        <v>#N/A</v>
      </c>
      <c r="K5453" t="n">
        <v>0</v>
      </c>
      <c r="L5453" t="n">
        <v>0</v>
      </c>
      <c r="M5453" t="n">
        <v>0</v>
      </c>
      <c r="AC5453" t="n">
        <v>0</v>
      </c>
      <c r="AD5453" t="n">
        <v>0</v>
      </c>
      <c r="AE5453" t="n">
        <v>0</v>
      </c>
      <c r="AF5453" t="n">
        <v>0</v>
      </c>
      <c r="AG5453" t="n">
        <v>0</v>
      </c>
      <c r="AH5453" t="n">
        <v>0</v>
      </c>
      <c r="AI5453" t="n">
        <v>0</v>
      </c>
    </row>
    <row r="5454">
      <c r="A5454" t="inlineStr">
        <is>
          <t>12월</t>
        </is>
      </c>
      <c r="B5454" t="inlineStr">
        <is>
          <t>52주차</t>
        </is>
      </c>
      <c r="C5454" t="e">
        <v>#N/A</v>
      </c>
      <c r="K5454" t="n">
        <v>0</v>
      </c>
      <c r="L5454" t="n">
        <v>0</v>
      </c>
      <c r="M5454" t="n">
        <v>0</v>
      </c>
      <c r="AC5454" t="n">
        <v>0</v>
      </c>
      <c r="AD5454" t="n">
        <v>0</v>
      </c>
      <c r="AE5454" t="n">
        <v>0</v>
      </c>
      <c r="AF5454" t="n">
        <v>0</v>
      </c>
      <c r="AG5454" t="n">
        <v>0</v>
      </c>
      <c r="AH5454" t="n">
        <v>0</v>
      </c>
      <c r="AI5454" t="n">
        <v>0</v>
      </c>
    </row>
    <row r="5455">
      <c r="A5455" t="inlineStr">
        <is>
          <t>12월</t>
        </is>
      </c>
      <c r="B5455" t="inlineStr">
        <is>
          <t>52주차</t>
        </is>
      </c>
      <c r="C5455" t="e">
        <v>#N/A</v>
      </c>
      <c r="K5455" t="n">
        <v>0</v>
      </c>
      <c r="L5455" t="n">
        <v>0</v>
      </c>
      <c r="M5455" t="n">
        <v>0</v>
      </c>
      <c r="AC5455" t="n">
        <v>0</v>
      </c>
      <c r="AD5455" t="n">
        <v>0</v>
      </c>
      <c r="AE5455" t="n">
        <v>0</v>
      </c>
      <c r="AF5455" t="n">
        <v>0</v>
      </c>
      <c r="AG5455" t="n">
        <v>0</v>
      </c>
      <c r="AH5455" t="n">
        <v>0</v>
      </c>
      <c r="AI5455" t="n">
        <v>0</v>
      </c>
    </row>
    <row r="5456">
      <c r="A5456" t="inlineStr">
        <is>
          <t>12월</t>
        </is>
      </c>
      <c r="B5456" t="inlineStr">
        <is>
          <t>52주차</t>
        </is>
      </c>
      <c r="C5456" t="e">
        <v>#N/A</v>
      </c>
      <c r="K5456" t="n">
        <v>0</v>
      </c>
      <c r="L5456" t="n">
        <v>0</v>
      </c>
      <c r="M5456" t="n">
        <v>0</v>
      </c>
      <c r="AC5456" t="n">
        <v>0</v>
      </c>
      <c r="AD5456" t="n">
        <v>0</v>
      </c>
      <c r="AE5456" t="n">
        <v>0</v>
      </c>
      <c r="AF5456" t="n">
        <v>0</v>
      </c>
      <c r="AG5456" t="n">
        <v>0</v>
      </c>
      <c r="AH5456" t="n">
        <v>0</v>
      </c>
      <c r="AI5456" t="n">
        <v>0</v>
      </c>
    </row>
    <row r="5457">
      <c r="A5457" t="inlineStr">
        <is>
          <t>12월</t>
        </is>
      </c>
      <c r="B5457" t="inlineStr">
        <is>
          <t>52주차</t>
        </is>
      </c>
      <c r="C5457" t="e">
        <v>#N/A</v>
      </c>
      <c r="K5457" t="n">
        <v>0</v>
      </c>
      <c r="L5457" t="n">
        <v>0</v>
      </c>
      <c r="M5457" t="n">
        <v>0</v>
      </c>
      <c r="AC5457" t="n">
        <v>0</v>
      </c>
      <c r="AD5457" t="n">
        <v>0</v>
      </c>
      <c r="AE5457" t="n">
        <v>0</v>
      </c>
      <c r="AF5457" t="n">
        <v>0</v>
      </c>
      <c r="AG5457" t="n">
        <v>0</v>
      </c>
      <c r="AH5457" t="n">
        <v>0</v>
      </c>
      <c r="AI5457" t="n">
        <v>0</v>
      </c>
    </row>
    <row r="5458">
      <c r="A5458" t="inlineStr">
        <is>
          <t>12월</t>
        </is>
      </c>
      <c r="B5458" t="inlineStr">
        <is>
          <t>52주차</t>
        </is>
      </c>
      <c r="C5458" t="e">
        <v>#N/A</v>
      </c>
      <c r="K5458" t="n">
        <v>0</v>
      </c>
      <c r="L5458" t="n">
        <v>0</v>
      </c>
      <c r="M5458" t="n">
        <v>0</v>
      </c>
      <c r="AC5458" t="n">
        <v>0</v>
      </c>
      <c r="AD5458" t="n">
        <v>0</v>
      </c>
      <c r="AE5458" t="n">
        <v>0</v>
      </c>
      <c r="AF5458" t="n">
        <v>0</v>
      </c>
      <c r="AG5458" t="n">
        <v>0</v>
      </c>
      <c r="AH5458" t="n">
        <v>0</v>
      </c>
      <c r="AI5458" t="n">
        <v>0</v>
      </c>
    </row>
    <row r="5459">
      <c r="A5459" t="inlineStr">
        <is>
          <t>12월</t>
        </is>
      </c>
      <c r="B5459" t="inlineStr">
        <is>
          <t>52주차</t>
        </is>
      </c>
      <c r="C5459" t="e">
        <v>#N/A</v>
      </c>
      <c r="K5459" t="n">
        <v>0</v>
      </c>
      <c r="L5459" t="n">
        <v>0</v>
      </c>
      <c r="M5459" t="n">
        <v>0</v>
      </c>
      <c r="AC5459" t="n">
        <v>0</v>
      </c>
      <c r="AD5459" t="n">
        <v>0</v>
      </c>
      <c r="AE5459" t="n">
        <v>0</v>
      </c>
      <c r="AF5459" t="n">
        <v>0</v>
      </c>
      <c r="AG5459" t="n">
        <v>0</v>
      </c>
      <c r="AH5459" t="n">
        <v>0</v>
      </c>
      <c r="AI5459" t="n">
        <v>0</v>
      </c>
    </row>
    <row r="5460">
      <c r="A5460" t="inlineStr">
        <is>
          <t>12월</t>
        </is>
      </c>
      <c r="B5460" t="inlineStr">
        <is>
          <t>52주차</t>
        </is>
      </c>
      <c r="C5460" t="e">
        <v>#N/A</v>
      </c>
      <c r="K5460" t="n">
        <v>0</v>
      </c>
      <c r="L5460" t="n">
        <v>0</v>
      </c>
      <c r="M5460" t="n">
        <v>0</v>
      </c>
      <c r="AC5460" t="n">
        <v>0</v>
      </c>
      <c r="AD5460" t="n">
        <v>0</v>
      </c>
      <c r="AE5460" t="n">
        <v>0</v>
      </c>
      <c r="AF5460" t="n">
        <v>0</v>
      </c>
      <c r="AG5460" t="n">
        <v>0</v>
      </c>
      <c r="AH5460" t="n">
        <v>0</v>
      </c>
      <c r="AI5460" t="n">
        <v>0</v>
      </c>
    </row>
    <row r="5461">
      <c r="A5461" t="inlineStr">
        <is>
          <t>12월</t>
        </is>
      </c>
      <c r="B5461" t="inlineStr">
        <is>
          <t>52주차</t>
        </is>
      </c>
      <c r="C5461" t="e">
        <v>#N/A</v>
      </c>
      <c r="K5461" t="n">
        <v>0</v>
      </c>
      <c r="L5461" t="n">
        <v>0</v>
      </c>
      <c r="M5461" t="n">
        <v>0</v>
      </c>
      <c r="AC5461" t="n">
        <v>0</v>
      </c>
      <c r="AD5461" t="n">
        <v>0</v>
      </c>
      <c r="AE5461" t="n">
        <v>0</v>
      </c>
      <c r="AF5461" t="n">
        <v>0</v>
      </c>
      <c r="AG5461" t="n">
        <v>0</v>
      </c>
      <c r="AH5461" t="n">
        <v>0</v>
      </c>
      <c r="AI5461" t="n">
        <v>0</v>
      </c>
    </row>
    <row r="5462">
      <c r="A5462" t="inlineStr">
        <is>
          <t>12월</t>
        </is>
      </c>
      <c r="B5462" t="inlineStr">
        <is>
          <t>52주차</t>
        </is>
      </c>
      <c r="C5462" t="e">
        <v>#N/A</v>
      </c>
      <c r="K5462" t="n">
        <v>0</v>
      </c>
      <c r="L5462" t="n">
        <v>0</v>
      </c>
      <c r="M5462" t="n">
        <v>0</v>
      </c>
      <c r="AC5462" t="n">
        <v>0</v>
      </c>
      <c r="AD5462" t="n">
        <v>0</v>
      </c>
      <c r="AE5462" t="n">
        <v>0</v>
      </c>
      <c r="AF5462" t="n">
        <v>0</v>
      </c>
      <c r="AG5462" t="n">
        <v>0</v>
      </c>
      <c r="AH5462" t="n">
        <v>0</v>
      </c>
      <c r="AI5462" t="n">
        <v>0</v>
      </c>
    </row>
    <row r="5463">
      <c r="A5463" t="inlineStr">
        <is>
          <t>12월</t>
        </is>
      </c>
      <c r="B5463" t="inlineStr">
        <is>
          <t>52주차</t>
        </is>
      </c>
      <c r="C5463" t="e">
        <v>#N/A</v>
      </c>
      <c r="K5463" t="n">
        <v>0</v>
      </c>
      <c r="L5463" t="n">
        <v>0</v>
      </c>
      <c r="M5463" t="n">
        <v>0</v>
      </c>
      <c r="AC5463" t="n">
        <v>0</v>
      </c>
      <c r="AD5463" t="n">
        <v>0</v>
      </c>
      <c r="AE5463" t="n">
        <v>0</v>
      </c>
      <c r="AF5463" t="n">
        <v>0</v>
      </c>
      <c r="AG5463" t="n">
        <v>0</v>
      </c>
      <c r="AH5463" t="n">
        <v>0</v>
      </c>
      <c r="AI5463" t="n">
        <v>0</v>
      </c>
    </row>
    <row r="5464">
      <c r="A5464" t="inlineStr">
        <is>
          <t>12월</t>
        </is>
      </c>
      <c r="B5464" t="inlineStr">
        <is>
          <t>52주차</t>
        </is>
      </c>
      <c r="C5464" t="e">
        <v>#N/A</v>
      </c>
      <c r="K5464" t="n">
        <v>0</v>
      </c>
      <c r="L5464" t="n">
        <v>0</v>
      </c>
      <c r="M5464" t="n">
        <v>0</v>
      </c>
      <c r="AC5464" t="n">
        <v>0</v>
      </c>
      <c r="AD5464" t="n">
        <v>0</v>
      </c>
      <c r="AE5464" t="n">
        <v>0</v>
      </c>
      <c r="AF5464" t="n">
        <v>0</v>
      </c>
      <c r="AG5464" t="n">
        <v>0</v>
      </c>
      <c r="AH5464" t="n">
        <v>0</v>
      </c>
      <c r="AI5464" t="n">
        <v>0</v>
      </c>
    </row>
    <row r="5465">
      <c r="A5465" t="inlineStr">
        <is>
          <t>12월</t>
        </is>
      </c>
      <c r="B5465" t="inlineStr">
        <is>
          <t>52주차</t>
        </is>
      </c>
      <c r="C5465" t="e">
        <v>#N/A</v>
      </c>
      <c r="K5465" t="n">
        <v>0</v>
      </c>
      <c r="L5465" t="n">
        <v>0</v>
      </c>
      <c r="M5465" t="n">
        <v>0</v>
      </c>
      <c r="AC5465" t="n">
        <v>0</v>
      </c>
      <c r="AD5465" t="n">
        <v>0</v>
      </c>
      <c r="AE5465" t="n">
        <v>0</v>
      </c>
      <c r="AF5465" t="n">
        <v>0</v>
      </c>
      <c r="AG5465" t="n">
        <v>0</v>
      </c>
      <c r="AH5465" t="n">
        <v>0</v>
      </c>
      <c r="AI5465" t="n">
        <v>0</v>
      </c>
    </row>
    <row r="5466">
      <c r="A5466" t="inlineStr">
        <is>
          <t>12월</t>
        </is>
      </c>
      <c r="B5466" t="inlineStr">
        <is>
          <t>52주차</t>
        </is>
      </c>
      <c r="C5466" t="e">
        <v>#N/A</v>
      </c>
      <c r="K5466" t="n">
        <v>0</v>
      </c>
      <c r="L5466" t="n">
        <v>0</v>
      </c>
      <c r="M5466" t="n">
        <v>0</v>
      </c>
      <c r="AC5466" t="n">
        <v>0</v>
      </c>
      <c r="AD5466" t="n">
        <v>0</v>
      </c>
      <c r="AE5466" t="n">
        <v>0</v>
      </c>
      <c r="AF5466" t="n">
        <v>0</v>
      </c>
      <c r="AG5466" t="n">
        <v>0</v>
      </c>
      <c r="AH5466" t="n">
        <v>0</v>
      </c>
      <c r="AI5466" t="n">
        <v>0</v>
      </c>
    </row>
    <row r="5467">
      <c r="A5467" t="inlineStr">
        <is>
          <t>12월</t>
        </is>
      </c>
      <c r="B5467" t="inlineStr">
        <is>
          <t>52주차</t>
        </is>
      </c>
      <c r="C5467" t="e">
        <v>#N/A</v>
      </c>
      <c r="K5467" t="n">
        <v>0</v>
      </c>
      <c r="L5467" t="n">
        <v>0</v>
      </c>
      <c r="M5467" t="n">
        <v>0</v>
      </c>
      <c r="AC5467" t="n">
        <v>0</v>
      </c>
      <c r="AD5467" t="n">
        <v>0</v>
      </c>
      <c r="AE5467" t="n">
        <v>0</v>
      </c>
      <c r="AF5467" t="n">
        <v>0</v>
      </c>
      <c r="AG5467" t="n">
        <v>0</v>
      </c>
      <c r="AH5467" t="n">
        <v>0</v>
      </c>
    </row>
    <row r="5468">
      <c r="A5468" t="inlineStr">
        <is>
          <t>12월</t>
        </is>
      </c>
      <c r="B5468" t="inlineStr">
        <is>
          <t>52주차</t>
        </is>
      </c>
      <c r="C5468" t="e">
        <v>#N/A</v>
      </c>
      <c r="K5468" t="n">
        <v>0</v>
      </c>
      <c r="L5468" t="n">
        <v>0</v>
      </c>
      <c r="M5468" t="n">
        <v>0</v>
      </c>
      <c r="AC5468" t="n">
        <v>0</v>
      </c>
      <c r="AD5468" t="n">
        <v>0</v>
      </c>
      <c r="AE5468" t="n">
        <v>0</v>
      </c>
      <c r="AF5468" t="n">
        <v>0</v>
      </c>
      <c r="AG5468" t="n">
        <v>0</v>
      </c>
      <c r="AH5468" t="n">
        <v>0</v>
      </c>
      <c r="AI5468" t="n">
        <v>0</v>
      </c>
    </row>
    <row r="5469">
      <c r="A5469" t="inlineStr">
        <is>
          <t>12월</t>
        </is>
      </c>
      <c r="B5469" t="inlineStr">
        <is>
          <t>52주차</t>
        </is>
      </c>
      <c r="C5469" t="e">
        <v>#N/A</v>
      </c>
      <c r="K5469" t="n">
        <v>0</v>
      </c>
      <c r="L5469" t="n">
        <v>0</v>
      </c>
      <c r="M5469" t="n">
        <v>0</v>
      </c>
      <c r="AC5469" t="n">
        <v>0</v>
      </c>
      <c r="AD5469" t="n">
        <v>0</v>
      </c>
      <c r="AE5469" t="n">
        <v>0</v>
      </c>
      <c r="AF5469" t="n">
        <v>0</v>
      </c>
      <c r="AG5469" t="n">
        <v>0</v>
      </c>
      <c r="AH5469" t="n">
        <v>0</v>
      </c>
      <c r="AI5469" t="n">
        <v>0</v>
      </c>
    </row>
    <row r="5470">
      <c r="A5470" t="inlineStr">
        <is>
          <t>12월</t>
        </is>
      </c>
      <c r="B5470" t="inlineStr">
        <is>
          <t>52주차</t>
        </is>
      </c>
      <c r="C5470" t="e">
        <v>#N/A</v>
      </c>
      <c r="K5470" t="n">
        <v>0</v>
      </c>
      <c r="L5470" t="n">
        <v>0</v>
      </c>
      <c r="M5470" t="n">
        <v>0</v>
      </c>
      <c r="AC5470" t="n">
        <v>0</v>
      </c>
      <c r="AD5470" t="n">
        <v>0</v>
      </c>
      <c r="AE5470" t="n">
        <v>0</v>
      </c>
      <c r="AF5470" t="n">
        <v>0</v>
      </c>
      <c r="AG5470" t="n">
        <v>0</v>
      </c>
      <c r="AH5470" t="n">
        <v>0</v>
      </c>
      <c r="AI5470" t="n">
        <v>0</v>
      </c>
    </row>
    <row r="5471">
      <c r="A5471" t="inlineStr">
        <is>
          <t>12월</t>
        </is>
      </c>
      <c r="B5471" t="inlineStr">
        <is>
          <t>52주차</t>
        </is>
      </c>
      <c r="C5471" t="e">
        <v>#N/A</v>
      </c>
      <c r="K5471" t="n">
        <v>0</v>
      </c>
      <c r="L5471" t="n">
        <v>0</v>
      </c>
      <c r="M5471" t="n">
        <v>0</v>
      </c>
      <c r="AC5471" t="n">
        <v>0</v>
      </c>
      <c r="AD5471" t="n">
        <v>0</v>
      </c>
      <c r="AE5471" t="n">
        <v>0</v>
      </c>
      <c r="AF5471" t="n">
        <v>0</v>
      </c>
      <c r="AG5471" t="n">
        <v>0</v>
      </c>
      <c r="AH5471" t="n">
        <v>0</v>
      </c>
      <c r="AI5471" t="n">
        <v>0</v>
      </c>
    </row>
    <row r="5472">
      <c r="A5472" t="inlineStr">
        <is>
          <t>12월</t>
        </is>
      </c>
      <c r="B5472" t="inlineStr">
        <is>
          <t>52주차</t>
        </is>
      </c>
      <c r="C5472" t="e">
        <v>#N/A</v>
      </c>
      <c r="K5472" t="n">
        <v>0</v>
      </c>
      <c r="L5472" t="n">
        <v>0</v>
      </c>
      <c r="M5472" t="n">
        <v>0</v>
      </c>
      <c r="AC5472" t="n">
        <v>0</v>
      </c>
      <c r="AD5472" t="n">
        <v>0</v>
      </c>
      <c r="AE5472" t="n">
        <v>0</v>
      </c>
      <c r="AF5472" t="n">
        <v>0</v>
      </c>
      <c r="AG5472" t="n">
        <v>0</v>
      </c>
      <c r="AH5472" t="n">
        <v>0</v>
      </c>
      <c r="AI5472" t="n">
        <v>0</v>
      </c>
    </row>
    <row r="5473">
      <c r="A5473" t="inlineStr">
        <is>
          <t>12월</t>
        </is>
      </c>
      <c r="B5473" t="inlineStr">
        <is>
          <t>52주차</t>
        </is>
      </c>
      <c r="C5473" t="e">
        <v>#N/A</v>
      </c>
      <c r="K5473" t="n">
        <v>0</v>
      </c>
      <c r="L5473" t="n">
        <v>0</v>
      </c>
      <c r="M5473" t="n">
        <v>0</v>
      </c>
      <c r="AC5473" t="n">
        <v>0</v>
      </c>
      <c r="AD5473" t="n">
        <v>0</v>
      </c>
      <c r="AE5473" t="n">
        <v>0</v>
      </c>
      <c r="AF5473" t="n">
        <v>0</v>
      </c>
      <c r="AG5473" t="n">
        <v>0</v>
      </c>
      <c r="AH5473" t="n">
        <v>0</v>
      </c>
      <c r="AI5473" t="n">
        <v>0</v>
      </c>
    </row>
    <row r="5474">
      <c r="A5474" t="inlineStr">
        <is>
          <t>12월</t>
        </is>
      </c>
      <c r="B5474" t="inlineStr">
        <is>
          <t>52주차</t>
        </is>
      </c>
      <c r="C5474" t="e">
        <v>#N/A</v>
      </c>
      <c r="K5474" t="n">
        <v>0</v>
      </c>
      <c r="L5474" t="n">
        <v>0</v>
      </c>
      <c r="M5474" t="n">
        <v>0</v>
      </c>
      <c r="AC5474" t="n">
        <v>0</v>
      </c>
      <c r="AD5474" t="n">
        <v>0</v>
      </c>
      <c r="AE5474" t="n">
        <v>0</v>
      </c>
      <c r="AF5474" t="n">
        <v>0</v>
      </c>
      <c r="AG5474" t="n">
        <v>0</v>
      </c>
      <c r="AH5474" t="n">
        <v>0</v>
      </c>
    </row>
    <row r="5475">
      <c r="A5475" t="inlineStr">
        <is>
          <t>12월</t>
        </is>
      </c>
      <c r="B5475" t="inlineStr">
        <is>
          <t>52주차</t>
        </is>
      </c>
      <c r="C5475" t="e">
        <v>#N/A</v>
      </c>
      <c r="K5475" t="n">
        <v>0</v>
      </c>
      <c r="L5475" t="n">
        <v>0</v>
      </c>
      <c r="M5475" t="n">
        <v>0</v>
      </c>
      <c r="AC5475" t="n">
        <v>0</v>
      </c>
      <c r="AD5475" t="n">
        <v>0</v>
      </c>
      <c r="AE5475" t="n">
        <v>0</v>
      </c>
      <c r="AF5475" t="n">
        <v>0</v>
      </c>
      <c r="AG5475" t="n">
        <v>0</v>
      </c>
      <c r="AH5475" t="n">
        <v>0</v>
      </c>
    </row>
    <row r="5476">
      <c r="A5476" t="inlineStr">
        <is>
          <t>12월</t>
        </is>
      </c>
      <c r="B5476" t="inlineStr">
        <is>
          <t>52주차</t>
        </is>
      </c>
      <c r="C5476" t="e">
        <v>#N/A</v>
      </c>
      <c r="K5476" t="n">
        <v>0</v>
      </c>
      <c r="L5476" t="n">
        <v>0</v>
      </c>
      <c r="M5476" t="n">
        <v>0</v>
      </c>
      <c r="AC5476" t="n">
        <v>0</v>
      </c>
      <c r="AD5476" t="n">
        <v>0</v>
      </c>
      <c r="AE5476" t="n">
        <v>0</v>
      </c>
      <c r="AF5476" t="n">
        <v>0</v>
      </c>
      <c r="AG5476" t="n">
        <v>0</v>
      </c>
      <c r="AH5476" t="n">
        <v>0</v>
      </c>
      <c r="AI5476" t="n">
        <v>0</v>
      </c>
    </row>
    <row r="5477">
      <c r="A5477" t="inlineStr">
        <is>
          <t>12월</t>
        </is>
      </c>
      <c r="B5477" t="inlineStr">
        <is>
          <t>52주차</t>
        </is>
      </c>
      <c r="C5477" t="e">
        <v>#N/A</v>
      </c>
      <c r="K5477" t="n">
        <v>0</v>
      </c>
      <c r="L5477" t="n">
        <v>0</v>
      </c>
      <c r="M5477" t="n">
        <v>0</v>
      </c>
      <c r="AC5477" t="n">
        <v>0</v>
      </c>
      <c r="AD5477" t="n">
        <v>0</v>
      </c>
      <c r="AE5477" t="n">
        <v>0</v>
      </c>
      <c r="AF5477" t="n">
        <v>0</v>
      </c>
      <c r="AG5477" t="n">
        <v>0</v>
      </c>
      <c r="AH5477" t="n">
        <v>0</v>
      </c>
      <c r="AI5477" t="n">
        <v>0</v>
      </c>
    </row>
    <row r="5478">
      <c r="A5478" t="inlineStr">
        <is>
          <t>12월</t>
        </is>
      </c>
      <c r="B5478" t="inlineStr">
        <is>
          <t>52주차</t>
        </is>
      </c>
      <c r="C5478" t="e">
        <v>#N/A</v>
      </c>
      <c r="K5478" t="n">
        <v>0</v>
      </c>
      <c r="L5478" t="n">
        <v>0</v>
      </c>
      <c r="M5478" t="n">
        <v>0</v>
      </c>
      <c r="AC5478" t="n">
        <v>0</v>
      </c>
      <c r="AD5478" t="n">
        <v>0</v>
      </c>
      <c r="AE5478" t="n">
        <v>0</v>
      </c>
      <c r="AF5478" t="n">
        <v>0</v>
      </c>
      <c r="AG5478" t="n">
        <v>0</v>
      </c>
      <c r="AH5478" t="n">
        <v>0</v>
      </c>
      <c r="AI5478" t="n">
        <v>0</v>
      </c>
    </row>
    <row r="5479">
      <c r="A5479" t="inlineStr">
        <is>
          <t>12월</t>
        </is>
      </c>
      <c r="B5479" t="inlineStr">
        <is>
          <t>52주차</t>
        </is>
      </c>
      <c r="C5479" t="e">
        <v>#N/A</v>
      </c>
      <c r="K5479" t="n">
        <v>0</v>
      </c>
      <c r="L5479" t="n">
        <v>0</v>
      </c>
      <c r="M5479" t="n">
        <v>0</v>
      </c>
      <c r="AC5479" t="n">
        <v>0</v>
      </c>
      <c r="AD5479" t="n">
        <v>0</v>
      </c>
      <c r="AE5479" t="n">
        <v>0</v>
      </c>
      <c r="AF5479" t="n">
        <v>0</v>
      </c>
      <c r="AG5479" t="n">
        <v>0</v>
      </c>
      <c r="AH5479" t="n">
        <v>0</v>
      </c>
      <c r="AI5479" t="n">
        <v>0</v>
      </c>
    </row>
    <row r="5480">
      <c r="A5480" t="inlineStr">
        <is>
          <t>12월</t>
        </is>
      </c>
      <c r="B5480" t="inlineStr">
        <is>
          <t>52주차</t>
        </is>
      </c>
      <c r="C5480" t="e">
        <v>#N/A</v>
      </c>
      <c r="K5480" t="n">
        <v>0</v>
      </c>
      <c r="L5480" t="n">
        <v>0</v>
      </c>
      <c r="M5480" t="n">
        <v>0</v>
      </c>
      <c r="AC5480" t="n">
        <v>0</v>
      </c>
      <c r="AD5480" t="n">
        <v>0</v>
      </c>
      <c r="AE5480" t="n">
        <v>0</v>
      </c>
      <c r="AF5480" t="n">
        <v>0</v>
      </c>
      <c r="AG5480" t="n">
        <v>0</v>
      </c>
      <c r="AH5480" t="n">
        <v>0</v>
      </c>
      <c r="AI5480" t="n">
        <v>0</v>
      </c>
    </row>
    <row r="5481">
      <c r="A5481" t="inlineStr">
        <is>
          <t>12월</t>
        </is>
      </c>
      <c r="B5481" t="inlineStr">
        <is>
          <t>52주차</t>
        </is>
      </c>
      <c r="C5481" t="e">
        <v>#N/A</v>
      </c>
      <c r="K5481" t="n">
        <v>0</v>
      </c>
      <c r="L5481" t="n">
        <v>0</v>
      </c>
      <c r="M5481" t="n">
        <v>0</v>
      </c>
      <c r="AC5481" t="n">
        <v>0</v>
      </c>
      <c r="AD5481" t="n">
        <v>0</v>
      </c>
      <c r="AE5481" t="n">
        <v>0</v>
      </c>
      <c r="AF5481" t="n">
        <v>0</v>
      </c>
      <c r="AG5481" t="n">
        <v>0</v>
      </c>
      <c r="AH5481" t="n">
        <v>0</v>
      </c>
      <c r="AI5481" t="n">
        <v>0</v>
      </c>
    </row>
    <row r="5482">
      <c r="A5482" t="inlineStr">
        <is>
          <t>12월</t>
        </is>
      </c>
      <c r="B5482" t="inlineStr">
        <is>
          <t>52주차</t>
        </is>
      </c>
      <c r="C5482" t="e">
        <v>#N/A</v>
      </c>
      <c r="K5482" t="n">
        <v>0</v>
      </c>
      <c r="L5482" t="n">
        <v>0</v>
      </c>
      <c r="M5482" t="n">
        <v>0</v>
      </c>
      <c r="AC5482" t="n">
        <v>0</v>
      </c>
      <c r="AD5482" t="n">
        <v>0</v>
      </c>
      <c r="AE5482" t="n">
        <v>0</v>
      </c>
      <c r="AF5482" t="n">
        <v>0</v>
      </c>
      <c r="AG5482" t="n">
        <v>0</v>
      </c>
      <c r="AH5482" t="n">
        <v>0</v>
      </c>
    </row>
    <row r="5483">
      <c r="A5483" t="inlineStr">
        <is>
          <t>12월</t>
        </is>
      </c>
      <c r="B5483" t="inlineStr">
        <is>
          <t>52주차</t>
        </is>
      </c>
      <c r="C5483" t="e">
        <v>#N/A</v>
      </c>
      <c r="K5483" t="n">
        <v>0</v>
      </c>
      <c r="L5483" t="n">
        <v>0</v>
      </c>
      <c r="M5483" t="n">
        <v>0</v>
      </c>
      <c r="AC5483" t="n">
        <v>0</v>
      </c>
      <c r="AD5483" t="n">
        <v>0</v>
      </c>
      <c r="AE5483" t="n">
        <v>0</v>
      </c>
      <c r="AF5483" t="n">
        <v>0</v>
      </c>
      <c r="AG5483" t="n">
        <v>0</v>
      </c>
      <c r="AH5483" t="n">
        <v>0</v>
      </c>
      <c r="AI5483" t="n">
        <v>0</v>
      </c>
    </row>
    <row r="5484">
      <c r="A5484" t="inlineStr">
        <is>
          <t>12월</t>
        </is>
      </c>
      <c r="B5484" t="inlineStr">
        <is>
          <t>52주차</t>
        </is>
      </c>
      <c r="C5484" t="e">
        <v>#N/A</v>
      </c>
      <c r="K5484" t="n">
        <v>0</v>
      </c>
      <c r="L5484" t="n">
        <v>0</v>
      </c>
      <c r="M5484" t="n">
        <v>0</v>
      </c>
      <c r="AC5484" t="n">
        <v>0</v>
      </c>
      <c r="AD5484" t="n">
        <v>0</v>
      </c>
      <c r="AE5484" t="n">
        <v>0</v>
      </c>
      <c r="AF5484" t="n">
        <v>0</v>
      </c>
      <c r="AG5484" t="n">
        <v>0</v>
      </c>
      <c r="AH5484" t="n">
        <v>0</v>
      </c>
      <c r="AI5484" t="n">
        <v>0</v>
      </c>
    </row>
    <row r="5485">
      <c r="A5485" t="inlineStr">
        <is>
          <t>12월</t>
        </is>
      </c>
      <c r="B5485" t="inlineStr">
        <is>
          <t>52주차</t>
        </is>
      </c>
      <c r="C5485" t="e">
        <v>#N/A</v>
      </c>
      <c r="K5485" t="n">
        <v>0</v>
      </c>
      <c r="L5485" t="n">
        <v>0</v>
      </c>
      <c r="M5485" t="n">
        <v>0</v>
      </c>
      <c r="AC5485" t="n">
        <v>0</v>
      </c>
      <c r="AD5485" t="n">
        <v>0</v>
      </c>
      <c r="AE5485" t="n">
        <v>0</v>
      </c>
      <c r="AF5485" t="n">
        <v>0</v>
      </c>
      <c r="AG5485" t="n">
        <v>0</v>
      </c>
      <c r="AH5485" t="n">
        <v>0</v>
      </c>
      <c r="AI5485" t="n">
        <v>0</v>
      </c>
    </row>
    <row r="5486">
      <c r="A5486" t="inlineStr">
        <is>
          <t>12월</t>
        </is>
      </c>
      <c r="B5486" t="inlineStr">
        <is>
          <t>52주차</t>
        </is>
      </c>
      <c r="C5486" t="e">
        <v>#N/A</v>
      </c>
      <c r="K5486" t="n">
        <v>0</v>
      </c>
      <c r="L5486" t="n">
        <v>0</v>
      </c>
      <c r="M5486" t="n">
        <v>0</v>
      </c>
      <c r="AC5486" t="n">
        <v>0</v>
      </c>
      <c r="AD5486" t="n">
        <v>0</v>
      </c>
      <c r="AE5486" t="n">
        <v>0</v>
      </c>
      <c r="AF5486" t="n">
        <v>0</v>
      </c>
      <c r="AG5486" t="n">
        <v>0</v>
      </c>
      <c r="AH5486" t="n">
        <v>0</v>
      </c>
    </row>
    <row r="5487">
      <c r="A5487" t="inlineStr">
        <is>
          <t>12월</t>
        </is>
      </c>
      <c r="B5487" t="inlineStr">
        <is>
          <t>52주차</t>
        </is>
      </c>
      <c r="C5487" t="e">
        <v>#N/A</v>
      </c>
      <c r="K5487" t="n">
        <v>0</v>
      </c>
      <c r="L5487" t="n">
        <v>0</v>
      </c>
      <c r="M5487" t="n">
        <v>0</v>
      </c>
      <c r="AC5487" t="n">
        <v>0</v>
      </c>
      <c r="AD5487" t="n">
        <v>0</v>
      </c>
      <c r="AE5487" t="n">
        <v>0</v>
      </c>
      <c r="AF5487" t="n">
        <v>0</v>
      </c>
      <c r="AG5487" t="n">
        <v>0</v>
      </c>
      <c r="AH5487" t="n">
        <v>0</v>
      </c>
      <c r="AI5487" t="n">
        <v>0</v>
      </c>
    </row>
    <row r="5488">
      <c r="A5488" t="inlineStr">
        <is>
          <t>12월</t>
        </is>
      </c>
      <c r="B5488" t="inlineStr">
        <is>
          <t>52주차</t>
        </is>
      </c>
      <c r="C5488" t="e">
        <v>#N/A</v>
      </c>
      <c r="K5488" t="n">
        <v>0</v>
      </c>
      <c r="L5488" t="n">
        <v>0</v>
      </c>
      <c r="M5488" t="n">
        <v>0</v>
      </c>
      <c r="AC5488" t="n">
        <v>0</v>
      </c>
      <c r="AD5488" t="n">
        <v>0</v>
      </c>
      <c r="AE5488" t="n">
        <v>0</v>
      </c>
      <c r="AF5488" t="n">
        <v>0</v>
      </c>
      <c r="AG5488" t="n">
        <v>0</v>
      </c>
      <c r="AH5488" t="n">
        <v>0</v>
      </c>
      <c r="AI5488" t="n">
        <v>0</v>
      </c>
    </row>
    <row r="5489">
      <c r="A5489" t="inlineStr">
        <is>
          <t>12월</t>
        </is>
      </c>
      <c r="B5489" t="inlineStr">
        <is>
          <t>52주차</t>
        </is>
      </c>
      <c r="C5489" t="e">
        <v>#N/A</v>
      </c>
      <c r="K5489" t="n">
        <v>0</v>
      </c>
      <c r="L5489" t="n">
        <v>0</v>
      </c>
      <c r="M5489" t="n">
        <v>0</v>
      </c>
      <c r="AC5489" t="n">
        <v>0</v>
      </c>
      <c r="AD5489" t="n">
        <v>0</v>
      </c>
      <c r="AE5489" t="n">
        <v>0</v>
      </c>
      <c r="AF5489" t="n">
        <v>0</v>
      </c>
      <c r="AG5489" t="n">
        <v>0</v>
      </c>
      <c r="AH5489" t="n">
        <v>0</v>
      </c>
      <c r="AI5489" t="n">
        <v>0</v>
      </c>
    </row>
    <row r="5490">
      <c r="A5490" t="inlineStr">
        <is>
          <t>12월</t>
        </is>
      </c>
      <c r="B5490" t="inlineStr">
        <is>
          <t>52주차</t>
        </is>
      </c>
      <c r="C5490" t="e">
        <v>#N/A</v>
      </c>
      <c r="K5490" t="n">
        <v>0</v>
      </c>
      <c r="L5490" t="n">
        <v>0</v>
      </c>
      <c r="M5490" t="n">
        <v>0</v>
      </c>
      <c r="AC5490" t="n">
        <v>0</v>
      </c>
      <c r="AD5490" t="n">
        <v>0</v>
      </c>
      <c r="AE5490" t="n">
        <v>0</v>
      </c>
      <c r="AF5490" t="n">
        <v>0</v>
      </c>
      <c r="AG5490" t="n">
        <v>0</v>
      </c>
      <c r="AH5490" t="n">
        <v>0</v>
      </c>
    </row>
    <row r="5491">
      <c r="A5491" t="inlineStr">
        <is>
          <t>12월</t>
        </is>
      </c>
      <c r="B5491" t="inlineStr">
        <is>
          <t>52주차</t>
        </is>
      </c>
      <c r="C5491" t="e">
        <v>#N/A</v>
      </c>
      <c r="K5491" t="n">
        <v>0</v>
      </c>
      <c r="L5491" t="n">
        <v>0</v>
      </c>
      <c r="M5491" t="n">
        <v>0</v>
      </c>
      <c r="AC5491" t="n">
        <v>0</v>
      </c>
      <c r="AD5491" t="n">
        <v>0</v>
      </c>
      <c r="AE5491" t="n">
        <v>0</v>
      </c>
      <c r="AF5491" t="n">
        <v>0</v>
      </c>
      <c r="AG5491" t="n">
        <v>0</v>
      </c>
      <c r="AH5491" t="n">
        <v>0</v>
      </c>
      <c r="AI5491" t="n">
        <v>0</v>
      </c>
    </row>
    <row r="5492">
      <c r="A5492" t="inlineStr">
        <is>
          <t>12월</t>
        </is>
      </c>
      <c r="B5492" t="inlineStr">
        <is>
          <t>52주차</t>
        </is>
      </c>
      <c r="C5492" t="e">
        <v>#N/A</v>
      </c>
      <c r="K5492" t="n">
        <v>0</v>
      </c>
      <c r="L5492" t="n">
        <v>0</v>
      </c>
      <c r="M5492" t="n">
        <v>0</v>
      </c>
      <c r="AC5492" t="n">
        <v>0</v>
      </c>
      <c r="AD5492" t="n">
        <v>0</v>
      </c>
      <c r="AE5492" t="n">
        <v>0</v>
      </c>
      <c r="AF5492" t="n">
        <v>0</v>
      </c>
      <c r="AG5492" t="n">
        <v>0</v>
      </c>
      <c r="AH5492" t="n">
        <v>0</v>
      </c>
      <c r="AI5492" t="n">
        <v>0</v>
      </c>
    </row>
    <row r="5493">
      <c r="A5493" t="inlineStr">
        <is>
          <t>12월</t>
        </is>
      </c>
      <c r="B5493" t="inlineStr">
        <is>
          <t>52주차</t>
        </is>
      </c>
      <c r="C5493" t="e">
        <v>#N/A</v>
      </c>
      <c r="K5493" t="n">
        <v>0</v>
      </c>
      <c r="L5493" t="n">
        <v>0</v>
      </c>
      <c r="M5493" t="n">
        <v>0</v>
      </c>
      <c r="AC5493" t="n">
        <v>0</v>
      </c>
      <c r="AD5493" t="n">
        <v>0</v>
      </c>
      <c r="AE5493" t="n">
        <v>0</v>
      </c>
      <c r="AF5493" t="n">
        <v>0</v>
      </c>
      <c r="AG5493" t="n">
        <v>0</v>
      </c>
      <c r="AH5493" t="n">
        <v>0</v>
      </c>
    </row>
    <row r="5494">
      <c r="A5494" t="inlineStr">
        <is>
          <t>12월</t>
        </is>
      </c>
      <c r="B5494" t="inlineStr">
        <is>
          <t>52주차</t>
        </is>
      </c>
      <c r="C5494" t="e">
        <v>#N/A</v>
      </c>
      <c r="K5494" t="n">
        <v>0</v>
      </c>
      <c r="L5494" t="n">
        <v>0</v>
      </c>
      <c r="M5494" t="n">
        <v>0</v>
      </c>
      <c r="AC5494" t="n">
        <v>0</v>
      </c>
      <c r="AD5494" t="n">
        <v>0</v>
      </c>
      <c r="AE5494" t="n">
        <v>0</v>
      </c>
      <c r="AF5494" t="n">
        <v>0</v>
      </c>
      <c r="AG5494" t="n">
        <v>0</v>
      </c>
      <c r="AH5494" t="n">
        <v>0</v>
      </c>
      <c r="AI5494" t="n">
        <v>0</v>
      </c>
    </row>
    <row r="5495">
      <c r="A5495" t="inlineStr">
        <is>
          <t>12월</t>
        </is>
      </c>
      <c r="B5495" t="inlineStr">
        <is>
          <t>52주차</t>
        </is>
      </c>
      <c r="C5495" t="e">
        <v>#N/A</v>
      </c>
      <c r="K5495" t="n">
        <v>0</v>
      </c>
      <c r="L5495" t="n">
        <v>0</v>
      </c>
      <c r="M5495" t="n">
        <v>0</v>
      </c>
      <c r="AC5495" t="n">
        <v>0</v>
      </c>
      <c r="AD5495" t="n">
        <v>0</v>
      </c>
      <c r="AE5495" t="n">
        <v>0</v>
      </c>
      <c r="AF5495" t="n">
        <v>0</v>
      </c>
      <c r="AG5495" t="n">
        <v>0</v>
      </c>
      <c r="AH5495" t="n">
        <v>0</v>
      </c>
    </row>
    <row r="5496">
      <c r="A5496" t="inlineStr">
        <is>
          <t>12월</t>
        </is>
      </c>
      <c r="B5496" t="inlineStr">
        <is>
          <t>52주차</t>
        </is>
      </c>
      <c r="C5496" t="e">
        <v>#N/A</v>
      </c>
      <c r="K5496" t="n">
        <v>0</v>
      </c>
      <c r="L5496" t="n">
        <v>0</v>
      </c>
      <c r="M5496" t="n">
        <v>0</v>
      </c>
      <c r="AC5496" t="n">
        <v>0</v>
      </c>
      <c r="AD5496" t="n">
        <v>0</v>
      </c>
      <c r="AE5496" t="n">
        <v>0</v>
      </c>
      <c r="AF5496" t="n">
        <v>0</v>
      </c>
      <c r="AG5496" t="n">
        <v>0</v>
      </c>
      <c r="AH5496" t="n">
        <v>0</v>
      </c>
    </row>
    <row r="5497">
      <c r="A5497" t="inlineStr">
        <is>
          <t>12월</t>
        </is>
      </c>
      <c r="B5497" t="inlineStr">
        <is>
          <t>52주차</t>
        </is>
      </c>
      <c r="C5497" t="e">
        <v>#N/A</v>
      </c>
      <c r="K5497" t="n">
        <v>0</v>
      </c>
      <c r="L5497" t="n">
        <v>0</v>
      </c>
      <c r="M5497" t="n">
        <v>0</v>
      </c>
      <c r="AC5497" t="n">
        <v>0</v>
      </c>
      <c r="AD5497" t="n">
        <v>0</v>
      </c>
      <c r="AE5497" t="n">
        <v>0</v>
      </c>
      <c r="AF5497" t="n">
        <v>0</v>
      </c>
      <c r="AG5497" t="n">
        <v>0</v>
      </c>
      <c r="AH5497" t="n">
        <v>0</v>
      </c>
      <c r="AI5497" t="n">
        <v>0</v>
      </c>
    </row>
    <row r="5498">
      <c r="A5498" t="inlineStr">
        <is>
          <t>12월</t>
        </is>
      </c>
      <c r="B5498" t="inlineStr">
        <is>
          <t>52주차</t>
        </is>
      </c>
      <c r="C5498" t="e">
        <v>#N/A</v>
      </c>
      <c r="K5498" t="n">
        <v>0</v>
      </c>
      <c r="L5498" t="n">
        <v>0</v>
      </c>
      <c r="M5498" t="n">
        <v>0</v>
      </c>
      <c r="AC5498" t="n">
        <v>0</v>
      </c>
      <c r="AD5498" t="n">
        <v>0</v>
      </c>
      <c r="AE5498" t="n">
        <v>0</v>
      </c>
      <c r="AF5498" t="n">
        <v>0</v>
      </c>
      <c r="AG5498" t="n">
        <v>0</v>
      </c>
      <c r="AH5498" t="n">
        <v>0</v>
      </c>
      <c r="AI5498" t="n">
        <v>0</v>
      </c>
    </row>
    <row r="5499">
      <c r="A5499" t="inlineStr">
        <is>
          <t>12월</t>
        </is>
      </c>
      <c r="B5499" t="inlineStr">
        <is>
          <t>52주차</t>
        </is>
      </c>
      <c r="C5499" t="e">
        <v>#N/A</v>
      </c>
      <c r="K5499" t="n">
        <v>0</v>
      </c>
      <c r="L5499" t="n">
        <v>0</v>
      </c>
      <c r="M5499" t="n">
        <v>0</v>
      </c>
      <c r="AC5499" t="n">
        <v>0</v>
      </c>
      <c r="AD5499" t="n">
        <v>0</v>
      </c>
      <c r="AE5499" t="n">
        <v>0</v>
      </c>
      <c r="AF5499" t="n">
        <v>0</v>
      </c>
      <c r="AG5499" t="n">
        <v>0</v>
      </c>
      <c r="AH5499" t="n">
        <v>0</v>
      </c>
      <c r="AI5499" t="n">
        <v>0</v>
      </c>
    </row>
    <row r="5500">
      <c r="A5500" t="inlineStr">
        <is>
          <t>12월</t>
        </is>
      </c>
      <c r="B5500" t="inlineStr">
        <is>
          <t>52주차</t>
        </is>
      </c>
      <c r="C5500" t="e">
        <v>#N/A</v>
      </c>
      <c r="K5500" t="n">
        <v>0</v>
      </c>
      <c r="L5500" t="n">
        <v>0</v>
      </c>
      <c r="M5500" t="n">
        <v>0</v>
      </c>
      <c r="AC5500" t="n">
        <v>0</v>
      </c>
      <c r="AD5500" t="n">
        <v>0</v>
      </c>
      <c r="AE5500" t="n">
        <v>0</v>
      </c>
      <c r="AF5500" t="n">
        <v>0</v>
      </c>
      <c r="AG5500" t="n">
        <v>0</v>
      </c>
      <c r="AH5500" t="n">
        <v>0</v>
      </c>
      <c r="AI5500" t="n">
        <v>0</v>
      </c>
    </row>
    <row r="5501">
      <c r="A5501" t="inlineStr">
        <is>
          <t>12월</t>
        </is>
      </c>
      <c r="B5501" t="inlineStr">
        <is>
          <t>52주차</t>
        </is>
      </c>
      <c r="C5501" t="e">
        <v>#N/A</v>
      </c>
      <c r="K5501" t="n">
        <v>0</v>
      </c>
      <c r="L5501" t="n">
        <v>0</v>
      </c>
      <c r="M5501" t="n">
        <v>0</v>
      </c>
      <c r="AC5501" t="n">
        <v>0</v>
      </c>
      <c r="AD5501" t="n">
        <v>0</v>
      </c>
      <c r="AE5501" t="n">
        <v>0</v>
      </c>
      <c r="AF5501" t="n">
        <v>0</v>
      </c>
      <c r="AG5501" t="n">
        <v>0</v>
      </c>
      <c r="AH5501" t="n">
        <v>0</v>
      </c>
      <c r="AI5501" t="n">
        <v>0</v>
      </c>
    </row>
    <row r="5502">
      <c r="A5502" t="inlineStr">
        <is>
          <t>12월</t>
        </is>
      </c>
      <c r="B5502" t="inlineStr">
        <is>
          <t>52주차</t>
        </is>
      </c>
      <c r="C5502" t="e">
        <v>#N/A</v>
      </c>
      <c r="K5502" t="n">
        <v>0</v>
      </c>
      <c r="L5502" t="n">
        <v>0</v>
      </c>
      <c r="M5502" t="n">
        <v>0</v>
      </c>
      <c r="AC5502" t="n">
        <v>0</v>
      </c>
      <c r="AD5502" t="n">
        <v>0</v>
      </c>
      <c r="AE5502" t="n">
        <v>0</v>
      </c>
      <c r="AF5502" t="n">
        <v>0</v>
      </c>
      <c r="AG5502" t="n">
        <v>0</v>
      </c>
      <c r="AH5502" t="n">
        <v>0</v>
      </c>
      <c r="AI5502" t="n">
        <v>0</v>
      </c>
    </row>
    <row r="5503">
      <c r="A5503" t="inlineStr">
        <is>
          <t>12월</t>
        </is>
      </c>
      <c r="B5503" t="inlineStr">
        <is>
          <t>52주차</t>
        </is>
      </c>
      <c r="C5503" t="e">
        <v>#N/A</v>
      </c>
      <c r="K5503" t="n">
        <v>0</v>
      </c>
      <c r="L5503" t="n">
        <v>0</v>
      </c>
      <c r="M5503" t="n">
        <v>0</v>
      </c>
      <c r="AC5503" t="n">
        <v>0</v>
      </c>
      <c r="AD5503" t="n">
        <v>0</v>
      </c>
      <c r="AE5503" t="n">
        <v>0</v>
      </c>
      <c r="AF5503" t="n">
        <v>0</v>
      </c>
      <c r="AG5503" t="n">
        <v>0</v>
      </c>
      <c r="AH5503" t="n">
        <v>0</v>
      </c>
      <c r="AI5503" t="n">
        <v>0</v>
      </c>
    </row>
    <row r="5504">
      <c r="A5504" t="inlineStr">
        <is>
          <t>12월</t>
        </is>
      </c>
      <c r="B5504" t="inlineStr">
        <is>
          <t>52주차</t>
        </is>
      </c>
      <c r="C5504" t="e">
        <v>#N/A</v>
      </c>
      <c r="K5504" t="n">
        <v>0</v>
      </c>
      <c r="L5504" t="n">
        <v>0</v>
      </c>
      <c r="M5504" t="n">
        <v>0</v>
      </c>
      <c r="AC5504" t="n">
        <v>0</v>
      </c>
      <c r="AD5504" t="n">
        <v>0</v>
      </c>
      <c r="AE5504" t="n">
        <v>0</v>
      </c>
      <c r="AF5504" t="n">
        <v>0</v>
      </c>
      <c r="AG5504" t="n">
        <v>0</v>
      </c>
      <c r="AH5504" t="n">
        <v>0</v>
      </c>
      <c r="AI5504" t="n">
        <v>0</v>
      </c>
    </row>
    <row r="5505">
      <c r="A5505" t="inlineStr">
        <is>
          <t>12월</t>
        </is>
      </c>
      <c r="B5505" t="inlineStr">
        <is>
          <t>52주차</t>
        </is>
      </c>
      <c r="C5505" t="e">
        <v>#N/A</v>
      </c>
      <c r="K5505" t="n">
        <v>0</v>
      </c>
      <c r="L5505" t="n">
        <v>0</v>
      </c>
      <c r="M5505" t="n">
        <v>0</v>
      </c>
      <c r="AC5505" t="n">
        <v>0</v>
      </c>
      <c r="AD5505" t="n">
        <v>0</v>
      </c>
      <c r="AE5505" t="n">
        <v>0</v>
      </c>
      <c r="AF5505" t="n">
        <v>0</v>
      </c>
      <c r="AG5505" t="n">
        <v>0</v>
      </c>
      <c r="AH5505" t="n">
        <v>0</v>
      </c>
    </row>
    <row r="5506">
      <c r="A5506" t="inlineStr">
        <is>
          <t>12월</t>
        </is>
      </c>
      <c r="B5506" t="inlineStr">
        <is>
          <t>52주차</t>
        </is>
      </c>
      <c r="C5506" t="e">
        <v>#N/A</v>
      </c>
      <c r="K5506" t="n">
        <v>0</v>
      </c>
      <c r="L5506" t="n">
        <v>0</v>
      </c>
      <c r="M5506" t="n">
        <v>0</v>
      </c>
      <c r="AC5506" t="n">
        <v>0</v>
      </c>
      <c r="AD5506" t="n">
        <v>0</v>
      </c>
      <c r="AE5506" t="n">
        <v>0</v>
      </c>
      <c r="AF5506" t="n">
        <v>0</v>
      </c>
      <c r="AG5506" t="n">
        <v>0</v>
      </c>
      <c r="AH5506" t="n">
        <v>0</v>
      </c>
    </row>
    <row r="5507">
      <c r="A5507" t="inlineStr">
        <is>
          <t>12월</t>
        </is>
      </c>
      <c r="B5507" t="inlineStr">
        <is>
          <t>52주차</t>
        </is>
      </c>
      <c r="C5507" t="e">
        <v>#N/A</v>
      </c>
      <c r="K5507" t="n">
        <v>0</v>
      </c>
      <c r="L5507" t="n">
        <v>0</v>
      </c>
      <c r="M5507" t="n">
        <v>0</v>
      </c>
      <c r="AC5507" t="n">
        <v>0</v>
      </c>
      <c r="AD5507" t="n">
        <v>0</v>
      </c>
      <c r="AE5507" t="n">
        <v>0</v>
      </c>
      <c r="AF5507" t="n">
        <v>0</v>
      </c>
      <c r="AG5507" t="n">
        <v>0</v>
      </c>
      <c r="AH5507" t="n">
        <v>0</v>
      </c>
      <c r="AI5507" t="n">
        <v>0</v>
      </c>
    </row>
    <row r="5508">
      <c r="A5508" t="inlineStr">
        <is>
          <t>12월</t>
        </is>
      </c>
      <c r="B5508" t="inlineStr">
        <is>
          <t>52주차</t>
        </is>
      </c>
      <c r="C5508" t="e">
        <v>#N/A</v>
      </c>
      <c r="K5508" t="n">
        <v>0</v>
      </c>
      <c r="L5508" t="n">
        <v>0</v>
      </c>
      <c r="M5508" t="n">
        <v>0</v>
      </c>
      <c r="AC5508" t="n">
        <v>0</v>
      </c>
      <c r="AD5508" t="n">
        <v>0</v>
      </c>
      <c r="AE5508" t="n">
        <v>0</v>
      </c>
      <c r="AF5508" t="n">
        <v>0</v>
      </c>
      <c r="AG5508" t="n">
        <v>0</v>
      </c>
      <c r="AH5508" t="n">
        <v>0</v>
      </c>
      <c r="AI5508" t="n">
        <v>0</v>
      </c>
    </row>
    <row r="5509">
      <c r="A5509" t="inlineStr">
        <is>
          <t>12월</t>
        </is>
      </c>
      <c r="B5509" t="inlineStr">
        <is>
          <t>52주차</t>
        </is>
      </c>
      <c r="C5509" t="e">
        <v>#N/A</v>
      </c>
      <c r="K5509" t="n">
        <v>0</v>
      </c>
      <c r="L5509" t="n">
        <v>0</v>
      </c>
      <c r="M5509" t="n">
        <v>0</v>
      </c>
      <c r="AC5509" t="n">
        <v>0</v>
      </c>
      <c r="AD5509" t="n">
        <v>0</v>
      </c>
      <c r="AE5509" t="n">
        <v>0</v>
      </c>
      <c r="AF5509" t="n">
        <v>0</v>
      </c>
      <c r="AG5509" t="n">
        <v>0</v>
      </c>
      <c r="AH5509" t="n">
        <v>0</v>
      </c>
      <c r="AI5509" t="n">
        <v>0</v>
      </c>
    </row>
    <row r="5510">
      <c r="A5510" t="inlineStr">
        <is>
          <t>12월</t>
        </is>
      </c>
      <c r="B5510" t="inlineStr">
        <is>
          <t>52주차</t>
        </is>
      </c>
      <c r="C5510" t="e">
        <v>#N/A</v>
      </c>
      <c r="K5510" t="n">
        <v>0</v>
      </c>
      <c r="L5510" t="n">
        <v>0</v>
      </c>
      <c r="M5510" t="n">
        <v>0</v>
      </c>
      <c r="AC5510" t="n">
        <v>0</v>
      </c>
      <c r="AD5510" t="n">
        <v>0</v>
      </c>
      <c r="AE5510" t="n">
        <v>0</v>
      </c>
      <c r="AF5510" t="n">
        <v>0</v>
      </c>
      <c r="AG5510" t="n">
        <v>0</v>
      </c>
      <c r="AH5510" t="n">
        <v>0</v>
      </c>
    </row>
    <row r="5511">
      <c r="A5511" t="inlineStr">
        <is>
          <t>12월</t>
        </is>
      </c>
      <c r="B5511" t="inlineStr">
        <is>
          <t>52주차</t>
        </is>
      </c>
      <c r="C5511" t="e">
        <v>#N/A</v>
      </c>
      <c r="K5511" t="n">
        <v>0</v>
      </c>
      <c r="L5511" t="n">
        <v>0</v>
      </c>
      <c r="M5511" t="n">
        <v>0</v>
      </c>
      <c r="AC5511" t="n">
        <v>0</v>
      </c>
      <c r="AD5511" t="n">
        <v>0</v>
      </c>
      <c r="AE5511" t="n">
        <v>0</v>
      </c>
      <c r="AF5511" t="n">
        <v>0</v>
      </c>
      <c r="AG5511" t="n">
        <v>0</v>
      </c>
      <c r="AH5511" t="n">
        <v>0</v>
      </c>
      <c r="AI5511" t="n">
        <v>0</v>
      </c>
    </row>
    <row r="5512">
      <c r="A5512" t="inlineStr">
        <is>
          <t>12월</t>
        </is>
      </c>
      <c r="B5512" t="inlineStr">
        <is>
          <t>52주차</t>
        </is>
      </c>
      <c r="C5512" t="e">
        <v>#N/A</v>
      </c>
      <c r="K5512" t="n">
        <v>0</v>
      </c>
      <c r="L5512" t="n">
        <v>0</v>
      </c>
      <c r="M5512" t="n">
        <v>0</v>
      </c>
      <c r="AC5512" t="n">
        <v>0</v>
      </c>
      <c r="AD5512" t="n">
        <v>0</v>
      </c>
      <c r="AE5512" t="n">
        <v>0</v>
      </c>
      <c r="AF5512" t="n">
        <v>0</v>
      </c>
      <c r="AG5512" t="n">
        <v>0</v>
      </c>
      <c r="AH5512" t="n">
        <v>0</v>
      </c>
      <c r="AI5512" t="n">
        <v>0</v>
      </c>
    </row>
    <row r="5513">
      <c r="A5513" t="inlineStr">
        <is>
          <t>12월</t>
        </is>
      </c>
      <c r="B5513" t="inlineStr">
        <is>
          <t>52주차</t>
        </is>
      </c>
      <c r="C5513" t="e">
        <v>#N/A</v>
      </c>
      <c r="K5513" t="n">
        <v>0</v>
      </c>
      <c r="L5513" t="n">
        <v>0</v>
      </c>
      <c r="M5513" t="n">
        <v>0</v>
      </c>
      <c r="AC5513" t="n">
        <v>0</v>
      </c>
      <c r="AD5513" t="n">
        <v>0</v>
      </c>
      <c r="AE5513" t="n">
        <v>0</v>
      </c>
      <c r="AF5513" t="n">
        <v>0</v>
      </c>
      <c r="AG5513" t="n">
        <v>0</v>
      </c>
      <c r="AH5513" t="n">
        <v>0</v>
      </c>
    </row>
    <row r="5514">
      <c r="A5514" t="inlineStr">
        <is>
          <t>12월</t>
        </is>
      </c>
      <c r="B5514" t="inlineStr">
        <is>
          <t>52주차</t>
        </is>
      </c>
      <c r="C5514" t="e">
        <v>#N/A</v>
      </c>
      <c r="K5514" t="n">
        <v>0</v>
      </c>
      <c r="L5514" t="n">
        <v>0</v>
      </c>
      <c r="M5514" t="n">
        <v>0</v>
      </c>
      <c r="AC5514" t="n">
        <v>0</v>
      </c>
      <c r="AD5514" t="n">
        <v>0</v>
      </c>
      <c r="AE5514" t="n">
        <v>0</v>
      </c>
      <c r="AF5514" t="n">
        <v>0</v>
      </c>
      <c r="AG5514" t="n">
        <v>0</v>
      </c>
      <c r="AH5514" t="n">
        <v>0</v>
      </c>
      <c r="AI5514" t="n">
        <v>0</v>
      </c>
    </row>
    <row r="5515">
      <c r="A5515" t="inlineStr">
        <is>
          <t>12월</t>
        </is>
      </c>
      <c r="B5515" t="inlineStr">
        <is>
          <t>52주차</t>
        </is>
      </c>
      <c r="C5515" t="e">
        <v>#N/A</v>
      </c>
      <c r="K5515" t="n">
        <v>0</v>
      </c>
      <c r="L5515" t="n">
        <v>0</v>
      </c>
      <c r="M5515" t="n">
        <v>0</v>
      </c>
      <c r="AC5515" t="n">
        <v>0</v>
      </c>
      <c r="AD5515" t="n">
        <v>0</v>
      </c>
      <c r="AE5515" t="n">
        <v>0</v>
      </c>
      <c r="AF5515" t="n">
        <v>0</v>
      </c>
      <c r="AG5515" t="n">
        <v>0</v>
      </c>
      <c r="AH5515" t="n">
        <v>0</v>
      </c>
      <c r="AI5515" t="n">
        <v>0</v>
      </c>
    </row>
    <row r="5516">
      <c r="A5516" t="inlineStr">
        <is>
          <t>12월</t>
        </is>
      </c>
      <c r="B5516" t="inlineStr">
        <is>
          <t>52주차</t>
        </is>
      </c>
      <c r="C5516" t="e">
        <v>#N/A</v>
      </c>
      <c r="K5516" t="n">
        <v>0</v>
      </c>
      <c r="L5516" t="n">
        <v>0</v>
      </c>
      <c r="M5516" t="n">
        <v>0</v>
      </c>
      <c r="AC5516" t="n">
        <v>0</v>
      </c>
      <c r="AD5516" t="n">
        <v>0</v>
      </c>
      <c r="AE5516" t="n">
        <v>0</v>
      </c>
      <c r="AF5516" t="n">
        <v>0</v>
      </c>
      <c r="AG5516" t="n">
        <v>0</v>
      </c>
      <c r="AH5516" t="n">
        <v>0</v>
      </c>
      <c r="AI5516" t="n">
        <v>0</v>
      </c>
    </row>
    <row r="5517">
      <c r="A5517" t="inlineStr">
        <is>
          <t>12월</t>
        </is>
      </c>
      <c r="B5517" t="inlineStr">
        <is>
          <t>52주차</t>
        </is>
      </c>
      <c r="C5517" t="e">
        <v>#N/A</v>
      </c>
      <c r="K5517" t="n">
        <v>0</v>
      </c>
      <c r="L5517" t="n">
        <v>0</v>
      </c>
      <c r="M5517" t="n">
        <v>0</v>
      </c>
      <c r="AC5517" t="n">
        <v>0</v>
      </c>
      <c r="AD5517" t="n">
        <v>0</v>
      </c>
      <c r="AE5517" t="n">
        <v>0</v>
      </c>
      <c r="AF5517" t="n">
        <v>0</v>
      </c>
      <c r="AG5517" t="n">
        <v>0</v>
      </c>
      <c r="AH5517" t="n">
        <v>0</v>
      </c>
      <c r="AI5517" t="n">
        <v>0</v>
      </c>
    </row>
    <row r="5518">
      <c r="A5518" t="inlineStr">
        <is>
          <t>12월</t>
        </is>
      </c>
      <c r="B5518" t="inlineStr">
        <is>
          <t>52주차</t>
        </is>
      </c>
      <c r="C5518" t="e">
        <v>#N/A</v>
      </c>
      <c r="K5518" t="n">
        <v>0</v>
      </c>
      <c r="L5518" t="n">
        <v>0</v>
      </c>
      <c r="M5518" t="n">
        <v>0</v>
      </c>
      <c r="AC5518" t="n">
        <v>0</v>
      </c>
      <c r="AD5518" t="n">
        <v>0</v>
      </c>
      <c r="AE5518" t="n">
        <v>0</v>
      </c>
      <c r="AF5518" t="n">
        <v>0</v>
      </c>
      <c r="AG5518" t="n">
        <v>0</v>
      </c>
      <c r="AH5518" t="n">
        <v>0</v>
      </c>
      <c r="AI5518" t="n">
        <v>0</v>
      </c>
    </row>
    <row r="5519">
      <c r="A5519" t="inlineStr">
        <is>
          <t>12월</t>
        </is>
      </c>
      <c r="B5519" t="inlineStr">
        <is>
          <t>52주차</t>
        </is>
      </c>
      <c r="C5519" t="e">
        <v>#N/A</v>
      </c>
      <c r="K5519" t="n">
        <v>0</v>
      </c>
      <c r="L5519" t="n">
        <v>0</v>
      </c>
      <c r="M5519" t="n">
        <v>0</v>
      </c>
      <c r="AC5519" t="n">
        <v>0</v>
      </c>
      <c r="AD5519" t="n">
        <v>0</v>
      </c>
      <c r="AE5519" t="n">
        <v>0</v>
      </c>
      <c r="AF5519" t="n">
        <v>0</v>
      </c>
      <c r="AG5519" t="n">
        <v>0</v>
      </c>
      <c r="AH5519" t="n">
        <v>0</v>
      </c>
    </row>
    <row r="5520">
      <c r="A5520" t="inlineStr">
        <is>
          <t>12월</t>
        </is>
      </c>
      <c r="B5520" t="inlineStr">
        <is>
          <t>52주차</t>
        </is>
      </c>
      <c r="C5520" t="e">
        <v>#N/A</v>
      </c>
      <c r="K5520" t="n">
        <v>0</v>
      </c>
      <c r="L5520" t="n">
        <v>0</v>
      </c>
      <c r="M5520" t="n">
        <v>0</v>
      </c>
      <c r="AC5520" t="n">
        <v>0</v>
      </c>
      <c r="AD5520" t="n">
        <v>0</v>
      </c>
      <c r="AE5520" t="n">
        <v>0</v>
      </c>
      <c r="AF5520" t="n">
        <v>0</v>
      </c>
      <c r="AG5520" t="n">
        <v>0</v>
      </c>
      <c r="AH5520" t="n">
        <v>0</v>
      </c>
      <c r="AI5520" t="n">
        <v>0</v>
      </c>
    </row>
    <row r="5521">
      <c r="A5521" t="inlineStr">
        <is>
          <t>12월</t>
        </is>
      </c>
      <c r="B5521" t="inlineStr">
        <is>
          <t>52주차</t>
        </is>
      </c>
      <c r="C5521" t="e">
        <v>#N/A</v>
      </c>
      <c r="K5521" t="n">
        <v>0</v>
      </c>
      <c r="L5521" t="n">
        <v>0</v>
      </c>
      <c r="M5521" t="n">
        <v>0</v>
      </c>
      <c r="AC5521" t="n">
        <v>0</v>
      </c>
      <c r="AD5521" t="n">
        <v>0</v>
      </c>
      <c r="AE5521" t="n">
        <v>0</v>
      </c>
      <c r="AF5521" t="n">
        <v>0</v>
      </c>
      <c r="AG5521" t="n">
        <v>0</v>
      </c>
      <c r="AH5521" t="n">
        <v>0</v>
      </c>
      <c r="AI5521" t="n">
        <v>0</v>
      </c>
    </row>
    <row r="5522">
      <c r="A5522" t="inlineStr">
        <is>
          <t>12월</t>
        </is>
      </c>
      <c r="B5522" t="inlineStr">
        <is>
          <t>52주차</t>
        </is>
      </c>
      <c r="C5522" t="e">
        <v>#N/A</v>
      </c>
      <c r="K5522" t="n">
        <v>0</v>
      </c>
      <c r="L5522" t="n">
        <v>0</v>
      </c>
      <c r="M5522" t="n">
        <v>0</v>
      </c>
      <c r="AC5522" t="n">
        <v>0</v>
      </c>
      <c r="AD5522" t="n">
        <v>0</v>
      </c>
      <c r="AE5522" t="n">
        <v>0</v>
      </c>
      <c r="AF5522" t="n">
        <v>0</v>
      </c>
      <c r="AG5522" t="n">
        <v>0</v>
      </c>
      <c r="AH5522" t="n">
        <v>0</v>
      </c>
      <c r="AI5522" t="n">
        <v>0</v>
      </c>
    </row>
    <row r="5523">
      <c r="A5523" t="inlineStr">
        <is>
          <t>12월</t>
        </is>
      </c>
      <c r="B5523" t="inlineStr">
        <is>
          <t>52주차</t>
        </is>
      </c>
      <c r="C5523" t="e">
        <v>#N/A</v>
      </c>
      <c r="K5523" t="n">
        <v>0</v>
      </c>
      <c r="L5523" t="n">
        <v>0</v>
      </c>
      <c r="M5523" t="n">
        <v>0</v>
      </c>
      <c r="AC5523" t="n">
        <v>0</v>
      </c>
      <c r="AD5523" t="n">
        <v>0</v>
      </c>
      <c r="AE5523" t="n">
        <v>0</v>
      </c>
      <c r="AF5523" t="n">
        <v>0</v>
      </c>
      <c r="AG5523" t="n">
        <v>0</v>
      </c>
      <c r="AH5523" t="n">
        <v>0</v>
      </c>
      <c r="AI5523" t="n">
        <v>0</v>
      </c>
    </row>
    <row r="5524">
      <c r="A5524" t="inlineStr">
        <is>
          <t>12월</t>
        </is>
      </c>
      <c r="B5524" t="inlineStr">
        <is>
          <t>52주차</t>
        </is>
      </c>
      <c r="C5524" t="e">
        <v>#N/A</v>
      </c>
      <c r="K5524" t="n">
        <v>0</v>
      </c>
      <c r="L5524" t="n">
        <v>0</v>
      </c>
      <c r="M5524" t="n">
        <v>0</v>
      </c>
      <c r="AC5524" t="n">
        <v>0</v>
      </c>
      <c r="AD5524" t="n">
        <v>0</v>
      </c>
      <c r="AE5524" t="n">
        <v>0</v>
      </c>
      <c r="AF5524" t="n">
        <v>0</v>
      </c>
      <c r="AG5524" t="n">
        <v>0</v>
      </c>
      <c r="AH5524" t="n">
        <v>0</v>
      </c>
      <c r="AI5524" t="n">
        <v>0</v>
      </c>
    </row>
    <row r="5525">
      <c r="A5525" t="inlineStr">
        <is>
          <t>12월</t>
        </is>
      </c>
      <c r="B5525" t="inlineStr">
        <is>
          <t>52주차</t>
        </is>
      </c>
      <c r="C5525" t="e">
        <v>#N/A</v>
      </c>
      <c r="K5525" t="n">
        <v>0</v>
      </c>
      <c r="L5525" t="n">
        <v>0</v>
      </c>
      <c r="M5525" t="n">
        <v>0</v>
      </c>
      <c r="AC5525" t="n">
        <v>0</v>
      </c>
      <c r="AD5525" t="n">
        <v>0</v>
      </c>
      <c r="AE5525" t="n">
        <v>0</v>
      </c>
      <c r="AF5525" t="n">
        <v>0</v>
      </c>
      <c r="AG5525" t="n">
        <v>0</v>
      </c>
      <c r="AH5525" t="n">
        <v>0</v>
      </c>
    </row>
    <row r="5526">
      <c r="A5526" t="inlineStr">
        <is>
          <t>12월</t>
        </is>
      </c>
      <c r="B5526" t="inlineStr">
        <is>
          <t>52주차</t>
        </is>
      </c>
      <c r="C5526" t="e">
        <v>#N/A</v>
      </c>
      <c r="K5526" t="n">
        <v>0</v>
      </c>
      <c r="L5526" t="n">
        <v>0</v>
      </c>
      <c r="M5526" t="n">
        <v>0</v>
      </c>
      <c r="AC5526" t="n">
        <v>0</v>
      </c>
      <c r="AD5526" t="n">
        <v>0</v>
      </c>
      <c r="AE5526" t="n">
        <v>0</v>
      </c>
      <c r="AF5526" t="n">
        <v>0</v>
      </c>
      <c r="AG5526" t="n">
        <v>0</v>
      </c>
      <c r="AH5526" t="n">
        <v>0</v>
      </c>
      <c r="AI5526" t="n">
        <v>0</v>
      </c>
    </row>
    <row r="5527">
      <c r="A5527" t="inlineStr">
        <is>
          <t>12월</t>
        </is>
      </c>
      <c r="B5527" t="inlineStr">
        <is>
          <t>52주차</t>
        </is>
      </c>
      <c r="C5527" t="e">
        <v>#N/A</v>
      </c>
      <c r="K5527" t="n">
        <v>0</v>
      </c>
      <c r="L5527" t="n">
        <v>0</v>
      </c>
      <c r="M5527" t="n">
        <v>0</v>
      </c>
      <c r="AC5527" t="n">
        <v>0</v>
      </c>
      <c r="AD5527" t="n">
        <v>0</v>
      </c>
      <c r="AE5527" t="n">
        <v>0</v>
      </c>
      <c r="AF5527" t="n">
        <v>0</v>
      </c>
      <c r="AG5527" t="n">
        <v>0</v>
      </c>
      <c r="AH5527" t="n">
        <v>0</v>
      </c>
      <c r="AI5527" t="n">
        <v>0</v>
      </c>
    </row>
    <row r="5528">
      <c r="A5528" t="inlineStr">
        <is>
          <t>12월</t>
        </is>
      </c>
      <c r="B5528" t="inlineStr">
        <is>
          <t>52주차</t>
        </is>
      </c>
      <c r="C5528" t="e">
        <v>#N/A</v>
      </c>
      <c r="K5528" t="n">
        <v>0</v>
      </c>
      <c r="L5528" t="n">
        <v>0</v>
      </c>
      <c r="M5528" t="n">
        <v>0</v>
      </c>
      <c r="AC5528" t="n">
        <v>0</v>
      </c>
      <c r="AD5528" t="n">
        <v>0</v>
      </c>
      <c r="AE5528" t="n">
        <v>0</v>
      </c>
      <c r="AF5528" t="n">
        <v>0</v>
      </c>
      <c r="AG5528" t="n">
        <v>0</v>
      </c>
      <c r="AH5528" t="n">
        <v>0</v>
      </c>
      <c r="AI5528" t="n">
        <v>0</v>
      </c>
    </row>
    <row r="5529">
      <c r="A5529" t="inlineStr">
        <is>
          <t>12월</t>
        </is>
      </c>
      <c r="B5529" t="inlineStr">
        <is>
          <t>52주차</t>
        </is>
      </c>
      <c r="C5529" t="e">
        <v>#N/A</v>
      </c>
      <c r="K5529" t="n">
        <v>0</v>
      </c>
      <c r="L5529" t="n">
        <v>0</v>
      </c>
      <c r="M5529" t="n">
        <v>0</v>
      </c>
      <c r="AC5529" t="n">
        <v>0</v>
      </c>
      <c r="AD5529" t="n">
        <v>0</v>
      </c>
      <c r="AE5529" t="n">
        <v>0</v>
      </c>
      <c r="AF5529" t="n">
        <v>0</v>
      </c>
      <c r="AG5529" t="n">
        <v>0</v>
      </c>
      <c r="AH5529" t="n">
        <v>0</v>
      </c>
      <c r="AI5529" t="n">
        <v>0</v>
      </c>
    </row>
    <row r="5530">
      <c r="A5530" t="inlineStr">
        <is>
          <t>12월</t>
        </is>
      </c>
      <c r="B5530" t="inlineStr">
        <is>
          <t>52주차</t>
        </is>
      </c>
      <c r="C5530" t="e">
        <v>#N/A</v>
      </c>
      <c r="K5530" t="n">
        <v>0</v>
      </c>
      <c r="L5530" t="n">
        <v>0</v>
      </c>
      <c r="M5530" t="n">
        <v>0</v>
      </c>
      <c r="AC5530" t="n">
        <v>0</v>
      </c>
      <c r="AD5530" t="n">
        <v>0</v>
      </c>
      <c r="AE5530" t="n">
        <v>0</v>
      </c>
      <c r="AF5530" t="n">
        <v>0</v>
      </c>
      <c r="AG5530" t="n">
        <v>0</v>
      </c>
      <c r="AH5530" t="n">
        <v>0</v>
      </c>
      <c r="AI5530" t="n">
        <v>0</v>
      </c>
    </row>
    <row r="5531">
      <c r="A5531" t="inlineStr">
        <is>
          <t>12월</t>
        </is>
      </c>
      <c r="B5531" t="inlineStr">
        <is>
          <t>52주차</t>
        </is>
      </c>
      <c r="C5531" t="e">
        <v>#N/A</v>
      </c>
      <c r="K5531" t="n">
        <v>0</v>
      </c>
      <c r="L5531" t="n">
        <v>0</v>
      </c>
      <c r="M5531" t="n">
        <v>0</v>
      </c>
      <c r="AC5531" t="n">
        <v>0</v>
      </c>
      <c r="AD5531" t="n">
        <v>0</v>
      </c>
      <c r="AE5531" t="n">
        <v>0</v>
      </c>
      <c r="AF5531" t="n">
        <v>0</v>
      </c>
      <c r="AG5531" t="n">
        <v>0</v>
      </c>
      <c r="AH5531" t="n">
        <v>0</v>
      </c>
      <c r="AI5531" t="n">
        <v>0</v>
      </c>
    </row>
    <row r="5532">
      <c r="A5532" t="inlineStr">
        <is>
          <t>12월</t>
        </is>
      </c>
      <c r="B5532" t="inlineStr">
        <is>
          <t>52주차</t>
        </is>
      </c>
      <c r="C5532" t="e">
        <v>#N/A</v>
      </c>
      <c r="K5532" t="n">
        <v>0</v>
      </c>
      <c r="L5532" t="n">
        <v>0</v>
      </c>
      <c r="M5532" t="n">
        <v>0</v>
      </c>
      <c r="AC5532" t="n">
        <v>0</v>
      </c>
      <c r="AD5532" t="n">
        <v>0</v>
      </c>
      <c r="AE5532" t="n">
        <v>0</v>
      </c>
      <c r="AF5532" t="n">
        <v>0</v>
      </c>
      <c r="AG5532" t="n">
        <v>0</v>
      </c>
      <c r="AH5532" t="n">
        <v>0</v>
      </c>
      <c r="AI5532" t="n">
        <v>0</v>
      </c>
    </row>
    <row r="5533">
      <c r="A5533" t="inlineStr">
        <is>
          <t>12월</t>
        </is>
      </c>
      <c r="B5533" t="inlineStr">
        <is>
          <t>52주차</t>
        </is>
      </c>
      <c r="C5533" t="e">
        <v>#N/A</v>
      </c>
      <c r="K5533" t="n">
        <v>0</v>
      </c>
      <c r="L5533" t="n">
        <v>0</v>
      </c>
      <c r="M5533" t="n">
        <v>0</v>
      </c>
      <c r="AC5533" t="n">
        <v>0</v>
      </c>
      <c r="AD5533" t="n">
        <v>0</v>
      </c>
      <c r="AE5533" t="n">
        <v>0</v>
      </c>
      <c r="AF5533" t="n">
        <v>0</v>
      </c>
      <c r="AG5533" t="n">
        <v>0</v>
      </c>
      <c r="AH5533" t="n">
        <v>0</v>
      </c>
      <c r="AI5533" t="n">
        <v>0</v>
      </c>
    </row>
    <row r="5534">
      <c r="A5534" t="inlineStr">
        <is>
          <t>12월</t>
        </is>
      </c>
      <c r="B5534" t="inlineStr">
        <is>
          <t>52주차</t>
        </is>
      </c>
      <c r="C5534" t="e">
        <v>#N/A</v>
      </c>
      <c r="K5534" t="n">
        <v>0</v>
      </c>
      <c r="L5534" t="n">
        <v>0</v>
      </c>
      <c r="M5534" t="n">
        <v>0</v>
      </c>
      <c r="AC5534" t="n">
        <v>0</v>
      </c>
      <c r="AD5534" t="n">
        <v>0</v>
      </c>
      <c r="AE5534" t="n">
        <v>0</v>
      </c>
      <c r="AF5534" t="n">
        <v>0</v>
      </c>
      <c r="AG5534" t="n">
        <v>0</v>
      </c>
      <c r="AH5534" t="n">
        <v>0</v>
      </c>
    </row>
    <row r="5535">
      <c r="A5535" t="inlineStr">
        <is>
          <t>12월</t>
        </is>
      </c>
      <c r="B5535" t="inlineStr">
        <is>
          <t>52주차</t>
        </is>
      </c>
      <c r="C5535" t="e">
        <v>#N/A</v>
      </c>
      <c r="K5535" t="n">
        <v>0</v>
      </c>
      <c r="L5535" t="n">
        <v>0</v>
      </c>
      <c r="M5535" t="n">
        <v>0</v>
      </c>
      <c r="AC5535" t="n">
        <v>0</v>
      </c>
      <c r="AD5535" t="n">
        <v>0</v>
      </c>
      <c r="AE5535" t="n">
        <v>0</v>
      </c>
      <c r="AF5535" t="n">
        <v>0</v>
      </c>
      <c r="AG5535" t="n">
        <v>0</v>
      </c>
      <c r="AH5535" t="n">
        <v>0</v>
      </c>
      <c r="AI5535" t="n">
        <v>0</v>
      </c>
    </row>
    <row r="5536">
      <c r="A5536" t="inlineStr">
        <is>
          <t>12월</t>
        </is>
      </c>
      <c r="B5536" t="inlineStr">
        <is>
          <t>52주차</t>
        </is>
      </c>
      <c r="C5536" t="e">
        <v>#N/A</v>
      </c>
      <c r="K5536" t="n">
        <v>0</v>
      </c>
      <c r="L5536" t="n">
        <v>0</v>
      </c>
      <c r="M5536" t="n">
        <v>0</v>
      </c>
      <c r="AC5536" t="n">
        <v>0</v>
      </c>
      <c r="AD5536" t="n">
        <v>0</v>
      </c>
      <c r="AE5536" t="n">
        <v>0</v>
      </c>
      <c r="AF5536" t="n">
        <v>0</v>
      </c>
      <c r="AG5536" t="n">
        <v>0</v>
      </c>
      <c r="AH5536" t="n">
        <v>0</v>
      </c>
      <c r="AI5536" t="n">
        <v>0</v>
      </c>
    </row>
    <row r="5537">
      <c r="A5537" t="inlineStr">
        <is>
          <t>12월</t>
        </is>
      </c>
      <c r="B5537" t="inlineStr">
        <is>
          <t>52주차</t>
        </is>
      </c>
      <c r="C5537" t="e">
        <v>#N/A</v>
      </c>
      <c r="K5537" t="n">
        <v>0</v>
      </c>
      <c r="L5537" t="n">
        <v>0</v>
      </c>
      <c r="M5537" t="n">
        <v>0</v>
      </c>
      <c r="AC5537" t="n">
        <v>0</v>
      </c>
      <c r="AD5537" t="n">
        <v>0</v>
      </c>
      <c r="AE5537" t="n">
        <v>0</v>
      </c>
      <c r="AF5537" t="n">
        <v>0</v>
      </c>
      <c r="AG5537" t="n">
        <v>0</v>
      </c>
      <c r="AH5537" t="n">
        <v>0</v>
      </c>
    </row>
    <row r="5538">
      <c r="A5538" t="inlineStr">
        <is>
          <t>12월</t>
        </is>
      </c>
      <c r="B5538" t="inlineStr">
        <is>
          <t>52주차</t>
        </is>
      </c>
      <c r="C5538" t="e">
        <v>#N/A</v>
      </c>
      <c r="K5538" t="n">
        <v>0</v>
      </c>
      <c r="L5538" t="n">
        <v>0</v>
      </c>
      <c r="M5538" t="n">
        <v>0</v>
      </c>
      <c r="AC5538" t="n">
        <v>0</v>
      </c>
      <c r="AD5538" t="n">
        <v>0</v>
      </c>
      <c r="AE5538" t="n">
        <v>0</v>
      </c>
      <c r="AF5538" t="n">
        <v>0</v>
      </c>
      <c r="AG5538" t="n">
        <v>0</v>
      </c>
      <c r="AH5538" t="n">
        <v>0</v>
      </c>
    </row>
    <row r="5539">
      <c r="A5539" t="inlineStr">
        <is>
          <t>12월</t>
        </is>
      </c>
      <c r="B5539" t="inlineStr">
        <is>
          <t>52주차</t>
        </is>
      </c>
      <c r="C5539" t="e">
        <v>#N/A</v>
      </c>
      <c r="K5539" t="n">
        <v>0</v>
      </c>
      <c r="L5539" t="n">
        <v>0</v>
      </c>
      <c r="M5539" t="n">
        <v>0</v>
      </c>
      <c r="AC5539" t="n">
        <v>0</v>
      </c>
      <c r="AD5539" t="n">
        <v>0</v>
      </c>
      <c r="AE5539" t="n">
        <v>0</v>
      </c>
      <c r="AF5539" t="n">
        <v>0</v>
      </c>
      <c r="AG5539" t="n">
        <v>0</v>
      </c>
      <c r="AH5539" t="n">
        <v>0</v>
      </c>
      <c r="AI5539" t="n">
        <v>0</v>
      </c>
    </row>
    <row r="5540">
      <c r="A5540" t="inlineStr">
        <is>
          <t>12월</t>
        </is>
      </c>
      <c r="B5540" t="inlineStr">
        <is>
          <t>52주차</t>
        </is>
      </c>
      <c r="C5540" t="e">
        <v>#N/A</v>
      </c>
      <c r="K5540" t="n">
        <v>0</v>
      </c>
      <c r="L5540" t="n">
        <v>0</v>
      </c>
      <c r="M5540" t="n">
        <v>0</v>
      </c>
      <c r="AC5540" t="n">
        <v>0</v>
      </c>
      <c r="AD5540" t="n">
        <v>0</v>
      </c>
      <c r="AE5540" t="n">
        <v>0</v>
      </c>
      <c r="AF5540" t="n">
        <v>0</v>
      </c>
      <c r="AG5540" t="n">
        <v>0</v>
      </c>
      <c r="AH5540" t="n">
        <v>0</v>
      </c>
    </row>
    <row r="5541">
      <c r="A5541" t="inlineStr">
        <is>
          <t>12월</t>
        </is>
      </c>
      <c r="B5541" t="inlineStr">
        <is>
          <t>52주차</t>
        </is>
      </c>
      <c r="C5541" t="e">
        <v>#N/A</v>
      </c>
      <c r="K5541" t="n">
        <v>0</v>
      </c>
      <c r="L5541" t="n">
        <v>0</v>
      </c>
      <c r="M5541" t="n">
        <v>0</v>
      </c>
      <c r="AC5541" t="n">
        <v>13000000</v>
      </c>
      <c r="AD5541" t="n">
        <v>11700000</v>
      </c>
      <c r="AE5541" t="n">
        <v>1300000</v>
      </c>
      <c r="AF5541" t="n">
        <v>11818181.82</v>
      </c>
      <c r="AG5541" t="n">
        <v>11313900</v>
      </c>
      <c r="AH5541" t="n">
        <v>504281.8182</v>
      </c>
      <c r="AI5541" t="n">
        <v>0</v>
      </c>
    </row>
    <row r="5542">
      <c r="A5542" t="inlineStr">
        <is>
          <t>12월</t>
        </is>
      </c>
      <c r="B5542" t="inlineStr">
        <is>
          <t>52주차</t>
        </is>
      </c>
      <c r="C5542" t="e">
        <v>#N/A</v>
      </c>
      <c r="K5542" t="n">
        <v>0</v>
      </c>
      <c r="L5542" t="n">
        <v>0</v>
      </c>
      <c r="M5542" t="n">
        <v>0</v>
      </c>
      <c r="AC5542" t="n">
        <v>0</v>
      </c>
      <c r="AD5542" t="n">
        <v>0</v>
      </c>
      <c r="AE5542" t="n">
        <v>0</v>
      </c>
      <c r="AF5542" t="n">
        <v>0</v>
      </c>
      <c r="AG5542" t="n">
        <v>0</v>
      </c>
      <c r="AH5542" t="n">
        <v>0</v>
      </c>
      <c r="AI5542" t="n">
        <v>0</v>
      </c>
    </row>
    <row r="5543">
      <c r="A5543" t="inlineStr">
        <is>
          <t>12월</t>
        </is>
      </c>
      <c r="B5543" t="inlineStr">
        <is>
          <t>52주차</t>
        </is>
      </c>
      <c r="C5543" t="e">
        <v>#N/A</v>
      </c>
      <c r="K5543" t="n">
        <v>0</v>
      </c>
      <c r="L5543" t="n">
        <v>0</v>
      </c>
      <c r="M5543" t="n">
        <v>0</v>
      </c>
      <c r="AC5543" t="n">
        <v>0</v>
      </c>
      <c r="AD5543" t="n">
        <v>0</v>
      </c>
      <c r="AE5543" t="n">
        <v>0</v>
      </c>
      <c r="AF5543" t="n">
        <v>0</v>
      </c>
      <c r="AG5543" t="n">
        <v>0</v>
      </c>
      <c r="AH5543" t="n">
        <v>0</v>
      </c>
      <c r="AI5543" t="n">
        <v>0</v>
      </c>
    </row>
    <row r="5544">
      <c r="A5544" t="inlineStr">
        <is>
          <t>12월</t>
        </is>
      </c>
      <c r="B5544" t="inlineStr">
        <is>
          <t>52주차</t>
        </is>
      </c>
      <c r="C5544" t="e">
        <v>#N/A</v>
      </c>
      <c r="K5544" t="n">
        <v>0</v>
      </c>
      <c r="L5544" t="n">
        <v>0</v>
      </c>
      <c r="M5544" t="n">
        <v>0</v>
      </c>
      <c r="AC5544" t="n">
        <v>0</v>
      </c>
      <c r="AD5544" t="n">
        <v>0</v>
      </c>
      <c r="AE5544" t="n">
        <v>0</v>
      </c>
      <c r="AF5544" t="n">
        <v>0</v>
      </c>
      <c r="AG5544" t="n">
        <v>0</v>
      </c>
      <c r="AH5544" t="n">
        <v>0</v>
      </c>
      <c r="AI5544" t="n">
        <v>0</v>
      </c>
    </row>
    <row r="5545">
      <c r="A5545" t="inlineStr">
        <is>
          <t>12월</t>
        </is>
      </c>
      <c r="B5545" t="inlineStr">
        <is>
          <t>52주차</t>
        </is>
      </c>
      <c r="C5545" t="e">
        <v>#N/A</v>
      </c>
      <c r="K5545" t="n">
        <v>0</v>
      </c>
      <c r="L5545" t="n">
        <v>0</v>
      </c>
      <c r="M5545" t="n">
        <v>0</v>
      </c>
      <c r="AC5545" t="n">
        <v>0</v>
      </c>
      <c r="AD5545" t="n">
        <v>0</v>
      </c>
      <c r="AE5545" t="n">
        <v>0</v>
      </c>
      <c r="AF5545" t="n">
        <v>0</v>
      </c>
      <c r="AG5545" t="n">
        <v>0</v>
      </c>
      <c r="AH5545" t="n">
        <v>0</v>
      </c>
      <c r="AI5545" t="n">
        <v>0</v>
      </c>
    </row>
    <row r="5546">
      <c r="A5546" t="inlineStr">
        <is>
          <t>12월</t>
        </is>
      </c>
      <c r="B5546" t="inlineStr">
        <is>
          <t>52주차</t>
        </is>
      </c>
      <c r="C5546" t="e">
        <v>#N/A</v>
      </c>
      <c r="K5546" t="n">
        <v>0</v>
      </c>
      <c r="L5546" t="n">
        <v>0</v>
      </c>
      <c r="M5546" t="n">
        <v>0</v>
      </c>
      <c r="AC5546" t="n">
        <v>0</v>
      </c>
      <c r="AD5546" t="n">
        <v>0</v>
      </c>
      <c r="AE5546" t="n">
        <v>0</v>
      </c>
      <c r="AF5546" t="n">
        <v>0</v>
      </c>
      <c r="AG5546" t="n">
        <v>0</v>
      </c>
      <c r="AH5546" t="n">
        <v>0</v>
      </c>
      <c r="AI5546" t="n">
        <v>0</v>
      </c>
    </row>
    <row r="5547">
      <c r="A5547" t="inlineStr">
        <is>
          <t>12월</t>
        </is>
      </c>
      <c r="B5547" t="inlineStr">
        <is>
          <t>52주차</t>
        </is>
      </c>
      <c r="C5547" t="e">
        <v>#N/A</v>
      </c>
      <c r="K5547" t="n">
        <v>0</v>
      </c>
      <c r="L5547" t="n">
        <v>0</v>
      </c>
      <c r="M5547" t="n">
        <v>0</v>
      </c>
      <c r="AC5547" t="n">
        <v>0</v>
      </c>
      <c r="AD5547" t="n">
        <v>0</v>
      </c>
      <c r="AE5547" t="n">
        <v>0</v>
      </c>
      <c r="AF5547" t="n">
        <v>0</v>
      </c>
      <c r="AG5547" t="n">
        <v>0</v>
      </c>
      <c r="AH5547" t="n">
        <v>0</v>
      </c>
      <c r="AI5547" t="n">
        <v>0</v>
      </c>
    </row>
    <row r="5548">
      <c r="A5548" t="inlineStr">
        <is>
          <t>12월</t>
        </is>
      </c>
      <c r="B5548" t="inlineStr">
        <is>
          <t>52주차</t>
        </is>
      </c>
      <c r="C5548" t="e">
        <v>#N/A</v>
      </c>
      <c r="K5548" t="n">
        <v>0</v>
      </c>
      <c r="L5548" t="n">
        <v>0</v>
      </c>
      <c r="M5548" t="n">
        <v>0</v>
      </c>
      <c r="AC5548" t="n">
        <v>0</v>
      </c>
      <c r="AD5548" t="n">
        <v>0</v>
      </c>
      <c r="AE5548" t="n">
        <v>0</v>
      </c>
      <c r="AF5548" t="n">
        <v>0</v>
      </c>
      <c r="AG5548" t="n">
        <v>0</v>
      </c>
      <c r="AH5548" t="n">
        <v>0</v>
      </c>
      <c r="AI5548" t="n">
        <v>0</v>
      </c>
    </row>
    <row r="5549">
      <c r="A5549" t="inlineStr">
        <is>
          <t>12월</t>
        </is>
      </c>
      <c r="B5549" t="inlineStr">
        <is>
          <t>52주차</t>
        </is>
      </c>
      <c r="C5549" t="e">
        <v>#N/A</v>
      </c>
      <c r="K5549" t="n">
        <v>0</v>
      </c>
      <c r="L5549" t="n">
        <v>0</v>
      </c>
      <c r="M5549" t="n">
        <v>0</v>
      </c>
      <c r="AC5549" t="n">
        <v>0</v>
      </c>
      <c r="AD5549" t="n">
        <v>0</v>
      </c>
      <c r="AE5549" t="n">
        <v>0</v>
      </c>
      <c r="AF5549" t="n">
        <v>0</v>
      </c>
      <c r="AG5549" t="n">
        <v>0</v>
      </c>
      <c r="AH5549" t="n">
        <v>0</v>
      </c>
    </row>
    <row r="5550">
      <c r="A5550" t="inlineStr">
        <is>
          <t>12월</t>
        </is>
      </c>
      <c r="B5550" t="inlineStr">
        <is>
          <t>52주차</t>
        </is>
      </c>
      <c r="C5550" t="e">
        <v>#N/A</v>
      </c>
      <c r="K5550" t="n">
        <v>0</v>
      </c>
      <c r="L5550" t="n">
        <v>0</v>
      </c>
      <c r="M5550" t="n">
        <v>0</v>
      </c>
      <c r="AC5550" t="n">
        <v>0</v>
      </c>
      <c r="AD5550" t="n">
        <v>0</v>
      </c>
      <c r="AE5550" t="n">
        <v>0</v>
      </c>
      <c r="AF5550" t="n">
        <v>0</v>
      </c>
      <c r="AG5550" t="n">
        <v>0</v>
      </c>
      <c r="AH5550" t="n">
        <v>0</v>
      </c>
    </row>
    <row r="5551">
      <c r="A5551" t="inlineStr">
        <is>
          <t>12월</t>
        </is>
      </c>
      <c r="B5551" t="inlineStr">
        <is>
          <t>52주차</t>
        </is>
      </c>
      <c r="C5551" t="e">
        <v>#N/A</v>
      </c>
      <c r="K5551" t="n">
        <v>0</v>
      </c>
      <c r="L5551" t="n">
        <v>0</v>
      </c>
      <c r="M5551" t="n">
        <v>0</v>
      </c>
      <c r="AC5551" t="n">
        <v>0</v>
      </c>
      <c r="AD5551" t="n">
        <v>0</v>
      </c>
      <c r="AE5551" t="n">
        <v>0</v>
      </c>
      <c r="AF5551" t="n">
        <v>0</v>
      </c>
      <c r="AG5551" t="n">
        <v>0</v>
      </c>
      <c r="AH5551" t="n">
        <v>0</v>
      </c>
      <c r="AI5551" t="n">
        <v>0</v>
      </c>
    </row>
    <row r="5552">
      <c r="A5552" t="inlineStr">
        <is>
          <t>12월</t>
        </is>
      </c>
      <c r="B5552" t="inlineStr">
        <is>
          <t>52주차</t>
        </is>
      </c>
      <c r="C5552" t="e">
        <v>#N/A</v>
      </c>
      <c r="K5552" t="n">
        <v>0</v>
      </c>
      <c r="L5552" t="n">
        <v>0</v>
      </c>
      <c r="M5552" t="n">
        <v>0</v>
      </c>
      <c r="AC5552" t="n">
        <v>0</v>
      </c>
      <c r="AD5552" t="n">
        <v>0</v>
      </c>
      <c r="AE5552" t="n">
        <v>0</v>
      </c>
      <c r="AF5552" t="n">
        <v>0</v>
      </c>
      <c r="AG5552" t="n">
        <v>0</v>
      </c>
      <c r="AH5552" t="n">
        <v>0</v>
      </c>
      <c r="AI5552" t="n">
        <v>0</v>
      </c>
    </row>
    <row r="5553">
      <c r="A5553" t="inlineStr">
        <is>
          <t>12월</t>
        </is>
      </c>
      <c r="B5553" t="inlineStr">
        <is>
          <t>52주차</t>
        </is>
      </c>
      <c r="C5553" t="e">
        <v>#N/A</v>
      </c>
      <c r="K5553" t="n">
        <v>0</v>
      </c>
      <c r="L5553" t="n">
        <v>0</v>
      </c>
      <c r="M5553" t="n">
        <v>0</v>
      </c>
      <c r="AC5553" t="n">
        <v>0</v>
      </c>
      <c r="AD5553" t="n">
        <v>0</v>
      </c>
      <c r="AE5553" t="n">
        <v>0</v>
      </c>
      <c r="AF5553" t="n">
        <v>0</v>
      </c>
      <c r="AG5553" t="n">
        <v>0</v>
      </c>
      <c r="AH5553" t="n">
        <v>0</v>
      </c>
      <c r="AI5553" t="n">
        <v>0</v>
      </c>
    </row>
    <row r="5554">
      <c r="A5554" t="inlineStr">
        <is>
          <t>12월</t>
        </is>
      </c>
      <c r="B5554" t="inlineStr">
        <is>
          <t>52주차</t>
        </is>
      </c>
      <c r="C5554" t="e">
        <v>#N/A</v>
      </c>
      <c r="K5554" t="n">
        <v>0</v>
      </c>
      <c r="L5554" t="n">
        <v>0</v>
      </c>
      <c r="M5554" t="n">
        <v>0</v>
      </c>
      <c r="AC5554" t="n">
        <v>0</v>
      </c>
      <c r="AD5554" t="n">
        <v>0</v>
      </c>
      <c r="AE5554" t="n">
        <v>0</v>
      </c>
      <c r="AF5554" t="n">
        <v>0</v>
      </c>
      <c r="AG5554" t="n">
        <v>0</v>
      </c>
      <c r="AH5554" t="n">
        <v>0</v>
      </c>
    </row>
    <row r="5555">
      <c r="A5555" t="inlineStr">
        <is>
          <t>12월</t>
        </is>
      </c>
      <c r="B5555" t="inlineStr">
        <is>
          <t>52주차</t>
        </is>
      </c>
      <c r="C5555" t="e">
        <v>#N/A</v>
      </c>
      <c r="K5555" t="n">
        <v>0</v>
      </c>
      <c r="L5555" t="n">
        <v>0</v>
      </c>
      <c r="M5555" t="n">
        <v>0</v>
      </c>
      <c r="AC5555" t="n">
        <v>0</v>
      </c>
      <c r="AD5555" t="n">
        <v>0</v>
      </c>
      <c r="AE5555" t="n">
        <v>0</v>
      </c>
      <c r="AF5555" t="n">
        <v>0</v>
      </c>
      <c r="AG5555" t="n">
        <v>0</v>
      </c>
      <c r="AH5555" t="n">
        <v>0</v>
      </c>
      <c r="AI5555" t="n">
        <v>0</v>
      </c>
    </row>
    <row r="5556">
      <c r="A5556" t="inlineStr">
        <is>
          <t>12월</t>
        </is>
      </c>
      <c r="B5556" t="inlineStr">
        <is>
          <t>52주차</t>
        </is>
      </c>
      <c r="C5556" t="e">
        <v>#N/A</v>
      </c>
      <c r="K5556" t="n">
        <v>0</v>
      </c>
      <c r="L5556" t="n">
        <v>0</v>
      </c>
      <c r="M5556" t="n">
        <v>0</v>
      </c>
      <c r="AC5556" t="n">
        <v>0</v>
      </c>
      <c r="AD5556" t="n">
        <v>0</v>
      </c>
      <c r="AE5556" t="n">
        <v>0</v>
      </c>
      <c r="AF5556" t="n">
        <v>0</v>
      </c>
      <c r="AG5556" t="n">
        <v>0</v>
      </c>
      <c r="AH5556" t="n">
        <v>0</v>
      </c>
      <c r="AI5556" t="n">
        <v>0</v>
      </c>
    </row>
    <row r="5557">
      <c r="A5557" t="inlineStr">
        <is>
          <t>12월</t>
        </is>
      </c>
      <c r="B5557" t="inlineStr">
        <is>
          <t>52주차</t>
        </is>
      </c>
      <c r="C5557" t="e">
        <v>#N/A</v>
      </c>
      <c r="K5557" t="n">
        <v>0</v>
      </c>
      <c r="L5557" t="n">
        <v>0</v>
      </c>
      <c r="M5557" t="n">
        <v>0</v>
      </c>
      <c r="AC5557" t="n">
        <v>0</v>
      </c>
      <c r="AD5557" t="n">
        <v>0</v>
      </c>
      <c r="AE5557" t="n">
        <v>0</v>
      </c>
      <c r="AF5557" t="n">
        <v>0</v>
      </c>
      <c r="AG5557" t="n">
        <v>0</v>
      </c>
      <c r="AH5557" t="n">
        <v>0</v>
      </c>
      <c r="AI5557" t="n">
        <v>0</v>
      </c>
    </row>
    <row r="5558">
      <c r="A5558" t="inlineStr">
        <is>
          <t>12월</t>
        </is>
      </c>
      <c r="B5558" t="inlineStr">
        <is>
          <t>52주차</t>
        </is>
      </c>
      <c r="C5558" t="e">
        <v>#N/A</v>
      </c>
      <c r="K5558" t="n">
        <v>0</v>
      </c>
      <c r="L5558" t="n">
        <v>0</v>
      </c>
      <c r="M5558" t="n">
        <v>0</v>
      </c>
      <c r="AC5558" t="n">
        <v>0</v>
      </c>
      <c r="AD5558" t="n">
        <v>0</v>
      </c>
      <c r="AE5558" t="n">
        <v>0</v>
      </c>
      <c r="AF5558" t="n">
        <v>0</v>
      </c>
      <c r="AG5558" t="n">
        <v>0</v>
      </c>
      <c r="AH5558" t="n">
        <v>0</v>
      </c>
      <c r="AI5558" t="n">
        <v>0</v>
      </c>
    </row>
    <row r="5559">
      <c r="A5559" t="inlineStr">
        <is>
          <t>12월</t>
        </is>
      </c>
      <c r="B5559" t="inlineStr">
        <is>
          <t>52주차</t>
        </is>
      </c>
      <c r="C5559" t="e">
        <v>#N/A</v>
      </c>
      <c r="K5559" t="n">
        <v>0</v>
      </c>
      <c r="L5559" t="n">
        <v>0</v>
      </c>
      <c r="M5559" t="n">
        <v>0</v>
      </c>
      <c r="AC5559" t="n">
        <v>0</v>
      </c>
      <c r="AD5559" t="n">
        <v>0</v>
      </c>
      <c r="AE5559" t="n">
        <v>0</v>
      </c>
      <c r="AF5559" t="n">
        <v>0</v>
      </c>
      <c r="AG5559" t="n">
        <v>0</v>
      </c>
      <c r="AH5559" t="n">
        <v>0</v>
      </c>
      <c r="AI5559" t="n">
        <v>0</v>
      </c>
    </row>
    <row r="5560">
      <c r="A5560" t="inlineStr">
        <is>
          <t>12월</t>
        </is>
      </c>
      <c r="B5560" t="inlineStr">
        <is>
          <t>52주차</t>
        </is>
      </c>
      <c r="C5560" t="e">
        <v>#N/A</v>
      </c>
      <c r="K5560" t="n">
        <v>0</v>
      </c>
      <c r="L5560" t="n">
        <v>0</v>
      </c>
      <c r="M5560" t="n">
        <v>0</v>
      </c>
      <c r="AC5560" t="n">
        <v>0</v>
      </c>
      <c r="AD5560" t="n">
        <v>0</v>
      </c>
      <c r="AE5560" t="n">
        <v>0</v>
      </c>
      <c r="AF5560" t="n">
        <v>0</v>
      </c>
      <c r="AG5560" t="n">
        <v>0</v>
      </c>
      <c r="AH5560" t="n">
        <v>0</v>
      </c>
    </row>
    <row r="5561">
      <c r="A5561" t="inlineStr">
        <is>
          <t>12월</t>
        </is>
      </c>
      <c r="B5561" t="inlineStr">
        <is>
          <t>52주차</t>
        </is>
      </c>
      <c r="C5561" t="e">
        <v>#N/A</v>
      </c>
      <c r="K5561" t="n">
        <v>0</v>
      </c>
      <c r="L5561" t="n">
        <v>0</v>
      </c>
      <c r="M5561" t="n">
        <v>0</v>
      </c>
      <c r="AC5561" t="n">
        <v>0</v>
      </c>
      <c r="AD5561" t="n">
        <v>0</v>
      </c>
      <c r="AE5561" t="n">
        <v>0</v>
      </c>
      <c r="AF5561" t="n">
        <v>0</v>
      </c>
      <c r="AG5561" t="n">
        <v>0</v>
      </c>
      <c r="AH5561" t="n">
        <v>0</v>
      </c>
      <c r="AI5561" t="n">
        <v>0</v>
      </c>
    </row>
    <row r="5562">
      <c r="A5562" t="inlineStr">
        <is>
          <t>12월</t>
        </is>
      </c>
      <c r="B5562" t="inlineStr">
        <is>
          <t>52주차</t>
        </is>
      </c>
      <c r="C5562" t="e">
        <v>#N/A</v>
      </c>
      <c r="K5562" t="n">
        <v>0</v>
      </c>
      <c r="L5562" t="n">
        <v>0</v>
      </c>
      <c r="M5562" t="n">
        <v>0</v>
      </c>
      <c r="AC5562" t="n">
        <v>0</v>
      </c>
      <c r="AD5562" t="n">
        <v>0</v>
      </c>
      <c r="AE5562" t="n">
        <v>0</v>
      </c>
      <c r="AF5562" t="n">
        <v>0</v>
      </c>
      <c r="AG5562" t="n">
        <v>0</v>
      </c>
      <c r="AH5562" t="n">
        <v>0</v>
      </c>
      <c r="AI5562" t="n">
        <v>0</v>
      </c>
    </row>
    <row r="5563">
      <c r="A5563" t="inlineStr">
        <is>
          <t>12월</t>
        </is>
      </c>
      <c r="B5563" t="inlineStr">
        <is>
          <t>52주차</t>
        </is>
      </c>
      <c r="C5563" t="e">
        <v>#N/A</v>
      </c>
      <c r="K5563" t="n">
        <v>0</v>
      </c>
      <c r="L5563" t="n">
        <v>0</v>
      </c>
      <c r="M5563" t="n">
        <v>0</v>
      </c>
      <c r="AC5563" t="n">
        <v>0</v>
      </c>
      <c r="AD5563" t="n">
        <v>0</v>
      </c>
      <c r="AE5563" t="n">
        <v>0</v>
      </c>
      <c r="AF5563" t="n">
        <v>0</v>
      </c>
      <c r="AG5563" t="n">
        <v>0</v>
      </c>
      <c r="AH5563" t="n">
        <v>0</v>
      </c>
      <c r="AI5563" t="n">
        <v>0</v>
      </c>
    </row>
    <row r="5564">
      <c r="A5564" t="inlineStr">
        <is>
          <t>12월</t>
        </is>
      </c>
      <c r="B5564" t="inlineStr">
        <is>
          <t>52주차</t>
        </is>
      </c>
      <c r="C5564" t="e">
        <v>#N/A</v>
      </c>
      <c r="K5564" t="n">
        <v>0</v>
      </c>
      <c r="L5564" t="n">
        <v>0</v>
      </c>
      <c r="M5564" t="n">
        <v>0</v>
      </c>
      <c r="AC5564" t="n">
        <v>0</v>
      </c>
      <c r="AD5564" t="n">
        <v>0</v>
      </c>
      <c r="AE5564" t="n">
        <v>0</v>
      </c>
      <c r="AF5564" t="n">
        <v>0</v>
      </c>
      <c r="AG5564" t="n">
        <v>0</v>
      </c>
      <c r="AH5564" t="n">
        <v>0</v>
      </c>
      <c r="AI5564" t="n">
        <v>0</v>
      </c>
    </row>
    <row r="5565">
      <c r="A5565" t="inlineStr">
        <is>
          <t>12월</t>
        </is>
      </c>
      <c r="B5565" t="inlineStr">
        <is>
          <t>52주차</t>
        </is>
      </c>
      <c r="C5565" t="e">
        <v>#N/A</v>
      </c>
      <c r="K5565" t="n">
        <v>0</v>
      </c>
      <c r="L5565" t="n">
        <v>0</v>
      </c>
      <c r="M5565" t="n">
        <v>0</v>
      </c>
      <c r="AC5565" t="n">
        <v>0</v>
      </c>
      <c r="AD5565" t="n">
        <v>0</v>
      </c>
      <c r="AE5565" t="n">
        <v>0</v>
      </c>
      <c r="AF5565" t="n">
        <v>0</v>
      </c>
      <c r="AG5565" t="n">
        <v>0</v>
      </c>
      <c r="AH5565" t="n">
        <v>0</v>
      </c>
    </row>
    <row r="5566">
      <c r="A5566" t="inlineStr">
        <is>
          <t>12월</t>
        </is>
      </c>
      <c r="B5566" t="inlineStr">
        <is>
          <t>52주차</t>
        </is>
      </c>
      <c r="C5566" t="e">
        <v>#N/A</v>
      </c>
      <c r="K5566" t="n">
        <v>0</v>
      </c>
      <c r="L5566" t="n">
        <v>0</v>
      </c>
      <c r="M5566" t="n">
        <v>0</v>
      </c>
      <c r="AC5566" t="n">
        <v>0</v>
      </c>
      <c r="AD5566" t="n">
        <v>0</v>
      </c>
      <c r="AE5566" t="n">
        <v>0</v>
      </c>
      <c r="AF5566" t="n">
        <v>0</v>
      </c>
      <c r="AG5566" t="n">
        <v>0</v>
      </c>
      <c r="AH5566" t="n">
        <v>0</v>
      </c>
      <c r="AI5566" t="n">
        <v>0</v>
      </c>
    </row>
    <row r="5567">
      <c r="A5567" t="inlineStr">
        <is>
          <t>12월</t>
        </is>
      </c>
      <c r="B5567" t="inlineStr">
        <is>
          <t>52주차</t>
        </is>
      </c>
      <c r="C5567" t="e">
        <v>#N/A</v>
      </c>
      <c r="K5567" t="n">
        <v>0</v>
      </c>
      <c r="L5567" t="n">
        <v>0</v>
      </c>
      <c r="M5567" t="n">
        <v>0</v>
      </c>
      <c r="AC5567" t="n">
        <v>0</v>
      </c>
      <c r="AD5567" t="n">
        <v>0</v>
      </c>
      <c r="AE5567" t="n">
        <v>0</v>
      </c>
      <c r="AF5567" t="n">
        <v>0</v>
      </c>
      <c r="AG5567" t="n">
        <v>0</v>
      </c>
      <c r="AH5567" t="n">
        <v>0</v>
      </c>
      <c r="AI5567" t="n">
        <v>0</v>
      </c>
    </row>
    <row r="5568">
      <c r="A5568" t="inlineStr">
        <is>
          <t>12월</t>
        </is>
      </c>
      <c r="B5568" t="inlineStr">
        <is>
          <t>52주차</t>
        </is>
      </c>
      <c r="C5568" t="e">
        <v>#N/A</v>
      </c>
      <c r="K5568" t="n">
        <v>0</v>
      </c>
      <c r="L5568" t="n">
        <v>0</v>
      </c>
      <c r="M5568" t="n">
        <v>0</v>
      </c>
      <c r="AC5568" t="n">
        <v>0</v>
      </c>
      <c r="AD5568" t="n">
        <v>0</v>
      </c>
      <c r="AE5568" t="n">
        <v>0</v>
      </c>
      <c r="AF5568" t="n">
        <v>0</v>
      </c>
      <c r="AG5568" t="n">
        <v>0</v>
      </c>
      <c r="AH5568" t="n">
        <v>0</v>
      </c>
      <c r="AI5568" t="n">
        <v>0</v>
      </c>
    </row>
    <row r="5569">
      <c r="A5569" t="inlineStr">
        <is>
          <t>12월</t>
        </is>
      </c>
      <c r="B5569" t="inlineStr">
        <is>
          <t>52주차</t>
        </is>
      </c>
      <c r="C5569" t="e">
        <v>#N/A</v>
      </c>
      <c r="K5569" t="n">
        <v>0</v>
      </c>
      <c r="L5569" t="n">
        <v>0</v>
      </c>
      <c r="M5569" t="n">
        <v>0</v>
      </c>
      <c r="AC5569" t="n">
        <v>0</v>
      </c>
      <c r="AD5569" t="n">
        <v>0</v>
      </c>
      <c r="AE5569" t="n">
        <v>0</v>
      </c>
      <c r="AF5569" t="n">
        <v>0</v>
      </c>
      <c r="AG5569" t="n">
        <v>0</v>
      </c>
      <c r="AH5569" t="n">
        <v>0</v>
      </c>
      <c r="AI5569" t="n">
        <v>0</v>
      </c>
    </row>
    <row r="5570">
      <c r="A5570" t="inlineStr">
        <is>
          <t>12월</t>
        </is>
      </c>
      <c r="B5570" t="inlineStr">
        <is>
          <t>52주차</t>
        </is>
      </c>
      <c r="C5570" t="e">
        <v>#N/A</v>
      </c>
      <c r="K5570" t="n">
        <v>0</v>
      </c>
      <c r="L5570" t="n">
        <v>0</v>
      </c>
      <c r="M5570" t="n">
        <v>0</v>
      </c>
      <c r="AC5570" t="n">
        <v>0</v>
      </c>
      <c r="AD5570" t="n">
        <v>0</v>
      </c>
      <c r="AE5570" t="n">
        <v>0</v>
      </c>
      <c r="AF5570" t="n">
        <v>0</v>
      </c>
      <c r="AG5570" t="n">
        <v>0</v>
      </c>
      <c r="AH5570" t="n">
        <v>0</v>
      </c>
      <c r="AI5570" t="n">
        <v>0</v>
      </c>
    </row>
    <row r="5571">
      <c r="A5571" t="inlineStr">
        <is>
          <t>12월</t>
        </is>
      </c>
      <c r="B5571" t="inlineStr">
        <is>
          <t>52주차</t>
        </is>
      </c>
      <c r="C5571" t="e">
        <v>#N/A</v>
      </c>
      <c r="K5571" t="n">
        <v>0</v>
      </c>
      <c r="L5571" t="n">
        <v>0</v>
      </c>
      <c r="M5571" t="n">
        <v>0</v>
      </c>
      <c r="AC5571" t="n">
        <v>0</v>
      </c>
      <c r="AD5571" t="n">
        <v>0</v>
      </c>
      <c r="AE5571" t="n">
        <v>0</v>
      </c>
      <c r="AF5571" t="n">
        <v>0</v>
      </c>
      <c r="AG5571" t="n">
        <v>0</v>
      </c>
      <c r="AH5571" t="n">
        <v>0</v>
      </c>
      <c r="AI5571" t="n">
        <v>0</v>
      </c>
    </row>
    <row r="5572">
      <c r="A5572" t="inlineStr">
        <is>
          <t>12월</t>
        </is>
      </c>
      <c r="B5572" t="inlineStr">
        <is>
          <t>52주차</t>
        </is>
      </c>
      <c r="C5572" t="e">
        <v>#N/A</v>
      </c>
      <c r="K5572" t="n">
        <v>0</v>
      </c>
      <c r="L5572" t="n">
        <v>0</v>
      </c>
      <c r="M5572" t="n">
        <v>0</v>
      </c>
      <c r="AC5572" t="n">
        <v>0</v>
      </c>
      <c r="AD5572" t="n">
        <v>0</v>
      </c>
      <c r="AE5572" t="n">
        <v>0</v>
      </c>
      <c r="AF5572" t="n">
        <v>0</v>
      </c>
      <c r="AG5572" t="n">
        <v>0</v>
      </c>
      <c r="AH5572" t="n">
        <v>0</v>
      </c>
      <c r="AI5572" t="n">
        <v>0</v>
      </c>
    </row>
    <row r="5573">
      <c r="A5573" t="inlineStr">
        <is>
          <t>12월</t>
        </is>
      </c>
      <c r="B5573" t="inlineStr">
        <is>
          <t>52주차</t>
        </is>
      </c>
      <c r="C5573" t="e">
        <v>#N/A</v>
      </c>
      <c r="K5573" t="n">
        <v>0</v>
      </c>
      <c r="L5573" t="n">
        <v>0</v>
      </c>
      <c r="M5573" t="n">
        <v>0</v>
      </c>
      <c r="AC5573" t="n">
        <v>0</v>
      </c>
      <c r="AD5573" t="n">
        <v>0</v>
      </c>
      <c r="AE5573" t="n">
        <v>0</v>
      </c>
      <c r="AF5573" t="n">
        <v>0</v>
      </c>
      <c r="AG5573" t="n">
        <v>0</v>
      </c>
      <c r="AH5573" t="n">
        <v>0</v>
      </c>
      <c r="AI5573" t="n">
        <v>0</v>
      </c>
    </row>
    <row r="5574">
      <c r="A5574" t="inlineStr">
        <is>
          <t>12월</t>
        </is>
      </c>
      <c r="B5574" t="inlineStr">
        <is>
          <t>52주차</t>
        </is>
      </c>
      <c r="C5574" t="e">
        <v>#N/A</v>
      </c>
      <c r="K5574" t="n">
        <v>0</v>
      </c>
      <c r="L5574" t="n">
        <v>0</v>
      </c>
      <c r="M5574" t="n">
        <v>0</v>
      </c>
      <c r="AC5574" t="n">
        <v>0</v>
      </c>
      <c r="AD5574" t="n">
        <v>0</v>
      </c>
      <c r="AE5574" t="n">
        <v>0</v>
      </c>
      <c r="AF5574" t="n">
        <v>0</v>
      </c>
      <c r="AG5574" t="n">
        <v>0</v>
      </c>
      <c r="AH5574" t="n">
        <v>0</v>
      </c>
      <c r="AI5574" t="n">
        <v>0</v>
      </c>
    </row>
    <row r="5575">
      <c r="A5575" t="inlineStr">
        <is>
          <t>12월</t>
        </is>
      </c>
      <c r="B5575" t="inlineStr">
        <is>
          <t>52주차</t>
        </is>
      </c>
      <c r="C5575" t="e">
        <v>#N/A</v>
      </c>
      <c r="K5575" t="n">
        <v>0</v>
      </c>
      <c r="L5575" t="n">
        <v>0</v>
      </c>
      <c r="M5575" t="n">
        <v>0</v>
      </c>
      <c r="AC5575" t="n">
        <v>0</v>
      </c>
      <c r="AD5575" t="n">
        <v>0</v>
      </c>
      <c r="AE5575" t="n">
        <v>0</v>
      </c>
      <c r="AF5575" t="n">
        <v>0</v>
      </c>
      <c r="AG5575" t="n">
        <v>0</v>
      </c>
      <c r="AH5575" t="n">
        <v>0</v>
      </c>
    </row>
    <row r="5576">
      <c r="A5576" t="inlineStr">
        <is>
          <t>12월</t>
        </is>
      </c>
      <c r="B5576" t="inlineStr">
        <is>
          <t>52주차</t>
        </is>
      </c>
      <c r="C5576" t="e">
        <v>#N/A</v>
      </c>
      <c r="K5576" t="n">
        <v>0</v>
      </c>
      <c r="L5576" t="n">
        <v>0</v>
      </c>
      <c r="M5576" t="n">
        <v>0</v>
      </c>
      <c r="AC5576" t="n">
        <v>0</v>
      </c>
      <c r="AD5576" t="n">
        <v>0</v>
      </c>
      <c r="AE5576" t="n">
        <v>0</v>
      </c>
      <c r="AF5576" t="n">
        <v>0</v>
      </c>
      <c r="AG5576" t="n">
        <v>0</v>
      </c>
      <c r="AH5576" t="n">
        <v>0</v>
      </c>
    </row>
    <row r="5577">
      <c r="A5577" t="inlineStr">
        <is>
          <t>12월</t>
        </is>
      </c>
      <c r="B5577" t="inlineStr">
        <is>
          <t>52주차</t>
        </is>
      </c>
      <c r="C5577" t="e">
        <v>#N/A</v>
      </c>
      <c r="K5577" t="n">
        <v>0</v>
      </c>
      <c r="L5577" t="n">
        <v>0</v>
      </c>
      <c r="M5577" t="n">
        <v>0</v>
      </c>
      <c r="AC5577" t="n">
        <v>0</v>
      </c>
      <c r="AD5577" t="n">
        <v>0</v>
      </c>
      <c r="AE5577" t="n">
        <v>0</v>
      </c>
      <c r="AF5577" t="n">
        <v>0</v>
      </c>
      <c r="AG5577" t="n">
        <v>0</v>
      </c>
      <c r="AH5577" t="n">
        <v>0</v>
      </c>
      <c r="AI5577" t="n">
        <v>0</v>
      </c>
    </row>
    <row r="5578">
      <c r="A5578" t="inlineStr">
        <is>
          <t>12월</t>
        </is>
      </c>
      <c r="B5578" t="inlineStr">
        <is>
          <t>52주차</t>
        </is>
      </c>
      <c r="C5578" t="e">
        <v>#N/A</v>
      </c>
      <c r="K5578" t="n">
        <v>0</v>
      </c>
      <c r="L5578" t="n">
        <v>0</v>
      </c>
      <c r="M5578" t="n">
        <v>0</v>
      </c>
      <c r="AC5578" t="n">
        <v>0</v>
      </c>
      <c r="AD5578" t="n">
        <v>0</v>
      </c>
      <c r="AE5578" t="n">
        <v>0</v>
      </c>
      <c r="AF5578" t="n">
        <v>0</v>
      </c>
      <c r="AG5578" t="n">
        <v>0</v>
      </c>
      <c r="AH5578" t="n">
        <v>0</v>
      </c>
      <c r="AI5578" t="n">
        <v>0</v>
      </c>
    </row>
    <row r="5579">
      <c r="A5579" t="inlineStr">
        <is>
          <t>12월</t>
        </is>
      </c>
      <c r="B5579" t="inlineStr">
        <is>
          <t>52주차</t>
        </is>
      </c>
      <c r="C5579" t="e">
        <v>#N/A</v>
      </c>
      <c r="K5579" t="n">
        <v>0</v>
      </c>
      <c r="L5579" t="n">
        <v>0</v>
      </c>
      <c r="M5579" t="n">
        <v>0</v>
      </c>
      <c r="AC5579" t="n">
        <v>0</v>
      </c>
      <c r="AD5579" t="n">
        <v>0</v>
      </c>
      <c r="AE5579" t="n">
        <v>0</v>
      </c>
      <c r="AF5579" t="n">
        <v>0</v>
      </c>
      <c r="AG5579" t="n">
        <v>0</v>
      </c>
      <c r="AH5579" t="n">
        <v>0</v>
      </c>
      <c r="AI5579" t="n">
        <v>0</v>
      </c>
    </row>
    <row r="5580">
      <c r="A5580" t="inlineStr">
        <is>
          <t>12월</t>
        </is>
      </c>
      <c r="B5580" t="inlineStr">
        <is>
          <t>52주차</t>
        </is>
      </c>
      <c r="C5580" t="e">
        <v>#N/A</v>
      </c>
      <c r="K5580" t="n">
        <v>0</v>
      </c>
      <c r="L5580" t="n">
        <v>0</v>
      </c>
      <c r="M5580" t="n">
        <v>0</v>
      </c>
      <c r="AC5580" t="n">
        <v>0</v>
      </c>
      <c r="AD5580" t="n">
        <v>0</v>
      </c>
      <c r="AE5580" t="n">
        <v>0</v>
      </c>
      <c r="AF5580" t="n">
        <v>0</v>
      </c>
      <c r="AG5580" t="n">
        <v>0</v>
      </c>
      <c r="AH5580" t="n">
        <v>0</v>
      </c>
      <c r="AI5580" t="n">
        <v>0</v>
      </c>
    </row>
    <row r="5581">
      <c r="A5581" t="inlineStr">
        <is>
          <t>12월</t>
        </is>
      </c>
      <c r="B5581" t="inlineStr">
        <is>
          <t>52주차</t>
        </is>
      </c>
      <c r="C5581" t="e">
        <v>#N/A</v>
      </c>
      <c r="K5581" t="n">
        <v>0</v>
      </c>
      <c r="L5581" t="n">
        <v>0</v>
      </c>
      <c r="M5581" t="n">
        <v>0</v>
      </c>
      <c r="AC5581" t="n">
        <v>0</v>
      </c>
      <c r="AD5581" t="n">
        <v>0</v>
      </c>
      <c r="AE5581" t="n">
        <v>0</v>
      </c>
      <c r="AF5581" t="n">
        <v>0</v>
      </c>
      <c r="AG5581" t="n">
        <v>0</v>
      </c>
      <c r="AH5581" t="n">
        <v>0</v>
      </c>
    </row>
    <row r="5582">
      <c r="A5582" t="inlineStr">
        <is>
          <t>12월</t>
        </is>
      </c>
      <c r="B5582" t="inlineStr">
        <is>
          <t>52주차</t>
        </is>
      </c>
      <c r="C5582" t="e">
        <v>#N/A</v>
      </c>
      <c r="K5582" t="n">
        <v>0</v>
      </c>
      <c r="L5582" t="n">
        <v>0</v>
      </c>
      <c r="M5582" t="n">
        <v>0</v>
      </c>
      <c r="AC5582" t="n">
        <v>0</v>
      </c>
      <c r="AD5582" t="n">
        <v>0</v>
      </c>
      <c r="AE5582" t="n">
        <v>0</v>
      </c>
      <c r="AF5582" t="n">
        <v>0</v>
      </c>
      <c r="AG5582" t="n">
        <v>0</v>
      </c>
      <c r="AH5582" t="n">
        <v>0</v>
      </c>
    </row>
    <row r="5583">
      <c r="A5583" t="inlineStr">
        <is>
          <t>12월</t>
        </is>
      </c>
      <c r="B5583" t="inlineStr">
        <is>
          <t>52주차</t>
        </is>
      </c>
      <c r="C5583" t="e">
        <v>#N/A</v>
      </c>
      <c r="K5583" t="n">
        <v>0</v>
      </c>
      <c r="L5583" t="n">
        <v>0</v>
      </c>
      <c r="M5583" t="n">
        <v>0</v>
      </c>
      <c r="AC5583" t="n">
        <v>0</v>
      </c>
      <c r="AD5583" t="n">
        <v>0</v>
      </c>
      <c r="AE5583" t="n">
        <v>0</v>
      </c>
      <c r="AF5583" t="n">
        <v>0</v>
      </c>
      <c r="AG5583" t="n">
        <v>0</v>
      </c>
      <c r="AH5583" t="n">
        <v>0</v>
      </c>
      <c r="AI5583" t="n">
        <v>0</v>
      </c>
    </row>
    <row r="5584">
      <c r="A5584" t="inlineStr">
        <is>
          <t>12월</t>
        </is>
      </c>
      <c r="B5584" t="inlineStr">
        <is>
          <t>52주차</t>
        </is>
      </c>
      <c r="C5584" t="e">
        <v>#N/A</v>
      </c>
      <c r="K5584" t="n">
        <v>0</v>
      </c>
      <c r="L5584" t="n">
        <v>0</v>
      </c>
      <c r="M5584" t="n">
        <v>0</v>
      </c>
      <c r="AC5584" t="n">
        <v>0</v>
      </c>
      <c r="AD5584" t="n">
        <v>0</v>
      </c>
      <c r="AE5584" t="n">
        <v>0</v>
      </c>
      <c r="AF5584" t="n">
        <v>0</v>
      </c>
      <c r="AG5584" t="n">
        <v>0</v>
      </c>
      <c r="AH5584" t="n">
        <v>0</v>
      </c>
      <c r="AI5584" t="n">
        <v>0</v>
      </c>
    </row>
    <row r="5585">
      <c r="A5585" t="inlineStr">
        <is>
          <t>12월</t>
        </is>
      </c>
      <c r="B5585" t="inlineStr">
        <is>
          <t>52주차</t>
        </is>
      </c>
      <c r="C5585" t="e">
        <v>#N/A</v>
      </c>
      <c r="K5585" t="n">
        <v>0</v>
      </c>
      <c r="L5585" t="n">
        <v>0</v>
      </c>
      <c r="M5585" t="n">
        <v>0</v>
      </c>
      <c r="AC5585" t="n">
        <v>0</v>
      </c>
      <c r="AD5585" t="n">
        <v>0</v>
      </c>
      <c r="AE5585" t="n">
        <v>0</v>
      </c>
      <c r="AF5585" t="n">
        <v>0</v>
      </c>
      <c r="AG5585" t="n">
        <v>0</v>
      </c>
      <c r="AH5585" t="n">
        <v>0</v>
      </c>
      <c r="AI5585" t="n">
        <v>0</v>
      </c>
    </row>
    <row r="5586">
      <c r="A5586" t="inlineStr">
        <is>
          <t>12월</t>
        </is>
      </c>
      <c r="B5586" t="inlineStr">
        <is>
          <t>52주차</t>
        </is>
      </c>
      <c r="C5586" t="e">
        <v>#N/A</v>
      </c>
      <c r="K5586" t="n">
        <v>0</v>
      </c>
      <c r="L5586" t="n">
        <v>0</v>
      </c>
      <c r="M5586" t="n">
        <v>0</v>
      </c>
      <c r="AC5586" t="n">
        <v>0</v>
      </c>
      <c r="AD5586" t="n">
        <v>0</v>
      </c>
      <c r="AE5586" t="n">
        <v>0</v>
      </c>
      <c r="AF5586" t="n">
        <v>0</v>
      </c>
      <c r="AG5586" t="n">
        <v>0</v>
      </c>
      <c r="AH5586" t="n">
        <v>0</v>
      </c>
    </row>
    <row r="5587">
      <c r="A5587" t="inlineStr">
        <is>
          <t>12월</t>
        </is>
      </c>
      <c r="B5587" t="inlineStr">
        <is>
          <t>52주차</t>
        </is>
      </c>
      <c r="C5587" t="e">
        <v>#N/A</v>
      </c>
      <c r="K5587" t="n">
        <v>0</v>
      </c>
      <c r="L5587" t="n">
        <v>0</v>
      </c>
      <c r="M5587" t="n">
        <v>0</v>
      </c>
      <c r="AC5587" t="n">
        <v>0</v>
      </c>
      <c r="AD5587" t="n">
        <v>0</v>
      </c>
      <c r="AE5587" t="n">
        <v>0</v>
      </c>
      <c r="AF5587" t="n">
        <v>0</v>
      </c>
      <c r="AG5587" t="n">
        <v>0</v>
      </c>
      <c r="AH5587" t="n">
        <v>0</v>
      </c>
      <c r="AI5587" t="n">
        <v>0</v>
      </c>
    </row>
    <row r="5588">
      <c r="A5588" t="inlineStr">
        <is>
          <t>12월</t>
        </is>
      </c>
      <c r="B5588" t="inlineStr">
        <is>
          <t>52주차</t>
        </is>
      </c>
      <c r="C5588" t="e">
        <v>#N/A</v>
      </c>
      <c r="K5588" t="n">
        <v>0</v>
      </c>
      <c r="L5588" t="n">
        <v>0</v>
      </c>
      <c r="M5588" t="n">
        <v>0</v>
      </c>
      <c r="AC5588" t="n">
        <v>0</v>
      </c>
      <c r="AD5588" t="n">
        <v>0</v>
      </c>
      <c r="AE5588" t="n">
        <v>0</v>
      </c>
      <c r="AF5588" t="n">
        <v>0</v>
      </c>
      <c r="AG5588" t="n">
        <v>0</v>
      </c>
      <c r="AH5588" t="n">
        <v>0</v>
      </c>
    </row>
    <row r="5589">
      <c r="A5589" t="inlineStr">
        <is>
          <t>12월</t>
        </is>
      </c>
      <c r="B5589" t="inlineStr">
        <is>
          <t>52주차</t>
        </is>
      </c>
      <c r="C5589" t="e">
        <v>#N/A</v>
      </c>
      <c r="K5589" t="n">
        <v>0</v>
      </c>
      <c r="L5589" t="n">
        <v>0</v>
      </c>
      <c r="M5589" t="n">
        <v>0</v>
      </c>
      <c r="AC5589" t="n">
        <v>0</v>
      </c>
      <c r="AD5589" t="n">
        <v>0</v>
      </c>
      <c r="AE5589" t="n">
        <v>0</v>
      </c>
      <c r="AF5589" t="n">
        <v>0</v>
      </c>
      <c r="AG5589" t="n">
        <v>0</v>
      </c>
      <c r="AH5589" t="n">
        <v>0</v>
      </c>
      <c r="AI5589" t="n">
        <v>0</v>
      </c>
    </row>
    <row r="5590">
      <c r="A5590" t="inlineStr">
        <is>
          <t>12월</t>
        </is>
      </c>
      <c r="B5590" t="inlineStr">
        <is>
          <t>52주차</t>
        </is>
      </c>
      <c r="C5590" t="e">
        <v>#N/A</v>
      </c>
      <c r="K5590" t="n">
        <v>0</v>
      </c>
      <c r="L5590" t="n">
        <v>0</v>
      </c>
      <c r="M5590" t="n">
        <v>0</v>
      </c>
      <c r="AC5590" t="n">
        <v>0</v>
      </c>
      <c r="AD5590" t="n">
        <v>0</v>
      </c>
      <c r="AE5590" t="n">
        <v>0</v>
      </c>
      <c r="AF5590" t="n">
        <v>0</v>
      </c>
      <c r="AG5590" t="n">
        <v>0</v>
      </c>
      <c r="AH5590" t="n">
        <v>0</v>
      </c>
      <c r="AI5590" t="n">
        <v>0</v>
      </c>
    </row>
    <row r="5591">
      <c r="A5591" t="inlineStr">
        <is>
          <t>12월</t>
        </is>
      </c>
      <c r="B5591" t="inlineStr">
        <is>
          <t>52주차</t>
        </is>
      </c>
      <c r="C5591" t="e">
        <v>#N/A</v>
      </c>
      <c r="K5591" t="n">
        <v>0</v>
      </c>
      <c r="L5591" t="n">
        <v>0</v>
      </c>
      <c r="M5591" t="n">
        <v>0</v>
      </c>
      <c r="AC5591" t="n">
        <v>0</v>
      </c>
      <c r="AD5591" t="n">
        <v>0</v>
      </c>
      <c r="AE5591" t="n">
        <v>0</v>
      </c>
      <c r="AF5591" t="n">
        <v>0</v>
      </c>
      <c r="AG5591" t="n">
        <v>0</v>
      </c>
      <c r="AH5591" t="n">
        <v>0</v>
      </c>
      <c r="AI5591" t="n">
        <v>0</v>
      </c>
    </row>
    <row r="5592">
      <c r="A5592" t="inlineStr">
        <is>
          <t>12월</t>
        </is>
      </c>
      <c r="B5592" t="inlineStr">
        <is>
          <t>52주차</t>
        </is>
      </c>
      <c r="C5592" t="e">
        <v>#N/A</v>
      </c>
      <c r="K5592" t="n">
        <v>0</v>
      </c>
      <c r="L5592" t="n">
        <v>0</v>
      </c>
      <c r="M5592" t="n">
        <v>0</v>
      </c>
      <c r="AC5592" t="n">
        <v>0</v>
      </c>
      <c r="AD5592" t="n">
        <v>0</v>
      </c>
      <c r="AE5592" t="n">
        <v>0</v>
      </c>
      <c r="AF5592" t="n">
        <v>0</v>
      </c>
      <c r="AG5592" t="n">
        <v>0</v>
      </c>
      <c r="AH5592" t="n">
        <v>0</v>
      </c>
    </row>
    <row r="5593">
      <c r="A5593" t="inlineStr">
        <is>
          <t>12월</t>
        </is>
      </c>
      <c r="B5593" t="inlineStr">
        <is>
          <t>52주차</t>
        </is>
      </c>
      <c r="C5593" t="e">
        <v>#N/A</v>
      </c>
      <c r="K5593" t="n">
        <v>0</v>
      </c>
      <c r="L5593" t="n">
        <v>0</v>
      </c>
      <c r="M5593" t="n">
        <v>0</v>
      </c>
      <c r="AC5593" t="n">
        <v>0</v>
      </c>
      <c r="AD5593" t="n">
        <v>0</v>
      </c>
      <c r="AE5593" t="n">
        <v>0</v>
      </c>
      <c r="AF5593" t="n">
        <v>0</v>
      </c>
      <c r="AG5593" t="n">
        <v>0</v>
      </c>
      <c r="AH5593" t="n">
        <v>0</v>
      </c>
      <c r="AI5593" t="n">
        <v>0</v>
      </c>
    </row>
    <row r="5594">
      <c r="A5594" t="inlineStr">
        <is>
          <t>12월</t>
        </is>
      </c>
      <c r="B5594" t="inlineStr">
        <is>
          <t>52주차</t>
        </is>
      </c>
      <c r="C5594" t="e">
        <v>#N/A</v>
      </c>
      <c r="K5594" t="n">
        <v>0</v>
      </c>
      <c r="L5594" t="n">
        <v>0</v>
      </c>
      <c r="M5594" t="n">
        <v>0</v>
      </c>
      <c r="AC5594" t="n">
        <v>0</v>
      </c>
      <c r="AD5594" t="n">
        <v>0</v>
      </c>
      <c r="AE5594" t="n">
        <v>0</v>
      </c>
      <c r="AF5594" t="n">
        <v>0</v>
      </c>
      <c r="AG5594" t="n">
        <v>0</v>
      </c>
      <c r="AH5594" t="n">
        <v>0</v>
      </c>
    </row>
    <row r="5595">
      <c r="A5595" t="inlineStr">
        <is>
          <t>12월</t>
        </is>
      </c>
      <c r="B5595" t="inlineStr">
        <is>
          <t>52주차</t>
        </is>
      </c>
      <c r="C5595" t="e">
        <v>#N/A</v>
      </c>
      <c r="K5595" t="n">
        <v>0</v>
      </c>
      <c r="L5595" t="n">
        <v>0</v>
      </c>
      <c r="M5595" t="n">
        <v>0</v>
      </c>
      <c r="AC5595" t="n">
        <v>0</v>
      </c>
      <c r="AD5595" t="n">
        <v>0</v>
      </c>
      <c r="AE5595" t="n">
        <v>0</v>
      </c>
      <c r="AF5595" t="n">
        <v>0</v>
      </c>
      <c r="AG5595" t="n">
        <v>0</v>
      </c>
      <c r="AH5595" t="n">
        <v>0</v>
      </c>
      <c r="AI5595" t="n">
        <v>0</v>
      </c>
    </row>
    <row r="5596">
      <c r="A5596" t="inlineStr">
        <is>
          <t>12월</t>
        </is>
      </c>
      <c r="B5596" t="inlineStr">
        <is>
          <t>52주차</t>
        </is>
      </c>
      <c r="C5596" t="e">
        <v>#N/A</v>
      </c>
      <c r="K5596" t="n">
        <v>0</v>
      </c>
      <c r="L5596" t="n">
        <v>0</v>
      </c>
      <c r="M5596" t="n">
        <v>0</v>
      </c>
      <c r="AC5596" t="n">
        <v>0</v>
      </c>
      <c r="AD5596" t="n">
        <v>0</v>
      </c>
      <c r="AE5596" t="n">
        <v>0</v>
      </c>
      <c r="AF5596" t="n">
        <v>0</v>
      </c>
      <c r="AG5596" t="n">
        <v>0</v>
      </c>
      <c r="AH5596" t="n">
        <v>0</v>
      </c>
      <c r="AI5596" t="n">
        <v>0</v>
      </c>
    </row>
    <row r="5597">
      <c r="A5597" t="inlineStr">
        <is>
          <t>12월</t>
        </is>
      </c>
      <c r="B5597" t="inlineStr">
        <is>
          <t>52주차</t>
        </is>
      </c>
      <c r="C5597" t="e">
        <v>#N/A</v>
      </c>
      <c r="K5597" t="n">
        <v>0</v>
      </c>
      <c r="L5597" t="n">
        <v>0</v>
      </c>
      <c r="M5597" t="n">
        <v>0</v>
      </c>
      <c r="AC5597" t="n">
        <v>0</v>
      </c>
      <c r="AD5597" t="n">
        <v>0</v>
      </c>
      <c r="AE5597" t="n">
        <v>0</v>
      </c>
      <c r="AF5597" t="n">
        <v>0</v>
      </c>
      <c r="AG5597" t="n">
        <v>0</v>
      </c>
      <c r="AH5597" t="n">
        <v>0</v>
      </c>
    </row>
    <row r="5598">
      <c r="A5598" t="inlineStr">
        <is>
          <t>12월</t>
        </is>
      </c>
      <c r="B5598" t="inlineStr">
        <is>
          <t>52주차</t>
        </is>
      </c>
      <c r="C5598" t="e">
        <v>#N/A</v>
      </c>
      <c r="K5598" t="n">
        <v>0</v>
      </c>
      <c r="L5598" t="n">
        <v>0</v>
      </c>
      <c r="M5598" t="n">
        <v>0</v>
      </c>
      <c r="AC5598" t="n">
        <v>0</v>
      </c>
      <c r="AD5598" t="n">
        <v>0</v>
      </c>
      <c r="AE5598" t="n">
        <v>0</v>
      </c>
      <c r="AF5598" t="n">
        <v>0</v>
      </c>
      <c r="AG5598" t="n">
        <v>0</v>
      </c>
      <c r="AH5598" t="n">
        <v>0</v>
      </c>
      <c r="AI5598" t="n">
        <v>0</v>
      </c>
    </row>
    <row r="5599">
      <c r="A5599" t="inlineStr">
        <is>
          <t>12월</t>
        </is>
      </c>
      <c r="B5599" t="inlineStr">
        <is>
          <t>52주차</t>
        </is>
      </c>
      <c r="C5599" t="e">
        <v>#N/A</v>
      </c>
      <c r="K5599" t="n">
        <v>0</v>
      </c>
      <c r="L5599" t="n">
        <v>0</v>
      </c>
      <c r="M5599" t="n">
        <v>0</v>
      </c>
      <c r="AC5599" t="n">
        <v>0</v>
      </c>
      <c r="AD5599" t="n">
        <v>0</v>
      </c>
      <c r="AE5599" t="n">
        <v>0</v>
      </c>
      <c r="AF5599" t="n">
        <v>0</v>
      </c>
      <c r="AG5599" t="n">
        <v>0</v>
      </c>
      <c r="AH5599" t="n">
        <v>0</v>
      </c>
      <c r="AI5599" t="n">
        <v>0</v>
      </c>
    </row>
    <row r="5600">
      <c r="A5600" t="inlineStr">
        <is>
          <t>12월</t>
        </is>
      </c>
      <c r="B5600" t="inlineStr">
        <is>
          <t>52주차</t>
        </is>
      </c>
      <c r="C5600" t="e">
        <v>#N/A</v>
      </c>
      <c r="K5600" t="n">
        <v>0</v>
      </c>
      <c r="L5600" t="n">
        <v>0</v>
      </c>
      <c r="M5600" t="n">
        <v>0</v>
      </c>
      <c r="AC5600" t="n">
        <v>0</v>
      </c>
      <c r="AD5600" t="n">
        <v>0</v>
      </c>
      <c r="AE5600" t="n">
        <v>0</v>
      </c>
      <c r="AF5600" t="n">
        <v>0</v>
      </c>
      <c r="AG5600" t="n">
        <v>0</v>
      </c>
      <c r="AH5600" t="n">
        <v>0</v>
      </c>
      <c r="AI5600" t="n">
        <v>0</v>
      </c>
    </row>
    <row r="5601">
      <c r="A5601" t="inlineStr">
        <is>
          <t>12월</t>
        </is>
      </c>
      <c r="B5601" t="inlineStr">
        <is>
          <t>52주차</t>
        </is>
      </c>
      <c r="C5601" t="e">
        <v>#N/A</v>
      </c>
      <c r="K5601" t="n">
        <v>0</v>
      </c>
      <c r="L5601" t="n">
        <v>0</v>
      </c>
      <c r="M5601" t="n">
        <v>0</v>
      </c>
      <c r="AC5601" t="n">
        <v>0</v>
      </c>
      <c r="AD5601" t="n">
        <v>0</v>
      </c>
      <c r="AE5601" t="n">
        <v>0</v>
      </c>
      <c r="AF5601" t="n">
        <v>0</v>
      </c>
      <c r="AG5601" t="n">
        <v>0</v>
      </c>
      <c r="AH5601" t="n">
        <v>0</v>
      </c>
      <c r="AI5601" t="n">
        <v>0</v>
      </c>
    </row>
    <row r="5602">
      <c r="A5602" t="inlineStr">
        <is>
          <t>12월</t>
        </is>
      </c>
      <c r="B5602" t="inlineStr">
        <is>
          <t>52주차</t>
        </is>
      </c>
      <c r="C5602" t="e">
        <v>#N/A</v>
      </c>
      <c r="K5602" t="n">
        <v>0</v>
      </c>
      <c r="L5602" t="n">
        <v>0</v>
      </c>
      <c r="M5602" t="n">
        <v>0</v>
      </c>
      <c r="AC5602" t="n">
        <v>0</v>
      </c>
      <c r="AD5602" t="n">
        <v>0</v>
      </c>
      <c r="AE5602" t="n">
        <v>0</v>
      </c>
      <c r="AF5602" t="n">
        <v>0</v>
      </c>
      <c r="AG5602" t="n">
        <v>0</v>
      </c>
      <c r="AH5602" t="n">
        <v>0</v>
      </c>
      <c r="AI5602" t="n">
        <v>0</v>
      </c>
    </row>
    <row r="5603">
      <c r="A5603" t="inlineStr">
        <is>
          <t>12월</t>
        </is>
      </c>
      <c r="B5603" t="inlineStr">
        <is>
          <t>52주차</t>
        </is>
      </c>
      <c r="C5603" t="e">
        <v>#N/A</v>
      </c>
      <c r="K5603" t="n">
        <v>0</v>
      </c>
      <c r="L5603" t="n">
        <v>0</v>
      </c>
      <c r="M5603" t="n">
        <v>0</v>
      </c>
      <c r="AC5603" t="n">
        <v>0</v>
      </c>
      <c r="AD5603" t="n">
        <v>0</v>
      </c>
      <c r="AE5603" t="n">
        <v>0</v>
      </c>
      <c r="AF5603" t="n">
        <v>0</v>
      </c>
      <c r="AG5603" t="n">
        <v>0</v>
      </c>
      <c r="AH5603" t="n">
        <v>0</v>
      </c>
      <c r="AI5603" t="n">
        <v>0</v>
      </c>
    </row>
    <row r="5604">
      <c r="A5604" t="inlineStr">
        <is>
          <t>12월</t>
        </is>
      </c>
      <c r="B5604" t="inlineStr">
        <is>
          <t>52주차</t>
        </is>
      </c>
      <c r="C5604" t="e">
        <v>#N/A</v>
      </c>
      <c r="K5604" t="n">
        <v>0</v>
      </c>
      <c r="L5604" t="n">
        <v>0</v>
      </c>
      <c r="M5604" t="n">
        <v>0</v>
      </c>
      <c r="AC5604" t="n">
        <v>0</v>
      </c>
      <c r="AD5604" t="n">
        <v>0</v>
      </c>
      <c r="AE5604" t="n">
        <v>0</v>
      </c>
      <c r="AF5604" t="n">
        <v>0</v>
      </c>
      <c r="AG5604" t="n">
        <v>0</v>
      </c>
      <c r="AH5604" t="n">
        <v>0</v>
      </c>
    </row>
    <row r="5605">
      <c r="A5605" t="inlineStr">
        <is>
          <t>12월</t>
        </is>
      </c>
      <c r="B5605" t="inlineStr">
        <is>
          <t>52주차</t>
        </is>
      </c>
      <c r="C5605" t="e">
        <v>#N/A</v>
      </c>
      <c r="K5605" t="n">
        <v>0</v>
      </c>
      <c r="L5605" t="n">
        <v>0</v>
      </c>
      <c r="M5605" t="n">
        <v>0</v>
      </c>
      <c r="AC5605" t="n">
        <v>0</v>
      </c>
      <c r="AD5605" t="n">
        <v>0</v>
      </c>
      <c r="AE5605" t="n">
        <v>0</v>
      </c>
      <c r="AF5605" t="n">
        <v>0</v>
      </c>
      <c r="AG5605" t="n">
        <v>0</v>
      </c>
      <c r="AH5605" t="n">
        <v>0</v>
      </c>
    </row>
    <row r="5606">
      <c r="A5606" t="inlineStr">
        <is>
          <t>12월</t>
        </is>
      </c>
      <c r="B5606" t="inlineStr">
        <is>
          <t>52주차</t>
        </is>
      </c>
      <c r="C5606" t="e">
        <v>#N/A</v>
      </c>
      <c r="K5606" t="n">
        <v>0</v>
      </c>
      <c r="L5606" t="n">
        <v>0</v>
      </c>
      <c r="M5606" t="n">
        <v>0</v>
      </c>
      <c r="AC5606" t="n">
        <v>0</v>
      </c>
      <c r="AD5606" t="n">
        <v>0</v>
      </c>
      <c r="AE5606" t="n">
        <v>0</v>
      </c>
      <c r="AF5606" t="n">
        <v>0</v>
      </c>
      <c r="AG5606" t="n">
        <v>0</v>
      </c>
      <c r="AH5606" t="n">
        <v>0</v>
      </c>
      <c r="AI5606" t="n">
        <v>0</v>
      </c>
    </row>
    <row r="5607">
      <c r="A5607" t="inlineStr">
        <is>
          <t>12월</t>
        </is>
      </c>
      <c r="B5607" t="inlineStr">
        <is>
          <t>52주차</t>
        </is>
      </c>
      <c r="C5607" t="e">
        <v>#N/A</v>
      </c>
      <c r="K5607" t="n">
        <v>0</v>
      </c>
      <c r="L5607" t="n">
        <v>0</v>
      </c>
      <c r="M5607" t="n">
        <v>0</v>
      </c>
      <c r="AC5607" t="n">
        <v>0</v>
      </c>
      <c r="AD5607" t="n">
        <v>0</v>
      </c>
      <c r="AE5607" t="n">
        <v>0</v>
      </c>
      <c r="AF5607" t="n">
        <v>0</v>
      </c>
      <c r="AG5607" t="n">
        <v>0</v>
      </c>
      <c r="AH5607" t="n">
        <v>0</v>
      </c>
      <c r="AI5607" t="n">
        <v>0</v>
      </c>
    </row>
    <row r="5608">
      <c r="A5608" t="inlineStr">
        <is>
          <t>12월</t>
        </is>
      </c>
      <c r="B5608" t="inlineStr">
        <is>
          <t>52주차</t>
        </is>
      </c>
      <c r="C5608" t="e">
        <v>#N/A</v>
      </c>
      <c r="K5608" t="n">
        <v>0</v>
      </c>
      <c r="L5608" t="n">
        <v>0</v>
      </c>
      <c r="M5608" t="n">
        <v>0</v>
      </c>
      <c r="AC5608" t="n">
        <v>0</v>
      </c>
      <c r="AD5608" t="n">
        <v>0</v>
      </c>
      <c r="AE5608" t="n">
        <v>0</v>
      </c>
      <c r="AF5608" t="n">
        <v>0</v>
      </c>
      <c r="AG5608" t="n">
        <v>0</v>
      </c>
      <c r="AH5608" t="n">
        <v>0</v>
      </c>
      <c r="AI5608" t="n">
        <v>0</v>
      </c>
    </row>
    <row r="5609">
      <c r="A5609" t="inlineStr">
        <is>
          <t>12월</t>
        </is>
      </c>
      <c r="B5609" t="inlineStr">
        <is>
          <t>52주차</t>
        </is>
      </c>
      <c r="C5609" t="e">
        <v>#N/A</v>
      </c>
      <c r="K5609" t="n">
        <v>0</v>
      </c>
      <c r="L5609" t="n">
        <v>0</v>
      </c>
      <c r="M5609" t="n">
        <v>0</v>
      </c>
      <c r="AC5609" t="n">
        <v>0</v>
      </c>
      <c r="AD5609" t="n">
        <v>0</v>
      </c>
      <c r="AE5609" t="n">
        <v>0</v>
      </c>
      <c r="AF5609" t="n">
        <v>0</v>
      </c>
      <c r="AG5609" t="n">
        <v>0</v>
      </c>
      <c r="AH5609" t="n">
        <v>0</v>
      </c>
      <c r="AI5609" t="n">
        <v>0</v>
      </c>
    </row>
    <row r="5610">
      <c r="A5610" t="inlineStr">
        <is>
          <t>12월</t>
        </is>
      </c>
      <c r="B5610" t="inlineStr">
        <is>
          <t>52주차</t>
        </is>
      </c>
      <c r="C5610" t="e">
        <v>#N/A</v>
      </c>
      <c r="K5610" t="n">
        <v>0</v>
      </c>
      <c r="L5610" t="n">
        <v>0</v>
      </c>
      <c r="M5610" t="n">
        <v>0</v>
      </c>
      <c r="AC5610" t="n">
        <v>0</v>
      </c>
      <c r="AD5610" t="n">
        <v>0</v>
      </c>
      <c r="AE5610" t="n">
        <v>0</v>
      </c>
      <c r="AF5610" t="n">
        <v>0</v>
      </c>
      <c r="AG5610" t="n">
        <v>0</v>
      </c>
      <c r="AH5610" t="n">
        <v>0</v>
      </c>
      <c r="AI5610" t="n">
        <v>0</v>
      </c>
    </row>
    <row r="5611">
      <c r="A5611" t="inlineStr">
        <is>
          <t>12월</t>
        </is>
      </c>
      <c r="B5611" t="inlineStr">
        <is>
          <t>52주차</t>
        </is>
      </c>
      <c r="C5611" t="e">
        <v>#N/A</v>
      </c>
      <c r="K5611" t="n">
        <v>0</v>
      </c>
      <c r="L5611" t="n">
        <v>0</v>
      </c>
      <c r="M5611" t="n">
        <v>0</v>
      </c>
      <c r="AC5611" t="n">
        <v>0</v>
      </c>
      <c r="AD5611" t="n">
        <v>0</v>
      </c>
      <c r="AE5611" t="n">
        <v>0</v>
      </c>
      <c r="AF5611" t="n">
        <v>0</v>
      </c>
      <c r="AG5611" t="n">
        <v>0</v>
      </c>
      <c r="AH5611" t="n">
        <v>0</v>
      </c>
      <c r="AI5611" t="n">
        <v>0</v>
      </c>
    </row>
    <row r="5612">
      <c r="A5612" t="inlineStr">
        <is>
          <t>12월</t>
        </is>
      </c>
      <c r="B5612" t="inlineStr">
        <is>
          <t>52주차</t>
        </is>
      </c>
      <c r="C5612" t="e">
        <v>#N/A</v>
      </c>
      <c r="K5612" t="n">
        <v>0</v>
      </c>
      <c r="L5612" t="n">
        <v>0</v>
      </c>
      <c r="M5612" t="n">
        <v>0</v>
      </c>
      <c r="AC5612" t="n">
        <v>0</v>
      </c>
      <c r="AD5612" t="n">
        <v>0</v>
      </c>
      <c r="AE5612" t="n">
        <v>0</v>
      </c>
      <c r="AF5612" t="n">
        <v>0</v>
      </c>
      <c r="AG5612" t="n">
        <v>0</v>
      </c>
      <c r="AH5612" t="n">
        <v>0</v>
      </c>
      <c r="AI5612" t="n">
        <v>0</v>
      </c>
    </row>
    <row r="5613">
      <c r="A5613" t="inlineStr">
        <is>
          <t>12월</t>
        </is>
      </c>
      <c r="B5613" t="inlineStr">
        <is>
          <t>52주차</t>
        </is>
      </c>
      <c r="C5613" t="e">
        <v>#N/A</v>
      </c>
      <c r="K5613" t="n">
        <v>0</v>
      </c>
      <c r="L5613" t="n">
        <v>0</v>
      </c>
      <c r="M5613" t="n">
        <v>0</v>
      </c>
      <c r="AC5613" t="n">
        <v>0</v>
      </c>
      <c r="AD5613" t="n">
        <v>0</v>
      </c>
      <c r="AE5613" t="n">
        <v>0</v>
      </c>
      <c r="AF5613" t="n">
        <v>0</v>
      </c>
      <c r="AG5613" t="n">
        <v>0</v>
      </c>
      <c r="AH5613" t="n">
        <v>0</v>
      </c>
      <c r="AI5613" t="n">
        <v>0</v>
      </c>
    </row>
    <row r="5614">
      <c r="A5614" t="inlineStr">
        <is>
          <t>12월</t>
        </is>
      </c>
      <c r="B5614" t="inlineStr">
        <is>
          <t>52주차</t>
        </is>
      </c>
      <c r="C5614" t="e">
        <v>#N/A</v>
      </c>
      <c r="K5614" t="n">
        <v>0</v>
      </c>
      <c r="L5614" t="n">
        <v>0</v>
      </c>
      <c r="M5614" t="n">
        <v>0</v>
      </c>
      <c r="AC5614" t="n">
        <v>0</v>
      </c>
      <c r="AD5614" t="n">
        <v>0</v>
      </c>
      <c r="AE5614" t="n">
        <v>0</v>
      </c>
      <c r="AF5614" t="n">
        <v>0</v>
      </c>
      <c r="AG5614" t="n">
        <v>0</v>
      </c>
      <c r="AH5614" t="n">
        <v>0</v>
      </c>
      <c r="AI5614" t="n">
        <v>0</v>
      </c>
    </row>
    <row r="5615">
      <c r="A5615" t="inlineStr">
        <is>
          <t>12월</t>
        </is>
      </c>
      <c r="B5615" t="inlineStr">
        <is>
          <t>52주차</t>
        </is>
      </c>
      <c r="C5615" t="e">
        <v>#N/A</v>
      </c>
      <c r="K5615" t="n">
        <v>0</v>
      </c>
      <c r="L5615" t="n">
        <v>0</v>
      </c>
      <c r="M5615" t="n">
        <v>0</v>
      </c>
      <c r="AC5615" t="n">
        <v>0</v>
      </c>
      <c r="AD5615" t="n">
        <v>0</v>
      </c>
      <c r="AE5615" t="n">
        <v>0</v>
      </c>
      <c r="AF5615" t="n">
        <v>0</v>
      </c>
      <c r="AG5615" t="n">
        <v>0</v>
      </c>
      <c r="AH5615" t="n">
        <v>0</v>
      </c>
    </row>
    <row r="5616">
      <c r="A5616" t="inlineStr">
        <is>
          <t>12월</t>
        </is>
      </c>
      <c r="B5616" t="inlineStr">
        <is>
          <t>52주차</t>
        </is>
      </c>
      <c r="C5616" t="e">
        <v>#N/A</v>
      </c>
      <c r="K5616" t="n">
        <v>0</v>
      </c>
      <c r="L5616" t="n">
        <v>0</v>
      </c>
      <c r="M5616" t="n">
        <v>0</v>
      </c>
      <c r="AC5616" t="n">
        <v>0</v>
      </c>
      <c r="AD5616" t="n">
        <v>0</v>
      </c>
      <c r="AE5616" t="n">
        <v>0</v>
      </c>
      <c r="AF5616" t="n">
        <v>0</v>
      </c>
      <c r="AG5616" t="n">
        <v>0</v>
      </c>
      <c r="AH5616" t="n">
        <v>0</v>
      </c>
      <c r="AI5616" t="n">
        <v>0</v>
      </c>
    </row>
    <row r="5617">
      <c r="A5617" t="inlineStr">
        <is>
          <t>12월</t>
        </is>
      </c>
      <c r="B5617" t="inlineStr">
        <is>
          <t>52주차</t>
        </is>
      </c>
      <c r="C5617" t="e">
        <v>#N/A</v>
      </c>
      <c r="K5617" t="n">
        <v>0</v>
      </c>
      <c r="L5617" t="n">
        <v>0</v>
      </c>
      <c r="M5617" t="n">
        <v>0</v>
      </c>
      <c r="AC5617" t="n">
        <v>0</v>
      </c>
      <c r="AD5617" t="n">
        <v>0</v>
      </c>
      <c r="AE5617" t="n">
        <v>0</v>
      </c>
      <c r="AF5617" t="n">
        <v>0</v>
      </c>
      <c r="AG5617" t="n">
        <v>0</v>
      </c>
      <c r="AH5617" t="n">
        <v>0</v>
      </c>
      <c r="AI5617" t="n">
        <v>0</v>
      </c>
    </row>
    <row r="5618">
      <c r="A5618" t="inlineStr">
        <is>
          <t>12월</t>
        </is>
      </c>
      <c r="B5618" t="inlineStr">
        <is>
          <t>52주차</t>
        </is>
      </c>
      <c r="C5618" t="e">
        <v>#N/A</v>
      </c>
      <c r="K5618" t="n">
        <v>0</v>
      </c>
      <c r="L5618" t="n">
        <v>0</v>
      </c>
      <c r="M5618" t="n">
        <v>0</v>
      </c>
      <c r="AC5618" t="n">
        <v>0</v>
      </c>
      <c r="AD5618" t="n">
        <v>0</v>
      </c>
      <c r="AE5618" t="n">
        <v>0</v>
      </c>
      <c r="AF5618" t="n">
        <v>0</v>
      </c>
      <c r="AG5618" t="n">
        <v>0</v>
      </c>
      <c r="AH5618" t="n">
        <v>0</v>
      </c>
      <c r="AI5618" t="n">
        <v>0</v>
      </c>
    </row>
    <row r="5619">
      <c r="A5619" t="inlineStr">
        <is>
          <t>12월</t>
        </is>
      </c>
      <c r="B5619" t="inlineStr">
        <is>
          <t>52주차</t>
        </is>
      </c>
      <c r="C5619" t="e">
        <v>#N/A</v>
      </c>
      <c r="K5619" t="n">
        <v>0</v>
      </c>
      <c r="L5619" t="n">
        <v>0</v>
      </c>
      <c r="M5619" t="n">
        <v>0</v>
      </c>
      <c r="AC5619" t="n">
        <v>0</v>
      </c>
      <c r="AD5619" t="n">
        <v>0</v>
      </c>
      <c r="AE5619" t="n">
        <v>0</v>
      </c>
      <c r="AF5619" t="n">
        <v>0</v>
      </c>
      <c r="AG5619" t="n">
        <v>0</v>
      </c>
      <c r="AH5619" t="n">
        <v>0</v>
      </c>
    </row>
    <row r="5620">
      <c r="A5620" t="inlineStr">
        <is>
          <t>12월</t>
        </is>
      </c>
      <c r="B5620" t="inlineStr">
        <is>
          <t>52주차</t>
        </is>
      </c>
      <c r="C5620" t="e">
        <v>#N/A</v>
      </c>
      <c r="K5620" t="n">
        <v>0</v>
      </c>
      <c r="L5620" t="n">
        <v>0</v>
      </c>
      <c r="M5620" t="n">
        <v>0</v>
      </c>
      <c r="AC5620" t="n">
        <v>0</v>
      </c>
      <c r="AD5620" t="n">
        <v>0</v>
      </c>
      <c r="AE5620" t="n">
        <v>0</v>
      </c>
      <c r="AF5620" t="n">
        <v>0</v>
      </c>
      <c r="AG5620" t="n">
        <v>0</v>
      </c>
      <c r="AH5620" t="n">
        <v>0</v>
      </c>
      <c r="AI5620" t="n">
        <v>0</v>
      </c>
    </row>
    <row r="5621">
      <c r="A5621" t="inlineStr">
        <is>
          <t>12월</t>
        </is>
      </c>
      <c r="B5621" t="inlineStr">
        <is>
          <t>52주차</t>
        </is>
      </c>
      <c r="C5621" t="e">
        <v>#N/A</v>
      </c>
      <c r="K5621" t="n">
        <v>0</v>
      </c>
      <c r="L5621" t="n">
        <v>0</v>
      </c>
      <c r="M5621" t="n">
        <v>0</v>
      </c>
      <c r="AC5621" t="n">
        <v>0</v>
      </c>
      <c r="AD5621" t="n">
        <v>0</v>
      </c>
      <c r="AE5621" t="n">
        <v>0</v>
      </c>
      <c r="AF5621" t="n">
        <v>0</v>
      </c>
      <c r="AG5621" t="n">
        <v>0</v>
      </c>
      <c r="AH5621" t="n">
        <v>0</v>
      </c>
      <c r="AI5621" t="n">
        <v>0</v>
      </c>
    </row>
    <row r="5622">
      <c r="A5622" t="inlineStr">
        <is>
          <t>12월</t>
        </is>
      </c>
      <c r="B5622" t="inlineStr">
        <is>
          <t>52주차</t>
        </is>
      </c>
      <c r="C5622" t="e">
        <v>#N/A</v>
      </c>
      <c r="K5622" t="n">
        <v>0</v>
      </c>
      <c r="L5622" t="n">
        <v>0</v>
      </c>
      <c r="M5622" t="n">
        <v>0</v>
      </c>
      <c r="AC5622" t="n">
        <v>0</v>
      </c>
      <c r="AD5622" t="n">
        <v>0</v>
      </c>
      <c r="AE5622" t="n">
        <v>0</v>
      </c>
      <c r="AF5622" t="n">
        <v>0</v>
      </c>
      <c r="AG5622" t="n">
        <v>0</v>
      </c>
      <c r="AH5622" t="n">
        <v>0</v>
      </c>
      <c r="AI5622" t="n">
        <v>0</v>
      </c>
    </row>
    <row r="5623">
      <c r="A5623" t="inlineStr">
        <is>
          <t>12월</t>
        </is>
      </c>
      <c r="B5623" t="inlineStr">
        <is>
          <t>52주차</t>
        </is>
      </c>
      <c r="C5623" t="e">
        <v>#N/A</v>
      </c>
      <c r="K5623" t="n">
        <v>0</v>
      </c>
      <c r="L5623" t="n">
        <v>0</v>
      </c>
      <c r="M5623" t="n">
        <v>0</v>
      </c>
      <c r="AC5623" t="n">
        <v>0</v>
      </c>
      <c r="AD5623" t="n">
        <v>0</v>
      </c>
      <c r="AE5623" t="n">
        <v>0</v>
      </c>
      <c r="AF5623" t="n">
        <v>0</v>
      </c>
      <c r="AG5623" t="n">
        <v>0</v>
      </c>
      <c r="AH5623" t="n">
        <v>0</v>
      </c>
      <c r="AI5623" t="n">
        <v>0</v>
      </c>
    </row>
    <row r="5624">
      <c r="A5624" t="inlineStr">
        <is>
          <t>12월</t>
        </is>
      </c>
      <c r="B5624" t="inlineStr">
        <is>
          <t>52주차</t>
        </is>
      </c>
      <c r="C5624" t="e">
        <v>#N/A</v>
      </c>
      <c r="K5624" t="n">
        <v>0</v>
      </c>
      <c r="L5624" t="n">
        <v>0</v>
      </c>
      <c r="M5624" t="n">
        <v>0</v>
      </c>
      <c r="AC5624" t="n">
        <v>0</v>
      </c>
      <c r="AD5624" t="n">
        <v>0</v>
      </c>
      <c r="AE5624" t="n">
        <v>0</v>
      </c>
      <c r="AF5624" t="n">
        <v>0</v>
      </c>
      <c r="AG5624" t="n">
        <v>0</v>
      </c>
      <c r="AH5624" t="n">
        <v>0</v>
      </c>
      <c r="AI5624" t="n">
        <v>0</v>
      </c>
    </row>
    <row r="5625">
      <c r="A5625" t="inlineStr">
        <is>
          <t>12월</t>
        </is>
      </c>
      <c r="B5625" t="inlineStr">
        <is>
          <t>52주차</t>
        </is>
      </c>
      <c r="C5625" t="e">
        <v>#N/A</v>
      </c>
      <c r="K5625" t="n">
        <v>0</v>
      </c>
      <c r="L5625" t="n">
        <v>0</v>
      </c>
      <c r="M5625" t="n">
        <v>0</v>
      </c>
      <c r="AC5625" t="n">
        <v>0</v>
      </c>
      <c r="AD5625" t="n">
        <v>0</v>
      </c>
      <c r="AE5625" t="n">
        <v>0</v>
      </c>
      <c r="AF5625" t="n">
        <v>0</v>
      </c>
      <c r="AG5625" t="n">
        <v>0</v>
      </c>
      <c r="AH5625" t="n">
        <v>0</v>
      </c>
      <c r="AI5625" t="n">
        <v>0</v>
      </c>
    </row>
    <row r="5626">
      <c r="A5626" t="inlineStr">
        <is>
          <t>12월</t>
        </is>
      </c>
      <c r="B5626" t="inlineStr">
        <is>
          <t>52주차</t>
        </is>
      </c>
      <c r="C5626" t="e">
        <v>#N/A</v>
      </c>
      <c r="K5626" t="n">
        <v>0</v>
      </c>
      <c r="L5626" t="n">
        <v>0</v>
      </c>
      <c r="M5626" t="n">
        <v>0</v>
      </c>
      <c r="AC5626" t="n">
        <v>0</v>
      </c>
      <c r="AD5626" t="n">
        <v>0</v>
      </c>
      <c r="AE5626" t="n">
        <v>0</v>
      </c>
      <c r="AF5626" t="n">
        <v>0</v>
      </c>
      <c r="AG5626" t="n">
        <v>0</v>
      </c>
      <c r="AH5626" t="n">
        <v>0</v>
      </c>
      <c r="AI5626" t="n">
        <v>0</v>
      </c>
    </row>
    <row r="5627">
      <c r="A5627" t="inlineStr">
        <is>
          <t>12월</t>
        </is>
      </c>
      <c r="B5627" t="inlineStr">
        <is>
          <t>52주차</t>
        </is>
      </c>
      <c r="C5627" t="e">
        <v>#N/A</v>
      </c>
      <c r="K5627" t="n">
        <v>0</v>
      </c>
      <c r="L5627" t="n">
        <v>0</v>
      </c>
      <c r="M5627" t="n">
        <v>0</v>
      </c>
      <c r="AC5627" t="n">
        <v>0</v>
      </c>
      <c r="AD5627" t="n">
        <v>0</v>
      </c>
      <c r="AE5627" t="n">
        <v>0</v>
      </c>
      <c r="AF5627" t="n">
        <v>0</v>
      </c>
      <c r="AG5627" t="n">
        <v>0</v>
      </c>
      <c r="AH5627" t="n">
        <v>0</v>
      </c>
      <c r="AI5627" t="n">
        <v>0</v>
      </c>
    </row>
    <row r="5628">
      <c r="A5628" t="inlineStr">
        <is>
          <t>12월</t>
        </is>
      </c>
      <c r="B5628" t="inlineStr">
        <is>
          <t>52주차</t>
        </is>
      </c>
      <c r="C5628" t="e">
        <v>#N/A</v>
      </c>
      <c r="K5628" t="n">
        <v>0</v>
      </c>
      <c r="L5628" t="n">
        <v>0</v>
      </c>
      <c r="M5628" t="n">
        <v>0</v>
      </c>
      <c r="AC5628" t="n">
        <v>0</v>
      </c>
      <c r="AD5628" t="n">
        <v>0</v>
      </c>
      <c r="AE5628" t="n">
        <v>0</v>
      </c>
      <c r="AF5628" t="n">
        <v>0</v>
      </c>
      <c r="AG5628" t="n">
        <v>0</v>
      </c>
      <c r="AH5628" t="n">
        <v>0</v>
      </c>
      <c r="AI5628" t="n">
        <v>0</v>
      </c>
    </row>
    <row r="5629">
      <c r="A5629" t="inlineStr">
        <is>
          <t>12월</t>
        </is>
      </c>
      <c r="B5629" t="inlineStr">
        <is>
          <t>52주차</t>
        </is>
      </c>
      <c r="C5629" t="e">
        <v>#N/A</v>
      </c>
      <c r="K5629" t="n">
        <v>0</v>
      </c>
      <c r="L5629" t="n">
        <v>0</v>
      </c>
      <c r="M5629" t="n">
        <v>0</v>
      </c>
      <c r="AC5629" t="n">
        <v>0</v>
      </c>
      <c r="AD5629" t="n">
        <v>0</v>
      </c>
      <c r="AE5629" t="n">
        <v>0</v>
      </c>
      <c r="AF5629" t="n">
        <v>0</v>
      </c>
      <c r="AG5629" t="n">
        <v>0</v>
      </c>
      <c r="AH5629" t="n">
        <v>0</v>
      </c>
      <c r="AI5629" t="n">
        <v>0</v>
      </c>
    </row>
    <row r="5630">
      <c r="A5630" t="inlineStr">
        <is>
          <t>12월</t>
        </is>
      </c>
      <c r="B5630" t="inlineStr">
        <is>
          <t>52주차</t>
        </is>
      </c>
      <c r="C5630" t="e">
        <v>#N/A</v>
      </c>
      <c r="K5630" t="n">
        <v>0</v>
      </c>
      <c r="L5630" t="n">
        <v>0</v>
      </c>
      <c r="M5630" t="n">
        <v>0</v>
      </c>
      <c r="AC5630" t="n">
        <v>0</v>
      </c>
      <c r="AD5630" t="n">
        <v>0</v>
      </c>
      <c r="AE5630" t="n">
        <v>0</v>
      </c>
      <c r="AF5630" t="n">
        <v>0</v>
      </c>
      <c r="AG5630" t="n">
        <v>0</v>
      </c>
      <c r="AH5630" t="n">
        <v>0</v>
      </c>
      <c r="AI5630" t="n">
        <v>0</v>
      </c>
    </row>
    <row r="5631">
      <c r="A5631" t="inlineStr">
        <is>
          <t>12월</t>
        </is>
      </c>
      <c r="B5631" t="inlineStr">
        <is>
          <t>52주차</t>
        </is>
      </c>
      <c r="C5631" t="e">
        <v>#N/A</v>
      </c>
      <c r="K5631" t="n">
        <v>0</v>
      </c>
      <c r="L5631" t="n">
        <v>0</v>
      </c>
      <c r="M5631" t="n">
        <v>0</v>
      </c>
      <c r="AC5631" t="n">
        <v>0</v>
      </c>
      <c r="AD5631" t="n">
        <v>0</v>
      </c>
      <c r="AE5631" t="n">
        <v>0</v>
      </c>
      <c r="AF5631" t="n">
        <v>0</v>
      </c>
      <c r="AG5631" t="n">
        <v>0</v>
      </c>
      <c r="AH5631" t="n">
        <v>0</v>
      </c>
      <c r="AI5631" t="n">
        <v>0</v>
      </c>
    </row>
    <row r="5632">
      <c r="A5632" t="inlineStr">
        <is>
          <t>12월</t>
        </is>
      </c>
      <c r="B5632" t="inlineStr">
        <is>
          <t>52주차</t>
        </is>
      </c>
      <c r="C5632" t="e">
        <v>#N/A</v>
      </c>
      <c r="K5632" t="n">
        <v>0</v>
      </c>
      <c r="L5632" t="n">
        <v>0</v>
      </c>
      <c r="M5632" t="n">
        <v>0</v>
      </c>
      <c r="AC5632" t="n">
        <v>0</v>
      </c>
      <c r="AD5632" t="n">
        <v>0</v>
      </c>
      <c r="AE5632" t="n">
        <v>0</v>
      </c>
      <c r="AF5632" t="n">
        <v>0</v>
      </c>
      <c r="AG5632" t="n">
        <v>0</v>
      </c>
      <c r="AH5632" t="n">
        <v>0</v>
      </c>
    </row>
    <row r="5633">
      <c r="A5633" t="inlineStr">
        <is>
          <t>12월</t>
        </is>
      </c>
      <c r="B5633" t="inlineStr">
        <is>
          <t>52주차</t>
        </is>
      </c>
      <c r="C5633" t="e">
        <v>#N/A</v>
      </c>
      <c r="K5633" t="n">
        <v>0</v>
      </c>
      <c r="L5633" t="n">
        <v>0</v>
      </c>
      <c r="M5633" t="n">
        <v>0</v>
      </c>
      <c r="AC5633" t="n">
        <v>0</v>
      </c>
      <c r="AD5633" t="n">
        <v>0</v>
      </c>
      <c r="AE5633" t="n">
        <v>0</v>
      </c>
      <c r="AF5633" t="n">
        <v>0</v>
      </c>
      <c r="AG5633" t="n">
        <v>0</v>
      </c>
      <c r="AH5633" t="n">
        <v>0</v>
      </c>
    </row>
    <row r="5634">
      <c r="A5634" t="inlineStr">
        <is>
          <t>12월</t>
        </is>
      </c>
      <c r="B5634" t="inlineStr">
        <is>
          <t>52주차</t>
        </is>
      </c>
      <c r="C5634" t="e">
        <v>#N/A</v>
      </c>
      <c r="K5634" t="n">
        <v>0</v>
      </c>
      <c r="L5634" t="n">
        <v>0</v>
      </c>
      <c r="M5634" t="n">
        <v>0</v>
      </c>
      <c r="AC5634" t="n">
        <v>0</v>
      </c>
      <c r="AD5634" t="n">
        <v>0</v>
      </c>
      <c r="AE5634" t="n">
        <v>0</v>
      </c>
      <c r="AF5634" t="n">
        <v>0</v>
      </c>
      <c r="AG5634" t="n">
        <v>0</v>
      </c>
      <c r="AH5634" t="n">
        <v>0</v>
      </c>
      <c r="AI5634" t="n">
        <v>0</v>
      </c>
    </row>
    <row r="5635">
      <c r="A5635" t="inlineStr">
        <is>
          <t>12월</t>
        </is>
      </c>
      <c r="B5635" t="inlineStr">
        <is>
          <t>52주차</t>
        </is>
      </c>
      <c r="C5635" t="e">
        <v>#N/A</v>
      </c>
      <c r="K5635" t="n">
        <v>0</v>
      </c>
      <c r="L5635" t="n">
        <v>0</v>
      </c>
      <c r="M5635" t="n">
        <v>0</v>
      </c>
      <c r="AC5635" t="n">
        <v>0</v>
      </c>
      <c r="AD5635" t="n">
        <v>0</v>
      </c>
      <c r="AE5635" t="n">
        <v>0</v>
      </c>
      <c r="AF5635" t="n">
        <v>0</v>
      </c>
      <c r="AG5635" t="n">
        <v>0</v>
      </c>
      <c r="AH5635" t="n">
        <v>0</v>
      </c>
      <c r="AI5635" t="n">
        <v>0</v>
      </c>
    </row>
    <row r="5636">
      <c r="A5636" t="inlineStr">
        <is>
          <t>12월</t>
        </is>
      </c>
      <c r="B5636" t="inlineStr">
        <is>
          <t>52주차</t>
        </is>
      </c>
      <c r="C5636" t="e">
        <v>#N/A</v>
      </c>
      <c r="K5636" t="n">
        <v>0</v>
      </c>
      <c r="L5636" t="n">
        <v>0</v>
      </c>
      <c r="M5636" t="n">
        <v>0</v>
      </c>
      <c r="AC5636" t="n">
        <v>0</v>
      </c>
      <c r="AD5636" t="n">
        <v>0</v>
      </c>
      <c r="AE5636" t="n">
        <v>0</v>
      </c>
      <c r="AF5636" t="n">
        <v>0</v>
      </c>
      <c r="AG5636" t="n">
        <v>0</v>
      </c>
      <c r="AH5636" t="n">
        <v>0</v>
      </c>
      <c r="AI5636" t="n">
        <v>0</v>
      </c>
    </row>
    <row r="5637">
      <c r="A5637" t="inlineStr">
        <is>
          <t>12월</t>
        </is>
      </c>
      <c r="B5637" t="inlineStr">
        <is>
          <t>52주차</t>
        </is>
      </c>
      <c r="C5637" t="e">
        <v>#N/A</v>
      </c>
      <c r="K5637" t="n">
        <v>0</v>
      </c>
      <c r="L5637" t="n">
        <v>0</v>
      </c>
      <c r="M5637" t="n">
        <v>0</v>
      </c>
      <c r="AC5637" t="n">
        <v>0</v>
      </c>
      <c r="AD5637" t="n">
        <v>0</v>
      </c>
      <c r="AE5637" t="n">
        <v>0</v>
      </c>
      <c r="AF5637" t="n">
        <v>0</v>
      </c>
      <c r="AG5637" t="n">
        <v>0</v>
      </c>
      <c r="AH5637" t="n">
        <v>0</v>
      </c>
      <c r="AI5637" t="n">
        <v>0</v>
      </c>
    </row>
    <row r="5638">
      <c r="A5638" t="inlineStr">
        <is>
          <t>12월</t>
        </is>
      </c>
      <c r="B5638" t="inlineStr">
        <is>
          <t>52주차</t>
        </is>
      </c>
      <c r="C5638" t="e">
        <v>#N/A</v>
      </c>
      <c r="K5638" t="n">
        <v>0</v>
      </c>
      <c r="L5638" t="n">
        <v>0</v>
      </c>
      <c r="M5638" t="n">
        <v>0</v>
      </c>
      <c r="AC5638" t="n">
        <v>0</v>
      </c>
      <c r="AD5638" t="n">
        <v>0</v>
      </c>
      <c r="AE5638" t="n">
        <v>0</v>
      </c>
      <c r="AF5638" t="n">
        <v>0</v>
      </c>
      <c r="AG5638" t="n">
        <v>0</v>
      </c>
      <c r="AH5638" t="n">
        <v>0</v>
      </c>
      <c r="AI5638" t="n">
        <v>0</v>
      </c>
    </row>
    <row r="5639">
      <c r="A5639" t="inlineStr">
        <is>
          <t>12월</t>
        </is>
      </c>
      <c r="B5639" t="inlineStr">
        <is>
          <t>52주차</t>
        </is>
      </c>
      <c r="C5639" t="e">
        <v>#N/A</v>
      </c>
      <c r="K5639" t="n">
        <v>0</v>
      </c>
      <c r="L5639" t="n">
        <v>0</v>
      </c>
      <c r="M5639" t="n">
        <v>0</v>
      </c>
      <c r="AC5639" t="n">
        <v>0</v>
      </c>
      <c r="AD5639" t="n">
        <v>0</v>
      </c>
      <c r="AE5639" t="n">
        <v>0</v>
      </c>
      <c r="AF5639" t="n">
        <v>0</v>
      </c>
      <c r="AG5639" t="n">
        <v>0</v>
      </c>
      <c r="AH5639" t="n">
        <v>0</v>
      </c>
      <c r="AI5639" t="n">
        <v>0</v>
      </c>
    </row>
    <row r="5640">
      <c r="A5640" t="inlineStr">
        <is>
          <t>12월</t>
        </is>
      </c>
      <c r="B5640" t="inlineStr">
        <is>
          <t>52주차</t>
        </is>
      </c>
      <c r="C5640" t="e">
        <v>#N/A</v>
      </c>
      <c r="K5640" t="n">
        <v>0</v>
      </c>
      <c r="L5640" t="n">
        <v>0</v>
      </c>
      <c r="M5640" t="n">
        <v>0</v>
      </c>
      <c r="AC5640" t="n">
        <v>0</v>
      </c>
      <c r="AD5640" t="n">
        <v>0</v>
      </c>
      <c r="AE5640" t="n">
        <v>0</v>
      </c>
      <c r="AF5640" t="n">
        <v>0</v>
      </c>
      <c r="AG5640" t="n">
        <v>0</v>
      </c>
      <c r="AH5640" t="n">
        <v>0</v>
      </c>
    </row>
    <row r="5641">
      <c r="A5641" t="inlineStr">
        <is>
          <t>12월</t>
        </is>
      </c>
      <c r="B5641" t="inlineStr">
        <is>
          <t>52주차</t>
        </is>
      </c>
      <c r="C5641" t="e">
        <v>#N/A</v>
      </c>
      <c r="K5641" t="n">
        <v>0</v>
      </c>
      <c r="L5641" t="n">
        <v>0</v>
      </c>
      <c r="M5641" t="n">
        <v>0</v>
      </c>
      <c r="AC5641" t="n">
        <v>0</v>
      </c>
      <c r="AD5641" t="n">
        <v>0</v>
      </c>
      <c r="AE5641" t="n">
        <v>0</v>
      </c>
      <c r="AF5641" t="n">
        <v>0</v>
      </c>
      <c r="AG5641" t="n">
        <v>0</v>
      </c>
      <c r="AH5641" t="n">
        <v>0</v>
      </c>
    </row>
    <row r="5642">
      <c r="A5642" t="inlineStr">
        <is>
          <t>12월</t>
        </is>
      </c>
      <c r="B5642" t="inlineStr">
        <is>
          <t>52주차</t>
        </is>
      </c>
      <c r="C5642" t="e">
        <v>#N/A</v>
      </c>
      <c r="K5642" t="n">
        <v>0</v>
      </c>
      <c r="L5642" t="n">
        <v>0</v>
      </c>
      <c r="M5642" t="n">
        <v>0</v>
      </c>
      <c r="AC5642" t="n">
        <v>0</v>
      </c>
      <c r="AD5642" t="n">
        <v>0</v>
      </c>
      <c r="AE5642" t="n">
        <v>0</v>
      </c>
      <c r="AF5642" t="n">
        <v>0</v>
      </c>
      <c r="AG5642" t="n">
        <v>0</v>
      </c>
      <c r="AH5642" t="n">
        <v>0</v>
      </c>
    </row>
    <row r="5643">
      <c r="A5643" t="inlineStr">
        <is>
          <t>12월</t>
        </is>
      </c>
      <c r="B5643" t="inlineStr">
        <is>
          <t>52주차</t>
        </is>
      </c>
      <c r="C5643" t="e">
        <v>#N/A</v>
      </c>
      <c r="K5643" t="n">
        <v>0</v>
      </c>
      <c r="L5643" t="n">
        <v>0</v>
      </c>
      <c r="M5643" t="n">
        <v>0</v>
      </c>
      <c r="AC5643" t="n">
        <v>0</v>
      </c>
      <c r="AD5643" t="n">
        <v>0</v>
      </c>
      <c r="AE5643" t="n">
        <v>0</v>
      </c>
      <c r="AF5643" t="n">
        <v>0</v>
      </c>
      <c r="AG5643" t="n">
        <v>0</v>
      </c>
      <c r="AH5643" t="n">
        <v>0</v>
      </c>
      <c r="AI5643" t="n">
        <v>0</v>
      </c>
    </row>
    <row r="5644">
      <c r="A5644" t="inlineStr">
        <is>
          <t>12월</t>
        </is>
      </c>
      <c r="B5644" t="inlineStr">
        <is>
          <t>52주차</t>
        </is>
      </c>
      <c r="C5644" t="e">
        <v>#N/A</v>
      </c>
      <c r="K5644" t="n">
        <v>0</v>
      </c>
      <c r="L5644" t="n">
        <v>0</v>
      </c>
      <c r="M5644" t="n">
        <v>0</v>
      </c>
      <c r="AC5644" t="n">
        <v>0</v>
      </c>
      <c r="AD5644" t="n">
        <v>0</v>
      </c>
      <c r="AE5644" t="n">
        <v>0</v>
      </c>
      <c r="AF5644" t="n">
        <v>0</v>
      </c>
      <c r="AG5644" t="n">
        <v>0</v>
      </c>
      <c r="AH5644" t="n">
        <v>0</v>
      </c>
      <c r="AI5644" t="n">
        <v>0</v>
      </c>
    </row>
    <row r="5645">
      <c r="A5645" t="inlineStr">
        <is>
          <t>12월</t>
        </is>
      </c>
      <c r="B5645" t="inlineStr">
        <is>
          <t>52주차</t>
        </is>
      </c>
      <c r="C5645" t="e">
        <v>#N/A</v>
      </c>
      <c r="K5645" t="n">
        <v>0</v>
      </c>
      <c r="L5645" t="n">
        <v>0</v>
      </c>
      <c r="M5645" t="n">
        <v>0</v>
      </c>
      <c r="AC5645" t="n">
        <v>0</v>
      </c>
      <c r="AD5645" t="n">
        <v>0</v>
      </c>
      <c r="AE5645" t="n">
        <v>0</v>
      </c>
      <c r="AF5645" t="n">
        <v>0</v>
      </c>
      <c r="AG5645" t="n">
        <v>0</v>
      </c>
      <c r="AH5645" t="n">
        <v>0</v>
      </c>
      <c r="AI5645" t="n">
        <v>0</v>
      </c>
    </row>
    <row r="5646">
      <c r="A5646" t="inlineStr">
        <is>
          <t>12월</t>
        </is>
      </c>
      <c r="B5646" t="inlineStr">
        <is>
          <t>52주차</t>
        </is>
      </c>
      <c r="C5646" t="e">
        <v>#N/A</v>
      </c>
      <c r="K5646" t="n">
        <v>0</v>
      </c>
      <c r="L5646" t="n">
        <v>0</v>
      </c>
      <c r="M5646" t="n">
        <v>0</v>
      </c>
      <c r="AC5646" t="n">
        <v>0</v>
      </c>
      <c r="AD5646" t="n">
        <v>0</v>
      </c>
      <c r="AE5646" t="n">
        <v>0</v>
      </c>
      <c r="AF5646" t="n">
        <v>0</v>
      </c>
      <c r="AG5646" t="n">
        <v>0</v>
      </c>
      <c r="AH5646" t="n">
        <v>0</v>
      </c>
    </row>
    <row r="5647">
      <c r="A5647" t="inlineStr">
        <is>
          <t>12월</t>
        </is>
      </c>
      <c r="B5647" t="inlineStr">
        <is>
          <t>52주차</t>
        </is>
      </c>
      <c r="C5647" t="e">
        <v>#N/A</v>
      </c>
      <c r="K5647" t="n">
        <v>0</v>
      </c>
      <c r="L5647" t="n">
        <v>0</v>
      </c>
      <c r="M5647" t="n">
        <v>0</v>
      </c>
      <c r="AC5647" t="n">
        <v>0</v>
      </c>
      <c r="AD5647" t="n">
        <v>0</v>
      </c>
      <c r="AE5647" t="n">
        <v>0</v>
      </c>
      <c r="AF5647" t="n">
        <v>0</v>
      </c>
      <c r="AG5647" t="n">
        <v>0</v>
      </c>
      <c r="AH5647" t="n">
        <v>0</v>
      </c>
      <c r="AI5647" t="n">
        <v>0</v>
      </c>
    </row>
    <row r="5648">
      <c r="A5648" t="inlineStr">
        <is>
          <t>12월</t>
        </is>
      </c>
      <c r="B5648" t="inlineStr">
        <is>
          <t>52주차</t>
        </is>
      </c>
      <c r="C5648" t="e">
        <v>#N/A</v>
      </c>
      <c r="K5648" t="n">
        <v>0</v>
      </c>
      <c r="L5648" t="n">
        <v>0</v>
      </c>
      <c r="M5648" t="n">
        <v>0</v>
      </c>
      <c r="AC5648" t="n">
        <v>0</v>
      </c>
      <c r="AD5648" t="n">
        <v>0</v>
      </c>
      <c r="AE5648" t="n">
        <v>0</v>
      </c>
      <c r="AF5648" t="n">
        <v>0</v>
      </c>
      <c r="AG5648" t="n">
        <v>0</v>
      </c>
      <c r="AH5648" t="n">
        <v>0</v>
      </c>
    </row>
    <row r="5649">
      <c r="A5649" t="inlineStr">
        <is>
          <t>12월</t>
        </is>
      </c>
      <c r="B5649" t="inlineStr">
        <is>
          <t>52주차</t>
        </is>
      </c>
      <c r="C5649" t="e">
        <v>#N/A</v>
      </c>
      <c r="K5649" t="n">
        <v>0</v>
      </c>
      <c r="L5649" t="n">
        <v>0</v>
      </c>
      <c r="M5649" t="n">
        <v>0</v>
      </c>
      <c r="AC5649" t="n">
        <v>0</v>
      </c>
      <c r="AD5649" t="n">
        <v>0</v>
      </c>
      <c r="AE5649" t="n">
        <v>0</v>
      </c>
      <c r="AF5649" t="n">
        <v>0</v>
      </c>
      <c r="AG5649" t="n">
        <v>0</v>
      </c>
      <c r="AH5649" t="n">
        <v>0</v>
      </c>
      <c r="AI5649" t="n">
        <v>0</v>
      </c>
    </row>
    <row r="5650">
      <c r="A5650" t="inlineStr">
        <is>
          <t>12월</t>
        </is>
      </c>
      <c r="B5650" t="inlineStr">
        <is>
          <t>52주차</t>
        </is>
      </c>
      <c r="C5650" t="e">
        <v>#N/A</v>
      </c>
      <c r="K5650" t="n">
        <v>0</v>
      </c>
      <c r="L5650" t="n">
        <v>0</v>
      </c>
      <c r="M5650" t="n">
        <v>0</v>
      </c>
      <c r="AC5650" t="n">
        <v>0</v>
      </c>
      <c r="AD5650" t="n">
        <v>0</v>
      </c>
      <c r="AE5650" t="n">
        <v>0</v>
      </c>
      <c r="AF5650" t="n">
        <v>0</v>
      </c>
      <c r="AG5650" t="n">
        <v>0</v>
      </c>
      <c r="AH5650" t="n">
        <v>0</v>
      </c>
      <c r="AI5650" t="n">
        <v>0</v>
      </c>
    </row>
    <row r="5651">
      <c r="A5651" t="inlineStr">
        <is>
          <t>12월</t>
        </is>
      </c>
      <c r="B5651" t="inlineStr">
        <is>
          <t>52주차</t>
        </is>
      </c>
      <c r="C5651" t="e">
        <v>#N/A</v>
      </c>
      <c r="K5651" t="n">
        <v>0</v>
      </c>
      <c r="L5651" t="n">
        <v>0</v>
      </c>
      <c r="M5651" t="n">
        <v>0</v>
      </c>
      <c r="AC5651" t="n">
        <v>0</v>
      </c>
      <c r="AD5651" t="n">
        <v>0</v>
      </c>
      <c r="AE5651" t="n">
        <v>0</v>
      </c>
      <c r="AF5651" t="n">
        <v>0</v>
      </c>
      <c r="AG5651" t="n">
        <v>0</v>
      </c>
      <c r="AH5651" t="n">
        <v>0</v>
      </c>
    </row>
    <row r="5652">
      <c r="A5652" t="inlineStr">
        <is>
          <t>12월</t>
        </is>
      </c>
      <c r="B5652" t="inlineStr">
        <is>
          <t>52주차</t>
        </is>
      </c>
      <c r="C5652" t="e">
        <v>#N/A</v>
      </c>
      <c r="K5652" t="n">
        <v>0</v>
      </c>
      <c r="L5652" t="n">
        <v>0</v>
      </c>
      <c r="M5652" t="n">
        <v>0</v>
      </c>
      <c r="AC5652" t="n">
        <v>0</v>
      </c>
      <c r="AD5652" t="n">
        <v>0</v>
      </c>
      <c r="AE5652" t="n">
        <v>0</v>
      </c>
      <c r="AF5652" t="n">
        <v>0</v>
      </c>
      <c r="AG5652" t="n">
        <v>0</v>
      </c>
      <c r="AH5652" t="n">
        <v>0</v>
      </c>
    </row>
    <row r="5653">
      <c r="A5653" t="inlineStr">
        <is>
          <t>12월</t>
        </is>
      </c>
      <c r="B5653" t="inlineStr">
        <is>
          <t>52주차</t>
        </is>
      </c>
      <c r="C5653" t="e">
        <v>#N/A</v>
      </c>
      <c r="K5653" t="n">
        <v>0</v>
      </c>
      <c r="L5653" t="n">
        <v>0</v>
      </c>
      <c r="M5653" t="n">
        <v>0</v>
      </c>
      <c r="AC5653" t="n">
        <v>0</v>
      </c>
      <c r="AD5653" t="n">
        <v>0</v>
      </c>
      <c r="AE5653" t="n">
        <v>0</v>
      </c>
      <c r="AF5653" t="n">
        <v>0</v>
      </c>
      <c r="AG5653" t="n">
        <v>0</v>
      </c>
      <c r="AH5653" t="n">
        <v>0</v>
      </c>
      <c r="AI5653" t="n">
        <v>0</v>
      </c>
    </row>
    <row r="5654">
      <c r="A5654" t="inlineStr">
        <is>
          <t>12월</t>
        </is>
      </c>
      <c r="B5654" t="inlineStr">
        <is>
          <t>52주차</t>
        </is>
      </c>
      <c r="C5654" t="e">
        <v>#N/A</v>
      </c>
      <c r="K5654" t="n">
        <v>0</v>
      </c>
      <c r="L5654" t="n">
        <v>0</v>
      </c>
      <c r="M5654" t="n">
        <v>0</v>
      </c>
      <c r="AC5654" t="n">
        <v>0</v>
      </c>
      <c r="AD5654" t="n">
        <v>0</v>
      </c>
      <c r="AE5654" t="n">
        <v>0</v>
      </c>
      <c r="AF5654" t="n">
        <v>0</v>
      </c>
      <c r="AG5654" t="n">
        <v>0</v>
      </c>
      <c r="AH5654" t="n">
        <v>0</v>
      </c>
      <c r="AI5654" t="n">
        <v>0</v>
      </c>
    </row>
    <row r="5655">
      <c r="A5655" t="inlineStr">
        <is>
          <t>12월</t>
        </is>
      </c>
      <c r="B5655" t="inlineStr">
        <is>
          <t>52주차</t>
        </is>
      </c>
      <c r="C5655" t="e">
        <v>#N/A</v>
      </c>
      <c r="K5655" t="n">
        <v>0</v>
      </c>
      <c r="L5655" t="n">
        <v>0</v>
      </c>
      <c r="M5655" t="n">
        <v>0</v>
      </c>
      <c r="AC5655" t="n">
        <v>0</v>
      </c>
      <c r="AD5655" t="n">
        <v>0</v>
      </c>
      <c r="AE5655" t="n">
        <v>0</v>
      </c>
      <c r="AF5655" t="n">
        <v>0</v>
      </c>
      <c r="AG5655" t="n">
        <v>0</v>
      </c>
      <c r="AH5655" t="n">
        <v>0</v>
      </c>
      <c r="AI5655" t="n">
        <v>0</v>
      </c>
    </row>
    <row r="5656">
      <c r="A5656" t="inlineStr">
        <is>
          <t>12월</t>
        </is>
      </c>
      <c r="B5656" t="inlineStr">
        <is>
          <t>52주차</t>
        </is>
      </c>
      <c r="C5656" t="e">
        <v>#N/A</v>
      </c>
      <c r="K5656" t="n">
        <v>0</v>
      </c>
      <c r="L5656" t="n">
        <v>0</v>
      </c>
      <c r="M5656" t="n">
        <v>0</v>
      </c>
      <c r="AC5656" t="n">
        <v>0</v>
      </c>
      <c r="AD5656" t="n">
        <v>0</v>
      </c>
      <c r="AE5656" t="n">
        <v>0</v>
      </c>
      <c r="AF5656" t="n">
        <v>0</v>
      </c>
      <c r="AG5656" t="n">
        <v>0</v>
      </c>
      <c r="AH5656" t="n">
        <v>0</v>
      </c>
      <c r="AI5656" t="n">
        <v>0</v>
      </c>
    </row>
    <row r="5657">
      <c r="A5657" t="inlineStr">
        <is>
          <t>12월</t>
        </is>
      </c>
      <c r="B5657" t="inlineStr">
        <is>
          <t>52주차</t>
        </is>
      </c>
      <c r="C5657" t="e">
        <v>#N/A</v>
      </c>
      <c r="K5657" t="n">
        <v>0</v>
      </c>
      <c r="L5657" t="n">
        <v>0</v>
      </c>
      <c r="M5657" t="n">
        <v>0</v>
      </c>
      <c r="AC5657" t="n">
        <v>0</v>
      </c>
      <c r="AD5657" t="n">
        <v>0</v>
      </c>
      <c r="AE5657" t="n">
        <v>0</v>
      </c>
      <c r="AF5657" t="n">
        <v>0</v>
      </c>
      <c r="AG5657" t="n">
        <v>0</v>
      </c>
      <c r="AH5657" t="n">
        <v>0</v>
      </c>
      <c r="AI5657" t="n">
        <v>0</v>
      </c>
    </row>
    <row r="5658">
      <c r="A5658" t="inlineStr">
        <is>
          <t>12월</t>
        </is>
      </c>
      <c r="B5658" t="inlineStr">
        <is>
          <t>52주차</t>
        </is>
      </c>
      <c r="C5658" t="e">
        <v>#N/A</v>
      </c>
      <c r="K5658" t="n">
        <v>0</v>
      </c>
      <c r="L5658" t="n">
        <v>0</v>
      </c>
      <c r="M5658" t="n">
        <v>0</v>
      </c>
      <c r="AC5658" t="n">
        <v>0</v>
      </c>
      <c r="AD5658" t="n">
        <v>0</v>
      </c>
      <c r="AE5658" t="n">
        <v>0</v>
      </c>
      <c r="AF5658" t="n">
        <v>0</v>
      </c>
      <c r="AG5658" t="n">
        <v>0</v>
      </c>
      <c r="AH5658" t="n">
        <v>0</v>
      </c>
      <c r="AI5658" t="n">
        <v>0</v>
      </c>
    </row>
    <row r="5659">
      <c r="A5659" t="inlineStr">
        <is>
          <t>12월</t>
        </is>
      </c>
      <c r="B5659" t="inlineStr">
        <is>
          <t>52주차</t>
        </is>
      </c>
      <c r="C5659" t="e">
        <v>#N/A</v>
      </c>
      <c r="K5659" t="n">
        <v>0</v>
      </c>
      <c r="L5659" t="n">
        <v>0</v>
      </c>
      <c r="M5659" t="n">
        <v>0</v>
      </c>
      <c r="AC5659" t="n">
        <v>0</v>
      </c>
      <c r="AD5659" t="n">
        <v>0</v>
      </c>
      <c r="AE5659" t="n">
        <v>0</v>
      </c>
      <c r="AF5659" t="n">
        <v>0</v>
      </c>
      <c r="AG5659" t="n">
        <v>0</v>
      </c>
      <c r="AH5659" t="n">
        <v>0</v>
      </c>
      <c r="AI5659" t="n">
        <v>0</v>
      </c>
    </row>
    <row r="5660">
      <c r="A5660" t="inlineStr">
        <is>
          <t>12월</t>
        </is>
      </c>
      <c r="B5660" t="inlineStr">
        <is>
          <t>52주차</t>
        </is>
      </c>
      <c r="C5660" t="e">
        <v>#N/A</v>
      </c>
      <c r="K5660" t="n">
        <v>0</v>
      </c>
      <c r="L5660" t="n">
        <v>0</v>
      </c>
      <c r="M5660" t="n">
        <v>0</v>
      </c>
      <c r="AC5660" t="n">
        <v>0</v>
      </c>
      <c r="AD5660" t="n">
        <v>0</v>
      </c>
      <c r="AE5660" t="n">
        <v>0</v>
      </c>
      <c r="AF5660" t="n">
        <v>0</v>
      </c>
      <c r="AG5660" t="n">
        <v>0</v>
      </c>
      <c r="AH5660" t="n">
        <v>0</v>
      </c>
      <c r="AI5660" t="n">
        <v>0</v>
      </c>
    </row>
    <row r="5661">
      <c r="A5661" t="inlineStr">
        <is>
          <t>12월</t>
        </is>
      </c>
      <c r="B5661" t="inlineStr">
        <is>
          <t>52주차</t>
        </is>
      </c>
      <c r="C5661" t="e">
        <v>#N/A</v>
      </c>
      <c r="K5661" t="n">
        <v>0</v>
      </c>
      <c r="L5661" t="n">
        <v>0</v>
      </c>
      <c r="M5661" t="n">
        <v>0</v>
      </c>
      <c r="AC5661" t="n">
        <v>0</v>
      </c>
      <c r="AD5661" t="n">
        <v>0</v>
      </c>
      <c r="AE5661" t="n">
        <v>0</v>
      </c>
      <c r="AF5661" t="n">
        <v>0</v>
      </c>
      <c r="AG5661" t="n">
        <v>0</v>
      </c>
      <c r="AH5661" t="n">
        <v>0</v>
      </c>
      <c r="AI5661" t="n">
        <v>0</v>
      </c>
    </row>
    <row r="5662">
      <c r="A5662" t="inlineStr">
        <is>
          <t>12월</t>
        </is>
      </c>
      <c r="B5662" t="inlineStr">
        <is>
          <t>52주차</t>
        </is>
      </c>
      <c r="C5662" t="e">
        <v>#N/A</v>
      </c>
      <c r="K5662" t="n">
        <v>0</v>
      </c>
      <c r="L5662" t="n">
        <v>0</v>
      </c>
      <c r="M5662" t="n">
        <v>0</v>
      </c>
      <c r="AC5662" t="n">
        <v>0</v>
      </c>
      <c r="AD5662" t="n">
        <v>0</v>
      </c>
      <c r="AE5662" t="n">
        <v>0</v>
      </c>
      <c r="AF5662" t="n">
        <v>0</v>
      </c>
      <c r="AG5662" t="n">
        <v>0</v>
      </c>
      <c r="AH5662" t="n">
        <v>0</v>
      </c>
      <c r="AI5662" t="n">
        <v>0</v>
      </c>
    </row>
    <row r="5663">
      <c r="A5663" t="inlineStr">
        <is>
          <t>12월</t>
        </is>
      </c>
      <c r="B5663" t="inlineStr">
        <is>
          <t>52주차</t>
        </is>
      </c>
      <c r="C5663" t="e">
        <v>#N/A</v>
      </c>
      <c r="K5663" t="n">
        <v>0</v>
      </c>
      <c r="L5663" t="n">
        <v>0</v>
      </c>
      <c r="M5663" t="n">
        <v>0</v>
      </c>
      <c r="AC5663" t="n">
        <v>0</v>
      </c>
      <c r="AD5663" t="n">
        <v>0</v>
      </c>
      <c r="AE5663" t="n">
        <v>0</v>
      </c>
      <c r="AF5663" t="n">
        <v>0</v>
      </c>
      <c r="AG5663" t="n">
        <v>0</v>
      </c>
      <c r="AH5663" t="n">
        <v>0</v>
      </c>
      <c r="AI5663" t="n">
        <v>0</v>
      </c>
    </row>
    <row r="5664">
      <c r="A5664" t="inlineStr">
        <is>
          <t>12월</t>
        </is>
      </c>
      <c r="B5664" t="inlineStr">
        <is>
          <t>52주차</t>
        </is>
      </c>
      <c r="C5664" t="e">
        <v>#N/A</v>
      </c>
      <c r="K5664" t="n">
        <v>0</v>
      </c>
      <c r="L5664" t="n">
        <v>0</v>
      </c>
      <c r="M5664" t="n">
        <v>0</v>
      </c>
      <c r="AC5664" t="n">
        <v>0</v>
      </c>
      <c r="AD5664" t="n">
        <v>0</v>
      </c>
      <c r="AE5664" t="n">
        <v>0</v>
      </c>
      <c r="AF5664" t="n">
        <v>0</v>
      </c>
      <c r="AG5664" t="n">
        <v>0</v>
      </c>
      <c r="AH5664" t="n">
        <v>0</v>
      </c>
      <c r="AI5664" t="n">
        <v>0</v>
      </c>
    </row>
    <row r="5665">
      <c r="A5665" t="inlineStr">
        <is>
          <t>12월</t>
        </is>
      </c>
      <c r="B5665" t="inlineStr">
        <is>
          <t>52주차</t>
        </is>
      </c>
      <c r="C5665" t="e">
        <v>#N/A</v>
      </c>
      <c r="K5665" t="n">
        <v>0</v>
      </c>
      <c r="L5665" t="n">
        <v>0</v>
      </c>
      <c r="M5665" t="n">
        <v>0</v>
      </c>
      <c r="AC5665" t="n">
        <v>0</v>
      </c>
      <c r="AD5665" t="n">
        <v>0</v>
      </c>
      <c r="AE5665" t="n">
        <v>0</v>
      </c>
      <c r="AF5665" t="n">
        <v>0</v>
      </c>
      <c r="AG5665" t="n">
        <v>0</v>
      </c>
      <c r="AH5665" t="n">
        <v>0</v>
      </c>
      <c r="AI5665" t="n">
        <v>0</v>
      </c>
    </row>
    <row r="5666">
      <c r="A5666" t="inlineStr">
        <is>
          <t>12월</t>
        </is>
      </c>
      <c r="B5666" t="inlineStr">
        <is>
          <t>52주차</t>
        </is>
      </c>
      <c r="C5666" t="e">
        <v>#N/A</v>
      </c>
      <c r="K5666" t="n">
        <v>0</v>
      </c>
      <c r="L5666" t="n">
        <v>0</v>
      </c>
      <c r="M5666" t="n">
        <v>0</v>
      </c>
      <c r="AC5666" t="n">
        <v>0</v>
      </c>
      <c r="AD5666" t="n">
        <v>0</v>
      </c>
      <c r="AE5666" t="n">
        <v>0</v>
      </c>
      <c r="AF5666" t="n">
        <v>0</v>
      </c>
      <c r="AG5666" t="n">
        <v>0</v>
      </c>
      <c r="AH5666" t="n">
        <v>0</v>
      </c>
      <c r="AI5666" t="n">
        <v>0</v>
      </c>
    </row>
    <row r="5667">
      <c r="A5667" t="inlineStr">
        <is>
          <t>12월</t>
        </is>
      </c>
      <c r="B5667" t="inlineStr">
        <is>
          <t>52주차</t>
        </is>
      </c>
      <c r="C5667" t="e">
        <v>#N/A</v>
      </c>
      <c r="K5667" t="n">
        <v>0</v>
      </c>
      <c r="L5667" t="n">
        <v>0</v>
      </c>
      <c r="M5667" t="n">
        <v>0</v>
      </c>
      <c r="AC5667" t="n">
        <v>0</v>
      </c>
      <c r="AD5667" t="n">
        <v>0</v>
      </c>
      <c r="AE5667" t="n">
        <v>0</v>
      </c>
      <c r="AF5667" t="n">
        <v>0</v>
      </c>
      <c r="AG5667" t="n">
        <v>0</v>
      </c>
      <c r="AH5667" t="n">
        <v>0</v>
      </c>
      <c r="AI5667" t="n">
        <v>0</v>
      </c>
    </row>
    <row r="5668">
      <c r="A5668" t="inlineStr">
        <is>
          <t>12월</t>
        </is>
      </c>
      <c r="B5668" t="inlineStr">
        <is>
          <t>52주차</t>
        </is>
      </c>
      <c r="C5668" t="e">
        <v>#N/A</v>
      </c>
      <c r="K5668" t="n">
        <v>0</v>
      </c>
      <c r="L5668" t="n">
        <v>0</v>
      </c>
      <c r="M5668" t="n">
        <v>0</v>
      </c>
      <c r="AC5668" t="n">
        <v>0</v>
      </c>
      <c r="AD5668" t="n">
        <v>0</v>
      </c>
      <c r="AE5668" t="n">
        <v>0</v>
      </c>
      <c r="AF5668" t="n">
        <v>0</v>
      </c>
      <c r="AG5668" t="n">
        <v>0</v>
      </c>
      <c r="AH5668" t="n">
        <v>0</v>
      </c>
    </row>
    <row r="5669">
      <c r="A5669" t="inlineStr">
        <is>
          <t>12월</t>
        </is>
      </c>
      <c r="B5669" t="inlineStr">
        <is>
          <t>52주차</t>
        </is>
      </c>
      <c r="C5669" t="e">
        <v>#N/A</v>
      </c>
      <c r="K5669" t="n">
        <v>0</v>
      </c>
      <c r="L5669" t="n">
        <v>0</v>
      </c>
      <c r="M5669" t="n">
        <v>0</v>
      </c>
      <c r="AC5669" t="n">
        <v>0</v>
      </c>
      <c r="AD5669" t="n">
        <v>0</v>
      </c>
      <c r="AE5669" t="n">
        <v>0</v>
      </c>
      <c r="AF5669" t="n">
        <v>0</v>
      </c>
      <c r="AG5669" t="n">
        <v>0</v>
      </c>
      <c r="AH5669" t="n">
        <v>0</v>
      </c>
      <c r="AI5669" t="n">
        <v>0</v>
      </c>
    </row>
    <row r="5670">
      <c r="A5670" t="inlineStr">
        <is>
          <t>12월</t>
        </is>
      </c>
      <c r="B5670" t="inlineStr">
        <is>
          <t>52주차</t>
        </is>
      </c>
      <c r="C5670" t="e">
        <v>#N/A</v>
      </c>
      <c r="K5670" t="n">
        <v>0</v>
      </c>
      <c r="L5670" t="n">
        <v>0</v>
      </c>
      <c r="M5670" t="n">
        <v>0</v>
      </c>
      <c r="AC5670" t="n">
        <v>0</v>
      </c>
      <c r="AD5670" t="n">
        <v>0</v>
      </c>
      <c r="AE5670" t="n">
        <v>0</v>
      </c>
      <c r="AF5670" t="n">
        <v>0</v>
      </c>
      <c r="AG5670" t="n">
        <v>0</v>
      </c>
      <c r="AH5670" t="n">
        <v>0</v>
      </c>
      <c r="AI5670" t="n">
        <v>0</v>
      </c>
    </row>
    <row r="5671">
      <c r="A5671" t="inlineStr">
        <is>
          <t>12월</t>
        </is>
      </c>
      <c r="B5671" t="inlineStr">
        <is>
          <t>52주차</t>
        </is>
      </c>
      <c r="C5671" t="e">
        <v>#N/A</v>
      </c>
      <c r="K5671" t="n">
        <v>0</v>
      </c>
      <c r="L5671" t="n">
        <v>0</v>
      </c>
      <c r="M5671" t="n">
        <v>0</v>
      </c>
      <c r="AC5671" t="n">
        <v>0</v>
      </c>
      <c r="AD5671" t="n">
        <v>0</v>
      </c>
      <c r="AE5671" t="n">
        <v>0</v>
      </c>
      <c r="AF5671" t="n">
        <v>0</v>
      </c>
      <c r="AG5671" t="n">
        <v>0</v>
      </c>
      <c r="AH5671" t="n">
        <v>0</v>
      </c>
    </row>
    <row r="5672">
      <c r="A5672" t="inlineStr">
        <is>
          <t>12월</t>
        </is>
      </c>
      <c r="B5672" t="inlineStr">
        <is>
          <t>52주차</t>
        </is>
      </c>
      <c r="C5672" t="e">
        <v>#N/A</v>
      </c>
      <c r="K5672" t="n">
        <v>0</v>
      </c>
      <c r="L5672" t="n">
        <v>0</v>
      </c>
      <c r="M5672" t="n">
        <v>0</v>
      </c>
      <c r="AC5672" t="n">
        <v>0</v>
      </c>
      <c r="AD5672" t="n">
        <v>0</v>
      </c>
      <c r="AE5672" t="n">
        <v>0</v>
      </c>
      <c r="AF5672" t="n">
        <v>0</v>
      </c>
      <c r="AG5672" t="n">
        <v>0</v>
      </c>
      <c r="AH5672" t="n">
        <v>0</v>
      </c>
      <c r="AI5672" t="n">
        <v>0</v>
      </c>
    </row>
    <row r="5673">
      <c r="A5673" t="inlineStr">
        <is>
          <t>12월</t>
        </is>
      </c>
      <c r="B5673" t="inlineStr">
        <is>
          <t>52주차</t>
        </is>
      </c>
      <c r="C5673" t="e">
        <v>#N/A</v>
      </c>
      <c r="K5673" t="n">
        <v>0</v>
      </c>
      <c r="L5673" t="n">
        <v>0</v>
      </c>
      <c r="M5673" t="n">
        <v>0</v>
      </c>
      <c r="AC5673" t="n">
        <v>0</v>
      </c>
      <c r="AD5673" t="n">
        <v>0</v>
      </c>
      <c r="AE5673" t="n">
        <v>0</v>
      </c>
      <c r="AF5673" t="n">
        <v>0</v>
      </c>
      <c r="AG5673" t="n">
        <v>0</v>
      </c>
      <c r="AH5673" t="n">
        <v>0</v>
      </c>
    </row>
    <row r="5674">
      <c r="A5674" t="inlineStr">
        <is>
          <t>12월</t>
        </is>
      </c>
      <c r="B5674" t="inlineStr">
        <is>
          <t>52주차</t>
        </is>
      </c>
      <c r="C5674" t="e">
        <v>#N/A</v>
      </c>
      <c r="K5674" t="n">
        <v>0</v>
      </c>
      <c r="L5674" t="n">
        <v>0</v>
      </c>
      <c r="M5674" t="n">
        <v>0</v>
      </c>
      <c r="AC5674" t="n">
        <v>0</v>
      </c>
      <c r="AD5674" t="n">
        <v>0</v>
      </c>
      <c r="AE5674" t="n">
        <v>0</v>
      </c>
      <c r="AF5674" t="n">
        <v>0</v>
      </c>
      <c r="AG5674" t="n">
        <v>0</v>
      </c>
      <c r="AH5674" t="n">
        <v>0</v>
      </c>
      <c r="AI5674" t="n">
        <v>0</v>
      </c>
    </row>
    <row r="5675">
      <c r="A5675" t="inlineStr">
        <is>
          <t>12월</t>
        </is>
      </c>
      <c r="B5675" t="inlineStr">
        <is>
          <t>52주차</t>
        </is>
      </c>
      <c r="C5675" t="e">
        <v>#N/A</v>
      </c>
      <c r="K5675" t="n">
        <v>0</v>
      </c>
      <c r="L5675" t="n">
        <v>0</v>
      </c>
      <c r="M5675" t="n">
        <v>0</v>
      </c>
      <c r="AC5675" t="n">
        <v>0</v>
      </c>
      <c r="AD5675" t="n">
        <v>0</v>
      </c>
      <c r="AE5675" t="n">
        <v>0</v>
      </c>
      <c r="AF5675" t="n">
        <v>0</v>
      </c>
      <c r="AG5675" t="n">
        <v>0</v>
      </c>
      <c r="AH5675" t="n">
        <v>0</v>
      </c>
      <c r="AI5675" t="n">
        <v>0</v>
      </c>
    </row>
    <row r="5676">
      <c r="A5676" t="inlineStr">
        <is>
          <t>12월</t>
        </is>
      </c>
      <c r="B5676" t="inlineStr">
        <is>
          <t>52주차</t>
        </is>
      </c>
      <c r="C5676" t="e">
        <v>#N/A</v>
      </c>
      <c r="K5676" t="n">
        <v>0</v>
      </c>
      <c r="L5676" t="n">
        <v>0</v>
      </c>
      <c r="M5676" t="n">
        <v>0</v>
      </c>
      <c r="AC5676" t="n">
        <v>0</v>
      </c>
      <c r="AD5676" t="n">
        <v>0</v>
      </c>
      <c r="AE5676" t="n">
        <v>0</v>
      </c>
      <c r="AF5676" t="n">
        <v>0</v>
      </c>
      <c r="AG5676" t="n">
        <v>0</v>
      </c>
      <c r="AH5676" t="n">
        <v>0</v>
      </c>
      <c r="AI5676" t="n">
        <v>0</v>
      </c>
    </row>
    <row r="5677">
      <c r="A5677" t="inlineStr">
        <is>
          <t>12월</t>
        </is>
      </c>
      <c r="B5677" t="inlineStr">
        <is>
          <t>52주차</t>
        </is>
      </c>
      <c r="C5677" t="e">
        <v>#N/A</v>
      </c>
      <c r="K5677" t="n">
        <v>0</v>
      </c>
      <c r="L5677" t="n">
        <v>0</v>
      </c>
      <c r="M5677" t="n">
        <v>0</v>
      </c>
      <c r="AC5677" t="n">
        <v>0</v>
      </c>
      <c r="AD5677" t="n">
        <v>0</v>
      </c>
      <c r="AE5677" t="n">
        <v>0</v>
      </c>
      <c r="AF5677" t="n">
        <v>0</v>
      </c>
      <c r="AG5677" t="n">
        <v>0</v>
      </c>
      <c r="AH5677" t="n">
        <v>0</v>
      </c>
      <c r="AI5677" t="n">
        <v>0</v>
      </c>
    </row>
    <row r="5678">
      <c r="A5678" t="inlineStr">
        <is>
          <t>12월</t>
        </is>
      </c>
      <c r="B5678" t="inlineStr">
        <is>
          <t>52주차</t>
        </is>
      </c>
      <c r="C5678" t="e">
        <v>#N/A</v>
      </c>
      <c r="K5678" t="n">
        <v>0</v>
      </c>
      <c r="L5678" t="n">
        <v>0</v>
      </c>
      <c r="M5678" t="n">
        <v>0</v>
      </c>
      <c r="AC5678" t="n">
        <v>0</v>
      </c>
      <c r="AD5678" t="n">
        <v>0</v>
      </c>
      <c r="AE5678" t="n">
        <v>0</v>
      </c>
      <c r="AF5678" t="n">
        <v>0</v>
      </c>
      <c r="AG5678" t="n">
        <v>0</v>
      </c>
      <c r="AH5678" t="n">
        <v>0</v>
      </c>
    </row>
    <row r="5679">
      <c r="A5679" t="inlineStr">
        <is>
          <t>12월</t>
        </is>
      </c>
      <c r="B5679" t="inlineStr">
        <is>
          <t>52주차</t>
        </is>
      </c>
      <c r="C5679" t="e">
        <v>#N/A</v>
      </c>
      <c r="K5679" t="n">
        <v>0</v>
      </c>
      <c r="L5679" t="n">
        <v>0</v>
      </c>
      <c r="M5679" t="n">
        <v>0</v>
      </c>
      <c r="AC5679" t="n">
        <v>0</v>
      </c>
      <c r="AD5679" t="n">
        <v>0</v>
      </c>
      <c r="AE5679" t="n">
        <v>0</v>
      </c>
      <c r="AF5679" t="n">
        <v>0</v>
      </c>
      <c r="AG5679" t="n">
        <v>0</v>
      </c>
      <c r="AH5679" t="n">
        <v>0</v>
      </c>
      <c r="AI5679" t="n">
        <v>0</v>
      </c>
    </row>
    <row r="5680">
      <c r="A5680" t="inlineStr">
        <is>
          <t>12월</t>
        </is>
      </c>
      <c r="B5680" t="inlineStr">
        <is>
          <t>52주차</t>
        </is>
      </c>
      <c r="C5680" t="e">
        <v>#N/A</v>
      </c>
      <c r="K5680" t="n">
        <v>0</v>
      </c>
      <c r="L5680" t="n">
        <v>0</v>
      </c>
      <c r="M5680" t="n">
        <v>0</v>
      </c>
      <c r="AC5680" t="n">
        <v>0</v>
      </c>
      <c r="AD5680" t="n">
        <v>0</v>
      </c>
      <c r="AE5680" t="n">
        <v>0</v>
      </c>
      <c r="AF5680" t="n">
        <v>0</v>
      </c>
      <c r="AG5680" t="n">
        <v>0</v>
      </c>
      <c r="AH5680" t="n">
        <v>0</v>
      </c>
    </row>
    <row r="5681">
      <c r="A5681" t="inlineStr">
        <is>
          <t>12월</t>
        </is>
      </c>
      <c r="B5681" t="inlineStr">
        <is>
          <t>52주차</t>
        </is>
      </c>
      <c r="C5681" t="e">
        <v>#N/A</v>
      </c>
      <c r="K5681" t="n">
        <v>0</v>
      </c>
      <c r="L5681" t="n">
        <v>0</v>
      </c>
      <c r="M5681" t="n">
        <v>0</v>
      </c>
      <c r="AC5681" t="n">
        <v>0</v>
      </c>
      <c r="AD5681" t="n">
        <v>0</v>
      </c>
      <c r="AE5681" t="n">
        <v>0</v>
      </c>
      <c r="AF5681" t="n">
        <v>0</v>
      </c>
      <c r="AG5681" t="n">
        <v>0</v>
      </c>
      <c r="AH5681" t="n">
        <v>0</v>
      </c>
    </row>
    <row r="5682">
      <c r="A5682" t="inlineStr">
        <is>
          <t>12월</t>
        </is>
      </c>
      <c r="B5682" t="inlineStr">
        <is>
          <t>52주차</t>
        </is>
      </c>
      <c r="C5682" t="e">
        <v>#N/A</v>
      </c>
      <c r="K5682" t="n">
        <v>0</v>
      </c>
      <c r="L5682" t="n">
        <v>0</v>
      </c>
      <c r="M5682" t="n">
        <v>0</v>
      </c>
      <c r="AC5682" t="n">
        <v>0</v>
      </c>
      <c r="AD5682" t="n">
        <v>0</v>
      </c>
      <c r="AE5682" t="n">
        <v>0</v>
      </c>
      <c r="AF5682" t="n">
        <v>0</v>
      </c>
      <c r="AG5682" t="n">
        <v>0</v>
      </c>
      <c r="AH5682" t="n">
        <v>0</v>
      </c>
      <c r="AI5682" t="n">
        <v>0</v>
      </c>
    </row>
    <row r="5683">
      <c r="A5683" t="inlineStr">
        <is>
          <t>12월</t>
        </is>
      </c>
      <c r="B5683" t="inlineStr">
        <is>
          <t>52주차</t>
        </is>
      </c>
      <c r="C5683" t="e">
        <v>#N/A</v>
      </c>
      <c r="K5683" t="n">
        <v>0</v>
      </c>
      <c r="L5683" t="n">
        <v>0</v>
      </c>
      <c r="M5683" t="n">
        <v>0</v>
      </c>
      <c r="AC5683" t="n">
        <v>0</v>
      </c>
      <c r="AD5683" t="n">
        <v>0</v>
      </c>
      <c r="AE5683" t="n">
        <v>0</v>
      </c>
      <c r="AF5683" t="n">
        <v>0</v>
      </c>
      <c r="AG5683" t="n">
        <v>0</v>
      </c>
      <c r="AH5683" t="n">
        <v>0</v>
      </c>
      <c r="AI5683" t="n">
        <v>0</v>
      </c>
    </row>
    <row r="5684">
      <c r="A5684" t="inlineStr">
        <is>
          <t>12월</t>
        </is>
      </c>
      <c r="B5684" t="inlineStr">
        <is>
          <t>52주차</t>
        </is>
      </c>
      <c r="C5684" t="e">
        <v>#N/A</v>
      </c>
      <c r="K5684" t="n">
        <v>0</v>
      </c>
      <c r="L5684" t="n">
        <v>0</v>
      </c>
      <c r="M5684" t="n">
        <v>0</v>
      </c>
      <c r="AC5684" t="n">
        <v>0</v>
      </c>
      <c r="AD5684" t="n">
        <v>0</v>
      </c>
      <c r="AE5684" t="n">
        <v>0</v>
      </c>
      <c r="AF5684" t="n">
        <v>0</v>
      </c>
      <c r="AG5684" t="n">
        <v>0</v>
      </c>
      <c r="AH5684" t="n">
        <v>0</v>
      </c>
      <c r="AI5684" t="n">
        <v>0</v>
      </c>
    </row>
    <row r="5685">
      <c r="A5685" t="inlineStr">
        <is>
          <t>12월</t>
        </is>
      </c>
      <c r="B5685" t="inlineStr">
        <is>
          <t>52주차</t>
        </is>
      </c>
      <c r="C5685" t="e">
        <v>#N/A</v>
      </c>
      <c r="K5685" t="n">
        <v>0</v>
      </c>
      <c r="L5685" t="n">
        <v>0</v>
      </c>
      <c r="M5685" t="n">
        <v>0</v>
      </c>
      <c r="AC5685" t="n">
        <v>0</v>
      </c>
      <c r="AD5685" t="n">
        <v>0</v>
      </c>
      <c r="AE5685" t="n">
        <v>0</v>
      </c>
      <c r="AF5685" t="n">
        <v>0</v>
      </c>
      <c r="AG5685" t="n">
        <v>0</v>
      </c>
      <c r="AH5685" t="n">
        <v>0</v>
      </c>
      <c r="AI5685" t="n">
        <v>0</v>
      </c>
    </row>
    <row r="5686">
      <c r="A5686" t="inlineStr">
        <is>
          <t>12월</t>
        </is>
      </c>
      <c r="B5686" t="inlineStr">
        <is>
          <t>52주차</t>
        </is>
      </c>
      <c r="C5686" t="e">
        <v>#N/A</v>
      </c>
      <c r="K5686" t="n">
        <v>0</v>
      </c>
      <c r="L5686" t="n">
        <v>0</v>
      </c>
      <c r="M5686" t="n">
        <v>0</v>
      </c>
      <c r="AC5686" t="n">
        <v>0</v>
      </c>
      <c r="AD5686" t="n">
        <v>0</v>
      </c>
      <c r="AE5686" t="n">
        <v>0</v>
      </c>
      <c r="AF5686" t="n">
        <v>0</v>
      </c>
      <c r="AG5686" t="n">
        <v>0</v>
      </c>
      <c r="AH5686" t="n">
        <v>0</v>
      </c>
      <c r="AI5686" t="n">
        <v>0</v>
      </c>
    </row>
    <row r="5687">
      <c r="A5687" t="inlineStr">
        <is>
          <t>12월</t>
        </is>
      </c>
      <c r="B5687" t="inlineStr">
        <is>
          <t>52주차</t>
        </is>
      </c>
      <c r="C5687" t="e">
        <v>#N/A</v>
      </c>
      <c r="K5687" t="n">
        <v>0</v>
      </c>
      <c r="L5687" t="n">
        <v>0</v>
      </c>
      <c r="M5687" t="n">
        <v>0</v>
      </c>
      <c r="AC5687" t="n">
        <v>0</v>
      </c>
      <c r="AD5687" t="n">
        <v>0</v>
      </c>
      <c r="AE5687" t="n">
        <v>0</v>
      </c>
      <c r="AF5687" t="n">
        <v>0</v>
      </c>
      <c r="AG5687" t="n">
        <v>0</v>
      </c>
      <c r="AH5687" t="n">
        <v>0</v>
      </c>
    </row>
    <row r="5688">
      <c r="A5688" t="inlineStr">
        <is>
          <t>12월</t>
        </is>
      </c>
      <c r="B5688" t="inlineStr">
        <is>
          <t>52주차</t>
        </is>
      </c>
      <c r="C5688" t="e">
        <v>#N/A</v>
      </c>
      <c r="K5688" t="n">
        <v>0</v>
      </c>
      <c r="L5688" t="n">
        <v>0</v>
      </c>
      <c r="M5688" t="n">
        <v>0</v>
      </c>
      <c r="AC5688" t="n">
        <v>0</v>
      </c>
      <c r="AD5688" t="n">
        <v>0</v>
      </c>
      <c r="AE5688" t="n">
        <v>0</v>
      </c>
      <c r="AF5688" t="n">
        <v>0</v>
      </c>
      <c r="AG5688" t="n">
        <v>0</v>
      </c>
      <c r="AH5688" t="n">
        <v>0</v>
      </c>
    </row>
    <row r="5689">
      <c r="A5689" t="inlineStr">
        <is>
          <t>12월</t>
        </is>
      </c>
      <c r="B5689" t="inlineStr">
        <is>
          <t>52주차</t>
        </is>
      </c>
      <c r="C5689" t="e">
        <v>#N/A</v>
      </c>
      <c r="K5689" t="n">
        <v>0</v>
      </c>
      <c r="L5689" t="n">
        <v>0</v>
      </c>
      <c r="M5689" t="n">
        <v>0</v>
      </c>
      <c r="AC5689" t="n">
        <v>0</v>
      </c>
      <c r="AD5689" t="n">
        <v>0</v>
      </c>
      <c r="AE5689" t="n">
        <v>0</v>
      </c>
      <c r="AF5689" t="n">
        <v>0</v>
      </c>
      <c r="AG5689" t="n">
        <v>0</v>
      </c>
      <c r="AH5689" t="n">
        <v>0</v>
      </c>
    </row>
    <row r="5690">
      <c r="A5690" t="inlineStr">
        <is>
          <t>12월</t>
        </is>
      </c>
      <c r="B5690" t="inlineStr">
        <is>
          <t>52주차</t>
        </is>
      </c>
      <c r="C5690" t="e">
        <v>#N/A</v>
      </c>
      <c r="K5690" t="n">
        <v>0</v>
      </c>
      <c r="L5690" t="n">
        <v>0</v>
      </c>
      <c r="M5690" t="n">
        <v>0</v>
      </c>
      <c r="AC5690" t="n">
        <v>0</v>
      </c>
      <c r="AD5690" t="n">
        <v>0</v>
      </c>
      <c r="AE5690" t="n">
        <v>0</v>
      </c>
      <c r="AF5690" t="n">
        <v>0</v>
      </c>
      <c r="AG5690" t="n">
        <v>0</v>
      </c>
      <c r="AH5690" t="n">
        <v>0</v>
      </c>
      <c r="AI5690" t="n">
        <v>0</v>
      </c>
    </row>
    <row r="5691">
      <c r="A5691" t="inlineStr">
        <is>
          <t>12월</t>
        </is>
      </c>
      <c r="B5691" t="inlineStr">
        <is>
          <t>52주차</t>
        </is>
      </c>
      <c r="C5691" t="e">
        <v>#N/A</v>
      </c>
      <c r="K5691" t="n">
        <v>0</v>
      </c>
      <c r="L5691" t="n">
        <v>0</v>
      </c>
      <c r="M5691" t="n">
        <v>0</v>
      </c>
      <c r="AC5691" t="n">
        <v>0</v>
      </c>
      <c r="AD5691" t="n">
        <v>0</v>
      </c>
      <c r="AE5691" t="n">
        <v>0</v>
      </c>
      <c r="AF5691" t="n">
        <v>0</v>
      </c>
      <c r="AG5691" t="n">
        <v>0</v>
      </c>
      <c r="AH5691" t="n">
        <v>0</v>
      </c>
    </row>
    <row r="5692">
      <c r="A5692" t="inlineStr">
        <is>
          <t>12월</t>
        </is>
      </c>
      <c r="B5692" t="inlineStr">
        <is>
          <t>52주차</t>
        </is>
      </c>
      <c r="C5692" t="e">
        <v>#N/A</v>
      </c>
      <c r="K5692" t="n">
        <v>0</v>
      </c>
      <c r="L5692" t="n">
        <v>0</v>
      </c>
      <c r="M5692" t="n">
        <v>0</v>
      </c>
      <c r="AC5692" t="n">
        <v>0</v>
      </c>
      <c r="AD5692" t="n">
        <v>0</v>
      </c>
      <c r="AE5692" t="n">
        <v>0</v>
      </c>
      <c r="AF5692" t="n">
        <v>0</v>
      </c>
      <c r="AG5692" t="n">
        <v>0</v>
      </c>
      <c r="AH5692" t="n">
        <v>0</v>
      </c>
      <c r="AI5692" t="n">
        <v>0</v>
      </c>
    </row>
    <row r="5693">
      <c r="A5693" t="inlineStr">
        <is>
          <t>12월</t>
        </is>
      </c>
      <c r="B5693" t="inlineStr">
        <is>
          <t>52주차</t>
        </is>
      </c>
      <c r="C5693" t="e">
        <v>#N/A</v>
      </c>
      <c r="K5693" t="n">
        <v>0</v>
      </c>
      <c r="L5693" t="n">
        <v>0</v>
      </c>
      <c r="M5693" t="n">
        <v>0</v>
      </c>
      <c r="AC5693" t="n">
        <v>0</v>
      </c>
      <c r="AD5693" t="n">
        <v>0</v>
      </c>
      <c r="AE5693" t="n">
        <v>0</v>
      </c>
      <c r="AF5693" t="n">
        <v>0</v>
      </c>
      <c r="AG5693" t="n">
        <v>0</v>
      </c>
      <c r="AH5693" t="n">
        <v>0</v>
      </c>
      <c r="AI5693" t="n">
        <v>0</v>
      </c>
    </row>
    <row r="5694">
      <c r="A5694" t="inlineStr">
        <is>
          <t>12월</t>
        </is>
      </c>
      <c r="B5694" t="inlineStr">
        <is>
          <t>52주차</t>
        </is>
      </c>
      <c r="C5694" t="e">
        <v>#N/A</v>
      </c>
      <c r="K5694" t="n">
        <v>0</v>
      </c>
      <c r="L5694" t="n">
        <v>0</v>
      </c>
      <c r="M5694" t="n">
        <v>0</v>
      </c>
      <c r="AC5694" t="n">
        <v>0</v>
      </c>
      <c r="AD5694" t="n">
        <v>0</v>
      </c>
      <c r="AE5694" t="n">
        <v>0</v>
      </c>
      <c r="AF5694" t="n">
        <v>0</v>
      </c>
      <c r="AG5694" t="n">
        <v>0</v>
      </c>
      <c r="AH5694" t="n">
        <v>0</v>
      </c>
      <c r="AI5694" t="n">
        <v>0</v>
      </c>
    </row>
    <row r="5695">
      <c r="A5695" t="inlineStr">
        <is>
          <t>12월</t>
        </is>
      </c>
      <c r="B5695" t="inlineStr">
        <is>
          <t>52주차</t>
        </is>
      </c>
      <c r="C5695" t="e">
        <v>#N/A</v>
      </c>
      <c r="K5695" t="n">
        <v>0</v>
      </c>
      <c r="L5695" t="n">
        <v>0</v>
      </c>
      <c r="M5695" t="n">
        <v>0</v>
      </c>
      <c r="AC5695" t="n">
        <v>0</v>
      </c>
      <c r="AD5695" t="n">
        <v>0</v>
      </c>
      <c r="AE5695" t="n">
        <v>0</v>
      </c>
      <c r="AF5695" t="n">
        <v>0</v>
      </c>
      <c r="AG5695" t="n">
        <v>0</v>
      </c>
      <c r="AH5695" t="n">
        <v>0</v>
      </c>
    </row>
    <row r="5696">
      <c r="A5696" t="inlineStr">
        <is>
          <t>12월</t>
        </is>
      </c>
      <c r="B5696" t="inlineStr">
        <is>
          <t>52주차</t>
        </is>
      </c>
      <c r="C5696" t="e">
        <v>#N/A</v>
      </c>
      <c r="K5696" t="n">
        <v>0</v>
      </c>
      <c r="L5696" t="n">
        <v>0</v>
      </c>
      <c r="M5696" t="n">
        <v>0</v>
      </c>
      <c r="AC5696" t="n">
        <v>0</v>
      </c>
      <c r="AD5696" t="n">
        <v>0</v>
      </c>
      <c r="AE5696" t="n">
        <v>0</v>
      </c>
      <c r="AF5696" t="n">
        <v>0</v>
      </c>
      <c r="AG5696" t="n">
        <v>0</v>
      </c>
      <c r="AH5696" t="n">
        <v>0</v>
      </c>
      <c r="AI5696" t="n">
        <v>0</v>
      </c>
    </row>
    <row r="5697">
      <c r="A5697" t="inlineStr">
        <is>
          <t>12월</t>
        </is>
      </c>
      <c r="B5697" t="inlineStr">
        <is>
          <t>52주차</t>
        </is>
      </c>
      <c r="C5697" t="e">
        <v>#N/A</v>
      </c>
      <c r="K5697" t="n">
        <v>0</v>
      </c>
      <c r="L5697" t="n">
        <v>0</v>
      </c>
      <c r="M5697" t="n">
        <v>0</v>
      </c>
      <c r="AC5697" t="n">
        <v>0</v>
      </c>
      <c r="AD5697" t="n">
        <v>0</v>
      </c>
      <c r="AE5697" t="n">
        <v>0</v>
      </c>
      <c r="AF5697" t="n">
        <v>0</v>
      </c>
      <c r="AG5697" t="n">
        <v>0</v>
      </c>
      <c r="AH5697" t="n">
        <v>0</v>
      </c>
      <c r="AI5697" t="n">
        <v>0</v>
      </c>
    </row>
    <row r="5698">
      <c r="A5698" t="inlineStr">
        <is>
          <t>12월</t>
        </is>
      </c>
      <c r="B5698" t="inlineStr">
        <is>
          <t>52주차</t>
        </is>
      </c>
      <c r="C5698" t="e">
        <v>#N/A</v>
      </c>
      <c r="K5698" t="n">
        <v>0</v>
      </c>
      <c r="L5698" t="n">
        <v>0</v>
      </c>
      <c r="M5698" t="n">
        <v>0</v>
      </c>
      <c r="AC5698" t="n">
        <v>0</v>
      </c>
      <c r="AD5698" t="n">
        <v>0</v>
      </c>
      <c r="AE5698" t="n">
        <v>0</v>
      </c>
      <c r="AF5698" t="n">
        <v>0</v>
      </c>
      <c r="AG5698" t="n">
        <v>0</v>
      </c>
      <c r="AH5698" t="n">
        <v>0</v>
      </c>
    </row>
    <row r="5699">
      <c r="A5699" t="inlineStr">
        <is>
          <t>12월</t>
        </is>
      </c>
      <c r="B5699" t="inlineStr">
        <is>
          <t>52주차</t>
        </is>
      </c>
      <c r="C5699" t="e">
        <v>#N/A</v>
      </c>
      <c r="K5699" t="n">
        <v>0</v>
      </c>
      <c r="L5699" t="n">
        <v>0</v>
      </c>
      <c r="M5699" t="n">
        <v>0</v>
      </c>
      <c r="AC5699" t="n">
        <v>0</v>
      </c>
      <c r="AD5699" t="n">
        <v>0</v>
      </c>
      <c r="AE5699" t="n">
        <v>0</v>
      </c>
      <c r="AF5699" t="n">
        <v>0</v>
      </c>
      <c r="AG5699" t="n">
        <v>0</v>
      </c>
      <c r="AH5699" t="n">
        <v>0</v>
      </c>
    </row>
    <row r="5700">
      <c r="A5700" t="inlineStr">
        <is>
          <t>12월</t>
        </is>
      </c>
      <c r="B5700" t="inlineStr">
        <is>
          <t>52주차</t>
        </is>
      </c>
      <c r="C5700" t="e">
        <v>#N/A</v>
      </c>
      <c r="K5700" t="n">
        <v>0</v>
      </c>
      <c r="L5700" t="n">
        <v>0</v>
      </c>
      <c r="M5700" t="n">
        <v>0</v>
      </c>
      <c r="AC5700" t="n">
        <v>0</v>
      </c>
      <c r="AD5700" t="n">
        <v>0</v>
      </c>
      <c r="AE5700" t="n">
        <v>0</v>
      </c>
      <c r="AF5700" t="n">
        <v>0</v>
      </c>
      <c r="AG5700" t="n">
        <v>0</v>
      </c>
      <c r="AH5700" t="n">
        <v>0</v>
      </c>
      <c r="AI5700" t="n">
        <v>0</v>
      </c>
    </row>
    <row r="5701">
      <c r="A5701" t="inlineStr">
        <is>
          <t>12월</t>
        </is>
      </c>
      <c r="B5701" t="inlineStr">
        <is>
          <t>52주차</t>
        </is>
      </c>
      <c r="C5701" t="e">
        <v>#N/A</v>
      </c>
      <c r="K5701" t="n">
        <v>0</v>
      </c>
      <c r="L5701" t="n">
        <v>0</v>
      </c>
      <c r="M5701" t="n">
        <v>0</v>
      </c>
      <c r="AC5701" t="n">
        <v>0</v>
      </c>
      <c r="AD5701" t="n">
        <v>0</v>
      </c>
      <c r="AE5701" t="n">
        <v>0</v>
      </c>
      <c r="AF5701" t="n">
        <v>0</v>
      </c>
      <c r="AG5701" t="n">
        <v>0</v>
      </c>
      <c r="AH5701" t="n">
        <v>0</v>
      </c>
      <c r="AI5701" t="n">
        <v>0</v>
      </c>
    </row>
    <row r="5702">
      <c r="A5702" t="inlineStr">
        <is>
          <t>12월</t>
        </is>
      </c>
      <c r="B5702" t="inlineStr">
        <is>
          <t>52주차</t>
        </is>
      </c>
      <c r="C5702" t="e">
        <v>#N/A</v>
      </c>
      <c r="K5702" t="n">
        <v>0</v>
      </c>
      <c r="L5702" t="n">
        <v>0</v>
      </c>
      <c r="M5702" t="n">
        <v>0</v>
      </c>
      <c r="AC5702" t="n">
        <v>0</v>
      </c>
      <c r="AD5702" t="n">
        <v>0</v>
      </c>
      <c r="AE5702" t="n">
        <v>0</v>
      </c>
      <c r="AF5702" t="n">
        <v>0</v>
      </c>
      <c r="AG5702" t="n">
        <v>0</v>
      </c>
      <c r="AH5702" t="n">
        <v>0</v>
      </c>
      <c r="AI5702" t="n">
        <v>0</v>
      </c>
    </row>
    <row r="5703">
      <c r="A5703" t="inlineStr">
        <is>
          <t>12월</t>
        </is>
      </c>
      <c r="B5703" t="inlineStr">
        <is>
          <t>52주차</t>
        </is>
      </c>
      <c r="C5703" t="e">
        <v>#N/A</v>
      </c>
      <c r="K5703" t="n">
        <v>0</v>
      </c>
      <c r="L5703" t="n">
        <v>0</v>
      </c>
      <c r="M5703" t="n">
        <v>0</v>
      </c>
      <c r="AC5703" t="n">
        <v>0</v>
      </c>
      <c r="AD5703" t="n">
        <v>0</v>
      </c>
      <c r="AE5703" t="n">
        <v>0</v>
      </c>
      <c r="AF5703" t="n">
        <v>0</v>
      </c>
      <c r="AG5703" t="n">
        <v>0</v>
      </c>
      <c r="AH5703" t="n">
        <v>0</v>
      </c>
      <c r="AI5703" t="n">
        <v>0</v>
      </c>
    </row>
    <row r="5704">
      <c r="A5704" t="inlineStr">
        <is>
          <t>12월</t>
        </is>
      </c>
      <c r="B5704" t="inlineStr">
        <is>
          <t>52주차</t>
        </is>
      </c>
      <c r="C5704" t="e">
        <v>#N/A</v>
      </c>
      <c r="K5704" t="n">
        <v>0</v>
      </c>
      <c r="L5704" t="n">
        <v>0</v>
      </c>
      <c r="M5704" t="n">
        <v>0</v>
      </c>
      <c r="AC5704" t="n">
        <v>0</v>
      </c>
      <c r="AD5704" t="n">
        <v>0</v>
      </c>
      <c r="AE5704" t="n">
        <v>0</v>
      </c>
      <c r="AF5704" t="n">
        <v>0</v>
      </c>
      <c r="AG5704" t="n">
        <v>0</v>
      </c>
      <c r="AH5704" t="n">
        <v>0</v>
      </c>
      <c r="AI5704" t="n">
        <v>0</v>
      </c>
    </row>
    <row r="5705">
      <c r="A5705" t="inlineStr">
        <is>
          <t>12월</t>
        </is>
      </c>
      <c r="B5705" t="inlineStr">
        <is>
          <t>52주차</t>
        </is>
      </c>
      <c r="C5705" t="e">
        <v>#N/A</v>
      </c>
      <c r="K5705" t="n">
        <v>0</v>
      </c>
      <c r="L5705" t="n">
        <v>0</v>
      </c>
      <c r="M5705" t="n">
        <v>0</v>
      </c>
      <c r="AC5705" t="n">
        <v>0</v>
      </c>
      <c r="AD5705" t="n">
        <v>0</v>
      </c>
      <c r="AE5705" t="n">
        <v>0</v>
      </c>
      <c r="AF5705" t="n">
        <v>0</v>
      </c>
      <c r="AG5705" t="n">
        <v>0</v>
      </c>
      <c r="AH5705" t="n">
        <v>0</v>
      </c>
    </row>
    <row r="5706">
      <c r="A5706" t="inlineStr">
        <is>
          <t>12월</t>
        </is>
      </c>
      <c r="B5706" t="inlineStr">
        <is>
          <t>52주차</t>
        </is>
      </c>
      <c r="C5706" t="e">
        <v>#N/A</v>
      </c>
      <c r="K5706" t="n">
        <v>0</v>
      </c>
      <c r="L5706" t="n">
        <v>0</v>
      </c>
      <c r="M5706" t="n">
        <v>0</v>
      </c>
      <c r="AC5706" t="n">
        <v>0</v>
      </c>
      <c r="AD5706" t="n">
        <v>0</v>
      </c>
      <c r="AE5706" t="n">
        <v>0</v>
      </c>
      <c r="AF5706" t="n">
        <v>0</v>
      </c>
      <c r="AG5706" t="n">
        <v>0</v>
      </c>
      <c r="AH5706" t="n">
        <v>0</v>
      </c>
    </row>
    <row r="5707">
      <c r="A5707" t="inlineStr">
        <is>
          <t>12월</t>
        </is>
      </c>
      <c r="B5707" t="inlineStr">
        <is>
          <t>52주차</t>
        </is>
      </c>
      <c r="C5707" t="e">
        <v>#N/A</v>
      </c>
      <c r="K5707" t="n">
        <v>0</v>
      </c>
      <c r="L5707" t="n">
        <v>0</v>
      </c>
      <c r="M5707" t="n">
        <v>0</v>
      </c>
      <c r="AC5707" t="n">
        <v>0</v>
      </c>
      <c r="AD5707" t="n">
        <v>0</v>
      </c>
      <c r="AE5707" t="n">
        <v>0</v>
      </c>
      <c r="AF5707" t="n">
        <v>0</v>
      </c>
      <c r="AG5707" t="n">
        <v>0</v>
      </c>
      <c r="AH5707" t="n">
        <v>0</v>
      </c>
      <c r="AI5707" t="n">
        <v>0</v>
      </c>
    </row>
    <row r="5708">
      <c r="A5708" t="inlineStr">
        <is>
          <t>12월</t>
        </is>
      </c>
      <c r="B5708" t="inlineStr">
        <is>
          <t>52주차</t>
        </is>
      </c>
      <c r="C5708" t="e">
        <v>#N/A</v>
      </c>
      <c r="K5708" t="n">
        <v>0</v>
      </c>
      <c r="L5708" t="n">
        <v>0</v>
      </c>
      <c r="M5708" t="n">
        <v>0</v>
      </c>
      <c r="AC5708" t="n">
        <v>0</v>
      </c>
      <c r="AD5708" t="n">
        <v>0</v>
      </c>
      <c r="AE5708" t="n">
        <v>0</v>
      </c>
      <c r="AF5708" t="n">
        <v>0</v>
      </c>
      <c r="AG5708" t="n">
        <v>0</v>
      </c>
      <c r="AH5708" t="n">
        <v>0</v>
      </c>
      <c r="AI5708" t="n">
        <v>0</v>
      </c>
    </row>
    <row r="5709">
      <c r="A5709" t="inlineStr">
        <is>
          <t>12월</t>
        </is>
      </c>
      <c r="B5709" t="inlineStr">
        <is>
          <t>52주차</t>
        </is>
      </c>
      <c r="C5709" t="e">
        <v>#N/A</v>
      </c>
      <c r="K5709" t="n">
        <v>0</v>
      </c>
      <c r="L5709" t="n">
        <v>0</v>
      </c>
      <c r="M5709" t="n">
        <v>0</v>
      </c>
      <c r="AC5709" t="n">
        <v>0</v>
      </c>
      <c r="AD5709" t="n">
        <v>0</v>
      </c>
      <c r="AE5709" t="n">
        <v>0</v>
      </c>
      <c r="AF5709" t="n">
        <v>0</v>
      </c>
      <c r="AG5709" t="n">
        <v>0</v>
      </c>
      <c r="AH5709" t="n">
        <v>0</v>
      </c>
    </row>
    <row r="5710">
      <c r="A5710" t="inlineStr">
        <is>
          <t>12월</t>
        </is>
      </c>
      <c r="B5710" t="inlineStr">
        <is>
          <t>52주차</t>
        </is>
      </c>
      <c r="C5710" t="e">
        <v>#N/A</v>
      </c>
      <c r="K5710" t="n">
        <v>0</v>
      </c>
      <c r="L5710" t="n">
        <v>0</v>
      </c>
      <c r="M5710" t="n">
        <v>0</v>
      </c>
      <c r="AC5710" t="n">
        <v>0</v>
      </c>
      <c r="AD5710" t="n">
        <v>0</v>
      </c>
      <c r="AE5710" t="n">
        <v>0</v>
      </c>
      <c r="AF5710" t="n">
        <v>0</v>
      </c>
      <c r="AG5710" t="n">
        <v>0</v>
      </c>
      <c r="AH5710" t="n">
        <v>0</v>
      </c>
      <c r="AI5710" t="n">
        <v>0</v>
      </c>
    </row>
    <row r="5711">
      <c r="A5711" t="inlineStr">
        <is>
          <t>12월</t>
        </is>
      </c>
      <c r="B5711" t="inlineStr">
        <is>
          <t>52주차</t>
        </is>
      </c>
      <c r="C5711" t="e">
        <v>#N/A</v>
      </c>
      <c r="K5711" t="n">
        <v>0</v>
      </c>
      <c r="L5711" t="n">
        <v>0</v>
      </c>
      <c r="M5711" t="n">
        <v>0</v>
      </c>
      <c r="AC5711" t="n">
        <v>0</v>
      </c>
      <c r="AD5711" t="n">
        <v>0</v>
      </c>
      <c r="AE5711" t="n">
        <v>0</v>
      </c>
      <c r="AF5711" t="n">
        <v>0</v>
      </c>
      <c r="AG5711" t="n">
        <v>0</v>
      </c>
      <c r="AH5711" t="n">
        <v>0</v>
      </c>
    </row>
    <row r="5712">
      <c r="A5712" t="inlineStr">
        <is>
          <t>12월</t>
        </is>
      </c>
      <c r="B5712" t="inlineStr">
        <is>
          <t>52주차</t>
        </is>
      </c>
      <c r="C5712" t="e">
        <v>#N/A</v>
      </c>
      <c r="K5712" t="n">
        <v>0</v>
      </c>
      <c r="L5712" t="n">
        <v>0</v>
      </c>
      <c r="M5712" t="n">
        <v>0</v>
      </c>
      <c r="AC5712" t="n">
        <v>0</v>
      </c>
      <c r="AD5712" t="n">
        <v>0</v>
      </c>
      <c r="AE5712" t="n">
        <v>0</v>
      </c>
      <c r="AF5712" t="n">
        <v>0</v>
      </c>
      <c r="AG5712" t="n">
        <v>0</v>
      </c>
      <c r="AH5712" t="n">
        <v>0</v>
      </c>
      <c r="AI5712" t="n">
        <v>0</v>
      </c>
    </row>
    <row r="5713">
      <c r="A5713" t="inlineStr">
        <is>
          <t>12월</t>
        </is>
      </c>
      <c r="B5713" t="inlineStr">
        <is>
          <t>52주차</t>
        </is>
      </c>
      <c r="C5713" t="e">
        <v>#N/A</v>
      </c>
      <c r="K5713" t="n">
        <v>0</v>
      </c>
      <c r="L5713" t="n">
        <v>0</v>
      </c>
      <c r="M5713" t="n">
        <v>0</v>
      </c>
      <c r="AC5713" t="n">
        <v>0</v>
      </c>
      <c r="AD5713" t="n">
        <v>0</v>
      </c>
      <c r="AE5713" t="n">
        <v>0</v>
      </c>
      <c r="AF5713" t="n">
        <v>0</v>
      </c>
      <c r="AG5713" t="n">
        <v>0</v>
      </c>
      <c r="AH5713" t="n">
        <v>0</v>
      </c>
      <c r="AI5713" t="n">
        <v>0</v>
      </c>
    </row>
    <row r="5714">
      <c r="A5714" t="inlineStr">
        <is>
          <t>12월</t>
        </is>
      </c>
      <c r="B5714" t="inlineStr">
        <is>
          <t>52주차</t>
        </is>
      </c>
      <c r="C5714" t="e">
        <v>#N/A</v>
      </c>
      <c r="K5714" t="n">
        <v>0</v>
      </c>
      <c r="L5714" t="n">
        <v>0</v>
      </c>
      <c r="M5714" t="n">
        <v>0</v>
      </c>
      <c r="AC5714" t="n">
        <v>0</v>
      </c>
      <c r="AD5714" t="n">
        <v>0</v>
      </c>
      <c r="AE5714" t="n">
        <v>0</v>
      </c>
      <c r="AF5714" t="n">
        <v>0</v>
      </c>
      <c r="AG5714" t="n">
        <v>0</v>
      </c>
      <c r="AH5714" t="n">
        <v>0</v>
      </c>
      <c r="AI5714" t="n">
        <v>0</v>
      </c>
    </row>
    <row r="5715">
      <c r="A5715" t="inlineStr">
        <is>
          <t>12월</t>
        </is>
      </c>
      <c r="B5715" t="inlineStr">
        <is>
          <t>52주차</t>
        </is>
      </c>
      <c r="C5715" t="e">
        <v>#N/A</v>
      </c>
      <c r="K5715" t="n">
        <v>0</v>
      </c>
      <c r="L5715" t="n">
        <v>0</v>
      </c>
      <c r="M5715" t="n">
        <v>0</v>
      </c>
      <c r="AC5715" t="n">
        <v>0</v>
      </c>
      <c r="AD5715" t="n">
        <v>0</v>
      </c>
      <c r="AE5715" t="n">
        <v>0</v>
      </c>
      <c r="AF5715" t="n">
        <v>0</v>
      </c>
      <c r="AG5715" t="n">
        <v>0</v>
      </c>
      <c r="AH5715" t="n">
        <v>0</v>
      </c>
      <c r="AI5715" t="n">
        <v>0</v>
      </c>
    </row>
    <row r="5716">
      <c r="A5716" t="inlineStr">
        <is>
          <t>12월</t>
        </is>
      </c>
      <c r="B5716" t="inlineStr">
        <is>
          <t>52주차</t>
        </is>
      </c>
      <c r="C5716" t="e">
        <v>#N/A</v>
      </c>
      <c r="K5716" t="n">
        <v>0</v>
      </c>
      <c r="L5716" t="n">
        <v>0</v>
      </c>
      <c r="M5716" t="n">
        <v>0</v>
      </c>
      <c r="AC5716" t="n">
        <v>0</v>
      </c>
      <c r="AD5716" t="n">
        <v>0</v>
      </c>
      <c r="AE5716" t="n">
        <v>0</v>
      </c>
      <c r="AF5716" t="n">
        <v>0</v>
      </c>
      <c r="AG5716" t="n">
        <v>0</v>
      </c>
      <c r="AH5716" t="n">
        <v>0</v>
      </c>
    </row>
    <row r="5717">
      <c r="A5717" t="inlineStr">
        <is>
          <t>12월</t>
        </is>
      </c>
      <c r="B5717" t="inlineStr">
        <is>
          <t>52주차</t>
        </is>
      </c>
      <c r="C5717" t="e">
        <v>#N/A</v>
      </c>
      <c r="K5717" t="n">
        <v>0</v>
      </c>
      <c r="L5717" t="n">
        <v>0</v>
      </c>
      <c r="M5717" t="n">
        <v>0</v>
      </c>
      <c r="AC5717" t="n">
        <v>0</v>
      </c>
      <c r="AD5717" t="n">
        <v>0</v>
      </c>
      <c r="AE5717" t="n">
        <v>0</v>
      </c>
      <c r="AF5717" t="n">
        <v>0</v>
      </c>
      <c r="AG5717" t="n">
        <v>0</v>
      </c>
      <c r="AH5717" t="n">
        <v>0</v>
      </c>
    </row>
    <row r="5718">
      <c r="A5718" t="inlineStr">
        <is>
          <t>12월</t>
        </is>
      </c>
      <c r="B5718" t="inlineStr">
        <is>
          <t>52주차</t>
        </is>
      </c>
      <c r="C5718" t="e">
        <v>#N/A</v>
      </c>
      <c r="K5718" t="n">
        <v>0</v>
      </c>
      <c r="L5718" t="n">
        <v>0</v>
      </c>
      <c r="M5718" t="n">
        <v>0</v>
      </c>
      <c r="AC5718" t="n">
        <v>0</v>
      </c>
      <c r="AD5718" t="n">
        <v>0</v>
      </c>
      <c r="AE5718" t="n">
        <v>0</v>
      </c>
      <c r="AF5718" t="n">
        <v>0</v>
      </c>
      <c r="AG5718" t="n">
        <v>0</v>
      </c>
      <c r="AH5718" t="n">
        <v>0</v>
      </c>
      <c r="AI5718" t="n">
        <v>0</v>
      </c>
    </row>
    <row r="5719">
      <c r="A5719" t="inlineStr">
        <is>
          <t>12월</t>
        </is>
      </c>
      <c r="B5719" t="inlineStr">
        <is>
          <t>52주차</t>
        </is>
      </c>
      <c r="C5719" t="e">
        <v>#N/A</v>
      </c>
      <c r="K5719" t="n">
        <v>0</v>
      </c>
      <c r="L5719" t="n">
        <v>0</v>
      </c>
      <c r="M5719" t="n">
        <v>0</v>
      </c>
      <c r="AC5719" t="n">
        <v>0</v>
      </c>
      <c r="AD5719" t="n">
        <v>0</v>
      </c>
      <c r="AE5719" t="n">
        <v>0</v>
      </c>
      <c r="AF5719" t="n">
        <v>0</v>
      </c>
      <c r="AG5719" t="n">
        <v>0</v>
      </c>
      <c r="AH5719" t="n">
        <v>0</v>
      </c>
      <c r="AI5719" t="n">
        <v>0</v>
      </c>
    </row>
    <row r="5720">
      <c r="A5720" t="inlineStr">
        <is>
          <t>12월</t>
        </is>
      </c>
      <c r="B5720" t="inlineStr">
        <is>
          <t>52주차</t>
        </is>
      </c>
      <c r="C5720" t="e">
        <v>#N/A</v>
      </c>
      <c r="K5720" t="n">
        <v>0</v>
      </c>
      <c r="L5720" t="n">
        <v>0</v>
      </c>
      <c r="M5720" t="n">
        <v>0</v>
      </c>
      <c r="AC5720" t="n">
        <v>0</v>
      </c>
      <c r="AD5720" t="n">
        <v>0</v>
      </c>
      <c r="AE5720" t="n">
        <v>0</v>
      </c>
      <c r="AF5720" t="n">
        <v>0</v>
      </c>
      <c r="AG5720" t="n">
        <v>0</v>
      </c>
      <c r="AH5720" t="n">
        <v>0</v>
      </c>
      <c r="AI5720" t="n">
        <v>0</v>
      </c>
    </row>
    <row r="5721">
      <c r="A5721" t="inlineStr">
        <is>
          <t>12월</t>
        </is>
      </c>
      <c r="B5721" t="inlineStr">
        <is>
          <t>52주차</t>
        </is>
      </c>
      <c r="C5721" t="e">
        <v>#N/A</v>
      </c>
      <c r="K5721" t="n">
        <v>0</v>
      </c>
      <c r="L5721" t="n">
        <v>0</v>
      </c>
      <c r="M5721" t="n">
        <v>0</v>
      </c>
      <c r="AC5721" t="n">
        <v>0</v>
      </c>
      <c r="AD5721" t="n">
        <v>0</v>
      </c>
      <c r="AE5721" t="n">
        <v>0</v>
      </c>
      <c r="AF5721" t="n">
        <v>0</v>
      </c>
      <c r="AG5721" t="n">
        <v>0</v>
      </c>
      <c r="AH5721" t="n">
        <v>0</v>
      </c>
      <c r="AI5721" t="n">
        <v>0</v>
      </c>
    </row>
    <row r="5722">
      <c r="A5722" t="inlineStr">
        <is>
          <t>12월</t>
        </is>
      </c>
      <c r="B5722" t="inlineStr">
        <is>
          <t>52주차</t>
        </is>
      </c>
      <c r="C5722" t="e">
        <v>#N/A</v>
      </c>
      <c r="K5722" t="n">
        <v>0</v>
      </c>
      <c r="L5722" t="n">
        <v>0</v>
      </c>
      <c r="M5722" t="n">
        <v>0</v>
      </c>
      <c r="AC5722" t="n">
        <v>0</v>
      </c>
      <c r="AD5722" t="n">
        <v>0</v>
      </c>
      <c r="AE5722" t="n">
        <v>0</v>
      </c>
      <c r="AF5722" t="n">
        <v>0</v>
      </c>
      <c r="AG5722" t="n">
        <v>0</v>
      </c>
      <c r="AH5722" t="n">
        <v>0</v>
      </c>
      <c r="AI5722" t="n">
        <v>0</v>
      </c>
    </row>
    <row r="5723">
      <c r="A5723" t="inlineStr">
        <is>
          <t>12월</t>
        </is>
      </c>
      <c r="B5723" t="inlineStr">
        <is>
          <t>52주차</t>
        </is>
      </c>
      <c r="C5723" t="e">
        <v>#N/A</v>
      </c>
      <c r="K5723" t="n">
        <v>0</v>
      </c>
      <c r="L5723" t="n">
        <v>0</v>
      </c>
      <c r="M5723" t="n">
        <v>0</v>
      </c>
      <c r="AC5723" t="n">
        <v>0</v>
      </c>
      <c r="AD5723" t="n">
        <v>0</v>
      </c>
      <c r="AE5723" t="n">
        <v>0</v>
      </c>
      <c r="AF5723" t="n">
        <v>0</v>
      </c>
      <c r="AG5723" t="n">
        <v>0</v>
      </c>
      <c r="AH5723" t="n">
        <v>0</v>
      </c>
      <c r="AI5723" t="n">
        <v>0</v>
      </c>
    </row>
    <row r="5724">
      <c r="A5724" t="inlineStr">
        <is>
          <t>12월</t>
        </is>
      </c>
      <c r="B5724" t="inlineStr">
        <is>
          <t>52주차</t>
        </is>
      </c>
      <c r="C5724" t="e">
        <v>#N/A</v>
      </c>
      <c r="K5724" t="n">
        <v>0</v>
      </c>
      <c r="L5724" t="n">
        <v>0</v>
      </c>
      <c r="M5724" t="n">
        <v>0</v>
      </c>
      <c r="AC5724" t="n">
        <v>0</v>
      </c>
      <c r="AD5724" t="n">
        <v>0</v>
      </c>
      <c r="AE5724" t="n">
        <v>0</v>
      </c>
      <c r="AF5724" t="n">
        <v>0</v>
      </c>
      <c r="AG5724" t="n">
        <v>0</v>
      </c>
      <c r="AH5724" t="n">
        <v>0</v>
      </c>
      <c r="AI5724" t="n">
        <v>0</v>
      </c>
    </row>
    <row r="5725">
      <c r="A5725" t="inlineStr">
        <is>
          <t>12월</t>
        </is>
      </c>
      <c r="B5725" t="inlineStr">
        <is>
          <t>52주차</t>
        </is>
      </c>
      <c r="C5725" t="e">
        <v>#N/A</v>
      </c>
      <c r="K5725" t="n">
        <v>0</v>
      </c>
      <c r="L5725" t="n">
        <v>0</v>
      </c>
      <c r="M5725" t="n">
        <v>0</v>
      </c>
      <c r="AC5725" t="n">
        <v>0</v>
      </c>
      <c r="AD5725" t="n">
        <v>0</v>
      </c>
      <c r="AE5725" t="n">
        <v>0</v>
      </c>
      <c r="AF5725" t="n">
        <v>0</v>
      </c>
      <c r="AG5725" t="n">
        <v>0</v>
      </c>
      <c r="AH5725" t="n">
        <v>0</v>
      </c>
      <c r="AI5725" t="n">
        <v>0</v>
      </c>
    </row>
    <row r="5726">
      <c r="A5726" t="inlineStr">
        <is>
          <t>12월</t>
        </is>
      </c>
      <c r="B5726" t="inlineStr">
        <is>
          <t>52주차</t>
        </is>
      </c>
      <c r="C5726" t="e">
        <v>#N/A</v>
      </c>
      <c r="K5726" t="n">
        <v>0</v>
      </c>
      <c r="L5726" t="n">
        <v>0</v>
      </c>
      <c r="M5726" t="n">
        <v>0</v>
      </c>
      <c r="AC5726" t="n">
        <v>0</v>
      </c>
      <c r="AD5726" t="n">
        <v>0</v>
      </c>
      <c r="AE5726" t="n">
        <v>0</v>
      </c>
      <c r="AF5726" t="n">
        <v>0</v>
      </c>
      <c r="AG5726" t="n">
        <v>0</v>
      </c>
      <c r="AH5726" t="n">
        <v>0</v>
      </c>
    </row>
    <row r="5727">
      <c r="A5727" t="inlineStr">
        <is>
          <t>12월</t>
        </is>
      </c>
      <c r="B5727" t="inlineStr">
        <is>
          <t>52주차</t>
        </is>
      </c>
      <c r="C5727" t="e">
        <v>#N/A</v>
      </c>
      <c r="K5727" t="n">
        <v>0</v>
      </c>
      <c r="L5727" t="n">
        <v>0</v>
      </c>
      <c r="M5727" t="n">
        <v>0</v>
      </c>
      <c r="AC5727" t="n">
        <v>0</v>
      </c>
      <c r="AD5727" t="n">
        <v>0</v>
      </c>
      <c r="AE5727" t="n">
        <v>0</v>
      </c>
      <c r="AF5727" t="n">
        <v>0</v>
      </c>
      <c r="AG5727" t="n">
        <v>0</v>
      </c>
      <c r="AH5727" t="n">
        <v>0</v>
      </c>
      <c r="AI5727" t="n">
        <v>0</v>
      </c>
    </row>
    <row r="5728">
      <c r="A5728" t="inlineStr">
        <is>
          <t>12월</t>
        </is>
      </c>
      <c r="B5728" t="inlineStr">
        <is>
          <t>52주차</t>
        </is>
      </c>
      <c r="C5728" t="e">
        <v>#N/A</v>
      </c>
      <c r="K5728" t="n">
        <v>0</v>
      </c>
      <c r="L5728" t="n">
        <v>0</v>
      </c>
      <c r="M5728" t="n">
        <v>0</v>
      </c>
      <c r="AC5728" t="n">
        <v>0</v>
      </c>
      <c r="AD5728" t="n">
        <v>0</v>
      </c>
      <c r="AE5728" t="n">
        <v>0</v>
      </c>
      <c r="AF5728" t="n">
        <v>0</v>
      </c>
      <c r="AG5728" t="n">
        <v>0</v>
      </c>
      <c r="AH5728" t="n">
        <v>0</v>
      </c>
    </row>
    <row r="5729">
      <c r="A5729" t="inlineStr">
        <is>
          <t>12월</t>
        </is>
      </c>
      <c r="B5729" t="inlineStr">
        <is>
          <t>52주차</t>
        </is>
      </c>
      <c r="C5729" t="e">
        <v>#N/A</v>
      </c>
      <c r="K5729" t="n">
        <v>0</v>
      </c>
      <c r="L5729" t="n">
        <v>0</v>
      </c>
      <c r="M5729" t="n">
        <v>0</v>
      </c>
      <c r="AC5729" t="n">
        <v>0</v>
      </c>
      <c r="AD5729" t="n">
        <v>0</v>
      </c>
      <c r="AE5729" t="n">
        <v>0</v>
      </c>
      <c r="AF5729" t="n">
        <v>0</v>
      </c>
      <c r="AG5729" t="n">
        <v>0</v>
      </c>
      <c r="AH5729" t="n">
        <v>0</v>
      </c>
    </row>
    <row r="5730">
      <c r="A5730" t="inlineStr">
        <is>
          <t>12월</t>
        </is>
      </c>
      <c r="B5730" t="inlineStr">
        <is>
          <t>52주차</t>
        </is>
      </c>
      <c r="C5730" t="e">
        <v>#N/A</v>
      </c>
      <c r="K5730" t="n">
        <v>0</v>
      </c>
      <c r="L5730" t="n">
        <v>0</v>
      </c>
      <c r="M5730" t="n">
        <v>0</v>
      </c>
      <c r="AC5730" t="n">
        <v>0</v>
      </c>
      <c r="AD5730" t="n">
        <v>0</v>
      </c>
      <c r="AE5730" t="n">
        <v>0</v>
      </c>
      <c r="AF5730" t="n">
        <v>0</v>
      </c>
      <c r="AG5730" t="n">
        <v>0</v>
      </c>
      <c r="AH5730" t="n">
        <v>0</v>
      </c>
    </row>
    <row r="5731">
      <c r="A5731" t="inlineStr">
        <is>
          <t>12월</t>
        </is>
      </c>
      <c r="B5731" t="inlineStr">
        <is>
          <t>52주차</t>
        </is>
      </c>
      <c r="C5731" t="e">
        <v>#N/A</v>
      </c>
      <c r="K5731" t="n">
        <v>0</v>
      </c>
      <c r="L5731" t="n">
        <v>0</v>
      </c>
      <c r="M5731" t="n">
        <v>0</v>
      </c>
      <c r="AC5731" t="n">
        <v>0</v>
      </c>
      <c r="AD5731" t="n">
        <v>0</v>
      </c>
      <c r="AE5731" t="n">
        <v>0</v>
      </c>
      <c r="AF5731" t="n">
        <v>0</v>
      </c>
      <c r="AG5731" t="n">
        <v>0</v>
      </c>
      <c r="AH5731" t="n">
        <v>0</v>
      </c>
    </row>
    <row r="5732">
      <c r="A5732" t="inlineStr">
        <is>
          <t>12월</t>
        </is>
      </c>
      <c r="B5732" t="inlineStr">
        <is>
          <t>52주차</t>
        </is>
      </c>
      <c r="C5732" t="e">
        <v>#N/A</v>
      </c>
      <c r="K5732" t="n">
        <v>0</v>
      </c>
      <c r="L5732" t="n">
        <v>0</v>
      </c>
      <c r="M5732" t="n">
        <v>0</v>
      </c>
      <c r="AC5732" t="n">
        <v>0</v>
      </c>
      <c r="AD5732" t="n">
        <v>0</v>
      </c>
      <c r="AE5732" t="n">
        <v>0</v>
      </c>
      <c r="AF5732" t="n">
        <v>0</v>
      </c>
      <c r="AG5732" t="n">
        <v>0</v>
      </c>
      <c r="AH5732" t="n">
        <v>0</v>
      </c>
      <c r="AI5732" t="n">
        <v>0</v>
      </c>
    </row>
    <row r="5733">
      <c r="A5733" t="inlineStr">
        <is>
          <t>12월</t>
        </is>
      </c>
      <c r="B5733" t="inlineStr">
        <is>
          <t>52주차</t>
        </is>
      </c>
      <c r="C5733" t="e">
        <v>#N/A</v>
      </c>
      <c r="K5733" t="n">
        <v>0</v>
      </c>
      <c r="L5733" t="n">
        <v>0</v>
      </c>
      <c r="M5733" t="n">
        <v>0</v>
      </c>
      <c r="AC5733" t="n">
        <v>0</v>
      </c>
      <c r="AD5733" t="n">
        <v>0</v>
      </c>
      <c r="AE5733" t="n">
        <v>0</v>
      </c>
      <c r="AF5733" t="n">
        <v>0</v>
      </c>
      <c r="AG5733" t="n">
        <v>0</v>
      </c>
      <c r="AH5733" t="n">
        <v>0</v>
      </c>
      <c r="AI5733" t="n">
        <v>0</v>
      </c>
    </row>
    <row r="5734">
      <c r="A5734" t="inlineStr">
        <is>
          <t>12월</t>
        </is>
      </c>
      <c r="B5734" t="inlineStr">
        <is>
          <t>52주차</t>
        </is>
      </c>
      <c r="C5734" t="e">
        <v>#N/A</v>
      </c>
      <c r="K5734" t="n">
        <v>0</v>
      </c>
      <c r="L5734" t="n">
        <v>0</v>
      </c>
      <c r="M5734" t="n">
        <v>0</v>
      </c>
      <c r="AC5734" t="n">
        <v>0</v>
      </c>
      <c r="AD5734" t="n">
        <v>0</v>
      </c>
      <c r="AE5734" t="n">
        <v>0</v>
      </c>
      <c r="AF5734" t="n">
        <v>0</v>
      </c>
      <c r="AG5734" t="n">
        <v>0</v>
      </c>
      <c r="AH5734" t="n">
        <v>0</v>
      </c>
      <c r="AI5734" t="n">
        <v>0</v>
      </c>
    </row>
    <row r="5735">
      <c r="A5735" t="inlineStr">
        <is>
          <t>12월</t>
        </is>
      </c>
      <c r="B5735" t="inlineStr">
        <is>
          <t>52주차</t>
        </is>
      </c>
      <c r="C5735" t="e">
        <v>#N/A</v>
      </c>
      <c r="K5735" t="n">
        <v>0</v>
      </c>
      <c r="L5735" t="n">
        <v>0</v>
      </c>
      <c r="M5735" t="n">
        <v>0</v>
      </c>
      <c r="AC5735" t="n">
        <v>0</v>
      </c>
      <c r="AD5735" t="n">
        <v>0</v>
      </c>
      <c r="AE5735" t="n">
        <v>0</v>
      </c>
      <c r="AF5735" t="n">
        <v>0</v>
      </c>
      <c r="AG5735" t="n">
        <v>0</v>
      </c>
      <c r="AH5735" t="n">
        <v>0</v>
      </c>
    </row>
    <row r="5736">
      <c r="A5736" t="inlineStr">
        <is>
          <t>12월</t>
        </is>
      </c>
      <c r="B5736" t="inlineStr">
        <is>
          <t>52주차</t>
        </is>
      </c>
      <c r="C5736" t="e">
        <v>#N/A</v>
      </c>
      <c r="K5736" t="n">
        <v>0</v>
      </c>
      <c r="L5736" t="n">
        <v>0</v>
      </c>
      <c r="M5736" t="n">
        <v>0</v>
      </c>
      <c r="AC5736" t="n">
        <v>0</v>
      </c>
      <c r="AD5736" t="n">
        <v>0</v>
      </c>
      <c r="AE5736" t="n">
        <v>0</v>
      </c>
      <c r="AF5736" t="n">
        <v>0</v>
      </c>
      <c r="AG5736" t="n">
        <v>0</v>
      </c>
      <c r="AH5736" t="n">
        <v>0</v>
      </c>
    </row>
    <row r="5737">
      <c r="A5737" t="inlineStr">
        <is>
          <t>12월</t>
        </is>
      </c>
      <c r="B5737" t="inlineStr">
        <is>
          <t>52주차</t>
        </is>
      </c>
      <c r="C5737" t="e">
        <v>#N/A</v>
      </c>
      <c r="K5737" t="n">
        <v>0</v>
      </c>
      <c r="L5737" t="n">
        <v>0</v>
      </c>
      <c r="M5737" t="n">
        <v>0</v>
      </c>
      <c r="AC5737" t="n">
        <v>0</v>
      </c>
      <c r="AD5737" t="n">
        <v>0</v>
      </c>
      <c r="AE5737" t="n">
        <v>0</v>
      </c>
      <c r="AF5737" t="n">
        <v>0</v>
      </c>
      <c r="AG5737" t="n">
        <v>0</v>
      </c>
      <c r="AH5737" t="n">
        <v>0</v>
      </c>
    </row>
    <row r="5738">
      <c r="A5738" t="inlineStr">
        <is>
          <t>12월</t>
        </is>
      </c>
      <c r="B5738" t="inlineStr">
        <is>
          <t>52주차</t>
        </is>
      </c>
      <c r="C5738" t="e">
        <v>#N/A</v>
      </c>
      <c r="K5738" t="n">
        <v>0</v>
      </c>
      <c r="L5738" t="n">
        <v>0</v>
      </c>
      <c r="M5738" t="n">
        <v>0</v>
      </c>
      <c r="AC5738" t="n">
        <v>0</v>
      </c>
      <c r="AD5738" t="n">
        <v>0</v>
      </c>
      <c r="AE5738" t="n">
        <v>0</v>
      </c>
      <c r="AF5738" t="n">
        <v>0</v>
      </c>
      <c r="AG5738" t="n">
        <v>0</v>
      </c>
      <c r="AH5738" t="n">
        <v>0</v>
      </c>
    </row>
    <row r="5739">
      <c r="A5739" t="inlineStr">
        <is>
          <t>12월</t>
        </is>
      </c>
      <c r="B5739" t="inlineStr">
        <is>
          <t>52주차</t>
        </is>
      </c>
      <c r="C5739" t="e">
        <v>#N/A</v>
      </c>
      <c r="K5739" t="n">
        <v>0</v>
      </c>
      <c r="L5739" t="n">
        <v>0</v>
      </c>
      <c r="M5739" t="n">
        <v>0</v>
      </c>
      <c r="AC5739" t="n">
        <v>0</v>
      </c>
      <c r="AD5739" t="n">
        <v>0</v>
      </c>
      <c r="AE5739" t="n">
        <v>0</v>
      </c>
      <c r="AF5739" t="n">
        <v>0</v>
      </c>
      <c r="AG5739" t="n">
        <v>0</v>
      </c>
      <c r="AH5739" t="n">
        <v>0</v>
      </c>
      <c r="AI5739" t="n">
        <v>0</v>
      </c>
    </row>
    <row r="5740">
      <c r="A5740" t="inlineStr">
        <is>
          <t>12월</t>
        </is>
      </c>
      <c r="B5740" t="inlineStr">
        <is>
          <t>52주차</t>
        </is>
      </c>
      <c r="C5740" t="e">
        <v>#N/A</v>
      </c>
      <c r="K5740" t="n">
        <v>0</v>
      </c>
      <c r="L5740" t="n">
        <v>0</v>
      </c>
      <c r="M5740" t="n">
        <v>0</v>
      </c>
      <c r="AC5740" t="n">
        <v>0</v>
      </c>
      <c r="AD5740" t="n">
        <v>0</v>
      </c>
      <c r="AE5740" t="n">
        <v>0</v>
      </c>
      <c r="AF5740" t="n">
        <v>0</v>
      </c>
      <c r="AG5740" t="n">
        <v>0</v>
      </c>
      <c r="AH5740" t="n">
        <v>0</v>
      </c>
    </row>
    <row r="5741">
      <c r="A5741" t="inlineStr">
        <is>
          <t>12월</t>
        </is>
      </c>
      <c r="B5741" t="inlineStr">
        <is>
          <t>52주차</t>
        </is>
      </c>
      <c r="C5741" t="e">
        <v>#N/A</v>
      </c>
      <c r="K5741" t="n">
        <v>0</v>
      </c>
      <c r="L5741" t="n">
        <v>0</v>
      </c>
      <c r="M5741" t="n">
        <v>0</v>
      </c>
      <c r="AC5741" t="n">
        <v>0</v>
      </c>
      <c r="AD5741" t="n">
        <v>0</v>
      </c>
      <c r="AE5741" t="n">
        <v>0</v>
      </c>
      <c r="AF5741" t="n">
        <v>0</v>
      </c>
      <c r="AG5741" t="n">
        <v>0</v>
      </c>
      <c r="AH5741" t="n">
        <v>0</v>
      </c>
    </row>
    <row r="5742">
      <c r="A5742" t="inlineStr">
        <is>
          <t>12월</t>
        </is>
      </c>
      <c r="B5742" t="inlineStr">
        <is>
          <t>52주차</t>
        </is>
      </c>
      <c r="C5742" t="e">
        <v>#N/A</v>
      </c>
      <c r="K5742" t="n">
        <v>0</v>
      </c>
      <c r="L5742" t="n">
        <v>0</v>
      </c>
      <c r="M5742" t="n">
        <v>0</v>
      </c>
      <c r="AC5742" t="n">
        <v>0</v>
      </c>
      <c r="AD5742" t="n">
        <v>0</v>
      </c>
      <c r="AE5742" t="n">
        <v>0</v>
      </c>
      <c r="AF5742" t="n">
        <v>0</v>
      </c>
      <c r="AG5742" t="n">
        <v>0</v>
      </c>
      <c r="AH5742" t="n">
        <v>0</v>
      </c>
      <c r="AI5742" t="n">
        <v>0</v>
      </c>
    </row>
    <row r="5743">
      <c r="A5743" t="inlineStr">
        <is>
          <t>12월</t>
        </is>
      </c>
      <c r="B5743" t="inlineStr">
        <is>
          <t>52주차</t>
        </is>
      </c>
      <c r="C5743" t="e">
        <v>#N/A</v>
      </c>
      <c r="K5743" t="n">
        <v>0</v>
      </c>
      <c r="L5743" t="n">
        <v>0</v>
      </c>
      <c r="M5743" t="n">
        <v>0</v>
      </c>
      <c r="AC5743" t="n">
        <v>0</v>
      </c>
      <c r="AD5743" t="n">
        <v>0</v>
      </c>
      <c r="AE5743" t="n">
        <v>0</v>
      </c>
      <c r="AF5743" t="n">
        <v>0</v>
      </c>
      <c r="AG5743" t="n">
        <v>0</v>
      </c>
      <c r="AH5743" t="n">
        <v>0</v>
      </c>
      <c r="AI5743" t="n">
        <v>0</v>
      </c>
    </row>
    <row r="5744">
      <c r="A5744" t="inlineStr">
        <is>
          <t>12월</t>
        </is>
      </c>
      <c r="B5744" t="inlineStr">
        <is>
          <t>52주차</t>
        </is>
      </c>
      <c r="C5744" t="e">
        <v>#N/A</v>
      </c>
      <c r="K5744" t="n">
        <v>0</v>
      </c>
      <c r="L5744" t="n">
        <v>0</v>
      </c>
      <c r="M5744" t="n">
        <v>0</v>
      </c>
      <c r="AC5744" t="n">
        <v>0</v>
      </c>
      <c r="AD5744" t="n">
        <v>0</v>
      </c>
      <c r="AE5744" t="n">
        <v>0</v>
      </c>
      <c r="AF5744" t="n">
        <v>0</v>
      </c>
      <c r="AG5744" t="n">
        <v>0</v>
      </c>
      <c r="AH5744" t="n">
        <v>0</v>
      </c>
      <c r="AI5744" t="n">
        <v>0</v>
      </c>
    </row>
    <row r="5745">
      <c r="A5745" t="inlineStr">
        <is>
          <t>12월</t>
        </is>
      </c>
      <c r="B5745" t="inlineStr">
        <is>
          <t>52주차</t>
        </is>
      </c>
      <c r="C5745" t="e">
        <v>#N/A</v>
      </c>
      <c r="K5745" t="n">
        <v>0</v>
      </c>
      <c r="L5745" t="n">
        <v>0</v>
      </c>
      <c r="M5745" t="n">
        <v>0</v>
      </c>
      <c r="AC5745" t="n">
        <v>0</v>
      </c>
      <c r="AD5745" t="n">
        <v>0</v>
      </c>
      <c r="AE5745" t="n">
        <v>0</v>
      </c>
      <c r="AF5745" t="n">
        <v>0</v>
      </c>
      <c r="AG5745" t="n">
        <v>0</v>
      </c>
      <c r="AH5745" t="n">
        <v>0</v>
      </c>
    </row>
    <row r="5746">
      <c r="A5746" t="inlineStr">
        <is>
          <t>12월</t>
        </is>
      </c>
      <c r="B5746" t="inlineStr">
        <is>
          <t>52주차</t>
        </is>
      </c>
      <c r="C5746" t="e">
        <v>#N/A</v>
      </c>
      <c r="K5746" t="n">
        <v>0</v>
      </c>
      <c r="L5746" t="n">
        <v>0</v>
      </c>
      <c r="M5746" t="n">
        <v>0</v>
      </c>
      <c r="AC5746" t="n">
        <v>0</v>
      </c>
      <c r="AD5746" t="n">
        <v>0</v>
      </c>
      <c r="AE5746" t="n">
        <v>0</v>
      </c>
      <c r="AF5746" t="n">
        <v>0</v>
      </c>
      <c r="AG5746" t="n">
        <v>0</v>
      </c>
      <c r="AH5746" t="n">
        <v>0</v>
      </c>
    </row>
    <row r="5747">
      <c r="A5747" t="inlineStr">
        <is>
          <t>12월</t>
        </is>
      </c>
      <c r="B5747" t="inlineStr">
        <is>
          <t>52주차</t>
        </is>
      </c>
      <c r="C5747" t="e">
        <v>#N/A</v>
      </c>
      <c r="K5747" t="n">
        <v>0</v>
      </c>
      <c r="L5747" t="n">
        <v>0</v>
      </c>
      <c r="M5747" t="n">
        <v>0</v>
      </c>
      <c r="AC5747" t="n">
        <v>0</v>
      </c>
      <c r="AD5747" t="n">
        <v>0</v>
      </c>
      <c r="AE5747" t="n">
        <v>0</v>
      </c>
      <c r="AF5747" t="n">
        <v>0</v>
      </c>
      <c r="AG5747" t="n">
        <v>0</v>
      </c>
      <c r="AH5747" t="n">
        <v>0</v>
      </c>
      <c r="AI5747" t="n">
        <v>0</v>
      </c>
    </row>
    <row r="5748">
      <c r="A5748" t="inlineStr">
        <is>
          <t>12월</t>
        </is>
      </c>
      <c r="B5748" t="inlineStr">
        <is>
          <t>52주차</t>
        </is>
      </c>
      <c r="C5748" t="e">
        <v>#N/A</v>
      </c>
      <c r="K5748" t="n">
        <v>0</v>
      </c>
      <c r="L5748" t="n">
        <v>0</v>
      </c>
      <c r="M5748" t="n">
        <v>0</v>
      </c>
      <c r="AC5748" t="n">
        <v>0</v>
      </c>
      <c r="AD5748" t="n">
        <v>0</v>
      </c>
      <c r="AE5748" t="n">
        <v>0</v>
      </c>
      <c r="AF5748" t="n">
        <v>0</v>
      </c>
      <c r="AG5748" t="n">
        <v>0</v>
      </c>
      <c r="AH5748" t="n">
        <v>0</v>
      </c>
      <c r="AI5748" t="n">
        <v>0</v>
      </c>
    </row>
    <row r="5749">
      <c r="A5749" t="inlineStr">
        <is>
          <t>12월</t>
        </is>
      </c>
      <c r="B5749" t="inlineStr">
        <is>
          <t>52주차</t>
        </is>
      </c>
      <c r="C5749" t="e">
        <v>#N/A</v>
      </c>
      <c r="K5749" t="n">
        <v>0</v>
      </c>
      <c r="L5749" t="n">
        <v>0</v>
      </c>
      <c r="M5749" t="n">
        <v>0</v>
      </c>
      <c r="AC5749" t="n">
        <v>0</v>
      </c>
      <c r="AD5749" t="n">
        <v>0</v>
      </c>
      <c r="AE5749" t="n">
        <v>0</v>
      </c>
      <c r="AF5749" t="n">
        <v>0</v>
      </c>
      <c r="AG5749" t="n">
        <v>0</v>
      </c>
      <c r="AH5749" t="n">
        <v>0</v>
      </c>
    </row>
    <row r="5750">
      <c r="A5750" t="inlineStr">
        <is>
          <t>12월</t>
        </is>
      </c>
      <c r="B5750" t="inlineStr">
        <is>
          <t>52주차</t>
        </is>
      </c>
      <c r="C5750" t="e">
        <v>#N/A</v>
      </c>
      <c r="K5750" t="n">
        <v>0</v>
      </c>
      <c r="L5750" t="n">
        <v>0</v>
      </c>
      <c r="M5750" t="n">
        <v>0</v>
      </c>
      <c r="AC5750" t="n">
        <v>0</v>
      </c>
      <c r="AD5750" t="n">
        <v>0</v>
      </c>
      <c r="AE5750" t="n">
        <v>0</v>
      </c>
      <c r="AF5750" t="n">
        <v>0</v>
      </c>
      <c r="AG5750" t="n">
        <v>0</v>
      </c>
      <c r="AH5750" t="n">
        <v>0</v>
      </c>
      <c r="AI5750" t="n">
        <v>0</v>
      </c>
    </row>
    <row r="5751">
      <c r="A5751" t="inlineStr">
        <is>
          <t>12월</t>
        </is>
      </c>
      <c r="B5751" t="inlineStr">
        <is>
          <t>52주차</t>
        </is>
      </c>
      <c r="C5751" t="e">
        <v>#N/A</v>
      </c>
      <c r="K5751" t="n">
        <v>0</v>
      </c>
      <c r="L5751" t="n">
        <v>0</v>
      </c>
      <c r="M5751" t="n">
        <v>0</v>
      </c>
      <c r="AC5751" t="n">
        <v>0</v>
      </c>
      <c r="AD5751" t="n">
        <v>0</v>
      </c>
      <c r="AE5751" t="n">
        <v>0</v>
      </c>
      <c r="AF5751" t="n">
        <v>0</v>
      </c>
      <c r="AG5751" t="n">
        <v>0</v>
      </c>
      <c r="AH5751" t="n">
        <v>0</v>
      </c>
    </row>
    <row r="5752">
      <c r="A5752" t="inlineStr">
        <is>
          <t>12월</t>
        </is>
      </c>
      <c r="B5752" t="inlineStr">
        <is>
          <t>52주차</t>
        </is>
      </c>
      <c r="C5752" t="e">
        <v>#N/A</v>
      </c>
      <c r="K5752" t="n">
        <v>0</v>
      </c>
      <c r="L5752" t="n">
        <v>0</v>
      </c>
      <c r="M5752" t="n">
        <v>0</v>
      </c>
      <c r="AC5752" t="n">
        <v>0</v>
      </c>
      <c r="AD5752" t="n">
        <v>0</v>
      </c>
      <c r="AE5752" t="n">
        <v>0</v>
      </c>
      <c r="AF5752" t="n">
        <v>0</v>
      </c>
      <c r="AG5752" t="n">
        <v>0</v>
      </c>
      <c r="AH5752" t="n">
        <v>0</v>
      </c>
      <c r="AI5752" t="n">
        <v>0</v>
      </c>
    </row>
    <row r="5753">
      <c r="A5753" t="inlineStr">
        <is>
          <t>12월</t>
        </is>
      </c>
      <c r="B5753" t="inlineStr">
        <is>
          <t>52주차</t>
        </is>
      </c>
      <c r="C5753" t="e">
        <v>#N/A</v>
      </c>
      <c r="K5753" t="n">
        <v>0</v>
      </c>
      <c r="L5753" t="n">
        <v>0</v>
      </c>
      <c r="M5753" t="n">
        <v>0</v>
      </c>
      <c r="AC5753" t="n">
        <v>0</v>
      </c>
      <c r="AD5753" t="n">
        <v>0</v>
      </c>
      <c r="AE5753" t="n">
        <v>0</v>
      </c>
      <c r="AF5753" t="n">
        <v>0</v>
      </c>
      <c r="AG5753" t="n">
        <v>0</v>
      </c>
      <c r="AH5753" t="n">
        <v>0</v>
      </c>
      <c r="AI5753" t="n">
        <v>0</v>
      </c>
    </row>
    <row r="5754">
      <c r="A5754" t="inlineStr">
        <is>
          <t>12월</t>
        </is>
      </c>
      <c r="B5754" t="inlineStr">
        <is>
          <t>52주차</t>
        </is>
      </c>
      <c r="C5754" t="e">
        <v>#N/A</v>
      </c>
      <c r="K5754" t="n">
        <v>0</v>
      </c>
      <c r="L5754" t="n">
        <v>0</v>
      </c>
      <c r="M5754" t="n">
        <v>0</v>
      </c>
      <c r="AC5754" t="n">
        <v>0</v>
      </c>
      <c r="AD5754" t="n">
        <v>0</v>
      </c>
      <c r="AE5754" t="n">
        <v>0</v>
      </c>
      <c r="AF5754" t="n">
        <v>0</v>
      </c>
      <c r="AG5754" t="n">
        <v>0</v>
      </c>
      <c r="AH5754" t="n">
        <v>0</v>
      </c>
      <c r="AI5754" t="n">
        <v>0</v>
      </c>
    </row>
    <row r="5755">
      <c r="A5755" t="inlineStr">
        <is>
          <t>12월</t>
        </is>
      </c>
      <c r="B5755" t="inlineStr">
        <is>
          <t>52주차</t>
        </is>
      </c>
      <c r="C5755" t="e">
        <v>#N/A</v>
      </c>
      <c r="K5755" t="n">
        <v>0</v>
      </c>
      <c r="L5755" t="n">
        <v>0</v>
      </c>
      <c r="M5755" t="n">
        <v>0</v>
      </c>
      <c r="AC5755" t="n">
        <v>0</v>
      </c>
      <c r="AD5755" t="n">
        <v>0</v>
      </c>
      <c r="AE5755" t="n">
        <v>0</v>
      </c>
      <c r="AF5755" t="n">
        <v>0</v>
      </c>
      <c r="AG5755" t="n">
        <v>0</v>
      </c>
      <c r="AH5755" t="n">
        <v>0</v>
      </c>
    </row>
    <row r="5756">
      <c r="A5756" t="inlineStr">
        <is>
          <t>12월</t>
        </is>
      </c>
      <c r="B5756" t="inlineStr">
        <is>
          <t>52주차</t>
        </is>
      </c>
      <c r="C5756" t="e">
        <v>#N/A</v>
      </c>
      <c r="K5756" t="n">
        <v>0</v>
      </c>
      <c r="L5756" t="n">
        <v>0</v>
      </c>
      <c r="M5756" t="n">
        <v>0</v>
      </c>
      <c r="AC5756" t="n">
        <v>0</v>
      </c>
      <c r="AD5756" t="n">
        <v>0</v>
      </c>
      <c r="AE5756" t="n">
        <v>0</v>
      </c>
      <c r="AF5756" t="n">
        <v>0</v>
      </c>
      <c r="AG5756" t="n">
        <v>0</v>
      </c>
      <c r="AH5756" t="n">
        <v>0</v>
      </c>
    </row>
    <row r="5757">
      <c r="A5757" t="inlineStr">
        <is>
          <t>12월</t>
        </is>
      </c>
      <c r="B5757" t="inlineStr">
        <is>
          <t>52주차</t>
        </is>
      </c>
      <c r="C5757" t="e">
        <v>#N/A</v>
      </c>
      <c r="K5757" t="n">
        <v>0</v>
      </c>
      <c r="L5757" t="n">
        <v>0</v>
      </c>
      <c r="M5757" t="n">
        <v>0</v>
      </c>
      <c r="AC5757" t="n">
        <v>0</v>
      </c>
      <c r="AD5757" t="n">
        <v>0</v>
      </c>
      <c r="AE5757" t="n">
        <v>0</v>
      </c>
      <c r="AF5757" t="n">
        <v>0</v>
      </c>
      <c r="AG5757" t="n">
        <v>0</v>
      </c>
      <c r="AH5757" t="n">
        <v>0</v>
      </c>
    </row>
    <row r="5758">
      <c r="A5758" t="inlineStr">
        <is>
          <t>12월</t>
        </is>
      </c>
      <c r="B5758" t="inlineStr">
        <is>
          <t>52주차</t>
        </is>
      </c>
      <c r="C5758" t="e">
        <v>#N/A</v>
      </c>
      <c r="K5758" t="n">
        <v>0</v>
      </c>
      <c r="L5758" t="n">
        <v>0</v>
      </c>
      <c r="M5758" t="n">
        <v>0</v>
      </c>
      <c r="AC5758" t="n">
        <v>0</v>
      </c>
      <c r="AD5758" t="n">
        <v>0</v>
      </c>
      <c r="AE5758" t="n">
        <v>0</v>
      </c>
      <c r="AF5758" t="n">
        <v>0</v>
      </c>
      <c r="AG5758" t="n">
        <v>0</v>
      </c>
      <c r="AH5758" t="n">
        <v>0</v>
      </c>
      <c r="AI5758" t="n">
        <v>0</v>
      </c>
    </row>
    <row r="5759">
      <c r="A5759" t="inlineStr">
        <is>
          <t>12월</t>
        </is>
      </c>
      <c r="B5759" t="inlineStr">
        <is>
          <t>52주차</t>
        </is>
      </c>
      <c r="C5759" t="e">
        <v>#N/A</v>
      </c>
      <c r="K5759" t="n">
        <v>0</v>
      </c>
      <c r="L5759" t="n">
        <v>0</v>
      </c>
      <c r="M5759" t="n">
        <v>0</v>
      </c>
      <c r="AC5759" t="n">
        <v>0</v>
      </c>
      <c r="AD5759" t="n">
        <v>0</v>
      </c>
      <c r="AE5759" t="n">
        <v>0</v>
      </c>
      <c r="AF5759" t="n">
        <v>0</v>
      </c>
      <c r="AG5759" t="n">
        <v>0</v>
      </c>
      <c r="AH5759" t="n">
        <v>0</v>
      </c>
      <c r="AI5759" t="n">
        <v>0</v>
      </c>
    </row>
    <row r="5760">
      <c r="A5760" t="inlineStr">
        <is>
          <t>12월</t>
        </is>
      </c>
      <c r="B5760" t="inlineStr">
        <is>
          <t>52주차</t>
        </is>
      </c>
      <c r="C5760" t="e">
        <v>#N/A</v>
      </c>
      <c r="K5760" t="n">
        <v>0</v>
      </c>
      <c r="L5760" t="n">
        <v>0</v>
      </c>
      <c r="M5760" t="n">
        <v>0</v>
      </c>
      <c r="AC5760" t="n">
        <v>0</v>
      </c>
      <c r="AD5760" t="n">
        <v>0</v>
      </c>
      <c r="AE5760" t="n">
        <v>0</v>
      </c>
      <c r="AF5760" t="n">
        <v>0</v>
      </c>
      <c r="AG5760" t="n">
        <v>0</v>
      </c>
      <c r="AH5760" t="n">
        <v>0</v>
      </c>
      <c r="AI5760" t="n">
        <v>0</v>
      </c>
    </row>
    <row r="5761">
      <c r="A5761" t="inlineStr">
        <is>
          <t>12월</t>
        </is>
      </c>
      <c r="B5761" t="inlineStr">
        <is>
          <t>52주차</t>
        </is>
      </c>
      <c r="C5761" t="e">
        <v>#N/A</v>
      </c>
      <c r="K5761" t="n">
        <v>0</v>
      </c>
      <c r="L5761" t="n">
        <v>0</v>
      </c>
      <c r="M5761" t="n">
        <v>0</v>
      </c>
      <c r="AC5761" t="n">
        <v>0</v>
      </c>
      <c r="AD5761" t="n">
        <v>0</v>
      </c>
      <c r="AE5761" t="n">
        <v>0</v>
      </c>
      <c r="AF5761" t="n">
        <v>0</v>
      </c>
      <c r="AG5761" t="n">
        <v>0</v>
      </c>
      <c r="AH5761" t="n">
        <v>0</v>
      </c>
      <c r="AI5761" t="n">
        <v>0</v>
      </c>
    </row>
    <row r="5762">
      <c r="A5762" t="inlineStr">
        <is>
          <t>12월</t>
        </is>
      </c>
      <c r="B5762" t="inlineStr">
        <is>
          <t>52주차</t>
        </is>
      </c>
      <c r="C5762" t="e">
        <v>#N/A</v>
      </c>
      <c r="K5762" t="n">
        <v>0</v>
      </c>
      <c r="L5762" t="n">
        <v>0</v>
      </c>
      <c r="M5762" t="n">
        <v>0</v>
      </c>
      <c r="AC5762" t="n">
        <v>0</v>
      </c>
      <c r="AD5762" t="n">
        <v>0</v>
      </c>
      <c r="AE5762" t="n">
        <v>0</v>
      </c>
      <c r="AF5762" t="n">
        <v>0</v>
      </c>
      <c r="AG5762" t="n">
        <v>0</v>
      </c>
      <c r="AH5762" t="n">
        <v>0</v>
      </c>
      <c r="AI5762" t="n">
        <v>0</v>
      </c>
    </row>
    <row r="5763">
      <c r="A5763" t="inlineStr">
        <is>
          <t>12월</t>
        </is>
      </c>
      <c r="B5763" t="inlineStr">
        <is>
          <t>52주차</t>
        </is>
      </c>
      <c r="C5763" t="e">
        <v>#N/A</v>
      </c>
      <c r="K5763" t="n">
        <v>0</v>
      </c>
      <c r="L5763" t="n">
        <v>0</v>
      </c>
      <c r="M5763" t="n">
        <v>0</v>
      </c>
      <c r="AC5763" t="n">
        <v>0</v>
      </c>
      <c r="AD5763" t="n">
        <v>0</v>
      </c>
      <c r="AE5763" t="n">
        <v>0</v>
      </c>
      <c r="AF5763" t="n">
        <v>0</v>
      </c>
      <c r="AG5763" t="n">
        <v>0</v>
      </c>
      <c r="AH5763" t="n">
        <v>0</v>
      </c>
      <c r="AI5763" t="n">
        <v>0</v>
      </c>
    </row>
    <row r="5764">
      <c r="A5764" t="inlineStr">
        <is>
          <t>12월</t>
        </is>
      </c>
      <c r="B5764" t="inlineStr">
        <is>
          <t>52주차</t>
        </is>
      </c>
      <c r="C5764" t="e">
        <v>#N/A</v>
      </c>
      <c r="K5764" t="n">
        <v>0</v>
      </c>
      <c r="L5764" t="n">
        <v>0</v>
      </c>
      <c r="M5764" t="n">
        <v>0</v>
      </c>
      <c r="AC5764" t="n">
        <v>0</v>
      </c>
      <c r="AD5764" t="n">
        <v>0</v>
      </c>
      <c r="AE5764" t="n">
        <v>0</v>
      </c>
      <c r="AF5764" t="n">
        <v>0</v>
      </c>
      <c r="AG5764" t="n">
        <v>0</v>
      </c>
      <c r="AH5764" t="n">
        <v>0</v>
      </c>
      <c r="AI5764" t="n">
        <v>0</v>
      </c>
    </row>
    <row r="5765">
      <c r="A5765" t="inlineStr">
        <is>
          <t>12월</t>
        </is>
      </c>
      <c r="B5765" t="inlineStr">
        <is>
          <t>52주차</t>
        </is>
      </c>
      <c r="C5765" t="e">
        <v>#N/A</v>
      </c>
      <c r="K5765" t="n">
        <v>0</v>
      </c>
      <c r="L5765" t="n">
        <v>0</v>
      </c>
      <c r="M5765" t="n">
        <v>0</v>
      </c>
      <c r="AC5765" t="n">
        <v>0</v>
      </c>
      <c r="AD5765" t="n">
        <v>0</v>
      </c>
      <c r="AE5765" t="n">
        <v>0</v>
      </c>
      <c r="AF5765" t="n">
        <v>0</v>
      </c>
      <c r="AG5765" t="n">
        <v>0</v>
      </c>
      <c r="AH5765" t="n">
        <v>0</v>
      </c>
    </row>
    <row r="5766">
      <c r="A5766" t="inlineStr">
        <is>
          <t>12월</t>
        </is>
      </c>
      <c r="B5766" t="inlineStr">
        <is>
          <t>52주차</t>
        </is>
      </c>
      <c r="C5766" t="e">
        <v>#N/A</v>
      </c>
      <c r="K5766" t="n">
        <v>0</v>
      </c>
      <c r="L5766" t="n">
        <v>0</v>
      </c>
      <c r="M5766" t="n">
        <v>0</v>
      </c>
      <c r="AC5766" t="n">
        <v>0</v>
      </c>
      <c r="AD5766" t="n">
        <v>0</v>
      </c>
      <c r="AE5766" t="n">
        <v>0</v>
      </c>
      <c r="AF5766" t="n">
        <v>0</v>
      </c>
      <c r="AG5766" t="n">
        <v>0</v>
      </c>
      <c r="AH5766" t="n">
        <v>0</v>
      </c>
      <c r="AI5766" t="n">
        <v>0</v>
      </c>
    </row>
    <row r="5767">
      <c r="A5767" t="inlineStr">
        <is>
          <t>12월</t>
        </is>
      </c>
      <c r="B5767" t="inlineStr">
        <is>
          <t>52주차</t>
        </is>
      </c>
      <c r="C5767" t="e">
        <v>#N/A</v>
      </c>
      <c r="K5767" t="n">
        <v>0</v>
      </c>
      <c r="L5767" t="n">
        <v>0</v>
      </c>
      <c r="M5767" t="n">
        <v>0</v>
      </c>
      <c r="AC5767" t="n">
        <v>0</v>
      </c>
      <c r="AD5767" t="n">
        <v>0</v>
      </c>
      <c r="AE5767" t="n">
        <v>0</v>
      </c>
      <c r="AF5767" t="n">
        <v>0</v>
      </c>
      <c r="AG5767" t="n">
        <v>0</v>
      </c>
      <c r="AH5767" t="n">
        <v>0</v>
      </c>
      <c r="AI5767" t="n">
        <v>0</v>
      </c>
    </row>
    <row r="5768">
      <c r="A5768" t="inlineStr">
        <is>
          <t>12월</t>
        </is>
      </c>
      <c r="B5768" t="inlineStr">
        <is>
          <t>52주차</t>
        </is>
      </c>
      <c r="C5768" t="e">
        <v>#N/A</v>
      </c>
      <c r="K5768" t="n">
        <v>0</v>
      </c>
      <c r="L5768" t="n">
        <v>0</v>
      </c>
      <c r="M5768" t="n">
        <v>0</v>
      </c>
      <c r="AC5768" t="n">
        <v>0</v>
      </c>
      <c r="AD5768" t="n">
        <v>0</v>
      </c>
      <c r="AE5768" t="n">
        <v>0</v>
      </c>
      <c r="AF5768" t="n">
        <v>0</v>
      </c>
      <c r="AG5768" t="n">
        <v>0</v>
      </c>
      <c r="AH5768" t="n">
        <v>0</v>
      </c>
      <c r="AI5768" t="n">
        <v>0</v>
      </c>
    </row>
    <row r="5769">
      <c r="A5769" t="inlineStr">
        <is>
          <t>12월</t>
        </is>
      </c>
      <c r="B5769" t="inlineStr">
        <is>
          <t>52주차</t>
        </is>
      </c>
      <c r="C5769" t="e">
        <v>#N/A</v>
      </c>
      <c r="K5769" t="n">
        <v>0</v>
      </c>
      <c r="L5769" t="n">
        <v>0</v>
      </c>
      <c r="M5769" t="n">
        <v>0</v>
      </c>
      <c r="AC5769" t="n">
        <v>0</v>
      </c>
      <c r="AD5769" t="n">
        <v>0</v>
      </c>
      <c r="AE5769" t="n">
        <v>0</v>
      </c>
      <c r="AF5769" t="n">
        <v>0</v>
      </c>
      <c r="AG5769" t="n">
        <v>0</v>
      </c>
      <c r="AH5769" t="n">
        <v>0</v>
      </c>
      <c r="AI5769" t="n">
        <v>0</v>
      </c>
    </row>
    <row r="5770">
      <c r="A5770" t="inlineStr">
        <is>
          <t>12월</t>
        </is>
      </c>
      <c r="B5770" t="inlineStr">
        <is>
          <t>52주차</t>
        </is>
      </c>
      <c r="C5770" t="e">
        <v>#N/A</v>
      </c>
      <c r="K5770" t="n">
        <v>0</v>
      </c>
      <c r="L5770" t="n">
        <v>0</v>
      </c>
      <c r="M5770" t="n">
        <v>0</v>
      </c>
      <c r="AC5770" t="n">
        <v>0</v>
      </c>
      <c r="AD5770" t="n">
        <v>0</v>
      </c>
      <c r="AE5770" t="n">
        <v>0</v>
      </c>
      <c r="AF5770" t="n">
        <v>0</v>
      </c>
      <c r="AG5770" t="n">
        <v>0</v>
      </c>
      <c r="AH5770" t="n">
        <v>0</v>
      </c>
      <c r="AI5770" t="n">
        <v>0</v>
      </c>
    </row>
    <row r="5771">
      <c r="A5771" t="inlineStr">
        <is>
          <t>12월</t>
        </is>
      </c>
      <c r="B5771" t="inlineStr">
        <is>
          <t>52주차</t>
        </is>
      </c>
      <c r="C5771" t="e">
        <v>#N/A</v>
      </c>
      <c r="K5771" t="n">
        <v>0</v>
      </c>
      <c r="L5771" t="n">
        <v>0</v>
      </c>
      <c r="M5771" t="n">
        <v>0</v>
      </c>
      <c r="AC5771" t="n">
        <v>0</v>
      </c>
      <c r="AD5771" t="n">
        <v>0</v>
      </c>
      <c r="AE5771" t="n">
        <v>0</v>
      </c>
      <c r="AF5771" t="n">
        <v>0</v>
      </c>
      <c r="AG5771" t="n">
        <v>0</v>
      </c>
      <c r="AH5771" t="n">
        <v>0</v>
      </c>
    </row>
    <row r="5772">
      <c r="A5772" t="inlineStr">
        <is>
          <t>12월</t>
        </is>
      </c>
      <c r="B5772" t="inlineStr">
        <is>
          <t>52주차</t>
        </is>
      </c>
      <c r="C5772" t="e">
        <v>#N/A</v>
      </c>
      <c r="K5772" t="n">
        <v>0</v>
      </c>
      <c r="L5772" t="n">
        <v>0</v>
      </c>
      <c r="M5772" t="n">
        <v>0</v>
      </c>
      <c r="AC5772" t="n">
        <v>0</v>
      </c>
      <c r="AD5772" t="n">
        <v>0</v>
      </c>
      <c r="AE5772" t="n">
        <v>0</v>
      </c>
      <c r="AF5772" t="n">
        <v>0</v>
      </c>
      <c r="AG5772" t="n">
        <v>0</v>
      </c>
      <c r="AH5772" t="n">
        <v>0</v>
      </c>
    </row>
    <row r="5773">
      <c r="A5773" t="inlineStr">
        <is>
          <t>12월</t>
        </is>
      </c>
      <c r="B5773" t="inlineStr">
        <is>
          <t>52주차</t>
        </is>
      </c>
      <c r="C5773" t="e">
        <v>#N/A</v>
      </c>
      <c r="K5773" t="n">
        <v>0</v>
      </c>
      <c r="L5773" t="n">
        <v>0</v>
      </c>
      <c r="M5773" t="n">
        <v>0</v>
      </c>
      <c r="AC5773" t="n">
        <v>0</v>
      </c>
      <c r="AD5773" t="n">
        <v>0</v>
      </c>
      <c r="AE5773" t="n">
        <v>0</v>
      </c>
      <c r="AF5773" t="n">
        <v>0</v>
      </c>
      <c r="AG5773" t="n">
        <v>0</v>
      </c>
      <c r="AH5773" t="n">
        <v>0</v>
      </c>
      <c r="AI5773" t="n">
        <v>0</v>
      </c>
    </row>
    <row r="5774">
      <c r="A5774" t="inlineStr">
        <is>
          <t>12월</t>
        </is>
      </c>
      <c r="B5774" t="inlineStr">
        <is>
          <t>52주차</t>
        </is>
      </c>
      <c r="C5774" t="e">
        <v>#N/A</v>
      </c>
      <c r="K5774" t="n">
        <v>0</v>
      </c>
      <c r="L5774" t="n">
        <v>0</v>
      </c>
      <c r="M5774" t="n">
        <v>0</v>
      </c>
      <c r="AC5774" t="n">
        <v>0</v>
      </c>
      <c r="AD5774" t="n">
        <v>0</v>
      </c>
      <c r="AE5774" t="n">
        <v>0</v>
      </c>
      <c r="AF5774" t="n">
        <v>0</v>
      </c>
      <c r="AG5774" t="n">
        <v>0</v>
      </c>
      <c r="AH5774" t="n">
        <v>0</v>
      </c>
      <c r="AI5774" t="n">
        <v>0</v>
      </c>
    </row>
    <row r="5775">
      <c r="A5775" t="inlineStr">
        <is>
          <t>12월</t>
        </is>
      </c>
      <c r="B5775" t="inlineStr">
        <is>
          <t>52주차</t>
        </is>
      </c>
      <c r="C5775" t="e">
        <v>#N/A</v>
      </c>
      <c r="K5775" t="n">
        <v>0</v>
      </c>
      <c r="L5775" t="n">
        <v>0</v>
      </c>
      <c r="M5775" t="n">
        <v>0</v>
      </c>
      <c r="AC5775" t="n">
        <v>0</v>
      </c>
      <c r="AD5775" t="n">
        <v>0</v>
      </c>
      <c r="AE5775" t="n">
        <v>0</v>
      </c>
      <c r="AF5775" t="n">
        <v>0</v>
      </c>
      <c r="AG5775" t="n">
        <v>0</v>
      </c>
      <c r="AH5775" t="n">
        <v>0</v>
      </c>
      <c r="AI5775" t="n">
        <v>0</v>
      </c>
    </row>
    <row r="5776">
      <c r="A5776" t="inlineStr">
        <is>
          <t>12월</t>
        </is>
      </c>
      <c r="B5776" t="inlineStr">
        <is>
          <t>52주차</t>
        </is>
      </c>
      <c r="C5776" t="e">
        <v>#N/A</v>
      </c>
      <c r="K5776" t="n">
        <v>0</v>
      </c>
      <c r="L5776" t="n">
        <v>0</v>
      </c>
      <c r="M5776" t="n">
        <v>0</v>
      </c>
      <c r="AC5776" t="n">
        <v>0</v>
      </c>
      <c r="AD5776" t="n">
        <v>0</v>
      </c>
      <c r="AE5776" t="n">
        <v>0</v>
      </c>
      <c r="AF5776" t="n">
        <v>0</v>
      </c>
      <c r="AG5776" t="n">
        <v>0</v>
      </c>
      <c r="AH5776" t="n">
        <v>0</v>
      </c>
      <c r="AI5776" t="n">
        <v>0</v>
      </c>
    </row>
    <row r="5777">
      <c r="A5777" t="inlineStr">
        <is>
          <t>12월</t>
        </is>
      </c>
      <c r="B5777" t="inlineStr">
        <is>
          <t>52주차</t>
        </is>
      </c>
      <c r="C5777" t="e">
        <v>#N/A</v>
      </c>
      <c r="K5777" t="n">
        <v>0</v>
      </c>
      <c r="L5777" t="n">
        <v>0</v>
      </c>
      <c r="M5777" t="n">
        <v>0</v>
      </c>
      <c r="AC5777" t="n">
        <v>0</v>
      </c>
      <c r="AD5777" t="n">
        <v>0</v>
      </c>
      <c r="AE5777" t="n">
        <v>0</v>
      </c>
      <c r="AF5777" t="n">
        <v>0</v>
      </c>
      <c r="AG5777" t="n">
        <v>0</v>
      </c>
      <c r="AH5777" t="n">
        <v>0</v>
      </c>
      <c r="AI5777" t="n">
        <v>0</v>
      </c>
    </row>
    <row r="5778">
      <c r="A5778" t="inlineStr">
        <is>
          <t>12월</t>
        </is>
      </c>
      <c r="B5778" t="inlineStr">
        <is>
          <t>52주차</t>
        </is>
      </c>
      <c r="C5778" t="e">
        <v>#N/A</v>
      </c>
      <c r="K5778" t="n">
        <v>0</v>
      </c>
      <c r="L5778" t="n">
        <v>0</v>
      </c>
      <c r="M5778" t="n">
        <v>0</v>
      </c>
      <c r="AC5778" t="n">
        <v>0</v>
      </c>
      <c r="AD5778" t="n">
        <v>0</v>
      </c>
      <c r="AE5778" t="n">
        <v>0</v>
      </c>
      <c r="AF5778" t="n">
        <v>0</v>
      </c>
      <c r="AG5778" t="n">
        <v>0</v>
      </c>
      <c r="AH5778" t="n">
        <v>0</v>
      </c>
      <c r="AI5778" t="n">
        <v>0</v>
      </c>
    </row>
    <row r="5779">
      <c r="A5779" t="inlineStr">
        <is>
          <t>12월</t>
        </is>
      </c>
      <c r="B5779" t="inlineStr">
        <is>
          <t>52주차</t>
        </is>
      </c>
      <c r="C5779" t="e">
        <v>#N/A</v>
      </c>
      <c r="K5779" t="n">
        <v>0</v>
      </c>
      <c r="L5779" t="n">
        <v>0</v>
      </c>
      <c r="M5779" t="n">
        <v>0</v>
      </c>
      <c r="AC5779" t="n">
        <v>0</v>
      </c>
      <c r="AD5779" t="n">
        <v>0</v>
      </c>
      <c r="AE5779" t="n">
        <v>0</v>
      </c>
      <c r="AF5779" t="n">
        <v>0</v>
      </c>
      <c r="AG5779" t="n">
        <v>0</v>
      </c>
      <c r="AH5779" t="n">
        <v>0</v>
      </c>
    </row>
    <row r="5780">
      <c r="A5780" t="inlineStr">
        <is>
          <t>12월</t>
        </is>
      </c>
      <c r="B5780" t="inlineStr">
        <is>
          <t>52주차</t>
        </is>
      </c>
      <c r="C5780" t="e">
        <v>#N/A</v>
      </c>
      <c r="K5780" t="n">
        <v>0</v>
      </c>
      <c r="L5780" t="n">
        <v>0</v>
      </c>
      <c r="M5780" t="n">
        <v>0</v>
      </c>
      <c r="AC5780" t="n">
        <v>0</v>
      </c>
      <c r="AD5780" t="n">
        <v>0</v>
      </c>
      <c r="AE5780" t="n">
        <v>0</v>
      </c>
      <c r="AF5780" t="n">
        <v>0</v>
      </c>
      <c r="AG5780" t="n">
        <v>0</v>
      </c>
      <c r="AH5780" t="n">
        <v>0</v>
      </c>
      <c r="AI5780" t="n">
        <v>0</v>
      </c>
    </row>
    <row r="5781">
      <c r="A5781" t="inlineStr">
        <is>
          <t>12월</t>
        </is>
      </c>
      <c r="B5781" t="inlineStr">
        <is>
          <t>52주차</t>
        </is>
      </c>
      <c r="C5781" t="e">
        <v>#N/A</v>
      </c>
      <c r="K5781" t="n">
        <v>0</v>
      </c>
      <c r="L5781" t="n">
        <v>0</v>
      </c>
      <c r="M5781" t="n">
        <v>0</v>
      </c>
      <c r="AC5781" t="n">
        <v>0</v>
      </c>
      <c r="AD5781" t="n">
        <v>0</v>
      </c>
      <c r="AE5781" t="n">
        <v>0</v>
      </c>
      <c r="AF5781" t="n">
        <v>0</v>
      </c>
      <c r="AG5781" t="n">
        <v>0</v>
      </c>
      <c r="AH5781" t="n">
        <v>0</v>
      </c>
      <c r="AI5781" t="n">
        <v>0</v>
      </c>
    </row>
    <row r="5782">
      <c r="A5782" t="inlineStr">
        <is>
          <t>12월</t>
        </is>
      </c>
      <c r="B5782" t="inlineStr">
        <is>
          <t>52주차</t>
        </is>
      </c>
      <c r="C5782" t="e">
        <v>#N/A</v>
      </c>
      <c r="K5782" t="n">
        <v>0</v>
      </c>
      <c r="L5782" t="n">
        <v>0</v>
      </c>
      <c r="M5782" t="n">
        <v>0</v>
      </c>
      <c r="AC5782" t="n">
        <v>0</v>
      </c>
      <c r="AD5782" t="n">
        <v>0</v>
      </c>
      <c r="AE5782" t="n">
        <v>0</v>
      </c>
      <c r="AF5782" t="n">
        <v>0</v>
      </c>
      <c r="AG5782" t="n">
        <v>0</v>
      </c>
      <c r="AH5782" t="n">
        <v>0</v>
      </c>
      <c r="AI5782" t="n">
        <v>0</v>
      </c>
    </row>
    <row r="5783">
      <c r="A5783" t="inlineStr">
        <is>
          <t>12월</t>
        </is>
      </c>
      <c r="B5783" t="inlineStr">
        <is>
          <t>52주차</t>
        </is>
      </c>
      <c r="C5783" t="e">
        <v>#N/A</v>
      </c>
      <c r="K5783" t="n">
        <v>0</v>
      </c>
      <c r="L5783" t="n">
        <v>0</v>
      </c>
      <c r="M5783" t="n">
        <v>0</v>
      </c>
      <c r="AC5783" t="n">
        <v>0</v>
      </c>
      <c r="AD5783" t="n">
        <v>0</v>
      </c>
      <c r="AE5783" t="n">
        <v>0</v>
      </c>
      <c r="AF5783" t="n">
        <v>0</v>
      </c>
      <c r="AG5783" t="n">
        <v>0</v>
      </c>
      <c r="AH5783" t="n">
        <v>0</v>
      </c>
    </row>
    <row r="5784">
      <c r="A5784" t="inlineStr">
        <is>
          <t>12월</t>
        </is>
      </c>
      <c r="B5784" t="inlineStr">
        <is>
          <t>52주차</t>
        </is>
      </c>
      <c r="C5784" t="e">
        <v>#N/A</v>
      </c>
      <c r="K5784" t="n">
        <v>0</v>
      </c>
      <c r="L5784" t="n">
        <v>0</v>
      </c>
      <c r="M5784" t="n">
        <v>0</v>
      </c>
      <c r="AC5784" t="n">
        <v>0</v>
      </c>
      <c r="AD5784" t="n">
        <v>0</v>
      </c>
      <c r="AE5784" t="n">
        <v>0</v>
      </c>
      <c r="AF5784" t="n">
        <v>0</v>
      </c>
      <c r="AG5784" t="n">
        <v>0</v>
      </c>
      <c r="AH5784" t="n">
        <v>0</v>
      </c>
    </row>
    <row r="5785">
      <c r="A5785" t="inlineStr">
        <is>
          <t>12월</t>
        </is>
      </c>
      <c r="B5785" t="inlineStr">
        <is>
          <t>52주차</t>
        </is>
      </c>
      <c r="C5785" t="e">
        <v>#N/A</v>
      </c>
      <c r="K5785" t="n">
        <v>0</v>
      </c>
      <c r="L5785" t="n">
        <v>0</v>
      </c>
      <c r="M5785" t="n">
        <v>0</v>
      </c>
      <c r="AC5785" t="n">
        <v>0</v>
      </c>
      <c r="AD5785" t="n">
        <v>0</v>
      </c>
      <c r="AE5785" t="n">
        <v>0</v>
      </c>
      <c r="AF5785" t="n">
        <v>0</v>
      </c>
      <c r="AG5785" t="n">
        <v>0</v>
      </c>
      <c r="AH5785" t="n">
        <v>0</v>
      </c>
      <c r="AI5785" t="n">
        <v>0</v>
      </c>
    </row>
    <row r="5786">
      <c r="A5786" t="inlineStr">
        <is>
          <t>12월</t>
        </is>
      </c>
      <c r="B5786" t="inlineStr">
        <is>
          <t>52주차</t>
        </is>
      </c>
      <c r="C5786" t="e">
        <v>#N/A</v>
      </c>
      <c r="K5786" t="n">
        <v>0</v>
      </c>
      <c r="L5786" t="n">
        <v>0</v>
      </c>
      <c r="M5786" t="n">
        <v>0</v>
      </c>
      <c r="AC5786" t="n">
        <v>0</v>
      </c>
      <c r="AD5786" t="n">
        <v>0</v>
      </c>
      <c r="AE5786" t="n">
        <v>0</v>
      </c>
      <c r="AF5786" t="n">
        <v>0</v>
      </c>
      <c r="AG5786" t="n">
        <v>0</v>
      </c>
      <c r="AH5786" t="n">
        <v>0</v>
      </c>
    </row>
    <row r="5787">
      <c r="A5787" t="inlineStr">
        <is>
          <t>12월</t>
        </is>
      </c>
      <c r="B5787" t="inlineStr">
        <is>
          <t>52주차</t>
        </is>
      </c>
      <c r="C5787" t="e">
        <v>#N/A</v>
      </c>
      <c r="K5787" t="n">
        <v>0</v>
      </c>
      <c r="L5787" t="n">
        <v>0</v>
      </c>
      <c r="M5787" t="n">
        <v>0</v>
      </c>
      <c r="AC5787" t="n">
        <v>0</v>
      </c>
      <c r="AD5787" t="n">
        <v>0</v>
      </c>
      <c r="AE5787" t="n">
        <v>0</v>
      </c>
      <c r="AF5787" t="n">
        <v>0</v>
      </c>
      <c r="AG5787" t="n">
        <v>0</v>
      </c>
      <c r="AH5787" t="n">
        <v>0</v>
      </c>
      <c r="AI5787" t="n">
        <v>0</v>
      </c>
    </row>
    <row r="5788">
      <c r="A5788" t="inlineStr">
        <is>
          <t>12월</t>
        </is>
      </c>
      <c r="B5788" t="inlineStr">
        <is>
          <t>52주차</t>
        </is>
      </c>
      <c r="C5788" t="e">
        <v>#N/A</v>
      </c>
      <c r="K5788" t="n">
        <v>0</v>
      </c>
      <c r="L5788" t="n">
        <v>0</v>
      </c>
      <c r="M5788" t="n">
        <v>0</v>
      </c>
      <c r="AC5788" t="n">
        <v>0</v>
      </c>
      <c r="AD5788" t="n">
        <v>0</v>
      </c>
      <c r="AE5788" t="n">
        <v>0</v>
      </c>
      <c r="AF5788" t="n">
        <v>0</v>
      </c>
      <c r="AG5788" t="n">
        <v>0</v>
      </c>
      <c r="AH5788" t="n">
        <v>0</v>
      </c>
      <c r="AI5788" t="n">
        <v>0</v>
      </c>
    </row>
    <row r="5789">
      <c r="A5789" t="inlineStr">
        <is>
          <t>12월</t>
        </is>
      </c>
      <c r="B5789" t="inlineStr">
        <is>
          <t>52주차</t>
        </is>
      </c>
      <c r="C5789" t="e">
        <v>#N/A</v>
      </c>
      <c r="K5789" t="n">
        <v>0</v>
      </c>
      <c r="L5789" t="n">
        <v>0</v>
      </c>
      <c r="M5789" t="n">
        <v>0</v>
      </c>
      <c r="AC5789" t="n">
        <v>0</v>
      </c>
      <c r="AD5789" t="n">
        <v>0</v>
      </c>
      <c r="AE5789" t="n">
        <v>0</v>
      </c>
      <c r="AF5789" t="n">
        <v>0</v>
      </c>
      <c r="AG5789" t="n">
        <v>0</v>
      </c>
      <c r="AH5789" t="n">
        <v>0</v>
      </c>
      <c r="AI5789" t="n">
        <v>0</v>
      </c>
    </row>
    <row r="5790">
      <c r="A5790" t="inlineStr">
        <is>
          <t>12월</t>
        </is>
      </c>
      <c r="B5790" t="inlineStr">
        <is>
          <t>52주차</t>
        </is>
      </c>
      <c r="C5790" t="e">
        <v>#N/A</v>
      </c>
      <c r="K5790" t="n">
        <v>0</v>
      </c>
      <c r="L5790" t="n">
        <v>0</v>
      </c>
      <c r="M5790" t="n">
        <v>0</v>
      </c>
      <c r="AC5790" t="n">
        <v>0</v>
      </c>
      <c r="AD5790" t="n">
        <v>0</v>
      </c>
      <c r="AE5790" t="n">
        <v>0</v>
      </c>
      <c r="AF5790" t="n">
        <v>0</v>
      </c>
      <c r="AG5790" t="n">
        <v>0</v>
      </c>
      <c r="AH5790" t="n">
        <v>0</v>
      </c>
      <c r="AI5790" t="n">
        <v>0</v>
      </c>
    </row>
    <row r="5791">
      <c r="A5791" t="inlineStr">
        <is>
          <t>12월</t>
        </is>
      </c>
      <c r="B5791" t="inlineStr">
        <is>
          <t>52주차</t>
        </is>
      </c>
      <c r="C5791" t="e">
        <v>#N/A</v>
      </c>
      <c r="K5791" t="n">
        <v>0</v>
      </c>
      <c r="L5791" t="n">
        <v>0</v>
      </c>
      <c r="M5791" t="n">
        <v>0</v>
      </c>
      <c r="AC5791" t="n">
        <v>0</v>
      </c>
      <c r="AD5791" t="n">
        <v>0</v>
      </c>
      <c r="AE5791" t="n">
        <v>0</v>
      </c>
      <c r="AF5791" t="n">
        <v>0</v>
      </c>
      <c r="AG5791" t="n">
        <v>0</v>
      </c>
      <c r="AH5791" t="n">
        <v>0</v>
      </c>
      <c r="AI5791" t="n">
        <v>0</v>
      </c>
    </row>
    <row r="5792">
      <c r="A5792" t="inlineStr">
        <is>
          <t>12월</t>
        </is>
      </c>
      <c r="B5792" t="inlineStr">
        <is>
          <t>52주차</t>
        </is>
      </c>
      <c r="C5792" t="e">
        <v>#N/A</v>
      </c>
      <c r="K5792" t="n">
        <v>0</v>
      </c>
      <c r="L5792" t="n">
        <v>0</v>
      </c>
      <c r="M5792" t="n">
        <v>0</v>
      </c>
      <c r="AC5792" t="n">
        <v>0</v>
      </c>
      <c r="AD5792" t="n">
        <v>0</v>
      </c>
      <c r="AE5792" t="n">
        <v>0</v>
      </c>
      <c r="AF5792" t="n">
        <v>0</v>
      </c>
      <c r="AG5792" t="n">
        <v>0</v>
      </c>
      <c r="AH5792" t="n">
        <v>0</v>
      </c>
    </row>
    <row r="5793">
      <c r="A5793" t="inlineStr">
        <is>
          <t>12월</t>
        </is>
      </c>
      <c r="B5793" t="inlineStr">
        <is>
          <t>52주차</t>
        </is>
      </c>
      <c r="C5793" t="e">
        <v>#N/A</v>
      </c>
      <c r="K5793" t="n">
        <v>0</v>
      </c>
      <c r="L5793" t="n">
        <v>0</v>
      </c>
      <c r="M5793" t="n">
        <v>0</v>
      </c>
      <c r="AC5793" t="n">
        <v>0</v>
      </c>
      <c r="AD5793" t="n">
        <v>0</v>
      </c>
      <c r="AE5793" t="n">
        <v>0</v>
      </c>
      <c r="AF5793" t="n">
        <v>0</v>
      </c>
      <c r="AG5793" t="n">
        <v>0</v>
      </c>
      <c r="AH5793" t="n">
        <v>0</v>
      </c>
    </row>
    <row r="5794">
      <c r="A5794" t="inlineStr">
        <is>
          <t>12월</t>
        </is>
      </c>
      <c r="B5794" t="inlineStr">
        <is>
          <t>52주차</t>
        </is>
      </c>
      <c r="C5794" t="e">
        <v>#N/A</v>
      </c>
      <c r="K5794" t="n">
        <v>0</v>
      </c>
      <c r="L5794" t="n">
        <v>0</v>
      </c>
      <c r="M5794" t="n">
        <v>0</v>
      </c>
      <c r="AC5794" t="n">
        <v>0</v>
      </c>
      <c r="AD5794" t="n">
        <v>0</v>
      </c>
      <c r="AE5794" t="n">
        <v>0</v>
      </c>
      <c r="AF5794" t="n">
        <v>0</v>
      </c>
      <c r="AG5794" t="n">
        <v>0</v>
      </c>
      <c r="AH5794" t="n">
        <v>0</v>
      </c>
      <c r="AI5794" t="n">
        <v>0</v>
      </c>
    </row>
    <row r="5795">
      <c r="A5795" t="inlineStr">
        <is>
          <t>12월</t>
        </is>
      </c>
      <c r="B5795" t="inlineStr">
        <is>
          <t>52주차</t>
        </is>
      </c>
      <c r="C5795" t="e">
        <v>#N/A</v>
      </c>
      <c r="K5795" t="n">
        <v>0</v>
      </c>
      <c r="L5795" t="n">
        <v>0</v>
      </c>
      <c r="M5795" t="n">
        <v>0</v>
      </c>
      <c r="AC5795" t="n">
        <v>0</v>
      </c>
      <c r="AD5795" t="n">
        <v>0</v>
      </c>
      <c r="AE5795" t="n">
        <v>0</v>
      </c>
      <c r="AF5795" t="n">
        <v>0</v>
      </c>
      <c r="AG5795" t="n">
        <v>0</v>
      </c>
      <c r="AH5795" t="n">
        <v>0</v>
      </c>
    </row>
    <row r="5796">
      <c r="A5796" t="inlineStr">
        <is>
          <t>12월</t>
        </is>
      </c>
      <c r="B5796" t="inlineStr">
        <is>
          <t>52주차</t>
        </is>
      </c>
      <c r="C5796" t="e">
        <v>#N/A</v>
      </c>
      <c r="K5796" t="n">
        <v>0</v>
      </c>
      <c r="L5796" t="n">
        <v>0</v>
      </c>
      <c r="M5796" t="n">
        <v>0</v>
      </c>
      <c r="AC5796" t="n">
        <v>0</v>
      </c>
      <c r="AD5796" t="n">
        <v>0</v>
      </c>
      <c r="AE5796" t="n">
        <v>0</v>
      </c>
      <c r="AF5796" t="n">
        <v>0</v>
      </c>
      <c r="AG5796" t="n">
        <v>0</v>
      </c>
      <c r="AH5796" t="n">
        <v>0</v>
      </c>
      <c r="AI5796" t="n">
        <v>0</v>
      </c>
    </row>
    <row r="5797">
      <c r="A5797" t="inlineStr">
        <is>
          <t>12월</t>
        </is>
      </c>
      <c r="B5797" t="inlineStr">
        <is>
          <t>52주차</t>
        </is>
      </c>
      <c r="C5797" t="e">
        <v>#N/A</v>
      </c>
      <c r="K5797" t="n">
        <v>0</v>
      </c>
      <c r="L5797" t="n">
        <v>0</v>
      </c>
      <c r="M5797" t="n">
        <v>0</v>
      </c>
      <c r="AC5797" t="n">
        <v>0</v>
      </c>
      <c r="AD5797" t="n">
        <v>0</v>
      </c>
      <c r="AE5797" t="n">
        <v>0</v>
      </c>
      <c r="AF5797" t="n">
        <v>0</v>
      </c>
      <c r="AG5797" t="n">
        <v>0</v>
      </c>
      <c r="AH5797" t="n">
        <v>0</v>
      </c>
      <c r="AI5797" t="n">
        <v>0</v>
      </c>
    </row>
    <row r="5798">
      <c r="A5798" t="inlineStr">
        <is>
          <t>12월</t>
        </is>
      </c>
      <c r="B5798" t="inlineStr">
        <is>
          <t>52주차</t>
        </is>
      </c>
      <c r="C5798" t="e">
        <v>#N/A</v>
      </c>
      <c r="K5798" t="n">
        <v>0</v>
      </c>
      <c r="L5798" t="n">
        <v>0</v>
      </c>
      <c r="M5798" t="n">
        <v>0</v>
      </c>
      <c r="AC5798" t="n">
        <v>0</v>
      </c>
      <c r="AD5798" t="n">
        <v>0</v>
      </c>
      <c r="AE5798" t="n">
        <v>0</v>
      </c>
      <c r="AF5798" t="n">
        <v>0</v>
      </c>
      <c r="AG5798" t="n">
        <v>0</v>
      </c>
      <c r="AH5798" t="n">
        <v>0</v>
      </c>
      <c r="AI5798" t="n">
        <v>0</v>
      </c>
    </row>
    <row r="5799">
      <c r="A5799" t="inlineStr">
        <is>
          <t>12월</t>
        </is>
      </c>
      <c r="B5799" t="inlineStr">
        <is>
          <t>52주차</t>
        </is>
      </c>
      <c r="C5799" t="e">
        <v>#N/A</v>
      </c>
      <c r="K5799" t="n">
        <v>0</v>
      </c>
      <c r="L5799" t="n">
        <v>0</v>
      </c>
      <c r="M5799" t="n">
        <v>0</v>
      </c>
      <c r="AC5799" t="n">
        <v>0</v>
      </c>
      <c r="AD5799" t="n">
        <v>0</v>
      </c>
      <c r="AE5799" t="n">
        <v>0</v>
      </c>
      <c r="AF5799" t="n">
        <v>0</v>
      </c>
      <c r="AG5799" t="n">
        <v>0</v>
      </c>
      <c r="AH5799" t="n">
        <v>0</v>
      </c>
      <c r="AI5799" t="n">
        <v>0</v>
      </c>
    </row>
    <row r="5800">
      <c r="A5800" t="inlineStr">
        <is>
          <t>12월</t>
        </is>
      </c>
      <c r="B5800" t="inlineStr">
        <is>
          <t>52주차</t>
        </is>
      </c>
      <c r="C5800" t="e">
        <v>#N/A</v>
      </c>
      <c r="K5800" t="n">
        <v>0</v>
      </c>
      <c r="L5800" t="n">
        <v>0</v>
      </c>
      <c r="M5800" t="n">
        <v>0</v>
      </c>
      <c r="AC5800" t="n">
        <v>0</v>
      </c>
      <c r="AD5800" t="n">
        <v>0</v>
      </c>
      <c r="AE5800" t="n">
        <v>0</v>
      </c>
      <c r="AF5800" t="n">
        <v>0</v>
      </c>
      <c r="AG5800" t="n">
        <v>0</v>
      </c>
      <c r="AH5800" t="n">
        <v>0</v>
      </c>
      <c r="AI5800" t="n">
        <v>0</v>
      </c>
    </row>
    <row r="5801">
      <c r="A5801" t="inlineStr">
        <is>
          <t>12월</t>
        </is>
      </c>
      <c r="B5801" t="inlineStr">
        <is>
          <t>52주차</t>
        </is>
      </c>
      <c r="C5801" t="e">
        <v>#N/A</v>
      </c>
      <c r="K5801" t="n">
        <v>0</v>
      </c>
      <c r="L5801" t="n">
        <v>0</v>
      </c>
      <c r="M5801" t="n">
        <v>0</v>
      </c>
      <c r="AC5801" t="n">
        <v>0</v>
      </c>
      <c r="AD5801" t="n">
        <v>0</v>
      </c>
      <c r="AE5801" t="n">
        <v>0</v>
      </c>
      <c r="AF5801" t="n">
        <v>0</v>
      </c>
      <c r="AG5801" t="n">
        <v>0</v>
      </c>
      <c r="AH5801" t="n">
        <v>0</v>
      </c>
    </row>
    <row r="5802">
      <c r="A5802" t="inlineStr">
        <is>
          <t>12월</t>
        </is>
      </c>
      <c r="B5802" t="inlineStr">
        <is>
          <t>52주차</t>
        </is>
      </c>
      <c r="C5802" t="e">
        <v>#N/A</v>
      </c>
      <c r="K5802" t="n">
        <v>0</v>
      </c>
      <c r="L5802" t="n">
        <v>0</v>
      </c>
      <c r="M5802" t="n">
        <v>0</v>
      </c>
      <c r="AC5802" t="n">
        <v>0</v>
      </c>
      <c r="AD5802" t="n">
        <v>0</v>
      </c>
      <c r="AE5802" t="n">
        <v>0</v>
      </c>
      <c r="AF5802" t="n">
        <v>0</v>
      </c>
      <c r="AG5802" t="n">
        <v>0</v>
      </c>
      <c r="AH5802" t="n">
        <v>0</v>
      </c>
      <c r="AI5802" t="n">
        <v>0</v>
      </c>
    </row>
    <row r="5803">
      <c r="A5803" t="inlineStr">
        <is>
          <t>12월</t>
        </is>
      </c>
      <c r="B5803" t="inlineStr">
        <is>
          <t>52주차</t>
        </is>
      </c>
      <c r="C5803" t="e">
        <v>#N/A</v>
      </c>
      <c r="K5803" t="n">
        <v>0</v>
      </c>
      <c r="L5803" t="n">
        <v>0</v>
      </c>
      <c r="M5803" t="n">
        <v>0</v>
      </c>
      <c r="AC5803" t="n">
        <v>0</v>
      </c>
      <c r="AD5803" t="n">
        <v>0</v>
      </c>
      <c r="AE5803" t="n">
        <v>0</v>
      </c>
      <c r="AF5803" t="n">
        <v>0</v>
      </c>
      <c r="AG5803" t="n">
        <v>0</v>
      </c>
      <c r="AH5803" t="n">
        <v>0</v>
      </c>
      <c r="AI5803" t="n">
        <v>0</v>
      </c>
    </row>
    <row r="5804">
      <c r="A5804" t="inlineStr">
        <is>
          <t>12월</t>
        </is>
      </c>
      <c r="B5804" t="inlineStr">
        <is>
          <t>52주차</t>
        </is>
      </c>
      <c r="C5804" t="e">
        <v>#N/A</v>
      </c>
      <c r="K5804" t="n">
        <v>0</v>
      </c>
      <c r="L5804" t="n">
        <v>0</v>
      </c>
      <c r="M5804" t="n">
        <v>0</v>
      </c>
      <c r="AC5804" t="n">
        <v>0</v>
      </c>
      <c r="AD5804" t="n">
        <v>0</v>
      </c>
      <c r="AE5804" t="n">
        <v>0</v>
      </c>
      <c r="AF5804" t="n">
        <v>0</v>
      </c>
      <c r="AG5804" t="n">
        <v>0</v>
      </c>
      <c r="AH5804" t="n">
        <v>0</v>
      </c>
      <c r="AI5804" t="n">
        <v>0</v>
      </c>
    </row>
    <row r="5805">
      <c r="A5805" t="inlineStr">
        <is>
          <t>12월</t>
        </is>
      </c>
      <c r="B5805" t="inlineStr">
        <is>
          <t>52주차</t>
        </is>
      </c>
      <c r="C5805" t="e">
        <v>#N/A</v>
      </c>
      <c r="K5805" t="n">
        <v>0</v>
      </c>
      <c r="L5805" t="n">
        <v>0</v>
      </c>
      <c r="M5805" t="n">
        <v>0</v>
      </c>
      <c r="AC5805" t="n">
        <v>0</v>
      </c>
      <c r="AD5805" t="n">
        <v>0</v>
      </c>
      <c r="AE5805" t="n">
        <v>0</v>
      </c>
      <c r="AF5805" t="n">
        <v>0</v>
      </c>
      <c r="AG5805" t="n">
        <v>0</v>
      </c>
      <c r="AH5805" t="n">
        <v>0</v>
      </c>
    </row>
    <row r="5806">
      <c r="A5806" t="inlineStr">
        <is>
          <t>12월</t>
        </is>
      </c>
      <c r="B5806" t="inlineStr">
        <is>
          <t>52주차</t>
        </is>
      </c>
      <c r="C5806" t="e">
        <v>#N/A</v>
      </c>
      <c r="K5806" t="n">
        <v>0</v>
      </c>
      <c r="L5806" t="n">
        <v>0</v>
      </c>
      <c r="M5806" t="n">
        <v>0</v>
      </c>
      <c r="AC5806" t="n">
        <v>0</v>
      </c>
      <c r="AD5806" t="n">
        <v>0</v>
      </c>
      <c r="AE5806" t="n">
        <v>0</v>
      </c>
      <c r="AF5806" t="n">
        <v>0</v>
      </c>
      <c r="AG5806" t="n">
        <v>0</v>
      </c>
      <c r="AH5806" t="n">
        <v>0</v>
      </c>
    </row>
    <row r="5807">
      <c r="A5807" t="inlineStr">
        <is>
          <t>12월</t>
        </is>
      </c>
      <c r="B5807" t="inlineStr">
        <is>
          <t>52주차</t>
        </is>
      </c>
      <c r="C5807" t="e">
        <v>#N/A</v>
      </c>
      <c r="K5807" t="n">
        <v>0</v>
      </c>
      <c r="L5807" t="n">
        <v>0</v>
      </c>
      <c r="M5807" t="n">
        <v>0</v>
      </c>
      <c r="AC5807" t="n">
        <v>0</v>
      </c>
      <c r="AD5807" t="n">
        <v>0</v>
      </c>
      <c r="AE5807" t="n">
        <v>0</v>
      </c>
      <c r="AF5807" t="n">
        <v>0</v>
      </c>
      <c r="AG5807" t="n">
        <v>0</v>
      </c>
      <c r="AH5807" t="n">
        <v>0</v>
      </c>
      <c r="AI5807" t="n">
        <v>0</v>
      </c>
    </row>
    <row r="5808">
      <c r="A5808" t="inlineStr">
        <is>
          <t>12월</t>
        </is>
      </c>
      <c r="B5808" t="inlineStr">
        <is>
          <t>52주차</t>
        </is>
      </c>
      <c r="C5808" t="e">
        <v>#N/A</v>
      </c>
      <c r="K5808" t="n">
        <v>0</v>
      </c>
      <c r="L5808" t="n">
        <v>0</v>
      </c>
      <c r="M5808" t="n">
        <v>0</v>
      </c>
      <c r="AC5808" t="n">
        <v>0</v>
      </c>
      <c r="AD5808" t="n">
        <v>0</v>
      </c>
      <c r="AE5808" t="n">
        <v>0</v>
      </c>
      <c r="AF5808" t="n">
        <v>0</v>
      </c>
      <c r="AG5808" t="n">
        <v>0</v>
      </c>
      <c r="AH5808" t="n">
        <v>0</v>
      </c>
    </row>
    <row r="5809">
      <c r="A5809" t="inlineStr">
        <is>
          <t>12월</t>
        </is>
      </c>
      <c r="B5809" t="inlineStr">
        <is>
          <t>52주차</t>
        </is>
      </c>
      <c r="C5809" t="e">
        <v>#N/A</v>
      </c>
      <c r="K5809" t="n">
        <v>0</v>
      </c>
      <c r="L5809" t="n">
        <v>0</v>
      </c>
      <c r="M5809" t="n">
        <v>0</v>
      </c>
      <c r="AC5809" t="n">
        <v>0</v>
      </c>
      <c r="AD5809" t="n">
        <v>0</v>
      </c>
      <c r="AE5809" t="n">
        <v>0</v>
      </c>
      <c r="AF5809" t="n">
        <v>0</v>
      </c>
      <c r="AG5809" t="n">
        <v>0</v>
      </c>
      <c r="AH5809" t="n">
        <v>0</v>
      </c>
      <c r="AI5809" t="n">
        <v>0</v>
      </c>
    </row>
    <row r="5810">
      <c r="A5810" t="inlineStr">
        <is>
          <t>12월</t>
        </is>
      </c>
      <c r="B5810" t="inlineStr">
        <is>
          <t>52주차</t>
        </is>
      </c>
      <c r="C5810" t="e">
        <v>#N/A</v>
      </c>
      <c r="K5810" t="n">
        <v>0</v>
      </c>
      <c r="L5810" t="n">
        <v>0</v>
      </c>
      <c r="M5810" t="n">
        <v>0</v>
      </c>
      <c r="AC5810" t="n">
        <v>0</v>
      </c>
      <c r="AD5810" t="n">
        <v>0</v>
      </c>
      <c r="AE5810" t="n">
        <v>0</v>
      </c>
      <c r="AF5810" t="n">
        <v>0</v>
      </c>
      <c r="AG5810" t="n">
        <v>0</v>
      </c>
      <c r="AH5810" t="n">
        <v>0</v>
      </c>
    </row>
    <row r="5811">
      <c r="A5811" t="inlineStr">
        <is>
          <t>12월</t>
        </is>
      </c>
      <c r="B5811" t="inlineStr">
        <is>
          <t>52주차</t>
        </is>
      </c>
      <c r="C5811" t="e">
        <v>#N/A</v>
      </c>
      <c r="K5811" t="n">
        <v>0</v>
      </c>
      <c r="L5811" t="n">
        <v>0</v>
      </c>
      <c r="M5811" t="n">
        <v>0</v>
      </c>
      <c r="AC5811" t="n">
        <v>0</v>
      </c>
      <c r="AD5811" t="n">
        <v>0</v>
      </c>
      <c r="AE5811" t="n">
        <v>0</v>
      </c>
      <c r="AF5811" t="n">
        <v>0</v>
      </c>
      <c r="AG5811" t="n">
        <v>0</v>
      </c>
      <c r="AH5811" t="n">
        <v>0</v>
      </c>
    </row>
    <row r="5812">
      <c r="A5812" t="inlineStr">
        <is>
          <t>12월</t>
        </is>
      </c>
      <c r="B5812" t="inlineStr">
        <is>
          <t>52주차</t>
        </is>
      </c>
      <c r="C5812" t="e">
        <v>#N/A</v>
      </c>
      <c r="K5812" t="n">
        <v>0</v>
      </c>
      <c r="L5812" t="n">
        <v>0</v>
      </c>
      <c r="M5812" t="n">
        <v>0</v>
      </c>
      <c r="AC5812" t="n">
        <v>0</v>
      </c>
      <c r="AD5812" t="n">
        <v>0</v>
      </c>
      <c r="AE5812" t="n">
        <v>0</v>
      </c>
      <c r="AF5812" t="n">
        <v>0</v>
      </c>
      <c r="AG5812" t="n">
        <v>0</v>
      </c>
      <c r="AH5812" t="n">
        <v>0</v>
      </c>
    </row>
    <row r="5813">
      <c r="A5813" t="inlineStr">
        <is>
          <t>12월</t>
        </is>
      </c>
      <c r="B5813" t="inlineStr">
        <is>
          <t>52주차</t>
        </is>
      </c>
      <c r="C5813" t="e">
        <v>#N/A</v>
      </c>
      <c r="K5813" t="n">
        <v>0</v>
      </c>
      <c r="L5813" t="n">
        <v>0</v>
      </c>
      <c r="M5813" t="n">
        <v>0</v>
      </c>
      <c r="AC5813" t="n">
        <v>0</v>
      </c>
      <c r="AD5813" t="n">
        <v>0</v>
      </c>
      <c r="AE5813" t="n">
        <v>0</v>
      </c>
      <c r="AF5813" t="n">
        <v>0</v>
      </c>
      <c r="AG5813" t="n">
        <v>0</v>
      </c>
      <c r="AH5813" t="n">
        <v>0</v>
      </c>
      <c r="AI5813" t="n">
        <v>0</v>
      </c>
    </row>
    <row r="5814">
      <c r="A5814" t="inlineStr">
        <is>
          <t>12월</t>
        </is>
      </c>
      <c r="B5814" t="inlineStr">
        <is>
          <t>52주차</t>
        </is>
      </c>
      <c r="C5814" t="e">
        <v>#N/A</v>
      </c>
      <c r="K5814" t="n">
        <v>0</v>
      </c>
      <c r="L5814" t="n">
        <v>0</v>
      </c>
      <c r="M5814" t="n">
        <v>0</v>
      </c>
      <c r="AC5814" t="n">
        <v>0</v>
      </c>
      <c r="AD5814" t="n">
        <v>0</v>
      </c>
      <c r="AE5814" t="n">
        <v>0</v>
      </c>
      <c r="AF5814" t="n">
        <v>0</v>
      </c>
      <c r="AG5814" t="n">
        <v>0</v>
      </c>
      <c r="AH5814" t="n">
        <v>0</v>
      </c>
      <c r="AI5814" t="n">
        <v>0</v>
      </c>
    </row>
    <row r="5815">
      <c r="A5815" t="inlineStr">
        <is>
          <t>12월</t>
        </is>
      </c>
      <c r="B5815" t="inlineStr">
        <is>
          <t>52주차</t>
        </is>
      </c>
      <c r="C5815" t="e">
        <v>#N/A</v>
      </c>
      <c r="K5815" t="n">
        <v>0</v>
      </c>
      <c r="L5815" t="n">
        <v>0</v>
      </c>
      <c r="M5815" t="n">
        <v>0</v>
      </c>
      <c r="AC5815" t="n">
        <v>0</v>
      </c>
      <c r="AD5815" t="n">
        <v>0</v>
      </c>
      <c r="AE5815" t="n">
        <v>0</v>
      </c>
      <c r="AF5815" t="n">
        <v>0</v>
      </c>
      <c r="AG5815" t="n">
        <v>0</v>
      </c>
      <c r="AH5815" t="n">
        <v>0</v>
      </c>
      <c r="AI5815" t="n">
        <v>0</v>
      </c>
    </row>
    <row r="5816">
      <c r="A5816" t="inlineStr">
        <is>
          <t>12월</t>
        </is>
      </c>
      <c r="B5816" t="inlineStr">
        <is>
          <t>52주차</t>
        </is>
      </c>
      <c r="C5816" t="e">
        <v>#N/A</v>
      </c>
      <c r="K5816" t="n">
        <v>0</v>
      </c>
      <c r="L5816" t="n">
        <v>0</v>
      </c>
      <c r="M5816" t="n">
        <v>0</v>
      </c>
      <c r="AC5816" t="n">
        <v>0</v>
      </c>
      <c r="AD5816" t="n">
        <v>0</v>
      </c>
      <c r="AE5816" t="n">
        <v>0</v>
      </c>
      <c r="AF5816" t="n">
        <v>0</v>
      </c>
      <c r="AG5816" t="n">
        <v>0</v>
      </c>
      <c r="AH5816" t="n">
        <v>0</v>
      </c>
      <c r="AI5816" t="n">
        <v>0</v>
      </c>
    </row>
    <row r="5817">
      <c r="A5817" t="inlineStr">
        <is>
          <t>12월</t>
        </is>
      </c>
      <c r="B5817" t="inlineStr">
        <is>
          <t>52주차</t>
        </is>
      </c>
      <c r="C5817" t="e">
        <v>#N/A</v>
      </c>
      <c r="K5817" t="n">
        <v>0</v>
      </c>
      <c r="L5817" t="n">
        <v>0</v>
      </c>
      <c r="M5817" t="n">
        <v>0</v>
      </c>
      <c r="AC5817" t="n">
        <v>0</v>
      </c>
      <c r="AD5817" t="n">
        <v>0</v>
      </c>
      <c r="AE5817" t="n">
        <v>0</v>
      </c>
      <c r="AF5817" t="n">
        <v>0</v>
      </c>
      <c r="AG5817" t="n">
        <v>0</v>
      </c>
      <c r="AH5817" t="n">
        <v>0</v>
      </c>
      <c r="AI5817" t="n">
        <v>0</v>
      </c>
    </row>
    <row r="5818">
      <c r="A5818" t="inlineStr">
        <is>
          <t>12월</t>
        </is>
      </c>
      <c r="B5818" t="inlineStr">
        <is>
          <t>52주차</t>
        </is>
      </c>
      <c r="C5818" t="e">
        <v>#N/A</v>
      </c>
      <c r="K5818" t="n">
        <v>0</v>
      </c>
      <c r="L5818" t="n">
        <v>0</v>
      </c>
      <c r="M5818" t="n">
        <v>0</v>
      </c>
      <c r="AC5818" t="n">
        <v>0</v>
      </c>
      <c r="AD5818" t="n">
        <v>0</v>
      </c>
      <c r="AE5818" t="n">
        <v>0</v>
      </c>
      <c r="AF5818" t="n">
        <v>0</v>
      </c>
      <c r="AG5818" t="n">
        <v>0</v>
      </c>
      <c r="AH5818" t="n">
        <v>0</v>
      </c>
      <c r="AI5818" t="n">
        <v>0</v>
      </c>
    </row>
    <row r="5819">
      <c r="A5819" t="inlineStr">
        <is>
          <t>12월</t>
        </is>
      </c>
      <c r="B5819" t="inlineStr">
        <is>
          <t>52주차</t>
        </is>
      </c>
      <c r="C5819" t="e">
        <v>#N/A</v>
      </c>
      <c r="K5819" t="n">
        <v>0</v>
      </c>
      <c r="L5819" t="n">
        <v>0</v>
      </c>
      <c r="M5819" t="n">
        <v>0</v>
      </c>
      <c r="AC5819" t="n">
        <v>0</v>
      </c>
      <c r="AD5819" t="n">
        <v>0</v>
      </c>
      <c r="AE5819" t="n">
        <v>0</v>
      </c>
      <c r="AF5819" t="n">
        <v>0</v>
      </c>
      <c r="AG5819" t="n">
        <v>0</v>
      </c>
      <c r="AH5819" t="n">
        <v>0</v>
      </c>
    </row>
    <row r="5820">
      <c r="A5820" t="inlineStr">
        <is>
          <t>12월</t>
        </is>
      </c>
      <c r="B5820" t="inlineStr">
        <is>
          <t>52주차</t>
        </is>
      </c>
      <c r="C5820" t="e">
        <v>#N/A</v>
      </c>
      <c r="K5820" t="n">
        <v>0</v>
      </c>
      <c r="L5820" t="n">
        <v>0</v>
      </c>
      <c r="M5820" t="n">
        <v>0</v>
      </c>
      <c r="AC5820" t="n">
        <v>0</v>
      </c>
      <c r="AD5820" t="n">
        <v>0</v>
      </c>
      <c r="AE5820" t="n">
        <v>0</v>
      </c>
      <c r="AF5820" t="n">
        <v>0</v>
      </c>
      <c r="AG5820" t="n">
        <v>0</v>
      </c>
      <c r="AH5820" t="n">
        <v>0</v>
      </c>
      <c r="AI5820" t="n">
        <v>0</v>
      </c>
    </row>
    <row r="5821">
      <c r="A5821" t="inlineStr">
        <is>
          <t>12월</t>
        </is>
      </c>
      <c r="B5821" t="inlineStr">
        <is>
          <t>52주차</t>
        </is>
      </c>
      <c r="C5821" t="e">
        <v>#N/A</v>
      </c>
      <c r="K5821" t="n">
        <v>0</v>
      </c>
      <c r="L5821" t="n">
        <v>0</v>
      </c>
      <c r="M5821" t="n">
        <v>0</v>
      </c>
      <c r="AC5821" t="n">
        <v>0</v>
      </c>
      <c r="AD5821" t="n">
        <v>0</v>
      </c>
      <c r="AE5821" t="n">
        <v>0</v>
      </c>
      <c r="AF5821" t="n">
        <v>0</v>
      </c>
      <c r="AG5821" t="n">
        <v>0</v>
      </c>
      <c r="AH5821" t="n">
        <v>0</v>
      </c>
      <c r="AI5821" t="n">
        <v>0</v>
      </c>
    </row>
    <row r="5822">
      <c r="A5822" t="inlineStr">
        <is>
          <t>12월</t>
        </is>
      </c>
      <c r="B5822" t="inlineStr">
        <is>
          <t>52주차</t>
        </is>
      </c>
      <c r="C5822" t="e">
        <v>#N/A</v>
      </c>
      <c r="K5822" t="n">
        <v>0</v>
      </c>
      <c r="L5822" t="n">
        <v>0</v>
      </c>
      <c r="M5822" t="n">
        <v>0</v>
      </c>
      <c r="AC5822" t="n">
        <v>0</v>
      </c>
      <c r="AD5822" t="n">
        <v>0</v>
      </c>
      <c r="AE5822" t="n">
        <v>0</v>
      </c>
      <c r="AF5822" t="n">
        <v>0</v>
      </c>
      <c r="AG5822" t="n">
        <v>0</v>
      </c>
      <c r="AH5822" t="n">
        <v>0</v>
      </c>
      <c r="AI5822" t="n">
        <v>0</v>
      </c>
    </row>
    <row r="5823">
      <c r="A5823" t="inlineStr">
        <is>
          <t>12월</t>
        </is>
      </c>
      <c r="B5823" t="inlineStr">
        <is>
          <t>52주차</t>
        </is>
      </c>
      <c r="C5823" t="e">
        <v>#N/A</v>
      </c>
      <c r="K5823" t="n">
        <v>0</v>
      </c>
      <c r="L5823" t="n">
        <v>0</v>
      </c>
      <c r="M5823" t="n">
        <v>0</v>
      </c>
      <c r="AC5823" t="n">
        <v>0</v>
      </c>
      <c r="AD5823" t="n">
        <v>0</v>
      </c>
      <c r="AE5823" t="n">
        <v>0</v>
      </c>
      <c r="AF5823" t="n">
        <v>0</v>
      </c>
      <c r="AG5823" t="n">
        <v>0</v>
      </c>
      <c r="AH5823" t="n">
        <v>0</v>
      </c>
      <c r="AI5823" t="n">
        <v>0</v>
      </c>
    </row>
    <row r="5824">
      <c r="A5824" t="inlineStr">
        <is>
          <t>12월</t>
        </is>
      </c>
      <c r="B5824" t="inlineStr">
        <is>
          <t>52주차</t>
        </is>
      </c>
      <c r="C5824" t="e">
        <v>#N/A</v>
      </c>
      <c r="K5824" t="n">
        <v>0</v>
      </c>
      <c r="L5824" t="n">
        <v>0</v>
      </c>
      <c r="M5824" t="n">
        <v>0</v>
      </c>
      <c r="AC5824" t="n">
        <v>0</v>
      </c>
      <c r="AD5824" t="n">
        <v>0</v>
      </c>
      <c r="AE5824" t="n">
        <v>0</v>
      </c>
      <c r="AF5824" t="n">
        <v>0</v>
      </c>
      <c r="AG5824" t="n">
        <v>0</v>
      </c>
      <c r="AH5824" t="n">
        <v>0</v>
      </c>
    </row>
    <row r="5825">
      <c r="A5825" t="inlineStr">
        <is>
          <t>12월</t>
        </is>
      </c>
      <c r="B5825" t="inlineStr">
        <is>
          <t>52주차</t>
        </is>
      </c>
      <c r="C5825" t="e">
        <v>#N/A</v>
      </c>
      <c r="K5825" t="n">
        <v>0</v>
      </c>
      <c r="L5825" t="n">
        <v>0</v>
      </c>
      <c r="M5825" t="n">
        <v>0</v>
      </c>
      <c r="AC5825" t="n">
        <v>0</v>
      </c>
      <c r="AD5825" t="n">
        <v>0</v>
      </c>
      <c r="AE5825" t="n">
        <v>0</v>
      </c>
      <c r="AF5825" t="n">
        <v>0</v>
      </c>
      <c r="AG5825" t="n">
        <v>0</v>
      </c>
      <c r="AH5825" t="n">
        <v>0</v>
      </c>
      <c r="AI5825" t="n">
        <v>0</v>
      </c>
    </row>
    <row r="5826">
      <c r="A5826" t="inlineStr">
        <is>
          <t>12월</t>
        </is>
      </c>
      <c r="B5826" t="inlineStr">
        <is>
          <t>52주차</t>
        </is>
      </c>
      <c r="C5826" t="e">
        <v>#N/A</v>
      </c>
      <c r="K5826" t="n">
        <v>0</v>
      </c>
      <c r="L5826" t="n">
        <v>0</v>
      </c>
      <c r="M5826" t="n">
        <v>0</v>
      </c>
      <c r="AC5826" t="n">
        <v>0</v>
      </c>
      <c r="AD5826" t="n">
        <v>0</v>
      </c>
      <c r="AE5826" t="n">
        <v>0</v>
      </c>
      <c r="AF5826" t="n">
        <v>0</v>
      </c>
      <c r="AG5826" t="n">
        <v>0</v>
      </c>
      <c r="AH5826" t="n">
        <v>0</v>
      </c>
    </row>
    <row r="5827">
      <c r="A5827" t="inlineStr">
        <is>
          <t>12월</t>
        </is>
      </c>
      <c r="B5827" t="inlineStr">
        <is>
          <t>52주차</t>
        </is>
      </c>
      <c r="C5827" t="e">
        <v>#N/A</v>
      </c>
      <c r="K5827" t="n">
        <v>0</v>
      </c>
      <c r="L5827" t="n">
        <v>0</v>
      </c>
      <c r="M5827" t="n">
        <v>0</v>
      </c>
      <c r="AC5827" t="n">
        <v>0</v>
      </c>
      <c r="AD5827" t="n">
        <v>0</v>
      </c>
      <c r="AE5827" t="n">
        <v>0</v>
      </c>
      <c r="AF5827" t="n">
        <v>0</v>
      </c>
      <c r="AG5827" t="n">
        <v>0</v>
      </c>
      <c r="AH5827" t="n">
        <v>0</v>
      </c>
      <c r="AI5827" t="n">
        <v>0</v>
      </c>
    </row>
    <row r="5828">
      <c r="A5828" t="inlineStr">
        <is>
          <t>12월</t>
        </is>
      </c>
      <c r="B5828" t="inlineStr">
        <is>
          <t>52주차</t>
        </is>
      </c>
      <c r="C5828" t="e">
        <v>#N/A</v>
      </c>
      <c r="K5828" t="n">
        <v>0</v>
      </c>
      <c r="L5828" t="n">
        <v>0</v>
      </c>
      <c r="M5828" t="n">
        <v>0</v>
      </c>
      <c r="AC5828" t="n">
        <v>0</v>
      </c>
      <c r="AD5828" t="n">
        <v>0</v>
      </c>
      <c r="AE5828" t="n">
        <v>0</v>
      </c>
      <c r="AF5828" t="n">
        <v>0</v>
      </c>
      <c r="AG5828" t="n">
        <v>0</v>
      </c>
      <c r="AH5828" t="n">
        <v>0</v>
      </c>
      <c r="AI5828" t="n">
        <v>0</v>
      </c>
    </row>
    <row r="5829">
      <c r="A5829" t="inlineStr">
        <is>
          <t>12월</t>
        </is>
      </c>
      <c r="B5829" t="inlineStr">
        <is>
          <t>52주차</t>
        </is>
      </c>
      <c r="C5829" t="e">
        <v>#N/A</v>
      </c>
      <c r="K5829" t="n">
        <v>0</v>
      </c>
      <c r="L5829" t="n">
        <v>0</v>
      </c>
      <c r="M5829" t="n">
        <v>0</v>
      </c>
      <c r="AC5829" t="n">
        <v>0</v>
      </c>
      <c r="AD5829" t="n">
        <v>0</v>
      </c>
      <c r="AE5829" t="n">
        <v>0</v>
      </c>
      <c r="AF5829" t="n">
        <v>0</v>
      </c>
      <c r="AG5829" t="n">
        <v>0</v>
      </c>
      <c r="AH5829" t="n">
        <v>0</v>
      </c>
      <c r="AI5829" t="n">
        <v>0</v>
      </c>
    </row>
    <row r="5830">
      <c r="A5830" t="inlineStr">
        <is>
          <t>12월</t>
        </is>
      </c>
      <c r="B5830" t="inlineStr">
        <is>
          <t>52주차</t>
        </is>
      </c>
      <c r="C5830" t="e">
        <v>#N/A</v>
      </c>
      <c r="K5830" t="n">
        <v>0</v>
      </c>
      <c r="L5830" t="n">
        <v>0</v>
      </c>
      <c r="M5830" t="n">
        <v>0</v>
      </c>
      <c r="AC5830" t="n">
        <v>0</v>
      </c>
      <c r="AD5830" t="n">
        <v>0</v>
      </c>
      <c r="AE5830" t="n">
        <v>0</v>
      </c>
      <c r="AF5830" t="n">
        <v>0</v>
      </c>
      <c r="AG5830" t="n">
        <v>0</v>
      </c>
      <c r="AH5830" t="n">
        <v>0</v>
      </c>
      <c r="AI5830" t="n">
        <v>0</v>
      </c>
    </row>
    <row r="5831">
      <c r="A5831" t="inlineStr">
        <is>
          <t>12월</t>
        </is>
      </c>
      <c r="B5831" t="inlineStr">
        <is>
          <t>52주차</t>
        </is>
      </c>
      <c r="C5831" t="e">
        <v>#N/A</v>
      </c>
      <c r="K5831" t="n">
        <v>0</v>
      </c>
      <c r="L5831" t="n">
        <v>0</v>
      </c>
      <c r="M5831" t="n">
        <v>0</v>
      </c>
      <c r="AC5831" t="n">
        <v>0</v>
      </c>
      <c r="AD5831" t="n">
        <v>0</v>
      </c>
      <c r="AE5831" t="n">
        <v>0</v>
      </c>
      <c r="AF5831" t="n">
        <v>0</v>
      </c>
      <c r="AG5831" t="n">
        <v>0</v>
      </c>
      <c r="AH5831" t="n">
        <v>0</v>
      </c>
      <c r="AI5831" t="n">
        <v>0</v>
      </c>
    </row>
    <row r="5832">
      <c r="A5832" t="inlineStr">
        <is>
          <t>12월</t>
        </is>
      </c>
      <c r="B5832" t="inlineStr">
        <is>
          <t>52주차</t>
        </is>
      </c>
      <c r="C5832" t="e">
        <v>#N/A</v>
      </c>
      <c r="K5832" t="n">
        <v>0</v>
      </c>
      <c r="L5832" t="n">
        <v>0</v>
      </c>
      <c r="M5832" t="n">
        <v>0</v>
      </c>
      <c r="AC5832" t="n">
        <v>0</v>
      </c>
      <c r="AD5832" t="n">
        <v>0</v>
      </c>
      <c r="AE5832" t="n">
        <v>0</v>
      </c>
      <c r="AF5832" t="n">
        <v>0</v>
      </c>
      <c r="AG5832" t="n">
        <v>0</v>
      </c>
      <c r="AH5832" t="n">
        <v>0</v>
      </c>
      <c r="AI5832" t="n">
        <v>0</v>
      </c>
    </row>
    <row r="5833">
      <c r="A5833" t="inlineStr">
        <is>
          <t>12월</t>
        </is>
      </c>
      <c r="B5833" t="inlineStr">
        <is>
          <t>52주차</t>
        </is>
      </c>
      <c r="C5833" t="e">
        <v>#N/A</v>
      </c>
      <c r="K5833" t="n">
        <v>0</v>
      </c>
      <c r="L5833" t="n">
        <v>0</v>
      </c>
      <c r="M5833" t="n">
        <v>0</v>
      </c>
      <c r="AC5833" t="n">
        <v>0</v>
      </c>
      <c r="AD5833" t="n">
        <v>0</v>
      </c>
      <c r="AE5833" t="n">
        <v>0</v>
      </c>
      <c r="AF5833" t="n">
        <v>0</v>
      </c>
      <c r="AG5833" t="n">
        <v>0</v>
      </c>
      <c r="AH5833" t="n">
        <v>0</v>
      </c>
      <c r="AI5833" t="n">
        <v>0</v>
      </c>
    </row>
    <row r="5834">
      <c r="A5834" t="inlineStr">
        <is>
          <t>12월</t>
        </is>
      </c>
      <c r="B5834" t="inlineStr">
        <is>
          <t>52주차</t>
        </is>
      </c>
      <c r="C5834" t="e">
        <v>#N/A</v>
      </c>
      <c r="K5834" t="n">
        <v>0</v>
      </c>
      <c r="L5834" t="n">
        <v>0</v>
      </c>
      <c r="M5834" t="n">
        <v>0</v>
      </c>
      <c r="AC5834" t="n">
        <v>0</v>
      </c>
      <c r="AD5834" t="n">
        <v>0</v>
      </c>
      <c r="AE5834" t="n">
        <v>0</v>
      </c>
      <c r="AF5834" t="n">
        <v>0</v>
      </c>
      <c r="AG5834" t="n">
        <v>0</v>
      </c>
      <c r="AH5834" t="n">
        <v>0</v>
      </c>
      <c r="AI5834" t="n">
        <v>0</v>
      </c>
    </row>
    <row r="5835">
      <c r="A5835" t="inlineStr">
        <is>
          <t>12월</t>
        </is>
      </c>
      <c r="B5835" t="inlineStr">
        <is>
          <t>52주차</t>
        </is>
      </c>
      <c r="C5835" t="e">
        <v>#N/A</v>
      </c>
      <c r="K5835" t="n">
        <v>0</v>
      </c>
      <c r="L5835" t="n">
        <v>0</v>
      </c>
      <c r="M5835" t="n">
        <v>0</v>
      </c>
      <c r="AC5835" t="n">
        <v>0</v>
      </c>
      <c r="AD5835" t="n">
        <v>0</v>
      </c>
      <c r="AE5835" t="n">
        <v>0</v>
      </c>
      <c r="AF5835" t="n">
        <v>0</v>
      </c>
      <c r="AG5835" t="n">
        <v>0</v>
      </c>
      <c r="AH5835" t="n">
        <v>0</v>
      </c>
    </row>
    <row r="5836">
      <c r="A5836" t="inlineStr">
        <is>
          <t>12월</t>
        </is>
      </c>
      <c r="B5836" t="inlineStr">
        <is>
          <t>52주차</t>
        </is>
      </c>
      <c r="C5836" t="e">
        <v>#N/A</v>
      </c>
      <c r="K5836" t="n">
        <v>0</v>
      </c>
      <c r="L5836" t="n">
        <v>0</v>
      </c>
      <c r="M5836" t="n">
        <v>0</v>
      </c>
      <c r="AC5836" t="n">
        <v>0</v>
      </c>
      <c r="AD5836" t="n">
        <v>0</v>
      </c>
      <c r="AE5836" t="n">
        <v>0</v>
      </c>
      <c r="AF5836" t="n">
        <v>0</v>
      </c>
      <c r="AG5836" t="n">
        <v>0</v>
      </c>
      <c r="AH5836" t="n">
        <v>0</v>
      </c>
      <c r="AI5836" t="n">
        <v>0</v>
      </c>
    </row>
    <row r="5837">
      <c r="A5837" t="inlineStr">
        <is>
          <t>12월</t>
        </is>
      </c>
      <c r="B5837" t="inlineStr">
        <is>
          <t>52주차</t>
        </is>
      </c>
      <c r="C5837" t="e">
        <v>#N/A</v>
      </c>
      <c r="K5837" t="n">
        <v>0</v>
      </c>
      <c r="L5837" t="n">
        <v>0</v>
      </c>
      <c r="M5837" t="n">
        <v>0</v>
      </c>
      <c r="AC5837" t="n">
        <v>0</v>
      </c>
      <c r="AD5837" t="n">
        <v>0</v>
      </c>
      <c r="AE5837" t="n">
        <v>0</v>
      </c>
      <c r="AF5837" t="n">
        <v>0</v>
      </c>
      <c r="AG5837" t="n">
        <v>0</v>
      </c>
      <c r="AH5837" t="n">
        <v>0</v>
      </c>
      <c r="AI5837" t="n">
        <v>0</v>
      </c>
    </row>
    <row r="5838">
      <c r="A5838" t="inlineStr">
        <is>
          <t>12월</t>
        </is>
      </c>
      <c r="B5838" t="inlineStr">
        <is>
          <t>52주차</t>
        </is>
      </c>
      <c r="C5838" t="e">
        <v>#N/A</v>
      </c>
      <c r="K5838" t="n">
        <v>0</v>
      </c>
      <c r="L5838" t="n">
        <v>0</v>
      </c>
      <c r="M5838" t="n">
        <v>0</v>
      </c>
      <c r="AC5838" t="n">
        <v>0</v>
      </c>
      <c r="AD5838" t="n">
        <v>0</v>
      </c>
      <c r="AE5838" t="n">
        <v>0</v>
      </c>
      <c r="AF5838" t="n">
        <v>0</v>
      </c>
      <c r="AG5838" t="n">
        <v>0</v>
      </c>
      <c r="AH5838" t="n">
        <v>0</v>
      </c>
      <c r="AI5838" t="n">
        <v>0</v>
      </c>
    </row>
    <row r="5839">
      <c r="A5839" t="inlineStr">
        <is>
          <t>12월</t>
        </is>
      </c>
      <c r="B5839" t="inlineStr">
        <is>
          <t>52주차</t>
        </is>
      </c>
      <c r="C5839" t="e">
        <v>#N/A</v>
      </c>
      <c r="K5839" t="n">
        <v>0</v>
      </c>
      <c r="L5839" t="n">
        <v>0</v>
      </c>
      <c r="M5839" t="n">
        <v>0</v>
      </c>
      <c r="AC5839" t="n">
        <v>0</v>
      </c>
      <c r="AD5839" t="n">
        <v>0</v>
      </c>
      <c r="AE5839" t="n">
        <v>0</v>
      </c>
      <c r="AF5839" t="n">
        <v>0</v>
      </c>
      <c r="AG5839" t="n">
        <v>0</v>
      </c>
      <c r="AH5839" t="n">
        <v>0</v>
      </c>
      <c r="AI5839" t="n">
        <v>0</v>
      </c>
    </row>
    <row r="5840">
      <c r="A5840" t="inlineStr">
        <is>
          <t>12월</t>
        </is>
      </c>
      <c r="B5840" t="inlineStr">
        <is>
          <t>52주차</t>
        </is>
      </c>
      <c r="C5840" t="e">
        <v>#N/A</v>
      </c>
      <c r="K5840" t="n">
        <v>0</v>
      </c>
      <c r="L5840" t="n">
        <v>0</v>
      </c>
      <c r="M5840" t="n">
        <v>0</v>
      </c>
      <c r="AC5840" t="n">
        <v>0</v>
      </c>
      <c r="AD5840" t="n">
        <v>0</v>
      </c>
      <c r="AE5840" t="n">
        <v>0</v>
      </c>
      <c r="AF5840" t="n">
        <v>0</v>
      </c>
      <c r="AG5840" t="n">
        <v>0</v>
      </c>
      <c r="AH5840" t="n">
        <v>0</v>
      </c>
      <c r="AI5840" t="n">
        <v>0</v>
      </c>
    </row>
    <row r="5841">
      <c r="A5841" t="inlineStr">
        <is>
          <t>12월</t>
        </is>
      </c>
      <c r="B5841" t="inlineStr">
        <is>
          <t>52주차</t>
        </is>
      </c>
      <c r="C5841" t="e">
        <v>#N/A</v>
      </c>
      <c r="K5841" t="n">
        <v>0</v>
      </c>
      <c r="L5841" t="n">
        <v>0</v>
      </c>
      <c r="M5841" t="n">
        <v>0</v>
      </c>
      <c r="AC5841" t="n">
        <v>0</v>
      </c>
      <c r="AD5841" t="n">
        <v>0</v>
      </c>
      <c r="AE5841" t="n">
        <v>0</v>
      </c>
      <c r="AF5841" t="n">
        <v>0</v>
      </c>
      <c r="AG5841" t="n">
        <v>0</v>
      </c>
      <c r="AH5841" t="n">
        <v>0</v>
      </c>
      <c r="AI5841" t="n">
        <v>0</v>
      </c>
    </row>
    <row r="5842">
      <c r="A5842" t="inlineStr">
        <is>
          <t>12월</t>
        </is>
      </c>
      <c r="B5842" t="inlineStr">
        <is>
          <t>52주차</t>
        </is>
      </c>
      <c r="C5842" t="e">
        <v>#N/A</v>
      </c>
      <c r="K5842" t="n">
        <v>0</v>
      </c>
      <c r="L5842" t="n">
        <v>0</v>
      </c>
      <c r="M5842" t="n">
        <v>0</v>
      </c>
      <c r="AC5842" t="n">
        <v>0</v>
      </c>
      <c r="AD5842" t="n">
        <v>0</v>
      </c>
      <c r="AE5842" t="n">
        <v>0</v>
      </c>
      <c r="AF5842" t="n">
        <v>0</v>
      </c>
      <c r="AG5842" t="n">
        <v>0</v>
      </c>
      <c r="AH5842" t="n">
        <v>0</v>
      </c>
      <c r="AI5842" t="n">
        <v>0</v>
      </c>
    </row>
    <row r="5843">
      <c r="A5843" t="inlineStr">
        <is>
          <t>12월</t>
        </is>
      </c>
      <c r="B5843" t="inlineStr">
        <is>
          <t>52주차</t>
        </is>
      </c>
      <c r="C5843" t="e">
        <v>#N/A</v>
      </c>
      <c r="K5843" t="n">
        <v>0</v>
      </c>
      <c r="L5843" t="n">
        <v>0</v>
      </c>
      <c r="M5843" t="n">
        <v>0</v>
      </c>
      <c r="AC5843" t="n">
        <v>0</v>
      </c>
      <c r="AD5843" t="n">
        <v>0</v>
      </c>
      <c r="AE5843" t="n">
        <v>0</v>
      </c>
      <c r="AF5843" t="n">
        <v>0</v>
      </c>
      <c r="AG5843" t="n">
        <v>0</v>
      </c>
      <c r="AH5843" t="n">
        <v>0</v>
      </c>
      <c r="AI5843" t="n">
        <v>0</v>
      </c>
    </row>
    <row r="5844">
      <c r="A5844" t="inlineStr">
        <is>
          <t>12월</t>
        </is>
      </c>
      <c r="B5844" t="inlineStr">
        <is>
          <t>52주차</t>
        </is>
      </c>
      <c r="C5844" t="e">
        <v>#N/A</v>
      </c>
      <c r="K5844" t="n">
        <v>0</v>
      </c>
      <c r="L5844" t="n">
        <v>0</v>
      </c>
      <c r="M5844" t="n">
        <v>0</v>
      </c>
      <c r="AC5844" t="n">
        <v>0</v>
      </c>
      <c r="AD5844" t="n">
        <v>0</v>
      </c>
      <c r="AE5844" t="n">
        <v>0</v>
      </c>
      <c r="AF5844" t="n">
        <v>0</v>
      </c>
      <c r="AG5844" t="n">
        <v>0</v>
      </c>
      <c r="AH5844" t="n">
        <v>0</v>
      </c>
      <c r="AI5844" t="n">
        <v>0</v>
      </c>
    </row>
    <row r="5845">
      <c r="A5845" t="inlineStr">
        <is>
          <t>12월</t>
        </is>
      </c>
      <c r="B5845" t="inlineStr">
        <is>
          <t>52주차</t>
        </is>
      </c>
      <c r="C5845" t="e">
        <v>#N/A</v>
      </c>
      <c r="K5845" t="n">
        <v>0</v>
      </c>
      <c r="L5845" t="n">
        <v>0</v>
      </c>
      <c r="M5845" t="n">
        <v>0</v>
      </c>
      <c r="AC5845" t="n">
        <v>0</v>
      </c>
      <c r="AD5845" t="n">
        <v>0</v>
      </c>
      <c r="AE5845" t="n">
        <v>0</v>
      </c>
      <c r="AF5845" t="n">
        <v>0</v>
      </c>
      <c r="AG5845" t="n">
        <v>0</v>
      </c>
      <c r="AH5845" t="n">
        <v>0</v>
      </c>
      <c r="AI5845" t="n">
        <v>0</v>
      </c>
    </row>
    <row r="5846">
      <c r="A5846" t="inlineStr">
        <is>
          <t>12월</t>
        </is>
      </c>
      <c r="B5846" t="inlineStr">
        <is>
          <t>52주차</t>
        </is>
      </c>
      <c r="C5846" t="e">
        <v>#N/A</v>
      </c>
      <c r="K5846" t="n">
        <v>0</v>
      </c>
      <c r="L5846" t="n">
        <v>0</v>
      </c>
      <c r="M5846" t="n">
        <v>0</v>
      </c>
      <c r="AC5846" t="n">
        <v>0</v>
      </c>
      <c r="AD5846" t="n">
        <v>0</v>
      </c>
      <c r="AE5846" t="n">
        <v>0</v>
      </c>
      <c r="AF5846" t="n">
        <v>0</v>
      </c>
      <c r="AG5846" t="n">
        <v>0</v>
      </c>
      <c r="AH5846" t="n">
        <v>0</v>
      </c>
      <c r="AI5846" t="n">
        <v>0</v>
      </c>
    </row>
    <row r="5847">
      <c r="A5847" t="inlineStr">
        <is>
          <t>12월</t>
        </is>
      </c>
      <c r="B5847" t="inlineStr">
        <is>
          <t>52주차</t>
        </is>
      </c>
      <c r="C5847" t="e">
        <v>#N/A</v>
      </c>
      <c r="K5847" t="n">
        <v>0</v>
      </c>
      <c r="L5847" t="n">
        <v>0</v>
      </c>
      <c r="M5847" t="n">
        <v>0</v>
      </c>
      <c r="AC5847" t="n">
        <v>0</v>
      </c>
      <c r="AD5847" t="n">
        <v>0</v>
      </c>
      <c r="AE5847" t="n">
        <v>0</v>
      </c>
      <c r="AF5847" t="n">
        <v>0</v>
      </c>
      <c r="AG5847" t="n">
        <v>0</v>
      </c>
      <c r="AH5847" t="n">
        <v>0</v>
      </c>
      <c r="AI5847" t="n">
        <v>0</v>
      </c>
    </row>
    <row r="5848">
      <c r="A5848" t="inlineStr">
        <is>
          <t>12월</t>
        </is>
      </c>
      <c r="B5848" t="inlineStr">
        <is>
          <t>52주차</t>
        </is>
      </c>
      <c r="C5848" t="e">
        <v>#N/A</v>
      </c>
      <c r="K5848" t="n">
        <v>0</v>
      </c>
      <c r="L5848" t="n">
        <v>0</v>
      </c>
      <c r="M5848" t="n">
        <v>0</v>
      </c>
      <c r="AC5848" t="n">
        <v>0</v>
      </c>
      <c r="AD5848" t="n">
        <v>0</v>
      </c>
      <c r="AE5848" t="n">
        <v>0</v>
      </c>
      <c r="AF5848" t="n">
        <v>0</v>
      </c>
      <c r="AG5848" t="n">
        <v>0</v>
      </c>
      <c r="AH5848" t="n">
        <v>0</v>
      </c>
      <c r="AI5848" t="n">
        <v>0</v>
      </c>
    </row>
    <row r="5849">
      <c r="A5849" t="inlineStr">
        <is>
          <t>12월</t>
        </is>
      </c>
      <c r="B5849" t="inlineStr">
        <is>
          <t>52주차</t>
        </is>
      </c>
      <c r="C5849" t="e">
        <v>#N/A</v>
      </c>
      <c r="K5849" t="n">
        <v>0</v>
      </c>
      <c r="L5849" t="n">
        <v>0</v>
      </c>
      <c r="M5849" t="n">
        <v>0</v>
      </c>
      <c r="AC5849" t="n">
        <v>0</v>
      </c>
      <c r="AD5849" t="n">
        <v>0</v>
      </c>
      <c r="AE5849" t="n">
        <v>0</v>
      </c>
      <c r="AF5849" t="n">
        <v>0</v>
      </c>
      <c r="AG5849" t="n">
        <v>0</v>
      </c>
      <c r="AH5849" t="n">
        <v>0</v>
      </c>
      <c r="AI5849" t="n">
        <v>0</v>
      </c>
    </row>
    <row r="5850">
      <c r="A5850" t="inlineStr">
        <is>
          <t>12월</t>
        </is>
      </c>
      <c r="B5850" t="inlineStr">
        <is>
          <t>52주차</t>
        </is>
      </c>
      <c r="C5850" t="e">
        <v>#N/A</v>
      </c>
      <c r="K5850" t="n">
        <v>0</v>
      </c>
      <c r="L5850" t="n">
        <v>0</v>
      </c>
      <c r="M5850" t="n">
        <v>0</v>
      </c>
      <c r="AC5850" t="n">
        <v>0</v>
      </c>
      <c r="AD5850" t="n">
        <v>0</v>
      </c>
      <c r="AE5850" t="n">
        <v>0</v>
      </c>
      <c r="AF5850" t="n">
        <v>0</v>
      </c>
      <c r="AG5850" t="n">
        <v>0</v>
      </c>
      <c r="AH5850" t="n">
        <v>0</v>
      </c>
      <c r="AI5850" t="n">
        <v>0</v>
      </c>
    </row>
    <row r="5851">
      <c r="A5851" t="inlineStr">
        <is>
          <t>12월</t>
        </is>
      </c>
      <c r="B5851" t="inlineStr">
        <is>
          <t>52주차</t>
        </is>
      </c>
      <c r="C5851" t="e">
        <v>#N/A</v>
      </c>
      <c r="K5851" t="n">
        <v>0</v>
      </c>
      <c r="L5851" t="n">
        <v>0</v>
      </c>
      <c r="M5851" t="n">
        <v>0</v>
      </c>
      <c r="AC5851" t="n">
        <v>0</v>
      </c>
      <c r="AD5851" t="n">
        <v>0</v>
      </c>
      <c r="AE5851" t="n">
        <v>0</v>
      </c>
      <c r="AF5851" t="n">
        <v>0</v>
      </c>
      <c r="AG5851" t="n">
        <v>0</v>
      </c>
      <c r="AH5851" t="n">
        <v>0</v>
      </c>
      <c r="AI5851" t="n">
        <v>0</v>
      </c>
    </row>
    <row r="5852">
      <c r="A5852" t="inlineStr">
        <is>
          <t>12월</t>
        </is>
      </c>
      <c r="B5852" t="inlineStr">
        <is>
          <t>52주차</t>
        </is>
      </c>
      <c r="C5852" t="e">
        <v>#N/A</v>
      </c>
      <c r="K5852" t="n">
        <v>0</v>
      </c>
      <c r="L5852" t="n">
        <v>0</v>
      </c>
      <c r="M5852" t="n">
        <v>0</v>
      </c>
      <c r="AC5852" t="n">
        <v>0</v>
      </c>
      <c r="AD5852" t="n">
        <v>0</v>
      </c>
      <c r="AE5852" t="n">
        <v>0</v>
      </c>
      <c r="AF5852" t="n">
        <v>0</v>
      </c>
      <c r="AG5852" t="n">
        <v>0</v>
      </c>
      <c r="AH5852" t="n">
        <v>0</v>
      </c>
      <c r="AI5852" t="n">
        <v>0</v>
      </c>
    </row>
    <row r="5853">
      <c r="A5853" t="inlineStr">
        <is>
          <t>12월</t>
        </is>
      </c>
      <c r="B5853" t="inlineStr">
        <is>
          <t>52주차</t>
        </is>
      </c>
      <c r="C5853" t="e">
        <v>#N/A</v>
      </c>
      <c r="K5853" t="n">
        <v>0</v>
      </c>
      <c r="L5853" t="n">
        <v>0</v>
      </c>
      <c r="M5853" t="n">
        <v>0</v>
      </c>
      <c r="AC5853" t="n">
        <v>0</v>
      </c>
      <c r="AD5853" t="n">
        <v>0</v>
      </c>
      <c r="AE5853" t="n">
        <v>0</v>
      </c>
      <c r="AF5853" t="n">
        <v>0</v>
      </c>
      <c r="AG5853" t="n">
        <v>0</v>
      </c>
      <c r="AH5853" t="n">
        <v>0</v>
      </c>
    </row>
    <row r="5854">
      <c r="A5854" t="inlineStr">
        <is>
          <t>12월</t>
        </is>
      </c>
      <c r="B5854" t="inlineStr">
        <is>
          <t>52주차</t>
        </is>
      </c>
      <c r="C5854" t="e">
        <v>#N/A</v>
      </c>
      <c r="K5854" t="n">
        <v>0</v>
      </c>
      <c r="L5854" t="n">
        <v>0</v>
      </c>
      <c r="M5854" t="n">
        <v>0</v>
      </c>
      <c r="AC5854" t="n">
        <v>0</v>
      </c>
      <c r="AD5854" t="n">
        <v>0</v>
      </c>
      <c r="AE5854" t="n">
        <v>0</v>
      </c>
      <c r="AF5854" t="n">
        <v>0</v>
      </c>
      <c r="AG5854" t="n">
        <v>0</v>
      </c>
      <c r="AH5854" t="n">
        <v>0</v>
      </c>
      <c r="AI5854" t="n">
        <v>0</v>
      </c>
    </row>
    <row r="5855">
      <c r="A5855" t="inlineStr">
        <is>
          <t>12월</t>
        </is>
      </c>
      <c r="B5855" t="inlineStr">
        <is>
          <t>52주차</t>
        </is>
      </c>
      <c r="C5855" t="e">
        <v>#N/A</v>
      </c>
      <c r="K5855" t="n">
        <v>0</v>
      </c>
      <c r="L5855" t="n">
        <v>0</v>
      </c>
      <c r="M5855" t="n">
        <v>0</v>
      </c>
      <c r="AC5855" t="n">
        <v>0</v>
      </c>
      <c r="AD5855" t="n">
        <v>0</v>
      </c>
      <c r="AE5855" t="n">
        <v>0</v>
      </c>
      <c r="AF5855" t="n">
        <v>0</v>
      </c>
      <c r="AG5855" t="n">
        <v>0</v>
      </c>
      <c r="AH5855" t="n">
        <v>0</v>
      </c>
      <c r="AI5855" t="n">
        <v>0</v>
      </c>
    </row>
    <row r="5856">
      <c r="A5856" t="inlineStr">
        <is>
          <t>12월</t>
        </is>
      </c>
      <c r="B5856" t="inlineStr">
        <is>
          <t>52주차</t>
        </is>
      </c>
      <c r="C5856" t="e">
        <v>#N/A</v>
      </c>
      <c r="K5856" t="n">
        <v>0</v>
      </c>
      <c r="L5856" t="n">
        <v>0</v>
      </c>
      <c r="M5856" t="n">
        <v>0</v>
      </c>
      <c r="AC5856" t="n">
        <v>0</v>
      </c>
      <c r="AD5856" t="n">
        <v>0</v>
      </c>
      <c r="AE5856" t="n">
        <v>0</v>
      </c>
      <c r="AF5856" t="n">
        <v>0</v>
      </c>
      <c r="AG5856" t="n">
        <v>0</v>
      </c>
      <c r="AH5856" t="n">
        <v>0</v>
      </c>
      <c r="AI5856" t="n">
        <v>0</v>
      </c>
    </row>
    <row r="5857">
      <c r="A5857" t="inlineStr">
        <is>
          <t>12월</t>
        </is>
      </c>
      <c r="B5857" t="inlineStr">
        <is>
          <t>52주차</t>
        </is>
      </c>
      <c r="C5857" t="e">
        <v>#N/A</v>
      </c>
      <c r="K5857" t="n">
        <v>0</v>
      </c>
      <c r="L5857" t="n">
        <v>0</v>
      </c>
      <c r="M5857" t="n">
        <v>0</v>
      </c>
      <c r="AC5857" t="n">
        <v>0</v>
      </c>
      <c r="AD5857" t="n">
        <v>0</v>
      </c>
      <c r="AE5857" t="n">
        <v>0</v>
      </c>
      <c r="AF5857" t="n">
        <v>0</v>
      </c>
      <c r="AG5857" t="n">
        <v>0</v>
      </c>
      <c r="AH5857" t="n">
        <v>0</v>
      </c>
      <c r="AI5857" t="n">
        <v>0</v>
      </c>
    </row>
    <row r="5858">
      <c r="A5858" t="inlineStr">
        <is>
          <t>12월</t>
        </is>
      </c>
      <c r="B5858" t="inlineStr">
        <is>
          <t>52주차</t>
        </is>
      </c>
      <c r="C5858" t="e">
        <v>#N/A</v>
      </c>
      <c r="K5858" t="n">
        <v>0</v>
      </c>
      <c r="L5858" t="n">
        <v>0</v>
      </c>
      <c r="M5858" t="n">
        <v>0</v>
      </c>
      <c r="AC5858" t="n">
        <v>0</v>
      </c>
      <c r="AD5858" t="n">
        <v>0</v>
      </c>
      <c r="AE5858" t="n">
        <v>0</v>
      </c>
      <c r="AF5858" t="n">
        <v>0</v>
      </c>
      <c r="AG5858" t="n">
        <v>0</v>
      </c>
      <c r="AH5858" t="n">
        <v>0</v>
      </c>
      <c r="AI5858" t="n">
        <v>0</v>
      </c>
    </row>
    <row r="5859">
      <c r="A5859" t="inlineStr">
        <is>
          <t>12월</t>
        </is>
      </c>
      <c r="B5859" t="inlineStr">
        <is>
          <t>52주차</t>
        </is>
      </c>
      <c r="C5859" t="e">
        <v>#N/A</v>
      </c>
      <c r="K5859" t="n">
        <v>0</v>
      </c>
      <c r="L5859" t="n">
        <v>0</v>
      </c>
      <c r="M5859" t="n">
        <v>0</v>
      </c>
      <c r="AC5859" t="n">
        <v>0</v>
      </c>
      <c r="AD5859" t="n">
        <v>0</v>
      </c>
      <c r="AE5859" t="n">
        <v>0</v>
      </c>
      <c r="AF5859" t="n">
        <v>0</v>
      </c>
      <c r="AG5859" t="n">
        <v>0</v>
      </c>
      <c r="AH5859" t="n">
        <v>0</v>
      </c>
    </row>
    <row r="5860">
      <c r="A5860" t="inlineStr">
        <is>
          <t>12월</t>
        </is>
      </c>
      <c r="B5860" t="inlineStr">
        <is>
          <t>52주차</t>
        </is>
      </c>
      <c r="C5860" t="e">
        <v>#N/A</v>
      </c>
      <c r="K5860" t="n">
        <v>0</v>
      </c>
      <c r="L5860" t="n">
        <v>0</v>
      </c>
      <c r="M5860" t="n">
        <v>0</v>
      </c>
      <c r="AC5860" t="n">
        <v>0</v>
      </c>
      <c r="AD5860" t="n">
        <v>0</v>
      </c>
      <c r="AE5860" t="n">
        <v>0</v>
      </c>
      <c r="AF5860" t="n">
        <v>0</v>
      </c>
      <c r="AG5860" t="n">
        <v>0</v>
      </c>
      <c r="AH5860" t="n">
        <v>0</v>
      </c>
    </row>
    <row r="5861">
      <c r="A5861" t="inlineStr">
        <is>
          <t>12월</t>
        </is>
      </c>
      <c r="B5861" t="inlineStr">
        <is>
          <t>52주차</t>
        </is>
      </c>
      <c r="C5861" t="e">
        <v>#N/A</v>
      </c>
      <c r="K5861" t="n">
        <v>0</v>
      </c>
      <c r="L5861" t="n">
        <v>0</v>
      </c>
      <c r="M5861" t="n">
        <v>0</v>
      </c>
      <c r="AC5861" t="n">
        <v>0</v>
      </c>
      <c r="AD5861" t="n">
        <v>0</v>
      </c>
      <c r="AE5861" t="n">
        <v>0</v>
      </c>
      <c r="AF5861" t="n">
        <v>0</v>
      </c>
      <c r="AG5861" t="n">
        <v>0</v>
      </c>
      <c r="AH5861" t="n">
        <v>0</v>
      </c>
    </row>
    <row r="5862">
      <c r="A5862" t="inlineStr">
        <is>
          <t>12월</t>
        </is>
      </c>
      <c r="B5862" t="inlineStr">
        <is>
          <t>52주차</t>
        </is>
      </c>
      <c r="C5862" t="e">
        <v>#N/A</v>
      </c>
      <c r="K5862" t="n">
        <v>0</v>
      </c>
      <c r="L5862" t="n">
        <v>0</v>
      </c>
      <c r="M5862" t="n">
        <v>0</v>
      </c>
      <c r="AC5862" t="n">
        <v>0</v>
      </c>
      <c r="AD5862" t="n">
        <v>0</v>
      </c>
      <c r="AE5862" t="n">
        <v>0</v>
      </c>
      <c r="AF5862" t="n">
        <v>0</v>
      </c>
      <c r="AG5862" t="n">
        <v>0</v>
      </c>
      <c r="AH5862" t="n">
        <v>0</v>
      </c>
    </row>
    <row r="5863">
      <c r="A5863" t="inlineStr">
        <is>
          <t>12월</t>
        </is>
      </c>
      <c r="B5863" t="inlineStr">
        <is>
          <t>52주차</t>
        </is>
      </c>
      <c r="C5863" t="e">
        <v>#N/A</v>
      </c>
      <c r="K5863" t="n">
        <v>0</v>
      </c>
      <c r="L5863" t="n">
        <v>0</v>
      </c>
      <c r="M5863" t="n">
        <v>0</v>
      </c>
      <c r="AC5863" t="n">
        <v>0</v>
      </c>
      <c r="AD5863" t="n">
        <v>0</v>
      </c>
      <c r="AE5863" t="n">
        <v>0</v>
      </c>
      <c r="AF5863" t="n">
        <v>0</v>
      </c>
      <c r="AG5863" t="n">
        <v>0</v>
      </c>
      <c r="AH5863" t="n">
        <v>0</v>
      </c>
      <c r="AI5863" t="n">
        <v>0</v>
      </c>
    </row>
    <row r="5864">
      <c r="A5864" t="inlineStr">
        <is>
          <t>12월</t>
        </is>
      </c>
      <c r="B5864" t="inlineStr">
        <is>
          <t>52주차</t>
        </is>
      </c>
      <c r="C5864" t="e">
        <v>#N/A</v>
      </c>
      <c r="K5864" t="n">
        <v>0</v>
      </c>
      <c r="L5864" t="n">
        <v>0</v>
      </c>
      <c r="M5864" t="n">
        <v>0</v>
      </c>
      <c r="AC5864" t="n">
        <v>0</v>
      </c>
      <c r="AD5864" t="n">
        <v>0</v>
      </c>
      <c r="AE5864" t="n">
        <v>0</v>
      </c>
      <c r="AF5864" t="n">
        <v>0</v>
      </c>
      <c r="AG5864" t="n">
        <v>0</v>
      </c>
      <c r="AH5864" t="n">
        <v>0</v>
      </c>
    </row>
    <row r="5865">
      <c r="A5865" t="inlineStr">
        <is>
          <t>12월</t>
        </is>
      </c>
      <c r="B5865" t="inlineStr">
        <is>
          <t>52주차</t>
        </is>
      </c>
      <c r="C5865" t="e">
        <v>#N/A</v>
      </c>
      <c r="K5865" t="n">
        <v>0</v>
      </c>
      <c r="L5865" t="n">
        <v>0</v>
      </c>
      <c r="M5865" t="n">
        <v>0</v>
      </c>
      <c r="AC5865" t="n">
        <v>0</v>
      </c>
      <c r="AD5865" t="n">
        <v>0</v>
      </c>
      <c r="AE5865" t="n">
        <v>0</v>
      </c>
      <c r="AF5865" t="n">
        <v>0</v>
      </c>
      <c r="AG5865" t="n">
        <v>0</v>
      </c>
      <c r="AH5865" t="n">
        <v>0</v>
      </c>
    </row>
    <row r="5866">
      <c r="A5866" t="inlineStr">
        <is>
          <t>12월</t>
        </is>
      </c>
      <c r="B5866" t="inlineStr">
        <is>
          <t>52주차</t>
        </is>
      </c>
      <c r="C5866" t="e">
        <v>#N/A</v>
      </c>
      <c r="K5866" t="n">
        <v>0</v>
      </c>
      <c r="L5866" t="n">
        <v>0</v>
      </c>
      <c r="M5866" t="n">
        <v>0</v>
      </c>
      <c r="AC5866" t="n">
        <v>0</v>
      </c>
      <c r="AD5866" t="n">
        <v>0</v>
      </c>
      <c r="AE5866" t="n">
        <v>0</v>
      </c>
      <c r="AF5866" t="n">
        <v>0</v>
      </c>
      <c r="AG5866" t="n">
        <v>0</v>
      </c>
      <c r="AH5866" t="n">
        <v>0</v>
      </c>
      <c r="AI5866" t="n">
        <v>0</v>
      </c>
    </row>
    <row r="5867">
      <c r="A5867" t="inlineStr">
        <is>
          <t>12월</t>
        </is>
      </c>
      <c r="B5867" t="inlineStr">
        <is>
          <t>52주차</t>
        </is>
      </c>
      <c r="C5867" t="e">
        <v>#N/A</v>
      </c>
      <c r="K5867" t="n">
        <v>0</v>
      </c>
      <c r="L5867" t="n">
        <v>0</v>
      </c>
      <c r="M5867" t="n">
        <v>0</v>
      </c>
      <c r="AC5867" t="n">
        <v>0</v>
      </c>
      <c r="AD5867" t="n">
        <v>0</v>
      </c>
      <c r="AE5867" t="n">
        <v>0</v>
      </c>
      <c r="AF5867" t="n">
        <v>0</v>
      </c>
      <c r="AG5867" t="n">
        <v>0</v>
      </c>
      <c r="AH5867" t="n">
        <v>0</v>
      </c>
    </row>
    <row r="5868">
      <c r="A5868" t="inlineStr">
        <is>
          <t>12월</t>
        </is>
      </c>
      <c r="B5868" t="inlineStr">
        <is>
          <t>52주차</t>
        </is>
      </c>
      <c r="C5868" t="e">
        <v>#N/A</v>
      </c>
      <c r="K5868" t="n">
        <v>0</v>
      </c>
      <c r="L5868" t="n">
        <v>0</v>
      </c>
      <c r="M5868" t="n">
        <v>0</v>
      </c>
      <c r="AC5868" t="n">
        <v>0</v>
      </c>
      <c r="AD5868" t="n">
        <v>0</v>
      </c>
      <c r="AE5868" t="n">
        <v>0</v>
      </c>
      <c r="AF5868" t="n">
        <v>0</v>
      </c>
      <c r="AG5868" t="n">
        <v>0</v>
      </c>
      <c r="AH5868" t="n">
        <v>0</v>
      </c>
      <c r="AI5868" t="n">
        <v>0</v>
      </c>
    </row>
    <row r="5869">
      <c r="A5869" t="inlineStr">
        <is>
          <t>12월</t>
        </is>
      </c>
      <c r="B5869" t="inlineStr">
        <is>
          <t>52주차</t>
        </is>
      </c>
      <c r="C5869" t="e">
        <v>#N/A</v>
      </c>
      <c r="K5869" t="n">
        <v>0</v>
      </c>
      <c r="L5869" t="n">
        <v>0</v>
      </c>
      <c r="M5869" t="n">
        <v>0</v>
      </c>
      <c r="AC5869" t="n">
        <v>0</v>
      </c>
      <c r="AD5869" t="n">
        <v>0</v>
      </c>
      <c r="AE5869" t="n">
        <v>0</v>
      </c>
      <c r="AF5869" t="n">
        <v>0</v>
      </c>
      <c r="AG5869" t="n">
        <v>0</v>
      </c>
      <c r="AH5869" t="n">
        <v>0</v>
      </c>
    </row>
    <row r="5870">
      <c r="A5870" t="inlineStr">
        <is>
          <t>12월</t>
        </is>
      </c>
      <c r="B5870" t="inlineStr">
        <is>
          <t>52주차</t>
        </is>
      </c>
      <c r="C5870" t="e">
        <v>#N/A</v>
      </c>
      <c r="K5870" t="n">
        <v>0</v>
      </c>
      <c r="L5870" t="n">
        <v>0</v>
      </c>
      <c r="M5870" t="n">
        <v>0</v>
      </c>
      <c r="AC5870" t="n">
        <v>0</v>
      </c>
      <c r="AD5870" t="n">
        <v>0</v>
      </c>
      <c r="AE5870" t="n">
        <v>0</v>
      </c>
      <c r="AF5870" t="n">
        <v>0</v>
      </c>
      <c r="AG5870" t="n">
        <v>0</v>
      </c>
      <c r="AH5870" t="n">
        <v>0</v>
      </c>
    </row>
    <row r="5871">
      <c r="A5871" t="inlineStr">
        <is>
          <t>12월</t>
        </is>
      </c>
      <c r="B5871" t="inlineStr">
        <is>
          <t>52주차</t>
        </is>
      </c>
      <c r="C5871" t="e">
        <v>#N/A</v>
      </c>
      <c r="K5871" t="n">
        <v>0</v>
      </c>
      <c r="L5871" t="n">
        <v>0</v>
      </c>
      <c r="M5871" t="n">
        <v>0</v>
      </c>
      <c r="AC5871" t="n">
        <v>0</v>
      </c>
      <c r="AD5871" t="n">
        <v>0</v>
      </c>
      <c r="AE5871" t="n">
        <v>0</v>
      </c>
      <c r="AF5871" t="n">
        <v>0</v>
      </c>
      <c r="AG5871" t="n">
        <v>0</v>
      </c>
      <c r="AH5871" t="n">
        <v>0</v>
      </c>
      <c r="AI5871" t="n">
        <v>0</v>
      </c>
    </row>
    <row r="5872">
      <c r="A5872" t="inlineStr">
        <is>
          <t>12월</t>
        </is>
      </c>
      <c r="B5872" t="inlineStr">
        <is>
          <t>52주차</t>
        </is>
      </c>
      <c r="C5872" t="e">
        <v>#N/A</v>
      </c>
      <c r="K5872" t="n">
        <v>0</v>
      </c>
      <c r="L5872" t="n">
        <v>0</v>
      </c>
      <c r="M5872" t="n">
        <v>0</v>
      </c>
      <c r="AC5872" t="n">
        <v>0</v>
      </c>
      <c r="AD5872" t="n">
        <v>0</v>
      </c>
      <c r="AE5872" t="n">
        <v>0</v>
      </c>
      <c r="AF5872" t="n">
        <v>0</v>
      </c>
      <c r="AG5872" t="n">
        <v>0</v>
      </c>
      <c r="AH5872" t="n">
        <v>0</v>
      </c>
    </row>
    <row r="5873">
      <c r="A5873" t="inlineStr">
        <is>
          <t>12월</t>
        </is>
      </c>
      <c r="B5873" t="inlineStr">
        <is>
          <t>52주차</t>
        </is>
      </c>
      <c r="C5873" t="e">
        <v>#N/A</v>
      </c>
      <c r="K5873" t="n">
        <v>0</v>
      </c>
      <c r="L5873" t="n">
        <v>0</v>
      </c>
      <c r="M5873" t="n">
        <v>0</v>
      </c>
      <c r="AC5873" t="n">
        <v>0</v>
      </c>
      <c r="AD5873" t="n">
        <v>0</v>
      </c>
      <c r="AE5873" t="n">
        <v>0</v>
      </c>
      <c r="AF5873" t="n">
        <v>0</v>
      </c>
      <c r="AG5873" t="n">
        <v>0</v>
      </c>
      <c r="AH5873" t="n">
        <v>0</v>
      </c>
    </row>
    <row r="5874">
      <c r="A5874" t="inlineStr">
        <is>
          <t>12월</t>
        </is>
      </c>
      <c r="B5874" t="inlineStr">
        <is>
          <t>52주차</t>
        </is>
      </c>
      <c r="C5874" t="e">
        <v>#N/A</v>
      </c>
      <c r="K5874" t="n">
        <v>0</v>
      </c>
      <c r="L5874" t="n">
        <v>0</v>
      </c>
      <c r="M5874" t="n">
        <v>0</v>
      </c>
      <c r="AC5874" t="n">
        <v>0</v>
      </c>
      <c r="AD5874" t="n">
        <v>0</v>
      </c>
      <c r="AE5874" t="n">
        <v>0</v>
      </c>
      <c r="AF5874" t="n">
        <v>0</v>
      </c>
      <c r="AG5874" t="n">
        <v>0</v>
      </c>
      <c r="AH5874" t="n">
        <v>0</v>
      </c>
    </row>
    <row r="5875">
      <c r="A5875" t="inlineStr">
        <is>
          <t>12월</t>
        </is>
      </c>
      <c r="B5875" t="inlineStr">
        <is>
          <t>52주차</t>
        </is>
      </c>
      <c r="C5875" t="e">
        <v>#N/A</v>
      </c>
      <c r="K5875" t="n">
        <v>0</v>
      </c>
      <c r="L5875" t="n">
        <v>0</v>
      </c>
      <c r="M5875" t="n">
        <v>0</v>
      </c>
      <c r="AC5875" t="n">
        <v>0</v>
      </c>
      <c r="AD5875" t="n">
        <v>0</v>
      </c>
      <c r="AE5875" t="n">
        <v>0</v>
      </c>
      <c r="AF5875" t="n">
        <v>0</v>
      </c>
      <c r="AG5875" t="n">
        <v>0</v>
      </c>
      <c r="AH5875" t="n">
        <v>0</v>
      </c>
      <c r="AI5875" t="n">
        <v>0</v>
      </c>
    </row>
    <row r="5876">
      <c r="A5876" t="inlineStr">
        <is>
          <t>12월</t>
        </is>
      </c>
      <c r="B5876" t="inlineStr">
        <is>
          <t>52주차</t>
        </is>
      </c>
      <c r="C5876" t="e">
        <v>#N/A</v>
      </c>
      <c r="K5876" t="n">
        <v>0</v>
      </c>
      <c r="L5876" t="n">
        <v>0</v>
      </c>
      <c r="M5876" t="n">
        <v>0</v>
      </c>
      <c r="AC5876" t="n">
        <v>0</v>
      </c>
      <c r="AD5876" t="n">
        <v>0</v>
      </c>
      <c r="AE5876" t="n">
        <v>0</v>
      </c>
      <c r="AF5876" t="n">
        <v>0</v>
      </c>
      <c r="AG5876" t="n">
        <v>0</v>
      </c>
      <c r="AH5876" t="n">
        <v>0</v>
      </c>
      <c r="AI5876" t="n">
        <v>0</v>
      </c>
    </row>
    <row r="5877">
      <c r="A5877" t="inlineStr">
        <is>
          <t>12월</t>
        </is>
      </c>
      <c r="B5877" t="inlineStr">
        <is>
          <t>52주차</t>
        </is>
      </c>
      <c r="C5877" t="e">
        <v>#N/A</v>
      </c>
      <c r="K5877" t="n">
        <v>0</v>
      </c>
      <c r="L5877" t="n">
        <v>0</v>
      </c>
      <c r="M5877" t="n">
        <v>0</v>
      </c>
      <c r="AC5877" t="n">
        <v>0</v>
      </c>
      <c r="AD5877" t="n">
        <v>0</v>
      </c>
      <c r="AE5877" t="n">
        <v>0</v>
      </c>
      <c r="AF5877" t="n">
        <v>0</v>
      </c>
      <c r="AG5877" t="n">
        <v>0</v>
      </c>
      <c r="AH5877" t="n">
        <v>0</v>
      </c>
      <c r="AI5877" t="n">
        <v>0</v>
      </c>
    </row>
    <row r="5878">
      <c r="A5878" t="inlineStr">
        <is>
          <t>12월</t>
        </is>
      </c>
      <c r="B5878" t="inlineStr">
        <is>
          <t>52주차</t>
        </is>
      </c>
      <c r="C5878" t="e">
        <v>#N/A</v>
      </c>
      <c r="K5878" t="n">
        <v>0</v>
      </c>
      <c r="L5878" t="n">
        <v>0</v>
      </c>
      <c r="M5878" t="n">
        <v>0</v>
      </c>
      <c r="AC5878" t="n">
        <v>0</v>
      </c>
      <c r="AD5878" t="n">
        <v>0</v>
      </c>
      <c r="AE5878" t="n">
        <v>0</v>
      </c>
      <c r="AF5878" t="n">
        <v>0</v>
      </c>
      <c r="AG5878" t="n">
        <v>0</v>
      </c>
      <c r="AH5878" t="n">
        <v>0</v>
      </c>
      <c r="AI5878" t="n">
        <v>0</v>
      </c>
    </row>
    <row r="5879">
      <c r="A5879" t="inlineStr">
        <is>
          <t>12월</t>
        </is>
      </c>
      <c r="B5879" t="inlineStr">
        <is>
          <t>52주차</t>
        </is>
      </c>
      <c r="C5879" t="e">
        <v>#N/A</v>
      </c>
      <c r="K5879" t="n">
        <v>0</v>
      </c>
      <c r="L5879" t="n">
        <v>0</v>
      </c>
      <c r="M5879" t="n">
        <v>0</v>
      </c>
      <c r="AC5879" t="n">
        <v>0</v>
      </c>
      <c r="AD5879" t="n">
        <v>0</v>
      </c>
      <c r="AE5879" t="n">
        <v>0</v>
      </c>
      <c r="AF5879" t="n">
        <v>0</v>
      </c>
      <c r="AG5879" t="n">
        <v>0</v>
      </c>
      <c r="AH5879" t="n">
        <v>0</v>
      </c>
      <c r="AI5879" t="n">
        <v>0</v>
      </c>
    </row>
    <row r="5880">
      <c r="A5880" t="inlineStr">
        <is>
          <t>12월</t>
        </is>
      </c>
      <c r="B5880" t="inlineStr">
        <is>
          <t>52주차</t>
        </is>
      </c>
      <c r="C5880" t="e">
        <v>#N/A</v>
      </c>
      <c r="K5880" t="n">
        <v>0</v>
      </c>
      <c r="L5880" t="n">
        <v>0</v>
      </c>
      <c r="M5880" t="n">
        <v>0</v>
      </c>
      <c r="AC5880" t="n">
        <v>0</v>
      </c>
      <c r="AD5880" t="n">
        <v>0</v>
      </c>
      <c r="AE5880" t="n">
        <v>0</v>
      </c>
      <c r="AF5880" t="n">
        <v>0</v>
      </c>
      <c r="AG5880" t="n">
        <v>0</v>
      </c>
      <c r="AH5880" t="n">
        <v>0</v>
      </c>
      <c r="AI5880" t="n">
        <v>0</v>
      </c>
    </row>
    <row r="5881">
      <c r="A5881" t="inlineStr">
        <is>
          <t>12월</t>
        </is>
      </c>
      <c r="B5881" t="inlineStr">
        <is>
          <t>52주차</t>
        </is>
      </c>
      <c r="C5881" t="e">
        <v>#N/A</v>
      </c>
      <c r="K5881" t="n">
        <v>0</v>
      </c>
      <c r="L5881" t="n">
        <v>0</v>
      </c>
      <c r="M5881" t="n">
        <v>0</v>
      </c>
      <c r="AC5881" t="n">
        <v>0</v>
      </c>
      <c r="AD5881" t="n">
        <v>0</v>
      </c>
      <c r="AE5881" t="n">
        <v>0</v>
      </c>
      <c r="AF5881" t="n">
        <v>0</v>
      </c>
      <c r="AG5881" t="n">
        <v>0</v>
      </c>
      <c r="AH5881" t="n">
        <v>0</v>
      </c>
      <c r="AI5881" t="n">
        <v>0</v>
      </c>
    </row>
    <row r="5882">
      <c r="A5882" t="inlineStr">
        <is>
          <t>12월</t>
        </is>
      </c>
      <c r="B5882" t="inlineStr">
        <is>
          <t>52주차</t>
        </is>
      </c>
      <c r="C5882" t="e">
        <v>#N/A</v>
      </c>
      <c r="K5882" t="n">
        <v>0</v>
      </c>
      <c r="L5882" t="n">
        <v>0</v>
      </c>
      <c r="M5882" t="n">
        <v>0</v>
      </c>
      <c r="AC5882" t="n">
        <v>0</v>
      </c>
      <c r="AD5882" t="n">
        <v>0</v>
      </c>
      <c r="AE5882" t="n">
        <v>0</v>
      </c>
      <c r="AF5882" t="n">
        <v>0</v>
      </c>
      <c r="AG5882" t="n">
        <v>0</v>
      </c>
      <c r="AH5882" t="n">
        <v>0</v>
      </c>
      <c r="AI5882" t="n">
        <v>0</v>
      </c>
    </row>
    <row r="5883">
      <c r="A5883" t="inlineStr">
        <is>
          <t>12월</t>
        </is>
      </c>
      <c r="B5883" t="inlineStr">
        <is>
          <t>52주차</t>
        </is>
      </c>
      <c r="C5883" t="e">
        <v>#N/A</v>
      </c>
      <c r="K5883" t="n">
        <v>0</v>
      </c>
      <c r="L5883" t="n">
        <v>0</v>
      </c>
      <c r="M5883" t="n">
        <v>0</v>
      </c>
      <c r="AC5883" t="n">
        <v>0</v>
      </c>
      <c r="AD5883" t="n">
        <v>0</v>
      </c>
      <c r="AE5883" t="n">
        <v>0</v>
      </c>
      <c r="AF5883" t="n">
        <v>0</v>
      </c>
      <c r="AG5883" t="n">
        <v>0</v>
      </c>
      <c r="AH5883" t="n">
        <v>0</v>
      </c>
      <c r="AI5883" t="n">
        <v>0</v>
      </c>
    </row>
    <row r="5884">
      <c r="A5884" t="inlineStr">
        <is>
          <t>12월</t>
        </is>
      </c>
      <c r="B5884" t="inlineStr">
        <is>
          <t>52주차</t>
        </is>
      </c>
      <c r="C5884" t="e">
        <v>#N/A</v>
      </c>
      <c r="K5884" t="n">
        <v>0</v>
      </c>
      <c r="L5884" t="n">
        <v>0</v>
      </c>
      <c r="M5884" t="n">
        <v>0</v>
      </c>
      <c r="AC5884" t="n">
        <v>0</v>
      </c>
      <c r="AD5884" t="n">
        <v>0</v>
      </c>
      <c r="AE5884" t="n">
        <v>0</v>
      </c>
      <c r="AF5884" t="n">
        <v>0</v>
      </c>
      <c r="AG5884" t="n">
        <v>0</v>
      </c>
      <c r="AH5884" t="n">
        <v>0</v>
      </c>
      <c r="AI5884" t="n">
        <v>0</v>
      </c>
    </row>
    <row r="5885">
      <c r="A5885" t="inlineStr">
        <is>
          <t>12월</t>
        </is>
      </c>
      <c r="B5885" t="inlineStr">
        <is>
          <t>52주차</t>
        </is>
      </c>
      <c r="C5885" t="e">
        <v>#N/A</v>
      </c>
      <c r="K5885" t="n">
        <v>0</v>
      </c>
      <c r="L5885" t="n">
        <v>0</v>
      </c>
      <c r="M5885" t="n">
        <v>0</v>
      </c>
      <c r="AC5885" t="n">
        <v>0</v>
      </c>
      <c r="AD5885" t="n">
        <v>0</v>
      </c>
      <c r="AE5885" t="n">
        <v>0</v>
      </c>
      <c r="AF5885" t="n">
        <v>0</v>
      </c>
      <c r="AG5885" t="n">
        <v>0</v>
      </c>
      <c r="AH5885" t="n">
        <v>0</v>
      </c>
      <c r="AI5885" t="n">
        <v>0</v>
      </c>
    </row>
    <row r="5886">
      <c r="A5886" t="inlineStr">
        <is>
          <t>12월</t>
        </is>
      </c>
      <c r="B5886" t="inlineStr">
        <is>
          <t>52주차</t>
        </is>
      </c>
      <c r="C5886" t="e">
        <v>#N/A</v>
      </c>
      <c r="K5886" t="n">
        <v>0</v>
      </c>
      <c r="L5886" t="n">
        <v>0</v>
      </c>
      <c r="M5886" t="n">
        <v>0</v>
      </c>
      <c r="AC5886" t="n">
        <v>0</v>
      </c>
      <c r="AD5886" t="n">
        <v>0</v>
      </c>
      <c r="AE5886" t="n">
        <v>0</v>
      </c>
      <c r="AF5886" t="n">
        <v>0</v>
      </c>
      <c r="AG5886" t="n">
        <v>0</v>
      </c>
      <c r="AH5886" t="n">
        <v>0</v>
      </c>
      <c r="AI5886" t="n">
        <v>0</v>
      </c>
    </row>
    <row r="5887">
      <c r="A5887" t="inlineStr">
        <is>
          <t>12월</t>
        </is>
      </c>
      <c r="B5887" t="inlineStr">
        <is>
          <t>52주차</t>
        </is>
      </c>
      <c r="C5887" t="e">
        <v>#N/A</v>
      </c>
      <c r="K5887" t="n">
        <v>0</v>
      </c>
      <c r="L5887" t="n">
        <v>0</v>
      </c>
      <c r="M5887" t="n">
        <v>0</v>
      </c>
      <c r="AC5887" t="n">
        <v>0</v>
      </c>
      <c r="AD5887" t="n">
        <v>0</v>
      </c>
      <c r="AE5887" t="n">
        <v>0</v>
      </c>
      <c r="AF5887" t="n">
        <v>0</v>
      </c>
      <c r="AG5887" t="n">
        <v>0</v>
      </c>
      <c r="AH5887" t="n">
        <v>0</v>
      </c>
      <c r="AI5887" t="n">
        <v>0</v>
      </c>
    </row>
    <row r="5888">
      <c r="A5888" t="inlineStr">
        <is>
          <t>12월</t>
        </is>
      </c>
      <c r="B5888" t="inlineStr">
        <is>
          <t>52주차</t>
        </is>
      </c>
      <c r="C5888" t="e">
        <v>#N/A</v>
      </c>
      <c r="K5888" t="n">
        <v>0</v>
      </c>
      <c r="L5888" t="n">
        <v>0</v>
      </c>
      <c r="M5888" t="n">
        <v>0</v>
      </c>
      <c r="AC5888" t="n">
        <v>0</v>
      </c>
      <c r="AD5888" t="n">
        <v>0</v>
      </c>
      <c r="AE5888" t="n">
        <v>0</v>
      </c>
      <c r="AF5888" t="n">
        <v>0</v>
      </c>
      <c r="AG5888" t="n">
        <v>0</v>
      </c>
      <c r="AH5888" t="n">
        <v>0</v>
      </c>
      <c r="AI5888" t="n">
        <v>0</v>
      </c>
    </row>
    <row r="5889">
      <c r="A5889" t="inlineStr">
        <is>
          <t>12월</t>
        </is>
      </c>
      <c r="B5889" t="inlineStr">
        <is>
          <t>52주차</t>
        </is>
      </c>
      <c r="C5889" t="e">
        <v>#N/A</v>
      </c>
      <c r="K5889" t="n">
        <v>0</v>
      </c>
      <c r="L5889" t="n">
        <v>0</v>
      </c>
      <c r="M5889" t="n">
        <v>0</v>
      </c>
      <c r="AC5889" t="n">
        <v>0</v>
      </c>
      <c r="AD5889" t="n">
        <v>0</v>
      </c>
      <c r="AE5889" t="n">
        <v>0</v>
      </c>
      <c r="AF5889" t="n">
        <v>0</v>
      </c>
      <c r="AG5889" t="n">
        <v>0</v>
      </c>
      <c r="AH5889" t="n">
        <v>0</v>
      </c>
      <c r="AI5889" t="n">
        <v>0</v>
      </c>
    </row>
    <row r="5890">
      <c r="A5890" t="inlineStr">
        <is>
          <t>12월</t>
        </is>
      </c>
      <c r="B5890" t="inlineStr">
        <is>
          <t>52주차</t>
        </is>
      </c>
      <c r="C5890" t="e">
        <v>#N/A</v>
      </c>
      <c r="K5890" t="n">
        <v>0</v>
      </c>
      <c r="L5890" t="n">
        <v>0</v>
      </c>
      <c r="M5890" t="n">
        <v>0</v>
      </c>
      <c r="AC5890" t="n">
        <v>0</v>
      </c>
      <c r="AD5890" t="n">
        <v>0</v>
      </c>
      <c r="AE5890" t="n">
        <v>0</v>
      </c>
      <c r="AF5890" t="n">
        <v>0</v>
      </c>
      <c r="AG5890" t="n">
        <v>0</v>
      </c>
      <c r="AH5890" t="n">
        <v>0</v>
      </c>
      <c r="AI5890" t="n">
        <v>0</v>
      </c>
    </row>
    <row r="5891">
      <c r="A5891" t="inlineStr">
        <is>
          <t>12월</t>
        </is>
      </c>
      <c r="B5891" t="inlineStr">
        <is>
          <t>52주차</t>
        </is>
      </c>
      <c r="C5891" t="e">
        <v>#N/A</v>
      </c>
      <c r="K5891" t="n">
        <v>0</v>
      </c>
      <c r="L5891" t="n">
        <v>0</v>
      </c>
      <c r="M5891" t="n">
        <v>0</v>
      </c>
      <c r="AC5891" t="n">
        <v>0</v>
      </c>
      <c r="AD5891" t="n">
        <v>0</v>
      </c>
      <c r="AE5891" t="n">
        <v>0</v>
      </c>
      <c r="AF5891" t="n">
        <v>0</v>
      </c>
      <c r="AG5891" t="n">
        <v>0</v>
      </c>
      <c r="AH5891" t="n">
        <v>0</v>
      </c>
      <c r="AI5891" t="n">
        <v>0</v>
      </c>
    </row>
    <row r="5892">
      <c r="A5892" t="inlineStr">
        <is>
          <t>12월</t>
        </is>
      </c>
      <c r="B5892" t="inlineStr">
        <is>
          <t>52주차</t>
        </is>
      </c>
      <c r="C5892" t="e">
        <v>#N/A</v>
      </c>
      <c r="K5892" t="n">
        <v>0</v>
      </c>
      <c r="L5892" t="n">
        <v>0</v>
      </c>
      <c r="M5892" t="n">
        <v>0</v>
      </c>
      <c r="AC5892" t="n">
        <v>0</v>
      </c>
      <c r="AD5892" t="n">
        <v>0</v>
      </c>
      <c r="AE5892" t="n">
        <v>0</v>
      </c>
      <c r="AF5892" t="n">
        <v>0</v>
      </c>
      <c r="AG5892" t="n">
        <v>0</v>
      </c>
      <c r="AH5892" t="n">
        <v>0</v>
      </c>
      <c r="AI5892" t="n">
        <v>0</v>
      </c>
    </row>
    <row r="5893">
      <c r="A5893" t="inlineStr">
        <is>
          <t>12월</t>
        </is>
      </c>
      <c r="B5893" t="inlineStr">
        <is>
          <t>52주차</t>
        </is>
      </c>
      <c r="C5893" t="e">
        <v>#N/A</v>
      </c>
      <c r="K5893" t="n">
        <v>0</v>
      </c>
      <c r="L5893" t="n">
        <v>0</v>
      </c>
      <c r="M5893" t="n">
        <v>0</v>
      </c>
      <c r="AC5893" t="n">
        <v>0</v>
      </c>
      <c r="AD5893" t="n">
        <v>0</v>
      </c>
      <c r="AE5893" t="n">
        <v>0</v>
      </c>
      <c r="AF5893" t="n">
        <v>0</v>
      </c>
      <c r="AG5893" t="n">
        <v>0</v>
      </c>
      <c r="AH5893" t="n">
        <v>0</v>
      </c>
      <c r="AI5893" t="n">
        <v>0</v>
      </c>
    </row>
    <row r="5894">
      <c r="A5894" t="inlineStr">
        <is>
          <t>12월</t>
        </is>
      </c>
      <c r="B5894" t="inlineStr">
        <is>
          <t>52주차</t>
        </is>
      </c>
      <c r="C5894" t="e">
        <v>#N/A</v>
      </c>
      <c r="K5894" t="n">
        <v>0</v>
      </c>
      <c r="L5894" t="n">
        <v>0</v>
      </c>
      <c r="M5894" t="n">
        <v>0</v>
      </c>
      <c r="AC5894" t="n">
        <v>0</v>
      </c>
      <c r="AD5894" t="n">
        <v>0</v>
      </c>
      <c r="AE5894" t="n">
        <v>0</v>
      </c>
      <c r="AF5894" t="n">
        <v>0</v>
      </c>
      <c r="AG5894" t="n">
        <v>0</v>
      </c>
      <c r="AH5894" t="n">
        <v>0</v>
      </c>
    </row>
    <row r="5895">
      <c r="A5895" t="inlineStr">
        <is>
          <t>12월</t>
        </is>
      </c>
      <c r="B5895" t="inlineStr">
        <is>
          <t>52주차</t>
        </is>
      </c>
      <c r="C5895" t="e">
        <v>#N/A</v>
      </c>
      <c r="K5895" t="n">
        <v>0</v>
      </c>
      <c r="L5895" t="n">
        <v>0</v>
      </c>
      <c r="M5895" t="n">
        <v>0</v>
      </c>
      <c r="AC5895" t="n">
        <v>0</v>
      </c>
      <c r="AD5895" t="n">
        <v>0</v>
      </c>
      <c r="AE5895" t="n">
        <v>0</v>
      </c>
      <c r="AF5895" t="n">
        <v>0</v>
      </c>
      <c r="AG5895" t="n">
        <v>0</v>
      </c>
      <c r="AH5895" t="n">
        <v>0</v>
      </c>
      <c r="AI5895" t="n">
        <v>0</v>
      </c>
    </row>
    <row r="5896">
      <c r="A5896" t="inlineStr">
        <is>
          <t>12월</t>
        </is>
      </c>
      <c r="B5896" t="inlineStr">
        <is>
          <t>52주차</t>
        </is>
      </c>
      <c r="C5896" t="e">
        <v>#N/A</v>
      </c>
      <c r="K5896" t="n">
        <v>0</v>
      </c>
      <c r="L5896" t="n">
        <v>0</v>
      </c>
      <c r="M5896" t="n">
        <v>0</v>
      </c>
      <c r="AC5896" t="n">
        <v>0</v>
      </c>
      <c r="AD5896" t="n">
        <v>0</v>
      </c>
      <c r="AE5896" t="n">
        <v>0</v>
      </c>
      <c r="AF5896" t="n">
        <v>0</v>
      </c>
      <c r="AG5896" t="n">
        <v>0</v>
      </c>
      <c r="AH5896" t="n">
        <v>0</v>
      </c>
      <c r="AI5896" t="n">
        <v>0</v>
      </c>
    </row>
    <row r="5897">
      <c r="A5897" t="inlineStr">
        <is>
          <t>12월</t>
        </is>
      </c>
      <c r="B5897" t="inlineStr">
        <is>
          <t>52주차</t>
        </is>
      </c>
      <c r="C5897" t="e">
        <v>#N/A</v>
      </c>
      <c r="K5897" t="n">
        <v>0</v>
      </c>
      <c r="L5897" t="n">
        <v>0</v>
      </c>
      <c r="M5897" t="n">
        <v>0</v>
      </c>
      <c r="AC5897" t="n">
        <v>0</v>
      </c>
      <c r="AD5897" t="n">
        <v>0</v>
      </c>
      <c r="AE5897" t="n">
        <v>0</v>
      </c>
      <c r="AF5897" t="n">
        <v>0</v>
      </c>
      <c r="AG5897" t="n">
        <v>0</v>
      </c>
      <c r="AH5897" t="n">
        <v>0</v>
      </c>
      <c r="AI5897" t="n">
        <v>0</v>
      </c>
    </row>
    <row r="5898">
      <c r="A5898" t="inlineStr">
        <is>
          <t>12월</t>
        </is>
      </c>
      <c r="B5898" t="inlineStr">
        <is>
          <t>52주차</t>
        </is>
      </c>
      <c r="C5898" t="e">
        <v>#N/A</v>
      </c>
      <c r="K5898" t="n">
        <v>0</v>
      </c>
      <c r="L5898" t="n">
        <v>0</v>
      </c>
      <c r="M5898" t="n">
        <v>0</v>
      </c>
      <c r="AC5898" t="n">
        <v>0</v>
      </c>
      <c r="AD5898" t="n">
        <v>0</v>
      </c>
      <c r="AE5898" t="n">
        <v>0</v>
      </c>
      <c r="AF5898" t="n">
        <v>0</v>
      </c>
      <c r="AG5898" t="n">
        <v>0</v>
      </c>
      <c r="AH5898" t="n">
        <v>0</v>
      </c>
      <c r="AI5898" t="n">
        <v>0</v>
      </c>
    </row>
    <row r="5899">
      <c r="A5899" t="inlineStr">
        <is>
          <t>12월</t>
        </is>
      </c>
      <c r="B5899" t="inlineStr">
        <is>
          <t>52주차</t>
        </is>
      </c>
      <c r="C5899" t="e">
        <v>#N/A</v>
      </c>
      <c r="K5899" t="n">
        <v>0</v>
      </c>
      <c r="L5899" t="n">
        <v>0</v>
      </c>
      <c r="M5899" t="n">
        <v>0</v>
      </c>
      <c r="AC5899" t="n">
        <v>0</v>
      </c>
      <c r="AD5899" t="n">
        <v>0</v>
      </c>
      <c r="AE5899" t="n">
        <v>0</v>
      </c>
      <c r="AF5899" t="n">
        <v>0</v>
      </c>
      <c r="AG5899" t="n">
        <v>0</v>
      </c>
      <c r="AH5899" t="n">
        <v>0</v>
      </c>
      <c r="AI5899" t="n">
        <v>0</v>
      </c>
    </row>
    <row r="5900">
      <c r="A5900" t="inlineStr">
        <is>
          <t>12월</t>
        </is>
      </c>
      <c r="B5900" t="inlineStr">
        <is>
          <t>52주차</t>
        </is>
      </c>
      <c r="C5900" t="e">
        <v>#N/A</v>
      </c>
      <c r="K5900" t="n">
        <v>0</v>
      </c>
      <c r="L5900" t="n">
        <v>0</v>
      </c>
      <c r="M5900" t="n">
        <v>0</v>
      </c>
      <c r="AC5900" t="n">
        <v>0</v>
      </c>
      <c r="AD5900" t="n">
        <v>0</v>
      </c>
      <c r="AE5900" t="n">
        <v>0</v>
      </c>
      <c r="AF5900" t="n">
        <v>0</v>
      </c>
      <c r="AG5900" t="n">
        <v>0</v>
      </c>
      <c r="AH5900" t="n">
        <v>0</v>
      </c>
      <c r="AI5900" t="n">
        <v>0</v>
      </c>
    </row>
    <row r="5901">
      <c r="A5901" t="inlineStr">
        <is>
          <t>12월</t>
        </is>
      </c>
      <c r="B5901" t="inlineStr">
        <is>
          <t>52주차</t>
        </is>
      </c>
      <c r="C5901" t="e">
        <v>#N/A</v>
      </c>
      <c r="K5901" t="n">
        <v>0</v>
      </c>
      <c r="L5901" t="n">
        <v>0</v>
      </c>
      <c r="M5901" t="n">
        <v>0</v>
      </c>
      <c r="AC5901" t="n">
        <v>0</v>
      </c>
      <c r="AD5901" t="n">
        <v>0</v>
      </c>
      <c r="AE5901" t="n">
        <v>0</v>
      </c>
      <c r="AF5901" t="n">
        <v>0</v>
      </c>
      <c r="AG5901" t="n">
        <v>0</v>
      </c>
      <c r="AH5901" t="n">
        <v>0</v>
      </c>
      <c r="AI5901" t="n">
        <v>0</v>
      </c>
    </row>
    <row r="5902">
      <c r="A5902" t="inlineStr">
        <is>
          <t>12월</t>
        </is>
      </c>
      <c r="B5902" t="inlineStr">
        <is>
          <t>52주차</t>
        </is>
      </c>
      <c r="C5902" t="e">
        <v>#N/A</v>
      </c>
      <c r="K5902" t="n">
        <v>0</v>
      </c>
      <c r="L5902" t="n">
        <v>0</v>
      </c>
      <c r="M5902" t="n">
        <v>0</v>
      </c>
      <c r="AC5902" t="n">
        <v>0</v>
      </c>
      <c r="AD5902" t="n">
        <v>0</v>
      </c>
      <c r="AE5902" t="n">
        <v>0</v>
      </c>
      <c r="AF5902" t="n">
        <v>0</v>
      </c>
      <c r="AG5902" t="n">
        <v>0</v>
      </c>
      <c r="AH5902" t="n">
        <v>0</v>
      </c>
      <c r="AI5902" t="n">
        <v>0</v>
      </c>
    </row>
    <row r="5903">
      <c r="A5903" t="inlineStr">
        <is>
          <t>12월</t>
        </is>
      </c>
      <c r="B5903" t="inlineStr">
        <is>
          <t>52주차</t>
        </is>
      </c>
      <c r="C5903" t="e">
        <v>#N/A</v>
      </c>
      <c r="K5903" t="n">
        <v>0</v>
      </c>
      <c r="L5903" t="n">
        <v>0</v>
      </c>
      <c r="M5903" t="n">
        <v>0</v>
      </c>
      <c r="AC5903" t="n">
        <v>0</v>
      </c>
      <c r="AD5903" t="n">
        <v>0</v>
      </c>
      <c r="AE5903" t="n">
        <v>0</v>
      </c>
      <c r="AF5903" t="n">
        <v>0</v>
      </c>
      <c r="AG5903" t="n">
        <v>0</v>
      </c>
      <c r="AH5903" t="n">
        <v>0</v>
      </c>
      <c r="AI5903" t="n">
        <v>0</v>
      </c>
    </row>
    <row r="5904">
      <c r="A5904" t="inlineStr">
        <is>
          <t>12월</t>
        </is>
      </c>
      <c r="B5904" t="inlineStr">
        <is>
          <t>52주차</t>
        </is>
      </c>
      <c r="C5904" t="e">
        <v>#N/A</v>
      </c>
      <c r="K5904" t="n">
        <v>0</v>
      </c>
      <c r="L5904" t="n">
        <v>0</v>
      </c>
      <c r="M5904" t="n">
        <v>0</v>
      </c>
      <c r="AC5904" t="n">
        <v>0</v>
      </c>
      <c r="AD5904" t="n">
        <v>0</v>
      </c>
      <c r="AE5904" t="n">
        <v>0</v>
      </c>
      <c r="AF5904" t="n">
        <v>0</v>
      </c>
      <c r="AG5904" t="n">
        <v>0</v>
      </c>
      <c r="AH5904" t="n">
        <v>0</v>
      </c>
      <c r="AI5904" t="n">
        <v>0</v>
      </c>
    </row>
    <row r="5905">
      <c r="A5905" t="inlineStr">
        <is>
          <t>12월</t>
        </is>
      </c>
      <c r="B5905" t="inlineStr">
        <is>
          <t>52주차</t>
        </is>
      </c>
      <c r="C5905" t="e">
        <v>#N/A</v>
      </c>
      <c r="K5905" t="n">
        <v>0</v>
      </c>
      <c r="L5905" t="n">
        <v>0</v>
      </c>
      <c r="M5905" t="n">
        <v>0</v>
      </c>
      <c r="AC5905" t="n">
        <v>0</v>
      </c>
      <c r="AD5905" t="n">
        <v>0</v>
      </c>
      <c r="AE5905" t="n">
        <v>0</v>
      </c>
      <c r="AF5905" t="n">
        <v>0</v>
      </c>
      <c r="AG5905" t="n">
        <v>0</v>
      </c>
      <c r="AH5905" t="n">
        <v>0</v>
      </c>
      <c r="AI5905" t="n">
        <v>0</v>
      </c>
    </row>
    <row r="5906">
      <c r="A5906" t="inlineStr">
        <is>
          <t>12월</t>
        </is>
      </c>
      <c r="B5906" t="inlineStr">
        <is>
          <t>52주차</t>
        </is>
      </c>
      <c r="C5906" t="e">
        <v>#N/A</v>
      </c>
      <c r="K5906" t="n">
        <v>0</v>
      </c>
      <c r="L5906" t="n">
        <v>0</v>
      </c>
      <c r="M5906" t="n">
        <v>0</v>
      </c>
      <c r="AC5906" t="n">
        <v>0</v>
      </c>
      <c r="AD5906" t="n">
        <v>0</v>
      </c>
      <c r="AE5906" t="n">
        <v>0</v>
      </c>
      <c r="AF5906" t="n">
        <v>0</v>
      </c>
      <c r="AG5906" t="n">
        <v>0</v>
      </c>
      <c r="AH5906" t="n">
        <v>0</v>
      </c>
      <c r="AI5906" t="n">
        <v>0</v>
      </c>
    </row>
    <row r="5907">
      <c r="A5907" t="inlineStr">
        <is>
          <t>12월</t>
        </is>
      </c>
      <c r="B5907" t="inlineStr">
        <is>
          <t>52주차</t>
        </is>
      </c>
      <c r="C5907" t="e">
        <v>#N/A</v>
      </c>
      <c r="K5907" t="n">
        <v>0</v>
      </c>
      <c r="L5907" t="n">
        <v>0</v>
      </c>
      <c r="M5907" t="n">
        <v>0</v>
      </c>
      <c r="AC5907" t="n">
        <v>0</v>
      </c>
      <c r="AD5907" t="n">
        <v>0</v>
      </c>
      <c r="AE5907" t="n">
        <v>0</v>
      </c>
      <c r="AF5907" t="n">
        <v>0</v>
      </c>
      <c r="AG5907" t="n">
        <v>0</v>
      </c>
      <c r="AH5907" t="n">
        <v>0</v>
      </c>
    </row>
    <row r="5908">
      <c r="A5908" t="inlineStr">
        <is>
          <t>12월</t>
        </is>
      </c>
      <c r="B5908" t="inlineStr">
        <is>
          <t>52주차</t>
        </is>
      </c>
      <c r="C5908" t="e">
        <v>#N/A</v>
      </c>
      <c r="K5908" t="n">
        <v>0</v>
      </c>
      <c r="L5908" t="n">
        <v>0</v>
      </c>
      <c r="M5908" t="n">
        <v>0</v>
      </c>
      <c r="AC5908" t="n">
        <v>0</v>
      </c>
      <c r="AD5908" t="n">
        <v>0</v>
      </c>
      <c r="AE5908" t="n">
        <v>0</v>
      </c>
      <c r="AF5908" t="n">
        <v>0</v>
      </c>
      <c r="AG5908" t="n">
        <v>0</v>
      </c>
      <c r="AH5908" t="n">
        <v>0</v>
      </c>
      <c r="AI5908" t="n">
        <v>0</v>
      </c>
    </row>
    <row r="5909">
      <c r="A5909" t="inlineStr">
        <is>
          <t>12월</t>
        </is>
      </c>
      <c r="B5909" t="inlineStr">
        <is>
          <t>52주차</t>
        </is>
      </c>
      <c r="C5909" t="e">
        <v>#N/A</v>
      </c>
      <c r="K5909" t="n">
        <v>0</v>
      </c>
      <c r="L5909" t="n">
        <v>0</v>
      </c>
      <c r="M5909" t="n">
        <v>0</v>
      </c>
      <c r="AC5909" t="n">
        <v>0</v>
      </c>
      <c r="AD5909" t="n">
        <v>0</v>
      </c>
      <c r="AE5909" t="n">
        <v>0</v>
      </c>
      <c r="AF5909" t="n">
        <v>0</v>
      </c>
      <c r="AG5909" t="n">
        <v>0</v>
      </c>
      <c r="AH5909" t="n">
        <v>0</v>
      </c>
      <c r="AI5909" t="n">
        <v>0</v>
      </c>
    </row>
    <row r="5910">
      <c r="A5910" t="inlineStr">
        <is>
          <t>12월</t>
        </is>
      </c>
      <c r="B5910" t="inlineStr">
        <is>
          <t>52주차</t>
        </is>
      </c>
      <c r="C5910" t="e">
        <v>#N/A</v>
      </c>
      <c r="K5910" t="n">
        <v>0</v>
      </c>
      <c r="L5910" t="n">
        <v>0</v>
      </c>
      <c r="M5910" t="n">
        <v>0</v>
      </c>
      <c r="AC5910" t="n">
        <v>0</v>
      </c>
      <c r="AD5910" t="n">
        <v>0</v>
      </c>
      <c r="AE5910" t="n">
        <v>0</v>
      </c>
      <c r="AF5910" t="n">
        <v>0</v>
      </c>
      <c r="AG5910" t="n">
        <v>0</v>
      </c>
      <c r="AH5910" t="n">
        <v>0</v>
      </c>
      <c r="AI5910" t="n">
        <v>0</v>
      </c>
    </row>
    <row r="5911">
      <c r="A5911" t="inlineStr">
        <is>
          <t>12월</t>
        </is>
      </c>
      <c r="B5911" t="inlineStr">
        <is>
          <t>52주차</t>
        </is>
      </c>
      <c r="C5911" t="e">
        <v>#N/A</v>
      </c>
      <c r="K5911" t="n">
        <v>0</v>
      </c>
      <c r="L5911" t="n">
        <v>0</v>
      </c>
      <c r="M5911" t="n">
        <v>0</v>
      </c>
      <c r="AC5911" t="n">
        <v>0</v>
      </c>
      <c r="AD5911" t="n">
        <v>0</v>
      </c>
      <c r="AE5911" t="n">
        <v>0</v>
      </c>
      <c r="AF5911" t="n">
        <v>0</v>
      </c>
      <c r="AG5911" t="n">
        <v>0</v>
      </c>
      <c r="AH5911" t="n">
        <v>0</v>
      </c>
      <c r="AI5911" t="n">
        <v>0</v>
      </c>
    </row>
    <row r="5912">
      <c r="A5912" t="inlineStr">
        <is>
          <t>12월</t>
        </is>
      </c>
      <c r="B5912" t="inlineStr">
        <is>
          <t>52주차</t>
        </is>
      </c>
      <c r="C5912" t="e">
        <v>#N/A</v>
      </c>
      <c r="K5912" t="n">
        <v>0</v>
      </c>
      <c r="L5912" t="n">
        <v>0</v>
      </c>
      <c r="M5912" t="n">
        <v>0</v>
      </c>
      <c r="AC5912" t="n">
        <v>0</v>
      </c>
      <c r="AD5912" t="n">
        <v>0</v>
      </c>
      <c r="AE5912" t="n">
        <v>0</v>
      </c>
      <c r="AF5912" t="n">
        <v>0</v>
      </c>
      <c r="AG5912" t="n">
        <v>0</v>
      </c>
      <c r="AH5912" t="n">
        <v>0</v>
      </c>
      <c r="AI5912" t="n">
        <v>0</v>
      </c>
    </row>
    <row r="5913">
      <c r="A5913" t="inlineStr">
        <is>
          <t>12월</t>
        </is>
      </c>
      <c r="B5913" t="inlineStr">
        <is>
          <t>52주차</t>
        </is>
      </c>
      <c r="C5913" t="e">
        <v>#N/A</v>
      </c>
      <c r="K5913" t="n">
        <v>0</v>
      </c>
      <c r="L5913" t="n">
        <v>0</v>
      </c>
      <c r="M5913" t="n">
        <v>0</v>
      </c>
      <c r="AC5913" t="n">
        <v>0</v>
      </c>
      <c r="AD5913" t="n">
        <v>0</v>
      </c>
      <c r="AE5913" t="n">
        <v>0</v>
      </c>
      <c r="AF5913" t="n">
        <v>0</v>
      </c>
      <c r="AG5913" t="n">
        <v>0</v>
      </c>
      <c r="AH5913" t="n">
        <v>0</v>
      </c>
      <c r="AI5913" t="n">
        <v>0</v>
      </c>
    </row>
    <row r="5914">
      <c r="A5914" t="inlineStr">
        <is>
          <t>12월</t>
        </is>
      </c>
      <c r="B5914" t="inlineStr">
        <is>
          <t>52주차</t>
        </is>
      </c>
      <c r="C5914" t="e">
        <v>#N/A</v>
      </c>
      <c r="K5914" t="n">
        <v>0</v>
      </c>
      <c r="L5914" t="n">
        <v>0</v>
      </c>
      <c r="M5914" t="n">
        <v>0</v>
      </c>
      <c r="AC5914" t="n">
        <v>0</v>
      </c>
      <c r="AD5914" t="n">
        <v>0</v>
      </c>
      <c r="AE5914" t="n">
        <v>0</v>
      </c>
      <c r="AF5914" t="n">
        <v>0</v>
      </c>
      <c r="AG5914" t="n">
        <v>0</v>
      </c>
      <c r="AH5914" t="n">
        <v>0</v>
      </c>
    </row>
    <row r="5915">
      <c r="A5915" t="inlineStr">
        <is>
          <t>12월</t>
        </is>
      </c>
      <c r="B5915" t="inlineStr">
        <is>
          <t>52주차</t>
        </is>
      </c>
      <c r="C5915" t="e">
        <v>#N/A</v>
      </c>
      <c r="K5915" t="n">
        <v>0</v>
      </c>
      <c r="L5915" t="n">
        <v>0</v>
      </c>
      <c r="M5915" t="n">
        <v>0</v>
      </c>
      <c r="AC5915" t="n">
        <v>0</v>
      </c>
      <c r="AD5915" t="n">
        <v>0</v>
      </c>
      <c r="AE5915" t="n">
        <v>0</v>
      </c>
      <c r="AF5915" t="n">
        <v>0</v>
      </c>
      <c r="AG5915" t="n">
        <v>0</v>
      </c>
      <c r="AH5915" t="n">
        <v>0</v>
      </c>
    </row>
    <row r="5916">
      <c r="A5916" t="inlineStr">
        <is>
          <t>12월</t>
        </is>
      </c>
      <c r="B5916" t="inlineStr">
        <is>
          <t>52주차</t>
        </is>
      </c>
      <c r="C5916" t="e">
        <v>#N/A</v>
      </c>
      <c r="K5916" t="n">
        <v>0</v>
      </c>
      <c r="L5916" t="n">
        <v>0</v>
      </c>
      <c r="M5916" t="n">
        <v>0</v>
      </c>
      <c r="AC5916" t="n">
        <v>0</v>
      </c>
      <c r="AD5916" t="n">
        <v>0</v>
      </c>
      <c r="AE5916" t="n">
        <v>0</v>
      </c>
      <c r="AF5916" t="n">
        <v>0</v>
      </c>
      <c r="AG5916" t="n">
        <v>0</v>
      </c>
      <c r="AH5916" t="n">
        <v>0</v>
      </c>
      <c r="AI5916" t="n">
        <v>0</v>
      </c>
    </row>
    <row r="5917">
      <c r="A5917" t="inlineStr">
        <is>
          <t>12월</t>
        </is>
      </c>
      <c r="B5917" t="inlineStr">
        <is>
          <t>52주차</t>
        </is>
      </c>
      <c r="C5917" t="e">
        <v>#N/A</v>
      </c>
      <c r="K5917" t="n">
        <v>0</v>
      </c>
      <c r="L5917" t="n">
        <v>0</v>
      </c>
      <c r="M5917" t="n">
        <v>0</v>
      </c>
      <c r="AC5917" t="n">
        <v>0</v>
      </c>
      <c r="AD5917" t="n">
        <v>0</v>
      </c>
      <c r="AE5917" t="n">
        <v>0</v>
      </c>
      <c r="AF5917" t="n">
        <v>0</v>
      </c>
      <c r="AG5917" t="n">
        <v>0</v>
      </c>
      <c r="AH5917" t="n">
        <v>0</v>
      </c>
      <c r="AI5917" t="n">
        <v>0</v>
      </c>
    </row>
    <row r="5918">
      <c r="A5918" t="inlineStr">
        <is>
          <t>12월</t>
        </is>
      </c>
      <c r="B5918" t="inlineStr">
        <is>
          <t>52주차</t>
        </is>
      </c>
      <c r="C5918" t="e">
        <v>#N/A</v>
      </c>
      <c r="K5918" t="n">
        <v>0</v>
      </c>
      <c r="L5918" t="n">
        <v>0</v>
      </c>
      <c r="M5918" t="n">
        <v>0</v>
      </c>
      <c r="AC5918" t="n">
        <v>0</v>
      </c>
      <c r="AD5918" t="n">
        <v>0</v>
      </c>
      <c r="AE5918" t="n">
        <v>0</v>
      </c>
      <c r="AF5918" t="n">
        <v>0</v>
      </c>
      <c r="AG5918" t="n">
        <v>0</v>
      </c>
      <c r="AH5918" t="n">
        <v>0</v>
      </c>
      <c r="AI5918" t="n">
        <v>0</v>
      </c>
    </row>
    <row r="5919">
      <c r="A5919" t="inlineStr">
        <is>
          <t>12월</t>
        </is>
      </c>
      <c r="B5919" t="inlineStr">
        <is>
          <t>52주차</t>
        </is>
      </c>
      <c r="C5919" t="e">
        <v>#N/A</v>
      </c>
      <c r="K5919" t="n">
        <v>0</v>
      </c>
      <c r="L5919" t="n">
        <v>0</v>
      </c>
      <c r="M5919" t="n">
        <v>0</v>
      </c>
      <c r="AC5919" t="n">
        <v>0</v>
      </c>
      <c r="AD5919" t="n">
        <v>0</v>
      </c>
      <c r="AE5919" t="n">
        <v>0</v>
      </c>
      <c r="AF5919" t="n">
        <v>0</v>
      </c>
      <c r="AG5919" t="n">
        <v>0</v>
      </c>
      <c r="AH5919" t="n">
        <v>0</v>
      </c>
    </row>
    <row r="5920">
      <c r="A5920" t="inlineStr">
        <is>
          <t>12월</t>
        </is>
      </c>
      <c r="B5920" t="inlineStr">
        <is>
          <t>52주차</t>
        </is>
      </c>
      <c r="C5920" t="e">
        <v>#N/A</v>
      </c>
      <c r="K5920" t="n">
        <v>0</v>
      </c>
      <c r="L5920" t="n">
        <v>0</v>
      </c>
      <c r="M5920" t="n">
        <v>0</v>
      </c>
      <c r="AC5920" t="n">
        <v>0</v>
      </c>
      <c r="AD5920" t="n">
        <v>0</v>
      </c>
      <c r="AE5920" t="n">
        <v>0</v>
      </c>
      <c r="AF5920" t="n">
        <v>0</v>
      </c>
      <c r="AG5920" t="n">
        <v>0</v>
      </c>
      <c r="AH5920" t="n">
        <v>0</v>
      </c>
      <c r="AI5920" t="n">
        <v>0</v>
      </c>
    </row>
    <row r="5921">
      <c r="A5921" t="inlineStr">
        <is>
          <t>12월</t>
        </is>
      </c>
      <c r="B5921" t="inlineStr">
        <is>
          <t>52주차</t>
        </is>
      </c>
      <c r="C5921" t="e">
        <v>#N/A</v>
      </c>
      <c r="K5921" t="n">
        <v>0</v>
      </c>
      <c r="L5921" t="n">
        <v>0</v>
      </c>
      <c r="M5921" t="n">
        <v>0</v>
      </c>
      <c r="AC5921" t="n">
        <v>0</v>
      </c>
      <c r="AD5921" t="n">
        <v>0</v>
      </c>
      <c r="AE5921" t="n">
        <v>0</v>
      </c>
      <c r="AF5921" t="n">
        <v>0</v>
      </c>
      <c r="AG5921" t="n">
        <v>0</v>
      </c>
      <c r="AH5921" t="n">
        <v>0</v>
      </c>
    </row>
    <row r="5922">
      <c r="A5922" t="inlineStr">
        <is>
          <t>12월</t>
        </is>
      </c>
      <c r="B5922" t="inlineStr">
        <is>
          <t>52주차</t>
        </is>
      </c>
      <c r="C5922" t="e">
        <v>#N/A</v>
      </c>
      <c r="K5922" t="n">
        <v>0</v>
      </c>
      <c r="L5922" t="n">
        <v>0</v>
      </c>
      <c r="M5922" t="n">
        <v>0</v>
      </c>
      <c r="AC5922" t="n">
        <v>0</v>
      </c>
      <c r="AD5922" t="n">
        <v>0</v>
      </c>
      <c r="AE5922" t="n">
        <v>0</v>
      </c>
      <c r="AF5922" t="n">
        <v>0</v>
      </c>
      <c r="AG5922" t="n">
        <v>0</v>
      </c>
      <c r="AH5922" t="n">
        <v>0</v>
      </c>
      <c r="AI5922" t="n">
        <v>0</v>
      </c>
    </row>
    <row r="5923">
      <c r="A5923" t="inlineStr">
        <is>
          <t>12월</t>
        </is>
      </c>
      <c r="B5923" t="inlineStr">
        <is>
          <t>52주차</t>
        </is>
      </c>
      <c r="C5923" t="e">
        <v>#N/A</v>
      </c>
      <c r="K5923" t="n">
        <v>0</v>
      </c>
      <c r="L5923" t="n">
        <v>0</v>
      </c>
      <c r="M5923" t="n">
        <v>0</v>
      </c>
      <c r="AC5923" t="n">
        <v>0</v>
      </c>
      <c r="AD5923" t="n">
        <v>0</v>
      </c>
      <c r="AE5923" t="n">
        <v>0</v>
      </c>
      <c r="AF5923" t="n">
        <v>0</v>
      </c>
      <c r="AG5923" t="n">
        <v>0</v>
      </c>
      <c r="AH5923" t="n">
        <v>0</v>
      </c>
      <c r="AI5923" t="n">
        <v>0</v>
      </c>
    </row>
    <row r="5924">
      <c r="A5924" t="inlineStr">
        <is>
          <t>12월</t>
        </is>
      </c>
      <c r="B5924" t="inlineStr">
        <is>
          <t>52주차</t>
        </is>
      </c>
      <c r="C5924" t="e">
        <v>#N/A</v>
      </c>
      <c r="K5924" t="n">
        <v>0</v>
      </c>
      <c r="L5924" t="n">
        <v>0</v>
      </c>
      <c r="M5924" t="n">
        <v>0</v>
      </c>
      <c r="AC5924" t="n">
        <v>0</v>
      </c>
      <c r="AD5924" t="n">
        <v>0</v>
      </c>
      <c r="AE5924" t="n">
        <v>0</v>
      </c>
      <c r="AF5924" t="n">
        <v>0</v>
      </c>
      <c r="AG5924" t="n">
        <v>0</v>
      </c>
      <c r="AH5924" t="n">
        <v>0</v>
      </c>
      <c r="AI5924" t="n">
        <v>0</v>
      </c>
    </row>
    <row r="5925">
      <c r="A5925" t="inlineStr">
        <is>
          <t>12월</t>
        </is>
      </c>
      <c r="B5925" t="inlineStr">
        <is>
          <t>52주차</t>
        </is>
      </c>
      <c r="C5925" t="e">
        <v>#N/A</v>
      </c>
      <c r="K5925" t="n">
        <v>0</v>
      </c>
      <c r="L5925" t="n">
        <v>0</v>
      </c>
      <c r="M5925" t="n">
        <v>0</v>
      </c>
      <c r="AC5925" t="n">
        <v>0</v>
      </c>
      <c r="AD5925" t="n">
        <v>0</v>
      </c>
      <c r="AE5925" t="n">
        <v>0</v>
      </c>
      <c r="AF5925" t="n">
        <v>0</v>
      </c>
      <c r="AG5925" t="n">
        <v>0</v>
      </c>
      <c r="AH5925" t="n">
        <v>0</v>
      </c>
      <c r="AI5925" t="n">
        <v>0</v>
      </c>
    </row>
    <row r="5926">
      <c r="A5926" t="inlineStr">
        <is>
          <t>12월</t>
        </is>
      </c>
      <c r="B5926" t="inlineStr">
        <is>
          <t>52주차</t>
        </is>
      </c>
      <c r="C5926" t="e">
        <v>#N/A</v>
      </c>
      <c r="K5926" t="n">
        <v>0</v>
      </c>
      <c r="L5926" t="n">
        <v>0</v>
      </c>
      <c r="M5926" t="n">
        <v>0</v>
      </c>
      <c r="AC5926" t="n">
        <v>0</v>
      </c>
      <c r="AD5926" t="n">
        <v>0</v>
      </c>
      <c r="AE5926" t="n">
        <v>0</v>
      </c>
      <c r="AF5926" t="n">
        <v>0</v>
      </c>
      <c r="AG5926" t="n">
        <v>0</v>
      </c>
      <c r="AH5926" t="n">
        <v>0</v>
      </c>
      <c r="AI5926" t="n">
        <v>0</v>
      </c>
    </row>
    <row r="5927">
      <c r="A5927" t="inlineStr">
        <is>
          <t>12월</t>
        </is>
      </c>
      <c r="B5927" t="inlineStr">
        <is>
          <t>52주차</t>
        </is>
      </c>
      <c r="C5927" t="e">
        <v>#N/A</v>
      </c>
      <c r="K5927" t="n">
        <v>0</v>
      </c>
      <c r="L5927" t="n">
        <v>0</v>
      </c>
      <c r="M5927" t="n">
        <v>0</v>
      </c>
      <c r="AC5927" t="n">
        <v>0</v>
      </c>
      <c r="AD5927" t="n">
        <v>0</v>
      </c>
      <c r="AE5927" t="n">
        <v>0</v>
      </c>
      <c r="AF5927" t="n">
        <v>0</v>
      </c>
      <c r="AG5927" t="n">
        <v>0</v>
      </c>
      <c r="AH5927" t="n">
        <v>0</v>
      </c>
      <c r="AI5927" t="n">
        <v>0</v>
      </c>
    </row>
    <row r="5928">
      <c r="A5928" t="inlineStr">
        <is>
          <t>12월</t>
        </is>
      </c>
      <c r="B5928" t="inlineStr">
        <is>
          <t>52주차</t>
        </is>
      </c>
      <c r="C5928" t="e">
        <v>#N/A</v>
      </c>
      <c r="K5928" t="n">
        <v>0</v>
      </c>
      <c r="L5928" t="n">
        <v>0</v>
      </c>
      <c r="M5928" t="n">
        <v>0</v>
      </c>
      <c r="AC5928" t="n">
        <v>0</v>
      </c>
      <c r="AD5928" t="n">
        <v>0</v>
      </c>
      <c r="AE5928" t="n">
        <v>0</v>
      </c>
      <c r="AF5928" t="n">
        <v>0</v>
      </c>
      <c r="AG5928" t="n">
        <v>0</v>
      </c>
      <c r="AH5928" t="n">
        <v>0</v>
      </c>
      <c r="AI5928" t="n">
        <v>0</v>
      </c>
    </row>
    <row r="5929">
      <c r="A5929" t="inlineStr">
        <is>
          <t>12월</t>
        </is>
      </c>
      <c r="B5929" t="inlineStr">
        <is>
          <t>52주차</t>
        </is>
      </c>
      <c r="C5929" t="e">
        <v>#N/A</v>
      </c>
      <c r="K5929" t="n">
        <v>0</v>
      </c>
      <c r="L5929" t="n">
        <v>0</v>
      </c>
      <c r="M5929" t="n">
        <v>0</v>
      </c>
      <c r="AC5929" t="n">
        <v>0</v>
      </c>
      <c r="AD5929" t="n">
        <v>0</v>
      </c>
      <c r="AE5929" t="n">
        <v>0</v>
      </c>
      <c r="AF5929" t="n">
        <v>0</v>
      </c>
      <c r="AG5929" t="n">
        <v>0</v>
      </c>
      <c r="AH5929" t="n">
        <v>0</v>
      </c>
      <c r="AI5929" t="n">
        <v>0</v>
      </c>
    </row>
    <row r="5930">
      <c r="A5930" t="inlineStr">
        <is>
          <t>12월</t>
        </is>
      </c>
      <c r="B5930" t="inlineStr">
        <is>
          <t>52주차</t>
        </is>
      </c>
      <c r="C5930" t="e">
        <v>#N/A</v>
      </c>
      <c r="K5930" t="n">
        <v>0</v>
      </c>
      <c r="L5930" t="n">
        <v>0</v>
      </c>
      <c r="M5930" t="n">
        <v>0</v>
      </c>
      <c r="AC5930" t="n">
        <v>0</v>
      </c>
      <c r="AD5930" t="n">
        <v>0</v>
      </c>
      <c r="AE5930" t="n">
        <v>0</v>
      </c>
      <c r="AF5930" t="n">
        <v>0</v>
      </c>
      <c r="AG5930" t="n">
        <v>0</v>
      </c>
      <c r="AH5930" t="n">
        <v>0</v>
      </c>
    </row>
    <row r="5931">
      <c r="A5931" t="inlineStr">
        <is>
          <t>12월</t>
        </is>
      </c>
      <c r="B5931" t="inlineStr">
        <is>
          <t>52주차</t>
        </is>
      </c>
      <c r="C5931" t="e">
        <v>#N/A</v>
      </c>
      <c r="K5931" t="n">
        <v>0</v>
      </c>
      <c r="L5931" t="n">
        <v>0</v>
      </c>
      <c r="M5931" t="n">
        <v>0</v>
      </c>
      <c r="AC5931" t="n">
        <v>0</v>
      </c>
      <c r="AD5931" t="n">
        <v>0</v>
      </c>
      <c r="AE5931" t="n">
        <v>0</v>
      </c>
      <c r="AF5931" t="n">
        <v>0</v>
      </c>
      <c r="AG5931" t="n">
        <v>0</v>
      </c>
      <c r="AH5931" t="n">
        <v>0</v>
      </c>
    </row>
    <row r="5932">
      <c r="A5932" t="inlineStr">
        <is>
          <t>12월</t>
        </is>
      </c>
      <c r="B5932" t="inlineStr">
        <is>
          <t>52주차</t>
        </is>
      </c>
      <c r="C5932" t="e">
        <v>#N/A</v>
      </c>
      <c r="K5932" t="n">
        <v>0</v>
      </c>
      <c r="L5932" t="n">
        <v>0</v>
      </c>
      <c r="M5932" t="n">
        <v>0</v>
      </c>
      <c r="AC5932" t="n">
        <v>0</v>
      </c>
      <c r="AD5932" t="n">
        <v>0</v>
      </c>
      <c r="AE5932" t="n">
        <v>0</v>
      </c>
      <c r="AF5932" t="n">
        <v>0</v>
      </c>
      <c r="AG5932" t="n">
        <v>0</v>
      </c>
      <c r="AH5932" t="n">
        <v>0</v>
      </c>
      <c r="AI5932" t="n">
        <v>0</v>
      </c>
    </row>
    <row r="5933">
      <c r="A5933" t="inlineStr">
        <is>
          <t>12월</t>
        </is>
      </c>
      <c r="B5933" t="inlineStr">
        <is>
          <t>52주차</t>
        </is>
      </c>
      <c r="C5933" t="e">
        <v>#N/A</v>
      </c>
      <c r="K5933" t="n">
        <v>0</v>
      </c>
      <c r="L5933" t="n">
        <v>0</v>
      </c>
      <c r="M5933" t="n">
        <v>0</v>
      </c>
      <c r="AC5933" t="n">
        <v>0</v>
      </c>
      <c r="AD5933" t="n">
        <v>0</v>
      </c>
      <c r="AE5933" t="n">
        <v>0</v>
      </c>
      <c r="AF5933" t="n">
        <v>0</v>
      </c>
      <c r="AG5933" t="n">
        <v>0</v>
      </c>
      <c r="AH5933" t="n">
        <v>0</v>
      </c>
      <c r="AI5933" t="n">
        <v>0</v>
      </c>
    </row>
    <row r="5934">
      <c r="A5934" t="inlineStr">
        <is>
          <t>12월</t>
        </is>
      </c>
      <c r="B5934" t="inlineStr">
        <is>
          <t>52주차</t>
        </is>
      </c>
      <c r="C5934" t="e">
        <v>#N/A</v>
      </c>
      <c r="K5934" t="n">
        <v>0</v>
      </c>
      <c r="L5934" t="n">
        <v>0</v>
      </c>
      <c r="M5934" t="n">
        <v>0</v>
      </c>
      <c r="AC5934" t="n">
        <v>0</v>
      </c>
      <c r="AD5934" t="n">
        <v>0</v>
      </c>
      <c r="AE5934" t="n">
        <v>0</v>
      </c>
      <c r="AF5934" t="n">
        <v>0</v>
      </c>
      <c r="AG5934" t="n">
        <v>0</v>
      </c>
      <c r="AH5934" t="n">
        <v>0</v>
      </c>
      <c r="AI5934" t="n">
        <v>0</v>
      </c>
    </row>
    <row r="5935">
      <c r="A5935" t="inlineStr">
        <is>
          <t>12월</t>
        </is>
      </c>
      <c r="B5935" t="inlineStr">
        <is>
          <t>52주차</t>
        </is>
      </c>
      <c r="C5935" t="e">
        <v>#N/A</v>
      </c>
      <c r="K5935" t="n">
        <v>0</v>
      </c>
      <c r="L5935" t="n">
        <v>0</v>
      </c>
      <c r="M5935" t="n">
        <v>0</v>
      </c>
      <c r="AC5935" t="n">
        <v>0</v>
      </c>
      <c r="AD5935" t="n">
        <v>0</v>
      </c>
      <c r="AE5935" t="n">
        <v>0</v>
      </c>
      <c r="AF5935" t="n">
        <v>0</v>
      </c>
      <c r="AG5935" t="n">
        <v>0</v>
      </c>
      <c r="AH5935" t="n">
        <v>0</v>
      </c>
      <c r="AI5935" t="n">
        <v>0</v>
      </c>
    </row>
    <row r="5936">
      <c r="A5936" t="inlineStr">
        <is>
          <t>12월</t>
        </is>
      </c>
      <c r="B5936" t="inlineStr">
        <is>
          <t>52주차</t>
        </is>
      </c>
      <c r="C5936" t="e">
        <v>#N/A</v>
      </c>
      <c r="K5936" t="n">
        <v>0</v>
      </c>
      <c r="L5936" t="n">
        <v>0</v>
      </c>
      <c r="M5936" t="n">
        <v>0</v>
      </c>
      <c r="AC5936" t="n">
        <v>0</v>
      </c>
      <c r="AD5936" t="n">
        <v>0</v>
      </c>
      <c r="AE5936" t="n">
        <v>0</v>
      </c>
      <c r="AF5936" t="n">
        <v>0</v>
      </c>
      <c r="AG5936" t="n">
        <v>0</v>
      </c>
      <c r="AH5936" t="n">
        <v>0</v>
      </c>
      <c r="AI5936" t="n">
        <v>0</v>
      </c>
    </row>
    <row r="5937">
      <c r="A5937" t="inlineStr">
        <is>
          <t>12월</t>
        </is>
      </c>
      <c r="B5937" t="inlineStr">
        <is>
          <t>52주차</t>
        </is>
      </c>
      <c r="C5937" t="e">
        <v>#N/A</v>
      </c>
      <c r="K5937" t="n">
        <v>0</v>
      </c>
      <c r="L5937" t="n">
        <v>0</v>
      </c>
      <c r="M5937" t="n">
        <v>0</v>
      </c>
      <c r="AC5937" t="n">
        <v>0</v>
      </c>
      <c r="AD5937" t="n">
        <v>0</v>
      </c>
      <c r="AE5937" t="n">
        <v>0</v>
      </c>
      <c r="AF5937" t="n">
        <v>0</v>
      </c>
      <c r="AG5937" t="n">
        <v>0</v>
      </c>
      <c r="AH5937" t="n">
        <v>0</v>
      </c>
      <c r="AI5937" t="n">
        <v>0</v>
      </c>
    </row>
    <row r="5938">
      <c r="A5938" t="inlineStr">
        <is>
          <t>12월</t>
        </is>
      </c>
      <c r="B5938" t="inlineStr">
        <is>
          <t>52주차</t>
        </is>
      </c>
      <c r="C5938" t="e">
        <v>#N/A</v>
      </c>
      <c r="K5938" t="n">
        <v>0</v>
      </c>
      <c r="L5938" t="n">
        <v>0</v>
      </c>
      <c r="M5938" t="n">
        <v>0</v>
      </c>
      <c r="AC5938" t="n">
        <v>0</v>
      </c>
      <c r="AD5938" t="n">
        <v>0</v>
      </c>
      <c r="AE5938" t="n">
        <v>0</v>
      </c>
      <c r="AF5938" t="n">
        <v>0</v>
      </c>
      <c r="AG5938" t="n">
        <v>0</v>
      </c>
      <c r="AH5938" t="n">
        <v>0</v>
      </c>
    </row>
    <row r="5939">
      <c r="A5939" t="inlineStr">
        <is>
          <t>12월</t>
        </is>
      </c>
      <c r="B5939" t="inlineStr">
        <is>
          <t>52주차</t>
        </is>
      </c>
      <c r="C5939" t="e">
        <v>#N/A</v>
      </c>
      <c r="K5939" t="n">
        <v>0</v>
      </c>
      <c r="L5939" t="n">
        <v>0</v>
      </c>
      <c r="M5939" t="n">
        <v>0</v>
      </c>
      <c r="AC5939" t="n">
        <v>0</v>
      </c>
      <c r="AD5939" t="n">
        <v>0</v>
      </c>
      <c r="AE5939" t="n">
        <v>0</v>
      </c>
      <c r="AF5939" t="n">
        <v>0</v>
      </c>
      <c r="AG5939" t="n">
        <v>0</v>
      </c>
      <c r="AH5939" t="n">
        <v>0</v>
      </c>
    </row>
    <row r="5940">
      <c r="A5940" t="inlineStr">
        <is>
          <t>12월</t>
        </is>
      </c>
      <c r="B5940" t="inlineStr">
        <is>
          <t>52주차</t>
        </is>
      </c>
      <c r="C5940" t="e">
        <v>#N/A</v>
      </c>
      <c r="K5940" t="n">
        <v>0</v>
      </c>
      <c r="L5940" t="n">
        <v>0</v>
      </c>
      <c r="M5940" t="n">
        <v>0</v>
      </c>
      <c r="AC5940" t="n">
        <v>0</v>
      </c>
      <c r="AD5940" t="n">
        <v>0</v>
      </c>
      <c r="AE5940" t="n">
        <v>0</v>
      </c>
      <c r="AF5940" t="n">
        <v>0</v>
      </c>
      <c r="AG5940" t="n">
        <v>0</v>
      </c>
      <c r="AH5940" t="n">
        <v>0</v>
      </c>
      <c r="AI5940" t="n">
        <v>0</v>
      </c>
    </row>
    <row r="5941">
      <c r="A5941" t="inlineStr">
        <is>
          <t>12월</t>
        </is>
      </c>
      <c r="B5941" t="inlineStr">
        <is>
          <t>52주차</t>
        </is>
      </c>
      <c r="C5941" t="e">
        <v>#N/A</v>
      </c>
      <c r="K5941" t="n">
        <v>0</v>
      </c>
      <c r="L5941" t="n">
        <v>0</v>
      </c>
      <c r="M5941" t="n">
        <v>0</v>
      </c>
      <c r="AC5941" t="n">
        <v>0</v>
      </c>
      <c r="AD5941" t="n">
        <v>0</v>
      </c>
      <c r="AE5941" t="n">
        <v>0</v>
      </c>
      <c r="AF5941" t="n">
        <v>0</v>
      </c>
      <c r="AG5941" t="n">
        <v>0</v>
      </c>
      <c r="AH5941" t="n">
        <v>0</v>
      </c>
      <c r="AI5941" t="n">
        <v>0</v>
      </c>
    </row>
    <row r="5942">
      <c r="A5942" t="inlineStr">
        <is>
          <t>12월</t>
        </is>
      </c>
      <c r="B5942" t="inlineStr">
        <is>
          <t>52주차</t>
        </is>
      </c>
      <c r="C5942" t="e">
        <v>#N/A</v>
      </c>
      <c r="K5942" t="n">
        <v>0</v>
      </c>
      <c r="L5942" t="n">
        <v>0</v>
      </c>
      <c r="M5942" t="n">
        <v>0</v>
      </c>
      <c r="AC5942" t="n">
        <v>0</v>
      </c>
      <c r="AD5942" t="n">
        <v>0</v>
      </c>
      <c r="AE5942" t="n">
        <v>0</v>
      </c>
      <c r="AF5942" t="n">
        <v>0</v>
      </c>
      <c r="AG5942" t="n">
        <v>0</v>
      </c>
      <c r="AH5942" t="n">
        <v>0</v>
      </c>
      <c r="AI5942" t="n">
        <v>0</v>
      </c>
    </row>
    <row r="5943">
      <c r="A5943" t="inlineStr">
        <is>
          <t>12월</t>
        </is>
      </c>
      <c r="B5943" t="inlineStr">
        <is>
          <t>52주차</t>
        </is>
      </c>
      <c r="C5943" t="e">
        <v>#N/A</v>
      </c>
      <c r="K5943" t="n">
        <v>0</v>
      </c>
      <c r="L5943" t="n">
        <v>0</v>
      </c>
      <c r="M5943" t="n">
        <v>0</v>
      </c>
      <c r="AC5943" t="n">
        <v>0</v>
      </c>
      <c r="AD5943" t="n">
        <v>0</v>
      </c>
      <c r="AE5943" t="n">
        <v>0</v>
      </c>
      <c r="AF5943" t="n">
        <v>0</v>
      </c>
      <c r="AG5943" t="n">
        <v>0</v>
      </c>
      <c r="AH5943" t="n">
        <v>0</v>
      </c>
      <c r="AI5943" t="n">
        <v>0</v>
      </c>
    </row>
    <row r="5944">
      <c r="A5944" t="inlineStr">
        <is>
          <t>12월</t>
        </is>
      </c>
      <c r="B5944" t="inlineStr">
        <is>
          <t>52주차</t>
        </is>
      </c>
      <c r="C5944" t="e">
        <v>#N/A</v>
      </c>
      <c r="K5944" t="n">
        <v>0</v>
      </c>
      <c r="L5944" t="n">
        <v>0</v>
      </c>
      <c r="M5944" t="n">
        <v>0</v>
      </c>
      <c r="AC5944" t="n">
        <v>0</v>
      </c>
      <c r="AD5944" t="n">
        <v>0</v>
      </c>
      <c r="AE5944" t="n">
        <v>0</v>
      </c>
      <c r="AF5944" t="n">
        <v>0</v>
      </c>
      <c r="AG5944" t="n">
        <v>0</v>
      </c>
      <c r="AH5944" t="n">
        <v>0</v>
      </c>
    </row>
    <row r="5945">
      <c r="A5945" t="inlineStr">
        <is>
          <t>12월</t>
        </is>
      </c>
      <c r="B5945" t="inlineStr">
        <is>
          <t>52주차</t>
        </is>
      </c>
      <c r="C5945" t="e">
        <v>#N/A</v>
      </c>
      <c r="K5945" t="n">
        <v>0</v>
      </c>
      <c r="L5945" t="n">
        <v>0</v>
      </c>
      <c r="M5945" t="n">
        <v>0</v>
      </c>
      <c r="AC5945" t="n">
        <v>0</v>
      </c>
      <c r="AD5945" t="n">
        <v>0</v>
      </c>
      <c r="AE5945" t="n">
        <v>0</v>
      </c>
      <c r="AF5945" t="n">
        <v>0</v>
      </c>
      <c r="AG5945" t="n">
        <v>0</v>
      </c>
      <c r="AH5945" t="n">
        <v>0</v>
      </c>
      <c r="AI5945" t="n">
        <v>0</v>
      </c>
    </row>
    <row r="5946">
      <c r="A5946" t="inlineStr">
        <is>
          <t>12월</t>
        </is>
      </c>
      <c r="B5946" t="inlineStr">
        <is>
          <t>52주차</t>
        </is>
      </c>
      <c r="C5946" t="e">
        <v>#N/A</v>
      </c>
      <c r="K5946" t="n">
        <v>0</v>
      </c>
      <c r="L5946" t="n">
        <v>0</v>
      </c>
      <c r="M5946" t="n">
        <v>0</v>
      </c>
      <c r="AC5946" t="n">
        <v>0</v>
      </c>
      <c r="AD5946" t="n">
        <v>0</v>
      </c>
      <c r="AE5946" t="n">
        <v>0</v>
      </c>
      <c r="AF5946" t="n">
        <v>0</v>
      </c>
      <c r="AG5946" t="n">
        <v>0</v>
      </c>
      <c r="AH5946" t="n">
        <v>0</v>
      </c>
      <c r="AI5946" t="n">
        <v>0</v>
      </c>
    </row>
    <row r="5947">
      <c r="A5947" t="inlineStr">
        <is>
          <t>12월</t>
        </is>
      </c>
      <c r="B5947" t="inlineStr">
        <is>
          <t>52주차</t>
        </is>
      </c>
      <c r="C5947" t="e">
        <v>#N/A</v>
      </c>
      <c r="K5947" t="n">
        <v>0</v>
      </c>
      <c r="L5947" t="n">
        <v>0</v>
      </c>
      <c r="M5947" t="n">
        <v>0</v>
      </c>
      <c r="AC5947" t="n">
        <v>0</v>
      </c>
      <c r="AD5947" t="n">
        <v>0</v>
      </c>
      <c r="AE5947" t="n">
        <v>0</v>
      </c>
      <c r="AF5947" t="n">
        <v>0</v>
      </c>
      <c r="AG5947" t="n">
        <v>0</v>
      </c>
      <c r="AH5947" t="n">
        <v>0</v>
      </c>
      <c r="AI5947" t="n">
        <v>0</v>
      </c>
    </row>
    <row r="5948">
      <c r="A5948" t="inlineStr">
        <is>
          <t>12월</t>
        </is>
      </c>
      <c r="B5948" t="inlineStr">
        <is>
          <t>52주차</t>
        </is>
      </c>
      <c r="C5948" t="e">
        <v>#N/A</v>
      </c>
      <c r="K5948" t="n">
        <v>0</v>
      </c>
      <c r="L5948" t="n">
        <v>0</v>
      </c>
      <c r="M5948" t="n">
        <v>0</v>
      </c>
      <c r="AC5948" t="n">
        <v>0</v>
      </c>
      <c r="AD5948" t="n">
        <v>0</v>
      </c>
      <c r="AE5948" t="n">
        <v>0</v>
      </c>
      <c r="AF5948" t="n">
        <v>0</v>
      </c>
      <c r="AG5948" t="n">
        <v>0</v>
      </c>
      <c r="AH5948" t="n">
        <v>0</v>
      </c>
    </row>
    <row r="5949">
      <c r="A5949" t="inlineStr">
        <is>
          <t>12월</t>
        </is>
      </c>
      <c r="B5949" t="inlineStr">
        <is>
          <t>52주차</t>
        </is>
      </c>
      <c r="C5949" t="e">
        <v>#N/A</v>
      </c>
      <c r="K5949" t="n">
        <v>0</v>
      </c>
      <c r="L5949" t="n">
        <v>0</v>
      </c>
      <c r="M5949" t="n">
        <v>0</v>
      </c>
      <c r="AC5949" t="n">
        <v>0</v>
      </c>
      <c r="AD5949" t="n">
        <v>0</v>
      </c>
      <c r="AE5949" t="n">
        <v>0</v>
      </c>
      <c r="AF5949" t="n">
        <v>0</v>
      </c>
      <c r="AG5949" t="n">
        <v>0</v>
      </c>
      <c r="AH5949" t="n">
        <v>0</v>
      </c>
    </row>
    <row r="5950">
      <c r="A5950" t="inlineStr">
        <is>
          <t>12월</t>
        </is>
      </c>
      <c r="B5950" t="inlineStr">
        <is>
          <t>52주차</t>
        </is>
      </c>
      <c r="C5950" t="e">
        <v>#N/A</v>
      </c>
      <c r="K5950" t="n">
        <v>0</v>
      </c>
      <c r="L5950" t="n">
        <v>0</v>
      </c>
      <c r="M5950" t="n">
        <v>0</v>
      </c>
      <c r="AC5950" t="n">
        <v>0</v>
      </c>
      <c r="AD5950" t="n">
        <v>0</v>
      </c>
      <c r="AE5950" t="n">
        <v>0</v>
      </c>
      <c r="AF5950" t="n">
        <v>0</v>
      </c>
      <c r="AG5950" t="n">
        <v>0</v>
      </c>
      <c r="AH5950" t="n">
        <v>0</v>
      </c>
    </row>
    <row r="5951">
      <c r="A5951" t="inlineStr">
        <is>
          <t>12월</t>
        </is>
      </c>
      <c r="B5951" t="inlineStr">
        <is>
          <t>52주차</t>
        </is>
      </c>
      <c r="C5951" t="e">
        <v>#N/A</v>
      </c>
      <c r="K5951" t="n">
        <v>0</v>
      </c>
      <c r="L5951" t="n">
        <v>0</v>
      </c>
      <c r="M5951" t="n">
        <v>0</v>
      </c>
      <c r="AC5951" t="n">
        <v>0</v>
      </c>
      <c r="AD5951" t="n">
        <v>0</v>
      </c>
      <c r="AE5951" t="n">
        <v>0</v>
      </c>
      <c r="AF5951" t="n">
        <v>0</v>
      </c>
      <c r="AG5951" t="n">
        <v>0</v>
      </c>
      <c r="AH5951" t="n">
        <v>0</v>
      </c>
      <c r="AI5951" t="n">
        <v>0</v>
      </c>
    </row>
    <row r="5952">
      <c r="A5952" t="inlineStr">
        <is>
          <t>12월</t>
        </is>
      </c>
      <c r="B5952" t="inlineStr">
        <is>
          <t>52주차</t>
        </is>
      </c>
      <c r="C5952" t="e">
        <v>#N/A</v>
      </c>
      <c r="K5952" t="n">
        <v>0</v>
      </c>
      <c r="L5952" t="n">
        <v>0</v>
      </c>
      <c r="M5952" t="n">
        <v>0</v>
      </c>
      <c r="AC5952" t="n">
        <v>0</v>
      </c>
      <c r="AD5952" t="n">
        <v>0</v>
      </c>
      <c r="AE5952" t="n">
        <v>0</v>
      </c>
      <c r="AF5952" t="n">
        <v>0</v>
      </c>
      <c r="AG5952" t="n">
        <v>0</v>
      </c>
      <c r="AH5952" t="n">
        <v>0</v>
      </c>
      <c r="AI5952" t="n">
        <v>0</v>
      </c>
    </row>
    <row r="5953">
      <c r="A5953" t="inlineStr">
        <is>
          <t>12월</t>
        </is>
      </c>
      <c r="B5953" t="inlineStr">
        <is>
          <t>52주차</t>
        </is>
      </c>
      <c r="C5953" t="e">
        <v>#N/A</v>
      </c>
      <c r="K5953" t="n">
        <v>0</v>
      </c>
      <c r="L5953" t="n">
        <v>0</v>
      </c>
      <c r="M5953" t="n">
        <v>0</v>
      </c>
      <c r="AC5953" t="n">
        <v>0</v>
      </c>
      <c r="AD5953" t="n">
        <v>0</v>
      </c>
      <c r="AE5953" t="n">
        <v>0</v>
      </c>
      <c r="AF5953" t="n">
        <v>0</v>
      </c>
      <c r="AG5953" t="n">
        <v>0</v>
      </c>
      <c r="AH5953" t="n">
        <v>0</v>
      </c>
    </row>
    <row r="5954">
      <c r="A5954" t="inlineStr">
        <is>
          <t>12월</t>
        </is>
      </c>
      <c r="B5954" t="inlineStr">
        <is>
          <t>52주차</t>
        </is>
      </c>
      <c r="C5954" t="e">
        <v>#N/A</v>
      </c>
      <c r="K5954" t="n">
        <v>0</v>
      </c>
      <c r="L5954" t="n">
        <v>0</v>
      </c>
      <c r="M5954" t="n">
        <v>0</v>
      </c>
      <c r="AC5954" t="n">
        <v>0</v>
      </c>
      <c r="AD5954" t="n">
        <v>0</v>
      </c>
      <c r="AE5954" t="n">
        <v>0</v>
      </c>
      <c r="AF5954" t="n">
        <v>0</v>
      </c>
      <c r="AG5954" t="n">
        <v>0</v>
      </c>
      <c r="AH5954" t="n">
        <v>0</v>
      </c>
    </row>
    <row r="5955">
      <c r="A5955" t="inlineStr">
        <is>
          <t>12월</t>
        </is>
      </c>
      <c r="B5955" t="inlineStr">
        <is>
          <t>52주차</t>
        </is>
      </c>
      <c r="C5955" t="e">
        <v>#N/A</v>
      </c>
      <c r="K5955" t="n">
        <v>0</v>
      </c>
      <c r="L5955" t="n">
        <v>0</v>
      </c>
      <c r="M5955" t="n">
        <v>0</v>
      </c>
      <c r="AC5955" t="n">
        <v>0</v>
      </c>
      <c r="AD5955" t="n">
        <v>0</v>
      </c>
      <c r="AE5955" t="n">
        <v>0</v>
      </c>
      <c r="AF5955" t="n">
        <v>0</v>
      </c>
      <c r="AG5955" t="n">
        <v>0</v>
      </c>
      <c r="AH5955" t="n">
        <v>0</v>
      </c>
      <c r="AI5955" t="n">
        <v>0</v>
      </c>
    </row>
    <row r="5956">
      <c r="A5956" t="inlineStr">
        <is>
          <t>12월</t>
        </is>
      </c>
      <c r="B5956" t="inlineStr">
        <is>
          <t>52주차</t>
        </is>
      </c>
      <c r="C5956" t="e">
        <v>#N/A</v>
      </c>
      <c r="K5956" t="n">
        <v>0</v>
      </c>
      <c r="L5956" t="n">
        <v>0</v>
      </c>
      <c r="M5956" t="n">
        <v>0</v>
      </c>
      <c r="AC5956" t="n">
        <v>0</v>
      </c>
      <c r="AD5956" t="n">
        <v>0</v>
      </c>
      <c r="AE5956" t="n">
        <v>0</v>
      </c>
      <c r="AF5956" t="n">
        <v>0</v>
      </c>
      <c r="AG5956" t="n">
        <v>0</v>
      </c>
      <c r="AH5956" t="n">
        <v>0</v>
      </c>
      <c r="AI5956" t="n">
        <v>0</v>
      </c>
    </row>
    <row r="5957">
      <c r="A5957" t="inlineStr">
        <is>
          <t>12월</t>
        </is>
      </c>
      <c r="B5957" t="inlineStr">
        <is>
          <t>52주차</t>
        </is>
      </c>
      <c r="C5957" t="e">
        <v>#N/A</v>
      </c>
      <c r="K5957" t="n">
        <v>0</v>
      </c>
      <c r="L5957" t="n">
        <v>0</v>
      </c>
      <c r="M5957" t="n">
        <v>0</v>
      </c>
      <c r="AC5957" t="n">
        <v>0</v>
      </c>
      <c r="AD5957" t="n">
        <v>0</v>
      </c>
      <c r="AE5957" t="n">
        <v>0</v>
      </c>
      <c r="AF5957" t="n">
        <v>0</v>
      </c>
      <c r="AG5957" t="n">
        <v>0</v>
      </c>
      <c r="AH5957" t="n">
        <v>0</v>
      </c>
      <c r="AI5957" t="n">
        <v>0</v>
      </c>
    </row>
    <row r="5958">
      <c r="A5958" t="inlineStr">
        <is>
          <t>12월</t>
        </is>
      </c>
      <c r="B5958" t="inlineStr">
        <is>
          <t>52주차</t>
        </is>
      </c>
      <c r="C5958" t="e">
        <v>#N/A</v>
      </c>
      <c r="K5958" t="n">
        <v>0</v>
      </c>
      <c r="L5958" t="n">
        <v>0</v>
      </c>
      <c r="M5958" t="n">
        <v>0</v>
      </c>
      <c r="AC5958" t="n">
        <v>0</v>
      </c>
      <c r="AD5958" t="n">
        <v>0</v>
      </c>
      <c r="AE5958" t="n">
        <v>0</v>
      </c>
      <c r="AF5958" t="n">
        <v>0</v>
      </c>
      <c r="AG5958" t="n">
        <v>0</v>
      </c>
      <c r="AH5958" t="n">
        <v>0</v>
      </c>
    </row>
    <row r="5959">
      <c r="A5959" t="inlineStr">
        <is>
          <t>12월</t>
        </is>
      </c>
      <c r="B5959" t="inlineStr">
        <is>
          <t>52주차</t>
        </is>
      </c>
      <c r="C5959" t="e">
        <v>#N/A</v>
      </c>
      <c r="K5959" t="n">
        <v>0</v>
      </c>
      <c r="L5959" t="n">
        <v>0</v>
      </c>
      <c r="M5959" t="n">
        <v>0</v>
      </c>
      <c r="AC5959" t="n">
        <v>0</v>
      </c>
      <c r="AD5959" t="n">
        <v>0</v>
      </c>
      <c r="AE5959" t="n">
        <v>0</v>
      </c>
      <c r="AF5959" t="n">
        <v>0</v>
      </c>
      <c r="AG5959" t="n">
        <v>0</v>
      </c>
      <c r="AH5959" t="n">
        <v>0</v>
      </c>
    </row>
    <row r="5960">
      <c r="A5960" t="inlineStr">
        <is>
          <t>12월</t>
        </is>
      </c>
      <c r="B5960" t="inlineStr">
        <is>
          <t>52주차</t>
        </is>
      </c>
      <c r="C5960" t="e">
        <v>#N/A</v>
      </c>
      <c r="K5960" t="n">
        <v>0</v>
      </c>
      <c r="L5960" t="n">
        <v>0</v>
      </c>
      <c r="M5960" t="n">
        <v>0</v>
      </c>
      <c r="AC5960" t="n">
        <v>0</v>
      </c>
      <c r="AD5960" t="n">
        <v>0</v>
      </c>
      <c r="AE5960" t="n">
        <v>0</v>
      </c>
      <c r="AF5960" t="n">
        <v>0</v>
      </c>
      <c r="AG5960" t="n">
        <v>0</v>
      </c>
      <c r="AH5960" t="n">
        <v>0</v>
      </c>
    </row>
    <row r="5961">
      <c r="A5961" t="inlineStr">
        <is>
          <t>12월</t>
        </is>
      </c>
      <c r="B5961" t="inlineStr">
        <is>
          <t>52주차</t>
        </is>
      </c>
      <c r="C5961" t="e">
        <v>#N/A</v>
      </c>
      <c r="K5961" t="n">
        <v>0</v>
      </c>
      <c r="L5961" t="n">
        <v>0</v>
      </c>
      <c r="M5961" t="n">
        <v>0</v>
      </c>
      <c r="AC5961" t="n">
        <v>0</v>
      </c>
      <c r="AD5961" t="n">
        <v>0</v>
      </c>
      <c r="AE5961" t="n">
        <v>0</v>
      </c>
      <c r="AF5961" t="n">
        <v>0</v>
      </c>
      <c r="AG5961" t="n">
        <v>0</v>
      </c>
      <c r="AH5961" t="n">
        <v>0</v>
      </c>
      <c r="AI5961" t="n">
        <v>0</v>
      </c>
    </row>
    <row r="5962">
      <c r="A5962" t="inlineStr">
        <is>
          <t>12월</t>
        </is>
      </c>
      <c r="B5962" t="inlineStr">
        <is>
          <t>52주차</t>
        </is>
      </c>
      <c r="C5962" t="e">
        <v>#N/A</v>
      </c>
      <c r="K5962" t="n">
        <v>0</v>
      </c>
      <c r="L5962" t="n">
        <v>0</v>
      </c>
      <c r="M5962" t="n">
        <v>0</v>
      </c>
      <c r="AC5962" t="n">
        <v>0</v>
      </c>
      <c r="AD5962" t="n">
        <v>0</v>
      </c>
      <c r="AE5962" t="n">
        <v>0</v>
      </c>
      <c r="AF5962" t="n">
        <v>0</v>
      </c>
      <c r="AG5962" t="n">
        <v>0</v>
      </c>
      <c r="AH5962" t="n">
        <v>0</v>
      </c>
      <c r="AI5962" t="n">
        <v>0</v>
      </c>
    </row>
    <row r="5963">
      <c r="A5963" t="inlineStr">
        <is>
          <t>12월</t>
        </is>
      </c>
      <c r="B5963" t="inlineStr">
        <is>
          <t>52주차</t>
        </is>
      </c>
      <c r="C5963" t="e">
        <v>#N/A</v>
      </c>
      <c r="K5963" t="n">
        <v>0</v>
      </c>
      <c r="L5963" t="n">
        <v>0</v>
      </c>
      <c r="M5963" t="n">
        <v>0</v>
      </c>
      <c r="AC5963" t="n">
        <v>0</v>
      </c>
      <c r="AD5963" t="n">
        <v>0</v>
      </c>
      <c r="AE5963" t="n">
        <v>0</v>
      </c>
      <c r="AF5963" t="n">
        <v>0</v>
      </c>
      <c r="AG5963" t="n">
        <v>0</v>
      </c>
      <c r="AH5963" t="n">
        <v>0</v>
      </c>
      <c r="AI5963" t="n">
        <v>0</v>
      </c>
    </row>
    <row r="5964">
      <c r="A5964" t="inlineStr">
        <is>
          <t>12월</t>
        </is>
      </c>
      <c r="B5964" t="inlineStr">
        <is>
          <t>52주차</t>
        </is>
      </c>
      <c r="C5964" t="e">
        <v>#N/A</v>
      </c>
      <c r="K5964" t="n">
        <v>0</v>
      </c>
      <c r="L5964" t="n">
        <v>0</v>
      </c>
      <c r="M5964" t="n">
        <v>0</v>
      </c>
      <c r="AC5964" t="n">
        <v>0</v>
      </c>
      <c r="AD5964" t="n">
        <v>0</v>
      </c>
      <c r="AE5964" t="n">
        <v>0</v>
      </c>
      <c r="AF5964" t="n">
        <v>0</v>
      </c>
      <c r="AG5964" t="n">
        <v>0</v>
      </c>
      <c r="AH5964" t="n">
        <v>0</v>
      </c>
      <c r="AI5964" t="n">
        <v>0</v>
      </c>
    </row>
    <row r="5965">
      <c r="A5965" t="inlineStr">
        <is>
          <t>12월</t>
        </is>
      </c>
      <c r="B5965" t="inlineStr">
        <is>
          <t>52주차</t>
        </is>
      </c>
      <c r="C5965" t="e">
        <v>#N/A</v>
      </c>
      <c r="K5965" t="n">
        <v>0</v>
      </c>
      <c r="L5965" t="n">
        <v>0</v>
      </c>
      <c r="M5965" t="n">
        <v>0</v>
      </c>
      <c r="AC5965" t="n">
        <v>0</v>
      </c>
      <c r="AD5965" t="n">
        <v>0</v>
      </c>
      <c r="AE5965" t="n">
        <v>0</v>
      </c>
      <c r="AF5965" t="n">
        <v>0</v>
      </c>
      <c r="AG5965" t="n">
        <v>0</v>
      </c>
      <c r="AH5965" t="n">
        <v>0</v>
      </c>
    </row>
    <row r="5966">
      <c r="A5966" t="inlineStr">
        <is>
          <t>12월</t>
        </is>
      </c>
      <c r="B5966" t="inlineStr">
        <is>
          <t>52주차</t>
        </is>
      </c>
      <c r="C5966" t="e">
        <v>#N/A</v>
      </c>
      <c r="K5966" t="n">
        <v>0</v>
      </c>
      <c r="L5966" t="n">
        <v>0</v>
      </c>
      <c r="M5966" t="n">
        <v>0</v>
      </c>
      <c r="AC5966" t="n">
        <v>0</v>
      </c>
      <c r="AD5966" t="n">
        <v>0</v>
      </c>
      <c r="AE5966" t="n">
        <v>0</v>
      </c>
      <c r="AF5966" t="n">
        <v>0</v>
      </c>
      <c r="AG5966" t="n">
        <v>0</v>
      </c>
      <c r="AH5966" t="n">
        <v>0</v>
      </c>
    </row>
    <row r="5967">
      <c r="A5967" t="inlineStr">
        <is>
          <t>12월</t>
        </is>
      </c>
      <c r="B5967" t="inlineStr">
        <is>
          <t>52주차</t>
        </is>
      </c>
      <c r="C5967" t="e">
        <v>#N/A</v>
      </c>
      <c r="K5967" t="n">
        <v>0</v>
      </c>
      <c r="L5967" t="n">
        <v>0</v>
      </c>
      <c r="M5967" t="n">
        <v>0</v>
      </c>
      <c r="AC5967" t="n">
        <v>0</v>
      </c>
      <c r="AD5967" t="n">
        <v>0</v>
      </c>
      <c r="AE5967" t="n">
        <v>0</v>
      </c>
      <c r="AF5967" t="n">
        <v>0</v>
      </c>
      <c r="AG5967" t="n">
        <v>0</v>
      </c>
      <c r="AH5967" t="n">
        <v>0</v>
      </c>
    </row>
    <row r="5968">
      <c r="A5968" t="inlineStr">
        <is>
          <t>12월</t>
        </is>
      </c>
      <c r="B5968" t="inlineStr">
        <is>
          <t>52주차</t>
        </is>
      </c>
      <c r="C5968" t="e">
        <v>#N/A</v>
      </c>
      <c r="K5968" t="n">
        <v>0</v>
      </c>
      <c r="L5968" t="n">
        <v>0</v>
      </c>
      <c r="M5968" t="n">
        <v>0</v>
      </c>
      <c r="AC5968" t="n">
        <v>0</v>
      </c>
      <c r="AD5968" t="n">
        <v>0</v>
      </c>
      <c r="AE5968" t="n">
        <v>0</v>
      </c>
      <c r="AF5968" t="n">
        <v>0</v>
      </c>
      <c r="AG5968" t="n">
        <v>0</v>
      </c>
      <c r="AH5968" t="n">
        <v>0</v>
      </c>
      <c r="AI5968" t="n">
        <v>0</v>
      </c>
    </row>
    <row r="5969">
      <c r="A5969" t="inlineStr">
        <is>
          <t>12월</t>
        </is>
      </c>
      <c r="B5969" t="inlineStr">
        <is>
          <t>52주차</t>
        </is>
      </c>
      <c r="C5969" t="e">
        <v>#N/A</v>
      </c>
      <c r="K5969" t="n">
        <v>0</v>
      </c>
      <c r="L5969" t="n">
        <v>0</v>
      </c>
      <c r="M5969" t="n">
        <v>0</v>
      </c>
      <c r="AC5969" t="n">
        <v>0</v>
      </c>
      <c r="AD5969" t="n">
        <v>0</v>
      </c>
      <c r="AE5969" t="n">
        <v>0</v>
      </c>
      <c r="AF5969" t="n">
        <v>0</v>
      </c>
      <c r="AG5969" t="n">
        <v>0</v>
      </c>
      <c r="AH5969" t="n">
        <v>0</v>
      </c>
      <c r="AI5969" t="n">
        <v>0</v>
      </c>
    </row>
    <row r="5970">
      <c r="A5970" t="inlineStr">
        <is>
          <t>12월</t>
        </is>
      </c>
      <c r="B5970" t="inlineStr">
        <is>
          <t>52주차</t>
        </is>
      </c>
      <c r="C5970" t="e">
        <v>#N/A</v>
      </c>
      <c r="K5970" t="n">
        <v>0</v>
      </c>
      <c r="L5970" t="n">
        <v>0</v>
      </c>
      <c r="M5970" t="n">
        <v>0</v>
      </c>
      <c r="AC5970" t="n">
        <v>0</v>
      </c>
      <c r="AD5970" t="n">
        <v>0</v>
      </c>
      <c r="AE5970" t="n">
        <v>0</v>
      </c>
      <c r="AF5970" t="n">
        <v>0</v>
      </c>
      <c r="AG5970" t="n">
        <v>0</v>
      </c>
      <c r="AH5970" t="n">
        <v>0</v>
      </c>
      <c r="AI5970" t="n">
        <v>0</v>
      </c>
    </row>
    <row r="5971">
      <c r="A5971" t="inlineStr">
        <is>
          <t>12월</t>
        </is>
      </c>
      <c r="B5971" t="inlineStr">
        <is>
          <t>52주차</t>
        </is>
      </c>
      <c r="C5971" t="e">
        <v>#N/A</v>
      </c>
      <c r="K5971" t="n">
        <v>0</v>
      </c>
      <c r="L5971" t="n">
        <v>0</v>
      </c>
      <c r="M5971" t="n">
        <v>0</v>
      </c>
      <c r="AC5971" t="n">
        <v>0</v>
      </c>
      <c r="AD5971" t="n">
        <v>0</v>
      </c>
      <c r="AE5971" t="n">
        <v>0</v>
      </c>
      <c r="AF5971" t="n">
        <v>0</v>
      </c>
      <c r="AG5971" t="n">
        <v>0</v>
      </c>
      <c r="AH5971" t="n">
        <v>0</v>
      </c>
    </row>
    <row r="5972">
      <c r="A5972" t="inlineStr">
        <is>
          <t>12월</t>
        </is>
      </c>
      <c r="B5972" t="inlineStr">
        <is>
          <t>52주차</t>
        </is>
      </c>
      <c r="C5972" t="e">
        <v>#N/A</v>
      </c>
      <c r="K5972" t="n">
        <v>0</v>
      </c>
      <c r="L5972" t="n">
        <v>0</v>
      </c>
      <c r="M5972" t="n">
        <v>0</v>
      </c>
      <c r="AC5972" t="n">
        <v>0</v>
      </c>
      <c r="AD5972" t="n">
        <v>0</v>
      </c>
      <c r="AE5972" t="n">
        <v>0</v>
      </c>
      <c r="AF5972" t="n">
        <v>0</v>
      </c>
      <c r="AG5972" t="n">
        <v>0</v>
      </c>
      <c r="AH5972" t="n">
        <v>0</v>
      </c>
      <c r="AI5972" t="n">
        <v>0</v>
      </c>
    </row>
    <row r="5973">
      <c r="A5973" t="inlineStr">
        <is>
          <t>12월</t>
        </is>
      </c>
      <c r="B5973" t="inlineStr">
        <is>
          <t>52주차</t>
        </is>
      </c>
      <c r="C5973" t="e">
        <v>#N/A</v>
      </c>
      <c r="K5973" t="n">
        <v>0</v>
      </c>
      <c r="L5973" t="n">
        <v>0</v>
      </c>
      <c r="M5973" t="n">
        <v>0</v>
      </c>
      <c r="AC5973" t="n">
        <v>0</v>
      </c>
      <c r="AD5973" t="n">
        <v>0</v>
      </c>
      <c r="AE5973" t="n">
        <v>0</v>
      </c>
      <c r="AF5973" t="n">
        <v>0</v>
      </c>
      <c r="AG5973" t="n">
        <v>0</v>
      </c>
      <c r="AH5973" t="n">
        <v>0</v>
      </c>
      <c r="AI5973" t="n">
        <v>0</v>
      </c>
    </row>
    <row r="5974">
      <c r="A5974" t="inlineStr">
        <is>
          <t>12월</t>
        </is>
      </c>
      <c r="B5974" t="inlineStr">
        <is>
          <t>52주차</t>
        </is>
      </c>
      <c r="C5974" t="e">
        <v>#N/A</v>
      </c>
      <c r="K5974" t="n">
        <v>0</v>
      </c>
      <c r="L5974" t="n">
        <v>0</v>
      </c>
      <c r="M5974" t="n">
        <v>0</v>
      </c>
      <c r="AC5974" t="n">
        <v>0</v>
      </c>
      <c r="AD5974" t="n">
        <v>0</v>
      </c>
      <c r="AE5974" t="n">
        <v>0</v>
      </c>
      <c r="AF5974" t="n">
        <v>0</v>
      </c>
      <c r="AG5974" t="n">
        <v>0</v>
      </c>
      <c r="AH5974" t="n">
        <v>0</v>
      </c>
      <c r="AI5974" t="n">
        <v>0</v>
      </c>
    </row>
    <row r="5975">
      <c r="A5975" t="inlineStr">
        <is>
          <t>12월</t>
        </is>
      </c>
      <c r="B5975" t="inlineStr">
        <is>
          <t>52주차</t>
        </is>
      </c>
      <c r="C5975" t="e">
        <v>#N/A</v>
      </c>
      <c r="K5975" t="n">
        <v>0</v>
      </c>
      <c r="L5975" t="n">
        <v>0</v>
      </c>
      <c r="M5975" t="n">
        <v>0</v>
      </c>
      <c r="AC5975" t="n">
        <v>0</v>
      </c>
      <c r="AD5975" t="n">
        <v>0</v>
      </c>
      <c r="AE5975" t="n">
        <v>0</v>
      </c>
      <c r="AF5975" t="n">
        <v>0</v>
      </c>
      <c r="AG5975" t="n">
        <v>0</v>
      </c>
      <c r="AH5975" t="n">
        <v>0</v>
      </c>
      <c r="AI5975" t="n">
        <v>0</v>
      </c>
    </row>
    <row r="5976">
      <c r="A5976" t="inlineStr">
        <is>
          <t>12월</t>
        </is>
      </c>
      <c r="B5976" t="inlineStr">
        <is>
          <t>52주차</t>
        </is>
      </c>
      <c r="C5976" t="e">
        <v>#N/A</v>
      </c>
      <c r="K5976" t="n">
        <v>0</v>
      </c>
      <c r="L5976" t="n">
        <v>0</v>
      </c>
      <c r="M5976" t="n">
        <v>0</v>
      </c>
      <c r="AC5976" t="n">
        <v>0</v>
      </c>
      <c r="AD5976" t="n">
        <v>0</v>
      </c>
      <c r="AE5976" t="n">
        <v>0</v>
      </c>
      <c r="AF5976" t="n">
        <v>0</v>
      </c>
      <c r="AG5976" t="n">
        <v>0</v>
      </c>
      <c r="AH5976" t="n">
        <v>0</v>
      </c>
      <c r="AI5976" t="n">
        <v>0</v>
      </c>
    </row>
    <row r="5977">
      <c r="A5977" t="inlineStr">
        <is>
          <t>12월</t>
        </is>
      </c>
      <c r="B5977" t="inlineStr">
        <is>
          <t>52주차</t>
        </is>
      </c>
      <c r="C5977" t="e">
        <v>#N/A</v>
      </c>
      <c r="K5977" t="n">
        <v>0</v>
      </c>
      <c r="L5977" t="n">
        <v>0</v>
      </c>
      <c r="M5977" t="n">
        <v>0</v>
      </c>
      <c r="AC5977" t="n">
        <v>0</v>
      </c>
      <c r="AD5977" t="n">
        <v>0</v>
      </c>
      <c r="AE5977" t="n">
        <v>0</v>
      </c>
      <c r="AF5977" t="n">
        <v>0</v>
      </c>
      <c r="AG5977" t="n">
        <v>0</v>
      </c>
      <c r="AH5977" t="n">
        <v>0</v>
      </c>
      <c r="AI5977" t="n">
        <v>0</v>
      </c>
    </row>
    <row r="5978">
      <c r="A5978" t="inlineStr">
        <is>
          <t>12월</t>
        </is>
      </c>
      <c r="B5978" t="inlineStr">
        <is>
          <t>52주차</t>
        </is>
      </c>
      <c r="C5978" t="e">
        <v>#N/A</v>
      </c>
      <c r="K5978" t="n">
        <v>0</v>
      </c>
      <c r="L5978" t="n">
        <v>0</v>
      </c>
      <c r="M5978" t="n">
        <v>0</v>
      </c>
      <c r="AC5978" t="n">
        <v>0</v>
      </c>
      <c r="AD5978" t="n">
        <v>0</v>
      </c>
      <c r="AE5978" t="n">
        <v>0</v>
      </c>
      <c r="AF5978" t="n">
        <v>0</v>
      </c>
      <c r="AG5978" t="n">
        <v>0</v>
      </c>
      <c r="AH5978" t="n">
        <v>0</v>
      </c>
    </row>
    <row r="5979">
      <c r="A5979" t="inlineStr">
        <is>
          <t>12월</t>
        </is>
      </c>
      <c r="B5979" t="inlineStr">
        <is>
          <t>52주차</t>
        </is>
      </c>
      <c r="C5979" t="e">
        <v>#N/A</v>
      </c>
      <c r="K5979" t="n">
        <v>0</v>
      </c>
      <c r="L5979" t="n">
        <v>0</v>
      </c>
      <c r="M5979" t="n">
        <v>0</v>
      </c>
      <c r="AC5979" t="n">
        <v>0</v>
      </c>
      <c r="AD5979" t="n">
        <v>0</v>
      </c>
      <c r="AE5979" t="n">
        <v>0</v>
      </c>
      <c r="AF5979" t="n">
        <v>0</v>
      </c>
      <c r="AG5979" t="n">
        <v>0</v>
      </c>
      <c r="AH5979" t="n">
        <v>0</v>
      </c>
      <c r="AI5979" t="n">
        <v>0</v>
      </c>
    </row>
    <row r="5980">
      <c r="A5980" t="inlineStr">
        <is>
          <t>12월</t>
        </is>
      </c>
      <c r="B5980" t="inlineStr">
        <is>
          <t>52주차</t>
        </is>
      </c>
      <c r="C5980" t="e">
        <v>#N/A</v>
      </c>
      <c r="K5980" t="n">
        <v>0</v>
      </c>
      <c r="L5980" t="n">
        <v>0</v>
      </c>
      <c r="M5980" t="n">
        <v>0</v>
      </c>
      <c r="AC5980" t="n">
        <v>0</v>
      </c>
      <c r="AD5980" t="n">
        <v>0</v>
      </c>
      <c r="AE5980" t="n">
        <v>0</v>
      </c>
      <c r="AF5980" t="n">
        <v>0</v>
      </c>
      <c r="AG5980" t="n">
        <v>0</v>
      </c>
      <c r="AH5980" t="n">
        <v>0</v>
      </c>
      <c r="AI5980" t="n">
        <v>0</v>
      </c>
    </row>
    <row r="5981">
      <c r="A5981" t="inlineStr">
        <is>
          <t>12월</t>
        </is>
      </c>
      <c r="B5981" t="inlineStr">
        <is>
          <t>52주차</t>
        </is>
      </c>
      <c r="C5981" t="e">
        <v>#N/A</v>
      </c>
      <c r="K5981" t="n">
        <v>0</v>
      </c>
      <c r="L5981" t="n">
        <v>0</v>
      </c>
      <c r="M5981" t="n">
        <v>0</v>
      </c>
      <c r="AC5981" t="n">
        <v>0</v>
      </c>
      <c r="AD5981" t="n">
        <v>0</v>
      </c>
      <c r="AE5981" t="n">
        <v>0</v>
      </c>
      <c r="AF5981" t="n">
        <v>0</v>
      </c>
      <c r="AG5981" t="n">
        <v>0</v>
      </c>
      <c r="AH5981" t="n">
        <v>0</v>
      </c>
      <c r="AI5981" t="n">
        <v>0</v>
      </c>
    </row>
    <row r="5982">
      <c r="A5982" t="inlineStr">
        <is>
          <t>12월</t>
        </is>
      </c>
      <c r="B5982" t="inlineStr">
        <is>
          <t>52주차</t>
        </is>
      </c>
      <c r="C5982" t="e">
        <v>#N/A</v>
      </c>
      <c r="K5982" t="n">
        <v>0</v>
      </c>
      <c r="L5982" t="n">
        <v>0</v>
      </c>
      <c r="M5982" t="n">
        <v>0</v>
      </c>
      <c r="AC5982" t="n">
        <v>0</v>
      </c>
      <c r="AD5982" t="n">
        <v>0</v>
      </c>
      <c r="AE5982" t="n">
        <v>0</v>
      </c>
      <c r="AF5982" t="n">
        <v>0</v>
      </c>
      <c r="AG5982" t="n">
        <v>0</v>
      </c>
      <c r="AH5982" t="n">
        <v>0</v>
      </c>
      <c r="AI5982" t="n">
        <v>0</v>
      </c>
    </row>
    <row r="5983">
      <c r="A5983" t="inlineStr">
        <is>
          <t>12월</t>
        </is>
      </c>
      <c r="B5983" t="inlineStr">
        <is>
          <t>52주차</t>
        </is>
      </c>
      <c r="C5983" t="e">
        <v>#N/A</v>
      </c>
      <c r="K5983" t="n">
        <v>0</v>
      </c>
      <c r="L5983" t="n">
        <v>0</v>
      </c>
      <c r="M5983" t="n">
        <v>0</v>
      </c>
      <c r="AC5983" t="n">
        <v>0</v>
      </c>
      <c r="AD5983" t="n">
        <v>0</v>
      </c>
      <c r="AE5983" t="n">
        <v>0</v>
      </c>
      <c r="AF5983" t="n">
        <v>0</v>
      </c>
      <c r="AG5983" t="n">
        <v>0</v>
      </c>
      <c r="AH5983" t="n">
        <v>0</v>
      </c>
    </row>
    <row r="5984">
      <c r="A5984" t="inlineStr">
        <is>
          <t>12월</t>
        </is>
      </c>
      <c r="B5984" t="inlineStr">
        <is>
          <t>52주차</t>
        </is>
      </c>
      <c r="C5984" t="e">
        <v>#N/A</v>
      </c>
      <c r="K5984" t="n">
        <v>0</v>
      </c>
      <c r="L5984" t="n">
        <v>0</v>
      </c>
      <c r="M5984" t="n">
        <v>0</v>
      </c>
      <c r="AC5984" t="n">
        <v>0</v>
      </c>
      <c r="AD5984" t="n">
        <v>0</v>
      </c>
      <c r="AE5984" t="n">
        <v>0</v>
      </c>
      <c r="AF5984" t="n">
        <v>0</v>
      </c>
      <c r="AG5984" t="n">
        <v>0</v>
      </c>
      <c r="AH5984" t="n">
        <v>0</v>
      </c>
    </row>
    <row r="5985">
      <c r="A5985" t="inlineStr">
        <is>
          <t>12월</t>
        </is>
      </c>
      <c r="B5985" t="inlineStr">
        <is>
          <t>52주차</t>
        </is>
      </c>
      <c r="C5985" t="e">
        <v>#N/A</v>
      </c>
      <c r="K5985" t="n">
        <v>0</v>
      </c>
      <c r="L5985" t="n">
        <v>0</v>
      </c>
      <c r="M5985" t="n">
        <v>0</v>
      </c>
      <c r="AC5985" t="n">
        <v>0</v>
      </c>
      <c r="AD5985" t="n">
        <v>0</v>
      </c>
      <c r="AE5985" t="n">
        <v>0</v>
      </c>
      <c r="AF5985" t="n">
        <v>0</v>
      </c>
      <c r="AG5985" t="n">
        <v>0</v>
      </c>
      <c r="AH5985" t="n">
        <v>0</v>
      </c>
      <c r="AI5985" t="n">
        <v>0</v>
      </c>
    </row>
    <row r="5986">
      <c r="A5986" t="inlineStr">
        <is>
          <t>12월</t>
        </is>
      </c>
      <c r="B5986" t="inlineStr">
        <is>
          <t>52주차</t>
        </is>
      </c>
      <c r="C5986" t="e">
        <v>#N/A</v>
      </c>
      <c r="K5986" t="n">
        <v>0</v>
      </c>
      <c r="L5986" t="n">
        <v>0</v>
      </c>
      <c r="M5986" t="n">
        <v>0</v>
      </c>
      <c r="AC5986" t="n">
        <v>0</v>
      </c>
      <c r="AD5986" t="n">
        <v>0</v>
      </c>
      <c r="AE5986" t="n">
        <v>0</v>
      </c>
      <c r="AF5986" t="n">
        <v>0</v>
      </c>
      <c r="AG5986" t="n">
        <v>0</v>
      </c>
      <c r="AH5986" t="n">
        <v>0</v>
      </c>
    </row>
    <row r="5987">
      <c r="A5987" t="inlineStr">
        <is>
          <t>12월</t>
        </is>
      </c>
      <c r="B5987" t="inlineStr">
        <is>
          <t>52주차</t>
        </is>
      </c>
      <c r="C5987" t="e">
        <v>#N/A</v>
      </c>
      <c r="K5987" t="n">
        <v>0</v>
      </c>
      <c r="L5987" t="n">
        <v>0</v>
      </c>
      <c r="M5987" t="n">
        <v>0</v>
      </c>
      <c r="AC5987" t="n">
        <v>0</v>
      </c>
      <c r="AD5987" t="n">
        <v>0</v>
      </c>
      <c r="AE5987" t="n">
        <v>0</v>
      </c>
      <c r="AF5987" t="n">
        <v>0</v>
      </c>
      <c r="AG5987" t="n">
        <v>0</v>
      </c>
      <c r="AH5987" t="n">
        <v>0</v>
      </c>
      <c r="AI5987" t="n">
        <v>0</v>
      </c>
    </row>
    <row r="5988">
      <c r="A5988" t="inlineStr">
        <is>
          <t>12월</t>
        </is>
      </c>
      <c r="B5988" t="inlineStr">
        <is>
          <t>52주차</t>
        </is>
      </c>
      <c r="C5988" t="e">
        <v>#N/A</v>
      </c>
      <c r="K5988" t="n">
        <v>0</v>
      </c>
      <c r="L5988" t="n">
        <v>0</v>
      </c>
      <c r="M5988" t="n">
        <v>0</v>
      </c>
      <c r="AC5988" t="n">
        <v>0</v>
      </c>
      <c r="AD5988" t="n">
        <v>0</v>
      </c>
      <c r="AE5988" t="n">
        <v>0</v>
      </c>
      <c r="AF5988" t="n">
        <v>0</v>
      </c>
      <c r="AG5988" t="n">
        <v>0</v>
      </c>
      <c r="AH5988" t="n">
        <v>0</v>
      </c>
    </row>
    <row r="5989">
      <c r="A5989" t="inlineStr">
        <is>
          <t>12월</t>
        </is>
      </c>
      <c r="B5989" t="inlineStr">
        <is>
          <t>52주차</t>
        </is>
      </c>
      <c r="C5989" t="e">
        <v>#N/A</v>
      </c>
      <c r="K5989" t="n">
        <v>0</v>
      </c>
      <c r="L5989" t="n">
        <v>0</v>
      </c>
      <c r="M5989" t="n">
        <v>0</v>
      </c>
      <c r="AC5989" t="n">
        <v>0</v>
      </c>
      <c r="AD5989" t="n">
        <v>0</v>
      </c>
      <c r="AE5989" t="n">
        <v>0</v>
      </c>
      <c r="AF5989" t="n">
        <v>0</v>
      </c>
      <c r="AG5989" t="n">
        <v>0</v>
      </c>
      <c r="AH5989" t="n">
        <v>0</v>
      </c>
      <c r="AI5989" t="n">
        <v>0</v>
      </c>
    </row>
    <row r="5990">
      <c r="A5990" t="inlineStr">
        <is>
          <t>12월</t>
        </is>
      </c>
      <c r="B5990" t="inlineStr">
        <is>
          <t>52주차</t>
        </is>
      </c>
      <c r="C5990" t="e">
        <v>#N/A</v>
      </c>
      <c r="K5990" t="n">
        <v>0</v>
      </c>
      <c r="L5990" t="n">
        <v>0</v>
      </c>
      <c r="M5990" t="n">
        <v>0</v>
      </c>
      <c r="AC5990" t="n">
        <v>0</v>
      </c>
      <c r="AD5990" t="n">
        <v>0</v>
      </c>
      <c r="AE5990" t="n">
        <v>0</v>
      </c>
      <c r="AF5990" t="n">
        <v>0</v>
      </c>
      <c r="AG5990" t="n">
        <v>0</v>
      </c>
      <c r="AH5990" t="n">
        <v>0</v>
      </c>
    </row>
    <row r="5991">
      <c r="A5991" t="inlineStr">
        <is>
          <t>12월</t>
        </is>
      </c>
      <c r="B5991" t="inlineStr">
        <is>
          <t>52주차</t>
        </is>
      </c>
      <c r="C5991" t="e">
        <v>#N/A</v>
      </c>
      <c r="K5991" t="n">
        <v>0</v>
      </c>
      <c r="L5991" t="n">
        <v>0</v>
      </c>
      <c r="M5991" t="n">
        <v>0</v>
      </c>
      <c r="AC5991" t="n">
        <v>0</v>
      </c>
      <c r="AD5991" t="n">
        <v>0</v>
      </c>
      <c r="AE5991" t="n">
        <v>0</v>
      </c>
      <c r="AF5991" t="n">
        <v>0</v>
      </c>
      <c r="AG5991" t="n">
        <v>0</v>
      </c>
      <c r="AH5991" t="n">
        <v>0</v>
      </c>
      <c r="AI5991" t="n">
        <v>0</v>
      </c>
    </row>
    <row r="5992">
      <c r="A5992" t="inlineStr">
        <is>
          <t>12월</t>
        </is>
      </c>
      <c r="B5992" t="inlineStr">
        <is>
          <t>52주차</t>
        </is>
      </c>
      <c r="C5992" t="e">
        <v>#N/A</v>
      </c>
      <c r="K5992" t="n">
        <v>0</v>
      </c>
      <c r="L5992" t="n">
        <v>0</v>
      </c>
      <c r="M5992" t="n">
        <v>0</v>
      </c>
      <c r="AC5992" t="n">
        <v>0</v>
      </c>
      <c r="AD5992" t="n">
        <v>0</v>
      </c>
      <c r="AE5992" t="n">
        <v>0</v>
      </c>
      <c r="AF5992" t="n">
        <v>0</v>
      </c>
      <c r="AG5992" t="n">
        <v>0</v>
      </c>
      <c r="AH5992" t="n">
        <v>0</v>
      </c>
      <c r="AI5992" t="n">
        <v>0</v>
      </c>
    </row>
    <row r="5993">
      <c r="A5993" t="inlineStr">
        <is>
          <t>12월</t>
        </is>
      </c>
      <c r="B5993" t="inlineStr">
        <is>
          <t>52주차</t>
        </is>
      </c>
      <c r="C5993" t="e">
        <v>#N/A</v>
      </c>
      <c r="K5993" t="n">
        <v>0</v>
      </c>
      <c r="L5993" t="n">
        <v>0</v>
      </c>
      <c r="M5993" t="n">
        <v>0</v>
      </c>
      <c r="AC5993" t="n">
        <v>0</v>
      </c>
      <c r="AD5993" t="n">
        <v>0</v>
      </c>
      <c r="AE5993" t="n">
        <v>0</v>
      </c>
      <c r="AF5993" t="n">
        <v>0</v>
      </c>
      <c r="AG5993" t="n">
        <v>0</v>
      </c>
      <c r="AH5993" t="n">
        <v>0</v>
      </c>
    </row>
    <row r="5994">
      <c r="A5994" t="inlineStr">
        <is>
          <t>12월</t>
        </is>
      </c>
      <c r="B5994" t="inlineStr">
        <is>
          <t>52주차</t>
        </is>
      </c>
      <c r="C5994" t="e">
        <v>#N/A</v>
      </c>
      <c r="K5994" t="n">
        <v>0</v>
      </c>
      <c r="L5994" t="n">
        <v>0</v>
      </c>
      <c r="M5994" t="n">
        <v>0</v>
      </c>
      <c r="AC5994" t="n">
        <v>0</v>
      </c>
      <c r="AD5994" t="n">
        <v>0</v>
      </c>
      <c r="AE5994" t="n">
        <v>0</v>
      </c>
      <c r="AF5994" t="n">
        <v>0</v>
      </c>
      <c r="AG5994" t="n">
        <v>0</v>
      </c>
      <c r="AH5994" t="n">
        <v>0</v>
      </c>
      <c r="AI5994" t="n">
        <v>0</v>
      </c>
    </row>
    <row r="5995">
      <c r="A5995" t="inlineStr">
        <is>
          <t>12월</t>
        </is>
      </c>
      <c r="B5995" t="inlineStr">
        <is>
          <t>52주차</t>
        </is>
      </c>
      <c r="C5995" t="e">
        <v>#N/A</v>
      </c>
      <c r="K5995" t="n">
        <v>0</v>
      </c>
      <c r="L5995" t="n">
        <v>0</v>
      </c>
      <c r="M5995" t="n">
        <v>0</v>
      </c>
      <c r="AC5995" t="n">
        <v>0</v>
      </c>
      <c r="AD5995" t="n">
        <v>0</v>
      </c>
      <c r="AE5995" t="n">
        <v>0</v>
      </c>
      <c r="AF5995" t="n">
        <v>0</v>
      </c>
      <c r="AG5995" t="n">
        <v>0</v>
      </c>
      <c r="AH5995" t="n">
        <v>0</v>
      </c>
      <c r="AI5995" t="n">
        <v>0</v>
      </c>
    </row>
    <row r="5996">
      <c r="A5996" t="inlineStr">
        <is>
          <t>12월</t>
        </is>
      </c>
      <c r="B5996" t="inlineStr">
        <is>
          <t>52주차</t>
        </is>
      </c>
      <c r="C5996" t="e">
        <v>#N/A</v>
      </c>
      <c r="K5996" t="n">
        <v>0</v>
      </c>
      <c r="L5996" t="n">
        <v>0</v>
      </c>
      <c r="M5996" t="n">
        <v>0</v>
      </c>
      <c r="AC5996" t="n">
        <v>0</v>
      </c>
      <c r="AD5996" t="n">
        <v>0</v>
      </c>
      <c r="AE5996" t="n">
        <v>0</v>
      </c>
      <c r="AF5996" t="n">
        <v>0</v>
      </c>
      <c r="AG5996" t="n">
        <v>0</v>
      </c>
      <c r="AH5996" t="n">
        <v>0</v>
      </c>
      <c r="AI5996" t="n">
        <v>0</v>
      </c>
    </row>
    <row r="5997">
      <c r="A5997" t="inlineStr">
        <is>
          <t>12월</t>
        </is>
      </c>
      <c r="B5997" t="inlineStr">
        <is>
          <t>52주차</t>
        </is>
      </c>
      <c r="C5997" t="e">
        <v>#N/A</v>
      </c>
      <c r="K5997" t="n">
        <v>0</v>
      </c>
      <c r="L5997" t="n">
        <v>0</v>
      </c>
      <c r="M5997" t="n">
        <v>0</v>
      </c>
      <c r="AC5997" t="n">
        <v>0</v>
      </c>
      <c r="AD5997" t="n">
        <v>0</v>
      </c>
      <c r="AE5997" t="n">
        <v>0</v>
      </c>
      <c r="AF5997" t="n">
        <v>0</v>
      </c>
      <c r="AG5997" t="n">
        <v>0</v>
      </c>
      <c r="AH5997" t="n">
        <v>0</v>
      </c>
      <c r="AI5997" t="n">
        <v>0</v>
      </c>
    </row>
    <row r="5998">
      <c r="A5998" t="inlineStr">
        <is>
          <t>12월</t>
        </is>
      </c>
      <c r="B5998" t="inlineStr">
        <is>
          <t>52주차</t>
        </is>
      </c>
      <c r="C5998" t="e">
        <v>#N/A</v>
      </c>
      <c r="K5998" t="n">
        <v>0</v>
      </c>
      <c r="L5998" t="n">
        <v>0</v>
      </c>
      <c r="M5998" t="n">
        <v>0</v>
      </c>
      <c r="AC5998" t="n">
        <v>0</v>
      </c>
      <c r="AD5998" t="n">
        <v>0</v>
      </c>
      <c r="AE5998" t="n">
        <v>0</v>
      </c>
      <c r="AF5998" t="n">
        <v>0</v>
      </c>
      <c r="AG5998" t="n">
        <v>0</v>
      </c>
      <c r="AH5998" t="n">
        <v>0</v>
      </c>
      <c r="AI5998" t="n">
        <v>0</v>
      </c>
    </row>
    <row r="5999">
      <c r="A5999" t="inlineStr">
        <is>
          <t>12월</t>
        </is>
      </c>
      <c r="B5999" t="inlineStr">
        <is>
          <t>52주차</t>
        </is>
      </c>
      <c r="C5999" t="e">
        <v>#N/A</v>
      </c>
      <c r="K5999" t="n">
        <v>0</v>
      </c>
      <c r="L5999" t="n">
        <v>0</v>
      </c>
      <c r="M5999" t="n">
        <v>0</v>
      </c>
      <c r="AC5999" t="n">
        <v>0</v>
      </c>
      <c r="AD5999" t="n">
        <v>0</v>
      </c>
      <c r="AE5999" t="n">
        <v>0</v>
      </c>
      <c r="AF5999" t="n">
        <v>0</v>
      </c>
      <c r="AG5999" t="n">
        <v>0</v>
      </c>
      <c r="AH5999" t="n">
        <v>0</v>
      </c>
      <c r="AI5999" t="n">
        <v>0</v>
      </c>
    </row>
    <row r="6000">
      <c r="A6000" t="inlineStr">
        <is>
          <t>12월</t>
        </is>
      </c>
      <c r="B6000" t="inlineStr">
        <is>
          <t>52주차</t>
        </is>
      </c>
      <c r="C6000" t="e">
        <v>#N/A</v>
      </c>
      <c r="K6000" t="n">
        <v>0</v>
      </c>
      <c r="L6000" t="n">
        <v>0</v>
      </c>
      <c r="M6000" t="n">
        <v>0</v>
      </c>
      <c r="AC6000" t="n">
        <v>0</v>
      </c>
      <c r="AD6000" t="n">
        <v>0</v>
      </c>
      <c r="AE6000" t="n">
        <v>0</v>
      </c>
      <c r="AF6000" t="n">
        <v>0</v>
      </c>
      <c r="AG6000" t="n">
        <v>0</v>
      </c>
      <c r="AH6000" t="n">
        <v>0</v>
      </c>
      <c r="AI6000" t="n">
        <v>0</v>
      </c>
    </row>
    <row r="6001">
      <c r="A6001" t="inlineStr">
        <is>
          <t>12월</t>
        </is>
      </c>
      <c r="B6001" t="inlineStr">
        <is>
          <t>52주차</t>
        </is>
      </c>
      <c r="C6001" t="e">
        <v>#N/A</v>
      </c>
      <c r="K6001" t="n">
        <v>0</v>
      </c>
      <c r="L6001" t="n">
        <v>0</v>
      </c>
      <c r="M6001" t="n">
        <v>0</v>
      </c>
      <c r="AC6001" t="n">
        <v>0</v>
      </c>
      <c r="AD6001" t="n">
        <v>0</v>
      </c>
      <c r="AE6001" t="n">
        <v>0</v>
      </c>
      <c r="AF6001" t="n">
        <v>0</v>
      </c>
      <c r="AG6001" t="n">
        <v>0</v>
      </c>
      <c r="AH6001" t="n">
        <v>0</v>
      </c>
    </row>
    <row r="6002">
      <c r="A6002" t="inlineStr">
        <is>
          <t>12월</t>
        </is>
      </c>
      <c r="B6002" t="inlineStr">
        <is>
          <t>52주차</t>
        </is>
      </c>
      <c r="C6002" t="e">
        <v>#N/A</v>
      </c>
      <c r="K6002" t="n">
        <v>0</v>
      </c>
      <c r="L6002" t="n">
        <v>0</v>
      </c>
      <c r="M6002" t="n">
        <v>0</v>
      </c>
      <c r="AC6002" t="n">
        <v>0</v>
      </c>
      <c r="AD6002" t="n">
        <v>0</v>
      </c>
      <c r="AE6002" t="n">
        <v>0</v>
      </c>
      <c r="AF6002" t="n">
        <v>0</v>
      </c>
      <c r="AG6002" t="n">
        <v>0</v>
      </c>
      <c r="AH6002" t="n">
        <v>0</v>
      </c>
    </row>
    <row r="6003">
      <c r="A6003" t="inlineStr">
        <is>
          <t>12월</t>
        </is>
      </c>
      <c r="B6003" t="inlineStr">
        <is>
          <t>52주차</t>
        </is>
      </c>
      <c r="C6003" t="e">
        <v>#N/A</v>
      </c>
      <c r="K6003" t="n">
        <v>0</v>
      </c>
      <c r="L6003" t="n">
        <v>0</v>
      </c>
      <c r="M6003" t="n">
        <v>0</v>
      </c>
      <c r="AC6003" t="n">
        <v>0</v>
      </c>
      <c r="AD6003" t="n">
        <v>0</v>
      </c>
      <c r="AE6003" t="n">
        <v>0</v>
      </c>
      <c r="AF6003" t="n">
        <v>0</v>
      </c>
      <c r="AG6003" t="n">
        <v>0</v>
      </c>
      <c r="AH6003" t="n">
        <v>0</v>
      </c>
      <c r="AI6003" t="n">
        <v>0</v>
      </c>
    </row>
    <row r="6004">
      <c r="A6004" t="inlineStr">
        <is>
          <t>12월</t>
        </is>
      </c>
      <c r="B6004" t="inlineStr">
        <is>
          <t>52주차</t>
        </is>
      </c>
      <c r="C6004" t="e">
        <v>#N/A</v>
      </c>
      <c r="K6004" t="n">
        <v>0</v>
      </c>
      <c r="L6004" t="n">
        <v>0</v>
      </c>
      <c r="M6004" t="n">
        <v>0</v>
      </c>
      <c r="AC6004" t="n">
        <v>0</v>
      </c>
      <c r="AD6004" t="n">
        <v>0</v>
      </c>
      <c r="AE6004" t="n">
        <v>0</v>
      </c>
      <c r="AF6004" t="n">
        <v>0</v>
      </c>
      <c r="AG6004" t="n">
        <v>0</v>
      </c>
      <c r="AH6004" t="n">
        <v>0</v>
      </c>
      <c r="AI6004" t="n">
        <v>0</v>
      </c>
    </row>
    <row r="6005">
      <c r="A6005" t="inlineStr">
        <is>
          <t>12월</t>
        </is>
      </c>
      <c r="B6005" t="inlineStr">
        <is>
          <t>52주차</t>
        </is>
      </c>
      <c r="C6005" t="e">
        <v>#N/A</v>
      </c>
      <c r="K6005" t="n">
        <v>0</v>
      </c>
      <c r="L6005" t="n">
        <v>0</v>
      </c>
      <c r="M6005" t="n">
        <v>0</v>
      </c>
      <c r="AC6005" t="n">
        <v>0</v>
      </c>
      <c r="AD6005" t="n">
        <v>0</v>
      </c>
      <c r="AE6005" t="n">
        <v>0</v>
      </c>
      <c r="AF6005" t="n">
        <v>0</v>
      </c>
      <c r="AG6005" t="n">
        <v>0</v>
      </c>
      <c r="AH6005" t="n">
        <v>0</v>
      </c>
    </row>
    <row r="6006">
      <c r="A6006" t="inlineStr">
        <is>
          <t>12월</t>
        </is>
      </c>
      <c r="B6006" t="inlineStr">
        <is>
          <t>52주차</t>
        </is>
      </c>
      <c r="C6006" t="e">
        <v>#N/A</v>
      </c>
      <c r="K6006" t="n">
        <v>0</v>
      </c>
      <c r="L6006" t="n">
        <v>0</v>
      </c>
      <c r="M6006" t="n">
        <v>0</v>
      </c>
      <c r="AC6006" t="n">
        <v>0</v>
      </c>
      <c r="AD6006" t="n">
        <v>0</v>
      </c>
      <c r="AE6006" t="n">
        <v>0</v>
      </c>
      <c r="AF6006" t="n">
        <v>0</v>
      </c>
      <c r="AG6006" t="n">
        <v>0</v>
      </c>
      <c r="AH6006" t="n">
        <v>0</v>
      </c>
      <c r="AI6006" t="n">
        <v>0</v>
      </c>
    </row>
    <row r="6007">
      <c r="A6007" t="inlineStr">
        <is>
          <t>12월</t>
        </is>
      </c>
      <c r="B6007" t="inlineStr">
        <is>
          <t>52주차</t>
        </is>
      </c>
      <c r="C6007" t="e">
        <v>#N/A</v>
      </c>
      <c r="K6007" t="n">
        <v>0</v>
      </c>
      <c r="L6007" t="n">
        <v>0</v>
      </c>
      <c r="M6007" t="n">
        <v>0</v>
      </c>
      <c r="AC6007" t="n">
        <v>0</v>
      </c>
      <c r="AD6007" t="n">
        <v>0</v>
      </c>
      <c r="AE6007" t="n">
        <v>0</v>
      </c>
      <c r="AF6007" t="n">
        <v>0</v>
      </c>
      <c r="AG6007" t="n">
        <v>0</v>
      </c>
      <c r="AH6007" t="n">
        <v>0</v>
      </c>
    </row>
    <row r="6008">
      <c r="A6008" t="inlineStr">
        <is>
          <t>12월</t>
        </is>
      </c>
      <c r="B6008" t="inlineStr">
        <is>
          <t>52주차</t>
        </is>
      </c>
      <c r="C6008" t="e">
        <v>#N/A</v>
      </c>
      <c r="K6008" t="n">
        <v>0</v>
      </c>
      <c r="L6008" t="n">
        <v>0</v>
      </c>
      <c r="M6008" t="n">
        <v>0</v>
      </c>
      <c r="AC6008" t="n">
        <v>0</v>
      </c>
      <c r="AD6008" t="n">
        <v>0</v>
      </c>
      <c r="AE6008" t="n">
        <v>0</v>
      </c>
      <c r="AF6008" t="n">
        <v>0</v>
      </c>
      <c r="AG6008" t="n">
        <v>0</v>
      </c>
      <c r="AH6008" t="n">
        <v>0</v>
      </c>
    </row>
    <row r="6009">
      <c r="A6009" t="inlineStr">
        <is>
          <t>12월</t>
        </is>
      </c>
      <c r="B6009" t="inlineStr">
        <is>
          <t>52주차</t>
        </is>
      </c>
      <c r="C6009" t="e">
        <v>#N/A</v>
      </c>
      <c r="K6009" t="n">
        <v>0</v>
      </c>
      <c r="L6009" t="n">
        <v>0</v>
      </c>
      <c r="M6009" t="n">
        <v>0</v>
      </c>
      <c r="AC6009" t="n">
        <v>0</v>
      </c>
      <c r="AD6009" t="n">
        <v>0</v>
      </c>
      <c r="AE6009" t="n">
        <v>0</v>
      </c>
      <c r="AF6009" t="n">
        <v>0</v>
      </c>
      <c r="AG6009" t="n">
        <v>0</v>
      </c>
      <c r="AH6009" t="n">
        <v>0</v>
      </c>
      <c r="AI6009" t="n">
        <v>0</v>
      </c>
    </row>
    <row r="6010">
      <c r="A6010" t="inlineStr">
        <is>
          <t>12월</t>
        </is>
      </c>
      <c r="B6010" t="inlineStr">
        <is>
          <t>52주차</t>
        </is>
      </c>
      <c r="C6010" t="e">
        <v>#N/A</v>
      </c>
      <c r="K6010" t="n">
        <v>0</v>
      </c>
      <c r="L6010" t="n">
        <v>0</v>
      </c>
      <c r="M6010" t="n">
        <v>0</v>
      </c>
      <c r="AC6010" t="n">
        <v>0</v>
      </c>
      <c r="AD6010" t="n">
        <v>0</v>
      </c>
      <c r="AE6010" t="n">
        <v>0</v>
      </c>
      <c r="AF6010" t="n">
        <v>0</v>
      </c>
      <c r="AG6010" t="n">
        <v>0</v>
      </c>
      <c r="AH6010" t="n">
        <v>0</v>
      </c>
      <c r="AI6010" t="n">
        <v>0</v>
      </c>
    </row>
    <row r="6011">
      <c r="A6011" t="inlineStr">
        <is>
          <t>12월</t>
        </is>
      </c>
      <c r="B6011" t="inlineStr">
        <is>
          <t>52주차</t>
        </is>
      </c>
      <c r="C6011" t="e">
        <v>#N/A</v>
      </c>
      <c r="K6011" t="n">
        <v>0</v>
      </c>
      <c r="L6011" t="n">
        <v>0</v>
      </c>
      <c r="M6011" t="n">
        <v>0</v>
      </c>
      <c r="AC6011" t="n">
        <v>0</v>
      </c>
      <c r="AD6011" t="n">
        <v>0</v>
      </c>
      <c r="AE6011" t="n">
        <v>0</v>
      </c>
      <c r="AF6011" t="n">
        <v>0</v>
      </c>
      <c r="AG6011" t="n">
        <v>0</v>
      </c>
      <c r="AH6011" t="n">
        <v>0</v>
      </c>
    </row>
    <row r="6012">
      <c r="A6012" t="inlineStr">
        <is>
          <t>12월</t>
        </is>
      </c>
      <c r="B6012" t="inlineStr">
        <is>
          <t>52주차</t>
        </is>
      </c>
      <c r="C6012" t="e">
        <v>#N/A</v>
      </c>
      <c r="K6012" t="n">
        <v>0</v>
      </c>
      <c r="L6012" t="n">
        <v>0</v>
      </c>
      <c r="M6012" t="n">
        <v>0</v>
      </c>
      <c r="AC6012" t="n">
        <v>0</v>
      </c>
      <c r="AD6012" t="n">
        <v>0</v>
      </c>
      <c r="AE6012" t="n">
        <v>0</v>
      </c>
      <c r="AF6012" t="n">
        <v>0</v>
      </c>
      <c r="AG6012" t="n">
        <v>0</v>
      </c>
      <c r="AH6012" t="n">
        <v>0</v>
      </c>
      <c r="AI6012" t="n">
        <v>0</v>
      </c>
    </row>
    <row r="6013">
      <c r="A6013" t="inlineStr">
        <is>
          <t>12월</t>
        </is>
      </c>
      <c r="B6013" t="inlineStr">
        <is>
          <t>52주차</t>
        </is>
      </c>
      <c r="C6013" t="e">
        <v>#N/A</v>
      </c>
      <c r="K6013" t="n">
        <v>0</v>
      </c>
      <c r="L6013" t="n">
        <v>0</v>
      </c>
      <c r="M6013" t="n">
        <v>0</v>
      </c>
      <c r="AC6013" t="n">
        <v>0</v>
      </c>
      <c r="AD6013" t="n">
        <v>0</v>
      </c>
      <c r="AE6013" t="n">
        <v>0</v>
      </c>
      <c r="AF6013" t="n">
        <v>0</v>
      </c>
      <c r="AG6013" t="n">
        <v>0</v>
      </c>
      <c r="AH6013" t="n">
        <v>0</v>
      </c>
      <c r="AI6013" t="n">
        <v>0</v>
      </c>
    </row>
    <row r="6014">
      <c r="A6014" t="inlineStr">
        <is>
          <t>12월</t>
        </is>
      </c>
      <c r="B6014" t="inlineStr">
        <is>
          <t>52주차</t>
        </is>
      </c>
      <c r="C6014" t="e">
        <v>#N/A</v>
      </c>
      <c r="K6014" t="n">
        <v>0</v>
      </c>
      <c r="L6014" t="n">
        <v>0</v>
      </c>
      <c r="M6014" t="n">
        <v>0</v>
      </c>
      <c r="AC6014" t="n">
        <v>0</v>
      </c>
      <c r="AD6014" t="n">
        <v>0</v>
      </c>
      <c r="AE6014" t="n">
        <v>0</v>
      </c>
      <c r="AF6014" t="n">
        <v>0</v>
      </c>
      <c r="AG6014" t="n">
        <v>0</v>
      </c>
      <c r="AH6014" t="n">
        <v>0</v>
      </c>
      <c r="AI6014" t="n">
        <v>0</v>
      </c>
    </row>
    <row r="6015">
      <c r="A6015" t="inlineStr">
        <is>
          <t>12월</t>
        </is>
      </c>
      <c r="B6015" t="inlineStr">
        <is>
          <t>52주차</t>
        </is>
      </c>
      <c r="C6015" t="e">
        <v>#N/A</v>
      </c>
      <c r="K6015" t="n">
        <v>0</v>
      </c>
      <c r="L6015" t="n">
        <v>0</v>
      </c>
      <c r="M6015" t="n">
        <v>0</v>
      </c>
      <c r="AC6015" t="n">
        <v>0</v>
      </c>
      <c r="AD6015" t="n">
        <v>0</v>
      </c>
      <c r="AE6015" t="n">
        <v>0</v>
      </c>
      <c r="AF6015" t="n">
        <v>0</v>
      </c>
      <c r="AG6015" t="n">
        <v>0</v>
      </c>
      <c r="AH6015" t="n">
        <v>0</v>
      </c>
      <c r="AI6015" t="n">
        <v>0</v>
      </c>
    </row>
    <row r="6016">
      <c r="A6016" t="inlineStr">
        <is>
          <t>12월</t>
        </is>
      </c>
      <c r="B6016" t="inlineStr">
        <is>
          <t>52주차</t>
        </is>
      </c>
      <c r="C6016" t="e">
        <v>#N/A</v>
      </c>
      <c r="K6016" t="n">
        <v>0</v>
      </c>
      <c r="L6016" t="n">
        <v>0</v>
      </c>
      <c r="M6016" t="n">
        <v>0</v>
      </c>
      <c r="AC6016" t="n">
        <v>0</v>
      </c>
      <c r="AD6016" t="n">
        <v>0</v>
      </c>
      <c r="AE6016" t="n">
        <v>0</v>
      </c>
      <c r="AF6016" t="n">
        <v>0</v>
      </c>
      <c r="AG6016" t="n">
        <v>0</v>
      </c>
      <c r="AH6016" t="n">
        <v>0</v>
      </c>
      <c r="AI6016" t="n">
        <v>0</v>
      </c>
    </row>
    <row r="6017">
      <c r="A6017" t="inlineStr">
        <is>
          <t>12월</t>
        </is>
      </c>
      <c r="B6017" t="inlineStr">
        <is>
          <t>52주차</t>
        </is>
      </c>
      <c r="C6017" t="e">
        <v>#N/A</v>
      </c>
      <c r="K6017" t="n">
        <v>0</v>
      </c>
      <c r="L6017" t="n">
        <v>0</v>
      </c>
      <c r="M6017" t="n">
        <v>0</v>
      </c>
      <c r="AC6017" t="n">
        <v>0</v>
      </c>
      <c r="AD6017" t="n">
        <v>0</v>
      </c>
      <c r="AE6017" t="n">
        <v>0</v>
      </c>
      <c r="AF6017" t="n">
        <v>0</v>
      </c>
      <c r="AG6017" t="n">
        <v>0</v>
      </c>
      <c r="AH6017" t="n">
        <v>0</v>
      </c>
      <c r="AI6017" t="n">
        <v>0</v>
      </c>
    </row>
    <row r="6018">
      <c r="A6018" t="inlineStr">
        <is>
          <t>12월</t>
        </is>
      </c>
      <c r="B6018" t="inlineStr">
        <is>
          <t>52주차</t>
        </is>
      </c>
      <c r="C6018" t="e">
        <v>#N/A</v>
      </c>
      <c r="K6018" t="n">
        <v>0</v>
      </c>
      <c r="L6018" t="n">
        <v>0</v>
      </c>
      <c r="M6018" t="n">
        <v>0</v>
      </c>
      <c r="AC6018" t="n">
        <v>0</v>
      </c>
      <c r="AD6018" t="n">
        <v>0</v>
      </c>
      <c r="AE6018" t="n">
        <v>0</v>
      </c>
      <c r="AF6018" t="n">
        <v>0</v>
      </c>
      <c r="AG6018" t="n">
        <v>0</v>
      </c>
      <c r="AH6018" t="n">
        <v>0</v>
      </c>
      <c r="AI6018" t="n">
        <v>0</v>
      </c>
    </row>
    <row r="6019">
      <c r="A6019" t="inlineStr">
        <is>
          <t>12월</t>
        </is>
      </c>
      <c r="B6019" t="inlineStr">
        <is>
          <t>52주차</t>
        </is>
      </c>
      <c r="C6019" t="e">
        <v>#N/A</v>
      </c>
      <c r="K6019" t="n">
        <v>0</v>
      </c>
      <c r="L6019" t="n">
        <v>0</v>
      </c>
      <c r="M6019" t="n">
        <v>0</v>
      </c>
      <c r="AC6019" t="n">
        <v>0</v>
      </c>
      <c r="AD6019" t="n">
        <v>0</v>
      </c>
      <c r="AE6019" t="n">
        <v>0</v>
      </c>
      <c r="AF6019" t="n">
        <v>0</v>
      </c>
      <c r="AG6019" t="n">
        <v>0</v>
      </c>
      <c r="AH6019" t="n">
        <v>0</v>
      </c>
      <c r="AI6019" t="n">
        <v>0</v>
      </c>
    </row>
    <row r="6020">
      <c r="A6020" t="inlineStr">
        <is>
          <t>12월</t>
        </is>
      </c>
      <c r="B6020" t="inlineStr">
        <is>
          <t>52주차</t>
        </is>
      </c>
      <c r="C6020" t="e">
        <v>#N/A</v>
      </c>
      <c r="K6020" t="n">
        <v>0</v>
      </c>
      <c r="L6020" t="n">
        <v>0</v>
      </c>
      <c r="M6020" t="n">
        <v>0</v>
      </c>
      <c r="AC6020" t="n">
        <v>0</v>
      </c>
      <c r="AD6020" t="n">
        <v>0</v>
      </c>
      <c r="AE6020" t="n">
        <v>0</v>
      </c>
      <c r="AF6020" t="n">
        <v>0</v>
      </c>
      <c r="AG6020" t="n">
        <v>0</v>
      </c>
      <c r="AH6020" t="n">
        <v>0</v>
      </c>
    </row>
    <row r="6021">
      <c r="A6021" t="inlineStr">
        <is>
          <t>12월</t>
        </is>
      </c>
      <c r="B6021" t="inlineStr">
        <is>
          <t>52주차</t>
        </is>
      </c>
      <c r="C6021" t="e">
        <v>#N/A</v>
      </c>
      <c r="K6021" t="n">
        <v>0</v>
      </c>
      <c r="L6021" t="n">
        <v>0</v>
      </c>
      <c r="M6021" t="n">
        <v>0</v>
      </c>
      <c r="AC6021" t="n">
        <v>0</v>
      </c>
      <c r="AD6021" t="n">
        <v>0</v>
      </c>
      <c r="AE6021" t="n">
        <v>0</v>
      </c>
      <c r="AF6021" t="n">
        <v>0</v>
      </c>
      <c r="AG6021" t="n">
        <v>0</v>
      </c>
      <c r="AH6021" t="n">
        <v>0</v>
      </c>
      <c r="AI6021" t="n">
        <v>0</v>
      </c>
    </row>
    <row r="6022">
      <c r="A6022" t="inlineStr">
        <is>
          <t>12월</t>
        </is>
      </c>
      <c r="B6022" t="inlineStr">
        <is>
          <t>52주차</t>
        </is>
      </c>
      <c r="C6022" t="e">
        <v>#N/A</v>
      </c>
      <c r="K6022" t="n">
        <v>0</v>
      </c>
      <c r="L6022" t="n">
        <v>0</v>
      </c>
      <c r="M6022" t="n">
        <v>0</v>
      </c>
      <c r="AC6022" t="n">
        <v>0</v>
      </c>
      <c r="AD6022" t="n">
        <v>0</v>
      </c>
      <c r="AE6022" t="n">
        <v>0</v>
      </c>
      <c r="AF6022" t="n">
        <v>0</v>
      </c>
      <c r="AG6022" t="n">
        <v>0</v>
      </c>
      <c r="AH6022" t="n">
        <v>0</v>
      </c>
    </row>
    <row r="6023">
      <c r="A6023" t="inlineStr">
        <is>
          <t>12월</t>
        </is>
      </c>
      <c r="B6023" t="inlineStr">
        <is>
          <t>52주차</t>
        </is>
      </c>
      <c r="C6023" t="e">
        <v>#N/A</v>
      </c>
      <c r="K6023" t="n">
        <v>0</v>
      </c>
      <c r="L6023" t="n">
        <v>0</v>
      </c>
      <c r="M6023" t="n">
        <v>0</v>
      </c>
      <c r="AC6023" t="n">
        <v>0</v>
      </c>
      <c r="AD6023" t="n">
        <v>0</v>
      </c>
      <c r="AE6023" t="n">
        <v>0</v>
      </c>
      <c r="AF6023" t="n">
        <v>0</v>
      </c>
      <c r="AG6023" t="n">
        <v>0</v>
      </c>
      <c r="AH6023" t="n">
        <v>0</v>
      </c>
    </row>
    <row r="6024">
      <c r="A6024" t="inlineStr">
        <is>
          <t>12월</t>
        </is>
      </c>
      <c r="B6024" t="inlineStr">
        <is>
          <t>52주차</t>
        </is>
      </c>
      <c r="C6024" t="e">
        <v>#N/A</v>
      </c>
      <c r="K6024" t="n">
        <v>0</v>
      </c>
      <c r="L6024" t="n">
        <v>0</v>
      </c>
      <c r="M6024" t="n">
        <v>0</v>
      </c>
      <c r="AC6024" t="n">
        <v>0</v>
      </c>
      <c r="AD6024" t="n">
        <v>0</v>
      </c>
      <c r="AE6024" t="n">
        <v>0</v>
      </c>
      <c r="AF6024" t="n">
        <v>0</v>
      </c>
      <c r="AG6024" t="n">
        <v>0</v>
      </c>
      <c r="AH6024" t="n">
        <v>0</v>
      </c>
    </row>
    <row r="6025">
      <c r="A6025" t="inlineStr">
        <is>
          <t>12월</t>
        </is>
      </c>
      <c r="B6025" t="inlineStr">
        <is>
          <t>52주차</t>
        </is>
      </c>
      <c r="C6025" t="e">
        <v>#N/A</v>
      </c>
      <c r="K6025" t="n">
        <v>0</v>
      </c>
      <c r="L6025" t="n">
        <v>0</v>
      </c>
      <c r="M6025" t="n">
        <v>0</v>
      </c>
      <c r="AC6025" t="n">
        <v>0</v>
      </c>
      <c r="AD6025" t="n">
        <v>0</v>
      </c>
      <c r="AE6025" t="n">
        <v>0</v>
      </c>
      <c r="AF6025" t="n">
        <v>0</v>
      </c>
      <c r="AG6025" t="n">
        <v>0</v>
      </c>
      <c r="AH6025" t="n">
        <v>0</v>
      </c>
      <c r="AI6025" t="n">
        <v>0</v>
      </c>
    </row>
    <row r="6026">
      <c r="A6026" t="inlineStr">
        <is>
          <t>12월</t>
        </is>
      </c>
      <c r="B6026" t="inlineStr">
        <is>
          <t>52주차</t>
        </is>
      </c>
      <c r="C6026" t="e">
        <v>#N/A</v>
      </c>
      <c r="K6026" t="n">
        <v>0</v>
      </c>
      <c r="L6026" t="n">
        <v>0</v>
      </c>
      <c r="M6026" t="n">
        <v>0</v>
      </c>
      <c r="AC6026" t="n">
        <v>0</v>
      </c>
      <c r="AD6026" t="n">
        <v>0</v>
      </c>
      <c r="AE6026" t="n">
        <v>0</v>
      </c>
      <c r="AF6026" t="n">
        <v>0</v>
      </c>
      <c r="AG6026" t="n">
        <v>0</v>
      </c>
      <c r="AH6026" t="n">
        <v>0</v>
      </c>
      <c r="AI6026" t="n">
        <v>0</v>
      </c>
    </row>
    <row r="6027">
      <c r="A6027" t="inlineStr">
        <is>
          <t>12월</t>
        </is>
      </c>
      <c r="B6027" t="inlineStr">
        <is>
          <t>52주차</t>
        </is>
      </c>
      <c r="C6027" t="e">
        <v>#N/A</v>
      </c>
      <c r="K6027" t="n">
        <v>0</v>
      </c>
      <c r="L6027" t="n">
        <v>0</v>
      </c>
      <c r="M6027" t="n">
        <v>0</v>
      </c>
      <c r="AC6027" t="n">
        <v>0</v>
      </c>
      <c r="AD6027" t="n">
        <v>0</v>
      </c>
      <c r="AE6027" t="n">
        <v>0</v>
      </c>
      <c r="AF6027" t="n">
        <v>0</v>
      </c>
      <c r="AG6027" t="n">
        <v>0</v>
      </c>
      <c r="AH6027" t="n">
        <v>0</v>
      </c>
      <c r="AI6027" t="n">
        <v>0</v>
      </c>
    </row>
    <row r="6028">
      <c r="A6028" t="inlineStr">
        <is>
          <t>12월</t>
        </is>
      </c>
      <c r="B6028" t="inlineStr">
        <is>
          <t>52주차</t>
        </is>
      </c>
      <c r="C6028" t="e">
        <v>#N/A</v>
      </c>
      <c r="K6028" t="n">
        <v>0</v>
      </c>
      <c r="L6028" t="n">
        <v>0</v>
      </c>
      <c r="M6028" t="n">
        <v>0</v>
      </c>
      <c r="AC6028" t="n">
        <v>0</v>
      </c>
      <c r="AD6028" t="n">
        <v>0</v>
      </c>
      <c r="AE6028" t="n">
        <v>0</v>
      </c>
      <c r="AF6028" t="n">
        <v>0</v>
      </c>
      <c r="AG6028" t="n">
        <v>0</v>
      </c>
      <c r="AH6028" t="n">
        <v>0</v>
      </c>
    </row>
    <row r="6029">
      <c r="A6029" t="inlineStr">
        <is>
          <t>12월</t>
        </is>
      </c>
      <c r="B6029" t="inlineStr">
        <is>
          <t>52주차</t>
        </is>
      </c>
      <c r="C6029" t="e">
        <v>#N/A</v>
      </c>
      <c r="K6029" t="n">
        <v>0</v>
      </c>
      <c r="L6029" t="n">
        <v>0</v>
      </c>
      <c r="M6029" t="n">
        <v>0</v>
      </c>
      <c r="AC6029" t="n">
        <v>0</v>
      </c>
      <c r="AD6029" t="n">
        <v>0</v>
      </c>
      <c r="AE6029" t="n">
        <v>0</v>
      </c>
      <c r="AF6029" t="n">
        <v>0</v>
      </c>
      <c r="AG6029" t="n">
        <v>0</v>
      </c>
      <c r="AH6029" t="n">
        <v>0</v>
      </c>
    </row>
    <row r="6030">
      <c r="A6030" t="inlineStr">
        <is>
          <t>12월</t>
        </is>
      </c>
      <c r="B6030" t="inlineStr">
        <is>
          <t>52주차</t>
        </is>
      </c>
      <c r="C6030" t="e">
        <v>#N/A</v>
      </c>
      <c r="K6030" t="n">
        <v>0</v>
      </c>
      <c r="L6030" t="n">
        <v>0</v>
      </c>
      <c r="M6030" t="n">
        <v>0</v>
      </c>
      <c r="AC6030" t="n">
        <v>0</v>
      </c>
      <c r="AD6030" t="n">
        <v>0</v>
      </c>
      <c r="AE6030" t="n">
        <v>0</v>
      </c>
      <c r="AF6030" t="n">
        <v>0</v>
      </c>
      <c r="AG6030" t="n">
        <v>0</v>
      </c>
      <c r="AH6030" t="n">
        <v>0</v>
      </c>
      <c r="AI6030" t="n">
        <v>0</v>
      </c>
    </row>
    <row r="6031">
      <c r="A6031" t="inlineStr">
        <is>
          <t>12월</t>
        </is>
      </c>
      <c r="B6031" t="inlineStr">
        <is>
          <t>52주차</t>
        </is>
      </c>
      <c r="C6031" t="e">
        <v>#N/A</v>
      </c>
      <c r="K6031" t="n">
        <v>0</v>
      </c>
      <c r="L6031" t="n">
        <v>0</v>
      </c>
      <c r="M6031" t="n">
        <v>0</v>
      </c>
      <c r="AC6031" t="n">
        <v>0</v>
      </c>
      <c r="AD6031" t="n">
        <v>0</v>
      </c>
      <c r="AE6031" t="n">
        <v>0</v>
      </c>
      <c r="AF6031" t="n">
        <v>0</v>
      </c>
      <c r="AG6031" t="n">
        <v>0</v>
      </c>
      <c r="AH6031" t="n">
        <v>0</v>
      </c>
    </row>
    <row r="6032">
      <c r="A6032" t="inlineStr">
        <is>
          <t>12월</t>
        </is>
      </c>
      <c r="B6032" t="inlineStr">
        <is>
          <t>52주차</t>
        </is>
      </c>
      <c r="C6032" t="e">
        <v>#N/A</v>
      </c>
      <c r="K6032" t="n">
        <v>0</v>
      </c>
      <c r="L6032" t="n">
        <v>0</v>
      </c>
      <c r="M6032" t="n">
        <v>0</v>
      </c>
      <c r="AC6032" t="n">
        <v>0</v>
      </c>
      <c r="AD6032" t="n">
        <v>0</v>
      </c>
      <c r="AE6032" t="n">
        <v>0</v>
      </c>
      <c r="AF6032" t="n">
        <v>0</v>
      </c>
      <c r="AG6032" t="n">
        <v>0</v>
      </c>
      <c r="AH6032" t="n">
        <v>0</v>
      </c>
      <c r="AI6032" t="n">
        <v>0</v>
      </c>
    </row>
    <row r="6033">
      <c r="A6033" t="inlineStr">
        <is>
          <t>12월</t>
        </is>
      </c>
      <c r="B6033" t="inlineStr">
        <is>
          <t>52주차</t>
        </is>
      </c>
      <c r="C6033" t="e">
        <v>#N/A</v>
      </c>
      <c r="K6033" t="n">
        <v>0</v>
      </c>
      <c r="L6033" t="n">
        <v>0</v>
      </c>
      <c r="M6033" t="n">
        <v>0</v>
      </c>
      <c r="AC6033" t="n">
        <v>0</v>
      </c>
      <c r="AD6033" t="n">
        <v>0</v>
      </c>
      <c r="AE6033" t="n">
        <v>0</v>
      </c>
      <c r="AF6033" t="n">
        <v>0</v>
      </c>
      <c r="AG6033" t="n">
        <v>0</v>
      </c>
      <c r="AH6033" t="n">
        <v>0</v>
      </c>
      <c r="AI6033" t="n">
        <v>0</v>
      </c>
    </row>
    <row r="6034">
      <c r="A6034" t="inlineStr">
        <is>
          <t>12월</t>
        </is>
      </c>
      <c r="B6034" t="inlineStr">
        <is>
          <t>52주차</t>
        </is>
      </c>
      <c r="C6034" t="e">
        <v>#N/A</v>
      </c>
      <c r="K6034" t="n">
        <v>0</v>
      </c>
      <c r="L6034" t="n">
        <v>0</v>
      </c>
      <c r="M6034" t="n">
        <v>0</v>
      </c>
      <c r="AC6034" t="n">
        <v>0</v>
      </c>
      <c r="AD6034" t="n">
        <v>0</v>
      </c>
      <c r="AE6034" t="n">
        <v>0</v>
      </c>
      <c r="AF6034" t="n">
        <v>0</v>
      </c>
      <c r="AG6034" t="n">
        <v>0</v>
      </c>
      <c r="AH6034" t="n">
        <v>0</v>
      </c>
      <c r="AI6034" t="n">
        <v>0</v>
      </c>
    </row>
    <row r="6035">
      <c r="A6035" t="inlineStr">
        <is>
          <t>12월</t>
        </is>
      </c>
      <c r="B6035" t="inlineStr">
        <is>
          <t>52주차</t>
        </is>
      </c>
      <c r="C6035" t="e">
        <v>#N/A</v>
      </c>
      <c r="K6035" t="n">
        <v>0</v>
      </c>
      <c r="L6035" t="n">
        <v>0</v>
      </c>
      <c r="M6035" t="n">
        <v>0</v>
      </c>
      <c r="AC6035" t="n">
        <v>0</v>
      </c>
      <c r="AD6035" t="n">
        <v>0</v>
      </c>
      <c r="AE6035" t="n">
        <v>0</v>
      </c>
      <c r="AF6035" t="n">
        <v>0</v>
      </c>
      <c r="AG6035" t="n">
        <v>0</v>
      </c>
      <c r="AH6035" t="n">
        <v>0</v>
      </c>
      <c r="AI6035" t="n">
        <v>0</v>
      </c>
    </row>
    <row r="6036">
      <c r="A6036" t="inlineStr">
        <is>
          <t>12월</t>
        </is>
      </c>
      <c r="B6036" t="inlineStr">
        <is>
          <t>52주차</t>
        </is>
      </c>
      <c r="C6036" t="e">
        <v>#N/A</v>
      </c>
      <c r="K6036" t="n">
        <v>0</v>
      </c>
      <c r="L6036" t="n">
        <v>0</v>
      </c>
      <c r="M6036" t="n">
        <v>0</v>
      </c>
      <c r="AC6036" t="n">
        <v>0</v>
      </c>
      <c r="AD6036" t="n">
        <v>0</v>
      </c>
      <c r="AE6036" t="n">
        <v>0</v>
      </c>
      <c r="AF6036" t="n">
        <v>0</v>
      </c>
      <c r="AG6036" t="n">
        <v>0</v>
      </c>
      <c r="AH6036" t="n">
        <v>0</v>
      </c>
      <c r="AI6036" t="n">
        <v>0</v>
      </c>
    </row>
    <row r="6037">
      <c r="A6037" t="inlineStr">
        <is>
          <t>12월</t>
        </is>
      </c>
      <c r="B6037" t="inlineStr">
        <is>
          <t>52주차</t>
        </is>
      </c>
      <c r="C6037" t="e">
        <v>#N/A</v>
      </c>
      <c r="K6037" t="n">
        <v>0</v>
      </c>
      <c r="L6037" t="n">
        <v>0</v>
      </c>
      <c r="M6037" t="n">
        <v>0</v>
      </c>
      <c r="AC6037" t="n">
        <v>0</v>
      </c>
      <c r="AD6037" t="n">
        <v>0</v>
      </c>
      <c r="AE6037" t="n">
        <v>0</v>
      </c>
      <c r="AF6037" t="n">
        <v>0</v>
      </c>
      <c r="AG6037" t="n">
        <v>0</v>
      </c>
      <c r="AH6037" t="n">
        <v>0</v>
      </c>
    </row>
    <row r="6038">
      <c r="A6038" t="inlineStr">
        <is>
          <t>12월</t>
        </is>
      </c>
      <c r="B6038" t="inlineStr">
        <is>
          <t>52주차</t>
        </is>
      </c>
      <c r="C6038" t="e">
        <v>#N/A</v>
      </c>
      <c r="K6038" t="n">
        <v>0</v>
      </c>
      <c r="L6038" t="n">
        <v>0</v>
      </c>
      <c r="M6038" t="n">
        <v>0</v>
      </c>
      <c r="AC6038" t="n">
        <v>0</v>
      </c>
      <c r="AD6038" t="n">
        <v>0</v>
      </c>
      <c r="AE6038" t="n">
        <v>0</v>
      </c>
      <c r="AF6038" t="n">
        <v>0</v>
      </c>
      <c r="AG6038" t="n">
        <v>0</v>
      </c>
      <c r="AH6038" t="n">
        <v>0</v>
      </c>
    </row>
    <row r="6039">
      <c r="A6039" t="inlineStr">
        <is>
          <t>12월</t>
        </is>
      </c>
      <c r="B6039" t="inlineStr">
        <is>
          <t>52주차</t>
        </is>
      </c>
      <c r="C6039" t="e">
        <v>#N/A</v>
      </c>
      <c r="K6039" t="n">
        <v>0</v>
      </c>
      <c r="L6039" t="n">
        <v>0</v>
      </c>
      <c r="M6039" t="n">
        <v>0</v>
      </c>
      <c r="AC6039" t="n">
        <v>0</v>
      </c>
      <c r="AD6039" t="n">
        <v>0</v>
      </c>
      <c r="AE6039" t="n">
        <v>0</v>
      </c>
      <c r="AF6039" t="n">
        <v>0</v>
      </c>
      <c r="AG6039" t="n">
        <v>0</v>
      </c>
      <c r="AH6039" t="n">
        <v>0</v>
      </c>
      <c r="AI6039" t="n">
        <v>0</v>
      </c>
    </row>
    <row r="6040">
      <c r="A6040" t="inlineStr">
        <is>
          <t>12월</t>
        </is>
      </c>
      <c r="B6040" t="inlineStr">
        <is>
          <t>52주차</t>
        </is>
      </c>
      <c r="C6040" t="e">
        <v>#N/A</v>
      </c>
      <c r="K6040" t="n">
        <v>0</v>
      </c>
      <c r="L6040" t="n">
        <v>0</v>
      </c>
      <c r="M6040" t="n">
        <v>0</v>
      </c>
      <c r="AC6040" t="n">
        <v>0</v>
      </c>
      <c r="AD6040" t="n">
        <v>0</v>
      </c>
      <c r="AE6040" t="n">
        <v>0</v>
      </c>
      <c r="AF6040" t="n">
        <v>0</v>
      </c>
      <c r="AG6040" t="n">
        <v>0</v>
      </c>
      <c r="AH6040" t="n">
        <v>0</v>
      </c>
    </row>
    <row r="6041">
      <c r="A6041" t="inlineStr">
        <is>
          <t>12월</t>
        </is>
      </c>
      <c r="B6041" t="inlineStr">
        <is>
          <t>52주차</t>
        </is>
      </c>
      <c r="C6041" t="e">
        <v>#N/A</v>
      </c>
      <c r="K6041" t="n">
        <v>0</v>
      </c>
      <c r="L6041" t="n">
        <v>0</v>
      </c>
      <c r="M6041" t="n">
        <v>0</v>
      </c>
      <c r="AC6041" t="n">
        <v>0</v>
      </c>
      <c r="AD6041" t="n">
        <v>0</v>
      </c>
      <c r="AE6041" t="n">
        <v>0</v>
      </c>
      <c r="AF6041" t="n">
        <v>0</v>
      </c>
      <c r="AG6041" t="n">
        <v>0</v>
      </c>
      <c r="AH6041" t="n">
        <v>0</v>
      </c>
    </row>
    <row r="6042">
      <c r="A6042" t="inlineStr">
        <is>
          <t>12월</t>
        </is>
      </c>
      <c r="B6042" t="inlineStr">
        <is>
          <t>52주차</t>
        </is>
      </c>
      <c r="C6042" t="e">
        <v>#N/A</v>
      </c>
      <c r="K6042" t="n">
        <v>0</v>
      </c>
      <c r="L6042" t="n">
        <v>0</v>
      </c>
      <c r="M6042" t="n">
        <v>0</v>
      </c>
      <c r="AC6042" t="n">
        <v>0</v>
      </c>
      <c r="AD6042" t="n">
        <v>0</v>
      </c>
      <c r="AE6042" t="n">
        <v>0</v>
      </c>
      <c r="AF6042" t="n">
        <v>0</v>
      </c>
      <c r="AG6042" t="n">
        <v>0</v>
      </c>
      <c r="AH6042" t="n">
        <v>0</v>
      </c>
      <c r="AI6042" t="n">
        <v>0</v>
      </c>
    </row>
    <row r="6043">
      <c r="A6043" t="inlineStr">
        <is>
          <t>12월</t>
        </is>
      </c>
      <c r="B6043" t="inlineStr">
        <is>
          <t>52주차</t>
        </is>
      </c>
      <c r="C6043" t="e">
        <v>#N/A</v>
      </c>
      <c r="K6043" t="n">
        <v>0</v>
      </c>
      <c r="L6043" t="n">
        <v>0</v>
      </c>
      <c r="M6043" t="n">
        <v>0</v>
      </c>
      <c r="AC6043" t="n">
        <v>0</v>
      </c>
      <c r="AD6043" t="n">
        <v>0</v>
      </c>
      <c r="AE6043" t="n">
        <v>0</v>
      </c>
      <c r="AF6043" t="n">
        <v>0</v>
      </c>
      <c r="AG6043" t="n">
        <v>0</v>
      </c>
      <c r="AH6043" t="n">
        <v>0</v>
      </c>
      <c r="AI6043" t="n">
        <v>0</v>
      </c>
    </row>
    <row r="6044">
      <c r="A6044" t="inlineStr">
        <is>
          <t>12월</t>
        </is>
      </c>
      <c r="B6044" t="inlineStr">
        <is>
          <t>52주차</t>
        </is>
      </c>
      <c r="C6044" t="e">
        <v>#N/A</v>
      </c>
      <c r="K6044" t="n">
        <v>0</v>
      </c>
      <c r="L6044" t="n">
        <v>0</v>
      </c>
      <c r="M6044" t="n">
        <v>0</v>
      </c>
      <c r="AC6044" t="n">
        <v>0</v>
      </c>
      <c r="AD6044" t="n">
        <v>0</v>
      </c>
      <c r="AE6044" t="n">
        <v>0</v>
      </c>
      <c r="AF6044" t="n">
        <v>0</v>
      </c>
      <c r="AG6044" t="n">
        <v>0</v>
      </c>
      <c r="AH6044" t="n">
        <v>0</v>
      </c>
      <c r="AI6044" t="n">
        <v>0</v>
      </c>
    </row>
    <row r="6045">
      <c r="A6045" t="inlineStr">
        <is>
          <t>12월</t>
        </is>
      </c>
      <c r="B6045" t="inlineStr">
        <is>
          <t>52주차</t>
        </is>
      </c>
      <c r="C6045" t="e">
        <v>#N/A</v>
      </c>
      <c r="K6045" t="n">
        <v>0</v>
      </c>
      <c r="L6045" t="n">
        <v>0</v>
      </c>
      <c r="M6045" t="n">
        <v>0</v>
      </c>
      <c r="AC6045" t="n">
        <v>0</v>
      </c>
      <c r="AD6045" t="n">
        <v>0</v>
      </c>
      <c r="AE6045" t="n">
        <v>0</v>
      </c>
      <c r="AF6045" t="n">
        <v>0</v>
      </c>
      <c r="AG6045" t="n">
        <v>0</v>
      </c>
      <c r="AH6045" t="n">
        <v>0</v>
      </c>
    </row>
    <row r="6046">
      <c r="A6046" t="inlineStr">
        <is>
          <t>12월</t>
        </is>
      </c>
      <c r="B6046" t="inlineStr">
        <is>
          <t>52주차</t>
        </is>
      </c>
      <c r="C6046" t="e">
        <v>#N/A</v>
      </c>
      <c r="K6046" t="n">
        <v>0</v>
      </c>
      <c r="L6046" t="n">
        <v>0</v>
      </c>
      <c r="M6046" t="n">
        <v>0</v>
      </c>
      <c r="AC6046" t="n">
        <v>0</v>
      </c>
      <c r="AD6046" t="n">
        <v>0</v>
      </c>
      <c r="AE6046" t="n">
        <v>0</v>
      </c>
      <c r="AF6046" t="n">
        <v>0</v>
      </c>
      <c r="AG6046" t="n">
        <v>0</v>
      </c>
      <c r="AH6046" t="n">
        <v>0</v>
      </c>
    </row>
    <row r="6047">
      <c r="A6047" t="inlineStr">
        <is>
          <t>12월</t>
        </is>
      </c>
      <c r="B6047" t="inlineStr">
        <is>
          <t>52주차</t>
        </is>
      </c>
      <c r="C6047" t="e">
        <v>#N/A</v>
      </c>
      <c r="K6047" t="n">
        <v>0</v>
      </c>
      <c r="L6047" t="n">
        <v>0</v>
      </c>
      <c r="M6047" t="n">
        <v>0</v>
      </c>
      <c r="AC6047" t="n">
        <v>0</v>
      </c>
      <c r="AD6047" t="n">
        <v>0</v>
      </c>
      <c r="AE6047" t="n">
        <v>0</v>
      </c>
      <c r="AF6047" t="n">
        <v>0</v>
      </c>
      <c r="AG6047" t="n">
        <v>0</v>
      </c>
      <c r="AH6047" t="n">
        <v>0</v>
      </c>
    </row>
    <row r="6048">
      <c r="A6048" t="inlineStr">
        <is>
          <t>12월</t>
        </is>
      </c>
      <c r="B6048" t="inlineStr">
        <is>
          <t>52주차</t>
        </is>
      </c>
      <c r="C6048" t="e">
        <v>#N/A</v>
      </c>
      <c r="K6048" t="n">
        <v>0</v>
      </c>
      <c r="L6048" t="n">
        <v>0</v>
      </c>
      <c r="M6048" t="n">
        <v>0</v>
      </c>
      <c r="AC6048" t="n">
        <v>0</v>
      </c>
      <c r="AD6048" t="n">
        <v>0</v>
      </c>
      <c r="AE6048" t="n">
        <v>0</v>
      </c>
      <c r="AF6048" t="n">
        <v>0</v>
      </c>
      <c r="AG6048" t="n">
        <v>0</v>
      </c>
      <c r="AH6048" t="n">
        <v>0</v>
      </c>
    </row>
    <row r="6049">
      <c r="A6049" t="inlineStr">
        <is>
          <t>12월</t>
        </is>
      </c>
      <c r="B6049" t="inlineStr">
        <is>
          <t>52주차</t>
        </is>
      </c>
      <c r="C6049" t="e">
        <v>#N/A</v>
      </c>
      <c r="K6049" t="n">
        <v>0</v>
      </c>
      <c r="L6049" t="n">
        <v>0</v>
      </c>
      <c r="M6049" t="n">
        <v>0</v>
      </c>
      <c r="AC6049" t="n">
        <v>0</v>
      </c>
      <c r="AD6049" t="n">
        <v>0</v>
      </c>
      <c r="AE6049" t="n">
        <v>0</v>
      </c>
      <c r="AF6049" t="n">
        <v>0</v>
      </c>
      <c r="AG6049" t="n">
        <v>0</v>
      </c>
      <c r="AH6049" t="n">
        <v>0</v>
      </c>
    </row>
    <row r="6050">
      <c r="A6050" t="inlineStr">
        <is>
          <t>12월</t>
        </is>
      </c>
      <c r="B6050" t="inlineStr">
        <is>
          <t>52주차</t>
        </is>
      </c>
      <c r="C6050" t="e">
        <v>#N/A</v>
      </c>
      <c r="K6050" t="n">
        <v>0</v>
      </c>
      <c r="L6050" t="n">
        <v>0</v>
      </c>
      <c r="M6050" t="n">
        <v>0</v>
      </c>
      <c r="AC6050" t="n">
        <v>0</v>
      </c>
      <c r="AD6050" t="n">
        <v>0</v>
      </c>
      <c r="AE6050" t="n">
        <v>0</v>
      </c>
      <c r="AF6050" t="n">
        <v>0</v>
      </c>
      <c r="AG6050" t="n">
        <v>0</v>
      </c>
      <c r="AH6050" t="n">
        <v>0</v>
      </c>
      <c r="AI6050" t="n">
        <v>0</v>
      </c>
    </row>
    <row r="6051">
      <c r="A6051" t="inlineStr">
        <is>
          <t>12월</t>
        </is>
      </c>
      <c r="B6051" t="inlineStr">
        <is>
          <t>52주차</t>
        </is>
      </c>
      <c r="C6051" t="e">
        <v>#N/A</v>
      </c>
      <c r="K6051" t="n">
        <v>0</v>
      </c>
      <c r="L6051" t="n">
        <v>0</v>
      </c>
      <c r="M6051" t="n">
        <v>0</v>
      </c>
      <c r="AC6051" t="n">
        <v>0</v>
      </c>
      <c r="AD6051" t="n">
        <v>0</v>
      </c>
      <c r="AE6051" t="n">
        <v>0</v>
      </c>
      <c r="AF6051" t="n">
        <v>0</v>
      </c>
      <c r="AG6051" t="n">
        <v>0</v>
      </c>
      <c r="AH6051" t="n">
        <v>0</v>
      </c>
      <c r="AI6051" t="n">
        <v>0</v>
      </c>
    </row>
    <row r="6052">
      <c r="A6052" t="inlineStr">
        <is>
          <t>12월</t>
        </is>
      </c>
      <c r="B6052" t="inlineStr">
        <is>
          <t>52주차</t>
        </is>
      </c>
      <c r="C6052" t="e">
        <v>#N/A</v>
      </c>
      <c r="K6052" t="n">
        <v>0</v>
      </c>
      <c r="L6052" t="n">
        <v>0</v>
      </c>
      <c r="M6052" t="n">
        <v>0</v>
      </c>
      <c r="AC6052" t="n">
        <v>0</v>
      </c>
      <c r="AD6052" t="n">
        <v>0</v>
      </c>
      <c r="AE6052" t="n">
        <v>0</v>
      </c>
      <c r="AF6052" t="n">
        <v>0</v>
      </c>
      <c r="AG6052" t="n">
        <v>0</v>
      </c>
      <c r="AH6052" t="n">
        <v>0</v>
      </c>
      <c r="AI6052" t="n">
        <v>0</v>
      </c>
    </row>
    <row r="6053">
      <c r="A6053" t="inlineStr">
        <is>
          <t>12월</t>
        </is>
      </c>
      <c r="B6053" t="inlineStr">
        <is>
          <t>52주차</t>
        </is>
      </c>
      <c r="C6053" t="e">
        <v>#N/A</v>
      </c>
      <c r="K6053" t="n">
        <v>0</v>
      </c>
      <c r="L6053" t="n">
        <v>0</v>
      </c>
      <c r="M6053" t="n">
        <v>0</v>
      </c>
      <c r="AC6053" t="n">
        <v>0</v>
      </c>
      <c r="AD6053" t="n">
        <v>0</v>
      </c>
      <c r="AE6053" t="n">
        <v>0</v>
      </c>
      <c r="AF6053" t="n">
        <v>0</v>
      </c>
      <c r="AG6053" t="n">
        <v>0</v>
      </c>
      <c r="AH6053" t="n">
        <v>0</v>
      </c>
      <c r="AI6053" t="n">
        <v>0</v>
      </c>
    </row>
    <row r="6054">
      <c r="A6054" t="inlineStr">
        <is>
          <t>12월</t>
        </is>
      </c>
      <c r="B6054" t="inlineStr">
        <is>
          <t>52주차</t>
        </is>
      </c>
      <c r="C6054" t="e">
        <v>#N/A</v>
      </c>
      <c r="K6054" t="n">
        <v>0</v>
      </c>
      <c r="L6054" t="n">
        <v>0</v>
      </c>
      <c r="M6054" t="n">
        <v>0</v>
      </c>
      <c r="AC6054" t="n">
        <v>0</v>
      </c>
      <c r="AD6054" t="n">
        <v>0</v>
      </c>
      <c r="AE6054" t="n">
        <v>0</v>
      </c>
      <c r="AF6054" t="n">
        <v>0</v>
      </c>
      <c r="AG6054" t="n">
        <v>0</v>
      </c>
      <c r="AH6054" t="n">
        <v>0</v>
      </c>
      <c r="AI6054" t="n">
        <v>0</v>
      </c>
    </row>
    <row r="6055">
      <c r="A6055" t="inlineStr">
        <is>
          <t>12월</t>
        </is>
      </c>
      <c r="B6055" t="inlineStr">
        <is>
          <t>52주차</t>
        </is>
      </c>
      <c r="C6055" t="e">
        <v>#N/A</v>
      </c>
      <c r="K6055" t="n">
        <v>0</v>
      </c>
      <c r="L6055" t="n">
        <v>0</v>
      </c>
      <c r="M6055" t="n">
        <v>0</v>
      </c>
      <c r="AC6055" t="n">
        <v>0</v>
      </c>
      <c r="AD6055" t="n">
        <v>0</v>
      </c>
      <c r="AE6055" t="n">
        <v>0</v>
      </c>
      <c r="AF6055" t="n">
        <v>0</v>
      </c>
      <c r="AG6055" t="n">
        <v>0</v>
      </c>
      <c r="AH6055" t="n">
        <v>0</v>
      </c>
      <c r="AI6055" t="n">
        <v>0</v>
      </c>
    </row>
    <row r="6056">
      <c r="A6056" t="inlineStr">
        <is>
          <t>12월</t>
        </is>
      </c>
      <c r="B6056" t="inlineStr">
        <is>
          <t>52주차</t>
        </is>
      </c>
      <c r="C6056" t="e">
        <v>#N/A</v>
      </c>
      <c r="K6056" t="n">
        <v>0</v>
      </c>
      <c r="L6056" t="n">
        <v>0</v>
      </c>
      <c r="M6056" t="n">
        <v>0</v>
      </c>
      <c r="AC6056" t="n">
        <v>0</v>
      </c>
      <c r="AD6056" t="n">
        <v>0</v>
      </c>
      <c r="AE6056" t="n">
        <v>0</v>
      </c>
      <c r="AF6056" t="n">
        <v>0</v>
      </c>
      <c r="AG6056" t="n">
        <v>0</v>
      </c>
      <c r="AH6056" t="n">
        <v>0</v>
      </c>
      <c r="AI6056" t="n">
        <v>0</v>
      </c>
    </row>
    <row r="6057">
      <c r="A6057" t="inlineStr">
        <is>
          <t>12월</t>
        </is>
      </c>
      <c r="B6057" t="inlineStr">
        <is>
          <t>52주차</t>
        </is>
      </c>
      <c r="C6057" t="e">
        <v>#N/A</v>
      </c>
      <c r="K6057" t="n">
        <v>0</v>
      </c>
      <c r="L6057" t="n">
        <v>0</v>
      </c>
      <c r="M6057" t="n">
        <v>0</v>
      </c>
      <c r="AC6057" t="n">
        <v>0</v>
      </c>
      <c r="AD6057" t="n">
        <v>0</v>
      </c>
      <c r="AE6057" t="n">
        <v>0</v>
      </c>
      <c r="AF6057" t="n">
        <v>0</v>
      </c>
      <c r="AG6057" t="n">
        <v>0</v>
      </c>
      <c r="AH6057" t="n">
        <v>0</v>
      </c>
      <c r="AI6057" t="n">
        <v>0</v>
      </c>
    </row>
    <row r="6058">
      <c r="A6058" t="inlineStr">
        <is>
          <t>12월</t>
        </is>
      </c>
      <c r="B6058" t="inlineStr">
        <is>
          <t>52주차</t>
        </is>
      </c>
      <c r="C6058" t="e">
        <v>#N/A</v>
      </c>
      <c r="K6058" t="n">
        <v>0</v>
      </c>
      <c r="L6058" t="n">
        <v>0</v>
      </c>
      <c r="M6058" t="n">
        <v>0</v>
      </c>
      <c r="AC6058" t="n">
        <v>0</v>
      </c>
      <c r="AD6058" t="n">
        <v>0</v>
      </c>
      <c r="AE6058" t="n">
        <v>0</v>
      </c>
      <c r="AF6058" t="n">
        <v>0</v>
      </c>
      <c r="AG6058" t="n">
        <v>0</v>
      </c>
      <c r="AH6058" t="n">
        <v>0</v>
      </c>
      <c r="AI6058" t="n">
        <v>0</v>
      </c>
    </row>
    <row r="6059">
      <c r="A6059" t="inlineStr">
        <is>
          <t>12월</t>
        </is>
      </c>
      <c r="B6059" t="inlineStr">
        <is>
          <t>52주차</t>
        </is>
      </c>
      <c r="C6059" t="e">
        <v>#N/A</v>
      </c>
      <c r="K6059" t="n">
        <v>0</v>
      </c>
      <c r="L6059" t="n">
        <v>0</v>
      </c>
      <c r="M6059" t="n">
        <v>0</v>
      </c>
      <c r="AC6059" t="n">
        <v>0</v>
      </c>
      <c r="AD6059" t="n">
        <v>0</v>
      </c>
      <c r="AE6059" t="n">
        <v>0</v>
      </c>
      <c r="AF6059" t="n">
        <v>0</v>
      </c>
      <c r="AG6059" t="n">
        <v>0</v>
      </c>
      <c r="AH6059" t="n">
        <v>0</v>
      </c>
      <c r="AI6059" t="n">
        <v>0</v>
      </c>
    </row>
    <row r="6060">
      <c r="A6060" t="inlineStr">
        <is>
          <t>12월</t>
        </is>
      </c>
      <c r="B6060" t="inlineStr">
        <is>
          <t>52주차</t>
        </is>
      </c>
      <c r="C6060" t="e">
        <v>#N/A</v>
      </c>
      <c r="K6060" t="n">
        <v>0</v>
      </c>
      <c r="L6060" t="n">
        <v>0</v>
      </c>
      <c r="M6060" t="n">
        <v>0</v>
      </c>
      <c r="AC6060" t="n">
        <v>0</v>
      </c>
      <c r="AD6060" t="n">
        <v>0</v>
      </c>
      <c r="AE6060" t="n">
        <v>0</v>
      </c>
      <c r="AF6060" t="n">
        <v>0</v>
      </c>
      <c r="AG6060" t="n">
        <v>0</v>
      </c>
      <c r="AH6060" t="n">
        <v>0</v>
      </c>
      <c r="AI6060" t="n">
        <v>0</v>
      </c>
    </row>
    <row r="6061">
      <c r="A6061" t="inlineStr">
        <is>
          <t>12월</t>
        </is>
      </c>
      <c r="B6061" t="inlineStr">
        <is>
          <t>52주차</t>
        </is>
      </c>
      <c r="C6061" t="e">
        <v>#N/A</v>
      </c>
      <c r="K6061" t="n">
        <v>0</v>
      </c>
      <c r="L6061" t="n">
        <v>0</v>
      </c>
      <c r="M6061" t="n">
        <v>0</v>
      </c>
      <c r="AC6061" t="n">
        <v>0</v>
      </c>
      <c r="AD6061" t="n">
        <v>0</v>
      </c>
      <c r="AE6061" t="n">
        <v>0</v>
      </c>
      <c r="AF6061" t="n">
        <v>0</v>
      </c>
      <c r="AG6061" t="n">
        <v>0</v>
      </c>
      <c r="AH6061" t="n">
        <v>0</v>
      </c>
      <c r="AI6061" t="n">
        <v>0</v>
      </c>
    </row>
    <row r="6062">
      <c r="A6062" t="inlineStr">
        <is>
          <t>12월</t>
        </is>
      </c>
      <c r="B6062" t="inlineStr">
        <is>
          <t>52주차</t>
        </is>
      </c>
      <c r="C6062" t="e">
        <v>#N/A</v>
      </c>
      <c r="K6062" t="n">
        <v>0</v>
      </c>
      <c r="L6062" t="n">
        <v>0</v>
      </c>
      <c r="M6062" t="n">
        <v>0</v>
      </c>
      <c r="AC6062" t="n">
        <v>0</v>
      </c>
      <c r="AD6062" t="n">
        <v>0</v>
      </c>
      <c r="AE6062" t="n">
        <v>0</v>
      </c>
      <c r="AF6062" t="n">
        <v>0</v>
      </c>
      <c r="AG6062" t="n">
        <v>0</v>
      </c>
      <c r="AH6062" t="n">
        <v>0</v>
      </c>
      <c r="AI6062" t="n">
        <v>0</v>
      </c>
    </row>
    <row r="6063">
      <c r="A6063" t="inlineStr">
        <is>
          <t>12월</t>
        </is>
      </c>
      <c r="B6063" t="inlineStr">
        <is>
          <t>52주차</t>
        </is>
      </c>
      <c r="C6063" t="e">
        <v>#N/A</v>
      </c>
      <c r="K6063" t="n">
        <v>0</v>
      </c>
      <c r="L6063" t="n">
        <v>0</v>
      </c>
      <c r="M6063" t="n">
        <v>0</v>
      </c>
      <c r="AC6063" t="n">
        <v>0</v>
      </c>
      <c r="AD6063" t="n">
        <v>0</v>
      </c>
      <c r="AE6063" t="n">
        <v>0</v>
      </c>
      <c r="AF6063" t="n">
        <v>0</v>
      </c>
      <c r="AG6063" t="n">
        <v>0</v>
      </c>
      <c r="AH6063" t="n">
        <v>0</v>
      </c>
    </row>
    <row r="6064">
      <c r="A6064" t="inlineStr">
        <is>
          <t>12월</t>
        </is>
      </c>
      <c r="B6064" t="inlineStr">
        <is>
          <t>52주차</t>
        </is>
      </c>
      <c r="C6064" t="e">
        <v>#N/A</v>
      </c>
      <c r="K6064" t="n">
        <v>0</v>
      </c>
      <c r="L6064" t="n">
        <v>0</v>
      </c>
      <c r="M6064" t="n">
        <v>0</v>
      </c>
      <c r="AC6064" t="n">
        <v>0</v>
      </c>
      <c r="AD6064" t="n">
        <v>0</v>
      </c>
      <c r="AE6064" t="n">
        <v>0</v>
      </c>
      <c r="AF6064" t="n">
        <v>0</v>
      </c>
      <c r="AG6064" t="n">
        <v>0</v>
      </c>
      <c r="AH6064" t="n">
        <v>0</v>
      </c>
      <c r="AI6064" t="n">
        <v>0</v>
      </c>
    </row>
    <row r="6065">
      <c r="A6065" t="inlineStr">
        <is>
          <t>12월</t>
        </is>
      </c>
      <c r="B6065" t="inlineStr">
        <is>
          <t>52주차</t>
        </is>
      </c>
      <c r="C6065" t="e">
        <v>#N/A</v>
      </c>
      <c r="K6065" t="n">
        <v>0</v>
      </c>
      <c r="L6065" t="n">
        <v>0</v>
      </c>
      <c r="M6065" t="n">
        <v>0</v>
      </c>
      <c r="AC6065" t="n">
        <v>0</v>
      </c>
      <c r="AD6065" t="n">
        <v>0</v>
      </c>
      <c r="AE6065" t="n">
        <v>0</v>
      </c>
      <c r="AF6065" t="n">
        <v>0</v>
      </c>
      <c r="AG6065" t="n">
        <v>0</v>
      </c>
      <c r="AH6065" t="n">
        <v>0</v>
      </c>
      <c r="AI6065" t="n">
        <v>0</v>
      </c>
    </row>
    <row r="6066">
      <c r="A6066" t="inlineStr">
        <is>
          <t>12월</t>
        </is>
      </c>
      <c r="B6066" t="inlineStr">
        <is>
          <t>52주차</t>
        </is>
      </c>
      <c r="C6066" t="e">
        <v>#N/A</v>
      </c>
      <c r="K6066" t="n">
        <v>0</v>
      </c>
      <c r="L6066" t="n">
        <v>0</v>
      </c>
      <c r="M6066" t="n">
        <v>0</v>
      </c>
      <c r="AC6066" t="n">
        <v>0</v>
      </c>
      <c r="AD6066" t="n">
        <v>0</v>
      </c>
      <c r="AE6066" t="n">
        <v>0</v>
      </c>
      <c r="AF6066" t="n">
        <v>0</v>
      </c>
      <c r="AG6066" t="n">
        <v>0</v>
      </c>
      <c r="AH6066" t="n">
        <v>0</v>
      </c>
    </row>
    <row r="6067">
      <c r="A6067" t="inlineStr">
        <is>
          <t>12월</t>
        </is>
      </c>
      <c r="B6067" t="inlineStr">
        <is>
          <t>52주차</t>
        </is>
      </c>
      <c r="C6067" t="e">
        <v>#N/A</v>
      </c>
      <c r="K6067" t="n">
        <v>0</v>
      </c>
      <c r="L6067" t="n">
        <v>0</v>
      </c>
      <c r="M6067" t="n">
        <v>0</v>
      </c>
      <c r="AC6067" t="n">
        <v>0</v>
      </c>
      <c r="AD6067" t="n">
        <v>0</v>
      </c>
      <c r="AE6067" t="n">
        <v>0</v>
      </c>
      <c r="AF6067" t="n">
        <v>0</v>
      </c>
      <c r="AG6067" t="n">
        <v>0</v>
      </c>
      <c r="AH6067" t="n">
        <v>0</v>
      </c>
      <c r="AI6067" t="n">
        <v>0</v>
      </c>
    </row>
    <row r="6068">
      <c r="A6068" t="inlineStr">
        <is>
          <t>12월</t>
        </is>
      </c>
      <c r="B6068" t="inlineStr">
        <is>
          <t>52주차</t>
        </is>
      </c>
      <c r="C6068" t="e">
        <v>#N/A</v>
      </c>
      <c r="K6068" t="n">
        <v>0</v>
      </c>
      <c r="L6068" t="n">
        <v>0</v>
      </c>
      <c r="M6068" t="n">
        <v>0</v>
      </c>
      <c r="AC6068" t="n">
        <v>0</v>
      </c>
      <c r="AD6068" t="n">
        <v>0</v>
      </c>
      <c r="AE6068" t="n">
        <v>0</v>
      </c>
      <c r="AF6068" t="n">
        <v>0</v>
      </c>
      <c r="AG6068" t="n">
        <v>0</v>
      </c>
      <c r="AH6068" t="n">
        <v>0</v>
      </c>
      <c r="AI6068" t="n">
        <v>0</v>
      </c>
    </row>
    <row r="6069">
      <c r="A6069" t="inlineStr">
        <is>
          <t>12월</t>
        </is>
      </c>
      <c r="B6069" t="inlineStr">
        <is>
          <t>52주차</t>
        </is>
      </c>
      <c r="C6069" t="e">
        <v>#N/A</v>
      </c>
      <c r="K6069" t="n">
        <v>0</v>
      </c>
      <c r="L6069" t="n">
        <v>0</v>
      </c>
      <c r="M6069" t="n">
        <v>0</v>
      </c>
      <c r="AC6069" t="n">
        <v>0</v>
      </c>
      <c r="AD6069" t="n">
        <v>0</v>
      </c>
      <c r="AE6069" t="n">
        <v>0</v>
      </c>
      <c r="AF6069" t="n">
        <v>0</v>
      </c>
      <c r="AG6069" t="n">
        <v>0</v>
      </c>
      <c r="AH6069" t="n">
        <v>0</v>
      </c>
      <c r="AI6069" t="n">
        <v>0</v>
      </c>
    </row>
    <row r="6070">
      <c r="A6070" t="inlineStr">
        <is>
          <t>12월</t>
        </is>
      </c>
      <c r="B6070" t="inlineStr">
        <is>
          <t>52주차</t>
        </is>
      </c>
      <c r="C6070" t="e">
        <v>#N/A</v>
      </c>
      <c r="K6070" t="n">
        <v>0</v>
      </c>
      <c r="L6070" t="n">
        <v>0</v>
      </c>
      <c r="M6070" t="n">
        <v>0</v>
      </c>
      <c r="AC6070" t="n">
        <v>0</v>
      </c>
      <c r="AD6070" t="n">
        <v>0</v>
      </c>
      <c r="AE6070" t="n">
        <v>0</v>
      </c>
      <c r="AF6070" t="n">
        <v>0</v>
      </c>
      <c r="AG6070" t="n">
        <v>0</v>
      </c>
      <c r="AH6070" t="n">
        <v>0</v>
      </c>
    </row>
    <row r="6071">
      <c r="A6071" t="inlineStr">
        <is>
          <t>12월</t>
        </is>
      </c>
      <c r="B6071" t="inlineStr">
        <is>
          <t>52주차</t>
        </is>
      </c>
      <c r="C6071" t="e">
        <v>#N/A</v>
      </c>
      <c r="K6071" t="n">
        <v>0</v>
      </c>
      <c r="L6071" t="n">
        <v>0</v>
      </c>
      <c r="M6071" t="n">
        <v>0</v>
      </c>
      <c r="AC6071" t="n">
        <v>0</v>
      </c>
      <c r="AD6071" t="n">
        <v>0</v>
      </c>
      <c r="AE6071" t="n">
        <v>0</v>
      </c>
      <c r="AF6071" t="n">
        <v>0</v>
      </c>
      <c r="AG6071" t="n">
        <v>0</v>
      </c>
      <c r="AH6071" t="n">
        <v>0</v>
      </c>
    </row>
    <row r="6072">
      <c r="A6072" t="inlineStr">
        <is>
          <t>12월</t>
        </is>
      </c>
      <c r="B6072" t="inlineStr">
        <is>
          <t>52주차</t>
        </is>
      </c>
      <c r="C6072" t="e">
        <v>#N/A</v>
      </c>
      <c r="K6072" t="n">
        <v>0</v>
      </c>
      <c r="L6072" t="n">
        <v>0</v>
      </c>
      <c r="M6072" t="n">
        <v>0</v>
      </c>
      <c r="AC6072" t="n">
        <v>0</v>
      </c>
      <c r="AD6072" t="n">
        <v>0</v>
      </c>
      <c r="AE6072" t="n">
        <v>0</v>
      </c>
      <c r="AF6072" t="n">
        <v>0</v>
      </c>
      <c r="AG6072" t="n">
        <v>0</v>
      </c>
      <c r="AH6072" t="n">
        <v>0</v>
      </c>
    </row>
    <row r="6073">
      <c r="A6073" t="inlineStr">
        <is>
          <t>12월</t>
        </is>
      </c>
      <c r="B6073" t="inlineStr">
        <is>
          <t>52주차</t>
        </is>
      </c>
      <c r="C6073" t="e">
        <v>#N/A</v>
      </c>
      <c r="K6073" t="n">
        <v>0</v>
      </c>
      <c r="L6073" t="n">
        <v>0</v>
      </c>
      <c r="M6073" t="n">
        <v>0</v>
      </c>
      <c r="AC6073" t="n">
        <v>0</v>
      </c>
      <c r="AD6073" t="n">
        <v>0</v>
      </c>
      <c r="AE6073" t="n">
        <v>0</v>
      </c>
      <c r="AF6073" t="n">
        <v>0</v>
      </c>
      <c r="AG6073" t="n">
        <v>0</v>
      </c>
      <c r="AH6073" t="n">
        <v>0</v>
      </c>
      <c r="AI6073" t="n">
        <v>0</v>
      </c>
    </row>
    <row r="6074">
      <c r="A6074" t="inlineStr">
        <is>
          <t>12월</t>
        </is>
      </c>
      <c r="B6074" t="inlineStr">
        <is>
          <t>52주차</t>
        </is>
      </c>
      <c r="C6074" t="e">
        <v>#N/A</v>
      </c>
      <c r="K6074" t="n">
        <v>0</v>
      </c>
      <c r="L6074" t="n">
        <v>0</v>
      </c>
      <c r="M6074" t="n">
        <v>0</v>
      </c>
      <c r="AC6074" t="n">
        <v>0</v>
      </c>
      <c r="AD6074" t="n">
        <v>0</v>
      </c>
      <c r="AE6074" t="n">
        <v>0</v>
      </c>
      <c r="AF6074" t="n">
        <v>0</v>
      </c>
      <c r="AG6074" t="n">
        <v>0</v>
      </c>
      <c r="AH6074" t="n">
        <v>0</v>
      </c>
    </row>
    <row r="6075">
      <c r="A6075" t="inlineStr">
        <is>
          <t>12월</t>
        </is>
      </c>
      <c r="B6075" t="inlineStr">
        <is>
          <t>52주차</t>
        </is>
      </c>
      <c r="C6075" t="e">
        <v>#N/A</v>
      </c>
      <c r="K6075" t="n">
        <v>0</v>
      </c>
      <c r="L6075" t="n">
        <v>0</v>
      </c>
      <c r="M6075" t="n">
        <v>0</v>
      </c>
      <c r="AC6075" t="n">
        <v>0</v>
      </c>
      <c r="AD6075" t="n">
        <v>0</v>
      </c>
      <c r="AE6075" t="n">
        <v>0</v>
      </c>
      <c r="AF6075" t="n">
        <v>0</v>
      </c>
      <c r="AG6075" t="n">
        <v>0</v>
      </c>
      <c r="AH6075" t="n">
        <v>0</v>
      </c>
      <c r="AI6075" t="n">
        <v>0</v>
      </c>
    </row>
    <row r="6076">
      <c r="A6076" t="inlineStr">
        <is>
          <t>12월</t>
        </is>
      </c>
      <c r="B6076" t="inlineStr">
        <is>
          <t>52주차</t>
        </is>
      </c>
      <c r="C6076" t="e">
        <v>#N/A</v>
      </c>
      <c r="K6076" t="n">
        <v>0</v>
      </c>
      <c r="L6076" t="n">
        <v>0</v>
      </c>
      <c r="M6076" t="n">
        <v>0</v>
      </c>
      <c r="AC6076" t="n">
        <v>0</v>
      </c>
      <c r="AD6076" t="n">
        <v>0</v>
      </c>
      <c r="AE6076" t="n">
        <v>0</v>
      </c>
      <c r="AF6076" t="n">
        <v>0</v>
      </c>
      <c r="AG6076" t="n">
        <v>0</v>
      </c>
      <c r="AH6076" t="n">
        <v>0</v>
      </c>
    </row>
    <row r="6077">
      <c r="A6077" t="inlineStr">
        <is>
          <t>12월</t>
        </is>
      </c>
      <c r="B6077" t="inlineStr">
        <is>
          <t>52주차</t>
        </is>
      </c>
      <c r="C6077" t="e">
        <v>#N/A</v>
      </c>
      <c r="K6077" t="n">
        <v>0</v>
      </c>
      <c r="L6077" t="n">
        <v>0</v>
      </c>
      <c r="M6077" t="n">
        <v>0</v>
      </c>
      <c r="AC6077" t="n">
        <v>0</v>
      </c>
      <c r="AD6077" t="n">
        <v>0</v>
      </c>
      <c r="AE6077" t="n">
        <v>0</v>
      </c>
      <c r="AF6077" t="n">
        <v>0</v>
      </c>
      <c r="AG6077" t="n">
        <v>0</v>
      </c>
      <c r="AH6077" t="n">
        <v>0</v>
      </c>
      <c r="AI6077" t="n">
        <v>0</v>
      </c>
    </row>
    <row r="6078">
      <c r="A6078" t="inlineStr">
        <is>
          <t>12월</t>
        </is>
      </c>
      <c r="B6078" t="inlineStr">
        <is>
          <t>52주차</t>
        </is>
      </c>
      <c r="C6078" t="e">
        <v>#N/A</v>
      </c>
      <c r="K6078" t="n">
        <v>0</v>
      </c>
      <c r="L6078" t="n">
        <v>0</v>
      </c>
      <c r="M6078" t="n">
        <v>0</v>
      </c>
      <c r="AC6078" t="n">
        <v>0</v>
      </c>
      <c r="AD6078" t="n">
        <v>0</v>
      </c>
      <c r="AE6078" t="n">
        <v>0</v>
      </c>
      <c r="AF6078" t="n">
        <v>0</v>
      </c>
      <c r="AG6078" t="n">
        <v>0</v>
      </c>
      <c r="AH6078" t="n">
        <v>0</v>
      </c>
    </row>
    <row r="6079">
      <c r="A6079" t="inlineStr">
        <is>
          <t>12월</t>
        </is>
      </c>
      <c r="B6079" t="inlineStr">
        <is>
          <t>52주차</t>
        </is>
      </c>
      <c r="C6079" t="e">
        <v>#N/A</v>
      </c>
      <c r="K6079" t="n">
        <v>0</v>
      </c>
      <c r="L6079" t="n">
        <v>0</v>
      </c>
      <c r="M6079" t="n">
        <v>0</v>
      </c>
      <c r="AC6079" t="n">
        <v>0</v>
      </c>
      <c r="AD6079" t="n">
        <v>0</v>
      </c>
      <c r="AE6079" t="n">
        <v>0</v>
      </c>
      <c r="AF6079" t="n">
        <v>0</v>
      </c>
      <c r="AG6079" t="n">
        <v>0</v>
      </c>
      <c r="AH6079" t="n">
        <v>0</v>
      </c>
    </row>
    <row r="6080">
      <c r="A6080" t="inlineStr">
        <is>
          <t>12월</t>
        </is>
      </c>
      <c r="B6080" t="inlineStr">
        <is>
          <t>52주차</t>
        </is>
      </c>
      <c r="C6080" t="e">
        <v>#N/A</v>
      </c>
      <c r="K6080" t="n">
        <v>0</v>
      </c>
      <c r="L6080" t="n">
        <v>0</v>
      </c>
      <c r="M6080" t="n">
        <v>0</v>
      </c>
      <c r="AC6080" t="n">
        <v>0</v>
      </c>
      <c r="AD6080" t="n">
        <v>0</v>
      </c>
      <c r="AE6080" t="n">
        <v>0</v>
      </c>
      <c r="AF6080" t="n">
        <v>0</v>
      </c>
      <c r="AG6080" t="n">
        <v>0</v>
      </c>
      <c r="AH6080" t="n">
        <v>0</v>
      </c>
      <c r="AI6080" t="n">
        <v>0</v>
      </c>
    </row>
    <row r="6081">
      <c r="A6081" t="inlineStr">
        <is>
          <t>12월</t>
        </is>
      </c>
      <c r="B6081" t="inlineStr">
        <is>
          <t>52주차</t>
        </is>
      </c>
      <c r="C6081" t="e">
        <v>#N/A</v>
      </c>
      <c r="K6081" t="n">
        <v>0</v>
      </c>
      <c r="L6081" t="n">
        <v>0</v>
      </c>
      <c r="M6081" t="n">
        <v>0</v>
      </c>
      <c r="AC6081" t="n">
        <v>0</v>
      </c>
      <c r="AD6081" t="n">
        <v>0</v>
      </c>
      <c r="AE6081" t="n">
        <v>0</v>
      </c>
      <c r="AF6081" t="n">
        <v>0</v>
      </c>
      <c r="AG6081" t="n">
        <v>0</v>
      </c>
      <c r="AH6081" t="n">
        <v>0</v>
      </c>
      <c r="AI6081" t="n">
        <v>0</v>
      </c>
    </row>
    <row r="6082">
      <c r="A6082" t="inlineStr">
        <is>
          <t>12월</t>
        </is>
      </c>
      <c r="B6082" t="inlineStr">
        <is>
          <t>52주차</t>
        </is>
      </c>
      <c r="C6082" t="e">
        <v>#N/A</v>
      </c>
      <c r="K6082" t="n">
        <v>0</v>
      </c>
      <c r="L6082" t="n">
        <v>0</v>
      </c>
      <c r="M6082" t="n">
        <v>0</v>
      </c>
      <c r="AC6082" t="n">
        <v>0</v>
      </c>
      <c r="AD6082" t="n">
        <v>0</v>
      </c>
      <c r="AE6082" t="n">
        <v>0</v>
      </c>
      <c r="AF6082" t="n">
        <v>0</v>
      </c>
      <c r="AG6082" t="n">
        <v>0</v>
      </c>
      <c r="AH6082" t="n">
        <v>0</v>
      </c>
      <c r="AI6082" t="n">
        <v>0</v>
      </c>
    </row>
    <row r="6083">
      <c r="A6083" t="inlineStr">
        <is>
          <t>12월</t>
        </is>
      </c>
      <c r="B6083" t="inlineStr">
        <is>
          <t>52주차</t>
        </is>
      </c>
      <c r="C6083" t="e">
        <v>#N/A</v>
      </c>
      <c r="K6083" t="n">
        <v>0</v>
      </c>
      <c r="L6083" t="n">
        <v>0</v>
      </c>
      <c r="M6083" t="n">
        <v>0</v>
      </c>
      <c r="AC6083" t="n">
        <v>0</v>
      </c>
      <c r="AD6083" t="n">
        <v>0</v>
      </c>
      <c r="AE6083" t="n">
        <v>0</v>
      </c>
      <c r="AF6083" t="n">
        <v>0</v>
      </c>
      <c r="AG6083" t="n">
        <v>0</v>
      </c>
      <c r="AH6083" t="n">
        <v>0</v>
      </c>
      <c r="AI6083" t="n">
        <v>0</v>
      </c>
    </row>
    <row r="6084">
      <c r="A6084" t="inlineStr">
        <is>
          <t>12월</t>
        </is>
      </c>
      <c r="B6084" t="inlineStr">
        <is>
          <t>52주차</t>
        </is>
      </c>
      <c r="C6084" t="e">
        <v>#N/A</v>
      </c>
      <c r="K6084" t="n">
        <v>0</v>
      </c>
      <c r="L6084" t="n">
        <v>0</v>
      </c>
      <c r="M6084" t="n">
        <v>0</v>
      </c>
      <c r="AC6084" t="n">
        <v>0</v>
      </c>
      <c r="AD6084" t="n">
        <v>0</v>
      </c>
      <c r="AE6084" t="n">
        <v>0</v>
      </c>
      <c r="AF6084" t="n">
        <v>0</v>
      </c>
      <c r="AG6084" t="n">
        <v>0</v>
      </c>
      <c r="AH6084" t="n">
        <v>0</v>
      </c>
      <c r="AI6084" t="n">
        <v>0</v>
      </c>
    </row>
    <row r="6085">
      <c r="A6085" t="inlineStr">
        <is>
          <t>12월</t>
        </is>
      </c>
      <c r="B6085" t="inlineStr">
        <is>
          <t>52주차</t>
        </is>
      </c>
      <c r="C6085" t="e">
        <v>#N/A</v>
      </c>
      <c r="K6085" t="n">
        <v>0</v>
      </c>
      <c r="L6085" t="n">
        <v>0</v>
      </c>
      <c r="M6085" t="n">
        <v>0</v>
      </c>
      <c r="AC6085" t="n">
        <v>0</v>
      </c>
      <c r="AD6085" t="n">
        <v>0</v>
      </c>
      <c r="AE6085" t="n">
        <v>0</v>
      </c>
      <c r="AF6085" t="n">
        <v>0</v>
      </c>
      <c r="AG6085" t="n">
        <v>0</v>
      </c>
      <c r="AH6085" t="n">
        <v>0</v>
      </c>
      <c r="AI6085" t="n">
        <v>0</v>
      </c>
    </row>
    <row r="6086">
      <c r="A6086" t="inlineStr">
        <is>
          <t>12월</t>
        </is>
      </c>
      <c r="B6086" t="inlineStr">
        <is>
          <t>52주차</t>
        </is>
      </c>
      <c r="C6086" t="e">
        <v>#N/A</v>
      </c>
      <c r="K6086" t="n">
        <v>0</v>
      </c>
      <c r="L6086" t="n">
        <v>0</v>
      </c>
      <c r="M6086" t="n">
        <v>0</v>
      </c>
      <c r="AC6086" t="n">
        <v>0</v>
      </c>
      <c r="AD6086" t="n">
        <v>0</v>
      </c>
      <c r="AE6086" t="n">
        <v>0</v>
      </c>
      <c r="AF6086" t="n">
        <v>0</v>
      </c>
      <c r="AG6086" t="n">
        <v>0</v>
      </c>
      <c r="AH6086" t="n">
        <v>0</v>
      </c>
      <c r="AI6086" t="n">
        <v>0</v>
      </c>
    </row>
    <row r="6087">
      <c r="A6087" t="inlineStr">
        <is>
          <t>12월</t>
        </is>
      </c>
      <c r="B6087" t="inlineStr">
        <is>
          <t>52주차</t>
        </is>
      </c>
      <c r="C6087" t="e">
        <v>#N/A</v>
      </c>
      <c r="K6087" t="n">
        <v>0</v>
      </c>
      <c r="L6087" t="n">
        <v>0</v>
      </c>
      <c r="M6087" t="n">
        <v>0</v>
      </c>
      <c r="AC6087" t="n">
        <v>0</v>
      </c>
      <c r="AD6087" t="n">
        <v>0</v>
      </c>
      <c r="AE6087" t="n">
        <v>0</v>
      </c>
      <c r="AF6087" t="n">
        <v>0</v>
      </c>
      <c r="AG6087" t="n">
        <v>0</v>
      </c>
      <c r="AH6087" t="n">
        <v>0</v>
      </c>
      <c r="AI6087" t="n">
        <v>0</v>
      </c>
    </row>
    <row r="6088">
      <c r="A6088" t="inlineStr">
        <is>
          <t>12월</t>
        </is>
      </c>
      <c r="B6088" t="inlineStr">
        <is>
          <t>52주차</t>
        </is>
      </c>
      <c r="C6088" t="e">
        <v>#N/A</v>
      </c>
      <c r="K6088" t="n">
        <v>0</v>
      </c>
      <c r="L6088" t="n">
        <v>0</v>
      </c>
      <c r="M6088" t="n">
        <v>0</v>
      </c>
      <c r="AC6088" t="n">
        <v>0</v>
      </c>
      <c r="AD6088" t="n">
        <v>0</v>
      </c>
      <c r="AE6088" t="n">
        <v>0</v>
      </c>
      <c r="AF6088" t="n">
        <v>0</v>
      </c>
      <c r="AG6088" t="n">
        <v>0</v>
      </c>
      <c r="AH6088" t="n">
        <v>0</v>
      </c>
      <c r="AI6088" t="n">
        <v>0</v>
      </c>
    </row>
    <row r="6089">
      <c r="A6089" t="inlineStr">
        <is>
          <t>12월</t>
        </is>
      </c>
      <c r="B6089" t="inlineStr">
        <is>
          <t>52주차</t>
        </is>
      </c>
      <c r="C6089" t="e">
        <v>#N/A</v>
      </c>
      <c r="K6089" t="n">
        <v>0</v>
      </c>
      <c r="L6089" t="n">
        <v>0</v>
      </c>
      <c r="M6089" t="n">
        <v>0</v>
      </c>
      <c r="AC6089" t="n">
        <v>0</v>
      </c>
      <c r="AD6089" t="n">
        <v>0</v>
      </c>
      <c r="AE6089" t="n">
        <v>0</v>
      </c>
      <c r="AF6089" t="n">
        <v>0</v>
      </c>
      <c r="AG6089" t="n">
        <v>0</v>
      </c>
      <c r="AH6089" t="n">
        <v>0</v>
      </c>
      <c r="AI6089" t="n">
        <v>0</v>
      </c>
    </row>
    <row r="6090">
      <c r="A6090" t="inlineStr">
        <is>
          <t>12월</t>
        </is>
      </c>
      <c r="B6090" t="inlineStr">
        <is>
          <t>52주차</t>
        </is>
      </c>
      <c r="C6090" t="e">
        <v>#N/A</v>
      </c>
      <c r="K6090" t="n">
        <v>0</v>
      </c>
      <c r="L6090" t="n">
        <v>0</v>
      </c>
      <c r="M6090" t="n">
        <v>0</v>
      </c>
      <c r="AC6090" t="n">
        <v>0</v>
      </c>
      <c r="AD6090" t="n">
        <v>0</v>
      </c>
      <c r="AE6090" t="n">
        <v>0</v>
      </c>
      <c r="AF6090" t="n">
        <v>0</v>
      </c>
      <c r="AG6090" t="n">
        <v>0</v>
      </c>
      <c r="AH6090" t="n">
        <v>0</v>
      </c>
      <c r="AI6090" t="n">
        <v>0</v>
      </c>
    </row>
    <row r="6091">
      <c r="A6091" t="inlineStr">
        <is>
          <t>12월</t>
        </is>
      </c>
      <c r="B6091" t="inlineStr">
        <is>
          <t>52주차</t>
        </is>
      </c>
      <c r="C6091" t="e">
        <v>#N/A</v>
      </c>
      <c r="K6091" t="n">
        <v>0</v>
      </c>
      <c r="L6091" t="n">
        <v>0</v>
      </c>
      <c r="M6091" t="n">
        <v>0</v>
      </c>
      <c r="AC6091" t="n">
        <v>0</v>
      </c>
      <c r="AD6091" t="n">
        <v>0</v>
      </c>
      <c r="AE6091" t="n">
        <v>0</v>
      </c>
      <c r="AF6091" t="n">
        <v>0</v>
      </c>
      <c r="AG6091" t="n">
        <v>0</v>
      </c>
      <c r="AH6091" t="n">
        <v>0</v>
      </c>
      <c r="AI6091" t="n">
        <v>0</v>
      </c>
    </row>
    <row r="6092">
      <c r="A6092" t="inlineStr">
        <is>
          <t>12월</t>
        </is>
      </c>
      <c r="B6092" t="inlineStr">
        <is>
          <t>52주차</t>
        </is>
      </c>
      <c r="C6092" t="e">
        <v>#N/A</v>
      </c>
      <c r="K6092" t="n">
        <v>0</v>
      </c>
      <c r="L6092" t="n">
        <v>0</v>
      </c>
      <c r="M6092" t="n">
        <v>0</v>
      </c>
      <c r="AC6092" t="n">
        <v>0</v>
      </c>
      <c r="AD6092" t="n">
        <v>0</v>
      </c>
      <c r="AE6092" t="n">
        <v>0</v>
      </c>
      <c r="AF6092" t="n">
        <v>0</v>
      </c>
      <c r="AG6092" t="n">
        <v>0</v>
      </c>
      <c r="AH6092" t="n">
        <v>0</v>
      </c>
      <c r="AI6092" t="n">
        <v>0</v>
      </c>
    </row>
    <row r="6093">
      <c r="A6093" t="inlineStr">
        <is>
          <t>12월</t>
        </is>
      </c>
      <c r="B6093" t="inlineStr">
        <is>
          <t>52주차</t>
        </is>
      </c>
      <c r="C6093" t="e">
        <v>#N/A</v>
      </c>
      <c r="K6093" t="n">
        <v>0</v>
      </c>
      <c r="L6093" t="n">
        <v>0</v>
      </c>
      <c r="M6093" t="n">
        <v>0</v>
      </c>
      <c r="AC6093" t="n">
        <v>0</v>
      </c>
      <c r="AD6093" t="n">
        <v>0</v>
      </c>
      <c r="AE6093" t="n">
        <v>0</v>
      </c>
      <c r="AF6093" t="n">
        <v>0</v>
      </c>
      <c r="AG6093" t="n">
        <v>0</v>
      </c>
      <c r="AH6093" t="n">
        <v>0</v>
      </c>
      <c r="AI6093" t="n">
        <v>0</v>
      </c>
    </row>
    <row r="6094">
      <c r="A6094" t="inlineStr">
        <is>
          <t>12월</t>
        </is>
      </c>
      <c r="B6094" t="inlineStr">
        <is>
          <t>52주차</t>
        </is>
      </c>
      <c r="C6094" t="e">
        <v>#N/A</v>
      </c>
      <c r="K6094" t="n">
        <v>0</v>
      </c>
      <c r="L6094" t="n">
        <v>0</v>
      </c>
      <c r="M6094" t="n">
        <v>0</v>
      </c>
      <c r="AC6094" t="n">
        <v>0</v>
      </c>
      <c r="AD6094" t="n">
        <v>0</v>
      </c>
      <c r="AE6094" t="n">
        <v>0</v>
      </c>
      <c r="AF6094" t="n">
        <v>0</v>
      </c>
      <c r="AG6094" t="n">
        <v>0</v>
      </c>
      <c r="AH6094" t="n">
        <v>0</v>
      </c>
      <c r="AI6094" t="n">
        <v>0</v>
      </c>
    </row>
    <row r="6095">
      <c r="A6095" t="inlineStr">
        <is>
          <t>12월</t>
        </is>
      </c>
      <c r="B6095" t="inlineStr">
        <is>
          <t>52주차</t>
        </is>
      </c>
      <c r="C6095" t="e">
        <v>#N/A</v>
      </c>
      <c r="K6095" t="n">
        <v>0</v>
      </c>
      <c r="L6095" t="n">
        <v>0</v>
      </c>
      <c r="M6095" t="n">
        <v>0</v>
      </c>
      <c r="AC6095" t="n">
        <v>0</v>
      </c>
      <c r="AD6095" t="n">
        <v>0</v>
      </c>
      <c r="AE6095" t="n">
        <v>0</v>
      </c>
      <c r="AF6095" t="n">
        <v>0</v>
      </c>
      <c r="AG6095" t="n">
        <v>0</v>
      </c>
      <c r="AH6095" t="n">
        <v>0</v>
      </c>
    </row>
    <row r="6096">
      <c r="A6096" t="inlineStr">
        <is>
          <t>12월</t>
        </is>
      </c>
      <c r="B6096" t="inlineStr">
        <is>
          <t>52주차</t>
        </is>
      </c>
      <c r="C6096" t="e">
        <v>#N/A</v>
      </c>
      <c r="K6096" t="n">
        <v>0</v>
      </c>
      <c r="L6096" t="n">
        <v>0</v>
      </c>
      <c r="M6096" t="n">
        <v>0</v>
      </c>
      <c r="AC6096" t="n">
        <v>0</v>
      </c>
      <c r="AD6096" t="n">
        <v>0</v>
      </c>
      <c r="AE6096" t="n">
        <v>0</v>
      </c>
      <c r="AF6096" t="n">
        <v>0</v>
      </c>
      <c r="AG6096" t="n">
        <v>0</v>
      </c>
      <c r="AH6096" t="n">
        <v>0</v>
      </c>
    </row>
    <row r="6097">
      <c r="A6097" t="inlineStr">
        <is>
          <t>12월</t>
        </is>
      </c>
      <c r="B6097" t="inlineStr">
        <is>
          <t>52주차</t>
        </is>
      </c>
      <c r="C6097" t="e">
        <v>#N/A</v>
      </c>
      <c r="K6097" t="n">
        <v>0</v>
      </c>
      <c r="L6097" t="n">
        <v>0</v>
      </c>
      <c r="M6097" t="n">
        <v>0</v>
      </c>
      <c r="AC6097" t="n">
        <v>0</v>
      </c>
      <c r="AD6097" t="n">
        <v>0</v>
      </c>
      <c r="AE6097" t="n">
        <v>0</v>
      </c>
      <c r="AF6097" t="n">
        <v>0</v>
      </c>
      <c r="AG6097" t="n">
        <v>0</v>
      </c>
      <c r="AH6097" t="n">
        <v>0</v>
      </c>
    </row>
    <row r="6098">
      <c r="A6098" t="inlineStr">
        <is>
          <t>12월</t>
        </is>
      </c>
      <c r="B6098" t="inlineStr">
        <is>
          <t>52주차</t>
        </is>
      </c>
      <c r="C6098" t="e">
        <v>#N/A</v>
      </c>
      <c r="K6098" t="n">
        <v>0</v>
      </c>
      <c r="L6098" t="n">
        <v>0</v>
      </c>
      <c r="M6098" t="n">
        <v>0</v>
      </c>
      <c r="AC6098" t="n">
        <v>0</v>
      </c>
      <c r="AD6098" t="n">
        <v>0</v>
      </c>
      <c r="AE6098" t="n">
        <v>0</v>
      </c>
      <c r="AF6098" t="n">
        <v>0</v>
      </c>
      <c r="AG6098" t="n">
        <v>0</v>
      </c>
      <c r="AH6098" t="n">
        <v>0</v>
      </c>
    </row>
    <row r="6099">
      <c r="A6099" t="inlineStr">
        <is>
          <t>12월</t>
        </is>
      </c>
      <c r="B6099" t="inlineStr">
        <is>
          <t>52주차</t>
        </is>
      </c>
      <c r="C6099" t="e">
        <v>#N/A</v>
      </c>
      <c r="K6099" t="n">
        <v>0</v>
      </c>
      <c r="L6099" t="n">
        <v>0</v>
      </c>
      <c r="M6099" t="n">
        <v>0</v>
      </c>
      <c r="AC6099" t="n">
        <v>0</v>
      </c>
      <c r="AD6099" t="n">
        <v>0</v>
      </c>
      <c r="AE6099" t="n">
        <v>0</v>
      </c>
      <c r="AF6099" t="n">
        <v>0</v>
      </c>
      <c r="AG6099" t="n">
        <v>0</v>
      </c>
      <c r="AH6099" t="n">
        <v>0</v>
      </c>
    </row>
    <row r="6100">
      <c r="A6100" t="inlineStr">
        <is>
          <t>12월</t>
        </is>
      </c>
      <c r="B6100" t="inlineStr">
        <is>
          <t>52주차</t>
        </is>
      </c>
      <c r="C6100" t="e">
        <v>#N/A</v>
      </c>
      <c r="K6100" t="n">
        <v>0</v>
      </c>
      <c r="L6100" t="n">
        <v>0</v>
      </c>
      <c r="M6100" t="n">
        <v>0</v>
      </c>
      <c r="AC6100" t="n">
        <v>0</v>
      </c>
      <c r="AD6100" t="n">
        <v>0</v>
      </c>
      <c r="AE6100" t="n">
        <v>0</v>
      </c>
      <c r="AF6100" t="n">
        <v>0</v>
      </c>
      <c r="AG6100" t="n">
        <v>0</v>
      </c>
      <c r="AH6100" t="n">
        <v>0</v>
      </c>
    </row>
    <row r="6101">
      <c r="A6101" t="inlineStr">
        <is>
          <t>12월</t>
        </is>
      </c>
      <c r="B6101" t="inlineStr">
        <is>
          <t>52주차</t>
        </is>
      </c>
      <c r="C6101" t="e">
        <v>#N/A</v>
      </c>
      <c r="K6101" t="n">
        <v>0</v>
      </c>
      <c r="L6101" t="n">
        <v>0</v>
      </c>
      <c r="M6101" t="n">
        <v>0</v>
      </c>
      <c r="AC6101" t="n">
        <v>0</v>
      </c>
      <c r="AD6101" t="n">
        <v>0</v>
      </c>
      <c r="AE6101" t="n">
        <v>0</v>
      </c>
      <c r="AF6101" t="n">
        <v>0</v>
      </c>
      <c r="AG6101" t="n">
        <v>0</v>
      </c>
      <c r="AH6101" t="n">
        <v>0</v>
      </c>
    </row>
    <row r="6102">
      <c r="A6102" t="inlineStr">
        <is>
          <t>12월</t>
        </is>
      </c>
      <c r="B6102" t="inlineStr">
        <is>
          <t>52주차</t>
        </is>
      </c>
      <c r="C6102" t="e">
        <v>#N/A</v>
      </c>
      <c r="K6102" t="n">
        <v>0</v>
      </c>
      <c r="L6102" t="n">
        <v>0</v>
      </c>
      <c r="M6102" t="n">
        <v>0</v>
      </c>
      <c r="AC6102" t="n">
        <v>0</v>
      </c>
      <c r="AD6102" t="n">
        <v>0</v>
      </c>
      <c r="AE6102" t="n">
        <v>0</v>
      </c>
      <c r="AF6102" t="n">
        <v>0</v>
      </c>
      <c r="AG6102" t="n">
        <v>0</v>
      </c>
      <c r="AH6102" t="n">
        <v>0</v>
      </c>
    </row>
    <row r="6103">
      <c r="A6103" t="inlineStr">
        <is>
          <t>12월</t>
        </is>
      </c>
      <c r="B6103" t="inlineStr">
        <is>
          <t>52주차</t>
        </is>
      </c>
      <c r="C6103" t="e">
        <v>#N/A</v>
      </c>
      <c r="K6103" t="n">
        <v>0</v>
      </c>
      <c r="L6103" t="n">
        <v>0</v>
      </c>
      <c r="M6103" t="n">
        <v>0</v>
      </c>
      <c r="AC6103" t="n">
        <v>0</v>
      </c>
      <c r="AD6103" t="n">
        <v>0</v>
      </c>
      <c r="AE6103" t="n">
        <v>0</v>
      </c>
      <c r="AF6103" t="n">
        <v>0</v>
      </c>
      <c r="AG6103" t="n">
        <v>0</v>
      </c>
      <c r="AH6103" t="n">
        <v>0</v>
      </c>
    </row>
    <row r="6104">
      <c r="A6104" t="inlineStr">
        <is>
          <t>12월</t>
        </is>
      </c>
      <c r="B6104" t="inlineStr">
        <is>
          <t>52주차</t>
        </is>
      </c>
      <c r="C6104" t="e">
        <v>#N/A</v>
      </c>
      <c r="K6104" t="n">
        <v>0</v>
      </c>
      <c r="L6104" t="n">
        <v>0</v>
      </c>
      <c r="M6104" t="n">
        <v>0</v>
      </c>
      <c r="AC6104" t="n">
        <v>0</v>
      </c>
      <c r="AD6104" t="n">
        <v>0</v>
      </c>
      <c r="AE6104" t="n">
        <v>0</v>
      </c>
      <c r="AF6104" t="n">
        <v>0</v>
      </c>
      <c r="AG6104" t="n">
        <v>0</v>
      </c>
      <c r="AH6104" t="n">
        <v>0</v>
      </c>
    </row>
    <row r="6105">
      <c r="A6105" t="inlineStr">
        <is>
          <t>12월</t>
        </is>
      </c>
      <c r="B6105" t="inlineStr">
        <is>
          <t>52주차</t>
        </is>
      </c>
      <c r="C6105" t="e">
        <v>#N/A</v>
      </c>
      <c r="K6105" t="n">
        <v>0</v>
      </c>
      <c r="L6105" t="n">
        <v>0</v>
      </c>
      <c r="M6105" t="n">
        <v>0</v>
      </c>
      <c r="AC6105" t="n">
        <v>0</v>
      </c>
      <c r="AD6105" t="n">
        <v>0</v>
      </c>
      <c r="AE6105" t="n">
        <v>0</v>
      </c>
      <c r="AF6105" t="n">
        <v>0</v>
      </c>
      <c r="AG6105" t="n">
        <v>0</v>
      </c>
      <c r="AH6105" t="n">
        <v>0</v>
      </c>
    </row>
    <row r="6106">
      <c r="A6106" t="inlineStr">
        <is>
          <t>12월</t>
        </is>
      </c>
      <c r="B6106" t="inlineStr">
        <is>
          <t>52주차</t>
        </is>
      </c>
      <c r="C6106" t="e">
        <v>#N/A</v>
      </c>
      <c r="K6106" t="n">
        <v>0</v>
      </c>
      <c r="L6106" t="n">
        <v>0</v>
      </c>
      <c r="M6106" t="n">
        <v>0</v>
      </c>
      <c r="AC6106" t="n">
        <v>0</v>
      </c>
      <c r="AD6106" t="n">
        <v>0</v>
      </c>
      <c r="AE6106" t="n">
        <v>0</v>
      </c>
      <c r="AF6106" t="n">
        <v>0</v>
      </c>
      <c r="AG6106" t="n">
        <v>0</v>
      </c>
      <c r="AH6106" t="n">
        <v>0</v>
      </c>
    </row>
    <row r="6107">
      <c r="A6107" t="inlineStr">
        <is>
          <t>12월</t>
        </is>
      </c>
      <c r="B6107" t="inlineStr">
        <is>
          <t>52주차</t>
        </is>
      </c>
      <c r="C6107" t="e">
        <v>#N/A</v>
      </c>
      <c r="K6107" t="n">
        <v>0</v>
      </c>
      <c r="L6107" t="n">
        <v>0</v>
      </c>
      <c r="M6107" t="n">
        <v>0</v>
      </c>
      <c r="AC6107" t="n">
        <v>0</v>
      </c>
      <c r="AD6107" t="n">
        <v>0</v>
      </c>
      <c r="AE6107" t="n">
        <v>0</v>
      </c>
      <c r="AF6107" t="n">
        <v>0</v>
      </c>
      <c r="AG6107" t="n">
        <v>0</v>
      </c>
      <c r="AH6107" t="n">
        <v>0</v>
      </c>
    </row>
    <row r="6108">
      <c r="A6108" t="inlineStr">
        <is>
          <t>12월</t>
        </is>
      </c>
      <c r="B6108" t="inlineStr">
        <is>
          <t>52주차</t>
        </is>
      </c>
      <c r="C6108" t="e">
        <v>#N/A</v>
      </c>
      <c r="K6108" t="n">
        <v>0</v>
      </c>
      <c r="L6108" t="n">
        <v>0</v>
      </c>
      <c r="M6108" t="n">
        <v>0</v>
      </c>
      <c r="AC6108" t="n">
        <v>0</v>
      </c>
      <c r="AD6108" t="n">
        <v>0</v>
      </c>
      <c r="AE6108" t="n">
        <v>0</v>
      </c>
      <c r="AF6108" t="n">
        <v>0</v>
      </c>
      <c r="AG6108" t="n">
        <v>0</v>
      </c>
      <c r="AH6108" t="n">
        <v>0</v>
      </c>
    </row>
    <row r="6109">
      <c r="A6109" t="inlineStr">
        <is>
          <t>12월</t>
        </is>
      </c>
      <c r="B6109" t="inlineStr">
        <is>
          <t>52주차</t>
        </is>
      </c>
      <c r="C6109" t="e">
        <v>#N/A</v>
      </c>
      <c r="K6109" t="n">
        <v>0</v>
      </c>
      <c r="L6109" t="n">
        <v>0</v>
      </c>
      <c r="M6109" t="n">
        <v>0</v>
      </c>
      <c r="AC6109" t="n">
        <v>0</v>
      </c>
      <c r="AD6109" t="n">
        <v>0</v>
      </c>
      <c r="AE6109" t="n">
        <v>0</v>
      </c>
      <c r="AF6109" t="n">
        <v>0</v>
      </c>
      <c r="AG6109" t="n">
        <v>0</v>
      </c>
      <c r="AH6109" t="n">
        <v>0</v>
      </c>
    </row>
    <row r="6110">
      <c r="A6110" t="inlineStr">
        <is>
          <t>12월</t>
        </is>
      </c>
      <c r="B6110" t="inlineStr">
        <is>
          <t>52주차</t>
        </is>
      </c>
      <c r="C6110" t="e">
        <v>#N/A</v>
      </c>
      <c r="K6110" t="n">
        <v>0</v>
      </c>
      <c r="L6110" t="n">
        <v>0</v>
      </c>
      <c r="M6110" t="n">
        <v>0</v>
      </c>
      <c r="AC6110" t="n">
        <v>0</v>
      </c>
      <c r="AD6110" t="n">
        <v>0</v>
      </c>
      <c r="AE6110" t="n">
        <v>0</v>
      </c>
      <c r="AF6110" t="n">
        <v>0</v>
      </c>
      <c r="AG6110" t="n">
        <v>0</v>
      </c>
      <c r="AH6110" t="n">
        <v>0</v>
      </c>
    </row>
    <row r="6111">
      <c r="A6111" t="inlineStr">
        <is>
          <t>12월</t>
        </is>
      </c>
      <c r="B6111" t="inlineStr">
        <is>
          <t>52주차</t>
        </is>
      </c>
      <c r="C6111" t="e">
        <v>#N/A</v>
      </c>
      <c r="K6111" t="n">
        <v>0</v>
      </c>
      <c r="L6111" t="n">
        <v>0</v>
      </c>
      <c r="M6111" t="n">
        <v>0</v>
      </c>
      <c r="AC6111" t="n">
        <v>0</v>
      </c>
      <c r="AD6111" t="n">
        <v>0</v>
      </c>
      <c r="AE6111" t="n">
        <v>0</v>
      </c>
      <c r="AF6111" t="n">
        <v>0</v>
      </c>
      <c r="AG6111" t="n">
        <v>0</v>
      </c>
      <c r="AH6111" t="n">
        <v>0</v>
      </c>
    </row>
    <row r="6112">
      <c r="A6112" t="inlineStr">
        <is>
          <t>12월</t>
        </is>
      </c>
      <c r="B6112" t="inlineStr">
        <is>
          <t>52주차</t>
        </is>
      </c>
      <c r="C6112" t="e">
        <v>#N/A</v>
      </c>
      <c r="K6112" t="n">
        <v>0</v>
      </c>
      <c r="L6112" t="n">
        <v>0</v>
      </c>
      <c r="M6112" t="n">
        <v>0</v>
      </c>
      <c r="AC6112" t="n">
        <v>0</v>
      </c>
      <c r="AD6112" t="n">
        <v>0</v>
      </c>
      <c r="AE6112" t="n">
        <v>0</v>
      </c>
      <c r="AF6112" t="n">
        <v>0</v>
      </c>
      <c r="AG6112" t="n">
        <v>0</v>
      </c>
      <c r="AH6112" t="n">
        <v>0</v>
      </c>
    </row>
    <row r="6113">
      <c r="A6113" t="inlineStr">
        <is>
          <t>12월</t>
        </is>
      </c>
      <c r="B6113" t="inlineStr">
        <is>
          <t>52주차</t>
        </is>
      </c>
      <c r="C6113" t="e">
        <v>#N/A</v>
      </c>
      <c r="K6113" t="n">
        <v>0</v>
      </c>
      <c r="L6113" t="n">
        <v>0</v>
      </c>
      <c r="M6113" t="n">
        <v>0</v>
      </c>
      <c r="AC6113" t="n">
        <v>0</v>
      </c>
      <c r="AD6113" t="n">
        <v>0</v>
      </c>
      <c r="AE6113" t="n">
        <v>0</v>
      </c>
      <c r="AF6113" t="n">
        <v>0</v>
      </c>
      <c r="AG6113" t="n">
        <v>0</v>
      </c>
      <c r="AH6113" t="n">
        <v>0</v>
      </c>
    </row>
    <row r="6114">
      <c r="A6114" t="inlineStr">
        <is>
          <t>12월</t>
        </is>
      </c>
      <c r="B6114" t="inlineStr">
        <is>
          <t>52주차</t>
        </is>
      </c>
      <c r="C6114" t="e">
        <v>#N/A</v>
      </c>
      <c r="K6114" t="n">
        <v>0</v>
      </c>
      <c r="L6114" t="n">
        <v>0</v>
      </c>
      <c r="M6114" t="n">
        <v>0</v>
      </c>
      <c r="AC6114" t="n">
        <v>0</v>
      </c>
      <c r="AD6114" t="n">
        <v>0</v>
      </c>
      <c r="AE6114" t="n">
        <v>0</v>
      </c>
      <c r="AF6114" t="n">
        <v>0</v>
      </c>
      <c r="AG6114" t="n">
        <v>0</v>
      </c>
      <c r="AH6114" t="n">
        <v>0</v>
      </c>
    </row>
    <row r="6115">
      <c r="A6115" t="inlineStr">
        <is>
          <t>12월</t>
        </is>
      </c>
      <c r="B6115" t="inlineStr">
        <is>
          <t>52주차</t>
        </is>
      </c>
      <c r="C6115" t="e">
        <v>#N/A</v>
      </c>
      <c r="K6115" t="n">
        <v>0</v>
      </c>
      <c r="L6115" t="n">
        <v>0</v>
      </c>
      <c r="M6115" t="n">
        <v>0</v>
      </c>
      <c r="AC6115" t="n">
        <v>0</v>
      </c>
      <c r="AD6115" t="n">
        <v>0</v>
      </c>
      <c r="AE6115" t="n">
        <v>0</v>
      </c>
      <c r="AF6115" t="n">
        <v>0</v>
      </c>
      <c r="AG6115" t="n">
        <v>0</v>
      </c>
      <c r="AH6115" t="n">
        <v>0</v>
      </c>
    </row>
    <row r="6116">
      <c r="A6116" t="inlineStr">
        <is>
          <t>12월</t>
        </is>
      </c>
      <c r="B6116" t="inlineStr">
        <is>
          <t>52주차</t>
        </is>
      </c>
      <c r="C6116" t="e">
        <v>#N/A</v>
      </c>
      <c r="K6116" t="n">
        <v>0</v>
      </c>
      <c r="L6116" t="n">
        <v>0</v>
      </c>
      <c r="M6116" t="n">
        <v>0</v>
      </c>
      <c r="AC6116" t="n">
        <v>0</v>
      </c>
      <c r="AD6116" t="n">
        <v>0</v>
      </c>
      <c r="AE6116" t="n">
        <v>0</v>
      </c>
      <c r="AF6116" t="n">
        <v>0</v>
      </c>
      <c r="AG6116" t="n">
        <v>0</v>
      </c>
      <c r="AH6116" t="n">
        <v>0</v>
      </c>
    </row>
    <row r="6117">
      <c r="A6117" t="inlineStr">
        <is>
          <t>12월</t>
        </is>
      </c>
      <c r="B6117" t="inlineStr">
        <is>
          <t>52주차</t>
        </is>
      </c>
      <c r="C6117" t="e">
        <v>#N/A</v>
      </c>
      <c r="K6117" t="n">
        <v>0</v>
      </c>
      <c r="L6117" t="n">
        <v>0</v>
      </c>
      <c r="M6117" t="n">
        <v>0</v>
      </c>
      <c r="AC6117" t="n">
        <v>0</v>
      </c>
      <c r="AD6117" t="n">
        <v>0</v>
      </c>
      <c r="AE6117" t="n">
        <v>0</v>
      </c>
      <c r="AF6117" t="n">
        <v>0</v>
      </c>
      <c r="AG6117" t="n">
        <v>0</v>
      </c>
      <c r="AH6117" t="n">
        <v>0</v>
      </c>
    </row>
    <row r="6118">
      <c r="A6118" t="inlineStr">
        <is>
          <t>12월</t>
        </is>
      </c>
      <c r="B6118" t="inlineStr">
        <is>
          <t>52주차</t>
        </is>
      </c>
      <c r="C6118" t="e">
        <v>#N/A</v>
      </c>
      <c r="K6118" t="n">
        <v>0</v>
      </c>
      <c r="L6118" t="n">
        <v>0</v>
      </c>
      <c r="M6118" t="n">
        <v>0</v>
      </c>
      <c r="AC6118" t="n">
        <v>0</v>
      </c>
      <c r="AD6118" t="n">
        <v>0</v>
      </c>
      <c r="AE6118" t="n">
        <v>0</v>
      </c>
      <c r="AF6118" t="n">
        <v>0</v>
      </c>
      <c r="AG6118" t="n">
        <v>0</v>
      </c>
      <c r="AH6118" t="n">
        <v>0</v>
      </c>
    </row>
    <row r="6119">
      <c r="A6119" t="inlineStr">
        <is>
          <t>12월</t>
        </is>
      </c>
      <c r="B6119" t="inlineStr">
        <is>
          <t>52주차</t>
        </is>
      </c>
      <c r="C6119" t="e">
        <v>#N/A</v>
      </c>
      <c r="K6119" t="n">
        <v>0</v>
      </c>
      <c r="L6119" t="n">
        <v>0</v>
      </c>
      <c r="M6119" t="n">
        <v>0</v>
      </c>
      <c r="AC6119" t="n">
        <v>0</v>
      </c>
      <c r="AD6119" t="n">
        <v>0</v>
      </c>
      <c r="AE6119" t="n">
        <v>0</v>
      </c>
      <c r="AF6119" t="n">
        <v>0</v>
      </c>
      <c r="AG6119" t="n">
        <v>0</v>
      </c>
      <c r="AH6119" t="n">
        <v>0</v>
      </c>
    </row>
    <row r="6120">
      <c r="A6120" t="inlineStr">
        <is>
          <t>12월</t>
        </is>
      </c>
      <c r="B6120" t="inlineStr">
        <is>
          <t>52주차</t>
        </is>
      </c>
      <c r="C6120" t="e">
        <v>#N/A</v>
      </c>
      <c r="K6120" t="n">
        <v>0</v>
      </c>
      <c r="L6120" t="n">
        <v>0</v>
      </c>
      <c r="M6120" t="n">
        <v>0</v>
      </c>
      <c r="AC6120" t="n">
        <v>0</v>
      </c>
      <c r="AD6120" t="n">
        <v>0</v>
      </c>
      <c r="AE6120" t="n">
        <v>0</v>
      </c>
      <c r="AF6120" t="n">
        <v>0</v>
      </c>
      <c r="AG6120" t="n">
        <v>0</v>
      </c>
      <c r="AH6120" t="n">
        <v>0</v>
      </c>
    </row>
    <row r="6121">
      <c r="A6121" t="inlineStr">
        <is>
          <t>12월</t>
        </is>
      </c>
      <c r="B6121" t="inlineStr">
        <is>
          <t>52주차</t>
        </is>
      </c>
      <c r="C6121" t="e">
        <v>#N/A</v>
      </c>
      <c r="K6121" t="n">
        <v>0</v>
      </c>
      <c r="L6121" t="n">
        <v>0</v>
      </c>
      <c r="M6121" t="n">
        <v>0</v>
      </c>
      <c r="AC6121" t="n">
        <v>0</v>
      </c>
      <c r="AD6121" t="n">
        <v>0</v>
      </c>
      <c r="AE6121" t="n">
        <v>0</v>
      </c>
      <c r="AF6121" t="n">
        <v>0</v>
      </c>
      <c r="AG6121" t="n">
        <v>0</v>
      </c>
      <c r="AH6121" t="n">
        <v>0</v>
      </c>
      <c r="AI6121" t="n">
        <v>0</v>
      </c>
    </row>
    <row r="6122">
      <c r="A6122" t="inlineStr">
        <is>
          <t>12월</t>
        </is>
      </c>
      <c r="B6122" t="inlineStr">
        <is>
          <t>52주차</t>
        </is>
      </c>
      <c r="C6122" t="e">
        <v>#N/A</v>
      </c>
      <c r="K6122" t="n">
        <v>0</v>
      </c>
      <c r="L6122" t="n">
        <v>0</v>
      </c>
      <c r="M6122" t="n">
        <v>0</v>
      </c>
      <c r="AC6122" t="n">
        <v>0</v>
      </c>
      <c r="AD6122" t="n">
        <v>0</v>
      </c>
      <c r="AE6122" t="n">
        <v>0</v>
      </c>
      <c r="AF6122" t="n">
        <v>0</v>
      </c>
      <c r="AG6122" t="n">
        <v>0</v>
      </c>
      <c r="AH6122" t="n">
        <v>0</v>
      </c>
      <c r="AI6122" t="n">
        <v>0</v>
      </c>
    </row>
    <row r="6123">
      <c r="A6123" t="inlineStr">
        <is>
          <t>12월</t>
        </is>
      </c>
      <c r="B6123" t="inlineStr">
        <is>
          <t>52주차</t>
        </is>
      </c>
      <c r="C6123" t="e">
        <v>#N/A</v>
      </c>
      <c r="K6123" t="n">
        <v>0</v>
      </c>
      <c r="L6123" t="n">
        <v>0</v>
      </c>
      <c r="M6123" t="n">
        <v>0</v>
      </c>
      <c r="AC6123" t="n">
        <v>0</v>
      </c>
      <c r="AD6123" t="n">
        <v>0</v>
      </c>
      <c r="AE6123" t="n">
        <v>0</v>
      </c>
      <c r="AF6123" t="n">
        <v>0</v>
      </c>
      <c r="AG6123" t="n">
        <v>0</v>
      </c>
      <c r="AH6123" t="n">
        <v>0</v>
      </c>
      <c r="AI6123" t="n">
        <v>0</v>
      </c>
    </row>
    <row r="6124">
      <c r="A6124" t="inlineStr">
        <is>
          <t>12월</t>
        </is>
      </c>
      <c r="B6124" t="inlineStr">
        <is>
          <t>52주차</t>
        </is>
      </c>
      <c r="C6124" t="e">
        <v>#N/A</v>
      </c>
      <c r="K6124" t="n">
        <v>0</v>
      </c>
      <c r="L6124" t="n">
        <v>0</v>
      </c>
      <c r="M6124" t="n">
        <v>0</v>
      </c>
      <c r="AC6124" t="n">
        <v>0</v>
      </c>
      <c r="AD6124" t="n">
        <v>0</v>
      </c>
      <c r="AE6124" t="n">
        <v>0</v>
      </c>
      <c r="AF6124" t="n">
        <v>0</v>
      </c>
      <c r="AG6124" t="n">
        <v>0</v>
      </c>
      <c r="AH6124" t="n">
        <v>0</v>
      </c>
      <c r="AI6124" t="n">
        <v>0</v>
      </c>
    </row>
    <row r="6125">
      <c r="A6125" t="inlineStr">
        <is>
          <t>12월</t>
        </is>
      </c>
      <c r="B6125" t="inlineStr">
        <is>
          <t>52주차</t>
        </is>
      </c>
      <c r="C6125" t="e">
        <v>#N/A</v>
      </c>
      <c r="K6125" t="n">
        <v>0</v>
      </c>
      <c r="L6125" t="n">
        <v>0</v>
      </c>
      <c r="M6125" t="n">
        <v>0</v>
      </c>
      <c r="AC6125" t="n">
        <v>0</v>
      </c>
      <c r="AD6125" t="n">
        <v>0</v>
      </c>
      <c r="AE6125" t="n">
        <v>0</v>
      </c>
      <c r="AF6125" t="n">
        <v>0</v>
      </c>
      <c r="AG6125" t="n">
        <v>0</v>
      </c>
      <c r="AH6125" t="n">
        <v>0</v>
      </c>
      <c r="AI6125" t="n">
        <v>0</v>
      </c>
    </row>
    <row r="6126">
      <c r="A6126" t="inlineStr">
        <is>
          <t>12월</t>
        </is>
      </c>
      <c r="B6126" t="inlineStr">
        <is>
          <t>52주차</t>
        </is>
      </c>
      <c r="C6126" t="e">
        <v>#N/A</v>
      </c>
      <c r="K6126" t="n">
        <v>0</v>
      </c>
      <c r="L6126" t="n">
        <v>0</v>
      </c>
      <c r="M6126" t="n">
        <v>0</v>
      </c>
      <c r="AC6126" t="n">
        <v>0</v>
      </c>
      <c r="AD6126" t="n">
        <v>0</v>
      </c>
      <c r="AE6126" t="n">
        <v>0</v>
      </c>
      <c r="AF6126" t="n">
        <v>0</v>
      </c>
      <c r="AG6126" t="n">
        <v>0</v>
      </c>
      <c r="AH6126" t="n">
        <v>0</v>
      </c>
      <c r="AI6126" t="n">
        <v>0</v>
      </c>
    </row>
    <row r="6127">
      <c r="A6127" t="inlineStr">
        <is>
          <t>12월</t>
        </is>
      </c>
      <c r="B6127" t="inlineStr">
        <is>
          <t>52주차</t>
        </is>
      </c>
      <c r="C6127" t="e">
        <v>#N/A</v>
      </c>
      <c r="K6127" t="n">
        <v>0</v>
      </c>
      <c r="L6127" t="n">
        <v>0</v>
      </c>
      <c r="M6127" t="n">
        <v>0</v>
      </c>
      <c r="AC6127" t="n">
        <v>0</v>
      </c>
      <c r="AD6127" t="n">
        <v>0</v>
      </c>
      <c r="AE6127" t="n">
        <v>0</v>
      </c>
      <c r="AF6127" t="n">
        <v>0</v>
      </c>
      <c r="AG6127" t="n">
        <v>0</v>
      </c>
      <c r="AH6127" t="n">
        <v>0</v>
      </c>
    </row>
    <row r="6128">
      <c r="A6128" t="inlineStr">
        <is>
          <t>12월</t>
        </is>
      </c>
      <c r="B6128" t="inlineStr">
        <is>
          <t>52주차</t>
        </is>
      </c>
      <c r="C6128" t="e">
        <v>#N/A</v>
      </c>
      <c r="K6128" t="n">
        <v>0</v>
      </c>
      <c r="L6128" t="n">
        <v>0</v>
      </c>
      <c r="M6128" t="n">
        <v>0</v>
      </c>
      <c r="AC6128" t="n">
        <v>0</v>
      </c>
      <c r="AD6128" t="n">
        <v>0</v>
      </c>
      <c r="AE6128" t="n">
        <v>0</v>
      </c>
      <c r="AF6128" t="n">
        <v>0</v>
      </c>
      <c r="AG6128" t="n">
        <v>0</v>
      </c>
      <c r="AH6128" t="n">
        <v>0</v>
      </c>
    </row>
    <row r="6129">
      <c r="A6129" t="inlineStr">
        <is>
          <t>12월</t>
        </is>
      </c>
      <c r="B6129" t="inlineStr">
        <is>
          <t>52주차</t>
        </is>
      </c>
      <c r="C6129" t="e">
        <v>#N/A</v>
      </c>
      <c r="K6129" t="n">
        <v>0</v>
      </c>
      <c r="L6129" t="n">
        <v>0</v>
      </c>
      <c r="M6129" t="n">
        <v>0</v>
      </c>
      <c r="AC6129" t="n">
        <v>0</v>
      </c>
      <c r="AD6129" t="n">
        <v>0</v>
      </c>
      <c r="AE6129" t="n">
        <v>0</v>
      </c>
      <c r="AF6129" t="n">
        <v>0</v>
      </c>
      <c r="AG6129" t="n">
        <v>0</v>
      </c>
      <c r="AH6129" t="n">
        <v>0</v>
      </c>
    </row>
    <row r="6130">
      <c r="A6130" t="inlineStr">
        <is>
          <t>12월</t>
        </is>
      </c>
      <c r="B6130" t="inlineStr">
        <is>
          <t>52주차</t>
        </is>
      </c>
      <c r="C6130" t="e">
        <v>#N/A</v>
      </c>
      <c r="K6130" t="n">
        <v>0</v>
      </c>
      <c r="L6130" t="n">
        <v>0</v>
      </c>
      <c r="M6130" t="n">
        <v>0</v>
      </c>
      <c r="AC6130" t="n">
        <v>0</v>
      </c>
      <c r="AD6130" t="n">
        <v>0</v>
      </c>
      <c r="AE6130" t="n">
        <v>0</v>
      </c>
      <c r="AF6130" t="n">
        <v>0</v>
      </c>
      <c r="AG6130" t="n">
        <v>0</v>
      </c>
      <c r="AH6130" t="n">
        <v>0</v>
      </c>
      <c r="AI6130" t="n">
        <v>0</v>
      </c>
    </row>
    <row r="6131">
      <c r="A6131" t="inlineStr">
        <is>
          <t>12월</t>
        </is>
      </c>
      <c r="B6131" t="inlineStr">
        <is>
          <t>52주차</t>
        </is>
      </c>
      <c r="C6131" t="e">
        <v>#N/A</v>
      </c>
      <c r="K6131" t="n">
        <v>0</v>
      </c>
      <c r="L6131" t="n">
        <v>0</v>
      </c>
      <c r="M6131" t="n">
        <v>0</v>
      </c>
      <c r="AC6131" t="n">
        <v>0</v>
      </c>
      <c r="AD6131" t="n">
        <v>0</v>
      </c>
      <c r="AE6131" t="n">
        <v>0</v>
      </c>
      <c r="AF6131" t="n">
        <v>0</v>
      </c>
      <c r="AG6131" t="n">
        <v>0</v>
      </c>
      <c r="AH6131" t="n">
        <v>0</v>
      </c>
      <c r="AI6131" t="n">
        <v>0</v>
      </c>
    </row>
    <row r="6132">
      <c r="A6132" t="inlineStr">
        <is>
          <t>12월</t>
        </is>
      </c>
      <c r="B6132" t="inlineStr">
        <is>
          <t>52주차</t>
        </is>
      </c>
      <c r="C6132" t="e">
        <v>#N/A</v>
      </c>
      <c r="K6132" t="n">
        <v>0</v>
      </c>
      <c r="L6132" t="n">
        <v>0</v>
      </c>
      <c r="M6132" t="n">
        <v>0</v>
      </c>
      <c r="AC6132" t="n">
        <v>0</v>
      </c>
      <c r="AD6132" t="n">
        <v>0</v>
      </c>
      <c r="AE6132" t="n">
        <v>0</v>
      </c>
      <c r="AF6132" t="n">
        <v>0</v>
      </c>
      <c r="AG6132" t="n">
        <v>0</v>
      </c>
      <c r="AH6132" t="n">
        <v>0</v>
      </c>
      <c r="AI6132" t="n">
        <v>0</v>
      </c>
    </row>
    <row r="6133">
      <c r="A6133" t="inlineStr">
        <is>
          <t>12월</t>
        </is>
      </c>
      <c r="B6133" t="inlineStr">
        <is>
          <t>52주차</t>
        </is>
      </c>
      <c r="C6133" t="e">
        <v>#N/A</v>
      </c>
      <c r="K6133" t="n">
        <v>0</v>
      </c>
      <c r="L6133" t="n">
        <v>0</v>
      </c>
      <c r="M6133" t="n">
        <v>0</v>
      </c>
      <c r="AC6133" t="n">
        <v>0</v>
      </c>
      <c r="AD6133" t="n">
        <v>0</v>
      </c>
      <c r="AE6133" t="n">
        <v>0</v>
      </c>
      <c r="AF6133" t="n">
        <v>0</v>
      </c>
      <c r="AG6133" t="n">
        <v>0</v>
      </c>
      <c r="AH6133" t="n">
        <v>0</v>
      </c>
      <c r="AI6133" t="n">
        <v>0</v>
      </c>
    </row>
    <row r="6134">
      <c r="A6134" t="inlineStr">
        <is>
          <t>12월</t>
        </is>
      </c>
      <c r="B6134" t="inlineStr">
        <is>
          <t>52주차</t>
        </is>
      </c>
      <c r="C6134" t="e">
        <v>#N/A</v>
      </c>
      <c r="K6134" t="n">
        <v>0</v>
      </c>
      <c r="L6134" t="n">
        <v>0</v>
      </c>
      <c r="M6134" t="n">
        <v>0</v>
      </c>
      <c r="AC6134" t="n">
        <v>0</v>
      </c>
      <c r="AD6134" t="n">
        <v>0</v>
      </c>
      <c r="AE6134" t="n">
        <v>0</v>
      </c>
      <c r="AF6134" t="n">
        <v>0</v>
      </c>
      <c r="AG6134" t="n">
        <v>0</v>
      </c>
      <c r="AH6134" t="n">
        <v>0</v>
      </c>
      <c r="AI6134" t="n">
        <v>0</v>
      </c>
    </row>
    <row r="6135">
      <c r="A6135" t="inlineStr">
        <is>
          <t>12월</t>
        </is>
      </c>
      <c r="B6135" t="inlineStr">
        <is>
          <t>52주차</t>
        </is>
      </c>
      <c r="C6135" t="e">
        <v>#N/A</v>
      </c>
      <c r="K6135" t="n">
        <v>0</v>
      </c>
      <c r="L6135" t="n">
        <v>0</v>
      </c>
      <c r="M6135" t="n">
        <v>0</v>
      </c>
      <c r="AC6135" t="n">
        <v>0</v>
      </c>
      <c r="AD6135" t="n">
        <v>0</v>
      </c>
      <c r="AE6135" t="n">
        <v>0</v>
      </c>
      <c r="AF6135" t="n">
        <v>0</v>
      </c>
      <c r="AG6135" t="n">
        <v>0</v>
      </c>
      <c r="AH6135" t="n">
        <v>0</v>
      </c>
      <c r="AI6135" t="n">
        <v>0</v>
      </c>
    </row>
    <row r="6136">
      <c r="A6136" t="inlineStr">
        <is>
          <t>12월</t>
        </is>
      </c>
      <c r="B6136" t="inlineStr">
        <is>
          <t>52주차</t>
        </is>
      </c>
      <c r="C6136" t="e">
        <v>#N/A</v>
      </c>
      <c r="K6136" t="n">
        <v>0</v>
      </c>
      <c r="L6136" t="n">
        <v>0</v>
      </c>
      <c r="M6136" t="n">
        <v>0</v>
      </c>
      <c r="AC6136" t="n">
        <v>0</v>
      </c>
      <c r="AD6136" t="n">
        <v>0</v>
      </c>
      <c r="AE6136" t="n">
        <v>0</v>
      </c>
      <c r="AF6136" t="n">
        <v>0</v>
      </c>
      <c r="AG6136" t="n">
        <v>0</v>
      </c>
      <c r="AH6136" t="n">
        <v>0</v>
      </c>
      <c r="AI6136" t="n">
        <v>0</v>
      </c>
    </row>
    <row r="6137">
      <c r="A6137" t="inlineStr">
        <is>
          <t>12월</t>
        </is>
      </c>
      <c r="B6137" t="inlineStr">
        <is>
          <t>52주차</t>
        </is>
      </c>
      <c r="C6137" t="e">
        <v>#N/A</v>
      </c>
      <c r="K6137" t="n">
        <v>0</v>
      </c>
      <c r="L6137" t="n">
        <v>0</v>
      </c>
      <c r="M6137" t="n">
        <v>0</v>
      </c>
      <c r="AC6137" t="n">
        <v>0</v>
      </c>
      <c r="AD6137" t="n">
        <v>0</v>
      </c>
      <c r="AE6137" t="n">
        <v>0</v>
      </c>
      <c r="AF6137" t="n">
        <v>0</v>
      </c>
      <c r="AG6137" t="n">
        <v>0</v>
      </c>
      <c r="AH6137" t="n">
        <v>0</v>
      </c>
    </row>
    <row r="6138">
      <c r="A6138" t="inlineStr">
        <is>
          <t>12월</t>
        </is>
      </c>
      <c r="B6138" t="inlineStr">
        <is>
          <t>52주차</t>
        </is>
      </c>
      <c r="C6138" t="e">
        <v>#N/A</v>
      </c>
      <c r="K6138" t="n">
        <v>0</v>
      </c>
      <c r="L6138" t="n">
        <v>0</v>
      </c>
      <c r="M6138" t="n">
        <v>0</v>
      </c>
      <c r="AC6138" t="n">
        <v>0</v>
      </c>
      <c r="AD6138" t="n">
        <v>0</v>
      </c>
      <c r="AE6138" t="n">
        <v>0</v>
      </c>
      <c r="AF6138" t="n">
        <v>0</v>
      </c>
      <c r="AG6138" t="n">
        <v>0</v>
      </c>
      <c r="AH6138" t="n">
        <v>0</v>
      </c>
    </row>
    <row r="6139">
      <c r="A6139" t="inlineStr">
        <is>
          <t>12월</t>
        </is>
      </c>
      <c r="B6139" t="inlineStr">
        <is>
          <t>52주차</t>
        </is>
      </c>
      <c r="C6139" t="e">
        <v>#N/A</v>
      </c>
      <c r="K6139" t="n">
        <v>0</v>
      </c>
      <c r="L6139" t="n">
        <v>0</v>
      </c>
      <c r="M6139" t="n">
        <v>0</v>
      </c>
      <c r="AC6139" t="n">
        <v>0</v>
      </c>
      <c r="AD6139" t="n">
        <v>0</v>
      </c>
      <c r="AE6139" t="n">
        <v>0</v>
      </c>
      <c r="AF6139" t="n">
        <v>0</v>
      </c>
      <c r="AG6139" t="n">
        <v>0</v>
      </c>
      <c r="AH6139" t="n">
        <v>0</v>
      </c>
    </row>
    <row r="6140">
      <c r="A6140" t="inlineStr">
        <is>
          <t>12월</t>
        </is>
      </c>
      <c r="B6140" t="inlineStr">
        <is>
          <t>52주차</t>
        </is>
      </c>
      <c r="C6140" t="e">
        <v>#N/A</v>
      </c>
      <c r="K6140" t="n">
        <v>0</v>
      </c>
      <c r="L6140" t="n">
        <v>0</v>
      </c>
      <c r="M6140" t="n">
        <v>0</v>
      </c>
      <c r="AC6140" t="n">
        <v>0</v>
      </c>
      <c r="AD6140" t="n">
        <v>0</v>
      </c>
      <c r="AE6140" t="n">
        <v>0</v>
      </c>
      <c r="AF6140" t="n">
        <v>0</v>
      </c>
      <c r="AG6140" t="n">
        <v>0</v>
      </c>
      <c r="AH6140" t="n">
        <v>0</v>
      </c>
    </row>
    <row r="6141">
      <c r="A6141" t="inlineStr">
        <is>
          <t>12월</t>
        </is>
      </c>
      <c r="B6141" t="inlineStr">
        <is>
          <t>52주차</t>
        </is>
      </c>
      <c r="C6141" t="e">
        <v>#N/A</v>
      </c>
      <c r="K6141" t="n">
        <v>0</v>
      </c>
      <c r="L6141" t="n">
        <v>0</v>
      </c>
      <c r="M6141" t="n">
        <v>0</v>
      </c>
      <c r="AC6141" t="n">
        <v>0</v>
      </c>
      <c r="AD6141" t="n">
        <v>0</v>
      </c>
      <c r="AE6141" t="n">
        <v>0</v>
      </c>
      <c r="AF6141" t="n">
        <v>0</v>
      </c>
      <c r="AG6141" t="n">
        <v>0</v>
      </c>
      <c r="AH6141" t="n">
        <v>0</v>
      </c>
      <c r="AI6141" t="n">
        <v>0</v>
      </c>
    </row>
    <row r="6142">
      <c r="A6142" t="inlineStr">
        <is>
          <t>12월</t>
        </is>
      </c>
      <c r="B6142" t="inlineStr">
        <is>
          <t>52주차</t>
        </is>
      </c>
      <c r="C6142" t="e">
        <v>#N/A</v>
      </c>
      <c r="K6142" t="n">
        <v>0</v>
      </c>
      <c r="L6142" t="n">
        <v>0</v>
      </c>
      <c r="M6142" t="n">
        <v>0</v>
      </c>
      <c r="AC6142" t="n">
        <v>0</v>
      </c>
      <c r="AD6142" t="n">
        <v>0</v>
      </c>
      <c r="AE6142" t="n">
        <v>0</v>
      </c>
      <c r="AF6142" t="n">
        <v>0</v>
      </c>
      <c r="AG6142" t="n">
        <v>0</v>
      </c>
      <c r="AH6142" t="n">
        <v>0</v>
      </c>
    </row>
    <row r="6143">
      <c r="A6143" t="inlineStr">
        <is>
          <t>12월</t>
        </is>
      </c>
      <c r="B6143" t="inlineStr">
        <is>
          <t>52주차</t>
        </is>
      </c>
      <c r="C6143" t="e">
        <v>#N/A</v>
      </c>
      <c r="K6143" t="n">
        <v>0</v>
      </c>
      <c r="L6143" t="n">
        <v>0</v>
      </c>
      <c r="M6143" t="n">
        <v>0</v>
      </c>
      <c r="AC6143" t="n">
        <v>0</v>
      </c>
      <c r="AD6143" t="n">
        <v>0</v>
      </c>
      <c r="AE6143" t="n">
        <v>0</v>
      </c>
      <c r="AF6143" t="n">
        <v>0</v>
      </c>
      <c r="AG6143" t="n">
        <v>0</v>
      </c>
      <c r="AH6143" t="n">
        <v>0</v>
      </c>
    </row>
    <row r="6144">
      <c r="A6144" t="inlineStr">
        <is>
          <t>12월</t>
        </is>
      </c>
      <c r="B6144" t="inlineStr">
        <is>
          <t>52주차</t>
        </is>
      </c>
      <c r="C6144" t="e">
        <v>#N/A</v>
      </c>
      <c r="K6144" t="n">
        <v>0</v>
      </c>
      <c r="L6144" t="n">
        <v>0</v>
      </c>
      <c r="M6144" t="n">
        <v>0</v>
      </c>
      <c r="AC6144" t="n">
        <v>0</v>
      </c>
      <c r="AD6144" t="n">
        <v>0</v>
      </c>
      <c r="AE6144" t="n">
        <v>0</v>
      </c>
      <c r="AF6144" t="n">
        <v>0</v>
      </c>
      <c r="AG6144" t="n">
        <v>0</v>
      </c>
      <c r="AH6144" t="n">
        <v>0</v>
      </c>
    </row>
    <row r="6145">
      <c r="A6145" t="inlineStr">
        <is>
          <t>12월</t>
        </is>
      </c>
      <c r="B6145" t="inlineStr">
        <is>
          <t>52주차</t>
        </is>
      </c>
      <c r="C6145" t="e">
        <v>#N/A</v>
      </c>
      <c r="K6145" t="n">
        <v>0</v>
      </c>
      <c r="L6145" t="n">
        <v>0</v>
      </c>
      <c r="M6145" t="n">
        <v>0</v>
      </c>
      <c r="AC6145" t="n">
        <v>0</v>
      </c>
      <c r="AD6145" t="n">
        <v>0</v>
      </c>
      <c r="AE6145" t="n">
        <v>0</v>
      </c>
      <c r="AF6145" t="n">
        <v>0</v>
      </c>
      <c r="AG6145" t="n">
        <v>0</v>
      </c>
      <c r="AH6145" t="n">
        <v>0</v>
      </c>
      <c r="AI6145" t="n">
        <v>0</v>
      </c>
    </row>
    <row r="6146">
      <c r="A6146" t="inlineStr">
        <is>
          <t>12월</t>
        </is>
      </c>
      <c r="B6146" t="inlineStr">
        <is>
          <t>52주차</t>
        </is>
      </c>
      <c r="C6146" t="e">
        <v>#N/A</v>
      </c>
      <c r="K6146" t="n">
        <v>0</v>
      </c>
      <c r="L6146" t="n">
        <v>0</v>
      </c>
      <c r="M6146" t="n">
        <v>0</v>
      </c>
      <c r="AC6146" t="n">
        <v>0</v>
      </c>
      <c r="AD6146" t="n">
        <v>0</v>
      </c>
      <c r="AE6146" t="n">
        <v>0</v>
      </c>
      <c r="AF6146" t="n">
        <v>0</v>
      </c>
      <c r="AG6146" t="n">
        <v>0</v>
      </c>
      <c r="AH6146" t="n">
        <v>0</v>
      </c>
    </row>
    <row r="6147">
      <c r="A6147" t="inlineStr">
        <is>
          <t>12월</t>
        </is>
      </c>
      <c r="B6147" t="inlineStr">
        <is>
          <t>52주차</t>
        </is>
      </c>
      <c r="C6147" t="e">
        <v>#N/A</v>
      </c>
      <c r="K6147" t="n">
        <v>0</v>
      </c>
      <c r="L6147" t="n">
        <v>0</v>
      </c>
      <c r="M6147" t="n">
        <v>0</v>
      </c>
      <c r="AC6147" t="n">
        <v>0</v>
      </c>
      <c r="AD6147" t="n">
        <v>0</v>
      </c>
      <c r="AE6147" t="n">
        <v>0</v>
      </c>
      <c r="AF6147" t="n">
        <v>0</v>
      </c>
      <c r="AG6147" t="n">
        <v>0</v>
      </c>
      <c r="AH6147" t="n">
        <v>0</v>
      </c>
      <c r="AI6147" t="n">
        <v>0</v>
      </c>
    </row>
    <row r="6148">
      <c r="A6148" t="inlineStr">
        <is>
          <t>12월</t>
        </is>
      </c>
      <c r="B6148" t="inlineStr">
        <is>
          <t>52주차</t>
        </is>
      </c>
      <c r="C6148" t="e">
        <v>#N/A</v>
      </c>
      <c r="K6148" t="n">
        <v>0</v>
      </c>
      <c r="L6148" t="n">
        <v>0</v>
      </c>
      <c r="M6148" t="n">
        <v>0</v>
      </c>
      <c r="AC6148" t="n">
        <v>0</v>
      </c>
      <c r="AD6148" t="n">
        <v>0</v>
      </c>
      <c r="AE6148" t="n">
        <v>0</v>
      </c>
      <c r="AF6148" t="n">
        <v>0</v>
      </c>
      <c r="AG6148" t="n">
        <v>0</v>
      </c>
      <c r="AH6148" t="n">
        <v>0</v>
      </c>
      <c r="AI6148" t="n">
        <v>0</v>
      </c>
    </row>
    <row r="6149">
      <c r="A6149" t="inlineStr">
        <is>
          <t>12월</t>
        </is>
      </c>
      <c r="B6149" t="inlineStr">
        <is>
          <t>52주차</t>
        </is>
      </c>
      <c r="C6149" t="e">
        <v>#N/A</v>
      </c>
      <c r="K6149" t="n">
        <v>0</v>
      </c>
      <c r="L6149" t="n">
        <v>0</v>
      </c>
      <c r="M6149" t="n">
        <v>0</v>
      </c>
      <c r="AC6149" t="n">
        <v>0</v>
      </c>
      <c r="AD6149" t="n">
        <v>0</v>
      </c>
      <c r="AE6149" t="n">
        <v>0</v>
      </c>
      <c r="AF6149" t="n">
        <v>0</v>
      </c>
      <c r="AG6149" t="n">
        <v>0</v>
      </c>
      <c r="AH6149" t="n">
        <v>0</v>
      </c>
      <c r="AI6149" t="n">
        <v>0</v>
      </c>
    </row>
    <row r="6150">
      <c r="A6150" t="inlineStr">
        <is>
          <t>12월</t>
        </is>
      </c>
      <c r="B6150" t="inlineStr">
        <is>
          <t>52주차</t>
        </is>
      </c>
      <c r="C6150" t="e">
        <v>#N/A</v>
      </c>
      <c r="K6150" t="n">
        <v>0</v>
      </c>
      <c r="L6150" t="n">
        <v>0</v>
      </c>
      <c r="M6150" t="n">
        <v>0</v>
      </c>
      <c r="AC6150" t="n">
        <v>0</v>
      </c>
      <c r="AD6150" t="n">
        <v>0</v>
      </c>
      <c r="AE6150" t="n">
        <v>0</v>
      </c>
      <c r="AF6150" t="n">
        <v>0</v>
      </c>
      <c r="AG6150" t="n">
        <v>0</v>
      </c>
      <c r="AH6150" t="n">
        <v>0</v>
      </c>
    </row>
    <row r="6151">
      <c r="A6151" t="inlineStr">
        <is>
          <t>12월</t>
        </is>
      </c>
      <c r="B6151" t="inlineStr">
        <is>
          <t>52주차</t>
        </is>
      </c>
      <c r="C6151" t="e">
        <v>#N/A</v>
      </c>
      <c r="K6151" t="n">
        <v>0</v>
      </c>
      <c r="L6151" t="n">
        <v>0</v>
      </c>
      <c r="M6151" t="n">
        <v>0</v>
      </c>
      <c r="AC6151" t="n">
        <v>0</v>
      </c>
      <c r="AD6151" t="n">
        <v>0</v>
      </c>
      <c r="AE6151" t="n">
        <v>0</v>
      </c>
      <c r="AF6151" t="n">
        <v>0</v>
      </c>
      <c r="AG6151" t="n">
        <v>0</v>
      </c>
      <c r="AH6151" t="n">
        <v>0</v>
      </c>
    </row>
    <row r="6152">
      <c r="A6152" t="inlineStr">
        <is>
          <t>12월</t>
        </is>
      </c>
      <c r="B6152" t="inlineStr">
        <is>
          <t>52주차</t>
        </is>
      </c>
      <c r="C6152" t="e">
        <v>#N/A</v>
      </c>
      <c r="K6152" t="n">
        <v>0</v>
      </c>
      <c r="L6152" t="n">
        <v>0</v>
      </c>
      <c r="M6152" t="n">
        <v>0</v>
      </c>
      <c r="AC6152" t="n">
        <v>0</v>
      </c>
      <c r="AD6152" t="n">
        <v>0</v>
      </c>
      <c r="AE6152" t="n">
        <v>0</v>
      </c>
      <c r="AF6152" t="n">
        <v>0</v>
      </c>
      <c r="AG6152" t="n">
        <v>0</v>
      </c>
      <c r="AH6152" t="n">
        <v>0</v>
      </c>
      <c r="AI6152" t="n">
        <v>0</v>
      </c>
    </row>
    <row r="6153">
      <c r="A6153" t="inlineStr">
        <is>
          <t>12월</t>
        </is>
      </c>
      <c r="B6153" t="inlineStr">
        <is>
          <t>52주차</t>
        </is>
      </c>
      <c r="C6153" t="e">
        <v>#N/A</v>
      </c>
      <c r="K6153" t="n">
        <v>0</v>
      </c>
      <c r="L6153" t="n">
        <v>0</v>
      </c>
      <c r="M6153" t="n">
        <v>0</v>
      </c>
      <c r="AC6153" t="n">
        <v>0</v>
      </c>
      <c r="AD6153" t="n">
        <v>0</v>
      </c>
      <c r="AE6153" t="n">
        <v>0</v>
      </c>
      <c r="AF6153" t="n">
        <v>0</v>
      </c>
      <c r="AG6153" t="n">
        <v>0</v>
      </c>
      <c r="AH6153" t="n">
        <v>0</v>
      </c>
      <c r="AI6153" t="n">
        <v>0</v>
      </c>
    </row>
    <row r="6154">
      <c r="A6154" t="inlineStr">
        <is>
          <t>12월</t>
        </is>
      </c>
      <c r="B6154" t="inlineStr">
        <is>
          <t>52주차</t>
        </is>
      </c>
      <c r="C6154" t="e">
        <v>#N/A</v>
      </c>
      <c r="K6154" t="n">
        <v>0</v>
      </c>
      <c r="L6154" t="n">
        <v>0</v>
      </c>
      <c r="M6154" t="n">
        <v>0</v>
      </c>
      <c r="AC6154" t="n">
        <v>0</v>
      </c>
      <c r="AD6154" t="n">
        <v>0</v>
      </c>
      <c r="AE6154" t="n">
        <v>0</v>
      </c>
      <c r="AF6154" t="n">
        <v>0</v>
      </c>
      <c r="AG6154" t="n">
        <v>0</v>
      </c>
      <c r="AH6154" t="n">
        <v>0</v>
      </c>
      <c r="AI6154" t="n">
        <v>0</v>
      </c>
    </row>
    <row r="6155">
      <c r="A6155" t="inlineStr">
        <is>
          <t>12월</t>
        </is>
      </c>
      <c r="B6155" t="inlineStr">
        <is>
          <t>52주차</t>
        </is>
      </c>
      <c r="C6155" t="e">
        <v>#N/A</v>
      </c>
      <c r="K6155" t="n">
        <v>0</v>
      </c>
      <c r="L6155" t="n">
        <v>0</v>
      </c>
      <c r="M6155" t="n">
        <v>0</v>
      </c>
      <c r="AC6155" t="n">
        <v>0</v>
      </c>
      <c r="AD6155" t="n">
        <v>0</v>
      </c>
      <c r="AE6155" t="n">
        <v>0</v>
      </c>
      <c r="AF6155" t="n">
        <v>0</v>
      </c>
      <c r="AG6155" t="n">
        <v>0</v>
      </c>
      <c r="AH6155" t="n">
        <v>0</v>
      </c>
    </row>
    <row r="6156">
      <c r="A6156" t="inlineStr">
        <is>
          <t>12월</t>
        </is>
      </c>
      <c r="B6156" t="inlineStr">
        <is>
          <t>52주차</t>
        </is>
      </c>
      <c r="C6156" t="e">
        <v>#N/A</v>
      </c>
      <c r="K6156" t="n">
        <v>0</v>
      </c>
      <c r="L6156" t="n">
        <v>0</v>
      </c>
      <c r="M6156" t="n">
        <v>0</v>
      </c>
      <c r="AC6156" t="n">
        <v>0</v>
      </c>
      <c r="AD6156" t="n">
        <v>0</v>
      </c>
      <c r="AE6156" t="n">
        <v>0</v>
      </c>
      <c r="AF6156" t="n">
        <v>0</v>
      </c>
      <c r="AG6156" t="n">
        <v>0</v>
      </c>
      <c r="AH6156" t="n">
        <v>0</v>
      </c>
    </row>
    <row r="6157">
      <c r="A6157" t="inlineStr">
        <is>
          <t>12월</t>
        </is>
      </c>
      <c r="B6157" t="inlineStr">
        <is>
          <t>52주차</t>
        </is>
      </c>
      <c r="C6157" t="e">
        <v>#N/A</v>
      </c>
      <c r="K6157" t="n">
        <v>0</v>
      </c>
      <c r="L6157" t="n">
        <v>0</v>
      </c>
      <c r="M6157" t="n">
        <v>0</v>
      </c>
      <c r="AC6157" t="n">
        <v>0</v>
      </c>
      <c r="AD6157" t="n">
        <v>0</v>
      </c>
      <c r="AE6157" t="n">
        <v>0</v>
      </c>
      <c r="AF6157" t="n">
        <v>0</v>
      </c>
      <c r="AG6157" t="n">
        <v>0</v>
      </c>
      <c r="AH6157" t="n">
        <v>0</v>
      </c>
    </row>
    <row r="6158">
      <c r="A6158" t="inlineStr">
        <is>
          <t>12월</t>
        </is>
      </c>
      <c r="B6158" t="inlineStr">
        <is>
          <t>52주차</t>
        </is>
      </c>
      <c r="C6158" t="e">
        <v>#N/A</v>
      </c>
      <c r="K6158" t="n">
        <v>0</v>
      </c>
      <c r="L6158" t="n">
        <v>0</v>
      </c>
      <c r="M6158" t="n">
        <v>0</v>
      </c>
      <c r="AC6158" t="n">
        <v>0</v>
      </c>
      <c r="AD6158" t="n">
        <v>0</v>
      </c>
      <c r="AE6158" t="n">
        <v>0</v>
      </c>
      <c r="AF6158" t="n">
        <v>0</v>
      </c>
      <c r="AG6158" t="n">
        <v>0</v>
      </c>
      <c r="AH6158" t="n">
        <v>0</v>
      </c>
    </row>
    <row r="6159">
      <c r="A6159" t="inlineStr">
        <is>
          <t>12월</t>
        </is>
      </c>
      <c r="B6159" t="inlineStr">
        <is>
          <t>52주차</t>
        </is>
      </c>
      <c r="C6159" t="e">
        <v>#N/A</v>
      </c>
      <c r="K6159" t="n">
        <v>0</v>
      </c>
      <c r="L6159" t="n">
        <v>0</v>
      </c>
      <c r="M6159" t="n">
        <v>0</v>
      </c>
      <c r="AC6159" t="n">
        <v>0</v>
      </c>
      <c r="AD6159" t="n">
        <v>0</v>
      </c>
      <c r="AE6159" t="n">
        <v>0</v>
      </c>
      <c r="AF6159" t="n">
        <v>0</v>
      </c>
      <c r="AG6159" t="n">
        <v>0</v>
      </c>
      <c r="AH6159" t="n">
        <v>0</v>
      </c>
      <c r="AI6159" t="n">
        <v>0</v>
      </c>
    </row>
    <row r="6160">
      <c r="A6160" t="inlineStr">
        <is>
          <t>12월</t>
        </is>
      </c>
      <c r="B6160" t="inlineStr">
        <is>
          <t>52주차</t>
        </is>
      </c>
      <c r="C6160" t="e">
        <v>#N/A</v>
      </c>
      <c r="K6160" t="n">
        <v>0</v>
      </c>
      <c r="L6160" t="n">
        <v>0</v>
      </c>
      <c r="M6160" t="n">
        <v>0</v>
      </c>
      <c r="AC6160" t="n">
        <v>0</v>
      </c>
      <c r="AD6160" t="n">
        <v>0</v>
      </c>
      <c r="AE6160" t="n">
        <v>0</v>
      </c>
      <c r="AF6160" t="n">
        <v>0</v>
      </c>
      <c r="AG6160" t="n">
        <v>0</v>
      </c>
      <c r="AH6160" t="n">
        <v>0</v>
      </c>
    </row>
    <row r="6161">
      <c r="A6161" t="inlineStr">
        <is>
          <t>12월</t>
        </is>
      </c>
      <c r="B6161" t="inlineStr">
        <is>
          <t>52주차</t>
        </is>
      </c>
      <c r="C6161" t="e">
        <v>#N/A</v>
      </c>
      <c r="K6161" t="n">
        <v>0</v>
      </c>
      <c r="L6161" t="n">
        <v>0</v>
      </c>
      <c r="M6161" t="n">
        <v>0</v>
      </c>
      <c r="AC6161" t="n">
        <v>0</v>
      </c>
      <c r="AD6161" t="n">
        <v>0</v>
      </c>
      <c r="AE6161" t="n">
        <v>0</v>
      </c>
      <c r="AF6161" t="n">
        <v>0</v>
      </c>
      <c r="AG6161" t="n">
        <v>0</v>
      </c>
      <c r="AH6161" t="n">
        <v>0</v>
      </c>
      <c r="AI6161" t="n">
        <v>0</v>
      </c>
    </row>
    <row r="6162">
      <c r="A6162" t="inlineStr">
        <is>
          <t>12월</t>
        </is>
      </c>
      <c r="B6162" t="inlineStr">
        <is>
          <t>52주차</t>
        </is>
      </c>
      <c r="C6162" t="e">
        <v>#N/A</v>
      </c>
      <c r="K6162" t="n">
        <v>0</v>
      </c>
      <c r="L6162" t="n">
        <v>0</v>
      </c>
      <c r="M6162" t="n">
        <v>0</v>
      </c>
      <c r="AC6162" t="n">
        <v>0</v>
      </c>
      <c r="AD6162" t="n">
        <v>0</v>
      </c>
      <c r="AE6162" t="n">
        <v>0</v>
      </c>
      <c r="AF6162" t="n">
        <v>0</v>
      </c>
      <c r="AG6162" t="n">
        <v>0</v>
      </c>
      <c r="AH6162" t="n">
        <v>0</v>
      </c>
      <c r="AI6162" t="n">
        <v>0</v>
      </c>
    </row>
    <row r="6163">
      <c r="A6163" t="inlineStr">
        <is>
          <t>12월</t>
        </is>
      </c>
      <c r="B6163" t="inlineStr">
        <is>
          <t>52주차</t>
        </is>
      </c>
      <c r="C6163" t="e">
        <v>#N/A</v>
      </c>
      <c r="K6163" t="n">
        <v>0</v>
      </c>
      <c r="L6163" t="n">
        <v>0</v>
      </c>
      <c r="M6163" t="n">
        <v>0</v>
      </c>
      <c r="AC6163" t="n">
        <v>0</v>
      </c>
      <c r="AD6163" t="n">
        <v>0</v>
      </c>
      <c r="AE6163" t="n">
        <v>0</v>
      </c>
      <c r="AF6163" t="n">
        <v>0</v>
      </c>
      <c r="AG6163" t="n">
        <v>0</v>
      </c>
      <c r="AH6163" t="n">
        <v>0</v>
      </c>
      <c r="AI6163" t="n">
        <v>0</v>
      </c>
    </row>
    <row r="6164">
      <c r="A6164" t="inlineStr">
        <is>
          <t>12월</t>
        </is>
      </c>
      <c r="B6164" t="inlineStr">
        <is>
          <t>52주차</t>
        </is>
      </c>
      <c r="C6164" t="e">
        <v>#N/A</v>
      </c>
      <c r="K6164" t="n">
        <v>0</v>
      </c>
      <c r="L6164" t="n">
        <v>0</v>
      </c>
      <c r="M6164" t="n">
        <v>0</v>
      </c>
      <c r="AC6164" t="n">
        <v>0</v>
      </c>
      <c r="AD6164" t="n">
        <v>0</v>
      </c>
      <c r="AE6164" t="n">
        <v>0</v>
      </c>
      <c r="AF6164" t="n">
        <v>0</v>
      </c>
      <c r="AG6164" t="n">
        <v>0</v>
      </c>
      <c r="AH6164" t="n">
        <v>0</v>
      </c>
      <c r="AI6164" t="n">
        <v>0</v>
      </c>
    </row>
    <row r="6165">
      <c r="A6165" t="inlineStr">
        <is>
          <t>12월</t>
        </is>
      </c>
      <c r="B6165" t="inlineStr">
        <is>
          <t>52주차</t>
        </is>
      </c>
      <c r="C6165" t="e">
        <v>#N/A</v>
      </c>
      <c r="K6165" t="n">
        <v>0</v>
      </c>
      <c r="L6165" t="n">
        <v>0</v>
      </c>
      <c r="M6165" t="n">
        <v>0</v>
      </c>
      <c r="AC6165" t="n">
        <v>0</v>
      </c>
      <c r="AD6165" t="n">
        <v>0</v>
      </c>
      <c r="AE6165" t="n">
        <v>0</v>
      </c>
      <c r="AF6165" t="n">
        <v>0</v>
      </c>
      <c r="AG6165" t="n">
        <v>0</v>
      </c>
      <c r="AH6165" t="n">
        <v>0</v>
      </c>
      <c r="AI6165" t="n">
        <v>0</v>
      </c>
    </row>
    <row r="6166">
      <c r="A6166" t="inlineStr">
        <is>
          <t>12월</t>
        </is>
      </c>
      <c r="B6166" t="inlineStr">
        <is>
          <t>52주차</t>
        </is>
      </c>
      <c r="C6166" t="e">
        <v>#N/A</v>
      </c>
      <c r="K6166" t="n">
        <v>0</v>
      </c>
      <c r="L6166" t="n">
        <v>0</v>
      </c>
      <c r="M6166" t="n">
        <v>0</v>
      </c>
      <c r="AC6166" t="n">
        <v>0</v>
      </c>
      <c r="AD6166" t="n">
        <v>0</v>
      </c>
      <c r="AE6166" t="n">
        <v>0</v>
      </c>
      <c r="AF6166" t="n">
        <v>0</v>
      </c>
      <c r="AG6166" t="n">
        <v>0</v>
      </c>
      <c r="AH6166" t="n">
        <v>0</v>
      </c>
    </row>
    <row r="6167">
      <c r="A6167" t="inlineStr">
        <is>
          <t>12월</t>
        </is>
      </c>
      <c r="B6167" t="inlineStr">
        <is>
          <t>52주차</t>
        </is>
      </c>
      <c r="C6167" t="e">
        <v>#N/A</v>
      </c>
      <c r="K6167" t="n">
        <v>0</v>
      </c>
      <c r="L6167" t="n">
        <v>0</v>
      </c>
      <c r="M6167" t="n">
        <v>0</v>
      </c>
      <c r="AC6167" t="n">
        <v>0</v>
      </c>
      <c r="AD6167" t="n">
        <v>0</v>
      </c>
      <c r="AE6167" t="n">
        <v>0</v>
      </c>
      <c r="AF6167" t="n">
        <v>0</v>
      </c>
      <c r="AG6167" t="n">
        <v>0</v>
      </c>
      <c r="AH6167" t="n">
        <v>0</v>
      </c>
    </row>
    <row r="6168">
      <c r="A6168" t="inlineStr">
        <is>
          <t>12월</t>
        </is>
      </c>
      <c r="B6168" t="inlineStr">
        <is>
          <t>52주차</t>
        </is>
      </c>
      <c r="C6168" t="e">
        <v>#N/A</v>
      </c>
      <c r="K6168" t="n">
        <v>0</v>
      </c>
      <c r="L6168" t="n">
        <v>0</v>
      </c>
      <c r="M6168" t="n">
        <v>0</v>
      </c>
      <c r="AC6168" t="n">
        <v>0</v>
      </c>
      <c r="AD6168" t="n">
        <v>0</v>
      </c>
      <c r="AE6168" t="n">
        <v>0</v>
      </c>
      <c r="AF6168" t="n">
        <v>0</v>
      </c>
      <c r="AG6168" t="n">
        <v>0</v>
      </c>
      <c r="AH6168" t="n">
        <v>0</v>
      </c>
      <c r="AI6168" t="n">
        <v>0</v>
      </c>
    </row>
    <row r="6169">
      <c r="A6169" t="inlineStr">
        <is>
          <t>12월</t>
        </is>
      </c>
      <c r="B6169" t="inlineStr">
        <is>
          <t>52주차</t>
        </is>
      </c>
      <c r="C6169" t="e">
        <v>#N/A</v>
      </c>
      <c r="K6169" t="n">
        <v>0</v>
      </c>
      <c r="L6169" t="n">
        <v>0</v>
      </c>
      <c r="M6169" t="n">
        <v>0</v>
      </c>
      <c r="AC6169" t="n">
        <v>0</v>
      </c>
      <c r="AD6169" t="n">
        <v>0</v>
      </c>
      <c r="AE6169" t="n">
        <v>0</v>
      </c>
      <c r="AF6169" t="n">
        <v>0</v>
      </c>
      <c r="AG6169" t="n">
        <v>0</v>
      </c>
      <c r="AH6169" t="n">
        <v>0</v>
      </c>
    </row>
    <row r="6170">
      <c r="A6170" t="inlineStr">
        <is>
          <t>12월</t>
        </is>
      </c>
      <c r="B6170" t="inlineStr">
        <is>
          <t>52주차</t>
        </is>
      </c>
      <c r="C6170" t="e">
        <v>#N/A</v>
      </c>
      <c r="K6170" t="n">
        <v>0</v>
      </c>
      <c r="L6170" t="n">
        <v>0</v>
      </c>
      <c r="M6170" t="n">
        <v>0</v>
      </c>
      <c r="AC6170" t="n">
        <v>0</v>
      </c>
      <c r="AD6170" t="n">
        <v>0</v>
      </c>
      <c r="AE6170" t="n">
        <v>0</v>
      </c>
      <c r="AF6170" t="n">
        <v>0</v>
      </c>
      <c r="AG6170" t="n">
        <v>0</v>
      </c>
      <c r="AH6170" t="n">
        <v>0</v>
      </c>
      <c r="AI6170" t="n">
        <v>0</v>
      </c>
    </row>
    <row r="6171">
      <c r="A6171" t="inlineStr">
        <is>
          <t>12월</t>
        </is>
      </c>
      <c r="B6171" t="inlineStr">
        <is>
          <t>52주차</t>
        </is>
      </c>
      <c r="C6171" t="e">
        <v>#N/A</v>
      </c>
      <c r="K6171" t="n">
        <v>0</v>
      </c>
      <c r="L6171" t="n">
        <v>0</v>
      </c>
      <c r="M6171" t="n">
        <v>0</v>
      </c>
      <c r="AC6171" t="n">
        <v>0</v>
      </c>
      <c r="AD6171" t="n">
        <v>0</v>
      </c>
      <c r="AE6171" t="n">
        <v>0</v>
      </c>
      <c r="AF6171" t="n">
        <v>0</v>
      </c>
      <c r="AG6171" t="n">
        <v>0</v>
      </c>
      <c r="AH6171" t="n">
        <v>0</v>
      </c>
      <c r="AI6171" t="n">
        <v>0</v>
      </c>
    </row>
    <row r="6172">
      <c r="A6172" t="inlineStr">
        <is>
          <t>12월</t>
        </is>
      </c>
      <c r="B6172" t="inlineStr">
        <is>
          <t>52주차</t>
        </is>
      </c>
      <c r="C6172" t="e">
        <v>#N/A</v>
      </c>
      <c r="K6172" t="n">
        <v>0</v>
      </c>
      <c r="L6172" t="n">
        <v>0</v>
      </c>
      <c r="M6172" t="n">
        <v>0</v>
      </c>
      <c r="AC6172" t="n">
        <v>0</v>
      </c>
      <c r="AD6172" t="n">
        <v>0</v>
      </c>
      <c r="AE6172" t="n">
        <v>0</v>
      </c>
      <c r="AF6172" t="n">
        <v>0</v>
      </c>
      <c r="AG6172" t="n">
        <v>0</v>
      </c>
      <c r="AH6172" t="n">
        <v>0</v>
      </c>
      <c r="AI6172" t="n">
        <v>0</v>
      </c>
    </row>
    <row r="6173">
      <c r="A6173" t="inlineStr">
        <is>
          <t>12월</t>
        </is>
      </c>
      <c r="B6173" t="inlineStr">
        <is>
          <t>52주차</t>
        </is>
      </c>
      <c r="C6173" t="e">
        <v>#N/A</v>
      </c>
      <c r="K6173" t="n">
        <v>0</v>
      </c>
      <c r="L6173" t="n">
        <v>0</v>
      </c>
      <c r="M6173" t="n">
        <v>0</v>
      </c>
      <c r="AC6173" t="n">
        <v>0</v>
      </c>
      <c r="AD6173" t="n">
        <v>0</v>
      </c>
      <c r="AE6173" t="n">
        <v>0</v>
      </c>
      <c r="AF6173" t="n">
        <v>0</v>
      </c>
      <c r="AG6173" t="n">
        <v>0</v>
      </c>
      <c r="AH6173" t="n">
        <v>0</v>
      </c>
    </row>
    <row r="6174">
      <c r="A6174" t="inlineStr">
        <is>
          <t>12월</t>
        </is>
      </c>
      <c r="B6174" t="inlineStr">
        <is>
          <t>52주차</t>
        </is>
      </c>
      <c r="C6174" t="e">
        <v>#N/A</v>
      </c>
      <c r="K6174" t="n">
        <v>0</v>
      </c>
      <c r="L6174" t="n">
        <v>0</v>
      </c>
      <c r="M6174" t="n">
        <v>0</v>
      </c>
      <c r="AC6174" t="n">
        <v>0</v>
      </c>
      <c r="AD6174" t="n">
        <v>0</v>
      </c>
      <c r="AE6174" t="n">
        <v>0</v>
      </c>
      <c r="AF6174" t="n">
        <v>0</v>
      </c>
      <c r="AG6174" t="n">
        <v>0</v>
      </c>
      <c r="AH6174" t="n">
        <v>0</v>
      </c>
      <c r="AI6174" t="n">
        <v>0</v>
      </c>
    </row>
    <row r="6175">
      <c r="A6175" t="inlineStr">
        <is>
          <t>12월</t>
        </is>
      </c>
      <c r="B6175" t="inlineStr">
        <is>
          <t>52주차</t>
        </is>
      </c>
      <c r="C6175" t="e">
        <v>#N/A</v>
      </c>
      <c r="K6175" t="n">
        <v>0</v>
      </c>
      <c r="L6175" t="n">
        <v>0</v>
      </c>
      <c r="M6175" t="n">
        <v>0</v>
      </c>
      <c r="AC6175" t="n">
        <v>0</v>
      </c>
      <c r="AD6175" t="n">
        <v>0</v>
      </c>
      <c r="AE6175" t="n">
        <v>0</v>
      </c>
      <c r="AF6175" t="n">
        <v>0</v>
      </c>
      <c r="AG6175" t="n">
        <v>0</v>
      </c>
      <c r="AH6175" t="n">
        <v>0</v>
      </c>
      <c r="AI6175" t="n">
        <v>0</v>
      </c>
    </row>
    <row r="6176">
      <c r="A6176" t="inlineStr">
        <is>
          <t>12월</t>
        </is>
      </c>
      <c r="B6176" t="inlineStr">
        <is>
          <t>52주차</t>
        </is>
      </c>
      <c r="C6176" t="e">
        <v>#N/A</v>
      </c>
      <c r="K6176" t="n">
        <v>0</v>
      </c>
      <c r="L6176" t="n">
        <v>0</v>
      </c>
      <c r="M6176" t="n">
        <v>0</v>
      </c>
      <c r="AC6176" t="n">
        <v>0</v>
      </c>
      <c r="AD6176" t="n">
        <v>0</v>
      </c>
      <c r="AE6176" t="n">
        <v>0</v>
      </c>
      <c r="AF6176" t="n">
        <v>0</v>
      </c>
      <c r="AG6176" t="n">
        <v>0</v>
      </c>
      <c r="AH6176" t="n">
        <v>0</v>
      </c>
      <c r="AI6176" t="n">
        <v>0</v>
      </c>
    </row>
    <row r="6177">
      <c r="A6177" t="inlineStr">
        <is>
          <t>12월</t>
        </is>
      </c>
      <c r="B6177" t="inlineStr">
        <is>
          <t>52주차</t>
        </is>
      </c>
      <c r="C6177" t="e">
        <v>#N/A</v>
      </c>
      <c r="K6177" t="n">
        <v>0</v>
      </c>
      <c r="L6177" t="n">
        <v>0</v>
      </c>
      <c r="M6177" t="n">
        <v>0</v>
      </c>
      <c r="AC6177" t="n">
        <v>0</v>
      </c>
      <c r="AD6177" t="n">
        <v>0</v>
      </c>
      <c r="AE6177" t="n">
        <v>0</v>
      </c>
      <c r="AF6177" t="n">
        <v>0</v>
      </c>
      <c r="AG6177" t="n">
        <v>0</v>
      </c>
      <c r="AH6177" t="n">
        <v>0</v>
      </c>
      <c r="AI6177" t="n">
        <v>0</v>
      </c>
    </row>
    <row r="6178">
      <c r="A6178" t="inlineStr">
        <is>
          <t>12월</t>
        </is>
      </c>
      <c r="B6178" t="inlineStr">
        <is>
          <t>52주차</t>
        </is>
      </c>
      <c r="C6178" t="e">
        <v>#N/A</v>
      </c>
      <c r="K6178" t="n">
        <v>0</v>
      </c>
      <c r="L6178" t="n">
        <v>0</v>
      </c>
      <c r="M6178" t="n">
        <v>0</v>
      </c>
      <c r="AC6178" t="n">
        <v>0</v>
      </c>
      <c r="AD6178" t="n">
        <v>0</v>
      </c>
      <c r="AE6178" t="n">
        <v>0</v>
      </c>
      <c r="AF6178" t="n">
        <v>0</v>
      </c>
      <c r="AG6178" t="n">
        <v>0</v>
      </c>
      <c r="AH6178" t="n">
        <v>0</v>
      </c>
    </row>
    <row r="6179">
      <c r="A6179" t="inlineStr">
        <is>
          <t>12월</t>
        </is>
      </c>
      <c r="B6179" t="inlineStr">
        <is>
          <t>52주차</t>
        </is>
      </c>
      <c r="C6179" t="e">
        <v>#N/A</v>
      </c>
      <c r="K6179" t="n">
        <v>0</v>
      </c>
      <c r="L6179" t="n">
        <v>0</v>
      </c>
      <c r="M6179" t="n">
        <v>0</v>
      </c>
      <c r="AC6179" t="n">
        <v>0</v>
      </c>
      <c r="AD6179" t="n">
        <v>0</v>
      </c>
      <c r="AE6179" t="n">
        <v>0</v>
      </c>
      <c r="AF6179" t="n">
        <v>0</v>
      </c>
      <c r="AG6179" t="n">
        <v>0</v>
      </c>
      <c r="AH6179" t="n">
        <v>0</v>
      </c>
      <c r="AI6179" t="n">
        <v>0</v>
      </c>
    </row>
    <row r="6180">
      <c r="A6180" t="inlineStr">
        <is>
          <t>12월</t>
        </is>
      </c>
      <c r="B6180" t="inlineStr">
        <is>
          <t>52주차</t>
        </is>
      </c>
      <c r="C6180" t="e">
        <v>#N/A</v>
      </c>
      <c r="K6180" t="n">
        <v>0</v>
      </c>
      <c r="L6180" t="n">
        <v>0</v>
      </c>
      <c r="M6180" t="n">
        <v>0</v>
      </c>
      <c r="AC6180" t="n">
        <v>0</v>
      </c>
      <c r="AD6180" t="n">
        <v>0</v>
      </c>
      <c r="AE6180" t="n">
        <v>0</v>
      </c>
      <c r="AF6180" t="n">
        <v>0</v>
      </c>
      <c r="AG6180" t="n">
        <v>0</v>
      </c>
      <c r="AH6180" t="n">
        <v>0</v>
      </c>
      <c r="AI6180" t="n">
        <v>0</v>
      </c>
    </row>
    <row r="6181">
      <c r="A6181" t="inlineStr">
        <is>
          <t>12월</t>
        </is>
      </c>
      <c r="B6181" t="inlineStr">
        <is>
          <t>52주차</t>
        </is>
      </c>
      <c r="C6181" t="e">
        <v>#N/A</v>
      </c>
      <c r="K6181" t="n">
        <v>0</v>
      </c>
      <c r="L6181" t="n">
        <v>0</v>
      </c>
      <c r="M6181" t="n">
        <v>0</v>
      </c>
      <c r="AC6181" t="n">
        <v>0</v>
      </c>
      <c r="AD6181" t="n">
        <v>0</v>
      </c>
      <c r="AE6181" t="n">
        <v>0</v>
      </c>
      <c r="AF6181" t="n">
        <v>0</v>
      </c>
      <c r="AG6181" t="n">
        <v>0</v>
      </c>
      <c r="AH6181" t="n">
        <v>0</v>
      </c>
      <c r="AI6181" t="n">
        <v>0</v>
      </c>
    </row>
    <row r="6182">
      <c r="A6182" t="inlineStr">
        <is>
          <t>12월</t>
        </is>
      </c>
      <c r="B6182" t="inlineStr">
        <is>
          <t>52주차</t>
        </is>
      </c>
      <c r="C6182" t="e">
        <v>#N/A</v>
      </c>
      <c r="K6182" t="n">
        <v>0</v>
      </c>
      <c r="L6182" t="n">
        <v>0</v>
      </c>
      <c r="M6182" t="n">
        <v>0</v>
      </c>
      <c r="AC6182" t="n">
        <v>0</v>
      </c>
      <c r="AD6182" t="n">
        <v>0</v>
      </c>
      <c r="AE6182" t="n">
        <v>0</v>
      </c>
      <c r="AF6182" t="n">
        <v>0</v>
      </c>
      <c r="AG6182" t="n">
        <v>0</v>
      </c>
      <c r="AH6182" t="n">
        <v>0</v>
      </c>
      <c r="AI6182" t="n">
        <v>0</v>
      </c>
    </row>
    <row r="6183">
      <c r="A6183" t="inlineStr">
        <is>
          <t>12월</t>
        </is>
      </c>
      <c r="B6183" t="inlineStr">
        <is>
          <t>52주차</t>
        </is>
      </c>
      <c r="C6183" t="e">
        <v>#N/A</v>
      </c>
      <c r="K6183" t="n">
        <v>0</v>
      </c>
      <c r="L6183" t="n">
        <v>0</v>
      </c>
      <c r="M6183" t="n">
        <v>0</v>
      </c>
      <c r="AC6183" t="n">
        <v>0</v>
      </c>
      <c r="AD6183" t="n">
        <v>0</v>
      </c>
      <c r="AE6183" t="n">
        <v>0</v>
      </c>
      <c r="AF6183" t="n">
        <v>0</v>
      </c>
      <c r="AG6183" t="n">
        <v>0</v>
      </c>
      <c r="AH6183" t="n">
        <v>0</v>
      </c>
    </row>
    <row r="6184">
      <c r="A6184" t="inlineStr">
        <is>
          <t>12월</t>
        </is>
      </c>
      <c r="B6184" t="inlineStr">
        <is>
          <t>52주차</t>
        </is>
      </c>
      <c r="C6184" t="e">
        <v>#N/A</v>
      </c>
      <c r="K6184" t="n">
        <v>0</v>
      </c>
      <c r="L6184" t="n">
        <v>0</v>
      </c>
      <c r="M6184" t="n">
        <v>0</v>
      </c>
      <c r="AC6184" t="n">
        <v>0</v>
      </c>
      <c r="AD6184" t="n">
        <v>0</v>
      </c>
      <c r="AE6184" t="n">
        <v>0</v>
      </c>
      <c r="AF6184" t="n">
        <v>0</v>
      </c>
      <c r="AG6184" t="n">
        <v>0</v>
      </c>
      <c r="AH6184" t="n">
        <v>0</v>
      </c>
      <c r="AI6184" t="n">
        <v>0</v>
      </c>
    </row>
    <row r="6185">
      <c r="A6185" t="inlineStr">
        <is>
          <t>12월</t>
        </is>
      </c>
      <c r="B6185" t="inlineStr">
        <is>
          <t>52주차</t>
        </is>
      </c>
      <c r="C6185" t="e">
        <v>#N/A</v>
      </c>
      <c r="K6185" t="n">
        <v>0</v>
      </c>
      <c r="L6185" t="n">
        <v>0</v>
      </c>
      <c r="M6185" t="n">
        <v>0</v>
      </c>
      <c r="AC6185" t="n">
        <v>0</v>
      </c>
      <c r="AD6185" t="n">
        <v>0</v>
      </c>
      <c r="AE6185" t="n">
        <v>0</v>
      </c>
      <c r="AF6185" t="n">
        <v>0</v>
      </c>
      <c r="AG6185" t="n">
        <v>0</v>
      </c>
      <c r="AH6185" t="n">
        <v>0</v>
      </c>
      <c r="AI6185" t="n">
        <v>0</v>
      </c>
    </row>
    <row r="6186">
      <c r="A6186" t="inlineStr">
        <is>
          <t>12월</t>
        </is>
      </c>
      <c r="B6186" t="inlineStr">
        <is>
          <t>52주차</t>
        </is>
      </c>
      <c r="C6186" t="e">
        <v>#N/A</v>
      </c>
      <c r="K6186" t="n">
        <v>0</v>
      </c>
      <c r="L6186" t="n">
        <v>0</v>
      </c>
      <c r="M6186" t="n">
        <v>0</v>
      </c>
      <c r="AC6186" t="n">
        <v>0</v>
      </c>
      <c r="AD6186" t="n">
        <v>0</v>
      </c>
      <c r="AE6186" t="n">
        <v>0</v>
      </c>
      <c r="AF6186" t="n">
        <v>0</v>
      </c>
      <c r="AG6186" t="n">
        <v>0</v>
      </c>
      <c r="AH6186" t="n">
        <v>0</v>
      </c>
    </row>
    <row r="6187">
      <c r="A6187" t="inlineStr">
        <is>
          <t>12월</t>
        </is>
      </c>
      <c r="B6187" t="inlineStr">
        <is>
          <t>52주차</t>
        </is>
      </c>
      <c r="C6187" t="e">
        <v>#N/A</v>
      </c>
      <c r="K6187" t="n">
        <v>0</v>
      </c>
      <c r="L6187" t="n">
        <v>0</v>
      </c>
      <c r="M6187" t="n">
        <v>0</v>
      </c>
      <c r="AC6187" t="n">
        <v>0</v>
      </c>
      <c r="AD6187" t="n">
        <v>0</v>
      </c>
      <c r="AE6187" t="n">
        <v>0</v>
      </c>
      <c r="AF6187" t="n">
        <v>0</v>
      </c>
      <c r="AG6187" t="n">
        <v>0</v>
      </c>
      <c r="AH6187" t="n">
        <v>0</v>
      </c>
      <c r="AI6187" t="n">
        <v>0</v>
      </c>
    </row>
    <row r="6188">
      <c r="A6188" t="inlineStr">
        <is>
          <t>12월</t>
        </is>
      </c>
      <c r="B6188" t="inlineStr">
        <is>
          <t>52주차</t>
        </is>
      </c>
      <c r="C6188" t="e">
        <v>#N/A</v>
      </c>
      <c r="K6188" t="n">
        <v>0</v>
      </c>
      <c r="L6188" t="n">
        <v>0</v>
      </c>
      <c r="M6188" t="n">
        <v>0</v>
      </c>
      <c r="AC6188" t="n">
        <v>0</v>
      </c>
      <c r="AD6188" t="n">
        <v>0</v>
      </c>
      <c r="AE6188" t="n">
        <v>0</v>
      </c>
      <c r="AF6188" t="n">
        <v>0</v>
      </c>
      <c r="AG6188" t="n">
        <v>0</v>
      </c>
      <c r="AH6188" t="n">
        <v>0</v>
      </c>
      <c r="AI6188" t="n">
        <v>0</v>
      </c>
    </row>
    <row r="6189">
      <c r="A6189" t="inlineStr">
        <is>
          <t>12월</t>
        </is>
      </c>
      <c r="B6189" t="inlineStr">
        <is>
          <t>52주차</t>
        </is>
      </c>
      <c r="C6189" t="e">
        <v>#N/A</v>
      </c>
      <c r="K6189" t="n">
        <v>0</v>
      </c>
      <c r="L6189" t="n">
        <v>0</v>
      </c>
      <c r="M6189" t="n">
        <v>0</v>
      </c>
      <c r="AC6189" t="n">
        <v>0</v>
      </c>
      <c r="AD6189" t="n">
        <v>0</v>
      </c>
      <c r="AE6189" t="n">
        <v>0</v>
      </c>
      <c r="AF6189" t="n">
        <v>0</v>
      </c>
      <c r="AG6189" t="n">
        <v>0</v>
      </c>
      <c r="AH6189" t="n">
        <v>0</v>
      </c>
    </row>
    <row r="6190">
      <c r="A6190" t="inlineStr">
        <is>
          <t>12월</t>
        </is>
      </c>
      <c r="B6190" t="inlineStr">
        <is>
          <t>52주차</t>
        </is>
      </c>
      <c r="C6190" t="e">
        <v>#N/A</v>
      </c>
      <c r="K6190" t="n">
        <v>0</v>
      </c>
      <c r="L6190" t="n">
        <v>0</v>
      </c>
      <c r="M6190" t="n">
        <v>0</v>
      </c>
      <c r="AC6190" t="n">
        <v>0</v>
      </c>
      <c r="AD6190" t="n">
        <v>0</v>
      </c>
      <c r="AE6190" t="n">
        <v>0</v>
      </c>
      <c r="AF6190" t="n">
        <v>0</v>
      </c>
      <c r="AG6190" t="n">
        <v>0</v>
      </c>
      <c r="AH6190" t="n">
        <v>0</v>
      </c>
      <c r="AI6190" t="n">
        <v>0</v>
      </c>
    </row>
    <row r="6191">
      <c r="A6191" t="inlineStr">
        <is>
          <t>12월</t>
        </is>
      </c>
      <c r="B6191" t="inlineStr">
        <is>
          <t>52주차</t>
        </is>
      </c>
      <c r="C6191" t="e">
        <v>#N/A</v>
      </c>
      <c r="K6191" t="n">
        <v>0</v>
      </c>
      <c r="L6191" t="n">
        <v>0</v>
      </c>
      <c r="M6191" t="n">
        <v>0</v>
      </c>
      <c r="AC6191" t="n">
        <v>0</v>
      </c>
      <c r="AD6191" t="n">
        <v>0</v>
      </c>
      <c r="AE6191" t="n">
        <v>0</v>
      </c>
      <c r="AF6191" t="n">
        <v>0</v>
      </c>
      <c r="AG6191" t="n">
        <v>0</v>
      </c>
      <c r="AH6191" t="n">
        <v>0</v>
      </c>
      <c r="AI6191" t="n">
        <v>0</v>
      </c>
    </row>
    <row r="6192">
      <c r="A6192" t="inlineStr">
        <is>
          <t>12월</t>
        </is>
      </c>
      <c r="B6192" t="inlineStr">
        <is>
          <t>52주차</t>
        </is>
      </c>
      <c r="C6192" t="e">
        <v>#N/A</v>
      </c>
      <c r="K6192" t="n">
        <v>0</v>
      </c>
      <c r="L6192" t="n">
        <v>0</v>
      </c>
      <c r="M6192" t="n">
        <v>0</v>
      </c>
      <c r="AC6192" t="n">
        <v>0</v>
      </c>
      <c r="AD6192" t="n">
        <v>0</v>
      </c>
      <c r="AE6192" t="n">
        <v>0</v>
      </c>
      <c r="AF6192" t="n">
        <v>0</v>
      </c>
      <c r="AG6192" t="n">
        <v>0</v>
      </c>
      <c r="AH6192" t="n">
        <v>0</v>
      </c>
      <c r="AI6192" t="n">
        <v>0</v>
      </c>
    </row>
    <row r="6193">
      <c r="A6193" t="inlineStr">
        <is>
          <t>12월</t>
        </is>
      </c>
      <c r="B6193" t="inlineStr">
        <is>
          <t>52주차</t>
        </is>
      </c>
      <c r="C6193" t="e">
        <v>#N/A</v>
      </c>
      <c r="K6193" t="n">
        <v>0</v>
      </c>
      <c r="L6193" t="n">
        <v>0</v>
      </c>
      <c r="M6193" t="n">
        <v>0</v>
      </c>
      <c r="AC6193" t="n">
        <v>0</v>
      </c>
      <c r="AD6193" t="n">
        <v>0</v>
      </c>
      <c r="AE6193" t="n">
        <v>0</v>
      </c>
      <c r="AF6193" t="n">
        <v>0</v>
      </c>
      <c r="AG6193" t="n">
        <v>0</v>
      </c>
      <c r="AH6193" t="n">
        <v>0</v>
      </c>
      <c r="AI6193" t="n">
        <v>0</v>
      </c>
    </row>
    <row r="6194">
      <c r="A6194" t="inlineStr">
        <is>
          <t>12월</t>
        </is>
      </c>
      <c r="B6194" t="inlineStr">
        <is>
          <t>52주차</t>
        </is>
      </c>
      <c r="C6194" t="e">
        <v>#N/A</v>
      </c>
      <c r="K6194" t="n">
        <v>0</v>
      </c>
      <c r="L6194" t="n">
        <v>0</v>
      </c>
      <c r="M6194" t="n">
        <v>0</v>
      </c>
      <c r="AC6194" t="n">
        <v>0</v>
      </c>
      <c r="AD6194" t="n">
        <v>0</v>
      </c>
      <c r="AE6194" t="n">
        <v>0</v>
      </c>
      <c r="AF6194" t="n">
        <v>0</v>
      </c>
      <c r="AG6194" t="n">
        <v>0</v>
      </c>
      <c r="AH6194" t="n">
        <v>0</v>
      </c>
      <c r="AI6194" t="n">
        <v>0</v>
      </c>
    </row>
    <row r="6195">
      <c r="A6195" t="inlineStr">
        <is>
          <t>12월</t>
        </is>
      </c>
      <c r="B6195" t="inlineStr">
        <is>
          <t>52주차</t>
        </is>
      </c>
      <c r="C6195" t="e">
        <v>#N/A</v>
      </c>
      <c r="K6195" t="n">
        <v>0</v>
      </c>
      <c r="L6195" t="n">
        <v>0</v>
      </c>
      <c r="M6195" t="n">
        <v>0</v>
      </c>
      <c r="AC6195" t="n">
        <v>0</v>
      </c>
      <c r="AD6195" t="n">
        <v>0</v>
      </c>
      <c r="AE6195" t="n">
        <v>0</v>
      </c>
      <c r="AF6195" t="n">
        <v>0</v>
      </c>
      <c r="AG6195" t="n">
        <v>0</v>
      </c>
      <c r="AH6195" t="n">
        <v>0</v>
      </c>
      <c r="AI6195" t="n">
        <v>0</v>
      </c>
    </row>
    <row r="6196">
      <c r="A6196" t="inlineStr">
        <is>
          <t>12월</t>
        </is>
      </c>
      <c r="B6196" t="inlineStr">
        <is>
          <t>52주차</t>
        </is>
      </c>
      <c r="C6196" t="e">
        <v>#N/A</v>
      </c>
      <c r="K6196" t="n">
        <v>0</v>
      </c>
      <c r="L6196" t="n">
        <v>0</v>
      </c>
      <c r="M6196" t="n">
        <v>0</v>
      </c>
      <c r="AC6196" t="n">
        <v>0</v>
      </c>
      <c r="AD6196" t="n">
        <v>0</v>
      </c>
      <c r="AE6196" t="n">
        <v>0</v>
      </c>
      <c r="AF6196" t="n">
        <v>0</v>
      </c>
      <c r="AG6196" t="n">
        <v>0</v>
      </c>
      <c r="AH6196" t="n">
        <v>0</v>
      </c>
    </row>
    <row r="6197">
      <c r="A6197" t="inlineStr">
        <is>
          <t>12월</t>
        </is>
      </c>
      <c r="B6197" t="inlineStr">
        <is>
          <t>52주차</t>
        </is>
      </c>
      <c r="C6197" t="e">
        <v>#N/A</v>
      </c>
      <c r="K6197" t="n">
        <v>0</v>
      </c>
      <c r="L6197" t="n">
        <v>0</v>
      </c>
      <c r="M6197" t="n">
        <v>0</v>
      </c>
      <c r="AC6197" t="n">
        <v>0</v>
      </c>
      <c r="AD6197" t="n">
        <v>0</v>
      </c>
      <c r="AE6197" t="n">
        <v>0</v>
      </c>
      <c r="AF6197" t="n">
        <v>0</v>
      </c>
      <c r="AG6197" t="n">
        <v>0</v>
      </c>
      <c r="AH6197" t="n">
        <v>0</v>
      </c>
      <c r="AI6197" t="n">
        <v>0</v>
      </c>
    </row>
    <row r="6198">
      <c r="A6198" t="inlineStr">
        <is>
          <t>12월</t>
        </is>
      </c>
      <c r="B6198" t="inlineStr">
        <is>
          <t>52주차</t>
        </is>
      </c>
      <c r="C6198" t="e">
        <v>#N/A</v>
      </c>
      <c r="K6198" t="n">
        <v>0</v>
      </c>
      <c r="L6198" t="n">
        <v>0</v>
      </c>
      <c r="M6198" t="n">
        <v>0</v>
      </c>
      <c r="AC6198" t="n">
        <v>0</v>
      </c>
      <c r="AD6198" t="n">
        <v>0</v>
      </c>
      <c r="AE6198" t="n">
        <v>0</v>
      </c>
      <c r="AF6198" t="n">
        <v>0</v>
      </c>
      <c r="AG6198" t="n">
        <v>0</v>
      </c>
      <c r="AH6198" t="n">
        <v>0</v>
      </c>
      <c r="AI6198" t="n">
        <v>0</v>
      </c>
    </row>
    <row r="6199">
      <c r="A6199" t="inlineStr">
        <is>
          <t>12월</t>
        </is>
      </c>
      <c r="B6199" t="inlineStr">
        <is>
          <t>52주차</t>
        </is>
      </c>
      <c r="C6199" t="e">
        <v>#N/A</v>
      </c>
      <c r="K6199" t="n">
        <v>0</v>
      </c>
      <c r="L6199" t="n">
        <v>0</v>
      </c>
      <c r="M6199" t="n">
        <v>0</v>
      </c>
      <c r="AC6199" t="n">
        <v>0</v>
      </c>
      <c r="AD6199" t="n">
        <v>0</v>
      </c>
      <c r="AE6199" t="n">
        <v>0</v>
      </c>
      <c r="AF6199" t="n">
        <v>0</v>
      </c>
      <c r="AG6199" t="n">
        <v>0</v>
      </c>
      <c r="AH6199" t="n">
        <v>0</v>
      </c>
      <c r="AI6199" t="n">
        <v>0</v>
      </c>
    </row>
    <row r="6200">
      <c r="A6200" t="inlineStr">
        <is>
          <t>12월</t>
        </is>
      </c>
      <c r="B6200" t="inlineStr">
        <is>
          <t>52주차</t>
        </is>
      </c>
      <c r="C6200" t="e">
        <v>#N/A</v>
      </c>
      <c r="K6200" t="n">
        <v>0</v>
      </c>
      <c r="L6200" t="n">
        <v>0</v>
      </c>
      <c r="M6200" t="n">
        <v>0</v>
      </c>
      <c r="AC6200" t="n">
        <v>0</v>
      </c>
      <c r="AD6200" t="n">
        <v>0</v>
      </c>
      <c r="AE6200" t="n">
        <v>0</v>
      </c>
      <c r="AF6200" t="n">
        <v>0</v>
      </c>
      <c r="AG6200" t="n">
        <v>0</v>
      </c>
      <c r="AH6200" t="n">
        <v>0</v>
      </c>
      <c r="AI6200" t="n">
        <v>0</v>
      </c>
    </row>
    <row r="6201">
      <c r="A6201" t="inlineStr">
        <is>
          <t>12월</t>
        </is>
      </c>
      <c r="B6201" t="inlineStr">
        <is>
          <t>52주차</t>
        </is>
      </c>
      <c r="C6201" t="e">
        <v>#N/A</v>
      </c>
      <c r="K6201" t="n">
        <v>0</v>
      </c>
      <c r="L6201" t="n">
        <v>0</v>
      </c>
      <c r="M6201" t="n">
        <v>0</v>
      </c>
      <c r="AC6201" t="n">
        <v>0</v>
      </c>
      <c r="AD6201" t="n">
        <v>0</v>
      </c>
      <c r="AE6201" t="n">
        <v>0</v>
      </c>
      <c r="AF6201" t="n">
        <v>0</v>
      </c>
      <c r="AG6201" t="n">
        <v>0</v>
      </c>
      <c r="AH6201" t="n">
        <v>0</v>
      </c>
      <c r="AI6201" t="n">
        <v>0</v>
      </c>
    </row>
    <row r="6202">
      <c r="A6202" t="inlineStr">
        <is>
          <t>12월</t>
        </is>
      </c>
      <c r="B6202" t="inlineStr">
        <is>
          <t>52주차</t>
        </is>
      </c>
      <c r="C6202" t="e">
        <v>#N/A</v>
      </c>
      <c r="K6202" t="n">
        <v>0</v>
      </c>
      <c r="L6202" t="n">
        <v>0</v>
      </c>
      <c r="M6202" t="n">
        <v>0</v>
      </c>
      <c r="AC6202" t="n">
        <v>0</v>
      </c>
      <c r="AD6202" t="n">
        <v>0</v>
      </c>
      <c r="AE6202" t="n">
        <v>0</v>
      </c>
      <c r="AF6202" t="n">
        <v>0</v>
      </c>
      <c r="AG6202" t="n">
        <v>0</v>
      </c>
      <c r="AH6202" t="n">
        <v>0</v>
      </c>
      <c r="AI6202" t="n">
        <v>0</v>
      </c>
    </row>
    <row r="6203">
      <c r="A6203" t="inlineStr">
        <is>
          <t>12월</t>
        </is>
      </c>
      <c r="B6203" t="inlineStr">
        <is>
          <t>52주차</t>
        </is>
      </c>
      <c r="C6203" t="e">
        <v>#N/A</v>
      </c>
      <c r="K6203" t="n">
        <v>0</v>
      </c>
      <c r="L6203" t="n">
        <v>0</v>
      </c>
      <c r="M6203" t="n">
        <v>0</v>
      </c>
      <c r="AC6203" t="n">
        <v>0</v>
      </c>
      <c r="AD6203" t="n">
        <v>0</v>
      </c>
      <c r="AE6203" t="n">
        <v>0</v>
      </c>
      <c r="AF6203" t="n">
        <v>0</v>
      </c>
      <c r="AG6203" t="n">
        <v>0</v>
      </c>
      <c r="AH6203" t="n">
        <v>0</v>
      </c>
      <c r="AI6203" t="n">
        <v>0</v>
      </c>
    </row>
    <row r="6204">
      <c r="A6204" t="inlineStr">
        <is>
          <t>12월</t>
        </is>
      </c>
      <c r="B6204" t="inlineStr">
        <is>
          <t>52주차</t>
        </is>
      </c>
      <c r="C6204" t="e">
        <v>#N/A</v>
      </c>
      <c r="K6204" t="n">
        <v>0</v>
      </c>
      <c r="L6204" t="n">
        <v>0</v>
      </c>
      <c r="M6204" t="n">
        <v>0</v>
      </c>
      <c r="AC6204" t="n">
        <v>0</v>
      </c>
      <c r="AD6204" t="n">
        <v>0</v>
      </c>
      <c r="AE6204" t="n">
        <v>0</v>
      </c>
      <c r="AF6204" t="n">
        <v>0</v>
      </c>
      <c r="AG6204" t="n">
        <v>0</v>
      </c>
      <c r="AH6204" t="n">
        <v>0</v>
      </c>
    </row>
    <row r="6205">
      <c r="A6205" t="inlineStr">
        <is>
          <t>12월</t>
        </is>
      </c>
      <c r="B6205" t="inlineStr">
        <is>
          <t>52주차</t>
        </is>
      </c>
      <c r="C6205" t="e">
        <v>#N/A</v>
      </c>
      <c r="K6205" t="n">
        <v>0</v>
      </c>
      <c r="L6205" t="n">
        <v>0</v>
      </c>
      <c r="M6205" t="n">
        <v>0</v>
      </c>
      <c r="AC6205" t="n">
        <v>0</v>
      </c>
      <c r="AD6205" t="n">
        <v>0</v>
      </c>
      <c r="AE6205" t="n">
        <v>0</v>
      </c>
      <c r="AF6205" t="n">
        <v>0</v>
      </c>
      <c r="AG6205" t="n">
        <v>0</v>
      </c>
      <c r="AH6205" t="n">
        <v>0</v>
      </c>
      <c r="AI6205" t="n">
        <v>0</v>
      </c>
    </row>
    <row r="6206">
      <c r="A6206" t="inlineStr">
        <is>
          <t>12월</t>
        </is>
      </c>
      <c r="B6206" t="inlineStr">
        <is>
          <t>52주차</t>
        </is>
      </c>
      <c r="C6206" t="e">
        <v>#N/A</v>
      </c>
      <c r="K6206" t="n">
        <v>0</v>
      </c>
      <c r="L6206" t="n">
        <v>0</v>
      </c>
      <c r="M6206" t="n">
        <v>0</v>
      </c>
      <c r="AC6206" t="n">
        <v>0</v>
      </c>
      <c r="AD6206" t="n">
        <v>0</v>
      </c>
      <c r="AE6206" t="n">
        <v>0</v>
      </c>
      <c r="AF6206" t="n">
        <v>0</v>
      </c>
      <c r="AG6206" t="n">
        <v>0</v>
      </c>
      <c r="AH6206" t="n">
        <v>0</v>
      </c>
      <c r="AI6206" t="n">
        <v>0</v>
      </c>
    </row>
    <row r="6207">
      <c r="A6207" t="inlineStr">
        <is>
          <t>12월</t>
        </is>
      </c>
      <c r="B6207" t="inlineStr">
        <is>
          <t>52주차</t>
        </is>
      </c>
      <c r="C6207" t="e">
        <v>#N/A</v>
      </c>
      <c r="K6207" t="n">
        <v>0</v>
      </c>
      <c r="L6207" t="n">
        <v>0</v>
      </c>
      <c r="M6207" t="n">
        <v>0</v>
      </c>
      <c r="AC6207" t="n">
        <v>0</v>
      </c>
      <c r="AD6207" t="n">
        <v>0</v>
      </c>
      <c r="AE6207" t="n">
        <v>0</v>
      </c>
      <c r="AF6207" t="n">
        <v>0</v>
      </c>
      <c r="AG6207" t="n">
        <v>0</v>
      </c>
      <c r="AH6207" t="n">
        <v>0</v>
      </c>
      <c r="AI6207" t="n">
        <v>0</v>
      </c>
    </row>
    <row r="6208">
      <c r="A6208" t="inlineStr">
        <is>
          <t>12월</t>
        </is>
      </c>
      <c r="B6208" t="inlineStr">
        <is>
          <t>52주차</t>
        </is>
      </c>
      <c r="C6208" t="e">
        <v>#N/A</v>
      </c>
      <c r="K6208" t="n">
        <v>0</v>
      </c>
      <c r="L6208" t="n">
        <v>0</v>
      </c>
      <c r="M6208" t="n">
        <v>0</v>
      </c>
      <c r="AC6208" t="n">
        <v>0</v>
      </c>
      <c r="AD6208" t="n">
        <v>0</v>
      </c>
      <c r="AE6208" t="n">
        <v>0</v>
      </c>
      <c r="AF6208" t="n">
        <v>0</v>
      </c>
      <c r="AG6208" t="n">
        <v>0</v>
      </c>
      <c r="AH6208" t="n">
        <v>0</v>
      </c>
    </row>
    <row r="6209">
      <c r="A6209" t="inlineStr">
        <is>
          <t>12월</t>
        </is>
      </c>
      <c r="B6209" t="inlineStr">
        <is>
          <t>52주차</t>
        </is>
      </c>
      <c r="C6209" t="e">
        <v>#N/A</v>
      </c>
      <c r="K6209" t="n">
        <v>0</v>
      </c>
      <c r="L6209" t="n">
        <v>0</v>
      </c>
      <c r="M6209" t="n">
        <v>0</v>
      </c>
      <c r="AC6209" t="n">
        <v>0</v>
      </c>
      <c r="AD6209" t="n">
        <v>0</v>
      </c>
      <c r="AE6209" t="n">
        <v>0</v>
      </c>
      <c r="AF6209" t="n">
        <v>0</v>
      </c>
      <c r="AG6209" t="n">
        <v>0</v>
      </c>
      <c r="AH6209" t="n">
        <v>0</v>
      </c>
      <c r="AI6209" t="n">
        <v>0</v>
      </c>
    </row>
    <row r="6210">
      <c r="A6210" t="inlineStr">
        <is>
          <t>12월</t>
        </is>
      </c>
      <c r="B6210" t="inlineStr">
        <is>
          <t>52주차</t>
        </is>
      </c>
      <c r="C6210" t="e">
        <v>#N/A</v>
      </c>
      <c r="K6210" t="n">
        <v>0</v>
      </c>
      <c r="L6210" t="n">
        <v>0</v>
      </c>
      <c r="M6210" t="n">
        <v>0</v>
      </c>
      <c r="AC6210" t="n">
        <v>0</v>
      </c>
      <c r="AD6210" t="n">
        <v>0</v>
      </c>
      <c r="AE6210" t="n">
        <v>0</v>
      </c>
      <c r="AF6210" t="n">
        <v>0</v>
      </c>
      <c r="AG6210" t="n">
        <v>0</v>
      </c>
      <c r="AH6210" t="n">
        <v>0</v>
      </c>
    </row>
    <row r="6211">
      <c r="A6211" t="inlineStr">
        <is>
          <t>12월</t>
        </is>
      </c>
      <c r="B6211" t="inlineStr">
        <is>
          <t>52주차</t>
        </is>
      </c>
      <c r="C6211" t="e">
        <v>#N/A</v>
      </c>
      <c r="K6211" t="n">
        <v>0</v>
      </c>
      <c r="L6211" t="n">
        <v>0</v>
      </c>
      <c r="M6211" t="n">
        <v>0</v>
      </c>
      <c r="AC6211" t="n">
        <v>0</v>
      </c>
      <c r="AD6211" t="n">
        <v>0</v>
      </c>
      <c r="AE6211" t="n">
        <v>0</v>
      </c>
      <c r="AF6211" t="n">
        <v>0</v>
      </c>
      <c r="AG6211" t="n">
        <v>0</v>
      </c>
      <c r="AH6211" t="n">
        <v>0</v>
      </c>
      <c r="AI6211" t="n">
        <v>0</v>
      </c>
    </row>
    <row r="6212">
      <c r="A6212" t="inlineStr">
        <is>
          <t>12월</t>
        </is>
      </c>
      <c r="B6212" t="inlineStr">
        <is>
          <t>52주차</t>
        </is>
      </c>
      <c r="C6212" t="e">
        <v>#N/A</v>
      </c>
      <c r="K6212" t="n">
        <v>0</v>
      </c>
      <c r="L6212" t="n">
        <v>0</v>
      </c>
      <c r="M6212" t="n">
        <v>0</v>
      </c>
      <c r="AC6212" t="n">
        <v>0</v>
      </c>
      <c r="AD6212" t="n">
        <v>0</v>
      </c>
      <c r="AE6212" t="n">
        <v>0</v>
      </c>
      <c r="AF6212" t="n">
        <v>0</v>
      </c>
      <c r="AG6212" t="n">
        <v>0</v>
      </c>
      <c r="AH6212" t="n">
        <v>0</v>
      </c>
      <c r="AI6212" t="n">
        <v>0</v>
      </c>
    </row>
    <row r="6213">
      <c r="A6213" t="inlineStr">
        <is>
          <t>12월</t>
        </is>
      </c>
      <c r="B6213" t="inlineStr">
        <is>
          <t>52주차</t>
        </is>
      </c>
      <c r="C6213" t="e">
        <v>#N/A</v>
      </c>
      <c r="K6213" t="n">
        <v>0</v>
      </c>
      <c r="L6213" t="n">
        <v>0</v>
      </c>
      <c r="M6213" t="n">
        <v>0</v>
      </c>
      <c r="AC6213" t="n">
        <v>0</v>
      </c>
      <c r="AD6213" t="n">
        <v>0</v>
      </c>
      <c r="AE6213" t="n">
        <v>0</v>
      </c>
      <c r="AF6213" t="n">
        <v>0</v>
      </c>
      <c r="AG6213" t="n">
        <v>0</v>
      </c>
      <c r="AH6213" t="n">
        <v>0</v>
      </c>
      <c r="AI6213" t="n">
        <v>0</v>
      </c>
    </row>
    <row r="6214">
      <c r="A6214" t="inlineStr">
        <is>
          <t>12월</t>
        </is>
      </c>
      <c r="B6214" t="inlineStr">
        <is>
          <t>52주차</t>
        </is>
      </c>
      <c r="C6214" t="e">
        <v>#N/A</v>
      </c>
      <c r="K6214" t="n">
        <v>0</v>
      </c>
      <c r="L6214" t="n">
        <v>0</v>
      </c>
      <c r="M6214" t="n">
        <v>0</v>
      </c>
      <c r="AC6214" t="n">
        <v>0</v>
      </c>
      <c r="AD6214" t="n">
        <v>0</v>
      </c>
      <c r="AE6214" t="n">
        <v>0</v>
      </c>
      <c r="AF6214" t="n">
        <v>0</v>
      </c>
      <c r="AG6214" t="n">
        <v>0</v>
      </c>
      <c r="AH6214" t="n">
        <v>0</v>
      </c>
      <c r="AI6214" t="n">
        <v>0</v>
      </c>
    </row>
    <row r="6215">
      <c r="A6215" t="inlineStr">
        <is>
          <t>12월</t>
        </is>
      </c>
      <c r="B6215" t="inlineStr">
        <is>
          <t>52주차</t>
        </is>
      </c>
      <c r="C6215" t="e">
        <v>#N/A</v>
      </c>
      <c r="K6215" t="n">
        <v>0</v>
      </c>
      <c r="L6215" t="n">
        <v>0</v>
      </c>
      <c r="M6215" t="n">
        <v>0</v>
      </c>
      <c r="AC6215" t="n">
        <v>0</v>
      </c>
      <c r="AD6215" t="n">
        <v>0</v>
      </c>
      <c r="AE6215" t="n">
        <v>0</v>
      </c>
      <c r="AF6215" t="n">
        <v>0</v>
      </c>
      <c r="AG6215" t="n">
        <v>0</v>
      </c>
      <c r="AH6215" t="n">
        <v>0</v>
      </c>
      <c r="AI6215" t="n">
        <v>0</v>
      </c>
    </row>
    <row r="6216">
      <c r="A6216" t="inlineStr">
        <is>
          <t>12월</t>
        </is>
      </c>
      <c r="B6216" t="inlineStr">
        <is>
          <t>52주차</t>
        </is>
      </c>
      <c r="C6216" t="e">
        <v>#N/A</v>
      </c>
      <c r="K6216" t="n">
        <v>0</v>
      </c>
      <c r="L6216" t="n">
        <v>0</v>
      </c>
      <c r="M6216" t="n">
        <v>0</v>
      </c>
      <c r="AC6216" t="n">
        <v>0</v>
      </c>
      <c r="AD6216" t="n">
        <v>0</v>
      </c>
      <c r="AE6216" t="n">
        <v>0</v>
      </c>
      <c r="AF6216" t="n">
        <v>0</v>
      </c>
      <c r="AG6216" t="n">
        <v>0</v>
      </c>
      <c r="AH6216" t="n">
        <v>0</v>
      </c>
      <c r="AI6216" t="n">
        <v>0</v>
      </c>
    </row>
    <row r="6217">
      <c r="A6217" t="inlineStr">
        <is>
          <t>12월</t>
        </is>
      </c>
      <c r="B6217" t="inlineStr">
        <is>
          <t>52주차</t>
        </is>
      </c>
      <c r="C6217" t="e">
        <v>#N/A</v>
      </c>
      <c r="K6217" t="n">
        <v>0</v>
      </c>
      <c r="L6217" t="n">
        <v>0</v>
      </c>
      <c r="M6217" t="n">
        <v>0</v>
      </c>
      <c r="AC6217" t="n">
        <v>0</v>
      </c>
      <c r="AD6217" t="n">
        <v>0</v>
      </c>
      <c r="AE6217" t="n">
        <v>0</v>
      </c>
      <c r="AF6217" t="n">
        <v>0</v>
      </c>
      <c r="AG6217" t="n">
        <v>0</v>
      </c>
      <c r="AH6217" t="n">
        <v>0</v>
      </c>
      <c r="AI6217" t="n">
        <v>0</v>
      </c>
    </row>
    <row r="6218">
      <c r="A6218" t="inlineStr">
        <is>
          <t>12월</t>
        </is>
      </c>
      <c r="B6218" t="inlineStr">
        <is>
          <t>52주차</t>
        </is>
      </c>
      <c r="C6218" t="e">
        <v>#N/A</v>
      </c>
      <c r="K6218" t="n">
        <v>0</v>
      </c>
      <c r="L6218" t="n">
        <v>0</v>
      </c>
      <c r="M6218" t="n">
        <v>0</v>
      </c>
      <c r="AC6218" t="n">
        <v>0</v>
      </c>
      <c r="AD6218" t="n">
        <v>0</v>
      </c>
      <c r="AE6218" t="n">
        <v>0</v>
      </c>
      <c r="AF6218" t="n">
        <v>0</v>
      </c>
      <c r="AG6218" t="n">
        <v>0</v>
      </c>
      <c r="AH6218" t="n">
        <v>0</v>
      </c>
      <c r="AI6218" t="n">
        <v>0</v>
      </c>
    </row>
    <row r="6219">
      <c r="A6219" t="inlineStr">
        <is>
          <t>12월</t>
        </is>
      </c>
      <c r="B6219" t="inlineStr">
        <is>
          <t>52주차</t>
        </is>
      </c>
      <c r="C6219" t="e">
        <v>#N/A</v>
      </c>
      <c r="K6219" t="n">
        <v>0</v>
      </c>
      <c r="L6219" t="n">
        <v>0</v>
      </c>
      <c r="M6219" t="n">
        <v>0</v>
      </c>
      <c r="AC6219" t="n">
        <v>0</v>
      </c>
      <c r="AD6219" t="n">
        <v>0</v>
      </c>
      <c r="AE6219" t="n">
        <v>0</v>
      </c>
      <c r="AF6219" t="n">
        <v>0</v>
      </c>
      <c r="AG6219" t="n">
        <v>0</v>
      </c>
      <c r="AH6219" t="n">
        <v>0</v>
      </c>
      <c r="AI6219" t="n">
        <v>0</v>
      </c>
    </row>
    <row r="6220">
      <c r="A6220" t="inlineStr">
        <is>
          <t>12월</t>
        </is>
      </c>
      <c r="B6220" t="inlineStr">
        <is>
          <t>52주차</t>
        </is>
      </c>
      <c r="C6220" t="e">
        <v>#N/A</v>
      </c>
      <c r="K6220" t="n">
        <v>0</v>
      </c>
      <c r="L6220" t="n">
        <v>0</v>
      </c>
      <c r="M6220" t="n">
        <v>0</v>
      </c>
      <c r="AC6220" t="n">
        <v>0</v>
      </c>
      <c r="AD6220" t="n">
        <v>0</v>
      </c>
      <c r="AE6220" t="n">
        <v>0</v>
      </c>
      <c r="AF6220" t="n">
        <v>0</v>
      </c>
      <c r="AG6220" t="n">
        <v>0</v>
      </c>
      <c r="AH6220" t="n">
        <v>0</v>
      </c>
      <c r="AI6220" t="n">
        <v>0</v>
      </c>
    </row>
    <row r="6221">
      <c r="A6221" t="inlineStr">
        <is>
          <t>12월</t>
        </is>
      </c>
      <c r="B6221" t="inlineStr">
        <is>
          <t>52주차</t>
        </is>
      </c>
      <c r="C6221" t="e">
        <v>#N/A</v>
      </c>
      <c r="K6221" t="n">
        <v>0</v>
      </c>
      <c r="L6221" t="n">
        <v>0</v>
      </c>
      <c r="M6221" t="n">
        <v>0</v>
      </c>
      <c r="AC6221" t="n">
        <v>0</v>
      </c>
      <c r="AD6221" t="n">
        <v>0</v>
      </c>
      <c r="AE6221" t="n">
        <v>0</v>
      </c>
      <c r="AF6221" t="n">
        <v>0</v>
      </c>
      <c r="AG6221" t="n">
        <v>0</v>
      </c>
      <c r="AH6221" t="n">
        <v>0</v>
      </c>
    </row>
    <row r="6222">
      <c r="A6222" t="inlineStr">
        <is>
          <t>12월</t>
        </is>
      </c>
      <c r="B6222" t="inlineStr">
        <is>
          <t>52주차</t>
        </is>
      </c>
      <c r="C6222" t="e">
        <v>#N/A</v>
      </c>
      <c r="K6222" t="n">
        <v>0</v>
      </c>
      <c r="L6222" t="n">
        <v>0</v>
      </c>
      <c r="M6222" t="n">
        <v>0</v>
      </c>
      <c r="AC6222" t="n">
        <v>0</v>
      </c>
      <c r="AD6222" t="n">
        <v>0</v>
      </c>
      <c r="AE6222" t="n">
        <v>0</v>
      </c>
      <c r="AF6222" t="n">
        <v>0</v>
      </c>
      <c r="AG6222" t="n">
        <v>0</v>
      </c>
      <c r="AH6222" t="n">
        <v>0</v>
      </c>
      <c r="AI6222" t="n">
        <v>0</v>
      </c>
    </row>
    <row r="6223">
      <c r="A6223" t="inlineStr">
        <is>
          <t>12월</t>
        </is>
      </c>
      <c r="B6223" t="inlineStr">
        <is>
          <t>52주차</t>
        </is>
      </c>
      <c r="C6223" t="e">
        <v>#N/A</v>
      </c>
      <c r="K6223" t="n">
        <v>0</v>
      </c>
      <c r="L6223" t="n">
        <v>0</v>
      </c>
      <c r="M6223" t="n">
        <v>0</v>
      </c>
      <c r="AC6223" t="n">
        <v>0</v>
      </c>
      <c r="AD6223" t="n">
        <v>0</v>
      </c>
      <c r="AE6223" t="n">
        <v>0</v>
      </c>
      <c r="AF6223" t="n">
        <v>0</v>
      </c>
      <c r="AG6223" t="n">
        <v>0</v>
      </c>
      <c r="AH6223" t="n">
        <v>0</v>
      </c>
      <c r="AI6223" t="n">
        <v>0</v>
      </c>
    </row>
    <row r="6224">
      <c r="A6224" t="inlineStr">
        <is>
          <t>12월</t>
        </is>
      </c>
      <c r="B6224" t="inlineStr">
        <is>
          <t>52주차</t>
        </is>
      </c>
      <c r="C6224" t="e">
        <v>#N/A</v>
      </c>
      <c r="K6224" t="n">
        <v>0</v>
      </c>
      <c r="L6224" t="n">
        <v>0</v>
      </c>
      <c r="M6224" t="n">
        <v>0</v>
      </c>
      <c r="AC6224" t="n">
        <v>0</v>
      </c>
      <c r="AD6224" t="n">
        <v>0</v>
      </c>
      <c r="AE6224" t="n">
        <v>0</v>
      </c>
      <c r="AF6224" t="n">
        <v>0</v>
      </c>
      <c r="AG6224" t="n">
        <v>0</v>
      </c>
      <c r="AH6224" t="n">
        <v>0</v>
      </c>
      <c r="AI6224" t="n">
        <v>0</v>
      </c>
    </row>
    <row r="6225">
      <c r="A6225" t="inlineStr">
        <is>
          <t>12월</t>
        </is>
      </c>
      <c r="B6225" t="inlineStr">
        <is>
          <t>52주차</t>
        </is>
      </c>
      <c r="C6225" t="e">
        <v>#N/A</v>
      </c>
      <c r="K6225" t="n">
        <v>0</v>
      </c>
      <c r="L6225" t="n">
        <v>0</v>
      </c>
      <c r="M6225" t="n">
        <v>0</v>
      </c>
      <c r="AC6225" t="n">
        <v>0</v>
      </c>
      <c r="AD6225" t="n">
        <v>0</v>
      </c>
      <c r="AE6225" t="n">
        <v>0</v>
      </c>
      <c r="AF6225" t="n">
        <v>0</v>
      </c>
      <c r="AG6225" t="n">
        <v>0</v>
      </c>
      <c r="AH6225" t="n">
        <v>0</v>
      </c>
      <c r="AI6225" t="n">
        <v>0</v>
      </c>
    </row>
    <row r="6226">
      <c r="A6226" t="inlineStr">
        <is>
          <t>12월</t>
        </is>
      </c>
      <c r="B6226" t="inlineStr">
        <is>
          <t>52주차</t>
        </is>
      </c>
      <c r="C6226" t="e">
        <v>#N/A</v>
      </c>
      <c r="K6226" t="n">
        <v>0</v>
      </c>
      <c r="L6226" t="n">
        <v>0</v>
      </c>
      <c r="M6226" t="n">
        <v>0</v>
      </c>
      <c r="AC6226" t="n">
        <v>0</v>
      </c>
      <c r="AD6226" t="n">
        <v>0</v>
      </c>
      <c r="AE6226" t="n">
        <v>0</v>
      </c>
      <c r="AF6226" t="n">
        <v>0</v>
      </c>
      <c r="AG6226" t="n">
        <v>0</v>
      </c>
      <c r="AH6226" t="n">
        <v>0</v>
      </c>
      <c r="AI6226" t="n">
        <v>0</v>
      </c>
    </row>
    <row r="6227">
      <c r="A6227" t="inlineStr">
        <is>
          <t>12월</t>
        </is>
      </c>
      <c r="B6227" t="inlineStr">
        <is>
          <t>52주차</t>
        </is>
      </c>
      <c r="C6227" t="e">
        <v>#N/A</v>
      </c>
      <c r="K6227" t="n">
        <v>0</v>
      </c>
      <c r="L6227" t="n">
        <v>0</v>
      </c>
      <c r="M6227" t="n">
        <v>0</v>
      </c>
      <c r="AC6227" t="n">
        <v>0</v>
      </c>
      <c r="AD6227" t="n">
        <v>0</v>
      </c>
      <c r="AE6227" t="n">
        <v>0</v>
      </c>
      <c r="AF6227" t="n">
        <v>0</v>
      </c>
      <c r="AG6227" t="n">
        <v>0</v>
      </c>
      <c r="AH6227" t="n">
        <v>0</v>
      </c>
      <c r="AI6227" t="n">
        <v>0</v>
      </c>
    </row>
    <row r="6228">
      <c r="A6228" t="inlineStr">
        <is>
          <t>12월</t>
        </is>
      </c>
      <c r="B6228" t="inlineStr">
        <is>
          <t>52주차</t>
        </is>
      </c>
      <c r="C6228" t="e">
        <v>#N/A</v>
      </c>
      <c r="K6228" t="n">
        <v>0</v>
      </c>
      <c r="L6228" t="n">
        <v>0</v>
      </c>
      <c r="M6228" t="n">
        <v>0</v>
      </c>
      <c r="AC6228" t="n">
        <v>0</v>
      </c>
      <c r="AD6228" t="n">
        <v>0</v>
      </c>
      <c r="AE6228" t="n">
        <v>0</v>
      </c>
      <c r="AF6228" t="n">
        <v>0</v>
      </c>
      <c r="AG6228" t="n">
        <v>0</v>
      </c>
      <c r="AH6228" t="n">
        <v>0</v>
      </c>
      <c r="AI6228" t="n">
        <v>0</v>
      </c>
    </row>
    <row r="6229">
      <c r="A6229" t="inlineStr">
        <is>
          <t>12월</t>
        </is>
      </c>
      <c r="B6229" t="inlineStr">
        <is>
          <t>52주차</t>
        </is>
      </c>
      <c r="C6229" t="e">
        <v>#N/A</v>
      </c>
      <c r="K6229" t="n">
        <v>0</v>
      </c>
      <c r="L6229" t="n">
        <v>0</v>
      </c>
      <c r="M6229" t="n">
        <v>0</v>
      </c>
      <c r="AC6229" t="n">
        <v>0</v>
      </c>
      <c r="AD6229" t="n">
        <v>0</v>
      </c>
      <c r="AE6229" t="n">
        <v>0</v>
      </c>
      <c r="AF6229" t="n">
        <v>0</v>
      </c>
      <c r="AG6229" t="n">
        <v>0</v>
      </c>
      <c r="AH6229" t="n">
        <v>0</v>
      </c>
    </row>
    <row r="6230">
      <c r="A6230" t="inlineStr">
        <is>
          <t>12월</t>
        </is>
      </c>
      <c r="B6230" t="inlineStr">
        <is>
          <t>52주차</t>
        </is>
      </c>
      <c r="C6230" t="e">
        <v>#N/A</v>
      </c>
      <c r="K6230" t="n">
        <v>0</v>
      </c>
      <c r="L6230" t="n">
        <v>0</v>
      </c>
      <c r="M6230" t="n">
        <v>0</v>
      </c>
      <c r="AC6230" t="n">
        <v>0</v>
      </c>
      <c r="AD6230" t="n">
        <v>0</v>
      </c>
      <c r="AE6230" t="n">
        <v>0</v>
      </c>
      <c r="AF6230" t="n">
        <v>0</v>
      </c>
      <c r="AG6230" t="n">
        <v>0</v>
      </c>
      <c r="AH6230" t="n">
        <v>0</v>
      </c>
    </row>
    <row r="6231">
      <c r="A6231" t="inlineStr">
        <is>
          <t>12월</t>
        </is>
      </c>
      <c r="B6231" t="inlineStr">
        <is>
          <t>52주차</t>
        </is>
      </c>
      <c r="C6231" t="e">
        <v>#N/A</v>
      </c>
      <c r="K6231" t="n">
        <v>0</v>
      </c>
      <c r="L6231" t="n">
        <v>0</v>
      </c>
      <c r="M6231" t="n">
        <v>0</v>
      </c>
      <c r="AC6231" t="n">
        <v>0</v>
      </c>
      <c r="AD6231" t="n">
        <v>0</v>
      </c>
      <c r="AE6231" t="n">
        <v>0</v>
      </c>
      <c r="AF6231" t="n">
        <v>0</v>
      </c>
      <c r="AG6231" t="n">
        <v>0</v>
      </c>
      <c r="AH6231" t="n">
        <v>0</v>
      </c>
      <c r="AI6231" t="n">
        <v>0</v>
      </c>
    </row>
    <row r="6232">
      <c r="A6232" t="inlineStr">
        <is>
          <t>12월</t>
        </is>
      </c>
      <c r="B6232" t="inlineStr">
        <is>
          <t>52주차</t>
        </is>
      </c>
      <c r="C6232" t="e">
        <v>#N/A</v>
      </c>
      <c r="K6232" t="n">
        <v>0</v>
      </c>
      <c r="L6232" t="n">
        <v>0</v>
      </c>
      <c r="M6232" t="n">
        <v>0</v>
      </c>
      <c r="AC6232" t="n">
        <v>0</v>
      </c>
      <c r="AD6232" t="n">
        <v>0</v>
      </c>
      <c r="AE6232" t="n">
        <v>0</v>
      </c>
      <c r="AF6232" t="n">
        <v>0</v>
      </c>
      <c r="AG6232" t="n">
        <v>0</v>
      </c>
      <c r="AH6232" t="n">
        <v>0</v>
      </c>
      <c r="AI6232" t="n">
        <v>0</v>
      </c>
    </row>
    <row r="6233">
      <c r="A6233" t="inlineStr">
        <is>
          <t>12월</t>
        </is>
      </c>
      <c r="B6233" t="inlineStr">
        <is>
          <t>52주차</t>
        </is>
      </c>
      <c r="C6233" t="e">
        <v>#N/A</v>
      </c>
      <c r="K6233" t="n">
        <v>0</v>
      </c>
      <c r="L6233" t="n">
        <v>0</v>
      </c>
      <c r="M6233" t="n">
        <v>0</v>
      </c>
      <c r="AC6233" t="n">
        <v>0</v>
      </c>
      <c r="AD6233" t="n">
        <v>0</v>
      </c>
      <c r="AE6233" t="n">
        <v>0</v>
      </c>
      <c r="AF6233" t="n">
        <v>0</v>
      </c>
      <c r="AG6233" t="n">
        <v>0</v>
      </c>
      <c r="AH6233" t="n">
        <v>0</v>
      </c>
      <c r="AI6233" t="n">
        <v>0</v>
      </c>
    </row>
    <row r="6234">
      <c r="A6234" t="inlineStr">
        <is>
          <t>12월</t>
        </is>
      </c>
      <c r="B6234" t="inlineStr">
        <is>
          <t>52주차</t>
        </is>
      </c>
      <c r="C6234" t="e">
        <v>#N/A</v>
      </c>
      <c r="K6234" t="n">
        <v>0</v>
      </c>
      <c r="L6234" t="n">
        <v>0</v>
      </c>
      <c r="M6234" t="n">
        <v>0</v>
      </c>
      <c r="AC6234" t="n">
        <v>0</v>
      </c>
      <c r="AD6234" t="n">
        <v>0</v>
      </c>
      <c r="AE6234" t="n">
        <v>0</v>
      </c>
      <c r="AF6234" t="n">
        <v>0</v>
      </c>
      <c r="AG6234" t="n">
        <v>0</v>
      </c>
      <c r="AH6234" t="n">
        <v>0</v>
      </c>
      <c r="AI6234" t="n">
        <v>0</v>
      </c>
    </row>
    <row r="6235">
      <c r="A6235" t="inlineStr">
        <is>
          <t>12월</t>
        </is>
      </c>
      <c r="B6235" t="inlineStr">
        <is>
          <t>52주차</t>
        </is>
      </c>
      <c r="C6235" t="e">
        <v>#N/A</v>
      </c>
      <c r="K6235" t="n">
        <v>0</v>
      </c>
      <c r="L6235" t="n">
        <v>0</v>
      </c>
      <c r="M6235" t="n">
        <v>0</v>
      </c>
      <c r="AC6235" t="n">
        <v>0</v>
      </c>
      <c r="AD6235" t="n">
        <v>0</v>
      </c>
      <c r="AE6235" t="n">
        <v>0</v>
      </c>
      <c r="AF6235" t="n">
        <v>0</v>
      </c>
      <c r="AG6235" t="n">
        <v>0</v>
      </c>
      <c r="AH6235" t="n">
        <v>0</v>
      </c>
      <c r="AI6235" t="n">
        <v>0</v>
      </c>
    </row>
    <row r="6236">
      <c r="A6236" t="inlineStr">
        <is>
          <t>12월</t>
        </is>
      </c>
      <c r="B6236" t="inlineStr">
        <is>
          <t>52주차</t>
        </is>
      </c>
      <c r="C6236" t="e">
        <v>#N/A</v>
      </c>
      <c r="K6236" t="n">
        <v>0</v>
      </c>
      <c r="L6236" t="n">
        <v>0</v>
      </c>
      <c r="M6236" t="n">
        <v>0</v>
      </c>
      <c r="AC6236" t="n">
        <v>0</v>
      </c>
      <c r="AD6236" t="n">
        <v>0</v>
      </c>
      <c r="AE6236" t="n">
        <v>0</v>
      </c>
      <c r="AF6236" t="n">
        <v>0</v>
      </c>
      <c r="AG6236" t="n">
        <v>0</v>
      </c>
      <c r="AH6236" t="n">
        <v>0</v>
      </c>
      <c r="AI6236" t="n">
        <v>0</v>
      </c>
    </row>
    <row r="6237">
      <c r="A6237" t="inlineStr">
        <is>
          <t>12월</t>
        </is>
      </c>
      <c r="B6237" t="inlineStr">
        <is>
          <t>52주차</t>
        </is>
      </c>
      <c r="C6237" t="e">
        <v>#N/A</v>
      </c>
      <c r="K6237" t="n">
        <v>0</v>
      </c>
      <c r="L6237" t="n">
        <v>0</v>
      </c>
      <c r="M6237" t="n">
        <v>0</v>
      </c>
      <c r="AC6237" t="n">
        <v>0</v>
      </c>
      <c r="AD6237" t="n">
        <v>0</v>
      </c>
      <c r="AE6237" t="n">
        <v>0</v>
      </c>
      <c r="AF6237" t="n">
        <v>0</v>
      </c>
      <c r="AG6237" t="n">
        <v>0</v>
      </c>
      <c r="AH6237" t="n">
        <v>0</v>
      </c>
      <c r="AI6237" t="n">
        <v>0</v>
      </c>
    </row>
    <row r="6238">
      <c r="A6238" t="inlineStr">
        <is>
          <t>12월</t>
        </is>
      </c>
      <c r="B6238" t="inlineStr">
        <is>
          <t>52주차</t>
        </is>
      </c>
      <c r="C6238" t="e">
        <v>#N/A</v>
      </c>
      <c r="K6238" t="n">
        <v>0</v>
      </c>
      <c r="L6238" t="n">
        <v>0</v>
      </c>
      <c r="M6238" t="n">
        <v>0</v>
      </c>
      <c r="AC6238" t="n">
        <v>0</v>
      </c>
      <c r="AD6238" t="n">
        <v>0</v>
      </c>
      <c r="AE6238" t="n">
        <v>0</v>
      </c>
      <c r="AF6238" t="n">
        <v>0</v>
      </c>
      <c r="AG6238" t="n">
        <v>0</v>
      </c>
      <c r="AH6238" t="n">
        <v>0</v>
      </c>
      <c r="AI6238" t="n">
        <v>0</v>
      </c>
    </row>
    <row r="6239">
      <c r="A6239" t="inlineStr">
        <is>
          <t>12월</t>
        </is>
      </c>
      <c r="B6239" t="inlineStr">
        <is>
          <t>52주차</t>
        </is>
      </c>
      <c r="C6239" t="e">
        <v>#N/A</v>
      </c>
      <c r="K6239" t="n">
        <v>0</v>
      </c>
      <c r="L6239" t="n">
        <v>0</v>
      </c>
      <c r="M6239" t="n">
        <v>0</v>
      </c>
      <c r="AC6239" t="n">
        <v>0</v>
      </c>
      <c r="AD6239" t="n">
        <v>0</v>
      </c>
      <c r="AE6239" t="n">
        <v>0</v>
      </c>
      <c r="AF6239" t="n">
        <v>0</v>
      </c>
      <c r="AG6239" t="n">
        <v>0</v>
      </c>
      <c r="AH6239" t="n">
        <v>0</v>
      </c>
      <c r="AI6239" t="n">
        <v>0</v>
      </c>
    </row>
    <row r="6240">
      <c r="A6240" t="inlineStr">
        <is>
          <t>12월</t>
        </is>
      </c>
      <c r="B6240" t="inlineStr">
        <is>
          <t>52주차</t>
        </is>
      </c>
      <c r="C6240" t="e">
        <v>#N/A</v>
      </c>
      <c r="K6240" t="n">
        <v>0</v>
      </c>
      <c r="L6240" t="n">
        <v>0</v>
      </c>
      <c r="M6240" t="n">
        <v>0</v>
      </c>
      <c r="AC6240" t="n">
        <v>0</v>
      </c>
      <c r="AD6240" t="n">
        <v>0</v>
      </c>
      <c r="AE6240" t="n">
        <v>0</v>
      </c>
      <c r="AF6240" t="n">
        <v>0</v>
      </c>
      <c r="AG6240" t="n">
        <v>0</v>
      </c>
      <c r="AH6240" t="n">
        <v>0</v>
      </c>
      <c r="AI6240" t="n">
        <v>0</v>
      </c>
    </row>
    <row r="6241">
      <c r="A6241" t="inlineStr">
        <is>
          <t>12월</t>
        </is>
      </c>
      <c r="B6241" t="inlineStr">
        <is>
          <t>52주차</t>
        </is>
      </c>
      <c r="C6241" t="e">
        <v>#N/A</v>
      </c>
      <c r="K6241" t="n">
        <v>0</v>
      </c>
      <c r="L6241" t="n">
        <v>0</v>
      </c>
      <c r="M6241" t="n">
        <v>0</v>
      </c>
      <c r="AC6241" t="n">
        <v>0</v>
      </c>
      <c r="AD6241" t="n">
        <v>0</v>
      </c>
      <c r="AE6241" t="n">
        <v>0</v>
      </c>
      <c r="AF6241" t="n">
        <v>0</v>
      </c>
      <c r="AG6241" t="n">
        <v>0</v>
      </c>
      <c r="AH6241" t="n">
        <v>0</v>
      </c>
      <c r="AI6241" t="n">
        <v>0</v>
      </c>
    </row>
    <row r="6242">
      <c r="A6242" t="inlineStr">
        <is>
          <t>12월</t>
        </is>
      </c>
      <c r="B6242" t="inlineStr">
        <is>
          <t>52주차</t>
        </is>
      </c>
      <c r="C6242" t="e">
        <v>#N/A</v>
      </c>
      <c r="K6242" t="n">
        <v>0</v>
      </c>
      <c r="L6242" t="n">
        <v>0</v>
      </c>
      <c r="M6242" t="n">
        <v>0</v>
      </c>
      <c r="AC6242" t="n">
        <v>0</v>
      </c>
      <c r="AD6242" t="n">
        <v>0</v>
      </c>
      <c r="AE6242" t="n">
        <v>0</v>
      </c>
      <c r="AF6242" t="n">
        <v>0</v>
      </c>
      <c r="AG6242" t="n">
        <v>0</v>
      </c>
      <c r="AH6242" t="n">
        <v>0</v>
      </c>
      <c r="AI6242" t="n">
        <v>0</v>
      </c>
    </row>
    <row r="6243">
      <c r="A6243" t="inlineStr">
        <is>
          <t>12월</t>
        </is>
      </c>
      <c r="B6243" t="inlineStr">
        <is>
          <t>52주차</t>
        </is>
      </c>
      <c r="C6243" t="e">
        <v>#N/A</v>
      </c>
      <c r="K6243" t="n">
        <v>0</v>
      </c>
      <c r="L6243" t="n">
        <v>0</v>
      </c>
      <c r="M6243" t="n">
        <v>0</v>
      </c>
      <c r="AC6243" t="n">
        <v>0</v>
      </c>
      <c r="AD6243" t="n">
        <v>0</v>
      </c>
      <c r="AE6243" t="n">
        <v>0</v>
      </c>
      <c r="AF6243" t="n">
        <v>0</v>
      </c>
      <c r="AG6243" t="n">
        <v>0</v>
      </c>
      <c r="AH6243" t="n">
        <v>0</v>
      </c>
      <c r="AI6243" t="n">
        <v>0</v>
      </c>
    </row>
    <row r="6244">
      <c r="A6244" t="inlineStr">
        <is>
          <t>12월</t>
        </is>
      </c>
      <c r="B6244" t="inlineStr">
        <is>
          <t>52주차</t>
        </is>
      </c>
      <c r="C6244" t="e">
        <v>#N/A</v>
      </c>
      <c r="K6244" t="n">
        <v>0</v>
      </c>
      <c r="L6244" t="n">
        <v>0</v>
      </c>
      <c r="M6244" t="n">
        <v>0</v>
      </c>
      <c r="AC6244" t="n">
        <v>0</v>
      </c>
      <c r="AD6244" t="n">
        <v>0</v>
      </c>
      <c r="AE6244" t="n">
        <v>0</v>
      </c>
      <c r="AF6244" t="n">
        <v>0</v>
      </c>
      <c r="AG6244" t="n">
        <v>0</v>
      </c>
      <c r="AH6244" t="n">
        <v>0</v>
      </c>
      <c r="AI6244" t="n">
        <v>0</v>
      </c>
    </row>
    <row r="6245">
      <c r="A6245" t="inlineStr">
        <is>
          <t>12월</t>
        </is>
      </c>
      <c r="B6245" t="inlineStr">
        <is>
          <t>52주차</t>
        </is>
      </c>
      <c r="C6245" t="e">
        <v>#N/A</v>
      </c>
      <c r="K6245" t="n">
        <v>0</v>
      </c>
      <c r="L6245" t="n">
        <v>0</v>
      </c>
      <c r="M6245" t="n">
        <v>0</v>
      </c>
      <c r="AC6245" t="n">
        <v>0</v>
      </c>
      <c r="AD6245" t="n">
        <v>0</v>
      </c>
      <c r="AE6245" t="n">
        <v>0</v>
      </c>
      <c r="AF6245" t="n">
        <v>0</v>
      </c>
      <c r="AG6245" t="n">
        <v>0</v>
      </c>
      <c r="AH6245" t="n">
        <v>0</v>
      </c>
      <c r="AI6245" t="n">
        <v>0</v>
      </c>
    </row>
    <row r="6246">
      <c r="A6246" t="inlineStr">
        <is>
          <t>12월</t>
        </is>
      </c>
      <c r="B6246" t="inlineStr">
        <is>
          <t>52주차</t>
        </is>
      </c>
      <c r="C6246" t="e">
        <v>#N/A</v>
      </c>
      <c r="K6246" t="n">
        <v>0</v>
      </c>
      <c r="L6246" t="n">
        <v>0</v>
      </c>
      <c r="M6246" t="n">
        <v>0</v>
      </c>
      <c r="AC6246" t="n">
        <v>0</v>
      </c>
      <c r="AD6246" t="n">
        <v>0</v>
      </c>
      <c r="AE6246" t="n">
        <v>0</v>
      </c>
      <c r="AF6246" t="n">
        <v>0</v>
      </c>
      <c r="AG6246" t="n">
        <v>0</v>
      </c>
      <c r="AH6246" t="n">
        <v>0</v>
      </c>
      <c r="AI6246" t="n">
        <v>0</v>
      </c>
    </row>
    <row r="6247">
      <c r="A6247" t="inlineStr">
        <is>
          <t>12월</t>
        </is>
      </c>
      <c r="B6247" t="inlineStr">
        <is>
          <t>52주차</t>
        </is>
      </c>
      <c r="C6247" t="e">
        <v>#N/A</v>
      </c>
      <c r="K6247" t="n">
        <v>0</v>
      </c>
      <c r="L6247" t="n">
        <v>0</v>
      </c>
      <c r="M6247" t="n">
        <v>0</v>
      </c>
      <c r="AC6247" t="n">
        <v>0</v>
      </c>
      <c r="AD6247" t="n">
        <v>0</v>
      </c>
      <c r="AE6247" t="n">
        <v>0</v>
      </c>
      <c r="AF6247" t="n">
        <v>0</v>
      </c>
      <c r="AG6247" t="n">
        <v>0</v>
      </c>
      <c r="AH6247" t="n">
        <v>0</v>
      </c>
      <c r="AI6247" t="n">
        <v>0</v>
      </c>
    </row>
    <row r="6248">
      <c r="A6248" t="inlineStr">
        <is>
          <t>12월</t>
        </is>
      </c>
      <c r="B6248" t="inlineStr">
        <is>
          <t>52주차</t>
        </is>
      </c>
      <c r="C6248" t="e">
        <v>#N/A</v>
      </c>
      <c r="K6248" t="n">
        <v>0</v>
      </c>
      <c r="L6248" t="n">
        <v>0</v>
      </c>
      <c r="M6248" t="n">
        <v>0</v>
      </c>
      <c r="AC6248" t="n">
        <v>0</v>
      </c>
      <c r="AD6248" t="n">
        <v>0</v>
      </c>
      <c r="AE6248" t="n">
        <v>0</v>
      </c>
      <c r="AF6248" t="n">
        <v>0</v>
      </c>
      <c r="AG6248" t="n">
        <v>0</v>
      </c>
      <c r="AH6248" t="n">
        <v>0</v>
      </c>
      <c r="AI6248" t="n">
        <v>0</v>
      </c>
    </row>
    <row r="6249">
      <c r="A6249" t="inlineStr">
        <is>
          <t>12월</t>
        </is>
      </c>
      <c r="B6249" t="inlineStr">
        <is>
          <t>52주차</t>
        </is>
      </c>
      <c r="C6249" t="e">
        <v>#N/A</v>
      </c>
      <c r="K6249" t="n">
        <v>0</v>
      </c>
      <c r="L6249" t="n">
        <v>0</v>
      </c>
      <c r="M6249" t="n">
        <v>0</v>
      </c>
      <c r="AC6249" t="n">
        <v>0</v>
      </c>
      <c r="AD6249" t="n">
        <v>0</v>
      </c>
      <c r="AE6249" t="n">
        <v>0</v>
      </c>
      <c r="AF6249" t="n">
        <v>0</v>
      </c>
      <c r="AG6249" t="n">
        <v>0</v>
      </c>
      <c r="AH6249" t="n">
        <v>0</v>
      </c>
      <c r="AI6249" t="n">
        <v>0</v>
      </c>
    </row>
    <row r="6250">
      <c r="A6250" t="inlineStr">
        <is>
          <t>12월</t>
        </is>
      </c>
      <c r="B6250" t="inlineStr">
        <is>
          <t>52주차</t>
        </is>
      </c>
      <c r="C6250" t="e">
        <v>#N/A</v>
      </c>
      <c r="K6250" t="n">
        <v>0</v>
      </c>
      <c r="L6250" t="n">
        <v>0</v>
      </c>
      <c r="M6250" t="n">
        <v>0</v>
      </c>
      <c r="AC6250" t="n">
        <v>0</v>
      </c>
      <c r="AD6250" t="n">
        <v>0</v>
      </c>
      <c r="AE6250" t="n">
        <v>0</v>
      </c>
      <c r="AF6250" t="n">
        <v>0</v>
      </c>
      <c r="AG6250" t="n">
        <v>0</v>
      </c>
      <c r="AH6250" t="n">
        <v>0</v>
      </c>
    </row>
    <row r="6251">
      <c r="A6251" t="inlineStr">
        <is>
          <t>12월</t>
        </is>
      </c>
      <c r="B6251" t="inlineStr">
        <is>
          <t>52주차</t>
        </is>
      </c>
      <c r="C6251" t="e">
        <v>#N/A</v>
      </c>
      <c r="K6251" t="n">
        <v>0</v>
      </c>
      <c r="L6251" t="n">
        <v>0</v>
      </c>
      <c r="M6251" t="n">
        <v>0</v>
      </c>
      <c r="AC6251" t="n">
        <v>0</v>
      </c>
      <c r="AD6251" t="n">
        <v>0</v>
      </c>
      <c r="AE6251" t="n">
        <v>0</v>
      </c>
      <c r="AF6251" t="n">
        <v>0</v>
      </c>
      <c r="AG6251" t="n">
        <v>0</v>
      </c>
      <c r="AH6251" t="n">
        <v>0</v>
      </c>
      <c r="AI6251" t="n">
        <v>0</v>
      </c>
    </row>
    <row r="6252">
      <c r="A6252" t="inlineStr">
        <is>
          <t>12월</t>
        </is>
      </c>
      <c r="B6252" t="inlineStr">
        <is>
          <t>52주차</t>
        </is>
      </c>
      <c r="C6252" t="e">
        <v>#N/A</v>
      </c>
      <c r="K6252" t="n">
        <v>0</v>
      </c>
      <c r="L6252" t="n">
        <v>0</v>
      </c>
      <c r="M6252" t="n">
        <v>0</v>
      </c>
      <c r="AC6252" t="n">
        <v>0</v>
      </c>
      <c r="AD6252" t="n">
        <v>0</v>
      </c>
      <c r="AE6252" t="n">
        <v>0</v>
      </c>
      <c r="AF6252" t="n">
        <v>0</v>
      </c>
      <c r="AG6252" t="n">
        <v>0</v>
      </c>
      <c r="AH6252" t="n">
        <v>0</v>
      </c>
    </row>
    <row r="6253">
      <c r="A6253" t="inlineStr">
        <is>
          <t>12월</t>
        </is>
      </c>
      <c r="B6253" t="inlineStr">
        <is>
          <t>52주차</t>
        </is>
      </c>
      <c r="C6253" t="e">
        <v>#N/A</v>
      </c>
      <c r="K6253" t="n">
        <v>0</v>
      </c>
      <c r="L6253" t="n">
        <v>0</v>
      </c>
      <c r="M6253" t="n">
        <v>0</v>
      </c>
      <c r="AC6253" t="n">
        <v>0</v>
      </c>
      <c r="AD6253" t="n">
        <v>0</v>
      </c>
      <c r="AE6253" t="n">
        <v>0</v>
      </c>
      <c r="AF6253" t="n">
        <v>0</v>
      </c>
      <c r="AG6253" t="n">
        <v>0</v>
      </c>
      <c r="AH6253" t="n">
        <v>0</v>
      </c>
      <c r="AI6253" t="n">
        <v>0</v>
      </c>
    </row>
    <row r="6254">
      <c r="A6254" t="inlineStr">
        <is>
          <t>12월</t>
        </is>
      </c>
      <c r="B6254" t="inlineStr">
        <is>
          <t>52주차</t>
        </is>
      </c>
      <c r="C6254" t="e">
        <v>#N/A</v>
      </c>
      <c r="K6254" t="n">
        <v>0</v>
      </c>
      <c r="L6254" t="n">
        <v>0</v>
      </c>
      <c r="M6254" t="n">
        <v>0</v>
      </c>
      <c r="AC6254" t="n">
        <v>0</v>
      </c>
      <c r="AD6254" t="n">
        <v>0</v>
      </c>
      <c r="AE6254" t="n">
        <v>0</v>
      </c>
      <c r="AF6254" t="n">
        <v>0</v>
      </c>
      <c r="AG6254" t="n">
        <v>0</v>
      </c>
      <c r="AH6254" t="n">
        <v>0</v>
      </c>
    </row>
    <row r="6255">
      <c r="A6255" t="inlineStr">
        <is>
          <t>12월</t>
        </is>
      </c>
      <c r="B6255" t="inlineStr">
        <is>
          <t>52주차</t>
        </is>
      </c>
      <c r="C6255" t="e">
        <v>#N/A</v>
      </c>
      <c r="K6255" t="n">
        <v>0</v>
      </c>
      <c r="L6255" t="n">
        <v>0</v>
      </c>
      <c r="M6255" t="n">
        <v>0</v>
      </c>
      <c r="AC6255" t="n">
        <v>0</v>
      </c>
      <c r="AD6255" t="n">
        <v>0</v>
      </c>
      <c r="AE6255" t="n">
        <v>0</v>
      </c>
      <c r="AF6255" t="n">
        <v>0</v>
      </c>
      <c r="AG6255" t="n">
        <v>0</v>
      </c>
      <c r="AH6255" t="n">
        <v>0</v>
      </c>
      <c r="AI6255" t="n">
        <v>0</v>
      </c>
    </row>
    <row r="6256">
      <c r="A6256" t="inlineStr">
        <is>
          <t>12월</t>
        </is>
      </c>
      <c r="B6256" t="inlineStr">
        <is>
          <t>52주차</t>
        </is>
      </c>
      <c r="C6256" t="e">
        <v>#N/A</v>
      </c>
      <c r="K6256" t="n">
        <v>0</v>
      </c>
      <c r="L6256" t="n">
        <v>0</v>
      </c>
      <c r="M6256" t="n">
        <v>0</v>
      </c>
      <c r="AC6256" t="n">
        <v>0</v>
      </c>
      <c r="AD6256" t="n">
        <v>0</v>
      </c>
      <c r="AE6256" t="n">
        <v>0</v>
      </c>
      <c r="AF6256" t="n">
        <v>0</v>
      </c>
      <c r="AG6256" t="n">
        <v>0</v>
      </c>
      <c r="AH6256" t="n">
        <v>0</v>
      </c>
      <c r="AI6256" t="n">
        <v>0</v>
      </c>
    </row>
    <row r="6257">
      <c r="A6257" t="inlineStr">
        <is>
          <t>12월</t>
        </is>
      </c>
      <c r="B6257" t="inlineStr">
        <is>
          <t>52주차</t>
        </is>
      </c>
      <c r="C6257" t="e">
        <v>#N/A</v>
      </c>
      <c r="K6257" t="n">
        <v>0</v>
      </c>
      <c r="L6257" t="n">
        <v>0</v>
      </c>
      <c r="M6257" t="n">
        <v>0</v>
      </c>
      <c r="AC6257" t="n">
        <v>0</v>
      </c>
      <c r="AD6257" t="n">
        <v>0</v>
      </c>
      <c r="AE6257" t="n">
        <v>0</v>
      </c>
      <c r="AF6257" t="n">
        <v>0</v>
      </c>
      <c r="AG6257" t="n">
        <v>0</v>
      </c>
      <c r="AH6257" t="n">
        <v>0</v>
      </c>
      <c r="AI6257" t="n">
        <v>0</v>
      </c>
    </row>
    <row r="6258">
      <c r="A6258" t="inlineStr">
        <is>
          <t>12월</t>
        </is>
      </c>
      <c r="B6258" t="inlineStr">
        <is>
          <t>52주차</t>
        </is>
      </c>
      <c r="C6258" t="e">
        <v>#N/A</v>
      </c>
      <c r="K6258" t="n">
        <v>0</v>
      </c>
      <c r="L6258" t="n">
        <v>0</v>
      </c>
      <c r="M6258" t="n">
        <v>0</v>
      </c>
      <c r="AC6258" t="n">
        <v>0</v>
      </c>
      <c r="AD6258" t="n">
        <v>0</v>
      </c>
      <c r="AE6258" t="n">
        <v>0</v>
      </c>
      <c r="AF6258" t="n">
        <v>0</v>
      </c>
      <c r="AG6258" t="n">
        <v>0</v>
      </c>
      <c r="AH6258" t="n">
        <v>0</v>
      </c>
      <c r="AI6258" t="n">
        <v>0</v>
      </c>
    </row>
    <row r="6259">
      <c r="A6259" t="inlineStr">
        <is>
          <t>12월</t>
        </is>
      </c>
      <c r="B6259" t="inlineStr">
        <is>
          <t>52주차</t>
        </is>
      </c>
      <c r="C6259" t="e">
        <v>#N/A</v>
      </c>
      <c r="K6259" t="n">
        <v>0</v>
      </c>
      <c r="L6259" t="n">
        <v>0</v>
      </c>
      <c r="M6259" t="n">
        <v>0</v>
      </c>
      <c r="AC6259" t="n">
        <v>0</v>
      </c>
      <c r="AD6259" t="n">
        <v>0</v>
      </c>
      <c r="AE6259" t="n">
        <v>0</v>
      </c>
      <c r="AF6259" t="n">
        <v>0</v>
      </c>
      <c r="AG6259" t="n">
        <v>0</v>
      </c>
      <c r="AH6259" t="n">
        <v>0</v>
      </c>
      <c r="AI6259" t="n">
        <v>0</v>
      </c>
    </row>
    <row r="6260">
      <c r="A6260" t="inlineStr">
        <is>
          <t>12월</t>
        </is>
      </c>
      <c r="B6260" t="inlineStr">
        <is>
          <t>52주차</t>
        </is>
      </c>
      <c r="C6260" t="e">
        <v>#N/A</v>
      </c>
      <c r="K6260" t="n">
        <v>0</v>
      </c>
      <c r="L6260" t="n">
        <v>0</v>
      </c>
      <c r="M6260" t="n">
        <v>0</v>
      </c>
      <c r="AC6260" t="n">
        <v>0</v>
      </c>
      <c r="AD6260" t="n">
        <v>0</v>
      </c>
      <c r="AE6260" t="n">
        <v>0</v>
      </c>
      <c r="AF6260" t="n">
        <v>0</v>
      </c>
      <c r="AG6260" t="n">
        <v>0</v>
      </c>
      <c r="AH6260" t="n">
        <v>0</v>
      </c>
      <c r="AI6260" t="n">
        <v>0</v>
      </c>
    </row>
    <row r="6261">
      <c r="A6261" t="inlineStr">
        <is>
          <t>12월</t>
        </is>
      </c>
      <c r="B6261" t="inlineStr">
        <is>
          <t>52주차</t>
        </is>
      </c>
      <c r="C6261" t="e">
        <v>#N/A</v>
      </c>
      <c r="K6261" t="n">
        <v>0</v>
      </c>
      <c r="L6261" t="n">
        <v>0</v>
      </c>
      <c r="M6261" t="n">
        <v>0</v>
      </c>
      <c r="AC6261" t="n">
        <v>0</v>
      </c>
      <c r="AD6261" t="n">
        <v>0</v>
      </c>
      <c r="AE6261" t="n">
        <v>0</v>
      </c>
      <c r="AF6261" t="n">
        <v>0</v>
      </c>
      <c r="AG6261" t="n">
        <v>0</v>
      </c>
      <c r="AH6261" t="n">
        <v>0</v>
      </c>
      <c r="AI6261" t="n">
        <v>0</v>
      </c>
    </row>
    <row r="6262">
      <c r="A6262" t="inlineStr">
        <is>
          <t>12월</t>
        </is>
      </c>
      <c r="B6262" t="inlineStr">
        <is>
          <t>52주차</t>
        </is>
      </c>
      <c r="C6262" t="e">
        <v>#N/A</v>
      </c>
      <c r="K6262" t="n">
        <v>0</v>
      </c>
      <c r="L6262" t="n">
        <v>0</v>
      </c>
      <c r="M6262" t="n">
        <v>0</v>
      </c>
      <c r="AC6262" t="n">
        <v>0</v>
      </c>
      <c r="AD6262" t="n">
        <v>0</v>
      </c>
      <c r="AE6262" t="n">
        <v>0</v>
      </c>
      <c r="AF6262" t="n">
        <v>0</v>
      </c>
      <c r="AG6262" t="n">
        <v>0</v>
      </c>
      <c r="AH6262" t="n">
        <v>0</v>
      </c>
      <c r="AI6262" t="n">
        <v>0</v>
      </c>
    </row>
    <row r="6263">
      <c r="A6263" t="inlineStr">
        <is>
          <t>12월</t>
        </is>
      </c>
      <c r="B6263" t="inlineStr">
        <is>
          <t>52주차</t>
        </is>
      </c>
      <c r="C6263" t="e">
        <v>#N/A</v>
      </c>
      <c r="K6263" t="n">
        <v>0</v>
      </c>
      <c r="L6263" t="n">
        <v>0</v>
      </c>
      <c r="M6263" t="n">
        <v>0</v>
      </c>
      <c r="AC6263" t="n">
        <v>0</v>
      </c>
      <c r="AD6263" t="n">
        <v>0</v>
      </c>
      <c r="AE6263" t="n">
        <v>0</v>
      </c>
      <c r="AF6263" t="n">
        <v>0</v>
      </c>
      <c r="AG6263" t="n">
        <v>0</v>
      </c>
      <c r="AH6263" t="n">
        <v>0</v>
      </c>
      <c r="AI6263" t="n">
        <v>0</v>
      </c>
    </row>
    <row r="6264">
      <c r="A6264" t="inlineStr">
        <is>
          <t>12월</t>
        </is>
      </c>
      <c r="B6264" t="inlineStr">
        <is>
          <t>52주차</t>
        </is>
      </c>
      <c r="C6264" t="e">
        <v>#N/A</v>
      </c>
      <c r="K6264" t="n">
        <v>0</v>
      </c>
      <c r="L6264" t="n">
        <v>0</v>
      </c>
      <c r="M6264" t="n">
        <v>0</v>
      </c>
      <c r="AC6264" t="n">
        <v>0</v>
      </c>
      <c r="AD6264" t="n">
        <v>0</v>
      </c>
      <c r="AE6264" t="n">
        <v>0</v>
      </c>
      <c r="AF6264" t="n">
        <v>0</v>
      </c>
      <c r="AG6264" t="n">
        <v>0</v>
      </c>
      <c r="AH6264" t="n">
        <v>0</v>
      </c>
      <c r="AI6264" t="n">
        <v>0</v>
      </c>
    </row>
    <row r="6265">
      <c r="A6265" t="inlineStr">
        <is>
          <t>12월</t>
        </is>
      </c>
      <c r="B6265" t="inlineStr">
        <is>
          <t>52주차</t>
        </is>
      </c>
      <c r="C6265" t="e">
        <v>#N/A</v>
      </c>
      <c r="K6265" t="n">
        <v>0</v>
      </c>
      <c r="L6265" t="n">
        <v>0</v>
      </c>
      <c r="M6265" t="n">
        <v>0</v>
      </c>
      <c r="AC6265" t="n">
        <v>0</v>
      </c>
      <c r="AD6265" t="n">
        <v>0</v>
      </c>
      <c r="AE6265" t="n">
        <v>0</v>
      </c>
      <c r="AF6265" t="n">
        <v>0</v>
      </c>
      <c r="AG6265" t="n">
        <v>0</v>
      </c>
      <c r="AH6265" t="n">
        <v>0</v>
      </c>
      <c r="AI6265" t="n">
        <v>0</v>
      </c>
    </row>
    <row r="6266">
      <c r="A6266" t="inlineStr">
        <is>
          <t>12월</t>
        </is>
      </c>
      <c r="B6266" t="inlineStr">
        <is>
          <t>52주차</t>
        </is>
      </c>
      <c r="C6266" t="e">
        <v>#N/A</v>
      </c>
      <c r="K6266" t="n">
        <v>0</v>
      </c>
      <c r="L6266" t="n">
        <v>0</v>
      </c>
      <c r="M6266" t="n">
        <v>0</v>
      </c>
      <c r="AC6266" t="n">
        <v>0</v>
      </c>
      <c r="AD6266" t="n">
        <v>0</v>
      </c>
      <c r="AE6266" t="n">
        <v>0</v>
      </c>
      <c r="AF6266" t="n">
        <v>0</v>
      </c>
      <c r="AG6266" t="n">
        <v>0</v>
      </c>
      <c r="AH6266" t="n">
        <v>0</v>
      </c>
      <c r="AI6266" t="n">
        <v>0</v>
      </c>
    </row>
    <row r="6267">
      <c r="A6267" t="inlineStr">
        <is>
          <t>12월</t>
        </is>
      </c>
      <c r="B6267" t="inlineStr">
        <is>
          <t>52주차</t>
        </is>
      </c>
      <c r="C6267" t="e">
        <v>#N/A</v>
      </c>
      <c r="K6267" t="n">
        <v>0</v>
      </c>
      <c r="L6267" t="n">
        <v>0</v>
      </c>
      <c r="M6267" t="n">
        <v>0</v>
      </c>
      <c r="AC6267" t="n">
        <v>0</v>
      </c>
      <c r="AD6267" t="n">
        <v>0</v>
      </c>
      <c r="AE6267" t="n">
        <v>0</v>
      </c>
      <c r="AF6267" t="n">
        <v>0</v>
      </c>
      <c r="AG6267" t="n">
        <v>0</v>
      </c>
      <c r="AH6267" t="n">
        <v>0</v>
      </c>
      <c r="AI6267" t="n">
        <v>0</v>
      </c>
    </row>
    <row r="6268">
      <c r="A6268" t="inlineStr">
        <is>
          <t>12월</t>
        </is>
      </c>
      <c r="B6268" t="inlineStr">
        <is>
          <t>52주차</t>
        </is>
      </c>
      <c r="C6268" t="e">
        <v>#N/A</v>
      </c>
      <c r="K6268" t="n">
        <v>0</v>
      </c>
      <c r="L6268" t="n">
        <v>0</v>
      </c>
      <c r="M6268" t="n">
        <v>0</v>
      </c>
      <c r="AC6268" t="n">
        <v>0</v>
      </c>
      <c r="AD6268" t="n">
        <v>0</v>
      </c>
      <c r="AE6268" t="n">
        <v>0</v>
      </c>
      <c r="AF6268" t="n">
        <v>0</v>
      </c>
      <c r="AG6268" t="n">
        <v>0</v>
      </c>
      <c r="AH6268" t="n">
        <v>0</v>
      </c>
      <c r="AI6268" t="n">
        <v>0</v>
      </c>
    </row>
    <row r="6269">
      <c r="A6269" t="inlineStr">
        <is>
          <t>12월</t>
        </is>
      </c>
      <c r="B6269" t="inlineStr">
        <is>
          <t>52주차</t>
        </is>
      </c>
      <c r="C6269" t="e">
        <v>#N/A</v>
      </c>
      <c r="K6269" t="n">
        <v>0</v>
      </c>
      <c r="L6269" t="n">
        <v>0</v>
      </c>
      <c r="M6269" t="n">
        <v>0</v>
      </c>
      <c r="AC6269" t="n">
        <v>0</v>
      </c>
      <c r="AD6269" t="n">
        <v>0</v>
      </c>
      <c r="AE6269" t="n">
        <v>0</v>
      </c>
      <c r="AF6269" t="n">
        <v>0</v>
      </c>
      <c r="AG6269" t="n">
        <v>0</v>
      </c>
      <c r="AH6269" t="n">
        <v>0</v>
      </c>
      <c r="AI6269" t="n">
        <v>0</v>
      </c>
    </row>
    <row r="6270">
      <c r="A6270" t="inlineStr">
        <is>
          <t>12월</t>
        </is>
      </c>
      <c r="B6270" t="inlineStr">
        <is>
          <t>52주차</t>
        </is>
      </c>
      <c r="C6270" t="e">
        <v>#N/A</v>
      </c>
      <c r="K6270" t="n">
        <v>0</v>
      </c>
      <c r="L6270" t="n">
        <v>0</v>
      </c>
      <c r="M6270" t="n">
        <v>0</v>
      </c>
      <c r="AC6270" t="n">
        <v>0</v>
      </c>
      <c r="AD6270" t="n">
        <v>0</v>
      </c>
      <c r="AE6270" t="n">
        <v>0</v>
      </c>
      <c r="AF6270" t="n">
        <v>0</v>
      </c>
      <c r="AG6270" t="n">
        <v>0</v>
      </c>
      <c r="AH6270" t="n">
        <v>0</v>
      </c>
      <c r="AI6270" t="n">
        <v>0</v>
      </c>
    </row>
    <row r="6271">
      <c r="A6271" t="inlineStr">
        <is>
          <t>12월</t>
        </is>
      </c>
      <c r="B6271" t="inlineStr">
        <is>
          <t>52주차</t>
        </is>
      </c>
      <c r="C6271" t="e">
        <v>#N/A</v>
      </c>
      <c r="K6271" t="n">
        <v>0</v>
      </c>
      <c r="L6271" t="n">
        <v>0</v>
      </c>
      <c r="M6271" t="n">
        <v>0</v>
      </c>
      <c r="AC6271" t="n">
        <v>0</v>
      </c>
      <c r="AD6271" t="n">
        <v>0</v>
      </c>
      <c r="AE6271" t="n">
        <v>0</v>
      </c>
      <c r="AF6271" t="n">
        <v>0</v>
      </c>
      <c r="AG6271" t="n">
        <v>0</v>
      </c>
      <c r="AH6271" t="n">
        <v>0</v>
      </c>
      <c r="AI6271" t="n">
        <v>0</v>
      </c>
    </row>
    <row r="6272">
      <c r="A6272" t="inlineStr">
        <is>
          <t>12월</t>
        </is>
      </c>
      <c r="B6272" t="inlineStr">
        <is>
          <t>52주차</t>
        </is>
      </c>
      <c r="C6272" t="e">
        <v>#N/A</v>
      </c>
      <c r="K6272" t="n">
        <v>0</v>
      </c>
      <c r="L6272" t="n">
        <v>0</v>
      </c>
      <c r="M6272" t="n">
        <v>0</v>
      </c>
      <c r="AC6272" t="n">
        <v>0</v>
      </c>
      <c r="AD6272" t="n">
        <v>0</v>
      </c>
      <c r="AE6272" t="n">
        <v>0</v>
      </c>
      <c r="AF6272" t="n">
        <v>0</v>
      </c>
      <c r="AG6272" t="n">
        <v>0</v>
      </c>
      <c r="AH6272" t="n">
        <v>0</v>
      </c>
      <c r="AI6272" t="n">
        <v>0</v>
      </c>
    </row>
    <row r="6273">
      <c r="A6273" t="inlineStr">
        <is>
          <t>12월</t>
        </is>
      </c>
      <c r="B6273" t="inlineStr">
        <is>
          <t>52주차</t>
        </is>
      </c>
      <c r="C6273" t="e">
        <v>#N/A</v>
      </c>
      <c r="K6273" t="n">
        <v>0</v>
      </c>
      <c r="L6273" t="n">
        <v>0</v>
      </c>
      <c r="M6273" t="n">
        <v>0</v>
      </c>
      <c r="AC6273" t="n">
        <v>0</v>
      </c>
      <c r="AD6273" t="n">
        <v>0</v>
      </c>
      <c r="AE6273" t="n">
        <v>0</v>
      </c>
      <c r="AF6273" t="n">
        <v>0</v>
      </c>
      <c r="AG6273" t="n">
        <v>0</v>
      </c>
      <c r="AH6273" t="n">
        <v>0</v>
      </c>
      <c r="AI6273" t="n">
        <v>0</v>
      </c>
    </row>
    <row r="6274">
      <c r="A6274" t="inlineStr">
        <is>
          <t>12월</t>
        </is>
      </c>
      <c r="B6274" t="inlineStr">
        <is>
          <t>52주차</t>
        </is>
      </c>
      <c r="C6274" t="e">
        <v>#N/A</v>
      </c>
      <c r="K6274" t="n">
        <v>0</v>
      </c>
      <c r="L6274" t="n">
        <v>0</v>
      </c>
      <c r="M6274" t="n">
        <v>0</v>
      </c>
      <c r="AC6274" t="n">
        <v>0</v>
      </c>
      <c r="AD6274" t="n">
        <v>0</v>
      </c>
      <c r="AE6274" t="n">
        <v>0</v>
      </c>
      <c r="AF6274" t="n">
        <v>0</v>
      </c>
      <c r="AG6274" t="n">
        <v>0</v>
      </c>
      <c r="AH6274" t="n">
        <v>0</v>
      </c>
    </row>
    <row r="6275">
      <c r="A6275" t="inlineStr">
        <is>
          <t>12월</t>
        </is>
      </c>
      <c r="B6275" t="inlineStr">
        <is>
          <t>52주차</t>
        </is>
      </c>
      <c r="C6275" t="e">
        <v>#N/A</v>
      </c>
      <c r="K6275" t="n">
        <v>0</v>
      </c>
      <c r="L6275" t="n">
        <v>0</v>
      </c>
      <c r="M6275" t="n">
        <v>0</v>
      </c>
      <c r="AC6275" t="n">
        <v>0</v>
      </c>
      <c r="AD6275" t="n">
        <v>0</v>
      </c>
      <c r="AE6275" t="n">
        <v>0</v>
      </c>
      <c r="AF6275" t="n">
        <v>0</v>
      </c>
      <c r="AG6275" t="n">
        <v>0</v>
      </c>
      <c r="AH6275" t="n">
        <v>0</v>
      </c>
    </row>
    <row r="6276">
      <c r="A6276" t="inlineStr">
        <is>
          <t>12월</t>
        </is>
      </c>
      <c r="B6276" t="inlineStr">
        <is>
          <t>52주차</t>
        </is>
      </c>
      <c r="C6276" t="e">
        <v>#N/A</v>
      </c>
      <c r="K6276" t="n">
        <v>0</v>
      </c>
      <c r="L6276" t="n">
        <v>0</v>
      </c>
      <c r="M6276" t="n">
        <v>0</v>
      </c>
      <c r="AC6276" t="n">
        <v>0</v>
      </c>
      <c r="AD6276" t="n">
        <v>0</v>
      </c>
      <c r="AE6276" t="n">
        <v>0</v>
      </c>
      <c r="AF6276" t="n">
        <v>0</v>
      </c>
      <c r="AG6276" t="n">
        <v>0</v>
      </c>
      <c r="AH6276" t="n">
        <v>0</v>
      </c>
    </row>
    <row r="6277">
      <c r="A6277" t="inlineStr">
        <is>
          <t>12월</t>
        </is>
      </c>
      <c r="B6277" t="inlineStr">
        <is>
          <t>52주차</t>
        </is>
      </c>
      <c r="C6277" t="e">
        <v>#N/A</v>
      </c>
      <c r="K6277" t="n">
        <v>0</v>
      </c>
      <c r="L6277" t="n">
        <v>0</v>
      </c>
      <c r="M6277" t="n">
        <v>0</v>
      </c>
      <c r="AC6277" t="n">
        <v>0</v>
      </c>
      <c r="AD6277" t="n">
        <v>0</v>
      </c>
      <c r="AE6277" t="n">
        <v>0</v>
      </c>
      <c r="AF6277" t="n">
        <v>0</v>
      </c>
      <c r="AG6277" t="n">
        <v>0</v>
      </c>
      <c r="AH6277" t="n">
        <v>0</v>
      </c>
    </row>
    <row r="6278">
      <c r="A6278" t="inlineStr">
        <is>
          <t>12월</t>
        </is>
      </c>
      <c r="B6278" t="inlineStr">
        <is>
          <t>52주차</t>
        </is>
      </c>
      <c r="C6278" t="e">
        <v>#N/A</v>
      </c>
      <c r="K6278" t="n">
        <v>0</v>
      </c>
      <c r="L6278" t="n">
        <v>0</v>
      </c>
      <c r="M6278" t="n">
        <v>0</v>
      </c>
      <c r="AC6278" t="n">
        <v>0</v>
      </c>
      <c r="AD6278" t="n">
        <v>0</v>
      </c>
      <c r="AE6278" t="n">
        <v>0</v>
      </c>
      <c r="AF6278" t="n">
        <v>0</v>
      </c>
      <c r="AG6278" t="n">
        <v>0</v>
      </c>
      <c r="AH6278" t="n">
        <v>0</v>
      </c>
    </row>
    <row r="6279">
      <c r="A6279" t="inlineStr">
        <is>
          <t>12월</t>
        </is>
      </c>
      <c r="B6279" t="inlineStr">
        <is>
          <t>52주차</t>
        </is>
      </c>
      <c r="C6279" t="e">
        <v>#N/A</v>
      </c>
      <c r="K6279" t="n">
        <v>0</v>
      </c>
      <c r="L6279" t="n">
        <v>0</v>
      </c>
      <c r="M6279" t="n">
        <v>0</v>
      </c>
      <c r="AC6279" t="n">
        <v>0</v>
      </c>
      <c r="AD6279" t="n">
        <v>0</v>
      </c>
      <c r="AE6279" t="n">
        <v>0</v>
      </c>
      <c r="AF6279" t="n">
        <v>0</v>
      </c>
      <c r="AG6279" t="n">
        <v>0</v>
      </c>
      <c r="AH6279" t="n">
        <v>0</v>
      </c>
    </row>
    <row r="6280">
      <c r="A6280" t="inlineStr">
        <is>
          <t>12월</t>
        </is>
      </c>
      <c r="B6280" t="inlineStr">
        <is>
          <t>52주차</t>
        </is>
      </c>
      <c r="C6280" t="e">
        <v>#N/A</v>
      </c>
      <c r="K6280" t="n">
        <v>0</v>
      </c>
      <c r="L6280" t="n">
        <v>0</v>
      </c>
      <c r="M6280" t="n">
        <v>0</v>
      </c>
      <c r="AC6280" t="n">
        <v>0</v>
      </c>
      <c r="AD6280" t="n">
        <v>0</v>
      </c>
      <c r="AE6280" t="n">
        <v>0</v>
      </c>
      <c r="AF6280" t="n">
        <v>0</v>
      </c>
      <c r="AG6280" t="n">
        <v>0</v>
      </c>
      <c r="AH6280" t="n">
        <v>0</v>
      </c>
    </row>
    <row r="6281">
      <c r="A6281" t="inlineStr">
        <is>
          <t>12월</t>
        </is>
      </c>
      <c r="B6281" t="inlineStr">
        <is>
          <t>52주차</t>
        </is>
      </c>
      <c r="C6281" t="e">
        <v>#N/A</v>
      </c>
      <c r="K6281" t="n">
        <v>0</v>
      </c>
      <c r="L6281" t="n">
        <v>0</v>
      </c>
      <c r="M6281" t="n">
        <v>0</v>
      </c>
      <c r="AC6281" t="n">
        <v>0</v>
      </c>
      <c r="AD6281" t="n">
        <v>0</v>
      </c>
      <c r="AE6281" t="n">
        <v>0</v>
      </c>
      <c r="AF6281" t="n">
        <v>0</v>
      </c>
      <c r="AG6281" t="n">
        <v>0</v>
      </c>
      <c r="AH6281" t="n">
        <v>0</v>
      </c>
    </row>
    <row r="6282">
      <c r="A6282" t="inlineStr">
        <is>
          <t>12월</t>
        </is>
      </c>
      <c r="B6282" t="inlineStr">
        <is>
          <t>52주차</t>
        </is>
      </c>
      <c r="C6282" t="e">
        <v>#N/A</v>
      </c>
      <c r="K6282" t="n">
        <v>0</v>
      </c>
      <c r="L6282" t="n">
        <v>0</v>
      </c>
      <c r="M6282" t="n">
        <v>0</v>
      </c>
      <c r="AC6282" t="n">
        <v>0</v>
      </c>
      <c r="AD6282" t="n">
        <v>0</v>
      </c>
      <c r="AE6282" t="n">
        <v>0</v>
      </c>
      <c r="AF6282" t="n">
        <v>0</v>
      </c>
      <c r="AG6282" t="n">
        <v>0</v>
      </c>
      <c r="AH6282" t="n">
        <v>0</v>
      </c>
    </row>
    <row r="6283">
      <c r="A6283" t="inlineStr">
        <is>
          <t>12월</t>
        </is>
      </c>
      <c r="B6283" t="inlineStr">
        <is>
          <t>52주차</t>
        </is>
      </c>
      <c r="C6283" t="e">
        <v>#N/A</v>
      </c>
      <c r="K6283" t="n">
        <v>0</v>
      </c>
      <c r="L6283" t="n">
        <v>0</v>
      </c>
      <c r="M6283" t="n">
        <v>0</v>
      </c>
      <c r="AC6283" t="n">
        <v>0</v>
      </c>
      <c r="AD6283" t="n">
        <v>0</v>
      </c>
      <c r="AE6283" t="n">
        <v>0</v>
      </c>
      <c r="AF6283" t="n">
        <v>0</v>
      </c>
      <c r="AG6283" t="n">
        <v>0</v>
      </c>
      <c r="AH6283" t="n">
        <v>0</v>
      </c>
      <c r="AI6283" t="n">
        <v>0</v>
      </c>
    </row>
    <row r="6284">
      <c r="A6284" t="inlineStr">
        <is>
          <t>12월</t>
        </is>
      </c>
      <c r="B6284" t="inlineStr">
        <is>
          <t>52주차</t>
        </is>
      </c>
      <c r="C6284" t="e">
        <v>#N/A</v>
      </c>
      <c r="K6284" t="n">
        <v>0</v>
      </c>
      <c r="L6284" t="n">
        <v>0</v>
      </c>
      <c r="M6284" t="n">
        <v>0</v>
      </c>
      <c r="AC6284" t="n">
        <v>0</v>
      </c>
      <c r="AD6284" t="n">
        <v>0</v>
      </c>
      <c r="AE6284" t="n">
        <v>0</v>
      </c>
      <c r="AF6284" t="n">
        <v>0</v>
      </c>
      <c r="AG6284" t="n">
        <v>0</v>
      </c>
      <c r="AH6284" t="n">
        <v>0</v>
      </c>
      <c r="AI6284" t="n">
        <v>0</v>
      </c>
    </row>
    <row r="6285">
      <c r="A6285" t="inlineStr">
        <is>
          <t>12월</t>
        </is>
      </c>
      <c r="B6285" t="inlineStr">
        <is>
          <t>52주차</t>
        </is>
      </c>
      <c r="C6285" t="e">
        <v>#N/A</v>
      </c>
      <c r="K6285" t="n">
        <v>0</v>
      </c>
      <c r="L6285" t="n">
        <v>0</v>
      </c>
      <c r="M6285" t="n">
        <v>0</v>
      </c>
      <c r="AC6285" t="n">
        <v>0</v>
      </c>
      <c r="AD6285" t="n">
        <v>0</v>
      </c>
      <c r="AE6285" t="n">
        <v>0</v>
      </c>
      <c r="AF6285" t="n">
        <v>0</v>
      </c>
      <c r="AG6285" t="n">
        <v>0</v>
      </c>
      <c r="AH6285" t="n">
        <v>0</v>
      </c>
      <c r="AI6285" t="n">
        <v>0</v>
      </c>
    </row>
    <row r="6286">
      <c r="A6286" t="inlineStr">
        <is>
          <t>12월</t>
        </is>
      </c>
      <c r="B6286" t="inlineStr">
        <is>
          <t>52주차</t>
        </is>
      </c>
      <c r="C6286" t="e">
        <v>#N/A</v>
      </c>
      <c r="K6286" t="n">
        <v>0</v>
      </c>
      <c r="L6286" t="n">
        <v>0</v>
      </c>
      <c r="M6286" t="n">
        <v>0</v>
      </c>
      <c r="AC6286" t="n">
        <v>0</v>
      </c>
      <c r="AD6286" t="n">
        <v>0</v>
      </c>
      <c r="AE6286" t="n">
        <v>0</v>
      </c>
      <c r="AF6286" t="n">
        <v>0</v>
      </c>
      <c r="AG6286" t="n">
        <v>0</v>
      </c>
      <c r="AH6286" t="n">
        <v>0</v>
      </c>
      <c r="AI6286" t="n">
        <v>0</v>
      </c>
    </row>
    <row r="6287">
      <c r="A6287" t="inlineStr">
        <is>
          <t>12월</t>
        </is>
      </c>
      <c r="B6287" t="inlineStr">
        <is>
          <t>52주차</t>
        </is>
      </c>
      <c r="C6287" t="e">
        <v>#N/A</v>
      </c>
      <c r="K6287" t="n">
        <v>0</v>
      </c>
      <c r="L6287" t="n">
        <v>0</v>
      </c>
      <c r="M6287" t="n">
        <v>0</v>
      </c>
      <c r="AC6287" t="n">
        <v>0</v>
      </c>
      <c r="AD6287" t="n">
        <v>0</v>
      </c>
      <c r="AE6287" t="n">
        <v>0</v>
      </c>
      <c r="AF6287" t="n">
        <v>0</v>
      </c>
      <c r="AG6287" t="n">
        <v>0</v>
      </c>
      <c r="AH6287" t="n">
        <v>0</v>
      </c>
      <c r="AI6287" t="n">
        <v>0</v>
      </c>
    </row>
    <row r="6288">
      <c r="A6288" t="inlineStr">
        <is>
          <t>12월</t>
        </is>
      </c>
      <c r="B6288" t="inlineStr">
        <is>
          <t>52주차</t>
        </is>
      </c>
      <c r="C6288" t="e">
        <v>#N/A</v>
      </c>
      <c r="K6288" t="n">
        <v>0</v>
      </c>
      <c r="L6288" t="n">
        <v>0</v>
      </c>
      <c r="M6288" t="n">
        <v>0</v>
      </c>
      <c r="AC6288" t="n">
        <v>0</v>
      </c>
      <c r="AD6288" t="n">
        <v>0</v>
      </c>
      <c r="AE6288" t="n">
        <v>0</v>
      </c>
      <c r="AF6288" t="n">
        <v>0</v>
      </c>
      <c r="AG6288" t="n">
        <v>0</v>
      </c>
      <c r="AH6288" t="n">
        <v>0</v>
      </c>
      <c r="AI6288" t="n">
        <v>0</v>
      </c>
    </row>
    <row r="6289">
      <c r="A6289" t="inlineStr">
        <is>
          <t>12월</t>
        </is>
      </c>
      <c r="B6289" t="inlineStr">
        <is>
          <t>52주차</t>
        </is>
      </c>
      <c r="C6289" t="e">
        <v>#N/A</v>
      </c>
      <c r="K6289" t="n">
        <v>0</v>
      </c>
      <c r="L6289" t="n">
        <v>0</v>
      </c>
      <c r="M6289" t="n">
        <v>0</v>
      </c>
      <c r="AC6289" t="n">
        <v>0</v>
      </c>
      <c r="AD6289" t="n">
        <v>0</v>
      </c>
      <c r="AE6289" t="n">
        <v>0</v>
      </c>
      <c r="AF6289" t="n">
        <v>0</v>
      </c>
      <c r="AG6289" t="n">
        <v>0</v>
      </c>
      <c r="AH6289" t="n">
        <v>0</v>
      </c>
      <c r="AI6289" t="n">
        <v>0</v>
      </c>
    </row>
    <row r="6290">
      <c r="A6290" t="inlineStr">
        <is>
          <t>12월</t>
        </is>
      </c>
      <c r="B6290" t="inlineStr">
        <is>
          <t>52주차</t>
        </is>
      </c>
      <c r="C6290" t="e">
        <v>#N/A</v>
      </c>
      <c r="K6290" t="n">
        <v>0</v>
      </c>
      <c r="L6290" t="n">
        <v>0</v>
      </c>
      <c r="M6290" t="n">
        <v>0</v>
      </c>
      <c r="AC6290" t="n">
        <v>0</v>
      </c>
      <c r="AD6290" t="n">
        <v>0</v>
      </c>
      <c r="AE6290" t="n">
        <v>0</v>
      </c>
      <c r="AF6290" t="n">
        <v>0</v>
      </c>
      <c r="AG6290" t="n">
        <v>0</v>
      </c>
      <c r="AH6290" t="n">
        <v>0</v>
      </c>
      <c r="AI6290" t="n">
        <v>0</v>
      </c>
    </row>
    <row r="6291">
      <c r="A6291" t="inlineStr">
        <is>
          <t>12월</t>
        </is>
      </c>
      <c r="B6291" t="inlineStr">
        <is>
          <t>52주차</t>
        </is>
      </c>
      <c r="C6291" t="e">
        <v>#N/A</v>
      </c>
      <c r="K6291" t="n">
        <v>0</v>
      </c>
      <c r="L6291" t="n">
        <v>0</v>
      </c>
      <c r="M6291" t="n">
        <v>0</v>
      </c>
      <c r="AC6291" t="n">
        <v>0</v>
      </c>
      <c r="AD6291" t="n">
        <v>0</v>
      </c>
      <c r="AE6291" t="n">
        <v>0</v>
      </c>
      <c r="AF6291" t="n">
        <v>0</v>
      </c>
      <c r="AG6291" t="n">
        <v>0</v>
      </c>
      <c r="AH6291" t="n">
        <v>0</v>
      </c>
      <c r="AI6291" t="n">
        <v>0</v>
      </c>
    </row>
    <row r="6292">
      <c r="A6292" t="inlineStr">
        <is>
          <t>12월</t>
        </is>
      </c>
      <c r="B6292" t="inlineStr">
        <is>
          <t>52주차</t>
        </is>
      </c>
      <c r="C6292" t="e">
        <v>#N/A</v>
      </c>
      <c r="K6292" t="n">
        <v>0</v>
      </c>
      <c r="L6292" t="n">
        <v>0</v>
      </c>
      <c r="M6292" t="n">
        <v>0</v>
      </c>
      <c r="AC6292" t="n">
        <v>0</v>
      </c>
      <c r="AD6292" t="n">
        <v>0</v>
      </c>
      <c r="AE6292" t="n">
        <v>0</v>
      </c>
      <c r="AF6292" t="n">
        <v>0</v>
      </c>
      <c r="AG6292" t="n">
        <v>0</v>
      </c>
      <c r="AH6292" t="n">
        <v>0</v>
      </c>
      <c r="AI6292" t="n">
        <v>0</v>
      </c>
    </row>
    <row r="6293">
      <c r="A6293" t="inlineStr">
        <is>
          <t>12월</t>
        </is>
      </c>
      <c r="B6293" t="inlineStr">
        <is>
          <t>52주차</t>
        </is>
      </c>
      <c r="C6293" t="e">
        <v>#N/A</v>
      </c>
      <c r="K6293" t="n">
        <v>0</v>
      </c>
      <c r="L6293" t="n">
        <v>0</v>
      </c>
      <c r="M6293" t="n">
        <v>0</v>
      </c>
      <c r="AC6293" t="n">
        <v>0</v>
      </c>
      <c r="AD6293" t="n">
        <v>0</v>
      </c>
      <c r="AE6293" t="n">
        <v>0</v>
      </c>
      <c r="AF6293" t="n">
        <v>0</v>
      </c>
      <c r="AG6293" t="n">
        <v>0</v>
      </c>
      <c r="AH6293" t="n">
        <v>0</v>
      </c>
      <c r="AI6293" t="n">
        <v>0</v>
      </c>
    </row>
    <row r="6294">
      <c r="A6294" t="inlineStr">
        <is>
          <t>12월</t>
        </is>
      </c>
      <c r="B6294" t="inlineStr">
        <is>
          <t>52주차</t>
        </is>
      </c>
      <c r="C6294" t="e">
        <v>#N/A</v>
      </c>
      <c r="K6294" t="n">
        <v>0</v>
      </c>
      <c r="L6294" t="n">
        <v>0</v>
      </c>
      <c r="M6294" t="n">
        <v>0</v>
      </c>
      <c r="AC6294" t="n">
        <v>0</v>
      </c>
      <c r="AD6294" t="n">
        <v>0</v>
      </c>
      <c r="AE6294" t="n">
        <v>0</v>
      </c>
      <c r="AF6294" t="n">
        <v>0</v>
      </c>
      <c r="AG6294" t="n">
        <v>0</v>
      </c>
      <c r="AH6294" t="n">
        <v>0</v>
      </c>
      <c r="AI6294" t="n">
        <v>0</v>
      </c>
    </row>
    <row r="6295">
      <c r="A6295" t="inlineStr">
        <is>
          <t>12월</t>
        </is>
      </c>
      <c r="B6295" t="inlineStr">
        <is>
          <t>52주차</t>
        </is>
      </c>
      <c r="C6295" t="e">
        <v>#N/A</v>
      </c>
      <c r="K6295" t="n">
        <v>0</v>
      </c>
      <c r="L6295" t="n">
        <v>0</v>
      </c>
      <c r="M6295" t="n">
        <v>0</v>
      </c>
      <c r="AC6295" t="n">
        <v>0</v>
      </c>
      <c r="AD6295" t="n">
        <v>0</v>
      </c>
      <c r="AE6295" t="n">
        <v>0</v>
      </c>
      <c r="AF6295" t="n">
        <v>0</v>
      </c>
      <c r="AG6295" t="n">
        <v>0</v>
      </c>
      <c r="AH6295" t="n">
        <v>0</v>
      </c>
      <c r="AI6295" t="n">
        <v>0</v>
      </c>
    </row>
    <row r="6296">
      <c r="A6296" t="inlineStr">
        <is>
          <t>12월</t>
        </is>
      </c>
      <c r="B6296" t="inlineStr">
        <is>
          <t>52주차</t>
        </is>
      </c>
      <c r="C6296" t="e">
        <v>#N/A</v>
      </c>
      <c r="K6296" t="n">
        <v>0</v>
      </c>
      <c r="L6296" t="n">
        <v>0</v>
      </c>
      <c r="M6296" t="n">
        <v>0</v>
      </c>
      <c r="AC6296" t="n">
        <v>0</v>
      </c>
      <c r="AD6296" t="n">
        <v>0</v>
      </c>
      <c r="AE6296" t="n">
        <v>0</v>
      </c>
      <c r="AF6296" t="n">
        <v>0</v>
      </c>
      <c r="AG6296" t="n">
        <v>0</v>
      </c>
      <c r="AH6296" t="n">
        <v>0</v>
      </c>
      <c r="AI6296" t="n">
        <v>0</v>
      </c>
    </row>
    <row r="6297">
      <c r="A6297" t="inlineStr">
        <is>
          <t>12월</t>
        </is>
      </c>
      <c r="B6297" t="inlineStr">
        <is>
          <t>52주차</t>
        </is>
      </c>
      <c r="C6297" t="e">
        <v>#N/A</v>
      </c>
      <c r="K6297" t="n">
        <v>0</v>
      </c>
      <c r="L6297" t="n">
        <v>0</v>
      </c>
      <c r="M6297" t="n">
        <v>0</v>
      </c>
      <c r="AC6297" t="n">
        <v>0</v>
      </c>
      <c r="AD6297" t="n">
        <v>0</v>
      </c>
      <c r="AE6297" t="n">
        <v>0</v>
      </c>
      <c r="AF6297" t="n">
        <v>0</v>
      </c>
      <c r="AG6297" t="n">
        <v>0</v>
      </c>
      <c r="AH6297" t="n">
        <v>0</v>
      </c>
      <c r="AI6297" t="n">
        <v>0</v>
      </c>
    </row>
    <row r="6298">
      <c r="A6298" t="inlineStr">
        <is>
          <t>12월</t>
        </is>
      </c>
      <c r="B6298" t="inlineStr">
        <is>
          <t>52주차</t>
        </is>
      </c>
      <c r="C6298" t="e">
        <v>#N/A</v>
      </c>
      <c r="K6298" t="n">
        <v>0</v>
      </c>
      <c r="L6298" t="n">
        <v>0</v>
      </c>
      <c r="M6298" t="n">
        <v>0</v>
      </c>
      <c r="AC6298" t="n">
        <v>0</v>
      </c>
      <c r="AD6298" t="n">
        <v>0</v>
      </c>
      <c r="AE6298" t="n">
        <v>0</v>
      </c>
      <c r="AF6298" t="n">
        <v>0</v>
      </c>
      <c r="AG6298" t="n">
        <v>0</v>
      </c>
      <c r="AH6298" t="n">
        <v>0</v>
      </c>
      <c r="AI6298" t="n">
        <v>0</v>
      </c>
    </row>
    <row r="6299">
      <c r="A6299" t="inlineStr">
        <is>
          <t>12월</t>
        </is>
      </c>
      <c r="B6299" t="inlineStr">
        <is>
          <t>52주차</t>
        </is>
      </c>
      <c r="C6299" t="e">
        <v>#N/A</v>
      </c>
      <c r="K6299" t="n">
        <v>0</v>
      </c>
      <c r="L6299" t="n">
        <v>0</v>
      </c>
      <c r="M6299" t="n">
        <v>0</v>
      </c>
      <c r="AC6299" t="n">
        <v>0</v>
      </c>
      <c r="AD6299" t="n">
        <v>0</v>
      </c>
      <c r="AE6299" t="n">
        <v>0</v>
      </c>
      <c r="AF6299" t="n">
        <v>0</v>
      </c>
      <c r="AG6299" t="n">
        <v>0</v>
      </c>
      <c r="AH6299" t="n">
        <v>0</v>
      </c>
      <c r="AI6299" t="n">
        <v>0</v>
      </c>
    </row>
    <row r="6300">
      <c r="A6300" t="inlineStr">
        <is>
          <t>12월</t>
        </is>
      </c>
      <c r="B6300" t="inlineStr">
        <is>
          <t>52주차</t>
        </is>
      </c>
      <c r="C6300" t="e">
        <v>#N/A</v>
      </c>
      <c r="K6300" t="n">
        <v>0</v>
      </c>
      <c r="L6300" t="n">
        <v>0</v>
      </c>
      <c r="M6300" t="n">
        <v>0</v>
      </c>
      <c r="AC6300" t="n">
        <v>0</v>
      </c>
      <c r="AD6300" t="n">
        <v>0</v>
      </c>
      <c r="AE6300" t="n">
        <v>0</v>
      </c>
      <c r="AF6300" t="n">
        <v>0</v>
      </c>
      <c r="AG6300" t="n">
        <v>0</v>
      </c>
      <c r="AH6300" t="n">
        <v>0</v>
      </c>
      <c r="AI6300" t="n">
        <v>0</v>
      </c>
    </row>
    <row r="6301">
      <c r="A6301" t="inlineStr">
        <is>
          <t>12월</t>
        </is>
      </c>
      <c r="B6301" t="inlineStr">
        <is>
          <t>52주차</t>
        </is>
      </c>
      <c r="C6301" t="e">
        <v>#N/A</v>
      </c>
      <c r="K6301" t="n">
        <v>0</v>
      </c>
      <c r="L6301" t="n">
        <v>0</v>
      </c>
      <c r="M6301" t="n">
        <v>0</v>
      </c>
      <c r="AC6301" t="n">
        <v>0</v>
      </c>
      <c r="AD6301" t="n">
        <v>0</v>
      </c>
      <c r="AE6301" t="n">
        <v>0</v>
      </c>
      <c r="AF6301" t="n">
        <v>0</v>
      </c>
      <c r="AG6301" t="n">
        <v>0</v>
      </c>
      <c r="AH6301" t="n">
        <v>0</v>
      </c>
      <c r="AI6301" t="n">
        <v>0</v>
      </c>
    </row>
    <row r="6302">
      <c r="A6302" t="inlineStr">
        <is>
          <t>12월</t>
        </is>
      </c>
      <c r="B6302" t="inlineStr">
        <is>
          <t>52주차</t>
        </is>
      </c>
      <c r="C6302" t="e">
        <v>#N/A</v>
      </c>
      <c r="K6302" t="n">
        <v>0</v>
      </c>
      <c r="L6302" t="n">
        <v>0</v>
      </c>
      <c r="M6302" t="n">
        <v>0</v>
      </c>
      <c r="AC6302" t="n">
        <v>0</v>
      </c>
      <c r="AD6302" t="n">
        <v>0</v>
      </c>
      <c r="AE6302" t="n">
        <v>0</v>
      </c>
      <c r="AF6302" t="n">
        <v>0</v>
      </c>
      <c r="AG6302" t="n">
        <v>0</v>
      </c>
      <c r="AH6302" t="n">
        <v>0</v>
      </c>
      <c r="AI6302" t="n">
        <v>0</v>
      </c>
    </row>
    <row r="6303">
      <c r="A6303" t="inlineStr">
        <is>
          <t>12월</t>
        </is>
      </c>
      <c r="B6303" t="inlineStr">
        <is>
          <t>52주차</t>
        </is>
      </c>
      <c r="C6303" t="e">
        <v>#N/A</v>
      </c>
      <c r="K6303" t="n">
        <v>0</v>
      </c>
      <c r="L6303" t="n">
        <v>0</v>
      </c>
      <c r="M6303" t="n">
        <v>0</v>
      </c>
      <c r="AC6303" t="n">
        <v>0</v>
      </c>
      <c r="AD6303" t="n">
        <v>0</v>
      </c>
      <c r="AE6303" t="n">
        <v>0</v>
      </c>
      <c r="AF6303" t="n">
        <v>0</v>
      </c>
      <c r="AG6303" t="n">
        <v>0</v>
      </c>
      <c r="AH6303" t="n">
        <v>0</v>
      </c>
      <c r="AI6303" t="n">
        <v>0</v>
      </c>
    </row>
    <row r="6304">
      <c r="A6304" t="inlineStr">
        <is>
          <t>12월</t>
        </is>
      </c>
      <c r="B6304" t="inlineStr">
        <is>
          <t>52주차</t>
        </is>
      </c>
      <c r="C6304" t="e">
        <v>#N/A</v>
      </c>
      <c r="K6304" t="n">
        <v>0</v>
      </c>
      <c r="L6304" t="n">
        <v>0</v>
      </c>
      <c r="M6304" t="n">
        <v>0</v>
      </c>
      <c r="AC6304" t="n">
        <v>0</v>
      </c>
      <c r="AD6304" t="n">
        <v>0</v>
      </c>
      <c r="AE6304" t="n">
        <v>0</v>
      </c>
      <c r="AF6304" t="n">
        <v>0</v>
      </c>
      <c r="AG6304" t="n">
        <v>0</v>
      </c>
      <c r="AH6304" t="n">
        <v>0</v>
      </c>
      <c r="AI6304" t="n">
        <v>0</v>
      </c>
    </row>
    <row r="6305">
      <c r="A6305" t="inlineStr">
        <is>
          <t>12월</t>
        </is>
      </c>
      <c r="B6305" t="inlineStr">
        <is>
          <t>52주차</t>
        </is>
      </c>
      <c r="C6305" t="e">
        <v>#N/A</v>
      </c>
      <c r="K6305" t="n">
        <v>0</v>
      </c>
      <c r="L6305" t="n">
        <v>0</v>
      </c>
      <c r="M6305" t="n">
        <v>0</v>
      </c>
      <c r="AC6305" t="n">
        <v>0</v>
      </c>
      <c r="AD6305" t="n">
        <v>0</v>
      </c>
      <c r="AE6305" t="n">
        <v>0</v>
      </c>
      <c r="AF6305" t="n">
        <v>0</v>
      </c>
      <c r="AG6305" t="n">
        <v>0</v>
      </c>
      <c r="AH6305" t="n">
        <v>0</v>
      </c>
      <c r="AI6305" t="n">
        <v>0</v>
      </c>
    </row>
    <row r="6306">
      <c r="A6306" t="inlineStr">
        <is>
          <t>12월</t>
        </is>
      </c>
      <c r="B6306" t="inlineStr">
        <is>
          <t>52주차</t>
        </is>
      </c>
      <c r="C6306" t="e">
        <v>#N/A</v>
      </c>
      <c r="K6306" t="n">
        <v>0</v>
      </c>
      <c r="L6306" t="n">
        <v>0</v>
      </c>
      <c r="M6306" t="n">
        <v>0</v>
      </c>
      <c r="AC6306" t="n">
        <v>0</v>
      </c>
      <c r="AD6306" t="n">
        <v>0</v>
      </c>
      <c r="AE6306" t="n">
        <v>0</v>
      </c>
      <c r="AF6306" t="n">
        <v>0</v>
      </c>
      <c r="AG6306" t="n">
        <v>0</v>
      </c>
      <c r="AH6306" t="n">
        <v>0</v>
      </c>
      <c r="AI6306" t="n">
        <v>0</v>
      </c>
    </row>
    <row r="6307">
      <c r="A6307" t="inlineStr">
        <is>
          <t>12월</t>
        </is>
      </c>
      <c r="B6307" t="inlineStr">
        <is>
          <t>52주차</t>
        </is>
      </c>
      <c r="C6307" t="e">
        <v>#N/A</v>
      </c>
      <c r="K6307" t="n">
        <v>0</v>
      </c>
      <c r="L6307" t="n">
        <v>0</v>
      </c>
      <c r="M6307" t="n">
        <v>0</v>
      </c>
      <c r="AC6307" t="n">
        <v>0</v>
      </c>
      <c r="AD6307" t="n">
        <v>0</v>
      </c>
      <c r="AE6307" t="n">
        <v>0</v>
      </c>
      <c r="AF6307" t="n">
        <v>0</v>
      </c>
      <c r="AG6307" t="n">
        <v>0</v>
      </c>
      <c r="AH6307" t="n">
        <v>0</v>
      </c>
      <c r="AI6307" t="n">
        <v>0</v>
      </c>
    </row>
    <row r="6308">
      <c r="A6308" t="inlineStr">
        <is>
          <t>12월</t>
        </is>
      </c>
      <c r="B6308" t="inlineStr">
        <is>
          <t>52주차</t>
        </is>
      </c>
      <c r="C6308" t="e">
        <v>#N/A</v>
      </c>
      <c r="K6308" t="n">
        <v>0</v>
      </c>
      <c r="L6308" t="n">
        <v>0</v>
      </c>
      <c r="M6308" t="n">
        <v>0</v>
      </c>
      <c r="AC6308" t="n">
        <v>0</v>
      </c>
      <c r="AD6308" t="n">
        <v>0</v>
      </c>
      <c r="AE6308" t="n">
        <v>0</v>
      </c>
      <c r="AF6308" t="n">
        <v>0</v>
      </c>
      <c r="AG6308" t="n">
        <v>0</v>
      </c>
      <c r="AH6308" t="n">
        <v>0</v>
      </c>
      <c r="AI6308" t="n">
        <v>0</v>
      </c>
    </row>
    <row r="6309">
      <c r="A6309" t="inlineStr">
        <is>
          <t>12월</t>
        </is>
      </c>
      <c r="B6309" t="inlineStr">
        <is>
          <t>52주차</t>
        </is>
      </c>
      <c r="C6309" t="e">
        <v>#N/A</v>
      </c>
      <c r="K6309" t="n">
        <v>0</v>
      </c>
      <c r="L6309" t="n">
        <v>0</v>
      </c>
      <c r="M6309" t="n">
        <v>0</v>
      </c>
      <c r="AC6309" t="n">
        <v>0</v>
      </c>
      <c r="AD6309" t="n">
        <v>0</v>
      </c>
      <c r="AE6309" t="n">
        <v>0</v>
      </c>
      <c r="AF6309" t="n">
        <v>0</v>
      </c>
      <c r="AG6309" t="n">
        <v>0</v>
      </c>
      <c r="AH6309" t="n">
        <v>0</v>
      </c>
    </row>
    <row r="6310">
      <c r="A6310" t="inlineStr">
        <is>
          <t>12월</t>
        </is>
      </c>
      <c r="B6310" t="inlineStr">
        <is>
          <t>52주차</t>
        </is>
      </c>
      <c r="C6310" t="e">
        <v>#N/A</v>
      </c>
      <c r="K6310" t="n">
        <v>0</v>
      </c>
      <c r="L6310" t="n">
        <v>0</v>
      </c>
      <c r="M6310" t="n">
        <v>0</v>
      </c>
      <c r="AC6310" t="n">
        <v>0</v>
      </c>
      <c r="AD6310" t="n">
        <v>0</v>
      </c>
      <c r="AE6310" t="n">
        <v>0</v>
      </c>
      <c r="AF6310" t="n">
        <v>0</v>
      </c>
      <c r="AG6310" t="n">
        <v>0</v>
      </c>
      <c r="AH6310" t="n">
        <v>0</v>
      </c>
      <c r="AI6310" t="n">
        <v>0</v>
      </c>
    </row>
    <row r="6311">
      <c r="A6311" t="inlineStr">
        <is>
          <t>12월</t>
        </is>
      </c>
      <c r="B6311" t="inlineStr">
        <is>
          <t>52주차</t>
        </is>
      </c>
      <c r="C6311" t="e">
        <v>#N/A</v>
      </c>
      <c r="K6311" t="n">
        <v>0</v>
      </c>
      <c r="L6311" t="n">
        <v>0</v>
      </c>
      <c r="M6311" t="n">
        <v>0</v>
      </c>
      <c r="AC6311" t="n">
        <v>0</v>
      </c>
      <c r="AD6311" t="n">
        <v>0</v>
      </c>
      <c r="AE6311" t="n">
        <v>0</v>
      </c>
      <c r="AF6311" t="n">
        <v>0</v>
      </c>
      <c r="AG6311" t="n">
        <v>0</v>
      </c>
      <c r="AH6311" t="n">
        <v>0</v>
      </c>
    </row>
    <row r="6312">
      <c r="A6312" t="inlineStr">
        <is>
          <t>12월</t>
        </is>
      </c>
      <c r="B6312" t="inlineStr">
        <is>
          <t>52주차</t>
        </is>
      </c>
      <c r="C6312" t="e">
        <v>#N/A</v>
      </c>
      <c r="K6312" t="n">
        <v>0</v>
      </c>
      <c r="L6312" t="n">
        <v>0</v>
      </c>
      <c r="M6312" t="n">
        <v>0</v>
      </c>
      <c r="AC6312" t="n">
        <v>0</v>
      </c>
      <c r="AD6312" t="n">
        <v>0</v>
      </c>
      <c r="AE6312" t="n">
        <v>0</v>
      </c>
      <c r="AF6312" t="n">
        <v>0</v>
      </c>
      <c r="AG6312" t="n">
        <v>0</v>
      </c>
      <c r="AH6312" t="n">
        <v>0</v>
      </c>
      <c r="AI6312" t="n">
        <v>0</v>
      </c>
    </row>
    <row r="6313">
      <c r="A6313" t="inlineStr">
        <is>
          <t>12월</t>
        </is>
      </c>
      <c r="B6313" t="inlineStr">
        <is>
          <t>52주차</t>
        </is>
      </c>
      <c r="C6313" t="e">
        <v>#N/A</v>
      </c>
      <c r="K6313" t="n">
        <v>0</v>
      </c>
      <c r="L6313" t="n">
        <v>0</v>
      </c>
      <c r="M6313" t="n">
        <v>0</v>
      </c>
      <c r="AC6313" t="n">
        <v>0</v>
      </c>
      <c r="AD6313" t="n">
        <v>0</v>
      </c>
      <c r="AE6313" t="n">
        <v>0</v>
      </c>
      <c r="AF6313" t="n">
        <v>0</v>
      </c>
      <c r="AG6313" t="n">
        <v>0</v>
      </c>
      <c r="AH6313" t="n">
        <v>0</v>
      </c>
    </row>
    <row r="6314">
      <c r="A6314" t="inlineStr">
        <is>
          <t>12월</t>
        </is>
      </c>
      <c r="B6314" t="inlineStr">
        <is>
          <t>52주차</t>
        </is>
      </c>
      <c r="C6314" t="e">
        <v>#N/A</v>
      </c>
      <c r="K6314" t="n">
        <v>0</v>
      </c>
      <c r="L6314" t="n">
        <v>0</v>
      </c>
      <c r="M6314" t="n">
        <v>0</v>
      </c>
      <c r="AC6314" t="n">
        <v>0</v>
      </c>
      <c r="AD6314" t="n">
        <v>0</v>
      </c>
      <c r="AE6314" t="n">
        <v>0</v>
      </c>
      <c r="AF6314" t="n">
        <v>0</v>
      </c>
      <c r="AG6314" t="n">
        <v>0</v>
      </c>
      <c r="AH6314" t="n">
        <v>0</v>
      </c>
      <c r="AI6314" t="n">
        <v>0</v>
      </c>
    </row>
    <row r="6315">
      <c r="A6315" t="inlineStr">
        <is>
          <t>12월</t>
        </is>
      </c>
      <c r="B6315" t="inlineStr">
        <is>
          <t>52주차</t>
        </is>
      </c>
      <c r="C6315" t="e">
        <v>#N/A</v>
      </c>
      <c r="K6315" t="n">
        <v>0</v>
      </c>
      <c r="L6315" t="n">
        <v>0</v>
      </c>
      <c r="M6315" t="n">
        <v>0</v>
      </c>
      <c r="AC6315" t="n">
        <v>0</v>
      </c>
      <c r="AD6315" t="n">
        <v>0</v>
      </c>
      <c r="AE6315" t="n">
        <v>0</v>
      </c>
      <c r="AF6315" t="n">
        <v>0</v>
      </c>
      <c r="AG6315" t="n">
        <v>0</v>
      </c>
      <c r="AH6315" t="n">
        <v>0</v>
      </c>
    </row>
    <row r="6316">
      <c r="A6316" t="inlineStr">
        <is>
          <t>12월</t>
        </is>
      </c>
      <c r="B6316" t="inlineStr">
        <is>
          <t>52주차</t>
        </is>
      </c>
      <c r="C6316" t="e">
        <v>#N/A</v>
      </c>
      <c r="K6316" t="n">
        <v>0</v>
      </c>
      <c r="L6316" t="n">
        <v>0</v>
      </c>
      <c r="M6316" t="n">
        <v>0</v>
      </c>
      <c r="AC6316" t="n">
        <v>0</v>
      </c>
      <c r="AD6316" t="n">
        <v>0</v>
      </c>
      <c r="AE6316" t="n">
        <v>0</v>
      </c>
      <c r="AF6316" t="n">
        <v>0</v>
      </c>
      <c r="AG6316" t="n">
        <v>0</v>
      </c>
      <c r="AH6316" t="n">
        <v>0</v>
      </c>
      <c r="AI6316" t="n">
        <v>0</v>
      </c>
    </row>
    <row r="6317">
      <c r="A6317" t="inlineStr">
        <is>
          <t>12월</t>
        </is>
      </c>
      <c r="B6317" t="inlineStr">
        <is>
          <t>52주차</t>
        </is>
      </c>
      <c r="C6317" t="e">
        <v>#N/A</v>
      </c>
      <c r="K6317" t="n">
        <v>0</v>
      </c>
      <c r="L6317" t="n">
        <v>0</v>
      </c>
      <c r="M6317" t="n">
        <v>0</v>
      </c>
      <c r="AC6317" t="n">
        <v>0</v>
      </c>
      <c r="AD6317" t="n">
        <v>0</v>
      </c>
      <c r="AE6317" t="n">
        <v>0</v>
      </c>
      <c r="AF6317" t="n">
        <v>0</v>
      </c>
      <c r="AG6317" t="n">
        <v>0</v>
      </c>
      <c r="AH6317" t="n">
        <v>0</v>
      </c>
      <c r="AI6317" t="n">
        <v>0</v>
      </c>
    </row>
    <row r="6318">
      <c r="A6318" t="inlineStr">
        <is>
          <t>12월</t>
        </is>
      </c>
      <c r="B6318" t="inlineStr">
        <is>
          <t>52주차</t>
        </is>
      </c>
      <c r="C6318" t="e">
        <v>#N/A</v>
      </c>
      <c r="K6318" t="n">
        <v>0</v>
      </c>
      <c r="L6318" t="n">
        <v>0</v>
      </c>
      <c r="M6318" t="n">
        <v>0</v>
      </c>
      <c r="AC6318" t="n">
        <v>0</v>
      </c>
      <c r="AD6318" t="n">
        <v>0</v>
      </c>
      <c r="AE6318" t="n">
        <v>0</v>
      </c>
      <c r="AF6318" t="n">
        <v>0</v>
      </c>
      <c r="AG6318" t="n">
        <v>0</v>
      </c>
      <c r="AH6318" t="n">
        <v>0</v>
      </c>
    </row>
    <row r="6319">
      <c r="A6319" t="inlineStr">
        <is>
          <t>12월</t>
        </is>
      </c>
      <c r="B6319" t="inlineStr">
        <is>
          <t>52주차</t>
        </is>
      </c>
      <c r="C6319" t="e">
        <v>#N/A</v>
      </c>
      <c r="K6319" t="n">
        <v>0</v>
      </c>
      <c r="L6319" t="n">
        <v>0</v>
      </c>
      <c r="M6319" t="n">
        <v>0</v>
      </c>
      <c r="AC6319" t="n">
        <v>0</v>
      </c>
      <c r="AD6319" t="n">
        <v>0</v>
      </c>
      <c r="AE6319" t="n">
        <v>0</v>
      </c>
      <c r="AF6319" t="n">
        <v>0</v>
      </c>
      <c r="AG6319" t="n">
        <v>0</v>
      </c>
      <c r="AH6319" t="n">
        <v>0</v>
      </c>
      <c r="AI6319" t="n">
        <v>0</v>
      </c>
    </row>
    <row r="6320">
      <c r="A6320" t="inlineStr">
        <is>
          <t>12월</t>
        </is>
      </c>
      <c r="B6320" t="inlineStr">
        <is>
          <t>52주차</t>
        </is>
      </c>
      <c r="C6320" t="e">
        <v>#N/A</v>
      </c>
      <c r="K6320" t="n">
        <v>0</v>
      </c>
      <c r="L6320" t="n">
        <v>0</v>
      </c>
      <c r="M6320" t="n">
        <v>0</v>
      </c>
      <c r="AC6320" t="n">
        <v>0</v>
      </c>
      <c r="AD6320" t="n">
        <v>0</v>
      </c>
      <c r="AE6320" t="n">
        <v>0</v>
      </c>
      <c r="AF6320" t="n">
        <v>0</v>
      </c>
      <c r="AG6320" t="n">
        <v>0</v>
      </c>
      <c r="AH6320" t="n">
        <v>0</v>
      </c>
    </row>
    <row r="6321">
      <c r="A6321" t="inlineStr">
        <is>
          <t>12월</t>
        </is>
      </c>
      <c r="B6321" t="inlineStr">
        <is>
          <t>52주차</t>
        </is>
      </c>
      <c r="C6321" t="e">
        <v>#N/A</v>
      </c>
      <c r="K6321" t="n">
        <v>0</v>
      </c>
      <c r="L6321" t="n">
        <v>0</v>
      </c>
      <c r="M6321" t="n">
        <v>0</v>
      </c>
      <c r="AC6321" t="n">
        <v>0</v>
      </c>
      <c r="AD6321" t="n">
        <v>0</v>
      </c>
      <c r="AE6321" t="n">
        <v>0</v>
      </c>
      <c r="AF6321" t="n">
        <v>0</v>
      </c>
      <c r="AG6321" t="n">
        <v>0</v>
      </c>
      <c r="AH6321" t="n">
        <v>0</v>
      </c>
      <c r="AI6321" t="n">
        <v>0</v>
      </c>
    </row>
    <row r="6322">
      <c r="A6322" t="inlineStr">
        <is>
          <t>12월</t>
        </is>
      </c>
      <c r="B6322" t="inlineStr">
        <is>
          <t>52주차</t>
        </is>
      </c>
      <c r="C6322" t="e">
        <v>#N/A</v>
      </c>
      <c r="K6322" t="n">
        <v>0</v>
      </c>
      <c r="L6322" t="n">
        <v>0</v>
      </c>
      <c r="M6322" t="n">
        <v>0</v>
      </c>
      <c r="AC6322" t="n">
        <v>0</v>
      </c>
      <c r="AD6322" t="n">
        <v>0</v>
      </c>
      <c r="AE6322" t="n">
        <v>0</v>
      </c>
      <c r="AF6322" t="n">
        <v>0</v>
      </c>
      <c r="AG6322" t="n">
        <v>0</v>
      </c>
      <c r="AH6322" t="n">
        <v>0</v>
      </c>
      <c r="AI6322" t="n">
        <v>0</v>
      </c>
    </row>
    <row r="6323">
      <c r="A6323" t="inlineStr">
        <is>
          <t>12월</t>
        </is>
      </c>
      <c r="B6323" t="inlineStr">
        <is>
          <t>52주차</t>
        </is>
      </c>
      <c r="C6323" t="e">
        <v>#N/A</v>
      </c>
      <c r="K6323" t="n">
        <v>0</v>
      </c>
      <c r="L6323" t="n">
        <v>0</v>
      </c>
      <c r="M6323" t="n">
        <v>0</v>
      </c>
      <c r="AC6323" t="n">
        <v>0</v>
      </c>
      <c r="AD6323" t="n">
        <v>0</v>
      </c>
      <c r="AE6323" t="n">
        <v>0</v>
      </c>
      <c r="AF6323" t="n">
        <v>0</v>
      </c>
      <c r="AG6323" t="n">
        <v>0</v>
      </c>
      <c r="AH6323" t="n">
        <v>0</v>
      </c>
      <c r="AI6323" t="n">
        <v>0</v>
      </c>
    </row>
    <row r="6324">
      <c r="A6324" t="inlineStr">
        <is>
          <t>12월</t>
        </is>
      </c>
      <c r="B6324" t="inlineStr">
        <is>
          <t>52주차</t>
        </is>
      </c>
      <c r="C6324" t="e">
        <v>#N/A</v>
      </c>
      <c r="K6324" t="n">
        <v>0</v>
      </c>
      <c r="L6324" t="n">
        <v>0</v>
      </c>
      <c r="M6324" t="n">
        <v>0</v>
      </c>
      <c r="AC6324" t="n">
        <v>0</v>
      </c>
      <c r="AD6324" t="n">
        <v>0</v>
      </c>
      <c r="AE6324" t="n">
        <v>0</v>
      </c>
      <c r="AF6324" t="n">
        <v>0</v>
      </c>
      <c r="AG6324" t="n">
        <v>0</v>
      </c>
      <c r="AH6324" t="n">
        <v>0</v>
      </c>
      <c r="AI6324" t="n">
        <v>0</v>
      </c>
    </row>
    <row r="6325">
      <c r="A6325" t="inlineStr">
        <is>
          <t>12월</t>
        </is>
      </c>
      <c r="B6325" t="inlineStr">
        <is>
          <t>52주차</t>
        </is>
      </c>
      <c r="C6325" t="e">
        <v>#N/A</v>
      </c>
      <c r="K6325" t="n">
        <v>0</v>
      </c>
      <c r="L6325" t="n">
        <v>0</v>
      </c>
      <c r="M6325" t="n">
        <v>0</v>
      </c>
      <c r="AC6325" t="n">
        <v>0</v>
      </c>
      <c r="AD6325" t="n">
        <v>0</v>
      </c>
      <c r="AE6325" t="n">
        <v>0</v>
      </c>
      <c r="AF6325" t="n">
        <v>0</v>
      </c>
      <c r="AG6325" t="n">
        <v>0</v>
      </c>
      <c r="AH6325" t="n">
        <v>0</v>
      </c>
      <c r="AI6325" t="n">
        <v>0</v>
      </c>
    </row>
    <row r="6326">
      <c r="A6326" t="inlineStr">
        <is>
          <t>12월</t>
        </is>
      </c>
      <c r="B6326" t="inlineStr">
        <is>
          <t>52주차</t>
        </is>
      </c>
      <c r="C6326" t="e">
        <v>#N/A</v>
      </c>
      <c r="K6326" t="n">
        <v>0</v>
      </c>
      <c r="L6326" t="n">
        <v>0</v>
      </c>
      <c r="M6326" t="n">
        <v>0</v>
      </c>
      <c r="AC6326" t="n">
        <v>0</v>
      </c>
      <c r="AD6326" t="n">
        <v>0</v>
      </c>
      <c r="AE6326" t="n">
        <v>0</v>
      </c>
      <c r="AF6326" t="n">
        <v>0</v>
      </c>
      <c r="AG6326" t="n">
        <v>0</v>
      </c>
      <c r="AH6326" t="n">
        <v>0</v>
      </c>
    </row>
    <row r="6327">
      <c r="A6327" t="inlineStr">
        <is>
          <t>12월</t>
        </is>
      </c>
      <c r="B6327" t="inlineStr">
        <is>
          <t>52주차</t>
        </is>
      </c>
      <c r="C6327" t="e">
        <v>#N/A</v>
      </c>
      <c r="K6327" t="n">
        <v>0</v>
      </c>
      <c r="L6327" t="n">
        <v>0</v>
      </c>
      <c r="M6327" t="n">
        <v>0</v>
      </c>
      <c r="AC6327" t="n">
        <v>0</v>
      </c>
      <c r="AD6327" t="n">
        <v>0</v>
      </c>
      <c r="AE6327" t="n">
        <v>0</v>
      </c>
      <c r="AF6327" t="n">
        <v>0</v>
      </c>
      <c r="AG6327" t="n">
        <v>0</v>
      </c>
      <c r="AH6327" t="n">
        <v>0</v>
      </c>
    </row>
    <row r="6328">
      <c r="A6328" t="inlineStr">
        <is>
          <t>12월</t>
        </is>
      </c>
      <c r="B6328" t="inlineStr">
        <is>
          <t>52주차</t>
        </is>
      </c>
      <c r="C6328" t="e">
        <v>#N/A</v>
      </c>
      <c r="K6328" t="n">
        <v>0</v>
      </c>
      <c r="L6328" t="n">
        <v>0</v>
      </c>
      <c r="M6328" t="n">
        <v>0</v>
      </c>
      <c r="AC6328" t="n">
        <v>0</v>
      </c>
      <c r="AD6328" t="n">
        <v>0</v>
      </c>
      <c r="AE6328" t="n">
        <v>0</v>
      </c>
      <c r="AF6328" t="n">
        <v>0</v>
      </c>
      <c r="AG6328" t="n">
        <v>0</v>
      </c>
      <c r="AH6328" t="n">
        <v>0</v>
      </c>
      <c r="AI6328" t="n">
        <v>0</v>
      </c>
    </row>
    <row r="6329">
      <c r="A6329" t="inlineStr">
        <is>
          <t>12월</t>
        </is>
      </c>
      <c r="B6329" t="inlineStr">
        <is>
          <t>52주차</t>
        </is>
      </c>
      <c r="C6329" t="e">
        <v>#N/A</v>
      </c>
      <c r="K6329" t="n">
        <v>0</v>
      </c>
      <c r="L6329" t="n">
        <v>0</v>
      </c>
      <c r="M6329" t="n">
        <v>0</v>
      </c>
      <c r="AC6329" t="n">
        <v>0</v>
      </c>
      <c r="AD6329" t="n">
        <v>0</v>
      </c>
      <c r="AE6329" t="n">
        <v>0</v>
      </c>
      <c r="AF6329" t="n">
        <v>0</v>
      </c>
      <c r="AG6329" t="n">
        <v>0</v>
      </c>
      <c r="AH6329" t="n">
        <v>0</v>
      </c>
    </row>
    <row r="6330">
      <c r="A6330" t="inlineStr">
        <is>
          <t>12월</t>
        </is>
      </c>
      <c r="B6330" t="inlineStr">
        <is>
          <t>52주차</t>
        </is>
      </c>
      <c r="C6330" t="e">
        <v>#N/A</v>
      </c>
      <c r="K6330" t="n">
        <v>0</v>
      </c>
      <c r="L6330" t="n">
        <v>0</v>
      </c>
      <c r="M6330" t="n">
        <v>0</v>
      </c>
      <c r="AC6330" t="n">
        <v>0</v>
      </c>
      <c r="AD6330" t="n">
        <v>0</v>
      </c>
      <c r="AE6330" t="n">
        <v>0</v>
      </c>
      <c r="AF6330" t="n">
        <v>0</v>
      </c>
      <c r="AG6330" t="n">
        <v>0</v>
      </c>
      <c r="AH6330" t="n">
        <v>0</v>
      </c>
      <c r="AI6330" t="n">
        <v>0</v>
      </c>
    </row>
    <row r="6331">
      <c r="A6331" t="inlineStr">
        <is>
          <t>12월</t>
        </is>
      </c>
      <c r="B6331" t="inlineStr">
        <is>
          <t>52주차</t>
        </is>
      </c>
      <c r="C6331" t="e">
        <v>#N/A</v>
      </c>
      <c r="K6331" t="n">
        <v>0</v>
      </c>
      <c r="L6331" t="n">
        <v>0</v>
      </c>
      <c r="M6331" t="n">
        <v>0</v>
      </c>
      <c r="AC6331" t="n">
        <v>0</v>
      </c>
      <c r="AD6331" t="n">
        <v>0</v>
      </c>
      <c r="AE6331" t="n">
        <v>0</v>
      </c>
      <c r="AF6331" t="n">
        <v>0</v>
      </c>
      <c r="AG6331" t="n">
        <v>0</v>
      </c>
      <c r="AH6331" t="n">
        <v>0</v>
      </c>
    </row>
    <row r="6332">
      <c r="A6332" t="inlineStr">
        <is>
          <t>12월</t>
        </is>
      </c>
      <c r="B6332" t="inlineStr">
        <is>
          <t>52주차</t>
        </is>
      </c>
      <c r="C6332" t="e">
        <v>#N/A</v>
      </c>
      <c r="K6332" t="n">
        <v>0</v>
      </c>
      <c r="L6332" t="n">
        <v>0</v>
      </c>
      <c r="M6332" t="n">
        <v>0</v>
      </c>
      <c r="AC6332" t="n">
        <v>0</v>
      </c>
      <c r="AD6332" t="n">
        <v>0</v>
      </c>
      <c r="AE6332" t="n">
        <v>0</v>
      </c>
      <c r="AF6332" t="n">
        <v>0</v>
      </c>
      <c r="AG6332" t="n">
        <v>0</v>
      </c>
      <c r="AH6332" t="n">
        <v>0</v>
      </c>
    </row>
    <row r="6333">
      <c r="A6333" t="inlineStr">
        <is>
          <t>12월</t>
        </is>
      </c>
      <c r="B6333" t="inlineStr">
        <is>
          <t>52주차</t>
        </is>
      </c>
      <c r="C6333" t="e">
        <v>#N/A</v>
      </c>
      <c r="K6333" t="n">
        <v>0</v>
      </c>
      <c r="L6333" t="n">
        <v>0</v>
      </c>
      <c r="M6333" t="n">
        <v>0</v>
      </c>
      <c r="AC6333" t="n">
        <v>0</v>
      </c>
      <c r="AD6333" t="n">
        <v>0</v>
      </c>
      <c r="AE6333" t="n">
        <v>0</v>
      </c>
      <c r="AF6333" t="n">
        <v>0</v>
      </c>
      <c r="AG6333" t="n">
        <v>0</v>
      </c>
      <c r="AH6333" t="n">
        <v>0</v>
      </c>
      <c r="AI6333" t="n">
        <v>0</v>
      </c>
    </row>
    <row r="6334">
      <c r="A6334" t="inlineStr">
        <is>
          <t>12월</t>
        </is>
      </c>
      <c r="B6334" t="inlineStr">
        <is>
          <t>52주차</t>
        </is>
      </c>
      <c r="C6334" t="e">
        <v>#N/A</v>
      </c>
      <c r="K6334" t="n">
        <v>0</v>
      </c>
      <c r="L6334" t="n">
        <v>0</v>
      </c>
      <c r="M6334" t="n">
        <v>0</v>
      </c>
      <c r="AC6334" t="n">
        <v>0</v>
      </c>
      <c r="AD6334" t="n">
        <v>0</v>
      </c>
      <c r="AE6334" t="n">
        <v>0</v>
      </c>
      <c r="AF6334" t="n">
        <v>0</v>
      </c>
      <c r="AG6334" t="n">
        <v>0</v>
      </c>
      <c r="AH6334" t="n">
        <v>0</v>
      </c>
      <c r="AI6334" t="n">
        <v>0</v>
      </c>
    </row>
    <row r="6335">
      <c r="A6335" t="inlineStr">
        <is>
          <t>12월</t>
        </is>
      </c>
      <c r="B6335" t="inlineStr">
        <is>
          <t>52주차</t>
        </is>
      </c>
      <c r="C6335" t="e">
        <v>#N/A</v>
      </c>
      <c r="K6335" t="n">
        <v>0</v>
      </c>
      <c r="L6335" t="n">
        <v>0</v>
      </c>
      <c r="M6335" t="n">
        <v>0</v>
      </c>
      <c r="AC6335" t="n">
        <v>0</v>
      </c>
      <c r="AD6335" t="n">
        <v>0</v>
      </c>
      <c r="AE6335" t="n">
        <v>0</v>
      </c>
      <c r="AF6335" t="n">
        <v>0</v>
      </c>
      <c r="AG6335" t="n">
        <v>0</v>
      </c>
      <c r="AH6335" t="n">
        <v>0</v>
      </c>
    </row>
    <row r="6336">
      <c r="A6336" t="inlineStr">
        <is>
          <t>12월</t>
        </is>
      </c>
      <c r="B6336" t="inlineStr">
        <is>
          <t>52주차</t>
        </is>
      </c>
      <c r="C6336" t="e">
        <v>#N/A</v>
      </c>
      <c r="K6336" t="n">
        <v>0</v>
      </c>
      <c r="L6336" t="n">
        <v>0</v>
      </c>
      <c r="M6336" t="n">
        <v>0</v>
      </c>
      <c r="AC6336" t="n">
        <v>0</v>
      </c>
      <c r="AD6336" t="n">
        <v>0</v>
      </c>
      <c r="AE6336" t="n">
        <v>0</v>
      </c>
      <c r="AF6336" t="n">
        <v>0</v>
      </c>
      <c r="AG6336" t="n">
        <v>0</v>
      </c>
      <c r="AH6336" t="n">
        <v>0</v>
      </c>
    </row>
    <row r="6337">
      <c r="A6337" t="inlineStr">
        <is>
          <t>12월</t>
        </is>
      </c>
      <c r="B6337" t="inlineStr">
        <is>
          <t>52주차</t>
        </is>
      </c>
      <c r="C6337" t="e">
        <v>#N/A</v>
      </c>
      <c r="K6337" t="n">
        <v>0</v>
      </c>
      <c r="L6337" t="n">
        <v>0</v>
      </c>
      <c r="M6337" t="n">
        <v>0</v>
      </c>
      <c r="AC6337" t="n">
        <v>0</v>
      </c>
      <c r="AD6337" t="n">
        <v>0</v>
      </c>
      <c r="AE6337" t="n">
        <v>0</v>
      </c>
      <c r="AF6337" t="n">
        <v>0</v>
      </c>
      <c r="AG6337" t="n">
        <v>0</v>
      </c>
      <c r="AH6337" t="n">
        <v>0</v>
      </c>
      <c r="AI6337" t="n">
        <v>0</v>
      </c>
    </row>
    <row r="6338">
      <c r="A6338" t="inlineStr">
        <is>
          <t>12월</t>
        </is>
      </c>
      <c r="B6338" t="inlineStr">
        <is>
          <t>52주차</t>
        </is>
      </c>
      <c r="C6338" t="e">
        <v>#N/A</v>
      </c>
      <c r="K6338" t="n">
        <v>0</v>
      </c>
      <c r="L6338" t="n">
        <v>0</v>
      </c>
      <c r="M6338" t="n">
        <v>0</v>
      </c>
      <c r="AC6338" t="n">
        <v>0</v>
      </c>
      <c r="AD6338" t="n">
        <v>0</v>
      </c>
      <c r="AE6338" t="n">
        <v>0</v>
      </c>
      <c r="AF6338" t="n">
        <v>0</v>
      </c>
      <c r="AG6338" t="n">
        <v>0</v>
      </c>
      <c r="AH6338" t="n">
        <v>0</v>
      </c>
      <c r="AI6338" t="n">
        <v>0</v>
      </c>
    </row>
    <row r="6339">
      <c r="A6339" t="inlineStr">
        <is>
          <t>12월</t>
        </is>
      </c>
      <c r="B6339" t="inlineStr">
        <is>
          <t>52주차</t>
        </is>
      </c>
      <c r="C6339" t="e">
        <v>#N/A</v>
      </c>
      <c r="K6339" t="n">
        <v>0</v>
      </c>
      <c r="L6339" t="n">
        <v>0</v>
      </c>
      <c r="M6339" t="n">
        <v>0</v>
      </c>
      <c r="AC6339" t="n">
        <v>0</v>
      </c>
      <c r="AD6339" t="n">
        <v>0</v>
      </c>
      <c r="AE6339" t="n">
        <v>0</v>
      </c>
      <c r="AF6339" t="n">
        <v>0</v>
      </c>
      <c r="AG6339" t="n">
        <v>0</v>
      </c>
      <c r="AH6339" t="n">
        <v>0</v>
      </c>
      <c r="AI6339" t="n">
        <v>0</v>
      </c>
    </row>
    <row r="6340">
      <c r="A6340" t="inlineStr">
        <is>
          <t>12월</t>
        </is>
      </c>
      <c r="B6340" t="inlineStr">
        <is>
          <t>52주차</t>
        </is>
      </c>
      <c r="C6340" t="e">
        <v>#N/A</v>
      </c>
      <c r="K6340" t="n">
        <v>0</v>
      </c>
      <c r="L6340" t="n">
        <v>0</v>
      </c>
      <c r="M6340" t="n">
        <v>0</v>
      </c>
      <c r="AC6340" t="n">
        <v>0</v>
      </c>
      <c r="AD6340" t="n">
        <v>0</v>
      </c>
      <c r="AE6340" t="n">
        <v>0</v>
      </c>
      <c r="AF6340" t="n">
        <v>0</v>
      </c>
      <c r="AG6340" t="n">
        <v>0</v>
      </c>
      <c r="AH6340" t="n">
        <v>0</v>
      </c>
      <c r="AI6340" t="n">
        <v>0</v>
      </c>
    </row>
    <row r="6341">
      <c r="A6341" t="inlineStr">
        <is>
          <t>12월</t>
        </is>
      </c>
      <c r="B6341" t="inlineStr">
        <is>
          <t>52주차</t>
        </is>
      </c>
      <c r="C6341" t="e">
        <v>#N/A</v>
      </c>
      <c r="K6341" t="n">
        <v>0</v>
      </c>
      <c r="L6341" t="n">
        <v>0</v>
      </c>
      <c r="M6341" t="n">
        <v>0</v>
      </c>
      <c r="AC6341" t="n">
        <v>0</v>
      </c>
      <c r="AD6341" t="n">
        <v>0</v>
      </c>
      <c r="AE6341" t="n">
        <v>0</v>
      </c>
      <c r="AF6341" t="n">
        <v>0</v>
      </c>
      <c r="AG6341" t="n">
        <v>0</v>
      </c>
      <c r="AH6341" t="n">
        <v>0</v>
      </c>
      <c r="AI6341" t="n">
        <v>0</v>
      </c>
    </row>
    <row r="6342">
      <c r="A6342" t="inlineStr">
        <is>
          <t>12월</t>
        </is>
      </c>
      <c r="B6342" t="inlineStr">
        <is>
          <t>52주차</t>
        </is>
      </c>
      <c r="C6342" t="e">
        <v>#N/A</v>
      </c>
      <c r="K6342" t="n">
        <v>0</v>
      </c>
      <c r="L6342" t="n">
        <v>0</v>
      </c>
      <c r="M6342" t="n">
        <v>0</v>
      </c>
      <c r="AC6342" t="n">
        <v>0</v>
      </c>
      <c r="AD6342" t="n">
        <v>0</v>
      </c>
      <c r="AE6342" t="n">
        <v>0</v>
      </c>
      <c r="AF6342" t="n">
        <v>0</v>
      </c>
      <c r="AG6342" t="n">
        <v>0</v>
      </c>
      <c r="AH6342" t="n">
        <v>0</v>
      </c>
    </row>
    <row r="6343">
      <c r="A6343" t="inlineStr">
        <is>
          <t>12월</t>
        </is>
      </c>
      <c r="B6343" t="inlineStr">
        <is>
          <t>52주차</t>
        </is>
      </c>
      <c r="C6343" t="e">
        <v>#N/A</v>
      </c>
      <c r="K6343" t="n">
        <v>0</v>
      </c>
      <c r="L6343" t="n">
        <v>0</v>
      </c>
      <c r="M6343" t="n">
        <v>0</v>
      </c>
      <c r="AC6343" t="n">
        <v>0</v>
      </c>
      <c r="AD6343" t="n">
        <v>0</v>
      </c>
      <c r="AE6343" t="n">
        <v>0</v>
      </c>
      <c r="AF6343" t="n">
        <v>0</v>
      </c>
      <c r="AG6343" t="n">
        <v>0</v>
      </c>
      <c r="AH6343" t="n">
        <v>0</v>
      </c>
      <c r="AI6343" t="n">
        <v>0</v>
      </c>
    </row>
    <row r="6344">
      <c r="A6344" t="inlineStr">
        <is>
          <t>12월</t>
        </is>
      </c>
      <c r="B6344" t="inlineStr">
        <is>
          <t>52주차</t>
        </is>
      </c>
      <c r="C6344" t="e">
        <v>#N/A</v>
      </c>
      <c r="K6344" t="n">
        <v>0</v>
      </c>
      <c r="L6344" t="n">
        <v>0</v>
      </c>
      <c r="M6344" t="n">
        <v>0</v>
      </c>
      <c r="AC6344" t="n">
        <v>0</v>
      </c>
      <c r="AD6344" t="n">
        <v>0</v>
      </c>
      <c r="AE6344" t="n">
        <v>0</v>
      </c>
      <c r="AF6344" t="n">
        <v>0</v>
      </c>
      <c r="AG6344" t="n">
        <v>0</v>
      </c>
      <c r="AH6344" t="n">
        <v>0</v>
      </c>
    </row>
    <row r="6345">
      <c r="A6345" t="inlineStr">
        <is>
          <t>12월</t>
        </is>
      </c>
      <c r="B6345" t="inlineStr">
        <is>
          <t>52주차</t>
        </is>
      </c>
      <c r="C6345" t="e">
        <v>#N/A</v>
      </c>
      <c r="K6345" t="n">
        <v>0</v>
      </c>
      <c r="L6345" t="n">
        <v>0</v>
      </c>
      <c r="M6345" t="n">
        <v>0</v>
      </c>
      <c r="AC6345" t="n">
        <v>0</v>
      </c>
      <c r="AD6345" t="n">
        <v>0</v>
      </c>
      <c r="AE6345" t="n">
        <v>0</v>
      </c>
      <c r="AF6345" t="n">
        <v>0</v>
      </c>
      <c r="AG6345" t="n">
        <v>0</v>
      </c>
      <c r="AH6345" t="n">
        <v>0</v>
      </c>
      <c r="AI6345" t="n">
        <v>0</v>
      </c>
    </row>
    <row r="6346">
      <c r="A6346" t="inlineStr">
        <is>
          <t>12월</t>
        </is>
      </c>
      <c r="B6346" t="inlineStr">
        <is>
          <t>52주차</t>
        </is>
      </c>
      <c r="C6346" t="e">
        <v>#N/A</v>
      </c>
      <c r="K6346" t="n">
        <v>0</v>
      </c>
      <c r="L6346" t="n">
        <v>0</v>
      </c>
      <c r="M6346" t="n">
        <v>0</v>
      </c>
      <c r="AC6346" t="n">
        <v>0</v>
      </c>
      <c r="AD6346" t="n">
        <v>0</v>
      </c>
      <c r="AE6346" t="n">
        <v>0</v>
      </c>
      <c r="AF6346" t="n">
        <v>0</v>
      </c>
      <c r="AG6346" t="n">
        <v>0</v>
      </c>
      <c r="AH6346" t="n">
        <v>0</v>
      </c>
      <c r="AI6346" t="n">
        <v>0</v>
      </c>
    </row>
    <row r="6347">
      <c r="A6347" t="inlineStr">
        <is>
          <t>12월</t>
        </is>
      </c>
      <c r="B6347" t="inlineStr">
        <is>
          <t>52주차</t>
        </is>
      </c>
      <c r="C6347" t="e">
        <v>#N/A</v>
      </c>
      <c r="K6347" t="n">
        <v>0</v>
      </c>
      <c r="L6347" t="n">
        <v>0</v>
      </c>
      <c r="M6347" t="n">
        <v>0</v>
      </c>
      <c r="AC6347" t="n">
        <v>0</v>
      </c>
      <c r="AD6347" t="n">
        <v>0</v>
      </c>
      <c r="AE6347" t="n">
        <v>0</v>
      </c>
      <c r="AF6347" t="n">
        <v>0</v>
      </c>
      <c r="AG6347" t="n">
        <v>0</v>
      </c>
      <c r="AH6347" t="n">
        <v>0</v>
      </c>
      <c r="AI6347" t="n">
        <v>0</v>
      </c>
    </row>
    <row r="6348">
      <c r="A6348" t="inlineStr">
        <is>
          <t>12월</t>
        </is>
      </c>
      <c r="B6348" t="inlineStr">
        <is>
          <t>52주차</t>
        </is>
      </c>
      <c r="C6348" t="e">
        <v>#N/A</v>
      </c>
      <c r="K6348" t="n">
        <v>0</v>
      </c>
      <c r="L6348" t="n">
        <v>0</v>
      </c>
      <c r="M6348" t="n">
        <v>0</v>
      </c>
      <c r="AC6348" t="n">
        <v>0</v>
      </c>
      <c r="AD6348" t="n">
        <v>0</v>
      </c>
      <c r="AE6348" t="n">
        <v>0</v>
      </c>
      <c r="AF6348" t="n">
        <v>0</v>
      </c>
      <c r="AG6348" t="n">
        <v>0</v>
      </c>
      <c r="AH6348" t="n">
        <v>0</v>
      </c>
      <c r="AI6348" t="n">
        <v>0</v>
      </c>
    </row>
    <row r="6349">
      <c r="A6349" t="inlineStr">
        <is>
          <t>12월</t>
        </is>
      </c>
      <c r="B6349" t="inlineStr">
        <is>
          <t>52주차</t>
        </is>
      </c>
      <c r="C6349" t="e">
        <v>#N/A</v>
      </c>
      <c r="K6349" t="n">
        <v>0</v>
      </c>
      <c r="L6349" t="n">
        <v>0</v>
      </c>
      <c r="M6349" t="n">
        <v>0</v>
      </c>
      <c r="AC6349" t="n">
        <v>0</v>
      </c>
      <c r="AD6349" t="n">
        <v>0</v>
      </c>
      <c r="AE6349" t="n">
        <v>0</v>
      </c>
      <c r="AF6349" t="n">
        <v>0</v>
      </c>
      <c r="AG6349" t="n">
        <v>0</v>
      </c>
      <c r="AH6349" t="n">
        <v>0</v>
      </c>
    </row>
    <row r="6350">
      <c r="A6350" t="inlineStr">
        <is>
          <t>12월</t>
        </is>
      </c>
      <c r="B6350" t="inlineStr">
        <is>
          <t>52주차</t>
        </is>
      </c>
      <c r="C6350" t="e">
        <v>#N/A</v>
      </c>
      <c r="K6350" t="n">
        <v>0</v>
      </c>
      <c r="L6350" t="n">
        <v>0</v>
      </c>
      <c r="M6350" t="n">
        <v>0</v>
      </c>
      <c r="AC6350" t="n">
        <v>0</v>
      </c>
      <c r="AD6350" t="n">
        <v>0</v>
      </c>
      <c r="AE6350" t="n">
        <v>0</v>
      </c>
      <c r="AF6350" t="n">
        <v>0</v>
      </c>
      <c r="AG6350" t="n">
        <v>0</v>
      </c>
      <c r="AH6350" t="n">
        <v>0</v>
      </c>
      <c r="AI6350" t="n">
        <v>0</v>
      </c>
    </row>
    <row r="6351">
      <c r="A6351" t="inlineStr">
        <is>
          <t>12월</t>
        </is>
      </c>
      <c r="B6351" t="inlineStr">
        <is>
          <t>52주차</t>
        </is>
      </c>
      <c r="C6351" t="e">
        <v>#N/A</v>
      </c>
      <c r="K6351" t="n">
        <v>0</v>
      </c>
      <c r="L6351" t="n">
        <v>0</v>
      </c>
      <c r="M6351" t="n">
        <v>0</v>
      </c>
      <c r="AC6351" t="n">
        <v>0</v>
      </c>
      <c r="AD6351" t="n">
        <v>0</v>
      </c>
      <c r="AE6351" t="n">
        <v>0</v>
      </c>
      <c r="AF6351" t="n">
        <v>0</v>
      </c>
      <c r="AG6351" t="n">
        <v>0</v>
      </c>
      <c r="AH6351" t="n">
        <v>0</v>
      </c>
      <c r="AI6351" t="n">
        <v>0</v>
      </c>
    </row>
    <row r="6352">
      <c r="A6352" t="inlineStr">
        <is>
          <t>12월</t>
        </is>
      </c>
      <c r="B6352" t="inlineStr">
        <is>
          <t>52주차</t>
        </is>
      </c>
      <c r="C6352" t="e">
        <v>#N/A</v>
      </c>
      <c r="K6352" t="n">
        <v>0</v>
      </c>
      <c r="L6352" t="n">
        <v>0</v>
      </c>
      <c r="M6352" t="n">
        <v>0</v>
      </c>
      <c r="AC6352" t="n">
        <v>0</v>
      </c>
      <c r="AD6352" t="n">
        <v>0</v>
      </c>
      <c r="AE6352" t="n">
        <v>0</v>
      </c>
      <c r="AF6352" t="n">
        <v>0</v>
      </c>
      <c r="AG6352" t="n">
        <v>0</v>
      </c>
      <c r="AH6352" t="n">
        <v>0</v>
      </c>
      <c r="AI6352" t="n">
        <v>0</v>
      </c>
    </row>
    <row r="6353">
      <c r="A6353" t="inlineStr">
        <is>
          <t>12월</t>
        </is>
      </c>
      <c r="B6353" t="inlineStr">
        <is>
          <t>52주차</t>
        </is>
      </c>
      <c r="C6353" t="e">
        <v>#N/A</v>
      </c>
      <c r="K6353" t="n">
        <v>0</v>
      </c>
      <c r="L6353" t="n">
        <v>0</v>
      </c>
      <c r="M6353" t="n">
        <v>0</v>
      </c>
      <c r="AC6353" t="n">
        <v>0</v>
      </c>
      <c r="AD6353" t="n">
        <v>0</v>
      </c>
      <c r="AE6353" t="n">
        <v>0</v>
      </c>
      <c r="AF6353" t="n">
        <v>0</v>
      </c>
      <c r="AG6353" t="n">
        <v>0</v>
      </c>
      <c r="AH6353" t="n">
        <v>0</v>
      </c>
      <c r="AI6353" t="n">
        <v>0</v>
      </c>
    </row>
    <row r="6354">
      <c r="A6354" t="inlineStr">
        <is>
          <t>12월</t>
        </is>
      </c>
      <c r="B6354" t="inlineStr">
        <is>
          <t>52주차</t>
        </is>
      </c>
      <c r="C6354" t="e">
        <v>#N/A</v>
      </c>
      <c r="K6354" t="n">
        <v>0</v>
      </c>
      <c r="L6354" t="n">
        <v>0</v>
      </c>
      <c r="M6354" t="n">
        <v>0</v>
      </c>
      <c r="AC6354" t="n">
        <v>0</v>
      </c>
      <c r="AD6354" t="n">
        <v>0</v>
      </c>
      <c r="AE6354" t="n">
        <v>0</v>
      </c>
      <c r="AF6354" t="n">
        <v>0</v>
      </c>
      <c r="AG6354" t="n">
        <v>0</v>
      </c>
      <c r="AH6354" t="n">
        <v>0</v>
      </c>
      <c r="AI6354" t="n">
        <v>0</v>
      </c>
    </row>
    <row r="6355">
      <c r="A6355" t="inlineStr">
        <is>
          <t>12월</t>
        </is>
      </c>
      <c r="B6355" t="inlineStr">
        <is>
          <t>52주차</t>
        </is>
      </c>
      <c r="C6355" t="e">
        <v>#N/A</v>
      </c>
      <c r="K6355" t="n">
        <v>0</v>
      </c>
      <c r="L6355" t="n">
        <v>0</v>
      </c>
      <c r="M6355" t="n">
        <v>0</v>
      </c>
      <c r="AC6355" t="n">
        <v>0</v>
      </c>
      <c r="AD6355" t="n">
        <v>0</v>
      </c>
      <c r="AE6355" t="n">
        <v>0</v>
      </c>
      <c r="AF6355" t="n">
        <v>0</v>
      </c>
      <c r="AG6355" t="n">
        <v>0</v>
      </c>
      <c r="AH6355" t="n">
        <v>0</v>
      </c>
      <c r="AI6355" t="n">
        <v>0</v>
      </c>
    </row>
    <row r="6356">
      <c r="A6356" t="inlineStr">
        <is>
          <t>12월</t>
        </is>
      </c>
      <c r="B6356" t="inlineStr">
        <is>
          <t>52주차</t>
        </is>
      </c>
      <c r="C6356" t="e">
        <v>#N/A</v>
      </c>
      <c r="K6356" t="n">
        <v>0</v>
      </c>
      <c r="L6356" t="n">
        <v>0</v>
      </c>
      <c r="M6356" t="n">
        <v>0</v>
      </c>
      <c r="AC6356" t="n">
        <v>0</v>
      </c>
      <c r="AD6356" t="n">
        <v>0</v>
      </c>
      <c r="AE6356" t="n">
        <v>0</v>
      </c>
      <c r="AF6356" t="n">
        <v>0</v>
      </c>
      <c r="AG6356" t="n">
        <v>0</v>
      </c>
      <c r="AH6356" t="n">
        <v>0</v>
      </c>
      <c r="AI6356" t="n">
        <v>0</v>
      </c>
    </row>
    <row r="6357">
      <c r="A6357" t="inlineStr">
        <is>
          <t>12월</t>
        </is>
      </c>
      <c r="B6357" t="inlineStr">
        <is>
          <t>52주차</t>
        </is>
      </c>
      <c r="C6357" t="e">
        <v>#N/A</v>
      </c>
      <c r="K6357" t="n">
        <v>0</v>
      </c>
      <c r="L6357" t="n">
        <v>0</v>
      </c>
      <c r="M6357" t="n">
        <v>0</v>
      </c>
      <c r="AC6357" t="n">
        <v>0</v>
      </c>
      <c r="AD6357" t="n">
        <v>0</v>
      </c>
      <c r="AE6357" t="n">
        <v>0</v>
      </c>
      <c r="AF6357" t="n">
        <v>0</v>
      </c>
      <c r="AG6357" t="n">
        <v>0</v>
      </c>
      <c r="AH6357" t="n">
        <v>0</v>
      </c>
      <c r="AI6357" t="n">
        <v>0</v>
      </c>
    </row>
    <row r="6358">
      <c r="A6358" t="inlineStr">
        <is>
          <t>12월</t>
        </is>
      </c>
      <c r="B6358" t="inlineStr">
        <is>
          <t>52주차</t>
        </is>
      </c>
      <c r="C6358" t="e">
        <v>#N/A</v>
      </c>
      <c r="K6358" t="n">
        <v>0</v>
      </c>
      <c r="L6358" t="n">
        <v>0</v>
      </c>
      <c r="M6358" t="n">
        <v>0</v>
      </c>
      <c r="AC6358" t="n">
        <v>0</v>
      </c>
      <c r="AD6358" t="n">
        <v>0</v>
      </c>
      <c r="AE6358" t="n">
        <v>0</v>
      </c>
      <c r="AF6358" t="n">
        <v>0</v>
      </c>
      <c r="AG6358" t="n">
        <v>0</v>
      </c>
      <c r="AH6358" t="n">
        <v>0</v>
      </c>
      <c r="AI6358" t="n">
        <v>0</v>
      </c>
    </row>
    <row r="6359">
      <c r="A6359" t="inlineStr">
        <is>
          <t>12월</t>
        </is>
      </c>
      <c r="B6359" t="inlineStr">
        <is>
          <t>52주차</t>
        </is>
      </c>
      <c r="C6359" t="e">
        <v>#N/A</v>
      </c>
      <c r="K6359" t="n">
        <v>0</v>
      </c>
      <c r="L6359" t="n">
        <v>0</v>
      </c>
      <c r="M6359" t="n">
        <v>0</v>
      </c>
      <c r="AC6359" t="n">
        <v>0</v>
      </c>
      <c r="AD6359" t="n">
        <v>0</v>
      </c>
      <c r="AE6359" t="n">
        <v>0</v>
      </c>
      <c r="AF6359" t="n">
        <v>0</v>
      </c>
      <c r="AG6359" t="n">
        <v>0</v>
      </c>
      <c r="AH6359" t="n">
        <v>0</v>
      </c>
      <c r="AI6359" t="n">
        <v>0</v>
      </c>
    </row>
    <row r="6360">
      <c r="A6360" t="inlineStr">
        <is>
          <t>12월</t>
        </is>
      </c>
      <c r="B6360" t="inlineStr">
        <is>
          <t>52주차</t>
        </is>
      </c>
      <c r="C6360" t="e">
        <v>#N/A</v>
      </c>
      <c r="K6360" t="n">
        <v>0</v>
      </c>
      <c r="L6360" t="n">
        <v>0</v>
      </c>
      <c r="M6360" t="n">
        <v>0</v>
      </c>
      <c r="AC6360" t="n">
        <v>0</v>
      </c>
      <c r="AD6360" t="n">
        <v>0</v>
      </c>
      <c r="AE6360" t="n">
        <v>0</v>
      </c>
      <c r="AF6360" t="n">
        <v>0</v>
      </c>
      <c r="AG6360" t="n">
        <v>0</v>
      </c>
      <c r="AH6360" t="n">
        <v>0</v>
      </c>
    </row>
    <row r="6361">
      <c r="A6361" t="inlineStr">
        <is>
          <t>12월</t>
        </is>
      </c>
      <c r="B6361" t="inlineStr">
        <is>
          <t>52주차</t>
        </is>
      </c>
      <c r="C6361" t="e">
        <v>#N/A</v>
      </c>
      <c r="K6361" t="n">
        <v>0</v>
      </c>
      <c r="L6361" t="n">
        <v>0</v>
      </c>
      <c r="M6361" t="n">
        <v>0</v>
      </c>
      <c r="AC6361" t="n">
        <v>0</v>
      </c>
      <c r="AD6361" t="n">
        <v>0</v>
      </c>
      <c r="AE6361" t="n">
        <v>0</v>
      </c>
      <c r="AF6361" t="n">
        <v>0</v>
      </c>
      <c r="AG6361" t="n">
        <v>0</v>
      </c>
      <c r="AH6361" t="n">
        <v>0</v>
      </c>
    </row>
    <row r="6362">
      <c r="A6362" t="inlineStr">
        <is>
          <t>12월</t>
        </is>
      </c>
      <c r="B6362" t="inlineStr">
        <is>
          <t>52주차</t>
        </is>
      </c>
      <c r="C6362" t="e">
        <v>#N/A</v>
      </c>
      <c r="K6362" t="n">
        <v>0</v>
      </c>
      <c r="L6362" t="n">
        <v>0</v>
      </c>
      <c r="M6362" t="n">
        <v>0</v>
      </c>
      <c r="AC6362" t="n">
        <v>0</v>
      </c>
      <c r="AD6362" t="n">
        <v>0</v>
      </c>
      <c r="AE6362" t="n">
        <v>0</v>
      </c>
      <c r="AF6362" t="n">
        <v>0</v>
      </c>
      <c r="AG6362" t="n">
        <v>0</v>
      </c>
      <c r="AH6362" t="n">
        <v>0</v>
      </c>
      <c r="AI6362" t="n">
        <v>0</v>
      </c>
    </row>
    <row r="6363">
      <c r="A6363" t="inlineStr">
        <is>
          <t>12월</t>
        </is>
      </c>
      <c r="B6363" t="inlineStr">
        <is>
          <t>52주차</t>
        </is>
      </c>
      <c r="C6363" t="e">
        <v>#N/A</v>
      </c>
      <c r="K6363" t="n">
        <v>0</v>
      </c>
      <c r="L6363" t="n">
        <v>0</v>
      </c>
      <c r="M6363" t="n">
        <v>0</v>
      </c>
      <c r="AC6363" t="n">
        <v>0</v>
      </c>
      <c r="AD6363" t="n">
        <v>0</v>
      </c>
      <c r="AE6363" t="n">
        <v>0</v>
      </c>
      <c r="AF6363" t="n">
        <v>0</v>
      </c>
      <c r="AG6363" t="n">
        <v>0</v>
      </c>
      <c r="AH6363" t="n">
        <v>0</v>
      </c>
      <c r="AI6363" t="n">
        <v>0</v>
      </c>
    </row>
    <row r="6364">
      <c r="A6364" t="inlineStr">
        <is>
          <t>12월</t>
        </is>
      </c>
      <c r="B6364" t="inlineStr">
        <is>
          <t>52주차</t>
        </is>
      </c>
      <c r="C6364" t="e">
        <v>#N/A</v>
      </c>
      <c r="K6364" t="n">
        <v>0</v>
      </c>
      <c r="L6364" t="n">
        <v>0</v>
      </c>
      <c r="M6364" t="n">
        <v>0</v>
      </c>
      <c r="AC6364" t="n">
        <v>0</v>
      </c>
      <c r="AD6364" t="n">
        <v>0</v>
      </c>
      <c r="AE6364" t="n">
        <v>0</v>
      </c>
      <c r="AF6364" t="n">
        <v>0</v>
      </c>
      <c r="AG6364" t="n">
        <v>0</v>
      </c>
      <c r="AH6364" t="n">
        <v>0</v>
      </c>
    </row>
    <row r="6365">
      <c r="A6365" t="inlineStr">
        <is>
          <t>12월</t>
        </is>
      </c>
      <c r="B6365" t="inlineStr">
        <is>
          <t>52주차</t>
        </is>
      </c>
      <c r="C6365" t="e">
        <v>#N/A</v>
      </c>
      <c r="K6365" t="n">
        <v>0</v>
      </c>
      <c r="L6365" t="n">
        <v>0</v>
      </c>
      <c r="M6365" t="n">
        <v>0</v>
      </c>
      <c r="AC6365" t="n">
        <v>0</v>
      </c>
      <c r="AD6365" t="n">
        <v>0</v>
      </c>
      <c r="AE6365" t="n">
        <v>0</v>
      </c>
      <c r="AF6365" t="n">
        <v>0</v>
      </c>
      <c r="AG6365" t="n">
        <v>0</v>
      </c>
      <c r="AH6365" t="n">
        <v>0</v>
      </c>
      <c r="AI6365" t="n">
        <v>0</v>
      </c>
    </row>
    <row r="6366">
      <c r="A6366" t="inlineStr">
        <is>
          <t>12월</t>
        </is>
      </c>
      <c r="B6366" t="inlineStr">
        <is>
          <t>52주차</t>
        </is>
      </c>
      <c r="C6366" t="e">
        <v>#N/A</v>
      </c>
      <c r="K6366" t="n">
        <v>0</v>
      </c>
      <c r="L6366" t="n">
        <v>0</v>
      </c>
      <c r="M6366" t="n">
        <v>0</v>
      </c>
      <c r="AC6366" t="n">
        <v>0</v>
      </c>
      <c r="AD6366" t="n">
        <v>0</v>
      </c>
      <c r="AE6366" t="n">
        <v>0</v>
      </c>
      <c r="AF6366" t="n">
        <v>0</v>
      </c>
      <c r="AG6366" t="n">
        <v>0</v>
      </c>
      <c r="AH6366" t="n">
        <v>0</v>
      </c>
      <c r="AI6366" t="n">
        <v>0</v>
      </c>
    </row>
    <row r="6367">
      <c r="A6367" t="inlineStr">
        <is>
          <t>12월</t>
        </is>
      </c>
      <c r="B6367" t="inlineStr">
        <is>
          <t>52주차</t>
        </is>
      </c>
      <c r="C6367" t="e">
        <v>#N/A</v>
      </c>
      <c r="K6367" t="n">
        <v>0</v>
      </c>
      <c r="L6367" t="n">
        <v>0</v>
      </c>
      <c r="M6367" t="n">
        <v>0</v>
      </c>
      <c r="AC6367" t="n">
        <v>0</v>
      </c>
      <c r="AD6367" t="n">
        <v>0</v>
      </c>
      <c r="AE6367" t="n">
        <v>0</v>
      </c>
      <c r="AF6367" t="n">
        <v>0</v>
      </c>
      <c r="AG6367" t="n">
        <v>0</v>
      </c>
      <c r="AH6367" t="n">
        <v>0</v>
      </c>
      <c r="AI6367" t="n">
        <v>0</v>
      </c>
    </row>
    <row r="6368">
      <c r="A6368" t="inlineStr">
        <is>
          <t>12월</t>
        </is>
      </c>
      <c r="B6368" t="inlineStr">
        <is>
          <t>52주차</t>
        </is>
      </c>
      <c r="C6368" t="e">
        <v>#N/A</v>
      </c>
      <c r="K6368" t="n">
        <v>0</v>
      </c>
      <c r="L6368" t="n">
        <v>0</v>
      </c>
      <c r="M6368" t="n">
        <v>0</v>
      </c>
      <c r="AC6368" t="n">
        <v>0</v>
      </c>
      <c r="AD6368" t="n">
        <v>0</v>
      </c>
      <c r="AE6368" t="n">
        <v>0</v>
      </c>
      <c r="AF6368" t="n">
        <v>0</v>
      </c>
      <c r="AG6368" t="n">
        <v>0</v>
      </c>
      <c r="AH6368" t="n">
        <v>0</v>
      </c>
    </row>
    <row r="6369">
      <c r="A6369" t="inlineStr">
        <is>
          <t>12월</t>
        </is>
      </c>
      <c r="B6369" t="inlineStr">
        <is>
          <t>52주차</t>
        </is>
      </c>
      <c r="C6369" t="e">
        <v>#N/A</v>
      </c>
      <c r="K6369" t="n">
        <v>0</v>
      </c>
      <c r="L6369" t="n">
        <v>0</v>
      </c>
      <c r="M6369" t="n">
        <v>0</v>
      </c>
      <c r="AC6369" t="n">
        <v>0</v>
      </c>
      <c r="AD6369" t="n">
        <v>0</v>
      </c>
      <c r="AE6369" t="n">
        <v>0</v>
      </c>
      <c r="AF6369" t="n">
        <v>0</v>
      </c>
      <c r="AG6369" t="n">
        <v>0</v>
      </c>
      <c r="AH6369" t="n">
        <v>0</v>
      </c>
    </row>
    <row r="6370">
      <c r="A6370" t="inlineStr">
        <is>
          <t>12월</t>
        </is>
      </c>
      <c r="B6370" t="inlineStr">
        <is>
          <t>52주차</t>
        </is>
      </c>
      <c r="C6370" t="e">
        <v>#N/A</v>
      </c>
      <c r="K6370" t="n">
        <v>0</v>
      </c>
      <c r="L6370" t="n">
        <v>0</v>
      </c>
      <c r="M6370" t="n">
        <v>0</v>
      </c>
      <c r="AC6370" t="n">
        <v>0</v>
      </c>
      <c r="AD6370" t="n">
        <v>0</v>
      </c>
      <c r="AE6370" t="n">
        <v>0</v>
      </c>
      <c r="AF6370" t="n">
        <v>0</v>
      </c>
      <c r="AG6370" t="n">
        <v>0</v>
      </c>
      <c r="AH6370" t="n">
        <v>0</v>
      </c>
      <c r="AI6370" t="n">
        <v>0</v>
      </c>
    </row>
    <row r="6371">
      <c r="A6371" t="inlineStr">
        <is>
          <t>12월</t>
        </is>
      </c>
      <c r="B6371" t="inlineStr">
        <is>
          <t>52주차</t>
        </is>
      </c>
      <c r="C6371" t="e">
        <v>#N/A</v>
      </c>
      <c r="K6371" t="n">
        <v>0</v>
      </c>
      <c r="L6371" t="n">
        <v>0</v>
      </c>
      <c r="M6371" t="n">
        <v>0</v>
      </c>
      <c r="AC6371" t="n">
        <v>0</v>
      </c>
      <c r="AD6371" t="n">
        <v>0</v>
      </c>
      <c r="AE6371" t="n">
        <v>0</v>
      </c>
      <c r="AF6371" t="n">
        <v>0</v>
      </c>
      <c r="AG6371" t="n">
        <v>0</v>
      </c>
      <c r="AH6371" t="n">
        <v>0</v>
      </c>
    </row>
    <row r="6372">
      <c r="A6372" t="inlineStr">
        <is>
          <t>12월</t>
        </is>
      </c>
      <c r="B6372" t="inlineStr">
        <is>
          <t>52주차</t>
        </is>
      </c>
      <c r="C6372" t="e">
        <v>#N/A</v>
      </c>
      <c r="K6372" t="n">
        <v>0</v>
      </c>
      <c r="L6372" t="n">
        <v>0</v>
      </c>
      <c r="M6372" t="n">
        <v>0</v>
      </c>
      <c r="AC6372" t="n">
        <v>0</v>
      </c>
      <c r="AD6372" t="n">
        <v>0</v>
      </c>
      <c r="AE6372" t="n">
        <v>0</v>
      </c>
      <c r="AF6372" t="n">
        <v>0</v>
      </c>
      <c r="AG6372" t="n">
        <v>0</v>
      </c>
      <c r="AH6372" t="n">
        <v>0</v>
      </c>
      <c r="AI6372" t="n">
        <v>0</v>
      </c>
    </row>
    <row r="6373">
      <c r="A6373" t="inlineStr">
        <is>
          <t>12월</t>
        </is>
      </c>
      <c r="B6373" t="inlineStr">
        <is>
          <t>52주차</t>
        </is>
      </c>
      <c r="C6373" t="e">
        <v>#N/A</v>
      </c>
      <c r="K6373" t="n">
        <v>0</v>
      </c>
      <c r="L6373" t="n">
        <v>0</v>
      </c>
      <c r="M6373" t="n">
        <v>0</v>
      </c>
      <c r="AC6373" t="n">
        <v>0</v>
      </c>
      <c r="AD6373" t="n">
        <v>0</v>
      </c>
      <c r="AE6373" t="n">
        <v>0</v>
      </c>
      <c r="AF6373" t="n">
        <v>0</v>
      </c>
      <c r="AG6373" t="n">
        <v>0</v>
      </c>
      <c r="AH6373" t="n">
        <v>0</v>
      </c>
      <c r="AI6373" t="n">
        <v>0</v>
      </c>
    </row>
    <row r="6374">
      <c r="A6374" t="inlineStr">
        <is>
          <t>12월</t>
        </is>
      </c>
      <c r="B6374" t="inlineStr">
        <is>
          <t>52주차</t>
        </is>
      </c>
      <c r="C6374" t="e">
        <v>#N/A</v>
      </c>
      <c r="K6374" t="n">
        <v>0</v>
      </c>
      <c r="L6374" t="n">
        <v>0</v>
      </c>
      <c r="M6374" t="n">
        <v>0</v>
      </c>
      <c r="AC6374" t="n">
        <v>0</v>
      </c>
      <c r="AD6374" t="n">
        <v>0</v>
      </c>
      <c r="AE6374" t="n">
        <v>0</v>
      </c>
      <c r="AF6374" t="n">
        <v>0</v>
      </c>
      <c r="AG6374" t="n">
        <v>0</v>
      </c>
      <c r="AH6374" t="n">
        <v>0</v>
      </c>
      <c r="AI6374" t="n">
        <v>0</v>
      </c>
    </row>
    <row r="6375">
      <c r="A6375" t="inlineStr">
        <is>
          <t>12월</t>
        </is>
      </c>
      <c r="B6375" t="inlineStr">
        <is>
          <t>52주차</t>
        </is>
      </c>
      <c r="C6375" t="e">
        <v>#N/A</v>
      </c>
      <c r="K6375" t="n">
        <v>0</v>
      </c>
      <c r="L6375" t="n">
        <v>0</v>
      </c>
      <c r="M6375" t="n">
        <v>0</v>
      </c>
      <c r="AC6375" t="n">
        <v>0</v>
      </c>
      <c r="AD6375" t="n">
        <v>0</v>
      </c>
      <c r="AE6375" t="n">
        <v>0</v>
      </c>
      <c r="AF6375" t="n">
        <v>0</v>
      </c>
      <c r="AG6375" t="n">
        <v>0</v>
      </c>
      <c r="AH6375" t="n">
        <v>0</v>
      </c>
      <c r="AI6375" t="n">
        <v>0</v>
      </c>
    </row>
    <row r="6376">
      <c r="A6376" t="inlineStr">
        <is>
          <t>12월</t>
        </is>
      </c>
      <c r="B6376" t="inlineStr">
        <is>
          <t>52주차</t>
        </is>
      </c>
      <c r="C6376" t="e">
        <v>#N/A</v>
      </c>
      <c r="K6376" t="n">
        <v>0</v>
      </c>
      <c r="L6376" t="n">
        <v>0</v>
      </c>
      <c r="M6376" t="n">
        <v>0</v>
      </c>
      <c r="AC6376" t="n">
        <v>0</v>
      </c>
      <c r="AD6376" t="n">
        <v>0</v>
      </c>
      <c r="AE6376" t="n">
        <v>0</v>
      </c>
      <c r="AF6376" t="n">
        <v>0</v>
      </c>
      <c r="AG6376" t="n">
        <v>0</v>
      </c>
      <c r="AH6376" t="n">
        <v>0</v>
      </c>
      <c r="AI6376" t="n">
        <v>0</v>
      </c>
    </row>
    <row r="6377">
      <c r="A6377" t="inlineStr">
        <is>
          <t>12월</t>
        </is>
      </c>
      <c r="B6377" t="inlineStr">
        <is>
          <t>52주차</t>
        </is>
      </c>
      <c r="C6377" t="e">
        <v>#N/A</v>
      </c>
      <c r="K6377" t="n">
        <v>0</v>
      </c>
      <c r="L6377" t="n">
        <v>0</v>
      </c>
      <c r="M6377" t="n">
        <v>0</v>
      </c>
      <c r="AC6377" t="n">
        <v>0</v>
      </c>
      <c r="AD6377" t="n">
        <v>0</v>
      </c>
      <c r="AE6377" t="n">
        <v>0</v>
      </c>
      <c r="AF6377" t="n">
        <v>0</v>
      </c>
      <c r="AG6377" t="n">
        <v>0</v>
      </c>
      <c r="AH6377" t="n">
        <v>0</v>
      </c>
    </row>
    <row r="6378">
      <c r="A6378" t="inlineStr">
        <is>
          <t>12월</t>
        </is>
      </c>
      <c r="B6378" t="inlineStr">
        <is>
          <t>52주차</t>
        </is>
      </c>
      <c r="C6378" t="e">
        <v>#N/A</v>
      </c>
      <c r="K6378" t="n">
        <v>0</v>
      </c>
      <c r="L6378" t="n">
        <v>0</v>
      </c>
      <c r="M6378" t="n">
        <v>0</v>
      </c>
      <c r="AC6378" t="n">
        <v>0</v>
      </c>
      <c r="AD6378" t="n">
        <v>0</v>
      </c>
      <c r="AE6378" t="n">
        <v>0</v>
      </c>
      <c r="AF6378" t="n">
        <v>0</v>
      </c>
      <c r="AG6378" t="n">
        <v>0</v>
      </c>
      <c r="AH6378" t="n">
        <v>0</v>
      </c>
      <c r="AI6378" t="n">
        <v>0</v>
      </c>
    </row>
    <row r="6379">
      <c r="A6379" t="inlineStr">
        <is>
          <t>12월</t>
        </is>
      </c>
      <c r="B6379" t="inlineStr">
        <is>
          <t>52주차</t>
        </is>
      </c>
      <c r="C6379" t="e">
        <v>#N/A</v>
      </c>
      <c r="K6379" t="n">
        <v>0</v>
      </c>
      <c r="L6379" t="n">
        <v>0</v>
      </c>
      <c r="M6379" t="n">
        <v>0</v>
      </c>
      <c r="AC6379" t="n">
        <v>0</v>
      </c>
      <c r="AD6379" t="n">
        <v>0</v>
      </c>
      <c r="AE6379" t="n">
        <v>0</v>
      </c>
      <c r="AF6379" t="n">
        <v>0</v>
      </c>
      <c r="AG6379" t="n">
        <v>0</v>
      </c>
      <c r="AH6379" t="n">
        <v>0</v>
      </c>
      <c r="AI6379" t="n">
        <v>0</v>
      </c>
    </row>
    <row r="6380">
      <c r="A6380" t="inlineStr">
        <is>
          <t>12월</t>
        </is>
      </c>
      <c r="B6380" t="inlineStr">
        <is>
          <t>52주차</t>
        </is>
      </c>
      <c r="C6380" t="e">
        <v>#N/A</v>
      </c>
      <c r="K6380" t="n">
        <v>0</v>
      </c>
      <c r="L6380" t="n">
        <v>0</v>
      </c>
      <c r="M6380" t="n">
        <v>0</v>
      </c>
      <c r="AC6380" t="n">
        <v>0</v>
      </c>
      <c r="AD6380" t="n">
        <v>0</v>
      </c>
      <c r="AE6380" t="n">
        <v>0</v>
      </c>
      <c r="AF6380" t="n">
        <v>0</v>
      </c>
      <c r="AG6380" t="n">
        <v>0</v>
      </c>
      <c r="AH6380" t="n">
        <v>0</v>
      </c>
      <c r="AI6380" t="n">
        <v>0</v>
      </c>
    </row>
    <row r="6381">
      <c r="A6381" t="inlineStr">
        <is>
          <t>12월</t>
        </is>
      </c>
      <c r="B6381" t="inlineStr">
        <is>
          <t>52주차</t>
        </is>
      </c>
      <c r="C6381" t="e">
        <v>#N/A</v>
      </c>
      <c r="K6381" t="n">
        <v>0</v>
      </c>
      <c r="L6381" t="n">
        <v>0</v>
      </c>
      <c r="M6381" t="n">
        <v>0</v>
      </c>
      <c r="AC6381" t="n">
        <v>0</v>
      </c>
      <c r="AD6381" t="n">
        <v>0</v>
      </c>
      <c r="AE6381" t="n">
        <v>0</v>
      </c>
      <c r="AF6381" t="n">
        <v>0</v>
      </c>
      <c r="AG6381" t="n">
        <v>0</v>
      </c>
      <c r="AH6381" t="n">
        <v>0</v>
      </c>
      <c r="AI6381" t="n">
        <v>0</v>
      </c>
    </row>
    <row r="6382">
      <c r="A6382" t="inlineStr">
        <is>
          <t>12월</t>
        </is>
      </c>
      <c r="B6382" t="inlineStr">
        <is>
          <t>52주차</t>
        </is>
      </c>
      <c r="C6382" t="e">
        <v>#N/A</v>
      </c>
      <c r="K6382" t="n">
        <v>0</v>
      </c>
      <c r="L6382" t="n">
        <v>0</v>
      </c>
      <c r="M6382" t="n">
        <v>0</v>
      </c>
      <c r="AC6382" t="n">
        <v>0</v>
      </c>
      <c r="AD6382" t="n">
        <v>0</v>
      </c>
      <c r="AE6382" t="n">
        <v>0</v>
      </c>
      <c r="AF6382" t="n">
        <v>0</v>
      </c>
      <c r="AG6382" t="n">
        <v>0</v>
      </c>
      <c r="AH6382" t="n">
        <v>0</v>
      </c>
      <c r="AI6382" t="n">
        <v>0</v>
      </c>
    </row>
    <row r="6383">
      <c r="A6383" t="inlineStr">
        <is>
          <t>12월</t>
        </is>
      </c>
      <c r="B6383" t="inlineStr">
        <is>
          <t>52주차</t>
        </is>
      </c>
      <c r="C6383" t="e">
        <v>#N/A</v>
      </c>
      <c r="K6383" t="n">
        <v>0</v>
      </c>
      <c r="L6383" t="n">
        <v>0</v>
      </c>
      <c r="M6383" t="n">
        <v>0</v>
      </c>
      <c r="AC6383" t="n">
        <v>0</v>
      </c>
      <c r="AD6383" t="n">
        <v>0</v>
      </c>
      <c r="AE6383" t="n">
        <v>0</v>
      </c>
      <c r="AF6383" t="n">
        <v>0</v>
      </c>
      <c r="AG6383" t="n">
        <v>0</v>
      </c>
      <c r="AH6383" t="n">
        <v>0</v>
      </c>
    </row>
    <row r="6384">
      <c r="A6384" t="inlineStr">
        <is>
          <t>12월</t>
        </is>
      </c>
      <c r="B6384" t="inlineStr">
        <is>
          <t>52주차</t>
        </is>
      </c>
      <c r="C6384" t="e">
        <v>#N/A</v>
      </c>
      <c r="K6384" t="n">
        <v>0</v>
      </c>
      <c r="L6384" t="n">
        <v>0</v>
      </c>
      <c r="M6384" t="n">
        <v>0</v>
      </c>
      <c r="AC6384" t="n">
        <v>0</v>
      </c>
      <c r="AD6384" t="n">
        <v>0</v>
      </c>
      <c r="AE6384" t="n">
        <v>0</v>
      </c>
      <c r="AF6384" t="n">
        <v>0</v>
      </c>
      <c r="AG6384" t="n">
        <v>0</v>
      </c>
      <c r="AH6384" t="n">
        <v>0</v>
      </c>
      <c r="AI6384" t="n">
        <v>0</v>
      </c>
    </row>
    <row r="6385">
      <c r="A6385" t="inlineStr">
        <is>
          <t>12월</t>
        </is>
      </c>
      <c r="B6385" t="inlineStr">
        <is>
          <t>52주차</t>
        </is>
      </c>
      <c r="C6385" t="e">
        <v>#N/A</v>
      </c>
      <c r="K6385" t="n">
        <v>0</v>
      </c>
      <c r="L6385" t="n">
        <v>0</v>
      </c>
      <c r="M6385" t="n">
        <v>0</v>
      </c>
      <c r="AC6385" t="n">
        <v>0</v>
      </c>
      <c r="AD6385" t="n">
        <v>0</v>
      </c>
      <c r="AE6385" t="n">
        <v>0</v>
      </c>
      <c r="AF6385" t="n">
        <v>0</v>
      </c>
      <c r="AG6385" t="n">
        <v>0</v>
      </c>
      <c r="AH6385" t="n">
        <v>0</v>
      </c>
    </row>
    <row r="6386">
      <c r="A6386" t="inlineStr">
        <is>
          <t>12월</t>
        </is>
      </c>
      <c r="B6386" t="inlineStr">
        <is>
          <t>52주차</t>
        </is>
      </c>
      <c r="C6386" t="e">
        <v>#N/A</v>
      </c>
      <c r="K6386" t="n">
        <v>0</v>
      </c>
      <c r="L6386" t="n">
        <v>0</v>
      </c>
      <c r="M6386" t="n">
        <v>0</v>
      </c>
      <c r="AC6386" t="n">
        <v>0</v>
      </c>
      <c r="AD6386" t="n">
        <v>0</v>
      </c>
      <c r="AE6386" t="n">
        <v>0</v>
      </c>
      <c r="AF6386" t="n">
        <v>0</v>
      </c>
      <c r="AG6386" t="n">
        <v>0</v>
      </c>
      <c r="AH6386" t="n">
        <v>0</v>
      </c>
      <c r="AI6386" t="n">
        <v>0</v>
      </c>
    </row>
    <row r="6387">
      <c r="A6387" t="inlineStr">
        <is>
          <t>12월</t>
        </is>
      </c>
      <c r="B6387" t="inlineStr">
        <is>
          <t>52주차</t>
        </is>
      </c>
      <c r="C6387" t="e">
        <v>#N/A</v>
      </c>
      <c r="K6387" t="n">
        <v>0</v>
      </c>
      <c r="L6387" t="n">
        <v>0</v>
      </c>
      <c r="M6387" t="n">
        <v>0</v>
      </c>
      <c r="AC6387" t="n">
        <v>0</v>
      </c>
      <c r="AD6387" t="n">
        <v>0</v>
      </c>
      <c r="AE6387" t="n">
        <v>0</v>
      </c>
      <c r="AF6387" t="n">
        <v>0</v>
      </c>
      <c r="AG6387" t="n">
        <v>0</v>
      </c>
      <c r="AH6387" t="n">
        <v>0</v>
      </c>
    </row>
    <row r="6388">
      <c r="A6388" t="inlineStr">
        <is>
          <t>12월</t>
        </is>
      </c>
      <c r="B6388" t="inlineStr">
        <is>
          <t>52주차</t>
        </is>
      </c>
      <c r="C6388" t="e">
        <v>#N/A</v>
      </c>
      <c r="K6388" t="n">
        <v>0</v>
      </c>
      <c r="L6388" t="n">
        <v>0</v>
      </c>
      <c r="M6388" t="n">
        <v>0</v>
      </c>
      <c r="AC6388" t="n">
        <v>0</v>
      </c>
      <c r="AD6388" t="n">
        <v>0</v>
      </c>
      <c r="AE6388" t="n">
        <v>0</v>
      </c>
      <c r="AF6388" t="n">
        <v>0</v>
      </c>
      <c r="AG6388" t="n">
        <v>0</v>
      </c>
      <c r="AH6388" t="n">
        <v>0</v>
      </c>
    </row>
    <row r="6389">
      <c r="A6389" t="inlineStr">
        <is>
          <t>12월</t>
        </is>
      </c>
      <c r="B6389" t="inlineStr">
        <is>
          <t>52주차</t>
        </is>
      </c>
      <c r="C6389" t="e">
        <v>#N/A</v>
      </c>
      <c r="K6389" t="n">
        <v>0</v>
      </c>
      <c r="L6389" t="n">
        <v>0</v>
      </c>
      <c r="M6389" t="n">
        <v>0</v>
      </c>
      <c r="AC6389" t="n">
        <v>0</v>
      </c>
      <c r="AD6389" t="n">
        <v>0</v>
      </c>
      <c r="AE6389" t="n">
        <v>0</v>
      </c>
      <c r="AF6389" t="n">
        <v>0</v>
      </c>
      <c r="AG6389" t="n">
        <v>0</v>
      </c>
      <c r="AH6389" t="n">
        <v>0</v>
      </c>
      <c r="AI6389" t="n">
        <v>0</v>
      </c>
    </row>
    <row r="6390">
      <c r="A6390" t="inlineStr">
        <is>
          <t>12월</t>
        </is>
      </c>
      <c r="B6390" t="inlineStr">
        <is>
          <t>52주차</t>
        </is>
      </c>
      <c r="C6390" t="e">
        <v>#N/A</v>
      </c>
      <c r="K6390" t="n">
        <v>0</v>
      </c>
      <c r="L6390" t="n">
        <v>0</v>
      </c>
      <c r="M6390" t="n">
        <v>0</v>
      </c>
      <c r="AC6390" t="n">
        <v>0</v>
      </c>
      <c r="AD6390" t="n">
        <v>0</v>
      </c>
      <c r="AE6390" t="n">
        <v>0</v>
      </c>
      <c r="AF6390" t="n">
        <v>0</v>
      </c>
      <c r="AG6390" t="n">
        <v>0</v>
      </c>
      <c r="AH6390" t="n">
        <v>0</v>
      </c>
      <c r="AI6390" t="n">
        <v>0</v>
      </c>
    </row>
    <row r="6391">
      <c r="A6391" t="inlineStr">
        <is>
          <t>12월</t>
        </is>
      </c>
      <c r="B6391" t="inlineStr">
        <is>
          <t>52주차</t>
        </is>
      </c>
      <c r="C6391" t="e">
        <v>#N/A</v>
      </c>
      <c r="K6391" t="n">
        <v>0</v>
      </c>
      <c r="L6391" t="n">
        <v>0</v>
      </c>
      <c r="M6391" t="n">
        <v>0</v>
      </c>
      <c r="AC6391" t="n">
        <v>0</v>
      </c>
      <c r="AD6391" t="n">
        <v>0</v>
      </c>
      <c r="AE6391" t="n">
        <v>0</v>
      </c>
      <c r="AF6391" t="n">
        <v>0</v>
      </c>
      <c r="AG6391" t="n">
        <v>0</v>
      </c>
      <c r="AH6391" t="n">
        <v>0</v>
      </c>
      <c r="AI6391" t="n">
        <v>0</v>
      </c>
    </row>
    <row r="6392">
      <c r="A6392" t="inlineStr">
        <is>
          <t>12월</t>
        </is>
      </c>
      <c r="B6392" t="inlineStr">
        <is>
          <t>52주차</t>
        </is>
      </c>
      <c r="C6392" t="e">
        <v>#N/A</v>
      </c>
      <c r="K6392" t="n">
        <v>0</v>
      </c>
      <c r="L6392" t="n">
        <v>0</v>
      </c>
      <c r="M6392" t="n">
        <v>0</v>
      </c>
      <c r="AC6392" t="n">
        <v>0</v>
      </c>
      <c r="AD6392" t="n">
        <v>0</v>
      </c>
      <c r="AE6392" t="n">
        <v>0</v>
      </c>
      <c r="AF6392" t="n">
        <v>0</v>
      </c>
      <c r="AG6392" t="n">
        <v>0</v>
      </c>
      <c r="AH6392" t="n">
        <v>0</v>
      </c>
    </row>
    <row r="6393">
      <c r="A6393" t="inlineStr">
        <is>
          <t>12월</t>
        </is>
      </c>
      <c r="B6393" t="inlineStr">
        <is>
          <t>52주차</t>
        </is>
      </c>
      <c r="C6393" t="e">
        <v>#N/A</v>
      </c>
      <c r="K6393" t="n">
        <v>0</v>
      </c>
      <c r="L6393" t="n">
        <v>0</v>
      </c>
      <c r="M6393" t="n">
        <v>0</v>
      </c>
      <c r="AC6393" t="n">
        <v>0</v>
      </c>
      <c r="AD6393" t="n">
        <v>0</v>
      </c>
      <c r="AE6393" t="n">
        <v>0</v>
      </c>
      <c r="AF6393" t="n">
        <v>0</v>
      </c>
      <c r="AG6393" t="n">
        <v>0</v>
      </c>
      <c r="AH6393" t="n">
        <v>0</v>
      </c>
    </row>
    <row r="6394">
      <c r="A6394" t="inlineStr">
        <is>
          <t>12월</t>
        </is>
      </c>
      <c r="B6394" t="inlineStr">
        <is>
          <t>52주차</t>
        </is>
      </c>
      <c r="C6394" t="e">
        <v>#N/A</v>
      </c>
      <c r="K6394" t="n">
        <v>0</v>
      </c>
      <c r="L6394" t="n">
        <v>0</v>
      </c>
      <c r="M6394" t="n">
        <v>0</v>
      </c>
      <c r="AC6394" t="n">
        <v>0</v>
      </c>
      <c r="AD6394" t="n">
        <v>0</v>
      </c>
      <c r="AE6394" t="n">
        <v>0</v>
      </c>
      <c r="AF6394" t="n">
        <v>0</v>
      </c>
      <c r="AG6394" t="n">
        <v>0</v>
      </c>
      <c r="AH6394" t="n">
        <v>0</v>
      </c>
    </row>
    <row r="6395">
      <c r="A6395" t="inlineStr">
        <is>
          <t>12월</t>
        </is>
      </c>
      <c r="B6395" t="inlineStr">
        <is>
          <t>52주차</t>
        </is>
      </c>
      <c r="C6395" t="e">
        <v>#N/A</v>
      </c>
      <c r="K6395" t="n">
        <v>0</v>
      </c>
      <c r="L6395" t="n">
        <v>0</v>
      </c>
      <c r="M6395" t="n">
        <v>0</v>
      </c>
      <c r="AC6395" t="n">
        <v>0</v>
      </c>
      <c r="AD6395" t="n">
        <v>0</v>
      </c>
      <c r="AE6395" t="n">
        <v>0</v>
      </c>
      <c r="AF6395" t="n">
        <v>0</v>
      </c>
      <c r="AG6395" t="n">
        <v>0</v>
      </c>
      <c r="AH6395" t="n">
        <v>0</v>
      </c>
    </row>
    <row r="6396">
      <c r="A6396" t="inlineStr">
        <is>
          <t>12월</t>
        </is>
      </c>
      <c r="B6396" t="inlineStr">
        <is>
          <t>52주차</t>
        </is>
      </c>
      <c r="C6396" t="e">
        <v>#N/A</v>
      </c>
      <c r="K6396" t="n">
        <v>0</v>
      </c>
      <c r="L6396" t="n">
        <v>0</v>
      </c>
      <c r="M6396" t="n">
        <v>0</v>
      </c>
      <c r="AC6396" t="n">
        <v>0</v>
      </c>
      <c r="AD6396" t="n">
        <v>0</v>
      </c>
      <c r="AE6396" t="n">
        <v>0</v>
      </c>
      <c r="AF6396" t="n">
        <v>0</v>
      </c>
      <c r="AG6396" t="n">
        <v>0</v>
      </c>
      <c r="AH6396" t="n">
        <v>0</v>
      </c>
      <c r="AI6396" t="n">
        <v>0</v>
      </c>
    </row>
    <row r="6397">
      <c r="A6397" t="inlineStr">
        <is>
          <t>12월</t>
        </is>
      </c>
      <c r="B6397" t="inlineStr">
        <is>
          <t>52주차</t>
        </is>
      </c>
      <c r="C6397" t="e">
        <v>#N/A</v>
      </c>
      <c r="K6397" t="n">
        <v>0</v>
      </c>
      <c r="L6397" t="n">
        <v>0</v>
      </c>
      <c r="M6397" t="n">
        <v>0</v>
      </c>
      <c r="AC6397" t="n">
        <v>0</v>
      </c>
      <c r="AD6397" t="n">
        <v>0</v>
      </c>
      <c r="AE6397" t="n">
        <v>0</v>
      </c>
      <c r="AF6397" t="n">
        <v>0</v>
      </c>
      <c r="AG6397" t="n">
        <v>0</v>
      </c>
      <c r="AH6397" t="n">
        <v>0</v>
      </c>
      <c r="AI6397" t="n">
        <v>0</v>
      </c>
    </row>
    <row r="6398">
      <c r="A6398" t="inlineStr">
        <is>
          <t>12월</t>
        </is>
      </c>
      <c r="B6398" t="inlineStr">
        <is>
          <t>52주차</t>
        </is>
      </c>
      <c r="C6398" t="e">
        <v>#N/A</v>
      </c>
      <c r="K6398" t="n">
        <v>0</v>
      </c>
      <c r="L6398" t="n">
        <v>0</v>
      </c>
      <c r="M6398" t="n">
        <v>0</v>
      </c>
      <c r="AC6398" t="n">
        <v>0</v>
      </c>
      <c r="AD6398" t="n">
        <v>0</v>
      </c>
      <c r="AE6398" t="n">
        <v>0</v>
      </c>
      <c r="AF6398" t="n">
        <v>0</v>
      </c>
      <c r="AG6398" t="n">
        <v>0</v>
      </c>
      <c r="AH6398" t="n">
        <v>0</v>
      </c>
      <c r="AI6398" t="n">
        <v>0</v>
      </c>
    </row>
    <row r="6399">
      <c r="A6399" t="inlineStr">
        <is>
          <t>12월</t>
        </is>
      </c>
      <c r="B6399" t="inlineStr">
        <is>
          <t>52주차</t>
        </is>
      </c>
      <c r="C6399" t="e">
        <v>#N/A</v>
      </c>
      <c r="K6399" t="n">
        <v>0</v>
      </c>
      <c r="L6399" t="n">
        <v>0</v>
      </c>
      <c r="M6399" t="n">
        <v>0</v>
      </c>
      <c r="AC6399" t="n">
        <v>0</v>
      </c>
      <c r="AD6399" t="n">
        <v>0</v>
      </c>
      <c r="AE6399" t="n">
        <v>0</v>
      </c>
      <c r="AF6399" t="n">
        <v>0</v>
      </c>
      <c r="AG6399" t="n">
        <v>0</v>
      </c>
      <c r="AH6399" t="n">
        <v>0</v>
      </c>
      <c r="AI6399" t="n">
        <v>0</v>
      </c>
    </row>
    <row r="6400">
      <c r="A6400" t="inlineStr">
        <is>
          <t>12월</t>
        </is>
      </c>
      <c r="B6400" t="inlineStr">
        <is>
          <t>52주차</t>
        </is>
      </c>
      <c r="C6400" t="e">
        <v>#N/A</v>
      </c>
      <c r="K6400" t="n">
        <v>0</v>
      </c>
      <c r="L6400" t="n">
        <v>0</v>
      </c>
      <c r="M6400" t="n">
        <v>0</v>
      </c>
      <c r="AC6400" t="n">
        <v>0</v>
      </c>
      <c r="AD6400" t="n">
        <v>0</v>
      </c>
      <c r="AE6400" t="n">
        <v>0</v>
      </c>
      <c r="AF6400" t="n">
        <v>0</v>
      </c>
      <c r="AG6400" t="n">
        <v>0</v>
      </c>
      <c r="AH6400" t="n">
        <v>0</v>
      </c>
      <c r="AI6400" t="n">
        <v>0</v>
      </c>
    </row>
    <row r="6401">
      <c r="A6401" t="inlineStr">
        <is>
          <t>12월</t>
        </is>
      </c>
      <c r="B6401" t="inlineStr">
        <is>
          <t>52주차</t>
        </is>
      </c>
      <c r="C6401" t="e">
        <v>#N/A</v>
      </c>
      <c r="K6401" t="n">
        <v>0</v>
      </c>
      <c r="L6401" t="n">
        <v>0</v>
      </c>
      <c r="M6401" t="n">
        <v>0</v>
      </c>
      <c r="AC6401" t="n">
        <v>0</v>
      </c>
      <c r="AD6401" t="n">
        <v>0</v>
      </c>
      <c r="AE6401" t="n">
        <v>0</v>
      </c>
      <c r="AF6401" t="n">
        <v>0</v>
      </c>
      <c r="AG6401" t="n">
        <v>0</v>
      </c>
      <c r="AH6401" t="n">
        <v>0</v>
      </c>
      <c r="AI6401" t="n">
        <v>0</v>
      </c>
    </row>
    <row r="6402">
      <c r="A6402" t="inlineStr">
        <is>
          <t>12월</t>
        </is>
      </c>
      <c r="B6402" t="inlineStr">
        <is>
          <t>52주차</t>
        </is>
      </c>
      <c r="C6402" t="e">
        <v>#N/A</v>
      </c>
      <c r="K6402" t="n">
        <v>0</v>
      </c>
      <c r="L6402" t="n">
        <v>0</v>
      </c>
      <c r="M6402" t="n">
        <v>0</v>
      </c>
      <c r="AC6402" t="n">
        <v>0</v>
      </c>
      <c r="AD6402" t="n">
        <v>0</v>
      </c>
      <c r="AE6402" t="n">
        <v>0</v>
      </c>
      <c r="AF6402" t="n">
        <v>0</v>
      </c>
      <c r="AG6402" t="n">
        <v>0</v>
      </c>
      <c r="AH6402" t="n">
        <v>0</v>
      </c>
      <c r="AI6402" t="n">
        <v>0</v>
      </c>
    </row>
    <row r="6403">
      <c r="A6403" t="inlineStr">
        <is>
          <t>12월</t>
        </is>
      </c>
      <c r="B6403" t="inlineStr">
        <is>
          <t>52주차</t>
        </is>
      </c>
      <c r="C6403" t="e">
        <v>#N/A</v>
      </c>
      <c r="K6403" t="n">
        <v>0</v>
      </c>
      <c r="L6403" t="n">
        <v>0</v>
      </c>
      <c r="M6403" t="n">
        <v>0</v>
      </c>
      <c r="AC6403" t="n">
        <v>0</v>
      </c>
      <c r="AD6403" t="n">
        <v>0</v>
      </c>
      <c r="AE6403" t="n">
        <v>0</v>
      </c>
      <c r="AF6403" t="n">
        <v>0</v>
      </c>
      <c r="AG6403" t="n">
        <v>0</v>
      </c>
      <c r="AH6403" t="n">
        <v>0</v>
      </c>
    </row>
    <row r="6404">
      <c r="A6404" t="inlineStr">
        <is>
          <t>12월</t>
        </is>
      </c>
      <c r="B6404" t="inlineStr">
        <is>
          <t>52주차</t>
        </is>
      </c>
      <c r="C6404" t="e">
        <v>#N/A</v>
      </c>
      <c r="K6404" t="n">
        <v>0</v>
      </c>
      <c r="L6404" t="n">
        <v>0</v>
      </c>
      <c r="M6404" t="n">
        <v>0</v>
      </c>
      <c r="AC6404" t="n">
        <v>0</v>
      </c>
      <c r="AD6404" t="n">
        <v>0</v>
      </c>
      <c r="AE6404" t="n">
        <v>0</v>
      </c>
      <c r="AF6404" t="n">
        <v>0</v>
      </c>
      <c r="AG6404" t="n">
        <v>0</v>
      </c>
      <c r="AH6404" t="n">
        <v>0</v>
      </c>
      <c r="AI6404" t="n">
        <v>0</v>
      </c>
    </row>
    <row r="6405">
      <c r="A6405" t="inlineStr">
        <is>
          <t>12월</t>
        </is>
      </c>
      <c r="B6405" t="inlineStr">
        <is>
          <t>52주차</t>
        </is>
      </c>
      <c r="C6405" t="e">
        <v>#N/A</v>
      </c>
      <c r="K6405" t="n">
        <v>0</v>
      </c>
      <c r="L6405" t="n">
        <v>0</v>
      </c>
      <c r="M6405" t="n">
        <v>0</v>
      </c>
      <c r="AC6405" t="n">
        <v>0</v>
      </c>
      <c r="AD6405" t="n">
        <v>0</v>
      </c>
      <c r="AE6405" t="n">
        <v>0</v>
      </c>
      <c r="AF6405" t="n">
        <v>0</v>
      </c>
      <c r="AG6405" t="n">
        <v>0</v>
      </c>
      <c r="AH6405" t="n">
        <v>0</v>
      </c>
      <c r="AI6405" t="n">
        <v>0</v>
      </c>
    </row>
    <row r="6406">
      <c r="A6406" t="inlineStr">
        <is>
          <t>12월</t>
        </is>
      </c>
      <c r="B6406" t="inlineStr">
        <is>
          <t>52주차</t>
        </is>
      </c>
      <c r="C6406" t="e">
        <v>#N/A</v>
      </c>
      <c r="K6406" t="n">
        <v>0</v>
      </c>
      <c r="L6406" t="n">
        <v>0</v>
      </c>
      <c r="M6406" t="n">
        <v>0</v>
      </c>
      <c r="AC6406" t="n">
        <v>0</v>
      </c>
      <c r="AD6406" t="n">
        <v>0</v>
      </c>
      <c r="AE6406" t="n">
        <v>0</v>
      </c>
      <c r="AF6406" t="n">
        <v>0</v>
      </c>
      <c r="AG6406" t="n">
        <v>0</v>
      </c>
      <c r="AH6406" t="n">
        <v>0</v>
      </c>
      <c r="AI6406" t="n">
        <v>0</v>
      </c>
    </row>
    <row r="6407">
      <c r="A6407" t="inlineStr">
        <is>
          <t>12월</t>
        </is>
      </c>
      <c r="B6407" t="inlineStr">
        <is>
          <t>52주차</t>
        </is>
      </c>
      <c r="C6407" t="e">
        <v>#N/A</v>
      </c>
      <c r="K6407" t="n">
        <v>0</v>
      </c>
      <c r="L6407" t="n">
        <v>0</v>
      </c>
      <c r="M6407" t="n">
        <v>0</v>
      </c>
      <c r="AC6407" t="n">
        <v>0</v>
      </c>
      <c r="AD6407" t="n">
        <v>0</v>
      </c>
      <c r="AE6407" t="n">
        <v>0</v>
      </c>
      <c r="AF6407" t="n">
        <v>0</v>
      </c>
      <c r="AG6407" t="n">
        <v>0</v>
      </c>
      <c r="AH6407" t="n">
        <v>0</v>
      </c>
      <c r="AI6407" t="n">
        <v>0</v>
      </c>
    </row>
    <row r="6408">
      <c r="A6408" t="inlineStr">
        <is>
          <t>12월</t>
        </is>
      </c>
      <c r="B6408" t="inlineStr">
        <is>
          <t>52주차</t>
        </is>
      </c>
      <c r="C6408" t="e">
        <v>#N/A</v>
      </c>
      <c r="K6408" t="n">
        <v>0</v>
      </c>
      <c r="L6408" t="n">
        <v>0</v>
      </c>
      <c r="M6408" t="n">
        <v>0</v>
      </c>
      <c r="AC6408" t="n">
        <v>0</v>
      </c>
      <c r="AD6408" t="n">
        <v>0</v>
      </c>
      <c r="AE6408" t="n">
        <v>0</v>
      </c>
      <c r="AF6408" t="n">
        <v>0</v>
      </c>
      <c r="AG6408" t="n">
        <v>0</v>
      </c>
      <c r="AH6408" t="n">
        <v>0</v>
      </c>
      <c r="AI6408" t="n">
        <v>0</v>
      </c>
    </row>
    <row r="6409">
      <c r="A6409" t="inlineStr">
        <is>
          <t>12월</t>
        </is>
      </c>
      <c r="B6409" t="inlineStr">
        <is>
          <t>52주차</t>
        </is>
      </c>
      <c r="C6409" t="e">
        <v>#N/A</v>
      </c>
      <c r="K6409" t="n">
        <v>0</v>
      </c>
      <c r="L6409" t="n">
        <v>0</v>
      </c>
      <c r="M6409" t="n">
        <v>0</v>
      </c>
      <c r="AC6409" t="n">
        <v>0</v>
      </c>
      <c r="AD6409" t="n">
        <v>0</v>
      </c>
      <c r="AE6409" t="n">
        <v>0</v>
      </c>
      <c r="AF6409" t="n">
        <v>0</v>
      </c>
      <c r="AG6409" t="n">
        <v>0</v>
      </c>
      <c r="AH6409" t="n">
        <v>0</v>
      </c>
    </row>
    <row r="6410">
      <c r="A6410" t="inlineStr">
        <is>
          <t>12월</t>
        </is>
      </c>
      <c r="B6410" t="inlineStr">
        <is>
          <t>52주차</t>
        </is>
      </c>
      <c r="C6410" t="e">
        <v>#N/A</v>
      </c>
      <c r="K6410" t="n">
        <v>0</v>
      </c>
      <c r="L6410" t="n">
        <v>0</v>
      </c>
      <c r="M6410" t="n">
        <v>0</v>
      </c>
      <c r="AC6410" t="n">
        <v>0</v>
      </c>
      <c r="AD6410" t="n">
        <v>0</v>
      </c>
      <c r="AE6410" t="n">
        <v>0</v>
      </c>
      <c r="AF6410" t="n">
        <v>0</v>
      </c>
      <c r="AG6410" t="n">
        <v>0</v>
      </c>
      <c r="AH6410" t="n">
        <v>0</v>
      </c>
    </row>
    <row r="6411">
      <c r="A6411" t="inlineStr">
        <is>
          <t>12월</t>
        </is>
      </c>
      <c r="B6411" t="inlineStr">
        <is>
          <t>52주차</t>
        </is>
      </c>
      <c r="C6411" t="e">
        <v>#N/A</v>
      </c>
      <c r="K6411" t="n">
        <v>0</v>
      </c>
      <c r="L6411" t="n">
        <v>0</v>
      </c>
      <c r="M6411" t="n">
        <v>0</v>
      </c>
      <c r="AC6411" t="n">
        <v>0</v>
      </c>
      <c r="AD6411" t="n">
        <v>0</v>
      </c>
      <c r="AE6411" t="n">
        <v>0</v>
      </c>
      <c r="AF6411" t="n">
        <v>0</v>
      </c>
      <c r="AG6411" t="n">
        <v>0</v>
      </c>
      <c r="AH6411" t="n">
        <v>0</v>
      </c>
    </row>
    <row r="6412">
      <c r="A6412" t="inlineStr">
        <is>
          <t>12월</t>
        </is>
      </c>
      <c r="B6412" t="inlineStr">
        <is>
          <t>52주차</t>
        </is>
      </c>
      <c r="C6412" t="e">
        <v>#N/A</v>
      </c>
      <c r="K6412" t="n">
        <v>0</v>
      </c>
      <c r="L6412" t="n">
        <v>0</v>
      </c>
      <c r="M6412" t="n">
        <v>0</v>
      </c>
      <c r="AC6412" t="n">
        <v>0</v>
      </c>
      <c r="AD6412" t="n">
        <v>0</v>
      </c>
      <c r="AE6412" t="n">
        <v>0</v>
      </c>
      <c r="AF6412" t="n">
        <v>0</v>
      </c>
      <c r="AG6412" t="n">
        <v>0</v>
      </c>
      <c r="AH6412" t="n">
        <v>0</v>
      </c>
    </row>
    <row r="6413">
      <c r="A6413" t="inlineStr">
        <is>
          <t>12월</t>
        </is>
      </c>
      <c r="B6413" t="inlineStr">
        <is>
          <t>52주차</t>
        </is>
      </c>
      <c r="C6413" t="e">
        <v>#N/A</v>
      </c>
      <c r="K6413" t="n">
        <v>0</v>
      </c>
      <c r="L6413" t="n">
        <v>0</v>
      </c>
      <c r="M6413" t="n">
        <v>0</v>
      </c>
      <c r="AC6413" t="n">
        <v>0</v>
      </c>
      <c r="AD6413" t="n">
        <v>0</v>
      </c>
      <c r="AE6413" t="n">
        <v>0</v>
      </c>
      <c r="AF6413" t="n">
        <v>0</v>
      </c>
      <c r="AG6413" t="n">
        <v>0</v>
      </c>
      <c r="AH6413" t="n">
        <v>0</v>
      </c>
    </row>
    <row r="6414">
      <c r="A6414" t="inlineStr">
        <is>
          <t>12월</t>
        </is>
      </c>
      <c r="B6414" t="inlineStr">
        <is>
          <t>52주차</t>
        </is>
      </c>
      <c r="C6414" t="e">
        <v>#N/A</v>
      </c>
      <c r="K6414" t="n">
        <v>0</v>
      </c>
      <c r="L6414" t="n">
        <v>0</v>
      </c>
      <c r="M6414" t="n">
        <v>0</v>
      </c>
      <c r="AC6414" t="n">
        <v>0</v>
      </c>
      <c r="AD6414" t="n">
        <v>0</v>
      </c>
      <c r="AE6414" t="n">
        <v>0</v>
      </c>
      <c r="AF6414" t="n">
        <v>0</v>
      </c>
      <c r="AG6414" t="n">
        <v>0</v>
      </c>
      <c r="AH6414" t="n">
        <v>0</v>
      </c>
    </row>
    <row r="6415">
      <c r="A6415" t="inlineStr">
        <is>
          <t>12월</t>
        </is>
      </c>
      <c r="B6415" t="inlineStr">
        <is>
          <t>52주차</t>
        </is>
      </c>
      <c r="C6415" t="e">
        <v>#N/A</v>
      </c>
      <c r="K6415" t="n">
        <v>0</v>
      </c>
      <c r="L6415" t="n">
        <v>0</v>
      </c>
      <c r="M6415" t="n">
        <v>0</v>
      </c>
      <c r="AC6415" t="n">
        <v>0</v>
      </c>
      <c r="AD6415" t="n">
        <v>0</v>
      </c>
      <c r="AE6415" t="n">
        <v>0</v>
      </c>
      <c r="AF6415" t="n">
        <v>0</v>
      </c>
      <c r="AG6415" t="n">
        <v>0</v>
      </c>
      <c r="AH6415" t="n">
        <v>0</v>
      </c>
      <c r="AI6415" t="n">
        <v>0</v>
      </c>
    </row>
    <row r="6416">
      <c r="A6416" t="inlineStr">
        <is>
          <t>12월</t>
        </is>
      </c>
      <c r="B6416" t="inlineStr">
        <is>
          <t>52주차</t>
        </is>
      </c>
      <c r="C6416" t="e">
        <v>#N/A</v>
      </c>
      <c r="K6416" t="n">
        <v>0</v>
      </c>
      <c r="L6416" t="n">
        <v>0</v>
      </c>
      <c r="M6416" t="n">
        <v>0</v>
      </c>
      <c r="AC6416" t="n">
        <v>0</v>
      </c>
      <c r="AD6416" t="n">
        <v>0</v>
      </c>
      <c r="AE6416" t="n">
        <v>0</v>
      </c>
      <c r="AF6416" t="n">
        <v>0</v>
      </c>
      <c r="AG6416" t="n">
        <v>0</v>
      </c>
      <c r="AH6416" t="n">
        <v>0</v>
      </c>
    </row>
    <row r="6417">
      <c r="A6417" t="inlineStr">
        <is>
          <t>12월</t>
        </is>
      </c>
      <c r="B6417" t="inlineStr">
        <is>
          <t>52주차</t>
        </is>
      </c>
      <c r="C6417" t="e">
        <v>#N/A</v>
      </c>
      <c r="K6417" t="n">
        <v>0</v>
      </c>
      <c r="L6417" t="n">
        <v>0</v>
      </c>
      <c r="M6417" t="n">
        <v>0</v>
      </c>
      <c r="AC6417" t="n">
        <v>0</v>
      </c>
      <c r="AD6417" t="n">
        <v>0</v>
      </c>
      <c r="AE6417" t="n">
        <v>0</v>
      </c>
      <c r="AF6417" t="n">
        <v>0</v>
      </c>
      <c r="AG6417" t="n">
        <v>0</v>
      </c>
      <c r="AH6417" t="n">
        <v>0</v>
      </c>
      <c r="AI6417" t="n">
        <v>0</v>
      </c>
    </row>
    <row r="6418">
      <c r="A6418" t="inlineStr">
        <is>
          <t>12월</t>
        </is>
      </c>
      <c r="B6418" t="inlineStr">
        <is>
          <t>52주차</t>
        </is>
      </c>
      <c r="C6418" t="e">
        <v>#N/A</v>
      </c>
      <c r="K6418" t="n">
        <v>0</v>
      </c>
      <c r="L6418" t="n">
        <v>0</v>
      </c>
      <c r="M6418" t="n">
        <v>0</v>
      </c>
      <c r="AC6418" t="n">
        <v>0</v>
      </c>
      <c r="AD6418" t="n">
        <v>0</v>
      </c>
      <c r="AE6418" t="n">
        <v>0</v>
      </c>
      <c r="AF6418" t="n">
        <v>0</v>
      </c>
      <c r="AG6418" t="n">
        <v>0</v>
      </c>
      <c r="AH6418" t="n">
        <v>0</v>
      </c>
      <c r="AI6418" t="n">
        <v>0</v>
      </c>
    </row>
    <row r="6419">
      <c r="A6419" t="inlineStr">
        <is>
          <t>12월</t>
        </is>
      </c>
      <c r="B6419" t="inlineStr">
        <is>
          <t>52주차</t>
        </is>
      </c>
      <c r="C6419" t="e">
        <v>#N/A</v>
      </c>
      <c r="K6419" t="n">
        <v>0</v>
      </c>
      <c r="L6419" t="n">
        <v>0</v>
      </c>
      <c r="M6419" t="n">
        <v>0</v>
      </c>
      <c r="AC6419" t="n">
        <v>0</v>
      </c>
      <c r="AD6419" t="n">
        <v>0</v>
      </c>
      <c r="AE6419" t="n">
        <v>0</v>
      </c>
      <c r="AF6419" t="n">
        <v>0</v>
      </c>
      <c r="AG6419" t="n">
        <v>0</v>
      </c>
      <c r="AH6419" t="n">
        <v>0</v>
      </c>
    </row>
    <row r="6420">
      <c r="A6420" t="inlineStr">
        <is>
          <t>12월</t>
        </is>
      </c>
      <c r="B6420" t="inlineStr">
        <is>
          <t>52주차</t>
        </is>
      </c>
      <c r="C6420" t="e">
        <v>#N/A</v>
      </c>
      <c r="K6420" t="n">
        <v>0</v>
      </c>
      <c r="L6420" t="n">
        <v>0</v>
      </c>
      <c r="M6420" t="n">
        <v>0</v>
      </c>
      <c r="AC6420" t="n">
        <v>0</v>
      </c>
      <c r="AD6420" t="n">
        <v>0</v>
      </c>
      <c r="AE6420" t="n">
        <v>0</v>
      </c>
      <c r="AF6420" t="n">
        <v>0</v>
      </c>
      <c r="AG6420" t="n">
        <v>0</v>
      </c>
      <c r="AH6420" t="n">
        <v>0</v>
      </c>
      <c r="AI6420" t="n">
        <v>0</v>
      </c>
    </row>
    <row r="6421">
      <c r="A6421" t="inlineStr">
        <is>
          <t>12월</t>
        </is>
      </c>
      <c r="B6421" t="inlineStr">
        <is>
          <t>52주차</t>
        </is>
      </c>
      <c r="C6421" t="e">
        <v>#N/A</v>
      </c>
      <c r="K6421" t="n">
        <v>0</v>
      </c>
      <c r="L6421" t="n">
        <v>0</v>
      </c>
      <c r="M6421" t="n">
        <v>0</v>
      </c>
      <c r="AC6421" t="n">
        <v>0</v>
      </c>
      <c r="AD6421" t="n">
        <v>0</v>
      </c>
      <c r="AE6421" t="n">
        <v>0</v>
      </c>
      <c r="AF6421" t="n">
        <v>0</v>
      </c>
      <c r="AG6421" t="n">
        <v>0</v>
      </c>
      <c r="AH6421" t="n">
        <v>0</v>
      </c>
      <c r="AI6421" t="n">
        <v>0</v>
      </c>
    </row>
    <row r="6422">
      <c r="A6422" t="inlineStr">
        <is>
          <t>12월</t>
        </is>
      </c>
      <c r="B6422" t="inlineStr">
        <is>
          <t>52주차</t>
        </is>
      </c>
      <c r="C6422" t="e">
        <v>#N/A</v>
      </c>
      <c r="K6422" t="n">
        <v>0</v>
      </c>
      <c r="L6422" t="n">
        <v>0</v>
      </c>
      <c r="M6422" t="n">
        <v>0</v>
      </c>
      <c r="AC6422" t="n">
        <v>0</v>
      </c>
      <c r="AD6422" t="n">
        <v>0</v>
      </c>
      <c r="AE6422" t="n">
        <v>0</v>
      </c>
      <c r="AF6422" t="n">
        <v>0</v>
      </c>
      <c r="AG6422" t="n">
        <v>0</v>
      </c>
      <c r="AH6422" t="n">
        <v>0</v>
      </c>
      <c r="AI6422" t="n">
        <v>0</v>
      </c>
    </row>
    <row r="6423">
      <c r="A6423" t="inlineStr">
        <is>
          <t>12월</t>
        </is>
      </c>
      <c r="B6423" t="inlineStr">
        <is>
          <t>52주차</t>
        </is>
      </c>
      <c r="C6423" t="e">
        <v>#N/A</v>
      </c>
      <c r="K6423" t="n">
        <v>0</v>
      </c>
      <c r="L6423" t="n">
        <v>0</v>
      </c>
      <c r="M6423" t="n">
        <v>0</v>
      </c>
      <c r="AC6423" t="n">
        <v>0</v>
      </c>
      <c r="AD6423" t="n">
        <v>0</v>
      </c>
      <c r="AE6423" t="n">
        <v>0</v>
      </c>
      <c r="AF6423" t="n">
        <v>0</v>
      </c>
      <c r="AG6423" t="n">
        <v>0</v>
      </c>
      <c r="AH6423" t="n">
        <v>0</v>
      </c>
      <c r="AI6423" t="n">
        <v>0</v>
      </c>
    </row>
    <row r="6424">
      <c r="A6424" t="inlineStr">
        <is>
          <t>12월</t>
        </is>
      </c>
      <c r="B6424" t="inlineStr">
        <is>
          <t>52주차</t>
        </is>
      </c>
      <c r="C6424" t="e">
        <v>#N/A</v>
      </c>
      <c r="K6424" t="n">
        <v>0</v>
      </c>
      <c r="L6424" t="n">
        <v>0</v>
      </c>
      <c r="M6424" t="n">
        <v>0</v>
      </c>
      <c r="AC6424" t="n">
        <v>0</v>
      </c>
      <c r="AD6424" t="n">
        <v>0</v>
      </c>
      <c r="AE6424" t="n">
        <v>0</v>
      </c>
      <c r="AF6424" t="n">
        <v>0</v>
      </c>
      <c r="AG6424" t="n">
        <v>0</v>
      </c>
      <c r="AH6424" t="n">
        <v>0</v>
      </c>
    </row>
    <row r="6425">
      <c r="A6425" t="inlineStr">
        <is>
          <t>12월</t>
        </is>
      </c>
      <c r="B6425" t="inlineStr">
        <is>
          <t>52주차</t>
        </is>
      </c>
      <c r="C6425" t="e">
        <v>#N/A</v>
      </c>
      <c r="K6425" t="n">
        <v>0</v>
      </c>
      <c r="L6425" t="n">
        <v>0</v>
      </c>
      <c r="M6425" t="n">
        <v>0</v>
      </c>
      <c r="AC6425" t="n">
        <v>0</v>
      </c>
      <c r="AD6425" t="n">
        <v>0</v>
      </c>
      <c r="AE6425" t="n">
        <v>0</v>
      </c>
      <c r="AF6425" t="n">
        <v>0</v>
      </c>
      <c r="AG6425" t="n">
        <v>0</v>
      </c>
      <c r="AH6425" t="n">
        <v>0</v>
      </c>
      <c r="AI6425" t="n">
        <v>0</v>
      </c>
    </row>
    <row r="6426">
      <c r="A6426" t="inlineStr">
        <is>
          <t>12월</t>
        </is>
      </c>
      <c r="B6426" t="inlineStr">
        <is>
          <t>52주차</t>
        </is>
      </c>
      <c r="C6426" t="e">
        <v>#N/A</v>
      </c>
      <c r="K6426" t="n">
        <v>0</v>
      </c>
      <c r="L6426" t="n">
        <v>0</v>
      </c>
      <c r="M6426" t="n">
        <v>0</v>
      </c>
      <c r="AC6426" t="n">
        <v>0</v>
      </c>
      <c r="AD6426" t="n">
        <v>0</v>
      </c>
      <c r="AE6426" t="n">
        <v>0</v>
      </c>
      <c r="AF6426" t="n">
        <v>0</v>
      </c>
      <c r="AG6426" t="n">
        <v>0</v>
      </c>
      <c r="AH6426" t="n">
        <v>0</v>
      </c>
      <c r="AI6426" t="n">
        <v>0</v>
      </c>
    </row>
    <row r="6427">
      <c r="A6427" t="inlineStr">
        <is>
          <t>12월</t>
        </is>
      </c>
      <c r="B6427" t="inlineStr">
        <is>
          <t>52주차</t>
        </is>
      </c>
      <c r="C6427" t="e">
        <v>#N/A</v>
      </c>
      <c r="K6427" t="n">
        <v>0</v>
      </c>
      <c r="L6427" t="n">
        <v>0</v>
      </c>
      <c r="M6427" t="n">
        <v>0</v>
      </c>
      <c r="AC6427" t="n">
        <v>0</v>
      </c>
      <c r="AD6427" t="n">
        <v>0</v>
      </c>
      <c r="AE6427" t="n">
        <v>0</v>
      </c>
      <c r="AF6427" t="n">
        <v>0</v>
      </c>
      <c r="AG6427" t="n">
        <v>0</v>
      </c>
      <c r="AH6427" t="n">
        <v>0</v>
      </c>
      <c r="AI6427" t="n">
        <v>0</v>
      </c>
    </row>
    <row r="6428">
      <c r="A6428" t="inlineStr">
        <is>
          <t>12월</t>
        </is>
      </c>
      <c r="B6428" t="inlineStr">
        <is>
          <t>52주차</t>
        </is>
      </c>
      <c r="C6428" t="e">
        <v>#N/A</v>
      </c>
      <c r="K6428" t="n">
        <v>0</v>
      </c>
      <c r="L6428" t="n">
        <v>0</v>
      </c>
      <c r="M6428" t="n">
        <v>0</v>
      </c>
      <c r="AC6428" t="n">
        <v>0</v>
      </c>
      <c r="AD6428" t="n">
        <v>0</v>
      </c>
      <c r="AE6428" t="n">
        <v>0</v>
      </c>
      <c r="AF6428" t="n">
        <v>0</v>
      </c>
      <c r="AG6428" t="n">
        <v>0</v>
      </c>
      <c r="AH6428" t="n">
        <v>0</v>
      </c>
      <c r="AI6428" t="n">
        <v>0</v>
      </c>
    </row>
    <row r="6429">
      <c r="A6429" t="inlineStr">
        <is>
          <t>12월</t>
        </is>
      </c>
      <c r="B6429" t="inlineStr">
        <is>
          <t>52주차</t>
        </is>
      </c>
      <c r="C6429" t="e">
        <v>#N/A</v>
      </c>
      <c r="K6429" t="n">
        <v>0</v>
      </c>
      <c r="L6429" t="n">
        <v>0</v>
      </c>
      <c r="M6429" t="n">
        <v>0</v>
      </c>
      <c r="AC6429" t="n">
        <v>0</v>
      </c>
      <c r="AD6429" t="n">
        <v>0</v>
      </c>
      <c r="AE6429" t="n">
        <v>0</v>
      </c>
      <c r="AF6429" t="n">
        <v>0</v>
      </c>
      <c r="AG6429" t="n">
        <v>0</v>
      </c>
      <c r="AH6429" t="n">
        <v>0</v>
      </c>
      <c r="AI6429" t="n">
        <v>0</v>
      </c>
    </row>
    <row r="6430">
      <c r="A6430" t="inlineStr">
        <is>
          <t>12월</t>
        </is>
      </c>
      <c r="B6430" t="inlineStr">
        <is>
          <t>52주차</t>
        </is>
      </c>
      <c r="C6430" t="e">
        <v>#N/A</v>
      </c>
      <c r="K6430" t="n">
        <v>0</v>
      </c>
      <c r="L6430" t="n">
        <v>0</v>
      </c>
      <c r="M6430" t="n">
        <v>0</v>
      </c>
      <c r="AC6430" t="n">
        <v>0</v>
      </c>
      <c r="AD6430" t="n">
        <v>0</v>
      </c>
      <c r="AE6430" t="n">
        <v>0</v>
      </c>
      <c r="AF6430" t="n">
        <v>0</v>
      </c>
      <c r="AG6430" t="n">
        <v>0</v>
      </c>
      <c r="AH6430" t="n">
        <v>0</v>
      </c>
      <c r="AI6430" t="n">
        <v>0</v>
      </c>
    </row>
    <row r="6431">
      <c r="A6431" t="inlineStr">
        <is>
          <t>12월</t>
        </is>
      </c>
      <c r="B6431" t="inlineStr">
        <is>
          <t>52주차</t>
        </is>
      </c>
      <c r="C6431" t="e">
        <v>#N/A</v>
      </c>
      <c r="K6431" t="n">
        <v>0</v>
      </c>
      <c r="L6431" t="n">
        <v>0</v>
      </c>
      <c r="M6431" t="n">
        <v>0</v>
      </c>
      <c r="AC6431" t="n">
        <v>0</v>
      </c>
      <c r="AD6431" t="n">
        <v>0</v>
      </c>
      <c r="AE6431" t="n">
        <v>0</v>
      </c>
      <c r="AF6431" t="n">
        <v>0</v>
      </c>
      <c r="AG6431" t="n">
        <v>0</v>
      </c>
      <c r="AH6431" t="n">
        <v>0</v>
      </c>
      <c r="AI6431" t="n">
        <v>0</v>
      </c>
    </row>
    <row r="6432">
      <c r="A6432" t="inlineStr">
        <is>
          <t>12월</t>
        </is>
      </c>
      <c r="B6432" t="inlineStr">
        <is>
          <t>52주차</t>
        </is>
      </c>
      <c r="C6432" t="e">
        <v>#N/A</v>
      </c>
      <c r="K6432" t="n">
        <v>0</v>
      </c>
      <c r="L6432" t="n">
        <v>0</v>
      </c>
      <c r="M6432" t="n">
        <v>0</v>
      </c>
      <c r="AC6432" t="n">
        <v>0</v>
      </c>
      <c r="AD6432" t="n">
        <v>0</v>
      </c>
      <c r="AE6432" t="n">
        <v>0</v>
      </c>
      <c r="AF6432" t="n">
        <v>0</v>
      </c>
      <c r="AG6432" t="n">
        <v>0</v>
      </c>
      <c r="AH6432" t="n">
        <v>0</v>
      </c>
      <c r="AI6432" t="n">
        <v>0</v>
      </c>
    </row>
    <row r="6433">
      <c r="A6433" t="inlineStr">
        <is>
          <t>12월</t>
        </is>
      </c>
      <c r="B6433" t="inlineStr">
        <is>
          <t>52주차</t>
        </is>
      </c>
      <c r="C6433" t="e">
        <v>#N/A</v>
      </c>
      <c r="K6433" t="n">
        <v>0</v>
      </c>
      <c r="L6433" t="n">
        <v>0</v>
      </c>
      <c r="M6433" t="n">
        <v>0</v>
      </c>
      <c r="AC6433" t="n">
        <v>0</v>
      </c>
      <c r="AD6433" t="n">
        <v>0</v>
      </c>
      <c r="AE6433" t="n">
        <v>0</v>
      </c>
      <c r="AF6433" t="n">
        <v>0</v>
      </c>
      <c r="AG6433" t="n">
        <v>0</v>
      </c>
      <c r="AH6433" t="n">
        <v>0</v>
      </c>
      <c r="AI6433" t="n">
        <v>0</v>
      </c>
    </row>
    <row r="6434">
      <c r="A6434" t="inlineStr">
        <is>
          <t>12월</t>
        </is>
      </c>
      <c r="B6434" t="inlineStr">
        <is>
          <t>52주차</t>
        </is>
      </c>
      <c r="C6434" t="e">
        <v>#N/A</v>
      </c>
      <c r="K6434" t="n">
        <v>0</v>
      </c>
      <c r="L6434" t="n">
        <v>0</v>
      </c>
      <c r="M6434" t="n">
        <v>0</v>
      </c>
      <c r="AC6434" t="n">
        <v>0</v>
      </c>
      <c r="AD6434" t="n">
        <v>0</v>
      </c>
      <c r="AE6434" t="n">
        <v>0</v>
      </c>
      <c r="AF6434" t="n">
        <v>0</v>
      </c>
      <c r="AG6434" t="n">
        <v>0</v>
      </c>
      <c r="AH6434" t="n">
        <v>0</v>
      </c>
      <c r="AI6434" t="n">
        <v>0</v>
      </c>
    </row>
    <row r="6435">
      <c r="A6435" t="inlineStr">
        <is>
          <t>12월</t>
        </is>
      </c>
      <c r="B6435" t="inlineStr">
        <is>
          <t>52주차</t>
        </is>
      </c>
      <c r="C6435" t="e">
        <v>#N/A</v>
      </c>
      <c r="K6435" t="n">
        <v>0</v>
      </c>
      <c r="L6435" t="n">
        <v>0</v>
      </c>
      <c r="M6435" t="n">
        <v>0</v>
      </c>
      <c r="AC6435" t="n">
        <v>0</v>
      </c>
      <c r="AD6435" t="n">
        <v>0</v>
      </c>
      <c r="AE6435" t="n">
        <v>0</v>
      </c>
      <c r="AF6435" t="n">
        <v>0</v>
      </c>
      <c r="AG6435" t="n">
        <v>0</v>
      </c>
      <c r="AH6435" t="n">
        <v>0</v>
      </c>
      <c r="AI6435" t="n">
        <v>0</v>
      </c>
    </row>
    <row r="6436">
      <c r="A6436" t="inlineStr">
        <is>
          <t>12월</t>
        </is>
      </c>
      <c r="B6436" t="inlineStr">
        <is>
          <t>52주차</t>
        </is>
      </c>
      <c r="C6436" t="e">
        <v>#N/A</v>
      </c>
      <c r="K6436" t="n">
        <v>0</v>
      </c>
      <c r="L6436" t="n">
        <v>0</v>
      </c>
      <c r="M6436" t="n">
        <v>0</v>
      </c>
      <c r="AC6436" t="n">
        <v>0</v>
      </c>
      <c r="AD6436" t="n">
        <v>0</v>
      </c>
      <c r="AE6436" t="n">
        <v>0</v>
      </c>
      <c r="AF6436" t="n">
        <v>0</v>
      </c>
      <c r="AG6436" t="n">
        <v>0</v>
      </c>
      <c r="AH6436" t="n">
        <v>0</v>
      </c>
    </row>
    <row r="6437">
      <c r="A6437" t="inlineStr">
        <is>
          <t>12월</t>
        </is>
      </c>
      <c r="B6437" t="inlineStr">
        <is>
          <t>52주차</t>
        </is>
      </c>
      <c r="C6437" t="e">
        <v>#N/A</v>
      </c>
      <c r="K6437" t="n">
        <v>0</v>
      </c>
      <c r="L6437" t="n">
        <v>0</v>
      </c>
      <c r="M6437" t="n">
        <v>0</v>
      </c>
      <c r="AC6437" t="n">
        <v>0</v>
      </c>
      <c r="AD6437" t="n">
        <v>0</v>
      </c>
      <c r="AE6437" t="n">
        <v>0</v>
      </c>
      <c r="AF6437" t="n">
        <v>0</v>
      </c>
      <c r="AG6437" t="n">
        <v>0</v>
      </c>
      <c r="AH6437" t="n">
        <v>0</v>
      </c>
    </row>
    <row r="6438">
      <c r="A6438" t="inlineStr">
        <is>
          <t>12월</t>
        </is>
      </c>
      <c r="B6438" t="inlineStr">
        <is>
          <t>52주차</t>
        </is>
      </c>
      <c r="C6438" t="e">
        <v>#N/A</v>
      </c>
      <c r="K6438" t="n">
        <v>0</v>
      </c>
      <c r="L6438" t="n">
        <v>0</v>
      </c>
      <c r="M6438" t="n">
        <v>0</v>
      </c>
      <c r="AC6438" t="n">
        <v>0</v>
      </c>
      <c r="AD6438" t="n">
        <v>0</v>
      </c>
      <c r="AE6438" t="n">
        <v>0</v>
      </c>
      <c r="AF6438" t="n">
        <v>0</v>
      </c>
      <c r="AG6438" t="n">
        <v>0</v>
      </c>
      <c r="AH6438" t="n">
        <v>0</v>
      </c>
    </row>
    <row r="6439">
      <c r="A6439" t="inlineStr">
        <is>
          <t>12월</t>
        </is>
      </c>
      <c r="B6439" t="inlineStr">
        <is>
          <t>52주차</t>
        </is>
      </c>
      <c r="C6439" t="e">
        <v>#N/A</v>
      </c>
      <c r="K6439" t="n">
        <v>0</v>
      </c>
      <c r="L6439" t="n">
        <v>0</v>
      </c>
      <c r="M6439" t="n">
        <v>0</v>
      </c>
      <c r="AC6439" t="n">
        <v>0</v>
      </c>
      <c r="AD6439" t="n">
        <v>0</v>
      </c>
      <c r="AE6439" t="n">
        <v>0</v>
      </c>
      <c r="AF6439" t="n">
        <v>0</v>
      </c>
      <c r="AG6439" t="n">
        <v>0</v>
      </c>
      <c r="AH6439" t="n">
        <v>0</v>
      </c>
      <c r="AI6439" t="n">
        <v>0</v>
      </c>
    </row>
    <row r="6440">
      <c r="A6440" t="inlineStr">
        <is>
          <t>12월</t>
        </is>
      </c>
      <c r="B6440" t="inlineStr">
        <is>
          <t>52주차</t>
        </is>
      </c>
      <c r="C6440" t="e">
        <v>#N/A</v>
      </c>
      <c r="K6440" t="n">
        <v>0</v>
      </c>
      <c r="L6440" t="n">
        <v>0</v>
      </c>
      <c r="M6440" t="n">
        <v>0</v>
      </c>
      <c r="AC6440" t="n">
        <v>0</v>
      </c>
      <c r="AD6440" t="n">
        <v>0</v>
      </c>
      <c r="AE6440" t="n">
        <v>0</v>
      </c>
      <c r="AF6440" t="n">
        <v>0</v>
      </c>
      <c r="AG6440" t="n">
        <v>0</v>
      </c>
      <c r="AH6440" t="n">
        <v>0</v>
      </c>
      <c r="AI6440" t="n">
        <v>0</v>
      </c>
    </row>
    <row r="6441">
      <c r="A6441" t="inlineStr">
        <is>
          <t>12월</t>
        </is>
      </c>
      <c r="B6441" t="inlineStr">
        <is>
          <t>52주차</t>
        </is>
      </c>
      <c r="C6441" t="e">
        <v>#N/A</v>
      </c>
      <c r="K6441" t="n">
        <v>0</v>
      </c>
      <c r="L6441" t="n">
        <v>0</v>
      </c>
      <c r="M6441" t="n">
        <v>0</v>
      </c>
      <c r="AC6441" t="n">
        <v>0</v>
      </c>
      <c r="AD6441" t="n">
        <v>0</v>
      </c>
      <c r="AE6441" t="n">
        <v>0</v>
      </c>
      <c r="AF6441" t="n">
        <v>0</v>
      </c>
      <c r="AG6441" t="n">
        <v>0</v>
      </c>
      <c r="AH6441" t="n">
        <v>0</v>
      </c>
      <c r="AI6441" t="n">
        <v>0</v>
      </c>
    </row>
    <row r="6442">
      <c r="A6442" t="inlineStr">
        <is>
          <t>12월</t>
        </is>
      </c>
      <c r="B6442" t="inlineStr">
        <is>
          <t>52주차</t>
        </is>
      </c>
      <c r="C6442" t="e">
        <v>#N/A</v>
      </c>
      <c r="K6442" t="n">
        <v>0</v>
      </c>
      <c r="L6442" t="n">
        <v>0</v>
      </c>
      <c r="M6442" t="n">
        <v>0</v>
      </c>
      <c r="AC6442" t="n">
        <v>0</v>
      </c>
      <c r="AD6442" t="n">
        <v>0</v>
      </c>
      <c r="AE6442" t="n">
        <v>0</v>
      </c>
      <c r="AF6442" t="n">
        <v>0</v>
      </c>
      <c r="AG6442" t="n">
        <v>0</v>
      </c>
      <c r="AH6442" t="n">
        <v>0</v>
      </c>
      <c r="AI6442" t="n">
        <v>0</v>
      </c>
    </row>
    <row r="6443">
      <c r="A6443" t="inlineStr">
        <is>
          <t>12월</t>
        </is>
      </c>
      <c r="B6443" t="inlineStr">
        <is>
          <t>52주차</t>
        </is>
      </c>
      <c r="C6443" t="e">
        <v>#N/A</v>
      </c>
      <c r="K6443" t="n">
        <v>0</v>
      </c>
      <c r="L6443" t="n">
        <v>0</v>
      </c>
      <c r="M6443" t="n">
        <v>0</v>
      </c>
      <c r="AC6443" t="n">
        <v>0</v>
      </c>
      <c r="AD6443" t="n">
        <v>0</v>
      </c>
      <c r="AE6443" t="n">
        <v>0</v>
      </c>
      <c r="AF6443" t="n">
        <v>0</v>
      </c>
      <c r="AG6443" t="n">
        <v>0</v>
      </c>
      <c r="AH6443" t="n">
        <v>0</v>
      </c>
      <c r="AI6443" t="n">
        <v>0</v>
      </c>
    </row>
    <row r="6444">
      <c r="A6444" t="inlineStr">
        <is>
          <t>12월</t>
        </is>
      </c>
      <c r="B6444" t="inlineStr">
        <is>
          <t>52주차</t>
        </is>
      </c>
      <c r="C6444" t="e">
        <v>#N/A</v>
      </c>
      <c r="K6444" t="n">
        <v>0</v>
      </c>
      <c r="L6444" t="n">
        <v>0</v>
      </c>
      <c r="M6444" t="n">
        <v>0</v>
      </c>
      <c r="AC6444" t="n">
        <v>0</v>
      </c>
      <c r="AD6444" t="n">
        <v>0</v>
      </c>
      <c r="AE6444" t="n">
        <v>0</v>
      </c>
      <c r="AF6444" t="n">
        <v>0</v>
      </c>
      <c r="AG6444" t="n">
        <v>0</v>
      </c>
      <c r="AH6444" t="n">
        <v>0</v>
      </c>
      <c r="AI6444" t="n">
        <v>0</v>
      </c>
    </row>
    <row r="6445">
      <c r="A6445" t="inlineStr">
        <is>
          <t>12월</t>
        </is>
      </c>
      <c r="B6445" t="inlineStr">
        <is>
          <t>52주차</t>
        </is>
      </c>
      <c r="C6445" t="e">
        <v>#N/A</v>
      </c>
      <c r="K6445" t="n">
        <v>0</v>
      </c>
      <c r="L6445" t="n">
        <v>0</v>
      </c>
      <c r="M6445" t="n">
        <v>0</v>
      </c>
      <c r="AC6445" t="n">
        <v>0</v>
      </c>
      <c r="AD6445" t="n">
        <v>0</v>
      </c>
      <c r="AE6445" t="n">
        <v>0</v>
      </c>
      <c r="AF6445" t="n">
        <v>0</v>
      </c>
      <c r="AG6445" t="n">
        <v>0</v>
      </c>
      <c r="AH6445" t="n">
        <v>0</v>
      </c>
      <c r="AI6445" t="n">
        <v>0</v>
      </c>
    </row>
    <row r="6446">
      <c r="A6446" t="inlineStr">
        <is>
          <t>12월</t>
        </is>
      </c>
      <c r="B6446" t="inlineStr">
        <is>
          <t>52주차</t>
        </is>
      </c>
      <c r="C6446" t="e">
        <v>#N/A</v>
      </c>
      <c r="K6446" t="n">
        <v>0</v>
      </c>
      <c r="L6446" t="n">
        <v>0</v>
      </c>
      <c r="M6446" t="n">
        <v>0</v>
      </c>
      <c r="AC6446" t="n">
        <v>0</v>
      </c>
      <c r="AD6446" t="n">
        <v>0</v>
      </c>
      <c r="AE6446" t="n">
        <v>0</v>
      </c>
      <c r="AF6446" t="n">
        <v>0</v>
      </c>
      <c r="AG6446" t="n">
        <v>0</v>
      </c>
      <c r="AH6446" t="n">
        <v>0</v>
      </c>
      <c r="AI6446" t="n">
        <v>0</v>
      </c>
    </row>
    <row r="6447">
      <c r="A6447" t="inlineStr">
        <is>
          <t>12월</t>
        </is>
      </c>
      <c r="B6447" t="inlineStr">
        <is>
          <t>52주차</t>
        </is>
      </c>
      <c r="C6447" t="e">
        <v>#N/A</v>
      </c>
      <c r="K6447" t="n">
        <v>0</v>
      </c>
      <c r="L6447" t="n">
        <v>0</v>
      </c>
      <c r="M6447" t="n">
        <v>0</v>
      </c>
      <c r="AC6447" t="n">
        <v>0</v>
      </c>
      <c r="AD6447" t="n">
        <v>0</v>
      </c>
      <c r="AE6447" t="n">
        <v>0</v>
      </c>
      <c r="AF6447" t="n">
        <v>0</v>
      </c>
      <c r="AG6447" t="n">
        <v>0</v>
      </c>
      <c r="AH6447" t="n">
        <v>0</v>
      </c>
      <c r="AI6447" t="n">
        <v>0</v>
      </c>
    </row>
    <row r="6448">
      <c r="A6448" t="inlineStr">
        <is>
          <t>12월</t>
        </is>
      </c>
      <c r="B6448" t="inlineStr">
        <is>
          <t>52주차</t>
        </is>
      </c>
      <c r="C6448" t="e">
        <v>#N/A</v>
      </c>
      <c r="K6448" t="n">
        <v>0</v>
      </c>
      <c r="L6448" t="n">
        <v>0</v>
      </c>
      <c r="M6448" t="n">
        <v>0</v>
      </c>
      <c r="AC6448" t="n">
        <v>0</v>
      </c>
      <c r="AD6448" t="n">
        <v>0</v>
      </c>
      <c r="AE6448" t="n">
        <v>0</v>
      </c>
      <c r="AF6448" t="n">
        <v>0</v>
      </c>
      <c r="AG6448" t="n">
        <v>0</v>
      </c>
      <c r="AH6448" t="n">
        <v>0</v>
      </c>
    </row>
    <row r="6449">
      <c r="A6449" t="inlineStr">
        <is>
          <t>12월</t>
        </is>
      </c>
      <c r="B6449" t="inlineStr">
        <is>
          <t>52주차</t>
        </is>
      </c>
      <c r="C6449" t="e">
        <v>#N/A</v>
      </c>
      <c r="K6449" t="n">
        <v>0</v>
      </c>
      <c r="L6449" t="n">
        <v>0</v>
      </c>
      <c r="M6449" t="n">
        <v>0</v>
      </c>
      <c r="AC6449" t="n">
        <v>0</v>
      </c>
      <c r="AD6449" t="n">
        <v>0</v>
      </c>
      <c r="AE6449" t="n">
        <v>0</v>
      </c>
      <c r="AF6449" t="n">
        <v>0</v>
      </c>
      <c r="AG6449" t="n">
        <v>0</v>
      </c>
      <c r="AH6449" t="n">
        <v>0</v>
      </c>
      <c r="AI6449" t="n">
        <v>0</v>
      </c>
    </row>
    <row r="6450">
      <c r="A6450" t="inlineStr">
        <is>
          <t>12월</t>
        </is>
      </c>
      <c r="B6450" t="inlineStr">
        <is>
          <t>52주차</t>
        </is>
      </c>
      <c r="C6450" t="e">
        <v>#N/A</v>
      </c>
      <c r="K6450" t="n">
        <v>0</v>
      </c>
      <c r="L6450" t="n">
        <v>0</v>
      </c>
      <c r="M6450" t="n">
        <v>0</v>
      </c>
      <c r="AC6450" t="n">
        <v>0</v>
      </c>
      <c r="AD6450" t="n">
        <v>0</v>
      </c>
      <c r="AE6450" t="n">
        <v>0</v>
      </c>
      <c r="AF6450" t="n">
        <v>0</v>
      </c>
      <c r="AG6450" t="n">
        <v>0</v>
      </c>
      <c r="AH6450" t="n">
        <v>0</v>
      </c>
      <c r="AI6450" t="n">
        <v>0</v>
      </c>
    </row>
    <row r="6451">
      <c r="A6451" t="inlineStr">
        <is>
          <t>12월</t>
        </is>
      </c>
      <c r="B6451" t="inlineStr">
        <is>
          <t>52주차</t>
        </is>
      </c>
      <c r="C6451" t="e">
        <v>#N/A</v>
      </c>
      <c r="K6451" t="n">
        <v>0</v>
      </c>
      <c r="L6451" t="n">
        <v>0</v>
      </c>
      <c r="M6451" t="n">
        <v>0</v>
      </c>
      <c r="AC6451" t="n">
        <v>0</v>
      </c>
      <c r="AD6451" t="n">
        <v>0</v>
      </c>
      <c r="AE6451" t="n">
        <v>0</v>
      </c>
      <c r="AF6451" t="n">
        <v>0</v>
      </c>
      <c r="AG6451" t="n">
        <v>0</v>
      </c>
      <c r="AH6451" t="n">
        <v>0</v>
      </c>
    </row>
    <row r="6452">
      <c r="A6452" t="inlineStr">
        <is>
          <t>12월</t>
        </is>
      </c>
      <c r="B6452" t="inlineStr">
        <is>
          <t>52주차</t>
        </is>
      </c>
      <c r="C6452" t="e">
        <v>#N/A</v>
      </c>
      <c r="K6452" t="n">
        <v>0</v>
      </c>
      <c r="L6452" t="n">
        <v>0</v>
      </c>
      <c r="M6452" t="n">
        <v>0</v>
      </c>
      <c r="AC6452" t="n">
        <v>0</v>
      </c>
      <c r="AD6452" t="n">
        <v>0</v>
      </c>
      <c r="AE6452" t="n">
        <v>0</v>
      </c>
      <c r="AF6452" t="n">
        <v>0</v>
      </c>
      <c r="AG6452" t="n">
        <v>0</v>
      </c>
      <c r="AH6452" t="n">
        <v>0</v>
      </c>
      <c r="AI6452" t="n">
        <v>0</v>
      </c>
    </row>
    <row r="6453">
      <c r="A6453" t="inlineStr">
        <is>
          <t>12월</t>
        </is>
      </c>
      <c r="B6453" t="inlineStr">
        <is>
          <t>52주차</t>
        </is>
      </c>
      <c r="C6453" t="e">
        <v>#N/A</v>
      </c>
      <c r="K6453" t="n">
        <v>0</v>
      </c>
      <c r="L6453" t="n">
        <v>0</v>
      </c>
      <c r="M6453" t="n">
        <v>0</v>
      </c>
      <c r="AC6453" t="n">
        <v>0</v>
      </c>
      <c r="AD6453" t="n">
        <v>0</v>
      </c>
      <c r="AE6453" t="n">
        <v>0</v>
      </c>
      <c r="AF6453" t="n">
        <v>0</v>
      </c>
      <c r="AG6453" t="n">
        <v>0</v>
      </c>
      <c r="AH6453" t="n">
        <v>0</v>
      </c>
    </row>
    <row r="6454">
      <c r="A6454" t="inlineStr">
        <is>
          <t>12월</t>
        </is>
      </c>
      <c r="B6454" t="inlineStr">
        <is>
          <t>52주차</t>
        </is>
      </c>
      <c r="C6454" t="e">
        <v>#N/A</v>
      </c>
      <c r="K6454" t="n">
        <v>0</v>
      </c>
      <c r="L6454" t="n">
        <v>0</v>
      </c>
      <c r="M6454" t="n">
        <v>0</v>
      </c>
      <c r="AC6454" t="n">
        <v>0</v>
      </c>
      <c r="AD6454" t="n">
        <v>0</v>
      </c>
      <c r="AE6454" t="n">
        <v>0</v>
      </c>
      <c r="AF6454" t="n">
        <v>0</v>
      </c>
      <c r="AG6454" t="n">
        <v>0</v>
      </c>
      <c r="AH6454" t="n">
        <v>0</v>
      </c>
      <c r="AI6454" t="n">
        <v>0</v>
      </c>
    </row>
    <row r="6455">
      <c r="A6455" t="inlineStr">
        <is>
          <t>12월</t>
        </is>
      </c>
      <c r="B6455" t="inlineStr">
        <is>
          <t>52주차</t>
        </is>
      </c>
      <c r="C6455" t="e">
        <v>#N/A</v>
      </c>
      <c r="K6455" t="n">
        <v>0</v>
      </c>
      <c r="L6455" t="n">
        <v>0</v>
      </c>
      <c r="M6455" t="n">
        <v>0</v>
      </c>
      <c r="AC6455" t="n">
        <v>0</v>
      </c>
      <c r="AD6455" t="n">
        <v>0</v>
      </c>
      <c r="AE6455" t="n">
        <v>0</v>
      </c>
      <c r="AF6455" t="n">
        <v>0</v>
      </c>
      <c r="AG6455" t="n">
        <v>0</v>
      </c>
      <c r="AH6455" t="n">
        <v>0</v>
      </c>
      <c r="AI6455" t="n">
        <v>0</v>
      </c>
    </row>
    <row r="6456">
      <c r="A6456" t="inlineStr">
        <is>
          <t>12월</t>
        </is>
      </c>
      <c r="B6456" t="inlineStr">
        <is>
          <t>52주차</t>
        </is>
      </c>
      <c r="C6456" t="e">
        <v>#N/A</v>
      </c>
      <c r="K6456" t="n">
        <v>0</v>
      </c>
      <c r="L6456" t="n">
        <v>0</v>
      </c>
      <c r="M6456" t="n">
        <v>0</v>
      </c>
      <c r="AC6456" t="n">
        <v>0</v>
      </c>
      <c r="AD6456" t="n">
        <v>0</v>
      </c>
      <c r="AE6456" t="n">
        <v>0</v>
      </c>
      <c r="AF6456" t="n">
        <v>0</v>
      </c>
      <c r="AG6456" t="n">
        <v>0</v>
      </c>
      <c r="AH6456" t="n">
        <v>0</v>
      </c>
      <c r="AI6456" t="n">
        <v>0</v>
      </c>
    </row>
    <row r="6457">
      <c r="A6457" t="inlineStr">
        <is>
          <t>12월</t>
        </is>
      </c>
      <c r="B6457" t="inlineStr">
        <is>
          <t>52주차</t>
        </is>
      </c>
      <c r="C6457" t="e">
        <v>#N/A</v>
      </c>
      <c r="K6457" t="n">
        <v>0</v>
      </c>
      <c r="L6457" t="n">
        <v>0</v>
      </c>
      <c r="M6457" t="n">
        <v>0</v>
      </c>
      <c r="AC6457" t="n">
        <v>0</v>
      </c>
      <c r="AD6457" t="n">
        <v>0</v>
      </c>
      <c r="AE6457" t="n">
        <v>0</v>
      </c>
      <c r="AF6457" t="n">
        <v>0</v>
      </c>
      <c r="AG6457" t="n">
        <v>0</v>
      </c>
      <c r="AH6457" t="n">
        <v>0</v>
      </c>
      <c r="AI6457" t="n">
        <v>0</v>
      </c>
    </row>
    <row r="6458">
      <c r="A6458" t="inlineStr">
        <is>
          <t>12월</t>
        </is>
      </c>
      <c r="B6458" t="inlineStr">
        <is>
          <t>52주차</t>
        </is>
      </c>
      <c r="C6458" t="e">
        <v>#N/A</v>
      </c>
      <c r="K6458" t="n">
        <v>0</v>
      </c>
      <c r="L6458" t="n">
        <v>0</v>
      </c>
      <c r="M6458" t="n">
        <v>0</v>
      </c>
      <c r="AC6458" t="n">
        <v>0</v>
      </c>
      <c r="AD6458" t="n">
        <v>0</v>
      </c>
      <c r="AE6458" t="n">
        <v>0</v>
      </c>
      <c r="AF6458" t="n">
        <v>0</v>
      </c>
      <c r="AG6458" t="n">
        <v>0</v>
      </c>
      <c r="AH6458" t="n">
        <v>0</v>
      </c>
      <c r="AI6458" t="n">
        <v>0</v>
      </c>
    </row>
    <row r="6459">
      <c r="A6459" t="inlineStr">
        <is>
          <t>12월</t>
        </is>
      </c>
      <c r="B6459" t="inlineStr">
        <is>
          <t>52주차</t>
        </is>
      </c>
      <c r="C6459" t="e">
        <v>#N/A</v>
      </c>
      <c r="K6459" t="n">
        <v>0</v>
      </c>
      <c r="L6459" t="n">
        <v>0</v>
      </c>
      <c r="M6459" t="n">
        <v>0</v>
      </c>
      <c r="AC6459" t="n">
        <v>0</v>
      </c>
      <c r="AD6459" t="n">
        <v>0</v>
      </c>
      <c r="AE6459" t="n">
        <v>0</v>
      </c>
      <c r="AF6459" t="n">
        <v>0</v>
      </c>
      <c r="AG6459" t="n">
        <v>0</v>
      </c>
      <c r="AH6459" t="n">
        <v>0</v>
      </c>
      <c r="AI6459" t="n">
        <v>0</v>
      </c>
    </row>
    <row r="6460">
      <c r="A6460" t="inlineStr">
        <is>
          <t>12월</t>
        </is>
      </c>
      <c r="B6460" t="inlineStr">
        <is>
          <t>52주차</t>
        </is>
      </c>
      <c r="C6460" t="e">
        <v>#N/A</v>
      </c>
      <c r="K6460" t="n">
        <v>0</v>
      </c>
      <c r="L6460" t="n">
        <v>0</v>
      </c>
      <c r="M6460" t="n">
        <v>0</v>
      </c>
      <c r="AC6460" t="n">
        <v>0</v>
      </c>
      <c r="AD6460" t="n">
        <v>0</v>
      </c>
      <c r="AE6460" t="n">
        <v>0</v>
      </c>
      <c r="AF6460" t="n">
        <v>0</v>
      </c>
      <c r="AG6460" t="n">
        <v>0</v>
      </c>
      <c r="AH6460" t="n">
        <v>0</v>
      </c>
      <c r="AI6460" t="n">
        <v>0</v>
      </c>
    </row>
    <row r="6461">
      <c r="A6461" t="inlineStr">
        <is>
          <t>12월</t>
        </is>
      </c>
      <c r="B6461" t="inlineStr">
        <is>
          <t>52주차</t>
        </is>
      </c>
      <c r="C6461" t="e">
        <v>#N/A</v>
      </c>
      <c r="K6461" t="n">
        <v>0</v>
      </c>
      <c r="L6461" t="n">
        <v>0</v>
      </c>
      <c r="M6461" t="n">
        <v>0</v>
      </c>
      <c r="AC6461" t="n">
        <v>0</v>
      </c>
      <c r="AD6461" t="n">
        <v>0</v>
      </c>
      <c r="AE6461" t="n">
        <v>0</v>
      </c>
      <c r="AF6461" t="n">
        <v>0</v>
      </c>
      <c r="AG6461" t="n">
        <v>0</v>
      </c>
      <c r="AH6461" t="n">
        <v>0</v>
      </c>
    </row>
    <row r="6462">
      <c r="A6462" t="inlineStr">
        <is>
          <t>12월</t>
        </is>
      </c>
      <c r="B6462" t="inlineStr">
        <is>
          <t>52주차</t>
        </is>
      </c>
      <c r="C6462" t="e">
        <v>#N/A</v>
      </c>
      <c r="K6462" t="n">
        <v>0</v>
      </c>
      <c r="L6462" t="n">
        <v>0</v>
      </c>
      <c r="M6462" t="n">
        <v>0</v>
      </c>
      <c r="AC6462" t="n">
        <v>0</v>
      </c>
      <c r="AD6462" t="n">
        <v>0</v>
      </c>
      <c r="AE6462" t="n">
        <v>0</v>
      </c>
      <c r="AF6462" t="n">
        <v>0</v>
      </c>
      <c r="AG6462" t="n">
        <v>0</v>
      </c>
      <c r="AH6462" t="n">
        <v>0</v>
      </c>
      <c r="AI6462" t="n">
        <v>0</v>
      </c>
    </row>
    <row r="6463">
      <c r="A6463" t="inlineStr">
        <is>
          <t>12월</t>
        </is>
      </c>
      <c r="B6463" t="inlineStr">
        <is>
          <t>52주차</t>
        </is>
      </c>
      <c r="C6463" t="e">
        <v>#N/A</v>
      </c>
      <c r="K6463" t="n">
        <v>0</v>
      </c>
      <c r="L6463" t="n">
        <v>0</v>
      </c>
      <c r="M6463" t="n">
        <v>0</v>
      </c>
      <c r="AC6463" t="n">
        <v>0</v>
      </c>
      <c r="AD6463" t="n">
        <v>0</v>
      </c>
      <c r="AE6463" t="n">
        <v>0</v>
      </c>
      <c r="AF6463" t="n">
        <v>0</v>
      </c>
      <c r="AG6463" t="n">
        <v>0</v>
      </c>
      <c r="AH6463" t="n">
        <v>0</v>
      </c>
    </row>
    <row r="6464">
      <c r="A6464" t="inlineStr">
        <is>
          <t>12월</t>
        </is>
      </c>
      <c r="B6464" t="inlineStr">
        <is>
          <t>52주차</t>
        </is>
      </c>
      <c r="C6464" t="e">
        <v>#N/A</v>
      </c>
      <c r="K6464" t="n">
        <v>0</v>
      </c>
      <c r="L6464" t="n">
        <v>0</v>
      </c>
      <c r="M6464" t="n">
        <v>0</v>
      </c>
      <c r="AC6464" t="n">
        <v>0</v>
      </c>
      <c r="AD6464" t="n">
        <v>0</v>
      </c>
      <c r="AE6464" t="n">
        <v>0</v>
      </c>
      <c r="AF6464" t="n">
        <v>0</v>
      </c>
      <c r="AG6464" t="n">
        <v>0</v>
      </c>
      <c r="AH6464" t="n">
        <v>0</v>
      </c>
      <c r="AI6464" t="n">
        <v>0</v>
      </c>
    </row>
    <row r="6465">
      <c r="A6465" t="inlineStr">
        <is>
          <t>12월</t>
        </is>
      </c>
      <c r="B6465" t="inlineStr">
        <is>
          <t>52주차</t>
        </is>
      </c>
      <c r="C6465" t="e">
        <v>#N/A</v>
      </c>
      <c r="K6465" t="n">
        <v>0</v>
      </c>
      <c r="L6465" t="n">
        <v>0</v>
      </c>
      <c r="M6465" t="n">
        <v>0</v>
      </c>
      <c r="AC6465" t="n">
        <v>0</v>
      </c>
      <c r="AD6465" t="n">
        <v>0</v>
      </c>
      <c r="AE6465" t="n">
        <v>0</v>
      </c>
      <c r="AF6465" t="n">
        <v>0</v>
      </c>
      <c r="AG6465" t="n">
        <v>0</v>
      </c>
      <c r="AH6465" t="n">
        <v>0</v>
      </c>
      <c r="AI6465" t="n">
        <v>0</v>
      </c>
    </row>
    <row r="6466">
      <c r="A6466" t="inlineStr">
        <is>
          <t>12월</t>
        </is>
      </c>
      <c r="B6466" t="inlineStr">
        <is>
          <t>52주차</t>
        </is>
      </c>
      <c r="C6466" t="e">
        <v>#N/A</v>
      </c>
      <c r="K6466" t="n">
        <v>0</v>
      </c>
      <c r="L6466" t="n">
        <v>0</v>
      </c>
      <c r="M6466" t="n">
        <v>0</v>
      </c>
      <c r="AC6466" t="n">
        <v>0</v>
      </c>
      <c r="AD6466" t="n">
        <v>0</v>
      </c>
      <c r="AE6466" t="n">
        <v>0</v>
      </c>
      <c r="AF6466" t="n">
        <v>0</v>
      </c>
      <c r="AG6466" t="n">
        <v>0</v>
      </c>
      <c r="AH6466" t="n">
        <v>0</v>
      </c>
      <c r="AI6466" t="n">
        <v>0</v>
      </c>
    </row>
    <row r="6467">
      <c r="A6467" t="inlineStr">
        <is>
          <t>12월</t>
        </is>
      </c>
      <c r="B6467" t="inlineStr">
        <is>
          <t>52주차</t>
        </is>
      </c>
      <c r="C6467" t="e">
        <v>#N/A</v>
      </c>
      <c r="K6467" t="n">
        <v>0</v>
      </c>
      <c r="L6467" t="n">
        <v>0</v>
      </c>
      <c r="M6467" t="n">
        <v>0</v>
      </c>
      <c r="AC6467" t="n">
        <v>0</v>
      </c>
      <c r="AD6467" t="n">
        <v>0</v>
      </c>
      <c r="AE6467" t="n">
        <v>0</v>
      </c>
      <c r="AF6467" t="n">
        <v>0</v>
      </c>
      <c r="AG6467" t="n">
        <v>0</v>
      </c>
      <c r="AH6467" t="n">
        <v>0</v>
      </c>
    </row>
    <row r="6468">
      <c r="A6468" t="inlineStr">
        <is>
          <t>12월</t>
        </is>
      </c>
      <c r="B6468" t="inlineStr">
        <is>
          <t>52주차</t>
        </is>
      </c>
      <c r="C6468" t="e">
        <v>#N/A</v>
      </c>
      <c r="K6468" t="n">
        <v>0</v>
      </c>
      <c r="L6468" t="n">
        <v>0</v>
      </c>
      <c r="M6468" t="n">
        <v>0</v>
      </c>
      <c r="AC6468" t="n">
        <v>0</v>
      </c>
      <c r="AD6468" t="n">
        <v>0</v>
      </c>
      <c r="AE6468" t="n">
        <v>0</v>
      </c>
      <c r="AF6468" t="n">
        <v>0</v>
      </c>
      <c r="AG6468" t="n">
        <v>0</v>
      </c>
      <c r="AH6468" t="n">
        <v>0</v>
      </c>
      <c r="AI6468" t="n">
        <v>0</v>
      </c>
    </row>
    <row r="6469">
      <c r="A6469" t="inlineStr">
        <is>
          <t>12월</t>
        </is>
      </c>
      <c r="B6469" t="inlineStr">
        <is>
          <t>52주차</t>
        </is>
      </c>
      <c r="C6469" t="e">
        <v>#N/A</v>
      </c>
      <c r="K6469" t="n">
        <v>0</v>
      </c>
      <c r="L6469" t="n">
        <v>0</v>
      </c>
      <c r="M6469" t="n">
        <v>0</v>
      </c>
      <c r="AC6469" t="n">
        <v>0</v>
      </c>
      <c r="AD6469" t="n">
        <v>0</v>
      </c>
      <c r="AE6469" t="n">
        <v>0</v>
      </c>
      <c r="AF6469" t="n">
        <v>0</v>
      </c>
      <c r="AG6469" t="n">
        <v>0</v>
      </c>
      <c r="AH6469" t="n">
        <v>0</v>
      </c>
    </row>
    <row r="6470">
      <c r="A6470" t="inlineStr">
        <is>
          <t>12월</t>
        </is>
      </c>
      <c r="B6470" t="inlineStr">
        <is>
          <t>52주차</t>
        </is>
      </c>
      <c r="C6470" t="e">
        <v>#N/A</v>
      </c>
      <c r="K6470" t="n">
        <v>0</v>
      </c>
      <c r="L6470" t="n">
        <v>0</v>
      </c>
      <c r="M6470" t="n">
        <v>0</v>
      </c>
      <c r="AC6470" t="n">
        <v>0</v>
      </c>
      <c r="AD6470" t="n">
        <v>0</v>
      </c>
      <c r="AE6470" t="n">
        <v>0</v>
      </c>
      <c r="AF6470" t="n">
        <v>0</v>
      </c>
      <c r="AG6470" t="n">
        <v>0</v>
      </c>
      <c r="AH6470" t="n">
        <v>0</v>
      </c>
      <c r="AI6470" t="n">
        <v>0</v>
      </c>
    </row>
    <row r="6471">
      <c r="A6471" t="inlineStr">
        <is>
          <t>12월</t>
        </is>
      </c>
      <c r="B6471" t="inlineStr">
        <is>
          <t>52주차</t>
        </is>
      </c>
      <c r="C6471" t="e">
        <v>#N/A</v>
      </c>
      <c r="K6471" t="n">
        <v>0</v>
      </c>
      <c r="L6471" t="n">
        <v>0</v>
      </c>
      <c r="M6471" t="n">
        <v>0</v>
      </c>
      <c r="AC6471" t="n">
        <v>0</v>
      </c>
      <c r="AD6471" t="n">
        <v>0</v>
      </c>
      <c r="AE6471" t="n">
        <v>0</v>
      </c>
      <c r="AF6471" t="n">
        <v>0</v>
      </c>
      <c r="AG6471" t="n">
        <v>0</v>
      </c>
      <c r="AH6471" t="n">
        <v>0</v>
      </c>
    </row>
    <row r="6472">
      <c r="A6472" t="inlineStr">
        <is>
          <t>12월</t>
        </is>
      </c>
      <c r="B6472" t="inlineStr">
        <is>
          <t>52주차</t>
        </is>
      </c>
      <c r="C6472" t="e">
        <v>#N/A</v>
      </c>
      <c r="K6472" t="n">
        <v>0</v>
      </c>
      <c r="L6472" t="n">
        <v>0</v>
      </c>
      <c r="M6472" t="n">
        <v>0</v>
      </c>
      <c r="AC6472" t="n">
        <v>0</v>
      </c>
      <c r="AD6472" t="n">
        <v>0</v>
      </c>
      <c r="AE6472" t="n">
        <v>0</v>
      </c>
      <c r="AF6472" t="n">
        <v>0</v>
      </c>
      <c r="AG6472" t="n">
        <v>0</v>
      </c>
      <c r="AH6472" t="n">
        <v>0</v>
      </c>
      <c r="AI6472" t="n">
        <v>0</v>
      </c>
    </row>
    <row r="6473">
      <c r="A6473" t="inlineStr">
        <is>
          <t>12월</t>
        </is>
      </c>
      <c r="B6473" t="inlineStr">
        <is>
          <t>52주차</t>
        </is>
      </c>
      <c r="C6473" t="e">
        <v>#N/A</v>
      </c>
      <c r="K6473" t="n">
        <v>0</v>
      </c>
      <c r="L6473" t="n">
        <v>0</v>
      </c>
      <c r="M6473" t="n">
        <v>0</v>
      </c>
      <c r="AC6473" t="n">
        <v>0</v>
      </c>
      <c r="AD6473" t="n">
        <v>0</v>
      </c>
      <c r="AE6473" t="n">
        <v>0</v>
      </c>
      <c r="AF6473" t="n">
        <v>0</v>
      </c>
      <c r="AG6473" t="n">
        <v>0</v>
      </c>
      <c r="AH6473" t="n">
        <v>0</v>
      </c>
      <c r="AI6473" t="n">
        <v>0</v>
      </c>
    </row>
    <row r="6474">
      <c r="A6474" t="inlineStr">
        <is>
          <t>12월</t>
        </is>
      </c>
      <c r="B6474" t="inlineStr">
        <is>
          <t>52주차</t>
        </is>
      </c>
      <c r="C6474" t="e">
        <v>#N/A</v>
      </c>
      <c r="K6474" t="n">
        <v>0</v>
      </c>
      <c r="L6474" t="n">
        <v>0</v>
      </c>
      <c r="M6474" t="n">
        <v>0</v>
      </c>
      <c r="AC6474" t="n">
        <v>0</v>
      </c>
      <c r="AD6474" t="n">
        <v>0</v>
      </c>
      <c r="AE6474" t="n">
        <v>0</v>
      </c>
      <c r="AF6474" t="n">
        <v>0</v>
      </c>
      <c r="AG6474" t="n">
        <v>0</v>
      </c>
      <c r="AH6474" t="n">
        <v>0</v>
      </c>
    </row>
    <row r="6475">
      <c r="A6475" t="inlineStr">
        <is>
          <t>12월</t>
        </is>
      </c>
      <c r="B6475" t="inlineStr">
        <is>
          <t>52주차</t>
        </is>
      </c>
      <c r="C6475" t="e">
        <v>#N/A</v>
      </c>
      <c r="K6475" t="n">
        <v>0</v>
      </c>
      <c r="L6475" t="n">
        <v>0</v>
      </c>
      <c r="M6475" t="n">
        <v>0</v>
      </c>
      <c r="AC6475" t="n">
        <v>0</v>
      </c>
      <c r="AD6475" t="n">
        <v>0</v>
      </c>
      <c r="AE6475" t="n">
        <v>0</v>
      </c>
      <c r="AF6475" t="n">
        <v>0</v>
      </c>
      <c r="AG6475" t="n">
        <v>0</v>
      </c>
      <c r="AH6475" t="n">
        <v>0</v>
      </c>
      <c r="AI6475" t="n">
        <v>0</v>
      </c>
    </row>
    <row r="6476">
      <c r="A6476" t="inlineStr">
        <is>
          <t>12월</t>
        </is>
      </c>
      <c r="B6476" t="inlineStr">
        <is>
          <t>52주차</t>
        </is>
      </c>
      <c r="C6476" t="e">
        <v>#N/A</v>
      </c>
      <c r="K6476" t="n">
        <v>0</v>
      </c>
      <c r="L6476" t="n">
        <v>0</v>
      </c>
      <c r="M6476" t="n">
        <v>0</v>
      </c>
      <c r="AC6476" t="n">
        <v>0</v>
      </c>
      <c r="AD6476" t="n">
        <v>0</v>
      </c>
      <c r="AE6476" t="n">
        <v>0</v>
      </c>
      <c r="AF6476" t="n">
        <v>0</v>
      </c>
      <c r="AG6476" t="n">
        <v>0</v>
      </c>
      <c r="AH6476" t="n">
        <v>0</v>
      </c>
      <c r="AI6476" t="n">
        <v>0</v>
      </c>
    </row>
    <row r="6477">
      <c r="A6477" t="inlineStr">
        <is>
          <t>12월</t>
        </is>
      </c>
      <c r="B6477" t="inlineStr">
        <is>
          <t>52주차</t>
        </is>
      </c>
      <c r="C6477" t="e">
        <v>#N/A</v>
      </c>
      <c r="K6477" t="n">
        <v>0</v>
      </c>
      <c r="L6477" t="n">
        <v>0</v>
      </c>
      <c r="M6477" t="n">
        <v>0</v>
      </c>
      <c r="AC6477" t="n">
        <v>0</v>
      </c>
      <c r="AD6477" t="n">
        <v>0</v>
      </c>
      <c r="AE6477" t="n">
        <v>0</v>
      </c>
      <c r="AF6477" t="n">
        <v>0</v>
      </c>
      <c r="AG6477" t="n">
        <v>0</v>
      </c>
      <c r="AH6477" t="n">
        <v>0</v>
      </c>
    </row>
    <row r="6478">
      <c r="A6478" t="inlineStr">
        <is>
          <t>12월</t>
        </is>
      </c>
      <c r="B6478" t="inlineStr">
        <is>
          <t>52주차</t>
        </is>
      </c>
      <c r="C6478" t="e">
        <v>#N/A</v>
      </c>
      <c r="K6478" t="n">
        <v>0</v>
      </c>
      <c r="L6478" t="n">
        <v>0</v>
      </c>
      <c r="M6478" t="n">
        <v>0</v>
      </c>
      <c r="AC6478" t="n">
        <v>0</v>
      </c>
      <c r="AD6478" t="n">
        <v>0</v>
      </c>
      <c r="AE6478" t="n">
        <v>0</v>
      </c>
      <c r="AF6478" t="n">
        <v>0</v>
      </c>
      <c r="AG6478" t="n">
        <v>0</v>
      </c>
      <c r="AH6478" t="n">
        <v>0</v>
      </c>
    </row>
    <row r="6479">
      <c r="A6479" t="inlineStr">
        <is>
          <t>12월</t>
        </is>
      </c>
      <c r="B6479" t="inlineStr">
        <is>
          <t>52주차</t>
        </is>
      </c>
      <c r="C6479" t="e">
        <v>#N/A</v>
      </c>
      <c r="K6479" t="n">
        <v>0</v>
      </c>
      <c r="L6479" t="n">
        <v>0</v>
      </c>
      <c r="M6479" t="n">
        <v>0</v>
      </c>
      <c r="AC6479" t="n">
        <v>0</v>
      </c>
      <c r="AD6479" t="n">
        <v>0</v>
      </c>
      <c r="AE6479" t="n">
        <v>0</v>
      </c>
      <c r="AF6479" t="n">
        <v>0</v>
      </c>
      <c r="AG6479" t="n">
        <v>0</v>
      </c>
      <c r="AH6479" t="n">
        <v>0</v>
      </c>
    </row>
    <row r="6480">
      <c r="A6480" t="inlineStr">
        <is>
          <t>12월</t>
        </is>
      </c>
      <c r="B6480" t="inlineStr">
        <is>
          <t>52주차</t>
        </is>
      </c>
      <c r="C6480" t="e">
        <v>#N/A</v>
      </c>
      <c r="K6480" t="n">
        <v>0</v>
      </c>
      <c r="L6480" t="n">
        <v>0</v>
      </c>
      <c r="M6480" t="n">
        <v>0</v>
      </c>
      <c r="AC6480" t="n">
        <v>0</v>
      </c>
      <c r="AD6480" t="n">
        <v>0</v>
      </c>
      <c r="AE6480" t="n">
        <v>0</v>
      </c>
      <c r="AF6480" t="n">
        <v>0</v>
      </c>
      <c r="AG6480" t="n">
        <v>0</v>
      </c>
      <c r="AH6480" t="n">
        <v>0</v>
      </c>
      <c r="AI6480" t="n">
        <v>0</v>
      </c>
    </row>
    <row r="6481">
      <c r="A6481" t="inlineStr">
        <is>
          <t>12월</t>
        </is>
      </c>
      <c r="B6481" t="inlineStr">
        <is>
          <t>52주차</t>
        </is>
      </c>
      <c r="C6481" t="e">
        <v>#N/A</v>
      </c>
      <c r="K6481" t="n">
        <v>0</v>
      </c>
      <c r="L6481" t="n">
        <v>0</v>
      </c>
      <c r="M6481" t="n">
        <v>0</v>
      </c>
      <c r="AC6481" t="n">
        <v>0</v>
      </c>
      <c r="AD6481" t="n">
        <v>0</v>
      </c>
      <c r="AE6481" t="n">
        <v>0</v>
      </c>
      <c r="AF6481" t="n">
        <v>0</v>
      </c>
      <c r="AG6481" t="n">
        <v>0</v>
      </c>
      <c r="AH6481" t="n">
        <v>0</v>
      </c>
      <c r="AI6481" t="n">
        <v>0</v>
      </c>
    </row>
    <row r="6482">
      <c r="A6482" t="inlineStr">
        <is>
          <t>12월</t>
        </is>
      </c>
      <c r="B6482" t="inlineStr">
        <is>
          <t>52주차</t>
        </is>
      </c>
      <c r="C6482" t="e">
        <v>#N/A</v>
      </c>
      <c r="K6482" t="n">
        <v>0</v>
      </c>
      <c r="L6482" t="n">
        <v>0</v>
      </c>
      <c r="M6482" t="n">
        <v>0</v>
      </c>
      <c r="AC6482" t="n">
        <v>0</v>
      </c>
      <c r="AD6482" t="n">
        <v>0</v>
      </c>
      <c r="AE6482" t="n">
        <v>0</v>
      </c>
      <c r="AF6482" t="n">
        <v>0</v>
      </c>
      <c r="AG6482" t="n">
        <v>0</v>
      </c>
      <c r="AH6482" t="n">
        <v>0</v>
      </c>
      <c r="AI6482" t="n">
        <v>0</v>
      </c>
    </row>
    <row r="6483">
      <c r="A6483" t="inlineStr">
        <is>
          <t>12월</t>
        </is>
      </c>
      <c r="B6483" t="inlineStr">
        <is>
          <t>52주차</t>
        </is>
      </c>
      <c r="C6483" t="e">
        <v>#N/A</v>
      </c>
      <c r="K6483" t="n">
        <v>0</v>
      </c>
      <c r="L6483" t="n">
        <v>0</v>
      </c>
      <c r="M6483" t="n">
        <v>0</v>
      </c>
      <c r="AC6483" t="n">
        <v>0</v>
      </c>
      <c r="AD6483" t="n">
        <v>0</v>
      </c>
      <c r="AE6483" t="n">
        <v>0</v>
      </c>
      <c r="AF6483" t="n">
        <v>0</v>
      </c>
      <c r="AG6483" t="n">
        <v>0</v>
      </c>
      <c r="AH6483" t="n">
        <v>0</v>
      </c>
      <c r="AI6483" t="n">
        <v>0</v>
      </c>
    </row>
    <row r="6484">
      <c r="A6484" t="inlineStr">
        <is>
          <t>12월</t>
        </is>
      </c>
      <c r="B6484" t="inlineStr">
        <is>
          <t>52주차</t>
        </is>
      </c>
      <c r="C6484" t="e">
        <v>#N/A</v>
      </c>
      <c r="K6484" t="n">
        <v>0</v>
      </c>
      <c r="L6484" t="n">
        <v>0</v>
      </c>
      <c r="M6484" t="n">
        <v>0</v>
      </c>
      <c r="AC6484" t="n">
        <v>0</v>
      </c>
      <c r="AD6484" t="n">
        <v>0</v>
      </c>
      <c r="AE6484" t="n">
        <v>0</v>
      </c>
      <c r="AF6484" t="n">
        <v>0</v>
      </c>
      <c r="AG6484" t="n">
        <v>0</v>
      </c>
      <c r="AH6484" t="n">
        <v>0</v>
      </c>
      <c r="AI6484" t="n">
        <v>0</v>
      </c>
    </row>
    <row r="6485">
      <c r="A6485" t="inlineStr">
        <is>
          <t>12월</t>
        </is>
      </c>
      <c r="B6485" t="inlineStr">
        <is>
          <t>52주차</t>
        </is>
      </c>
      <c r="C6485" t="e">
        <v>#N/A</v>
      </c>
      <c r="K6485" t="n">
        <v>0</v>
      </c>
      <c r="L6485" t="n">
        <v>0</v>
      </c>
      <c r="M6485" t="n">
        <v>0</v>
      </c>
      <c r="AC6485" t="n">
        <v>0</v>
      </c>
      <c r="AD6485" t="n">
        <v>0</v>
      </c>
      <c r="AE6485" t="n">
        <v>0</v>
      </c>
      <c r="AF6485" t="n">
        <v>0</v>
      </c>
      <c r="AG6485" t="n">
        <v>0</v>
      </c>
      <c r="AH6485" t="n">
        <v>0</v>
      </c>
      <c r="AI6485" t="n">
        <v>0</v>
      </c>
    </row>
    <row r="6486">
      <c r="A6486" t="inlineStr">
        <is>
          <t>12월</t>
        </is>
      </c>
      <c r="B6486" t="inlineStr">
        <is>
          <t>52주차</t>
        </is>
      </c>
      <c r="C6486" t="e">
        <v>#N/A</v>
      </c>
      <c r="K6486" t="n">
        <v>0</v>
      </c>
      <c r="L6486" t="n">
        <v>0</v>
      </c>
      <c r="M6486" t="n">
        <v>0</v>
      </c>
      <c r="AC6486" t="n">
        <v>0</v>
      </c>
      <c r="AD6486" t="n">
        <v>0</v>
      </c>
      <c r="AE6486" t="n">
        <v>0</v>
      </c>
      <c r="AF6486" t="n">
        <v>0</v>
      </c>
      <c r="AG6486" t="n">
        <v>0</v>
      </c>
      <c r="AH6486" t="n">
        <v>0</v>
      </c>
    </row>
    <row r="6487">
      <c r="A6487" t="inlineStr">
        <is>
          <t>12월</t>
        </is>
      </c>
      <c r="B6487" t="inlineStr">
        <is>
          <t>52주차</t>
        </is>
      </c>
      <c r="C6487" t="e">
        <v>#N/A</v>
      </c>
      <c r="K6487" t="n">
        <v>0</v>
      </c>
      <c r="L6487" t="n">
        <v>0</v>
      </c>
      <c r="M6487" t="n">
        <v>0</v>
      </c>
      <c r="AC6487" t="n">
        <v>0</v>
      </c>
      <c r="AD6487" t="n">
        <v>0</v>
      </c>
      <c r="AE6487" t="n">
        <v>0</v>
      </c>
      <c r="AF6487" t="n">
        <v>0</v>
      </c>
      <c r="AG6487" t="n">
        <v>0</v>
      </c>
      <c r="AH6487" t="n">
        <v>0</v>
      </c>
      <c r="AI6487" t="n">
        <v>0</v>
      </c>
    </row>
    <row r="6488">
      <c r="A6488" t="inlineStr">
        <is>
          <t>12월</t>
        </is>
      </c>
      <c r="B6488" t="inlineStr">
        <is>
          <t>52주차</t>
        </is>
      </c>
      <c r="C6488" t="e">
        <v>#N/A</v>
      </c>
      <c r="K6488" t="n">
        <v>0</v>
      </c>
      <c r="L6488" t="n">
        <v>0</v>
      </c>
      <c r="M6488" t="n">
        <v>0</v>
      </c>
      <c r="AC6488" t="n">
        <v>0</v>
      </c>
      <c r="AD6488" t="n">
        <v>0</v>
      </c>
      <c r="AE6488" t="n">
        <v>0</v>
      </c>
      <c r="AF6488" t="n">
        <v>0</v>
      </c>
      <c r="AG6488" t="n">
        <v>0</v>
      </c>
      <c r="AH6488" t="n">
        <v>0</v>
      </c>
      <c r="AI6488" t="n">
        <v>0</v>
      </c>
    </row>
    <row r="6489">
      <c r="A6489" t="inlineStr">
        <is>
          <t>12월</t>
        </is>
      </c>
      <c r="B6489" t="inlineStr">
        <is>
          <t>52주차</t>
        </is>
      </c>
      <c r="C6489" t="e">
        <v>#N/A</v>
      </c>
      <c r="K6489" t="n">
        <v>0</v>
      </c>
      <c r="L6489" t="n">
        <v>0</v>
      </c>
      <c r="M6489" t="n">
        <v>0</v>
      </c>
      <c r="AC6489" t="n">
        <v>0</v>
      </c>
      <c r="AD6489" t="n">
        <v>0</v>
      </c>
      <c r="AE6489" t="n">
        <v>0</v>
      </c>
      <c r="AF6489" t="n">
        <v>0</v>
      </c>
      <c r="AG6489" t="n">
        <v>0</v>
      </c>
      <c r="AH6489" t="n">
        <v>0</v>
      </c>
    </row>
    <row r="6490">
      <c r="A6490" t="inlineStr">
        <is>
          <t>12월</t>
        </is>
      </c>
      <c r="B6490" t="inlineStr">
        <is>
          <t>52주차</t>
        </is>
      </c>
      <c r="C6490" t="e">
        <v>#N/A</v>
      </c>
      <c r="K6490" t="n">
        <v>0</v>
      </c>
      <c r="L6490" t="n">
        <v>0</v>
      </c>
      <c r="M6490" t="n">
        <v>0</v>
      </c>
      <c r="AC6490" t="n">
        <v>0</v>
      </c>
      <c r="AD6490" t="n">
        <v>0</v>
      </c>
      <c r="AE6490" t="n">
        <v>0</v>
      </c>
      <c r="AF6490" t="n">
        <v>0</v>
      </c>
      <c r="AG6490" t="n">
        <v>0</v>
      </c>
      <c r="AH6490" t="n">
        <v>0</v>
      </c>
      <c r="AI6490" t="n">
        <v>0</v>
      </c>
    </row>
    <row r="6491">
      <c r="A6491" t="inlineStr">
        <is>
          <t>12월</t>
        </is>
      </c>
      <c r="B6491" t="inlineStr">
        <is>
          <t>52주차</t>
        </is>
      </c>
      <c r="C6491" t="e">
        <v>#N/A</v>
      </c>
      <c r="K6491" t="n">
        <v>0</v>
      </c>
      <c r="L6491" t="n">
        <v>0</v>
      </c>
      <c r="M6491" t="n">
        <v>0</v>
      </c>
      <c r="AC6491" t="n">
        <v>0</v>
      </c>
      <c r="AD6491" t="n">
        <v>0</v>
      </c>
      <c r="AE6491" t="n">
        <v>0</v>
      </c>
      <c r="AF6491" t="n">
        <v>0</v>
      </c>
      <c r="AG6491" t="n">
        <v>0</v>
      </c>
      <c r="AH6491" t="n">
        <v>0</v>
      </c>
    </row>
    <row r="6492">
      <c r="A6492" t="inlineStr">
        <is>
          <t>12월</t>
        </is>
      </c>
      <c r="B6492" t="inlineStr">
        <is>
          <t>52주차</t>
        </is>
      </c>
      <c r="C6492" t="e">
        <v>#N/A</v>
      </c>
      <c r="K6492" t="n">
        <v>0</v>
      </c>
      <c r="L6492" t="n">
        <v>0</v>
      </c>
      <c r="M6492" t="n">
        <v>0</v>
      </c>
      <c r="AC6492" t="n">
        <v>0</v>
      </c>
      <c r="AD6492" t="n">
        <v>0</v>
      </c>
      <c r="AE6492" t="n">
        <v>0</v>
      </c>
      <c r="AF6492" t="n">
        <v>0</v>
      </c>
      <c r="AG6492" t="n">
        <v>0</v>
      </c>
      <c r="AH6492" t="n">
        <v>0</v>
      </c>
    </row>
    <row r="6493">
      <c r="A6493" t="inlineStr">
        <is>
          <t>12월</t>
        </is>
      </c>
      <c r="B6493" t="inlineStr">
        <is>
          <t>52주차</t>
        </is>
      </c>
      <c r="C6493" t="e">
        <v>#N/A</v>
      </c>
      <c r="K6493" t="n">
        <v>0</v>
      </c>
      <c r="L6493" t="n">
        <v>0</v>
      </c>
      <c r="M6493" t="n">
        <v>0</v>
      </c>
      <c r="AC6493" t="n">
        <v>0</v>
      </c>
      <c r="AD6493" t="n">
        <v>0</v>
      </c>
      <c r="AE6493" t="n">
        <v>0</v>
      </c>
      <c r="AF6493" t="n">
        <v>0</v>
      </c>
      <c r="AG6493" t="n">
        <v>0</v>
      </c>
      <c r="AH6493" t="n">
        <v>0</v>
      </c>
    </row>
    <row r="6494">
      <c r="A6494" t="inlineStr">
        <is>
          <t>12월</t>
        </is>
      </c>
      <c r="B6494" t="inlineStr">
        <is>
          <t>52주차</t>
        </is>
      </c>
      <c r="C6494" t="e">
        <v>#N/A</v>
      </c>
      <c r="K6494" t="n">
        <v>0</v>
      </c>
      <c r="L6494" t="n">
        <v>0</v>
      </c>
      <c r="M6494" t="n">
        <v>0</v>
      </c>
      <c r="AC6494" t="n">
        <v>0</v>
      </c>
      <c r="AD6494" t="n">
        <v>0</v>
      </c>
      <c r="AE6494" t="n">
        <v>0</v>
      </c>
      <c r="AF6494" t="n">
        <v>0</v>
      </c>
      <c r="AG6494" t="n">
        <v>0</v>
      </c>
      <c r="AH6494" t="n">
        <v>0</v>
      </c>
    </row>
    <row r="6495">
      <c r="A6495" t="inlineStr">
        <is>
          <t>12월</t>
        </is>
      </c>
      <c r="B6495" t="inlineStr">
        <is>
          <t>52주차</t>
        </is>
      </c>
      <c r="C6495" t="e">
        <v>#N/A</v>
      </c>
      <c r="K6495" t="n">
        <v>0</v>
      </c>
      <c r="L6495" t="n">
        <v>0</v>
      </c>
      <c r="M6495" t="n">
        <v>0</v>
      </c>
      <c r="AC6495" t="n">
        <v>0</v>
      </c>
      <c r="AD6495" t="n">
        <v>0</v>
      </c>
      <c r="AE6495" t="n">
        <v>0</v>
      </c>
      <c r="AF6495" t="n">
        <v>0</v>
      </c>
      <c r="AG6495" t="n">
        <v>0</v>
      </c>
      <c r="AH6495" t="n">
        <v>0</v>
      </c>
    </row>
    <row r="6496">
      <c r="A6496" t="inlineStr">
        <is>
          <t>12월</t>
        </is>
      </c>
      <c r="B6496" t="inlineStr">
        <is>
          <t>52주차</t>
        </is>
      </c>
      <c r="C6496" t="e">
        <v>#N/A</v>
      </c>
      <c r="K6496" t="n">
        <v>0</v>
      </c>
      <c r="L6496" t="n">
        <v>0</v>
      </c>
      <c r="M6496" t="n">
        <v>0</v>
      </c>
      <c r="AC6496" t="n">
        <v>0</v>
      </c>
      <c r="AD6496" t="n">
        <v>0</v>
      </c>
      <c r="AE6496" t="n">
        <v>0</v>
      </c>
      <c r="AF6496" t="n">
        <v>0</v>
      </c>
      <c r="AG6496" t="n">
        <v>0</v>
      </c>
      <c r="AH6496" t="n">
        <v>0</v>
      </c>
    </row>
    <row r="6497">
      <c r="A6497" t="inlineStr">
        <is>
          <t>12월</t>
        </is>
      </c>
      <c r="B6497" t="inlineStr">
        <is>
          <t>52주차</t>
        </is>
      </c>
      <c r="C6497" t="e">
        <v>#N/A</v>
      </c>
      <c r="K6497" t="n">
        <v>0</v>
      </c>
      <c r="L6497" t="n">
        <v>0</v>
      </c>
      <c r="M6497" t="n">
        <v>0</v>
      </c>
      <c r="AC6497" t="n">
        <v>0</v>
      </c>
      <c r="AD6497" t="n">
        <v>0</v>
      </c>
      <c r="AE6497" t="n">
        <v>0</v>
      </c>
      <c r="AF6497" t="n">
        <v>0</v>
      </c>
      <c r="AG6497" t="n">
        <v>0</v>
      </c>
      <c r="AH6497" t="n">
        <v>0</v>
      </c>
    </row>
    <row r="6498">
      <c r="A6498" t="inlineStr">
        <is>
          <t>12월</t>
        </is>
      </c>
      <c r="B6498" t="inlineStr">
        <is>
          <t>52주차</t>
        </is>
      </c>
      <c r="C6498" t="e">
        <v>#N/A</v>
      </c>
      <c r="K6498" t="n">
        <v>0</v>
      </c>
      <c r="L6498" t="n">
        <v>0</v>
      </c>
      <c r="M6498" t="n">
        <v>0</v>
      </c>
      <c r="AC6498" t="n">
        <v>0</v>
      </c>
      <c r="AD6498" t="n">
        <v>0</v>
      </c>
      <c r="AE6498" t="n">
        <v>0</v>
      </c>
      <c r="AF6498" t="n">
        <v>0</v>
      </c>
      <c r="AG6498" t="n">
        <v>0</v>
      </c>
      <c r="AH6498" t="n">
        <v>0</v>
      </c>
    </row>
    <row r="6499">
      <c r="A6499" t="inlineStr">
        <is>
          <t>12월</t>
        </is>
      </c>
      <c r="B6499" t="inlineStr">
        <is>
          <t>52주차</t>
        </is>
      </c>
      <c r="C6499" t="e">
        <v>#N/A</v>
      </c>
      <c r="K6499" t="n">
        <v>0</v>
      </c>
      <c r="L6499" t="n">
        <v>0</v>
      </c>
      <c r="M6499" t="n">
        <v>0</v>
      </c>
      <c r="AC6499" t="n">
        <v>0</v>
      </c>
      <c r="AD6499" t="n">
        <v>0</v>
      </c>
      <c r="AE6499" t="n">
        <v>0</v>
      </c>
      <c r="AF6499" t="n">
        <v>0</v>
      </c>
      <c r="AG6499" t="n">
        <v>0</v>
      </c>
      <c r="AH6499" t="n">
        <v>0</v>
      </c>
    </row>
    <row r="6500">
      <c r="A6500" t="inlineStr">
        <is>
          <t>12월</t>
        </is>
      </c>
      <c r="B6500" t="inlineStr">
        <is>
          <t>52주차</t>
        </is>
      </c>
      <c r="C6500" t="e">
        <v>#N/A</v>
      </c>
      <c r="K6500" t="n">
        <v>0</v>
      </c>
      <c r="L6500" t="n">
        <v>0</v>
      </c>
      <c r="M6500" t="n">
        <v>0</v>
      </c>
      <c r="AC6500" t="n">
        <v>0</v>
      </c>
      <c r="AD6500" t="n">
        <v>0</v>
      </c>
      <c r="AE6500" t="n">
        <v>0</v>
      </c>
      <c r="AF6500" t="n">
        <v>0</v>
      </c>
      <c r="AG6500" t="n">
        <v>0</v>
      </c>
      <c r="AH6500" t="n">
        <v>0</v>
      </c>
    </row>
    <row r="6501">
      <c r="A6501" t="inlineStr">
        <is>
          <t>12월</t>
        </is>
      </c>
      <c r="B6501" t="inlineStr">
        <is>
          <t>52주차</t>
        </is>
      </c>
      <c r="C6501" t="e">
        <v>#N/A</v>
      </c>
      <c r="K6501" t="n">
        <v>0</v>
      </c>
      <c r="L6501" t="n">
        <v>0</v>
      </c>
      <c r="M6501" t="n">
        <v>0</v>
      </c>
      <c r="AC6501" t="n">
        <v>0</v>
      </c>
      <c r="AD6501" t="n">
        <v>0</v>
      </c>
      <c r="AE6501" t="n">
        <v>0</v>
      </c>
      <c r="AF6501" t="n">
        <v>0</v>
      </c>
      <c r="AG6501" t="n">
        <v>0</v>
      </c>
      <c r="AH6501" t="n">
        <v>0</v>
      </c>
    </row>
    <row r="6502">
      <c r="A6502" t="inlineStr">
        <is>
          <t>12월</t>
        </is>
      </c>
      <c r="B6502" t="inlineStr">
        <is>
          <t>52주차</t>
        </is>
      </c>
      <c r="C6502" t="e">
        <v>#N/A</v>
      </c>
      <c r="K6502" t="n">
        <v>0</v>
      </c>
      <c r="L6502" t="n">
        <v>0</v>
      </c>
      <c r="M6502" t="n">
        <v>0</v>
      </c>
      <c r="AC6502" t="n">
        <v>0</v>
      </c>
      <c r="AD6502" t="n">
        <v>0</v>
      </c>
      <c r="AE6502" t="n">
        <v>0</v>
      </c>
      <c r="AF6502" t="n">
        <v>0</v>
      </c>
      <c r="AG6502" t="n">
        <v>0</v>
      </c>
      <c r="AH6502" t="n">
        <v>0</v>
      </c>
    </row>
    <row r="6503">
      <c r="A6503" t="inlineStr">
        <is>
          <t>12월</t>
        </is>
      </c>
      <c r="B6503" t="inlineStr">
        <is>
          <t>52주차</t>
        </is>
      </c>
      <c r="C6503" t="e">
        <v>#N/A</v>
      </c>
      <c r="K6503" t="n">
        <v>0</v>
      </c>
      <c r="L6503" t="n">
        <v>0</v>
      </c>
      <c r="M6503" t="n">
        <v>0</v>
      </c>
      <c r="AC6503" t="n">
        <v>0</v>
      </c>
      <c r="AD6503" t="n">
        <v>0</v>
      </c>
      <c r="AE6503" t="n">
        <v>0</v>
      </c>
      <c r="AF6503" t="n">
        <v>0</v>
      </c>
      <c r="AG6503" t="n">
        <v>0</v>
      </c>
      <c r="AH6503" t="n">
        <v>0</v>
      </c>
    </row>
    <row r="6504">
      <c r="A6504" t="inlineStr">
        <is>
          <t>12월</t>
        </is>
      </c>
      <c r="B6504" t="inlineStr">
        <is>
          <t>52주차</t>
        </is>
      </c>
      <c r="C6504" t="e">
        <v>#N/A</v>
      </c>
      <c r="K6504" t="n">
        <v>0</v>
      </c>
      <c r="L6504" t="n">
        <v>0</v>
      </c>
      <c r="M6504" t="n">
        <v>0</v>
      </c>
      <c r="AC6504" t="n">
        <v>0</v>
      </c>
      <c r="AD6504" t="n">
        <v>0</v>
      </c>
      <c r="AE6504" t="n">
        <v>0</v>
      </c>
      <c r="AF6504" t="n">
        <v>0</v>
      </c>
      <c r="AG6504" t="n">
        <v>0</v>
      </c>
      <c r="AH6504" t="n">
        <v>0</v>
      </c>
    </row>
    <row r="6505">
      <c r="A6505" t="inlineStr">
        <is>
          <t>12월</t>
        </is>
      </c>
      <c r="B6505" t="inlineStr">
        <is>
          <t>52주차</t>
        </is>
      </c>
      <c r="C6505" t="e">
        <v>#N/A</v>
      </c>
      <c r="K6505" t="n">
        <v>0</v>
      </c>
      <c r="L6505" t="n">
        <v>0</v>
      </c>
      <c r="M6505" t="n">
        <v>0</v>
      </c>
      <c r="AC6505" t="n">
        <v>0</v>
      </c>
      <c r="AD6505" t="n">
        <v>0</v>
      </c>
      <c r="AE6505" t="n">
        <v>0</v>
      </c>
      <c r="AF6505" t="n">
        <v>0</v>
      </c>
      <c r="AG6505" t="n">
        <v>0</v>
      </c>
      <c r="AH6505" t="n">
        <v>0</v>
      </c>
    </row>
    <row r="6506">
      <c r="A6506" t="inlineStr">
        <is>
          <t>12월</t>
        </is>
      </c>
      <c r="B6506" t="inlineStr">
        <is>
          <t>52주차</t>
        </is>
      </c>
      <c r="C6506" t="e">
        <v>#N/A</v>
      </c>
      <c r="K6506" t="n">
        <v>0</v>
      </c>
      <c r="L6506" t="n">
        <v>0</v>
      </c>
      <c r="M6506" t="n">
        <v>0</v>
      </c>
      <c r="AC6506" t="n">
        <v>0</v>
      </c>
      <c r="AD6506" t="n">
        <v>0</v>
      </c>
      <c r="AE6506" t="n">
        <v>0</v>
      </c>
      <c r="AF6506" t="n">
        <v>0</v>
      </c>
      <c r="AG6506" t="n">
        <v>0</v>
      </c>
      <c r="AH6506" t="n">
        <v>0</v>
      </c>
    </row>
    <row r="6507">
      <c r="A6507" t="inlineStr">
        <is>
          <t>12월</t>
        </is>
      </c>
      <c r="B6507" t="inlineStr">
        <is>
          <t>52주차</t>
        </is>
      </c>
      <c r="C6507" t="e">
        <v>#N/A</v>
      </c>
      <c r="K6507" t="n">
        <v>0</v>
      </c>
      <c r="L6507" t="n">
        <v>0</v>
      </c>
      <c r="M6507" t="n">
        <v>0</v>
      </c>
      <c r="AC6507" t="n">
        <v>0</v>
      </c>
      <c r="AD6507" t="n">
        <v>0</v>
      </c>
      <c r="AE6507" t="n">
        <v>0</v>
      </c>
      <c r="AF6507" t="n">
        <v>0</v>
      </c>
      <c r="AG6507" t="n">
        <v>0</v>
      </c>
      <c r="AH6507" t="n">
        <v>0</v>
      </c>
    </row>
    <row r="6508">
      <c r="A6508" t="inlineStr">
        <is>
          <t>12월</t>
        </is>
      </c>
      <c r="B6508" t="inlineStr">
        <is>
          <t>52주차</t>
        </is>
      </c>
      <c r="C6508" t="e">
        <v>#N/A</v>
      </c>
      <c r="K6508" t="n">
        <v>0</v>
      </c>
      <c r="L6508" t="n">
        <v>0</v>
      </c>
      <c r="M6508" t="n">
        <v>0</v>
      </c>
      <c r="AC6508" t="n">
        <v>0</v>
      </c>
      <c r="AD6508" t="n">
        <v>0</v>
      </c>
      <c r="AE6508" t="n">
        <v>0</v>
      </c>
      <c r="AF6508" t="n">
        <v>0</v>
      </c>
      <c r="AG6508" t="n">
        <v>0</v>
      </c>
      <c r="AH6508" t="n">
        <v>0</v>
      </c>
    </row>
    <row r="6509">
      <c r="A6509" t="inlineStr">
        <is>
          <t>12월</t>
        </is>
      </c>
      <c r="B6509" t="inlineStr">
        <is>
          <t>52주차</t>
        </is>
      </c>
      <c r="C6509" t="e">
        <v>#N/A</v>
      </c>
      <c r="K6509" t="n">
        <v>0</v>
      </c>
      <c r="L6509" t="n">
        <v>0</v>
      </c>
      <c r="M6509" t="n">
        <v>0</v>
      </c>
      <c r="AC6509" t="n">
        <v>0</v>
      </c>
      <c r="AD6509" t="n">
        <v>0</v>
      </c>
      <c r="AE6509" t="n">
        <v>0</v>
      </c>
      <c r="AF6509" t="n">
        <v>0</v>
      </c>
      <c r="AG6509" t="n">
        <v>0</v>
      </c>
      <c r="AH6509" t="n">
        <v>0</v>
      </c>
      <c r="AI6509" t="n">
        <v>0</v>
      </c>
    </row>
    <row r="6510">
      <c r="A6510" t="inlineStr">
        <is>
          <t>12월</t>
        </is>
      </c>
      <c r="B6510" t="inlineStr">
        <is>
          <t>52주차</t>
        </is>
      </c>
      <c r="C6510" t="e">
        <v>#N/A</v>
      </c>
      <c r="K6510" t="n">
        <v>0</v>
      </c>
      <c r="L6510" t="n">
        <v>0</v>
      </c>
      <c r="M6510" t="n">
        <v>0</v>
      </c>
      <c r="AC6510" t="n">
        <v>0</v>
      </c>
      <c r="AD6510" t="n">
        <v>0</v>
      </c>
      <c r="AE6510" t="n">
        <v>0</v>
      </c>
      <c r="AF6510" t="n">
        <v>0</v>
      </c>
      <c r="AG6510" t="n">
        <v>0</v>
      </c>
      <c r="AH6510" t="n">
        <v>0</v>
      </c>
      <c r="AI6510" t="n">
        <v>0</v>
      </c>
    </row>
    <row r="6511">
      <c r="A6511" t="inlineStr">
        <is>
          <t>12월</t>
        </is>
      </c>
      <c r="B6511" t="inlineStr">
        <is>
          <t>52주차</t>
        </is>
      </c>
      <c r="C6511" t="e">
        <v>#N/A</v>
      </c>
      <c r="K6511" t="n">
        <v>0</v>
      </c>
      <c r="L6511" t="n">
        <v>0</v>
      </c>
      <c r="M6511" t="n">
        <v>0</v>
      </c>
      <c r="AC6511" t="n">
        <v>0</v>
      </c>
      <c r="AD6511" t="n">
        <v>0</v>
      </c>
      <c r="AE6511" t="n">
        <v>0</v>
      </c>
      <c r="AF6511" t="n">
        <v>0</v>
      </c>
      <c r="AG6511" t="n">
        <v>0</v>
      </c>
      <c r="AH6511" t="n">
        <v>0</v>
      </c>
      <c r="AI6511" t="n">
        <v>0</v>
      </c>
    </row>
    <row r="6512">
      <c r="A6512" t="inlineStr">
        <is>
          <t>12월</t>
        </is>
      </c>
      <c r="B6512" t="inlineStr">
        <is>
          <t>52주차</t>
        </is>
      </c>
      <c r="C6512" t="e">
        <v>#N/A</v>
      </c>
      <c r="K6512" t="n">
        <v>0</v>
      </c>
      <c r="L6512" t="n">
        <v>0</v>
      </c>
      <c r="M6512" t="n">
        <v>0</v>
      </c>
      <c r="AC6512" t="n">
        <v>0</v>
      </c>
      <c r="AD6512" t="n">
        <v>0</v>
      </c>
      <c r="AE6512" t="n">
        <v>0</v>
      </c>
      <c r="AF6512" t="n">
        <v>0</v>
      </c>
      <c r="AG6512" t="n">
        <v>0</v>
      </c>
      <c r="AH6512" t="n">
        <v>0</v>
      </c>
      <c r="AI6512" t="n">
        <v>0</v>
      </c>
    </row>
    <row r="6513">
      <c r="A6513" t="inlineStr">
        <is>
          <t>12월</t>
        </is>
      </c>
      <c r="B6513" t="inlineStr">
        <is>
          <t>52주차</t>
        </is>
      </c>
      <c r="C6513" t="e">
        <v>#N/A</v>
      </c>
      <c r="K6513" t="n">
        <v>0</v>
      </c>
      <c r="L6513" t="n">
        <v>0</v>
      </c>
      <c r="M6513" t="n">
        <v>0</v>
      </c>
      <c r="AC6513" t="n">
        <v>0</v>
      </c>
      <c r="AD6513" t="n">
        <v>0</v>
      </c>
      <c r="AE6513" t="n">
        <v>0</v>
      </c>
      <c r="AF6513" t="n">
        <v>0</v>
      </c>
      <c r="AG6513" t="n">
        <v>0</v>
      </c>
      <c r="AH6513" t="n">
        <v>0</v>
      </c>
      <c r="AI6513" t="n">
        <v>0</v>
      </c>
    </row>
    <row r="6514">
      <c r="A6514" t="inlineStr">
        <is>
          <t>12월</t>
        </is>
      </c>
      <c r="B6514" t="inlineStr">
        <is>
          <t>52주차</t>
        </is>
      </c>
      <c r="C6514" t="e">
        <v>#N/A</v>
      </c>
      <c r="K6514" t="n">
        <v>0</v>
      </c>
      <c r="L6514" t="n">
        <v>0</v>
      </c>
      <c r="M6514" t="n">
        <v>0</v>
      </c>
      <c r="AC6514" t="n">
        <v>0</v>
      </c>
      <c r="AD6514" t="n">
        <v>0</v>
      </c>
      <c r="AE6514" t="n">
        <v>0</v>
      </c>
      <c r="AF6514" t="n">
        <v>0</v>
      </c>
      <c r="AG6514" t="n">
        <v>0</v>
      </c>
      <c r="AH6514" t="n">
        <v>0</v>
      </c>
      <c r="AI6514" t="n">
        <v>0</v>
      </c>
    </row>
    <row r="6515">
      <c r="A6515" t="inlineStr">
        <is>
          <t>12월</t>
        </is>
      </c>
      <c r="B6515" t="inlineStr">
        <is>
          <t>52주차</t>
        </is>
      </c>
      <c r="C6515" t="e">
        <v>#N/A</v>
      </c>
      <c r="K6515" t="n">
        <v>0</v>
      </c>
      <c r="L6515" t="n">
        <v>0</v>
      </c>
      <c r="M6515" t="n">
        <v>0</v>
      </c>
      <c r="AC6515" t="n">
        <v>0</v>
      </c>
      <c r="AD6515" t="n">
        <v>0</v>
      </c>
      <c r="AE6515" t="n">
        <v>0</v>
      </c>
      <c r="AF6515" t="n">
        <v>0</v>
      </c>
      <c r="AG6515" t="n">
        <v>0</v>
      </c>
      <c r="AH6515" t="n">
        <v>0</v>
      </c>
    </row>
    <row r="6516">
      <c r="A6516" t="inlineStr">
        <is>
          <t>12월</t>
        </is>
      </c>
      <c r="B6516" t="inlineStr">
        <is>
          <t>52주차</t>
        </is>
      </c>
      <c r="C6516" t="e">
        <v>#N/A</v>
      </c>
      <c r="K6516" t="n">
        <v>0</v>
      </c>
      <c r="L6516" t="n">
        <v>0</v>
      </c>
      <c r="M6516" t="n">
        <v>0</v>
      </c>
      <c r="AC6516" t="n">
        <v>0</v>
      </c>
      <c r="AD6516" t="n">
        <v>0</v>
      </c>
      <c r="AE6516" t="n">
        <v>0</v>
      </c>
      <c r="AF6516" t="n">
        <v>0</v>
      </c>
      <c r="AG6516" t="n">
        <v>0</v>
      </c>
      <c r="AH6516" t="n">
        <v>0</v>
      </c>
      <c r="AI6516" t="n">
        <v>0</v>
      </c>
    </row>
    <row r="6517">
      <c r="A6517" t="inlineStr">
        <is>
          <t>12월</t>
        </is>
      </c>
      <c r="B6517" t="inlineStr">
        <is>
          <t>52주차</t>
        </is>
      </c>
      <c r="C6517" t="e">
        <v>#N/A</v>
      </c>
      <c r="K6517" t="n">
        <v>0</v>
      </c>
      <c r="L6517" t="n">
        <v>0</v>
      </c>
      <c r="M6517" t="n">
        <v>0</v>
      </c>
      <c r="AC6517" t="n">
        <v>0</v>
      </c>
      <c r="AD6517" t="n">
        <v>0</v>
      </c>
      <c r="AE6517" t="n">
        <v>0</v>
      </c>
      <c r="AF6517" t="n">
        <v>0</v>
      </c>
      <c r="AG6517" t="n">
        <v>0</v>
      </c>
      <c r="AH6517" t="n">
        <v>0</v>
      </c>
      <c r="AI6517" t="n">
        <v>0</v>
      </c>
    </row>
    <row r="6518">
      <c r="A6518" t="inlineStr">
        <is>
          <t>12월</t>
        </is>
      </c>
      <c r="B6518" t="inlineStr">
        <is>
          <t>52주차</t>
        </is>
      </c>
      <c r="C6518" t="e">
        <v>#N/A</v>
      </c>
      <c r="K6518" t="n">
        <v>0</v>
      </c>
      <c r="L6518" t="n">
        <v>0</v>
      </c>
      <c r="M6518" t="n">
        <v>0</v>
      </c>
      <c r="AC6518" t="n">
        <v>0</v>
      </c>
      <c r="AD6518" t="n">
        <v>0</v>
      </c>
      <c r="AE6518" t="n">
        <v>0</v>
      </c>
      <c r="AF6518" t="n">
        <v>0</v>
      </c>
      <c r="AG6518" t="n">
        <v>0</v>
      </c>
      <c r="AH6518" t="n">
        <v>0</v>
      </c>
      <c r="AI6518" t="n">
        <v>0</v>
      </c>
    </row>
    <row r="6519">
      <c r="A6519" t="inlineStr">
        <is>
          <t>12월</t>
        </is>
      </c>
      <c r="B6519" t="inlineStr">
        <is>
          <t>52주차</t>
        </is>
      </c>
      <c r="C6519" t="e">
        <v>#N/A</v>
      </c>
      <c r="K6519" t="n">
        <v>0</v>
      </c>
      <c r="L6519" t="n">
        <v>0</v>
      </c>
      <c r="M6519" t="n">
        <v>0</v>
      </c>
      <c r="AC6519" t="n">
        <v>0</v>
      </c>
      <c r="AD6519" t="n">
        <v>0</v>
      </c>
      <c r="AE6519" t="n">
        <v>0</v>
      </c>
      <c r="AF6519" t="n">
        <v>0</v>
      </c>
      <c r="AG6519" t="n">
        <v>0</v>
      </c>
      <c r="AH6519" t="n">
        <v>0</v>
      </c>
      <c r="AI6519" t="n">
        <v>0</v>
      </c>
    </row>
    <row r="6520">
      <c r="A6520" t="inlineStr">
        <is>
          <t>12월</t>
        </is>
      </c>
      <c r="B6520" t="inlineStr">
        <is>
          <t>52주차</t>
        </is>
      </c>
      <c r="C6520" t="e">
        <v>#N/A</v>
      </c>
      <c r="K6520" t="n">
        <v>0</v>
      </c>
      <c r="L6520" t="n">
        <v>0</v>
      </c>
      <c r="M6520" t="n">
        <v>0</v>
      </c>
      <c r="AC6520" t="n">
        <v>0</v>
      </c>
      <c r="AD6520" t="n">
        <v>0</v>
      </c>
      <c r="AE6520" t="n">
        <v>0</v>
      </c>
      <c r="AF6520" t="n">
        <v>0</v>
      </c>
      <c r="AG6520" t="n">
        <v>0</v>
      </c>
      <c r="AH6520" t="n">
        <v>0</v>
      </c>
      <c r="AI6520" t="n">
        <v>0</v>
      </c>
    </row>
    <row r="6521">
      <c r="A6521" t="inlineStr">
        <is>
          <t>12월</t>
        </is>
      </c>
      <c r="B6521" t="inlineStr">
        <is>
          <t>52주차</t>
        </is>
      </c>
      <c r="C6521" t="e">
        <v>#N/A</v>
      </c>
      <c r="K6521" t="n">
        <v>0</v>
      </c>
      <c r="L6521" t="n">
        <v>0</v>
      </c>
      <c r="M6521" t="n">
        <v>0</v>
      </c>
      <c r="AC6521" t="n">
        <v>0</v>
      </c>
      <c r="AD6521" t="n">
        <v>0</v>
      </c>
      <c r="AE6521" t="n">
        <v>0</v>
      </c>
      <c r="AF6521" t="n">
        <v>0</v>
      </c>
      <c r="AG6521" t="n">
        <v>0</v>
      </c>
      <c r="AH6521" t="n">
        <v>0</v>
      </c>
      <c r="AI6521" t="n">
        <v>0</v>
      </c>
    </row>
    <row r="6522">
      <c r="A6522" t="inlineStr">
        <is>
          <t>12월</t>
        </is>
      </c>
      <c r="B6522" t="inlineStr">
        <is>
          <t>52주차</t>
        </is>
      </c>
      <c r="C6522" t="e">
        <v>#N/A</v>
      </c>
      <c r="K6522" t="n">
        <v>0</v>
      </c>
      <c r="L6522" t="n">
        <v>0</v>
      </c>
      <c r="M6522" t="n">
        <v>0</v>
      </c>
      <c r="AC6522" t="n">
        <v>0</v>
      </c>
      <c r="AD6522" t="n">
        <v>0</v>
      </c>
      <c r="AE6522" t="n">
        <v>0</v>
      </c>
      <c r="AF6522" t="n">
        <v>0</v>
      </c>
      <c r="AG6522" t="n">
        <v>0</v>
      </c>
      <c r="AH6522" t="n">
        <v>0</v>
      </c>
      <c r="AI6522" t="n">
        <v>0</v>
      </c>
    </row>
    <row r="6523">
      <c r="A6523" t="inlineStr">
        <is>
          <t>12월</t>
        </is>
      </c>
      <c r="B6523" t="inlineStr">
        <is>
          <t>52주차</t>
        </is>
      </c>
      <c r="C6523" t="e">
        <v>#N/A</v>
      </c>
      <c r="K6523" t="n">
        <v>0</v>
      </c>
      <c r="L6523" t="n">
        <v>0</v>
      </c>
      <c r="M6523" t="n">
        <v>0</v>
      </c>
      <c r="AC6523" t="n">
        <v>0</v>
      </c>
      <c r="AD6523" t="n">
        <v>0</v>
      </c>
      <c r="AE6523" t="n">
        <v>0</v>
      </c>
      <c r="AF6523" t="n">
        <v>0</v>
      </c>
      <c r="AG6523" t="n">
        <v>0</v>
      </c>
      <c r="AH6523" t="n">
        <v>0</v>
      </c>
      <c r="AI6523" t="n">
        <v>0</v>
      </c>
    </row>
    <row r="6524">
      <c r="A6524" t="inlineStr">
        <is>
          <t>12월</t>
        </is>
      </c>
      <c r="B6524" t="inlineStr">
        <is>
          <t>52주차</t>
        </is>
      </c>
      <c r="C6524" t="e">
        <v>#N/A</v>
      </c>
      <c r="K6524" t="n">
        <v>0</v>
      </c>
      <c r="L6524" t="n">
        <v>0</v>
      </c>
      <c r="M6524" t="n">
        <v>0</v>
      </c>
      <c r="AC6524" t="n">
        <v>0</v>
      </c>
      <c r="AD6524" t="n">
        <v>0</v>
      </c>
      <c r="AE6524" t="n">
        <v>0</v>
      </c>
      <c r="AF6524" t="n">
        <v>0</v>
      </c>
      <c r="AG6524" t="n">
        <v>0</v>
      </c>
      <c r="AH6524" t="n">
        <v>0</v>
      </c>
      <c r="AI6524" t="n">
        <v>0</v>
      </c>
    </row>
    <row r="6525">
      <c r="A6525" t="inlineStr">
        <is>
          <t>12월</t>
        </is>
      </c>
      <c r="B6525" t="inlineStr">
        <is>
          <t>52주차</t>
        </is>
      </c>
      <c r="C6525" t="e">
        <v>#N/A</v>
      </c>
      <c r="K6525" t="n">
        <v>0</v>
      </c>
      <c r="L6525" t="n">
        <v>0</v>
      </c>
      <c r="M6525" t="n">
        <v>0</v>
      </c>
      <c r="AC6525" t="n">
        <v>0</v>
      </c>
      <c r="AD6525" t="n">
        <v>0</v>
      </c>
      <c r="AE6525" t="n">
        <v>0</v>
      </c>
      <c r="AF6525" t="n">
        <v>0</v>
      </c>
      <c r="AG6525" t="n">
        <v>0</v>
      </c>
      <c r="AH6525" t="n">
        <v>0</v>
      </c>
      <c r="AI6525" t="n">
        <v>0</v>
      </c>
    </row>
    <row r="6526">
      <c r="A6526" t="inlineStr">
        <is>
          <t>12월</t>
        </is>
      </c>
      <c r="B6526" t="inlineStr">
        <is>
          <t>52주차</t>
        </is>
      </c>
      <c r="C6526" t="e">
        <v>#N/A</v>
      </c>
      <c r="K6526" t="n">
        <v>0</v>
      </c>
      <c r="L6526" t="n">
        <v>0</v>
      </c>
      <c r="M6526" t="n">
        <v>0</v>
      </c>
      <c r="AC6526" t="n">
        <v>0</v>
      </c>
      <c r="AD6526" t="n">
        <v>0</v>
      </c>
      <c r="AE6526" t="n">
        <v>0</v>
      </c>
      <c r="AF6526" t="n">
        <v>0</v>
      </c>
      <c r="AG6526" t="n">
        <v>0</v>
      </c>
      <c r="AH6526" t="n">
        <v>0</v>
      </c>
      <c r="AI6526" t="n">
        <v>0</v>
      </c>
    </row>
    <row r="6527">
      <c r="A6527" t="inlineStr">
        <is>
          <t>12월</t>
        </is>
      </c>
      <c r="B6527" t="inlineStr">
        <is>
          <t>52주차</t>
        </is>
      </c>
      <c r="C6527" t="e">
        <v>#N/A</v>
      </c>
      <c r="K6527" t="n">
        <v>0</v>
      </c>
      <c r="L6527" t="n">
        <v>0</v>
      </c>
      <c r="M6527" t="n">
        <v>0</v>
      </c>
      <c r="AC6527" t="n">
        <v>0</v>
      </c>
      <c r="AD6527" t="n">
        <v>0</v>
      </c>
      <c r="AE6527" t="n">
        <v>0</v>
      </c>
      <c r="AF6527" t="n">
        <v>0</v>
      </c>
      <c r="AG6527" t="n">
        <v>0</v>
      </c>
      <c r="AH6527" t="n">
        <v>0</v>
      </c>
      <c r="AI6527" t="n">
        <v>0</v>
      </c>
    </row>
    <row r="6528">
      <c r="A6528" t="inlineStr">
        <is>
          <t>12월</t>
        </is>
      </c>
      <c r="B6528" t="inlineStr">
        <is>
          <t>52주차</t>
        </is>
      </c>
      <c r="C6528" t="e">
        <v>#N/A</v>
      </c>
      <c r="K6528" t="n">
        <v>0</v>
      </c>
      <c r="L6528" t="n">
        <v>0</v>
      </c>
      <c r="M6528" t="n">
        <v>0</v>
      </c>
      <c r="AC6528" t="n">
        <v>0</v>
      </c>
      <c r="AD6528" t="n">
        <v>0</v>
      </c>
      <c r="AE6528" t="n">
        <v>0</v>
      </c>
      <c r="AF6528" t="n">
        <v>0</v>
      </c>
      <c r="AG6528" t="n">
        <v>0</v>
      </c>
      <c r="AH6528" t="n">
        <v>0</v>
      </c>
      <c r="AI6528" t="n">
        <v>0</v>
      </c>
    </row>
    <row r="6529">
      <c r="A6529" t="inlineStr">
        <is>
          <t>12월</t>
        </is>
      </c>
      <c r="B6529" t="inlineStr">
        <is>
          <t>52주차</t>
        </is>
      </c>
      <c r="C6529" t="e">
        <v>#N/A</v>
      </c>
      <c r="K6529" t="n">
        <v>0</v>
      </c>
      <c r="L6529" t="n">
        <v>0</v>
      </c>
      <c r="M6529" t="n">
        <v>0</v>
      </c>
      <c r="AC6529" t="n">
        <v>0</v>
      </c>
      <c r="AD6529" t="n">
        <v>0</v>
      </c>
      <c r="AE6529" t="n">
        <v>0</v>
      </c>
      <c r="AF6529" t="n">
        <v>0</v>
      </c>
      <c r="AG6529" t="n">
        <v>0</v>
      </c>
      <c r="AH6529" t="n">
        <v>0</v>
      </c>
    </row>
    <row r="6530">
      <c r="A6530" t="inlineStr">
        <is>
          <t>12월</t>
        </is>
      </c>
      <c r="B6530" t="inlineStr">
        <is>
          <t>52주차</t>
        </is>
      </c>
      <c r="C6530" t="e">
        <v>#N/A</v>
      </c>
      <c r="K6530" t="n">
        <v>0</v>
      </c>
      <c r="L6530" t="n">
        <v>0</v>
      </c>
      <c r="M6530" t="n">
        <v>0</v>
      </c>
      <c r="AC6530" t="n">
        <v>0</v>
      </c>
      <c r="AD6530" t="n">
        <v>0</v>
      </c>
      <c r="AE6530" t="n">
        <v>0</v>
      </c>
      <c r="AF6530" t="n">
        <v>0</v>
      </c>
      <c r="AG6530" t="n">
        <v>0</v>
      </c>
      <c r="AH6530" t="n">
        <v>0</v>
      </c>
      <c r="AI6530" t="n">
        <v>0</v>
      </c>
    </row>
    <row r="6531">
      <c r="A6531" t="inlineStr">
        <is>
          <t>12월</t>
        </is>
      </c>
      <c r="B6531" t="inlineStr">
        <is>
          <t>52주차</t>
        </is>
      </c>
      <c r="C6531" t="e">
        <v>#N/A</v>
      </c>
      <c r="K6531" t="n">
        <v>0</v>
      </c>
      <c r="L6531" t="n">
        <v>0</v>
      </c>
      <c r="M6531" t="n">
        <v>0</v>
      </c>
      <c r="AC6531" t="n">
        <v>0</v>
      </c>
      <c r="AD6531" t="n">
        <v>0</v>
      </c>
      <c r="AE6531" t="n">
        <v>0</v>
      </c>
      <c r="AF6531" t="n">
        <v>0</v>
      </c>
      <c r="AG6531" t="n">
        <v>0</v>
      </c>
      <c r="AH6531" t="n">
        <v>0</v>
      </c>
      <c r="AI6531" t="n">
        <v>0</v>
      </c>
    </row>
    <row r="6532">
      <c r="A6532" t="inlineStr">
        <is>
          <t>12월</t>
        </is>
      </c>
      <c r="B6532" t="inlineStr">
        <is>
          <t>52주차</t>
        </is>
      </c>
      <c r="C6532" t="e">
        <v>#N/A</v>
      </c>
      <c r="K6532" t="n">
        <v>0</v>
      </c>
      <c r="L6532" t="n">
        <v>0</v>
      </c>
      <c r="M6532" t="n">
        <v>0</v>
      </c>
      <c r="AC6532" t="n">
        <v>0</v>
      </c>
      <c r="AD6532" t="n">
        <v>0</v>
      </c>
      <c r="AE6532" t="n">
        <v>0</v>
      </c>
      <c r="AF6532" t="n">
        <v>0</v>
      </c>
      <c r="AG6532" t="n">
        <v>0</v>
      </c>
      <c r="AH6532" t="n">
        <v>0</v>
      </c>
      <c r="AI6532" t="n">
        <v>0</v>
      </c>
    </row>
    <row r="6533">
      <c r="A6533" t="inlineStr">
        <is>
          <t>12월</t>
        </is>
      </c>
      <c r="B6533" t="inlineStr">
        <is>
          <t>52주차</t>
        </is>
      </c>
      <c r="C6533" t="e">
        <v>#N/A</v>
      </c>
      <c r="K6533" t="n">
        <v>0</v>
      </c>
      <c r="L6533" t="n">
        <v>0</v>
      </c>
      <c r="M6533" t="n">
        <v>0</v>
      </c>
      <c r="AC6533" t="n">
        <v>0</v>
      </c>
      <c r="AD6533" t="n">
        <v>0</v>
      </c>
      <c r="AE6533" t="n">
        <v>0</v>
      </c>
      <c r="AF6533" t="n">
        <v>0</v>
      </c>
      <c r="AG6533" t="n">
        <v>0</v>
      </c>
      <c r="AH6533" t="n">
        <v>0</v>
      </c>
    </row>
    <row r="6534">
      <c r="A6534" t="inlineStr">
        <is>
          <t>12월</t>
        </is>
      </c>
      <c r="B6534" t="inlineStr">
        <is>
          <t>52주차</t>
        </is>
      </c>
      <c r="C6534" t="e">
        <v>#N/A</v>
      </c>
      <c r="K6534" t="n">
        <v>0</v>
      </c>
      <c r="L6534" t="n">
        <v>0</v>
      </c>
      <c r="M6534" t="n">
        <v>0</v>
      </c>
      <c r="AC6534" t="n">
        <v>0</v>
      </c>
      <c r="AD6534" t="n">
        <v>0</v>
      </c>
      <c r="AE6534" t="n">
        <v>0</v>
      </c>
      <c r="AF6534" t="n">
        <v>0</v>
      </c>
      <c r="AG6534" t="n">
        <v>0</v>
      </c>
      <c r="AH6534" t="n">
        <v>0</v>
      </c>
      <c r="AI6534" t="n">
        <v>0</v>
      </c>
    </row>
    <row r="6535">
      <c r="A6535" t="inlineStr">
        <is>
          <t>12월</t>
        </is>
      </c>
      <c r="B6535" t="inlineStr">
        <is>
          <t>52주차</t>
        </is>
      </c>
      <c r="C6535" t="e">
        <v>#N/A</v>
      </c>
      <c r="K6535" t="n">
        <v>0</v>
      </c>
      <c r="L6535" t="n">
        <v>0</v>
      </c>
      <c r="M6535" t="n">
        <v>0</v>
      </c>
      <c r="AC6535" t="n">
        <v>0</v>
      </c>
      <c r="AD6535" t="n">
        <v>0</v>
      </c>
      <c r="AE6535" t="n">
        <v>0</v>
      </c>
      <c r="AF6535" t="n">
        <v>0</v>
      </c>
      <c r="AG6535" t="n">
        <v>0</v>
      </c>
      <c r="AH6535" t="n">
        <v>0</v>
      </c>
    </row>
    <row r="6536">
      <c r="A6536" t="inlineStr">
        <is>
          <t>12월</t>
        </is>
      </c>
      <c r="B6536" t="inlineStr">
        <is>
          <t>52주차</t>
        </is>
      </c>
      <c r="C6536" t="e">
        <v>#N/A</v>
      </c>
      <c r="K6536" t="n">
        <v>0</v>
      </c>
      <c r="L6536" t="n">
        <v>0</v>
      </c>
      <c r="M6536" t="n">
        <v>0</v>
      </c>
      <c r="AC6536" t="n">
        <v>0</v>
      </c>
      <c r="AD6536" t="n">
        <v>0</v>
      </c>
      <c r="AE6536" t="n">
        <v>0</v>
      </c>
      <c r="AF6536" t="n">
        <v>0</v>
      </c>
      <c r="AG6536" t="n">
        <v>0</v>
      </c>
      <c r="AH6536" t="n">
        <v>0</v>
      </c>
      <c r="AI6536" t="n">
        <v>0</v>
      </c>
    </row>
    <row r="6537">
      <c r="A6537" t="inlineStr">
        <is>
          <t>12월</t>
        </is>
      </c>
      <c r="B6537" t="inlineStr">
        <is>
          <t>52주차</t>
        </is>
      </c>
      <c r="C6537" t="e">
        <v>#N/A</v>
      </c>
      <c r="K6537" t="n">
        <v>0</v>
      </c>
      <c r="L6537" t="n">
        <v>0</v>
      </c>
      <c r="M6537" t="n">
        <v>0</v>
      </c>
      <c r="AC6537" t="n">
        <v>0</v>
      </c>
      <c r="AD6537" t="n">
        <v>0</v>
      </c>
      <c r="AE6537" t="n">
        <v>0</v>
      </c>
      <c r="AF6537" t="n">
        <v>0</v>
      </c>
      <c r="AG6537" t="n">
        <v>0</v>
      </c>
      <c r="AH6537" t="n">
        <v>0</v>
      </c>
      <c r="AI6537" t="n">
        <v>0</v>
      </c>
    </row>
    <row r="6538">
      <c r="A6538" t="inlineStr">
        <is>
          <t>12월</t>
        </is>
      </c>
      <c r="B6538" t="inlineStr">
        <is>
          <t>52주차</t>
        </is>
      </c>
      <c r="C6538" t="e">
        <v>#N/A</v>
      </c>
      <c r="K6538" t="n">
        <v>0</v>
      </c>
      <c r="L6538" t="n">
        <v>0</v>
      </c>
      <c r="M6538" t="n">
        <v>0</v>
      </c>
      <c r="AC6538" t="n">
        <v>0</v>
      </c>
      <c r="AD6538" t="n">
        <v>0</v>
      </c>
      <c r="AE6538" t="n">
        <v>0</v>
      </c>
      <c r="AF6538" t="n">
        <v>0</v>
      </c>
      <c r="AG6538" t="n">
        <v>0</v>
      </c>
      <c r="AH6538" t="n">
        <v>0</v>
      </c>
      <c r="AI6538" t="n">
        <v>0</v>
      </c>
    </row>
    <row r="6539">
      <c r="A6539" t="inlineStr">
        <is>
          <t>12월</t>
        </is>
      </c>
      <c r="B6539" t="inlineStr">
        <is>
          <t>52주차</t>
        </is>
      </c>
      <c r="C6539" t="e">
        <v>#N/A</v>
      </c>
      <c r="K6539" t="n">
        <v>0</v>
      </c>
      <c r="L6539" t="n">
        <v>0</v>
      </c>
      <c r="M6539" t="n">
        <v>0</v>
      </c>
      <c r="AC6539" t="n">
        <v>0</v>
      </c>
      <c r="AD6539" t="n">
        <v>0</v>
      </c>
      <c r="AE6539" t="n">
        <v>0</v>
      </c>
      <c r="AF6539" t="n">
        <v>0</v>
      </c>
      <c r="AG6539" t="n">
        <v>0</v>
      </c>
      <c r="AH6539" t="n">
        <v>0</v>
      </c>
      <c r="AI6539" t="n">
        <v>0</v>
      </c>
    </row>
    <row r="6540">
      <c r="A6540" t="inlineStr">
        <is>
          <t>12월</t>
        </is>
      </c>
      <c r="B6540" t="inlineStr">
        <is>
          <t>52주차</t>
        </is>
      </c>
      <c r="C6540" t="e">
        <v>#N/A</v>
      </c>
      <c r="K6540" t="n">
        <v>0</v>
      </c>
      <c r="L6540" t="n">
        <v>0</v>
      </c>
      <c r="M6540" t="n">
        <v>0</v>
      </c>
      <c r="AC6540" t="n">
        <v>0</v>
      </c>
      <c r="AD6540" t="n">
        <v>0</v>
      </c>
      <c r="AE6540" t="n">
        <v>0</v>
      </c>
      <c r="AF6540" t="n">
        <v>0</v>
      </c>
      <c r="AG6540" t="n">
        <v>0</v>
      </c>
      <c r="AH6540" t="n">
        <v>0</v>
      </c>
      <c r="AI6540" t="n">
        <v>0</v>
      </c>
    </row>
    <row r="6541">
      <c r="A6541" t="inlineStr">
        <is>
          <t>12월</t>
        </is>
      </c>
      <c r="B6541" t="inlineStr">
        <is>
          <t>52주차</t>
        </is>
      </c>
      <c r="C6541" t="e">
        <v>#N/A</v>
      </c>
      <c r="K6541" t="n">
        <v>0</v>
      </c>
      <c r="L6541" t="n">
        <v>0</v>
      </c>
      <c r="M6541" t="n">
        <v>0</v>
      </c>
      <c r="AC6541" t="n">
        <v>0</v>
      </c>
      <c r="AD6541" t="n">
        <v>0</v>
      </c>
      <c r="AE6541" t="n">
        <v>0</v>
      </c>
      <c r="AF6541" t="n">
        <v>0</v>
      </c>
      <c r="AG6541" t="n">
        <v>0</v>
      </c>
      <c r="AH6541" t="n">
        <v>0</v>
      </c>
      <c r="AI6541" t="n">
        <v>0</v>
      </c>
    </row>
    <row r="6542">
      <c r="A6542" t="inlineStr">
        <is>
          <t>12월</t>
        </is>
      </c>
      <c r="B6542" t="inlineStr">
        <is>
          <t>52주차</t>
        </is>
      </c>
      <c r="C6542" t="e">
        <v>#N/A</v>
      </c>
      <c r="K6542" t="n">
        <v>0</v>
      </c>
      <c r="L6542" t="n">
        <v>0</v>
      </c>
      <c r="M6542" t="n">
        <v>0</v>
      </c>
      <c r="AC6542" t="n">
        <v>0</v>
      </c>
      <c r="AD6542" t="n">
        <v>0</v>
      </c>
      <c r="AE6542" t="n">
        <v>0</v>
      </c>
      <c r="AF6542" t="n">
        <v>0</v>
      </c>
      <c r="AG6542" t="n">
        <v>0</v>
      </c>
      <c r="AH6542" t="n">
        <v>0</v>
      </c>
    </row>
    <row r="6543">
      <c r="A6543" t="inlineStr">
        <is>
          <t>12월</t>
        </is>
      </c>
      <c r="B6543" t="inlineStr">
        <is>
          <t>52주차</t>
        </is>
      </c>
      <c r="C6543" t="e">
        <v>#N/A</v>
      </c>
      <c r="K6543" t="n">
        <v>0</v>
      </c>
      <c r="L6543" t="n">
        <v>0</v>
      </c>
      <c r="M6543" t="n">
        <v>0</v>
      </c>
      <c r="AC6543" t="n">
        <v>0</v>
      </c>
      <c r="AD6543" t="n">
        <v>0</v>
      </c>
      <c r="AE6543" t="n">
        <v>0</v>
      </c>
      <c r="AF6543" t="n">
        <v>0</v>
      </c>
      <c r="AG6543" t="n">
        <v>0</v>
      </c>
      <c r="AH6543" t="n">
        <v>0</v>
      </c>
    </row>
    <row r="6544">
      <c r="A6544" t="inlineStr">
        <is>
          <t>12월</t>
        </is>
      </c>
      <c r="B6544" t="inlineStr">
        <is>
          <t>52주차</t>
        </is>
      </c>
      <c r="C6544" t="e">
        <v>#N/A</v>
      </c>
      <c r="K6544" t="n">
        <v>0</v>
      </c>
      <c r="L6544" t="n">
        <v>0</v>
      </c>
      <c r="M6544" t="n">
        <v>0</v>
      </c>
      <c r="AC6544" t="n">
        <v>0</v>
      </c>
      <c r="AD6544" t="n">
        <v>0</v>
      </c>
      <c r="AE6544" t="n">
        <v>0</v>
      </c>
      <c r="AF6544" t="n">
        <v>0</v>
      </c>
      <c r="AG6544" t="n">
        <v>0</v>
      </c>
      <c r="AH6544" t="n">
        <v>0</v>
      </c>
      <c r="AI6544" t="n">
        <v>0</v>
      </c>
    </row>
    <row r="6545">
      <c r="A6545" t="inlineStr">
        <is>
          <t>12월</t>
        </is>
      </c>
      <c r="B6545" t="inlineStr">
        <is>
          <t>52주차</t>
        </is>
      </c>
      <c r="C6545" t="e">
        <v>#N/A</v>
      </c>
      <c r="K6545" t="n">
        <v>0</v>
      </c>
      <c r="L6545" t="n">
        <v>0</v>
      </c>
      <c r="M6545" t="n">
        <v>0</v>
      </c>
      <c r="AC6545" t="n">
        <v>0</v>
      </c>
      <c r="AD6545" t="n">
        <v>0</v>
      </c>
      <c r="AE6545" t="n">
        <v>0</v>
      </c>
      <c r="AF6545" t="n">
        <v>0</v>
      </c>
      <c r="AG6545" t="n">
        <v>0</v>
      </c>
      <c r="AH6545" t="n">
        <v>0</v>
      </c>
    </row>
    <row r="6546">
      <c r="A6546" t="inlineStr">
        <is>
          <t>12월</t>
        </is>
      </c>
      <c r="B6546" t="inlineStr">
        <is>
          <t>52주차</t>
        </is>
      </c>
      <c r="C6546" t="e">
        <v>#N/A</v>
      </c>
      <c r="K6546" t="n">
        <v>0</v>
      </c>
      <c r="L6546" t="n">
        <v>0</v>
      </c>
      <c r="M6546" t="n">
        <v>0</v>
      </c>
      <c r="AC6546" t="n">
        <v>0</v>
      </c>
      <c r="AD6546" t="n">
        <v>0</v>
      </c>
      <c r="AE6546" t="n">
        <v>0</v>
      </c>
      <c r="AF6546" t="n">
        <v>0</v>
      </c>
      <c r="AG6546" t="n">
        <v>0</v>
      </c>
      <c r="AH6546" t="n">
        <v>0</v>
      </c>
      <c r="AI6546" t="n">
        <v>0</v>
      </c>
    </row>
    <row r="6547">
      <c r="A6547" t="inlineStr">
        <is>
          <t>12월</t>
        </is>
      </c>
      <c r="B6547" t="inlineStr">
        <is>
          <t>52주차</t>
        </is>
      </c>
      <c r="C6547" t="e">
        <v>#N/A</v>
      </c>
      <c r="K6547" t="n">
        <v>0</v>
      </c>
      <c r="L6547" t="n">
        <v>0</v>
      </c>
      <c r="M6547" t="n">
        <v>0</v>
      </c>
      <c r="AC6547" t="n">
        <v>0</v>
      </c>
      <c r="AD6547" t="n">
        <v>0</v>
      </c>
      <c r="AE6547" t="n">
        <v>0</v>
      </c>
      <c r="AF6547" t="n">
        <v>0</v>
      </c>
      <c r="AG6547" t="n">
        <v>0</v>
      </c>
      <c r="AH6547" t="n">
        <v>0</v>
      </c>
      <c r="AI6547" t="n">
        <v>0</v>
      </c>
    </row>
    <row r="6548">
      <c r="A6548" t="inlineStr">
        <is>
          <t>12월</t>
        </is>
      </c>
      <c r="B6548" t="inlineStr">
        <is>
          <t>52주차</t>
        </is>
      </c>
      <c r="C6548" t="e">
        <v>#N/A</v>
      </c>
      <c r="K6548" t="n">
        <v>0</v>
      </c>
      <c r="L6548" t="n">
        <v>0</v>
      </c>
      <c r="M6548" t="n">
        <v>0</v>
      </c>
      <c r="AC6548" t="n">
        <v>0</v>
      </c>
      <c r="AD6548" t="n">
        <v>0</v>
      </c>
      <c r="AE6548" t="n">
        <v>0</v>
      </c>
      <c r="AF6548" t="n">
        <v>0</v>
      </c>
      <c r="AG6548" t="n">
        <v>0</v>
      </c>
      <c r="AH6548" t="n">
        <v>0</v>
      </c>
    </row>
    <row r="6549">
      <c r="A6549" t="inlineStr">
        <is>
          <t>12월</t>
        </is>
      </c>
      <c r="B6549" t="inlineStr">
        <is>
          <t>52주차</t>
        </is>
      </c>
      <c r="C6549" t="e">
        <v>#N/A</v>
      </c>
      <c r="K6549" t="n">
        <v>0</v>
      </c>
      <c r="L6549" t="n">
        <v>0</v>
      </c>
      <c r="M6549" t="n">
        <v>0</v>
      </c>
      <c r="AC6549" t="n">
        <v>0</v>
      </c>
      <c r="AD6549" t="n">
        <v>0</v>
      </c>
      <c r="AE6549" t="n">
        <v>0</v>
      </c>
      <c r="AF6549" t="n">
        <v>0</v>
      </c>
      <c r="AG6549" t="n">
        <v>0</v>
      </c>
      <c r="AH6549" t="n">
        <v>0</v>
      </c>
    </row>
    <row r="6550">
      <c r="A6550" t="inlineStr">
        <is>
          <t>12월</t>
        </is>
      </c>
      <c r="B6550" t="inlineStr">
        <is>
          <t>52주차</t>
        </is>
      </c>
      <c r="C6550" t="e">
        <v>#N/A</v>
      </c>
      <c r="K6550" t="n">
        <v>0</v>
      </c>
      <c r="L6550" t="n">
        <v>0</v>
      </c>
      <c r="M6550" t="n">
        <v>0</v>
      </c>
      <c r="AC6550" t="n">
        <v>0</v>
      </c>
      <c r="AD6550" t="n">
        <v>0</v>
      </c>
      <c r="AE6550" t="n">
        <v>0</v>
      </c>
      <c r="AF6550" t="n">
        <v>0</v>
      </c>
      <c r="AG6550" t="n">
        <v>0</v>
      </c>
      <c r="AH6550" t="n">
        <v>0</v>
      </c>
    </row>
    <row r="6551">
      <c r="A6551" t="inlineStr">
        <is>
          <t>12월</t>
        </is>
      </c>
      <c r="B6551" t="inlineStr">
        <is>
          <t>52주차</t>
        </is>
      </c>
      <c r="C6551" t="e">
        <v>#N/A</v>
      </c>
      <c r="K6551" t="n">
        <v>0</v>
      </c>
      <c r="L6551" t="n">
        <v>0</v>
      </c>
      <c r="M6551" t="n">
        <v>0</v>
      </c>
      <c r="AC6551" t="n">
        <v>0</v>
      </c>
      <c r="AD6551" t="n">
        <v>0</v>
      </c>
      <c r="AE6551" t="n">
        <v>0</v>
      </c>
      <c r="AF6551" t="n">
        <v>0</v>
      </c>
      <c r="AG6551" t="n">
        <v>0</v>
      </c>
      <c r="AH6551" t="n">
        <v>0</v>
      </c>
    </row>
    <row r="6552">
      <c r="A6552" t="inlineStr">
        <is>
          <t>12월</t>
        </is>
      </c>
      <c r="B6552" t="inlineStr">
        <is>
          <t>52주차</t>
        </is>
      </c>
      <c r="C6552" t="e">
        <v>#N/A</v>
      </c>
      <c r="K6552" t="n">
        <v>0</v>
      </c>
      <c r="L6552" t="n">
        <v>0</v>
      </c>
      <c r="M6552" t="n">
        <v>0</v>
      </c>
      <c r="AC6552" t="n">
        <v>0</v>
      </c>
      <c r="AD6552" t="n">
        <v>0</v>
      </c>
      <c r="AE6552" t="n">
        <v>0</v>
      </c>
      <c r="AF6552" t="n">
        <v>0</v>
      </c>
      <c r="AG6552" t="n">
        <v>0</v>
      </c>
      <c r="AH6552" t="n">
        <v>0</v>
      </c>
      <c r="AI6552" t="n">
        <v>0</v>
      </c>
    </row>
    <row r="6553">
      <c r="A6553" t="inlineStr">
        <is>
          <t>12월</t>
        </is>
      </c>
      <c r="B6553" t="inlineStr">
        <is>
          <t>52주차</t>
        </is>
      </c>
      <c r="C6553" t="e">
        <v>#N/A</v>
      </c>
      <c r="K6553" t="n">
        <v>0</v>
      </c>
      <c r="L6553" t="n">
        <v>0</v>
      </c>
      <c r="M6553" t="n">
        <v>0</v>
      </c>
      <c r="AC6553" t="n">
        <v>0</v>
      </c>
      <c r="AD6553" t="n">
        <v>0</v>
      </c>
      <c r="AE6553" t="n">
        <v>0</v>
      </c>
      <c r="AF6553" t="n">
        <v>0</v>
      </c>
      <c r="AG6553" t="n">
        <v>0</v>
      </c>
      <c r="AH6553" t="n">
        <v>0</v>
      </c>
      <c r="AI6553" t="n">
        <v>0</v>
      </c>
    </row>
    <row r="6554">
      <c r="A6554" t="inlineStr">
        <is>
          <t>12월</t>
        </is>
      </c>
      <c r="B6554" t="inlineStr">
        <is>
          <t>52주차</t>
        </is>
      </c>
      <c r="C6554" t="e">
        <v>#N/A</v>
      </c>
      <c r="K6554" t="n">
        <v>0</v>
      </c>
      <c r="L6554" t="n">
        <v>0</v>
      </c>
      <c r="M6554" t="n">
        <v>0</v>
      </c>
      <c r="AC6554" t="n">
        <v>0</v>
      </c>
      <c r="AD6554" t="n">
        <v>0</v>
      </c>
      <c r="AE6554" t="n">
        <v>0</v>
      </c>
      <c r="AF6554" t="n">
        <v>0</v>
      </c>
      <c r="AG6554" t="n">
        <v>0</v>
      </c>
      <c r="AH6554" t="n">
        <v>0</v>
      </c>
      <c r="AI6554" t="n">
        <v>0</v>
      </c>
    </row>
    <row r="6555">
      <c r="A6555" t="inlineStr">
        <is>
          <t>12월</t>
        </is>
      </c>
      <c r="B6555" t="inlineStr">
        <is>
          <t>52주차</t>
        </is>
      </c>
      <c r="C6555" t="e">
        <v>#N/A</v>
      </c>
      <c r="K6555" t="n">
        <v>0</v>
      </c>
      <c r="L6555" t="n">
        <v>0</v>
      </c>
      <c r="M6555" t="n">
        <v>0</v>
      </c>
      <c r="AC6555" t="n">
        <v>0</v>
      </c>
      <c r="AD6555" t="n">
        <v>0</v>
      </c>
      <c r="AE6555" t="n">
        <v>0</v>
      </c>
      <c r="AF6555" t="n">
        <v>0</v>
      </c>
      <c r="AG6555" t="n">
        <v>0</v>
      </c>
      <c r="AH6555" t="n">
        <v>0</v>
      </c>
      <c r="AI6555" t="n">
        <v>0</v>
      </c>
    </row>
    <row r="6556">
      <c r="A6556" t="inlineStr">
        <is>
          <t>12월</t>
        </is>
      </c>
      <c r="B6556" t="inlineStr">
        <is>
          <t>52주차</t>
        </is>
      </c>
      <c r="C6556" t="e">
        <v>#N/A</v>
      </c>
      <c r="K6556" t="n">
        <v>0</v>
      </c>
      <c r="L6556" t="n">
        <v>0</v>
      </c>
      <c r="M6556" t="n">
        <v>0</v>
      </c>
      <c r="AC6556" t="n">
        <v>0</v>
      </c>
      <c r="AD6556" t="n">
        <v>0</v>
      </c>
      <c r="AE6556" t="n">
        <v>0</v>
      </c>
      <c r="AF6556" t="n">
        <v>0</v>
      </c>
      <c r="AG6556" t="n">
        <v>0</v>
      </c>
      <c r="AH6556" t="n">
        <v>0</v>
      </c>
      <c r="AI6556" t="n">
        <v>0</v>
      </c>
    </row>
    <row r="6557">
      <c r="A6557" t="inlineStr">
        <is>
          <t>12월</t>
        </is>
      </c>
      <c r="B6557" t="inlineStr">
        <is>
          <t>52주차</t>
        </is>
      </c>
      <c r="C6557" t="e">
        <v>#N/A</v>
      </c>
      <c r="K6557" t="n">
        <v>0</v>
      </c>
      <c r="L6557" t="n">
        <v>0</v>
      </c>
      <c r="M6557" t="n">
        <v>0</v>
      </c>
      <c r="AC6557" t="n">
        <v>0</v>
      </c>
      <c r="AD6557" t="n">
        <v>0</v>
      </c>
      <c r="AE6557" t="n">
        <v>0</v>
      </c>
      <c r="AF6557" t="n">
        <v>0</v>
      </c>
      <c r="AG6557" t="n">
        <v>0</v>
      </c>
      <c r="AH6557" t="n">
        <v>0</v>
      </c>
    </row>
    <row r="6558">
      <c r="A6558" t="inlineStr">
        <is>
          <t>12월</t>
        </is>
      </c>
      <c r="B6558" t="inlineStr">
        <is>
          <t>52주차</t>
        </is>
      </c>
      <c r="C6558" t="e">
        <v>#N/A</v>
      </c>
      <c r="K6558" t="n">
        <v>0</v>
      </c>
      <c r="L6558" t="n">
        <v>0</v>
      </c>
      <c r="M6558" t="n">
        <v>0</v>
      </c>
      <c r="AC6558" t="n">
        <v>0</v>
      </c>
      <c r="AD6558" t="n">
        <v>0</v>
      </c>
      <c r="AE6558" t="n">
        <v>0</v>
      </c>
      <c r="AF6558" t="n">
        <v>0</v>
      </c>
      <c r="AG6558" t="n">
        <v>0</v>
      </c>
      <c r="AH6558" t="n">
        <v>0</v>
      </c>
    </row>
    <row r="6559">
      <c r="A6559" t="inlineStr">
        <is>
          <t>12월</t>
        </is>
      </c>
      <c r="B6559" t="inlineStr">
        <is>
          <t>52주차</t>
        </is>
      </c>
      <c r="C6559" t="e">
        <v>#N/A</v>
      </c>
      <c r="K6559" t="n">
        <v>0</v>
      </c>
      <c r="L6559" t="n">
        <v>0</v>
      </c>
      <c r="M6559" t="n">
        <v>0</v>
      </c>
      <c r="AC6559" t="n">
        <v>0</v>
      </c>
      <c r="AD6559" t="n">
        <v>0</v>
      </c>
      <c r="AE6559" t="n">
        <v>0</v>
      </c>
      <c r="AF6559" t="n">
        <v>0</v>
      </c>
      <c r="AG6559" t="n">
        <v>0</v>
      </c>
      <c r="AH6559" t="n">
        <v>0</v>
      </c>
    </row>
    <row r="6560">
      <c r="A6560" t="inlineStr">
        <is>
          <t>12월</t>
        </is>
      </c>
      <c r="B6560" t="inlineStr">
        <is>
          <t>52주차</t>
        </is>
      </c>
      <c r="C6560" t="e">
        <v>#N/A</v>
      </c>
      <c r="K6560" t="n">
        <v>0</v>
      </c>
      <c r="L6560" t="n">
        <v>0</v>
      </c>
      <c r="M6560" t="n">
        <v>0</v>
      </c>
      <c r="AC6560" t="n">
        <v>0</v>
      </c>
      <c r="AD6560" t="n">
        <v>0</v>
      </c>
      <c r="AE6560" t="n">
        <v>0</v>
      </c>
      <c r="AF6560" t="n">
        <v>0</v>
      </c>
      <c r="AG6560" t="n">
        <v>0</v>
      </c>
      <c r="AH6560" t="n">
        <v>0</v>
      </c>
    </row>
    <row r="6561">
      <c r="A6561" t="inlineStr">
        <is>
          <t>12월</t>
        </is>
      </c>
      <c r="B6561" t="inlineStr">
        <is>
          <t>52주차</t>
        </is>
      </c>
      <c r="C6561" t="e">
        <v>#N/A</v>
      </c>
      <c r="K6561" t="n">
        <v>0</v>
      </c>
      <c r="L6561" t="n">
        <v>0</v>
      </c>
      <c r="M6561" t="n">
        <v>0</v>
      </c>
      <c r="AC6561" t="n">
        <v>0</v>
      </c>
      <c r="AD6561" t="n">
        <v>0</v>
      </c>
      <c r="AE6561" t="n">
        <v>0</v>
      </c>
      <c r="AF6561" t="n">
        <v>0</v>
      </c>
      <c r="AG6561" t="n">
        <v>0</v>
      </c>
      <c r="AH6561" t="n">
        <v>0</v>
      </c>
    </row>
    <row r="6562">
      <c r="A6562" t="inlineStr">
        <is>
          <t>12월</t>
        </is>
      </c>
      <c r="B6562" t="inlineStr">
        <is>
          <t>52주차</t>
        </is>
      </c>
      <c r="C6562" t="e">
        <v>#N/A</v>
      </c>
      <c r="K6562" t="n">
        <v>0</v>
      </c>
      <c r="L6562" t="n">
        <v>0</v>
      </c>
      <c r="M6562" t="n">
        <v>0</v>
      </c>
      <c r="AC6562" t="n">
        <v>0</v>
      </c>
      <c r="AD6562" t="n">
        <v>0</v>
      </c>
      <c r="AE6562" t="n">
        <v>0</v>
      </c>
      <c r="AF6562" t="n">
        <v>0</v>
      </c>
      <c r="AG6562" t="n">
        <v>0</v>
      </c>
      <c r="AH6562" t="n">
        <v>0</v>
      </c>
      <c r="AI6562" t="n">
        <v>0</v>
      </c>
    </row>
    <row r="6563">
      <c r="A6563" t="inlineStr">
        <is>
          <t>12월</t>
        </is>
      </c>
      <c r="B6563" t="inlineStr">
        <is>
          <t>52주차</t>
        </is>
      </c>
      <c r="C6563" t="e">
        <v>#N/A</v>
      </c>
      <c r="K6563" t="n">
        <v>0</v>
      </c>
      <c r="L6563" t="n">
        <v>0</v>
      </c>
      <c r="M6563" t="n">
        <v>0</v>
      </c>
      <c r="AC6563" t="n">
        <v>0</v>
      </c>
      <c r="AD6563" t="n">
        <v>0</v>
      </c>
      <c r="AE6563" t="n">
        <v>0</v>
      </c>
      <c r="AF6563" t="n">
        <v>0</v>
      </c>
      <c r="AG6563" t="n">
        <v>0</v>
      </c>
      <c r="AH6563" t="n">
        <v>0</v>
      </c>
    </row>
    <row r="6564">
      <c r="A6564" t="inlineStr">
        <is>
          <t>12월</t>
        </is>
      </c>
      <c r="B6564" t="inlineStr">
        <is>
          <t>52주차</t>
        </is>
      </c>
      <c r="C6564" t="e">
        <v>#N/A</v>
      </c>
      <c r="K6564" t="n">
        <v>0</v>
      </c>
      <c r="L6564" t="n">
        <v>0</v>
      </c>
      <c r="M6564" t="n">
        <v>0</v>
      </c>
      <c r="AC6564" t="n">
        <v>0</v>
      </c>
      <c r="AD6564" t="n">
        <v>0</v>
      </c>
      <c r="AE6564" t="n">
        <v>0</v>
      </c>
      <c r="AF6564" t="n">
        <v>0</v>
      </c>
      <c r="AG6564" t="n">
        <v>0</v>
      </c>
      <c r="AH6564" t="n">
        <v>0</v>
      </c>
    </row>
    <row r="6565">
      <c r="A6565" t="inlineStr">
        <is>
          <t>12월</t>
        </is>
      </c>
      <c r="B6565" t="inlineStr">
        <is>
          <t>52주차</t>
        </is>
      </c>
      <c r="C6565" t="e">
        <v>#N/A</v>
      </c>
      <c r="K6565" t="n">
        <v>0</v>
      </c>
      <c r="L6565" t="n">
        <v>0</v>
      </c>
      <c r="M6565" t="n">
        <v>0</v>
      </c>
      <c r="AC6565" t="n">
        <v>0</v>
      </c>
      <c r="AD6565" t="n">
        <v>0</v>
      </c>
      <c r="AE6565" t="n">
        <v>0</v>
      </c>
      <c r="AF6565" t="n">
        <v>0</v>
      </c>
      <c r="AG6565" t="n">
        <v>0</v>
      </c>
      <c r="AH6565" t="n">
        <v>0</v>
      </c>
      <c r="AI6565" t="n">
        <v>0</v>
      </c>
    </row>
    <row r="6566">
      <c r="A6566" t="inlineStr">
        <is>
          <t>12월</t>
        </is>
      </c>
      <c r="B6566" t="inlineStr">
        <is>
          <t>52주차</t>
        </is>
      </c>
      <c r="C6566" t="e">
        <v>#N/A</v>
      </c>
      <c r="K6566" t="n">
        <v>0</v>
      </c>
      <c r="L6566" t="n">
        <v>0</v>
      </c>
      <c r="M6566" t="n">
        <v>0</v>
      </c>
      <c r="AC6566" t="n">
        <v>0</v>
      </c>
      <c r="AD6566" t="n">
        <v>0</v>
      </c>
      <c r="AE6566" t="n">
        <v>0</v>
      </c>
      <c r="AF6566" t="n">
        <v>0</v>
      </c>
      <c r="AG6566" t="n">
        <v>0</v>
      </c>
      <c r="AH6566" t="n">
        <v>0</v>
      </c>
      <c r="AI6566" t="n">
        <v>0</v>
      </c>
    </row>
    <row r="6567">
      <c r="A6567" t="inlineStr">
        <is>
          <t>12월</t>
        </is>
      </c>
      <c r="B6567" t="inlineStr">
        <is>
          <t>52주차</t>
        </is>
      </c>
      <c r="C6567" t="e">
        <v>#N/A</v>
      </c>
      <c r="K6567" t="n">
        <v>0</v>
      </c>
      <c r="L6567" t="n">
        <v>0</v>
      </c>
      <c r="M6567" t="n">
        <v>0</v>
      </c>
      <c r="AC6567" t="n">
        <v>0</v>
      </c>
      <c r="AD6567" t="n">
        <v>0</v>
      </c>
      <c r="AE6567" t="n">
        <v>0</v>
      </c>
      <c r="AF6567" t="n">
        <v>0</v>
      </c>
      <c r="AG6567" t="n">
        <v>0</v>
      </c>
      <c r="AH6567" t="n">
        <v>0</v>
      </c>
    </row>
    <row r="6568">
      <c r="A6568" t="inlineStr">
        <is>
          <t>12월</t>
        </is>
      </c>
      <c r="B6568" t="inlineStr">
        <is>
          <t>52주차</t>
        </is>
      </c>
      <c r="C6568" t="e">
        <v>#N/A</v>
      </c>
      <c r="K6568" t="n">
        <v>0</v>
      </c>
      <c r="L6568" t="n">
        <v>0</v>
      </c>
      <c r="M6568" t="n">
        <v>0</v>
      </c>
      <c r="AC6568" t="n">
        <v>0</v>
      </c>
      <c r="AD6568" t="n">
        <v>0</v>
      </c>
      <c r="AE6568" t="n">
        <v>0</v>
      </c>
      <c r="AF6568" t="n">
        <v>0</v>
      </c>
      <c r="AG6568" t="n">
        <v>0</v>
      </c>
      <c r="AH6568" t="n">
        <v>0</v>
      </c>
    </row>
    <row r="6569">
      <c r="A6569" t="inlineStr">
        <is>
          <t>12월</t>
        </is>
      </c>
      <c r="B6569" t="inlineStr">
        <is>
          <t>52주차</t>
        </is>
      </c>
      <c r="C6569" t="e">
        <v>#N/A</v>
      </c>
      <c r="K6569" t="n">
        <v>0</v>
      </c>
      <c r="L6569" t="n">
        <v>0</v>
      </c>
      <c r="M6569" t="n">
        <v>0</v>
      </c>
      <c r="AC6569" t="n">
        <v>0</v>
      </c>
      <c r="AD6569" t="n">
        <v>0</v>
      </c>
      <c r="AE6569" t="n">
        <v>0</v>
      </c>
      <c r="AF6569" t="n">
        <v>0</v>
      </c>
      <c r="AG6569" t="n">
        <v>0</v>
      </c>
      <c r="AH6569" t="n">
        <v>0</v>
      </c>
      <c r="AI6569" t="n">
        <v>0</v>
      </c>
    </row>
    <row r="6570">
      <c r="A6570" t="inlineStr">
        <is>
          <t>12월</t>
        </is>
      </c>
      <c r="B6570" t="inlineStr">
        <is>
          <t>52주차</t>
        </is>
      </c>
      <c r="C6570" t="e">
        <v>#N/A</v>
      </c>
      <c r="K6570" t="n">
        <v>0</v>
      </c>
      <c r="L6570" t="n">
        <v>0</v>
      </c>
      <c r="M6570" t="n">
        <v>0</v>
      </c>
      <c r="AC6570" t="n">
        <v>0</v>
      </c>
      <c r="AD6570" t="n">
        <v>0</v>
      </c>
      <c r="AE6570" t="n">
        <v>0</v>
      </c>
      <c r="AF6570" t="n">
        <v>0</v>
      </c>
      <c r="AG6570" t="n">
        <v>0</v>
      </c>
      <c r="AH6570" t="n">
        <v>0</v>
      </c>
      <c r="AI6570" t="n">
        <v>0</v>
      </c>
    </row>
    <row r="6571">
      <c r="A6571" t="inlineStr">
        <is>
          <t>12월</t>
        </is>
      </c>
      <c r="B6571" t="inlineStr">
        <is>
          <t>52주차</t>
        </is>
      </c>
      <c r="C6571" t="e">
        <v>#N/A</v>
      </c>
      <c r="K6571" t="n">
        <v>0</v>
      </c>
      <c r="L6571" t="n">
        <v>0</v>
      </c>
      <c r="M6571" t="n">
        <v>0</v>
      </c>
      <c r="AC6571" t="n">
        <v>0</v>
      </c>
      <c r="AD6571" t="n">
        <v>0</v>
      </c>
      <c r="AE6571" t="n">
        <v>0</v>
      </c>
      <c r="AF6571" t="n">
        <v>0</v>
      </c>
      <c r="AG6571" t="n">
        <v>0</v>
      </c>
      <c r="AH6571" t="n">
        <v>0</v>
      </c>
      <c r="AI6571" t="n">
        <v>0</v>
      </c>
    </row>
    <row r="6572">
      <c r="A6572" t="inlineStr">
        <is>
          <t>12월</t>
        </is>
      </c>
      <c r="B6572" t="inlineStr">
        <is>
          <t>52주차</t>
        </is>
      </c>
      <c r="C6572" t="e">
        <v>#N/A</v>
      </c>
      <c r="K6572" t="n">
        <v>0</v>
      </c>
      <c r="L6572" t="n">
        <v>0</v>
      </c>
      <c r="M6572" t="n">
        <v>0</v>
      </c>
      <c r="AC6572" t="n">
        <v>0</v>
      </c>
      <c r="AD6572" t="n">
        <v>0</v>
      </c>
      <c r="AE6572" t="n">
        <v>0</v>
      </c>
      <c r="AF6572" t="n">
        <v>0</v>
      </c>
      <c r="AG6572" t="n">
        <v>0</v>
      </c>
      <c r="AH6572" t="n">
        <v>0</v>
      </c>
      <c r="AI6572" t="n">
        <v>0</v>
      </c>
    </row>
    <row r="6573">
      <c r="A6573" t="inlineStr">
        <is>
          <t>12월</t>
        </is>
      </c>
      <c r="B6573" t="inlineStr">
        <is>
          <t>52주차</t>
        </is>
      </c>
      <c r="C6573" t="e">
        <v>#N/A</v>
      </c>
      <c r="K6573" t="n">
        <v>0</v>
      </c>
      <c r="L6573" t="n">
        <v>0</v>
      </c>
      <c r="M6573" t="n">
        <v>0</v>
      </c>
      <c r="AC6573" t="n">
        <v>0</v>
      </c>
      <c r="AD6573" t="n">
        <v>0</v>
      </c>
      <c r="AE6573" t="n">
        <v>0</v>
      </c>
      <c r="AF6573" t="n">
        <v>0</v>
      </c>
      <c r="AG6573" t="n">
        <v>0</v>
      </c>
      <c r="AH6573" t="n">
        <v>0</v>
      </c>
      <c r="AI6573" t="n">
        <v>0</v>
      </c>
    </row>
    <row r="6574">
      <c r="A6574" t="inlineStr">
        <is>
          <t>12월</t>
        </is>
      </c>
      <c r="B6574" t="inlineStr">
        <is>
          <t>52주차</t>
        </is>
      </c>
      <c r="C6574" t="e">
        <v>#N/A</v>
      </c>
      <c r="K6574" t="n">
        <v>0</v>
      </c>
      <c r="L6574" t="n">
        <v>0</v>
      </c>
      <c r="M6574" t="n">
        <v>0</v>
      </c>
      <c r="AC6574" t="n">
        <v>0</v>
      </c>
      <c r="AD6574" t="n">
        <v>0</v>
      </c>
      <c r="AE6574" t="n">
        <v>0</v>
      </c>
      <c r="AF6574" t="n">
        <v>0</v>
      </c>
      <c r="AG6574" t="n">
        <v>0</v>
      </c>
      <c r="AH6574" t="n">
        <v>0</v>
      </c>
      <c r="AI6574" t="n">
        <v>0</v>
      </c>
    </row>
    <row r="6575">
      <c r="A6575" t="inlineStr">
        <is>
          <t>12월</t>
        </is>
      </c>
      <c r="B6575" t="inlineStr">
        <is>
          <t>52주차</t>
        </is>
      </c>
      <c r="C6575" t="e">
        <v>#N/A</v>
      </c>
      <c r="K6575" t="n">
        <v>0</v>
      </c>
      <c r="L6575" t="n">
        <v>0</v>
      </c>
      <c r="M6575" t="n">
        <v>0</v>
      </c>
      <c r="AC6575" t="n">
        <v>0</v>
      </c>
      <c r="AD6575" t="n">
        <v>0</v>
      </c>
      <c r="AE6575" t="n">
        <v>0</v>
      </c>
      <c r="AF6575" t="n">
        <v>0</v>
      </c>
      <c r="AG6575" t="n">
        <v>0</v>
      </c>
      <c r="AH6575" t="n">
        <v>0</v>
      </c>
    </row>
    <row r="6576">
      <c r="A6576" t="inlineStr">
        <is>
          <t>12월</t>
        </is>
      </c>
      <c r="B6576" t="inlineStr">
        <is>
          <t>52주차</t>
        </is>
      </c>
      <c r="C6576" t="e">
        <v>#N/A</v>
      </c>
      <c r="K6576" t="n">
        <v>0</v>
      </c>
      <c r="L6576" t="n">
        <v>0</v>
      </c>
      <c r="M6576" t="n">
        <v>0</v>
      </c>
      <c r="AC6576" t="n">
        <v>0</v>
      </c>
      <c r="AD6576" t="n">
        <v>0</v>
      </c>
      <c r="AE6576" t="n">
        <v>0</v>
      </c>
      <c r="AF6576" t="n">
        <v>0</v>
      </c>
      <c r="AG6576" t="n">
        <v>0</v>
      </c>
      <c r="AH6576" t="n">
        <v>0</v>
      </c>
    </row>
    <row r="6577">
      <c r="A6577" t="inlineStr">
        <is>
          <t>12월</t>
        </is>
      </c>
      <c r="B6577" t="inlineStr">
        <is>
          <t>52주차</t>
        </is>
      </c>
      <c r="C6577" t="e">
        <v>#N/A</v>
      </c>
      <c r="K6577" t="n">
        <v>0</v>
      </c>
      <c r="L6577" t="n">
        <v>0</v>
      </c>
      <c r="M6577" t="n">
        <v>0</v>
      </c>
      <c r="AC6577" t="n">
        <v>0</v>
      </c>
      <c r="AD6577" t="n">
        <v>0</v>
      </c>
      <c r="AE6577" t="n">
        <v>0</v>
      </c>
      <c r="AF6577" t="n">
        <v>0</v>
      </c>
      <c r="AG6577" t="n">
        <v>0</v>
      </c>
      <c r="AH6577" t="n">
        <v>0</v>
      </c>
      <c r="AI6577" t="n">
        <v>0</v>
      </c>
    </row>
    <row r="6578">
      <c r="A6578" t="inlineStr">
        <is>
          <t>12월</t>
        </is>
      </c>
      <c r="B6578" t="inlineStr">
        <is>
          <t>52주차</t>
        </is>
      </c>
      <c r="C6578" t="e">
        <v>#N/A</v>
      </c>
      <c r="K6578" t="n">
        <v>0</v>
      </c>
      <c r="L6578" t="n">
        <v>0</v>
      </c>
      <c r="M6578" t="n">
        <v>0</v>
      </c>
      <c r="AC6578" t="n">
        <v>0</v>
      </c>
      <c r="AD6578" t="n">
        <v>0</v>
      </c>
      <c r="AE6578" t="n">
        <v>0</v>
      </c>
      <c r="AF6578" t="n">
        <v>0</v>
      </c>
      <c r="AG6578" t="n">
        <v>0</v>
      </c>
      <c r="AH6578" t="n">
        <v>0</v>
      </c>
      <c r="AI6578" t="n">
        <v>0</v>
      </c>
    </row>
    <row r="6579">
      <c r="A6579" t="inlineStr">
        <is>
          <t>12월</t>
        </is>
      </c>
      <c r="B6579" t="inlineStr">
        <is>
          <t>52주차</t>
        </is>
      </c>
      <c r="C6579" t="e">
        <v>#N/A</v>
      </c>
      <c r="K6579" t="n">
        <v>0</v>
      </c>
      <c r="L6579" t="n">
        <v>0</v>
      </c>
      <c r="M6579" t="n">
        <v>0</v>
      </c>
      <c r="AC6579" t="n">
        <v>0</v>
      </c>
      <c r="AD6579" t="n">
        <v>0</v>
      </c>
      <c r="AE6579" t="n">
        <v>0</v>
      </c>
      <c r="AF6579" t="n">
        <v>0</v>
      </c>
      <c r="AG6579" t="n">
        <v>0</v>
      </c>
      <c r="AH6579" t="n">
        <v>0</v>
      </c>
      <c r="AI6579" t="n">
        <v>0</v>
      </c>
    </row>
    <row r="6580">
      <c r="A6580" t="inlineStr">
        <is>
          <t>12월</t>
        </is>
      </c>
      <c r="B6580" t="inlineStr">
        <is>
          <t>52주차</t>
        </is>
      </c>
      <c r="C6580" t="e">
        <v>#N/A</v>
      </c>
      <c r="K6580" t="n">
        <v>0</v>
      </c>
      <c r="L6580" t="n">
        <v>0</v>
      </c>
      <c r="M6580" t="n">
        <v>0</v>
      </c>
      <c r="AC6580" t="n">
        <v>0</v>
      </c>
      <c r="AD6580" t="n">
        <v>0</v>
      </c>
      <c r="AE6580" t="n">
        <v>0</v>
      </c>
      <c r="AF6580" t="n">
        <v>0</v>
      </c>
      <c r="AG6580" t="n">
        <v>0</v>
      </c>
      <c r="AH6580" t="n">
        <v>0</v>
      </c>
      <c r="AI6580" t="n">
        <v>0</v>
      </c>
    </row>
    <row r="6581">
      <c r="A6581" t="inlineStr">
        <is>
          <t>12월</t>
        </is>
      </c>
      <c r="B6581" t="inlineStr">
        <is>
          <t>52주차</t>
        </is>
      </c>
      <c r="C6581" t="e">
        <v>#N/A</v>
      </c>
      <c r="K6581" t="n">
        <v>0</v>
      </c>
      <c r="L6581" t="n">
        <v>0</v>
      </c>
      <c r="M6581" t="n">
        <v>0</v>
      </c>
      <c r="AC6581" t="n">
        <v>0</v>
      </c>
      <c r="AD6581" t="n">
        <v>0</v>
      </c>
      <c r="AE6581" t="n">
        <v>0</v>
      </c>
      <c r="AF6581" t="n">
        <v>0</v>
      </c>
      <c r="AG6581" t="n">
        <v>0</v>
      </c>
      <c r="AH6581" t="n">
        <v>0</v>
      </c>
      <c r="AI6581" t="n">
        <v>0</v>
      </c>
    </row>
    <row r="6582">
      <c r="A6582" t="inlineStr">
        <is>
          <t>12월</t>
        </is>
      </c>
      <c r="B6582" t="inlineStr">
        <is>
          <t>52주차</t>
        </is>
      </c>
      <c r="C6582" t="e">
        <v>#N/A</v>
      </c>
      <c r="K6582" t="n">
        <v>0</v>
      </c>
      <c r="L6582" t="n">
        <v>0</v>
      </c>
      <c r="M6582" t="n">
        <v>0</v>
      </c>
      <c r="AC6582" t="n">
        <v>0</v>
      </c>
      <c r="AD6582" t="n">
        <v>0</v>
      </c>
      <c r="AE6582" t="n">
        <v>0</v>
      </c>
      <c r="AF6582" t="n">
        <v>0</v>
      </c>
      <c r="AG6582" t="n">
        <v>0</v>
      </c>
      <c r="AH6582" t="n">
        <v>0</v>
      </c>
      <c r="AI6582" t="n">
        <v>0</v>
      </c>
    </row>
    <row r="6583">
      <c r="A6583" t="inlineStr">
        <is>
          <t>12월</t>
        </is>
      </c>
      <c r="B6583" t="inlineStr">
        <is>
          <t>52주차</t>
        </is>
      </c>
      <c r="C6583" t="e">
        <v>#N/A</v>
      </c>
      <c r="K6583" t="n">
        <v>0</v>
      </c>
      <c r="L6583" t="n">
        <v>0</v>
      </c>
      <c r="M6583" t="n">
        <v>0</v>
      </c>
      <c r="AC6583" t="n">
        <v>0</v>
      </c>
      <c r="AD6583" t="n">
        <v>0</v>
      </c>
      <c r="AE6583" t="n">
        <v>0</v>
      </c>
      <c r="AF6583" t="n">
        <v>0</v>
      </c>
      <c r="AG6583" t="n">
        <v>0</v>
      </c>
      <c r="AH6583" t="n">
        <v>0</v>
      </c>
      <c r="AI6583" t="n">
        <v>0</v>
      </c>
    </row>
    <row r="6584">
      <c r="A6584" t="inlineStr">
        <is>
          <t>12월</t>
        </is>
      </c>
      <c r="B6584" t="inlineStr">
        <is>
          <t>52주차</t>
        </is>
      </c>
      <c r="C6584" t="e">
        <v>#N/A</v>
      </c>
      <c r="K6584" t="n">
        <v>0</v>
      </c>
      <c r="L6584" t="n">
        <v>0</v>
      </c>
      <c r="M6584" t="n">
        <v>0</v>
      </c>
      <c r="AC6584" t="n">
        <v>0</v>
      </c>
      <c r="AD6584" t="n">
        <v>0</v>
      </c>
      <c r="AE6584" t="n">
        <v>0</v>
      </c>
      <c r="AF6584" t="n">
        <v>0</v>
      </c>
      <c r="AG6584" t="n">
        <v>0</v>
      </c>
      <c r="AH6584" t="n">
        <v>0</v>
      </c>
      <c r="AI6584" t="n">
        <v>0</v>
      </c>
    </row>
    <row r="6585">
      <c r="A6585" t="inlineStr">
        <is>
          <t>12월</t>
        </is>
      </c>
      <c r="B6585" t="inlineStr">
        <is>
          <t>52주차</t>
        </is>
      </c>
      <c r="C6585" t="e">
        <v>#N/A</v>
      </c>
      <c r="K6585" t="n">
        <v>0</v>
      </c>
      <c r="L6585" t="n">
        <v>0</v>
      </c>
      <c r="M6585" t="n">
        <v>0</v>
      </c>
      <c r="AC6585" t="n">
        <v>0</v>
      </c>
      <c r="AD6585" t="n">
        <v>0</v>
      </c>
      <c r="AE6585" t="n">
        <v>0</v>
      </c>
      <c r="AF6585" t="n">
        <v>0</v>
      </c>
      <c r="AG6585" t="n">
        <v>0</v>
      </c>
      <c r="AH6585" t="n">
        <v>0</v>
      </c>
      <c r="AI6585" t="n">
        <v>0</v>
      </c>
    </row>
    <row r="6586">
      <c r="A6586" t="inlineStr">
        <is>
          <t>12월</t>
        </is>
      </c>
      <c r="B6586" t="inlineStr">
        <is>
          <t>52주차</t>
        </is>
      </c>
      <c r="C6586" t="e">
        <v>#N/A</v>
      </c>
      <c r="K6586" t="n">
        <v>0</v>
      </c>
      <c r="L6586" t="n">
        <v>0</v>
      </c>
      <c r="M6586" t="n">
        <v>0</v>
      </c>
      <c r="AC6586" t="n">
        <v>0</v>
      </c>
      <c r="AD6586" t="n">
        <v>0</v>
      </c>
      <c r="AE6586" t="n">
        <v>0</v>
      </c>
      <c r="AF6586" t="n">
        <v>0</v>
      </c>
      <c r="AG6586" t="n">
        <v>0</v>
      </c>
      <c r="AH6586" t="n">
        <v>0</v>
      </c>
    </row>
    <row r="6587">
      <c r="A6587" t="inlineStr">
        <is>
          <t>12월</t>
        </is>
      </c>
      <c r="B6587" t="inlineStr">
        <is>
          <t>52주차</t>
        </is>
      </c>
      <c r="C6587" t="e">
        <v>#N/A</v>
      </c>
      <c r="K6587" t="n">
        <v>0</v>
      </c>
      <c r="L6587" t="n">
        <v>0</v>
      </c>
      <c r="M6587" t="n">
        <v>0</v>
      </c>
      <c r="AC6587" t="n">
        <v>0</v>
      </c>
      <c r="AD6587" t="n">
        <v>0</v>
      </c>
      <c r="AE6587" t="n">
        <v>0</v>
      </c>
      <c r="AF6587" t="n">
        <v>0</v>
      </c>
      <c r="AG6587" t="n">
        <v>0</v>
      </c>
      <c r="AH6587" t="n">
        <v>0</v>
      </c>
    </row>
    <row r="6588">
      <c r="A6588" t="inlineStr">
        <is>
          <t>12월</t>
        </is>
      </c>
      <c r="B6588" t="inlineStr">
        <is>
          <t>52주차</t>
        </is>
      </c>
      <c r="C6588" t="e">
        <v>#N/A</v>
      </c>
      <c r="K6588" t="n">
        <v>0</v>
      </c>
      <c r="L6588" t="n">
        <v>0</v>
      </c>
      <c r="M6588" t="n">
        <v>0</v>
      </c>
      <c r="AC6588" t="n">
        <v>0</v>
      </c>
      <c r="AD6588" t="n">
        <v>0</v>
      </c>
      <c r="AE6588" t="n">
        <v>0</v>
      </c>
      <c r="AF6588" t="n">
        <v>0</v>
      </c>
      <c r="AG6588" t="n">
        <v>0</v>
      </c>
      <c r="AH6588" t="n">
        <v>0</v>
      </c>
    </row>
    <row r="6589">
      <c r="A6589" t="inlineStr">
        <is>
          <t>12월</t>
        </is>
      </c>
      <c r="B6589" t="inlineStr">
        <is>
          <t>52주차</t>
        </is>
      </c>
      <c r="C6589" t="e">
        <v>#N/A</v>
      </c>
      <c r="K6589" t="n">
        <v>0</v>
      </c>
      <c r="L6589" t="n">
        <v>0</v>
      </c>
      <c r="M6589" t="n">
        <v>0</v>
      </c>
      <c r="AC6589" t="n">
        <v>0</v>
      </c>
      <c r="AD6589" t="n">
        <v>0</v>
      </c>
      <c r="AE6589" t="n">
        <v>0</v>
      </c>
      <c r="AF6589" t="n">
        <v>0</v>
      </c>
      <c r="AG6589" t="n">
        <v>0</v>
      </c>
      <c r="AH6589" t="n">
        <v>0</v>
      </c>
      <c r="AI6589" t="n">
        <v>0</v>
      </c>
    </row>
    <row r="6590">
      <c r="A6590" t="inlineStr">
        <is>
          <t>12월</t>
        </is>
      </c>
      <c r="B6590" t="inlineStr">
        <is>
          <t>52주차</t>
        </is>
      </c>
      <c r="C6590" t="e">
        <v>#N/A</v>
      </c>
      <c r="K6590" t="n">
        <v>0</v>
      </c>
      <c r="L6590" t="n">
        <v>0</v>
      </c>
      <c r="M6590" t="n">
        <v>0</v>
      </c>
      <c r="AC6590" t="n">
        <v>0</v>
      </c>
      <c r="AD6590" t="n">
        <v>0</v>
      </c>
      <c r="AE6590" t="n">
        <v>0</v>
      </c>
      <c r="AF6590" t="n">
        <v>0</v>
      </c>
      <c r="AG6590" t="n">
        <v>0</v>
      </c>
      <c r="AH6590" t="n">
        <v>0</v>
      </c>
      <c r="AI6590" t="n">
        <v>0</v>
      </c>
    </row>
    <row r="6591">
      <c r="A6591" t="inlineStr">
        <is>
          <t>12월</t>
        </is>
      </c>
      <c r="B6591" t="inlineStr">
        <is>
          <t>52주차</t>
        </is>
      </c>
      <c r="C6591" t="e">
        <v>#N/A</v>
      </c>
      <c r="K6591" t="n">
        <v>0</v>
      </c>
      <c r="L6591" t="n">
        <v>0</v>
      </c>
      <c r="M6591" t="n">
        <v>0</v>
      </c>
      <c r="AC6591" t="n">
        <v>0</v>
      </c>
      <c r="AD6591" t="n">
        <v>0</v>
      </c>
      <c r="AE6591" t="n">
        <v>0</v>
      </c>
      <c r="AF6591" t="n">
        <v>0</v>
      </c>
      <c r="AG6591" t="n">
        <v>0</v>
      </c>
      <c r="AH6591" t="n">
        <v>0</v>
      </c>
    </row>
    <row r="6592">
      <c r="A6592" t="inlineStr">
        <is>
          <t>12월</t>
        </is>
      </c>
      <c r="B6592" t="inlineStr">
        <is>
          <t>52주차</t>
        </is>
      </c>
      <c r="C6592" t="e">
        <v>#N/A</v>
      </c>
      <c r="K6592" t="n">
        <v>0</v>
      </c>
      <c r="L6592" t="n">
        <v>0</v>
      </c>
      <c r="M6592" t="n">
        <v>0</v>
      </c>
      <c r="AC6592" t="n">
        <v>0</v>
      </c>
      <c r="AD6592" t="n">
        <v>0</v>
      </c>
      <c r="AE6592" t="n">
        <v>0</v>
      </c>
      <c r="AF6592" t="n">
        <v>0</v>
      </c>
      <c r="AG6592" t="n">
        <v>0</v>
      </c>
      <c r="AH6592" t="n">
        <v>0</v>
      </c>
      <c r="AI6592" t="n">
        <v>0</v>
      </c>
    </row>
    <row r="6593">
      <c r="A6593" t="inlineStr">
        <is>
          <t>12월</t>
        </is>
      </c>
      <c r="B6593" t="inlineStr">
        <is>
          <t>52주차</t>
        </is>
      </c>
      <c r="C6593" t="e">
        <v>#N/A</v>
      </c>
      <c r="K6593" t="n">
        <v>0</v>
      </c>
      <c r="L6593" t="n">
        <v>0</v>
      </c>
      <c r="M6593" t="n">
        <v>0</v>
      </c>
      <c r="AC6593" t="n">
        <v>0</v>
      </c>
      <c r="AD6593" t="n">
        <v>0</v>
      </c>
      <c r="AE6593" t="n">
        <v>0</v>
      </c>
      <c r="AF6593" t="n">
        <v>0</v>
      </c>
      <c r="AG6593" t="n">
        <v>0</v>
      </c>
      <c r="AH6593" t="n">
        <v>0</v>
      </c>
      <c r="AI6593" t="n">
        <v>0</v>
      </c>
    </row>
    <row r="6594">
      <c r="A6594" t="inlineStr">
        <is>
          <t>12월</t>
        </is>
      </c>
      <c r="B6594" t="inlineStr">
        <is>
          <t>52주차</t>
        </is>
      </c>
      <c r="C6594" t="e">
        <v>#N/A</v>
      </c>
      <c r="K6594" t="n">
        <v>0</v>
      </c>
      <c r="L6594" t="n">
        <v>0</v>
      </c>
      <c r="M6594" t="n">
        <v>0</v>
      </c>
      <c r="AC6594" t="n">
        <v>0</v>
      </c>
      <c r="AD6594" t="n">
        <v>0</v>
      </c>
      <c r="AE6594" t="n">
        <v>0</v>
      </c>
      <c r="AF6594" t="n">
        <v>0</v>
      </c>
      <c r="AG6594" t="n">
        <v>0</v>
      </c>
      <c r="AH6594" t="n">
        <v>0</v>
      </c>
    </row>
    <row r="6595">
      <c r="A6595" t="inlineStr">
        <is>
          <t>12월</t>
        </is>
      </c>
      <c r="B6595" t="inlineStr">
        <is>
          <t>52주차</t>
        </is>
      </c>
      <c r="C6595" t="e">
        <v>#N/A</v>
      </c>
      <c r="K6595" t="n">
        <v>0</v>
      </c>
      <c r="L6595" t="n">
        <v>0</v>
      </c>
      <c r="M6595" t="n">
        <v>0</v>
      </c>
      <c r="AC6595" t="n">
        <v>0</v>
      </c>
      <c r="AD6595" t="n">
        <v>0</v>
      </c>
      <c r="AE6595" t="n">
        <v>0</v>
      </c>
      <c r="AF6595" t="n">
        <v>0</v>
      </c>
      <c r="AG6595" t="n">
        <v>0</v>
      </c>
      <c r="AH6595" t="n">
        <v>0</v>
      </c>
      <c r="AI6595" t="n">
        <v>0</v>
      </c>
    </row>
    <row r="6596">
      <c r="A6596" t="inlineStr">
        <is>
          <t>12월</t>
        </is>
      </c>
      <c r="B6596" t="inlineStr">
        <is>
          <t>52주차</t>
        </is>
      </c>
      <c r="C6596" t="e">
        <v>#N/A</v>
      </c>
      <c r="K6596" t="n">
        <v>0</v>
      </c>
      <c r="L6596" t="n">
        <v>0</v>
      </c>
      <c r="M6596" t="n">
        <v>0</v>
      </c>
      <c r="AC6596" t="n">
        <v>0</v>
      </c>
      <c r="AD6596" t="n">
        <v>0</v>
      </c>
      <c r="AE6596" t="n">
        <v>0</v>
      </c>
      <c r="AF6596" t="n">
        <v>0</v>
      </c>
      <c r="AG6596" t="n">
        <v>0</v>
      </c>
      <c r="AH6596" t="n">
        <v>0</v>
      </c>
    </row>
    <row r="6597">
      <c r="A6597" t="inlineStr">
        <is>
          <t>12월</t>
        </is>
      </c>
      <c r="B6597" t="inlineStr">
        <is>
          <t>52주차</t>
        </is>
      </c>
      <c r="C6597" t="e">
        <v>#N/A</v>
      </c>
      <c r="K6597" t="n">
        <v>0</v>
      </c>
      <c r="L6597" t="n">
        <v>0</v>
      </c>
      <c r="M6597" t="n">
        <v>0</v>
      </c>
      <c r="AC6597" t="n">
        <v>0</v>
      </c>
      <c r="AD6597" t="n">
        <v>0</v>
      </c>
      <c r="AE6597" t="n">
        <v>0</v>
      </c>
      <c r="AF6597" t="n">
        <v>0</v>
      </c>
      <c r="AG6597" t="n">
        <v>0</v>
      </c>
      <c r="AH6597" t="n">
        <v>0</v>
      </c>
    </row>
    <row r="6598">
      <c r="A6598" t="inlineStr">
        <is>
          <t>12월</t>
        </is>
      </c>
      <c r="B6598" t="inlineStr">
        <is>
          <t>52주차</t>
        </is>
      </c>
      <c r="C6598" t="e">
        <v>#N/A</v>
      </c>
      <c r="K6598" t="n">
        <v>0</v>
      </c>
      <c r="L6598" t="n">
        <v>0</v>
      </c>
      <c r="M6598" t="n">
        <v>0</v>
      </c>
      <c r="AC6598" t="n">
        <v>0</v>
      </c>
      <c r="AD6598" t="n">
        <v>0</v>
      </c>
      <c r="AE6598" t="n">
        <v>0</v>
      </c>
      <c r="AF6598" t="n">
        <v>0</v>
      </c>
      <c r="AG6598" t="n">
        <v>0</v>
      </c>
      <c r="AH6598" t="n">
        <v>0</v>
      </c>
      <c r="AI6598" t="n">
        <v>0</v>
      </c>
    </row>
    <row r="6599">
      <c r="A6599" t="inlineStr">
        <is>
          <t>12월</t>
        </is>
      </c>
      <c r="B6599" t="inlineStr">
        <is>
          <t>52주차</t>
        </is>
      </c>
      <c r="C6599" t="e">
        <v>#N/A</v>
      </c>
      <c r="K6599" t="n">
        <v>0</v>
      </c>
      <c r="L6599" t="n">
        <v>0</v>
      </c>
      <c r="M6599" t="n">
        <v>0</v>
      </c>
      <c r="AC6599" t="n">
        <v>0</v>
      </c>
      <c r="AD6599" t="n">
        <v>0</v>
      </c>
      <c r="AE6599" t="n">
        <v>0</v>
      </c>
      <c r="AF6599" t="n">
        <v>0</v>
      </c>
      <c r="AG6599" t="n">
        <v>0</v>
      </c>
      <c r="AH6599" t="n">
        <v>0</v>
      </c>
      <c r="AI6599" t="n">
        <v>0</v>
      </c>
    </row>
    <row r="6600">
      <c r="A6600" t="inlineStr">
        <is>
          <t>12월</t>
        </is>
      </c>
      <c r="B6600" t="inlineStr">
        <is>
          <t>52주차</t>
        </is>
      </c>
      <c r="C6600" t="e">
        <v>#N/A</v>
      </c>
      <c r="K6600" t="n">
        <v>0</v>
      </c>
      <c r="L6600" t="n">
        <v>0</v>
      </c>
      <c r="M6600" t="n">
        <v>0</v>
      </c>
      <c r="AC6600" t="n">
        <v>0</v>
      </c>
      <c r="AD6600" t="n">
        <v>0</v>
      </c>
      <c r="AE6600" t="n">
        <v>0</v>
      </c>
      <c r="AF6600" t="n">
        <v>0</v>
      </c>
      <c r="AG6600" t="n">
        <v>0</v>
      </c>
      <c r="AH6600" t="n">
        <v>0</v>
      </c>
      <c r="AI6600" t="n">
        <v>0</v>
      </c>
    </row>
    <row r="6601">
      <c r="A6601" t="inlineStr">
        <is>
          <t>12월</t>
        </is>
      </c>
      <c r="B6601" t="inlineStr">
        <is>
          <t>52주차</t>
        </is>
      </c>
      <c r="C6601" t="e">
        <v>#N/A</v>
      </c>
      <c r="K6601" t="n">
        <v>0</v>
      </c>
      <c r="L6601" t="n">
        <v>0</v>
      </c>
      <c r="M6601" t="n">
        <v>0</v>
      </c>
      <c r="AC6601" t="n">
        <v>0</v>
      </c>
      <c r="AD6601" t="n">
        <v>0</v>
      </c>
      <c r="AE6601" t="n">
        <v>0</v>
      </c>
      <c r="AF6601" t="n">
        <v>0</v>
      </c>
      <c r="AG6601" t="n">
        <v>0</v>
      </c>
      <c r="AH6601" t="n">
        <v>0</v>
      </c>
      <c r="AI6601" t="n">
        <v>0</v>
      </c>
    </row>
    <row r="6602">
      <c r="A6602" t="inlineStr">
        <is>
          <t>12월</t>
        </is>
      </c>
      <c r="B6602" t="inlineStr">
        <is>
          <t>52주차</t>
        </is>
      </c>
      <c r="C6602" t="e">
        <v>#N/A</v>
      </c>
      <c r="K6602" t="n">
        <v>0</v>
      </c>
      <c r="L6602" t="n">
        <v>0</v>
      </c>
      <c r="M6602" t="n">
        <v>0</v>
      </c>
      <c r="AC6602" t="n">
        <v>0</v>
      </c>
      <c r="AD6602" t="n">
        <v>0</v>
      </c>
      <c r="AE6602" t="n">
        <v>0</v>
      </c>
      <c r="AF6602" t="n">
        <v>0</v>
      </c>
      <c r="AG6602" t="n">
        <v>0</v>
      </c>
      <c r="AH6602" t="n">
        <v>0</v>
      </c>
    </row>
    <row r="6603">
      <c r="A6603" t="inlineStr">
        <is>
          <t>12월</t>
        </is>
      </c>
      <c r="B6603" t="inlineStr">
        <is>
          <t>52주차</t>
        </is>
      </c>
      <c r="C6603" t="e">
        <v>#N/A</v>
      </c>
      <c r="K6603" t="n">
        <v>0</v>
      </c>
      <c r="L6603" t="n">
        <v>0</v>
      </c>
      <c r="M6603" t="n">
        <v>0</v>
      </c>
      <c r="AC6603" t="n">
        <v>0</v>
      </c>
      <c r="AD6603" t="n">
        <v>0</v>
      </c>
      <c r="AE6603" t="n">
        <v>0</v>
      </c>
      <c r="AF6603" t="n">
        <v>0</v>
      </c>
      <c r="AG6603" t="n">
        <v>0</v>
      </c>
      <c r="AH6603" t="n">
        <v>0</v>
      </c>
    </row>
    <row r="6604">
      <c r="A6604" t="inlineStr">
        <is>
          <t>12월</t>
        </is>
      </c>
      <c r="B6604" t="inlineStr">
        <is>
          <t>52주차</t>
        </is>
      </c>
      <c r="C6604" t="e">
        <v>#N/A</v>
      </c>
      <c r="K6604" t="n">
        <v>0</v>
      </c>
      <c r="L6604" t="n">
        <v>0</v>
      </c>
      <c r="M6604" t="n">
        <v>0</v>
      </c>
      <c r="AC6604" t="n">
        <v>0</v>
      </c>
      <c r="AD6604" t="n">
        <v>0</v>
      </c>
      <c r="AE6604" t="n">
        <v>0</v>
      </c>
      <c r="AF6604" t="n">
        <v>0</v>
      </c>
      <c r="AG6604" t="n">
        <v>0</v>
      </c>
      <c r="AH6604" t="n">
        <v>0</v>
      </c>
      <c r="AI6604" t="n">
        <v>0</v>
      </c>
    </row>
    <row r="6605">
      <c r="A6605" t="inlineStr">
        <is>
          <t>12월</t>
        </is>
      </c>
      <c r="B6605" t="inlineStr">
        <is>
          <t>52주차</t>
        </is>
      </c>
      <c r="C6605" t="e">
        <v>#N/A</v>
      </c>
      <c r="K6605" t="n">
        <v>0</v>
      </c>
      <c r="L6605" t="n">
        <v>0</v>
      </c>
      <c r="M6605" t="n">
        <v>0</v>
      </c>
      <c r="AC6605" t="n">
        <v>0</v>
      </c>
      <c r="AD6605" t="n">
        <v>0</v>
      </c>
      <c r="AE6605" t="n">
        <v>0</v>
      </c>
      <c r="AF6605" t="n">
        <v>0</v>
      </c>
      <c r="AG6605" t="n">
        <v>0</v>
      </c>
      <c r="AH6605" t="n">
        <v>0</v>
      </c>
    </row>
    <row r="6606">
      <c r="A6606" t="inlineStr">
        <is>
          <t>12월</t>
        </is>
      </c>
      <c r="B6606" t="inlineStr">
        <is>
          <t>52주차</t>
        </is>
      </c>
      <c r="C6606" t="e">
        <v>#N/A</v>
      </c>
      <c r="K6606" t="n">
        <v>0</v>
      </c>
      <c r="L6606" t="n">
        <v>0</v>
      </c>
      <c r="M6606" t="n">
        <v>0</v>
      </c>
      <c r="AC6606" t="n">
        <v>0</v>
      </c>
      <c r="AD6606" t="n">
        <v>0</v>
      </c>
      <c r="AE6606" t="n">
        <v>0</v>
      </c>
      <c r="AF6606" t="n">
        <v>0</v>
      </c>
      <c r="AG6606" t="n">
        <v>0</v>
      </c>
      <c r="AH6606" t="n">
        <v>0</v>
      </c>
      <c r="AI6606" t="n">
        <v>0</v>
      </c>
    </row>
    <row r="6607">
      <c r="A6607" t="inlineStr">
        <is>
          <t>12월</t>
        </is>
      </c>
      <c r="B6607" t="inlineStr">
        <is>
          <t>52주차</t>
        </is>
      </c>
      <c r="C6607" t="e">
        <v>#N/A</v>
      </c>
      <c r="K6607" t="n">
        <v>0</v>
      </c>
      <c r="L6607" t="n">
        <v>0</v>
      </c>
      <c r="M6607" t="n">
        <v>0</v>
      </c>
      <c r="AC6607" t="n">
        <v>0</v>
      </c>
      <c r="AD6607" t="n">
        <v>0</v>
      </c>
      <c r="AE6607" t="n">
        <v>0</v>
      </c>
      <c r="AF6607" t="n">
        <v>0</v>
      </c>
      <c r="AG6607" t="n">
        <v>0</v>
      </c>
      <c r="AH6607" t="n">
        <v>0</v>
      </c>
    </row>
    <row r="6608">
      <c r="A6608" t="inlineStr">
        <is>
          <t>12월</t>
        </is>
      </c>
      <c r="B6608" t="inlineStr">
        <is>
          <t>52주차</t>
        </is>
      </c>
      <c r="C6608" t="e">
        <v>#N/A</v>
      </c>
      <c r="K6608" t="n">
        <v>0</v>
      </c>
      <c r="L6608" t="n">
        <v>0</v>
      </c>
      <c r="M6608" t="n">
        <v>0</v>
      </c>
      <c r="AC6608" t="n">
        <v>0</v>
      </c>
      <c r="AD6608" t="n">
        <v>0</v>
      </c>
      <c r="AE6608" t="n">
        <v>0</v>
      </c>
      <c r="AF6608" t="n">
        <v>0</v>
      </c>
      <c r="AG6608" t="n">
        <v>0</v>
      </c>
      <c r="AH6608" t="n">
        <v>0</v>
      </c>
    </row>
    <row r="6609">
      <c r="A6609" t="inlineStr">
        <is>
          <t>12월</t>
        </is>
      </c>
      <c r="B6609" t="inlineStr">
        <is>
          <t>52주차</t>
        </is>
      </c>
      <c r="C6609" t="e">
        <v>#N/A</v>
      </c>
      <c r="K6609" t="n">
        <v>0</v>
      </c>
      <c r="L6609" t="n">
        <v>0</v>
      </c>
      <c r="M6609" t="n">
        <v>0</v>
      </c>
      <c r="AC6609" t="n">
        <v>0</v>
      </c>
      <c r="AD6609" t="n">
        <v>0</v>
      </c>
      <c r="AE6609" t="n">
        <v>0</v>
      </c>
      <c r="AF6609" t="n">
        <v>0</v>
      </c>
      <c r="AG6609" t="n">
        <v>0</v>
      </c>
      <c r="AH6609" t="n">
        <v>0</v>
      </c>
      <c r="AI6609" t="n">
        <v>0</v>
      </c>
    </row>
    <row r="6610">
      <c r="A6610" t="inlineStr">
        <is>
          <t>12월</t>
        </is>
      </c>
      <c r="B6610" t="inlineStr">
        <is>
          <t>52주차</t>
        </is>
      </c>
      <c r="C6610" t="e">
        <v>#N/A</v>
      </c>
      <c r="K6610" t="n">
        <v>0</v>
      </c>
      <c r="L6610" t="n">
        <v>0</v>
      </c>
      <c r="M6610" t="n">
        <v>0</v>
      </c>
      <c r="AC6610" t="n">
        <v>0</v>
      </c>
      <c r="AD6610" t="n">
        <v>0</v>
      </c>
      <c r="AE6610" t="n">
        <v>0</v>
      </c>
      <c r="AF6610" t="n">
        <v>0</v>
      </c>
      <c r="AG6610" t="n">
        <v>0</v>
      </c>
      <c r="AH6610" t="n">
        <v>0</v>
      </c>
      <c r="AI6610" t="n">
        <v>0</v>
      </c>
    </row>
    <row r="6611">
      <c r="A6611" t="inlineStr">
        <is>
          <t>12월</t>
        </is>
      </c>
      <c r="B6611" t="inlineStr">
        <is>
          <t>52주차</t>
        </is>
      </c>
      <c r="C6611" t="e">
        <v>#N/A</v>
      </c>
      <c r="K6611" t="n">
        <v>0</v>
      </c>
      <c r="L6611" t="n">
        <v>0</v>
      </c>
      <c r="M6611" t="n">
        <v>0</v>
      </c>
      <c r="AC6611" t="n">
        <v>0</v>
      </c>
      <c r="AD6611" t="n">
        <v>0</v>
      </c>
      <c r="AE6611" t="n">
        <v>0</v>
      </c>
      <c r="AF6611" t="n">
        <v>0</v>
      </c>
      <c r="AG6611" t="n">
        <v>0</v>
      </c>
      <c r="AH6611" t="n">
        <v>0</v>
      </c>
      <c r="AI6611" t="n">
        <v>0</v>
      </c>
    </row>
    <row r="6612">
      <c r="A6612" t="inlineStr">
        <is>
          <t>12월</t>
        </is>
      </c>
      <c r="B6612" t="inlineStr">
        <is>
          <t>52주차</t>
        </is>
      </c>
      <c r="C6612" t="e">
        <v>#N/A</v>
      </c>
      <c r="K6612" t="n">
        <v>0</v>
      </c>
      <c r="L6612" t="n">
        <v>0</v>
      </c>
      <c r="M6612" t="n">
        <v>0</v>
      </c>
      <c r="AC6612" t="n">
        <v>0</v>
      </c>
      <c r="AD6612" t="n">
        <v>0</v>
      </c>
      <c r="AE6612" t="n">
        <v>0</v>
      </c>
      <c r="AF6612" t="n">
        <v>0</v>
      </c>
      <c r="AG6612" t="n">
        <v>0</v>
      </c>
      <c r="AH6612" t="n">
        <v>0</v>
      </c>
      <c r="AI6612" t="n">
        <v>0</v>
      </c>
    </row>
    <row r="6613">
      <c r="A6613" t="inlineStr">
        <is>
          <t>12월</t>
        </is>
      </c>
      <c r="B6613" t="inlineStr">
        <is>
          <t>52주차</t>
        </is>
      </c>
      <c r="C6613" t="e">
        <v>#N/A</v>
      </c>
      <c r="K6613" t="n">
        <v>0</v>
      </c>
      <c r="L6613" t="n">
        <v>0</v>
      </c>
      <c r="M6613" t="n">
        <v>0</v>
      </c>
      <c r="AC6613" t="n">
        <v>0</v>
      </c>
      <c r="AD6613" t="n">
        <v>0</v>
      </c>
      <c r="AE6613" t="n">
        <v>0</v>
      </c>
      <c r="AF6613" t="n">
        <v>0</v>
      </c>
      <c r="AG6613" t="n">
        <v>0</v>
      </c>
      <c r="AH6613" t="n">
        <v>0</v>
      </c>
    </row>
    <row r="6614">
      <c r="A6614" t="inlineStr">
        <is>
          <t>12월</t>
        </is>
      </c>
      <c r="B6614" t="inlineStr">
        <is>
          <t>52주차</t>
        </is>
      </c>
      <c r="C6614" t="e">
        <v>#N/A</v>
      </c>
      <c r="K6614" t="n">
        <v>0</v>
      </c>
      <c r="L6614" t="n">
        <v>0</v>
      </c>
      <c r="M6614" t="n">
        <v>0</v>
      </c>
      <c r="AC6614" t="n">
        <v>0</v>
      </c>
      <c r="AD6614" t="n">
        <v>0</v>
      </c>
      <c r="AE6614" t="n">
        <v>0</v>
      </c>
      <c r="AF6614" t="n">
        <v>0</v>
      </c>
      <c r="AG6614" t="n">
        <v>0</v>
      </c>
      <c r="AH6614" t="n">
        <v>0</v>
      </c>
      <c r="AI6614" t="n">
        <v>0</v>
      </c>
    </row>
    <row r="6615">
      <c r="A6615" t="inlineStr">
        <is>
          <t>12월</t>
        </is>
      </c>
      <c r="B6615" t="inlineStr">
        <is>
          <t>52주차</t>
        </is>
      </c>
      <c r="C6615" t="e">
        <v>#N/A</v>
      </c>
      <c r="K6615" t="n">
        <v>0</v>
      </c>
      <c r="L6615" t="n">
        <v>0</v>
      </c>
      <c r="M6615" t="n">
        <v>0</v>
      </c>
      <c r="AC6615" t="n">
        <v>0</v>
      </c>
      <c r="AD6615" t="n">
        <v>0</v>
      </c>
      <c r="AE6615" t="n">
        <v>0</v>
      </c>
      <c r="AF6615" t="n">
        <v>0</v>
      </c>
      <c r="AG6615" t="n">
        <v>0</v>
      </c>
      <c r="AH6615" t="n">
        <v>0</v>
      </c>
      <c r="AI6615" t="n">
        <v>0</v>
      </c>
    </row>
    <row r="6616">
      <c r="A6616" t="inlineStr">
        <is>
          <t>12월</t>
        </is>
      </c>
      <c r="B6616" t="inlineStr">
        <is>
          <t>52주차</t>
        </is>
      </c>
      <c r="C6616" t="e">
        <v>#N/A</v>
      </c>
      <c r="K6616" t="n">
        <v>0</v>
      </c>
      <c r="L6616" t="n">
        <v>0</v>
      </c>
      <c r="M6616" t="n">
        <v>0</v>
      </c>
      <c r="AC6616" t="n">
        <v>0</v>
      </c>
      <c r="AD6616" t="n">
        <v>0</v>
      </c>
      <c r="AE6616" t="n">
        <v>0</v>
      </c>
      <c r="AF6616" t="n">
        <v>0</v>
      </c>
      <c r="AG6616" t="n">
        <v>0</v>
      </c>
      <c r="AH6616" t="n">
        <v>0</v>
      </c>
      <c r="AI6616" t="n">
        <v>0</v>
      </c>
    </row>
    <row r="6617">
      <c r="A6617" t="inlineStr">
        <is>
          <t>12월</t>
        </is>
      </c>
      <c r="B6617" t="inlineStr">
        <is>
          <t>52주차</t>
        </is>
      </c>
      <c r="C6617" t="e">
        <v>#N/A</v>
      </c>
      <c r="K6617" t="n">
        <v>0</v>
      </c>
      <c r="L6617" t="n">
        <v>0</v>
      </c>
      <c r="M6617" t="n">
        <v>0</v>
      </c>
      <c r="AC6617" t="n">
        <v>0</v>
      </c>
      <c r="AD6617" t="n">
        <v>0</v>
      </c>
      <c r="AE6617" t="n">
        <v>0</v>
      </c>
      <c r="AF6617" t="n">
        <v>0</v>
      </c>
      <c r="AG6617" t="n">
        <v>0</v>
      </c>
      <c r="AH6617" t="n">
        <v>0</v>
      </c>
      <c r="AI6617" t="n">
        <v>0</v>
      </c>
    </row>
    <row r="6618">
      <c r="A6618" t="inlineStr">
        <is>
          <t>12월</t>
        </is>
      </c>
      <c r="B6618" t="inlineStr">
        <is>
          <t>52주차</t>
        </is>
      </c>
      <c r="C6618" t="e">
        <v>#N/A</v>
      </c>
      <c r="K6618" t="n">
        <v>0</v>
      </c>
      <c r="L6618" t="n">
        <v>0</v>
      </c>
      <c r="M6618" t="n">
        <v>0</v>
      </c>
      <c r="AC6618" t="n">
        <v>0</v>
      </c>
      <c r="AD6618" t="n">
        <v>0</v>
      </c>
      <c r="AE6618" t="n">
        <v>0</v>
      </c>
      <c r="AF6618" t="n">
        <v>0</v>
      </c>
      <c r="AG6618" t="n">
        <v>0</v>
      </c>
      <c r="AH6618" t="n">
        <v>0</v>
      </c>
      <c r="AI6618" t="n">
        <v>0</v>
      </c>
    </row>
    <row r="6619">
      <c r="A6619" t="inlineStr">
        <is>
          <t>12월</t>
        </is>
      </c>
      <c r="B6619" t="inlineStr">
        <is>
          <t>52주차</t>
        </is>
      </c>
      <c r="C6619" t="e">
        <v>#N/A</v>
      </c>
      <c r="K6619" t="n">
        <v>0</v>
      </c>
      <c r="L6619" t="n">
        <v>0</v>
      </c>
      <c r="M6619" t="n">
        <v>0</v>
      </c>
      <c r="AC6619" t="n">
        <v>0</v>
      </c>
      <c r="AD6619" t="n">
        <v>0</v>
      </c>
      <c r="AE6619" t="n">
        <v>0</v>
      </c>
      <c r="AF6619" t="n">
        <v>0</v>
      </c>
      <c r="AG6619" t="n">
        <v>0</v>
      </c>
      <c r="AH6619" t="n">
        <v>0</v>
      </c>
    </row>
    <row r="6620">
      <c r="A6620" t="inlineStr">
        <is>
          <t>12월</t>
        </is>
      </c>
      <c r="B6620" t="inlineStr">
        <is>
          <t>52주차</t>
        </is>
      </c>
      <c r="C6620" t="e">
        <v>#N/A</v>
      </c>
      <c r="K6620" t="n">
        <v>0</v>
      </c>
      <c r="L6620" t="n">
        <v>0</v>
      </c>
      <c r="M6620" t="n">
        <v>0</v>
      </c>
      <c r="AC6620" t="n">
        <v>0</v>
      </c>
      <c r="AD6620" t="n">
        <v>0</v>
      </c>
      <c r="AE6620" t="n">
        <v>0</v>
      </c>
      <c r="AF6620" t="n">
        <v>0</v>
      </c>
      <c r="AG6620" t="n">
        <v>0</v>
      </c>
      <c r="AH6620" t="n">
        <v>0</v>
      </c>
      <c r="AI6620" t="n">
        <v>0</v>
      </c>
    </row>
    <row r="6621">
      <c r="A6621" t="inlineStr">
        <is>
          <t>12월</t>
        </is>
      </c>
      <c r="B6621" t="inlineStr">
        <is>
          <t>52주차</t>
        </is>
      </c>
      <c r="C6621" t="e">
        <v>#N/A</v>
      </c>
      <c r="K6621" t="n">
        <v>0</v>
      </c>
      <c r="L6621" t="n">
        <v>0</v>
      </c>
      <c r="M6621" t="n">
        <v>0</v>
      </c>
      <c r="AC6621" t="n">
        <v>0</v>
      </c>
      <c r="AD6621" t="n">
        <v>0</v>
      </c>
      <c r="AE6621" t="n">
        <v>0</v>
      </c>
      <c r="AF6621" t="n">
        <v>0</v>
      </c>
      <c r="AG6621" t="n">
        <v>0</v>
      </c>
      <c r="AH6621" t="n">
        <v>0</v>
      </c>
      <c r="AI6621" t="n">
        <v>0</v>
      </c>
    </row>
    <row r="6622">
      <c r="A6622" t="inlineStr">
        <is>
          <t>12월</t>
        </is>
      </c>
      <c r="B6622" t="inlineStr">
        <is>
          <t>52주차</t>
        </is>
      </c>
      <c r="C6622" t="e">
        <v>#N/A</v>
      </c>
      <c r="K6622" t="n">
        <v>0</v>
      </c>
      <c r="L6622" t="n">
        <v>0</v>
      </c>
      <c r="M6622" t="n">
        <v>0</v>
      </c>
      <c r="AC6622" t="n">
        <v>0</v>
      </c>
      <c r="AD6622" t="n">
        <v>0</v>
      </c>
      <c r="AE6622" t="n">
        <v>0</v>
      </c>
      <c r="AF6622" t="n">
        <v>0</v>
      </c>
      <c r="AG6622" t="n">
        <v>0</v>
      </c>
      <c r="AH6622" t="n">
        <v>0</v>
      </c>
      <c r="AI6622" t="n">
        <v>0</v>
      </c>
    </row>
    <row r="6623">
      <c r="A6623" t="inlineStr">
        <is>
          <t>12월</t>
        </is>
      </c>
      <c r="B6623" t="inlineStr">
        <is>
          <t>52주차</t>
        </is>
      </c>
      <c r="C6623" t="e">
        <v>#N/A</v>
      </c>
      <c r="K6623" t="n">
        <v>0</v>
      </c>
      <c r="L6623" t="n">
        <v>0</v>
      </c>
      <c r="M6623" t="n">
        <v>0</v>
      </c>
      <c r="AC6623" t="n">
        <v>0</v>
      </c>
      <c r="AD6623" t="n">
        <v>0</v>
      </c>
      <c r="AE6623" t="n">
        <v>0</v>
      </c>
      <c r="AF6623" t="n">
        <v>0</v>
      </c>
      <c r="AG6623" t="n">
        <v>0</v>
      </c>
      <c r="AH6623" t="n">
        <v>0</v>
      </c>
      <c r="AI6623" t="n">
        <v>0</v>
      </c>
    </row>
    <row r="6624">
      <c r="A6624" t="inlineStr">
        <is>
          <t>12월</t>
        </is>
      </c>
      <c r="B6624" t="inlineStr">
        <is>
          <t>52주차</t>
        </is>
      </c>
      <c r="C6624" t="e">
        <v>#N/A</v>
      </c>
      <c r="K6624" t="n">
        <v>0</v>
      </c>
      <c r="L6624" t="n">
        <v>0</v>
      </c>
      <c r="M6624" t="n">
        <v>0</v>
      </c>
      <c r="AC6624" t="n">
        <v>0</v>
      </c>
      <c r="AD6624" t="n">
        <v>0</v>
      </c>
      <c r="AE6624" t="n">
        <v>0</v>
      </c>
      <c r="AF6624" t="n">
        <v>0</v>
      </c>
      <c r="AG6624" t="n">
        <v>0</v>
      </c>
      <c r="AH6624" t="n">
        <v>0</v>
      </c>
    </row>
    <row r="6625">
      <c r="A6625" t="inlineStr">
        <is>
          <t>12월</t>
        </is>
      </c>
      <c r="B6625" t="inlineStr">
        <is>
          <t>52주차</t>
        </is>
      </c>
      <c r="C6625" t="e">
        <v>#N/A</v>
      </c>
      <c r="K6625" t="n">
        <v>0</v>
      </c>
      <c r="L6625" t="n">
        <v>0</v>
      </c>
      <c r="M6625" t="n">
        <v>0</v>
      </c>
      <c r="AC6625" t="n">
        <v>0</v>
      </c>
      <c r="AD6625" t="n">
        <v>0</v>
      </c>
      <c r="AE6625" t="n">
        <v>0</v>
      </c>
      <c r="AF6625" t="n">
        <v>0</v>
      </c>
      <c r="AG6625" t="n">
        <v>0</v>
      </c>
      <c r="AH6625" t="n">
        <v>0</v>
      </c>
      <c r="AI6625" t="n">
        <v>0</v>
      </c>
    </row>
    <row r="6626">
      <c r="A6626" t="inlineStr">
        <is>
          <t>12월</t>
        </is>
      </c>
      <c r="B6626" t="inlineStr">
        <is>
          <t>52주차</t>
        </is>
      </c>
      <c r="C6626" t="e">
        <v>#N/A</v>
      </c>
      <c r="K6626" t="n">
        <v>0</v>
      </c>
      <c r="L6626" t="n">
        <v>0</v>
      </c>
      <c r="M6626" t="n">
        <v>0</v>
      </c>
      <c r="AC6626" t="n">
        <v>0</v>
      </c>
      <c r="AD6626" t="n">
        <v>0</v>
      </c>
      <c r="AE6626" t="n">
        <v>0</v>
      </c>
      <c r="AF6626" t="n">
        <v>0</v>
      </c>
      <c r="AG6626" t="n">
        <v>0</v>
      </c>
      <c r="AH6626" t="n">
        <v>0</v>
      </c>
      <c r="AI6626" t="n">
        <v>0</v>
      </c>
    </row>
    <row r="6627">
      <c r="A6627" t="inlineStr">
        <is>
          <t>12월</t>
        </is>
      </c>
      <c r="B6627" t="inlineStr">
        <is>
          <t>52주차</t>
        </is>
      </c>
      <c r="C6627" t="e">
        <v>#N/A</v>
      </c>
      <c r="K6627" t="n">
        <v>0</v>
      </c>
      <c r="L6627" t="n">
        <v>0</v>
      </c>
      <c r="M6627" t="n">
        <v>0</v>
      </c>
      <c r="AC6627" t="n">
        <v>0</v>
      </c>
      <c r="AD6627" t="n">
        <v>0</v>
      </c>
      <c r="AE6627" t="n">
        <v>0</v>
      </c>
      <c r="AF6627" t="n">
        <v>0</v>
      </c>
      <c r="AG6627" t="n">
        <v>0</v>
      </c>
      <c r="AH6627" t="n">
        <v>0</v>
      </c>
      <c r="AI6627" t="n">
        <v>0</v>
      </c>
    </row>
    <row r="6628">
      <c r="A6628" t="inlineStr">
        <is>
          <t>12월</t>
        </is>
      </c>
      <c r="B6628" t="inlineStr">
        <is>
          <t>52주차</t>
        </is>
      </c>
      <c r="C6628" t="e">
        <v>#N/A</v>
      </c>
      <c r="K6628" t="n">
        <v>0</v>
      </c>
      <c r="L6628" t="n">
        <v>0</v>
      </c>
      <c r="M6628" t="n">
        <v>0</v>
      </c>
      <c r="AC6628" t="n">
        <v>0</v>
      </c>
      <c r="AD6628" t="n">
        <v>0</v>
      </c>
      <c r="AE6628" t="n">
        <v>0</v>
      </c>
      <c r="AF6628" t="n">
        <v>0</v>
      </c>
      <c r="AG6628" t="n">
        <v>0</v>
      </c>
      <c r="AH6628" t="n">
        <v>0</v>
      </c>
      <c r="AI6628" t="n">
        <v>0</v>
      </c>
    </row>
    <row r="6629">
      <c r="A6629" t="inlineStr">
        <is>
          <t>12월</t>
        </is>
      </c>
      <c r="B6629" t="inlineStr">
        <is>
          <t>52주차</t>
        </is>
      </c>
      <c r="C6629" t="e">
        <v>#N/A</v>
      </c>
      <c r="K6629" t="n">
        <v>0</v>
      </c>
      <c r="L6629" t="n">
        <v>0</v>
      </c>
      <c r="M6629" t="n">
        <v>0</v>
      </c>
      <c r="AC6629" t="n">
        <v>0</v>
      </c>
      <c r="AD6629" t="n">
        <v>0</v>
      </c>
      <c r="AE6629" t="n">
        <v>0</v>
      </c>
      <c r="AF6629" t="n">
        <v>0</v>
      </c>
      <c r="AG6629" t="n">
        <v>0</v>
      </c>
      <c r="AH6629" t="n">
        <v>0</v>
      </c>
    </row>
    <row r="6630">
      <c r="A6630" t="inlineStr">
        <is>
          <t>12월</t>
        </is>
      </c>
      <c r="B6630" t="inlineStr">
        <is>
          <t>52주차</t>
        </is>
      </c>
      <c r="C6630" t="e">
        <v>#N/A</v>
      </c>
      <c r="K6630" t="n">
        <v>0</v>
      </c>
      <c r="L6630" t="n">
        <v>0</v>
      </c>
      <c r="M6630" t="n">
        <v>0</v>
      </c>
      <c r="AC6630" t="n">
        <v>0</v>
      </c>
      <c r="AD6630" t="n">
        <v>0</v>
      </c>
      <c r="AE6630" t="n">
        <v>0</v>
      </c>
      <c r="AF6630" t="n">
        <v>0</v>
      </c>
      <c r="AG6630" t="n">
        <v>0</v>
      </c>
      <c r="AH6630" t="n">
        <v>0</v>
      </c>
      <c r="AI6630" t="n">
        <v>0</v>
      </c>
    </row>
    <row r="6631">
      <c r="A6631" t="inlineStr">
        <is>
          <t>12월</t>
        </is>
      </c>
      <c r="B6631" t="inlineStr">
        <is>
          <t>52주차</t>
        </is>
      </c>
      <c r="C6631" t="e">
        <v>#N/A</v>
      </c>
      <c r="K6631" t="n">
        <v>0</v>
      </c>
      <c r="L6631" t="n">
        <v>0</v>
      </c>
      <c r="M6631" t="n">
        <v>0</v>
      </c>
      <c r="AC6631" t="n">
        <v>0</v>
      </c>
      <c r="AD6631" t="n">
        <v>0</v>
      </c>
      <c r="AE6631" t="n">
        <v>0</v>
      </c>
      <c r="AF6631" t="n">
        <v>0</v>
      </c>
      <c r="AG6631" t="n">
        <v>0</v>
      </c>
      <c r="AH6631" t="n">
        <v>0</v>
      </c>
      <c r="AI6631" t="n">
        <v>0</v>
      </c>
    </row>
    <row r="6632">
      <c r="A6632" t="inlineStr">
        <is>
          <t>12월</t>
        </is>
      </c>
      <c r="B6632" t="inlineStr">
        <is>
          <t>52주차</t>
        </is>
      </c>
      <c r="C6632" t="e">
        <v>#N/A</v>
      </c>
      <c r="K6632" t="n">
        <v>0</v>
      </c>
      <c r="L6632" t="n">
        <v>0</v>
      </c>
      <c r="M6632" t="n">
        <v>0</v>
      </c>
      <c r="AC6632" t="n">
        <v>0</v>
      </c>
      <c r="AD6632" t="n">
        <v>0</v>
      </c>
      <c r="AE6632" t="n">
        <v>0</v>
      </c>
      <c r="AF6632" t="n">
        <v>0</v>
      </c>
      <c r="AG6632" t="n">
        <v>0</v>
      </c>
      <c r="AH6632" t="n">
        <v>0</v>
      </c>
      <c r="AI6632" t="n">
        <v>0</v>
      </c>
    </row>
    <row r="6633">
      <c r="A6633" t="inlineStr">
        <is>
          <t>12월</t>
        </is>
      </c>
      <c r="B6633" t="inlineStr">
        <is>
          <t>52주차</t>
        </is>
      </c>
      <c r="C6633" t="e">
        <v>#N/A</v>
      </c>
      <c r="K6633" t="n">
        <v>0</v>
      </c>
      <c r="L6633" t="n">
        <v>0</v>
      </c>
      <c r="M6633" t="n">
        <v>0</v>
      </c>
      <c r="AC6633" t="n">
        <v>0</v>
      </c>
      <c r="AD6633" t="n">
        <v>0</v>
      </c>
      <c r="AE6633" t="n">
        <v>0</v>
      </c>
      <c r="AF6633" t="n">
        <v>0</v>
      </c>
      <c r="AG6633" t="n">
        <v>0</v>
      </c>
      <c r="AH6633" t="n">
        <v>0</v>
      </c>
      <c r="AI6633" t="n">
        <v>0</v>
      </c>
    </row>
    <row r="6634">
      <c r="A6634" t="inlineStr">
        <is>
          <t>12월</t>
        </is>
      </c>
      <c r="B6634" t="inlineStr">
        <is>
          <t>52주차</t>
        </is>
      </c>
      <c r="C6634" t="e">
        <v>#N/A</v>
      </c>
      <c r="K6634" t="n">
        <v>0</v>
      </c>
      <c r="L6634" t="n">
        <v>0</v>
      </c>
      <c r="M6634" t="n">
        <v>0</v>
      </c>
      <c r="AC6634" t="n">
        <v>0</v>
      </c>
      <c r="AD6634" t="n">
        <v>0</v>
      </c>
      <c r="AE6634" t="n">
        <v>0</v>
      </c>
      <c r="AF6634" t="n">
        <v>0</v>
      </c>
      <c r="AG6634" t="n">
        <v>0</v>
      </c>
      <c r="AH6634" t="n">
        <v>0</v>
      </c>
    </row>
    <row r="6635">
      <c r="A6635" t="inlineStr">
        <is>
          <t>12월</t>
        </is>
      </c>
      <c r="B6635" t="inlineStr">
        <is>
          <t>52주차</t>
        </is>
      </c>
      <c r="C6635" t="e">
        <v>#N/A</v>
      </c>
      <c r="K6635" t="n">
        <v>0</v>
      </c>
      <c r="L6635" t="n">
        <v>0</v>
      </c>
      <c r="M6635" t="n">
        <v>0</v>
      </c>
      <c r="AC6635" t="n">
        <v>0</v>
      </c>
      <c r="AD6635" t="n">
        <v>0</v>
      </c>
      <c r="AE6635" t="n">
        <v>0</v>
      </c>
      <c r="AF6635" t="n">
        <v>0</v>
      </c>
      <c r="AG6635" t="n">
        <v>0</v>
      </c>
      <c r="AH6635" t="n">
        <v>0</v>
      </c>
      <c r="AI6635" t="n">
        <v>0</v>
      </c>
    </row>
    <row r="6636">
      <c r="A6636" t="inlineStr">
        <is>
          <t>12월</t>
        </is>
      </c>
      <c r="B6636" t="inlineStr">
        <is>
          <t>52주차</t>
        </is>
      </c>
      <c r="C6636" t="e">
        <v>#N/A</v>
      </c>
      <c r="K6636" t="n">
        <v>0</v>
      </c>
      <c r="L6636" t="n">
        <v>0</v>
      </c>
      <c r="M6636" t="n">
        <v>0</v>
      </c>
      <c r="AC6636" t="n">
        <v>0</v>
      </c>
      <c r="AD6636" t="n">
        <v>0</v>
      </c>
      <c r="AE6636" t="n">
        <v>0</v>
      </c>
      <c r="AF6636" t="n">
        <v>0</v>
      </c>
      <c r="AG6636" t="n">
        <v>0</v>
      </c>
      <c r="AH6636" t="n">
        <v>0</v>
      </c>
      <c r="AI6636" t="n">
        <v>0</v>
      </c>
    </row>
    <row r="6637">
      <c r="A6637" t="inlineStr">
        <is>
          <t>12월</t>
        </is>
      </c>
      <c r="B6637" t="inlineStr">
        <is>
          <t>52주차</t>
        </is>
      </c>
      <c r="C6637" t="e">
        <v>#N/A</v>
      </c>
      <c r="K6637" t="n">
        <v>0</v>
      </c>
      <c r="L6637" t="n">
        <v>0</v>
      </c>
      <c r="M6637" t="n">
        <v>0</v>
      </c>
      <c r="AC6637" t="n">
        <v>0</v>
      </c>
      <c r="AD6637" t="n">
        <v>0</v>
      </c>
      <c r="AE6637" t="n">
        <v>0</v>
      </c>
      <c r="AF6637" t="n">
        <v>0</v>
      </c>
      <c r="AG6637" t="n">
        <v>0</v>
      </c>
      <c r="AH6637" t="n">
        <v>0</v>
      </c>
    </row>
    <row r="6638">
      <c r="A6638" t="inlineStr">
        <is>
          <t>12월</t>
        </is>
      </c>
      <c r="B6638" t="inlineStr">
        <is>
          <t>52주차</t>
        </is>
      </c>
      <c r="C6638" t="e">
        <v>#N/A</v>
      </c>
      <c r="K6638" t="n">
        <v>0</v>
      </c>
      <c r="L6638" t="n">
        <v>0</v>
      </c>
      <c r="M6638" t="n">
        <v>0</v>
      </c>
      <c r="AC6638" t="n">
        <v>0</v>
      </c>
      <c r="AD6638" t="n">
        <v>0</v>
      </c>
      <c r="AE6638" t="n">
        <v>0</v>
      </c>
      <c r="AF6638" t="n">
        <v>0</v>
      </c>
      <c r="AG6638" t="n">
        <v>0</v>
      </c>
      <c r="AH6638" t="n">
        <v>0</v>
      </c>
    </row>
    <row r="6639">
      <c r="A6639" t="inlineStr">
        <is>
          <t>12월</t>
        </is>
      </c>
      <c r="B6639" t="inlineStr">
        <is>
          <t>52주차</t>
        </is>
      </c>
      <c r="C6639" t="e">
        <v>#N/A</v>
      </c>
      <c r="K6639" t="n">
        <v>0</v>
      </c>
      <c r="L6639" t="n">
        <v>0</v>
      </c>
      <c r="M6639" t="n">
        <v>0</v>
      </c>
      <c r="AC6639" t="n">
        <v>0</v>
      </c>
      <c r="AD6639" t="n">
        <v>0</v>
      </c>
      <c r="AE6639" t="n">
        <v>0</v>
      </c>
      <c r="AF6639" t="n">
        <v>0</v>
      </c>
      <c r="AG6639" t="n">
        <v>0</v>
      </c>
      <c r="AH6639" t="n">
        <v>0</v>
      </c>
      <c r="AI6639" t="n">
        <v>0</v>
      </c>
    </row>
    <row r="6640">
      <c r="A6640" t="inlineStr">
        <is>
          <t>12월</t>
        </is>
      </c>
      <c r="B6640" t="inlineStr">
        <is>
          <t>52주차</t>
        </is>
      </c>
      <c r="C6640" t="e">
        <v>#N/A</v>
      </c>
      <c r="K6640" t="n">
        <v>0</v>
      </c>
      <c r="L6640" t="n">
        <v>0</v>
      </c>
      <c r="M6640" t="n">
        <v>0</v>
      </c>
      <c r="AC6640" t="n">
        <v>0</v>
      </c>
      <c r="AD6640" t="n">
        <v>0</v>
      </c>
      <c r="AE6640" t="n">
        <v>0</v>
      </c>
      <c r="AF6640" t="n">
        <v>0</v>
      </c>
      <c r="AG6640" t="n">
        <v>0</v>
      </c>
      <c r="AH6640" t="n">
        <v>0</v>
      </c>
      <c r="AI6640" t="n">
        <v>0</v>
      </c>
    </row>
    <row r="6641">
      <c r="A6641" t="inlineStr">
        <is>
          <t>12월</t>
        </is>
      </c>
      <c r="B6641" t="inlineStr">
        <is>
          <t>52주차</t>
        </is>
      </c>
      <c r="C6641" t="e">
        <v>#N/A</v>
      </c>
      <c r="K6641" t="n">
        <v>0</v>
      </c>
      <c r="L6641" t="n">
        <v>0</v>
      </c>
      <c r="M6641" t="n">
        <v>0</v>
      </c>
      <c r="AC6641" t="n">
        <v>0</v>
      </c>
      <c r="AD6641" t="n">
        <v>0</v>
      </c>
      <c r="AE6641" t="n">
        <v>0</v>
      </c>
      <c r="AF6641" t="n">
        <v>0</v>
      </c>
      <c r="AG6641" t="n">
        <v>0</v>
      </c>
      <c r="AH6641" t="n">
        <v>0</v>
      </c>
      <c r="AI6641" t="n">
        <v>0</v>
      </c>
    </row>
    <row r="6642">
      <c r="A6642" t="inlineStr">
        <is>
          <t>12월</t>
        </is>
      </c>
      <c r="B6642" t="inlineStr">
        <is>
          <t>52주차</t>
        </is>
      </c>
      <c r="C6642" t="e">
        <v>#N/A</v>
      </c>
      <c r="K6642" t="n">
        <v>0</v>
      </c>
      <c r="L6642" t="n">
        <v>0</v>
      </c>
      <c r="M6642" t="n">
        <v>0</v>
      </c>
      <c r="AC6642" t="n">
        <v>0</v>
      </c>
      <c r="AD6642" t="n">
        <v>0</v>
      </c>
      <c r="AE6642" t="n">
        <v>0</v>
      </c>
      <c r="AF6642" t="n">
        <v>0</v>
      </c>
      <c r="AG6642" t="n">
        <v>0</v>
      </c>
      <c r="AH6642" t="n">
        <v>0</v>
      </c>
      <c r="AI6642" t="n">
        <v>0</v>
      </c>
    </row>
    <row r="6643">
      <c r="A6643" t="inlineStr">
        <is>
          <t>12월</t>
        </is>
      </c>
      <c r="B6643" t="inlineStr">
        <is>
          <t>52주차</t>
        </is>
      </c>
      <c r="C6643" t="e">
        <v>#N/A</v>
      </c>
      <c r="K6643" t="n">
        <v>0</v>
      </c>
      <c r="L6643" t="n">
        <v>0</v>
      </c>
      <c r="M6643" t="n">
        <v>0</v>
      </c>
      <c r="AC6643" t="n">
        <v>0</v>
      </c>
      <c r="AD6643" t="n">
        <v>0</v>
      </c>
      <c r="AE6643" t="n">
        <v>0</v>
      </c>
      <c r="AF6643" t="n">
        <v>0</v>
      </c>
      <c r="AG6643" t="n">
        <v>0</v>
      </c>
      <c r="AH6643" t="n">
        <v>0</v>
      </c>
      <c r="AI6643" t="n">
        <v>0</v>
      </c>
    </row>
    <row r="6644">
      <c r="A6644" t="inlineStr">
        <is>
          <t>12월</t>
        </is>
      </c>
      <c r="B6644" t="inlineStr">
        <is>
          <t>52주차</t>
        </is>
      </c>
      <c r="C6644" t="e">
        <v>#N/A</v>
      </c>
      <c r="K6644" t="n">
        <v>0</v>
      </c>
      <c r="L6644" t="n">
        <v>0</v>
      </c>
      <c r="M6644" t="n">
        <v>0</v>
      </c>
      <c r="AC6644" t="n">
        <v>0</v>
      </c>
      <c r="AD6644" t="n">
        <v>0</v>
      </c>
      <c r="AE6644" t="n">
        <v>0</v>
      </c>
      <c r="AF6644" t="n">
        <v>0</v>
      </c>
      <c r="AG6644" t="n">
        <v>0</v>
      </c>
      <c r="AH6644" t="n">
        <v>0</v>
      </c>
      <c r="AI6644" t="n">
        <v>0</v>
      </c>
    </row>
    <row r="6645">
      <c r="A6645" t="inlineStr">
        <is>
          <t>12월</t>
        </is>
      </c>
      <c r="B6645" t="inlineStr">
        <is>
          <t>52주차</t>
        </is>
      </c>
      <c r="C6645" t="e">
        <v>#N/A</v>
      </c>
      <c r="K6645" t="n">
        <v>0</v>
      </c>
      <c r="L6645" t="n">
        <v>0</v>
      </c>
      <c r="M6645" t="n">
        <v>0</v>
      </c>
      <c r="AC6645" t="n">
        <v>0</v>
      </c>
      <c r="AD6645" t="n">
        <v>0</v>
      </c>
      <c r="AE6645" t="n">
        <v>0</v>
      </c>
      <c r="AF6645" t="n">
        <v>0</v>
      </c>
      <c r="AG6645" t="n">
        <v>0</v>
      </c>
      <c r="AH6645" t="n">
        <v>0</v>
      </c>
      <c r="AI6645" t="n">
        <v>0</v>
      </c>
    </row>
    <row r="6646">
      <c r="A6646" t="inlineStr">
        <is>
          <t>12월</t>
        </is>
      </c>
      <c r="B6646" t="inlineStr">
        <is>
          <t>52주차</t>
        </is>
      </c>
      <c r="C6646" t="e">
        <v>#N/A</v>
      </c>
      <c r="K6646" t="n">
        <v>0</v>
      </c>
      <c r="L6646" t="n">
        <v>0</v>
      </c>
      <c r="M6646" t="n">
        <v>0</v>
      </c>
      <c r="AC6646" t="n">
        <v>0</v>
      </c>
      <c r="AD6646" t="n">
        <v>0</v>
      </c>
      <c r="AE6646" t="n">
        <v>0</v>
      </c>
      <c r="AF6646" t="n">
        <v>0</v>
      </c>
      <c r="AG6646" t="n">
        <v>0</v>
      </c>
      <c r="AH6646" t="n">
        <v>0</v>
      </c>
      <c r="AI6646" t="n">
        <v>0</v>
      </c>
    </row>
    <row r="6647">
      <c r="A6647" t="inlineStr">
        <is>
          <t>12월</t>
        </is>
      </c>
      <c r="B6647" t="inlineStr">
        <is>
          <t>52주차</t>
        </is>
      </c>
      <c r="C6647" t="e">
        <v>#N/A</v>
      </c>
      <c r="K6647" t="n">
        <v>0</v>
      </c>
      <c r="L6647" t="n">
        <v>0</v>
      </c>
      <c r="M6647" t="n">
        <v>0</v>
      </c>
      <c r="AC6647" t="n">
        <v>0</v>
      </c>
      <c r="AD6647" t="n">
        <v>0</v>
      </c>
      <c r="AE6647" t="n">
        <v>0</v>
      </c>
      <c r="AF6647" t="n">
        <v>0</v>
      </c>
      <c r="AG6647" t="n">
        <v>0</v>
      </c>
      <c r="AH6647" t="n">
        <v>0</v>
      </c>
      <c r="AI6647" t="n">
        <v>0</v>
      </c>
    </row>
    <row r="6648">
      <c r="A6648" t="inlineStr">
        <is>
          <t>12월</t>
        </is>
      </c>
      <c r="B6648" t="inlineStr">
        <is>
          <t>52주차</t>
        </is>
      </c>
      <c r="C6648" t="e">
        <v>#N/A</v>
      </c>
      <c r="K6648" t="n">
        <v>0</v>
      </c>
      <c r="L6648" t="n">
        <v>0</v>
      </c>
      <c r="M6648" t="n">
        <v>0</v>
      </c>
      <c r="AC6648" t="n">
        <v>0</v>
      </c>
      <c r="AD6648" t="n">
        <v>0</v>
      </c>
      <c r="AE6648" t="n">
        <v>0</v>
      </c>
      <c r="AF6648" t="n">
        <v>0</v>
      </c>
      <c r="AG6648" t="n">
        <v>0</v>
      </c>
      <c r="AH6648" t="n">
        <v>0</v>
      </c>
      <c r="AI6648" t="n">
        <v>0</v>
      </c>
    </row>
    <row r="6649">
      <c r="A6649" t="inlineStr">
        <is>
          <t>12월</t>
        </is>
      </c>
      <c r="B6649" t="inlineStr">
        <is>
          <t>52주차</t>
        </is>
      </c>
      <c r="C6649" t="e">
        <v>#N/A</v>
      </c>
      <c r="K6649" t="n">
        <v>0</v>
      </c>
      <c r="L6649" t="n">
        <v>0</v>
      </c>
      <c r="M6649" t="n">
        <v>0</v>
      </c>
      <c r="AC6649" t="n">
        <v>0</v>
      </c>
      <c r="AD6649" t="n">
        <v>0</v>
      </c>
      <c r="AE6649" t="n">
        <v>0</v>
      </c>
      <c r="AF6649" t="n">
        <v>0</v>
      </c>
      <c r="AG6649" t="n">
        <v>0</v>
      </c>
      <c r="AH6649" t="n">
        <v>0</v>
      </c>
      <c r="AI6649" t="n">
        <v>0</v>
      </c>
    </row>
    <row r="6650">
      <c r="A6650" t="inlineStr">
        <is>
          <t>12월</t>
        </is>
      </c>
      <c r="B6650" t="inlineStr">
        <is>
          <t>52주차</t>
        </is>
      </c>
      <c r="C6650" t="e">
        <v>#N/A</v>
      </c>
      <c r="K6650" t="n">
        <v>0</v>
      </c>
      <c r="L6650" t="n">
        <v>0</v>
      </c>
      <c r="M6650" t="n">
        <v>0</v>
      </c>
      <c r="AC6650" t="n">
        <v>0</v>
      </c>
      <c r="AD6650" t="n">
        <v>0</v>
      </c>
      <c r="AE6650" t="n">
        <v>0</v>
      </c>
      <c r="AF6650" t="n">
        <v>0</v>
      </c>
      <c r="AG6650" t="n">
        <v>0</v>
      </c>
      <c r="AH6650" t="n">
        <v>0</v>
      </c>
      <c r="AI6650" t="n">
        <v>0</v>
      </c>
    </row>
    <row r="6651">
      <c r="A6651" t="inlineStr">
        <is>
          <t>12월</t>
        </is>
      </c>
      <c r="B6651" t="inlineStr">
        <is>
          <t>52주차</t>
        </is>
      </c>
      <c r="C6651" t="e">
        <v>#N/A</v>
      </c>
      <c r="K6651" t="n">
        <v>0</v>
      </c>
      <c r="L6651" t="n">
        <v>0</v>
      </c>
      <c r="M6651" t="n">
        <v>0</v>
      </c>
      <c r="AC6651" t="n">
        <v>0</v>
      </c>
      <c r="AD6651" t="n">
        <v>0</v>
      </c>
      <c r="AE6651" t="n">
        <v>0</v>
      </c>
      <c r="AF6651" t="n">
        <v>0</v>
      </c>
      <c r="AG6651" t="n">
        <v>0</v>
      </c>
      <c r="AH6651" t="n">
        <v>0</v>
      </c>
      <c r="AI6651" t="n">
        <v>0</v>
      </c>
    </row>
    <row r="6652">
      <c r="A6652" t="inlineStr">
        <is>
          <t>12월</t>
        </is>
      </c>
      <c r="B6652" t="inlineStr">
        <is>
          <t>52주차</t>
        </is>
      </c>
      <c r="C6652" t="e">
        <v>#N/A</v>
      </c>
      <c r="K6652" t="n">
        <v>0</v>
      </c>
      <c r="L6652" t="n">
        <v>0</v>
      </c>
      <c r="M6652" t="n">
        <v>0</v>
      </c>
      <c r="AC6652" t="n">
        <v>0</v>
      </c>
      <c r="AD6652" t="n">
        <v>0</v>
      </c>
      <c r="AE6652" t="n">
        <v>0</v>
      </c>
      <c r="AF6652" t="n">
        <v>0</v>
      </c>
      <c r="AG6652" t="n">
        <v>0</v>
      </c>
      <c r="AH6652" t="n">
        <v>0</v>
      </c>
    </row>
    <row r="6653">
      <c r="A6653" t="inlineStr">
        <is>
          <t>12월</t>
        </is>
      </c>
      <c r="B6653" t="inlineStr">
        <is>
          <t>52주차</t>
        </is>
      </c>
      <c r="C6653" t="e">
        <v>#N/A</v>
      </c>
      <c r="K6653" t="n">
        <v>0</v>
      </c>
      <c r="L6653" t="n">
        <v>0</v>
      </c>
      <c r="M6653" t="n">
        <v>0</v>
      </c>
      <c r="AC6653" t="n">
        <v>0</v>
      </c>
      <c r="AD6653" t="n">
        <v>0</v>
      </c>
      <c r="AE6653" t="n">
        <v>0</v>
      </c>
      <c r="AF6653" t="n">
        <v>0</v>
      </c>
      <c r="AG6653" t="n">
        <v>0</v>
      </c>
      <c r="AH6653" t="n">
        <v>0</v>
      </c>
      <c r="AI6653" t="n">
        <v>0</v>
      </c>
    </row>
    <row r="6654">
      <c r="A6654" t="inlineStr">
        <is>
          <t>12월</t>
        </is>
      </c>
      <c r="B6654" t="inlineStr">
        <is>
          <t>52주차</t>
        </is>
      </c>
      <c r="C6654" t="e">
        <v>#N/A</v>
      </c>
      <c r="K6654" t="n">
        <v>0</v>
      </c>
      <c r="L6654" t="n">
        <v>0</v>
      </c>
      <c r="M6654" t="n">
        <v>0</v>
      </c>
      <c r="AC6654" t="n">
        <v>0</v>
      </c>
      <c r="AD6654" t="n">
        <v>0</v>
      </c>
      <c r="AE6654" t="n">
        <v>0</v>
      </c>
      <c r="AF6654" t="n">
        <v>0</v>
      </c>
      <c r="AG6654" t="n">
        <v>0</v>
      </c>
      <c r="AH6654" t="n">
        <v>0</v>
      </c>
      <c r="AI6654" t="n">
        <v>0</v>
      </c>
    </row>
    <row r="6655">
      <c r="A6655" t="inlineStr">
        <is>
          <t>12월</t>
        </is>
      </c>
      <c r="B6655" t="inlineStr">
        <is>
          <t>52주차</t>
        </is>
      </c>
      <c r="C6655" t="e">
        <v>#N/A</v>
      </c>
      <c r="K6655" t="n">
        <v>0</v>
      </c>
      <c r="L6655" t="n">
        <v>0</v>
      </c>
      <c r="M6655" t="n">
        <v>0</v>
      </c>
      <c r="AC6655" t="n">
        <v>0</v>
      </c>
      <c r="AD6655" t="n">
        <v>0</v>
      </c>
      <c r="AE6655" t="n">
        <v>0</v>
      </c>
      <c r="AF6655" t="n">
        <v>0</v>
      </c>
      <c r="AG6655" t="n">
        <v>0</v>
      </c>
      <c r="AH6655" t="n">
        <v>0</v>
      </c>
      <c r="AI6655" t="n">
        <v>0</v>
      </c>
    </row>
    <row r="6656">
      <c r="A6656" t="inlineStr">
        <is>
          <t>12월</t>
        </is>
      </c>
      <c r="B6656" t="inlineStr">
        <is>
          <t>52주차</t>
        </is>
      </c>
      <c r="C6656" t="e">
        <v>#N/A</v>
      </c>
      <c r="K6656" t="n">
        <v>0</v>
      </c>
      <c r="L6656" t="n">
        <v>0</v>
      </c>
      <c r="M6656" t="n">
        <v>0</v>
      </c>
      <c r="AC6656" t="n">
        <v>0</v>
      </c>
      <c r="AD6656" t="n">
        <v>0</v>
      </c>
      <c r="AE6656" t="n">
        <v>0</v>
      </c>
      <c r="AF6656" t="n">
        <v>0</v>
      </c>
      <c r="AG6656" t="n">
        <v>0</v>
      </c>
      <c r="AH6656" t="n">
        <v>0</v>
      </c>
      <c r="AI6656" t="n">
        <v>0</v>
      </c>
    </row>
    <row r="6657">
      <c r="A6657" t="inlineStr">
        <is>
          <t>12월</t>
        </is>
      </c>
      <c r="B6657" t="inlineStr">
        <is>
          <t>52주차</t>
        </is>
      </c>
      <c r="C6657" t="e">
        <v>#N/A</v>
      </c>
      <c r="K6657" t="n">
        <v>0</v>
      </c>
      <c r="L6657" t="n">
        <v>0</v>
      </c>
      <c r="M6657" t="n">
        <v>0</v>
      </c>
      <c r="AC6657" t="n">
        <v>0</v>
      </c>
      <c r="AD6657" t="n">
        <v>0</v>
      </c>
      <c r="AE6657" t="n">
        <v>0</v>
      </c>
      <c r="AF6657" t="n">
        <v>0</v>
      </c>
      <c r="AG6657" t="n">
        <v>0</v>
      </c>
      <c r="AH6657" t="n">
        <v>0</v>
      </c>
    </row>
    <row r="6658">
      <c r="A6658" t="inlineStr">
        <is>
          <t>12월</t>
        </is>
      </c>
      <c r="B6658" t="inlineStr">
        <is>
          <t>52주차</t>
        </is>
      </c>
      <c r="C6658" t="e">
        <v>#N/A</v>
      </c>
      <c r="K6658" t="n">
        <v>0</v>
      </c>
      <c r="L6658" t="n">
        <v>0</v>
      </c>
      <c r="M6658" t="n">
        <v>0</v>
      </c>
      <c r="AC6658" t="n">
        <v>0</v>
      </c>
      <c r="AD6658" t="n">
        <v>0</v>
      </c>
      <c r="AE6658" t="n">
        <v>0</v>
      </c>
      <c r="AF6658" t="n">
        <v>0</v>
      </c>
      <c r="AG6658" t="n">
        <v>0</v>
      </c>
      <c r="AH6658" t="n">
        <v>0</v>
      </c>
      <c r="AI6658" t="n">
        <v>0</v>
      </c>
    </row>
    <row r="6659">
      <c r="A6659" t="inlineStr">
        <is>
          <t>12월</t>
        </is>
      </c>
      <c r="B6659" t="inlineStr">
        <is>
          <t>52주차</t>
        </is>
      </c>
      <c r="C6659" t="e">
        <v>#N/A</v>
      </c>
      <c r="K6659" t="n">
        <v>0</v>
      </c>
      <c r="L6659" t="n">
        <v>0</v>
      </c>
      <c r="M6659" t="n">
        <v>0</v>
      </c>
      <c r="AC6659" t="n">
        <v>0</v>
      </c>
      <c r="AD6659" t="n">
        <v>0</v>
      </c>
      <c r="AE6659" t="n">
        <v>0</v>
      </c>
      <c r="AF6659" t="n">
        <v>0</v>
      </c>
      <c r="AG6659" t="n">
        <v>0</v>
      </c>
      <c r="AH6659" t="n">
        <v>0</v>
      </c>
      <c r="AI6659" t="n">
        <v>0</v>
      </c>
    </row>
    <row r="6660">
      <c r="A6660" t="inlineStr">
        <is>
          <t>12월</t>
        </is>
      </c>
      <c r="B6660" t="inlineStr">
        <is>
          <t>52주차</t>
        </is>
      </c>
      <c r="C6660" t="e">
        <v>#N/A</v>
      </c>
      <c r="K6660" t="n">
        <v>0</v>
      </c>
      <c r="L6660" t="n">
        <v>0</v>
      </c>
      <c r="M6660" t="n">
        <v>0</v>
      </c>
      <c r="AC6660" t="n">
        <v>0</v>
      </c>
      <c r="AD6660" t="n">
        <v>0</v>
      </c>
      <c r="AE6660" t="n">
        <v>0</v>
      </c>
      <c r="AF6660" t="n">
        <v>0</v>
      </c>
      <c r="AG6660" t="n">
        <v>0</v>
      </c>
      <c r="AH6660" t="n">
        <v>0</v>
      </c>
      <c r="AI6660" t="n">
        <v>0</v>
      </c>
    </row>
    <row r="6661">
      <c r="A6661" t="inlineStr">
        <is>
          <t>12월</t>
        </is>
      </c>
      <c r="B6661" t="inlineStr">
        <is>
          <t>52주차</t>
        </is>
      </c>
      <c r="C6661" t="e">
        <v>#N/A</v>
      </c>
      <c r="K6661" t="n">
        <v>0</v>
      </c>
      <c r="L6661" t="n">
        <v>0</v>
      </c>
      <c r="M6661" t="n">
        <v>0</v>
      </c>
      <c r="AC6661" t="n">
        <v>0</v>
      </c>
      <c r="AD6661" t="n">
        <v>0</v>
      </c>
      <c r="AE6661" t="n">
        <v>0</v>
      </c>
      <c r="AF6661" t="n">
        <v>0</v>
      </c>
      <c r="AG6661" t="n">
        <v>0</v>
      </c>
      <c r="AH6661" t="n">
        <v>0</v>
      </c>
    </row>
    <row r="6662">
      <c r="A6662" t="inlineStr">
        <is>
          <t>12월</t>
        </is>
      </c>
      <c r="B6662" t="inlineStr">
        <is>
          <t>52주차</t>
        </is>
      </c>
      <c r="C6662" t="e">
        <v>#N/A</v>
      </c>
      <c r="K6662" t="n">
        <v>0</v>
      </c>
      <c r="L6662" t="n">
        <v>0</v>
      </c>
      <c r="M6662" t="n">
        <v>0</v>
      </c>
      <c r="AC6662" t="n">
        <v>0</v>
      </c>
      <c r="AD6662" t="n">
        <v>0</v>
      </c>
      <c r="AE6662" t="n">
        <v>0</v>
      </c>
      <c r="AF6662" t="n">
        <v>0</v>
      </c>
      <c r="AG6662" t="n">
        <v>0</v>
      </c>
      <c r="AH6662" t="n">
        <v>0</v>
      </c>
    </row>
    <row r="6663">
      <c r="A6663" t="inlineStr">
        <is>
          <t>12월</t>
        </is>
      </c>
      <c r="B6663" t="inlineStr">
        <is>
          <t>52주차</t>
        </is>
      </c>
      <c r="C6663" t="e">
        <v>#N/A</v>
      </c>
      <c r="K6663" t="n">
        <v>0</v>
      </c>
      <c r="L6663" t="n">
        <v>0</v>
      </c>
      <c r="M6663" t="n">
        <v>0</v>
      </c>
      <c r="AC6663" t="n">
        <v>0</v>
      </c>
      <c r="AD6663" t="n">
        <v>0</v>
      </c>
      <c r="AE6663" t="n">
        <v>0</v>
      </c>
      <c r="AF6663" t="n">
        <v>0</v>
      </c>
      <c r="AG6663" t="n">
        <v>0</v>
      </c>
      <c r="AH6663" t="n">
        <v>0</v>
      </c>
      <c r="AI6663" t="n">
        <v>0</v>
      </c>
    </row>
    <row r="6664">
      <c r="A6664" t="inlineStr">
        <is>
          <t>12월</t>
        </is>
      </c>
      <c r="B6664" t="inlineStr">
        <is>
          <t>52주차</t>
        </is>
      </c>
      <c r="C6664" t="e">
        <v>#N/A</v>
      </c>
      <c r="K6664" t="n">
        <v>0</v>
      </c>
      <c r="L6664" t="n">
        <v>0</v>
      </c>
      <c r="M6664" t="n">
        <v>0</v>
      </c>
      <c r="AC6664" t="n">
        <v>0</v>
      </c>
      <c r="AD6664" t="n">
        <v>0</v>
      </c>
      <c r="AE6664" t="n">
        <v>0</v>
      </c>
      <c r="AF6664" t="n">
        <v>0</v>
      </c>
      <c r="AG6664" t="n">
        <v>0</v>
      </c>
      <c r="AH6664" t="n">
        <v>0</v>
      </c>
      <c r="AI6664" t="n">
        <v>0</v>
      </c>
    </row>
    <row r="6665">
      <c r="A6665" t="inlineStr">
        <is>
          <t>12월</t>
        </is>
      </c>
      <c r="B6665" t="inlineStr">
        <is>
          <t>52주차</t>
        </is>
      </c>
      <c r="C6665" t="e">
        <v>#N/A</v>
      </c>
      <c r="K6665" t="n">
        <v>0</v>
      </c>
      <c r="L6665" t="n">
        <v>0</v>
      </c>
      <c r="M6665" t="n">
        <v>0</v>
      </c>
      <c r="AC6665" t="n">
        <v>0</v>
      </c>
      <c r="AD6665" t="n">
        <v>0</v>
      </c>
      <c r="AE6665" t="n">
        <v>0</v>
      </c>
      <c r="AF6665" t="n">
        <v>0</v>
      </c>
      <c r="AG6665" t="n">
        <v>0</v>
      </c>
      <c r="AH6665" t="n">
        <v>0</v>
      </c>
      <c r="AI6665" t="n">
        <v>0</v>
      </c>
    </row>
    <row r="6666">
      <c r="A6666" t="inlineStr">
        <is>
          <t>12월</t>
        </is>
      </c>
      <c r="B6666" t="inlineStr">
        <is>
          <t>52주차</t>
        </is>
      </c>
      <c r="C6666" t="e">
        <v>#N/A</v>
      </c>
      <c r="K6666" t="n">
        <v>0</v>
      </c>
      <c r="L6666" t="n">
        <v>0</v>
      </c>
      <c r="M6666" t="n">
        <v>0</v>
      </c>
      <c r="AC6666" t="n">
        <v>0</v>
      </c>
      <c r="AD6666" t="n">
        <v>0</v>
      </c>
      <c r="AE6666" t="n">
        <v>0</v>
      </c>
      <c r="AF6666" t="n">
        <v>0</v>
      </c>
      <c r="AG6666" t="n">
        <v>0</v>
      </c>
      <c r="AH6666" t="n">
        <v>0</v>
      </c>
      <c r="AI6666" t="n">
        <v>0</v>
      </c>
    </row>
    <row r="6667">
      <c r="A6667" t="inlineStr">
        <is>
          <t>12월</t>
        </is>
      </c>
      <c r="B6667" t="inlineStr">
        <is>
          <t>52주차</t>
        </is>
      </c>
      <c r="C6667" t="e">
        <v>#N/A</v>
      </c>
      <c r="K6667" t="n">
        <v>0</v>
      </c>
      <c r="L6667" t="n">
        <v>0</v>
      </c>
      <c r="M6667" t="n">
        <v>0</v>
      </c>
      <c r="AC6667" t="n">
        <v>0</v>
      </c>
      <c r="AD6667" t="n">
        <v>0</v>
      </c>
      <c r="AE6667" t="n">
        <v>0</v>
      </c>
      <c r="AF6667" t="n">
        <v>0</v>
      </c>
      <c r="AG6667" t="n">
        <v>0</v>
      </c>
      <c r="AH6667" t="n">
        <v>0</v>
      </c>
      <c r="AI6667" t="n">
        <v>0</v>
      </c>
    </row>
    <row r="6668">
      <c r="A6668" t="inlineStr">
        <is>
          <t>12월</t>
        </is>
      </c>
      <c r="B6668" t="inlineStr">
        <is>
          <t>52주차</t>
        </is>
      </c>
      <c r="C6668" t="e">
        <v>#N/A</v>
      </c>
      <c r="K6668" t="n">
        <v>0</v>
      </c>
      <c r="L6668" t="n">
        <v>0</v>
      </c>
      <c r="M6668" t="n">
        <v>0</v>
      </c>
      <c r="AC6668" t="n">
        <v>0</v>
      </c>
      <c r="AD6668" t="n">
        <v>0</v>
      </c>
      <c r="AE6668" t="n">
        <v>0</v>
      </c>
      <c r="AF6668" t="n">
        <v>0</v>
      </c>
      <c r="AG6668" t="n">
        <v>0</v>
      </c>
      <c r="AH6668" t="n">
        <v>0</v>
      </c>
      <c r="AI6668" t="n">
        <v>0</v>
      </c>
    </row>
    <row r="6669">
      <c r="A6669" t="inlineStr">
        <is>
          <t>12월</t>
        </is>
      </c>
      <c r="B6669" t="inlineStr">
        <is>
          <t>52주차</t>
        </is>
      </c>
      <c r="C6669" t="e">
        <v>#N/A</v>
      </c>
      <c r="K6669" t="n">
        <v>0</v>
      </c>
      <c r="L6669" t="n">
        <v>0</v>
      </c>
      <c r="M6669" t="n">
        <v>0</v>
      </c>
      <c r="AC6669" t="n">
        <v>0</v>
      </c>
      <c r="AD6669" t="n">
        <v>0</v>
      </c>
      <c r="AE6669" t="n">
        <v>0</v>
      </c>
      <c r="AF6669" t="n">
        <v>0</v>
      </c>
      <c r="AG6669" t="n">
        <v>0</v>
      </c>
      <c r="AH6669" t="n">
        <v>0</v>
      </c>
    </row>
    <row r="6670">
      <c r="A6670" t="inlineStr">
        <is>
          <t>12월</t>
        </is>
      </c>
      <c r="B6670" t="inlineStr">
        <is>
          <t>52주차</t>
        </is>
      </c>
      <c r="C6670" t="e">
        <v>#N/A</v>
      </c>
      <c r="K6670" t="n">
        <v>0</v>
      </c>
      <c r="L6670" t="n">
        <v>0</v>
      </c>
      <c r="M6670" t="n">
        <v>0</v>
      </c>
      <c r="AC6670" t="n">
        <v>0</v>
      </c>
      <c r="AD6670" t="n">
        <v>0</v>
      </c>
      <c r="AE6670" t="n">
        <v>0</v>
      </c>
      <c r="AF6670" t="n">
        <v>0</v>
      </c>
      <c r="AG6670" t="n">
        <v>0</v>
      </c>
      <c r="AH6670" t="n">
        <v>0</v>
      </c>
      <c r="AI6670" t="n">
        <v>0</v>
      </c>
    </row>
    <row r="6671">
      <c r="A6671" t="inlineStr">
        <is>
          <t>12월</t>
        </is>
      </c>
      <c r="B6671" t="inlineStr">
        <is>
          <t>52주차</t>
        </is>
      </c>
      <c r="C6671" t="e">
        <v>#N/A</v>
      </c>
      <c r="K6671" t="n">
        <v>0</v>
      </c>
      <c r="L6671" t="n">
        <v>0</v>
      </c>
      <c r="M6671" t="n">
        <v>0</v>
      </c>
      <c r="AC6671" t="n">
        <v>0</v>
      </c>
      <c r="AD6671" t="n">
        <v>0</v>
      </c>
      <c r="AE6671" t="n">
        <v>0</v>
      </c>
      <c r="AF6671" t="n">
        <v>0</v>
      </c>
      <c r="AG6671" t="n">
        <v>0</v>
      </c>
      <c r="AH6671" t="n">
        <v>0</v>
      </c>
      <c r="AI6671" t="n">
        <v>0</v>
      </c>
    </row>
    <row r="6672">
      <c r="A6672" t="inlineStr">
        <is>
          <t>12월</t>
        </is>
      </c>
      <c r="B6672" t="inlineStr">
        <is>
          <t>52주차</t>
        </is>
      </c>
      <c r="C6672" t="e">
        <v>#N/A</v>
      </c>
      <c r="K6672" t="n">
        <v>0</v>
      </c>
      <c r="L6672" t="n">
        <v>0</v>
      </c>
      <c r="M6672" t="n">
        <v>0</v>
      </c>
      <c r="AC6672" t="n">
        <v>0</v>
      </c>
      <c r="AD6672" t="n">
        <v>0</v>
      </c>
      <c r="AE6672" t="n">
        <v>0</v>
      </c>
      <c r="AF6672" t="n">
        <v>0</v>
      </c>
      <c r="AG6672" t="n">
        <v>0</v>
      </c>
      <c r="AH6672" t="n">
        <v>0</v>
      </c>
      <c r="AI6672" t="n">
        <v>0</v>
      </c>
    </row>
    <row r="6673">
      <c r="A6673" t="inlineStr">
        <is>
          <t>12월</t>
        </is>
      </c>
      <c r="B6673" t="inlineStr">
        <is>
          <t>52주차</t>
        </is>
      </c>
      <c r="C6673" t="e">
        <v>#N/A</v>
      </c>
      <c r="K6673" t="n">
        <v>0</v>
      </c>
      <c r="L6673" t="n">
        <v>0</v>
      </c>
      <c r="M6673" t="n">
        <v>0</v>
      </c>
      <c r="AC6673" t="n">
        <v>0</v>
      </c>
      <c r="AD6673" t="n">
        <v>0</v>
      </c>
      <c r="AE6673" t="n">
        <v>0</v>
      </c>
      <c r="AF6673" t="n">
        <v>0</v>
      </c>
      <c r="AG6673" t="n">
        <v>0</v>
      </c>
      <c r="AH6673" t="n">
        <v>0</v>
      </c>
      <c r="AI6673" t="n">
        <v>0</v>
      </c>
    </row>
    <row r="6674">
      <c r="A6674" t="inlineStr">
        <is>
          <t>12월</t>
        </is>
      </c>
      <c r="B6674" t="inlineStr">
        <is>
          <t>52주차</t>
        </is>
      </c>
      <c r="C6674" t="e">
        <v>#N/A</v>
      </c>
      <c r="K6674" t="n">
        <v>0</v>
      </c>
      <c r="L6674" t="n">
        <v>0</v>
      </c>
      <c r="M6674" t="n">
        <v>0</v>
      </c>
      <c r="AC6674" t="n">
        <v>0</v>
      </c>
      <c r="AD6674" t="n">
        <v>0</v>
      </c>
      <c r="AE6674" t="n">
        <v>0</v>
      </c>
      <c r="AF6674" t="n">
        <v>0</v>
      </c>
      <c r="AG6674" t="n">
        <v>0</v>
      </c>
      <c r="AH6674" t="n">
        <v>0</v>
      </c>
    </row>
    <row r="6675">
      <c r="A6675" t="inlineStr">
        <is>
          <t>12월</t>
        </is>
      </c>
      <c r="B6675" t="inlineStr">
        <is>
          <t>52주차</t>
        </is>
      </c>
      <c r="C6675" t="e">
        <v>#N/A</v>
      </c>
      <c r="K6675" t="n">
        <v>0</v>
      </c>
      <c r="L6675" t="n">
        <v>0</v>
      </c>
      <c r="M6675" t="n">
        <v>0</v>
      </c>
      <c r="AC6675" t="n">
        <v>0</v>
      </c>
      <c r="AD6675" t="n">
        <v>0</v>
      </c>
      <c r="AE6675" t="n">
        <v>0</v>
      </c>
      <c r="AF6675" t="n">
        <v>0</v>
      </c>
      <c r="AG6675" t="n">
        <v>0</v>
      </c>
      <c r="AH6675" t="n">
        <v>0</v>
      </c>
    </row>
    <row r="6676">
      <c r="A6676" t="inlineStr">
        <is>
          <t>12월</t>
        </is>
      </c>
      <c r="B6676" t="inlineStr">
        <is>
          <t>52주차</t>
        </is>
      </c>
      <c r="C6676" t="e">
        <v>#N/A</v>
      </c>
      <c r="K6676" t="n">
        <v>0</v>
      </c>
      <c r="L6676" t="n">
        <v>0</v>
      </c>
      <c r="M6676" t="n">
        <v>0</v>
      </c>
      <c r="AC6676" t="n">
        <v>0</v>
      </c>
      <c r="AD6676" t="n">
        <v>0</v>
      </c>
      <c r="AE6676" t="n">
        <v>0</v>
      </c>
      <c r="AF6676" t="n">
        <v>0</v>
      </c>
      <c r="AG6676" t="n">
        <v>0</v>
      </c>
      <c r="AH6676" t="n">
        <v>0</v>
      </c>
      <c r="AI6676" t="n">
        <v>0</v>
      </c>
    </row>
    <row r="6677">
      <c r="A6677" t="inlineStr">
        <is>
          <t>12월</t>
        </is>
      </c>
      <c r="B6677" t="inlineStr">
        <is>
          <t>52주차</t>
        </is>
      </c>
      <c r="C6677" t="e">
        <v>#N/A</v>
      </c>
      <c r="K6677" t="n">
        <v>0</v>
      </c>
      <c r="L6677" t="n">
        <v>0</v>
      </c>
      <c r="M6677" t="n">
        <v>0</v>
      </c>
      <c r="AC6677" t="n">
        <v>0</v>
      </c>
      <c r="AD6677" t="n">
        <v>0</v>
      </c>
      <c r="AE6677" t="n">
        <v>0</v>
      </c>
      <c r="AF6677" t="n">
        <v>0</v>
      </c>
      <c r="AG6677" t="n">
        <v>0</v>
      </c>
      <c r="AH6677" t="n">
        <v>0</v>
      </c>
    </row>
    <row r="6678">
      <c r="A6678" t="inlineStr">
        <is>
          <t>12월</t>
        </is>
      </c>
      <c r="B6678" t="inlineStr">
        <is>
          <t>52주차</t>
        </is>
      </c>
      <c r="C6678" t="e">
        <v>#N/A</v>
      </c>
      <c r="K6678" t="n">
        <v>0</v>
      </c>
      <c r="L6678" t="n">
        <v>0</v>
      </c>
      <c r="M6678" t="n">
        <v>0</v>
      </c>
      <c r="AC6678" t="n">
        <v>0</v>
      </c>
      <c r="AD6678" t="n">
        <v>0</v>
      </c>
      <c r="AE6678" t="n">
        <v>0</v>
      </c>
      <c r="AF6678" t="n">
        <v>0</v>
      </c>
      <c r="AG6678" t="n">
        <v>0</v>
      </c>
      <c r="AH6678" t="n">
        <v>0</v>
      </c>
      <c r="AI6678" t="n">
        <v>0</v>
      </c>
    </row>
    <row r="6679">
      <c r="A6679" t="inlineStr">
        <is>
          <t>12월</t>
        </is>
      </c>
      <c r="B6679" t="inlineStr">
        <is>
          <t>52주차</t>
        </is>
      </c>
      <c r="C6679" t="e">
        <v>#N/A</v>
      </c>
      <c r="K6679" t="n">
        <v>0</v>
      </c>
      <c r="L6679" t="n">
        <v>0</v>
      </c>
      <c r="M6679" t="n">
        <v>0</v>
      </c>
      <c r="AC6679" t="n">
        <v>0</v>
      </c>
      <c r="AD6679" t="n">
        <v>0</v>
      </c>
      <c r="AE6679" t="n">
        <v>0</v>
      </c>
      <c r="AF6679" t="n">
        <v>0</v>
      </c>
      <c r="AG6679" t="n">
        <v>0</v>
      </c>
      <c r="AH6679" t="n">
        <v>0</v>
      </c>
      <c r="AI6679" t="n">
        <v>0</v>
      </c>
    </row>
    <row r="6680">
      <c r="A6680" t="inlineStr">
        <is>
          <t>12월</t>
        </is>
      </c>
      <c r="B6680" t="inlineStr">
        <is>
          <t>52주차</t>
        </is>
      </c>
      <c r="C6680" t="e">
        <v>#N/A</v>
      </c>
      <c r="K6680" t="n">
        <v>0</v>
      </c>
      <c r="L6680" t="n">
        <v>0</v>
      </c>
      <c r="M6680" t="n">
        <v>0</v>
      </c>
      <c r="AC6680" t="n">
        <v>0</v>
      </c>
      <c r="AD6680" t="n">
        <v>0</v>
      </c>
      <c r="AE6680" t="n">
        <v>0</v>
      </c>
      <c r="AF6680" t="n">
        <v>0</v>
      </c>
      <c r="AG6680" t="n">
        <v>0</v>
      </c>
      <c r="AH6680" t="n">
        <v>0</v>
      </c>
    </row>
    <row r="6681">
      <c r="A6681" t="inlineStr">
        <is>
          <t>12월</t>
        </is>
      </c>
      <c r="B6681" t="inlineStr">
        <is>
          <t>52주차</t>
        </is>
      </c>
      <c r="C6681" t="e">
        <v>#N/A</v>
      </c>
      <c r="K6681" t="n">
        <v>0</v>
      </c>
      <c r="L6681" t="n">
        <v>0</v>
      </c>
      <c r="M6681" t="n">
        <v>0</v>
      </c>
      <c r="AC6681" t="n">
        <v>0</v>
      </c>
      <c r="AD6681" t="n">
        <v>0</v>
      </c>
      <c r="AE6681" t="n">
        <v>0</v>
      </c>
      <c r="AF6681" t="n">
        <v>0</v>
      </c>
      <c r="AG6681" t="n">
        <v>0</v>
      </c>
      <c r="AH6681" t="n">
        <v>0</v>
      </c>
    </row>
    <row r="6682">
      <c r="A6682" t="inlineStr">
        <is>
          <t>12월</t>
        </is>
      </c>
      <c r="B6682" t="inlineStr">
        <is>
          <t>52주차</t>
        </is>
      </c>
      <c r="C6682" t="e">
        <v>#N/A</v>
      </c>
      <c r="K6682" t="n">
        <v>0</v>
      </c>
      <c r="L6682" t="n">
        <v>0</v>
      </c>
      <c r="M6682" t="n">
        <v>0</v>
      </c>
      <c r="AC6682" t="n">
        <v>0</v>
      </c>
      <c r="AD6682" t="n">
        <v>0</v>
      </c>
      <c r="AE6682" t="n">
        <v>0</v>
      </c>
      <c r="AF6682" t="n">
        <v>0</v>
      </c>
      <c r="AG6682" t="n">
        <v>0</v>
      </c>
      <c r="AH6682" t="n">
        <v>0</v>
      </c>
      <c r="AI6682" t="n">
        <v>0</v>
      </c>
    </row>
    <row r="6683">
      <c r="A6683" t="inlineStr">
        <is>
          <t>12월</t>
        </is>
      </c>
      <c r="B6683" t="inlineStr">
        <is>
          <t>52주차</t>
        </is>
      </c>
      <c r="C6683" t="e">
        <v>#N/A</v>
      </c>
      <c r="K6683" t="n">
        <v>0</v>
      </c>
      <c r="L6683" t="n">
        <v>0</v>
      </c>
      <c r="M6683" t="n">
        <v>0</v>
      </c>
      <c r="AC6683" t="n">
        <v>0</v>
      </c>
      <c r="AD6683" t="n">
        <v>0</v>
      </c>
      <c r="AE6683" t="n">
        <v>0</v>
      </c>
      <c r="AF6683" t="n">
        <v>0</v>
      </c>
      <c r="AG6683" t="n">
        <v>0</v>
      </c>
      <c r="AH6683" t="n">
        <v>0</v>
      </c>
      <c r="AI6683" t="n">
        <v>0</v>
      </c>
    </row>
    <row r="6684">
      <c r="A6684" t="inlineStr">
        <is>
          <t>12월</t>
        </is>
      </c>
      <c r="B6684" t="inlineStr">
        <is>
          <t>52주차</t>
        </is>
      </c>
      <c r="C6684" t="e">
        <v>#N/A</v>
      </c>
      <c r="K6684" t="n">
        <v>0</v>
      </c>
      <c r="L6684" t="n">
        <v>0</v>
      </c>
      <c r="M6684" t="n">
        <v>0</v>
      </c>
      <c r="AC6684" t="n">
        <v>0</v>
      </c>
      <c r="AD6684" t="n">
        <v>0</v>
      </c>
      <c r="AE6684" t="n">
        <v>0</v>
      </c>
      <c r="AF6684" t="n">
        <v>0</v>
      </c>
      <c r="AG6684" t="n">
        <v>0</v>
      </c>
      <c r="AH6684" t="n">
        <v>0</v>
      </c>
      <c r="AI6684" t="n">
        <v>0</v>
      </c>
    </row>
    <row r="6685">
      <c r="A6685" t="inlineStr">
        <is>
          <t>12월</t>
        </is>
      </c>
      <c r="B6685" t="inlineStr">
        <is>
          <t>52주차</t>
        </is>
      </c>
      <c r="C6685" t="e">
        <v>#N/A</v>
      </c>
      <c r="K6685" t="n">
        <v>0</v>
      </c>
      <c r="L6685" t="n">
        <v>0</v>
      </c>
      <c r="M6685" t="n">
        <v>0</v>
      </c>
      <c r="AC6685" t="n">
        <v>0</v>
      </c>
      <c r="AD6685" t="n">
        <v>0</v>
      </c>
      <c r="AE6685" t="n">
        <v>0</v>
      </c>
      <c r="AF6685" t="n">
        <v>0</v>
      </c>
      <c r="AG6685" t="n">
        <v>0</v>
      </c>
      <c r="AH6685" t="n">
        <v>0</v>
      </c>
      <c r="AI6685" t="n">
        <v>0</v>
      </c>
    </row>
    <row r="6686">
      <c r="A6686" t="inlineStr">
        <is>
          <t>12월</t>
        </is>
      </c>
      <c r="B6686" t="inlineStr">
        <is>
          <t>52주차</t>
        </is>
      </c>
      <c r="C6686" t="e">
        <v>#N/A</v>
      </c>
      <c r="K6686" t="n">
        <v>0</v>
      </c>
      <c r="L6686" t="n">
        <v>0</v>
      </c>
      <c r="M6686" t="n">
        <v>0</v>
      </c>
      <c r="AC6686" t="n">
        <v>0</v>
      </c>
      <c r="AD6686" t="n">
        <v>0</v>
      </c>
      <c r="AE6686" t="n">
        <v>0</v>
      </c>
      <c r="AF6686" t="n">
        <v>0</v>
      </c>
      <c r="AG6686" t="n">
        <v>0</v>
      </c>
      <c r="AH6686" t="n">
        <v>0</v>
      </c>
    </row>
    <row r="6687">
      <c r="A6687" t="inlineStr">
        <is>
          <t>12월</t>
        </is>
      </c>
      <c r="B6687" t="inlineStr">
        <is>
          <t>52주차</t>
        </is>
      </c>
      <c r="C6687" t="e">
        <v>#N/A</v>
      </c>
      <c r="K6687" t="n">
        <v>0</v>
      </c>
      <c r="L6687" t="n">
        <v>0</v>
      </c>
      <c r="M6687" t="n">
        <v>0</v>
      </c>
      <c r="AC6687" t="n">
        <v>0</v>
      </c>
      <c r="AD6687" t="n">
        <v>0</v>
      </c>
      <c r="AE6687" t="n">
        <v>0</v>
      </c>
      <c r="AF6687" t="n">
        <v>0</v>
      </c>
      <c r="AG6687" t="n">
        <v>0</v>
      </c>
      <c r="AH6687" t="n">
        <v>0</v>
      </c>
      <c r="AI6687" t="n">
        <v>0</v>
      </c>
    </row>
    <row r="6688">
      <c r="A6688" t="inlineStr">
        <is>
          <t>12월</t>
        </is>
      </c>
      <c r="B6688" t="inlineStr">
        <is>
          <t>52주차</t>
        </is>
      </c>
      <c r="C6688" t="e">
        <v>#N/A</v>
      </c>
      <c r="K6688" t="n">
        <v>0</v>
      </c>
      <c r="L6688" t="n">
        <v>0</v>
      </c>
      <c r="M6688" t="n">
        <v>0</v>
      </c>
      <c r="AC6688" t="n">
        <v>0</v>
      </c>
      <c r="AD6688" t="n">
        <v>0</v>
      </c>
      <c r="AE6688" t="n">
        <v>0</v>
      </c>
      <c r="AF6688" t="n">
        <v>0</v>
      </c>
      <c r="AG6688" t="n">
        <v>0</v>
      </c>
      <c r="AH6688" t="n">
        <v>0</v>
      </c>
      <c r="AI6688" t="n">
        <v>0</v>
      </c>
    </row>
    <row r="6689">
      <c r="A6689" t="inlineStr">
        <is>
          <t>12월</t>
        </is>
      </c>
      <c r="B6689" t="inlineStr">
        <is>
          <t>52주차</t>
        </is>
      </c>
      <c r="C6689" t="e">
        <v>#N/A</v>
      </c>
      <c r="K6689" t="n">
        <v>0</v>
      </c>
      <c r="L6689" t="n">
        <v>0</v>
      </c>
      <c r="M6689" t="n">
        <v>0</v>
      </c>
      <c r="AC6689" t="n">
        <v>0</v>
      </c>
      <c r="AD6689" t="n">
        <v>0</v>
      </c>
      <c r="AE6689" t="n">
        <v>0</v>
      </c>
      <c r="AF6689" t="n">
        <v>0</v>
      </c>
      <c r="AG6689" t="n">
        <v>0</v>
      </c>
      <c r="AH6689" t="n">
        <v>0</v>
      </c>
    </row>
    <row r="6690">
      <c r="A6690" t="inlineStr">
        <is>
          <t>12월</t>
        </is>
      </c>
      <c r="B6690" t="inlineStr">
        <is>
          <t>52주차</t>
        </is>
      </c>
      <c r="C6690" t="e">
        <v>#N/A</v>
      </c>
      <c r="K6690" t="n">
        <v>0</v>
      </c>
      <c r="L6690" t="n">
        <v>0</v>
      </c>
      <c r="M6690" t="n">
        <v>0</v>
      </c>
      <c r="AC6690" t="n">
        <v>0</v>
      </c>
      <c r="AD6690" t="n">
        <v>0</v>
      </c>
      <c r="AE6690" t="n">
        <v>0</v>
      </c>
      <c r="AF6690" t="n">
        <v>0</v>
      </c>
      <c r="AG6690" t="n">
        <v>0</v>
      </c>
      <c r="AH6690" t="n">
        <v>0</v>
      </c>
      <c r="AI6690" t="n">
        <v>0</v>
      </c>
    </row>
    <row r="6691">
      <c r="A6691" t="inlineStr">
        <is>
          <t>12월</t>
        </is>
      </c>
      <c r="B6691" t="inlineStr">
        <is>
          <t>52주차</t>
        </is>
      </c>
      <c r="C6691" t="e">
        <v>#N/A</v>
      </c>
      <c r="K6691" t="n">
        <v>0</v>
      </c>
      <c r="L6691" t="n">
        <v>0</v>
      </c>
      <c r="M6691" t="n">
        <v>0</v>
      </c>
      <c r="AC6691" t="n">
        <v>0</v>
      </c>
      <c r="AD6691" t="n">
        <v>0</v>
      </c>
      <c r="AE6691" t="n">
        <v>0</v>
      </c>
      <c r="AF6691" t="n">
        <v>0</v>
      </c>
      <c r="AG6691" t="n">
        <v>0</v>
      </c>
      <c r="AH6691" t="n">
        <v>0</v>
      </c>
    </row>
    <row r="6692">
      <c r="A6692" t="inlineStr">
        <is>
          <t>12월</t>
        </is>
      </c>
      <c r="B6692" t="inlineStr">
        <is>
          <t>52주차</t>
        </is>
      </c>
      <c r="C6692" t="e">
        <v>#N/A</v>
      </c>
      <c r="K6692" t="n">
        <v>0</v>
      </c>
      <c r="L6692" t="n">
        <v>0</v>
      </c>
      <c r="M6692" t="n">
        <v>0</v>
      </c>
      <c r="AC6692" t="n">
        <v>0</v>
      </c>
      <c r="AD6692" t="n">
        <v>0</v>
      </c>
      <c r="AE6692" t="n">
        <v>0</v>
      </c>
      <c r="AF6692" t="n">
        <v>0</v>
      </c>
      <c r="AG6692" t="n">
        <v>0</v>
      </c>
      <c r="AH6692" t="n">
        <v>0</v>
      </c>
    </row>
    <row r="6693">
      <c r="A6693" t="inlineStr">
        <is>
          <t>12월</t>
        </is>
      </c>
      <c r="B6693" t="inlineStr">
        <is>
          <t>52주차</t>
        </is>
      </c>
      <c r="C6693" t="e">
        <v>#N/A</v>
      </c>
      <c r="K6693" t="n">
        <v>0</v>
      </c>
      <c r="L6693" t="n">
        <v>0</v>
      </c>
      <c r="M6693" t="n">
        <v>0</v>
      </c>
      <c r="AC6693" t="n">
        <v>0</v>
      </c>
      <c r="AD6693" t="n">
        <v>0</v>
      </c>
      <c r="AE6693" t="n">
        <v>0</v>
      </c>
      <c r="AF6693" t="n">
        <v>0</v>
      </c>
      <c r="AG6693" t="n">
        <v>0</v>
      </c>
      <c r="AH6693" t="n">
        <v>0</v>
      </c>
      <c r="AI6693" t="n">
        <v>0</v>
      </c>
    </row>
    <row r="6694">
      <c r="A6694" t="inlineStr">
        <is>
          <t>12월</t>
        </is>
      </c>
      <c r="B6694" t="inlineStr">
        <is>
          <t>52주차</t>
        </is>
      </c>
      <c r="C6694" t="e">
        <v>#N/A</v>
      </c>
      <c r="K6694" t="n">
        <v>0</v>
      </c>
      <c r="L6694" t="n">
        <v>0</v>
      </c>
      <c r="M6694" t="n">
        <v>0</v>
      </c>
      <c r="AC6694" t="n">
        <v>0</v>
      </c>
      <c r="AD6694" t="n">
        <v>0</v>
      </c>
      <c r="AE6694" t="n">
        <v>0</v>
      </c>
      <c r="AF6694" t="n">
        <v>0</v>
      </c>
      <c r="AG6694" t="n">
        <v>0</v>
      </c>
      <c r="AH6694" t="n">
        <v>0</v>
      </c>
    </row>
    <row r="6695">
      <c r="A6695" t="inlineStr">
        <is>
          <t>12월</t>
        </is>
      </c>
      <c r="B6695" t="inlineStr">
        <is>
          <t>52주차</t>
        </is>
      </c>
      <c r="C6695" t="e">
        <v>#N/A</v>
      </c>
      <c r="K6695" t="n">
        <v>0</v>
      </c>
      <c r="L6695" t="n">
        <v>0</v>
      </c>
      <c r="M6695" t="n">
        <v>0</v>
      </c>
      <c r="AC6695" t="n">
        <v>0</v>
      </c>
      <c r="AD6695" t="n">
        <v>0</v>
      </c>
      <c r="AE6695" t="n">
        <v>0</v>
      </c>
      <c r="AF6695" t="n">
        <v>0</v>
      </c>
      <c r="AG6695" t="n">
        <v>0</v>
      </c>
      <c r="AH6695" t="n">
        <v>0</v>
      </c>
      <c r="AI6695" t="n">
        <v>0</v>
      </c>
    </row>
    <row r="6696">
      <c r="A6696" t="inlineStr">
        <is>
          <t>12월</t>
        </is>
      </c>
      <c r="B6696" t="inlineStr">
        <is>
          <t>52주차</t>
        </is>
      </c>
      <c r="C6696" t="e">
        <v>#N/A</v>
      </c>
      <c r="K6696" t="n">
        <v>0</v>
      </c>
      <c r="L6696" t="n">
        <v>0</v>
      </c>
      <c r="M6696" t="n">
        <v>0</v>
      </c>
      <c r="AC6696" t="n">
        <v>0</v>
      </c>
      <c r="AD6696" t="n">
        <v>0</v>
      </c>
      <c r="AE6696" t="n">
        <v>0</v>
      </c>
      <c r="AF6696" t="n">
        <v>0</v>
      </c>
      <c r="AG6696" t="n">
        <v>0</v>
      </c>
      <c r="AH6696" t="n">
        <v>0</v>
      </c>
    </row>
    <row r="6697">
      <c r="A6697" t="inlineStr">
        <is>
          <t>12월</t>
        </is>
      </c>
      <c r="B6697" t="inlineStr">
        <is>
          <t>52주차</t>
        </is>
      </c>
      <c r="C6697" t="e">
        <v>#N/A</v>
      </c>
      <c r="K6697" t="n">
        <v>0</v>
      </c>
      <c r="L6697" t="n">
        <v>0</v>
      </c>
      <c r="M6697" t="n">
        <v>0</v>
      </c>
      <c r="AC6697" t="n">
        <v>0</v>
      </c>
      <c r="AD6697" t="n">
        <v>0</v>
      </c>
      <c r="AE6697" t="n">
        <v>0</v>
      </c>
      <c r="AF6697" t="n">
        <v>0</v>
      </c>
      <c r="AG6697" t="n">
        <v>0</v>
      </c>
      <c r="AH6697" t="n">
        <v>0</v>
      </c>
      <c r="AI6697" t="n">
        <v>0</v>
      </c>
    </row>
    <row r="6698">
      <c r="A6698" t="inlineStr">
        <is>
          <t>12월</t>
        </is>
      </c>
      <c r="B6698" t="inlineStr">
        <is>
          <t>52주차</t>
        </is>
      </c>
      <c r="C6698" t="e">
        <v>#N/A</v>
      </c>
      <c r="K6698" t="n">
        <v>0</v>
      </c>
      <c r="L6698" t="n">
        <v>0</v>
      </c>
      <c r="M6698" t="n">
        <v>0</v>
      </c>
      <c r="AC6698" t="n">
        <v>0</v>
      </c>
      <c r="AD6698" t="n">
        <v>0</v>
      </c>
      <c r="AE6698" t="n">
        <v>0</v>
      </c>
      <c r="AF6698" t="n">
        <v>0</v>
      </c>
      <c r="AG6698" t="n">
        <v>0</v>
      </c>
      <c r="AH6698" t="n">
        <v>0</v>
      </c>
      <c r="AI6698" t="n">
        <v>0</v>
      </c>
    </row>
    <row r="6699">
      <c r="A6699" t="inlineStr">
        <is>
          <t>12월</t>
        </is>
      </c>
      <c r="B6699" t="inlineStr">
        <is>
          <t>52주차</t>
        </is>
      </c>
      <c r="C6699" t="e">
        <v>#N/A</v>
      </c>
      <c r="K6699" t="n">
        <v>0</v>
      </c>
      <c r="L6699" t="n">
        <v>0</v>
      </c>
      <c r="M6699" t="n">
        <v>0</v>
      </c>
      <c r="AC6699" t="n">
        <v>0</v>
      </c>
      <c r="AD6699" t="n">
        <v>0</v>
      </c>
      <c r="AE6699" t="n">
        <v>0</v>
      </c>
      <c r="AF6699" t="n">
        <v>0</v>
      </c>
      <c r="AG6699" t="n">
        <v>0</v>
      </c>
      <c r="AH6699" t="n">
        <v>0</v>
      </c>
    </row>
    <row r="6700">
      <c r="A6700" t="inlineStr">
        <is>
          <t>12월</t>
        </is>
      </c>
      <c r="B6700" t="inlineStr">
        <is>
          <t>52주차</t>
        </is>
      </c>
      <c r="C6700" t="e">
        <v>#N/A</v>
      </c>
      <c r="K6700" t="n">
        <v>0</v>
      </c>
      <c r="L6700" t="n">
        <v>0</v>
      </c>
      <c r="M6700" t="n">
        <v>0</v>
      </c>
      <c r="AC6700" t="n">
        <v>0</v>
      </c>
      <c r="AD6700" t="n">
        <v>0</v>
      </c>
      <c r="AE6700" t="n">
        <v>0</v>
      </c>
      <c r="AF6700" t="n">
        <v>0</v>
      </c>
      <c r="AG6700" t="n">
        <v>0</v>
      </c>
      <c r="AH6700" t="n">
        <v>0</v>
      </c>
      <c r="AI6700" t="n">
        <v>0</v>
      </c>
    </row>
    <row r="6701">
      <c r="A6701" t="inlineStr">
        <is>
          <t>12월</t>
        </is>
      </c>
      <c r="B6701" t="inlineStr">
        <is>
          <t>52주차</t>
        </is>
      </c>
      <c r="C6701" t="e">
        <v>#N/A</v>
      </c>
      <c r="K6701" t="n">
        <v>0</v>
      </c>
      <c r="L6701" t="n">
        <v>0</v>
      </c>
      <c r="M6701" t="n">
        <v>0</v>
      </c>
      <c r="AC6701" t="n">
        <v>0</v>
      </c>
      <c r="AD6701" t="n">
        <v>0</v>
      </c>
      <c r="AE6701" t="n">
        <v>0</v>
      </c>
      <c r="AF6701" t="n">
        <v>0</v>
      </c>
      <c r="AG6701" t="n">
        <v>0</v>
      </c>
      <c r="AH6701" t="n">
        <v>0</v>
      </c>
      <c r="AI6701" t="n">
        <v>0</v>
      </c>
    </row>
    <row r="6702">
      <c r="A6702" t="inlineStr">
        <is>
          <t>12월</t>
        </is>
      </c>
      <c r="B6702" t="inlineStr">
        <is>
          <t>52주차</t>
        </is>
      </c>
      <c r="C6702" t="e">
        <v>#N/A</v>
      </c>
      <c r="K6702" t="n">
        <v>0</v>
      </c>
      <c r="L6702" t="n">
        <v>0</v>
      </c>
      <c r="M6702" t="n">
        <v>0</v>
      </c>
      <c r="AC6702" t="n">
        <v>0</v>
      </c>
      <c r="AD6702" t="n">
        <v>0</v>
      </c>
      <c r="AE6702" t="n">
        <v>0</v>
      </c>
      <c r="AF6702" t="n">
        <v>0</v>
      </c>
      <c r="AG6702" t="n">
        <v>0</v>
      </c>
      <c r="AH6702" t="n">
        <v>0</v>
      </c>
      <c r="AI6702" t="n">
        <v>0</v>
      </c>
    </row>
    <row r="6703">
      <c r="A6703" t="inlineStr">
        <is>
          <t>12월</t>
        </is>
      </c>
      <c r="B6703" t="inlineStr">
        <is>
          <t>52주차</t>
        </is>
      </c>
      <c r="C6703" t="e">
        <v>#N/A</v>
      </c>
      <c r="K6703" t="n">
        <v>0</v>
      </c>
      <c r="L6703" t="n">
        <v>0</v>
      </c>
      <c r="M6703" t="n">
        <v>0</v>
      </c>
      <c r="AC6703" t="n">
        <v>0</v>
      </c>
      <c r="AD6703" t="n">
        <v>0</v>
      </c>
      <c r="AE6703" t="n">
        <v>0</v>
      </c>
      <c r="AF6703" t="n">
        <v>0</v>
      </c>
      <c r="AG6703" t="n">
        <v>0</v>
      </c>
      <c r="AH6703" t="n">
        <v>0</v>
      </c>
      <c r="AI6703" t="n">
        <v>0</v>
      </c>
    </row>
    <row r="6704">
      <c r="A6704" t="inlineStr">
        <is>
          <t>12월</t>
        </is>
      </c>
      <c r="B6704" t="inlineStr">
        <is>
          <t>52주차</t>
        </is>
      </c>
      <c r="C6704" t="e">
        <v>#N/A</v>
      </c>
      <c r="K6704" t="n">
        <v>0</v>
      </c>
      <c r="L6704" t="n">
        <v>0</v>
      </c>
      <c r="M6704" t="n">
        <v>0</v>
      </c>
      <c r="AC6704" t="n">
        <v>0</v>
      </c>
      <c r="AD6704" t="n">
        <v>0</v>
      </c>
      <c r="AE6704" t="n">
        <v>0</v>
      </c>
      <c r="AF6704" t="n">
        <v>0</v>
      </c>
      <c r="AG6704" t="n">
        <v>0</v>
      </c>
      <c r="AH6704" t="n">
        <v>0</v>
      </c>
      <c r="AI6704" t="n">
        <v>0</v>
      </c>
    </row>
    <row r="6705">
      <c r="A6705" t="inlineStr">
        <is>
          <t>12월</t>
        </is>
      </c>
      <c r="B6705" t="inlineStr">
        <is>
          <t>52주차</t>
        </is>
      </c>
      <c r="C6705" t="e">
        <v>#N/A</v>
      </c>
      <c r="K6705" t="n">
        <v>0</v>
      </c>
      <c r="L6705" t="n">
        <v>0</v>
      </c>
      <c r="M6705" t="n">
        <v>0</v>
      </c>
      <c r="AC6705" t="n">
        <v>0</v>
      </c>
      <c r="AD6705" t="n">
        <v>0</v>
      </c>
      <c r="AE6705" t="n">
        <v>0</v>
      </c>
      <c r="AF6705" t="n">
        <v>0</v>
      </c>
      <c r="AG6705" t="n">
        <v>0</v>
      </c>
      <c r="AH6705" t="n">
        <v>0</v>
      </c>
      <c r="AI6705" t="n">
        <v>0</v>
      </c>
    </row>
    <row r="6706">
      <c r="A6706" t="inlineStr">
        <is>
          <t>12월</t>
        </is>
      </c>
      <c r="B6706" t="inlineStr">
        <is>
          <t>52주차</t>
        </is>
      </c>
      <c r="C6706" t="e">
        <v>#N/A</v>
      </c>
      <c r="K6706" t="n">
        <v>0</v>
      </c>
      <c r="L6706" t="n">
        <v>0</v>
      </c>
      <c r="M6706" t="n">
        <v>0</v>
      </c>
      <c r="AC6706" t="n">
        <v>0</v>
      </c>
      <c r="AD6706" t="n">
        <v>0</v>
      </c>
      <c r="AE6706" t="n">
        <v>0</v>
      </c>
      <c r="AF6706" t="n">
        <v>0</v>
      </c>
      <c r="AG6706" t="n">
        <v>0</v>
      </c>
      <c r="AH6706" t="n">
        <v>0</v>
      </c>
      <c r="AI6706" t="n">
        <v>0</v>
      </c>
    </row>
    <row r="6707">
      <c r="A6707" t="inlineStr">
        <is>
          <t>12월</t>
        </is>
      </c>
      <c r="B6707" t="inlineStr">
        <is>
          <t>52주차</t>
        </is>
      </c>
      <c r="C6707" t="e">
        <v>#N/A</v>
      </c>
      <c r="K6707" t="n">
        <v>0</v>
      </c>
      <c r="L6707" t="n">
        <v>0</v>
      </c>
      <c r="M6707" t="n">
        <v>0</v>
      </c>
      <c r="AC6707" t="n">
        <v>0</v>
      </c>
      <c r="AD6707" t="n">
        <v>0</v>
      </c>
      <c r="AE6707" t="n">
        <v>0</v>
      </c>
      <c r="AF6707" t="n">
        <v>0</v>
      </c>
      <c r="AG6707" t="n">
        <v>0</v>
      </c>
      <c r="AH6707" t="n">
        <v>0</v>
      </c>
      <c r="AI6707" t="n">
        <v>0</v>
      </c>
    </row>
    <row r="6708">
      <c r="A6708" t="inlineStr">
        <is>
          <t>12월</t>
        </is>
      </c>
      <c r="B6708" t="inlineStr">
        <is>
          <t>52주차</t>
        </is>
      </c>
      <c r="C6708" t="e">
        <v>#N/A</v>
      </c>
      <c r="K6708" t="n">
        <v>0</v>
      </c>
      <c r="L6708" t="n">
        <v>0</v>
      </c>
      <c r="M6708" t="n">
        <v>0</v>
      </c>
      <c r="AC6708" t="n">
        <v>0</v>
      </c>
      <c r="AD6708" t="n">
        <v>0</v>
      </c>
      <c r="AE6708" t="n">
        <v>0</v>
      </c>
      <c r="AF6708" t="n">
        <v>0</v>
      </c>
      <c r="AG6708" t="n">
        <v>0</v>
      </c>
      <c r="AH6708" t="n">
        <v>0</v>
      </c>
    </row>
    <row r="6709">
      <c r="A6709" t="inlineStr">
        <is>
          <t>12월</t>
        </is>
      </c>
      <c r="B6709" t="inlineStr">
        <is>
          <t>52주차</t>
        </is>
      </c>
      <c r="C6709" t="e">
        <v>#N/A</v>
      </c>
      <c r="K6709" t="n">
        <v>0</v>
      </c>
      <c r="L6709" t="n">
        <v>0</v>
      </c>
      <c r="M6709" t="n">
        <v>0</v>
      </c>
      <c r="AC6709" t="n">
        <v>0</v>
      </c>
      <c r="AD6709" t="n">
        <v>0</v>
      </c>
      <c r="AE6709" t="n">
        <v>0</v>
      </c>
      <c r="AF6709" t="n">
        <v>0</v>
      </c>
      <c r="AG6709" t="n">
        <v>0</v>
      </c>
      <c r="AH6709" t="n">
        <v>0</v>
      </c>
      <c r="AI6709" t="n">
        <v>0</v>
      </c>
    </row>
    <row r="6710">
      <c r="A6710" t="inlineStr">
        <is>
          <t>12월</t>
        </is>
      </c>
      <c r="B6710" t="inlineStr">
        <is>
          <t>52주차</t>
        </is>
      </c>
      <c r="C6710" t="e">
        <v>#N/A</v>
      </c>
      <c r="K6710" t="n">
        <v>0</v>
      </c>
      <c r="L6710" t="n">
        <v>0</v>
      </c>
      <c r="M6710" t="n">
        <v>0</v>
      </c>
      <c r="AC6710" t="n">
        <v>0</v>
      </c>
      <c r="AD6710" t="n">
        <v>0</v>
      </c>
      <c r="AE6710" t="n">
        <v>0</v>
      </c>
      <c r="AF6710" t="n">
        <v>0</v>
      </c>
      <c r="AG6710" t="n">
        <v>0</v>
      </c>
      <c r="AH6710" t="n">
        <v>0</v>
      </c>
      <c r="AI6710" t="n">
        <v>0</v>
      </c>
    </row>
    <row r="6711">
      <c r="A6711" t="inlineStr">
        <is>
          <t>12월</t>
        </is>
      </c>
      <c r="B6711" t="inlineStr">
        <is>
          <t>52주차</t>
        </is>
      </c>
      <c r="C6711" t="e">
        <v>#N/A</v>
      </c>
      <c r="K6711" t="n">
        <v>0</v>
      </c>
      <c r="L6711" t="n">
        <v>0</v>
      </c>
      <c r="M6711" t="n">
        <v>0</v>
      </c>
      <c r="AC6711" t="n">
        <v>0</v>
      </c>
      <c r="AD6711" t="n">
        <v>0</v>
      </c>
      <c r="AE6711" t="n">
        <v>0</v>
      </c>
      <c r="AF6711" t="n">
        <v>0</v>
      </c>
      <c r="AG6711" t="n">
        <v>0</v>
      </c>
      <c r="AH6711" t="n">
        <v>0</v>
      </c>
      <c r="AI6711" t="n">
        <v>0</v>
      </c>
    </row>
    <row r="6712">
      <c r="A6712" t="inlineStr">
        <is>
          <t>12월</t>
        </is>
      </c>
      <c r="B6712" t="inlineStr">
        <is>
          <t>52주차</t>
        </is>
      </c>
      <c r="C6712" t="e">
        <v>#N/A</v>
      </c>
      <c r="K6712" t="n">
        <v>0</v>
      </c>
      <c r="L6712" t="n">
        <v>0</v>
      </c>
      <c r="M6712" t="n">
        <v>0</v>
      </c>
      <c r="AC6712" t="n">
        <v>0</v>
      </c>
      <c r="AD6712" t="n">
        <v>0</v>
      </c>
      <c r="AE6712" t="n">
        <v>0</v>
      </c>
      <c r="AF6712" t="n">
        <v>0</v>
      </c>
      <c r="AG6712" t="n">
        <v>0</v>
      </c>
      <c r="AH6712" t="n">
        <v>0</v>
      </c>
      <c r="AI6712" t="n">
        <v>0</v>
      </c>
    </row>
    <row r="6713">
      <c r="A6713" t="inlineStr">
        <is>
          <t>12월</t>
        </is>
      </c>
      <c r="B6713" t="inlineStr">
        <is>
          <t>52주차</t>
        </is>
      </c>
      <c r="C6713" t="e">
        <v>#N/A</v>
      </c>
      <c r="K6713" t="n">
        <v>0</v>
      </c>
      <c r="L6713" t="n">
        <v>0</v>
      </c>
      <c r="M6713" t="n">
        <v>0</v>
      </c>
      <c r="AC6713" t="n">
        <v>0</v>
      </c>
      <c r="AD6713" t="n">
        <v>0</v>
      </c>
      <c r="AE6713" t="n">
        <v>0</v>
      </c>
      <c r="AF6713" t="n">
        <v>0</v>
      </c>
      <c r="AG6713" t="n">
        <v>0</v>
      </c>
      <c r="AH6713" t="n">
        <v>0</v>
      </c>
      <c r="AI6713" t="n">
        <v>0</v>
      </c>
    </row>
    <row r="6714">
      <c r="A6714" t="inlineStr">
        <is>
          <t>12월</t>
        </is>
      </c>
      <c r="B6714" t="inlineStr">
        <is>
          <t>52주차</t>
        </is>
      </c>
      <c r="C6714" t="e">
        <v>#N/A</v>
      </c>
      <c r="K6714" t="n">
        <v>0</v>
      </c>
      <c r="L6714" t="n">
        <v>0</v>
      </c>
      <c r="M6714" t="n">
        <v>0</v>
      </c>
      <c r="AC6714" t="n">
        <v>0</v>
      </c>
      <c r="AD6714" t="n">
        <v>0</v>
      </c>
      <c r="AE6714" t="n">
        <v>0</v>
      </c>
      <c r="AF6714" t="n">
        <v>0</v>
      </c>
      <c r="AG6714" t="n">
        <v>0</v>
      </c>
      <c r="AH6714" t="n">
        <v>0</v>
      </c>
      <c r="AI6714" t="n">
        <v>0</v>
      </c>
    </row>
    <row r="6715">
      <c r="A6715" t="inlineStr">
        <is>
          <t>12월</t>
        </is>
      </c>
      <c r="B6715" t="inlineStr">
        <is>
          <t>52주차</t>
        </is>
      </c>
      <c r="C6715" t="e">
        <v>#N/A</v>
      </c>
      <c r="K6715" t="n">
        <v>0</v>
      </c>
      <c r="L6715" t="n">
        <v>0</v>
      </c>
      <c r="M6715" t="n">
        <v>0</v>
      </c>
      <c r="AC6715" t="n">
        <v>0</v>
      </c>
      <c r="AD6715" t="n">
        <v>0</v>
      </c>
      <c r="AE6715" t="n">
        <v>0</v>
      </c>
      <c r="AF6715" t="n">
        <v>0</v>
      </c>
      <c r="AG6715" t="n">
        <v>0</v>
      </c>
      <c r="AH6715" t="n">
        <v>0</v>
      </c>
      <c r="AI6715" t="n">
        <v>0</v>
      </c>
    </row>
    <row r="6716">
      <c r="A6716" t="inlineStr">
        <is>
          <t>12월</t>
        </is>
      </c>
      <c r="B6716" t="inlineStr">
        <is>
          <t>52주차</t>
        </is>
      </c>
      <c r="C6716" t="e">
        <v>#N/A</v>
      </c>
      <c r="K6716" t="n">
        <v>0</v>
      </c>
      <c r="L6716" t="n">
        <v>0</v>
      </c>
      <c r="M6716" t="n">
        <v>0</v>
      </c>
      <c r="AC6716" t="n">
        <v>0</v>
      </c>
      <c r="AD6716" t="n">
        <v>0</v>
      </c>
      <c r="AE6716" t="n">
        <v>0</v>
      </c>
      <c r="AF6716" t="n">
        <v>0</v>
      </c>
      <c r="AG6716" t="n">
        <v>0</v>
      </c>
      <c r="AH6716" t="n">
        <v>0</v>
      </c>
      <c r="AI6716" t="n">
        <v>0</v>
      </c>
    </row>
    <row r="6717">
      <c r="A6717" t="inlineStr">
        <is>
          <t>12월</t>
        </is>
      </c>
      <c r="B6717" t="inlineStr">
        <is>
          <t>52주차</t>
        </is>
      </c>
      <c r="C6717" t="e">
        <v>#N/A</v>
      </c>
      <c r="K6717" t="n">
        <v>0</v>
      </c>
      <c r="L6717" t="n">
        <v>0</v>
      </c>
      <c r="M6717" t="n">
        <v>0</v>
      </c>
      <c r="AC6717" t="n">
        <v>0</v>
      </c>
      <c r="AD6717" t="n">
        <v>0</v>
      </c>
      <c r="AE6717" t="n">
        <v>0</v>
      </c>
      <c r="AF6717" t="n">
        <v>0</v>
      </c>
      <c r="AG6717" t="n">
        <v>0</v>
      </c>
      <c r="AH6717" t="n">
        <v>0</v>
      </c>
      <c r="AI6717" t="n">
        <v>0</v>
      </c>
    </row>
    <row r="6718">
      <c r="A6718" t="inlineStr">
        <is>
          <t>12월</t>
        </is>
      </c>
      <c r="B6718" t="inlineStr">
        <is>
          <t>52주차</t>
        </is>
      </c>
      <c r="C6718" t="e">
        <v>#N/A</v>
      </c>
      <c r="K6718" t="n">
        <v>0</v>
      </c>
      <c r="L6718" t="n">
        <v>0</v>
      </c>
      <c r="M6718" t="n">
        <v>0</v>
      </c>
      <c r="AC6718" t="n">
        <v>0</v>
      </c>
      <c r="AD6718" t="n">
        <v>0</v>
      </c>
      <c r="AE6718" t="n">
        <v>0</v>
      </c>
      <c r="AF6718" t="n">
        <v>0</v>
      </c>
      <c r="AG6718" t="n">
        <v>0</v>
      </c>
      <c r="AH6718" t="n">
        <v>0</v>
      </c>
      <c r="AI6718" t="n">
        <v>0</v>
      </c>
    </row>
    <row r="6719">
      <c r="A6719" t="inlineStr">
        <is>
          <t>12월</t>
        </is>
      </c>
      <c r="B6719" t="inlineStr">
        <is>
          <t>52주차</t>
        </is>
      </c>
      <c r="C6719" t="e">
        <v>#N/A</v>
      </c>
      <c r="K6719" t="n">
        <v>0</v>
      </c>
      <c r="L6719" t="n">
        <v>0</v>
      </c>
      <c r="M6719" t="n">
        <v>0</v>
      </c>
      <c r="AC6719" t="n">
        <v>0</v>
      </c>
      <c r="AD6719" t="n">
        <v>0</v>
      </c>
      <c r="AE6719" t="n">
        <v>0</v>
      </c>
      <c r="AF6719" t="n">
        <v>0</v>
      </c>
      <c r="AG6719" t="n">
        <v>0</v>
      </c>
      <c r="AH6719" t="n">
        <v>0</v>
      </c>
      <c r="AI6719" t="n">
        <v>0</v>
      </c>
    </row>
    <row r="6720">
      <c r="A6720" t="inlineStr">
        <is>
          <t>12월</t>
        </is>
      </c>
      <c r="B6720" t="inlineStr">
        <is>
          <t>52주차</t>
        </is>
      </c>
      <c r="C6720" t="e">
        <v>#N/A</v>
      </c>
      <c r="K6720" t="n">
        <v>0</v>
      </c>
      <c r="L6720" t="n">
        <v>0</v>
      </c>
      <c r="M6720" t="n">
        <v>0</v>
      </c>
      <c r="AC6720" t="n">
        <v>0</v>
      </c>
      <c r="AD6720" t="n">
        <v>0</v>
      </c>
      <c r="AE6720" t="n">
        <v>0</v>
      </c>
      <c r="AF6720" t="n">
        <v>0</v>
      </c>
      <c r="AG6720" t="n">
        <v>0</v>
      </c>
      <c r="AH6720" t="n">
        <v>0</v>
      </c>
    </row>
    <row r="6721">
      <c r="A6721" t="inlineStr">
        <is>
          <t>12월</t>
        </is>
      </c>
      <c r="B6721" t="inlineStr">
        <is>
          <t>52주차</t>
        </is>
      </c>
      <c r="C6721" t="e">
        <v>#N/A</v>
      </c>
      <c r="K6721" t="n">
        <v>0</v>
      </c>
      <c r="L6721" t="n">
        <v>0</v>
      </c>
      <c r="M6721" t="n">
        <v>0</v>
      </c>
      <c r="AC6721" t="n">
        <v>0</v>
      </c>
      <c r="AD6721" t="n">
        <v>0</v>
      </c>
      <c r="AE6721" t="n">
        <v>0</v>
      </c>
      <c r="AF6721" t="n">
        <v>0</v>
      </c>
      <c r="AG6721" t="n">
        <v>0</v>
      </c>
      <c r="AH6721" t="n">
        <v>0</v>
      </c>
      <c r="AI6721" t="n">
        <v>0</v>
      </c>
    </row>
    <row r="6722">
      <c r="A6722" t="inlineStr">
        <is>
          <t>12월</t>
        </is>
      </c>
      <c r="B6722" t="inlineStr">
        <is>
          <t>52주차</t>
        </is>
      </c>
      <c r="C6722" t="e">
        <v>#N/A</v>
      </c>
      <c r="K6722" t="n">
        <v>0</v>
      </c>
      <c r="L6722" t="n">
        <v>0</v>
      </c>
      <c r="M6722" t="n">
        <v>0</v>
      </c>
      <c r="AC6722" t="n">
        <v>0</v>
      </c>
      <c r="AD6722" t="n">
        <v>0</v>
      </c>
      <c r="AE6722" t="n">
        <v>0</v>
      </c>
      <c r="AF6722" t="n">
        <v>0</v>
      </c>
      <c r="AG6722" t="n">
        <v>0</v>
      </c>
      <c r="AH6722" t="n">
        <v>0</v>
      </c>
      <c r="AI6722" t="n">
        <v>0</v>
      </c>
    </row>
    <row r="6723">
      <c r="A6723" t="inlineStr">
        <is>
          <t>12월</t>
        </is>
      </c>
      <c r="B6723" t="inlineStr">
        <is>
          <t>52주차</t>
        </is>
      </c>
      <c r="C6723" t="e">
        <v>#N/A</v>
      </c>
      <c r="K6723" t="n">
        <v>0</v>
      </c>
      <c r="L6723" t="n">
        <v>0</v>
      </c>
      <c r="M6723" t="n">
        <v>0</v>
      </c>
      <c r="AC6723" t="n">
        <v>0</v>
      </c>
      <c r="AD6723" t="n">
        <v>0</v>
      </c>
      <c r="AE6723" t="n">
        <v>0</v>
      </c>
      <c r="AF6723" t="n">
        <v>0</v>
      </c>
      <c r="AG6723" t="n">
        <v>0</v>
      </c>
      <c r="AH6723" t="n">
        <v>0</v>
      </c>
      <c r="AI6723" t="n">
        <v>0</v>
      </c>
    </row>
    <row r="6724">
      <c r="A6724" t="inlineStr">
        <is>
          <t>12월</t>
        </is>
      </c>
      <c r="B6724" t="inlineStr">
        <is>
          <t>52주차</t>
        </is>
      </c>
      <c r="C6724" t="e">
        <v>#N/A</v>
      </c>
      <c r="K6724" t="n">
        <v>0</v>
      </c>
      <c r="L6724" t="n">
        <v>0</v>
      </c>
      <c r="M6724" t="n">
        <v>0</v>
      </c>
      <c r="AC6724" t="n">
        <v>0</v>
      </c>
      <c r="AD6724" t="n">
        <v>0</v>
      </c>
      <c r="AE6724" t="n">
        <v>0</v>
      </c>
      <c r="AF6724" t="n">
        <v>0</v>
      </c>
      <c r="AG6724" t="n">
        <v>0</v>
      </c>
      <c r="AH6724" t="n">
        <v>0</v>
      </c>
    </row>
    <row r="6725">
      <c r="A6725" t="inlineStr">
        <is>
          <t>12월</t>
        </is>
      </c>
      <c r="B6725" t="inlineStr">
        <is>
          <t>52주차</t>
        </is>
      </c>
      <c r="C6725" t="e">
        <v>#N/A</v>
      </c>
      <c r="K6725" t="n">
        <v>0</v>
      </c>
      <c r="L6725" t="n">
        <v>0</v>
      </c>
      <c r="M6725" t="n">
        <v>0</v>
      </c>
      <c r="AC6725" t="n">
        <v>0</v>
      </c>
      <c r="AD6725" t="n">
        <v>0</v>
      </c>
      <c r="AE6725" t="n">
        <v>0</v>
      </c>
      <c r="AF6725" t="n">
        <v>0</v>
      </c>
      <c r="AG6725" t="n">
        <v>0</v>
      </c>
      <c r="AH6725" t="n">
        <v>0</v>
      </c>
    </row>
    <row r="6726">
      <c r="A6726" t="inlineStr">
        <is>
          <t>12월</t>
        </is>
      </c>
      <c r="B6726" t="inlineStr">
        <is>
          <t>52주차</t>
        </is>
      </c>
      <c r="C6726" t="e">
        <v>#N/A</v>
      </c>
      <c r="K6726" t="n">
        <v>0</v>
      </c>
      <c r="L6726" t="n">
        <v>0</v>
      </c>
      <c r="M6726" t="n">
        <v>0</v>
      </c>
      <c r="AC6726" t="n">
        <v>0</v>
      </c>
      <c r="AD6726" t="n">
        <v>0</v>
      </c>
      <c r="AE6726" t="n">
        <v>0</v>
      </c>
      <c r="AF6726" t="n">
        <v>0</v>
      </c>
      <c r="AG6726" t="n">
        <v>0</v>
      </c>
      <c r="AH6726" t="n">
        <v>0</v>
      </c>
      <c r="AI6726" t="n">
        <v>0</v>
      </c>
    </row>
    <row r="6727">
      <c r="A6727" t="inlineStr">
        <is>
          <t>12월</t>
        </is>
      </c>
      <c r="B6727" t="inlineStr">
        <is>
          <t>52주차</t>
        </is>
      </c>
      <c r="C6727" t="e">
        <v>#N/A</v>
      </c>
      <c r="K6727" t="n">
        <v>0</v>
      </c>
      <c r="L6727" t="n">
        <v>0</v>
      </c>
      <c r="M6727" t="n">
        <v>0</v>
      </c>
      <c r="AC6727" t="n">
        <v>0</v>
      </c>
      <c r="AD6727" t="n">
        <v>0</v>
      </c>
      <c r="AE6727" t="n">
        <v>0</v>
      </c>
      <c r="AF6727" t="n">
        <v>0</v>
      </c>
      <c r="AG6727" t="n">
        <v>0</v>
      </c>
      <c r="AH6727" t="n">
        <v>0</v>
      </c>
      <c r="AI6727" t="n">
        <v>0</v>
      </c>
    </row>
    <row r="6728">
      <c r="A6728" t="inlineStr">
        <is>
          <t>12월</t>
        </is>
      </c>
      <c r="B6728" t="inlineStr">
        <is>
          <t>52주차</t>
        </is>
      </c>
      <c r="C6728" t="e">
        <v>#N/A</v>
      </c>
      <c r="K6728" t="n">
        <v>0</v>
      </c>
      <c r="L6728" t="n">
        <v>0</v>
      </c>
      <c r="M6728" t="n">
        <v>0</v>
      </c>
      <c r="AC6728" t="n">
        <v>0</v>
      </c>
      <c r="AD6728" t="n">
        <v>0</v>
      </c>
      <c r="AE6728" t="n">
        <v>0</v>
      </c>
      <c r="AF6728" t="n">
        <v>0</v>
      </c>
      <c r="AG6728" t="n">
        <v>0</v>
      </c>
      <c r="AH6728" t="n">
        <v>0</v>
      </c>
    </row>
    <row r="6729">
      <c r="A6729" t="inlineStr">
        <is>
          <t>12월</t>
        </is>
      </c>
      <c r="B6729" t="inlineStr">
        <is>
          <t>52주차</t>
        </is>
      </c>
      <c r="C6729" t="e">
        <v>#N/A</v>
      </c>
      <c r="K6729" t="n">
        <v>0</v>
      </c>
      <c r="L6729" t="n">
        <v>0</v>
      </c>
      <c r="M6729" t="n">
        <v>0</v>
      </c>
      <c r="AC6729" t="n">
        <v>0</v>
      </c>
      <c r="AD6729" t="n">
        <v>0</v>
      </c>
      <c r="AE6729" t="n">
        <v>0</v>
      </c>
      <c r="AF6729" t="n">
        <v>0</v>
      </c>
      <c r="AG6729" t="n">
        <v>0</v>
      </c>
      <c r="AH6729" t="n">
        <v>0</v>
      </c>
    </row>
    <row r="6730">
      <c r="A6730" t="inlineStr">
        <is>
          <t>12월</t>
        </is>
      </c>
      <c r="B6730" t="inlineStr">
        <is>
          <t>52주차</t>
        </is>
      </c>
      <c r="C6730" t="e">
        <v>#N/A</v>
      </c>
      <c r="K6730" t="n">
        <v>0</v>
      </c>
      <c r="L6730" t="n">
        <v>0</v>
      </c>
      <c r="M6730" t="n">
        <v>0</v>
      </c>
      <c r="AC6730" t="n">
        <v>0</v>
      </c>
      <c r="AD6730" t="n">
        <v>0</v>
      </c>
      <c r="AE6730" t="n">
        <v>0</v>
      </c>
      <c r="AF6730" t="n">
        <v>0</v>
      </c>
      <c r="AG6730" t="n">
        <v>0</v>
      </c>
      <c r="AH6730" t="n">
        <v>0</v>
      </c>
    </row>
    <row r="6731">
      <c r="A6731" t="inlineStr">
        <is>
          <t>12월</t>
        </is>
      </c>
      <c r="B6731" t="inlineStr">
        <is>
          <t>52주차</t>
        </is>
      </c>
      <c r="C6731" t="e">
        <v>#N/A</v>
      </c>
      <c r="K6731" t="n">
        <v>0</v>
      </c>
      <c r="L6731" t="n">
        <v>0</v>
      </c>
      <c r="M6731" t="n">
        <v>0</v>
      </c>
      <c r="AC6731" t="n">
        <v>0</v>
      </c>
      <c r="AD6731" t="n">
        <v>0</v>
      </c>
      <c r="AE6731" t="n">
        <v>0</v>
      </c>
      <c r="AF6731" t="n">
        <v>0</v>
      </c>
      <c r="AG6731" t="n">
        <v>0</v>
      </c>
      <c r="AH6731" t="n">
        <v>0</v>
      </c>
      <c r="AI6731" t="n">
        <v>0</v>
      </c>
    </row>
    <row r="6732">
      <c r="A6732" t="inlineStr">
        <is>
          <t>12월</t>
        </is>
      </c>
      <c r="B6732" t="inlineStr">
        <is>
          <t>52주차</t>
        </is>
      </c>
      <c r="C6732" t="e">
        <v>#N/A</v>
      </c>
      <c r="K6732" t="n">
        <v>0</v>
      </c>
      <c r="L6732" t="n">
        <v>0</v>
      </c>
      <c r="M6732" t="n">
        <v>0</v>
      </c>
      <c r="AC6732" t="n">
        <v>0</v>
      </c>
      <c r="AD6732" t="n">
        <v>0</v>
      </c>
      <c r="AE6732" t="n">
        <v>0</v>
      </c>
      <c r="AF6732" t="n">
        <v>0</v>
      </c>
      <c r="AG6732" t="n">
        <v>0</v>
      </c>
      <c r="AH6732" t="n">
        <v>0</v>
      </c>
      <c r="AI6732" t="n">
        <v>0</v>
      </c>
    </row>
    <row r="6733">
      <c r="A6733" t="inlineStr">
        <is>
          <t>12월</t>
        </is>
      </c>
      <c r="B6733" t="inlineStr">
        <is>
          <t>52주차</t>
        </is>
      </c>
      <c r="C6733" t="e">
        <v>#N/A</v>
      </c>
      <c r="K6733" t="n">
        <v>0</v>
      </c>
      <c r="L6733" t="n">
        <v>0</v>
      </c>
      <c r="M6733" t="n">
        <v>0</v>
      </c>
      <c r="AC6733" t="n">
        <v>0</v>
      </c>
      <c r="AD6733" t="n">
        <v>0</v>
      </c>
      <c r="AE6733" t="n">
        <v>0</v>
      </c>
      <c r="AF6733" t="n">
        <v>0</v>
      </c>
      <c r="AG6733" t="n">
        <v>0</v>
      </c>
      <c r="AH6733" t="n">
        <v>0</v>
      </c>
      <c r="AI6733" t="n">
        <v>0</v>
      </c>
    </row>
    <row r="6734">
      <c r="A6734" t="inlineStr">
        <is>
          <t>12월</t>
        </is>
      </c>
      <c r="B6734" t="inlineStr">
        <is>
          <t>52주차</t>
        </is>
      </c>
      <c r="C6734" t="e">
        <v>#N/A</v>
      </c>
      <c r="K6734" t="n">
        <v>0</v>
      </c>
      <c r="L6734" t="n">
        <v>0</v>
      </c>
      <c r="M6734" t="n">
        <v>0</v>
      </c>
      <c r="AC6734" t="n">
        <v>0</v>
      </c>
      <c r="AD6734" t="n">
        <v>0</v>
      </c>
      <c r="AE6734" t="n">
        <v>0</v>
      </c>
      <c r="AF6734" t="n">
        <v>0</v>
      </c>
      <c r="AG6734" t="n">
        <v>0</v>
      </c>
      <c r="AH6734" t="n">
        <v>0</v>
      </c>
      <c r="AI6734" t="n">
        <v>0</v>
      </c>
    </row>
    <row r="6735">
      <c r="A6735" t="inlineStr">
        <is>
          <t>12월</t>
        </is>
      </c>
      <c r="B6735" t="inlineStr">
        <is>
          <t>52주차</t>
        </is>
      </c>
      <c r="C6735" t="e">
        <v>#N/A</v>
      </c>
      <c r="K6735" t="n">
        <v>0</v>
      </c>
      <c r="L6735" t="n">
        <v>0</v>
      </c>
      <c r="M6735" t="n">
        <v>0</v>
      </c>
      <c r="AC6735" t="n">
        <v>0</v>
      </c>
      <c r="AD6735" t="n">
        <v>0</v>
      </c>
      <c r="AE6735" t="n">
        <v>0</v>
      </c>
      <c r="AF6735" t="n">
        <v>0</v>
      </c>
      <c r="AG6735" t="n">
        <v>0</v>
      </c>
      <c r="AH6735" t="n">
        <v>0</v>
      </c>
    </row>
    <row r="6736">
      <c r="A6736" t="inlineStr">
        <is>
          <t>12월</t>
        </is>
      </c>
      <c r="B6736" t="inlineStr">
        <is>
          <t>52주차</t>
        </is>
      </c>
      <c r="C6736" t="e">
        <v>#N/A</v>
      </c>
      <c r="K6736" t="n">
        <v>0</v>
      </c>
      <c r="L6736" t="n">
        <v>0</v>
      </c>
      <c r="M6736" t="n">
        <v>0</v>
      </c>
      <c r="AC6736" t="n">
        <v>0</v>
      </c>
      <c r="AD6736" t="n">
        <v>0</v>
      </c>
      <c r="AE6736" t="n">
        <v>0</v>
      </c>
      <c r="AF6736" t="n">
        <v>0</v>
      </c>
      <c r="AG6736" t="n">
        <v>0</v>
      </c>
      <c r="AH6736" t="n">
        <v>0</v>
      </c>
      <c r="AI6736" t="n">
        <v>0</v>
      </c>
    </row>
    <row r="6737">
      <c r="A6737" t="inlineStr">
        <is>
          <t>12월</t>
        </is>
      </c>
      <c r="B6737" t="inlineStr">
        <is>
          <t>52주차</t>
        </is>
      </c>
      <c r="C6737" t="e">
        <v>#N/A</v>
      </c>
      <c r="K6737" t="n">
        <v>0</v>
      </c>
      <c r="L6737" t="n">
        <v>0</v>
      </c>
      <c r="M6737" t="n">
        <v>0</v>
      </c>
      <c r="AC6737" t="n">
        <v>0</v>
      </c>
      <c r="AD6737" t="n">
        <v>0</v>
      </c>
      <c r="AE6737" t="n">
        <v>0</v>
      </c>
      <c r="AF6737" t="n">
        <v>0</v>
      </c>
      <c r="AG6737" t="n">
        <v>0</v>
      </c>
      <c r="AH6737" t="n">
        <v>0</v>
      </c>
      <c r="AI6737" t="n">
        <v>0</v>
      </c>
    </row>
    <row r="6738">
      <c r="A6738" t="inlineStr">
        <is>
          <t>12월</t>
        </is>
      </c>
      <c r="B6738" t="inlineStr">
        <is>
          <t>52주차</t>
        </is>
      </c>
      <c r="C6738" t="e">
        <v>#N/A</v>
      </c>
      <c r="K6738" t="n">
        <v>0</v>
      </c>
      <c r="L6738" t="n">
        <v>0</v>
      </c>
      <c r="M6738" t="n">
        <v>0</v>
      </c>
      <c r="AC6738" t="n">
        <v>0</v>
      </c>
      <c r="AD6738" t="n">
        <v>0</v>
      </c>
      <c r="AE6738" t="n">
        <v>0</v>
      </c>
      <c r="AF6738" t="n">
        <v>0</v>
      </c>
      <c r="AG6738" t="n">
        <v>0</v>
      </c>
      <c r="AH6738" t="n">
        <v>0</v>
      </c>
      <c r="AI6738" t="n">
        <v>0</v>
      </c>
    </row>
    <row r="6739">
      <c r="A6739" t="inlineStr">
        <is>
          <t>12월</t>
        </is>
      </c>
      <c r="B6739" t="inlineStr">
        <is>
          <t>52주차</t>
        </is>
      </c>
      <c r="C6739" t="e">
        <v>#N/A</v>
      </c>
      <c r="K6739" t="n">
        <v>0</v>
      </c>
      <c r="L6739" t="n">
        <v>0</v>
      </c>
      <c r="M6739" t="n">
        <v>0</v>
      </c>
      <c r="AC6739" t="n">
        <v>0</v>
      </c>
      <c r="AD6739" t="n">
        <v>0</v>
      </c>
      <c r="AE6739" t="n">
        <v>0</v>
      </c>
      <c r="AF6739" t="n">
        <v>0</v>
      </c>
      <c r="AG6739" t="n">
        <v>0</v>
      </c>
      <c r="AH6739" t="n">
        <v>0</v>
      </c>
      <c r="AI6739" t="n">
        <v>0</v>
      </c>
    </row>
    <row r="6740">
      <c r="A6740" t="inlineStr">
        <is>
          <t>12월</t>
        </is>
      </c>
      <c r="B6740" t="inlineStr">
        <is>
          <t>52주차</t>
        </is>
      </c>
      <c r="C6740" t="e">
        <v>#N/A</v>
      </c>
      <c r="K6740" t="n">
        <v>0</v>
      </c>
      <c r="L6740" t="n">
        <v>0</v>
      </c>
      <c r="M6740" t="n">
        <v>0</v>
      </c>
      <c r="AC6740" t="n">
        <v>0</v>
      </c>
      <c r="AD6740" t="n">
        <v>0</v>
      </c>
      <c r="AE6740" t="n">
        <v>0</v>
      </c>
      <c r="AF6740" t="n">
        <v>0</v>
      </c>
      <c r="AG6740" t="n">
        <v>0</v>
      </c>
      <c r="AH6740" t="n">
        <v>0</v>
      </c>
      <c r="AI6740" t="n">
        <v>0</v>
      </c>
    </row>
    <row r="6741">
      <c r="A6741" t="inlineStr">
        <is>
          <t>12월</t>
        </is>
      </c>
      <c r="B6741" t="inlineStr">
        <is>
          <t>52주차</t>
        </is>
      </c>
      <c r="C6741" t="e">
        <v>#N/A</v>
      </c>
      <c r="K6741" t="n">
        <v>0</v>
      </c>
      <c r="L6741" t="n">
        <v>0</v>
      </c>
      <c r="M6741" t="n">
        <v>0</v>
      </c>
      <c r="AC6741" t="n">
        <v>0</v>
      </c>
      <c r="AD6741" t="n">
        <v>0</v>
      </c>
      <c r="AE6741" t="n">
        <v>0</v>
      </c>
      <c r="AF6741" t="n">
        <v>0</v>
      </c>
      <c r="AG6741" t="n">
        <v>0</v>
      </c>
      <c r="AH6741" t="n">
        <v>0</v>
      </c>
    </row>
    <row r="6742">
      <c r="A6742" t="inlineStr">
        <is>
          <t>12월</t>
        </is>
      </c>
      <c r="B6742" t="inlineStr">
        <is>
          <t>52주차</t>
        </is>
      </c>
      <c r="C6742" t="e">
        <v>#N/A</v>
      </c>
      <c r="K6742" t="n">
        <v>0</v>
      </c>
      <c r="L6742" t="n">
        <v>0</v>
      </c>
      <c r="M6742" t="n">
        <v>0</v>
      </c>
      <c r="AC6742" t="n">
        <v>0</v>
      </c>
      <c r="AD6742" t="n">
        <v>0</v>
      </c>
      <c r="AE6742" t="n">
        <v>0</v>
      </c>
      <c r="AF6742" t="n">
        <v>0</v>
      </c>
      <c r="AG6742" t="n">
        <v>0</v>
      </c>
      <c r="AH6742" t="n">
        <v>0</v>
      </c>
      <c r="AI6742" t="n">
        <v>0</v>
      </c>
    </row>
    <row r="6743">
      <c r="A6743" t="inlineStr">
        <is>
          <t>12월</t>
        </is>
      </c>
      <c r="B6743" t="inlineStr">
        <is>
          <t>52주차</t>
        </is>
      </c>
      <c r="C6743" t="e">
        <v>#N/A</v>
      </c>
      <c r="K6743" t="n">
        <v>0</v>
      </c>
      <c r="L6743" t="n">
        <v>0</v>
      </c>
      <c r="M6743" t="n">
        <v>0</v>
      </c>
      <c r="AC6743" t="n">
        <v>0</v>
      </c>
      <c r="AD6743" t="n">
        <v>0</v>
      </c>
      <c r="AE6743" t="n">
        <v>0</v>
      </c>
      <c r="AF6743" t="n">
        <v>0</v>
      </c>
      <c r="AG6743" t="n">
        <v>0</v>
      </c>
      <c r="AH6743" t="n">
        <v>0</v>
      </c>
    </row>
    <row r="6744">
      <c r="A6744" t="inlineStr">
        <is>
          <t>12월</t>
        </is>
      </c>
      <c r="B6744" t="inlineStr">
        <is>
          <t>52주차</t>
        </is>
      </c>
      <c r="C6744" t="e">
        <v>#N/A</v>
      </c>
      <c r="K6744" t="n">
        <v>0</v>
      </c>
      <c r="L6744" t="n">
        <v>0</v>
      </c>
      <c r="M6744" t="n">
        <v>0</v>
      </c>
      <c r="AC6744" t="n">
        <v>0</v>
      </c>
      <c r="AD6744" t="n">
        <v>0</v>
      </c>
      <c r="AE6744" t="n">
        <v>0</v>
      </c>
      <c r="AF6744" t="n">
        <v>0</v>
      </c>
      <c r="AG6744" t="n">
        <v>0</v>
      </c>
      <c r="AH6744" t="n">
        <v>0</v>
      </c>
      <c r="AI6744" t="n">
        <v>0</v>
      </c>
    </row>
    <row r="6745">
      <c r="A6745" t="inlineStr">
        <is>
          <t>12월</t>
        </is>
      </c>
      <c r="B6745" t="inlineStr">
        <is>
          <t>52주차</t>
        </is>
      </c>
      <c r="C6745" t="e">
        <v>#N/A</v>
      </c>
      <c r="K6745" t="n">
        <v>0</v>
      </c>
      <c r="L6745" t="n">
        <v>0</v>
      </c>
      <c r="M6745" t="n">
        <v>0</v>
      </c>
      <c r="AC6745" t="n">
        <v>0</v>
      </c>
      <c r="AD6745" t="n">
        <v>0</v>
      </c>
      <c r="AE6745" t="n">
        <v>0</v>
      </c>
      <c r="AF6745" t="n">
        <v>0</v>
      </c>
      <c r="AG6745" t="n">
        <v>0</v>
      </c>
      <c r="AH6745" t="n">
        <v>0</v>
      </c>
      <c r="AI6745" t="n">
        <v>0</v>
      </c>
    </row>
    <row r="6746">
      <c r="A6746" t="inlineStr">
        <is>
          <t>12월</t>
        </is>
      </c>
      <c r="B6746" t="inlineStr">
        <is>
          <t>52주차</t>
        </is>
      </c>
      <c r="C6746" t="e">
        <v>#N/A</v>
      </c>
      <c r="K6746" t="n">
        <v>0</v>
      </c>
      <c r="L6746" t="n">
        <v>0</v>
      </c>
      <c r="M6746" t="n">
        <v>0</v>
      </c>
      <c r="AC6746" t="n">
        <v>0</v>
      </c>
      <c r="AD6746" t="n">
        <v>0</v>
      </c>
      <c r="AE6746" t="n">
        <v>0</v>
      </c>
      <c r="AF6746" t="n">
        <v>0</v>
      </c>
      <c r="AG6746" t="n">
        <v>0</v>
      </c>
      <c r="AH6746" t="n">
        <v>0</v>
      </c>
    </row>
    <row r="6747">
      <c r="A6747" t="inlineStr">
        <is>
          <t>12월</t>
        </is>
      </c>
      <c r="B6747" t="inlineStr">
        <is>
          <t>52주차</t>
        </is>
      </c>
      <c r="C6747" t="e">
        <v>#N/A</v>
      </c>
      <c r="K6747" t="n">
        <v>0</v>
      </c>
      <c r="L6747" t="n">
        <v>0</v>
      </c>
      <c r="M6747" t="n">
        <v>0</v>
      </c>
      <c r="AC6747" t="n">
        <v>0</v>
      </c>
      <c r="AD6747" t="n">
        <v>0</v>
      </c>
      <c r="AE6747" t="n">
        <v>0</v>
      </c>
      <c r="AF6747" t="n">
        <v>0</v>
      </c>
      <c r="AG6747" t="n">
        <v>0</v>
      </c>
      <c r="AH6747" t="n">
        <v>0</v>
      </c>
      <c r="AI6747" t="n">
        <v>0</v>
      </c>
    </row>
    <row r="6748">
      <c r="A6748" t="inlineStr">
        <is>
          <t>12월</t>
        </is>
      </c>
      <c r="B6748" t="inlineStr">
        <is>
          <t>52주차</t>
        </is>
      </c>
      <c r="C6748" t="e">
        <v>#N/A</v>
      </c>
      <c r="K6748" t="n">
        <v>0</v>
      </c>
      <c r="L6748" t="n">
        <v>0</v>
      </c>
      <c r="M6748" t="n">
        <v>0</v>
      </c>
      <c r="AC6748" t="n">
        <v>0</v>
      </c>
      <c r="AD6748" t="n">
        <v>0</v>
      </c>
      <c r="AE6748" t="n">
        <v>0</v>
      </c>
      <c r="AF6748" t="n">
        <v>0</v>
      </c>
      <c r="AG6748" t="n">
        <v>0</v>
      </c>
      <c r="AH6748" t="n">
        <v>0</v>
      </c>
      <c r="AI6748" t="n">
        <v>0</v>
      </c>
    </row>
    <row r="6749">
      <c r="A6749" t="inlineStr">
        <is>
          <t>12월</t>
        </is>
      </c>
      <c r="B6749" t="inlineStr">
        <is>
          <t>52주차</t>
        </is>
      </c>
      <c r="C6749" t="e">
        <v>#N/A</v>
      </c>
      <c r="K6749" t="n">
        <v>0</v>
      </c>
      <c r="L6749" t="n">
        <v>0</v>
      </c>
      <c r="M6749" t="n">
        <v>0</v>
      </c>
      <c r="AC6749" t="n">
        <v>0</v>
      </c>
      <c r="AD6749" t="n">
        <v>0</v>
      </c>
      <c r="AE6749" t="n">
        <v>0</v>
      </c>
      <c r="AF6749" t="n">
        <v>0</v>
      </c>
      <c r="AG6749" t="n">
        <v>0</v>
      </c>
      <c r="AH6749" t="n">
        <v>0</v>
      </c>
      <c r="AI6749" t="n">
        <v>0</v>
      </c>
    </row>
    <row r="6750">
      <c r="A6750" t="inlineStr">
        <is>
          <t>12월</t>
        </is>
      </c>
      <c r="B6750" t="inlineStr">
        <is>
          <t>52주차</t>
        </is>
      </c>
      <c r="C6750" t="e">
        <v>#N/A</v>
      </c>
      <c r="K6750" t="n">
        <v>0</v>
      </c>
      <c r="L6750" t="n">
        <v>0</v>
      </c>
      <c r="M6750" t="n">
        <v>0</v>
      </c>
      <c r="AC6750" t="n">
        <v>0</v>
      </c>
      <c r="AD6750" t="n">
        <v>0</v>
      </c>
      <c r="AE6750" t="n">
        <v>0</v>
      </c>
      <c r="AF6750" t="n">
        <v>0</v>
      </c>
      <c r="AG6750" t="n">
        <v>0</v>
      </c>
      <c r="AH6750" t="n">
        <v>0</v>
      </c>
      <c r="AI6750" t="n">
        <v>0</v>
      </c>
    </row>
    <row r="6751">
      <c r="A6751" t="inlineStr">
        <is>
          <t>12월</t>
        </is>
      </c>
      <c r="B6751" t="inlineStr">
        <is>
          <t>52주차</t>
        </is>
      </c>
      <c r="C6751" t="e">
        <v>#N/A</v>
      </c>
      <c r="K6751" t="n">
        <v>0</v>
      </c>
      <c r="L6751" t="n">
        <v>0</v>
      </c>
      <c r="M6751" t="n">
        <v>0</v>
      </c>
      <c r="AC6751" t="n">
        <v>0</v>
      </c>
      <c r="AD6751" t="n">
        <v>0</v>
      </c>
      <c r="AE6751" t="n">
        <v>0</v>
      </c>
      <c r="AF6751" t="n">
        <v>0</v>
      </c>
      <c r="AG6751" t="n">
        <v>0</v>
      </c>
      <c r="AH6751" t="n">
        <v>0</v>
      </c>
      <c r="AI6751" t="n">
        <v>0</v>
      </c>
    </row>
    <row r="6752">
      <c r="A6752" t="inlineStr">
        <is>
          <t>12월</t>
        </is>
      </c>
      <c r="B6752" t="inlineStr">
        <is>
          <t>52주차</t>
        </is>
      </c>
      <c r="C6752" t="e">
        <v>#N/A</v>
      </c>
      <c r="K6752" t="n">
        <v>0</v>
      </c>
      <c r="L6752" t="n">
        <v>0</v>
      </c>
      <c r="M6752" t="n">
        <v>0</v>
      </c>
      <c r="AC6752" t="n">
        <v>0</v>
      </c>
      <c r="AD6752" t="n">
        <v>0</v>
      </c>
      <c r="AE6752" t="n">
        <v>0</v>
      </c>
      <c r="AF6752" t="n">
        <v>0</v>
      </c>
      <c r="AG6752" t="n">
        <v>0</v>
      </c>
      <c r="AH6752" t="n">
        <v>0</v>
      </c>
      <c r="AI6752" t="n">
        <v>0</v>
      </c>
    </row>
    <row r="6753">
      <c r="A6753" t="inlineStr">
        <is>
          <t>12월</t>
        </is>
      </c>
      <c r="B6753" t="inlineStr">
        <is>
          <t>52주차</t>
        </is>
      </c>
      <c r="C6753" t="e">
        <v>#N/A</v>
      </c>
      <c r="K6753" t="n">
        <v>0</v>
      </c>
      <c r="L6753" t="n">
        <v>0</v>
      </c>
      <c r="M6753" t="n">
        <v>0</v>
      </c>
      <c r="AC6753" t="n">
        <v>0</v>
      </c>
      <c r="AD6753" t="n">
        <v>0</v>
      </c>
      <c r="AE6753" t="n">
        <v>0</v>
      </c>
      <c r="AF6753" t="n">
        <v>0</v>
      </c>
      <c r="AG6753" t="n">
        <v>0</v>
      </c>
      <c r="AH6753" t="n">
        <v>0</v>
      </c>
      <c r="AI6753" t="n">
        <v>0</v>
      </c>
    </row>
    <row r="6754">
      <c r="A6754" t="inlineStr">
        <is>
          <t>12월</t>
        </is>
      </c>
      <c r="B6754" t="inlineStr">
        <is>
          <t>52주차</t>
        </is>
      </c>
      <c r="C6754" t="e">
        <v>#N/A</v>
      </c>
      <c r="K6754" t="n">
        <v>0</v>
      </c>
      <c r="L6754" t="n">
        <v>0</v>
      </c>
      <c r="M6754" t="n">
        <v>0</v>
      </c>
      <c r="AC6754" t="n">
        <v>0</v>
      </c>
      <c r="AD6754" t="n">
        <v>0</v>
      </c>
      <c r="AE6754" t="n">
        <v>0</v>
      </c>
      <c r="AF6754" t="n">
        <v>0</v>
      </c>
      <c r="AG6754" t="n">
        <v>0</v>
      </c>
      <c r="AH6754" t="n">
        <v>0</v>
      </c>
      <c r="AI6754" t="n">
        <v>0</v>
      </c>
    </row>
    <row r="6755">
      <c r="A6755" t="inlineStr">
        <is>
          <t>12월</t>
        </is>
      </c>
      <c r="B6755" t="inlineStr">
        <is>
          <t>52주차</t>
        </is>
      </c>
      <c r="C6755" t="e">
        <v>#N/A</v>
      </c>
      <c r="K6755" t="n">
        <v>0</v>
      </c>
      <c r="L6755" t="n">
        <v>0</v>
      </c>
      <c r="M6755" t="n">
        <v>0</v>
      </c>
      <c r="AC6755" t="n">
        <v>0</v>
      </c>
      <c r="AD6755" t="n">
        <v>0</v>
      </c>
      <c r="AE6755" t="n">
        <v>0</v>
      </c>
      <c r="AF6755" t="n">
        <v>0</v>
      </c>
      <c r="AG6755" t="n">
        <v>0</v>
      </c>
      <c r="AH6755" t="n">
        <v>0</v>
      </c>
      <c r="AI6755" t="n">
        <v>0</v>
      </c>
    </row>
    <row r="6756">
      <c r="A6756" t="inlineStr">
        <is>
          <t>12월</t>
        </is>
      </c>
      <c r="B6756" t="inlineStr">
        <is>
          <t>52주차</t>
        </is>
      </c>
      <c r="C6756" t="e">
        <v>#N/A</v>
      </c>
      <c r="K6756" t="n">
        <v>0</v>
      </c>
      <c r="L6756" t="n">
        <v>0</v>
      </c>
      <c r="M6756" t="n">
        <v>0</v>
      </c>
      <c r="AC6756" t="n">
        <v>0</v>
      </c>
      <c r="AD6756" t="n">
        <v>0</v>
      </c>
      <c r="AE6756" t="n">
        <v>0</v>
      </c>
      <c r="AF6756" t="n">
        <v>0</v>
      </c>
      <c r="AG6756" t="n">
        <v>0</v>
      </c>
      <c r="AH6756" t="n">
        <v>0</v>
      </c>
      <c r="AI6756" t="n">
        <v>0</v>
      </c>
    </row>
    <row r="6757">
      <c r="A6757" t="inlineStr">
        <is>
          <t>12월</t>
        </is>
      </c>
      <c r="B6757" t="inlineStr">
        <is>
          <t>52주차</t>
        </is>
      </c>
      <c r="C6757" t="e">
        <v>#N/A</v>
      </c>
      <c r="K6757" t="n">
        <v>0</v>
      </c>
      <c r="L6757" t="n">
        <v>0</v>
      </c>
      <c r="M6757" t="n">
        <v>0</v>
      </c>
      <c r="AC6757" t="n">
        <v>0</v>
      </c>
      <c r="AD6757" t="n">
        <v>0</v>
      </c>
      <c r="AE6757" t="n">
        <v>0</v>
      </c>
      <c r="AF6757" t="n">
        <v>0</v>
      </c>
      <c r="AG6757" t="n">
        <v>0</v>
      </c>
      <c r="AH6757" t="n">
        <v>0</v>
      </c>
    </row>
    <row r="6758">
      <c r="A6758" t="inlineStr">
        <is>
          <t>12월</t>
        </is>
      </c>
      <c r="B6758" t="inlineStr">
        <is>
          <t>52주차</t>
        </is>
      </c>
      <c r="C6758" t="e">
        <v>#N/A</v>
      </c>
      <c r="K6758" t="n">
        <v>0</v>
      </c>
      <c r="L6758" t="n">
        <v>0</v>
      </c>
      <c r="M6758" t="n">
        <v>0</v>
      </c>
      <c r="AC6758" t="n">
        <v>0</v>
      </c>
      <c r="AD6758" t="n">
        <v>0</v>
      </c>
      <c r="AE6758" t="n">
        <v>0</v>
      </c>
      <c r="AF6758" t="n">
        <v>0</v>
      </c>
      <c r="AG6758" t="n">
        <v>0</v>
      </c>
      <c r="AH6758" t="n">
        <v>0</v>
      </c>
      <c r="AI6758" t="n">
        <v>0</v>
      </c>
    </row>
    <row r="6759">
      <c r="A6759" t="inlineStr">
        <is>
          <t>12월</t>
        </is>
      </c>
      <c r="B6759" t="inlineStr">
        <is>
          <t>52주차</t>
        </is>
      </c>
      <c r="C6759" t="e">
        <v>#N/A</v>
      </c>
      <c r="K6759" t="n">
        <v>0</v>
      </c>
      <c r="L6759" t="n">
        <v>0</v>
      </c>
      <c r="M6759" t="n">
        <v>0</v>
      </c>
      <c r="AC6759" t="n">
        <v>0</v>
      </c>
      <c r="AD6759" t="n">
        <v>0</v>
      </c>
      <c r="AE6759" t="n">
        <v>0</v>
      </c>
      <c r="AF6759" t="n">
        <v>0</v>
      </c>
      <c r="AG6759" t="n">
        <v>0</v>
      </c>
      <c r="AH6759" t="n">
        <v>0</v>
      </c>
    </row>
    <row r="6760">
      <c r="A6760" t="inlineStr">
        <is>
          <t>12월</t>
        </is>
      </c>
      <c r="B6760" t="inlineStr">
        <is>
          <t>52주차</t>
        </is>
      </c>
      <c r="C6760" t="e">
        <v>#N/A</v>
      </c>
      <c r="K6760" t="n">
        <v>0</v>
      </c>
      <c r="L6760" t="n">
        <v>0</v>
      </c>
      <c r="M6760" t="n">
        <v>0</v>
      </c>
      <c r="AC6760" t="n">
        <v>0</v>
      </c>
      <c r="AD6760" t="n">
        <v>0</v>
      </c>
      <c r="AE6760" t="n">
        <v>0</v>
      </c>
      <c r="AF6760" t="n">
        <v>0</v>
      </c>
      <c r="AG6760" t="n">
        <v>0</v>
      </c>
      <c r="AH6760" t="n">
        <v>0</v>
      </c>
      <c r="AI6760" t="n">
        <v>0</v>
      </c>
    </row>
    <row r="6761">
      <c r="A6761" t="inlineStr">
        <is>
          <t>12월</t>
        </is>
      </c>
      <c r="B6761" t="inlineStr">
        <is>
          <t>52주차</t>
        </is>
      </c>
      <c r="C6761" t="e">
        <v>#N/A</v>
      </c>
      <c r="K6761" t="n">
        <v>0</v>
      </c>
      <c r="L6761" t="n">
        <v>0</v>
      </c>
      <c r="M6761" t="n">
        <v>0</v>
      </c>
      <c r="AC6761" t="n">
        <v>0</v>
      </c>
      <c r="AD6761" t="n">
        <v>0</v>
      </c>
      <c r="AE6761" t="n">
        <v>0</v>
      </c>
      <c r="AF6761" t="n">
        <v>0</v>
      </c>
      <c r="AG6761" t="n">
        <v>0</v>
      </c>
      <c r="AH6761" t="n">
        <v>0</v>
      </c>
    </row>
    <row r="6762">
      <c r="A6762" t="inlineStr">
        <is>
          <t>12월</t>
        </is>
      </c>
      <c r="B6762" t="inlineStr">
        <is>
          <t>52주차</t>
        </is>
      </c>
      <c r="C6762" t="e">
        <v>#N/A</v>
      </c>
      <c r="K6762" t="n">
        <v>0</v>
      </c>
      <c r="L6762" t="n">
        <v>0</v>
      </c>
      <c r="M6762" t="n">
        <v>0</v>
      </c>
      <c r="AC6762" t="n">
        <v>0</v>
      </c>
      <c r="AD6762" t="n">
        <v>0</v>
      </c>
      <c r="AE6762" t="n">
        <v>0</v>
      </c>
      <c r="AF6762" t="n">
        <v>0</v>
      </c>
      <c r="AG6762" t="n">
        <v>0</v>
      </c>
      <c r="AH6762" t="n">
        <v>0</v>
      </c>
      <c r="AI6762" t="n">
        <v>0</v>
      </c>
    </row>
    <row r="6763">
      <c r="A6763" t="inlineStr">
        <is>
          <t>12월</t>
        </is>
      </c>
      <c r="B6763" t="inlineStr">
        <is>
          <t>52주차</t>
        </is>
      </c>
      <c r="C6763" t="e">
        <v>#N/A</v>
      </c>
      <c r="K6763" t="n">
        <v>0</v>
      </c>
      <c r="L6763" t="n">
        <v>0</v>
      </c>
      <c r="M6763" t="n">
        <v>0</v>
      </c>
      <c r="AC6763" t="n">
        <v>0</v>
      </c>
      <c r="AD6763" t="n">
        <v>0</v>
      </c>
      <c r="AE6763" t="n">
        <v>0</v>
      </c>
      <c r="AF6763" t="n">
        <v>0</v>
      </c>
      <c r="AG6763" t="n">
        <v>0</v>
      </c>
      <c r="AH6763" t="n">
        <v>0</v>
      </c>
      <c r="AI6763" t="n">
        <v>0</v>
      </c>
    </row>
    <row r="6764">
      <c r="A6764" t="inlineStr">
        <is>
          <t>12월</t>
        </is>
      </c>
      <c r="B6764" t="inlineStr">
        <is>
          <t>52주차</t>
        </is>
      </c>
      <c r="C6764" t="e">
        <v>#N/A</v>
      </c>
      <c r="K6764" t="n">
        <v>0</v>
      </c>
      <c r="L6764" t="n">
        <v>0</v>
      </c>
      <c r="M6764" t="n">
        <v>0</v>
      </c>
      <c r="AC6764" t="n">
        <v>0</v>
      </c>
      <c r="AD6764" t="n">
        <v>0</v>
      </c>
      <c r="AE6764" t="n">
        <v>0</v>
      </c>
      <c r="AF6764" t="n">
        <v>0</v>
      </c>
      <c r="AG6764" t="n">
        <v>0</v>
      </c>
      <c r="AH6764" t="n">
        <v>0</v>
      </c>
      <c r="AI6764" t="n">
        <v>0</v>
      </c>
    </row>
    <row r="6765">
      <c r="A6765" t="inlineStr">
        <is>
          <t>12월</t>
        </is>
      </c>
      <c r="B6765" t="inlineStr">
        <is>
          <t>52주차</t>
        </is>
      </c>
      <c r="C6765" t="e">
        <v>#N/A</v>
      </c>
      <c r="K6765" t="n">
        <v>0</v>
      </c>
      <c r="L6765" t="n">
        <v>0</v>
      </c>
      <c r="M6765" t="n">
        <v>0</v>
      </c>
      <c r="AC6765" t="n">
        <v>0</v>
      </c>
      <c r="AD6765" t="n">
        <v>0</v>
      </c>
      <c r="AE6765" t="n">
        <v>0</v>
      </c>
      <c r="AF6765" t="n">
        <v>0</v>
      </c>
      <c r="AG6765" t="n">
        <v>0</v>
      </c>
      <c r="AH6765" t="n">
        <v>0</v>
      </c>
      <c r="AI6765" t="n">
        <v>0</v>
      </c>
    </row>
    <row r="6766">
      <c r="A6766" t="inlineStr">
        <is>
          <t>12월</t>
        </is>
      </c>
      <c r="B6766" t="inlineStr">
        <is>
          <t>52주차</t>
        </is>
      </c>
      <c r="C6766" t="e">
        <v>#N/A</v>
      </c>
      <c r="K6766" t="n">
        <v>0</v>
      </c>
      <c r="L6766" t="n">
        <v>0</v>
      </c>
      <c r="M6766" t="n">
        <v>0</v>
      </c>
      <c r="AC6766" t="n">
        <v>0</v>
      </c>
      <c r="AD6766" t="n">
        <v>0</v>
      </c>
      <c r="AE6766" t="n">
        <v>0</v>
      </c>
      <c r="AF6766" t="n">
        <v>0</v>
      </c>
      <c r="AG6766" t="n">
        <v>0</v>
      </c>
      <c r="AH6766" t="n">
        <v>0</v>
      </c>
      <c r="AI6766" t="n">
        <v>0</v>
      </c>
    </row>
    <row r="6767">
      <c r="A6767" t="inlineStr">
        <is>
          <t>12월</t>
        </is>
      </c>
      <c r="B6767" t="inlineStr">
        <is>
          <t>52주차</t>
        </is>
      </c>
      <c r="C6767" t="e">
        <v>#N/A</v>
      </c>
      <c r="K6767" t="n">
        <v>0</v>
      </c>
      <c r="L6767" t="n">
        <v>0</v>
      </c>
      <c r="M6767" t="n">
        <v>0</v>
      </c>
      <c r="AC6767" t="n">
        <v>0</v>
      </c>
      <c r="AD6767" t="n">
        <v>0</v>
      </c>
      <c r="AE6767" t="n">
        <v>0</v>
      </c>
      <c r="AF6767" t="n">
        <v>0</v>
      </c>
      <c r="AG6767" t="n">
        <v>0</v>
      </c>
      <c r="AH6767" t="n">
        <v>0</v>
      </c>
      <c r="AI6767" t="n">
        <v>0</v>
      </c>
    </row>
    <row r="6768">
      <c r="A6768" t="inlineStr">
        <is>
          <t>12월</t>
        </is>
      </c>
      <c r="B6768" t="inlineStr">
        <is>
          <t>52주차</t>
        </is>
      </c>
      <c r="C6768" t="e">
        <v>#N/A</v>
      </c>
      <c r="K6768" t="n">
        <v>0</v>
      </c>
      <c r="L6768" t="n">
        <v>0</v>
      </c>
      <c r="M6768" t="n">
        <v>0</v>
      </c>
      <c r="AC6768" t="n">
        <v>0</v>
      </c>
      <c r="AD6768" t="n">
        <v>0</v>
      </c>
      <c r="AE6768" t="n">
        <v>0</v>
      </c>
      <c r="AF6768" t="n">
        <v>0</v>
      </c>
      <c r="AG6768" t="n">
        <v>0</v>
      </c>
      <c r="AH6768" t="n">
        <v>0</v>
      </c>
      <c r="AI6768" t="n">
        <v>0</v>
      </c>
    </row>
    <row r="6769">
      <c r="A6769" t="inlineStr">
        <is>
          <t>12월</t>
        </is>
      </c>
      <c r="B6769" t="inlineStr">
        <is>
          <t>52주차</t>
        </is>
      </c>
      <c r="C6769" t="e">
        <v>#N/A</v>
      </c>
      <c r="K6769" t="n">
        <v>0</v>
      </c>
      <c r="L6769" t="n">
        <v>0</v>
      </c>
      <c r="M6769" t="n">
        <v>0</v>
      </c>
      <c r="AC6769" t="n">
        <v>0</v>
      </c>
      <c r="AD6769" t="n">
        <v>0</v>
      </c>
      <c r="AE6769" t="n">
        <v>0</v>
      </c>
      <c r="AF6769" t="n">
        <v>0</v>
      </c>
      <c r="AG6769" t="n">
        <v>0</v>
      </c>
      <c r="AH6769" t="n">
        <v>0</v>
      </c>
      <c r="AI6769" t="n">
        <v>0</v>
      </c>
    </row>
    <row r="6770">
      <c r="A6770" t="inlineStr">
        <is>
          <t>12월</t>
        </is>
      </c>
      <c r="B6770" t="inlineStr">
        <is>
          <t>52주차</t>
        </is>
      </c>
      <c r="C6770" t="e">
        <v>#N/A</v>
      </c>
      <c r="K6770" t="n">
        <v>0</v>
      </c>
      <c r="L6770" t="n">
        <v>0</v>
      </c>
      <c r="M6770" t="n">
        <v>0</v>
      </c>
      <c r="AC6770" t="n">
        <v>0</v>
      </c>
      <c r="AD6770" t="n">
        <v>0</v>
      </c>
      <c r="AE6770" t="n">
        <v>0</v>
      </c>
      <c r="AF6770" t="n">
        <v>0</v>
      </c>
      <c r="AG6770" t="n">
        <v>0</v>
      </c>
      <c r="AH6770" t="n">
        <v>0</v>
      </c>
      <c r="AI6770" t="n">
        <v>0</v>
      </c>
    </row>
    <row r="6771">
      <c r="A6771" t="inlineStr">
        <is>
          <t>12월</t>
        </is>
      </c>
      <c r="B6771" t="inlineStr">
        <is>
          <t>52주차</t>
        </is>
      </c>
      <c r="C6771" t="e">
        <v>#N/A</v>
      </c>
      <c r="K6771" t="n">
        <v>0</v>
      </c>
      <c r="L6771" t="n">
        <v>0</v>
      </c>
      <c r="M6771" t="n">
        <v>0</v>
      </c>
      <c r="AC6771" t="n">
        <v>0</v>
      </c>
      <c r="AD6771" t="n">
        <v>0</v>
      </c>
      <c r="AE6771" t="n">
        <v>0</v>
      </c>
      <c r="AF6771" t="n">
        <v>0</v>
      </c>
      <c r="AG6771" t="n">
        <v>0</v>
      </c>
      <c r="AH6771" t="n">
        <v>0</v>
      </c>
      <c r="AI6771" t="n">
        <v>0</v>
      </c>
    </row>
    <row r="6772">
      <c r="A6772" t="inlineStr">
        <is>
          <t>12월</t>
        </is>
      </c>
      <c r="B6772" t="inlineStr">
        <is>
          <t>52주차</t>
        </is>
      </c>
      <c r="C6772" t="e">
        <v>#N/A</v>
      </c>
      <c r="K6772" t="n">
        <v>0</v>
      </c>
      <c r="L6772" t="n">
        <v>0</v>
      </c>
      <c r="M6772" t="n">
        <v>0</v>
      </c>
      <c r="AC6772" t="n">
        <v>0</v>
      </c>
      <c r="AD6772" t="n">
        <v>0</v>
      </c>
      <c r="AE6772" t="n">
        <v>0</v>
      </c>
      <c r="AF6772" t="n">
        <v>0</v>
      </c>
      <c r="AG6772" t="n">
        <v>0</v>
      </c>
      <c r="AH6772" t="n">
        <v>0</v>
      </c>
    </row>
    <row r="6773">
      <c r="A6773" t="inlineStr">
        <is>
          <t>12월</t>
        </is>
      </c>
      <c r="B6773" t="inlineStr">
        <is>
          <t>52주차</t>
        </is>
      </c>
      <c r="C6773" t="e">
        <v>#N/A</v>
      </c>
      <c r="K6773" t="n">
        <v>0</v>
      </c>
      <c r="L6773" t="n">
        <v>0</v>
      </c>
      <c r="M6773" t="n">
        <v>0</v>
      </c>
      <c r="AC6773" t="n">
        <v>0</v>
      </c>
      <c r="AD6773" t="n">
        <v>0</v>
      </c>
      <c r="AE6773" t="n">
        <v>0</v>
      </c>
      <c r="AF6773" t="n">
        <v>0</v>
      </c>
      <c r="AG6773" t="n">
        <v>0</v>
      </c>
      <c r="AH6773" t="n">
        <v>0</v>
      </c>
      <c r="AI6773" t="n">
        <v>0</v>
      </c>
    </row>
    <row r="6774">
      <c r="A6774" t="inlineStr">
        <is>
          <t>12월</t>
        </is>
      </c>
      <c r="B6774" t="inlineStr">
        <is>
          <t>52주차</t>
        </is>
      </c>
      <c r="C6774" t="e">
        <v>#N/A</v>
      </c>
      <c r="K6774" t="n">
        <v>0</v>
      </c>
      <c r="L6774" t="n">
        <v>0</v>
      </c>
      <c r="M6774" t="n">
        <v>0</v>
      </c>
      <c r="AC6774" t="n">
        <v>0</v>
      </c>
      <c r="AD6774" t="n">
        <v>0</v>
      </c>
      <c r="AE6774" t="n">
        <v>0</v>
      </c>
      <c r="AF6774" t="n">
        <v>0</v>
      </c>
      <c r="AG6774" t="n">
        <v>0</v>
      </c>
      <c r="AH6774" t="n">
        <v>0</v>
      </c>
      <c r="AI6774" t="n">
        <v>0</v>
      </c>
    </row>
    <row r="6775">
      <c r="A6775" t="inlineStr">
        <is>
          <t>12월</t>
        </is>
      </c>
      <c r="B6775" t="inlineStr">
        <is>
          <t>52주차</t>
        </is>
      </c>
      <c r="C6775" t="e">
        <v>#N/A</v>
      </c>
      <c r="K6775" t="n">
        <v>0</v>
      </c>
      <c r="L6775" t="n">
        <v>0</v>
      </c>
      <c r="M6775" t="n">
        <v>0</v>
      </c>
      <c r="AC6775" t="n">
        <v>0</v>
      </c>
      <c r="AD6775" t="n">
        <v>0</v>
      </c>
      <c r="AE6775" t="n">
        <v>0</v>
      </c>
      <c r="AF6775" t="n">
        <v>0</v>
      </c>
      <c r="AG6775" t="n">
        <v>0</v>
      </c>
      <c r="AH6775" t="n">
        <v>0</v>
      </c>
      <c r="AI6775" t="n">
        <v>0</v>
      </c>
    </row>
    <row r="6776">
      <c r="A6776" t="inlineStr">
        <is>
          <t>12월</t>
        </is>
      </c>
      <c r="B6776" t="inlineStr">
        <is>
          <t>52주차</t>
        </is>
      </c>
      <c r="C6776" t="e">
        <v>#N/A</v>
      </c>
      <c r="K6776" t="n">
        <v>0</v>
      </c>
      <c r="L6776" t="n">
        <v>0</v>
      </c>
      <c r="M6776" t="n">
        <v>0</v>
      </c>
      <c r="AC6776" t="n">
        <v>0</v>
      </c>
      <c r="AD6776" t="n">
        <v>0</v>
      </c>
      <c r="AE6776" t="n">
        <v>0</v>
      </c>
      <c r="AF6776" t="n">
        <v>0</v>
      </c>
      <c r="AG6776" t="n">
        <v>0</v>
      </c>
      <c r="AH6776" t="n">
        <v>0</v>
      </c>
      <c r="AI6776" t="n">
        <v>0</v>
      </c>
    </row>
    <row r="6777">
      <c r="A6777" t="inlineStr">
        <is>
          <t>12월</t>
        </is>
      </c>
      <c r="B6777" t="inlineStr">
        <is>
          <t>52주차</t>
        </is>
      </c>
      <c r="C6777" t="e">
        <v>#N/A</v>
      </c>
      <c r="K6777" t="n">
        <v>0</v>
      </c>
      <c r="L6777" t="n">
        <v>0</v>
      </c>
      <c r="M6777" t="n">
        <v>0</v>
      </c>
      <c r="AC6777" t="n">
        <v>0</v>
      </c>
      <c r="AD6777" t="n">
        <v>0</v>
      </c>
      <c r="AE6777" t="n">
        <v>0</v>
      </c>
      <c r="AF6777" t="n">
        <v>0</v>
      </c>
      <c r="AG6777" t="n">
        <v>0</v>
      </c>
      <c r="AH6777" t="n">
        <v>0</v>
      </c>
    </row>
    <row r="6778">
      <c r="A6778" t="inlineStr">
        <is>
          <t>12월</t>
        </is>
      </c>
      <c r="B6778" t="inlineStr">
        <is>
          <t>52주차</t>
        </is>
      </c>
      <c r="C6778" t="e">
        <v>#N/A</v>
      </c>
      <c r="K6778" t="n">
        <v>0</v>
      </c>
      <c r="L6778" t="n">
        <v>0</v>
      </c>
      <c r="M6778" t="n">
        <v>0</v>
      </c>
      <c r="AC6778" t="n">
        <v>0</v>
      </c>
      <c r="AD6778" t="n">
        <v>0</v>
      </c>
      <c r="AE6778" t="n">
        <v>0</v>
      </c>
      <c r="AF6778" t="n">
        <v>0</v>
      </c>
      <c r="AG6778" t="n">
        <v>0</v>
      </c>
      <c r="AH6778" t="n">
        <v>0</v>
      </c>
      <c r="AI6778" t="n">
        <v>0</v>
      </c>
    </row>
    <row r="6779">
      <c r="A6779" t="inlineStr">
        <is>
          <t>12월</t>
        </is>
      </c>
      <c r="B6779" t="inlineStr">
        <is>
          <t>52주차</t>
        </is>
      </c>
      <c r="C6779" t="e">
        <v>#N/A</v>
      </c>
      <c r="K6779" t="n">
        <v>0</v>
      </c>
      <c r="L6779" t="n">
        <v>0</v>
      </c>
      <c r="M6779" t="n">
        <v>0</v>
      </c>
      <c r="AC6779" t="n">
        <v>0</v>
      </c>
      <c r="AD6779" t="n">
        <v>0</v>
      </c>
      <c r="AE6779" t="n">
        <v>0</v>
      </c>
      <c r="AF6779" t="n">
        <v>0</v>
      </c>
      <c r="AG6779" t="n">
        <v>0</v>
      </c>
      <c r="AH6779" t="n">
        <v>0</v>
      </c>
      <c r="AI6779" t="n">
        <v>0</v>
      </c>
    </row>
    <row r="6780">
      <c r="A6780" t="inlineStr">
        <is>
          <t>12월</t>
        </is>
      </c>
      <c r="B6780" t="inlineStr">
        <is>
          <t>52주차</t>
        </is>
      </c>
      <c r="C6780" t="e">
        <v>#N/A</v>
      </c>
      <c r="K6780" t="n">
        <v>0</v>
      </c>
      <c r="L6780" t="n">
        <v>0</v>
      </c>
      <c r="M6780" t="n">
        <v>0</v>
      </c>
      <c r="AC6780" t="n">
        <v>0</v>
      </c>
      <c r="AD6780" t="n">
        <v>0</v>
      </c>
      <c r="AE6780" t="n">
        <v>0</v>
      </c>
      <c r="AF6780" t="n">
        <v>0</v>
      </c>
      <c r="AG6780" t="n">
        <v>0</v>
      </c>
      <c r="AH6780" t="n">
        <v>0</v>
      </c>
      <c r="AI6780" t="n">
        <v>0</v>
      </c>
    </row>
    <row r="6781">
      <c r="A6781" t="inlineStr">
        <is>
          <t>12월</t>
        </is>
      </c>
      <c r="B6781" t="inlineStr">
        <is>
          <t>52주차</t>
        </is>
      </c>
      <c r="C6781" t="e">
        <v>#N/A</v>
      </c>
      <c r="K6781" t="n">
        <v>0</v>
      </c>
      <c r="L6781" t="n">
        <v>0</v>
      </c>
      <c r="M6781" t="n">
        <v>0</v>
      </c>
      <c r="AC6781" t="n">
        <v>0</v>
      </c>
      <c r="AD6781" t="n">
        <v>0</v>
      </c>
      <c r="AE6781" t="n">
        <v>0</v>
      </c>
      <c r="AF6781" t="n">
        <v>0</v>
      </c>
      <c r="AG6781" t="n">
        <v>0</v>
      </c>
      <c r="AH6781" t="n">
        <v>0</v>
      </c>
    </row>
    <row r="6782">
      <c r="A6782" t="inlineStr">
        <is>
          <t>12월</t>
        </is>
      </c>
      <c r="B6782" t="inlineStr">
        <is>
          <t>52주차</t>
        </is>
      </c>
      <c r="C6782" t="e">
        <v>#N/A</v>
      </c>
      <c r="K6782" t="n">
        <v>0</v>
      </c>
      <c r="L6782" t="n">
        <v>0</v>
      </c>
      <c r="M6782" t="n">
        <v>0</v>
      </c>
      <c r="AC6782" t="n">
        <v>0</v>
      </c>
      <c r="AD6782" t="n">
        <v>0</v>
      </c>
      <c r="AE6782" t="n">
        <v>0</v>
      </c>
      <c r="AF6782" t="n">
        <v>0</v>
      </c>
      <c r="AG6782" t="n">
        <v>0</v>
      </c>
      <c r="AH6782" t="n">
        <v>0</v>
      </c>
      <c r="AI6782" t="n">
        <v>0</v>
      </c>
    </row>
    <row r="6783">
      <c r="A6783" t="inlineStr">
        <is>
          <t>12월</t>
        </is>
      </c>
      <c r="B6783" t="inlineStr">
        <is>
          <t>52주차</t>
        </is>
      </c>
      <c r="C6783" t="e">
        <v>#N/A</v>
      </c>
      <c r="K6783" t="n">
        <v>0</v>
      </c>
      <c r="L6783" t="n">
        <v>0</v>
      </c>
      <c r="M6783" t="n">
        <v>0</v>
      </c>
      <c r="AC6783" t="n">
        <v>0</v>
      </c>
      <c r="AD6783" t="n">
        <v>0</v>
      </c>
      <c r="AE6783" t="n">
        <v>0</v>
      </c>
      <c r="AF6783" t="n">
        <v>0</v>
      </c>
      <c r="AG6783" t="n">
        <v>0</v>
      </c>
      <c r="AH6783" t="n">
        <v>0</v>
      </c>
      <c r="AI6783" t="n">
        <v>0</v>
      </c>
    </row>
    <row r="6784">
      <c r="A6784" t="inlineStr">
        <is>
          <t>12월</t>
        </is>
      </c>
      <c r="B6784" t="inlineStr">
        <is>
          <t>52주차</t>
        </is>
      </c>
      <c r="C6784" t="e">
        <v>#N/A</v>
      </c>
      <c r="K6784" t="n">
        <v>0</v>
      </c>
      <c r="L6784" t="n">
        <v>0</v>
      </c>
      <c r="M6784" t="n">
        <v>0</v>
      </c>
      <c r="AC6784" t="n">
        <v>0</v>
      </c>
      <c r="AD6784" t="n">
        <v>0</v>
      </c>
      <c r="AE6784" t="n">
        <v>0</v>
      </c>
      <c r="AF6784" t="n">
        <v>0</v>
      </c>
      <c r="AG6784" t="n">
        <v>0</v>
      </c>
      <c r="AH6784" t="n">
        <v>0</v>
      </c>
    </row>
    <row r="6785">
      <c r="A6785" t="inlineStr">
        <is>
          <t>12월</t>
        </is>
      </c>
      <c r="B6785" t="inlineStr">
        <is>
          <t>52주차</t>
        </is>
      </c>
      <c r="C6785" t="e">
        <v>#N/A</v>
      </c>
      <c r="K6785" t="n">
        <v>0</v>
      </c>
      <c r="L6785" t="n">
        <v>0</v>
      </c>
      <c r="M6785" t="n">
        <v>0</v>
      </c>
      <c r="AC6785" t="n">
        <v>0</v>
      </c>
      <c r="AD6785" t="n">
        <v>0</v>
      </c>
      <c r="AE6785" t="n">
        <v>0</v>
      </c>
      <c r="AF6785" t="n">
        <v>0</v>
      </c>
      <c r="AG6785" t="n">
        <v>0</v>
      </c>
      <c r="AH6785" t="n">
        <v>0</v>
      </c>
      <c r="AI6785" t="n">
        <v>0</v>
      </c>
    </row>
    <row r="6786">
      <c r="A6786" t="inlineStr">
        <is>
          <t>12월</t>
        </is>
      </c>
      <c r="B6786" t="inlineStr">
        <is>
          <t>52주차</t>
        </is>
      </c>
      <c r="C6786" t="e">
        <v>#N/A</v>
      </c>
      <c r="K6786" t="n">
        <v>0</v>
      </c>
      <c r="L6786" t="n">
        <v>0</v>
      </c>
      <c r="M6786" t="n">
        <v>0</v>
      </c>
      <c r="AC6786" t="n">
        <v>0</v>
      </c>
      <c r="AD6786" t="n">
        <v>0</v>
      </c>
      <c r="AE6786" t="n">
        <v>0</v>
      </c>
      <c r="AF6786" t="n">
        <v>0</v>
      </c>
      <c r="AG6786" t="n">
        <v>0</v>
      </c>
      <c r="AH6786" t="n">
        <v>0</v>
      </c>
      <c r="AI6786" t="n">
        <v>0</v>
      </c>
    </row>
    <row r="6787">
      <c r="A6787" t="inlineStr">
        <is>
          <t>12월</t>
        </is>
      </c>
      <c r="B6787" t="inlineStr">
        <is>
          <t>52주차</t>
        </is>
      </c>
      <c r="C6787" t="e">
        <v>#N/A</v>
      </c>
      <c r="K6787" t="n">
        <v>0</v>
      </c>
      <c r="L6787" t="n">
        <v>0</v>
      </c>
      <c r="M6787" t="n">
        <v>0</v>
      </c>
      <c r="AC6787" t="n">
        <v>0</v>
      </c>
      <c r="AD6787" t="n">
        <v>0</v>
      </c>
      <c r="AE6787" t="n">
        <v>0</v>
      </c>
      <c r="AF6787" t="n">
        <v>0</v>
      </c>
      <c r="AG6787" t="n">
        <v>0</v>
      </c>
      <c r="AH6787" t="n">
        <v>0</v>
      </c>
      <c r="AI6787" t="n">
        <v>0</v>
      </c>
    </row>
    <row r="6788">
      <c r="A6788" t="inlineStr">
        <is>
          <t>12월</t>
        </is>
      </c>
      <c r="B6788" t="inlineStr">
        <is>
          <t>52주차</t>
        </is>
      </c>
      <c r="C6788" t="e">
        <v>#N/A</v>
      </c>
      <c r="K6788" t="n">
        <v>0</v>
      </c>
      <c r="L6788" t="n">
        <v>0</v>
      </c>
      <c r="M6788" t="n">
        <v>0</v>
      </c>
      <c r="AC6788" t="n">
        <v>0</v>
      </c>
      <c r="AD6788" t="n">
        <v>0</v>
      </c>
      <c r="AE6788" t="n">
        <v>0</v>
      </c>
      <c r="AF6788" t="n">
        <v>0</v>
      </c>
      <c r="AG6788" t="n">
        <v>0</v>
      </c>
      <c r="AH6788" t="n">
        <v>0</v>
      </c>
    </row>
    <row r="6789">
      <c r="A6789" t="inlineStr">
        <is>
          <t>12월</t>
        </is>
      </c>
      <c r="B6789" t="inlineStr">
        <is>
          <t>52주차</t>
        </is>
      </c>
      <c r="C6789" t="e">
        <v>#N/A</v>
      </c>
      <c r="K6789" t="n">
        <v>0</v>
      </c>
      <c r="L6789" t="n">
        <v>0</v>
      </c>
      <c r="M6789" t="n">
        <v>0</v>
      </c>
      <c r="AC6789" t="n">
        <v>0</v>
      </c>
      <c r="AD6789" t="n">
        <v>0</v>
      </c>
      <c r="AE6789" t="n">
        <v>0</v>
      </c>
      <c r="AF6789" t="n">
        <v>0</v>
      </c>
      <c r="AG6789" t="n">
        <v>0</v>
      </c>
      <c r="AH6789" t="n">
        <v>0</v>
      </c>
    </row>
    <row r="6790">
      <c r="A6790" t="inlineStr">
        <is>
          <t>12월</t>
        </is>
      </c>
      <c r="B6790" t="inlineStr">
        <is>
          <t>52주차</t>
        </is>
      </c>
      <c r="C6790" t="e">
        <v>#N/A</v>
      </c>
      <c r="K6790" t="n">
        <v>0</v>
      </c>
      <c r="L6790" t="n">
        <v>0</v>
      </c>
      <c r="M6790" t="n">
        <v>0</v>
      </c>
      <c r="AC6790" t="n">
        <v>0</v>
      </c>
      <c r="AD6790" t="n">
        <v>0</v>
      </c>
      <c r="AE6790" t="n">
        <v>0</v>
      </c>
      <c r="AF6790" t="n">
        <v>0</v>
      </c>
      <c r="AG6790" t="n">
        <v>0</v>
      </c>
      <c r="AH6790" t="n">
        <v>0</v>
      </c>
      <c r="AI6790" t="n">
        <v>0</v>
      </c>
    </row>
    <row r="6791">
      <c r="A6791" t="inlineStr">
        <is>
          <t>12월</t>
        </is>
      </c>
      <c r="B6791" t="inlineStr">
        <is>
          <t>52주차</t>
        </is>
      </c>
      <c r="C6791" t="e">
        <v>#N/A</v>
      </c>
      <c r="K6791" t="n">
        <v>0</v>
      </c>
      <c r="L6791" t="n">
        <v>0</v>
      </c>
      <c r="M6791" t="n">
        <v>0</v>
      </c>
      <c r="AC6791" t="n">
        <v>0</v>
      </c>
      <c r="AD6791" t="n">
        <v>0</v>
      </c>
      <c r="AE6791" t="n">
        <v>0</v>
      </c>
      <c r="AF6791" t="n">
        <v>0</v>
      </c>
      <c r="AG6791" t="n">
        <v>0</v>
      </c>
      <c r="AH6791" t="n">
        <v>0</v>
      </c>
    </row>
    <row r="6792">
      <c r="A6792" t="inlineStr">
        <is>
          <t>12월</t>
        </is>
      </c>
      <c r="B6792" t="inlineStr">
        <is>
          <t>52주차</t>
        </is>
      </c>
      <c r="C6792" t="e">
        <v>#N/A</v>
      </c>
      <c r="K6792" t="n">
        <v>0</v>
      </c>
      <c r="L6792" t="n">
        <v>0</v>
      </c>
      <c r="M6792" t="n">
        <v>0</v>
      </c>
      <c r="AC6792" t="n">
        <v>0</v>
      </c>
      <c r="AD6792" t="n">
        <v>0</v>
      </c>
      <c r="AE6792" t="n">
        <v>0</v>
      </c>
      <c r="AF6792" t="n">
        <v>0</v>
      </c>
      <c r="AG6792" t="n">
        <v>0</v>
      </c>
      <c r="AH6792" t="n">
        <v>0</v>
      </c>
    </row>
    <row r="6793">
      <c r="A6793" t="inlineStr">
        <is>
          <t>12월</t>
        </is>
      </c>
      <c r="B6793" t="inlineStr">
        <is>
          <t>52주차</t>
        </is>
      </c>
      <c r="C6793" t="e">
        <v>#N/A</v>
      </c>
      <c r="K6793" t="n">
        <v>0</v>
      </c>
      <c r="L6793" t="n">
        <v>0</v>
      </c>
      <c r="M6793" t="n">
        <v>0</v>
      </c>
      <c r="AC6793" t="n">
        <v>0</v>
      </c>
      <c r="AD6793" t="n">
        <v>0</v>
      </c>
      <c r="AE6793" t="n">
        <v>0</v>
      </c>
      <c r="AF6793" t="n">
        <v>0</v>
      </c>
      <c r="AG6793" t="n">
        <v>0</v>
      </c>
      <c r="AH6793" t="n">
        <v>0</v>
      </c>
      <c r="AI6793" t="n">
        <v>0</v>
      </c>
    </row>
    <row r="6794">
      <c r="A6794" t="inlineStr">
        <is>
          <t>12월</t>
        </is>
      </c>
      <c r="B6794" t="inlineStr">
        <is>
          <t>52주차</t>
        </is>
      </c>
      <c r="C6794" t="e">
        <v>#N/A</v>
      </c>
      <c r="K6794" t="n">
        <v>0</v>
      </c>
      <c r="L6794" t="n">
        <v>0</v>
      </c>
      <c r="M6794" t="n">
        <v>0</v>
      </c>
      <c r="AC6794" t="n">
        <v>0</v>
      </c>
      <c r="AD6794" t="n">
        <v>0</v>
      </c>
      <c r="AE6794" t="n">
        <v>0</v>
      </c>
      <c r="AF6794" t="n">
        <v>0</v>
      </c>
      <c r="AG6794" t="n">
        <v>0</v>
      </c>
      <c r="AH6794" t="n">
        <v>0</v>
      </c>
    </row>
    <row r="6795">
      <c r="A6795" t="inlineStr">
        <is>
          <t>12월</t>
        </is>
      </c>
      <c r="B6795" t="inlineStr">
        <is>
          <t>52주차</t>
        </is>
      </c>
      <c r="C6795" t="e">
        <v>#N/A</v>
      </c>
      <c r="K6795" t="n">
        <v>0</v>
      </c>
      <c r="L6795" t="n">
        <v>0</v>
      </c>
      <c r="M6795" t="n">
        <v>0</v>
      </c>
      <c r="AC6795" t="n">
        <v>0</v>
      </c>
      <c r="AD6795" t="n">
        <v>0</v>
      </c>
      <c r="AE6795" t="n">
        <v>0</v>
      </c>
      <c r="AF6795" t="n">
        <v>0</v>
      </c>
      <c r="AG6795" t="n">
        <v>0</v>
      </c>
      <c r="AH6795" t="n">
        <v>0</v>
      </c>
      <c r="AI6795" t="n">
        <v>0</v>
      </c>
    </row>
    <row r="6796">
      <c r="A6796" t="inlineStr">
        <is>
          <t>12월</t>
        </is>
      </c>
      <c r="B6796" t="inlineStr">
        <is>
          <t>52주차</t>
        </is>
      </c>
      <c r="C6796" t="e">
        <v>#N/A</v>
      </c>
      <c r="K6796" t="n">
        <v>0</v>
      </c>
      <c r="L6796" t="n">
        <v>0</v>
      </c>
      <c r="M6796" t="n">
        <v>0</v>
      </c>
      <c r="AC6796" t="n">
        <v>0</v>
      </c>
      <c r="AD6796" t="n">
        <v>0</v>
      </c>
      <c r="AE6796" t="n">
        <v>0</v>
      </c>
      <c r="AF6796" t="n">
        <v>0</v>
      </c>
      <c r="AG6796" t="n">
        <v>0</v>
      </c>
      <c r="AH6796" t="n">
        <v>0</v>
      </c>
    </row>
    <row r="6797">
      <c r="A6797" t="inlineStr">
        <is>
          <t>12월</t>
        </is>
      </c>
      <c r="B6797" t="inlineStr">
        <is>
          <t>52주차</t>
        </is>
      </c>
      <c r="C6797" t="e">
        <v>#N/A</v>
      </c>
      <c r="K6797" t="n">
        <v>0</v>
      </c>
      <c r="L6797" t="n">
        <v>0</v>
      </c>
      <c r="M6797" t="n">
        <v>0</v>
      </c>
      <c r="AC6797" t="n">
        <v>0</v>
      </c>
      <c r="AD6797" t="n">
        <v>0</v>
      </c>
      <c r="AE6797" t="n">
        <v>0</v>
      </c>
      <c r="AF6797" t="n">
        <v>0</v>
      </c>
      <c r="AG6797" t="n">
        <v>0</v>
      </c>
      <c r="AH6797" t="n">
        <v>0</v>
      </c>
    </row>
    <row r="6798">
      <c r="A6798" t="inlineStr">
        <is>
          <t>12월</t>
        </is>
      </c>
      <c r="B6798" t="inlineStr">
        <is>
          <t>52주차</t>
        </is>
      </c>
      <c r="C6798" t="e">
        <v>#N/A</v>
      </c>
      <c r="K6798" t="n">
        <v>0</v>
      </c>
      <c r="L6798" t="n">
        <v>0</v>
      </c>
      <c r="M6798" t="n">
        <v>0</v>
      </c>
      <c r="AC6798" t="n">
        <v>0</v>
      </c>
      <c r="AD6798" t="n">
        <v>0</v>
      </c>
      <c r="AE6798" t="n">
        <v>0</v>
      </c>
      <c r="AF6798" t="n">
        <v>0</v>
      </c>
      <c r="AG6798" t="n">
        <v>0</v>
      </c>
      <c r="AH6798" t="n">
        <v>0</v>
      </c>
    </row>
    <row r="6799">
      <c r="A6799" t="inlineStr">
        <is>
          <t>12월</t>
        </is>
      </c>
      <c r="B6799" t="inlineStr">
        <is>
          <t>52주차</t>
        </is>
      </c>
      <c r="C6799" t="e">
        <v>#N/A</v>
      </c>
      <c r="K6799" t="n">
        <v>0</v>
      </c>
      <c r="L6799" t="n">
        <v>0</v>
      </c>
      <c r="M6799" t="n">
        <v>0</v>
      </c>
      <c r="AC6799" t="n">
        <v>0</v>
      </c>
      <c r="AD6799" t="n">
        <v>0</v>
      </c>
      <c r="AE6799" t="n">
        <v>0</v>
      </c>
      <c r="AF6799" t="n">
        <v>0</v>
      </c>
      <c r="AG6799" t="n">
        <v>0</v>
      </c>
      <c r="AH6799" t="n">
        <v>0</v>
      </c>
      <c r="AI6799" t="n">
        <v>0</v>
      </c>
    </row>
    <row r="6800">
      <c r="A6800" t="inlineStr">
        <is>
          <t>12월</t>
        </is>
      </c>
      <c r="B6800" t="inlineStr">
        <is>
          <t>52주차</t>
        </is>
      </c>
      <c r="C6800" t="e">
        <v>#N/A</v>
      </c>
      <c r="K6800" t="n">
        <v>0</v>
      </c>
      <c r="L6800" t="n">
        <v>0</v>
      </c>
      <c r="M6800" t="n">
        <v>0</v>
      </c>
      <c r="AC6800" t="n">
        <v>0</v>
      </c>
      <c r="AD6800" t="n">
        <v>0</v>
      </c>
      <c r="AE6800" t="n">
        <v>0</v>
      </c>
      <c r="AF6800" t="n">
        <v>0</v>
      </c>
      <c r="AG6800" t="n">
        <v>0</v>
      </c>
      <c r="AH6800" t="n">
        <v>0</v>
      </c>
      <c r="AI6800" t="n">
        <v>0</v>
      </c>
    </row>
    <row r="6801">
      <c r="A6801" t="inlineStr">
        <is>
          <t>12월</t>
        </is>
      </c>
      <c r="B6801" t="inlineStr">
        <is>
          <t>52주차</t>
        </is>
      </c>
      <c r="C6801" t="e">
        <v>#N/A</v>
      </c>
      <c r="K6801" t="n">
        <v>0</v>
      </c>
      <c r="L6801" t="n">
        <v>0</v>
      </c>
      <c r="M6801" t="n">
        <v>0</v>
      </c>
      <c r="AC6801" t="n">
        <v>0</v>
      </c>
      <c r="AD6801" t="n">
        <v>0</v>
      </c>
      <c r="AE6801" t="n">
        <v>0</v>
      </c>
      <c r="AF6801" t="n">
        <v>0</v>
      </c>
      <c r="AG6801" t="n">
        <v>0</v>
      </c>
      <c r="AH6801" t="n">
        <v>0</v>
      </c>
      <c r="AI6801" t="n">
        <v>0</v>
      </c>
    </row>
    <row r="6802">
      <c r="A6802" t="inlineStr">
        <is>
          <t>12월</t>
        </is>
      </c>
      <c r="B6802" t="inlineStr">
        <is>
          <t>52주차</t>
        </is>
      </c>
      <c r="C6802" t="e">
        <v>#N/A</v>
      </c>
      <c r="K6802" t="n">
        <v>0</v>
      </c>
      <c r="L6802" t="n">
        <v>0</v>
      </c>
      <c r="M6802" t="n">
        <v>0</v>
      </c>
      <c r="AC6802" t="n">
        <v>0</v>
      </c>
      <c r="AD6802" t="n">
        <v>0</v>
      </c>
      <c r="AE6802" t="n">
        <v>0</v>
      </c>
      <c r="AF6802" t="n">
        <v>0</v>
      </c>
      <c r="AG6802" t="n">
        <v>0</v>
      </c>
      <c r="AH6802" t="n">
        <v>0</v>
      </c>
      <c r="AI6802" t="n">
        <v>0</v>
      </c>
    </row>
    <row r="6803">
      <c r="A6803" t="inlineStr">
        <is>
          <t>12월</t>
        </is>
      </c>
      <c r="B6803" t="inlineStr">
        <is>
          <t>52주차</t>
        </is>
      </c>
      <c r="C6803" t="e">
        <v>#N/A</v>
      </c>
      <c r="K6803" t="n">
        <v>0</v>
      </c>
      <c r="L6803" t="n">
        <v>0</v>
      </c>
      <c r="M6803" t="n">
        <v>0</v>
      </c>
      <c r="AC6803" t="n">
        <v>0</v>
      </c>
      <c r="AD6803" t="n">
        <v>0</v>
      </c>
      <c r="AE6803" t="n">
        <v>0</v>
      </c>
      <c r="AF6803" t="n">
        <v>0</v>
      </c>
      <c r="AG6803" t="n">
        <v>0</v>
      </c>
      <c r="AH6803" t="n">
        <v>0</v>
      </c>
    </row>
    <row r="6804">
      <c r="A6804" t="inlineStr">
        <is>
          <t>12월</t>
        </is>
      </c>
      <c r="B6804" t="inlineStr">
        <is>
          <t>52주차</t>
        </is>
      </c>
      <c r="C6804" t="e">
        <v>#N/A</v>
      </c>
      <c r="K6804" t="n">
        <v>0</v>
      </c>
      <c r="L6804" t="n">
        <v>0</v>
      </c>
      <c r="M6804" t="n">
        <v>0</v>
      </c>
      <c r="AC6804" t="n">
        <v>0</v>
      </c>
      <c r="AD6804" t="n">
        <v>0</v>
      </c>
      <c r="AE6804" t="n">
        <v>0</v>
      </c>
      <c r="AF6804" t="n">
        <v>0</v>
      </c>
      <c r="AG6804" t="n">
        <v>0</v>
      </c>
      <c r="AH6804" t="n">
        <v>0</v>
      </c>
      <c r="AI6804" t="n">
        <v>0</v>
      </c>
    </row>
    <row r="6805">
      <c r="A6805" t="inlineStr">
        <is>
          <t>12월</t>
        </is>
      </c>
      <c r="B6805" t="inlineStr">
        <is>
          <t>52주차</t>
        </is>
      </c>
      <c r="C6805" t="e">
        <v>#N/A</v>
      </c>
      <c r="K6805" t="n">
        <v>0</v>
      </c>
      <c r="L6805" t="n">
        <v>0</v>
      </c>
      <c r="M6805" t="n">
        <v>0</v>
      </c>
      <c r="AC6805" t="n">
        <v>0</v>
      </c>
      <c r="AD6805" t="n">
        <v>0</v>
      </c>
      <c r="AE6805" t="n">
        <v>0</v>
      </c>
      <c r="AF6805" t="n">
        <v>0</v>
      </c>
      <c r="AG6805" t="n">
        <v>0</v>
      </c>
      <c r="AH6805" t="n">
        <v>0</v>
      </c>
      <c r="AI6805" t="n">
        <v>0</v>
      </c>
    </row>
    <row r="6806">
      <c r="A6806" t="inlineStr">
        <is>
          <t>12월</t>
        </is>
      </c>
      <c r="B6806" t="inlineStr">
        <is>
          <t>52주차</t>
        </is>
      </c>
      <c r="C6806" t="e">
        <v>#N/A</v>
      </c>
      <c r="K6806" t="n">
        <v>0</v>
      </c>
      <c r="L6806" t="n">
        <v>0</v>
      </c>
      <c r="M6806" t="n">
        <v>0</v>
      </c>
      <c r="AC6806" t="n">
        <v>0</v>
      </c>
      <c r="AD6806" t="n">
        <v>0</v>
      </c>
      <c r="AE6806" t="n">
        <v>0</v>
      </c>
      <c r="AF6806" t="n">
        <v>0</v>
      </c>
      <c r="AG6806" t="n">
        <v>0</v>
      </c>
      <c r="AH6806" t="n">
        <v>0</v>
      </c>
      <c r="AI6806" t="n">
        <v>0</v>
      </c>
    </row>
    <row r="6807">
      <c r="A6807" t="inlineStr">
        <is>
          <t>12월</t>
        </is>
      </c>
      <c r="B6807" t="inlineStr">
        <is>
          <t>52주차</t>
        </is>
      </c>
      <c r="C6807" t="e">
        <v>#N/A</v>
      </c>
      <c r="K6807" t="n">
        <v>0</v>
      </c>
      <c r="L6807" t="n">
        <v>0</v>
      </c>
      <c r="M6807" t="n">
        <v>0</v>
      </c>
      <c r="AC6807" t="n">
        <v>0</v>
      </c>
      <c r="AD6807" t="n">
        <v>0</v>
      </c>
      <c r="AE6807" t="n">
        <v>0</v>
      </c>
      <c r="AF6807" t="n">
        <v>0</v>
      </c>
      <c r="AG6807" t="n">
        <v>0</v>
      </c>
      <c r="AH6807" t="n">
        <v>0</v>
      </c>
    </row>
    <row r="6808">
      <c r="A6808" t="inlineStr">
        <is>
          <t>12월</t>
        </is>
      </c>
      <c r="B6808" t="inlineStr">
        <is>
          <t>52주차</t>
        </is>
      </c>
      <c r="C6808" t="e">
        <v>#N/A</v>
      </c>
      <c r="K6808" t="n">
        <v>0</v>
      </c>
      <c r="L6808" t="n">
        <v>0</v>
      </c>
      <c r="M6808" t="n">
        <v>0</v>
      </c>
      <c r="AC6808" t="n">
        <v>0</v>
      </c>
      <c r="AD6808" t="n">
        <v>0</v>
      </c>
      <c r="AE6808" t="n">
        <v>0</v>
      </c>
      <c r="AF6808" t="n">
        <v>0</v>
      </c>
      <c r="AG6808" t="n">
        <v>0</v>
      </c>
      <c r="AH6808" t="n">
        <v>0</v>
      </c>
      <c r="AI6808" t="n">
        <v>0</v>
      </c>
    </row>
    <row r="6809">
      <c r="A6809" t="inlineStr">
        <is>
          <t>12월</t>
        </is>
      </c>
      <c r="B6809" t="inlineStr">
        <is>
          <t>52주차</t>
        </is>
      </c>
      <c r="C6809" t="e">
        <v>#N/A</v>
      </c>
      <c r="K6809" t="n">
        <v>0</v>
      </c>
      <c r="L6809" t="n">
        <v>0</v>
      </c>
      <c r="M6809" t="n">
        <v>0</v>
      </c>
      <c r="AC6809" t="n">
        <v>0</v>
      </c>
      <c r="AD6809" t="n">
        <v>0</v>
      </c>
      <c r="AE6809" t="n">
        <v>0</v>
      </c>
      <c r="AF6809" t="n">
        <v>0</v>
      </c>
      <c r="AG6809" t="n">
        <v>0</v>
      </c>
      <c r="AH6809" t="n">
        <v>0</v>
      </c>
    </row>
    <row r="6810">
      <c r="A6810" t="inlineStr">
        <is>
          <t>12월</t>
        </is>
      </c>
      <c r="B6810" t="inlineStr">
        <is>
          <t>52주차</t>
        </is>
      </c>
      <c r="C6810" t="e">
        <v>#N/A</v>
      </c>
      <c r="K6810" t="n">
        <v>0</v>
      </c>
      <c r="L6810" t="n">
        <v>0</v>
      </c>
      <c r="M6810" t="n">
        <v>0</v>
      </c>
      <c r="AC6810" t="n">
        <v>0</v>
      </c>
      <c r="AD6810" t="n">
        <v>0</v>
      </c>
      <c r="AE6810" t="n">
        <v>0</v>
      </c>
      <c r="AF6810" t="n">
        <v>0</v>
      </c>
      <c r="AG6810" t="n">
        <v>0</v>
      </c>
      <c r="AH6810" t="n">
        <v>0</v>
      </c>
      <c r="AI6810" t="n">
        <v>0</v>
      </c>
    </row>
    <row r="6811">
      <c r="A6811" t="inlineStr">
        <is>
          <t>12월</t>
        </is>
      </c>
      <c r="B6811" t="inlineStr">
        <is>
          <t>52주차</t>
        </is>
      </c>
      <c r="C6811" t="e">
        <v>#N/A</v>
      </c>
      <c r="K6811" t="n">
        <v>0</v>
      </c>
      <c r="L6811" t="n">
        <v>0</v>
      </c>
      <c r="M6811" t="n">
        <v>0</v>
      </c>
      <c r="AC6811" t="n">
        <v>0</v>
      </c>
      <c r="AD6811" t="n">
        <v>0</v>
      </c>
      <c r="AE6811" t="n">
        <v>0</v>
      </c>
      <c r="AF6811" t="n">
        <v>0</v>
      </c>
      <c r="AG6811" t="n">
        <v>0</v>
      </c>
      <c r="AH6811" t="n">
        <v>0</v>
      </c>
      <c r="AI6811" t="n">
        <v>0</v>
      </c>
    </row>
    <row r="6812">
      <c r="A6812" t="inlineStr">
        <is>
          <t>12월</t>
        </is>
      </c>
      <c r="B6812" t="inlineStr">
        <is>
          <t>52주차</t>
        </is>
      </c>
      <c r="C6812" t="e">
        <v>#N/A</v>
      </c>
      <c r="K6812" t="n">
        <v>0</v>
      </c>
      <c r="L6812" t="n">
        <v>0</v>
      </c>
      <c r="M6812" t="n">
        <v>0</v>
      </c>
      <c r="AC6812" t="n">
        <v>0</v>
      </c>
      <c r="AD6812" t="n">
        <v>0</v>
      </c>
      <c r="AE6812" t="n">
        <v>0</v>
      </c>
      <c r="AF6812" t="n">
        <v>0</v>
      </c>
      <c r="AG6812" t="n">
        <v>0</v>
      </c>
      <c r="AH6812" t="n">
        <v>0</v>
      </c>
      <c r="AI6812" t="n">
        <v>0</v>
      </c>
    </row>
    <row r="6813">
      <c r="A6813" t="inlineStr">
        <is>
          <t>12월</t>
        </is>
      </c>
      <c r="B6813" t="inlineStr">
        <is>
          <t>52주차</t>
        </is>
      </c>
      <c r="C6813" t="e">
        <v>#N/A</v>
      </c>
      <c r="K6813" t="n">
        <v>0</v>
      </c>
      <c r="L6813" t="n">
        <v>0</v>
      </c>
      <c r="M6813" t="n">
        <v>0</v>
      </c>
      <c r="AC6813" t="n">
        <v>0</v>
      </c>
      <c r="AD6813" t="n">
        <v>0</v>
      </c>
      <c r="AE6813" t="n">
        <v>0</v>
      </c>
      <c r="AF6813" t="n">
        <v>0</v>
      </c>
      <c r="AG6813" t="n">
        <v>0</v>
      </c>
      <c r="AH6813" t="n">
        <v>0</v>
      </c>
      <c r="AI6813" t="n">
        <v>0</v>
      </c>
    </row>
    <row r="6814">
      <c r="A6814" t="inlineStr">
        <is>
          <t>12월</t>
        </is>
      </c>
      <c r="B6814" t="inlineStr">
        <is>
          <t>52주차</t>
        </is>
      </c>
      <c r="C6814" t="e">
        <v>#N/A</v>
      </c>
      <c r="K6814" t="n">
        <v>0</v>
      </c>
      <c r="L6814" t="n">
        <v>0</v>
      </c>
      <c r="M6814" t="n">
        <v>0</v>
      </c>
      <c r="AC6814" t="n">
        <v>0</v>
      </c>
      <c r="AD6814" t="n">
        <v>0</v>
      </c>
      <c r="AE6814" t="n">
        <v>0</v>
      </c>
      <c r="AF6814" t="n">
        <v>0</v>
      </c>
      <c r="AG6814" t="n">
        <v>0</v>
      </c>
      <c r="AH6814" t="n">
        <v>0</v>
      </c>
      <c r="AI6814" t="n">
        <v>0</v>
      </c>
    </row>
    <row r="6815">
      <c r="A6815" t="inlineStr">
        <is>
          <t>12월</t>
        </is>
      </c>
      <c r="B6815" t="inlineStr">
        <is>
          <t>52주차</t>
        </is>
      </c>
      <c r="C6815" t="e">
        <v>#N/A</v>
      </c>
      <c r="K6815" t="n">
        <v>0</v>
      </c>
      <c r="L6815" t="n">
        <v>0</v>
      </c>
      <c r="M6815" t="n">
        <v>0</v>
      </c>
      <c r="AC6815" t="n">
        <v>0</v>
      </c>
      <c r="AD6815" t="n">
        <v>0</v>
      </c>
      <c r="AE6815" t="n">
        <v>0</v>
      </c>
      <c r="AF6815" t="n">
        <v>0</v>
      </c>
      <c r="AG6815" t="n">
        <v>0</v>
      </c>
      <c r="AH6815" t="n">
        <v>0</v>
      </c>
      <c r="AI6815" t="n">
        <v>0</v>
      </c>
    </row>
    <row r="6816">
      <c r="A6816" t="inlineStr">
        <is>
          <t>12월</t>
        </is>
      </c>
      <c r="B6816" t="inlineStr">
        <is>
          <t>52주차</t>
        </is>
      </c>
      <c r="C6816" t="e">
        <v>#N/A</v>
      </c>
      <c r="K6816" t="n">
        <v>0</v>
      </c>
      <c r="L6816" t="n">
        <v>0</v>
      </c>
      <c r="M6816" t="n">
        <v>0</v>
      </c>
      <c r="AC6816" t="n">
        <v>0</v>
      </c>
      <c r="AD6816" t="n">
        <v>0</v>
      </c>
      <c r="AE6816" t="n">
        <v>0</v>
      </c>
      <c r="AF6816" t="n">
        <v>0</v>
      </c>
      <c r="AG6816" t="n">
        <v>0</v>
      </c>
      <c r="AH6816" t="n">
        <v>0</v>
      </c>
      <c r="AI6816" t="n">
        <v>0</v>
      </c>
    </row>
    <row r="6817">
      <c r="A6817" t="inlineStr">
        <is>
          <t>12월</t>
        </is>
      </c>
      <c r="B6817" t="inlineStr">
        <is>
          <t>52주차</t>
        </is>
      </c>
      <c r="C6817" t="e">
        <v>#N/A</v>
      </c>
      <c r="K6817" t="n">
        <v>0</v>
      </c>
      <c r="L6817" t="n">
        <v>0</v>
      </c>
      <c r="M6817" t="n">
        <v>0</v>
      </c>
      <c r="AC6817" t="n">
        <v>0</v>
      </c>
      <c r="AD6817" t="n">
        <v>0</v>
      </c>
      <c r="AE6817" t="n">
        <v>0</v>
      </c>
      <c r="AF6817" t="n">
        <v>0</v>
      </c>
      <c r="AG6817" t="n">
        <v>0</v>
      </c>
      <c r="AH6817" t="n">
        <v>0</v>
      </c>
      <c r="AI6817" t="n">
        <v>0</v>
      </c>
    </row>
    <row r="6818">
      <c r="A6818" t="inlineStr">
        <is>
          <t>12월</t>
        </is>
      </c>
      <c r="B6818" t="inlineStr">
        <is>
          <t>52주차</t>
        </is>
      </c>
      <c r="C6818" t="e">
        <v>#N/A</v>
      </c>
      <c r="K6818" t="n">
        <v>0</v>
      </c>
      <c r="L6818" t="n">
        <v>0</v>
      </c>
      <c r="M6818" t="n">
        <v>0</v>
      </c>
      <c r="AC6818" t="n">
        <v>0</v>
      </c>
      <c r="AD6818" t="n">
        <v>0</v>
      </c>
      <c r="AE6818" t="n">
        <v>0</v>
      </c>
      <c r="AF6818" t="n">
        <v>0</v>
      </c>
      <c r="AG6818" t="n">
        <v>0</v>
      </c>
      <c r="AH6818" t="n">
        <v>0</v>
      </c>
      <c r="AI6818" t="n">
        <v>0</v>
      </c>
    </row>
    <row r="6819">
      <c r="A6819" t="inlineStr">
        <is>
          <t>12월</t>
        </is>
      </c>
      <c r="B6819" t="inlineStr">
        <is>
          <t>52주차</t>
        </is>
      </c>
      <c r="C6819" t="e">
        <v>#N/A</v>
      </c>
      <c r="K6819" t="n">
        <v>0</v>
      </c>
      <c r="L6819" t="n">
        <v>0</v>
      </c>
      <c r="M6819" t="n">
        <v>0</v>
      </c>
      <c r="AC6819" t="n">
        <v>0</v>
      </c>
      <c r="AD6819" t="n">
        <v>0</v>
      </c>
      <c r="AE6819" t="n">
        <v>0</v>
      </c>
      <c r="AF6819" t="n">
        <v>0</v>
      </c>
      <c r="AG6819" t="n">
        <v>0</v>
      </c>
      <c r="AH6819" t="n">
        <v>0</v>
      </c>
      <c r="AI6819" t="n">
        <v>0</v>
      </c>
    </row>
    <row r="6820">
      <c r="A6820" t="inlineStr">
        <is>
          <t>12월</t>
        </is>
      </c>
      <c r="B6820" t="inlineStr">
        <is>
          <t>52주차</t>
        </is>
      </c>
      <c r="C6820" t="e">
        <v>#N/A</v>
      </c>
      <c r="K6820" t="n">
        <v>0</v>
      </c>
      <c r="L6820" t="n">
        <v>0</v>
      </c>
      <c r="M6820" t="n">
        <v>0</v>
      </c>
      <c r="AC6820" t="n">
        <v>0</v>
      </c>
      <c r="AD6820" t="n">
        <v>0</v>
      </c>
      <c r="AE6820" t="n">
        <v>0</v>
      </c>
      <c r="AF6820" t="n">
        <v>0</v>
      </c>
      <c r="AG6820" t="n">
        <v>0</v>
      </c>
      <c r="AH6820" t="n">
        <v>0</v>
      </c>
      <c r="AI6820" t="n">
        <v>0</v>
      </c>
    </row>
    <row r="6821">
      <c r="A6821" t="inlineStr">
        <is>
          <t>12월</t>
        </is>
      </c>
      <c r="B6821" t="inlineStr">
        <is>
          <t>52주차</t>
        </is>
      </c>
      <c r="C6821" t="e">
        <v>#N/A</v>
      </c>
      <c r="K6821" t="n">
        <v>0</v>
      </c>
      <c r="L6821" t="n">
        <v>0</v>
      </c>
      <c r="M6821" t="n">
        <v>0</v>
      </c>
      <c r="AC6821" t="n">
        <v>0</v>
      </c>
      <c r="AD6821" t="n">
        <v>0</v>
      </c>
      <c r="AE6821" t="n">
        <v>0</v>
      </c>
      <c r="AF6821" t="n">
        <v>0</v>
      </c>
      <c r="AG6821" t="n">
        <v>0</v>
      </c>
      <c r="AH6821" t="n">
        <v>0</v>
      </c>
      <c r="AI6821" t="n">
        <v>0</v>
      </c>
    </row>
    <row r="6822">
      <c r="A6822" t="inlineStr">
        <is>
          <t>12월</t>
        </is>
      </c>
      <c r="B6822" t="inlineStr">
        <is>
          <t>52주차</t>
        </is>
      </c>
      <c r="C6822" t="e">
        <v>#N/A</v>
      </c>
      <c r="K6822" t="n">
        <v>0</v>
      </c>
      <c r="L6822" t="n">
        <v>0</v>
      </c>
      <c r="M6822" t="n">
        <v>0</v>
      </c>
      <c r="AC6822" t="n">
        <v>0</v>
      </c>
      <c r="AD6822" t="n">
        <v>0</v>
      </c>
      <c r="AE6822" t="n">
        <v>0</v>
      </c>
      <c r="AF6822" t="n">
        <v>0</v>
      </c>
      <c r="AG6822" t="n">
        <v>0</v>
      </c>
      <c r="AH6822" t="n">
        <v>0</v>
      </c>
    </row>
    <row r="6823">
      <c r="A6823" t="inlineStr">
        <is>
          <t>12월</t>
        </is>
      </c>
      <c r="B6823" t="inlineStr">
        <is>
          <t>52주차</t>
        </is>
      </c>
      <c r="C6823" t="e">
        <v>#N/A</v>
      </c>
      <c r="K6823" t="n">
        <v>0</v>
      </c>
      <c r="L6823" t="n">
        <v>0</v>
      </c>
      <c r="M6823" t="n">
        <v>0</v>
      </c>
      <c r="AC6823" t="n">
        <v>0</v>
      </c>
      <c r="AD6823" t="n">
        <v>0</v>
      </c>
      <c r="AE6823" t="n">
        <v>0</v>
      </c>
      <c r="AF6823" t="n">
        <v>0</v>
      </c>
      <c r="AG6823" t="n">
        <v>0</v>
      </c>
      <c r="AH6823" t="n">
        <v>0</v>
      </c>
    </row>
    <row r="6824">
      <c r="A6824" t="inlineStr">
        <is>
          <t>12월</t>
        </is>
      </c>
      <c r="B6824" t="inlineStr">
        <is>
          <t>52주차</t>
        </is>
      </c>
      <c r="C6824" t="e">
        <v>#N/A</v>
      </c>
      <c r="K6824" t="n">
        <v>0</v>
      </c>
      <c r="L6824" t="n">
        <v>0</v>
      </c>
      <c r="M6824" t="n">
        <v>0</v>
      </c>
      <c r="AC6824" t="n">
        <v>0</v>
      </c>
      <c r="AD6824" t="n">
        <v>0</v>
      </c>
      <c r="AE6824" t="n">
        <v>0</v>
      </c>
      <c r="AF6824" t="n">
        <v>0</v>
      </c>
      <c r="AG6824" t="n">
        <v>0</v>
      </c>
      <c r="AH6824" t="n">
        <v>0</v>
      </c>
      <c r="AI6824" t="n">
        <v>0</v>
      </c>
    </row>
    <row r="6825">
      <c r="A6825" t="inlineStr">
        <is>
          <t>12월</t>
        </is>
      </c>
      <c r="B6825" t="inlineStr">
        <is>
          <t>52주차</t>
        </is>
      </c>
      <c r="C6825" t="e">
        <v>#N/A</v>
      </c>
      <c r="K6825" t="n">
        <v>0</v>
      </c>
      <c r="L6825" t="n">
        <v>0</v>
      </c>
      <c r="M6825" t="n">
        <v>0</v>
      </c>
      <c r="AC6825" t="n">
        <v>0</v>
      </c>
      <c r="AD6825" t="n">
        <v>0</v>
      </c>
      <c r="AE6825" t="n">
        <v>0</v>
      </c>
      <c r="AF6825" t="n">
        <v>0</v>
      </c>
      <c r="AG6825" t="n">
        <v>0</v>
      </c>
      <c r="AH6825" t="n">
        <v>0</v>
      </c>
      <c r="AI6825" t="n">
        <v>0</v>
      </c>
    </row>
    <row r="6826">
      <c r="A6826" t="inlineStr">
        <is>
          <t>12월</t>
        </is>
      </c>
      <c r="B6826" t="inlineStr">
        <is>
          <t>52주차</t>
        </is>
      </c>
      <c r="C6826" t="e">
        <v>#N/A</v>
      </c>
      <c r="K6826" t="n">
        <v>0</v>
      </c>
      <c r="L6826" t="n">
        <v>0</v>
      </c>
      <c r="M6826" t="n">
        <v>0</v>
      </c>
      <c r="AC6826" t="n">
        <v>0</v>
      </c>
      <c r="AD6826" t="n">
        <v>0</v>
      </c>
      <c r="AE6826" t="n">
        <v>0</v>
      </c>
      <c r="AF6826" t="n">
        <v>0</v>
      </c>
      <c r="AG6826" t="n">
        <v>0</v>
      </c>
      <c r="AH6826" t="n">
        <v>0</v>
      </c>
      <c r="AI6826" t="n">
        <v>0</v>
      </c>
    </row>
    <row r="6827">
      <c r="A6827" t="inlineStr">
        <is>
          <t>12월</t>
        </is>
      </c>
      <c r="B6827" t="inlineStr">
        <is>
          <t>52주차</t>
        </is>
      </c>
      <c r="C6827" t="e">
        <v>#N/A</v>
      </c>
      <c r="K6827" t="n">
        <v>0</v>
      </c>
      <c r="L6827" t="n">
        <v>0</v>
      </c>
      <c r="M6827" t="n">
        <v>0</v>
      </c>
      <c r="AC6827" t="n">
        <v>0</v>
      </c>
      <c r="AD6827" t="n">
        <v>0</v>
      </c>
      <c r="AE6827" t="n">
        <v>0</v>
      </c>
      <c r="AF6827" t="n">
        <v>0</v>
      </c>
      <c r="AG6827" t="n">
        <v>0</v>
      </c>
      <c r="AH6827" t="n">
        <v>0</v>
      </c>
      <c r="AI6827" t="n">
        <v>0</v>
      </c>
    </row>
    <row r="6828">
      <c r="A6828" t="inlineStr">
        <is>
          <t>12월</t>
        </is>
      </c>
      <c r="B6828" t="inlineStr">
        <is>
          <t>52주차</t>
        </is>
      </c>
      <c r="C6828" t="e">
        <v>#N/A</v>
      </c>
      <c r="K6828" t="n">
        <v>0</v>
      </c>
      <c r="L6828" t="n">
        <v>0</v>
      </c>
      <c r="M6828" t="n">
        <v>0</v>
      </c>
      <c r="AC6828" t="n">
        <v>0</v>
      </c>
      <c r="AD6828" t="n">
        <v>0</v>
      </c>
      <c r="AE6828" t="n">
        <v>0</v>
      </c>
      <c r="AF6828" t="n">
        <v>0</v>
      </c>
      <c r="AG6828" t="n">
        <v>0</v>
      </c>
      <c r="AH6828" t="n">
        <v>0</v>
      </c>
      <c r="AI6828" t="n">
        <v>0</v>
      </c>
    </row>
    <row r="6829">
      <c r="A6829" t="inlineStr">
        <is>
          <t>12월</t>
        </is>
      </c>
      <c r="B6829" t="inlineStr">
        <is>
          <t>52주차</t>
        </is>
      </c>
      <c r="C6829" t="e">
        <v>#N/A</v>
      </c>
      <c r="K6829" t="n">
        <v>0</v>
      </c>
      <c r="L6829" t="n">
        <v>0</v>
      </c>
      <c r="M6829" t="n">
        <v>0</v>
      </c>
      <c r="AC6829" t="n">
        <v>0</v>
      </c>
      <c r="AD6829" t="n">
        <v>0</v>
      </c>
      <c r="AE6829" t="n">
        <v>0</v>
      </c>
      <c r="AF6829" t="n">
        <v>0</v>
      </c>
      <c r="AG6829" t="n">
        <v>0</v>
      </c>
      <c r="AH6829" t="n">
        <v>0</v>
      </c>
      <c r="AI6829" t="n">
        <v>0</v>
      </c>
    </row>
    <row r="6830">
      <c r="A6830" t="inlineStr">
        <is>
          <t>12월</t>
        </is>
      </c>
      <c r="B6830" t="inlineStr">
        <is>
          <t>52주차</t>
        </is>
      </c>
      <c r="C6830" t="e">
        <v>#N/A</v>
      </c>
      <c r="K6830" t="n">
        <v>0</v>
      </c>
      <c r="L6830" t="n">
        <v>0</v>
      </c>
      <c r="M6830" t="n">
        <v>0</v>
      </c>
      <c r="AC6830" t="n">
        <v>0</v>
      </c>
      <c r="AD6830" t="n">
        <v>0</v>
      </c>
      <c r="AE6830" t="n">
        <v>0</v>
      </c>
      <c r="AF6830" t="n">
        <v>0</v>
      </c>
      <c r="AG6830" t="n">
        <v>0</v>
      </c>
      <c r="AH6830" t="n">
        <v>0</v>
      </c>
      <c r="AI6830" t="n">
        <v>0</v>
      </c>
    </row>
    <row r="6831">
      <c r="A6831" t="inlineStr">
        <is>
          <t>12월</t>
        </is>
      </c>
      <c r="B6831" t="inlineStr">
        <is>
          <t>52주차</t>
        </is>
      </c>
      <c r="C6831" t="e">
        <v>#N/A</v>
      </c>
      <c r="K6831" t="n">
        <v>0</v>
      </c>
      <c r="L6831" t="n">
        <v>0</v>
      </c>
      <c r="M6831" t="n">
        <v>0</v>
      </c>
      <c r="AC6831" t="n">
        <v>0</v>
      </c>
      <c r="AD6831" t="n">
        <v>0</v>
      </c>
      <c r="AE6831" t="n">
        <v>0</v>
      </c>
      <c r="AF6831" t="n">
        <v>0</v>
      </c>
      <c r="AG6831" t="n">
        <v>0</v>
      </c>
      <c r="AH6831" t="n">
        <v>0</v>
      </c>
    </row>
    <row r="6832">
      <c r="A6832" t="inlineStr">
        <is>
          <t>12월</t>
        </is>
      </c>
      <c r="B6832" t="inlineStr">
        <is>
          <t>52주차</t>
        </is>
      </c>
      <c r="C6832" t="e">
        <v>#N/A</v>
      </c>
      <c r="K6832" t="n">
        <v>0</v>
      </c>
      <c r="L6832" t="n">
        <v>0</v>
      </c>
      <c r="M6832" t="n">
        <v>0</v>
      </c>
      <c r="AC6832" t="n">
        <v>0</v>
      </c>
      <c r="AD6832" t="n">
        <v>0</v>
      </c>
      <c r="AE6832" t="n">
        <v>0</v>
      </c>
      <c r="AF6832" t="n">
        <v>0</v>
      </c>
      <c r="AG6832" t="n">
        <v>0</v>
      </c>
      <c r="AH6832" t="n">
        <v>0</v>
      </c>
    </row>
    <row r="6833">
      <c r="A6833" t="inlineStr">
        <is>
          <t>12월</t>
        </is>
      </c>
      <c r="B6833" t="inlineStr">
        <is>
          <t>52주차</t>
        </is>
      </c>
      <c r="C6833" t="e">
        <v>#N/A</v>
      </c>
      <c r="K6833" t="n">
        <v>0</v>
      </c>
      <c r="L6833" t="n">
        <v>0</v>
      </c>
      <c r="M6833" t="n">
        <v>0</v>
      </c>
      <c r="AC6833" t="n">
        <v>0</v>
      </c>
      <c r="AD6833" t="n">
        <v>0</v>
      </c>
      <c r="AE6833" t="n">
        <v>0</v>
      </c>
      <c r="AF6833" t="n">
        <v>0</v>
      </c>
      <c r="AG6833" t="n">
        <v>0</v>
      </c>
      <c r="AH6833" t="n">
        <v>0</v>
      </c>
      <c r="AI6833" t="n">
        <v>0</v>
      </c>
    </row>
    <row r="6834">
      <c r="A6834" t="inlineStr">
        <is>
          <t>12월</t>
        </is>
      </c>
      <c r="B6834" t="inlineStr">
        <is>
          <t>52주차</t>
        </is>
      </c>
      <c r="C6834" t="e">
        <v>#N/A</v>
      </c>
      <c r="K6834" t="n">
        <v>0</v>
      </c>
      <c r="L6834" t="n">
        <v>0</v>
      </c>
      <c r="M6834" t="n">
        <v>0</v>
      </c>
      <c r="AC6834" t="n">
        <v>0</v>
      </c>
      <c r="AD6834" t="n">
        <v>0</v>
      </c>
      <c r="AE6834" t="n">
        <v>0</v>
      </c>
      <c r="AF6834" t="n">
        <v>0</v>
      </c>
      <c r="AG6834" t="n">
        <v>0</v>
      </c>
      <c r="AH6834" t="n">
        <v>0</v>
      </c>
      <c r="AI6834" t="n">
        <v>0</v>
      </c>
    </row>
    <row r="6835">
      <c r="A6835" t="inlineStr">
        <is>
          <t>12월</t>
        </is>
      </c>
      <c r="B6835" t="inlineStr">
        <is>
          <t>52주차</t>
        </is>
      </c>
      <c r="C6835" t="e">
        <v>#N/A</v>
      </c>
      <c r="K6835" t="n">
        <v>0</v>
      </c>
      <c r="L6835" t="n">
        <v>0</v>
      </c>
      <c r="M6835" t="n">
        <v>0</v>
      </c>
      <c r="AC6835" t="n">
        <v>0</v>
      </c>
      <c r="AD6835" t="n">
        <v>0</v>
      </c>
      <c r="AE6835" t="n">
        <v>0</v>
      </c>
      <c r="AF6835" t="n">
        <v>0</v>
      </c>
      <c r="AG6835" t="n">
        <v>0</v>
      </c>
      <c r="AH6835" t="n">
        <v>0</v>
      </c>
      <c r="AI6835" t="n">
        <v>0</v>
      </c>
    </row>
    <row r="6836">
      <c r="A6836" t="inlineStr">
        <is>
          <t>12월</t>
        </is>
      </c>
      <c r="B6836" t="inlineStr">
        <is>
          <t>52주차</t>
        </is>
      </c>
      <c r="C6836" t="e">
        <v>#N/A</v>
      </c>
      <c r="K6836" t="n">
        <v>0</v>
      </c>
      <c r="L6836" t="n">
        <v>0</v>
      </c>
      <c r="M6836" t="n">
        <v>0</v>
      </c>
      <c r="AC6836" t="n">
        <v>0</v>
      </c>
      <c r="AD6836" t="n">
        <v>0</v>
      </c>
      <c r="AE6836" t="n">
        <v>0</v>
      </c>
      <c r="AF6836" t="n">
        <v>0</v>
      </c>
      <c r="AG6836" t="n">
        <v>0</v>
      </c>
      <c r="AH6836" t="n">
        <v>0</v>
      </c>
      <c r="AI6836" t="n">
        <v>0</v>
      </c>
    </row>
    <row r="6837">
      <c r="A6837" t="inlineStr">
        <is>
          <t>12월</t>
        </is>
      </c>
      <c r="B6837" t="inlineStr">
        <is>
          <t>52주차</t>
        </is>
      </c>
      <c r="C6837" t="e">
        <v>#N/A</v>
      </c>
      <c r="K6837" t="n">
        <v>0</v>
      </c>
      <c r="L6837" t="n">
        <v>0</v>
      </c>
      <c r="M6837" t="n">
        <v>0</v>
      </c>
      <c r="AC6837" t="n">
        <v>0</v>
      </c>
      <c r="AD6837" t="n">
        <v>0</v>
      </c>
      <c r="AE6837" t="n">
        <v>0</v>
      </c>
      <c r="AF6837" t="n">
        <v>0</v>
      </c>
      <c r="AG6837" t="n">
        <v>0</v>
      </c>
      <c r="AH6837" t="n">
        <v>0</v>
      </c>
      <c r="AI6837" t="n">
        <v>0</v>
      </c>
    </row>
    <row r="6838">
      <c r="A6838" t="inlineStr">
        <is>
          <t>12월</t>
        </is>
      </c>
      <c r="B6838" t="inlineStr">
        <is>
          <t>52주차</t>
        </is>
      </c>
      <c r="C6838" t="e">
        <v>#N/A</v>
      </c>
      <c r="K6838" t="n">
        <v>0</v>
      </c>
      <c r="L6838" t="n">
        <v>0</v>
      </c>
      <c r="M6838" t="n">
        <v>0</v>
      </c>
      <c r="AC6838" t="n">
        <v>0</v>
      </c>
      <c r="AD6838" t="n">
        <v>0</v>
      </c>
      <c r="AE6838" t="n">
        <v>0</v>
      </c>
      <c r="AF6838" t="n">
        <v>0</v>
      </c>
      <c r="AG6838" t="n">
        <v>0</v>
      </c>
      <c r="AH6838" t="n">
        <v>0</v>
      </c>
      <c r="AI6838" t="n">
        <v>0</v>
      </c>
    </row>
    <row r="6839">
      <c r="A6839" t="inlineStr">
        <is>
          <t>12월</t>
        </is>
      </c>
      <c r="B6839" t="inlineStr">
        <is>
          <t>52주차</t>
        </is>
      </c>
      <c r="C6839" t="e">
        <v>#N/A</v>
      </c>
      <c r="K6839" t="n">
        <v>0</v>
      </c>
      <c r="L6839" t="n">
        <v>0</v>
      </c>
      <c r="M6839" t="n">
        <v>0</v>
      </c>
      <c r="AC6839" t="n">
        <v>0</v>
      </c>
      <c r="AD6839" t="n">
        <v>0</v>
      </c>
      <c r="AE6839" t="n">
        <v>0</v>
      </c>
      <c r="AF6839" t="n">
        <v>0</v>
      </c>
      <c r="AG6839" t="n">
        <v>0</v>
      </c>
      <c r="AH6839" t="n">
        <v>0</v>
      </c>
    </row>
    <row r="6840">
      <c r="A6840" t="inlineStr">
        <is>
          <t>12월</t>
        </is>
      </c>
      <c r="B6840" t="inlineStr">
        <is>
          <t>52주차</t>
        </is>
      </c>
      <c r="C6840" t="e">
        <v>#N/A</v>
      </c>
      <c r="K6840" t="n">
        <v>0</v>
      </c>
      <c r="L6840" t="n">
        <v>0</v>
      </c>
      <c r="M6840" t="n">
        <v>0</v>
      </c>
      <c r="AC6840" t="n">
        <v>0</v>
      </c>
      <c r="AD6840" t="n">
        <v>0</v>
      </c>
      <c r="AE6840" t="n">
        <v>0</v>
      </c>
      <c r="AF6840" t="n">
        <v>0</v>
      </c>
      <c r="AG6840" t="n">
        <v>0</v>
      </c>
      <c r="AH6840" t="n">
        <v>0</v>
      </c>
    </row>
    <row r="6841">
      <c r="A6841" t="inlineStr">
        <is>
          <t>12월</t>
        </is>
      </c>
      <c r="B6841" t="inlineStr">
        <is>
          <t>52주차</t>
        </is>
      </c>
      <c r="C6841" t="e">
        <v>#N/A</v>
      </c>
      <c r="K6841" t="n">
        <v>0</v>
      </c>
      <c r="L6841" t="n">
        <v>0</v>
      </c>
      <c r="M6841" t="n">
        <v>0</v>
      </c>
      <c r="AC6841" t="n">
        <v>0</v>
      </c>
      <c r="AD6841" t="n">
        <v>0</v>
      </c>
      <c r="AE6841" t="n">
        <v>0</v>
      </c>
      <c r="AF6841" t="n">
        <v>0</v>
      </c>
      <c r="AG6841" t="n">
        <v>0</v>
      </c>
      <c r="AH6841" t="n">
        <v>0</v>
      </c>
      <c r="AI6841" t="n">
        <v>0</v>
      </c>
    </row>
    <row r="6842">
      <c r="A6842" t="inlineStr">
        <is>
          <t>12월</t>
        </is>
      </c>
      <c r="B6842" t="inlineStr">
        <is>
          <t>52주차</t>
        </is>
      </c>
      <c r="C6842" t="e">
        <v>#N/A</v>
      </c>
      <c r="K6842" t="n">
        <v>0</v>
      </c>
      <c r="L6842" t="n">
        <v>0</v>
      </c>
      <c r="M6842" t="n">
        <v>0</v>
      </c>
      <c r="AC6842" t="n">
        <v>0</v>
      </c>
      <c r="AD6842" t="n">
        <v>0</v>
      </c>
      <c r="AE6842" t="n">
        <v>0</v>
      </c>
      <c r="AF6842" t="n">
        <v>0</v>
      </c>
      <c r="AG6842" t="n">
        <v>0</v>
      </c>
      <c r="AH6842" t="n">
        <v>0</v>
      </c>
      <c r="AI6842" t="n">
        <v>0</v>
      </c>
    </row>
    <row r="6843">
      <c r="A6843" t="inlineStr">
        <is>
          <t>12월</t>
        </is>
      </c>
      <c r="B6843" t="inlineStr">
        <is>
          <t>52주차</t>
        </is>
      </c>
      <c r="C6843" t="e">
        <v>#N/A</v>
      </c>
      <c r="K6843" t="n">
        <v>0</v>
      </c>
      <c r="L6843" t="n">
        <v>0</v>
      </c>
      <c r="M6843" t="n">
        <v>0</v>
      </c>
      <c r="AC6843" t="n">
        <v>0</v>
      </c>
      <c r="AD6843" t="n">
        <v>0</v>
      </c>
      <c r="AE6843" t="n">
        <v>0</v>
      </c>
      <c r="AF6843" t="n">
        <v>0</v>
      </c>
      <c r="AG6843" t="n">
        <v>0</v>
      </c>
      <c r="AH6843" t="n">
        <v>0</v>
      </c>
      <c r="AI6843" t="n">
        <v>0</v>
      </c>
    </row>
    <row r="6844">
      <c r="A6844" t="inlineStr">
        <is>
          <t>12월</t>
        </is>
      </c>
      <c r="B6844" t="inlineStr">
        <is>
          <t>52주차</t>
        </is>
      </c>
      <c r="C6844" t="e">
        <v>#N/A</v>
      </c>
      <c r="K6844" t="n">
        <v>0</v>
      </c>
      <c r="L6844" t="n">
        <v>0</v>
      </c>
      <c r="M6844" t="n">
        <v>0</v>
      </c>
      <c r="AC6844" t="n">
        <v>0</v>
      </c>
      <c r="AD6844" t="n">
        <v>0</v>
      </c>
      <c r="AE6844" t="n">
        <v>0</v>
      </c>
      <c r="AF6844" t="n">
        <v>0</v>
      </c>
      <c r="AG6844" t="n">
        <v>0</v>
      </c>
      <c r="AH6844" t="n">
        <v>0</v>
      </c>
      <c r="AI6844" t="n">
        <v>0</v>
      </c>
    </row>
    <row r="6845">
      <c r="A6845" t="inlineStr">
        <is>
          <t>12월</t>
        </is>
      </c>
      <c r="B6845" t="inlineStr">
        <is>
          <t>52주차</t>
        </is>
      </c>
      <c r="C6845" t="e">
        <v>#N/A</v>
      </c>
      <c r="K6845" t="n">
        <v>0</v>
      </c>
      <c r="L6845" t="n">
        <v>0</v>
      </c>
      <c r="M6845" t="n">
        <v>0</v>
      </c>
      <c r="AC6845" t="n">
        <v>0</v>
      </c>
      <c r="AD6845" t="n">
        <v>0</v>
      </c>
      <c r="AE6845" t="n">
        <v>0</v>
      </c>
      <c r="AF6845" t="n">
        <v>0</v>
      </c>
      <c r="AG6845" t="n">
        <v>0</v>
      </c>
      <c r="AH6845" t="n">
        <v>0</v>
      </c>
      <c r="AI6845" t="n">
        <v>0</v>
      </c>
    </row>
    <row r="6846">
      <c r="A6846" t="inlineStr">
        <is>
          <t>12월</t>
        </is>
      </c>
      <c r="B6846" t="inlineStr">
        <is>
          <t>52주차</t>
        </is>
      </c>
      <c r="C6846" t="e">
        <v>#N/A</v>
      </c>
      <c r="K6846" t="n">
        <v>0</v>
      </c>
      <c r="L6846" t="n">
        <v>0</v>
      </c>
      <c r="M6846" t="n">
        <v>0</v>
      </c>
      <c r="AC6846" t="n">
        <v>0</v>
      </c>
      <c r="AD6846" t="n">
        <v>0</v>
      </c>
      <c r="AE6846" t="n">
        <v>0</v>
      </c>
      <c r="AF6846" t="n">
        <v>0</v>
      </c>
      <c r="AG6846" t="n">
        <v>0</v>
      </c>
      <c r="AH6846" t="n">
        <v>0</v>
      </c>
      <c r="AI6846" t="n">
        <v>0</v>
      </c>
    </row>
    <row r="6847">
      <c r="A6847" t="inlineStr">
        <is>
          <t>12월</t>
        </is>
      </c>
      <c r="B6847" t="inlineStr">
        <is>
          <t>52주차</t>
        </is>
      </c>
      <c r="C6847" t="e">
        <v>#N/A</v>
      </c>
      <c r="K6847" t="n">
        <v>0</v>
      </c>
      <c r="L6847" t="n">
        <v>0</v>
      </c>
      <c r="M6847" t="n">
        <v>0</v>
      </c>
      <c r="AC6847" t="n">
        <v>0</v>
      </c>
      <c r="AD6847" t="n">
        <v>0</v>
      </c>
      <c r="AE6847" t="n">
        <v>0</v>
      </c>
      <c r="AF6847" t="n">
        <v>0</v>
      </c>
      <c r="AG6847" t="n">
        <v>0</v>
      </c>
      <c r="AH6847" t="n">
        <v>0</v>
      </c>
    </row>
    <row r="6848">
      <c r="A6848" t="inlineStr">
        <is>
          <t>12월</t>
        </is>
      </c>
      <c r="B6848" t="inlineStr">
        <is>
          <t>52주차</t>
        </is>
      </c>
      <c r="C6848" t="e">
        <v>#N/A</v>
      </c>
      <c r="K6848" t="n">
        <v>0</v>
      </c>
      <c r="L6848" t="n">
        <v>0</v>
      </c>
      <c r="M6848" t="n">
        <v>0</v>
      </c>
      <c r="AC6848" t="n">
        <v>0</v>
      </c>
      <c r="AD6848" t="n">
        <v>0</v>
      </c>
      <c r="AE6848" t="n">
        <v>0</v>
      </c>
      <c r="AF6848" t="n">
        <v>0</v>
      </c>
      <c r="AG6848" t="n">
        <v>0</v>
      </c>
      <c r="AH6848" t="n">
        <v>0</v>
      </c>
      <c r="AI6848" t="n">
        <v>0</v>
      </c>
    </row>
    <row r="6849">
      <c r="A6849" t="inlineStr">
        <is>
          <t>12월</t>
        </is>
      </c>
      <c r="B6849" t="inlineStr">
        <is>
          <t>52주차</t>
        </is>
      </c>
      <c r="C6849" t="e">
        <v>#N/A</v>
      </c>
      <c r="K6849" t="n">
        <v>0</v>
      </c>
      <c r="L6849" t="n">
        <v>0</v>
      </c>
      <c r="M6849" t="n">
        <v>0</v>
      </c>
      <c r="AC6849" t="n">
        <v>0</v>
      </c>
      <c r="AD6849" t="n">
        <v>0</v>
      </c>
      <c r="AE6849" t="n">
        <v>0</v>
      </c>
      <c r="AF6849" t="n">
        <v>0</v>
      </c>
      <c r="AG6849" t="n">
        <v>0</v>
      </c>
      <c r="AH6849" t="n">
        <v>0</v>
      </c>
      <c r="AI6849" t="n">
        <v>0</v>
      </c>
    </row>
    <row r="6850">
      <c r="A6850" t="inlineStr">
        <is>
          <t>12월</t>
        </is>
      </c>
      <c r="B6850" t="inlineStr">
        <is>
          <t>52주차</t>
        </is>
      </c>
      <c r="C6850" t="e">
        <v>#N/A</v>
      </c>
      <c r="K6850" t="n">
        <v>0</v>
      </c>
      <c r="L6850" t="n">
        <v>0</v>
      </c>
      <c r="M6850" t="n">
        <v>0</v>
      </c>
      <c r="AC6850" t="n">
        <v>0</v>
      </c>
      <c r="AD6850" t="n">
        <v>0</v>
      </c>
      <c r="AE6850" t="n">
        <v>0</v>
      </c>
      <c r="AF6850" t="n">
        <v>0</v>
      </c>
      <c r="AG6850" t="n">
        <v>0</v>
      </c>
      <c r="AH6850" t="n">
        <v>0</v>
      </c>
    </row>
    <row r="6851">
      <c r="A6851" t="inlineStr">
        <is>
          <t>12월</t>
        </is>
      </c>
      <c r="B6851" t="inlineStr">
        <is>
          <t>52주차</t>
        </is>
      </c>
      <c r="C6851" t="e">
        <v>#N/A</v>
      </c>
      <c r="K6851" t="n">
        <v>0</v>
      </c>
      <c r="L6851" t="n">
        <v>0</v>
      </c>
      <c r="M6851" t="n">
        <v>0</v>
      </c>
      <c r="AC6851" t="n">
        <v>0</v>
      </c>
      <c r="AD6851" t="n">
        <v>0</v>
      </c>
      <c r="AE6851" t="n">
        <v>0</v>
      </c>
      <c r="AF6851" t="n">
        <v>0</v>
      </c>
      <c r="AG6851" t="n">
        <v>0</v>
      </c>
      <c r="AH6851" t="n">
        <v>0</v>
      </c>
      <c r="AI6851" t="n">
        <v>0</v>
      </c>
    </row>
    <row r="6852">
      <c r="A6852" t="inlineStr">
        <is>
          <t>12월</t>
        </is>
      </c>
      <c r="B6852" t="inlineStr">
        <is>
          <t>52주차</t>
        </is>
      </c>
      <c r="C6852" t="e">
        <v>#N/A</v>
      </c>
      <c r="K6852" t="n">
        <v>0</v>
      </c>
      <c r="L6852" t="n">
        <v>0</v>
      </c>
      <c r="M6852" t="n">
        <v>0</v>
      </c>
      <c r="AC6852" t="n">
        <v>0</v>
      </c>
      <c r="AD6852" t="n">
        <v>0</v>
      </c>
      <c r="AE6852" t="n">
        <v>0</v>
      </c>
      <c r="AF6852" t="n">
        <v>0</v>
      </c>
      <c r="AG6852" t="n">
        <v>0</v>
      </c>
      <c r="AH6852" t="n">
        <v>0</v>
      </c>
      <c r="AI6852" t="n">
        <v>0</v>
      </c>
    </row>
    <row r="6853">
      <c r="A6853" t="inlineStr">
        <is>
          <t>12월</t>
        </is>
      </c>
      <c r="B6853" t="inlineStr">
        <is>
          <t>52주차</t>
        </is>
      </c>
      <c r="C6853" t="e">
        <v>#N/A</v>
      </c>
      <c r="K6853" t="n">
        <v>0</v>
      </c>
      <c r="L6853" t="n">
        <v>0</v>
      </c>
      <c r="M6853" t="n">
        <v>0</v>
      </c>
      <c r="AC6853" t="n">
        <v>0</v>
      </c>
      <c r="AD6853" t="n">
        <v>0</v>
      </c>
      <c r="AE6853" t="n">
        <v>0</v>
      </c>
      <c r="AF6853" t="n">
        <v>0</v>
      </c>
      <c r="AG6853" t="n">
        <v>0</v>
      </c>
      <c r="AH6853" t="n">
        <v>0</v>
      </c>
      <c r="AI6853" t="n">
        <v>0</v>
      </c>
    </row>
    <row r="6854">
      <c r="A6854" t="inlineStr">
        <is>
          <t>12월</t>
        </is>
      </c>
      <c r="B6854" t="inlineStr">
        <is>
          <t>52주차</t>
        </is>
      </c>
      <c r="C6854" t="e">
        <v>#N/A</v>
      </c>
      <c r="K6854" t="n">
        <v>0</v>
      </c>
      <c r="L6854" t="n">
        <v>0</v>
      </c>
      <c r="M6854" t="n">
        <v>0</v>
      </c>
      <c r="AC6854" t="n">
        <v>0</v>
      </c>
      <c r="AD6854" t="n">
        <v>0</v>
      </c>
      <c r="AE6854" t="n">
        <v>0</v>
      </c>
      <c r="AF6854" t="n">
        <v>0</v>
      </c>
      <c r="AG6854" t="n">
        <v>0</v>
      </c>
      <c r="AH6854" t="n">
        <v>0</v>
      </c>
      <c r="AI6854" t="n">
        <v>0</v>
      </c>
    </row>
    <row r="6855">
      <c r="A6855" t="inlineStr">
        <is>
          <t>12월</t>
        </is>
      </c>
      <c r="B6855" t="inlineStr">
        <is>
          <t>52주차</t>
        </is>
      </c>
      <c r="C6855" t="e">
        <v>#N/A</v>
      </c>
      <c r="K6855" t="n">
        <v>0</v>
      </c>
      <c r="L6855" t="n">
        <v>0</v>
      </c>
      <c r="M6855" t="n">
        <v>0</v>
      </c>
      <c r="AC6855" t="n">
        <v>0</v>
      </c>
      <c r="AD6855" t="n">
        <v>0</v>
      </c>
      <c r="AE6855" t="n">
        <v>0</v>
      </c>
      <c r="AF6855" t="n">
        <v>0</v>
      </c>
      <c r="AG6855" t="n">
        <v>0</v>
      </c>
      <c r="AH6855" t="n">
        <v>0</v>
      </c>
      <c r="AI6855" t="n">
        <v>0</v>
      </c>
    </row>
    <row r="6856">
      <c r="A6856" t="inlineStr">
        <is>
          <t>12월</t>
        </is>
      </c>
      <c r="B6856" t="inlineStr">
        <is>
          <t>52주차</t>
        </is>
      </c>
      <c r="C6856" t="e">
        <v>#N/A</v>
      </c>
      <c r="K6856" t="n">
        <v>0</v>
      </c>
      <c r="L6856" t="n">
        <v>0</v>
      </c>
      <c r="M6856" t="n">
        <v>0</v>
      </c>
      <c r="AC6856" t="n">
        <v>0</v>
      </c>
      <c r="AD6856" t="n">
        <v>0</v>
      </c>
      <c r="AE6856" t="n">
        <v>0</v>
      </c>
      <c r="AF6856" t="n">
        <v>0</v>
      </c>
      <c r="AG6856" t="n">
        <v>0</v>
      </c>
      <c r="AH6856" t="n">
        <v>0</v>
      </c>
      <c r="AI6856" t="n">
        <v>0</v>
      </c>
    </row>
    <row r="6857">
      <c r="A6857" t="inlineStr">
        <is>
          <t>12월</t>
        </is>
      </c>
      <c r="B6857" t="inlineStr">
        <is>
          <t>52주차</t>
        </is>
      </c>
      <c r="C6857" t="e">
        <v>#N/A</v>
      </c>
      <c r="K6857" t="n">
        <v>0</v>
      </c>
      <c r="L6857" t="n">
        <v>0</v>
      </c>
      <c r="M6857" t="n">
        <v>0</v>
      </c>
      <c r="AC6857" t="n">
        <v>0</v>
      </c>
      <c r="AD6857" t="n">
        <v>0</v>
      </c>
      <c r="AE6857" t="n">
        <v>0</v>
      </c>
      <c r="AF6857" t="n">
        <v>0</v>
      </c>
      <c r="AG6857" t="n">
        <v>0</v>
      </c>
      <c r="AH6857" t="n">
        <v>0</v>
      </c>
    </row>
    <row r="6858">
      <c r="A6858" t="inlineStr">
        <is>
          <t>12월</t>
        </is>
      </c>
      <c r="B6858" t="inlineStr">
        <is>
          <t>52주차</t>
        </is>
      </c>
      <c r="C6858" t="e">
        <v>#N/A</v>
      </c>
      <c r="K6858" t="n">
        <v>0</v>
      </c>
      <c r="L6858" t="n">
        <v>0</v>
      </c>
      <c r="M6858" t="n">
        <v>0</v>
      </c>
      <c r="AC6858" t="n">
        <v>0</v>
      </c>
      <c r="AD6858" t="n">
        <v>0</v>
      </c>
      <c r="AE6858" t="n">
        <v>0</v>
      </c>
      <c r="AF6858" t="n">
        <v>0</v>
      </c>
      <c r="AG6858" t="n">
        <v>0</v>
      </c>
      <c r="AH6858" t="n">
        <v>0</v>
      </c>
      <c r="AI6858" t="n">
        <v>0</v>
      </c>
    </row>
    <row r="6859">
      <c r="A6859" t="inlineStr">
        <is>
          <t>12월</t>
        </is>
      </c>
      <c r="B6859" t="inlineStr">
        <is>
          <t>52주차</t>
        </is>
      </c>
      <c r="C6859" t="e">
        <v>#N/A</v>
      </c>
      <c r="K6859" t="n">
        <v>0</v>
      </c>
      <c r="L6859" t="n">
        <v>0</v>
      </c>
      <c r="M6859" t="n">
        <v>0</v>
      </c>
      <c r="AC6859" t="n">
        <v>0</v>
      </c>
      <c r="AD6859" t="n">
        <v>0</v>
      </c>
      <c r="AE6859" t="n">
        <v>0</v>
      </c>
      <c r="AF6859" t="n">
        <v>0</v>
      </c>
      <c r="AG6859" t="n">
        <v>0</v>
      </c>
      <c r="AH6859" t="n">
        <v>0</v>
      </c>
      <c r="AI6859" t="n">
        <v>0</v>
      </c>
    </row>
    <row r="6860">
      <c r="A6860" t="inlineStr">
        <is>
          <t>12월</t>
        </is>
      </c>
      <c r="B6860" t="inlineStr">
        <is>
          <t>52주차</t>
        </is>
      </c>
      <c r="C6860" t="e">
        <v>#N/A</v>
      </c>
      <c r="K6860" t="n">
        <v>0</v>
      </c>
      <c r="L6860" t="n">
        <v>0</v>
      </c>
      <c r="M6860" t="n">
        <v>0</v>
      </c>
      <c r="AC6860" t="n">
        <v>0</v>
      </c>
      <c r="AD6860" t="n">
        <v>0</v>
      </c>
      <c r="AE6860" t="n">
        <v>0</v>
      </c>
      <c r="AF6860" t="n">
        <v>0</v>
      </c>
      <c r="AG6860" t="n">
        <v>0</v>
      </c>
      <c r="AH6860" t="n">
        <v>0</v>
      </c>
      <c r="AI6860" t="n">
        <v>0</v>
      </c>
    </row>
    <row r="6861">
      <c r="A6861" t="inlineStr">
        <is>
          <t>12월</t>
        </is>
      </c>
      <c r="B6861" t="inlineStr">
        <is>
          <t>52주차</t>
        </is>
      </c>
      <c r="C6861" t="e">
        <v>#N/A</v>
      </c>
      <c r="K6861" t="n">
        <v>0</v>
      </c>
      <c r="L6861" t="n">
        <v>0</v>
      </c>
      <c r="M6861" t="n">
        <v>0</v>
      </c>
      <c r="AC6861" t="n">
        <v>0</v>
      </c>
      <c r="AD6861" t="n">
        <v>0</v>
      </c>
      <c r="AE6861" t="n">
        <v>0</v>
      </c>
      <c r="AF6861" t="n">
        <v>0</v>
      </c>
      <c r="AG6861" t="n">
        <v>0</v>
      </c>
      <c r="AH6861" t="n">
        <v>0</v>
      </c>
    </row>
    <row r="6862">
      <c r="A6862" t="inlineStr">
        <is>
          <t>12월</t>
        </is>
      </c>
      <c r="B6862" t="inlineStr">
        <is>
          <t>52주차</t>
        </is>
      </c>
      <c r="C6862" t="e">
        <v>#N/A</v>
      </c>
      <c r="K6862" t="n">
        <v>0</v>
      </c>
      <c r="L6862" t="n">
        <v>0</v>
      </c>
      <c r="M6862" t="n">
        <v>0</v>
      </c>
      <c r="AC6862" t="n">
        <v>0</v>
      </c>
      <c r="AD6862" t="n">
        <v>0</v>
      </c>
      <c r="AE6862" t="n">
        <v>0</v>
      </c>
      <c r="AF6862" t="n">
        <v>0</v>
      </c>
      <c r="AG6862" t="n">
        <v>0</v>
      </c>
      <c r="AH6862" t="n">
        <v>0</v>
      </c>
      <c r="AI6862" t="n">
        <v>0</v>
      </c>
    </row>
    <row r="6863">
      <c r="A6863" t="inlineStr">
        <is>
          <t>12월</t>
        </is>
      </c>
      <c r="B6863" t="inlineStr">
        <is>
          <t>52주차</t>
        </is>
      </c>
      <c r="C6863" t="e">
        <v>#N/A</v>
      </c>
      <c r="K6863" t="n">
        <v>0</v>
      </c>
      <c r="L6863" t="n">
        <v>0</v>
      </c>
      <c r="M6863" t="n">
        <v>0</v>
      </c>
      <c r="AC6863" t="n">
        <v>0</v>
      </c>
      <c r="AD6863" t="n">
        <v>0</v>
      </c>
      <c r="AE6863" t="n">
        <v>0</v>
      </c>
      <c r="AF6863" t="n">
        <v>0</v>
      </c>
      <c r="AG6863" t="n">
        <v>0</v>
      </c>
      <c r="AH6863" t="n">
        <v>0</v>
      </c>
      <c r="AI6863" t="n">
        <v>0</v>
      </c>
    </row>
    <row r="6864">
      <c r="A6864" t="inlineStr">
        <is>
          <t>12월</t>
        </is>
      </c>
      <c r="B6864" t="inlineStr">
        <is>
          <t>52주차</t>
        </is>
      </c>
      <c r="C6864" t="e">
        <v>#N/A</v>
      </c>
      <c r="K6864" t="n">
        <v>0</v>
      </c>
      <c r="L6864" t="n">
        <v>0</v>
      </c>
      <c r="M6864" t="n">
        <v>0</v>
      </c>
      <c r="AC6864" t="n">
        <v>0</v>
      </c>
      <c r="AD6864" t="n">
        <v>0</v>
      </c>
      <c r="AE6864" t="n">
        <v>0</v>
      </c>
      <c r="AF6864" t="n">
        <v>0</v>
      </c>
      <c r="AG6864" t="n">
        <v>0</v>
      </c>
      <c r="AH6864" t="n">
        <v>0</v>
      </c>
      <c r="AI6864" t="n">
        <v>0</v>
      </c>
    </row>
    <row r="6865">
      <c r="A6865" t="inlineStr">
        <is>
          <t>12월</t>
        </is>
      </c>
      <c r="B6865" t="inlineStr">
        <is>
          <t>52주차</t>
        </is>
      </c>
      <c r="C6865" t="e">
        <v>#N/A</v>
      </c>
      <c r="K6865" t="n">
        <v>0</v>
      </c>
      <c r="L6865" t="n">
        <v>0</v>
      </c>
      <c r="M6865" t="n">
        <v>0</v>
      </c>
      <c r="AC6865" t="n">
        <v>0</v>
      </c>
      <c r="AD6865" t="n">
        <v>0</v>
      </c>
      <c r="AE6865" t="n">
        <v>0</v>
      </c>
      <c r="AF6865" t="n">
        <v>0</v>
      </c>
      <c r="AG6865" t="n">
        <v>0</v>
      </c>
      <c r="AH6865" t="n">
        <v>0</v>
      </c>
      <c r="AI6865" t="n">
        <v>0</v>
      </c>
    </row>
    <row r="6866">
      <c r="A6866" t="inlineStr">
        <is>
          <t>12월</t>
        </is>
      </c>
      <c r="B6866" t="inlineStr">
        <is>
          <t>52주차</t>
        </is>
      </c>
      <c r="C6866" t="e">
        <v>#N/A</v>
      </c>
      <c r="K6866" t="n">
        <v>0</v>
      </c>
      <c r="L6866" t="n">
        <v>0</v>
      </c>
      <c r="M6866" t="n">
        <v>0</v>
      </c>
      <c r="AC6866" t="n">
        <v>0</v>
      </c>
      <c r="AD6866" t="n">
        <v>0</v>
      </c>
      <c r="AE6866" t="n">
        <v>0</v>
      </c>
      <c r="AF6866" t="n">
        <v>0</v>
      </c>
      <c r="AG6866" t="n">
        <v>0</v>
      </c>
      <c r="AH6866" t="n">
        <v>0</v>
      </c>
      <c r="AI6866" t="n">
        <v>0</v>
      </c>
    </row>
    <row r="6867">
      <c r="A6867" t="inlineStr">
        <is>
          <t>12월</t>
        </is>
      </c>
      <c r="B6867" t="inlineStr">
        <is>
          <t>52주차</t>
        </is>
      </c>
      <c r="C6867" t="e">
        <v>#N/A</v>
      </c>
      <c r="K6867" t="n">
        <v>0</v>
      </c>
      <c r="L6867" t="n">
        <v>0</v>
      </c>
      <c r="M6867" t="n">
        <v>0</v>
      </c>
      <c r="AC6867" t="n">
        <v>0</v>
      </c>
      <c r="AD6867" t="n">
        <v>0</v>
      </c>
      <c r="AE6867" t="n">
        <v>0</v>
      </c>
      <c r="AF6867" t="n">
        <v>0</v>
      </c>
      <c r="AG6867" t="n">
        <v>0</v>
      </c>
      <c r="AH6867" t="n">
        <v>0</v>
      </c>
      <c r="AI6867" t="n">
        <v>0</v>
      </c>
    </row>
    <row r="6868">
      <c r="A6868" t="inlineStr">
        <is>
          <t>12월</t>
        </is>
      </c>
      <c r="B6868" t="inlineStr">
        <is>
          <t>52주차</t>
        </is>
      </c>
      <c r="C6868" t="e">
        <v>#N/A</v>
      </c>
      <c r="K6868" t="n">
        <v>0</v>
      </c>
      <c r="L6868" t="n">
        <v>0</v>
      </c>
      <c r="M6868" t="n">
        <v>0</v>
      </c>
      <c r="AC6868" t="n">
        <v>0</v>
      </c>
      <c r="AD6868" t="n">
        <v>0</v>
      </c>
      <c r="AE6868" t="n">
        <v>0</v>
      </c>
      <c r="AF6868" t="n">
        <v>0</v>
      </c>
      <c r="AG6868" t="n">
        <v>0</v>
      </c>
      <c r="AH6868" t="n">
        <v>0</v>
      </c>
      <c r="AI6868" t="n">
        <v>0</v>
      </c>
    </row>
    <row r="6869">
      <c r="A6869" t="inlineStr">
        <is>
          <t>12월</t>
        </is>
      </c>
      <c r="B6869" t="inlineStr">
        <is>
          <t>52주차</t>
        </is>
      </c>
      <c r="C6869" t="e">
        <v>#N/A</v>
      </c>
      <c r="K6869" t="n">
        <v>0</v>
      </c>
      <c r="L6869" t="n">
        <v>0</v>
      </c>
      <c r="M6869" t="n">
        <v>0</v>
      </c>
      <c r="AC6869" t="n">
        <v>0</v>
      </c>
      <c r="AD6869" t="n">
        <v>0</v>
      </c>
      <c r="AE6869" t="n">
        <v>0</v>
      </c>
      <c r="AF6869" t="n">
        <v>0</v>
      </c>
      <c r="AG6869" t="n">
        <v>0</v>
      </c>
      <c r="AH6869" t="n">
        <v>0</v>
      </c>
      <c r="AI6869" t="n">
        <v>0</v>
      </c>
    </row>
    <row r="6870">
      <c r="A6870" t="inlineStr">
        <is>
          <t>12월</t>
        </is>
      </c>
      <c r="B6870" t="inlineStr">
        <is>
          <t>52주차</t>
        </is>
      </c>
      <c r="C6870" t="e">
        <v>#N/A</v>
      </c>
      <c r="K6870" t="n">
        <v>0</v>
      </c>
      <c r="L6870" t="n">
        <v>0</v>
      </c>
      <c r="M6870" t="n">
        <v>0</v>
      </c>
      <c r="AC6870" t="n">
        <v>0</v>
      </c>
      <c r="AD6870" t="n">
        <v>0</v>
      </c>
      <c r="AE6870" t="n">
        <v>0</v>
      </c>
      <c r="AF6870" t="n">
        <v>0</v>
      </c>
      <c r="AG6870" t="n">
        <v>0</v>
      </c>
      <c r="AH6870" t="n">
        <v>0</v>
      </c>
      <c r="AI6870" t="n">
        <v>0</v>
      </c>
    </row>
    <row r="6871">
      <c r="A6871" t="inlineStr">
        <is>
          <t>12월</t>
        </is>
      </c>
      <c r="B6871" t="inlineStr">
        <is>
          <t>52주차</t>
        </is>
      </c>
      <c r="C6871" t="e">
        <v>#N/A</v>
      </c>
      <c r="K6871" t="n">
        <v>0</v>
      </c>
      <c r="L6871" t="n">
        <v>0</v>
      </c>
      <c r="M6871" t="n">
        <v>0</v>
      </c>
      <c r="AC6871" t="n">
        <v>0</v>
      </c>
      <c r="AD6871" t="n">
        <v>0</v>
      </c>
      <c r="AE6871" t="n">
        <v>0</v>
      </c>
      <c r="AF6871" t="n">
        <v>0</v>
      </c>
      <c r="AG6871" t="n">
        <v>0</v>
      </c>
      <c r="AH6871" t="n">
        <v>0</v>
      </c>
      <c r="AI6871" t="n">
        <v>0</v>
      </c>
    </row>
    <row r="6872">
      <c r="A6872" t="inlineStr">
        <is>
          <t>12월</t>
        </is>
      </c>
      <c r="B6872" t="inlineStr">
        <is>
          <t>52주차</t>
        </is>
      </c>
      <c r="C6872" t="e">
        <v>#N/A</v>
      </c>
      <c r="K6872" t="n">
        <v>0</v>
      </c>
      <c r="L6872" t="n">
        <v>0</v>
      </c>
      <c r="M6872" t="n">
        <v>0</v>
      </c>
      <c r="AC6872" t="n">
        <v>0</v>
      </c>
      <c r="AD6872" t="n">
        <v>0</v>
      </c>
      <c r="AE6872" t="n">
        <v>0</v>
      </c>
      <c r="AF6872" t="n">
        <v>0</v>
      </c>
      <c r="AG6872" t="n">
        <v>0</v>
      </c>
      <c r="AH6872" t="n">
        <v>0</v>
      </c>
      <c r="AI6872" t="n">
        <v>0</v>
      </c>
    </row>
    <row r="6873">
      <c r="A6873" t="inlineStr">
        <is>
          <t>12월</t>
        </is>
      </c>
      <c r="B6873" t="inlineStr">
        <is>
          <t>52주차</t>
        </is>
      </c>
      <c r="C6873" t="e">
        <v>#N/A</v>
      </c>
      <c r="K6873" t="n">
        <v>0</v>
      </c>
      <c r="L6873" t="n">
        <v>0</v>
      </c>
      <c r="M6873" t="n">
        <v>0</v>
      </c>
      <c r="AC6873" t="n">
        <v>0</v>
      </c>
      <c r="AD6873" t="n">
        <v>0</v>
      </c>
      <c r="AE6873" t="n">
        <v>0</v>
      </c>
      <c r="AF6873" t="n">
        <v>0</v>
      </c>
      <c r="AG6873" t="n">
        <v>0</v>
      </c>
      <c r="AH6873" t="n">
        <v>0</v>
      </c>
      <c r="AI6873" t="n">
        <v>0</v>
      </c>
    </row>
    <row r="6874">
      <c r="A6874" t="inlineStr">
        <is>
          <t>12월</t>
        </is>
      </c>
      <c r="B6874" t="inlineStr">
        <is>
          <t>52주차</t>
        </is>
      </c>
      <c r="C6874" t="e">
        <v>#N/A</v>
      </c>
      <c r="K6874" t="n">
        <v>0</v>
      </c>
      <c r="L6874" t="n">
        <v>0</v>
      </c>
      <c r="M6874" t="n">
        <v>0</v>
      </c>
      <c r="AC6874" t="n">
        <v>0</v>
      </c>
      <c r="AD6874" t="n">
        <v>0</v>
      </c>
      <c r="AE6874" t="n">
        <v>0</v>
      </c>
      <c r="AF6874" t="n">
        <v>0</v>
      </c>
      <c r="AG6874" t="n">
        <v>0</v>
      </c>
      <c r="AH6874" t="n">
        <v>0</v>
      </c>
      <c r="AI6874" t="n">
        <v>0</v>
      </c>
    </row>
    <row r="6875">
      <c r="A6875" t="inlineStr">
        <is>
          <t>12월</t>
        </is>
      </c>
      <c r="B6875" t="inlineStr">
        <is>
          <t>52주차</t>
        </is>
      </c>
      <c r="C6875" t="e">
        <v>#N/A</v>
      </c>
      <c r="K6875" t="n">
        <v>0</v>
      </c>
      <c r="L6875" t="n">
        <v>0</v>
      </c>
      <c r="M6875" t="n">
        <v>0</v>
      </c>
      <c r="AC6875" t="n">
        <v>0</v>
      </c>
      <c r="AD6875" t="n">
        <v>0</v>
      </c>
      <c r="AE6875" t="n">
        <v>0</v>
      </c>
      <c r="AF6875" t="n">
        <v>0</v>
      </c>
      <c r="AG6875" t="n">
        <v>0</v>
      </c>
      <c r="AH6875" t="n">
        <v>0</v>
      </c>
      <c r="AI6875" t="n">
        <v>0</v>
      </c>
    </row>
    <row r="6876">
      <c r="A6876" t="inlineStr">
        <is>
          <t>12월</t>
        </is>
      </c>
      <c r="B6876" t="inlineStr">
        <is>
          <t>52주차</t>
        </is>
      </c>
      <c r="C6876" t="e">
        <v>#N/A</v>
      </c>
      <c r="K6876" t="n">
        <v>0</v>
      </c>
      <c r="L6876" t="n">
        <v>0</v>
      </c>
      <c r="M6876" t="n">
        <v>0</v>
      </c>
      <c r="AC6876" t="n">
        <v>0</v>
      </c>
      <c r="AD6876" t="n">
        <v>0</v>
      </c>
      <c r="AE6876" t="n">
        <v>0</v>
      </c>
      <c r="AF6876" t="n">
        <v>0</v>
      </c>
      <c r="AG6876" t="n">
        <v>0</v>
      </c>
      <c r="AH6876" t="n">
        <v>0</v>
      </c>
      <c r="AI6876" t="n">
        <v>0</v>
      </c>
    </row>
    <row r="6877">
      <c r="A6877" t="inlineStr">
        <is>
          <t>12월</t>
        </is>
      </c>
      <c r="B6877" t="inlineStr">
        <is>
          <t>52주차</t>
        </is>
      </c>
      <c r="C6877" t="e">
        <v>#N/A</v>
      </c>
      <c r="K6877" t="n">
        <v>0</v>
      </c>
      <c r="L6877" t="n">
        <v>0</v>
      </c>
      <c r="M6877" t="n">
        <v>0</v>
      </c>
      <c r="AC6877" t="n">
        <v>0</v>
      </c>
      <c r="AD6877" t="n">
        <v>0</v>
      </c>
      <c r="AE6877" t="n">
        <v>0</v>
      </c>
      <c r="AF6877" t="n">
        <v>0</v>
      </c>
      <c r="AG6877" t="n">
        <v>0</v>
      </c>
      <c r="AH6877" t="n">
        <v>0</v>
      </c>
      <c r="AI6877" t="n">
        <v>0</v>
      </c>
    </row>
    <row r="6878">
      <c r="A6878" t="inlineStr">
        <is>
          <t>12월</t>
        </is>
      </c>
      <c r="B6878" t="inlineStr">
        <is>
          <t>52주차</t>
        </is>
      </c>
      <c r="C6878" t="e">
        <v>#N/A</v>
      </c>
      <c r="K6878" t="n">
        <v>0</v>
      </c>
      <c r="L6878" t="n">
        <v>0</v>
      </c>
      <c r="M6878" t="n">
        <v>0</v>
      </c>
      <c r="AC6878" t="n">
        <v>0</v>
      </c>
      <c r="AD6878" t="n">
        <v>0</v>
      </c>
      <c r="AE6878" t="n">
        <v>0</v>
      </c>
      <c r="AF6878" t="n">
        <v>0</v>
      </c>
      <c r="AG6878" t="n">
        <v>0</v>
      </c>
      <c r="AH6878" t="n">
        <v>0</v>
      </c>
    </row>
    <row r="6879">
      <c r="A6879" t="inlineStr">
        <is>
          <t>12월</t>
        </is>
      </c>
      <c r="B6879" t="inlineStr">
        <is>
          <t>52주차</t>
        </is>
      </c>
      <c r="C6879" t="e">
        <v>#N/A</v>
      </c>
      <c r="K6879" t="n">
        <v>0</v>
      </c>
      <c r="L6879" t="n">
        <v>0</v>
      </c>
      <c r="M6879" t="n">
        <v>0</v>
      </c>
      <c r="AC6879" t="n">
        <v>0</v>
      </c>
      <c r="AD6879" t="n">
        <v>0</v>
      </c>
      <c r="AE6879" t="n">
        <v>0</v>
      </c>
      <c r="AF6879" t="n">
        <v>0</v>
      </c>
      <c r="AG6879" t="n">
        <v>0</v>
      </c>
      <c r="AH6879" t="n">
        <v>0</v>
      </c>
      <c r="AI6879" t="n">
        <v>0</v>
      </c>
    </row>
    <row r="6880">
      <c r="A6880" t="inlineStr">
        <is>
          <t>12월</t>
        </is>
      </c>
      <c r="B6880" t="inlineStr">
        <is>
          <t>52주차</t>
        </is>
      </c>
      <c r="C6880" t="e">
        <v>#N/A</v>
      </c>
      <c r="K6880" t="n">
        <v>0</v>
      </c>
      <c r="L6880" t="n">
        <v>0</v>
      </c>
      <c r="M6880" t="n">
        <v>0</v>
      </c>
      <c r="AC6880" t="n">
        <v>0</v>
      </c>
      <c r="AD6880" t="n">
        <v>0</v>
      </c>
      <c r="AE6880" t="n">
        <v>0</v>
      </c>
      <c r="AF6880" t="n">
        <v>0</v>
      </c>
      <c r="AG6880" t="n">
        <v>0</v>
      </c>
      <c r="AH6880" t="n">
        <v>0</v>
      </c>
      <c r="AI6880" t="n">
        <v>0</v>
      </c>
    </row>
    <row r="6881">
      <c r="A6881" t="inlineStr">
        <is>
          <t>12월</t>
        </is>
      </c>
      <c r="B6881" t="inlineStr">
        <is>
          <t>52주차</t>
        </is>
      </c>
      <c r="C6881" t="e">
        <v>#N/A</v>
      </c>
      <c r="K6881" t="n">
        <v>0</v>
      </c>
      <c r="L6881" t="n">
        <v>0</v>
      </c>
      <c r="M6881" t="n">
        <v>0</v>
      </c>
      <c r="AC6881" t="n">
        <v>0</v>
      </c>
      <c r="AD6881" t="n">
        <v>0</v>
      </c>
      <c r="AE6881" t="n">
        <v>0</v>
      </c>
      <c r="AF6881" t="n">
        <v>0</v>
      </c>
      <c r="AG6881" t="n">
        <v>0</v>
      </c>
      <c r="AH6881" t="n">
        <v>0</v>
      </c>
      <c r="AI6881" t="n">
        <v>0</v>
      </c>
    </row>
    <row r="6882">
      <c r="A6882" t="inlineStr">
        <is>
          <t>12월</t>
        </is>
      </c>
      <c r="B6882" t="inlineStr">
        <is>
          <t>52주차</t>
        </is>
      </c>
      <c r="C6882" t="e">
        <v>#N/A</v>
      </c>
      <c r="K6882" t="n">
        <v>0</v>
      </c>
      <c r="L6882" t="n">
        <v>0</v>
      </c>
      <c r="M6882" t="n">
        <v>0</v>
      </c>
      <c r="AC6882" t="n">
        <v>0</v>
      </c>
      <c r="AD6882" t="n">
        <v>0</v>
      </c>
      <c r="AE6882" t="n">
        <v>0</v>
      </c>
      <c r="AF6882" t="n">
        <v>0</v>
      </c>
      <c r="AG6882" t="n">
        <v>0</v>
      </c>
      <c r="AH6882" t="n">
        <v>0</v>
      </c>
      <c r="AI6882" t="n">
        <v>0</v>
      </c>
    </row>
    <row r="6883">
      <c r="A6883" t="inlineStr">
        <is>
          <t>12월</t>
        </is>
      </c>
      <c r="B6883" t="inlineStr">
        <is>
          <t>52주차</t>
        </is>
      </c>
      <c r="C6883" t="e">
        <v>#N/A</v>
      </c>
      <c r="K6883" t="n">
        <v>0</v>
      </c>
      <c r="L6883" t="n">
        <v>0</v>
      </c>
      <c r="M6883" t="n">
        <v>0</v>
      </c>
      <c r="AC6883" t="n">
        <v>0</v>
      </c>
      <c r="AD6883" t="n">
        <v>0</v>
      </c>
      <c r="AE6883" t="n">
        <v>0</v>
      </c>
      <c r="AF6883" t="n">
        <v>0</v>
      </c>
      <c r="AG6883" t="n">
        <v>0</v>
      </c>
      <c r="AH6883" t="n">
        <v>0</v>
      </c>
    </row>
    <row r="6884">
      <c r="A6884" t="inlineStr">
        <is>
          <t>12월</t>
        </is>
      </c>
      <c r="B6884" t="inlineStr">
        <is>
          <t>52주차</t>
        </is>
      </c>
      <c r="C6884" t="e">
        <v>#N/A</v>
      </c>
      <c r="K6884" t="n">
        <v>0</v>
      </c>
      <c r="L6884" t="n">
        <v>0</v>
      </c>
      <c r="M6884" t="n">
        <v>0</v>
      </c>
      <c r="AC6884" t="n">
        <v>0</v>
      </c>
      <c r="AD6884" t="n">
        <v>0</v>
      </c>
      <c r="AE6884" t="n">
        <v>0</v>
      </c>
      <c r="AF6884" t="n">
        <v>0</v>
      </c>
      <c r="AG6884" t="n">
        <v>0</v>
      </c>
      <c r="AH6884" t="n">
        <v>0</v>
      </c>
      <c r="AI6884" t="n">
        <v>0</v>
      </c>
    </row>
    <row r="6885">
      <c r="A6885" t="inlineStr">
        <is>
          <t>12월</t>
        </is>
      </c>
      <c r="B6885" t="inlineStr">
        <is>
          <t>52주차</t>
        </is>
      </c>
      <c r="C6885" t="e">
        <v>#N/A</v>
      </c>
      <c r="K6885" t="n">
        <v>0</v>
      </c>
      <c r="L6885" t="n">
        <v>0</v>
      </c>
      <c r="M6885" t="n">
        <v>0</v>
      </c>
      <c r="AC6885" t="n">
        <v>0</v>
      </c>
      <c r="AD6885" t="n">
        <v>0</v>
      </c>
      <c r="AE6885" t="n">
        <v>0</v>
      </c>
      <c r="AF6885" t="n">
        <v>0</v>
      </c>
      <c r="AG6885" t="n">
        <v>0</v>
      </c>
      <c r="AH6885" t="n">
        <v>0</v>
      </c>
    </row>
    <row r="6886">
      <c r="A6886" t="inlineStr">
        <is>
          <t>12월</t>
        </is>
      </c>
      <c r="B6886" t="inlineStr">
        <is>
          <t>52주차</t>
        </is>
      </c>
      <c r="C6886" t="e">
        <v>#N/A</v>
      </c>
      <c r="K6886" t="n">
        <v>0</v>
      </c>
      <c r="L6886" t="n">
        <v>0</v>
      </c>
      <c r="M6886" t="n">
        <v>0</v>
      </c>
      <c r="AC6886" t="n">
        <v>0</v>
      </c>
      <c r="AD6886" t="n">
        <v>0</v>
      </c>
      <c r="AE6886" t="n">
        <v>0</v>
      </c>
      <c r="AF6886" t="n">
        <v>0</v>
      </c>
      <c r="AG6886" t="n">
        <v>0</v>
      </c>
      <c r="AH6886" t="n">
        <v>0</v>
      </c>
      <c r="AI6886" t="n">
        <v>0</v>
      </c>
    </row>
    <row r="6887">
      <c r="A6887" t="inlineStr">
        <is>
          <t>12월</t>
        </is>
      </c>
      <c r="B6887" t="inlineStr">
        <is>
          <t>52주차</t>
        </is>
      </c>
      <c r="C6887" t="e">
        <v>#N/A</v>
      </c>
      <c r="K6887" t="n">
        <v>0</v>
      </c>
      <c r="L6887" t="n">
        <v>0</v>
      </c>
      <c r="M6887" t="n">
        <v>0</v>
      </c>
      <c r="AC6887" t="n">
        <v>0</v>
      </c>
      <c r="AD6887" t="n">
        <v>0</v>
      </c>
      <c r="AE6887" t="n">
        <v>0</v>
      </c>
      <c r="AF6887" t="n">
        <v>0</v>
      </c>
      <c r="AG6887" t="n">
        <v>0</v>
      </c>
      <c r="AH6887" t="n">
        <v>0</v>
      </c>
    </row>
    <row r="6888">
      <c r="A6888" t="inlineStr">
        <is>
          <t>12월</t>
        </is>
      </c>
      <c r="B6888" t="inlineStr">
        <is>
          <t>52주차</t>
        </is>
      </c>
      <c r="C6888" t="e">
        <v>#N/A</v>
      </c>
      <c r="K6888" t="n">
        <v>0</v>
      </c>
      <c r="L6888" t="n">
        <v>0</v>
      </c>
      <c r="M6888" t="n">
        <v>0</v>
      </c>
      <c r="AC6888" t="n">
        <v>0</v>
      </c>
      <c r="AD6888" t="n">
        <v>0</v>
      </c>
      <c r="AE6888" t="n">
        <v>0</v>
      </c>
      <c r="AF6888" t="n">
        <v>0</v>
      </c>
      <c r="AG6888" t="n">
        <v>0</v>
      </c>
      <c r="AH6888" t="n">
        <v>0</v>
      </c>
    </row>
    <row r="6889">
      <c r="A6889" t="inlineStr">
        <is>
          <t>12월</t>
        </is>
      </c>
      <c r="B6889" t="inlineStr">
        <is>
          <t>52주차</t>
        </is>
      </c>
      <c r="C6889" t="e">
        <v>#N/A</v>
      </c>
      <c r="K6889" t="n">
        <v>0</v>
      </c>
      <c r="L6889" t="n">
        <v>0</v>
      </c>
      <c r="M6889" t="n">
        <v>0</v>
      </c>
      <c r="AC6889" t="n">
        <v>0</v>
      </c>
      <c r="AD6889" t="n">
        <v>0</v>
      </c>
      <c r="AE6889" t="n">
        <v>0</v>
      </c>
      <c r="AF6889" t="n">
        <v>0</v>
      </c>
      <c r="AG6889" t="n">
        <v>0</v>
      </c>
      <c r="AH6889" t="n">
        <v>0</v>
      </c>
    </row>
    <row r="6890">
      <c r="A6890" t="inlineStr">
        <is>
          <t>12월</t>
        </is>
      </c>
      <c r="B6890" t="inlineStr">
        <is>
          <t>52주차</t>
        </is>
      </c>
      <c r="C6890" t="e">
        <v>#N/A</v>
      </c>
      <c r="K6890" t="n">
        <v>0</v>
      </c>
      <c r="L6890" t="n">
        <v>0</v>
      </c>
      <c r="M6890" t="n">
        <v>0</v>
      </c>
      <c r="AC6890" t="n">
        <v>0</v>
      </c>
      <c r="AD6890" t="n">
        <v>0</v>
      </c>
      <c r="AE6890" t="n">
        <v>0</v>
      </c>
      <c r="AF6890" t="n">
        <v>0</v>
      </c>
      <c r="AG6890" t="n">
        <v>0</v>
      </c>
      <c r="AH6890" t="n">
        <v>0</v>
      </c>
      <c r="AI6890" t="n">
        <v>0</v>
      </c>
    </row>
    <row r="6891">
      <c r="A6891" t="inlineStr">
        <is>
          <t>12월</t>
        </is>
      </c>
      <c r="B6891" t="inlineStr">
        <is>
          <t>52주차</t>
        </is>
      </c>
      <c r="C6891" t="e">
        <v>#N/A</v>
      </c>
      <c r="K6891" t="n">
        <v>0</v>
      </c>
      <c r="L6891" t="n">
        <v>0</v>
      </c>
      <c r="M6891" t="n">
        <v>0</v>
      </c>
      <c r="AC6891" t="n">
        <v>0</v>
      </c>
      <c r="AD6891" t="n">
        <v>0</v>
      </c>
      <c r="AE6891" t="n">
        <v>0</v>
      </c>
      <c r="AF6891" t="n">
        <v>0</v>
      </c>
      <c r="AG6891" t="n">
        <v>0</v>
      </c>
      <c r="AH6891" t="n">
        <v>0</v>
      </c>
    </row>
    <row r="6892">
      <c r="A6892" t="inlineStr">
        <is>
          <t>12월</t>
        </is>
      </c>
      <c r="B6892" t="inlineStr">
        <is>
          <t>52주차</t>
        </is>
      </c>
      <c r="C6892" t="e">
        <v>#N/A</v>
      </c>
      <c r="K6892" t="n">
        <v>0</v>
      </c>
      <c r="L6892" t="n">
        <v>0</v>
      </c>
      <c r="M6892" t="n">
        <v>0</v>
      </c>
      <c r="AC6892" t="n">
        <v>0</v>
      </c>
      <c r="AD6892" t="n">
        <v>0</v>
      </c>
      <c r="AE6892" t="n">
        <v>0</v>
      </c>
      <c r="AF6892" t="n">
        <v>0</v>
      </c>
      <c r="AG6892" t="n">
        <v>0</v>
      </c>
      <c r="AH6892" t="n">
        <v>0</v>
      </c>
    </row>
    <row r="6893">
      <c r="A6893" t="inlineStr">
        <is>
          <t>12월</t>
        </is>
      </c>
      <c r="B6893" t="inlineStr">
        <is>
          <t>52주차</t>
        </is>
      </c>
      <c r="C6893" t="e">
        <v>#N/A</v>
      </c>
      <c r="K6893" t="n">
        <v>0</v>
      </c>
      <c r="L6893" t="n">
        <v>0</v>
      </c>
      <c r="M6893" t="n">
        <v>0</v>
      </c>
      <c r="AC6893" t="n">
        <v>0</v>
      </c>
      <c r="AD6893" t="n">
        <v>0</v>
      </c>
      <c r="AE6893" t="n">
        <v>0</v>
      </c>
      <c r="AF6893" t="n">
        <v>0</v>
      </c>
      <c r="AG6893" t="n">
        <v>0</v>
      </c>
      <c r="AH6893" t="n">
        <v>0</v>
      </c>
    </row>
    <row r="6894">
      <c r="A6894" t="inlineStr">
        <is>
          <t>12월</t>
        </is>
      </c>
      <c r="B6894" t="inlineStr">
        <is>
          <t>52주차</t>
        </is>
      </c>
      <c r="C6894" t="e">
        <v>#N/A</v>
      </c>
      <c r="K6894" t="n">
        <v>0</v>
      </c>
      <c r="L6894" t="n">
        <v>0</v>
      </c>
      <c r="M6894" t="n">
        <v>0</v>
      </c>
      <c r="AC6894" t="n">
        <v>0</v>
      </c>
      <c r="AD6894" t="n">
        <v>0</v>
      </c>
      <c r="AE6894" t="n">
        <v>0</v>
      </c>
      <c r="AF6894" t="n">
        <v>0</v>
      </c>
      <c r="AG6894" t="n">
        <v>0</v>
      </c>
      <c r="AH6894" t="n">
        <v>0</v>
      </c>
      <c r="AI6894" t="n">
        <v>0</v>
      </c>
    </row>
    <row r="6895">
      <c r="A6895" t="inlineStr">
        <is>
          <t>12월</t>
        </is>
      </c>
      <c r="B6895" t="inlineStr">
        <is>
          <t>52주차</t>
        </is>
      </c>
      <c r="C6895" t="e">
        <v>#N/A</v>
      </c>
      <c r="K6895" t="n">
        <v>0</v>
      </c>
      <c r="L6895" t="n">
        <v>0</v>
      </c>
      <c r="M6895" t="n">
        <v>0</v>
      </c>
      <c r="AC6895" t="n">
        <v>0</v>
      </c>
      <c r="AD6895" t="n">
        <v>0</v>
      </c>
      <c r="AE6895" t="n">
        <v>0</v>
      </c>
      <c r="AF6895" t="n">
        <v>0</v>
      </c>
      <c r="AG6895" t="n">
        <v>0</v>
      </c>
      <c r="AH6895" t="n">
        <v>0</v>
      </c>
      <c r="AI6895" t="n">
        <v>0</v>
      </c>
    </row>
    <row r="6896">
      <c r="A6896" t="inlineStr">
        <is>
          <t>12월</t>
        </is>
      </c>
      <c r="B6896" t="inlineStr">
        <is>
          <t>52주차</t>
        </is>
      </c>
      <c r="C6896" t="e">
        <v>#N/A</v>
      </c>
      <c r="K6896" t="n">
        <v>0</v>
      </c>
      <c r="L6896" t="n">
        <v>0</v>
      </c>
      <c r="M6896" t="n">
        <v>0</v>
      </c>
      <c r="AC6896" t="n">
        <v>0</v>
      </c>
      <c r="AD6896" t="n">
        <v>0</v>
      </c>
      <c r="AE6896" t="n">
        <v>0</v>
      </c>
      <c r="AF6896" t="n">
        <v>0</v>
      </c>
      <c r="AG6896" t="n">
        <v>0</v>
      </c>
      <c r="AH6896" t="n">
        <v>0</v>
      </c>
    </row>
    <row r="6897">
      <c r="A6897" t="inlineStr">
        <is>
          <t>12월</t>
        </is>
      </c>
      <c r="B6897" t="inlineStr">
        <is>
          <t>52주차</t>
        </is>
      </c>
      <c r="C6897" t="e">
        <v>#N/A</v>
      </c>
      <c r="K6897" t="n">
        <v>0</v>
      </c>
      <c r="L6897" t="n">
        <v>0</v>
      </c>
      <c r="M6897" t="n">
        <v>0</v>
      </c>
      <c r="AC6897" t="n">
        <v>0</v>
      </c>
      <c r="AD6897" t="n">
        <v>0</v>
      </c>
      <c r="AE6897" t="n">
        <v>0</v>
      </c>
      <c r="AF6897" t="n">
        <v>0</v>
      </c>
      <c r="AG6897" t="n">
        <v>0</v>
      </c>
      <c r="AH6897" t="n">
        <v>0</v>
      </c>
    </row>
    <row r="6898">
      <c r="A6898" t="inlineStr">
        <is>
          <t>12월</t>
        </is>
      </c>
      <c r="B6898" t="inlineStr">
        <is>
          <t>52주차</t>
        </is>
      </c>
      <c r="C6898" t="e">
        <v>#N/A</v>
      </c>
      <c r="K6898" t="n">
        <v>0</v>
      </c>
      <c r="L6898" t="n">
        <v>0</v>
      </c>
      <c r="M6898" t="n">
        <v>0</v>
      </c>
      <c r="AC6898" t="n">
        <v>0</v>
      </c>
      <c r="AD6898" t="n">
        <v>0</v>
      </c>
      <c r="AE6898" t="n">
        <v>0</v>
      </c>
      <c r="AF6898" t="n">
        <v>0</v>
      </c>
      <c r="AG6898" t="n">
        <v>0</v>
      </c>
      <c r="AH6898" t="n">
        <v>0</v>
      </c>
      <c r="AI6898" t="n">
        <v>0</v>
      </c>
    </row>
    <row r="6899">
      <c r="A6899" t="inlineStr">
        <is>
          <t>12월</t>
        </is>
      </c>
      <c r="B6899" t="inlineStr">
        <is>
          <t>52주차</t>
        </is>
      </c>
      <c r="C6899" t="e">
        <v>#N/A</v>
      </c>
      <c r="K6899" t="n">
        <v>0</v>
      </c>
      <c r="L6899" t="n">
        <v>0</v>
      </c>
      <c r="M6899" t="n">
        <v>0</v>
      </c>
      <c r="AC6899" t="n">
        <v>0</v>
      </c>
      <c r="AD6899" t="n">
        <v>0</v>
      </c>
      <c r="AE6899" t="n">
        <v>0</v>
      </c>
      <c r="AF6899" t="n">
        <v>0</v>
      </c>
      <c r="AG6899" t="n">
        <v>0</v>
      </c>
      <c r="AH6899" t="n">
        <v>0</v>
      </c>
      <c r="AI6899" t="n">
        <v>0</v>
      </c>
    </row>
    <row r="6900">
      <c r="A6900" t="inlineStr">
        <is>
          <t>12월</t>
        </is>
      </c>
      <c r="B6900" t="inlineStr">
        <is>
          <t>52주차</t>
        </is>
      </c>
      <c r="C6900" t="e">
        <v>#N/A</v>
      </c>
      <c r="K6900" t="n">
        <v>0</v>
      </c>
      <c r="L6900" t="n">
        <v>0</v>
      </c>
      <c r="M6900" t="n">
        <v>0</v>
      </c>
      <c r="AC6900" t="n">
        <v>0</v>
      </c>
      <c r="AD6900" t="n">
        <v>0</v>
      </c>
      <c r="AE6900" t="n">
        <v>0</v>
      </c>
      <c r="AF6900" t="n">
        <v>0</v>
      </c>
      <c r="AG6900" t="n">
        <v>0</v>
      </c>
      <c r="AH6900" t="n">
        <v>0</v>
      </c>
      <c r="AI6900" t="n">
        <v>0</v>
      </c>
    </row>
    <row r="6901">
      <c r="A6901" t="inlineStr">
        <is>
          <t>12월</t>
        </is>
      </c>
      <c r="B6901" t="inlineStr">
        <is>
          <t>52주차</t>
        </is>
      </c>
      <c r="C6901" t="e">
        <v>#N/A</v>
      </c>
      <c r="K6901" t="n">
        <v>0</v>
      </c>
      <c r="L6901" t="n">
        <v>0</v>
      </c>
      <c r="M6901" t="n">
        <v>0</v>
      </c>
      <c r="AC6901" t="n">
        <v>0</v>
      </c>
      <c r="AD6901" t="n">
        <v>0</v>
      </c>
      <c r="AE6901" t="n">
        <v>0</v>
      </c>
      <c r="AF6901" t="n">
        <v>0</v>
      </c>
      <c r="AG6901" t="n">
        <v>0</v>
      </c>
      <c r="AH6901" t="n">
        <v>0</v>
      </c>
      <c r="AI6901" t="n">
        <v>0</v>
      </c>
    </row>
    <row r="6902">
      <c r="A6902" t="inlineStr">
        <is>
          <t>12월</t>
        </is>
      </c>
      <c r="B6902" t="inlineStr">
        <is>
          <t>52주차</t>
        </is>
      </c>
      <c r="C6902" t="e">
        <v>#N/A</v>
      </c>
      <c r="K6902" t="n">
        <v>0</v>
      </c>
      <c r="L6902" t="n">
        <v>0</v>
      </c>
      <c r="M6902" t="n">
        <v>0</v>
      </c>
      <c r="AC6902" t="n">
        <v>0</v>
      </c>
      <c r="AD6902" t="n">
        <v>0</v>
      </c>
      <c r="AE6902" t="n">
        <v>0</v>
      </c>
      <c r="AF6902" t="n">
        <v>0</v>
      </c>
      <c r="AG6902" t="n">
        <v>0</v>
      </c>
      <c r="AH6902" t="n">
        <v>0</v>
      </c>
      <c r="AI6902" t="n">
        <v>0</v>
      </c>
    </row>
    <row r="6903">
      <c r="A6903" t="inlineStr">
        <is>
          <t>12월</t>
        </is>
      </c>
      <c r="B6903" t="inlineStr">
        <is>
          <t>52주차</t>
        </is>
      </c>
      <c r="C6903" t="e">
        <v>#N/A</v>
      </c>
      <c r="K6903" t="n">
        <v>0</v>
      </c>
      <c r="L6903" t="n">
        <v>0</v>
      </c>
      <c r="M6903" t="n">
        <v>0</v>
      </c>
      <c r="AC6903" t="n">
        <v>0</v>
      </c>
      <c r="AD6903" t="n">
        <v>0</v>
      </c>
      <c r="AE6903" t="n">
        <v>0</v>
      </c>
      <c r="AF6903" t="n">
        <v>0</v>
      </c>
      <c r="AG6903" t="n">
        <v>0</v>
      </c>
      <c r="AH6903" t="n">
        <v>0</v>
      </c>
      <c r="AI6903" t="n">
        <v>0</v>
      </c>
    </row>
    <row r="6904">
      <c r="A6904" t="inlineStr">
        <is>
          <t>12월</t>
        </is>
      </c>
      <c r="B6904" t="inlineStr">
        <is>
          <t>52주차</t>
        </is>
      </c>
      <c r="C6904" t="e">
        <v>#N/A</v>
      </c>
      <c r="K6904" t="n">
        <v>0</v>
      </c>
      <c r="L6904" t="n">
        <v>0</v>
      </c>
      <c r="M6904" t="n">
        <v>0</v>
      </c>
      <c r="AC6904" t="n">
        <v>0</v>
      </c>
      <c r="AD6904" t="n">
        <v>0</v>
      </c>
      <c r="AE6904" t="n">
        <v>0</v>
      </c>
      <c r="AF6904" t="n">
        <v>0</v>
      </c>
      <c r="AG6904" t="n">
        <v>0</v>
      </c>
      <c r="AH6904" t="n">
        <v>0</v>
      </c>
      <c r="AI6904" t="n">
        <v>0</v>
      </c>
    </row>
    <row r="6905">
      <c r="A6905" t="inlineStr">
        <is>
          <t>12월</t>
        </is>
      </c>
      <c r="B6905" t="inlineStr">
        <is>
          <t>52주차</t>
        </is>
      </c>
      <c r="C6905" t="e">
        <v>#N/A</v>
      </c>
      <c r="K6905" t="n">
        <v>0</v>
      </c>
      <c r="L6905" t="n">
        <v>0</v>
      </c>
      <c r="M6905" t="n">
        <v>0</v>
      </c>
      <c r="AC6905" t="n">
        <v>0</v>
      </c>
      <c r="AD6905" t="n">
        <v>0</v>
      </c>
      <c r="AE6905" t="n">
        <v>0</v>
      </c>
      <c r="AF6905" t="n">
        <v>0</v>
      </c>
      <c r="AG6905" t="n">
        <v>0</v>
      </c>
      <c r="AH6905" t="n">
        <v>0</v>
      </c>
      <c r="AI6905" t="n">
        <v>0</v>
      </c>
    </row>
    <row r="6906">
      <c r="A6906" t="inlineStr">
        <is>
          <t>12월</t>
        </is>
      </c>
      <c r="B6906" t="inlineStr">
        <is>
          <t>52주차</t>
        </is>
      </c>
      <c r="C6906" t="e">
        <v>#N/A</v>
      </c>
      <c r="K6906" t="n">
        <v>0</v>
      </c>
      <c r="L6906" t="n">
        <v>0</v>
      </c>
      <c r="M6906" t="n">
        <v>0</v>
      </c>
      <c r="AC6906" t="n">
        <v>0</v>
      </c>
      <c r="AD6906" t="n">
        <v>0</v>
      </c>
      <c r="AE6906" t="n">
        <v>0</v>
      </c>
      <c r="AF6906" t="n">
        <v>0</v>
      </c>
      <c r="AG6906" t="n">
        <v>0</v>
      </c>
      <c r="AH6906" t="n">
        <v>0</v>
      </c>
      <c r="AI6906" t="n">
        <v>0</v>
      </c>
    </row>
    <row r="6907">
      <c r="A6907" t="inlineStr">
        <is>
          <t>12월</t>
        </is>
      </c>
      <c r="B6907" t="inlineStr">
        <is>
          <t>52주차</t>
        </is>
      </c>
      <c r="C6907" t="e">
        <v>#N/A</v>
      </c>
      <c r="K6907" t="n">
        <v>0</v>
      </c>
      <c r="L6907" t="n">
        <v>0</v>
      </c>
      <c r="M6907" t="n">
        <v>0</v>
      </c>
      <c r="AC6907" t="n">
        <v>0</v>
      </c>
      <c r="AD6907" t="n">
        <v>0</v>
      </c>
      <c r="AE6907" t="n">
        <v>0</v>
      </c>
      <c r="AF6907" t="n">
        <v>0</v>
      </c>
      <c r="AG6907" t="n">
        <v>0</v>
      </c>
      <c r="AH6907" t="n">
        <v>0</v>
      </c>
      <c r="AI6907" t="n">
        <v>0</v>
      </c>
    </row>
    <row r="6908">
      <c r="A6908" t="inlineStr">
        <is>
          <t>12월</t>
        </is>
      </c>
      <c r="B6908" t="inlineStr">
        <is>
          <t>52주차</t>
        </is>
      </c>
      <c r="C6908" t="e">
        <v>#N/A</v>
      </c>
      <c r="K6908" t="n">
        <v>0</v>
      </c>
      <c r="L6908" t="n">
        <v>0</v>
      </c>
      <c r="M6908" t="n">
        <v>0</v>
      </c>
      <c r="AC6908" t="n">
        <v>0</v>
      </c>
      <c r="AD6908" t="n">
        <v>0</v>
      </c>
      <c r="AE6908" t="n">
        <v>0</v>
      </c>
      <c r="AF6908" t="n">
        <v>0</v>
      </c>
      <c r="AG6908" t="n">
        <v>0</v>
      </c>
      <c r="AH6908" t="n">
        <v>0</v>
      </c>
      <c r="AI6908" t="n">
        <v>0</v>
      </c>
    </row>
    <row r="6909">
      <c r="A6909" t="inlineStr">
        <is>
          <t>12월</t>
        </is>
      </c>
      <c r="B6909" t="inlineStr">
        <is>
          <t>52주차</t>
        </is>
      </c>
      <c r="C6909" t="e">
        <v>#N/A</v>
      </c>
      <c r="K6909" t="n">
        <v>0</v>
      </c>
      <c r="L6909" t="n">
        <v>0</v>
      </c>
      <c r="M6909" t="n">
        <v>0</v>
      </c>
      <c r="AC6909" t="n">
        <v>0</v>
      </c>
      <c r="AD6909" t="n">
        <v>0</v>
      </c>
      <c r="AE6909" t="n">
        <v>0</v>
      </c>
      <c r="AF6909" t="n">
        <v>0</v>
      </c>
      <c r="AG6909" t="n">
        <v>0</v>
      </c>
      <c r="AH6909" t="n">
        <v>0</v>
      </c>
      <c r="AI6909" t="n">
        <v>0</v>
      </c>
    </row>
    <row r="6910">
      <c r="A6910" t="inlineStr">
        <is>
          <t>12월</t>
        </is>
      </c>
      <c r="B6910" t="inlineStr">
        <is>
          <t>52주차</t>
        </is>
      </c>
      <c r="C6910" t="e">
        <v>#N/A</v>
      </c>
      <c r="K6910" t="n">
        <v>0</v>
      </c>
      <c r="L6910" t="n">
        <v>0</v>
      </c>
      <c r="M6910" t="n">
        <v>0</v>
      </c>
      <c r="AC6910" t="n">
        <v>0</v>
      </c>
      <c r="AD6910" t="n">
        <v>0</v>
      </c>
      <c r="AE6910" t="n">
        <v>0</v>
      </c>
      <c r="AF6910" t="n">
        <v>0</v>
      </c>
      <c r="AG6910" t="n">
        <v>0</v>
      </c>
      <c r="AH6910" t="n">
        <v>0</v>
      </c>
      <c r="AI6910" t="n">
        <v>0</v>
      </c>
    </row>
    <row r="6911">
      <c r="A6911" t="inlineStr">
        <is>
          <t>12월</t>
        </is>
      </c>
      <c r="B6911" t="inlineStr">
        <is>
          <t>52주차</t>
        </is>
      </c>
      <c r="C6911" t="e">
        <v>#N/A</v>
      </c>
      <c r="K6911" t="n">
        <v>0</v>
      </c>
      <c r="L6911" t="n">
        <v>0</v>
      </c>
      <c r="M6911" t="n">
        <v>0</v>
      </c>
      <c r="AC6911" t="n">
        <v>0</v>
      </c>
      <c r="AD6911" t="n">
        <v>0</v>
      </c>
      <c r="AE6911" t="n">
        <v>0</v>
      </c>
      <c r="AF6911" t="n">
        <v>0</v>
      </c>
      <c r="AG6911" t="n">
        <v>0</v>
      </c>
      <c r="AH6911" t="n">
        <v>0</v>
      </c>
    </row>
    <row r="6912">
      <c r="A6912" t="inlineStr">
        <is>
          <t>12월</t>
        </is>
      </c>
      <c r="B6912" t="inlineStr">
        <is>
          <t>52주차</t>
        </is>
      </c>
      <c r="C6912" t="e">
        <v>#N/A</v>
      </c>
      <c r="K6912" t="n">
        <v>0</v>
      </c>
      <c r="L6912" t="n">
        <v>0</v>
      </c>
      <c r="M6912" t="n">
        <v>0</v>
      </c>
      <c r="AC6912" t="n">
        <v>0</v>
      </c>
      <c r="AD6912" t="n">
        <v>0</v>
      </c>
      <c r="AE6912" t="n">
        <v>0</v>
      </c>
      <c r="AF6912" t="n">
        <v>0</v>
      </c>
      <c r="AG6912" t="n">
        <v>0</v>
      </c>
      <c r="AH6912" t="n">
        <v>0</v>
      </c>
    </row>
    <row r="6913">
      <c r="A6913" t="inlineStr">
        <is>
          <t>12월</t>
        </is>
      </c>
      <c r="B6913" t="inlineStr">
        <is>
          <t>52주차</t>
        </is>
      </c>
      <c r="C6913" t="e">
        <v>#N/A</v>
      </c>
      <c r="K6913" t="n">
        <v>0</v>
      </c>
      <c r="L6913" t="n">
        <v>0</v>
      </c>
      <c r="M6913" t="n">
        <v>0</v>
      </c>
      <c r="AC6913" t="n">
        <v>0</v>
      </c>
      <c r="AD6913" t="n">
        <v>0</v>
      </c>
      <c r="AE6913" t="n">
        <v>0</v>
      </c>
      <c r="AF6913" t="n">
        <v>0</v>
      </c>
      <c r="AG6913" t="n">
        <v>0</v>
      </c>
      <c r="AH6913" t="n">
        <v>0</v>
      </c>
      <c r="AI6913" t="n">
        <v>0</v>
      </c>
    </row>
    <row r="6914">
      <c r="A6914" t="inlineStr">
        <is>
          <t>12월</t>
        </is>
      </c>
      <c r="B6914" t="inlineStr">
        <is>
          <t>52주차</t>
        </is>
      </c>
      <c r="C6914" t="e">
        <v>#N/A</v>
      </c>
      <c r="K6914" t="n">
        <v>0</v>
      </c>
      <c r="L6914" t="n">
        <v>0</v>
      </c>
      <c r="M6914" t="n">
        <v>0</v>
      </c>
      <c r="AC6914" t="n">
        <v>0</v>
      </c>
      <c r="AD6914" t="n">
        <v>0</v>
      </c>
      <c r="AE6914" t="n">
        <v>0</v>
      </c>
      <c r="AF6914" t="n">
        <v>0</v>
      </c>
      <c r="AG6914" t="n">
        <v>0</v>
      </c>
      <c r="AH6914" t="n">
        <v>0</v>
      </c>
      <c r="AI6914" t="n">
        <v>0</v>
      </c>
    </row>
    <row r="6915">
      <c r="A6915" t="inlineStr">
        <is>
          <t>12월</t>
        </is>
      </c>
      <c r="B6915" t="inlineStr">
        <is>
          <t>52주차</t>
        </is>
      </c>
      <c r="C6915" t="e">
        <v>#N/A</v>
      </c>
      <c r="K6915" t="n">
        <v>0</v>
      </c>
      <c r="L6915" t="n">
        <v>0</v>
      </c>
      <c r="M6915" t="n">
        <v>0</v>
      </c>
      <c r="AC6915" t="n">
        <v>0</v>
      </c>
      <c r="AD6915" t="n">
        <v>0</v>
      </c>
      <c r="AE6915" t="n">
        <v>0</v>
      </c>
      <c r="AF6915" t="n">
        <v>0</v>
      </c>
      <c r="AG6915" t="n">
        <v>0</v>
      </c>
      <c r="AH6915" t="n">
        <v>0</v>
      </c>
      <c r="AI6915" t="n">
        <v>0</v>
      </c>
    </row>
    <row r="6916">
      <c r="A6916" t="inlineStr">
        <is>
          <t>12월</t>
        </is>
      </c>
      <c r="B6916" t="inlineStr">
        <is>
          <t>52주차</t>
        </is>
      </c>
      <c r="C6916" t="e">
        <v>#N/A</v>
      </c>
      <c r="K6916" t="n">
        <v>0</v>
      </c>
      <c r="L6916" t="n">
        <v>0</v>
      </c>
      <c r="M6916" t="n">
        <v>0</v>
      </c>
      <c r="AC6916" t="n">
        <v>0</v>
      </c>
      <c r="AD6916" t="n">
        <v>0</v>
      </c>
      <c r="AE6916" t="n">
        <v>0</v>
      </c>
      <c r="AF6916" t="n">
        <v>0</v>
      </c>
      <c r="AG6916" t="n">
        <v>0</v>
      </c>
      <c r="AH6916" t="n">
        <v>0</v>
      </c>
      <c r="AI6916" t="n">
        <v>0</v>
      </c>
    </row>
    <row r="6917">
      <c r="A6917" t="inlineStr">
        <is>
          <t>12월</t>
        </is>
      </c>
      <c r="B6917" t="inlineStr">
        <is>
          <t>52주차</t>
        </is>
      </c>
      <c r="C6917" t="e">
        <v>#N/A</v>
      </c>
      <c r="K6917" t="n">
        <v>0</v>
      </c>
      <c r="L6917" t="n">
        <v>0</v>
      </c>
      <c r="M6917" t="n">
        <v>0</v>
      </c>
      <c r="AC6917" t="n">
        <v>0</v>
      </c>
      <c r="AD6917" t="n">
        <v>0</v>
      </c>
      <c r="AE6917" t="n">
        <v>0</v>
      </c>
      <c r="AF6917" t="n">
        <v>0</v>
      </c>
      <c r="AG6917" t="n">
        <v>0</v>
      </c>
      <c r="AH6917" t="n">
        <v>0</v>
      </c>
      <c r="AI6917" t="n">
        <v>0</v>
      </c>
    </row>
    <row r="6918">
      <c r="A6918" t="inlineStr">
        <is>
          <t>12월</t>
        </is>
      </c>
      <c r="B6918" t="inlineStr">
        <is>
          <t>52주차</t>
        </is>
      </c>
      <c r="C6918" t="e">
        <v>#N/A</v>
      </c>
      <c r="K6918" t="n">
        <v>0</v>
      </c>
      <c r="L6918" t="n">
        <v>0</v>
      </c>
      <c r="M6918" t="n">
        <v>0</v>
      </c>
      <c r="AC6918" t="n">
        <v>0</v>
      </c>
      <c r="AD6918" t="n">
        <v>0</v>
      </c>
      <c r="AE6918" t="n">
        <v>0</v>
      </c>
      <c r="AF6918" t="n">
        <v>0</v>
      </c>
      <c r="AG6918" t="n">
        <v>0</v>
      </c>
      <c r="AH6918" t="n">
        <v>0</v>
      </c>
      <c r="AI6918" t="n">
        <v>0</v>
      </c>
    </row>
    <row r="6919">
      <c r="A6919" t="inlineStr">
        <is>
          <t>12월</t>
        </is>
      </c>
      <c r="B6919" t="inlineStr">
        <is>
          <t>52주차</t>
        </is>
      </c>
      <c r="C6919" t="e">
        <v>#N/A</v>
      </c>
      <c r="K6919" t="n">
        <v>0</v>
      </c>
      <c r="L6919" t="n">
        <v>0</v>
      </c>
      <c r="M6919" t="n">
        <v>0</v>
      </c>
      <c r="AC6919" t="n">
        <v>0</v>
      </c>
      <c r="AD6919" t="n">
        <v>0</v>
      </c>
      <c r="AE6919" t="n">
        <v>0</v>
      </c>
      <c r="AF6919" t="n">
        <v>0</v>
      </c>
      <c r="AG6919" t="n">
        <v>0</v>
      </c>
      <c r="AH6919" t="n">
        <v>0</v>
      </c>
      <c r="AI6919" t="n">
        <v>0</v>
      </c>
    </row>
    <row r="6920">
      <c r="A6920" t="inlineStr">
        <is>
          <t>12월</t>
        </is>
      </c>
      <c r="B6920" t="inlineStr">
        <is>
          <t>52주차</t>
        </is>
      </c>
      <c r="C6920" t="e">
        <v>#N/A</v>
      </c>
      <c r="K6920" t="n">
        <v>0</v>
      </c>
      <c r="L6920" t="n">
        <v>0</v>
      </c>
      <c r="M6920" t="n">
        <v>0</v>
      </c>
      <c r="AC6920" t="n">
        <v>0</v>
      </c>
      <c r="AD6920" t="n">
        <v>0</v>
      </c>
      <c r="AE6920" t="n">
        <v>0</v>
      </c>
      <c r="AF6920" t="n">
        <v>0</v>
      </c>
      <c r="AG6920" t="n">
        <v>0</v>
      </c>
      <c r="AH6920" t="n">
        <v>0</v>
      </c>
      <c r="AI6920" t="n">
        <v>0</v>
      </c>
    </row>
    <row r="6921">
      <c r="A6921" t="inlineStr">
        <is>
          <t>12월</t>
        </is>
      </c>
      <c r="B6921" t="inlineStr">
        <is>
          <t>52주차</t>
        </is>
      </c>
      <c r="C6921" t="e">
        <v>#N/A</v>
      </c>
      <c r="K6921" t="n">
        <v>0</v>
      </c>
      <c r="L6921" t="n">
        <v>0</v>
      </c>
      <c r="M6921" t="n">
        <v>0</v>
      </c>
      <c r="AC6921" t="n">
        <v>0</v>
      </c>
      <c r="AD6921" t="n">
        <v>0</v>
      </c>
      <c r="AE6921" t="n">
        <v>0</v>
      </c>
      <c r="AF6921" t="n">
        <v>0</v>
      </c>
      <c r="AG6921" t="n">
        <v>0</v>
      </c>
      <c r="AH6921" t="n">
        <v>0</v>
      </c>
      <c r="AI6921" t="n">
        <v>0</v>
      </c>
    </row>
    <row r="6922">
      <c r="A6922" t="inlineStr">
        <is>
          <t>12월</t>
        </is>
      </c>
      <c r="B6922" t="inlineStr">
        <is>
          <t>52주차</t>
        </is>
      </c>
      <c r="C6922" t="e">
        <v>#N/A</v>
      </c>
      <c r="K6922" t="n">
        <v>0</v>
      </c>
      <c r="L6922" t="n">
        <v>0</v>
      </c>
      <c r="M6922" t="n">
        <v>0</v>
      </c>
      <c r="AC6922" t="n">
        <v>0</v>
      </c>
      <c r="AD6922" t="n">
        <v>0</v>
      </c>
      <c r="AE6922" t="n">
        <v>0</v>
      </c>
      <c r="AF6922" t="n">
        <v>0</v>
      </c>
      <c r="AG6922" t="n">
        <v>0</v>
      </c>
      <c r="AH6922" t="n">
        <v>0</v>
      </c>
      <c r="AI6922" t="n">
        <v>0</v>
      </c>
    </row>
    <row r="6923">
      <c r="A6923" t="inlineStr">
        <is>
          <t>12월</t>
        </is>
      </c>
      <c r="B6923" t="inlineStr">
        <is>
          <t>52주차</t>
        </is>
      </c>
      <c r="C6923" t="e">
        <v>#N/A</v>
      </c>
      <c r="K6923" t="n">
        <v>0</v>
      </c>
      <c r="L6923" t="n">
        <v>0</v>
      </c>
      <c r="M6923" t="n">
        <v>0</v>
      </c>
      <c r="AC6923" t="n">
        <v>0</v>
      </c>
      <c r="AD6923" t="n">
        <v>0</v>
      </c>
      <c r="AE6923" t="n">
        <v>0</v>
      </c>
      <c r="AF6923" t="n">
        <v>0</v>
      </c>
      <c r="AG6923" t="n">
        <v>0</v>
      </c>
      <c r="AH6923" t="n">
        <v>0</v>
      </c>
      <c r="AI6923" t="n">
        <v>0</v>
      </c>
    </row>
    <row r="6924">
      <c r="A6924" t="inlineStr">
        <is>
          <t>12월</t>
        </is>
      </c>
      <c r="B6924" t="inlineStr">
        <is>
          <t>52주차</t>
        </is>
      </c>
      <c r="C6924" t="e">
        <v>#N/A</v>
      </c>
      <c r="K6924" t="n">
        <v>0</v>
      </c>
      <c r="L6924" t="n">
        <v>0</v>
      </c>
      <c r="M6924" t="n">
        <v>0</v>
      </c>
      <c r="AC6924" t="n">
        <v>0</v>
      </c>
      <c r="AD6924" t="n">
        <v>0</v>
      </c>
      <c r="AE6924" t="n">
        <v>0</v>
      </c>
      <c r="AF6924" t="n">
        <v>0</v>
      </c>
      <c r="AG6924" t="n">
        <v>0</v>
      </c>
      <c r="AH6924" t="n">
        <v>0</v>
      </c>
      <c r="AI6924" t="n">
        <v>0</v>
      </c>
    </row>
    <row r="6925">
      <c r="A6925" t="inlineStr">
        <is>
          <t>12월</t>
        </is>
      </c>
      <c r="B6925" t="inlineStr">
        <is>
          <t>52주차</t>
        </is>
      </c>
      <c r="C6925" t="e">
        <v>#N/A</v>
      </c>
      <c r="K6925" t="n">
        <v>0</v>
      </c>
      <c r="L6925" t="n">
        <v>0</v>
      </c>
      <c r="M6925" t="n">
        <v>0</v>
      </c>
      <c r="AC6925" t="n">
        <v>0</v>
      </c>
      <c r="AD6925" t="n">
        <v>0</v>
      </c>
      <c r="AE6925" t="n">
        <v>0</v>
      </c>
      <c r="AF6925" t="n">
        <v>0</v>
      </c>
      <c r="AG6925" t="n">
        <v>0</v>
      </c>
      <c r="AH6925" t="n">
        <v>0</v>
      </c>
      <c r="AI6925" t="n">
        <v>0</v>
      </c>
    </row>
    <row r="6926">
      <c r="A6926" t="inlineStr">
        <is>
          <t>12월</t>
        </is>
      </c>
      <c r="B6926" t="inlineStr">
        <is>
          <t>52주차</t>
        </is>
      </c>
      <c r="C6926" t="e">
        <v>#N/A</v>
      </c>
      <c r="K6926" t="n">
        <v>0</v>
      </c>
      <c r="L6926" t="n">
        <v>0</v>
      </c>
      <c r="M6926" t="n">
        <v>0</v>
      </c>
      <c r="AC6926" t="n">
        <v>0</v>
      </c>
      <c r="AD6926" t="n">
        <v>0</v>
      </c>
      <c r="AE6926" t="n">
        <v>0</v>
      </c>
      <c r="AF6926" t="n">
        <v>0</v>
      </c>
      <c r="AG6926" t="n">
        <v>0</v>
      </c>
      <c r="AH6926" t="n">
        <v>0</v>
      </c>
      <c r="AI6926" t="n">
        <v>0</v>
      </c>
    </row>
    <row r="6927">
      <c r="A6927" t="inlineStr">
        <is>
          <t>12월</t>
        </is>
      </c>
      <c r="B6927" t="inlineStr">
        <is>
          <t>52주차</t>
        </is>
      </c>
      <c r="C6927" t="e">
        <v>#N/A</v>
      </c>
      <c r="K6927" t="n">
        <v>0</v>
      </c>
      <c r="L6927" t="n">
        <v>0</v>
      </c>
      <c r="M6927" t="n">
        <v>0</v>
      </c>
      <c r="AC6927" t="n">
        <v>0</v>
      </c>
      <c r="AD6927" t="n">
        <v>0</v>
      </c>
      <c r="AE6927" t="n">
        <v>0</v>
      </c>
      <c r="AF6927" t="n">
        <v>0</v>
      </c>
      <c r="AG6927" t="n">
        <v>0</v>
      </c>
      <c r="AH6927" t="n">
        <v>0</v>
      </c>
      <c r="AI6927" t="n">
        <v>0</v>
      </c>
    </row>
    <row r="6928">
      <c r="A6928" t="inlineStr">
        <is>
          <t>12월</t>
        </is>
      </c>
      <c r="B6928" t="inlineStr">
        <is>
          <t>52주차</t>
        </is>
      </c>
      <c r="C6928" t="e">
        <v>#N/A</v>
      </c>
      <c r="K6928" t="n">
        <v>0</v>
      </c>
      <c r="L6928" t="n">
        <v>0</v>
      </c>
      <c r="M6928" t="n">
        <v>0</v>
      </c>
      <c r="AC6928" t="n">
        <v>0</v>
      </c>
      <c r="AD6928" t="n">
        <v>0</v>
      </c>
      <c r="AE6928" t="n">
        <v>0</v>
      </c>
      <c r="AF6928" t="n">
        <v>0</v>
      </c>
      <c r="AG6928" t="n">
        <v>0</v>
      </c>
      <c r="AH6928" t="n">
        <v>0</v>
      </c>
    </row>
    <row r="6929">
      <c r="A6929" t="inlineStr">
        <is>
          <t>12월</t>
        </is>
      </c>
      <c r="B6929" t="inlineStr">
        <is>
          <t>52주차</t>
        </is>
      </c>
      <c r="C6929" t="e">
        <v>#N/A</v>
      </c>
      <c r="K6929" t="n">
        <v>0</v>
      </c>
      <c r="L6929" t="n">
        <v>0</v>
      </c>
      <c r="M6929" t="n">
        <v>0</v>
      </c>
      <c r="AC6929" t="n">
        <v>0</v>
      </c>
      <c r="AD6929" t="n">
        <v>0</v>
      </c>
      <c r="AE6929" t="n">
        <v>0</v>
      </c>
      <c r="AF6929" t="n">
        <v>0</v>
      </c>
      <c r="AG6929" t="n">
        <v>0</v>
      </c>
      <c r="AH6929" t="n">
        <v>0</v>
      </c>
      <c r="AI6929" t="n">
        <v>0</v>
      </c>
    </row>
    <row r="6930">
      <c r="A6930" t="inlineStr">
        <is>
          <t>12월</t>
        </is>
      </c>
      <c r="B6930" t="inlineStr">
        <is>
          <t>52주차</t>
        </is>
      </c>
      <c r="C6930" t="e">
        <v>#N/A</v>
      </c>
      <c r="K6930" t="n">
        <v>0</v>
      </c>
      <c r="L6930" t="n">
        <v>0</v>
      </c>
      <c r="M6930" t="n">
        <v>0</v>
      </c>
      <c r="AC6930" t="n">
        <v>0</v>
      </c>
      <c r="AD6930" t="n">
        <v>0</v>
      </c>
      <c r="AE6930" t="n">
        <v>0</v>
      </c>
      <c r="AF6930" t="n">
        <v>0</v>
      </c>
      <c r="AG6930" t="n">
        <v>0</v>
      </c>
      <c r="AH6930" t="n">
        <v>0</v>
      </c>
    </row>
    <row r="6931">
      <c r="A6931" t="inlineStr">
        <is>
          <t>12월</t>
        </is>
      </c>
      <c r="B6931" t="inlineStr">
        <is>
          <t>52주차</t>
        </is>
      </c>
      <c r="C6931" t="e">
        <v>#N/A</v>
      </c>
      <c r="K6931" t="n">
        <v>0</v>
      </c>
      <c r="L6931" t="n">
        <v>0</v>
      </c>
      <c r="M6931" t="n">
        <v>0</v>
      </c>
      <c r="AC6931" t="n">
        <v>0</v>
      </c>
      <c r="AD6931" t="n">
        <v>0</v>
      </c>
      <c r="AE6931" t="n">
        <v>0</v>
      </c>
      <c r="AF6931" t="n">
        <v>0</v>
      </c>
      <c r="AG6931" t="n">
        <v>0</v>
      </c>
      <c r="AH6931" t="n">
        <v>0</v>
      </c>
      <c r="AI6931" t="n">
        <v>0</v>
      </c>
    </row>
    <row r="6932">
      <c r="A6932" t="inlineStr">
        <is>
          <t>12월</t>
        </is>
      </c>
      <c r="B6932" t="inlineStr">
        <is>
          <t>52주차</t>
        </is>
      </c>
      <c r="C6932" t="e">
        <v>#N/A</v>
      </c>
      <c r="K6932" t="n">
        <v>0</v>
      </c>
      <c r="L6932" t="n">
        <v>0</v>
      </c>
      <c r="M6932" t="n">
        <v>0</v>
      </c>
      <c r="AC6932" t="n">
        <v>0</v>
      </c>
      <c r="AD6932" t="n">
        <v>0</v>
      </c>
      <c r="AE6932" t="n">
        <v>0</v>
      </c>
      <c r="AF6932" t="n">
        <v>0</v>
      </c>
      <c r="AG6932" t="n">
        <v>0</v>
      </c>
      <c r="AH6932" t="n">
        <v>0</v>
      </c>
      <c r="AI6932" t="n">
        <v>0</v>
      </c>
    </row>
    <row r="6933">
      <c r="A6933" t="inlineStr">
        <is>
          <t>12월</t>
        </is>
      </c>
      <c r="B6933" t="inlineStr">
        <is>
          <t>52주차</t>
        </is>
      </c>
      <c r="C6933" t="e">
        <v>#N/A</v>
      </c>
      <c r="K6933" t="n">
        <v>0</v>
      </c>
      <c r="L6933" t="n">
        <v>0</v>
      </c>
      <c r="M6933" t="n">
        <v>0</v>
      </c>
      <c r="AC6933" t="n">
        <v>0</v>
      </c>
      <c r="AD6933" t="n">
        <v>0</v>
      </c>
      <c r="AE6933" t="n">
        <v>0</v>
      </c>
      <c r="AF6933" t="n">
        <v>0</v>
      </c>
      <c r="AG6933" t="n">
        <v>0</v>
      </c>
      <c r="AH6933" t="n">
        <v>0</v>
      </c>
      <c r="AI6933" t="n">
        <v>0</v>
      </c>
    </row>
    <row r="6934">
      <c r="A6934" t="inlineStr">
        <is>
          <t>12월</t>
        </is>
      </c>
      <c r="B6934" t="inlineStr">
        <is>
          <t>52주차</t>
        </is>
      </c>
      <c r="C6934" t="e">
        <v>#N/A</v>
      </c>
      <c r="K6934" t="n">
        <v>0</v>
      </c>
      <c r="L6934" t="n">
        <v>0</v>
      </c>
      <c r="M6934" t="n">
        <v>0</v>
      </c>
      <c r="AC6934" t="n">
        <v>0</v>
      </c>
      <c r="AD6934" t="n">
        <v>0</v>
      </c>
      <c r="AE6934" t="n">
        <v>0</v>
      </c>
      <c r="AF6934" t="n">
        <v>0</v>
      </c>
      <c r="AG6934" t="n">
        <v>0</v>
      </c>
      <c r="AH6934" t="n">
        <v>0</v>
      </c>
    </row>
    <row r="6935">
      <c r="A6935" t="inlineStr">
        <is>
          <t>12월</t>
        </is>
      </c>
      <c r="B6935" t="inlineStr">
        <is>
          <t>52주차</t>
        </is>
      </c>
      <c r="C6935" t="e">
        <v>#N/A</v>
      </c>
      <c r="K6935" t="n">
        <v>0</v>
      </c>
      <c r="L6935" t="n">
        <v>0</v>
      </c>
      <c r="M6935" t="n">
        <v>0</v>
      </c>
      <c r="AC6935" t="n">
        <v>0</v>
      </c>
      <c r="AD6935" t="n">
        <v>0</v>
      </c>
      <c r="AE6935" t="n">
        <v>0</v>
      </c>
      <c r="AF6935" t="n">
        <v>0</v>
      </c>
      <c r="AG6935" t="n">
        <v>0</v>
      </c>
      <c r="AH6935" t="n">
        <v>0</v>
      </c>
    </row>
    <row r="6936">
      <c r="A6936" t="inlineStr">
        <is>
          <t>12월</t>
        </is>
      </c>
      <c r="B6936" t="inlineStr">
        <is>
          <t>52주차</t>
        </is>
      </c>
      <c r="C6936" t="e">
        <v>#N/A</v>
      </c>
      <c r="K6936" t="n">
        <v>0</v>
      </c>
      <c r="L6936" t="n">
        <v>0</v>
      </c>
      <c r="M6936" t="n">
        <v>0</v>
      </c>
      <c r="AC6936" t="n">
        <v>0</v>
      </c>
      <c r="AD6936" t="n">
        <v>0</v>
      </c>
      <c r="AE6936" t="n">
        <v>0</v>
      </c>
      <c r="AF6936" t="n">
        <v>0</v>
      </c>
      <c r="AG6936" t="n">
        <v>0</v>
      </c>
      <c r="AH6936" t="n">
        <v>0</v>
      </c>
      <c r="AI6936" t="n">
        <v>0</v>
      </c>
    </row>
    <row r="6937">
      <c r="A6937" t="inlineStr">
        <is>
          <t>12월</t>
        </is>
      </c>
      <c r="B6937" t="inlineStr">
        <is>
          <t>52주차</t>
        </is>
      </c>
      <c r="C6937" t="e">
        <v>#N/A</v>
      </c>
      <c r="K6937" t="n">
        <v>0</v>
      </c>
      <c r="L6937" t="n">
        <v>0</v>
      </c>
      <c r="M6937" t="n">
        <v>0</v>
      </c>
      <c r="AC6937" t="n">
        <v>0</v>
      </c>
      <c r="AD6937" t="n">
        <v>0</v>
      </c>
      <c r="AE6937" t="n">
        <v>0</v>
      </c>
      <c r="AF6937" t="n">
        <v>0</v>
      </c>
      <c r="AG6937" t="n">
        <v>0</v>
      </c>
      <c r="AH6937" t="n">
        <v>0</v>
      </c>
      <c r="AI6937" t="n">
        <v>0</v>
      </c>
    </row>
    <row r="6938">
      <c r="A6938" t="inlineStr">
        <is>
          <t>12월</t>
        </is>
      </c>
      <c r="B6938" t="inlineStr">
        <is>
          <t>52주차</t>
        </is>
      </c>
      <c r="C6938" t="e">
        <v>#N/A</v>
      </c>
      <c r="K6938" t="n">
        <v>0</v>
      </c>
      <c r="L6938" t="n">
        <v>0</v>
      </c>
      <c r="M6938" t="n">
        <v>0</v>
      </c>
      <c r="AC6938" t="n">
        <v>0</v>
      </c>
      <c r="AD6938" t="n">
        <v>0</v>
      </c>
      <c r="AE6938" t="n">
        <v>0</v>
      </c>
      <c r="AF6938" t="n">
        <v>0</v>
      </c>
      <c r="AG6938" t="n">
        <v>0</v>
      </c>
      <c r="AH6938" t="n">
        <v>0</v>
      </c>
      <c r="AI6938" t="n">
        <v>0</v>
      </c>
    </row>
    <row r="6939">
      <c r="A6939" t="inlineStr">
        <is>
          <t>12월</t>
        </is>
      </c>
      <c r="B6939" t="inlineStr">
        <is>
          <t>52주차</t>
        </is>
      </c>
      <c r="C6939" t="e">
        <v>#N/A</v>
      </c>
      <c r="K6939" t="n">
        <v>0</v>
      </c>
      <c r="L6939" t="n">
        <v>0</v>
      </c>
      <c r="M6939" t="n">
        <v>0</v>
      </c>
      <c r="AC6939" t="n">
        <v>0</v>
      </c>
      <c r="AD6939" t="n">
        <v>0</v>
      </c>
      <c r="AE6939" t="n">
        <v>0</v>
      </c>
      <c r="AF6939" t="n">
        <v>0</v>
      </c>
      <c r="AG6939" t="n">
        <v>0</v>
      </c>
      <c r="AH6939" t="n">
        <v>0</v>
      </c>
      <c r="AI6939" t="n">
        <v>0</v>
      </c>
    </row>
    <row r="6940">
      <c r="A6940" t="inlineStr">
        <is>
          <t>12월</t>
        </is>
      </c>
      <c r="B6940" t="inlineStr">
        <is>
          <t>52주차</t>
        </is>
      </c>
      <c r="C6940" t="e">
        <v>#N/A</v>
      </c>
      <c r="K6940" t="n">
        <v>0</v>
      </c>
      <c r="L6940" t="n">
        <v>0</v>
      </c>
      <c r="M6940" t="n">
        <v>0</v>
      </c>
      <c r="AC6940" t="n">
        <v>0</v>
      </c>
      <c r="AD6940" t="n">
        <v>0</v>
      </c>
      <c r="AE6940" t="n">
        <v>0</v>
      </c>
      <c r="AF6940" t="n">
        <v>0</v>
      </c>
      <c r="AG6940" t="n">
        <v>0</v>
      </c>
      <c r="AH6940" t="n">
        <v>0</v>
      </c>
    </row>
    <row r="6941">
      <c r="A6941" t="inlineStr">
        <is>
          <t>12월</t>
        </is>
      </c>
      <c r="B6941" t="inlineStr">
        <is>
          <t>52주차</t>
        </is>
      </c>
      <c r="C6941" t="e">
        <v>#N/A</v>
      </c>
      <c r="K6941" t="n">
        <v>0</v>
      </c>
      <c r="L6941" t="n">
        <v>0</v>
      </c>
      <c r="M6941" t="n">
        <v>0</v>
      </c>
      <c r="AC6941" t="n">
        <v>0</v>
      </c>
      <c r="AD6941" t="n">
        <v>0</v>
      </c>
      <c r="AE6941" t="n">
        <v>0</v>
      </c>
      <c r="AF6941" t="n">
        <v>0</v>
      </c>
      <c r="AG6941" t="n">
        <v>0</v>
      </c>
      <c r="AH6941" t="n">
        <v>0</v>
      </c>
      <c r="AI6941" t="n">
        <v>0</v>
      </c>
    </row>
    <row r="6942">
      <c r="A6942" t="inlineStr">
        <is>
          <t>12월</t>
        </is>
      </c>
      <c r="B6942" t="inlineStr">
        <is>
          <t>52주차</t>
        </is>
      </c>
      <c r="C6942" t="e">
        <v>#N/A</v>
      </c>
      <c r="K6942" t="n">
        <v>0</v>
      </c>
      <c r="L6942" t="n">
        <v>0</v>
      </c>
      <c r="M6942" t="n">
        <v>0</v>
      </c>
      <c r="AC6942" t="n">
        <v>0</v>
      </c>
      <c r="AD6942" t="n">
        <v>0</v>
      </c>
      <c r="AE6942" t="n">
        <v>0</v>
      </c>
      <c r="AF6942" t="n">
        <v>0</v>
      </c>
      <c r="AG6942" t="n">
        <v>0</v>
      </c>
      <c r="AH6942" t="n">
        <v>0</v>
      </c>
      <c r="AI6942" t="n">
        <v>0</v>
      </c>
    </row>
    <row r="6943">
      <c r="A6943" t="inlineStr">
        <is>
          <t>12월</t>
        </is>
      </c>
      <c r="B6943" t="inlineStr">
        <is>
          <t>52주차</t>
        </is>
      </c>
      <c r="C6943" t="e">
        <v>#N/A</v>
      </c>
      <c r="K6943" t="n">
        <v>0</v>
      </c>
      <c r="L6943" t="n">
        <v>0</v>
      </c>
      <c r="M6943" t="n">
        <v>0</v>
      </c>
      <c r="AC6943" t="n">
        <v>0</v>
      </c>
      <c r="AD6943" t="n">
        <v>0</v>
      </c>
      <c r="AE6943" t="n">
        <v>0</v>
      </c>
      <c r="AF6943" t="n">
        <v>0</v>
      </c>
      <c r="AG6943" t="n">
        <v>0</v>
      </c>
      <c r="AH6943" t="n">
        <v>0</v>
      </c>
      <c r="AI6943" t="n">
        <v>0</v>
      </c>
    </row>
    <row r="6944">
      <c r="A6944" t="inlineStr">
        <is>
          <t>12월</t>
        </is>
      </c>
      <c r="B6944" t="inlineStr">
        <is>
          <t>52주차</t>
        </is>
      </c>
      <c r="C6944" t="e">
        <v>#N/A</v>
      </c>
      <c r="K6944" t="n">
        <v>0</v>
      </c>
      <c r="L6944" t="n">
        <v>0</v>
      </c>
      <c r="M6944" t="n">
        <v>0</v>
      </c>
      <c r="AC6944" t="n">
        <v>0</v>
      </c>
      <c r="AD6944" t="n">
        <v>0</v>
      </c>
      <c r="AE6944" t="n">
        <v>0</v>
      </c>
      <c r="AF6944" t="n">
        <v>0</v>
      </c>
      <c r="AG6944" t="n">
        <v>0</v>
      </c>
      <c r="AH6944" t="n">
        <v>0</v>
      </c>
      <c r="AI6944" t="n">
        <v>0</v>
      </c>
    </row>
    <row r="6945">
      <c r="A6945" t="inlineStr">
        <is>
          <t>12월</t>
        </is>
      </c>
      <c r="B6945" t="inlineStr">
        <is>
          <t>52주차</t>
        </is>
      </c>
      <c r="C6945" t="e">
        <v>#N/A</v>
      </c>
      <c r="K6945" t="n">
        <v>0</v>
      </c>
      <c r="L6945" t="n">
        <v>0</v>
      </c>
      <c r="M6945" t="n">
        <v>0</v>
      </c>
      <c r="AC6945" t="n">
        <v>0</v>
      </c>
      <c r="AD6945" t="n">
        <v>0</v>
      </c>
      <c r="AE6945" t="n">
        <v>0</v>
      </c>
      <c r="AF6945" t="n">
        <v>0</v>
      </c>
      <c r="AG6945" t="n">
        <v>0</v>
      </c>
      <c r="AH6945" t="n">
        <v>0</v>
      </c>
      <c r="AI6945" t="n">
        <v>0</v>
      </c>
    </row>
    <row r="6946">
      <c r="A6946" t="inlineStr">
        <is>
          <t>12월</t>
        </is>
      </c>
      <c r="B6946" t="inlineStr">
        <is>
          <t>52주차</t>
        </is>
      </c>
      <c r="C6946" t="e">
        <v>#N/A</v>
      </c>
      <c r="K6946" t="n">
        <v>0</v>
      </c>
      <c r="L6946" t="n">
        <v>0</v>
      </c>
      <c r="M6946" t="n">
        <v>0</v>
      </c>
      <c r="AC6946" t="n">
        <v>0</v>
      </c>
      <c r="AD6946" t="n">
        <v>0</v>
      </c>
      <c r="AE6946" t="n">
        <v>0</v>
      </c>
      <c r="AF6946" t="n">
        <v>0</v>
      </c>
      <c r="AG6946" t="n">
        <v>0</v>
      </c>
      <c r="AH6946" t="n">
        <v>0</v>
      </c>
      <c r="AI6946" t="n">
        <v>0</v>
      </c>
    </row>
    <row r="6947">
      <c r="A6947" t="inlineStr">
        <is>
          <t>12월</t>
        </is>
      </c>
      <c r="B6947" t="inlineStr">
        <is>
          <t>52주차</t>
        </is>
      </c>
      <c r="C6947" t="e">
        <v>#N/A</v>
      </c>
      <c r="K6947" t="n">
        <v>0</v>
      </c>
      <c r="L6947" t="n">
        <v>0</v>
      </c>
      <c r="M6947" t="n">
        <v>0</v>
      </c>
      <c r="AC6947" t="n">
        <v>0</v>
      </c>
      <c r="AD6947" t="n">
        <v>0</v>
      </c>
      <c r="AE6947" t="n">
        <v>0</v>
      </c>
      <c r="AF6947" t="n">
        <v>0</v>
      </c>
      <c r="AG6947" t="n">
        <v>0</v>
      </c>
      <c r="AH6947" t="n">
        <v>0</v>
      </c>
      <c r="AI6947" t="n">
        <v>0</v>
      </c>
    </row>
    <row r="6948">
      <c r="A6948" t="inlineStr">
        <is>
          <t>12월</t>
        </is>
      </c>
      <c r="B6948" t="inlineStr">
        <is>
          <t>52주차</t>
        </is>
      </c>
      <c r="C6948" t="e">
        <v>#N/A</v>
      </c>
      <c r="K6948" t="n">
        <v>0</v>
      </c>
      <c r="L6948" t="n">
        <v>0</v>
      </c>
      <c r="M6948" t="n">
        <v>0</v>
      </c>
      <c r="AC6948" t="n">
        <v>0</v>
      </c>
      <c r="AD6948" t="n">
        <v>0</v>
      </c>
      <c r="AE6948" t="n">
        <v>0</v>
      </c>
      <c r="AF6948" t="n">
        <v>0</v>
      </c>
      <c r="AG6948" t="n">
        <v>0</v>
      </c>
      <c r="AH6948" t="n">
        <v>0</v>
      </c>
      <c r="AI6948" t="n">
        <v>0</v>
      </c>
    </row>
    <row r="6949">
      <c r="A6949" t="inlineStr">
        <is>
          <t>12월</t>
        </is>
      </c>
      <c r="B6949" t="inlineStr">
        <is>
          <t>52주차</t>
        </is>
      </c>
      <c r="C6949" t="e">
        <v>#N/A</v>
      </c>
      <c r="K6949" t="n">
        <v>0</v>
      </c>
      <c r="L6949" t="n">
        <v>0</v>
      </c>
      <c r="M6949" t="n">
        <v>0</v>
      </c>
      <c r="AC6949" t="n">
        <v>0</v>
      </c>
      <c r="AD6949" t="n">
        <v>0</v>
      </c>
      <c r="AE6949" t="n">
        <v>0</v>
      </c>
      <c r="AF6949" t="n">
        <v>0</v>
      </c>
      <c r="AG6949" t="n">
        <v>0</v>
      </c>
      <c r="AH6949" t="n">
        <v>0</v>
      </c>
    </row>
    <row r="6950">
      <c r="A6950" t="inlineStr">
        <is>
          <t>12월</t>
        </is>
      </c>
      <c r="B6950" t="inlineStr">
        <is>
          <t>52주차</t>
        </is>
      </c>
      <c r="C6950" t="e">
        <v>#N/A</v>
      </c>
      <c r="K6950" t="n">
        <v>0</v>
      </c>
      <c r="L6950" t="n">
        <v>0</v>
      </c>
      <c r="M6950" t="n">
        <v>0</v>
      </c>
      <c r="AC6950" t="n">
        <v>0</v>
      </c>
      <c r="AD6950" t="n">
        <v>0</v>
      </c>
      <c r="AE6950" t="n">
        <v>0</v>
      </c>
      <c r="AF6950" t="n">
        <v>0</v>
      </c>
      <c r="AG6950" t="n">
        <v>0</v>
      </c>
      <c r="AH6950" t="n">
        <v>0</v>
      </c>
      <c r="AI6950" t="n">
        <v>0</v>
      </c>
    </row>
    <row r="6951">
      <c r="A6951" t="inlineStr">
        <is>
          <t>12월</t>
        </is>
      </c>
      <c r="B6951" t="inlineStr">
        <is>
          <t>52주차</t>
        </is>
      </c>
      <c r="C6951" t="e">
        <v>#N/A</v>
      </c>
      <c r="K6951" t="n">
        <v>0</v>
      </c>
      <c r="L6951" t="n">
        <v>0</v>
      </c>
      <c r="M6951" t="n">
        <v>0</v>
      </c>
      <c r="AC6951" t="n">
        <v>0</v>
      </c>
      <c r="AD6951" t="n">
        <v>0</v>
      </c>
      <c r="AE6951" t="n">
        <v>0</v>
      </c>
      <c r="AF6951" t="n">
        <v>0</v>
      </c>
      <c r="AG6951" t="n">
        <v>0</v>
      </c>
      <c r="AH6951" t="n">
        <v>0</v>
      </c>
      <c r="AI6951" t="n">
        <v>0</v>
      </c>
    </row>
    <row r="6952">
      <c r="A6952" t="inlineStr">
        <is>
          <t>12월</t>
        </is>
      </c>
      <c r="B6952" t="inlineStr">
        <is>
          <t>52주차</t>
        </is>
      </c>
      <c r="C6952" t="e">
        <v>#N/A</v>
      </c>
      <c r="K6952" t="n">
        <v>0</v>
      </c>
      <c r="L6952" t="n">
        <v>0</v>
      </c>
      <c r="M6952" t="n">
        <v>0</v>
      </c>
      <c r="AC6952" t="n">
        <v>0</v>
      </c>
      <c r="AD6952" t="n">
        <v>0</v>
      </c>
      <c r="AE6952" t="n">
        <v>0</v>
      </c>
      <c r="AF6952" t="n">
        <v>0</v>
      </c>
      <c r="AG6952" t="n">
        <v>0</v>
      </c>
      <c r="AH6952" t="n">
        <v>0</v>
      </c>
      <c r="AI6952" t="n">
        <v>0</v>
      </c>
    </row>
    <row r="6953">
      <c r="A6953" t="inlineStr">
        <is>
          <t>12월</t>
        </is>
      </c>
      <c r="B6953" t="inlineStr">
        <is>
          <t>52주차</t>
        </is>
      </c>
      <c r="C6953" t="e">
        <v>#N/A</v>
      </c>
      <c r="K6953" t="n">
        <v>0</v>
      </c>
      <c r="L6953" t="n">
        <v>0</v>
      </c>
      <c r="M6953" t="n">
        <v>0</v>
      </c>
      <c r="AC6953" t="n">
        <v>0</v>
      </c>
      <c r="AD6953" t="n">
        <v>0</v>
      </c>
      <c r="AE6953" t="n">
        <v>0</v>
      </c>
      <c r="AF6953" t="n">
        <v>0</v>
      </c>
      <c r="AG6953" t="n">
        <v>0</v>
      </c>
      <c r="AH6953" t="n">
        <v>0</v>
      </c>
      <c r="AI6953" t="n">
        <v>0</v>
      </c>
    </row>
    <row r="6954">
      <c r="A6954" t="inlineStr">
        <is>
          <t>12월</t>
        </is>
      </c>
      <c r="B6954" t="inlineStr">
        <is>
          <t>52주차</t>
        </is>
      </c>
      <c r="C6954" t="e">
        <v>#N/A</v>
      </c>
      <c r="K6954" t="n">
        <v>0</v>
      </c>
      <c r="L6954" t="n">
        <v>0</v>
      </c>
      <c r="M6954" t="n">
        <v>0</v>
      </c>
      <c r="AC6954" t="n">
        <v>0</v>
      </c>
      <c r="AD6954" t="n">
        <v>0</v>
      </c>
      <c r="AE6954" t="n">
        <v>0</v>
      </c>
      <c r="AF6954" t="n">
        <v>0</v>
      </c>
      <c r="AG6954" t="n">
        <v>0</v>
      </c>
      <c r="AH6954" t="n">
        <v>0</v>
      </c>
      <c r="AI6954" t="n">
        <v>0</v>
      </c>
    </row>
    <row r="6955">
      <c r="A6955" t="inlineStr">
        <is>
          <t>12월</t>
        </is>
      </c>
      <c r="B6955" t="inlineStr">
        <is>
          <t>52주차</t>
        </is>
      </c>
      <c r="C6955" t="e">
        <v>#N/A</v>
      </c>
      <c r="K6955" t="n">
        <v>0</v>
      </c>
      <c r="L6955" t="n">
        <v>0</v>
      </c>
      <c r="M6955" t="n">
        <v>0</v>
      </c>
      <c r="AC6955" t="n">
        <v>0</v>
      </c>
      <c r="AD6955" t="n">
        <v>0</v>
      </c>
      <c r="AE6955" t="n">
        <v>0</v>
      </c>
      <c r="AF6955" t="n">
        <v>0</v>
      </c>
      <c r="AG6955" t="n">
        <v>0</v>
      </c>
      <c r="AH6955" t="n">
        <v>0</v>
      </c>
      <c r="AI6955" t="n">
        <v>0</v>
      </c>
    </row>
    <row r="6956">
      <c r="A6956" t="inlineStr">
        <is>
          <t>12월</t>
        </is>
      </c>
      <c r="B6956" t="inlineStr">
        <is>
          <t>52주차</t>
        </is>
      </c>
      <c r="C6956" t="e">
        <v>#N/A</v>
      </c>
      <c r="K6956" t="n">
        <v>0</v>
      </c>
      <c r="L6956" t="n">
        <v>0</v>
      </c>
      <c r="M6956" t="n">
        <v>0</v>
      </c>
      <c r="AC6956" t="n">
        <v>0</v>
      </c>
      <c r="AD6956" t="n">
        <v>0</v>
      </c>
      <c r="AE6956" t="n">
        <v>0</v>
      </c>
      <c r="AF6956" t="n">
        <v>0</v>
      </c>
      <c r="AG6956" t="n">
        <v>0</v>
      </c>
      <c r="AH6956" t="n">
        <v>0</v>
      </c>
      <c r="AI6956" t="n">
        <v>0</v>
      </c>
    </row>
    <row r="6957">
      <c r="A6957" t="inlineStr">
        <is>
          <t>12월</t>
        </is>
      </c>
      <c r="B6957" t="inlineStr">
        <is>
          <t>52주차</t>
        </is>
      </c>
      <c r="C6957" t="e">
        <v>#N/A</v>
      </c>
      <c r="K6957" t="n">
        <v>0</v>
      </c>
      <c r="L6957" t="n">
        <v>0</v>
      </c>
      <c r="M6957" t="n">
        <v>0</v>
      </c>
      <c r="AC6957" t="n">
        <v>0</v>
      </c>
      <c r="AD6957" t="n">
        <v>0</v>
      </c>
      <c r="AE6957" t="n">
        <v>0</v>
      </c>
      <c r="AF6957" t="n">
        <v>0</v>
      </c>
      <c r="AG6957" t="n">
        <v>0</v>
      </c>
      <c r="AH6957" t="n">
        <v>0</v>
      </c>
      <c r="AI6957" t="n">
        <v>0</v>
      </c>
    </row>
    <row r="6958">
      <c r="A6958" t="inlineStr">
        <is>
          <t>12월</t>
        </is>
      </c>
      <c r="B6958" t="inlineStr">
        <is>
          <t>52주차</t>
        </is>
      </c>
      <c r="C6958" t="e">
        <v>#N/A</v>
      </c>
      <c r="K6958" t="n">
        <v>0</v>
      </c>
      <c r="L6958" t="n">
        <v>0</v>
      </c>
      <c r="M6958" t="n">
        <v>0</v>
      </c>
      <c r="AC6958" t="n">
        <v>0</v>
      </c>
      <c r="AD6958" t="n">
        <v>0</v>
      </c>
      <c r="AE6958" t="n">
        <v>0</v>
      </c>
      <c r="AF6958" t="n">
        <v>0</v>
      </c>
      <c r="AG6958" t="n">
        <v>0</v>
      </c>
      <c r="AH6958" t="n">
        <v>0</v>
      </c>
      <c r="AI6958" t="n">
        <v>0</v>
      </c>
    </row>
    <row r="6959">
      <c r="A6959" t="inlineStr">
        <is>
          <t>12월</t>
        </is>
      </c>
      <c r="B6959" t="inlineStr">
        <is>
          <t>52주차</t>
        </is>
      </c>
      <c r="C6959" t="e">
        <v>#N/A</v>
      </c>
      <c r="K6959" t="n">
        <v>0</v>
      </c>
      <c r="L6959" t="n">
        <v>0</v>
      </c>
      <c r="M6959" t="n">
        <v>0</v>
      </c>
      <c r="AC6959" t="n">
        <v>0</v>
      </c>
      <c r="AD6959" t="n">
        <v>0</v>
      </c>
      <c r="AE6959" t="n">
        <v>0</v>
      </c>
      <c r="AF6959" t="n">
        <v>0</v>
      </c>
      <c r="AG6959" t="n">
        <v>0</v>
      </c>
      <c r="AH6959" t="n">
        <v>0</v>
      </c>
      <c r="AI6959" t="n">
        <v>0</v>
      </c>
    </row>
    <row r="6960">
      <c r="A6960" t="inlineStr">
        <is>
          <t>12월</t>
        </is>
      </c>
      <c r="B6960" t="inlineStr">
        <is>
          <t>52주차</t>
        </is>
      </c>
      <c r="C6960" t="e">
        <v>#N/A</v>
      </c>
      <c r="K6960" t="n">
        <v>0</v>
      </c>
      <c r="L6960" t="n">
        <v>0</v>
      </c>
      <c r="M6960" t="n">
        <v>0</v>
      </c>
      <c r="AC6960" t="n">
        <v>0</v>
      </c>
      <c r="AD6960" t="n">
        <v>0</v>
      </c>
      <c r="AE6960" t="n">
        <v>0</v>
      </c>
      <c r="AF6960" t="n">
        <v>0</v>
      </c>
      <c r="AG6960" t="n">
        <v>0</v>
      </c>
      <c r="AH6960" t="n">
        <v>0</v>
      </c>
      <c r="AI6960" t="n">
        <v>0</v>
      </c>
    </row>
    <row r="6961">
      <c r="A6961" t="inlineStr">
        <is>
          <t>12월</t>
        </is>
      </c>
      <c r="B6961" t="inlineStr">
        <is>
          <t>52주차</t>
        </is>
      </c>
      <c r="C6961" t="e">
        <v>#N/A</v>
      </c>
      <c r="K6961" t="n">
        <v>0</v>
      </c>
      <c r="L6961" t="n">
        <v>0</v>
      </c>
      <c r="M6961" t="n">
        <v>0</v>
      </c>
      <c r="AC6961" t="n">
        <v>0</v>
      </c>
      <c r="AD6961" t="n">
        <v>0</v>
      </c>
      <c r="AE6961" t="n">
        <v>0</v>
      </c>
      <c r="AF6961" t="n">
        <v>0</v>
      </c>
      <c r="AG6961" t="n">
        <v>0</v>
      </c>
      <c r="AH6961" t="n">
        <v>0</v>
      </c>
      <c r="AI6961" t="n">
        <v>0</v>
      </c>
    </row>
    <row r="6962">
      <c r="A6962" t="inlineStr">
        <is>
          <t>12월</t>
        </is>
      </c>
      <c r="B6962" t="inlineStr">
        <is>
          <t>52주차</t>
        </is>
      </c>
      <c r="C6962" t="e">
        <v>#N/A</v>
      </c>
      <c r="K6962" t="n">
        <v>0</v>
      </c>
      <c r="L6962" t="n">
        <v>0</v>
      </c>
      <c r="M6962" t="n">
        <v>0</v>
      </c>
      <c r="AC6962" t="n">
        <v>0</v>
      </c>
      <c r="AD6962" t="n">
        <v>0</v>
      </c>
      <c r="AE6962" t="n">
        <v>0</v>
      </c>
      <c r="AF6962" t="n">
        <v>0</v>
      </c>
      <c r="AG6962" t="n">
        <v>0</v>
      </c>
      <c r="AH6962" t="n">
        <v>0</v>
      </c>
      <c r="AI6962" t="n">
        <v>0</v>
      </c>
    </row>
    <row r="6963">
      <c r="A6963" t="inlineStr">
        <is>
          <t>12월</t>
        </is>
      </c>
      <c r="B6963" t="inlineStr">
        <is>
          <t>52주차</t>
        </is>
      </c>
      <c r="C6963" t="e">
        <v>#N/A</v>
      </c>
      <c r="K6963" t="n">
        <v>0</v>
      </c>
      <c r="L6963" t="n">
        <v>0</v>
      </c>
      <c r="M6963" t="n">
        <v>0</v>
      </c>
      <c r="AC6963" t="n">
        <v>0</v>
      </c>
      <c r="AD6963" t="n">
        <v>0</v>
      </c>
      <c r="AE6963" t="n">
        <v>0</v>
      </c>
      <c r="AF6963" t="n">
        <v>0</v>
      </c>
      <c r="AG6963" t="n">
        <v>0</v>
      </c>
      <c r="AH6963" t="n">
        <v>0</v>
      </c>
      <c r="AI6963" t="n">
        <v>0</v>
      </c>
    </row>
    <row r="6964">
      <c r="A6964" t="inlineStr">
        <is>
          <t>12월</t>
        </is>
      </c>
      <c r="B6964" t="inlineStr">
        <is>
          <t>52주차</t>
        </is>
      </c>
      <c r="C6964" t="e">
        <v>#N/A</v>
      </c>
      <c r="K6964" t="n">
        <v>0</v>
      </c>
      <c r="L6964" t="n">
        <v>0</v>
      </c>
      <c r="M6964" t="n">
        <v>0</v>
      </c>
      <c r="AC6964" t="n">
        <v>0</v>
      </c>
      <c r="AD6964" t="n">
        <v>0</v>
      </c>
      <c r="AE6964" t="n">
        <v>0</v>
      </c>
      <c r="AF6964" t="n">
        <v>0</v>
      </c>
      <c r="AG6964" t="n">
        <v>0</v>
      </c>
      <c r="AH6964" t="n">
        <v>0</v>
      </c>
      <c r="AI6964" t="n">
        <v>0</v>
      </c>
    </row>
    <row r="6965">
      <c r="A6965" t="inlineStr">
        <is>
          <t>12월</t>
        </is>
      </c>
      <c r="B6965" t="inlineStr">
        <is>
          <t>52주차</t>
        </is>
      </c>
      <c r="C6965" t="e">
        <v>#N/A</v>
      </c>
      <c r="K6965" t="n">
        <v>0</v>
      </c>
      <c r="L6965" t="n">
        <v>0</v>
      </c>
      <c r="M6965" t="n">
        <v>0</v>
      </c>
      <c r="AC6965" t="n">
        <v>0</v>
      </c>
      <c r="AD6965" t="n">
        <v>0</v>
      </c>
      <c r="AE6965" t="n">
        <v>0</v>
      </c>
      <c r="AF6965" t="n">
        <v>0</v>
      </c>
      <c r="AG6965" t="n">
        <v>0</v>
      </c>
      <c r="AH6965" t="n">
        <v>0</v>
      </c>
      <c r="AI6965" t="n">
        <v>0</v>
      </c>
    </row>
    <row r="6966">
      <c r="A6966" t="inlineStr">
        <is>
          <t>12월</t>
        </is>
      </c>
      <c r="B6966" t="inlineStr">
        <is>
          <t>52주차</t>
        </is>
      </c>
      <c r="C6966" t="e">
        <v>#N/A</v>
      </c>
      <c r="K6966" t="n">
        <v>0</v>
      </c>
      <c r="L6966" t="n">
        <v>0</v>
      </c>
      <c r="M6966" t="n">
        <v>0</v>
      </c>
      <c r="AC6966" t="n">
        <v>0</v>
      </c>
      <c r="AD6966" t="n">
        <v>0</v>
      </c>
      <c r="AE6966" t="n">
        <v>0</v>
      </c>
      <c r="AF6966" t="n">
        <v>0</v>
      </c>
      <c r="AG6966" t="n">
        <v>0</v>
      </c>
      <c r="AH6966" t="n">
        <v>0</v>
      </c>
      <c r="AI6966" t="n">
        <v>0</v>
      </c>
    </row>
    <row r="6967">
      <c r="A6967" t="inlineStr">
        <is>
          <t>12월</t>
        </is>
      </c>
      <c r="B6967" t="inlineStr">
        <is>
          <t>52주차</t>
        </is>
      </c>
      <c r="C6967" t="e">
        <v>#N/A</v>
      </c>
      <c r="K6967" t="n">
        <v>0</v>
      </c>
      <c r="L6967" t="n">
        <v>0</v>
      </c>
      <c r="M6967" t="n">
        <v>0</v>
      </c>
      <c r="AC6967" t="n">
        <v>0</v>
      </c>
      <c r="AD6967" t="n">
        <v>0</v>
      </c>
      <c r="AE6967" t="n">
        <v>0</v>
      </c>
      <c r="AF6967" t="n">
        <v>0</v>
      </c>
      <c r="AG6967" t="n">
        <v>0</v>
      </c>
      <c r="AH6967" t="n">
        <v>0</v>
      </c>
      <c r="AI6967" t="n">
        <v>0</v>
      </c>
    </row>
    <row r="6968">
      <c r="A6968" t="inlineStr">
        <is>
          <t>12월</t>
        </is>
      </c>
      <c r="B6968" t="inlineStr">
        <is>
          <t>52주차</t>
        </is>
      </c>
      <c r="C6968" t="e">
        <v>#N/A</v>
      </c>
      <c r="K6968" t="n">
        <v>0</v>
      </c>
      <c r="L6968" t="n">
        <v>0</v>
      </c>
      <c r="M6968" t="n">
        <v>0</v>
      </c>
      <c r="AC6968" t="n">
        <v>0</v>
      </c>
      <c r="AD6968" t="n">
        <v>0</v>
      </c>
      <c r="AE6968" t="n">
        <v>0</v>
      </c>
      <c r="AF6968" t="n">
        <v>0</v>
      </c>
      <c r="AG6968" t="n">
        <v>0</v>
      </c>
      <c r="AH6968" t="n">
        <v>0</v>
      </c>
    </row>
    <row r="6969">
      <c r="A6969" t="inlineStr">
        <is>
          <t>12월</t>
        </is>
      </c>
      <c r="B6969" t="inlineStr">
        <is>
          <t>52주차</t>
        </is>
      </c>
      <c r="C6969" t="e">
        <v>#N/A</v>
      </c>
      <c r="K6969" t="n">
        <v>0</v>
      </c>
      <c r="L6969" t="n">
        <v>0</v>
      </c>
      <c r="M6969" t="n">
        <v>0</v>
      </c>
      <c r="AC6969" t="n">
        <v>0</v>
      </c>
      <c r="AD6969" t="n">
        <v>0</v>
      </c>
      <c r="AE6969" t="n">
        <v>0</v>
      </c>
      <c r="AF6969" t="n">
        <v>0</v>
      </c>
      <c r="AG6969" t="n">
        <v>0</v>
      </c>
      <c r="AH6969" t="n">
        <v>0</v>
      </c>
      <c r="AI6969" t="n">
        <v>0</v>
      </c>
    </row>
    <row r="6970">
      <c r="A6970" t="inlineStr">
        <is>
          <t>12월</t>
        </is>
      </c>
      <c r="B6970" t="inlineStr">
        <is>
          <t>52주차</t>
        </is>
      </c>
      <c r="C6970" t="e">
        <v>#N/A</v>
      </c>
      <c r="K6970" t="n">
        <v>0</v>
      </c>
      <c r="L6970" t="n">
        <v>0</v>
      </c>
      <c r="M6970" t="n">
        <v>0</v>
      </c>
      <c r="AC6970" t="n">
        <v>0</v>
      </c>
      <c r="AD6970" t="n">
        <v>0</v>
      </c>
      <c r="AE6970" t="n">
        <v>0</v>
      </c>
      <c r="AF6970" t="n">
        <v>0</v>
      </c>
      <c r="AG6970" t="n">
        <v>0</v>
      </c>
      <c r="AH6970" t="n">
        <v>0</v>
      </c>
    </row>
    <row r="6971">
      <c r="A6971" t="inlineStr">
        <is>
          <t>12월</t>
        </is>
      </c>
      <c r="B6971" t="inlineStr">
        <is>
          <t>52주차</t>
        </is>
      </c>
      <c r="C6971" t="e">
        <v>#N/A</v>
      </c>
      <c r="K6971" t="n">
        <v>0</v>
      </c>
      <c r="L6971" t="n">
        <v>0</v>
      </c>
      <c r="M6971" t="n">
        <v>0</v>
      </c>
      <c r="AC6971" t="n">
        <v>0</v>
      </c>
      <c r="AD6971" t="n">
        <v>0</v>
      </c>
      <c r="AE6971" t="n">
        <v>0</v>
      </c>
      <c r="AF6971" t="n">
        <v>0</v>
      </c>
      <c r="AG6971" t="n">
        <v>0</v>
      </c>
      <c r="AH6971" t="n">
        <v>0</v>
      </c>
    </row>
    <row r="6972">
      <c r="A6972" t="inlineStr">
        <is>
          <t>12월</t>
        </is>
      </c>
      <c r="B6972" t="inlineStr">
        <is>
          <t>52주차</t>
        </is>
      </c>
      <c r="C6972" t="e">
        <v>#N/A</v>
      </c>
      <c r="K6972" t="n">
        <v>0</v>
      </c>
      <c r="L6972" t="n">
        <v>0</v>
      </c>
      <c r="M6972" t="n">
        <v>0</v>
      </c>
      <c r="AC6972" t="n">
        <v>0</v>
      </c>
      <c r="AD6972" t="n">
        <v>0</v>
      </c>
      <c r="AE6972" t="n">
        <v>0</v>
      </c>
      <c r="AF6972" t="n">
        <v>0</v>
      </c>
      <c r="AG6972" t="n">
        <v>0</v>
      </c>
      <c r="AH6972" t="n">
        <v>0</v>
      </c>
      <c r="AI6972" t="n">
        <v>0</v>
      </c>
    </row>
    <row r="6973">
      <c r="A6973" t="inlineStr">
        <is>
          <t>12월</t>
        </is>
      </c>
      <c r="B6973" t="inlineStr">
        <is>
          <t>52주차</t>
        </is>
      </c>
      <c r="C6973" t="e">
        <v>#N/A</v>
      </c>
      <c r="K6973" t="n">
        <v>0</v>
      </c>
      <c r="L6973" t="n">
        <v>0</v>
      </c>
      <c r="M6973" t="n">
        <v>0</v>
      </c>
      <c r="AC6973" t="n">
        <v>0</v>
      </c>
      <c r="AD6973" t="n">
        <v>0</v>
      </c>
      <c r="AE6973" t="n">
        <v>0</v>
      </c>
      <c r="AF6973" t="n">
        <v>0</v>
      </c>
      <c r="AG6973" t="n">
        <v>0</v>
      </c>
      <c r="AH6973" t="n">
        <v>0</v>
      </c>
      <c r="AI6973" t="n">
        <v>0</v>
      </c>
    </row>
    <row r="6974">
      <c r="A6974" t="inlineStr">
        <is>
          <t>12월</t>
        </is>
      </c>
      <c r="B6974" t="inlineStr">
        <is>
          <t>52주차</t>
        </is>
      </c>
      <c r="C6974" t="e">
        <v>#N/A</v>
      </c>
      <c r="K6974" t="n">
        <v>0</v>
      </c>
      <c r="L6974" t="n">
        <v>0</v>
      </c>
      <c r="M6974" t="n">
        <v>0</v>
      </c>
      <c r="AC6974" t="n">
        <v>0</v>
      </c>
      <c r="AD6974" t="n">
        <v>0</v>
      </c>
      <c r="AE6974" t="n">
        <v>0</v>
      </c>
      <c r="AF6974" t="n">
        <v>0</v>
      </c>
      <c r="AG6974" t="n">
        <v>0</v>
      </c>
      <c r="AH6974" t="n">
        <v>0</v>
      </c>
      <c r="AI6974" t="n">
        <v>0</v>
      </c>
    </row>
    <row r="6975">
      <c r="A6975" t="inlineStr">
        <is>
          <t>12월</t>
        </is>
      </c>
      <c r="B6975" t="inlineStr">
        <is>
          <t>52주차</t>
        </is>
      </c>
      <c r="C6975" t="e">
        <v>#N/A</v>
      </c>
      <c r="K6975" t="n">
        <v>0</v>
      </c>
      <c r="L6975" t="n">
        <v>0</v>
      </c>
      <c r="M6975" t="n">
        <v>0</v>
      </c>
      <c r="AC6975" t="n">
        <v>0</v>
      </c>
      <c r="AD6975" t="n">
        <v>0</v>
      </c>
      <c r="AE6975" t="n">
        <v>0</v>
      </c>
      <c r="AF6975" t="n">
        <v>0</v>
      </c>
      <c r="AG6975" t="n">
        <v>0</v>
      </c>
      <c r="AH6975" t="n">
        <v>0</v>
      </c>
    </row>
    <row r="6976">
      <c r="A6976" t="inlineStr">
        <is>
          <t>12월</t>
        </is>
      </c>
      <c r="B6976" t="inlineStr">
        <is>
          <t>52주차</t>
        </is>
      </c>
      <c r="C6976" t="e">
        <v>#N/A</v>
      </c>
      <c r="K6976" t="n">
        <v>0</v>
      </c>
      <c r="L6976" t="n">
        <v>0</v>
      </c>
      <c r="M6976" t="n">
        <v>0</v>
      </c>
      <c r="AC6976" t="n">
        <v>0</v>
      </c>
      <c r="AD6976" t="n">
        <v>0</v>
      </c>
      <c r="AE6976" t="n">
        <v>0</v>
      </c>
      <c r="AF6976" t="n">
        <v>0</v>
      </c>
      <c r="AG6976" t="n">
        <v>0</v>
      </c>
      <c r="AH6976" t="n">
        <v>0</v>
      </c>
      <c r="AI6976" t="n">
        <v>0</v>
      </c>
    </row>
    <row r="6977">
      <c r="A6977" t="inlineStr">
        <is>
          <t>12월</t>
        </is>
      </c>
      <c r="B6977" t="inlineStr">
        <is>
          <t>52주차</t>
        </is>
      </c>
      <c r="C6977" t="e">
        <v>#N/A</v>
      </c>
      <c r="K6977" t="n">
        <v>0</v>
      </c>
      <c r="L6977" t="n">
        <v>0</v>
      </c>
      <c r="M6977" t="n">
        <v>0</v>
      </c>
      <c r="AC6977" t="n">
        <v>0</v>
      </c>
      <c r="AD6977" t="n">
        <v>0</v>
      </c>
      <c r="AE6977" t="n">
        <v>0</v>
      </c>
      <c r="AF6977" t="n">
        <v>0</v>
      </c>
      <c r="AG6977" t="n">
        <v>0</v>
      </c>
      <c r="AH6977" t="n">
        <v>0</v>
      </c>
    </row>
    <row r="6978">
      <c r="A6978" t="inlineStr">
        <is>
          <t>12월</t>
        </is>
      </c>
      <c r="B6978" t="inlineStr">
        <is>
          <t>52주차</t>
        </is>
      </c>
      <c r="C6978" t="e">
        <v>#N/A</v>
      </c>
      <c r="K6978" t="n">
        <v>0</v>
      </c>
      <c r="L6978" t="n">
        <v>0</v>
      </c>
      <c r="M6978" t="n">
        <v>0</v>
      </c>
      <c r="AC6978" t="n">
        <v>0</v>
      </c>
      <c r="AD6978" t="n">
        <v>0</v>
      </c>
      <c r="AE6978" t="n">
        <v>0</v>
      </c>
      <c r="AF6978" t="n">
        <v>0</v>
      </c>
      <c r="AG6978" t="n">
        <v>0</v>
      </c>
      <c r="AH6978" t="n">
        <v>0</v>
      </c>
      <c r="AI6978" t="n">
        <v>0</v>
      </c>
    </row>
    <row r="6979">
      <c r="A6979" t="inlineStr">
        <is>
          <t>12월</t>
        </is>
      </c>
      <c r="B6979" t="inlineStr">
        <is>
          <t>52주차</t>
        </is>
      </c>
      <c r="C6979" t="e">
        <v>#N/A</v>
      </c>
      <c r="K6979" t="n">
        <v>0</v>
      </c>
      <c r="L6979" t="n">
        <v>0</v>
      </c>
      <c r="M6979" t="n">
        <v>0</v>
      </c>
      <c r="AC6979" t="n">
        <v>0</v>
      </c>
      <c r="AD6979" t="n">
        <v>0</v>
      </c>
      <c r="AE6979" t="n">
        <v>0</v>
      </c>
      <c r="AF6979" t="n">
        <v>0</v>
      </c>
      <c r="AG6979" t="n">
        <v>0</v>
      </c>
      <c r="AH6979" t="n">
        <v>0</v>
      </c>
      <c r="AI6979" t="n">
        <v>0</v>
      </c>
    </row>
    <row r="6980">
      <c r="A6980" t="inlineStr">
        <is>
          <t>12월</t>
        </is>
      </c>
      <c r="B6980" t="inlineStr">
        <is>
          <t>52주차</t>
        </is>
      </c>
      <c r="C6980" t="e">
        <v>#N/A</v>
      </c>
      <c r="K6980" t="n">
        <v>0</v>
      </c>
      <c r="L6980" t="n">
        <v>0</v>
      </c>
      <c r="M6980" t="n">
        <v>0</v>
      </c>
      <c r="AC6980" t="n">
        <v>0</v>
      </c>
      <c r="AD6980" t="n">
        <v>0</v>
      </c>
      <c r="AE6980" t="n">
        <v>0</v>
      </c>
      <c r="AF6980" t="n">
        <v>0</v>
      </c>
      <c r="AG6980" t="n">
        <v>0</v>
      </c>
      <c r="AH6980" t="n">
        <v>0</v>
      </c>
      <c r="AI6980" t="n">
        <v>0</v>
      </c>
    </row>
    <row r="6981">
      <c r="A6981" t="inlineStr">
        <is>
          <t>12월</t>
        </is>
      </c>
      <c r="B6981" t="inlineStr">
        <is>
          <t>52주차</t>
        </is>
      </c>
      <c r="C6981" t="e">
        <v>#N/A</v>
      </c>
      <c r="K6981" t="n">
        <v>0</v>
      </c>
      <c r="L6981" t="n">
        <v>0</v>
      </c>
      <c r="M6981" t="n">
        <v>0</v>
      </c>
      <c r="AC6981" t="n">
        <v>0</v>
      </c>
      <c r="AD6981" t="n">
        <v>0</v>
      </c>
      <c r="AE6981" t="n">
        <v>0</v>
      </c>
      <c r="AF6981" t="n">
        <v>0</v>
      </c>
      <c r="AG6981" t="n">
        <v>0</v>
      </c>
      <c r="AH6981" t="n">
        <v>0</v>
      </c>
    </row>
    <row r="6982">
      <c r="A6982" t="inlineStr">
        <is>
          <t>12월</t>
        </is>
      </c>
      <c r="B6982" t="inlineStr">
        <is>
          <t>52주차</t>
        </is>
      </c>
      <c r="C6982" t="e">
        <v>#N/A</v>
      </c>
      <c r="K6982" t="n">
        <v>0</v>
      </c>
      <c r="L6982" t="n">
        <v>0</v>
      </c>
      <c r="M6982" t="n">
        <v>0</v>
      </c>
      <c r="AC6982" t="n">
        <v>0</v>
      </c>
      <c r="AD6982" t="n">
        <v>0</v>
      </c>
      <c r="AE6982" t="n">
        <v>0</v>
      </c>
      <c r="AF6982" t="n">
        <v>0</v>
      </c>
      <c r="AG6982" t="n">
        <v>0</v>
      </c>
      <c r="AH6982" t="n">
        <v>0</v>
      </c>
      <c r="AI6982" t="n">
        <v>0</v>
      </c>
    </row>
    <row r="6983">
      <c r="A6983" t="inlineStr">
        <is>
          <t>12월</t>
        </is>
      </c>
      <c r="B6983" t="inlineStr">
        <is>
          <t>52주차</t>
        </is>
      </c>
      <c r="C6983" t="e">
        <v>#N/A</v>
      </c>
      <c r="K6983" t="n">
        <v>0</v>
      </c>
      <c r="L6983" t="n">
        <v>0</v>
      </c>
      <c r="M6983" t="n">
        <v>0</v>
      </c>
      <c r="AC6983" t="n">
        <v>0</v>
      </c>
      <c r="AD6983" t="n">
        <v>0</v>
      </c>
      <c r="AE6983" t="n">
        <v>0</v>
      </c>
      <c r="AF6983" t="n">
        <v>0</v>
      </c>
      <c r="AG6983" t="n">
        <v>0</v>
      </c>
      <c r="AH6983" t="n">
        <v>0</v>
      </c>
    </row>
    <row r="6984">
      <c r="A6984" t="inlineStr">
        <is>
          <t>12월</t>
        </is>
      </c>
      <c r="B6984" t="inlineStr">
        <is>
          <t>52주차</t>
        </is>
      </c>
      <c r="C6984" t="e">
        <v>#N/A</v>
      </c>
      <c r="K6984" t="n">
        <v>0</v>
      </c>
      <c r="L6984" t="n">
        <v>0</v>
      </c>
      <c r="M6984" t="n">
        <v>0</v>
      </c>
      <c r="AC6984" t="n">
        <v>0</v>
      </c>
      <c r="AD6984" t="n">
        <v>0</v>
      </c>
      <c r="AE6984" t="n">
        <v>0</v>
      </c>
      <c r="AF6984" t="n">
        <v>0</v>
      </c>
      <c r="AG6984" t="n">
        <v>0</v>
      </c>
      <c r="AH6984" t="n">
        <v>0</v>
      </c>
      <c r="AI6984" t="n">
        <v>0</v>
      </c>
    </row>
    <row r="6985">
      <c r="A6985" t="inlineStr">
        <is>
          <t>12월</t>
        </is>
      </c>
      <c r="B6985" t="inlineStr">
        <is>
          <t>52주차</t>
        </is>
      </c>
      <c r="C6985" t="e">
        <v>#N/A</v>
      </c>
      <c r="K6985" t="n">
        <v>0</v>
      </c>
      <c r="L6985" t="n">
        <v>0</v>
      </c>
      <c r="M6985" t="n">
        <v>0</v>
      </c>
      <c r="AC6985" t="n">
        <v>0</v>
      </c>
      <c r="AD6985" t="n">
        <v>0</v>
      </c>
      <c r="AE6985" t="n">
        <v>0</v>
      </c>
      <c r="AF6985" t="n">
        <v>0</v>
      </c>
      <c r="AG6985" t="n">
        <v>0</v>
      </c>
      <c r="AH6985" t="n">
        <v>0</v>
      </c>
      <c r="AI6985" t="n">
        <v>0</v>
      </c>
    </row>
    <row r="6986">
      <c r="A6986" t="inlineStr">
        <is>
          <t>12월</t>
        </is>
      </c>
      <c r="B6986" t="inlineStr">
        <is>
          <t>52주차</t>
        </is>
      </c>
      <c r="C6986" t="e">
        <v>#N/A</v>
      </c>
      <c r="K6986" t="n">
        <v>0</v>
      </c>
      <c r="L6986" t="n">
        <v>0</v>
      </c>
      <c r="M6986" t="n">
        <v>0</v>
      </c>
      <c r="AC6986" t="n">
        <v>0</v>
      </c>
      <c r="AD6986" t="n">
        <v>0</v>
      </c>
      <c r="AE6986" t="n">
        <v>0</v>
      </c>
      <c r="AF6986" t="n">
        <v>0</v>
      </c>
      <c r="AG6986" t="n">
        <v>0</v>
      </c>
      <c r="AH6986" t="n">
        <v>0</v>
      </c>
    </row>
    <row r="6987">
      <c r="A6987" t="inlineStr">
        <is>
          <t>12월</t>
        </is>
      </c>
      <c r="B6987" t="inlineStr">
        <is>
          <t>52주차</t>
        </is>
      </c>
      <c r="C6987" t="e">
        <v>#N/A</v>
      </c>
      <c r="K6987" t="n">
        <v>0</v>
      </c>
      <c r="L6987" t="n">
        <v>0</v>
      </c>
      <c r="M6987" t="n">
        <v>0</v>
      </c>
      <c r="AC6987" t="n">
        <v>0</v>
      </c>
      <c r="AD6987" t="n">
        <v>0</v>
      </c>
      <c r="AE6987" t="n">
        <v>0</v>
      </c>
      <c r="AF6987" t="n">
        <v>0</v>
      </c>
      <c r="AG6987" t="n">
        <v>0</v>
      </c>
      <c r="AH6987" t="n">
        <v>0</v>
      </c>
    </row>
    <row r="6988">
      <c r="A6988" t="inlineStr">
        <is>
          <t>12월</t>
        </is>
      </c>
      <c r="B6988" t="inlineStr">
        <is>
          <t>52주차</t>
        </is>
      </c>
      <c r="C6988" t="e">
        <v>#N/A</v>
      </c>
      <c r="K6988" t="n">
        <v>0</v>
      </c>
      <c r="L6988" t="n">
        <v>0</v>
      </c>
      <c r="M6988" t="n">
        <v>0</v>
      </c>
      <c r="AC6988" t="n">
        <v>0</v>
      </c>
      <c r="AD6988" t="n">
        <v>0</v>
      </c>
      <c r="AE6988" t="n">
        <v>0</v>
      </c>
      <c r="AF6988" t="n">
        <v>0</v>
      </c>
      <c r="AG6988" t="n">
        <v>0</v>
      </c>
      <c r="AH6988" t="n">
        <v>0</v>
      </c>
      <c r="AI6988" t="n">
        <v>0</v>
      </c>
    </row>
    <row r="6989">
      <c r="A6989" t="inlineStr">
        <is>
          <t>12월</t>
        </is>
      </c>
      <c r="B6989" t="inlineStr">
        <is>
          <t>52주차</t>
        </is>
      </c>
      <c r="C6989" t="e">
        <v>#N/A</v>
      </c>
      <c r="K6989" t="n">
        <v>0</v>
      </c>
      <c r="L6989" t="n">
        <v>0</v>
      </c>
      <c r="M6989" t="n">
        <v>0</v>
      </c>
      <c r="AC6989" t="n">
        <v>0</v>
      </c>
      <c r="AD6989" t="n">
        <v>0</v>
      </c>
      <c r="AE6989" t="n">
        <v>0</v>
      </c>
      <c r="AF6989" t="n">
        <v>0</v>
      </c>
      <c r="AG6989" t="n">
        <v>0</v>
      </c>
      <c r="AH6989" t="n">
        <v>0</v>
      </c>
      <c r="AI6989" t="n">
        <v>0</v>
      </c>
    </row>
    <row r="6990">
      <c r="A6990" t="inlineStr">
        <is>
          <t>12월</t>
        </is>
      </c>
      <c r="B6990" t="inlineStr">
        <is>
          <t>52주차</t>
        </is>
      </c>
      <c r="C6990" t="e">
        <v>#N/A</v>
      </c>
      <c r="K6990" t="n">
        <v>0</v>
      </c>
      <c r="L6990" t="n">
        <v>0</v>
      </c>
      <c r="M6990" t="n">
        <v>0</v>
      </c>
      <c r="AC6990" t="n">
        <v>0</v>
      </c>
      <c r="AD6990" t="n">
        <v>0</v>
      </c>
      <c r="AE6990" t="n">
        <v>0</v>
      </c>
      <c r="AF6990" t="n">
        <v>0</v>
      </c>
      <c r="AG6990" t="n">
        <v>0</v>
      </c>
      <c r="AH6990" t="n">
        <v>0</v>
      </c>
    </row>
    <row r="6991">
      <c r="A6991" t="inlineStr">
        <is>
          <t>12월</t>
        </is>
      </c>
      <c r="B6991" t="inlineStr">
        <is>
          <t>52주차</t>
        </is>
      </c>
      <c r="C6991" t="e">
        <v>#N/A</v>
      </c>
      <c r="K6991" t="n">
        <v>0</v>
      </c>
      <c r="L6991" t="n">
        <v>0</v>
      </c>
      <c r="M6991" t="n">
        <v>0</v>
      </c>
      <c r="AC6991" t="n">
        <v>0</v>
      </c>
      <c r="AD6991" t="n">
        <v>0</v>
      </c>
      <c r="AE6991" t="n">
        <v>0</v>
      </c>
      <c r="AF6991" t="n">
        <v>0</v>
      </c>
      <c r="AG6991" t="n">
        <v>0</v>
      </c>
      <c r="AH6991" t="n">
        <v>0</v>
      </c>
      <c r="AI6991" t="n">
        <v>0</v>
      </c>
    </row>
    <row r="6992">
      <c r="A6992" t="inlineStr">
        <is>
          <t>12월</t>
        </is>
      </c>
      <c r="B6992" t="inlineStr">
        <is>
          <t>52주차</t>
        </is>
      </c>
      <c r="C6992" t="e">
        <v>#N/A</v>
      </c>
      <c r="K6992" t="n">
        <v>0</v>
      </c>
      <c r="L6992" t="n">
        <v>0</v>
      </c>
      <c r="M6992" t="n">
        <v>0</v>
      </c>
      <c r="AC6992" t="n">
        <v>0</v>
      </c>
      <c r="AD6992" t="n">
        <v>0</v>
      </c>
      <c r="AE6992" t="n">
        <v>0</v>
      </c>
      <c r="AF6992" t="n">
        <v>0</v>
      </c>
      <c r="AG6992" t="n">
        <v>0</v>
      </c>
      <c r="AH6992" t="n">
        <v>0</v>
      </c>
      <c r="AI6992" t="n">
        <v>0</v>
      </c>
    </row>
    <row r="6993">
      <c r="A6993" t="inlineStr">
        <is>
          <t>12월</t>
        </is>
      </c>
      <c r="B6993" t="inlineStr">
        <is>
          <t>52주차</t>
        </is>
      </c>
      <c r="C6993" t="e">
        <v>#N/A</v>
      </c>
      <c r="K6993" t="n">
        <v>0</v>
      </c>
      <c r="L6993" t="n">
        <v>0</v>
      </c>
      <c r="M6993" t="n">
        <v>0</v>
      </c>
      <c r="AC6993" t="n">
        <v>0</v>
      </c>
      <c r="AD6993" t="n">
        <v>0</v>
      </c>
      <c r="AE6993" t="n">
        <v>0</v>
      </c>
      <c r="AF6993" t="n">
        <v>0</v>
      </c>
      <c r="AG6993" t="n">
        <v>0</v>
      </c>
      <c r="AH6993" t="n">
        <v>0</v>
      </c>
      <c r="AI6993" t="n">
        <v>0</v>
      </c>
    </row>
    <row r="6994">
      <c r="A6994" t="inlineStr">
        <is>
          <t>12월</t>
        </is>
      </c>
      <c r="B6994" t="inlineStr">
        <is>
          <t>52주차</t>
        </is>
      </c>
      <c r="C6994" t="e">
        <v>#N/A</v>
      </c>
      <c r="K6994" t="n">
        <v>0</v>
      </c>
      <c r="L6994" t="n">
        <v>0</v>
      </c>
      <c r="M6994" t="n">
        <v>0</v>
      </c>
      <c r="AC6994" t="n">
        <v>0</v>
      </c>
      <c r="AD6994" t="n">
        <v>0</v>
      </c>
      <c r="AE6994" t="n">
        <v>0</v>
      </c>
      <c r="AF6994" t="n">
        <v>0</v>
      </c>
      <c r="AG6994" t="n">
        <v>0</v>
      </c>
      <c r="AH6994" t="n">
        <v>0</v>
      </c>
      <c r="AI6994" t="n">
        <v>0</v>
      </c>
    </row>
    <row r="6995">
      <c r="A6995" t="inlineStr">
        <is>
          <t>12월</t>
        </is>
      </c>
      <c r="B6995" t="inlineStr">
        <is>
          <t>52주차</t>
        </is>
      </c>
      <c r="C6995" t="e">
        <v>#N/A</v>
      </c>
      <c r="K6995" t="n">
        <v>0</v>
      </c>
      <c r="L6995" t="n">
        <v>0</v>
      </c>
      <c r="M6995" t="n">
        <v>0</v>
      </c>
      <c r="AC6995" t="n">
        <v>0</v>
      </c>
      <c r="AD6995" t="n">
        <v>0</v>
      </c>
      <c r="AE6995" t="n">
        <v>0</v>
      </c>
      <c r="AF6995" t="n">
        <v>0</v>
      </c>
      <c r="AG6995" t="n">
        <v>0</v>
      </c>
      <c r="AH6995" t="n">
        <v>0</v>
      </c>
      <c r="AI6995" t="n">
        <v>0</v>
      </c>
    </row>
    <row r="6996">
      <c r="A6996" t="inlineStr">
        <is>
          <t>12월</t>
        </is>
      </c>
      <c r="B6996" t="inlineStr">
        <is>
          <t>52주차</t>
        </is>
      </c>
      <c r="C6996" t="e">
        <v>#N/A</v>
      </c>
      <c r="K6996" t="n">
        <v>0</v>
      </c>
      <c r="L6996" t="n">
        <v>0</v>
      </c>
      <c r="M6996" t="n">
        <v>0</v>
      </c>
      <c r="AC6996" t="n">
        <v>0</v>
      </c>
      <c r="AD6996" t="n">
        <v>0</v>
      </c>
      <c r="AE6996" t="n">
        <v>0</v>
      </c>
      <c r="AF6996" t="n">
        <v>0</v>
      </c>
      <c r="AG6996" t="n">
        <v>0</v>
      </c>
      <c r="AH6996" t="n">
        <v>0</v>
      </c>
      <c r="AI6996" t="n">
        <v>0</v>
      </c>
    </row>
    <row r="6997">
      <c r="A6997" t="inlineStr">
        <is>
          <t>12월</t>
        </is>
      </c>
      <c r="B6997" t="inlineStr">
        <is>
          <t>52주차</t>
        </is>
      </c>
      <c r="C6997" t="e">
        <v>#N/A</v>
      </c>
      <c r="K6997" t="n">
        <v>0</v>
      </c>
      <c r="L6997" t="n">
        <v>0</v>
      </c>
      <c r="M6997" t="n">
        <v>0</v>
      </c>
      <c r="AC6997" t="n">
        <v>0</v>
      </c>
      <c r="AD6997" t="n">
        <v>0</v>
      </c>
      <c r="AE6997" t="n">
        <v>0</v>
      </c>
      <c r="AF6997" t="n">
        <v>0</v>
      </c>
      <c r="AG6997" t="n">
        <v>0</v>
      </c>
      <c r="AH6997" t="n">
        <v>0</v>
      </c>
      <c r="AI6997" t="n">
        <v>0</v>
      </c>
    </row>
    <row r="6998">
      <c r="A6998" t="inlineStr">
        <is>
          <t>12월</t>
        </is>
      </c>
      <c r="B6998" t="inlineStr">
        <is>
          <t>52주차</t>
        </is>
      </c>
      <c r="C6998" t="e">
        <v>#N/A</v>
      </c>
      <c r="K6998" t="n">
        <v>0</v>
      </c>
      <c r="L6998" t="n">
        <v>0</v>
      </c>
      <c r="M6998" t="n">
        <v>0</v>
      </c>
      <c r="AC6998" t="n">
        <v>0</v>
      </c>
      <c r="AD6998" t="n">
        <v>0</v>
      </c>
      <c r="AE6998" t="n">
        <v>0</v>
      </c>
      <c r="AF6998" t="n">
        <v>0</v>
      </c>
      <c r="AG6998" t="n">
        <v>0</v>
      </c>
      <c r="AH6998" t="n">
        <v>0</v>
      </c>
      <c r="AI6998" t="n">
        <v>0</v>
      </c>
    </row>
    <row r="6999">
      <c r="A6999" t="inlineStr">
        <is>
          <t>12월</t>
        </is>
      </c>
      <c r="B6999" t="inlineStr">
        <is>
          <t>52주차</t>
        </is>
      </c>
      <c r="C6999" t="e">
        <v>#N/A</v>
      </c>
      <c r="K6999" t="n">
        <v>0</v>
      </c>
      <c r="L6999" t="n">
        <v>0</v>
      </c>
      <c r="M6999" t="n">
        <v>0</v>
      </c>
      <c r="AC6999" t="n">
        <v>0</v>
      </c>
      <c r="AD6999" t="n">
        <v>0</v>
      </c>
      <c r="AE6999" t="n">
        <v>0</v>
      </c>
      <c r="AF6999" t="n">
        <v>0</v>
      </c>
      <c r="AG6999" t="n">
        <v>0</v>
      </c>
      <c r="AH6999" t="n">
        <v>0</v>
      </c>
      <c r="AI6999" t="n">
        <v>0</v>
      </c>
    </row>
    <row r="7000">
      <c r="A7000" t="inlineStr">
        <is>
          <t>12월</t>
        </is>
      </c>
      <c r="B7000" t="inlineStr">
        <is>
          <t>52주차</t>
        </is>
      </c>
      <c r="C7000" t="e">
        <v>#N/A</v>
      </c>
      <c r="K7000" t="n">
        <v>0</v>
      </c>
      <c r="L7000" t="n">
        <v>0</v>
      </c>
      <c r="M7000" t="n">
        <v>0</v>
      </c>
      <c r="AC7000" t="n">
        <v>0</v>
      </c>
      <c r="AD7000" t="n">
        <v>0</v>
      </c>
      <c r="AE7000" t="n">
        <v>0</v>
      </c>
      <c r="AF7000" t="n">
        <v>0</v>
      </c>
      <c r="AG7000" t="n">
        <v>0</v>
      </c>
      <c r="AH7000" t="n">
        <v>0</v>
      </c>
      <c r="AI7000" t="n">
        <v>0</v>
      </c>
    </row>
    <row r="7001">
      <c r="A7001" t="inlineStr">
        <is>
          <t>12월</t>
        </is>
      </c>
      <c r="B7001" t="inlineStr">
        <is>
          <t>52주차</t>
        </is>
      </c>
      <c r="C7001" t="e">
        <v>#N/A</v>
      </c>
      <c r="K7001" t="n">
        <v>0</v>
      </c>
      <c r="L7001" t="n">
        <v>0</v>
      </c>
      <c r="M7001" t="n">
        <v>0</v>
      </c>
      <c r="AC7001" t="n">
        <v>0</v>
      </c>
      <c r="AD7001" t="n">
        <v>0</v>
      </c>
      <c r="AE7001" t="n">
        <v>0</v>
      </c>
      <c r="AF7001" t="n">
        <v>0</v>
      </c>
      <c r="AG7001" t="n">
        <v>0</v>
      </c>
      <c r="AH7001" t="n">
        <v>0</v>
      </c>
      <c r="AI7001" t="n">
        <v>0</v>
      </c>
    </row>
    <row r="7002">
      <c r="A7002" t="inlineStr">
        <is>
          <t>12월</t>
        </is>
      </c>
      <c r="B7002" t="inlineStr">
        <is>
          <t>52주차</t>
        </is>
      </c>
      <c r="C7002" t="e">
        <v>#N/A</v>
      </c>
      <c r="K7002" t="n">
        <v>0</v>
      </c>
      <c r="L7002" t="n">
        <v>0</v>
      </c>
      <c r="M7002" t="n">
        <v>0</v>
      </c>
      <c r="AC7002" t="n">
        <v>0</v>
      </c>
      <c r="AD7002" t="n">
        <v>0</v>
      </c>
      <c r="AE7002" t="n">
        <v>0</v>
      </c>
      <c r="AF7002" t="n">
        <v>0</v>
      </c>
      <c r="AG7002" t="n">
        <v>0</v>
      </c>
      <c r="AH7002" t="n">
        <v>0</v>
      </c>
      <c r="AI7002" t="n">
        <v>0</v>
      </c>
    </row>
    <row r="7003">
      <c r="A7003" t="inlineStr">
        <is>
          <t>12월</t>
        </is>
      </c>
      <c r="B7003" t="inlineStr">
        <is>
          <t>52주차</t>
        </is>
      </c>
      <c r="C7003" t="e">
        <v>#N/A</v>
      </c>
      <c r="K7003" t="n">
        <v>0</v>
      </c>
      <c r="L7003" t="n">
        <v>0</v>
      </c>
      <c r="M7003" t="n">
        <v>0</v>
      </c>
      <c r="AC7003" t="n">
        <v>0</v>
      </c>
      <c r="AD7003" t="n">
        <v>0</v>
      </c>
      <c r="AE7003" t="n">
        <v>0</v>
      </c>
      <c r="AF7003" t="n">
        <v>0</v>
      </c>
      <c r="AG7003" t="n">
        <v>0</v>
      </c>
      <c r="AH7003" t="n">
        <v>0</v>
      </c>
      <c r="AI7003" t="n">
        <v>0</v>
      </c>
    </row>
    <row r="7004">
      <c r="A7004" t="inlineStr">
        <is>
          <t>12월</t>
        </is>
      </c>
      <c r="B7004" t="inlineStr">
        <is>
          <t>52주차</t>
        </is>
      </c>
      <c r="C7004" t="e">
        <v>#N/A</v>
      </c>
      <c r="K7004" t="n">
        <v>0</v>
      </c>
      <c r="L7004" t="n">
        <v>0</v>
      </c>
      <c r="M7004" t="n">
        <v>0</v>
      </c>
      <c r="AC7004" t="n">
        <v>0</v>
      </c>
      <c r="AD7004" t="n">
        <v>0</v>
      </c>
      <c r="AE7004" t="n">
        <v>0</v>
      </c>
      <c r="AF7004" t="n">
        <v>0</v>
      </c>
      <c r="AG7004" t="n">
        <v>0</v>
      </c>
      <c r="AH7004" t="n">
        <v>0</v>
      </c>
      <c r="AI7004" t="n">
        <v>0</v>
      </c>
    </row>
    <row r="7005">
      <c r="A7005" t="inlineStr">
        <is>
          <t>12월</t>
        </is>
      </c>
      <c r="B7005" t="inlineStr">
        <is>
          <t>52주차</t>
        </is>
      </c>
      <c r="C7005" t="e">
        <v>#N/A</v>
      </c>
      <c r="K7005" t="n">
        <v>0</v>
      </c>
      <c r="L7005" t="n">
        <v>0</v>
      </c>
      <c r="M7005" t="n">
        <v>0</v>
      </c>
      <c r="AC7005" t="n">
        <v>0</v>
      </c>
      <c r="AD7005" t="n">
        <v>0</v>
      </c>
      <c r="AE7005" t="n">
        <v>0</v>
      </c>
      <c r="AF7005" t="n">
        <v>0</v>
      </c>
      <c r="AG7005" t="n">
        <v>0</v>
      </c>
      <c r="AH7005" t="n">
        <v>0</v>
      </c>
      <c r="AI7005" t="n">
        <v>0</v>
      </c>
    </row>
    <row r="7006">
      <c r="A7006" t="inlineStr">
        <is>
          <t>12월</t>
        </is>
      </c>
      <c r="B7006" t="inlineStr">
        <is>
          <t>52주차</t>
        </is>
      </c>
      <c r="C7006" t="e">
        <v>#N/A</v>
      </c>
      <c r="K7006" t="n">
        <v>0</v>
      </c>
      <c r="L7006" t="n">
        <v>0</v>
      </c>
      <c r="M7006" t="n">
        <v>0</v>
      </c>
      <c r="AC7006" t="n">
        <v>0</v>
      </c>
      <c r="AD7006" t="n">
        <v>0</v>
      </c>
      <c r="AE7006" t="n">
        <v>0</v>
      </c>
      <c r="AF7006" t="n">
        <v>0</v>
      </c>
      <c r="AG7006" t="n">
        <v>0</v>
      </c>
      <c r="AH7006" t="n">
        <v>0</v>
      </c>
      <c r="AI7006" t="n">
        <v>0</v>
      </c>
    </row>
    <row r="7007">
      <c r="A7007" t="inlineStr">
        <is>
          <t>12월</t>
        </is>
      </c>
      <c r="B7007" t="inlineStr">
        <is>
          <t>52주차</t>
        </is>
      </c>
      <c r="C7007" t="e">
        <v>#N/A</v>
      </c>
      <c r="K7007" t="n">
        <v>0</v>
      </c>
      <c r="L7007" t="n">
        <v>0</v>
      </c>
      <c r="M7007" t="n">
        <v>0</v>
      </c>
      <c r="AC7007" t="n">
        <v>0</v>
      </c>
      <c r="AD7007" t="n">
        <v>0</v>
      </c>
      <c r="AE7007" t="n">
        <v>0</v>
      </c>
      <c r="AF7007" t="n">
        <v>0</v>
      </c>
      <c r="AG7007" t="n">
        <v>0</v>
      </c>
      <c r="AH7007" t="n">
        <v>0</v>
      </c>
      <c r="AI7007" t="n">
        <v>0</v>
      </c>
    </row>
    <row r="7008">
      <c r="A7008" t="inlineStr">
        <is>
          <t>12월</t>
        </is>
      </c>
      <c r="B7008" t="inlineStr">
        <is>
          <t>52주차</t>
        </is>
      </c>
      <c r="C7008" t="e">
        <v>#N/A</v>
      </c>
      <c r="K7008" t="n">
        <v>0</v>
      </c>
      <c r="L7008" t="n">
        <v>0</v>
      </c>
      <c r="M7008" t="n">
        <v>0</v>
      </c>
      <c r="AC7008" t="n">
        <v>0</v>
      </c>
      <c r="AD7008" t="n">
        <v>0</v>
      </c>
      <c r="AE7008" t="n">
        <v>0</v>
      </c>
      <c r="AF7008" t="n">
        <v>0</v>
      </c>
      <c r="AG7008" t="n">
        <v>0</v>
      </c>
      <c r="AH7008" t="n">
        <v>0</v>
      </c>
      <c r="AI7008" t="n">
        <v>0</v>
      </c>
    </row>
    <row r="7009">
      <c r="A7009" t="inlineStr">
        <is>
          <t>12월</t>
        </is>
      </c>
      <c r="B7009" t="inlineStr">
        <is>
          <t>52주차</t>
        </is>
      </c>
      <c r="C7009" t="e">
        <v>#N/A</v>
      </c>
      <c r="K7009" t="n">
        <v>0</v>
      </c>
      <c r="L7009" t="n">
        <v>0</v>
      </c>
      <c r="M7009" t="n">
        <v>0</v>
      </c>
      <c r="AC7009" t="n">
        <v>0</v>
      </c>
      <c r="AD7009" t="n">
        <v>0</v>
      </c>
      <c r="AE7009" t="n">
        <v>0</v>
      </c>
      <c r="AF7009" t="n">
        <v>0</v>
      </c>
      <c r="AG7009" t="n">
        <v>0</v>
      </c>
      <c r="AH7009" t="n">
        <v>0</v>
      </c>
      <c r="AI7009" t="n">
        <v>0</v>
      </c>
    </row>
    <row r="7010">
      <c r="A7010" t="inlineStr">
        <is>
          <t>12월</t>
        </is>
      </c>
      <c r="B7010" t="inlineStr">
        <is>
          <t>52주차</t>
        </is>
      </c>
      <c r="C7010" t="e">
        <v>#N/A</v>
      </c>
      <c r="K7010" t="n">
        <v>0</v>
      </c>
      <c r="L7010" t="n">
        <v>0</v>
      </c>
      <c r="M7010" t="n">
        <v>0</v>
      </c>
      <c r="AC7010" t="n">
        <v>0</v>
      </c>
      <c r="AD7010" t="n">
        <v>0</v>
      </c>
      <c r="AE7010" t="n">
        <v>0</v>
      </c>
      <c r="AF7010" t="n">
        <v>0</v>
      </c>
      <c r="AG7010" t="n">
        <v>0</v>
      </c>
      <c r="AH7010" t="n">
        <v>0</v>
      </c>
    </row>
    <row r="7011">
      <c r="A7011" t="inlineStr">
        <is>
          <t>12월</t>
        </is>
      </c>
      <c r="B7011" t="inlineStr">
        <is>
          <t>52주차</t>
        </is>
      </c>
      <c r="C7011" t="e">
        <v>#N/A</v>
      </c>
      <c r="K7011" t="n">
        <v>0</v>
      </c>
      <c r="L7011" t="n">
        <v>0</v>
      </c>
      <c r="M7011" t="n">
        <v>0</v>
      </c>
      <c r="AC7011" t="n">
        <v>0</v>
      </c>
      <c r="AD7011" t="n">
        <v>0</v>
      </c>
      <c r="AE7011" t="n">
        <v>0</v>
      </c>
      <c r="AF7011" t="n">
        <v>0</v>
      </c>
      <c r="AG7011" t="n">
        <v>0</v>
      </c>
      <c r="AH7011" t="n">
        <v>0</v>
      </c>
    </row>
    <row r="7012">
      <c r="A7012" t="inlineStr">
        <is>
          <t>12월</t>
        </is>
      </c>
      <c r="B7012" t="inlineStr">
        <is>
          <t>52주차</t>
        </is>
      </c>
      <c r="C7012" t="e">
        <v>#N/A</v>
      </c>
      <c r="K7012" t="n">
        <v>0</v>
      </c>
      <c r="L7012" t="n">
        <v>0</v>
      </c>
      <c r="M7012" t="n">
        <v>0</v>
      </c>
      <c r="AC7012" t="n">
        <v>0</v>
      </c>
      <c r="AD7012" t="n">
        <v>0</v>
      </c>
      <c r="AE7012" t="n">
        <v>0</v>
      </c>
      <c r="AF7012" t="n">
        <v>0</v>
      </c>
      <c r="AG7012" t="n">
        <v>0</v>
      </c>
      <c r="AH7012" t="n">
        <v>0</v>
      </c>
      <c r="AI7012" t="n">
        <v>0</v>
      </c>
    </row>
    <row r="7013">
      <c r="A7013" t="inlineStr">
        <is>
          <t>12월</t>
        </is>
      </c>
      <c r="B7013" t="inlineStr">
        <is>
          <t>52주차</t>
        </is>
      </c>
      <c r="C7013" t="e">
        <v>#N/A</v>
      </c>
      <c r="K7013" t="n">
        <v>0</v>
      </c>
      <c r="L7013" t="n">
        <v>0</v>
      </c>
      <c r="M7013" t="n">
        <v>0</v>
      </c>
      <c r="AC7013" t="n">
        <v>0</v>
      </c>
      <c r="AD7013" t="n">
        <v>0</v>
      </c>
      <c r="AE7013" t="n">
        <v>0</v>
      </c>
      <c r="AF7013" t="n">
        <v>0</v>
      </c>
      <c r="AG7013" t="n">
        <v>0</v>
      </c>
      <c r="AH7013" t="n">
        <v>0</v>
      </c>
    </row>
    <row r="7014">
      <c r="A7014" t="inlineStr">
        <is>
          <t>12월</t>
        </is>
      </c>
      <c r="B7014" t="inlineStr">
        <is>
          <t>52주차</t>
        </is>
      </c>
      <c r="C7014" t="e">
        <v>#N/A</v>
      </c>
      <c r="K7014" t="n">
        <v>0</v>
      </c>
      <c r="L7014" t="n">
        <v>0</v>
      </c>
      <c r="M7014" t="n">
        <v>0</v>
      </c>
      <c r="AC7014" t="n">
        <v>0</v>
      </c>
      <c r="AD7014" t="n">
        <v>0</v>
      </c>
      <c r="AE7014" t="n">
        <v>0</v>
      </c>
      <c r="AF7014" t="n">
        <v>0</v>
      </c>
      <c r="AG7014" t="n">
        <v>0</v>
      </c>
      <c r="AH7014" t="n">
        <v>0</v>
      </c>
    </row>
    <row r="7015">
      <c r="A7015" t="inlineStr">
        <is>
          <t>12월</t>
        </is>
      </c>
      <c r="B7015" t="inlineStr">
        <is>
          <t>52주차</t>
        </is>
      </c>
      <c r="C7015" t="e">
        <v>#N/A</v>
      </c>
      <c r="K7015" t="n">
        <v>0</v>
      </c>
      <c r="L7015" t="n">
        <v>0</v>
      </c>
      <c r="M7015" t="n">
        <v>0</v>
      </c>
      <c r="AC7015" t="n">
        <v>0</v>
      </c>
      <c r="AD7015" t="n">
        <v>0</v>
      </c>
      <c r="AE7015" t="n">
        <v>0</v>
      </c>
      <c r="AF7015" t="n">
        <v>0</v>
      </c>
      <c r="AG7015" t="n">
        <v>0</v>
      </c>
      <c r="AH7015" t="n">
        <v>0</v>
      </c>
      <c r="AI7015" t="n">
        <v>0</v>
      </c>
    </row>
    <row r="7016">
      <c r="A7016" t="inlineStr">
        <is>
          <t>12월</t>
        </is>
      </c>
      <c r="B7016" t="inlineStr">
        <is>
          <t>52주차</t>
        </is>
      </c>
      <c r="C7016" t="e">
        <v>#N/A</v>
      </c>
      <c r="K7016" t="n">
        <v>0</v>
      </c>
      <c r="L7016" t="n">
        <v>0</v>
      </c>
      <c r="M7016" t="n">
        <v>0</v>
      </c>
      <c r="AC7016" t="n">
        <v>0</v>
      </c>
      <c r="AD7016" t="n">
        <v>0</v>
      </c>
      <c r="AE7016" t="n">
        <v>0</v>
      </c>
      <c r="AF7016" t="n">
        <v>0</v>
      </c>
      <c r="AG7016" t="n">
        <v>0</v>
      </c>
      <c r="AH7016" t="n">
        <v>0</v>
      </c>
      <c r="AI7016" t="n">
        <v>0</v>
      </c>
    </row>
    <row r="7017">
      <c r="A7017" t="inlineStr">
        <is>
          <t>12월</t>
        </is>
      </c>
      <c r="B7017" t="inlineStr">
        <is>
          <t>52주차</t>
        </is>
      </c>
      <c r="C7017" t="e">
        <v>#N/A</v>
      </c>
      <c r="K7017" t="n">
        <v>0</v>
      </c>
      <c r="L7017" t="n">
        <v>0</v>
      </c>
      <c r="M7017" t="n">
        <v>0</v>
      </c>
      <c r="AC7017" t="n">
        <v>0</v>
      </c>
      <c r="AD7017" t="n">
        <v>0</v>
      </c>
      <c r="AE7017" t="n">
        <v>0</v>
      </c>
      <c r="AF7017" t="n">
        <v>0</v>
      </c>
      <c r="AG7017" t="n">
        <v>0</v>
      </c>
      <c r="AH7017" t="n">
        <v>0</v>
      </c>
      <c r="AI7017" t="n">
        <v>0</v>
      </c>
    </row>
    <row r="7018">
      <c r="A7018" t="inlineStr">
        <is>
          <t>12월</t>
        </is>
      </c>
      <c r="B7018" t="inlineStr">
        <is>
          <t>52주차</t>
        </is>
      </c>
      <c r="C7018" t="e">
        <v>#N/A</v>
      </c>
      <c r="K7018" t="n">
        <v>0</v>
      </c>
      <c r="L7018" t="n">
        <v>0</v>
      </c>
      <c r="M7018" t="n">
        <v>0</v>
      </c>
      <c r="AC7018" t="n">
        <v>0</v>
      </c>
      <c r="AD7018" t="n">
        <v>0</v>
      </c>
      <c r="AE7018" t="n">
        <v>0</v>
      </c>
      <c r="AF7018" t="n">
        <v>0</v>
      </c>
      <c r="AG7018" t="n">
        <v>0</v>
      </c>
      <c r="AH7018" t="n">
        <v>0</v>
      </c>
      <c r="AI7018" t="n">
        <v>0</v>
      </c>
    </row>
    <row r="7019">
      <c r="A7019" t="inlineStr">
        <is>
          <t>12월</t>
        </is>
      </c>
      <c r="B7019" t="inlineStr">
        <is>
          <t>52주차</t>
        </is>
      </c>
      <c r="C7019" t="e">
        <v>#N/A</v>
      </c>
      <c r="K7019" t="n">
        <v>0</v>
      </c>
      <c r="L7019" t="n">
        <v>0</v>
      </c>
      <c r="M7019" t="n">
        <v>0</v>
      </c>
      <c r="AC7019" t="n">
        <v>0</v>
      </c>
      <c r="AD7019" t="n">
        <v>0</v>
      </c>
      <c r="AE7019" t="n">
        <v>0</v>
      </c>
      <c r="AF7019" t="n">
        <v>0</v>
      </c>
      <c r="AG7019" t="n">
        <v>0</v>
      </c>
      <c r="AH7019" t="n">
        <v>0</v>
      </c>
    </row>
    <row r="7020">
      <c r="A7020" t="inlineStr">
        <is>
          <t>12월</t>
        </is>
      </c>
      <c r="B7020" t="inlineStr">
        <is>
          <t>52주차</t>
        </is>
      </c>
      <c r="C7020" t="e">
        <v>#N/A</v>
      </c>
      <c r="K7020" t="n">
        <v>0</v>
      </c>
      <c r="L7020" t="n">
        <v>0</v>
      </c>
      <c r="M7020" t="n">
        <v>0</v>
      </c>
      <c r="AC7020" t="n">
        <v>0</v>
      </c>
      <c r="AD7020" t="n">
        <v>0</v>
      </c>
      <c r="AE7020" t="n">
        <v>0</v>
      </c>
      <c r="AF7020" t="n">
        <v>0</v>
      </c>
      <c r="AG7020" t="n">
        <v>0</v>
      </c>
      <c r="AH7020" t="n">
        <v>0</v>
      </c>
      <c r="AI7020" t="n">
        <v>0</v>
      </c>
    </row>
    <row r="7021">
      <c r="A7021" t="inlineStr">
        <is>
          <t>12월</t>
        </is>
      </c>
      <c r="B7021" t="inlineStr">
        <is>
          <t>52주차</t>
        </is>
      </c>
      <c r="C7021" t="e">
        <v>#N/A</v>
      </c>
      <c r="K7021" t="n">
        <v>0</v>
      </c>
      <c r="L7021" t="n">
        <v>0</v>
      </c>
      <c r="M7021" t="n">
        <v>0</v>
      </c>
      <c r="AC7021" t="n">
        <v>0</v>
      </c>
      <c r="AD7021" t="n">
        <v>0</v>
      </c>
      <c r="AE7021" t="n">
        <v>0</v>
      </c>
      <c r="AF7021" t="n">
        <v>0</v>
      </c>
      <c r="AG7021" t="n">
        <v>0</v>
      </c>
      <c r="AH7021" t="n">
        <v>0</v>
      </c>
      <c r="AI7021" t="n">
        <v>0</v>
      </c>
    </row>
    <row r="7022">
      <c r="A7022" t="inlineStr">
        <is>
          <t>12월</t>
        </is>
      </c>
      <c r="B7022" t="inlineStr">
        <is>
          <t>52주차</t>
        </is>
      </c>
      <c r="C7022" t="e">
        <v>#N/A</v>
      </c>
      <c r="K7022" t="n">
        <v>0</v>
      </c>
      <c r="L7022" t="n">
        <v>0</v>
      </c>
      <c r="M7022" t="n">
        <v>0</v>
      </c>
      <c r="AC7022" t="n">
        <v>0</v>
      </c>
      <c r="AD7022" t="n">
        <v>0</v>
      </c>
      <c r="AE7022" t="n">
        <v>0</v>
      </c>
      <c r="AF7022" t="n">
        <v>0</v>
      </c>
      <c r="AG7022" t="n">
        <v>0</v>
      </c>
      <c r="AH7022" t="n">
        <v>0</v>
      </c>
      <c r="AI7022" t="n">
        <v>0</v>
      </c>
    </row>
    <row r="7023">
      <c r="A7023" t="inlineStr">
        <is>
          <t>12월</t>
        </is>
      </c>
      <c r="B7023" t="inlineStr">
        <is>
          <t>52주차</t>
        </is>
      </c>
      <c r="C7023" t="e">
        <v>#N/A</v>
      </c>
      <c r="K7023" t="n">
        <v>0</v>
      </c>
      <c r="L7023" t="n">
        <v>0</v>
      </c>
      <c r="M7023" t="n">
        <v>0</v>
      </c>
      <c r="AC7023" t="n">
        <v>0</v>
      </c>
      <c r="AD7023" t="n">
        <v>0</v>
      </c>
      <c r="AE7023" t="n">
        <v>0</v>
      </c>
      <c r="AF7023" t="n">
        <v>0</v>
      </c>
      <c r="AG7023" t="n">
        <v>0</v>
      </c>
      <c r="AH7023" t="n">
        <v>0</v>
      </c>
    </row>
    <row r="7024">
      <c r="A7024" t="inlineStr">
        <is>
          <t>12월</t>
        </is>
      </c>
      <c r="B7024" t="inlineStr">
        <is>
          <t>52주차</t>
        </is>
      </c>
      <c r="C7024" t="e">
        <v>#N/A</v>
      </c>
      <c r="K7024" t="n">
        <v>0</v>
      </c>
      <c r="L7024" t="n">
        <v>0</v>
      </c>
      <c r="M7024" t="n">
        <v>0</v>
      </c>
      <c r="AC7024" t="n">
        <v>0</v>
      </c>
      <c r="AD7024" t="n">
        <v>0</v>
      </c>
      <c r="AE7024" t="n">
        <v>0</v>
      </c>
      <c r="AF7024" t="n">
        <v>0</v>
      </c>
      <c r="AG7024" t="n">
        <v>0</v>
      </c>
      <c r="AH7024" t="n">
        <v>0</v>
      </c>
    </row>
    <row r="7025">
      <c r="A7025" t="inlineStr">
        <is>
          <t>12월</t>
        </is>
      </c>
      <c r="B7025" t="inlineStr">
        <is>
          <t>52주차</t>
        </is>
      </c>
      <c r="C7025" t="e">
        <v>#N/A</v>
      </c>
      <c r="K7025" t="n">
        <v>0</v>
      </c>
      <c r="L7025" t="n">
        <v>0</v>
      </c>
      <c r="M7025" t="n">
        <v>0</v>
      </c>
      <c r="AC7025" t="n">
        <v>0</v>
      </c>
      <c r="AD7025" t="n">
        <v>0</v>
      </c>
      <c r="AE7025" t="n">
        <v>0</v>
      </c>
      <c r="AF7025" t="n">
        <v>0</v>
      </c>
      <c r="AG7025" t="n">
        <v>0</v>
      </c>
      <c r="AH7025" t="n">
        <v>0</v>
      </c>
      <c r="AI7025" t="n">
        <v>0</v>
      </c>
    </row>
    <row r="7026">
      <c r="A7026" t="inlineStr">
        <is>
          <t>12월</t>
        </is>
      </c>
      <c r="B7026" t="inlineStr">
        <is>
          <t>52주차</t>
        </is>
      </c>
      <c r="C7026" t="e">
        <v>#N/A</v>
      </c>
      <c r="K7026" t="n">
        <v>0</v>
      </c>
      <c r="L7026" t="n">
        <v>0</v>
      </c>
      <c r="M7026" t="n">
        <v>0</v>
      </c>
      <c r="AC7026" t="n">
        <v>0</v>
      </c>
      <c r="AD7026" t="n">
        <v>0</v>
      </c>
      <c r="AE7026" t="n">
        <v>0</v>
      </c>
      <c r="AF7026" t="n">
        <v>0</v>
      </c>
      <c r="AG7026" t="n">
        <v>0</v>
      </c>
      <c r="AH7026" t="n">
        <v>0</v>
      </c>
      <c r="AI7026" t="n">
        <v>0</v>
      </c>
    </row>
    <row r="7027">
      <c r="A7027" t="inlineStr">
        <is>
          <t>12월</t>
        </is>
      </c>
      <c r="B7027" t="inlineStr">
        <is>
          <t>52주차</t>
        </is>
      </c>
      <c r="C7027" t="e">
        <v>#N/A</v>
      </c>
      <c r="K7027" t="n">
        <v>0</v>
      </c>
      <c r="L7027" t="n">
        <v>0</v>
      </c>
      <c r="M7027" t="n">
        <v>0</v>
      </c>
      <c r="AC7027" t="n">
        <v>0</v>
      </c>
      <c r="AD7027" t="n">
        <v>0</v>
      </c>
      <c r="AE7027" t="n">
        <v>0</v>
      </c>
      <c r="AF7027" t="n">
        <v>0</v>
      </c>
      <c r="AG7027" t="n">
        <v>0</v>
      </c>
      <c r="AH7027" t="n">
        <v>0</v>
      </c>
      <c r="AI7027" t="n">
        <v>0</v>
      </c>
    </row>
    <row r="7028">
      <c r="A7028" t="inlineStr">
        <is>
          <t>12월</t>
        </is>
      </c>
      <c r="B7028" t="inlineStr">
        <is>
          <t>52주차</t>
        </is>
      </c>
      <c r="C7028" t="e">
        <v>#N/A</v>
      </c>
      <c r="K7028" t="n">
        <v>0</v>
      </c>
      <c r="L7028" t="n">
        <v>0</v>
      </c>
      <c r="M7028" t="n">
        <v>0</v>
      </c>
      <c r="AC7028" t="n">
        <v>0</v>
      </c>
      <c r="AD7028" t="n">
        <v>0</v>
      </c>
      <c r="AE7028" t="n">
        <v>0</v>
      </c>
      <c r="AF7028" t="n">
        <v>0</v>
      </c>
      <c r="AG7028" t="n">
        <v>0</v>
      </c>
      <c r="AH7028" t="n">
        <v>0</v>
      </c>
      <c r="AI7028" t="n">
        <v>0</v>
      </c>
    </row>
    <row r="7029">
      <c r="A7029" t="inlineStr">
        <is>
          <t>12월</t>
        </is>
      </c>
      <c r="B7029" t="inlineStr">
        <is>
          <t>52주차</t>
        </is>
      </c>
      <c r="C7029" t="e">
        <v>#N/A</v>
      </c>
      <c r="K7029" t="n">
        <v>0</v>
      </c>
      <c r="L7029" t="n">
        <v>0</v>
      </c>
      <c r="M7029" t="n">
        <v>0</v>
      </c>
      <c r="AC7029" t="n">
        <v>0</v>
      </c>
      <c r="AD7029" t="n">
        <v>0</v>
      </c>
      <c r="AE7029" t="n">
        <v>0</v>
      </c>
      <c r="AF7029" t="n">
        <v>0</v>
      </c>
      <c r="AG7029" t="n">
        <v>0</v>
      </c>
      <c r="AH7029" t="n">
        <v>0</v>
      </c>
    </row>
    <row r="7030">
      <c r="A7030" t="inlineStr">
        <is>
          <t>12월</t>
        </is>
      </c>
      <c r="B7030" t="inlineStr">
        <is>
          <t>52주차</t>
        </is>
      </c>
      <c r="C7030" t="e">
        <v>#N/A</v>
      </c>
      <c r="K7030" t="n">
        <v>0</v>
      </c>
      <c r="L7030" t="n">
        <v>0</v>
      </c>
      <c r="M7030" t="n">
        <v>0</v>
      </c>
      <c r="AC7030" t="n">
        <v>0</v>
      </c>
      <c r="AD7030" t="n">
        <v>0</v>
      </c>
      <c r="AE7030" t="n">
        <v>0</v>
      </c>
      <c r="AF7030" t="n">
        <v>0</v>
      </c>
      <c r="AG7030" t="n">
        <v>0</v>
      </c>
      <c r="AH7030" t="n">
        <v>0</v>
      </c>
    </row>
    <row r="7031">
      <c r="A7031" t="inlineStr">
        <is>
          <t>12월</t>
        </is>
      </c>
      <c r="B7031" t="inlineStr">
        <is>
          <t>52주차</t>
        </is>
      </c>
      <c r="C7031" t="e">
        <v>#N/A</v>
      </c>
      <c r="K7031" t="n">
        <v>0</v>
      </c>
      <c r="L7031" t="n">
        <v>0</v>
      </c>
      <c r="M7031" t="n">
        <v>0</v>
      </c>
      <c r="AC7031" t="n">
        <v>0</v>
      </c>
      <c r="AD7031" t="n">
        <v>0</v>
      </c>
      <c r="AE7031" t="n">
        <v>0</v>
      </c>
      <c r="AF7031" t="n">
        <v>0</v>
      </c>
      <c r="AG7031" t="n">
        <v>0</v>
      </c>
      <c r="AH7031" t="n">
        <v>0</v>
      </c>
    </row>
    <row r="7032">
      <c r="A7032" t="inlineStr">
        <is>
          <t>12월</t>
        </is>
      </c>
      <c r="B7032" t="inlineStr">
        <is>
          <t>52주차</t>
        </is>
      </c>
      <c r="C7032" t="e">
        <v>#N/A</v>
      </c>
      <c r="K7032" t="n">
        <v>0</v>
      </c>
      <c r="L7032" t="n">
        <v>0</v>
      </c>
      <c r="M7032" t="n">
        <v>0</v>
      </c>
      <c r="AC7032" t="n">
        <v>0</v>
      </c>
      <c r="AD7032" t="n">
        <v>0</v>
      </c>
      <c r="AE7032" t="n">
        <v>0</v>
      </c>
      <c r="AF7032" t="n">
        <v>0</v>
      </c>
      <c r="AG7032" t="n">
        <v>0</v>
      </c>
      <c r="AH7032" t="n">
        <v>0</v>
      </c>
    </row>
    <row r="7033">
      <c r="A7033" t="inlineStr">
        <is>
          <t>12월</t>
        </is>
      </c>
      <c r="B7033" t="inlineStr">
        <is>
          <t>52주차</t>
        </is>
      </c>
      <c r="C7033" t="e">
        <v>#N/A</v>
      </c>
      <c r="K7033" t="n">
        <v>0</v>
      </c>
      <c r="L7033" t="n">
        <v>0</v>
      </c>
      <c r="M7033" t="n">
        <v>0</v>
      </c>
      <c r="AC7033" t="n">
        <v>0</v>
      </c>
      <c r="AD7033" t="n">
        <v>0</v>
      </c>
      <c r="AE7033" t="n">
        <v>0</v>
      </c>
      <c r="AF7033" t="n">
        <v>0</v>
      </c>
      <c r="AG7033" t="n">
        <v>0</v>
      </c>
      <c r="AH7033" t="n">
        <v>0</v>
      </c>
      <c r="AI7033" t="n">
        <v>0</v>
      </c>
    </row>
    <row r="7034">
      <c r="A7034" t="inlineStr">
        <is>
          <t>12월</t>
        </is>
      </c>
      <c r="B7034" t="inlineStr">
        <is>
          <t>52주차</t>
        </is>
      </c>
      <c r="C7034" t="e">
        <v>#N/A</v>
      </c>
      <c r="K7034" t="n">
        <v>0</v>
      </c>
      <c r="L7034" t="n">
        <v>0</v>
      </c>
      <c r="M7034" t="n">
        <v>0</v>
      </c>
      <c r="AC7034" t="n">
        <v>0</v>
      </c>
      <c r="AD7034" t="n">
        <v>0</v>
      </c>
      <c r="AE7034" t="n">
        <v>0</v>
      </c>
      <c r="AF7034" t="n">
        <v>0</v>
      </c>
      <c r="AG7034" t="n">
        <v>0</v>
      </c>
      <c r="AH7034" t="n">
        <v>0</v>
      </c>
      <c r="AI7034" t="n">
        <v>0</v>
      </c>
    </row>
    <row r="7035">
      <c r="A7035" t="inlineStr">
        <is>
          <t>12월</t>
        </is>
      </c>
      <c r="B7035" t="inlineStr">
        <is>
          <t>52주차</t>
        </is>
      </c>
      <c r="C7035" t="e">
        <v>#N/A</v>
      </c>
      <c r="K7035" t="n">
        <v>0</v>
      </c>
      <c r="L7035" t="n">
        <v>0</v>
      </c>
      <c r="M7035" t="n">
        <v>0</v>
      </c>
      <c r="AC7035" t="n">
        <v>0</v>
      </c>
      <c r="AD7035" t="n">
        <v>0</v>
      </c>
      <c r="AE7035" t="n">
        <v>0</v>
      </c>
      <c r="AF7035" t="n">
        <v>0</v>
      </c>
      <c r="AG7035" t="n">
        <v>0</v>
      </c>
      <c r="AH7035" t="n">
        <v>0</v>
      </c>
    </row>
    <row r="7036">
      <c r="A7036" t="inlineStr">
        <is>
          <t>12월</t>
        </is>
      </c>
      <c r="B7036" t="inlineStr">
        <is>
          <t>52주차</t>
        </is>
      </c>
      <c r="C7036" t="e">
        <v>#N/A</v>
      </c>
      <c r="K7036" t="n">
        <v>0</v>
      </c>
      <c r="L7036" t="n">
        <v>0</v>
      </c>
      <c r="M7036" t="n">
        <v>0</v>
      </c>
      <c r="AC7036" t="n">
        <v>0</v>
      </c>
      <c r="AD7036" t="n">
        <v>0</v>
      </c>
      <c r="AE7036" t="n">
        <v>0</v>
      </c>
      <c r="AF7036" t="n">
        <v>0</v>
      </c>
      <c r="AG7036" t="n">
        <v>0</v>
      </c>
      <c r="AH7036" t="n">
        <v>0</v>
      </c>
    </row>
    <row r="7037">
      <c r="A7037" t="inlineStr">
        <is>
          <t>12월</t>
        </is>
      </c>
      <c r="B7037" t="inlineStr">
        <is>
          <t>52주차</t>
        </is>
      </c>
      <c r="C7037" t="e">
        <v>#N/A</v>
      </c>
      <c r="K7037" t="n">
        <v>0</v>
      </c>
      <c r="L7037" t="n">
        <v>0</v>
      </c>
      <c r="M7037" t="n">
        <v>0</v>
      </c>
      <c r="AC7037" t="n">
        <v>0</v>
      </c>
      <c r="AD7037" t="n">
        <v>0</v>
      </c>
      <c r="AE7037" t="n">
        <v>0</v>
      </c>
      <c r="AF7037" t="n">
        <v>0</v>
      </c>
      <c r="AG7037" t="n">
        <v>0</v>
      </c>
      <c r="AH7037" t="n">
        <v>0</v>
      </c>
      <c r="AI7037" t="n">
        <v>0</v>
      </c>
    </row>
    <row r="7038">
      <c r="A7038" t="inlineStr">
        <is>
          <t>12월</t>
        </is>
      </c>
      <c r="B7038" t="inlineStr">
        <is>
          <t>52주차</t>
        </is>
      </c>
      <c r="C7038" t="e">
        <v>#N/A</v>
      </c>
      <c r="K7038" t="n">
        <v>0</v>
      </c>
      <c r="L7038" t="n">
        <v>0</v>
      </c>
      <c r="M7038" t="n">
        <v>0</v>
      </c>
      <c r="AC7038" t="n">
        <v>0</v>
      </c>
      <c r="AD7038" t="n">
        <v>0</v>
      </c>
      <c r="AE7038" t="n">
        <v>0</v>
      </c>
      <c r="AF7038" t="n">
        <v>0</v>
      </c>
      <c r="AG7038" t="n">
        <v>0</v>
      </c>
      <c r="AH7038" t="n">
        <v>0</v>
      </c>
    </row>
    <row r="7039">
      <c r="A7039" t="inlineStr">
        <is>
          <t>12월</t>
        </is>
      </c>
      <c r="B7039" t="inlineStr">
        <is>
          <t>52주차</t>
        </is>
      </c>
      <c r="C7039" t="e">
        <v>#N/A</v>
      </c>
      <c r="K7039" t="n">
        <v>0</v>
      </c>
      <c r="L7039" t="n">
        <v>0</v>
      </c>
      <c r="M7039" t="n">
        <v>0</v>
      </c>
      <c r="AC7039" t="n">
        <v>0</v>
      </c>
      <c r="AD7039" t="n">
        <v>0</v>
      </c>
      <c r="AE7039" t="n">
        <v>0</v>
      </c>
      <c r="AF7039" t="n">
        <v>0</v>
      </c>
      <c r="AG7039" t="n">
        <v>0</v>
      </c>
      <c r="AH7039" t="n">
        <v>0</v>
      </c>
    </row>
    <row r="7040">
      <c r="A7040" t="inlineStr">
        <is>
          <t>12월</t>
        </is>
      </c>
      <c r="B7040" t="inlineStr">
        <is>
          <t>52주차</t>
        </is>
      </c>
      <c r="C7040" t="e">
        <v>#N/A</v>
      </c>
      <c r="K7040" t="n">
        <v>0</v>
      </c>
      <c r="L7040" t="n">
        <v>0</v>
      </c>
      <c r="M7040" t="n">
        <v>0</v>
      </c>
      <c r="AC7040" t="n">
        <v>0</v>
      </c>
      <c r="AD7040" t="n">
        <v>0</v>
      </c>
      <c r="AE7040" t="n">
        <v>0</v>
      </c>
      <c r="AF7040" t="n">
        <v>0</v>
      </c>
      <c r="AG7040" t="n">
        <v>0</v>
      </c>
      <c r="AH7040" t="n">
        <v>0</v>
      </c>
    </row>
    <row r="7041">
      <c r="A7041" t="inlineStr">
        <is>
          <t>12월</t>
        </is>
      </c>
      <c r="B7041" t="inlineStr">
        <is>
          <t>52주차</t>
        </is>
      </c>
      <c r="C7041" t="e">
        <v>#N/A</v>
      </c>
      <c r="K7041" t="n">
        <v>0</v>
      </c>
      <c r="L7041" t="n">
        <v>0</v>
      </c>
      <c r="M7041" t="n">
        <v>0</v>
      </c>
      <c r="AC7041" t="n">
        <v>0</v>
      </c>
      <c r="AD7041" t="n">
        <v>0</v>
      </c>
      <c r="AE7041" t="n">
        <v>0</v>
      </c>
      <c r="AF7041" t="n">
        <v>0</v>
      </c>
      <c r="AG7041" t="n">
        <v>0</v>
      </c>
      <c r="AH7041" t="n">
        <v>0</v>
      </c>
    </row>
    <row r="7042">
      <c r="A7042" t="inlineStr">
        <is>
          <t>12월</t>
        </is>
      </c>
      <c r="B7042" t="inlineStr">
        <is>
          <t>52주차</t>
        </is>
      </c>
      <c r="C7042" t="e">
        <v>#N/A</v>
      </c>
      <c r="K7042" t="n">
        <v>0</v>
      </c>
      <c r="L7042" t="n">
        <v>0</v>
      </c>
      <c r="M7042" t="n">
        <v>0</v>
      </c>
      <c r="AC7042" t="n">
        <v>0</v>
      </c>
      <c r="AD7042" t="n">
        <v>0</v>
      </c>
      <c r="AE7042" t="n">
        <v>0</v>
      </c>
      <c r="AF7042" t="n">
        <v>0</v>
      </c>
      <c r="AG7042" t="n">
        <v>0</v>
      </c>
      <c r="AH7042" t="n">
        <v>0</v>
      </c>
    </row>
    <row r="7043">
      <c r="A7043" t="inlineStr">
        <is>
          <t>12월</t>
        </is>
      </c>
      <c r="B7043" t="inlineStr">
        <is>
          <t>52주차</t>
        </is>
      </c>
      <c r="C7043" t="e">
        <v>#N/A</v>
      </c>
      <c r="K7043" t="n">
        <v>0</v>
      </c>
      <c r="L7043" t="n">
        <v>0</v>
      </c>
      <c r="M7043" t="n">
        <v>0</v>
      </c>
      <c r="AC7043" t="n">
        <v>0</v>
      </c>
      <c r="AD7043" t="n">
        <v>0</v>
      </c>
      <c r="AE7043" t="n">
        <v>0</v>
      </c>
      <c r="AF7043" t="n">
        <v>0</v>
      </c>
      <c r="AG7043" t="n">
        <v>0</v>
      </c>
      <c r="AH7043" t="n">
        <v>0</v>
      </c>
      <c r="AI7043" t="n">
        <v>0</v>
      </c>
    </row>
    <row r="7044">
      <c r="A7044" t="inlineStr">
        <is>
          <t>12월</t>
        </is>
      </c>
      <c r="B7044" t="inlineStr">
        <is>
          <t>52주차</t>
        </is>
      </c>
      <c r="C7044" t="e">
        <v>#N/A</v>
      </c>
      <c r="K7044" t="n">
        <v>0</v>
      </c>
      <c r="L7044" t="n">
        <v>0</v>
      </c>
      <c r="M7044" t="n">
        <v>0</v>
      </c>
      <c r="AC7044" t="n">
        <v>0</v>
      </c>
      <c r="AD7044" t="n">
        <v>0</v>
      </c>
      <c r="AE7044" t="n">
        <v>0</v>
      </c>
      <c r="AF7044" t="n">
        <v>0</v>
      </c>
      <c r="AG7044" t="n">
        <v>0</v>
      </c>
      <c r="AH7044" t="n">
        <v>0</v>
      </c>
      <c r="AI7044" t="n">
        <v>0</v>
      </c>
    </row>
    <row r="7045">
      <c r="A7045" t="inlineStr">
        <is>
          <t>12월</t>
        </is>
      </c>
      <c r="B7045" t="inlineStr">
        <is>
          <t>52주차</t>
        </is>
      </c>
      <c r="C7045" t="e">
        <v>#N/A</v>
      </c>
      <c r="K7045" t="n">
        <v>0</v>
      </c>
      <c r="L7045" t="n">
        <v>0</v>
      </c>
      <c r="M7045" t="n">
        <v>0</v>
      </c>
      <c r="AC7045" t="n">
        <v>0</v>
      </c>
      <c r="AD7045" t="n">
        <v>0</v>
      </c>
      <c r="AE7045" t="n">
        <v>0</v>
      </c>
      <c r="AF7045" t="n">
        <v>0</v>
      </c>
      <c r="AG7045" t="n">
        <v>0</v>
      </c>
      <c r="AH7045" t="n">
        <v>0</v>
      </c>
      <c r="AI7045" t="n">
        <v>0</v>
      </c>
    </row>
    <row r="7046">
      <c r="A7046" t="inlineStr">
        <is>
          <t>12월</t>
        </is>
      </c>
      <c r="B7046" t="inlineStr">
        <is>
          <t>52주차</t>
        </is>
      </c>
      <c r="C7046" t="e">
        <v>#N/A</v>
      </c>
      <c r="K7046" t="n">
        <v>0</v>
      </c>
      <c r="L7046" t="n">
        <v>0</v>
      </c>
      <c r="M7046" t="n">
        <v>0</v>
      </c>
      <c r="AC7046" t="n">
        <v>0</v>
      </c>
      <c r="AD7046" t="n">
        <v>0</v>
      </c>
      <c r="AE7046" t="n">
        <v>0</v>
      </c>
      <c r="AF7046" t="n">
        <v>0</v>
      </c>
      <c r="AG7046" t="n">
        <v>0</v>
      </c>
      <c r="AH7046" t="n">
        <v>0</v>
      </c>
      <c r="AI7046" t="n">
        <v>0</v>
      </c>
    </row>
    <row r="7047">
      <c r="A7047" t="inlineStr">
        <is>
          <t>12월</t>
        </is>
      </c>
      <c r="B7047" t="inlineStr">
        <is>
          <t>52주차</t>
        </is>
      </c>
      <c r="C7047" t="e">
        <v>#N/A</v>
      </c>
      <c r="K7047" t="n">
        <v>0</v>
      </c>
      <c r="L7047" t="n">
        <v>0</v>
      </c>
      <c r="M7047" t="n">
        <v>0</v>
      </c>
      <c r="AC7047" t="n">
        <v>0</v>
      </c>
      <c r="AD7047" t="n">
        <v>0</v>
      </c>
      <c r="AE7047" t="n">
        <v>0</v>
      </c>
      <c r="AF7047" t="n">
        <v>0</v>
      </c>
      <c r="AG7047" t="n">
        <v>0</v>
      </c>
      <c r="AH7047" t="n">
        <v>0</v>
      </c>
      <c r="AI7047" t="n">
        <v>0</v>
      </c>
    </row>
    <row r="7048">
      <c r="A7048" t="inlineStr">
        <is>
          <t>12월</t>
        </is>
      </c>
      <c r="B7048" t="inlineStr">
        <is>
          <t>52주차</t>
        </is>
      </c>
      <c r="C7048" t="e">
        <v>#N/A</v>
      </c>
      <c r="K7048" t="n">
        <v>0</v>
      </c>
      <c r="L7048" t="n">
        <v>0</v>
      </c>
      <c r="M7048" t="n">
        <v>0</v>
      </c>
      <c r="AC7048" t="n">
        <v>0</v>
      </c>
      <c r="AD7048" t="n">
        <v>0</v>
      </c>
      <c r="AE7048" t="n">
        <v>0</v>
      </c>
      <c r="AF7048" t="n">
        <v>0</v>
      </c>
      <c r="AG7048" t="n">
        <v>0</v>
      </c>
      <c r="AH7048" t="n">
        <v>0</v>
      </c>
      <c r="AI7048" t="n">
        <v>0</v>
      </c>
    </row>
    <row r="7049">
      <c r="A7049" t="inlineStr">
        <is>
          <t>12월</t>
        </is>
      </c>
      <c r="B7049" t="inlineStr">
        <is>
          <t>52주차</t>
        </is>
      </c>
      <c r="C7049" t="e">
        <v>#N/A</v>
      </c>
      <c r="K7049" t="n">
        <v>0</v>
      </c>
      <c r="L7049" t="n">
        <v>0</v>
      </c>
      <c r="M7049" t="n">
        <v>0</v>
      </c>
      <c r="AC7049" t="n">
        <v>0</v>
      </c>
      <c r="AD7049" t="n">
        <v>0</v>
      </c>
      <c r="AE7049" t="n">
        <v>0</v>
      </c>
      <c r="AF7049" t="n">
        <v>0</v>
      </c>
      <c r="AG7049" t="n">
        <v>0</v>
      </c>
      <c r="AH7049" t="n">
        <v>0</v>
      </c>
      <c r="AI7049" t="n">
        <v>0</v>
      </c>
    </row>
    <row r="7050">
      <c r="A7050" t="inlineStr">
        <is>
          <t>12월</t>
        </is>
      </c>
      <c r="B7050" t="inlineStr">
        <is>
          <t>52주차</t>
        </is>
      </c>
      <c r="C7050" t="e">
        <v>#N/A</v>
      </c>
      <c r="K7050" t="n">
        <v>0</v>
      </c>
      <c r="L7050" t="n">
        <v>0</v>
      </c>
      <c r="M7050" t="n">
        <v>0</v>
      </c>
      <c r="AC7050" t="n">
        <v>0</v>
      </c>
      <c r="AD7050" t="n">
        <v>0</v>
      </c>
      <c r="AE7050" t="n">
        <v>0</v>
      </c>
      <c r="AF7050" t="n">
        <v>0</v>
      </c>
      <c r="AG7050" t="n">
        <v>0</v>
      </c>
      <c r="AH7050" t="n">
        <v>0</v>
      </c>
      <c r="AI7050" t="n">
        <v>0</v>
      </c>
    </row>
    <row r="7051">
      <c r="A7051" t="inlineStr">
        <is>
          <t>12월</t>
        </is>
      </c>
      <c r="B7051" t="inlineStr">
        <is>
          <t>52주차</t>
        </is>
      </c>
      <c r="C7051" t="e">
        <v>#N/A</v>
      </c>
      <c r="K7051" t="n">
        <v>0</v>
      </c>
      <c r="L7051" t="n">
        <v>0</v>
      </c>
      <c r="M7051" t="n">
        <v>0</v>
      </c>
      <c r="AC7051" t="n">
        <v>0</v>
      </c>
      <c r="AD7051" t="n">
        <v>0</v>
      </c>
      <c r="AE7051" t="n">
        <v>0</v>
      </c>
      <c r="AF7051" t="n">
        <v>0</v>
      </c>
      <c r="AG7051" t="n">
        <v>0</v>
      </c>
      <c r="AH7051" t="n">
        <v>0</v>
      </c>
      <c r="AI7051" t="n">
        <v>0</v>
      </c>
    </row>
    <row r="7052">
      <c r="A7052" t="inlineStr">
        <is>
          <t>12월</t>
        </is>
      </c>
      <c r="B7052" t="inlineStr">
        <is>
          <t>52주차</t>
        </is>
      </c>
      <c r="C7052" t="e">
        <v>#N/A</v>
      </c>
      <c r="K7052" t="n">
        <v>0</v>
      </c>
      <c r="L7052" t="n">
        <v>0</v>
      </c>
      <c r="M7052" t="n">
        <v>0</v>
      </c>
      <c r="AC7052" t="n">
        <v>0</v>
      </c>
      <c r="AD7052" t="n">
        <v>0</v>
      </c>
      <c r="AE7052" t="n">
        <v>0</v>
      </c>
      <c r="AF7052" t="n">
        <v>0</v>
      </c>
      <c r="AG7052" t="n">
        <v>0</v>
      </c>
      <c r="AH7052" t="n">
        <v>0</v>
      </c>
      <c r="AI7052" t="n">
        <v>0</v>
      </c>
    </row>
    <row r="7053">
      <c r="A7053" t="inlineStr">
        <is>
          <t>12월</t>
        </is>
      </c>
      <c r="B7053" t="inlineStr">
        <is>
          <t>52주차</t>
        </is>
      </c>
      <c r="C7053" t="e">
        <v>#N/A</v>
      </c>
      <c r="K7053" t="n">
        <v>0</v>
      </c>
      <c r="L7053" t="n">
        <v>0</v>
      </c>
      <c r="M7053" t="n">
        <v>0</v>
      </c>
      <c r="AC7053" t="n">
        <v>0</v>
      </c>
      <c r="AD7053" t="n">
        <v>0</v>
      </c>
      <c r="AE7053" t="n">
        <v>0</v>
      </c>
      <c r="AF7053" t="n">
        <v>0</v>
      </c>
      <c r="AG7053" t="n">
        <v>0</v>
      </c>
      <c r="AH7053" t="n">
        <v>0</v>
      </c>
      <c r="AI7053" t="n">
        <v>0</v>
      </c>
    </row>
    <row r="7054">
      <c r="A7054" t="inlineStr">
        <is>
          <t>12월</t>
        </is>
      </c>
      <c r="B7054" t="inlineStr">
        <is>
          <t>52주차</t>
        </is>
      </c>
      <c r="C7054" t="e">
        <v>#N/A</v>
      </c>
      <c r="K7054" t="n">
        <v>0</v>
      </c>
      <c r="L7054" t="n">
        <v>0</v>
      </c>
      <c r="M7054" t="n">
        <v>0</v>
      </c>
      <c r="AC7054" t="n">
        <v>0</v>
      </c>
      <c r="AD7054" t="n">
        <v>0</v>
      </c>
      <c r="AE7054" t="n">
        <v>0</v>
      </c>
      <c r="AF7054" t="n">
        <v>0</v>
      </c>
      <c r="AG7054" t="n">
        <v>0</v>
      </c>
      <c r="AH7054" t="n">
        <v>0</v>
      </c>
      <c r="AI7054" t="n">
        <v>0</v>
      </c>
    </row>
    <row r="7055">
      <c r="A7055" t="inlineStr">
        <is>
          <t>12월</t>
        </is>
      </c>
      <c r="B7055" t="inlineStr">
        <is>
          <t>52주차</t>
        </is>
      </c>
      <c r="C7055" t="e">
        <v>#N/A</v>
      </c>
      <c r="K7055" t="n">
        <v>0</v>
      </c>
      <c r="L7055" t="n">
        <v>0</v>
      </c>
      <c r="M7055" t="n">
        <v>0</v>
      </c>
      <c r="AC7055" t="n">
        <v>0</v>
      </c>
      <c r="AD7055" t="n">
        <v>0</v>
      </c>
      <c r="AE7055" t="n">
        <v>0</v>
      </c>
      <c r="AF7055" t="n">
        <v>0</v>
      </c>
      <c r="AG7055" t="n">
        <v>0</v>
      </c>
      <c r="AH7055" t="n">
        <v>0</v>
      </c>
      <c r="AI7055" t="n">
        <v>0</v>
      </c>
    </row>
    <row r="7056">
      <c r="A7056" t="inlineStr">
        <is>
          <t>12월</t>
        </is>
      </c>
      <c r="B7056" t="inlineStr">
        <is>
          <t>52주차</t>
        </is>
      </c>
      <c r="C7056" t="e">
        <v>#N/A</v>
      </c>
      <c r="K7056" t="n">
        <v>0</v>
      </c>
      <c r="L7056" t="n">
        <v>0</v>
      </c>
      <c r="M7056" t="n">
        <v>0</v>
      </c>
      <c r="AC7056" t="n">
        <v>0</v>
      </c>
      <c r="AD7056" t="n">
        <v>0</v>
      </c>
      <c r="AE7056" t="n">
        <v>0</v>
      </c>
      <c r="AF7056" t="n">
        <v>0</v>
      </c>
      <c r="AG7056" t="n">
        <v>0</v>
      </c>
      <c r="AH7056" t="n">
        <v>0</v>
      </c>
      <c r="AI7056" t="n">
        <v>0</v>
      </c>
    </row>
    <row r="7057">
      <c r="A7057" t="inlineStr">
        <is>
          <t>12월</t>
        </is>
      </c>
      <c r="B7057" t="inlineStr">
        <is>
          <t>52주차</t>
        </is>
      </c>
      <c r="C7057" t="e">
        <v>#N/A</v>
      </c>
      <c r="K7057" t="n">
        <v>0</v>
      </c>
      <c r="L7057" t="n">
        <v>0</v>
      </c>
      <c r="M7057" t="n">
        <v>0</v>
      </c>
      <c r="AC7057" t="n">
        <v>0</v>
      </c>
      <c r="AD7057" t="n">
        <v>0</v>
      </c>
      <c r="AE7057" t="n">
        <v>0</v>
      </c>
      <c r="AF7057" t="n">
        <v>0</v>
      </c>
      <c r="AG7057" t="n">
        <v>0</v>
      </c>
      <c r="AH7057" t="n">
        <v>0</v>
      </c>
      <c r="AI7057" t="n">
        <v>0</v>
      </c>
    </row>
    <row r="7058">
      <c r="A7058" t="inlineStr">
        <is>
          <t>12월</t>
        </is>
      </c>
      <c r="B7058" t="inlineStr">
        <is>
          <t>52주차</t>
        </is>
      </c>
      <c r="C7058" t="e">
        <v>#N/A</v>
      </c>
      <c r="K7058" t="n">
        <v>0</v>
      </c>
      <c r="L7058" t="n">
        <v>0</v>
      </c>
      <c r="M7058" t="n">
        <v>0</v>
      </c>
      <c r="AC7058" t="n">
        <v>0</v>
      </c>
      <c r="AD7058" t="n">
        <v>0</v>
      </c>
      <c r="AE7058" t="n">
        <v>0</v>
      </c>
      <c r="AF7058" t="n">
        <v>0</v>
      </c>
      <c r="AG7058" t="n">
        <v>0</v>
      </c>
      <c r="AH7058" t="n">
        <v>0</v>
      </c>
      <c r="AI7058" t="n">
        <v>0</v>
      </c>
    </row>
    <row r="7059">
      <c r="A7059" t="inlineStr">
        <is>
          <t>12월</t>
        </is>
      </c>
      <c r="B7059" t="inlineStr">
        <is>
          <t>52주차</t>
        </is>
      </c>
      <c r="C7059" t="e">
        <v>#N/A</v>
      </c>
      <c r="K7059" t="n">
        <v>0</v>
      </c>
      <c r="L7059" t="n">
        <v>0</v>
      </c>
      <c r="M7059" t="n">
        <v>0</v>
      </c>
      <c r="AC7059" t="n">
        <v>0</v>
      </c>
      <c r="AD7059" t="n">
        <v>0</v>
      </c>
      <c r="AE7059" t="n">
        <v>0</v>
      </c>
      <c r="AF7059" t="n">
        <v>0</v>
      </c>
      <c r="AG7059" t="n">
        <v>0</v>
      </c>
      <c r="AH7059" t="n">
        <v>0</v>
      </c>
      <c r="AI7059" t="n">
        <v>0</v>
      </c>
    </row>
    <row r="7060">
      <c r="A7060" t="inlineStr">
        <is>
          <t>12월</t>
        </is>
      </c>
      <c r="B7060" t="inlineStr">
        <is>
          <t>52주차</t>
        </is>
      </c>
      <c r="C7060" t="e">
        <v>#N/A</v>
      </c>
      <c r="K7060" t="n">
        <v>0</v>
      </c>
      <c r="L7060" t="n">
        <v>0</v>
      </c>
      <c r="M7060" t="n">
        <v>0</v>
      </c>
      <c r="AC7060" t="n">
        <v>0</v>
      </c>
      <c r="AD7060" t="n">
        <v>0</v>
      </c>
      <c r="AE7060" t="n">
        <v>0</v>
      </c>
      <c r="AF7060" t="n">
        <v>0</v>
      </c>
      <c r="AG7060" t="n">
        <v>0</v>
      </c>
      <c r="AH7060" t="n">
        <v>0</v>
      </c>
    </row>
    <row r="7061">
      <c r="A7061" t="inlineStr">
        <is>
          <t>12월</t>
        </is>
      </c>
      <c r="B7061" t="inlineStr">
        <is>
          <t>52주차</t>
        </is>
      </c>
      <c r="C7061" t="e">
        <v>#N/A</v>
      </c>
      <c r="K7061" t="n">
        <v>0</v>
      </c>
      <c r="L7061" t="n">
        <v>0</v>
      </c>
      <c r="M7061" t="n">
        <v>0</v>
      </c>
      <c r="AC7061" t="n">
        <v>0</v>
      </c>
      <c r="AD7061" t="n">
        <v>0</v>
      </c>
      <c r="AE7061" t="n">
        <v>0</v>
      </c>
      <c r="AF7061" t="n">
        <v>0</v>
      </c>
      <c r="AG7061" t="n">
        <v>0</v>
      </c>
      <c r="AH7061" t="n">
        <v>0</v>
      </c>
      <c r="AI7061" t="n">
        <v>0</v>
      </c>
    </row>
    <row r="7062">
      <c r="A7062" t="inlineStr">
        <is>
          <t>12월</t>
        </is>
      </c>
      <c r="B7062" t="inlineStr">
        <is>
          <t>52주차</t>
        </is>
      </c>
      <c r="C7062" t="e">
        <v>#N/A</v>
      </c>
      <c r="K7062" t="n">
        <v>0</v>
      </c>
      <c r="L7062" t="n">
        <v>0</v>
      </c>
      <c r="M7062" t="n">
        <v>0</v>
      </c>
      <c r="AC7062" t="n">
        <v>0</v>
      </c>
      <c r="AD7062" t="n">
        <v>0</v>
      </c>
      <c r="AE7062" t="n">
        <v>0</v>
      </c>
      <c r="AF7062" t="n">
        <v>0</v>
      </c>
      <c r="AG7062" t="n">
        <v>0</v>
      </c>
      <c r="AH7062" t="n">
        <v>0</v>
      </c>
      <c r="AI7062" t="n">
        <v>0</v>
      </c>
    </row>
    <row r="7063">
      <c r="A7063" t="inlineStr">
        <is>
          <t>12월</t>
        </is>
      </c>
      <c r="B7063" t="inlineStr">
        <is>
          <t>52주차</t>
        </is>
      </c>
      <c r="C7063" t="e">
        <v>#N/A</v>
      </c>
      <c r="K7063" t="n">
        <v>0</v>
      </c>
      <c r="L7063" t="n">
        <v>0</v>
      </c>
      <c r="M7063" t="n">
        <v>0</v>
      </c>
      <c r="AC7063" t="n">
        <v>0</v>
      </c>
      <c r="AD7063" t="n">
        <v>0</v>
      </c>
      <c r="AE7063" t="n">
        <v>0</v>
      </c>
      <c r="AF7063" t="n">
        <v>0</v>
      </c>
      <c r="AG7063" t="n">
        <v>0</v>
      </c>
      <c r="AH7063" t="n">
        <v>0</v>
      </c>
      <c r="AI7063" t="n">
        <v>0</v>
      </c>
    </row>
    <row r="7064">
      <c r="A7064" t="inlineStr">
        <is>
          <t>12월</t>
        </is>
      </c>
      <c r="B7064" t="inlineStr">
        <is>
          <t>52주차</t>
        </is>
      </c>
      <c r="C7064" t="e">
        <v>#N/A</v>
      </c>
      <c r="K7064" t="n">
        <v>0</v>
      </c>
      <c r="L7064" t="n">
        <v>0</v>
      </c>
      <c r="M7064" t="n">
        <v>0</v>
      </c>
      <c r="AC7064" t="n">
        <v>0</v>
      </c>
      <c r="AD7064" t="n">
        <v>0</v>
      </c>
      <c r="AE7064" t="n">
        <v>0</v>
      </c>
      <c r="AF7064" t="n">
        <v>0</v>
      </c>
      <c r="AG7064" t="n">
        <v>0</v>
      </c>
      <c r="AH7064" t="n">
        <v>0</v>
      </c>
      <c r="AI7064" t="n">
        <v>0</v>
      </c>
    </row>
    <row r="7065">
      <c r="A7065" t="inlineStr">
        <is>
          <t>12월</t>
        </is>
      </c>
      <c r="B7065" t="inlineStr">
        <is>
          <t>52주차</t>
        </is>
      </c>
      <c r="C7065" t="e">
        <v>#N/A</v>
      </c>
      <c r="K7065" t="n">
        <v>0</v>
      </c>
      <c r="L7065" t="n">
        <v>0</v>
      </c>
      <c r="M7065" t="n">
        <v>0</v>
      </c>
      <c r="AC7065" t="n">
        <v>0</v>
      </c>
      <c r="AD7065" t="n">
        <v>0</v>
      </c>
      <c r="AE7065" t="n">
        <v>0</v>
      </c>
      <c r="AF7065" t="n">
        <v>0</v>
      </c>
      <c r="AG7065" t="n">
        <v>0</v>
      </c>
      <c r="AH7065" t="n">
        <v>0</v>
      </c>
      <c r="AI7065" t="n">
        <v>0</v>
      </c>
    </row>
    <row r="7066">
      <c r="A7066" t="inlineStr">
        <is>
          <t>12월</t>
        </is>
      </c>
      <c r="B7066" t="inlineStr">
        <is>
          <t>52주차</t>
        </is>
      </c>
      <c r="C7066" t="e">
        <v>#N/A</v>
      </c>
      <c r="K7066" t="n">
        <v>0</v>
      </c>
      <c r="L7066" t="n">
        <v>0</v>
      </c>
      <c r="M7066" t="n">
        <v>0</v>
      </c>
      <c r="AC7066" t="n">
        <v>0</v>
      </c>
      <c r="AD7066" t="n">
        <v>0</v>
      </c>
      <c r="AE7066" t="n">
        <v>0</v>
      </c>
      <c r="AF7066" t="n">
        <v>0</v>
      </c>
      <c r="AG7066" t="n">
        <v>0</v>
      </c>
      <c r="AH7066" t="n">
        <v>0</v>
      </c>
      <c r="AI7066" t="n">
        <v>0</v>
      </c>
    </row>
    <row r="7067">
      <c r="A7067" t="inlineStr">
        <is>
          <t>12월</t>
        </is>
      </c>
      <c r="B7067" t="inlineStr">
        <is>
          <t>52주차</t>
        </is>
      </c>
      <c r="C7067" t="e">
        <v>#N/A</v>
      </c>
      <c r="K7067" t="n">
        <v>0</v>
      </c>
      <c r="L7067" t="n">
        <v>0</v>
      </c>
      <c r="M7067" t="n">
        <v>0</v>
      </c>
      <c r="AC7067" t="n">
        <v>0</v>
      </c>
      <c r="AD7067" t="n">
        <v>0</v>
      </c>
      <c r="AE7067" t="n">
        <v>0</v>
      </c>
      <c r="AF7067" t="n">
        <v>0</v>
      </c>
      <c r="AG7067" t="n">
        <v>0</v>
      </c>
      <c r="AH7067" t="n">
        <v>0</v>
      </c>
      <c r="AI7067" t="n">
        <v>0</v>
      </c>
    </row>
    <row r="7068">
      <c r="A7068" t="inlineStr">
        <is>
          <t>12월</t>
        </is>
      </c>
      <c r="B7068" t="inlineStr">
        <is>
          <t>52주차</t>
        </is>
      </c>
      <c r="C7068" t="e">
        <v>#N/A</v>
      </c>
      <c r="K7068" t="n">
        <v>0</v>
      </c>
      <c r="L7068" t="n">
        <v>0</v>
      </c>
      <c r="M7068" t="n">
        <v>0</v>
      </c>
      <c r="AC7068" t="n">
        <v>0</v>
      </c>
      <c r="AD7068" t="n">
        <v>0</v>
      </c>
      <c r="AE7068" t="n">
        <v>0</v>
      </c>
      <c r="AF7068" t="n">
        <v>0</v>
      </c>
      <c r="AG7068" t="n">
        <v>0</v>
      </c>
      <c r="AH7068" t="n">
        <v>0</v>
      </c>
    </row>
    <row r="7069">
      <c r="A7069" t="inlineStr">
        <is>
          <t>12월</t>
        </is>
      </c>
      <c r="B7069" t="inlineStr">
        <is>
          <t>52주차</t>
        </is>
      </c>
      <c r="C7069" t="e">
        <v>#N/A</v>
      </c>
      <c r="K7069" t="n">
        <v>0</v>
      </c>
      <c r="L7069" t="n">
        <v>0</v>
      </c>
      <c r="M7069" t="n">
        <v>0</v>
      </c>
      <c r="AC7069" t="n">
        <v>0</v>
      </c>
      <c r="AD7069" t="n">
        <v>0</v>
      </c>
      <c r="AE7069" t="n">
        <v>0</v>
      </c>
      <c r="AF7069" t="n">
        <v>0</v>
      </c>
      <c r="AG7069" t="n">
        <v>0</v>
      </c>
      <c r="AH7069" t="n">
        <v>0</v>
      </c>
      <c r="AI7069" t="n">
        <v>0</v>
      </c>
    </row>
    <row r="7070">
      <c r="A7070" t="inlineStr">
        <is>
          <t>12월</t>
        </is>
      </c>
      <c r="B7070" t="inlineStr">
        <is>
          <t>52주차</t>
        </is>
      </c>
      <c r="C7070" t="e">
        <v>#N/A</v>
      </c>
      <c r="K7070" t="n">
        <v>0</v>
      </c>
      <c r="L7070" t="n">
        <v>0</v>
      </c>
      <c r="M7070" t="n">
        <v>0</v>
      </c>
      <c r="AC7070" t="n">
        <v>0</v>
      </c>
      <c r="AD7070" t="n">
        <v>0</v>
      </c>
      <c r="AE7070" t="n">
        <v>0</v>
      </c>
      <c r="AF7070" t="n">
        <v>0</v>
      </c>
      <c r="AG7070" t="n">
        <v>0</v>
      </c>
      <c r="AH7070" t="n">
        <v>0</v>
      </c>
      <c r="AI7070" t="n">
        <v>0</v>
      </c>
    </row>
    <row r="7071">
      <c r="A7071" t="inlineStr">
        <is>
          <t>12월</t>
        </is>
      </c>
      <c r="B7071" t="inlineStr">
        <is>
          <t>52주차</t>
        </is>
      </c>
      <c r="C7071" t="e">
        <v>#N/A</v>
      </c>
      <c r="K7071" t="n">
        <v>0</v>
      </c>
      <c r="L7071" t="n">
        <v>0</v>
      </c>
      <c r="M7071" t="n">
        <v>0</v>
      </c>
      <c r="AC7071" t="n">
        <v>0</v>
      </c>
      <c r="AD7071" t="n">
        <v>0</v>
      </c>
      <c r="AE7071" t="n">
        <v>0</v>
      </c>
      <c r="AF7071" t="n">
        <v>0</v>
      </c>
      <c r="AG7071" t="n">
        <v>0</v>
      </c>
      <c r="AH7071" t="n">
        <v>0</v>
      </c>
      <c r="AI7071" t="n">
        <v>0</v>
      </c>
    </row>
    <row r="7072">
      <c r="A7072" t="inlineStr">
        <is>
          <t>12월</t>
        </is>
      </c>
      <c r="B7072" t="inlineStr">
        <is>
          <t>52주차</t>
        </is>
      </c>
      <c r="C7072" t="e">
        <v>#N/A</v>
      </c>
      <c r="K7072" t="n">
        <v>0</v>
      </c>
      <c r="L7072" t="n">
        <v>0</v>
      </c>
      <c r="M7072" t="n">
        <v>0</v>
      </c>
      <c r="AC7072" t="n">
        <v>0</v>
      </c>
      <c r="AD7072" t="n">
        <v>0</v>
      </c>
      <c r="AE7072" t="n">
        <v>0</v>
      </c>
      <c r="AF7072" t="n">
        <v>0</v>
      </c>
      <c r="AG7072" t="n">
        <v>0</v>
      </c>
      <c r="AH7072" t="n">
        <v>0</v>
      </c>
      <c r="AI7072" t="n">
        <v>0</v>
      </c>
    </row>
    <row r="7073">
      <c r="A7073" t="inlineStr">
        <is>
          <t>12월</t>
        </is>
      </c>
      <c r="B7073" t="inlineStr">
        <is>
          <t>52주차</t>
        </is>
      </c>
      <c r="C7073" t="e">
        <v>#N/A</v>
      </c>
      <c r="K7073" t="n">
        <v>0</v>
      </c>
      <c r="L7073" t="n">
        <v>0</v>
      </c>
      <c r="M7073" t="n">
        <v>0</v>
      </c>
      <c r="AC7073" t="n">
        <v>0</v>
      </c>
      <c r="AD7073" t="n">
        <v>0</v>
      </c>
      <c r="AE7073" t="n">
        <v>0</v>
      </c>
      <c r="AF7073" t="n">
        <v>0</v>
      </c>
      <c r="AG7073" t="n">
        <v>0</v>
      </c>
      <c r="AH7073" t="n">
        <v>0</v>
      </c>
      <c r="AI7073" t="n">
        <v>0</v>
      </c>
    </row>
    <row r="7074">
      <c r="A7074" t="inlineStr">
        <is>
          <t>12월</t>
        </is>
      </c>
      <c r="B7074" t="inlineStr">
        <is>
          <t>52주차</t>
        </is>
      </c>
      <c r="C7074" t="e">
        <v>#N/A</v>
      </c>
      <c r="K7074" t="n">
        <v>0</v>
      </c>
      <c r="L7074" t="n">
        <v>0</v>
      </c>
      <c r="M7074" t="n">
        <v>0</v>
      </c>
      <c r="AC7074" t="n">
        <v>0</v>
      </c>
      <c r="AD7074" t="n">
        <v>0</v>
      </c>
      <c r="AE7074" t="n">
        <v>0</v>
      </c>
      <c r="AF7074" t="n">
        <v>0</v>
      </c>
      <c r="AG7074" t="n">
        <v>0</v>
      </c>
      <c r="AH7074" t="n">
        <v>0</v>
      </c>
    </row>
    <row r="7075">
      <c r="A7075" t="inlineStr">
        <is>
          <t>12월</t>
        </is>
      </c>
      <c r="B7075" t="inlineStr">
        <is>
          <t>52주차</t>
        </is>
      </c>
      <c r="C7075" t="e">
        <v>#N/A</v>
      </c>
      <c r="K7075" t="n">
        <v>0</v>
      </c>
      <c r="L7075" t="n">
        <v>0</v>
      </c>
      <c r="M7075" t="n">
        <v>0</v>
      </c>
      <c r="AC7075" t="n">
        <v>0</v>
      </c>
      <c r="AD7075" t="n">
        <v>0</v>
      </c>
      <c r="AE7075" t="n">
        <v>0</v>
      </c>
      <c r="AF7075" t="n">
        <v>0</v>
      </c>
      <c r="AG7075" t="n">
        <v>0</v>
      </c>
      <c r="AH7075" t="n">
        <v>0</v>
      </c>
    </row>
    <row r="7076">
      <c r="A7076" t="inlineStr">
        <is>
          <t>12월</t>
        </is>
      </c>
      <c r="B7076" t="inlineStr">
        <is>
          <t>52주차</t>
        </is>
      </c>
      <c r="C7076" t="e">
        <v>#N/A</v>
      </c>
      <c r="K7076" t="n">
        <v>0</v>
      </c>
      <c r="L7076" t="n">
        <v>0</v>
      </c>
      <c r="M7076" t="n">
        <v>0</v>
      </c>
      <c r="AC7076" t="n">
        <v>0</v>
      </c>
      <c r="AD7076" t="n">
        <v>0</v>
      </c>
      <c r="AE7076" t="n">
        <v>0</v>
      </c>
      <c r="AF7076" t="n">
        <v>0</v>
      </c>
      <c r="AG7076" t="n">
        <v>0</v>
      </c>
      <c r="AH7076" t="n">
        <v>0</v>
      </c>
    </row>
    <row r="7077">
      <c r="A7077" t="inlineStr">
        <is>
          <t>12월</t>
        </is>
      </c>
      <c r="B7077" t="inlineStr">
        <is>
          <t>52주차</t>
        </is>
      </c>
      <c r="C7077" t="e">
        <v>#N/A</v>
      </c>
      <c r="K7077" t="n">
        <v>0</v>
      </c>
      <c r="L7077" t="n">
        <v>0</v>
      </c>
      <c r="M7077" t="n">
        <v>0</v>
      </c>
      <c r="AC7077" t="n">
        <v>0</v>
      </c>
      <c r="AD7077" t="n">
        <v>0</v>
      </c>
      <c r="AE7077" t="n">
        <v>0</v>
      </c>
      <c r="AF7077" t="n">
        <v>0</v>
      </c>
      <c r="AG7077" t="n">
        <v>0</v>
      </c>
      <c r="AH7077" t="n">
        <v>0</v>
      </c>
      <c r="AI7077" t="n">
        <v>0</v>
      </c>
    </row>
    <row r="7078">
      <c r="A7078" t="inlineStr">
        <is>
          <t>12월</t>
        </is>
      </c>
      <c r="B7078" t="inlineStr">
        <is>
          <t>52주차</t>
        </is>
      </c>
      <c r="C7078" t="e">
        <v>#N/A</v>
      </c>
      <c r="K7078" t="n">
        <v>0</v>
      </c>
      <c r="L7078" t="n">
        <v>0</v>
      </c>
      <c r="M7078" t="n">
        <v>0</v>
      </c>
      <c r="AC7078" t="n">
        <v>0</v>
      </c>
      <c r="AD7078" t="n">
        <v>0</v>
      </c>
      <c r="AE7078" t="n">
        <v>0</v>
      </c>
      <c r="AF7078" t="n">
        <v>0</v>
      </c>
      <c r="AG7078" t="n">
        <v>0</v>
      </c>
      <c r="AH7078" t="n">
        <v>0</v>
      </c>
      <c r="AI7078" t="n">
        <v>0</v>
      </c>
    </row>
    <row r="7079">
      <c r="A7079" t="inlineStr">
        <is>
          <t>12월</t>
        </is>
      </c>
      <c r="B7079" t="inlineStr">
        <is>
          <t>52주차</t>
        </is>
      </c>
      <c r="C7079" t="e">
        <v>#N/A</v>
      </c>
      <c r="K7079" t="n">
        <v>0</v>
      </c>
      <c r="L7079" t="n">
        <v>0</v>
      </c>
      <c r="M7079" t="n">
        <v>0</v>
      </c>
      <c r="AC7079" t="n">
        <v>0</v>
      </c>
      <c r="AD7079" t="n">
        <v>0</v>
      </c>
      <c r="AE7079" t="n">
        <v>0</v>
      </c>
      <c r="AF7079" t="n">
        <v>0</v>
      </c>
      <c r="AG7079" t="n">
        <v>0</v>
      </c>
      <c r="AH7079" t="n">
        <v>0</v>
      </c>
      <c r="AI7079" t="n">
        <v>0</v>
      </c>
    </row>
    <row r="7080">
      <c r="A7080" t="inlineStr">
        <is>
          <t>12월</t>
        </is>
      </c>
      <c r="B7080" t="inlineStr">
        <is>
          <t>52주차</t>
        </is>
      </c>
      <c r="C7080" t="e">
        <v>#N/A</v>
      </c>
      <c r="K7080" t="n">
        <v>0</v>
      </c>
      <c r="L7080" t="n">
        <v>0</v>
      </c>
      <c r="M7080" t="n">
        <v>0</v>
      </c>
      <c r="AC7080" t="n">
        <v>0</v>
      </c>
      <c r="AD7080" t="n">
        <v>0</v>
      </c>
      <c r="AE7080" t="n">
        <v>0</v>
      </c>
      <c r="AF7080" t="n">
        <v>0</v>
      </c>
      <c r="AG7080" t="n">
        <v>0</v>
      </c>
      <c r="AH7080" t="n">
        <v>0</v>
      </c>
    </row>
    <row r="7081">
      <c r="A7081" t="inlineStr">
        <is>
          <t>12월</t>
        </is>
      </c>
      <c r="B7081" t="inlineStr">
        <is>
          <t>52주차</t>
        </is>
      </c>
      <c r="C7081" t="e">
        <v>#N/A</v>
      </c>
      <c r="K7081" t="n">
        <v>0</v>
      </c>
      <c r="L7081" t="n">
        <v>0</v>
      </c>
      <c r="M7081" t="n">
        <v>0</v>
      </c>
      <c r="AC7081" t="n">
        <v>0</v>
      </c>
      <c r="AD7081" t="n">
        <v>0</v>
      </c>
      <c r="AE7081" t="n">
        <v>0</v>
      </c>
      <c r="AF7081" t="n">
        <v>0</v>
      </c>
      <c r="AG7081" t="n">
        <v>0</v>
      </c>
      <c r="AH7081" t="n">
        <v>0</v>
      </c>
    </row>
    <row r="7082">
      <c r="A7082" t="inlineStr">
        <is>
          <t>12월</t>
        </is>
      </c>
      <c r="B7082" t="inlineStr">
        <is>
          <t>52주차</t>
        </is>
      </c>
      <c r="C7082" t="e">
        <v>#N/A</v>
      </c>
      <c r="K7082" t="n">
        <v>0</v>
      </c>
      <c r="L7082" t="n">
        <v>0</v>
      </c>
      <c r="M7082" t="n">
        <v>0</v>
      </c>
      <c r="AC7082" t="n">
        <v>0</v>
      </c>
      <c r="AD7082" t="n">
        <v>0</v>
      </c>
      <c r="AE7082" t="n">
        <v>0</v>
      </c>
      <c r="AF7082" t="n">
        <v>0</v>
      </c>
      <c r="AG7082" t="n">
        <v>0</v>
      </c>
      <c r="AH7082" t="n">
        <v>0</v>
      </c>
      <c r="AI7082" t="n">
        <v>0</v>
      </c>
    </row>
    <row r="7083">
      <c r="A7083" t="inlineStr">
        <is>
          <t>12월</t>
        </is>
      </c>
      <c r="B7083" t="inlineStr">
        <is>
          <t>52주차</t>
        </is>
      </c>
      <c r="C7083" t="e">
        <v>#N/A</v>
      </c>
      <c r="K7083" t="n">
        <v>0</v>
      </c>
      <c r="L7083" t="n">
        <v>0</v>
      </c>
      <c r="M7083" t="n">
        <v>0</v>
      </c>
      <c r="AC7083" t="n">
        <v>0</v>
      </c>
      <c r="AD7083" t="n">
        <v>0</v>
      </c>
      <c r="AE7083" t="n">
        <v>0</v>
      </c>
      <c r="AF7083" t="n">
        <v>0</v>
      </c>
      <c r="AG7083" t="n">
        <v>0</v>
      </c>
      <c r="AH7083" t="n">
        <v>0</v>
      </c>
      <c r="AI7083" t="n">
        <v>0</v>
      </c>
    </row>
    <row r="7084">
      <c r="A7084" t="inlineStr">
        <is>
          <t>12월</t>
        </is>
      </c>
      <c r="B7084" t="inlineStr">
        <is>
          <t>52주차</t>
        </is>
      </c>
      <c r="C7084" t="e">
        <v>#N/A</v>
      </c>
      <c r="K7084" t="n">
        <v>0</v>
      </c>
      <c r="L7084" t="n">
        <v>0</v>
      </c>
      <c r="M7084" t="n">
        <v>0</v>
      </c>
      <c r="AC7084" t="n">
        <v>0</v>
      </c>
      <c r="AD7084" t="n">
        <v>0</v>
      </c>
      <c r="AE7084" t="n">
        <v>0</v>
      </c>
      <c r="AF7084" t="n">
        <v>0</v>
      </c>
      <c r="AG7084" t="n">
        <v>0</v>
      </c>
      <c r="AH7084" t="n">
        <v>0</v>
      </c>
      <c r="AI7084" t="n">
        <v>0</v>
      </c>
    </row>
    <row r="7085">
      <c r="A7085" t="inlineStr">
        <is>
          <t>12월</t>
        </is>
      </c>
      <c r="B7085" t="inlineStr">
        <is>
          <t>52주차</t>
        </is>
      </c>
      <c r="C7085" t="e">
        <v>#N/A</v>
      </c>
      <c r="K7085" t="n">
        <v>0</v>
      </c>
      <c r="L7085" t="n">
        <v>0</v>
      </c>
      <c r="M7085" t="n">
        <v>0</v>
      </c>
      <c r="AC7085" t="n">
        <v>0</v>
      </c>
      <c r="AD7085" t="n">
        <v>0</v>
      </c>
      <c r="AE7085" t="n">
        <v>0</v>
      </c>
      <c r="AF7085" t="n">
        <v>0</v>
      </c>
      <c r="AG7085" t="n">
        <v>0</v>
      </c>
      <c r="AH7085" t="n">
        <v>0</v>
      </c>
    </row>
    <row r="7086">
      <c r="A7086" t="inlineStr">
        <is>
          <t>12월</t>
        </is>
      </c>
      <c r="B7086" t="inlineStr">
        <is>
          <t>52주차</t>
        </is>
      </c>
      <c r="C7086" t="e">
        <v>#N/A</v>
      </c>
      <c r="K7086" t="n">
        <v>0</v>
      </c>
      <c r="L7086" t="n">
        <v>0</v>
      </c>
      <c r="M7086" t="n">
        <v>0</v>
      </c>
      <c r="AC7086" t="n">
        <v>0</v>
      </c>
      <c r="AD7086" t="n">
        <v>0</v>
      </c>
      <c r="AE7086" t="n">
        <v>0</v>
      </c>
      <c r="AF7086" t="n">
        <v>0</v>
      </c>
      <c r="AG7086" t="n">
        <v>0</v>
      </c>
      <c r="AH7086" t="n">
        <v>0</v>
      </c>
      <c r="AI7086" t="n">
        <v>0</v>
      </c>
    </row>
    <row r="7087">
      <c r="A7087" t="inlineStr">
        <is>
          <t>12월</t>
        </is>
      </c>
      <c r="B7087" t="inlineStr">
        <is>
          <t>52주차</t>
        </is>
      </c>
      <c r="C7087" t="e">
        <v>#N/A</v>
      </c>
      <c r="K7087" t="n">
        <v>0</v>
      </c>
      <c r="L7087" t="n">
        <v>0</v>
      </c>
      <c r="M7087" t="n">
        <v>0</v>
      </c>
      <c r="AC7087" t="n">
        <v>0</v>
      </c>
      <c r="AD7087" t="n">
        <v>0</v>
      </c>
      <c r="AE7087" t="n">
        <v>0</v>
      </c>
      <c r="AF7087" t="n">
        <v>0</v>
      </c>
      <c r="AG7087" t="n">
        <v>0</v>
      </c>
      <c r="AH7087" t="n">
        <v>0</v>
      </c>
      <c r="AI7087" t="n">
        <v>0</v>
      </c>
    </row>
    <row r="7088">
      <c r="A7088" t="inlineStr">
        <is>
          <t>12월</t>
        </is>
      </c>
      <c r="B7088" t="inlineStr">
        <is>
          <t>52주차</t>
        </is>
      </c>
      <c r="C7088" t="e">
        <v>#N/A</v>
      </c>
      <c r="K7088" t="n">
        <v>0</v>
      </c>
      <c r="L7088" t="n">
        <v>0</v>
      </c>
      <c r="M7088" t="n">
        <v>0</v>
      </c>
      <c r="AC7088" t="n">
        <v>0</v>
      </c>
      <c r="AD7088" t="n">
        <v>0</v>
      </c>
      <c r="AE7088" t="n">
        <v>0</v>
      </c>
      <c r="AF7088" t="n">
        <v>0</v>
      </c>
      <c r="AG7088" t="n">
        <v>0</v>
      </c>
      <c r="AH7088" t="n">
        <v>0</v>
      </c>
      <c r="AI7088" t="n">
        <v>0</v>
      </c>
    </row>
    <row r="7089">
      <c r="A7089" t="inlineStr">
        <is>
          <t>12월</t>
        </is>
      </c>
      <c r="B7089" t="inlineStr">
        <is>
          <t>52주차</t>
        </is>
      </c>
      <c r="C7089" t="e">
        <v>#N/A</v>
      </c>
      <c r="K7089" t="n">
        <v>0</v>
      </c>
      <c r="L7089" t="n">
        <v>0</v>
      </c>
      <c r="M7089" t="n">
        <v>0</v>
      </c>
      <c r="AC7089" t="n">
        <v>0</v>
      </c>
      <c r="AD7089" t="n">
        <v>0</v>
      </c>
      <c r="AE7089" t="n">
        <v>0</v>
      </c>
      <c r="AF7089" t="n">
        <v>0</v>
      </c>
      <c r="AG7089" t="n">
        <v>0</v>
      </c>
      <c r="AH7089" t="n">
        <v>0</v>
      </c>
      <c r="AI7089" t="n">
        <v>0</v>
      </c>
    </row>
    <row r="7090">
      <c r="A7090" t="inlineStr">
        <is>
          <t>12월</t>
        </is>
      </c>
      <c r="B7090" t="inlineStr">
        <is>
          <t>52주차</t>
        </is>
      </c>
      <c r="C7090" t="e">
        <v>#N/A</v>
      </c>
      <c r="K7090" t="n">
        <v>0</v>
      </c>
      <c r="L7090" t="n">
        <v>0</v>
      </c>
      <c r="M7090" t="n">
        <v>0</v>
      </c>
      <c r="AC7090" t="n">
        <v>0</v>
      </c>
      <c r="AD7090" t="n">
        <v>0</v>
      </c>
      <c r="AE7090" t="n">
        <v>0</v>
      </c>
      <c r="AF7090" t="n">
        <v>0</v>
      </c>
      <c r="AG7090" t="n">
        <v>0</v>
      </c>
      <c r="AH7090" t="n">
        <v>0</v>
      </c>
      <c r="AI7090" t="n">
        <v>0</v>
      </c>
    </row>
    <row r="7091">
      <c r="A7091" t="inlineStr">
        <is>
          <t>12월</t>
        </is>
      </c>
      <c r="B7091" t="inlineStr">
        <is>
          <t>52주차</t>
        </is>
      </c>
      <c r="C7091" t="e">
        <v>#N/A</v>
      </c>
      <c r="K7091" t="n">
        <v>0</v>
      </c>
      <c r="L7091" t="n">
        <v>0</v>
      </c>
      <c r="M7091" t="n">
        <v>0</v>
      </c>
      <c r="AC7091" t="n">
        <v>0</v>
      </c>
      <c r="AD7091" t="n">
        <v>0</v>
      </c>
      <c r="AE7091" t="n">
        <v>0</v>
      </c>
      <c r="AF7091" t="n">
        <v>0</v>
      </c>
      <c r="AG7091" t="n">
        <v>0</v>
      </c>
      <c r="AH7091" t="n">
        <v>0</v>
      </c>
      <c r="AI7091" t="n">
        <v>0</v>
      </c>
    </row>
    <row r="7092">
      <c r="A7092" t="inlineStr">
        <is>
          <t>12월</t>
        </is>
      </c>
      <c r="B7092" t="inlineStr">
        <is>
          <t>52주차</t>
        </is>
      </c>
      <c r="C7092" t="e">
        <v>#N/A</v>
      </c>
      <c r="K7092" t="n">
        <v>0</v>
      </c>
      <c r="L7092" t="n">
        <v>0</v>
      </c>
      <c r="M7092" t="n">
        <v>0</v>
      </c>
      <c r="AC7092" t="n">
        <v>0</v>
      </c>
      <c r="AD7092" t="n">
        <v>0</v>
      </c>
      <c r="AE7092" t="n">
        <v>0</v>
      </c>
      <c r="AF7092" t="n">
        <v>0</v>
      </c>
      <c r="AG7092" t="n">
        <v>0</v>
      </c>
      <c r="AH7092" t="n">
        <v>0</v>
      </c>
      <c r="AI7092" t="n">
        <v>0</v>
      </c>
    </row>
    <row r="7093">
      <c r="A7093" t="inlineStr">
        <is>
          <t>12월</t>
        </is>
      </c>
      <c r="B7093" t="inlineStr">
        <is>
          <t>52주차</t>
        </is>
      </c>
      <c r="C7093" t="e">
        <v>#N/A</v>
      </c>
      <c r="K7093" t="n">
        <v>0</v>
      </c>
      <c r="L7093" t="n">
        <v>0</v>
      </c>
      <c r="M7093" t="n">
        <v>0</v>
      </c>
      <c r="AC7093" t="n">
        <v>0</v>
      </c>
      <c r="AD7093" t="n">
        <v>0</v>
      </c>
      <c r="AE7093" t="n">
        <v>0</v>
      </c>
      <c r="AF7093" t="n">
        <v>0</v>
      </c>
      <c r="AG7093" t="n">
        <v>0</v>
      </c>
      <c r="AH7093" t="n">
        <v>0</v>
      </c>
      <c r="AI7093" t="n">
        <v>0</v>
      </c>
    </row>
    <row r="7094">
      <c r="A7094" t="inlineStr">
        <is>
          <t>12월</t>
        </is>
      </c>
      <c r="B7094" t="inlineStr">
        <is>
          <t>52주차</t>
        </is>
      </c>
      <c r="C7094" t="e">
        <v>#N/A</v>
      </c>
      <c r="K7094" t="n">
        <v>0</v>
      </c>
      <c r="L7094" t="n">
        <v>0</v>
      </c>
      <c r="M7094" t="n">
        <v>0</v>
      </c>
      <c r="AC7094" t="n">
        <v>0</v>
      </c>
      <c r="AD7094" t="n">
        <v>0</v>
      </c>
      <c r="AE7094" t="n">
        <v>0</v>
      </c>
      <c r="AF7094" t="n">
        <v>0</v>
      </c>
      <c r="AG7094" t="n">
        <v>0</v>
      </c>
      <c r="AH7094" t="n">
        <v>0</v>
      </c>
      <c r="AI7094" t="n">
        <v>0</v>
      </c>
    </row>
    <row r="7095">
      <c r="A7095" t="inlineStr">
        <is>
          <t>12월</t>
        </is>
      </c>
      <c r="B7095" t="inlineStr">
        <is>
          <t>52주차</t>
        </is>
      </c>
      <c r="C7095" t="e">
        <v>#N/A</v>
      </c>
      <c r="K7095" t="n">
        <v>0</v>
      </c>
      <c r="L7095" t="n">
        <v>0</v>
      </c>
      <c r="M7095" t="n">
        <v>0</v>
      </c>
      <c r="AC7095" t="n">
        <v>0</v>
      </c>
      <c r="AD7095" t="n">
        <v>0</v>
      </c>
      <c r="AE7095" t="n">
        <v>0</v>
      </c>
      <c r="AF7095" t="n">
        <v>0</v>
      </c>
      <c r="AG7095" t="n">
        <v>0</v>
      </c>
      <c r="AH7095" t="n">
        <v>0</v>
      </c>
      <c r="AI7095" t="n">
        <v>0</v>
      </c>
    </row>
    <row r="7096">
      <c r="A7096" t="inlineStr">
        <is>
          <t>12월</t>
        </is>
      </c>
      <c r="B7096" t="inlineStr">
        <is>
          <t>52주차</t>
        </is>
      </c>
      <c r="C7096" t="e">
        <v>#N/A</v>
      </c>
      <c r="K7096" t="n">
        <v>0</v>
      </c>
      <c r="L7096" t="n">
        <v>0</v>
      </c>
      <c r="M7096" t="n">
        <v>0</v>
      </c>
      <c r="AC7096" t="n">
        <v>0</v>
      </c>
      <c r="AD7096" t="n">
        <v>0</v>
      </c>
      <c r="AE7096" t="n">
        <v>0</v>
      </c>
      <c r="AF7096" t="n">
        <v>0</v>
      </c>
      <c r="AG7096" t="n">
        <v>0</v>
      </c>
      <c r="AH7096" t="n">
        <v>0</v>
      </c>
      <c r="AI7096" t="n">
        <v>0</v>
      </c>
    </row>
    <row r="7097">
      <c r="A7097" t="inlineStr">
        <is>
          <t>12월</t>
        </is>
      </c>
      <c r="B7097" t="inlineStr">
        <is>
          <t>52주차</t>
        </is>
      </c>
      <c r="C7097" t="e">
        <v>#N/A</v>
      </c>
      <c r="K7097" t="n">
        <v>0</v>
      </c>
      <c r="L7097" t="n">
        <v>0</v>
      </c>
      <c r="M7097" t="n">
        <v>0</v>
      </c>
      <c r="AC7097" t="n">
        <v>0</v>
      </c>
      <c r="AD7097" t="n">
        <v>0</v>
      </c>
      <c r="AE7097" t="n">
        <v>0</v>
      </c>
      <c r="AF7097" t="n">
        <v>0</v>
      </c>
      <c r="AG7097" t="n">
        <v>0</v>
      </c>
      <c r="AH7097" t="n">
        <v>0</v>
      </c>
    </row>
    <row r="7098">
      <c r="A7098" t="inlineStr">
        <is>
          <t>12월</t>
        </is>
      </c>
      <c r="B7098" t="inlineStr">
        <is>
          <t>52주차</t>
        </is>
      </c>
      <c r="C7098" t="e">
        <v>#N/A</v>
      </c>
      <c r="K7098" t="n">
        <v>0</v>
      </c>
      <c r="L7098" t="n">
        <v>0</v>
      </c>
      <c r="M7098" t="n">
        <v>0</v>
      </c>
      <c r="AC7098" t="n">
        <v>0</v>
      </c>
      <c r="AD7098" t="n">
        <v>0</v>
      </c>
      <c r="AE7098" t="n">
        <v>0</v>
      </c>
      <c r="AF7098" t="n">
        <v>0</v>
      </c>
      <c r="AG7098" t="n">
        <v>0</v>
      </c>
      <c r="AH7098" t="n">
        <v>0</v>
      </c>
    </row>
    <row r="7099">
      <c r="A7099" t="inlineStr">
        <is>
          <t>12월</t>
        </is>
      </c>
      <c r="B7099" t="inlineStr">
        <is>
          <t>52주차</t>
        </is>
      </c>
      <c r="C7099" t="e">
        <v>#N/A</v>
      </c>
      <c r="K7099" t="n">
        <v>0</v>
      </c>
      <c r="L7099" t="n">
        <v>0</v>
      </c>
      <c r="M7099" t="n">
        <v>0</v>
      </c>
      <c r="AC7099" t="n">
        <v>0</v>
      </c>
      <c r="AD7099" t="n">
        <v>0</v>
      </c>
      <c r="AE7099" t="n">
        <v>0</v>
      </c>
      <c r="AF7099" t="n">
        <v>0</v>
      </c>
      <c r="AG7099" t="n">
        <v>0</v>
      </c>
      <c r="AH7099" t="n">
        <v>0</v>
      </c>
      <c r="AI7099" t="n">
        <v>0</v>
      </c>
    </row>
    <row r="7100">
      <c r="A7100" t="inlineStr">
        <is>
          <t>12월</t>
        </is>
      </c>
      <c r="B7100" t="inlineStr">
        <is>
          <t>52주차</t>
        </is>
      </c>
      <c r="C7100" t="e">
        <v>#N/A</v>
      </c>
      <c r="K7100" t="n">
        <v>0</v>
      </c>
      <c r="L7100" t="n">
        <v>0</v>
      </c>
      <c r="M7100" t="n">
        <v>0</v>
      </c>
      <c r="AC7100" t="n">
        <v>0</v>
      </c>
      <c r="AD7100" t="n">
        <v>0</v>
      </c>
      <c r="AE7100" t="n">
        <v>0</v>
      </c>
      <c r="AF7100" t="n">
        <v>0</v>
      </c>
      <c r="AG7100" t="n">
        <v>0</v>
      </c>
      <c r="AH7100" t="n">
        <v>0</v>
      </c>
      <c r="AI7100" t="n">
        <v>0</v>
      </c>
    </row>
    <row r="7101">
      <c r="A7101" t="inlineStr">
        <is>
          <t>12월</t>
        </is>
      </c>
      <c r="B7101" t="inlineStr">
        <is>
          <t>52주차</t>
        </is>
      </c>
      <c r="C7101" t="e">
        <v>#N/A</v>
      </c>
      <c r="K7101" t="n">
        <v>0</v>
      </c>
      <c r="L7101" t="n">
        <v>0</v>
      </c>
      <c r="M7101" t="n">
        <v>0</v>
      </c>
      <c r="AC7101" t="n">
        <v>0</v>
      </c>
      <c r="AD7101" t="n">
        <v>0</v>
      </c>
      <c r="AE7101" t="n">
        <v>0</v>
      </c>
      <c r="AF7101" t="n">
        <v>0</v>
      </c>
      <c r="AG7101" t="n">
        <v>0</v>
      </c>
      <c r="AH7101" t="n">
        <v>0</v>
      </c>
      <c r="AI7101" t="n">
        <v>0</v>
      </c>
    </row>
    <row r="7102">
      <c r="A7102" t="inlineStr">
        <is>
          <t>12월</t>
        </is>
      </c>
      <c r="B7102" t="inlineStr">
        <is>
          <t>52주차</t>
        </is>
      </c>
      <c r="C7102" t="e">
        <v>#N/A</v>
      </c>
      <c r="K7102" t="n">
        <v>0</v>
      </c>
      <c r="L7102" t="n">
        <v>0</v>
      </c>
      <c r="M7102" t="n">
        <v>0</v>
      </c>
      <c r="AC7102" t="n">
        <v>0</v>
      </c>
      <c r="AD7102" t="n">
        <v>0</v>
      </c>
      <c r="AE7102" t="n">
        <v>0</v>
      </c>
      <c r="AF7102" t="n">
        <v>0</v>
      </c>
      <c r="AG7102" t="n">
        <v>0</v>
      </c>
      <c r="AH7102" t="n">
        <v>0</v>
      </c>
    </row>
    <row r="7103">
      <c r="A7103" t="inlineStr">
        <is>
          <t>12월</t>
        </is>
      </c>
      <c r="B7103" t="inlineStr">
        <is>
          <t>52주차</t>
        </is>
      </c>
      <c r="C7103" t="e">
        <v>#N/A</v>
      </c>
      <c r="K7103" t="n">
        <v>0</v>
      </c>
      <c r="L7103" t="n">
        <v>0</v>
      </c>
      <c r="M7103" t="n">
        <v>0</v>
      </c>
      <c r="AC7103" t="n">
        <v>0</v>
      </c>
      <c r="AD7103" t="n">
        <v>0</v>
      </c>
      <c r="AE7103" t="n">
        <v>0</v>
      </c>
      <c r="AF7103" t="n">
        <v>0</v>
      </c>
      <c r="AG7103" t="n">
        <v>0</v>
      </c>
      <c r="AH7103" t="n">
        <v>0</v>
      </c>
      <c r="AI7103" t="n">
        <v>0</v>
      </c>
    </row>
    <row r="7104">
      <c r="A7104" t="inlineStr">
        <is>
          <t>12월</t>
        </is>
      </c>
      <c r="B7104" t="inlineStr">
        <is>
          <t>52주차</t>
        </is>
      </c>
      <c r="C7104" t="e">
        <v>#N/A</v>
      </c>
      <c r="K7104" t="n">
        <v>0</v>
      </c>
      <c r="L7104" t="n">
        <v>0</v>
      </c>
      <c r="M7104" t="n">
        <v>0</v>
      </c>
      <c r="AC7104" t="n">
        <v>0</v>
      </c>
      <c r="AD7104" t="n">
        <v>0</v>
      </c>
      <c r="AE7104" t="n">
        <v>0</v>
      </c>
      <c r="AF7104" t="n">
        <v>0</v>
      </c>
      <c r="AG7104" t="n">
        <v>0</v>
      </c>
      <c r="AH7104" t="n">
        <v>0</v>
      </c>
    </row>
    <row r="7105">
      <c r="A7105" t="inlineStr">
        <is>
          <t>12월</t>
        </is>
      </c>
      <c r="B7105" t="inlineStr">
        <is>
          <t>52주차</t>
        </is>
      </c>
      <c r="C7105" t="e">
        <v>#N/A</v>
      </c>
      <c r="K7105" t="n">
        <v>0</v>
      </c>
      <c r="L7105" t="n">
        <v>0</v>
      </c>
      <c r="M7105" t="n">
        <v>0</v>
      </c>
      <c r="AC7105" t="n">
        <v>0</v>
      </c>
      <c r="AD7105" t="n">
        <v>0</v>
      </c>
      <c r="AE7105" t="n">
        <v>0</v>
      </c>
      <c r="AF7105" t="n">
        <v>0</v>
      </c>
      <c r="AG7105" t="n">
        <v>0</v>
      </c>
      <c r="AH7105" t="n">
        <v>0</v>
      </c>
      <c r="AI7105" t="n">
        <v>0</v>
      </c>
    </row>
    <row r="7106">
      <c r="A7106" t="inlineStr">
        <is>
          <t>12월</t>
        </is>
      </c>
      <c r="B7106" t="inlineStr">
        <is>
          <t>52주차</t>
        </is>
      </c>
      <c r="C7106" t="e">
        <v>#N/A</v>
      </c>
      <c r="K7106" t="n">
        <v>0</v>
      </c>
      <c r="L7106" t="n">
        <v>0</v>
      </c>
      <c r="M7106" t="n">
        <v>0</v>
      </c>
      <c r="AC7106" t="n">
        <v>0</v>
      </c>
      <c r="AD7106" t="n">
        <v>0</v>
      </c>
      <c r="AE7106" t="n">
        <v>0</v>
      </c>
      <c r="AF7106" t="n">
        <v>0</v>
      </c>
      <c r="AG7106" t="n">
        <v>0</v>
      </c>
      <c r="AH7106" t="n">
        <v>0</v>
      </c>
    </row>
    <row r="7107">
      <c r="A7107" t="inlineStr">
        <is>
          <t>12월</t>
        </is>
      </c>
      <c r="B7107" t="inlineStr">
        <is>
          <t>52주차</t>
        </is>
      </c>
      <c r="C7107" t="e">
        <v>#N/A</v>
      </c>
      <c r="K7107" t="n">
        <v>0</v>
      </c>
      <c r="L7107" t="n">
        <v>0</v>
      </c>
      <c r="M7107" t="n">
        <v>0</v>
      </c>
      <c r="AC7107" t="n">
        <v>0</v>
      </c>
      <c r="AD7107" t="n">
        <v>0</v>
      </c>
      <c r="AE7107" t="n">
        <v>0</v>
      </c>
      <c r="AF7107" t="n">
        <v>0</v>
      </c>
      <c r="AG7107" t="n">
        <v>0</v>
      </c>
      <c r="AH7107" t="n">
        <v>0</v>
      </c>
      <c r="AI7107" t="n">
        <v>0</v>
      </c>
    </row>
    <row r="7108">
      <c r="A7108" t="inlineStr">
        <is>
          <t>12월</t>
        </is>
      </c>
      <c r="B7108" t="inlineStr">
        <is>
          <t>52주차</t>
        </is>
      </c>
      <c r="C7108" t="e">
        <v>#N/A</v>
      </c>
      <c r="K7108" t="n">
        <v>0</v>
      </c>
      <c r="L7108" t="n">
        <v>0</v>
      </c>
      <c r="M7108" t="n">
        <v>0</v>
      </c>
      <c r="AC7108" t="n">
        <v>0</v>
      </c>
      <c r="AD7108" t="n">
        <v>0</v>
      </c>
      <c r="AE7108" t="n">
        <v>0</v>
      </c>
      <c r="AF7108" t="n">
        <v>0</v>
      </c>
      <c r="AG7108" t="n">
        <v>0</v>
      </c>
      <c r="AH7108" t="n">
        <v>0</v>
      </c>
      <c r="AI7108" t="n">
        <v>0</v>
      </c>
    </row>
    <row r="7109">
      <c r="A7109" t="inlineStr">
        <is>
          <t>12월</t>
        </is>
      </c>
      <c r="B7109" t="inlineStr">
        <is>
          <t>52주차</t>
        </is>
      </c>
      <c r="C7109" t="e">
        <v>#N/A</v>
      </c>
      <c r="K7109" t="n">
        <v>0</v>
      </c>
      <c r="L7109" t="n">
        <v>0</v>
      </c>
      <c r="M7109" t="n">
        <v>0</v>
      </c>
      <c r="AC7109" t="n">
        <v>0</v>
      </c>
      <c r="AD7109" t="n">
        <v>0</v>
      </c>
      <c r="AE7109" t="n">
        <v>0</v>
      </c>
      <c r="AF7109" t="n">
        <v>0</v>
      </c>
      <c r="AG7109" t="n">
        <v>0</v>
      </c>
      <c r="AH7109" t="n">
        <v>0</v>
      </c>
      <c r="AI7109" t="n">
        <v>0</v>
      </c>
    </row>
    <row r="7110">
      <c r="A7110" t="inlineStr">
        <is>
          <t>12월</t>
        </is>
      </c>
      <c r="B7110" t="inlineStr">
        <is>
          <t>52주차</t>
        </is>
      </c>
      <c r="C7110" t="e">
        <v>#N/A</v>
      </c>
      <c r="K7110" t="n">
        <v>0</v>
      </c>
      <c r="L7110" t="n">
        <v>0</v>
      </c>
      <c r="M7110" t="n">
        <v>0</v>
      </c>
      <c r="AC7110" t="n">
        <v>0</v>
      </c>
      <c r="AD7110" t="n">
        <v>0</v>
      </c>
      <c r="AE7110" t="n">
        <v>0</v>
      </c>
      <c r="AF7110" t="n">
        <v>0</v>
      </c>
      <c r="AG7110" t="n">
        <v>0</v>
      </c>
      <c r="AH7110" t="n">
        <v>0</v>
      </c>
      <c r="AI7110" t="n">
        <v>0</v>
      </c>
    </row>
    <row r="7111">
      <c r="A7111" t="inlineStr">
        <is>
          <t>12월</t>
        </is>
      </c>
      <c r="B7111" t="inlineStr">
        <is>
          <t>52주차</t>
        </is>
      </c>
      <c r="C7111" t="e">
        <v>#N/A</v>
      </c>
      <c r="K7111" t="n">
        <v>0</v>
      </c>
      <c r="L7111" t="n">
        <v>0</v>
      </c>
      <c r="M7111" t="n">
        <v>0</v>
      </c>
      <c r="AC7111" t="n">
        <v>0</v>
      </c>
      <c r="AD7111" t="n">
        <v>0</v>
      </c>
      <c r="AE7111" t="n">
        <v>0</v>
      </c>
      <c r="AF7111" t="n">
        <v>0</v>
      </c>
      <c r="AG7111" t="n">
        <v>0</v>
      </c>
      <c r="AH7111" t="n">
        <v>0</v>
      </c>
      <c r="AI7111" t="n">
        <v>0</v>
      </c>
    </row>
    <row r="7112">
      <c r="A7112" t="inlineStr">
        <is>
          <t>12월</t>
        </is>
      </c>
      <c r="B7112" t="inlineStr">
        <is>
          <t>52주차</t>
        </is>
      </c>
      <c r="C7112" t="e">
        <v>#N/A</v>
      </c>
      <c r="K7112" t="n">
        <v>0</v>
      </c>
      <c r="L7112" t="n">
        <v>0</v>
      </c>
      <c r="M7112" t="n">
        <v>0</v>
      </c>
      <c r="AC7112" t="n">
        <v>0</v>
      </c>
      <c r="AD7112" t="n">
        <v>0</v>
      </c>
      <c r="AE7112" t="n">
        <v>0</v>
      </c>
      <c r="AF7112" t="n">
        <v>0</v>
      </c>
      <c r="AG7112" t="n">
        <v>0</v>
      </c>
      <c r="AH7112" t="n">
        <v>0</v>
      </c>
      <c r="AI7112" t="n">
        <v>0</v>
      </c>
    </row>
    <row r="7113">
      <c r="A7113" t="inlineStr">
        <is>
          <t>12월</t>
        </is>
      </c>
      <c r="B7113" t="inlineStr">
        <is>
          <t>52주차</t>
        </is>
      </c>
      <c r="C7113" t="e">
        <v>#N/A</v>
      </c>
      <c r="K7113" t="n">
        <v>0</v>
      </c>
      <c r="L7113" t="n">
        <v>0</v>
      </c>
      <c r="M7113" t="n">
        <v>0</v>
      </c>
      <c r="AC7113" t="n">
        <v>0</v>
      </c>
      <c r="AD7113" t="n">
        <v>0</v>
      </c>
      <c r="AE7113" t="n">
        <v>0</v>
      </c>
      <c r="AF7113" t="n">
        <v>0</v>
      </c>
      <c r="AG7113" t="n">
        <v>0</v>
      </c>
      <c r="AH7113" t="n">
        <v>0</v>
      </c>
    </row>
    <row r="7114">
      <c r="A7114" t="inlineStr">
        <is>
          <t>12월</t>
        </is>
      </c>
      <c r="B7114" t="inlineStr">
        <is>
          <t>52주차</t>
        </is>
      </c>
      <c r="C7114" t="e">
        <v>#N/A</v>
      </c>
      <c r="K7114" t="n">
        <v>0</v>
      </c>
      <c r="L7114" t="n">
        <v>0</v>
      </c>
      <c r="M7114" t="n">
        <v>0</v>
      </c>
      <c r="AC7114" t="n">
        <v>0</v>
      </c>
      <c r="AD7114" t="n">
        <v>0</v>
      </c>
      <c r="AE7114" t="n">
        <v>0</v>
      </c>
      <c r="AF7114" t="n">
        <v>0</v>
      </c>
      <c r="AG7114" t="n">
        <v>0</v>
      </c>
      <c r="AH7114" t="n">
        <v>0</v>
      </c>
    </row>
    <row r="7115">
      <c r="A7115" t="inlineStr">
        <is>
          <t>12월</t>
        </is>
      </c>
      <c r="B7115" t="inlineStr">
        <is>
          <t>52주차</t>
        </is>
      </c>
      <c r="C7115" t="e">
        <v>#N/A</v>
      </c>
      <c r="K7115" t="n">
        <v>0</v>
      </c>
      <c r="L7115" t="n">
        <v>0</v>
      </c>
      <c r="M7115" t="n">
        <v>0</v>
      </c>
      <c r="AC7115" t="n">
        <v>0</v>
      </c>
      <c r="AD7115" t="n">
        <v>0</v>
      </c>
      <c r="AE7115" t="n">
        <v>0</v>
      </c>
      <c r="AF7115" t="n">
        <v>0</v>
      </c>
      <c r="AG7115" t="n">
        <v>0</v>
      </c>
      <c r="AH7115" t="n">
        <v>0</v>
      </c>
      <c r="AI7115" t="n">
        <v>0</v>
      </c>
    </row>
    <row r="7116">
      <c r="A7116" t="inlineStr">
        <is>
          <t>12월</t>
        </is>
      </c>
      <c r="B7116" t="inlineStr">
        <is>
          <t>52주차</t>
        </is>
      </c>
      <c r="C7116" t="e">
        <v>#N/A</v>
      </c>
      <c r="K7116" t="n">
        <v>0</v>
      </c>
      <c r="L7116" t="n">
        <v>0</v>
      </c>
      <c r="M7116" t="n">
        <v>0</v>
      </c>
      <c r="AC7116" t="n">
        <v>0</v>
      </c>
      <c r="AD7116" t="n">
        <v>0</v>
      </c>
      <c r="AE7116" t="n">
        <v>0</v>
      </c>
      <c r="AF7116" t="n">
        <v>0</v>
      </c>
      <c r="AG7116" t="n">
        <v>0</v>
      </c>
      <c r="AH7116" t="n">
        <v>0</v>
      </c>
      <c r="AI7116" t="n">
        <v>0</v>
      </c>
    </row>
    <row r="7117">
      <c r="A7117" t="inlineStr">
        <is>
          <t>12월</t>
        </is>
      </c>
      <c r="B7117" t="inlineStr">
        <is>
          <t>52주차</t>
        </is>
      </c>
      <c r="C7117" t="e">
        <v>#N/A</v>
      </c>
      <c r="K7117" t="n">
        <v>0</v>
      </c>
      <c r="L7117" t="n">
        <v>0</v>
      </c>
      <c r="M7117" t="n">
        <v>0</v>
      </c>
      <c r="AC7117" t="n">
        <v>0</v>
      </c>
      <c r="AD7117" t="n">
        <v>0</v>
      </c>
      <c r="AE7117" t="n">
        <v>0</v>
      </c>
      <c r="AF7117" t="n">
        <v>0</v>
      </c>
      <c r="AG7117" t="n">
        <v>0</v>
      </c>
      <c r="AH7117" t="n">
        <v>0</v>
      </c>
      <c r="AI7117" t="n">
        <v>0</v>
      </c>
    </row>
    <row r="7118">
      <c r="A7118" t="inlineStr">
        <is>
          <t>12월</t>
        </is>
      </c>
      <c r="B7118" t="inlineStr">
        <is>
          <t>52주차</t>
        </is>
      </c>
      <c r="C7118" t="e">
        <v>#N/A</v>
      </c>
      <c r="K7118" t="n">
        <v>0</v>
      </c>
      <c r="L7118" t="n">
        <v>0</v>
      </c>
      <c r="M7118" t="n">
        <v>0</v>
      </c>
      <c r="AC7118" t="n">
        <v>0</v>
      </c>
      <c r="AD7118" t="n">
        <v>0</v>
      </c>
      <c r="AE7118" t="n">
        <v>0</v>
      </c>
      <c r="AF7118" t="n">
        <v>0</v>
      </c>
      <c r="AG7118" t="n">
        <v>0</v>
      </c>
      <c r="AH7118" t="n">
        <v>0</v>
      </c>
      <c r="AI7118" t="n">
        <v>0</v>
      </c>
    </row>
    <row r="7119">
      <c r="A7119" t="inlineStr">
        <is>
          <t>12월</t>
        </is>
      </c>
      <c r="B7119" t="inlineStr">
        <is>
          <t>52주차</t>
        </is>
      </c>
      <c r="C7119" t="e">
        <v>#N/A</v>
      </c>
      <c r="K7119" t="n">
        <v>0</v>
      </c>
      <c r="L7119" t="n">
        <v>0</v>
      </c>
      <c r="M7119" t="n">
        <v>0</v>
      </c>
      <c r="AC7119" t="n">
        <v>0</v>
      </c>
      <c r="AD7119" t="n">
        <v>0</v>
      </c>
      <c r="AE7119" t="n">
        <v>0</v>
      </c>
      <c r="AF7119" t="n">
        <v>0</v>
      </c>
      <c r="AG7119" t="n">
        <v>0</v>
      </c>
      <c r="AH7119" t="n">
        <v>0</v>
      </c>
      <c r="AI7119" t="n">
        <v>0</v>
      </c>
    </row>
    <row r="7120">
      <c r="A7120" t="inlineStr">
        <is>
          <t>12월</t>
        </is>
      </c>
      <c r="B7120" t="inlineStr">
        <is>
          <t>52주차</t>
        </is>
      </c>
      <c r="C7120" t="e">
        <v>#N/A</v>
      </c>
      <c r="K7120" t="n">
        <v>0</v>
      </c>
      <c r="L7120" t="n">
        <v>0</v>
      </c>
      <c r="M7120" t="n">
        <v>0</v>
      </c>
      <c r="AC7120" t="n">
        <v>0</v>
      </c>
      <c r="AD7120" t="n">
        <v>0</v>
      </c>
      <c r="AE7120" t="n">
        <v>0</v>
      </c>
      <c r="AF7120" t="n">
        <v>0</v>
      </c>
      <c r="AG7120" t="n">
        <v>0</v>
      </c>
      <c r="AH7120" t="n">
        <v>0</v>
      </c>
    </row>
    <row r="7121">
      <c r="A7121" t="inlineStr">
        <is>
          <t>12월</t>
        </is>
      </c>
      <c r="B7121" t="inlineStr">
        <is>
          <t>52주차</t>
        </is>
      </c>
      <c r="C7121" t="e">
        <v>#N/A</v>
      </c>
      <c r="K7121" t="n">
        <v>0</v>
      </c>
      <c r="L7121" t="n">
        <v>0</v>
      </c>
      <c r="M7121" t="n">
        <v>0</v>
      </c>
      <c r="AC7121" t="n">
        <v>0</v>
      </c>
      <c r="AD7121" t="n">
        <v>0</v>
      </c>
      <c r="AE7121" t="n">
        <v>0</v>
      </c>
      <c r="AF7121" t="n">
        <v>0</v>
      </c>
      <c r="AG7121" t="n">
        <v>0</v>
      </c>
      <c r="AH7121" t="n">
        <v>0</v>
      </c>
    </row>
    <row r="7122">
      <c r="A7122" t="inlineStr">
        <is>
          <t>12월</t>
        </is>
      </c>
      <c r="B7122" t="inlineStr">
        <is>
          <t>52주차</t>
        </is>
      </c>
      <c r="C7122" t="e">
        <v>#N/A</v>
      </c>
      <c r="K7122" t="n">
        <v>0</v>
      </c>
      <c r="L7122" t="n">
        <v>0</v>
      </c>
      <c r="M7122" t="n">
        <v>0</v>
      </c>
      <c r="AC7122" t="n">
        <v>0</v>
      </c>
      <c r="AD7122" t="n">
        <v>0</v>
      </c>
      <c r="AE7122" t="n">
        <v>0</v>
      </c>
      <c r="AF7122" t="n">
        <v>0</v>
      </c>
      <c r="AG7122" t="n">
        <v>0</v>
      </c>
      <c r="AH7122" t="n">
        <v>0</v>
      </c>
      <c r="AI7122" t="n">
        <v>0</v>
      </c>
    </row>
    <row r="7123">
      <c r="A7123" t="inlineStr">
        <is>
          <t>12월</t>
        </is>
      </c>
      <c r="B7123" t="inlineStr">
        <is>
          <t>52주차</t>
        </is>
      </c>
      <c r="C7123" t="e">
        <v>#N/A</v>
      </c>
      <c r="K7123" t="n">
        <v>0</v>
      </c>
      <c r="L7123" t="n">
        <v>0</v>
      </c>
      <c r="M7123" t="n">
        <v>0</v>
      </c>
      <c r="AC7123" t="n">
        <v>0</v>
      </c>
      <c r="AD7123" t="n">
        <v>0</v>
      </c>
      <c r="AE7123" t="n">
        <v>0</v>
      </c>
      <c r="AF7123" t="n">
        <v>0</v>
      </c>
      <c r="AG7123" t="n">
        <v>0</v>
      </c>
      <c r="AH7123" t="n">
        <v>0</v>
      </c>
      <c r="AI7123" t="n">
        <v>0</v>
      </c>
    </row>
    <row r="7124">
      <c r="A7124" t="inlineStr">
        <is>
          <t>12월</t>
        </is>
      </c>
      <c r="B7124" t="inlineStr">
        <is>
          <t>52주차</t>
        </is>
      </c>
      <c r="C7124" t="e">
        <v>#N/A</v>
      </c>
      <c r="K7124" t="n">
        <v>0</v>
      </c>
      <c r="L7124" t="n">
        <v>0</v>
      </c>
      <c r="M7124" t="n">
        <v>0</v>
      </c>
      <c r="AC7124" t="n">
        <v>0</v>
      </c>
      <c r="AD7124" t="n">
        <v>0</v>
      </c>
      <c r="AE7124" t="n">
        <v>0</v>
      </c>
      <c r="AF7124" t="n">
        <v>0</v>
      </c>
      <c r="AG7124" t="n">
        <v>0</v>
      </c>
      <c r="AH7124" t="n">
        <v>0</v>
      </c>
      <c r="AI7124" t="n">
        <v>0</v>
      </c>
    </row>
    <row r="7125">
      <c r="A7125" t="inlineStr">
        <is>
          <t>12월</t>
        </is>
      </c>
      <c r="B7125" t="inlineStr">
        <is>
          <t>52주차</t>
        </is>
      </c>
      <c r="C7125" t="e">
        <v>#N/A</v>
      </c>
      <c r="K7125" t="n">
        <v>0</v>
      </c>
      <c r="L7125" t="n">
        <v>0</v>
      </c>
      <c r="M7125" t="n">
        <v>0</v>
      </c>
      <c r="AC7125" t="n">
        <v>0</v>
      </c>
      <c r="AD7125" t="n">
        <v>0</v>
      </c>
      <c r="AE7125" t="n">
        <v>0</v>
      </c>
      <c r="AF7125" t="n">
        <v>0</v>
      </c>
      <c r="AG7125" t="n">
        <v>0</v>
      </c>
      <c r="AH7125" t="n">
        <v>0</v>
      </c>
    </row>
    <row r="7126">
      <c r="A7126" t="inlineStr">
        <is>
          <t>12월</t>
        </is>
      </c>
      <c r="B7126" t="inlineStr">
        <is>
          <t>52주차</t>
        </is>
      </c>
      <c r="C7126" t="e">
        <v>#N/A</v>
      </c>
      <c r="K7126" t="n">
        <v>0</v>
      </c>
      <c r="L7126" t="n">
        <v>0</v>
      </c>
      <c r="M7126" t="n">
        <v>0</v>
      </c>
      <c r="AC7126" t="n">
        <v>0</v>
      </c>
      <c r="AD7126" t="n">
        <v>0</v>
      </c>
      <c r="AE7126" t="n">
        <v>0</v>
      </c>
      <c r="AF7126" t="n">
        <v>0</v>
      </c>
      <c r="AG7126" t="n">
        <v>0</v>
      </c>
      <c r="AH7126" t="n">
        <v>0</v>
      </c>
      <c r="AI7126" t="n">
        <v>0</v>
      </c>
    </row>
    <row r="7127">
      <c r="A7127" t="inlineStr">
        <is>
          <t>12월</t>
        </is>
      </c>
      <c r="B7127" t="inlineStr">
        <is>
          <t>52주차</t>
        </is>
      </c>
      <c r="C7127" t="e">
        <v>#N/A</v>
      </c>
      <c r="K7127" t="n">
        <v>0</v>
      </c>
      <c r="L7127" t="n">
        <v>0</v>
      </c>
      <c r="M7127" t="n">
        <v>0</v>
      </c>
      <c r="AC7127" t="n">
        <v>0</v>
      </c>
      <c r="AD7127" t="n">
        <v>0</v>
      </c>
      <c r="AE7127" t="n">
        <v>0</v>
      </c>
      <c r="AF7127" t="n">
        <v>0</v>
      </c>
      <c r="AG7127" t="n">
        <v>0</v>
      </c>
      <c r="AH7127" t="n">
        <v>0</v>
      </c>
    </row>
    <row r="7128">
      <c r="A7128" t="inlineStr">
        <is>
          <t>12월</t>
        </is>
      </c>
      <c r="B7128" t="inlineStr">
        <is>
          <t>52주차</t>
        </is>
      </c>
      <c r="C7128" t="e">
        <v>#N/A</v>
      </c>
      <c r="K7128" t="n">
        <v>0</v>
      </c>
      <c r="L7128" t="n">
        <v>0</v>
      </c>
      <c r="M7128" t="n">
        <v>0</v>
      </c>
      <c r="AC7128" t="n">
        <v>0</v>
      </c>
      <c r="AD7128" t="n">
        <v>0</v>
      </c>
      <c r="AE7128" t="n">
        <v>0</v>
      </c>
      <c r="AF7128" t="n">
        <v>0</v>
      </c>
      <c r="AG7128" t="n">
        <v>0</v>
      </c>
      <c r="AH7128" t="n">
        <v>0</v>
      </c>
    </row>
    <row r="7129">
      <c r="A7129" t="inlineStr">
        <is>
          <t>12월</t>
        </is>
      </c>
      <c r="B7129" t="inlineStr">
        <is>
          <t>52주차</t>
        </is>
      </c>
      <c r="C7129" t="e">
        <v>#N/A</v>
      </c>
      <c r="K7129" t="n">
        <v>0</v>
      </c>
      <c r="L7129" t="n">
        <v>0</v>
      </c>
      <c r="M7129" t="n">
        <v>0</v>
      </c>
      <c r="AC7129" t="n">
        <v>0</v>
      </c>
      <c r="AD7129" t="n">
        <v>0</v>
      </c>
      <c r="AE7129" t="n">
        <v>0</v>
      </c>
      <c r="AF7129" t="n">
        <v>0</v>
      </c>
      <c r="AG7129" t="n">
        <v>0</v>
      </c>
      <c r="AH7129" t="n">
        <v>0</v>
      </c>
    </row>
    <row r="7130">
      <c r="A7130" t="inlineStr">
        <is>
          <t>12월</t>
        </is>
      </c>
      <c r="B7130" t="inlineStr">
        <is>
          <t>52주차</t>
        </is>
      </c>
      <c r="C7130" t="e">
        <v>#N/A</v>
      </c>
      <c r="K7130" t="n">
        <v>0</v>
      </c>
      <c r="L7130" t="n">
        <v>0</v>
      </c>
      <c r="M7130" t="n">
        <v>0</v>
      </c>
      <c r="AC7130" t="n">
        <v>0</v>
      </c>
      <c r="AD7130" t="n">
        <v>0</v>
      </c>
      <c r="AE7130" t="n">
        <v>0</v>
      </c>
      <c r="AF7130" t="n">
        <v>0</v>
      </c>
      <c r="AG7130" t="n">
        <v>0</v>
      </c>
      <c r="AH7130" t="n">
        <v>0</v>
      </c>
      <c r="AI7130" t="n">
        <v>0</v>
      </c>
    </row>
    <row r="7131">
      <c r="A7131" t="inlineStr">
        <is>
          <t>12월</t>
        </is>
      </c>
      <c r="B7131" t="inlineStr">
        <is>
          <t>52주차</t>
        </is>
      </c>
      <c r="C7131" t="e">
        <v>#N/A</v>
      </c>
      <c r="K7131" t="n">
        <v>0</v>
      </c>
      <c r="L7131" t="n">
        <v>0</v>
      </c>
      <c r="M7131" t="n">
        <v>0</v>
      </c>
      <c r="AC7131" t="n">
        <v>0</v>
      </c>
      <c r="AD7131" t="n">
        <v>0</v>
      </c>
      <c r="AE7131" t="n">
        <v>0</v>
      </c>
      <c r="AF7131" t="n">
        <v>0</v>
      </c>
      <c r="AG7131" t="n">
        <v>0</v>
      </c>
      <c r="AH7131" t="n">
        <v>0</v>
      </c>
      <c r="AI7131" t="n">
        <v>0</v>
      </c>
    </row>
    <row r="7132">
      <c r="A7132" t="inlineStr">
        <is>
          <t>12월</t>
        </is>
      </c>
      <c r="B7132" t="inlineStr">
        <is>
          <t>52주차</t>
        </is>
      </c>
      <c r="C7132" t="e">
        <v>#N/A</v>
      </c>
      <c r="K7132" t="n">
        <v>0</v>
      </c>
      <c r="L7132" t="n">
        <v>0</v>
      </c>
      <c r="M7132" t="n">
        <v>0</v>
      </c>
      <c r="AC7132" t="n">
        <v>0</v>
      </c>
      <c r="AD7132" t="n">
        <v>0</v>
      </c>
      <c r="AE7132" t="n">
        <v>0</v>
      </c>
      <c r="AF7132" t="n">
        <v>0</v>
      </c>
      <c r="AG7132" t="n">
        <v>0</v>
      </c>
      <c r="AH7132" t="n">
        <v>0</v>
      </c>
      <c r="AI7132" t="n">
        <v>0</v>
      </c>
    </row>
    <row r="7133">
      <c r="A7133" t="inlineStr">
        <is>
          <t>12월</t>
        </is>
      </c>
      <c r="B7133" t="inlineStr">
        <is>
          <t>52주차</t>
        </is>
      </c>
      <c r="C7133" t="e">
        <v>#N/A</v>
      </c>
      <c r="K7133" t="n">
        <v>0</v>
      </c>
      <c r="L7133" t="n">
        <v>0</v>
      </c>
      <c r="M7133" t="n">
        <v>0</v>
      </c>
      <c r="AC7133" t="n">
        <v>0</v>
      </c>
      <c r="AD7133" t="n">
        <v>0</v>
      </c>
      <c r="AE7133" t="n">
        <v>0</v>
      </c>
      <c r="AF7133" t="n">
        <v>0</v>
      </c>
      <c r="AG7133" t="n">
        <v>0</v>
      </c>
      <c r="AH7133" t="n">
        <v>0</v>
      </c>
      <c r="AI7133" t="n">
        <v>0</v>
      </c>
    </row>
    <row r="7134">
      <c r="A7134" t="inlineStr">
        <is>
          <t>12월</t>
        </is>
      </c>
      <c r="B7134" t="inlineStr">
        <is>
          <t>52주차</t>
        </is>
      </c>
      <c r="C7134" t="e">
        <v>#N/A</v>
      </c>
      <c r="K7134" t="n">
        <v>0</v>
      </c>
      <c r="L7134" t="n">
        <v>0</v>
      </c>
      <c r="M7134" t="n">
        <v>0</v>
      </c>
      <c r="AC7134" t="n">
        <v>0</v>
      </c>
      <c r="AD7134" t="n">
        <v>0</v>
      </c>
      <c r="AE7134" t="n">
        <v>0</v>
      </c>
      <c r="AF7134" t="n">
        <v>0</v>
      </c>
      <c r="AG7134" t="n">
        <v>0</v>
      </c>
      <c r="AH7134" t="n">
        <v>0</v>
      </c>
      <c r="AI7134" t="n">
        <v>0</v>
      </c>
    </row>
    <row r="7135">
      <c r="A7135" t="inlineStr">
        <is>
          <t>12월</t>
        </is>
      </c>
      <c r="B7135" t="inlineStr">
        <is>
          <t>52주차</t>
        </is>
      </c>
      <c r="C7135" t="e">
        <v>#N/A</v>
      </c>
      <c r="K7135" t="n">
        <v>0</v>
      </c>
      <c r="L7135" t="n">
        <v>0</v>
      </c>
      <c r="M7135" t="n">
        <v>0</v>
      </c>
      <c r="AC7135" t="n">
        <v>0</v>
      </c>
      <c r="AD7135" t="n">
        <v>0</v>
      </c>
      <c r="AE7135" t="n">
        <v>0</v>
      </c>
      <c r="AF7135" t="n">
        <v>0</v>
      </c>
      <c r="AG7135" t="n">
        <v>0</v>
      </c>
      <c r="AH7135" t="n">
        <v>0</v>
      </c>
      <c r="AI7135" t="n">
        <v>0</v>
      </c>
    </row>
    <row r="7136">
      <c r="A7136" t="inlineStr">
        <is>
          <t>12월</t>
        </is>
      </c>
      <c r="B7136" t="inlineStr">
        <is>
          <t>52주차</t>
        </is>
      </c>
      <c r="C7136" t="e">
        <v>#N/A</v>
      </c>
      <c r="K7136" t="n">
        <v>0</v>
      </c>
      <c r="L7136" t="n">
        <v>0</v>
      </c>
      <c r="M7136" t="n">
        <v>0</v>
      </c>
      <c r="AC7136" t="n">
        <v>0</v>
      </c>
      <c r="AD7136" t="n">
        <v>0</v>
      </c>
      <c r="AE7136" t="n">
        <v>0</v>
      </c>
      <c r="AF7136" t="n">
        <v>0</v>
      </c>
      <c r="AG7136" t="n">
        <v>0</v>
      </c>
      <c r="AH7136" t="n">
        <v>0</v>
      </c>
      <c r="AI7136" t="n">
        <v>0</v>
      </c>
    </row>
    <row r="7137">
      <c r="A7137" t="inlineStr">
        <is>
          <t>12월</t>
        </is>
      </c>
      <c r="B7137" t="inlineStr">
        <is>
          <t>52주차</t>
        </is>
      </c>
      <c r="C7137" t="e">
        <v>#N/A</v>
      </c>
      <c r="K7137" t="n">
        <v>0</v>
      </c>
      <c r="L7137" t="n">
        <v>0</v>
      </c>
      <c r="M7137" t="n">
        <v>0</v>
      </c>
      <c r="AC7137" t="n">
        <v>0</v>
      </c>
      <c r="AD7137" t="n">
        <v>0</v>
      </c>
      <c r="AE7137" t="n">
        <v>0</v>
      </c>
      <c r="AF7137" t="n">
        <v>0</v>
      </c>
      <c r="AG7137" t="n">
        <v>0</v>
      </c>
      <c r="AH7137" t="n">
        <v>0</v>
      </c>
      <c r="AI7137" t="n">
        <v>0</v>
      </c>
    </row>
    <row r="7138">
      <c r="A7138" t="inlineStr">
        <is>
          <t>12월</t>
        </is>
      </c>
      <c r="B7138" t="inlineStr">
        <is>
          <t>52주차</t>
        </is>
      </c>
      <c r="C7138" t="e">
        <v>#N/A</v>
      </c>
      <c r="K7138" t="n">
        <v>0</v>
      </c>
      <c r="L7138" t="n">
        <v>0</v>
      </c>
      <c r="M7138" t="n">
        <v>0</v>
      </c>
      <c r="AC7138" t="n">
        <v>0</v>
      </c>
      <c r="AD7138" t="n">
        <v>0</v>
      </c>
      <c r="AE7138" t="n">
        <v>0</v>
      </c>
      <c r="AF7138" t="n">
        <v>0</v>
      </c>
      <c r="AG7138" t="n">
        <v>0</v>
      </c>
      <c r="AH7138" t="n">
        <v>0</v>
      </c>
      <c r="AI7138" t="n">
        <v>0</v>
      </c>
    </row>
    <row r="7139">
      <c r="A7139" t="inlineStr">
        <is>
          <t>12월</t>
        </is>
      </c>
      <c r="B7139" t="inlineStr">
        <is>
          <t>52주차</t>
        </is>
      </c>
      <c r="C7139" t="e">
        <v>#N/A</v>
      </c>
      <c r="K7139" t="n">
        <v>0</v>
      </c>
      <c r="L7139" t="n">
        <v>0</v>
      </c>
      <c r="M7139" t="n">
        <v>0</v>
      </c>
      <c r="AC7139" t="n">
        <v>0</v>
      </c>
      <c r="AD7139" t="n">
        <v>0</v>
      </c>
      <c r="AE7139" t="n">
        <v>0</v>
      </c>
      <c r="AF7139" t="n">
        <v>0</v>
      </c>
      <c r="AG7139" t="n">
        <v>0</v>
      </c>
      <c r="AH7139" t="n">
        <v>0</v>
      </c>
      <c r="AI7139" t="n">
        <v>0</v>
      </c>
    </row>
    <row r="7140">
      <c r="A7140" t="inlineStr">
        <is>
          <t>12월</t>
        </is>
      </c>
      <c r="B7140" t="inlineStr">
        <is>
          <t>52주차</t>
        </is>
      </c>
      <c r="C7140" t="e">
        <v>#N/A</v>
      </c>
      <c r="K7140" t="n">
        <v>0</v>
      </c>
      <c r="L7140" t="n">
        <v>0</v>
      </c>
      <c r="M7140" t="n">
        <v>0</v>
      </c>
      <c r="AC7140" t="n">
        <v>0</v>
      </c>
      <c r="AD7140" t="n">
        <v>0</v>
      </c>
      <c r="AE7140" t="n">
        <v>0</v>
      </c>
      <c r="AF7140" t="n">
        <v>0</v>
      </c>
      <c r="AG7140" t="n">
        <v>0</v>
      </c>
      <c r="AH7140" t="n">
        <v>0</v>
      </c>
    </row>
    <row r="7141">
      <c r="A7141" t="inlineStr">
        <is>
          <t>12월</t>
        </is>
      </c>
      <c r="B7141" t="inlineStr">
        <is>
          <t>52주차</t>
        </is>
      </c>
      <c r="C7141" t="e">
        <v>#N/A</v>
      </c>
      <c r="K7141" t="n">
        <v>0</v>
      </c>
      <c r="L7141" t="n">
        <v>0</v>
      </c>
      <c r="M7141" t="n">
        <v>0</v>
      </c>
      <c r="AC7141" t="n">
        <v>0</v>
      </c>
      <c r="AD7141" t="n">
        <v>0</v>
      </c>
      <c r="AE7141" t="n">
        <v>0</v>
      </c>
      <c r="AF7141" t="n">
        <v>0</v>
      </c>
      <c r="AG7141" t="n">
        <v>0</v>
      </c>
      <c r="AH7141" t="n">
        <v>0</v>
      </c>
      <c r="AI7141" t="n">
        <v>0</v>
      </c>
    </row>
    <row r="7142">
      <c r="A7142" t="inlineStr">
        <is>
          <t>12월</t>
        </is>
      </c>
      <c r="B7142" t="inlineStr">
        <is>
          <t>52주차</t>
        </is>
      </c>
      <c r="C7142" t="e">
        <v>#N/A</v>
      </c>
      <c r="K7142" t="n">
        <v>0</v>
      </c>
      <c r="L7142" t="n">
        <v>0</v>
      </c>
      <c r="M7142" t="n">
        <v>0</v>
      </c>
      <c r="AC7142" t="n">
        <v>0</v>
      </c>
      <c r="AD7142" t="n">
        <v>0</v>
      </c>
      <c r="AE7142" t="n">
        <v>0</v>
      </c>
      <c r="AF7142" t="n">
        <v>0</v>
      </c>
      <c r="AG7142" t="n">
        <v>0</v>
      </c>
      <c r="AH7142" t="n">
        <v>0</v>
      </c>
      <c r="AI7142" t="n">
        <v>0</v>
      </c>
    </row>
    <row r="7143">
      <c r="A7143" t="inlineStr">
        <is>
          <t>12월</t>
        </is>
      </c>
      <c r="B7143" t="inlineStr">
        <is>
          <t>52주차</t>
        </is>
      </c>
      <c r="C7143" t="e">
        <v>#N/A</v>
      </c>
      <c r="K7143" t="n">
        <v>0</v>
      </c>
      <c r="L7143" t="n">
        <v>0</v>
      </c>
      <c r="M7143" t="n">
        <v>0</v>
      </c>
      <c r="AC7143" t="n">
        <v>0</v>
      </c>
      <c r="AD7143" t="n">
        <v>0</v>
      </c>
      <c r="AE7143" t="n">
        <v>0</v>
      </c>
      <c r="AF7143" t="n">
        <v>0</v>
      </c>
      <c r="AG7143" t="n">
        <v>0</v>
      </c>
      <c r="AH7143" t="n">
        <v>0</v>
      </c>
      <c r="AI7143" t="n">
        <v>0</v>
      </c>
    </row>
    <row r="7144">
      <c r="A7144" t="inlineStr">
        <is>
          <t>12월</t>
        </is>
      </c>
      <c r="B7144" t="inlineStr">
        <is>
          <t>52주차</t>
        </is>
      </c>
      <c r="C7144" t="e">
        <v>#N/A</v>
      </c>
      <c r="K7144" t="n">
        <v>0</v>
      </c>
      <c r="L7144" t="n">
        <v>0</v>
      </c>
      <c r="M7144" t="n">
        <v>0</v>
      </c>
      <c r="AC7144" t="n">
        <v>0</v>
      </c>
      <c r="AD7144" t="n">
        <v>0</v>
      </c>
      <c r="AE7144" t="n">
        <v>0</v>
      </c>
      <c r="AF7144" t="n">
        <v>0</v>
      </c>
      <c r="AG7144" t="n">
        <v>0</v>
      </c>
      <c r="AH7144" t="n">
        <v>0</v>
      </c>
      <c r="AI7144" t="n">
        <v>0</v>
      </c>
    </row>
    <row r="7145">
      <c r="A7145" t="inlineStr">
        <is>
          <t>12월</t>
        </is>
      </c>
      <c r="B7145" t="inlineStr">
        <is>
          <t>52주차</t>
        </is>
      </c>
      <c r="C7145" t="e">
        <v>#N/A</v>
      </c>
      <c r="K7145" t="n">
        <v>0</v>
      </c>
      <c r="L7145" t="n">
        <v>0</v>
      </c>
      <c r="M7145" t="n">
        <v>0</v>
      </c>
      <c r="AC7145" t="n">
        <v>0</v>
      </c>
      <c r="AD7145" t="n">
        <v>0</v>
      </c>
      <c r="AE7145" t="n">
        <v>0</v>
      </c>
      <c r="AF7145" t="n">
        <v>0</v>
      </c>
      <c r="AG7145" t="n">
        <v>0</v>
      </c>
      <c r="AH7145" t="n">
        <v>0</v>
      </c>
      <c r="AI7145" t="n">
        <v>0</v>
      </c>
    </row>
    <row r="7146">
      <c r="A7146" t="inlineStr">
        <is>
          <t>12월</t>
        </is>
      </c>
      <c r="B7146" t="inlineStr">
        <is>
          <t>52주차</t>
        </is>
      </c>
      <c r="C7146" t="e">
        <v>#N/A</v>
      </c>
      <c r="K7146" t="n">
        <v>0</v>
      </c>
      <c r="L7146" t="n">
        <v>0</v>
      </c>
      <c r="M7146" t="n">
        <v>0</v>
      </c>
      <c r="AC7146" t="n">
        <v>0</v>
      </c>
      <c r="AD7146" t="n">
        <v>0</v>
      </c>
      <c r="AE7146" t="n">
        <v>0</v>
      </c>
      <c r="AF7146" t="n">
        <v>0</v>
      </c>
      <c r="AG7146" t="n">
        <v>0</v>
      </c>
      <c r="AH7146" t="n">
        <v>0</v>
      </c>
      <c r="AI7146" t="n">
        <v>0</v>
      </c>
    </row>
    <row r="7147">
      <c r="A7147" t="inlineStr">
        <is>
          <t>12월</t>
        </is>
      </c>
      <c r="B7147" t="inlineStr">
        <is>
          <t>52주차</t>
        </is>
      </c>
      <c r="C7147" t="e">
        <v>#N/A</v>
      </c>
      <c r="K7147" t="n">
        <v>0</v>
      </c>
      <c r="L7147" t="n">
        <v>0</v>
      </c>
      <c r="M7147" t="n">
        <v>0</v>
      </c>
      <c r="AC7147" t="n">
        <v>0</v>
      </c>
      <c r="AD7147" t="n">
        <v>0</v>
      </c>
      <c r="AE7147" t="n">
        <v>0</v>
      </c>
      <c r="AF7147" t="n">
        <v>0</v>
      </c>
      <c r="AG7147" t="n">
        <v>0</v>
      </c>
      <c r="AH7147" t="n">
        <v>0</v>
      </c>
    </row>
    <row r="7148">
      <c r="A7148" t="inlineStr">
        <is>
          <t>12월</t>
        </is>
      </c>
      <c r="B7148" t="inlineStr">
        <is>
          <t>52주차</t>
        </is>
      </c>
      <c r="C7148" t="e">
        <v>#N/A</v>
      </c>
      <c r="K7148" t="n">
        <v>0</v>
      </c>
      <c r="L7148" t="n">
        <v>0</v>
      </c>
      <c r="M7148" t="n">
        <v>0</v>
      </c>
      <c r="AC7148" t="n">
        <v>0</v>
      </c>
      <c r="AD7148" t="n">
        <v>0</v>
      </c>
      <c r="AE7148" t="n">
        <v>0</v>
      </c>
      <c r="AF7148" t="n">
        <v>0</v>
      </c>
      <c r="AG7148" t="n">
        <v>0</v>
      </c>
      <c r="AH7148" t="n">
        <v>0</v>
      </c>
    </row>
    <row r="7149">
      <c r="A7149" t="inlineStr">
        <is>
          <t>12월</t>
        </is>
      </c>
      <c r="B7149" t="inlineStr">
        <is>
          <t>52주차</t>
        </is>
      </c>
      <c r="C7149" t="e">
        <v>#N/A</v>
      </c>
      <c r="K7149" t="n">
        <v>0</v>
      </c>
      <c r="L7149" t="n">
        <v>0</v>
      </c>
      <c r="M7149" t="n">
        <v>0</v>
      </c>
      <c r="AC7149" t="n">
        <v>0</v>
      </c>
      <c r="AD7149" t="n">
        <v>0</v>
      </c>
      <c r="AE7149" t="n">
        <v>0</v>
      </c>
      <c r="AF7149" t="n">
        <v>0</v>
      </c>
      <c r="AG7149" t="n">
        <v>0</v>
      </c>
      <c r="AH7149" t="n">
        <v>0</v>
      </c>
      <c r="AI7149" t="n">
        <v>0</v>
      </c>
    </row>
    <row r="7150">
      <c r="A7150" t="inlineStr">
        <is>
          <t>12월</t>
        </is>
      </c>
      <c r="B7150" t="inlineStr">
        <is>
          <t>52주차</t>
        </is>
      </c>
      <c r="C7150" t="e">
        <v>#N/A</v>
      </c>
      <c r="K7150" t="n">
        <v>0</v>
      </c>
      <c r="L7150" t="n">
        <v>0</v>
      </c>
      <c r="M7150" t="n">
        <v>0</v>
      </c>
      <c r="AC7150" t="n">
        <v>0</v>
      </c>
      <c r="AD7150" t="n">
        <v>0</v>
      </c>
      <c r="AE7150" t="n">
        <v>0</v>
      </c>
      <c r="AF7150" t="n">
        <v>0</v>
      </c>
      <c r="AG7150" t="n">
        <v>0</v>
      </c>
      <c r="AH7150" t="n">
        <v>0</v>
      </c>
      <c r="AI7150" t="n">
        <v>0</v>
      </c>
    </row>
    <row r="7151">
      <c r="A7151" t="inlineStr">
        <is>
          <t>12월</t>
        </is>
      </c>
      <c r="B7151" t="inlineStr">
        <is>
          <t>52주차</t>
        </is>
      </c>
      <c r="C7151" t="e">
        <v>#N/A</v>
      </c>
      <c r="K7151" t="n">
        <v>0</v>
      </c>
      <c r="L7151" t="n">
        <v>0</v>
      </c>
      <c r="M7151" t="n">
        <v>0</v>
      </c>
      <c r="AC7151" t="n">
        <v>0</v>
      </c>
      <c r="AD7151" t="n">
        <v>0</v>
      </c>
      <c r="AE7151" t="n">
        <v>0</v>
      </c>
      <c r="AF7151" t="n">
        <v>0</v>
      </c>
      <c r="AG7151" t="n">
        <v>0</v>
      </c>
      <c r="AH7151" t="n">
        <v>0</v>
      </c>
      <c r="AI7151" t="n">
        <v>0</v>
      </c>
    </row>
    <row r="7152">
      <c r="A7152" t="inlineStr">
        <is>
          <t>12월</t>
        </is>
      </c>
      <c r="B7152" t="inlineStr">
        <is>
          <t>52주차</t>
        </is>
      </c>
      <c r="C7152" t="e">
        <v>#N/A</v>
      </c>
      <c r="K7152" t="n">
        <v>0</v>
      </c>
      <c r="L7152" t="n">
        <v>0</v>
      </c>
      <c r="M7152" t="n">
        <v>0</v>
      </c>
      <c r="AC7152" t="n">
        <v>0</v>
      </c>
      <c r="AD7152" t="n">
        <v>0</v>
      </c>
      <c r="AE7152" t="n">
        <v>0</v>
      </c>
      <c r="AF7152" t="n">
        <v>0</v>
      </c>
      <c r="AG7152" t="n">
        <v>0</v>
      </c>
      <c r="AH7152" t="n">
        <v>0</v>
      </c>
      <c r="AI7152" t="n">
        <v>0</v>
      </c>
    </row>
    <row r="7153">
      <c r="A7153" t="inlineStr">
        <is>
          <t>12월</t>
        </is>
      </c>
      <c r="B7153" t="inlineStr">
        <is>
          <t>52주차</t>
        </is>
      </c>
      <c r="C7153" t="e">
        <v>#N/A</v>
      </c>
      <c r="K7153" t="n">
        <v>0</v>
      </c>
      <c r="L7153" t="n">
        <v>0</v>
      </c>
      <c r="M7153" t="n">
        <v>0</v>
      </c>
      <c r="AC7153" t="n">
        <v>0</v>
      </c>
      <c r="AD7153" t="n">
        <v>0</v>
      </c>
      <c r="AE7153" t="n">
        <v>0</v>
      </c>
      <c r="AF7153" t="n">
        <v>0</v>
      </c>
      <c r="AG7153" t="n">
        <v>0</v>
      </c>
      <c r="AH7153" t="n">
        <v>0</v>
      </c>
      <c r="AI7153" t="n">
        <v>0</v>
      </c>
    </row>
    <row r="7154">
      <c r="A7154" t="inlineStr">
        <is>
          <t>12월</t>
        </is>
      </c>
      <c r="B7154" t="inlineStr">
        <is>
          <t>52주차</t>
        </is>
      </c>
      <c r="C7154" t="e">
        <v>#N/A</v>
      </c>
      <c r="K7154" t="n">
        <v>0</v>
      </c>
      <c r="L7154" t="n">
        <v>0</v>
      </c>
      <c r="M7154" t="n">
        <v>0</v>
      </c>
      <c r="AC7154" t="n">
        <v>0</v>
      </c>
      <c r="AD7154" t="n">
        <v>0</v>
      </c>
      <c r="AE7154" t="n">
        <v>0</v>
      </c>
      <c r="AF7154" t="n">
        <v>0</v>
      </c>
      <c r="AG7154" t="n">
        <v>0</v>
      </c>
      <c r="AH7154" t="n">
        <v>0</v>
      </c>
      <c r="AI7154" t="n">
        <v>0</v>
      </c>
    </row>
    <row r="7155">
      <c r="A7155" t="inlineStr">
        <is>
          <t>12월</t>
        </is>
      </c>
      <c r="B7155" t="inlineStr">
        <is>
          <t>52주차</t>
        </is>
      </c>
      <c r="C7155" t="e">
        <v>#N/A</v>
      </c>
      <c r="K7155" t="n">
        <v>0</v>
      </c>
      <c r="L7155" t="n">
        <v>0</v>
      </c>
      <c r="M7155" t="n">
        <v>0</v>
      </c>
      <c r="AC7155" t="n">
        <v>0</v>
      </c>
      <c r="AD7155" t="n">
        <v>0</v>
      </c>
      <c r="AE7155" t="n">
        <v>0</v>
      </c>
      <c r="AF7155" t="n">
        <v>0</v>
      </c>
      <c r="AG7155" t="n">
        <v>0</v>
      </c>
      <c r="AH7155" t="n">
        <v>0</v>
      </c>
      <c r="AI7155" t="n">
        <v>0</v>
      </c>
    </row>
    <row r="7156">
      <c r="A7156" t="inlineStr">
        <is>
          <t>12월</t>
        </is>
      </c>
      <c r="B7156" t="inlineStr">
        <is>
          <t>52주차</t>
        </is>
      </c>
      <c r="C7156" t="e">
        <v>#N/A</v>
      </c>
      <c r="K7156" t="n">
        <v>0</v>
      </c>
      <c r="L7156" t="n">
        <v>0</v>
      </c>
      <c r="M7156" t="n">
        <v>0</v>
      </c>
      <c r="AC7156" t="n">
        <v>0</v>
      </c>
      <c r="AD7156" t="n">
        <v>0</v>
      </c>
      <c r="AE7156" t="n">
        <v>0</v>
      </c>
      <c r="AF7156" t="n">
        <v>0</v>
      </c>
      <c r="AG7156" t="n">
        <v>0</v>
      </c>
      <c r="AH7156" t="n">
        <v>0</v>
      </c>
      <c r="AI7156" t="n">
        <v>0</v>
      </c>
    </row>
    <row r="7157">
      <c r="A7157" t="inlineStr">
        <is>
          <t>12월</t>
        </is>
      </c>
      <c r="B7157" t="inlineStr">
        <is>
          <t>52주차</t>
        </is>
      </c>
      <c r="C7157" t="e">
        <v>#N/A</v>
      </c>
      <c r="K7157" t="n">
        <v>0</v>
      </c>
      <c r="L7157" t="n">
        <v>0</v>
      </c>
      <c r="M7157" t="n">
        <v>0</v>
      </c>
      <c r="AC7157" t="n">
        <v>0</v>
      </c>
      <c r="AD7157" t="n">
        <v>0</v>
      </c>
      <c r="AE7157" t="n">
        <v>0</v>
      </c>
      <c r="AF7157" t="n">
        <v>0</v>
      </c>
      <c r="AG7157" t="n">
        <v>0</v>
      </c>
      <c r="AH7157" t="n">
        <v>0</v>
      </c>
      <c r="AI7157" t="n">
        <v>0</v>
      </c>
    </row>
    <row r="7158">
      <c r="A7158" t="inlineStr">
        <is>
          <t>12월</t>
        </is>
      </c>
      <c r="B7158" t="inlineStr">
        <is>
          <t>52주차</t>
        </is>
      </c>
      <c r="C7158" t="e">
        <v>#N/A</v>
      </c>
      <c r="K7158" t="n">
        <v>0</v>
      </c>
      <c r="L7158" t="n">
        <v>0</v>
      </c>
      <c r="M7158" t="n">
        <v>0</v>
      </c>
      <c r="AC7158" t="n">
        <v>0</v>
      </c>
      <c r="AD7158" t="n">
        <v>0</v>
      </c>
      <c r="AE7158" t="n">
        <v>0</v>
      </c>
      <c r="AF7158" t="n">
        <v>0</v>
      </c>
      <c r="AG7158" t="n">
        <v>0</v>
      </c>
      <c r="AH7158" t="n">
        <v>0</v>
      </c>
    </row>
    <row r="7159">
      <c r="A7159" t="inlineStr">
        <is>
          <t>12월</t>
        </is>
      </c>
      <c r="B7159" t="inlineStr">
        <is>
          <t>52주차</t>
        </is>
      </c>
      <c r="C7159" t="e">
        <v>#N/A</v>
      </c>
      <c r="K7159" t="n">
        <v>0</v>
      </c>
      <c r="L7159" t="n">
        <v>0</v>
      </c>
      <c r="M7159" t="n">
        <v>0</v>
      </c>
      <c r="AC7159" t="n">
        <v>0</v>
      </c>
      <c r="AD7159" t="n">
        <v>0</v>
      </c>
      <c r="AE7159" t="n">
        <v>0</v>
      </c>
      <c r="AF7159" t="n">
        <v>0</v>
      </c>
      <c r="AG7159" t="n">
        <v>0</v>
      </c>
      <c r="AH7159" t="n">
        <v>0</v>
      </c>
      <c r="AI7159" t="n">
        <v>0</v>
      </c>
    </row>
    <row r="7160">
      <c r="A7160" t="inlineStr">
        <is>
          <t>12월</t>
        </is>
      </c>
      <c r="B7160" t="inlineStr">
        <is>
          <t>52주차</t>
        </is>
      </c>
      <c r="C7160" t="e">
        <v>#N/A</v>
      </c>
      <c r="K7160" t="n">
        <v>0</v>
      </c>
      <c r="L7160" t="n">
        <v>0</v>
      </c>
      <c r="M7160" t="n">
        <v>0</v>
      </c>
      <c r="AC7160" t="n">
        <v>0</v>
      </c>
      <c r="AD7160" t="n">
        <v>0</v>
      </c>
      <c r="AE7160" t="n">
        <v>0</v>
      </c>
      <c r="AF7160" t="n">
        <v>0</v>
      </c>
      <c r="AG7160" t="n">
        <v>0</v>
      </c>
      <c r="AH7160" t="n">
        <v>0</v>
      </c>
    </row>
    <row r="7161">
      <c r="A7161" t="inlineStr">
        <is>
          <t>12월</t>
        </is>
      </c>
      <c r="B7161" t="inlineStr">
        <is>
          <t>52주차</t>
        </is>
      </c>
      <c r="C7161" t="e">
        <v>#N/A</v>
      </c>
      <c r="K7161" t="n">
        <v>0</v>
      </c>
      <c r="L7161" t="n">
        <v>0</v>
      </c>
      <c r="M7161" t="n">
        <v>0</v>
      </c>
      <c r="AC7161" t="n">
        <v>0</v>
      </c>
      <c r="AD7161" t="n">
        <v>0</v>
      </c>
      <c r="AE7161" t="n">
        <v>0</v>
      </c>
      <c r="AF7161" t="n">
        <v>0</v>
      </c>
      <c r="AG7161" t="n">
        <v>0</v>
      </c>
      <c r="AH7161" t="n">
        <v>0</v>
      </c>
      <c r="AI7161" t="n">
        <v>0</v>
      </c>
    </row>
    <row r="7162">
      <c r="A7162" t="inlineStr">
        <is>
          <t>12월</t>
        </is>
      </c>
      <c r="B7162" t="inlineStr">
        <is>
          <t>52주차</t>
        </is>
      </c>
      <c r="C7162" t="e">
        <v>#N/A</v>
      </c>
      <c r="K7162" t="n">
        <v>0</v>
      </c>
      <c r="L7162" t="n">
        <v>0</v>
      </c>
      <c r="M7162" t="n">
        <v>0</v>
      </c>
      <c r="AC7162" t="n">
        <v>0</v>
      </c>
      <c r="AD7162" t="n">
        <v>0</v>
      </c>
      <c r="AE7162" t="n">
        <v>0</v>
      </c>
      <c r="AF7162" t="n">
        <v>0</v>
      </c>
      <c r="AG7162" t="n">
        <v>0</v>
      </c>
      <c r="AH7162" t="n">
        <v>0</v>
      </c>
      <c r="AI7162" t="n">
        <v>0</v>
      </c>
    </row>
    <row r="7163">
      <c r="A7163" t="inlineStr">
        <is>
          <t>12월</t>
        </is>
      </c>
      <c r="B7163" t="inlineStr">
        <is>
          <t>52주차</t>
        </is>
      </c>
      <c r="C7163" t="e">
        <v>#N/A</v>
      </c>
      <c r="K7163" t="n">
        <v>0</v>
      </c>
      <c r="L7163" t="n">
        <v>0</v>
      </c>
      <c r="M7163" t="n">
        <v>0</v>
      </c>
      <c r="AC7163" t="n">
        <v>0</v>
      </c>
      <c r="AD7163" t="n">
        <v>0</v>
      </c>
      <c r="AE7163" t="n">
        <v>0</v>
      </c>
      <c r="AF7163" t="n">
        <v>0</v>
      </c>
      <c r="AG7163" t="n">
        <v>0</v>
      </c>
      <c r="AH7163" t="n">
        <v>0</v>
      </c>
      <c r="AI7163" t="n">
        <v>0</v>
      </c>
    </row>
    <row r="7164">
      <c r="A7164" t="inlineStr">
        <is>
          <t>12월</t>
        </is>
      </c>
      <c r="B7164" t="inlineStr">
        <is>
          <t>52주차</t>
        </is>
      </c>
      <c r="C7164" t="e">
        <v>#N/A</v>
      </c>
      <c r="K7164" t="n">
        <v>0</v>
      </c>
      <c r="L7164" t="n">
        <v>0</v>
      </c>
      <c r="M7164" t="n">
        <v>0</v>
      </c>
      <c r="AC7164" t="n">
        <v>0</v>
      </c>
      <c r="AD7164" t="n">
        <v>0</v>
      </c>
      <c r="AE7164" t="n">
        <v>0</v>
      </c>
      <c r="AF7164" t="n">
        <v>0</v>
      </c>
      <c r="AG7164" t="n">
        <v>0</v>
      </c>
      <c r="AH7164" t="n">
        <v>0</v>
      </c>
      <c r="AI7164" t="n">
        <v>0</v>
      </c>
    </row>
    <row r="7165">
      <c r="A7165" t="inlineStr">
        <is>
          <t>12월</t>
        </is>
      </c>
      <c r="B7165" t="inlineStr">
        <is>
          <t>52주차</t>
        </is>
      </c>
      <c r="C7165" t="e">
        <v>#N/A</v>
      </c>
      <c r="K7165" t="n">
        <v>0</v>
      </c>
      <c r="L7165" t="n">
        <v>0</v>
      </c>
      <c r="M7165" t="n">
        <v>0</v>
      </c>
      <c r="AC7165" t="n">
        <v>0</v>
      </c>
      <c r="AD7165" t="n">
        <v>0</v>
      </c>
      <c r="AE7165" t="n">
        <v>0</v>
      </c>
      <c r="AF7165" t="n">
        <v>0</v>
      </c>
      <c r="AG7165" t="n">
        <v>0</v>
      </c>
      <c r="AH7165" t="n">
        <v>0</v>
      </c>
      <c r="AI7165" t="n">
        <v>0</v>
      </c>
    </row>
    <row r="7166">
      <c r="A7166" t="inlineStr">
        <is>
          <t>12월</t>
        </is>
      </c>
      <c r="B7166" t="inlineStr">
        <is>
          <t>52주차</t>
        </is>
      </c>
      <c r="C7166" t="e">
        <v>#N/A</v>
      </c>
      <c r="K7166" t="n">
        <v>0</v>
      </c>
      <c r="L7166" t="n">
        <v>0</v>
      </c>
      <c r="M7166" t="n">
        <v>0</v>
      </c>
      <c r="AC7166" t="n">
        <v>0</v>
      </c>
      <c r="AD7166" t="n">
        <v>0</v>
      </c>
      <c r="AE7166" t="n">
        <v>0</v>
      </c>
      <c r="AF7166" t="n">
        <v>0</v>
      </c>
      <c r="AG7166" t="n">
        <v>0</v>
      </c>
      <c r="AH7166" t="n">
        <v>0</v>
      </c>
      <c r="AI7166" t="n">
        <v>0</v>
      </c>
    </row>
    <row r="7167">
      <c r="A7167" t="inlineStr">
        <is>
          <t>12월</t>
        </is>
      </c>
      <c r="B7167" t="inlineStr">
        <is>
          <t>52주차</t>
        </is>
      </c>
      <c r="C7167" t="e">
        <v>#N/A</v>
      </c>
      <c r="K7167" t="n">
        <v>0</v>
      </c>
      <c r="L7167" t="n">
        <v>0</v>
      </c>
      <c r="M7167" t="n">
        <v>0</v>
      </c>
      <c r="AC7167" t="n">
        <v>0</v>
      </c>
      <c r="AD7167" t="n">
        <v>0</v>
      </c>
      <c r="AE7167" t="n">
        <v>0</v>
      </c>
      <c r="AF7167" t="n">
        <v>0</v>
      </c>
      <c r="AG7167" t="n">
        <v>0</v>
      </c>
      <c r="AH7167" t="n">
        <v>0</v>
      </c>
      <c r="AI7167" t="n">
        <v>0</v>
      </c>
    </row>
    <row r="7168">
      <c r="A7168" t="inlineStr">
        <is>
          <t>12월</t>
        </is>
      </c>
      <c r="B7168" t="inlineStr">
        <is>
          <t>52주차</t>
        </is>
      </c>
      <c r="C7168" t="e">
        <v>#N/A</v>
      </c>
      <c r="K7168" t="n">
        <v>0</v>
      </c>
      <c r="L7168" t="n">
        <v>0</v>
      </c>
      <c r="M7168" t="n">
        <v>0</v>
      </c>
      <c r="AC7168" t="n">
        <v>0</v>
      </c>
      <c r="AD7168" t="n">
        <v>0</v>
      </c>
      <c r="AE7168" t="n">
        <v>0</v>
      </c>
      <c r="AF7168" t="n">
        <v>0</v>
      </c>
      <c r="AG7168" t="n">
        <v>0</v>
      </c>
      <c r="AH7168" t="n">
        <v>0</v>
      </c>
    </row>
    <row r="7169">
      <c r="A7169" t="inlineStr">
        <is>
          <t>12월</t>
        </is>
      </c>
      <c r="B7169" t="inlineStr">
        <is>
          <t>52주차</t>
        </is>
      </c>
      <c r="C7169" t="e">
        <v>#N/A</v>
      </c>
      <c r="K7169" t="n">
        <v>0</v>
      </c>
      <c r="L7169" t="n">
        <v>0</v>
      </c>
      <c r="M7169" t="n">
        <v>0</v>
      </c>
      <c r="AC7169" t="n">
        <v>0</v>
      </c>
      <c r="AD7169" t="n">
        <v>0</v>
      </c>
      <c r="AE7169" t="n">
        <v>0</v>
      </c>
      <c r="AF7169" t="n">
        <v>0</v>
      </c>
      <c r="AG7169" t="n">
        <v>0</v>
      </c>
      <c r="AH7169" t="n">
        <v>0</v>
      </c>
    </row>
    <row r="7170">
      <c r="A7170" t="inlineStr">
        <is>
          <t>12월</t>
        </is>
      </c>
      <c r="B7170" t="inlineStr">
        <is>
          <t>52주차</t>
        </is>
      </c>
      <c r="C7170" t="e">
        <v>#N/A</v>
      </c>
      <c r="K7170" t="n">
        <v>0</v>
      </c>
      <c r="L7170" t="n">
        <v>0</v>
      </c>
      <c r="M7170" t="n">
        <v>0</v>
      </c>
      <c r="AC7170" t="n">
        <v>0</v>
      </c>
      <c r="AD7170" t="n">
        <v>0</v>
      </c>
      <c r="AE7170" t="n">
        <v>0</v>
      </c>
      <c r="AF7170" t="n">
        <v>0</v>
      </c>
      <c r="AG7170" t="n">
        <v>0</v>
      </c>
      <c r="AH7170" t="n">
        <v>0</v>
      </c>
      <c r="AI7170" t="n">
        <v>0</v>
      </c>
    </row>
    <row r="7171">
      <c r="A7171" t="inlineStr">
        <is>
          <t>12월</t>
        </is>
      </c>
      <c r="B7171" t="inlineStr">
        <is>
          <t>52주차</t>
        </is>
      </c>
      <c r="C7171" t="e">
        <v>#N/A</v>
      </c>
      <c r="K7171" t="n">
        <v>0</v>
      </c>
      <c r="L7171" t="n">
        <v>0</v>
      </c>
      <c r="M7171" t="n">
        <v>0</v>
      </c>
      <c r="AC7171" t="n">
        <v>0</v>
      </c>
      <c r="AD7171" t="n">
        <v>0</v>
      </c>
      <c r="AE7171" t="n">
        <v>0</v>
      </c>
      <c r="AF7171" t="n">
        <v>0</v>
      </c>
      <c r="AG7171" t="n">
        <v>0</v>
      </c>
      <c r="AH7171" t="n">
        <v>0</v>
      </c>
      <c r="AI7171" t="n">
        <v>0</v>
      </c>
    </row>
    <row r="7172">
      <c r="A7172" t="inlineStr">
        <is>
          <t>12월</t>
        </is>
      </c>
      <c r="B7172" t="inlineStr">
        <is>
          <t>52주차</t>
        </is>
      </c>
      <c r="C7172" t="e">
        <v>#N/A</v>
      </c>
      <c r="K7172" t="n">
        <v>0</v>
      </c>
      <c r="L7172" t="n">
        <v>0</v>
      </c>
      <c r="M7172" t="n">
        <v>0</v>
      </c>
      <c r="AC7172" t="n">
        <v>0</v>
      </c>
      <c r="AD7172" t="n">
        <v>0</v>
      </c>
      <c r="AE7172" t="n">
        <v>0</v>
      </c>
      <c r="AF7172" t="n">
        <v>0</v>
      </c>
      <c r="AG7172" t="n">
        <v>0</v>
      </c>
      <c r="AH7172" t="n">
        <v>0</v>
      </c>
      <c r="AI7172" t="n">
        <v>0</v>
      </c>
    </row>
    <row r="7173">
      <c r="A7173" t="inlineStr">
        <is>
          <t>12월</t>
        </is>
      </c>
      <c r="B7173" t="inlineStr">
        <is>
          <t>52주차</t>
        </is>
      </c>
      <c r="C7173" t="e">
        <v>#N/A</v>
      </c>
      <c r="K7173" t="n">
        <v>0</v>
      </c>
      <c r="L7173" t="n">
        <v>0</v>
      </c>
      <c r="M7173" t="n">
        <v>0</v>
      </c>
      <c r="AC7173" t="n">
        <v>0</v>
      </c>
      <c r="AD7173" t="n">
        <v>0</v>
      </c>
      <c r="AE7173" t="n">
        <v>0</v>
      </c>
      <c r="AF7173" t="n">
        <v>0</v>
      </c>
      <c r="AG7173" t="n">
        <v>0</v>
      </c>
      <c r="AH7173" t="n">
        <v>0</v>
      </c>
      <c r="AI7173" t="n">
        <v>0</v>
      </c>
    </row>
    <row r="7174">
      <c r="A7174" t="inlineStr">
        <is>
          <t>12월</t>
        </is>
      </c>
      <c r="B7174" t="inlineStr">
        <is>
          <t>52주차</t>
        </is>
      </c>
      <c r="C7174" t="e">
        <v>#N/A</v>
      </c>
      <c r="K7174" t="n">
        <v>0</v>
      </c>
      <c r="L7174" t="n">
        <v>0</v>
      </c>
      <c r="M7174" t="n">
        <v>0</v>
      </c>
      <c r="AC7174" t="n">
        <v>0</v>
      </c>
      <c r="AD7174" t="n">
        <v>0</v>
      </c>
      <c r="AE7174" t="n">
        <v>0</v>
      </c>
      <c r="AF7174" t="n">
        <v>0</v>
      </c>
      <c r="AG7174" t="n">
        <v>0</v>
      </c>
      <c r="AH7174" t="n">
        <v>0</v>
      </c>
      <c r="AI7174" t="n">
        <v>0</v>
      </c>
    </row>
    <row r="7175">
      <c r="A7175" t="inlineStr">
        <is>
          <t>12월</t>
        </is>
      </c>
      <c r="B7175" t="inlineStr">
        <is>
          <t>52주차</t>
        </is>
      </c>
      <c r="C7175" t="e">
        <v>#N/A</v>
      </c>
      <c r="K7175" t="n">
        <v>0</v>
      </c>
      <c r="L7175" t="n">
        <v>0</v>
      </c>
      <c r="M7175" t="n">
        <v>0</v>
      </c>
      <c r="AC7175" t="n">
        <v>0</v>
      </c>
      <c r="AD7175" t="n">
        <v>0</v>
      </c>
      <c r="AE7175" t="n">
        <v>0</v>
      </c>
      <c r="AF7175" t="n">
        <v>0</v>
      </c>
      <c r="AG7175" t="n">
        <v>0</v>
      </c>
      <c r="AH7175" t="n">
        <v>0</v>
      </c>
      <c r="AI7175" t="n">
        <v>0</v>
      </c>
    </row>
    <row r="7176">
      <c r="A7176" t="inlineStr">
        <is>
          <t>12월</t>
        </is>
      </c>
      <c r="B7176" t="inlineStr">
        <is>
          <t>52주차</t>
        </is>
      </c>
      <c r="C7176" t="e">
        <v>#N/A</v>
      </c>
      <c r="K7176" t="n">
        <v>0</v>
      </c>
      <c r="L7176" t="n">
        <v>0</v>
      </c>
      <c r="M7176" t="n">
        <v>0</v>
      </c>
      <c r="AC7176" t="n">
        <v>0</v>
      </c>
      <c r="AD7176" t="n">
        <v>0</v>
      </c>
      <c r="AE7176" t="n">
        <v>0</v>
      </c>
      <c r="AF7176" t="n">
        <v>0</v>
      </c>
      <c r="AG7176" t="n">
        <v>0</v>
      </c>
      <c r="AH7176" t="n">
        <v>0</v>
      </c>
    </row>
    <row r="7177">
      <c r="A7177" t="inlineStr">
        <is>
          <t>12월</t>
        </is>
      </c>
      <c r="B7177" t="inlineStr">
        <is>
          <t>52주차</t>
        </is>
      </c>
      <c r="C7177" t="e">
        <v>#N/A</v>
      </c>
      <c r="K7177" t="n">
        <v>0</v>
      </c>
      <c r="L7177" t="n">
        <v>0</v>
      </c>
      <c r="M7177" t="n">
        <v>0</v>
      </c>
      <c r="AC7177" t="n">
        <v>0</v>
      </c>
      <c r="AD7177" t="n">
        <v>0</v>
      </c>
      <c r="AE7177" t="n">
        <v>0</v>
      </c>
      <c r="AF7177" t="n">
        <v>0</v>
      </c>
      <c r="AG7177" t="n">
        <v>0</v>
      </c>
      <c r="AH7177" t="n">
        <v>0</v>
      </c>
      <c r="AI7177" t="n">
        <v>0</v>
      </c>
    </row>
    <row r="7178">
      <c r="A7178" t="inlineStr">
        <is>
          <t>12월</t>
        </is>
      </c>
      <c r="B7178" t="inlineStr">
        <is>
          <t>52주차</t>
        </is>
      </c>
      <c r="C7178" t="e">
        <v>#N/A</v>
      </c>
      <c r="K7178" t="n">
        <v>0</v>
      </c>
      <c r="L7178" t="n">
        <v>0</v>
      </c>
      <c r="M7178" t="n">
        <v>0</v>
      </c>
      <c r="AC7178" t="n">
        <v>0</v>
      </c>
      <c r="AD7178" t="n">
        <v>0</v>
      </c>
      <c r="AE7178" t="n">
        <v>0</v>
      </c>
      <c r="AF7178" t="n">
        <v>0</v>
      </c>
      <c r="AG7178" t="n">
        <v>0</v>
      </c>
      <c r="AH7178" t="n">
        <v>0</v>
      </c>
    </row>
    <row r="7179">
      <c r="A7179" t="inlineStr">
        <is>
          <t>12월</t>
        </is>
      </c>
      <c r="B7179" t="inlineStr">
        <is>
          <t>52주차</t>
        </is>
      </c>
      <c r="C7179" t="e">
        <v>#N/A</v>
      </c>
      <c r="K7179" t="n">
        <v>0</v>
      </c>
      <c r="L7179" t="n">
        <v>0</v>
      </c>
      <c r="M7179" t="n">
        <v>0</v>
      </c>
      <c r="AC7179" t="n">
        <v>0</v>
      </c>
      <c r="AD7179" t="n">
        <v>0</v>
      </c>
      <c r="AE7179" t="n">
        <v>0</v>
      </c>
      <c r="AF7179" t="n">
        <v>0</v>
      </c>
      <c r="AG7179" t="n">
        <v>0</v>
      </c>
      <c r="AH7179" t="n">
        <v>0</v>
      </c>
      <c r="AI7179" t="n">
        <v>0</v>
      </c>
    </row>
    <row r="7180">
      <c r="A7180" t="inlineStr">
        <is>
          <t>12월</t>
        </is>
      </c>
      <c r="B7180" t="inlineStr">
        <is>
          <t>52주차</t>
        </is>
      </c>
      <c r="C7180" t="e">
        <v>#N/A</v>
      </c>
      <c r="K7180" t="n">
        <v>0</v>
      </c>
      <c r="L7180" t="n">
        <v>0</v>
      </c>
      <c r="M7180" t="n">
        <v>0</v>
      </c>
      <c r="AC7180" t="n">
        <v>0</v>
      </c>
      <c r="AD7180" t="n">
        <v>0</v>
      </c>
      <c r="AE7180" t="n">
        <v>0</v>
      </c>
      <c r="AF7180" t="n">
        <v>0</v>
      </c>
      <c r="AG7180" t="n">
        <v>0</v>
      </c>
      <c r="AH7180" t="n">
        <v>0</v>
      </c>
      <c r="AI7180" t="n">
        <v>0</v>
      </c>
    </row>
    <row r="7181">
      <c r="A7181" t="inlineStr">
        <is>
          <t>12월</t>
        </is>
      </c>
      <c r="B7181" t="inlineStr">
        <is>
          <t>52주차</t>
        </is>
      </c>
      <c r="C7181" t="e">
        <v>#N/A</v>
      </c>
      <c r="K7181" t="n">
        <v>0</v>
      </c>
      <c r="L7181" t="n">
        <v>0</v>
      </c>
      <c r="M7181" t="n">
        <v>0</v>
      </c>
      <c r="AC7181" t="n">
        <v>0</v>
      </c>
      <c r="AD7181" t="n">
        <v>0</v>
      </c>
      <c r="AE7181" t="n">
        <v>0</v>
      </c>
      <c r="AF7181" t="n">
        <v>0</v>
      </c>
      <c r="AG7181" t="n">
        <v>0</v>
      </c>
      <c r="AH7181" t="n">
        <v>0</v>
      </c>
    </row>
    <row r="7182">
      <c r="A7182" t="inlineStr">
        <is>
          <t>12월</t>
        </is>
      </c>
      <c r="B7182" t="inlineStr">
        <is>
          <t>52주차</t>
        </is>
      </c>
      <c r="C7182" t="e">
        <v>#N/A</v>
      </c>
      <c r="K7182" t="n">
        <v>0</v>
      </c>
      <c r="L7182" t="n">
        <v>0</v>
      </c>
      <c r="M7182" t="n">
        <v>0</v>
      </c>
      <c r="AC7182" t="n">
        <v>0</v>
      </c>
      <c r="AD7182" t="n">
        <v>0</v>
      </c>
      <c r="AE7182" t="n">
        <v>0</v>
      </c>
      <c r="AF7182" t="n">
        <v>0</v>
      </c>
      <c r="AG7182" t="n">
        <v>0</v>
      </c>
      <c r="AH7182" t="n">
        <v>0</v>
      </c>
    </row>
    <row r="7183">
      <c r="A7183" t="inlineStr">
        <is>
          <t>12월</t>
        </is>
      </c>
      <c r="B7183" t="inlineStr">
        <is>
          <t>52주차</t>
        </is>
      </c>
      <c r="C7183" t="e">
        <v>#N/A</v>
      </c>
      <c r="K7183" t="n">
        <v>0</v>
      </c>
      <c r="L7183" t="n">
        <v>0</v>
      </c>
      <c r="M7183" t="n">
        <v>0</v>
      </c>
      <c r="AC7183" t="n">
        <v>0</v>
      </c>
      <c r="AD7183" t="n">
        <v>0</v>
      </c>
      <c r="AE7183" t="n">
        <v>0</v>
      </c>
      <c r="AF7183" t="n">
        <v>0</v>
      </c>
      <c r="AG7183" t="n">
        <v>0</v>
      </c>
      <c r="AH7183" t="n">
        <v>0</v>
      </c>
      <c r="AI7183" t="n">
        <v>0</v>
      </c>
    </row>
    <row r="7184">
      <c r="A7184" t="inlineStr">
        <is>
          <t>12월</t>
        </is>
      </c>
      <c r="B7184" t="inlineStr">
        <is>
          <t>52주차</t>
        </is>
      </c>
      <c r="C7184" t="e">
        <v>#N/A</v>
      </c>
      <c r="K7184" t="n">
        <v>0</v>
      </c>
      <c r="L7184" t="n">
        <v>0</v>
      </c>
      <c r="M7184" t="n">
        <v>0</v>
      </c>
      <c r="AC7184" t="n">
        <v>0</v>
      </c>
      <c r="AD7184" t="n">
        <v>0</v>
      </c>
      <c r="AE7184" t="n">
        <v>0</v>
      </c>
      <c r="AF7184" t="n">
        <v>0</v>
      </c>
      <c r="AG7184" t="n">
        <v>0</v>
      </c>
      <c r="AH7184" t="n">
        <v>0</v>
      </c>
    </row>
    <row r="7185">
      <c r="A7185" t="inlineStr">
        <is>
          <t>12월</t>
        </is>
      </c>
      <c r="B7185" t="inlineStr">
        <is>
          <t>52주차</t>
        </is>
      </c>
      <c r="C7185" t="e">
        <v>#N/A</v>
      </c>
      <c r="K7185" t="n">
        <v>0</v>
      </c>
      <c r="L7185" t="n">
        <v>0</v>
      </c>
      <c r="M7185" t="n">
        <v>0</v>
      </c>
      <c r="AC7185" t="n">
        <v>0</v>
      </c>
      <c r="AD7185" t="n">
        <v>0</v>
      </c>
      <c r="AE7185" t="n">
        <v>0</v>
      </c>
      <c r="AF7185" t="n">
        <v>0</v>
      </c>
      <c r="AG7185" t="n">
        <v>0</v>
      </c>
      <c r="AH7185" t="n">
        <v>0</v>
      </c>
    </row>
    <row r="7186">
      <c r="A7186" t="inlineStr">
        <is>
          <t>12월</t>
        </is>
      </c>
      <c r="B7186" t="inlineStr">
        <is>
          <t>52주차</t>
        </is>
      </c>
      <c r="C7186" t="e">
        <v>#N/A</v>
      </c>
      <c r="K7186" t="n">
        <v>0</v>
      </c>
      <c r="L7186" t="n">
        <v>0</v>
      </c>
      <c r="M7186" t="n">
        <v>0</v>
      </c>
      <c r="AC7186" t="n">
        <v>0</v>
      </c>
      <c r="AD7186" t="n">
        <v>0</v>
      </c>
      <c r="AE7186" t="n">
        <v>0</v>
      </c>
      <c r="AF7186" t="n">
        <v>0</v>
      </c>
      <c r="AG7186" t="n">
        <v>0</v>
      </c>
      <c r="AH7186" t="n">
        <v>0</v>
      </c>
    </row>
    <row r="7187">
      <c r="A7187" t="inlineStr">
        <is>
          <t>12월</t>
        </is>
      </c>
      <c r="B7187" t="inlineStr">
        <is>
          <t>52주차</t>
        </is>
      </c>
      <c r="C7187" t="e">
        <v>#N/A</v>
      </c>
      <c r="K7187" t="n">
        <v>0</v>
      </c>
      <c r="L7187" t="n">
        <v>0</v>
      </c>
      <c r="M7187" t="n">
        <v>0</v>
      </c>
      <c r="AC7187" t="n">
        <v>0</v>
      </c>
      <c r="AD7187" t="n">
        <v>0</v>
      </c>
      <c r="AE7187" t="n">
        <v>0</v>
      </c>
      <c r="AF7187" t="n">
        <v>0</v>
      </c>
      <c r="AG7187" t="n">
        <v>0</v>
      </c>
      <c r="AH7187" t="n">
        <v>0</v>
      </c>
      <c r="AI7187" t="n">
        <v>0</v>
      </c>
    </row>
    <row r="7188">
      <c r="A7188" t="inlineStr">
        <is>
          <t>12월</t>
        </is>
      </c>
      <c r="B7188" t="inlineStr">
        <is>
          <t>52주차</t>
        </is>
      </c>
      <c r="C7188" t="e">
        <v>#N/A</v>
      </c>
      <c r="K7188" t="n">
        <v>0</v>
      </c>
      <c r="L7188" t="n">
        <v>0</v>
      </c>
      <c r="M7188" t="n">
        <v>0</v>
      </c>
      <c r="AC7188" t="n">
        <v>0</v>
      </c>
      <c r="AD7188" t="n">
        <v>0</v>
      </c>
      <c r="AE7188" t="n">
        <v>0</v>
      </c>
      <c r="AF7188" t="n">
        <v>0</v>
      </c>
      <c r="AG7188" t="n">
        <v>0</v>
      </c>
      <c r="AH7188" t="n">
        <v>0</v>
      </c>
      <c r="AI7188" t="n">
        <v>0</v>
      </c>
    </row>
    <row r="7189">
      <c r="A7189" t="inlineStr">
        <is>
          <t>12월</t>
        </is>
      </c>
      <c r="B7189" t="inlineStr">
        <is>
          <t>52주차</t>
        </is>
      </c>
      <c r="C7189" t="e">
        <v>#N/A</v>
      </c>
      <c r="K7189" t="n">
        <v>0</v>
      </c>
      <c r="L7189" t="n">
        <v>0</v>
      </c>
      <c r="M7189" t="n">
        <v>0</v>
      </c>
      <c r="AC7189" t="n">
        <v>0</v>
      </c>
      <c r="AD7189" t="n">
        <v>0</v>
      </c>
      <c r="AE7189" t="n">
        <v>0</v>
      </c>
      <c r="AF7189" t="n">
        <v>0</v>
      </c>
      <c r="AG7189" t="n">
        <v>0</v>
      </c>
      <c r="AH7189" t="n">
        <v>0</v>
      </c>
    </row>
    <row r="7190">
      <c r="A7190" t="inlineStr">
        <is>
          <t>12월</t>
        </is>
      </c>
      <c r="B7190" t="inlineStr">
        <is>
          <t>52주차</t>
        </is>
      </c>
      <c r="C7190" t="e">
        <v>#N/A</v>
      </c>
      <c r="K7190" t="n">
        <v>0</v>
      </c>
      <c r="L7190" t="n">
        <v>0</v>
      </c>
      <c r="M7190" t="n">
        <v>0</v>
      </c>
      <c r="AC7190" t="n">
        <v>0</v>
      </c>
      <c r="AD7190" t="n">
        <v>0</v>
      </c>
      <c r="AE7190" t="n">
        <v>0</v>
      </c>
      <c r="AF7190" t="n">
        <v>0</v>
      </c>
      <c r="AG7190" t="n">
        <v>0</v>
      </c>
      <c r="AH7190" t="n">
        <v>0</v>
      </c>
    </row>
    <row r="7191">
      <c r="A7191" t="inlineStr">
        <is>
          <t>12월</t>
        </is>
      </c>
      <c r="B7191" t="inlineStr">
        <is>
          <t>52주차</t>
        </is>
      </c>
      <c r="C7191" t="e">
        <v>#N/A</v>
      </c>
      <c r="K7191" t="n">
        <v>0</v>
      </c>
      <c r="L7191" t="n">
        <v>0</v>
      </c>
      <c r="M7191" t="n">
        <v>0</v>
      </c>
      <c r="AC7191" t="n">
        <v>0</v>
      </c>
      <c r="AD7191" t="n">
        <v>0</v>
      </c>
      <c r="AE7191" t="n">
        <v>0</v>
      </c>
      <c r="AF7191" t="n">
        <v>0</v>
      </c>
      <c r="AG7191" t="n">
        <v>0</v>
      </c>
      <c r="AH7191" t="n">
        <v>0</v>
      </c>
      <c r="AI7191" t="n">
        <v>0</v>
      </c>
    </row>
    <row r="7192">
      <c r="A7192" t="inlineStr">
        <is>
          <t>12월</t>
        </is>
      </c>
      <c r="B7192" t="inlineStr">
        <is>
          <t>52주차</t>
        </is>
      </c>
      <c r="C7192" t="e">
        <v>#N/A</v>
      </c>
      <c r="K7192" t="n">
        <v>0</v>
      </c>
      <c r="L7192" t="n">
        <v>0</v>
      </c>
      <c r="M7192" t="n">
        <v>0</v>
      </c>
      <c r="AC7192" t="n">
        <v>0</v>
      </c>
      <c r="AD7192" t="n">
        <v>0</v>
      </c>
      <c r="AE7192" t="n">
        <v>0</v>
      </c>
      <c r="AF7192" t="n">
        <v>0</v>
      </c>
      <c r="AG7192" t="n">
        <v>0</v>
      </c>
      <c r="AH7192" t="n">
        <v>0</v>
      </c>
      <c r="AI7192" t="n">
        <v>0</v>
      </c>
    </row>
    <row r="7193">
      <c r="A7193" t="inlineStr">
        <is>
          <t>12월</t>
        </is>
      </c>
      <c r="B7193" t="inlineStr">
        <is>
          <t>52주차</t>
        </is>
      </c>
      <c r="C7193" t="e">
        <v>#N/A</v>
      </c>
      <c r="K7193" t="n">
        <v>0</v>
      </c>
      <c r="L7193" t="n">
        <v>0</v>
      </c>
      <c r="M7193" t="n">
        <v>0</v>
      </c>
      <c r="AC7193" t="n">
        <v>0</v>
      </c>
      <c r="AD7193" t="n">
        <v>0</v>
      </c>
      <c r="AE7193" t="n">
        <v>0</v>
      </c>
      <c r="AF7193" t="n">
        <v>0</v>
      </c>
      <c r="AG7193" t="n">
        <v>0</v>
      </c>
      <c r="AH7193" t="n">
        <v>0</v>
      </c>
      <c r="AI7193" t="n">
        <v>0</v>
      </c>
    </row>
    <row r="7194">
      <c r="A7194" t="inlineStr">
        <is>
          <t>12월</t>
        </is>
      </c>
      <c r="B7194" t="inlineStr">
        <is>
          <t>52주차</t>
        </is>
      </c>
      <c r="C7194" t="e">
        <v>#N/A</v>
      </c>
      <c r="K7194" t="n">
        <v>0</v>
      </c>
      <c r="L7194" t="n">
        <v>0</v>
      </c>
      <c r="M7194" t="n">
        <v>0</v>
      </c>
      <c r="AC7194" t="n">
        <v>0</v>
      </c>
      <c r="AD7194" t="n">
        <v>0</v>
      </c>
      <c r="AE7194" t="n">
        <v>0</v>
      </c>
      <c r="AF7194" t="n">
        <v>0</v>
      </c>
      <c r="AG7194" t="n">
        <v>0</v>
      </c>
      <c r="AH7194" t="n">
        <v>0</v>
      </c>
      <c r="AI7194" t="n">
        <v>0</v>
      </c>
    </row>
    <row r="7195">
      <c r="A7195" t="inlineStr">
        <is>
          <t>12월</t>
        </is>
      </c>
      <c r="B7195" t="inlineStr">
        <is>
          <t>52주차</t>
        </is>
      </c>
      <c r="C7195" t="e">
        <v>#N/A</v>
      </c>
      <c r="K7195" t="n">
        <v>0</v>
      </c>
      <c r="L7195" t="n">
        <v>0</v>
      </c>
      <c r="M7195" t="n">
        <v>0</v>
      </c>
      <c r="AC7195" t="n">
        <v>0</v>
      </c>
      <c r="AD7195" t="n">
        <v>0</v>
      </c>
      <c r="AE7195" t="n">
        <v>0</v>
      </c>
      <c r="AF7195" t="n">
        <v>0</v>
      </c>
      <c r="AG7195" t="n">
        <v>0</v>
      </c>
      <c r="AH7195" t="n">
        <v>0</v>
      </c>
      <c r="AI7195" t="n">
        <v>0</v>
      </c>
    </row>
    <row r="7196">
      <c r="A7196" t="inlineStr">
        <is>
          <t>12월</t>
        </is>
      </c>
      <c r="B7196" t="inlineStr">
        <is>
          <t>52주차</t>
        </is>
      </c>
      <c r="C7196" t="e">
        <v>#N/A</v>
      </c>
      <c r="K7196" t="n">
        <v>0</v>
      </c>
      <c r="L7196" t="n">
        <v>0</v>
      </c>
      <c r="M7196" t="n">
        <v>0</v>
      </c>
      <c r="AC7196" t="n">
        <v>0</v>
      </c>
      <c r="AD7196" t="n">
        <v>0</v>
      </c>
      <c r="AE7196" t="n">
        <v>0</v>
      </c>
      <c r="AF7196" t="n">
        <v>0</v>
      </c>
      <c r="AG7196" t="n">
        <v>0</v>
      </c>
      <c r="AH7196" t="n">
        <v>0</v>
      </c>
      <c r="AI7196" t="n">
        <v>0</v>
      </c>
    </row>
    <row r="7197">
      <c r="A7197" t="inlineStr">
        <is>
          <t>12월</t>
        </is>
      </c>
      <c r="B7197" t="inlineStr">
        <is>
          <t>52주차</t>
        </is>
      </c>
      <c r="C7197" t="e">
        <v>#N/A</v>
      </c>
      <c r="K7197" t="n">
        <v>0</v>
      </c>
      <c r="L7197" t="n">
        <v>0</v>
      </c>
      <c r="M7197" t="n">
        <v>0</v>
      </c>
      <c r="AC7197" t="n">
        <v>0</v>
      </c>
      <c r="AD7197" t="n">
        <v>0</v>
      </c>
      <c r="AE7197" t="n">
        <v>0</v>
      </c>
      <c r="AF7197" t="n">
        <v>0</v>
      </c>
      <c r="AG7197" t="n">
        <v>0</v>
      </c>
      <c r="AH7197" t="n">
        <v>0</v>
      </c>
      <c r="AI7197" t="n">
        <v>0</v>
      </c>
    </row>
    <row r="7198">
      <c r="A7198" t="inlineStr">
        <is>
          <t>12월</t>
        </is>
      </c>
      <c r="B7198" t="inlineStr">
        <is>
          <t>52주차</t>
        </is>
      </c>
      <c r="C7198" t="e">
        <v>#N/A</v>
      </c>
      <c r="K7198" t="n">
        <v>0</v>
      </c>
      <c r="L7198" t="n">
        <v>0</v>
      </c>
      <c r="M7198" t="n">
        <v>0</v>
      </c>
      <c r="AC7198" t="n">
        <v>0</v>
      </c>
      <c r="AD7198" t="n">
        <v>0</v>
      </c>
      <c r="AE7198" t="n">
        <v>0</v>
      </c>
      <c r="AF7198" t="n">
        <v>0</v>
      </c>
      <c r="AG7198" t="n">
        <v>0</v>
      </c>
      <c r="AH7198" t="n">
        <v>0</v>
      </c>
      <c r="AI7198" t="n">
        <v>0</v>
      </c>
    </row>
    <row r="7199">
      <c r="A7199" t="inlineStr">
        <is>
          <t>12월</t>
        </is>
      </c>
      <c r="B7199" t="inlineStr">
        <is>
          <t>52주차</t>
        </is>
      </c>
      <c r="C7199" t="e">
        <v>#N/A</v>
      </c>
      <c r="K7199" t="n">
        <v>0</v>
      </c>
      <c r="L7199" t="n">
        <v>0</v>
      </c>
      <c r="M7199" t="n">
        <v>0</v>
      </c>
      <c r="AC7199" t="n">
        <v>0</v>
      </c>
      <c r="AD7199" t="n">
        <v>0</v>
      </c>
      <c r="AE7199" t="n">
        <v>0</v>
      </c>
      <c r="AF7199" t="n">
        <v>0</v>
      </c>
      <c r="AG7199" t="n">
        <v>0</v>
      </c>
      <c r="AH7199" t="n">
        <v>0</v>
      </c>
      <c r="AI7199" t="n">
        <v>0</v>
      </c>
    </row>
    <row r="7200">
      <c r="A7200" t="inlineStr">
        <is>
          <t>12월</t>
        </is>
      </c>
      <c r="B7200" t="inlineStr">
        <is>
          <t>52주차</t>
        </is>
      </c>
      <c r="C7200" t="e">
        <v>#N/A</v>
      </c>
      <c r="K7200" t="n">
        <v>0</v>
      </c>
      <c r="L7200" t="n">
        <v>0</v>
      </c>
      <c r="M7200" t="n">
        <v>0</v>
      </c>
      <c r="AC7200" t="n">
        <v>0</v>
      </c>
      <c r="AD7200" t="n">
        <v>0</v>
      </c>
      <c r="AE7200" t="n">
        <v>0</v>
      </c>
      <c r="AF7200" t="n">
        <v>0</v>
      </c>
      <c r="AG7200" t="n">
        <v>0</v>
      </c>
      <c r="AH7200" t="n">
        <v>0</v>
      </c>
      <c r="AI7200" t="n">
        <v>0</v>
      </c>
    </row>
    <row r="7201">
      <c r="A7201" t="inlineStr">
        <is>
          <t>12월</t>
        </is>
      </c>
      <c r="B7201" t="inlineStr">
        <is>
          <t>52주차</t>
        </is>
      </c>
      <c r="C7201" t="e">
        <v>#N/A</v>
      </c>
      <c r="K7201" t="n">
        <v>0</v>
      </c>
      <c r="L7201" t="n">
        <v>0</v>
      </c>
      <c r="M7201" t="n">
        <v>0</v>
      </c>
      <c r="AC7201" t="n">
        <v>0</v>
      </c>
      <c r="AD7201" t="n">
        <v>0</v>
      </c>
      <c r="AE7201" t="n">
        <v>0</v>
      </c>
      <c r="AF7201" t="n">
        <v>0</v>
      </c>
      <c r="AG7201" t="n">
        <v>0</v>
      </c>
      <c r="AH7201" t="n">
        <v>0</v>
      </c>
    </row>
    <row r="7202">
      <c r="A7202" t="inlineStr">
        <is>
          <t>12월</t>
        </is>
      </c>
      <c r="B7202" t="inlineStr">
        <is>
          <t>52주차</t>
        </is>
      </c>
      <c r="C7202" t="e">
        <v>#N/A</v>
      </c>
      <c r="K7202" t="n">
        <v>0</v>
      </c>
      <c r="L7202" t="n">
        <v>0</v>
      </c>
      <c r="M7202" t="n">
        <v>0</v>
      </c>
      <c r="AC7202" t="n">
        <v>0</v>
      </c>
      <c r="AD7202" t="n">
        <v>0</v>
      </c>
      <c r="AE7202" t="n">
        <v>0</v>
      </c>
      <c r="AF7202" t="n">
        <v>0</v>
      </c>
      <c r="AG7202" t="n">
        <v>0</v>
      </c>
      <c r="AH7202" t="n">
        <v>0</v>
      </c>
      <c r="AI7202" t="n">
        <v>0</v>
      </c>
    </row>
    <row r="7203">
      <c r="A7203" t="inlineStr">
        <is>
          <t>12월</t>
        </is>
      </c>
      <c r="B7203" t="inlineStr">
        <is>
          <t>52주차</t>
        </is>
      </c>
      <c r="C7203" t="e">
        <v>#N/A</v>
      </c>
      <c r="K7203" t="n">
        <v>0</v>
      </c>
      <c r="L7203" t="n">
        <v>0</v>
      </c>
      <c r="M7203" t="n">
        <v>0</v>
      </c>
      <c r="AC7203" t="n">
        <v>0</v>
      </c>
      <c r="AD7203" t="n">
        <v>0</v>
      </c>
      <c r="AE7203" t="n">
        <v>0</v>
      </c>
      <c r="AF7203" t="n">
        <v>0</v>
      </c>
      <c r="AG7203" t="n">
        <v>0</v>
      </c>
      <c r="AH7203" t="n">
        <v>0</v>
      </c>
      <c r="AI7203" t="n">
        <v>0</v>
      </c>
    </row>
    <row r="7204">
      <c r="A7204" t="inlineStr">
        <is>
          <t>12월</t>
        </is>
      </c>
      <c r="B7204" t="inlineStr">
        <is>
          <t>52주차</t>
        </is>
      </c>
      <c r="C7204" t="e">
        <v>#N/A</v>
      </c>
      <c r="K7204" t="n">
        <v>0</v>
      </c>
      <c r="L7204" t="n">
        <v>0</v>
      </c>
      <c r="M7204" t="n">
        <v>0</v>
      </c>
      <c r="AC7204" t="n">
        <v>0</v>
      </c>
      <c r="AD7204" t="n">
        <v>0</v>
      </c>
      <c r="AE7204" t="n">
        <v>0</v>
      </c>
      <c r="AF7204" t="n">
        <v>0</v>
      </c>
      <c r="AG7204" t="n">
        <v>0</v>
      </c>
      <c r="AH7204" t="n">
        <v>0</v>
      </c>
      <c r="AI7204" t="n">
        <v>0</v>
      </c>
    </row>
    <row r="7205">
      <c r="A7205" t="inlineStr">
        <is>
          <t>12월</t>
        </is>
      </c>
      <c r="B7205" t="inlineStr">
        <is>
          <t>52주차</t>
        </is>
      </c>
      <c r="C7205" t="e">
        <v>#N/A</v>
      </c>
      <c r="K7205" t="n">
        <v>0</v>
      </c>
      <c r="L7205" t="n">
        <v>0</v>
      </c>
      <c r="M7205" t="n">
        <v>0</v>
      </c>
      <c r="AC7205" t="n">
        <v>0</v>
      </c>
      <c r="AD7205" t="n">
        <v>0</v>
      </c>
      <c r="AE7205" t="n">
        <v>0</v>
      </c>
      <c r="AF7205" t="n">
        <v>0</v>
      </c>
      <c r="AG7205" t="n">
        <v>0</v>
      </c>
      <c r="AH7205" t="n">
        <v>0</v>
      </c>
      <c r="AI7205" t="n">
        <v>0</v>
      </c>
    </row>
    <row r="7206">
      <c r="A7206" t="inlineStr">
        <is>
          <t>12월</t>
        </is>
      </c>
      <c r="B7206" t="inlineStr">
        <is>
          <t>52주차</t>
        </is>
      </c>
      <c r="C7206" t="e">
        <v>#N/A</v>
      </c>
      <c r="K7206" t="n">
        <v>0</v>
      </c>
      <c r="L7206" t="n">
        <v>0</v>
      </c>
      <c r="M7206" t="n">
        <v>0</v>
      </c>
      <c r="AC7206" t="n">
        <v>0</v>
      </c>
      <c r="AD7206" t="n">
        <v>0</v>
      </c>
      <c r="AE7206" t="n">
        <v>0</v>
      </c>
      <c r="AF7206" t="n">
        <v>0</v>
      </c>
      <c r="AG7206" t="n">
        <v>0</v>
      </c>
      <c r="AH7206" t="n">
        <v>0</v>
      </c>
    </row>
    <row r="7207">
      <c r="A7207" t="inlineStr">
        <is>
          <t>12월</t>
        </is>
      </c>
      <c r="B7207" t="inlineStr">
        <is>
          <t>52주차</t>
        </is>
      </c>
      <c r="C7207" t="e">
        <v>#N/A</v>
      </c>
      <c r="K7207" t="n">
        <v>0</v>
      </c>
      <c r="L7207" t="n">
        <v>0</v>
      </c>
      <c r="M7207" t="n">
        <v>0</v>
      </c>
      <c r="AC7207" t="n">
        <v>0</v>
      </c>
      <c r="AD7207" t="n">
        <v>0</v>
      </c>
      <c r="AE7207" t="n">
        <v>0</v>
      </c>
      <c r="AF7207" t="n">
        <v>0</v>
      </c>
      <c r="AG7207" t="n">
        <v>0</v>
      </c>
      <c r="AH7207" t="n">
        <v>0</v>
      </c>
      <c r="AI7207" t="n">
        <v>0</v>
      </c>
    </row>
    <row r="7208">
      <c r="A7208" t="inlineStr">
        <is>
          <t>12월</t>
        </is>
      </c>
      <c r="B7208" t="inlineStr">
        <is>
          <t>52주차</t>
        </is>
      </c>
      <c r="C7208" t="e">
        <v>#N/A</v>
      </c>
      <c r="K7208" t="n">
        <v>0</v>
      </c>
      <c r="L7208" t="n">
        <v>0</v>
      </c>
      <c r="M7208" t="n">
        <v>0</v>
      </c>
      <c r="AC7208" t="n">
        <v>0</v>
      </c>
      <c r="AD7208" t="n">
        <v>0</v>
      </c>
      <c r="AE7208" t="n">
        <v>0</v>
      </c>
      <c r="AF7208" t="n">
        <v>0</v>
      </c>
      <c r="AG7208" t="n">
        <v>0</v>
      </c>
      <c r="AH7208" t="n">
        <v>0</v>
      </c>
      <c r="AI7208" t="n">
        <v>0</v>
      </c>
    </row>
    <row r="7209">
      <c r="A7209" t="inlineStr">
        <is>
          <t>12월</t>
        </is>
      </c>
      <c r="B7209" t="inlineStr">
        <is>
          <t>52주차</t>
        </is>
      </c>
      <c r="C7209" t="e">
        <v>#N/A</v>
      </c>
      <c r="K7209" t="n">
        <v>0</v>
      </c>
      <c r="L7209" t="n">
        <v>0</v>
      </c>
      <c r="M7209" t="n">
        <v>0</v>
      </c>
      <c r="AC7209" t="n">
        <v>0</v>
      </c>
      <c r="AD7209" t="n">
        <v>0</v>
      </c>
      <c r="AE7209" t="n">
        <v>0</v>
      </c>
      <c r="AF7209" t="n">
        <v>0</v>
      </c>
      <c r="AG7209" t="n">
        <v>0</v>
      </c>
      <c r="AH7209" t="n">
        <v>0</v>
      </c>
      <c r="AI7209" t="n">
        <v>0</v>
      </c>
    </row>
    <row r="7210">
      <c r="A7210" t="inlineStr">
        <is>
          <t>12월</t>
        </is>
      </c>
      <c r="B7210" t="inlineStr">
        <is>
          <t>52주차</t>
        </is>
      </c>
      <c r="C7210" t="e">
        <v>#N/A</v>
      </c>
      <c r="K7210" t="n">
        <v>0</v>
      </c>
      <c r="L7210" t="n">
        <v>0</v>
      </c>
      <c r="M7210" t="n">
        <v>0</v>
      </c>
      <c r="AC7210" t="n">
        <v>0</v>
      </c>
      <c r="AD7210" t="n">
        <v>0</v>
      </c>
      <c r="AE7210" t="n">
        <v>0</v>
      </c>
      <c r="AF7210" t="n">
        <v>0</v>
      </c>
      <c r="AG7210" t="n">
        <v>0</v>
      </c>
      <c r="AH7210" t="n">
        <v>0</v>
      </c>
      <c r="AI7210" t="n">
        <v>0</v>
      </c>
    </row>
    <row r="7211">
      <c r="A7211" t="inlineStr">
        <is>
          <t>12월</t>
        </is>
      </c>
      <c r="B7211" t="inlineStr">
        <is>
          <t>52주차</t>
        </is>
      </c>
      <c r="C7211" t="e">
        <v>#N/A</v>
      </c>
      <c r="K7211" t="n">
        <v>0</v>
      </c>
      <c r="L7211" t="n">
        <v>0</v>
      </c>
      <c r="M7211" t="n">
        <v>0</v>
      </c>
      <c r="AC7211" t="n">
        <v>0</v>
      </c>
      <c r="AD7211" t="n">
        <v>0</v>
      </c>
      <c r="AE7211" t="n">
        <v>0</v>
      </c>
      <c r="AF7211" t="n">
        <v>0</v>
      </c>
      <c r="AG7211" t="n">
        <v>0</v>
      </c>
      <c r="AH7211" t="n">
        <v>0</v>
      </c>
      <c r="AI7211" t="n">
        <v>0</v>
      </c>
    </row>
    <row r="7212">
      <c r="A7212" t="inlineStr">
        <is>
          <t>12월</t>
        </is>
      </c>
      <c r="B7212" t="inlineStr">
        <is>
          <t>52주차</t>
        </is>
      </c>
      <c r="C7212" t="e">
        <v>#N/A</v>
      </c>
      <c r="K7212" t="n">
        <v>0</v>
      </c>
      <c r="L7212" t="n">
        <v>0</v>
      </c>
      <c r="M7212" t="n">
        <v>0</v>
      </c>
      <c r="AC7212" t="n">
        <v>0</v>
      </c>
      <c r="AD7212" t="n">
        <v>0</v>
      </c>
      <c r="AE7212" t="n">
        <v>0</v>
      </c>
      <c r="AF7212" t="n">
        <v>0</v>
      </c>
      <c r="AG7212" t="n">
        <v>0</v>
      </c>
      <c r="AH7212" t="n">
        <v>0</v>
      </c>
    </row>
    <row r="7213">
      <c r="A7213" t="inlineStr">
        <is>
          <t>12월</t>
        </is>
      </c>
      <c r="B7213" t="inlineStr">
        <is>
          <t>52주차</t>
        </is>
      </c>
      <c r="C7213" t="e">
        <v>#N/A</v>
      </c>
      <c r="K7213" t="n">
        <v>0</v>
      </c>
      <c r="L7213" t="n">
        <v>0</v>
      </c>
      <c r="M7213" t="n">
        <v>0</v>
      </c>
      <c r="AC7213" t="n">
        <v>0</v>
      </c>
      <c r="AD7213" t="n">
        <v>0</v>
      </c>
      <c r="AE7213" t="n">
        <v>0</v>
      </c>
      <c r="AF7213" t="n">
        <v>0</v>
      </c>
      <c r="AG7213" t="n">
        <v>0</v>
      </c>
      <c r="AH7213" t="n">
        <v>0</v>
      </c>
    </row>
    <row r="7214">
      <c r="A7214" t="inlineStr">
        <is>
          <t>12월</t>
        </is>
      </c>
      <c r="B7214" t="inlineStr">
        <is>
          <t>52주차</t>
        </is>
      </c>
      <c r="C7214" t="e">
        <v>#N/A</v>
      </c>
      <c r="K7214" t="n">
        <v>0</v>
      </c>
      <c r="L7214" t="n">
        <v>0</v>
      </c>
      <c r="M7214" t="n">
        <v>0</v>
      </c>
      <c r="AC7214" t="n">
        <v>0</v>
      </c>
      <c r="AD7214" t="n">
        <v>0</v>
      </c>
      <c r="AE7214" t="n">
        <v>0</v>
      </c>
      <c r="AF7214" t="n">
        <v>0</v>
      </c>
      <c r="AG7214" t="n">
        <v>0</v>
      </c>
      <c r="AH7214" t="n">
        <v>0</v>
      </c>
    </row>
    <row r="7215">
      <c r="A7215" t="inlineStr">
        <is>
          <t>12월</t>
        </is>
      </c>
      <c r="B7215" t="inlineStr">
        <is>
          <t>52주차</t>
        </is>
      </c>
      <c r="C7215" t="e">
        <v>#N/A</v>
      </c>
      <c r="K7215" t="n">
        <v>0</v>
      </c>
      <c r="L7215" t="n">
        <v>0</v>
      </c>
      <c r="M7215" t="n">
        <v>0</v>
      </c>
      <c r="AC7215" t="n">
        <v>0</v>
      </c>
      <c r="AD7215" t="n">
        <v>0</v>
      </c>
      <c r="AE7215" t="n">
        <v>0</v>
      </c>
      <c r="AF7215" t="n">
        <v>0</v>
      </c>
      <c r="AG7215" t="n">
        <v>0</v>
      </c>
      <c r="AH7215" t="n">
        <v>0</v>
      </c>
      <c r="AI7215" t="n">
        <v>0</v>
      </c>
    </row>
    <row r="7216">
      <c r="A7216" t="inlineStr">
        <is>
          <t>12월</t>
        </is>
      </c>
      <c r="B7216" t="inlineStr">
        <is>
          <t>52주차</t>
        </is>
      </c>
      <c r="C7216" t="e">
        <v>#N/A</v>
      </c>
      <c r="K7216" t="n">
        <v>0</v>
      </c>
      <c r="L7216" t="n">
        <v>0</v>
      </c>
      <c r="M7216" t="n">
        <v>0</v>
      </c>
      <c r="AC7216" t="n">
        <v>0</v>
      </c>
      <c r="AD7216" t="n">
        <v>0</v>
      </c>
      <c r="AE7216" t="n">
        <v>0</v>
      </c>
      <c r="AF7216" t="n">
        <v>0</v>
      </c>
      <c r="AG7216" t="n">
        <v>0</v>
      </c>
      <c r="AH7216" t="n">
        <v>0</v>
      </c>
    </row>
    <row r="7217">
      <c r="A7217" t="inlineStr">
        <is>
          <t>12월</t>
        </is>
      </c>
      <c r="B7217" t="inlineStr">
        <is>
          <t>52주차</t>
        </is>
      </c>
      <c r="C7217" t="e">
        <v>#N/A</v>
      </c>
      <c r="K7217" t="n">
        <v>0</v>
      </c>
      <c r="L7217" t="n">
        <v>0</v>
      </c>
      <c r="M7217" t="n">
        <v>0</v>
      </c>
      <c r="AC7217" t="n">
        <v>0</v>
      </c>
      <c r="AD7217" t="n">
        <v>0</v>
      </c>
      <c r="AE7217" t="n">
        <v>0</v>
      </c>
      <c r="AF7217" t="n">
        <v>0</v>
      </c>
      <c r="AG7217" t="n">
        <v>0</v>
      </c>
      <c r="AH7217" t="n">
        <v>0</v>
      </c>
      <c r="AI7217" t="n">
        <v>0</v>
      </c>
    </row>
    <row r="7218">
      <c r="A7218" t="inlineStr">
        <is>
          <t>12월</t>
        </is>
      </c>
      <c r="B7218" t="inlineStr">
        <is>
          <t>52주차</t>
        </is>
      </c>
      <c r="C7218" t="e">
        <v>#N/A</v>
      </c>
      <c r="K7218" t="n">
        <v>0</v>
      </c>
      <c r="L7218" t="n">
        <v>0</v>
      </c>
      <c r="M7218" t="n">
        <v>0</v>
      </c>
      <c r="AC7218" t="n">
        <v>0</v>
      </c>
      <c r="AD7218" t="n">
        <v>0</v>
      </c>
      <c r="AE7218" t="n">
        <v>0</v>
      </c>
      <c r="AF7218" t="n">
        <v>0</v>
      </c>
      <c r="AG7218" t="n">
        <v>0</v>
      </c>
      <c r="AH7218" t="n">
        <v>0</v>
      </c>
      <c r="AI7218" t="n">
        <v>0</v>
      </c>
    </row>
    <row r="7219">
      <c r="A7219" t="inlineStr">
        <is>
          <t>12월</t>
        </is>
      </c>
      <c r="B7219" t="inlineStr">
        <is>
          <t>52주차</t>
        </is>
      </c>
      <c r="C7219" t="e">
        <v>#N/A</v>
      </c>
      <c r="K7219" t="n">
        <v>0</v>
      </c>
      <c r="L7219" t="n">
        <v>0</v>
      </c>
      <c r="M7219" t="n">
        <v>0</v>
      </c>
      <c r="AC7219" t="n">
        <v>0</v>
      </c>
      <c r="AD7219" t="n">
        <v>0</v>
      </c>
      <c r="AE7219" t="n">
        <v>0</v>
      </c>
      <c r="AF7219" t="n">
        <v>0</v>
      </c>
      <c r="AG7219" t="n">
        <v>0</v>
      </c>
      <c r="AH7219" t="n">
        <v>0</v>
      </c>
    </row>
    <row r="7220">
      <c r="A7220" t="inlineStr">
        <is>
          <t>12월</t>
        </is>
      </c>
      <c r="B7220" t="inlineStr">
        <is>
          <t>52주차</t>
        </is>
      </c>
      <c r="C7220" t="e">
        <v>#N/A</v>
      </c>
      <c r="K7220" t="n">
        <v>0</v>
      </c>
      <c r="L7220" t="n">
        <v>0</v>
      </c>
      <c r="M7220" t="n">
        <v>0</v>
      </c>
      <c r="AC7220" t="n">
        <v>0</v>
      </c>
      <c r="AD7220" t="n">
        <v>0</v>
      </c>
      <c r="AE7220" t="n">
        <v>0</v>
      </c>
      <c r="AF7220" t="n">
        <v>0</v>
      </c>
      <c r="AG7220" t="n">
        <v>0</v>
      </c>
      <c r="AH7220" t="n">
        <v>0</v>
      </c>
      <c r="AI7220" t="n">
        <v>0</v>
      </c>
    </row>
    <row r="7221">
      <c r="A7221" t="inlineStr">
        <is>
          <t>12월</t>
        </is>
      </c>
      <c r="B7221" t="inlineStr">
        <is>
          <t>52주차</t>
        </is>
      </c>
      <c r="C7221" t="e">
        <v>#N/A</v>
      </c>
      <c r="K7221" t="n">
        <v>0</v>
      </c>
      <c r="L7221" t="n">
        <v>0</v>
      </c>
      <c r="M7221" t="n">
        <v>0</v>
      </c>
      <c r="AC7221" t="n">
        <v>0</v>
      </c>
      <c r="AD7221" t="n">
        <v>0</v>
      </c>
      <c r="AE7221" t="n">
        <v>0</v>
      </c>
      <c r="AF7221" t="n">
        <v>0</v>
      </c>
      <c r="AG7221" t="n">
        <v>0</v>
      </c>
      <c r="AH7221" t="n">
        <v>0</v>
      </c>
      <c r="AI7221" t="n">
        <v>0</v>
      </c>
    </row>
    <row r="7222">
      <c r="A7222" t="inlineStr">
        <is>
          <t>12월</t>
        </is>
      </c>
      <c r="B7222" t="inlineStr">
        <is>
          <t>52주차</t>
        </is>
      </c>
      <c r="C7222" t="e">
        <v>#N/A</v>
      </c>
      <c r="K7222" t="n">
        <v>0</v>
      </c>
      <c r="L7222" t="n">
        <v>0</v>
      </c>
      <c r="M7222" t="n">
        <v>0</v>
      </c>
      <c r="AC7222" t="n">
        <v>0</v>
      </c>
      <c r="AD7222" t="n">
        <v>0</v>
      </c>
      <c r="AE7222" t="n">
        <v>0</v>
      </c>
      <c r="AF7222" t="n">
        <v>0</v>
      </c>
      <c r="AG7222" t="n">
        <v>0</v>
      </c>
      <c r="AH7222" t="n">
        <v>0</v>
      </c>
    </row>
    <row r="7223">
      <c r="A7223" t="inlineStr">
        <is>
          <t>12월</t>
        </is>
      </c>
      <c r="B7223" t="inlineStr">
        <is>
          <t>52주차</t>
        </is>
      </c>
      <c r="C7223" t="e">
        <v>#N/A</v>
      </c>
      <c r="K7223" t="n">
        <v>0</v>
      </c>
      <c r="L7223" t="n">
        <v>0</v>
      </c>
      <c r="M7223" t="n">
        <v>0</v>
      </c>
      <c r="AC7223" t="n">
        <v>0</v>
      </c>
      <c r="AD7223" t="n">
        <v>0</v>
      </c>
      <c r="AE7223" t="n">
        <v>0</v>
      </c>
      <c r="AF7223" t="n">
        <v>0</v>
      </c>
      <c r="AG7223" t="n">
        <v>0</v>
      </c>
      <c r="AH7223" t="n">
        <v>0</v>
      </c>
    </row>
    <row r="7224">
      <c r="A7224" t="inlineStr">
        <is>
          <t>12월</t>
        </is>
      </c>
      <c r="B7224" t="inlineStr">
        <is>
          <t>52주차</t>
        </is>
      </c>
      <c r="C7224" t="e">
        <v>#N/A</v>
      </c>
      <c r="K7224" t="n">
        <v>0</v>
      </c>
      <c r="L7224" t="n">
        <v>0</v>
      </c>
      <c r="M7224" t="n">
        <v>0</v>
      </c>
      <c r="AC7224" t="n">
        <v>0</v>
      </c>
      <c r="AD7224" t="n">
        <v>0</v>
      </c>
      <c r="AE7224" t="n">
        <v>0</v>
      </c>
      <c r="AF7224" t="n">
        <v>0</v>
      </c>
      <c r="AG7224" t="n">
        <v>0</v>
      </c>
      <c r="AH7224" t="n">
        <v>0</v>
      </c>
      <c r="AI7224" t="n">
        <v>0</v>
      </c>
    </row>
    <row r="7225">
      <c r="A7225" t="inlineStr">
        <is>
          <t>12월</t>
        </is>
      </c>
      <c r="B7225" t="inlineStr">
        <is>
          <t>52주차</t>
        </is>
      </c>
      <c r="C7225" t="e">
        <v>#N/A</v>
      </c>
      <c r="K7225" t="n">
        <v>0</v>
      </c>
      <c r="L7225" t="n">
        <v>0</v>
      </c>
      <c r="M7225" t="n">
        <v>0</v>
      </c>
      <c r="AC7225" t="n">
        <v>0</v>
      </c>
      <c r="AD7225" t="n">
        <v>0</v>
      </c>
      <c r="AE7225" t="n">
        <v>0</v>
      </c>
      <c r="AF7225" t="n">
        <v>0</v>
      </c>
      <c r="AG7225" t="n">
        <v>0</v>
      </c>
      <c r="AH7225" t="n">
        <v>0</v>
      </c>
      <c r="AI7225" t="n">
        <v>0</v>
      </c>
    </row>
    <row r="7226">
      <c r="A7226" t="inlineStr">
        <is>
          <t>12월</t>
        </is>
      </c>
      <c r="B7226" t="inlineStr">
        <is>
          <t>52주차</t>
        </is>
      </c>
      <c r="C7226" t="e">
        <v>#N/A</v>
      </c>
      <c r="K7226" t="n">
        <v>0</v>
      </c>
      <c r="L7226" t="n">
        <v>0</v>
      </c>
      <c r="M7226" t="n">
        <v>0</v>
      </c>
      <c r="AC7226" t="n">
        <v>0</v>
      </c>
      <c r="AD7226" t="n">
        <v>0</v>
      </c>
      <c r="AE7226" t="n">
        <v>0</v>
      </c>
      <c r="AF7226" t="n">
        <v>0</v>
      </c>
      <c r="AG7226" t="n">
        <v>0</v>
      </c>
      <c r="AH7226" t="n">
        <v>0</v>
      </c>
      <c r="AI7226" t="n">
        <v>0</v>
      </c>
    </row>
    <row r="7227">
      <c r="A7227" t="inlineStr">
        <is>
          <t>12월</t>
        </is>
      </c>
      <c r="B7227" t="inlineStr">
        <is>
          <t>52주차</t>
        </is>
      </c>
      <c r="C7227" t="e">
        <v>#N/A</v>
      </c>
      <c r="K7227" t="n">
        <v>0</v>
      </c>
      <c r="L7227" t="n">
        <v>0</v>
      </c>
      <c r="M7227" t="n">
        <v>0</v>
      </c>
      <c r="AC7227" t="n">
        <v>0</v>
      </c>
      <c r="AD7227" t="n">
        <v>0</v>
      </c>
      <c r="AE7227" t="n">
        <v>0</v>
      </c>
      <c r="AF7227" t="n">
        <v>0</v>
      </c>
      <c r="AG7227" t="n">
        <v>0</v>
      </c>
      <c r="AH7227" t="n">
        <v>0</v>
      </c>
      <c r="AI7227" t="n">
        <v>0</v>
      </c>
    </row>
    <row r="7228">
      <c r="A7228" t="inlineStr">
        <is>
          <t>12월</t>
        </is>
      </c>
      <c r="B7228" t="inlineStr">
        <is>
          <t>52주차</t>
        </is>
      </c>
      <c r="C7228" t="e">
        <v>#N/A</v>
      </c>
      <c r="K7228" t="n">
        <v>0</v>
      </c>
      <c r="L7228" t="n">
        <v>0</v>
      </c>
      <c r="M7228" t="n">
        <v>0</v>
      </c>
      <c r="AC7228" t="n">
        <v>0</v>
      </c>
      <c r="AD7228" t="n">
        <v>0</v>
      </c>
      <c r="AE7228" t="n">
        <v>0</v>
      </c>
      <c r="AF7228" t="n">
        <v>0</v>
      </c>
      <c r="AG7228" t="n">
        <v>0</v>
      </c>
      <c r="AH7228" t="n">
        <v>0</v>
      </c>
    </row>
    <row r="7229">
      <c r="A7229" t="inlineStr">
        <is>
          <t>12월</t>
        </is>
      </c>
      <c r="B7229" t="inlineStr">
        <is>
          <t>52주차</t>
        </is>
      </c>
      <c r="C7229" t="e">
        <v>#N/A</v>
      </c>
      <c r="K7229" t="n">
        <v>0</v>
      </c>
      <c r="L7229" t="n">
        <v>0</v>
      </c>
      <c r="M7229" t="n">
        <v>0</v>
      </c>
      <c r="AC7229" t="n">
        <v>0</v>
      </c>
      <c r="AD7229" t="n">
        <v>0</v>
      </c>
      <c r="AE7229" t="n">
        <v>0</v>
      </c>
      <c r="AF7229" t="n">
        <v>0</v>
      </c>
      <c r="AG7229" t="n">
        <v>0</v>
      </c>
      <c r="AH7229" t="n">
        <v>0</v>
      </c>
    </row>
    <row r="7230">
      <c r="A7230" t="inlineStr">
        <is>
          <t>12월</t>
        </is>
      </c>
      <c r="B7230" t="inlineStr">
        <is>
          <t>52주차</t>
        </is>
      </c>
      <c r="C7230" t="e">
        <v>#N/A</v>
      </c>
      <c r="K7230" t="n">
        <v>0</v>
      </c>
      <c r="L7230" t="n">
        <v>0</v>
      </c>
      <c r="M7230" t="n">
        <v>0</v>
      </c>
      <c r="AC7230" t="n">
        <v>0</v>
      </c>
      <c r="AD7230" t="n">
        <v>0</v>
      </c>
      <c r="AE7230" t="n">
        <v>0</v>
      </c>
      <c r="AF7230" t="n">
        <v>0</v>
      </c>
      <c r="AG7230" t="n">
        <v>0</v>
      </c>
      <c r="AH7230" t="n">
        <v>0</v>
      </c>
      <c r="AI7230" t="n">
        <v>0</v>
      </c>
    </row>
    <row r="7231">
      <c r="A7231" t="inlineStr">
        <is>
          <t>12월</t>
        </is>
      </c>
      <c r="B7231" t="inlineStr">
        <is>
          <t>52주차</t>
        </is>
      </c>
      <c r="C7231" t="e">
        <v>#N/A</v>
      </c>
      <c r="K7231" t="n">
        <v>0</v>
      </c>
      <c r="L7231" t="n">
        <v>0</v>
      </c>
      <c r="M7231" t="n">
        <v>0</v>
      </c>
      <c r="AC7231" t="n">
        <v>0</v>
      </c>
      <c r="AD7231" t="n">
        <v>0</v>
      </c>
      <c r="AE7231" t="n">
        <v>0</v>
      </c>
      <c r="AF7231" t="n">
        <v>0</v>
      </c>
      <c r="AG7231" t="n">
        <v>0</v>
      </c>
      <c r="AH7231" t="n">
        <v>0</v>
      </c>
      <c r="AI7231" t="n">
        <v>0</v>
      </c>
    </row>
    <row r="7232">
      <c r="A7232" t="inlineStr">
        <is>
          <t>12월</t>
        </is>
      </c>
      <c r="B7232" t="inlineStr">
        <is>
          <t>52주차</t>
        </is>
      </c>
      <c r="C7232" t="e">
        <v>#N/A</v>
      </c>
      <c r="K7232" t="n">
        <v>0</v>
      </c>
      <c r="L7232" t="n">
        <v>0</v>
      </c>
      <c r="M7232" t="n">
        <v>0</v>
      </c>
      <c r="AC7232" t="n">
        <v>0</v>
      </c>
      <c r="AD7232" t="n">
        <v>0</v>
      </c>
      <c r="AE7232" t="n">
        <v>0</v>
      </c>
      <c r="AF7232" t="n">
        <v>0</v>
      </c>
      <c r="AG7232" t="n">
        <v>0</v>
      </c>
      <c r="AH7232" t="n">
        <v>0</v>
      </c>
      <c r="AI7232" t="n">
        <v>0</v>
      </c>
    </row>
    <row r="7233">
      <c r="A7233" t="inlineStr">
        <is>
          <t>12월</t>
        </is>
      </c>
      <c r="B7233" t="inlineStr">
        <is>
          <t>52주차</t>
        </is>
      </c>
      <c r="C7233" t="e">
        <v>#N/A</v>
      </c>
      <c r="K7233" t="n">
        <v>0</v>
      </c>
      <c r="L7233" t="n">
        <v>0</v>
      </c>
      <c r="M7233" t="n">
        <v>0</v>
      </c>
      <c r="AC7233" t="n">
        <v>0</v>
      </c>
      <c r="AD7233" t="n">
        <v>0</v>
      </c>
      <c r="AE7233" t="n">
        <v>0</v>
      </c>
      <c r="AF7233" t="n">
        <v>0</v>
      </c>
      <c r="AG7233" t="n">
        <v>0</v>
      </c>
      <c r="AH7233" t="n">
        <v>0</v>
      </c>
      <c r="AI7233" t="n">
        <v>0</v>
      </c>
    </row>
    <row r="7234">
      <c r="A7234" t="inlineStr">
        <is>
          <t>12월</t>
        </is>
      </c>
      <c r="B7234" t="inlineStr">
        <is>
          <t>52주차</t>
        </is>
      </c>
      <c r="C7234" t="e">
        <v>#N/A</v>
      </c>
      <c r="K7234" t="n">
        <v>0</v>
      </c>
      <c r="L7234" t="n">
        <v>0</v>
      </c>
      <c r="M7234" t="n">
        <v>0</v>
      </c>
      <c r="AC7234" t="n">
        <v>0</v>
      </c>
      <c r="AD7234" t="n">
        <v>0</v>
      </c>
      <c r="AE7234" t="n">
        <v>0</v>
      </c>
      <c r="AF7234" t="n">
        <v>0</v>
      </c>
      <c r="AG7234" t="n">
        <v>0</v>
      </c>
      <c r="AH7234" t="n">
        <v>0</v>
      </c>
      <c r="AI7234" t="n">
        <v>0</v>
      </c>
    </row>
    <row r="7235">
      <c r="A7235" t="inlineStr">
        <is>
          <t>12월</t>
        </is>
      </c>
      <c r="B7235" t="inlineStr">
        <is>
          <t>52주차</t>
        </is>
      </c>
      <c r="C7235" t="e">
        <v>#N/A</v>
      </c>
      <c r="K7235" t="n">
        <v>0</v>
      </c>
      <c r="L7235" t="n">
        <v>0</v>
      </c>
      <c r="M7235" t="n">
        <v>0</v>
      </c>
      <c r="AC7235" t="n">
        <v>0</v>
      </c>
      <c r="AD7235" t="n">
        <v>0</v>
      </c>
      <c r="AE7235" t="n">
        <v>0</v>
      </c>
      <c r="AF7235" t="n">
        <v>0</v>
      </c>
      <c r="AG7235" t="n">
        <v>0</v>
      </c>
      <c r="AH7235" t="n">
        <v>0</v>
      </c>
      <c r="AI7235" t="n">
        <v>0</v>
      </c>
    </row>
    <row r="7236">
      <c r="A7236" t="inlineStr">
        <is>
          <t>12월</t>
        </is>
      </c>
      <c r="B7236" t="inlineStr">
        <is>
          <t>52주차</t>
        </is>
      </c>
      <c r="C7236" t="e">
        <v>#N/A</v>
      </c>
      <c r="K7236" t="n">
        <v>0</v>
      </c>
      <c r="L7236" t="n">
        <v>0</v>
      </c>
      <c r="M7236" t="n">
        <v>0</v>
      </c>
      <c r="AC7236" t="n">
        <v>0</v>
      </c>
      <c r="AD7236" t="n">
        <v>0</v>
      </c>
      <c r="AE7236" t="n">
        <v>0</v>
      </c>
      <c r="AF7236" t="n">
        <v>0</v>
      </c>
      <c r="AG7236" t="n">
        <v>0</v>
      </c>
      <c r="AH7236" t="n">
        <v>0</v>
      </c>
      <c r="AI7236" t="n">
        <v>0</v>
      </c>
    </row>
    <row r="7237">
      <c r="A7237" t="inlineStr">
        <is>
          <t>12월</t>
        </is>
      </c>
      <c r="B7237" t="inlineStr">
        <is>
          <t>52주차</t>
        </is>
      </c>
      <c r="C7237" t="e">
        <v>#N/A</v>
      </c>
      <c r="K7237" t="n">
        <v>0</v>
      </c>
      <c r="L7237" t="n">
        <v>0</v>
      </c>
      <c r="M7237" t="n">
        <v>0</v>
      </c>
      <c r="AC7237" t="n">
        <v>0</v>
      </c>
      <c r="AD7237" t="n">
        <v>0</v>
      </c>
      <c r="AE7237" t="n">
        <v>0</v>
      </c>
      <c r="AF7237" t="n">
        <v>0</v>
      </c>
      <c r="AG7237" t="n">
        <v>0</v>
      </c>
      <c r="AH7237" t="n">
        <v>0</v>
      </c>
      <c r="AI7237" t="n">
        <v>0</v>
      </c>
    </row>
    <row r="7238">
      <c r="A7238" t="inlineStr">
        <is>
          <t>12월</t>
        </is>
      </c>
      <c r="B7238" t="inlineStr">
        <is>
          <t>52주차</t>
        </is>
      </c>
      <c r="C7238" t="e">
        <v>#N/A</v>
      </c>
      <c r="K7238" t="n">
        <v>0</v>
      </c>
      <c r="L7238" t="n">
        <v>0</v>
      </c>
      <c r="M7238" t="n">
        <v>0</v>
      </c>
      <c r="AC7238" t="n">
        <v>0</v>
      </c>
      <c r="AD7238" t="n">
        <v>0</v>
      </c>
      <c r="AE7238" t="n">
        <v>0</v>
      </c>
      <c r="AF7238" t="n">
        <v>0</v>
      </c>
      <c r="AG7238" t="n">
        <v>0</v>
      </c>
      <c r="AH7238" t="n">
        <v>0</v>
      </c>
      <c r="AI7238" t="n">
        <v>0</v>
      </c>
    </row>
    <row r="7239">
      <c r="A7239" t="inlineStr">
        <is>
          <t>12월</t>
        </is>
      </c>
      <c r="B7239" t="inlineStr">
        <is>
          <t>52주차</t>
        </is>
      </c>
      <c r="C7239" t="e">
        <v>#N/A</v>
      </c>
      <c r="K7239" t="n">
        <v>0</v>
      </c>
      <c r="L7239" t="n">
        <v>0</v>
      </c>
      <c r="M7239" t="n">
        <v>0</v>
      </c>
      <c r="AC7239" t="n">
        <v>0</v>
      </c>
      <c r="AD7239" t="n">
        <v>0</v>
      </c>
      <c r="AE7239" t="n">
        <v>0</v>
      </c>
      <c r="AF7239" t="n">
        <v>0</v>
      </c>
      <c r="AG7239" t="n">
        <v>0</v>
      </c>
      <c r="AH7239" t="n">
        <v>0</v>
      </c>
    </row>
    <row r="7240">
      <c r="A7240" t="inlineStr">
        <is>
          <t>12월</t>
        </is>
      </c>
      <c r="B7240" t="inlineStr">
        <is>
          <t>52주차</t>
        </is>
      </c>
      <c r="C7240" t="e">
        <v>#N/A</v>
      </c>
      <c r="K7240" t="n">
        <v>0</v>
      </c>
      <c r="L7240" t="n">
        <v>0</v>
      </c>
      <c r="M7240" t="n">
        <v>0</v>
      </c>
      <c r="AC7240" t="n">
        <v>0</v>
      </c>
      <c r="AD7240" t="n">
        <v>0</v>
      </c>
      <c r="AE7240" t="n">
        <v>0</v>
      </c>
      <c r="AF7240" t="n">
        <v>0</v>
      </c>
      <c r="AG7240" t="n">
        <v>0</v>
      </c>
      <c r="AH7240" t="n">
        <v>0</v>
      </c>
      <c r="AI7240" t="n">
        <v>0</v>
      </c>
    </row>
    <row r="7241">
      <c r="A7241" t="inlineStr">
        <is>
          <t>12월</t>
        </is>
      </c>
      <c r="B7241" t="inlineStr">
        <is>
          <t>52주차</t>
        </is>
      </c>
      <c r="C7241" t="e">
        <v>#N/A</v>
      </c>
      <c r="K7241" t="n">
        <v>0</v>
      </c>
      <c r="L7241" t="n">
        <v>0</v>
      </c>
      <c r="M7241" t="n">
        <v>0</v>
      </c>
      <c r="AC7241" t="n">
        <v>0</v>
      </c>
      <c r="AD7241" t="n">
        <v>0</v>
      </c>
      <c r="AE7241" t="n">
        <v>0</v>
      </c>
      <c r="AF7241" t="n">
        <v>0</v>
      </c>
      <c r="AG7241" t="n">
        <v>0</v>
      </c>
      <c r="AH7241" t="n">
        <v>0</v>
      </c>
    </row>
    <row r="7242">
      <c r="A7242" t="inlineStr">
        <is>
          <t>12월</t>
        </is>
      </c>
      <c r="B7242" t="inlineStr">
        <is>
          <t>52주차</t>
        </is>
      </c>
      <c r="C7242" t="e">
        <v>#N/A</v>
      </c>
      <c r="K7242" t="n">
        <v>0</v>
      </c>
      <c r="L7242" t="n">
        <v>0</v>
      </c>
      <c r="M7242" t="n">
        <v>0</v>
      </c>
      <c r="AC7242" t="n">
        <v>0</v>
      </c>
      <c r="AD7242" t="n">
        <v>0</v>
      </c>
      <c r="AE7242" t="n">
        <v>0</v>
      </c>
      <c r="AF7242" t="n">
        <v>0</v>
      </c>
      <c r="AG7242" t="n">
        <v>0</v>
      </c>
      <c r="AH7242" t="n">
        <v>0</v>
      </c>
    </row>
    <row r="7243">
      <c r="A7243" t="inlineStr">
        <is>
          <t>12월</t>
        </is>
      </c>
      <c r="B7243" t="inlineStr">
        <is>
          <t>52주차</t>
        </is>
      </c>
      <c r="C7243" t="e">
        <v>#N/A</v>
      </c>
      <c r="K7243" t="n">
        <v>0</v>
      </c>
      <c r="L7243" t="n">
        <v>0</v>
      </c>
      <c r="M7243" t="n">
        <v>0</v>
      </c>
      <c r="AC7243" t="n">
        <v>0</v>
      </c>
      <c r="AD7243" t="n">
        <v>0</v>
      </c>
      <c r="AE7243" t="n">
        <v>0</v>
      </c>
      <c r="AF7243" t="n">
        <v>0</v>
      </c>
      <c r="AG7243" t="n">
        <v>0</v>
      </c>
      <c r="AH7243" t="n">
        <v>0</v>
      </c>
    </row>
    <row r="7244">
      <c r="A7244" t="inlineStr">
        <is>
          <t>12월</t>
        </is>
      </c>
      <c r="B7244" t="inlineStr">
        <is>
          <t>52주차</t>
        </is>
      </c>
      <c r="C7244" t="e">
        <v>#N/A</v>
      </c>
      <c r="K7244" t="n">
        <v>0</v>
      </c>
      <c r="L7244" t="n">
        <v>0</v>
      </c>
      <c r="M7244" t="n">
        <v>0</v>
      </c>
      <c r="AC7244" t="n">
        <v>0</v>
      </c>
      <c r="AD7244" t="n">
        <v>0</v>
      </c>
      <c r="AE7244" t="n">
        <v>0</v>
      </c>
      <c r="AF7244" t="n">
        <v>0</v>
      </c>
      <c r="AG7244" t="n">
        <v>0</v>
      </c>
      <c r="AH7244" t="n">
        <v>0</v>
      </c>
    </row>
    <row r="7245">
      <c r="A7245" t="inlineStr">
        <is>
          <t>12월</t>
        </is>
      </c>
      <c r="B7245" t="inlineStr">
        <is>
          <t>52주차</t>
        </is>
      </c>
      <c r="C7245" t="e">
        <v>#N/A</v>
      </c>
      <c r="K7245" t="n">
        <v>0</v>
      </c>
      <c r="L7245" t="n">
        <v>0</v>
      </c>
      <c r="M7245" t="n">
        <v>0</v>
      </c>
      <c r="AC7245" t="n">
        <v>0</v>
      </c>
      <c r="AD7245" t="n">
        <v>0</v>
      </c>
      <c r="AE7245" t="n">
        <v>0</v>
      </c>
      <c r="AF7245" t="n">
        <v>0</v>
      </c>
      <c r="AG7245" t="n">
        <v>0</v>
      </c>
      <c r="AH7245" t="n">
        <v>0</v>
      </c>
      <c r="AI7245" t="n">
        <v>0</v>
      </c>
    </row>
    <row r="7246">
      <c r="A7246" t="inlineStr">
        <is>
          <t>12월</t>
        </is>
      </c>
      <c r="B7246" t="inlineStr">
        <is>
          <t>52주차</t>
        </is>
      </c>
      <c r="C7246" t="e">
        <v>#N/A</v>
      </c>
      <c r="K7246" t="n">
        <v>0</v>
      </c>
      <c r="L7246" t="n">
        <v>0</v>
      </c>
      <c r="M7246" t="n">
        <v>0</v>
      </c>
      <c r="AC7246" t="n">
        <v>0</v>
      </c>
      <c r="AD7246" t="n">
        <v>0</v>
      </c>
      <c r="AE7246" t="n">
        <v>0</v>
      </c>
      <c r="AF7246" t="n">
        <v>0</v>
      </c>
      <c r="AG7246" t="n">
        <v>0</v>
      </c>
      <c r="AH7246" t="n">
        <v>0</v>
      </c>
    </row>
    <row r="7247">
      <c r="A7247" t="inlineStr">
        <is>
          <t>12월</t>
        </is>
      </c>
      <c r="B7247" t="inlineStr">
        <is>
          <t>52주차</t>
        </is>
      </c>
      <c r="C7247" t="e">
        <v>#N/A</v>
      </c>
      <c r="K7247" t="n">
        <v>0</v>
      </c>
      <c r="L7247" t="n">
        <v>0</v>
      </c>
      <c r="M7247" t="n">
        <v>0</v>
      </c>
      <c r="AC7247" t="n">
        <v>0</v>
      </c>
      <c r="AD7247" t="n">
        <v>0</v>
      </c>
      <c r="AE7247" t="n">
        <v>0</v>
      </c>
      <c r="AF7247" t="n">
        <v>0</v>
      </c>
      <c r="AG7247" t="n">
        <v>0</v>
      </c>
      <c r="AH7247" t="n">
        <v>0</v>
      </c>
      <c r="AI7247" t="n">
        <v>0</v>
      </c>
    </row>
    <row r="7248">
      <c r="A7248" t="inlineStr">
        <is>
          <t>12월</t>
        </is>
      </c>
      <c r="B7248" t="inlineStr">
        <is>
          <t>52주차</t>
        </is>
      </c>
      <c r="C7248" t="e">
        <v>#N/A</v>
      </c>
      <c r="K7248" t="n">
        <v>0</v>
      </c>
      <c r="L7248" t="n">
        <v>0</v>
      </c>
      <c r="M7248" t="n">
        <v>0</v>
      </c>
      <c r="AC7248" t="n">
        <v>0</v>
      </c>
      <c r="AD7248" t="n">
        <v>0</v>
      </c>
      <c r="AE7248" t="n">
        <v>0</v>
      </c>
      <c r="AF7248" t="n">
        <v>0</v>
      </c>
      <c r="AG7248" t="n">
        <v>0</v>
      </c>
      <c r="AH7248" t="n">
        <v>0</v>
      </c>
    </row>
    <row r="7249">
      <c r="A7249" t="inlineStr">
        <is>
          <t>12월</t>
        </is>
      </c>
      <c r="B7249" t="inlineStr">
        <is>
          <t>52주차</t>
        </is>
      </c>
      <c r="C7249" t="e">
        <v>#N/A</v>
      </c>
      <c r="K7249" t="n">
        <v>0</v>
      </c>
      <c r="L7249" t="n">
        <v>0</v>
      </c>
      <c r="M7249" t="n">
        <v>0</v>
      </c>
      <c r="AC7249" t="n">
        <v>0</v>
      </c>
      <c r="AD7249" t="n">
        <v>0</v>
      </c>
      <c r="AE7249" t="n">
        <v>0</v>
      </c>
      <c r="AF7249" t="n">
        <v>0</v>
      </c>
      <c r="AG7249" t="n">
        <v>0</v>
      </c>
      <c r="AH7249" t="n">
        <v>0</v>
      </c>
    </row>
    <row r="7250">
      <c r="A7250" t="inlineStr">
        <is>
          <t>12월</t>
        </is>
      </c>
      <c r="B7250" t="inlineStr">
        <is>
          <t>52주차</t>
        </is>
      </c>
      <c r="C7250" t="e">
        <v>#N/A</v>
      </c>
      <c r="K7250" t="n">
        <v>0</v>
      </c>
      <c r="L7250" t="n">
        <v>0</v>
      </c>
      <c r="M7250" t="n">
        <v>0</v>
      </c>
      <c r="AC7250" t="n">
        <v>0</v>
      </c>
      <c r="AD7250" t="n">
        <v>0</v>
      </c>
      <c r="AE7250" t="n">
        <v>0</v>
      </c>
      <c r="AF7250" t="n">
        <v>0</v>
      </c>
      <c r="AG7250" t="n">
        <v>0</v>
      </c>
      <c r="AH7250" t="n">
        <v>0</v>
      </c>
      <c r="AI7250" t="n">
        <v>0</v>
      </c>
    </row>
    <row r="7251">
      <c r="A7251" t="inlineStr">
        <is>
          <t>12월</t>
        </is>
      </c>
      <c r="B7251" t="inlineStr">
        <is>
          <t>52주차</t>
        </is>
      </c>
      <c r="C7251" t="e">
        <v>#N/A</v>
      </c>
      <c r="K7251" t="n">
        <v>0</v>
      </c>
      <c r="L7251" t="n">
        <v>0</v>
      </c>
      <c r="M7251" t="n">
        <v>0</v>
      </c>
      <c r="AC7251" t="n">
        <v>0</v>
      </c>
      <c r="AD7251" t="n">
        <v>0</v>
      </c>
      <c r="AE7251" t="n">
        <v>0</v>
      </c>
      <c r="AF7251" t="n">
        <v>0</v>
      </c>
      <c r="AG7251" t="n">
        <v>0</v>
      </c>
      <c r="AH7251" t="n">
        <v>0</v>
      </c>
      <c r="AI7251" t="n">
        <v>0</v>
      </c>
    </row>
    <row r="7252">
      <c r="A7252" t="inlineStr">
        <is>
          <t>12월</t>
        </is>
      </c>
      <c r="B7252" t="inlineStr">
        <is>
          <t>52주차</t>
        </is>
      </c>
      <c r="C7252" t="e">
        <v>#N/A</v>
      </c>
      <c r="K7252" t="n">
        <v>0</v>
      </c>
      <c r="L7252" t="n">
        <v>0</v>
      </c>
      <c r="M7252" t="n">
        <v>0</v>
      </c>
      <c r="AC7252" t="n">
        <v>0</v>
      </c>
      <c r="AD7252" t="n">
        <v>0</v>
      </c>
      <c r="AE7252" t="n">
        <v>0</v>
      </c>
      <c r="AF7252" t="n">
        <v>0</v>
      </c>
      <c r="AG7252" t="n">
        <v>0</v>
      </c>
      <c r="AH7252" t="n">
        <v>0</v>
      </c>
      <c r="AI7252" t="n">
        <v>0</v>
      </c>
    </row>
    <row r="7253">
      <c r="A7253" t="inlineStr">
        <is>
          <t>12월</t>
        </is>
      </c>
      <c r="B7253" t="inlineStr">
        <is>
          <t>52주차</t>
        </is>
      </c>
      <c r="C7253" t="e">
        <v>#N/A</v>
      </c>
      <c r="K7253" t="n">
        <v>0</v>
      </c>
      <c r="L7253" t="n">
        <v>0</v>
      </c>
      <c r="M7253" t="n">
        <v>0</v>
      </c>
      <c r="AC7253" t="n">
        <v>0</v>
      </c>
      <c r="AD7253" t="n">
        <v>0</v>
      </c>
      <c r="AE7253" t="n">
        <v>0</v>
      </c>
      <c r="AF7253" t="n">
        <v>0</v>
      </c>
      <c r="AG7253" t="n">
        <v>0</v>
      </c>
      <c r="AH7253" t="n">
        <v>0</v>
      </c>
    </row>
    <row r="7254">
      <c r="A7254" t="inlineStr">
        <is>
          <t>12월</t>
        </is>
      </c>
      <c r="B7254" t="inlineStr">
        <is>
          <t>52주차</t>
        </is>
      </c>
      <c r="C7254" t="e">
        <v>#N/A</v>
      </c>
      <c r="K7254" t="n">
        <v>0</v>
      </c>
      <c r="L7254" t="n">
        <v>0</v>
      </c>
      <c r="M7254" t="n">
        <v>0</v>
      </c>
      <c r="AC7254" t="n">
        <v>0</v>
      </c>
      <c r="AD7254" t="n">
        <v>0</v>
      </c>
      <c r="AE7254" t="n">
        <v>0</v>
      </c>
      <c r="AF7254" t="n">
        <v>0</v>
      </c>
      <c r="AG7254" t="n">
        <v>0</v>
      </c>
      <c r="AH7254" t="n">
        <v>0</v>
      </c>
    </row>
    <row r="7255">
      <c r="A7255" t="inlineStr">
        <is>
          <t>12월</t>
        </is>
      </c>
      <c r="B7255" t="inlineStr">
        <is>
          <t>52주차</t>
        </is>
      </c>
      <c r="C7255" t="e">
        <v>#N/A</v>
      </c>
      <c r="K7255" t="n">
        <v>0</v>
      </c>
      <c r="L7255" t="n">
        <v>0</v>
      </c>
      <c r="M7255" t="n">
        <v>0</v>
      </c>
      <c r="AC7255" t="n">
        <v>0</v>
      </c>
      <c r="AD7255" t="n">
        <v>0</v>
      </c>
      <c r="AE7255" t="n">
        <v>0</v>
      </c>
      <c r="AF7255" t="n">
        <v>0</v>
      </c>
      <c r="AG7255" t="n">
        <v>0</v>
      </c>
      <c r="AH7255" t="n">
        <v>0</v>
      </c>
      <c r="AI7255" t="n">
        <v>0</v>
      </c>
    </row>
    <row r="7256">
      <c r="A7256" t="inlineStr">
        <is>
          <t>12월</t>
        </is>
      </c>
      <c r="B7256" t="inlineStr">
        <is>
          <t>52주차</t>
        </is>
      </c>
      <c r="C7256" t="e">
        <v>#N/A</v>
      </c>
      <c r="K7256" t="n">
        <v>0</v>
      </c>
      <c r="L7256" t="n">
        <v>0</v>
      </c>
      <c r="M7256" t="n">
        <v>0</v>
      </c>
      <c r="AC7256" t="n">
        <v>0</v>
      </c>
      <c r="AD7256" t="n">
        <v>0</v>
      </c>
      <c r="AE7256" t="n">
        <v>0</v>
      </c>
      <c r="AF7256" t="n">
        <v>0</v>
      </c>
      <c r="AG7256" t="n">
        <v>0</v>
      </c>
      <c r="AH7256" t="n">
        <v>0</v>
      </c>
      <c r="AI7256" t="n">
        <v>0</v>
      </c>
    </row>
    <row r="7257">
      <c r="A7257" t="inlineStr">
        <is>
          <t>12월</t>
        </is>
      </c>
      <c r="B7257" t="inlineStr">
        <is>
          <t>52주차</t>
        </is>
      </c>
      <c r="C7257" t="e">
        <v>#N/A</v>
      </c>
      <c r="K7257" t="n">
        <v>0</v>
      </c>
      <c r="L7257" t="n">
        <v>0</v>
      </c>
      <c r="M7257" t="n">
        <v>0</v>
      </c>
      <c r="AC7257" t="n">
        <v>0</v>
      </c>
      <c r="AD7257" t="n">
        <v>0</v>
      </c>
      <c r="AE7257" t="n">
        <v>0</v>
      </c>
      <c r="AF7257" t="n">
        <v>0</v>
      </c>
      <c r="AG7257" t="n">
        <v>0</v>
      </c>
      <c r="AH7257" t="n">
        <v>0</v>
      </c>
      <c r="AI7257" t="n">
        <v>0</v>
      </c>
    </row>
    <row r="7258">
      <c r="A7258" t="inlineStr">
        <is>
          <t>12월</t>
        </is>
      </c>
      <c r="B7258" t="inlineStr">
        <is>
          <t>52주차</t>
        </is>
      </c>
      <c r="C7258" t="e">
        <v>#N/A</v>
      </c>
      <c r="K7258" t="n">
        <v>0</v>
      </c>
      <c r="L7258" t="n">
        <v>0</v>
      </c>
      <c r="M7258" t="n">
        <v>0</v>
      </c>
      <c r="AC7258" t="n">
        <v>0</v>
      </c>
      <c r="AD7258" t="n">
        <v>0</v>
      </c>
      <c r="AE7258" t="n">
        <v>0</v>
      </c>
      <c r="AF7258" t="n">
        <v>0</v>
      </c>
      <c r="AG7258" t="n">
        <v>0</v>
      </c>
      <c r="AH7258" t="n">
        <v>0</v>
      </c>
      <c r="AI7258" t="n">
        <v>0</v>
      </c>
    </row>
    <row r="7259">
      <c r="A7259" t="inlineStr">
        <is>
          <t>12월</t>
        </is>
      </c>
      <c r="B7259" t="inlineStr">
        <is>
          <t>52주차</t>
        </is>
      </c>
      <c r="C7259" t="e">
        <v>#N/A</v>
      </c>
      <c r="K7259" t="n">
        <v>0</v>
      </c>
      <c r="L7259" t="n">
        <v>0</v>
      </c>
      <c r="M7259" t="n">
        <v>0</v>
      </c>
      <c r="AC7259" t="n">
        <v>0</v>
      </c>
      <c r="AD7259" t="n">
        <v>0</v>
      </c>
      <c r="AE7259" t="n">
        <v>0</v>
      </c>
      <c r="AF7259" t="n">
        <v>0</v>
      </c>
      <c r="AG7259" t="n">
        <v>0</v>
      </c>
      <c r="AH7259" t="n">
        <v>0</v>
      </c>
      <c r="AI7259" t="n">
        <v>0</v>
      </c>
    </row>
    <row r="7260">
      <c r="A7260" t="inlineStr">
        <is>
          <t>12월</t>
        </is>
      </c>
      <c r="B7260" t="inlineStr">
        <is>
          <t>52주차</t>
        </is>
      </c>
      <c r="C7260" t="e">
        <v>#N/A</v>
      </c>
      <c r="K7260" t="n">
        <v>0</v>
      </c>
      <c r="L7260" t="n">
        <v>0</v>
      </c>
      <c r="M7260" t="n">
        <v>0</v>
      </c>
      <c r="AC7260" t="n">
        <v>0</v>
      </c>
      <c r="AD7260" t="n">
        <v>0</v>
      </c>
      <c r="AE7260" t="n">
        <v>0</v>
      </c>
      <c r="AF7260" t="n">
        <v>0</v>
      </c>
      <c r="AG7260" t="n">
        <v>0</v>
      </c>
      <c r="AH7260" t="n">
        <v>0</v>
      </c>
      <c r="AI7260" t="n">
        <v>0</v>
      </c>
    </row>
    <row r="7261">
      <c r="A7261" t="inlineStr">
        <is>
          <t>12월</t>
        </is>
      </c>
      <c r="B7261" t="inlineStr">
        <is>
          <t>52주차</t>
        </is>
      </c>
      <c r="C7261" t="e">
        <v>#N/A</v>
      </c>
      <c r="K7261" t="n">
        <v>0</v>
      </c>
      <c r="L7261" t="n">
        <v>0</v>
      </c>
      <c r="M7261" t="n">
        <v>0</v>
      </c>
      <c r="AC7261" t="n">
        <v>0</v>
      </c>
      <c r="AD7261" t="n">
        <v>0</v>
      </c>
      <c r="AE7261" t="n">
        <v>0</v>
      </c>
      <c r="AF7261" t="n">
        <v>0</v>
      </c>
      <c r="AG7261" t="n">
        <v>0</v>
      </c>
      <c r="AH7261" t="n">
        <v>0</v>
      </c>
      <c r="AI7261" t="n">
        <v>0</v>
      </c>
    </row>
    <row r="7262">
      <c r="A7262" t="inlineStr">
        <is>
          <t>12월</t>
        </is>
      </c>
      <c r="B7262" t="inlineStr">
        <is>
          <t>52주차</t>
        </is>
      </c>
      <c r="C7262" t="e">
        <v>#N/A</v>
      </c>
      <c r="K7262" t="n">
        <v>0</v>
      </c>
      <c r="L7262" t="n">
        <v>0</v>
      </c>
      <c r="M7262" t="n">
        <v>0</v>
      </c>
      <c r="AC7262" t="n">
        <v>0</v>
      </c>
      <c r="AD7262" t="n">
        <v>0</v>
      </c>
      <c r="AE7262" t="n">
        <v>0</v>
      </c>
      <c r="AF7262" t="n">
        <v>0</v>
      </c>
      <c r="AG7262" t="n">
        <v>0</v>
      </c>
      <c r="AH7262" t="n">
        <v>0</v>
      </c>
      <c r="AI7262" t="n">
        <v>0</v>
      </c>
    </row>
    <row r="7263">
      <c r="A7263" t="inlineStr">
        <is>
          <t>12월</t>
        </is>
      </c>
      <c r="B7263" t="inlineStr">
        <is>
          <t>52주차</t>
        </is>
      </c>
      <c r="C7263" t="e">
        <v>#N/A</v>
      </c>
      <c r="K7263" t="n">
        <v>0</v>
      </c>
      <c r="L7263" t="n">
        <v>0</v>
      </c>
      <c r="M7263" t="n">
        <v>0</v>
      </c>
      <c r="AC7263" t="n">
        <v>0</v>
      </c>
      <c r="AD7263" t="n">
        <v>0</v>
      </c>
      <c r="AE7263" t="n">
        <v>0</v>
      </c>
      <c r="AF7263" t="n">
        <v>0</v>
      </c>
      <c r="AG7263" t="n">
        <v>0</v>
      </c>
      <c r="AH7263" t="n">
        <v>0</v>
      </c>
      <c r="AI7263" t="n">
        <v>0</v>
      </c>
    </row>
    <row r="7264">
      <c r="A7264" t="inlineStr">
        <is>
          <t>12월</t>
        </is>
      </c>
      <c r="B7264" t="inlineStr">
        <is>
          <t>52주차</t>
        </is>
      </c>
      <c r="C7264" t="e">
        <v>#N/A</v>
      </c>
      <c r="K7264" t="n">
        <v>0</v>
      </c>
      <c r="L7264" t="n">
        <v>0</v>
      </c>
      <c r="M7264" t="n">
        <v>0</v>
      </c>
      <c r="AC7264" t="n">
        <v>0</v>
      </c>
      <c r="AD7264" t="n">
        <v>0</v>
      </c>
      <c r="AE7264" t="n">
        <v>0</v>
      </c>
      <c r="AF7264" t="n">
        <v>0</v>
      </c>
      <c r="AG7264" t="n">
        <v>0</v>
      </c>
      <c r="AH7264" t="n">
        <v>0</v>
      </c>
      <c r="AI7264" t="n">
        <v>0</v>
      </c>
    </row>
    <row r="7265">
      <c r="A7265" t="inlineStr">
        <is>
          <t>12월</t>
        </is>
      </c>
      <c r="B7265" t="inlineStr">
        <is>
          <t>52주차</t>
        </is>
      </c>
      <c r="C7265" t="e">
        <v>#N/A</v>
      </c>
      <c r="K7265" t="n">
        <v>0</v>
      </c>
      <c r="L7265" t="n">
        <v>0</v>
      </c>
      <c r="M7265" t="n">
        <v>0</v>
      </c>
      <c r="AC7265" t="n">
        <v>0</v>
      </c>
      <c r="AD7265" t="n">
        <v>0</v>
      </c>
      <c r="AE7265" t="n">
        <v>0</v>
      </c>
      <c r="AF7265" t="n">
        <v>0</v>
      </c>
      <c r="AG7265" t="n">
        <v>0</v>
      </c>
      <c r="AH7265" t="n">
        <v>0</v>
      </c>
      <c r="AI7265" t="n">
        <v>0</v>
      </c>
    </row>
    <row r="7266">
      <c r="A7266" t="inlineStr">
        <is>
          <t>12월</t>
        </is>
      </c>
      <c r="B7266" t="inlineStr">
        <is>
          <t>52주차</t>
        </is>
      </c>
      <c r="C7266" t="e">
        <v>#N/A</v>
      </c>
      <c r="K7266" t="n">
        <v>0</v>
      </c>
      <c r="L7266" t="n">
        <v>0</v>
      </c>
      <c r="M7266" t="n">
        <v>0</v>
      </c>
      <c r="AC7266" t="n">
        <v>0</v>
      </c>
      <c r="AD7266" t="n">
        <v>0</v>
      </c>
      <c r="AE7266" t="n">
        <v>0</v>
      </c>
      <c r="AF7266" t="n">
        <v>0</v>
      </c>
      <c r="AG7266" t="n">
        <v>0</v>
      </c>
      <c r="AH7266" t="n">
        <v>0</v>
      </c>
      <c r="AI7266" t="n">
        <v>0</v>
      </c>
    </row>
    <row r="7267">
      <c r="A7267" t="inlineStr">
        <is>
          <t>12월</t>
        </is>
      </c>
      <c r="B7267" t="inlineStr">
        <is>
          <t>52주차</t>
        </is>
      </c>
      <c r="C7267" t="e">
        <v>#N/A</v>
      </c>
      <c r="K7267" t="n">
        <v>0</v>
      </c>
      <c r="L7267" t="n">
        <v>0</v>
      </c>
      <c r="M7267" t="n">
        <v>0</v>
      </c>
      <c r="AC7267" t="n">
        <v>0</v>
      </c>
      <c r="AD7267" t="n">
        <v>0</v>
      </c>
      <c r="AE7267" t="n">
        <v>0</v>
      </c>
      <c r="AF7267" t="n">
        <v>0</v>
      </c>
      <c r="AG7267" t="n">
        <v>0</v>
      </c>
      <c r="AH7267" t="n">
        <v>0</v>
      </c>
      <c r="AI7267" t="n">
        <v>0</v>
      </c>
    </row>
    <row r="7268">
      <c r="A7268" t="inlineStr">
        <is>
          <t>12월</t>
        </is>
      </c>
      <c r="B7268" t="inlineStr">
        <is>
          <t>52주차</t>
        </is>
      </c>
      <c r="C7268" t="e">
        <v>#N/A</v>
      </c>
      <c r="K7268" t="n">
        <v>0</v>
      </c>
      <c r="L7268" t="n">
        <v>0</v>
      </c>
      <c r="M7268" t="n">
        <v>0</v>
      </c>
      <c r="AC7268" t="n">
        <v>0</v>
      </c>
      <c r="AD7268" t="n">
        <v>0</v>
      </c>
      <c r="AE7268" t="n">
        <v>0</v>
      </c>
      <c r="AF7268" t="n">
        <v>0</v>
      </c>
      <c r="AG7268" t="n">
        <v>0</v>
      </c>
      <c r="AH7268" t="n">
        <v>0</v>
      </c>
      <c r="AI7268" t="n">
        <v>0</v>
      </c>
    </row>
    <row r="7269">
      <c r="A7269" t="inlineStr">
        <is>
          <t>12월</t>
        </is>
      </c>
      <c r="B7269" t="inlineStr">
        <is>
          <t>52주차</t>
        </is>
      </c>
      <c r="C7269" t="e">
        <v>#N/A</v>
      </c>
      <c r="K7269" t="n">
        <v>0</v>
      </c>
      <c r="L7269" t="n">
        <v>0</v>
      </c>
      <c r="M7269" t="n">
        <v>0</v>
      </c>
      <c r="AC7269" t="n">
        <v>0</v>
      </c>
      <c r="AD7269" t="n">
        <v>0</v>
      </c>
      <c r="AE7269" t="n">
        <v>0</v>
      </c>
      <c r="AF7269" t="n">
        <v>0</v>
      </c>
      <c r="AG7269" t="n">
        <v>0</v>
      </c>
      <c r="AH7269" t="n">
        <v>0</v>
      </c>
      <c r="AI7269" t="n">
        <v>0</v>
      </c>
    </row>
    <row r="7270">
      <c r="A7270" t="inlineStr">
        <is>
          <t>12월</t>
        </is>
      </c>
      <c r="B7270" t="inlineStr">
        <is>
          <t>52주차</t>
        </is>
      </c>
      <c r="C7270" t="e">
        <v>#N/A</v>
      </c>
      <c r="K7270" t="n">
        <v>0</v>
      </c>
      <c r="L7270" t="n">
        <v>0</v>
      </c>
      <c r="M7270" t="n">
        <v>0</v>
      </c>
      <c r="AC7270" t="n">
        <v>0</v>
      </c>
      <c r="AD7270" t="n">
        <v>0</v>
      </c>
      <c r="AE7270" t="n">
        <v>0</v>
      </c>
      <c r="AF7270" t="n">
        <v>0</v>
      </c>
      <c r="AG7270" t="n">
        <v>0</v>
      </c>
      <c r="AH7270" t="n">
        <v>0</v>
      </c>
      <c r="AI7270" t="n">
        <v>0</v>
      </c>
    </row>
    <row r="7271">
      <c r="A7271" t="inlineStr">
        <is>
          <t>12월</t>
        </is>
      </c>
      <c r="B7271" t="inlineStr">
        <is>
          <t>52주차</t>
        </is>
      </c>
      <c r="C7271" t="e">
        <v>#N/A</v>
      </c>
      <c r="K7271" t="n">
        <v>0</v>
      </c>
      <c r="L7271" t="n">
        <v>0</v>
      </c>
      <c r="M7271" t="n">
        <v>0</v>
      </c>
      <c r="AC7271" t="n">
        <v>0</v>
      </c>
      <c r="AD7271" t="n">
        <v>0</v>
      </c>
      <c r="AE7271" t="n">
        <v>0</v>
      </c>
      <c r="AF7271" t="n">
        <v>0</v>
      </c>
      <c r="AG7271" t="n">
        <v>0</v>
      </c>
      <c r="AH7271" t="n">
        <v>0</v>
      </c>
      <c r="AI7271" t="n">
        <v>0</v>
      </c>
    </row>
    <row r="7272">
      <c r="A7272" t="inlineStr">
        <is>
          <t>12월</t>
        </is>
      </c>
      <c r="B7272" t="inlineStr">
        <is>
          <t>52주차</t>
        </is>
      </c>
      <c r="C7272" t="e">
        <v>#N/A</v>
      </c>
      <c r="K7272" t="n">
        <v>0</v>
      </c>
      <c r="L7272" t="n">
        <v>0</v>
      </c>
      <c r="M7272" t="n">
        <v>0</v>
      </c>
      <c r="AC7272" t="n">
        <v>0</v>
      </c>
      <c r="AD7272" t="n">
        <v>0</v>
      </c>
      <c r="AE7272" t="n">
        <v>0</v>
      </c>
      <c r="AF7272" t="n">
        <v>0</v>
      </c>
      <c r="AG7272" t="n">
        <v>0</v>
      </c>
      <c r="AH7272" t="n">
        <v>0</v>
      </c>
    </row>
    <row r="7273">
      <c r="A7273" t="inlineStr">
        <is>
          <t>12월</t>
        </is>
      </c>
      <c r="B7273" t="inlineStr">
        <is>
          <t>52주차</t>
        </is>
      </c>
      <c r="C7273" t="e">
        <v>#N/A</v>
      </c>
      <c r="K7273" t="n">
        <v>0</v>
      </c>
      <c r="L7273" t="n">
        <v>0</v>
      </c>
      <c r="M7273" t="n">
        <v>0</v>
      </c>
      <c r="AC7273" t="n">
        <v>0</v>
      </c>
      <c r="AD7273" t="n">
        <v>0</v>
      </c>
      <c r="AE7273" t="n">
        <v>0</v>
      </c>
      <c r="AF7273" t="n">
        <v>0</v>
      </c>
      <c r="AG7273" t="n">
        <v>0</v>
      </c>
      <c r="AH7273" t="n">
        <v>0</v>
      </c>
      <c r="AI7273" t="n">
        <v>0</v>
      </c>
    </row>
    <row r="7274">
      <c r="A7274" t="inlineStr">
        <is>
          <t>12월</t>
        </is>
      </c>
      <c r="B7274" t="inlineStr">
        <is>
          <t>52주차</t>
        </is>
      </c>
      <c r="C7274" t="e">
        <v>#N/A</v>
      </c>
      <c r="K7274" t="n">
        <v>0</v>
      </c>
      <c r="L7274" t="n">
        <v>0</v>
      </c>
      <c r="M7274" t="n">
        <v>0</v>
      </c>
      <c r="AC7274" t="n">
        <v>0</v>
      </c>
      <c r="AD7274" t="n">
        <v>0</v>
      </c>
      <c r="AE7274" t="n">
        <v>0</v>
      </c>
      <c r="AF7274" t="n">
        <v>0</v>
      </c>
      <c r="AG7274" t="n">
        <v>0</v>
      </c>
      <c r="AH7274" t="n">
        <v>0</v>
      </c>
    </row>
    <row r="7275">
      <c r="A7275" t="inlineStr">
        <is>
          <t>12월</t>
        </is>
      </c>
      <c r="B7275" t="inlineStr">
        <is>
          <t>52주차</t>
        </is>
      </c>
      <c r="C7275" t="e">
        <v>#N/A</v>
      </c>
      <c r="K7275" t="n">
        <v>0</v>
      </c>
      <c r="L7275" t="n">
        <v>0</v>
      </c>
      <c r="M7275" t="n">
        <v>0</v>
      </c>
      <c r="AC7275" t="n">
        <v>0</v>
      </c>
      <c r="AD7275" t="n">
        <v>0</v>
      </c>
      <c r="AE7275" t="n">
        <v>0</v>
      </c>
      <c r="AF7275" t="n">
        <v>0</v>
      </c>
      <c r="AG7275" t="n">
        <v>0</v>
      </c>
      <c r="AH7275" t="n">
        <v>0</v>
      </c>
      <c r="AI7275" t="n">
        <v>0</v>
      </c>
    </row>
    <row r="7276">
      <c r="A7276" t="inlineStr">
        <is>
          <t>12월</t>
        </is>
      </c>
      <c r="B7276" t="inlineStr">
        <is>
          <t>52주차</t>
        </is>
      </c>
      <c r="C7276" t="e">
        <v>#N/A</v>
      </c>
      <c r="K7276" t="n">
        <v>0</v>
      </c>
      <c r="L7276" t="n">
        <v>0</v>
      </c>
      <c r="M7276" t="n">
        <v>0</v>
      </c>
      <c r="AC7276" t="n">
        <v>0</v>
      </c>
      <c r="AD7276" t="n">
        <v>0</v>
      </c>
      <c r="AE7276" t="n">
        <v>0</v>
      </c>
      <c r="AF7276" t="n">
        <v>0</v>
      </c>
      <c r="AG7276" t="n">
        <v>0</v>
      </c>
      <c r="AH7276" t="n">
        <v>0</v>
      </c>
    </row>
    <row r="7277">
      <c r="A7277" t="inlineStr">
        <is>
          <t>12월</t>
        </is>
      </c>
      <c r="B7277" t="inlineStr">
        <is>
          <t>52주차</t>
        </is>
      </c>
      <c r="C7277" t="e">
        <v>#N/A</v>
      </c>
      <c r="K7277" t="n">
        <v>0</v>
      </c>
      <c r="L7277" t="n">
        <v>0</v>
      </c>
      <c r="M7277" t="n">
        <v>0</v>
      </c>
      <c r="AC7277" t="n">
        <v>0</v>
      </c>
      <c r="AD7277" t="n">
        <v>0</v>
      </c>
      <c r="AE7277" t="n">
        <v>0</v>
      </c>
      <c r="AF7277" t="n">
        <v>0</v>
      </c>
      <c r="AG7277" t="n">
        <v>0</v>
      </c>
      <c r="AH7277" t="n">
        <v>0</v>
      </c>
      <c r="AI7277" t="n">
        <v>0</v>
      </c>
    </row>
    <row r="7278">
      <c r="A7278" t="inlineStr">
        <is>
          <t>12월</t>
        </is>
      </c>
      <c r="B7278" t="inlineStr">
        <is>
          <t>52주차</t>
        </is>
      </c>
      <c r="C7278" t="e">
        <v>#N/A</v>
      </c>
      <c r="K7278" t="n">
        <v>0</v>
      </c>
      <c r="L7278" t="n">
        <v>0</v>
      </c>
      <c r="M7278" t="n">
        <v>0</v>
      </c>
      <c r="AC7278" t="n">
        <v>0</v>
      </c>
      <c r="AD7278" t="n">
        <v>0</v>
      </c>
      <c r="AE7278" t="n">
        <v>0</v>
      </c>
      <c r="AF7278" t="n">
        <v>0</v>
      </c>
      <c r="AG7278" t="n">
        <v>0</v>
      </c>
      <c r="AH7278" t="n">
        <v>0</v>
      </c>
      <c r="AI7278" t="n">
        <v>0</v>
      </c>
    </row>
    <row r="7279">
      <c r="A7279" t="inlineStr">
        <is>
          <t>12월</t>
        </is>
      </c>
      <c r="B7279" t="inlineStr">
        <is>
          <t>52주차</t>
        </is>
      </c>
      <c r="C7279" t="e">
        <v>#N/A</v>
      </c>
      <c r="K7279" t="n">
        <v>0</v>
      </c>
      <c r="L7279" t="n">
        <v>0</v>
      </c>
      <c r="M7279" t="n">
        <v>0</v>
      </c>
      <c r="AC7279" t="n">
        <v>0</v>
      </c>
      <c r="AD7279" t="n">
        <v>0</v>
      </c>
      <c r="AE7279" t="n">
        <v>0</v>
      </c>
      <c r="AF7279" t="n">
        <v>0</v>
      </c>
      <c r="AG7279" t="n">
        <v>0</v>
      </c>
      <c r="AH7279" t="n">
        <v>0</v>
      </c>
      <c r="AI7279" t="n">
        <v>0</v>
      </c>
    </row>
    <row r="7280">
      <c r="A7280" t="inlineStr">
        <is>
          <t>12월</t>
        </is>
      </c>
      <c r="B7280" t="inlineStr">
        <is>
          <t>52주차</t>
        </is>
      </c>
      <c r="C7280" t="e">
        <v>#N/A</v>
      </c>
      <c r="K7280" t="n">
        <v>0</v>
      </c>
      <c r="L7280" t="n">
        <v>0</v>
      </c>
      <c r="M7280" t="n">
        <v>0</v>
      </c>
      <c r="AC7280" t="n">
        <v>0</v>
      </c>
      <c r="AD7280" t="n">
        <v>0</v>
      </c>
      <c r="AE7280" t="n">
        <v>0</v>
      </c>
      <c r="AF7280" t="n">
        <v>0</v>
      </c>
      <c r="AG7280" t="n">
        <v>0</v>
      </c>
      <c r="AH7280" t="n">
        <v>0</v>
      </c>
      <c r="AI7280" t="n">
        <v>0</v>
      </c>
    </row>
    <row r="7281">
      <c r="A7281" t="inlineStr">
        <is>
          <t>12월</t>
        </is>
      </c>
      <c r="B7281" t="inlineStr">
        <is>
          <t>52주차</t>
        </is>
      </c>
      <c r="C7281" t="e">
        <v>#N/A</v>
      </c>
      <c r="K7281" t="n">
        <v>0</v>
      </c>
      <c r="L7281" t="n">
        <v>0</v>
      </c>
      <c r="M7281" t="n">
        <v>0</v>
      </c>
      <c r="AC7281" t="n">
        <v>0</v>
      </c>
      <c r="AD7281" t="n">
        <v>0</v>
      </c>
      <c r="AE7281" t="n">
        <v>0</v>
      </c>
      <c r="AF7281" t="n">
        <v>0</v>
      </c>
      <c r="AG7281" t="n">
        <v>0</v>
      </c>
      <c r="AH7281" t="n">
        <v>0</v>
      </c>
      <c r="AI7281" t="n">
        <v>0</v>
      </c>
    </row>
    <row r="7282">
      <c r="A7282" t="inlineStr">
        <is>
          <t>12월</t>
        </is>
      </c>
      <c r="B7282" t="inlineStr">
        <is>
          <t>52주차</t>
        </is>
      </c>
      <c r="C7282" t="e">
        <v>#N/A</v>
      </c>
      <c r="K7282" t="n">
        <v>0</v>
      </c>
      <c r="L7282" t="n">
        <v>0</v>
      </c>
      <c r="M7282" t="n">
        <v>0</v>
      </c>
      <c r="AC7282" t="n">
        <v>0</v>
      </c>
      <c r="AD7282" t="n">
        <v>0</v>
      </c>
      <c r="AE7282" t="n">
        <v>0</v>
      </c>
      <c r="AF7282" t="n">
        <v>0</v>
      </c>
      <c r="AG7282" t="n">
        <v>0</v>
      </c>
      <c r="AH7282" t="n">
        <v>0</v>
      </c>
      <c r="AI7282" t="n">
        <v>0</v>
      </c>
    </row>
    <row r="7283">
      <c r="A7283" t="inlineStr">
        <is>
          <t>12월</t>
        </is>
      </c>
      <c r="B7283" t="inlineStr">
        <is>
          <t>52주차</t>
        </is>
      </c>
      <c r="C7283" t="e">
        <v>#N/A</v>
      </c>
      <c r="K7283" t="n">
        <v>0</v>
      </c>
      <c r="L7283" t="n">
        <v>0</v>
      </c>
      <c r="M7283" t="n">
        <v>0</v>
      </c>
      <c r="AC7283" t="n">
        <v>0</v>
      </c>
      <c r="AD7283" t="n">
        <v>0</v>
      </c>
      <c r="AE7283" t="n">
        <v>0</v>
      </c>
      <c r="AF7283" t="n">
        <v>0</v>
      </c>
      <c r="AG7283" t="n">
        <v>0</v>
      </c>
      <c r="AH7283" t="n">
        <v>0</v>
      </c>
      <c r="AI7283" t="n">
        <v>0</v>
      </c>
    </row>
    <row r="7284">
      <c r="A7284" t="inlineStr">
        <is>
          <t>12월</t>
        </is>
      </c>
      <c r="B7284" t="inlineStr">
        <is>
          <t>52주차</t>
        </is>
      </c>
      <c r="C7284" t="e">
        <v>#N/A</v>
      </c>
      <c r="K7284" t="n">
        <v>0</v>
      </c>
      <c r="L7284" t="n">
        <v>0</v>
      </c>
      <c r="M7284" t="n">
        <v>0</v>
      </c>
      <c r="AC7284" t="n">
        <v>0</v>
      </c>
      <c r="AD7284" t="n">
        <v>0</v>
      </c>
      <c r="AE7284" t="n">
        <v>0</v>
      </c>
      <c r="AF7284" t="n">
        <v>0</v>
      </c>
      <c r="AG7284" t="n">
        <v>0</v>
      </c>
      <c r="AH7284" t="n">
        <v>0</v>
      </c>
      <c r="AI7284" t="n">
        <v>0</v>
      </c>
    </row>
    <row r="7285">
      <c r="A7285" t="inlineStr">
        <is>
          <t>12월</t>
        </is>
      </c>
      <c r="B7285" t="inlineStr">
        <is>
          <t>52주차</t>
        </is>
      </c>
      <c r="C7285" t="e">
        <v>#N/A</v>
      </c>
      <c r="K7285" t="n">
        <v>0</v>
      </c>
      <c r="L7285" t="n">
        <v>0</v>
      </c>
      <c r="M7285" t="n">
        <v>0</v>
      </c>
      <c r="AC7285" t="n">
        <v>0</v>
      </c>
      <c r="AD7285" t="n">
        <v>0</v>
      </c>
      <c r="AE7285" t="n">
        <v>0</v>
      </c>
      <c r="AF7285" t="n">
        <v>0</v>
      </c>
      <c r="AG7285" t="n">
        <v>0</v>
      </c>
      <c r="AH7285" t="n">
        <v>0</v>
      </c>
      <c r="AI7285" t="n">
        <v>0</v>
      </c>
    </row>
    <row r="7286">
      <c r="A7286" t="inlineStr">
        <is>
          <t>12월</t>
        </is>
      </c>
      <c r="B7286" t="inlineStr">
        <is>
          <t>52주차</t>
        </is>
      </c>
      <c r="C7286" t="e">
        <v>#N/A</v>
      </c>
      <c r="K7286" t="n">
        <v>0</v>
      </c>
      <c r="L7286" t="n">
        <v>0</v>
      </c>
      <c r="M7286" t="n">
        <v>0</v>
      </c>
      <c r="AC7286" t="n">
        <v>0</v>
      </c>
      <c r="AD7286" t="n">
        <v>0</v>
      </c>
      <c r="AE7286" t="n">
        <v>0</v>
      </c>
      <c r="AF7286" t="n">
        <v>0</v>
      </c>
      <c r="AG7286" t="n">
        <v>0</v>
      </c>
      <c r="AH7286" t="n">
        <v>0</v>
      </c>
      <c r="AI7286" t="n">
        <v>0</v>
      </c>
    </row>
    <row r="7287">
      <c r="A7287" t="inlineStr">
        <is>
          <t>12월</t>
        </is>
      </c>
      <c r="B7287" t="inlineStr">
        <is>
          <t>52주차</t>
        </is>
      </c>
      <c r="C7287" t="e">
        <v>#N/A</v>
      </c>
      <c r="K7287" t="n">
        <v>0</v>
      </c>
      <c r="L7287" t="n">
        <v>0</v>
      </c>
      <c r="M7287" t="n">
        <v>0</v>
      </c>
      <c r="AC7287" t="n">
        <v>0</v>
      </c>
      <c r="AD7287" t="n">
        <v>0</v>
      </c>
      <c r="AE7287" t="n">
        <v>0</v>
      </c>
      <c r="AF7287" t="n">
        <v>0</v>
      </c>
      <c r="AG7287" t="n">
        <v>0</v>
      </c>
      <c r="AH7287" t="n">
        <v>0</v>
      </c>
    </row>
    <row r="7288">
      <c r="A7288" t="inlineStr">
        <is>
          <t>12월</t>
        </is>
      </c>
      <c r="B7288" t="inlineStr">
        <is>
          <t>52주차</t>
        </is>
      </c>
      <c r="C7288" t="e">
        <v>#N/A</v>
      </c>
      <c r="K7288" t="n">
        <v>0</v>
      </c>
      <c r="L7288" t="n">
        <v>0</v>
      </c>
      <c r="M7288" t="n">
        <v>0</v>
      </c>
      <c r="AC7288" t="n">
        <v>0</v>
      </c>
      <c r="AD7288" t="n">
        <v>0</v>
      </c>
      <c r="AE7288" t="n">
        <v>0</v>
      </c>
      <c r="AF7288" t="n">
        <v>0</v>
      </c>
      <c r="AG7288" t="n">
        <v>0</v>
      </c>
      <c r="AH7288" t="n">
        <v>0</v>
      </c>
      <c r="AI7288" t="n">
        <v>0</v>
      </c>
    </row>
    <row r="7289">
      <c r="A7289" t="inlineStr">
        <is>
          <t>12월</t>
        </is>
      </c>
      <c r="B7289" t="inlineStr">
        <is>
          <t>52주차</t>
        </is>
      </c>
      <c r="C7289" t="e">
        <v>#N/A</v>
      </c>
      <c r="K7289" t="n">
        <v>0</v>
      </c>
      <c r="L7289" t="n">
        <v>0</v>
      </c>
      <c r="M7289" t="n">
        <v>0</v>
      </c>
      <c r="AC7289" t="n">
        <v>0</v>
      </c>
      <c r="AD7289" t="n">
        <v>0</v>
      </c>
      <c r="AE7289" t="n">
        <v>0</v>
      </c>
      <c r="AF7289" t="n">
        <v>0</v>
      </c>
      <c r="AG7289" t="n">
        <v>0</v>
      </c>
      <c r="AH7289" t="n">
        <v>0</v>
      </c>
      <c r="AI7289" t="n">
        <v>0</v>
      </c>
    </row>
    <row r="7290">
      <c r="A7290" t="inlineStr">
        <is>
          <t>12월</t>
        </is>
      </c>
      <c r="B7290" t="inlineStr">
        <is>
          <t>52주차</t>
        </is>
      </c>
      <c r="C7290" t="e">
        <v>#N/A</v>
      </c>
      <c r="K7290" t="n">
        <v>0</v>
      </c>
      <c r="L7290" t="n">
        <v>0</v>
      </c>
      <c r="M7290" t="n">
        <v>0</v>
      </c>
      <c r="AC7290" t="n">
        <v>0</v>
      </c>
      <c r="AD7290" t="n">
        <v>0</v>
      </c>
      <c r="AE7290" t="n">
        <v>0</v>
      </c>
      <c r="AF7290" t="n">
        <v>0</v>
      </c>
      <c r="AG7290" t="n">
        <v>0</v>
      </c>
      <c r="AH7290" t="n">
        <v>0</v>
      </c>
      <c r="AI7290" t="n">
        <v>0</v>
      </c>
    </row>
    <row r="7291">
      <c r="A7291" t="inlineStr">
        <is>
          <t>12월</t>
        </is>
      </c>
      <c r="B7291" t="inlineStr">
        <is>
          <t>52주차</t>
        </is>
      </c>
      <c r="C7291" t="e">
        <v>#N/A</v>
      </c>
      <c r="K7291" t="n">
        <v>0</v>
      </c>
      <c r="L7291" t="n">
        <v>0</v>
      </c>
      <c r="M7291" t="n">
        <v>0</v>
      </c>
      <c r="AC7291" t="n">
        <v>0</v>
      </c>
      <c r="AD7291" t="n">
        <v>0</v>
      </c>
      <c r="AE7291" t="n">
        <v>0</v>
      </c>
      <c r="AF7291" t="n">
        <v>0</v>
      </c>
      <c r="AG7291" t="n">
        <v>0</v>
      </c>
      <c r="AH7291" t="n">
        <v>0</v>
      </c>
      <c r="AI7291" t="n">
        <v>0</v>
      </c>
    </row>
    <row r="7292">
      <c r="A7292" t="inlineStr">
        <is>
          <t>12월</t>
        </is>
      </c>
      <c r="B7292" t="inlineStr">
        <is>
          <t>52주차</t>
        </is>
      </c>
      <c r="C7292" t="e">
        <v>#N/A</v>
      </c>
      <c r="K7292" t="n">
        <v>0</v>
      </c>
      <c r="L7292" t="n">
        <v>0</v>
      </c>
      <c r="M7292" t="n">
        <v>0</v>
      </c>
      <c r="AC7292" t="n">
        <v>0</v>
      </c>
      <c r="AD7292" t="n">
        <v>0</v>
      </c>
      <c r="AE7292" t="n">
        <v>0</v>
      </c>
      <c r="AF7292" t="n">
        <v>0</v>
      </c>
      <c r="AG7292" t="n">
        <v>0</v>
      </c>
      <c r="AH7292" t="n">
        <v>0</v>
      </c>
      <c r="AI7292" t="n">
        <v>0</v>
      </c>
    </row>
    <row r="7293">
      <c r="A7293" t="inlineStr">
        <is>
          <t>12월</t>
        </is>
      </c>
      <c r="B7293" t="inlineStr">
        <is>
          <t>52주차</t>
        </is>
      </c>
      <c r="C7293" t="e">
        <v>#N/A</v>
      </c>
      <c r="K7293" t="n">
        <v>0</v>
      </c>
      <c r="L7293" t="n">
        <v>0</v>
      </c>
      <c r="M7293" t="n">
        <v>0</v>
      </c>
      <c r="AC7293" t="n">
        <v>0</v>
      </c>
      <c r="AD7293" t="n">
        <v>0</v>
      </c>
      <c r="AE7293" t="n">
        <v>0</v>
      </c>
      <c r="AF7293" t="n">
        <v>0</v>
      </c>
      <c r="AG7293" t="n">
        <v>0</v>
      </c>
      <c r="AH7293" t="n">
        <v>0</v>
      </c>
      <c r="AI7293" t="n">
        <v>0</v>
      </c>
    </row>
    <row r="7294">
      <c r="A7294" t="inlineStr">
        <is>
          <t>12월</t>
        </is>
      </c>
      <c r="B7294" t="inlineStr">
        <is>
          <t>52주차</t>
        </is>
      </c>
      <c r="C7294" t="e">
        <v>#N/A</v>
      </c>
      <c r="K7294" t="n">
        <v>0</v>
      </c>
      <c r="L7294" t="n">
        <v>0</v>
      </c>
      <c r="M7294" t="n">
        <v>0</v>
      </c>
      <c r="AC7294" t="n">
        <v>0</v>
      </c>
      <c r="AD7294" t="n">
        <v>0</v>
      </c>
      <c r="AE7294" t="n">
        <v>0</v>
      </c>
      <c r="AF7294" t="n">
        <v>0</v>
      </c>
      <c r="AG7294" t="n">
        <v>0</v>
      </c>
      <c r="AH7294" t="n">
        <v>0</v>
      </c>
      <c r="AI7294" t="n">
        <v>0</v>
      </c>
    </row>
    <row r="7295">
      <c r="A7295" t="inlineStr">
        <is>
          <t>12월</t>
        </is>
      </c>
      <c r="B7295" t="inlineStr">
        <is>
          <t>52주차</t>
        </is>
      </c>
      <c r="C7295" t="e">
        <v>#N/A</v>
      </c>
      <c r="K7295" t="n">
        <v>0</v>
      </c>
      <c r="L7295" t="n">
        <v>0</v>
      </c>
      <c r="M7295" t="n">
        <v>0</v>
      </c>
      <c r="AC7295" t="n">
        <v>0</v>
      </c>
      <c r="AD7295" t="n">
        <v>0</v>
      </c>
      <c r="AE7295" t="n">
        <v>0</v>
      </c>
      <c r="AF7295" t="n">
        <v>0</v>
      </c>
      <c r="AG7295" t="n">
        <v>0</v>
      </c>
      <c r="AH7295" t="n">
        <v>0</v>
      </c>
      <c r="AI7295" t="n">
        <v>0</v>
      </c>
    </row>
    <row r="7296">
      <c r="A7296" t="inlineStr">
        <is>
          <t>12월</t>
        </is>
      </c>
      <c r="B7296" t="inlineStr">
        <is>
          <t>52주차</t>
        </is>
      </c>
      <c r="C7296" t="e">
        <v>#N/A</v>
      </c>
      <c r="K7296" t="n">
        <v>0</v>
      </c>
      <c r="L7296" t="n">
        <v>0</v>
      </c>
      <c r="M7296" t="n">
        <v>0</v>
      </c>
      <c r="AC7296" t="n">
        <v>0</v>
      </c>
      <c r="AD7296" t="n">
        <v>0</v>
      </c>
      <c r="AE7296" t="n">
        <v>0</v>
      </c>
      <c r="AF7296" t="n">
        <v>0</v>
      </c>
      <c r="AG7296" t="n">
        <v>0</v>
      </c>
      <c r="AH7296" t="n">
        <v>0</v>
      </c>
      <c r="AI7296" t="n">
        <v>0</v>
      </c>
    </row>
    <row r="7297">
      <c r="A7297" t="inlineStr">
        <is>
          <t>12월</t>
        </is>
      </c>
      <c r="B7297" t="inlineStr">
        <is>
          <t>52주차</t>
        </is>
      </c>
      <c r="C7297" t="e">
        <v>#N/A</v>
      </c>
      <c r="K7297" t="n">
        <v>0</v>
      </c>
      <c r="L7297" t="n">
        <v>0</v>
      </c>
      <c r="M7297" t="n">
        <v>0</v>
      </c>
      <c r="AC7297" t="n">
        <v>0</v>
      </c>
      <c r="AD7297" t="n">
        <v>0</v>
      </c>
      <c r="AE7297" t="n">
        <v>0</v>
      </c>
      <c r="AF7297" t="n">
        <v>0</v>
      </c>
      <c r="AG7297" t="n">
        <v>0</v>
      </c>
      <c r="AH7297" t="n">
        <v>0</v>
      </c>
      <c r="AI7297" t="n">
        <v>0</v>
      </c>
    </row>
    <row r="7298">
      <c r="A7298" t="inlineStr">
        <is>
          <t>12월</t>
        </is>
      </c>
      <c r="B7298" t="inlineStr">
        <is>
          <t>52주차</t>
        </is>
      </c>
      <c r="C7298" t="e">
        <v>#N/A</v>
      </c>
      <c r="K7298" t="n">
        <v>0</v>
      </c>
      <c r="L7298" t="n">
        <v>0</v>
      </c>
      <c r="M7298" t="n">
        <v>0</v>
      </c>
      <c r="AC7298" t="n">
        <v>0</v>
      </c>
      <c r="AD7298" t="n">
        <v>0</v>
      </c>
      <c r="AE7298" t="n">
        <v>0</v>
      </c>
      <c r="AF7298" t="n">
        <v>0</v>
      </c>
      <c r="AG7298" t="n">
        <v>0</v>
      </c>
      <c r="AH7298" t="n">
        <v>0</v>
      </c>
      <c r="AI7298" t="n">
        <v>0</v>
      </c>
    </row>
    <row r="7299">
      <c r="A7299" t="inlineStr">
        <is>
          <t>12월</t>
        </is>
      </c>
      <c r="B7299" t="inlineStr">
        <is>
          <t>52주차</t>
        </is>
      </c>
      <c r="C7299" t="e">
        <v>#N/A</v>
      </c>
      <c r="K7299" t="n">
        <v>0</v>
      </c>
      <c r="L7299" t="n">
        <v>0</v>
      </c>
      <c r="M7299" t="n">
        <v>0</v>
      </c>
      <c r="AC7299" t="n">
        <v>0</v>
      </c>
      <c r="AD7299" t="n">
        <v>0</v>
      </c>
      <c r="AE7299" t="n">
        <v>0</v>
      </c>
      <c r="AF7299" t="n">
        <v>0</v>
      </c>
      <c r="AG7299" t="n">
        <v>0</v>
      </c>
      <c r="AH7299" t="n">
        <v>0</v>
      </c>
    </row>
    <row r="7300">
      <c r="A7300" t="inlineStr">
        <is>
          <t>12월</t>
        </is>
      </c>
      <c r="B7300" t="inlineStr">
        <is>
          <t>52주차</t>
        </is>
      </c>
      <c r="C7300" t="e">
        <v>#N/A</v>
      </c>
      <c r="K7300" t="n">
        <v>0</v>
      </c>
      <c r="L7300" t="n">
        <v>0</v>
      </c>
      <c r="M7300" t="n">
        <v>0</v>
      </c>
      <c r="AC7300" t="n">
        <v>0</v>
      </c>
      <c r="AD7300" t="n">
        <v>0</v>
      </c>
      <c r="AE7300" t="n">
        <v>0</v>
      </c>
      <c r="AF7300" t="n">
        <v>0</v>
      </c>
      <c r="AG7300" t="n">
        <v>0</v>
      </c>
      <c r="AH7300" t="n">
        <v>0</v>
      </c>
      <c r="AI7300" t="n">
        <v>0</v>
      </c>
    </row>
    <row r="7301">
      <c r="A7301" t="inlineStr">
        <is>
          <t>12월</t>
        </is>
      </c>
      <c r="B7301" t="inlineStr">
        <is>
          <t>52주차</t>
        </is>
      </c>
      <c r="C7301" t="e">
        <v>#N/A</v>
      </c>
      <c r="K7301" t="n">
        <v>0</v>
      </c>
      <c r="L7301" t="n">
        <v>0</v>
      </c>
      <c r="M7301" t="n">
        <v>0</v>
      </c>
      <c r="AC7301" t="n">
        <v>0</v>
      </c>
      <c r="AD7301" t="n">
        <v>0</v>
      </c>
      <c r="AE7301" t="n">
        <v>0</v>
      </c>
      <c r="AF7301" t="n">
        <v>0</v>
      </c>
      <c r="AG7301" t="n">
        <v>0</v>
      </c>
      <c r="AH7301" t="n">
        <v>0</v>
      </c>
      <c r="AI7301" t="n">
        <v>0</v>
      </c>
    </row>
    <row r="7302">
      <c r="A7302" t="inlineStr">
        <is>
          <t>12월</t>
        </is>
      </c>
      <c r="B7302" t="inlineStr">
        <is>
          <t>52주차</t>
        </is>
      </c>
      <c r="C7302" t="e">
        <v>#N/A</v>
      </c>
      <c r="K7302" t="n">
        <v>0</v>
      </c>
      <c r="L7302" t="n">
        <v>0</v>
      </c>
      <c r="M7302" t="n">
        <v>0</v>
      </c>
      <c r="AC7302" t="n">
        <v>0</v>
      </c>
      <c r="AD7302" t="n">
        <v>0</v>
      </c>
      <c r="AE7302" t="n">
        <v>0</v>
      </c>
      <c r="AF7302" t="n">
        <v>0</v>
      </c>
      <c r="AG7302" t="n">
        <v>0</v>
      </c>
      <c r="AH7302" t="n">
        <v>0</v>
      </c>
      <c r="AI7302" t="n">
        <v>0</v>
      </c>
    </row>
    <row r="7303">
      <c r="A7303" t="inlineStr">
        <is>
          <t>12월</t>
        </is>
      </c>
      <c r="B7303" t="inlineStr">
        <is>
          <t>52주차</t>
        </is>
      </c>
      <c r="C7303" t="e">
        <v>#N/A</v>
      </c>
      <c r="K7303" t="n">
        <v>0</v>
      </c>
      <c r="L7303" t="n">
        <v>0</v>
      </c>
      <c r="M7303" t="n">
        <v>0</v>
      </c>
      <c r="AC7303" t="n">
        <v>0</v>
      </c>
      <c r="AD7303" t="n">
        <v>0</v>
      </c>
      <c r="AE7303" t="n">
        <v>0</v>
      </c>
      <c r="AF7303" t="n">
        <v>0</v>
      </c>
      <c r="AG7303" t="n">
        <v>0</v>
      </c>
      <c r="AH7303" t="n">
        <v>0</v>
      </c>
    </row>
    <row r="7304">
      <c r="A7304" t="inlineStr">
        <is>
          <t>12월</t>
        </is>
      </c>
      <c r="B7304" t="inlineStr">
        <is>
          <t>52주차</t>
        </is>
      </c>
      <c r="C7304" t="e">
        <v>#N/A</v>
      </c>
      <c r="K7304" t="n">
        <v>0</v>
      </c>
      <c r="L7304" t="n">
        <v>0</v>
      </c>
      <c r="M7304" t="n">
        <v>0</v>
      </c>
      <c r="AC7304" t="n">
        <v>0</v>
      </c>
      <c r="AD7304" t="n">
        <v>0</v>
      </c>
      <c r="AE7304" t="n">
        <v>0</v>
      </c>
      <c r="AF7304" t="n">
        <v>0</v>
      </c>
      <c r="AG7304" t="n">
        <v>0</v>
      </c>
      <c r="AH7304" t="n">
        <v>0</v>
      </c>
      <c r="AI7304" t="n">
        <v>0</v>
      </c>
    </row>
    <row r="7305">
      <c r="A7305" t="inlineStr">
        <is>
          <t>12월</t>
        </is>
      </c>
      <c r="B7305" t="inlineStr">
        <is>
          <t>52주차</t>
        </is>
      </c>
      <c r="C7305" t="e">
        <v>#N/A</v>
      </c>
      <c r="K7305" t="n">
        <v>0</v>
      </c>
      <c r="L7305" t="n">
        <v>0</v>
      </c>
      <c r="M7305" t="n">
        <v>0</v>
      </c>
      <c r="AC7305" t="n">
        <v>0</v>
      </c>
      <c r="AD7305" t="n">
        <v>0</v>
      </c>
      <c r="AE7305" t="n">
        <v>0</v>
      </c>
      <c r="AF7305" t="n">
        <v>0</v>
      </c>
      <c r="AG7305" t="n">
        <v>0</v>
      </c>
      <c r="AH7305" t="n">
        <v>0</v>
      </c>
      <c r="AI7305" t="n">
        <v>0</v>
      </c>
    </row>
    <row r="7306">
      <c r="A7306" t="inlineStr">
        <is>
          <t>12월</t>
        </is>
      </c>
      <c r="B7306" t="inlineStr">
        <is>
          <t>52주차</t>
        </is>
      </c>
      <c r="C7306" t="e">
        <v>#N/A</v>
      </c>
      <c r="K7306" t="n">
        <v>0</v>
      </c>
      <c r="L7306" t="n">
        <v>0</v>
      </c>
      <c r="M7306" t="n">
        <v>0</v>
      </c>
      <c r="AC7306" t="n">
        <v>0</v>
      </c>
      <c r="AD7306" t="n">
        <v>0</v>
      </c>
      <c r="AE7306" t="n">
        <v>0</v>
      </c>
      <c r="AF7306" t="n">
        <v>0</v>
      </c>
      <c r="AG7306" t="n">
        <v>0</v>
      </c>
      <c r="AH7306" t="n">
        <v>0</v>
      </c>
    </row>
    <row r="7307">
      <c r="A7307" t="inlineStr">
        <is>
          <t>12월</t>
        </is>
      </c>
      <c r="B7307" t="inlineStr">
        <is>
          <t>52주차</t>
        </is>
      </c>
      <c r="C7307" t="e">
        <v>#N/A</v>
      </c>
      <c r="K7307" t="n">
        <v>0</v>
      </c>
      <c r="L7307" t="n">
        <v>0</v>
      </c>
      <c r="M7307" t="n">
        <v>0</v>
      </c>
      <c r="AC7307" t="n">
        <v>0</v>
      </c>
      <c r="AD7307" t="n">
        <v>0</v>
      </c>
      <c r="AE7307" t="n">
        <v>0</v>
      </c>
      <c r="AF7307" t="n">
        <v>0</v>
      </c>
      <c r="AG7307" t="n">
        <v>0</v>
      </c>
      <c r="AH7307" t="n">
        <v>0</v>
      </c>
    </row>
    <row r="7308">
      <c r="A7308" t="inlineStr">
        <is>
          <t>12월</t>
        </is>
      </c>
      <c r="B7308" t="inlineStr">
        <is>
          <t>52주차</t>
        </is>
      </c>
      <c r="C7308" t="e">
        <v>#N/A</v>
      </c>
      <c r="K7308" t="n">
        <v>0</v>
      </c>
      <c r="L7308" t="n">
        <v>0</v>
      </c>
      <c r="M7308" t="n">
        <v>0</v>
      </c>
      <c r="AC7308" t="n">
        <v>0</v>
      </c>
      <c r="AD7308" t="n">
        <v>0</v>
      </c>
      <c r="AE7308" t="n">
        <v>0</v>
      </c>
      <c r="AF7308" t="n">
        <v>0</v>
      </c>
      <c r="AG7308" t="n">
        <v>0</v>
      </c>
      <c r="AH7308" t="n">
        <v>0</v>
      </c>
      <c r="AI7308" t="n">
        <v>0</v>
      </c>
    </row>
    <row r="7309">
      <c r="A7309" t="inlineStr">
        <is>
          <t>12월</t>
        </is>
      </c>
      <c r="B7309" t="inlineStr">
        <is>
          <t>52주차</t>
        </is>
      </c>
      <c r="C7309" t="e">
        <v>#N/A</v>
      </c>
      <c r="K7309" t="n">
        <v>0</v>
      </c>
      <c r="L7309" t="n">
        <v>0</v>
      </c>
      <c r="M7309" t="n">
        <v>0</v>
      </c>
      <c r="AC7309" t="n">
        <v>0</v>
      </c>
      <c r="AD7309" t="n">
        <v>0</v>
      </c>
      <c r="AE7309" t="n">
        <v>0</v>
      </c>
      <c r="AF7309" t="n">
        <v>0</v>
      </c>
      <c r="AG7309" t="n">
        <v>0</v>
      </c>
      <c r="AH7309" t="n">
        <v>0</v>
      </c>
      <c r="AI7309" t="n">
        <v>0</v>
      </c>
    </row>
    <row r="7310">
      <c r="A7310" t="inlineStr">
        <is>
          <t>12월</t>
        </is>
      </c>
      <c r="B7310" t="inlineStr">
        <is>
          <t>52주차</t>
        </is>
      </c>
      <c r="C7310" t="e">
        <v>#N/A</v>
      </c>
      <c r="K7310" t="n">
        <v>0</v>
      </c>
      <c r="L7310" t="n">
        <v>0</v>
      </c>
      <c r="M7310" t="n">
        <v>0</v>
      </c>
      <c r="AC7310" t="n">
        <v>0</v>
      </c>
      <c r="AD7310" t="n">
        <v>0</v>
      </c>
      <c r="AE7310" t="n">
        <v>0</v>
      </c>
      <c r="AF7310" t="n">
        <v>0</v>
      </c>
      <c r="AG7310" t="n">
        <v>0</v>
      </c>
      <c r="AH7310" t="n">
        <v>0</v>
      </c>
      <c r="AI7310" t="n">
        <v>0</v>
      </c>
    </row>
    <row r="7311">
      <c r="A7311" t="inlineStr">
        <is>
          <t>12월</t>
        </is>
      </c>
      <c r="B7311" t="inlineStr">
        <is>
          <t>52주차</t>
        </is>
      </c>
      <c r="C7311" t="e">
        <v>#N/A</v>
      </c>
      <c r="K7311" t="n">
        <v>0</v>
      </c>
      <c r="L7311" t="n">
        <v>0</v>
      </c>
      <c r="M7311" t="n">
        <v>0</v>
      </c>
      <c r="AC7311" t="n">
        <v>0</v>
      </c>
      <c r="AD7311" t="n">
        <v>0</v>
      </c>
      <c r="AE7311" t="n">
        <v>0</v>
      </c>
      <c r="AF7311" t="n">
        <v>0</v>
      </c>
      <c r="AG7311" t="n">
        <v>0</v>
      </c>
      <c r="AH7311" t="n">
        <v>0</v>
      </c>
      <c r="AI7311" t="n">
        <v>0</v>
      </c>
    </row>
    <row r="7312">
      <c r="A7312" t="inlineStr">
        <is>
          <t>12월</t>
        </is>
      </c>
      <c r="B7312" t="inlineStr">
        <is>
          <t>52주차</t>
        </is>
      </c>
      <c r="C7312" t="e">
        <v>#N/A</v>
      </c>
      <c r="K7312" t="n">
        <v>0</v>
      </c>
      <c r="L7312" t="n">
        <v>0</v>
      </c>
      <c r="M7312" t="n">
        <v>0</v>
      </c>
      <c r="AC7312" t="n">
        <v>0</v>
      </c>
      <c r="AD7312" t="n">
        <v>0</v>
      </c>
      <c r="AE7312" t="n">
        <v>0</v>
      </c>
      <c r="AF7312" t="n">
        <v>0</v>
      </c>
      <c r="AG7312" t="n">
        <v>0</v>
      </c>
      <c r="AH7312" t="n">
        <v>0</v>
      </c>
    </row>
    <row r="7313">
      <c r="A7313" t="inlineStr">
        <is>
          <t>12월</t>
        </is>
      </c>
      <c r="B7313" t="inlineStr">
        <is>
          <t>52주차</t>
        </is>
      </c>
      <c r="C7313" t="e">
        <v>#N/A</v>
      </c>
      <c r="K7313" t="n">
        <v>0</v>
      </c>
      <c r="L7313" t="n">
        <v>0</v>
      </c>
      <c r="M7313" t="n">
        <v>0</v>
      </c>
      <c r="AC7313" t="n">
        <v>0</v>
      </c>
      <c r="AD7313" t="n">
        <v>0</v>
      </c>
      <c r="AE7313" t="n">
        <v>0</v>
      </c>
      <c r="AF7313" t="n">
        <v>0</v>
      </c>
      <c r="AG7313" t="n">
        <v>0</v>
      </c>
      <c r="AH7313" t="n">
        <v>0</v>
      </c>
      <c r="AI7313" t="n">
        <v>0</v>
      </c>
    </row>
    <row r="7314">
      <c r="A7314" t="inlineStr">
        <is>
          <t>12월</t>
        </is>
      </c>
      <c r="B7314" t="inlineStr">
        <is>
          <t>52주차</t>
        </is>
      </c>
      <c r="C7314" t="e">
        <v>#N/A</v>
      </c>
      <c r="K7314" t="n">
        <v>0</v>
      </c>
      <c r="L7314" t="n">
        <v>0</v>
      </c>
      <c r="M7314" t="n">
        <v>0</v>
      </c>
      <c r="AC7314" t="n">
        <v>0</v>
      </c>
      <c r="AD7314" t="n">
        <v>0</v>
      </c>
      <c r="AE7314" t="n">
        <v>0</v>
      </c>
      <c r="AF7314" t="n">
        <v>0</v>
      </c>
      <c r="AG7314" t="n">
        <v>0</v>
      </c>
      <c r="AH7314" t="n">
        <v>0</v>
      </c>
      <c r="AI7314" t="n">
        <v>0</v>
      </c>
    </row>
    <row r="7315">
      <c r="A7315" t="inlineStr">
        <is>
          <t>12월</t>
        </is>
      </c>
      <c r="B7315" t="inlineStr">
        <is>
          <t>52주차</t>
        </is>
      </c>
      <c r="C7315" t="e">
        <v>#N/A</v>
      </c>
      <c r="K7315" t="n">
        <v>0</v>
      </c>
      <c r="L7315" t="n">
        <v>0</v>
      </c>
      <c r="M7315" t="n">
        <v>0</v>
      </c>
      <c r="AC7315" t="n">
        <v>0</v>
      </c>
      <c r="AD7315" t="n">
        <v>0</v>
      </c>
      <c r="AE7315" t="n">
        <v>0</v>
      </c>
      <c r="AF7315" t="n">
        <v>0</v>
      </c>
      <c r="AG7315" t="n">
        <v>0</v>
      </c>
      <c r="AH7315" t="n">
        <v>0</v>
      </c>
    </row>
    <row r="7316">
      <c r="A7316" t="inlineStr">
        <is>
          <t>12월</t>
        </is>
      </c>
      <c r="B7316" t="inlineStr">
        <is>
          <t>52주차</t>
        </is>
      </c>
      <c r="C7316" t="e">
        <v>#N/A</v>
      </c>
      <c r="K7316" t="n">
        <v>0</v>
      </c>
      <c r="L7316" t="n">
        <v>0</v>
      </c>
      <c r="M7316" t="n">
        <v>0</v>
      </c>
      <c r="AC7316" t="n">
        <v>0</v>
      </c>
      <c r="AD7316" t="n">
        <v>0</v>
      </c>
      <c r="AE7316" t="n">
        <v>0</v>
      </c>
      <c r="AF7316" t="n">
        <v>0</v>
      </c>
      <c r="AG7316" t="n">
        <v>0</v>
      </c>
      <c r="AH7316" t="n">
        <v>0</v>
      </c>
      <c r="AI7316" t="n">
        <v>0</v>
      </c>
    </row>
    <row r="7317">
      <c r="A7317" t="inlineStr">
        <is>
          <t>12월</t>
        </is>
      </c>
      <c r="B7317" t="inlineStr">
        <is>
          <t>52주차</t>
        </is>
      </c>
      <c r="C7317" t="e">
        <v>#N/A</v>
      </c>
      <c r="K7317" t="n">
        <v>0</v>
      </c>
      <c r="L7317" t="n">
        <v>0</v>
      </c>
      <c r="M7317" t="n">
        <v>0</v>
      </c>
      <c r="AC7317" t="n">
        <v>0</v>
      </c>
      <c r="AD7317" t="n">
        <v>0</v>
      </c>
      <c r="AE7317" t="n">
        <v>0</v>
      </c>
      <c r="AF7317" t="n">
        <v>0</v>
      </c>
      <c r="AG7317" t="n">
        <v>0</v>
      </c>
      <c r="AH7317" t="n">
        <v>0</v>
      </c>
    </row>
    <row r="7318">
      <c r="A7318" t="inlineStr">
        <is>
          <t>12월</t>
        </is>
      </c>
      <c r="B7318" t="inlineStr">
        <is>
          <t>52주차</t>
        </is>
      </c>
      <c r="C7318" t="e">
        <v>#N/A</v>
      </c>
      <c r="K7318" t="n">
        <v>0</v>
      </c>
      <c r="L7318" t="n">
        <v>0</v>
      </c>
      <c r="M7318" t="n">
        <v>0</v>
      </c>
      <c r="AC7318" t="n">
        <v>0</v>
      </c>
      <c r="AD7318" t="n">
        <v>0</v>
      </c>
      <c r="AE7318" t="n">
        <v>0</v>
      </c>
      <c r="AF7318" t="n">
        <v>0</v>
      </c>
      <c r="AG7318" t="n">
        <v>0</v>
      </c>
      <c r="AH7318" t="n">
        <v>0</v>
      </c>
      <c r="AI7318" t="n">
        <v>0</v>
      </c>
    </row>
    <row r="7319">
      <c r="A7319" t="inlineStr">
        <is>
          <t>12월</t>
        </is>
      </c>
      <c r="B7319" t="inlineStr">
        <is>
          <t>52주차</t>
        </is>
      </c>
      <c r="C7319" t="e">
        <v>#N/A</v>
      </c>
      <c r="K7319" t="n">
        <v>0</v>
      </c>
      <c r="L7319" t="n">
        <v>0</v>
      </c>
      <c r="M7319" t="n">
        <v>0</v>
      </c>
      <c r="AC7319" t="n">
        <v>0</v>
      </c>
      <c r="AD7319" t="n">
        <v>0</v>
      </c>
      <c r="AE7319" t="n">
        <v>0</v>
      </c>
      <c r="AF7319" t="n">
        <v>0</v>
      </c>
      <c r="AG7319" t="n">
        <v>0</v>
      </c>
      <c r="AH7319" t="n">
        <v>0</v>
      </c>
      <c r="AI7319" t="n">
        <v>0</v>
      </c>
    </row>
    <row r="7320">
      <c r="A7320" t="inlineStr">
        <is>
          <t>12월</t>
        </is>
      </c>
      <c r="B7320" t="inlineStr">
        <is>
          <t>52주차</t>
        </is>
      </c>
      <c r="C7320" t="e">
        <v>#N/A</v>
      </c>
      <c r="K7320" t="n">
        <v>0</v>
      </c>
      <c r="L7320" t="n">
        <v>0</v>
      </c>
      <c r="M7320" t="n">
        <v>0</v>
      </c>
      <c r="AC7320" t="n">
        <v>0</v>
      </c>
      <c r="AD7320" t="n">
        <v>0</v>
      </c>
      <c r="AE7320" t="n">
        <v>0</v>
      </c>
      <c r="AF7320" t="n">
        <v>0</v>
      </c>
      <c r="AG7320" t="n">
        <v>0</v>
      </c>
      <c r="AH7320" t="n">
        <v>0</v>
      </c>
      <c r="AI7320" t="n">
        <v>0</v>
      </c>
    </row>
    <row r="7321">
      <c r="A7321" t="inlineStr">
        <is>
          <t>12월</t>
        </is>
      </c>
      <c r="B7321" t="inlineStr">
        <is>
          <t>52주차</t>
        </is>
      </c>
      <c r="C7321" t="e">
        <v>#N/A</v>
      </c>
      <c r="K7321" t="n">
        <v>0</v>
      </c>
      <c r="L7321" t="n">
        <v>0</v>
      </c>
      <c r="M7321" t="n">
        <v>0</v>
      </c>
      <c r="AC7321" t="n">
        <v>0</v>
      </c>
      <c r="AD7321" t="n">
        <v>0</v>
      </c>
      <c r="AE7321" t="n">
        <v>0</v>
      </c>
      <c r="AF7321" t="n">
        <v>0</v>
      </c>
      <c r="AG7321" t="n">
        <v>0</v>
      </c>
      <c r="AH7321" t="n">
        <v>0</v>
      </c>
      <c r="AI7321" t="n">
        <v>0</v>
      </c>
    </row>
    <row r="7322">
      <c r="A7322" t="inlineStr">
        <is>
          <t>12월</t>
        </is>
      </c>
      <c r="B7322" t="inlineStr">
        <is>
          <t>52주차</t>
        </is>
      </c>
      <c r="C7322" t="e">
        <v>#N/A</v>
      </c>
      <c r="K7322" t="n">
        <v>0</v>
      </c>
      <c r="L7322" t="n">
        <v>0</v>
      </c>
      <c r="M7322" t="n">
        <v>0</v>
      </c>
      <c r="AC7322" t="n">
        <v>0</v>
      </c>
      <c r="AD7322" t="n">
        <v>0</v>
      </c>
      <c r="AE7322" t="n">
        <v>0</v>
      </c>
      <c r="AF7322" t="n">
        <v>0</v>
      </c>
      <c r="AG7322" t="n">
        <v>0</v>
      </c>
      <c r="AH7322" t="n">
        <v>0</v>
      </c>
      <c r="AI7322" t="n">
        <v>0</v>
      </c>
    </row>
    <row r="7323">
      <c r="A7323" t="inlineStr">
        <is>
          <t>12월</t>
        </is>
      </c>
      <c r="B7323" t="inlineStr">
        <is>
          <t>52주차</t>
        </is>
      </c>
      <c r="C7323" t="e">
        <v>#N/A</v>
      </c>
      <c r="K7323" t="n">
        <v>0</v>
      </c>
      <c r="L7323" t="n">
        <v>0</v>
      </c>
      <c r="M7323" t="n">
        <v>0</v>
      </c>
      <c r="AC7323" t="n">
        <v>0</v>
      </c>
      <c r="AD7323" t="n">
        <v>0</v>
      </c>
      <c r="AE7323" t="n">
        <v>0</v>
      </c>
      <c r="AF7323" t="n">
        <v>0</v>
      </c>
      <c r="AG7323" t="n">
        <v>0</v>
      </c>
      <c r="AH7323" t="n">
        <v>0</v>
      </c>
    </row>
    <row r="7324">
      <c r="A7324" t="inlineStr">
        <is>
          <t>12월</t>
        </is>
      </c>
      <c r="B7324" t="inlineStr">
        <is>
          <t>52주차</t>
        </is>
      </c>
      <c r="C7324" t="e">
        <v>#N/A</v>
      </c>
      <c r="K7324" t="n">
        <v>0</v>
      </c>
      <c r="L7324" t="n">
        <v>0</v>
      </c>
      <c r="M7324" t="n">
        <v>0</v>
      </c>
      <c r="AC7324" t="n">
        <v>0</v>
      </c>
      <c r="AD7324" t="n">
        <v>0</v>
      </c>
      <c r="AE7324" t="n">
        <v>0</v>
      </c>
      <c r="AF7324" t="n">
        <v>0</v>
      </c>
      <c r="AG7324" t="n">
        <v>0</v>
      </c>
      <c r="AH7324" t="n">
        <v>0</v>
      </c>
    </row>
    <row r="7325">
      <c r="A7325" t="inlineStr">
        <is>
          <t>12월</t>
        </is>
      </c>
      <c r="B7325" t="inlineStr">
        <is>
          <t>52주차</t>
        </is>
      </c>
      <c r="C7325" t="e">
        <v>#N/A</v>
      </c>
      <c r="K7325" t="n">
        <v>0</v>
      </c>
      <c r="L7325" t="n">
        <v>0</v>
      </c>
      <c r="M7325" t="n">
        <v>0</v>
      </c>
      <c r="AC7325" t="n">
        <v>0</v>
      </c>
      <c r="AD7325" t="n">
        <v>0</v>
      </c>
      <c r="AE7325" t="n">
        <v>0</v>
      </c>
      <c r="AF7325" t="n">
        <v>0</v>
      </c>
      <c r="AG7325" t="n">
        <v>0</v>
      </c>
      <c r="AH7325" t="n">
        <v>0</v>
      </c>
      <c r="AI7325" t="n">
        <v>0</v>
      </c>
    </row>
    <row r="7326">
      <c r="A7326" t="inlineStr">
        <is>
          <t>12월</t>
        </is>
      </c>
      <c r="B7326" t="inlineStr">
        <is>
          <t>52주차</t>
        </is>
      </c>
      <c r="C7326" t="e">
        <v>#N/A</v>
      </c>
      <c r="K7326" t="n">
        <v>0</v>
      </c>
      <c r="L7326" t="n">
        <v>0</v>
      </c>
      <c r="M7326" t="n">
        <v>0</v>
      </c>
      <c r="AC7326" t="n">
        <v>0</v>
      </c>
      <c r="AD7326" t="n">
        <v>0</v>
      </c>
      <c r="AE7326" t="n">
        <v>0</v>
      </c>
      <c r="AF7326" t="n">
        <v>0</v>
      </c>
      <c r="AG7326" t="n">
        <v>0</v>
      </c>
      <c r="AH7326" t="n">
        <v>0</v>
      </c>
      <c r="AI7326" t="n">
        <v>0</v>
      </c>
    </row>
    <row r="7327">
      <c r="A7327" t="inlineStr">
        <is>
          <t>12월</t>
        </is>
      </c>
      <c r="B7327" t="inlineStr">
        <is>
          <t>52주차</t>
        </is>
      </c>
      <c r="C7327" t="e">
        <v>#N/A</v>
      </c>
      <c r="K7327" t="n">
        <v>0</v>
      </c>
      <c r="L7327" t="n">
        <v>0</v>
      </c>
      <c r="M7327" t="n">
        <v>0</v>
      </c>
      <c r="AC7327" t="n">
        <v>0</v>
      </c>
      <c r="AD7327" t="n">
        <v>0</v>
      </c>
      <c r="AE7327" t="n">
        <v>0</v>
      </c>
      <c r="AF7327" t="n">
        <v>0</v>
      </c>
      <c r="AG7327" t="n">
        <v>0</v>
      </c>
      <c r="AH7327" t="n">
        <v>0</v>
      </c>
    </row>
    <row r="7328">
      <c r="A7328" t="inlineStr">
        <is>
          <t>12월</t>
        </is>
      </c>
      <c r="B7328" t="inlineStr">
        <is>
          <t>52주차</t>
        </is>
      </c>
      <c r="C7328" t="e">
        <v>#N/A</v>
      </c>
      <c r="K7328" t="n">
        <v>0</v>
      </c>
      <c r="L7328" t="n">
        <v>0</v>
      </c>
      <c r="M7328" t="n">
        <v>0</v>
      </c>
      <c r="AC7328" t="n">
        <v>0</v>
      </c>
      <c r="AD7328" t="n">
        <v>0</v>
      </c>
      <c r="AE7328" t="n">
        <v>0</v>
      </c>
      <c r="AF7328" t="n">
        <v>0</v>
      </c>
      <c r="AG7328" t="n">
        <v>0</v>
      </c>
      <c r="AH7328" t="n">
        <v>0</v>
      </c>
    </row>
    <row r="7329">
      <c r="A7329" t="inlineStr">
        <is>
          <t>12월</t>
        </is>
      </c>
      <c r="B7329" t="inlineStr">
        <is>
          <t>52주차</t>
        </is>
      </c>
      <c r="C7329" t="e">
        <v>#N/A</v>
      </c>
      <c r="K7329" t="n">
        <v>0</v>
      </c>
      <c r="L7329" t="n">
        <v>0</v>
      </c>
      <c r="M7329" t="n">
        <v>0</v>
      </c>
      <c r="AC7329" t="n">
        <v>0</v>
      </c>
      <c r="AD7329" t="n">
        <v>0</v>
      </c>
      <c r="AE7329" t="n">
        <v>0</v>
      </c>
      <c r="AF7329" t="n">
        <v>0</v>
      </c>
      <c r="AG7329" t="n">
        <v>0</v>
      </c>
      <c r="AH7329" t="n">
        <v>0</v>
      </c>
      <c r="AI7329" t="n">
        <v>0</v>
      </c>
    </row>
    <row r="7330">
      <c r="A7330" t="inlineStr">
        <is>
          <t>12월</t>
        </is>
      </c>
      <c r="B7330" t="inlineStr">
        <is>
          <t>52주차</t>
        </is>
      </c>
      <c r="C7330" t="e">
        <v>#N/A</v>
      </c>
      <c r="K7330" t="n">
        <v>0</v>
      </c>
      <c r="L7330" t="n">
        <v>0</v>
      </c>
      <c r="M7330" t="n">
        <v>0</v>
      </c>
      <c r="AC7330" t="n">
        <v>0</v>
      </c>
      <c r="AD7330" t="n">
        <v>0</v>
      </c>
      <c r="AE7330" t="n">
        <v>0</v>
      </c>
      <c r="AF7330" t="n">
        <v>0</v>
      </c>
      <c r="AG7330" t="n">
        <v>0</v>
      </c>
      <c r="AH7330" t="n">
        <v>0</v>
      </c>
      <c r="AI7330" t="n">
        <v>0</v>
      </c>
    </row>
    <row r="7331">
      <c r="A7331" t="inlineStr">
        <is>
          <t>12월</t>
        </is>
      </c>
      <c r="B7331" t="inlineStr">
        <is>
          <t>52주차</t>
        </is>
      </c>
      <c r="C7331" t="e">
        <v>#N/A</v>
      </c>
      <c r="K7331" t="n">
        <v>0</v>
      </c>
      <c r="L7331" t="n">
        <v>0</v>
      </c>
      <c r="M7331" t="n">
        <v>0</v>
      </c>
      <c r="AC7331" t="n">
        <v>0</v>
      </c>
      <c r="AD7331" t="n">
        <v>0</v>
      </c>
      <c r="AE7331" t="n">
        <v>0</v>
      </c>
      <c r="AF7331" t="n">
        <v>0</v>
      </c>
      <c r="AG7331" t="n">
        <v>0</v>
      </c>
      <c r="AH7331" t="n">
        <v>0</v>
      </c>
      <c r="AI7331" t="n">
        <v>0</v>
      </c>
    </row>
    <row r="7332">
      <c r="A7332" t="inlineStr">
        <is>
          <t>12월</t>
        </is>
      </c>
      <c r="B7332" t="inlineStr">
        <is>
          <t>52주차</t>
        </is>
      </c>
      <c r="C7332" t="e">
        <v>#N/A</v>
      </c>
      <c r="K7332" t="n">
        <v>0</v>
      </c>
      <c r="L7332" t="n">
        <v>0</v>
      </c>
      <c r="M7332" t="n">
        <v>0</v>
      </c>
      <c r="AC7332" t="n">
        <v>0</v>
      </c>
      <c r="AD7332" t="n">
        <v>0</v>
      </c>
      <c r="AE7332" t="n">
        <v>0</v>
      </c>
      <c r="AF7332" t="n">
        <v>0</v>
      </c>
      <c r="AG7332" t="n">
        <v>0</v>
      </c>
      <c r="AH7332" t="n">
        <v>0</v>
      </c>
      <c r="AI7332" t="n">
        <v>0</v>
      </c>
    </row>
    <row r="7333">
      <c r="A7333" t="inlineStr">
        <is>
          <t>12월</t>
        </is>
      </c>
      <c r="B7333" t="inlineStr">
        <is>
          <t>52주차</t>
        </is>
      </c>
      <c r="C7333" t="e">
        <v>#N/A</v>
      </c>
      <c r="K7333" t="n">
        <v>0</v>
      </c>
      <c r="L7333" t="n">
        <v>0</v>
      </c>
      <c r="M7333" t="n">
        <v>0</v>
      </c>
      <c r="AC7333" t="n">
        <v>0</v>
      </c>
      <c r="AD7333" t="n">
        <v>0</v>
      </c>
      <c r="AE7333" t="n">
        <v>0</v>
      </c>
      <c r="AF7333" t="n">
        <v>0</v>
      </c>
      <c r="AG7333" t="n">
        <v>0</v>
      </c>
      <c r="AH7333" t="n">
        <v>0</v>
      </c>
    </row>
    <row r="7334">
      <c r="A7334" t="inlineStr">
        <is>
          <t>12월</t>
        </is>
      </c>
      <c r="B7334" t="inlineStr">
        <is>
          <t>52주차</t>
        </is>
      </c>
      <c r="C7334" t="e">
        <v>#N/A</v>
      </c>
      <c r="K7334" t="n">
        <v>0</v>
      </c>
      <c r="L7334" t="n">
        <v>0</v>
      </c>
      <c r="M7334" t="n">
        <v>0</v>
      </c>
      <c r="AC7334" t="n">
        <v>0</v>
      </c>
      <c r="AD7334" t="n">
        <v>0</v>
      </c>
      <c r="AE7334" t="n">
        <v>0</v>
      </c>
      <c r="AF7334" t="n">
        <v>0</v>
      </c>
      <c r="AG7334" t="n">
        <v>0</v>
      </c>
      <c r="AH7334" t="n">
        <v>0</v>
      </c>
      <c r="AI7334" t="n">
        <v>0</v>
      </c>
    </row>
    <row r="7335">
      <c r="A7335" t="inlineStr">
        <is>
          <t>12월</t>
        </is>
      </c>
      <c r="B7335" t="inlineStr">
        <is>
          <t>52주차</t>
        </is>
      </c>
      <c r="C7335" t="e">
        <v>#N/A</v>
      </c>
      <c r="K7335" t="n">
        <v>0</v>
      </c>
      <c r="L7335" t="n">
        <v>0</v>
      </c>
      <c r="M7335" t="n">
        <v>0</v>
      </c>
      <c r="AC7335" t="n">
        <v>0</v>
      </c>
      <c r="AD7335" t="n">
        <v>0</v>
      </c>
      <c r="AE7335" t="n">
        <v>0</v>
      </c>
      <c r="AF7335" t="n">
        <v>0</v>
      </c>
      <c r="AG7335" t="n">
        <v>0</v>
      </c>
      <c r="AH7335" t="n">
        <v>0</v>
      </c>
      <c r="AI7335" t="n">
        <v>0</v>
      </c>
    </row>
    <row r="7336">
      <c r="A7336" t="inlineStr">
        <is>
          <t>12월</t>
        </is>
      </c>
      <c r="B7336" t="inlineStr">
        <is>
          <t>52주차</t>
        </is>
      </c>
      <c r="C7336" t="e">
        <v>#N/A</v>
      </c>
      <c r="K7336" t="n">
        <v>0</v>
      </c>
      <c r="L7336" t="n">
        <v>0</v>
      </c>
      <c r="M7336" t="n">
        <v>0</v>
      </c>
      <c r="AC7336" t="n">
        <v>0</v>
      </c>
      <c r="AD7336" t="n">
        <v>0</v>
      </c>
      <c r="AE7336" t="n">
        <v>0</v>
      </c>
      <c r="AF7336" t="n">
        <v>0</v>
      </c>
      <c r="AG7336" t="n">
        <v>0</v>
      </c>
      <c r="AH7336" t="n">
        <v>0</v>
      </c>
      <c r="AI7336" t="n">
        <v>0</v>
      </c>
    </row>
    <row r="7337">
      <c r="A7337" t="inlineStr">
        <is>
          <t>12월</t>
        </is>
      </c>
      <c r="B7337" t="inlineStr">
        <is>
          <t>52주차</t>
        </is>
      </c>
      <c r="C7337" t="e">
        <v>#N/A</v>
      </c>
      <c r="K7337" t="n">
        <v>0</v>
      </c>
      <c r="L7337" t="n">
        <v>0</v>
      </c>
      <c r="M7337" t="n">
        <v>0</v>
      </c>
      <c r="AC7337" t="n">
        <v>0</v>
      </c>
      <c r="AD7337" t="n">
        <v>0</v>
      </c>
      <c r="AE7337" t="n">
        <v>0</v>
      </c>
      <c r="AF7337" t="n">
        <v>0</v>
      </c>
      <c r="AG7337" t="n">
        <v>0</v>
      </c>
      <c r="AH7337" t="n">
        <v>0</v>
      </c>
      <c r="AI7337" t="n">
        <v>0</v>
      </c>
    </row>
    <row r="7338">
      <c r="A7338" t="inlineStr">
        <is>
          <t>12월</t>
        </is>
      </c>
      <c r="B7338" t="inlineStr">
        <is>
          <t>52주차</t>
        </is>
      </c>
      <c r="C7338" t="e">
        <v>#N/A</v>
      </c>
      <c r="K7338" t="n">
        <v>0</v>
      </c>
      <c r="L7338" t="n">
        <v>0</v>
      </c>
      <c r="M7338" t="n">
        <v>0</v>
      </c>
      <c r="AC7338" t="n">
        <v>0</v>
      </c>
      <c r="AD7338" t="n">
        <v>0</v>
      </c>
      <c r="AE7338" t="n">
        <v>0</v>
      </c>
      <c r="AF7338" t="n">
        <v>0</v>
      </c>
      <c r="AG7338" t="n">
        <v>0</v>
      </c>
      <c r="AH7338" t="n">
        <v>0</v>
      </c>
      <c r="AI7338" t="n">
        <v>0</v>
      </c>
    </row>
    <row r="7339">
      <c r="A7339" t="inlineStr">
        <is>
          <t>12월</t>
        </is>
      </c>
      <c r="B7339" t="inlineStr">
        <is>
          <t>52주차</t>
        </is>
      </c>
      <c r="C7339" t="e">
        <v>#N/A</v>
      </c>
      <c r="K7339" t="n">
        <v>0</v>
      </c>
      <c r="L7339" t="n">
        <v>0</v>
      </c>
      <c r="M7339" t="n">
        <v>0</v>
      </c>
      <c r="AC7339" t="n">
        <v>0</v>
      </c>
      <c r="AD7339" t="n">
        <v>0</v>
      </c>
      <c r="AE7339" t="n">
        <v>0</v>
      </c>
      <c r="AF7339" t="n">
        <v>0</v>
      </c>
      <c r="AG7339" t="n">
        <v>0</v>
      </c>
      <c r="AH7339" t="n">
        <v>0</v>
      </c>
      <c r="AI7339" t="n">
        <v>0</v>
      </c>
    </row>
    <row r="7340">
      <c r="A7340" t="inlineStr">
        <is>
          <t>12월</t>
        </is>
      </c>
      <c r="B7340" t="inlineStr">
        <is>
          <t>52주차</t>
        </is>
      </c>
      <c r="C7340" t="e">
        <v>#N/A</v>
      </c>
      <c r="K7340" t="n">
        <v>0</v>
      </c>
      <c r="L7340" t="n">
        <v>0</v>
      </c>
      <c r="M7340" t="n">
        <v>0</v>
      </c>
      <c r="AC7340" t="n">
        <v>0</v>
      </c>
      <c r="AD7340" t="n">
        <v>0</v>
      </c>
      <c r="AE7340" t="n">
        <v>0</v>
      </c>
      <c r="AF7340" t="n">
        <v>0</v>
      </c>
      <c r="AG7340" t="n">
        <v>0</v>
      </c>
      <c r="AH7340" t="n">
        <v>0</v>
      </c>
      <c r="AI7340" t="n">
        <v>0</v>
      </c>
    </row>
    <row r="7341">
      <c r="A7341" t="inlineStr">
        <is>
          <t>12월</t>
        </is>
      </c>
      <c r="B7341" t="inlineStr">
        <is>
          <t>52주차</t>
        </is>
      </c>
      <c r="C7341" t="e">
        <v>#N/A</v>
      </c>
      <c r="K7341" t="n">
        <v>0</v>
      </c>
      <c r="L7341" t="n">
        <v>0</v>
      </c>
      <c r="M7341" t="n">
        <v>0</v>
      </c>
      <c r="AC7341" t="n">
        <v>0</v>
      </c>
      <c r="AD7341" t="n">
        <v>0</v>
      </c>
      <c r="AE7341" t="n">
        <v>0</v>
      </c>
      <c r="AF7341" t="n">
        <v>0</v>
      </c>
      <c r="AG7341" t="n">
        <v>0</v>
      </c>
      <c r="AH7341" t="n">
        <v>0</v>
      </c>
      <c r="AI7341" t="n">
        <v>0</v>
      </c>
    </row>
    <row r="7342">
      <c r="A7342" t="inlineStr">
        <is>
          <t>12월</t>
        </is>
      </c>
      <c r="B7342" t="inlineStr">
        <is>
          <t>52주차</t>
        </is>
      </c>
      <c r="C7342" t="e">
        <v>#N/A</v>
      </c>
      <c r="K7342" t="n">
        <v>0</v>
      </c>
      <c r="L7342" t="n">
        <v>0</v>
      </c>
      <c r="M7342" t="n">
        <v>0</v>
      </c>
      <c r="AC7342" t="n">
        <v>0</v>
      </c>
      <c r="AD7342" t="n">
        <v>0</v>
      </c>
      <c r="AE7342" t="n">
        <v>0</v>
      </c>
      <c r="AF7342" t="n">
        <v>0</v>
      </c>
      <c r="AG7342" t="n">
        <v>0</v>
      </c>
      <c r="AH7342" t="n">
        <v>0</v>
      </c>
      <c r="AI7342" t="n">
        <v>0</v>
      </c>
    </row>
    <row r="7343">
      <c r="A7343" t="inlineStr">
        <is>
          <t>12월</t>
        </is>
      </c>
      <c r="B7343" t="inlineStr">
        <is>
          <t>52주차</t>
        </is>
      </c>
      <c r="C7343" t="e">
        <v>#N/A</v>
      </c>
      <c r="K7343" t="n">
        <v>0</v>
      </c>
      <c r="L7343" t="n">
        <v>0</v>
      </c>
      <c r="M7343" t="n">
        <v>0</v>
      </c>
      <c r="AC7343" t="n">
        <v>0</v>
      </c>
      <c r="AD7343" t="n">
        <v>0</v>
      </c>
      <c r="AE7343" t="n">
        <v>0</v>
      </c>
      <c r="AF7343" t="n">
        <v>0</v>
      </c>
      <c r="AG7343" t="n">
        <v>0</v>
      </c>
      <c r="AH7343" t="n">
        <v>0</v>
      </c>
      <c r="AI7343" t="n">
        <v>0</v>
      </c>
    </row>
    <row r="7344">
      <c r="A7344" t="inlineStr">
        <is>
          <t>12월</t>
        </is>
      </c>
      <c r="B7344" t="inlineStr">
        <is>
          <t>52주차</t>
        </is>
      </c>
      <c r="C7344" t="e">
        <v>#N/A</v>
      </c>
      <c r="K7344" t="n">
        <v>0</v>
      </c>
      <c r="L7344" t="n">
        <v>0</v>
      </c>
      <c r="M7344" t="n">
        <v>0</v>
      </c>
      <c r="AC7344" t="n">
        <v>0</v>
      </c>
      <c r="AD7344" t="n">
        <v>0</v>
      </c>
      <c r="AE7344" t="n">
        <v>0</v>
      </c>
      <c r="AF7344" t="n">
        <v>0</v>
      </c>
      <c r="AG7344" t="n">
        <v>0</v>
      </c>
      <c r="AH7344" t="n">
        <v>0</v>
      </c>
    </row>
    <row r="7345">
      <c r="A7345" t="inlineStr">
        <is>
          <t>12월</t>
        </is>
      </c>
      <c r="B7345" t="inlineStr">
        <is>
          <t>52주차</t>
        </is>
      </c>
      <c r="C7345" t="e">
        <v>#N/A</v>
      </c>
      <c r="K7345" t="n">
        <v>0</v>
      </c>
      <c r="L7345" t="n">
        <v>0</v>
      </c>
      <c r="M7345" t="n">
        <v>0</v>
      </c>
      <c r="AC7345" t="n">
        <v>0</v>
      </c>
      <c r="AD7345" t="n">
        <v>0</v>
      </c>
      <c r="AE7345" t="n">
        <v>0</v>
      </c>
      <c r="AF7345" t="n">
        <v>0</v>
      </c>
      <c r="AG7345" t="n">
        <v>0</v>
      </c>
      <c r="AH7345" t="n">
        <v>0</v>
      </c>
      <c r="AI7345" t="n">
        <v>0</v>
      </c>
    </row>
    <row r="7346">
      <c r="A7346" t="inlineStr">
        <is>
          <t>12월</t>
        </is>
      </c>
      <c r="B7346" t="inlineStr">
        <is>
          <t>52주차</t>
        </is>
      </c>
      <c r="C7346" t="e">
        <v>#N/A</v>
      </c>
      <c r="K7346" t="n">
        <v>0</v>
      </c>
      <c r="L7346" t="n">
        <v>0</v>
      </c>
      <c r="M7346" t="n">
        <v>0</v>
      </c>
      <c r="AC7346" t="n">
        <v>0</v>
      </c>
      <c r="AD7346" t="n">
        <v>0</v>
      </c>
      <c r="AE7346" t="n">
        <v>0</v>
      </c>
      <c r="AF7346" t="n">
        <v>0</v>
      </c>
      <c r="AG7346" t="n">
        <v>0</v>
      </c>
      <c r="AH7346" t="n">
        <v>0</v>
      </c>
    </row>
    <row r="7347">
      <c r="A7347" t="inlineStr">
        <is>
          <t>12월</t>
        </is>
      </c>
      <c r="B7347" t="inlineStr">
        <is>
          <t>52주차</t>
        </is>
      </c>
      <c r="C7347" t="e">
        <v>#N/A</v>
      </c>
      <c r="K7347" t="n">
        <v>0</v>
      </c>
      <c r="L7347" t="n">
        <v>0</v>
      </c>
      <c r="M7347" t="n">
        <v>0</v>
      </c>
      <c r="AC7347" t="n">
        <v>0</v>
      </c>
      <c r="AD7347" t="n">
        <v>0</v>
      </c>
      <c r="AE7347" t="n">
        <v>0</v>
      </c>
      <c r="AF7347" t="n">
        <v>0</v>
      </c>
      <c r="AG7347" t="n">
        <v>0</v>
      </c>
      <c r="AH7347" t="n">
        <v>0</v>
      </c>
    </row>
    <row r="7348">
      <c r="A7348" t="inlineStr">
        <is>
          <t>12월</t>
        </is>
      </c>
      <c r="B7348" t="inlineStr">
        <is>
          <t>52주차</t>
        </is>
      </c>
      <c r="C7348" t="e">
        <v>#N/A</v>
      </c>
      <c r="K7348" t="n">
        <v>0</v>
      </c>
      <c r="L7348" t="n">
        <v>0</v>
      </c>
      <c r="M7348" t="n">
        <v>0</v>
      </c>
      <c r="AC7348" t="n">
        <v>0</v>
      </c>
      <c r="AD7348" t="n">
        <v>0</v>
      </c>
      <c r="AE7348" t="n">
        <v>0</v>
      </c>
      <c r="AF7348" t="n">
        <v>0</v>
      </c>
      <c r="AG7348" t="n">
        <v>0</v>
      </c>
      <c r="AH7348" t="n">
        <v>0</v>
      </c>
      <c r="AI7348" t="n">
        <v>0</v>
      </c>
    </row>
    <row r="7349">
      <c r="A7349" t="inlineStr">
        <is>
          <t>12월</t>
        </is>
      </c>
      <c r="B7349" t="inlineStr">
        <is>
          <t>52주차</t>
        </is>
      </c>
      <c r="C7349" t="e">
        <v>#N/A</v>
      </c>
      <c r="K7349" t="n">
        <v>0</v>
      </c>
      <c r="L7349" t="n">
        <v>0</v>
      </c>
      <c r="M7349" t="n">
        <v>0</v>
      </c>
      <c r="AC7349" t="n">
        <v>0</v>
      </c>
      <c r="AD7349" t="n">
        <v>0</v>
      </c>
      <c r="AE7349" t="n">
        <v>0</v>
      </c>
      <c r="AF7349" t="n">
        <v>0</v>
      </c>
      <c r="AG7349" t="n">
        <v>0</v>
      </c>
      <c r="AH7349" t="n">
        <v>0</v>
      </c>
      <c r="AI7349" t="n">
        <v>0</v>
      </c>
    </row>
    <row r="7350">
      <c r="A7350" t="inlineStr">
        <is>
          <t>12월</t>
        </is>
      </c>
      <c r="B7350" t="inlineStr">
        <is>
          <t>52주차</t>
        </is>
      </c>
      <c r="C7350" t="e">
        <v>#N/A</v>
      </c>
      <c r="K7350" t="n">
        <v>0</v>
      </c>
      <c r="L7350" t="n">
        <v>0</v>
      </c>
      <c r="M7350" t="n">
        <v>0</v>
      </c>
      <c r="AC7350" t="n">
        <v>0</v>
      </c>
      <c r="AD7350" t="n">
        <v>0</v>
      </c>
      <c r="AE7350" t="n">
        <v>0</v>
      </c>
      <c r="AF7350" t="n">
        <v>0</v>
      </c>
      <c r="AG7350" t="n">
        <v>0</v>
      </c>
      <c r="AH7350" t="n">
        <v>0</v>
      </c>
      <c r="AI7350" t="n">
        <v>0</v>
      </c>
    </row>
    <row r="7351">
      <c r="A7351" t="inlineStr">
        <is>
          <t>12월</t>
        </is>
      </c>
      <c r="B7351" t="inlineStr">
        <is>
          <t>52주차</t>
        </is>
      </c>
      <c r="C7351" t="e">
        <v>#N/A</v>
      </c>
      <c r="K7351" t="n">
        <v>0</v>
      </c>
      <c r="L7351" t="n">
        <v>0</v>
      </c>
      <c r="M7351" t="n">
        <v>0</v>
      </c>
      <c r="AC7351" t="n">
        <v>0</v>
      </c>
      <c r="AD7351" t="n">
        <v>0</v>
      </c>
      <c r="AE7351" t="n">
        <v>0</v>
      </c>
      <c r="AF7351" t="n">
        <v>0</v>
      </c>
      <c r="AG7351" t="n">
        <v>0</v>
      </c>
      <c r="AH7351" t="n">
        <v>0</v>
      </c>
    </row>
    <row r="7352">
      <c r="A7352" t="inlineStr">
        <is>
          <t>12월</t>
        </is>
      </c>
      <c r="B7352" t="inlineStr">
        <is>
          <t>52주차</t>
        </is>
      </c>
      <c r="C7352" t="e">
        <v>#N/A</v>
      </c>
      <c r="K7352" t="n">
        <v>0</v>
      </c>
      <c r="L7352" t="n">
        <v>0</v>
      </c>
      <c r="M7352" t="n">
        <v>0</v>
      </c>
      <c r="AC7352" t="n">
        <v>0</v>
      </c>
      <c r="AD7352" t="n">
        <v>0</v>
      </c>
      <c r="AE7352" t="n">
        <v>0</v>
      </c>
      <c r="AF7352" t="n">
        <v>0</v>
      </c>
      <c r="AG7352" t="n">
        <v>0</v>
      </c>
      <c r="AH7352" t="n">
        <v>0</v>
      </c>
    </row>
    <row r="7353">
      <c r="A7353" t="inlineStr">
        <is>
          <t>12월</t>
        </is>
      </c>
      <c r="B7353" t="inlineStr">
        <is>
          <t>52주차</t>
        </is>
      </c>
      <c r="C7353" t="e">
        <v>#N/A</v>
      </c>
      <c r="K7353" t="n">
        <v>0</v>
      </c>
      <c r="L7353" t="n">
        <v>0</v>
      </c>
      <c r="M7353" t="n">
        <v>0</v>
      </c>
      <c r="AC7353" t="n">
        <v>0</v>
      </c>
      <c r="AD7353" t="n">
        <v>0</v>
      </c>
      <c r="AE7353" t="n">
        <v>0</v>
      </c>
      <c r="AF7353" t="n">
        <v>0</v>
      </c>
      <c r="AG7353" t="n">
        <v>0</v>
      </c>
      <c r="AH7353" t="n">
        <v>0</v>
      </c>
    </row>
    <row r="7354">
      <c r="A7354" t="inlineStr">
        <is>
          <t>12월</t>
        </is>
      </c>
      <c r="B7354" t="inlineStr">
        <is>
          <t>52주차</t>
        </is>
      </c>
      <c r="C7354" t="e">
        <v>#N/A</v>
      </c>
      <c r="K7354" t="n">
        <v>0</v>
      </c>
      <c r="L7354" t="n">
        <v>0</v>
      </c>
      <c r="M7354" t="n">
        <v>0</v>
      </c>
      <c r="AC7354" t="n">
        <v>0</v>
      </c>
      <c r="AD7354" t="n">
        <v>0</v>
      </c>
      <c r="AE7354" t="n">
        <v>0</v>
      </c>
      <c r="AF7354" t="n">
        <v>0</v>
      </c>
      <c r="AG7354" t="n">
        <v>0</v>
      </c>
      <c r="AH7354" t="n">
        <v>0</v>
      </c>
    </row>
    <row r="7355">
      <c r="A7355" t="inlineStr">
        <is>
          <t>12월</t>
        </is>
      </c>
      <c r="B7355" t="inlineStr">
        <is>
          <t>52주차</t>
        </is>
      </c>
      <c r="C7355" t="e">
        <v>#N/A</v>
      </c>
      <c r="K7355" t="n">
        <v>0</v>
      </c>
      <c r="L7355" t="n">
        <v>0</v>
      </c>
      <c r="M7355" t="n">
        <v>0</v>
      </c>
      <c r="AC7355" t="n">
        <v>0</v>
      </c>
      <c r="AD7355" t="n">
        <v>0</v>
      </c>
      <c r="AE7355" t="n">
        <v>0</v>
      </c>
      <c r="AF7355" t="n">
        <v>0</v>
      </c>
      <c r="AG7355" t="n">
        <v>0</v>
      </c>
      <c r="AH7355" t="n">
        <v>0</v>
      </c>
      <c r="AI7355" t="n">
        <v>0</v>
      </c>
    </row>
    <row r="7356">
      <c r="A7356" t="inlineStr">
        <is>
          <t>12월</t>
        </is>
      </c>
      <c r="B7356" t="inlineStr">
        <is>
          <t>52주차</t>
        </is>
      </c>
      <c r="C7356" t="e">
        <v>#N/A</v>
      </c>
      <c r="K7356" t="n">
        <v>0</v>
      </c>
      <c r="L7356" t="n">
        <v>0</v>
      </c>
      <c r="M7356" t="n">
        <v>0</v>
      </c>
      <c r="AC7356" t="n">
        <v>0</v>
      </c>
      <c r="AD7356" t="n">
        <v>0</v>
      </c>
      <c r="AE7356" t="n">
        <v>0</v>
      </c>
      <c r="AF7356" t="n">
        <v>0</v>
      </c>
      <c r="AG7356" t="n">
        <v>0</v>
      </c>
      <c r="AH7356" t="n">
        <v>0</v>
      </c>
    </row>
    <row r="7357">
      <c r="A7357" t="inlineStr">
        <is>
          <t>12월</t>
        </is>
      </c>
      <c r="B7357" t="inlineStr">
        <is>
          <t>52주차</t>
        </is>
      </c>
      <c r="C7357" t="e">
        <v>#N/A</v>
      </c>
      <c r="K7357" t="n">
        <v>0</v>
      </c>
      <c r="L7357" t="n">
        <v>0</v>
      </c>
      <c r="M7357" t="n">
        <v>0</v>
      </c>
      <c r="AC7357" t="n">
        <v>0</v>
      </c>
      <c r="AD7357" t="n">
        <v>0</v>
      </c>
      <c r="AE7357" t="n">
        <v>0</v>
      </c>
      <c r="AF7357" t="n">
        <v>0</v>
      </c>
      <c r="AG7357" t="n">
        <v>0</v>
      </c>
      <c r="AH7357" t="n">
        <v>0</v>
      </c>
      <c r="AI7357" t="n">
        <v>0</v>
      </c>
    </row>
    <row r="7358">
      <c r="A7358" t="inlineStr">
        <is>
          <t>12월</t>
        </is>
      </c>
      <c r="B7358" t="inlineStr">
        <is>
          <t>52주차</t>
        </is>
      </c>
      <c r="C7358" t="e">
        <v>#N/A</v>
      </c>
      <c r="K7358" t="n">
        <v>0</v>
      </c>
      <c r="L7358" t="n">
        <v>0</v>
      </c>
      <c r="M7358" t="n">
        <v>0</v>
      </c>
      <c r="AC7358" t="n">
        <v>0</v>
      </c>
      <c r="AD7358" t="n">
        <v>0</v>
      </c>
      <c r="AE7358" t="n">
        <v>0</v>
      </c>
      <c r="AF7358" t="n">
        <v>0</v>
      </c>
      <c r="AG7358" t="n">
        <v>0</v>
      </c>
      <c r="AH7358" t="n">
        <v>0</v>
      </c>
      <c r="AI7358" t="n">
        <v>0</v>
      </c>
    </row>
    <row r="7359">
      <c r="A7359" t="inlineStr">
        <is>
          <t>12월</t>
        </is>
      </c>
      <c r="B7359" t="inlineStr">
        <is>
          <t>52주차</t>
        </is>
      </c>
      <c r="C7359" t="e">
        <v>#N/A</v>
      </c>
      <c r="K7359" t="n">
        <v>0</v>
      </c>
      <c r="L7359" t="n">
        <v>0</v>
      </c>
      <c r="M7359" t="n">
        <v>0</v>
      </c>
      <c r="AC7359" t="n">
        <v>0</v>
      </c>
      <c r="AD7359" t="n">
        <v>0</v>
      </c>
      <c r="AE7359" t="n">
        <v>0</v>
      </c>
      <c r="AF7359" t="n">
        <v>0</v>
      </c>
      <c r="AG7359" t="n">
        <v>0</v>
      </c>
      <c r="AH7359" t="n">
        <v>0</v>
      </c>
      <c r="AI7359" t="n">
        <v>0</v>
      </c>
    </row>
    <row r="7360">
      <c r="A7360" t="inlineStr">
        <is>
          <t>12월</t>
        </is>
      </c>
      <c r="B7360" t="inlineStr">
        <is>
          <t>52주차</t>
        </is>
      </c>
      <c r="C7360" t="e">
        <v>#N/A</v>
      </c>
      <c r="K7360" t="n">
        <v>0</v>
      </c>
      <c r="L7360" t="n">
        <v>0</v>
      </c>
      <c r="M7360" t="n">
        <v>0</v>
      </c>
      <c r="AC7360" t="n">
        <v>0</v>
      </c>
      <c r="AD7360" t="n">
        <v>0</v>
      </c>
      <c r="AE7360" t="n">
        <v>0</v>
      </c>
      <c r="AF7360" t="n">
        <v>0</v>
      </c>
      <c r="AG7360" t="n">
        <v>0</v>
      </c>
      <c r="AH7360" t="n">
        <v>0</v>
      </c>
      <c r="AI7360" t="n">
        <v>0</v>
      </c>
    </row>
    <row r="7361">
      <c r="A7361" t="inlineStr">
        <is>
          <t>12월</t>
        </is>
      </c>
      <c r="B7361" t="inlineStr">
        <is>
          <t>52주차</t>
        </is>
      </c>
      <c r="C7361" t="e">
        <v>#N/A</v>
      </c>
      <c r="K7361" t="n">
        <v>0</v>
      </c>
      <c r="L7361" t="n">
        <v>0</v>
      </c>
      <c r="M7361" t="n">
        <v>0</v>
      </c>
      <c r="AC7361" t="n">
        <v>0</v>
      </c>
      <c r="AD7361" t="n">
        <v>0</v>
      </c>
      <c r="AE7361" t="n">
        <v>0</v>
      </c>
      <c r="AF7361" t="n">
        <v>0</v>
      </c>
      <c r="AG7361" t="n">
        <v>0</v>
      </c>
      <c r="AH7361" t="n">
        <v>0</v>
      </c>
      <c r="AI7361" t="n">
        <v>0</v>
      </c>
    </row>
    <row r="7362">
      <c r="A7362" t="inlineStr">
        <is>
          <t>12월</t>
        </is>
      </c>
      <c r="B7362" t="inlineStr">
        <is>
          <t>52주차</t>
        </is>
      </c>
      <c r="C7362" t="e">
        <v>#N/A</v>
      </c>
      <c r="K7362" t="n">
        <v>0</v>
      </c>
      <c r="L7362" t="n">
        <v>0</v>
      </c>
      <c r="M7362" t="n">
        <v>0</v>
      </c>
      <c r="AC7362" t="n">
        <v>0</v>
      </c>
      <c r="AD7362" t="n">
        <v>0</v>
      </c>
      <c r="AE7362" t="n">
        <v>0</v>
      </c>
      <c r="AF7362" t="n">
        <v>0</v>
      </c>
      <c r="AG7362" t="n">
        <v>0</v>
      </c>
      <c r="AH7362" t="n">
        <v>0</v>
      </c>
    </row>
    <row r="7363">
      <c r="A7363" t="inlineStr">
        <is>
          <t>12월</t>
        </is>
      </c>
      <c r="B7363" t="inlineStr">
        <is>
          <t>52주차</t>
        </is>
      </c>
      <c r="C7363" t="e">
        <v>#N/A</v>
      </c>
      <c r="K7363" t="n">
        <v>0</v>
      </c>
      <c r="L7363" t="n">
        <v>0</v>
      </c>
      <c r="M7363" t="n">
        <v>0</v>
      </c>
      <c r="AC7363" t="n">
        <v>0</v>
      </c>
      <c r="AD7363" t="n">
        <v>0</v>
      </c>
      <c r="AE7363" t="n">
        <v>0</v>
      </c>
      <c r="AF7363" t="n">
        <v>0</v>
      </c>
      <c r="AG7363" t="n">
        <v>0</v>
      </c>
      <c r="AH7363" t="n">
        <v>0</v>
      </c>
      <c r="AI7363" t="n">
        <v>0</v>
      </c>
    </row>
    <row r="7364">
      <c r="A7364" t="inlineStr">
        <is>
          <t>12월</t>
        </is>
      </c>
      <c r="B7364" t="inlineStr">
        <is>
          <t>52주차</t>
        </is>
      </c>
      <c r="C7364" t="e">
        <v>#N/A</v>
      </c>
      <c r="K7364" t="n">
        <v>0</v>
      </c>
      <c r="L7364" t="n">
        <v>0</v>
      </c>
      <c r="M7364" t="n">
        <v>0</v>
      </c>
      <c r="AC7364" t="n">
        <v>0</v>
      </c>
      <c r="AD7364" t="n">
        <v>0</v>
      </c>
      <c r="AE7364" t="n">
        <v>0</v>
      </c>
      <c r="AF7364" t="n">
        <v>0</v>
      </c>
      <c r="AG7364" t="n">
        <v>0</v>
      </c>
      <c r="AH7364" t="n">
        <v>0</v>
      </c>
      <c r="AI7364" t="n">
        <v>0</v>
      </c>
    </row>
    <row r="7365">
      <c r="A7365" t="inlineStr">
        <is>
          <t>12월</t>
        </is>
      </c>
      <c r="B7365" t="inlineStr">
        <is>
          <t>52주차</t>
        </is>
      </c>
      <c r="C7365" t="e">
        <v>#N/A</v>
      </c>
      <c r="K7365" t="n">
        <v>0</v>
      </c>
      <c r="L7365" t="n">
        <v>0</v>
      </c>
      <c r="M7365" t="n">
        <v>0</v>
      </c>
      <c r="AC7365" t="n">
        <v>0</v>
      </c>
      <c r="AD7365" t="n">
        <v>0</v>
      </c>
      <c r="AE7365" t="n">
        <v>0</v>
      </c>
      <c r="AF7365" t="n">
        <v>0</v>
      </c>
      <c r="AG7365" t="n">
        <v>0</v>
      </c>
      <c r="AH7365" t="n">
        <v>0</v>
      </c>
      <c r="AI7365" t="n">
        <v>0</v>
      </c>
    </row>
    <row r="7366">
      <c r="A7366" t="inlineStr">
        <is>
          <t>12월</t>
        </is>
      </c>
      <c r="B7366" t="inlineStr">
        <is>
          <t>52주차</t>
        </is>
      </c>
      <c r="C7366" t="e">
        <v>#N/A</v>
      </c>
      <c r="K7366" t="n">
        <v>0</v>
      </c>
      <c r="L7366" t="n">
        <v>0</v>
      </c>
      <c r="M7366" t="n">
        <v>0</v>
      </c>
      <c r="AC7366" t="n">
        <v>0</v>
      </c>
      <c r="AD7366" t="n">
        <v>0</v>
      </c>
      <c r="AE7366" t="n">
        <v>0</v>
      </c>
      <c r="AF7366" t="n">
        <v>0</v>
      </c>
      <c r="AG7366" t="n">
        <v>0</v>
      </c>
      <c r="AH7366" t="n">
        <v>0</v>
      </c>
      <c r="AI7366" t="n">
        <v>0</v>
      </c>
    </row>
    <row r="7367">
      <c r="A7367" t="inlineStr">
        <is>
          <t>12월</t>
        </is>
      </c>
      <c r="B7367" t="inlineStr">
        <is>
          <t>52주차</t>
        </is>
      </c>
      <c r="C7367" t="e">
        <v>#N/A</v>
      </c>
      <c r="K7367" t="n">
        <v>0</v>
      </c>
      <c r="L7367" t="n">
        <v>0</v>
      </c>
      <c r="M7367" t="n">
        <v>0</v>
      </c>
      <c r="AC7367" t="n">
        <v>0</v>
      </c>
      <c r="AD7367" t="n">
        <v>0</v>
      </c>
      <c r="AE7367" t="n">
        <v>0</v>
      </c>
      <c r="AF7367" t="n">
        <v>0</v>
      </c>
      <c r="AG7367" t="n">
        <v>0</v>
      </c>
      <c r="AH7367" t="n">
        <v>0</v>
      </c>
    </row>
    <row r="7368">
      <c r="A7368" t="inlineStr">
        <is>
          <t>12월</t>
        </is>
      </c>
      <c r="B7368" t="inlineStr">
        <is>
          <t>52주차</t>
        </is>
      </c>
      <c r="C7368" t="e">
        <v>#N/A</v>
      </c>
      <c r="K7368" t="n">
        <v>0</v>
      </c>
      <c r="L7368" t="n">
        <v>0</v>
      </c>
      <c r="M7368" t="n">
        <v>0</v>
      </c>
      <c r="AC7368" t="n">
        <v>0</v>
      </c>
      <c r="AD7368" t="n">
        <v>0</v>
      </c>
      <c r="AE7368" t="n">
        <v>0</v>
      </c>
      <c r="AF7368" t="n">
        <v>0</v>
      </c>
      <c r="AG7368" t="n">
        <v>0</v>
      </c>
      <c r="AH7368" t="n">
        <v>0</v>
      </c>
    </row>
    <row r="7369">
      <c r="A7369" t="inlineStr">
        <is>
          <t>12월</t>
        </is>
      </c>
      <c r="B7369" t="inlineStr">
        <is>
          <t>52주차</t>
        </is>
      </c>
      <c r="C7369" t="e">
        <v>#N/A</v>
      </c>
      <c r="K7369" t="n">
        <v>0</v>
      </c>
      <c r="L7369" t="n">
        <v>0</v>
      </c>
      <c r="M7369" t="n">
        <v>0</v>
      </c>
      <c r="AC7369" t="n">
        <v>0</v>
      </c>
      <c r="AD7369" t="n">
        <v>0</v>
      </c>
      <c r="AE7369" t="n">
        <v>0</v>
      </c>
      <c r="AF7369" t="n">
        <v>0</v>
      </c>
      <c r="AG7369" t="n">
        <v>0</v>
      </c>
      <c r="AH7369" t="n">
        <v>0</v>
      </c>
    </row>
    <row r="7370">
      <c r="A7370" t="inlineStr">
        <is>
          <t>12월</t>
        </is>
      </c>
      <c r="B7370" t="inlineStr">
        <is>
          <t>52주차</t>
        </is>
      </c>
      <c r="C7370" t="e">
        <v>#N/A</v>
      </c>
      <c r="K7370" t="n">
        <v>0</v>
      </c>
      <c r="L7370" t="n">
        <v>0</v>
      </c>
      <c r="M7370" t="n">
        <v>0</v>
      </c>
      <c r="AC7370" t="n">
        <v>0</v>
      </c>
      <c r="AD7370" t="n">
        <v>0</v>
      </c>
      <c r="AE7370" t="n">
        <v>0</v>
      </c>
      <c r="AF7370" t="n">
        <v>0</v>
      </c>
      <c r="AG7370" t="n">
        <v>0</v>
      </c>
      <c r="AH7370" t="n">
        <v>0</v>
      </c>
      <c r="AI7370" t="n">
        <v>0</v>
      </c>
    </row>
    <row r="7371">
      <c r="A7371" t="inlineStr">
        <is>
          <t>12월</t>
        </is>
      </c>
      <c r="B7371" t="inlineStr">
        <is>
          <t>52주차</t>
        </is>
      </c>
      <c r="C7371" t="e">
        <v>#N/A</v>
      </c>
      <c r="K7371" t="n">
        <v>0</v>
      </c>
      <c r="L7371" t="n">
        <v>0</v>
      </c>
      <c r="M7371" t="n">
        <v>0</v>
      </c>
      <c r="AC7371" t="n">
        <v>0</v>
      </c>
      <c r="AD7371" t="n">
        <v>0</v>
      </c>
      <c r="AE7371" t="n">
        <v>0</v>
      </c>
      <c r="AF7371" t="n">
        <v>0</v>
      </c>
      <c r="AG7371" t="n">
        <v>0</v>
      </c>
      <c r="AH7371" t="n">
        <v>0</v>
      </c>
      <c r="AI7371" t="n">
        <v>0</v>
      </c>
    </row>
    <row r="7372">
      <c r="A7372" t="inlineStr">
        <is>
          <t>12월</t>
        </is>
      </c>
      <c r="B7372" t="inlineStr">
        <is>
          <t>52주차</t>
        </is>
      </c>
      <c r="C7372" t="e">
        <v>#N/A</v>
      </c>
      <c r="K7372" t="n">
        <v>0</v>
      </c>
      <c r="L7372" t="n">
        <v>0</v>
      </c>
      <c r="M7372" t="n">
        <v>0</v>
      </c>
      <c r="AC7372" t="n">
        <v>0</v>
      </c>
      <c r="AD7372" t="n">
        <v>0</v>
      </c>
      <c r="AE7372" t="n">
        <v>0</v>
      </c>
      <c r="AF7372" t="n">
        <v>0</v>
      </c>
      <c r="AG7372" t="n">
        <v>0</v>
      </c>
      <c r="AH7372" t="n">
        <v>0</v>
      </c>
      <c r="AI7372" t="n">
        <v>0</v>
      </c>
    </row>
    <row r="7373">
      <c r="A7373" t="inlineStr">
        <is>
          <t>12월</t>
        </is>
      </c>
      <c r="B7373" t="inlineStr">
        <is>
          <t>52주차</t>
        </is>
      </c>
      <c r="C7373" t="e">
        <v>#N/A</v>
      </c>
      <c r="K7373" t="n">
        <v>0</v>
      </c>
      <c r="L7373" t="n">
        <v>0</v>
      </c>
      <c r="M7373" t="n">
        <v>0</v>
      </c>
      <c r="AC7373" t="n">
        <v>0</v>
      </c>
      <c r="AD7373" t="n">
        <v>0</v>
      </c>
      <c r="AE7373" t="n">
        <v>0</v>
      </c>
      <c r="AF7373" t="n">
        <v>0</v>
      </c>
      <c r="AG7373" t="n">
        <v>0</v>
      </c>
      <c r="AH7373" t="n">
        <v>0</v>
      </c>
      <c r="AI7373" t="n">
        <v>0</v>
      </c>
    </row>
    <row r="7374">
      <c r="A7374" t="inlineStr">
        <is>
          <t>12월</t>
        </is>
      </c>
      <c r="B7374" t="inlineStr">
        <is>
          <t>52주차</t>
        </is>
      </c>
      <c r="C7374" t="e">
        <v>#N/A</v>
      </c>
      <c r="K7374" t="n">
        <v>0</v>
      </c>
      <c r="L7374" t="n">
        <v>0</v>
      </c>
      <c r="M7374" t="n">
        <v>0</v>
      </c>
      <c r="AC7374" t="n">
        <v>0</v>
      </c>
      <c r="AD7374" t="n">
        <v>0</v>
      </c>
      <c r="AE7374" t="n">
        <v>0</v>
      </c>
      <c r="AF7374" t="n">
        <v>0</v>
      </c>
      <c r="AG7374" t="n">
        <v>0</v>
      </c>
      <c r="AH7374" t="n">
        <v>0</v>
      </c>
    </row>
    <row r="7375">
      <c r="A7375" t="inlineStr">
        <is>
          <t>12월</t>
        </is>
      </c>
      <c r="B7375" t="inlineStr">
        <is>
          <t>52주차</t>
        </is>
      </c>
      <c r="C7375" t="e">
        <v>#N/A</v>
      </c>
      <c r="K7375" t="n">
        <v>0</v>
      </c>
      <c r="L7375" t="n">
        <v>0</v>
      </c>
      <c r="M7375" t="n">
        <v>0</v>
      </c>
      <c r="AC7375" t="n">
        <v>0</v>
      </c>
      <c r="AD7375" t="n">
        <v>0</v>
      </c>
      <c r="AE7375" t="n">
        <v>0</v>
      </c>
      <c r="AF7375" t="n">
        <v>0</v>
      </c>
      <c r="AG7375" t="n">
        <v>0</v>
      </c>
      <c r="AH7375" t="n">
        <v>0</v>
      </c>
      <c r="AI7375" t="n">
        <v>0</v>
      </c>
    </row>
    <row r="7376">
      <c r="A7376" t="inlineStr">
        <is>
          <t>12월</t>
        </is>
      </c>
      <c r="B7376" t="inlineStr">
        <is>
          <t>52주차</t>
        </is>
      </c>
      <c r="C7376" t="e">
        <v>#N/A</v>
      </c>
      <c r="K7376" t="n">
        <v>0</v>
      </c>
      <c r="L7376" t="n">
        <v>0</v>
      </c>
      <c r="M7376" t="n">
        <v>0</v>
      </c>
      <c r="AC7376" t="n">
        <v>0</v>
      </c>
      <c r="AD7376" t="n">
        <v>0</v>
      </c>
      <c r="AE7376" t="n">
        <v>0</v>
      </c>
      <c r="AF7376" t="n">
        <v>0</v>
      </c>
      <c r="AG7376" t="n">
        <v>0</v>
      </c>
      <c r="AH7376" t="n">
        <v>0</v>
      </c>
    </row>
    <row r="7377">
      <c r="A7377" t="inlineStr">
        <is>
          <t>12월</t>
        </is>
      </c>
      <c r="B7377" t="inlineStr">
        <is>
          <t>52주차</t>
        </is>
      </c>
      <c r="C7377" t="e">
        <v>#N/A</v>
      </c>
      <c r="K7377" t="n">
        <v>0</v>
      </c>
      <c r="L7377" t="n">
        <v>0</v>
      </c>
      <c r="M7377" t="n">
        <v>0</v>
      </c>
      <c r="AC7377" t="n">
        <v>0</v>
      </c>
      <c r="AD7377" t="n">
        <v>0</v>
      </c>
      <c r="AE7377" t="n">
        <v>0</v>
      </c>
      <c r="AF7377" t="n">
        <v>0</v>
      </c>
      <c r="AG7377" t="n">
        <v>0</v>
      </c>
      <c r="AH7377" t="n">
        <v>0</v>
      </c>
    </row>
    <row r="7378">
      <c r="A7378" t="inlineStr">
        <is>
          <t>12월</t>
        </is>
      </c>
      <c r="B7378" t="inlineStr">
        <is>
          <t>52주차</t>
        </is>
      </c>
      <c r="C7378" t="e">
        <v>#N/A</v>
      </c>
      <c r="K7378" t="n">
        <v>0</v>
      </c>
      <c r="L7378" t="n">
        <v>0</v>
      </c>
      <c r="M7378" t="n">
        <v>0</v>
      </c>
      <c r="AC7378" t="n">
        <v>0</v>
      </c>
      <c r="AD7378" t="n">
        <v>0</v>
      </c>
      <c r="AE7378" t="n">
        <v>0</v>
      </c>
      <c r="AF7378" t="n">
        <v>0</v>
      </c>
      <c r="AG7378" t="n">
        <v>0</v>
      </c>
      <c r="AH7378" t="n">
        <v>0</v>
      </c>
      <c r="AI7378" t="n">
        <v>0</v>
      </c>
    </row>
    <row r="7379">
      <c r="A7379" t="inlineStr">
        <is>
          <t>12월</t>
        </is>
      </c>
      <c r="B7379" t="inlineStr">
        <is>
          <t>52주차</t>
        </is>
      </c>
      <c r="C7379" t="e">
        <v>#N/A</v>
      </c>
      <c r="K7379" t="n">
        <v>0</v>
      </c>
      <c r="L7379" t="n">
        <v>0</v>
      </c>
      <c r="M7379" t="n">
        <v>0</v>
      </c>
      <c r="AC7379" t="n">
        <v>0</v>
      </c>
      <c r="AD7379" t="n">
        <v>0</v>
      </c>
      <c r="AE7379" t="n">
        <v>0</v>
      </c>
      <c r="AF7379" t="n">
        <v>0</v>
      </c>
      <c r="AG7379" t="n">
        <v>0</v>
      </c>
      <c r="AH7379" t="n">
        <v>0</v>
      </c>
    </row>
    <row r="7380">
      <c r="A7380" t="inlineStr">
        <is>
          <t>12월</t>
        </is>
      </c>
      <c r="B7380" t="inlineStr">
        <is>
          <t>52주차</t>
        </is>
      </c>
      <c r="C7380" t="e">
        <v>#N/A</v>
      </c>
      <c r="K7380" t="n">
        <v>0</v>
      </c>
      <c r="L7380" t="n">
        <v>0</v>
      </c>
      <c r="M7380" t="n">
        <v>0</v>
      </c>
      <c r="AC7380" t="n">
        <v>0</v>
      </c>
      <c r="AD7380" t="n">
        <v>0</v>
      </c>
      <c r="AE7380" t="n">
        <v>0</v>
      </c>
      <c r="AF7380" t="n">
        <v>0</v>
      </c>
      <c r="AG7380" t="n">
        <v>0</v>
      </c>
      <c r="AH7380" t="n">
        <v>0</v>
      </c>
      <c r="AI7380" t="n">
        <v>0</v>
      </c>
    </row>
    <row r="7381">
      <c r="A7381" t="inlineStr">
        <is>
          <t>12월</t>
        </is>
      </c>
      <c r="B7381" t="inlineStr">
        <is>
          <t>52주차</t>
        </is>
      </c>
      <c r="C7381" t="e">
        <v>#N/A</v>
      </c>
      <c r="K7381" t="n">
        <v>0</v>
      </c>
      <c r="L7381" t="n">
        <v>0</v>
      </c>
      <c r="M7381" t="n">
        <v>0</v>
      </c>
      <c r="AC7381" t="n">
        <v>0</v>
      </c>
      <c r="AD7381" t="n">
        <v>0</v>
      </c>
      <c r="AE7381" t="n">
        <v>0</v>
      </c>
      <c r="AF7381" t="n">
        <v>0</v>
      </c>
      <c r="AG7381" t="n">
        <v>0</v>
      </c>
      <c r="AH7381" t="n">
        <v>0</v>
      </c>
      <c r="AI7381" t="n">
        <v>0</v>
      </c>
    </row>
    <row r="7382">
      <c r="A7382" t="inlineStr">
        <is>
          <t>12월</t>
        </is>
      </c>
      <c r="B7382" t="inlineStr">
        <is>
          <t>52주차</t>
        </is>
      </c>
      <c r="C7382" t="e">
        <v>#N/A</v>
      </c>
      <c r="K7382" t="n">
        <v>0</v>
      </c>
      <c r="L7382" t="n">
        <v>0</v>
      </c>
      <c r="M7382" t="n">
        <v>0</v>
      </c>
      <c r="AC7382" t="n">
        <v>0</v>
      </c>
      <c r="AD7382" t="n">
        <v>0</v>
      </c>
      <c r="AE7382" t="n">
        <v>0</v>
      </c>
      <c r="AF7382" t="n">
        <v>0</v>
      </c>
      <c r="AG7382" t="n">
        <v>0</v>
      </c>
      <c r="AH7382" t="n">
        <v>0</v>
      </c>
      <c r="AI7382" t="n">
        <v>0</v>
      </c>
    </row>
    <row r="7383">
      <c r="A7383" t="inlineStr">
        <is>
          <t>12월</t>
        </is>
      </c>
      <c r="B7383" t="inlineStr">
        <is>
          <t>52주차</t>
        </is>
      </c>
      <c r="C7383" t="e">
        <v>#N/A</v>
      </c>
      <c r="K7383" t="n">
        <v>0</v>
      </c>
      <c r="L7383" t="n">
        <v>0</v>
      </c>
      <c r="M7383" t="n">
        <v>0</v>
      </c>
      <c r="AC7383" t="n">
        <v>0</v>
      </c>
      <c r="AD7383" t="n">
        <v>0</v>
      </c>
      <c r="AE7383" t="n">
        <v>0</v>
      </c>
      <c r="AF7383" t="n">
        <v>0</v>
      </c>
      <c r="AG7383" t="n">
        <v>0</v>
      </c>
      <c r="AH7383" t="n">
        <v>0</v>
      </c>
    </row>
    <row r="7384">
      <c r="A7384" t="inlineStr">
        <is>
          <t>12월</t>
        </is>
      </c>
      <c r="B7384" t="inlineStr">
        <is>
          <t>52주차</t>
        </is>
      </c>
      <c r="C7384" t="e">
        <v>#N/A</v>
      </c>
      <c r="K7384" t="n">
        <v>0</v>
      </c>
      <c r="L7384" t="n">
        <v>0</v>
      </c>
      <c r="M7384" t="n">
        <v>0</v>
      </c>
      <c r="AC7384" t="n">
        <v>0</v>
      </c>
      <c r="AD7384" t="n">
        <v>0</v>
      </c>
      <c r="AE7384" t="n">
        <v>0</v>
      </c>
      <c r="AF7384" t="n">
        <v>0</v>
      </c>
      <c r="AG7384" t="n">
        <v>0</v>
      </c>
      <c r="AH7384" t="n">
        <v>0</v>
      </c>
      <c r="AI7384" t="n">
        <v>0</v>
      </c>
    </row>
    <row r="7385">
      <c r="A7385" t="inlineStr">
        <is>
          <t>12월</t>
        </is>
      </c>
      <c r="B7385" t="inlineStr">
        <is>
          <t>52주차</t>
        </is>
      </c>
      <c r="C7385" t="e">
        <v>#N/A</v>
      </c>
      <c r="K7385" t="n">
        <v>0</v>
      </c>
      <c r="L7385" t="n">
        <v>0</v>
      </c>
      <c r="M7385" t="n">
        <v>0</v>
      </c>
      <c r="AC7385" t="n">
        <v>0</v>
      </c>
      <c r="AD7385" t="n">
        <v>0</v>
      </c>
      <c r="AE7385" t="n">
        <v>0</v>
      </c>
      <c r="AF7385" t="n">
        <v>0</v>
      </c>
      <c r="AG7385" t="n">
        <v>0</v>
      </c>
      <c r="AH7385" t="n">
        <v>0</v>
      </c>
      <c r="AI7385" t="n">
        <v>0</v>
      </c>
    </row>
    <row r="7386">
      <c r="A7386" t="inlineStr">
        <is>
          <t>12월</t>
        </is>
      </c>
      <c r="B7386" t="inlineStr">
        <is>
          <t>52주차</t>
        </is>
      </c>
      <c r="C7386" t="e">
        <v>#N/A</v>
      </c>
      <c r="K7386" t="n">
        <v>0</v>
      </c>
      <c r="L7386" t="n">
        <v>0</v>
      </c>
      <c r="M7386" t="n">
        <v>0</v>
      </c>
      <c r="AC7386" t="n">
        <v>0</v>
      </c>
      <c r="AD7386" t="n">
        <v>0</v>
      </c>
      <c r="AE7386" t="n">
        <v>0</v>
      </c>
      <c r="AF7386" t="n">
        <v>0</v>
      </c>
      <c r="AG7386" t="n">
        <v>0</v>
      </c>
      <c r="AH7386" t="n">
        <v>0</v>
      </c>
      <c r="AI7386" t="n">
        <v>0</v>
      </c>
    </row>
    <row r="7387">
      <c r="A7387" t="inlineStr">
        <is>
          <t>12월</t>
        </is>
      </c>
      <c r="B7387" t="inlineStr">
        <is>
          <t>52주차</t>
        </is>
      </c>
      <c r="C7387" t="e">
        <v>#N/A</v>
      </c>
      <c r="K7387" t="n">
        <v>0</v>
      </c>
      <c r="L7387" t="n">
        <v>0</v>
      </c>
      <c r="M7387" t="n">
        <v>0</v>
      </c>
      <c r="AC7387" t="n">
        <v>0</v>
      </c>
      <c r="AD7387" t="n">
        <v>0</v>
      </c>
      <c r="AE7387" t="n">
        <v>0</v>
      </c>
      <c r="AF7387" t="n">
        <v>0</v>
      </c>
      <c r="AG7387" t="n">
        <v>0</v>
      </c>
      <c r="AH7387" t="n">
        <v>0</v>
      </c>
      <c r="AI7387" t="n">
        <v>0</v>
      </c>
    </row>
    <row r="7388">
      <c r="A7388" t="inlineStr">
        <is>
          <t>12월</t>
        </is>
      </c>
      <c r="B7388" t="inlineStr">
        <is>
          <t>52주차</t>
        </is>
      </c>
      <c r="C7388" t="e">
        <v>#N/A</v>
      </c>
      <c r="K7388" t="n">
        <v>0</v>
      </c>
      <c r="L7388" t="n">
        <v>0</v>
      </c>
      <c r="M7388" t="n">
        <v>0</v>
      </c>
      <c r="AC7388" t="n">
        <v>0</v>
      </c>
      <c r="AD7388" t="n">
        <v>0</v>
      </c>
      <c r="AE7388" t="n">
        <v>0</v>
      </c>
      <c r="AF7388" t="n">
        <v>0</v>
      </c>
      <c r="AG7388" t="n">
        <v>0</v>
      </c>
      <c r="AH7388" t="n">
        <v>0</v>
      </c>
    </row>
    <row r="7389">
      <c r="A7389" t="inlineStr">
        <is>
          <t>12월</t>
        </is>
      </c>
      <c r="B7389" t="inlineStr">
        <is>
          <t>52주차</t>
        </is>
      </c>
      <c r="C7389" t="e">
        <v>#N/A</v>
      </c>
      <c r="K7389" t="n">
        <v>0</v>
      </c>
      <c r="L7389" t="n">
        <v>0</v>
      </c>
      <c r="M7389" t="n">
        <v>0</v>
      </c>
      <c r="AC7389" t="n">
        <v>0</v>
      </c>
      <c r="AD7389" t="n">
        <v>0</v>
      </c>
      <c r="AE7389" t="n">
        <v>0</v>
      </c>
      <c r="AF7389" t="n">
        <v>0</v>
      </c>
      <c r="AG7389" t="n">
        <v>0</v>
      </c>
      <c r="AH7389" t="n">
        <v>0</v>
      </c>
      <c r="AI7389" t="n">
        <v>0</v>
      </c>
    </row>
    <row r="7390">
      <c r="A7390" t="inlineStr">
        <is>
          <t>12월</t>
        </is>
      </c>
      <c r="B7390" t="inlineStr">
        <is>
          <t>52주차</t>
        </is>
      </c>
      <c r="C7390" t="e">
        <v>#N/A</v>
      </c>
      <c r="K7390" t="n">
        <v>0</v>
      </c>
      <c r="L7390" t="n">
        <v>0</v>
      </c>
      <c r="M7390" t="n">
        <v>0</v>
      </c>
      <c r="AC7390" t="n">
        <v>0</v>
      </c>
      <c r="AD7390" t="n">
        <v>0</v>
      </c>
      <c r="AE7390" t="n">
        <v>0</v>
      </c>
      <c r="AF7390" t="n">
        <v>0</v>
      </c>
      <c r="AG7390" t="n">
        <v>0</v>
      </c>
      <c r="AH7390" t="n">
        <v>0</v>
      </c>
    </row>
    <row r="7391">
      <c r="A7391" t="inlineStr">
        <is>
          <t>12월</t>
        </is>
      </c>
      <c r="B7391" t="inlineStr">
        <is>
          <t>52주차</t>
        </is>
      </c>
      <c r="C7391" t="e">
        <v>#N/A</v>
      </c>
      <c r="K7391" t="n">
        <v>0</v>
      </c>
      <c r="L7391" t="n">
        <v>0</v>
      </c>
      <c r="M7391" t="n">
        <v>0</v>
      </c>
      <c r="AC7391" t="n">
        <v>0</v>
      </c>
      <c r="AD7391" t="n">
        <v>0</v>
      </c>
      <c r="AE7391" t="n">
        <v>0</v>
      </c>
      <c r="AF7391" t="n">
        <v>0</v>
      </c>
      <c r="AG7391" t="n">
        <v>0</v>
      </c>
      <c r="AH7391" t="n">
        <v>0</v>
      </c>
    </row>
    <row r="7392">
      <c r="A7392" t="inlineStr">
        <is>
          <t>12월</t>
        </is>
      </c>
      <c r="B7392" t="inlineStr">
        <is>
          <t>52주차</t>
        </is>
      </c>
      <c r="C7392" t="e">
        <v>#N/A</v>
      </c>
      <c r="K7392" t="n">
        <v>0</v>
      </c>
      <c r="L7392" t="n">
        <v>0</v>
      </c>
      <c r="M7392" t="n">
        <v>0</v>
      </c>
      <c r="AC7392" t="n">
        <v>0</v>
      </c>
      <c r="AD7392" t="n">
        <v>0</v>
      </c>
      <c r="AE7392" t="n">
        <v>0</v>
      </c>
      <c r="AF7392" t="n">
        <v>0</v>
      </c>
      <c r="AG7392" t="n">
        <v>0</v>
      </c>
      <c r="AH7392" t="n">
        <v>0</v>
      </c>
    </row>
    <row r="7393">
      <c r="A7393" t="inlineStr">
        <is>
          <t>12월</t>
        </is>
      </c>
      <c r="B7393" t="inlineStr">
        <is>
          <t>52주차</t>
        </is>
      </c>
      <c r="C7393" t="e">
        <v>#N/A</v>
      </c>
      <c r="K7393" t="n">
        <v>0</v>
      </c>
      <c r="L7393" t="n">
        <v>0</v>
      </c>
      <c r="M7393" t="n">
        <v>0</v>
      </c>
      <c r="AC7393" t="n">
        <v>0</v>
      </c>
      <c r="AD7393" t="n">
        <v>0</v>
      </c>
      <c r="AE7393" t="n">
        <v>0</v>
      </c>
      <c r="AF7393" t="n">
        <v>0</v>
      </c>
      <c r="AG7393" t="n">
        <v>0</v>
      </c>
      <c r="AH7393" t="n">
        <v>0</v>
      </c>
    </row>
    <row r="7394">
      <c r="A7394" t="inlineStr">
        <is>
          <t>12월</t>
        </is>
      </c>
      <c r="B7394" t="inlineStr">
        <is>
          <t>52주차</t>
        </is>
      </c>
      <c r="C7394" t="e">
        <v>#N/A</v>
      </c>
      <c r="K7394" t="n">
        <v>0</v>
      </c>
      <c r="L7394" t="n">
        <v>0</v>
      </c>
      <c r="M7394" t="n">
        <v>0</v>
      </c>
      <c r="AC7394" t="n">
        <v>0</v>
      </c>
      <c r="AD7394" t="n">
        <v>0</v>
      </c>
      <c r="AE7394" t="n">
        <v>0</v>
      </c>
      <c r="AF7394" t="n">
        <v>0</v>
      </c>
      <c r="AG7394" t="n">
        <v>0</v>
      </c>
      <c r="AH7394" t="n">
        <v>0</v>
      </c>
    </row>
    <row r="7395">
      <c r="A7395" t="inlineStr">
        <is>
          <t>12월</t>
        </is>
      </c>
      <c r="B7395" t="inlineStr">
        <is>
          <t>52주차</t>
        </is>
      </c>
      <c r="C7395" t="e">
        <v>#N/A</v>
      </c>
      <c r="K7395" t="n">
        <v>0</v>
      </c>
      <c r="L7395" t="n">
        <v>0</v>
      </c>
      <c r="M7395" t="n">
        <v>0</v>
      </c>
      <c r="AC7395" t="n">
        <v>0</v>
      </c>
      <c r="AD7395" t="n">
        <v>0</v>
      </c>
      <c r="AE7395" t="n">
        <v>0</v>
      </c>
      <c r="AF7395" t="n">
        <v>0</v>
      </c>
      <c r="AG7395" t="n">
        <v>0</v>
      </c>
      <c r="AH7395" t="n">
        <v>0</v>
      </c>
    </row>
    <row r="7396">
      <c r="A7396" t="inlineStr">
        <is>
          <t>12월</t>
        </is>
      </c>
      <c r="B7396" t="inlineStr">
        <is>
          <t>52주차</t>
        </is>
      </c>
      <c r="C7396" t="e">
        <v>#N/A</v>
      </c>
      <c r="K7396" t="n">
        <v>0</v>
      </c>
      <c r="L7396" t="n">
        <v>0</v>
      </c>
      <c r="M7396" t="n">
        <v>0</v>
      </c>
      <c r="AC7396" t="n">
        <v>0</v>
      </c>
      <c r="AD7396" t="n">
        <v>0</v>
      </c>
      <c r="AE7396" t="n">
        <v>0</v>
      </c>
      <c r="AF7396" t="n">
        <v>0</v>
      </c>
      <c r="AG7396" t="n">
        <v>0</v>
      </c>
      <c r="AH7396" t="n">
        <v>0</v>
      </c>
    </row>
    <row r="7397">
      <c r="A7397" t="inlineStr">
        <is>
          <t>12월</t>
        </is>
      </c>
      <c r="B7397" t="inlineStr">
        <is>
          <t>52주차</t>
        </is>
      </c>
      <c r="C7397" t="e">
        <v>#N/A</v>
      </c>
      <c r="K7397" t="n">
        <v>0</v>
      </c>
      <c r="L7397" t="n">
        <v>0</v>
      </c>
      <c r="M7397" t="n">
        <v>0</v>
      </c>
      <c r="AC7397" t="n">
        <v>0</v>
      </c>
      <c r="AD7397" t="n">
        <v>0</v>
      </c>
      <c r="AE7397" t="n">
        <v>0</v>
      </c>
      <c r="AF7397" t="n">
        <v>0</v>
      </c>
      <c r="AG7397" t="n">
        <v>0</v>
      </c>
      <c r="AH7397" t="n">
        <v>0</v>
      </c>
    </row>
    <row r="7398">
      <c r="A7398" t="inlineStr">
        <is>
          <t>12월</t>
        </is>
      </c>
      <c r="B7398" t="inlineStr">
        <is>
          <t>52주차</t>
        </is>
      </c>
      <c r="C7398" t="e">
        <v>#N/A</v>
      </c>
      <c r="K7398" t="n">
        <v>0</v>
      </c>
      <c r="L7398" t="n">
        <v>0</v>
      </c>
      <c r="M7398" t="n">
        <v>0</v>
      </c>
      <c r="AC7398" t="n">
        <v>0</v>
      </c>
      <c r="AD7398" t="n">
        <v>0</v>
      </c>
      <c r="AE7398" t="n">
        <v>0</v>
      </c>
      <c r="AF7398" t="n">
        <v>0</v>
      </c>
      <c r="AG7398" t="n">
        <v>0</v>
      </c>
      <c r="AH7398" t="n">
        <v>0</v>
      </c>
    </row>
    <row r="7399">
      <c r="A7399" t="inlineStr">
        <is>
          <t>12월</t>
        </is>
      </c>
      <c r="B7399" t="inlineStr">
        <is>
          <t>52주차</t>
        </is>
      </c>
      <c r="C7399" t="e">
        <v>#N/A</v>
      </c>
      <c r="K7399" t="n">
        <v>0</v>
      </c>
      <c r="L7399" t="n">
        <v>0</v>
      </c>
      <c r="M7399" t="n">
        <v>0</v>
      </c>
      <c r="AC7399" t="n">
        <v>0</v>
      </c>
      <c r="AD7399" t="n">
        <v>0</v>
      </c>
      <c r="AE7399" t="n">
        <v>0</v>
      </c>
      <c r="AF7399" t="n">
        <v>0</v>
      </c>
      <c r="AG7399" t="n">
        <v>0</v>
      </c>
      <c r="AH7399" t="n">
        <v>0</v>
      </c>
    </row>
    <row r="7400">
      <c r="A7400" t="inlineStr">
        <is>
          <t>12월</t>
        </is>
      </c>
      <c r="B7400" t="inlineStr">
        <is>
          <t>52주차</t>
        </is>
      </c>
      <c r="C7400" t="e">
        <v>#N/A</v>
      </c>
      <c r="K7400" t="n">
        <v>0</v>
      </c>
      <c r="L7400" t="n">
        <v>0</v>
      </c>
      <c r="M7400" t="n">
        <v>0</v>
      </c>
      <c r="AC7400" t="n">
        <v>0</v>
      </c>
      <c r="AD7400" t="n">
        <v>0</v>
      </c>
      <c r="AE7400" t="n">
        <v>0</v>
      </c>
      <c r="AF7400" t="n">
        <v>0</v>
      </c>
      <c r="AG7400" t="n">
        <v>0</v>
      </c>
      <c r="AH7400" t="n">
        <v>0</v>
      </c>
    </row>
    <row r="7401">
      <c r="A7401" t="inlineStr">
        <is>
          <t>12월</t>
        </is>
      </c>
      <c r="B7401" t="inlineStr">
        <is>
          <t>52주차</t>
        </is>
      </c>
      <c r="C7401" t="e">
        <v>#N/A</v>
      </c>
      <c r="K7401" t="n">
        <v>0</v>
      </c>
      <c r="L7401" t="n">
        <v>0</v>
      </c>
      <c r="M7401" t="n">
        <v>0</v>
      </c>
      <c r="AC7401" t="n">
        <v>0</v>
      </c>
      <c r="AD7401" t="n">
        <v>0</v>
      </c>
      <c r="AE7401" t="n">
        <v>0</v>
      </c>
      <c r="AF7401" t="n">
        <v>0</v>
      </c>
      <c r="AG7401" t="n">
        <v>0</v>
      </c>
      <c r="AH7401" t="n">
        <v>0</v>
      </c>
    </row>
    <row r="7402">
      <c r="A7402" t="inlineStr">
        <is>
          <t>12월</t>
        </is>
      </c>
      <c r="B7402" t="inlineStr">
        <is>
          <t>52주차</t>
        </is>
      </c>
      <c r="C7402" t="e">
        <v>#N/A</v>
      </c>
      <c r="K7402" t="n">
        <v>0</v>
      </c>
      <c r="L7402" t="n">
        <v>0</v>
      </c>
      <c r="M7402" t="n">
        <v>0</v>
      </c>
      <c r="AC7402" t="n">
        <v>0</v>
      </c>
      <c r="AD7402" t="n">
        <v>0</v>
      </c>
      <c r="AE7402" t="n">
        <v>0</v>
      </c>
      <c r="AF7402" t="n">
        <v>0</v>
      </c>
      <c r="AG7402" t="n">
        <v>0</v>
      </c>
      <c r="AH7402" t="n">
        <v>0</v>
      </c>
    </row>
    <row r="7403">
      <c r="A7403" t="inlineStr">
        <is>
          <t>12월</t>
        </is>
      </c>
      <c r="B7403" t="inlineStr">
        <is>
          <t>52주차</t>
        </is>
      </c>
      <c r="C7403" t="e">
        <v>#N/A</v>
      </c>
      <c r="K7403" t="n">
        <v>0</v>
      </c>
      <c r="L7403" t="n">
        <v>0</v>
      </c>
      <c r="M7403" t="n">
        <v>0</v>
      </c>
      <c r="AC7403" t="n">
        <v>0</v>
      </c>
      <c r="AD7403" t="n">
        <v>0</v>
      </c>
      <c r="AE7403" t="n">
        <v>0</v>
      </c>
      <c r="AF7403" t="n">
        <v>0</v>
      </c>
      <c r="AG7403" t="n">
        <v>0</v>
      </c>
      <c r="AH7403" t="n">
        <v>0</v>
      </c>
    </row>
    <row r="7404">
      <c r="A7404" t="inlineStr">
        <is>
          <t>12월</t>
        </is>
      </c>
      <c r="B7404" t="inlineStr">
        <is>
          <t>52주차</t>
        </is>
      </c>
      <c r="C7404" t="e">
        <v>#N/A</v>
      </c>
      <c r="K7404" t="n">
        <v>0</v>
      </c>
      <c r="L7404" t="n">
        <v>0</v>
      </c>
      <c r="M7404" t="n">
        <v>0</v>
      </c>
      <c r="AC7404" t="n">
        <v>0</v>
      </c>
      <c r="AD7404" t="n">
        <v>0</v>
      </c>
      <c r="AE7404" t="n">
        <v>0</v>
      </c>
      <c r="AF7404" t="n">
        <v>0</v>
      </c>
      <c r="AG7404" t="n">
        <v>0</v>
      </c>
      <c r="AH7404" t="n">
        <v>0</v>
      </c>
    </row>
    <row r="7405">
      <c r="A7405" t="inlineStr">
        <is>
          <t>12월</t>
        </is>
      </c>
      <c r="B7405" t="inlineStr">
        <is>
          <t>52주차</t>
        </is>
      </c>
      <c r="C7405" t="e">
        <v>#N/A</v>
      </c>
      <c r="K7405" t="n">
        <v>0</v>
      </c>
      <c r="L7405" t="n">
        <v>0</v>
      </c>
      <c r="M7405" t="n">
        <v>0</v>
      </c>
      <c r="AC7405" t="n">
        <v>0</v>
      </c>
      <c r="AD7405" t="n">
        <v>0</v>
      </c>
      <c r="AE7405" t="n">
        <v>0</v>
      </c>
      <c r="AF7405" t="n">
        <v>0</v>
      </c>
      <c r="AG7405" t="n">
        <v>0</v>
      </c>
      <c r="AH7405" t="n">
        <v>0</v>
      </c>
    </row>
    <row r="7406">
      <c r="A7406" t="inlineStr">
        <is>
          <t>12월</t>
        </is>
      </c>
      <c r="B7406" t="inlineStr">
        <is>
          <t>52주차</t>
        </is>
      </c>
      <c r="C7406" t="e">
        <v>#N/A</v>
      </c>
      <c r="K7406" t="n">
        <v>0</v>
      </c>
      <c r="L7406" t="n">
        <v>0</v>
      </c>
      <c r="M7406" t="n">
        <v>0</v>
      </c>
      <c r="AC7406" t="n">
        <v>0</v>
      </c>
      <c r="AD7406" t="n">
        <v>0</v>
      </c>
      <c r="AE7406" t="n">
        <v>0</v>
      </c>
      <c r="AF7406" t="n">
        <v>0</v>
      </c>
      <c r="AG7406" t="n">
        <v>0</v>
      </c>
      <c r="AH7406" t="n">
        <v>0</v>
      </c>
    </row>
    <row r="7407">
      <c r="A7407" t="inlineStr">
        <is>
          <t>12월</t>
        </is>
      </c>
      <c r="B7407" t="inlineStr">
        <is>
          <t>52주차</t>
        </is>
      </c>
      <c r="C7407" t="e">
        <v>#N/A</v>
      </c>
      <c r="K7407" t="n">
        <v>0</v>
      </c>
      <c r="L7407" t="n">
        <v>0</v>
      </c>
      <c r="M7407" t="n">
        <v>0</v>
      </c>
      <c r="AC7407" t="n">
        <v>0</v>
      </c>
      <c r="AD7407" t="n">
        <v>0</v>
      </c>
      <c r="AE7407" t="n">
        <v>0</v>
      </c>
      <c r="AF7407" t="n">
        <v>0</v>
      </c>
      <c r="AG7407" t="n">
        <v>0</v>
      </c>
      <c r="AH7407" t="n">
        <v>0</v>
      </c>
      <c r="AI7407" t="n">
        <v>0</v>
      </c>
    </row>
    <row r="7408">
      <c r="A7408" t="inlineStr">
        <is>
          <t>12월</t>
        </is>
      </c>
      <c r="B7408" t="inlineStr">
        <is>
          <t>52주차</t>
        </is>
      </c>
      <c r="C7408" t="e">
        <v>#N/A</v>
      </c>
      <c r="K7408" t="n">
        <v>0</v>
      </c>
      <c r="L7408" t="n">
        <v>0</v>
      </c>
      <c r="M7408" t="n">
        <v>0</v>
      </c>
      <c r="AC7408" t="n">
        <v>0</v>
      </c>
      <c r="AD7408" t="n">
        <v>0</v>
      </c>
      <c r="AE7408" t="n">
        <v>0</v>
      </c>
      <c r="AF7408" t="n">
        <v>0</v>
      </c>
      <c r="AG7408" t="n">
        <v>0</v>
      </c>
      <c r="AH7408" t="n">
        <v>0</v>
      </c>
      <c r="AI7408" t="n">
        <v>0</v>
      </c>
    </row>
    <row r="7409">
      <c r="A7409" t="inlineStr">
        <is>
          <t>12월</t>
        </is>
      </c>
      <c r="B7409" t="inlineStr">
        <is>
          <t>52주차</t>
        </is>
      </c>
      <c r="C7409" t="e">
        <v>#N/A</v>
      </c>
      <c r="K7409" t="n">
        <v>0</v>
      </c>
      <c r="L7409" t="n">
        <v>0</v>
      </c>
      <c r="M7409" t="n">
        <v>0</v>
      </c>
      <c r="AC7409" t="n">
        <v>0</v>
      </c>
      <c r="AD7409" t="n">
        <v>0</v>
      </c>
      <c r="AE7409" t="n">
        <v>0</v>
      </c>
      <c r="AF7409" t="n">
        <v>0</v>
      </c>
      <c r="AG7409" t="n">
        <v>0</v>
      </c>
      <c r="AH7409" t="n">
        <v>0</v>
      </c>
      <c r="AI7409" t="n">
        <v>0</v>
      </c>
    </row>
    <row r="7410">
      <c r="A7410" t="inlineStr">
        <is>
          <t>12월</t>
        </is>
      </c>
      <c r="B7410" t="inlineStr">
        <is>
          <t>52주차</t>
        </is>
      </c>
      <c r="C7410" t="e">
        <v>#N/A</v>
      </c>
      <c r="K7410" t="n">
        <v>0</v>
      </c>
      <c r="L7410" t="n">
        <v>0</v>
      </c>
      <c r="M7410" t="n">
        <v>0</v>
      </c>
      <c r="AC7410" t="n">
        <v>0</v>
      </c>
      <c r="AD7410" t="n">
        <v>0</v>
      </c>
      <c r="AE7410" t="n">
        <v>0</v>
      </c>
      <c r="AF7410" t="n">
        <v>0</v>
      </c>
      <c r="AG7410" t="n">
        <v>0</v>
      </c>
      <c r="AH7410" t="n">
        <v>0</v>
      </c>
      <c r="AI7410" t="n">
        <v>0</v>
      </c>
    </row>
    <row r="7411">
      <c r="A7411" t="inlineStr">
        <is>
          <t>12월</t>
        </is>
      </c>
      <c r="B7411" t="inlineStr">
        <is>
          <t>52주차</t>
        </is>
      </c>
      <c r="C7411" t="e">
        <v>#N/A</v>
      </c>
      <c r="K7411" t="n">
        <v>0</v>
      </c>
      <c r="L7411" t="n">
        <v>0</v>
      </c>
      <c r="M7411" t="n">
        <v>0</v>
      </c>
      <c r="AC7411" t="n">
        <v>0</v>
      </c>
      <c r="AD7411" t="n">
        <v>0</v>
      </c>
      <c r="AE7411" t="n">
        <v>0</v>
      </c>
      <c r="AF7411" t="n">
        <v>0</v>
      </c>
      <c r="AG7411" t="n">
        <v>0</v>
      </c>
      <c r="AH7411" t="n">
        <v>0</v>
      </c>
      <c r="AI7411" t="n">
        <v>0</v>
      </c>
    </row>
    <row r="7412">
      <c r="A7412" t="inlineStr">
        <is>
          <t>12월</t>
        </is>
      </c>
      <c r="B7412" t="inlineStr">
        <is>
          <t>52주차</t>
        </is>
      </c>
      <c r="C7412" t="e">
        <v>#N/A</v>
      </c>
      <c r="K7412" t="n">
        <v>0</v>
      </c>
      <c r="L7412" t="n">
        <v>0</v>
      </c>
      <c r="M7412" t="n">
        <v>0</v>
      </c>
      <c r="AC7412" t="n">
        <v>0</v>
      </c>
      <c r="AD7412" t="n">
        <v>0</v>
      </c>
      <c r="AE7412" t="n">
        <v>0</v>
      </c>
      <c r="AF7412" t="n">
        <v>0</v>
      </c>
      <c r="AG7412" t="n">
        <v>0</v>
      </c>
      <c r="AH7412" t="n">
        <v>0</v>
      </c>
      <c r="AI7412" t="n">
        <v>0</v>
      </c>
    </row>
    <row r="7413">
      <c r="A7413" t="inlineStr">
        <is>
          <t>12월</t>
        </is>
      </c>
      <c r="B7413" t="inlineStr">
        <is>
          <t>52주차</t>
        </is>
      </c>
      <c r="C7413" t="e">
        <v>#N/A</v>
      </c>
      <c r="K7413" t="n">
        <v>0</v>
      </c>
      <c r="L7413" t="n">
        <v>0</v>
      </c>
      <c r="M7413" t="n">
        <v>0</v>
      </c>
      <c r="AC7413" t="n">
        <v>0</v>
      </c>
      <c r="AD7413" t="n">
        <v>0</v>
      </c>
      <c r="AE7413" t="n">
        <v>0</v>
      </c>
      <c r="AF7413" t="n">
        <v>0</v>
      </c>
      <c r="AG7413" t="n">
        <v>0</v>
      </c>
      <c r="AH7413" t="n">
        <v>0</v>
      </c>
      <c r="AI7413" t="n">
        <v>0</v>
      </c>
    </row>
    <row r="7414">
      <c r="A7414" t="inlineStr">
        <is>
          <t>12월</t>
        </is>
      </c>
      <c r="B7414" t="inlineStr">
        <is>
          <t>52주차</t>
        </is>
      </c>
      <c r="C7414" t="e">
        <v>#N/A</v>
      </c>
      <c r="K7414" t="n">
        <v>0</v>
      </c>
      <c r="L7414" t="n">
        <v>0</v>
      </c>
      <c r="M7414" t="n">
        <v>0</v>
      </c>
      <c r="AC7414" t="n">
        <v>0</v>
      </c>
      <c r="AD7414" t="n">
        <v>0</v>
      </c>
      <c r="AE7414" t="n">
        <v>0</v>
      </c>
      <c r="AF7414" t="n">
        <v>0</v>
      </c>
      <c r="AG7414" t="n">
        <v>0</v>
      </c>
      <c r="AH7414" t="n">
        <v>0</v>
      </c>
      <c r="AI7414" t="n">
        <v>0</v>
      </c>
    </row>
    <row r="7415">
      <c r="A7415" t="inlineStr">
        <is>
          <t>12월</t>
        </is>
      </c>
      <c r="B7415" t="inlineStr">
        <is>
          <t>52주차</t>
        </is>
      </c>
      <c r="C7415" t="e">
        <v>#N/A</v>
      </c>
      <c r="K7415" t="n">
        <v>0</v>
      </c>
      <c r="L7415" t="n">
        <v>0</v>
      </c>
      <c r="M7415" t="n">
        <v>0</v>
      </c>
      <c r="AC7415" t="n">
        <v>0</v>
      </c>
      <c r="AD7415" t="n">
        <v>0</v>
      </c>
      <c r="AE7415" t="n">
        <v>0</v>
      </c>
      <c r="AF7415" t="n">
        <v>0</v>
      </c>
      <c r="AG7415" t="n">
        <v>0</v>
      </c>
      <c r="AH7415" t="n">
        <v>0</v>
      </c>
      <c r="AI7415" t="n">
        <v>0</v>
      </c>
    </row>
    <row r="7416">
      <c r="A7416" t="inlineStr">
        <is>
          <t>12월</t>
        </is>
      </c>
      <c r="B7416" t="inlineStr">
        <is>
          <t>52주차</t>
        </is>
      </c>
      <c r="C7416" t="e">
        <v>#N/A</v>
      </c>
      <c r="K7416" t="n">
        <v>0</v>
      </c>
      <c r="L7416" t="n">
        <v>0</v>
      </c>
      <c r="M7416" t="n">
        <v>0</v>
      </c>
      <c r="AC7416" t="n">
        <v>0</v>
      </c>
      <c r="AD7416" t="n">
        <v>0</v>
      </c>
      <c r="AE7416" t="n">
        <v>0</v>
      </c>
      <c r="AF7416" t="n">
        <v>0</v>
      </c>
      <c r="AG7416" t="n">
        <v>0</v>
      </c>
      <c r="AH7416" t="n">
        <v>0</v>
      </c>
      <c r="AI7416" t="n">
        <v>0</v>
      </c>
    </row>
    <row r="7417">
      <c r="A7417" t="inlineStr">
        <is>
          <t>12월</t>
        </is>
      </c>
      <c r="B7417" t="inlineStr">
        <is>
          <t>52주차</t>
        </is>
      </c>
      <c r="C7417" t="e">
        <v>#N/A</v>
      </c>
      <c r="K7417" t="n">
        <v>0</v>
      </c>
      <c r="L7417" t="n">
        <v>0</v>
      </c>
      <c r="M7417" t="n">
        <v>0</v>
      </c>
      <c r="AC7417" t="n">
        <v>0</v>
      </c>
      <c r="AD7417" t="n">
        <v>0</v>
      </c>
      <c r="AE7417" t="n">
        <v>0</v>
      </c>
      <c r="AF7417" t="n">
        <v>0</v>
      </c>
      <c r="AG7417" t="n">
        <v>0</v>
      </c>
      <c r="AH7417" t="n">
        <v>0</v>
      </c>
      <c r="AI7417" t="n">
        <v>0</v>
      </c>
    </row>
    <row r="7418">
      <c r="A7418" t="inlineStr">
        <is>
          <t>12월</t>
        </is>
      </c>
      <c r="B7418" t="inlineStr">
        <is>
          <t>52주차</t>
        </is>
      </c>
      <c r="C7418" t="e">
        <v>#N/A</v>
      </c>
      <c r="K7418" t="n">
        <v>0</v>
      </c>
      <c r="L7418" t="n">
        <v>0</v>
      </c>
      <c r="M7418" t="n">
        <v>0</v>
      </c>
      <c r="AC7418" t="n">
        <v>0</v>
      </c>
      <c r="AD7418" t="n">
        <v>0</v>
      </c>
      <c r="AE7418" t="n">
        <v>0</v>
      </c>
      <c r="AF7418" t="n">
        <v>0</v>
      </c>
      <c r="AG7418" t="n">
        <v>0</v>
      </c>
      <c r="AH7418" t="n">
        <v>0</v>
      </c>
      <c r="AI7418" t="n">
        <v>0</v>
      </c>
    </row>
    <row r="7419">
      <c r="A7419" t="inlineStr">
        <is>
          <t>12월</t>
        </is>
      </c>
      <c r="B7419" t="inlineStr">
        <is>
          <t>52주차</t>
        </is>
      </c>
      <c r="C7419" t="e">
        <v>#N/A</v>
      </c>
      <c r="K7419" t="n">
        <v>0</v>
      </c>
      <c r="L7419" t="n">
        <v>0</v>
      </c>
      <c r="M7419" t="n">
        <v>0</v>
      </c>
      <c r="AC7419" t="n">
        <v>0</v>
      </c>
      <c r="AD7419" t="n">
        <v>0</v>
      </c>
      <c r="AE7419" t="n">
        <v>0</v>
      </c>
      <c r="AF7419" t="n">
        <v>0</v>
      </c>
      <c r="AG7419" t="n">
        <v>0</v>
      </c>
      <c r="AH7419" t="n">
        <v>0</v>
      </c>
      <c r="AI7419" t="n">
        <v>0</v>
      </c>
    </row>
    <row r="7420">
      <c r="A7420" t="inlineStr">
        <is>
          <t>12월</t>
        </is>
      </c>
      <c r="B7420" t="inlineStr">
        <is>
          <t>52주차</t>
        </is>
      </c>
      <c r="C7420" t="e">
        <v>#N/A</v>
      </c>
      <c r="K7420" t="n">
        <v>0</v>
      </c>
      <c r="L7420" t="n">
        <v>0</v>
      </c>
      <c r="M7420" t="n">
        <v>0</v>
      </c>
      <c r="AC7420" t="n">
        <v>0</v>
      </c>
      <c r="AD7420" t="n">
        <v>0</v>
      </c>
      <c r="AE7420" t="n">
        <v>0</v>
      </c>
      <c r="AF7420" t="n">
        <v>0</v>
      </c>
      <c r="AG7420" t="n">
        <v>0</v>
      </c>
      <c r="AH7420" t="n">
        <v>0</v>
      </c>
      <c r="AI7420" t="n">
        <v>0</v>
      </c>
    </row>
    <row r="7421">
      <c r="A7421" t="inlineStr">
        <is>
          <t>12월</t>
        </is>
      </c>
      <c r="B7421" t="inlineStr">
        <is>
          <t>52주차</t>
        </is>
      </c>
      <c r="C7421" t="e">
        <v>#N/A</v>
      </c>
      <c r="K7421" t="n">
        <v>0</v>
      </c>
      <c r="L7421" t="n">
        <v>0</v>
      </c>
      <c r="M7421" t="n">
        <v>0</v>
      </c>
      <c r="AC7421" t="n">
        <v>0</v>
      </c>
      <c r="AD7421" t="n">
        <v>0</v>
      </c>
      <c r="AE7421" t="n">
        <v>0</v>
      </c>
      <c r="AF7421" t="n">
        <v>0</v>
      </c>
      <c r="AG7421" t="n">
        <v>0</v>
      </c>
      <c r="AH7421" t="n">
        <v>0</v>
      </c>
      <c r="AI7421" t="n">
        <v>0</v>
      </c>
    </row>
    <row r="7422">
      <c r="A7422" t="inlineStr">
        <is>
          <t>12월</t>
        </is>
      </c>
      <c r="B7422" t="inlineStr">
        <is>
          <t>52주차</t>
        </is>
      </c>
      <c r="C7422" t="e">
        <v>#N/A</v>
      </c>
      <c r="K7422" t="n">
        <v>0</v>
      </c>
      <c r="L7422" t="n">
        <v>0</v>
      </c>
      <c r="M7422" t="n">
        <v>0</v>
      </c>
      <c r="AC7422" t="n">
        <v>0</v>
      </c>
      <c r="AD7422" t="n">
        <v>0</v>
      </c>
      <c r="AE7422" t="n">
        <v>0</v>
      </c>
      <c r="AF7422" t="n">
        <v>0</v>
      </c>
      <c r="AG7422" t="n">
        <v>0</v>
      </c>
      <c r="AH7422" t="n">
        <v>0</v>
      </c>
    </row>
    <row r="7423">
      <c r="A7423" t="inlineStr">
        <is>
          <t>12월</t>
        </is>
      </c>
      <c r="B7423" t="inlineStr">
        <is>
          <t>52주차</t>
        </is>
      </c>
      <c r="C7423" t="e">
        <v>#N/A</v>
      </c>
      <c r="K7423" t="n">
        <v>0</v>
      </c>
      <c r="L7423" t="n">
        <v>0</v>
      </c>
      <c r="M7423" t="n">
        <v>0</v>
      </c>
      <c r="AC7423" t="n">
        <v>0</v>
      </c>
      <c r="AD7423" t="n">
        <v>0</v>
      </c>
      <c r="AE7423" t="n">
        <v>0</v>
      </c>
      <c r="AF7423" t="n">
        <v>0</v>
      </c>
      <c r="AG7423" t="n">
        <v>0</v>
      </c>
      <c r="AH7423" t="n">
        <v>0</v>
      </c>
    </row>
    <row r="7424">
      <c r="A7424" t="inlineStr">
        <is>
          <t>12월</t>
        </is>
      </c>
      <c r="B7424" t="inlineStr">
        <is>
          <t>52주차</t>
        </is>
      </c>
      <c r="C7424" t="e">
        <v>#N/A</v>
      </c>
      <c r="K7424" t="n">
        <v>0</v>
      </c>
      <c r="L7424" t="n">
        <v>0</v>
      </c>
      <c r="M7424" t="n">
        <v>0</v>
      </c>
      <c r="AC7424" t="n">
        <v>0</v>
      </c>
      <c r="AD7424" t="n">
        <v>0</v>
      </c>
      <c r="AE7424" t="n">
        <v>0</v>
      </c>
      <c r="AF7424" t="n">
        <v>0</v>
      </c>
      <c r="AG7424" t="n">
        <v>0</v>
      </c>
      <c r="AH7424" t="n">
        <v>0</v>
      </c>
    </row>
    <row r="7425">
      <c r="A7425" t="inlineStr">
        <is>
          <t>12월</t>
        </is>
      </c>
      <c r="B7425" t="inlineStr">
        <is>
          <t>52주차</t>
        </is>
      </c>
      <c r="C7425" t="e">
        <v>#N/A</v>
      </c>
      <c r="K7425" t="n">
        <v>0</v>
      </c>
      <c r="L7425" t="n">
        <v>0</v>
      </c>
      <c r="M7425" t="n">
        <v>0</v>
      </c>
      <c r="AC7425" t="n">
        <v>0</v>
      </c>
      <c r="AD7425" t="n">
        <v>0</v>
      </c>
      <c r="AE7425" t="n">
        <v>0</v>
      </c>
      <c r="AF7425" t="n">
        <v>0</v>
      </c>
      <c r="AG7425" t="n">
        <v>0</v>
      </c>
      <c r="AH7425" t="n">
        <v>0</v>
      </c>
    </row>
    <row r="7426">
      <c r="A7426" t="inlineStr">
        <is>
          <t>12월</t>
        </is>
      </c>
      <c r="B7426" t="inlineStr">
        <is>
          <t>52주차</t>
        </is>
      </c>
      <c r="C7426" t="e">
        <v>#N/A</v>
      </c>
      <c r="K7426" t="n">
        <v>0</v>
      </c>
      <c r="L7426" t="n">
        <v>0</v>
      </c>
      <c r="M7426" t="n">
        <v>0</v>
      </c>
      <c r="AC7426" t="n">
        <v>0</v>
      </c>
      <c r="AD7426" t="n">
        <v>0</v>
      </c>
      <c r="AE7426" t="n">
        <v>0</v>
      </c>
      <c r="AF7426" t="n">
        <v>0</v>
      </c>
      <c r="AG7426" t="n">
        <v>0</v>
      </c>
      <c r="AH7426" t="n">
        <v>0</v>
      </c>
      <c r="AI7426" t="n">
        <v>0</v>
      </c>
    </row>
    <row r="7427">
      <c r="A7427" t="inlineStr">
        <is>
          <t>12월</t>
        </is>
      </c>
      <c r="B7427" t="inlineStr">
        <is>
          <t>52주차</t>
        </is>
      </c>
      <c r="C7427" t="e">
        <v>#N/A</v>
      </c>
      <c r="K7427" t="n">
        <v>0</v>
      </c>
      <c r="L7427" t="n">
        <v>0</v>
      </c>
      <c r="M7427" t="n">
        <v>0</v>
      </c>
      <c r="AC7427" t="n">
        <v>0</v>
      </c>
      <c r="AD7427" t="n">
        <v>0</v>
      </c>
      <c r="AE7427" t="n">
        <v>0</v>
      </c>
      <c r="AF7427" t="n">
        <v>0</v>
      </c>
      <c r="AG7427" t="n">
        <v>0</v>
      </c>
      <c r="AH7427" t="n">
        <v>0</v>
      </c>
      <c r="AI7427" t="n">
        <v>0</v>
      </c>
    </row>
    <row r="7428">
      <c r="A7428" t="inlineStr">
        <is>
          <t>12월</t>
        </is>
      </c>
      <c r="B7428" t="inlineStr">
        <is>
          <t>52주차</t>
        </is>
      </c>
      <c r="C7428" t="e">
        <v>#N/A</v>
      </c>
      <c r="K7428" t="n">
        <v>0</v>
      </c>
      <c r="L7428" t="n">
        <v>0</v>
      </c>
      <c r="M7428" t="n">
        <v>0</v>
      </c>
      <c r="AC7428" t="n">
        <v>0</v>
      </c>
      <c r="AD7428" t="n">
        <v>0</v>
      </c>
      <c r="AE7428" t="n">
        <v>0</v>
      </c>
      <c r="AF7428" t="n">
        <v>0</v>
      </c>
      <c r="AG7428" t="n">
        <v>0</v>
      </c>
      <c r="AH7428" t="n">
        <v>0</v>
      </c>
      <c r="AI7428" t="n">
        <v>0</v>
      </c>
    </row>
    <row r="7429">
      <c r="A7429" t="inlineStr">
        <is>
          <t>12월</t>
        </is>
      </c>
      <c r="B7429" t="inlineStr">
        <is>
          <t>52주차</t>
        </is>
      </c>
      <c r="C7429" t="e">
        <v>#N/A</v>
      </c>
      <c r="K7429" t="n">
        <v>0</v>
      </c>
      <c r="L7429" t="n">
        <v>0</v>
      </c>
      <c r="M7429" t="n">
        <v>0</v>
      </c>
      <c r="AC7429" t="n">
        <v>0</v>
      </c>
      <c r="AD7429" t="n">
        <v>0</v>
      </c>
      <c r="AE7429" t="n">
        <v>0</v>
      </c>
      <c r="AF7429" t="n">
        <v>0</v>
      </c>
      <c r="AG7429" t="n">
        <v>0</v>
      </c>
      <c r="AH7429" t="n">
        <v>0</v>
      </c>
      <c r="AI7429" t="n">
        <v>0</v>
      </c>
    </row>
    <row r="7430">
      <c r="A7430" t="inlineStr">
        <is>
          <t>12월</t>
        </is>
      </c>
      <c r="B7430" t="inlineStr">
        <is>
          <t>52주차</t>
        </is>
      </c>
      <c r="C7430" t="e">
        <v>#N/A</v>
      </c>
      <c r="K7430" t="n">
        <v>0</v>
      </c>
      <c r="L7430" t="n">
        <v>0</v>
      </c>
      <c r="M7430" t="n">
        <v>0</v>
      </c>
      <c r="AC7430" t="n">
        <v>0</v>
      </c>
      <c r="AD7430" t="n">
        <v>0</v>
      </c>
      <c r="AE7430" t="n">
        <v>0</v>
      </c>
      <c r="AF7430" t="n">
        <v>0</v>
      </c>
      <c r="AG7430" t="n">
        <v>0</v>
      </c>
      <c r="AH7430" t="n">
        <v>0</v>
      </c>
      <c r="AI7430" t="n">
        <v>0</v>
      </c>
    </row>
    <row r="7431">
      <c r="A7431" t="inlineStr">
        <is>
          <t>12월</t>
        </is>
      </c>
      <c r="B7431" t="inlineStr">
        <is>
          <t>52주차</t>
        </is>
      </c>
      <c r="C7431" t="e">
        <v>#N/A</v>
      </c>
      <c r="K7431" t="n">
        <v>0</v>
      </c>
      <c r="L7431" t="n">
        <v>0</v>
      </c>
      <c r="M7431" t="n">
        <v>0</v>
      </c>
      <c r="AC7431" t="n">
        <v>0</v>
      </c>
      <c r="AD7431" t="n">
        <v>0</v>
      </c>
      <c r="AE7431" t="n">
        <v>0</v>
      </c>
      <c r="AF7431" t="n">
        <v>0</v>
      </c>
      <c r="AG7431" t="n">
        <v>0</v>
      </c>
      <c r="AH7431" t="n">
        <v>0</v>
      </c>
      <c r="AI7431" t="n">
        <v>0</v>
      </c>
    </row>
    <row r="7432">
      <c r="A7432" t="inlineStr">
        <is>
          <t>12월</t>
        </is>
      </c>
      <c r="B7432" t="inlineStr">
        <is>
          <t>52주차</t>
        </is>
      </c>
      <c r="C7432" t="e">
        <v>#N/A</v>
      </c>
      <c r="K7432" t="n">
        <v>0</v>
      </c>
      <c r="L7432" t="n">
        <v>0</v>
      </c>
      <c r="M7432" t="n">
        <v>0</v>
      </c>
      <c r="AC7432" t="n">
        <v>0</v>
      </c>
      <c r="AD7432" t="n">
        <v>0</v>
      </c>
      <c r="AE7432" t="n">
        <v>0</v>
      </c>
      <c r="AF7432" t="n">
        <v>0</v>
      </c>
      <c r="AG7432" t="n">
        <v>0</v>
      </c>
      <c r="AH7432" t="n">
        <v>0</v>
      </c>
    </row>
    <row r="7433">
      <c r="A7433" t="inlineStr">
        <is>
          <t>12월</t>
        </is>
      </c>
      <c r="B7433" t="inlineStr">
        <is>
          <t>52주차</t>
        </is>
      </c>
      <c r="C7433" t="e">
        <v>#N/A</v>
      </c>
      <c r="K7433" t="n">
        <v>0</v>
      </c>
      <c r="L7433" t="n">
        <v>0</v>
      </c>
      <c r="M7433" t="n">
        <v>0</v>
      </c>
      <c r="AC7433" t="n">
        <v>0</v>
      </c>
      <c r="AD7433" t="n">
        <v>0</v>
      </c>
      <c r="AE7433" t="n">
        <v>0</v>
      </c>
      <c r="AF7433" t="n">
        <v>0</v>
      </c>
      <c r="AG7433" t="n">
        <v>0</v>
      </c>
      <c r="AH7433" t="n">
        <v>0</v>
      </c>
      <c r="AI7433" t="n">
        <v>0</v>
      </c>
    </row>
    <row r="7434">
      <c r="A7434" t="inlineStr">
        <is>
          <t>12월</t>
        </is>
      </c>
      <c r="B7434" t="inlineStr">
        <is>
          <t>52주차</t>
        </is>
      </c>
      <c r="C7434" t="e">
        <v>#N/A</v>
      </c>
      <c r="K7434" t="n">
        <v>0</v>
      </c>
      <c r="L7434" t="n">
        <v>0</v>
      </c>
      <c r="M7434" t="n">
        <v>0</v>
      </c>
      <c r="AC7434" t="n">
        <v>0</v>
      </c>
      <c r="AD7434" t="n">
        <v>0</v>
      </c>
      <c r="AE7434" t="n">
        <v>0</v>
      </c>
      <c r="AF7434" t="n">
        <v>0</v>
      </c>
      <c r="AG7434" t="n">
        <v>0</v>
      </c>
      <c r="AH7434" t="n">
        <v>0</v>
      </c>
    </row>
    <row r="7435">
      <c r="A7435" t="inlineStr">
        <is>
          <t>12월</t>
        </is>
      </c>
      <c r="B7435" t="inlineStr">
        <is>
          <t>52주차</t>
        </is>
      </c>
      <c r="C7435" t="e">
        <v>#N/A</v>
      </c>
      <c r="K7435" t="n">
        <v>0</v>
      </c>
      <c r="L7435" t="n">
        <v>0</v>
      </c>
      <c r="M7435" t="n">
        <v>0</v>
      </c>
      <c r="AC7435" t="n">
        <v>0</v>
      </c>
      <c r="AD7435" t="n">
        <v>0</v>
      </c>
      <c r="AE7435" t="n">
        <v>0</v>
      </c>
      <c r="AF7435" t="n">
        <v>0</v>
      </c>
      <c r="AG7435" t="n">
        <v>0</v>
      </c>
      <c r="AH7435" t="n">
        <v>0</v>
      </c>
      <c r="AI7435" t="n">
        <v>0</v>
      </c>
    </row>
    <row r="7436">
      <c r="A7436" t="inlineStr">
        <is>
          <t>12월</t>
        </is>
      </c>
      <c r="B7436" t="inlineStr">
        <is>
          <t>52주차</t>
        </is>
      </c>
      <c r="C7436" t="e">
        <v>#N/A</v>
      </c>
      <c r="K7436" t="n">
        <v>0</v>
      </c>
      <c r="L7436" t="n">
        <v>0</v>
      </c>
      <c r="M7436" t="n">
        <v>0</v>
      </c>
      <c r="AC7436" t="n">
        <v>0</v>
      </c>
      <c r="AD7436" t="n">
        <v>0</v>
      </c>
      <c r="AE7436" t="n">
        <v>0</v>
      </c>
      <c r="AF7436" t="n">
        <v>0</v>
      </c>
      <c r="AG7436" t="n">
        <v>0</v>
      </c>
      <c r="AH7436" t="n">
        <v>0</v>
      </c>
      <c r="AI7436" t="n">
        <v>0</v>
      </c>
    </row>
    <row r="7437">
      <c r="A7437" t="inlineStr">
        <is>
          <t>12월</t>
        </is>
      </c>
      <c r="B7437" t="inlineStr">
        <is>
          <t>52주차</t>
        </is>
      </c>
      <c r="C7437" t="e">
        <v>#N/A</v>
      </c>
      <c r="K7437" t="n">
        <v>0</v>
      </c>
      <c r="L7437" t="n">
        <v>0</v>
      </c>
      <c r="M7437" t="n">
        <v>0</v>
      </c>
      <c r="AC7437" t="n">
        <v>0</v>
      </c>
      <c r="AD7437" t="n">
        <v>0</v>
      </c>
      <c r="AE7437" t="n">
        <v>0</v>
      </c>
      <c r="AF7437" t="n">
        <v>0</v>
      </c>
      <c r="AG7437" t="n">
        <v>0</v>
      </c>
      <c r="AH7437" t="n">
        <v>0</v>
      </c>
    </row>
    <row r="7438">
      <c r="A7438" t="inlineStr">
        <is>
          <t>12월</t>
        </is>
      </c>
      <c r="B7438" t="inlineStr">
        <is>
          <t>52주차</t>
        </is>
      </c>
      <c r="C7438" t="e">
        <v>#N/A</v>
      </c>
      <c r="K7438" t="n">
        <v>0</v>
      </c>
      <c r="L7438" t="n">
        <v>0</v>
      </c>
      <c r="M7438" t="n">
        <v>0</v>
      </c>
      <c r="AC7438" t="n">
        <v>0</v>
      </c>
      <c r="AD7438" t="n">
        <v>0</v>
      </c>
      <c r="AE7438" t="n">
        <v>0</v>
      </c>
      <c r="AF7438" t="n">
        <v>0</v>
      </c>
      <c r="AG7438" t="n">
        <v>0</v>
      </c>
      <c r="AH7438" t="n">
        <v>0</v>
      </c>
      <c r="AI7438" t="n">
        <v>0</v>
      </c>
    </row>
    <row r="7439">
      <c r="A7439" t="inlineStr">
        <is>
          <t>12월</t>
        </is>
      </c>
      <c r="B7439" t="inlineStr">
        <is>
          <t>52주차</t>
        </is>
      </c>
      <c r="C7439" t="e">
        <v>#N/A</v>
      </c>
      <c r="K7439" t="n">
        <v>0</v>
      </c>
      <c r="L7439" t="n">
        <v>0</v>
      </c>
      <c r="M7439" t="n">
        <v>0</v>
      </c>
      <c r="AC7439" t="n">
        <v>0</v>
      </c>
      <c r="AD7439" t="n">
        <v>0</v>
      </c>
      <c r="AE7439" t="n">
        <v>0</v>
      </c>
      <c r="AF7439" t="n">
        <v>0</v>
      </c>
      <c r="AG7439" t="n">
        <v>0</v>
      </c>
      <c r="AH7439" t="n">
        <v>0</v>
      </c>
      <c r="AI7439" t="n">
        <v>0</v>
      </c>
    </row>
    <row r="7440">
      <c r="A7440" t="inlineStr">
        <is>
          <t>12월</t>
        </is>
      </c>
      <c r="B7440" t="inlineStr">
        <is>
          <t>52주차</t>
        </is>
      </c>
      <c r="C7440" t="e">
        <v>#N/A</v>
      </c>
      <c r="K7440" t="n">
        <v>0</v>
      </c>
      <c r="L7440" t="n">
        <v>0</v>
      </c>
      <c r="M7440" t="n">
        <v>0</v>
      </c>
      <c r="AC7440" t="n">
        <v>0</v>
      </c>
      <c r="AD7440" t="n">
        <v>0</v>
      </c>
      <c r="AE7440" t="n">
        <v>0</v>
      </c>
      <c r="AF7440" t="n">
        <v>0</v>
      </c>
      <c r="AG7440" t="n">
        <v>0</v>
      </c>
      <c r="AH7440" t="n">
        <v>0</v>
      </c>
      <c r="AI7440" t="n">
        <v>0</v>
      </c>
    </row>
    <row r="7441">
      <c r="A7441" t="inlineStr">
        <is>
          <t>12월</t>
        </is>
      </c>
      <c r="B7441" t="inlineStr">
        <is>
          <t>52주차</t>
        </is>
      </c>
      <c r="C7441" t="e">
        <v>#N/A</v>
      </c>
      <c r="K7441" t="n">
        <v>0</v>
      </c>
      <c r="L7441" t="n">
        <v>0</v>
      </c>
      <c r="M7441" t="n">
        <v>0</v>
      </c>
      <c r="AC7441" t="n">
        <v>0</v>
      </c>
      <c r="AD7441" t="n">
        <v>0</v>
      </c>
      <c r="AE7441" t="n">
        <v>0</v>
      </c>
      <c r="AF7441" t="n">
        <v>0</v>
      </c>
      <c r="AG7441" t="n">
        <v>0</v>
      </c>
      <c r="AH7441" t="n">
        <v>0</v>
      </c>
    </row>
    <row r="7442">
      <c r="A7442" t="inlineStr">
        <is>
          <t>12월</t>
        </is>
      </c>
      <c r="B7442" t="inlineStr">
        <is>
          <t>52주차</t>
        </is>
      </c>
      <c r="C7442" t="e">
        <v>#N/A</v>
      </c>
      <c r="K7442" t="n">
        <v>0</v>
      </c>
      <c r="L7442" t="n">
        <v>0</v>
      </c>
      <c r="M7442" t="n">
        <v>0</v>
      </c>
      <c r="AC7442" t="n">
        <v>0</v>
      </c>
      <c r="AD7442" t="n">
        <v>0</v>
      </c>
      <c r="AE7442" t="n">
        <v>0</v>
      </c>
      <c r="AF7442" t="n">
        <v>0</v>
      </c>
      <c r="AG7442" t="n">
        <v>0</v>
      </c>
      <c r="AH7442" t="n">
        <v>0</v>
      </c>
      <c r="AI7442" t="n">
        <v>0</v>
      </c>
    </row>
    <row r="7443">
      <c r="A7443" t="inlineStr">
        <is>
          <t>12월</t>
        </is>
      </c>
      <c r="B7443" t="inlineStr">
        <is>
          <t>52주차</t>
        </is>
      </c>
      <c r="C7443" t="e">
        <v>#N/A</v>
      </c>
      <c r="K7443" t="n">
        <v>0</v>
      </c>
      <c r="L7443" t="n">
        <v>0</v>
      </c>
      <c r="M7443" t="n">
        <v>0</v>
      </c>
      <c r="AC7443" t="n">
        <v>0</v>
      </c>
      <c r="AD7443" t="n">
        <v>0</v>
      </c>
      <c r="AE7443" t="n">
        <v>0</v>
      </c>
      <c r="AF7443" t="n">
        <v>0</v>
      </c>
      <c r="AG7443" t="n">
        <v>0</v>
      </c>
      <c r="AH7443" t="n">
        <v>0</v>
      </c>
      <c r="AI7443" t="n">
        <v>0</v>
      </c>
    </row>
    <row r="7444">
      <c r="A7444" t="inlineStr">
        <is>
          <t>12월</t>
        </is>
      </c>
      <c r="B7444" t="inlineStr">
        <is>
          <t>52주차</t>
        </is>
      </c>
      <c r="C7444" t="e">
        <v>#N/A</v>
      </c>
      <c r="K7444" t="n">
        <v>0</v>
      </c>
      <c r="L7444" t="n">
        <v>0</v>
      </c>
      <c r="M7444" t="n">
        <v>0</v>
      </c>
      <c r="AC7444" t="n">
        <v>0</v>
      </c>
      <c r="AD7444" t="n">
        <v>0</v>
      </c>
      <c r="AE7444" t="n">
        <v>0</v>
      </c>
      <c r="AF7444" t="n">
        <v>0</v>
      </c>
      <c r="AG7444" t="n">
        <v>0</v>
      </c>
      <c r="AH7444" t="n">
        <v>0</v>
      </c>
      <c r="AI7444" t="n">
        <v>0</v>
      </c>
    </row>
    <row r="7445">
      <c r="A7445" t="inlineStr">
        <is>
          <t>12월</t>
        </is>
      </c>
      <c r="B7445" t="inlineStr">
        <is>
          <t>52주차</t>
        </is>
      </c>
      <c r="C7445" t="e">
        <v>#N/A</v>
      </c>
      <c r="K7445" t="n">
        <v>0</v>
      </c>
      <c r="L7445" t="n">
        <v>0</v>
      </c>
      <c r="M7445" t="n">
        <v>0</v>
      </c>
      <c r="AC7445" t="n">
        <v>0</v>
      </c>
      <c r="AD7445" t="n">
        <v>0</v>
      </c>
      <c r="AE7445" t="n">
        <v>0</v>
      </c>
      <c r="AF7445" t="n">
        <v>0</v>
      </c>
      <c r="AG7445" t="n">
        <v>0</v>
      </c>
      <c r="AH7445" t="n">
        <v>0</v>
      </c>
      <c r="AI7445" t="n">
        <v>0</v>
      </c>
    </row>
    <row r="7446">
      <c r="A7446" t="inlineStr">
        <is>
          <t>12월</t>
        </is>
      </c>
      <c r="B7446" t="inlineStr">
        <is>
          <t>52주차</t>
        </is>
      </c>
      <c r="C7446" t="e">
        <v>#N/A</v>
      </c>
      <c r="K7446" t="n">
        <v>0</v>
      </c>
      <c r="L7446" t="n">
        <v>0</v>
      </c>
      <c r="M7446" t="n">
        <v>0</v>
      </c>
      <c r="AC7446" t="n">
        <v>0</v>
      </c>
      <c r="AD7446" t="n">
        <v>0</v>
      </c>
      <c r="AE7446" t="n">
        <v>0</v>
      </c>
      <c r="AF7446" t="n">
        <v>0</v>
      </c>
      <c r="AG7446" t="n">
        <v>0</v>
      </c>
      <c r="AH7446" t="n">
        <v>0</v>
      </c>
      <c r="AI7446" t="n">
        <v>0</v>
      </c>
    </row>
    <row r="7447">
      <c r="A7447" t="inlineStr">
        <is>
          <t>12월</t>
        </is>
      </c>
      <c r="B7447" t="inlineStr">
        <is>
          <t>52주차</t>
        </is>
      </c>
      <c r="C7447" t="e">
        <v>#N/A</v>
      </c>
      <c r="K7447" t="n">
        <v>0</v>
      </c>
      <c r="L7447" t="n">
        <v>0</v>
      </c>
      <c r="M7447" t="n">
        <v>0</v>
      </c>
      <c r="AC7447" t="n">
        <v>0</v>
      </c>
      <c r="AD7447" t="n">
        <v>0</v>
      </c>
      <c r="AE7447" t="n">
        <v>0</v>
      </c>
      <c r="AF7447" t="n">
        <v>0</v>
      </c>
      <c r="AG7447" t="n">
        <v>0</v>
      </c>
      <c r="AH7447" t="n">
        <v>0</v>
      </c>
      <c r="AI7447" t="n">
        <v>0</v>
      </c>
    </row>
    <row r="7448">
      <c r="A7448" t="inlineStr">
        <is>
          <t>12월</t>
        </is>
      </c>
      <c r="B7448" t="inlineStr">
        <is>
          <t>52주차</t>
        </is>
      </c>
      <c r="C7448" t="e">
        <v>#N/A</v>
      </c>
      <c r="K7448" t="n">
        <v>0</v>
      </c>
      <c r="L7448" t="n">
        <v>0</v>
      </c>
      <c r="M7448" t="n">
        <v>0</v>
      </c>
      <c r="AC7448" t="n">
        <v>0</v>
      </c>
      <c r="AD7448" t="n">
        <v>0</v>
      </c>
      <c r="AE7448" t="n">
        <v>0</v>
      </c>
      <c r="AF7448" t="n">
        <v>0</v>
      </c>
      <c r="AG7448" t="n">
        <v>0</v>
      </c>
      <c r="AH7448" t="n">
        <v>0</v>
      </c>
      <c r="AI7448" t="n">
        <v>0</v>
      </c>
    </row>
    <row r="7449">
      <c r="A7449" t="inlineStr">
        <is>
          <t>12월</t>
        </is>
      </c>
      <c r="B7449" t="inlineStr">
        <is>
          <t>52주차</t>
        </is>
      </c>
      <c r="C7449" t="e">
        <v>#N/A</v>
      </c>
      <c r="K7449" t="n">
        <v>0</v>
      </c>
      <c r="L7449" t="n">
        <v>0</v>
      </c>
      <c r="M7449" t="n">
        <v>0</v>
      </c>
      <c r="AC7449" t="n">
        <v>0</v>
      </c>
      <c r="AD7449" t="n">
        <v>0</v>
      </c>
      <c r="AE7449" t="n">
        <v>0</v>
      </c>
      <c r="AF7449" t="n">
        <v>0</v>
      </c>
      <c r="AG7449" t="n">
        <v>0</v>
      </c>
      <c r="AH7449" t="n">
        <v>0</v>
      </c>
      <c r="AI7449" t="n">
        <v>0</v>
      </c>
    </row>
    <row r="7450">
      <c r="A7450" t="inlineStr">
        <is>
          <t>12월</t>
        </is>
      </c>
      <c r="B7450" t="inlineStr">
        <is>
          <t>52주차</t>
        </is>
      </c>
      <c r="C7450" t="e">
        <v>#N/A</v>
      </c>
      <c r="K7450" t="n">
        <v>0</v>
      </c>
      <c r="L7450" t="n">
        <v>0</v>
      </c>
      <c r="M7450" t="n">
        <v>0</v>
      </c>
      <c r="AC7450" t="n">
        <v>0</v>
      </c>
      <c r="AD7450" t="n">
        <v>0</v>
      </c>
      <c r="AE7450" t="n">
        <v>0</v>
      </c>
      <c r="AF7450" t="n">
        <v>0</v>
      </c>
      <c r="AG7450" t="n">
        <v>0</v>
      </c>
      <c r="AH7450" t="n">
        <v>0</v>
      </c>
      <c r="AI7450" t="n">
        <v>0</v>
      </c>
    </row>
    <row r="7451">
      <c r="A7451" t="inlineStr">
        <is>
          <t>12월</t>
        </is>
      </c>
      <c r="B7451" t="inlineStr">
        <is>
          <t>52주차</t>
        </is>
      </c>
      <c r="C7451" t="e">
        <v>#N/A</v>
      </c>
      <c r="K7451" t="n">
        <v>0</v>
      </c>
      <c r="L7451" t="n">
        <v>0</v>
      </c>
      <c r="M7451" t="n">
        <v>0</v>
      </c>
      <c r="AC7451" t="n">
        <v>0</v>
      </c>
      <c r="AD7451" t="n">
        <v>0</v>
      </c>
      <c r="AE7451" t="n">
        <v>0</v>
      </c>
      <c r="AF7451" t="n">
        <v>0</v>
      </c>
      <c r="AG7451" t="n">
        <v>0</v>
      </c>
      <c r="AH7451" t="n">
        <v>0</v>
      </c>
      <c r="AI7451" t="n">
        <v>0</v>
      </c>
    </row>
    <row r="7452">
      <c r="A7452" t="inlineStr">
        <is>
          <t>12월</t>
        </is>
      </c>
      <c r="B7452" t="inlineStr">
        <is>
          <t>52주차</t>
        </is>
      </c>
      <c r="C7452" t="e">
        <v>#N/A</v>
      </c>
      <c r="K7452" t="n">
        <v>0</v>
      </c>
      <c r="L7452" t="n">
        <v>0</v>
      </c>
      <c r="M7452" t="n">
        <v>0</v>
      </c>
      <c r="AC7452" t="n">
        <v>0</v>
      </c>
      <c r="AD7452" t="n">
        <v>0</v>
      </c>
      <c r="AE7452" t="n">
        <v>0</v>
      </c>
      <c r="AF7452" t="n">
        <v>0</v>
      </c>
      <c r="AG7452" t="n">
        <v>0</v>
      </c>
      <c r="AH7452" t="n">
        <v>0</v>
      </c>
      <c r="AI7452" t="n">
        <v>0</v>
      </c>
    </row>
    <row r="7453">
      <c r="A7453" t="inlineStr">
        <is>
          <t>12월</t>
        </is>
      </c>
      <c r="B7453" t="inlineStr">
        <is>
          <t>52주차</t>
        </is>
      </c>
      <c r="C7453" t="e">
        <v>#N/A</v>
      </c>
      <c r="K7453" t="n">
        <v>0</v>
      </c>
      <c r="L7453" t="n">
        <v>0</v>
      </c>
      <c r="M7453" t="n">
        <v>0</v>
      </c>
      <c r="AC7453" t="n">
        <v>0</v>
      </c>
      <c r="AD7453" t="n">
        <v>0</v>
      </c>
      <c r="AE7453" t="n">
        <v>0</v>
      </c>
      <c r="AF7453" t="n">
        <v>0</v>
      </c>
      <c r="AG7453" t="n">
        <v>0</v>
      </c>
      <c r="AH7453" t="n">
        <v>0</v>
      </c>
      <c r="AI7453" t="n">
        <v>0</v>
      </c>
    </row>
    <row r="7454">
      <c r="A7454" t="inlineStr">
        <is>
          <t>12월</t>
        </is>
      </c>
      <c r="B7454" t="inlineStr">
        <is>
          <t>52주차</t>
        </is>
      </c>
      <c r="C7454" t="e">
        <v>#N/A</v>
      </c>
      <c r="K7454" t="n">
        <v>0</v>
      </c>
      <c r="L7454" t="n">
        <v>0</v>
      </c>
      <c r="M7454" t="n">
        <v>0</v>
      </c>
      <c r="AC7454" t="n">
        <v>0</v>
      </c>
      <c r="AD7454" t="n">
        <v>0</v>
      </c>
      <c r="AE7454" t="n">
        <v>0</v>
      </c>
      <c r="AF7454" t="n">
        <v>0</v>
      </c>
      <c r="AG7454" t="n">
        <v>0</v>
      </c>
      <c r="AH7454" t="n">
        <v>0</v>
      </c>
      <c r="AI7454" t="n">
        <v>0</v>
      </c>
    </row>
    <row r="7455">
      <c r="A7455" t="inlineStr">
        <is>
          <t>12월</t>
        </is>
      </c>
      <c r="B7455" t="inlineStr">
        <is>
          <t>52주차</t>
        </is>
      </c>
      <c r="C7455" t="e">
        <v>#N/A</v>
      </c>
      <c r="K7455" t="n">
        <v>0</v>
      </c>
      <c r="L7455" t="n">
        <v>0</v>
      </c>
      <c r="M7455" t="n">
        <v>0</v>
      </c>
      <c r="AC7455" t="n">
        <v>0</v>
      </c>
      <c r="AD7455" t="n">
        <v>0</v>
      </c>
      <c r="AE7455" t="n">
        <v>0</v>
      </c>
      <c r="AF7455" t="n">
        <v>0</v>
      </c>
      <c r="AG7455" t="n">
        <v>0</v>
      </c>
      <c r="AH7455" t="n">
        <v>0</v>
      </c>
    </row>
    <row r="7456">
      <c r="A7456" t="inlineStr">
        <is>
          <t>12월</t>
        </is>
      </c>
      <c r="B7456" t="inlineStr">
        <is>
          <t>52주차</t>
        </is>
      </c>
      <c r="C7456" t="e">
        <v>#N/A</v>
      </c>
      <c r="K7456" t="n">
        <v>0</v>
      </c>
      <c r="L7456" t="n">
        <v>0</v>
      </c>
      <c r="M7456" t="n">
        <v>0</v>
      </c>
      <c r="AC7456" t="n">
        <v>0</v>
      </c>
      <c r="AD7456" t="n">
        <v>0</v>
      </c>
      <c r="AE7456" t="n">
        <v>0</v>
      </c>
      <c r="AF7456" t="n">
        <v>0</v>
      </c>
      <c r="AG7456" t="n">
        <v>0</v>
      </c>
      <c r="AH7456" t="n">
        <v>0</v>
      </c>
    </row>
    <row r="7457">
      <c r="A7457" t="inlineStr">
        <is>
          <t>12월</t>
        </is>
      </c>
      <c r="B7457" t="inlineStr">
        <is>
          <t>52주차</t>
        </is>
      </c>
      <c r="C7457" t="e">
        <v>#N/A</v>
      </c>
      <c r="K7457" t="n">
        <v>0</v>
      </c>
      <c r="L7457" t="n">
        <v>0</v>
      </c>
      <c r="M7457" t="n">
        <v>0</v>
      </c>
      <c r="AC7457" t="n">
        <v>0</v>
      </c>
      <c r="AD7457" t="n">
        <v>0</v>
      </c>
      <c r="AE7457" t="n">
        <v>0</v>
      </c>
      <c r="AF7457" t="n">
        <v>0</v>
      </c>
      <c r="AG7457" t="n">
        <v>0</v>
      </c>
      <c r="AH7457" t="n">
        <v>0</v>
      </c>
      <c r="AI7457" t="n">
        <v>0</v>
      </c>
    </row>
    <row r="7458">
      <c r="A7458" t="inlineStr">
        <is>
          <t>12월</t>
        </is>
      </c>
      <c r="B7458" t="inlineStr">
        <is>
          <t>52주차</t>
        </is>
      </c>
      <c r="C7458" t="e">
        <v>#N/A</v>
      </c>
      <c r="K7458" t="n">
        <v>0</v>
      </c>
      <c r="L7458" t="n">
        <v>0</v>
      </c>
      <c r="M7458" t="n">
        <v>0</v>
      </c>
      <c r="AC7458" t="n">
        <v>0</v>
      </c>
      <c r="AD7458" t="n">
        <v>0</v>
      </c>
      <c r="AE7458" t="n">
        <v>0</v>
      </c>
      <c r="AF7458" t="n">
        <v>0</v>
      </c>
      <c r="AG7458" t="n">
        <v>0</v>
      </c>
      <c r="AH7458" t="n">
        <v>0</v>
      </c>
      <c r="AI7458" t="n">
        <v>0</v>
      </c>
    </row>
    <row r="7459">
      <c r="A7459" t="inlineStr">
        <is>
          <t>12월</t>
        </is>
      </c>
      <c r="B7459" t="inlineStr">
        <is>
          <t>52주차</t>
        </is>
      </c>
      <c r="C7459" t="e">
        <v>#N/A</v>
      </c>
      <c r="K7459" t="n">
        <v>0</v>
      </c>
      <c r="L7459" t="n">
        <v>0</v>
      </c>
      <c r="M7459" t="n">
        <v>0</v>
      </c>
      <c r="AC7459" t="n">
        <v>0</v>
      </c>
      <c r="AD7459" t="n">
        <v>0</v>
      </c>
      <c r="AE7459" t="n">
        <v>0</v>
      </c>
      <c r="AF7459" t="n">
        <v>0</v>
      </c>
      <c r="AG7459" t="n">
        <v>0</v>
      </c>
      <c r="AH7459" t="n">
        <v>0</v>
      </c>
      <c r="AI7459" t="n">
        <v>0</v>
      </c>
    </row>
    <row r="7460">
      <c r="A7460" t="inlineStr">
        <is>
          <t>12월</t>
        </is>
      </c>
      <c r="B7460" t="inlineStr">
        <is>
          <t>52주차</t>
        </is>
      </c>
      <c r="C7460" t="e">
        <v>#N/A</v>
      </c>
      <c r="K7460" t="n">
        <v>0</v>
      </c>
      <c r="L7460" t="n">
        <v>0</v>
      </c>
      <c r="M7460" t="n">
        <v>0</v>
      </c>
      <c r="AC7460" t="n">
        <v>0</v>
      </c>
      <c r="AD7460" t="n">
        <v>0</v>
      </c>
      <c r="AE7460" t="n">
        <v>0</v>
      </c>
      <c r="AF7460" t="n">
        <v>0</v>
      </c>
      <c r="AG7460" t="n">
        <v>0</v>
      </c>
      <c r="AH7460" t="n">
        <v>0</v>
      </c>
    </row>
    <row r="7461">
      <c r="A7461" t="inlineStr">
        <is>
          <t>12월</t>
        </is>
      </c>
      <c r="B7461" t="inlineStr">
        <is>
          <t>52주차</t>
        </is>
      </c>
      <c r="C7461" t="e">
        <v>#N/A</v>
      </c>
      <c r="K7461" t="n">
        <v>0</v>
      </c>
      <c r="L7461" t="n">
        <v>0</v>
      </c>
      <c r="M7461" t="n">
        <v>0</v>
      </c>
      <c r="AC7461" t="n">
        <v>0</v>
      </c>
      <c r="AD7461" t="n">
        <v>0</v>
      </c>
      <c r="AE7461" t="n">
        <v>0</v>
      </c>
      <c r="AF7461" t="n">
        <v>0</v>
      </c>
      <c r="AG7461" t="n">
        <v>0</v>
      </c>
      <c r="AH7461" t="n">
        <v>0</v>
      </c>
      <c r="AI7461" t="n">
        <v>0</v>
      </c>
    </row>
    <row r="7462">
      <c r="A7462" t="inlineStr">
        <is>
          <t>12월</t>
        </is>
      </c>
      <c r="B7462" t="inlineStr">
        <is>
          <t>52주차</t>
        </is>
      </c>
      <c r="C7462" t="e">
        <v>#N/A</v>
      </c>
      <c r="K7462" t="n">
        <v>0</v>
      </c>
      <c r="L7462" t="n">
        <v>0</v>
      </c>
      <c r="M7462" t="n">
        <v>0</v>
      </c>
      <c r="AC7462" t="n">
        <v>0</v>
      </c>
      <c r="AD7462" t="n">
        <v>0</v>
      </c>
      <c r="AE7462" t="n">
        <v>0</v>
      </c>
      <c r="AF7462" t="n">
        <v>0</v>
      </c>
      <c r="AG7462" t="n">
        <v>0</v>
      </c>
      <c r="AH7462" t="n">
        <v>0</v>
      </c>
      <c r="AI7462" t="n">
        <v>0</v>
      </c>
    </row>
    <row r="7463">
      <c r="A7463" t="inlineStr">
        <is>
          <t>12월</t>
        </is>
      </c>
      <c r="B7463" t="inlineStr">
        <is>
          <t>52주차</t>
        </is>
      </c>
      <c r="C7463" t="e">
        <v>#N/A</v>
      </c>
      <c r="K7463" t="n">
        <v>0</v>
      </c>
      <c r="L7463" t="n">
        <v>0</v>
      </c>
      <c r="M7463" t="n">
        <v>0</v>
      </c>
      <c r="AC7463" t="n">
        <v>0</v>
      </c>
      <c r="AD7463" t="n">
        <v>0</v>
      </c>
      <c r="AE7463" t="n">
        <v>0</v>
      </c>
      <c r="AF7463" t="n">
        <v>0</v>
      </c>
      <c r="AG7463" t="n">
        <v>0</v>
      </c>
      <c r="AH7463" t="n">
        <v>0</v>
      </c>
      <c r="AI7463" t="n">
        <v>0</v>
      </c>
    </row>
    <row r="7464">
      <c r="A7464" t="inlineStr">
        <is>
          <t>12월</t>
        </is>
      </c>
      <c r="B7464" t="inlineStr">
        <is>
          <t>52주차</t>
        </is>
      </c>
      <c r="C7464" t="e">
        <v>#N/A</v>
      </c>
      <c r="K7464" t="n">
        <v>0</v>
      </c>
      <c r="L7464" t="n">
        <v>0</v>
      </c>
      <c r="M7464" t="n">
        <v>0</v>
      </c>
      <c r="AC7464" t="n">
        <v>0</v>
      </c>
      <c r="AD7464" t="n">
        <v>0</v>
      </c>
      <c r="AE7464" t="n">
        <v>0</v>
      </c>
      <c r="AF7464" t="n">
        <v>0</v>
      </c>
      <c r="AG7464" t="n">
        <v>0</v>
      </c>
      <c r="AH7464" t="n">
        <v>0</v>
      </c>
    </row>
    <row r="7465">
      <c r="A7465" t="inlineStr">
        <is>
          <t>12월</t>
        </is>
      </c>
      <c r="B7465" t="inlineStr">
        <is>
          <t>52주차</t>
        </is>
      </c>
      <c r="C7465" t="e">
        <v>#N/A</v>
      </c>
      <c r="K7465" t="n">
        <v>0</v>
      </c>
      <c r="L7465" t="n">
        <v>0</v>
      </c>
      <c r="M7465" t="n">
        <v>0</v>
      </c>
      <c r="AC7465" t="n">
        <v>0</v>
      </c>
      <c r="AD7465" t="n">
        <v>0</v>
      </c>
      <c r="AE7465" t="n">
        <v>0</v>
      </c>
      <c r="AF7465" t="n">
        <v>0</v>
      </c>
      <c r="AG7465" t="n">
        <v>0</v>
      </c>
      <c r="AH7465" t="n">
        <v>0</v>
      </c>
      <c r="AI7465" t="n">
        <v>0</v>
      </c>
    </row>
    <row r="7466">
      <c r="A7466" t="inlineStr">
        <is>
          <t>12월</t>
        </is>
      </c>
      <c r="B7466" t="inlineStr">
        <is>
          <t>52주차</t>
        </is>
      </c>
      <c r="C7466" t="e">
        <v>#N/A</v>
      </c>
      <c r="K7466" t="n">
        <v>0</v>
      </c>
      <c r="L7466" t="n">
        <v>0</v>
      </c>
      <c r="M7466" t="n">
        <v>0</v>
      </c>
      <c r="AC7466" t="n">
        <v>0</v>
      </c>
      <c r="AD7466" t="n">
        <v>0</v>
      </c>
      <c r="AE7466" t="n">
        <v>0</v>
      </c>
      <c r="AF7466" t="n">
        <v>0</v>
      </c>
      <c r="AG7466" t="n">
        <v>0</v>
      </c>
      <c r="AH7466" t="n">
        <v>0</v>
      </c>
      <c r="AI7466" t="n">
        <v>0</v>
      </c>
    </row>
    <row r="7467">
      <c r="A7467" t="inlineStr">
        <is>
          <t>12월</t>
        </is>
      </c>
      <c r="B7467" t="inlineStr">
        <is>
          <t>52주차</t>
        </is>
      </c>
      <c r="C7467" t="e">
        <v>#N/A</v>
      </c>
      <c r="K7467" t="n">
        <v>0</v>
      </c>
      <c r="L7467" t="n">
        <v>0</v>
      </c>
      <c r="M7467" t="n">
        <v>0</v>
      </c>
      <c r="AC7467" t="n">
        <v>0</v>
      </c>
      <c r="AD7467" t="n">
        <v>0</v>
      </c>
      <c r="AE7467" t="n">
        <v>0</v>
      </c>
      <c r="AF7467" t="n">
        <v>0</v>
      </c>
      <c r="AG7467" t="n">
        <v>0</v>
      </c>
      <c r="AH7467" t="n">
        <v>0</v>
      </c>
      <c r="AI7467" t="n">
        <v>0</v>
      </c>
    </row>
    <row r="7468">
      <c r="A7468" t="inlineStr">
        <is>
          <t>12월</t>
        </is>
      </c>
      <c r="B7468" t="inlineStr">
        <is>
          <t>52주차</t>
        </is>
      </c>
      <c r="C7468" t="e">
        <v>#N/A</v>
      </c>
      <c r="K7468" t="n">
        <v>0</v>
      </c>
      <c r="L7468" t="n">
        <v>0</v>
      </c>
      <c r="M7468" t="n">
        <v>0</v>
      </c>
      <c r="AC7468" t="n">
        <v>0</v>
      </c>
      <c r="AD7468" t="n">
        <v>0</v>
      </c>
      <c r="AE7468" t="n">
        <v>0</v>
      </c>
      <c r="AF7468" t="n">
        <v>0</v>
      </c>
      <c r="AG7468" t="n">
        <v>0</v>
      </c>
      <c r="AH7468" t="n">
        <v>0</v>
      </c>
    </row>
    <row r="7469">
      <c r="A7469" t="inlineStr">
        <is>
          <t>12월</t>
        </is>
      </c>
      <c r="B7469" t="inlineStr">
        <is>
          <t>52주차</t>
        </is>
      </c>
      <c r="C7469" t="e">
        <v>#N/A</v>
      </c>
      <c r="K7469" t="n">
        <v>0</v>
      </c>
      <c r="L7469" t="n">
        <v>0</v>
      </c>
      <c r="M7469" t="n">
        <v>0</v>
      </c>
      <c r="AC7469" t="n">
        <v>0</v>
      </c>
      <c r="AD7469" t="n">
        <v>0</v>
      </c>
      <c r="AE7469" t="n">
        <v>0</v>
      </c>
      <c r="AF7469" t="n">
        <v>0</v>
      </c>
      <c r="AG7469" t="n">
        <v>0</v>
      </c>
      <c r="AH7469" t="n">
        <v>0</v>
      </c>
      <c r="AI7469" t="n">
        <v>0</v>
      </c>
    </row>
    <row r="7470">
      <c r="A7470" t="inlineStr">
        <is>
          <t>12월</t>
        </is>
      </c>
      <c r="B7470" t="inlineStr">
        <is>
          <t>52주차</t>
        </is>
      </c>
      <c r="C7470" t="e">
        <v>#N/A</v>
      </c>
      <c r="K7470" t="n">
        <v>0</v>
      </c>
      <c r="L7470" t="n">
        <v>0</v>
      </c>
      <c r="M7470" t="n">
        <v>0</v>
      </c>
      <c r="AC7470" t="n">
        <v>0</v>
      </c>
      <c r="AD7470" t="n">
        <v>0</v>
      </c>
      <c r="AE7470" t="n">
        <v>0</v>
      </c>
      <c r="AF7470" t="n">
        <v>0</v>
      </c>
      <c r="AG7470" t="n">
        <v>0</v>
      </c>
      <c r="AH7470" t="n">
        <v>0</v>
      </c>
      <c r="AI7470" t="n">
        <v>0</v>
      </c>
    </row>
    <row r="7471">
      <c r="A7471" t="inlineStr">
        <is>
          <t>12월</t>
        </is>
      </c>
      <c r="B7471" t="inlineStr">
        <is>
          <t>52주차</t>
        </is>
      </c>
      <c r="C7471" t="e">
        <v>#N/A</v>
      </c>
      <c r="K7471" t="n">
        <v>0</v>
      </c>
      <c r="L7471" t="n">
        <v>0</v>
      </c>
      <c r="M7471" t="n">
        <v>0</v>
      </c>
      <c r="AC7471" t="n">
        <v>0</v>
      </c>
      <c r="AD7471" t="n">
        <v>0</v>
      </c>
      <c r="AE7471" t="n">
        <v>0</v>
      </c>
      <c r="AF7471" t="n">
        <v>0</v>
      </c>
      <c r="AG7471" t="n">
        <v>0</v>
      </c>
      <c r="AH7471" t="n">
        <v>0</v>
      </c>
    </row>
    <row r="7472">
      <c r="A7472" t="inlineStr">
        <is>
          <t>12월</t>
        </is>
      </c>
      <c r="B7472" t="inlineStr">
        <is>
          <t>52주차</t>
        </is>
      </c>
      <c r="C7472" t="e">
        <v>#N/A</v>
      </c>
      <c r="K7472" t="n">
        <v>0</v>
      </c>
      <c r="L7472" t="n">
        <v>0</v>
      </c>
      <c r="M7472" t="n">
        <v>0</v>
      </c>
      <c r="AC7472" t="n">
        <v>0</v>
      </c>
      <c r="AD7472" t="n">
        <v>0</v>
      </c>
      <c r="AE7472" t="n">
        <v>0</v>
      </c>
      <c r="AF7472" t="n">
        <v>0</v>
      </c>
      <c r="AG7472" t="n">
        <v>0</v>
      </c>
      <c r="AH7472" t="n">
        <v>0</v>
      </c>
      <c r="AI7472" t="n">
        <v>0</v>
      </c>
    </row>
    <row r="7473">
      <c r="A7473" t="inlineStr">
        <is>
          <t>12월</t>
        </is>
      </c>
      <c r="B7473" t="inlineStr">
        <is>
          <t>52주차</t>
        </is>
      </c>
      <c r="C7473" t="e">
        <v>#N/A</v>
      </c>
      <c r="K7473" t="n">
        <v>0</v>
      </c>
      <c r="L7473" t="n">
        <v>0</v>
      </c>
      <c r="M7473" t="n">
        <v>0</v>
      </c>
      <c r="AC7473" t="n">
        <v>0</v>
      </c>
      <c r="AD7473" t="n">
        <v>0</v>
      </c>
      <c r="AE7473" t="n">
        <v>0</v>
      </c>
      <c r="AF7473" t="n">
        <v>0</v>
      </c>
      <c r="AG7473" t="n">
        <v>0</v>
      </c>
      <c r="AH7473" t="n">
        <v>0</v>
      </c>
      <c r="AI7473" t="n">
        <v>0</v>
      </c>
    </row>
    <row r="7474">
      <c r="A7474" t="inlineStr">
        <is>
          <t>12월</t>
        </is>
      </c>
      <c r="B7474" t="inlineStr">
        <is>
          <t>52주차</t>
        </is>
      </c>
      <c r="C7474" t="e">
        <v>#N/A</v>
      </c>
      <c r="K7474" t="n">
        <v>0</v>
      </c>
      <c r="L7474" t="n">
        <v>0</v>
      </c>
      <c r="M7474" t="n">
        <v>0</v>
      </c>
      <c r="AC7474" t="n">
        <v>0</v>
      </c>
      <c r="AD7474" t="n">
        <v>0</v>
      </c>
      <c r="AE7474" t="n">
        <v>0</v>
      </c>
      <c r="AF7474" t="n">
        <v>0</v>
      </c>
      <c r="AG7474" t="n">
        <v>0</v>
      </c>
      <c r="AH7474" t="n">
        <v>0</v>
      </c>
      <c r="AI7474" t="n">
        <v>0</v>
      </c>
    </row>
    <row r="7475">
      <c r="A7475" t="inlineStr">
        <is>
          <t>12월</t>
        </is>
      </c>
      <c r="B7475" t="inlineStr">
        <is>
          <t>52주차</t>
        </is>
      </c>
      <c r="C7475" t="e">
        <v>#N/A</v>
      </c>
      <c r="K7475" t="n">
        <v>0</v>
      </c>
      <c r="L7475" t="n">
        <v>0</v>
      </c>
      <c r="M7475" t="n">
        <v>0</v>
      </c>
      <c r="AC7475" t="n">
        <v>0</v>
      </c>
      <c r="AD7475" t="n">
        <v>0</v>
      </c>
      <c r="AE7475" t="n">
        <v>0</v>
      </c>
      <c r="AF7475" t="n">
        <v>0</v>
      </c>
      <c r="AG7475" t="n">
        <v>0</v>
      </c>
      <c r="AH7475" t="n">
        <v>0</v>
      </c>
      <c r="AI7475" t="n">
        <v>0</v>
      </c>
    </row>
    <row r="7476">
      <c r="A7476" t="inlineStr">
        <is>
          <t>12월</t>
        </is>
      </c>
      <c r="B7476" t="inlineStr">
        <is>
          <t>52주차</t>
        </is>
      </c>
      <c r="C7476" t="e">
        <v>#N/A</v>
      </c>
      <c r="K7476" t="n">
        <v>0</v>
      </c>
      <c r="L7476" t="n">
        <v>0</v>
      </c>
      <c r="M7476" t="n">
        <v>0</v>
      </c>
      <c r="AC7476" t="n">
        <v>0</v>
      </c>
      <c r="AD7476" t="n">
        <v>0</v>
      </c>
      <c r="AE7476" t="n">
        <v>0</v>
      </c>
      <c r="AF7476" t="n">
        <v>0</v>
      </c>
      <c r="AG7476" t="n">
        <v>0</v>
      </c>
      <c r="AH7476" t="n">
        <v>0</v>
      </c>
      <c r="AI7476" t="n">
        <v>0</v>
      </c>
    </row>
    <row r="7477">
      <c r="A7477" t="inlineStr">
        <is>
          <t>12월</t>
        </is>
      </c>
      <c r="B7477" t="inlineStr">
        <is>
          <t>52주차</t>
        </is>
      </c>
      <c r="C7477" t="e">
        <v>#N/A</v>
      </c>
      <c r="K7477" t="n">
        <v>0</v>
      </c>
      <c r="L7477" t="n">
        <v>0</v>
      </c>
      <c r="M7477" t="n">
        <v>0</v>
      </c>
      <c r="AC7477" t="n">
        <v>0</v>
      </c>
      <c r="AD7477" t="n">
        <v>0</v>
      </c>
      <c r="AE7477" t="n">
        <v>0</v>
      </c>
      <c r="AF7477" t="n">
        <v>0</v>
      </c>
      <c r="AG7477" t="n">
        <v>0</v>
      </c>
      <c r="AH7477" t="n">
        <v>0</v>
      </c>
    </row>
    <row r="7478">
      <c r="A7478" t="inlineStr">
        <is>
          <t>12월</t>
        </is>
      </c>
      <c r="B7478" t="inlineStr">
        <is>
          <t>52주차</t>
        </is>
      </c>
      <c r="C7478" t="e">
        <v>#N/A</v>
      </c>
      <c r="K7478" t="n">
        <v>0</v>
      </c>
      <c r="L7478" t="n">
        <v>0</v>
      </c>
      <c r="M7478" t="n">
        <v>0</v>
      </c>
      <c r="AC7478" t="n">
        <v>0</v>
      </c>
      <c r="AD7478" t="n">
        <v>0</v>
      </c>
      <c r="AE7478" t="n">
        <v>0</v>
      </c>
      <c r="AF7478" t="n">
        <v>0</v>
      </c>
      <c r="AG7478" t="n">
        <v>0</v>
      </c>
      <c r="AH7478" t="n">
        <v>0</v>
      </c>
    </row>
    <row r="7479">
      <c r="A7479" t="inlineStr">
        <is>
          <t>12월</t>
        </is>
      </c>
      <c r="B7479" t="inlineStr">
        <is>
          <t>52주차</t>
        </is>
      </c>
      <c r="C7479" t="e">
        <v>#N/A</v>
      </c>
      <c r="K7479" t="n">
        <v>0</v>
      </c>
      <c r="L7479" t="n">
        <v>0</v>
      </c>
      <c r="M7479" t="n">
        <v>0</v>
      </c>
      <c r="AC7479" t="n">
        <v>0</v>
      </c>
      <c r="AD7479" t="n">
        <v>0</v>
      </c>
      <c r="AE7479" t="n">
        <v>0</v>
      </c>
      <c r="AF7479" t="n">
        <v>0</v>
      </c>
      <c r="AG7479" t="n">
        <v>0</v>
      </c>
      <c r="AH7479" t="n">
        <v>0</v>
      </c>
    </row>
    <row r="7480">
      <c r="A7480" t="inlineStr">
        <is>
          <t>12월</t>
        </is>
      </c>
      <c r="B7480" t="inlineStr">
        <is>
          <t>52주차</t>
        </is>
      </c>
      <c r="C7480" t="e">
        <v>#N/A</v>
      </c>
      <c r="K7480" t="n">
        <v>0</v>
      </c>
      <c r="L7480" t="n">
        <v>0</v>
      </c>
      <c r="M7480" t="n">
        <v>0</v>
      </c>
      <c r="AC7480" t="n">
        <v>0</v>
      </c>
      <c r="AD7480" t="n">
        <v>0</v>
      </c>
      <c r="AE7480" t="n">
        <v>0</v>
      </c>
      <c r="AF7480" t="n">
        <v>0</v>
      </c>
      <c r="AG7480" t="n">
        <v>0</v>
      </c>
      <c r="AH7480" t="n">
        <v>0</v>
      </c>
      <c r="AI7480" t="n">
        <v>0</v>
      </c>
    </row>
    <row r="7481">
      <c r="A7481" t="inlineStr">
        <is>
          <t>12월</t>
        </is>
      </c>
      <c r="B7481" t="inlineStr">
        <is>
          <t>52주차</t>
        </is>
      </c>
      <c r="C7481" t="e">
        <v>#N/A</v>
      </c>
      <c r="K7481" t="n">
        <v>0</v>
      </c>
      <c r="L7481" t="n">
        <v>0</v>
      </c>
      <c r="M7481" t="n">
        <v>0</v>
      </c>
      <c r="AC7481" t="n">
        <v>0</v>
      </c>
      <c r="AD7481" t="n">
        <v>0</v>
      </c>
      <c r="AE7481" t="n">
        <v>0</v>
      </c>
      <c r="AF7481" t="n">
        <v>0</v>
      </c>
      <c r="AG7481" t="n">
        <v>0</v>
      </c>
      <c r="AH7481" t="n">
        <v>0</v>
      </c>
    </row>
    <row r="7482">
      <c r="A7482" t="inlineStr">
        <is>
          <t>12월</t>
        </is>
      </c>
      <c r="B7482" t="inlineStr">
        <is>
          <t>52주차</t>
        </is>
      </c>
      <c r="C7482" t="e">
        <v>#N/A</v>
      </c>
      <c r="K7482" t="n">
        <v>0</v>
      </c>
      <c r="L7482" t="n">
        <v>0</v>
      </c>
      <c r="M7482" t="n">
        <v>0</v>
      </c>
      <c r="AC7482" t="n">
        <v>0</v>
      </c>
      <c r="AD7482" t="n">
        <v>0</v>
      </c>
      <c r="AE7482" t="n">
        <v>0</v>
      </c>
      <c r="AF7482" t="n">
        <v>0</v>
      </c>
      <c r="AG7482" t="n">
        <v>0</v>
      </c>
      <c r="AH7482" t="n">
        <v>0</v>
      </c>
      <c r="AI7482" t="n">
        <v>0</v>
      </c>
    </row>
    <row r="7483">
      <c r="A7483" t="inlineStr">
        <is>
          <t>12월</t>
        </is>
      </c>
      <c r="B7483" t="inlineStr">
        <is>
          <t>52주차</t>
        </is>
      </c>
      <c r="C7483" t="e">
        <v>#N/A</v>
      </c>
      <c r="K7483" t="n">
        <v>0</v>
      </c>
      <c r="L7483" t="n">
        <v>0</v>
      </c>
      <c r="M7483" t="n">
        <v>0</v>
      </c>
      <c r="AC7483" t="n">
        <v>0</v>
      </c>
      <c r="AD7483" t="n">
        <v>0</v>
      </c>
      <c r="AE7483" t="n">
        <v>0</v>
      </c>
      <c r="AF7483" t="n">
        <v>0</v>
      </c>
      <c r="AG7483" t="n">
        <v>0</v>
      </c>
      <c r="AH7483" t="n">
        <v>0</v>
      </c>
      <c r="AI7483" t="n">
        <v>0</v>
      </c>
    </row>
    <row r="7484">
      <c r="A7484" t="inlineStr">
        <is>
          <t>12월</t>
        </is>
      </c>
      <c r="B7484" t="inlineStr">
        <is>
          <t>52주차</t>
        </is>
      </c>
      <c r="C7484" t="e">
        <v>#N/A</v>
      </c>
      <c r="K7484" t="n">
        <v>0</v>
      </c>
      <c r="L7484" t="n">
        <v>0</v>
      </c>
      <c r="M7484" t="n">
        <v>0</v>
      </c>
      <c r="AC7484" t="n">
        <v>0</v>
      </c>
      <c r="AD7484" t="n">
        <v>0</v>
      </c>
      <c r="AE7484" t="n">
        <v>0</v>
      </c>
      <c r="AF7484" t="n">
        <v>0</v>
      </c>
      <c r="AG7484" t="n">
        <v>0</v>
      </c>
      <c r="AH7484" t="n">
        <v>0</v>
      </c>
      <c r="AI7484" t="n">
        <v>0</v>
      </c>
    </row>
    <row r="7485">
      <c r="A7485" t="inlineStr">
        <is>
          <t>12월</t>
        </is>
      </c>
      <c r="B7485" t="inlineStr">
        <is>
          <t>52주차</t>
        </is>
      </c>
      <c r="C7485" t="e">
        <v>#N/A</v>
      </c>
      <c r="K7485" t="n">
        <v>0</v>
      </c>
      <c r="L7485" t="n">
        <v>0</v>
      </c>
      <c r="M7485" t="n">
        <v>0</v>
      </c>
      <c r="AC7485" t="n">
        <v>0</v>
      </c>
      <c r="AD7485" t="n">
        <v>0</v>
      </c>
      <c r="AE7485" t="n">
        <v>0</v>
      </c>
      <c r="AF7485" t="n">
        <v>0</v>
      </c>
      <c r="AG7485" t="n">
        <v>0</v>
      </c>
      <c r="AH7485" t="n">
        <v>0</v>
      </c>
    </row>
    <row r="7486">
      <c r="A7486" t="inlineStr">
        <is>
          <t>12월</t>
        </is>
      </c>
      <c r="B7486" t="inlineStr">
        <is>
          <t>52주차</t>
        </is>
      </c>
      <c r="C7486" t="e">
        <v>#N/A</v>
      </c>
      <c r="K7486" t="n">
        <v>0</v>
      </c>
      <c r="L7486" t="n">
        <v>0</v>
      </c>
      <c r="M7486" t="n">
        <v>0</v>
      </c>
      <c r="AC7486" t="n">
        <v>0</v>
      </c>
      <c r="AD7486" t="n">
        <v>0</v>
      </c>
      <c r="AE7486" t="n">
        <v>0</v>
      </c>
      <c r="AF7486" t="n">
        <v>0</v>
      </c>
      <c r="AG7486" t="n">
        <v>0</v>
      </c>
      <c r="AH7486" t="n">
        <v>0</v>
      </c>
    </row>
    <row r="7487">
      <c r="A7487" t="inlineStr">
        <is>
          <t>12월</t>
        </is>
      </c>
      <c r="B7487" t="inlineStr">
        <is>
          <t>52주차</t>
        </is>
      </c>
      <c r="C7487" t="e">
        <v>#N/A</v>
      </c>
      <c r="K7487" t="n">
        <v>0</v>
      </c>
      <c r="L7487" t="n">
        <v>0</v>
      </c>
      <c r="M7487" t="n">
        <v>0</v>
      </c>
      <c r="AC7487" t="n">
        <v>0</v>
      </c>
      <c r="AD7487" t="n">
        <v>0</v>
      </c>
      <c r="AE7487" t="n">
        <v>0</v>
      </c>
      <c r="AF7487" t="n">
        <v>0</v>
      </c>
      <c r="AG7487" t="n">
        <v>0</v>
      </c>
      <c r="AH7487" t="n">
        <v>0</v>
      </c>
      <c r="AI7487" t="n">
        <v>0</v>
      </c>
    </row>
    <row r="7488">
      <c r="A7488" t="inlineStr">
        <is>
          <t>12월</t>
        </is>
      </c>
      <c r="B7488" t="inlineStr">
        <is>
          <t>52주차</t>
        </is>
      </c>
      <c r="C7488" t="e">
        <v>#N/A</v>
      </c>
      <c r="K7488" t="n">
        <v>0</v>
      </c>
      <c r="L7488" t="n">
        <v>0</v>
      </c>
      <c r="M7488" t="n">
        <v>0</v>
      </c>
      <c r="AC7488" t="n">
        <v>0</v>
      </c>
      <c r="AD7488" t="n">
        <v>0</v>
      </c>
      <c r="AE7488" t="n">
        <v>0</v>
      </c>
      <c r="AF7488" t="n">
        <v>0</v>
      </c>
      <c r="AG7488" t="n">
        <v>0</v>
      </c>
      <c r="AH7488" t="n">
        <v>0</v>
      </c>
      <c r="AI7488" t="n">
        <v>0</v>
      </c>
    </row>
    <row r="7489">
      <c r="A7489" t="inlineStr">
        <is>
          <t>12월</t>
        </is>
      </c>
      <c r="B7489" t="inlineStr">
        <is>
          <t>52주차</t>
        </is>
      </c>
      <c r="C7489" t="e">
        <v>#N/A</v>
      </c>
      <c r="K7489" t="n">
        <v>0</v>
      </c>
      <c r="L7489" t="n">
        <v>0</v>
      </c>
      <c r="M7489" t="n">
        <v>0</v>
      </c>
      <c r="AC7489" t="n">
        <v>0</v>
      </c>
      <c r="AD7489" t="n">
        <v>0</v>
      </c>
      <c r="AE7489" t="n">
        <v>0</v>
      </c>
      <c r="AF7489" t="n">
        <v>0</v>
      </c>
      <c r="AG7489" t="n">
        <v>0</v>
      </c>
      <c r="AH7489" t="n">
        <v>0</v>
      </c>
      <c r="AI7489" t="n">
        <v>0</v>
      </c>
    </row>
    <row r="7490">
      <c r="A7490" t="inlineStr">
        <is>
          <t>12월</t>
        </is>
      </c>
      <c r="B7490" t="inlineStr">
        <is>
          <t>52주차</t>
        </is>
      </c>
      <c r="C7490" t="e">
        <v>#N/A</v>
      </c>
      <c r="K7490" t="n">
        <v>0</v>
      </c>
      <c r="L7490" t="n">
        <v>0</v>
      </c>
      <c r="M7490" t="n">
        <v>0</v>
      </c>
      <c r="AC7490" t="n">
        <v>0</v>
      </c>
      <c r="AD7490" t="n">
        <v>0</v>
      </c>
      <c r="AE7490" t="n">
        <v>0</v>
      </c>
      <c r="AF7490" t="n">
        <v>0</v>
      </c>
      <c r="AG7490" t="n">
        <v>0</v>
      </c>
      <c r="AH7490" t="n">
        <v>0</v>
      </c>
      <c r="AI7490" t="n">
        <v>0</v>
      </c>
    </row>
    <row r="7491">
      <c r="A7491" t="inlineStr">
        <is>
          <t>12월</t>
        </is>
      </c>
      <c r="B7491" t="inlineStr">
        <is>
          <t>52주차</t>
        </is>
      </c>
      <c r="C7491" t="e">
        <v>#N/A</v>
      </c>
      <c r="K7491" t="n">
        <v>0</v>
      </c>
      <c r="L7491" t="n">
        <v>0</v>
      </c>
      <c r="M7491" t="n">
        <v>0</v>
      </c>
      <c r="AC7491" t="n">
        <v>0</v>
      </c>
      <c r="AD7491" t="n">
        <v>0</v>
      </c>
      <c r="AE7491" t="n">
        <v>0</v>
      </c>
      <c r="AF7491" t="n">
        <v>0</v>
      </c>
      <c r="AG7491" t="n">
        <v>0</v>
      </c>
      <c r="AH7491" t="n">
        <v>0</v>
      </c>
      <c r="AI7491" t="n">
        <v>0</v>
      </c>
    </row>
    <row r="7492">
      <c r="A7492" t="inlineStr">
        <is>
          <t>12월</t>
        </is>
      </c>
      <c r="B7492" t="inlineStr">
        <is>
          <t>52주차</t>
        </is>
      </c>
      <c r="C7492" t="e">
        <v>#N/A</v>
      </c>
      <c r="K7492" t="n">
        <v>0</v>
      </c>
      <c r="L7492" t="n">
        <v>0</v>
      </c>
      <c r="M7492" t="n">
        <v>0</v>
      </c>
      <c r="AC7492" t="n">
        <v>0</v>
      </c>
      <c r="AD7492" t="n">
        <v>0</v>
      </c>
      <c r="AE7492" t="n">
        <v>0</v>
      </c>
      <c r="AF7492" t="n">
        <v>0</v>
      </c>
      <c r="AG7492" t="n">
        <v>0</v>
      </c>
      <c r="AH7492" t="n">
        <v>0</v>
      </c>
    </row>
    <row r="7493">
      <c r="A7493" t="inlineStr">
        <is>
          <t>12월</t>
        </is>
      </c>
      <c r="B7493" t="inlineStr">
        <is>
          <t>52주차</t>
        </is>
      </c>
      <c r="C7493" t="e">
        <v>#N/A</v>
      </c>
      <c r="K7493" t="n">
        <v>0</v>
      </c>
      <c r="L7493" t="n">
        <v>0</v>
      </c>
      <c r="M7493" t="n">
        <v>0</v>
      </c>
      <c r="AC7493" t="n">
        <v>0</v>
      </c>
      <c r="AD7493" t="n">
        <v>0</v>
      </c>
      <c r="AE7493" t="n">
        <v>0</v>
      </c>
      <c r="AF7493" t="n">
        <v>0</v>
      </c>
      <c r="AG7493" t="n">
        <v>0</v>
      </c>
      <c r="AH7493" t="n">
        <v>0</v>
      </c>
      <c r="AI7493" t="n">
        <v>0</v>
      </c>
    </row>
    <row r="7494">
      <c r="A7494" t="inlineStr">
        <is>
          <t>12월</t>
        </is>
      </c>
      <c r="B7494" t="inlineStr">
        <is>
          <t>52주차</t>
        </is>
      </c>
      <c r="C7494" t="e">
        <v>#N/A</v>
      </c>
      <c r="K7494" t="n">
        <v>0</v>
      </c>
      <c r="L7494" t="n">
        <v>0</v>
      </c>
      <c r="M7494" t="n">
        <v>0</v>
      </c>
      <c r="AC7494" t="n">
        <v>0</v>
      </c>
      <c r="AD7494" t="n">
        <v>0</v>
      </c>
      <c r="AE7494" t="n">
        <v>0</v>
      </c>
      <c r="AF7494" t="n">
        <v>0</v>
      </c>
      <c r="AG7494" t="n">
        <v>0</v>
      </c>
      <c r="AH7494" t="n">
        <v>0</v>
      </c>
    </row>
    <row r="7495">
      <c r="A7495" t="inlineStr">
        <is>
          <t>12월</t>
        </is>
      </c>
      <c r="B7495" t="inlineStr">
        <is>
          <t>52주차</t>
        </is>
      </c>
      <c r="C7495" t="e">
        <v>#N/A</v>
      </c>
      <c r="K7495" t="n">
        <v>0</v>
      </c>
      <c r="L7495" t="n">
        <v>0</v>
      </c>
      <c r="M7495" t="n">
        <v>0</v>
      </c>
      <c r="AC7495" t="n">
        <v>0</v>
      </c>
      <c r="AD7495" t="n">
        <v>0</v>
      </c>
      <c r="AE7495" t="n">
        <v>0</v>
      </c>
      <c r="AF7495" t="n">
        <v>0</v>
      </c>
      <c r="AG7495" t="n">
        <v>0</v>
      </c>
      <c r="AH7495" t="n">
        <v>0</v>
      </c>
      <c r="AI7495" t="n">
        <v>0</v>
      </c>
    </row>
    <row r="7496">
      <c r="A7496" t="inlineStr">
        <is>
          <t>12월</t>
        </is>
      </c>
      <c r="B7496" t="inlineStr">
        <is>
          <t>52주차</t>
        </is>
      </c>
      <c r="C7496" t="e">
        <v>#N/A</v>
      </c>
      <c r="K7496" t="n">
        <v>0</v>
      </c>
      <c r="L7496" t="n">
        <v>0</v>
      </c>
      <c r="M7496" t="n">
        <v>0</v>
      </c>
      <c r="AC7496" t="n">
        <v>0</v>
      </c>
      <c r="AD7496" t="n">
        <v>0</v>
      </c>
      <c r="AE7496" t="n">
        <v>0</v>
      </c>
      <c r="AF7496" t="n">
        <v>0</v>
      </c>
      <c r="AG7496" t="n">
        <v>0</v>
      </c>
      <c r="AH7496" t="n">
        <v>0</v>
      </c>
      <c r="AI7496" t="n">
        <v>0</v>
      </c>
    </row>
    <row r="7497">
      <c r="A7497" t="inlineStr">
        <is>
          <t>12월</t>
        </is>
      </c>
      <c r="B7497" t="inlineStr">
        <is>
          <t>52주차</t>
        </is>
      </c>
      <c r="C7497" t="e">
        <v>#N/A</v>
      </c>
      <c r="K7497" t="n">
        <v>0</v>
      </c>
      <c r="L7497" t="n">
        <v>0</v>
      </c>
      <c r="M7497" t="n">
        <v>0</v>
      </c>
      <c r="AC7497" t="n">
        <v>0</v>
      </c>
      <c r="AD7497" t="n">
        <v>0</v>
      </c>
      <c r="AE7497" t="n">
        <v>0</v>
      </c>
      <c r="AF7497" t="n">
        <v>0</v>
      </c>
      <c r="AG7497" t="n">
        <v>0</v>
      </c>
      <c r="AH7497" t="n">
        <v>0</v>
      </c>
    </row>
    <row r="7498">
      <c r="A7498" t="inlineStr">
        <is>
          <t>12월</t>
        </is>
      </c>
      <c r="B7498" t="inlineStr">
        <is>
          <t>52주차</t>
        </is>
      </c>
      <c r="C7498" t="e">
        <v>#N/A</v>
      </c>
      <c r="K7498" t="n">
        <v>0</v>
      </c>
      <c r="L7498" t="n">
        <v>0</v>
      </c>
      <c r="M7498" t="n">
        <v>0</v>
      </c>
      <c r="AC7498" t="n">
        <v>0</v>
      </c>
      <c r="AD7498" t="n">
        <v>0</v>
      </c>
      <c r="AE7498" t="n">
        <v>0</v>
      </c>
      <c r="AF7498" t="n">
        <v>0</v>
      </c>
      <c r="AG7498" t="n">
        <v>0</v>
      </c>
      <c r="AH7498" t="n">
        <v>0</v>
      </c>
      <c r="AI7498" t="n">
        <v>0</v>
      </c>
    </row>
    <row r="7499">
      <c r="A7499" t="inlineStr">
        <is>
          <t>12월</t>
        </is>
      </c>
      <c r="B7499" t="inlineStr">
        <is>
          <t>52주차</t>
        </is>
      </c>
      <c r="C7499" t="e">
        <v>#N/A</v>
      </c>
      <c r="K7499" t="n">
        <v>0</v>
      </c>
      <c r="L7499" t="n">
        <v>0</v>
      </c>
      <c r="M7499" t="n">
        <v>0</v>
      </c>
      <c r="AC7499" t="n">
        <v>0</v>
      </c>
      <c r="AD7499" t="n">
        <v>0</v>
      </c>
      <c r="AE7499" t="n">
        <v>0</v>
      </c>
      <c r="AF7499" t="n">
        <v>0</v>
      </c>
      <c r="AG7499" t="n">
        <v>0</v>
      </c>
      <c r="AH7499" t="n">
        <v>0</v>
      </c>
    </row>
    <row r="7500">
      <c r="A7500" t="inlineStr">
        <is>
          <t>12월</t>
        </is>
      </c>
      <c r="B7500" t="inlineStr">
        <is>
          <t>52주차</t>
        </is>
      </c>
      <c r="C7500" t="e">
        <v>#N/A</v>
      </c>
      <c r="K7500" t="n">
        <v>0</v>
      </c>
      <c r="L7500" t="n">
        <v>0</v>
      </c>
      <c r="M7500" t="n">
        <v>0</v>
      </c>
      <c r="AC7500" t="n">
        <v>0</v>
      </c>
      <c r="AD7500" t="n">
        <v>0</v>
      </c>
      <c r="AE7500" t="n">
        <v>0</v>
      </c>
      <c r="AF7500" t="n">
        <v>0</v>
      </c>
      <c r="AG7500" t="n">
        <v>0</v>
      </c>
      <c r="AH7500" t="n">
        <v>0</v>
      </c>
      <c r="AI7500" t="n">
        <v>0</v>
      </c>
    </row>
    <row r="7501">
      <c r="A7501" t="inlineStr">
        <is>
          <t>12월</t>
        </is>
      </c>
      <c r="B7501" t="inlineStr">
        <is>
          <t>52주차</t>
        </is>
      </c>
      <c r="C7501" t="e">
        <v>#N/A</v>
      </c>
      <c r="K7501" t="n">
        <v>0</v>
      </c>
      <c r="L7501" t="n">
        <v>0</v>
      </c>
      <c r="M7501" t="n">
        <v>0</v>
      </c>
      <c r="AC7501" t="n">
        <v>0</v>
      </c>
      <c r="AD7501" t="n">
        <v>0</v>
      </c>
      <c r="AE7501" t="n">
        <v>0</v>
      </c>
      <c r="AF7501" t="n">
        <v>0</v>
      </c>
      <c r="AG7501" t="n">
        <v>0</v>
      </c>
      <c r="AH7501" t="n">
        <v>0</v>
      </c>
    </row>
    <row r="7502">
      <c r="A7502" t="inlineStr">
        <is>
          <t>12월</t>
        </is>
      </c>
      <c r="B7502" t="inlineStr">
        <is>
          <t>52주차</t>
        </is>
      </c>
      <c r="C7502" t="e">
        <v>#N/A</v>
      </c>
      <c r="K7502" t="n">
        <v>0</v>
      </c>
      <c r="L7502" t="n">
        <v>0</v>
      </c>
      <c r="M7502" t="n">
        <v>0</v>
      </c>
      <c r="AC7502" t="n">
        <v>0</v>
      </c>
      <c r="AD7502" t="n">
        <v>0</v>
      </c>
      <c r="AE7502" t="n">
        <v>0</v>
      </c>
      <c r="AF7502" t="n">
        <v>0</v>
      </c>
      <c r="AG7502" t="n">
        <v>0</v>
      </c>
      <c r="AH7502" t="n">
        <v>0</v>
      </c>
      <c r="AI7502" t="n">
        <v>0</v>
      </c>
    </row>
    <row r="7503">
      <c r="A7503" t="inlineStr">
        <is>
          <t>12월</t>
        </is>
      </c>
      <c r="B7503" t="inlineStr">
        <is>
          <t>52주차</t>
        </is>
      </c>
      <c r="C7503" t="e">
        <v>#N/A</v>
      </c>
      <c r="K7503" t="n">
        <v>0</v>
      </c>
      <c r="L7503" t="n">
        <v>0</v>
      </c>
      <c r="M7503" t="n">
        <v>0</v>
      </c>
      <c r="AC7503" t="n">
        <v>0</v>
      </c>
      <c r="AD7503" t="n">
        <v>0</v>
      </c>
      <c r="AE7503" t="n">
        <v>0</v>
      </c>
      <c r="AF7503" t="n">
        <v>0</v>
      </c>
      <c r="AG7503" t="n">
        <v>0</v>
      </c>
      <c r="AH7503" t="n">
        <v>0</v>
      </c>
      <c r="AI7503" t="n">
        <v>0</v>
      </c>
    </row>
    <row r="7504">
      <c r="A7504" t="inlineStr">
        <is>
          <t>12월</t>
        </is>
      </c>
      <c r="B7504" t="inlineStr">
        <is>
          <t>52주차</t>
        </is>
      </c>
      <c r="C7504" t="e">
        <v>#N/A</v>
      </c>
      <c r="K7504" t="n">
        <v>0</v>
      </c>
      <c r="L7504" t="n">
        <v>0</v>
      </c>
      <c r="M7504" t="n">
        <v>0</v>
      </c>
      <c r="AC7504" t="n">
        <v>0</v>
      </c>
      <c r="AD7504" t="n">
        <v>0</v>
      </c>
      <c r="AE7504" t="n">
        <v>0</v>
      </c>
      <c r="AF7504" t="n">
        <v>0</v>
      </c>
      <c r="AG7504" t="n">
        <v>0</v>
      </c>
      <c r="AH7504" t="n">
        <v>0</v>
      </c>
      <c r="AI7504" t="n">
        <v>0</v>
      </c>
    </row>
    <row r="7505">
      <c r="A7505" t="inlineStr">
        <is>
          <t>12월</t>
        </is>
      </c>
      <c r="B7505" t="inlineStr">
        <is>
          <t>52주차</t>
        </is>
      </c>
      <c r="C7505" t="e">
        <v>#N/A</v>
      </c>
      <c r="K7505" t="n">
        <v>0</v>
      </c>
      <c r="L7505" t="n">
        <v>0</v>
      </c>
      <c r="M7505" t="n">
        <v>0</v>
      </c>
      <c r="AC7505" t="n">
        <v>0</v>
      </c>
      <c r="AD7505" t="n">
        <v>0</v>
      </c>
      <c r="AE7505" t="n">
        <v>0</v>
      </c>
      <c r="AF7505" t="n">
        <v>0</v>
      </c>
      <c r="AG7505" t="n">
        <v>0</v>
      </c>
      <c r="AH7505" t="n">
        <v>0</v>
      </c>
      <c r="AI7505" t="n">
        <v>0</v>
      </c>
    </row>
    <row r="7506">
      <c r="A7506" t="inlineStr">
        <is>
          <t>12월</t>
        </is>
      </c>
      <c r="B7506" t="inlineStr">
        <is>
          <t>52주차</t>
        </is>
      </c>
      <c r="C7506" t="e">
        <v>#N/A</v>
      </c>
      <c r="K7506" t="n">
        <v>0</v>
      </c>
      <c r="L7506" t="n">
        <v>0</v>
      </c>
      <c r="M7506" t="n">
        <v>0</v>
      </c>
      <c r="AC7506" t="n">
        <v>0</v>
      </c>
      <c r="AD7506" t="n">
        <v>0</v>
      </c>
      <c r="AE7506" t="n">
        <v>0</v>
      </c>
      <c r="AF7506" t="n">
        <v>0</v>
      </c>
      <c r="AG7506" t="n">
        <v>0</v>
      </c>
      <c r="AH7506" t="n">
        <v>0</v>
      </c>
      <c r="AI7506" t="n">
        <v>0</v>
      </c>
    </row>
    <row r="7507">
      <c r="A7507" t="inlineStr">
        <is>
          <t>12월</t>
        </is>
      </c>
      <c r="B7507" t="inlineStr">
        <is>
          <t>52주차</t>
        </is>
      </c>
      <c r="C7507" t="e">
        <v>#N/A</v>
      </c>
      <c r="K7507" t="n">
        <v>0</v>
      </c>
      <c r="L7507" t="n">
        <v>0</v>
      </c>
      <c r="M7507" t="n">
        <v>0</v>
      </c>
      <c r="AC7507" t="n">
        <v>0</v>
      </c>
      <c r="AD7507" t="n">
        <v>0</v>
      </c>
      <c r="AE7507" t="n">
        <v>0</v>
      </c>
      <c r="AF7507" t="n">
        <v>0</v>
      </c>
      <c r="AG7507" t="n">
        <v>0</v>
      </c>
      <c r="AH7507" t="n">
        <v>0</v>
      </c>
    </row>
    <row r="7508">
      <c r="A7508" t="inlineStr">
        <is>
          <t>12월</t>
        </is>
      </c>
      <c r="B7508" t="inlineStr">
        <is>
          <t>52주차</t>
        </is>
      </c>
      <c r="C7508" t="e">
        <v>#N/A</v>
      </c>
      <c r="K7508" t="n">
        <v>0</v>
      </c>
      <c r="L7508" t="n">
        <v>0</v>
      </c>
      <c r="M7508" t="n">
        <v>0</v>
      </c>
      <c r="AC7508" t="n">
        <v>0</v>
      </c>
      <c r="AD7508" t="n">
        <v>0</v>
      </c>
      <c r="AE7508" t="n">
        <v>0</v>
      </c>
      <c r="AF7508" t="n">
        <v>0</v>
      </c>
      <c r="AG7508" t="n">
        <v>0</v>
      </c>
      <c r="AH7508" t="n">
        <v>0</v>
      </c>
      <c r="AI7508" t="n">
        <v>0</v>
      </c>
    </row>
    <row r="7509">
      <c r="A7509" t="inlineStr">
        <is>
          <t>12월</t>
        </is>
      </c>
      <c r="B7509" t="inlineStr">
        <is>
          <t>52주차</t>
        </is>
      </c>
      <c r="C7509" t="e">
        <v>#N/A</v>
      </c>
      <c r="K7509" t="n">
        <v>0</v>
      </c>
      <c r="L7509" t="n">
        <v>0</v>
      </c>
      <c r="M7509" t="n">
        <v>0</v>
      </c>
      <c r="AC7509" t="n">
        <v>0</v>
      </c>
      <c r="AD7509" t="n">
        <v>0</v>
      </c>
      <c r="AE7509" t="n">
        <v>0</v>
      </c>
      <c r="AF7509" t="n">
        <v>0</v>
      </c>
      <c r="AG7509" t="n">
        <v>0</v>
      </c>
      <c r="AH7509" t="n">
        <v>0</v>
      </c>
    </row>
    <row r="7510">
      <c r="A7510" t="inlineStr">
        <is>
          <t>12월</t>
        </is>
      </c>
      <c r="B7510" t="inlineStr">
        <is>
          <t>52주차</t>
        </is>
      </c>
      <c r="C7510" t="e">
        <v>#N/A</v>
      </c>
      <c r="K7510" t="n">
        <v>0</v>
      </c>
      <c r="L7510" t="n">
        <v>0</v>
      </c>
      <c r="M7510" t="n">
        <v>0</v>
      </c>
      <c r="AC7510" t="n">
        <v>0</v>
      </c>
      <c r="AD7510" t="n">
        <v>0</v>
      </c>
      <c r="AE7510" t="n">
        <v>0</v>
      </c>
      <c r="AF7510" t="n">
        <v>0</v>
      </c>
      <c r="AG7510" t="n">
        <v>0</v>
      </c>
      <c r="AH7510" t="n">
        <v>0</v>
      </c>
      <c r="AI7510" t="n">
        <v>0</v>
      </c>
    </row>
    <row r="7511">
      <c r="A7511" t="inlineStr">
        <is>
          <t>12월</t>
        </is>
      </c>
      <c r="B7511" t="inlineStr">
        <is>
          <t>52주차</t>
        </is>
      </c>
      <c r="C7511" t="e">
        <v>#N/A</v>
      </c>
      <c r="K7511" t="n">
        <v>0</v>
      </c>
      <c r="L7511" t="n">
        <v>0</v>
      </c>
      <c r="M7511" t="n">
        <v>0</v>
      </c>
      <c r="AC7511" t="n">
        <v>0</v>
      </c>
      <c r="AD7511" t="n">
        <v>0</v>
      </c>
      <c r="AE7511" t="n">
        <v>0</v>
      </c>
      <c r="AF7511" t="n">
        <v>0</v>
      </c>
      <c r="AG7511" t="n">
        <v>0</v>
      </c>
      <c r="AH7511" t="n">
        <v>0</v>
      </c>
      <c r="AI7511" t="n">
        <v>0</v>
      </c>
    </row>
    <row r="7512">
      <c r="A7512" t="inlineStr">
        <is>
          <t>12월</t>
        </is>
      </c>
      <c r="B7512" t="inlineStr">
        <is>
          <t>52주차</t>
        </is>
      </c>
      <c r="C7512" t="e">
        <v>#N/A</v>
      </c>
      <c r="K7512" t="n">
        <v>0</v>
      </c>
      <c r="L7512" t="n">
        <v>0</v>
      </c>
      <c r="M7512" t="n">
        <v>0</v>
      </c>
      <c r="AC7512" t="n">
        <v>0</v>
      </c>
      <c r="AD7512" t="n">
        <v>0</v>
      </c>
      <c r="AE7512" t="n">
        <v>0</v>
      </c>
      <c r="AF7512" t="n">
        <v>0</v>
      </c>
      <c r="AG7512" t="n">
        <v>0</v>
      </c>
      <c r="AH7512" t="n">
        <v>0</v>
      </c>
    </row>
    <row r="7513">
      <c r="A7513" t="inlineStr">
        <is>
          <t>12월</t>
        </is>
      </c>
      <c r="B7513" t="inlineStr">
        <is>
          <t>52주차</t>
        </is>
      </c>
      <c r="C7513" t="e">
        <v>#N/A</v>
      </c>
      <c r="K7513" t="n">
        <v>0</v>
      </c>
      <c r="L7513" t="n">
        <v>0</v>
      </c>
      <c r="M7513" t="n">
        <v>0</v>
      </c>
      <c r="AC7513" t="n">
        <v>0</v>
      </c>
      <c r="AD7513" t="n">
        <v>0</v>
      </c>
      <c r="AE7513" t="n">
        <v>0</v>
      </c>
      <c r="AF7513" t="n">
        <v>0</v>
      </c>
      <c r="AG7513" t="n">
        <v>0</v>
      </c>
      <c r="AH7513" t="n">
        <v>0</v>
      </c>
      <c r="AI7513" t="n">
        <v>0</v>
      </c>
    </row>
    <row r="7514">
      <c r="A7514" t="inlineStr">
        <is>
          <t>12월</t>
        </is>
      </c>
      <c r="B7514" t="inlineStr">
        <is>
          <t>52주차</t>
        </is>
      </c>
      <c r="C7514" t="e">
        <v>#N/A</v>
      </c>
      <c r="K7514" t="n">
        <v>0</v>
      </c>
      <c r="L7514" t="n">
        <v>0</v>
      </c>
      <c r="M7514" t="n">
        <v>0</v>
      </c>
      <c r="AC7514" t="n">
        <v>0</v>
      </c>
      <c r="AD7514" t="n">
        <v>0</v>
      </c>
      <c r="AE7514" t="n">
        <v>0</v>
      </c>
      <c r="AF7514" t="n">
        <v>0</v>
      </c>
      <c r="AG7514" t="n">
        <v>0</v>
      </c>
      <c r="AH7514" t="n">
        <v>0</v>
      </c>
      <c r="AI7514" t="n">
        <v>0</v>
      </c>
    </row>
    <row r="7515">
      <c r="A7515" t="inlineStr">
        <is>
          <t>12월</t>
        </is>
      </c>
      <c r="B7515" t="inlineStr">
        <is>
          <t>52주차</t>
        </is>
      </c>
      <c r="C7515" t="e">
        <v>#N/A</v>
      </c>
      <c r="K7515" t="n">
        <v>0</v>
      </c>
      <c r="L7515" t="n">
        <v>0</v>
      </c>
      <c r="M7515" t="n">
        <v>0</v>
      </c>
      <c r="AC7515" t="n">
        <v>0</v>
      </c>
      <c r="AD7515" t="n">
        <v>0</v>
      </c>
      <c r="AE7515" t="n">
        <v>0</v>
      </c>
      <c r="AF7515" t="n">
        <v>0</v>
      </c>
      <c r="AG7515" t="n">
        <v>0</v>
      </c>
      <c r="AH7515" t="n">
        <v>0</v>
      </c>
      <c r="AI7515" t="n">
        <v>0</v>
      </c>
    </row>
    <row r="7516">
      <c r="A7516" t="inlineStr">
        <is>
          <t>12월</t>
        </is>
      </c>
      <c r="B7516" t="inlineStr">
        <is>
          <t>52주차</t>
        </is>
      </c>
      <c r="C7516" t="e">
        <v>#N/A</v>
      </c>
      <c r="K7516" t="n">
        <v>0</v>
      </c>
      <c r="L7516" t="n">
        <v>0</v>
      </c>
      <c r="M7516" t="n">
        <v>0</v>
      </c>
      <c r="AC7516" t="n">
        <v>0</v>
      </c>
      <c r="AD7516" t="n">
        <v>0</v>
      </c>
      <c r="AE7516" t="n">
        <v>0</v>
      </c>
      <c r="AF7516" t="n">
        <v>0</v>
      </c>
      <c r="AG7516" t="n">
        <v>0</v>
      </c>
      <c r="AH7516" t="n">
        <v>0</v>
      </c>
      <c r="AI7516" t="n">
        <v>0</v>
      </c>
    </row>
    <row r="7517">
      <c r="A7517" t="inlineStr">
        <is>
          <t>12월</t>
        </is>
      </c>
      <c r="B7517" t="inlineStr">
        <is>
          <t>52주차</t>
        </is>
      </c>
      <c r="C7517" t="e">
        <v>#N/A</v>
      </c>
      <c r="K7517" t="n">
        <v>0</v>
      </c>
      <c r="L7517" t="n">
        <v>0</v>
      </c>
      <c r="M7517" t="n">
        <v>0</v>
      </c>
      <c r="AC7517" t="n">
        <v>0</v>
      </c>
      <c r="AD7517" t="n">
        <v>0</v>
      </c>
      <c r="AE7517" t="n">
        <v>0</v>
      </c>
      <c r="AF7517" t="n">
        <v>0</v>
      </c>
      <c r="AG7517" t="n">
        <v>0</v>
      </c>
      <c r="AH7517" t="n">
        <v>0</v>
      </c>
      <c r="AI7517" t="n">
        <v>0</v>
      </c>
    </row>
    <row r="7518">
      <c r="A7518" t="inlineStr">
        <is>
          <t>12월</t>
        </is>
      </c>
      <c r="B7518" t="inlineStr">
        <is>
          <t>52주차</t>
        </is>
      </c>
      <c r="C7518" t="e">
        <v>#N/A</v>
      </c>
      <c r="K7518" t="n">
        <v>0</v>
      </c>
      <c r="L7518" t="n">
        <v>0</v>
      </c>
      <c r="M7518" t="n">
        <v>0</v>
      </c>
      <c r="AC7518" t="n">
        <v>0</v>
      </c>
      <c r="AD7518" t="n">
        <v>0</v>
      </c>
      <c r="AE7518" t="n">
        <v>0</v>
      </c>
      <c r="AF7518" t="n">
        <v>0</v>
      </c>
      <c r="AG7518" t="n">
        <v>0</v>
      </c>
      <c r="AH7518" t="n">
        <v>0</v>
      </c>
      <c r="AI7518" t="n">
        <v>0</v>
      </c>
    </row>
    <row r="7519">
      <c r="A7519" t="inlineStr">
        <is>
          <t>12월</t>
        </is>
      </c>
      <c r="B7519" t="inlineStr">
        <is>
          <t>52주차</t>
        </is>
      </c>
      <c r="C7519" t="e">
        <v>#N/A</v>
      </c>
      <c r="K7519" t="n">
        <v>0</v>
      </c>
      <c r="L7519" t="n">
        <v>0</v>
      </c>
      <c r="M7519" t="n">
        <v>0</v>
      </c>
      <c r="AC7519" t="n">
        <v>0</v>
      </c>
      <c r="AD7519" t="n">
        <v>0</v>
      </c>
      <c r="AE7519" t="n">
        <v>0</v>
      </c>
      <c r="AF7519" t="n">
        <v>0</v>
      </c>
      <c r="AG7519" t="n">
        <v>0</v>
      </c>
      <c r="AH7519" t="n">
        <v>0</v>
      </c>
      <c r="AI7519" t="n">
        <v>0</v>
      </c>
    </row>
    <row r="7520">
      <c r="A7520" t="inlineStr">
        <is>
          <t>12월</t>
        </is>
      </c>
      <c r="B7520" t="inlineStr">
        <is>
          <t>52주차</t>
        </is>
      </c>
      <c r="C7520" t="e">
        <v>#N/A</v>
      </c>
      <c r="K7520" t="n">
        <v>0</v>
      </c>
      <c r="L7520" t="n">
        <v>0</v>
      </c>
      <c r="M7520" t="n">
        <v>0</v>
      </c>
      <c r="AC7520" t="n">
        <v>0</v>
      </c>
      <c r="AD7520" t="n">
        <v>0</v>
      </c>
      <c r="AE7520" t="n">
        <v>0</v>
      </c>
      <c r="AF7520" t="n">
        <v>0</v>
      </c>
      <c r="AG7520" t="n">
        <v>0</v>
      </c>
      <c r="AH7520" t="n">
        <v>0</v>
      </c>
      <c r="AI7520" t="n">
        <v>0</v>
      </c>
    </row>
    <row r="7521">
      <c r="A7521" t="inlineStr">
        <is>
          <t>12월</t>
        </is>
      </c>
      <c r="B7521" t="inlineStr">
        <is>
          <t>52주차</t>
        </is>
      </c>
      <c r="C7521" t="e">
        <v>#N/A</v>
      </c>
      <c r="K7521" t="n">
        <v>0</v>
      </c>
      <c r="L7521" t="n">
        <v>0</v>
      </c>
      <c r="M7521" t="n">
        <v>0</v>
      </c>
      <c r="AC7521" t="n">
        <v>0</v>
      </c>
      <c r="AD7521" t="n">
        <v>0</v>
      </c>
      <c r="AE7521" t="n">
        <v>0</v>
      </c>
      <c r="AF7521" t="n">
        <v>0</v>
      </c>
      <c r="AG7521" t="n">
        <v>0</v>
      </c>
      <c r="AH7521" t="n">
        <v>0</v>
      </c>
      <c r="AI7521" t="n">
        <v>0</v>
      </c>
    </row>
    <row r="7522">
      <c r="A7522" t="inlineStr">
        <is>
          <t>12월</t>
        </is>
      </c>
      <c r="B7522" t="inlineStr">
        <is>
          <t>52주차</t>
        </is>
      </c>
      <c r="C7522" t="e">
        <v>#N/A</v>
      </c>
      <c r="K7522" t="n">
        <v>0</v>
      </c>
      <c r="L7522" t="n">
        <v>0</v>
      </c>
      <c r="M7522" t="n">
        <v>0</v>
      </c>
      <c r="AC7522" t="n">
        <v>0</v>
      </c>
      <c r="AD7522" t="n">
        <v>0</v>
      </c>
      <c r="AE7522" t="n">
        <v>0</v>
      </c>
      <c r="AF7522" t="n">
        <v>0</v>
      </c>
      <c r="AG7522" t="n">
        <v>0</v>
      </c>
      <c r="AH7522" t="n">
        <v>0</v>
      </c>
      <c r="AI7522" t="n">
        <v>0</v>
      </c>
    </row>
    <row r="7523">
      <c r="A7523" t="inlineStr">
        <is>
          <t>12월</t>
        </is>
      </c>
      <c r="B7523" t="inlineStr">
        <is>
          <t>52주차</t>
        </is>
      </c>
      <c r="C7523" t="e">
        <v>#N/A</v>
      </c>
      <c r="K7523" t="n">
        <v>0</v>
      </c>
      <c r="L7523" t="n">
        <v>0</v>
      </c>
      <c r="M7523" t="n">
        <v>0</v>
      </c>
      <c r="AC7523" t="n">
        <v>0</v>
      </c>
      <c r="AD7523" t="n">
        <v>0</v>
      </c>
      <c r="AE7523" t="n">
        <v>0</v>
      </c>
      <c r="AF7523" t="n">
        <v>0</v>
      </c>
      <c r="AG7523" t="n">
        <v>0</v>
      </c>
      <c r="AH7523" t="n">
        <v>0</v>
      </c>
    </row>
    <row r="7524">
      <c r="A7524" t="inlineStr">
        <is>
          <t>12월</t>
        </is>
      </c>
      <c r="B7524" t="inlineStr">
        <is>
          <t>52주차</t>
        </is>
      </c>
      <c r="C7524" t="e">
        <v>#N/A</v>
      </c>
      <c r="K7524" t="n">
        <v>0</v>
      </c>
      <c r="L7524" t="n">
        <v>0</v>
      </c>
      <c r="M7524" t="n">
        <v>0</v>
      </c>
      <c r="AC7524" t="n">
        <v>0</v>
      </c>
      <c r="AD7524" t="n">
        <v>0</v>
      </c>
      <c r="AE7524" t="n">
        <v>0</v>
      </c>
      <c r="AF7524" t="n">
        <v>0</v>
      </c>
      <c r="AG7524" t="n">
        <v>0</v>
      </c>
      <c r="AH7524" t="n">
        <v>0</v>
      </c>
      <c r="AI7524" t="n">
        <v>0</v>
      </c>
    </row>
    <row r="7525">
      <c r="A7525" t="inlineStr">
        <is>
          <t>12월</t>
        </is>
      </c>
      <c r="B7525" t="inlineStr">
        <is>
          <t>52주차</t>
        </is>
      </c>
      <c r="C7525" t="e">
        <v>#N/A</v>
      </c>
      <c r="K7525" t="n">
        <v>0</v>
      </c>
      <c r="L7525" t="n">
        <v>0</v>
      </c>
      <c r="M7525" t="n">
        <v>0</v>
      </c>
      <c r="AC7525" t="n">
        <v>0</v>
      </c>
      <c r="AD7525" t="n">
        <v>0</v>
      </c>
      <c r="AE7525" t="n">
        <v>0</v>
      </c>
      <c r="AF7525" t="n">
        <v>0</v>
      </c>
      <c r="AG7525" t="n">
        <v>0</v>
      </c>
      <c r="AH7525" t="n">
        <v>0</v>
      </c>
      <c r="AI7525" t="n">
        <v>0</v>
      </c>
    </row>
    <row r="7526">
      <c r="A7526" t="inlineStr">
        <is>
          <t>12월</t>
        </is>
      </c>
      <c r="B7526" t="inlineStr">
        <is>
          <t>52주차</t>
        </is>
      </c>
      <c r="C7526" t="e">
        <v>#N/A</v>
      </c>
      <c r="K7526" t="n">
        <v>0</v>
      </c>
      <c r="L7526" t="n">
        <v>0</v>
      </c>
      <c r="M7526" t="n">
        <v>0</v>
      </c>
      <c r="AC7526" t="n">
        <v>0</v>
      </c>
      <c r="AD7526" t="n">
        <v>0</v>
      </c>
      <c r="AE7526" t="n">
        <v>0</v>
      </c>
      <c r="AF7526" t="n">
        <v>0</v>
      </c>
      <c r="AG7526" t="n">
        <v>0</v>
      </c>
      <c r="AH7526" t="n">
        <v>0</v>
      </c>
      <c r="AI7526" t="n">
        <v>0</v>
      </c>
    </row>
    <row r="7527">
      <c r="A7527" t="inlineStr">
        <is>
          <t>12월</t>
        </is>
      </c>
      <c r="B7527" t="inlineStr">
        <is>
          <t>52주차</t>
        </is>
      </c>
      <c r="C7527" t="e">
        <v>#N/A</v>
      </c>
      <c r="K7527" t="n">
        <v>0</v>
      </c>
      <c r="L7527" t="n">
        <v>0</v>
      </c>
      <c r="M7527" t="n">
        <v>0</v>
      </c>
      <c r="AC7527" t="n">
        <v>0</v>
      </c>
      <c r="AD7527" t="n">
        <v>0</v>
      </c>
      <c r="AE7527" t="n">
        <v>0</v>
      </c>
      <c r="AF7527" t="n">
        <v>0</v>
      </c>
      <c r="AG7527" t="n">
        <v>0</v>
      </c>
      <c r="AH7527" t="n">
        <v>0</v>
      </c>
    </row>
    <row r="7528">
      <c r="A7528" t="inlineStr">
        <is>
          <t>12월</t>
        </is>
      </c>
      <c r="B7528" t="inlineStr">
        <is>
          <t>52주차</t>
        </is>
      </c>
      <c r="C7528" t="e">
        <v>#N/A</v>
      </c>
      <c r="K7528" t="n">
        <v>0</v>
      </c>
      <c r="L7528" t="n">
        <v>0</v>
      </c>
      <c r="M7528" t="n">
        <v>0</v>
      </c>
      <c r="AC7528" t="n">
        <v>0</v>
      </c>
      <c r="AD7528" t="n">
        <v>0</v>
      </c>
      <c r="AE7528" t="n">
        <v>0</v>
      </c>
      <c r="AF7528" t="n">
        <v>0</v>
      </c>
      <c r="AG7528" t="n">
        <v>0</v>
      </c>
      <c r="AH7528" t="n">
        <v>0</v>
      </c>
      <c r="AI7528" t="n">
        <v>0</v>
      </c>
    </row>
    <row r="7529">
      <c r="A7529" t="inlineStr">
        <is>
          <t>12월</t>
        </is>
      </c>
      <c r="B7529" t="inlineStr">
        <is>
          <t>52주차</t>
        </is>
      </c>
      <c r="C7529" t="e">
        <v>#N/A</v>
      </c>
      <c r="K7529" t="n">
        <v>0</v>
      </c>
      <c r="L7529" t="n">
        <v>0</v>
      </c>
      <c r="M7529" t="n">
        <v>0</v>
      </c>
      <c r="AC7529" t="n">
        <v>0</v>
      </c>
      <c r="AD7529" t="n">
        <v>0</v>
      </c>
      <c r="AE7529" t="n">
        <v>0</v>
      </c>
      <c r="AF7529" t="n">
        <v>0</v>
      </c>
      <c r="AG7529" t="n">
        <v>0</v>
      </c>
      <c r="AH7529" t="n">
        <v>0</v>
      </c>
      <c r="AI7529" t="n">
        <v>0</v>
      </c>
    </row>
    <row r="7530">
      <c r="A7530" t="inlineStr">
        <is>
          <t>12월</t>
        </is>
      </c>
      <c r="B7530" t="inlineStr">
        <is>
          <t>52주차</t>
        </is>
      </c>
      <c r="C7530" t="e">
        <v>#N/A</v>
      </c>
      <c r="K7530" t="n">
        <v>0</v>
      </c>
      <c r="L7530" t="n">
        <v>0</v>
      </c>
      <c r="M7530" t="n">
        <v>0</v>
      </c>
      <c r="AC7530" t="n">
        <v>0</v>
      </c>
      <c r="AD7530" t="n">
        <v>0</v>
      </c>
      <c r="AE7530" t="n">
        <v>0</v>
      </c>
      <c r="AF7530" t="n">
        <v>0</v>
      </c>
      <c r="AG7530" t="n">
        <v>0</v>
      </c>
      <c r="AH7530" t="n">
        <v>0</v>
      </c>
      <c r="AI7530" t="n">
        <v>0</v>
      </c>
    </row>
    <row r="7531">
      <c r="A7531" t="inlineStr">
        <is>
          <t>12월</t>
        </is>
      </c>
      <c r="B7531" t="inlineStr">
        <is>
          <t>52주차</t>
        </is>
      </c>
      <c r="C7531" t="e">
        <v>#N/A</v>
      </c>
      <c r="K7531" t="n">
        <v>0</v>
      </c>
      <c r="L7531" t="n">
        <v>0</v>
      </c>
      <c r="M7531" t="n">
        <v>0</v>
      </c>
      <c r="AC7531" t="n">
        <v>0</v>
      </c>
      <c r="AD7531" t="n">
        <v>0</v>
      </c>
      <c r="AE7531" t="n">
        <v>0</v>
      </c>
      <c r="AF7531" t="n">
        <v>0</v>
      </c>
      <c r="AG7531" t="n">
        <v>0</v>
      </c>
      <c r="AH7531" t="n">
        <v>0</v>
      </c>
      <c r="AI7531" t="n">
        <v>0</v>
      </c>
    </row>
    <row r="7532">
      <c r="A7532" t="inlineStr">
        <is>
          <t>12월</t>
        </is>
      </c>
      <c r="B7532" t="inlineStr">
        <is>
          <t>52주차</t>
        </is>
      </c>
      <c r="C7532" t="e">
        <v>#N/A</v>
      </c>
      <c r="K7532" t="n">
        <v>0</v>
      </c>
      <c r="L7532" t="n">
        <v>0</v>
      </c>
      <c r="M7532" t="n">
        <v>0</v>
      </c>
      <c r="AC7532" t="n">
        <v>0</v>
      </c>
      <c r="AD7532" t="n">
        <v>0</v>
      </c>
      <c r="AE7532" t="n">
        <v>0</v>
      </c>
      <c r="AF7532" t="n">
        <v>0</v>
      </c>
      <c r="AG7532" t="n">
        <v>0</v>
      </c>
      <c r="AH7532" t="n">
        <v>0</v>
      </c>
      <c r="AI7532" t="n">
        <v>0</v>
      </c>
    </row>
    <row r="7533">
      <c r="A7533" t="inlineStr">
        <is>
          <t>12월</t>
        </is>
      </c>
      <c r="B7533" t="inlineStr">
        <is>
          <t>52주차</t>
        </is>
      </c>
      <c r="C7533" t="e">
        <v>#N/A</v>
      </c>
      <c r="K7533" t="n">
        <v>0</v>
      </c>
      <c r="L7533" t="n">
        <v>0</v>
      </c>
      <c r="M7533" t="n">
        <v>0</v>
      </c>
      <c r="AC7533" t="n">
        <v>0</v>
      </c>
      <c r="AD7533" t="n">
        <v>0</v>
      </c>
      <c r="AE7533" t="n">
        <v>0</v>
      </c>
      <c r="AF7533" t="n">
        <v>0</v>
      </c>
      <c r="AG7533" t="n">
        <v>0</v>
      </c>
      <c r="AH7533" t="n">
        <v>0</v>
      </c>
    </row>
    <row r="7534">
      <c r="A7534" t="inlineStr">
        <is>
          <t>12월</t>
        </is>
      </c>
      <c r="B7534" t="inlineStr">
        <is>
          <t>52주차</t>
        </is>
      </c>
      <c r="C7534" t="e">
        <v>#N/A</v>
      </c>
      <c r="K7534" t="n">
        <v>0</v>
      </c>
      <c r="L7534" t="n">
        <v>0</v>
      </c>
      <c r="M7534" t="n">
        <v>0</v>
      </c>
      <c r="AC7534" t="n">
        <v>0</v>
      </c>
      <c r="AD7534" t="n">
        <v>0</v>
      </c>
      <c r="AE7534" t="n">
        <v>0</v>
      </c>
      <c r="AF7534" t="n">
        <v>0</v>
      </c>
      <c r="AG7534" t="n">
        <v>0</v>
      </c>
      <c r="AH7534" t="n">
        <v>0</v>
      </c>
      <c r="AI7534" t="n">
        <v>0</v>
      </c>
    </row>
    <row r="7535">
      <c r="A7535" t="inlineStr">
        <is>
          <t>12월</t>
        </is>
      </c>
      <c r="B7535" t="inlineStr">
        <is>
          <t>52주차</t>
        </is>
      </c>
      <c r="C7535" t="e">
        <v>#N/A</v>
      </c>
      <c r="K7535" t="n">
        <v>0</v>
      </c>
      <c r="L7535" t="n">
        <v>0</v>
      </c>
      <c r="M7535" t="n">
        <v>0</v>
      </c>
      <c r="AC7535" t="n">
        <v>0</v>
      </c>
      <c r="AD7535" t="n">
        <v>0</v>
      </c>
      <c r="AE7535" t="n">
        <v>0</v>
      </c>
      <c r="AF7535" t="n">
        <v>0</v>
      </c>
      <c r="AG7535" t="n">
        <v>0</v>
      </c>
      <c r="AH7535" t="n">
        <v>0</v>
      </c>
    </row>
    <row r="7536">
      <c r="A7536" t="inlineStr">
        <is>
          <t>12월</t>
        </is>
      </c>
      <c r="B7536" t="inlineStr">
        <is>
          <t>52주차</t>
        </is>
      </c>
      <c r="C7536" t="e">
        <v>#N/A</v>
      </c>
      <c r="K7536" t="n">
        <v>0</v>
      </c>
      <c r="L7536" t="n">
        <v>0</v>
      </c>
      <c r="M7536" t="n">
        <v>0</v>
      </c>
      <c r="AC7536" t="n">
        <v>0</v>
      </c>
      <c r="AD7536" t="n">
        <v>0</v>
      </c>
      <c r="AE7536" t="n">
        <v>0</v>
      </c>
      <c r="AF7536" t="n">
        <v>0</v>
      </c>
      <c r="AG7536" t="n">
        <v>0</v>
      </c>
      <c r="AH7536" t="n">
        <v>0</v>
      </c>
      <c r="AI7536" t="n">
        <v>0</v>
      </c>
    </row>
    <row r="7537">
      <c r="A7537" t="inlineStr">
        <is>
          <t>12월</t>
        </is>
      </c>
      <c r="B7537" t="inlineStr">
        <is>
          <t>52주차</t>
        </is>
      </c>
      <c r="C7537" t="e">
        <v>#N/A</v>
      </c>
      <c r="K7537" t="n">
        <v>0</v>
      </c>
      <c r="L7537" t="n">
        <v>0</v>
      </c>
      <c r="M7537" t="n">
        <v>0</v>
      </c>
      <c r="AC7537" t="n">
        <v>0</v>
      </c>
      <c r="AD7537" t="n">
        <v>0</v>
      </c>
      <c r="AE7537" t="n">
        <v>0</v>
      </c>
      <c r="AF7537" t="n">
        <v>0</v>
      </c>
      <c r="AG7537" t="n">
        <v>0</v>
      </c>
      <c r="AH7537" t="n">
        <v>0</v>
      </c>
      <c r="AI7537" t="n">
        <v>0</v>
      </c>
    </row>
    <row r="7538">
      <c r="A7538" t="inlineStr">
        <is>
          <t>12월</t>
        </is>
      </c>
      <c r="B7538" t="inlineStr">
        <is>
          <t>52주차</t>
        </is>
      </c>
      <c r="C7538" t="e">
        <v>#N/A</v>
      </c>
      <c r="K7538" t="n">
        <v>0</v>
      </c>
      <c r="L7538" t="n">
        <v>0</v>
      </c>
      <c r="M7538" t="n">
        <v>0</v>
      </c>
      <c r="AC7538" t="n">
        <v>0</v>
      </c>
      <c r="AD7538" t="n">
        <v>0</v>
      </c>
      <c r="AE7538" t="n">
        <v>0</v>
      </c>
      <c r="AF7538" t="n">
        <v>0</v>
      </c>
      <c r="AG7538" t="n">
        <v>0</v>
      </c>
      <c r="AH7538" t="n">
        <v>0</v>
      </c>
      <c r="AI7538" t="n">
        <v>0</v>
      </c>
    </row>
    <row r="7539">
      <c r="A7539" t="inlineStr">
        <is>
          <t>12월</t>
        </is>
      </c>
      <c r="B7539" t="inlineStr">
        <is>
          <t>52주차</t>
        </is>
      </c>
      <c r="C7539" t="e">
        <v>#N/A</v>
      </c>
      <c r="K7539" t="n">
        <v>0</v>
      </c>
      <c r="L7539" t="n">
        <v>0</v>
      </c>
      <c r="M7539" t="n">
        <v>0</v>
      </c>
      <c r="AC7539" t="n">
        <v>0</v>
      </c>
      <c r="AD7539" t="n">
        <v>0</v>
      </c>
      <c r="AE7539" t="n">
        <v>0</v>
      </c>
      <c r="AF7539" t="n">
        <v>0</v>
      </c>
      <c r="AG7539" t="n">
        <v>0</v>
      </c>
      <c r="AH7539" t="n">
        <v>0</v>
      </c>
      <c r="AI7539" t="n">
        <v>0</v>
      </c>
    </row>
    <row r="7540">
      <c r="A7540" t="inlineStr">
        <is>
          <t>12월</t>
        </is>
      </c>
      <c r="B7540" t="inlineStr">
        <is>
          <t>52주차</t>
        </is>
      </c>
      <c r="C7540" t="e">
        <v>#N/A</v>
      </c>
      <c r="K7540" t="n">
        <v>0</v>
      </c>
      <c r="L7540" t="n">
        <v>0</v>
      </c>
      <c r="M7540" t="n">
        <v>0</v>
      </c>
      <c r="AC7540" t="n">
        <v>0</v>
      </c>
      <c r="AD7540" t="n">
        <v>0</v>
      </c>
      <c r="AE7540" t="n">
        <v>0</v>
      </c>
      <c r="AF7540" t="n">
        <v>0</v>
      </c>
      <c r="AG7540" t="n">
        <v>0</v>
      </c>
      <c r="AH7540" t="n">
        <v>0</v>
      </c>
    </row>
    <row r="7541">
      <c r="A7541" t="inlineStr">
        <is>
          <t>12월</t>
        </is>
      </c>
      <c r="B7541" t="inlineStr">
        <is>
          <t>52주차</t>
        </is>
      </c>
      <c r="C7541" t="e">
        <v>#N/A</v>
      </c>
      <c r="K7541" t="n">
        <v>0</v>
      </c>
      <c r="L7541" t="n">
        <v>0</v>
      </c>
      <c r="M7541" t="n">
        <v>0</v>
      </c>
      <c r="AC7541" t="n">
        <v>0</v>
      </c>
      <c r="AD7541" t="n">
        <v>0</v>
      </c>
      <c r="AE7541" t="n">
        <v>0</v>
      </c>
      <c r="AF7541" t="n">
        <v>0</v>
      </c>
      <c r="AG7541" t="n">
        <v>0</v>
      </c>
      <c r="AH7541" t="n">
        <v>0</v>
      </c>
      <c r="AI7541" t="n">
        <v>0</v>
      </c>
    </row>
    <row r="7542">
      <c r="A7542" t="inlineStr">
        <is>
          <t>12월</t>
        </is>
      </c>
      <c r="B7542" t="inlineStr">
        <is>
          <t>52주차</t>
        </is>
      </c>
      <c r="C7542" t="e">
        <v>#N/A</v>
      </c>
      <c r="K7542" t="n">
        <v>0</v>
      </c>
      <c r="L7542" t="n">
        <v>0</v>
      </c>
      <c r="M7542" t="n">
        <v>0</v>
      </c>
      <c r="AC7542" t="n">
        <v>0</v>
      </c>
      <c r="AD7542" t="n">
        <v>0</v>
      </c>
      <c r="AE7542" t="n">
        <v>0</v>
      </c>
      <c r="AF7542" t="n">
        <v>0</v>
      </c>
      <c r="AG7542" t="n">
        <v>0</v>
      </c>
      <c r="AH7542" t="n">
        <v>0</v>
      </c>
    </row>
    <row r="7543">
      <c r="A7543" t="inlineStr">
        <is>
          <t>12월</t>
        </is>
      </c>
      <c r="B7543" t="inlineStr">
        <is>
          <t>52주차</t>
        </is>
      </c>
      <c r="C7543" t="e">
        <v>#N/A</v>
      </c>
      <c r="K7543" t="n">
        <v>0</v>
      </c>
      <c r="L7543" t="n">
        <v>0</v>
      </c>
      <c r="M7543" t="n">
        <v>0</v>
      </c>
      <c r="AC7543" t="n">
        <v>0</v>
      </c>
      <c r="AD7543" t="n">
        <v>0</v>
      </c>
      <c r="AE7543" t="n">
        <v>0</v>
      </c>
      <c r="AF7543" t="n">
        <v>0</v>
      </c>
      <c r="AG7543" t="n">
        <v>0</v>
      </c>
      <c r="AH7543" t="n">
        <v>0</v>
      </c>
    </row>
    <row r="7544">
      <c r="A7544" t="inlineStr">
        <is>
          <t>12월</t>
        </is>
      </c>
      <c r="B7544" t="inlineStr">
        <is>
          <t>52주차</t>
        </is>
      </c>
      <c r="C7544" t="e">
        <v>#N/A</v>
      </c>
      <c r="K7544" t="n">
        <v>0</v>
      </c>
      <c r="L7544" t="n">
        <v>0</v>
      </c>
      <c r="M7544" t="n">
        <v>0</v>
      </c>
      <c r="AC7544" t="n">
        <v>0</v>
      </c>
      <c r="AD7544" t="n">
        <v>0</v>
      </c>
      <c r="AE7544" t="n">
        <v>0</v>
      </c>
      <c r="AF7544" t="n">
        <v>0</v>
      </c>
      <c r="AG7544" t="n">
        <v>0</v>
      </c>
      <c r="AH7544" t="n">
        <v>0</v>
      </c>
      <c r="AI7544" t="n">
        <v>0</v>
      </c>
    </row>
    <row r="7545">
      <c r="A7545" t="inlineStr">
        <is>
          <t>12월</t>
        </is>
      </c>
      <c r="B7545" t="inlineStr">
        <is>
          <t>52주차</t>
        </is>
      </c>
      <c r="C7545" t="e">
        <v>#N/A</v>
      </c>
      <c r="K7545" t="n">
        <v>0</v>
      </c>
      <c r="L7545" t="n">
        <v>0</v>
      </c>
      <c r="M7545" t="n">
        <v>0</v>
      </c>
      <c r="AC7545" t="n">
        <v>0</v>
      </c>
      <c r="AD7545" t="n">
        <v>0</v>
      </c>
      <c r="AE7545" t="n">
        <v>0</v>
      </c>
      <c r="AF7545" t="n">
        <v>0</v>
      </c>
      <c r="AG7545" t="n">
        <v>0</v>
      </c>
      <c r="AH7545" t="n">
        <v>0</v>
      </c>
      <c r="AI7545" t="n">
        <v>0</v>
      </c>
    </row>
    <row r="7546">
      <c r="A7546" t="inlineStr">
        <is>
          <t>12월</t>
        </is>
      </c>
      <c r="B7546" t="inlineStr">
        <is>
          <t>52주차</t>
        </is>
      </c>
      <c r="C7546" t="e">
        <v>#N/A</v>
      </c>
      <c r="K7546" t="n">
        <v>0</v>
      </c>
      <c r="L7546" t="n">
        <v>0</v>
      </c>
      <c r="M7546" t="n">
        <v>0</v>
      </c>
      <c r="AC7546" t="n">
        <v>0</v>
      </c>
      <c r="AD7546" t="n">
        <v>0</v>
      </c>
      <c r="AE7546" t="n">
        <v>0</v>
      </c>
      <c r="AF7546" t="n">
        <v>0</v>
      </c>
      <c r="AG7546" t="n">
        <v>0</v>
      </c>
      <c r="AH7546" t="n">
        <v>0</v>
      </c>
      <c r="AI7546" t="n">
        <v>0</v>
      </c>
    </row>
    <row r="7547">
      <c r="A7547" t="inlineStr">
        <is>
          <t>12월</t>
        </is>
      </c>
      <c r="B7547" t="inlineStr">
        <is>
          <t>52주차</t>
        </is>
      </c>
      <c r="C7547" t="e">
        <v>#N/A</v>
      </c>
      <c r="K7547" t="n">
        <v>0</v>
      </c>
      <c r="L7547" t="n">
        <v>0</v>
      </c>
      <c r="M7547" t="n">
        <v>0</v>
      </c>
      <c r="AC7547" t="n">
        <v>0</v>
      </c>
      <c r="AD7547" t="n">
        <v>0</v>
      </c>
      <c r="AE7547" t="n">
        <v>0</v>
      </c>
      <c r="AF7547" t="n">
        <v>0</v>
      </c>
      <c r="AG7547" t="n">
        <v>0</v>
      </c>
      <c r="AH7547" t="n">
        <v>0</v>
      </c>
      <c r="AI7547" t="n">
        <v>0</v>
      </c>
    </row>
    <row r="7548">
      <c r="A7548" t="inlineStr">
        <is>
          <t>12월</t>
        </is>
      </c>
      <c r="B7548" t="inlineStr">
        <is>
          <t>52주차</t>
        </is>
      </c>
      <c r="C7548" t="e">
        <v>#N/A</v>
      </c>
      <c r="K7548" t="n">
        <v>0</v>
      </c>
      <c r="L7548" t="n">
        <v>0</v>
      </c>
      <c r="M7548" t="n">
        <v>0</v>
      </c>
      <c r="AC7548" t="n">
        <v>0</v>
      </c>
      <c r="AD7548" t="n">
        <v>0</v>
      </c>
      <c r="AE7548" t="n">
        <v>0</v>
      </c>
      <c r="AF7548" t="n">
        <v>0</v>
      </c>
      <c r="AG7548" t="n">
        <v>0</v>
      </c>
      <c r="AH7548" t="n">
        <v>0</v>
      </c>
      <c r="AI7548" t="n">
        <v>0</v>
      </c>
    </row>
    <row r="7549">
      <c r="A7549" t="inlineStr">
        <is>
          <t>12월</t>
        </is>
      </c>
      <c r="B7549" t="inlineStr">
        <is>
          <t>52주차</t>
        </is>
      </c>
      <c r="C7549" t="e">
        <v>#N/A</v>
      </c>
      <c r="K7549" t="n">
        <v>0</v>
      </c>
      <c r="L7549" t="n">
        <v>0</v>
      </c>
      <c r="M7549" t="n">
        <v>0</v>
      </c>
      <c r="AC7549" t="n">
        <v>0</v>
      </c>
      <c r="AD7549" t="n">
        <v>0</v>
      </c>
      <c r="AE7549" t="n">
        <v>0</v>
      </c>
      <c r="AF7549" t="n">
        <v>0</v>
      </c>
      <c r="AG7549" t="n">
        <v>0</v>
      </c>
      <c r="AH7549" t="n">
        <v>0</v>
      </c>
    </row>
    <row r="7550">
      <c r="A7550" t="inlineStr">
        <is>
          <t>12월</t>
        </is>
      </c>
      <c r="B7550" t="inlineStr">
        <is>
          <t>52주차</t>
        </is>
      </c>
      <c r="C7550" t="e">
        <v>#N/A</v>
      </c>
      <c r="K7550" t="n">
        <v>0</v>
      </c>
      <c r="L7550" t="n">
        <v>0</v>
      </c>
      <c r="M7550" t="n">
        <v>0</v>
      </c>
      <c r="AC7550" t="n">
        <v>0</v>
      </c>
      <c r="AD7550" t="n">
        <v>0</v>
      </c>
      <c r="AE7550" t="n">
        <v>0</v>
      </c>
      <c r="AF7550" t="n">
        <v>0</v>
      </c>
      <c r="AG7550" t="n">
        <v>0</v>
      </c>
      <c r="AH7550" t="n">
        <v>0</v>
      </c>
      <c r="AI7550" t="n">
        <v>0</v>
      </c>
    </row>
    <row r="7551">
      <c r="A7551" t="inlineStr">
        <is>
          <t>12월</t>
        </is>
      </c>
      <c r="B7551" t="inlineStr">
        <is>
          <t>52주차</t>
        </is>
      </c>
      <c r="C7551" t="e">
        <v>#N/A</v>
      </c>
      <c r="K7551" t="n">
        <v>0</v>
      </c>
      <c r="L7551" t="n">
        <v>0</v>
      </c>
      <c r="M7551" t="n">
        <v>0</v>
      </c>
      <c r="AC7551" t="n">
        <v>0</v>
      </c>
      <c r="AD7551" t="n">
        <v>0</v>
      </c>
      <c r="AE7551" t="n">
        <v>0</v>
      </c>
      <c r="AF7551" t="n">
        <v>0</v>
      </c>
      <c r="AG7551" t="n">
        <v>0</v>
      </c>
      <c r="AH7551" t="n">
        <v>0</v>
      </c>
      <c r="AI7551" t="n">
        <v>0</v>
      </c>
    </row>
    <row r="7552">
      <c r="A7552" t="inlineStr">
        <is>
          <t>12월</t>
        </is>
      </c>
      <c r="B7552" t="inlineStr">
        <is>
          <t>52주차</t>
        </is>
      </c>
      <c r="C7552" t="e">
        <v>#N/A</v>
      </c>
      <c r="K7552" t="n">
        <v>0</v>
      </c>
      <c r="L7552" t="n">
        <v>0</v>
      </c>
      <c r="M7552" t="n">
        <v>0</v>
      </c>
      <c r="AC7552" t="n">
        <v>0</v>
      </c>
      <c r="AD7552" t="n">
        <v>0</v>
      </c>
      <c r="AE7552" t="n">
        <v>0</v>
      </c>
      <c r="AF7552" t="n">
        <v>0</v>
      </c>
      <c r="AG7552" t="n">
        <v>0</v>
      </c>
      <c r="AH7552" t="n">
        <v>0</v>
      </c>
      <c r="AI7552" t="n">
        <v>0</v>
      </c>
    </row>
    <row r="7553">
      <c r="A7553" t="inlineStr">
        <is>
          <t>12월</t>
        </is>
      </c>
      <c r="B7553" t="inlineStr">
        <is>
          <t>52주차</t>
        </is>
      </c>
      <c r="C7553" t="e">
        <v>#N/A</v>
      </c>
      <c r="K7553" t="n">
        <v>0</v>
      </c>
      <c r="L7553" t="n">
        <v>0</v>
      </c>
      <c r="M7553" t="n">
        <v>0</v>
      </c>
      <c r="AC7553" t="n">
        <v>0</v>
      </c>
      <c r="AD7553" t="n">
        <v>0</v>
      </c>
      <c r="AE7553" t="n">
        <v>0</v>
      </c>
      <c r="AF7553" t="n">
        <v>0</v>
      </c>
      <c r="AG7553" t="n">
        <v>0</v>
      </c>
      <c r="AH7553" t="n">
        <v>0</v>
      </c>
      <c r="AI7553" t="n">
        <v>0</v>
      </c>
    </row>
    <row r="7554">
      <c r="A7554" t="inlineStr">
        <is>
          <t>12월</t>
        </is>
      </c>
      <c r="B7554" t="inlineStr">
        <is>
          <t>52주차</t>
        </is>
      </c>
      <c r="C7554" t="e">
        <v>#N/A</v>
      </c>
      <c r="K7554" t="n">
        <v>0</v>
      </c>
      <c r="L7554" t="n">
        <v>0</v>
      </c>
      <c r="M7554" t="n">
        <v>0</v>
      </c>
      <c r="AC7554" t="n">
        <v>0</v>
      </c>
      <c r="AD7554" t="n">
        <v>0</v>
      </c>
      <c r="AE7554" t="n">
        <v>0</v>
      </c>
      <c r="AF7554" t="n">
        <v>0</v>
      </c>
      <c r="AG7554" t="n">
        <v>0</v>
      </c>
      <c r="AH7554" t="n">
        <v>0</v>
      </c>
      <c r="AI7554" t="n">
        <v>0</v>
      </c>
    </row>
    <row r="7555">
      <c r="A7555" t="inlineStr">
        <is>
          <t>12월</t>
        </is>
      </c>
      <c r="B7555" t="inlineStr">
        <is>
          <t>52주차</t>
        </is>
      </c>
      <c r="C7555" t="e">
        <v>#N/A</v>
      </c>
      <c r="K7555" t="n">
        <v>0</v>
      </c>
      <c r="L7555" t="n">
        <v>0</v>
      </c>
      <c r="M7555" t="n">
        <v>0</v>
      </c>
      <c r="AC7555" t="n">
        <v>0</v>
      </c>
      <c r="AD7555" t="n">
        <v>0</v>
      </c>
      <c r="AE7555" t="n">
        <v>0</v>
      </c>
      <c r="AF7555" t="n">
        <v>0</v>
      </c>
      <c r="AG7555" t="n">
        <v>0</v>
      </c>
      <c r="AH7555" t="n">
        <v>0</v>
      </c>
      <c r="AI7555" t="n">
        <v>0</v>
      </c>
    </row>
    <row r="7556">
      <c r="A7556" t="inlineStr">
        <is>
          <t>12월</t>
        </is>
      </c>
      <c r="B7556" t="inlineStr">
        <is>
          <t>52주차</t>
        </is>
      </c>
      <c r="C7556" t="e">
        <v>#N/A</v>
      </c>
      <c r="K7556" t="n">
        <v>0</v>
      </c>
      <c r="L7556" t="n">
        <v>0</v>
      </c>
      <c r="M7556" t="n">
        <v>0</v>
      </c>
      <c r="AC7556" t="n">
        <v>0</v>
      </c>
      <c r="AD7556" t="n">
        <v>0</v>
      </c>
      <c r="AE7556" t="n">
        <v>0</v>
      </c>
      <c r="AF7556" t="n">
        <v>0</v>
      </c>
      <c r="AG7556" t="n">
        <v>0</v>
      </c>
      <c r="AH7556" t="n">
        <v>0</v>
      </c>
      <c r="AI7556" t="n">
        <v>0</v>
      </c>
    </row>
    <row r="7557">
      <c r="A7557" t="inlineStr">
        <is>
          <t>12월</t>
        </is>
      </c>
      <c r="B7557" t="inlineStr">
        <is>
          <t>52주차</t>
        </is>
      </c>
      <c r="C7557" t="e">
        <v>#N/A</v>
      </c>
      <c r="K7557" t="n">
        <v>0</v>
      </c>
      <c r="L7557" t="n">
        <v>0</v>
      </c>
      <c r="M7557" t="n">
        <v>0</v>
      </c>
      <c r="AC7557" t="n">
        <v>0</v>
      </c>
      <c r="AD7557" t="n">
        <v>0</v>
      </c>
      <c r="AE7557" t="n">
        <v>0</v>
      </c>
      <c r="AF7557" t="n">
        <v>0</v>
      </c>
      <c r="AG7557" t="n">
        <v>0</v>
      </c>
      <c r="AH7557" t="n">
        <v>0</v>
      </c>
      <c r="AI7557" t="n">
        <v>0</v>
      </c>
    </row>
    <row r="7558">
      <c r="A7558" t="inlineStr">
        <is>
          <t>12월</t>
        </is>
      </c>
      <c r="B7558" t="inlineStr">
        <is>
          <t>52주차</t>
        </is>
      </c>
      <c r="C7558" t="e">
        <v>#N/A</v>
      </c>
      <c r="K7558" t="n">
        <v>0</v>
      </c>
      <c r="L7558" t="n">
        <v>0</v>
      </c>
      <c r="M7558" t="n">
        <v>0</v>
      </c>
      <c r="AC7558" t="n">
        <v>0</v>
      </c>
      <c r="AD7558" t="n">
        <v>0</v>
      </c>
      <c r="AE7558" t="n">
        <v>0</v>
      </c>
      <c r="AF7558" t="n">
        <v>0</v>
      </c>
      <c r="AG7558" t="n">
        <v>0</v>
      </c>
      <c r="AH7558" t="n">
        <v>0</v>
      </c>
      <c r="AI7558" t="n">
        <v>0</v>
      </c>
    </row>
    <row r="7559">
      <c r="A7559" t="inlineStr">
        <is>
          <t>12월</t>
        </is>
      </c>
      <c r="B7559" t="inlineStr">
        <is>
          <t>52주차</t>
        </is>
      </c>
      <c r="C7559" t="e">
        <v>#N/A</v>
      </c>
      <c r="K7559" t="n">
        <v>0</v>
      </c>
      <c r="L7559" t="n">
        <v>0</v>
      </c>
      <c r="M7559" t="n">
        <v>0</v>
      </c>
      <c r="AC7559" t="n">
        <v>0</v>
      </c>
      <c r="AD7559" t="n">
        <v>0</v>
      </c>
      <c r="AE7559" t="n">
        <v>0</v>
      </c>
      <c r="AF7559" t="n">
        <v>0</v>
      </c>
      <c r="AG7559" t="n">
        <v>0</v>
      </c>
      <c r="AH7559" t="n">
        <v>0</v>
      </c>
      <c r="AI7559" t="n">
        <v>0</v>
      </c>
    </row>
    <row r="7560">
      <c r="A7560" t="inlineStr">
        <is>
          <t>12월</t>
        </is>
      </c>
      <c r="B7560" t="inlineStr">
        <is>
          <t>52주차</t>
        </is>
      </c>
      <c r="C7560" t="e">
        <v>#N/A</v>
      </c>
      <c r="K7560" t="n">
        <v>0</v>
      </c>
      <c r="L7560" t="n">
        <v>0</v>
      </c>
      <c r="M7560" t="n">
        <v>0</v>
      </c>
      <c r="AC7560" t="n">
        <v>0</v>
      </c>
      <c r="AD7560" t="n">
        <v>0</v>
      </c>
      <c r="AE7560" t="n">
        <v>0</v>
      </c>
      <c r="AF7560" t="n">
        <v>0</v>
      </c>
      <c r="AG7560" t="n">
        <v>0</v>
      </c>
      <c r="AH7560" t="n">
        <v>0</v>
      </c>
      <c r="AI7560" t="n">
        <v>0</v>
      </c>
    </row>
    <row r="7561">
      <c r="A7561" t="inlineStr">
        <is>
          <t>12월</t>
        </is>
      </c>
      <c r="B7561" t="inlineStr">
        <is>
          <t>52주차</t>
        </is>
      </c>
      <c r="C7561" t="e">
        <v>#N/A</v>
      </c>
      <c r="K7561" t="n">
        <v>0</v>
      </c>
      <c r="L7561" t="n">
        <v>0</v>
      </c>
      <c r="M7561" t="n">
        <v>0</v>
      </c>
      <c r="AC7561" t="n">
        <v>0</v>
      </c>
      <c r="AD7561" t="n">
        <v>0</v>
      </c>
      <c r="AE7561" t="n">
        <v>0</v>
      </c>
      <c r="AF7561" t="n">
        <v>0</v>
      </c>
      <c r="AG7561" t="n">
        <v>0</v>
      </c>
      <c r="AH7561" t="n">
        <v>0</v>
      </c>
      <c r="AI7561" t="n">
        <v>0</v>
      </c>
    </row>
    <row r="7562">
      <c r="A7562" t="inlineStr">
        <is>
          <t>12월</t>
        </is>
      </c>
      <c r="B7562" t="inlineStr">
        <is>
          <t>52주차</t>
        </is>
      </c>
      <c r="C7562" t="e">
        <v>#N/A</v>
      </c>
      <c r="K7562" t="n">
        <v>0</v>
      </c>
      <c r="L7562" t="n">
        <v>0</v>
      </c>
      <c r="M7562" t="n">
        <v>0</v>
      </c>
      <c r="AC7562" t="n">
        <v>0</v>
      </c>
      <c r="AD7562" t="n">
        <v>0</v>
      </c>
      <c r="AE7562" t="n">
        <v>0</v>
      </c>
      <c r="AF7562" t="n">
        <v>0</v>
      </c>
      <c r="AG7562" t="n">
        <v>0</v>
      </c>
      <c r="AH7562" t="n">
        <v>0</v>
      </c>
      <c r="AI7562" t="n">
        <v>0</v>
      </c>
    </row>
    <row r="7563">
      <c r="A7563" t="inlineStr">
        <is>
          <t>12월</t>
        </is>
      </c>
      <c r="B7563" t="inlineStr">
        <is>
          <t>52주차</t>
        </is>
      </c>
      <c r="C7563" t="e">
        <v>#N/A</v>
      </c>
      <c r="K7563" t="n">
        <v>0</v>
      </c>
      <c r="L7563" t="n">
        <v>0</v>
      </c>
      <c r="M7563" t="n">
        <v>0</v>
      </c>
      <c r="AC7563" t="n">
        <v>0</v>
      </c>
      <c r="AD7563" t="n">
        <v>0</v>
      </c>
      <c r="AE7563" t="n">
        <v>0</v>
      </c>
      <c r="AF7563" t="n">
        <v>0</v>
      </c>
      <c r="AG7563" t="n">
        <v>0</v>
      </c>
      <c r="AH7563" t="n">
        <v>0</v>
      </c>
      <c r="AI7563" t="n">
        <v>0</v>
      </c>
    </row>
    <row r="7564">
      <c r="A7564" t="inlineStr">
        <is>
          <t>12월</t>
        </is>
      </c>
      <c r="B7564" t="inlineStr">
        <is>
          <t>52주차</t>
        </is>
      </c>
      <c r="C7564" t="e">
        <v>#N/A</v>
      </c>
      <c r="K7564" t="n">
        <v>0</v>
      </c>
      <c r="L7564" t="n">
        <v>0</v>
      </c>
      <c r="M7564" t="n">
        <v>0</v>
      </c>
      <c r="AC7564" t="n">
        <v>0</v>
      </c>
      <c r="AD7564" t="n">
        <v>0</v>
      </c>
      <c r="AE7564" t="n">
        <v>0</v>
      </c>
      <c r="AF7564" t="n">
        <v>0</v>
      </c>
      <c r="AG7564" t="n">
        <v>0</v>
      </c>
      <c r="AH7564" t="n">
        <v>0</v>
      </c>
      <c r="AI7564" t="n">
        <v>0</v>
      </c>
    </row>
    <row r="7565">
      <c r="A7565" t="inlineStr">
        <is>
          <t>12월</t>
        </is>
      </c>
      <c r="B7565" t="inlineStr">
        <is>
          <t>52주차</t>
        </is>
      </c>
      <c r="C7565" t="e">
        <v>#N/A</v>
      </c>
      <c r="K7565" t="n">
        <v>0</v>
      </c>
      <c r="L7565" t="n">
        <v>0</v>
      </c>
      <c r="M7565" t="n">
        <v>0</v>
      </c>
      <c r="AC7565" t="n">
        <v>0</v>
      </c>
      <c r="AD7565" t="n">
        <v>0</v>
      </c>
      <c r="AE7565" t="n">
        <v>0</v>
      </c>
      <c r="AF7565" t="n">
        <v>0</v>
      </c>
      <c r="AG7565" t="n">
        <v>0</v>
      </c>
      <c r="AH7565" t="n">
        <v>0</v>
      </c>
      <c r="AI7565" t="n">
        <v>0</v>
      </c>
    </row>
    <row r="7566">
      <c r="A7566" t="inlineStr">
        <is>
          <t>12월</t>
        </is>
      </c>
      <c r="B7566" t="inlineStr">
        <is>
          <t>52주차</t>
        </is>
      </c>
      <c r="C7566" t="e">
        <v>#N/A</v>
      </c>
      <c r="K7566" t="n">
        <v>0</v>
      </c>
      <c r="L7566" t="n">
        <v>0</v>
      </c>
      <c r="M7566" t="n">
        <v>0</v>
      </c>
      <c r="AC7566" t="n">
        <v>0</v>
      </c>
      <c r="AD7566" t="n">
        <v>0</v>
      </c>
      <c r="AE7566" t="n">
        <v>0</v>
      </c>
      <c r="AF7566" t="n">
        <v>0</v>
      </c>
      <c r="AG7566" t="n">
        <v>0</v>
      </c>
      <c r="AH7566" t="n">
        <v>0</v>
      </c>
    </row>
    <row r="7567">
      <c r="A7567" t="inlineStr">
        <is>
          <t>12월</t>
        </is>
      </c>
      <c r="B7567" t="inlineStr">
        <is>
          <t>52주차</t>
        </is>
      </c>
      <c r="C7567" t="e">
        <v>#N/A</v>
      </c>
      <c r="K7567" t="n">
        <v>0</v>
      </c>
      <c r="L7567" t="n">
        <v>0</v>
      </c>
      <c r="M7567" t="n">
        <v>0</v>
      </c>
      <c r="AC7567" t="n">
        <v>0</v>
      </c>
      <c r="AD7567" t="n">
        <v>0</v>
      </c>
      <c r="AE7567" t="n">
        <v>0</v>
      </c>
      <c r="AF7567" t="n">
        <v>0</v>
      </c>
      <c r="AG7567" t="n">
        <v>0</v>
      </c>
      <c r="AH7567" t="n">
        <v>0</v>
      </c>
      <c r="AI7567" t="n">
        <v>0</v>
      </c>
    </row>
    <row r="7568">
      <c r="A7568" t="inlineStr">
        <is>
          <t>12월</t>
        </is>
      </c>
      <c r="B7568" t="inlineStr">
        <is>
          <t>52주차</t>
        </is>
      </c>
      <c r="C7568" t="e">
        <v>#N/A</v>
      </c>
      <c r="K7568" t="n">
        <v>0</v>
      </c>
      <c r="L7568" t="n">
        <v>0</v>
      </c>
      <c r="M7568" t="n">
        <v>0</v>
      </c>
      <c r="AC7568" t="n">
        <v>0</v>
      </c>
      <c r="AD7568" t="n">
        <v>0</v>
      </c>
      <c r="AE7568" t="n">
        <v>0</v>
      </c>
      <c r="AF7568" t="n">
        <v>0</v>
      </c>
      <c r="AG7568" t="n">
        <v>0</v>
      </c>
      <c r="AH7568" t="n">
        <v>0</v>
      </c>
      <c r="AI7568" t="n">
        <v>0</v>
      </c>
    </row>
    <row r="7569">
      <c r="A7569" t="inlineStr">
        <is>
          <t>12월</t>
        </is>
      </c>
      <c r="B7569" t="inlineStr">
        <is>
          <t>52주차</t>
        </is>
      </c>
      <c r="C7569" t="e">
        <v>#N/A</v>
      </c>
      <c r="K7569" t="n">
        <v>0</v>
      </c>
      <c r="L7569" t="n">
        <v>0</v>
      </c>
      <c r="M7569" t="n">
        <v>0</v>
      </c>
      <c r="AC7569" t="n">
        <v>0</v>
      </c>
      <c r="AD7569" t="n">
        <v>0</v>
      </c>
      <c r="AE7569" t="n">
        <v>0</v>
      </c>
      <c r="AF7569" t="n">
        <v>0</v>
      </c>
      <c r="AG7569" t="n">
        <v>0</v>
      </c>
      <c r="AH7569" t="n">
        <v>0</v>
      </c>
    </row>
    <row r="7570">
      <c r="A7570" t="inlineStr">
        <is>
          <t>12월</t>
        </is>
      </c>
      <c r="B7570" t="inlineStr">
        <is>
          <t>52주차</t>
        </is>
      </c>
      <c r="C7570" t="e">
        <v>#N/A</v>
      </c>
      <c r="K7570" t="n">
        <v>0</v>
      </c>
      <c r="L7570" t="n">
        <v>0</v>
      </c>
      <c r="M7570" t="n">
        <v>0</v>
      </c>
      <c r="AC7570" t="n">
        <v>0</v>
      </c>
      <c r="AD7570" t="n">
        <v>0</v>
      </c>
      <c r="AE7570" t="n">
        <v>0</v>
      </c>
      <c r="AF7570" t="n">
        <v>0</v>
      </c>
      <c r="AG7570" t="n">
        <v>0</v>
      </c>
      <c r="AH7570" t="n">
        <v>0</v>
      </c>
      <c r="AI7570" t="n">
        <v>0</v>
      </c>
    </row>
    <row r="7571">
      <c r="A7571" t="inlineStr">
        <is>
          <t>12월</t>
        </is>
      </c>
      <c r="B7571" t="inlineStr">
        <is>
          <t>52주차</t>
        </is>
      </c>
      <c r="C7571" t="e">
        <v>#N/A</v>
      </c>
      <c r="K7571" t="n">
        <v>0</v>
      </c>
      <c r="L7571" t="n">
        <v>0</v>
      </c>
      <c r="M7571" t="n">
        <v>0</v>
      </c>
      <c r="AC7571" t="n">
        <v>0</v>
      </c>
      <c r="AD7571" t="n">
        <v>0</v>
      </c>
      <c r="AE7571" t="n">
        <v>0</v>
      </c>
      <c r="AF7571" t="n">
        <v>0</v>
      </c>
      <c r="AG7571" t="n">
        <v>0</v>
      </c>
      <c r="AH7571" t="n">
        <v>0</v>
      </c>
    </row>
    <row r="7572">
      <c r="A7572" t="inlineStr">
        <is>
          <t>12월</t>
        </is>
      </c>
      <c r="B7572" t="inlineStr">
        <is>
          <t>52주차</t>
        </is>
      </c>
      <c r="C7572" t="e">
        <v>#N/A</v>
      </c>
      <c r="K7572" t="n">
        <v>0</v>
      </c>
      <c r="L7572" t="n">
        <v>0</v>
      </c>
      <c r="M7572" t="n">
        <v>0</v>
      </c>
      <c r="AC7572" t="n">
        <v>0</v>
      </c>
      <c r="AD7572" t="n">
        <v>0</v>
      </c>
      <c r="AE7572" t="n">
        <v>0</v>
      </c>
      <c r="AF7572" t="n">
        <v>0</v>
      </c>
      <c r="AG7572" t="n">
        <v>0</v>
      </c>
      <c r="AH7572" t="n">
        <v>0</v>
      </c>
    </row>
    <row r="7573">
      <c r="A7573" t="inlineStr">
        <is>
          <t>12월</t>
        </is>
      </c>
      <c r="B7573" t="inlineStr">
        <is>
          <t>52주차</t>
        </is>
      </c>
      <c r="C7573" t="e">
        <v>#N/A</v>
      </c>
      <c r="K7573" t="n">
        <v>0</v>
      </c>
      <c r="L7573" t="n">
        <v>0</v>
      </c>
      <c r="M7573" t="n">
        <v>0</v>
      </c>
      <c r="AC7573" t="n">
        <v>0</v>
      </c>
      <c r="AD7573" t="n">
        <v>0</v>
      </c>
      <c r="AE7573" t="n">
        <v>0</v>
      </c>
      <c r="AF7573" t="n">
        <v>0</v>
      </c>
      <c r="AG7573" t="n">
        <v>0</v>
      </c>
      <c r="AH7573" t="n">
        <v>0</v>
      </c>
      <c r="AI7573" t="n">
        <v>0</v>
      </c>
    </row>
    <row r="7574">
      <c r="A7574" t="inlineStr">
        <is>
          <t>12월</t>
        </is>
      </c>
      <c r="B7574" t="inlineStr">
        <is>
          <t>52주차</t>
        </is>
      </c>
      <c r="C7574" t="e">
        <v>#N/A</v>
      </c>
      <c r="K7574" t="n">
        <v>0</v>
      </c>
      <c r="L7574" t="n">
        <v>0</v>
      </c>
      <c r="M7574" t="n">
        <v>0</v>
      </c>
      <c r="AC7574" t="n">
        <v>0</v>
      </c>
      <c r="AD7574" t="n">
        <v>0</v>
      </c>
      <c r="AE7574" t="n">
        <v>0</v>
      </c>
      <c r="AF7574" t="n">
        <v>0</v>
      </c>
      <c r="AG7574" t="n">
        <v>0</v>
      </c>
      <c r="AH7574" t="n">
        <v>0</v>
      </c>
      <c r="AI7574" t="n">
        <v>0</v>
      </c>
    </row>
    <row r="7575">
      <c r="A7575" t="inlineStr">
        <is>
          <t>12월</t>
        </is>
      </c>
      <c r="B7575" t="inlineStr">
        <is>
          <t>52주차</t>
        </is>
      </c>
      <c r="C7575" t="e">
        <v>#N/A</v>
      </c>
      <c r="K7575" t="n">
        <v>0</v>
      </c>
      <c r="L7575" t="n">
        <v>0</v>
      </c>
      <c r="M7575" t="n">
        <v>0</v>
      </c>
      <c r="AC7575" t="n">
        <v>0</v>
      </c>
      <c r="AD7575" t="n">
        <v>0</v>
      </c>
      <c r="AE7575" t="n">
        <v>0</v>
      </c>
      <c r="AF7575" t="n">
        <v>0</v>
      </c>
      <c r="AG7575" t="n">
        <v>0</v>
      </c>
      <c r="AH7575" t="n">
        <v>0</v>
      </c>
    </row>
    <row r="7576">
      <c r="A7576" t="inlineStr">
        <is>
          <t>12월</t>
        </is>
      </c>
      <c r="B7576" t="inlineStr">
        <is>
          <t>52주차</t>
        </is>
      </c>
      <c r="C7576" t="e">
        <v>#N/A</v>
      </c>
      <c r="K7576" t="n">
        <v>0</v>
      </c>
      <c r="L7576" t="n">
        <v>0</v>
      </c>
      <c r="M7576" t="n">
        <v>0</v>
      </c>
      <c r="AC7576" t="n">
        <v>0</v>
      </c>
      <c r="AD7576" t="n">
        <v>0</v>
      </c>
      <c r="AE7576" t="n">
        <v>0</v>
      </c>
      <c r="AF7576" t="n">
        <v>0</v>
      </c>
      <c r="AG7576" t="n">
        <v>0</v>
      </c>
      <c r="AH7576" t="n">
        <v>0</v>
      </c>
    </row>
    <row r="7577">
      <c r="A7577" t="inlineStr">
        <is>
          <t>12월</t>
        </is>
      </c>
      <c r="B7577" t="inlineStr">
        <is>
          <t>52주차</t>
        </is>
      </c>
      <c r="C7577" t="e">
        <v>#N/A</v>
      </c>
      <c r="K7577" t="n">
        <v>0</v>
      </c>
      <c r="L7577" t="n">
        <v>0</v>
      </c>
      <c r="M7577" t="n">
        <v>0</v>
      </c>
      <c r="AC7577" t="n">
        <v>0</v>
      </c>
      <c r="AD7577" t="n">
        <v>0</v>
      </c>
      <c r="AE7577" t="n">
        <v>0</v>
      </c>
      <c r="AF7577" t="n">
        <v>0</v>
      </c>
      <c r="AG7577" t="n">
        <v>0</v>
      </c>
      <c r="AH7577" t="n">
        <v>0</v>
      </c>
      <c r="AI7577" t="n">
        <v>0</v>
      </c>
    </row>
    <row r="7578">
      <c r="A7578" t="inlineStr">
        <is>
          <t>12월</t>
        </is>
      </c>
      <c r="B7578" t="inlineStr">
        <is>
          <t>52주차</t>
        </is>
      </c>
      <c r="C7578" t="e">
        <v>#N/A</v>
      </c>
      <c r="K7578" t="n">
        <v>0</v>
      </c>
      <c r="L7578" t="n">
        <v>0</v>
      </c>
      <c r="M7578" t="n">
        <v>0</v>
      </c>
      <c r="AC7578" t="n">
        <v>0</v>
      </c>
      <c r="AD7578" t="n">
        <v>0</v>
      </c>
      <c r="AE7578" t="n">
        <v>0</v>
      </c>
      <c r="AF7578" t="n">
        <v>0</v>
      </c>
      <c r="AG7578" t="n">
        <v>0</v>
      </c>
      <c r="AH7578" t="n">
        <v>0</v>
      </c>
      <c r="AI7578" t="n">
        <v>0</v>
      </c>
    </row>
    <row r="7579">
      <c r="A7579" t="inlineStr">
        <is>
          <t>12월</t>
        </is>
      </c>
      <c r="B7579" t="inlineStr">
        <is>
          <t>52주차</t>
        </is>
      </c>
      <c r="C7579" t="e">
        <v>#N/A</v>
      </c>
      <c r="K7579" t="n">
        <v>0</v>
      </c>
      <c r="L7579" t="n">
        <v>0</v>
      </c>
      <c r="M7579" t="n">
        <v>0</v>
      </c>
      <c r="AC7579" t="n">
        <v>0</v>
      </c>
      <c r="AD7579" t="n">
        <v>0</v>
      </c>
      <c r="AE7579" t="n">
        <v>0</v>
      </c>
      <c r="AF7579" t="n">
        <v>0</v>
      </c>
      <c r="AG7579" t="n">
        <v>0</v>
      </c>
      <c r="AH7579" t="n">
        <v>0</v>
      </c>
      <c r="AI7579" t="n">
        <v>0</v>
      </c>
    </row>
    <row r="7580">
      <c r="A7580" t="inlineStr">
        <is>
          <t>12월</t>
        </is>
      </c>
      <c r="B7580" t="inlineStr">
        <is>
          <t>52주차</t>
        </is>
      </c>
      <c r="C7580" t="e">
        <v>#N/A</v>
      </c>
      <c r="K7580" t="n">
        <v>0</v>
      </c>
      <c r="L7580" t="n">
        <v>0</v>
      </c>
      <c r="M7580" t="n">
        <v>0</v>
      </c>
      <c r="AC7580" t="n">
        <v>0</v>
      </c>
      <c r="AD7580" t="n">
        <v>0</v>
      </c>
      <c r="AE7580" t="n">
        <v>0</v>
      </c>
      <c r="AF7580" t="n">
        <v>0</v>
      </c>
      <c r="AG7580" t="n">
        <v>0</v>
      </c>
      <c r="AH7580" t="n">
        <v>0</v>
      </c>
      <c r="AI7580" t="n">
        <v>0</v>
      </c>
    </row>
    <row r="7581">
      <c r="A7581" t="inlineStr">
        <is>
          <t>12월</t>
        </is>
      </c>
      <c r="B7581" t="inlineStr">
        <is>
          <t>52주차</t>
        </is>
      </c>
      <c r="C7581" t="e">
        <v>#N/A</v>
      </c>
      <c r="K7581" t="n">
        <v>0</v>
      </c>
      <c r="L7581" t="n">
        <v>0</v>
      </c>
      <c r="M7581" t="n">
        <v>0</v>
      </c>
      <c r="AC7581" t="n">
        <v>0</v>
      </c>
      <c r="AD7581" t="n">
        <v>0</v>
      </c>
      <c r="AE7581" t="n">
        <v>0</v>
      </c>
      <c r="AF7581" t="n">
        <v>0</v>
      </c>
      <c r="AG7581" t="n">
        <v>0</v>
      </c>
      <c r="AH7581" t="n">
        <v>0</v>
      </c>
      <c r="AI7581" t="n">
        <v>0</v>
      </c>
    </row>
    <row r="7582">
      <c r="A7582" t="inlineStr">
        <is>
          <t>12월</t>
        </is>
      </c>
      <c r="B7582" t="inlineStr">
        <is>
          <t>52주차</t>
        </is>
      </c>
      <c r="C7582" t="e">
        <v>#N/A</v>
      </c>
      <c r="K7582" t="n">
        <v>0</v>
      </c>
      <c r="L7582" t="n">
        <v>0</v>
      </c>
      <c r="M7582" t="n">
        <v>0</v>
      </c>
      <c r="AC7582" t="n">
        <v>0</v>
      </c>
      <c r="AD7582" t="n">
        <v>0</v>
      </c>
      <c r="AE7582" t="n">
        <v>0</v>
      </c>
      <c r="AF7582" t="n">
        <v>0</v>
      </c>
      <c r="AG7582" t="n">
        <v>0</v>
      </c>
      <c r="AH7582" t="n">
        <v>0</v>
      </c>
      <c r="AI7582" t="n">
        <v>0</v>
      </c>
    </row>
    <row r="7583">
      <c r="A7583" t="inlineStr">
        <is>
          <t>12월</t>
        </is>
      </c>
      <c r="B7583" t="inlineStr">
        <is>
          <t>52주차</t>
        </is>
      </c>
      <c r="C7583" t="e">
        <v>#N/A</v>
      </c>
      <c r="K7583" t="n">
        <v>0</v>
      </c>
      <c r="L7583" t="n">
        <v>0</v>
      </c>
      <c r="M7583" t="n">
        <v>0</v>
      </c>
      <c r="AC7583" t="n">
        <v>0</v>
      </c>
      <c r="AD7583" t="n">
        <v>0</v>
      </c>
      <c r="AE7583" t="n">
        <v>0</v>
      </c>
      <c r="AF7583" t="n">
        <v>0</v>
      </c>
      <c r="AG7583" t="n">
        <v>0</v>
      </c>
      <c r="AH7583" t="n">
        <v>0</v>
      </c>
      <c r="AI7583" t="n">
        <v>0</v>
      </c>
    </row>
    <row r="7584">
      <c r="A7584" t="inlineStr">
        <is>
          <t>12월</t>
        </is>
      </c>
      <c r="B7584" t="inlineStr">
        <is>
          <t>52주차</t>
        </is>
      </c>
      <c r="C7584" t="e">
        <v>#N/A</v>
      </c>
      <c r="K7584" t="n">
        <v>0</v>
      </c>
      <c r="L7584" t="n">
        <v>0</v>
      </c>
      <c r="M7584" t="n">
        <v>0</v>
      </c>
      <c r="AC7584" t="n">
        <v>0</v>
      </c>
      <c r="AD7584" t="n">
        <v>0</v>
      </c>
      <c r="AE7584" t="n">
        <v>0</v>
      </c>
      <c r="AF7584" t="n">
        <v>0</v>
      </c>
      <c r="AG7584" t="n">
        <v>0</v>
      </c>
      <c r="AH7584" t="n">
        <v>0</v>
      </c>
      <c r="AI7584" t="n">
        <v>0</v>
      </c>
    </row>
    <row r="7585">
      <c r="A7585" t="inlineStr">
        <is>
          <t>12월</t>
        </is>
      </c>
      <c r="B7585" t="inlineStr">
        <is>
          <t>52주차</t>
        </is>
      </c>
      <c r="C7585" t="e">
        <v>#N/A</v>
      </c>
      <c r="K7585" t="n">
        <v>0</v>
      </c>
      <c r="L7585" t="n">
        <v>0</v>
      </c>
      <c r="M7585" t="n">
        <v>0</v>
      </c>
      <c r="AC7585" t="n">
        <v>0</v>
      </c>
      <c r="AD7585" t="n">
        <v>0</v>
      </c>
      <c r="AE7585" t="n">
        <v>0</v>
      </c>
      <c r="AF7585" t="n">
        <v>0</v>
      </c>
      <c r="AG7585" t="n">
        <v>0</v>
      </c>
      <c r="AH7585" t="n">
        <v>0</v>
      </c>
    </row>
    <row r="7586">
      <c r="A7586" t="inlineStr">
        <is>
          <t>12월</t>
        </is>
      </c>
      <c r="B7586" t="inlineStr">
        <is>
          <t>52주차</t>
        </is>
      </c>
      <c r="C7586" t="e">
        <v>#N/A</v>
      </c>
      <c r="K7586" t="n">
        <v>0</v>
      </c>
      <c r="L7586" t="n">
        <v>0</v>
      </c>
      <c r="M7586" t="n">
        <v>0</v>
      </c>
      <c r="AC7586" t="n">
        <v>0</v>
      </c>
      <c r="AD7586" t="n">
        <v>0</v>
      </c>
      <c r="AE7586" t="n">
        <v>0</v>
      </c>
      <c r="AF7586" t="n">
        <v>0</v>
      </c>
      <c r="AG7586" t="n">
        <v>0</v>
      </c>
      <c r="AH7586" t="n">
        <v>0</v>
      </c>
      <c r="AI7586" t="n">
        <v>0</v>
      </c>
    </row>
    <row r="7587">
      <c r="A7587" t="inlineStr">
        <is>
          <t>12월</t>
        </is>
      </c>
      <c r="B7587" t="inlineStr">
        <is>
          <t>52주차</t>
        </is>
      </c>
      <c r="C7587" t="e">
        <v>#N/A</v>
      </c>
      <c r="K7587" t="n">
        <v>0</v>
      </c>
      <c r="L7587" t="n">
        <v>0</v>
      </c>
      <c r="M7587" t="n">
        <v>0</v>
      </c>
      <c r="AC7587" t="n">
        <v>0</v>
      </c>
      <c r="AD7587" t="n">
        <v>0</v>
      </c>
      <c r="AE7587" t="n">
        <v>0</v>
      </c>
      <c r="AF7587" t="n">
        <v>0</v>
      </c>
      <c r="AG7587" t="n">
        <v>0</v>
      </c>
      <c r="AH7587" t="n">
        <v>0</v>
      </c>
      <c r="AI7587" t="n">
        <v>0</v>
      </c>
    </row>
    <row r="7588">
      <c r="A7588" t="inlineStr">
        <is>
          <t>12월</t>
        </is>
      </c>
      <c r="B7588" t="inlineStr">
        <is>
          <t>52주차</t>
        </is>
      </c>
      <c r="C7588" t="e">
        <v>#N/A</v>
      </c>
      <c r="K7588" t="n">
        <v>0</v>
      </c>
      <c r="L7588" t="n">
        <v>0</v>
      </c>
      <c r="M7588" t="n">
        <v>0</v>
      </c>
      <c r="AC7588" t="n">
        <v>0</v>
      </c>
      <c r="AD7588" t="n">
        <v>0</v>
      </c>
      <c r="AE7588" t="n">
        <v>0</v>
      </c>
      <c r="AF7588" t="n">
        <v>0</v>
      </c>
      <c r="AG7588" t="n">
        <v>0</v>
      </c>
      <c r="AH7588" t="n">
        <v>0</v>
      </c>
      <c r="AI7588" t="n">
        <v>0</v>
      </c>
    </row>
    <row r="7589">
      <c r="A7589" t="inlineStr">
        <is>
          <t>12월</t>
        </is>
      </c>
      <c r="B7589" t="inlineStr">
        <is>
          <t>52주차</t>
        </is>
      </c>
      <c r="C7589" t="e">
        <v>#N/A</v>
      </c>
      <c r="K7589" t="n">
        <v>0</v>
      </c>
      <c r="L7589" t="n">
        <v>0</v>
      </c>
      <c r="M7589" t="n">
        <v>0</v>
      </c>
      <c r="AC7589" t="n">
        <v>0</v>
      </c>
      <c r="AD7589" t="n">
        <v>0</v>
      </c>
      <c r="AE7589" t="n">
        <v>0</v>
      </c>
      <c r="AF7589" t="n">
        <v>0</v>
      </c>
      <c r="AG7589" t="n">
        <v>0</v>
      </c>
      <c r="AH7589" t="n">
        <v>0</v>
      </c>
      <c r="AI7589" t="n">
        <v>0</v>
      </c>
    </row>
    <row r="7590">
      <c r="A7590" t="inlineStr">
        <is>
          <t>12월</t>
        </is>
      </c>
      <c r="B7590" t="inlineStr">
        <is>
          <t>52주차</t>
        </is>
      </c>
      <c r="C7590" t="e">
        <v>#N/A</v>
      </c>
      <c r="K7590" t="n">
        <v>0</v>
      </c>
      <c r="L7590" t="n">
        <v>0</v>
      </c>
      <c r="M7590" t="n">
        <v>0</v>
      </c>
      <c r="AC7590" t="n">
        <v>0</v>
      </c>
      <c r="AD7590" t="n">
        <v>0</v>
      </c>
      <c r="AE7590" t="n">
        <v>0</v>
      </c>
      <c r="AF7590" t="n">
        <v>0</v>
      </c>
      <c r="AG7590" t="n">
        <v>0</v>
      </c>
      <c r="AH7590" t="n">
        <v>0</v>
      </c>
      <c r="AI7590" t="n">
        <v>0</v>
      </c>
    </row>
    <row r="7591">
      <c r="A7591" t="inlineStr">
        <is>
          <t>12월</t>
        </is>
      </c>
      <c r="B7591" t="inlineStr">
        <is>
          <t>52주차</t>
        </is>
      </c>
      <c r="C7591" t="e">
        <v>#N/A</v>
      </c>
      <c r="K7591" t="n">
        <v>0</v>
      </c>
      <c r="L7591" t="n">
        <v>0</v>
      </c>
      <c r="M7591" t="n">
        <v>0</v>
      </c>
      <c r="AC7591" t="n">
        <v>0</v>
      </c>
      <c r="AD7591" t="n">
        <v>0</v>
      </c>
      <c r="AE7591" t="n">
        <v>0</v>
      </c>
      <c r="AF7591" t="n">
        <v>0</v>
      </c>
      <c r="AG7591" t="n">
        <v>0</v>
      </c>
      <c r="AH7591" t="n">
        <v>0</v>
      </c>
    </row>
    <row r="7592">
      <c r="A7592" t="inlineStr">
        <is>
          <t>12월</t>
        </is>
      </c>
      <c r="B7592" t="inlineStr">
        <is>
          <t>52주차</t>
        </is>
      </c>
      <c r="C7592" t="e">
        <v>#N/A</v>
      </c>
      <c r="K7592" t="n">
        <v>0</v>
      </c>
      <c r="L7592" t="n">
        <v>0</v>
      </c>
      <c r="M7592" t="n">
        <v>0</v>
      </c>
      <c r="AC7592" t="n">
        <v>0</v>
      </c>
      <c r="AD7592" t="n">
        <v>0</v>
      </c>
      <c r="AE7592" t="n">
        <v>0</v>
      </c>
      <c r="AF7592" t="n">
        <v>0</v>
      </c>
      <c r="AG7592" t="n">
        <v>0</v>
      </c>
      <c r="AH7592" t="n">
        <v>0</v>
      </c>
      <c r="AI7592" t="n">
        <v>0</v>
      </c>
    </row>
    <row r="7593">
      <c r="A7593" t="inlineStr">
        <is>
          <t>12월</t>
        </is>
      </c>
      <c r="B7593" t="inlineStr">
        <is>
          <t>52주차</t>
        </is>
      </c>
      <c r="C7593" t="e">
        <v>#N/A</v>
      </c>
      <c r="K7593" t="n">
        <v>0</v>
      </c>
      <c r="L7593" t="n">
        <v>0</v>
      </c>
      <c r="M7593" t="n">
        <v>0</v>
      </c>
      <c r="AC7593" t="n">
        <v>0</v>
      </c>
      <c r="AD7593" t="n">
        <v>0</v>
      </c>
      <c r="AE7593" t="n">
        <v>0</v>
      </c>
      <c r="AF7593" t="n">
        <v>0</v>
      </c>
      <c r="AG7593" t="n">
        <v>0</v>
      </c>
      <c r="AH7593" t="n">
        <v>0</v>
      </c>
      <c r="AI7593" t="n">
        <v>0</v>
      </c>
    </row>
    <row r="7594">
      <c r="A7594" t="inlineStr">
        <is>
          <t>12월</t>
        </is>
      </c>
      <c r="B7594" t="inlineStr">
        <is>
          <t>52주차</t>
        </is>
      </c>
      <c r="C7594" t="e">
        <v>#N/A</v>
      </c>
      <c r="K7594" t="n">
        <v>0</v>
      </c>
      <c r="L7594" t="n">
        <v>0</v>
      </c>
      <c r="M7594" t="n">
        <v>0</v>
      </c>
      <c r="AC7594" t="n">
        <v>0</v>
      </c>
      <c r="AD7594" t="n">
        <v>0</v>
      </c>
      <c r="AE7594" t="n">
        <v>0</v>
      </c>
      <c r="AF7594" t="n">
        <v>0</v>
      </c>
      <c r="AG7594" t="n">
        <v>0</v>
      </c>
      <c r="AH7594" t="n">
        <v>0</v>
      </c>
      <c r="AI7594" t="n">
        <v>0</v>
      </c>
    </row>
    <row r="7595">
      <c r="A7595" t="inlineStr">
        <is>
          <t>12월</t>
        </is>
      </c>
      <c r="B7595" t="inlineStr">
        <is>
          <t>52주차</t>
        </is>
      </c>
      <c r="C7595" t="e">
        <v>#N/A</v>
      </c>
      <c r="K7595" t="n">
        <v>0</v>
      </c>
      <c r="L7595" t="n">
        <v>0</v>
      </c>
      <c r="M7595" t="n">
        <v>0</v>
      </c>
      <c r="AC7595" t="n">
        <v>0</v>
      </c>
      <c r="AD7595" t="n">
        <v>0</v>
      </c>
      <c r="AE7595" t="n">
        <v>0</v>
      </c>
      <c r="AF7595" t="n">
        <v>0</v>
      </c>
      <c r="AG7595" t="n">
        <v>0</v>
      </c>
      <c r="AH7595" t="n">
        <v>0</v>
      </c>
      <c r="AI7595" t="n">
        <v>0</v>
      </c>
    </row>
    <row r="7596">
      <c r="A7596" t="inlineStr">
        <is>
          <t>12월</t>
        </is>
      </c>
      <c r="B7596" t="inlineStr">
        <is>
          <t>52주차</t>
        </is>
      </c>
      <c r="C7596" t="e">
        <v>#N/A</v>
      </c>
      <c r="K7596" t="n">
        <v>0</v>
      </c>
      <c r="L7596" t="n">
        <v>0</v>
      </c>
      <c r="M7596" t="n">
        <v>0</v>
      </c>
      <c r="AC7596" t="n">
        <v>0</v>
      </c>
      <c r="AD7596" t="n">
        <v>0</v>
      </c>
      <c r="AE7596" t="n">
        <v>0</v>
      </c>
      <c r="AF7596" t="n">
        <v>0</v>
      </c>
      <c r="AG7596" t="n">
        <v>0</v>
      </c>
      <c r="AH7596" t="n">
        <v>0</v>
      </c>
      <c r="AI7596" t="n">
        <v>0</v>
      </c>
    </row>
    <row r="7597">
      <c r="A7597" t="inlineStr">
        <is>
          <t>12월</t>
        </is>
      </c>
      <c r="B7597" t="inlineStr">
        <is>
          <t>52주차</t>
        </is>
      </c>
      <c r="C7597" t="e">
        <v>#N/A</v>
      </c>
      <c r="K7597" t="n">
        <v>0</v>
      </c>
      <c r="L7597" t="n">
        <v>0</v>
      </c>
      <c r="M7597" t="n">
        <v>0</v>
      </c>
      <c r="AC7597" t="n">
        <v>0</v>
      </c>
      <c r="AD7597" t="n">
        <v>0</v>
      </c>
      <c r="AE7597" t="n">
        <v>0</v>
      </c>
      <c r="AF7597" t="n">
        <v>0</v>
      </c>
      <c r="AG7597" t="n">
        <v>0</v>
      </c>
      <c r="AH7597" t="n">
        <v>0</v>
      </c>
      <c r="AI7597" t="n">
        <v>0</v>
      </c>
    </row>
    <row r="7598">
      <c r="A7598" t="inlineStr">
        <is>
          <t>12월</t>
        </is>
      </c>
      <c r="B7598" t="inlineStr">
        <is>
          <t>52주차</t>
        </is>
      </c>
      <c r="C7598" t="e">
        <v>#N/A</v>
      </c>
      <c r="K7598" t="n">
        <v>0</v>
      </c>
      <c r="L7598" t="n">
        <v>0</v>
      </c>
      <c r="M7598" t="n">
        <v>0</v>
      </c>
      <c r="AC7598" t="n">
        <v>0</v>
      </c>
      <c r="AD7598" t="n">
        <v>0</v>
      </c>
      <c r="AE7598" t="n">
        <v>0</v>
      </c>
      <c r="AF7598" t="n">
        <v>0</v>
      </c>
      <c r="AG7598" t="n">
        <v>0</v>
      </c>
      <c r="AH7598" t="n">
        <v>0</v>
      </c>
      <c r="AI7598" t="n">
        <v>0</v>
      </c>
    </row>
    <row r="7599">
      <c r="A7599" t="inlineStr">
        <is>
          <t>12월</t>
        </is>
      </c>
      <c r="B7599" t="inlineStr">
        <is>
          <t>52주차</t>
        </is>
      </c>
      <c r="C7599" t="e">
        <v>#N/A</v>
      </c>
      <c r="K7599" t="n">
        <v>0</v>
      </c>
      <c r="L7599" t="n">
        <v>0</v>
      </c>
      <c r="M7599" t="n">
        <v>0</v>
      </c>
      <c r="AC7599" t="n">
        <v>0</v>
      </c>
      <c r="AD7599" t="n">
        <v>0</v>
      </c>
      <c r="AE7599" t="n">
        <v>0</v>
      </c>
      <c r="AF7599" t="n">
        <v>0</v>
      </c>
      <c r="AG7599" t="n">
        <v>0</v>
      </c>
      <c r="AH7599" t="n">
        <v>0</v>
      </c>
      <c r="AI7599" t="n">
        <v>0</v>
      </c>
    </row>
    <row r="7600">
      <c r="A7600" t="inlineStr">
        <is>
          <t>12월</t>
        </is>
      </c>
      <c r="B7600" t="inlineStr">
        <is>
          <t>52주차</t>
        </is>
      </c>
      <c r="C7600" t="e">
        <v>#N/A</v>
      </c>
      <c r="K7600" t="n">
        <v>0</v>
      </c>
      <c r="L7600" t="n">
        <v>0</v>
      </c>
      <c r="M7600" t="n">
        <v>0</v>
      </c>
      <c r="AC7600" t="n">
        <v>0</v>
      </c>
      <c r="AD7600" t="n">
        <v>0</v>
      </c>
      <c r="AE7600" t="n">
        <v>0</v>
      </c>
      <c r="AF7600" t="n">
        <v>0</v>
      </c>
      <c r="AG7600" t="n">
        <v>0</v>
      </c>
      <c r="AH7600" t="n">
        <v>0</v>
      </c>
      <c r="AI7600" t="n">
        <v>0</v>
      </c>
    </row>
    <row r="7601">
      <c r="A7601" t="inlineStr">
        <is>
          <t>12월</t>
        </is>
      </c>
      <c r="B7601" t="inlineStr">
        <is>
          <t>52주차</t>
        </is>
      </c>
      <c r="C7601" t="e">
        <v>#N/A</v>
      </c>
      <c r="K7601" t="n">
        <v>0</v>
      </c>
      <c r="L7601" t="n">
        <v>0</v>
      </c>
      <c r="M7601" t="n">
        <v>0</v>
      </c>
      <c r="AC7601" t="n">
        <v>0</v>
      </c>
      <c r="AD7601" t="n">
        <v>0</v>
      </c>
      <c r="AE7601" t="n">
        <v>0</v>
      </c>
      <c r="AF7601" t="n">
        <v>0</v>
      </c>
      <c r="AG7601" t="n">
        <v>0</v>
      </c>
      <c r="AH7601" t="n">
        <v>0</v>
      </c>
      <c r="AI7601" t="n">
        <v>0</v>
      </c>
    </row>
    <row r="7602">
      <c r="A7602" t="inlineStr">
        <is>
          <t>12월</t>
        </is>
      </c>
      <c r="B7602" t="inlineStr">
        <is>
          <t>52주차</t>
        </is>
      </c>
      <c r="C7602" t="e">
        <v>#N/A</v>
      </c>
      <c r="K7602" t="n">
        <v>0</v>
      </c>
      <c r="L7602" t="n">
        <v>0</v>
      </c>
      <c r="M7602" t="n">
        <v>0</v>
      </c>
      <c r="AC7602" t="n">
        <v>0</v>
      </c>
      <c r="AD7602" t="n">
        <v>0</v>
      </c>
      <c r="AE7602" t="n">
        <v>0</v>
      </c>
      <c r="AF7602" t="n">
        <v>0</v>
      </c>
      <c r="AG7602" t="n">
        <v>0</v>
      </c>
      <c r="AH7602" t="n">
        <v>0</v>
      </c>
      <c r="AI7602" t="n">
        <v>0</v>
      </c>
    </row>
    <row r="7603">
      <c r="A7603" t="inlineStr">
        <is>
          <t>12월</t>
        </is>
      </c>
      <c r="B7603" t="inlineStr">
        <is>
          <t>52주차</t>
        </is>
      </c>
      <c r="C7603" t="e">
        <v>#N/A</v>
      </c>
      <c r="K7603" t="n">
        <v>0</v>
      </c>
      <c r="L7603" t="n">
        <v>0</v>
      </c>
      <c r="M7603" t="n">
        <v>0</v>
      </c>
      <c r="AC7603" t="n">
        <v>0</v>
      </c>
      <c r="AD7603" t="n">
        <v>0</v>
      </c>
      <c r="AE7603" t="n">
        <v>0</v>
      </c>
      <c r="AF7603" t="n">
        <v>0</v>
      </c>
      <c r="AG7603" t="n">
        <v>0</v>
      </c>
      <c r="AH7603" t="n">
        <v>0</v>
      </c>
      <c r="AI7603" t="n">
        <v>0</v>
      </c>
    </row>
    <row r="7604">
      <c r="A7604" t="inlineStr">
        <is>
          <t>12월</t>
        </is>
      </c>
      <c r="B7604" t="inlineStr">
        <is>
          <t>52주차</t>
        </is>
      </c>
      <c r="C7604" t="e">
        <v>#N/A</v>
      </c>
      <c r="K7604" t="n">
        <v>0</v>
      </c>
      <c r="L7604" t="n">
        <v>0</v>
      </c>
      <c r="M7604" t="n">
        <v>0</v>
      </c>
      <c r="AC7604" t="n">
        <v>0</v>
      </c>
      <c r="AD7604" t="n">
        <v>0</v>
      </c>
      <c r="AE7604" t="n">
        <v>0</v>
      </c>
      <c r="AF7604" t="n">
        <v>0</v>
      </c>
      <c r="AG7604" t="n">
        <v>0</v>
      </c>
      <c r="AH7604" t="n">
        <v>0</v>
      </c>
      <c r="AI7604" t="n">
        <v>0</v>
      </c>
    </row>
    <row r="7605">
      <c r="A7605" t="inlineStr">
        <is>
          <t>12월</t>
        </is>
      </c>
      <c r="B7605" t="inlineStr">
        <is>
          <t>52주차</t>
        </is>
      </c>
      <c r="C7605" t="e">
        <v>#N/A</v>
      </c>
      <c r="K7605" t="n">
        <v>0</v>
      </c>
      <c r="L7605" t="n">
        <v>0</v>
      </c>
      <c r="M7605" t="n">
        <v>0</v>
      </c>
      <c r="AC7605" t="n">
        <v>0</v>
      </c>
      <c r="AD7605" t="n">
        <v>0</v>
      </c>
      <c r="AE7605" t="n">
        <v>0</v>
      </c>
      <c r="AF7605" t="n">
        <v>0</v>
      </c>
      <c r="AG7605" t="n">
        <v>0</v>
      </c>
      <c r="AH7605" t="n">
        <v>0</v>
      </c>
      <c r="AI7605" t="n">
        <v>0</v>
      </c>
    </row>
    <row r="7606">
      <c r="A7606" t="inlineStr">
        <is>
          <t>12월</t>
        </is>
      </c>
      <c r="B7606" t="inlineStr">
        <is>
          <t>52주차</t>
        </is>
      </c>
      <c r="C7606" t="e">
        <v>#N/A</v>
      </c>
      <c r="K7606" t="n">
        <v>0</v>
      </c>
      <c r="L7606" t="n">
        <v>0</v>
      </c>
      <c r="M7606" t="n">
        <v>0</v>
      </c>
      <c r="AC7606" t="n">
        <v>0</v>
      </c>
      <c r="AD7606" t="n">
        <v>0</v>
      </c>
      <c r="AE7606" t="n">
        <v>0</v>
      </c>
      <c r="AF7606" t="n">
        <v>0</v>
      </c>
      <c r="AG7606" t="n">
        <v>0</v>
      </c>
      <c r="AH7606" t="n">
        <v>0</v>
      </c>
      <c r="AI7606" t="n">
        <v>0</v>
      </c>
    </row>
    <row r="7607">
      <c r="A7607" t="inlineStr">
        <is>
          <t>12월</t>
        </is>
      </c>
      <c r="B7607" t="inlineStr">
        <is>
          <t>52주차</t>
        </is>
      </c>
      <c r="C7607" t="e">
        <v>#N/A</v>
      </c>
      <c r="K7607" t="n">
        <v>0</v>
      </c>
      <c r="L7607" t="n">
        <v>0</v>
      </c>
      <c r="M7607" t="n">
        <v>0</v>
      </c>
      <c r="AC7607" t="n">
        <v>0</v>
      </c>
      <c r="AD7607" t="n">
        <v>0</v>
      </c>
      <c r="AE7607" t="n">
        <v>0</v>
      </c>
      <c r="AF7607" t="n">
        <v>0</v>
      </c>
      <c r="AG7607" t="n">
        <v>0</v>
      </c>
      <c r="AH7607" t="n">
        <v>0</v>
      </c>
      <c r="AI7607" t="n">
        <v>0</v>
      </c>
    </row>
    <row r="7608">
      <c r="A7608" t="inlineStr">
        <is>
          <t>12월</t>
        </is>
      </c>
      <c r="B7608" t="inlineStr">
        <is>
          <t>52주차</t>
        </is>
      </c>
      <c r="C7608" t="e">
        <v>#N/A</v>
      </c>
      <c r="K7608" t="n">
        <v>0</v>
      </c>
      <c r="L7608" t="n">
        <v>0</v>
      </c>
      <c r="M7608" t="n">
        <v>0</v>
      </c>
      <c r="AC7608" t="n">
        <v>0</v>
      </c>
      <c r="AD7608" t="n">
        <v>0</v>
      </c>
      <c r="AE7608" t="n">
        <v>0</v>
      </c>
      <c r="AF7608" t="n">
        <v>0</v>
      </c>
      <c r="AG7608" t="n">
        <v>0</v>
      </c>
      <c r="AH7608" t="n">
        <v>0</v>
      </c>
      <c r="AI7608" t="n">
        <v>0</v>
      </c>
    </row>
    <row r="7609">
      <c r="A7609" t="inlineStr">
        <is>
          <t>12월</t>
        </is>
      </c>
      <c r="B7609" t="inlineStr">
        <is>
          <t>52주차</t>
        </is>
      </c>
      <c r="C7609" t="e">
        <v>#N/A</v>
      </c>
      <c r="K7609" t="n">
        <v>0</v>
      </c>
      <c r="L7609" t="n">
        <v>0</v>
      </c>
      <c r="M7609" t="n">
        <v>0</v>
      </c>
      <c r="AC7609" t="n">
        <v>0</v>
      </c>
      <c r="AD7609" t="n">
        <v>0</v>
      </c>
      <c r="AE7609" t="n">
        <v>0</v>
      </c>
      <c r="AF7609" t="n">
        <v>0</v>
      </c>
      <c r="AG7609" t="n">
        <v>0</v>
      </c>
      <c r="AH7609" t="n">
        <v>0</v>
      </c>
      <c r="AI7609" t="n">
        <v>0</v>
      </c>
    </row>
    <row r="7610">
      <c r="A7610" t="inlineStr">
        <is>
          <t>12월</t>
        </is>
      </c>
      <c r="B7610" t="inlineStr">
        <is>
          <t>52주차</t>
        </is>
      </c>
      <c r="C7610" t="e">
        <v>#N/A</v>
      </c>
      <c r="K7610" t="n">
        <v>0</v>
      </c>
      <c r="L7610" t="n">
        <v>0</v>
      </c>
      <c r="M7610" t="n">
        <v>0</v>
      </c>
      <c r="AC7610" t="n">
        <v>0</v>
      </c>
      <c r="AD7610" t="n">
        <v>0</v>
      </c>
      <c r="AE7610" t="n">
        <v>0</v>
      </c>
      <c r="AF7610" t="n">
        <v>0</v>
      </c>
      <c r="AG7610" t="n">
        <v>0</v>
      </c>
      <c r="AH7610" t="n">
        <v>0</v>
      </c>
      <c r="AI7610" t="n">
        <v>0</v>
      </c>
    </row>
    <row r="7611">
      <c r="A7611" t="inlineStr">
        <is>
          <t>12월</t>
        </is>
      </c>
      <c r="B7611" t="inlineStr">
        <is>
          <t>52주차</t>
        </is>
      </c>
      <c r="C7611" t="e">
        <v>#N/A</v>
      </c>
      <c r="K7611" t="n">
        <v>0</v>
      </c>
      <c r="L7611" t="n">
        <v>0</v>
      </c>
      <c r="M7611" t="n">
        <v>0</v>
      </c>
      <c r="AC7611" t="n">
        <v>0</v>
      </c>
      <c r="AD7611" t="n">
        <v>0</v>
      </c>
      <c r="AE7611" t="n">
        <v>0</v>
      </c>
      <c r="AF7611" t="n">
        <v>0</v>
      </c>
      <c r="AG7611" t="n">
        <v>0</v>
      </c>
      <c r="AH7611" t="n">
        <v>0</v>
      </c>
      <c r="AI7611" t="n">
        <v>0</v>
      </c>
    </row>
    <row r="7612">
      <c r="A7612" t="inlineStr">
        <is>
          <t>12월</t>
        </is>
      </c>
      <c r="B7612" t="inlineStr">
        <is>
          <t>52주차</t>
        </is>
      </c>
      <c r="C7612" t="e">
        <v>#N/A</v>
      </c>
      <c r="K7612" t="n">
        <v>0</v>
      </c>
      <c r="L7612" t="n">
        <v>0</v>
      </c>
      <c r="M7612" t="n">
        <v>0</v>
      </c>
      <c r="AC7612" t="n">
        <v>0</v>
      </c>
      <c r="AD7612" t="n">
        <v>0</v>
      </c>
      <c r="AE7612" t="n">
        <v>0</v>
      </c>
      <c r="AF7612" t="n">
        <v>0</v>
      </c>
      <c r="AG7612" t="n">
        <v>0</v>
      </c>
      <c r="AH7612" t="n">
        <v>0</v>
      </c>
    </row>
    <row r="7613">
      <c r="A7613" t="inlineStr">
        <is>
          <t>12월</t>
        </is>
      </c>
      <c r="B7613" t="inlineStr">
        <is>
          <t>52주차</t>
        </is>
      </c>
      <c r="C7613" t="e">
        <v>#N/A</v>
      </c>
      <c r="K7613" t="n">
        <v>0</v>
      </c>
      <c r="L7613" t="n">
        <v>0</v>
      </c>
      <c r="M7613" t="n">
        <v>0</v>
      </c>
      <c r="AC7613" t="n">
        <v>0</v>
      </c>
      <c r="AD7613" t="n">
        <v>0</v>
      </c>
      <c r="AE7613" t="n">
        <v>0</v>
      </c>
      <c r="AF7613" t="n">
        <v>0</v>
      </c>
      <c r="AG7613" t="n">
        <v>0</v>
      </c>
      <c r="AH7613" t="n">
        <v>0</v>
      </c>
      <c r="AI7613" t="n">
        <v>0</v>
      </c>
    </row>
    <row r="7614">
      <c r="A7614" t="inlineStr">
        <is>
          <t>12월</t>
        </is>
      </c>
      <c r="B7614" t="inlineStr">
        <is>
          <t>52주차</t>
        </is>
      </c>
      <c r="C7614" t="e">
        <v>#N/A</v>
      </c>
      <c r="K7614" t="n">
        <v>0</v>
      </c>
      <c r="L7614" t="n">
        <v>0</v>
      </c>
      <c r="M7614" t="n">
        <v>0</v>
      </c>
      <c r="AC7614" t="n">
        <v>0</v>
      </c>
      <c r="AD7614" t="n">
        <v>0</v>
      </c>
      <c r="AE7614" t="n">
        <v>0</v>
      </c>
      <c r="AF7614" t="n">
        <v>0</v>
      </c>
      <c r="AG7614" t="n">
        <v>0</v>
      </c>
      <c r="AH7614" t="n">
        <v>0</v>
      </c>
    </row>
    <row r="7615">
      <c r="A7615" t="inlineStr">
        <is>
          <t>12월</t>
        </is>
      </c>
      <c r="B7615" t="inlineStr">
        <is>
          <t>52주차</t>
        </is>
      </c>
      <c r="C7615" t="e">
        <v>#N/A</v>
      </c>
      <c r="K7615" t="n">
        <v>0</v>
      </c>
      <c r="L7615" t="n">
        <v>0</v>
      </c>
      <c r="M7615" t="n">
        <v>0</v>
      </c>
      <c r="AC7615" t="n">
        <v>0</v>
      </c>
      <c r="AD7615" t="n">
        <v>0</v>
      </c>
      <c r="AE7615" t="n">
        <v>0</v>
      </c>
      <c r="AF7615" t="n">
        <v>0</v>
      </c>
      <c r="AG7615" t="n">
        <v>0</v>
      </c>
      <c r="AH7615" t="n">
        <v>0</v>
      </c>
    </row>
    <row r="7616">
      <c r="A7616" t="inlineStr">
        <is>
          <t>12월</t>
        </is>
      </c>
      <c r="B7616" t="inlineStr">
        <is>
          <t>52주차</t>
        </is>
      </c>
      <c r="C7616" t="e">
        <v>#N/A</v>
      </c>
      <c r="K7616" t="n">
        <v>0</v>
      </c>
      <c r="L7616" t="n">
        <v>0</v>
      </c>
      <c r="M7616" t="n">
        <v>0</v>
      </c>
      <c r="AC7616" t="n">
        <v>0</v>
      </c>
      <c r="AD7616" t="n">
        <v>0</v>
      </c>
      <c r="AE7616" t="n">
        <v>0</v>
      </c>
      <c r="AF7616" t="n">
        <v>0</v>
      </c>
      <c r="AG7616" t="n">
        <v>0</v>
      </c>
      <c r="AH7616" t="n">
        <v>0</v>
      </c>
    </row>
    <row r="7617">
      <c r="A7617" t="inlineStr">
        <is>
          <t>12월</t>
        </is>
      </c>
      <c r="B7617" t="inlineStr">
        <is>
          <t>52주차</t>
        </is>
      </c>
      <c r="C7617" t="e">
        <v>#N/A</v>
      </c>
      <c r="K7617" t="n">
        <v>0</v>
      </c>
      <c r="L7617" t="n">
        <v>0</v>
      </c>
      <c r="M7617" t="n">
        <v>0</v>
      </c>
      <c r="AC7617" t="n">
        <v>0</v>
      </c>
      <c r="AD7617" t="n">
        <v>0</v>
      </c>
      <c r="AE7617" t="n">
        <v>0</v>
      </c>
      <c r="AF7617" t="n">
        <v>0</v>
      </c>
      <c r="AG7617" t="n">
        <v>0</v>
      </c>
      <c r="AH7617" t="n">
        <v>0</v>
      </c>
    </row>
    <row r="7618">
      <c r="A7618" t="inlineStr">
        <is>
          <t>12월</t>
        </is>
      </c>
      <c r="B7618" t="inlineStr">
        <is>
          <t>52주차</t>
        </is>
      </c>
      <c r="C7618" t="e">
        <v>#N/A</v>
      </c>
      <c r="K7618" t="n">
        <v>0</v>
      </c>
      <c r="L7618" t="n">
        <v>0</v>
      </c>
      <c r="M7618" t="n">
        <v>0</v>
      </c>
      <c r="AC7618" t="n">
        <v>0</v>
      </c>
      <c r="AD7618" t="n">
        <v>0</v>
      </c>
      <c r="AE7618" t="n">
        <v>0</v>
      </c>
      <c r="AF7618" t="n">
        <v>0</v>
      </c>
      <c r="AG7618" t="n">
        <v>0</v>
      </c>
      <c r="AH7618" t="n">
        <v>0</v>
      </c>
      <c r="AI7618" t="n">
        <v>0</v>
      </c>
    </row>
    <row r="7619">
      <c r="A7619" t="inlineStr">
        <is>
          <t>12월</t>
        </is>
      </c>
      <c r="B7619" t="inlineStr">
        <is>
          <t>52주차</t>
        </is>
      </c>
      <c r="C7619" t="e">
        <v>#N/A</v>
      </c>
      <c r="K7619" t="n">
        <v>0</v>
      </c>
      <c r="L7619" t="n">
        <v>0</v>
      </c>
      <c r="M7619" t="n">
        <v>0</v>
      </c>
      <c r="AC7619" t="n">
        <v>0</v>
      </c>
      <c r="AD7619" t="n">
        <v>0</v>
      </c>
      <c r="AE7619" t="n">
        <v>0</v>
      </c>
      <c r="AF7619" t="n">
        <v>0</v>
      </c>
      <c r="AG7619" t="n">
        <v>0</v>
      </c>
      <c r="AH7619" t="n">
        <v>0</v>
      </c>
      <c r="AI7619" t="n">
        <v>0</v>
      </c>
    </row>
    <row r="7620">
      <c r="A7620" t="inlineStr">
        <is>
          <t>12월</t>
        </is>
      </c>
      <c r="B7620" t="inlineStr">
        <is>
          <t>52주차</t>
        </is>
      </c>
      <c r="C7620" t="e">
        <v>#N/A</v>
      </c>
      <c r="K7620" t="n">
        <v>0</v>
      </c>
      <c r="L7620" t="n">
        <v>0</v>
      </c>
      <c r="M7620" t="n">
        <v>0</v>
      </c>
      <c r="AC7620" t="n">
        <v>0</v>
      </c>
      <c r="AD7620" t="n">
        <v>0</v>
      </c>
      <c r="AE7620" t="n">
        <v>0</v>
      </c>
      <c r="AF7620" t="n">
        <v>0</v>
      </c>
      <c r="AG7620" t="n">
        <v>0</v>
      </c>
      <c r="AH7620" t="n">
        <v>0</v>
      </c>
      <c r="AI7620" t="n">
        <v>0</v>
      </c>
    </row>
    <row r="7621">
      <c r="A7621" t="inlineStr">
        <is>
          <t>12월</t>
        </is>
      </c>
      <c r="B7621" t="inlineStr">
        <is>
          <t>52주차</t>
        </is>
      </c>
      <c r="C7621" t="e">
        <v>#N/A</v>
      </c>
      <c r="K7621" t="n">
        <v>0</v>
      </c>
      <c r="L7621" t="n">
        <v>0</v>
      </c>
      <c r="M7621" t="n">
        <v>0</v>
      </c>
      <c r="AC7621" t="n">
        <v>0</v>
      </c>
      <c r="AD7621" t="n">
        <v>0</v>
      </c>
      <c r="AE7621" t="n">
        <v>0</v>
      </c>
      <c r="AF7621" t="n">
        <v>0</v>
      </c>
      <c r="AG7621" t="n">
        <v>0</v>
      </c>
      <c r="AH7621" t="n">
        <v>0</v>
      </c>
    </row>
    <row r="7622">
      <c r="A7622" t="inlineStr">
        <is>
          <t>12월</t>
        </is>
      </c>
      <c r="B7622" t="inlineStr">
        <is>
          <t>52주차</t>
        </is>
      </c>
      <c r="C7622" t="e">
        <v>#N/A</v>
      </c>
      <c r="K7622" t="n">
        <v>0</v>
      </c>
      <c r="L7622" t="n">
        <v>0</v>
      </c>
      <c r="M7622" t="n">
        <v>0</v>
      </c>
      <c r="AC7622" t="n">
        <v>0</v>
      </c>
      <c r="AD7622" t="n">
        <v>0</v>
      </c>
      <c r="AE7622" t="n">
        <v>0</v>
      </c>
      <c r="AF7622" t="n">
        <v>0</v>
      </c>
      <c r="AG7622" t="n">
        <v>0</v>
      </c>
      <c r="AH7622" t="n">
        <v>0</v>
      </c>
      <c r="AI7622" t="n">
        <v>0</v>
      </c>
    </row>
    <row r="7623">
      <c r="A7623" t="inlineStr">
        <is>
          <t>12월</t>
        </is>
      </c>
      <c r="B7623" t="inlineStr">
        <is>
          <t>52주차</t>
        </is>
      </c>
      <c r="C7623" t="e">
        <v>#N/A</v>
      </c>
      <c r="K7623" t="n">
        <v>0</v>
      </c>
      <c r="L7623" t="n">
        <v>0</v>
      </c>
      <c r="M7623" t="n">
        <v>0</v>
      </c>
      <c r="AC7623" t="n">
        <v>0</v>
      </c>
      <c r="AD7623" t="n">
        <v>0</v>
      </c>
      <c r="AE7623" t="n">
        <v>0</v>
      </c>
      <c r="AF7623" t="n">
        <v>0</v>
      </c>
      <c r="AG7623" t="n">
        <v>0</v>
      </c>
      <c r="AH7623" t="n">
        <v>0</v>
      </c>
      <c r="AI7623" t="n">
        <v>0</v>
      </c>
    </row>
    <row r="7624">
      <c r="A7624" t="inlineStr">
        <is>
          <t>12월</t>
        </is>
      </c>
      <c r="B7624" t="inlineStr">
        <is>
          <t>52주차</t>
        </is>
      </c>
      <c r="C7624" t="e">
        <v>#N/A</v>
      </c>
      <c r="K7624" t="n">
        <v>0</v>
      </c>
      <c r="L7624" t="n">
        <v>0</v>
      </c>
      <c r="M7624" t="n">
        <v>0</v>
      </c>
      <c r="AC7624" t="n">
        <v>0</v>
      </c>
      <c r="AD7624" t="n">
        <v>0</v>
      </c>
      <c r="AE7624" t="n">
        <v>0</v>
      </c>
      <c r="AF7624" t="n">
        <v>0</v>
      </c>
      <c r="AG7624" t="n">
        <v>0</v>
      </c>
      <c r="AH7624" t="n">
        <v>0</v>
      </c>
      <c r="AI7624" t="n">
        <v>0</v>
      </c>
    </row>
    <row r="7625">
      <c r="A7625" t="inlineStr">
        <is>
          <t>12월</t>
        </is>
      </c>
      <c r="B7625" t="inlineStr">
        <is>
          <t>52주차</t>
        </is>
      </c>
      <c r="C7625" t="e">
        <v>#N/A</v>
      </c>
      <c r="K7625" t="n">
        <v>0</v>
      </c>
      <c r="L7625" t="n">
        <v>0</v>
      </c>
      <c r="M7625" t="n">
        <v>0</v>
      </c>
      <c r="AC7625" t="n">
        <v>0</v>
      </c>
      <c r="AD7625" t="n">
        <v>0</v>
      </c>
      <c r="AE7625" t="n">
        <v>0</v>
      </c>
      <c r="AF7625" t="n">
        <v>0</v>
      </c>
      <c r="AG7625" t="n">
        <v>0</v>
      </c>
      <c r="AH7625" t="n">
        <v>0</v>
      </c>
      <c r="AI7625" t="n">
        <v>0</v>
      </c>
    </row>
    <row r="7626">
      <c r="A7626" t="inlineStr">
        <is>
          <t>12월</t>
        </is>
      </c>
      <c r="B7626" t="inlineStr">
        <is>
          <t>52주차</t>
        </is>
      </c>
      <c r="C7626" t="e">
        <v>#N/A</v>
      </c>
      <c r="K7626" t="n">
        <v>0</v>
      </c>
      <c r="L7626" t="n">
        <v>0</v>
      </c>
      <c r="M7626" t="n">
        <v>0</v>
      </c>
      <c r="AC7626" t="n">
        <v>0</v>
      </c>
      <c r="AD7626" t="n">
        <v>0</v>
      </c>
      <c r="AE7626" t="n">
        <v>0</v>
      </c>
      <c r="AF7626" t="n">
        <v>0</v>
      </c>
      <c r="AG7626" t="n">
        <v>0</v>
      </c>
      <c r="AH7626" t="n">
        <v>0</v>
      </c>
    </row>
    <row r="7627">
      <c r="A7627" t="inlineStr">
        <is>
          <t>12월</t>
        </is>
      </c>
      <c r="B7627" t="inlineStr">
        <is>
          <t>52주차</t>
        </is>
      </c>
      <c r="C7627" t="e">
        <v>#N/A</v>
      </c>
      <c r="K7627" t="n">
        <v>0</v>
      </c>
      <c r="L7627" t="n">
        <v>0</v>
      </c>
      <c r="M7627" t="n">
        <v>0</v>
      </c>
      <c r="AC7627" t="n">
        <v>0</v>
      </c>
      <c r="AD7627" t="n">
        <v>0</v>
      </c>
      <c r="AE7627" t="n">
        <v>0</v>
      </c>
      <c r="AF7627" t="n">
        <v>0</v>
      </c>
      <c r="AG7627" t="n">
        <v>0</v>
      </c>
      <c r="AH7627" t="n">
        <v>0</v>
      </c>
      <c r="AI7627" t="n">
        <v>0</v>
      </c>
    </row>
    <row r="7628">
      <c r="A7628" t="inlineStr">
        <is>
          <t>12월</t>
        </is>
      </c>
      <c r="B7628" t="inlineStr">
        <is>
          <t>52주차</t>
        </is>
      </c>
      <c r="C7628" t="e">
        <v>#N/A</v>
      </c>
      <c r="K7628" t="n">
        <v>0</v>
      </c>
      <c r="L7628" t="n">
        <v>0</v>
      </c>
      <c r="M7628" t="n">
        <v>0</v>
      </c>
      <c r="AC7628" t="n">
        <v>0</v>
      </c>
      <c r="AD7628" t="n">
        <v>0</v>
      </c>
      <c r="AE7628" t="n">
        <v>0</v>
      </c>
      <c r="AF7628" t="n">
        <v>0</v>
      </c>
      <c r="AG7628" t="n">
        <v>0</v>
      </c>
      <c r="AH7628" t="n">
        <v>0</v>
      </c>
    </row>
    <row r="7629">
      <c r="A7629" t="inlineStr">
        <is>
          <t>12월</t>
        </is>
      </c>
      <c r="B7629" t="inlineStr">
        <is>
          <t>52주차</t>
        </is>
      </c>
      <c r="C7629" t="e">
        <v>#N/A</v>
      </c>
      <c r="K7629" t="n">
        <v>0</v>
      </c>
      <c r="L7629" t="n">
        <v>0</v>
      </c>
      <c r="M7629" t="n">
        <v>0</v>
      </c>
      <c r="AC7629" t="n">
        <v>0</v>
      </c>
      <c r="AD7629" t="n">
        <v>0</v>
      </c>
      <c r="AE7629" t="n">
        <v>0</v>
      </c>
      <c r="AF7629" t="n">
        <v>0</v>
      </c>
      <c r="AG7629" t="n">
        <v>0</v>
      </c>
      <c r="AH7629" t="n">
        <v>0</v>
      </c>
      <c r="AI7629" t="n">
        <v>0</v>
      </c>
    </row>
    <row r="7630">
      <c r="A7630" t="inlineStr">
        <is>
          <t>12월</t>
        </is>
      </c>
      <c r="B7630" t="inlineStr">
        <is>
          <t>52주차</t>
        </is>
      </c>
      <c r="C7630" t="e">
        <v>#N/A</v>
      </c>
      <c r="K7630" t="n">
        <v>0</v>
      </c>
      <c r="L7630" t="n">
        <v>0</v>
      </c>
      <c r="M7630" t="n">
        <v>0</v>
      </c>
      <c r="AC7630" t="n">
        <v>0</v>
      </c>
      <c r="AD7630" t="n">
        <v>0</v>
      </c>
      <c r="AE7630" t="n">
        <v>0</v>
      </c>
      <c r="AF7630" t="n">
        <v>0</v>
      </c>
      <c r="AG7630" t="n">
        <v>0</v>
      </c>
      <c r="AH7630" t="n">
        <v>0</v>
      </c>
    </row>
    <row r="7631">
      <c r="A7631" t="inlineStr">
        <is>
          <t>12월</t>
        </is>
      </c>
      <c r="B7631" t="inlineStr">
        <is>
          <t>52주차</t>
        </is>
      </c>
      <c r="C7631" t="e">
        <v>#N/A</v>
      </c>
      <c r="K7631" t="n">
        <v>0</v>
      </c>
      <c r="L7631" t="n">
        <v>0</v>
      </c>
      <c r="M7631" t="n">
        <v>0</v>
      </c>
      <c r="AC7631" t="n">
        <v>0</v>
      </c>
      <c r="AD7631" t="n">
        <v>0</v>
      </c>
      <c r="AE7631" t="n">
        <v>0</v>
      </c>
      <c r="AF7631" t="n">
        <v>0</v>
      </c>
      <c r="AG7631" t="n">
        <v>0</v>
      </c>
      <c r="AH7631" t="n">
        <v>0</v>
      </c>
    </row>
    <row r="7632">
      <c r="A7632" t="inlineStr">
        <is>
          <t>12월</t>
        </is>
      </c>
      <c r="B7632" t="inlineStr">
        <is>
          <t>52주차</t>
        </is>
      </c>
      <c r="C7632" t="e">
        <v>#N/A</v>
      </c>
      <c r="K7632" t="n">
        <v>0</v>
      </c>
      <c r="L7632" t="n">
        <v>0</v>
      </c>
      <c r="M7632" t="n">
        <v>0</v>
      </c>
      <c r="AC7632" t="n">
        <v>0</v>
      </c>
      <c r="AD7632" t="n">
        <v>0</v>
      </c>
      <c r="AE7632" t="n">
        <v>0</v>
      </c>
      <c r="AF7632" t="n">
        <v>0</v>
      </c>
      <c r="AG7632" t="n">
        <v>0</v>
      </c>
      <c r="AH7632" t="n">
        <v>0</v>
      </c>
      <c r="AI7632" t="e">
        <v>#REF!</v>
      </c>
    </row>
    <row r="7633">
      <c r="A7633" t="inlineStr">
        <is>
          <t>12월</t>
        </is>
      </c>
      <c r="B7633" t="inlineStr">
        <is>
          <t>52주차</t>
        </is>
      </c>
      <c r="C7633" t="e">
        <v>#N/A</v>
      </c>
      <c r="K7633" t="n">
        <v>0</v>
      </c>
      <c r="L7633" t="n">
        <v>0</v>
      </c>
      <c r="M7633" t="n">
        <v>0</v>
      </c>
      <c r="AC7633" t="n">
        <v>0</v>
      </c>
      <c r="AD7633" t="n">
        <v>0</v>
      </c>
      <c r="AE7633" t="n">
        <v>0</v>
      </c>
      <c r="AF7633" t="n">
        <v>0</v>
      </c>
      <c r="AG7633" t="n">
        <v>0</v>
      </c>
      <c r="AH7633" t="n">
        <v>0</v>
      </c>
    </row>
    <row r="7634">
      <c r="A7634" t="inlineStr">
        <is>
          <t>12월</t>
        </is>
      </c>
      <c r="B7634" t="inlineStr">
        <is>
          <t>52주차</t>
        </is>
      </c>
      <c r="C7634" t="e">
        <v>#N/A</v>
      </c>
      <c r="K7634" t="n">
        <v>0</v>
      </c>
      <c r="L7634" t="n">
        <v>0</v>
      </c>
      <c r="M7634" t="n">
        <v>0</v>
      </c>
      <c r="AC7634" t="n">
        <v>0</v>
      </c>
      <c r="AD7634" t="n">
        <v>0</v>
      </c>
      <c r="AE7634" t="n">
        <v>0</v>
      </c>
      <c r="AF7634" t="n">
        <v>0</v>
      </c>
      <c r="AG7634" t="n">
        <v>0</v>
      </c>
      <c r="AH7634" t="n">
        <v>0</v>
      </c>
      <c r="AI7634" t="n">
        <v>0</v>
      </c>
    </row>
    <row r="7635">
      <c r="A7635" t="inlineStr">
        <is>
          <t>12월</t>
        </is>
      </c>
      <c r="B7635" t="inlineStr">
        <is>
          <t>52주차</t>
        </is>
      </c>
      <c r="C7635" t="e">
        <v>#N/A</v>
      </c>
      <c r="K7635" t="n">
        <v>0</v>
      </c>
      <c r="L7635" t="n">
        <v>0</v>
      </c>
      <c r="M7635" t="n">
        <v>0</v>
      </c>
      <c r="AC7635" t="n">
        <v>0</v>
      </c>
      <c r="AD7635" t="n">
        <v>0</v>
      </c>
      <c r="AE7635" t="n">
        <v>0</v>
      </c>
      <c r="AF7635" t="n">
        <v>0</v>
      </c>
      <c r="AG7635" t="n">
        <v>0</v>
      </c>
      <c r="AH7635" t="n">
        <v>0</v>
      </c>
      <c r="AI7635" t="n">
        <v>0</v>
      </c>
    </row>
    <row r="7636">
      <c r="A7636" t="inlineStr">
        <is>
          <t>12월</t>
        </is>
      </c>
      <c r="B7636" t="inlineStr">
        <is>
          <t>52주차</t>
        </is>
      </c>
      <c r="C7636" t="e">
        <v>#N/A</v>
      </c>
      <c r="K7636" t="n">
        <v>0</v>
      </c>
      <c r="L7636" t="n">
        <v>0</v>
      </c>
      <c r="M7636" t="n">
        <v>0</v>
      </c>
      <c r="AC7636" t="n">
        <v>0</v>
      </c>
      <c r="AD7636" t="n">
        <v>0</v>
      </c>
      <c r="AE7636" t="n">
        <v>0</v>
      </c>
      <c r="AF7636" t="n">
        <v>0</v>
      </c>
      <c r="AG7636" t="n">
        <v>0</v>
      </c>
      <c r="AH7636" t="n">
        <v>0</v>
      </c>
      <c r="AI7636" t="n">
        <v>0</v>
      </c>
    </row>
    <row r="7637">
      <c r="A7637" t="inlineStr">
        <is>
          <t>12월</t>
        </is>
      </c>
      <c r="B7637" t="inlineStr">
        <is>
          <t>52주차</t>
        </is>
      </c>
      <c r="C7637" t="e">
        <v>#N/A</v>
      </c>
      <c r="K7637" t="n">
        <v>0</v>
      </c>
      <c r="L7637" t="n">
        <v>0</v>
      </c>
      <c r="M7637" t="n">
        <v>0</v>
      </c>
      <c r="AC7637" t="n">
        <v>0</v>
      </c>
      <c r="AD7637" t="n">
        <v>0</v>
      </c>
      <c r="AE7637" t="n">
        <v>0</v>
      </c>
      <c r="AF7637" t="n">
        <v>0</v>
      </c>
      <c r="AG7637" t="n">
        <v>0</v>
      </c>
      <c r="AH7637" t="n">
        <v>0</v>
      </c>
      <c r="AI7637" t="n">
        <v>0</v>
      </c>
    </row>
    <row r="7638">
      <c r="A7638" t="inlineStr">
        <is>
          <t>12월</t>
        </is>
      </c>
      <c r="B7638" t="inlineStr">
        <is>
          <t>52주차</t>
        </is>
      </c>
      <c r="C7638" t="e">
        <v>#N/A</v>
      </c>
      <c r="K7638" t="n">
        <v>0</v>
      </c>
      <c r="L7638" t="n">
        <v>0</v>
      </c>
      <c r="M7638" t="n">
        <v>0</v>
      </c>
      <c r="AC7638" t="n">
        <v>0</v>
      </c>
      <c r="AD7638" t="n">
        <v>0</v>
      </c>
      <c r="AE7638" t="n">
        <v>0</v>
      </c>
      <c r="AF7638" t="n">
        <v>0</v>
      </c>
      <c r="AG7638" t="n">
        <v>0</v>
      </c>
      <c r="AH7638" t="n">
        <v>0</v>
      </c>
    </row>
    <row r="7639">
      <c r="A7639" t="inlineStr">
        <is>
          <t>12월</t>
        </is>
      </c>
      <c r="B7639" t="inlineStr">
        <is>
          <t>52주차</t>
        </is>
      </c>
      <c r="C7639" t="e">
        <v>#N/A</v>
      </c>
      <c r="K7639" t="n">
        <v>0</v>
      </c>
      <c r="L7639" t="n">
        <v>0</v>
      </c>
      <c r="M7639" t="n">
        <v>0</v>
      </c>
      <c r="AC7639" t="n">
        <v>0</v>
      </c>
      <c r="AD7639" t="n">
        <v>0</v>
      </c>
      <c r="AE7639" t="n">
        <v>0</v>
      </c>
      <c r="AF7639" t="n">
        <v>0</v>
      </c>
      <c r="AG7639" t="n">
        <v>0</v>
      </c>
      <c r="AH7639" t="n">
        <v>0</v>
      </c>
      <c r="AI7639" t="n">
        <v>0</v>
      </c>
    </row>
    <row r="7640">
      <c r="A7640" t="inlineStr">
        <is>
          <t>12월</t>
        </is>
      </c>
      <c r="B7640" t="inlineStr">
        <is>
          <t>52주차</t>
        </is>
      </c>
      <c r="C7640" t="e">
        <v>#N/A</v>
      </c>
      <c r="K7640" t="n">
        <v>0</v>
      </c>
      <c r="L7640" t="n">
        <v>0</v>
      </c>
      <c r="M7640" t="n">
        <v>0</v>
      </c>
      <c r="AC7640" t="n">
        <v>0</v>
      </c>
      <c r="AD7640" t="n">
        <v>0</v>
      </c>
      <c r="AE7640" t="n">
        <v>0</v>
      </c>
      <c r="AF7640" t="n">
        <v>0</v>
      </c>
      <c r="AG7640" t="n">
        <v>0</v>
      </c>
      <c r="AH7640" t="n">
        <v>0</v>
      </c>
    </row>
    <row r="7641">
      <c r="A7641" t="inlineStr">
        <is>
          <t>12월</t>
        </is>
      </c>
      <c r="B7641" t="inlineStr">
        <is>
          <t>52주차</t>
        </is>
      </c>
      <c r="C7641" t="e">
        <v>#N/A</v>
      </c>
      <c r="K7641" t="n">
        <v>0</v>
      </c>
      <c r="L7641" t="n">
        <v>0</v>
      </c>
      <c r="M7641" t="n">
        <v>0</v>
      </c>
      <c r="AC7641" t="n">
        <v>0</v>
      </c>
      <c r="AD7641" t="n">
        <v>0</v>
      </c>
      <c r="AE7641" t="n">
        <v>0</v>
      </c>
      <c r="AF7641" t="n">
        <v>0</v>
      </c>
      <c r="AG7641" t="n">
        <v>0</v>
      </c>
      <c r="AH7641" t="n">
        <v>0</v>
      </c>
      <c r="AI7641" t="n">
        <v>0</v>
      </c>
    </row>
    <row r="7642">
      <c r="A7642" t="inlineStr">
        <is>
          <t>12월</t>
        </is>
      </c>
      <c r="B7642" t="inlineStr">
        <is>
          <t>52주차</t>
        </is>
      </c>
      <c r="C7642" t="e">
        <v>#N/A</v>
      </c>
      <c r="K7642" t="n">
        <v>0</v>
      </c>
      <c r="L7642" t="n">
        <v>0</v>
      </c>
      <c r="M7642" t="n">
        <v>0</v>
      </c>
      <c r="AC7642" t="n">
        <v>0</v>
      </c>
      <c r="AD7642" t="n">
        <v>0</v>
      </c>
      <c r="AE7642" t="n">
        <v>0</v>
      </c>
      <c r="AF7642" t="n">
        <v>0</v>
      </c>
      <c r="AG7642" t="n">
        <v>0</v>
      </c>
      <c r="AH7642" t="n">
        <v>0</v>
      </c>
      <c r="AI7642" t="n">
        <v>0</v>
      </c>
    </row>
    <row r="7643">
      <c r="A7643" t="inlineStr">
        <is>
          <t>12월</t>
        </is>
      </c>
      <c r="B7643" t="inlineStr">
        <is>
          <t>52주차</t>
        </is>
      </c>
      <c r="C7643" t="e">
        <v>#N/A</v>
      </c>
      <c r="K7643" t="n">
        <v>0</v>
      </c>
      <c r="L7643" t="n">
        <v>0</v>
      </c>
      <c r="M7643" t="n">
        <v>0</v>
      </c>
      <c r="AC7643" t="n">
        <v>0</v>
      </c>
      <c r="AD7643" t="n">
        <v>0</v>
      </c>
      <c r="AE7643" t="n">
        <v>0</v>
      </c>
      <c r="AF7643" t="n">
        <v>0</v>
      </c>
      <c r="AG7643" t="n">
        <v>0</v>
      </c>
      <c r="AH7643" t="n">
        <v>0</v>
      </c>
      <c r="AI7643" t="n">
        <v>0</v>
      </c>
    </row>
    <row r="7644">
      <c r="A7644" t="inlineStr">
        <is>
          <t>12월</t>
        </is>
      </c>
      <c r="B7644" t="inlineStr">
        <is>
          <t>52주차</t>
        </is>
      </c>
      <c r="C7644" t="e">
        <v>#N/A</v>
      </c>
      <c r="K7644" t="n">
        <v>0</v>
      </c>
      <c r="L7644" t="n">
        <v>0</v>
      </c>
      <c r="M7644" t="n">
        <v>0</v>
      </c>
      <c r="AC7644" t="n">
        <v>0</v>
      </c>
      <c r="AD7644" t="n">
        <v>0</v>
      </c>
      <c r="AE7644" t="n">
        <v>0</v>
      </c>
      <c r="AF7644" t="n">
        <v>0</v>
      </c>
      <c r="AG7644" t="n">
        <v>0</v>
      </c>
      <c r="AH7644" t="n">
        <v>0</v>
      </c>
      <c r="AI7644" t="n">
        <v>0</v>
      </c>
    </row>
    <row r="7645">
      <c r="A7645" t="inlineStr">
        <is>
          <t>12월</t>
        </is>
      </c>
      <c r="B7645" t="inlineStr">
        <is>
          <t>52주차</t>
        </is>
      </c>
      <c r="C7645" t="e">
        <v>#N/A</v>
      </c>
      <c r="K7645" t="n">
        <v>0</v>
      </c>
      <c r="L7645" t="n">
        <v>0</v>
      </c>
      <c r="M7645" t="n">
        <v>0</v>
      </c>
      <c r="AC7645" t="n">
        <v>0</v>
      </c>
      <c r="AD7645" t="n">
        <v>0</v>
      </c>
      <c r="AE7645" t="n">
        <v>0</v>
      </c>
      <c r="AF7645" t="n">
        <v>0</v>
      </c>
      <c r="AG7645" t="n">
        <v>0</v>
      </c>
      <c r="AH7645" t="n">
        <v>0</v>
      </c>
      <c r="AI7645" t="n">
        <v>0</v>
      </c>
    </row>
    <row r="7646">
      <c r="A7646" t="inlineStr">
        <is>
          <t>12월</t>
        </is>
      </c>
      <c r="B7646" t="inlineStr">
        <is>
          <t>52주차</t>
        </is>
      </c>
      <c r="C7646" t="e">
        <v>#N/A</v>
      </c>
      <c r="K7646" t="n">
        <v>0</v>
      </c>
      <c r="L7646" t="n">
        <v>0</v>
      </c>
      <c r="M7646" t="n">
        <v>0</v>
      </c>
      <c r="AC7646" t="n">
        <v>0</v>
      </c>
      <c r="AD7646" t="n">
        <v>0</v>
      </c>
      <c r="AE7646" t="n">
        <v>0</v>
      </c>
      <c r="AF7646" t="n">
        <v>0</v>
      </c>
      <c r="AG7646" t="n">
        <v>0</v>
      </c>
      <c r="AH7646" t="n">
        <v>0</v>
      </c>
      <c r="AI7646" t="n">
        <v>0</v>
      </c>
    </row>
    <row r="7647">
      <c r="A7647" t="inlineStr">
        <is>
          <t>12월</t>
        </is>
      </c>
      <c r="B7647" t="inlineStr">
        <is>
          <t>52주차</t>
        </is>
      </c>
      <c r="C7647" t="e">
        <v>#N/A</v>
      </c>
      <c r="K7647" t="n">
        <v>0</v>
      </c>
      <c r="L7647" t="n">
        <v>0</v>
      </c>
      <c r="M7647" t="n">
        <v>0</v>
      </c>
      <c r="AC7647" t="n">
        <v>0</v>
      </c>
      <c r="AD7647" t="n">
        <v>0</v>
      </c>
      <c r="AE7647" t="n">
        <v>0</v>
      </c>
      <c r="AF7647" t="n">
        <v>0</v>
      </c>
      <c r="AG7647" t="n">
        <v>0</v>
      </c>
      <c r="AH7647" t="n">
        <v>0</v>
      </c>
      <c r="AI7647" t="n">
        <v>0</v>
      </c>
    </row>
    <row r="7648">
      <c r="A7648" t="inlineStr">
        <is>
          <t>12월</t>
        </is>
      </c>
      <c r="B7648" t="inlineStr">
        <is>
          <t>52주차</t>
        </is>
      </c>
      <c r="C7648" t="e">
        <v>#N/A</v>
      </c>
      <c r="K7648" t="n">
        <v>0</v>
      </c>
      <c r="L7648" t="n">
        <v>0</v>
      </c>
      <c r="M7648" t="n">
        <v>0</v>
      </c>
      <c r="AC7648" t="n">
        <v>0</v>
      </c>
      <c r="AD7648" t="n">
        <v>0</v>
      </c>
      <c r="AE7648" t="n">
        <v>0</v>
      </c>
      <c r="AF7648" t="n">
        <v>0</v>
      </c>
      <c r="AG7648" t="n">
        <v>0</v>
      </c>
      <c r="AH7648" t="n">
        <v>0</v>
      </c>
    </row>
    <row r="7649">
      <c r="A7649" t="inlineStr">
        <is>
          <t>12월</t>
        </is>
      </c>
      <c r="B7649" t="inlineStr">
        <is>
          <t>52주차</t>
        </is>
      </c>
      <c r="C7649" t="e">
        <v>#N/A</v>
      </c>
      <c r="K7649" t="n">
        <v>0</v>
      </c>
      <c r="L7649" t="n">
        <v>0</v>
      </c>
      <c r="M7649" t="n">
        <v>0</v>
      </c>
      <c r="AC7649" t="n">
        <v>0</v>
      </c>
      <c r="AD7649" t="n">
        <v>0</v>
      </c>
      <c r="AE7649" t="n">
        <v>0</v>
      </c>
      <c r="AF7649" t="n">
        <v>0</v>
      </c>
      <c r="AG7649" t="n">
        <v>0</v>
      </c>
      <c r="AH7649" t="n">
        <v>0</v>
      </c>
    </row>
    <row r="7650">
      <c r="A7650" t="inlineStr">
        <is>
          <t>12월</t>
        </is>
      </c>
      <c r="B7650" t="inlineStr">
        <is>
          <t>52주차</t>
        </is>
      </c>
      <c r="C7650" t="e">
        <v>#N/A</v>
      </c>
      <c r="K7650" t="n">
        <v>0</v>
      </c>
      <c r="L7650" t="n">
        <v>0</v>
      </c>
      <c r="M7650" t="n">
        <v>0</v>
      </c>
      <c r="AC7650" t="n">
        <v>0</v>
      </c>
      <c r="AD7650" t="n">
        <v>0</v>
      </c>
      <c r="AE7650" t="n">
        <v>0</v>
      </c>
      <c r="AF7650" t="n">
        <v>0</v>
      </c>
      <c r="AG7650" t="n">
        <v>0</v>
      </c>
      <c r="AH7650" t="n">
        <v>0</v>
      </c>
      <c r="AI7650" t="n">
        <v>0</v>
      </c>
    </row>
    <row r="7651">
      <c r="A7651" t="inlineStr">
        <is>
          <t>12월</t>
        </is>
      </c>
      <c r="B7651" t="inlineStr">
        <is>
          <t>52주차</t>
        </is>
      </c>
      <c r="C7651" t="e">
        <v>#N/A</v>
      </c>
      <c r="K7651" t="n">
        <v>0</v>
      </c>
      <c r="L7651" t="n">
        <v>0</v>
      </c>
      <c r="M7651" t="n">
        <v>0</v>
      </c>
      <c r="AC7651" t="n">
        <v>0</v>
      </c>
      <c r="AD7651" t="n">
        <v>0</v>
      </c>
      <c r="AE7651" t="n">
        <v>0</v>
      </c>
      <c r="AF7651" t="n">
        <v>0</v>
      </c>
      <c r="AG7651" t="n">
        <v>0</v>
      </c>
      <c r="AH7651" t="n">
        <v>0</v>
      </c>
      <c r="AI7651" t="n">
        <v>0</v>
      </c>
    </row>
    <row r="7652">
      <c r="A7652" t="inlineStr">
        <is>
          <t>12월</t>
        </is>
      </c>
      <c r="B7652" t="inlineStr">
        <is>
          <t>52주차</t>
        </is>
      </c>
      <c r="C7652" t="e">
        <v>#N/A</v>
      </c>
      <c r="K7652" t="n">
        <v>0</v>
      </c>
      <c r="L7652" t="n">
        <v>0</v>
      </c>
      <c r="M7652" t="n">
        <v>0</v>
      </c>
      <c r="AC7652" t="n">
        <v>0</v>
      </c>
      <c r="AD7652" t="n">
        <v>0</v>
      </c>
      <c r="AE7652" t="n">
        <v>0</v>
      </c>
      <c r="AF7652" t="n">
        <v>0</v>
      </c>
      <c r="AG7652" t="n">
        <v>0</v>
      </c>
      <c r="AH7652" t="n">
        <v>0</v>
      </c>
    </row>
    <row r="7653">
      <c r="A7653" t="inlineStr">
        <is>
          <t>12월</t>
        </is>
      </c>
      <c r="B7653" t="inlineStr">
        <is>
          <t>52주차</t>
        </is>
      </c>
      <c r="C7653" t="e">
        <v>#N/A</v>
      </c>
      <c r="K7653" t="n">
        <v>0</v>
      </c>
      <c r="L7653" t="n">
        <v>0</v>
      </c>
      <c r="M7653" t="n">
        <v>0</v>
      </c>
      <c r="AC7653" t="n">
        <v>0</v>
      </c>
      <c r="AD7653" t="n">
        <v>0</v>
      </c>
      <c r="AE7653" t="n">
        <v>0</v>
      </c>
      <c r="AF7653" t="n">
        <v>0</v>
      </c>
      <c r="AG7653" t="n">
        <v>0</v>
      </c>
      <c r="AH7653" t="n">
        <v>0</v>
      </c>
    </row>
    <row r="7654">
      <c r="A7654" t="inlineStr">
        <is>
          <t>12월</t>
        </is>
      </c>
      <c r="B7654" t="inlineStr">
        <is>
          <t>52주차</t>
        </is>
      </c>
      <c r="C7654" t="e">
        <v>#N/A</v>
      </c>
      <c r="K7654" t="n">
        <v>0</v>
      </c>
      <c r="L7654" t="n">
        <v>0</v>
      </c>
      <c r="M7654" t="n">
        <v>0</v>
      </c>
      <c r="AC7654" t="n">
        <v>0</v>
      </c>
      <c r="AD7654" t="n">
        <v>0</v>
      </c>
      <c r="AE7654" t="n">
        <v>0</v>
      </c>
      <c r="AF7654" t="n">
        <v>0</v>
      </c>
      <c r="AG7654" t="n">
        <v>0</v>
      </c>
      <c r="AH7654" t="n">
        <v>0</v>
      </c>
      <c r="AI7654" t="n">
        <v>0</v>
      </c>
    </row>
    <row r="7655">
      <c r="A7655" t="inlineStr">
        <is>
          <t>12월</t>
        </is>
      </c>
      <c r="B7655" t="inlineStr">
        <is>
          <t>52주차</t>
        </is>
      </c>
      <c r="C7655" t="e">
        <v>#N/A</v>
      </c>
      <c r="K7655" t="n">
        <v>0</v>
      </c>
      <c r="L7655" t="n">
        <v>0</v>
      </c>
      <c r="M7655" t="n">
        <v>0</v>
      </c>
      <c r="AC7655" t="n">
        <v>0</v>
      </c>
      <c r="AD7655" t="n">
        <v>0</v>
      </c>
      <c r="AE7655" t="n">
        <v>0</v>
      </c>
      <c r="AF7655" t="n">
        <v>0</v>
      </c>
      <c r="AG7655" t="n">
        <v>0</v>
      </c>
      <c r="AH7655" t="n">
        <v>0</v>
      </c>
    </row>
    <row r="7656">
      <c r="A7656" t="inlineStr">
        <is>
          <t>12월</t>
        </is>
      </c>
      <c r="B7656" t="inlineStr">
        <is>
          <t>52주차</t>
        </is>
      </c>
      <c r="C7656" t="e">
        <v>#N/A</v>
      </c>
      <c r="K7656" t="n">
        <v>0</v>
      </c>
      <c r="L7656" t="n">
        <v>0</v>
      </c>
      <c r="M7656" t="n">
        <v>0</v>
      </c>
      <c r="AC7656" t="n">
        <v>0</v>
      </c>
      <c r="AD7656" t="n">
        <v>0</v>
      </c>
      <c r="AE7656" t="n">
        <v>0</v>
      </c>
      <c r="AF7656" t="n">
        <v>0</v>
      </c>
      <c r="AG7656" t="n">
        <v>0</v>
      </c>
      <c r="AH7656" t="n">
        <v>0</v>
      </c>
      <c r="AI7656" t="n">
        <v>0</v>
      </c>
    </row>
    <row r="7657">
      <c r="A7657" t="inlineStr">
        <is>
          <t>12월</t>
        </is>
      </c>
      <c r="B7657" t="inlineStr">
        <is>
          <t>52주차</t>
        </is>
      </c>
      <c r="C7657" t="e">
        <v>#N/A</v>
      </c>
      <c r="K7657" t="n">
        <v>0</v>
      </c>
      <c r="L7657" t="n">
        <v>0</v>
      </c>
      <c r="M7657" t="n">
        <v>0</v>
      </c>
      <c r="AC7657" t="n">
        <v>0</v>
      </c>
      <c r="AD7657" t="n">
        <v>0</v>
      </c>
      <c r="AE7657" t="n">
        <v>0</v>
      </c>
      <c r="AF7657" t="n">
        <v>0</v>
      </c>
      <c r="AG7657" t="n">
        <v>0</v>
      </c>
      <c r="AH7657" t="n">
        <v>0</v>
      </c>
      <c r="AI7657" t="n">
        <v>0</v>
      </c>
    </row>
    <row r="7658">
      <c r="A7658" t="inlineStr">
        <is>
          <t>12월</t>
        </is>
      </c>
      <c r="B7658" t="inlineStr">
        <is>
          <t>52주차</t>
        </is>
      </c>
      <c r="C7658" t="e">
        <v>#N/A</v>
      </c>
      <c r="K7658" t="n">
        <v>0</v>
      </c>
      <c r="L7658" t="n">
        <v>0</v>
      </c>
      <c r="M7658" t="n">
        <v>0</v>
      </c>
      <c r="AC7658" t="n">
        <v>0</v>
      </c>
      <c r="AD7658" t="n">
        <v>0</v>
      </c>
      <c r="AE7658" t="n">
        <v>0</v>
      </c>
      <c r="AF7658" t="n">
        <v>0</v>
      </c>
      <c r="AG7658" t="n">
        <v>0</v>
      </c>
      <c r="AH7658" t="n">
        <v>0</v>
      </c>
      <c r="AI7658" t="n">
        <v>0</v>
      </c>
    </row>
    <row r="7659">
      <c r="A7659" t="inlineStr">
        <is>
          <t>12월</t>
        </is>
      </c>
      <c r="B7659" t="inlineStr">
        <is>
          <t>52주차</t>
        </is>
      </c>
      <c r="C7659" t="e">
        <v>#N/A</v>
      </c>
      <c r="K7659" t="n">
        <v>0</v>
      </c>
      <c r="L7659" t="n">
        <v>0</v>
      </c>
      <c r="M7659" t="n">
        <v>0</v>
      </c>
      <c r="AC7659" t="n">
        <v>0</v>
      </c>
      <c r="AD7659" t="n">
        <v>0</v>
      </c>
      <c r="AE7659" t="n">
        <v>0</v>
      </c>
      <c r="AF7659" t="n">
        <v>0</v>
      </c>
      <c r="AG7659" t="n">
        <v>0</v>
      </c>
      <c r="AH7659" t="n">
        <v>0</v>
      </c>
      <c r="AI7659" t="n">
        <v>0</v>
      </c>
    </row>
    <row r="7660">
      <c r="A7660" t="inlineStr">
        <is>
          <t>12월</t>
        </is>
      </c>
      <c r="B7660" t="inlineStr">
        <is>
          <t>52주차</t>
        </is>
      </c>
      <c r="C7660" t="e">
        <v>#N/A</v>
      </c>
      <c r="K7660" t="n">
        <v>0</v>
      </c>
      <c r="L7660" t="n">
        <v>0</v>
      </c>
      <c r="M7660" t="n">
        <v>0</v>
      </c>
      <c r="AC7660" t="n">
        <v>0</v>
      </c>
      <c r="AD7660" t="n">
        <v>0</v>
      </c>
      <c r="AE7660" t="n">
        <v>0</v>
      </c>
      <c r="AF7660" t="n">
        <v>0</v>
      </c>
      <c r="AG7660" t="n">
        <v>0</v>
      </c>
      <c r="AH7660" t="n">
        <v>0</v>
      </c>
      <c r="AI7660" t="n">
        <v>0</v>
      </c>
    </row>
    <row r="7661">
      <c r="A7661" t="inlineStr">
        <is>
          <t>12월</t>
        </is>
      </c>
      <c r="B7661" t="inlineStr">
        <is>
          <t>52주차</t>
        </is>
      </c>
      <c r="C7661" t="e">
        <v>#N/A</v>
      </c>
      <c r="K7661" t="n">
        <v>0</v>
      </c>
      <c r="L7661" t="n">
        <v>0</v>
      </c>
      <c r="M7661" t="n">
        <v>0</v>
      </c>
      <c r="AC7661" t="n">
        <v>0</v>
      </c>
      <c r="AD7661" t="n">
        <v>0</v>
      </c>
      <c r="AE7661" t="n">
        <v>0</v>
      </c>
      <c r="AF7661" t="n">
        <v>0</v>
      </c>
      <c r="AG7661" t="n">
        <v>0</v>
      </c>
      <c r="AH7661" t="n">
        <v>0</v>
      </c>
      <c r="AI7661" t="n">
        <v>0</v>
      </c>
    </row>
    <row r="7662">
      <c r="A7662" t="inlineStr">
        <is>
          <t>12월</t>
        </is>
      </c>
      <c r="B7662" t="inlineStr">
        <is>
          <t>52주차</t>
        </is>
      </c>
      <c r="C7662" t="e">
        <v>#N/A</v>
      </c>
      <c r="K7662" t="n">
        <v>0</v>
      </c>
      <c r="L7662" t="n">
        <v>0</v>
      </c>
      <c r="M7662" t="n">
        <v>0</v>
      </c>
      <c r="AC7662" t="n">
        <v>0</v>
      </c>
      <c r="AD7662" t="n">
        <v>0</v>
      </c>
      <c r="AE7662" t="n">
        <v>0</v>
      </c>
      <c r="AF7662" t="n">
        <v>0</v>
      </c>
      <c r="AG7662" t="n">
        <v>0</v>
      </c>
      <c r="AH7662" t="n">
        <v>0</v>
      </c>
    </row>
    <row r="7663">
      <c r="A7663" t="inlineStr">
        <is>
          <t>12월</t>
        </is>
      </c>
      <c r="B7663" t="inlineStr">
        <is>
          <t>52주차</t>
        </is>
      </c>
      <c r="C7663" t="e">
        <v>#N/A</v>
      </c>
      <c r="K7663" t="n">
        <v>0</v>
      </c>
      <c r="L7663" t="n">
        <v>0</v>
      </c>
      <c r="M7663" t="n">
        <v>0</v>
      </c>
      <c r="AC7663" t="n">
        <v>0</v>
      </c>
      <c r="AD7663" t="n">
        <v>0</v>
      </c>
      <c r="AE7663" t="n">
        <v>0</v>
      </c>
      <c r="AF7663" t="n">
        <v>0</v>
      </c>
      <c r="AG7663" t="n">
        <v>0</v>
      </c>
      <c r="AH7663" t="n">
        <v>0</v>
      </c>
    </row>
    <row r="7664">
      <c r="A7664" t="inlineStr">
        <is>
          <t>12월</t>
        </is>
      </c>
      <c r="B7664" t="inlineStr">
        <is>
          <t>52주차</t>
        </is>
      </c>
      <c r="C7664" t="e">
        <v>#N/A</v>
      </c>
      <c r="K7664" t="n">
        <v>0</v>
      </c>
      <c r="L7664" t="n">
        <v>0</v>
      </c>
      <c r="M7664" t="n">
        <v>0</v>
      </c>
      <c r="AC7664" t="n">
        <v>0</v>
      </c>
      <c r="AD7664" t="n">
        <v>0</v>
      </c>
      <c r="AE7664" t="n">
        <v>0</v>
      </c>
      <c r="AF7664" t="n">
        <v>0</v>
      </c>
      <c r="AG7664" t="n">
        <v>0</v>
      </c>
      <c r="AH7664" t="n">
        <v>0</v>
      </c>
      <c r="AI7664" t="n">
        <v>0</v>
      </c>
    </row>
    <row r="7665">
      <c r="A7665" t="inlineStr">
        <is>
          <t>12월</t>
        </is>
      </c>
      <c r="B7665" t="inlineStr">
        <is>
          <t>52주차</t>
        </is>
      </c>
      <c r="C7665" t="e">
        <v>#N/A</v>
      </c>
      <c r="K7665" t="n">
        <v>0</v>
      </c>
      <c r="L7665" t="n">
        <v>0</v>
      </c>
      <c r="M7665" t="n">
        <v>0</v>
      </c>
      <c r="AC7665" t="n">
        <v>0</v>
      </c>
      <c r="AD7665" t="n">
        <v>0</v>
      </c>
      <c r="AE7665" t="n">
        <v>0</v>
      </c>
      <c r="AF7665" t="n">
        <v>0</v>
      </c>
      <c r="AG7665" t="n">
        <v>0</v>
      </c>
      <c r="AH7665" t="n">
        <v>0</v>
      </c>
      <c r="AI7665" t="n">
        <v>0</v>
      </c>
    </row>
    <row r="7666">
      <c r="A7666" t="inlineStr">
        <is>
          <t>12월</t>
        </is>
      </c>
      <c r="B7666" t="inlineStr">
        <is>
          <t>52주차</t>
        </is>
      </c>
      <c r="C7666" t="e">
        <v>#N/A</v>
      </c>
      <c r="K7666" t="n">
        <v>0</v>
      </c>
      <c r="L7666" t="n">
        <v>0</v>
      </c>
      <c r="M7666" t="n">
        <v>0</v>
      </c>
      <c r="AC7666" t="n">
        <v>0</v>
      </c>
      <c r="AD7666" t="n">
        <v>0</v>
      </c>
      <c r="AE7666" t="n">
        <v>0</v>
      </c>
      <c r="AF7666" t="n">
        <v>0</v>
      </c>
      <c r="AG7666" t="n">
        <v>0</v>
      </c>
      <c r="AH7666" t="n">
        <v>0</v>
      </c>
      <c r="AI7666" t="n">
        <v>0</v>
      </c>
    </row>
    <row r="7667">
      <c r="A7667" t="inlineStr">
        <is>
          <t>12월</t>
        </is>
      </c>
      <c r="B7667" t="inlineStr">
        <is>
          <t>52주차</t>
        </is>
      </c>
      <c r="C7667" t="e">
        <v>#N/A</v>
      </c>
      <c r="K7667" t="n">
        <v>0</v>
      </c>
      <c r="L7667" t="n">
        <v>0</v>
      </c>
      <c r="M7667" t="n">
        <v>0</v>
      </c>
      <c r="AC7667" t="n">
        <v>0</v>
      </c>
      <c r="AD7667" t="n">
        <v>0</v>
      </c>
      <c r="AE7667" t="n">
        <v>0</v>
      </c>
      <c r="AF7667" t="n">
        <v>0</v>
      </c>
      <c r="AG7667" t="n">
        <v>0</v>
      </c>
      <c r="AH7667" t="n">
        <v>0</v>
      </c>
    </row>
    <row r="7668">
      <c r="A7668" t="inlineStr">
        <is>
          <t>12월</t>
        </is>
      </c>
      <c r="B7668" t="inlineStr">
        <is>
          <t>52주차</t>
        </is>
      </c>
      <c r="C7668" t="e">
        <v>#N/A</v>
      </c>
      <c r="K7668" t="n">
        <v>0</v>
      </c>
      <c r="L7668" t="n">
        <v>0</v>
      </c>
      <c r="M7668" t="n">
        <v>0</v>
      </c>
      <c r="AC7668" t="n">
        <v>0</v>
      </c>
      <c r="AD7668" t="n">
        <v>0</v>
      </c>
      <c r="AE7668" t="n">
        <v>0</v>
      </c>
      <c r="AF7668" t="n">
        <v>0</v>
      </c>
      <c r="AG7668" t="n">
        <v>0</v>
      </c>
      <c r="AH7668" t="n">
        <v>0</v>
      </c>
      <c r="AI7668" t="n">
        <v>0</v>
      </c>
    </row>
    <row r="7669">
      <c r="A7669" t="inlineStr">
        <is>
          <t>12월</t>
        </is>
      </c>
      <c r="B7669" t="inlineStr">
        <is>
          <t>52주차</t>
        </is>
      </c>
      <c r="C7669" t="e">
        <v>#N/A</v>
      </c>
      <c r="K7669" t="n">
        <v>0</v>
      </c>
      <c r="L7669" t="n">
        <v>0</v>
      </c>
      <c r="M7669" t="n">
        <v>0</v>
      </c>
      <c r="AC7669" t="n">
        <v>0</v>
      </c>
      <c r="AD7669" t="n">
        <v>0</v>
      </c>
      <c r="AE7669" t="n">
        <v>0</v>
      </c>
      <c r="AF7669" t="n">
        <v>0</v>
      </c>
      <c r="AG7669" t="n">
        <v>0</v>
      </c>
      <c r="AH7669" t="n">
        <v>0</v>
      </c>
      <c r="AI7669" t="n">
        <v>0</v>
      </c>
    </row>
    <row r="7670">
      <c r="A7670" t="inlineStr">
        <is>
          <t>12월</t>
        </is>
      </c>
      <c r="B7670" t="inlineStr">
        <is>
          <t>52주차</t>
        </is>
      </c>
      <c r="C7670" t="e">
        <v>#N/A</v>
      </c>
      <c r="K7670" t="n">
        <v>0</v>
      </c>
      <c r="L7670" t="n">
        <v>0</v>
      </c>
      <c r="M7670" t="n">
        <v>0</v>
      </c>
      <c r="AC7670" t="n">
        <v>0</v>
      </c>
      <c r="AD7670" t="n">
        <v>0</v>
      </c>
      <c r="AE7670" t="n">
        <v>0</v>
      </c>
      <c r="AF7670" t="n">
        <v>0</v>
      </c>
      <c r="AG7670" t="n">
        <v>0</v>
      </c>
      <c r="AH7670" t="n">
        <v>0</v>
      </c>
      <c r="AI7670" t="n">
        <v>0</v>
      </c>
    </row>
    <row r="7671">
      <c r="A7671" t="inlineStr">
        <is>
          <t>12월</t>
        </is>
      </c>
      <c r="B7671" t="inlineStr">
        <is>
          <t>52주차</t>
        </is>
      </c>
      <c r="C7671" t="e">
        <v>#N/A</v>
      </c>
      <c r="K7671" t="n">
        <v>0</v>
      </c>
      <c r="L7671" t="n">
        <v>0</v>
      </c>
      <c r="M7671" t="n">
        <v>0</v>
      </c>
      <c r="AC7671" t="n">
        <v>0</v>
      </c>
      <c r="AD7671" t="n">
        <v>0</v>
      </c>
      <c r="AE7671" t="n">
        <v>0</v>
      </c>
      <c r="AF7671" t="n">
        <v>0</v>
      </c>
      <c r="AG7671" t="n">
        <v>0</v>
      </c>
      <c r="AH7671" t="n">
        <v>0</v>
      </c>
    </row>
    <row r="7672">
      <c r="A7672" t="inlineStr">
        <is>
          <t>12월</t>
        </is>
      </c>
      <c r="B7672" t="inlineStr">
        <is>
          <t>52주차</t>
        </is>
      </c>
      <c r="C7672" t="e">
        <v>#N/A</v>
      </c>
      <c r="K7672" t="n">
        <v>0</v>
      </c>
      <c r="L7672" t="n">
        <v>0</v>
      </c>
      <c r="M7672" t="n">
        <v>0</v>
      </c>
      <c r="AC7672" t="n">
        <v>0</v>
      </c>
      <c r="AD7672" t="n">
        <v>0</v>
      </c>
      <c r="AE7672" t="n">
        <v>0</v>
      </c>
      <c r="AF7672" t="n">
        <v>0</v>
      </c>
      <c r="AG7672" t="n">
        <v>0</v>
      </c>
      <c r="AH7672" t="n">
        <v>0</v>
      </c>
      <c r="AI7672" t="n">
        <v>0</v>
      </c>
    </row>
    <row r="7673">
      <c r="A7673" t="inlineStr">
        <is>
          <t>12월</t>
        </is>
      </c>
      <c r="B7673" t="inlineStr">
        <is>
          <t>52주차</t>
        </is>
      </c>
      <c r="C7673" t="e">
        <v>#N/A</v>
      </c>
      <c r="K7673" t="n">
        <v>0</v>
      </c>
      <c r="L7673" t="n">
        <v>0</v>
      </c>
      <c r="M7673" t="n">
        <v>0</v>
      </c>
      <c r="AC7673" t="n">
        <v>0</v>
      </c>
      <c r="AD7673" t="n">
        <v>0</v>
      </c>
      <c r="AE7673" t="n">
        <v>0</v>
      </c>
      <c r="AF7673" t="n">
        <v>0</v>
      </c>
      <c r="AG7673" t="n">
        <v>0</v>
      </c>
      <c r="AH7673" t="n">
        <v>0</v>
      </c>
      <c r="AI7673" t="n">
        <v>0</v>
      </c>
    </row>
    <row r="7674">
      <c r="A7674" t="inlineStr">
        <is>
          <t>12월</t>
        </is>
      </c>
      <c r="B7674" t="inlineStr">
        <is>
          <t>52주차</t>
        </is>
      </c>
      <c r="C7674" t="e">
        <v>#N/A</v>
      </c>
      <c r="K7674" t="n">
        <v>0</v>
      </c>
      <c r="L7674" t="n">
        <v>0</v>
      </c>
      <c r="M7674" t="n">
        <v>0</v>
      </c>
      <c r="AC7674" t="n">
        <v>0</v>
      </c>
      <c r="AD7674" t="n">
        <v>0</v>
      </c>
      <c r="AE7674" t="n">
        <v>0</v>
      </c>
      <c r="AF7674" t="n">
        <v>0</v>
      </c>
      <c r="AG7674" t="n">
        <v>0</v>
      </c>
      <c r="AH7674" t="n">
        <v>0</v>
      </c>
      <c r="AI7674" t="n">
        <v>0</v>
      </c>
    </row>
    <row r="7675">
      <c r="A7675" t="inlineStr">
        <is>
          <t>12월</t>
        </is>
      </c>
      <c r="B7675" t="inlineStr">
        <is>
          <t>52주차</t>
        </is>
      </c>
      <c r="C7675" t="e">
        <v>#N/A</v>
      </c>
      <c r="K7675" t="n">
        <v>0</v>
      </c>
      <c r="L7675" t="n">
        <v>0</v>
      </c>
      <c r="M7675" t="n">
        <v>0</v>
      </c>
      <c r="AC7675" t="n">
        <v>0</v>
      </c>
      <c r="AD7675" t="n">
        <v>0</v>
      </c>
      <c r="AE7675" t="n">
        <v>0</v>
      </c>
      <c r="AF7675" t="n">
        <v>0</v>
      </c>
      <c r="AG7675" t="n">
        <v>0</v>
      </c>
      <c r="AH7675" t="n">
        <v>0</v>
      </c>
      <c r="AI7675" t="n">
        <v>0</v>
      </c>
    </row>
    <row r="7676">
      <c r="A7676" t="inlineStr">
        <is>
          <t>12월</t>
        </is>
      </c>
      <c r="B7676" t="inlineStr">
        <is>
          <t>52주차</t>
        </is>
      </c>
      <c r="C7676" t="e">
        <v>#N/A</v>
      </c>
      <c r="K7676" t="n">
        <v>0</v>
      </c>
      <c r="L7676" t="n">
        <v>0</v>
      </c>
      <c r="M7676" t="n">
        <v>0</v>
      </c>
      <c r="AC7676" t="n">
        <v>0</v>
      </c>
      <c r="AD7676" t="n">
        <v>0</v>
      </c>
      <c r="AE7676" t="n">
        <v>0</v>
      </c>
      <c r="AF7676" t="n">
        <v>0</v>
      </c>
      <c r="AG7676" t="n">
        <v>0</v>
      </c>
      <c r="AH7676" t="n">
        <v>0</v>
      </c>
      <c r="AI7676" t="n">
        <v>0</v>
      </c>
    </row>
    <row r="7677">
      <c r="A7677" t="inlineStr">
        <is>
          <t>12월</t>
        </is>
      </c>
      <c r="B7677" t="inlineStr">
        <is>
          <t>52주차</t>
        </is>
      </c>
      <c r="C7677" t="e">
        <v>#N/A</v>
      </c>
      <c r="K7677" t="n">
        <v>0</v>
      </c>
      <c r="L7677" t="n">
        <v>0</v>
      </c>
      <c r="M7677" t="n">
        <v>0</v>
      </c>
      <c r="AC7677" t="n">
        <v>0</v>
      </c>
      <c r="AD7677" t="n">
        <v>0</v>
      </c>
      <c r="AE7677" t="n">
        <v>0</v>
      </c>
      <c r="AF7677" t="n">
        <v>0</v>
      </c>
      <c r="AG7677" t="n">
        <v>0</v>
      </c>
      <c r="AH7677" t="n">
        <v>0</v>
      </c>
      <c r="AI7677" t="n">
        <v>0</v>
      </c>
    </row>
    <row r="7678">
      <c r="A7678" t="inlineStr">
        <is>
          <t>12월</t>
        </is>
      </c>
      <c r="B7678" t="inlineStr">
        <is>
          <t>52주차</t>
        </is>
      </c>
      <c r="C7678" t="e">
        <v>#N/A</v>
      </c>
      <c r="K7678" t="n">
        <v>0</v>
      </c>
      <c r="L7678" t="n">
        <v>0</v>
      </c>
      <c r="M7678" t="n">
        <v>0</v>
      </c>
      <c r="AC7678" t="n">
        <v>0</v>
      </c>
      <c r="AD7678" t="n">
        <v>0</v>
      </c>
      <c r="AE7678" t="n">
        <v>0</v>
      </c>
      <c r="AF7678" t="n">
        <v>0</v>
      </c>
      <c r="AG7678" t="n">
        <v>0</v>
      </c>
      <c r="AH7678" t="n">
        <v>0</v>
      </c>
      <c r="AI7678" t="n">
        <v>0</v>
      </c>
    </row>
    <row r="7679">
      <c r="A7679" t="inlineStr">
        <is>
          <t>12월</t>
        </is>
      </c>
      <c r="B7679" t="inlineStr">
        <is>
          <t>52주차</t>
        </is>
      </c>
      <c r="C7679" t="e">
        <v>#N/A</v>
      </c>
      <c r="K7679" t="n">
        <v>0</v>
      </c>
      <c r="L7679" t="n">
        <v>0</v>
      </c>
      <c r="M7679" t="n">
        <v>0</v>
      </c>
      <c r="AC7679" t="n">
        <v>0</v>
      </c>
      <c r="AD7679" t="n">
        <v>0</v>
      </c>
      <c r="AE7679" t="n">
        <v>0</v>
      </c>
      <c r="AF7679" t="n">
        <v>0</v>
      </c>
      <c r="AG7679" t="n">
        <v>0</v>
      </c>
      <c r="AH7679" t="n">
        <v>0</v>
      </c>
      <c r="AI7679" t="n">
        <v>0</v>
      </c>
    </row>
    <row r="7680">
      <c r="A7680" t="inlineStr">
        <is>
          <t>12월</t>
        </is>
      </c>
      <c r="B7680" t="inlineStr">
        <is>
          <t>52주차</t>
        </is>
      </c>
      <c r="C7680" t="e">
        <v>#N/A</v>
      </c>
      <c r="K7680" t="n">
        <v>0</v>
      </c>
      <c r="L7680" t="n">
        <v>0</v>
      </c>
      <c r="M7680" t="n">
        <v>0</v>
      </c>
      <c r="AC7680" t="n">
        <v>0</v>
      </c>
      <c r="AD7680" t="n">
        <v>0</v>
      </c>
      <c r="AE7680" t="n">
        <v>0</v>
      </c>
      <c r="AF7680" t="n">
        <v>0</v>
      </c>
      <c r="AG7680" t="n">
        <v>0</v>
      </c>
      <c r="AH7680" t="n">
        <v>0</v>
      </c>
      <c r="AI7680" t="n">
        <v>0</v>
      </c>
    </row>
    <row r="7681">
      <c r="A7681" t="inlineStr">
        <is>
          <t>12월</t>
        </is>
      </c>
      <c r="B7681" t="inlineStr">
        <is>
          <t>52주차</t>
        </is>
      </c>
      <c r="C7681" t="e">
        <v>#N/A</v>
      </c>
      <c r="K7681" t="n">
        <v>0</v>
      </c>
      <c r="L7681" t="n">
        <v>0</v>
      </c>
      <c r="M7681" t="n">
        <v>0</v>
      </c>
      <c r="AC7681" t="n">
        <v>0</v>
      </c>
      <c r="AD7681" t="n">
        <v>0</v>
      </c>
      <c r="AE7681" t="n">
        <v>0</v>
      </c>
      <c r="AF7681" t="n">
        <v>0</v>
      </c>
      <c r="AG7681" t="n">
        <v>0</v>
      </c>
      <c r="AH7681" t="n">
        <v>0</v>
      </c>
      <c r="AI7681" t="n">
        <v>0</v>
      </c>
    </row>
    <row r="7682">
      <c r="A7682" t="inlineStr">
        <is>
          <t>12월</t>
        </is>
      </c>
      <c r="B7682" t="inlineStr">
        <is>
          <t>52주차</t>
        </is>
      </c>
      <c r="C7682" t="e">
        <v>#N/A</v>
      </c>
      <c r="K7682" t="n">
        <v>0</v>
      </c>
      <c r="L7682" t="n">
        <v>0</v>
      </c>
      <c r="M7682" t="n">
        <v>0</v>
      </c>
      <c r="AC7682" t="n">
        <v>0</v>
      </c>
      <c r="AD7682" t="n">
        <v>0</v>
      </c>
      <c r="AE7682" t="n">
        <v>0</v>
      </c>
      <c r="AF7682" t="n">
        <v>0</v>
      </c>
      <c r="AG7682" t="n">
        <v>0</v>
      </c>
      <c r="AH7682" t="n">
        <v>0</v>
      </c>
      <c r="AI7682" t="n">
        <v>0</v>
      </c>
    </row>
    <row r="7683">
      <c r="A7683" t="inlineStr">
        <is>
          <t>12월</t>
        </is>
      </c>
      <c r="B7683" t="inlineStr">
        <is>
          <t>52주차</t>
        </is>
      </c>
      <c r="C7683" t="e">
        <v>#N/A</v>
      </c>
      <c r="K7683" t="n">
        <v>0</v>
      </c>
      <c r="L7683" t="n">
        <v>0</v>
      </c>
      <c r="M7683" t="n">
        <v>0</v>
      </c>
      <c r="AC7683" t="n">
        <v>0</v>
      </c>
      <c r="AD7683" t="n">
        <v>0</v>
      </c>
      <c r="AE7683" t="n">
        <v>0</v>
      </c>
      <c r="AF7683" t="n">
        <v>0</v>
      </c>
      <c r="AG7683" t="n">
        <v>0</v>
      </c>
      <c r="AH7683" t="n">
        <v>0</v>
      </c>
      <c r="AI7683" t="n">
        <v>0</v>
      </c>
    </row>
    <row r="7684">
      <c r="A7684" t="inlineStr">
        <is>
          <t>12월</t>
        </is>
      </c>
      <c r="B7684" t="inlineStr">
        <is>
          <t>52주차</t>
        </is>
      </c>
      <c r="C7684" t="e">
        <v>#N/A</v>
      </c>
      <c r="K7684" t="n">
        <v>0</v>
      </c>
      <c r="L7684" t="n">
        <v>0</v>
      </c>
      <c r="M7684" t="n">
        <v>0</v>
      </c>
      <c r="AC7684" t="n">
        <v>0</v>
      </c>
      <c r="AD7684" t="n">
        <v>0</v>
      </c>
      <c r="AE7684" t="n">
        <v>0</v>
      </c>
      <c r="AF7684" t="n">
        <v>0</v>
      </c>
      <c r="AG7684" t="n">
        <v>0</v>
      </c>
      <c r="AH7684" t="n">
        <v>0</v>
      </c>
    </row>
    <row r="7685">
      <c r="A7685" t="inlineStr">
        <is>
          <t>12월</t>
        </is>
      </c>
      <c r="B7685" t="inlineStr">
        <is>
          <t>52주차</t>
        </is>
      </c>
      <c r="C7685" t="e">
        <v>#N/A</v>
      </c>
      <c r="K7685" t="n">
        <v>0</v>
      </c>
      <c r="L7685" t="n">
        <v>0</v>
      </c>
      <c r="M7685" t="n">
        <v>0</v>
      </c>
      <c r="AC7685" t="n">
        <v>0</v>
      </c>
      <c r="AD7685" t="n">
        <v>0</v>
      </c>
      <c r="AE7685" t="n">
        <v>0</v>
      </c>
      <c r="AF7685" t="n">
        <v>0</v>
      </c>
      <c r="AG7685" t="n">
        <v>0</v>
      </c>
      <c r="AH7685" t="n">
        <v>0</v>
      </c>
      <c r="AI7685" t="n">
        <v>0</v>
      </c>
    </row>
    <row r="7686">
      <c r="A7686" t="inlineStr">
        <is>
          <t>12월</t>
        </is>
      </c>
      <c r="B7686" t="inlineStr">
        <is>
          <t>52주차</t>
        </is>
      </c>
      <c r="C7686" t="e">
        <v>#N/A</v>
      </c>
      <c r="K7686" t="n">
        <v>0</v>
      </c>
      <c r="L7686" t="n">
        <v>0</v>
      </c>
      <c r="M7686" t="n">
        <v>0</v>
      </c>
      <c r="AC7686" t="n">
        <v>0</v>
      </c>
      <c r="AD7686" t="n">
        <v>0</v>
      </c>
      <c r="AE7686" t="n">
        <v>0</v>
      </c>
      <c r="AF7686" t="n">
        <v>0</v>
      </c>
      <c r="AG7686" t="n">
        <v>0</v>
      </c>
      <c r="AH7686" t="n">
        <v>0</v>
      </c>
    </row>
    <row r="7687">
      <c r="A7687" t="inlineStr">
        <is>
          <t>12월</t>
        </is>
      </c>
      <c r="B7687" t="inlineStr">
        <is>
          <t>52주차</t>
        </is>
      </c>
      <c r="C7687" t="e">
        <v>#N/A</v>
      </c>
      <c r="K7687" t="n">
        <v>0</v>
      </c>
      <c r="L7687" t="n">
        <v>0</v>
      </c>
      <c r="M7687" t="n">
        <v>0</v>
      </c>
      <c r="AC7687" t="n">
        <v>0</v>
      </c>
      <c r="AD7687" t="n">
        <v>0</v>
      </c>
      <c r="AE7687" t="n">
        <v>0</v>
      </c>
      <c r="AF7687" t="n">
        <v>0</v>
      </c>
      <c r="AG7687" t="n">
        <v>0</v>
      </c>
      <c r="AH7687" t="n">
        <v>0</v>
      </c>
      <c r="AI7687" t="n">
        <v>0</v>
      </c>
    </row>
    <row r="7688">
      <c r="A7688" t="inlineStr">
        <is>
          <t>12월</t>
        </is>
      </c>
      <c r="B7688" t="inlineStr">
        <is>
          <t>52주차</t>
        </is>
      </c>
      <c r="C7688" t="e">
        <v>#N/A</v>
      </c>
      <c r="K7688" t="n">
        <v>0</v>
      </c>
      <c r="L7688" t="n">
        <v>0</v>
      </c>
      <c r="M7688" t="n">
        <v>0</v>
      </c>
      <c r="AC7688" t="n">
        <v>0</v>
      </c>
      <c r="AD7688" t="n">
        <v>0</v>
      </c>
      <c r="AE7688" t="n">
        <v>0</v>
      </c>
      <c r="AF7688" t="n">
        <v>0</v>
      </c>
      <c r="AG7688" t="n">
        <v>0</v>
      </c>
      <c r="AH7688" t="n">
        <v>0</v>
      </c>
      <c r="AI7688" t="n">
        <v>0</v>
      </c>
    </row>
    <row r="7689">
      <c r="A7689" t="inlineStr">
        <is>
          <t>12월</t>
        </is>
      </c>
      <c r="B7689" t="inlineStr">
        <is>
          <t>52주차</t>
        </is>
      </c>
      <c r="C7689" t="e">
        <v>#N/A</v>
      </c>
      <c r="K7689" t="n">
        <v>0</v>
      </c>
      <c r="L7689" t="n">
        <v>0</v>
      </c>
      <c r="M7689" t="n">
        <v>0</v>
      </c>
      <c r="AC7689" t="n">
        <v>0</v>
      </c>
      <c r="AD7689" t="n">
        <v>0</v>
      </c>
      <c r="AE7689" t="n">
        <v>0</v>
      </c>
      <c r="AF7689" t="n">
        <v>0</v>
      </c>
      <c r="AG7689" t="n">
        <v>0</v>
      </c>
      <c r="AH7689" t="n">
        <v>0</v>
      </c>
      <c r="AI7689" t="n">
        <v>0</v>
      </c>
    </row>
    <row r="7690">
      <c r="A7690" t="inlineStr">
        <is>
          <t>12월</t>
        </is>
      </c>
      <c r="B7690" t="inlineStr">
        <is>
          <t>52주차</t>
        </is>
      </c>
      <c r="C7690" t="e">
        <v>#N/A</v>
      </c>
      <c r="K7690" t="n">
        <v>0</v>
      </c>
      <c r="L7690" t="n">
        <v>0</v>
      </c>
      <c r="M7690" t="n">
        <v>0</v>
      </c>
      <c r="AC7690" t="n">
        <v>0</v>
      </c>
      <c r="AD7690" t="n">
        <v>0</v>
      </c>
      <c r="AE7690" t="n">
        <v>0</v>
      </c>
      <c r="AF7690" t="n">
        <v>0</v>
      </c>
      <c r="AG7690" t="n">
        <v>0</v>
      </c>
      <c r="AH7690" t="n">
        <v>0</v>
      </c>
    </row>
    <row r="7691">
      <c r="A7691" t="inlineStr">
        <is>
          <t>12월</t>
        </is>
      </c>
      <c r="B7691" t="inlineStr">
        <is>
          <t>52주차</t>
        </is>
      </c>
      <c r="C7691" t="e">
        <v>#N/A</v>
      </c>
      <c r="K7691" t="n">
        <v>0</v>
      </c>
      <c r="L7691" t="n">
        <v>0</v>
      </c>
      <c r="M7691" t="n">
        <v>0</v>
      </c>
      <c r="AC7691" t="n">
        <v>0</v>
      </c>
      <c r="AD7691" t="n">
        <v>0</v>
      </c>
      <c r="AE7691" t="n">
        <v>0</v>
      </c>
      <c r="AF7691" t="n">
        <v>0</v>
      </c>
      <c r="AG7691" t="n">
        <v>0</v>
      </c>
      <c r="AH7691" t="n">
        <v>0</v>
      </c>
      <c r="AI7691" t="n">
        <v>0</v>
      </c>
    </row>
    <row r="7692">
      <c r="A7692" t="inlineStr">
        <is>
          <t>12월</t>
        </is>
      </c>
      <c r="B7692" t="inlineStr">
        <is>
          <t>52주차</t>
        </is>
      </c>
      <c r="C7692" t="e">
        <v>#N/A</v>
      </c>
      <c r="K7692" t="n">
        <v>0</v>
      </c>
      <c r="L7692" t="n">
        <v>0</v>
      </c>
      <c r="M7692" t="n">
        <v>0</v>
      </c>
      <c r="AC7692" t="n">
        <v>0</v>
      </c>
      <c r="AD7692" t="n">
        <v>0</v>
      </c>
      <c r="AE7692" t="n">
        <v>0</v>
      </c>
      <c r="AF7692" t="n">
        <v>0</v>
      </c>
      <c r="AG7692" t="n">
        <v>0</v>
      </c>
      <c r="AH7692" t="n">
        <v>0</v>
      </c>
      <c r="AI7692" t="n">
        <v>0</v>
      </c>
    </row>
    <row r="7693">
      <c r="A7693" t="inlineStr">
        <is>
          <t>12월</t>
        </is>
      </c>
      <c r="B7693" t="inlineStr">
        <is>
          <t>52주차</t>
        </is>
      </c>
      <c r="C7693" t="e">
        <v>#N/A</v>
      </c>
      <c r="K7693" t="n">
        <v>0</v>
      </c>
      <c r="L7693" t="n">
        <v>0</v>
      </c>
      <c r="M7693" t="n">
        <v>0</v>
      </c>
      <c r="AC7693" t="n">
        <v>0</v>
      </c>
      <c r="AD7693" t="n">
        <v>0</v>
      </c>
      <c r="AE7693" t="n">
        <v>0</v>
      </c>
      <c r="AF7693" t="n">
        <v>0</v>
      </c>
      <c r="AG7693" t="n">
        <v>0</v>
      </c>
      <c r="AH7693" t="n">
        <v>0</v>
      </c>
      <c r="AI7693" t="n">
        <v>0</v>
      </c>
    </row>
    <row r="7694">
      <c r="A7694" t="inlineStr">
        <is>
          <t>12월</t>
        </is>
      </c>
      <c r="B7694" t="inlineStr">
        <is>
          <t>52주차</t>
        </is>
      </c>
      <c r="C7694" t="e">
        <v>#N/A</v>
      </c>
      <c r="K7694" t="n">
        <v>0</v>
      </c>
      <c r="L7694" t="n">
        <v>0</v>
      </c>
      <c r="M7694" t="n">
        <v>0</v>
      </c>
      <c r="AC7694" t="n">
        <v>0</v>
      </c>
      <c r="AD7694" t="n">
        <v>0</v>
      </c>
      <c r="AE7694" t="n">
        <v>0</v>
      </c>
      <c r="AF7694" t="n">
        <v>0</v>
      </c>
      <c r="AG7694" t="n">
        <v>0</v>
      </c>
      <c r="AH7694" t="n">
        <v>0</v>
      </c>
    </row>
    <row r="7695">
      <c r="A7695" t="inlineStr">
        <is>
          <t>12월</t>
        </is>
      </c>
      <c r="B7695" t="inlineStr">
        <is>
          <t>52주차</t>
        </is>
      </c>
      <c r="C7695" t="e">
        <v>#N/A</v>
      </c>
      <c r="K7695" t="n">
        <v>0</v>
      </c>
      <c r="L7695" t="n">
        <v>0</v>
      </c>
      <c r="M7695" t="n">
        <v>0</v>
      </c>
      <c r="AC7695" t="n">
        <v>0</v>
      </c>
      <c r="AD7695" t="n">
        <v>0</v>
      </c>
      <c r="AE7695" t="n">
        <v>0</v>
      </c>
      <c r="AF7695" t="n">
        <v>0</v>
      </c>
      <c r="AG7695" t="n">
        <v>0</v>
      </c>
      <c r="AH7695" t="n">
        <v>0</v>
      </c>
      <c r="AI7695" t="n">
        <v>0</v>
      </c>
    </row>
    <row r="7696">
      <c r="A7696" t="inlineStr">
        <is>
          <t>12월</t>
        </is>
      </c>
      <c r="B7696" t="inlineStr">
        <is>
          <t>52주차</t>
        </is>
      </c>
      <c r="C7696" t="e">
        <v>#N/A</v>
      </c>
      <c r="K7696" t="n">
        <v>0</v>
      </c>
      <c r="L7696" t="n">
        <v>0</v>
      </c>
      <c r="M7696" t="n">
        <v>0</v>
      </c>
      <c r="AC7696" t="n">
        <v>0</v>
      </c>
      <c r="AD7696" t="n">
        <v>0</v>
      </c>
      <c r="AE7696" t="n">
        <v>0</v>
      </c>
      <c r="AF7696" t="n">
        <v>0</v>
      </c>
      <c r="AG7696" t="n">
        <v>0</v>
      </c>
      <c r="AH7696" t="n">
        <v>0</v>
      </c>
    </row>
    <row r="7697">
      <c r="A7697" t="inlineStr">
        <is>
          <t>12월</t>
        </is>
      </c>
      <c r="B7697" t="inlineStr">
        <is>
          <t>52주차</t>
        </is>
      </c>
      <c r="C7697" t="e">
        <v>#N/A</v>
      </c>
      <c r="K7697" t="n">
        <v>0</v>
      </c>
      <c r="L7697" t="n">
        <v>0</v>
      </c>
      <c r="M7697" t="n">
        <v>0</v>
      </c>
      <c r="AC7697" t="n">
        <v>0</v>
      </c>
      <c r="AD7697" t="n">
        <v>0</v>
      </c>
      <c r="AE7697" t="n">
        <v>0</v>
      </c>
      <c r="AF7697" t="n">
        <v>0</v>
      </c>
      <c r="AG7697" t="n">
        <v>0</v>
      </c>
      <c r="AH7697" t="n">
        <v>0</v>
      </c>
      <c r="AI7697" t="n">
        <v>0</v>
      </c>
    </row>
    <row r="7698">
      <c r="A7698" t="inlineStr">
        <is>
          <t>12월</t>
        </is>
      </c>
      <c r="B7698" t="inlineStr">
        <is>
          <t>52주차</t>
        </is>
      </c>
      <c r="C7698" t="e">
        <v>#N/A</v>
      </c>
      <c r="K7698" t="n">
        <v>0</v>
      </c>
      <c r="L7698" t="n">
        <v>0</v>
      </c>
      <c r="M7698" t="n">
        <v>0</v>
      </c>
      <c r="AC7698" t="n">
        <v>0</v>
      </c>
      <c r="AD7698" t="n">
        <v>0</v>
      </c>
      <c r="AE7698" t="n">
        <v>0</v>
      </c>
      <c r="AF7698" t="n">
        <v>0</v>
      </c>
      <c r="AG7698" t="n">
        <v>0</v>
      </c>
      <c r="AH7698" t="n">
        <v>0</v>
      </c>
      <c r="AI7698" t="n">
        <v>0</v>
      </c>
    </row>
    <row r="7699">
      <c r="A7699" t="inlineStr">
        <is>
          <t>12월</t>
        </is>
      </c>
      <c r="B7699" t="inlineStr">
        <is>
          <t>52주차</t>
        </is>
      </c>
      <c r="C7699" t="e">
        <v>#N/A</v>
      </c>
      <c r="K7699" t="n">
        <v>0</v>
      </c>
      <c r="L7699" t="n">
        <v>0</v>
      </c>
      <c r="M7699" t="n">
        <v>0</v>
      </c>
      <c r="AC7699" t="n">
        <v>0</v>
      </c>
      <c r="AD7699" t="n">
        <v>0</v>
      </c>
      <c r="AE7699" t="n">
        <v>0</v>
      </c>
      <c r="AF7699" t="n">
        <v>0</v>
      </c>
      <c r="AG7699" t="n">
        <v>0</v>
      </c>
      <c r="AH7699" t="n">
        <v>0</v>
      </c>
      <c r="AI7699" t="n">
        <v>0</v>
      </c>
    </row>
    <row r="7700">
      <c r="A7700" t="inlineStr">
        <is>
          <t>12월</t>
        </is>
      </c>
      <c r="B7700" t="inlineStr">
        <is>
          <t>52주차</t>
        </is>
      </c>
      <c r="C7700" t="e">
        <v>#N/A</v>
      </c>
      <c r="K7700" t="n">
        <v>0</v>
      </c>
      <c r="L7700" t="n">
        <v>0</v>
      </c>
      <c r="M7700" t="n">
        <v>0</v>
      </c>
      <c r="AC7700" t="n">
        <v>0</v>
      </c>
      <c r="AD7700" t="n">
        <v>0</v>
      </c>
      <c r="AE7700" t="n">
        <v>0</v>
      </c>
      <c r="AF7700" t="n">
        <v>0</v>
      </c>
      <c r="AG7700" t="n">
        <v>0</v>
      </c>
      <c r="AH7700" t="n">
        <v>0</v>
      </c>
      <c r="AI7700" t="n">
        <v>0</v>
      </c>
    </row>
    <row r="7701">
      <c r="A7701" t="inlineStr">
        <is>
          <t>12월</t>
        </is>
      </c>
      <c r="B7701" t="inlineStr">
        <is>
          <t>52주차</t>
        </is>
      </c>
      <c r="C7701" t="e">
        <v>#N/A</v>
      </c>
      <c r="K7701" t="n">
        <v>0</v>
      </c>
      <c r="L7701" t="n">
        <v>0</v>
      </c>
      <c r="M7701" t="n">
        <v>0</v>
      </c>
      <c r="AC7701" t="n">
        <v>0</v>
      </c>
      <c r="AD7701" t="n">
        <v>0</v>
      </c>
      <c r="AE7701" t="n">
        <v>0</v>
      </c>
      <c r="AF7701" t="n">
        <v>0</v>
      </c>
      <c r="AG7701" t="n">
        <v>0</v>
      </c>
      <c r="AH7701" t="n">
        <v>0</v>
      </c>
    </row>
    <row r="7702">
      <c r="A7702" t="inlineStr">
        <is>
          <t>12월</t>
        </is>
      </c>
      <c r="B7702" t="inlineStr">
        <is>
          <t>52주차</t>
        </is>
      </c>
      <c r="C7702" t="e">
        <v>#N/A</v>
      </c>
      <c r="K7702" t="n">
        <v>0</v>
      </c>
      <c r="L7702" t="n">
        <v>0</v>
      </c>
      <c r="M7702" t="n">
        <v>0</v>
      </c>
      <c r="AC7702" t="n">
        <v>0</v>
      </c>
      <c r="AD7702" t="n">
        <v>0</v>
      </c>
      <c r="AE7702" t="n">
        <v>0</v>
      </c>
      <c r="AF7702" t="n">
        <v>0</v>
      </c>
      <c r="AG7702" t="n">
        <v>0</v>
      </c>
      <c r="AH7702" t="n">
        <v>0</v>
      </c>
      <c r="AI7702" t="n">
        <v>0</v>
      </c>
    </row>
    <row r="7703">
      <c r="A7703" t="inlineStr">
        <is>
          <t>12월</t>
        </is>
      </c>
      <c r="B7703" t="inlineStr">
        <is>
          <t>52주차</t>
        </is>
      </c>
      <c r="C7703" t="e">
        <v>#N/A</v>
      </c>
      <c r="K7703" t="n">
        <v>0</v>
      </c>
      <c r="L7703" t="n">
        <v>0</v>
      </c>
      <c r="M7703" t="n">
        <v>0</v>
      </c>
      <c r="AC7703" t="n">
        <v>0</v>
      </c>
      <c r="AD7703" t="n">
        <v>0</v>
      </c>
      <c r="AE7703" t="n">
        <v>0</v>
      </c>
      <c r="AF7703" t="n">
        <v>0</v>
      </c>
      <c r="AG7703" t="n">
        <v>0</v>
      </c>
      <c r="AH7703" t="n">
        <v>0</v>
      </c>
      <c r="AI7703" t="n">
        <v>0</v>
      </c>
    </row>
    <row r="7704">
      <c r="A7704" t="inlineStr">
        <is>
          <t>12월</t>
        </is>
      </c>
      <c r="B7704" t="inlineStr">
        <is>
          <t>52주차</t>
        </is>
      </c>
      <c r="C7704" t="e">
        <v>#N/A</v>
      </c>
      <c r="K7704" t="n">
        <v>0</v>
      </c>
      <c r="L7704" t="n">
        <v>0</v>
      </c>
      <c r="M7704" t="n">
        <v>0</v>
      </c>
      <c r="AC7704" t="n">
        <v>0</v>
      </c>
      <c r="AD7704" t="n">
        <v>0</v>
      </c>
      <c r="AE7704" t="n">
        <v>0</v>
      </c>
      <c r="AF7704" t="n">
        <v>0</v>
      </c>
      <c r="AG7704" t="n">
        <v>0</v>
      </c>
      <c r="AH7704" t="n">
        <v>0</v>
      </c>
      <c r="AI7704" t="n">
        <v>0</v>
      </c>
    </row>
    <row r="7705">
      <c r="A7705" t="inlineStr">
        <is>
          <t>12월</t>
        </is>
      </c>
      <c r="B7705" t="inlineStr">
        <is>
          <t>52주차</t>
        </is>
      </c>
      <c r="C7705" t="e">
        <v>#N/A</v>
      </c>
      <c r="K7705" t="n">
        <v>0</v>
      </c>
      <c r="L7705" t="n">
        <v>0</v>
      </c>
      <c r="M7705" t="n">
        <v>0</v>
      </c>
      <c r="AC7705" t="n">
        <v>0</v>
      </c>
      <c r="AD7705" t="n">
        <v>0</v>
      </c>
      <c r="AE7705" t="n">
        <v>0</v>
      </c>
      <c r="AF7705" t="n">
        <v>0</v>
      </c>
      <c r="AG7705" t="n">
        <v>0</v>
      </c>
      <c r="AH7705" t="n">
        <v>0</v>
      </c>
    </row>
    <row r="7706">
      <c r="A7706" t="inlineStr">
        <is>
          <t>12월</t>
        </is>
      </c>
      <c r="B7706" t="inlineStr">
        <is>
          <t>52주차</t>
        </is>
      </c>
      <c r="C7706" t="e">
        <v>#N/A</v>
      </c>
      <c r="K7706" t="n">
        <v>0</v>
      </c>
      <c r="L7706" t="n">
        <v>0</v>
      </c>
      <c r="M7706" t="n">
        <v>0</v>
      </c>
      <c r="AC7706" t="n">
        <v>0</v>
      </c>
      <c r="AD7706" t="n">
        <v>0</v>
      </c>
      <c r="AE7706" t="n">
        <v>0</v>
      </c>
      <c r="AF7706" t="n">
        <v>0</v>
      </c>
      <c r="AG7706" t="n">
        <v>0</v>
      </c>
      <c r="AH7706" t="n">
        <v>0</v>
      </c>
      <c r="AI7706" t="n">
        <v>0</v>
      </c>
    </row>
    <row r="7707">
      <c r="A7707" t="inlineStr">
        <is>
          <t>12월</t>
        </is>
      </c>
      <c r="B7707" t="inlineStr">
        <is>
          <t>52주차</t>
        </is>
      </c>
      <c r="C7707" t="e">
        <v>#N/A</v>
      </c>
      <c r="K7707" t="n">
        <v>0</v>
      </c>
      <c r="L7707" t="n">
        <v>0</v>
      </c>
      <c r="M7707" t="n">
        <v>0</v>
      </c>
      <c r="AC7707" t="n">
        <v>0</v>
      </c>
      <c r="AD7707" t="n">
        <v>0</v>
      </c>
      <c r="AE7707" t="n">
        <v>0</v>
      </c>
      <c r="AF7707" t="n">
        <v>0</v>
      </c>
      <c r="AG7707" t="n">
        <v>0</v>
      </c>
      <c r="AH7707" t="n">
        <v>0</v>
      </c>
      <c r="AI7707" t="n">
        <v>0</v>
      </c>
    </row>
    <row r="7708">
      <c r="A7708" t="inlineStr">
        <is>
          <t>12월</t>
        </is>
      </c>
      <c r="B7708" t="inlineStr">
        <is>
          <t>52주차</t>
        </is>
      </c>
      <c r="C7708" t="e">
        <v>#N/A</v>
      </c>
      <c r="K7708" t="n">
        <v>0</v>
      </c>
      <c r="L7708" t="n">
        <v>0</v>
      </c>
      <c r="M7708" t="n">
        <v>0</v>
      </c>
      <c r="AC7708" t="n">
        <v>0</v>
      </c>
      <c r="AD7708" t="n">
        <v>0</v>
      </c>
      <c r="AE7708" t="n">
        <v>0</v>
      </c>
      <c r="AF7708" t="n">
        <v>0</v>
      </c>
      <c r="AG7708" t="n">
        <v>0</v>
      </c>
      <c r="AH7708" t="n">
        <v>0</v>
      </c>
      <c r="AI7708" t="n">
        <v>0</v>
      </c>
    </row>
    <row r="7709">
      <c r="A7709" t="inlineStr">
        <is>
          <t>12월</t>
        </is>
      </c>
      <c r="B7709" t="inlineStr">
        <is>
          <t>52주차</t>
        </is>
      </c>
      <c r="C7709" t="e">
        <v>#N/A</v>
      </c>
      <c r="K7709" t="n">
        <v>0</v>
      </c>
      <c r="L7709" t="n">
        <v>0</v>
      </c>
      <c r="M7709" t="n">
        <v>0</v>
      </c>
      <c r="AC7709" t="n">
        <v>0</v>
      </c>
      <c r="AD7709" t="n">
        <v>0</v>
      </c>
      <c r="AE7709" t="n">
        <v>0</v>
      </c>
      <c r="AF7709" t="n">
        <v>0</v>
      </c>
      <c r="AG7709" t="n">
        <v>0</v>
      </c>
      <c r="AH7709" t="n">
        <v>0</v>
      </c>
      <c r="AI7709" t="n">
        <v>0</v>
      </c>
    </row>
    <row r="7710">
      <c r="A7710" t="inlineStr">
        <is>
          <t>12월</t>
        </is>
      </c>
      <c r="B7710" t="inlineStr">
        <is>
          <t>52주차</t>
        </is>
      </c>
      <c r="C7710" t="e">
        <v>#N/A</v>
      </c>
      <c r="K7710" t="n">
        <v>0</v>
      </c>
      <c r="L7710" t="n">
        <v>0</v>
      </c>
      <c r="M7710" t="n">
        <v>0</v>
      </c>
      <c r="AC7710" t="n">
        <v>0</v>
      </c>
      <c r="AD7710" t="n">
        <v>0</v>
      </c>
      <c r="AE7710" t="n">
        <v>0</v>
      </c>
      <c r="AF7710" t="n">
        <v>0</v>
      </c>
      <c r="AG7710" t="n">
        <v>0</v>
      </c>
      <c r="AH7710" t="n">
        <v>0</v>
      </c>
      <c r="AI7710" t="n">
        <v>0</v>
      </c>
    </row>
    <row r="7711">
      <c r="A7711" t="inlineStr">
        <is>
          <t>12월</t>
        </is>
      </c>
      <c r="B7711" t="inlineStr">
        <is>
          <t>52주차</t>
        </is>
      </c>
      <c r="C7711" t="e">
        <v>#N/A</v>
      </c>
      <c r="K7711" t="n">
        <v>0</v>
      </c>
      <c r="L7711" t="n">
        <v>0</v>
      </c>
      <c r="M7711" t="n">
        <v>0</v>
      </c>
      <c r="AC7711" t="n">
        <v>0</v>
      </c>
      <c r="AD7711" t="n">
        <v>0</v>
      </c>
      <c r="AE7711" t="n">
        <v>0</v>
      </c>
      <c r="AF7711" t="n">
        <v>0</v>
      </c>
      <c r="AG7711" t="n">
        <v>0</v>
      </c>
      <c r="AH7711" t="n">
        <v>0</v>
      </c>
      <c r="AI7711" t="n">
        <v>0</v>
      </c>
    </row>
    <row r="7712">
      <c r="A7712" t="inlineStr">
        <is>
          <t>12월</t>
        </is>
      </c>
      <c r="B7712" t="inlineStr">
        <is>
          <t>52주차</t>
        </is>
      </c>
      <c r="C7712" t="e">
        <v>#N/A</v>
      </c>
      <c r="K7712" t="n">
        <v>0</v>
      </c>
      <c r="L7712" t="n">
        <v>0</v>
      </c>
      <c r="M7712" t="n">
        <v>0</v>
      </c>
      <c r="AC7712" t="n">
        <v>0</v>
      </c>
      <c r="AD7712" t="n">
        <v>0</v>
      </c>
      <c r="AE7712" t="n">
        <v>0</v>
      </c>
      <c r="AF7712" t="n">
        <v>0</v>
      </c>
      <c r="AG7712" t="n">
        <v>0</v>
      </c>
      <c r="AH7712" t="n">
        <v>0</v>
      </c>
      <c r="AI7712" t="n">
        <v>0</v>
      </c>
    </row>
    <row r="7713">
      <c r="A7713" t="inlineStr">
        <is>
          <t>12월</t>
        </is>
      </c>
      <c r="B7713" t="inlineStr">
        <is>
          <t>52주차</t>
        </is>
      </c>
      <c r="C7713" t="e">
        <v>#N/A</v>
      </c>
      <c r="K7713" t="n">
        <v>0</v>
      </c>
      <c r="L7713" t="n">
        <v>0</v>
      </c>
      <c r="M7713" t="n">
        <v>0</v>
      </c>
      <c r="AC7713" t="n">
        <v>0</v>
      </c>
      <c r="AD7713" t="n">
        <v>0</v>
      </c>
      <c r="AE7713" t="n">
        <v>0</v>
      </c>
      <c r="AF7713" t="n">
        <v>0</v>
      </c>
      <c r="AG7713" t="n">
        <v>0</v>
      </c>
      <c r="AH7713" t="n">
        <v>0</v>
      </c>
      <c r="AI7713" t="n">
        <v>0</v>
      </c>
    </row>
    <row r="7714">
      <c r="A7714" t="inlineStr">
        <is>
          <t>12월</t>
        </is>
      </c>
      <c r="B7714" t="inlineStr">
        <is>
          <t>52주차</t>
        </is>
      </c>
      <c r="C7714" t="e">
        <v>#N/A</v>
      </c>
      <c r="K7714" t="n">
        <v>0</v>
      </c>
      <c r="L7714" t="n">
        <v>0</v>
      </c>
      <c r="M7714" t="n">
        <v>0</v>
      </c>
      <c r="AC7714" t="n">
        <v>0</v>
      </c>
      <c r="AD7714" t="n">
        <v>0</v>
      </c>
      <c r="AE7714" t="n">
        <v>0</v>
      </c>
      <c r="AF7714" t="n">
        <v>0</v>
      </c>
      <c r="AG7714" t="n">
        <v>0</v>
      </c>
      <c r="AH7714" t="n">
        <v>0</v>
      </c>
      <c r="AI7714" t="n">
        <v>0</v>
      </c>
    </row>
    <row r="7715">
      <c r="A7715" t="inlineStr">
        <is>
          <t>12월</t>
        </is>
      </c>
      <c r="B7715" t="inlineStr">
        <is>
          <t>52주차</t>
        </is>
      </c>
      <c r="C7715" t="e">
        <v>#N/A</v>
      </c>
      <c r="K7715" t="n">
        <v>0</v>
      </c>
      <c r="L7715" t="n">
        <v>0</v>
      </c>
      <c r="M7715" t="n">
        <v>0</v>
      </c>
      <c r="AC7715" t="n">
        <v>0</v>
      </c>
      <c r="AD7715" t="n">
        <v>0</v>
      </c>
      <c r="AE7715" t="n">
        <v>0</v>
      </c>
      <c r="AF7715" t="n">
        <v>0</v>
      </c>
      <c r="AG7715" t="n">
        <v>0</v>
      </c>
      <c r="AH7715" t="n">
        <v>0</v>
      </c>
      <c r="AI7715" t="n">
        <v>0</v>
      </c>
    </row>
    <row r="7716">
      <c r="A7716" t="inlineStr">
        <is>
          <t>12월</t>
        </is>
      </c>
      <c r="B7716" t="inlineStr">
        <is>
          <t>52주차</t>
        </is>
      </c>
      <c r="C7716" t="e">
        <v>#N/A</v>
      </c>
      <c r="K7716" t="n">
        <v>0</v>
      </c>
      <c r="L7716" t="n">
        <v>0</v>
      </c>
      <c r="M7716" t="n">
        <v>0</v>
      </c>
      <c r="AC7716" t="n">
        <v>0</v>
      </c>
      <c r="AD7716" t="n">
        <v>0</v>
      </c>
      <c r="AE7716" t="n">
        <v>0</v>
      </c>
      <c r="AF7716" t="n">
        <v>0</v>
      </c>
      <c r="AG7716" t="n">
        <v>0</v>
      </c>
      <c r="AH7716" t="n">
        <v>0</v>
      </c>
      <c r="AI7716" t="n">
        <v>0</v>
      </c>
    </row>
    <row r="7717">
      <c r="A7717" t="inlineStr">
        <is>
          <t>12월</t>
        </is>
      </c>
      <c r="B7717" t="inlineStr">
        <is>
          <t>52주차</t>
        </is>
      </c>
      <c r="C7717" t="e">
        <v>#N/A</v>
      </c>
      <c r="K7717" t="n">
        <v>0</v>
      </c>
      <c r="L7717" t="n">
        <v>0</v>
      </c>
      <c r="M7717" t="n">
        <v>0</v>
      </c>
      <c r="AC7717" t="n">
        <v>0</v>
      </c>
      <c r="AD7717" t="n">
        <v>0</v>
      </c>
      <c r="AE7717" t="n">
        <v>0</v>
      </c>
      <c r="AF7717" t="n">
        <v>0</v>
      </c>
      <c r="AG7717" t="n">
        <v>0</v>
      </c>
      <c r="AH7717" t="n">
        <v>0</v>
      </c>
      <c r="AI7717" t="n">
        <v>0</v>
      </c>
    </row>
    <row r="7718">
      <c r="A7718" t="inlineStr">
        <is>
          <t>12월</t>
        </is>
      </c>
      <c r="B7718" t="inlineStr">
        <is>
          <t>52주차</t>
        </is>
      </c>
      <c r="C7718" t="e">
        <v>#N/A</v>
      </c>
      <c r="K7718" t="n">
        <v>0</v>
      </c>
      <c r="L7718" t="n">
        <v>0</v>
      </c>
      <c r="M7718" t="n">
        <v>0</v>
      </c>
      <c r="AC7718" t="n">
        <v>0</v>
      </c>
      <c r="AD7718" t="n">
        <v>0</v>
      </c>
      <c r="AE7718" t="n">
        <v>0</v>
      </c>
      <c r="AF7718" t="n">
        <v>0</v>
      </c>
      <c r="AG7718" t="n">
        <v>0</v>
      </c>
      <c r="AH7718" t="n">
        <v>0</v>
      </c>
      <c r="AI7718" t="n">
        <v>0</v>
      </c>
    </row>
    <row r="7719">
      <c r="A7719" t="inlineStr">
        <is>
          <t>12월</t>
        </is>
      </c>
      <c r="B7719" t="inlineStr">
        <is>
          <t>52주차</t>
        </is>
      </c>
      <c r="C7719" t="e">
        <v>#N/A</v>
      </c>
      <c r="K7719" t="n">
        <v>0</v>
      </c>
      <c r="L7719" t="n">
        <v>0</v>
      </c>
      <c r="M7719" t="n">
        <v>0</v>
      </c>
      <c r="AC7719" t="n">
        <v>0</v>
      </c>
      <c r="AD7719" t="n">
        <v>0</v>
      </c>
      <c r="AE7719" t="n">
        <v>0</v>
      </c>
      <c r="AF7719" t="n">
        <v>0</v>
      </c>
      <c r="AG7719" t="n">
        <v>0</v>
      </c>
      <c r="AH7719" t="n">
        <v>0</v>
      </c>
      <c r="AI7719" t="n">
        <v>0</v>
      </c>
    </row>
    <row r="7720">
      <c r="A7720" t="inlineStr">
        <is>
          <t>12월</t>
        </is>
      </c>
      <c r="B7720" t="inlineStr">
        <is>
          <t>52주차</t>
        </is>
      </c>
      <c r="C7720" t="e">
        <v>#N/A</v>
      </c>
      <c r="K7720" t="n">
        <v>0</v>
      </c>
      <c r="L7720" t="n">
        <v>0</v>
      </c>
      <c r="M7720" t="n">
        <v>0</v>
      </c>
      <c r="AC7720" t="n">
        <v>0</v>
      </c>
      <c r="AD7720" t="n">
        <v>0</v>
      </c>
      <c r="AE7720" t="n">
        <v>0</v>
      </c>
      <c r="AF7720" t="n">
        <v>0</v>
      </c>
      <c r="AG7720" t="n">
        <v>0</v>
      </c>
      <c r="AH7720" t="n">
        <v>0</v>
      </c>
      <c r="AI7720" t="n">
        <v>0</v>
      </c>
    </row>
    <row r="7721">
      <c r="A7721" t="inlineStr">
        <is>
          <t>12월</t>
        </is>
      </c>
      <c r="B7721" t="inlineStr">
        <is>
          <t>52주차</t>
        </is>
      </c>
      <c r="C7721" t="e">
        <v>#N/A</v>
      </c>
      <c r="K7721" t="n">
        <v>0</v>
      </c>
      <c r="L7721" t="n">
        <v>0</v>
      </c>
      <c r="M7721" t="n">
        <v>0</v>
      </c>
      <c r="AC7721" t="n">
        <v>0</v>
      </c>
      <c r="AD7721" t="n">
        <v>0</v>
      </c>
      <c r="AE7721" t="n">
        <v>0</v>
      </c>
      <c r="AF7721" t="n">
        <v>0</v>
      </c>
      <c r="AG7721" t="n">
        <v>0</v>
      </c>
      <c r="AH7721" t="n">
        <v>0</v>
      </c>
      <c r="AI7721" t="n">
        <v>0</v>
      </c>
    </row>
    <row r="7722">
      <c r="A7722" t="inlineStr">
        <is>
          <t>12월</t>
        </is>
      </c>
      <c r="B7722" t="inlineStr">
        <is>
          <t>52주차</t>
        </is>
      </c>
      <c r="C7722" t="e">
        <v>#N/A</v>
      </c>
      <c r="K7722" t="n">
        <v>0</v>
      </c>
      <c r="L7722" t="n">
        <v>0</v>
      </c>
      <c r="M7722" t="n">
        <v>0</v>
      </c>
      <c r="AC7722" t="n">
        <v>0</v>
      </c>
      <c r="AD7722" t="n">
        <v>0</v>
      </c>
      <c r="AE7722" t="n">
        <v>0</v>
      </c>
      <c r="AF7722" t="n">
        <v>0</v>
      </c>
      <c r="AG7722" t="n">
        <v>0</v>
      </c>
      <c r="AH7722" t="n">
        <v>0</v>
      </c>
    </row>
    <row r="7723">
      <c r="A7723" t="inlineStr">
        <is>
          <t>12월</t>
        </is>
      </c>
      <c r="B7723" t="inlineStr">
        <is>
          <t>52주차</t>
        </is>
      </c>
      <c r="C7723" t="e">
        <v>#N/A</v>
      </c>
      <c r="K7723" t="n">
        <v>0</v>
      </c>
      <c r="L7723" t="n">
        <v>0</v>
      </c>
      <c r="M7723" t="n">
        <v>0</v>
      </c>
      <c r="AC7723" t="n">
        <v>0</v>
      </c>
      <c r="AD7723" t="n">
        <v>0</v>
      </c>
      <c r="AE7723" t="n">
        <v>0</v>
      </c>
      <c r="AF7723" t="n">
        <v>0</v>
      </c>
      <c r="AG7723" t="n">
        <v>0</v>
      </c>
      <c r="AH7723" t="n">
        <v>0</v>
      </c>
    </row>
    <row r="7724">
      <c r="A7724" t="inlineStr">
        <is>
          <t>12월</t>
        </is>
      </c>
      <c r="B7724" t="inlineStr">
        <is>
          <t>52주차</t>
        </is>
      </c>
      <c r="C7724" t="e">
        <v>#N/A</v>
      </c>
      <c r="K7724" t="n">
        <v>0</v>
      </c>
      <c r="L7724" t="n">
        <v>0</v>
      </c>
      <c r="M7724" t="n">
        <v>0</v>
      </c>
      <c r="AC7724" t="n">
        <v>0</v>
      </c>
      <c r="AD7724" t="n">
        <v>0</v>
      </c>
      <c r="AE7724" t="n">
        <v>0</v>
      </c>
      <c r="AF7724" t="n">
        <v>0</v>
      </c>
      <c r="AG7724" t="n">
        <v>0</v>
      </c>
      <c r="AH7724" t="n">
        <v>0</v>
      </c>
      <c r="AI7724" t="n">
        <v>0</v>
      </c>
    </row>
    <row r="7725">
      <c r="A7725" t="inlineStr">
        <is>
          <t>12월</t>
        </is>
      </c>
      <c r="B7725" t="inlineStr">
        <is>
          <t>52주차</t>
        </is>
      </c>
      <c r="C7725" t="e">
        <v>#N/A</v>
      </c>
      <c r="K7725" t="n">
        <v>0</v>
      </c>
      <c r="L7725" t="n">
        <v>0</v>
      </c>
      <c r="M7725" t="n">
        <v>0</v>
      </c>
      <c r="AC7725" t="n">
        <v>0</v>
      </c>
      <c r="AD7725" t="n">
        <v>0</v>
      </c>
      <c r="AE7725" t="n">
        <v>0</v>
      </c>
      <c r="AF7725" t="n">
        <v>0</v>
      </c>
      <c r="AG7725" t="n">
        <v>0</v>
      </c>
      <c r="AH7725" t="n">
        <v>0</v>
      </c>
    </row>
    <row r="7726">
      <c r="A7726" t="inlineStr">
        <is>
          <t>12월</t>
        </is>
      </c>
      <c r="B7726" t="inlineStr">
        <is>
          <t>52주차</t>
        </is>
      </c>
      <c r="C7726" t="e">
        <v>#N/A</v>
      </c>
      <c r="K7726" t="n">
        <v>0</v>
      </c>
      <c r="L7726" t="n">
        <v>0</v>
      </c>
      <c r="M7726" t="n">
        <v>0</v>
      </c>
      <c r="AC7726" t="n">
        <v>0</v>
      </c>
      <c r="AD7726" t="n">
        <v>0</v>
      </c>
      <c r="AE7726" t="n">
        <v>0</v>
      </c>
      <c r="AF7726" t="n">
        <v>0</v>
      </c>
      <c r="AG7726" t="n">
        <v>0</v>
      </c>
      <c r="AH7726" t="n">
        <v>0</v>
      </c>
      <c r="AI7726" t="n">
        <v>0</v>
      </c>
    </row>
    <row r="7727">
      <c r="A7727" t="inlineStr">
        <is>
          <t>12월</t>
        </is>
      </c>
      <c r="B7727" t="inlineStr">
        <is>
          <t>52주차</t>
        </is>
      </c>
      <c r="C7727" t="e">
        <v>#N/A</v>
      </c>
      <c r="K7727" t="n">
        <v>0</v>
      </c>
      <c r="L7727" t="n">
        <v>0</v>
      </c>
      <c r="M7727" t="n">
        <v>0</v>
      </c>
      <c r="AC7727" t="n">
        <v>0</v>
      </c>
      <c r="AD7727" t="n">
        <v>0</v>
      </c>
      <c r="AE7727" t="n">
        <v>0</v>
      </c>
      <c r="AF7727" t="n">
        <v>0</v>
      </c>
      <c r="AG7727" t="n">
        <v>0</v>
      </c>
      <c r="AH7727" t="n">
        <v>0</v>
      </c>
      <c r="AI7727" t="n">
        <v>0</v>
      </c>
    </row>
    <row r="7728">
      <c r="A7728" t="inlineStr">
        <is>
          <t>12월</t>
        </is>
      </c>
      <c r="B7728" t="inlineStr">
        <is>
          <t>52주차</t>
        </is>
      </c>
      <c r="C7728" t="e">
        <v>#N/A</v>
      </c>
      <c r="K7728" t="n">
        <v>0</v>
      </c>
      <c r="L7728" t="n">
        <v>0</v>
      </c>
      <c r="M7728" t="n">
        <v>0</v>
      </c>
      <c r="AC7728" t="n">
        <v>0</v>
      </c>
      <c r="AD7728" t="n">
        <v>0</v>
      </c>
      <c r="AE7728" t="n">
        <v>0</v>
      </c>
      <c r="AF7728" t="n">
        <v>0</v>
      </c>
      <c r="AG7728" t="n">
        <v>0</v>
      </c>
      <c r="AH7728" t="n">
        <v>0</v>
      </c>
    </row>
    <row r="7729">
      <c r="A7729" t="inlineStr">
        <is>
          <t>12월</t>
        </is>
      </c>
      <c r="B7729" t="inlineStr">
        <is>
          <t>52주차</t>
        </is>
      </c>
      <c r="C7729" t="e">
        <v>#N/A</v>
      </c>
      <c r="K7729" t="n">
        <v>0</v>
      </c>
      <c r="L7729" t="n">
        <v>0</v>
      </c>
      <c r="M7729" t="n">
        <v>0</v>
      </c>
      <c r="AC7729" t="n">
        <v>0</v>
      </c>
      <c r="AD7729" t="n">
        <v>0</v>
      </c>
      <c r="AE7729" t="n">
        <v>0</v>
      </c>
      <c r="AF7729" t="n">
        <v>0</v>
      </c>
      <c r="AG7729" t="n">
        <v>0</v>
      </c>
      <c r="AH7729" t="n">
        <v>0</v>
      </c>
      <c r="AI7729" t="n">
        <v>0</v>
      </c>
    </row>
    <row r="7730">
      <c r="A7730" t="inlineStr">
        <is>
          <t>12월</t>
        </is>
      </c>
      <c r="B7730" t="inlineStr">
        <is>
          <t>52주차</t>
        </is>
      </c>
      <c r="C7730" t="e">
        <v>#N/A</v>
      </c>
      <c r="K7730" t="n">
        <v>0</v>
      </c>
      <c r="L7730" t="n">
        <v>0</v>
      </c>
      <c r="M7730" t="n">
        <v>0</v>
      </c>
      <c r="AC7730" t="n">
        <v>0</v>
      </c>
      <c r="AD7730" t="n">
        <v>0</v>
      </c>
      <c r="AE7730" t="n">
        <v>0</v>
      </c>
      <c r="AF7730" t="n">
        <v>0</v>
      </c>
      <c r="AG7730" t="n">
        <v>0</v>
      </c>
      <c r="AH7730" t="n">
        <v>0</v>
      </c>
    </row>
    <row r="7731">
      <c r="A7731" t="inlineStr">
        <is>
          <t>12월</t>
        </is>
      </c>
      <c r="B7731" t="inlineStr">
        <is>
          <t>52주차</t>
        </is>
      </c>
      <c r="C7731" t="e">
        <v>#N/A</v>
      </c>
      <c r="K7731" t="n">
        <v>0</v>
      </c>
      <c r="L7731" t="n">
        <v>0</v>
      </c>
      <c r="M7731" t="n">
        <v>0</v>
      </c>
      <c r="AC7731" t="n">
        <v>0</v>
      </c>
      <c r="AD7731" t="n">
        <v>0</v>
      </c>
      <c r="AE7731" t="n">
        <v>0</v>
      </c>
      <c r="AF7731" t="n">
        <v>0</v>
      </c>
      <c r="AG7731" t="n">
        <v>0</v>
      </c>
      <c r="AH7731" t="n">
        <v>0</v>
      </c>
      <c r="AI7731" t="n">
        <v>0</v>
      </c>
    </row>
    <row r="7732">
      <c r="A7732" t="inlineStr">
        <is>
          <t>12월</t>
        </is>
      </c>
      <c r="B7732" t="inlineStr">
        <is>
          <t>52주차</t>
        </is>
      </c>
      <c r="C7732" t="e">
        <v>#N/A</v>
      </c>
      <c r="K7732" t="n">
        <v>0</v>
      </c>
      <c r="L7732" t="n">
        <v>0</v>
      </c>
      <c r="M7732" t="n">
        <v>0</v>
      </c>
      <c r="AC7732" t="n">
        <v>0</v>
      </c>
      <c r="AD7732" t="n">
        <v>0</v>
      </c>
      <c r="AE7732" t="n">
        <v>0</v>
      </c>
      <c r="AF7732" t="n">
        <v>0</v>
      </c>
      <c r="AG7732" t="n">
        <v>0</v>
      </c>
      <c r="AH7732" t="n">
        <v>0</v>
      </c>
      <c r="AI7732" t="n">
        <v>0</v>
      </c>
    </row>
    <row r="7733">
      <c r="A7733" t="inlineStr">
        <is>
          <t>12월</t>
        </is>
      </c>
      <c r="B7733" t="inlineStr">
        <is>
          <t>52주차</t>
        </is>
      </c>
      <c r="C7733" t="e">
        <v>#N/A</v>
      </c>
      <c r="K7733" t="n">
        <v>0</v>
      </c>
      <c r="L7733" t="n">
        <v>0</v>
      </c>
      <c r="M7733" t="n">
        <v>0</v>
      </c>
      <c r="AC7733" t="n">
        <v>0</v>
      </c>
      <c r="AD7733" t="n">
        <v>0</v>
      </c>
      <c r="AE7733" t="n">
        <v>0</v>
      </c>
      <c r="AF7733" t="n">
        <v>0</v>
      </c>
      <c r="AG7733" t="n">
        <v>0</v>
      </c>
      <c r="AH7733" t="n">
        <v>0</v>
      </c>
      <c r="AI7733" t="n">
        <v>0</v>
      </c>
    </row>
    <row r="7734">
      <c r="A7734" t="inlineStr">
        <is>
          <t>12월</t>
        </is>
      </c>
      <c r="B7734" t="inlineStr">
        <is>
          <t>52주차</t>
        </is>
      </c>
      <c r="C7734" t="e">
        <v>#N/A</v>
      </c>
      <c r="K7734" t="n">
        <v>0</v>
      </c>
      <c r="L7734" t="n">
        <v>0</v>
      </c>
      <c r="M7734" t="n">
        <v>0</v>
      </c>
      <c r="AC7734" t="n">
        <v>0</v>
      </c>
      <c r="AD7734" t="n">
        <v>0</v>
      </c>
      <c r="AE7734" t="n">
        <v>0</v>
      </c>
      <c r="AF7734" t="n">
        <v>0</v>
      </c>
      <c r="AG7734" t="n">
        <v>0</v>
      </c>
      <c r="AH7734" t="n">
        <v>0</v>
      </c>
      <c r="AI7734" t="n">
        <v>0</v>
      </c>
    </row>
    <row r="7735">
      <c r="A7735" t="inlineStr">
        <is>
          <t>12월</t>
        </is>
      </c>
      <c r="B7735" t="inlineStr">
        <is>
          <t>52주차</t>
        </is>
      </c>
      <c r="C7735" t="e">
        <v>#N/A</v>
      </c>
      <c r="K7735" t="n">
        <v>0</v>
      </c>
      <c r="L7735" t="n">
        <v>0</v>
      </c>
      <c r="M7735" t="n">
        <v>0</v>
      </c>
      <c r="AC7735" t="n">
        <v>0</v>
      </c>
      <c r="AD7735" t="n">
        <v>0</v>
      </c>
      <c r="AE7735" t="n">
        <v>0</v>
      </c>
      <c r="AF7735" t="n">
        <v>0</v>
      </c>
      <c r="AG7735" t="n">
        <v>0</v>
      </c>
      <c r="AH7735" t="n">
        <v>0</v>
      </c>
      <c r="AI7735" t="n">
        <v>0</v>
      </c>
    </row>
    <row r="7736">
      <c r="A7736" t="inlineStr">
        <is>
          <t>12월</t>
        </is>
      </c>
      <c r="B7736" t="inlineStr">
        <is>
          <t>52주차</t>
        </is>
      </c>
      <c r="C7736" t="e">
        <v>#N/A</v>
      </c>
      <c r="K7736" t="n">
        <v>0</v>
      </c>
      <c r="L7736" t="n">
        <v>0</v>
      </c>
      <c r="M7736" t="n">
        <v>0</v>
      </c>
      <c r="AC7736" t="n">
        <v>0</v>
      </c>
      <c r="AD7736" t="n">
        <v>0</v>
      </c>
      <c r="AE7736" t="n">
        <v>0</v>
      </c>
      <c r="AF7736" t="n">
        <v>0</v>
      </c>
      <c r="AG7736" t="n">
        <v>0</v>
      </c>
      <c r="AH7736" t="n">
        <v>0</v>
      </c>
      <c r="AI7736" t="n">
        <v>0</v>
      </c>
    </row>
    <row r="7737">
      <c r="A7737" t="inlineStr">
        <is>
          <t>12월</t>
        </is>
      </c>
      <c r="B7737" t="inlineStr">
        <is>
          <t>52주차</t>
        </is>
      </c>
      <c r="C7737" t="e">
        <v>#N/A</v>
      </c>
      <c r="K7737" t="n">
        <v>0</v>
      </c>
      <c r="L7737" t="n">
        <v>0</v>
      </c>
      <c r="M7737" t="n">
        <v>0</v>
      </c>
      <c r="AC7737" t="n">
        <v>0</v>
      </c>
      <c r="AD7737" t="n">
        <v>0</v>
      </c>
      <c r="AE7737" t="n">
        <v>0</v>
      </c>
      <c r="AF7737" t="n">
        <v>0</v>
      </c>
      <c r="AG7737" t="n">
        <v>0</v>
      </c>
      <c r="AH7737" t="n">
        <v>0</v>
      </c>
      <c r="AI7737" t="n">
        <v>0</v>
      </c>
    </row>
    <row r="7738">
      <c r="A7738" t="inlineStr">
        <is>
          <t>12월</t>
        </is>
      </c>
      <c r="B7738" t="inlineStr">
        <is>
          <t>52주차</t>
        </is>
      </c>
      <c r="C7738" t="e">
        <v>#N/A</v>
      </c>
      <c r="K7738" t="n">
        <v>0</v>
      </c>
      <c r="L7738" t="n">
        <v>0</v>
      </c>
      <c r="M7738" t="n">
        <v>0</v>
      </c>
      <c r="AC7738" t="n">
        <v>0</v>
      </c>
      <c r="AD7738" t="n">
        <v>0</v>
      </c>
      <c r="AE7738" t="n">
        <v>0</v>
      </c>
      <c r="AF7738" t="n">
        <v>0</v>
      </c>
      <c r="AG7738" t="n">
        <v>0</v>
      </c>
      <c r="AH7738" t="n">
        <v>0</v>
      </c>
      <c r="AI7738" t="n">
        <v>0</v>
      </c>
    </row>
    <row r="7739">
      <c r="A7739" t="inlineStr">
        <is>
          <t>12월</t>
        </is>
      </c>
      <c r="B7739" t="inlineStr">
        <is>
          <t>52주차</t>
        </is>
      </c>
      <c r="C7739" t="e">
        <v>#N/A</v>
      </c>
      <c r="K7739" t="n">
        <v>0</v>
      </c>
      <c r="L7739" t="n">
        <v>0</v>
      </c>
      <c r="M7739" t="n">
        <v>0</v>
      </c>
      <c r="AC7739" t="n">
        <v>0</v>
      </c>
      <c r="AD7739" t="n">
        <v>0</v>
      </c>
      <c r="AE7739" t="n">
        <v>0</v>
      </c>
      <c r="AF7739" t="n">
        <v>0</v>
      </c>
      <c r="AG7739" t="n">
        <v>0</v>
      </c>
      <c r="AH7739" t="n">
        <v>0</v>
      </c>
      <c r="AI7739" t="n">
        <v>0</v>
      </c>
    </row>
    <row r="7740">
      <c r="A7740" t="inlineStr">
        <is>
          <t>12월</t>
        </is>
      </c>
      <c r="B7740" t="inlineStr">
        <is>
          <t>52주차</t>
        </is>
      </c>
      <c r="C7740" t="e">
        <v>#N/A</v>
      </c>
      <c r="K7740" t="n">
        <v>0</v>
      </c>
      <c r="L7740" t="n">
        <v>0</v>
      </c>
      <c r="M7740" t="n">
        <v>0</v>
      </c>
      <c r="AC7740" t="n">
        <v>0</v>
      </c>
      <c r="AD7740" t="n">
        <v>0</v>
      </c>
      <c r="AE7740" t="n">
        <v>0</v>
      </c>
      <c r="AF7740" t="n">
        <v>0</v>
      </c>
      <c r="AG7740" t="n">
        <v>0</v>
      </c>
      <c r="AH7740" t="n">
        <v>0</v>
      </c>
      <c r="AI7740" t="n">
        <v>0</v>
      </c>
    </row>
    <row r="7741">
      <c r="A7741" t="inlineStr">
        <is>
          <t>12월</t>
        </is>
      </c>
      <c r="B7741" t="inlineStr">
        <is>
          <t>52주차</t>
        </is>
      </c>
      <c r="C7741" t="e">
        <v>#N/A</v>
      </c>
      <c r="K7741" t="n">
        <v>0</v>
      </c>
      <c r="L7741" t="n">
        <v>0</v>
      </c>
      <c r="M7741" t="n">
        <v>0</v>
      </c>
      <c r="AC7741" t="n">
        <v>0</v>
      </c>
      <c r="AD7741" t="n">
        <v>0</v>
      </c>
      <c r="AE7741" t="n">
        <v>0</v>
      </c>
      <c r="AF7741" t="n">
        <v>0</v>
      </c>
      <c r="AG7741" t="n">
        <v>0</v>
      </c>
      <c r="AH7741" t="n">
        <v>0</v>
      </c>
      <c r="AI7741" t="n">
        <v>0</v>
      </c>
    </row>
    <row r="7742">
      <c r="A7742" t="inlineStr">
        <is>
          <t>12월</t>
        </is>
      </c>
      <c r="B7742" t="inlineStr">
        <is>
          <t>52주차</t>
        </is>
      </c>
      <c r="C7742" t="e">
        <v>#N/A</v>
      </c>
      <c r="K7742" t="n">
        <v>0</v>
      </c>
      <c r="L7742" t="n">
        <v>0</v>
      </c>
      <c r="M7742" t="n">
        <v>0</v>
      </c>
      <c r="AC7742" t="n">
        <v>0</v>
      </c>
      <c r="AD7742" t="n">
        <v>0</v>
      </c>
      <c r="AE7742" t="n">
        <v>0</v>
      </c>
      <c r="AF7742" t="n">
        <v>0</v>
      </c>
      <c r="AG7742" t="n">
        <v>0</v>
      </c>
      <c r="AH7742" t="n">
        <v>0</v>
      </c>
      <c r="AI7742" t="n">
        <v>0</v>
      </c>
    </row>
    <row r="7743">
      <c r="A7743" t="inlineStr">
        <is>
          <t>12월</t>
        </is>
      </c>
      <c r="B7743" t="inlineStr">
        <is>
          <t>52주차</t>
        </is>
      </c>
      <c r="C7743" t="e">
        <v>#N/A</v>
      </c>
      <c r="K7743" t="n">
        <v>0</v>
      </c>
      <c r="L7743" t="n">
        <v>0</v>
      </c>
      <c r="M7743" t="n">
        <v>0</v>
      </c>
      <c r="AC7743" t="n">
        <v>0</v>
      </c>
      <c r="AD7743" t="n">
        <v>0</v>
      </c>
      <c r="AE7743" t="n">
        <v>0</v>
      </c>
      <c r="AF7743" t="n">
        <v>0</v>
      </c>
      <c r="AG7743" t="n">
        <v>0</v>
      </c>
      <c r="AH7743" t="n">
        <v>0</v>
      </c>
      <c r="AI7743" t="n">
        <v>0</v>
      </c>
    </row>
    <row r="7744">
      <c r="A7744" t="inlineStr">
        <is>
          <t>12월</t>
        </is>
      </c>
      <c r="B7744" t="inlineStr">
        <is>
          <t>52주차</t>
        </is>
      </c>
      <c r="C7744" t="e">
        <v>#N/A</v>
      </c>
      <c r="K7744" t="n">
        <v>0</v>
      </c>
      <c r="L7744" t="n">
        <v>0</v>
      </c>
      <c r="M7744" t="n">
        <v>0</v>
      </c>
      <c r="AC7744" t="n">
        <v>0</v>
      </c>
      <c r="AD7744" t="n">
        <v>0</v>
      </c>
      <c r="AE7744" t="n">
        <v>0</v>
      </c>
      <c r="AF7744" t="n">
        <v>0</v>
      </c>
      <c r="AG7744" t="n">
        <v>0</v>
      </c>
      <c r="AH7744" t="n">
        <v>0</v>
      </c>
      <c r="AI7744" t="n">
        <v>0</v>
      </c>
    </row>
    <row r="7745">
      <c r="A7745" t="inlineStr">
        <is>
          <t>12월</t>
        </is>
      </c>
      <c r="B7745" t="inlineStr">
        <is>
          <t>52주차</t>
        </is>
      </c>
      <c r="C7745" t="e">
        <v>#N/A</v>
      </c>
      <c r="K7745" t="n">
        <v>0</v>
      </c>
      <c r="L7745" t="n">
        <v>0</v>
      </c>
      <c r="M7745" t="n">
        <v>0</v>
      </c>
      <c r="AC7745" t="n">
        <v>0</v>
      </c>
      <c r="AD7745" t="n">
        <v>0</v>
      </c>
      <c r="AE7745" t="n">
        <v>0</v>
      </c>
      <c r="AF7745" t="n">
        <v>0</v>
      </c>
      <c r="AG7745" t="n">
        <v>0</v>
      </c>
      <c r="AH7745" t="n">
        <v>0</v>
      </c>
      <c r="AI7745" t="n">
        <v>0</v>
      </c>
    </row>
    <row r="7746">
      <c r="A7746" t="inlineStr">
        <is>
          <t>12월</t>
        </is>
      </c>
      <c r="B7746" t="inlineStr">
        <is>
          <t>52주차</t>
        </is>
      </c>
      <c r="C7746" t="e">
        <v>#N/A</v>
      </c>
      <c r="K7746" t="n">
        <v>0</v>
      </c>
      <c r="L7746" t="n">
        <v>0</v>
      </c>
      <c r="M7746" t="n">
        <v>0</v>
      </c>
      <c r="AC7746" t="n">
        <v>0</v>
      </c>
      <c r="AD7746" t="n">
        <v>0</v>
      </c>
      <c r="AE7746" t="n">
        <v>0</v>
      </c>
      <c r="AF7746" t="n">
        <v>0</v>
      </c>
      <c r="AG7746" t="n">
        <v>0</v>
      </c>
      <c r="AH7746" t="n">
        <v>0</v>
      </c>
      <c r="AI7746" t="n">
        <v>0</v>
      </c>
    </row>
    <row r="7747">
      <c r="A7747" t="inlineStr">
        <is>
          <t>12월</t>
        </is>
      </c>
      <c r="B7747" t="inlineStr">
        <is>
          <t>52주차</t>
        </is>
      </c>
      <c r="C7747" t="e">
        <v>#N/A</v>
      </c>
      <c r="K7747" t="n">
        <v>0</v>
      </c>
      <c r="L7747" t="n">
        <v>0</v>
      </c>
      <c r="M7747" t="n">
        <v>0</v>
      </c>
      <c r="AC7747" t="n">
        <v>0</v>
      </c>
      <c r="AD7747" t="n">
        <v>0</v>
      </c>
      <c r="AE7747" t="n">
        <v>0</v>
      </c>
      <c r="AF7747" t="n">
        <v>0</v>
      </c>
      <c r="AG7747" t="n">
        <v>0</v>
      </c>
      <c r="AH7747" t="n">
        <v>0</v>
      </c>
      <c r="AI7747" t="n">
        <v>0</v>
      </c>
    </row>
    <row r="7748">
      <c r="A7748" t="inlineStr">
        <is>
          <t>12월</t>
        </is>
      </c>
      <c r="B7748" t="inlineStr">
        <is>
          <t>52주차</t>
        </is>
      </c>
      <c r="C7748" t="e">
        <v>#N/A</v>
      </c>
      <c r="K7748" t="n">
        <v>0</v>
      </c>
      <c r="L7748" t="n">
        <v>0</v>
      </c>
      <c r="M7748" t="n">
        <v>0</v>
      </c>
      <c r="AC7748" t="n">
        <v>0</v>
      </c>
      <c r="AD7748" t="n">
        <v>0</v>
      </c>
      <c r="AE7748" t="n">
        <v>0</v>
      </c>
      <c r="AF7748" t="n">
        <v>0</v>
      </c>
      <c r="AG7748" t="n">
        <v>0</v>
      </c>
      <c r="AH7748" t="n">
        <v>0</v>
      </c>
    </row>
    <row r="7749">
      <c r="A7749" t="inlineStr">
        <is>
          <t>12월</t>
        </is>
      </c>
      <c r="B7749" t="inlineStr">
        <is>
          <t>52주차</t>
        </is>
      </c>
      <c r="C7749" t="e">
        <v>#N/A</v>
      </c>
      <c r="K7749" t="n">
        <v>0</v>
      </c>
      <c r="L7749" t="n">
        <v>0</v>
      </c>
      <c r="M7749" t="n">
        <v>0</v>
      </c>
      <c r="AC7749" t="n">
        <v>0</v>
      </c>
      <c r="AD7749" t="n">
        <v>0</v>
      </c>
      <c r="AE7749" t="n">
        <v>0</v>
      </c>
      <c r="AF7749" t="n">
        <v>0</v>
      </c>
      <c r="AG7749" t="n">
        <v>0</v>
      </c>
      <c r="AH7749" t="n">
        <v>0</v>
      </c>
    </row>
    <row r="7750">
      <c r="A7750" t="inlineStr">
        <is>
          <t>12월</t>
        </is>
      </c>
      <c r="B7750" t="inlineStr">
        <is>
          <t>52주차</t>
        </is>
      </c>
      <c r="C7750" t="e">
        <v>#N/A</v>
      </c>
      <c r="K7750" t="n">
        <v>0</v>
      </c>
      <c r="L7750" t="n">
        <v>0</v>
      </c>
      <c r="M7750" t="n">
        <v>0</v>
      </c>
      <c r="AC7750" t="n">
        <v>0</v>
      </c>
      <c r="AD7750" t="n">
        <v>0</v>
      </c>
      <c r="AE7750" t="n">
        <v>0</v>
      </c>
      <c r="AF7750" t="n">
        <v>0</v>
      </c>
      <c r="AG7750" t="n">
        <v>0</v>
      </c>
      <c r="AH7750" t="n">
        <v>0</v>
      </c>
    </row>
    <row r="7751">
      <c r="A7751" t="inlineStr">
        <is>
          <t>12월</t>
        </is>
      </c>
      <c r="B7751" t="inlineStr">
        <is>
          <t>52주차</t>
        </is>
      </c>
      <c r="C7751" t="e">
        <v>#N/A</v>
      </c>
      <c r="K7751" t="n">
        <v>0</v>
      </c>
      <c r="L7751" t="n">
        <v>0</v>
      </c>
      <c r="M7751" t="n">
        <v>0</v>
      </c>
      <c r="AC7751" t="n">
        <v>0</v>
      </c>
      <c r="AD7751" t="n">
        <v>0</v>
      </c>
      <c r="AE7751" t="n">
        <v>0</v>
      </c>
      <c r="AF7751" t="n">
        <v>0</v>
      </c>
      <c r="AG7751" t="n">
        <v>0</v>
      </c>
      <c r="AH7751" t="n">
        <v>0</v>
      </c>
      <c r="AI7751" t="n">
        <v>0</v>
      </c>
    </row>
    <row r="7752">
      <c r="A7752" t="inlineStr">
        <is>
          <t>12월</t>
        </is>
      </c>
      <c r="B7752" t="inlineStr">
        <is>
          <t>52주차</t>
        </is>
      </c>
      <c r="C7752" t="e">
        <v>#N/A</v>
      </c>
      <c r="K7752" t="n">
        <v>0</v>
      </c>
      <c r="L7752" t="n">
        <v>0</v>
      </c>
      <c r="M7752" t="n">
        <v>0</v>
      </c>
      <c r="AC7752" t="n">
        <v>0</v>
      </c>
      <c r="AD7752" t="n">
        <v>0</v>
      </c>
      <c r="AE7752" t="n">
        <v>0</v>
      </c>
      <c r="AF7752" t="n">
        <v>0</v>
      </c>
      <c r="AG7752" t="n">
        <v>0</v>
      </c>
      <c r="AH7752" t="n">
        <v>0</v>
      </c>
      <c r="AI7752" t="n">
        <v>0</v>
      </c>
    </row>
    <row r="7753">
      <c r="A7753" t="inlineStr">
        <is>
          <t>12월</t>
        </is>
      </c>
      <c r="B7753" t="inlineStr">
        <is>
          <t>52주차</t>
        </is>
      </c>
      <c r="C7753" t="e">
        <v>#N/A</v>
      </c>
      <c r="K7753" t="n">
        <v>0</v>
      </c>
      <c r="L7753" t="n">
        <v>0</v>
      </c>
      <c r="M7753" t="n">
        <v>0</v>
      </c>
      <c r="AC7753" t="n">
        <v>0</v>
      </c>
      <c r="AD7753" t="n">
        <v>0</v>
      </c>
      <c r="AE7753" t="n">
        <v>0</v>
      </c>
      <c r="AF7753" t="n">
        <v>0</v>
      </c>
      <c r="AG7753" t="n">
        <v>0</v>
      </c>
      <c r="AH7753" t="n">
        <v>0</v>
      </c>
      <c r="AI7753" t="n">
        <v>0</v>
      </c>
    </row>
    <row r="7754">
      <c r="A7754" t="inlineStr">
        <is>
          <t>12월</t>
        </is>
      </c>
      <c r="B7754" t="inlineStr">
        <is>
          <t>52주차</t>
        </is>
      </c>
      <c r="C7754" t="e">
        <v>#N/A</v>
      </c>
      <c r="K7754" t="n">
        <v>0</v>
      </c>
      <c r="L7754" t="n">
        <v>0</v>
      </c>
      <c r="M7754" t="n">
        <v>0</v>
      </c>
      <c r="AC7754" t="n">
        <v>0</v>
      </c>
      <c r="AD7754" t="n">
        <v>0</v>
      </c>
      <c r="AE7754" t="n">
        <v>0</v>
      </c>
      <c r="AF7754" t="n">
        <v>0</v>
      </c>
      <c r="AG7754" t="n">
        <v>0</v>
      </c>
      <c r="AH7754" t="n">
        <v>0</v>
      </c>
      <c r="AI7754" t="n">
        <v>0</v>
      </c>
    </row>
    <row r="7755">
      <c r="A7755" t="inlineStr">
        <is>
          <t>12월</t>
        </is>
      </c>
      <c r="B7755" t="inlineStr">
        <is>
          <t>52주차</t>
        </is>
      </c>
      <c r="C7755" t="e">
        <v>#N/A</v>
      </c>
      <c r="K7755" t="n">
        <v>0</v>
      </c>
      <c r="L7755" t="n">
        <v>0</v>
      </c>
      <c r="M7755" t="n">
        <v>0</v>
      </c>
      <c r="AC7755" t="n">
        <v>0</v>
      </c>
      <c r="AD7755" t="n">
        <v>0</v>
      </c>
      <c r="AE7755" t="n">
        <v>0</v>
      </c>
      <c r="AF7755" t="n">
        <v>0</v>
      </c>
      <c r="AG7755" t="n">
        <v>0</v>
      </c>
      <c r="AH7755" t="n">
        <v>0</v>
      </c>
      <c r="AI7755" t="n">
        <v>0</v>
      </c>
    </row>
    <row r="7756">
      <c r="A7756" t="inlineStr">
        <is>
          <t>12월</t>
        </is>
      </c>
      <c r="B7756" t="inlineStr">
        <is>
          <t>52주차</t>
        </is>
      </c>
      <c r="C7756" t="e">
        <v>#N/A</v>
      </c>
      <c r="K7756" t="n">
        <v>0</v>
      </c>
      <c r="L7756" t="n">
        <v>0</v>
      </c>
      <c r="M7756" t="n">
        <v>0</v>
      </c>
      <c r="AC7756" t="n">
        <v>0</v>
      </c>
      <c r="AD7756" t="n">
        <v>0</v>
      </c>
      <c r="AE7756" t="n">
        <v>0</v>
      </c>
      <c r="AF7756" t="n">
        <v>0</v>
      </c>
      <c r="AG7756" t="n">
        <v>0</v>
      </c>
      <c r="AH7756" t="n">
        <v>0</v>
      </c>
      <c r="AI7756" t="n">
        <v>0</v>
      </c>
    </row>
    <row r="7757">
      <c r="A7757" t="inlineStr">
        <is>
          <t>12월</t>
        </is>
      </c>
      <c r="B7757" t="inlineStr">
        <is>
          <t>52주차</t>
        </is>
      </c>
      <c r="C7757" t="e">
        <v>#N/A</v>
      </c>
      <c r="K7757" t="n">
        <v>0</v>
      </c>
      <c r="L7757" t="n">
        <v>0</v>
      </c>
      <c r="M7757" t="n">
        <v>0</v>
      </c>
      <c r="AC7757" t="n">
        <v>0</v>
      </c>
      <c r="AD7757" t="n">
        <v>0</v>
      </c>
      <c r="AE7757" t="n">
        <v>0</v>
      </c>
      <c r="AF7757" t="n">
        <v>0</v>
      </c>
      <c r="AG7757" t="n">
        <v>0</v>
      </c>
      <c r="AH7757" t="n">
        <v>0</v>
      </c>
      <c r="AI7757" t="n">
        <v>0</v>
      </c>
    </row>
    <row r="7758">
      <c r="A7758" t="inlineStr">
        <is>
          <t>12월</t>
        </is>
      </c>
      <c r="B7758" t="inlineStr">
        <is>
          <t>52주차</t>
        </is>
      </c>
      <c r="C7758" t="e">
        <v>#N/A</v>
      </c>
      <c r="K7758" t="n">
        <v>0</v>
      </c>
      <c r="L7758" t="n">
        <v>0</v>
      </c>
      <c r="M7758" t="n">
        <v>0</v>
      </c>
      <c r="AC7758" t="n">
        <v>0</v>
      </c>
      <c r="AD7758" t="n">
        <v>0</v>
      </c>
      <c r="AE7758" t="n">
        <v>0</v>
      </c>
      <c r="AF7758" t="n">
        <v>0</v>
      </c>
      <c r="AG7758" t="n">
        <v>0</v>
      </c>
      <c r="AH7758" t="n">
        <v>0</v>
      </c>
      <c r="AI7758" t="n">
        <v>0</v>
      </c>
    </row>
    <row r="7759">
      <c r="A7759" t="inlineStr">
        <is>
          <t>12월</t>
        </is>
      </c>
      <c r="B7759" t="inlineStr">
        <is>
          <t>52주차</t>
        </is>
      </c>
      <c r="C7759" t="e">
        <v>#N/A</v>
      </c>
      <c r="K7759" t="n">
        <v>0</v>
      </c>
      <c r="L7759" t="n">
        <v>0</v>
      </c>
      <c r="M7759" t="n">
        <v>0</v>
      </c>
      <c r="AC7759" t="n">
        <v>0</v>
      </c>
      <c r="AD7759" t="n">
        <v>0</v>
      </c>
      <c r="AE7759" t="n">
        <v>0</v>
      </c>
      <c r="AF7759" t="n">
        <v>0</v>
      </c>
      <c r="AG7759" t="n">
        <v>0</v>
      </c>
      <c r="AH7759" t="n">
        <v>0</v>
      </c>
      <c r="AI7759" t="n">
        <v>0</v>
      </c>
    </row>
    <row r="7760">
      <c r="A7760" t="inlineStr">
        <is>
          <t>12월</t>
        </is>
      </c>
      <c r="B7760" t="inlineStr">
        <is>
          <t>52주차</t>
        </is>
      </c>
      <c r="C7760" t="e">
        <v>#N/A</v>
      </c>
      <c r="K7760" t="n">
        <v>0</v>
      </c>
      <c r="L7760" t="n">
        <v>0</v>
      </c>
      <c r="M7760" t="n">
        <v>0</v>
      </c>
      <c r="AC7760" t="n">
        <v>0</v>
      </c>
      <c r="AD7760" t="n">
        <v>0</v>
      </c>
      <c r="AE7760" t="n">
        <v>0</v>
      </c>
      <c r="AF7760" t="n">
        <v>0</v>
      </c>
      <c r="AG7760" t="n">
        <v>0</v>
      </c>
      <c r="AH7760" t="n">
        <v>0</v>
      </c>
      <c r="AI7760" t="n">
        <v>0</v>
      </c>
    </row>
    <row r="7761">
      <c r="A7761" t="inlineStr">
        <is>
          <t>12월</t>
        </is>
      </c>
      <c r="B7761" t="inlineStr">
        <is>
          <t>52주차</t>
        </is>
      </c>
      <c r="C7761" t="e">
        <v>#N/A</v>
      </c>
      <c r="K7761" t="n">
        <v>0</v>
      </c>
      <c r="L7761" t="n">
        <v>0</v>
      </c>
      <c r="M7761" t="n">
        <v>0</v>
      </c>
      <c r="AC7761" t="n">
        <v>0</v>
      </c>
      <c r="AD7761" t="n">
        <v>0</v>
      </c>
      <c r="AE7761" t="n">
        <v>0</v>
      </c>
      <c r="AF7761" t="n">
        <v>0</v>
      </c>
      <c r="AG7761" t="n">
        <v>0</v>
      </c>
      <c r="AH7761" t="n">
        <v>0</v>
      </c>
      <c r="AI7761" t="n">
        <v>0</v>
      </c>
    </row>
    <row r="7762">
      <c r="A7762" t="inlineStr">
        <is>
          <t>12월</t>
        </is>
      </c>
      <c r="B7762" t="inlineStr">
        <is>
          <t>52주차</t>
        </is>
      </c>
      <c r="C7762" t="e">
        <v>#N/A</v>
      </c>
      <c r="K7762" t="n">
        <v>0</v>
      </c>
      <c r="L7762" t="n">
        <v>0</v>
      </c>
      <c r="M7762" t="n">
        <v>0</v>
      </c>
      <c r="AC7762" t="n">
        <v>0</v>
      </c>
      <c r="AD7762" t="n">
        <v>0</v>
      </c>
      <c r="AE7762" t="n">
        <v>0</v>
      </c>
      <c r="AF7762" t="n">
        <v>0</v>
      </c>
      <c r="AG7762" t="n">
        <v>0</v>
      </c>
      <c r="AH7762" t="n">
        <v>0</v>
      </c>
      <c r="AI7762" t="n">
        <v>0</v>
      </c>
    </row>
    <row r="7763">
      <c r="A7763" t="inlineStr">
        <is>
          <t>12월</t>
        </is>
      </c>
      <c r="B7763" t="inlineStr">
        <is>
          <t>52주차</t>
        </is>
      </c>
      <c r="C7763" t="e">
        <v>#N/A</v>
      </c>
      <c r="K7763" t="n">
        <v>0</v>
      </c>
      <c r="L7763" t="n">
        <v>0</v>
      </c>
      <c r="M7763" t="n">
        <v>0</v>
      </c>
      <c r="AC7763" t="n">
        <v>0</v>
      </c>
      <c r="AD7763" t="n">
        <v>0</v>
      </c>
      <c r="AE7763" t="n">
        <v>0</v>
      </c>
      <c r="AF7763" t="n">
        <v>0</v>
      </c>
      <c r="AG7763" t="n">
        <v>0</v>
      </c>
      <c r="AH7763" t="n">
        <v>0</v>
      </c>
    </row>
    <row r="7764">
      <c r="A7764" t="inlineStr">
        <is>
          <t>12월</t>
        </is>
      </c>
      <c r="B7764" t="inlineStr">
        <is>
          <t>52주차</t>
        </is>
      </c>
      <c r="C7764" t="e">
        <v>#N/A</v>
      </c>
      <c r="K7764" t="n">
        <v>0</v>
      </c>
      <c r="L7764" t="n">
        <v>0</v>
      </c>
      <c r="M7764" t="n">
        <v>0</v>
      </c>
      <c r="AC7764" t="n">
        <v>0</v>
      </c>
      <c r="AD7764" t="n">
        <v>0</v>
      </c>
      <c r="AE7764" t="n">
        <v>0</v>
      </c>
      <c r="AF7764" t="n">
        <v>0</v>
      </c>
      <c r="AG7764" t="n">
        <v>0</v>
      </c>
      <c r="AH7764" t="n">
        <v>0</v>
      </c>
    </row>
    <row r="7765">
      <c r="A7765" t="inlineStr">
        <is>
          <t>12월</t>
        </is>
      </c>
      <c r="B7765" t="inlineStr">
        <is>
          <t>52주차</t>
        </is>
      </c>
      <c r="C7765" t="e">
        <v>#N/A</v>
      </c>
      <c r="K7765" t="n">
        <v>0</v>
      </c>
      <c r="L7765" t="n">
        <v>0</v>
      </c>
      <c r="M7765" t="n">
        <v>0</v>
      </c>
      <c r="AC7765" t="n">
        <v>0</v>
      </c>
      <c r="AD7765" t="n">
        <v>0</v>
      </c>
      <c r="AE7765" t="n">
        <v>0</v>
      </c>
      <c r="AF7765" t="n">
        <v>0</v>
      </c>
      <c r="AG7765" t="n">
        <v>0</v>
      </c>
      <c r="AH7765" t="n">
        <v>0</v>
      </c>
    </row>
    <row r="7766">
      <c r="A7766" t="inlineStr">
        <is>
          <t>12월</t>
        </is>
      </c>
      <c r="B7766" t="inlineStr">
        <is>
          <t>52주차</t>
        </is>
      </c>
      <c r="C7766" t="e">
        <v>#N/A</v>
      </c>
      <c r="K7766" t="n">
        <v>0</v>
      </c>
      <c r="L7766" t="n">
        <v>0</v>
      </c>
      <c r="M7766" t="n">
        <v>0</v>
      </c>
      <c r="AC7766" t="n">
        <v>0</v>
      </c>
      <c r="AD7766" t="n">
        <v>0</v>
      </c>
      <c r="AE7766" t="n">
        <v>0</v>
      </c>
      <c r="AF7766" t="n">
        <v>0</v>
      </c>
      <c r="AG7766" t="n">
        <v>0</v>
      </c>
      <c r="AH7766" t="n">
        <v>0</v>
      </c>
      <c r="AI7766" t="n">
        <v>0</v>
      </c>
    </row>
    <row r="7767">
      <c r="A7767" t="inlineStr">
        <is>
          <t>12월</t>
        </is>
      </c>
      <c r="B7767" t="inlineStr">
        <is>
          <t>52주차</t>
        </is>
      </c>
      <c r="C7767" t="e">
        <v>#N/A</v>
      </c>
      <c r="K7767" t="n">
        <v>0</v>
      </c>
      <c r="L7767" t="n">
        <v>0</v>
      </c>
      <c r="M7767" t="n">
        <v>0</v>
      </c>
      <c r="AC7767" t="n">
        <v>0</v>
      </c>
      <c r="AD7767" t="n">
        <v>0</v>
      </c>
      <c r="AE7767" t="n">
        <v>0</v>
      </c>
      <c r="AF7767" t="n">
        <v>0</v>
      </c>
      <c r="AG7767" t="n">
        <v>0</v>
      </c>
      <c r="AH7767" t="n">
        <v>0</v>
      </c>
    </row>
    <row r="7768">
      <c r="A7768" t="inlineStr">
        <is>
          <t>12월</t>
        </is>
      </c>
      <c r="B7768" t="inlineStr">
        <is>
          <t>52주차</t>
        </is>
      </c>
      <c r="C7768" t="e">
        <v>#N/A</v>
      </c>
      <c r="K7768" t="n">
        <v>0</v>
      </c>
      <c r="L7768" t="n">
        <v>0</v>
      </c>
      <c r="M7768" t="n">
        <v>0</v>
      </c>
      <c r="AC7768" t="n">
        <v>0</v>
      </c>
      <c r="AD7768" t="n">
        <v>0</v>
      </c>
      <c r="AE7768" t="n">
        <v>0</v>
      </c>
      <c r="AF7768" t="n">
        <v>0</v>
      </c>
      <c r="AG7768" t="n">
        <v>0</v>
      </c>
      <c r="AH7768" t="n">
        <v>0</v>
      </c>
      <c r="AI7768" t="n">
        <v>0</v>
      </c>
    </row>
    <row r="7769">
      <c r="A7769" t="inlineStr">
        <is>
          <t>12월</t>
        </is>
      </c>
      <c r="B7769" t="inlineStr">
        <is>
          <t>52주차</t>
        </is>
      </c>
      <c r="C7769" t="e">
        <v>#N/A</v>
      </c>
      <c r="K7769" t="n">
        <v>0</v>
      </c>
      <c r="L7769" t="n">
        <v>0</v>
      </c>
      <c r="M7769" t="n">
        <v>0</v>
      </c>
      <c r="AC7769" t="n">
        <v>0</v>
      </c>
      <c r="AD7769" t="n">
        <v>0</v>
      </c>
      <c r="AE7769" t="n">
        <v>0</v>
      </c>
      <c r="AF7769" t="n">
        <v>0</v>
      </c>
      <c r="AG7769" t="n">
        <v>0</v>
      </c>
      <c r="AH7769" t="n">
        <v>0</v>
      </c>
    </row>
    <row r="7770">
      <c r="A7770" t="inlineStr">
        <is>
          <t>12월</t>
        </is>
      </c>
      <c r="B7770" t="inlineStr">
        <is>
          <t>52주차</t>
        </is>
      </c>
      <c r="C7770" t="e">
        <v>#N/A</v>
      </c>
      <c r="K7770" t="n">
        <v>0</v>
      </c>
      <c r="L7770" t="n">
        <v>0</v>
      </c>
      <c r="M7770" t="n">
        <v>0</v>
      </c>
      <c r="AC7770" t="n">
        <v>0</v>
      </c>
      <c r="AD7770" t="n">
        <v>0</v>
      </c>
      <c r="AE7770" t="n">
        <v>0</v>
      </c>
      <c r="AF7770" t="n">
        <v>0</v>
      </c>
      <c r="AG7770" t="n">
        <v>0</v>
      </c>
      <c r="AH7770" t="n">
        <v>0</v>
      </c>
      <c r="AI7770" t="n">
        <v>0</v>
      </c>
    </row>
    <row r="7771">
      <c r="A7771" t="inlineStr">
        <is>
          <t>12월</t>
        </is>
      </c>
      <c r="B7771" t="inlineStr">
        <is>
          <t>52주차</t>
        </is>
      </c>
      <c r="C7771" t="e">
        <v>#N/A</v>
      </c>
      <c r="K7771" t="n">
        <v>0</v>
      </c>
      <c r="L7771" t="n">
        <v>0</v>
      </c>
      <c r="M7771" t="n">
        <v>0</v>
      </c>
      <c r="AC7771" t="n">
        <v>0</v>
      </c>
      <c r="AD7771" t="n">
        <v>0</v>
      </c>
      <c r="AE7771" t="n">
        <v>0</v>
      </c>
      <c r="AF7771" t="n">
        <v>0</v>
      </c>
      <c r="AG7771" t="n">
        <v>0</v>
      </c>
      <c r="AH7771" t="n">
        <v>0</v>
      </c>
      <c r="AI7771" t="n">
        <v>0</v>
      </c>
    </row>
    <row r="7772">
      <c r="A7772" t="inlineStr">
        <is>
          <t>12월</t>
        </is>
      </c>
      <c r="B7772" t="inlineStr">
        <is>
          <t>52주차</t>
        </is>
      </c>
      <c r="C7772" t="e">
        <v>#N/A</v>
      </c>
      <c r="K7772" t="n">
        <v>0</v>
      </c>
      <c r="L7772" t="n">
        <v>0</v>
      </c>
      <c r="M7772" t="n">
        <v>0</v>
      </c>
      <c r="AC7772" t="n">
        <v>0</v>
      </c>
      <c r="AD7772" t="n">
        <v>0</v>
      </c>
      <c r="AE7772" t="n">
        <v>0</v>
      </c>
      <c r="AF7772" t="n">
        <v>0</v>
      </c>
      <c r="AG7772" t="n">
        <v>0</v>
      </c>
      <c r="AH7772" t="n">
        <v>0</v>
      </c>
      <c r="AI7772" t="n">
        <v>0</v>
      </c>
    </row>
    <row r="7773">
      <c r="A7773" t="inlineStr">
        <is>
          <t>12월</t>
        </is>
      </c>
      <c r="B7773" t="inlineStr">
        <is>
          <t>52주차</t>
        </is>
      </c>
      <c r="C7773" t="e">
        <v>#N/A</v>
      </c>
      <c r="K7773" t="n">
        <v>0</v>
      </c>
      <c r="L7773" t="n">
        <v>0</v>
      </c>
      <c r="M7773" t="n">
        <v>0</v>
      </c>
      <c r="AC7773" t="n">
        <v>0</v>
      </c>
      <c r="AD7773" t="n">
        <v>0</v>
      </c>
      <c r="AE7773" t="n">
        <v>0</v>
      </c>
      <c r="AF7773" t="n">
        <v>0</v>
      </c>
      <c r="AG7773" t="n">
        <v>0</v>
      </c>
      <c r="AH7773" t="n">
        <v>0</v>
      </c>
      <c r="AI7773" t="n">
        <v>0</v>
      </c>
    </row>
    <row r="7774">
      <c r="A7774" t="inlineStr">
        <is>
          <t>12월</t>
        </is>
      </c>
      <c r="B7774" t="inlineStr">
        <is>
          <t>52주차</t>
        </is>
      </c>
      <c r="C7774" t="e">
        <v>#N/A</v>
      </c>
      <c r="K7774" t="n">
        <v>0</v>
      </c>
      <c r="L7774" t="n">
        <v>0</v>
      </c>
      <c r="M7774" t="n">
        <v>0</v>
      </c>
      <c r="AC7774" t="n">
        <v>0</v>
      </c>
      <c r="AD7774" t="n">
        <v>0</v>
      </c>
      <c r="AE7774" t="n">
        <v>0</v>
      </c>
      <c r="AF7774" t="n">
        <v>0</v>
      </c>
      <c r="AG7774" t="n">
        <v>0</v>
      </c>
      <c r="AH7774" t="n">
        <v>0</v>
      </c>
      <c r="AI7774" t="n">
        <v>0</v>
      </c>
    </row>
    <row r="7775">
      <c r="A7775" t="inlineStr">
        <is>
          <t>12월</t>
        </is>
      </c>
      <c r="B7775" t="inlineStr">
        <is>
          <t>52주차</t>
        </is>
      </c>
      <c r="C7775" t="e">
        <v>#N/A</v>
      </c>
      <c r="K7775" t="n">
        <v>0</v>
      </c>
      <c r="L7775" t="n">
        <v>0</v>
      </c>
      <c r="M7775" t="n">
        <v>0</v>
      </c>
      <c r="AC7775" t="n">
        <v>0</v>
      </c>
      <c r="AD7775" t="n">
        <v>0</v>
      </c>
      <c r="AE7775" t="n">
        <v>0</v>
      </c>
      <c r="AF7775" t="n">
        <v>0</v>
      </c>
      <c r="AG7775" t="n">
        <v>0</v>
      </c>
      <c r="AH7775" t="n">
        <v>0</v>
      </c>
      <c r="AI7775" t="n">
        <v>0</v>
      </c>
    </row>
    <row r="7776">
      <c r="A7776" t="inlineStr">
        <is>
          <t>12월</t>
        </is>
      </c>
      <c r="B7776" t="inlineStr">
        <is>
          <t>52주차</t>
        </is>
      </c>
      <c r="C7776" t="e">
        <v>#N/A</v>
      </c>
      <c r="K7776" t="n">
        <v>0</v>
      </c>
      <c r="L7776" t="n">
        <v>0</v>
      </c>
      <c r="M7776" t="n">
        <v>0</v>
      </c>
      <c r="AC7776" t="n">
        <v>0</v>
      </c>
      <c r="AD7776" t="n">
        <v>0</v>
      </c>
      <c r="AE7776" t="n">
        <v>0</v>
      </c>
      <c r="AF7776" t="n">
        <v>0</v>
      </c>
      <c r="AG7776" t="n">
        <v>0</v>
      </c>
      <c r="AH7776" t="n">
        <v>0</v>
      </c>
      <c r="AI7776" t="n">
        <v>0</v>
      </c>
    </row>
    <row r="7777">
      <c r="A7777" t="inlineStr">
        <is>
          <t>12월</t>
        </is>
      </c>
      <c r="B7777" t="inlineStr">
        <is>
          <t>52주차</t>
        </is>
      </c>
      <c r="C7777" t="e">
        <v>#N/A</v>
      </c>
      <c r="K7777" t="n">
        <v>0</v>
      </c>
      <c r="L7777" t="n">
        <v>0</v>
      </c>
      <c r="M7777" t="n">
        <v>0</v>
      </c>
      <c r="AC7777" t="n">
        <v>0</v>
      </c>
      <c r="AD7777" t="n">
        <v>0</v>
      </c>
      <c r="AE7777" t="n">
        <v>0</v>
      </c>
      <c r="AF7777" t="n">
        <v>0</v>
      </c>
      <c r="AG7777" t="n">
        <v>0</v>
      </c>
      <c r="AH7777" t="n">
        <v>0</v>
      </c>
      <c r="AI7777" t="n">
        <v>0</v>
      </c>
    </row>
    <row r="7778">
      <c r="A7778" t="inlineStr">
        <is>
          <t>12월</t>
        </is>
      </c>
      <c r="B7778" t="inlineStr">
        <is>
          <t>52주차</t>
        </is>
      </c>
      <c r="C7778" t="e">
        <v>#N/A</v>
      </c>
      <c r="K7778" t="n">
        <v>0</v>
      </c>
      <c r="L7778" t="n">
        <v>0</v>
      </c>
      <c r="M7778" t="n">
        <v>0</v>
      </c>
      <c r="AC7778" t="n">
        <v>0</v>
      </c>
      <c r="AD7778" t="n">
        <v>0</v>
      </c>
      <c r="AE7778" t="n">
        <v>0</v>
      </c>
      <c r="AF7778" t="n">
        <v>0</v>
      </c>
      <c r="AG7778" t="n">
        <v>0</v>
      </c>
      <c r="AH7778" t="n">
        <v>0</v>
      </c>
      <c r="AI7778" t="n">
        <v>0</v>
      </c>
    </row>
    <row r="7779">
      <c r="A7779" t="inlineStr">
        <is>
          <t>12월</t>
        </is>
      </c>
      <c r="B7779" t="inlineStr">
        <is>
          <t>52주차</t>
        </is>
      </c>
      <c r="C7779" t="e">
        <v>#N/A</v>
      </c>
      <c r="K7779" t="n">
        <v>0</v>
      </c>
      <c r="L7779" t="n">
        <v>0</v>
      </c>
      <c r="M7779" t="n">
        <v>0</v>
      </c>
      <c r="AC7779" t="n">
        <v>0</v>
      </c>
      <c r="AD7779" t="n">
        <v>0</v>
      </c>
      <c r="AE7779" t="n">
        <v>0</v>
      </c>
      <c r="AF7779" t="n">
        <v>0</v>
      </c>
      <c r="AG7779" t="n">
        <v>0</v>
      </c>
      <c r="AH7779" t="n">
        <v>0</v>
      </c>
      <c r="AI7779" t="n">
        <v>0</v>
      </c>
    </row>
    <row r="7780">
      <c r="A7780" t="inlineStr">
        <is>
          <t>12월</t>
        </is>
      </c>
      <c r="B7780" t="inlineStr">
        <is>
          <t>52주차</t>
        </is>
      </c>
      <c r="C7780" t="e">
        <v>#N/A</v>
      </c>
      <c r="K7780" t="n">
        <v>0</v>
      </c>
      <c r="L7780" t="n">
        <v>0</v>
      </c>
      <c r="M7780" t="n">
        <v>0</v>
      </c>
      <c r="AC7780" t="n">
        <v>0</v>
      </c>
      <c r="AD7780" t="n">
        <v>0</v>
      </c>
      <c r="AE7780" t="n">
        <v>0</v>
      </c>
      <c r="AF7780" t="n">
        <v>0</v>
      </c>
      <c r="AG7780" t="n">
        <v>0</v>
      </c>
      <c r="AH7780" t="n">
        <v>0</v>
      </c>
      <c r="AI7780" t="n">
        <v>0</v>
      </c>
    </row>
    <row r="7781">
      <c r="A7781" t="inlineStr">
        <is>
          <t>12월</t>
        </is>
      </c>
      <c r="B7781" t="inlineStr">
        <is>
          <t>52주차</t>
        </is>
      </c>
      <c r="C7781" t="e">
        <v>#N/A</v>
      </c>
      <c r="K7781" t="n">
        <v>0</v>
      </c>
      <c r="L7781" t="n">
        <v>0</v>
      </c>
      <c r="M7781" t="n">
        <v>0</v>
      </c>
      <c r="AC7781" t="n">
        <v>0</v>
      </c>
      <c r="AD7781" t="n">
        <v>0</v>
      </c>
      <c r="AE7781" t="n">
        <v>0</v>
      </c>
      <c r="AF7781" t="n">
        <v>0</v>
      </c>
      <c r="AG7781" t="n">
        <v>0</v>
      </c>
      <c r="AH7781" t="n">
        <v>0</v>
      </c>
    </row>
    <row r="7782">
      <c r="A7782" t="inlineStr">
        <is>
          <t>12월</t>
        </is>
      </c>
      <c r="B7782" t="inlineStr">
        <is>
          <t>52주차</t>
        </is>
      </c>
      <c r="C7782" t="e">
        <v>#N/A</v>
      </c>
      <c r="K7782" t="n">
        <v>0</v>
      </c>
      <c r="L7782" t="n">
        <v>0</v>
      </c>
      <c r="M7782" t="n">
        <v>0</v>
      </c>
      <c r="AC7782" t="n">
        <v>0</v>
      </c>
      <c r="AD7782" t="n">
        <v>0</v>
      </c>
      <c r="AE7782" t="n">
        <v>0</v>
      </c>
      <c r="AF7782" t="n">
        <v>0</v>
      </c>
      <c r="AG7782" t="n">
        <v>0</v>
      </c>
      <c r="AH7782" t="n">
        <v>0</v>
      </c>
    </row>
    <row r="7783">
      <c r="A7783" t="inlineStr">
        <is>
          <t>12월</t>
        </is>
      </c>
      <c r="B7783" t="inlineStr">
        <is>
          <t>52주차</t>
        </is>
      </c>
      <c r="C7783" t="e">
        <v>#N/A</v>
      </c>
      <c r="K7783" t="n">
        <v>0</v>
      </c>
      <c r="L7783" t="n">
        <v>0</v>
      </c>
      <c r="M7783" t="n">
        <v>0</v>
      </c>
      <c r="AC7783" t="n">
        <v>0</v>
      </c>
      <c r="AD7783" t="n">
        <v>0</v>
      </c>
      <c r="AE7783" t="n">
        <v>0</v>
      </c>
      <c r="AF7783" t="n">
        <v>0</v>
      </c>
      <c r="AG7783" t="n">
        <v>0</v>
      </c>
      <c r="AH7783" t="n">
        <v>0</v>
      </c>
      <c r="AI7783" t="n">
        <v>0</v>
      </c>
    </row>
    <row r="7784">
      <c r="A7784" t="inlineStr">
        <is>
          <t>12월</t>
        </is>
      </c>
      <c r="B7784" t="inlineStr">
        <is>
          <t>52주차</t>
        </is>
      </c>
      <c r="C7784" t="e">
        <v>#N/A</v>
      </c>
      <c r="K7784" t="n">
        <v>0</v>
      </c>
      <c r="L7784" t="n">
        <v>0</v>
      </c>
      <c r="M7784" t="n">
        <v>0</v>
      </c>
      <c r="AC7784" t="n">
        <v>0</v>
      </c>
      <c r="AD7784" t="n">
        <v>0</v>
      </c>
      <c r="AE7784" t="n">
        <v>0</v>
      </c>
      <c r="AF7784" t="n">
        <v>0</v>
      </c>
      <c r="AG7784" t="n">
        <v>0</v>
      </c>
      <c r="AH7784" t="n">
        <v>0</v>
      </c>
    </row>
    <row r="7785">
      <c r="A7785" t="inlineStr">
        <is>
          <t>12월</t>
        </is>
      </c>
      <c r="B7785" t="inlineStr">
        <is>
          <t>52주차</t>
        </is>
      </c>
      <c r="C7785" t="e">
        <v>#N/A</v>
      </c>
      <c r="K7785" t="n">
        <v>0</v>
      </c>
      <c r="L7785" t="n">
        <v>0</v>
      </c>
      <c r="M7785" t="n">
        <v>0</v>
      </c>
      <c r="AC7785" t="n">
        <v>0</v>
      </c>
      <c r="AD7785" t="n">
        <v>0</v>
      </c>
      <c r="AE7785" t="n">
        <v>0</v>
      </c>
      <c r="AF7785" t="n">
        <v>0</v>
      </c>
      <c r="AG7785" t="n">
        <v>0</v>
      </c>
      <c r="AH7785" t="n">
        <v>0</v>
      </c>
    </row>
    <row r="7786">
      <c r="A7786" t="inlineStr">
        <is>
          <t>12월</t>
        </is>
      </c>
      <c r="B7786" t="inlineStr">
        <is>
          <t>52주차</t>
        </is>
      </c>
      <c r="C7786" t="e">
        <v>#N/A</v>
      </c>
      <c r="K7786" t="n">
        <v>0</v>
      </c>
      <c r="L7786" t="n">
        <v>0</v>
      </c>
      <c r="M7786" t="n">
        <v>0</v>
      </c>
      <c r="AC7786" t="n">
        <v>0</v>
      </c>
      <c r="AD7786" t="n">
        <v>0</v>
      </c>
      <c r="AE7786" t="n">
        <v>0</v>
      </c>
      <c r="AF7786" t="n">
        <v>0</v>
      </c>
      <c r="AG7786" t="n">
        <v>0</v>
      </c>
      <c r="AH7786" t="n">
        <v>0</v>
      </c>
    </row>
    <row r="7787">
      <c r="A7787" t="inlineStr">
        <is>
          <t>12월</t>
        </is>
      </c>
      <c r="B7787" t="inlineStr">
        <is>
          <t>52주차</t>
        </is>
      </c>
      <c r="C7787" t="e">
        <v>#N/A</v>
      </c>
      <c r="K7787" t="n">
        <v>0</v>
      </c>
      <c r="L7787" t="n">
        <v>0</v>
      </c>
      <c r="M7787" t="n">
        <v>0</v>
      </c>
      <c r="AC7787" t="n">
        <v>0</v>
      </c>
      <c r="AD7787" t="n">
        <v>0</v>
      </c>
      <c r="AE7787" t="n">
        <v>0</v>
      </c>
      <c r="AF7787" t="n">
        <v>0</v>
      </c>
      <c r="AG7787" t="n">
        <v>0</v>
      </c>
      <c r="AH7787" t="n">
        <v>0</v>
      </c>
      <c r="AI7787" t="n">
        <v>0</v>
      </c>
    </row>
    <row r="7788">
      <c r="A7788" t="inlineStr">
        <is>
          <t>12월</t>
        </is>
      </c>
      <c r="B7788" t="inlineStr">
        <is>
          <t>52주차</t>
        </is>
      </c>
      <c r="C7788" t="e">
        <v>#N/A</v>
      </c>
      <c r="K7788" t="n">
        <v>0</v>
      </c>
      <c r="L7788" t="n">
        <v>0</v>
      </c>
      <c r="M7788" t="n">
        <v>0</v>
      </c>
      <c r="AC7788" t="n">
        <v>0</v>
      </c>
      <c r="AD7788" t="n">
        <v>0</v>
      </c>
      <c r="AE7788" t="n">
        <v>0</v>
      </c>
      <c r="AF7788" t="n">
        <v>0</v>
      </c>
      <c r="AG7788" t="n">
        <v>0</v>
      </c>
      <c r="AH7788" t="n">
        <v>0</v>
      </c>
      <c r="AI7788" t="n">
        <v>0</v>
      </c>
    </row>
    <row r="7789">
      <c r="A7789" t="inlineStr">
        <is>
          <t>12월</t>
        </is>
      </c>
      <c r="B7789" t="inlineStr">
        <is>
          <t>52주차</t>
        </is>
      </c>
      <c r="C7789" t="e">
        <v>#N/A</v>
      </c>
      <c r="K7789" t="n">
        <v>0</v>
      </c>
      <c r="L7789" t="n">
        <v>0</v>
      </c>
      <c r="M7789" t="n">
        <v>0</v>
      </c>
      <c r="AC7789" t="n">
        <v>0</v>
      </c>
      <c r="AD7789" t="n">
        <v>0</v>
      </c>
      <c r="AE7789" t="n">
        <v>0</v>
      </c>
      <c r="AF7789" t="n">
        <v>0</v>
      </c>
      <c r="AG7789" t="n">
        <v>0</v>
      </c>
      <c r="AH7789" t="n">
        <v>0</v>
      </c>
      <c r="AI7789" t="n">
        <v>0</v>
      </c>
    </row>
    <row r="7790">
      <c r="A7790" t="inlineStr">
        <is>
          <t>12월</t>
        </is>
      </c>
      <c r="B7790" t="inlineStr">
        <is>
          <t>52주차</t>
        </is>
      </c>
      <c r="C7790" t="e">
        <v>#N/A</v>
      </c>
      <c r="K7790" t="n">
        <v>0</v>
      </c>
      <c r="L7790" t="n">
        <v>0</v>
      </c>
      <c r="M7790" t="n">
        <v>0</v>
      </c>
      <c r="AC7790" t="n">
        <v>0</v>
      </c>
      <c r="AD7790" t="n">
        <v>0</v>
      </c>
      <c r="AE7790" t="n">
        <v>0</v>
      </c>
      <c r="AF7790" t="n">
        <v>0</v>
      </c>
      <c r="AG7790" t="n">
        <v>0</v>
      </c>
      <c r="AH7790" t="n">
        <v>0</v>
      </c>
      <c r="AI7790" t="n">
        <v>0</v>
      </c>
    </row>
    <row r="7791">
      <c r="A7791" t="inlineStr">
        <is>
          <t>12월</t>
        </is>
      </c>
      <c r="B7791" t="inlineStr">
        <is>
          <t>52주차</t>
        </is>
      </c>
      <c r="C7791" t="e">
        <v>#N/A</v>
      </c>
      <c r="K7791" t="n">
        <v>0</v>
      </c>
      <c r="L7791" t="n">
        <v>0</v>
      </c>
      <c r="M7791" t="n">
        <v>0</v>
      </c>
      <c r="AC7791" t="n">
        <v>0</v>
      </c>
      <c r="AD7791" t="n">
        <v>0</v>
      </c>
      <c r="AE7791" t="n">
        <v>0</v>
      </c>
      <c r="AF7791" t="n">
        <v>0</v>
      </c>
      <c r="AG7791" t="n">
        <v>0</v>
      </c>
      <c r="AH7791" t="n">
        <v>0</v>
      </c>
      <c r="AI7791" t="n">
        <v>0</v>
      </c>
    </row>
    <row r="7792">
      <c r="A7792" t="inlineStr">
        <is>
          <t>12월</t>
        </is>
      </c>
      <c r="B7792" t="inlineStr">
        <is>
          <t>52주차</t>
        </is>
      </c>
      <c r="C7792" t="e">
        <v>#N/A</v>
      </c>
      <c r="K7792" t="n">
        <v>0</v>
      </c>
      <c r="L7792" t="n">
        <v>0</v>
      </c>
      <c r="M7792" t="n">
        <v>0</v>
      </c>
      <c r="AC7792" t="n">
        <v>0</v>
      </c>
      <c r="AD7792" t="n">
        <v>0</v>
      </c>
      <c r="AE7792" t="n">
        <v>0</v>
      </c>
      <c r="AF7792" t="n">
        <v>0</v>
      </c>
      <c r="AG7792" t="n">
        <v>0</v>
      </c>
      <c r="AH7792" t="n">
        <v>0</v>
      </c>
      <c r="AI7792" t="n">
        <v>0</v>
      </c>
    </row>
    <row r="7793">
      <c r="A7793" t="inlineStr">
        <is>
          <t>12월</t>
        </is>
      </c>
      <c r="B7793" t="inlineStr">
        <is>
          <t>52주차</t>
        </is>
      </c>
      <c r="C7793" t="e">
        <v>#N/A</v>
      </c>
      <c r="K7793" t="n">
        <v>0</v>
      </c>
      <c r="L7793" t="n">
        <v>0</v>
      </c>
      <c r="M7793" t="n">
        <v>0</v>
      </c>
      <c r="AC7793" t="n">
        <v>0</v>
      </c>
      <c r="AD7793" t="n">
        <v>0</v>
      </c>
      <c r="AE7793" t="n">
        <v>0</v>
      </c>
      <c r="AF7793" t="n">
        <v>0</v>
      </c>
      <c r="AG7793" t="n">
        <v>0</v>
      </c>
      <c r="AH7793" t="n">
        <v>0</v>
      </c>
    </row>
    <row r="7794">
      <c r="A7794" t="inlineStr">
        <is>
          <t>12월</t>
        </is>
      </c>
      <c r="B7794" t="inlineStr">
        <is>
          <t>52주차</t>
        </is>
      </c>
      <c r="C7794" t="e">
        <v>#N/A</v>
      </c>
      <c r="K7794" t="n">
        <v>0</v>
      </c>
      <c r="L7794" t="n">
        <v>0</v>
      </c>
      <c r="M7794" t="n">
        <v>0</v>
      </c>
      <c r="AC7794" t="n">
        <v>0</v>
      </c>
      <c r="AD7794" t="n">
        <v>0</v>
      </c>
      <c r="AE7794" t="n">
        <v>0</v>
      </c>
      <c r="AF7794" t="n">
        <v>0</v>
      </c>
      <c r="AG7794" t="n">
        <v>0</v>
      </c>
      <c r="AH7794" t="n">
        <v>0</v>
      </c>
    </row>
    <row r="7795">
      <c r="A7795" t="inlineStr">
        <is>
          <t>12월</t>
        </is>
      </c>
      <c r="B7795" t="inlineStr">
        <is>
          <t>52주차</t>
        </is>
      </c>
      <c r="C7795" t="e">
        <v>#N/A</v>
      </c>
      <c r="K7795" t="n">
        <v>0</v>
      </c>
      <c r="L7795" t="n">
        <v>0</v>
      </c>
      <c r="M7795" t="n">
        <v>0</v>
      </c>
      <c r="AC7795" t="n">
        <v>0</v>
      </c>
      <c r="AD7795" t="n">
        <v>0</v>
      </c>
      <c r="AE7795" t="n">
        <v>0</v>
      </c>
      <c r="AF7795" t="n">
        <v>0</v>
      </c>
      <c r="AG7795" t="n">
        <v>0</v>
      </c>
      <c r="AH7795" t="n">
        <v>0</v>
      </c>
      <c r="AI7795" t="n">
        <v>0</v>
      </c>
    </row>
    <row r="7796">
      <c r="A7796" t="inlineStr">
        <is>
          <t>12월</t>
        </is>
      </c>
      <c r="B7796" t="inlineStr">
        <is>
          <t>52주차</t>
        </is>
      </c>
      <c r="C7796" t="e">
        <v>#N/A</v>
      </c>
      <c r="K7796" t="n">
        <v>0</v>
      </c>
      <c r="L7796" t="n">
        <v>0</v>
      </c>
      <c r="M7796" t="n">
        <v>0</v>
      </c>
      <c r="AC7796" t="n">
        <v>0</v>
      </c>
      <c r="AD7796" t="n">
        <v>0</v>
      </c>
      <c r="AE7796" t="n">
        <v>0</v>
      </c>
      <c r="AF7796" t="n">
        <v>0</v>
      </c>
      <c r="AG7796" t="n">
        <v>0</v>
      </c>
      <c r="AH7796" t="n">
        <v>0</v>
      </c>
      <c r="AI7796" t="n">
        <v>0</v>
      </c>
    </row>
    <row r="7797">
      <c r="A7797" t="inlineStr">
        <is>
          <t>12월</t>
        </is>
      </c>
      <c r="B7797" t="inlineStr">
        <is>
          <t>52주차</t>
        </is>
      </c>
      <c r="C7797" t="e">
        <v>#N/A</v>
      </c>
      <c r="K7797" t="n">
        <v>0</v>
      </c>
      <c r="L7797" t="n">
        <v>0</v>
      </c>
      <c r="M7797" t="n">
        <v>0</v>
      </c>
      <c r="AC7797" t="n">
        <v>0</v>
      </c>
      <c r="AD7797" t="n">
        <v>0</v>
      </c>
      <c r="AE7797" t="n">
        <v>0</v>
      </c>
      <c r="AF7797" t="n">
        <v>0</v>
      </c>
      <c r="AG7797" t="n">
        <v>0</v>
      </c>
      <c r="AH7797" t="n">
        <v>0</v>
      </c>
    </row>
    <row r="7798">
      <c r="A7798" t="inlineStr">
        <is>
          <t>12월</t>
        </is>
      </c>
      <c r="B7798" t="inlineStr">
        <is>
          <t>52주차</t>
        </is>
      </c>
      <c r="C7798" t="e">
        <v>#N/A</v>
      </c>
      <c r="K7798" t="n">
        <v>0</v>
      </c>
      <c r="L7798" t="n">
        <v>0</v>
      </c>
      <c r="M7798" t="n">
        <v>0</v>
      </c>
      <c r="AC7798" t="n">
        <v>0</v>
      </c>
      <c r="AD7798" t="n">
        <v>0</v>
      </c>
      <c r="AE7798" t="n">
        <v>0</v>
      </c>
      <c r="AF7798" t="n">
        <v>0</v>
      </c>
      <c r="AG7798" t="n">
        <v>0</v>
      </c>
      <c r="AH7798" t="n">
        <v>0</v>
      </c>
      <c r="AI7798" t="n">
        <v>0</v>
      </c>
    </row>
    <row r="7799">
      <c r="A7799" t="inlineStr">
        <is>
          <t>12월</t>
        </is>
      </c>
      <c r="B7799" t="inlineStr">
        <is>
          <t>52주차</t>
        </is>
      </c>
      <c r="C7799" t="e">
        <v>#N/A</v>
      </c>
      <c r="K7799" t="n">
        <v>0</v>
      </c>
      <c r="L7799" t="n">
        <v>0</v>
      </c>
      <c r="M7799" t="n">
        <v>0</v>
      </c>
      <c r="AC7799" t="n">
        <v>0</v>
      </c>
      <c r="AD7799" t="n">
        <v>0</v>
      </c>
      <c r="AE7799" t="n">
        <v>0</v>
      </c>
      <c r="AF7799" t="n">
        <v>0</v>
      </c>
      <c r="AG7799" t="n">
        <v>0</v>
      </c>
      <c r="AH7799" t="n">
        <v>0</v>
      </c>
    </row>
    <row r="7800">
      <c r="A7800" t="inlineStr">
        <is>
          <t>12월</t>
        </is>
      </c>
      <c r="B7800" t="inlineStr">
        <is>
          <t>52주차</t>
        </is>
      </c>
      <c r="C7800" t="e">
        <v>#N/A</v>
      </c>
      <c r="K7800" t="n">
        <v>0</v>
      </c>
      <c r="L7800" t="n">
        <v>0</v>
      </c>
      <c r="M7800" t="n">
        <v>0</v>
      </c>
      <c r="AC7800" t="n">
        <v>0</v>
      </c>
      <c r="AD7800" t="n">
        <v>0</v>
      </c>
      <c r="AE7800" t="n">
        <v>0</v>
      </c>
      <c r="AF7800" t="n">
        <v>0</v>
      </c>
      <c r="AG7800" t="n">
        <v>0</v>
      </c>
      <c r="AH7800" t="n">
        <v>0</v>
      </c>
      <c r="AI7800" t="n">
        <v>0</v>
      </c>
    </row>
    <row r="7801">
      <c r="A7801" t="inlineStr">
        <is>
          <t>12월</t>
        </is>
      </c>
      <c r="B7801" t="inlineStr">
        <is>
          <t>52주차</t>
        </is>
      </c>
      <c r="C7801" t="e">
        <v>#N/A</v>
      </c>
      <c r="K7801" t="n">
        <v>0</v>
      </c>
      <c r="L7801" t="n">
        <v>0</v>
      </c>
      <c r="M7801" t="n">
        <v>0</v>
      </c>
      <c r="AC7801" t="n">
        <v>0</v>
      </c>
      <c r="AD7801" t="n">
        <v>0</v>
      </c>
      <c r="AE7801" t="n">
        <v>0</v>
      </c>
      <c r="AF7801" t="n">
        <v>0</v>
      </c>
      <c r="AG7801" t="n">
        <v>0</v>
      </c>
      <c r="AH7801" t="n">
        <v>0</v>
      </c>
      <c r="AI7801" t="n">
        <v>0</v>
      </c>
    </row>
    <row r="7802">
      <c r="A7802" t="inlineStr">
        <is>
          <t>12월</t>
        </is>
      </c>
      <c r="B7802" t="inlineStr">
        <is>
          <t>52주차</t>
        </is>
      </c>
      <c r="C7802" t="e">
        <v>#N/A</v>
      </c>
      <c r="K7802" t="n">
        <v>0</v>
      </c>
      <c r="L7802" t="n">
        <v>0</v>
      </c>
      <c r="M7802" t="n">
        <v>0</v>
      </c>
      <c r="AC7802" t="n">
        <v>0</v>
      </c>
      <c r="AD7802" t="n">
        <v>0</v>
      </c>
      <c r="AE7802" t="n">
        <v>0</v>
      </c>
      <c r="AF7802" t="n">
        <v>0</v>
      </c>
      <c r="AG7802" t="n">
        <v>0</v>
      </c>
      <c r="AH7802" t="n">
        <v>0</v>
      </c>
      <c r="AI7802" t="n">
        <v>0</v>
      </c>
    </row>
    <row r="7803">
      <c r="A7803" t="inlineStr">
        <is>
          <t>12월</t>
        </is>
      </c>
      <c r="B7803" t="inlineStr">
        <is>
          <t>52주차</t>
        </is>
      </c>
      <c r="C7803" t="e">
        <v>#N/A</v>
      </c>
      <c r="K7803" t="n">
        <v>0</v>
      </c>
      <c r="L7803" t="n">
        <v>0</v>
      </c>
      <c r="M7803" t="n">
        <v>0</v>
      </c>
      <c r="AC7803" t="n">
        <v>0</v>
      </c>
      <c r="AD7803" t="n">
        <v>0</v>
      </c>
      <c r="AE7803" t="n">
        <v>0</v>
      </c>
      <c r="AF7803" t="n">
        <v>0</v>
      </c>
      <c r="AG7803" t="n">
        <v>0</v>
      </c>
      <c r="AH7803" t="n">
        <v>0</v>
      </c>
      <c r="AI7803" t="n">
        <v>0</v>
      </c>
    </row>
    <row r="7804">
      <c r="A7804" t="inlineStr">
        <is>
          <t>12월</t>
        </is>
      </c>
      <c r="B7804" t="inlineStr">
        <is>
          <t>52주차</t>
        </is>
      </c>
      <c r="C7804" t="e">
        <v>#N/A</v>
      </c>
      <c r="K7804" t="n">
        <v>0</v>
      </c>
      <c r="L7804" t="n">
        <v>0</v>
      </c>
      <c r="M7804" t="n">
        <v>0</v>
      </c>
      <c r="AC7804" t="n">
        <v>0</v>
      </c>
      <c r="AD7804" t="n">
        <v>0</v>
      </c>
      <c r="AE7804" t="n">
        <v>0</v>
      </c>
      <c r="AF7804" t="n">
        <v>0</v>
      </c>
      <c r="AG7804" t="n">
        <v>0</v>
      </c>
      <c r="AH7804" t="n">
        <v>0</v>
      </c>
      <c r="AI7804" t="n">
        <v>0</v>
      </c>
    </row>
    <row r="7805">
      <c r="A7805" t="inlineStr">
        <is>
          <t>12월</t>
        </is>
      </c>
      <c r="B7805" t="inlineStr">
        <is>
          <t>52주차</t>
        </is>
      </c>
      <c r="C7805" t="e">
        <v>#N/A</v>
      </c>
      <c r="K7805" t="n">
        <v>0</v>
      </c>
      <c r="L7805" t="n">
        <v>0</v>
      </c>
      <c r="M7805" t="n">
        <v>0</v>
      </c>
      <c r="AC7805" t="n">
        <v>0</v>
      </c>
      <c r="AD7805" t="n">
        <v>0</v>
      </c>
      <c r="AE7805" t="n">
        <v>0</v>
      </c>
      <c r="AF7805" t="n">
        <v>0</v>
      </c>
      <c r="AG7805" t="n">
        <v>0</v>
      </c>
      <c r="AH7805" t="n">
        <v>0</v>
      </c>
      <c r="AI7805" t="n">
        <v>0</v>
      </c>
    </row>
    <row r="7806">
      <c r="A7806" t="inlineStr">
        <is>
          <t>12월</t>
        </is>
      </c>
      <c r="B7806" t="inlineStr">
        <is>
          <t>52주차</t>
        </is>
      </c>
      <c r="C7806" t="e">
        <v>#N/A</v>
      </c>
      <c r="K7806" t="n">
        <v>0</v>
      </c>
      <c r="L7806" t="n">
        <v>0</v>
      </c>
      <c r="M7806" t="n">
        <v>0</v>
      </c>
      <c r="AC7806" t="n">
        <v>0</v>
      </c>
      <c r="AD7806" t="n">
        <v>0</v>
      </c>
      <c r="AE7806" t="n">
        <v>0</v>
      </c>
      <c r="AF7806" t="n">
        <v>0</v>
      </c>
      <c r="AG7806" t="n">
        <v>0</v>
      </c>
      <c r="AH7806" t="n">
        <v>0</v>
      </c>
    </row>
    <row r="7807">
      <c r="A7807" t="inlineStr">
        <is>
          <t>12월</t>
        </is>
      </c>
      <c r="B7807" t="inlineStr">
        <is>
          <t>52주차</t>
        </is>
      </c>
      <c r="C7807" t="e">
        <v>#N/A</v>
      </c>
      <c r="K7807" t="n">
        <v>0</v>
      </c>
      <c r="L7807" t="n">
        <v>0</v>
      </c>
      <c r="M7807" t="n">
        <v>0</v>
      </c>
      <c r="AC7807" t="n">
        <v>0</v>
      </c>
      <c r="AD7807" t="n">
        <v>0</v>
      </c>
      <c r="AE7807" t="n">
        <v>0</v>
      </c>
      <c r="AF7807" t="n">
        <v>0</v>
      </c>
      <c r="AG7807" t="n">
        <v>0</v>
      </c>
      <c r="AH7807" t="n">
        <v>0</v>
      </c>
      <c r="AI7807" t="n">
        <v>0</v>
      </c>
    </row>
    <row r="7808">
      <c r="A7808" t="inlineStr">
        <is>
          <t>12월</t>
        </is>
      </c>
      <c r="B7808" t="inlineStr">
        <is>
          <t>52주차</t>
        </is>
      </c>
      <c r="C7808" t="e">
        <v>#N/A</v>
      </c>
      <c r="K7808" t="n">
        <v>0</v>
      </c>
      <c r="L7808" t="n">
        <v>0</v>
      </c>
      <c r="M7808" t="n">
        <v>0</v>
      </c>
      <c r="AC7808" t="n">
        <v>0</v>
      </c>
      <c r="AD7808" t="n">
        <v>0</v>
      </c>
      <c r="AE7808" t="n">
        <v>0</v>
      </c>
      <c r="AF7808" t="n">
        <v>0</v>
      </c>
      <c r="AG7808" t="n">
        <v>0</v>
      </c>
      <c r="AH7808" t="n">
        <v>0</v>
      </c>
      <c r="AI7808" t="n">
        <v>0</v>
      </c>
    </row>
    <row r="7809">
      <c r="A7809" t="inlineStr">
        <is>
          <t>12월</t>
        </is>
      </c>
      <c r="B7809" t="inlineStr">
        <is>
          <t>52주차</t>
        </is>
      </c>
      <c r="C7809" t="e">
        <v>#N/A</v>
      </c>
      <c r="K7809" t="n">
        <v>0</v>
      </c>
      <c r="L7809" t="n">
        <v>0</v>
      </c>
      <c r="M7809" t="n">
        <v>0</v>
      </c>
      <c r="AC7809" t="n">
        <v>0</v>
      </c>
      <c r="AD7809" t="n">
        <v>0</v>
      </c>
      <c r="AE7809" t="n">
        <v>0</v>
      </c>
      <c r="AF7809" t="n">
        <v>0</v>
      </c>
      <c r="AG7809" t="n">
        <v>0</v>
      </c>
      <c r="AH7809" t="n">
        <v>0</v>
      </c>
      <c r="AI7809" t="n">
        <v>0</v>
      </c>
    </row>
    <row r="7810">
      <c r="A7810" t="inlineStr">
        <is>
          <t>12월</t>
        </is>
      </c>
      <c r="B7810" t="inlineStr">
        <is>
          <t>52주차</t>
        </is>
      </c>
      <c r="C7810" t="e">
        <v>#N/A</v>
      </c>
      <c r="K7810" t="n">
        <v>0</v>
      </c>
      <c r="L7810" t="n">
        <v>0</v>
      </c>
      <c r="M7810" t="n">
        <v>0</v>
      </c>
      <c r="AC7810" t="n">
        <v>0</v>
      </c>
      <c r="AD7810" t="n">
        <v>0</v>
      </c>
      <c r="AE7810" t="n">
        <v>0</v>
      </c>
      <c r="AF7810" t="n">
        <v>0</v>
      </c>
      <c r="AG7810" t="n">
        <v>0</v>
      </c>
      <c r="AH7810" t="n">
        <v>0</v>
      </c>
      <c r="AI7810" t="n">
        <v>0</v>
      </c>
    </row>
    <row r="7811">
      <c r="A7811" t="inlineStr">
        <is>
          <t>12월</t>
        </is>
      </c>
      <c r="B7811" t="inlineStr">
        <is>
          <t>52주차</t>
        </is>
      </c>
      <c r="C7811" t="e">
        <v>#N/A</v>
      </c>
      <c r="K7811" t="n">
        <v>0</v>
      </c>
      <c r="L7811" t="n">
        <v>0</v>
      </c>
      <c r="M7811" t="n">
        <v>0</v>
      </c>
      <c r="AC7811" t="n">
        <v>0</v>
      </c>
      <c r="AD7811" t="n">
        <v>0</v>
      </c>
      <c r="AE7811" t="n">
        <v>0</v>
      </c>
      <c r="AF7811" t="n">
        <v>0</v>
      </c>
      <c r="AG7811" t="n">
        <v>0</v>
      </c>
      <c r="AH7811" t="n">
        <v>0</v>
      </c>
      <c r="AI7811" t="n">
        <v>0</v>
      </c>
    </row>
    <row r="7812">
      <c r="A7812" t="inlineStr">
        <is>
          <t>12월</t>
        </is>
      </c>
      <c r="B7812" t="inlineStr">
        <is>
          <t>52주차</t>
        </is>
      </c>
      <c r="C7812" t="e">
        <v>#N/A</v>
      </c>
      <c r="K7812" t="n">
        <v>0</v>
      </c>
      <c r="L7812" t="n">
        <v>0</v>
      </c>
      <c r="M7812" t="n">
        <v>0</v>
      </c>
      <c r="AC7812" t="n">
        <v>0</v>
      </c>
      <c r="AD7812" t="n">
        <v>0</v>
      </c>
      <c r="AE7812" t="n">
        <v>0</v>
      </c>
      <c r="AF7812" t="n">
        <v>0</v>
      </c>
      <c r="AG7812" t="n">
        <v>0</v>
      </c>
      <c r="AH7812" t="n">
        <v>0</v>
      </c>
      <c r="AI7812" t="n">
        <v>0</v>
      </c>
    </row>
    <row r="7813">
      <c r="A7813" t="inlineStr">
        <is>
          <t>12월</t>
        </is>
      </c>
      <c r="B7813" t="inlineStr">
        <is>
          <t>52주차</t>
        </is>
      </c>
      <c r="C7813" t="e">
        <v>#N/A</v>
      </c>
      <c r="K7813" t="n">
        <v>0</v>
      </c>
      <c r="L7813" t="n">
        <v>0</v>
      </c>
      <c r="M7813" t="n">
        <v>0</v>
      </c>
      <c r="AC7813" t="n">
        <v>0</v>
      </c>
      <c r="AD7813" t="n">
        <v>0</v>
      </c>
      <c r="AE7813" t="n">
        <v>0</v>
      </c>
      <c r="AF7813" t="n">
        <v>0</v>
      </c>
      <c r="AG7813" t="n">
        <v>0</v>
      </c>
      <c r="AH7813" t="n">
        <v>0</v>
      </c>
      <c r="AI7813" t="n">
        <v>0</v>
      </c>
    </row>
    <row r="7814">
      <c r="A7814" t="inlineStr">
        <is>
          <t>12월</t>
        </is>
      </c>
      <c r="B7814" t="inlineStr">
        <is>
          <t>52주차</t>
        </is>
      </c>
      <c r="C7814" t="e">
        <v>#N/A</v>
      </c>
      <c r="K7814" t="n">
        <v>0</v>
      </c>
      <c r="L7814" t="n">
        <v>0</v>
      </c>
      <c r="M7814" t="n">
        <v>0</v>
      </c>
      <c r="AC7814" t="n">
        <v>0</v>
      </c>
      <c r="AD7814" t="n">
        <v>0</v>
      </c>
      <c r="AE7814" t="n">
        <v>0</v>
      </c>
      <c r="AF7814" t="n">
        <v>0</v>
      </c>
      <c r="AG7814" t="n">
        <v>0</v>
      </c>
      <c r="AH7814" t="n">
        <v>0</v>
      </c>
      <c r="AI7814" t="n">
        <v>0</v>
      </c>
    </row>
    <row r="7815">
      <c r="A7815" t="inlineStr">
        <is>
          <t>12월</t>
        </is>
      </c>
      <c r="B7815" t="inlineStr">
        <is>
          <t>52주차</t>
        </is>
      </c>
      <c r="C7815" t="e">
        <v>#N/A</v>
      </c>
      <c r="K7815" t="n">
        <v>0</v>
      </c>
      <c r="L7815" t="n">
        <v>0</v>
      </c>
      <c r="M7815" t="n">
        <v>0</v>
      </c>
      <c r="AC7815" t="n">
        <v>0</v>
      </c>
      <c r="AD7815" t="n">
        <v>0</v>
      </c>
      <c r="AE7815" t="n">
        <v>0</v>
      </c>
      <c r="AF7815" t="n">
        <v>0</v>
      </c>
      <c r="AG7815" t="n">
        <v>0</v>
      </c>
      <c r="AH7815" t="n">
        <v>0</v>
      </c>
    </row>
    <row r="7816">
      <c r="A7816" t="inlineStr">
        <is>
          <t>12월</t>
        </is>
      </c>
      <c r="B7816" t="inlineStr">
        <is>
          <t>52주차</t>
        </is>
      </c>
      <c r="C7816" t="e">
        <v>#N/A</v>
      </c>
      <c r="K7816" t="n">
        <v>0</v>
      </c>
      <c r="L7816" t="n">
        <v>0</v>
      </c>
      <c r="M7816" t="n">
        <v>0</v>
      </c>
      <c r="AC7816" t="n">
        <v>0</v>
      </c>
      <c r="AD7816" t="n">
        <v>0</v>
      </c>
      <c r="AE7816" t="n">
        <v>0</v>
      </c>
      <c r="AF7816" t="n">
        <v>0</v>
      </c>
      <c r="AG7816" t="n">
        <v>0</v>
      </c>
      <c r="AH7816" t="n">
        <v>0</v>
      </c>
      <c r="AI7816" t="n">
        <v>0</v>
      </c>
    </row>
    <row r="7817">
      <c r="A7817" t="inlineStr">
        <is>
          <t>12월</t>
        </is>
      </c>
      <c r="B7817" t="inlineStr">
        <is>
          <t>52주차</t>
        </is>
      </c>
      <c r="C7817" t="e">
        <v>#N/A</v>
      </c>
      <c r="K7817" t="n">
        <v>0</v>
      </c>
      <c r="L7817" t="n">
        <v>0</v>
      </c>
      <c r="M7817" t="n">
        <v>0</v>
      </c>
      <c r="AC7817" t="n">
        <v>0</v>
      </c>
      <c r="AD7817" t="n">
        <v>0</v>
      </c>
      <c r="AE7817" t="n">
        <v>0</v>
      </c>
      <c r="AF7817" t="n">
        <v>0</v>
      </c>
      <c r="AG7817" t="n">
        <v>0</v>
      </c>
      <c r="AH7817" t="n">
        <v>0</v>
      </c>
      <c r="AI7817" t="n">
        <v>0</v>
      </c>
    </row>
    <row r="7818">
      <c r="A7818" t="inlineStr">
        <is>
          <t>12월</t>
        </is>
      </c>
      <c r="B7818" t="inlineStr">
        <is>
          <t>52주차</t>
        </is>
      </c>
      <c r="C7818" t="e">
        <v>#N/A</v>
      </c>
      <c r="K7818" t="n">
        <v>0</v>
      </c>
      <c r="L7818" t="n">
        <v>0</v>
      </c>
      <c r="M7818" t="n">
        <v>0</v>
      </c>
      <c r="AC7818" t="n">
        <v>0</v>
      </c>
      <c r="AD7818" t="n">
        <v>0</v>
      </c>
      <c r="AE7818" t="n">
        <v>0</v>
      </c>
      <c r="AF7818" t="n">
        <v>0</v>
      </c>
      <c r="AG7818" t="n">
        <v>0</v>
      </c>
      <c r="AH7818" t="n">
        <v>0</v>
      </c>
      <c r="AI7818" t="n">
        <v>0</v>
      </c>
    </row>
    <row r="7819">
      <c r="A7819" t="inlineStr">
        <is>
          <t>12월</t>
        </is>
      </c>
      <c r="B7819" t="inlineStr">
        <is>
          <t>52주차</t>
        </is>
      </c>
      <c r="C7819" t="e">
        <v>#N/A</v>
      </c>
      <c r="K7819" t="n">
        <v>0</v>
      </c>
      <c r="L7819" t="n">
        <v>0</v>
      </c>
      <c r="M7819" t="n">
        <v>0</v>
      </c>
      <c r="AC7819" t="n">
        <v>0</v>
      </c>
      <c r="AD7819" t="n">
        <v>0</v>
      </c>
      <c r="AE7819" t="n">
        <v>0</v>
      </c>
      <c r="AF7819" t="n">
        <v>0</v>
      </c>
      <c r="AG7819" t="n">
        <v>0</v>
      </c>
      <c r="AH7819" t="n">
        <v>0</v>
      </c>
      <c r="AI7819" t="n">
        <v>0</v>
      </c>
    </row>
    <row r="7820">
      <c r="A7820" t="inlineStr">
        <is>
          <t>12월</t>
        </is>
      </c>
      <c r="B7820" t="inlineStr">
        <is>
          <t>52주차</t>
        </is>
      </c>
      <c r="C7820" t="e">
        <v>#N/A</v>
      </c>
      <c r="K7820" t="n">
        <v>0</v>
      </c>
      <c r="L7820" t="n">
        <v>0</v>
      </c>
      <c r="M7820" t="n">
        <v>0</v>
      </c>
      <c r="AC7820" t="n">
        <v>0</v>
      </c>
      <c r="AD7820" t="n">
        <v>0</v>
      </c>
      <c r="AE7820" t="n">
        <v>0</v>
      </c>
      <c r="AF7820" t="n">
        <v>0</v>
      </c>
      <c r="AG7820" t="n">
        <v>0</v>
      </c>
      <c r="AH7820" t="n">
        <v>0</v>
      </c>
      <c r="AI7820" t="n">
        <v>0</v>
      </c>
    </row>
    <row r="7821">
      <c r="A7821" t="inlineStr">
        <is>
          <t>12월</t>
        </is>
      </c>
      <c r="B7821" t="inlineStr">
        <is>
          <t>52주차</t>
        </is>
      </c>
      <c r="C7821" t="e">
        <v>#N/A</v>
      </c>
      <c r="K7821" t="n">
        <v>0</v>
      </c>
      <c r="L7821" t="n">
        <v>0</v>
      </c>
      <c r="M7821" t="n">
        <v>0</v>
      </c>
      <c r="AC7821" t="n">
        <v>0</v>
      </c>
      <c r="AD7821" t="n">
        <v>0</v>
      </c>
      <c r="AE7821" t="n">
        <v>0</v>
      </c>
      <c r="AF7821" t="n">
        <v>0</v>
      </c>
      <c r="AG7821" t="n">
        <v>0</v>
      </c>
      <c r="AH7821" t="n">
        <v>0</v>
      </c>
      <c r="AI7821" t="n">
        <v>0</v>
      </c>
    </row>
    <row r="7822">
      <c r="A7822" t="inlineStr">
        <is>
          <t>12월</t>
        </is>
      </c>
      <c r="B7822" t="inlineStr">
        <is>
          <t>52주차</t>
        </is>
      </c>
      <c r="C7822" t="e">
        <v>#N/A</v>
      </c>
      <c r="K7822" t="n">
        <v>0</v>
      </c>
      <c r="L7822" t="n">
        <v>0</v>
      </c>
      <c r="M7822" t="n">
        <v>0</v>
      </c>
      <c r="AC7822" t="n">
        <v>0</v>
      </c>
      <c r="AD7822" t="n">
        <v>0</v>
      </c>
      <c r="AE7822" t="n">
        <v>0</v>
      </c>
      <c r="AF7822" t="n">
        <v>0</v>
      </c>
      <c r="AG7822" t="n">
        <v>0</v>
      </c>
      <c r="AH7822" t="n">
        <v>0</v>
      </c>
    </row>
    <row r="7823">
      <c r="A7823" t="inlineStr">
        <is>
          <t>12월</t>
        </is>
      </c>
      <c r="B7823" t="inlineStr">
        <is>
          <t>52주차</t>
        </is>
      </c>
      <c r="C7823" t="e">
        <v>#N/A</v>
      </c>
      <c r="K7823" t="n">
        <v>0</v>
      </c>
      <c r="L7823" t="n">
        <v>0</v>
      </c>
      <c r="M7823" t="n">
        <v>0</v>
      </c>
      <c r="AC7823" t="n">
        <v>0</v>
      </c>
      <c r="AD7823" t="n">
        <v>0</v>
      </c>
      <c r="AE7823" t="n">
        <v>0</v>
      </c>
      <c r="AF7823" t="n">
        <v>0</v>
      </c>
      <c r="AG7823" t="n">
        <v>0</v>
      </c>
      <c r="AH7823" t="n">
        <v>0</v>
      </c>
      <c r="AI7823" t="n">
        <v>0</v>
      </c>
    </row>
    <row r="7824">
      <c r="A7824" t="inlineStr">
        <is>
          <t>12월</t>
        </is>
      </c>
      <c r="B7824" t="inlineStr">
        <is>
          <t>52주차</t>
        </is>
      </c>
      <c r="C7824" t="e">
        <v>#N/A</v>
      </c>
      <c r="K7824" t="n">
        <v>0</v>
      </c>
      <c r="L7824" t="n">
        <v>0</v>
      </c>
      <c r="M7824" t="n">
        <v>0</v>
      </c>
      <c r="AC7824" t="n">
        <v>0</v>
      </c>
      <c r="AD7824" t="n">
        <v>0</v>
      </c>
      <c r="AE7824" t="n">
        <v>0</v>
      </c>
      <c r="AF7824" t="n">
        <v>0</v>
      </c>
      <c r="AG7824" t="n">
        <v>0</v>
      </c>
      <c r="AH7824" t="n">
        <v>0</v>
      </c>
    </row>
    <row r="7825">
      <c r="A7825" t="inlineStr">
        <is>
          <t>12월</t>
        </is>
      </c>
      <c r="B7825" t="inlineStr">
        <is>
          <t>52주차</t>
        </is>
      </c>
      <c r="C7825" t="e">
        <v>#N/A</v>
      </c>
      <c r="K7825" t="n">
        <v>0</v>
      </c>
      <c r="L7825" t="n">
        <v>0</v>
      </c>
      <c r="M7825" t="n">
        <v>0</v>
      </c>
      <c r="AC7825" t="n">
        <v>0</v>
      </c>
      <c r="AD7825" t="n">
        <v>0</v>
      </c>
      <c r="AE7825" t="n">
        <v>0</v>
      </c>
      <c r="AF7825" t="n">
        <v>0</v>
      </c>
      <c r="AG7825" t="n">
        <v>0</v>
      </c>
      <c r="AH7825" t="n">
        <v>0</v>
      </c>
    </row>
    <row r="7826">
      <c r="A7826" t="inlineStr">
        <is>
          <t>12월</t>
        </is>
      </c>
      <c r="B7826" t="inlineStr">
        <is>
          <t>52주차</t>
        </is>
      </c>
      <c r="C7826" t="e">
        <v>#N/A</v>
      </c>
      <c r="K7826" t="n">
        <v>0</v>
      </c>
      <c r="L7826" t="n">
        <v>0</v>
      </c>
      <c r="M7826" t="n">
        <v>0</v>
      </c>
      <c r="AC7826" t="n">
        <v>0</v>
      </c>
      <c r="AD7826" t="n">
        <v>0</v>
      </c>
      <c r="AE7826" t="n">
        <v>0</v>
      </c>
      <c r="AF7826" t="n">
        <v>0</v>
      </c>
      <c r="AG7826" t="n">
        <v>0</v>
      </c>
      <c r="AH7826" t="n">
        <v>0</v>
      </c>
      <c r="AI7826" t="n">
        <v>0</v>
      </c>
    </row>
    <row r="7827">
      <c r="A7827" t="inlineStr">
        <is>
          <t>12월</t>
        </is>
      </c>
      <c r="B7827" t="inlineStr">
        <is>
          <t>52주차</t>
        </is>
      </c>
      <c r="C7827" t="e">
        <v>#N/A</v>
      </c>
      <c r="K7827" t="n">
        <v>0</v>
      </c>
      <c r="L7827" t="n">
        <v>0</v>
      </c>
      <c r="M7827" t="n">
        <v>0</v>
      </c>
      <c r="AC7827" t="n">
        <v>0</v>
      </c>
      <c r="AD7827" t="n">
        <v>0</v>
      </c>
      <c r="AE7827" t="n">
        <v>0</v>
      </c>
      <c r="AF7827" t="n">
        <v>0</v>
      </c>
      <c r="AG7827" t="n">
        <v>0</v>
      </c>
      <c r="AH7827" t="n">
        <v>0</v>
      </c>
      <c r="AI7827" t="n">
        <v>0</v>
      </c>
    </row>
    <row r="7828">
      <c r="A7828" t="inlineStr">
        <is>
          <t>12월</t>
        </is>
      </c>
      <c r="B7828" t="inlineStr">
        <is>
          <t>52주차</t>
        </is>
      </c>
      <c r="C7828" t="e">
        <v>#N/A</v>
      </c>
      <c r="K7828" t="n">
        <v>0</v>
      </c>
      <c r="L7828" t="n">
        <v>0</v>
      </c>
      <c r="M7828" t="n">
        <v>0</v>
      </c>
      <c r="AC7828" t="n">
        <v>0</v>
      </c>
      <c r="AD7828" t="n">
        <v>0</v>
      </c>
      <c r="AE7828" t="n">
        <v>0</v>
      </c>
      <c r="AF7828" t="n">
        <v>0</v>
      </c>
      <c r="AG7828" t="n">
        <v>0</v>
      </c>
      <c r="AH7828" t="n">
        <v>0</v>
      </c>
      <c r="AI7828" t="n">
        <v>0</v>
      </c>
    </row>
    <row r="7829">
      <c r="A7829" t="inlineStr">
        <is>
          <t>12월</t>
        </is>
      </c>
      <c r="B7829" t="inlineStr">
        <is>
          <t>52주차</t>
        </is>
      </c>
      <c r="C7829" t="e">
        <v>#N/A</v>
      </c>
      <c r="K7829" t="n">
        <v>0</v>
      </c>
      <c r="L7829" t="n">
        <v>0</v>
      </c>
      <c r="M7829" t="n">
        <v>0</v>
      </c>
      <c r="AC7829" t="n">
        <v>0</v>
      </c>
      <c r="AD7829" t="n">
        <v>0</v>
      </c>
      <c r="AE7829" t="n">
        <v>0</v>
      </c>
      <c r="AF7829" t="n">
        <v>0</v>
      </c>
      <c r="AG7829" t="n">
        <v>0</v>
      </c>
      <c r="AH7829" t="n">
        <v>0</v>
      </c>
    </row>
    <row r="7830">
      <c r="A7830" t="inlineStr">
        <is>
          <t>12월</t>
        </is>
      </c>
      <c r="B7830" t="inlineStr">
        <is>
          <t>52주차</t>
        </is>
      </c>
      <c r="C7830" t="e">
        <v>#N/A</v>
      </c>
      <c r="K7830" t="n">
        <v>0</v>
      </c>
      <c r="L7830" t="n">
        <v>0</v>
      </c>
      <c r="M7830" t="n">
        <v>0</v>
      </c>
      <c r="AC7830" t="n">
        <v>0</v>
      </c>
      <c r="AD7830" t="n">
        <v>0</v>
      </c>
      <c r="AE7830" t="n">
        <v>0</v>
      </c>
      <c r="AF7830" t="n">
        <v>0</v>
      </c>
      <c r="AG7830" t="n">
        <v>0</v>
      </c>
      <c r="AH7830" t="n">
        <v>0</v>
      </c>
      <c r="AI7830" t="n">
        <v>0</v>
      </c>
    </row>
    <row r="7831">
      <c r="A7831" t="inlineStr">
        <is>
          <t>12월</t>
        </is>
      </c>
      <c r="B7831" t="inlineStr">
        <is>
          <t>52주차</t>
        </is>
      </c>
      <c r="C7831" t="e">
        <v>#N/A</v>
      </c>
      <c r="K7831" t="n">
        <v>0</v>
      </c>
      <c r="L7831" t="n">
        <v>0</v>
      </c>
      <c r="M7831" t="n">
        <v>0</v>
      </c>
      <c r="AC7831" t="n">
        <v>0</v>
      </c>
      <c r="AD7831" t="n">
        <v>0</v>
      </c>
      <c r="AE7831" t="n">
        <v>0</v>
      </c>
      <c r="AF7831" t="n">
        <v>0</v>
      </c>
      <c r="AG7831" t="n">
        <v>0</v>
      </c>
      <c r="AH7831" t="n">
        <v>0</v>
      </c>
      <c r="AI7831" t="n">
        <v>0</v>
      </c>
    </row>
    <row r="7832">
      <c r="A7832" t="inlineStr">
        <is>
          <t>12월</t>
        </is>
      </c>
      <c r="B7832" t="inlineStr">
        <is>
          <t>52주차</t>
        </is>
      </c>
      <c r="C7832" t="e">
        <v>#N/A</v>
      </c>
      <c r="K7832" t="n">
        <v>0</v>
      </c>
      <c r="L7832" t="n">
        <v>0</v>
      </c>
      <c r="M7832" t="n">
        <v>0</v>
      </c>
      <c r="AC7832" t="n">
        <v>0</v>
      </c>
      <c r="AD7832" t="n">
        <v>0</v>
      </c>
      <c r="AE7832" t="n">
        <v>0</v>
      </c>
      <c r="AF7832" t="n">
        <v>0</v>
      </c>
      <c r="AG7832" t="n">
        <v>0</v>
      </c>
      <c r="AH7832" t="n">
        <v>0</v>
      </c>
      <c r="AI7832" t="n">
        <v>0</v>
      </c>
    </row>
    <row r="7833">
      <c r="A7833" t="inlineStr">
        <is>
          <t>12월</t>
        </is>
      </c>
      <c r="B7833" t="inlineStr">
        <is>
          <t>52주차</t>
        </is>
      </c>
      <c r="C7833" t="e">
        <v>#N/A</v>
      </c>
      <c r="K7833" t="n">
        <v>0</v>
      </c>
      <c r="L7833" t="n">
        <v>0</v>
      </c>
      <c r="M7833" t="n">
        <v>0</v>
      </c>
      <c r="AC7833" t="n">
        <v>0</v>
      </c>
      <c r="AD7833" t="n">
        <v>0</v>
      </c>
      <c r="AE7833" t="n">
        <v>0</v>
      </c>
      <c r="AF7833" t="n">
        <v>0</v>
      </c>
      <c r="AG7833" t="n">
        <v>0</v>
      </c>
      <c r="AH7833" t="n">
        <v>0</v>
      </c>
      <c r="AI7833" t="n">
        <v>0</v>
      </c>
    </row>
    <row r="7834">
      <c r="A7834" t="inlineStr">
        <is>
          <t>12월</t>
        </is>
      </c>
      <c r="B7834" t="inlineStr">
        <is>
          <t>52주차</t>
        </is>
      </c>
      <c r="C7834" t="e">
        <v>#N/A</v>
      </c>
      <c r="K7834" t="n">
        <v>0</v>
      </c>
      <c r="L7834" t="n">
        <v>0</v>
      </c>
      <c r="M7834" t="n">
        <v>0</v>
      </c>
      <c r="AC7834" t="n">
        <v>0</v>
      </c>
      <c r="AD7834" t="n">
        <v>0</v>
      </c>
      <c r="AE7834" t="n">
        <v>0</v>
      </c>
      <c r="AF7834" t="n">
        <v>0</v>
      </c>
      <c r="AG7834" t="n">
        <v>0</v>
      </c>
      <c r="AH7834" t="n">
        <v>0</v>
      </c>
      <c r="AI7834" t="n">
        <v>0</v>
      </c>
    </row>
    <row r="7835">
      <c r="A7835" t="inlineStr">
        <is>
          <t>12월</t>
        </is>
      </c>
      <c r="B7835" t="inlineStr">
        <is>
          <t>52주차</t>
        </is>
      </c>
      <c r="C7835" t="e">
        <v>#N/A</v>
      </c>
      <c r="K7835" t="n">
        <v>0</v>
      </c>
      <c r="L7835" t="n">
        <v>0</v>
      </c>
      <c r="M7835" t="n">
        <v>0</v>
      </c>
      <c r="AC7835" t="n">
        <v>0</v>
      </c>
      <c r="AD7835" t="n">
        <v>0</v>
      </c>
      <c r="AE7835" t="n">
        <v>0</v>
      </c>
      <c r="AF7835" t="n">
        <v>0</v>
      </c>
      <c r="AG7835" t="n">
        <v>0</v>
      </c>
      <c r="AH7835" t="n">
        <v>0</v>
      </c>
      <c r="AI7835" t="n">
        <v>0</v>
      </c>
    </row>
    <row r="7836">
      <c r="A7836" t="inlineStr">
        <is>
          <t>12월</t>
        </is>
      </c>
      <c r="B7836" t="inlineStr">
        <is>
          <t>52주차</t>
        </is>
      </c>
      <c r="C7836" t="e">
        <v>#N/A</v>
      </c>
      <c r="K7836" t="n">
        <v>0</v>
      </c>
      <c r="L7836" t="n">
        <v>0</v>
      </c>
      <c r="M7836" t="n">
        <v>0</v>
      </c>
      <c r="AC7836" t="n">
        <v>0</v>
      </c>
      <c r="AD7836" t="n">
        <v>0</v>
      </c>
      <c r="AE7836" t="n">
        <v>0</v>
      </c>
      <c r="AF7836" t="n">
        <v>0</v>
      </c>
      <c r="AG7836" t="n">
        <v>0</v>
      </c>
      <c r="AH7836" t="n">
        <v>0</v>
      </c>
    </row>
    <row r="7837">
      <c r="A7837" t="inlineStr">
        <is>
          <t>12월</t>
        </is>
      </c>
      <c r="B7837" t="inlineStr">
        <is>
          <t>52주차</t>
        </is>
      </c>
      <c r="C7837" t="e">
        <v>#N/A</v>
      </c>
      <c r="K7837" t="n">
        <v>0</v>
      </c>
      <c r="L7837" t="n">
        <v>0</v>
      </c>
      <c r="M7837" t="n">
        <v>0</v>
      </c>
      <c r="AC7837" t="n">
        <v>0</v>
      </c>
      <c r="AD7837" t="n">
        <v>0</v>
      </c>
      <c r="AE7837" t="n">
        <v>0</v>
      </c>
      <c r="AF7837" t="n">
        <v>0</v>
      </c>
      <c r="AG7837" t="n">
        <v>0</v>
      </c>
      <c r="AH7837" t="n">
        <v>0</v>
      </c>
      <c r="AI7837" t="n">
        <v>0</v>
      </c>
    </row>
    <row r="7838">
      <c r="A7838" t="inlineStr">
        <is>
          <t>12월</t>
        </is>
      </c>
      <c r="B7838" t="inlineStr">
        <is>
          <t>52주차</t>
        </is>
      </c>
      <c r="C7838" t="e">
        <v>#N/A</v>
      </c>
      <c r="K7838" t="n">
        <v>0</v>
      </c>
      <c r="L7838" t="n">
        <v>0</v>
      </c>
      <c r="M7838" t="n">
        <v>0</v>
      </c>
      <c r="AC7838" t="n">
        <v>0</v>
      </c>
      <c r="AD7838" t="n">
        <v>0</v>
      </c>
      <c r="AE7838" t="n">
        <v>0</v>
      </c>
      <c r="AF7838" t="n">
        <v>0</v>
      </c>
      <c r="AG7838" t="n">
        <v>0</v>
      </c>
      <c r="AH7838" t="n">
        <v>0</v>
      </c>
    </row>
    <row r="7839">
      <c r="A7839" t="inlineStr">
        <is>
          <t>12월</t>
        </is>
      </c>
      <c r="B7839" t="inlineStr">
        <is>
          <t>52주차</t>
        </is>
      </c>
      <c r="C7839" t="e">
        <v>#N/A</v>
      </c>
      <c r="K7839" t="n">
        <v>0</v>
      </c>
      <c r="L7839" t="n">
        <v>0</v>
      </c>
      <c r="M7839" t="n">
        <v>0</v>
      </c>
      <c r="AC7839" t="n">
        <v>0</v>
      </c>
      <c r="AD7839" t="n">
        <v>0</v>
      </c>
      <c r="AE7839" t="n">
        <v>0</v>
      </c>
      <c r="AF7839" t="n">
        <v>0</v>
      </c>
      <c r="AG7839" t="n">
        <v>0</v>
      </c>
      <c r="AH7839" t="n">
        <v>0</v>
      </c>
      <c r="AI7839" t="n">
        <v>0</v>
      </c>
    </row>
    <row r="7840">
      <c r="A7840" t="inlineStr">
        <is>
          <t>12월</t>
        </is>
      </c>
      <c r="B7840" t="inlineStr">
        <is>
          <t>52주차</t>
        </is>
      </c>
      <c r="C7840" t="e">
        <v>#N/A</v>
      </c>
      <c r="K7840" t="n">
        <v>0</v>
      </c>
      <c r="L7840" t="n">
        <v>0</v>
      </c>
      <c r="M7840" t="n">
        <v>0</v>
      </c>
      <c r="AC7840" t="n">
        <v>0</v>
      </c>
      <c r="AD7840" t="n">
        <v>0</v>
      </c>
      <c r="AE7840" t="n">
        <v>0</v>
      </c>
      <c r="AF7840" t="n">
        <v>0</v>
      </c>
      <c r="AG7840" t="n">
        <v>0</v>
      </c>
      <c r="AH7840" t="n">
        <v>0</v>
      </c>
      <c r="AI7840" t="n">
        <v>0</v>
      </c>
    </row>
    <row r="7841">
      <c r="A7841" t="inlineStr">
        <is>
          <t>12월</t>
        </is>
      </c>
      <c r="B7841" t="inlineStr">
        <is>
          <t>52주차</t>
        </is>
      </c>
      <c r="C7841" t="e">
        <v>#N/A</v>
      </c>
      <c r="K7841" t="n">
        <v>0</v>
      </c>
      <c r="L7841" t="n">
        <v>0</v>
      </c>
      <c r="M7841" t="n">
        <v>0</v>
      </c>
      <c r="AC7841" t="n">
        <v>0</v>
      </c>
      <c r="AD7841" t="n">
        <v>0</v>
      </c>
      <c r="AE7841" t="n">
        <v>0</v>
      </c>
      <c r="AF7841" t="n">
        <v>0</v>
      </c>
      <c r="AG7841" t="n">
        <v>0</v>
      </c>
      <c r="AH7841" t="n">
        <v>0</v>
      </c>
    </row>
    <row r="7842">
      <c r="A7842" t="inlineStr">
        <is>
          <t>12월</t>
        </is>
      </c>
      <c r="B7842" t="inlineStr">
        <is>
          <t>52주차</t>
        </is>
      </c>
      <c r="C7842" t="e">
        <v>#N/A</v>
      </c>
      <c r="K7842" t="n">
        <v>0</v>
      </c>
      <c r="L7842" t="n">
        <v>0</v>
      </c>
      <c r="M7842" t="n">
        <v>0</v>
      </c>
      <c r="AC7842" t="n">
        <v>0</v>
      </c>
      <c r="AD7842" t="n">
        <v>0</v>
      </c>
      <c r="AE7842" t="n">
        <v>0</v>
      </c>
      <c r="AF7842" t="n">
        <v>0</v>
      </c>
      <c r="AG7842" t="n">
        <v>0</v>
      </c>
      <c r="AH7842" t="n">
        <v>0</v>
      </c>
      <c r="AI7842" t="n">
        <v>0</v>
      </c>
    </row>
    <row r="7843">
      <c r="A7843" t="inlineStr">
        <is>
          <t>12월</t>
        </is>
      </c>
      <c r="B7843" t="inlineStr">
        <is>
          <t>52주차</t>
        </is>
      </c>
      <c r="C7843" t="e">
        <v>#N/A</v>
      </c>
      <c r="K7843" t="n">
        <v>0</v>
      </c>
      <c r="L7843" t="n">
        <v>0</v>
      </c>
      <c r="M7843" t="n">
        <v>0</v>
      </c>
      <c r="AC7843" t="n">
        <v>0</v>
      </c>
      <c r="AD7843" t="n">
        <v>0</v>
      </c>
      <c r="AE7843" t="n">
        <v>0</v>
      </c>
      <c r="AF7843" t="n">
        <v>0</v>
      </c>
      <c r="AG7843" t="n">
        <v>0</v>
      </c>
      <c r="AH7843" t="n">
        <v>0</v>
      </c>
      <c r="AI7843" t="n">
        <v>0</v>
      </c>
    </row>
    <row r="7844">
      <c r="A7844" t="inlineStr">
        <is>
          <t>12월</t>
        </is>
      </c>
      <c r="B7844" t="inlineStr">
        <is>
          <t>52주차</t>
        </is>
      </c>
      <c r="C7844" t="e">
        <v>#N/A</v>
      </c>
      <c r="K7844" t="n">
        <v>0</v>
      </c>
      <c r="L7844" t="n">
        <v>0</v>
      </c>
      <c r="M7844" t="n">
        <v>0</v>
      </c>
      <c r="AC7844" t="n">
        <v>0</v>
      </c>
      <c r="AD7844" t="n">
        <v>0</v>
      </c>
      <c r="AE7844" t="n">
        <v>0</v>
      </c>
      <c r="AF7844" t="n">
        <v>0</v>
      </c>
      <c r="AG7844" t="n">
        <v>0</v>
      </c>
      <c r="AH7844" t="n">
        <v>0</v>
      </c>
      <c r="AI7844" t="n">
        <v>0</v>
      </c>
    </row>
    <row r="7845">
      <c r="A7845" t="inlineStr">
        <is>
          <t>12월</t>
        </is>
      </c>
      <c r="B7845" t="inlineStr">
        <is>
          <t>52주차</t>
        </is>
      </c>
      <c r="C7845" t="e">
        <v>#N/A</v>
      </c>
      <c r="K7845" t="n">
        <v>0</v>
      </c>
      <c r="L7845" t="n">
        <v>0</v>
      </c>
      <c r="M7845" t="n">
        <v>0</v>
      </c>
      <c r="AC7845" t="n">
        <v>0</v>
      </c>
      <c r="AD7845" t="n">
        <v>0</v>
      </c>
      <c r="AE7845" t="n">
        <v>0</v>
      </c>
      <c r="AF7845" t="n">
        <v>0</v>
      </c>
      <c r="AG7845" t="n">
        <v>0</v>
      </c>
      <c r="AH7845" t="n">
        <v>0</v>
      </c>
      <c r="AI7845" t="n">
        <v>0</v>
      </c>
    </row>
    <row r="7846">
      <c r="A7846" t="inlineStr">
        <is>
          <t>12월</t>
        </is>
      </c>
      <c r="B7846" t="inlineStr">
        <is>
          <t>52주차</t>
        </is>
      </c>
      <c r="C7846" t="e">
        <v>#N/A</v>
      </c>
      <c r="K7846" t="n">
        <v>0</v>
      </c>
      <c r="L7846" t="n">
        <v>0</v>
      </c>
      <c r="M7846" t="n">
        <v>0</v>
      </c>
      <c r="AC7846" t="n">
        <v>0</v>
      </c>
      <c r="AD7846" t="n">
        <v>0</v>
      </c>
      <c r="AE7846" t="n">
        <v>0</v>
      </c>
      <c r="AF7846" t="n">
        <v>0</v>
      </c>
      <c r="AG7846" t="n">
        <v>0</v>
      </c>
      <c r="AH7846" t="n">
        <v>0</v>
      </c>
      <c r="AI7846" t="n">
        <v>0</v>
      </c>
    </row>
    <row r="7847">
      <c r="A7847" t="inlineStr">
        <is>
          <t>12월</t>
        </is>
      </c>
      <c r="B7847" t="inlineStr">
        <is>
          <t>52주차</t>
        </is>
      </c>
      <c r="C7847" t="e">
        <v>#N/A</v>
      </c>
      <c r="K7847" t="n">
        <v>0</v>
      </c>
      <c r="L7847" t="n">
        <v>0</v>
      </c>
      <c r="M7847" t="n">
        <v>0</v>
      </c>
      <c r="AC7847" t="n">
        <v>0</v>
      </c>
      <c r="AD7847" t="n">
        <v>0</v>
      </c>
      <c r="AE7847" t="n">
        <v>0</v>
      </c>
      <c r="AF7847" t="n">
        <v>0</v>
      </c>
      <c r="AG7847" t="n">
        <v>0</v>
      </c>
      <c r="AH7847" t="n">
        <v>0</v>
      </c>
      <c r="AI7847" t="n">
        <v>0</v>
      </c>
    </row>
    <row r="7848">
      <c r="A7848" t="inlineStr">
        <is>
          <t>12월</t>
        </is>
      </c>
      <c r="B7848" t="inlineStr">
        <is>
          <t>52주차</t>
        </is>
      </c>
      <c r="C7848" t="e">
        <v>#N/A</v>
      </c>
      <c r="K7848" t="n">
        <v>0</v>
      </c>
      <c r="L7848" t="n">
        <v>0</v>
      </c>
      <c r="M7848" t="n">
        <v>0</v>
      </c>
      <c r="AC7848" t="n">
        <v>0</v>
      </c>
      <c r="AD7848" t="n">
        <v>0</v>
      </c>
      <c r="AE7848" t="n">
        <v>0</v>
      </c>
      <c r="AF7848" t="n">
        <v>0</v>
      </c>
      <c r="AG7848" t="n">
        <v>0</v>
      </c>
      <c r="AH7848" t="n">
        <v>0</v>
      </c>
      <c r="AI7848" t="n">
        <v>0</v>
      </c>
    </row>
    <row r="7849">
      <c r="A7849" t="inlineStr">
        <is>
          <t>12월</t>
        </is>
      </c>
      <c r="B7849" t="inlineStr">
        <is>
          <t>52주차</t>
        </is>
      </c>
      <c r="C7849" t="e">
        <v>#N/A</v>
      </c>
      <c r="K7849" t="n">
        <v>0</v>
      </c>
      <c r="L7849" t="n">
        <v>0</v>
      </c>
      <c r="M7849" t="n">
        <v>0</v>
      </c>
      <c r="AC7849" t="n">
        <v>0</v>
      </c>
      <c r="AD7849" t="n">
        <v>0</v>
      </c>
      <c r="AE7849" t="n">
        <v>0</v>
      </c>
      <c r="AF7849" t="n">
        <v>0</v>
      </c>
      <c r="AG7849" t="n">
        <v>0</v>
      </c>
      <c r="AH7849" t="n">
        <v>0</v>
      </c>
    </row>
    <row r="7850">
      <c r="A7850" t="inlineStr">
        <is>
          <t>12월</t>
        </is>
      </c>
      <c r="B7850" t="inlineStr">
        <is>
          <t>52주차</t>
        </is>
      </c>
      <c r="C7850" t="e">
        <v>#N/A</v>
      </c>
      <c r="K7850" t="n">
        <v>0</v>
      </c>
      <c r="L7850" t="n">
        <v>0</v>
      </c>
      <c r="M7850" t="n">
        <v>0</v>
      </c>
      <c r="AC7850" t="n">
        <v>0</v>
      </c>
      <c r="AD7850" t="n">
        <v>0</v>
      </c>
      <c r="AE7850" t="n">
        <v>0</v>
      </c>
      <c r="AF7850" t="n">
        <v>0</v>
      </c>
      <c r="AG7850" t="n">
        <v>0</v>
      </c>
      <c r="AH7850" t="n">
        <v>0</v>
      </c>
    </row>
    <row r="7851">
      <c r="A7851" t="inlineStr">
        <is>
          <t>12월</t>
        </is>
      </c>
      <c r="B7851" t="inlineStr">
        <is>
          <t>52주차</t>
        </is>
      </c>
      <c r="C7851" t="e">
        <v>#N/A</v>
      </c>
      <c r="K7851" t="n">
        <v>0</v>
      </c>
      <c r="L7851" t="n">
        <v>0</v>
      </c>
      <c r="M7851" t="n">
        <v>0</v>
      </c>
      <c r="AC7851" t="n">
        <v>0</v>
      </c>
      <c r="AD7851" t="n">
        <v>0</v>
      </c>
      <c r="AE7851" t="n">
        <v>0</v>
      </c>
      <c r="AF7851" t="n">
        <v>0</v>
      </c>
      <c r="AG7851" t="n">
        <v>0</v>
      </c>
      <c r="AH7851" t="n">
        <v>0</v>
      </c>
    </row>
    <row r="7852">
      <c r="A7852" t="inlineStr">
        <is>
          <t>12월</t>
        </is>
      </c>
      <c r="B7852" t="inlineStr">
        <is>
          <t>52주차</t>
        </is>
      </c>
      <c r="C7852" t="e">
        <v>#N/A</v>
      </c>
      <c r="K7852" t="n">
        <v>0</v>
      </c>
      <c r="L7852" t="n">
        <v>0</v>
      </c>
      <c r="M7852" t="n">
        <v>0</v>
      </c>
      <c r="AC7852" t="n">
        <v>0</v>
      </c>
      <c r="AD7852" t="n">
        <v>0</v>
      </c>
      <c r="AE7852" t="n">
        <v>0</v>
      </c>
      <c r="AF7852" t="n">
        <v>0</v>
      </c>
      <c r="AG7852" t="n">
        <v>0</v>
      </c>
      <c r="AH7852" t="n">
        <v>0</v>
      </c>
    </row>
    <row r="7853">
      <c r="A7853" t="inlineStr">
        <is>
          <t>12월</t>
        </is>
      </c>
      <c r="B7853" t="inlineStr">
        <is>
          <t>52주차</t>
        </is>
      </c>
      <c r="C7853" t="e">
        <v>#N/A</v>
      </c>
      <c r="K7853" t="n">
        <v>0</v>
      </c>
      <c r="L7853" t="n">
        <v>0</v>
      </c>
      <c r="M7853" t="n">
        <v>0</v>
      </c>
      <c r="AC7853" t="n">
        <v>0</v>
      </c>
      <c r="AD7853" t="n">
        <v>0</v>
      </c>
      <c r="AE7853" t="n">
        <v>0</v>
      </c>
      <c r="AF7853" t="n">
        <v>0</v>
      </c>
      <c r="AG7853" t="n">
        <v>0</v>
      </c>
      <c r="AH7853" t="n">
        <v>0</v>
      </c>
      <c r="AI7853" t="n">
        <v>0</v>
      </c>
    </row>
    <row r="7854">
      <c r="A7854" t="inlineStr">
        <is>
          <t>12월</t>
        </is>
      </c>
      <c r="B7854" t="inlineStr">
        <is>
          <t>52주차</t>
        </is>
      </c>
      <c r="C7854" t="e">
        <v>#N/A</v>
      </c>
      <c r="K7854" t="n">
        <v>0</v>
      </c>
      <c r="L7854" t="n">
        <v>0</v>
      </c>
      <c r="M7854" t="n">
        <v>0</v>
      </c>
      <c r="AC7854" t="n">
        <v>0</v>
      </c>
      <c r="AD7854" t="n">
        <v>0</v>
      </c>
      <c r="AE7854" t="n">
        <v>0</v>
      </c>
      <c r="AF7854" t="n">
        <v>0</v>
      </c>
      <c r="AG7854" t="n">
        <v>0</v>
      </c>
      <c r="AH7854" t="n">
        <v>0</v>
      </c>
    </row>
    <row r="7855">
      <c r="A7855" t="inlineStr">
        <is>
          <t>12월</t>
        </is>
      </c>
      <c r="B7855" t="inlineStr">
        <is>
          <t>52주차</t>
        </is>
      </c>
      <c r="C7855" t="e">
        <v>#N/A</v>
      </c>
      <c r="K7855" t="n">
        <v>0</v>
      </c>
      <c r="L7855" t="n">
        <v>0</v>
      </c>
      <c r="M7855" t="n">
        <v>0</v>
      </c>
      <c r="AC7855" t="n">
        <v>0</v>
      </c>
      <c r="AD7855" t="n">
        <v>0</v>
      </c>
      <c r="AE7855" t="n">
        <v>0</v>
      </c>
      <c r="AF7855" t="n">
        <v>0</v>
      </c>
      <c r="AG7855" t="n">
        <v>0</v>
      </c>
      <c r="AH7855" t="n">
        <v>0</v>
      </c>
      <c r="AI7855" t="n">
        <v>0</v>
      </c>
    </row>
    <row r="7856">
      <c r="A7856" t="inlineStr">
        <is>
          <t>12월</t>
        </is>
      </c>
      <c r="B7856" t="inlineStr">
        <is>
          <t>52주차</t>
        </is>
      </c>
      <c r="C7856" t="e">
        <v>#N/A</v>
      </c>
      <c r="K7856" t="n">
        <v>0</v>
      </c>
      <c r="L7856" t="n">
        <v>0</v>
      </c>
      <c r="M7856" t="n">
        <v>0</v>
      </c>
      <c r="AC7856" t="n">
        <v>0</v>
      </c>
      <c r="AD7856" t="n">
        <v>0</v>
      </c>
      <c r="AE7856" t="n">
        <v>0</v>
      </c>
      <c r="AF7856" t="n">
        <v>0</v>
      </c>
      <c r="AG7856" t="n">
        <v>0</v>
      </c>
      <c r="AH7856" t="n">
        <v>0</v>
      </c>
      <c r="AI7856" t="n">
        <v>0</v>
      </c>
    </row>
    <row r="7857">
      <c r="A7857" t="inlineStr">
        <is>
          <t>12월</t>
        </is>
      </c>
      <c r="B7857" t="inlineStr">
        <is>
          <t>52주차</t>
        </is>
      </c>
      <c r="C7857" t="e">
        <v>#N/A</v>
      </c>
      <c r="K7857" t="n">
        <v>0</v>
      </c>
      <c r="L7857" t="n">
        <v>0</v>
      </c>
      <c r="M7857" t="n">
        <v>0</v>
      </c>
      <c r="AC7857" t="n">
        <v>0</v>
      </c>
      <c r="AD7857" t="n">
        <v>0</v>
      </c>
      <c r="AE7857" t="n">
        <v>0</v>
      </c>
      <c r="AF7857" t="n">
        <v>0</v>
      </c>
      <c r="AG7857" t="n">
        <v>0</v>
      </c>
      <c r="AH7857" t="n">
        <v>0</v>
      </c>
      <c r="AI7857" t="n">
        <v>0</v>
      </c>
    </row>
    <row r="7858">
      <c r="A7858" t="inlineStr">
        <is>
          <t>12월</t>
        </is>
      </c>
      <c r="B7858" t="inlineStr">
        <is>
          <t>52주차</t>
        </is>
      </c>
      <c r="C7858" t="e">
        <v>#N/A</v>
      </c>
      <c r="K7858" t="n">
        <v>0</v>
      </c>
      <c r="L7858" t="n">
        <v>0</v>
      </c>
      <c r="M7858" t="n">
        <v>0</v>
      </c>
      <c r="AC7858" t="n">
        <v>0</v>
      </c>
      <c r="AD7858" t="n">
        <v>0</v>
      </c>
      <c r="AE7858" t="n">
        <v>0</v>
      </c>
      <c r="AF7858" t="n">
        <v>0</v>
      </c>
      <c r="AG7858" t="n">
        <v>0</v>
      </c>
      <c r="AH7858" t="n">
        <v>0</v>
      </c>
      <c r="AI7858" t="n">
        <v>0</v>
      </c>
    </row>
    <row r="7859">
      <c r="A7859" t="inlineStr">
        <is>
          <t>12월</t>
        </is>
      </c>
      <c r="B7859" t="inlineStr">
        <is>
          <t>52주차</t>
        </is>
      </c>
      <c r="C7859" t="e">
        <v>#N/A</v>
      </c>
      <c r="K7859" t="n">
        <v>0</v>
      </c>
      <c r="L7859" t="n">
        <v>0</v>
      </c>
      <c r="M7859" t="n">
        <v>0</v>
      </c>
      <c r="AC7859" t="n">
        <v>0</v>
      </c>
      <c r="AD7859" t="n">
        <v>0</v>
      </c>
      <c r="AE7859" t="n">
        <v>0</v>
      </c>
      <c r="AF7859" t="n">
        <v>0</v>
      </c>
      <c r="AG7859" t="n">
        <v>0</v>
      </c>
      <c r="AH7859" t="n">
        <v>0</v>
      </c>
      <c r="AI7859" t="n">
        <v>0</v>
      </c>
    </row>
    <row r="7860">
      <c r="A7860" t="inlineStr">
        <is>
          <t>12월</t>
        </is>
      </c>
      <c r="B7860" t="inlineStr">
        <is>
          <t>52주차</t>
        </is>
      </c>
      <c r="C7860" t="e">
        <v>#N/A</v>
      </c>
      <c r="K7860" t="n">
        <v>0</v>
      </c>
      <c r="L7860" t="n">
        <v>0</v>
      </c>
      <c r="M7860" t="n">
        <v>0</v>
      </c>
      <c r="AC7860" t="n">
        <v>0</v>
      </c>
      <c r="AD7860" t="n">
        <v>0</v>
      </c>
      <c r="AE7860" t="n">
        <v>0</v>
      </c>
      <c r="AF7860" t="n">
        <v>0</v>
      </c>
      <c r="AG7860" t="n">
        <v>0</v>
      </c>
      <c r="AH7860" t="n">
        <v>0</v>
      </c>
      <c r="AI7860" t="n">
        <v>0</v>
      </c>
    </row>
    <row r="7861">
      <c r="A7861" t="inlineStr">
        <is>
          <t>12월</t>
        </is>
      </c>
      <c r="B7861" t="inlineStr">
        <is>
          <t>52주차</t>
        </is>
      </c>
      <c r="C7861" t="e">
        <v>#N/A</v>
      </c>
      <c r="K7861" t="n">
        <v>0</v>
      </c>
      <c r="L7861" t="n">
        <v>0</v>
      </c>
      <c r="M7861" t="n">
        <v>0</v>
      </c>
      <c r="AC7861" t="n">
        <v>0</v>
      </c>
      <c r="AD7861" t="n">
        <v>0</v>
      </c>
      <c r="AE7861" t="n">
        <v>0</v>
      </c>
      <c r="AF7861" t="n">
        <v>0</v>
      </c>
      <c r="AG7861" t="n">
        <v>0</v>
      </c>
      <c r="AH7861" t="n">
        <v>0</v>
      </c>
      <c r="AI7861" t="n">
        <v>0</v>
      </c>
    </row>
    <row r="7862">
      <c r="A7862" t="inlineStr">
        <is>
          <t>12월</t>
        </is>
      </c>
      <c r="B7862" t="inlineStr">
        <is>
          <t>52주차</t>
        </is>
      </c>
      <c r="C7862" t="e">
        <v>#N/A</v>
      </c>
      <c r="K7862" t="n">
        <v>0</v>
      </c>
      <c r="L7862" t="n">
        <v>0</v>
      </c>
      <c r="M7862" t="n">
        <v>0</v>
      </c>
      <c r="AC7862" t="n">
        <v>0</v>
      </c>
      <c r="AD7862" t="n">
        <v>0</v>
      </c>
      <c r="AE7862" t="n">
        <v>0</v>
      </c>
      <c r="AF7862" t="n">
        <v>0</v>
      </c>
      <c r="AG7862" t="n">
        <v>0</v>
      </c>
      <c r="AH7862" t="n">
        <v>0</v>
      </c>
      <c r="AI7862" t="n">
        <v>0</v>
      </c>
    </row>
    <row r="7863">
      <c r="A7863" t="inlineStr">
        <is>
          <t>12월</t>
        </is>
      </c>
      <c r="B7863" t="inlineStr">
        <is>
          <t>52주차</t>
        </is>
      </c>
      <c r="C7863" t="e">
        <v>#N/A</v>
      </c>
      <c r="K7863" t="n">
        <v>0</v>
      </c>
      <c r="L7863" t="n">
        <v>0</v>
      </c>
      <c r="M7863" t="n">
        <v>0</v>
      </c>
      <c r="AC7863" t="n">
        <v>0</v>
      </c>
      <c r="AD7863" t="n">
        <v>0</v>
      </c>
      <c r="AE7863" t="n">
        <v>0</v>
      </c>
      <c r="AF7863" t="n">
        <v>0</v>
      </c>
      <c r="AG7863" t="n">
        <v>0</v>
      </c>
      <c r="AH7863" t="n">
        <v>0</v>
      </c>
      <c r="AI7863" t="n">
        <v>0</v>
      </c>
    </row>
    <row r="7864">
      <c r="A7864" t="inlineStr">
        <is>
          <t>12월</t>
        </is>
      </c>
      <c r="B7864" t="inlineStr">
        <is>
          <t>52주차</t>
        </is>
      </c>
      <c r="C7864" t="e">
        <v>#N/A</v>
      </c>
      <c r="K7864" t="n">
        <v>0</v>
      </c>
      <c r="L7864" t="n">
        <v>0</v>
      </c>
      <c r="M7864" t="n">
        <v>0</v>
      </c>
      <c r="AC7864" t="n">
        <v>0</v>
      </c>
      <c r="AD7864" t="n">
        <v>0</v>
      </c>
      <c r="AE7864" t="n">
        <v>0</v>
      </c>
      <c r="AF7864" t="n">
        <v>0</v>
      </c>
      <c r="AG7864" t="n">
        <v>0</v>
      </c>
      <c r="AH7864" t="n">
        <v>0</v>
      </c>
      <c r="AI7864" t="n">
        <v>0</v>
      </c>
    </row>
    <row r="7865">
      <c r="A7865" t="inlineStr">
        <is>
          <t>12월</t>
        </is>
      </c>
      <c r="B7865" t="inlineStr">
        <is>
          <t>52주차</t>
        </is>
      </c>
      <c r="C7865" t="e">
        <v>#N/A</v>
      </c>
      <c r="K7865" t="n">
        <v>0</v>
      </c>
      <c r="L7865" t="n">
        <v>0</v>
      </c>
      <c r="M7865" t="n">
        <v>0</v>
      </c>
      <c r="AC7865" t="n">
        <v>0</v>
      </c>
      <c r="AD7865" t="n">
        <v>0</v>
      </c>
      <c r="AE7865" t="n">
        <v>0</v>
      </c>
      <c r="AF7865" t="n">
        <v>0</v>
      </c>
      <c r="AG7865" t="n">
        <v>0</v>
      </c>
      <c r="AH7865" t="n">
        <v>0</v>
      </c>
      <c r="AI7865" t="n">
        <v>0</v>
      </c>
    </row>
    <row r="7866">
      <c r="A7866" t="inlineStr">
        <is>
          <t>12월</t>
        </is>
      </c>
      <c r="B7866" t="inlineStr">
        <is>
          <t>52주차</t>
        </is>
      </c>
      <c r="C7866" t="e">
        <v>#N/A</v>
      </c>
      <c r="K7866" t="n">
        <v>0</v>
      </c>
      <c r="L7866" t="n">
        <v>0</v>
      </c>
      <c r="M7866" t="n">
        <v>0</v>
      </c>
      <c r="AC7866" t="n">
        <v>0</v>
      </c>
      <c r="AD7866" t="n">
        <v>0</v>
      </c>
      <c r="AE7866" t="n">
        <v>0</v>
      </c>
      <c r="AF7866" t="n">
        <v>0</v>
      </c>
      <c r="AG7866" t="n">
        <v>0</v>
      </c>
      <c r="AH7866" t="n">
        <v>0</v>
      </c>
      <c r="AI7866" t="n">
        <v>0</v>
      </c>
    </row>
    <row r="7867">
      <c r="A7867" t="inlineStr">
        <is>
          <t>12월</t>
        </is>
      </c>
      <c r="B7867" t="inlineStr">
        <is>
          <t>52주차</t>
        </is>
      </c>
      <c r="C7867" t="e">
        <v>#N/A</v>
      </c>
      <c r="K7867" t="n">
        <v>0</v>
      </c>
      <c r="L7867" t="n">
        <v>0</v>
      </c>
      <c r="M7867" t="n">
        <v>0</v>
      </c>
      <c r="AC7867" t="n">
        <v>0</v>
      </c>
      <c r="AD7867" t="n">
        <v>0</v>
      </c>
      <c r="AE7867" t="n">
        <v>0</v>
      </c>
      <c r="AF7867" t="n">
        <v>0</v>
      </c>
      <c r="AG7867" t="n">
        <v>0</v>
      </c>
      <c r="AH7867" t="n">
        <v>0</v>
      </c>
    </row>
    <row r="7868">
      <c r="A7868" t="inlineStr">
        <is>
          <t>12월</t>
        </is>
      </c>
      <c r="B7868" t="inlineStr">
        <is>
          <t>52주차</t>
        </is>
      </c>
      <c r="C7868" t="e">
        <v>#N/A</v>
      </c>
      <c r="K7868" t="n">
        <v>0</v>
      </c>
      <c r="L7868" t="n">
        <v>0</v>
      </c>
      <c r="M7868" t="n">
        <v>0</v>
      </c>
      <c r="AC7868" t="n">
        <v>0</v>
      </c>
      <c r="AD7868" t="n">
        <v>0</v>
      </c>
      <c r="AE7868" t="n">
        <v>0</v>
      </c>
      <c r="AF7868" t="n">
        <v>0</v>
      </c>
      <c r="AG7868" t="n">
        <v>0</v>
      </c>
      <c r="AH7868" t="n">
        <v>0</v>
      </c>
    </row>
    <row r="7869">
      <c r="A7869" t="inlineStr">
        <is>
          <t>12월</t>
        </is>
      </c>
      <c r="B7869" t="inlineStr">
        <is>
          <t>52주차</t>
        </is>
      </c>
      <c r="C7869" t="e">
        <v>#N/A</v>
      </c>
      <c r="K7869" t="n">
        <v>0</v>
      </c>
      <c r="L7869" t="n">
        <v>0</v>
      </c>
      <c r="M7869" t="n">
        <v>0</v>
      </c>
      <c r="AC7869" t="n">
        <v>0</v>
      </c>
      <c r="AD7869" t="n">
        <v>0</v>
      </c>
      <c r="AE7869" t="n">
        <v>0</v>
      </c>
      <c r="AF7869" t="n">
        <v>0</v>
      </c>
      <c r="AG7869" t="n">
        <v>0</v>
      </c>
      <c r="AH7869" t="n">
        <v>0</v>
      </c>
      <c r="AI7869" t="n">
        <v>0</v>
      </c>
    </row>
    <row r="7870">
      <c r="A7870" t="inlineStr">
        <is>
          <t>12월</t>
        </is>
      </c>
      <c r="B7870" t="inlineStr">
        <is>
          <t>52주차</t>
        </is>
      </c>
      <c r="C7870" t="e">
        <v>#N/A</v>
      </c>
      <c r="K7870" t="n">
        <v>0</v>
      </c>
      <c r="L7870" t="n">
        <v>0</v>
      </c>
      <c r="M7870" t="n">
        <v>0</v>
      </c>
      <c r="AC7870" t="n">
        <v>0</v>
      </c>
      <c r="AD7870" t="n">
        <v>0</v>
      </c>
      <c r="AE7870" t="n">
        <v>0</v>
      </c>
      <c r="AF7870" t="n">
        <v>0</v>
      </c>
      <c r="AG7870" t="n">
        <v>0</v>
      </c>
      <c r="AH7870" t="n">
        <v>0</v>
      </c>
      <c r="AI7870" t="n">
        <v>0</v>
      </c>
    </row>
    <row r="7871">
      <c r="A7871" t="inlineStr">
        <is>
          <t>12월</t>
        </is>
      </c>
      <c r="B7871" t="inlineStr">
        <is>
          <t>52주차</t>
        </is>
      </c>
      <c r="C7871" t="e">
        <v>#N/A</v>
      </c>
      <c r="K7871" t="n">
        <v>0</v>
      </c>
      <c r="L7871" t="n">
        <v>0</v>
      </c>
      <c r="M7871" t="n">
        <v>0</v>
      </c>
      <c r="AC7871" t="n">
        <v>0</v>
      </c>
      <c r="AD7871" t="n">
        <v>0</v>
      </c>
      <c r="AE7871" t="n">
        <v>0</v>
      </c>
      <c r="AF7871" t="n">
        <v>0</v>
      </c>
      <c r="AG7871" t="n">
        <v>0</v>
      </c>
      <c r="AH7871" t="n">
        <v>0</v>
      </c>
      <c r="AI7871" t="n">
        <v>0</v>
      </c>
    </row>
    <row r="7872">
      <c r="A7872" t="inlineStr">
        <is>
          <t>12월</t>
        </is>
      </c>
      <c r="B7872" t="inlineStr">
        <is>
          <t>52주차</t>
        </is>
      </c>
      <c r="C7872" t="e">
        <v>#N/A</v>
      </c>
      <c r="K7872" t="n">
        <v>0</v>
      </c>
      <c r="L7872" t="n">
        <v>0</v>
      </c>
      <c r="M7872" t="n">
        <v>0</v>
      </c>
      <c r="AC7872" t="n">
        <v>0</v>
      </c>
      <c r="AD7872" t="n">
        <v>0</v>
      </c>
      <c r="AE7872" t="n">
        <v>0</v>
      </c>
      <c r="AF7872" t="n">
        <v>0</v>
      </c>
      <c r="AG7872" t="n">
        <v>0</v>
      </c>
      <c r="AH7872" t="n">
        <v>0</v>
      </c>
      <c r="AI7872" t="n">
        <v>0</v>
      </c>
    </row>
    <row r="7873">
      <c r="A7873" t="inlineStr">
        <is>
          <t>12월</t>
        </is>
      </c>
      <c r="B7873" t="inlineStr">
        <is>
          <t>52주차</t>
        </is>
      </c>
      <c r="C7873" t="e">
        <v>#N/A</v>
      </c>
      <c r="K7873" t="n">
        <v>0</v>
      </c>
      <c r="L7873" t="n">
        <v>0</v>
      </c>
      <c r="M7873" t="n">
        <v>0</v>
      </c>
      <c r="AC7873" t="n">
        <v>0</v>
      </c>
      <c r="AD7873" t="n">
        <v>0</v>
      </c>
      <c r="AE7873" t="n">
        <v>0</v>
      </c>
      <c r="AF7873" t="n">
        <v>0</v>
      </c>
      <c r="AG7873" t="n">
        <v>0</v>
      </c>
      <c r="AH7873" t="n">
        <v>0</v>
      </c>
      <c r="AI7873" t="n">
        <v>0</v>
      </c>
    </row>
    <row r="7874">
      <c r="A7874" t="inlineStr">
        <is>
          <t>12월</t>
        </is>
      </c>
      <c r="B7874" t="inlineStr">
        <is>
          <t>52주차</t>
        </is>
      </c>
      <c r="C7874" t="e">
        <v>#N/A</v>
      </c>
      <c r="K7874" t="n">
        <v>0</v>
      </c>
      <c r="L7874" t="n">
        <v>0</v>
      </c>
      <c r="M7874" t="n">
        <v>0</v>
      </c>
      <c r="AC7874" t="n">
        <v>0</v>
      </c>
      <c r="AD7874" t="n">
        <v>0</v>
      </c>
      <c r="AE7874" t="n">
        <v>0</v>
      </c>
      <c r="AF7874" t="n">
        <v>0</v>
      </c>
      <c r="AG7874" t="n">
        <v>0</v>
      </c>
      <c r="AH7874" t="n">
        <v>0</v>
      </c>
    </row>
    <row r="7875">
      <c r="A7875" t="inlineStr">
        <is>
          <t>12월</t>
        </is>
      </c>
      <c r="B7875" t="inlineStr">
        <is>
          <t>52주차</t>
        </is>
      </c>
      <c r="C7875" t="e">
        <v>#N/A</v>
      </c>
      <c r="K7875" t="n">
        <v>0</v>
      </c>
      <c r="L7875" t="n">
        <v>0</v>
      </c>
      <c r="M7875" t="n">
        <v>0</v>
      </c>
      <c r="AC7875" t="n">
        <v>0</v>
      </c>
      <c r="AD7875" t="n">
        <v>0</v>
      </c>
      <c r="AE7875" t="n">
        <v>0</v>
      </c>
      <c r="AF7875" t="n">
        <v>0</v>
      </c>
      <c r="AG7875" t="n">
        <v>0</v>
      </c>
      <c r="AH7875" t="n">
        <v>0</v>
      </c>
      <c r="AI7875" t="n">
        <v>0</v>
      </c>
    </row>
    <row r="7876">
      <c r="A7876" t="inlineStr">
        <is>
          <t>12월</t>
        </is>
      </c>
      <c r="B7876" t="inlineStr">
        <is>
          <t>52주차</t>
        </is>
      </c>
      <c r="C7876" t="e">
        <v>#N/A</v>
      </c>
      <c r="K7876" t="n">
        <v>0</v>
      </c>
      <c r="L7876" t="n">
        <v>0</v>
      </c>
      <c r="M7876" t="n">
        <v>0</v>
      </c>
      <c r="AC7876" t="n">
        <v>0</v>
      </c>
      <c r="AD7876" t="n">
        <v>0</v>
      </c>
      <c r="AE7876" t="n">
        <v>0</v>
      </c>
      <c r="AF7876" t="n">
        <v>0</v>
      </c>
      <c r="AG7876" t="n">
        <v>0</v>
      </c>
      <c r="AH7876" t="n">
        <v>0</v>
      </c>
    </row>
    <row r="7877">
      <c r="A7877" t="inlineStr">
        <is>
          <t>12월</t>
        </is>
      </c>
      <c r="B7877" t="inlineStr">
        <is>
          <t>52주차</t>
        </is>
      </c>
      <c r="C7877" t="e">
        <v>#N/A</v>
      </c>
      <c r="K7877" t="n">
        <v>0</v>
      </c>
      <c r="L7877" t="n">
        <v>0</v>
      </c>
      <c r="M7877" t="n">
        <v>0</v>
      </c>
      <c r="AC7877" t="n">
        <v>0</v>
      </c>
      <c r="AD7877" t="n">
        <v>0</v>
      </c>
      <c r="AE7877" t="n">
        <v>0</v>
      </c>
      <c r="AF7877" t="n">
        <v>0</v>
      </c>
      <c r="AG7877" t="n">
        <v>0</v>
      </c>
      <c r="AH7877" t="n">
        <v>0</v>
      </c>
      <c r="AI7877" t="n">
        <v>0</v>
      </c>
    </row>
    <row r="7878">
      <c r="A7878" t="inlineStr">
        <is>
          <t>12월</t>
        </is>
      </c>
      <c r="B7878" t="inlineStr">
        <is>
          <t>52주차</t>
        </is>
      </c>
      <c r="C7878" t="e">
        <v>#N/A</v>
      </c>
      <c r="K7878" t="n">
        <v>0</v>
      </c>
      <c r="L7878" t="n">
        <v>0</v>
      </c>
      <c r="M7878" t="n">
        <v>0</v>
      </c>
      <c r="AC7878" t="n">
        <v>0</v>
      </c>
      <c r="AD7878" t="n">
        <v>0</v>
      </c>
      <c r="AE7878" t="n">
        <v>0</v>
      </c>
      <c r="AF7878" t="n">
        <v>0</v>
      </c>
      <c r="AG7878" t="n">
        <v>0</v>
      </c>
      <c r="AH7878" t="n">
        <v>0</v>
      </c>
    </row>
    <row r="7879">
      <c r="A7879" t="inlineStr">
        <is>
          <t>12월</t>
        </is>
      </c>
      <c r="B7879" t="inlineStr">
        <is>
          <t>52주차</t>
        </is>
      </c>
      <c r="C7879" t="e">
        <v>#N/A</v>
      </c>
      <c r="K7879" t="n">
        <v>0</v>
      </c>
      <c r="L7879" t="n">
        <v>0</v>
      </c>
      <c r="M7879" t="n">
        <v>0</v>
      </c>
      <c r="AC7879" t="n">
        <v>0</v>
      </c>
      <c r="AD7879" t="n">
        <v>0</v>
      </c>
      <c r="AE7879" t="n">
        <v>0</v>
      </c>
      <c r="AF7879" t="n">
        <v>0</v>
      </c>
      <c r="AG7879" t="n">
        <v>0</v>
      </c>
      <c r="AH7879" t="n">
        <v>0</v>
      </c>
    </row>
    <row r="7880">
      <c r="A7880" t="inlineStr">
        <is>
          <t>12월</t>
        </is>
      </c>
      <c r="B7880" t="inlineStr">
        <is>
          <t>52주차</t>
        </is>
      </c>
      <c r="C7880" t="e">
        <v>#N/A</v>
      </c>
      <c r="K7880" t="n">
        <v>0</v>
      </c>
      <c r="L7880" t="n">
        <v>0</v>
      </c>
      <c r="M7880" t="n">
        <v>0</v>
      </c>
      <c r="AC7880" t="n">
        <v>0</v>
      </c>
      <c r="AD7880" t="n">
        <v>0</v>
      </c>
      <c r="AE7880" t="n">
        <v>0</v>
      </c>
      <c r="AF7880" t="n">
        <v>0</v>
      </c>
      <c r="AG7880" t="n">
        <v>0</v>
      </c>
      <c r="AH7880" t="n">
        <v>0</v>
      </c>
      <c r="AI7880" t="n">
        <v>0</v>
      </c>
    </row>
    <row r="7881">
      <c r="A7881" t="inlineStr">
        <is>
          <t>12월</t>
        </is>
      </c>
      <c r="B7881" t="inlineStr">
        <is>
          <t>52주차</t>
        </is>
      </c>
      <c r="C7881" t="e">
        <v>#N/A</v>
      </c>
      <c r="K7881" t="n">
        <v>0</v>
      </c>
      <c r="L7881" t="n">
        <v>0</v>
      </c>
      <c r="M7881" t="n">
        <v>0</v>
      </c>
      <c r="AC7881" t="n">
        <v>0</v>
      </c>
      <c r="AD7881" t="n">
        <v>0</v>
      </c>
      <c r="AE7881" t="n">
        <v>0</v>
      </c>
      <c r="AF7881" t="n">
        <v>0</v>
      </c>
      <c r="AG7881" t="n">
        <v>0</v>
      </c>
      <c r="AH7881" t="n">
        <v>0</v>
      </c>
    </row>
    <row r="7882">
      <c r="A7882" t="inlineStr">
        <is>
          <t>12월</t>
        </is>
      </c>
      <c r="B7882" t="inlineStr">
        <is>
          <t>52주차</t>
        </is>
      </c>
      <c r="C7882" t="e">
        <v>#N/A</v>
      </c>
      <c r="K7882" t="n">
        <v>0</v>
      </c>
      <c r="L7882" t="n">
        <v>0</v>
      </c>
      <c r="M7882" t="n">
        <v>0</v>
      </c>
      <c r="AC7882" t="n">
        <v>0</v>
      </c>
      <c r="AD7882" t="n">
        <v>0</v>
      </c>
      <c r="AE7882" t="n">
        <v>0</v>
      </c>
      <c r="AF7882" t="n">
        <v>0</v>
      </c>
      <c r="AG7882" t="n">
        <v>0</v>
      </c>
      <c r="AH7882" t="n">
        <v>0</v>
      </c>
    </row>
    <row r="7883">
      <c r="A7883" t="inlineStr">
        <is>
          <t>12월</t>
        </is>
      </c>
      <c r="B7883" t="inlineStr">
        <is>
          <t>52주차</t>
        </is>
      </c>
      <c r="C7883" t="e">
        <v>#N/A</v>
      </c>
      <c r="K7883" t="n">
        <v>0</v>
      </c>
      <c r="L7883" t="n">
        <v>0</v>
      </c>
      <c r="M7883" t="n">
        <v>0</v>
      </c>
      <c r="AC7883" t="n">
        <v>0</v>
      </c>
      <c r="AD7883" t="n">
        <v>0</v>
      </c>
      <c r="AE7883" t="n">
        <v>0</v>
      </c>
      <c r="AF7883" t="n">
        <v>0</v>
      </c>
      <c r="AG7883" t="n">
        <v>0</v>
      </c>
      <c r="AH7883" t="n">
        <v>0</v>
      </c>
    </row>
    <row r="7884">
      <c r="A7884" t="inlineStr">
        <is>
          <t>12월</t>
        </is>
      </c>
      <c r="B7884" t="inlineStr">
        <is>
          <t>52주차</t>
        </is>
      </c>
      <c r="C7884" t="e">
        <v>#N/A</v>
      </c>
      <c r="K7884" t="n">
        <v>0</v>
      </c>
      <c r="L7884" t="n">
        <v>0</v>
      </c>
      <c r="M7884" t="n">
        <v>0</v>
      </c>
      <c r="AC7884" t="n">
        <v>0</v>
      </c>
      <c r="AD7884" t="n">
        <v>0</v>
      </c>
      <c r="AE7884" t="n">
        <v>0</v>
      </c>
      <c r="AF7884" t="n">
        <v>0</v>
      </c>
      <c r="AG7884" t="n">
        <v>0</v>
      </c>
      <c r="AH7884" t="n">
        <v>0</v>
      </c>
      <c r="AI7884" t="n">
        <v>0</v>
      </c>
    </row>
    <row r="7885">
      <c r="A7885" t="inlineStr">
        <is>
          <t>12월</t>
        </is>
      </c>
      <c r="B7885" t="inlineStr">
        <is>
          <t>52주차</t>
        </is>
      </c>
      <c r="C7885" t="e">
        <v>#N/A</v>
      </c>
      <c r="K7885" t="n">
        <v>0</v>
      </c>
      <c r="L7885" t="n">
        <v>0</v>
      </c>
      <c r="M7885" t="n">
        <v>0</v>
      </c>
      <c r="AC7885" t="n">
        <v>0</v>
      </c>
      <c r="AD7885" t="n">
        <v>0</v>
      </c>
      <c r="AE7885" t="n">
        <v>0</v>
      </c>
      <c r="AF7885" t="n">
        <v>0</v>
      </c>
      <c r="AG7885" t="n">
        <v>0</v>
      </c>
      <c r="AH7885" t="n">
        <v>0</v>
      </c>
      <c r="AI7885" t="n">
        <v>0</v>
      </c>
    </row>
    <row r="7886">
      <c r="A7886" t="inlineStr">
        <is>
          <t>12월</t>
        </is>
      </c>
      <c r="B7886" t="inlineStr">
        <is>
          <t>52주차</t>
        </is>
      </c>
      <c r="C7886" t="e">
        <v>#N/A</v>
      </c>
      <c r="K7886" t="n">
        <v>0</v>
      </c>
      <c r="L7886" t="n">
        <v>0</v>
      </c>
      <c r="M7886" t="n">
        <v>0</v>
      </c>
      <c r="AC7886" t="n">
        <v>0</v>
      </c>
      <c r="AD7886" t="n">
        <v>0</v>
      </c>
      <c r="AE7886" t="n">
        <v>0</v>
      </c>
      <c r="AF7886" t="n">
        <v>0</v>
      </c>
      <c r="AG7886" t="n">
        <v>0</v>
      </c>
      <c r="AH7886" t="n">
        <v>0</v>
      </c>
    </row>
    <row r="7887">
      <c r="A7887" t="inlineStr">
        <is>
          <t>12월</t>
        </is>
      </c>
      <c r="B7887" t="inlineStr">
        <is>
          <t>52주차</t>
        </is>
      </c>
      <c r="C7887" t="e">
        <v>#N/A</v>
      </c>
      <c r="K7887" t="n">
        <v>0</v>
      </c>
      <c r="L7887" t="n">
        <v>0</v>
      </c>
      <c r="M7887" t="n">
        <v>0</v>
      </c>
      <c r="AC7887" t="n">
        <v>0</v>
      </c>
      <c r="AD7887" t="n">
        <v>0</v>
      </c>
      <c r="AE7887" t="n">
        <v>0</v>
      </c>
      <c r="AF7887" t="n">
        <v>0</v>
      </c>
      <c r="AG7887" t="n">
        <v>0</v>
      </c>
      <c r="AH7887" t="n">
        <v>0</v>
      </c>
    </row>
    <row r="7888">
      <c r="A7888" t="inlineStr">
        <is>
          <t>12월</t>
        </is>
      </c>
      <c r="B7888" t="inlineStr">
        <is>
          <t>52주차</t>
        </is>
      </c>
      <c r="C7888" t="e">
        <v>#N/A</v>
      </c>
      <c r="K7888" t="n">
        <v>0</v>
      </c>
      <c r="L7888" t="n">
        <v>0</v>
      </c>
      <c r="M7888" t="n">
        <v>0</v>
      </c>
      <c r="AC7888" t="n">
        <v>0</v>
      </c>
      <c r="AD7888" t="n">
        <v>0</v>
      </c>
      <c r="AE7888" t="n">
        <v>0</v>
      </c>
      <c r="AF7888" t="n">
        <v>0</v>
      </c>
      <c r="AG7888" t="n">
        <v>0</v>
      </c>
      <c r="AH7888" t="n">
        <v>0</v>
      </c>
      <c r="AI7888" t="n">
        <v>0</v>
      </c>
    </row>
    <row r="7889">
      <c r="A7889" t="inlineStr">
        <is>
          <t>12월</t>
        </is>
      </c>
      <c r="B7889" t="inlineStr">
        <is>
          <t>52주차</t>
        </is>
      </c>
      <c r="C7889" t="e">
        <v>#N/A</v>
      </c>
      <c r="K7889" t="n">
        <v>0</v>
      </c>
      <c r="L7889" t="n">
        <v>0</v>
      </c>
      <c r="M7889" t="n">
        <v>0</v>
      </c>
      <c r="AC7889" t="n">
        <v>0</v>
      </c>
      <c r="AD7889" t="n">
        <v>0</v>
      </c>
      <c r="AE7889" t="n">
        <v>0</v>
      </c>
      <c r="AF7889" t="n">
        <v>0</v>
      </c>
      <c r="AG7889" t="n">
        <v>0</v>
      </c>
      <c r="AH7889" t="n">
        <v>0</v>
      </c>
      <c r="AI7889" t="n">
        <v>0</v>
      </c>
    </row>
    <row r="7890">
      <c r="A7890" t="inlineStr">
        <is>
          <t>12월</t>
        </is>
      </c>
      <c r="B7890" t="inlineStr">
        <is>
          <t>52주차</t>
        </is>
      </c>
      <c r="C7890" t="e">
        <v>#N/A</v>
      </c>
      <c r="K7890" t="n">
        <v>0</v>
      </c>
      <c r="L7890" t="n">
        <v>0</v>
      </c>
      <c r="M7890" t="n">
        <v>0</v>
      </c>
      <c r="AC7890" t="n">
        <v>0</v>
      </c>
      <c r="AD7890" t="n">
        <v>0</v>
      </c>
      <c r="AE7890" t="n">
        <v>0</v>
      </c>
      <c r="AF7890" t="n">
        <v>0</v>
      </c>
      <c r="AG7890" t="n">
        <v>0</v>
      </c>
      <c r="AH7890" t="n">
        <v>0</v>
      </c>
    </row>
    <row r="7891">
      <c r="A7891" t="inlineStr">
        <is>
          <t>12월</t>
        </is>
      </c>
      <c r="B7891" t="inlineStr">
        <is>
          <t>52주차</t>
        </is>
      </c>
      <c r="C7891" t="e">
        <v>#N/A</v>
      </c>
      <c r="K7891" t="n">
        <v>0</v>
      </c>
      <c r="L7891" t="n">
        <v>0</v>
      </c>
      <c r="M7891" t="n">
        <v>0</v>
      </c>
      <c r="AC7891" t="n">
        <v>0</v>
      </c>
      <c r="AD7891" t="n">
        <v>0</v>
      </c>
      <c r="AE7891" t="n">
        <v>0</v>
      </c>
      <c r="AF7891" t="n">
        <v>0</v>
      </c>
      <c r="AG7891" t="n">
        <v>0</v>
      </c>
      <c r="AH7891" t="n">
        <v>0</v>
      </c>
      <c r="AI7891" t="n">
        <v>0</v>
      </c>
    </row>
    <row r="7892">
      <c r="A7892" t="inlineStr">
        <is>
          <t>12월</t>
        </is>
      </c>
      <c r="B7892" t="inlineStr">
        <is>
          <t>52주차</t>
        </is>
      </c>
      <c r="C7892" t="e">
        <v>#N/A</v>
      </c>
      <c r="K7892" t="n">
        <v>0</v>
      </c>
      <c r="L7892" t="n">
        <v>0</v>
      </c>
      <c r="M7892" t="n">
        <v>0</v>
      </c>
      <c r="AC7892" t="n">
        <v>0</v>
      </c>
      <c r="AD7892" t="n">
        <v>0</v>
      </c>
      <c r="AE7892" t="n">
        <v>0</v>
      </c>
      <c r="AF7892" t="n">
        <v>0</v>
      </c>
      <c r="AG7892" t="n">
        <v>0</v>
      </c>
      <c r="AH7892" t="n">
        <v>0</v>
      </c>
      <c r="AI7892" t="n">
        <v>0</v>
      </c>
    </row>
    <row r="7893">
      <c r="A7893" t="inlineStr">
        <is>
          <t>12월</t>
        </is>
      </c>
      <c r="B7893" t="inlineStr">
        <is>
          <t>52주차</t>
        </is>
      </c>
      <c r="C7893" t="e">
        <v>#N/A</v>
      </c>
      <c r="K7893" t="n">
        <v>0</v>
      </c>
      <c r="L7893" t="n">
        <v>0</v>
      </c>
      <c r="M7893" t="n">
        <v>0</v>
      </c>
      <c r="AC7893" t="n">
        <v>0</v>
      </c>
      <c r="AD7893" t="n">
        <v>0</v>
      </c>
      <c r="AE7893" t="n">
        <v>0</v>
      </c>
      <c r="AF7893" t="n">
        <v>0</v>
      </c>
      <c r="AG7893" t="n">
        <v>0</v>
      </c>
      <c r="AH7893" t="n">
        <v>0</v>
      </c>
      <c r="AI7893" t="n">
        <v>0</v>
      </c>
    </row>
    <row r="7894">
      <c r="A7894" t="inlineStr">
        <is>
          <t>12월</t>
        </is>
      </c>
      <c r="B7894" t="inlineStr">
        <is>
          <t>52주차</t>
        </is>
      </c>
      <c r="C7894" t="e">
        <v>#N/A</v>
      </c>
      <c r="K7894" t="n">
        <v>0</v>
      </c>
      <c r="L7894" t="n">
        <v>0</v>
      </c>
      <c r="M7894" t="n">
        <v>0</v>
      </c>
      <c r="AC7894" t="n">
        <v>0</v>
      </c>
      <c r="AD7894" t="n">
        <v>0</v>
      </c>
      <c r="AE7894" t="n">
        <v>0</v>
      </c>
      <c r="AF7894" t="n">
        <v>0</v>
      </c>
      <c r="AG7894" t="n">
        <v>0</v>
      </c>
      <c r="AH7894" t="n">
        <v>0</v>
      </c>
      <c r="AI7894" t="n">
        <v>0</v>
      </c>
    </row>
    <row r="7895">
      <c r="A7895" t="inlineStr">
        <is>
          <t>12월</t>
        </is>
      </c>
      <c r="B7895" t="inlineStr">
        <is>
          <t>52주차</t>
        </is>
      </c>
      <c r="C7895" t="e">
        <v>#N/A</v>
      </c>
      <c r="K7895" t="n">
        <v>0</v>
      </c>
      <c r="L7895" t="n">
        <v>0</v>
      </c>
      <c r="M7895" t="n">
        <v>0</v>
      </c>
      <c r="AC7895" t="n">
        <v>0</v>
      </c>
      <c r="AD7895" t="n">
        <v>0</v>
      </c>
      <c r="AE7895" t="n">
        <v>0</v>
      </c>
      <c r="AF7895" t="n">
        <v>0</v>
      </c>
      <c r="AG7895" t="n">
        <v>0</v>
      </c>
      <c r="AH7895" t="n">
        <v>0</v>
      </c>
      <c r="AI7895" t="n">
        <v>0</v>
      </c>
    </row>
    <row r="7896">
      <c r="A7896" t="inlineStr">
        <is>
          <t>12월</t>
        </is>
      </c>
      <c r="B7896" t="inlineStr">
        <is>
          <t>52주차</t>
        </is>
      </c>
      <c r="C7896" t="e">
        <v>#N/A</v>
      </c>
      <c r="K7896" t="n">
        <v>0</v>
      </c>
      <c r="L7896" t="n">
        <v>0</v>
      </c>
      <c r="M7896" t="n">
        <v>0</v>
      </c>
      <c r="AC7896" t="n">
        <v>0</v>
      </c>
      <c r="AD7896" t="n">
        <v>0</v>
      </c>
      <c r="AE7896" t="n">
        <v>0</v>
      </c>
      <c r="AF7896" t="n">
        <v>0</v>
      </c>
      <c r="AG7896" t="n">
        <v>0</v>
      </c>
      <c r="AH7896" t="n">
        <v>0</v>
      </c>
      <c r="AI7896" t="n">
        <v>0</v>
      </c>
    </row>
    <row r="7897">
      <c r="A7897" t="inlineStr">
        <is>
          <t>12월</t>
        </is>
      </c>
      <c r="B7897" t="inlineStr">
        <is>
          <t>52주차</t>
        </is>
      </c>
      <c r="C7897" t="e">
        <v>#N/A</v>
      </c>
      <c r="K7897" t="n">
        <v>0</v>
      </c>
      <c r="L7897" t="n">
        <v>0</v>
      </c>
      <c r="M7897" t="n">
        <v>0</v>
      </c>
      <c r="AC7897" t="n">
        <v>0</v>
      </c>
      <c r="AD7897" t="n">
        <v>0</v>
      </c>
      <c r="AE7897" t="n">
        <v>0</v>
      </c>
      <c r="AF7897" t="n">
        <v>0</v>
      </c>
      <c r="AG7897" t="n">
        <v>0</v>
      </c>
      <c r="AH7897" t="n">
        <v>0</v>
      </c>
      <c r="AI7897" t="n">
        <v>0</v>
      </c>
    </row>
    <row r="7898">
      <c r="A7898" t="inlineStr">
        <is>
          <t>12월</t>
        </is>
      </c>
      <c r="B7898" t="inlineStr">
        <is>
          <t>52주차</t>
        </is>
      </c>
      <c r="C7898" t="e">
        <v>#N/A</v>
      </c>
      <c r="K7898" t="n">
        <v>0</v>
      </c>
      <c r="L7898" t="n">
        <v>0</v>
      </c>
      <c r="M7898" t="n">
        <v>0</v>
      </c>
      <c r="AC7898" t="n">
        <v>0</v>
      </c>
      <c r="AD7898" t="n">
        <v>0</v>
      </c>
      <c r="AE7898" t="n">
        <v>0</v>
      </c>
      <c r="AF7898" t="n">
        <v>0</v>
      </c>
      <c r="AG7898" t="n">
        <v>0</v>
      </c>
      <c r="AH7898" t="n">
        <v>0</v>
      </c>
      <c r="AI7898" t="n">
        <v>0</v>
      </c>
    </row>
    <row r="7899">
      <c r="A7899" t="inlineStr">
        <is>
          <t>12월</t>
        </is>
      </c>
      <c r="B7899" t="inlineStr">
        <is>
          <t>52주차</t>
        </is>
      </c>
      <c r="C7899" t="e">
        <v>#N/A</v>
      </c>
      <c r="K7899" t="n">
        <v>0</v>
      </c>
      <c r="L7899" t="n">
        <v>0</v>
      </c>
      <c r="M7899" t="n">
        <v>0</v>
      </c>
      <c r="AC7899" t="n">
        <v>0</v>
      </c>
      <c r="AD7899" t="n">
        <v>0</v>
      </c>
      <c r="AE7899" t="n">
        <v>0</v>
      </c>
      <c r="AF7899" t="n">
        <v>0</v>
      </c>
      <c r="AG7899" t="n">
        <v>0</v>
      </c>
      <c r="AH7899" t="n">
        <v>0</v>
      </c>
      <c r="AI7899" t="n">
        <v>0</v>
      </c>
    </row>
    <row r="7900">
      <c r="A7900" t="inlineStr">
        <is>
          <t>12월</t>
        </is>
      </c>
      <c r="B7900" t="inlineStr">
        <is>
          <t>52주차</t>
        </is>
      </c>
      <c r="C7900" t="e">
        <v>#N/A</v>
      </c>
      <c r="K7900" t="n">
        <v>0</v>
      </c>
      <c r="L7900" t="n">
        <v>0</v>
      </c>
      <c r="M7900" t="n">
        <v>0</v>
      </c>
      <c r="AC7900" t="n">
        <v>0</v>
      </c>
      <c r="AD7900" t="n">
        <v>0</v>
      </c>
      <c r="AE7900" t="n">
        <v>0</v>
      </c>
      <c r="AF7900" t="n">
        <v>0</v>
      </c>
      <c r="AG7900" t="n">
        <v>0</v>
      </c>
      <c r="AH7900" t="n">
        <v>0</v>
      </c>
      <c r="AI7900" t="n">
        <v>0</v>
      </c>
    </row>
    <row r="7901">
      <c r="A7901" t="inlineStr">
        <is>
          <t>12월</t>
        </is>
      </c>
      <c r="B7901" t="inlineStr">
        <is>
          <t>52주차</t>
        </is>
      </c>
      <c r="C7901" t="e">
        <v>#N/A</v>
      </c>
      <c r="K7901" t="n">
        <v>0</v>
      </c>
      <c r="L7901" t="n">
        <v>0</v>
      </c>
      <c r="M7901" t="n">
        <v>0</v>
      </c>
      <c r="AC7901" t="n">
        <v>0</v>
      </c>
      <c r="AD7901" t="n">
        <v>0</v>
      </c>
      <c r="AE7901" t="n">
        <v>0</v>
      </c>
      <c r="AF7901" t="n">
        <v>0</v>
      </c>
      <c r="AG7901" t="n">
        <v>0</v>
      </c>
      <c r="AH7901" t="n">
        <v>0</v>
      </c>
      <c r="AI7901" t="n">
        <v>0</v>
      </c>
    </row>
    <row r="7902">
      <c r="A7902" t="inlineStr">
        <is>
          <t>12월</t>
        </is>
      </c>
      <c r="B7902" t="inlineStr">
        <is>
          <t>52주차</t>
        </is>
      </c>
      <c r="C7902" t="e">
        <v>#N/A</v>
      </c>
      <c r="K7902" t="n">
        <v>0</v>
      </c>
      <c r="L7902" t="n">
        <v>0</v>
      </c>
      <c r="M7902" t="n">
        <v>0</v>
      </c>
      <c r="AC7902" t="n">
        <v>0</v>
      </c>
      <c r="AD7902" t="n">
        <v>0</v>
      </c>
      <c r="AE7902" t="n">
        <v>0</v>
      </c>
      <c r="AF7902" t="n">
        <v>0</v>
      </c>
      <c r="AG7902" t="n">
        <v>0</v>
      </c>
      <c r="AH7902" t="n">
        <v>0</v>
      </c>
      <c r="AI7902" t="n">
        <v>0</v>
      </c>
    </row>
    <row r="7903">
      <c r="A7903" t="inlineStr">
        <is>
          <t>12월</t>
        </is>
      </c>
      <c r="B7903" t="inlineStr">
        <is>
          <t>52주차</t>
        </is>
      </c>
      <c r="C7903" t="e">
        <v>#N/A</v>
      </c>
      <c r="K7903" t="n">
        <v>0</v>
      </c>
      <c r="L7903" t="n">
        <v>0</v>
      </c>
      <c r="M7903" t="n">
        <v>0</v>
      </c>
      <c r="AC7903" t="n">
        <v>0</v>
      </c>
      <c r="AD7903" t="n">
        <v>0</v>
      </c>
      <c r="AE7903" t="n">
        <v>0</v>
      </c>
      <c r="AF7903" t="n">
        <v>0</v>
      </c>
      <c r="AG7903" t="n">
        <v>0</v>
      </c>
      <c r="AH7903" t="n">
        <v>0</v>
      </c>
      <c r="AI7903" t="n">
        <v>0</v>
      </c>
    </row>
    <row r="7904">
      <c r="A7904" t="inlineStr">
        <is>
          <t>12월</t>
        </is>
      </c>
      <c r="B7904" t="inlineStr">
        <is>
          <t>52주차</t>
        </is>
      </c>
      <c r="C7904" t="e">
        <v>#N/A</v>
      </c>
      <c r="K7904" t="n">
        <v>0</v>
      </c>
      <c r="L7904" t="n">
        <v>0</v>
      </c>
      <c r="M7904" t="n">
        <v>0</v>
      </c>
      <c r="AC7904" t="n">
        <v>0</v>
      </c>
      <c r="AD7904" t="n">
        <v>0</v>
      </c>
      <c r="AE7904" t="n">
        <v>0</v>
      </c>
      <c r="AF7904" t="n">
        <v>0</v>
      </c>
      <c r="AG7904" t="n">
        <v>0</v>
      </c>
      <c r="AH7904" t="n">
        <v>0</v>
      </c>
      <c r="AI7904" t="n">
        <v>0</v>
      </c>
    </row>
    <row r="7905">
      <c r="A7905" t="inlineStr">
        <is>
          <t>12월</t>
        </is>
      </c>
      <c r="B7905" t="inlineStr">
        <is>
          <t>52주차</t>
        </is>
      </c>
      <c r="C7905" t="e">
        <v>#N/A</v>
      </c>
      <c r="K7905" t="n">
        <v>0</v>
      </c>
      <c r="L7905" t="n">
        <v>0</v>
      </c>
      <c r="M7905" t="n">
        <v>0</v>
      </c>
      <c r="AC7905" t="n">
        <v>0</v>
      </c>
      <c r="AD7905" t="n">
        <v>0</v>
      </c>
      <c r="AE7905" t="n">
        <v>0</v>
      </c>
      <c r="AF7905" t="n">
        <v>0</v>
      </c>
      <c r="AG7905" t="n">
        <v>0</v>
      </c>
      <c r="AH7905" t="n">
        <v>0</v>
      </c>
      <c r="AI7905" t="n">
        <v>0</v>
      </c>
    </row>
    <row r="7906">
      <c r="A7906" t="inlineStr">
        <is>
          <t>12월</t>
        </is>
      </c>
      <c r="B7906" t="inlineStr">
        <is>
          <t>52주차</t>
        </is>
      </c>
      <c r="C7906" t="e">
        <v>#N/A</v>
      </c>
      <c r="K7906" t="n">
        <v>0</v>
      </c>
      <c r="L7906" t="n">
        <v>0</v>
      </c>
      <c r="M7906" t="n">
        <v>0</v>
      </c>
      <c r="AC7906" t="n">
        <v>0</v>
      </c>
      <c r="AD7906" t="n">
        <v>0</v>
      </c>
      <c r="AE7906" t="n">
        <v>0</v>
      </c>
      <c r="AF7906" t="n">
        <v>0</v>
      </c>
      <c r="AG7906" t="n">
        <v>0</v>
      </c>
      <c r="AH7906" t="n">
        <v>0</v>
      </c>
      <c r="AI7906" t="n">
        <v>0</v>
      </c>
    </row>
    <row r="7907">
      <c r="A7907" t="inlineStr">
        <is>
          <t>12월</t>
        </is>
      </c>
      <c r="B7907" t="inlineStr">
        <is>
          <t>52주차</t>
        </is>
      </c>
      <c r="C7907" t="e">
        <v>#N/A</v>
      </c>
      <c r="K7907" t="n">
        <v>0</v>
      </c>
      <c r="L7907" t="n">
        <v>0</v>
      </c>
      <c r="M7907" t="n">
        <v>0</v>
      </c>
      <c r="AC7907" t="n">
        <v>0</v>
      </c>
      <c r="AD7907" t="n">
        <v>0</v>
      </c>
      <c r="AE7907" t="n">
        <v>0</v>
      </c>
      <c r="AF7907" t="n">
        <v>0</v>
      </c>
      <c r="AG7907" t="n">
        <v>0</v>
      </c>
      <c r="AH7907" t="n">
        <v>0</v>
      </c>
      <c r="AI7907" t="n">
        <v>0</v>
      </c>
    </row>
    <row r="7908">
      <c r="A7908" t="inlineStr">
        <is>
          <t>12월</t>
        </is>
      </c>
      <c r="B7908" t="inlineStr">
        <is>
          <t>52주차</t>
        </is>
      </c>
      <c r="C7908" t="e">
        <v>#N/A</v>
      </c>
      <c r="K7908" t="n">
        <v>0</v>
      </c>
      <c r="L7908" t="n">
        <v>0</v>
      </c>
      <c r="M7908" t="n">
        <v>0</v>
      </c>
      <c r="AC7908" t="n">
        <v>0</v>
      </c>
      <c r="AD7908" t="n">
        <v>0</v>
      </c>
      <c r="AE7908" t="n">
        <v>0</v>
      </c>
      <c r="AF7908" t="n">
        <v>0</v>
      </c>
      <c r="AG7908" t="n">
        <v>0</v>
      </c>
      <c r="AH7908" t="n">
        <v>0</v>
      </c>
    </row>
    <row r="7909">
      <c r="A7909" t="inlineStr">
        <is>
          <t>12월</t>
        </is>
      </c>
      <c r="B7909" t="inlineStr">
        <is>
          <t>52주차</t>
        </is>
      </c>
      <c r="C7909" t="e">
        <v>#N/A</v>
      </c>
      <c r="K7909" t="n">
        <v>0</v>
      </c>
      <c r="L7909" t="n">
        <v>0</v>
      </c>
      <c r="M7909" t="n">
        <v>0</v>
      </c>
      <c r="AC7909" t="n">
        <v>0</v>
      </c>
      <c r="AD7909" t="n">
        <v>0</v>
      </c>
      <c r="AE7909" t="n">
        <v>0</v>
      </c>
      <c r="AF7909" t="n">
        <v>0</v>
      </c>
      <c r="AG7909" t="n">
        <v>0</v>
      </c>
      <c r="AH7909" t="n">
        <v>0</v>
      </c>
      <c r="AI7909" t="n">
        <v>0</v>
      </c>
    </row>
    <row r="7910">
      <c r="A7910" t="inlineStr">
        <is>
          <t>12월</t>
        </is>
      </c>
      <c r="B7910" t="inlineStr">
        <is>
          <t>52주차</t>
        </is>
      </c>
      <c r="C7910" t="e">
        <v>#N/A</v>
      </c>
      <c r="K7910" t="n">
        <v>0</v>
      </c>
      <c r="L7910" t="n">
        <v>0</v>
      </c>
      <c r="M7910" t="n">
        <v>0</v>
      </c>
      <c r="AC7910" t="n">
        <v>0</v>
      </c>
      <c r="AD7910" t="n">
        <v>0</v>
      </c>
      <c r="AE7910" t="n">
        <v>0</v>
      </c>
      <c r="AF7910" t="n">
        <v>0</v>
      </c>
      <c r="AG7910" t="n">
        <v>0</v>
      </c>
      <c r="AH7910" t="n">
        <v>0</v>
      </c>
      <c r="AI7910" t="n">
        <v>0</v>
      </c>
    </row>
    <row r="7911">
      <c r="A7911" t="inlineStr">
        <is>
          <t>12월</t>
        </is>
      </c>
      <c r="B7911" t="inlineStr">
        <is>
          <t>52주차</t>
        </is>
      </c>
      <c r="C7911" t="e">
        <v>#N/A</v>
      </c>
      <c r="K7911" t="n">
        <v>0</v>
      </c>
      <c r="L7911" t="n">
        <v>0</v>
      </c>
      <c r="M7911" t="n">
        <v>0</v>
      </c>
      <c r="AC7911" t="n">
        <v>0</v>
      </c>
      <c r="AD7911" t="n">
        <v>0</v>
      </c>
      <c r="AE7911" t="n">
        <v>0</v>
      </c>
      <c r="AF7911" t="n">
        <v>0</v>
      </c>
      <c r="AG7911" t="n">
        <v>0</v>
      </c>
      <c r="AH7911" t="n">
        <v>0</v>
      </c>
    </row>
    <row r="7912">
      <c r="A7912" t="inlineStr">
        <is>
          <t>12월</t>
        </is>
      </c>
      <c r="B7912" t="inlineStr">
        <is>
          <t>52주차</t>
        </is>
      </c>
      <c r="C7912" t="e">
        <v>#N/A</v>
      </c>
      <c r="K7912" t="n">
        <v>0</v>
      </c>
      <c r="L7912" t="n">
        <v>0</v>
      </c>
      <c r="M7912" t="n">
        <v>0</v>
      </c>
      <c r="AC7912" t="n">
        <v>0</v>
      </c>
      <c r="AD7912" t="n">
        <v>0</v>
      </c>
      <c r="AE7912" t="n">
        <v>0</v>
      </c>
      <c r="AF7912" t="n">
        <v>0</v>
      </c>
      <c r="AG7912" t="n">
        <v>0</v>
      </c>
      <c r="AH7912" t="n">
        <v>0</v>
      </c>
      <c r="AI7912" t="n">
        <v>0</v>
      </c>
    </row>
    <row r="7913">
      <c r="A7913" t="inlineStr">
        <is>
          <t>12월</t>
        </is>
      </c>
      <c r="B7913" t="inlineStr">
        <is>
          <t>52주차</t>
        </is>
      </c>
      <c r="C7913" t="e">
        <v>#N/A</v>
      </c>
      <c r="K7913" t="n">
        <v>0</v>
      </c>
      <c r="L7913" t="n">
        <v>0</v>
      </c>
      <c r="M7913" t="n">
        <v>0</v>
      </c>
      <c r="AC7913" t="n">
        <v>0</v>
      </c>
      <c r="AD7913" t="n">
        <v>0</v>
      </c>
      <c r="AE7913" t="n">
        <v>0</v>
      </c>
      <c r="AF7913" t="n">
        <v>0</v>
      </c>
      <c r="AG7913" t="n">
        <v>0</v>
      </c>
      <c r="AH7913" t="n">
        <v>0</v>
      </c>
    </row>
    <row r="7914">
      <c r="A7914" t="inlineStr">
        <is>
          <t>12월</t>
        </is>
      </c>
      <c r="B7914" t="inlineStr">
        <is>
          <t>52주차</t>
        </is>
      </c>
      <c r="C7914" t="e">
        <v>#N/A</v>
      </c>
      <c r="K7914" t="n">
        <v>0</v>
      </c>
      <c r="L7914" t="n">
        <v>0</v>
      </c>
      <c r="M7914" t="n">
        <v>0</v>
      </c>
      <c r="AC7914" t="n">
        <v>0</v>
      </c>
      <c r="AD7914" t="n">
        <v>0</v>
      </c>
      <c r="AE7914" t="n">
        <v>0</v>
      </c>
      <c r="AF7914" t="n">
        <v>0</v>
      </c>
      <c r="AG7914" t="n">
        <v>0</v>
      </c>
      <c r="AH7914" t="n">
        <v>0</v>
      </c>
    </row>
    <row r="7915">
      <c r="A7915" t="inlineStr">
        <is>
          <t>12월</t>
        </is>
      </c>
      <c r="B7915" t="inlineStr">
        <is>
          <t>52주차</t>
        </is>
      </c>
      <c r="C7915" t="e">
        <v>#N/A</v>
      </c>
      <c r="K7915" t="n">
        <v>0</v>
      </c>
      <c r="L7915" t="n">
        <v>0</v>
      </c>
      <c r="M7915" t="n">
        <v>0</v>
      </c>
      <c r="AC7915" t="n">
        <v>0</v>
      </c>
      <c r="AD7915" t="n">
        <v>0</v>
      </c>
      <c r="AE7915" t="n">
        <v>0</v>
      </c>
      <c r="AF7915" t="n">
        <v>0</v>
      </c>
      <c r="AG7915" t="n">
        <v>0</v>
      </c>
      <c r="AH7915" t="n">
        <v>0</v>
      </c>
    </row>
    <row r="7916">
      <c r="A7916" t="inlineStr">
        <is>
          <t>12월</t>
        </is>
      </c>
      <c r="B7916" t="inlineStr">
        <is>
          <t>52주차</t>
        </is>
      </c>
      <c r="C7916" t="e">
        <v>#N/A</v>
      </c>
      <c r="K7916" t="n">
        <v>0</v>
      </c>
      <c r="L7916" t="n">
        <v>0</v>
      </c>
      <c r="M7916" t="n">
        <v>0</v>
      </c>
      <c r="AC7916" t="n">
        <v>0</v>
      </c>
      <c r="AD7916" t="n">
        <v>0</v>
      </c>
      <c r="AE7916" t="n">
        <v>0</v>
      </c>
      <c r="AF7916" t="n">
        <v>0</v>
      </c>
      <c r="AG7916" t="n">
        <v>0</v>
      </c>
      <c r="AH7916" t="n">
        <v>0</v>
      </c>
      <c r="AI7916" t="n">
        <v>0</v>
      </c>
    </row>
    <row r="7917">
      <c r="A7917" t="inlineStr">
        <is>
          <t>12월</t>
        </is>
      </c>
      <c r="B7917" t="inlineStr">
        <is>
          <t>52주차</t>
        </is>
      </c>
      <c r="C7917" t="e">
        <v>#N/A</v>
      </c>
      <c r="K7917" t="n">
        <v>0</v>
      </c>
      <c r="L7917" t="n">
        <v>0</v>
      </c>
      <c r="M7917" t="n">
        <v>0</v>
      </c>
      <c r="AC7917" t="n">
        <v>0</v>
      </c>
      <c r="AD7917" t="n">
        <v>0</v>
      </c>
      <c r="AE7917" t="n">
        <v>0</v>
      </c>
      <c r="AF7917" t="n">
        <v>0</v>
      </c>
      <c r="AG7917" t="n">
        <v>0</v>
      </c>
      <c r="AH7917" t="n">
        <v>0</v>
      </c>
      <c r="AI7917" t="n">
        <v>0</v>
      </c>
    </row>
    <row r="7918">
      <c r="A7918" t="inlineStr">
        <is>
          <t>12월</t>
        </is>
      </c>
      <c r="B7918" t="inlineStr">
        <is>
          <t>52주차</t>
        </is>
      </c>
      <c r="C7918" t="e">
        <v>#N/A</v>
      </c>
      <c r="K7918" t="n">
        <v>0</v>
      </c>
      <c r="L7918" t="n">
        <v>0</v>
      </c>
      <c r="M7918" t="n">
        <v>0</v>
      </c>
      <c r="AC7918" t="n">
        <v>0</v>
      </c>
      <c r="AD7918" t="n">
        <v>0</v>
      </c>
      <c r="AE7918" t="n">
        <v>0</v>
      </c>
      <c r="AF7918" t="n">
        <v>0</v>
      </c>
      <c r="AG7918" t="n">
        <v>0</v>
      </c>
      <c r="AH7918" t="n">
        <v>0</v>
      </c>
      <c r="AI7918" t="n">
        <v>0</v>
      </c>
    </row>
    <row r="7919">
      <c r="A7919" t="inlineStr">
        <is>
          <t>12월</t>
        </is>
      </c>
      <c r="B7919" t="inlineStr">
        <is>
          <t>52주차</t>
        </is>
      </c>
      <c r="C7919" t="e">
        <v>#N/A</v>
      </c>
      <c r="K7919" t="n">
        <v>0</v>
      </c>
      <c r="L7919" t="n">
        <v>0</v>
      </c>
      <c r="M7919" t="n">
        <v>0</v>
      </c>
      <c r="AC7919" t="n">
        <v>0</v>
      </c>
      <c r="AD7919" t="n">
        <v>0</v>
      </c>
      <c r="AE7919" t="n">
        <v>0</v>
      </c>
      <c r="AF7919" t="n">
        <v>0</v>
      </c>
      <c r="AG7919" t="n">
        <v>0</v>
      </c>
      <c r="AH7919" t="n">
        <v>0</v>
      </c>
      <c r="AI7919" t="n">
        <v>0</v>
      </c>
    </row>
    <row r="7920">
      <c r="A7920" t="inlineStr">
        <is>
          <t>12월</t>
        </is>
      </c>
      <c r="B7920" t="inlineStr">
        <is>
          <t>52주차</t>
        </is>
      </c>
      <c r="C7920" t="e">
        <v>#N/A</v>
      </c>
      <c r="K7920" t="n">
        <v>0</v>
      </c>
      <c r="L7920" t="n">
        <v>0</v>
      </c>
      <c r="M7920" t="n">
        <v>0</v>
      </c>
      <c r="AC7920" t="n">
        <v>0</v>
      </c>
      <c r="AD7920" t="n">
        <v>0</v>
      </c>
      <c r="AE7920" t="n">
        <v>0</v>
      </c>
      <c r="AF7920" t="n">
        <v>0</v>
      </c>
      <c r="AG7920" t="n">
        <v>0</v>
      </c>
      <c r="AH7920" t="n">
        <v>0</v>
      </c>
      <c r="AI7920" t="n">
        <v>0</v>
      </c>
    </row>
    <row r="7921">
      <c r="A7921" t="inlineStr">
        <is>
          <t>12월</t>
        </is>
      </c>
      <c r="B7921" t="inlineStr">
        <is>
          <t>52주차</t>
        </is>
      </c>
      <c r="C7921" t="e">
        <v>#N/A</v>
      </c>
      <c r="K7921" t="n">
        <v>0</v>
      </c>
      <c r="L7921" t="n">
        <v>0</v>
      </c>
      <c r="M7921" t="n">
        <v>0</v>
      </c>
      <c r="AC7921" t="n">
        <v>0</v>
      </c>
      <c r="AD7921" t="n">
        <v>0</v>
      </c>
      <c r="AE7921" t="n">
        <v>0</v>
      </c>
      <c r="AF7921" t="n">
        <v>0</v>
      </c>
      <c r="AG7921" t="n">
        <v>0</v>
      </c>
      <c r="AH7921" t="n">
        <v>0</v>
      </c>
      <c r="AI7921" t="n">
        <v>0</v>
      </c>
    </row>
    <row r="7922">
      <c r="A7922" t="inlineStr">
        <is>
          <t>12월</t>
        </is>
      </c>
      <c r="B7922" t="inlineStr">
        <is>
          <t>52주차</t>
        </is>
      </c>
      <c r="C7922" t="e">
        <v>#N/A</v>
      </c>
      <c r="K7922" t="n">
        <v>0</v>
      </c>
      <c r="L7922" t="n">
        <v>0</v>
      </c>
      <c r="M7922" t="n">
        <v>0</v>
      </c>
      <c r="AC7922" t="n">
        <v>0</v>
      </c>
      <c r="AD7922" t="n">
        <v>0</v>
      </c>
      <c r="AE7922" t="n">
        <v>0</v>
      </c>
      <c r="AF7922" t="n">
        <v>0</v>
      </c>
      <c r="AG7922" t="n">
        <v>0</v>
      </c>
      <c r="AH7922" t="n">
        <v>0</v>
      </c>
      <c r="AI7922" t="n">
        <v>0</v>
      </c>
    </row>
    <row r="7923">
      <c r="A7923" t="inlineStr">
        <is>
          <t>12월</t>
        </is>
      </c>
      <c r="B7923" t="inlineStr">
        <is>
          <t>52주차</t>
        </is>
      </c>
      <c r="C7923" t="e">
        <v>#N/A</v>
      </c>
      <c r="K7923" t="n">
        <v>0</v>
      </c>
      <c r="L7923" t="n">
        <v>0</v>
      </c>
      <c r="M7923" t="n">
        <v>0</v>
      </c>
      <c r="AC7923" t="n">
        <v>0</v>
      </c>
      <c r="AD7923" t="n">
        <v>0</v>
      </c>
      <c r="AE7923" t="n">
        <v>0</v>
      </c>
      <c r="AF7923" t="n">
        <v>0</v>
      </c>
      <c r="AG7923" t="n">
        <v>0</v>
      </c>
      <c r="AH7923" t="n">
        <v>0</v>
      </c>
      <c r="AI7923" t="n">
        <v>0</v>
      </c>
    </row>
    <row r="7924">
      <c r="A7924" t="inlineStr">
        <is>
          <t>12월</t>
        </is>
      </c>
      <c r="B7924" t="inlineStr">
        <is>
          <t>52주차</t>
        </is>
      </c>
      <c r="C7924" t="e">
        <v>#N/A</v>
      </c>
      <c r="K7924" t="n">
        <v>0</v>
      </c>
      <c r="L7924" t="n">
        <v>0</v>
      </c>
      <c r="M7924" t="n">
        <v>0</v>
      </c>
      <c r="AC7924" t="n">
        <v>0</v>
      </c>
      <c r="AD7924" t="n">
        <v>0</v>
      </c>
      <c r="AE7924" t="n">
        <v>0</v>
      </c>
      <c r="AF7924" t="n">
        <v>0</v>
      </c>
      <c r="AG7924" t="n">
        <v>0</v>
      </c>
      <c r="AH7924" t="n">
        <v>0</v>
      </c>
      <c r="AI7924" t="n">
        <v>0</v>
      </c>
    </row>
    <row r="7925">
      <c r="A7925" t="inlineStr">
        <is>
          <t>12월</t>
        </is>
      </c>
      <c r="B7925" t="inlineStr">
        <is>
          <t>52주차</t>
        </is>
      </c>
      <c r="C7925" t="e">
        <v>#N/A</v>
      </c>
      <c r="K7925" t="n">
        <v>0</v>
      </c>
      <c r="L7925" t="n">
        <v>0</v>
      </c>
      <c r="M7925" t="n">
        <v>0</v>
      </c>
      <c r="AC7925" t="n">
        <v>0</v>
      </c>
      <c r="AD7925" t="n">
        <v>0</v>
      </c>
      <c r="AE7925" t="n">
        <v>0</v>
      </c>
      <c r="AF7925" t="n">
        <v>0</v>
      </c>
      <c r="AG7925" t="n">
        <v>0</v>
      </c>
      <c r="AH7925" t="n">
        <v>0</v>
      </c>
      <c r="AI7925" t="n">
        <v>0</v>
      </c>
    </row>
    <row r="7926">
      <c r="A7926" t="inlineStr">
        <is>
          <t>12월</t>
        </is>
      </c>
      <c r="B7926" t="inlineStr">
        <is>
          <t>52주차</t>
        </is>
      </c>
      <c r="C7926" t="e">
        <v>#N/A</v>
      </c>
      <c r="K7926" t="n">
        <v>0</v>
      </c>
      <c r="L7926" t="n">
        <v>0</v>
      </c>
      <c r="M7926" t="n">
        <v>0</v>
      </c>
      <c r="AC7926" t="n">
        <v>0</v>
      </c>
      <c r="AD7926" t="n">
        <v>0</v>
      </c>
      <c r="AE7926" t="n">
        <v>0</v>
      </c>
      <c r="AF7926" t="n">
        <v>0</v>
      </c>
      <c r="AG7926" t="n">
        <v>0</v>
      </c>
      <c r="AH7926" t="n">
        <v>0</v>
      </c>
      <c r="AI7926" t="n">
        <v>0</v>
      </c>
    </row>
    <row r="7927">
      <c r="A7927" t="inlineStr">
        <is>
          <t>12월</t>
        </is>
      </c>
      <c r="B7927" t="inlineStr">
        <is>
          <t>52주차</t>
        </is>
      </c>
      <c r="C7927" t="e">
        <v>#N/A</v>
      </c>
      <c r="K7927" t="n">
        <v>0</v>
      </c>
      <c r="L7927" t="n">
        <v>0</v>
      </c>
      <c r="M7927" t="n">
        <v>0</v>
      </c>
      <c r="AC7927" t="n">
        <v>0</v>
      </c>
      <c r="AD7927" t="n">
        <v>0</v>
      </c>
      <c r="AE7927" t="n">
        <v>0</v>
      </c>
      <c r="AF7927" t="n">
        <v>0</v>
      </c>
      <c r="AG7927" t="n">
        <v>0</v>
      </c>
      <c r="AH7927" t="n">
        <v>0</v>
      </c>
      <c r="AI7927" t="n">
        <v>0</v>
      </c>
    </row>
    <row r="7928">
      <c r="A7928" t="inlineStr">
        <is>
          <t>12월</t>
        </is>
      </c>
      <c r="B7928" t="inlineStr">
        <is>
          <t>52주차</t>
        </is>
      </c>
      <c r="C7928" t="e">
        <v>#N/A</v>
      </c>
      <c r="K7928" t="n">
        <v>0</v>
      </c>
      <c r="L7928" t="n">
        <v>0</v>
      </c>
      <c r="M7928" t="n">
        <v>0</v>
      </c>
      <c r="AC7928" t="n">
        <v>0</v>
      </c>
      <c r="AD7928" t="n">
        <v>0</v>
      </c>
      <c r="AE7928" t="n">
        <v>0</v>
      </c>
      <c r="AF7928" t="n">
        <v>0</v>
      </c>
      <c r="AG7928" t="n">
        <v>0</v>
      </c>
      <c r="AH7928" t="n">
        <v>0</v>
      </c>
    </row>
    <row r="7929">
      <c r="A7929" t="inlineStr">
        <is>
          <t>12월</t>
        </is>
      </c>
      <c r="B7929" t="inlineStr">
        <is>
          <t>52주차</t>
        </is>
      </c>
      <c r="C7929" t="e">
        <v>#N/A</v>
      </c>
      <c r="K7929" t="n">
        <v>0</v>
      </c>
      <c r="L7929" t="n">
        <v>0</v>
      </c>
      <c r="M7929" t="n">
        <v>0</v>
      </c>
      <c r="AC7929" t="n">
        <v>0</v>
      </c>
      <c r="AD7929" t="n">
        <v>0</v>
      </c>
      <c r="AE7929" t="n">
        <v>0</v>
      </c>
      <c r="AF7929" t="n">
        <v>0</v>
      </c>
      <c r="AG7929" t="n">
        <v>0</v>
      </c>
      <c r="AH7929" t="n">
        <v>0</v>
      </c>
      <c r="AI7929" t="n">
        <v>0</v>
      </c>
    </row>
    <row r="7930">
      <c r="A7930" t="inlineStr">
        <is>
          <t>12월</t>
        </is>
      </c>
      <c r="B7930" t="inlineStr">
        <is>
          <t>52주차</t>
        </is>
      </c>
      <c r="C7930" t="e">
        <v>#N/A</v>
      </c>
      <c r="K7930" t="n">
        <v>0</v>
      </c>
      <c r="L7930" t="n">
        <v>0</v>
      </c>
      <c r="M7930" t="n">
        <v>0</v>
      </c>
      <c r="AC7930" t="n">
        <v>0</v>
      </c>
      <c r="AD7930" t="n">
        <v>0</v>
      </c>
      <c r="AE7930" t="n">
        <v>0</v>
      </c>
      <c r="AF7930" t="n">
        <v>0</v>
      </c>
      <c r="AG7930" t="n">
        <v>0</v>
      </c>
      <c r="AH7930" t="n">
        <v>0</v>
      </c>
      <c r="AI7930" t="n">
        <v>0</v>
      </c>
    </row>
    <row r="7931">
      <c r="A7931" t="inlineStr">
        <is>
          <t>12월</t>
        </is>
      </c>
      <c r="B7931" t="inlineStr">
        <is>
          <t>52주차</t>
        </is>
      </c>
      <c r="C7931" t="e">
        <v>#N/A</v>
      </c>
      <c r="K7931" t="n">
        <v>0</v>
      </c>
      <c r="L7931" t="n">
        <v>0</v>
      </c>
      <c r="M7931" t="n">
        <v>0</v>
      </c>
      <c r="AC7931" t="n">
        <v>0</v>
      </c>
      <c r="AD7931" t="n">
        <v>0</v>
      </c>
      <c r="AE7931" t="n">
        <v>0</v>
      </c>
      <c r="AF7931" t="n">
        <v>0</v>
      </c>
      <c r="AG7931" t="n">
        <v>0</v>
      </c>
      <c r="AH7931" t="n">
        <v>0</v>
      </c>
      <c r="AI7931" t="n">
        <v>0</v>
      </c>
    </row>
    <row r="7932">
      <c r="A7932" t="inlineStr">
        <is>
          <t>12월</t>
        </is>
      </c>
      <c r="B7932" t="inlineStr">
        <is>
          <t>52주차</t>
        </is>
      </c>
      <c r="C7932" t="e">
        <v>#N/A</v>
      </c>
      <c r="K7932" t="n">
        <v>0</v>
      </c>
      <c r="L7932" t="n">
        <v>0</v>
      </c>
      <c r="M7932" t="n">
        <v>0</v>
      </c>
      <c r="AC7932" t="n">
        <v>0</v>
      </c>
      <c r="AD7932" t="n">
        <v>0</v>
      </c>
      <c r="AE7932" t="n">
        <v>0</v>
      </c>
      <c r="AF7932" t="n">
        <v>0</v>
      </c>
      <c r="AG7932" t="n">
        <v>0</v>
      </c>
      <c r="AH7932" t="n">
        <v>0</v>
      </c>
      <c r="AI7932" t="n">
        <v>0</v>
      </c>
    </row>
    <row r="7933">
      <c r="A7933" t="inlineStr">
        <is>
          <t>12월</t>
        </is>
      </c>
      <c r="B7933" t="inlineStr">
        <is>
          <t>52주차</t>
        </is>
      </c>
      <c r="C7933" t="e">
        <v>#N/A</v>
      </c>
      <c r="K7933" t="n">
        <v>0</v>
      </c>
      <c r="L7933" t="n">
        <v>0</v>
      </c>
      <c r="M7933" t="n">
        <v>0</v>
      </c>
      <c r="AC7933" t="n">
        <v>0</v>
      </c>
      <c r="AD7933" t="n">
        <v>0</v>
      </c>
      <c r="AE7933" t="n">
        <v>0</v>
      </c>
      <c r="AF7933" t="n">
        <v>0</v>
      </c>
      <c r="AG7933" t="n">
        <v>0</v>
      </c>
      <c r="AH7933" t="n">
        <v>0</v>
      </c>
    </row>
    <row r="7934">
      <c r="A7934" t="inlineStr">
        <is>
          <t>12월</t>
        </is>
      </c>
      <c r="B7934" t="inlineStr">
        <is>
          <t>52주차</t>
        </is>
      </c>
      <c r="C7934" t="e">
        <v>#N/A</v>
      </c>
      <c r="K7934" t="n">
        <v>0</v>
      </c>
      <c r="L7934" t="n">
        <v>0</v>
      </c>
      <c r="M7934" t="n">
        <v>0</v>
      </c>
      <c r="AC7934" t="n">
        <v>0</v>
      </c>
      <c r="AD7934" t="n">
        <v>0</v>
      </c>
      <c r="AE7934" t="n">
        <v>0</v>
      </c>
      <c r="AF7934" t="n">
        <v>0</v>
      </c>
      <c r="AG7934" t="n">
        <v>0</v>
      </c>
      <c r="AH7934" t="n">
        <v>0</v>
      </c>
    </row>
    <row r="7935">
      <c r="A7935" t="inlineStr">
        <is>
          <t>12월</t>
        </is>
      </c>
      <c r="B7935" t="inlineStr">
        <is>
          <t>52주차</t>
        </is>
      </c>
      <c r="C7935" t="e">
        <v>#N/A</v>
      </c>
      <c r="K7935" t="n">
        <v>0</v>
      </c>
      <c r="L7935" t="n">
        <v>0</v>
      </c>
      <c r="M7935" t="n">
        <v>0</v>
      </c>
      <c r="AC7935" t="n">
        <v>0</v>
      </c>
      <c r="AD7935" t="n">
        <v>0</v>
      </c>
      <c r="AE7935" t="n">
        <v>0</v>
      </c>
      <c r="AF7935" t="n">
        <v>0</v>
      </c>
      <c r="AG7935" t="n">
        <v>0</v>
      </c>
      <c r="AH7935" t="n">
        <v>0</v>
      </c>
      <c r="AI7935" t="n">
        <v>0</v>
      </c>
    </row>
    <row r="7936">
      <c r="A7936" t="inlineStr">
        <is>
          <t>12월</t>
        </is>
      </c>
      <c r="B7936" t="inlineStr">
        <is>
          <t>52주차</t>
        </is>
      </c>
      <c r="C7936" t="e">
        <v>#N/A</v>
      </c>
      <c r="K7936" t="n">
        <v>0</v>
      </c>
      <c r="L7936" t="n">
        <v>0</v>
      </c>
      <c r="M7936" t="n">
        <v>0</v>
      </c>
      <c r="AC7936" t="n">
        <v>0</v>
      </c>
      <c r="AD7936" t="n">
        <v>0</v>
      </c>
      <c r="AE7936" t="n">
        <v>0</v>
      </c>
      <c r="AF7936" t="n">
        <v>0</v>
      </c>
      <c r="AG7936" t="n">
        <v>0</v>
      </c>
      <c r="AH7936" t="n">
        <v>0</v>
      </c>
      <c r="AI7936" t="n">
        <v>0</v>
      </c>
    </row>
    <row r="7937">
      <c r="A7937" t="inlineStr">
        <is>
          <t>12월</t>
        </is>
      </c>
      <c r="B7937" t="inlineStr">
        <is>
          <t>52주차</t>
        </is>
      </c>
      <c r="C7937" t="e">
        <v>#N/A</v>
      </c>
      <c r="K7937" t="n">
        <v>0</v>
      </c>
      <c r="L7937" t="n">
        <v>0</v>
      </c>
      <c r="M7937" t="n">
        <v>0</v>
      </c>
      <c r="AC7937" t="n">
        <v>0</v>
      </c>
      <c r="AD7937" t="n">
        <v>0</v>
      </c>
      <c r="AE7937" t="n">
        <v>0</v>
      </c>
      <c r="AF7937" t="n">
        <v>0</v>
      </c>
      <c r="AG7937" t="n">
        <v>0</v>
      </c>
      <c r="AH7937" t="n">
        <v>0</v>
      </c>
      <c r="AI7937" t="n">
        <v>0</v>
      </c>
    </row>
    <row r="7938">
      <c r="A7938" t="inlineStr">
        <is>
          <t>12월</t>
        </is>
      </c>
      <c r="B7938" t="inlineStr">
        <is>
          <t>52주차</t>
        </is>
      </c>
      <c r="C7938" t="e">
        <v>#N/A</v>
      </c>
      <c r="K7938" t="n">
        <v>0</v>
      </c>
      <c r="L7938" t="n">
        <v>0</v>
      </c>
      <c r="M7938" t="n">
        <v>0</v>
      </c>
      <c r="AC7938" t="n">
        <v>0</v>
      </c>
      <c r="AD7938" t="n">
        <v>0</v>
      </c>
      <c r="AE7938" t="n">
        <v>0</v>
      </c>
      <c r="AF7938" t="n">
        <v>0</v>
      </c>
      <c r="AG7938" t="n">
        <v>0</v>
      </c>
      <c r="AH7938" t="n">
        <v>0</v>
      </c>
      <c r="AI7938" t="n">
        <v>0</v>
      </c>
    </row>
    <row r="7939">
      <c r="A7939" t="inlineStr">
        <is>
          <t>12월</t>
        </is>
      </c>
      <c r="B7939" t="inlineStr">
        <is>
          <t>52주차</t>
        </is>
      </c>
      <c r="C7939" t="e">
        <v>#N/A</v>
      </c>
      <c r="K7939" t="n">
        <v>0</v>
      </c>
      <c r="L7939" t="n">
        <v>0</v>
      </c>
      <c r="M7939" t="n">
        <v>0</v>
      </c>
      <c r="AC7939" t="n">
        <v>0</v>
      </c>
      <c r="AD7939" t="n">
        <v>0</v>
      </c>
      <c r="AE7939" t="n">
        <v>0</v>
      </c>
      <c r="AF7939" t="n">
        <v>0</v>
      </c>
      <c r="AG7939" t="n">
        <v>0</v>
      </c>
      <c r="AH7939" t="n">
        <v>0</v>
      </c>
      <c r="AI7939" t="n">
        <v>0</v>
      </c>
    </row>
    <row r="7940">
      <c r="A7940" t="inlineStr">
        <is>
          <t>12월</t>
        </is>
      </c>
      <c r="B7940" t="inlineStr">
        <is>
          <t>52주차</t>
        </is>
      </c>
      <c r="C7940" t="e">
        <v>#N/A</v>
      </c>
      <c r="K7940" t="n">
        <v>0</v>
      </c>
      <c r="L7940" t="n">
        <v>0</v>
      </c>
      <c r="M7940" t="n">
        <v>0</v>
      </c>
      <c r="AC7940" t="n">
        <v>0</v>
      </c>
      <c r="AD7940" t="n">
        <v>0</v>
      </c>
      <c r="AE7940" t="n">
        <v>0</v>
      </c>
      <c r="AF7940" t="n">
        <v>0</v>
      </c>
      <c r="AG7940" t="n">
        <v>0</v>
      </c>
      <c r="AH7940" t="n">
        <v>0</v>
      </c>
    </row>
    <row r="7941">
      <c r="A7941" t="inlineStr">
        <is>
          <t>12월</t>
        </is>
      </c>
      <c r="B7941" t="inlineStr">
        <is>
          <t>52주차</t>
        </is>
      </c>
      <c r="C7941" t="e">
        <v>#N/A</v>
      </c>
      <c r="K7941" t="n">
        <v>0</v>
      </c>
      <c r="L7941" t="n">
        <v>0</v>
      </c>
      <c r="M7941" t="n">
        <v>0</v>
      </c>
      <c r="AC7941" t="n">
        <v>0</v>
      </c>
      <c r="AD7941" t="n">
        <v>0</v>
      </c>
      <c r="AE7941" t="n">
        <v>0</v>
      </c>
      <c r="AF7941" t="n">
        <v>0</v>
      </c>
      <c r="AG7941" t="n">
        <v>0</v>
      </c>
      <c r="AH7941" t="n">
        <v>0</v>
      </c>
    </row>
    <row r="7942">
      <c r="A7942" t="inlineStr">
        <is>
          <t>12월</t>
        </is>
      </c>
      <c r="B7942" t="inlineStr">
        <is>
          <t>52주차</t>
        </is>
      </c>
      <c r="C7942" t="e">
        <v>#N/A</v>
      </c>
      <c r="K7942" t="n">
        <v>0</v>
      </c>
      <c r="L7942" t="n">
        <v>0</v>
      </c>
      <c r="M7942" t="n">
        <v>0</v>
      </c>
      <c r="AC7942" t="n">
        <v>0</v>
      </c>
      <c r="AD7942" t="n">
        <v>0</v>
      </c>
      <c r="AE7942" t="n">
        <v>0</v>
      </c>
      <c r="AF7942" t="n">
        <v>0</v>
      </c>
      <c r="AG7942" t="n">
        <v>0</v>
      </c>
      <c r="AH7942" t="n">
        <v>0</v>
      </c>
      <c r="AI7942" t="n">
        <v>0</v>
      </c>
    </row>
    <row r="7943">
      <c r="A7943" t="inlineStr">
        <is>
          <t>12월</t>
        </is>
      </c>
      <c r="B7943" t="inlineStr">
        <is>
          <t>52주차</t>
        </is>
      </c>
      <c r="C7943" t="e">
        <v>#N/A</v>
      </c>
      <c r="K7943" t="n">
        <v>0</v>
      </c>
      <c r="L7943" t="n">
        <v>0</v>
      </c>
      <c r="M7943" t="n">
        <v>0</v>
      </c>
      <c r="AC7943" t="n">
        <v>0</v>
      </c>
      <c r="AD7943" t="n">
        <v>0</v>
      </c>
      <c r="AE7943" t="n">
        <v>0</v>
      </c>
      <c r="AF7943" t="n">
        <v>0</v>
      </c>
      <c r="AG7943" t="n">
        <v>0</v>
      </c>
      <c r="AH7943" t="n">
        <v>0</v>
      </c>
      <c r="AI7943" t="n">
        <v>0</v>
      </c>
    </row>
    <row r="7944">
      <c r="A7944" t="inlineStr">
        <is>
          <t>12월</t>
        </is>
      </c>
      <c r="B7944" t="inlineStr">
        <is>
          <t>52주차</t>
        </is>
      </c>
      <c r="C7944" t="e">
        <v>#N/A</v>
      </c>
      <c r="K7944" t="n">
        <v>0</v>
      </c>
      <c r="L7944" t="n">
        <v>0</v>
      </c>
      <c r="M7944" t="n">
        <v>0</v>
      </c>
      <c r="AC7944" t="n">
        <v>0</v>
      </c>
      <c r="AD7944" t="n">
        <v>0</v>
      </c>
      <c r="AE7944" t="n">
        <v>0</v>
      </c>
      <c r="AF7944" t="n">
        <v>0</v>
      </c>
      <c r="AG7944" t="n">
        <v>0</v>
      </c>
      <c r="AH7944" t="n">
        <v>0</v>
      </c>
      <c r="AI7944" t="n">
        <v>0</v>
      </c>
    </row>
    <row r="7945">
      <c r="A7945" t="inlineStr">
        <is>
          <t>12월</t>
        </is>
      </c>
      <c r="B7945" t="inlineStr">
        <is>
          <t>52주차</t>
        </is>
      </c>
      <c r="C7945" t="e">
        <v>#N/A</v>
      </c>
      <c r="K7945" t="n">
        <v>0</v>
      </c>
      <c r="L7945" t="n">
        <v>0</v>
      </c>
      <c r="M7945" t="n">
        <v>0</v>
      </c>
      <c r="AC7945" t="n">
        <v>0</v>
      </c>
      <c r="AD7945" t="n">
        <v>0</v>
      </c>
      <c r="AE7945" t="n">
        <v>0</v>
      </c>
      <c r="AF7945" t="n">
        <v>0</v>
      </c>
      <c r="AG7945" t="n">
        <v>0</v>
      </c>
      <c r="AH7945" t="n">
        <v>0</v>
      </c>
      <c r="AI7945" t="n">
        <v>0</v>
      </c>
    </row>
    <row r="7946">
      <c r="A7946" t="inlineStr">
        <is>
          <t>12월</t>
        </is>
      </c>
      <c r="B7946" t="inlineStr">
        <is>
          <t>52주차</t>
        </is>
      </c>
      <c r="C7946" t="e">
        <v>#N/A</v>
      </c>
      <c r="K7946" t="n">
        <v>0</v>
      </c>
      <c r="L7946" t="n">
        <v>0</v>
      </c>
      <c r="M7946" t="n">
        <v>0</v>
      </c>
      <c r="AC7946" t="n">
        <v>0</v>
      </c>
      <c r="AD7946" t="n">
        <v>0</v>
      </c>
      <c r="AE7946" t="n">
        <v>0</v>
      </c>
      <c r="AF7946" t="n">
        <v>0</v>
      </c>
      <c r="AG7946" t="n">
        <v>0</v>
      </c>
      <c r="AH7946" t="n">
        <v>0</v>
      </c>
      <c r="AI7946" t="n">
        <v>0</v>
      </c>
    </row>
    <row r="7947">
      <c r="A7947" t="inlineStr">
        <is>
          <t>12월</t>
        </is>
      </c>
      <c r="B7947" t="inlineStr">
        <is>
          <t>52주차</t>
        </is>
      </c>
      <c r="C7947" t="e">
        <v>#N/A</v>
      </c>
      <c r="K7947" t="n">
        <v>0</v>
      </c>
      <c r="L7947" t="n">
        <v>0</v>
      </c>
      <c r="M7947" t="n">
        <v>0</v>
      </c>
      <c r="AC7947" t="n">
        <v>0</v>
      </c>
      <c r="AD7947" t="n">
        <v>0</v>
      </c>
      <c r="AE7947" t="n">
        <v>0</v>
      </c>
      <c r="AF7947" t="n">
        <v>0</v>
      </c>
      <c r="AG7947" t="n">
        <v>0</v>
      </c>
      <c r="AH7947" t="n">
        <v>0</v>
      </c>
      <c r="AI7947" t="n">
        <v>0</v>
      </c>
    </row>
    <row r="7948">
      <c r="A7948" t="inlineStr">
        <is>
          <t>12월</t>
        </is>
      </c>
      <c r="B7948" t="inlineStr">
        <is>
          <t>52주차</t>
        </is>
      </c>
      <c r="C7948" t="e">
        <v>#N/A</v>
      </c>
      <c r="K7948" t="n">
        <v>0</v>
      </c>
      <c r="L7948" t="n">
        <v>0</v>
      </c>
      <c r="M7948" t="n">
        <v>0</v>
      </c>
      <c r="AC7948" t="n">
        <v>0</v>
      </c>
      <c r="AD7948" t="n">
        <v>0</v>
      </c>
      <c r="AE7948" t="n">
        <v>0</v>
      </c>
      <c r="AF7948" t="n">
        <v>0</v>
      </c>
      <c r="AG7948" t="n">
        <v>0</v>
      </c>
      <c r="AH7948" t="n">
        <v>0</v>
      </c>
      <c r="AI7948" t="n">
        <v>0</v>
      </c>
    </row>
    <row r="7949">
      <c r="A7949" t="inlineStr">
        <is>
          <t>12월</t>
        </is>
      </c>
      <c r="B7949" t="inlineStr">
        <is>
          <t>52주차</t>
        </is>
      </c>
      <c r="C7949" t="e">
        <v>#N/A</v>
      </c>
      <c r="K7949" t="n">
        <v>0</v>
      </c>
      <c r="L7949" t="n">
        <v>0</v>
      </c>
      <c r="M7949" t="n">
        <v>0</v>
      </c>
      <c r="AC7949" t="n">
        <v>0</v>
      </c>
      <c r="AD7949" t="n">
        <v>0</v>
      </c>
      <c r="AE7949" t="n">
        <v>0</v>
      </c>
      <c r="AF7949" t="n">
        <v>0</v>
      </c>
      <c r="AG7949" t="n">
        <v>0</v>
      </c>
      <c r="AH7949" t="n">
        <v>0</v>
      </c>
      <c r="AI7949" t="n">
        <v>0</v>
      </c>
    </row>
    <row r="7950">
      <c r="A7950" t="inlineStr">
        <is>
          <t>12월</t>
        </is>
      </c>
      <c r="B7950" t="inlineStr">
        <is>
          <t>52주차</t>
        </is>
      </c>
      <c r="C7950" t="e">
        <v>#N/A</v>
      </c>
      <c r="K7950" t="n">
        <v>0</v>
      </c>
      <c r="L7950" t="n">
        <v>0</v>
      </c>
      <c r="M7950" t="n">
        <v>0</v>
      </c>
      <c r="AC7950" t="n">
        <v>0</v>
      </c>
      <c r="AD7950" t="n">
        <v>0</v>
      </c>
      <c r="AE7950" t="n">
        <v>0</v>
      </c>
      <c r="AF7950" t="n">
        <v>0</v>
      </c>
      <c r="AG7950" t="n">
        <v>0</v>
      </c>
      <c r="AH7950" t="n">
        <v>0</v>
      </c>
      <c r="AI7950" t="n">
        <v>0</v>
      </c>
    </row>
    <row r="7951">
      <c r="A7951" t="inlineStr">
        <is>
          <t>12월</t>
        </is>
      </c>
      <c r="B7951" t="inlineStr">
        <is>
          <t>52주차</t>
        </is>
      </c>
      <c r="C7951" t="e">
        <v>#N/A</v>
      </c>
      <c r="K7951" t="n">
        <v>0</v>
      </c>
      <c r="L7951" t="n">
        <v>0</v>
      </c>
      <c r="M7951" t="n">
        <v>0</v>
      </c>
      <c r="AC7951" t="n">
        <v>0</v>
      </c>
      <c r="AD7951" t="n">
        <v>0</v>
      </c>
      <c r="AE7951" t="n">
        <v>0</v>
      </c>
      <c r="AF7951" t="n">
        <v>0</v>
      </c>
      <c r="AG7951" t="n">
        <v>0</v>
      </c>
      <c r="AH7951" t="n">
        <v>0</v>
      </c>
      <c r="AI7951" t="n">
        <v>0</v>
      </c>
    </row>
    <row r="7952">
      <c r="A7952" t="inlineStr">
        <is>
          <t>12월</t>
        </is>
      </c>
      <c r="B7952" t="inlineStr">
        <is>
          <t>52주차</t>
        </is>
      </c>
      <c r="C7952" t="e">
        <v>#N/A</v>
      </c>
      <c r="K7952" t="n">
        <v>0</v>
      </c>
      <c r="L7952" t="n">
        <v>0</v>
      </c>
      <c r="M7952" t="n">
        <v>0</v>
      </c>
      <c r="AC7952" t="n">
        <v>0</v>
      </c>
      <c r="AD7952" t="n">
        <v>0</v>
      </c>
      <c r="AE7952" t="n">
        <v>0</v>
      </c>
      <c r="AF7952" t="n">
        <v>0</v>
      </c>
      <c r="AG7952" t="n">
        <v>0</v>
      </c>
      <c r="AH7952" t="n">
        <v>0</v>
      </c>
      <c r="AI7952" t="n">
        <v>0</v>
      </c>
    </row>
    <row r="7953">
      <c r="A7953" t="inlineStr">
        <is>
          <t>12월</t>
        </is>
      </c>
      <c r="B7953" t="inlineStr">
        <is>
          <t>52주차</t>
        </is>
      </c>
      <c r="C7953" t="e">
        <v>#N/A</v>
      </c>
      <c r="K7953" t="n">
        <v>0</v>
      </c>
      <c r="L7953" t="n">
        <v>0</v>
      </c>
      <c r="M7953" t="n">
        <v>0</v>
      </c>
      <c r="AC7953" t="n">
        <v>0</v>
      </c>
      <c r="AD7953" t="n">
        <v>0</v>
      </c>
      <c r="AE7953" t="n">
        <v>0</v>
      </c>
      <c r="AF7953" t="n">
        <v>0</v>
      </c>
      <c r="AG7953" t="n">
        <v>0</v>
      </c>
      <c r="AH7953" t="n">
        <v>0</v>
      </c>
      <c r="AI7953" t="n">
        <v>0</v>
      </c>
    </row>
    <row r="7954">
      <c r="A7954" t="inlineStr">
        <is>
          <t>12월</t>
        </is>
      </c>
      <c r="B7954" t="inlineStr">
        <is>
          <t>52주차</t>
        </is>
      </c>
      <c r="C7954" t="e">
        <v>#N/A</v>
      </c>
      <c r="K7954" t="n">
        <v>0</v>
      </c>
      <c r="L7954" t="n">
        <v>0</v>
      </c>
      <c r="M7954" t="n">
        <v>0</v>
      </c>
      <c r="AC7954" t="n">
        <v>0</v>
      </c>
      <c r="AD7954" t="n">
        <v>0</v>
      </c>
      <c r="AE7954" t="n">
        <v>0</v>
      </c>
      <c r="AF7954" t="n">
        <v>0</v>
      </c>
      <c r="AG7954" t="n">
        <v>0</v>
      </c>
      <c r="AH7954" t="n">
        <v>0</v>
      </c>
      <c r="AI7954" t="n">
        <v>0</v>
      </c>
    </row>
    <row r="7955">
      <c r="A7955" t="inlineStr">
        <is>
          <t>12월</t>
        </is>
      </c>
      <c r="B7955" t="inlineStr">
        <is>
          <t>52주차</t>
        </is>
      </c>
      <c r="C7955" t="e">
        <v>#N/A</v>
      </c>
      <c r="K7955" t="n">
        <v>0</v>
      </c>
      <c r="L7955" t="n">
        <v>0</v>
      </c>
      <c r="M7955" t="n">
        <v>0</v>
      </c>
      <c r="AC7955" t="n">
        <v>0</v>
      </c>
      <c r="AD7955" t="n">
        <v>0</v>
      </c>
      <c r="AE7955" t="n">
        <v>0</v>
      </c>
      <c r="AF7955" t="n">
        <v>0</v>
      </c>
      <c r="AG7955" t="n">
        <v>0</v>
      </c>
      <c r="AH7955" t="n">
        <v>0</v>
      </c>
      <c r="AI7955" t="n">
        <v>0</v>
      </c>
    </row>
    <row r="7956">
      <c r="A7956" t="inlineStr">
        <is>
          <t>12월</t>
        </is>
      </c>
      <c r="B7956" t="inlineStr">
        <is>
          <t>52주차</t>
        </is>
      </c>
      <c r="C7956" t="e">
        <v>#N/A</v>
      </c>
      <c r="K7956" t="n">
        <v>0</v>
      </c>
      <c r="L7956" t="n">
        <v>0</v>
      </c>
      <c r="M7956" t="n">
        <v>0</v>
      </c>
      <c r="AC7956" t="n">
        <v>0</v>
      </c>
      <c r="AD7956" t="n">
        <v>0</v>
      </c>
      <c r="AE7956" t="n">
        <v>0</v>
      </c>
      <c r="AF7956" t="n">
        <v>0</v>
      </c>
      <c r="AG7956" t="n">
        <v>0</v>
      </c>
      <c r="AH7956" t="n">
        <v>0</v>
      </c>
    </row>
    <row r="7957">
      <c r="A7957" t="inlineStr">
        <is>
          <t>12월</t>
        </is>
      </c>
      <c r="B7957" t="inlineStr">
        <is>
          <t>52주차</t>
        </is>
      </c>
      <c r="C7957" t="e">
        <v>#N/A</v>
      </c>
      <c r="K7957" t="n">
        <v>0</v>
      </c>
      <c r="L7957" t="n">
        <v>0</v>
      </c>
      <c r="M7957" t="n">
        <v>0</v>
      </c>
      <c r="AC7957" t="n">
        <v>0</v>
      </c>
      <c r="AD7957" t="n">
        <v>0</v>
      </c>
      <c r="AE7957" t="n">
        <v>0</v>
      </c>
      <c r="AF7957" t="n">
        <v>0</v>
      </c>
      <c r="AG7957" t="n">
        <v>0</v>
      </c>
      <c r="AH7957" t="n">
        <v>0</v>
      </c>
      <c r="AI7957" t="n">
        <v>0</v>
      </c>
    </row>
    <row r="7958">
      <c r="A7958" t="inlineStr">
        <is>
          <t>12월</t>
        </is>
      </c>
      <c r="B7958" t="inlineStr">
        <is>
          <t>52주차</t>
        </is>
      </c>
      <c r="C7958" t="e">
        <v>#N/A</v>
      </c>
      <c r="K7958" t="n">
        <v>0</v>
      </c>
      <c r="L7958" t="n">
        <v>0</v>
      </c>
      <c r="M7958" t="n">
        <v>0</v>
      </c>
      <c r="AC7958" t="n">
        <v>0</v>
      </c>
      <c r="AD7958" t="n">
        <v>0</v>
      </c>
      <c r="AE7958" t="n">
        <v>0</v>
      </c>
      <c r="AF7958" t="n">
        <v>0</v>
      </c>
      <c r="AG7958" t="n">
        <v>0</v>
      </c>
      <c r="AH7958" t="n">
        <v>0</v>
      </c>
    </row>
    <row r="7959">
      <c r="A7959" t="inlineStr">
        <is>
          <t>12월</t>
        </is>
      </c>
      <c r="B7959" t="inlineStr">
        <is>
          <t>52주차</t>
        </is>
      </c>
      <c r="C7959" t="e">
        <v>#N/A</v>
      </c>
      <c r="K7959" t="n">
        <v>0</v>
      </c>
      <c r="L7959" t="n">
        <v>0</v>
      </c>
      <c r="M7959" t="n">
        <v>0</v>
      </c>
      <c r="AC7959" t="n">
        <v>0</v>
      </c>
      <c r="AD7959" t="n">
        <v>0</v>
      </c>
      <c r="AE7959" t="n">
        <v>0</v>
      </c>
      <c r="AF7959" t="n">
        <v>0</v>
      </c>
      <c r="AG7959" t="n">
        <v>0</v>
      </c>
      <c r="AH7959" t="n">
        <v>0</v>
      </c>
    </row>
    <row r="7960">
      <c r="A7960" t="inlineStr">
        <is>
          <t>12월</t>
        </is>
      </c>
      <c r="B7960" t="inlineStr">
        <is>
          <t>52주차</t>
        </is>
      </c>
      <c r="C7960" t="e">
        <v>#N/A</v>
      </c>
      <c r="K7960" t="n">
        <v>0</v>
      </c>
      <c r="L7960" t="n">
        <v>0</v>
      </c>
      <c r="M7960" t="n">
        <v>0</v>
      </c>
      <c r="AC7960" t="n">
        <v>0</v>
      </c>
      <c r="AD7960" t="n">
        <v>0</v>
      </c>
      <c r="AE7960" t="n">
        <v>0</v>
      </c>
      <c r="AF7960" t="n">
        <v>0</v>
      </c>
      <c r="AG7960" t="n">
        <v>0</v>
      </c>
      <c r="AH7960" t="n">
        <v>0</v>
      </c>
    </row>
    <row r="7961">
      <c r="A7961" t="inlineStr">
        <is>
          <t>12월</t>
        </is>
      </c>
      <c r="B7961" t="inlineStr">
        <is>
          <t>52주차</t>
        </is>
      </c>
      <c r="C7961" t="e">
        <v>#N/A</v>
      </c>
      <c r="K7961" t="n">
        <v>0</v>
      </c>
      <c r="L7961" t="n">
        <v>0</v>
      </c>
      <c r="M7961" t="n">
        <v>0</v>
      </c>
      <c r="AC7961" t="n">
        <v>0</v>
      </c>
      <c r="AD7961" t="n">
        <v>0</v>
      </c>
      <c r="AE7961" t="n">
        <v>0</v>
      </c>
      <c r="AF7961" t="n">
        <v>0</v>
      </c>
      <c r="AG7961" t="n">
        <v>0</v>
      </c>
      <c r="AH7961" t="n">
        <v>0</v>
      </c>
      <c r="AI7961" t="n">
        <v>0</v>
      </c>
    </row>
    <row r="7962">
      <c r="A7962" t="inlineStr">
        <is>
          <t>12월</t>
        </is>
      </c>
      <c r="B7962" t="inlineStr">
        <is>
          <t>52주차</t>
        </is>
      </c>
      <c r="C7962" t="e">
        <v>#N/A</v>
      </c>
      <c r="K7962" t="n">
        <v>0</v>
      </c>
      <c r="L7962" t="n">
        <v>0</v>
      </c>
      <c r="M7962" t="n">
        <v>0</v>
      </c>
      <c r="AC7962" t="n">
        <v>0</v>
      </c>
      <c r="AD7962" t="n">
        <v>0</v>
      </c>
      <c r="AE7962" t="n">
        <v>0</v>
      </c>
      <c r="AF7962" t="n">
        <v>0</v>
      </c>
      <c r="AG7962" t="n">
        <v>0</v>
      </c>
      <c r="AH7962" t="n">
        <v>0</v>
      </c>
      <c r="AI7962" t="n">
        <v>0</v>
      </c>
    </row>
    <row r="7963">
      <c r="A7963" t="inlineStr">
        <is>
          <t>12월</t>
        </is>
      </c>
      <c r="B7963" t="inlineStr">
        <is>
          <t>52주차</t>
        </is>
      </c>
      <c r="C7963" t="e">
        <v>#N/A</v>
      </c>
      <c r="K7963" t="n">
        <v>0</v>
      </c>
      <c r="L7963" t="n">
        <v>0</v>
      </c>
      <c r="M7963" t="n">
        <v>0</v>
      </c>
      <c r="AC7963" t="n">
        <v>0</v>
      </c>
      <c r="AD7963" t="n">
        <v>0</v>
      </c>
      <c r="AE7963" t="n">
        <v>0</v>
      </c>
      <c r="AF7963" t="n">
        <v>0</v>
      </c>
      <c r="AG7963" t="n">
        <v>0</v>
      </c>
      <c r="AH7963" t="n">
        <v>0</v>
      </c>
    </row>
    <row r="7964">
      <c r="A7964" t="inlineStr">
        <is>
          <t>12월</t>
        </is>
      </c>
      <c r="B7964" t="inlineStr">
        <is>
          <t>52주차</t>
        </is>
      </c>
      <c r="C7964" t="e">
        <v>#N/A</v>
      </c>
      <c r="K7964" t="n">
        <v>0</v>
      </c>
      <c r="L7964" t="n">
        <v>0</v>
      </c>
      <c r="M7964" t="n">
        <v>0</v>
      </c>
      <c r="AC7964" t="n">
        <v>0</v>
      </c>
      <c r="AD7964" t="n">
        <v>0</v>
      </c>
      <c r="AE7964" t="n">
        <v>0</v>
      </c>
      <c r="AF7964" t="n">
        <v>0</v>
      </c>
      <c r="AG7964" t="n">
        <v>0</v>
      </c>
      <c r="AH7964" t="n">
        <v>0</v>
      </c>
      <c r="AI7964" t="n">
        <v>0</v>
      </c>
    </row>
    <row r="7965">
      <c r="A7965" t="inlineStr">
        <is>
          <t>12월</t>
        </is>
      </c>
      <c r="B7965" t="inlineStr">
        <is>
          <t>52주차</t>
        </is>
      </c>
      <c r="C7965" t="e">
        <v>#N/A</v>
      </c>
      <c r="K7965" t="n">
        <v>0</v>
      </c>
      <c r="L7965" t="n">
        <v>0</v>
      </c>
      <c r="M7965" t="n">
        <v>0</v>
      </c>
      <c r="AC7965" t="n">
        <v>0</v>
      </c>
      <c r="AD7965" t="n">
        <v>0</v>
      </c>
      <c r="AE7965" t="n">
        <v>0</v>
      </c>
      <c r="AF7965" t="n">
        <v>0</v>
      </c>
      <c r="AG7965" t="n">
        <v>0</v>
      </c>
      <c r="AH7965" t="n">
        <v>0</v>
      </c>
      <c r="AI7965" t="n">
        <v>0</v>
      </c>
    </row>
    <row r="7966">
      <c r="A7966" t="inlineStr">
        <is>
          <t>12월</t>
        </is>
      </c>
      <c r="B7966" t="inlineStr">
        <is>
          <t>52주차</t>
        </is>
      </c>
      <c r="C7966" t="e">
        <v>#N/A</v>
      </c>
      <c r="K7966" t="n">
        <v>0</v>
      </c>
      <c r="L7966" t="n">
        <v>0</v>
      </c>
      <c r="M7966" t="n">
        <v>0</v>
      </c>
      <c r="AC7966" t="n">
        <v>0</v>
      </c>
      <c r="AD7966" t="n">
        <v>0</v>
      </c>
      <c r="AE7966" t="n">
        <v>0</v>
      </c>
      <c r="AF7966" t="n">
        <v>0</v>
      </c>
      <c r="AG7966" t="n">
        <v>0</v>
      </c>
      <c r="AH7966" t="n">
        <v>0</v>
      </c>
      <c r="AI7966" t="n">
        <v>0</v>
      </c>
    </row>
    <row r="7967">
      <c r="A7967" t="inlineStr">
        <is>
          <t>12월</t>
        </is>
      </c>
      <c r="B7967" t="inlineStr">
        <is>
          <t>52주차</t>
        </is>
      </c>
      <c r="C7967" t="e">
        <v>#N/A</v>
      </c>
      <c r="K7967" t="n">
        <v>0</v>
      </c>
      <c r="L7967" t="n">
        <v>0</v>
      </c>
      <c r="M7967" t="n">
        <v>0</v>
      </c>
      <c r="AC7967" t="n">
        <v>0</v>
      </c>
      <c r="AD7967" t="n">
        <v>0</v>
      </c>
      <c r="AE7967" t="n">
        <v>0</v>
      </c>
      <c r="AF7967" t="n">
        <v>0</v>
      </c>
      <c r="AG7967" t="n">
        <v>0</v>
      </c>
      <c r="AH7967" t="n">
        <v>0</v>
      </c>
      <c r="AI7967" t="n">
        <v>0</v>
      </c>
    </row>
    <row r="7968">
      <c r="A7968" t="inlineStr">
        <is>
          <t>12월</t>
        </is>
      </c>
      <c r="B7968" t="inlineStr">
        <is>
          <t>52주차</t>
        </is>
      </c>
      <c r="C7968" t="e">
        <v>#N/A</v>
      </c>
      <c r="K7968" t="n">
        <v>0</v>
      </c>
      <c r="L7968" t="n">
        <v>0</v>
      </c>
      <c r="M7968" t="n">
        <v>0</v>
      </c>
      <c r="AC7968" t="n">
        <v>0</v>
      </c>
      <c r="AD7968" t="n">
        <v>0</v>
      </c>
      <c r="AE7968" t="n">
        <v>0</v>
      </c>
      <c r="AF7968" t="n">
        <v>0</v>
      </c>
      <c r="AG7968" t="n">
        <v>0</v>
      </c>
      <c r="AH7968" t="n">
        <v>0</v>
      </c>
      <c r="AI7968" t="n">
        <v>0</v>
      </c>
    </row>
    <row r="7969">
      <c r="A7969" t="inlineStr">
        <is>
          <t>12월</t>
        </is>
      </c>
      <c r="B7969" t="inlineStr">
        <is>
          <t>52주차</t>
        </is>
      </c>
      <c r="C7969" t="e">
        <v>#N/A</v>
      </c>
      <c r="K7969" t="n">
        <v>0</v>
      </c>
      <c r="L7969" t="n">
        <v>0</v>
      </c>
      <c r="M7969" t="n">
        <v>0</v>
      </c>
      <c r="AC7969" t="n">
        <v>0</v>
      </c>
      <c r="AD7969" t="n">
        <v>0</v>
      </c>
      <c r="AE7969" t="n">
        <v>0</v>
      </c>
      <c r="AF7969" t="n">
        <v>0</v>
      </c>
      <c r="AG7969" t="n">
        <v>0</v>
      </c>
      <c r="AH7969" t="n">
        <v>0</v>
      </c>
      <c r="AI7969" t="n">
        <v>0</v>
      </c>
    </row>
    <row r="7970">
      <c r="A7970" t="inlineStr">
        <is>
          <t>12월</t>
        </is>
      </c>
      <c r="B7970" t="inlineStr">
        <is>
          <t>52주차</t>
        </is>
      </c>
      <c r="C7970" t="e">
        <v>#N/A</v>
      </c>
      <c r="K7970" t="n">
        <v>0</v>
      </c>
      <c r="L7970" t="n">
        <v>0</v>
      </c>
      <c r="M7970" t="n">
        <v>0</v>
      </c>
      <c r="AC7970" t="n">
        <v>0</v>
      </c>
      <c r="AD7970" t="n">
        <v>0</v>
      </c>
      <c r="AE7970" t="n">
        <v>0</v>
      </c>
      <c r="AF7970" t="n">
        <v>0</v>
      </c>
      <c r="AG7970" t="n">
        <v>0</v>
      </c>
      <c r="AH7970" t="n">
        <v>0</v>
      </c>
      <c r="AI7970" t="n">
        <v>0</v>
      </c>
    </row>
    <row r="7971">
      <c r="A7971" t="inlineStr">
        <is>
          <t>12월</t>
        </is>
      </c>
      <c r="B7971" t="inlineStr">
        <is>
          <t>52주차</t>
        </is>
      </c>
      <c r="C7971" t="e">
        <v>#N/A</v>
      </c>
      <c r="K7971" t="n">
        <v>0</v>
      </c>
      <c r="L7971" t="n">
        <v>0</v>
      </c>
      <c r="M7971" t="n">
        <v>0</v>
      </c>
      <c r="AC7971" t="n">
        <v>0</v>
      </c>
      <c r="AD7971" t="n">
        <v>0</v>
      </c>
      <c r="AE7971" t="n">
        <v>0</v>
      </c>
      <c r="AF7971" t="n">
        <v>0</v>
      </c>
      <c r="AG7971" t="n">
        <v>0</v>
      </c>
      <c r="AH7971" t="n">
        <v>0</v>
      </c>
      <c r="AI7971" t="n">
        <v>0</v>
      </c>
    </row>
    <row r="7972">
      <c r="A7972" t="inlineStr">
        <is>
          <t>12월</t>
        </is>
      </c>
      <c r="B7972" t="inlineStr">
        <is>
          <t>52주차</t>
        </is>
      </c>
      <c r="C7972" t="e">
        <v>#N/A</v>
      </c>
      <c r="K7972" t="n">
        <v>0</v>
      </c>
      <c r="L7972" t="n">
        <v>0</v>
      </c>
      <c r="M7972" t="n">
        <v>0</v>
      </c>
      <c r="AC7972" t="n">
        <v>0</v>
      </c>
      <c r="AD7972" t="n">
        <v>0</v>
      </c>
      <c r="AE7972" t="n">
        <v>0</v>
      </c>
      <c r="AF7972" t="n">
        <v>0</v>
      </c>
      <c r="AG7972" t="n">
        <v>0</v>
      </c>
      <c r="AH7972" t="n">
        <v>0</v>
      </c>
      <c r="AI7972" t="n">
        <v>0</v>
      </c>
    </row>
    <row r="7973">
      <c r="A7973" t="inlineStr">
        <is>
          <t>12월</t>
        </is>
      </c>
      <c r="B7973" t="inlineStr">
        <is>
          <t>52주차</t>
        </is>
      </c>
      <c r="C7973" t="e">
        <v>#N/A</v>
      </c>
      <c r="K7973" t="n">
        <v>0</v>
      </c>
      <c r="L7973" t="n">
        <v>0</v>
      </c>
      <c r="M7973" t="n">
        <v>0</v>
      </c>
      <c r="AC7973" t="n">
        <v>0</v>
      </c>
      <c r="AD7973" t="n">
        <v>0</v>
      </c>
      <c r="AE7973" t="n">
        <v>0</v>
      </c>
      <c r="AF7973" t="n">
        <v>0</v>
      </c>
      <c r="AG7973" t="n">
        <v>0</v>
      </c>
      <c r="AH7973" t="n">
        <v>0</v>
      </c>
      <c r="AI7973" t="n">
        <v>0</v>
      </c>
    </row>
    <row r="7974">
      <c r="A7974" t="inlineStr">
        <is>
          <t>12월</t>
        </is>
      </c>
      <c r="B7974" t="inlineStr">
        <is>
          <t>52주차</t>
        </is>
      </c>
      <c r="C7974" t="e">
        <v>#N/A</v>
      </c>
      <c r="K7974" t="n">
        <v>0</v>
      </c>
      <c r="L7974" t="n">
        <v>0</v>
      </c>
      <c r="M7974" t="n">
        <v>0</v>
      </c>
      <c r="AC7974" t="n">
        <v>0</v>
      </c>
      <c r="AD7974" t="n">
        <v>0</v>
      </c>
      <c r="AE7974" t="n">
        <v>0</v>
      </c>
      <c r="AF7974" t="n">
        <v>0</v>
      </c>
      <c r="AG7974" t="n">
        <v>0</v>
      </c>
      <c r="AH7974" t="n">
        <v>0</v>
      </c>
      <c r="AI7974" t="n">
        <v>0</v>
      </c>
    </row>
    <row r="7975">
      <c r="A7975" t="inlineStr">
        <is>
          <t>12월</t>
        </is>
      </c>
      <c r="B7975" t="inlineStr">
        <is>
          <t>52주차</t>
        </is>
      </c>
      <c r="C7975" t="e">
        <v>#N/A</v>
      </c>
      <c r="K7975" t="n">
        <v>0</v>
      </c>
      <c r="L7975" t="n">
        <v>0</v>
      </c>
      <c r="M7975" t="n">
        <v>0</v>
      </c>
      <c r="AC7975" t="n">
        <v>0</v>
      </c>
      <c r="AD7975" t="n">
        <v>0</v>
      </c>
      <c r="AE7975" t="n">
        <v>0</v>
      </c>
      <c r="AF7975" t="n">
        <v>0</v>
      </c>
      <c r="AG7975" t="n">
        <v>0</v>
      </c>
      <c r="AH7975" t="n">
        <v>0</v>
      </c>
    </row>
    <row r="7976">
      <c r="A7976" t="inlineStr">
        <is>
          <t>12월</t>
        </is>
      </c>
      <c r="B7976" t="inlineStr">
        <is>
          <t>52주차</t>
        </is>
      </c>
      <c r="C7976" t="e">
        <v>#N/A</v>
      </c>
      <c r="K7976" t="n">
        <v>0</v>
      </c>
      <c r="L7976" t="n">
        <v>0</v>
      </c>
      <c r="M7976" t="n">
        <v>0</v>
      </c>
      <c r="AC7976" t="n">
        <v>0</v>
      </c>
      <c r="AD7976" t="n">
        <v>0</v>
      </c>
      <c r="AE7976" t="n">
        <v>0</v>
      </c>
      <c r="AF7976" t="n">
        <v>0</v>
      </c>
      <c r="AG7976" t="n">
        <v>0</v>
      </c>
      <c r="AH7976" t="n">
        <v>0</v>
      </c>
      <c r="AI7976" t="n">
        <v>0</v>
      </c>
    </row>
    <row r="7977">
      <c r="A7977" t="inlineStr">
        <is>
          <t>12월</t>
        </is>
      </c>
      <c r="B7977" t="inlineStr">
        <is>
          <t>52주차</t>
        </is>
      </c>
      <c r="C7977" t="e">
        <v>#N/A</v>
      </c>
      <c r="K7977" t="n">
        <v>0</v>
      </c>
      <c r="L7977" t="n">
        <v>0</v>
      </c>
      <c r="M7977" t="n">
        <v>0</v>
      </c>
      <c r="AC7977" t="n">
        <v>0</v>
      </c>
      <c r="AD7977" t="n">
        <v>0</v>
      </c>
      <c r="AE7977" t="n">
        <v>0</v>
      </c>
      <c r="AF7977" t="n">
        <v>0</v>
      </c>
      <c r="AG7977" t="n">
        <v>0</v>
      </c>
      <c r="AH7977" t="n">
        <v>0</v>
      </c>
      <c r="AI7977" t="n">
        <v>0</v>
      </c>
    </row>
    <row r="7978">
      <c r="A7978" t="inlineStr">
        <is>
          <t>12월</t>
        </is>
      </c>
      <c r="B7978" t="inlineStr">
        <is>
          <t>52주차</t>
        </is>
      </c>
      <c r="C7978" t="e">
        <v>#N/A</v>
      </c>
      <c r="K7978" t="n">
        <v>0</v>
      </c>
      <c r="L7978" t="n">
        <v>0</v>
      </c>
      <c r="M7978" t="n">
        <v>0</v>
      </c>
      <c r="AC7978" t="n">
        <v>0</v>
      </c>
      <c r="AD7978" t="n">
        <v>0</v>
      </c>
      <c r="AE7978" t="n">
        <v>0</v>
      </c>
      <c r="AF7978" t="n">
        <v>0</v>
      </c>
      <c r="AG7978" t="n">
        <v>0</v>
      </c>
      <c r="AH7978" t="n">
        <v>0</v>
      </c>
      <c r="AI7978" t="n">
        <v>0</v>
      </c>
    </row>
    <row r="7979">
      <c r="A7979" t="inlineStr">
        <is>
          <t>12월</t>
        </is>
      </c>
      <c r="B7979" t="inlineStr">
        <is>
          <t>52주차</t>
        </is>
      </c>
      <c r="C7979" t="e">
        <v>#N/A</v>
      </c>
      <c r="K7979" t="n">
        <v>0</v>
      </c>
      <c r="L7979" t="n">
        <v>0</v>
      </c>
      <c r="M7979" t="n">
        <v>0</v>
      </c>
      <c r="AC7979" t="n">
        <v>0</v>
      </c>
      <c r="AD7979" t="n">
        <v>0</v>
      </c>
      <c r="AE7979" t="n">
        <v>0</v>
      </c>
      <c r="AF7979" t="n">
        <v>0</v>
      </c>
      <c r="AG7979" t="n">
        <v>0</v>
      </c>
      <c r="AH7979" t="n">
        <v>0</v>
      </c>
      <c r="AI7979" t="n">
        <v>0</v>
      </c>
    </row>
    <row r="7980">
      <c r="A7980" t="inlineStr">
        <is>
          <t>12월</t>
        </is>
      </c>
      <c r="B7980" t="inlineStr">
        <is>
          <t>52주차</t>
        </is>
      </c>
      <c r="C7980" t="e">
        <v>#N/A</v>
      </c>
      <c r="K7980" t="n">
        <v>0</v>
      </c>
      <c r="L7980" t="n">
        <v>0</v>
      </c>
      <c r="M7980" t="n">
        <v>0</v>
      </c>
      <c r="AC7980" t="n">
        <v>0</v>
      </c>
      <c r="AD7980" t="n">
        <v>0</v>
      </c>
      <c r="AE7980" t="n">
        <v>0</v>
      </c>
      <c r="AF7980" t="n">
        <v>0</v>
      </c>
      <c r="AG7980" t="n">
        <v>0</v>
      </c>
      <c r="AH7980" t="n">
        <v>0</v>
      </c>
      <c r="AI7980" t="n">
        <v>0</v>
      </c>
    </row>
    <row r="7981">
      <c r="A7981" t="inlineStr">
        <is>
          <t>12월</t>
        </is>
      </c>
      <c r="B7981" t="inlineStr">
        <is>
          <t>52주차</t>
        </is>
      </c>
      <c r="C7981" t="e">
        <v>#N/A</v>
      </c>
      <c r="K7981" t="n">
        <v>0</v>
      </c>
      <c r="L7981" t="n">
        <v>0</v>
      </c>
      <c r="M7981" t="n">
        <v>0</v>
      </c>
      <c r="AC7981" t="n">
        <v>0</v>
      </c>
      <c r="AD7981" t="n">
        <v>0</v>
      </c>
      <c r="AE7981" t="n">
        <v>0</v>
      </c>
      <c r="AF7981" t="n">
        <v>0</v>
      </c>
      <c r="AG7981" t="n">
        <v>0</v>
      </c>
      <c r="AH7981" t="n">
        <v>0</v>
      </c>
      <c r="AI7981" t="n">
        <v>0</v>
      </c>
    </row>
    <row r="7982">
      <c r="A7982" t="inlineStr">
        <is>
          <t>12월</t>
        </is>
      </c>
      <c r="B7982" t="inlineStr">
        <is>
          <t>52주차</t>
        </is>
      </c>
      <c r="C7982" t="e">
        <v>#N/A</v>
      </c>
      <c r="K7982" t="n">
        <v>0</v>
      </c>
      <c r="L7982" t="n">
        <v>0</v>
      </c>
      <c r="M7982" t="n">
        <v>0</v>
      </c>
      <c r="AC7982" t="n">
        <v>0</v>
      </c>
      <c r="AD7982" t="n">
        <v>0</v>
      </c>
      <c r="AE7982" t="n">
        <v>0</v>
      </c>
      <c r="AF7982" t="n">
        <v>0</v>
      </c>
      <c r="AG7982" t="n">
        <v>0</v>
      </c>
      <c r="AH7982" t="n">
        <v>0</v>
      </c>
      <c r="AI7982" t="n">
        <v>0</v>
      </c>
    </row>
    <row r="7983">
      <c r="A7983" t="inlineStr">
        <is>
          <t>12월</t>
        </is>
      </c>
      <c r="B7983" t="inlineStr">
        <is>
          <t>52주차</t>
        </is>
      </c>
      <c r="C7983" t="e">
        <v>#N/A</v>
      </c>
      <c r="K7983" t="n">
        <v>0</v>
      </c>
      <c r="L7983" t="n">
        <v>0</v>
      </c>
      <c r="M7983" t="n">
        <v>0</v>
      </c>
      <c r="AC7983" t="n">
        <v>0</v>
      </c>
      <c r="AD7983" t="n">
        <v>0</v>
      </c>
      <c r="AE7983" t="n">
        <v>0</v>
      </c>
      <c r="AF7983" t="n">
        <v>0</v>
      </c>
      <c r="AG7983" t="n">
        <v>0</v>
      </c>
      <c r="AH7983" t="n">
        <v>0</v>
      </c>
      <c r="AI7983" t="n">
        <v>0</v>
      </c>
    </row>
    <row r="7984">
      <c r="A7984" t="inlineStr">
        <is>
          <t>12월</t>
        </is>
      </c>
      <c r="B7984" t="inlineStr">
        <is>
          <t>52주차</t>
        </is>
      </c>
      <c r="C7984" t="e">
        <v>#N/A</v>
      </c>
      <c r="K7984" t="n">
        <v>0</v>
      </c>
      <c r="L7984" t="n">
        <v>0</v>
      </c>
      <c r="M7984" t="n">
        <v>0</v>
      </c>
      <c r="AC7984" t="n">
        <v>0</v>
      </c>
      <c r="AD7984" t="n">
        <v>0</v>
      </c>
      <c r="AE7984" t="n">
        <v>0</v>
      </c>
      <c r="AF7984" t="n">
        <v>0</v>
      </c>
      <c r="AG7984" t="n">
        <v>0</v>
      </c>
      <c r="AH7984" t="n">
        <v>0</v>
      </c>
      <c r="AI7984" t="n">
        <v>0</v>
      </c>
    </row>
    <row r="7985">
      <c r="A7985" t="inlineStr">
        <is>
          <t>12월</t>
        </is>
      </c>
      <c r="B7985" t="inlineStr">
        <is>
          <t>52주차</t>
        </is>
      </c>
      <c r="C7985" t="e">
        <v>#N/A</v>
      </c>
      <c r="K7985" t="n">
        <v>0</v>
      </c>
      <c r="L7985" t="n">
        <v>0</v>
      </c>
      <c r="M7985" t="n">
        <v>0</v>
      </c>
      <c r="AC7985" t="n">
        <v>0</v>
      </c>
      <c r="AD7985" t="n">
        <v>0</v>
      </c>
      <c r="AE7985" t="n">
        <v>0</v>
      </c>
      <c r="AF7985" t="n">
        <v>0</v>
      </c>
      <c r="AG7985" t="n">
        <v>0</v>
      </c>
      <c r="AH7985" t="n">
        <v>0</v>
      </c>
      <c r="AI7985" t="n">
        <v>0</v>
      </c>
    </row>
    <row r="7986">
      <c r="A7986" t="inlineStr">
        <is>
          <t>12월</t>
        </is>
      </c>
      <c r="B7986" t="inlineStr">
        <is>
          <t>52주차</t>
        </is>
      </c>
      <c r="C7986" t="e">
        <v>#N/A</v>
      </c>
      <c r="K7986" t="n">
        <v>0</v>
      </c>
      <c r="L7986" t="n">
        <v>0</v>
      </c>
      <c r="M7986" t="n">
        <v>0</v>
      </c>
      <c r="AC7986" t="n">
        <v>0</v>
      </c>
      <c r="AD7986" t="n">
        <v>0</v>
      </c>
      <c r="AE7986" t="n">
        <v>0</v>
      </c>
      <c r="AF7986" t="n">
        <v>0</v>
      </c>
      <c r="AG7986" t="n">
        <v>0</v>
      </c>
      <c r="AH7986" t="n">
        <v>0</v>
      </c>
      <c r="AI7986" t="n">
        <v>0</v>
      </c>
    </row>
    <row r="7987">
      <c r="A7987" t="inlineStr">
        <is>
          <t>12월</t>
        </is>
      </c>
      <c r="B7987" t="inlineStr">
        <is>
          <t>52주차</t>
        </is>
      </c>
      <c r="C7987" t="e">
        <v>#N/A</v>
      </c>
      <c r="K7987" t="n">
        <v>0</v>
      </c>
      <c r="L7987" t="n">
        <v>0</v>
      </c>
      <c r="M7987" t="n">
        <v>0</v>
      </c>
      <c r="AC7987" t="n">
        <v>0</v>
      </c>
      <c r="AD7987" t="n">
        <v>0</v>
      </c>
      <c r="AE7987" t="n">
        <v>0</v>
      </c>
      <c r="AF7987" t="n">
        <v>0</v>
      </c>
      <c r="AG7987" t="n">
        <v>0</v>
      </c>
      <c r="AH7987" t="n">
        <v>0</v>
      </c>
      <c r="AI7987" t="n">
        <v>0</v>
      </c>
    </row>
    <row r="7988">
      <c r="A7988" t="inlineStr">
        <is>
          <t>12월</t>
        </is>
      </c>
      <c r="B7988" t="inlineStr">
        <is>
          <t>52주차</t>
        </is>
      </c>
      <c r="C7988" t="e">
        <v>#N/A</v>
      </c>
      <c r="K7988" t="n">
        <v>0</v>
      </c>
      <c r="L7988" t="n">
        <v>0</v>
      </c>
      <c r="M7988" t="n">
        <v>0</v>
      </c>
      <c r="AC7988" t="n">
        <v>0</v>
      </c>
      <c r="AD7988" t="n">
        <v>0</v>
      </c>
      <c r="AE7988" t="n">
        <v>0</v>
      </c>
      <c r="AF7988" t="n">
        <v>0</v>
      </c>
      <c r="AG7988" t="n">
        <v>0</v>
      </c>
      <c r="AH7988" t="n">
        <v>0</v>
      </c>
      <c r="AI7988" t="n">
        <v>0</v>
      </c>
    </row>
    <row r="7989">
      <c r="A7989" t="inlineStr">
        <is>
          <t>12월</t>
        </is>
      </c>
      <c r="B7989" t="inlineStr">
        <is>
          <t>52주차</t>
        </is>
      </c>
      <c r="C7989" t="e">
        <v>#N/A</v>
      </c>
      <c r="K7989" t="n">
        <v>0</v>
      </c>
      <c r="L7989" t="n">
        <v>0</v>
      </c>
      <c r="M7989" t="n">
        <v>0</v>
      </c>
      <c r="AC7989" t="n">
        <v>0</v>
      </c>
      <c r="AD7989" t="n">
        <v>0</v>
      </c>
      <c r="AE7989" t="n">
        <v>0</v>
      </c>
      <c r="AF7989" t="n">
        <v>0</v>
      </c>
      <c r="AG7989" t="n">
        <v>0</v>
      </c>
      <c r="AH7989" t="n">
        <v>0</v>
      </c>
      <c r="AI7989" t="n">
        <v>0</v>
      </c>
    </row>
    <row r="7990">
      <c r="A7990" t="inlineStr">
        <is>
          <t>12월</t>
        </is>
      </c>
      <c r="B7990" t="inlineStr">
        <is>
          <t>52주차</t>
        </is>
      </c>
      <c r="C7990" t="e">
        <v>#N/A</v>
      </c>
      <c r="K7990" t="n">
        <v>0</v>
      </c>
      <c r="L7990" t="n">
        <v>0</v>
      </c>
      <c r="M7990" t="n">
        <v>0</v>
      </c>
      <c r="AC7990" t="n">
        <v>0</v>
      </c>
      <c r="AD7990" t="n">
        <v>0</v>
      </c>
      <c r="AE7990" t="n">
        <v>0</v>
      </c>
      <c r="AF7990" t="n">
        <v>0</v>
      </c>
      <c r="AG7990" t="n">
        <v>0</v>
      </c>
      <c r="AH7990" t="n">
        <v>0</v>
      </c>
      <c r="AI7990" t="n">
        <v>0</v>
      </c>
    </row>
    <row r="7991">
      <c r="A7991" t="inlineStr">
        <is>
          <t>12월</t>
        </is>
      </c>
      <c r="B7991" t="inlineStr">
        <is>
          <t>52주차</t>
        </is>
      </c>
      <c r="C7991" t="e">
        <v>#N/A</v>
      </c>
      <c r="K7991" t="n">
        <v>0</v>
      </c>
      <c r="L7991" t="n">
        <v>0</v>
      </c>
      <c r="M7991" t="n">
        <v>0</v>
      </c>
      <c r="AC7991" t="n">
        <v>0</v>
      </c>
      <c r="AD7991" t="n">
        <v>0</v>
      </c>
      <c r="AE7991" t="n">
        <v>0</v>
      </c>
      <c r="AF7991" t="n">
        <v>0</v>
      </c>
      <c r="AG7991" t="n">
        <v>0</v>
      </c>
      <c r="AH7991" t="n">
        <v>0</v>
      </c>
      <c r="AI7991" t="n">
        <v>0</v>
      </c>
    </row>
    <row r="7992">
      <c r="A7992" t="inlineStr">
        <is>
          <t>12월</t>
        </is>
      </c>
      <c r="B7992" t="inlineStr">
        <is>
          <t>52주차</t>
        </is>
      </c>
      <c r="C7992" t="e">
        <v>#N/A</v>
      </c>
      <c r="K7992" t="n">
        <v>0</v>
      </c>
      <c r="L7992" t="n">
        <v>0</v>
      </c>
      <c r="M7992" t="n">
        <v>0</v>
      </c>
      <c r="AC7992" t="n">
        <v>0</v>
      </c>
      <c r="AD7992" t="n">
        <v>0</v>
      </c>
      <c r="AE7992" t="n">
        <v>0</v>
      </c>
      <c r="AF7992" t="n">
        <v>0</v>
      </c>
      <c r="AG7992" t="n">
        <v>0</v>
      </c>
      <c r="AH7992" t="n">
        <v>0</v>
      </c>
      <c r="AI7992" t="n">
        <v>0</v>
      </c>
    </row>
    <row r="7993">
      <c r="A7993" t="inlineStr">
        <is>
          <t>12월</t>
        </is>
      </c>
      <c r="B7993" t="inlineStr">
        <is>
          <t>52주차</t>
        </is>
      </c>
      <c r="C7993" t="e">
        <v>#N/A</v>
      </c>
      <c r="K7993" t="n">
        <v>0</v>
      </c>
      <c r="L7993" t="n">
        <v>0</v>
      </c>
      <c r="M7993" t="n">
        <v>0</v>
      </c>
      <c r="AC7993" t="n">
        <v>0</v>
      </c>
      <c r="AD7993" t="n">
        <v>0</v>
      </c>
      <c r="AE7993" t="n">
        <v>0</v>
      </c>
      <c r="AF7993" t="n">
        <v>0</v>
      </c>
      <c r="AG7993" t="n">
        <v>0</v>
      </c>
      <c r="AH7993" t="n">
        <v>0</v>
      </c>
      <c r="AI7993" t="n">
        <v>0</v>
      </c>
    </row>
    <row r="7994">
      <c r="A7994" t="inlineStr">
        <is>
          <t>12월</t>
        </is>
      </c>
      <c r="B7994" t="inlineStr">
        <is>
          <t>52주차</t>
        </is>
      </c>
      <c r="C7994" t="e">
        <v>#N/A</v>
      </c>
      <c r="K7994" t="n">
        <v>0</v>
      </c>
      <c r="L7994" t="n">
        <v>0</v>
      </c>
      <c r="M7994" t="n">
        <v>0</v>
      </c>
      <c r="AC7994" t="n">
        <v>0</v>
      </c>
      <c r="AD7994" t="n">
        <v>0</v>
      </c>
      <c r="AE7994" t="n">
        <v>0</v>
      </c>
      <c r="AF7994" t="n">
        <v>0</v>
      </c>
      <c r="AG7994" t="n">
        <v>0</v>
      </c>
      <c r="AH7994" t="n">
        <v>0</v>
      </c>
      <c r="AI7994" t="n">
        <v>0</v>
      </c>
    </row>
    <row r="7995">
      <c r="A7995" t="inlineStr">
        <is>
          <t>12월</t>
        </is>
      </c>
      <c r="B7995" t="inlineStr">
        <is>
          <t>52주차</t>
        </is>
      </c>
      <c r="C7995" t="e">
        <v>#N/A</v>
      </c>
      <c r="K7995" t="n">
        <v>0</v>
      </c>
      <c r="L7995" t="n">
        <v>0</v>
      </c>
      <c r="M7995" t="n">
        <v>0</v>
      </c>
      <c r="AC7995" t="n">
        <v>0</v>
      </c>
      <c r="AD7995" t="n">
        <v>0</v>
      </c>
      <c r="AE7995" t="n">
        <v>0</v>
      </c>
      <c r="AF7995" t="n">
        <v>0</v>
      </c>
      <c r="AG7995" t="n">
        <v>0</v>
      </c>
      <c r="AH7995" t="n">
        <v>0</v>
      </c>
    </row>
    <row r="7996">
      <c r="A7996" t="inlineStr">
        <is>
          <t>12월</t>
        </is>
      </c>
      <c r="B7996" t="inlineStr">
        <is>
          <t>52주차</t>
        </is>
      </c>
      <c r="C7996" t="e">
        <v>#N/A</v>
      </c>
      <c r="K7996" t="n">
        <v>0</v>
      </c>
      <c r="L7996" t="n">
        <v>0</v>
      </c>
      <c r="M7996" t="n">
        <v>0</v>
      </c>
      <c r="AC7996" t="n">
        <v>0</v>
      </c>
      <c r="AD7996" t="n">
        <v>0</v>
      </c>
      <c r="AE7996" t="n">
        <v>0</v>
      </c>
      <c r="AF7996" t="n">
        <v>0</v>
      </c>
      <c r="AG7996" t="n">
        <v>0</v>
      </c>
      <c r="AH7996" t="n">
        <v>0</v>
      </c>
    </row>
    <row r="7997">
      <c r="A7997" t="inlineStr">
        <is>
          <t>12월</t>
        </is>
      </c>
      <c r="B7997" t="inlineStr">
        <is>
          <t>52주차</t>
        </is>
      </c>
      <c r="C7997" t="e">
        <v>#N/A</v>
      </c>
      <c r="K7997" t="n">
        <v>0</v>
      </c>
      <c r="L7997" t="n">
        <v>0</v>
      </c>
      <c r="M7997" t="n">
        <v>0</v>
      </c>
      <c r="AC7997" t="n">
        <v>0</v>
      </c>
      <c r="AD7997" t="n">
        <v>0</v>
      </c>
      <c r="AE7997" t="n">
        <v>0</v>
      </c>
      <c r="AF7997" t="n">
        <v>0</v>
      </c>
      <c r="AG7997" t="n">
        <v>0</v>
      </c>
      <c r="AH7997" t="n">
        <v>0</v>
      </c>
      <c r="AI7997" t="n">
        <v>0</v>
      </c>
    </row>
    <row r="7998">
      <c r="A7998" t="inlineStr">
        <is>
          <t>12월</t>
        </is>
      </c>
      <c r="B7998" t="inlineStr">
        <is>
          <t>52주차</t>
        </is>
      </c>
      <c r="C7998" t="e">
        <v>#N/A</v>
      </c>
      <c r="K7998" t="n">
        <v>0</v>
      </c>
      <c r="L7998" t="n">
        <v>0</v>
      </c>
      <c r="M7998" t="n">
        <v>0</v>
      </c>
      <c r="AC7998" t="n">
        <v>0</v>
      </c>
      <c r="AD7998" t="n">
        <v>0</v>
      </c>
      <c r="AE7998" t="n">
        <v>0</v>
      </c>
      <c r="AF7998" t="n">
        <v>0</v>
      </c>
      <c r="AG7998" t="n">
        <v>0</v>
      </c>
      <c r="AH7998" t="n">
        <v>0</v>
      </c>
      <c r="AI7998" t="n">
        <v>0</v>
      </c>
    </row>
    <row r="7999">
      <c r="A7999" t="inlineStr">
        <is>
          <t>12월</t>
        </is>
      </c>
      <c r="B7999" t="inlineStr">
        <is>
          <t>52주차</t>
        </is>
      </c>
      <c r="C7999" t="e">
        <v>#N/A</v>
      </c>
      <c r="K7999" t="n">
        <v>0</v>
      </c>
      <c r="L7999" t="n">
        <v>0</v>
      </c>
      <c r="M7999" t="n">
        <v>0</v>
      </c>
      <c r="AC7999" t="n">
        <v>0</v>
      </c>
      <c r="AD7999" t="n">
        <v>0</v>
      </c>
      <c r="AE7999" t="n">
        <v>0</v>
      </c>
      <c r="AF7999" t="n">
        <v>0</v>
      </c>
      <c r="AG7999" t="n">
        <v>0</v>
      </c>
      <c r="AH7999" t="n">
        <v>0</v>
      </c>
      <c r="AI7999" t="n">
        <v>0</v>
      </c>
    </row>
    <row r="8000">
      <c r="A8000" t="inlineStr">
        <is>
          <t>12월</t>
        </is>
      </c>
      <c r="B8000" t="inlineStr">
        <is>
          <t>52주차</t>
        </is>
      </c>
      <c r="C8000" t="e">
        <v>#N/A</v>
      </c>
      <c r="K8000" t="n">
        <v>0</v>
      </c>
      <c r="L8000" t="n">
        <v>0</v>
      </c>
      <c r="M8000" t="n">
        <v>0</v>
      </c>
      <c r="AC8000" t="n">
        <v>0</v>
      </c>
      <c r="AD8000" t="n">
        <v>0</v>
      </c>
      <c r="AE8000" t="n">
        <v>0</v>
      </c>
      <c r="AF8000" t="n">
        <v>0</v>
      </c>
      <c r="AG8000" t="n">
        <v>0</v>
      </c>
      <c r="AH8000" t="n">
        <v>0</v>
      </c>
    </row>
    <row r="8001">
      <c r="A8001" t="inlineStr">
        <is>
          <t>12월</t>
        </is>
      </c>
      <c r="B8001" t="inlineStr">
        <is>
          <t>52주차</t>
        </is>
      </c>
      <c r="C8001" t="e">
        <v>#N/A</v>
      </c>
      <c r="K8001" t="n">
        <v>0</v>
      </c>
      <c r="L8001" t="n">
        <v>0</v>
      </c>
      <c r="M8001" t="n">
        <v>0</v>
      </c>
      <c r="AC8001" t="n">
        <v>0</v>
      </c>
      <c r="AD8001" t="n">
        <v>0</v>
      </c>
      <c r="AE8001" t="n">
        <v>0</v>
      </c>
      <c r="AF8001" t="n">
        <v>0</v>
      </c>
      <c r="AG8001" t="n">
        <v>0</v>
      </c>
      <c r="AH8001" t="n">
        <v>0</v>
      </c>
      <c r="AI8001" t="n">
        <v>0</v>
      </c>
    </row>
    <row r="8002">
      <c r="A8002" t="inlineStr">
        <is>
          <t>12월</t>
        </is>
      </c>
      <c r="B8002" t="inlineStr">
        <is>
          <t>52주차</t>
        </is>
      </c>
      <c r="C8002" t="e">
        <v>#N/A</v>
      </c>
      <c r="K8002" t="n">
        <v>0</v>
      </c>
      <c r="L8002" t="n">
        <v>0</v>
      </c>
      <c r="M8002" t="n">
        <v>0</v>
      </c>
      <c r="AC8002" t="n">
        <v>0</v>
      </c>
      <c r="AD8002" t="n">
        <v>0</v>
      </c>
      <c r="AE8002" t="n">
        <v>0</v>
      </c>
      <c r="AF8002" t="n">
        <v>0</v>
      </c>
      <c r="AG8002" t="n">
        <v>0</v>
      </c>
      <c r="AH8002" t="n">
        <v>0</v>
      </c>
      <c r="AI8002" t="n">
        <v>0</v>
      </c>
    </row>
    <row r="8003">
      <c r="A8003" t="inlineStr">
        <is>
          <t>12월</t>
        </is>
      </c>
      <c r="B8003" t="inlineStr">
        <is>
          <t>52주차</t>
        </is>
      </c>
      <c r="C8003" t="e">
        <v>#N/A</v>
      </c>
      <c r="K8003" t="n">
        <v>0</v>
      </c>
      <c r="L8003" t="n">
        <v>0</v>
      </c>
      <c r="M8003" t="n">
        <v>0</v>
      </c>
      <c r="AC8003" t="n">
        <v>0</v>
      </c>
      <c r="AD8003" t="n">
        <v>0</v>
      </c>
      <c r="AE8003" t="n">
        <v>0</v>
      </c>
      <c r="AF8003" t="n">
        <v>0</v>
      </c>
      <c r="AG8003" t="n">
        <v>0</v>
      </c>
      <c r="AH8003" t="n">
        <v>0</v>
      </c>
      <c r="AI8003" t="n">
        <v>0</v>
      </c>
    </row>
    <row r="8004">
      <c r="A8004" t="inlineStr">
        <is>
          <t>12월</t>
        </is>
      </c>
      <c r="B8004" t="inlineStr">
        <is>
          <t>52주차</t>
        </is>
      </c>
      <c r="C8004" t="e">
        <v>#N/A</v>
      </c>
      <c r="K8004" t="n">
        <v>0</v>
      </c>
      <c r="L8004" t="n">
        <v>0</v>
      </c>
      <c r="M8004" t="n">
        <v>0</v>
      </c>
      <c r="AC8004" t="n">
        <v>0</v>
      </c>
      <c r="AD8004" t="n">
        <v>0</v>
      </c>
      <c r="AE8004" t="n">
        <v>0</v>
      </c>
      <c r="AF8004" t="n">
        <v>0</v>
      </c>
      <c r="AG8004" t="n">
        <v>0</v>
      </c>
      <c r="AH8004" t="n">
        <v>0</v>
      </c>
      <c r="AI8004" t="n">
        <v>0</v>
      </c>
    </row>
    <row r="8005">
      <c r="A8005" t="inlineStr">
        <is>
          <t>12월</t>
        </is>
      </c>
      <c r="B8005" t="inlineStr">
        <is>
          <t>52주차</t>
        </is>
      </c>
      <c r="C8005" t="e">
        <v>#N/A</v>
      </c>
      <c r="K8005" t="n">
        <v>0</v>
      </c>
      <c r="L8005" t="n">
        <v>0</v>
      </c>
      <c r="M8005" t="n">
        <v>0</v>
      </c>
      <c r="AC8005" t="n">
        <v>0</v>
      </c>
      <c r="AD8005" t="n">
        <v>0</v>
      </c>
      <c r="AE8005" t="n">
        <v>0</v>
      </c>
      <c r="AF8005" t="n">
        <v>0</v>
      </c>
      <c r="AG8005" t="n">
        <v>0</v>
      </c>
      <c r="AH8005" t="n">
        <v>0</v>
      </c>
      <c r="AI8005" t="n">
        <v>0</v>
      </c>
    </row>
    <row r="8006">
      <c r="A8006" t="inlineStr">
        <is>
          <t>12월</t>
        </is>
      </c>
      <c r="B8006" t="inlineStr">
        <is>
          <t>52주차</t>
        </is>
      </c>
      <c r="C8006" t="e">
        <v>#N/A</v>
      </c>
      <c r="K8006" t="n">
        <v>0</v>
      </c>
      <c r="L8006" t="n">
        <v>0</v>
      </c>
      <c r="M8006" t="n">
        <v>0</v>
      </c>
      <c r="AC8006" t="n">
        <v>0</v>
      </c>
      <c r="AD8006" t="n">
        <v>0</v>
      </c>
      <c r="AE8006" t="n">
        <v>0</v>
      </c>
      <c r="AF8006" t="n">
        <v>0</v>
      </c>
      <c r="AG8006" t="n">
        <v>0</v>
      </c>
      <c r="AH8006" t="n">
        <v>0</v>
      </c>
      <c r="AI8006" t="n">
        <v>0</v>
      </c>
    </row>
    <row r="8007">
      <c r="A8007" t="inlineStr">
        <is>
          <t>12월</t>
        </is>
      </c>
      <c r="B8007" t="inlineStr">
        <is>
          <t>52주차</t>
        </is>
      </c>
      <c r="C8007" t="e">
        <v>#N/A</v>
      </c>
      <c r="K8007" t="n">
        <v>0</v>
      </c>
      <c r="L8007" t="n">
        <v>0</v>
      </c>
      <c r="M8007" t="n">
        <v>0</v>
      </c>
      <c r="AC8007" t="n">
        <v>0</v>
      </c>
      <c r="AD8007" t="n">
        <v>0</v>
      </c>
      <c r="AE8007" t="n">
        <v>0</v>
      </c>
      <c r="AF8007" t="n">
        <v>0</v>
      </c>
      <c r="AG8007" t="n">
        <v>0</v>
      </c>
      <c r="AH8007" t="n">
        <v>0</v>
      </c>
    </row>
    <row r="8008">
      <c r="A8008" t="inlineStr">
        <is>
          <t>12월</t>
        </is>
      </c>
      <c r="B8008" t="inlineStr">
        <is>
          <t>52주차</t>
        </is>
      </c>
      <c r="C8008" t="e">
        <v>#N/A</v>
      </c>
      <c r="K8008" t="n">
        <v>0</v>
      </c>
      <c r="L8008" t="n">
        <v>0</v>
      </c>
      <c r="M8008" t="n">
        <v>0</v>
      </c>
      <c r="AC8008" t="n">
        <v>0</v>
      </c>
      <c r="AD8008" t="n">
        <v>0</v>
      </c>
      <c r="AE8008" t="n">
        <v>0</v>
      </c>
      <c r="AF8008" t="n">
        <v>0</v>
      </c>
      <c r="AG8008" t="n">
        <v>0</v>
      </c>
      <c r="AH8008" t="n">
        <v>0</v>
      </c>
      <c r="AI8008" t="n">
        <v>0</v>
      </c>
    </row>
    <row r="8009">
      <c r="A8009" t="inlineStr">
        <is>
          <t>12월</t>
        </is>
      </c>
      <c r="B8009" t="inlineStr">
        <is>
          <t>52주차</t>
        </is>
      </c>
      <c r="C8009" t="e">
        <v>#N/A</v>
      </c>
      <c r="K8009" t="n">
        <v>0</v>
      </c>
      <c r="L8009" t="n">
        <v>0</v>
      </c>
      <c r="M8009" t="n">
        <v>0</v>
      </c>
      <c r="AC8009" t="n">
        <v>0</v>
      </c>
      <c r="AD8009" t="n">
        <v>0</v>
      </c>
      <c r="AE8009" t="n">
        <v>0</v>
      </c>
      <c r="AF8009" t="n">
        <v>0</v>
      </c>
      <c r="AG8009" t="n">
        <v>0</v>
      </c>
      <c r="AH8009" t="n">
        <v>0</v>
      </c>
    </row>
    <row r="8010">
      <c r="A8010" t="inlineStr">
        <is>
          <t>12월</t>
        </is>
      </c>
      <c r="B8010" t="inlineStr">
        <is>
          <t>52주차</t>
        </is>
      </c>
      <c r="C8010" t="e">
        <v>#N/A</v>
      </c>
      <c r="K8010" t="n">
        <v>0</v>
      </c>
      <c r="L8010" t="n">
        <v>0</v>
      </c>
      <c r="M8010" t="n">
        <v>0</v>
      </c>
      <c r="AC8010" t="n">
        <v>0</v>
      </c>
      <c r="AD8010" t="n">
        <v>0</v>
      </c>
      <c r="AE8010" t="n">
        <v>0</v>
      </c>
      <c r="AF8010" t="n">
        <v>0</v>
      </c>
      <c r="AG8010" t="n">
        <v>0</v>
      </c>
      <c r="AH8010" t="n">
        <v>0</v>
      </c>
    </row>
    <row r="8011">
      <c r="A8011" t="inlineStr">
        <is>
          <t>12월</t>
        </is>
      </c>
      <c r="B8011" t="inlineStr">
        <is>
          <t>52주차</t>
        </is>
      </c>
      <c r="C8011" t="e">
        <v>#N/A</v>
      </c>
      <c r="K8011" t="n">
        <v>0</v>
      </c>
      <c r="L8011" t="n">
        <v>0</v>
      </c>
      <c r="M8011" t="n">
        <v>0</v>
      </c>
      <c r="AC8011" t="n">
        <v>0</v>
      </c>
      <c r="AD8011" t="n">
        <v>0</v>
      </c>
      <c r="AE8011" t="n">
        <v>0</v>
      </c>
      <c r="AF8011" t="n">
        <v>0</v>
      </c>
      <c r="AG8011" t="n">
        <v>0</v>
      </c>
      <c r="AH8011" t="n">
        <v>0</v>
      </c>
      <c r="AI8011" t="n">
        <v>0</v>
      </c>
    </row>
    <row r="8012">
      <c r="A8012" t="inlineStr">
        <is>
          <t>12월</t>
        </is>
      </c>
      <c r="B8012" t="inlineStr">
        <is>
          <t>52주차</t>
        </is>
      </c>
      <c r="C8012" t="e">
        <v>#N/A</v>
      </c>
      <c r="K8012" t="n">
        <v>0</v>
      </c>
      <c r="L8012" t="n">
        <v>0</v>
      </c>
      <c r="M8012" t="n">
        <v>0</v>
      </c>
      <c r="AC8012" t="n">
        <v>0</v>
      </c>
      <c r="AD8012" t="n">
        <v>0</v>
      </c>
      <c r="AE8012" t="n">
        <v>0</v>
      </c>
      <c r="AF8012" t="n">
        <v>0</v>
      </c>
      <c r="AG8012" t="n">
        <v>0</v>
      </c>
      <c r="AH8012" t="n">
        <v>0</v>
      </c>
      <c r="AI8012" t="n">
        <v>0</v>
      </c>
    </row>
    <row r="8013">
      <c r="A8013" t="inlineStr">
        <is>
          <t>12월</t>
        </is>
      </c>
      <c r="B8013" t="inlineStr">
        <is>
          <t>52주차</t>
        </is>
      </c>
      <c r="C8013" t="e">
        <v>#N/A</v>
      </c>
      <c r="K8013" t="n">
        <v>0</v>
      </c>
      <c r="L8013" t="n">
        <v>0</v>
      </c>
      <c r="M8013" t="n">
        <v>0</v>
      </c>
      <c r="AC8013" t="n">
        <v>0</v>
      </c>
      <c r="AD8013" t="n">
        <v>0</v>
      </c>
      <c r="AE8013" t="n">
        <v>0</v>
      </c>
      <c r="AF8013" t="n">
        <v>0</v>
      </c>
      <c r="AG8013" t="n">
        <v>0</v>
      </c>
      <c r="AH8013" t="n">
        <v>0</v>
      </c>
      <c r="AI8013" t="n">
        <v>0</v>
      </c>
    </row>
    <row r="8014">
      <c r="A8014" t="inlineStr">
        <is>
          <t>12월</t>
        </is>
      </c>
      <c r="B8014" t="inlineStr">
        <is>
          <t>52주차</t>
        </is>
      </c>
      <c r="C8014" t="e">
        <v>#N/A</v>
      </c>
      <c r="K8014" t="n">
        <v>0</v>
      </c>
      <c r="L8014" t="n">
        <v>0</v>
      </c>
      <c r="M8014" t="n">
        <v>0</v>
      </c>
      <c r="AC8014" t="n">
        <v>0</v>
      </c>
      <c r="AD8014" t="n">
        <v>0</v>
      </c>
      <c r="AE8014" t="n">
        <v>0</v>
      </c>
      <c r="AF8014" t="n">
        <v>0</v>
      </c>
      <c r="AG8014" t="n">
        <v>0</v>
      </c>
      <c r="AH8014" t="n">
        <v>0</v>
      </c>
      <c r="AI8014" t="n">
        <v>0</v>
      </c>
    </row>
    <row r="8015">
      <c r="A8015" t="inlineStr">
        <is>
          <t>12월</t>
        </is>
      </c>
      <c r="B8015" t="inlineStr">
        <is>
          <t>52주차</t>
        </is>
      </c>
      <c r="C8015" t="e">
        <v>#N/A</v>
      </c>
      <c r="K8015" t="n">
        <v>0</v>
      </c>
      <c r="L8015" t="n">
        <v>0</v>
      </c>
      <c r="M8015" t="n">
        <v>0</v>
      </c>
      <c r="AC8015" t="n">
        <v>0</v>
      </c>
      <c r="AD8015" t="n">
        <v>0</v>
      </c>
      <c r="AE8015" t="n">
        <v>0</v>
      </c>
      <c r="AF8015" t="n">
        <v>0</v>
      </c>
      <c r="AG8015" t="n">
        <v>0</v>
      </c>
      <c r="AH8015" t="n">
        <v>0</v>
      </c>
      <c r="AI8015" t="n">
        <v>0</v>
      </c>
    </row>
    <row r="8016">
      <c r="A8016" t="inlineStr">
        <is>
          <t>12월</t>
        </is>
      </c>
      <c r="B8016" t="inlineStr">
        <is>
          <t>52주차</t>
        </is>
      </c>
      <c r="C8016" t="e">
        <v>#N/A</v>
      </c>
      <c r="K8016" t="n">
        <v>0</v>
      </c>
      <c r="L8016" t="n">
        <v>0</v>
      </c>
      <c r="M8016" t="n">
        <v>0</v>
      </c>
      <c r="AC8016" t="n">
        <v>0</v>
      </c>
      <c r="AD8016" t="n">
        <v>0</v>
      </c>
      <c r="AE8016" t="n">
        <v>0</v>
      </c>
      <c r="AF8016" t="n">
        <v>0</v>
      </c>
      <c r="AG8016" t="n">
        <v>0</v>
      </c>
      <c r="AH8016" t="n">
        <v>0</v>
      </c>
      <c r="AI8016" t="n">
        <v>0</v>
      </c>
    </row>
    <row r="8017">
      <c r="A8017" t="inlineStr">
        <is>
          <t>12월</t>
        </is>
      </c>
      <c r="B8017" t="inlineStr">
        <is>
          <t>52주차</t>
        </is>
      </c>
      <c r="C8017" t="e">
        <v>#N/A</v>
      </c>
      <c r="K8017" t="n">
        <v>0</v>
      </c>
      <c r="L8017" t="n">
        <v>0</v>
      </c>
      <c r="M8017" t="n">
        <v>0</v>
      </c>
      <c r="AC8017" t="n">
        <v>0</v>
      </c>
      <c r="AD8017" t="n">
        <v>0</v>
      </c>
      <c r="AE8017" t="n">
        <v>0</v>
      </c>
      <c r="AF8017" t="n">
        <v>0</v>
      </c>
      <c r="AG8017" t="n">
        <v>0</v>
      </c>
      <c r="AH8017" t="n">
        <v>0</v>
      </c>
      <c r="AI8017" t="n">
        <v>0</v>
      </c>
    </row>
    <row r="8018">
      <c r="A8018" t="inlineStr">
        <is>
          <t>12월</t>
        </is>
      </c>
      <c r="B8018" t="inlineStr">
        <is>
          <t>52주차</t>
        </is>
      </c>
      <c r="C8018" t="e">
        <v>#N/A</v>
      </c>
      <c r="K8018" t="n">
        <v>0</v>
      </c>
      <c r="L8018" t="n">
        <v>0</v>
      </c>
      <c r="M8018" t="n">
        <v>0</v>
      </c>
      <c r="AC8018" t="n">
        <v>0</v>
      </c>
      <c r="AD8018" t="n">
        <v>0</v>
      </c>
      <c r="AE8018" t="n">
        <v>0</v>
      </c>
      <c r="AF8018" t="n">
        <v>0</v>
      </c>
      <c r="AG8018" t="n">
        <v>0</v>
      </c>
      <c r="AH8018" t="n">
        <v>0</v>
      </c>
    </row>
    <row r="8019">
      <c r="A8019" t="inlineStr">
        <is>
          <t>12월</t>
        </is>
      </c>
      <c r="B8019" t="inlineStr">
        <is>
          <t>52주차</t>
        </is>
      </c>
      <c r="C8019" t="e">
        <v>#N/A</v>
      </c>
      <c r="K8019" t="n">
        <v>0</v>
      </c>
      <c r="L8019" t="n">
        <v>0</v>
      </c>
      <c r="M8019" t="n">
        <v>0</v>
      </c>
      <c r="AC8019" t="n">
        <v>0</v>
      </c>
      <c r="AD8019" t="n">
        <v>0</v>
      </c>
      <c r="AE8019" t="n">
        <v>0</v>
      </c>
      <c r="AF8019" t="n">
        <v>0</v>
      </c>
      <c r="AG8019" t="n">
        <v>0</v>
      </c>
      <c r="AH8019" t="n">
        <v>0</v>
      </c>
    </row>
    <row r="8020">
      <c r="A8020" t="inlineStr">
        <is>
          <t>12월</t>
        </is>
      </c>
      <c r="B8020" t="inlineStr">
        <is>
          <t>52주차</t>
        </is>
      </c>
      <c r="C8020" t="e">
        <v>#N/A</v>
      </c>
      <c r="K8020" t="n">
        <v>0</v>
      </c>
      <c r="L8020" t="n">
        <v>0</v>
      </c>
      <c r="M8020" t="n">
        <v>0</v>
      </c>
      <c r="AC8020" t="n">
        <v>0</v>
      </c>
      <c r="AD8020" t="n">
        <v>0</v>
      </c>
      <c r="AE8020" t="n">
        <v>0</v>
      </c>
      <c r="AF8020" t="n">
        <v>0</v>
      </c>
      <c r="AG8020" t="n">
        <v>0</v>
      </c>
      <c r="AH8020" t="n">
        <v>0</v>
      </c>
      <c r="AI8020" t="n">
        <v>0</v>
      </c>
    </row>
    <row r="8021">
      <c r="A8021" t="inlineStr">
        <is>
          <t>12월</t>
        </is>
      </c>
      <c r="B8021" t="inlineStr">
        <is>
          <t>52주차</t>
        </is>
      </c>
      <c r="C8021" t="e">
        <v>#N/A</v>
      </c>
      <c r="K8021" t="n">
        <v>0</v>
      </c>
      <c r="L8021" t="n">
        <v>0</v>
      </c>
      <c r="M8021" t="n">
        <v>0</v>
      </c>
      <c r="AC8021" t="n">
        <v>0</v>
      </c>
      <c r="AD8021" t="n">
        <v>0</v>
      </c>
      <c r="AE8021" t="n">
        <v>0</v>
      </c>
      <c r="AF8021" t="n">
        <v>0</v>
      </c>
      <c r="AG8021" t="n">
        <v>0</v>
      </c>
      <c r="AH8021" t="n">
        <v>0</v>
      </c>
      <c r="AI8021" t="n">
        <v>0</v>
      </c>
    </row>
    <row r="8022">
      <c r="A8022" t="inlineStr">
        <is>
          <t>12월</t>
        </is>
      </c>
      <c r="B8022" t="inlineStr">
        <is>
          <t>52주차</t>
        </is>
      </c>
      <c r="C8022" t="e">
        <v>#N/A</v>
      </c>
      <c r="K8022" t="n">
        <v>0</v>
      </c>
      <c r="L8022" t="n">
        <v>0</v>
      </c>
      <c r="M8022" t="n">
        <v>0</v>
      </c>
      <c r="AC8022" t="n">
        <v>0</v>
      </c>
      <c r="AD8022" t="n">
        <v>0</v>
      </c>
      <c r="AE8022" t="n">
        <v>0</v>
      </c>
      <c r="AF8022" t="n">
        <v>0</v>
      </c>
      <c r="AG8022" t="n">
        <v>0</v>
      </c>
      <c r="AH8022" t="n">
        <v>0</v>
      </c>
      <c r="AI8022" t="n">
        <v>0</v>
      </c>
    </row>
    <row r="8023">
      <c r="A8023" t="inlineStr">
        <is>
          <t>12월</t>
        </is>
      </c>
      <c r="B8023" t="inlineStr">
        <is>
          <t>52주차</t>
        </is>
      </c>
      <c r="C8023" t="e">
        <v>#N/A</v>
      </c>
      <c r="K8023" t="n">
        <v>0</v>
      </c>
      <c r="L8023" t="n">
        <v>0</v>
      </c>
      <c r="M8023" t="n">
        <v>0</v>
      </c>
      <c r="AC8023" t="n">
        <v>0</v>
      </c>
      <c r="AD8023" t="n">
        <v>0</v>
      </c>
      <c r="AE8023" t="n">
        <v>0</v>
      </c>
      <c r="AF8023" t="n">
        <v>0</v>
      </c>
      <c r="AG8023" t="n">
        <v>0</v>
      </c>
      <c r="AH8023" t="n">
        <v>0</v>
      </c>
    </row>
    <row r="8024">
      <c r="A8024" t="inlineStr">
        <is>
          <t>12월</t>
        </is>
      </c>
      <c r="B8024" t="inlineStr">
        <is>
          <t>52주차</t>
        </is>
      </c>
      <c r="C8024" t="e">
        <v>#N/A</v>
      </c>
      <c r="K8024" t="n">
        <v>0</v>
      </c>
      <c r="L8024" t="n">
        <v>0</v>
      </c>
      <c r="M8024" t="n">
        <v>0</v>
      </c>
      <c r="AC8024" t="n">
        <v>0</v>
      </c>
      <c r="AD8024" t="n">
        <v>0</v>
      </c>
      <c r="AE8024" t="n">
        <v>0</v>
      </c>
      <c r="AF8024" t="n">
        <v>0</v>
      </c>
      <c r="AG8024" t="n">
        <v>0</v>
      </c>
      <c r="AH8024" t="n">
        <v>0</v>
      </c>
      <c r="AI8024" t="n">
        <v>0</v>
      </c>
    </row>
    <row r="8025">
      <c r="A8025" t="inlineStr">
        <is>
          <t>12월</t>
        </is>
      </c>
      <c r="B8025" t="inlineStr">
        <is>
          <t>52주차</t>
        </is>
      </c>
      <c r="C8025" t="e">
        <v>#N/A</v>
      </c>
      <c r="K8025" t="n">
        <v>0</v>
      </c>
      <c r="L8025" t="n">
        <v>0</v>
      </c>
      <c r="M8025" t="n">
        <v>0</v>
      </c>
      <c r="AC8025" t="n">
        <v>0</v>
      </c>
      <c r="AD8025" t="n">
        <v>0</v>
      </c>
      <c r="AE8025" t="n">
        <v>0</v>
      </c>
      <c r="AF8025" t="n">
        <v>0</v>
      </c>
      <c r="AG8025" t="n">
        <v>0</v>
      </c>
      <c r="AH8025" t="n">
        <v>0</v>
      </c>
      <c r="AI8025" t="n">
        <v>0</v>
      </c>
    </row>
    <row r="8026">
      <c r="A8026" t="inlineStr">
        <is>
          <t>12월</t>
        </is>
      </c>
      <c r="B8026" t="inlineStr">
        <is>
          <t>52주차</t>
        </is>
      </c>
      <c r="C8026" t="e">
        <v>#N/A</v>
      </c>
      <c r="K8026" t="n">
        <v>0</v>
      </c>
      <c r="L8026" t="n">
        <v>0</v>
      </c>
      <c r="M8026" t="n">
        <v>0</v>
      </c>
      <c r="AC8026" t="n">
        <v>0</v>
      </c>
      <c r="AD8026" t="n">
        <v>0</v>
      </c>
      <c r="AE8026" t="n">
        <v>0</v>
      </c>
      <c r="AF8026" t="n">
        <v>0</v>
      </c>
      <c r="AG8026" t="n">
        <v>0</v>
      </c>
      <c r="AH8026" t="n">
        <v>0</v>
      </c>
      <c r="AI8026" t="n">
        <v>0</v>
      </c>
    </row>
    <row r="8027">
      <c r="A8027" t="inlineStr">
        <is>
          <t>12월</t>
        </is>
      </c>
      <c r="B8027" t="inlineStr">
        <is>
          <t>52주차</t>
        </is>
      </c>
      <c r="C8027" t="e">
        <v>#N/A</v>
      </c>
      <c r="K8027" t="n">
        <v>0</v>
      </c>
      <c r="L8027" t="n">
        <v>0</v>
      </c>
      <c r="M8027" t="n">
        <v>0</v>
      </c>
      <c r="AC8027" t="n">
        <v>0</v>
      </c>
      <c r="AD8027" t="n">
        <v>0</v>
      </c>
      <c r="AE8027" t="n">
        <v>0</v>
      </c>
      <c r="AF8027" t="n">
        <v>0</v>
      </c>
      <c r="AG8027" t="n">
        <v>0</v>
      </c>
      <c r="AH8027" t="n">
        <v>0</v>
      </c>
      <c r="AI8027" t="n">
        <v>0</v>
      </c>
    </row>
    <row r="8028">
      <c r="A8028" t="inlineStr">
        <is>
          <t>12월</t>
        </is>
      </c>
      <c r="B8028" t="inlineStr">
        <is>
          <t>52주차</t>
        </is>
      </c>
      <c r="C8028" t="e">
        <v>#N/A</v>
      </c>
      <c r="K8028" t="n">
        <v>0</v>
      </c>
      <c r="L8028" t="n">
        <v>0</v>
      </c>
      <c r="M8028" t="n">
        <v>0</v>
      </c>
      <c r="AC8028" t="n">
        <v>0</v>
      </c>
      <c r="AD8028" t="n">
        <v>0</v>
      </c>
      <c r="AE8028" t="n">
        <v>0</v>
      </c>
      <c r="AF8028" t="n">
        <v>0</v>
      </c>
      <c r="AG8028" t="n">
        <v>0</v>
      </c>
      <c r="AH8028" t="n">
        <v>0</v>
      </c>
      <c r="AI8028" t="n">
        <v>0</v>
      </c>
    </row>
    <row r="8029">
      <c r="A8029" t="inlineStr">
        <is>
          <t>12월</t>
        </is>
      </c>
      <c r="B8029" t="inlineStr">
        <is>
          <t>52주차</t>
        </is>
      </c>
      <c r="C8029" t="e">
        <v>#N/A</v>
      </c>
      <c r="K8029" t="n">
        <v>0</v>
      </c>
      <c r="L8029" t="n">
        <v>0</v>
      </c>
      <c r="M8029" t="n">
        <v>0</v>
      </c>
      <c r="AC8029" t="n">
        <v>0</v>
      </c>
      <c r="AD8029" t="n">
        <v>0</v>
      </c>
      <c r="AE8029" t="n">
        <v>0</v>
      </c>
      <c r="AF8029" t="n">
        <v>0</v>
      </c>
      <c r="AG8029" t="n">
        <v>0</v>
      </c>
      <c r="AH8029" t="n">
        <v>0</v>
      </c>
    </row>
    <row r="8030">
      <c r="A8030" t="inlineStr">
        <is>
          <t>12월</t>
        </is>
      </c>
      <c r="B8030" t="inlineStr">
        <is>
          <t>52주차</t>
        </is>
      </c>
      <c r="C8030" t="e">
        <v>#N/A</v>
      </c>
      <c r="K8030" t="n">
        <v>0</v>
      </c>
      <c r="L8030" t="n">
        <v>0</v>
      </c>
      <c r="M8030" t="n">
        <v>0</v>
      </c>
      <c r="AC8030" t="n">
        <v>0</v>
      </c>
      <c r="AD8030" t="n">
        <v>0</v>
      </c>
      <c r="AE8030" t="n">
        <v>0</v>
      </c>
      <c r="AF8030" t="n">
        <v>0</v>
      </c>
      <c r="AG8030" t="n">
        <v>0</v>
      </c>
      <c r="AH8030" t="n">
        <v>0</v>
      </c>
    </row>
    <row r="8031">
      <c r="A8031" t="inlineStr">
        <is>
          <t>12월</t>
        </is>
      </c>
      <c r="B8031" t="inlineStr">
        <is>
          <t>52주차</t>
        </is>
      </c>
      <c r="C8031" t="e">
        <v>#N/A</v>
      </c>
      <c r="K8031" t="n">
        <v>0</v>
      </c>
      <c r="L8031" t="n">
        <v>0</v>
      </c>
      <c r="M8031" t="n">
        <v>0</v>
      </c>
      <c r="AC8031" t="n">
        <v>0</v>
      </c>
      <c r="AD8031" t="n">
        <v>0</v>
      </c>
      <c r="AE8031" t="n">
        <v>0</v>
      </c>
      <c r="AF8031" t="n">
        <v>0</v>
      </c>
      <c r="AG8031" t="n">
        <v>0</v>
      </c>
      <c r="AH8031" t="n">
        <v>0</v>
      </c>
      <c r="AI8031" t="n">
        <v>0</v>
      </c>
    </row>
    <row r="8032">
      <c r="A8032" t="inlineStr">
        <is>
          <t>12월</t>
        </is>
      </c>
      <c r="B8032" t="inlineStr">
        <is>
          <t>52주차</t>
        </is>
      </c>
      <c r="C8032" t="e">
        <v>#N/A</v>
      </c>
      <c r="K8032" t="n">
        <v>0</v>
      </c>
      <c r="L8032" t="n">
        <v>0</v>
      </c>
      <c r="M8032" t="n">
        <v>0</v>
      </c>
      <c r="AC8032" t="n">
        <v>0</v>
      </c>
      <c r="AD8032" t="n">
        <v>0</v>
      </c>
      <c r="AE8032" t="n">
        <v>0</v>
      </c>
      <c r="AF8032" t="n">
        <v>0</v>
      </c>
      <c r="AG8032" t="n">
        <v>0</v>
      </c>
      <c r="AH8032" t="n">
        <v>0</v>
      </c>
    </row>
    <row r="8033">
      <c r="A8033" t="inlineStr">
        <is>
          <t>12월</t>
        </is>
      </c>
      <c r="B8033" t="inlineStr">
        <is>
          <t>52주차</t>
        </is>
      </c>
      <c r="C8033" t="e">
        <v>#N/A</v>
      </c>
      <c r="K8033" t="n">
        <v>0</v>
      </c>
      <c r="L8033" t="n">
        <v>0</v>
      </c>
      <c r="M8033" t="n">
        <v>0</v>
      </c>
      <c r="AC8033" t="n">
        <v>0</v>
      </c>
      <c r="AD8033" t="n">
        <v>0</v>
      </c>
      <c r="AE8033" t="n">
        <v>0</v>
      </c>
      <c r="AF8033" t="n">
        <v>0</v>
      </c>
      <c r="AG8033" t="n">
        <v>0</v>
      </c>
      <c r="AH8033" t="n">
        <v>0</v>
      </c>
      <c r="AI8033" t="n">
        <v>0</v>
      </c>
    </row>
    <row r="8034">
      <c r="A8034" t="inlineStr">
        <is>
          <t>12월</t>
        </is>
      </c>
      <c r="B8034" t="inlineStr">
        <is>
          <t>52주차</t>
        </is>
      </c>
      <c r="C8034" t="e">
        <v>#N/A</v>
      </c>
      <c r="K8034" t="n">
        <v>0</v>
      </c>
      <c r="L8034" t="n">
        <v>0</v>
      </c>
      <c r="M8034" t="n">
        <v>0</v>
      </c>
      <c r="AC8034" t="n">
        <v>0</v>
      </c>
      <c r="AD8034" t="n">
        <v>0</v>
      </c>
      <c r="AE8034" t="n">
        <v>0</v>
      </c>
      <c r="AF8034" t="n">
        <v>0</v>
      </c>
      <c r="AG8034" t="n">
        <v>0</v>
      </c>
      <c r="AH8034" t="n">
        <v>0</v>
      </c>
    </row>
    <row r="8035">
      <c r="A8035" t="inlineStr">
        <is>
          <t>12월</t>
        </is>
      </c>
      <c r="B8035" t="inlineStr">
        <is>
          <t>52주차</t>
        </is>
      </c>
      <c r="C8035" t="e">
        <v>#N/A</v>
      </c>
      <c r="K8035" t="n">
        <v>0</v>
      </c>
      <c r="L8035" t="n">
        <v>0</v>
      </c>
      <c r="M8035" t="n">
        <v>0</v>
      </c>
      <c r="AC8035" t="n">
        <v>0</v>
      </c>
      <c r="AD8035" t="n">
        <v>0</v>
      </c>
      <c r="AE8035" t="n">
        <v>0</v>
      </c>
      <c r="AF8035" t="n">
        <v>0</v>
      </c>
      <c r="AG8035" t="n">
        <v>0</v>
      </c>
      <c r="AH8035" t="n">
        <v>0</v>
      </c>
    </row>
    <row r="8036">
      <c r="A8036" t="inlineStr">
        <is>
          <t>12월</t>
        </is>
      </c>
      <c r="B8036" t="inlineStr">
        <is>
          <t>52주차</t>
        </is>
      </c>
      <c r="C8036" t="e">
        <v>#N/A</v>
      </c>
      <c r="K8036" t="n">
        <v>0</v>
      </c>
      <c r="L8036" t="n">
        <v>0</v>
      </c>
      <c r="M8036" t="n">
        <v>0</v>
      </c>
      <c r="AC8036" t="n">
        <v>0</v>
      </c>
      <c r="AD8036" t="n">
        <v>0</v>
      </c>
      <c r="AE8036" t="n">
        <v>0</v>
      </c>
      <c r="AF8036" t="n">
        <v>0</v>
      </c>
      <c r="AG8036" t="n">
        <v>0</v>
      </c>
      <c r="AH8036" t="n">
        <v>0</v>
      </c>
      <c r="AI8036" t="n">
        <v>0</v>
      </c>
    </row>
    <row r="8037">
      <c r="A8037" t="inlineStr">
        <is>
          <t>12월</t>
        </is>
      </c>
      <c r="B8037" t="inlineStr">
        <is>
          <t>52주차</t>
        </is>
      </c>
      <c r="C8037" t="e">
        <v>#N/A</v>
      </c>
      <c r="K8037" t="n">
        <v>0</v>
      </c>
      <c r="L8037" t="n">
        <v>0</v>
      </c>
      <c r="M8037" t="n">
        <v>0</v>
      </c>
      <c r="AC8037" t="n">
        <v>0</v>
      </c>
      <c r="AD8037" t="n">
        <v>0</v>
      </c>
      <c r="AE8037" t="n">
        <v>0</v>
      </c>
      <c r="AF8037" t="n">
        <v>0</v>
      </c>
      <c r="AG8037" t="n">
        <v>0</v>
      </c>
      <c r="AH8037" t="n">
        <v>0</v>
      </c>
      <c r="AI8037" t="n">
        <v>0</v>
      </c>
    </row>
    <row r="8038">
      <c r="A8038" t="inlineStr">
        <is>
          <t>12월</t>
        </is>
      </c>
      <c r="B8038" t="inlineStr">
        <is>
          <t>52주차</t>
        </is>
      </c>
      <c r="C8038" t="e">
        <v>#N/A</v>
      </c>
      <c r="K8038" t="n">
        <v>0</v>
      </c>
      <c r="L8038" t="n">
        <v>0</v>
      </c>
      <c r="M8038" t="n">
        <v>0</v>
      </c>
      <c r="AC8038" t="n">
        <v>0</v>
      </c>
      <c r="AD8038" t="n">
        <v>0</v>
      </c>
      <c r="AE8038" t="n">
        <v>0</v>
      </c>
      <c r="AF8038" t="n">
        <v>0</v>
      </c>
      <c r="AG8038" t="n">
        <v>0</v>
      </c>
      <c r="AH8038" t="n">
        <v>0</v>
      </c>
      <c r="AI8038" t="n">
        <v>0</v>
      </c>
    </row>
    <row r="8039">
      <c r="A8039" t="inlineStr">
        <is>
          <t>12월</t>
        </is>
      </c>
      <c r="B8039" t="inlineStr">
        <is>
          <t>52주차</t>
        </is>
      </c>
      <c r="C8039" t="e">
        <v>#N/A</v>
      </c>
      <c r="K8039" t="n">
        <v>0</v>
      </c>
      <c r="L8039" t="n">
        <v>0</v>
      </c>
      <c r="M8039" t="n">
        <v>0</v>
      </c>
      <c r="AC8039" t="n">
        <v>0</v>
      </c>
      <c r="AD8039" t="n">
        <v>0</v>
      </c>
      <c r="AE8039" t="n">
        <v>0</v>
      </c>
      <c r="AF8039" t="n">
        <v>0</v>
      </c>
      <c r="AG8039" t="n">
        <v>0</v>
      </c>
      <c r="AH8039" t="n">
        <v>0</v>
      </c>
    </row>
    <row r="8040">
      <c r="A8040" t="inlineStr">
        <is>
          <t>12월</t>
        </is>
      </c>
      <c r="B8040" t="inlineStr">
        <is>
          <t>52주차</t>
        </is>
      </c>
      <c r="C8040" t="e">
        <v>#N/A</v>
      </c>
      <c r="K8040" t="n">
        <v>0</v>
      </c>
      <c r="L8040" t="n">
        <v>0</v>
      </c>
      <c r="M8040" t="n">
        <v>0</v>
      </c>
      <c r="AC8040" t="n">
        <v>0</v>
      </c>
      <c r="AD8040" t="n">
        <v>0</v>
      </c>
      <c r="AE8040" t="n">
        <v>0</v>
      </c>
      <c r="AF8040" t="n">
        <v>0</v>
      </c>
      <c r="AG8040" t="n">
        <v>0</v>
      </c>
      <c r="AH8040" t="n">
        <v>0</v>
      </c>
      <c r="AI8040" t="n">
        <v>0</v>
      </c>
    </row>
    <row r="8041">
      <c r="A8041" t="inlineStr">
        <is>
          <t>12월</t>
        </is>
      </c>
      <c r="B8041" t="inlineStr">
        <is>
          <t>52주차</t>
        </is>
      </c>
      <c r="C8041" t="e">
        <v>#N/A</v>
      </c>
      <c r="K8041" t="n">
        <v>0</v>
      </c>
      <c r="L8041" t="n">
        <v>0</v>
      </c>
      <c r="M8041" t="n">
        <v>0</v>
      </c>
      <c r="AC8041" t="n">
        <v>0</v>
      </c>
      <c r="AD8041" t="n">
        <v>0</v>
      </c>
      <c r="AE8041" t="n">
        <v>0</v>
      </c>
      <c r="AF8041" t="n">
        <v>0</v>
      </c>
      <c r="AG8041" t="n">
        <v>0</v>
      </c>
      <c r="AH8041" t="n">
        <v>0</v>
      </c>
    </row>
    <row r="8042">
      <c r="A8042" t="inlineStr">
        <is>
          <t>12월</t>
        </is>
      </c>
      <c r="B8042" t="inlineStr">
        <is>
          <t>52주차</t>
        </is>
      </c>
      <c r="C8042" t="e">
        <v>#N/A</v>
      </c>
      <c r="K8042" t="n">
        <v>0</v>
      </c>
      <c r="L8042" t="n">
        <v>0</v>
      </c>
      <c r="M8042" t="n">
        <v>0</v>
      </c>
      <c r="AC8042" t="n">
        <v>0</v>
      </c>
      <c r="AD8042" t="n">
        <v>0</v>
      </c>
      <c r="AE8042" t="n">
        <v>0</v>
      </c>
      <c r="AF8042" t="n">
        <v>0</v>
      </c>
      <c r="AG8042" t="n">
        <v>0</v>
      </c>
      <c r="AH8042" t="n">
        <v>0</v>
      </c>
    </row>
    <row r="8043">
      <c r="A8043" t="inlineStr">
        <is>
          <t>12월</t>
        </is>
      </c>
      <c r="B8043" t="inlineStr">
        <is>
          <t>52주차</t>
        </is>
      </c>
      <c r="C8043" t="e">
        <v>#N/A</v>
      </c>
      <c r="K8043" t="n">
        <v>0</v>
      </c>
      <c r="L8043" t="n">
        <v>0</v>
      </c>
      <c r="M8043" t="n">
        <v>0</v>
      </c>
      <c r="AC8043" t="n">
        <v>0</v>
      </c>
      <c r="AD8043" t="n">
        <v>0</v>
      </c>
      <c r="AE8043" t="n">
        <v>0</v>
      </c>
      <c r="AF8043" t="n">
        <v>0</v>
      </c>
      <c r="AG8043" t="n">
        <v>0</v>
      </c>
      <c r="AH8043" t="n">
        <v>0</v>
      </c>
      <c r="AI8043" t="n">
        <v>0</v>
      </c>
    </row>
    <row r="8044">
      <c r="A8044" t="inlineStr">
        <is>
          <t>12월</t>
        </is>
      </c>
      <c r="B8044" t="inlineStr">
        <is>
          <t>52주차</t>
        </is>
      </c>
      <c r="C8044" t="e">
        <v>#N/A</v>
      </c>
      <c r="K8044" t="n">
        <v>0</v>
      </c>
      <c r="L8044" t="n">
        <v>0</v>
      </c>
      <c r="M8044" t="n">
        <v>0</v>
      </c>
      <c r="AC8044" t="n">
        <v>0</v>
      </c>
      <c r="AD8044" t="n">
        <v>0</v>
      </c>
      <c r="AE8044" t="n">
        <v>0</v>
      </c>
      <c r="AF8044" t="n">
        <v>0</v>
      </c>
      <c r="AG8044" t="n">
        <v>0</v>
      </c>
      <c r="AH8044" t="n">
        <v>0</v>
      </c>
      <c r="AI8044" t="n">
        <v>0</v>
      </c>
    </row>
    <row r="8045">
      <c r="A8045" t="inlineStr">
        <is>
          <t>12월</t>
        </is>
      </c>
      <c r="B8045" t="inlineStr">
        <is>
          <t>52주차</t>
        </is>
      </c>
      <c r="C8045" t="e">
        <v>#N/A</v>
      </c>
      <c r="K8045" t="n">
        <v>0</v>
      </c>
      <c r="L8045" t="n">
        <v>0</v>
      </c>
      <c r="M8045" t="n">
        <v>0</v>
      </c>
      <c r="AC8045" t="n">
        <v>0</v>
      </c>
      <c r="AD8045" t="n">
        <v>0</v>
      </c>
      <c r="AE8045" t="n">
        <v>0</v>
      </c>
      <c r="AF8045" t="n">
        <v>0</v>
      </c>
      <c r="AG8045" t="n">
        <v>0</v>
      </c>
      <c r="AH8045" t="n">
        <v>0</v>
      </c>
    </row>
    <row r="8046">
      <c r="A8046" t="inlineStr">
        <is>
          <t>12월</t>
        </is>
      </c>
      <c r="B8046" t="inlineStr">
        <is>
          <t>52주차</t>
        </is>
      </c>
      <c r="C8046" t="e">
        <v>#N/A</v>
      </c>
      <c r="K8046" t="n">
        <v>0</v>
      </c>
      <c r="L8046" t="n">
        <v>0</v>
      </c>
      <c r="M8046" t="n">
        <v>0</v>
      </c>
      <c r="AC8046" t="n">
        <v>0</v>
      </c>
      <c r="AD8046" t="n">
        <v>0</v>
      </c>
      <c r="AE8046" t="n">
        <v>0</v>
      </c>
      <c r="AF8046" t="n">
        <v>0</v>
      </c>
      <c r="AG8046" t="n">
        <v>0</v>
      </c>
      <c r="AH8046" t="n">
        <v>0</v>
      </c>
      <c r="AI8046" t="n">
        <v>0</v>
      </c>
    </row>
    <row r="8047">
      <c r="A8047" t="inlineStr">
        <is>
          <t>12월</t>
        </is>
      </c>
      <c r="B8047" t="inlineStr">
        <is>
          <t>52주차</t>
        </is>
      </c>
      <c r="C8047" t="e">
        <v>#N/A</v>
      </c>
      <c r="K8047" t="n">
        <v>0</v>
      </c>
      <c r="L8047" t="n">
        <v>0</v>
      </c>
      <c r="M8047" t="n">
        <v>0</v>
      </c>
      <c r="AC8047" t="n">
        <v>0</v>
      </c>
      <c r="AD8047" t="n">
        <v>0</v>
      </c>
      <c r="AE8047" t="n">
        <v>0</v>
      </c>
      <c r="AF8047" t="n">
        <v>0</v>
      </c>
      <c r="AG8047" t="n">
        <v>0</v>
      </c>
      <c r="AH8047" t="n">
        <v>0</v>
      </c>
      <c r="AI8047" t="n">
        <v>0</v>
      </c>
    </row>
    <row r="8048">
      <c r="A8048" t="inlineStr">
        <is>
          <t>12월</t>
        </is>
      </c>
      <c r="B8048" t="inlineStr">
        <is>
          <t>52주차</t>
        </is>
      </c>
      <c r="C8048" t="e">
        <v>#N/A</v>
      </c>
      <c r="K8048" t="n">
        <v>0</v>
      </c>
      <c r="L8048" t="n">
        <v>0</v>
      </c>
      <c r="M8048" t="n">
        <v>0</v>
      </c>
      <c r="AC8048" t="n">
        <v>0</v>
      </c>
      <c r="AD8048" t="n">
        <v>0</v>
      </c>
      <c r="AE8048" t="n">
        <v>0</v>
      </c>
      <c r="AF8048" t="n">
        <v>0</v>
      </c>
      <c r="AG8048" t="n">
        <v>0</v>
      </c>
      <c r="AH8048" t="n">
        <v>0</v>
      </c>
      <c r="AI8048" t="n">
        <v>0</v>
      </c>
    </row>
    <row r="8049">
      <c r="A8049" t="inlineStr">
        <is>
          <t>12월</t>
        </is>
      </c>
      <c r="B8049" t="inlineStr">
        <is>
          <t>52주차</t>
        </is>
      </c>
      <c r="C8049" t="e">
        <v>#N/A</v>
      </c>
      <c r="K8049" t="n">
        <v>0</v>
      </c>
      <c r="L8049" t="n">
        <v>0</v>
      </c>
      <c r="M8049" t="n">
        <v>0</v>
      </c>
      <c r="AC8049" t="n">
        <v>0</v>
      </c>
      <c r="AD8049" t="n">
        <v>0</v>
      </c>
      <c r="AE8049" t="n">
        <v>0</v>
      </c>
      <c r="AF8049" t="n">
        <v>0</v>
      </c>
      <c r="AG8049" t="n">
        <v>0</v>
      </c>
      <c r="AH8049" t="n">
        <v>0</v>
      </c>
      <c r="AI8049" t="n">
        <v>0</v>
      </c>
    </row>
    <row r="8050">
      <c r="A8050" t="inlineStr">
        <is>
          <t>12월</t>
        </is>
      </c>
      <c r="B8050" t="inlineStr">
        <is>
          <t>52주차</t>
        </is>
      </c>
      <c r="C8050" t="e">
        <v>#N/A</v>
      </c>
      <c r="K8050" t="n">
        <v>0</v>
      </c>
      <c r="L8050" t="n">
        <v>0</v>
      </c>
      <c r="M8050" t="n">
        <v>0</v>
      </c>
      <c r="AC8050" t="n">
        <v>0</v>
      </c>
      <c r="AD8050" t="n">
        <v>0</v>
      </c>
      <c r="AE8050" t="n">
        <v>0</v>
      </c>
      <c r="AF8050" t="n">
        <v>0</v>
      </c>
      <c r="AG8050" t="n">
        <v>0</v>
      </c>
      <c r="AH8050" t="n">
        <v>0</v>
      </c>
      <c r="AI8050" t="n">
        <v>0</v>
      </c>
    </row>
    <row r="8051">
      <c r="A8051" t="inlineStr">
        <is>
          <t>12월</t>
        </is>
      </c>
      <c r="B8051" t="inlineStr">
        <is>
          <t>52주차</t>
        </is>
      </c>
      <c r="C8051" t="e">
        <v>#N/A</v>
      </c>
      <c r="K8051" t="n">
        <v>0</v>
      </c>
      <c r="L8051" t="n">
        <v>0</v>
      </c>
      <c r="M8051" t="n">
        <v>0</v>
      </c>
      <c r="AC8051" t="n">
        <v>0</v>
      </c>
      <c r="AD8051" t="n">
        <v>0</v>
      </c>
      <c r="AE8051" t="n">
        <v>0</v>
      </c>
      <c r="AF8051" t="n">
        <v>0</v>
      </c>
      <c r="AG8051" t="n">
        <v>0</v>
      </c>
      <c r="AH8051" t="n">
        <v>0</v>
      </c>
      <c r="AI8051" t="n">
        <v>0</v>
      </c>
    </row>
    <row r="8052">
      <c r="A8052" t="inlineStr">
        <is>
          <t>12월</t>
        </is>
      </c>
      <c r="B8052" t="inlineStr">
        <is>
          <t>52주차</t>
        </is>
      </c>
      <c r="C8052" t="e">
        <v>#N/A</v>
      </c>
      <c r="K8052" t="n">
        <v>0</v>
      </c>
      <c r="L8052" t="n">
        <v>0</v>
      </c>
      <c r="M8052" t="n">
        <v>0</v>
      </c>
      <c r="AC8052" t="n">
        <v>0</v>
      </c>
      <c r="AD8052" t="n">
        <v>0</v>
      </c>
      <c r="AE8052" t="n">
        <v>0</v>
      </c>
      <c r="AF8052" t="n">
        <v>0</v>
      </c>
      <c r="AG8052" t="n">
        <v>0</v>
      </c>
      <c r="AH8052" t="n">
        <v>0</v>
      </c>
      <c r="AI8052" t="n">
        <v>0</v>
      </c>
    </row>
    <row r="8053">
      <c r="A8053" t="inlineStr">
        <is>
          <t>12월</t>
        </is>
      </c>
      <c r="B8053" t="inlineStr">
        <is>
          <t>52주차</t>
        </is>
      </c>
      <c r="C8053" t="e">
        <v>#N/A</v>
      </c>
      <c r="K8053" t="n">
        <v>0</v>
      </c>
      <c r="L8053" t="n">
        <v>0</v>
      </c>
      <c r="M8053" t="n">
        <v>0</v>
      </c>
      <c r="AC8053" t="n">
        <v>0</v>
      </c>
      <c r="AD8053" t="n">
        <v>0</v>
      </c>
      <c r="AE8053" t="n">
        <v>0</v>
      </c>
      <c r="AF8053" t="n">
        <v>0</v>
      </c>
      <c r="AG8053" t="n">
        <v>0</v>
      </c>
      <c r="AH8053" t="n">
        <v>0</v>
      </c>
      <c r="AI8053" t="n">
        <v>0</v>
      </c>
    </row>
    <row r="8054">
      <c r="A8054" t="inlineStr">
        <is>
          <t>12월</t>
        </is>
      </c>
      <c r="B8054" t="inlineStr">
        <is>
          <t>52주차</t>
        </is>
      </c>
      <c r="C8054" t="e">
        <v>#N/A</v>
      </c>
      <c r="K8054" t="n">
        <v>0</v>
      </c>
      <c r="L8054" t="n">
        <v>0</v>
      </c>
      <c r="M8054" t="n">
        <v>0</v>
      </c>
      <c r="AC8054" t="n">
        <v>0</v>
      </c>
      <c r="AD8054" t="n">
        <v>0</v>
      </c>
      <c r="AE8054" t="n">
        <v>0</v>
      </c>
      <c r="AF8054" t="n">
        <v>0</v>
      </c>
      <c r="AG8054" t="n">
        <v>0</v>
      </c>
      <c r="AH8054" t="n">
        <v>0</v>
      </c>
      <c r="AI8054" t="n">
        <v>0</v>
      </c>
    </row>
    <row r="8055">
      <c r="A8055" t="inlineStr">
        <is>
          <t>12월</t>
        </is>
      </c>
      <c r="B8055" t="inlineStr">
        <is>
          <t>52주차</t>
        </is>
      </c>
      <c r="C8055" t="e">
        <v>#N/A</v>
      </c>
      <c r="K8055" t="n">
        <v>0</v>
      </c>
      <c r="L8055" t="n">
        <v>0</v>
      </c>
      <c r="M8055" t="n">
        <v>0</v>
      </c>
      <c r="AC8055" t="n">
        <v>0</v>
      </c>
      <c r="AD8055" t="n">
        <v>0</v>
      </c>
      <c r="AE8055" t="n">
        <v>0</v>
      </c>
      <c r="AF8055" t="n">
        <v>0</v>
      </c>
      <c r="AG8055" t="n">
        <v>0</v>
      </c>
      <c r="AH8055" t="n">
        <v>0</v>
      </c>
      <c r="AI8055" t="n">
        <v>0</v>
      </c>
    </row>
    <row r="8056">
      <c r="A8056" t="inlineStr">
        <is>
          <t>12월</t>
        </is>
      </c>
      <c r="B8056" t="inlineStr">
        <is>
          <t>52주차</t>
        </is>
      </c>
      <c r="C8056" t="e">
        <v>#N/A</v>
      </c>
      <c r="K8056" t="n">
        <v>0</v>
      </c>
      <c r="L8056" t="n">
        <v>0</v>
      </c>
      <c r="M8056" t="n">
        <v>0</v>
      </c>
      <c r="AC8056" t="n">
        <v>0</v>
      </c>
      <c r="AD8056" t="n">
        <v>0</v>
      </c>
      <c r="AE8056" t="n">
        <v>0</v>
      </c>
      <c r="AF8056" t="n">
        <v>0</v>
      </c>
      <c r="AG8056" t="n">
        <v>0</v>
      </c>
      <c r="AH8056" t="n">
        <v>0</v>
      </c>
      <c r="AI8056" t="n">
        <v>0</v>
      </c>
    </row>
    <row r="8057">
      <c r="A8057" t="inlineStr">
        <is>
          <t>12월</t>
        </is>
      </c>
      <c r="B8057" t="inlineStr">
        <is>
          <t>52주차</t>
        </is>
      </c>
      <c r="C8057" t="e">
        <v>#N/A</v>
      </c>
      <c r="K8057" t="n">
        <v>0</v>
      </c>
      <c r="L8057" t="n">
        <v>0</v>
      </c>
      <c r="M8057" t="n">
        <v>0</v>
      </c>
      <c r="AC8057" t="n">
        <v>0</v>
      </c>
      <c r="AD8057" t="n">
        <v>0</v>
      </c>
      <c r="AE8057" t="n">
        <v>0</v>
      </c>
      <c r="AF8057" t="n">
        <v>0</v>
      </c>
      <c r="AG8057" t="n">
        <v>0</v>
      </c>
      <c r="AH8057" t="n">
        <v>0</v>
      </c>
      <c r="AI8057" t="n">
        <v>0</v>
      </c>
    </row>
    <row r="8058">
      <c r="A8058" t="inlineStr">
        <is>
          <t>12월</t>
        </is>
      </c>
      <c r="B8058" t="inlineStr">
        <is>
          <t>52주차</t>
        </is>
      </c>
      <c r="C8058" t="e">
        <v>#N/A</v>
      </c>
      <c r="K8058" t="n">
        <v>0</v>
      </c>
      <c r="L8058" t="n">
        <v>0</v>
      </c>
      <c r="M8058" t="n">
        <v>0</v>
      </c>
      <c r="AC8058" t="n">
        <v>0</v>
      </c>
      <c r="AD8058" t="n">
        <v>0</v>
      </c>
      <c r="AE8058" t="n">
        <v>0</v>
      </c>
      <c r="AF8058" t="n">
        <v>0</v>
      </c>
      <c r="AG8058" t="n">
        <v>0</v>
      </c>
      <c r="AH8058" t="n">
        <v>0</v>
      </c>
      <c r="AI8058" t="n">
        <v>0</v>
      </c>
    </row>
    <row r="8059">
      <c r="A8059" t="inlineStr">
        <is>
          <t>12월</t>
        </is>
      </c>
      <c r="B8059" t="inlineStr">
        <is>
          <t>52주차</t>
        </is>
      </c>
      <c r="C8059" t="e">
        <v>#N/A</v>
      </c>
      <c r="K8059" t="n">
        <v>0</v>
      </c>
      <c r="L8059" t="n">
        <v>0</v>
      </c>
      <c r="M8059" t="n">
        <v>0</v>
      </c>
      <c r="AC8059" t="n">
        <v>0</v>
      </c>
      <c r="AD8059" t="n">
        <v>0</v>
      </c>
      <c r="AE8059" t="n">
        <v>0</v>
      </c>
      <c r="AF8059" t="n">
        <v>0</v>
      </c>
      <c r="AG8059" t="n">
        <v>0</v>
      </c>
      <c r="AH8059" t="n">
        <v>0</v>
      </c>
      <c r="AI8059" t="n">
        <v>0</v>
      </c>
    </row>
    <row r="8060">
      <c r="A8060" t="inlineStr">
        <is>
          <t>12월</t>
        </is>
      </c>
      <c r="B8060" t="inlineStr">
        <is>
          <t>52주차</t>
        </is>
      </c>
      <c r="C8060" t="e">
        <v>#N/A</v>
      </c>
      <c r="K8060" t="n">
        <v>0</v>
      </c>
      <c r="L8060" t="n">
        <v>0</v>
      </c>
      <c r="M8060" t="n">
        <v>0</v>
      </c>
      <c r="AC8060" t="n">
        <v>0</v>
      </c>
      <c r="AD8060" t="n">
        <v>0</v>
      </c>
      <c r="AE8060" t="n">
        <v>0</v>
      </c>
      <c r="AF8060" t="n">
        <v>0</v>
      </c>
      <c r="AG8060" t="n">
        <v>0</v>
      </c>
      <c r="AH8060" t="n">
        <v>0</v>
      </c>
    </row>
    <row r="8061">
      <c r="A8061" t="inlineStr">
        <is>
          <t>12월</t>
        </is>
      </c>
      <c r="B8061" t="inlineStr">
        <is>
          <t>52주차</t>
        </is>
      </c>
      <c r="C8061" t="e">
        <v>#N/A</v>
      </c>
      <c r="K8061" t="n">
        <v>0</v>
      </c>
      <c r="L8061" t="n">
        <v>0</v>
      </c>
      <c r="M8061" t="n">
        <v>0</v>
      </c>
      <c r="AC8061" t="n">
        <v>0</v>
      </c>
      <c r="AD8061" t="n">
        <v>0</v>
      </c>
      <c r="AE8061" t="n">
        <v>0</v>
      </c>
      <c r="AF8061" t="n">
        <v>0</v>
      </c>
      <c r="AG8061" t="n">
        <v>0</v>
      </c>
      <c r="AH8061" t="n">
        <v>0</v>
      </c>
      <c r="AI8061" t="n">
        <v>0</v>
      </c>
    </row>
    <row r="8062">
      <c r="A8062" t="inlineStr">
        <is>
          <t>12월</t>
        </is>
      </c>
      <c r="B8062" t="inlineStr">
        <is>
          <t>52주차</t>
        </is>
      </c>
      <c r="C8062" t="e">
        <v>#N/A</v>
      </c>
      <c r="K8062" t="n">
        <v>0</v>
      </c>
      <c r="L8062" t="n">
        <v>0</v>
      </c>
      <c r="M8062" t="n">
        <v>0</v>
      </c>
      <c r="AC8062" t="n">
        <v>0</v>
      </c>
      <c r="AD8062" t="n">
        <v>0</v>
      </c>
      <c r="AE8062" t="n">
        <v>0</v>
      </c>
      <c r="AF8062" t="n">
        <v>0</v>
      </c>
      <c r="AG8062" t="n">
        <v>0</v>
      </c>
      <c r="AH8062" t="n">
        <v>0</v>
      </c>
      <c r="AI8062" t="n">
        <v>0</v>
      </c>
    </row>
    <row r="8063">
      <c r="A8063" t="inlineStr">
        <is>
          <t>12월</t>
        </is>
      </c>
      <c r="B8063" t="inlineStr">
        <is>
          <t>52주차</t>
        </is>
      </c>
      <c r="C8063" t="e">
        <v>#N/A</v>
      </c>
      <c r="K8063" t="n">
        <v>0</v>
      </c>
      <c r="L8063" t="n">
        <v>0</v>
      </c>
      <c r="M8063" t="n">
        <v>0</v>
      </c>
      <c r="AC8063" t="n">
        <v>0</v>
      </c>
      <c r="AD8063" t="n">
        <v>0</v>
      </c>
      <c r="AE8063" t="n">
        <v>0</v>
      </c>
      <c r="AF8063" t="n">
        <v>0</v>
      </c>
      <c r="AG8063" t="n">
        <v>0</v>
      </c>
      <c r="AH8063" t="n">
        <v>0</v>
      </c>
      <c r="AI8063" t="n">
        <v>0</v>
      </c>
    </row>
    <row r="8064">
      <c r="A8064" t="inlineStr">
        <is>
          <t>12월</t>
        </is>
      </c>
      <c r="B8064" t="inlineStr">
        <is>
          <t>52주차</t>
        </is>
      </c>
      <c r="C8064" t="e">
        <v>#N/A</v>
      </c>
      <c r="K8064" t="n">
        <v>0</v>
      </c>
      <c r="L8064" t="n">
        <v>0</v>
      </c>
      <c r="M8064" t="n">
        <v>0</v>
      </c>
      <c r="AC8064" t="n">
        <v>0</v>
      </c>
      <c r="AD8064" t="n">
        <v>0</v>
      </c>
      <c r="AE8064" t="n">
        <v>0</v>
      </c>
      <c r="AF8064" t="n">
        <v>0</v>
      </c>
      <c r="AG8064" t="n">
        <v>0</v>
      </c>
      <c r="AH8064" t="n">
        <v>0</v>
      </c>
      <c r="AI8064" t="n">
        <v>0</v>
      </c>
    </row>
    <row r="8065">
      <c r="A8065" t="inlineStr">
        <is>
          <t>12월</t>
        </is>
      </c>
      <c r="B8065" t="inlineStr">
        <is>
          <t>52주차</t>
        </is>
      </c>
      <c r="C8065" t="e">
        <v>#N/A</v>
      </c>
      <c r="K8065" t="n">
        <v>0</v>
      </c>
      <c r="L8065" t="n">
        <v>0</v>
      </c>
      <c r="M8065" t="n">
        <v>0</v>
      </c>
      <c r="AC8065" t="n">
        <v>0</v>
      </c>
      <c r="AD8065" t="n">
        <v>0</v>
      </c>
      <c r="AE8065" t="n">
        <v>0</v>
      </c>
      <c r="AF8065" t="n">
        <v>0</v>
      </c>
      <c r="AG8065" t="n">
        <v>0</v>
      </c>
      <c r="AH8065" t="n">
        <v>0</v>
      </c>
      <c r="AI8065" t="n">
        <v>0</v>
      </c>
    </row>
    <row r="8066">
      <c r="A8066" t="inlineStr">
        <is>
          <t>12월</t>
        </is>
      </c>
      <c r="B8066" t="inlineStr">
        <is>
          <t>52주차</t>
        </is>
      </c>
      <c r="C8066" t="e">
        <v>#N/A</v>
      </c>
      <c r="K8066" t="n">
        <v>0</v>
      </c>
      <c r="L8066" t="n">
        <v>0</v>
      </c>
      <c r="M8066" t="n">
        <v>0</v>
      </c>
      <c r="AC8066" t="n">
        <v>0</v>
      </c>
      <c r="AD8066" t="n">
        <v>0</v>
      </c>
      <c r="AE8066" t="n">
        <v>0</v>
      </c>
      <c r="AF8066" t="n">
        <v>0</v>
      </c>
      <c r="AG8066" t="n">
        <v>0</v>
      </c>
      <c r="AH8066" t="n">
        <v>0</v>
      </c>
      <c r="AI8066" t="n">
        <v>0</v>
      </c>
    </row>
    <row r="8067">
      <c r="A8067" t="inlineStr">
        <is>
          <t>12월</t>
        </is>
      </c>
      <c r="B8067" t="inlineStr">
        <is>
          <t>52주차</t>
        </is>
      </c>
      <c r="C8067" t="e">
        <v>#N/A</v>
      </c>
      <c r="K8067" t="n">
        <v>0</v>
      </c>
      <c r="L8067" t="n">
        <v>0</v>
      </c>
      <c r="M8067" t="n">
        <v>0</v>
      </c>
      <c r="AC8067" t="n">
        <v>0</v>
      </c>
      <c r="AD8067" t="n">
        <v>0</v>
      </c>
      <c r="AE8067" t="n">
        <v>0</v>
      </c>
      <c r="AF8067" t="n">
        <v>0</v>
      </c>
      <c r="AG8067" t="n">
        <v>0</v>
      </c>
      <c r="AH8067" t="n">
        <v>0</v>
      </c>
      <c r="AI8067" t="n">
        <v>0</v>
      </c>
    </row>
    <row r="8068">
      <c r="A8068" t="inlineStr">
        <is>
          <t>12월</t>
        </is>
      </c>
      <c r="B8068" t="inlineStr">
        <is>
          <t>52주차</t>
        </is>
      </c>
      <c r="C8068" t="e">
        <v>#N/A</v>
      </c>
      <c r="K8068" t="n">
        <v>0</v>
      </c>
      <c r="L8068" t="n">
        <v>0</v>
      </c>
      <c r="M8068" t="n">
        <v>0</v>
      </c>
      <c r="AC8068" t="n">
        <v>0</v>
      </c>
      <c r="AD8068" t="n">
        <v>0</v>
      </c>
      <c r="AE8068" t="n">
        <v>0</v>
      </c>
      <c r="AF8068" t="n">
        <v>0</v>
      </c>
      <c r="AG8068" t="n">
        <v>0</v>
      </c>
      <c r="AH8068" t="n">
        <v>0</v>
      </c>
      <c r="AI8068" t="n">
        <v>0</v>
      </c>
    </row>
    <row r="8069">
      <c r="A8069" t="inlineStr">
        <is>
          <t>12월</t>
        </is>
      </c>
      <c r="B8069" t="inlineStr">
        <is>
          <t>52주차</t>
        </is>
      </c>
      <c r="C8069" t="e">
        <v>#N/A</v>
      </c>
      <c r="K8069" t="n">
        <v>0</v>
      </c>
      <c r="L8069" t="n">
        <v>0</v>
      </c>
      <c r="M8069" t="n">
        <v>0</v>
      </c>
      <c r="AC8069" t="n">
        <v>0</v>
      </c>
      <c r="AD8069" t="n">
        <v>0</v>
      </c>
      <c r="AE8069" t="n">
        <v>0</v>
      </c>
      <c r="AF8069" t="n">
        <v>0</v>
      </c>
      <c r="AG8069" t="n">
        <v>0</v>
      </c>
      <c r="AH8069" t="n">
        <v>0</v>
      </c>
    </row>
    <row r="8070">
      <c r="A8070" t="inlineStr">
        <is>
          <t>12월</t>
        </is>
      </c>
      <c r="B8070" t="inlineStr">
        <is>
          <t>52주차</t>
        </is>
      </c>
      <c r="C8070" t="e">
        <v>#N/A</v>
      </c>
      <c r="K8070" t="n">
        <v>0</v>
      </c>
      <c r="L8070" t="n">
        <v>0</v>
      </c>
      <c r="M8070" t="n">
        <v>0</v>
      </c>
      <c r="AC8070" t="n">
        <v>0</v>
      </c>
      <c r="AD8070" t="n">
        <v>0</v>
      </c>
      <c r="AE8070" t="n">
        <v>0</v>
      </c>
      <c r="AF8070" t="n">
        <v>0</v>
      </c>
      <c r="AG8070" t="n">
        <v>0</v>
      </c>
      <c r="AH8070" t="n">
        <v>0</v>
      </c>
      <c r="AI8070" t="n">
        <v>0</v>
      </c>
    </row>
    <row r="8071">
      <c r="A8071" t="inlineStr">
        <is>
          <t>12월</t>
        </is>
      </c>
      <c r="B8071" t="inlineStr">
        <is>
          <t>52주차</t>
        </is>
      </c>
      <c r="C8071" t="e">
        <v>#N/A</v>
      </c>
      <c r="K8071" t="n">
        <v>0</v>
      </c>
      <c r="L8071" t="n">
        <v>0</v>
      </c>
      <c r="M8071" t="n">
        <v>0</v>
      </c>
      <c r="AC8071" t="n">
        <v>0</v>
      </c>
      <c r="AD8071" t="n">
        <v>0</v>
      </c>
      <c r="AE8071" t="n">
        <v>0</v>
      </c>
      <c r="AF8071" t="n">
        <v>0</v>
      </c>
      <c r="AG8071" t="n">
        <v>0</v>
      </c>
      <c r="AH8071" t="n">
        <v>0</v>
      </c>
      <c r="AI8071" t="n">
        <v>0</v>
      </c>
    </row>
    <row r="8072">
      <c r="A8072" t="inlineStr">
        <is>
          <t>12월</t>
        </is>
      </c>
      <c r="B8072" t="inlineStr">
        <is>
          <t>52주차</t>
        </is>
      </c>
      <c r="C8072" t="e">
        <v>#N/A</v>
      </c>
      <c r="K8072" t="n">
        <v>0</v>
      </c>
      <c r="L8072" t="n">
        <v>0</v>
      </c>
      <c r="M8072" t="n">
        <v>0</v>
      </c>
      <c r="AC8072" t="n">
        <v>0</v>
      </c>
      <c r="AD8072" t="n">
        <v>0</v>
      </c>
      <c r="AE8072" t="n">
        <v>0</v>
      </c>
      <c r="AF8072" t="n">
        <v>0</v>
      </c>
      <c r="AG8072" t="n">
        <v>0</v>
      </c>
      <c r="AH8072" t="n">
        <v>0</v>
      </c>
    </row>
    <row r="8073">
      <c r="A8073" t="inlineStr">
        <is>
          <t>12월</t>
        </is>
      </c>
      <c r="B8073" t="inlineStr">
        <is>
          <t>52주차</t>
        </is>
      </c>
      <c r="C8073" t="e">
        <v>#N/A</v>
      </c>
      <c r="K8073" t="n">
        <v>0</v>
      </c>
      <c r="L8073" t="n">
        <v>0</v>
      </c>
      <c r="M8073" t="n">
        <v>0</v>
      </c>
      <c r="AC8073" t="n">
        <v>0</v>
      </c>
      <c r="AD8073" t="n">
        <v>0</v>
      </c>
      <c r="AE8073" t="n">
        <v>0</v>
      </c>
      <c r="AF8073" t="n">
        <v>0</v>
      </c>
      <c r="AG8073" t="n">
        <v>0</v>
      </c>
      <c r="AH8073" t="n">
        <v>0</v>
      </c>
      <c r="AI8073" t="n">
        <v>0</v>
      </c>
    </row>
    <row r="8074">
      <c r="A8074" t="inlineStr">
        <is>
          <t>12월</t>
        </is>
      </c>
      <c r="B8074" t="inlineStr">
        <is>
          <t>52주차</t>
        </is>
      </c>
      <c r="C8074" t="e">
        <v>#N/A</v>
      </c>
      <c r="K8074" t="n">
        <v>0</v>
      </c>
      <c r="L8074" t="n">
        <v>0</v>
      </c>
      <c r="M8074" t="n">
        <v>0</v>
      </c>
      <c r="AC8074" t="n">
        <v>0</v>
      </c>
      <c r="AD8074" t="n">
        <v>0</v>
      </c>
      <c r="AE8074" t="n">
        <v>0</v>
      </c>
      <c r="AF8074" t="n">
        <v>0</v>
      </c>
      <c r="AG8074" t="n">
        <v>0</v>
      </c>
      <c r="AH8074" t="n">
        <v>0</v>
      </c>
      <c r="AI8074" t="n">
        <v>0</v>
      </c>
    </row>
    <row r="8075">
      <c r="A8075" t="inlineStr">
        <is>
          <t>12월</t>
        </is>
      </c>
      <c r="B8075" t="inlineStr">
        <is>
          <t>52주차</t>
        </is>
      </c>
      <c r="C8075" t="e">
        <v>#N/A</v>
      </c>
      <c r="K8075" t="n">
        <v>0</v>
      </c>
      <c r="L8075" t="n">
        <v>0</v>
      </c>
      <c r="M8075" t="n">
        <v>0</v>
      </c>
      <c r="AC8075" t="n">
        <v>0</v>
      </c>
      <c r="AD8075" t="n">
        <v>0</v>
      </c>
      <c r="AE8075" t="n">
        <v>0</v>
      </c>
      <c r="AF8075" t="n">
        <v>0</v>
      </c>
      <c r="AG8075" t="n">
        <v>0</v>
      </c>
      <c r="AH8075" t="n">
        <v>0</v>
      </c>
    </row>
    <row r="8076">
      <c r="A8076" t="inlineStr">
        <is>
          <t>12월</t>
        </is>
      </c>
      <c r="B8076" t="inlineStr">
        <is>
          <t>52주차</t>
        </is>
      </c>
      <c r="C8076" t="e">
        <v>#N/A</v>
      </c>
      <c r="K8076" t="n">
        <v>0</v>
      </c>
      <c r="L8076" t="n">
        <v>0</v>
      </c>
      <c r="M8076" t="n">
        <v>0</v>
      </c>
      <c r="AC8076" t="n">
        <v>0</v>
      </c>
      <c r="AD8076" t="n">
        <v>0</v>
      </c>
      <c r="AE8076" t="n">
        <v>0</v>
      </c>
      <c r="AF8076" t="n">
        <v>0</v>
      </c>
      <c r="AG8076" t="n">
        <v>0</v>
      </c>
      <c r="AH8076" t="n">
        <v>0</v>
      </c>
      <c r="AI8076" t="n">
        <v>0</v>
      </c>
    </row>
    <row r="8077">
      <c r="A8077" t="inlineStr">
        <is>
          <t>12월</t>
        </is>
      </c>
      <c r="B8077" t="inlineStr">
        <is>
          <t>52주차</t>
        </is>
      </c>
      <c r="C8077" t="e">
        <v>#N/A</v>
      </c>
      <c r="K8077" t="n">
        <v>0</v>
      </c>
      <c r="L8077" t="n">
        <v>0</v>
      </c>
      <c r="M8077" t="n">
        <v>0</v>
      </c>
      <c r="AC8077" t="n">
        <v>0</v>
      </c>
      <c r="AD8077" t="n">
        <v>0</v>
      </c>
      <c r="AE8077" t="n">
        <v>0</v>
      </c>
      <c r="AF8077" t="n">
        <v>0</v>
      </c>
      <c r="AG8077" t="n">
        <v>0</v>
      </c>
      <c r="AH8077" t="n">
        <v>0</v>
      </c>
      <c r="AI8077" t="n">
        <v>0</v>
      </c>
    </row>
    <row r="8078">
      <c r="A8078" t="inlineStr">
        <is>
          <t>12월</t>
        </is>
      </c>
      <c r="B8078" t="inlineStr">
        <is>
          <t>52주차</t>
        </is>
      </c>
      <c r="C8078" t="e">
        <v>#N/A</v>
      </c>
      <c r="K8078" t="n">
        <v>0</v>
      </c>
      <c r="L8078" t="n">
        <v>0</v>
      </c>
      <c r="M8078" t="n">
        <v>0</v>
      </c>
      <c r="AC8078" t="n">
        <v>0</v>
      </c>
      <c r="AD8078" t="n">
        <v>0</v>
      </c>
      <c r="AE8078" t="n">
        <v>0</v>
      </c>
      <c r="AF8078" t="n">
        <v>0</v>
      </c>
      <c r="AG8078" t="n">
        <v>0</v>
      </c>
      <c r="AH8078" t="n">
        <v>0</v>
      </c>
      <c r="AI8078" t="n">
        <v>0</v>
      </c>
    </row>
    <row r="8079">
      <c r="A8079" t="inlineStr">
        <is>
          <t>12월</t>
        </is>
      </c>
      <c r="B8079" t="inlineStr">
        <is>
          <t>52주차</t>
        </is>
      </c>
      <c r="C8079" t="e">
        <v>#N/A</v>
      </c>
      <c r="K8079" t="n">
        <v>0</v>
      </c>
      <c r="L8079" t="n">
        <v>0</v>
      </c>
      <c r="M8079" t="n">
        <v>0</v>
      </c>
      <c r="AC8079" t="n">
        <v>0</v>
      </c>
      <c r="AD8079" t="n">
        <v>0</v>
      </c>
      <c r="AE8079" t="n">
        <v>0</v>
      </c>
      <c r="AF8079" t="n">
        <v>0</v>
      </c>
      <c r="AG8079" t="n">
        <v>0</v>
      </c>
      <c r="AH8079" t="n">
        <v>0</v>
      </c>
      <c r="AI8079" t="n">
        <v>0</v>
      </c>
    </row>
    <row r="8080">
      <c r="A8080" t="inlineStr">
        <is>
          <t>12월</t>
        </is>
      </c>
      <c r="B8080" t="inlineStr">
        <is>
          <t>52주차</t>
        </is>
      </c>
      <c r="C8080" t="e">
        <v>#N/A</v>
      </c>
      <c r="K8080" t="n">
        <v>0</v>
      </c>
      <c r="L8080" t="n">
        <v>0</v>
      </c>
      <c r="M8080" t="n">
        <v>0</v>
      </c>
      <c r="AC8080" t="n">
        <v>0</v>
      </c>
      <c r="AD8080" t="n">
        <v>0</v>
      </c>
      <c r="AE8080" t="n">
        <v>0</v>
      </c>
      <c r="AF8080" t="n">
        <v>0</v>
      </c>
      <c r="AG8080" t="n">
        <v>0</v>
      </c>
      <c r="AH8080" t="n">
        <v>0</v>
      </c>
      <c r="AI8080" t="n">
        <v>0</v>
      </c>
    </row>
    <row r="8081">
      <c r="A8081" t="inlineStr">
        <is>
          <t>12월</t>
        </is>
      </c>
      <c r="B8081" t="inlineStr">
        <is>
          <t>52주차</t>
        </is>
      </c>
      <c r="C8081" t="e">
        <v>#N/A</v>
      </c>
      <c r="K8081" t="n">
        <v>0</v>
      </c>
      <c r="L8081" t="n">
        <v>0</v>
      </c>
      <c r="M8081" t="n">
        <v>0</v>
      </c>
      <c r="AC8081" t="n">
        <v>0</v>
      </c>
      <c r="AD8081" t="n">
        <v>0</v>
      </c>
      <c r="AE8081" t="n">
        <v>0</v>
      </c>
      <c r="AF8081" t="n">
        <v>0</v>
      </c>
      <c r="AG8081" t="n">
        <v>0</v>
      </c>
      <c r="AH8081" t="n">
        <v>0</v>
      </c>
      <c r="AI8081" t="n">
        <v>0</v>
      </c>
    </row>
    <row r="8082">
      <c r="A8082" t="inlineStr">
        <is>
          <t>12월</t>
        </is>
      </c>
      <c r="B8082" t="inlineStr">
        <is>
          <t>52주차</t>
        </is>
      </c>
      <c r="C8082" t="e">
        <v>#N/A</v>
      </c>
      <c r="K8082" t="n">
        <v>0</v>
      </c>
      <c r="L8082" t="n">
        <v>0</v>
      </c>
      <c r="M8082" t="n">
        <v>0</v>
      </c>
      <c r="AC8082" t="n">
        <v>0</v>
      </c>
      <c r="AD8082" t="n">
        <v>0</v>
      </c>
      <c r="AE8082" t="n">
        <v>0</v>
      </c>
      <c r="AF8082" t="n">
        <v>0</v>
      </c>
      <c r="AG8082" t="n">
        <v>0</v>
      </c>
      <c r="AH8082" t="n">
        <v>0</v>
      </c>
      <c r="AI8082" t="n">
        <v>0</v>
      </c>
    </row>
    <row r="8083">
      <c r="A8083" t="inlineStr">
        <is>
          <t>12월</t>
        </is>
      </c>
      <c r="B8083" t="inlineStr">
        <is>
          <t>52주차</t>
        </is>
      </c>
      <c r="C8083" t="e">
        <v>#N/A</v>
      </c>
      <c r="K8083" t="n">
        <v>0</v>
      </c>
      <c r="L8083" t="n">
        <v>0</v>
      </c>
      <c r="M8083" t="n">
        <v>0</v>
      </c>
      <c r="AC8083" t="n">
        <v>0</v>
      </c>
      <c r="AD8083" t="n">
        <v>0</v>
      </c>
      <c r="AE8083" t="n">
        <v>0</v>
      </c>
      <c r="AF8083" t="n">
        <v>0</v>
      </c>
      <c r="AG8083" t="n">
        <v>0</v>
      </c>
      <c r="AH8083" t="n">
        <v>0</v>
      </c>
      <c r="AI8083" t="n">
        <v>0</v>
      </c>
    </row>
    <row r="8084">
      <c r="A8084" t="inlineStr">
        <is>
          <t>12월</t>
        </is>
      </c>
      <c r="B8084" t="inlineStr">
        <is>
          <t>52주차</t>
        </is>
      </c>
      <c r="C8084" t="e">
        <v>#N/A</v>
      </c>
      <c r="K8084" t="n">
        <v>0</v>
      </c>
      <c r="L8084" t="n">
        <v>0</v>
      </c>
      <c r="M8084" t="n">
        <v>0</v>
      </c>
      <c r="AC8084" t="n">
        <v>0</v>
      </c>
      <c r="AD8084" t="n">
        <v>0</v>
      </c>
      <c r="AE8084" t="n">
        <v>0</v>
      </c>
      <c r="AF8084" t="n">
        <v>0</v>
      </c>
      <c r="AG8084" t="n">
        <v>0</v>
      </c>
      <c r="AH8084" t="n">
        <v>0</v>
      </c>
    </row>
    <row r="8085">
      <c r="A8085" t="inlineStr">
        <is>
          <t>12월</t>
        </is>
      </c>
      <c r="B8085" t="inlineStr">
        <is>
          <t>52주차</t>
        </is>
      </c>
      <c r="C8085" t="e">
        <v>#N/A</v>
      </c>
      <c r="K8085" t="n">
        <v>0</v>
      </c>
      <c r="L8085" t="n">
        <v>0</v>
      </c>
      <c r="M8085" t="n">
        <v>0</v>
      </c>
      <c r="AC8085" t="n">
        <v>0</v>
      </c>
      <c r="AD8085" t="n">
        <v>0</v>
      </c>
      <c r="AE8085" t="n">
        <v>0</v>
      </c>
      <c r="AF8085" t="n">
        <v>0</v>
      </c>
      <c r="AG8085" t="n">
        <v>0</v>
      </c>
      <c r="AH8085" t="n">
        <v>0</v>
      </c>
      <c r="AI8085" t="n">
        <v>0</v>
      </c>
    </row>
    <row r="8086">
      <c r="A8086" t="inlineStr">
        <is>
          <t>12월</t>
        </is>
      </c>
      <c r="B8086" t="inlineStr">
        <is>
          <t>52주차</t>
        </is>
      </c>
      <c r="C8086" t="e">
        <v>#N/A</v>
      </c>
      <c r="K8086" t="n">
        <v>0</v>
      </c>
      <c r="L8086" t="n">
        <v>0</v>
      </c>
      <c r="M8086" t="n">
        <v>0</v>
      </c>
      <c r="AC8086" t="n">
        <v>0</v>
      </c>
      <c r="AD8086" t="n">
        <v>0</v>
      </c>
      <c r="AE8086" t="n">
        <v>0</v>
      </c>
      <c r="AF8086" t="n">
        <v>0</v>
      </c>
      <c r="AG8086" t="n">
        <v>0</v>
      </c>
      <c r="AH8086" t="n">
        <v>0</v>
      </c>
    </row>
    <row r="8087">
      <c r="A8087" t="inlineStr">
        <is>
          <t>12월</t>
        </is>
      </c>
      <c r="B8087" t="inlineStr">
        <is>
          <t>52주차</t>
        </is>
      </c>
      <c r="C8087" t="e">
        <v>#N/A</v>
      </c>
      <c r="K8087" t="n">
        <v>0</v>
      </c>
      <c r="L8087" t="n">
        <v>0</v>
      </c>
      <c r="M8087" t="n">
        <v>0</v>
      </c>
      <c r="AC8087" t="n">
        <v>0</v>
      </c>
      <c r="AD8087" t="n">
        <v>0</v>
      </c>
      <c r="AE8087" t="n">
        <v>0</v>
      </c>
      <c r="AF8087" t="n">
        <v>0</v>
      </c>
      <c r="AG8087" t="n">
        <v>0</v>
      </c>
      <c r="AH8087" t="n">
        <v>0</v>
      </c>
      <c r="AI8087" t="n">
        <v>0</v>
      </c>
    </row>
    <row r="8088">
      <c r="A8088" t="inlineStr">
        <is>
          <t>12월</t>
        </is>
      </c>
      <c r="B8088" t="inlineStr">
        <is>
          <t>52주차</t>
        </is>
      </c>
      <c r="C8088" t="e">
        <v>#N/A</v>
      </c>
      <c r="K8088" t="n">
        <v>0</v>
      </c>
      <c r="L8088" t="n">
        <v>0</v>
      </c>
      <c r="M8088" t="n">
        <v>0</v>
      </c>
      <c r="AC8088" t="n">
        <v>0</v>
      </c>
      <c r="AD8088" t="n">
        <v>0</v>
      </c>
      <c r="AE8088" t="n">
        <v>0</v>
      </c>
      <c r="AF8088" t="n">
        <v>0</v>
      </c>
      <c r="AG8088" t="n">
        <v>0</v>
      </c>
      <c r="AH8088" t="n">
        <v>0</v>
      </c>
      <c r="AI8088" t="n">
        <v>0</v>
      </c>
    </row>
    <row r="8089">
      <c r="A8089" t="inlineStr">
        <is>
          <t>12월</t>
        </is>
      </c>
      <c r="B8089" t="inlineStr">
        <is>
          <t>52주차</t>
        </is>
      </c>
      <c r="C8089" t="e">
        <v>#N/A</v>
      </c>
      <c r="K8089" t="n">
        <v>0</v>
      </c>
      <c r="L8089" t="n">
        <v>0</v>
      </c>
      <c r="M8089" t="n">
        <v>0</v>
      </c>
      <c r="AC8089" t="n">
        <v>0</v>
      </c>
      <c r="AD8089" t="n">
        <v>0</v>
      </c>
      <c r="AE8089" t="n">
        <v>0</v>
      </c>
      <c r="AF8089" t="n">
        <v>0</v>
      </c>
      <c r="AG8089" t="n">
        <v>0</v>
      </c>
      <c r="AH8089" t="n">
        <v>0</v>
      </c>
    </row>
    <row r="8090">
      <c r="A8090" t="inlineStr">
        <is>
          <t>12월</t>
        </is>
      </c>
      <c r="B8090" t="inlineStr">
        <is>
          <t>52주차</t>
        </is>
      </c>
      <c r="C8090" t="e">
        <v>#N/A</v>
      </c>
      <c r="K8090" t="n">
        <v>0</v>
      </c>
      <c r="L8090" t="n">
        <v>0</v>
      </c>
      <c r="M8090" t="n">
        <v>0</v>
      </c>
      <c r="AC8090" t="n">
        <v>0</v>
      </c>
      <c r="AD8090" t="n">
        <v>0</v>
      </c>
      <c r="AE8090" t="n">
        <v>0</v>
      </c>
      <c r="AF8090" t="n">
        <v>0</v>
      </c>
      <c r="AG8090" t="n">
        <v>0</v>
      </c>
      <c r="AH8090" t="n">
        <v>0</v>
      </c>
    </row>
    <row r="8091">
      <c r="A8091" t="inlineStr">
        <is>
          <t>12월</t>
        </is>
      </c>
      <c r="B8091" t="inlineStr">
        <is>
          <t>52주차</t>
        </is>
      </c>
      <c r="C8091" t="e">
        <v>#N/A</v>
      </c>
      <c r="K8091" t="n">
        <v>0</v>
      </c>
      <c r="L8091" t="n">
        <v>0</v>
      </c>
      <c r="M8091" t="n">
        <v>0</v>
      </c>
      <c r="AC8091" t="n">
        <v>0</v>
      </c>
      <c r="AD8091" t="n">
        <v>0</v>
      </c>
      <c r="AE8091" t="n">
        <v>0</v>
      </c>
      <c r="AF8091" t="n">
        <v>0</v>
      </c>
      <c r="AG8091" t="n">
        <v>0</v>
      </c>
      <c r="AH8091" t="n">
        <v>0</v>
      </c>
      <c r="AI8091" t="n">
        <v>0</v>
      </c>
    </row>
    <row r="8092">
      <c r="A8092" t="inlineStr">
        <is>
          <t>12월</t>
        </is>
      </c>
      <c r="B8092" t="inlineStr">
        <is>
          <t>52주차</t>
        </is>
      </c>
      <c r="C8092" t="e">
        <v>#N/A</v>
      </c>
      <c r="K8092" t="n">
        <v>0</v>
      </c>
      <c r="L8092" t="n">
        <v>0</v>
      </c>
      <c r="M8092" t="n">
        <v>0</v>
      </c>
      <c r="AC8092" t="n">
        <v>0</v>
      </c>
      <c r="AD8092" t="n">
        <v>0</v>
      </c>
      <c r="AE8092" t="n">
        <v>0</v>
      </c>
      <c r="AF8092" t="n">
        <v>0</v>
      </c>
      <c r="AG8092" t="n">
        <v>0</v>
      </c>
      <c r="AH8092" t="n">
        <v>0</v>
      </c>
      <c r="AI8092" t="n">
        <v>0</v>
      </c>
    </row>
    <row r="8093">
      <c r="A8093" t="inlineStr">
        <is>
          <t>12월</t>
        </is>
      </c>
      <c r="B8093" t="inlineStr">
        <is>
          <t>52주차</t>
        </is>
      </c>
      <c r="C8093" t="e">
        <v>#N/A</v>
      </c>
      <c r="K8093" t="n">
        <v>0</v>
      </c>
      <c r="L8093" t="n">
        <v>0</v>
      </c>
      <c r="M8093" t="n">
        <v>0</v>
      </c>
      <c r="AC8093" t="n">
        <v>0</v>
      </c>
      <c r="AD8093" t="n">
        <v>0</v>
      </c>
      <c r="AE8093" t="n">
        <v>0</v>
      </c>
      <c r="AF8093" t="n">
        <v>0</v>
      </c>
      <c r="AG8093" t="n">
        <v>0</v>
      </c>
      <c r="AH8093" t="n">
        <v>0</v>
      </c>
      <c r="AI8093" t="n">
        <v>0</v>
      </c>
    </row>
    <row r="8094">
      <c r="A8094" t="inlineStr">
        <is>
          <t>12월</t>
        </is>
      </c>
      <c r="B8094" t="inlineStr">
        <is>
          <t>52주차</t>
        </is>
      </c>
      <c r="C8094" t="e">
        <v>#N/A</v>
      </c>
      <c r="K8094" t="n">
        <v>0</v>
      </c>
      <c r="L8094" t="n">
        <v>0</v>
      </c>
      <c r="M8094" t="n">
        <v>0</v>
      </c>
      <c r="AC8094" t="n">
        <v>0</v>
      </c>
      <c r="AD8094" t="n">
        <v>0</v>
      </c>
      <c r="AE8094" t="n">
        <v>0</v>
      </c>
      <c r="AF8094" t="n">
        <v>0</v>
      </c>
      <c r="AG8094" t="n">
        <v>0</v>
      </c>
      <c r="AH8094" t="n">
        <v>0</v>
      </c>
      <c r="AI8094" t="n">
        <v>0</v>
      </c>
    </row>
    <row r="8095">
      <c r="A8095" t="inlineStr">
        <is>
          <t>12월</t>
        </is>
      </c>
      <c r="B8095" t="inlineStr">
        <is>
          <t>52주차</t>
        </is>
      </c>
      <c r="C8095" t="e">
        <v>#N/A</v>
      </c>
      <c r="K8095" t="n">
        <v>0</v>
      </c>
      <c r="L8095" t="n">
        <v>0</v>
      </c>
      <c r="M8095" t="n">
        <v>0</v>
      </c>
      <c r="AC8095" t="n">
        <v>0</v>
      </c>
      <c r="AD8095" t="n">
        <v>0</v>
      </c>
      <c r="AE8095" t="n">
        <v>0</v>
      </c>
      <c r="AF8095" t="n">
        <v>0</v>
      </c>
      <c r="AG8095" t="n">
        <v>0</v>
      </c>
      <c r="AH8095" t="n">
        <v>0</v>
      </c>
      <c r="AI8095" t="n">
        <v>0</v>
      </c>
    </row>
    <row r="8096">
      <c r="A8096" t="inlineStr">
        <is>
          <t>12월</t>
        </is>
      </c>
      <c r="B8096" t="inlineStr">
        <is>
          <t>52주차</t>
        </is>
      </c>
      <c r="C8096" t="e">
        <v>#N/A</v>
      </c>
      <c r="K8096" t="n">
        <v>0</v>
      </c>
      <c r="L8096" t="n">
        <v>0</v>
      </c>
      <c r="M8096" t="n">
        <v>0</v>
      </c>
      <c r="AC8096" t="n">
        <v>0</v>
      </c>
      <c r="AD8096" t="n">
        <v>0</v>
      </c>
      <c r="AE8096" t="n">
        <v>0</v>
      </c>
      <c r="AF8096" t="n">
        <v>0</v>
      </c>
      <c r="AG8096" t="n">
        <v>0</v>
      </c>
      <c r="AH8096" t="n">
        <v>0</v>
      </c>
      <c r="AI8096" t="n">
        <v>0</v>
      </c>
    </row>
    <row r="8097">
      <c r="A8097" t="inlineStr">
        <is>
          <t>12월</t>
        </is>
      </c>
      <c r="B8097" t="inlineStr">
        <is>
          <t>52주차</t>
        </is>
      </c>
      <c r="C8097" t="e">
        <v>#N/A</v>
      </c>
      <c r="K8097" t="n">
        <v>0</v>
      </c>
      <c r="L8097" t="n">
        <v>0</v>
      </c>
      <c r="M8097" t="n">
        <v>0</v>
      </c>
      <c r="AC8097" t="n">
        <v>0</v>
      </c>
      <c r="AD8097" t="n">
        <v>0</v>
      </c>
      <c r="AE8097" t="n">
        <v>0</v>
      </c>
      <c r="AF8097" t="n">
        <v>0</v>
      </c>
      <c r="AG8097" t="n">
        <v>0</v>
      </c>
      <c r="AH8097" t="n">
        <v>0</v>
      </c>
      <c r="AI8097" t="n">
        <v>0</v>
      </c>
    </row>
    <row r="8098">
      <c r="A8098" t="inlineStr">
        <is>
          <t>12월</t>
        </is>
      </c>
      <c r="B8098" t="inlineStr">
        <is>
          <t>52주차</t>
        </is>
      </c>
      <c r="C8098" t="e">
        <v>#N/A</v>
      </c>
      <c r="K8098" t="n">
        <v>0</v>
      </c>
      <c r="L8098" t="n">
        <v>0</v>
      </c>
      <c r="M8098" t="n">
        <v>0</v>
      </c>
      <c r="AC8098" t="n">
        <v>0</v>
      </c>
      <c r="AD8098" t="n">
        <v>0</v>
      </c>
      <c r="AE8098" t="n">
        <v>0</v>
      </c>
      <c r="AF8098" t="n">
        <v>0</v>
      </c>
      <c r="AG8098" t="n">
        <v>0</v>
      </c>
      <c r="AH8098" t="n">
        <v>0</v>
      </c>
    </row>
    <row r="8099">
      <c r="A8099" t="inlineStr">
        <is>
          <t>12월</t>
        </is>
      </c>
      <c r="B8099" t="inlineStr">
        <is>
          <t>52주차</t>
        </is>
      </c>
      <c r="C8099" t="e">
        <v>#N/A</v>
      </c>
      <c r="K8099" t="n">
        <v>0</v>
      </c>
      <c r="L8099" t="n">
        <v>0</v>
      </c>
      <c r="M8099" t="n">
        <v>0</v>
      </c>
      <c r="AC8099" t="n">
        <v>0</v>
      </c>
      <c r="AD8099" t="n">
        <v>0</v>
      </c>
      <c r="AE8099" t="n">
        <v>0</v>
      </c>
      <c r="AF8099" t="n">
        <v>0</v>
      </c>
      <c r="AG8099" t="n">
        <v>0</v>
      </c>
      <c r="AH8099" t="n">
        <v>0</v>
      </c>
      <c r="AI8099" t="n">
        <v>0</v>
      </c>
    </row>
    <row r="8100">
      <c r="A8100" t="inlineStr">
        <is>
          <t>12월</t>
        </is>
      </c>
      <c r="B8100" t="inlineStr">
        <is>
          <t>52주차</t>
        </is>
      </c>
      <c r="C8100" t="e">
        <v>#N/A</v>
      </c>
      <c r="K8100" t="n">
        <v>0</v>
      </c>
      <c r="L8100" t="n">
        <v>0</v>
      </c>
      <c r="M8100" t="n">
        <v>0</v>
      </c>
      <c r="AC8100" t="n">
        <v>0</v>
      </c>
      <c r="AD8100" t="n">
        <v>0</v>
      </c>
      <c r="AE8100" t="n">
        <v>0</v>
      </c>
      <c r="AF8100" t="n">
        <v>0</v>
      </c>
      <c r="AG8100" t="n">
        <v>0</v>
      </c>
      <c r="AH8100" t="n">
        <v>0</v>
      </c>
      <c r="AI8100" t="n">
        <v>0</v>
      </c>
    </row>
    <row r="8101">
      <c r="A8101" t="inlineStr">
        <is>
          <t>12월</t>
        </is>
      </c>
      <c r="B8101" t="inlineStr">
        <is>
          <t>52주차</t>
        </is>
      </c>
      <c r="C8101" t="e">
        <v>#N/A</v>
      </c>
      <c r="K8101" t="n">
        <v>0</v>
      </c>
      <c r="L8101" t="n">
        <v>0</v>
      </c>
      <c r="M8101" t="n">
        <v>0</v>
      </c>
      <c r="AC8101" t="n">
        <v>0</v>
      </c>
      <c r="AD8101" t="n">
        <v>0</v>
      </c>
      <c r="AE8101" t="n">
        <v>0</v>
      </c>
      <c r="AF8101" t="n">
        <v>0</v>
      </c>
      <c r="AG8101" t="n">
        <v>0</v>
      </c>
      <c r="AH8101" t="n">
        <v>0</v>
      </c>
      <c r="AI8101" t="n">
        <v>0</v>
      </c>
    </row>
    <row r="8102">
      <c r="A8102" t="inlineStr">
        <is>
          <t>12월</t>
        </is>
      </c>
      <c r="B8102" t="inlineStr">
        <is>
          <t>52주차</t>
        </is>
      </c>
      <c r="C8102" t="e">
        <v>#N/A</v>
      </c>
      <c r="K8102" t="n">
        <v>0</v>
      </c>
      <c r="L8102" t="n">
        <v>0</v>
      </c>
      <c r="M8102" t="n">
        <v>0</v>
      </c>
      <c r="AC8102" t="n">
        <v>0</v>
      </c>
      <c r="AD8102" t="n">
        <v>0</v>
      </c>
      <c r="AE8102" t="n">
        <v>0</v>
      </c>
      <c r="AF8102" t="n">
        <v>0</v>
      </c>
      <c r="AG8102" t="n">
        <v>0</v>
      </c>
      <c r="AH8102" t="n">
        <v>0</v>
      </c>
      <c r="AI8102" t="n">
        <v>0</v>
      </c>
    </row>
    <row r="8103">
      <c r="A8103" t="inlineStr">
        <is>
          <t>12월</t>
        </is>
      </c>
      <c r="B8103" t="inlineStr">
        <is>
          <t>52주차</t>
        </is>
      </c>
      <c r="C8103" t="e">
        <v>#N/A</v>
      </c>
      <c r="K8103" t="n">
        <v>0</v>
      </c>
      <c r="L8103" t="n">
        <v>0</v>
      </c>
      <c r="M8103" t="n">
        <v>0</v>
      </c>
      <c r="AC8103" t="n">
        <v>0</v>
      </c>
      <c r="AD8103" t="n">
        <v>0</v>
      </c>
      <c r="AE8103" t="n">
        <v>0</v>
      </c>
      <c r="AF8103" t="n">
        <v>0</v>
      </c>
      <c r="AG8103" t="n">
        <v>0</v>
      </c>
      <c r="AH8103" t="n">
        <v>0</v>
      </c>
      <c r="AI8103" t="n">
        <v>0</v>
      </c>
    </row>
    <row r="8104">
      <c r="A8104" t="inlineStr">
        <is>
          <t>12월</t>
        </is>
      </c>
      <c r="B8104" t="inlineStr">
        <is>
          <t>52주차</t>
        </is>
      </c>
      <c r="C8104" t="e">
        <v>#N/A</v>
      </c>
      <c r="K8104" t="n">
        <v>0</v>
      </c>
      <c r="L8104" t="n">
        <v>0</v>
      </c>
      <c r="M8104" t="n">
        <v>0</v>
      </c>
      <c r="AC8104" t="n">
        <v>0</v>
      </c>
      <c r="AD8104" t="n">
        <v>0</v>
      </c>
      <c r="AE8104" t="n">
        <v>0</v>
      </c>
      <c r="AF8104" t="n">
        <v>0</v>
      </c>
      <c r="AG8104" t="n">
        <v>0</v>
      </c>
      <c r="AH8104" t="n">
        <v>0</v>
      </c>
      <c r="AI8104" t="n">
        <v>0</v>
      </c>
    </row>
    <row r="8105">
      <c r="A8105" t="inlineStr">
        <is>
          <t>12월</t>
        </is>
      </c>
      <c r="B8105" t="inlineStr">
        <is>
          <t>52주차</t>
        </is>
      </c>
      <c r="C8105" t="e">
        <v>#N/A</v>
      </c>
      <c r="K8105" t="n">
        <v>0</v>
      </c>
      <c r="L8105" t="n">
        <v>0</v>
      </c>
      <c r="M8105" t="n">
        <v>0</v>
      </c>
      <c r="AC8105" t="n">
        <v>0</v>
      </c>
      <c r="AD8105" t="n">
        <v>0</v>
      </c>
      <c r="AE8105" t="n">
        <v>0</v>
      </c>
      <c r="AF8105" t="n">
        <v>0</v>
      </c>
      <c r="AG8105" t="n">
        <v>0</v>
      </c>
      <c r="AH8105" t="n">
        <v>0</v>
      </c>
    </row>
    <row r="8106">
      <c r="A8106" t="inlineStr">
        <is>
          <t>12월</t>
        </is>
      </c>
      <c r="B8106" t="inlineStr">
        <is>
          <t>52주차</t>
        </is>
      </c>
      <c r="C8106" t="e">
        <v>#N/A</v>
      </c>
      <c r="K8106" t="n">
        <v>0</v>
      </c>
      <c r="L8106" t="n">
        <v>0</v>
      </c>
      <c r="M8106" t="n">
        <v>0</v>
      </c>
      <c r="AC8106" t="n">
        <v>0</v>
      </c>
      <c r="AD8106" t="n">
        <v>0</v>
      </c>
      <c r="AE8106" t="n">
        <v>0</v>
      </c>
      <c r="AF8106" t="n">
        <v>0</v>
      </c>
      <c r="AG8106" t="n">
        <v>0</v>
      </c>
      <c r="AH8106" t="n">
        <v>0</v>
      </c>
      <c r="AI8106" t="n">
        <v>0</v>
      </c>
    </row>
    <row r="8107">
      <c r="A8107" t="inlineStr">
        <is>
          <t>12월</t>
        </is>
      </c>
      <c r="B8107" t="inlineStr">
        <is>
          <t>52주차</t>
        </is>
      </c>
      <c r="C8107" t="e">
        <v>#N/A</v>
      </c>
      <c r="K8107" t="n">
        <v>0</v>
      </c>
      <c r="L8107" t="n">
        <v>0</v>
      </c>
      <c r="M8107" t="n">
        <v>0</v>
      </c>
      <c r="AC8107" t="n">
        <v>0</v>
      </c>
      <c r="AD8107" t="n">
        <v>0</v>
      </c>
      <c r="AE8107" t="n">
        <v>0</v>
      </c>
      <c r="AF8107" t="n">
        <v>0</v>
      </c>
      <c r="AG8107" t="n">
        <v>0</v>
      </c>
      <c r="AH8107" t="n">
        <v>0</v>
      </c>
      <c r="AI8107" t="n">
        <v>0</v>
      </c>
    </row>
    <row r="8108">
      <c r="A8108" t="inlineStr">
        <is>
          <t>12월</t>
        </is>
      </c>
      <c r="B8108" t="inlineStr">
        <is>
          <t>52주차</t>
        </is>
      </c>
      <c r="C8108" t="e">
        <v>#N/A</v>
      </c>
      <c r="K8108" t="n">
        <v>0</v>
      </c>
      <c r="L8108" t="n">
        <v>0</v>
      </c>
      <c r="M8108" t="n">
        <v>0</v>
      </c>
      <c r="AC8108" t="n">
        <v>0</v>
      </c>
      <c r="AD8108" t="n">
        <v>0</v>
      </c>
      <c r="AE8108" t="n">
        <v>0</v>
      </c>
      <c r="AF8108" t="n">
        <v>0</v>
      </c>
      <c r="AG8108" t="n">
        <v>0</v>
      </c>
      <c r="AH8108" t="n">
        <v>0</v>
      </c>
      <c r="AI8108" t="n">
        <v>0</v>
      </c>
    </row>
    <row r="8109">
      <c r="A8109" t="inlineStr">
        <is>
          <t>12월</t>
        </is>
      </c>
      <c r="B8109" t="inlineStr">
        <is>
          <t>52주차</t>
        </is>
      </c>
      <c r="C8109" t="e">
        <v>#N/A</v>
      </c>
      <c r="K8109" t="n">
        <v>0</v>
      </c>
      <c r="L8109" t="n">
        <v>0</v>
      </c>
      <c r="M8109" t="n">
        <v>0</v>
      </c>
      <c r="AC8109" t="n">
        <v>0</v>
      </c>
      <c r="AD8109" t="n">
        <v>0</v>
      </c>
      <c r="AE8109" t="n">
        <v>0</v>
      </c>
      <c r="AF8109" t="n">
        <v>0</v>
      </c>
      <c r="AG8109" t="n">
        <v>0</v>
      </c>
      <c r="AH8109" t="n">
        <v>0</v>
      </c>
      <c r="AI8109" t="n">
        <v>0</v>
      </c>
    </row>
    <row r="8110">
      <c r="A8110" t="inlineStr">
        <is>
          <t>12월</t>
        </is>
      </c>
      <c r="B8110" t="inlineStr">
        <is>
          <t>52주차</t>
        </is>
      </c>
      <c r="C8110" t="e">
        <v>#N/A</v>
      </c>
      <c r="K8110" t="n">
        <v>0</v>
      </c>
      <c r="L8110" t="n">
        <v>0</v>
      </c>
      <c r="M8110" t="n">
        <v>0</v>
      </c>
      <c r="AC8110" t="n">
        <v>0</v>
      </c>
      <c r="AD8110" t="n">
        <v>0</v>
      </c>
      <c r="AE8110" t="n">
        <v>0</v>
      </c>
      <c r="AF8110" t="n">
        <v>0</v>
      </c>
      <c r="AG8110" t="n">
        <v>0</v>
      </c>
      <c r="AH8110" t="n">
        <v>0</v>
      </c>
    </row>
    <row r="8111">
      <c r="A8111" t="inlineStr">
        <is>
          <t>12월</t>
        </is>
      </c>
      <c r="B8111" t="inlineStr">
        <is>
          <t>52주차</t>
        </is>
      </c>
      <c r="C8111" t="e">
        <v>#N/A</v>
      </c>
      <c r="K8111" t="n">
        <v>0</v>
      </c>
      <c r="L8111" t="n">
        <v>0</v>
      </c>
      <c r="M8111" t="n">
        <v>0</v>
      </c>
      <c r="AC8111" t="n">
        <v>0</v>
      </c>
      <c r="AD8111" t="n">
        <v>0</v>
      </c>
      <c r="AE8111" t="n">
        <v>0</v>
      </c>
      <c r="AF8111" t="n">
        <v>0</v>
      </c>
      <c r="AG8111" t="n">
        <v>0</v>
      </c>
      <c r="AH8111" t="n">
        <v>0</v>
      </c>
    </row>
    <row r="8112">
      <c r="A8112" t="inlineStr">
        <is>
          <t>12월</t>
        </is>
      </c>
      <c r="B8112" t="inlineStr">
        <is>
          <t>52주차</t>
        </is>
      </c>
      <c r="C8112" t="e">
        <v>#N/A</v>
      </c>
      <c r="K8112" t="n">
        <v>0</v>
      </c>
      <c r="L8112" t="n">
        <v>0</v>
      </c>
      <c r="M8112" t="n">
        <v>0</v>
      </c>
      <c r="AC8112" t="n">
        <v>0</v>
      </c>
      <c r="AD8112" t="n">
        <v>0</v>
      </c>
      <c r="AE8112" t="n">
        <v>0</v>
      </c>
      <c r="AF8112" t="n">
        <v>0</v>
      </c>
      <c r="AG8112" t="n">
        <v>0</v>
      </c>
      <c r="AH8112" t="n">
        <v>0</v>
      </c>
    </row>
    <row r="8113">
      <c r="A8113" t="inlineStr">
        <is>
          <t>12월</t>
        </is>
      </c>
      <c r="B8113" t="inlineStr">
        <is>
          <t>52주차</t>
        </is>
      </c>
      <c r="C8113" t="e">
        <v>#N/A</v>
      </c>
      <c r="K8113" t="n">
        <v>0</v>
      </c>
      <c r="L8113" t="n">
        <v>0</v>
      </c>
      <c r="M8113" t="n">
        <v>0</v>
      </c>
      <c r="AC8113" t="n">
        <v>0</v>
      </c>
      <c r="AD8113" t="n">
        <v>0</v>
      </c>
      <c r="AE8113" t="n">
        <v>0</v>
      </c>
      <c r="AF8113" t="n">
        <v>0</v>
      </c>
      <c r="AG8113" t="n">
        <v>0</v>
      </c>
      <c r="AH8113" t="n">
        <v>0</v>
      </c>
    </row>
    <row r="8114">
      <c r="A8114" t="inlineStr">
        <is>
          <t>12월</t>
        </is>
      </c>
      <c r="B8114" t="inlineStr">
        <is>
          <t>52주차</t>
        </is>
      </c>
      <c r="C8114" t="e">
        <v>#N/A</v>
      </c>
      <c r="K8114" t="n">
        <v>0</v>
      </c>
      <c r="L8114" t="n">
        <v>0</v>
      </c>
      <c r="M8114" t="n">
        <v>0</v>
      </c>
      <c r="AC8114" t="n">
        <v>0</v>
      </c>
      <c r="AD8114" t="n">
        <v>0</v>
      </c>
      <c r="AE8114" t="n">
        <v>0</v>
      </c>
      <c r="AF8114" t="n">
        <v>0</v>
      </c>
      <c r="AG8114" t="n">
        <v>0</v>
      </c>
      <c r="AH8114" t="n">
        <v>0</v>
      </c>
    </row>
    <row r="8115">
      <c r="A8115" t="inlineStr">
        <is>
          <t>12월</t>
        </is>
      </c>
      <c r="B8115" t="inlineStr">
        <is>
          <t>52주차</t>
        </is>
      </c>
      <c r="C8115" t="e">
        <v>#N/A</v>
      </c>
      <c r="K8115" t="n">
        <v>0</v>
      </c>
      <c r="L8115" t="n">
        <v>0</v>
      </c>
      <c r="M8115" t="n">
        <v>0</v>
      </c>
      <c r="AC8115" t="n">
        <v>0</v>
      </c>
      <c r="AD8115" t="n">
        <v>0</v>
      </c>
      <c r="AE8115" t="n">
        <v>0</v>
      </c>
      <c r="AF8115" t="n">
        <v>0</v>
      </c>
      <c r="AG8115" t="n">
        <v>0</v>
      </c>
      <c r="AH8115" t="n">
        <v>0</v>
      </c>
    </row>
    <row r="8116">
      <c r="A8116" t="inlineStr">
        <is>
          <t>12월</t>
        </is>
      </c>
      <c r="B8116" t="inlineStr">
        <is>
          <t>52주차</t>
        </is>
      </c>
      <c r="C8116" t="e">
        <v>#N/A</v>
      </c>
      <c r="K8116" t="n">
        <v>0</v>
      </c>
      <c r="L8116" t="n">
        <v>0</v>
      </c>
      <c r="M8116" t="n">
        <v>0</v>
      </c>
      <c r="AC8116" t="n">
        <v>0</v>
      </c>
      <c r="AD8116" t="n">
        <v>0</v>
      </c>
      <c r="AE8116" t="n">
        <v>0</v>
      </c>
      <c r="AF8116" t="n">
        <v>0</v>
      </c>
      <c r="AG8116" t="n">
        <v>0</v>
      </c>
      <c r="AH8116" t="n">
        <v>0</v>
      </c>
      <c r="AI8116" t="n">
        <v>0</v>
      </c>
    </row>
    <row r="8117">
      <c r="A8117" t="inlineStr">
        <is>
          <t>12월</t>
        </is>
      </c>
      <c r="B8117" t="inlineStr">
        <is>
          <t>52주차</t>
        </is>
      </c>
      <c r="C8117" t="e">
        <v>#N/A</v>
      </c>
      <c r="K8117" t="n">
        <v>0</v>
      </c>
      <c r="L8117" t="n">
        <v>0</v>
      </c>
      <c r="M8117" t="n">
        <v>0</v>
      </c>
      <c r="AC8117" t="n">
        <v>0</v>
      </c>
      <c r="AD8117" t="n">
        <v>0</v>
      </c>
      <c r="AE8117" t="n">
        <v>0</v>
      </c>
      <c r="AF8117" t="n">
        <v>0</v>
      </c>
      <c r="AG8117" t="n">
        <v>0</v>
      </c>
      <c r="AH8117" t="n">
        <v>0</v>
      </c>
      <c r="AI8117" t="n">
        <v>0</v>
      </c>
    </row>
    <row r="8118">
      <c r="A8118" t="inlineStr">
        <is>
          <t>12월</t>
        </is>
      </c>
      <c r="B8118" t="inlineStr">
        <is>
          <t>52주차</t>
        </is>
      </c>
      <c r="C8118" t="e">
        <v>#N/A</v>
      </c>
      <c r="K8118" t="n">
        <v>0</v>
      </c>
      <c r="L8118" t="n">
        <v>0</v>
      </c>
      <c r="M8118" t="n">
        <v>0</v>
      </c>
      <c r="AC8118" t="n">
        <v>0</v>
      </c>
      <c r="AD8118" t="n">
        <v>0</v>
      </c>
      <c r="AE8118" t="n">
        <v>0</v>
      </c>
      <c r="AF8118" t="n">
        <v>0</v>
      </c>
      <c r="AG8118" t="n">
        <v>0</v>
      </c>
      <c r="AH8118" t="n">
        <v>0</v>
      </c>
      <c r="AI8118" t="n">
        <v>0</v>
      </c>
    </row>
    <row r="8119">
      <c r="A8119" t="inlineStr">
        <is>
          <t>12월</t>
        </is>
      </c>
      <c r="B8119" t="inlineStr">
        <is>
          <t>52주차</t>
        </is>
      </c>
      <c r="C8119" t="e">
        <v>#N/A</v>
      </c>
      <c r="K8119" t="n">
        <v>0</v>
      </c>
      <c r="L8119" t="n">
        <v>0</v>
      </c>
      <c r="M8119" t="n">
        <v>0</v>
      </c>
      <c r="AC8119" t="n">
        <v>0</v>
      </c>
      <c r="AD8119" t="n">
        <v>0</v>
      </c>
      <c r="AE8119" t="n">
        <v>0</v>
      </c>
      <c r="AF8119" t="n">
        <v>0</v>
      </c>
      <c r="AG8119" t="n">
        <v>0</v>
      </c>
      <c r="AH8119" t="n">
        <v>0</v>
      </c>
      <c r="AI8119" t="n">
        <v>0</v>
      </c>
    </row>
    <row r="8120">
      <c r="A8120" t="inlineStr">
        <is>
          <t>12월</t>
        </is>
      </c>
      <c r="B8120" t="inlineStr">
        <is>
          <t>52주차</t>
        </is>
      </c>
      <c r="C8120" t="e">
        <v>#N/A</v>
      </c>
      <c r="K8120" t="n">
        <v>0</v>
      </c>
      <c r="L8120" t="n">
        <v>0</v>
      </c>
      <c r="M8120" t="n">
        <v>0</v>
      </c>
      <c r="AC8120" t="n">
        <v>0</v>
      </c>
      <c r="AD8120" t="n">
        <v>0</v>
      </c>
      <c r="AE8120" t="n">
        <v>0</v>
      </c>
      <c r="AF8120" t="n">
        <v>0</v>
      </c>
      <c r="AG8120" t="n">
        <v>0</v>
      </c>
      <c r="AH8120" t="n">
        <v>0</v>
      </c>
      <c r="AI8120" t="n">
        <v>0</v>
      </c>
    </row>
    <row r="8121">
      <c r="A8121" t="inlineStr">
        <is>
          <t>12월</t>
        </is>
      </c>
      <c r="B8121" t="inlineStr">
        <is>
          <t>52주차</t>
        </is>
      </c>
      <c r="C8121" t="e">
        <v>#N/A</v>
      </c>
      <c r="K8121" t="n">
        <v>0</v>
      </c>
      <c r="L8121" t="n">
        <v>0</v>
      </c>
      <c r="M8121" t="n">
        <v>0</v>
      </c>
      <c r="AC8121" t="n">
        <v>0</v>
      </c>
      <c r="AD8121" t="n">
        <v>0</v>
      </c>
      <c r="AE8121" t="n">
        <v>0</v>
      </c>
      <c r="AF8121" t="n">
        <v>0</v>
      </c>
      <c r="AG8121" t="n">
        <v>0</v>
      </c>
      <c r="AH8121" t="n">
        <v>0</v>
      </c>
      <c r="AI8121" t="n">
        <v>0</v>
      </c>
    </row>
    <row r="8122">
      <c r="A8122" t="inlineStr">
        <is>
          <t>12월</t>
        </is>
      </c>
      <c r="B8122" t="inlineStr">
        <is>
          <t>52주차</t>
        </is>
      </c>
      <c r="C8122" t="e">
        <v>#N/A</v>
      </c>
      <c r="K8122" t="n">
        <v>0</v>
      </c>
      <c r="L8122" t="n">
        <v>0</v>
      </c>
      <c r="M8122" t="n">
        <v>0</v>
      </c>
      <c r="AC8122" t="n">
        <v>0</v>
      </c>
      <c r="AD8122" t="n">
        <v>0</v>
      </c>
      <c r="AE8122" t="n">
        <v>0</v>
      </c>
      <c r="AF8122" t="n">
        <v>0</v>
      </c>
      <c r="AG8122" t="n">
        <v>0</v>
      </c>
      <c r="AH8122" t="n">
        <v>0</v>
      </c>
      <c r="AI8122" t="n">
        <v>0</v>
      </c>
    </row>
    <row r="8123">
      <c r="A8123" t="inlineStr">
        <is>
          <t>12월</t>
        </is>
      </c>
      <c r="B8123" t="inlineStr">
        <is>
          <t>52주차</t>
        </is>
      </c>
      <c r="C8123" t="e">
        <v>#N/A</v>
      </c>
      <c r="K8123" t="n">
        <v>0</v>
      </c>
      <c r="L8123" t="n">
        <v>0</v>
      </c>
      <c r="M8123" t="n">
        <v>0</v>
      </c>
      <c r="AC8123" t="n">
        <v>0</v>
      </c>
      <c r="AD8123" t="n">
        <v>0</v>
      </c>
      <c r="AE8123" t="n">
        <v>0</v>
      </c>
      <c r="AF8123" t="n">
        <v>0</v>
      </c>
      <c r="AG8123" t="n">
        <v>0</v>
      </c>
      <c r="AH8123" t="n">
        <v>0</v>
      </c>
      <c r="AI8123" t="n">
        <v>0</v>
      </c>
    </row>
    <row r="8124">
      <c r="A8124" t="inlineStr">
        <is>
          <t>12월</t>
        </is>
      </c>
      <c r="B8124" t="inlineStr">
        <is>
          <t>52주차</t>
        </is>
      </c>
      <c r="C8124" t="e">
        <v>#N/A</v>
      </c>
      <c r="K8124" t="n">
        <v>0</v>
      </c>
      <c r="L8124" t="n">
        <v>0</v>
      </c>
      <c r="M8124" t="n">
        <v>0</v>
      </c>
      <c r="AC8124" t="n">
        <v>0</v>
      </c>
      <c r="AD8124" t="n">
        <v>0</v>
      </c>
      <c r="AE8124" t="n">
        <v>0</v>
      </c>
      <c r="AF8124" t="n">
        <v>0</v>
      </c>
      <c r="AG8124" t="n">
        <v>0</v>
      </c>
      <c r="AH8124" t="n">
        <v>0</v>
      </c>
      <c r="AI8124" t="n">
        <v>0</v>
      </c>
    </row>
    <row r="8125">
      <c r="A8125" t="inlineStr">
        <is>
          <t>12월</t>
        </is>
      </c>
      <c r="B8125" t="inlineStr">
        <is>
          <t>52주차</t>
        </is>
      </c>
      <c r="C8125" t="e">
        <v>#N/A</v>
      </c>
      <c r="K8125" t="n">
        <v>0</v>
      </c>
      <c r="L8125" t="n">
        <v>0</v>
      </c>
      <c r="M8125" t="n">
        <v>0</v>
      </c>
      <c r="AC8125" t="n">
        <v>0</v>
      </c>
      <c r="AD8125" t="n">
        <v>0</v>
      </c>
      <c r="AE8125" t="n">
        <v>0</v>
      </c>
      <c r="AF8125" t="n">
        <v>0</v>
      </c>
      <c r="AG8125" t="n">
        <v>0</v>
      </c>
      <c r="AH8125" t="n">
        <v>0</v>
      </c>
      <c r="AI8125" t="n">
        <v>0</v>
      </c>
    </row>
    <row r="8126">
      <c r="A8126" t="inlineStr">
        <is>
          <t>12월</t>
        </is>
      </c>
      <c r="B8126" t="inlineStr">
        <is>
          <t>52주차</t>
        </is>
      </c>
      <c r="C8126" t="e">
        <v>#N/A</v>
      </c>
      <c r="K8126" t="n">
        <v>0</v>
      </c>
      <c r="L8126" t="n">
        <v>0</v>
      </c>
      <c r="M8126" t="n">
        <v>0</v>
      </c>
      <c r="AC8126" t="n">
        <v>0</v>
      </c>
      <c r="AD8126" t="n">
        <v>0</v>
      </c>
      <c r="AE8126" t="n">
        <v>0</v>
      </c>
      <c r="AF8126" t="n">
        <v>0</v>
      </c>
      <c r="AG8126" t="n">
        <v>0</v>
      </c>
      <c r="AH8126" t="n">
        <v>0</v>
      </c>
      <c r="AI8126" t="n">
        <v>0</v>
      </c>
    </row>
    <row r="8127">
      <c r="A8127" t="inlineStr">
        <is>
          <t>12월</t>
        </is>
      </c>
      <c r="B8127" t="inlineStr">
        <is>
          <t>52주차</t>
        </is>
      </c>
      <c r="C8127" t="e">
        <v>#N/A</v>
      </c>
      <c r="K8127" t="n">
        <v>0</v>
      </c>
      <c r="L8127" t="n">
        <v>0</v>
      </c>
      <c r="M8127" t="n">
        <v>0</v>
      </c>
      <c r="AC8127" t="n">
        <v>0</v>
      </c>
      <c r="AD8127" t="n">
        <v>0</v>
      </c>
      <c r="AE8127" t="n">
        <v>0</v>
      </c>
      <c r="AF8127" t="n">
        <v>0</v>
      </c>
      <c r="AG8127" t="n">
        <v>0</v>
      </c>
      <c r="AH8127" t="n">
        <v>0</v>
      </c>
      <c r="AI8127" t="n">
        <v>0</v>
      </c>
    </row>
    <row r="8128">
      <c r="A8128" t="inlineStr">
        <is>
          <t>12월</t>
        </is>
      </c>
      <c r="B8128" t="inlineStr">
        <is>
          <t>52주차</t>
        </is>
      </c>
      <c r="C8128" t="e">
        <v>#N/A</v>
      </c>
      <c r="K8128" t="n">
        <v>0</v>
      </c>
      <c r="L8128" t="n">
        <v>0</v>
      </c>
      <c r="M8128" t="n">
        <v>0</v>
      </c>
      <c r="AC8128" t="n">
        <v>0</v>
      </c>
      <c r="AD8128" t="n">
        <v>0</v>
      </c>
      <c r="AE8128" t="n">
        <v>0</v>
      </c>
      <c r="AF8128" t="n">
        <v>0</v>
      </c>
      <c r="AG8128" t="n">
        <v>0</v>
      </c>
      <c r="AH8128" t="n">
        <v>0</v>
      </c>
    </row>
    <row r="8129">
      <c r="A8129" t="inlineStr">
        <is>
          <t>12월</t>
        </is>
      </c>
      <c r="B8129" t="inlineStr">
        <is>
          <t>52주차</t>
        </is>
      </c>
      <c r="C8129" t="e">
        <v>#N/A</v>
      </c>
      <c r="K8129" t="n">
        <v>0</v>
      </c>
      <c r="L8129" t="n">
        <v>0</v>
      </c>
      <c r="M8129" t="n">
        <v>0</v>
      </c>
      <c r="AC8129" t="n">
        <v>0</v>
      </c>
      <c r="AD8129" t="n">
        <v>0</v>
      </c>
      <c r="AE8129" t="n">
        <v>0</v>
      </c>
      <c r="AF8129" t="n">
        <v>0</v>
      </c>
      <c r="AG8129" t="n">
        <v>0</v>
      </c>
      <c r="AH8129" t="n">
        <v>0</v>
      </c>
      <c r="AI8129" t="n">
        <v>0</v>
      </c>
    </row>
    <row r="8130">
      <c r="A8130" t="inlineStr">
        <is>
          <t>12월</t>
        </is>
      </c>
      <c r="B8130" t="inlineStr">
        <is>
          <t>52주차</t>
        </is>
      </c>
      <c r="C8130" t="e">
        <v>#N/A</v>
      </c>
      <c r="K8130" t="n">
        <v>0</v>
      </c>
      <c r="L8130" t="n">
        <v>0</v>
      </c>
      <c r="M8130" t="n">
        <v>0</v>
      </c>
      <c r="AC8130" t="n">
        <v>0</v>
      </c>
      <c r="AD8130" t="n">
        <v>0</v>
      </c>
      <c r="AE8130" t="n">
        <v>0</v>
      </c>
      <c r="AF8130" t="n">
        <v>0</v>
      </c>
      <c r="AG8130" t="n">
        <v>0</v>
      </c>
      <c r="AH8130" t="n">
        <v>0</v>
      </c>
      <c r="AI8130" t="n">
        <v>0</v>
      </c>
    </row>
    <row r="8131">
      <c r="A8131" t="inlineStr">
        <is>
          <t>12월</t>
        </is>
      </c>
      <c r="B8131" t="inlineStr">
        <is>
          <t>52주차</t>
        </is>
      </c>
      <c r="C8131" t="e">
        <v>#N/A</v>
      </c>
      <c r="K8131" t="n">
        <v>0</v>
      </c>
      <c r="L8131" t="n">
        <v>0</v>
      </c>
      <c r="M8131" t="n">
        <v>0</v>
      </c>
      <c r="AC8131" t="n">
        <v>0</v>
      </c>
      <c r="AD8131" t="n">
        <v>0</v>
      </c>
      <c r="AE8131" t="n">
        <v>0</v>
      </c>
      <c r="AF8131" t="n">
        <v>0</v>
      </c>
      <c r="AG8131" t="n">
        <v>0</v>
      </c>
      <c r="AH8131" t="n">
        <v>0</v>
      </c>
      <c r="AI8131" t="n">
        <v>0</v>
      </c>
    </row>
    <row r="8132">
      <c r="A8132" t="inlineStr">
        <is>
          <t>12월</t>
        </is>
      </c>
      <c r="B8132" t="inlineStr">
        <is>
          <t>52주차</t>
        </is>
      </c>
      <c r="C8132" t="e">
        <v>#N/A</v>
      </c>
      <c r="K8132" t="n">
        <v>0</v>
      </c>
      <c r="L8132" t="n">
        <v>0</v>
      </c>
      <c r="M8132" t="n">
        <v>0</v>
      </c>
      <c r="AC8132" t="n">
        <v>0</v>
      </c>
      <c r="AD8132" t="n">
        <v>0</v>
      </c>
      <c r="AE8132" t="n">
        <v>0</v>
      </c>
      <c r="AF8132" t="n">
        <v>0</v>
      </c>
      <c r="AG8132" t="n">
        <v>0</v>
      </c>
      <c r="AH8132" t="n">
        <v>0</v>
      </c>
    </row>
    <row r="8133">
      <c r="A8133" t="inlineStr">
        <is>
          <t>12월</t>
        </is>
      </c>
      <c r="B8133" t="inlineStr">
        <is>
          <t>52주차</t>
        </is>
      </c>
      <c r="C8133" t="e">
        <v>#N/A</v>
      </c>
      <c r="K8133" t="n">
        <v>0</v>
      </c>
      <c r="L8133" t="n">
        <v>0</v>
      </c>
      <c r="M8133" t="n">
        <v>0</v>
      </c>
      <c r="AC8133" t="n">
        <v>0</v>
      </c>
      <c r="AD8133" t="n">
        <v>0</v>
      </c>
      <c r="AE8133" t="n">
        <v>0</v>
      </c>
      <c r="AF8133" t="n">
        <v>0</v>
      </c>
      <c r="AG8133" t="n">
        <v>0</v>
      </c>
      <c r="AH8133" t="n">
        <v>0</v>
      </c>
    </row>
    <row r="8134">
      <c r="A8134" t="inlineStr">
        <is>
          <t>12월</t>
        </is>
      </c>
      <c r="B8134" t="inlineStr">
        <is>
          <t>52주차</t>
        </is>
      </c>
      <c r="C8134" t="e">
        <v>#N/A</v>
      </c>
      <c r="K8134" t="n">
        <v>0</v>
      </c>
      <c r="L8134" t="n">
        <v>0</v>
      </c>
      <c r="M8134" t="n">
        <v>0</v>
      </c>
      <c r="AC8134" t="n">
        <v>0</v>
      </c>
      <c r="AD8134" t="n">
        <v>0</v>
      </c>
      <c r="AE8134" t="n">
        <v>0</v>
      </c>
      <c r="AF8134" t="n">
        <v>0</v>
      </c>
      <c r="AG8134" t="n">
        <v>0</v>
      </c>
      <c r="AH8134" t="n">
        <v>0</v>
      </c>
      <c r="AI8134" t="n">
        <v>0</v>
      </c>
    </row>
    <row r="8135">
      <c r="A8135" t="inlineStr">
        <is>
          <t>12월</t>
        </is>
      </c>
      <c r="B8135" t="inlineStr">
        <is>
          <t>52주차</t>
        </is>
      </c>
      <c r="C8135" t="e">
        <v>#N/A</v>
      </c>
      <c r="K8135" t="n">
        <v>0</v>
      </c>
      <c r="L8135" t="n">
        <v>0</v>
      </c>
      <c r="M8135" t="n">
        <v>0</v>
      </c>
      <c r="AC8135" t="n">
        <v>0</v>
      </c>
      <c r="AD8135" t="n">
        <v>0</v>
      </c>
      <c r="AE8135" t="n">
        <v>0</v>
      </c>
      <c r="AF8135" t="n">
        <v>0</v>
      </c>
      <c r="AG8135" t="n">
        <v>0</v>
      </c>
      <c r="AH8135" t="n">
        <v>0</v>
      </c>
      <c r="AI8135" t="n">
        <v>0</v>
      </c>
    </row>
    <row r="8136">
      <c r="A8136" t="inlineStr">
        <is>
          <t>12월</t>
        </is>
      </c>
      <c r="B8136" t="inlineStr">
        <is>
          <t>52주차</t>
        </is>
      </c>
      <c r="C8136" t="e">
        <v>#N/A</v>
      </c>
      <c r="K8136" t="n">
        <v>0</v>
      </c>
      <c r="L8136" t="n">
        <v>0</v>
      </c>
      <c r="M8136" t="n">
        <v>0</v>
      </c>
      <c r="AC8136" t="n">
        <v>0</v>
      </c>
      <c r="AD8136" t="n">
        <v>0</v>
      </c>
      <c r="AE8136" t="n">
        <v>0</v>
      </c>
      <c r="AF8136" t="n">
        <v>0</v>
      </c>
      <c r="AG8136" t="n">
        <v>0</v>
      </c>
      <c r="AH8136" t="n">
        <v>0</v>
      </c>
      <c r="AI8136" t="n">
        <v>0</v>
      </c>
    </row>
    <row r="8137">
      <c r="A8137" t="inlineStr">
        <is>
          <t>12월</t>
        </is>
      </c>
      <c r="B8137" t="inlineStr">
        <is>
          <t>52주차</t>
        </is>
      </c>
      <c r="C8137" t="e">
        <v>#N/A</v>
      </c>
      <c r="K8137" t="n">
        <v>0</v>
      </c>
      <c r="L8137" t="n">
        <v>0</v>
      </c>
      <c r="M8137" t="n">
        <v>0</v>
      </c>
      <c r="AC8137" t="n">
        <v>0</v>
      </c>
      <c r="AD8137" t="n">
        <v>0</v>
      </c>
      <c r="AE8137" t="n">
        <v>0</v>
      </c>
      <c r="AF8137" t="n">
        <v>0</v>
      </c>
      <c r="AG8137" t="n">
        <v>0</v>
      </c>
      <c r="AH8137" t="n">
        <v>0</v>
      </c>
      <c r="AI8137" t="n">
        <v>0</v>
      </c>
    </row>
    <row r="8138">
      <c r="A8138" t="inlineStr">
        <is>
          <t>12월</t>
        </is>
      </c>
      <c r="B8138" t="inlineStr">
        <is>
          <t>52주차</t>
        </is>
      </c>
      <c r="C8138" t="e">
        <v>#N/A</v>
      </c>
      <c r="K8138" t="n">
        <v>0</v>
      </c>
      <c r="L8138" t="n">
        <v>0</v>
      </c>
      <c r="M8138" t="n">
        <v>0</v>
      </c>
      <c r="AC8138" t="n">
        <v>0</v>
      </c>
      <c r="AD8138" t="n">
        <v>0</v>
      </c>
      <c r="AE8138" t="n">
        <v>0</v>
      </c>
      <c r="AF8138" t="n">
        <v>0</v>
      </c>
      <c r="AG8138" t="n">
        <v>0</v>
      </c>
      <c r="AH8138" t="n">
        <v>0</v>
      </c>
      <c r="AI8138" t="n">
        <v>0</v>
      </c>
    </row>
    <row r="8139">
      <c r="A8139" t="inlineStr">
        <is>
          <t>12월</t>
        </is>
      </c>
      <c r="B8139" t="inlineStr">
        <is>
          <t>52주차</t>
        </is>
      </c>
      <c r="C8139" t="e">
        <v>#N/A</v>
      </c>
      <c r="K8139" t="n">
        <v>0</v>
      </c>
      <c r="L8139" t="n">
        <v>0</v>
      </c>
      <c r="M8139" t="n">
        <v>0</v>
      </c>
      <c r="AC8139" t="n">
        <v>0</v>
      </c>
      <c r="AD8139" t="n">
        <v>0</v>
      </c>
      <c r="AE8139" t="n">
        <v>0</v>
      </c>
      <c r="AF8139" t="n">
        <v>0</v>
      </c>
      <c r="AG8139" t="n">
        <v>0</v>
      </c>
      <c r="AH8139" t="n">
        <v>0</v>
      </c>
      <c r="AI8139" t="n">
        <v>0</v>
      </c>
    </row>
    <row r="8140">
      <c r="A8140" t="inlineStr">
        <is>
          <t>12월</t>
        </is>
      </c>
      <c r="B8140" t="inlineStr">
        <is>
          <t>52주차</t>
        </is>
      </c>
      <c r="C8140" t="e">
        <v>#N/A</v>
      </c>
      <c r="K8140" t="n">
        <v>0</v>
      </c>
      <c r="L8140" t="n">
        <v>0</v>
      </c>
      <c r="M8140" t="n">
        <v>0</v>
      </c>
      <c r="AC8140" t="n">
        <v>0</v>
      </c>
      <c r="AD8140" t="n">
        <v>0</v>
      </c>
      <c r="AE8140" t="n">
        <v>0</v>
      </c>
      <c r="AF8140" t="n">
        <v>0</v>
      </c>
      <c r="AG8140" t="n">
        <v>0</v>
      </c>
      <c r="AH8140" t="n">
        <v>0</v>
      </c>
    </row>
    <row r="8141">
      <c r="A8141" t="inlineStr">
        <is>
          <t>12월</t>
        </is>
      </c>
      <c r="B8141" t="inlineStr">
        <is>
          <t>52주차</t>
        </is>
      </c>
      <c r="C8141" t="e">
        <v>#N/A</v>
      </c>
      <c r="K8141" t="n">
        <v>0</v>
      </c>
      <c r="L8141" t="n">
        <v>0</v>
      </c>
      <c r="M8141" t="n">
        <v>0</v>
      </c>
      <c r="AC8141" t="n">
        <v>0</v>
      </c>
      <c r="AD8141" t="n">
        <v>0</v>
      </c>
      <c r="AE8141" t="n">
        <v>0</v>
      </c>
      <c r="AF8141" t="n">
        <v>0</v>
      </c>
      <c r="AG8141" t="n">
        <v>0</v>
      </c>
      <c r="AH8141" t="n">
        <v>0</v>
      </c>
      <c r="AI8141" t="n">
        <v>0</v>
      </c>
    </row>
    <row r="8142">
      <c r="A8142" t="inlineStr">
        <is>
          <t>12월</t>
        </is>
      </c>
      <c r="B8142" t="inlineStr">
        <is>
          <t>52주차</t>
        </is>
      </c>
      <c r="C8142" t="e">
        <v>#N/A</v>
      </c>
      <c r="K8142" t="n">
        <v>0</v>
      </c>
      <c r="L8142" t="n">
        <v>0</v>
      </c>
      <c r="M8142" t="n">
        <v>0</v>
      </c>
      <c r="AC8142" t="n">
        <v>0</v>
      </c>
      <c r="AD8142" t="n">
        <v>0</v>
      </c>
      <c r="AE8142" t="n">
        <v>0</v>
      </c>
      <c r="AF8142" t="n">
        <v>0</v>
      </c>
      <c r="AG8142" t="n">
        <v>0</v>
      </c>
      <c r="AH8142" t="n">
        <v>0</v>
      </c>
      <c r="AI8142" t="n">
        <v>0</v>
      </c>
    </row>
    <row r="8143">
      <c r="A8143" t="inlineStr">
        <is>
          <t>12월</t>
        </is>
      </c>
      <c r="B8143" t="inlineStr">
        <is>
          <t>52주차</t>
        </is>
      </c>
      <c r="C8143" t="e">
        <v>#N/A</v>
      </c>
      <c r="K8143" t="n">
        <v>0</v>
      </c>
      <c r="L8143" t="n">
        <v>0</v>
      </c>
      <c r="M8143" t="n">
        <v>0</v>
      </c>
      <c r="AC8143" t="n">
        <v>0</v>
      </c>
      <c r="AD8143" t="n">
        <v>0</v>
      </c>
      <c r="AE8143" t="n">
        <v>0</v>
      </c>
      <c r="AF8143" t="n">
        <v>0</v>
      </c>
      <c r="AG8143" t="n">
        <v>0</v>
      </c>
      <c r="AH8143" t="n">
        <v>0</v>
      </c>
      <c r="AI8143" t="n">
        <v>0</v>
      </c>
    </row>
    <row r="8144">
      <c r="A8144" t="inlineStr">
        <is>
          <t>12월</t>
        </is>
      </c>
      <c r="B8144" t="inlineStr">
        <is>
          <t>52주차</t>
        </is>
      </c>
      <c r="C8144" t="e">
        <v>#N/A</v>
      </c>
      <c r="K8144" t="n">
        <v>0</v>
      </c>
      <c r="L8144" t="n">
        <v>0</v>
      </c>
      <c r="M8144" t="n">
        <v>0</v>
      </c>
      <c r="AC8144" t="n">
        <v>0</v>
      </c>
      <c r="AD8144" t="n">
        <v>0</v>
      </c>
      <c r="AE8144" t="n">
        <v>0</v>
      </c>
      <c r="AF8144" t="n">
        <v>0</v>
      </c>
      <c r="AG8144" t="n">
        <v>0</v>
      </c>
      <c r="AH8144" t="n">
        <v>0</v>
      </c>
      <c r="AI8144" t="n">
        <v>0</v>
      </c>
    </row>
    <row r="8145">
      <c r="A8145" t="inlineStr">
        <is>
          <t>12월</t>
        </is>
      </c>
      <c r="B8145" t="inlineStr">
        <is>
          <t>52주차</t>
        </is>
      </c>
      <c r="C8145" t="e">
        <v>#N/A</v>
      </c>
      <c r="K8145" t="n">
        <v>0</v>
      </c>
      <c r="L8145" t="n">
        <v>0</v>
      </c>
      <c r="M8145" t="n">
        <v>0</v>
      </c>
      <c r="AC8145" t="n">
        <v>0</v>
      </c>
      <c r="AD8145" t="n">
        <v>0</v>
      </c>
      <c r="AE8145" t="n">
        <v>0</v>
      </c>
      <c r="AF8145" t="n">
        <v>0</v>
      </c>
      <c r="AG8145" t="n">
        <v>0</v>
      </c>
      <c r="AH8145" t="n">
        <v>0</v>
      </c>
      <c r="AI8145" t="n">
        <v>0</v>
      </c>
    </row>
    <row r="8146">
      <c r="A8146" t="inlineStr">
        <is>
          <t>12월</t>
        </is>
      </c>
      <c r="B8146" t="inlineStr">
        <is>
          <t>52주차</t>
        </is>
      </c>
      <c r="C8146" t="e">
        <v>#N/A</v>
      </c>
      <c r="K8146" t="n">
        <v>0</v>
      </c>
      <c r="L8146" t="n">
        <v>0</v>
      </c>
      <c r="M8146" t="n">
        <v>0</v>
      </c>
      <c r="AC8146" t="n">
        <v>0</v>
      </c>
      <c r="AD8146" t="n">
        <v>0</v>
      </c>
      <c r="AE8146" t="n">
        <v>0</v>
      </c>
      <c r="AF8146" t="n">
        <v>0</v>
      </c>
      <c r="AG8146" t="n">
        <v>0</v>
      </c>
      <c r="AH8146" t="n">
        <v>0</v>
      </c>
    </row>
    <row r="8147">
      <c r="A8147" t="inlineStr">
        <is>
          <t>12월</t>
        </is>
      </c>
      <c r="B8147" t="inlineStr">
        <is>
          <t>52주차</t>
        </is>
      </c>
      <c r="C8147" t="e">
        <v>#N/A</v>
      </c>
      <c r="K8147" t="n">
        <v>0</v>
      </c>
      <c r="L8147" t="n">
        <v>0</v>
      </c>
      <c r="M8147" t="n">
        <v>0</v>
      </c>
      <c r="AC8147" t="n">
        <v>0</v>
      </c>
      <c r="AD8147" t="n">
        <v>0</v>
      </c>
      <c r="AE8147" t="n">
        <v>0</v>
      </c>
      <c r="AF8147" t="n">
        <v>0</v>
      </c>
      <c r="AG8147" t="n">
        <v>0</v>
      </c>
      <c r="AH8147" t="n">
        <v>0</v>
      </c>
      <c r="AI8147" t="n">
        <v>0</v>
      </c>
    </row>
    <row r="8148">
      <c r="A8148" t="inlineStr">
        <is>
          <t>12월</t>
        </is>
      </c>
      <c r="B8148" t="inlineStr">
        <is>
          <t>52주차</t>
        </is>
      </c>
      <c r="C8148" t="e">
        <v>#N/A</v>
      </c>
      <c r="K8148" t="n">
        <v>0</v>
      </c>
      <c r="L8148" t="n">
        <v>0</v>
      </c>
      <c r="M8148" t="n">
        <v>0</v>
      </c>
      <c r="AC8148" t="n">
        <v>0</v>
      </c>
      <c r="AD8148" t="n">
        <v>0</v>
      </c>
      <c r="AE8148" t="n">
        <v>0</v>
      </c>
      <c r="AF8148" t="n">
        <v>0</v>
      </c>
      <c r="AG8148" t="n">
        <v>0</v>
      </c>
      <c r="AH8148" t="n">
        <v>0</v>
      </c>
      <c r="AI8148" t="n">
        <v>0</v>
      </c>
    </row>
    <row r="8149">
      <c r="A8149" t="inlineStr">
        <is>
          <t>12월</t>
        </is>
      </c>
      <c r="B8149" t="inlineStr">
        <is>
          <t>52주차</t>
        </is>
      </c>
      <c r="C8149" t="e">
        <v>#N/A</v>
      </c>
      <c r="K8149" t="n">
        <v>0</v>
      </c>
      <c r="L8149" t="n">
        <v>0</v>
      </c>
      <c r="M8149" t="n">
        <v>0</v>
      </c>
      <c r="AC8149" t="n">
        <v>0</v>
      </c>
      <c r="AD8149" t="n">
        <v>0</v>
      </c>
      <c r="AE8149" t="n">
        <v>0</v>
      </c>
      <c r="AF8149" t="n">
        <v>0</v>
      </c>
      <c r="AG8149" t="n">
        <v>0</v>
      </c>
      <c r="AH8149" t="n">
        <v>0</v>
      </c>
      <c r="AI8149" t="n">
        <v>0</v>
      </c>
    </row>
    <row r="8150">
      <c r="A8150" t="inlineStr">
        <is>
          <t>12월</t>
        </is>
      </c>
      <c r="B8150" t="inlineStr">
        <is>
          <t>52주차</t>
        </is>
      </c>
      <c r="C8150" t="e">
        <v>#N/A</v>
      </c>
      <c r="K8150" t="n">
        <v>0</v>
      </c>
      <c r="L8150" t="n">
        <v>0</v>
      </c>
      <c r="M8150" t="n">
        <v>0</v>
      </c>
      <c r="AC8150" t="n">
        <v>0</v>
      </c>
      <c r="AD8150" t="n">
        <v>0</v>
      </c>
      <c r="AE8150" t="n">
        <v>0</v>
      </c>
      <c r="AF8150" t="n">
        <v>0</v>
      </c>
      <c r="AG8150" t="n">
        <v>0</v>
      </c>
      <c r="AH8150" t="n">
        <v>0</v>
      </c>
      <c r="AI8150" t="n">
        <v>0</v>
      </c>
    </row>
    <row r="8151">
      <c r="A8151" t="inlineStr">
        <is>
          <t>12월</t>
        </is>
      </c>
      <c r="B8151" t="inlineStr">
        <is>
          <t>52주차</t>
        </is>
      </c>
      <c r="C8151" t="e">
        <v>#N/A</v>
      </c>
      <c r="K8151" t="n">
        <v>0</v>
      </c>
      <c r="L8151" t="n">
        <v>0</v>
      </c>
      <c r="M8151" t="n">
        <v>0</v>
      </c>
      <c r="AC8151" t="n">
        <v>0</v>
      </c>
      <c r="AD8151" t="n">
        <v>0</v>
      </c>
      <c r="AE8151" t="n">
        <v>0</v>
      </c>
      <c r="AF8151" t="n">
        <v>0</v>
      </c>
      <c r="AG8151" t="n">
        <v>0</v>
      </c>
      <c r="AH8151" t="n">
        <v>0</v>
      </c>
      <c r="AI8151" t="n">
        <v>0</v>
      </c>
    </row>
    <row r="8152">
      <c r="A8152" t="inlineStr">
        <is>
          <t>12월</t>
        </is>
      </c>
      <c r="B8152" t="inlineStr">
        <is>
          <t>52주차</t>
        </is>
      </c>
      <c r="C8152" t="e">
        <v>#N/A</v>
      </c>
      <c r="K8152" t="n">
        <v>0</v>
      </c>
      <c r="L8152" t="n">
        <v>0</v>
      </c>
      <c r="M8152" t="n">
        <v>0</v>
      </c>
      <c r="AC8152" t="n">
        <v>0</v>
      </c>
      <c r="AD8152" t="n">
        <v>0</v>
      </c>
      <c r="AE8152" t="n">
        <v>0</v>
      </c>
      <c r="AF8152" t="n">
        <v>0</v>
      </c>
      <c r="AG8152" t="n">
        <v>0</v>
      </c>
      <c r="AH8152" t="n">
        <v>0</v>
      </c>
      <c r="AI8152" t="n">
        <v>0</v>
      </c>
    </row>
    <row r="8153">
      <c r="A8153" t="inlineStr">
        <is>
          <t>12월</t>
        </is>
      </c>
      <c r="B8153" t="inlineStr">
        <is>
          <t>52주차</t>
        </is>
      </c>
      <c r="C8153" t="e">
        <v>#N/A</v>
      </c>
      <c r="K8153" t="n">
        <v>0</v>
      </c>
      <c r="L8153" t="n">
        <v>0</v>
      </c>
      <c r="M8153" t="n">
        <v>0</v>
      </c>
      <c r="AC8153" t="n">
        <v>0</v>
      </c>
      <c r="AD8153" t="n">
        <v>0</v>
      </c>
      <c r="AE8153" t="n">
        <v>0</v>
      </c>
      <c r="AF8153" t="n">
        <v>0</v>
      </c>
      <c r="AG8153" t="n">
        <v>0</v>
      </c>
      <c r="AH8153" t="n">
        <v>0</v>
      </c>
    </row>
    <row r="8154">
      <c r="A8154" t="inlineStr">
        <is>
          <t>12월</t>
        </is>
      </c>
      <c r="B8154" t="inlineStr">
        <is>
          <t>52주차</t>
        </is>
      </c>
      <c r="C8154" t="e">
        <v>#N/A</v>
      </c>
      <c r="K8154" t="n">
        <v>0</v>
      </c>
      <c r="L8154" t="n">
        <v>0</v>
      </c>
      <c r="M8154" t="n">
        <v>0</v>
      </c>
      <c r="AC8154" t="n">
        <v>0</v>
      </c>
      <c r="AD8154" t="n">
        <v>0</v>
      </c>
      <c r="AE8154" t="n">
        <v>0</v>
      </c>
      <c r="AF8154" t="n">
        <v>0</v>
      </c>
      <c r="AG8154" t="n">
        <v>0</v>
      </c>
      <c r="AH8154" t="n">
        <v>0</v>
      </c>
      <c r="AI8154" t="n">
        <v>0</v>
      </c>
    </row>
    <row r="8155">
      <c r="A8155" t="inlineStr">
        <is>
          <t>12월</t>
        </is>
      </c>
      <c r="B8155" t="inlineStr">
        <is>
          <t>52주차</t>
        </is>
      </c>
      <c r="C8155" t="e">
        <v>#N/A</v>
      </c>
      <c r="K8155" t="n">
        <v>0</v>
      </c>
      <c r="L8155" t="n">
        <v>0</v>
      </c>
      <c r="M8155" t="n">
        <v>0</v>
      </c>
      <c r="AC8155" t="n">
        <v>0</v>
      </c>
      <c r="AD8155" t="n">
        <v>0</v>
      </c>
      <c r="AE8155" t="n">
        <v>0</v>
      </c>
      <c r="AF8155" t="n">
        <v>0</v>
      </c>
      <c r="AG8155" t="n">
        <v>0</v>
      </c>
      <c r="AH8155" t="n">
        <v>0</v>
      </c>
    </row>
    <row r="8156">
      <c r="A8156" t="inlineStr">
        <is>
          <t>12월</t>
        </is>
      </c>
      <c r="B8156" t="inlineStr">
        <is>
          <t>52주차</t>
        </is>
      </c>
      <c r="C8156" t="e">
        <v>#N/A</v>
      </c>
      <c r="K8156" t="n">
        <v>0</v>
      </c>
      <c r="L8156" t="n">
        <v>0</v>
      </c>
      <c r="M8156" t="n">
        <v>0</v>
      </c>
      <c r="AC8156" t="n">
        <v>0</v>
      </c>
      <c r="AD8156" t="n">
        <v>0</v>
      </c>
      <c r="AE8156" t="n">
        <v>0</v>
      </c>
      <c r="AF8156" t="n">
        <v>0</v>
      </c>
      <c r="AG8156" t="n">
        <v>0</v>
      </c>
      <c r="AH8156" t="n">
        <v>0</v>
      </c>
    </row>
    <row r="8157">
      <c r="A8157" t="inlineStr">
        <is>
          <t>12월</t>
        </is>
      </c>
      <c r="B8157" t="inlineStr">
        <is>
          <t>52주차</t>
        </is>
      </c>
      <c r="C8157" t="e">
        <v>#N/A</v>
      </c>
      <c r="K8157" t="n">
        <v>0</v>
      </c>
      <c r="L8157" t="n">
        <v>0</v>
      </c>
      <c r="M8157" t="n">
        <v>0</v>
      </c>
      <c r="AC8157" t="n">
        <v>0</v>
      </c>
      <c r="AD8157" t="n">
        <v>0</v>
      </c>
      <c r="AE8157" t="n">
        <v>0</v>
      </c>
      <c r="AF8157" t="n">
        <v>0</v>
      </c>
      <c r="AG8157" t="n">
        <v>0</v>
      </c>
      <c r="AH8157" t="n">
        <v>0</v>
      </c>
      <c r="AI8157" t="n">
        <v>0</v>
      </c>
    </row>
    <row r="8158">
      <c r="A8158" t="inlineStr">
        <is>
          <t>12월</t>
        </is>
      </c>
      <c r="B8158" t="inlineStr">
        <is>
          <t>52주차</t>
        </is>
      </c>
      <c r="C8158" t="e">
        <v>#N/A</v>
      </c>
      <c r="K8158" t="n">
        <v>0</v>
      </c>
      <c r="L8158" t="n">
        <v>0</v>
      </c>
      <c r="M8158" t="n">
        <v>0</v>
      </c>
      <c r="AC8158" t="n">
        <v>0</v>
      </c>
      <c r="AD8158" t="n">
        <v>0</v>
      </c>
      <c r="AE8158" t="n">
        <v>0</v>
      </c>
      <c r="AF8158" t="n">
        <v>0</v>
      </c>
      <c r="AG8158" t="n">
        <v>0</v>
      </c>
      <c r="AH8158" t="n">
        <v>0</v>
      </c>
      <c r="AI8158" t="n">
        <v>0</v>
      </c>
    </row>
    <row r="8159">
      <c r="A8159" t="inlineStr">
        <is>
          <t>12월</t>
        </is>
      </c>
      <c r="B8159" t="inlineStr">
        <is>
          <t>52주차</t>
        </is>
      </c>
      <c r="C8159" t="e">
        <v>#N/A</v>
      </c>
      <c r="K8159" t="n">
        <v>0</v>
      </c>
      <c r="L8159" t="n">
        <v>0</v>
      </c>
      <c r="M8159" t="n">
        <v>0</v>
      </c>
      <c r="AC8159" t="n">
        <v>0</v>
      </c>
      <c r="AD8159" t="n">
        <v>0</v>
      </c>
      <c r="AE8159" t="n">
        <v>0</v>
      </c>
      <c r="AF8159" t="n">
        <v>0</v>
      </c>
      <c r="AG8159" t="n">
        <v>0</v>
      </c>
      <c r="AH8159" t="n">
        <v>0</v>
      </c>
      <c r="AI8159" t="n">
        <v>0</v>
      </c>
    </row>
    <row r="8160">
      <c r="A8160" t="inlineStr">
        <is>
          <t>12월</t>
        </is>
      </c>
      <c r="B8160" t="inlineStr">
        <is>
          <t>52주차</t>
        </is>
      </c>
      <c r="C8160" t="e">
        <v>#N/A</v>
      </c>
      <c r="K8160" t="n">
        <v>0</v>
      </c>
      <c r="L8160" t="n">
        <v>0</v>
      </c>
      <c r="M8160" t="n">
        <v>0</v>
      </c>
      <c r="AC8160" t="n">
        <v>0</v>
      </c>
      <c r="AD8160" t="n">
        <v>0</v>
      </c>
      <c r="AE8160" t="n">
        <v>0</v>
      </c>
      <c r="AF8160" t="n">
        <v>0</v>
      </c>
      <c r="AG8160" t="n">
        <v>0</v>
      </c>
      <c r="AH8160" t="n">
        <v>0</v>
      </c>
      <c r="AI8160" t="n">
        <v>0</v>
      </c>
    </row>
    <row r="8161">
      <c r="A8161" t="inlineStr">
        <is>
          <t>12월</t>
        </is>
      </c>
      <c r="B8161" t="inlineStr">
        <is>
          <t>52주차</t>
        </is>
      </c>
      <c r="C8161" t="e">
        <v>#N/A</v>
      </c>
      <c r="K8161" t="n">
        <v>0</v>
      </c>
      <c r="L8161" t="n">
        <v>0</v>
      </c>
      <c r="M8161" t="n">
        <v>0</v>
      </c>
      <c r="AC8161" t="n">
        <v>0</v>
      </c>
      <c r="AD8161" t="n">
        <v>0</v>
      </c>
      <c r="AE8161" t="n">
        <v>0</v>
      </c>
      <c r="AF8161" t="n">
        <v>0</v>
      </c>
      <c r="AG8161" t="n">
        <v>0</v>
      </c>
      <c r="AH8161" t="n">
        <v>0</v>
      </c>
      <c r="AI8161" t="n">
        <v>0</v>
      </c>
    </row>
    <row r="8162">
      <c r="A8162" t="inlineStr">
        <is>
          <t>12월</t>
        </is>
      </c>
      <c r="B8162" t="inlineStr">
        <is>
          <t>52주차</t>
        </is>
      </c>
      <c r="C8162" t="e">
        <v>#N/A</v>
      </c>
      <c r="K8162" t="n">
        <v>0</v>
      </c>
      <c r="L8162" t="n">
        <v>0</v>
      </c>
      <c r="M8162" t="n">
        <v>0</v>
      </c>
      <c r="AC8162" t="n">
        <v>0</v>
      </c>
      <c r="AD8162" t="n">
        <v>0</v>
      </c>
      <c r="AE8162" t="n">
        <v>0</v>
      </c>
      <c r="AF8162" t="n">
        <v>0</v>
      </c>
      <c r="AG8162" t="n">
        <v>0</v>
      </c>
      <c r="AH8162" t="n">
        <v>0</v>
      </c>
      <c r="AI8162" t="n">
        <v>0</v>
      </c>
    </row>
    <row r="8163">
      <c r="A8163" t="inlineStr">
        <is>
          <t>12월</t>
        </is>
      </c>
      <c r="B8163" t="inlineStr">
        <is>
          <t>52주차</t>
        </is>
      </c>
      <c r="C8163" t="e">
        <v>#N/A</v>
      </c>
      <c r="K8163" t="n">
        <v>0</v>
      </c>
      <c r="L8163" t="n">
        <v>0</v>
      </c>
      <c r="M8163" t="n">
        <v>0</v>
      </c>
      <c r="AC8163" t="n">
        <v>0</v>
      </c>
      <c r="AD8163" t="n">
        <v>0</v>
      </c>
      <c r="AE8163" t="n">
        <v>0</v>
      </c>
      <c r="AF8163" t="n">
        <v>0</v>
      </c>
      <c r="AG8163" t="n">
        <v>0</v>
      </c>
      <c r="AH8163" t="n">
        <v>0</v>
      </c>
      <c r="AI8163" t="n">
        <v>0</v>
      </c>
    </row>
    <row r="8164">
      <c r="A8164" t="inlineStr">
        <is>
          <t>12월</t>
        </is>
      </c>
      <c r="B8164" t="inlineStr">
        <is>
          <t>52주차</t>
        </is>
      </c>
      <c r="C8164" t="e">
        <v>#N/A</v>
      </c>
      <c r="K8164" t="n">
        <v>0</v>
      </c>
      <c r="L8164" t="n">
        <v>0</v>
      </c>
      <c r="M8164" t="n">
        <v>0</v>
      </c>
      <c r="AC8164" t="n">
        <v>0</v>
      </c>
      <c r="AD8164" t="n">
        <v>0</v>
      </c>
      <c r="AE8164" t="n">
        <v>0</v>
      </c>
      <c r="AF8164" t="n">
        <v>0</v>
      </c>
      <c r="AG8164" t="n">
        <v>0</v>
      </c>
      <c r="AH8164" t="n">
        <v>0</v>
      </c>
      <c r="AI8164" t="n">
        <v>0</v>
      </c>
    </row>
    <row r="8165">
      <c r="A8165" t="inlineStr">
        <is>
          <t>12월</t>
        </is>
      </c>
      <c r="B8165" t="inlineStr">
        <is>
          <t>52주차</t>
        </is>
      </c>
      <c r="C8165" t="e">
        <v>#N/A</v>
      </c>
      <c r="K8165" t="n">
        <v>0</v>
      </c>
      <c r="L8165" t="n">
        <v>0</v>
      </c>
      <c r="M8165" t="n">
        <v>0</v>
      </c>
      <c r="AC8165" t="n">
        <v>0</v>
      </c>
      <c r="AD8165" t="n">
        <v>0</v>
      </c>
      <c r="AE8165" t="n">
        <v>0</v>
      </c>
      <c r="AF8165" t="n">
        <v>0</v>
      </c>
      <c r="AG8165" t="n">
        <v>0</v>
      </c>
      <c r="AH8165" t="n">
        <v>0</v>
      </c>
      <c r="AI8165" t="n">
        <v>0</v>
      </c>
    </row>
    <row r="8166">
      <c r="A8166" t="inlineStr">
        <is>
          <t>12월</t>
        </is>
      </c>
      <c r="B8166" t="inlineStr">
        <is>
          <t>52주차</t>
        </is>
      </c>
      <c r="C8166" t="e">
        <v>#N/A</v>
      </c>
      <c r="K8166" t="n">
        <v>0</v>
      </c>
      <c r="L8166" t="n">
        <v>0</v>
      </c>
      <c r="M8166" t="n">
        <v>0</v>
      </c>
      <c r="AC8166" t="n">
        <v>0</v>
      </c>
      <c r="AD8166" t="n">
        <v>0</v>
      </c>
      <c r="AE8166" t="n">
        <v>0</v>
      </c>
      <c r="AF8166" t="n">
        <v>0</v>
      </c>
      <c r="AG8166" t="n">
        <v>0</v>
      </c>
      <c r="AH8166" t="n">
        <v>0</v>
      </c>
      <c r="AI8166" t="n">
        <v>0</v>
      </c>
    </row>
    <row r="8167">
      <c r="A8167" t="inlineStr">
        <is>
          <t>12월</t>
        </is>
      </c>
      <c r="B8167" t="inlineStr">
        <is>
          <t>52주차</t>
        </is>
      </c>
      <c r="C8167" t="e">
        <v>#N/A</v>
      </c>
      <c r="K8167" t="n">
        <v>0</v>
      </c>
      <c r="L8167" t="n">
        <v>0</v>
      </c>
      <c r="M8167" t="n">
        <v>0</v>
      </c>
      <c r="AC8167" t="n">
        <v>0</v>
      </c>
      <c r="AD8167" t="n">
        <v>0</v>
      </c>
      <c r="AE8167" t="n">
        <v>0</v>
      </c>
      <c r="AF8167" t="n">
        <v>0</v>
      </c>
      <c r="AG8167" t="n">
        <v>0</v>
      </c>
      <c r="AH8167" t="n">
        <v>0</v>
      </c>
      <c r="AI8167" t="n">
        <v>0</v>
      </c>
    </row>
    <row r="8168">
      <c r="A8168" t="inlineStr">
        <is>
          <t>12월</t>
        </is>
      </c>
      <c r="B8168" t="inlineStr">
        <is>
          <t>52주차</t>
        </is>
      </c>
      <c r="C8168" t="e">
        <v>#N/A</v>
      </c>
      <c r="K8168" t="n">
        <v>0</v>
      </c>
      <c r="L8168" t="n">
        <v>0</v>
      </c>
      <c r="M8168" t="n">
        <v>0</v>
      </c>
      <c r="AC8168" t="n">
        <v>0</v>
      </c>
      <c r="AD8168" t="n">
        <v>0</v>
      </c>
      <c r="AE8168" t="n">
        <v>0</v>
      </c>
      <c r="AF8168" t="n">
        <v>0</v>
      </c>
      <c r="AG8168" t="n">
        <v>0</v>
      </c>
      <c r="AH8168" t="n">
        <v>0</v>
      </c>
      <c r="AI8168" t="n">
        <v>0</v>
      </c>
    </row>
    <row r="8169">
      <c r="A8169" t="inlineStr">
        <is>
          <t>12월</t>
        </is>
      </c>
      <c r="B8169" t="inlineStr">
        <is>
          <t>52주차</t>
        </is>
      </c>
      <c r="C8169" t="e">
        <v>#N/A</v>
      </c>
      <c r="K8169" t="n">
        <v>0</v>
      </c>
      <c r="L8169" t="n">
        <v>0</v>
      </c>
      <c r="M8169" t="n">
        <v>0</v>
      </c>
      <c r="AC8169" t="n">
        <v>0</v>
      </c>
      <c r="AD8169" t="n">
        <v>0</v>
      </c>
      <c r="AE8169" t="n">
        <v>0</v>
      </c>
      <c r="AF8169" t="n">
        <v>0</v>
      </c>
      <c r="AG8169" t="n">
        <v>0</v>
      </c>
      <c r="AH8169" t="n">
        <v>0</v>
      </c>
      <c r="AI8169" t="n">
        <v>0</v>
      </c>
    </row>
    <row r="8170">
      <c r="A8170" t="inlineStr">
        <is>
          <t>12월</t>
        </is>
      </c>
      <c r="B8170" t="inlineStr">
        <is>
          <t>52주차</t>
        </is>
      </c>
      <c r="C8170" t="e">
        <v>#N/A</v>
      </c>
      <c r="K8170" t="n">
        <v>0</v>
      </c>
      <c r="L8170" t="n">
        <v>0</v>
      </c>
      <c r="M8170" t="n">
        <v>0</v>
      </c>
      <c r="AC8170" t="n">
        <v>0</v>
      </c>
      <c r="AD8170" t="n">
        <v>0</v>
      </c>
      <c r="AE8170" t="n">
        <v>0</v>
      </c>
      <c r="AF8170" t="n">
        <v>0</v>
      </c>
      <c r="AG8170" t="n">
        <v>0</v>
      </c>
      <c r="AH8170" t="n">
        <v>0</v>
      </c>
      <c r="AI8170" t="n">
        <v>0</v>
      </c>
    </row>
    <row r="8171">
      <c r="A8171" t="inlineStr">
        <is>
          <t>12월</t>
        </is>
      </c>
      <c r="B8171" t="inlineStr">
        <is>
          <t>52주차</t>
        </is>
      </c>
      <c r="C8171" t="e">
        <v>#N/A</v>
      </c>
      <c r="K8171" t="n">
        <v>0</v>
      </c>
      <c r="L8171" t="n">
        <v>0</v>
      </c>
      <c r="M8171" t="n">
        <v>0</v>
      </c>
      <c r="AC8171" t="n">
        <v>0</v>
      </c>
      <c r="AD8171" t="n">
        <v>0</v>
      </c>
      <c r="AE8171" t="n">
        <v>0</v>
      </c>
      <c r="AF8171" t="n">
        <v>0</v>
      </c>
      <c r="AG8171" t="n">
        <v>0</v>
      </c>
      <c r="AH8171" t="n">
        <v>0</v>
      </c>
      <c r="AI8171" t="n">
        <v>0</v>
      </c>
    </row>
    <row r="8172">
      <c r="A8172" t="inlineStr">
        <is>
          <t>12월</t>
        </is>
      </c>
      <c r="B8172" t="inlineStr">
        <is>
          <t>52주차</t>
        </is>
      </c>
      <c r="C8172" t="e">
        <v>#N/A</v>
      </c>
      <c r="K8172" t="n">
        <v>0</v>
      </c>
      <c r="L8172" t="n">
        <v>0</v>
      </c>
      <c r="M8172" t="n">
        <v>0</v>
      </c>
      <c r="AC8172" t="n">
        <v>0</v>
      </c>
      <c r="AD8172" t="n">
        <v>0</v>
      </c>
      <c r="AE8172" t="n">
        <v>0</v>
      </c>
      <c r="AF8172" t="n">
        <v>0</v>
      </c>
      <c r="AG8172" t="n">
        <v>0</v>
      </c>
      <c r="AH8172" t="n">
        <v>0</v>
      </c>
    </row>
    <row r="8173">
      <c r="A8173" t="inlineStr">
        <is>
          <t>12월</t>
        </is>
      </c>
      <c r="B8173" t="inlineStr">
        <is>
          <t>52주차</t>
        </is>
      </c>
      <c r="C8173" t="e">
        <v>#N/A</v>
      </c>
      <c r="K8173" t="n">
        <v>0</v>
      </c>
      <c r="L8173" t="n">
        <v>0</v>
      </c>
      <c r="M8173" t="n">
        <v>0</v>
      </c>
      <c r="AC8173" t="n">
        <v>0</v>
      </c>
      <c r="AD8173" t="n">
        <v>0</v>
      </c>
      <c r="AE8173" t="n">
        <v>0</v>
      </c>
      <c r="AF8173" t="n">
        <v>0</v>
      </c>
      <c r="AG8173" t="n">
        <v>0</v>
      </c>
      <c r="AH8173" t="n">
        <v>0</v>
      </c>
      <c r="AI8173" t="n">
        <v>0</v>
      </c>
    </row>
    <row r="8174">
      <c r="A8174" t="inlineStr">
        <is>
          <t>12월</t>
        </is>
      </c>
      <c r="B8174" t="inlineStr">
        <is>
          <t>52주차</t>
        </is>
      </c>
      <c r="C8174" t="e">
        <v>#N/A</v>
      </c>
      <c r="K8174" t="n">
        <v>0</v>
      </c>
      <c r="L8174" t="n">
        <v>0</v>
      </c>
      <c r="M8174" t="n">
        <v>0</v>
      </c>
      <c r="AC8174" t="n">
        <v>0</v>
      </c>
      <c r="AD8174" t="n">
        <v>0</v>
      </c>
      <c r="AE8174" t="n">
        <v>0</v>
      </c>
      <c r="AF8174" t="n">
        <v>0</v>
      </c>
      <c r="AG8174" t="n">
        <v>0</v>
      </c>
      <c r="AH8174" t="n">
        <v>0</v>
      </c>
      <c r="AI8174" t="n">
        <v>0</v>
      </c>
    </row>
    <row r="8175">
      <c r="A8175" t="inlineStr">
        <is>
          <t>12월</t>
        </is>
      </c>
      <c r="B8175" t="inlineStr">
        <is>
          <t>52주차</t>
        </is>
      </c>
      <c r="C8175" t="e">
        <v>#N/A</v>
      </c>
      <c r="K8175" t="n">
        <v>0</v>
      </c>
      <c r="L8175" t="n">
        <v>0</v>
      </c>
      <c r="M8175" t="n">
        <v>0</v>
      </c>
      <c r="AC8175" t="n">
        <v>0</v>
      </c>
      <c r="AD8175" t="n">
        <v>0</v>
      </c>
      <c r="AE8175" t="n">
        <v>0</v>
      </c>
      <c r="AF8175" t="n">
        <v>0</v>
      </c>
      <c r="AG8175" t="n">
        <v>0</v>
      </c>
      <c r="AH8175" t="n">
        <v>0</v>
      </c>
      <c r="AI8175" t="n">
        <v>0</v>
      </c>
    </row>
    <row r="8176">
      <c r="A8176" t="inlineStr">
        <is>
          <t>12월</t>
        </is>
      </c>
      <c r="B8176" t="inlineStr">
        <is>
          <t>52주차</t>
        </is>
      </c>
      <c r="C8176" t="e">
        <v>#N/A</v>
      </c>
      <c r="K8176" t="n">
        <v>0</v>
      </c>
      <c r="L8176" t="n">
        <v>0</v>
      </c>
      <c r="M8176" t="n">
        <v>0</v>
      </c>
      <c r="AC8176" t="n">
        <v>0</v>
      </c>
      <c r="AD8176" t="n">
        <v>0</v>
      </c>
      <c r="AE8176" t="n">
        <v>0</v>
      </c>
      <c r="AF8176" t="n">
        <v>0</v>
      </c>
      <c r="AG8176" t="n">
        <v>0</v>
      </c>
      <c r="AH8176" t="n">
        <v>0</v>
      </c>
      <c r="AI8176" t="n">
        <v>0</v>
      </c>
    </row>
    <row r="8177">
      <c r="A8177" t="inlineStr">
        <is>
          <t>12월</t>
        </is>
      </c>
      <c r="B8177" t="inlineStr">
        <is>
          <t>52주차</t>
        </is>
      </c>
      <c r="C8177" t="e">
        <v>#N/A</v>
      </c>
      <c r="K8177" t="n">
        <v>0</v>
      </c>
      <c r="L8177" t="n">
        <v>0</v>
      </c>
      <c r="M8177" t="n">
        <v>0</v>
      </c>
      <c r="AC8177" t="n">
        <v>0</v>
      </c>
      <c r="AD8177" t="n">
        <v>0</v>
      </c>
      <c r="AE8177" t="n">
        <v>0</v>
      </c>
      <c r="AF8177" t="n">
        <v>0</v>
      </c>
      <c r="AG8177" t="n">
        <v>0</v>
      </c>
      <c r="AH8177" t="n">
        <v>0</v>
      </c>
      <c r="AI8177" t="n">
        <v>0</v>
      </c>
    </row>
    <row r="8178">
      <c r="A8178" t="inlineStr">
        <is>
          <t>12월</t>
        </is>
      </c>
      <c r="B8178" t="inlineStr">
        <is>
          <t>52주차</t>
        </is>
      </c>
      <c r="C8178" t="e">
        <v>#N/A</v>
      </c>
      <c r="K8178" t="n">
        <v>0</v>
      </c>
      <c r="L8178" t="n">
        <v>0</v>
      </c>
      <c r="M8178" t="n">
        <v>0</v>
      </c>
      <c r="AC8178" t="n">
        <v>0</v>
      </c>
      <c r="AD8178" t="n">
        <v>0</v>
      </c>
      <c r="AE8178" t="n">
        <v>0</v>
      </c>
      <c r="AF8178" t="n">
        <v>0</v>
      </c>
      <c r="AG8178" t="n">
        <v>0</v>
      </c>
      <c r="AH8178" t="n">
        <v>0</v>
      </c>
    </row>
    <row r="8179">
      <c r="A8179" t="inlineStr">
        <is>
          <t>12월</t>
        </is>
      </c>
      <c r="B8179" t="inlineStr">
        <is>
          <t>52주차</t>
        </is>
      </c>
      <c r="C8179" t="e">
        <v>#N/A</v>
      </c>
      <c r="K8179" t="n">
        <v>0</v>
      </c>
      <c r="L8179" t="n">
        <v>0</v>
      </c>
      <c r="M8179" t="n">
        <v>0</v>
      </c>
      <c r="AC8179" t="n">
        <v>0</v>
      </c>
      <c r="AD8179" t="n">
        <v>0</v>
      </c>
      <c r="AE8179" t="n">
        <v>0</v>
      </c>
      <c r="AF8179" t="n">
        <v>0</v>
      </c>
      <c r="AG8179" t="n">
        <v>0</v>
      </c>
      <c r="AH8179" t="n">
        <v>0</v>
      </c>
    </row>
    <row r="8180">
      <c r="A8180" t="inlineStr">
        <is>
          <t>12월</t>
        </is>
      </c>
      <c r="B8180" t="inlineStr">
        <is>
          <t>52주차</t>
        </is>
      </c>
      <c r="C8180" t="e">
        <v>#N/A</v>
      </c>
      <c r="K8180" t="n">
        <v>0</v>
      </c>
      <c r="L8180" t="n">
        <v>0</v>
      </c>
      <c r="M8180" t="n">
        <v>0</v>
      </c>
      <c r="AC8180" t="n">
        <v>0</v>
      </c>
      <c r="AD8180" t="n">
        <v>0</v>
      </c>
      <c r="AE8180" t="n">
        <v>0</v>
      </c>
      <c r="AF8180" t="n">
        <v>0</v>
      </c>
      <c r="AG8180" t="n">
        <v>0</v>
      </c>
      <c r="AH8180" t="n">
        <v>0</v>
      </c>
      <c r="AI8180" t="n">
        <v>0</v>
      </c>
    </row>
    <row r="8181">
      <c r="A8181" t="inlineStr">
        <is>
          <t>12월</t>
        </is>
      </c>
      <c r="B8181" t="inlineStr">
        <is>
          <t>52주차</t>
        </is>
      </c>
      <c r="C8181" t="e">
        <v>#N/A</v>
      </c>
      <c r="K8181" t="n">
        <v>0</v>
      </c>
      <c r="L8181" t="n">
        <v>0</v>
      </c>
      <c r="M8181" t="n">
        <v>0</v>
      </c>
      <c r="AC8181" t="n">
        <v>0</v>
      </c>
      <c r="AD8181" t="n">
        <v>0</v>
      </c>
      <c r="AE8181" t="n">
        <v>0</v>
      </c>
      <c r="AF8181" t="n">
        <v>0</v>
      </c>
      <c r="AG8181" t="n">
        <v>0</v>
      </c>
      <c r="AH8181" t="n">
        <v>0</v>
      </c>
      <c r="AI8181" t="n">
        <v>0</v>
      </c>
    </row>
    <row r="8182">
      <c r="A8182" t="inlineStr">
        <is>
          <t>12월</t>
        </is>
      </c>
      <c r="B8182" t="inlineStr">
        <is>
          <t>52주차</t>
        </is>
      </c>
      <c r="C8182" t="e">
        <v>#N/A</v>
      </c>
      <c r="K8182" t="n">
        <v>0</v>
      </c>
      <c r="L8182" t="n">
        <v>0</v>
      </c>
      <c r="M8182" t="n">
        <v>0</v>
      </c>
      <c r="AC8182" t="n">
        <v>0</v>
      </c>
      <c r="AD8182" t="n">
        <v>0</v>
      </c>
      <c r="AE8182" t="n">
        <v>0</v>
      </c>
      <c r="AF8182" t="n">
        <v>0</v>
      </c>
      <c r="AG8182" t="n">
        <v>0</v>
      </c>
      <c r="AH8182" t="n">
        <v>0</v>
      </c>
      <c r="AI8182" t="n">
        <v>0</v>
      </c>
    </row>
    <row r="8183">
      <c r="A8183" t="inlineStr">
        <is>
          <t>12월</t>
        </is>
      </c>
      <c r="B8183" t="inlineStr">
        <is>
          <t>52주차</t>
        </is>
      </c>
      <c r="C8183" t="e">
        <v>#N/A</v>
      </c>
      <c r="K8183" t="n">
        <v>0</v>
      </c>
      <c r="L8183" t="n">
        <v>0</v>
      </c>
      <c r="M8183" t="n">
        <v>0</v>
      </c>
      <c r="AC8183" t="n">
        <v>0</v>
      </c>
      <c r="AD8183" t="n">
        <v>0</v>
      </c>
      <c r="AE8183" t="n">
        <v>0</v>
      </c>
      <c r="AF8183" t="n">
        <v>0</v>
      </c>
      <c r="AG8183" t="n">
        <v>0</v>
      </c>
      <c r="AH8183" t="n">
        <v>0</v>
      </c>
      <c r="AI8183" t="n">
        <v>0</v>
      </c>
    </row>
    <row r="8184">
      <c r="A8184" t="inlineStr">
        <is>
          <t>12월</t>
        </is>
      </c>
      <c r="B8184" t="inlineStr">
        <is>
          <t>52주차</t>
        </is>
      </c>
      <c r="C8184" t="e">
        <v>#N/A</v>
      </c>
      <c r="K8184" t="n">
        <v>0</v>
      </c>
      <c r="L8184" t="n">
        <v>0</v>
      </c>
      <c r="M8184" t="n">
        <v>0</v>
      </c>
      <c r="AC8184" t="n">
        <v>0</v>
      </c>
      <c r="AD8184" t="n">
        <v>0</v>
      </c>
      <c r="AE8184" t="n">
        <v>0</v>
      </c>
      <c r="AF8184" t="n">
        <v>0</v>
      </c>
      <c r="AG8184" t="n">
        <v>0</v>
      </c>
      <c r="AH8184" t="n">
        <v>0</v>
      </c>
    </row>
    <row r="8185">
      <c r="A8185" t="inlineStr">
        <is>
          <t>12월</t>
        </is>
      </c>
      <c r="B8185" t="inlineStr">
        <is>
          <t>52주차</t>
        </is>
      </c>
      <c r="C8185" t="e">
        <v>#N/A</v>
      </c>
      <c r="K8185" t="n">
        <v>0</v>
      </c>
      <c r="L8185" t="n">
        <v>0</v>
      </c>
      <c r="M8185" t="n">
        <v>0</v>
      </c>
      <c r="AC8185" t="n">
        <v>0</v>
      </c>
      <c r="AD8185" t="n">
        <v>0</v>
      </c>
      <c r="AE8185" t="n">
        <v>0</v>
      </c>
      <c r="AF8185" t="n">
        <v>0</v>
      </c>
      <c r="AG8185" t="n">
        <v>0</v>
      </c>
      <c r="AH8185" t="n">
        <v>0</v>
      </c>
    </row>
    <row r="8186">
      <c r="A8186" t="inlineStr">
        <is>
          <t>12월</t>
        </is>
      </c>
      <c r="B8186" t="inlineStr">
        <is>
          <t>52주차</t>
        </is>
      </c>
      <c r="C8186" t="e">
        <v>#N/A</v>
      </c>
      <c r="K8186" t="n">
        <v>0</v>
      </c>
      <c r="L8186" t="n">
        <v>0</v>
      </c>
      <c r="M8186" t="n">
        <v>0</v>
      </c>
      <c r="AC8186" t="n">
        <v>0</v>
      </c>
      <c r="AD8186" t="n">
        <v>0</v>
      </c>
      <c r="AE8186" t="n">
        <v>0</v>
      </c>
      <c r="AF8186" t="n">
        <v>0</v>
      </c>
      <c r="AG8186" t="n">
        <v>0</v>
      </c>
      <c r="AH8186" t="n">
        <v>0</v>
      </c>
    </row>
    <row r="8187">
      <c r="A8187" t="inlineStr">
        <is>
          <t>12월</t>
        </is>
      </c>
      <c r="B8187" t="inlineStr">
        <is>
          <t>52주차</t>
        </is>
      </c>
      <c r="C8187" t="e">
        <v>#N/A</v>
      </c>
      <c r="K8187" t="n">
        <v>0</v>
      </c>
      <c r="L8187" t="n">
        <v>0</v>
      </c>
      <c r="M8187" t="n">
        <v>0</v>
      </c>
      <c r="AC8187" t="n">
        <v>0</v>
      </c>
      <c r="AD8187" t="n">
        <v>0</v>
      </c>
      <c r="AE8187" t="n">
        <v>0</v>
      </c>
      <c r="AF8187" t="n">
        <v>0</v>
      </c>
      <c r="AG8187" t="n">
        <v>0</v>
      </c>
      <c r="AH8187" t="n">
        <v>0</v>
      </c>
    </row>
    <row r="8188">
      <c r="A8188" t="inlineStr">
        <is>
          <t>12월</t>
        </is>
      </c>
      <c r="B8188" t="inlineStr">
        <is>
          <t>52주차</t>
        </is>
      </c>
      <c r="C8188" t="e">
        <v>#N/A</v>
      </c>
      <c r="K8188" t="n">
        <v>0</v>
      </c>
      <c r="L8188" t="n">
        <v>0</v>
      </c>
      <c r="M8188" t="n">
        <v>0</v>
      </c>
      <c r="AC8188" t="n">
        <v>0</v>
      </c>
      <c r="AD8188" t="n">
        <v>0</v>
      </c>
      <c r="AE8188" t="n">
        <v>0</v>
      </c>
      <c r="AF8188" t="n">
        <v>0</v>
      </c>
      <c r="AG8188" t="n">
        <v>0</v>
      </c>
      <c r="AH8188" t="n">
        <v>0</v>
      </c>
      <c r="AI8188" t="n">
        <v>0</v>
      </c>
    </row>
    <row r="8189">
      <c r="A8189" t="inlineStr">
        <is>
          <t>12월</t>
        </is>
      </c>
      <c r="B8189" t="inlineStr">
        <is>
          <t>52주차</t>
        </is>
      </c>
      <c r="C8189" t="e">
        <v>#N/A</v>
      </c>
      <c r="K8189" t="n">
        <v>0</v>
      </c>
      <c r="L8189" t="n">
        <v>0</v>
      </c>
      <c r="M8189" t="n">
        <v>0</v>
      </c>
      <c r="AC8189" t="n">
        <v>0</v>
      </c>
      <c r="AD8189" t="n">
        <v>0</v>
      </c>
      <c r="AE8189" t="n">
        <v>0</v>
      </c>
      <c r="AF8189" t="n">
        <v>0</v>
      </c>
      <c r="AG8189" t="n">
        <v>0</v>
      </c>
      <c r="AH8189" t="n">
        <v>0</v>
      </c>
      <c r="AI8189" t="n">
        <v>0</v>
      </c>
    </row>
    <row r="8190">
      <c r="A8190" t="inlineStr">
        <is>
          <t>12월</t>
        </is>
      </c>
      <c r="B8190" t="inlineStr">
        <is>
          <t>52주차</t>
        </is>
      </c>
      <c r="C8190" t="e">
        <v>#N/A</v>
      </c>
      <c r="K8190" t="n">
        <v>0</v>
      </c>
      <c r="L8190" t="n">
        <v>0</v>
      </c>
      <c r="M8190" t="n">
        <v>0</v>
      </c>
      <c r="AC8190" t="n">
        <v>0</v>
      </c>
      <c r="AD8190" t="n">
        <v>0</v>
      </c>
      <c r="AE8190" t="n">
        <v>0</v>
      </c>
      <c r="AF8190" t="n">
        <v>0</v>
      </c>
      <c r="AG8190" t="n">
        <v>0</v>
      </c>
      <c r="AH8190" t="n">
        <v>0</v>
      </c>
      <c r="AI8190" t="n">
        <v>0</v>
      </c>
    </row>
    <row r="8191">
      <c r="A8191" t="inlineStr">
        <is>
          <t>12월</t>
        </is>
      </c>
      <c r="B8191" t="inlineStr">
        <is>
          <t>52주차</t>
        </is>
      </c>
      <c r="C8191" t="e">
        <v>#N/A</v>
      </c>
      <c r="K8191" t="n">
        <v>0</v>
      </c>
      <c r="L8191" t="n">
        <v>0</v>
      </c>
      <c r="M8191" t="n">
        <v>0</v>
      </c>
      <c r="AC8191" t="n">
        <v>0</v>
      </c>
      <c r="AD8191" t="n">
        <v>0</v>
      </c>
      <c r="AE8191" t="n">
        <v>0</v>
      </c>
      <c r="AF8191" t="n">
        <v>0</v>
      </c>
      <c r="AG8191" t="n">
        <v>0</v>
      </c>
      <c r="AH8191" t="n">
        <v>0</v>
      </c>
    </row>
    <row r="8192">
      <c r="A8192" t="inlineStr">
        <is>
          <t>12월</t>
        </is>
      </c>
      <c r="B8192" t="inlineStr">
        <is>
          <t>52주차</t>
        </is>
      </c>
      <c r="C8192" t="e">
        <v>#N/A</v>
      </c>
      <c r="K8192" t="n">
        <v>0</v>
      </c>
      <c r="L8192" t="n">
        <v>0</v>
      </c>
      <c r="M8192" t="n">
        <v>0</v>
      </c>
      <c r="AC8192" t="n">
        <v>0</v>
      </c>
      <c r="AD8192" t="n">
        <v>0</v>
      </c>
      <c r="AE8192" t="n">
        <v>0</v>
      </c>
      <c r="AF8192" t="n">
        <v>0</v>
      </c>
      <c r="AG8192" t="n">
        <v>0</v>
      </c>
      <c r="AH8192" t="n">
        <v>0</v>
      </c>
      <c r="AI8192" t="n">
        <v>0</v>
      </c>
    </row>
    <row r="8193">
      <c r="A8193" t="inlineStr">
        <is>
          <t>12월</t>
        </is>
      </c>
      <c r="B8193" t="inlineStr">
        <is>
          <t>52주차</t>
        </is>
      </c>
      <c r="C8193" t="e">
        <v>#N/A</v>
      </c>
      <c r="K8193" t="n">
        <v>0</v>
      </c>
      <c r="L8193" t="n">
        <v>0</v>
      </c>
      <c r="M8193" t="n">
        <v>0</v>
      </c>
      <c r="AC8193" t="n">
        <v>0</v>
      </c>
      <c r="AD8193" t="n">
        <v>0</v>
      </c>
      <c r="AE8193" t="n">
        <v>0</v>
      </c>
      <c r="AF8193" t="n">
        <v>0</v>
      </c>
      <c r="AG8193" t="n">
        <v>0</v>
      </c>
      <c r="AH8193" t="n">
        <v>0</v>
      </c>
      <c r="AI8193" t="n">
        <v>0</v>
      </c>
    </row>
    <row r="8194">
      <c r="A8194" t="inlineStr">
        <is>
          <t>12월</t>
        </is>
      </c>
      <c r="B8194" t="inlineStr">
        <is>
          <t>52주차</t>
        </is>
      </c>
      <c r="C8194" t="e">
        <v>#N/A</v>
      </c>
      <c r="K8194" t="n">
        <v>0</v>
      </c>
      <c r="L8194" t="n">
        <v>0</v>
      </c>
      <c r="M8194" t="n">
        <v>0</v>
      </c>
      <c r="AC8194" t="n">
        <v>0</v>
      </c>
      <c r="AD8194" t="n">
        <v>0</v>
      </c>
      <c r="AE8194" t="n">
        <v>0</v>
      </c>
      <c r="AF8194" t="n">
        <v>0</v>
      </c>
      <c r="AG8194" t="n">
        <v>0</v>
      </c>
      <c r="AH8194" t="n">
        <v>0</v>
      </c>
      <c r="AI8194" t="n">
        <v>0</v>
      </c>
    </row>
    <row r="8195">
      <c r="A8195" t="inlineStr">
        <is>
          <t>12월</t>
        </is>
      </c>
      <c r="B8195" t="inlineStr">
        <is>
          <t>52주차</t>
        </is>
      </c>
      <c r="C8195" t="e">
        <v>#N/A</v>
      </c>
      <c r="K8195" t="n">
        <v>0</v>
      </c>
      <c r="L8195" t="n">
        <v>0</v>
      </c>
      <c r="M8195" t="n">
        <v>0</v>
      </c>
      <c r="AC8195" t="n">
        <v>0</v>
      </c>
      <c r="AD8195" t="n">
        <v>0</v>
      </c>
      <c r="AE8195" t="n">
        <v>0</v>
      </c>
      <c r="AF8195" t="n">
        <v>0</v>
      </c>
      <c r="AG8195" t="n">
        <v>0</v>
      </c>
      <c r="AH8195" t="n">
        <v>0</v>
      </c>
      <c r="AI8195" t="n">
        <v>0</v>
      </c>
    </row>
    <row r="8196">
      <c r="A8196" t="inlineStr">
        <is>
          <t>12월</t>
        </is>
      </c>
      <c r="B8196" t="inlineStr">
        <is>
          <t>52주차</t>
        </is>
      </c>
      <c r="C8196" t="e">
        <v>#N/A</v>
      </c>
      <c r="K8196" t="n">
        <v>0</v>
      </c>
      <c r="L8196" t="n">
        <v>0</v>
      </c>
      <c r="M8196" t="n">
        <v>0</v>
      </c>
      <c r="AC8196" t="n">
        <v>0</v>
      </c>
      <c r="AD8196" t="n">
        <v>0</v>
      </c>
      <c r="AE8196" t="n">
        <v>0</v>
      </c>
      <c r="AF8196" t="n">
        <v>0</v>
      </c>
      <c r="AG8196" t="n">
        <v>0</v>
      </c>
      <c r="AH8196" t="n">
        <v>0</v>
      </c>
      <c r="AI8196" t="n">
        <v>0</v>
      </c>
    </row>
    <row r="8197">
      <c r="A8197" t="inlineStr">
        <is>
          <t>12월</t>
        </is>
      </c>
      <c r="B8197" t="inlineStr">
        <is>
          <t>52주차</t>
        </is>
      </c>
      <c r="C8197" t="e">
        <v>#N/A</v>
      </c>
      <c r="K8197" t="n">
        <v>0</v>
      </c>
      <c r="L8197" t="n">
        <v>0</v>
      </c>
      <c r="M8197" t="n">
        <v>0</v>
      </c>
      <c r="AC8197" t="n">
        <v>0</v>
      </c>
      <c r="AD8197" t="n">
        <v>0</v>
      </c>
      <c r="AE8197" t="n">
        <v>0</v>
      </c>
      <c r="AF8197" t="n">
        <v>0</v>
      </c>
      <c r="AG8197" t="n">
        <v>0</v>
      </c>
      <c r="AH8197" t="n">
        <v>0</v>
      </c>
      <c r="AI8197" t="n">
        <v>0</v>
      </c>
    </row>
    <row r="8198">
      <c r="A8198" t="inlineStr">
        <is>
          <t>12월</t>
        </is>
      </c>
      <c r="B8198" t="inlineStr">
        <is>
          <t>52주차</t>
        </is>
      </c>
      <c r="C8198" t="e">
        <v>#N/A</v>
      </c>
      <c r="K8198" t="n">
        <v>0</v>
      </c>
      <c r="L8198" t="n">
        <v>0</v>
      </c>
      <c r="M8198" t="n">
        <v>0</v>
      </c>
      <c r="AC8198" t="n">
        <v>0</v>
      </c>
      <c r="AD8198" t="n">
        <v>0</v>
      </c>
      <c r="AE8198" t="n">
        <v>0</v>
      </c>
      <c r="AF8198" t="n">
        <v>0</v>
      </c>
      <c r="AG8198" t="n">
        <v>0</v>
      </c>
      <c r="AH8198" t="n">
        <v>0</v>
      </c>
      <c r="AI8198" t="n">
        <v>0</v>
      </c>
    </row>
    <row r="8199">
      <c r="A8199" t="inlineStr">
        <is>
          <t>12월</t>
        </is>
      </c>
      <c r="B8199" t="inlineStr">
        <is>
          <t>52주차</t>
        </is>
      </c>
      <c r="C8199" t="e">
        <v>#N/A</v>
      </c>
      <c r="K8199" t="n">
        <v>0</v>
      </c>
      <c r="L8199" t="n">
        <v>0</v>
      </c>
      <c r="M8199" t="n">
        <v>0</v>
      </c>
      <c r="AC8199" t="n">
        <v>0</v>
      </c>
      <c r="AD8199" t="n">
        <v>0</v>
      </c>
      <c r="AE8199" t="n">
        <v>0</v>
      </c>
      <c r="AF8199" t="n">
        <v>0</v>
      </c>
      <c r="AG8199" t="n">
        <v>0</v>
      </c>
      <c r="AH8199" t="n">
        <v>0</v>
      </c>
      <c r="AI8199" t="n">
        <v>0</v>
      </c>
    </row>
    <row r="8200">
      <c r="A8200" t="inlineStr">
        <is>
          <t>12월</t>
        </is>
      </c>
      <c r="B8200" t="inlineStr">
        <is>
          <t>52주차</t>
        </is>
      </c>
      <c r="C8200" t="e">
        <v>#N/A</v>
      </c>
      <c r="K8200" t="n">
        <v>0</v>
      </c>
      <c r="L8200" t="n">
        <v>0</v>
      </c>
      <c r="M8200" t="n">
        <v>0</v>
      </c>
      <c r="AC8200" t="n">
        <v>0</v>
      </c>
      <c r="AD8200" t="n">
        <v>0</v>
      </c>
      <c r="AE8200" t="n">
        <v>0</v>
      </c>
      <c r="AF8200" t="n">
        <v>0</v>
      </c>
      <c r="AG8200" t="n">
        <v>0</v>
      </c>
      <c r="AH8200" t="n">
        <v>0</v>
      </c>
      <c r="AI8200" t="n">
        <v>0</v>
      </c>
    </row>
    <row r="8201">
      <c r="A8201" t="inlineStr">
        <is>
          <t>12월</t>
        </is>
      </c>
      <c r="B8201" t="inlineStr">
        <is>
          <t>52주차</t>
        </is>
      </c>
      <c r="C8201" t="e">
        <v>#N/A</v>
      </c>
      <c r="K8201" t="n">
        <v>0</v>
      </c>
      <c r="L8201" t="n">
        <v>0</v>
      </c>
      <c r="M8201" t="n">
        <v>0</v>
      </c>
      <c r="AC8201" t="n">
        <v>0</v>
      </c>
      <c r="AD8201" t="n">
        <v>0</v>
      </c>
      <c r="AE8201" t="n">
        <v>0</v>
      </c>
      <c r="AF8201" t="n">
        <v>0</v>
      </c>
      <c r="AG8201" t="n">
        <v>0</v>
      </c>
      <c r="AH8201" t="n">
        <v>0</v>
      </c>
      <c r="AI8201" t="n">
        <v>0</v>
      </c>
    </row>
    <row r="8202">
      <c r="A8202" t="inlineStr">
        <is>
          <t>12월</t>
        </is>
      </c>
      <c r="B8202" t="inlineStr">
        <is>
          <t>52주차</t>
        </is>
      </c>
      <c r="C8202" t="e">
        <v>#N/A</v>
      </c>
      <c r="K8202" t="n">
        <v>0</v>
      </c>
      <c r="L8202" t="n">
        <v>0</v>
      </c>
      <c r="M8202" t="n">
        <v>0</v>
      </c>
      <c r="AC8202" t="n">
        <v>0</v>
      </c>
      <c r="AD8202" t="n">
        <v>0</v>
      </c>
      <c r="AE8202" t="n">
        <v>0</v>
      </c>
      <c r="AF8202" t="n">
        <v>0</v>
      </c>
      <c r="AG8202" t="n">
        <v>0</v>
      </c>
      <c r="AH8202" t="n">
        <v>0</v>
      </c>
    </row>
    <row r="8203">
      <c r="A8203" t="inlineStr">
        <is>
          <t>12월</t>
        </is>
      </c>
      <c r="B8203" t="inlineStr">
        <is>
          <t>52주차</t>
        </is>
      </c>
      <c r="C8203" t="e">
        <v>#N/A</v>
      </c>
      <c r="K8203" t="n">
        <v>0</v>
      </c>
      <c r="L8203" t="n">
        <v>0</v>
      </c>
      <c r="M8203" t="n">
        <v>0</v>
      </c>
      <c r="AC8203" t="n">
        <v>0</v>
      </c>
      <c r="AD8203" t="n">
        <v>0</v>
      </c>
      <c r="AE8203" t="n">
        <v>0</v>
      </c>
      <c r="AF8203" t="n">
        <v>0</v>
      </c>
      <c r="AG8203" t="n">
        <v>0</v>
      </c>
      <c r="AH8203" t="n">
        <v>0</v>
      </c>
    </row>
    <row r="8204">
      <c r="A8204" t="inlineStr">
        <is>
          <t>12월</t>
        </is>
      </c>
      <c r="B8204" t="inlineStr">
        <is>
          <t>52주차</t>
        </is>
      </c>
      <c r="C8204" t="e">
        <v>#N/A</v>
      </c>
      <c r="K8204" t="n">
        <v>0</v>
      </c>
      <c r="L8204" t="n">
        <v>0</v>
      </c>
      <c r="M8204" t="n">
        <v>0</v>
      </c>
      <c r="AC8204" t="n">
        <v>0</v>
      </c>
      <c r="AD8204" t="n">
        <v>0</v>
      </c>
      <c r="AE8204" t="n">
        <v>0</v>
      </c>
      <c r="AF8204" t="n">
        <v>0</v>
      </c>
      <c r="AG8204" t="n">
        <v>0</v>
      </c>
      <c r="AH8204" t="n">
        <v>0</v>
      </c>
      <c r="AI8204" t="n">
        <v>0</v>
      </c>
    </row>
    <row r="8205">
      <c r="A8205" t="inlineStr">
        <is>
          <t>12월</t>
        </is>
      </c>
      <c r="B8205" t="inlineStr">
        <is>
          <t>52주차</t>
        </is>
      </c>
      <c r="C8205" t="e">
        <v>#N/A</v>
      </c>
      <c r="K8205" t="n">
        <v>0</v>
      </c>
      <c r="L8205" t="n">
        <v>0</v>
      </c>
      <c r="M8205" t="n">
        <v>0</v>
      </c>
      <c r="AC8205" t="n">
        <v>0</v>
      </c>
      <c r="AD8205" t="n">
        <v>0</v>
      </c>
      <c r="AE8205" t="n">
        <v>0</v>
      </c>
      <c r="AF8205" t="n">
        <v>0</v>
      </c>
      <c r="AG8205" t="n">
        <v>0</v>
      </c>
      <c r="AH8205" t="n">
        <v>0</v>
      </c>
    </row>
    <row r="8206">
      <c r="A8206" t="inlineStr">
        <is>
          <t>12월</t>
        </is>
      </c>
      <c r="B8206" t="inlineStr">
        <is>
          <t>52주차</t>
        </is>
      </c>
      <c r="C8206" t="e">
        <v>#N/A</v>
      </c>
      <c r="K8206" t="n">
        <v>0</v>
      </c>
      <c r="L8206" t="n">
        <v>0</v>
      </c>
      <c r="M8206" t="n">
        <v>0</v>
      </c>
      <c r="AC8206" t="n">
        <v>0</v>
      </c>
      <c r="AD8206" t="n">
        <v>0</v>
      </c>
      <c r="AE8206" t="n">
        <v>0</v>
      </c>
      <c r="AF8206" t="n">
        <v>0</v>
      </c>
      <c r="AG8206" t="n">
        <v>0</v>
      </c>
      <c r="AH8206" t="n">
        <v>0</v>
      </c>
    </row>
    <row r="8207">
      <c r="A8207" t="inlineStr">
        <is>
          <t>12월</t>
        </is>
      </c>
      <c r="B8207" t="inlineStr">
        <is>
          <t>52주차</t>
        </is>
      </c>
      <c r="C8207" t="e">
        <v>#N/A</v>
      </c>
      <c r="K8207" t="n">
        <v>0</v>
      </c>
      <c r="L8207" t="n">
        <v>0</v>
      </c>
      <c r="M8207" t="n">
        <v>0</v>
      </c>
      <c r="AC8207" t="n">
        <v>0</v>
      </c>
      <c r="AD8207" t="n">
        <v>0</v>
      </c>
      <c r="AE8207" t="n">
        <v>0</v>
      </c>
      <c r="AF8207" t="n">
        <v>0</v>
      </c>
      <c r="AG8207" t="n">
        <v>0</v>
      </c>
      <c r="AH8207" t="n">
        <v>0</v>
      </c>
      <c r="AI8207" t="n">
        <v>0</v>
      </c>
    </row>
    <row r="8208">
      <c r="A8208" t="inlineStr">
        <is>
          <t>12월</t>
        </is>
      </c>
      <c r="B8208" t="inlineStr">
        <is>
          <t>52주차</t>
        </is>
      </c>
      <c r="C8208" t="e">
        <v>#N/A</v>
      </c>
      <c r="K8208" t="n">
        <v>0</v>
      </c>
      <c r="L8208" t="n">
        <v>0</v>
      </c>
      <c r="M8208" t="n">
        <v>0</v>
      </c>
      <c r="AC8208" t="n">
        <v>0</v>
      </c>
      <c r="AD8208" t="n">
        <v>0</v>
      </c>
      <c r="AE8208" t="n">
        <v>0</v>
      </c>
      <c r="AF8208" t="n">
        <v>0</v>
      </c>
      <c r="AG8208" t="n">
        <v>0</v>
      </c>
      <c r="AH8208" t="n">
        <v>0</v>
      </c>
    </row>
    <row r="8209">
      <c r="A8209" t="inlineStr">
        <is>
          <t>12월</t>
        </is>
      </c>
      <c r="B8209" t="inlineStr">
        <is>
          <t>52주차</t>
        </is>
      </c>
      <c r="C8209" t="e">
        <v>#N/A</v>
      </c>
      <c r="K8209" t="n">
        <v>0</v>
      </c>
      <c r="L8209" t="n">
        <v>0</v>
      </c>
      <c r="M8209" t="n">
        <v>0</v>
      </c>
      <c r="AC8209" t="n">
        <v>0</v>
      </c>
      <c r="AD8209" t="n">
        <v>0</v>
      </c>
      <c r="AE8209" t="n">
        <v>0</v>
      </c>
      <c r="AF8209" t="n">
        <v>0</v>
      </c>
      <c r="AG8209" t="n">
        <v>0</v>
      </c>
      <c r="AH8209" t="n">
        <v>0</v>
      </c>
      <c r="AI8209" t="n">
        <v>0</v>
      </c>
    </row>
    <row r="8210">
      <c r="A8210" t="inlineStr">
        <is>
          <t>12월</t>
        </is>
      </c>
      <c r="B8210" t="inlineStr">
        <is>
          <t>52주차</t>
        </is>
      </c>
      <c r="C8210" t="e">
        <v>#N/A</v>
      </c>
      <c r="K8210" t="n">
        <v>0</v>
      </c>
      <c r="L8210" t="n">
        <v>0</v>
      </c>
      <c r="M8210" t="n">
        <v>0</v>
      </c>
      <c r="AC8210" t="n">
        <v>0</v>
      </c>
      <c r="AD8210" t="n">
        <v>0</v>
      </c>
      <c r="AE8210" t="n">
        <v>0</v>
      </c>
      <c r="AF8210" t="n">
        <v>0</v>
      </c>
      <c r="AG8210" t="n">
        <v>0</v>
      </c>
      <c r="AH8210" t="n">
        <v>0</v>
      </c>
      <c r="AI8210" t="n">
        <v>0</v>
      </c>
    </row>
    <row r="8211">
      <c r="A8211" t="inlineStr">
        <is>
          <t>12월</t>
        </is>
      </c>
      <c r="B8211" t="inlineStr">
        <is>
          <t>52주차</t>
        </is>
      </c>
      <c r="C8211" t="e">
        <v>#N/A</v>
      </c>
      <c r="K8211" t="n">
        <v>0</v>
      </c>
      <c r="L8211" t="n">
        <v>0</v>
      </c>
      <c r="M8211" t="n">
        <v>0</v>
      </c>
      <c r="AC8211" t="n">
        <v>0</v>
      </c>
      <c r="AD8211" t="n">
        <v>0</v>
      </c>
      <c r="AE8211" t="n">
        <v>0</v>
      </c>
      <c r="AF8211" t="n">
        <v>0</v>
      </c>
      <c r="AG8211" t="n">
        <v>0</v>
      </c>
      <c r="AH8211" t="n">
        <v>0</v>
      </c>
      <c r="AI8211" t="n">
        <v>0</v>
      </c>
    </row>
    <row r="8212">
      <c r="A8212" t="inlineStr">
        <is>
          <t>12월</t>
        </is>
      </c>
      <c r="B8212" t="inlineStr">
        <is>
          <t>52주차</t>
        </is>
      </c>
      <c r="C8212" t="e">
        <v>#N/A</v>
      </c>
      <c r="K8212" t="n">
        <v>0</v>
      </c>
      <c r="L8212" t="n">
        <v>0</v>
      </c>
      <c r="M8212" t="n">
        <v>0</v>
      </c>
      <c r="AC8212" t="n">
        <v>0</v>
      </c>
      <c r="AD8212" t="n">
        <v>0</v>
      </c>
      <c r="AE8212" t="n">
        <v>0</v>
      </c>
      <c r="AF8212" t="n">
        <v>0</v>
      </c>
      <c r="AG8212" t="n">
        <v>0</v>
      </c>
      <c r="AH8212" t="n">
        <v>0</v>
      </c>
    </row>
    <row r="8213">
      <c r="A8213" t="inlineStr">
        <is>
          <t>12월</t>
        </is>
      </c>
      <c r="B8213" t="inlineStr">
        <is>
          <t>52주차</t>
        </is>
      </c>
      <c r="C8213" t="e">
        <v>#N/A</v>
      </c>
      <c r="K8213" t="n">
        <v>0</v>
      </c>
      <c r="L8213" t="n">
        <v>0</v>
      </c>
      <c r="M8213" t="n">
        <v>0</v>
      </c>
      <c r="AC8213" t="n">
        <v>0</v>
      </c>
      <c r="AD8213" t="n">
        <v>0</v>
      </c>
      <c r="AE8213" t="n">
        <v>0</v>
      </c>
      <c r="AF8213" t="n">
        <v>0</v>
      </c>
      <c r="AG8213" t="n">
        <v>0</v>
      </c>
      <c r="AH8213" t="n">
        <v>0</v>
      </c>
      <c r="AI8213" t="n">
        <v>0</v>
      </c>
    </row>
    <row r="8214">
      <c r="A8214" t="inlineStr">
        <is>
          <t>12월</t>
        </is>
      </c>
      <c r="B8214" t="inlineStr">
        <is>
          <t>52주차</t>
        </is>
      </c>
      <c r="C8214" t="e">
        <v>#N/A</v>
      </c>
      <c r="K8214" t="n">
        <v>0</v>
      </c>
      <c r="L8214" t="n">
        <v>0</v>
      </c>
      <c r="M8214" t="n">
        <v>0</v>
      </c>
      <c r="AC8214" t="n">
        <v>0</v>
      </c>
      <c r="AD8214" t="n">
        <v>0</v>
      </c>
      <c r="AE8214" t="n">
        <v>0</v>
      </c>
      <c r="AF8214" t="n">
        <v>0</v>
      </c>
      <c r="AG8214" t="n">
        <v>0</v>
      </c>
      <c r="AH8214" t="n">
        <v>0</v>
      </c>
      <c r="AI8214" t="n">
        <v>0</v>
      </c>
    </row>
    <row r="8215">
      <c r="A8215" t="inlineStr">
        <is>
          <t>12월</t>
        </is>
      </c>
      <c r="B8215" t="inlineStr">
        <is>
          <t>52주차</t>
        </is>
      </c>
      <c r="C8215" t="e">
        <v>#N/A</v>
      </c>
      <c r="K8215" t="n">
        <v>0</v>
      </c>
      <c r="L8215" t="n">
        <v>0</v>
      </c>
      <c r="M8215" t="n">
        <v>0</v>
      </c>
      <c r="AC8215" t="n">
        <v>0</v>
      </c>
      <c r="AD8215" t="n">
        <v>0</v>
      </c>
      <c r="AE8215" t="n">
        <v>0</v>
      </c>
      <c r="AF8215" t="n">
        <v>0</v>
      </c>
      <c r="AG8215" t="n">
        <v>0</v>
      </c>
      <c r="AH8215" t="n">
        <v>0</v>
      </c>
      <c r="AI8215" t="n">
        <v>0</v>
      </c>
    </row>
    <row r="8216">
      <c r="A8216" t="inlineStr">
        <is>
          <t>12월</t>
        </is>
      </c>
      <c r="B8216" t="inlineStr">
        <is>
          <t>52주차</t>
        </is>
      </c>
      <c r="C8216" t="e">
        <v>#N/A</v>
      </c>
      <c r="K8216" t="n">
        <v>0</v>
      </c>
      <c r="L8216" t="n">
        <v>0</v>
      </c>
      <c r="M8216" t="n">
        <v>0</v>
      </c>
      <c r="AC8216" t="n">
        <v>0</v>
      </c>
      <c r="AD8216" t="n">
        <v>0</v>
      </c>
      <c r="AE8216" t="n">
        <v>0</v>
      </c>
      <c r="AF8216" t="n">
        <v>0</v>
      </c>
      <c r="AG8216" t="n">
        <v>0</v>
      </c>
      <c r="AH8216" t="n">
        <v>0</v>
      </c>
    </row>
    <row r="8217">
      <c r="A8217" t="inlineStr">
        <is>
          <t>12월</t>
        </is>
      </c>
      <c r="B8217" t="inlineStr">
        <is>
          <t>52주차</t>
        </is>
      </c>
      <c r="C8217" t="e">
        <v>#N/A</v>
      </c>
      <c r="K8217" t="n">
        <v>0</v>
      </c>
      <c r="L8217" t="n">
        <v>0</v>
      </c>
      <c r="M8217" t="n">
        <v>0</v>
      </c>
      <c r="AC8217" t="n">
        <v>0</v>
      </c>
      <c r="AD8217" t="n">
        <v>0</v>
      </c>
      <c r="AE8217" t="n">
        <v>0</v>
      </c>
      <c r="AF8217" t="n">
        <v>0</v>
      </c>
      <c r="AG8217" t="n">
        <v>0</v>
      </c>
      <c r="AH8217" t="n">
        <v>0</v>
      </c>
      <c r="AI8217" t="n">
        <v>0</v>
      </c>
    </row>
    <row r="8218">
      <c r="A8218" t="inlineStr">
        <is>
          <t>12월</t>
        </is>
      </c>
      <c r="B8218" t="inlineStr">
        <is>
          <t>52주차</t>
        </is>
      </c>
      <c r="C8218" t="e">
        <v>#N/A</v>
      </c>
      <c r="K8218" t="n">
        <v>0</v>
      </c>
      <c r="L8218" t="n">
        <v>0</v>
      </c>
      <c r="M8218" t="n">
        <v>0</v>
      </c>
      <c r="AC8218" t="n">
        <v>0</v>
      </c>
      <c r="AD8218" t="n">
        <v>0</v>
      </c>
      <c r="AE8218" t="n">
        <v>0</v>
      </c>
      <c r="AF8218" t="n">
        <v>0</v>
      </c>
      <c r="AG8218" t="n">
        <v>0</v>
      </c>
      <c r="AH8218" t="n">
        <v>0</v>
      </c>
      <c r="AI8218" t="n">
        <v>0</v>
      </c>
    </row>
    <row r="8219">
      <c r="A8219" t="inlineStr">
        <is>
          <t>12월</t>
        </is>
      </c>
      <c r="B8219" t="inlineStr">
        <is>
          <t>52주차</t>
        </is>
      </c>
      <c r="C8219" t="e">
        <v>#N/A</v>
      </c>
      <c r="K8219" t="n">
        <v>0</v>
      </c>
      <c r="L8219" t="n">
        <v>0</v>
      </c>
      <c r="M8219" t="n">
        <v>0</v>
      </c>
      <c r="AC8219" t="n">
        <v>0</v>
      </c>
      <c r="AD8219" t="n">
        <v>0</v>
      </c>
      <c r="AE8219" t="n">
        <v>0</v>
      </c>
      <c r="AF8219" t="n">
        <v>0</v>
      </c>
      <c r="AG8219" t="n">
        <v>0</v>
      </c>
      <c r="AH8219" t="n">
        <v>0</v>
      </c>
      <c r="AI8219" t="n">
        <v>0</v>
      </c>
    </row>
    <row r="8220">
      <c r="A8220" t="inlineStr">
        <is>
          <t>12월</t>
        </is>
      </c>
      <c r="B8220" t="inlineStr">
        <is>
          <t>52주차</t>
        </is>
      </c>
      <c r="C8220" t="e">
        <v>#N/A</v>
      </c>
      <c r="K8220" t="n">
        <v>0</v>
      </c>
      <c r="L8220" t="n">
        <v>0</v>
      </c>
      <c r="M8220" t="n">
        <v>0</v>
      </c>
      <c r="AC8220" t="n">
        <v>0</v>
      </c>
      <c r="AD8220" t="n">
        <v>0</v>
      </c>
      <c r="AE8220" t="n">
        <v>0</v>
      </c>
      <c r="AF8220" t="n">
        <v>0</v>
      </c>
      <c r="AG8220" t="n">
        <v>0</v>
      </c>
      <c r="AH8220" t="n">
        <v>0</v>
      </c>
      <c r="AI8220" t="n">
        <v>0</v>
      </c>
    </row>
    <row r="8221">
      <c r="A8221" t="inlineStr">
        <is>
          <t>12월</t>
        </is>
      </c>
      <c r="B8221" t="inlineStr">
        <is>
          <t>52주차</t>
        </is>
      </c>
      <c r="C8221" t="e">
        <v>#N/A</v>
      </c>
      <c r="K8221" t="n">
        <v>0</v>
      </c>
      <c r="L8221" t="n">
        <v>0</v>
      </c>
      <c r="M8221" t="n">
        <v>0</v>
      </c>
      <c r="AC8221" t="n">
        <v>0</v>
      </c>
      <c r="AD8221" t="n">
        <v>0</v>
      </c>
      <c r="AE8221" t="n">
        <v>0</v>
      </c>
      <c r="AF8221" t="n">
        <v>0</v>
      </c>
      <c r="AG8221" t="n">
        <v>0</v>
      </c>
      <c r="AH8221" t="n">
        <v>0</v>
      </c>
      <c r="AI8221" t="n">
        <v>0</v>
      </c>
    </row>
    <row r="8222">
      <c r="A8222" t="inlineStr">
        <is>
          <t>12월</t>
        </is>
      </c>
      <c r="B8222" t="inlineStr">
        <is>
          <t>52주차</t>
        </is>
      </c>
      <c r="C8222" t="e">
        <v>#N/A</v>
      </c>
      <c r="K8222" t="n">
        <v>0</v>
      </c>
      <c r="L8222" t="n">
        <v>0</v>
      </c>
      <c r="M8222" t="n">
        <v>0</v>
      </c>
      <c r="AC8222" t="n">
        <v>0</v>
      </c>
      <c r="AD8222" t="n">
        <v>0</v>
      </c>
      <c r="AE8222" t="n">
        <v>0</v>
      </c>
      <c r="AF8222" t="n">
        <v>0</v>
      </c>
      <c r="AG8222" t="n">
        <v>0</v>
      </c>
      <c r="AH8222" t="n">
        <v>0</v>
      </c>
      <c r="AI8222" t="n">
        <v>0</v>
      </c>
    </row>
    <row r="8223">
      <c r="A8223" t="inlineStr">
        <is>
          <t>12월</t>
        </is>
      </c>
      <c r="B8223" t="inlineStr">
        <is>
          <t>52주차</t>
        </is>
      </c>
      <c r="C8223" t="e">
        <v>#N/A</v>
      </c>
      <c r="K8223" t="n">
        <v>0</v>
      </c>
      <c r="L8223" t="n">
        <v>0</v>
      </c>
      <c r="M8223" t="n">
        <v>0</v>
      </c>
      <c r="AC8223" t="n">
        <v>0</v>
      </c>
      <c r="AD8223" t="n">
        <v>0</v>
      </c>
      <c r="AE8223" t="n">
        <v>0</v>
      </c>
      <c r="AF8223" t="n">
        <v>0</v>
      </c>
      <c r="AG8223" t="n">
        <v>0</v>
      </c>
      <c r="AH8223" t="n">
        <v>0</v>
      </c>
      <c r="AI8223" t="n">
        <v>0</v>
      </c>
    </row>
    <row r="8224">
      <c r="A8224" t="inlineStr">
        <is>
          <t>12월</t>
        </is>
      </c>
      <c r="B8224" t="inlineStr">
        <is>
          <t>52주차</t>
        </is>
      </c>
      <c r="C8224" t="e">
        <v>#N/A</v>
      </c>
      <c r="K8224" t="n">
        <v>0</v>
      </c>
      <c r="L8224" t="n">
        <v>0</v>
      </c>
      <c r="M8224" t="n">
        <v>0</v>
      </c>
      <c r="AC8224" t="n">
        <v>0</v>
      </c>
      <c r="AD8224" t="n">
        <v>0</v>
      </c>
      <c r="AE8224" t="n">
        <v>0</v>
      </c>
      <c r="AF8224" t="n">
        <v>0</v>
      </c>
      <c r="AG8224" t="n">
        <v>0</v>
      </c>
      <c r="AH8224" t="n">
        <v>0</v>
      </c>
      <c r="AI8224" t="n">
        <v>0</v>
      </c>
    </row>
    <row r="8225">
      <c r="A8225" t="inlineStr">
        <is>
          <t>12월</t>
        </is>
      </c>
      <c r="B8225" t="inlineStr">
        <is>
          <t>52주차</t>
        </is>
      </c>
      <c r="C8225" t="e">
        <v>#N/A</v>
      </c>
      <c r="K8225" t="n">
        <v>0</v>
      </c>
      <c r="L8225" t="n">
        <v>0</v>
      </c>
      <c r="M8225" t="n">
        <v>0</v>
      </c>
      <c r="AC8225" t="n">
        <v>0</v>
      </c>
      <c r="AD8225" t="n">
        <v>0</v>
      </c>
      <c r="AE8225" t="n">
        <v>0</v>
      </c>
      <c r="AF8225" t="n">
        <v>0</v>
      </c>
      <c r="AG8225" t="n">
        <v>0</v>
      </c>
      <c r="AH8225" t="n">
        <v>0</v>
      </c>
      <c r="AI8225" t="n">
        <v>0</v>
      </c>
    </row>
    <row r="8226">
      <c r="A8226" t="inlineStr">
        <is>
          <t>12월</t>
        </is>
      </c>
      <c r="B8226" t="inlineStr">
        <is>
          <t>52주차</t>
        </is>
      </c>
      <c r="C8226" t="e">
        <v>#N/A</v>
      </c>
      <c r="K8226" t="n">
        <v>0</v>
      </c>
      <c r="L8226" t="n">
        <v>0</v>
      </c>
      <c r="M8226" t="n">
        <v>0</v>
      </c>
      <c r="AC8226" t="n">
        <v>0</v>
      </c>
      <c r="AD8226" t="n">
        <v>0</v>
      </c>
      <c r="AE8226" t="n">
        <v>0</v>
      </c>
      <c r="AF8226" t="n">
        <v>0</v>
      </c>
      <c r="AG8226" t="n">
        <v>0</v>
      </c>
      <c r="AH8226" t="n">
        <v>0</v>
      </c>
      <c r="AI8226" t="n">
        <v>0</v>
      </c>
    </row>
    <row r="8227">
      <c r="A8227" t="inlineStr">
        <is>
          <t>12월</t>
        </is>
      </c>
      <c r="B8227" t="inlineStr">
        <is>
          <t>52주차</t>
        </is>
      </c>
      <c r="C8227" t="e">
        <v>#N/A</v>
      </c>
      <c r="K8227" t="n">
        <v>0</v>
      </c>
      <c r="L8227" t="n">
        <v>0</v>
      </c>
      <c r="M8227" t="n">
        <v>0</v>
      </c>
      <c r="AC8227" t="n">
        <v>0</v>
      </c>
      <c r="AD8227" t="n">
        <v>0</v>
      </c>
      <c r="AE8227" t="n">
        <v>0</v>
      </c>
      <c r="AF8227" t="n">
        <v>0</v>
      </c>
      <c r="AG8227" t="n">
        <v>0</v>
      </c>
      <c r="AH8227" t="n">
        <v>0</v>
      </c>
    </row>
    <row r="8228">
      <c r="A8228" t="inlineStr">
        <is>
          <t>12월</t>
        </is>
      </c>
      <c r="B8228" t="inlineStr">
        <is>
          <t>52주차</t>
        </is>
      </c>
      <c r="C8228" t="e">
        <v>#N/A</v>
      </c>
      <c r="K8228" t="n">
        <v>0</v>
      </c>
      <c r="L8228" t="n">
        <v>0</v>
      </c>
      <c r="M8228" t="n">
        <v>0</v>
      </c>
      <c r="AC8228" t="n">
        <v>0</v>
      </c>
      <c r="AD8228" t="n">
        <v>0</v>
      </c>
      <c r="AE8228" t="n">
        <v>0</v>
      </c>
      <c r="AF8228" t="n">
        <v>0</v>
      </c>
      <c r="AG8228" t="n">
        <v>0</v>
      </c>
      <c r="AH8228" t="n">
        <v>0</v>
      </c>
    </row>
    <row r="8229">
      <c r="A8229" t="inlineStr">
        <is>
          <t>12월</t>
        </is>
      </c>
      <c r="B8229" t="inlineStr">
        <is>
          <t>52주차</t>
        </is>
      </c>
      <c r="C8229" t="e">
        <v>#N/A</v>
      </c>
      <c r="K8229" t="n">
        <v>0</v>
      </c>
      <c r="L8229" t="n">
        <v>0</v>
      </c>
      <c r="M8229" t="n">
        <v>0</v>
      </c>
      <c r="AC8229" t="n">
        <v>0</v>
      </c>
      <c r="AD8229" t="n">
        <v>0</v>
      </c>
      <c r="AE8229" t="n">
        <v>0</v>
      </c>
      <c r="AF8229" t="n">
        <v>0</v>
      </c>
      <c r="AG8229" t="n">
        <v>0</v>
      </c>
      <c r="AH8229" t="n">
        <v>0</v>
      </c>
      <c r="AI8229" t="n">
        <v>0</v>
      </c>
    </row>
    <row r="8230">
      <c r="A8230" t="inlineStr">
        <is>
          <t>12월</t>
        </is>
      </c>
      <c r="B8230" t="inlineStr">
        <is>
          <t>52주차</t>
        </is>
      </c>
      <c r="C8230" t="e">
        <v>#N/A</v>
      </c>
      <c r="K8230" t="n">
        <v>0</v>
      </c>
      <c r="L8230" t="n">
        <v>0</v>
      </c>
      <c r="M8230" t="n">
        <v>0</v>
      </c>
      <c r="AC8230" t="n">
        <v>0</v>
      </c>
      <c r="AD8230" t="n">
        <v>0</v>
      </c>
      <c r="AE8230" t="n">
        <v>0</v>
      </c>
      <c r="AF8230" t="n">
        <v>0</v>
      </c>
      <c r="AG8230" t="n">
        <v>0</v>
      </c>
      <c r="AH8230" t="n">
        <v>0</v>
      </c>
    </row>
    <row r="8231">
      <c r="A8231" t="inlineStr">
        <is>
          <t>12월</t>
        </is>
      </c>
      <c r="B8231" t="inlineStr">
        <is>
          <t>52주차</t>
        </is>
      </c>
      <c r="C8231" t="e">
        <v>#N/A</v>
      </c>
      <c r="K8231" t="n">
        <v>0</v>
      </c>
      <c r="L8231" t="n">
        <v>0</v>
      </c>
      <c r="M8231" t="n">
        <v>0</v>
      </c>
      <c r="AC8231" t="n">
        <v>0</v>
      </c>
      <c r="AD8231" t="n">
        <v>0</v>
      </c>
      <c r="AE8231" t="n">
        <v>0</v>
      </c>
      <c r="AF8231" t="n">
        <v>0</v>
      </c>
      <c r="AG8231" t="n">
        <v>0</v>
      </c>
      <c r="AH8231" t="n">
        <v>0</v>
      </c>
    </row>
    <row r="8232">
      <c r="A8232" t="inlineStr">
        <is>
          <t>12월</t>
        </is>
      </c>
      <c r="B8232" t="inlineStr">
        <is>
          <t>52주차</t>
        </is>
      </c>
      <c r="C8232" t="e">
        <v>#N/A</v>
      </c>
      <c r="K8232" t="n">
        <v>0</v>
      </c>
      <c r="L8232" t="n">
        <v>0</v>
      </c>
      <c r="M8232" t="n">
        <v>0</v>
      </c>
      <c r="AC8232" t="n">
        <v>0</v>
      </c>
      <c r="AD8232" t="n">
        <v>0</v>
      </c>
      <c r="AE8232" t="n">
        <v>0</v>
      </c>
      <c r="AF8232" t="n">
        <v>0</v>
      </c>
      <c r="AG8232" t="n">
        <v>0</v>
      </c>
      <c r="AH8232" t="n">
        <v>0</v>
      </c>
    </row>
    <row r="8233">
      <c r="A8233" t="inlineStr">
        <is>
          <t>12월</t>
        </is>
      </c>
      <c r="B8233" t="inlineStr">
        <is>
          <t>52주차</t>
        </is>
      </c>
      <c r="C8233" t="e">
        <v>#N/A</v>
      </c>
      <c r="K8233" t="n">
        <v>0</v>
      </c>
      <c r="L8233" t="n">
        <v>0</v>
      </c>
      <c r="M8233" t="n">
        <v>0</v>
      </c>
      <c r="AC8233" t="n">
        <v>0</v>
      </c>
      <c r="AD8233" t="n">
        <v>0</v>
      </c>
      <c r="AE8233" t="n">
        <v>0</v>
      </c>
      <c r="AF8233" t="n">
        <v>0</v>
      </c>
      <c r="AG8233" t="n">
        <v>0</v>
      </c>
      <c r="AH8233" t="n">
        <v>0</v>
      </c>
      <c r="AI8233" t="n">
        <v>0</v>
      </c>
    </row>
    <row r="8234">
      <c r="A8234" t="inlineStr">
        <is>
          <t>12월</t>
        </is>
      </c>
      <c r="B8234" t="inlineStr">
        <is>
          <t>52주차</t>
        </is>
      </c>
      <c r="C8234" t="e">
        <v>#N/A</v>
      </c>
      <c r="K8234" t="n">
        <v>0</v>
      </c>
      <c r="L8234" t="n">
        <v>0</v>
      </c>
      <c r="M8234" t="n">
        <v>0</v>
      </c>
      <c r="AC8234" t="n">
        <v>0</v>
      </c>
      <c r="AD8234" t="n">
        <v>0</v>
      </c>
      <c r="AE8234" t="n">
        <v>0</v>
      </c>
      <c r="AF8234" t="n">
        <v>0</v>
      </c>
      <c r="AG8234" t="n">
        <v>0</v>
      </c>
      <c r="AH8234" t="n">
        <v>0</v>
      </c>
    </row>
    <row r="8235">
      <c r="A8235" t="inlineStr">
        <is>
          <t>12월</t>
        </is>
      </c>
      <c r="B8235" t="inlineStr">
        <is>
          <t>52주차</t>
        </is>
      </c>
      <c r="C8235" t="e">
        <v>#N/A</v>
      </c>
      <c r="K8235" t="n">
        <v>0</v>
      </c>
      <c r="L8235" t="n">
        <v>0</v>
      </c>
      <c r="M8235" t="n">
        <v>0</v>
      </c>
      <c r="AC8235" t="n">
        <v>0</v>
      </c>
      <c r="AD8235" t="n">
        <v>0</v>
      </c>
      <c r="AE8235" t="n">
        <v>0</v>
      </c>
      <c r="AF8235" t="n">
        <v>0</v>
      </c>
      <c r="AG8235" t="n">
        <v>0</v>
      </c>
      <c r="AH8235" t="n">
        <v>0</v>
      </c>
    </row>
    <row r="8236">
      <c r="A8236" t="inlineStr">
        <is>
          <t>12월</t>
        </is>
      </c>
      <c r="B8236" t="inlineStr">
        <is>
          <t>52주차</t>
        </is>
      </c>
      <c r="C8236" t="e">
        <v>#N/A</v>
      </c>
      <c r="K8236" t="n">
        <v>0</v>
      </c>
      <c r="L8236" t="n">
        <v>0</v>
      </c>
      <c r="M8236" t="n">
        <v>0</v>
      </c>
      <c r="AC8236" t="n">
        <v>0</v>
      </c>
      <c r="AD8236" t="n">
        <v>0</v>
      </c>
      <c r="AE8236" t="n">
        <v>0</v>
      </c>
      <c r="AF8236" t="n">
        <v>0</v>
      </c>
      <c r="AG8236" t="n">
        <v>0</v>
      </c>
      <c r="AH8236" t="n">
        <v>0</v>
      </c>
      <c r="AI8236" t="n">
        <v>0</v>
      </c>
    </row>
    <row r="8237">
      <c r="A8237" t="inlineStr">
        <is>
          <t>12월</t>
        </is>
      </c>
      <c r="B8237" t="inlineStr">
        <is>
          <t>52주차</t>
        </is>
      </c>
      <c r="C8237" t="e">
        <v>#N/A</v>
      </c>
      <c r="K8237" t="n">
        <v>0</v>
      </c>
      <c r="L8237" t="n">
        <v>0</v>
      </c>
      <c r="M8237" t="n">
        <v>0</v>
      </c>
      <c r="AC8237" t="n">
        <v>0</v>
      </c>
      <c r="AD8237" t="n">
        <v>0</v>
      </c>
      <c r="AE8237" t="n">
        <v>0</v>
      </c>
      <c r="AF8237" t="n">
        <v>0</v>
      </c>
      <c r="AG8237" t="n">
        <v>0</v>
      </c>
      <c r="AH8237" t="n">
        <v>0</v>
      </c>
      <c r="AI8237" t="n">
        <v>0</v>
      </c>
    </row>
    <row r="8238">
      <c r="A8238" t="inlineStr">
        <is>
          <t>12월</t>
        </is>
      </c>
      <c r="B8238" t="inlineStr">
        <is>
          <t>52주차</t>
        </is>
      </c>
      <c r="C8238" t="e">
        <v>#N/A</v>
      </c>
      <c r="K8238" t="n">
        <v>0</v>
      </c>
      <c r="L8238" t="n">
        <v>0</v>
      </c>
      <c r="M8238" t="n">
        <v>0</v>
      </c>
      <c r="AC8238" t="n">
        <v>0</v>
      </c>
      <c r="AD8238" t="n">
        <v>0</v>
      </c>
      <c r="AE8238" t="n">
        <v>0</v>
      </c>
      <c r="AF8238" t="n">
        <v>0</v>
      </c>
      <c r="AG8238" t="n">
        <v>0</v>
      </c>
      <c r="AH8238" t="n">
        <v>0</v>
      </c>
      <c r="AI8238" t="n">
        <v>0</v>
      </c>
    </row>
    <row r="8239">
      <c r="A8239" t="inlineStr">
        <is>
          <t>12월</t>
        </is>
      </c>
      <c r="B8239" t="inlineStr">
        <is>
          <t>52주차</t>
        </is>
      </c>
      <c r="C8239" t="e">
        <v>#N/A</v>
      </c>
      <c r="K8239" t="n">
        <v>0</v>
      </c>
      <c r="L8239" t="n">
        <v>0</v>
      </c>
      <c r="M8239" t="n">
        <v>0</v>
      </c>
      <c r="AC8239" t="n">
        <v>0</v>
      </c>
      <c r="AD8239" t="n">
        <v>0</v>
      </c>
      <c r="AE8239" t="n">
        <v>0</v>
      </c>
      <c r="AF8239" t="n">
        <v>0</v>
      </c>
      <c r="AG8239" t="n">
        <v>0</v>
      </c>
      <c r="AH8239" t="n">
        <v>0</v>
      </c>
      <c r="AI8239" t="n">
        <v>0</v>
      </c>
    </row>
    <row r="8240">
      <c r="A8240" t="inlineStr">
        <is>
          <t>12월</t>
        </is>
      </c>
      <c r="B8240" t="inlineStr">
        <is>
          <t>52주차</t>
        </is>
      </c>
      <c r="C8240" t="e">
        <v>#N/A</v>
      </c>
      <c r="K8240" t="n">
        <v>0</v>
      </c>
      <c r="L8240" t="n">
        <v>0</v>
      </c>
      <c r="M8240" t="n">
        <v>0</v>
      </c>
      <c r="AC8240" t="n">
        <v>0</v>
      </c>
      <c r="AD8240" t="n">
        <v>0</v>
      </c>
      <c r="AE8240" t="n">
        <v>0</v>
      </c>
      <c r="AF8240" t="n">
        <v>0</v>
      </c>
      <c r="AG8240" t="n">
        <v>0</v>
      </c>
      <c r="AH8240" t="n">
        <v>0</v>
      </c>
      <c r="AI8240" t="n">
        <v>0</v>
      </c>
    </row>
    <row r="8241">
      <c r="A8241" t="inlineStr">
        <is>
          <t>12월</t>
        </is>
      </c>
      <c r="B8241" t="inlineStr">
        <is>
          <t>52주차</t>
        </is>
      </c>
      <c r="C8241" t="e">
        <v>#N/A</v>
      </c>
      <c r="K8241" t="n">
        <v>0</v>
      </c>
      <c r="L8241" t="n">
        <v>0</v>
      </c>
      <c r="M8241" t="n">
        <v>0</v>
      </c>
      <c r="AC8241" t="n">
        <v>0</v>
      </c>
      <c r="AD8241" t="n">
        <v>0</v>
      </c>
      <c r="AE8241" t="n">
        <v>0</v>
      </c>
      <c r="AF8241" t="n">
        <v>0</v>
      </c>
      <c r="AG8241" t="n">
        <v>0</v>
      </c>
      <c r="AH8241" t="n">
        <v>0</v>
      </c>
      <c r="AI8241" t="n">
        <v>0</v>
      </c>
    </row>
    <row r="8242">
      <c r="A8242" t="inlineStr">
        <is>
          <t>12월</t>
        </is>
      </c>
      <c r="B8242" t="inlineStr">
        <is>
          <t>52주차</t>
        </is>
      </c>
      <c r="C8242" t="e">
        <v>#N/A</v>
      </c>
      <c r="K8242" t="n">
        <v>0</v>
      </c>
      <c r="L8242" t="n">
        <v>0</v>
      </c>
      <c r="M8242" t="n">
        <v>0</v>
      </c>
      <c r="AC8242" t="n">
        <v>0</v>
      </c>
      <c r="AD8242" t="n">
        <v>0</v>
      </c>
      <c r="AE8242" t="n">
        <v>0</v>
      </c>
      <c r="AF8242" t="n">
        <v>0</v>
      </c>
      <c r="AG8242" t="n">
        <v>0</v>
      </c>
      <c r="AH8242" t="n">
        <v>0</v>
      </c>
    </row>
    <row r="8243">
      <c r="A8243" t="inlineStr">
        <is>
          <t>12월</t>
        </is>
      </c>
      <c r="B8243" t="inlineStr">
        <is>
          <t>52주차</t>
        </is>
      </c>
      <c r="C8243" t="e">
        <v>#N/A</v>
      </c>
      <c r="K8243" t="n">
        <v>0</v>
      </c>
      <c r="L8243" t="n">
        <v>0</v>
      </c>
      <c r="M8243" t="n">
        <v>0</v>
      </c>
      <c r="AC8243" t="n">
        <v>0</v>
      </c>
      <c r="AD8243" t="n">
        <v>0</v>
      </c>
      <c r="AE8243" t="n">
        <v>0</v>
      </c>
      <c r="AF8243" t="n">
        <v>0</v>
      </c>
      <c r="AG8243" t="n">
        <v>0</v>
      </c>
      <c r="AH8243" t="n">
        <v>0</v>
      </c>
    </row>
    <row r="8244">
      <c r="A8244" t="inlineStr">
        <is>
          <t>12월</t>
        </is>
      </c>
      <c r="B8244" t="inlineStr">
        <is>
          <t>52주차</t>
        </is>
      </c>
      <c r="C8244" t="e">
        <v>#N/A</v>
      </c>
      <c r="K8244" t="n">
        <v>0</v>
      </c>
      <c r="L8244" t="n">
        <v>0</v>
      </c>
      <c r="M8244" t="n">
        <v>0</v>
      </c>
      <c r="AC8244" t="n">
        <v>0</v>
      </c>
      <c r="AD8244" t="n">
        <v>0</v>
      </c>
      <c r="AE8244" t="n">
        <v>0</v>
      </c>
      <c r="AF8244" t="n">
        <v>0</v>
      </c>
      <c r="AG8244" t="n">
        <v>0</v>
      </c>
      <c r="AH8244" t="n">
        <v>0</v>
      </c>
    </row>
    <row r="8245">
      <c r="A8245" t="inlineStr">
        <is>
          <t>12월</t>
        </is>
      </c>
      <c r="B8245" t="inlineStr">
        <is>
          <t>52주차</t>
        </is>
      </c>
      <c r="C8245" t="e">
        <v>#N/A</v>
      </c>
      <c r="K8245" t="n">
        <v>0</v>
      </c>
      <c r="L8245" t="n">
        <v>0</v>
      </c>
      <c r="M8245" t="n">
        <v>0</v>
      </c>
      <c r="AC8245" t="n">
        <v>0</v>
      </c>
      <c r="AD8245" t="n">
        <v>0</v>
      </c>
      <c r="AE8245" t="n">
        <v>0</v>
      </c>
      <c r="AF8245" t="n">
        <v>0</v>
      </c>
      <c r="AG8245" t="n">
        <v>0</v>
      </c>
      <c r="AH8245" t="n">
        <v>0</v>
      </c>
    </row>
    <row r="8246">
      <c r="A8246" t="inlineStr">
        <is>
          <t>12월</t>
        </is>
      </c>
      <c r="B8246" t="inlineStr">
        <is>
          <t>52주차</t>
        </is>
      </c>
      <c r="C8246" t="e">
        <v>#N/A</v>
      </c>
      <c r="K8246" t="n">
        <v>0</v>
      </c>
      <c r="L8246" t="n">
        <v>0</v>
      </c>
      <c r="M8246" t="n">
        <v>0</v>
      </c>
      <c r="AC8246" t="n">
        <v>0</v>
      </c>
      <c r="AD8246" t="n">
        <v>0</v>
      </c>
      <c r="AE8246" t="n">
        <v>0</v>
      </c>
      <c r="AF8246" t="n">
        <v>0</v>
      </c>
      <c r="AG8246" t="n">
        <v>0</v>
      </c>
      <c r="AH8246" t="n">
        <v>0</v>
      </c>
    </row>
    <row r="8247">
      <c r="A8247" t="inlineStr">
        <is>
          <t>12월</t>
        </is>
      </c>
      <c r="B8247" t="inlineStr">
        <is>
          <t>52주차</t>
        </is>
      </c>
      <c r="C8247" t="e">
        <v>#N/A</v>
      </c>
      <c r="K8247" t="n">
        <v>0</v>
      </c>
      <c r="L8247" t="n">
        <v>0</v>
      </c>
      <c r="M8247" t="n">
        <v>0</v>
      </c>
      <c r="AC8247" t="n">
        <v>0</v>
      </c>
      <c r="AD8247" t="n">
        <v>0</v>
      </c>
      <c r="AE8247" t="n">
        <v>0</v>
      </c>
      <c r="AF8247" t="n">
        <v>0</v>
      </c>
      <c r="AG8247" t="n">
        <v>0</v>
      </c>
      <c r="AH8247" t="n">
        <v>0</v>
      </c>
      <c r="AI8247" t="n">
        <v>0</v>
      </c>
    </row>
    <row r="8248">
      <c r="A8248" t="inlineStr">
        <is>
          <t>12월</t>
        </is>
      </c>
      <c r="B8248" t="inlineStr">
        <is>
          <t>52주차</t>
        </is>
      </c>
      <c r="C8248" t="e">
        <v>#N/A</v>
      </c>
      <c r="K8248" t="n">
        <v>0</v>
      </c>
      <c r="L8248" t="n">
        <v>0</v>
      </c>
      <c r="M8248" t="n">
        <v>0</v>
      </c>
      <c r="AC8248" t="n">
        <v>0</v>
      </c>
      <c r="AD8248" t="n">
        <v>0</v>
      </c>
      <c r="AE8248" t="n">
        <v>0</v>
      </c>
      <c r="AF8248" t="n">
        <v>0</v>
      </c>
      <c r="AG8248" t="n">
        <v>0</v>
      </c>
      <c r="AH8248" t="n">
        <v>0</v>
      </c>
    </row>
    <row r="8249">
      <c r="A8249" t="inlineStr">
        <is>
          <t>12월</t>
        </is>
      </c>
      <c r="B8249" t="inlineStr">
        <is>
          <t>52주차</t>
        </is>
      </c>
      <c r="C8249" t="e">
        <v>#N/A</v>
      </c>
      <c r="K8249" t="n">
        <v>0</v>
      </c>
      <c r="L8249" t="n">
        <v>0</v>
      </c>
      <c r="M8249" t="n">
        <v>0</v>
      </c>
      <c r="AC8249" t="n">
        <v>0</v>
      </c>
      <c r="AD8249" t="n">
        <v>0</v>
      </c>
      <c r="AE8249" t="n">
        <v>0</v>
      </c>
      <c r="AF8249" t="n">
        <v>0</v>
      </c>
      <c r="AG8249" t="n">
        <v>0</v>
      </c>
      <c r="AH8249" t="n">
        <v>0</v>
      </c>
      <c r="AI8249" t="n">
        <v>0</v>
      </c>
    </row>
    <row r="8250">
      <c r="A8250" t="inlineStr">
        <is>
          <t>12월</t>
        </is>
      </c>
      <c r="B8250" t="inlineStr">
        <is>
          <t>52주차</t>
        </is>
      </c>
      <c r="C8250" t="e">
        <v>#N/A</v>
      </c>
      <c r="K8250" t="n">
        <v>0</v>
      </c>
      <c r="L8250" t="n">
        <v>0</v>
      </c>
      <c r="M8250" t="n">
        <v>0</v>
      </c>
      <c r="AC8250" t="n">
        <v>0</v>
      </c>
      <c r="AD8250" t="n">
        <v>0</v>
      </c>
      <c r="AE8250" t="n">
        <v>0</v>
      </c>
      <c r="AF8250" t="n">
        <v>0</v>
      </c>
      <c r="AG8250" t="n">
        <v>0</v>
      </c>
      <c r="AH8250" t="n">
        <v>0</v>
      </c>
      <c r="AI8250" t="n">
        <v>0</v>
      </c>
    </row>
    <row r="8251">
      <c r="A8251" t="inlineStr">
        <is>
          <t>12월</t>
        </is>
      </c>
      <c r="B8251" t="inlineStr">
        <is>
          <t>52주차</t>
        </is>
      </c>
      <c r="C8251" t="e">
        <v>#N/A</v>
      </c>
      <c r="K8251" t="n">
        <v>0</v>
      </c>
      <c r="L8251" t="n">
        <v>0</v>
      </c>
      <c r="M8251" t="n">
        <v>0</v>
      </c>
      <c r="AC8251" t="n">
        <v>0</v>
      </c>
      <c r="AD8251" t="n">
        <v>0</v>
      </c>
      <c r="AE8251" t="n">
        <v>0</v>
      </c>
      <c r="AF8251" t="n">
        <v>0</v>
      </c>
      <c r="AG8251" t="n">
        <v>0</v>
      </c>
      <c r="AH8251" t="n">
        <v>0</v>
      </c>
      <c r="AI8251" t="n">
        <v>0</v>
      </c>
    </row>
    <row r="8252">
      <c r="A8252" t="inlineStr">
        <is>
          <t>12월</t>
        </is>
      </c>
      <c r="B8252" t="inlineStr">
        <is>
          <t>52주차</t>
        </is>
      </c>
      <c r="C8252" t="e">
        <v>#N/A</v>
      </c>
      <c r="K8252" t="n">
        <v>0</v>
      </c>
      <c r="L8252" t="n">
        <v>0</v>
      </c>
      <c r="M8252" t="n">
        <v>0</v>
      </c>
      <c r="AC8252" t="n">
        <v>0</v>
      </c>
      <c r="AD8252" t="n">
        <v>0</v>
      </c>
      <c r="AE8252" t="n">
        <v>0</v>
      </c>
      <c r="AF8252" t="n">
        <v>0</v>
      </c>
      <c r="AG8252" t="n">
        <v>0</v>
      </c>
      <c r="AH8252" t="n">
        <v>0</v>
      </c>
      <c r="AI8252" t="n">
        <v>0</v>
      </c>
    </row>
    <row r="8253">
      <c r="A8253" t="inlineStr">
        <is>
          <t>12월</t>
        </is>
      </c>
      <c r="B8253" t="inlineStr">
        <is>
          <t>52주차</t>
        </is>
      </c>
      <c r="C8253" t="e">
        <v>#N/A</v>
      </c>
      <c r="K8253" t="n">
        <v>0</v>
      </c>
      <c r="L8253" t="n">
        <v>0</v>
      </c>
      <c r="M8253" t="n">
        <v>0</v>
      </c>
      <c r="AC8253" t="n">
        <v>0</v>
      </c>
      <c r="AD8253" t="n">
        <v>0</v>
      </c>
      <c r="AE8253" t="n">
        <v>0</v>
      </c>
      <c r="AF8253" t="n">
        <v>0</v>
      </c>
      <c r="AG8253" t="n">
        <v>0</v>
      </c>
      <c r="AH8253" t="n">
        <v>0</v>
      </c>
      <c r="AI8253" t="n">
        <v>0</v>
      </c>
    </row>
    <row r="8254">
      <c r="A8254" t="inlineStr">
        <is>
          <t>12월</t>
        </is>
      </c>
      <c r="B8254" t="inlineStr">
        <is>
          <t>52주차</t>
        </is>
      </c>
      <c r="C8254" t="e">
        <v>#N/A</v>
      </c>
      <c r="K8254" t="n">
        <v>0</v>
      </c>
      <c r="L8254" t="n">
        <v>0</v>
      </c>
      <c r="M8254" t="n">
        <v>0</v>
      </c>
      <c r="AC8254" t="n">
        <v>0</v>
      </c>
      <c r="AD8254" t="n">
        <v>0</v>
      </c>
      <c r="AE8254" t="n">
        <v>0</v>
      </c>
      <c r="AF8254" t="n">
        <v>0</v>
      </c>
      <c r="AG8254" t="n">
        <v>0</v>
      </c>
      <c r="AH8254" t="n">
        <v>0</v>
      </c>
      <c r="AI8254" t="n">
        <v>0</v>
      </c>
    </row>
    <row r="8255">
      <c r="A8255" t="inlineStr">
        <is>
          <t>12월</t>
        </is>
      </c>
      <c r="B8255" t="inlineStr">
        <is>
          <t>52주차</t>
        </is>
      </c>
      <c r="C8255" t="e">
        <v>#N/A</v>
      </c>
      <c r="K8255" t="n">
        <v>0</v>
      </c>
      <c r="L8255" t="n">
        <v>0</v>
      </c>
      <c r="M8255" t="n">
        <v>0</v>
      </c>
      <c r="AC8255" t="n">
        <v>0</v>
      </c>
      <c r="AD8255" t="n">
        <v>0</v>
      </c>
      <c r="AE8255" t="n">
        <v>0</v>
      </c>
      <c r="AF8255" t="n">
        <v>0</v>
      </c>
      <c r="AG8255" t="n">
        <v>0</v>
      </c>
      <c r="AH8255" t="n">
        <v>0</v>
      </c>
      <c r="AI8255" t="n">
        <v>0</v>
      </c>
    </row>
    <row r="8256">
      <c r="A8256" t="inlineStr">
        <is>
          <t>12월</t>
        </is>
      </c>
      <c r="B8256" t="inlineStr">
        <is>
          <t>52주차</t>
        </is>
      </c>
      <c r="C8256" t="e">
        <v>#N/A</v>
      </c>
      <c r="K8256" t="n">
        <v>0</v>
      </c>
      <c r="L8256" t="n">
        <v>0</v>
      </c>
      <c r="M8256" t="n">
        <v>0</v>
      </c>
      <c r="AC8256" t="n">
        <v>0</v>
      </c>
      <c r="AD8256" t="n">
        <v>0</v>
      </c>
      <c r="AE8256" t="n">
        <v>0</v>
      </c>
      <c r="AF8256" t="n">
        <v>0</v>
      </c>
      <c r="AG8256" t="n">
        <v>0</v>
      </c>
      <c r="AH8256" t="n">
        <v>0</v>
      </c>
      <c r="AI8256" t="n">
        <v>0</v>
      </c>
    </row>
    <row r="8257">
      <c r="A8257" t="inlineStr">
        <is>
          <t>12월</t>
        </is>
      </c>
      <c r="B8257" t="inlineStr">
        <is>
          <t>52주차</t>
        </is>
      </c>
      <c r="C8257" t="e">
        <v>#N/A</v>
      </c>
      <c r="K8257" t="n">
        <v>0</v>
      </c>
      <c r="L8257" t="n">
        <v>0</v>
      </c>
      <c r="M8257" t="n">
        <v>0</v>
      </c>
      <c r="AC8257" t="n">
        <v>0</v>
      </c>
      <c r="AD8257" t="n">
        <v>0</v>
      </c>
      <c r="AE8257" t="n">
        <v>0</v>
      </c>
      <c r="AF8257" t="n">
        <v>0</v>
      </c>
      <c r="AG8257" t="n">
        <v>0</v>
      </c>
      <c r="AH8257" t="n">
        <v>0</v>
      </c>
      <c r="AI8257" t="n">
        <v>0</v>
      </c>
    </row>
    <row r="8258">
      <c r="A8258" t="inlineStr">
        <is>
          <t>12월</t>
        </is>
      </c>
      <c r="B8258" t="inlineStr">
        <is>
          <t>52주차</t>
        </is>
      </c>
      <c r="C8258" t="e">
        <v>#N/A</v>
      </c>
      <c r="K8258" t="n">
        <v>0</v>
      </c>
      <c r="L8258" t="n">
        <v>0</v>
      </c>
      <c r="M8258" t="n">
        <v>0</v>
      </c>
      <c r="AC8258" t="n">
        <v>0</v>
      </c>
      <c r="AD8258" t="n">
        <v>0</v>
      </c>
      <c r="AE8258" t="n">
        <v>0</v>
      </c>
      <c r="AF8258" t="n">
        <v>0</v>
      </c>
      <c r="AG8258" t="n">
        <v>0</v>
      </c>
      <c r="AH8258" t="n">
        <v>0</v>
      </c>
      <c r="AI8258" t="n">
        <v>0</v>
      </c>
    </row>
    <row r="8259">
      <c r="A8259" t="inlineStr">
        <is>
          <t>12월</t>
        </is>
      </c>
      <c r="B8259" t="inlineStr">
        <is>
          <t>52주차</t>
        </is>
      </c>
      <c r="C8259" t="e">
        <v>#N/A</v>
      </c>
      <c r="K8259" t="n">
        <v>0</v>
      </c>
      <c r="L8259" t="n">
        <v>0</v>
      </c>
      <c r="M8259" t="n">
        <v>0</v>
      </c>
      <c r="AC8259" t="n">
        <v>0</v>
      </c>
      <c r="AD8259" t="n">
        <v>0</v>
      </c>
      <c r="AE8259" t="n">
        <v>0</v>
      </c>
      <c r="AF8259" t="n">
        <v>0</v>
      </c>
      <c r="AG8259" t="n">
        <v>0</v>
      </c>
      <c r="AH8259" t="n">
        <v>0</v>
      </c>
      <c r="AI8259" t="n">
        <v>0</v>
      </c>
    </row>
    <row r="8260">
      <c r="A8260" t="inlineStr">
        <is>
          <t>12월</t>
        </is>
      </c>
      <c r="B8260" t="inlineStr">
        <is>
          <t>52주차</t>
        </is>
      </c>
      <c r="C8260" t="e">
        <v>#N/A</v>
      </c>
      <c r="K8260" t="n">
        <v>0</v>
      </c>
      <c r="L8260" t="n">
        <v>0</v>
      </c>
      <c r="M8260" t="n">
        <v>0</v>
      </c>
      <c r="AC8260" t="n">
        <v>0</v>
      </c>
      <c r="AD8260" t="n">
        <v>0</v>
      </c>
      <c r="AE8260" t="n">
        <v>0</v>
      </c>
      <c r="AF8260" t="n">
        <v>0</v>
      </c>
      <c r="AG8260" t="n">
        <v>0</v>
      </c>
      <c r="AH8260" t="n">
        <v>0</v>
      </c>
      <c r="AI8260" t="n">
        <v>0</v>
      </c>
    </row>
    <row r="8261">
      <c r="A8261" t="inlineStr">
        <is>
          <t>12월</t>
        </is>
      </c>
      <c r="B8261" t="inlineStr">
        <is>
          <t>52주차</t>
        </is>
      </c>
      <c r="C8261" t="e">
        <v>#N/A</v>
      </c>
      <c r="K8261" t="n">
        <v>0</v>
      </c>
      <c r="L8261" t="n">
        <v>0</v>
      </c>
      <c r="M8261" t="n">
        <v>0</v>
      </c>
      <c r="AC8261" t="n">
        <v>0</v>
      </c>
      <c r="AD8261" t="n">
        <v>0</v>
      </c>
      <c r="AE8261" t="n">
        <v>0</v>
      </c>
      <c r="AF8261" t="n">
        <v>0</v>
      </c>
      <c r="AG8261" t="n">
        <v>0</v>
      </c>
      <c r="AH8261" t="n">
        <v>0</v>
      </c>
      <c r="AI8261" t="n">
        <v>0</v>
      </c>
    </row>
    <row r="8262">
      <c r="A8262" t="inlineStr">
        <is>
          <t>12월</t>
        </is>
      </c>
      <c r="B8262" t="inlineStr">
        <is>
          <t>52주차</t>
        </is>
      </c>
      <c r="C8262" t="e">
        <v>#N/A</v>
      </c>
      <c r="K8262" t="n">
        <v>0</v>
      </c>
      <c r="L8262" t="n">
        <v>0</v>
      </c>
      <c r="M8262" t="n">
        <v>0</v>
      </c>
      <c r="AC8262" t="n">
        <v>0</v>
      </c>
      <c r="AD8262" t="n">
        <v>0</v>
      </c>
      <c r="AE8262" t="n">
        <v>0</v>
      </c>
      <c r="AF8262" t="n">
        <v>0</v>
      </c>
      <c r="AG8262" t="n">
        <v>0</v>
      </c>
      <c r="AH8262" t="n">
        <v>0</v>
      </c>
      <c r="AI8262" t="n">
        <v>0</v>
      </c>
    </row>
    <row r="8263">
      <c r="A8263" t="inlineStr">
        <is>
          <t>12월</t>
        </is>
      </c>
      <c r="B8263" t="inlineStr">
        <is>
          <t>52주차</t>
        </is>
      </c>
      <c r="C8263" t="e">
        <v>#N/A</v>
      </c>
      <c r="K8263" t="n">
        <v>0</v>
      </c>
      <c r="L8263" t="n">
        <v>0</v>
      </c>
      <c r="M8263" t="n">
        <v>0</v>
      </c>
      <c r="AC8263" t="n">
        <v>0</v>
      </c>
      <c r="AD8263" t="n">
        <v>0</v>
      </c>
      <c r="AE8263" t="n">
        <v>0</v>
      </c>
      <c r="AF8263" t="n">
        <v>0</v>
      </c>
      <c r="AG8263" t="n">
        <v>0</v>
      </c>
      <c r="AH8263" t="n">
        <v>0</v>
      </c>
      <c r="AI8263" t="n">
        <v>0</v>
      </c>
    </row>
    <row r="8264">
      <c r="A8264" t="inlineStr">
        <is>
          <t>12월</t>
        </is>
      </c>
      <c r="B8264" t="inlineStr">
        <is>
          <t>52주차</t>
        </is>
      </c>
      <c r="C8264" t="e">
        <v>#N/A</v>
      </c>
      <c r="K8264" t="n">
        <v>0</v>
      </c>
      <c r="L8264" t="n">
        <v>0</v>
      </c>
      <c r="M8264" t="n">
        <v>0</v>
      </c>
      <c r="AC8264" t="n">
        <v>0</v>
      </c>
      <c r="AD8264" t="n">
        <v>0</v>
      </c>
      <c r="AE8264" t="n">
        <v>0</v>
      </c>
      <c r="AF8264" t="n">
        <v>0</v>
      </c>
      <c r="AG8264" t="n">
        <v>0</v>
      </c>
      <c r="AH8264" t="n">
        <v>0</v>
      </c>
      <c r="AI8264" t="n">
        <v>0</v>
      </c>
    </row>
    <row r="8265">
      <c r="A8265" t="inlineStr">
        <is>
          <t>12월</t>
        </is>
      </c>
      <c r="B8265" t="inlineStr">
        <is>
          <t>52주차</t>
        </is>
      </c>
      <c r="C8265" t="e">
        <v>#N/A</v>
      </c>
      <c r="K8265" t="n">
        <v>0</v>
      </c>
      <c r="L8265" t="n">
        <v>0</v>
      </c>
      <c r="M8265" t="n">
        <v>0</v>
      </c>
      <c r="AC8265" t="n">
        <v>0</v>
      </c>
      <c r="AD8265" t="n">
        <v>0</v>
      </c>
      <c r="AE8265" t="n">
        <v>0</v>
      </c>
      <c r="AF8265" t="n">
        <v>0</v>
      </c>
      <c r="AG8265" t="n">
        <v>0</v>
      </c>
      <c r="AH8265" t="n">
        <v>0</v>
      </c>
      <c r="AI8265" t="n">
        <v>0</v>
      </c>
    </row>
    <row r="8266">
      <c r="A8266" t="inlineStr">
        <is>
          <t>12월</t>
        </is>
      </c>
      <c r="B8266" t="inlineStr">
        <is>
          <t>52주차</t>
        </is>
      </c>
      <c r="C8266" t="e">
        <v>#N/A</v>
      </c>
      <c r="K8266" t="n">
        <v>0</v>
      </c>
      <c r="L8266" t="n">
        <v>0</v>
      </c>
      <c r="M8266" t="n">
        <v>0</v>
      </c>
      <c r="AC8266" t="n">
        <v>0</v>
      </c>
      <c r="AD8266" t="n">
        <v>0</v>
      </c>
      <c r="AE8266" t="n">
        <v>0</v>
      </c>
      <c r="AF8266" t="n">
        <v>0</v>
      </c>
      <c r="AG8266" t="n">
        <v>0</v>
      </c>
      <c r="AH8266" t="n">
        <v>0</v>
      </c>
      <c r="AI8266" t="n">
        <v>0</v>
      </c>
    </row>
    <row r="8267">
      <c r="A8267" t="inlineStr">
        <is>
          <t>12월</t>
        </is>
      </c>
      <c r="B8267" t="inlineStr">
        <is>
          <t>52주차</t>
        </is>
      </c>
      <c r="C8267" t="e">
        <v>#N/A</v>
      </c>
      <c r="K8267" t="n">
        <v>0</v>
      </c>
      <c r="L8267" t="n">
        <v>0</v>
      </c>
      <c r="M8267" t="n">
        <v>0</v>
      </c>
      <c r="AC8267" t="n">
        <v>0</v>
      </c>
      <c r="AD8267" t="n">
        <v>0</v>
      </c>
      <c r="AE8267" t="n">
        <v>0</v>
      </c>
      <c r="AF8267" t="n">
        <v>0</v>
      </c>
      <c r="AG8267" t="n">
        <v>0</v>
      </c>
      <c r="AH8267" t="n">
        <v>0</v>
      </c>
      <c r="AI8267" t="n">
        <v>0</v>
      </c>
    </row>
    <row r="8268">
      <c r="A8268" t="inlineStr">
        <is>
          <t>12월</t>
        </is>
      </c>
      <c r="B8268" t="inlineStr">
        <is>
          <t>52주차</t>
        </is>
      </c>
      <c r="C8268" t="e">
        <v>#N/A</v>
      </c>
      <c r="K8268" t="n">
        <v>0</v>
      </c>
      <c r="L8268" t="n">
        <v>0</v>
      </c>
      <c r="M8268" t="n">
        <v>0</v>
      </c>
      <c r="AC8268" t="n">
        <v>0</v>
      </c>
      <c r="AD8268" t="n">
        <v>0</v>
      </c>
      <c r="AE8268" t="n">
        <v>0</v>
      </c>
      <c r="AF8268" t="n">
        <v>0</v>
      </c>
      <c r="AG8268" t="n">
        <v>0</v>
      </c>
      <c r="AH8268" t="n">
        <v>0</v>
      </c>
      <c r="AI8268" t="n">
        <v>0</v>
      </c>
    </row>
    <row r="8269">
      <c r="A8269" t="inlineStr">
        <is>
          <t>12월</t>
        </is>
      </c>
      <c r="B8269" t="inlineStr">
        <is>
          <t>52주차</t>
        </is>
      </c>
      <c r="C8269" t="e">
        <v>#N/A</v>
      </c>
      <c r="K8269" t="n">
        <v>0</v>
      </c>
      <c r="L8269" t="n">
        <v>0</v>
      </c>
      <c r="M8269" t="n">
        <v>0</v>
      </c>
      <c r="AC8269" t="n">
        <v>0</v>
      </c>
      <c r="AD8269" t="n">
        <v>0</v>
      </c>
      <c r="AE8269" t="n">
        <v>0</v>
      </c>
      <c r="AF8269" t="n">
        <v>0</v>
      </c>
      <c r="AG8269" t="n">
        <v>0</v>
      </c>
      <c r="AH8269" t="n">
        <v>0</v>
      </c>
    </row>
    <row r="8270">
      <c r="A8270" t="inlineStr">
        <is>
          <t>12월</t>
        </is>
      </c>
      <c r="B8270" t="inlineStr">
        <is>
          <t>52주차</t>
        </is>
      </c>
      <c r="C8270" t="e">
        <v>#N/A</v>
      </c>
      <c r="K8270" t="n">
        <v>0</v>
      </c>
      <c r="L8270" t="n">
        <v>0</v>
      </c>
      <c r="M8270" t="n">
        <v>0</v>
      </c>
      <c r="AC8270" t="n">
        <v>0</v>
      </c>
      <c r="AD8270" t="n">
        <v>0</v>
      </c>
      <c r="AE8270" t="n">
        <v>0</v>
      </c>
      <c r="AF8270" t="n">
        <v>0</v>
      </c>
      <c r="AG8270" t="n">
        <v>0</v>
      </c>
      <c r="AH8270" t="n">
        <v>0</v>
      </c>
    </row>
    <row r="8271">
      <c r="A8271" t="inlineStr">
        <is>
          <t>12월</t>
        </is>
      </c>
      <c r="B8271" t="inlineStr">
        <is>
          <t>52주차</t>
        </is>
      </c>
      <c r="C8271" t="e">
        <v>#N/A</v>
      </c>
      <c r="K8271" t="n">
        <v>0</v>
      </c>
      <c r="L8271" t="n">
        <v>0</v>
      </c>
      <c r="M8271" t="n">
        <v>0</v>
      </c>
      <c r="AC8271" t="n">
        <v>0</v>
      </c>
      <c r="AD8271" t="n">
        <v>0</v>
      </c>
      <c r="AE8271" t="n">
        <v>0</v>
      </c>
      <c r="AF8271" t="n">
        <v>0</v>
      </c>
      <c r="AG8271" t="n">
        <v>0</v>
      </c>
      <c r="AH8271" t="n">
        <v>0</v>
      </c>
      <c r="AI8271" t="n">
        <v>0</v>
      </c>
    </row>
    <row r="8272">
      <c r="A8272" t="inlineStr">
        <is>
          <t>12월</t>
        </is>
      </c>
      <c r="B8272" t="inlineStr">
        <is>
          <t>52주차</t>
        </is>
      </c>
      <c r="C8272" t="e">
        <v>#N/A</v>
      </c>
      <c r="K8272" t="n">
        <v>0</v>
      </c>
      <c r="L8272" t="n">
        <v>0</v>
      </c>
      <c r="M8272" t="n">
        <v>0</v>
      </c>
      <c r="AC8272" t="n">
        <v>0</v>
      </c>
      <c r="AD8272" t="n">
        <v>0</v>
      </c>
      <c r="AE8272" t="n">
        <v>0</v>
      </c>
      <c r="AF8272" t="n">
        <v>0</v>
      </c>
      <c r="AG8272" t="n">
        <v>0</v>
      </c>
      <c r="AH8272" t="n">
        <v>0</v>
      </c>
      <c r="AI8272" t="n">
        <v>0</v>
      </c>
    </row>
    <row r="8273">
      <c r="A8273" t="inlineStr">
        <is>
          <t>12월</t>
        </is>
      </c>
      <c r="B8273" t="inlineStr">
        <is>
          <t>52주차</t>
        </is>
      </c>
      <c r="C8273" t="e">
        <v>#N/A</v>
      </c>
      <c r="K8273" t="n">
        <v>0</v>
      </c>
      <c r="L8273" t="n">
        <v>0</v>
      </c>
      <c r="M8273" t="n">
        <v>0</v>
      </c>
      <c r="AC8273" t="n">
        <v>0</v>
      </c>
      <c r="AD8273" t="n">
        <v>0</v>
      </c>
      <c r="AE8273" t="n">
        <v>0</v>
      </c>
      <c r="AF8273" t="n">
        <v>0</v>
      </c>
      <c r="AG8273" t="n">
        <v>0</v>
      </c>
      <c r="AH8273" t="n">
        <v>0</v>
      </c>
      <c r="AI8273" t="n">
        <v>0</v>
      </c>
    </row>
    <row r="8274">
      <c r="A8274" t="inlineStr">
        <is>
          <t>12월</t>
        </is>
      </c>
      <c r="B8274" t="inlineStr">
        <is>
          <t>52주차</t>
        </is>
      </c>
      <c r="C8274" t="e">
        <v>#N/A</v>
      </c>
      <c r="K8274" t="n">
        <v>0</v>
      </c>
      <c r="L8274" t="n">
        <v>0</v>
      </c>
      <c r="M8274" t="n">
        <v>0</v>
      </c>
      <c r="AC8274" t="n">
        <v>0</v>
      </c>
      <c r="AD8274" t="n">
        <v>0</v>
      </c>
      <c r="AE8274" t="n">
        <v>0</v>
      </c>
      <c r="AF8274" t="n">
        <v>0</v>
      </c>
      <c r="AG8274" t="n">
        <v>0</v>
      </c>
      <c r="AH8274" t="n">
        <v>0</v>
      </c>
      <c r="AI8274" t="n">
        <v>0</v>
      </c>
    </row>
    <row r="8275">
      <c r="A8275" t="inlineStr">
        <is>
          <t>12월</t>
        </is>
      </c>
      <c r="B8275" t="inlineStr">
        <is>
          <t>52주차</t>
        </is>
      </c>
      <c r="C8275" t="e">
        <v>#N/A</v>
      </c>
      <c r="K8275" t="n">
        <v>0</v>
      </c>
      <c r="L8275" t="n">
        <v>0</v>
      </c>
      <c r="M8275" t="n">
        <v>0</v>
      </c>
      <c r="AC8275" t="n">
        <v>0</v>
      </c>
      <c r="AD8275" t="n">
        <v>0</v>
      </c>
      <c r="AE8275" t="n">
        <v>0</v>
      </c>
      <c r="AF8275" t="n">
        <v>0</v>
      </c>
      <c r="AG8275" t="n">
        <v>0</v>
      </c>
      <c r="AH8275" t="n">
        <v>0</v>
      </c>
      <c r="AI8275" t="n">
        <v>0</v>
      </c>
    </row>
    <row r="8276">
      <c r="A8276" t="inlineStr">
        <is>
          <t>12월</t>
        </is>
      </c>
      <c r="B8276" t="inlineStr">
        <is>
          <t>52주차</t>
        </is>
      </c>
      <c r="C8276" t="e">
        <v>#N/A</v>
      </c>
      <c r="K8276" t="n">
        <v>0</v>
      </c>
      <c r="L8276" t="n">
        <v>0</v>
      </c>
      <c r="M8276" t="n">
        <v>0</v>
      </c>
      <c r="AC8276" t="n">
        <v>0</v>
      </c>
      <c r="AD8276" t="n">
        <v>0</v>
      </c>
      <c r="AE8276" t="n">
        <v>0</v>
      </c>
      <c r="AF8276" t="n">
        <v>0</v>
      </c>
      <c r="AG8276" t="n">
        <v>0</v>
      </c>
      <c r="AH8276" t="n">
        <v>0</v>
      </c>
      <c r="AI8276" t="n">
        <v>0</v>
      </c>
    </row>
    <row r="8277">
      <c r="A8277" t="inlineStr">
        <is>
          <t>12월</t>
        </is>
      </c>
      <c r="B8277" t="inlineStr">
        <is>
          <t>52주차</t>
        </is>
      </c>
      <c r="C8277" t="e">
        <v>#N/A</v>
      </c>
      <c r="K8277" t="n">
        <v>0</v>
      </c>
      <c r="L8277" t="n">
        <v>0</v>
      </c>
      <c r="M8277" t="n">
        <v>0</v>
      </c>
      <c r="AC8277" t="n">
        <v>0</v>
      </c>
      <c r="AD8277" t="n">
        <v>0</v>
      </c>
      <c r="AE8277" t="n">
        <v>0</v>
      </c>
      <c r="AF8277" t="n">
        <v>0</v>
      </c>
      <c r="AG8277" t="n">
        <v>0</v>
      </c>
      <c r="AH8277" t="n">
        <v>0</v>
      </c>
      <c r="AI8277" t="n">
        <v>0</v>
      </c>
    </row>
    <row r="8278">
      <c r="A8278" t="inlineStr">
        <is>
          <t>12월</t>
        </is>
      </c>
      <c r="B8278" t="inlineStr">
        <is>
          <t>52주차</t>
        </is>
      </c>
      <c r="C8278" t="e">
        <v>#N/A</v>
      </c>
      <c r="K8278" t="n">
        <v>0</v>
      </c>
      <c r="L8278" t="n">
        <v>0</v>
      </c>
      <c r="M8278" t="n">
        <v>0</v>
      </c>
      <c r="AC8278" t="n">
        <v>0</v>
      </c>
      <c r="AD8278" t="n">
        <v>0</v>
      </c>
      <c r="AE8278" t="n">
        <v>0</v>
      </c>
      <c r="AF8278" t="n">
        <v>0</v>
      </c>
      <c r="AG8278" t="n">
        <v>0</v>
      </c>
      <c r="AH8278" t="n">
        <v>0</v>
      </c>
      <c r="AI8278" t="n">
        <v>0</v>
      </c>
    </row>
    <row r="8279">
      <c r="A8279" t="inlineStr">
        <is>
          <t>12월</t>
        </is>
      </c>
      <c r="B8279" t="inlineStr">
        <is>
          <t>52주차</t>
        </is>
      </c>
      <c r="C8279" t="e">
        <v>#N/A</v>
      </c>
      <c r="K8279" t="n">
        <v>0</v>
      </c>
      <c r="L8279" t="n">
        <v>0</v>
      </c>
      <c r="M8279" t="n">
        <v>0</v>
      </c>
      <c r="AC8279" t="n">
        <v>0</v>
      </c>
      <c r="AD8279" t="n">
        <v>0</v>
      </c>
      <c r="AE8279" t="n">
        <v>0</v>
      </c>
      <c r="AF8279" t="n">
        <v>0</v>
      </c>
      <c r="AG8279" t="n">
        <v>0</v>
      </c>
      <c r="AH8279" t="n">
        <v>0</v>
      </c>
      <c r="AI8279" t="n">
        <v>0</v>
      </c>
    </row>
    <row r="8280">
      <c r="A8280" t="inlineStr">
        <is>
          <t>12월</t>
        </is>
      </c>
      <c r="B8280" t="inlineStr">
        <is>
          <t>52주차</t>
        </is>
      </c>
      <c r="C8280" t="e">
        <v>#N/A</v>
      </c>
      <c r="K8280" t="n">
        <v>0</v>
      </c>
      <c r="L8280" t="n">
        <v>0</v>
      </c>
      <c r="M8280" t="n">
        <v>0</v>
      </c>
      <c r="AC8280" t="n">
        <v>0</v>
      </c>
      <c r="AD8280" t="n">
        <v>0</v>
      </c>
      <c r="AE8280" t="n">
        <v>0</v>
      </c>
      <c r="AF8280" t="n">
        <v>0</v>
      </c>
      <c r="AG8280" t="n">
        <v>0</v>
      </c>
      <c r="AH8280" t="n">
        <v>0</v>
      </c>
    </row>
    <row r="8281">
      <c r="A8281" t="inlineStr">
        <is>
          <t>12월</t>
        </is>
      </c>
      <c r="B8281" t="inlineStr">
        <is>
          <t>52주차</t>
        </is>
      </c>
      <c r="C8281" t="e">
        <v>#N/A</v>
      </c>
      <c r="K8281" t="n">
        <v>0</v>
      </c>
      <c r="L8281" t="n">
        <v>0</v>
      </c>
      <c r="M8281" t="n">
        <v>0</v>
      </c>
      <c r="AC8281" t="n">
        <v>0</v>
      </c>
      <c r="AD8281" t="n">
        <v>0</v>
      </c>
      <c r="AE8281" t="n">
        <v>0</v>
      </c>
      <c r="AF8281" t="n">
        <v>0</v>
      </c>
      <c r="AG8281" t="n">
        <v>0</v>
      </c>
      <c r="AH8281" t="n">
        <v>0</v>
      </c>
      <c r="AI8281" t="n">
        <v>0</v>
      </c>
    </row>
    <row r="8282">
      <c r="A8282" t="inlineStr">
        <is>
          <t>12월</t>
        </is>
      </c>
      <c r="B8282" t="inlineStr">
        <is>
          <t>52주차</t>
        </is>
      </c>
      <c r="C8282" t="e">
        <v>#N/A</v>
      </c>
      <c r="K8282" t="n">
        <v>0</v>
      </c>
      <c r="L8282" t="n">
        <v>0</v>
      </c>
      <c r="M8282" t="n">
        <v>0</v>
      </c>
      <c r="AC8282" t="n">
        <v>0</v>
      </c>
      <c r="AD8282" t="n">
        <v>0</v>
      </c>
      <c r="AE8282" t="n">
        <v>0</v>
      </c>
      <c r="AF8282" t="n">
        <v>0</v>
      </c>
      <c r="AG8282" t="n">
        <v>0</v>
      </c>
      <c r="AH8282" t="n">
        <v>0</v>
      </c>
      <c r="AI8282" t="n">
        <v>0</v>
      </c>
    </row>
    <row r="8283">
      <c r="A8283" t="inlineStr">
        <is>
          <t>12월</t>
        </is>
      </c>
      <c r="B8283" t="inlineStr">
        <is>
          <t>52주차</t>
        </is>
      </c>
      <c r="C8283" t="e">
        <v>#N/A</v>
      </c>
      <c r="K8283" t="n">
        <v>0</v>
      </c>
      <c r="L8283" t="n">
        <v>0</v>
      </c>
      <c r="M8283" t="n">
        <v>0</v>
      </c>
      <c r="AC8283" t="n">
        <v>0</v>
      </c>
      <c r="AD8283" t="n">
        <v>0</v>
      </c>
      <c r="AE8283" t="n">
        <v>0</v>
      </c>
      <c r="AF8283" t="n">
        <v>0</v>
      </c>
      <c r="AG8283" t="n">
        <v>0</v>
      </c>
      <c r="AH8283" t="n">
        <v>0</v>
      </c>
      <c r="AI8283" t="n">
        <v>0</v>
      </c>
    </row>
    <row r="8284">
      <c r="A8284" t="inlineStr">
        <is>
          <t>12월</t>
        </is>
      </c>
      <c r="B8284" t="inlineStr">
        <is>
          <t>52주차</t>
        </is>
      </c>
      <c r="C8284" t="e">
        <v>#N/A</v>
      </c>
      <c r="K8284" t="n">
        <v>0</v>
      </c>
      <c r="L8284" t="n">
        <v>0</v>
      </c>
      <c r="M8284" t="n">
        <v>0</v>
      </c>
      <c r="AC8284" t="n">
        <v>0</v>
      </c>
      <c r="AD8284" t="n">
        <v>0</v>
      </c>
      <c r="AE8284" t="n">
        <v>0</v>
      </c>
      <c r="AF8284" t="n">
        <v>0</v>
      </c>
      <c r="AG8284" t="n">
        <v>0</v>
      </c>
      <c r="AH8284" t="n">
        <v>0</v>
      </c>
      <c r="AI8284" t="n">
        <v>0</v>
      </c>
    </row>
    <row r="8285">
      <c r="A8285" t="inlineStr">
        <is>
          <t>12월</t>
        </is>
      </c>
      <c r="B8285" t="inlineStr">
        <is>
          <t>52주차</t>
        </is>
      </c>
      <c r="C8285" t="e">
        <v>#N/A</v>
      </c>
      <c r="K8285" t="n">
        <v>0</v>
      </c>
      <c r="L8285" t="n">
        <v>0</v>
      </c>
      <c r="M8285" t="n">
        <v>0</v>
      </c>
      <c r="AC8285" t="n">
        <v>0</v>
      </c>
      <c r="AD8285" t="n">
        <v>0</v>
      </c>
      <c r="AE8285" t="n">
        <v>0</v>
      </c>
      <c r="AF8285" t="n">
        <v>0</v>
      </c>
      <c r="AG8285" t="n">
        <v>0</v>
      </c>
      <c r="AH8285" t="n">
        <v>0</v>
      </c>
      <c r="AI8285" t="n">
        <v>0</v>
      </c>
    </row>
    <row r="8286">
      <c r="A8286" t="inlineStr">
        <is>
          <t>12월</t>
        </is>
      </c>
      <c r="B8286" t="inlineStr">
        <is>
          <t>52주차</t>
        </is>
      </c>
      <c r="C8286" t="e">
        <v>#N/A</v>
      </c>
      <c r="K8286" t="n">
        <v>0</v>
      </c>
      <c r="L8286" t="n">
        <v>0</v>
      </c>
      <c r="M8286" t="n">
        <v>0</v>
      </c>
      <c r="AC8286" t="n">
        <v>0</v>
      </c>
      <c r="AD8286" t="n">
        <v>0</v>
      </c>
      <c r="AE8286" t="n">
        <v>0</v>
      </c>
      <c r="AF8286" t="n">
        <v>0</v>
      </c>
      <c r="AG8286" t="n">
        <v>0</v>
      </c>
      <c r="AH8286" t="n">
        <v>0</v>
      </c>
      <c r="AI8286" t="n">
        <v>0</v>
      </c>
    </row>
    <row r="8287">
      <c r="A8287" t="inlineStr">
        <is>
          <t>12월</t>
        </is>
      </c>
      <c r="B8287" t="inlineStr">
        <is>
          <t>52주차</t>
        </is>
      </c>
      <c r="C8287" t="e">
        <v>#N/A</v>
      </c>
      <c r="K8287" t="n">
        <v>0</v>
      </c>
      <c r="L8287" t="n">
        <v>0</v>
      </c>
      <c r="M8287" t="n">
        <v>0</v>
      </c>
      <c r="AC8287" t="n">
        <v>0</v>
      </c>
      <c r="AD8287" t="n">
        <v>0</v>
      </c>
      <c r="AE8287" t="n">
        <v>0</v>
      </c>
      <c r="AF8287" t="n">
        <v>0</v>
      </c>
      <c r="AG8287" t="n">
        <v>0</v>
      </c>
      <c r="AH8287" t="n">
        <v>0</v>
      </c>
      <c r="AI8287" t="n">
        <v>0</v>
      </c>
    </row>
    <row r="8288">
      <c r="A8288" t="inlineStr">
        <is>
          <t>12월</t>
        </is>
      </c>
      <c r="B8288" t="inlineStr">
        <is>
          <t>52주차</t>
        </is>
      </c>
      <c r="C8288" t="e">
        <v>#N/A</v>
      </c>
      <c r="K8288" t="n">
        <v>0</v>
      </c>
      <c r="L8288" t="n">
        <v>0</v>
      </c>
      <c r="M8288" t="n">
        <v>0</v>
      </c>
      <c r="AC8288" t="n">
        <v>0</v>
      </c>
      <c r="AD8288" t="n">
        <v>0</v>
      </c>
      <c r="AE8288" t="n">
        <v>0</v>
      </c>
      <c r="AF8288" t="n">
        <v>0</v>
      </c>
      <c r="AG8288" t="n">
        <v>0</v>
      </c>
      <c r="AH8288" t="n">
        <v>0</v>
      </c>
      <c r="AI8288" t="n">
        <v>0</v>
      </c>
    </row>
    <row r="8289">
      <c r="A8289" t="inlineStr">
        <is>
          <t>12월</t>
        </is>
      </c>
      <c r="B8289" t="inlineStr">
        <is>
          <t>52주차</t>
        </is>
      </c>
      <c r="C8289" t="e">
        <v>#N/A</v>
      </c>
      <c r="K8289" t="n">
        <v>0</v>
      </c>
      <c r="L8289" t="n">
        <v>0</v>
      </c>
      <c r="M8289" t="n">
        <v>0</v>
      </c>
      <c r="AC8289" t="n">
        <v>0</v>
      </c>
      <c r="AD8289" t="n">
        <v>0</v>
      </c>
      <c r="AE8289" t="n">
        <v>0</v>
      </c>
      <c r="AF8289" t="n">
        <v>0</v>
      </c>
      <c r="AG8289" t="n">
        <v>0</v>
      </c>
      <c r="AH8289" t="n">
        <v>0</v>
      </c>
      <c r="AI8289" t="n">
        <v>0</v>
      </c>
    </row>
    <row r="8290">
      <c r="A8290" t="inlineStr">
        <is>
          <t>12월</t>
        </is>
      </c>
      <c r="B8290" t="inlineStr">
        <is>
          <t>52주차</t>
        </is>
      </c>
      <c r="C8290" t="e">
        <v>#N/A</v>
      </c>
      <c r="K8290" t="n">
        <v>0</v>
      </c>
      <c r="L8290" t="n">
        <v>0</v>
      </c>
      <c r="M8290" t="n">
        <v>0</v>
      </c>
      <c r="AC8290" t="n">
        <v>0</v>
      </c>
      <c r="AD8290" t="n">
        <v>0</v>
      </c>
      <c r="AE8290" t="n">
        <v>0</v>
      </c>
      <c r="AF8290" t="n">
        <v>0</v>
      </c>
      <c r="AG8290" t="n">
        <v>0</v>
      </c>
      <c r="AH8290" t="n">
        <v>0</v>
      </c>
      <c r="AI8290" t="n">
        <v>0</v>
      </c>
    </row>
    <row r="8291">
      <c r="A8291" t="inlineStr">
        <is>
          <t>12월</t>
        </is>
      </c>
      <c r="B8291" t="inlineStr">
        <is>
          <t>52주차</t>
        </is>
      </c>
      <c r="C8291" t="e">
        <v>#N/A</v>
      </c>
      <c r="K8291" t="n">
        <v>0</v>
      </c>
      <c r="L8291" t="n">
        <v>0</v>
      </c>
      <c r="M8291" t="n">
        <v>0</v>
      </c>
      <c r="AC8291" t="n">
        <v>0</v>
      </c>
      <c r="AD8291" t="n">
        <v>0</v>
      </c>
      <c r="AE8291" t="n">
        <v>0</v>
      </c>
      <c r="AF8291" t="n">
        <v>0</v>
      </c>
      <c r="AG8291" t="n">
        <v>0</v>
      </c>
      <c r="AH8291" t="n">
        <v>0</v>
      </c>
      <c r="AI8291" t="n">
        <v>0</v>
      </c>
    </row>
    <row r="8292">
      <c r="A8292" t="inlineStr">
        <is>
          <t>12월</t>
        </is>
      </c>
      <c r="B8292" t="inlineStr">
        <is>
          <t>52주차</t>
        </is>
      </c>
      <c r="C8292" t="e">
        <v>#N/A</v>
      </c>
      <c r="K8292" t="n">
        <v>0</v>
      </c>
      <c r="L8292" t="n">
        <v>0</v>
      </c>
      <c r="M8292" t="n">
        <v>0</v>
      </c>
      <c r="AC8292" t="n">
        <v>0</v>
      </c>
      <c r="AD8292" t="n">
        <v>0</v>
      </c>
      <c r="AE8292" t="n">
        <v>0</v>
      </c>
      <c r="AF8292" t="n">
        <v>0</v>
      </c>
      <c r="AG8292" t="n">
        <v>0</v>
      </c>
      <c r="AH8292" t="n">
        <v>0</v>
      </c>
      <c r="AI8292" t="n">
        <v>0</v>
      </c>
    </row>
    <row r="8293">
      <c r="A8293" t="inlineStr">
        <is>
          <t>12월</t>
        </is>
      </c>
      <c r="B8293" t="inlineStr">
        <is>
          <t>52주차</t>
        </is>
      </c>
      <c r="C8293" t="e">
        <v>#N/A</v>
      </c>
      <c r="K8293" t="n">
        <v>0</v>
      </c>
      <c r="L8293" t="n">
        <v>0</v>
      </c>
      <c r="M8293" t="n">
        <v>0</v>
      </c>
      <c r="AC8293" t="n">
        <v>0</v>
      </c>
      <c r="AD8293" t="n">
        <v>0</v>
      </c>
      <c r="AE8293" t="n">
        <v>0</v>
      </c>
      <c r="AF8293" t="n">
        <v>0</v>
      </c>
      <c r="AG8293" t="n">
        <v>0</v>
      </c>
      <c r="AH8293" t="n">
        <v>0</v>
      </c>
      <c r="AI8293" t="n">
        <v>0</v>
      </c>
    </row>
    <row r="8294">
      <c r="A8294" t="inlineStr">
        <is>
          <t>12월</t>
        </is>
      </c>
      <c r="B8294" t="inlineStr">
        <is>
          <t>52주차</t>
        </is>
      </c>
      <c r="C8294" t="e">
        <v>#N/A</v>
      </c>
      <c r="K8294" t="n">
        <v>0</v>
      </c>
      <c r="L8294" t="n">
        <v>0</v>
      </c>
      <c r="M8294" t="n">
        <v>0</v>
      </c>
      <c r="AC8294" t="n">
        <v>0</v>
      </c>
      <c r="AD8294" t="n">
        <v>0</v>
      </c>
      <c r="AE8294" t="n">
        <v>0</v>
      </c>
      <c r="AF8294" t="n">
        <v>0</v>
      </c>
      <c r="AG8294" t="n">
        <v>0</v>
      </c>
      <c r="AH8294" t="n">
        <v>0</v>
      </c>
      <c r="AI8294" t="n">
        <v>0</v>
      </c>
    </row>
    <row r="8295">
      <c r="A8295" t="inlineStr">
        <is>
          <t>12월</t>
        </is>
      </c>
      <c r="B8295" t="inlineStr">
        <is>
          <t>52주차</t>
        </is>
      </c>
      <c r="C8295" t="e">
        <v>#N/A</v>
      </c>
      <c r="K8295" t="n">
        <v>0</v>
      </c>
      <c r="L8295" t="n">
        <v>0</v>
      </c>
      <c r="M8295" t="n">
        <v>0</v>
      </c>
      <c r="AC8295" t="n">
        <v>0</v>
      </c>
      <c r="AD8295" t="n">
        <v>0</v>
      </c>
      <c r="AE8295" t="n">
        <v>0</v>
      </c>
      <c r="AF8295" t="n">
        <v>0</v>
      </c>
      <c r="AG8295" t="n">
        <v>0</v>
      </c>
      <c r="AH8295" t="n">
        <v>0</v>
      </c>
      <c r="AI8295" t="n">
        <v>0</v>
      </c>
    </row>
    <row r="8296">
      <c r="A8296" t="inlineStr">
        <is>
          <t>12월</t>
        </is>
      </c>
      <c r="B8296" t="inlineStr">
        <is>
          <t>52주차</t>
        </is>
      </c>
      <c r="C8296" t="e">
        <v>#N/A</v>
      </c>
      <c r="K8296" t="n">
        <v>0</v>
      </c>
      <c r="L8296" t="n">
        <v>0</v>
      </c>
      <c r="M8296" t="n">
        <v>0</v>
      </c>
      <c r="AC8296" t="n">
        <v>0</v>
      </c>
      <c r="AD8296" t="n">
        <v>0</v>
      </c>
      <c r="AE8296" t="n">
        <v>0</v>
      </c>
      <c r="AF8296" t="n">
        <v>0</v>
      </c>
      <c r="AG8296" t="n">
        <v>0</v>
      </c>
      <c r="AH8296" t="n">
        <v>0</v>
      </c>
    </row>
    <row r="8297">
      <c r="A8297" t="inlineStr">
        <is>
          <t>12월</t>
        </is>
      </c>
      <c r="B8297" t="inlineStr">
        <is>
          <t>52주차</t>
        </is>
      </c>
      <c r="C8297" t="e">
        <v>#N/A</v>
      </c>
      <c r="K8297" t="n">
        <v>0</v>
      </c>
      <c r="L8297" t="n">
        <v>0</v>
      </c>
      <c r="M8297" t="n">
        <v>0</v>
      </c>
      <c r="AC8297" t="n">
        <v>0</v>
      </c>
      <c r="AD8297" t="n">
        <v>0</v>
      </c>
      <c r="AE8297" t="n">
        <v>0</v>
      </c>
      <c r="AF8297" t="n">
        <v>0</v>
      </c>
      <c r="AG8297" t="n">
        <v>0</v>
      </c>
      <c r="AH8297" t="n">
        <v>0</v>
      </c>
      <c r="AI8297" t="n">
        <v>0</v>
      </c>
    </row>
    <row r="8298">
      <c r="A8298" t="inlineStr">
        <is>
          <t>12월</t>
        </is>
      </c>
      <c r="B8298" t="inlineStr">
        <is>
          <t>52주차</t>
        </is>
      </c>
      <c r="C8298" t="e">
        <v>#N/A</v>
      </c>
      <c r="K8298" t="n">
        <v>0</v>
      </c>
      <c r="L8298" t="n">
        <v>0</v>
      </c>
      <c r="M8298" t="n">
        <v>0</v>
      </c>
      <c r="AC8298" t="n">
        <v>0</v>
      </c>
      <c r="AD8298" t="n">
        <v>0</v>
      </c>
      <c r="AE8298" t="n">
        <v>0</v>
      </c>
      <c r="AF8298" t="n">
        <v>0</v>
      </c>
      <c r="AG8298" t="n">
        <v>0</v>
      </c>
      <c r="AH8298" t="n">
        <v>0</v>
      </c>
      <c r="AI8298" t="n">
        <v>0</v>
      </c>
    </row>
    <row r="8299">
      <c r="A8299" t="inlineStr">
        <is>
          <t>12월</t>
        </is>
      </c>
      <c r="B8299" t="inlineStr">
        <is>
          <t>52주차</t>
        </is>
      </c>
      <c r="C8299" t="e">
        <v>#N/A</v>
      </c>
      <c r="K8299" t="n">
        <v>0</v>
      </c>
      <c r="L8299" t="n">
        <v>0</v>
      </c>
      <c r="M8299" t="n">
        <v>0</v>
      </c>
      <c r="AC8299" t="n">
        <v>0</v>
      </c>
      <c r="AD8299" t="n">
        <v>0</v>
      </c>
      <c r="AE8299" t="n">
        <v>0</v>
      </c>
      <c r="AF8299" t="n">
        <v>0</v>
      </c>
      <c r="AG8299" t="n">
        <v>0</v>
      </c>
      <c r="AH8299" t="n">
        <v>0</v>
      </c>
    </row>
    <row r="8300">
      <c r="A8300" t="inlineStr">
        <is>
          <t>12월</t>
        </is>
      </c>
      <c r="B8300" t="inlineStr">
        <is>
          <t>52주차</t>
        </is>
      </c>
      <c r="C8300" t="e">
        <v>#N/A</v>
      </c>
      <c r="K8300" t="n">
        <v>0</v>
      </c>
      <c r="L8300" t="n">
        <v>0</v>
      </c>
      <c r="M8300" t="n">
        <v>0</v>
      </c>
      <c r="AC8300" t="n">
        <v>0</v>
      </c>
      <c r="AD8300" t="n">
        <v>0</v>
      </c>
      <c r="AE8300" t="n">
        <v>0</v>
      </c>
      <c r="AF8300" t="n">
        <v>0</v>
      </c>
      <c r="AG8300" t="n">
        <v>0</v>
      </c>
      <c r="AH8300" t="n">
        <v>0</v>
      </c>
    </row>
    <row r="8301">
      <c r="A8301" t="inlineStr">
        <is>
          <t>12월</t>
        </is>
      </c>
      <c r="B8301" t="inlineStr">
        <is>
          <t>52주차</t>
        </is>
      </c>
      <c r="C8301" t="e">
        <v>#N/A</v>
      </c>
      <c r="K8301" t="n">
        <v>0</v>
      </c>
      <c r="L8301" t="n">
        <v>0</v>
      </c>
      <c r="M8301" t="n">
        <v>0</v>
      </c>
      <c r="AC8301" t="n">
        <v>0</v>
      </c>
      <c r="AD8301" t="n">
        <v>0</v>
      </c>
      <c r="AE8301" t="n">
        <v>0</v>
      </c>
      <c r="AF8301" t="n">
        <v>0</v>
      </c>
      <c r="AG8301" t="n">
        <v>0</v>
      </c>
      <c r="AH8301" t="n">
        <v>0</v>
      </c>
    </row>
    <row r="8302">
      <c r="A8302" t="inlineStr">
        <is>
          <t>12월</t>
        </is>
      </c>
      <c r="B8302" t="inlineStr">
        <is>
          <t>52주차</t>
        </is>
      </c>
      <c r="C8302" t="e">
        <v>#N/A</v>
      </c>
      <c r="K8302" t="n">
        <v>0</v>
      </c>
      <c r="L8302" t="n">
        <v>0</v>
      </c>
      <c r="M8302" t="n">
        <v>0</v>
      </c>
      <c r="AC8302" t="n">
        <v>0</v>
      </c>
      <c r="AD8302" t="n">
        <v>0</v>
      </c>
      <c r="AE8302" t="n">
        <v>0</v>
      </c>
      <c r="AF8302" t="n">
        <v>0</v>
      </c>
      <c r="AG8302" t="n">
        <v>0</v>
      </c>
      <c r="AH8302" t="n">
        <v>0</v>
      </c>
      <c r="AI8302" t="n">
        <v>0</v>
      </c>
    </row>
    <row r="8303">
      <c r="A8303" t="inlineStr">
        <is>
          <t>12월</t>
        </is>
      </c>
      <c r="B8303" t="inlineStr">
        <is>
          <t>52주차</t>
        </is>
      </c>
      <c r="C8303" t="e">
        <v>#N/A</v>
      </c>
      <c r="K8303" t="n">
        <v>0</v>
      </c>
      <c r="L8303" t="n">
        <v>0</v>
      </c>
      <c r="M8303" t="n">
        <v>0</v>
      </c>
      <c r="AC8303" t="n">
        <v>0</v>
      </c>
      <c r="AD8303" t="n">
        <v>0</v>
      </c>
      <c r="AE8303" t="n">
        <v>0</v>
      </c>
      <c r="AF8303" t="n">
        <v>0</v>
      </c>
      <c r="AG8303" t="n">
        <v>0</v>
      </c>
      <c r="AH8303" t="n">
        <v>0</v>
      </c>
      <c r="AI8303" t="n">
        <v>0</v>
      </c>
    </row>
    <row r="8304">
      <c r="A8304" t="inlineStr">
        <is>
          <t>12월</t>
        </is>
      </c>
      <c r="B8304" t="inlineStr">
        <is>
          <t>52주차</t>
        </is>
      </c>
      <c r="C8304" t="e">
        <v>#N/A</v>
      </c>
      <c r="K8304" t="n">
        <v>0</v>
      </c>
      <c r="L8304" t="n">
        <v>0</v>
      </c>
      <c r="M8304" t="n">
        <v>0</v>
      </c>
      <c r="AC8304" t="n">
        <v>0</v>
      </c>
      <c r="AD8304" t="n">
        <v>0</v>
      </c>
      <c r="AE8304" t="n">
        <v>0</v>
      </c>
      <c r="AF8304" t="n">
        <v>0</v>
      </c>
      <c r="AG8304" t="n">
        <v>0</v>
      </c>
      <c r="AH8304" t="n">
        <v>0</v>
      </c>
    </row>
    <row r="8305">
      <c r="A8305" t="inlineStr">
        <is>
          <t>12월</t>
        </is>
      </c>
      <c r="B8305" t="inlineStr">
        <is>
          <t>52주차</t>
        </is>
      </c>
      <c r="C8305" t="e">
        <v>#N/A</v>
      </c>
      <c r="K8305" t="n">
        <v>0</v>
      </c>
      <c r="L8305" t="n">
        <v>0</v>
      </c>
      <c r="M8305" t="n">
        <v>0</v>
      </c>
      <c r="AC8305" t="n">
        <v>0</v>
      </c>
      <c r="AD8305" t="n">
        <v>0</v>
      </c>
      <c r="AE8305" t="n">
        <v>0</v>
      </c>
      <c r="AF8305" t="n">
        <v>0</v>
      </c>
      <c r="AG8305" t="n">
        <v>0</v>
      </c>
      <c r="AH8305" t="n">
        <v>0</v>
      </c>
      <c r="AI8305" t="n">
        <v>0</v>
      </c>
    </row>
    <row r="8306">
      <c r="A8306" t="inlineStr">
        <is>
          <t>12월</t>
        </is>
      </c>
      <c r="B8306" t="inlineStr">
        <is>
          <t>52주차</t>
        </is>
      </c>
      <c r="C8306" t="e">
        <v>#N/A</v>
      </c>
      <c r="K8306" t="n">
        <v>0</v>
      </c>
      <c r="L8306" t="n">
        <v>0</v>
      </c>
      <c r="M8306" t="n">
        <v>0</v>
      </c>
      <c r="AC8306" t="n">
        <v>0</v>
      </c>
      <c r="AD8306" t="n">
        <v>0</v>
      </c>
      <c r="AE8306" t="n">
        <v>0</v>
      </c>
      <c r="AF8306" t="n">
        <v>0</v>
      </c>
      <c r="AG8306" t="n">
        <v>0</v>
      </c>
      <c r="AH8306" t="n">
        <v>0</v>
      </c>
      <c r="AI8306" t="n">
        <v>0</v>
      </c>
    </row>
    <row r="8307">
      <c r="A8307" t="inlineStr">
        <is>
          <t>12월</t>
        </is>
      </c>
      <c r="B8307" t="inlineStr">
        <is>
          <t>52주차</t>
        </is>
      </c>
      <c r="C8307" t="e">
        <v>#N/A</v>
      </c>
      <c r="K8307" t="n">
        <v>0</v>
      </c>
      <c r="L8307" t="n">
        <v>0</v>
      </c>
      <c r="M8307" t="n">
        <v>0</v>
      </c>
      <c r="AC8307" t="n">
        <v>0</v>
      </c>
      <c r="AD8307" t="n">
        <v>0</v>
      </c>
      <c r="AE8307" t="n">
        <v>0</v>
      </c>
      <c r="AF8307" t="n">
        <v>0</v>
      </c>
      <c r="AG8307" t="n">
        <v>0</v>
      </c>
      <c r="AH8307" t="n">
        <v>0</v>
      </c>
    </row>
    <row r="8308">
      <c r="A8308" t="inlineStr">
        <is>
          <t>12월</t>
        </is>
      </c>
      <c r="B8308" t="inlineStr">
        <is>
          <t>52주차</t>
        </is>
      </c>
      <c r="C8308" t="e">
        <v>#N/A</v>
      </c>
      <c r="K8308" t="n">
        <v>0</v>
      </c>
      <c r="L8308" t="n">
        <v>0</v>
      </c>
      <c r="M8308" t="n">
        <v>0</v>
      </c>
      <c r="AC8308" t="n">
        <v>0</v>
      </c>
      <c r="AD8308" t="n">
        <v>0</v>
      </c>
      <c r="AE8308" t="n">
        <v>0</v>
      </c>
      <c r="AF8308" t="n">
        <v>0</v>
      </c>
      <c r="AG8308" t="n">
        <v>0</v>
      </c>
      <c r="AH8308" t="n">
        <v>0</v>
      </c>
      <c r="AI8308" t="n">
        <v>0</v>
      </c>
    </row>
    <row r="8309">
      <c r="A8309" t="inlineStr">
        <is>
          <t>12월</t>
        </is>
      </c>
      <c r="B8309" t="inlineStr">
        <is>
          <t>52주차</t>
        </is>
      </c>
      <c r="C8309" t="e">
        <v>#N/A</v>
      </c>
      <c r="K8309" t="n">
        <v>0</v>
      </c>
      <c r="L8309" t="n">
        <v>0</v>
      </c>
      <c r="M8309" t="n">
        <v>0</v>
      </c>
      <c r="AC8309" t="n">
        <v>0</v>
      </c>
      <c r="AD8309" t="n">
        <v>0</v>
      </c>
      <c r="AE8309" t="n">
        <v>0</v>
      </c>
      <c r="AF8309" t="n">
        <v>0</v>
      </c>
      <c r="AG8309" t="n">
        <v>0</v>
      </c>
      <c r="AH8309" t="n">
        <v>0</v>
      </c>
      <c r="AI8309" t="n">
        <v>0</v>
      </c>
    </row>
    <row r="8310">
      <c r="A8310" t="inlineStr">
        <is>
          <t>12월</t>
        </is>
      </c>
      <c r="B8310" t="inlineStr">
        <is>
          <t>52주차</t>
        </is>
      </c>
      <c r="C8310" t="e">
        <v>#N/A</v>
      </c>
      <c r="K8310" t="n">
        <v>0</v>
      </c>
      <c r="L8310" t="n">
        <v>0</v>
      </c>
      <c r="M8310" t="n">
        <v>0</v>
      </c>
      <c r="AC8310" t="n">
        <v>0</v>
      </c>
      <c r="AD8310" t="n">
        <v>0</v>
      </c>
      <c r="AE8310" t="n">
        <v>0</v>
      </c>
      <c r="AF8310" t="n">
        <v>0</v>
      </c>
      <c r="AG8310" t="n">
        <v>0</v>
      </c>
      <c r="AH8310" t="n">
        <v>0</v>
      </c>
    </row>
    <row r="8311">
      <c r="A8311" t="inlineStr">
        <is>
          <t>12월</t>
        </is>
      </c>
      <c r="B8311" t="inlineStr">
        <is>
          <t>52주차</t>
        </is>
      </c>
      <c r="C8311" t="e">
        <v>#N/A</v>
      </c>
      <c r="K8311" t="n">
        <v>0</v>
      </c>
      <c r="L8311" t="n">
        <v>0</v>
      </c>
      <c r="M8311" t="n">
        <v>0</v>
      </c>
      <c r="AC8311" t="n">
        <v>0</v>
      </c>
      <c r="AD8311" t="n">
        <v>0</v>
      </c>
      <c r="AE8311" t="n">
        <v>0</v>
      </c>
      <c r="AF8311" t="n">
        <v>0</v>
      </c>
      <c r="AG8311" t="n">
        <v>0</v>
      </c>
      <c r="AH8311" t="n">
        <v>0</v>
      </c>
      <c r="AI8311" t="n">
        <v>0</v>
      </c>
    </row>
    <row r="8312">
      <c r="A8312" t="inlineStr">
        <is>
          <t>12월</t>
        </is>
      </c>
      <c r="B8312" t="inlineStr">
        <is>
          <t>52주차</t>
        </is>
      </c>
      <c r="C8312" t="e">
        <v>#N/A</v>
      </c>
      <c r="K8312" t="n">
        <v>0</v>
      </c>
      <c r="L8312" t="n">
        <v>0</v>
      </c>
      <c r="M8312" t="n">
        <v>0</v>
      </c>
      <c r="AC8312" t="n">
        <v>0</v>
      </c>
      <c r="AD8312" t="n">
        <v>0</v>
      </c>
      <c r="AE8312" t="n">
        <v>0</v>
      </c>
      <c r="AF8312" t="n">
        <v>0</v>
      </c>
      <c r="AG8312" t="n">
        <v>0</v>
      </c>
      <c r="AH8312" t="n">
        <v>0</v>
      </c>
      <c r="AI8312" t="n">
        <v>0</v>
      </c>
    </row>
    <row r="8313">
      <c r="A8313" t="inlineStr">
        <is>
          <t>12월</t>
        </is>
      </c>
      <c r="B8313" t="inlineStr">
        <is>
          <t>52주차</t>
        </is>
      </c>
      <c r="C8313" t="e">
        <v>#N/A</v>
      </c>
      <c r="K8313" t="n">
        <v>0</v>
      </c>
      <c r="L8313" t="n">
        <v>0</v>
      </c>
      <c r="M8313" t="n">
        <v>0</v>
      </c>
      <c r="AC8313" t="n">
        <v>0</v>
      </c>
      <c r="AD8313" t="n">
        <v>0</v>
      </c>
      <c r="AE8313" t="n">
        <v>0</v>
      </c>
      <c r="AF8313" t="n">
        <v>0</v>
      </c>
      <c r="AG8313" t="n">
        <v>0</v>
      </c>
      <c r="AH8313" t="n">
        <v>0</v>
      </c>
      <c r="AI8313" t="n">
        <v>0</v>
      </c>
    </row>
    <row r="8314">
      <c r="A8314" t="inlineStr">
        <is>
          <t>12월</t>
        </is>
      </c>
      <c r="B8314" t="inlineStr">
        <is>
          <t>52주차</t>
        </is>
      </c>
      <c r="C8314" t="e">
        <v>#N/A</v>
      </c>
      <c r="K8314" t="n">
        <v>0</v>
      </c>
      <c r="L8314" t="n">
        <v>0</v>
      </c>
      <c r="M8314" t="n">
        <v>0</v>
      </c>
      <c r="AC8314" t="n">
        <v>0</v>
      </c>
      <c r="AD8314" t="n">
        <v>0</v>
      </c>
      <c r="AE8314" t="n">
        <v>0</v>
      </c>
      <c r="AF8314" t="n">
        <v>0</v>
      </c>
      <c r="AG8314" t="n">
        <v>0</v>
      </c>
      <c r="AH8314" t="n">
        <v>0</v>
      </c>
      <c r="AI8314" t="n">
        <v>0</v>
      </c>
    </row>
    <row r="8315">
      <c r="A8315" t="inlineStr">
        <is>
          <t>12월</t>
        </is>
      </c>
      <c r="B8315" t="inlineStr">
        <is>
          <t>52주차</t>
        </is>
      </c>
      <c r="C8315" t="e">
        <v>#N/A</v>
      </c>
      <c r="K8315" t="n">
        <v>0</v>
      </c>
      <c r="L8315" t="n">
        <v>0</v>
      </c>
      <c r="M8315" t="n">
        <v>0</v>
      </c>
      <c r="AC8315" t="n">
        <v>0</v>
      </c>
      <c r="AD8315" t="n">
        <v>0</v>
      </c>
      <c r="AE8315" t="n">
        <v>0</v>
      </c>
      <c r="AF8315" t="n">
        <v>0</v>
      </c>
      <c r="AG8315" t="n">
        <v>0</v>
      </c>
      <c r="AH8315" t="n">
        <v>0</v>
      </c>
      <c r="AI8315" t="n">
        <v>0</v>
      </c>
    </row>
    <row r="8316">
      <c r="A8316" t="inlineStr">
        <is>
          <t>12월</t>
        </is>
      </c>
      <c r="B8316" t="inlineStr">
        <is>
          <t>52주차</t>
        </is>
      </c>
      <c r="C8316" t="e">
        <v>#N/A</v>
      </c>
      <c r="K8316" t="n">
        <v>0</v>
      </c>
      <c r="L8316" t="n">
        <v>0</v>
      </c>
      <c r="M8316" t="n">
        <v>0</v>
      </c>
      <c r="AC8316" t="n">
        <v>0</v>
      </c>
      <c r="AD8316" t="n">
        <v>0</v>
      </c>
      <c r="AE8316" t="n">
        <v>0</v>
      </c>
      <c r="AF8316" t="n">
        <v>0</v>
      </c>
      <c r="AG8316" t="n">
        <v>0</v>
      </c>
      <c r="AH8316" t="n">
        <v>0</v>
      </c>
    </row>
    <row r="8317">
      <c r="A8317" t="inlineStr">
        <is>
          <t>12월</t>
        </is>
      </c>
      <c r="B8317" t="inlineStr">
        <is>
          <t>52주차</t>
        </is>
      </c>
      <c r="C8317" t="e">
        <v>#N/A</v>
      </c>
      <c r="K8317" t="n">
        <v>0</v>
      </c>
      <c r="L8317" t="n">
        <v>0</v>
      </c>
      <c r="M8317" t="n">
        <v>0</v>
      </c>
      <c r="AC8317" t="n">
        <v>0</v>
      </c>
      <c r="AD8317" t="n">
        <v>0</v>
      </c>
      <c r="AE8317" t="n">
        <v>0</v>
      </c>
      <c r="AF8317" t="n">
        <v>0</v>
      </c>
      <c r="AG8317" t="n">
        <v>0</v>
      </c>
      <c r="AH8317" t="n">
        <v>0</v>
      </c>
      <c r="AI8317" t="n">
        <v>0</v>
      </c>
    </row>
    <row r="8318">
      <c r="A8318" t="inlineStr">
        <is>
          <t>12월</t>
        </is>
      </c>
      <c r="B8318" t="inlineStr">
        <is>
          <t>52주차</t>
        </is>
      </c>
      <c r="C8318" t="e">
        <v>#N/A</v>
      </c>
      <c r="K8318" t="n">
        <v>0</v>
      </c>
      <c r="L8318" t="n">
        <v>0</v>
      </c>
      <c r="M8318" t="n">
        <v>0</v>
      </c>
      <c r="AC8318" t="n">
        <v>0</v>
      </c>
      <c r="AD8318" t="n">
        <v>0</v>
      </c>
      <c r="AE8318" t="n">
        <v>0</v>
      </c>
      <c r="AF8318" t="n">
        <v>0</v>
      </c>
      <c r="AG8318" t="n">
        <v>0</v>
      </c>
      <c r="AH8318" t="n">
        <v>0</v>
      </c>
    </row>
    <row r="8319">
      <c r="A8319" t="inlineStr">
        <is>
          <t>12월</t>
        </is>
      </c>
      <c r="B8319" t="inlineStr">
        <is>
          <t>52주차</t>
        </is>
      </c>
      <c r="C8319" t="e">
        <v>#N/A</v>
      </c>
      <c r="K8319" t="n">
        <v>0</v>
      </c>
      <c r="L8319" t="n">
        <v>0</v>
      </c>
      <c r="M8319" t="n">
        <v>0</v>
      </c>
      <c r="AC8319" t="n">
        <v>0</v>
      </c>
      <c r="AD8319" t="n">
        <v>0</v>
      </c>
      <c r="AE8319" t="n">
        <v>0</v>
      </c>
      <c r="AF8319" t="n">
        <v>0</v>
      </c>
      <c r="AG8319" t="n">
        <v>0</v>
      </c>
      <c r="AH8319" t="n">
        <v>0</v>
      </c>
      <c r="AI8319" t="n">
        <v>0</v>
      </c>
    </row>
    <row r="8320">
      <c r="A8320" t="inlineStr">
        <is>
          <t>12월</t>
        </is>
      </c>
      <c r="B8320" t="inlineStr">
        <is>
          <t>52주차</t>
        </is>
      </c>
      <c r="C8320" t="e">
        <v>#N/A</v>
      </c>
      <c r="K8320" t="n">
        <v>0</v>
      </c>
      <c r="L8320" t="n">
        <v>0</v>
      </c>
      <c r="M8320" t="n">
        <v>0</v>
      </c>
      <c r="AC8320" t="n">
        <v>0</v>
      </c>
      <c r="AD8320" t="n">
        <v>0</v>
      </c>
      <c r="AE8320" t="n">
        <v>0</v>
      </c>
      <c r="AF8320" t="n">
        <v>0</v>
      </c>
      <c r="AG8320" t="n">
        <v>0</v>
      </c>
      <c r="AH8320" t="n">
        <v>0</v>
      </c>
      <c r="AI8320" t="n">
        <v>0</v>
      </c>
    </row>
    <row r="8321">
      <c r="A8321" t="inlineStr">
        <is>
          <t>12월</t>
        </is>
      </c>
      <c r="B8321" t="inlineStr">
        <is>
          <t>52주차</t>
        </is>
      </c>
      <c r="C8321" t="e">
        <v>#N/A</v>
      </c>
      <c r="K8321" t="n">
        <v>0</v>
      </c>
      <c r="L8321" t="n">
        <v>0</v>
      </c>
      <c r="M8321" t="n">
        <v>0</v>
      </c>
      <c r="AC8321" t="n">
        <v>0</v>
      </c>
      <c r="AD8321" t="n">
        <v>0</v>
      </c>
      <c r="AE8321" t="n">
        <v>0</v>
      </c>
      <c r="AF8321" t="n">
        <v>0</v>
      </c>
      <c r="AG8321" t="n">
        <v>0</v>
      </c>
      <c r="AH8321" t="n">
        <v>0</v>
      </c>
      <c r="AI8321" t="n">
        <v>0</v>
      </c>
    </row>
    <row r="8322">
      <c r="A8322" t="inlineStr">
        <is>
          <t>12월</t>
        </is>
      </c>
      <c r="B8322" t="inlineStr">
        <is>
          <t>52주차</t>
        </is>
      </c>
      <c r="C8322" t="e">
        <v>#N/A</v>
      </c>
      <c r="K8322" t="n">
        <v>0</v>
      </c>
      <c r="L8322" t="n">
        <v>0</v>
      </c>
      <c r="M8322" t="n">
        <v>0</v>
      </c>
      <c r="AC8322" t="n">
        <v>0</v>
      </c>
      <c r="AD8322" t="n">
        <v>0</v>
      </c>
      <c r="AE8322" t="n">
        <v>0</v>
      </c>
      <c r="AF8322" t="n">
        <v>0</v>
      </c>
      <c r="AG8322" t="n">
        <v>0</v>
      </c>
      <c r="AH8322" t="n">
        <v>0</v>
      </c>
      <c r="AI8322" t="n">
        <v>0</v>
      </c>
    </row>
    <row r="8323">
      <c r="A8323" t="inlineStr">
        <is>
          <t>12월</t>
        </is>
      </c>
      <c r="B8323" t="inlineStr">
        <is>
          <t>52주차</t>
        </is>
      </c>
      <c r="C8323" t="e">
        <v>#N/A</v>
      </c>
      <c r="K8323" t="n">
        <v>0</v>
      </c>
      <c r="L8323" t="n">
        <v>0</v>
      </c>
      <c r="M8323" t="n">
        <v>0</v>
      </c>
      <c r="AC8323" t="n">
        <v>0</v>
      </c>
      <c r="AD8323" t="n">
        <v>0</v>
      </c>
      <c r="AE8323" t="n">
        <v>0</v>
      </c>
      <c r="AF8323" t="n">
        <v>0</v>
      </c>
      <c r="AG8323" t="n">
        <v>0</v>
      </c>
      <c r="AH8323" t="n">
        <v>0</v>
      </c>
      <c r="AI8323" t="n">
        <v>0</v>
      </c>
    </row>
    <row r="8324">
      <c r="A8324" t="inlineStr">
        <is>
          <t>12월</t>
        </is>
      </c>
      <c r="B8324" t="inlineStr">
        <is>
          <t>52주차</t>
        </is>
      </c>
      <c r="C8324" t="e">
        <v>#N/A</v>
      </c>
      <c r="K8324" t="n">
        <v>0</v>
      </c>
      <c r="L8324" t="n">
        <v>0</v>
      </c>
      <c r="M8324" t="n">
        <v>0</v>
      </c>
      <c r="AC8324" t="n">
        <v>0</v>
      </c>
      <c r="AD8324" t="n">
        <v>0</v>
      </c>
      <c r="AE8324" t="n">
        <v>0</v>
      </c>
      <c r="AF8324" t="n">
        <v>0</v>
      </c>
      <c r="AG8324" t="n">
        <v>0</v>
      </c>
      <c r="AH8324" t="n">
        <v>0</v>
      </c>
      <c r="AI8324" t="n">
        <v>0</v>
      </c>
    </row>
    <row r="8325">
      <c r="A8325" t="inlineStr">
        <is>
          <t>12월</t>
        </is>
      </c>
      <c r="B8325" t="inlineStr">
        <is>
          <t>52주차</t>
        </is>
      </c>
      <c r="C8325" t="e">
        <v>#N/A</v>
      </c>
      <c r="K8325" t="n">
        <v>0</v>
      </c>
      <c r="L8325" t="n">
        <v>0</v>
      </c>
      <c r="M8325" t="n">
        <v>0</v>
      </c>
      <c r="AC8325" t="n">
        <v>0</v>
      </c>
      <c r="AD8325" t="n">
        <v>0</v>
      </c>
      <c r="AE8325" t="n">
        <v>0</v>
      </c>
      <c r="AF8325" t="n">
        <v>0</v>
      </c>
      <c r="AG8325" t="n">
        <v>0</v>
      </c>
      <c r="AH8325" t="n">
        <v>0</v>
      </c>
      <c r="AI8325" t="n">
        <v>0</v>
      </c>
    </row>
    <row r="8326">
      <c r="A8326" t="inlineStr">
        <is>
          <t>12월</t>
        </is>
      </c>
      <c r="B8326" t="inlineStr">
        <is>
          <t>52주차</t>
        </is>
      </c>
      <c r="C8326" t="e">
        <v>#N/A</v>
      </c>
      <c r="K8326" t="n">
        <v>0</v>
      </c>
      <c r="L8326" t="n">
        <v>0</v>
      </c>
      <c r="M8326" t="n">
        <v>0</v>
      </c>
      <c r="AC8326" t="n">
        <v>0</v>
      </c>
      <c r="AD8326" t="n">
        <v>0</v>
      </c>
      <c r="AE8326" t="n">
        <v>0</v>
      </c>
      <c r="AF8326" t="n">
        <v>0</v>
      </c>
      <c r="AG8326" t="n">
        <v>0</v>
      </c>
      <c r="AH8326" t="n">
        <v>0</v>
      </c>
      <c r="AI8326" t="n">
        <v>0</v>
      </c>
    </row>
    <row r="8327">
      <c r="A8327" t="inlineStr">
        <is>
          <t>12월</t>
        </is>
      </c>
      <c r="B8327" t="inlineStr">
        <is>
          <t>52주차</t>
        </is>
      </c>
      <c r="C8327" t="e">
        <v>#N/A</v>
      </c>
      <c r="K8327" t="n">
        <v>0</v>
      </c>
      <c r="L8327" t="n">
        <v>0</v>
      </c>
      <c r="M8327" t="n">
        <v>0</v>
      </c>
      <c r="AC8327" t="n">
        <v>0</v>
      </c>
      <c r="AD8327" t="n">
        <v>0</v>
      </c>
      <c r="AE8327" t="n">
        <v>0</v>
      </c>
      <c r="AF8327" t="n">
        <v>0</v>
      </c>
      <c r="AG8327" t="n">
        <v>0</v>
      </c>
      <c r="AH8327" t="n">
        <v>0</v>
      </c>
      <c r="AI8327" t="n">
        <v>0</v>
      </c>
    </row>
    <row r="8328">
      <c r="A8328" t="inlineStr">
        <is>
          <t>12월</t>
        </is>
      </c>
      <c r="B8328" t="inlineStr">
        <is>
          <t>52주차</t>
        </is>
      </c>
      <c r="C8328" t="e">
        <v>#N/A</v>
      </c>
      <c r="K8328" t="n">
        <v>0</v>
      </c>
      <c r="L8328" t="n">
        <v>0</v>
      </c>
      <c r="M8328" t="n">
        <v>0</v>
      </c>
      <c r="AC8328" t="n">
        <v>0</v>
      </c>
      <c r="AD8328" t="n">
        <v>0</v>
      </c>
      <c r="AE8328" t="n">
        <v>0</v>
      </c>
      <c r="AF8328" t="n">
        <v>0</v>
      </c>
      <c r="AG8328" t="n">
        <v>0</v>
      </c>
      <c r="AH8328" t="n">
        <v>0</v>
      </c>
      <c r="AI8328" t="n">
        <v>0</v>
      </c>
    </row>
    <row r="8329">
      <c r="A8329" t="inlineStr">
        <is>
          <t>12월</t>
        </is>
      </c>
      <c r="B8329" t="inlineStr">
        <is>
          <t>52주차</t>
        </is>
      </c>
      <c r="C8329" t="e">
        <v>#N/A</v>
      </c>
      <c r="K8329" t="n">
        <v>0</v>
      </c>
      <c r="L8329" t="n">
        <v>0</v>
      </c>
      <c r="M8329" t="n">
        <v>0</v>
      </c>
      <c r="AC8329" t="n">
        <v>0</v>
      </c>
      <c r="AD8329" t="n">
        <v>0</v>
      </c>
      <c r="AE8329" t="n">
        <v>0</v>
      </c>
      <c r="AF8329" t="n">
        <v>0</v>
      </c>
      <c r="AG8329" t="n">
        <v>0</v>
      </c>
      <c r="AH8329" t="n">
        <v>0</v>
      </c>
      <c r="AI8329" t="n">
        <v>0</v>
      </c>
    </row>
    <row r="8330">
      <c r="A8330" t="inlineStr">
        <is>
          <t>12월</t>
        </is>
      </c>
      <c r="B8330" t="inlineStr">
        <is>
          <t>52주차</t>
        </is>
      </c>
      <c r="C8330" t="e">
        <v>#N/A</v>
      </c>
      <c r="K8330" t="n">
        <v>0</v>
      </c>
      <c r="L8330" t="n">
        <v>0</v>
      </c>
      <c r="M8330" t="n">
        <v>0</v>
      </c>
      <c r="AC8330" t="n">
        <v>0</v>
      </c>
      <c r="AD8330" t="n">
        <v>0</v>
      </c>
      <c r="AE8330" t="n">
        <v>0</v>
      </c>
      <c r="AF8330" t="n">
        <v>0</v>
      </c>
      <c r="AG8330" t="n">
        <v>0</v>
      </c>
      <c r="AH8330" t="n">
        <v>0</v>
      </c>
      <c r="AI8330" t="n">
        <v>0</v>
      </c>
    </row>
    <row r="8331">
      <c r="A8331" t="inlineStr">
        <is>
          <t>12월</t>
        </is>
      </c>
      <c r="B8331" t="inlineStr">
        <is>
          <t>52주차</t>
        </is>
      </c>
      <c r="C8331" t="e">
        <v>#N/A</v>
      </c>
      <c r="K8331" t="n">
        <v>0</v>
      </c>
      <c r="L8331" t="n">
        <v>0</v>
      </c>
      <c r="M8331" t="n">
        <v>0</v>
      </c>
      <c r="AC8331" t="n">
        <v>0</v>
      </c>
      <c r="AD8331" t="n">
        <v>0</v>
      </c>
      <c r="AE8331" t="n">
        <v>0</v>
      </c>
      <c r="AF8331" t="n">
        <v>0</v>
      </c>
      <c r="AG8331" t="n">
        <v>0</v>
      </c>
      <c r="AH8331" t="n">
        <v>0</v>
      </c>
      <c r="AI8331" t="n">
        <v>0</v>
      </c>
    </row>
    <row r="8332">
      <c r="A8332" t="inlineStr">
        <is>
          <t>12월</t>
        </is>
      </c>
      <c r="B8332" t="inlineStr">
        <is>
          <t>52주차</t>
        </is>
      </c>
      <c r="C8332" t="e">
        <v>#N/A</v>
      </c>
      <c r="K8332" t="n">
        <v>0</v>
      </c>
      <c r="L8332" t="n">
        <v>0</v>
      </c>
      <c r="M8332" t="n">
        <v>0</v>
      </c>
      <c r="AC8332" t="n">
        <v>0</v>
      </c>
      <c r="AD8332" t="n">
        <v>0</v>
      </c>
      <c r="AE8332" t="n">
        <v>0</v>
      </c>
      <c r="AF8332" t="n">
        <v>0</v>
      </c>
      <c r="AG8332" t="n">
        <v>0</v>
      </c>
      <c r="AH8332" t="n">
        <v>0</v>
      </c>
      <c r="AI8332" t="n">
        <v>0</v>
      </c>
    </row>
    <row r="8333">
      <c r="A8333" t="inlineStr">
        <is>
          <t>12월</t>
        </is>
      </c>
      <c r="B8333" t="inlineStr">
        <is>
          <t>52주차</t>
        </is>
      </c>
      <c r="C8333" t="e">
        <v>#N/A</v>
      </c>
      <c r="K8333" t="n">
        <v>0</v>
      </c>
      <c r="L8333" t="n">
        <v>0</v>
      </c>
      <c r="M8333" t="n">
        <v>0</v>
      </c>
      <c r="AC8333" t="n">
        <v>0</v>
      </c>
      <c r="AD8333" t="n">
        <v>0</v>
      </c>
      <c r="AE8333" t="n">
        <v>0</v>
      </c>
      <c r="AF8333" t="n">
        <v>0</v>
      </c>
      <c r="AG8333" t="n">
        <v>0</v>
      </c>
      <c r="AH8333" t="n">
        <v>0</v>
      </c>
    </row>
    <row r="8334">
      <c r="A8334" t="inlineStr">
        <is>
          <t>12월</t>
        </is>
      </c>
      <c r="B8334" t="inlineStr">
        <is>
          <t>52주차</t>
        </is>
      </c>
      <c r="C8334" t="e">
        <v>#N/A</v>
      </c>
      <c r="K8334" t="n">
        <v>0</v>
      </c>
      <c r="L8334" t="n">
        <v>0</v>
      </c>
      <c r="M8334" t="n">
        <v>0</v>
      </c>
      <c r="AC8334" t="n">
        <v>0</v>
      </c>
      <c r="AD8334" t="n">
        <v>0</v>
      </c>
      <c r="AE8334" t="n">
        <v>0</v>
      </c>
      <c r="AF8334" t="n">
        <v>0</v>
      </c>
      <c r="AG8334" t="n">
        <v>0</v>
      </c>
      <c r="AH8334" t="n">
        <v>0</v>
      </c>
      <c r="AI8334" t="n">
        <v>0</v>
      </c>
    </row>
    <row r="8335">
      <c r="A8335" t="inlineStr">
        <is>
          <t>12월</t>
        </is>
      </c>
      <c r="B8335" t="inlineStr">
        <is>
          <t>52주차</t>
        </is>
      </c>
      <c r="C8335" t="e">
        <v>#N/A</v>
      </c>
      <c r="K8335" t="n">
        <v>0</v>
      </c>
      <c r="L8335" t="n">
        <v>0</v>
      </c>
      <c r="M8335" t="n">
        <v>0</v>
      </c>
      <c r="AC8335" t="n">
        <v>0</v>
      </c>
      <c r="AD8335" t="n">
        <v>0</v>
      </c>
      <c r="AE8335" t="n">
        <v>0</v>
      </c>
      <c r="AF8335" t="n">
        <v>0</v>
      </c>
      <c r="AG8335" t="n">
        <v>0</v>
      </c>
      <c r="AH8335" t="n">
        <v>0</v>
      </c>
      <c r="AI8335" t="n">
        <v>0</v>
      </c>
    </row>
    <row r="8336">
      <c r="A8336" t="inlineStr">
        <is>
          <t>12월</t>
        </is>
      </c>
      <c r="B8336" t="inlineStr">
        <is>
          <t>52주차</t>
        </is>
      </c>
      <c r="C8336" t="e">
        <v>#N/A</v>
      </c>
      <c r="K8336" t="n">
        <v>0</v>
      </c>
      <c r="L8336" t="n">
        <v>0</v>
      </c>
      <c r="M8336" t="n">
        <v>0</v>
      </c>
      <c r="AC8336" t="n">
        <v>0</v>
      </c>
      <c r="AD8336" t="n">
        <v>0</v>
      </c>
      <c r="AE8336" t="n">
        <v>0</v>
      </c>
      <c r="AF8336" t="n">
        <v>0</v>
      </c>
      <c r="AG8336" t="n">
        <v>0</v>
      </c>
      <c r="AH8336" t="n">
        <v>0</v>
      </c>
      <c r="AI8336" t="n">
        <v>0</v>
      </c>
    </row>
    <row r="8337">
      <c r="A8337" t="inlineStr">
        <is>
          <t>12월</t>
        </is>
      </c>
      <c r="B8337" t="inlineStr">
        <is>
          <t>52주차</t>
        </is>
      </c>
      <c r="C8337" t="e">
        <v>#N/A</v>
      </c>
      <c r="K8337" t="n">
        <v>0</v>
      </c>
      <c r="L8337" t="n">
        <v>0</v>
      </c>
      <c r="M8337" t="n">
        <v>0</v>
      </c>
      <c r="AC8337" t="n">
        <v>0</v>
      </c>
      <c r="AD8337" t="n">
        <v>0</v>
      </c>
      <c r="AE8337" t="n">
        <v>0</v>
      </c>
      <c r="AF8337" t="n">
        <v>0</v>
      </c>
      <c r="AG8337" t="n">
        <v>0</v>
      </c>
      <c r="AH8337" t="n">
        <v>0</v>
      </c>
      <c r="AI8337" t="n">
        <v>0</v>
      </c>
    </row>
    <row r="8338">
      <c r="A8338" t="inlineStr">
        <is>
          <t>12월</t>
        </is>
      </c>
      <c r="B8338" t="inlineStr">
        <is>
          <t>52주차</t>
        </is>
      </c>
      <c r="C8338" t="e">
        <v>#N/A</v>
      </c>
      <c r="K8338" t="n">
        <v>0</v>
      </c>
      <c r="L8338" t="n">
        <v>0</v>
      </c>
      <c r="M8338" t="n">
        <v>0</v>
      </c>
      <c r="AC8338" t="n">
        <v>0</v>
      </c>
      <c r="AD8338" t="n">
        <v>0</v>
      </c>
      <c r="AE8338" t="n">
        <v>0</v>
      </c>
      <c r="AF8338" t="n">
        <v>0</v>
      </c>
      <c r="AG8338" t="n">
        <v>0</v>
      </c>
      <c r="AH8338" t="n">
        <v>0</v>
      </c>
      <c r="AI8338" t="n">
        <v>0</v>
      </c>
    </row>
    <row r="8339">
      <c r="A8339" t="inlineStr">
        <is>
          <t>12월</t>
        </is>
      </c>
      <c r="B8339" t="inlineStr">
        <is>
          <t>52주차</t>
        </is>
      </c>
      <c r="C8339" t="e">
        <v>#N/A</v>
      </c>
      <c r="K8339" t="n">
        <v>0</v>
      </c>
      <c r="L8339" t="n">
        <v>0</v>
      </c>
      <c r="M8339" t="n">
        <v>0</v>
      </c>
      <c r="AC8339" t="n">
        <v>0</v>
      </c>
      <c r="AD8339" t="n">
        <v>0</v>
      </c>
      <c r="AE8339" t="n">
        <v>0</v>
      </c>
      <c r="AF8339" t="n">
        <v>0</v>
      </c>
      <c r="AG8339" t="n">
        <v>0</v>
      </c>
      <c r="AH8339" t="n">
        <v>0</v>
      </c>
    </row>
    <row r="8340">
      <c r="A8340" t="inlineStr">
        <is>
          <t>12월</t>
        </is>
      </c>
      <c r="B8340" t="inlineStr">
        <is>
          <t>52주차</t>
        </is>
      </c>
      <c r="C8340" t="e">
        <v>#N/A</v>
      </c>
      <c r="K8340" t="n">
        <v>0</v>
      </c>
      <c r="L8340" t="n">
        <v>0</v>
      </c>
      <c r="M8340" t="n">
        <v>0</v>
      </c>
      <c r="AC8340" t="n">
        <v>0</v>
      </c>
      <c r="AD8340" t="n">
        <v>0</v>
      </c>
      <c r="AE8340" t="n">
        <v>0</v>
      </c>
      <c r="AF8340" t="n">
        <v>0</v>
      </c>
      <c r="AG8340" t="n">
        <v>0</v>
      </c>
      <c r="AH8340" t="n">
        <v>0</v>
      </c>
      <c r="AI8340" t="n">
        <v>0</v>
      </c>
    </row>
    <row r="8341">
      <c r="A8341" t="inlineStr">
        <is>
          <t>12월</t>
        </is>
      </c>
      <c r="B8341" t="inlineStr">
        <is>
          <t>52주차</t>
        </is>
      </c>
      <c r="C8341" t="e">
        <v>#N/A</v>
      </c>
      <c r="K8341" t="n">
        <v>0</v>
      </c>
      <c r="L8341" t="n">
        <v>0</v>
      </c>
      <c r="M8341" t="n">
        <v>0</v>
      </c>
      <c r="AC8341" t="n">
        <v>0</v>
      </c>
      <c r="AD8341" t="n">
        <v>0</v>
      </c>
      <c r="AE8341" t="n">
        <v>0</v>
      </c>
      <c r="AF8341" t="n">
        <v>0</v>
      </c>
      <c r="AG8341" t="n">
        <v>0</v>
      </c>
      <c r="AH8341" t="n">
        <v>0</v>
      </c>
      <c r="AI8341" t="n">
        <v>0</v>
      </c>
    </row>
    <row r="8342">
      <c r="A8342" t="inlineStr">
        <is>
          <t>12월</t>
        </is>
      </c>
      <c r="B8342" t="inlineStr">
        <is>
          <t>52주차</t>
        </is>
      </c>
      <c r="C8342" t="e">
        <v>#N/A</v>
      </c>
      <c r="K8342" t="n">
        <v>0</v>
      </c>
      <c r="L8342" t="n">
        <v>0</v>
      </c>
      <c r="M8342" t="n">
        <v>0</v>
      </c>
      <c r="AC8342" t="n">
        <v>0</v>
      </c>
      <c r="AD8342" t="n">
        <v>0</v>
      </c>
      <c r="AE8342" t="n">
        <v>0</v>
      </c>
      <c r="AF8342" t="n">
        <v>0</v>
      </c>
      <c r="AG8342" t="n">
        <v>0</v>
      </c>
      <c r="AH8342" t="n">
        <v>0</v>
      </c>
      <c r="AI8342" t="n">
        <v>0</v>
      </c>
    </row>
    <row r="8343">
      <c r="A8343" t="inlineStr">
        <is>
          <t>12월</t>
        </is>
      </c>
      <c r="B8343" t="inlineStr">
        <is>
          <t>52주차</t>
        </is>
      </c>
      <c r="C8343" t="e">
        <v>#N/A</v>
      </c>
      <c r="K8343" t="n">
        <v>0</v>
      </c>
      <c r="L8343" t="n">
        <v>0</v>
      </c>
      <c r="M8343" t="n">
        <v>0</v>
      </c>
      <c r="AC8343" t="n">
        <v>0</v>
      </c>
      <c r="AD8343" t="n">
        <v>0</v>
      </c>
      <c r="AE8343" t="n">
        <v>0</v>
      </c>
      <c r="AF8343" t="n">
        <v>0</v>
      </c>
      <c r="AG8343" t="n">
        <v>0</v>
      </c>
      <c r="AH8343" t="n">
        <v>0</v>
      </c>
    </row>
    <row r="8344">
      <c r="A8344" t="inlineStr">
        <is>
          <t>12월</t>
        </is>
      </c>
      <c r="B8344" t="inlineStr">
        <is>
          <t>52주차</t>
        </is>
      </c>
      <c r="C8344" t="e">
        <v>#N/A</v>
      </c>
      <c r="K8344" t="n">
        <v>0</v>
      </c>
      <c r="L8344" t="n">
        <v>0</v>
      </c>
      <c r="M8344" t="n">
        <v>0</v>
      </c>
      <c r="AC8344" t="n">
        <v>0</v>
      </c>
      <c r="AD8344" t="n">
        <v>0</v>
      </c>
      <c r="AE8344" t="n">
        <v>0</v>
      </c>
      <c r="AF8344" t="n">
        <v>0</v>
      </c>
      <c r="AG8344" t="n">
        <v>0</v>
      </c>
      <c r="AH8344" t="n">
        <v>0</v>
      </c>
      <c r="AI8344" t="n">
        <v>0</v>
      </c>
    </row>
    <row r="8345">
      <c r="A8345" t="inlineStr">
        <is>
          <t>12월</t>
        </is>
      </c>
      <c r="B8345" t="inlineStr">
        <is>
          <t>52주차</t>
        </is>
      </c>
      <c r="C8345" t="e">
        <v>#N/A</v>
      </c>
      <c r="K8345" t="n">
        <v>0</v>
      </c>
      <c r="L8345" t="n">
        <v>0</v>
      </c>
      <c r="M8345" t="n">
        <v>0</v>
      </c>
      <c r="AC8345" t="n">
        <v>0</v>
      </c>
      <c r="AD8345" t="n">
        <v>0</v>
      </c>
      <c r="AE8345" t="n">
        <v>0</v>
      </c>
      <c r="AF8345" t="n">
        <v>0</v>
      </c>
      <c r="AG8345" t="n">
        <v>0</v>
      </c>
      <c r="AH8345" t="n">
        <v>0</v>
      </c>
      <c r="AI8345" t="n">
        <v>0</v>
      </c>
    </row>
    <row r="8346">
      <c r="A8346" t="inlineStr">
        <is>
          <t>12월</t>
        </is>
      </c>
      <c r="B8346" t="inlineStr">
        <is>
          <t>52주차</t>
        </is>
      </c>
      <c r="C8346" t="e">
        <v>#N/A</v>
      </c>
      <c r="K8346" t="n">
        <v>0</v>
      </c>
      <c r="L8346" t="n">
        <v>0</v>
      </c>
      <c r="M8346" t="n">
        <v>0</v>
      </c>
      <c r="AC8346" t="n">
        <v>0</v>
      </c>
      <c r="AD8346" t="n">
        <v>0</v>
      </c>
      <c r="AE8346" t="n">
        <v>0</v>
      </c>
      <c r="AF8346" t="n">
        <v>0</v>
      </c>
      <c r="AG8346" t="n">
        <v>0</v>
      </c>
      <c r="AH8346" t="n">
        <v>0</v>
      </c>
      <c r="AI8346" t="n">
        <v>0</v>
      </c>
    </row>
    <row r="8347">
      <c r="A8347" t="inlineStr">
        <is>
          <t>12월</t>
        </is>
      </c>
      <c r="B8347" t="inlineStr">
        <is>
          <t>52주차</t>
        </is>
      </c>
      <c r="C8347" t="e">
        <v>#N/A</v>
      </c>
      <c r="K8347" t="n">
        <v>0</v>
      </c>
      <c r="L8347" t="n">
        <v>0</v>
      </c>
      <c r="M8347" t="n">
        <v>0</v>
      </c>
      <c r="AC8347" t="n">
        <v>0</v>
      </c>
      <c r="AD8347" t="n">
        <v>0</v>
      </c>
      <c r="AE8347" t="n">
        <v>0</v>
      </c>
      <c r="AF8347" t="n">
        <v>0</v>
      </c>
      <c r="AG8347" t="n">
        <v>0</v>
      </c>
      <c r="AH8347" t="n">
        <v>0</v>
      </c>
      <c r="AI8347" t="n">
        <v>0</v>
      </c>
    </row>
    <row r="8348">
      <c r="A8348" t="inlineStr">
        <is>
          <t>12월</t>
        </is>
      </c>
      <c r="B8348" t="inlineStr">
        <is>
          <t>52주차</t>
        </is>
      </c>
      <c r="C8348" t="e">
        <v>#N/A</v>
      </c>
      <c r="K8348" t="n">
        <v>0</v>
      </c>
      <c r="L8348" t="n">
        <v>0</v>
      </c>
      <c r="M8348" t="n">
        <v>0</v>
      </c>
      <c r="AC8348" t="n">
        <v>0</v>
      </c>
      <c r="AD8348" t="n">
        <v>0</v>
      </c>
      <c r="AE8348" t="n">
        <v>0</v>
      </c>
      <c r="AF8348" t="n">
        <v>0</v>
      </c>
      <c r="AG8348" t="n">
        <v>0</v>
      </c>
      <c r="AH8348" t="n">
        <v>0</v>
      </c>
      <c r="AI8348" t="n">
        <v>0</v>
      </c>
    </row>
    <row r="8349">
      <c r="A8349" t="inlineStr">
        <is>
          <t>12월</t>
        </is>
      </c>
      <c r="B8349" t="inlineStr">
        <is>
          <t>52주차</t>
        </is>
      </c>
      <c r="C8349" t="e">
        <v>#N/A</v>
      </c>
      <c r="K8349" t="n">
        <v>0</v>
      </c>
      <c r="L8349" t="n">
        <v>0</v>
      </c>
      <c r="M8349" t="n">
        <v>0</v>
      </c>
      <c r="AC8349" t="n">
        <v>0</v>
      </c>
      <c r="AD8349" t="n">
        <v>0</v>
      </c>
      <c r="AE8349" t="n">
        <v>0</v>
      </c>
      <c r="AF8349" t="n">
        <v>0</v>
      </c>
      <c r="AG8349" t="n">
        <v>0</v>
      </c>
      <c r="AH8349" t="n">
        <v>0</v>
      </c>
    </row>
    <row r="8350">
      <c r="A8350" t="inlineStr">
        <is>
          <t>12월</t>
        </is>
      </c>
      <c r="B8350" t="inlineStr">
        <is>
          <t>52주차</t>
        </is>
      </c>
      <c r="C8350" t="e">
        <v>#N/A</v>
      </c>
      <c r="K8350" t="n">
        <v>0</v>
      </c>
      <c r="L8350" t="n">
        <v>0</v>
      </c>
      <c r="M8350" t="n">
        <v>0</v>
      </c>
      <c r="AC8350" t="n">
        <v>0</v>
      </c>
      <c r="AD8350" t="n">
        <v>0</v>
      </c>
      <c r="AE8350" t="n">
        <v>0</v>
      </c>
      <c r="AF8350" t="n">
        <v>0</v>
      </c>
      <c r="AG8350" t="n">
        <v>0</v>
      </c>
      <c r="AH8350" t="n">
        <v>0</v>
      </c>
      <c r="AI8350" t="n">
        <v>0</v>
      </c>
    </row>
    <row r="8351">
      <c r="A8351" t="inlineStr">
        <is>
          <t>12월</t>
        </is>
      </c>
      <c r="B8351" t="inlineStr">
        <is>
          <t>52주차</t>
        </is>
      </c>
      <c r="C8351" t="e">
        <v>#N/A</v>
      </c>
      <c r="K8351" t="n">
        <v>0</v>
      </c>
      <c r="L8351" t="n">
        <v>0</v>
      </c>
      <c r="M8351" t="n">
        <v>0</v>
      </c>
      <c r="AC8351" t="n">
        <v>0</v>
      </c>
      <c r="AD8351" t="n">
        <v>0</v>
      </c>
      <c r="AE8351" t="n">
        <v>0</v>
      </c>
      <c r="AF8351" t="n">
        <v>0</v>
      </c>
      <c r="AG8351" t="n">
        <v>0</v>
      </c>
      <c r="AH8351" t="n">
        <v>0</v>
      </c>
    </row>
    <row r="8352">
      <c r="A8352" t="inlineStr">
        <is>
          <t>12월</t>
        </is>
      </c>
      <c r="B8352" t="inlineStr">
        <is>
          <t>52주차</t>
        </is>
      </c>
      <c r="C8352" t="e">
        <v>#N/A</v>
      </c>
      <c r="K8352" t="n">
        <v>0</v>
      </c>
      <c r="L8352" t="n">
        <v>0</v>
      </c>
      <c r="M8352" t="n">
        <v>0</v>
      </c>
      <c r="AC8352" t="n">
        <v>0</v>
      </c>
      <c r="AD8352" t="n">
        <v>0</v>
      </c>
      <c r="AE8352" t="n">
        <v>0</v>
      </c>
      <c r="AF8352" t="n">
        <v>0</v>
      </c>
      <c r="AG8352" t="n">
        <v>0</v>
      </c>
      <c r="AH8352" t="n">
        <v>0</v>
      </c>
      <c r="AI8352" t="n">
        <v>0</v>
      </c>
    </row>
    <row r="8353">
      <c r="A8353" t="inlineStr">
        <is>
          <t>12월</t>
        </is>
      </c>
      <c r="B8353" t="inlineStr">
        <is>
          <t>52주차</t>
        </is>
      </c>
      <c r="C8353" t="e">
        <v>#N/A</v>
      </c>
      <c r="K8353" t="n">
        <v>0</v>
      </c>
      <c r="L8353" t="n">
        <v>0</v>
      </c>
      <c r="M8353" t="n">
        <v>0</v>
      </c>
      <c r="AC8353" t="n">
        <v>0</v>
      </c>
      <c r="AD8353" t="n">
        <v>0</v>
      </c>
      <c r="AE8353" t="n">
        <v>0</v>
      </c>
      <c r="AF8353" t="n">
        <v>0</v>
      </c>
      <c r="AG8353" t="n">
        <v>0</v>
      </c>
      <c r="AH8353" t="n">
        <v>0</v>
      </c>
      <c r="AI8353" t="n">
        <v>0</v>
      </c>
    </row>
    <row r="8354">
      <c r="A8354" t="inlineStr">
        <is>
          <t>12월</t>
        </is>
      </c>
      <c r="B8354" t="inlineStr">
        <is>
          <t>52주차</t>
        </is>
      </c>
      <c r="C8354" t="e">
        <v>#N/A</v>
      </c>
      <c r="K8354" t="n">
        <v>0</v>
      </c>
      <c r="L8354" t="n">
        <v>0</v>
      </c>
      <c r="M8354" t="n">
        <v>0</v>
      </c>
      <c r="AC8354" t="n">
        <v>0</v>
      </c>
      <c r="AD8354" t="n">
        <v>0</v>
      </c>
      <c r="AE8354" t="n">
        <v>0</v>
      </c>
      <c r="AF8354" t="n">
        <v>0</v>
      </c>
      <c r="AG8354" t="n">
        <v>0</v>
      </c>
      <c r="AH8354" t="n">
        <v>0</v>
      </c>
      <c r="AI8354" t="n">
        <v>0</v>
      </c>
    </row>
    <row r="8355">
      <c r="A8355" t="inlineStr">
        <is>
          <t>12월</t>
        </is>
      </c>
      <c r="B8355" t="inlineStr">
        <is>
          <t>52주차</t>
        </is>
      </c>
      <c r="C8355" t="e">
        <v>#N/A</v>
      </c>
      <c r="K8355" t="n">
        <v>0</v>
      </c>
      <c r="L8355" t="n">
        <v>0</v>
      </c>
      <c r="M8355" t="n">
        <v>0</v>
      </c>
      <c r="AC8355" t="n">
        <v>0</v>
      </c>
      <c r="AD8355" t="n">
        <v>0</v>
      </c>
      <c r="AE8355" t="n">
        <v>0</v>
      </c>
      <c r="AF8355" t="n">
        <v>0</v>
      </c>
      <c r="AG8355" t="n">
        <v>0</v>
      </c>
      <c r="AH8355" t="n">
        <v>0</v>
      </c>
    </row>
    <row r="8356">
      <c r="A8356" t="inlineStr">
        <is>
          <t>12월</t>
        </is>
      </c>
      <c r="B8356" t="inlineStr">
        <is>
          <t>52주차</t>
        </is>
      </c>
      <c r="C8356" t="e">
        <v>#N/A</v>
      </c>
      <c r="K8356" t="n">
        <v>0</v>
      </c>
      <c r="L8356" t="n">
        <v>0</v>
      </c>
      <c r="M8356" t="n">
        <v>0</v>
      </c>
      <c r="AC8356" t="n">
        <v>0</v>
      </c>
      <c r="AD8356" t="n">
        <v>0</v>
      </c>
      <c r="AE8356" t="n">
        <v>0</v>
      </c>
      <c r="AF8356" t="n">
        <v>0</v>
      </c>
      <c r="AG8356" t="n">
        <v>0</v>
      </c>
      <c r="AH8356" t="n">
        <v>0</v>
      </c>
    </row>
    <row r="8357">
      <c r="A8357" t="inlineStr">
        <is>
          <t>12월</t>
        </is>
      </c>
      <c r="B8357" t="inlineStr">
        <is>
          <t>52주차</t>
        </is>
      </c>
      <c r="C8357" t="e">
        <v>#N/A</v>
      </c>
      <c r="K8357" t="n">
        <v>0</v>
      </c>
      <c r="L8357" t="n">
        <v>0</v>
      </c>
      <c r="M8357" t="n">
        <v>0</v>
      </c>
      <c r="AC8357" t="n">
        <v>0</v>
      </c>
      <c r="AD8357" t="n">
        <v>0</v>
      </c>
      <c r="AE8357" t="n">
        <v>0</v>
      </c>
      <c r="AF8357" t="n">
        <v>0</v>
      </c>
      <c r="AG8357" t="n">
        <v>0</v>
      </c>
      <c r="AH8357" t="n">
        <v>0</v>
      </c>
      <c r="AI8357" t="n">
        <v>0</v>
      </c>
    </row>
    <row r="8358">
      <c r="A8358" t="inlineStr">
        <is>
          <t>12월</t>
        </is>
      </c>
      <c r="B8358" t="inlineStr">
        <is>
          <t>52주차</t>
        </is>
      </c>
      <c r="C8358" t="e">
        <v>#N/A</v>
      </c>
      <c r="K8358" t="n">
        <v>0</v>
      </c>
      <c r="L8358" t="n">
        <v>0</v>
      </c>
      <c r="M8358" t="n">
        <v>0</v>
      </c>
      <c r="AC8358" t="n">
        <v>0</v>
      </c>
      <c r="AD8358" t="n">
        <v>0</v>
      </c>
      <c r="AE8358" t="n">
        <v>0</v>
      </c>
      <c r="AF8358" t="n">
        <v>0</v>
      </c>
      <c r="AG8358" t="n">
        <v>0</v>
      </c>
      <c r="AH8358" t="n">
        <v>0</v>
      </c>
      <c r="AI8358" t="n">
        <v>0</v>
      </c>
    </row>
    <row r="8359">
      <c r="A8359" t="inlineStr">
        <is>
          <t>12월</t>
        </is>
      </c>
      <c r="B8359" t="inlineStr">
        <is>
          <t>52주차</t>
        </is>
      </c>
      <c r="C8359" t="e">
        <v>#N/A</v>
      </c>
      <c r="K8359" t="n">
        <v>0</v>
      </c>
      <c r="L8359" t="n">
        <v>0</v>
      </c>
      <c r="M8359" t="n">
        <v>0</v>
      </c>
      <c r="AC8359" t="n">
        <v>0</v>
      </c>
      <c r="AD8359" t="n">
        <v>0</v>
      </c>
      <c r="AE8359" t="n">
        <v>0</v>
      </c>
      <c r="AF8359" t="n">
        <v>0</v>
      </c>
      <c r="AG8359" t="n">
        <v>0</v>
      </c>
      <c r="AH8359" t="n">
        <v>0</v>
      </c>
    </row>
    <row r="8360">
      <c r="A8360" t="inlineStr">
        <is>
          <t>12월</t>
        </is>
      </c>
      <c r="B8360" t="inlineStr">
        <is>
          <t>52주차</t>
        </is>
      </c>
      <c r="C8360" t="e">
        <v>#N/A</v>
      </c>
      <c r="K8360" t="n">
        <v>0</v>
      </c>
      <c r="L8360" t="n">
        <v>0</v>
      </c>
      <c r="M8360" t="n">
        <v>0</v>
      </c>
      <c r="AC8360" t="n">
        <v>0</v>
      </c>
      <c r="AD8360" t="n">
        <v>0</v>
      </c>
      <c r="AE8360" t="n">
        <v>0</v>
      </c>
      <c r="AF8360" t="n">
        <v>0</v>
      </c>
      <c r="AG8360" t="n">
        <v>0</v>
      </c>
      <c r="AH8360" t="n">
        <v>0</v>
      </c>
    </row>
    <row r="8361">
      <c r="A8361" t="inlineStr">
        <is>
          <t>12월</t>
        </is>
      </c>
      <c r="B8361" t="inlineStr">
        <is>
          <t>52주차</t>
        </is>
      </c>
      <c r="C8361" t="e">
        <v>#N/A</v>
      </c>
      <c r="K8361" t="n">
        <v>0</v>
      </c>
      <c r="L8361" t="n">
        <v>0</v>
      </c>
      <c r="M8361" t="n">
        <v>0</v>
      </c>
      <c r="AC8361" t="n">
        <v>0</v>
      </c>
      <c r="AD8361" t="n">
        <v>0</v>
      </c>
      <c r="AE8361" t="n">
        <v>0</v>
      </c>
      <c r="AF8361" t="n">
        <v>0</v>
      </c>
      <c r="AG8361" t="n">
        <v>0</v>
      </c>
      <c r="AH8361" t="n">
        <v>0</v>
      </c>
    </row>
    <row r="8362">
      <c r="A8362" t="inlineStr">
        <is>
          <t>12월</t>
        </is>
      </c>
      <c r="B8362" t="inlineStr">
        <is>
          <t>52주차</t>
        </is>
      </c>
      <c r="C8362" t="e">
        <v>#N/A</v>
      </c>
      <c r="K8362" t="n">
        <v>0</v>
      </c>
      <c r="L8362" t="n">
        <v>0</v>
      </c>
      <c r="M8362" t="n">
        <v>0</v>
      </c>
      <c r="AC8362" t="n">
        <v>0</v>
      </c>
      <c r="AD8362" t="n">
        <v>0</v>
      </c>
      <c r="AE8362" t="n">
        <v>0</v>
      </c>
      <c r="AF8362" t="n">
        <v>0</v>
      </c>
      <c r="AG8362" t="n">
        <v>0</v>
      </c>
      <c r="AH8362" t="n">
        <v>0</v>
      </c>
      <c r="AI8362" t="n">
        <v>0</v>
      </c>
    </row>
    <row r="8363">
      <c r="A8363" t="inlineStr">
        <is>
          <t>12월</t>
        </is>
      </c>
      <c r="B8363" t="inlineStr">
        <is>
          <t>52주차</t>
        </is>
      </c>
      <c r="C8363" t="e">
        <v>#N/A</v>
      </c>
      <c r="K8363" t="n">
        <v>0</v>
      </c>
      <c r="L8363" t="n">
        <v>0</v>
      </c>
      <c r="M8363" t="n">
        <v>0</v>
      </c>
      <c r="AC8363" t="n">
        <v>0</v>
      </c>
      <c r="AD8363" t="n">
        <v>0</v>
      </c>
      <c r="AE8363" t="n">
        <v>0</v>
      </c>
      <c r="AF8363" t="n">
        <v>0</v>
      </c>
      <c r="AG8363" t="n">
        <v>0</v>
      </c>
      <c r="AH8363" t="n">
        <v>0</v>
      </c>
      <c r="AI8363" t="n">
        <v>0</v>
      </c>
    </row>
    <row r="8364">
      <c r="A8364" t="inlineStr">
        <is>
          <t>12월</t>
        </is>
      </c>
      <c r="B8364" t="inlineStr">
        <is>
          <t>52주차</t>
        </is>
      </c>
      <c r="C8364" t="e">
        <v>#N/A</v>
      </c>
      <c r="K8364" t="n">
        <v>0</v>
      </c>
      <c r="L8364" t="n">
        <v>0</v>
      </c>
      <c r="M8364" t="n">
        <v>0</v>
      </c>
      <c r="AC8364" t="n">
        <v>0</v>
      </c>
      <c r="AD8364" t="n">
        <v>0</v>
      </c>
      <c r="AE8364" t="n">
        <v>0</v>
      </c>
      <c r="AF8364" t="n">
        <v>0</v>
      </c>
      <c r="AG8364" t="n">
        <v>0</v>
      </c>
      <c r="AH8364" t="n">
        <v>0</v>
      </c>
      <c r="AI8364" t="n">
        <v>0</v>
      </c>
    </row>
    <row r="8365">
      <c r="A8365" t="inlineStr">
        <is>
          <t>12월</t>
        </is>
      </c>
      <c r="B8365" t="inlineStr">
        <is>
          <t>52주차</t>
        </is>
      </c>
      <c r="C8365" t="e">
        <v>#N/A</v>
      </c>
      <c r="K8365" t="n">
        <v>0</v>
      </c>
      <c r="L8365" t="n">
        <v>0</v>
      </c>
      <c r="M8365" t="n">
        <v>0</v>
      </c>
      <c r="AC8365" t="n">
        <v>0</v>
      </c>
      <c r="AD8365" t="n">
        <v>0</v>
      </c>
      <c r="AE8365" t="n">
        <v>0</v>
      </c>
      <c r="AF8365" t="n">
        <v>0</v>
      </c>
      <c r="AG8365" t="n">
        <v>0</v>
      </c>
      <c r="AH8365" t="n">
        <v>0</v>
      </c>
      <c r="AI8365" t="n">
        <v>0</v>
      </c>
    </row>
    <row r="8366">
      <c r="A8366" t="inlineStr">
        <is>
          <t>12월</t>
        </is>
      </c>
      <c r="B8366" t="inlineStr">
        <is>
          <t>52주차</t>
        </is>
      </c>
      <c r="C8366" t="e">
        <v>#N/A</v>
      </c>
      <c r="K8366" t="n">
        <v>0</v>
      </c>
      <c r="L8366" t="n">
        <v>0</v>
      </c>
      <c r="M8366" t="n">
        <v>0</v>
      </c>
      <c r="AC8366" t="n">
        <v>0</v>
      </c>
      <c r="AD8366" t="n">
        <v>0</v>
      </c>
      <c r="AE8366" t="n">
        <v>0</v>
      </c>
      <c r="AF8366" t="n">
        <v>0</v>
      </c>
      <c r="AG8366" t="n">
        <v>0</v>
      </c>
      <c r="AH8366" t="n">
        <v>0</v>
      </c>
      <c r="AI8366" t="n">
        <v>0</v>
      </c>
    </row>
    <row r="8367">
      <c r="A8367" t="inlineStr">
        <is>
          <t>12월</t>
        </is>
      </c>
      <c r="B8367" t="inlineStr">
        <is>
          <t>52주차</t>
        </is>
      </c>
      <c r="C8367" t="e">
        <v>#N/A</v>
      </c>
      <c r="K8367" t="n">
        <v>0</v>
      </c>
      <c r="L8367" t="n">
        <v>0</v>
      </c>
      <c r="M8367" t="n">
        <v>0</v>
      </c>
      <c r="AC8367" t="n">
        <v>0</v>
      </c>
      <c r="AD8367" t="n">
        <v>0</v>
      </c>
      <c r="AE8367" t="n">
        <v>0</v>
      </c>
      <c r="AF8367" t="n">
        <v>0</v>
      </c>
      <c r="AG8367" t="n">
        <v>0</v>
      </c>
      <c r="AH8367" t="n">
        <v>0</v>
      </c>
      <c r="AI8367" t="n">
        <v>0</v>
      </c>
    </row>
    <row r="8368">
      <c r="A8368" t="inlineStr">
        <is>
          <t>12월</t>
        </is>
      </c>
      <c r="B8368" t="inlineStr">
        <is>
          <t>52주차</t>
        </is>
      </c>
      <c r="C8368" t="e">
        <v>#N/A</v>
      </c>
      <c r="K8368" t="n">
        <v>0</v>
      </c>
      <c r="L8368" t="n">
        <v>0</v>
      </c>
      <c r="M8368" t="n">
        <v>0</v>
      </c>
      <c r="AC8368" t="n">
        <v>0</v>
      </c>
      <c r="AD8368" t="n">
        <v>0</v>
      </c>
      <c r="AE8368" t="n">
        <v>0</v>
      </c>
      <c r="AF8368" t="n">
        <v>0</v>
      </c>
      <c r="AG8368" t="n">
        <v>0</v>
      </c>
      <c r="AH8368" t="n">
        <v>0</v>
      </c>
      <c r="AI8368" t="n">
        <v>0</v>
      </c>
    </row>
    <row r="8369">
      <c r="A8369" t="inlineStr">
        <is>
          <t>12월</t>
        </is>
      </c>
      <c r="B8369" t="inlineStr">
        <is>
          <t>52주차</t>
        </is>
      </c>
      <c r="C8369" t="e">
        <v>#N/A</v>
      </c>
      <c r="K8369" t="n">
        <v>0</v>
      </c>
      <c r="L8369" t="n">
        <v>0</v>
      </c>
      <c r="M8369" t="n">
        <v>0</v>
      </c>
      <c r="AC8369" t="n">
        <v>0</v>
      </c>
      <c r="AD8369" t="n">
        <v>0</v>
      </c>
      <c r="AE8369" t="n">
        <v>0</v>
      </c>
      <c r="AF8369" t="n">
        <v>0</v>
      </c>
      <c r="AG8369" t="n">
        <v>0</v>
      </c>
      <c r="AH8369" t="n">
        <v>0</v>
      </c>
      <c r="AI8369" t="n">
        <v>0</v>
      </c>
    </row>
    <row r="8370">
      <c r="A8370" t="inlineStr">
        <is>
          <t>12월</t>
        </is>
      </c>
      <c r="B8370" t="inlineStr">
        <is>
          <t>52주차</t>
        </is>
      </c>
      <c r="C8370" t="e">
        <v>#N/A</v>
      </c>
      <c r="K8370" t="n">
        <v>0</v>
      </c>
      <c r="L8370" t="n">
        <v>0</v>
      </c>
      <c r="M8370" t="n">
        <v>0</v>
      </c>
      <c r="AC8370" t="n">
        <v>0</v>
      </c>
      <c r="AD8370" t="n">
        <v>0</v>
      </c>
      <c r="AE8370" t="n">
        <v>0</v>
      </c>
      <c r="AF8370" t="n">
        <v>0</v>
      </c>
      <c r="AG8370" t="n">
        <v>0</v>
      </c>
      <c r="AH8370" t="n">
        <v>0</v>
      </c>
    </row>
    <row r="8371">
      <c r="A8371" t="inlineStr">
        <is>
          <t>12월</t>
        </is>
      </c>
      <c r="B8371" t="inlineStr">
        <is>
          <t>52주차</t>
        </is>
      </c>
      <c r="C8371" t="e">
        <v>#N/A</v>
      </c>
      <c r="K8371" t="n">
        <v>0</v>
      </c>
      <c r="L8371" t="n">
        <v>0</v>
      </c>
      <c r="M8371" t="n">
        <v>0</v>
      </c>
      <c r="AC8371" t="n">
        <v>0</v>
      </c>
      <c r="AD8371" t="n">
        <v>0</v>
      </c>
      <c r="AE8371" t="n">
        <v>0</v>
      </c>
      <c r="AF8371" t="n">
        <v>0</v>
      </c>
      <c r="AG8371" t="n">
        <v>0</v>
      </c>
      <c r="AH8371" t="n">
        <v>0</v>
      </c>
      <c r="AI8371" t="n">
        <v>0</v>
      </c>
    </row>
    <row r="8372">
      <c r="A8372" t="inlineStr">
        <is>
          <t>12월</t>
        </is>
      </c>
      <c r="B8372" t="inlineStr">
        <is>
          <t>52주차</t>
        </is>
      </c>
      <c r="C8372" t="e">
        <v>#N/A</v>
      </c>
      <c r="K8372" t="n">
        <v>0</v>
      </c>
      <c r="L8372" t="n">
        <v>0</v>
      </c>
      <c r="M8372" t="n">
        <v>0</v>
      </c>
      <c r="AC8372" t="n">
        <v>0</v>
      </c>
      <c r="AD8372" t="n">
        <v>0</v>
      </c>
      <c r="AE8372" t="n">
        <v>0</v>
      </c>
      <c r="AF8372" t="n">
        <v>0</v>
      </c>
      <c r="AG8372" t="n">
        <v>0</v>
      </c>
      <c r="AH8372" t="n">
        <v>0</v>
      </c>
      <c r="AI8372" t="n">
        <v>0</v>
      </c>
    </row>
    <row r="8373">
      <c r="A8373" t="inlineStr">
        <is>
          <t>12월</t>
        </is>
      </c>
      <c r="B8373" t="inlineStr">
        <is>
          <t>52주차</t>
        </is>
      </c>
      <c r="C8373" t="e">
        <v>#N/A</v>
      </c>
      <c r="K8373" t="n">
        <v>0</v>
      </c>
      <c r="L8373" t="n">
        <v>0</v>
      </c>
      <c r="M8373" t="n">
        <v>0</v>
      </c>
      <c r="AC8373" t="n">
        <v>0</v>
      </c>
      <c r="AD8373" t="n">
        <v>0</v>
      </c>
      <c r="AE8373" t="n">
        <v>0</v>
      </c>
      <c r="AF8373" t="n">
        <v>0</v>
      </c>
      <c r="AG8373" t="n">
        <v>0</v>
      </c>
      <c r="AH8373" t="n">
        <v>0</v>
      </c>
    </row>
    <row r="8374">
      <c r="A8374" t="inlineStr">
        <is>
          <t>12월</t>
        </is>
      </c>
      <c r="B8374" t="inlineStr">
        <is>
          <t>52주차</t>
        </is>
      </c>
      <c r="C8374" t="e">
        <v>#N/A</v>
      </c>
      <c r="K8374" t="n">
        <v>0</v>
      </c>
      <c r="L8374" t="n">
        <v>0</v>
      </c>
      <c r="M8374" t="n">
        <v>0</v>
      </c>
      <c r="AC8374" t="n">
        <v>0</v>
      </c>
      <c r="AD8374" t="n">
        <v>0</v>
      </c>
      <c r="AE8374" t="n">
        <v>0</v>
      </c>
      <c r="AF8374" t="n">
        <v>0</v>
      </c>
      <c r="AG8374" t="n">
        <v>0</v>
      </c>
      <c r="AH8374" t="n">
        <v>0</v>
      </c>
    </row>
    <row r="8375">
      <c r="A8375" t="inlineStr">
        <is>
          <t>12월</t>
        </is>
      </c>
      <c r="B8375" t="inlineStr">
        <is>
          <t>52주차</t>
        </is>
      </c>
      <c r="C8375" t="e">
        <v>#N/A</v>
      </c>
      <c r="K8375" t="n">
        <v>0</v>
      </c>
      <c r="L8375" t="n">
        <v>0</v>
      </c>
      <c r="M8375" t="n">
        <v>0</v>
      </c>
      <c r="AC8375" t="n">
        <v>0</v>
      </c>
      <c r="AD8375" t="n">
        <v>0</v>
      </c>
      <c r="AE8375" t="n">
        <v>0</v>
      </c>
      <c r="AF8375" t="n">
        <v>0</v>
      </c>
      <c r="AG8375" t="n">
        <v>0</v>
      </c>
      <c r="AH8375" t="n">
        <v>0</v>
      </c>
      <c r="AI8375" t="n">
        <v>0</v>
      </c>
    </row>
    <row r="8376">
      <c r="A8376" t="inlineStr">
        <is>
          <t>12월</t>
        </is>
      </c>
      <c r="B8376" t="inlineStr">
        <is>
          <t>52주차</t>
        </is>
      </c>
      <c r="C8376" t="e">
        <v>#N/A</v>
      </c>
      <c r="K8376" t="n">
        <v>0</v>
      </c>
      <c r="L8376" t="n">
        <v>0</v>
      </c>
      <c r="M8376" t="n">
        <v>0</v>
      </c>
      <c r="AC8376" t="n">
        <v>0</v>
      </c>
      <c r="AD8376" t="n">
        <v>0</v>
      </c>
      <c r="AE8376" t="n">
        <v>0</v>
      </c>
      <c r="AF8376" t="n">
        <v>0</v>
      </c>
      <c r="AG8376" t="n">
        <v>0</v>
      </c>
      <c r="AH8376" t="n">
        <v>0</v>
      </c>
      <c r="AI8376" t="n">
        <v>0</v>
      </c>
    </row>
    <row r="8377">
      <c r="A8377" t="inlineStr">
        <is>
          <t>12월</t>
        </is>
      </c>
      <c r="B8377" t="inlineStr">
        <is>
          <t>52주차</t>
        </is>
      </c>
      <c r="C8377" t="e">
        <v>#N/A</v>
      </c>
      <c r="K8377" t="n">
        <v>0</v>
      </c>
      <c r="L8377" t="n">
        <v>0</v>
      </c>
      <c r="M8377" t="n">
        <v>0</v>
      </c>
      <c r="AC8377" t="n">
        <v>0</v>
      </c>
      <c r="AD8377" t="n">
        <v>0</v>
      </c>
      <c r="AE8377" t="n">
        <v>0</v>
      </c>
      <c r="AF8377" t="n">
        <v>0</v>
      </c>
      <c r="AG8377" t="n">
        <v>0</v>
      </c>
      <c r="AH8377" t="n">
        <v>0</v>
      </c>
    </row>
    <row r="8378">
      <c r="A8378" t="inlineStr">
        <is>
          <t>12월</t>
        </is>
      </c>
      <c r="B8378" t="inlineStr">
        <is>
          <t>52주차</t>
        </is>
      </c>
      <c r="C8378" t="e">
        <v>#N/A</v>
      </c>
      <c r="K8378" t="n">
        <v>0</v>
      </c>
      <c r="L8378" t="n">
        <v>0</v>
      </c>
      <c r="M8378" t="n">
        <v>0</v>
      </c>
      <c r="AC8378" t="n">
        <v>0</v>
      </c>
      <c r="AD8378" t="n">
        <v>0</v>
      </c>
      <c r="AE8378" t="n">
        <v>0</v>
      </c>
      <c r="AF8378" t="n">
        <v>0</v>
      </c>
      <c r="AG8378" t="n">
        <v>0</v>
      </c>
      <c r="AH8378" t="n">
        <v>0</v>
      </c>
      <c r="AI8378" t="n">
        <v>0</v>
      </c>
    </row>
    <row r="8379">
      <c r="A8379" t="inlineStr">
        <is>
          <t>12월</t>
        </is>
      </c>
      <c r="B8379" t="inlineStr">
        <is>
          <t>52주차</t>
        </is>
      </c>
      <c r="C8379" t="e">
        <v>#N/A</v>
      </c>
      <c r="K8379" t="n">
        <v>0</v>
      </c>
      <c r="L8379" t="n">
        <v>0</v>
      </c>
      <c r="M8379" t="n">
        <v>0</v>
      </c>
      <c r="AC8379" t="n">
        <v>0</v>
      </c>
      <c r="AD8379" t="n">
        <v>0</v>
      </c>
      <c r="AE8379" t="n">
        <v>0</v>
      </c>
      <c r="AF8379" t="n">
        <v>0</v>
      </c>
      <c r="AG8379" t="n">
        <v>0</v>
      </c>
      <c r="AH8379" t="n">
        <v>0</v>
      </c>
    </row>
    <row r="8380">
      <c r="A8380" t="inlineStr">
        <is>
          <t>12월</t>
        </is>
      </c>
      <c r="B8380" t="inlineStr">
        <is>
          <t>52주차</t>
        </is>
      </c>
      <c r="C8380" t="e">
        <v>#N/A</v>
      </c>
      <c r="K8380" t="n">
        <v>0</v>
      </c>
      <c r="L8380" t="n">
        <v>0</v>
      </c>
      <c r="M8380" t="n">
        <v>0</v>
      </c>
      <c r="AC8380" t="n">
        <v>0</v>
      </c>
      <c r="AD8380" t="n">
        <v>0</v>
      </c>
      <c r="AE8380" t="n">
        <v>0</v>
      </c>
      <c r="AF8380" t="n">
        <v>0</v>
      </c>
      <c r="AG8380" t="n">
        <v>0</v>
      </c>
      <c r="AH8380" t="n">
        <v>0</v>
      </c>
      <c r="AI8380" t="n">
        <v>0</v>
      </c>
    </row>
    <row r="8381">
      <c r="A8381" t="inlineStr">
        <is>
          <t>12월</t>
        </is>
      </c>
      <c r="B8381" t="inlineStr">
        <is>
          <t>52주차</t>
        </is>
      </c>
      <c r="C8381" t="e">
        <v>#N/A</v>
      </c>
      <c r="K8381" t="n">
        <v>0</v>
      </c>
      <c r="L8381" t="n">
        <v>0</v>
      </c>
      <c r="M8381" t="n">
        <v>0</v>
      </c>
      <c r="AC8381" t="n">
        <v>0</v>
      </c>
      <c r="AD8381" t="n">
        <v>0</v>
      </c>
      <c r="AE8381" t="n">
        <v>0</v>
      </c>
      <c r="AF8381" t="n">
        <v>0</v>
      </c>
      <c r="AG8381" t="n">
        <v>0</v>
      </c>
      <c r="AH8381" t="n">
        <v>0</v>
      </c>
      <c r="AI8381" t="n">
        <v>0</v>
      </c>
    </row>
    <row r="8382">
      <c r="A8382" t="inlineStr">
        <is>
          <t>12월</t>
        </is>
      </c>
      <c r="B8382" t="inlineStr">
        <is>
          <t>52주차</t>
        </is>
      </c>
      <c r="C8382" t="e">
        <v>#N/A</v>
      </c>
      <c r="K8382" t="n">
        <v>0</v>
      </c>
      <c r="L8382" t="n">
        <v>0</v>
      </c>
      <c r="M8382" t="n">
        <v>0</v>
      </c>
      <c r="AC8382" t="n">
        <v>0</v>
      </c>
      <c r="AD8382" t="n">
        <v>0</v>
      </c>
      <c r="AE8382" t="n">
        <v>0</v>
      </c>
      <c r="AF8382" t="n">
        <v>0</v>
      </c>
      <c r="AG8382" t="n">
        <v>0</v>
      </c>
      <c r="AH8382" t="n">
        <v>0</v>
      </c>
      <c r="AI8382" t="n">
        <v>0</v>
      </c>
    </row>
    <row r="8383">
      <c r="A8383" t="inlineStr">
        <is>
          <t>12월</t>
        </is>
      </c>
      <c r="B8383" t="inlineStr">
        <is>
          <t>52주차</t>
        </is>
      </c>
      <c r="C8383" t="e">
        <v>#N/A</v>
      </c>
      <c r="K8383" t="n">
        <v>0</v>
      </c>
      <c r="L8383" t="n">
        <v>0</v>
      </c>
      <c r="M8383" t="n">
        <v>0</v>
      </c>
      <c r="AC8383" t="n">
        <v>0</v>
      </c>
      <c r="AD8383" t="n">
        <v>0</v>
      </c>
      <c r="AE8383" t="n">
        <v>0</v>
      </c>
      <c r="AF8383" t="n">
        <v>0</v>
      </c>
      <c r="AG8383" t="n">
        <v>0</v>
      </c>
      <c r="AH8383" t="n">
        <v>0</v>
      </c>
      <c r="AI8383" t="n">
        <v>0</v>
      </c>
    </row>
    <row r="8384">
      <c r="A8384" t="inlineStr">
        <is>
          <t>12월</t>
        </is>
      </c>
      <c r="B8384" t="inlineStr">
        <is>
          <t>52주차</t>
        </is>
      </c>
      <c r="C8384" t="e">
        <v>#N/A</v>
      </c>
      <c r="K8384" t="n">
        <v>0</v>
      </c>
      <c r="L8384" t="n">
        <v>0</v>
      </c>
      <c r="M8384" t="n">
        <v>0</v>
      </c>
      <c r="AC8384" t="n">
        <v>0</v>
      </c>
      <c r="AD8384" t="n">
        <v>0</v>
      </c>
      <c r="AE8384" t="n">
        <v>0</v>
      </c>
      <c r="AF8384" t="n">
        <v>0</v>
      </c>
      <c r="AG8384" t="n">
        <v>0</v>
      </c>
      <c r="AH8384" t="n">
        <v>0</v>
      </c>
      <c r="AI8384" t="n">
        <v>0</v>
      </c>
    </row>
    <row r="8385">
      <c r="A8385" t="inlineStr">
        <is>
          <t>12월</t>
        </is>
      </c>
      <c r="B8385" t="inlineStr">
        <is>
          <t>52주차</t>
        </is>
      </c>
      <c r="C8385" t="e">
        <v>#N/A</v>
      </c>
      <c r="K8385" t="n">
        <v>0</v>
      </c>
      <c r="L8385" t="n">
        <v>0</v>
      </c>
      <c r="M8385" t="n">
        <v>0</v>
      </c>
      <c r="AC8385" t="n">
        <v>0</v>
      </c>
      <c r="AD8385" t="n">
        <v>0</v>
      </c>
      <c r="AE8385" t="n">
        <v>0</v>
      </c>
      <c r="AF8385" t="n">
        <v>0</v>
      </c>
      <c r="AG8385" t="n">
        <v>0</v>
      </c>
      <c r="AH8385" t="n">
        <v>0</v>
      </c>
      <c r="AI8385" t="n">
        <v>0</v>
      </c>
    </row>
    <row r="8386">
      <c r="A8386" t="inlineStr">
        <is>
          <t>12월</t>
        </is>
      </c>
      <c r="B8386" t="inlineStr">
        <is>
          <t>52주차</t>
        </is>
      </c>
      <c r="C8386" t="e">
        <v>#N/A</v>
      </c>
      <c r="K8386" t="n">
        <v>0</v>
      </c>
      <c r="L8386" t="n">
        <v>0</v>
      </c>
      <c r="M8386" t="n">
        <v>0</v>
      </c>
      <c r="AC8386" t="n">
        <v>0</v>
      </c>
      <c r="AD8386" t="n">
        <v>0</v>
      </c>
      <c r="AE8386" t="n">
        <v>0</v>
      </c>
      <c r="AF8386" t="n">
        <v>0</v>
      </c>
      <c r="AG8386" t="n">
        <v>0</v>
      </c>
      <c r="AH8386" t="n">
        <v>0</v>
      </c>
      <c r="AI8386" t="n">
        <v>0</v>
      </c>
    </row>
    <row r="8387">
      <c r="A8387" t="inlineStr">
        <is>
          <t>12월</t>
        </is>
      </c>
      <c r="B8387" t="inlineStr">
        <is>
          <t>52주차</t>
        </is>
      </c>
      <c r="C8387" t="e">
        <v>#N/A</v>
      </c>
      <c r="K8387" t="n">
        <v>0</v>
      </c>
      <c r="L8387" t="n">
        <v>0</v>
      </c>
      <c r="M8387" t="n">
        <v>0</v>
      </c>
      <c r="AC8387" t="n">
        <v>0</v>
      </c>
      <c r="AD8387" t="n">
        <v>0</v>
      </c>
      <c r="AE8387" t="n">
        <v>0</v>
      </c>
      <c r="AF8387" t="n">
        <v>0</v>
      </c>
      <c r="AG8387" t="n">
        <v>0</v>
      </c>
      <c r="AH8387" t="n">
        <v>0</v>
      </c>
      <c r="AI8387" t="n">
        <v>0</v>
      </c>
    </row>
    <row r="8388">
      <c r="A8388" t="inlineStr">
        <is>
          <t>12월</t>
        </is>
      </c>
      <c r="B8388" t="inlineStr">
        <is>
          <t>52주차</t>
        </is>
      </c>
      <c r="C8388" t="e">
        <v>#N/A</v>
      </c>
      <c r="K8388" t="n">
        <v>0</v>
      </c>
      <c r="L8388" t="n">
        <v>0</v>
      </c>
      <c r="M8388" t="n">
        <v>0</v>
      </c>
      <c r="AC8388" t="n">
        <v>0</v>
      </c>
      <c r="AD8388" t="n">
        <v>0</v>
      </c>
      <c r="AE8388" t="n">
        <v>0</v>
      </c>
      <c r="AF8388" t="n">
        <v>0</v>
      </c>
      <c r="AG8388" t="n">
        <v>0</v>
      </c>
      <c r="AH8388" t="n">
        <v>0</v>
      </c>
      <c r="AI8388" t="n">
        <v>0</v>
      </c>
    </row>
    <row r="8389">
      <c r="A8389" t="inlineStr">
        <is>
          <t>12월</t>
        </is>
      </c>
      <c r="B8389" t="inlineStr">
        <is>
          <t>52주차</t>
        </is>
      </c>
      <c r="C8389" t="e">
        <v>#N/A</v>
      </c>
      <c r="K8389" t="n">
        <v>0</v>
      </c>
      <c r="L8389" t="n">
        <v>0</v>
      </c>
      <c r="M8389" t="n">
        <v>0</v>
      </c>
      <c r="AC8389" t="n">
        <v>0</v>
      </c>
      <c r="AD8389" t="n">
        <v>0</v>
      </c>
      <c r="AE8389" t="n">
        <v>0</v>
      </c>
      <c r="AF8389" t="n">
        <v>0</v>
      </c>
      <c r="AG8389" t="n">
        <v>0</v>
      </c>
      <c r="AH8389" t="n">
        <v>0</v>
      </c>
    </row>
    <row r="8390">
      <c r="A8390" t="inlineStr">
        <is>
          <t>12월</t>
        </is>
      </c>
      <c r="B8390" t="inlineStr">
        <is>
          <t>52주차</t>
        </is>
      </c>
      <c r="C8390" t="e">
        <v>#N/A</v>
      </c>
      <c r="K8390" t="n">
        <v>0</v>
      </c>
      <c r="L8390" t="n">
        <v>0</v>
      </c>
      <c r="M8390" t="n">
        <v>0</v>
      </c>
      <c r="AC8390" t="n">
        <v>0</v>
      </c>
      <c r="AD8390" t="n">
        <v>0</v>
      </c>
      <c r="AE8390" t="n">
        <v>0</v>
      </c>
      <c r="AF8390" t="n">
        <v>0</v>
      </c>
      <c r="AG8390" t="n">
        <v>0</v>
      </c>
      <c r="AH8390" t="n">
        <v>0</v>
      </c>
    </row>
    <row r="8391">
      <c r="A8391" t="inlineStr">
        <is>
          <t>12월</t>
        </is>
      </c>
      <c r="B8391" t="inlineStr">
        <is>
          <t>52주차</t>
        </is>
      </c>
      <c r="C8391" t="e">
        <v>#N/A</v>
      </c>
      <c r="K8391" t="n">
        <v>0</v>
      </c>
      <c r="L8391" t="n">
        <v>0</v>
      </c>
      <c r="M8391" t="n">
        <v>0</v>
      </c>
      <c r="AC8391" t="n">
        <v>0</v>
      </c>
      <c r="AD8391" t="n">
        <v>0</v>
      </c>
      <c r="AE8391" t="n">
        <v>0</v>
      </c>
      <c r="AF8391" t="n">
        <v>0</v>
      </c>
      <c r="AG8391" t="n">
        <v>0</v>
      </c>
      <c r="AH8391" t="n">
        <v>0</v>
      </c>
      <c r="AI8391" t="n">
        <v>0</v>
      </c>
    </row>
    <row r="8392">
      <c r="A8392" t="inlineStr">
        <is>
          <t>12월</t>
        </is>
      </c>
      <c r="B8392" t="inlineStr">
        <is>
          <t>52주차</t>
        </is>
      </c>
      <c r="C8392" t="e">
        <v>#N/A</v>
      </c>
      <c r="K8392" t="n">
        <v>0</v>
      </c>
      <c r="L8392" t="n">
        <v>0</v>
      </c>
      <c r="M8392" t="n">
        <v>0</v>
      </c>
      <c r="AC8392" t="n">
        <v>0</v>
      </c>
      <c r="AD8392" t="n">
        <v>0</v>
      </c>
      <c r="AE8392" t="n">
        <v>0</v>
      </c>
      <c r="AF8392" t="n">
        <v>0</v>
      </c>
      <c r="AG8392" t="n">
        <v>0</v>
      </c>
      <c r="AH8392" t="n">
        <v>0</v>
      </c>
      <c r="AI8392" t="n">
        <v>0</v>
      </c>
    </row>
    <row r="8393">
      <c r="A8393" t="inlineStr">
        <is>
          <t>12월</t>
        </is>
      </c>
      <c r="B8393" t="inlineStr">
        <is>
          <t>52주차</t>
        </is>
      </c>
      <c r="C8393" t="e">
        <v>#N/A</v>
      </c>
      <c r="K8393" t="n">
        <v>0</v>
      </c>
      <c r="L8393" t="n">
        <v>0</v>
      </c>
      <c r="M8393" t="n">
        <v>0</v>
      </c>
      <c r="AC8393" t="n">
        <v>0</v>
      </c>
      <c r="AD8393" t="n">
        <v>0</v>
      </c>
      <c r="AE8393" t="n">
        <v>0</v>
      </c>
      <c r="AF8393" t="n">
        <v>0</v>
      </c>
      <c r="AG8393" t="n">
        <v>0</v>
      </c>
      <c r="AH8393" t="n">
        <v>0</v>
      </c>
    </row>
    <row r="8394">
      <c r="A8394" t="inlineStr">
        <is>
          <t>12월</t>
        </is>
      </c>
      <c r="B8394" t="inlineStr">
        <is>
          <t>52주차</t>
        </is>
      </c>
      <c r="C8394" t="e">
        <v>#N/A</v>
      </c>
      <c r="K8394" t="n">
        <v>0</v>
      </c>
      <c r="L8394" t="n">
        <v>0</v>
      </c>
      <c r="M8394" t="n">
        <v>0</v>
      </c>
      <c r="AC8394" t="n">
        <v>0</v>
      </c>
      <c r="AD8394" t="n">
        <v>0</v>
      </c>
      <c r="AE8394" t="n">
        <v>0</v>
      </c>
      <c r="AF8394" t="n">
        <v>0</v>
      </c>
      <c r="AG8394" t="n">
        <v>0</v>
      </c>
      <c r="AH8394" t="n">
        <v>0</v>
      </c>
      <c r="AI8394" t="n">
        <v>0</v>
      </c>
    </row>
    <row r="8395">
      <c r="A8395" t="inlineStr">
        <is>
          <t>12월</t>
        </is>
      </c>
      <c r="B8395" t="inlineStr">
        <is>
          <t>52주차</t>
        </is>
      </c>
      <c r="C8395" t="e">
        <v>#N/A</v>
      </c>
      <c r="K8395" t="n">
        <v>0</v>
      </c>
      <c r="L8395" t="n">
        <v>0</v>
      </c>
      <c r="M8395" t="n">
        <v>0</v>
      </c>
      <c r="AC8395" t="n">
        <v>0</v>
      </c>
      <c r="AD8395" t="n">
        <v>0</v>
      </c>
      <c r="AE8395" t="n">
        <v>0</v>
      </c>
      <c r="AF8395" t="n">
        <v>0</v>
      </c>
      <c r="AG8395" t="n">
        <v>0</v>
      </c>
      <c r="AH8395" t="n">
        <v>0</v>
      </c>
      <c r="AI8395" t="n">
        <v>0</v>
      </c>
    </row>
    <row r="8396">
      <c r="A8396" t="inlineStr">
        <is>
          <t>12월</t>
        </is>
      </c>
      <c r="B8396" t="inlineStr">
        <is>
          <t>52주차</t>
        </is>
      </c>
      <c r="C8396" t="e">
        <v>#N/A</v>
      </c>
      <c r="K8396" t="n">
        <v>0</v>
      </c>
      <c r="L8396" t="n">
        <v>0</v>
      </c>
      <c r="M8396" t="n">
        <v>0</v>
      </c>
      <c r="AC8396" t="n">
        <v>0</v>
      </c>
      <c r="AD8396" t="n">
        <v>0</v>
      </c>
      <c r="AE8396" t="n">
        <v>0</v>
      </c>
      <c r="AF8396" t="n">
        <v>0</v>
      </c>
      <c r="AG8396" t="n">
        <v>0</v>
      </c>
      <c r="AH8396" t="n">
        <v>0</v>
      </c>
      <c r="AI8396" t="n">
        <v>0</v>
      </c>
    </row>
    <row r="8397">
      <c r="A8397" t="inlineStr">
        <is>
          <t>12월</t>
        </is>
      </c>
      <c r="B8397" t="inlineStr">
        <is>
          <t>52주차</t>
        </is>
      </c>
      <c r="C8397" t="e">
        <v>#N/A</v>
      </c>
      <c r="K8397" t="n">
        <v>0</v>
      </c>
      <c r="L8397" t="n">
        <v>0</v>
      </c>
      <c r="M8397" t="n">
        <v>0</v>
      </c>
      <c r="AC8397" t="n">
        <v>0</v>
      </c>
      <c r="AD8397" t="n">
        <v>0</v>
      </c>
      <c r="AE8397" t="n">
        <v>0</v>
      </c>
      <c r="AF8397" t="n">
        <v>0</v>
      </c>
      <c r="AG8397" t="n">
        <v>0</v>
      </c>
      <c r="AH8397" t="n">
        <v>0</v>
      </c>
      <c r="AI8397" t="n">
        <v>0</v>
      </c>
    </row>
    <row r="8398">
      <c r="A8398" t="inlineStr">
        <is>
          <t>12월</t>
        </is>
      </c>
      <c r="B8398" t="inlineStr">
        <is>
          <t>52주차</t>
        </is>
      </c>
      <c r="C8398" t="e">
        <v>#N/A</v>
      </c>
      <c r="K8398" t="n">
        <v>0</v>
      </c>
      <c r="L8398" t="n">
        <v>0</v>
      </c>
      <c r="M8398" t="n">
        <v>0</v>
      </c>
      <c r="AC8398" t="n">
        <v>0</v>
      </c>
      <c r="AD8398" t="n">
        <v>0</v>
      </c>
      <c r="AE8398" t="n">
        <v>0</v>
      </c>
      <c r="AF8398" t="n">
        <v>0</v>
      </c>
      <c r="AG8398" t="n">
        <v>0</v>
      </c>
      <c r="AH8398" t="n">
        <v>0</v>
      </c>
      <c r="AI8398" t="n">
        <v>0</v>
      </c>
    </row>
    <row r="8399">
      <c r="A8399" t="inlineStr">
        <is>
          <t>12월</t>
        </is>
      </c>
      <c r="B8399" t="inlineStr">
        <is>
          <t>52주차</t>
        </is>
      </c>
      <c r="C8399" t="e">
        <v>#N/A</v>
      </c>
      <c r="K8399" t="n">
        <v>0</v>
      </c>
      <c r="L8399" t="n">
        <v>0</v>
      </c>
      <c r="M8399" t="n">
        <v>0</v>
      </c>
      <c r="AC8399" t="n">
        <v>0</v>
      </c>
      <c r="AD8399" t="n">
        <v>0</v>
      </c>
      <c r="AE8399" t="n">
        <v>0</v>
      </c>
      <c r="AF8399" t="n">
        <v>0</v>
      </c>
      <c r="AG8399" t="n">
        <v>0</v>
      </c>
      <c r="AH8399" t="n">
        <v>0</v>
      </c>
      <c r="AI8399" t="n">
        <v>0</v>
      </c>
    </row>
    <row r="8400">
      <c r="A8400" t="inlineStr">
        <is>
          <t>12월</t>
        </is>
      </c>
      <c r="B8400" t="inlineStr">
        <is>
          <t>52주차</t>
        </is>
      </c>
      <c r="C8400" t="e">
        <v>#N/A</v>
      </c>
      <c r="K8400" t="n">
        <v>0</v>
      </c>
      <c r="L8400" t="n">
        <v>0</v>
      </c>
      <c r="M8400" t="n">
        <v>0</v>
      </c>
      <c r="AC8400" t="n">
        <v>0</v>
      </c>
      <c r="AD8400" t="n">
        <v>0</v>
      </c>
      <c r="AE8400" t="n">
        <v>0</v>
      </c>
      <c r="AF8400" t="n">
        <v>0</v>
      </c>
      <c r="AG8400" t="n">
        <v>0</v>
      </c>
      <c r="AH8400" t="n">
        <v>0</v>
      </c>
      <c r="AI8400" t="n">
        <v>0</v>
      </c>
    </row>
    <row r="8401">
      <c r="A8401" t="inlineStr">
        <is>
          <t>12월</t>
        </is>
      </c>
      <c r="B8401" t="inlineStr">
        <is>
          <t>52주차</t>
        </is>
      </c>
      <c r="C8401" t="e">
        <v>#N/A</v>
      </c>
      <c r="K8401" t="n">
        <v>0</v>
      </c>
      <c r="L8401" t="n">
        <v>0</v>
      </c>
      <c r="M8401" t="n">
        <v>0</v>
      </c>
      <c r="AC8401" t="n">
        <v>0</v>
      </c>
      <c r="AD8401" t="n">
        <v>0</v>
      </c>
      <c r="AE8401" t="n">
        <v>0</v>
      </c>
      <c r="AF8401" t="n">
        <v>0</v>
      </c>
      <c r="AG8401" t="n">
        <v>0</v>
      </c>
      <c r="AH8401" t="n">
        <v>0</v>
      </c>
      <c r="AI8401" t="n">
        <v>0</v>
      </c>
    </row>
    <row r="8402">
      <c r="A8402" t="inlineStr">
        <is>
          <t>12월</t>
        </is>
      </c>
      <c r="B8402" t="inlineStr">
        <is>
          <t>52주차</t>
        </is>
      </c>
      <c r="C8402" t="e">
        <v>#N/A</v>
      </c>
      <c r="K8402" t="n">
        <v>0</v>
      </c>
      <c r="L8402" t="n">
        <v>0</v>
      </c>
      <c r="M8402" t="n">
        <v>0</v>
      </c>
      <c r="AC8402" t="n">
        <v>0</v>
      </c>
      <c r="AD8402" t="n">
        <v>0</v>
      </c>
      <c r="AE8402" t="n">
        <v>0</v>
      </c>
      <c r="AF8402" t="n">
        <v>0</v>
      </c>
      <c r="AG8402" t="n">
        <v>0</v>
      </c>
      <c r="AH8402" t="n">
        <v>0</v>
      </c>
    </row>
    <row r="8403">
      <c r="A8403" t="inlineStr">
        <is>
          <t>12월</t>
        </is>
      </c>
      <c r="B8403" t="inlineStr">
        <is>
          <t>52주차</t>
        </is>
      </c>
      <c r="C8403" t="e">
        <v>#N/A</v>
      </c>
      <c r="K8403" t="n">
        <v>0</v>
      </c>
      <c r="L8403" t="n">
        <v>0</v>
      </c>
      <c r="M8403" t="n">
        <v>0</v>
      </c>
      <c r="AC8403" t="n">
        <v>0</v>
      </c>
      <c r="AD8403" t="n">
        <v>0</v>
      </c>
      <c r="AE8403" t="n">
        <v>0</v>
      </c>
      <c r="AF8403" t="n">
        <v>0</v>
      </c>
      <c r="AG8403" t="n">
        <v>0</v>
      </c>
      <c r="AH8403" t="n">
        <v>0</v>
      </c>
      <c r="AI8403" t="n">
        <v>0</v>
      </c>
    </row>
    <row r="8404">
      <c r="A8404" t="inlineStr">
        <is>
          <t>12월</t>
        </is>
      </c>
      <c r="B8404" t="inlineStr">
        <is>
          <t>52주차</t>
        </is>
      </c>
      <c r="C8404" t="e">
        <v>#N/A</v>
      </c>
      <c r="K8404" t="n">
        <v>0</v>
      </c>
      <c r="L8404" t="n">
        <v>0</v>
      </c>
      <c r="M8404" t="n">
        <v>0</v>
      </c>
      <c r="AC8404" t="n">
        <v>0</v>
      </c>
      <c r="AD8404" t="n">
        <v>0</v>
      </c>
      <c r="AE8404" t="n">
        <v>0</v>
      </c>
      <c r="AF8404" t="n">
        <v>0</v>
      </c>
      <c r="AG8404" t="n">
        <v>0</v>
      </c>
      <c r="AH8404" t="n">
        <v>0</v>
      </c>
      <c r="AI8404" t="n">
        <v>0</v>
      </c>
    </row>
    <row r="8405">
      <c r="A8405" t="inlineStr">
        <is>
          <t>12월</t>
        </is>
      </c>
      <c r="B8405" t="inlineStr">
        <is>
          <t>52주차</t>
        </is>
      </c>
      <c r="C8405" t="e">
        <v>#N/A</v>
      </c>
      <c r="K8405" t="n">
        <v>0</v>
      </c>
      <c r="L8405" t="n">
        <v>0</v>
      </c>
      <c r="M8405" t="n">
        <v>0</v>
      </c>
      <c r="AC8405" t="n">
        <v>0</v>
      </c>
      <c r="AD8405" t="n">
        <v>0</v>
      </c>
      <c r="AE8405" t="n">
        <v>0</v>
      </c>
      <c r="AF8405" t="n">
        <v>0</v>
      </c>
      <c r="AG8405" t="n">
        <v>0</v>
      </c>
      <c r="AH8405" t="n">
        <v>0</v>
      </c>
      <c r="AI8405" t="n">
        <v>0</v>
      </c>
    </row>
    <row r="8406">
      <c r="A8406" t="inlineStr">
        <is>
          <t>12월</t>
        </is>
      </c>
      <c r="B8406" t="inlineStr">
        <is>
          <t>52주차</t>
        </is>
      </c>
      <c r="C8406" t="e">
        <v>#N/A</v>
      </c>
      <c r="K8406" t="n">
        <v>0</v>
      </c>
      <c r="L8406" t="n">
        <v>0</v>
      </c>
      <c r="M8406" t="n">
        <v>0</v>
      </c>
      <c r="AC8406" t="n">
        <v>0</v>
      </c>
      <c r="AD8406" t="n">
        <v>0</v>
      </c>
      <c r="AE8406" t="n">
        <v>0</v>
      </c>
      <c r="AF8406" t="n">
        <v>0</v>
      </c>
      <c r="AG8406" t="n">
        <v>0</v>
      </c>
      <c r="AH8406" t="n">
        <v>0</v>
      </c>
    </row>
    <row r="8407">
      <c r="A8407" t="inlineStr">
        <is>
          <t>12월</t>
        </is>
      </c>
      <c r="B8407" t="inlineStr">
        <is>
          <t>52주차</t>
        </is>
      </c>
      <c r="C8407" t="e">
        <v>#N/A</v>
      </c>
      <c r="K8407" t="n">
        <v>0</v>
      </c>
      <c r="L8407" t="n">
        <v>0</v>
      </c>
      <c r="M8407" t="n">
        <v>0</v>
      </c>
      <c r="AC8407" t="n">
        <v>0</v>
      </c>
      <c r="AD8407" t="n">
        <v>0</v>
      </c>
      <c r="AE8407" t="n">
        <v>0</v>
      </c>
      <c r="AF8407" t="n">
        <v>0</v>
      </c>
      <c r="AG8407" t="n">
        <v>0</v>
      </c>
      <c r="AH8407" t="n">
        <v>0</v>
      </c>
    </row>
    <row r="8408">
      <c r="A8408" t="inlineStr">
        <is>
          <t>12월</t>
        </is>
      </c>
      <c r="B8408" t="inlineStr">
        <is>
          <t>52주차</t>
        </is>
      </c>
      <c r="C8408" t="e">
        <v>#N/A</v>
      </c>
      <c r="K8408" t="n">
        <v>0</v>
      </c>
      <c r="L8408" t="n">
        <v>0</v>
      </c>
      <c r="M8408" t="n">
        <v>0</v>
      </c>
      <c r="AC8408" t="n">
        <v>0</v>
      </c>
      <c r="AD8408" t="n">
        <v>0</v>
      </c>
      <c r="AE8408" t="n">
        <v>0</v>
      </c>
      <c r="AF8408" t="n">
        <v>0</v>
      </c>
      <c r="AG8408" t="n">
        <v>0</v>
      </c>
      <c r="AH8408" t="n">
        <v>0</v>
      </c>
      <c r="AI8408" t="n">
        <v>0</v>
      </c>
    </row>
    <row r="8409">
      <c r="A8409" t="inlineStr">
        <is>
          <t>12월</t>
        </is>
      </c>
      <c r="B8409" t="inlineStr">
        <is>
          <t>52주차</t>
        </is>
      </c>
      <c r="C8409" t="e">
        <v>#N/A</v>
      </c>
      <c r="K8409" t="n">
        <v>0</v>
      </c>
      <c r="L8409" t="n">
        <v>0</v>
      </c>
      <c r="M8409" t="n">
        <v>0</v>
      </c>
      <c r="AC8409" t="n">
        <v>0</v>
      </c>
      <c r="AD8409" t="n">
        <v>0</v>
      </c>
      <c r="AE8409" t="n">
        <v>0</v>
      </c>
      <c r="AF8409" t="n">
        <v>0</v>
      </c>
      <c r="AG8409" t="n">
        <v>0</v>
      </c>
      <c r="AH8409" t="n">
        <v>0</v>
      </c>
      <c r="AI8409" t="n">
        <v>0</v>
      </c>
    </row>
    <row r="8410">
      <c r="A8410" t="inlineStr">
        <is>
          <t>12월</t>
        </is>
      </c>
      <c r="B8410" t="inlineStr">
        <is>
          <t>52주차</t>
        </is>
      </c>
      <c r="C8410" t="e">
        <v>#N/A</v>
      </c>
      <c r="K8410" t="n">
        <v>0</v>
      </c>
      <c r="L8410" t="n">
        <v>0</v>
      </c>
      <c r="M8410" t="n">
        <v>0</v>
      </c>
      <c r="AC8410" t="n">
        <v>0</v>
      </c>
      <c r="AD8410" t="n">
        <v>0</v>
      </c>
      <c r="AE8410" t="n">
        <v>0</v>
      </c>
      <c r="AF8410" t="n">
        <v>0</v>
      </c>
      <c r="AG8410" t="n">
        <v>0</v>
      </c>
      <c r="AH8410" t="n">
        <v>0</v>
      </c>
    </row>
    <row r="8411">
      <c r="A8411" t="inlineStr">
        <is>
          <t>12월</t>
        </is>
      </c>
      <c r="B8411" t="inlineStr">
        <is>
          <t>52주차</t>
        </is>
      </c>
      <c r="C8411" t="e">
        <v>#N/A</v>
      </c>
      <c r="K8411" t="n">
        <v>0</v>
      </c>
      <c r="L8411" t="n">
        <v>0</v>
      </c>
      <c r="M8411" t="n">
        <v>0</v>
      </c>
      <c r="AC8411" t="n">
        <v>0</v>
      </c>
      <c r="AD8411" t="n">
        <v>0</v>
      </c>
      <c r="AE8411" t="n">
        <v>0</v>
      </c>
      <c r="AF8411" t="n">
        <v>0</v>
      </c>
      <c r="AG8411" t="n">
        <v>0</v>
      </c>
      <c r="AH8411" t="n">
        <v>0</v>
      </c>
      <c r="AI8411" t="n">
        <v>0</v>
      </c>
    </row>
    <row r="8412">
      <c r="A8412" t="inlineStr">
        <is>
          <t>12월</t>
        </is>
      </c>
      <c r="B8412" t="inlineStr">
        <is>
          <t>52주차</t>
        </is>
      </c>
      <c r="C8412" t="e">
        <v>#N/A</v>
      </c>
      <c r="K8412" t="n">
        <v>0</v>
      </c>
      <c r="L8412" t="n">
        <v>0</v>
      </c>
      <c r="M8412" t="n">
        <v>0</v>
      </c>
      <c r="AC8412" t="n">
        <v>0</v>
      </c>
      <c r="AD8412" t="n">
        <v>0</v>
      </c>
      <c r="AE8412" t="n">
        <v>0</v>
      </c>
      <c r="AF8412" t="n">
        <v>0</v>
      </c>
      <c r="AG8412" t="n">
        <v>0</v>
      </c>
      <c r="AH8412" t="n">
        <v>0</v>
      </c>
      <c r="AI8412" t="n">
        <v>0</v>
      </c>
    </row>
    <row r="8413">
      <c r="A8413" t="inlineStr">
        <is>
          <t>12월</t>
        </is>
      </c>
      <c r="B8413" t="inlineStr">
        <is>
          <t>52주차</t>
        </is>
      </c>
      <c r="C8413" t="e">
        <v>#N/A</v>
      </c>
      <c r="K8413" t="n">
        <v>0</v>
      </c>
      <c r="L8413" t="n">
        <v>0</v>
      </c>
      <c r="M8413" t="n">
        <v>0</v>
      </c>
      <c r="AC8413" t="n">
        <v>0</v>
      </c>
      <c r="AD8413" t="n">
        <v>0</v>
      </c>
      <c r="AE8413" t="n">
        <v>0</v>
      </c>
      <c r="AF8413" t="n">
        <v>0</v>
      </c>
      <c r="AG8413" t="n">
        <v>0</v>
      </c>
      <c r="AH8413" t="n">
        <v>0</v>
      </c>
      <c r="AI8413" t="n">
        <v>0</v>
      </c>
    </row>
    <row r="8414">
      <c r="A8414" t="inlineStr">
        <is>
          <t>12월</t>
        </is>
      </c>
      <c r="B8414" t="inlineStr">
        <is>
          <t>52주차</t>
        </is>
      </c>
      <c r="C8414" t="e">
        <v>#N/A</v>
      </c>
      <c r="K8414" t="n">
        <v>0</v>
      </c>
      <c r="L8414" t="n">
        <v>0</v>
      </c>
      <c r="M8414" t="n">
        <v>0</v>
      </c>
      <c r="AC8414" t="n">
        <v>0</v>
      </c>
      <c r="AD8414" t="n">
        <v>0</v>
      </c>
      <c r="AE8414" t="n">
        <v>0</v>
      </c>
      <c r="AF8414" t="n">
        <v>0</v>
      </c>
      <c r="AG8414" t="n">
        <v>0</v>
      </c>
      <c r="AH8414" t="n">
        <v>0</v>
      </c>
    </row>
    <row r="8415">
      <c r="A8415" t="inlineStr">
        <is>
          <t>12월</t>
        </is>
      </c>
      <c r="B8415" t="inlineStr">
        <is>
          <t>52주차</t>
        </is>
      </c>
      <c r="C8415" t="e">
        <v>#N/A</v>
      </c>
      <c r="K8415" t="n">
        <v>0</v>
      </c>
      <c r="L8415" t="n">
        <v>0</v>
      </c>
      <c r="M8415" t="n">
        <v>0</v>
      </c>
      <c r="AC8415" t="n">
        <v>0</v>
      </c>
      <c r="AD8415" t="n">
        <v>0</v>
      </c>
      <c r="AE8415" t="n">
        <v>0</v>
      </c>
      <c r="AF8415" t="n">
        <v>0</v>
      </c>
      <c r="AG8415" t="n">
        <v>0</v>
      </c>
      <c r="AH8415" t="n">
        <v>0</v>
      </c>
    </row>
    <row r="8416">
      <c r="A8416" t="inlineStr">
        <is>
          <t>12월</t>
        </is>
      </c>
      <c r="B8416" t="inlineStr">
        <is>
          <t>52주차</t>
        </is>
      </c>
      <c r="C8416" t="e">
        <v>#N/A</v>
      </c>
      <c r="K8416" t="n">
        <v>0</v>
      </c>
      <c r="L8416" t="n">
        <v>0</v>
      </c>
      <c r="M8416" t="n">
        <v>0</v>
      </c>
      <c r="AC8416" t="n">
        <v>0</v>
      </c>
      <c r="AD8416" t="n">
        <v>0</v>
      </c>
      <c r="AE8416" t="n">
        <v>0</v>
      </c>
      <c r="AF8416" t="n">
        <v>0</v>
      </c>
      <c r="AG8416" t="n">
        <v>0</v>
      </c>
      <c r="AH8416" t="n">
        <v>0</v>
      </c>
    </row>
    <row r="8417">
      <c r="A8417" t="inlineStr">
        <is>
          <t>12월</t>
        </is>
      </c>
      <c r="B8417" t="inlineStr">
        <is>
          <t>52주차</t>
        </is>
      </c>
      <c r="C8417" t="e">
        <v>#N/A</v>
      </c>
      <c r="K8417" t="n">
        <v>0</v>
      </c>
      <c r="L8417" t="n">
        <v>0</v>
      </c>
      <c r="M8417" t="n">
        <v>0</v>
      </c>
      <c r="AC8417" t="n">
        <v>0</v>
      </c>
      <c r="AD8417" t="n">
        <v>0</v>
      </c>
      <c r="AE8417" t="n">
        <v>0</v>
      </c>
      <c r="AF8417" t="n">
        <v>0</v>
      </c>
      <c r="AG8417" t="n">
        <v>0</v>
      </c>
      <c r="AH8417" t="n">
        <v>0</v>
      </c>
    </row>
    <row r="8418">
      <c r="A8418" t="inlineStr">
        <is>
          <t>12월</t>
        </is>
      </c>
      <c r="B8418" t="inlineStr">
        <is>
          <t>52주차</t>
        </is>
      </c>
      <c r="C8418" t="e">
        <v>#N/A</v>
      </c>
      <c r="K8418" t="n">
        <v>0</v>
      </c>
      <c r="L8418" t="n">
        <v>0</v>
      </c>
      <c r="M8418" t="n">
        <v>0</v>
      </c>
      <c r="AC8418" t="n">
        <v>0</v>
      </c>
      <c r="AD8418" t="n">
        <v>0</v>
      </c>
      <c r="AE8418" t="n">
        <v>0</v>
      </c>
      <c r="AF8418" t="n">
        <v>0</v>
      </c>
      <c r="AG8418" t="n">
        <v>0</v>
      </c>
      <c r="AH8418" t="n">
        <v>0</v>
      </c>
      <c r="AI8418" t="n">
        <v>0</v>
      </c>
    </row>
    <row r="8419">
      <c r="A8419" t="inlineStr">
        <is>
          <t>12월</t>
        </is>
      </c>
      <c r="B8419" t="inlineStr">
        <is>
          <t>52주차</t>
        </is>
      </c>
      <c r="C8419" t="e">
        <v>#N/A</v>
      </c>
      <c r="K8419" t="n">
        <v>0</v>
      </c>
      <c r="L8419" t="n">
        <v>0</v>
      </c>
      <c r="M8419" t="n">
        <v>0</v>
      </c>
      <c r="AC8419" t="n">
        <v>0</v>
      </c>
      <c r="AD8419" t="n">
        <v>0</v>
      </c>
      <c r="AE8419" t="n">
        <v>0</v>
      </c>
      <c r="AF8419" t="n">
        <v>0</v>
      </c>
      <c r="AG8419" t="n">
        <v>0</v>
      </c>
      <c r="AH8419" t="n">
        <v>0</v>
      </c>
    </row>
    <row r="8420">
      <c r="A8420" t="inlineStr">
        <is>
          <t>12월</t>
        </is>
      </c>
      <c r="B8420" t="inlineStr">
        <is>
          <t>52주차</t>
        </is>
      </c>
      <c r="C8420" t="e">
        <v>#N/A</v>
      </c>
      <c r="K8420" t="n">
        <v>0</v>
      </c>
      <c r="L8420" t="n">
        <v>0</v>
      </c>
      <c r="M8420" t="n">
        <v>0</v>
      </c>
      <c r="AC8420" t="n">
        <v>0</v>
      </c>
      <c r="AD8420" t="n">
        <v>0</v>
      </c>
      <c r="AE8420" t="n">
        <v>0</v>
      </c>
      <c r="AF8420" t="n">
        <v>0</v>
      </c>
      <c r="AG8420" t="n">
        <v>0</v>
      </c>
      <c r="AH8420" t="n">
        <v>0</v>
      </c>
      <c r="AI8420" t="n">
        <v>0</v>
      </c>
    </row>
    <row r="8421">
      <c r="A8421" t="inlineStr">
        <is>
          <t>12월</t>
        </is>
      </c>
      <c r="B8421" t="inlineStr">
        <is>
          <t>52주차</t>
        </is>
      </c>
      <c r="C8421" t="e">
        <v>#N/A</v>
      </c>
      <c r="K8421" t="n">
        <v>0</v>
      </c>
      <c r="L8421" t="n">
        <v>0</v>
      </c>
      <c r="M8421" t="n">
        <v>0</v>
      </c>
      <c r="AC8421" t="n">
        <v>0</v>
      </c>
      <c r="AD8421" t="n">
        <v>0</v>
      </c>
      <c r="AE8421" t="n">
        <v>0</v>
      </c>
      <c r="AF8421" t="n">
        <v>0</v>
      </c>
      <c r="AG8421" t="n">
        <v>0</v>
      </c>
      <c r="AH8421" t="n">
        <v>0</v>
      </c>
      <c r="AI8421" t="n">
        <v>0</v>
      </c>
    </row>
    <row r="8422">
      <c r="A8422" t="inlineStr">
        <is>
          <t>12월</t>
        </is>
      </c>
      <c r="B8422" t="inlineStr">
        <is>
          <t>52주차</t>
        </is>
      </c>
      <c r="C8422" t="e">
        <v>#N/A</v>
      </c>
      <c r="K8422" t="n">
        <v>0</v>
      </c>
      <c r="L8422" t="n">
        <v>0</v>
      </c>
      <c r="M8422" t="n">
        <v>0</v>
      </c>
      <c r="AC8422" t="n">
        <v>0</v>
      </c>
      <c r="AD8422" t="n">
        <v>0</v>
      </c>
      <c r="AE8422" t="n">
        <v>0</v>
      </c>
      <c r="AF8422" t="n">
        <v>0</v>
      </c>
      <c r="AG8422" t="n">
        <v>0</v>
      </c>
      <c r="AH8422" t="n">
        <v>0</v>
      </c>
    </row>
    <row r="8423">
      <c r="A8423" t="inlineStr">
        <is>
          <t>12월</t>
        </is>
      </c>
      <c r="B8423" t="inlineStr">
        <is>
          <t>52주차</t>
        </is>
      </c>
      <c r="C8423" t="e">
        <v>#N/A</v>
      </c>
      <c r="K8423" t="n">
        <v>0</v>
      </c>
      <c r="L8423" t="n">
        <v>0</v>
      </c>
      <c r="M8423" t="n">
        <v>0</v>
      </c>
      <c r="AC8423" t="n">
        <v>0</v>
      </c>
      <c r="AD8423" t="n">
        <v>0</v>
      </c>
      <c r="AE8423" t="n">
        <v>0</v>
      </c>
      <c r="AF8423" t="n">
        <v>0</v>
      </c>
      <c r="AG8423" t="n">
        <v>0</v>
      </c>
      <c r="AH8423" t="n">
        <v>0</v>
      </c>
      <c r="AI8423" t="n">
        <v>0</v>
      </c>
    </row>
    <row r="8424">
      <c r="A8424" t="inlineStr">
        <is>
          <t>12월</t>
        </is>
      </c>
      <c r="B8424" t="inlineStr">
        <is>
          <t>52주차</t>
        </is>
      </c>
      <c r="C8424" t="e">
        <v>#N/A</v>
      </c>
      <c r="K8424" t="n">
        <v>0</v>
      </c>
      <c r="L8424" t="n">
        <v>0</v>
      </c>
      <c r="M8424" t="n">
        <v>0</v>
      </c>
      <c r="AC8424" t="n">
        <v>0</v>
      </c>
      <c r="AD8424" t="n">
        <v>0</v>
      </c>
      <c r="AE8424" t="n">
        <v>0</v>
      </c>
      <c r="AF8424" t="n">
        <v>0</v>
      </c>
      <c r="AG8424" t="n">
        <v>0</v>
      </c>
      <c r="AH8424" t="n">
        <v>0</v>
      </c>
      <c r="AI8424" t="n">
        <v>0</v>
      </c>
    </row>
    <row r="8425">
      <c r="A8425" t="inlineStr">
        <is>
          <t>12월</t>
        </is>
      </c>
      <c r="B8425" t="inlineStr">
        <is>
          <t>52주차</t>
        </is>
      </c>
      <c r="C8425" t="e">
        <v>#N/A</v>
      </c>
      <c r="K8425" t="n">
        <v>0</v>
      </c>
      <c r="L8425" t="n">
        <v>0</v>
      </c>
      <c r="M8425" t="n">
        <v>0</v>
      </c>
      <c r="AC8425" t="n">
        <v>0</v>
      </c>
      <c r="AD8425" t="n">
        <v>0</v>
      </c>
      <c r="AE8425" t="n">
        <v>0</v>
      </c>
      <c r="AF8425" t="n">
        <v>0</v>
      </c>
      <c r="AG8425" t="n">
        <v>0</v>
      </c>
      <c r="AH8425" t="n">
        <v>0</v>
      </c>
    </row>
    <row r="8426">
      <c r="A8426" t="inlineStr">
        <is>
          <t>12월</t>
        </is>
      </c>
      <c r="B8426" t="inlineStr">
        <is>
          <t>52주차</t>
        </is>
      </c>
      <c r="C8426" t="e">
        <v>#N/A</v>
      </c>
      <c r="K8426" t="n">
        <v>0</v>
      </c>
      <c r="L8426" t="n">
        <v>0</v>
      </c>
      <c r="M8426" t="n">
        <v>0</v>
      </c>
      <c r="AC8426" t="n">
        <v>0</v>
      </c>
      <c r="AD8426" t="n">
        <v>0</v>
      </c>
      <c r="AE8426" t="n">
        <v>0</v>
      </c>
      <c r="AF8426" t="n">
        <v>0</v>
      </c>
      <c r="AG8426" t="n">
        <v>0</v>
      </c>
      <c r="AH8426" t="n">
        <v>0</v>
      </c>
    </row>
    <row r="8427">
      <c r="A8427" t="inlineStr">
        <is>
          <t>12월</t>
        </is>
      </c>
      <c r="B8427" t="inlineStr">
        <is>
          <t>52주차</t>
        </is>
      </c>
      <c r="C8427" t="e">
        <v>#N/A</v>
      </c>
      <c r="K8427" t="n">
        <v>0</v>
      </c>
      <c r="L8427" t="n">
        <v>0</v>
      </c>
      <c r="M8427" t="n">
        <v>0</v>
      </c>
      <c r="AC8427" t="n">
        <v>0</v>
      </c>
      <c r="AD8427" t="n">
        <v>0</v>
      </c>
      <c r="AE8427" t="n">
        <v>0</v>
      </c>
      <c r="AF8427" t="n">
        <v>0</v>
      </c>
      <c r="AG8427" t="n">
        <v>0</v>
      </c>
      <c r="AH8427" t="n">
        <v>0</v>
      </c>
      <c r="AI8427" t="n">
        <v>0</v>
      </c>
    </row>
    <row r="8428">
      <c r="A8428" t="inlineStr">
        <is>
          <t>12월</t>
        </is>
      </c>
      <c r="B8428" t="inlineStr">
        <is>
          <t>52주차</t>
        </is>
      </c>
      <c r="C8428" t="e">
        <v>#N/A</v>
      </c>
      <c r="K8428" t="n">
        <v>0</v>
      </c>
      <c r="L8428" t="n">
        <v>0</v>
      </c>
      <c r="M8428" t="n">
        <v>0</v>
      </c>
      <c r="AC8428" t="n">
        <v>0</v>
      </c>
      <c r="AD8428" t="n">
        <v>0</v>
      </c>
      <c r="AE8428" t="n">
        <v>0</v>
      </c>
      <c r="AF8428" t="n">
        <v>0</v>
      </c>
      <c r="AG8428" t="n">
        <v>0</v>
      </c>
      <c r="AH8428" t="n">
        <v>0</v>
      </c>
      <c r="AI8428" t="n">
        <v>0</v>
      </c>
    </row>
    <row r="8429">
      <c r="A8429" t="inlineStr">
        <is>
          <t>12월</t>
        </is>
      </c>
      <c r="B8429" t="inlineStr">
        <is>
          <t>52주차</t>
        </is>
      </c>
      <c r="C8429" t="e">
        <v>#N/A</v>
      </c>
      <c r="K8429" t="n">
        <v>0</v>
      </c>
      <c r="L8429" t="n">
        <v>0</v>
      </c>
      <c r="M8429" t="n">
        <v>0</v>
      </c>
      <c r="AC8429" t="n">
        <v>0</v>
      </c>
      <c r="AD8429" t="n">
        <v>0</v>
      </c>
      <c r="AE8429" t="n">
        <v>0</v>
      </c>
      <c r="AF8429" t="n">
        <v>0</v>
      </c>
      <c r="AG8429" t="n">
        <v>0</v>
      </c>
      <c r="AH8429" t="n">
        <v>0</v>
      </c>
      <c r="AI8429" t="n">
        <v>0</v>
      </c>
    </row>
    <row r="8430">
      <c r="A8430" t="inlineStr">
        <is>
          <t>12월</t>
        </is>
      </c>
      <c r="B8430" t="inlineStr">
        <is>
          <t>52주차</t>
        </is>
      </c>
      <c r="C8430" t="e">
        <v>#N/A</v>
      </c>
      <c r="K8430" t="n">
        <v>0</v>
      </c>
      <c r="L8430" t="n">
        <v>0</v>
      </c>
      <c r="M8430" t="n">
        <v>0</v>
      </c>
      <c r="AC8430" t="n">
        <v>0</v>
      </c>
      <c r="AD8430" t="n">
        <v>0</v>
      </c>
      <c r="AE8430" t="n">
        <v>0</v>
      </c>
      <c r="AF8430" t="n">
        <v>0</v>
      </c>
      <c r="AG8430" t="n">
        <v>0</v>
      </c>
      <c r="AH8430" t="n">
        <v>0</v>
      </c>
      <c r="AI8430" t="n">
        <v>0</v>
      </c>
    </row>
    <row r="8431">
      <c r="A8431" t="inlineStr">
        <is>
          <t>12월</t>
        </is>
      </c>
      <c r="B8431" t="inlineStr">
        <is>
          <t>52주차</t>
        </is>
      </c>
      <c r="C8431" t="e">
        <v>#N/A</v>
      </c>
      <c r="K8431" t="n">
        <v>0</v>
      </c>
      <c r="L8431" t="n">
        <v>0</v>
      </c>
      <c r="M8431" t="n">
        <v>0</v>
      </c>
      <c r="AC8431" t="n">
        <v>0</v>
      </c>
      <c r="AD8431" t="n">
        <v>0</v>
      </c>
      <c r="AE8431" t="n">
        <v>0</v>
      </c>
      <c r="AF8431" t="n">
        <v>0</v>
      </c>
      <c r="AG8431" t="n">
        <v>0</v>
      </c>
      <c r="AH8431" t="n">
        <v>0</v>
      </c>
      <c r="AI8431" t="n">
        <v>0</v>
      </c>
    </row>
    <row r="8432">
      <c r="A8432" t="inlineStr">
        <is>
          <t>12월</t>
        </is>
      </c>
      <c r="B8432" t="inlineStr">
        <is>
          <t>52주차</t>
        </is>
      </c>
      <c r="C8432" t="e">
        <v>#N/A</v>
      </c>
      <c r="K8432" t="n">
        <v>0</v>
      </c>
      <c r="L8432" t="n">
        <v>0</v>
      </c>
      <c r="M8432" t="n">
        <v>0</v>
      </c>
      <c r="AC8432" t="n">
        <v>0</v>
      </c>
      <c r="AD8432" t="n">
        <v>0</v>
      </c>
      <c r="AE8432" t="n">
        <v>0</v>
      </c>
      <c r="AF8432" t="n">
        <v>0</v>
      </c>
      <c r="AG8432" t="n">
        <v>0</v>
      </c>
      <c r="AH8432" t="n">
        <v>0</v>
      </c>
      <c r="AI8432" t="n">
        <v>0</v>
      </c>
    </row>
    <row r="8433">
      <c r="A8433" t="inlineStr">
        <is>
          <t>12월</t>
        </is>
      </c>
      <c r="B8433" t="inlineStr">
        <is>
          <t>52주차</t>
        </is>
      </c>
      <c r="C8433" t="e">
        <v>#N/A</v>
      </c>
      <c r="K8433" t="n">
        <v>0</v>
      </c>
      <c r="L8433" t="n">
        <v>0</v>
      </c>
      <c r="M8433" t="n">
        <v>0</v>
      </c>
      <c r="AC8433" t="n">
        <v>0</v>
      </c>
      <c r="AD8433" t="n">
        <v>0</v>
      </c>
      <c r="AE8433" t="n">
        <v>0</v>
      </c>
      <c r="AF8433" t="n">
        <v>0</v>
      </c>
      <c r="AG8433" t="n">
        <v>0</v>
      </c>
      <c r="AH8433" t="n">
        <v>0</v>
      </c>
      <c r="AI8433" t="n">
        <v>0</v>
      </c>
    </row>
    <row r="8434">
      <c r="A8434" t="inlineStr">
        <is>
          <t>12월</t>
        </is>
      </c>
      <c r="B8434" t="inlineStr">
        <is>
          <t>52주차</t>
        </is>
      </c>
      <c r="C8434" t="e">
        <v>#N/A</v>
      </c>
      <c r="K8434" t="n">
        <v>0</v>
      </c>
      <c r="L8434" t="n">
        <v>0</v>
      </c>
      <c r="M8434" t="n">
        <v>0</v>
      </c>
      <c r="AC8434" t="n">
        <v>0</v>
      </c>
      <c r="AD8434" t="n">
        <v>0</v>
      </c>
      <c r="AE8434" t="n">
        <v>0</v>
      </c>
      <c r="AF8434" t="n">
        <v>0</v>
      </c>
      <c r="AG8434" t="n">
        <v>0</v>
      </c>
      <c r="AH8434" t="n">
        <v>0</v>
      </c>
      <c r="AI8434" t="n">
        <v>0</v>
      </c>
    </row>
    <row r="8435">
      <c r="A8435" t="inlineStr">
        <is>
          <t>12월</t>
        </is>
      </c>
      <c r="B8435" t="inlineStr">
        <is>
          <t>52주차</t>
        </is>
      </c>
      <c r="C8435" t="e">
        <v>#N/A</v>
      </c>
      <c r="K8435" t="n">
        <v>0</v>
      </c>
      <c r="L8435" t="n">
        <v>0</v>
      </c>
      <c r="M8435" t="n">
        <v>0</v>
      </c>
      <c r="AC8435" t="n">
        <v>0</v>
      </c>
      <c r="AD8435" t="n">
        <v>0</v>
      </c>
      <c r="AE8435" t="n">
        <v>0</v>
      </c>
      <c r="AF8435" t="n">
        <v>0</v>
      </c>
      <c r="AG8435" t="n">
        <v>0</v>
      </c>
      <c r="AH8435" t="n">
        <v>0</v>
      </c>
      <c r="AI8435" t="n">
        <v>0</v>
      </c>
    </row>
    <row r="8436">
      <c r="A8436" t="inlineStr">
        <is>
          <t>12월</t>
        </is>
      </c>
      <c r="B8436" t="inlineStr">
        <is>
          <t>52주차</t>
        </is>
      </c>
      <c r="C8436" t="e">
        <v>#N/A</v>
      </c>
      <c r="K8436" t="n">
        <v>0</v>
      </c>
      <c r="L8436" t="n">
        <v>0</v>
      </c>
      <c r="M8436" t="n">
        <v>0</v>
      </c>
      <c r="AC8436" t="n">
        <v>0</v>
      </c>
      <c r="AD8436" t="n">
        <v>0</v>
      </c>
      <c r="AE8436" t="n">
        <v>0</v>
      </c>
      <c r="AF8436" t="n">
        <v>0</v>
      </c>
      <c r="AG8436" t="n">
        <v>0</v>
      </c>
      <c r="AH8436" t="n">
        <v>0</v>
      </c>
      <c r="AI8436" t="n">
        <v>0</v>
      </c>
    </row>
    <row r="8437">
      <c r="A8437" t="inlineStr">
        <is>
          <t>12월</t>
        </is>
      </c>
      <c r="B8437" t="inlineStr">
        <is>
          <t>52주차</t>
        </is>
      </c>
      <c r="C8437" t="e">
        <v>#N/A</v>
      </c>
      <c r="K8437" t="n">
        <v>0</v>
      </c>
      <c r="L8437" t="n">
        <v>0</v>
      </c>
      <c r="M8437" t="n">
        <v>0</v>
      </c>
      <c r="AC8437" t="n">
        <v>0</v>
      </c>
      <c r="AD8437" t="n">
        <v>0</v>
      </c>
      <c r="AE8437" t="n">
        <v>0</v>
      </c>
      <c r="AF8437" t="n">
        <v>0</v>
      </c>
      <c r="AG8437" t="n">
        <v>0</v>
      </c>
      <c r="AH8437" t="n">
        <v>0</v>
      </c>
      <c r="AI8437" t="n">
        <v>0</v>
      </c>
    </row>
    <row r="8438">
      <c r="A8438" t="inlineStr">
        <is>
          <t>12월</t>
        </is>
      </c>
      <c r="B8438" t="inlineStr">
        <is>
          <t>52주차</t>
        </is>
      </c>
      <c r="C8438" t="e">
        <v>#N/A</v>
      </c>
      <c r="K8438" t="n">
        <v>0</v>
      </c>
      <c r="L8438" t="n">
        <v>0</v>
      </c>
      <c r="M8438" t="n">
        <v>0</v>
      </c>
      <c r="AC8438" t="n">
        <v>0</v>
      </c>
      <c r="AD8438" t="n">
        <v>0</v>
      </c>
      <c r="AE8438" t="n">
        <v>0</v>
      </c>
      <c r="AF8438" t="n">
        <v>0</v>
      </c>
      <c r="AG8438" t="n">
        <v>0</v>
      </c>
      <c r="AH8438" t="n">
        <v>0</v>
      </c>
      <c r="AI8438" t="n">
        <v>0</v>
      </c>
    </row>
    <row r="8439">
      <c r="A8439" t="inlineStr">
        <is>
          <t>12월</t>
        </is>
      </c>
      <c r="B8439" t="inlineStr">
        <is>
          <t>52주차</t>
        </is>
      </c>
      <c r="C8439" t="e">
        <v>#N/A</v>
      </c>
      <c r="K8439" t="n">
        <v>0</v>
      </c>
      <c r="L8439" t="n">
        <v>0</v>
      </c>
      <c r="M8439" t="n">
        <v>0</v>
      </c>
      <c r="AC8439" t="n">
        <v>0</v>
      </c>
      <c r="AD8439" t="n">
        <v>0</v>
      </c>
      <c r="AE8439" t="n">
        <v>0</v>
      </c>
      <c r="AF8439" t="n">
        <v>0</v>
      </c>
      <c r="AG8439" t="n">
        <v>0</v>
      </c>
      <c r="AH8439" t="n">
        <v>0</v>
      </c>
      <c r="AI8439" t="n">
        <v>0</v>
      </c>
    </row>
    <row r="8440">
      <c r="A8440" t="inlineStr">
        <is>
          <t>12월</t>
        </is>
      </c>
      <c r="B8440" t="inlineStr">
        <is>
          <t>52주차</t>
        </is>
      </c>
      <c r="C8440" t="e">
        <v>#N/A</v>
      </c>
      <c r="K8440" t="n">
        <v>0</v>
      </c>
      <c r="L8440" t="n">
        <v>0</v>
      </c>
      <c r="M8440" t="n">
        <v>0</v>
      </c>
      <c r="AC8440" t="n">
        <v>0</v>
      </c>
      <c r="AD8440" t="n">
        <v>0</v>
      </c>
      <c r="AE8440" t="n">
        <v>0</v>
      </c>
      <c r="AF8440" t="n">
        <v>0</v>
      </c>
      <c r="AG8440" t="n">
        <v>0</v>
      </c>
      <c r="AH8440" t="n">
        <v>0</v>
      </c>
      <c r="AI8440" t="n">
        <v>0</v>
      </c>
    </row>
    <row r="8441">
      <c r="A8441" t="inlineStr">
        <is>
          <t>12월</t>
        </is>
      </c>
      <c r="B8441" t="inlineStr">
        <is>
          <t>52주차</t>
        </is>
      </c>
      <c r="C8441" t="e">
        <v>#N/A</v>
      </c>
      <c r="K8441" t="n">
        <v>0</v>
      </c>
      <c r="L8441" t="n">
        <v>0</v>
      </c>
      <c r="M8441" t="n">
        <v>0</v>
      </c>
      <c r="AC8441" t="n">
        <v>0</v>
      </c>
      <c r="AD8441" t="n">
        <v>0</v>
      </c>
      <c r="AE8441" t="n">
        <v>0</v>
      </c>
      <c r="AF8441" t="n">
        <v>0</v>
      </c>
      <c r="AG8441" t="n">
        <v>0</v>
      </c>
      <c r="AH8441" t="n">
        <v>0</v>
      </c>
      <c r="AI8441" t="n">
        <v>0</v>
      </c>
    </row>
    <row r="8442">
      <c r="A8442" t="inlineStr">
        <is>
          <t>12월</t>
        </is>
      </c>
      <c r="B8442" t="inlineStr">
        <is>
          <t>52주차</t>
        </is>
      </c>
      <c r="C8442" t="e">
        <v>#N/A</v>
      </c>
      <c r="K8442" t="n">
        <v>0</v>
      </c>
      <c r="L8442" t="n">
        <v>0</v>
      </c>
      <c r="M8442" t="n">
        <v>0</v>
      </c>
      <c r="AC8442" t="n">
        <v>0</v>
      </c>
      <c r="AD8442" t="n">
        <v>0</v>
      </c>
      <c r="AE8442" t="n">
        <v>0</v>
      </c>
      <c r="AF8442" t="n">
        <v>0</v>
      </c>
      <c r="AG8442" t="n">
        <v>0</v>
      </c>
      <c r="AH8442" t="n">
        <v>0</v>
      </c>
      <c r="AI8442" t="n">
        <v>0</v>
      </c>
    </row>
    <row r="8443">
      <c r="A8443" t="inlineStr">
        <is>
          <t>12월</t>
        </is>
      </c>
      <c r="B8443" t="inlineStr">
        <is>
          <t>52주차</t>
        </is>
      </c>
      <c r="C8443" t="e">
        <v>#N/A</v>
      </c>
      <c r="K8443" t="n">
        <v>0</v>
      </c>
      <c r="L8443" t="n">
        <v>0</v>
      </c>
      <c r="M8443" t="n">
        <v>0</v>
      </c>
      <c r="AC8443" t="n">
        <v>0</v>
      </c>
      <c r="AD8443" t="n">
        <v>0</v>
      </c>
      <c r="AE8443" t="n">
        <v>0</v>
      </c>
      <c r="AF8443" t="n">
        <v>0</v>
      </c>
      <c r="AG8443" t="n">
        <v>0</v>
      </c>
      <c r="AH8443" t="n">
        <v>0</v>
      </c>
      <c r="AI8443" t="n">
        <v>0</v>
      </c>
    </row>
    <row r="8444">
      <c r="A8444" t="inlineStr">
        <is>
          <t>12월</t>
        </is>
      </c>
      <c r="B8444" t="inlineStr">
        <is>
          <t>52주차</t>
        </is>
      </c>
      <c r="C8444" t="e">
        <v>#N/A</v>
      </c>
      <c r="K8444" t="n">
        <v>0</v>
      </c>
      <c r="L8444" t="n">
        <v>0</v>
      </c>
      <c r="M8444" t="n">
        <v>0</v>
      </c>
      <c r="AC8444" t="n">
        <v>0</v>
      </c>
      <c r="AD8444" t="n">
        <v>0</v>
      </c>
      <c r="AE8444" t="n">
        <v>0</v>
      </c>
      <c r="AF8444" t="n">
        <v>0</v>
      </c>
      <c r="AG8444" t="n">
        <v>0</v>
      </c>
      <c r="AH8444" t="n">
        <v>0</v>
      </c>
    </row>
    <row r="8445">
      <c r="A8445" t="inlineStr">
        <is>
          <t>12월</t>
        </is>
      </c>
      <c r="B8445" t="inlineStr">
        <is>
          <t>52주차</t>
        </is>
      </c>
      <c r="C8445" t="e">
        <v>#N/A</v>
      </c>
      <c r="K8445" t="n">
        <v>0</v>
      </c>
      <c r="L8445" t="n">
        <v>0</v>
      </c>
      <c r="M8445" t="n">
        <v>0</v>
      </c>
      <c r="AC8445" t="n">
        <v>0</v>
      </c>
      <c r="AD8445" t="n">
        <v>0</v>
      </c>
      <c r="AE8445" t="n">
        <v>0</v>
      </c>
      <c r="AF8445" t="n">
        <v>0</v>
      </c>
      <c r="AG8445" t="n">
        <v>0</v>
      </c>
      <c r="AH8445" t="n">
        <v>0</v>
      </c>
    </row>
    <row r="8446">
      <c r="A8446" t="inlineStr">
        <is>
          <t>12월</t>
        </is>
      </c>
      <c r="B8446" t="inlineStr">
        <is>
          <t>52주차</t>
        </is>
      </c>
      <c r="C8446" t="e">
        <v>#N/A</v>
      </c>
      <c r="K8446" t="n">
        <v>0</v>
      </c>
      <c r="L8446" t="n">
        <v>0</v>
      </c>
      <c r="M8446" t="n">
        <v>0</v>
      </c>
      <c r="AC8446" t="n">
        <v>0</v>
      </c>
      <c r="AD8446" t="n">
        <v>0</v>
      </c>
      <c r="AE8446" t="n">
        <v>0</v>
      </c>
      <c r="AF8446" t="n">
        <v>0</v>
      </c>
      <c r="AG8446" t="n">
        <v>0</v>
      </c>
      <c r="AH8446" t="n">
        <v>0</v>
      </c>
      <c r="AI8446" t="n">
        <v>0</v>
      </c>
    </row>
    <row r="8447">
      <c r="A8447" t="inlineStr">
        <is>
          <t>12월</t>
        </is>
      </c>
      <c r="B8447" t="inlineStr">
        <is>
          <t>52주차</t>
        </is>
      </c>
      <c r="C8447" t="e">
        <v>#N/A</v>
      </c>
      <c r="K8447" t="n">
        <v>0</v>
      </c>
      <c r="L8447" t="n">
        <v>0</v>
      </c>
      <c r="M8447" t="n">
        <v>0</v>
      </c>
      <c r="AC8447" t="n">
        <v>0</v>
      </c>
      <c r="AD8447" t="n">
        <v>0</v>
      </c>
      <c r="AE8447" t="n">
        <v>0</v>
      </c>
      <c r="AF8447" t="n">
        <v>0</v>
      </c>
      <c r="AG8447" t="n">
        <v>0</v>
      </c>
      <c r="AH8447" t="n">
        <v>0</v>
      </c>
      <c r="AI8447" t="n">
        <v>0</v>
      </c>
    </row>
    <row r="8448">
      <c r="A8448" t="inlineStr">
        <is>
          <t>12월</t>
        </is>
      </c>
      <c r="B8448" t="inlineStr">
        <is>
          <t>52주차</t>
        </is>
      </c>
      <c r="C8448" t="e">
        <v>#N/A</v>
      </c>
      <c r="K8448" t="n">
        <v>0</v>
      </c>
      <c r="L8448" t="n">
        <v>0</v>
      </c>
      <c r="M8448" t="n">
        <v>0</v>
      </c>
      <c r="AC8448" t="n">
        <v>0</v>
      </c>
      <c r="AD8448" t="n">
        <v>0</v>
      </c>
      <c r="AE8448" t="n">
        <v>0</v>
      </c>
      <c r="AF8448" t="n">
        <v>0</v>
      </c>
      <c r="AG8448" t="n">
        <v>0</v>
      </c>
      <c r="AH8448" t="n">
        <v>0</v>
      </c>
    </row>
    <row r="8449">
      <c r="A8449" t="inlineStr">
        <is>
          <t>12월</t>
        </is>
      </c>
      <c r="B8449" t="inlineStr">
        <is>
          <t>52주차</t>
        </is>
      </c>
      <c r="C8449" t="e">
        <v>#N/A</v>
      </c>
      <c r="K8449" t="n">
        <v>0</v>
      </c>
      <c r="L8449" t="n">
        <v>0</v>
      </c>
      <c r="M8449" t="n">
        <v>0</v>
      </c>
      <c r="AC8449" t="n">
        <v>0</v>
      </c>
      <c r="AD8449" t="n">
        <v>0</v>
      </c>
      <c r="AE8449" t="n">
        <v>0</v>
      </c>
      <c r="AF8449" t="n">
        <v>0</v>
      </c>
      <c r="AG8449" t="n">
        <v>0</v>
      </c>
      <c r="AH8449" t="n">
        <v>0</v>
      </c>
    </row>
    <row r="8450">
      <c r="A8450" t="inlineStr">
        <is>
          <t>12월</t>
        </is>
      </c>
      <c r="B8450" t="inlineStr">
        <is>
          <t>52주차</t>
        </is>
      </c>
      <c r="C8450" t="e">
        <v>#N/A</v>
      </c>
      <c r="K8450" t="n">
        <v>0</v>
      </c>
      <c r="L8450" t="n">
        <v>0</v>
      </c>
      <c r="M8450" t="n">
        <v>0</v>
      </c>
      <c r="AC8450" t="n">
        <v>0</v>
      </c>
      <c r="AD8450" t="n">
        <v>0</v>
      </c>
      <c r="AE8450" t="n">
        <v>0</v>
      </c>
      <c r="AF8450" t="n">
        <v>0</v>
      </c>
      <c r="AG8450" t="n">
        <v>0</v>
      </c>
      <c r="AH8450" t="n">
        <v>0</v>
      </c>
    </row>
    <row r="8451">
      <c r="A8451" t="inlineStr">
        <is>
          <t>12월</t>
        </is>
      </c>
      <c r="B8451" t="inlineStr">
        <is>
          <t>52주차</t>
        </is>
      </c>
      <c r="C8451" t="e">
        <v>#N/A</v>
      </c>
      <c r="K8451" t="n">
        <v>0</v>
      </c>
      <c r="L8451" t="n">
        <v>0</v>
      </c>
      <c r="M8451" t="n">
        <v>0</v>
      </c>
      <c r="AC8451" t="n">
        <v>0</v>
      </c>
      <c r="AD8451" t="n">
        <v>0</v>
      </c>
      <c r="AE8451" t="n">
        <v>0</v>
      </c>
      <c r="AF8451" t="n">
        <v>0</v>
      </c>
      <c r="AG8451" t="n">
        <v>0</v>
      </c>
      <c r="AH8451" t="n">
        <v>0</v>
      </c>
      <c r="AI8451" t="n">
        <v>0</v>
      </c>
    </row>
    <row r="8452">
      <c r="A8452" t="inlineStr">
        <is>
          <t>12월</t>
        </is>
      </c>
      <c r="B8452" t="inlineStr">
        <is>
          <t>52주차</t>
        </is>
      </c>
      <c r="C8452" t="e">
        <v>#N/A</v>
      </c>
      <c r="K8452" t="n">
        <v>0</v>
      </c>
      <c r="L8452" t="n">
        <v>0</v>
      </c>
      <c r="M8452" t="n">
        <v>0</v>
      </c>
      <c r="AC8452" t="n">
        <v>0</v>
      </c>
      <c r="AD8452" t="n">
        <v>0</v>
      </c>
      <c r="AE8452" t="n">
        <v>0</v>
      </c>
      <c r="AF8452" t="n">
        <v>0</v>
      </c>
      <c r="AG8452" t="n">
        <v>0</v>
      </c>
      <c r="AH8452" t="n">
        <v>0</v>
      </c>
      <c r="AI8452" t="n">
        <v>0</v>
      </c>
    </row>
    <row r="8453">
      <c r="A8453" t="inlineStr">
        <is>
          <t>12월</t>
        </is>
      </c>
      <c r="B8453" t="inlineStr">
        <is>
          <t>52주차</t>
        </is>
      </c>
      <c r="C8453" t="e">
        <v>#N/A</v>
      </c>
      <c r="K8453" t="n">
        <v>0</v>
      </c>
      <c r="L8453" t="n">
        <v>0</v>
      </c>
      <c r="M8453" t="n">
        <v>0</v>
      </c>
      <c r="AC8453" t="n">
        <v>0</v>
      </c>
      <c r="AD8453" t="n">
        <v>0</v>
      </c>
      <c r="AE8453" t="n">
        <v>0</v>
      </c>
      <c r="AF8453" t="n">
        <v>0</v>
      </c>
      <c r="AG8453" t="n">
        <v>0</v>
      </c>
      <c r="AH8453" t="n">
        <v>0</v>
      </c>
    </row>
    <row r="8454">
      <c r="A8454" t="inlineStr">
        <is>
          <t>12월</t>
        </is>
      </c>
      <c r="B8454" t="inlineStr">
        <is>
          <t>52주차</t>
        </is>
      </c>
      <c r="C8454" t="e">
        <v>#N/A</v>
      </c>
      <c r="K8454" t="n">
        <v>0</v>
      </c>
      <c r="L8454" t="n">
        <v>0</v>
      </c>
      <c r="M8454" t="n">
        <v>0</v>
      </c>
      <c r="AC8454" t="n">
        <v>0</v>
      </c>
      <c r="AD8454" t="n">
        <v>0</v>
      </c>
      <c r="AE8454" t="n">
        <v>0</v>
      </c>
      <c r="AF8454" t="n">
        <v>0</v>
      </c>
      <c r="AG8454" t="n">
        <v>0</v>
      </c>
      <c r="AH8454" t="n">
        <v>0</v>
      </c>
      <c r="AI8454" t="n">
        <v>0</v>
      </c>
    </row>
    <row r="8455">
      <c r="A8455" t="inlineStr">
        <is>
          <t>12월</t>
        </is>
      </c>
      <c r="B8455" t="inlineStr">
        <is>
          <t>52주차</t>
        </is>
      </c>
      <c r="C8455" t="e">
        <v>#N/A</v>
      </c>
      <c r="K8455" t="n">
        <v>0</v>
      </c>
      <c r="L8455" t="n">
        <v>0</v>
      </c>
      <c r="M8455" t="n">
        <v>0</v>
      </c>
      <c r="AC8455" t="n">
        <v>0</v>
      </c>
      <c r="AD8455" t="n">
        <v>0</v>
      </c>
      <c r="AE8455" t="n">
        <v>0</v>
      </c>
      <c r="AF8455" t="n">
        <v>0</v>
      </c>
      <c r="AG8455" t="n">
        <v>0</v>
      </c>
      <c r="AH8455" t="n">
        <v>0</v>
      </c>
      <c r="AI8455" t="n">
        <v>0</v>
      </c>
    </row>
    <row r="8456">
      <c r="A8456" t="inlineStr">
        <is>
          <t>12월</t>
        </is>
      </c>
      <c r="B8456" t="inlineStr">
        <is>
          <t>52주차</t>
        </is>
      </c>
      <c r="C8456" t="e">
        <v>#N/A</v>
      </c>
      <c r="K8456" t="n">
        <v>0</v>
      </c>
      <c r="L8456" t="n">
        <v>0</v>
      </c>
      <c r="M8456" t="n">
        <v>0</v>
      </c>
      <c r="AC8456" t="n">
        <v>0</v>
      </c>
      <c r="AD8456" t="n">
        <v>0</v>
      </c>
      <c r="AE8456" t="n">
        <v>0</v>
      </c>
      <c r="AF8456" t="n">
        <v>0</v>
      </c>
      <c r="AG8456" t="n">
        <v>0</v>
      </c>
      <c r="AH8456" t="n">
        <v>0</v>
      </c>
      <c r="AI8456" t="n">
        <v>0</v>
      </c>
    </row>
    <row r="8457">
      <c r="A8457" t="inlineStr">
        <is>
          <t>12월</t>
        </is>
      </c>
      <c r="B8457" t="inlineStr">
        <is>
          <t>52주차</t>
        </is>
      </c>
      <c r="C8457" t="e">
        <v>#N/A</v>
      </c>
      <c r="K8457" t="n">
        <v>0</v>
      </c>
      <c r="L8457" t="n">
        <v>0</v>
      </c>
      <c r="M8457" t="n">
        <v>0</v>
      </c>
      <c r="AC8457" t="n">
        <v>0</v>
      </c>
      <c r="AD8457" t="n">
        <v>0</v>
      </c>
      <c r="AE8457" t="n">
        <v>0</v>
      </c>
      <c r="AF8457" t="n">
        <v>0</v>
      </c>
      <c r="AG8457" t="n">
        <v>0</v>
      </c>
      <c r="AH8457" t="n">
        <v>0</v>
      </c>
      <c r="AI8457" t="n">
        <v>0</v>
      </c>
    </row>
    <row r="8458">
      <c r="A8458" t="inlineStr">
        <is>
          <t>12월</t>
        </is>
      </c>
      <c r="B8458" t="inlineStr">
        <is>
          <t>52주차</t>
        </is>
      </c>
      <c r="C8458" t="e">
        <v>#N/A</v>
      </c>
      <c r="K8458" t="n">
        <v>0</v>
      </c>
      <c r="L8458" t="n">
        <v>0</v>
      </c>
      <c r="M8458" t="n">
        <v>0</v>
      </c>
      <c r="AC8458" t="n">
        <v>0</v>
      </c>
      <c r="AD8458" t="n">
        <v>0</v>
      </c>
      <c r="AE8458" t="n">
        <v>0</v>
      </c>
      <c r="AF8458" t="n">
        <v>0</v>
      </c>
      <c r="AG8458" t="n">
        <v>0</v>
      </c>
      <c r="AH8458" t="n">
        <v>0</v>
      </c>
      <c r="AI8458" t="n">
        <v>0</v>
      </c>
    </row>
    <row r="8459">
      <c r="A8459" t="inlineStr">
        <is>
          <t>12월</t>
        </is>
      </c>
      <c r="B8459" t="inlineStr">
        <is>
          <t>52주차</t>
        </is>
      </c>
      <c r="C8459" t="e">
        <v>#N/A</v>
      </c>
      <c r="K8459" t="n">
        <v>0</v>
      </c>
      <c r="L8459" t="n">
        <v>0</v>
      </c>
      <c r="M8459" t="n">
        <v>0</v>
      </c>
      <c r="AC8459" t="n">
        <v>0</v>
      </c>
      <c r="AD8459" t="n">
        <v>0</v>
      </c>
      <c r="AE8459" t="n">
        <v>0</v>
      </c>
      <c r="AF8459" t="n">
        <v>0</v>
      </c>
      <c r="AG8459" t="n">
        <v>0</v>
      </c>
      <c r="AH8459" t="n">
        <v>0</v>
      </c>
      <c r="AI8459" t="n">
        <v>0</v>
      </c>
    </row>
    <row r="8460">
      <c r="A8460" t="inlineStr">
        <is>
          <t>12월</t>
        </is>
      </c>
      <c r="B8460" t="inlineStr">
        <is>
          <t>52주차</t>
        </is>
      </c>
      <c r="C8460" t="e">
        <v>#N/A</v>
      </c>
      <c r="K8460" t="n">
        <v>0</v>
      </c>
      <c r="L8460" t="n">
        <v>0</v>
      </c>
      <c r="M8460" t="n">
        <v>0</v>
      </c>
      <c r="AC8460" t="n">
        <v>0</v>
      </c>
      <c r="AD8460" t="n">
        <v>0</v>
      </c>
      <c r="AE8460" t="n">
        <v>0</v>
      </c>
      <c r="AF8460" t="n">
        <v>0</v>
      </c>
      <c r="AG8460" t="n">
        <v>0</v>
      </c>
      <c r="AH8460" t="n">
        <v>0</v>
      </c>
    </row>
    <row r="8461">
      <c r="A8461" t="inlineStr">
        <is>
          <t>12월</t>
        </is>
      </c>
      <c r="B8461" t="inlineStr">
        <is>
          <t>52주차</t>
        </is>
      </c>
      <c r="C8461" t="e">
        <v>#N/A</v>
      </c>
      <c r="K8461" t="n">
        <v>0</v>
      </c>
      <c r="L8461" t="n">
        <v>0</v>
      </c>
      <c r="M8461" t="n">
        <v>0</v>
      </c>
      <c r="AC8461" t="n">
        <v>0</v>
      </c>
      <c r="AD8461" t="n">
        <v>0</v>
      </c>
      <c r="AE8461" t="n">
        <v>0</v>
      </c>
      <c r="AF8461" t="n">
        <v>0</v>
      </c>
      <c r="AG8461" t="n">
        <v>0</v>
      </c>
      <c r="AH8461" t="n">
        <v>0</v>
      </c>
    </row>
    <row r="8462">
      <c r="A8462" t="inlineStr">
        <is>
          <t>12월</t>
        </is>
      </c>
      <c r="B8462" t="inlineStr">
        <is>
          <t>52주차</t>
        </is>
      </c>
      <c r="C8462" t="e">
        <v>#N/A</v>
      </c>
      <c r="K8462" t="n">
        <v>0</v>
      </c>
      <c r="L8462" t="n">
        <v>0</v>
      </c>
      <c r="M8462" t="n">
        <v>0</v>
      </c>
      <c r="AC8462" t="n">
        <v>0</v>
      </c>
      <c r="AD8462" t="n">
        <v>0</v>
      </c>
      <c r="AE8462" t="n">
        <v>0</v>
      </c>
      <c r="AF8462" t="n">
        <v>0</v>
      </c>
      <c r="AG8462" t="n">
        <v>0</v>
      </c>
      <c r="AH8462" t="n">
        <v>0</v>
      </c>
    </row>
    <row r="8463">
      <c r="A8463" t="inlineStr">
        <is>
          <t>12월</t>
        </is>
      </c>
      <c r="B8463" t="inlineStr">
        <is>
          <t>52주차</t>
        </is>
      </c>
      <c r="C8463" t="e">
        <v>#N/A</v>
      </c>
      <c r="K8463" t="n">
        <v>0</v>
      </c>
      <c r="L8463" t="n">
        <v>0</v>
      </c>
      <c r="M8463" t="n">
        <v>0</v>
      </c>
      <c r="AC8463" t="n">
        <v>0</v>
      </c>
      <c r="AD8463" t="n">
        <v>0</v>
      </c>
      <c r="AE8463" t="n">
        <v>0</v>
      </c>
      <c r="AF8463" t="n">
        <v>0</v>
      </c>
      <c r="AG8463" t="n">
        <v>0</v>
      </c>
      <c r="AH8463" t="n">
        <v>0</v>
      </c>
      <c r="AI8463" t="n">
        <v>0</v>
      </c>
    </row>
    <row r="8464">
      <c r="A8464" t="inlineStr">
        <is>
          <t>12월</t>
        </is>
      </c>
      <c r="B8464" t="inlineStr">
        <is>
          <t>52주차</t>
        </is>
      </c>
      <c r="C8464" t="e">
        <v>#N/A</v>
      </c>
      <c r="K8464" t="n">
        <v>0</v>
      </c>
      <c r="L8464" t="n">
        <v>0</v>
      </c>
      <c r="M8464" t="n">
        <v>0</v>
      </c>
      <c r="AC8464" t="n">
        <v>0</v>
      </c>
      <c r="AD8464" t="n">
        <v>0</v>
      </c>
      <c r="AE8464" t="n">
        <v>0</v>
      </c>
      <c r="AF8464" t="n">
        <v>0</v>
      </c>
      <c r="AG8464" t="n">
        <v>0</v>
      </c>
      <c r="AH8464" t="n">
        <v>0</v>
      </c>
      <c r="AI8464" t="n">
        <v>0</v>
      </c>
    </row>
    <row r="8465">
      <c r="A8465" t="inlineStr">
        <is>
          <t>12월</t>
        </is>
      </c>
      <c r="B8465" t="inlineStr">
        <is>
          <t>52주차</t>
        </is>
      </c>
      <c r="C8465" t="e">
        <v>#N/A</v>
      </c>
      <c r="K8465" t="n">
        <v>0</v>
      </c>
      <c r="L8465" t="n">
        <v>0</v>
      </c>
      <c r="M8465" t="n">
        <v>0</v>
      </c>
      <c r="AC8465" t="n">
        <v>0</v>
      </c>
      <c r="AD8465" t="n">
        <v>0</v>
      </c>
      <c r="AE8465" t="n">
        <v>0</v>
      </c>
      <c r="AF8465" t="n">
        <v>0</v>
      </c>
      <c r="AG8465" t="n">
        <v>0</v>
      </c>
      <c r="AH8465" t="n">
        <v>0</v>
      </c>
      <c r="AI8465" t="n">
        <v>0</v>
      </c>
    </row>
    <row r="8466">
      <c r="A8466" t="inlineStr">
        <is>
          <t>12월</t>
        </is>
      </c>
      <c r="B8466" t="inlineStr">
        <is>
          <t>52주차</t>
        </is>
      </c>
      <c r="C8466" t="e">
        <v>#N/A</v>
      </c>
      <c r="K8466" t="n">
        <v>0</v>
      </c>
      <c r="L8466" t="n">
        <v>0</v>
      </c>
      <c r="M8466" t="n">
        <v>0</v>
      </c>
      <c r="AC8466" t="n">
        <v>0</v>
      </c>
      <c r="AD8466" t="n">
        <v>0</v>
      </c>
      <c r="AE8466" t="n">
        <v>0</v>
      </c>
      <c r="AF8466" t="n">
        <v>0</v>
      </c>
      <c r="AG8466" t="n">
        <v>0</v>
      </c>
      <c r="AH8466" t="n">
        <v>0</v>
      </c>
      <c r="AI8466" t="n">
        <v>0</v>
      </c>
    </row>
    <row r="8467">
      <c r="A8467" t="inlineStr">
        <is>
          <t>12월</t>
        </is>
      </c>
      <c r="B8467" t="inlineStr">
        <is>
          <t>52주차</t>
        </is>
      </c>
      <c r="C8467" t="e">
        <v>#N/A</v>
      </c>
      <c r="K8467" t="n">
        <v>0</v>
      </c>
      <c r="L8467" t="n">
        <v>0</v>
      </c>
      <c r="M8467" t="n">
        <v>0</v>
      </c>
      <c r="AC8467" t="n">
        <v>0</v>
      </c>
      <c r="AD8467" t="n">
        <v>0</v>
      </c>
      <c r="AE8467" t="n">
        <v>0</v>
      </c>
      <c r="AF8467" t="n">
        <v>0</v>
      </c>
      <c r="AG8467" t="n">
        <v>0</v>
      </c>
      <c r="AH8467" t="n">
        <v>0</v>
      </c>
      <c r="AI8467" t="n">
        <v>0</v>
      </c>
    </row>
    <row r="8468">
      <c r="A8468" t="inlineStr">
        <is>
          <t>12월</t>
        </is>
      </c>
      <c r="B8468" t="inlineStr">
        <is>
          <t>52주차</t>
        </is>
      </c>
      <c r="C8468" t="e">
        <v>#N/A</v>
      </c>
      <c r="K8468" t="n">
        <v>0</v>
      </c>
      <c r="L8468" t="n">
        <v>0</v>
      </c>
      <c r="M8468" t="n">
        <v>0</v>
      </c>
      <c r="AC8468" t="n">
        <v>0</v>
      </c>
      <c r="AD8468" t="n">
        <v>0</v>
      </c>
      <c r="AE8468" t="n">
        <v>0</v>
      </c>
      <c r="AF8468" t="n">
        <v>0</v>
      </c>
      <c r="AG8468" t="n">
        <v>0</v>
      </c>
      <c r="AH8468" t="n">
        <v>0</v>
      </c>
    </row>
    <row r="8469">
      <c r="A8469" t="inlineStr">
        <is>
          <t>12월</t>
        </is>
      </c>
      <c r="B8469" t="inlineStr">
        <is>
          <t>52주차</t>
        </is>
      </c>
      <c r="C8469" t="e">
        <v>#N/A</v>
      </c>
      <c r="K8469" t="n">
        <v>0</v>
      </c>
      <c r="L8469" t="n">
        <v>0</v>
      </c>
      <c r="M8469" t="n">
        <v>0</v>
      </c>
      <c r="AC8469" t="n">
        <v>0</v>
      </c>
      <c r="AD8469" t="n">
        <v>0</v>
      </c>
      <c r="AE8469" t="n">
        <v>0</v>
      </c>
      <c r="AF8469" t="n">
        <v>0</v>
      </c>
      <c r="AG8469" t="n">
        <v>0</v>
      </c>
      <c r="AH8469" t="n">
        <v>0</v>
      </c>
    </row>
    <row r="8470">
      <c r="A8470" t="inlineStr">
        <is>
          <t>12월</t>
        </is>
      </c>
      <c r="B8470" t="inlineStr">
        <is>
          <t>52주차</t>
        </is>
      </c>
      <c r="C8470" t="e">
        <v>#N/A</v>
      </c>
      <c r="K8470" t="n">
        <v>0</v>
      </c>
      <c r="L8470" t="n">
        <v>0</v>
      </c>
      <c r="M8470" t="n">
        <v>0</v>
      </c>
      <c r="AC8470" t="n">
        <v>0</v>
      </c>
      <c r="AD8470" t="n">
        <v>0</v>
      </c>
      <c r="AE8470" t="n">
        <v>0</v>
      </c>
      <c r="AF8470" t="n">
        <v>0</v>
      </c>
      <c r="AG8470" t="n">
        <v>0</v>
      </c>
      <c r="AH8470" t="n">
        <v>0</v>
      </c>
    </row>
    <row r="8471">
      <c r="A8471" t="inlineStr">
        <is>
          <t>12월</t>
        </is>
      </c>
      <c r="B8471" t="inlineStr">
        <is>
          <t>52주차</t>
        </is>
      </c>
      <c r="C8471" t="e">
        <v>#N/A</v>
      </c>
      <c r="K8471" t="n">
        <v>0</v>
      </c>
      <c r="L8471" t="n">
        <v>0</v>
      </c>
      <c r="M8471" t="n">
        <v>0</v>
      </c>
      <c r="AC8471" t="n">
        <v>0</v>
      </c>
      <c r="AD8471" t="n">
        <v>0</v>
      </c>
      <c r="AE8471" t="n">
        <v>0</v>
      </c>
      <c r="AF8471" t="n">
        <v>0</v>
      </c>
      <c r="AG8471" t="n">
        <v>0</v>
      </c>
      <c r="AH8471" t="n">
        <v>0</v>
      </c>
      <c r="AI8471" t="n">
        <v>0</v>
      </c>
    </row>
    <row r="8472">
      <c r="A8472" t="inlineStr">
        <is>
          <t>12월</t>
        </is>
      </c>
      <c r="B8472" t="inlineStr">
        <is>
          <t>52주차</t>
        </is>
      </c>
      <c r="C8472" t="e">
        <v>#N/A</v>
      </c>
      <c r="K8472" t="n">
        <v>0</v>
      </c>
      <c r="L8472" t="n">
        <v>0</v>
      </c>
      <c r="M8472" t="n">
        <v>0</v>
      </c>
      <c r="AC8472" t="n">
        <v>0</v>
      </c>
      <c r="AD8472" t="n">
        <v>0</v>
      </c>
      <c r="AE8472" t="n">
        <v>0</v>
      </c>
      <c r="AF8472" t="n">
        <v>0</v>
      </c>
      <c r="AG8472" t="n">
        <v>0</v>
      </c>
      <c r="AH8472" t="n">
        <v>0</v>
      </c>
      <c r="AI8472" t="n">
        <v>0</v>
      </c>
    </row>
    <row r="8473">
      <c r="A8473" t="inlineStr">
        <is>
          <t>12월</t>
        </is>
      </c>
      <c r="B8473" t="inlineStr">
        <is>
          <t>52주차</t>
        </is>
      </c>
      <c r="C8473" t="e">
        <v>#N/A</v>
      </c>
      <c r="K8473" t="n">
        <v>0</v>
      </c>
      <c r="L8473" t="n">
        <v>0</v>
      </c>
      <c r="M8473" t="n">
        <v>0</v>
      </c>
      <c r="AC8473" t="n">
        <v>0</v>
      </c>
      <c r="AD8473" t="n">
        <v>0</v>
      </c>
      <c r="AE8473" t="n">
        <v>0</v>
      </c>
      <c r="AF8473" t="n">
        <v>0</v>
      </c>
      <c r="AG8473" t="n">
        <v>0</v>
      </c>
      <c r="AH8473" t="n">
        <v>0</v>
      </c>
      <c r="AI8473" t="n">
        <v>0</v>
      </c>
    </row>
    <row r="8474">
      <c r="A8474" t="inlineStr">
        <is>
          <t>12월</t>
        </is>
      </c>
      <c r="B8474" t="inlineStr">
        <is>
          <t>52주차</t>
        </is>
      </c>
      <c r="C8474" t="e">
        <v>#N/A</v>
      </c>
      <c r="K8474" t="n">
        <v>0</v>
      </c>
      <c r="L8474" t="n">
        <v>0</v>
      </c>
      <c r="M8474" t="n">
        <v>0</v>
      </c>
      <c r="AC8474" t="n">
        <v>0</v>
      </c>
      <c r="AD8474" t="n">
        <v>0</v>
      </c>
      <c r="AE8474" t="n">
        <v>0</v>
      </c>
      <c r="AF8474" t="n">
        <v>0</v>
      </c>
      <c r="AG8474" t="n">
        <v>0</v>
      </c>
      <c r="AH8474" t="n">
        <v>0</v>
      </c>
      <c r="AI8474" t="n">
        <v>0</v>
      </c>
    </row>
    <row r="8475">
      <c r="A8475" t="inlineStr">
        <is>
          <t>12월</t>
        </is>
      </c>
      <c r="B8475" t="inlineStr">
        <is>
          <t>52주차</t>
        </is>
      </c>
      <c r="C8475" t="e">
        <v>#N/A</v>
      </c>
      <c r="K8475" t="n">
        <v>0</v>
      </c>
      <c r="L8475" t="n">
        <v>0</v>
      </c>
      <c r="M8475" t="n">
        <v>0</v>
      </c>
      <c r="AC8475" t="n">
        <v>0</v>
      </c>
      <c r="AD8475" t="n">
        <v>0</v>
      </c>
      <c r="AE8475" t="n">
        <v>0</v>
      </c>
      <c r="AF8475" t="n">
        <v>0</v>
      </c>
      <c r="AG8475" t="n">
        <v>0</v>
      </c>
      <c r="AH8475" t="n">
        <v>0</v>
      </c>
      <c r="AI8475" t="n">
        <v>0</v>
      </c>
    </row>
    <row r="8476">
      <c r="A8476" t="inlineStr">
        <is>
          <t>12월</t>
        </is>
      </c>
      <c r="B8476" t="inlineStr">
        <is>
          <t>52주차</t>
        </is>
      </c>
      <c r="C8476" t="e">
        <v>#N/A</v>
      </c>
      <c r="K8476" t="n">
        <v>0</v>
      </c>
      <c r="L8476" t="n">
        <v>0</v>
      </c>
      <c r="M8476" t="n">
        <v>0</v>
      </c>
      <c r="AC8476" t="n">
        <v>0</v>
      </c>
      <c r="AD8476" t="n">
        <v>0</v>
      </c>
      <c r="AE8476" t="n">
        <v>0</v>
      </c>
      <c r="AF8476" t="n">
        <v>0</v>
      </c>
      <c r="AG8476" t="n">
        <v>0</v>
      </c>
      <c r="AH8476" t="n">
        <v>0</v>
      </c>
      <c r="AI8476" t="n">
        <v>0</v>
      </c>
    </row>
    <row r="8477">
      <c r="A8477" t="inlineStr">
        <is>
          <t>12월</t>
        </is>
      </c>
      <c r="B8477" t="inlineStr">
        <is>
          <t>52주차</t>
        </is>
      </c>
      <c r="C8477" t="e">
        <v>#N/A</v>
      </c>
      <c r="K8477" t="n">
        <v>0</v>
      </c>
      <c r="L8477" t="n">
        <v>0</v>
      </c>
      <c r="M8477" t="n">
        <v>0</v>
      </c>
      <c r="AC8477" t="n">
        <v>0</v>
      </c>
      <c r="AD8477" t="n">
        <v>0</v>
      </c>
      <c r="AE8477" t="n">
        <v>0</v>
      </c>
      <c r="AF8477" t="n">
        <v>0</v>
      </c>
      <c r="AG8477" t="n">
        <v>0</v>
      </c>
      <c r="AH8477" t="n">
        <v>0</v>
      </c>
      <c r="AI8477" t="n">
        <v>0</v>
      </c>
    </row>
    <row r="8478">
      <c r="A8478" t="inlineStr">
        <is>
          <t>12월</t>
        </is>
      </c>
      <c r="B8478" t="inlineStr">
        <is>
          <t>52주차</t>
        </is>
      </c>
      <c r="C8478" t="e">
        <v>#N/A</v>
      </c>
      <c r="K8478" t="n">
        <v>0</v>
      </c>
      <c r="L8478" t="n">
        <v>0</v>
      </c>
      <c r="M8478" t="n">
        <v>0</v>
      </c>
      <c r="AC8478" t="n">
        <v>0</v>
      </c>
      <c r="AD8478" t="n">
        <v>0</v>
      </c>
      <c r="AE8478" t="n">
        <v>0</v>
      </c>
      <c r="AF8478" t="n">
        <v>0</v>
      </c>
      <c r="AG8478" t="n">
        <v>0</v>
      </c>
      <c r="AH8478" t="n">
        <v>0</v>
      </c>
      <c r="AI8478" t="n">
        <v>0</v>
      </c>
    </row>
    <row r="8479">
      <c r="A8479" t="inlineStr">
        <is>
          <t>12월</t>
        </is>
      </c>
      <c r="B8479" t="inlineStr">
        <is>
          <t>52주차</t>
        </is>
      </c>
      <c r="C8479" t="e">
        <v>#N/A</v>
      </c>
      <c r="K8479" t="n">
        <v>0</v>
      </c>
      <c r="L8479" t="n">
        <v>0</v>
      </c>
      <c r="M8479" t="n">
        <v>0</v>
      </c>
      <c r="AC8479" t="n">
        <v>0</v>
      </c>
      <c r="AD8479" t="n">
        <v>0</v>
      </c>
      <c r="AE8479" t="n">
        <v>0</v>
      </c>
      <c r="AF8479" t="n">
        <v>0</v>
      </c>
      <c r="AG8479" t="n">
        <v>0</v>
      </c>
      <c r="AH8479" t="n">
        <v>0</v>
      </c>
      <c r="AI8479" t="n">
        <v>0</v>
      </c>
    </row>
    <row r="8480">
      <c r="A8480" t="inlineStr">
        <is>
          <t>12월</t>
        </is>
      </c>
      <c r="B8480" t="inlineStr">
        <is>
          <t>52주차</t>
        </is>
      </c>
      <c r="C8480" t="e">
        <v>#N/A</v>
      </c>
      <c r="K8480" t="n">
        <v>0</v>
      </c>
      <c r="L8480" t="n">
        <v>0</v>
      </c>
      <c r="M8480" t="n">
        <v>0</v>
      </c>
      <c r="AC8480" t="n">
        <v>0</v>
      </c>
      <c r="AD8480" t="n">
        <v>0</v>
      </c>
      <c r="AE8480" t="n">
        <v>0</v>
      </c>
      <c r="AF8480" t="n">
        <v>0</v>
      </c>
      <c r="AG8480" t="n">
        <v>0</v>
      </c>
      <c r="AH8480" t="n">
        <v>0</v>
      </c>
      <c r="AI8480" t="n">
        <v>0</v>
      </c>
    </row>
    <row r="8481">
      <c r="A8481" t="inlineStr">
        <is>
          <t>12월</t>
        </is>
      </c>
      <c r="B8481" t="inlineStr">
        <is>
          <t>52주차</t>
        </is>
      </c>
      <c r="C8481" t="e">
        <v>#N/A</v>
      </c>
      <c r="K8481" t="n">
        <v>0</v>
      </c>
      <c r="L8481" t="n">
        <v>0</v>
      </c>
      <c r="M8481" t="n">
        <v>0</v>
      </c>
      <c r="AC8481" t="n">
        <v>0</v>
      </c>
      <c r="AD8481" t="n">
        <v>0</v>
      </c>
      <c r="AE8481" t="n">
        <v>0</v>
      </c>
      <c r="AF8481" t="n">
        <v>0</v>
      </c>
      <c r="AG8481" t="n">
        <v>0</v>
      </c>
      <c r="AH8481" t="n">
        <v>0</v>
      </c>
      <c r="AI8481" t="n">
        <v>0</v>
      </c>
    </row>
    <row r="8482">
      <c r="A8482" t="inlineStr">
        <is>
          <t>12월</t>
        </is>
      </c>
      <c r="B8482" t="inlineStr">
        <is>
          <t>52주차</t>
        </is>
      </c>
      <c r="C8482" t="e">
        <v>#N/A</v>
      </c>
      <c r="K8482" t="n">
        <v>0</v>
      </c>
      <c r="L8482" t="n">
        <v>0</v>
      </c>
      <c r="M8482" t="n">
        <v>0</v>
      </c>
      <c r="AC8482" t="n">
        <v>0</v>
      </c>
      <c r="AD8482" t="n">
        <v>0</v>
      </c>
      <c r="AE8482" t="n">
        <v>0</v>
      </c>
      <c r="AF8482" t="n">
        <v>0</v>
      </c>
      <c r="AG8482" t="n">
        <v>0</v>
      </c>
      <c r="AH8482" t="n">
        <v>0</v>
      </c>
      <c r="AI8482" t="n">
        <v>0</v>
      </c>
    </row>
    <row r="8483">
      <c r="A8483" t="inlineStr">
        <is>
          <t>12월</t>
        </is>
      </c>
      <c r="B8483" t="inlineStr">
        <is>
          <t>52주차</t>
        </is>
      </c>
      <c r="C8483" t="e">
        <v>#N/A</v>
      </c>
      <c r="K8483" t="n">
        <v>0</v>
      </c>
      <c r="L8483" t="n">
        <v>0</v>
      </c>
      <c r="M8483" t="n">
        <v>0</v>
      </c>
      <c r="AC8483" t="n">
        <v>0</v>
      </c>
      <c r="AD8483" t="n">
        <v>0</v>
      </c>
      <c r="AE8483" t="n">
        <v>0</v>
      </c>
      <c r="AF8483" t="n">
        <v>0</v>
      </c>
      <c r="AG8483" t="n">
        <v>0</v>
      </c>
      <c r="AH8483" t="n">
        <v>0</v>
      </c>
      <c r="AI8483" t="n">
        <v>0</v>
      </c>
    </row>
    <row r="8484">
      <c r="A8484" t="inlineStr">
        <is>
          <t>12월</t>
        </is>
      </c>
      <c r="B8484" t="inlineStr">
        <is>
          <t>52주차</t>
        </is>
      </c>
      <c r="C8484" t="e">
        <v>#N/A</v>
      </c>
      <c r="K8484" t="n">
        <v>0</v>
      </c>
      <c r="L8484" t="n">
        <v>0</v>
      </c>
      <c r="M8484" t="n">
        <v>0</v>
      </c>
      <c r="AC8484" t="n">
        <v>0</v>
      </c>
      <c r="AD8484" t="n">
        <v>0</v>
      </c>
      <c r="AE8484" t="n">
        <v>0</v>
      </c>
      <c r="AF8484" t="n">
        <v>0</v>
      </c>
      <c r="AG8484" t="n">
        <v>0</v>
      </c>
      <c r="AH8484" t="n">
        <v>0</v>
      </c>
      <c r="AI8484" t="n">
        <v>0</v>
      </c>
    </row>
    <row r="8485">
      <c r="A8485" t="inlineStr">
        <is>
          <t>12월</t>
        </is>
      </c>
      <c r="B8485" t="inlineStr">
        <is>
          <t>52주차</t>
        </is>
      </c>
      <c r="C8485" t="e">
        <v>#N/A</v>
      </c>
      <c r="K8485" t="n">
        <v>0</v>
      </c>
      <c r="L8485" t="n">
        <v>0</v>
      </c>
      <c r="M8485" t="n">
        <v>0</v>
      </c>
      <c r="AC8485" t="n">
        <v>0</v>
      </c>
      <c r="AD8485" t="n">
        <v>0</v>
      </c>
      <c r="AE8485" t="n">
        <v>0</v>
      </c>
      <c r="AF8485" t="n">
        <v>0</v>
      </c>
      <c r="AG8485" t="n">
        <v>0</v>
      </c>
      <c r="AH8485" t="n">
        <v>0</v>
      </c>
      <c r="AI8485" t="n">
        <v>0</v>
      </c>
    </row>
    <row r="8486">
      <c r="A8486" t="inlineStr">
        <is>
          <t>12월</t>
        </is>
      </c>
      <c r="B8486" t="inlineStr">
        <is>
          <t>52주차</t>
        </is>
      </c>
      <c r="C8486" t="e">
        <v>#N/A</v>
      </c>
      <c r="K8486" t="n">
        <v>0</v>
      </c>
      <c r="L8486" t="n">
        <v>0</v>
      </c>
      <c r="M8486" t="n">
        <v>0</v>
      </c>
      <c r="AC8486" t="n">
        <v>0</v>
      </c>
      <c r="AD8486" t="n">
        <v>0</v>
      </c>
      <c r="AE8486" t="n">
        <v>0</v>
      </c>
      <c r="AF8486" t="n">
        <v>0</v>
      </c>
      <c r="AG8486" t="n">
        <v>0</v>
      </c>
      <c r="AH8486" t="n">
        <v>0</v>
      </c>
      <c r="AI8486" t="n">
        <v>0</v>
      </c>
    </row>
    <row r="8487">
      <c r="A8487" t="inlineStr">
        <is>
          <t>12월</t>
        </is>
      </c>
      <c r="B8487" t="inlineStr">
        <is>
          <t>52주차</t>
        </is>
      </c>
      <c r="C8487" t="e">
        <v>#N/A</v>
      </c>
      <c r="K8487" t="n">
        <v>0</v>
      </c>
      <c r="L8487" t="n">
        <v>0</v>
      </c>
      <c r="M8487" t="n">
        <v>0</v>
      </c>
      <c r="AC8487" t="n">
        <v>0</v>
      </c>
      <c r="AD8487" t="n">
        <v>0</v>
      </c>
      <c r="AE8487" t="n">
        <v>0</v>
      </c>
      <c r="AF8487" t="n">
        <v>0</v>
      </c>
      <c r="AG8487" t="n">
        <v>0</v>
      </c>
      <c r="AH8487" t="n">
        <v>0</v>
      </c>
    </row>
    <row r="8488">
      <c r="A8488" t="inlineStr">
        <is>
          <t>12월</t>
        </is>
      </c>
      <c r="B8488" t="inlineStr">
        <is>
          <t>52주차</t>
        </is>
      </c>
      <c r="C8488" t="e">
        <v>#N/A</v>
      </c>
      <c r="K8488" t="n">
        <v>0</v>
      </c>
      <c r="L8488" t="n">
        <v>0</v>
      </c>
      <c r="M8488" t="n">
        <v>0</v>
      </c>
      <c r="AC8488" t="n">
        <v>0</v>
      </c>
      <c r="AD8488" t="n">
        <v>0</v>
      </c>
      <c r="AE8488" t="n">
        <v>0</v>
      </c>
      <c r="AF8488" t="n">
        <v>0</v>
      </c>
      <c r="AG8488" t="n">
        <v>0</v>
      </c>
      <c r="AH8488" t="n">
        <v>0</v>
      </c>
    </row>
    <row r="8489">
      <c r="A8489" t="inlineStr">
        <is>
          <t>12월</t>
        </is>
      </c>
      <c r="B8489" t="inlineStr">
        <is>
          <t>52주차</t>
        </is>
      </c>
      <c r="C8489" t="e">
        <v>#N/A</v>
      </c>
      <c r="K8489" t="n">
        <v>0</v>
      </c>
      <c r="L8489" t="n">
        <v>0</v>
      </c>
      <c r="M8489" t="n">
        <v>0</v>
      </c>
      <c r="AC8489" t="n">
        <v>0</v>
      </c>
      <c r="AD8489" t="n">
        <v>0</v>
      </c>
      <c r="AE8489" t="n">
        <v>0</v>
      </c>
      <c r="AF8489" t="n">
        <v>0</v>
      </c>
      <c r="AG8489" t="n">
        <v>0</v>
      </c>
      <c r="AH8489" t="n">
        <v>0</v>
      </c>
    </row>
    <row r="8490">
      <c r="A8490" t="inlineStr">
        <is>
          <t>12월</t>
        </is>
      </c>
      <c r="B8490" t="inlineStr">
        <is>
          <t>52주차</t>
        </is>
      </c>
      <c r="C8490" t="e">
        <v>#N/A</v>
      </c>
      <c r="K8490" t="n">
        <v>0</v>
      </c>
      <c r="L8490" t="n">
        <v>0</v>
      </c>
      <c r="M8490" t="n">
        <v>0</v>
      </c>
      <c r="AC8490" t="n">
        <v>0</v>
      </c>
      <c r="AD8490" t="n">
        <v>0</v>
      </c>
      <c r="AE8490" t="n">
        <v>0</v>
      </c>
      <c r="AF8490" t="n">
        <v>0</v>
      </c>
      <c r="AG8490" t="n">
        <v>0</v>
      </c>
      <c r="AH8490" t="n">
        <v>0</v>
      </c>
    </row>
    <row r="8491">
      <c r="A8491" t="inlineStr">
        <is>
          <t>12월</t>
        </is>
      </c>
      <c r="B8491" t="inlineStr">
        <is>
          <t>52주차</t>
        </is>
      </c>
      <c r="C8491" t="e">
        <v>#N/A</v>
      </c>
      <c r="K8491" t="n">
        <v>0</v>
      </c>
      <c r="L8491" t="n">
        <v>0</v>
      </c>
      <c r="M8491" t="n">
        <v>0</v>
      </c>
      <c r="AC8491" t="n">
        <v>0</v>
      </c>
      <c r="AD8491" t="n">
        <v>0</v>
      </c>
      <c r="AE8491" t="n">
        <v>0</v>
      </c>
      <c r="AF8491" t="n">
        <v>0</v>
      </c>
      <c r="AG8491" t="n">
        <v>0</v>
      </c>
      <c r="AH8491" t="n">
        <v>0</v>
      </c>
      <c r="AI8491" t="n">
        <v>0</v>
      </c>
    </row>
    <row r="8492">
      <c r="A8492" t="inlineStr">
        <is>
          <t>12월</t>
        </is>
      </c>
      <c r="B8492" t="inlineStr">
        <is>
          <t>52주차</t>
        </is>
      </c>
      <c r="C8492" t="e">
        <v>#N/A</v>
      </c>
      <c r="K8492" t="n">
        <v>0</v>
      </c>
      <c r="L8492" t="n">
        <v>0</v>
      </c>
      <c r="M8492" t="n">
        <v>0</v>
      </c>
      <c r="AC8492" t="n">
        <v>0</v>
      </c>
      <c r="AD8492" t="n">
        <v>0</v>
      </c>
      <c r="AE8492" t="n">
        <v>0</v>
      </c>
      <c r="AF8492" t="n">
        <v>0</v>
      </c>
      <c r="AG8492" t="n">
        <v>0</v>
      </c>
      <c r="AH8492" t="n">
        <v>0</v>
      </c>
    </row>
    <row r="8493">
      <c r="A8493" t="inlineStr">
        <is>
          <t>12월</t>
        </is>
      </c>
      <c r="B8493" t="inlineStr">
        <is>
          <t>52주차</t>
        </is>
      </c>
      <c r="C8493" t="e">
        <v>#N/A</v>
      </c>
      <c r="K8493" t="n">
        <v>0</v>
      </c>
      <c r="L8493" t="n">
        <v>0</v>
      </c>
      <c r="M8493" t="n">
        <v>0</v>
      </c>
      <c r="AC8493" t="n">
        <v>0</v>
      </c>
      <c r="AD8493" t="n">
        <v>0</v>
      </c>
      <c r="AE8493" t="n">
        <v>0</v>
      </c>
      <c r="AF8493" t="n">
        <v>0</v>
      </c>
      <c r="AG8493" t="n">
        <v>0</v>
      </c>
      <c r="AH8493" t="n">
        <v>0</v>
      </c>
    </row>
    <row r="8494">
      <c r="A8494" t="inlineStr">
        <is>
          <t>12월</t>
        </is>
      </c>
      <c r="B8494" t="inlineStr">
        <is>
          <t>52주차</t>
        </is>
      </c>
      <c r="C8494" t="e">
        <v>#N/A</v>
      </c>
      <c r="K8494" t="n">
        <v>0</v>
      </c>
      <c r="L8494" t="n">
        <v>0</v>
      </c>
      <c r="M8494" t="n">
        <v>0</v>
      </c>
      <c r="AC8494" t="n">
        <v>0</v>
      </c>
      <c r="AD8494" t="n">
        <v>0</v>
      </c>
      <c r="AE8494" t="n">
        <v>0</v>
      </c>
      <c r="AF8494" t="n">
        <v>0</v>
      </c>
      <c r="AG8494" t="n">
        <v>0</v>
      </c>
      <c r="AH8494" t="n">
        <v>0</v>
      </c>
      <c r="AI8494" t="n">
        <v>0</v>
      </c>
    </row>
    <row r="8495">
      <c r="A8495" t="inlineStr">
        <is>
          <t>12월</t>
        </is>
      </c>
      <c r="B8495" t="inlineStr">
        <is>
          <t>52주차</t>
        </is>
      </c>
      <c r="C8495" t="e">
        <v>#N/A</v>
      </c>
      <c r="K8495" t="n">
        <v>0</v>
      </c>
      <c r="L8495" t="n">
        <v>0</v>
      </c>
      <c r="M8495" t="n">
        <v>0</v>
      </c>
      <c r="AC8495" t="n">
        <v>0</v>
      </c>
      <c r="AD8495" t="n">
        <v>0</v>
      </c>
      <c r="AE8495" t="n">
        <v>0</v>
      </c>
      <c r="AF8495" t="n">
        <v>0</v>
      </c>
      <c r="AG8495" t="n">
        <v>0</v>
      </c>
      <c r="AH8495" t="n">
        <v>0</v>
      </c>
      <c r="AI8495" t="n">
        <v>0</v>
      </c>
    </row>
    <row r="8496">
      <c r="A8496" t="inlineStr">
        <is>
          <t>12월</t>
        </is>
      </c>
      <c r="B8496" t="inlineStr">
        <is>
          <t>52주차</t>
        </is>
      </c>
      <c r="C8496" t="e">
        <v>#N/A</v>
      </c>
      <c r="K8496" t="n">
        <v>0</v>
      </c>
      <c r="L8496" t="n">
        <v>0</v>
      </c>
      <c r="M8496" t="n">
        <v>0</v>
      </c>
      <c r="AC8496" t="n">
        <v>0</v>
      </c>
      <c r="AD8496" t="n">
        <v>0</v>
      </c>
      <c r="AE8496" t="n">
        <v>0</v>
      </c>
      <c r="AF8496" t="n">
        <v>0</v>
      </c>
      <c r="AG8496" t="n">
        <v>0</v>
      </c>
      <c r="AH8496" t="n">
        <v>0</v>
      </c>
      <c r="AI8496" t="n">
        <v>0</v>
      </c>
    </row>
    <row r="8497">
      <c r="A8497" t="inlineStr">
        <is>
          <t>12월</t>
        </is>
      </c>
      <c r="B8497" t="inlineStr">
        <is>
          <t>52주차</t>
        </is>
      </c>
      <c r="C8497" t="e">
        <v>#N/A</v>
      </c>
      <c r="K8497" t="n">
        <v>0</v>
      </c>
      <c r="L8497" t="n">
        <v>0</v>
      </c>
      <c r="M8497" t="n">
        <v>0</v>
      </c>
      <c r="AC8497" t="n">
        <v>0</v>
      </c>
      <c r="AD8497" t="n">
        <v>0</v>
      </c>
      <c r="AE8497" t="n">
        <v>0</v>
      </c>
      <c r="AF8497" t="n">
        <v>0</v>
      </c>
      <c r="AG8497" t="n">
        <v>0</v>
      </c>
      <c r="AH8497" t="n">
        <v>0</v>
      </c>
      <c r="AI8497" t="n">
        <v>0</v>
      </c>
    </row>
    <row r="8498">
      <c r="A8498" t="inlineStr">
        <is>
          <t>12월</t>
        </is>
      </c>
      <c r="B8498" t="inlineStr">
        <is>
          <t>52주차</t>
        </is>
      </c>
      <c r="C8498" t="e">
        <v>#N/A</v>
      </c>
      <c r="K8498" t="n">
        <v>0</v>
      </c>
      <c r="L8498" t="n">
        <v>0</v>
      </c>
      <c r="M8498" t="n">
        <v>0</v>
      </c>
      <c r="AC8498" t="n">
        <v>0</v>
      </c>
      <c r="AD8498" t="n">
        <v>0</v>
      </c>
      <c r="AE8498" t="n">
        <v>0</v>
      </c>
      <c r="AF8498" t="n">
        <v>0</v>
      </c>
      <c r="AG8498" t="n">
        <v>0</v>
      </c>
      <c r="AH8498" t="n">
        <v>0</v>
      </c>
      <c r="AI8498" t="n">
        <v>0</v>
      </c>
    </row>
    <row r="8499">
      <c r="A8499" t="inlineStr">
        <is>
          <t>12월</t>
        </is>
      </c>
      <c r="B8499" t="inlineStr">
        <is>
          <t>52주차</t>
        </is>
      </c>
      <c r="C8499" t="e">
        <v>#N/A</v>
      </c>
      <c r="K8499" t="n">
        <v>0</v>
      </c>
      <c r="L8499" t="n">
        <v>0</v>
      </c>
      <c r="M8499" t="n">
        <v>0</v>
      </c>
      <c r="AC8499" t="n">
        <v>0</v>
      </c>
      <c r="AD8499" t="n">
        <v>0</v>
      </c>
      <c r="AE8499" t="n">
        <v>0</v>
      </c>
      <c r="AF8499" t="n">
        <v>0</v>
      </c>
      <c r="AG8499" t="n">
        <v>0</v>
      </c>
      <c r="AH8499" t="n">
        <v>0</v>
      </c>
    </row>
    <row r="8500">
      <c r="A8500" t="inlineStr">
        <is>
          <t>12월</t>
        </is>
      </c>
      <c r="B8500" t="inlineStr">
        <is>
          <t>52주차</t>
        </is>
      </c>
      <c r="C8500" t="e">
        <v>#N/A</v>
      </c>
      <c r="K8500" t="n">
        <v>0</v>
      </c>
      <c r="L8500" t="n">
        <v>0</v>
      </c>
      <c r="M8500" t="n">
        <v>0</v>
      </c>
      <c r="AC8500" t="n">
        <v>0</v>
      </c>
      <c r="AD8500" t="n">
        <v>0</v>
      </c>
      <c r="AE8500" t="n">
        <v>0</v>
      </c>
      <c r="AF8500" t="n">
        <v>0</v>
      </c>
      <c r="AG8500" t="n">
        <v>0</v>
      </c>
      <c r="AH8500" t="n">
        <v>0</v>
      </c>
      <c r="AI8500" t="n">
        <v>0</v>
      </c>
    </row>
    <row r="8501">
      <c r="A8501" t="inlineStr">
        <is>
          <t>12월</t>
        </is>
      </c>
      <c r="B8501" t="inlineStr">
        <is>
          <t>52주차</t>
        </is>
      </c>
      <c r="C8501" t="e">
        <v>#N/A</v>
      </c>
      <c r="K8501" t="n">
        <v>0</v>
      </c>
      <c r="L8501" t="n">
        <v>0</v>
      </c>
      <c r="M8501" t="n">
        <v>0</v>
      </c>
      <c r="AC8501" t="n">
        <v>0</v>
      </c>
      <c r="AD8501" t="n">
        <v>0</v>
      </c>
      <c r="AE8501" t="n">
        <v>0</v>
      </c>
      <c r="AF8501" t="n">
        <v>0</v>
      </c>
      <c r="AG8501" t="n">
        <v>0</v>
      </c>
      <c r="AH8501" t="n">
        <v>0</v>
      </c>
      <c r="AI8501" t="n">
        <v>0</v>
      </c>
    </row>
    <row r="8502">
      <c r="A8502" t="inlineStr">
        <is>
          <t>12월</t>
        </is>
      </c>
      <c r="B8502" t="inlineStr">
        <is>
          <t>52주차</t>
        </is>
      </c>
      <c r="C8502" t="e">
        <v>#N/A</v>
      </c>
      <c r="K8502" t="n">
        <v>0</v>
      </c>
      <c r="L8502" t="n">
        <v>0</v>
      </c>
      <c r="M8502" t="n">
        <v>0</v>
      </c>
      <c r="AC8502" t="n">
        <v>0</v>
      </c>
      <c r="AD8502" t="n">
        <v>0</v>
      </c>
      <c r="AE8502" t="n">
        <v>0</v>
      </c>
      <c r="AF8502" t="n">
        <v>0</v>
      </c>
      <c r="AG8502" t="n">
        <v>0</v>
      </c>
      <c r="AH8502" t="n">
        <v>0</v>
      </c>
      <c r="AI8502" t="n">
        <v>0</v>
      </c>
    </row>
    <row r="8503">
      <c r="A8503" t="inlineStr">
        <is>
          <t>12월</t>
        </is>
      </c>
      <c r="B8503" t="inlineStr">
        <is>
          <t>52주차</t>
        </is>
      </c>
      <c r="C8503" t="e">
        <v>#N/A</v>
      </c>
      <c r="K8503" t="n">
        <v>0</v>
      </c>
      <c r="L8503" t="n">
        <v>0</v>
      </c>
      <c r="M8503" t="n">
        <v>0</v>
      </c>
      <c r="AC8503" t="n">
        <v>0</v>
      </c>
      <c r="AD8503" t="n">
        <v>0</v>
      </c>
      <c r="AE8503" t="n">
        <v>0</v>
      </c>
      <c r="AF8503" t="n">
        <v>0</v>
      </c>
      <c r="AG8503" t="n">
        <v>0</v>
      </c>
      <c r="AH8503" t="n">
        <v>0</v>
      </c>
    </row>
    <row r="8504">
      <c r="A8504" t="inlineStr">
        <is>
          <t>12월</t>
        </is>
      </c>
      <c r="B8504" t="inlineStr">
        <is>
          <t>52주차</t>
        </is>
      </c>
      <c r="C8504" t="e">
        <v>#N/A</v>
      </c>
      <c r="K8504" t="n">
        <v>0</v>
      </c>
      <c r="L8504" t="n">
        <v>0</v>
      </c>
      <c r="M8504" t="n">
        <v>0</v>
      </c>
      <c r="AC8504" t="n">
        <v>0</v>
      </c>
      <c r="AD8504" t="n">
        <v>0</v>
      </c>
      <c r="AE8504" t="n">
        <v>0</v>
      </c>
      <c r="AF8504" t="n">
        <v>0</v>
      </c>
      <c r="AG8504" t="n">
        <v>0</v>
      </c>
      <c r="AH8504" t="n">
        <v>0</v>
      </c>
      <c r="AI8504" t="n">
        <v>0</v>
      </c>
    </row>
    <row r="8505">
      <c r="A8505" t="inlineStr">
        <is>
          <t>12월</t>
        </is>
      </c>
      <c r="B8505" t="inlineStr">
        <is>
          <t>52주차</t>
        </is>
      </c>
      <c r="C8505" t="e">
        <v>#N/A</v>
      </c>
      <c r="K8505" t="n">
        <v>0</v>
      </c>
      <c r="L8505" t="n">
        <v>0</v>
      </c>
      <c r="M8505" t="n">
        <v>0</v>
      </c>
      <c r="AC8505" t="n">
        <v>0</v>
      </c>
      <c r="AD8505" t="n">
        <v>0</v>
      </c>
      <c r="AE8505" t="n">
        <v>0</v>
      </c>
      <c r="AF8505" t="n">
        <v>0</v>
      </c>
      <c r="AG8505" t="n">
        <v>0</v>
      </c>
      <c r="AH8505" t="n">
        <v>0</v>
      </c>
    </row>
    <row r="8506">
      <c r="A8506" t="inlineStr">
        <is>
          <t>12월</t>
        </is>
      </c>
      <c r="B8506" t="inlineStr">
        <is>
          <t>52주차</t>
        </is>
      </c>
      <c r="C8506" t="e">
        <v>#N/A</v>
      </c>
      <c r="K8506" t="n">
        <v>0</v>
      </c>
      <c r="L8506" t="n">
        <v>0</v>
      </c>
      <c r="M8506" t="n">
        <v>0</v>
      </c>
      <c r="AC8506" t="n">
        <v>0</v>
      </c>
      <c r="AD8506" t="n">
        <v>0</v>
      </c>
      <c r="AE8506" t="n">
        <v>0</v>
      </c>
      <c r="AF8506" t="n">
        <v>0</v>
      </c>
      <c r="AG8506" t="n">
        <v>0</v>
      </c>
      <c r="AH8506" t="n">
        <v>0</v>
      </c>
      <c r="AI8506" t="n">
        <v>0</v>
      </c>
    </row>
    <row r="8507">
      <c r="A8507" t="inlineStr">
        <is>
          <t>12월</t>
        </is>
      </c>
      <c r="B8507" t="inlineStr">
        <is>
          <t>52주차</t>
        </is>
      </c>
      <c r="C8507" t="e">
        <v>#N/A</v>
      </c>
      <c r="K8507" t="n">
        <v>0</v>
      </c>
      <c r="L8507" t="n">
        <v>0</v>
      </c>
      <c r="M8507" t="n">
        <v>0</v>
      </c>
      <c r="AC8507" t="n">
        <v>0</v>
      </c>
      <c r="AD8507" t="n">
        <v>0</v>
      </c>
      <c r="AE8507" t="n">
        <v>0</v>
      </c>
      <c r="AF8507" t="n">
        <v>0</v>
      </c>
      <c r="AG8507" t="n">
        <v>0</v>
      </c>
      <c r="AH8507" t="n">
        <v>0</v>
      </c>
      <c r="AI8507" t="n">
        <v>0</v>
      </c>
    </row>
    <row r="8508">
      <c r="A8508" t="inlineStr">
        <is>
          <t>12월</t>
        </is>
      </c>
      <c r="B8508" t="inlineStr">
        <is>
          <t>52주차</t>
        </is>
      </c>
      <c r="C8508" t="e">
        <v>#N/A</v>
      </c>
      <c r="K8508" t="n">
        <v>0</v>
      </c>
      <c r="L8508" t="n">
        <v>0</v>
      </c>
      <c r="M8508" t="n">
        <v>0</v>
      </c>
      <c r="AC8508" t="n">
        <v>0</v>
      </c>
      <c r="AD8508" t="n">
        <v>0</v>
      </c>
      <c r="AE8508" t="n">
        <v>0</v>
      </c>
      <c r="AF8508" t="n">
        <v>0</v>
      </c>
      <c r="AG8508" t="n">
        <v>0</v>
      </c>
      <c r="AH8508" t="n">
        <v>0</v>
      </c>
    </row>
    <row r="8509">
      <c r="A8509" t="inlineStr">
        <is>
          <t>12월</t>
        </is>
      </c>
      <c r="B8509" t="inlineStr">
        <is>
          <t>52주차</t>
        </is>
      </c>
      <c r="C8509" t="e">
        <v>#N/A</v>
      </c>
      <c r="K8509" t="n">
        <v>0</v>
      </c>
      <c r="L8509" t="n">
        <v>0</v>
      </c>
      <c r="M8509" t="n">
        <v>0</v>
      </c>
      <c r="AC8509" t="n">
        <v>0</v>
      </c>
      <c r="AD8509" t="n">
        <v>0</v>
      </c>
      <c r="AE8509" t="n">
        <v>0</v>
      </c>
      <c r="AF8509" t="n">
        <v>0</v>
      </c>
      <c r="AG8509" t="n">
        <v>0</v>
      </c>
      <c r="AH8509" t="n">
        <v>0</v>
      </c>
      <c r="AI8509" t="n">
        <v>0</v>
      </c>
    </row>
    <row r="8510">
      <c r="A8510" t="inlineStr">
        <is>
          <t>12월</t>
        </is>
      </c>
      <c r="B8510" t="inlineStr">
        <is>
          <t>52주차</t>
        </is>
      </c>
      <c r="C8510" t="e">
        <v>#N/A</v>
      </c>
      <c r="K8510" t="n">
        <v>0</v>
      </c>
      <c r="L8510" t="n">
        <v>0</v>
      </c>
      <c r="M8510" t="n">
        <v>0</v>
      </c>
      <c r="AC8510" t="n">
        <v>0</v>
      </c>
      <c r="AD8510" t="n">
        <v>0</v>
      </c>
      <c r="AE8510" t="n">
        <v>0</v>
      </c>
      <c r="AF8510" t="n">
        <v>0</v>
      </c>
      <c r="AG8510" t="n">
        <v>0</v>
      </c>
      <c r="AH8510" t="n">
        <v>0</v>
      </c>
    </row>
    <row r="8511">
      <c r="A8511" t="inlineStr">
        <is>
          <t>12월</t>
        </is>
      </c>
      <c r="B8511" t="inlineStr">
        <is>
          <t>52주차</t>
        </is>
      </c>
      <c r="C8511" t="e">
        <v>#N/A</v>
      </c>
      <c r="K8511" t="n">
        <v>0</v>
      </c>
      <c r="L8511" t="n">
        <v>0</v>
      </c>
      <c r="M8511" t="n">
        <v>0</v>
      </c>
      <c r="AC8511" t="n">
        <v>0</v>
      </c>
      <c r="AD8511" t="n">
        <v>0</v>
      </c>
      <c r="AE8511" t="n">
        <v>0</v>
      </c>
      <c r="AF8511" t="n">
        <v>0</v>
      </c>
      <c r="AG8511" t="n">
        <v>0</v>
      </c>
      <c r="AH8511" t="n">
        <v>0</v>
      </c>
      <c r="AI8511" t="n">
        <v>0</v>
      </c>
    </row>
    <row r="8512">
      <c r="A8512" t="inlineStr">
        <is>
          <t>12월</t>
        </is>
      </c>
      <c r="B8512" t="inlineStr">
        <is>
          <t>52주차</t>
        </is>
      </c>
      <c r="C8512" t="e">
        <v>#N/A</v>
      </c>
      <c r="K8512" t="n">
        <v>0</v>
      </c>
      <c r="L8512" t="n">
        <v>0</v>
      </c>
      <c r="M8512" t="n">
        <v>0</v>
      </c>
      <c r="AC8512" t="n">
        <v>0</v>
      </c>
      <c r="AD8512" t="n">
        <v>0</v>
      </c>
      <c r="AE8512" t="n">
        <v>0</v>
      </c>
      <c r="AF8512" t="n">
        <v>0</v>
      </c>
      <c r="AG8512" t="n">
        <v>0</v>
      </c>
      <c r="AH8512" t="n">
        <v>0</v>
      </c>
      <c r="AI8512" t="n">
        <v>0</v>
      </c>
    </row>
    <row r="8513">
      <c r="A8513" t="inlineStr">
        <is>
          <t>12월</t>
        </is>
      </c>
      <c r="B8513" t="inlineStr">
        <is>
          <t>52주차</t>
        </is>
      </c>
      <c r="C8513" t="e">
        <v>#N/A</v>
      </c>
      <c r="K8513" t="n">
        <v>0</v>
      </c>
      <c r="L8513" t="n">
        <v>0</v>
      </c>
      <c r="M8513" t="n">
        <v>0</v>
      </c>
      <c r="AC8513" t="n">
        <v>0</v>
      </c>
      <c r="AD8513" t="n">
        <v>0</v>
      </c>
      <c r="AE8513" t="n">
        <v>0</v>
      </c>
      <c r="AF8513" t="n">
        <v>0</v>
      </c>
      <c r="AG8513" t="n">
        <v>0</v>
      </c>
      <c r="AH8513" t="n">
        <v>0</v>
      </c>
      <c r="AI8513" t="n">
        <v>0</v>
      </c>
    </row>
    <row r="8514">
      <c r="A8514" t="inlineStr">
        <is>
          <t>12월</t>
        </is>
      </c>
      <c r="B8514" t="inlineStr">
        <is>
          <t>52주차</t>
        </is>
      </c>
      <c r="C8514" t="e">
        <v>#N/A</v>
      </c>
      <c r="K8514" t="n">
        <v>0</v>
      </c>
      <c r="L8514" t="n">
        <v>0</v>
      </c>
      <c r="M8514" t="n">
        <v>0</v>
      </c>
      <c r="AC8514" t="n">
        <v>0</v>
      </c>
      <c r="AD8514" t="n">
        <v>0</v>
      </c>
      <c r="AE8514" t="n">
        <v>0</v>
      </c>
      <c r="AF8514" t="n">
        <v>0</v>
      </c>
      <c r="AG8514" t="n">
        <v>0</v>
      </c>
      <c r="AH8514" t="n">
        <v>0</v>
      </c>
      <c r="AI8514" t="n">
        <v>0</v>
      </c>
    </row>
    <row r="8515">
      <c r="A8515" t="inlineStr">
        <is>
          <t>12월</t>
        </is>
      </c>
      <c r="B8515" t="inlineStr">
        <is>
          <t>52주차</t>
        </is>
      </c>
      <c r="C8515" t="e">
        <v>#N/A</v>
      </c>
      <c r="K8515" t="n">
        <v>0</v>
      </c>
      <c r="L8515" t="n">
        <v>0</v>
      </c>
      <c r="M8515" t="n">
        <v>0</v>
      </c>
      <c r="AC8515" t="n">
        <v>0</v>
      </c>
      <c r="AD8515" t="n">
        <v>0</v>
      </c>
      <c r="AE8515" t="n">
        <v>0</v>
      </c>
      <c r="AF8515" t="n">
        <v>0</v>
      </c>
      <c r="AG8515" t="n">
        <v>0</v>
      </c>
      <c r="AH8515" t="n">
        <v>0</v>
      </c>
      <c r="AI8515" t="n">
        <v>0</v>
      </c>
    </row>
    <row r="8516">
      <c r="A8516" t="inlineStr">
        <is>
          <t>12월</t>
        </is>
      </c>
      <c r="B8516" t="inlineStr">
        <is>
          <t>52주차</t>
        </is>
      </c>
      <c r="C8516" t="e">
        <v>#N/A</v>
      </c>
      <c r="K8516" t="n">
        <v>0</v>
      </c>
      <c r="L8516" t="n">
        <v>0</v>
      </c>
      <c r="M8516" t="n">
        <v>0</v>
      </c>
      <c r="AC8516" t="n">
        <v>0</v>
      </c>
      <c r="AD8516" t="n">
        <v>0</v>
      </c>
      <c r="AE8516" t="n">
        <v>0</v>
      </c>
      <c r="AF8516" t="n">
        <v>0</v>
      </c>
      <c r="AG8516" t="n">
        <v>0</v>
      </c>
      <c r="AH8516" t="n">
        <v>0</v>
      </c>
      <c r="AI8516" t="n">
        <v>0</v>
      </c>
    </row>
    <row r="8517">
      <c r="A8517" t="inlineStr">
        <is>
          <t>12월</t>
        </is>
      </c>
      <c r="B8517" t="inlineStr">
        <is>
          <t>52주차</t>
        </is>
      </c>
      <c r="C8517" t="e">
        <v>#N/A</v>
      </c>
      <c r="K8517" t="n">
        <v>0</v>
      </c>
      <c r="L8517" t="n">
        <v>0</v>
      </c>
      <c r="M8517" t="n">
        <v>0</v>
      </c>
      <c r="AC8517" t="n">
        <v>0</v>
      </c>
      <c r="AD8517" t="n">
        <v>0</v>
      </c>
      <c r="AE8517" t="n">
        <v>0</v>
      </c>
      <c r="AF8517" t="n">
        <v>0</v>
      </c>
      <c r="AG8517" t="n">
        <v>0</v>
      </c>
      <c r="AH8517" t="n">
        <v>0</v>
      </c>
    </row>
    <row r="8518">
      <c r="A8518" t="inlineStr">
        <is>
          <t>12월</t>
        </is>
      </c>
      <c r="B8518" t="inlineStr">
        <is>
          <t>52주차</t>
        </is>
      </c>
      <c r="C8518" t="e">
        <v>#N/A</v>
      </c>
      <c r="K8518" t="n">
        <v>0</v>
      </c>
      <c r="L8518" t="n">
        <v>0</v>
      </c>
      <c r="M8518" t="n">
        <v>0</v>
      </c>
      <c r="AC8518" t="n">
        <v>0</v>
      </c>
      <c r="AD8518" t="n">
        <v>0</v>
      </c>
      <c r="AE8518" t="n">
        <v>0</v>
      </c>
      <c r="AF8518" t="n">
        <v>0</v>
      </c>
      <c r="AG8518" t="n">
        <v>0</v>
      </c>
      <c r="AH8518" t="n">
        <v>0</v>
      </c>
      <c r="AI8518" t="n">
        <v>0</v>
      </c>
    </row>
    <row r="8519">
      <c r="A8519" t="inlineStr">
        <is>
          <t>12월</t>
        </is>
      </c>
      <c r="B8519" t="inlineStr">
        <is>
          <t>52주차</t>
        </is>
      </c>
      <c r="C8519" t="e">
        <v>#N/A</v>
      </c>
      <c r="K8519" t="n">
        <v>0</v>
      </c>
      <c r="L8519" t="n">
        <v>0</v>
      </c>
      <c r="M8519" t="n">
        <v>0</v>
      </c>
      <c r="AC8519" t="n">
        <v>0</v>
      </c>
      <c r="AD8519" t="n">
        <v>0</v>
      </c>
      <c r="AE8519" t="n">
        <v>0</v>
      </c>
      <c r="AF8519" t="n">
        <v>0</v>
      </c>
      <c r="AG8519" t="n">
        <v>0</v>
      </c>
      <c r="AH8519" t="n">
        <v>0</v>
      </c>
      <c r="AI8519" t="n">
        <v>0</v>
      </c>
    </row>
    <row r="8520">
      <c r="A8520" t="inlineStr">
        <is>
          <t>12월</t>
        </is>
      </c>
      <c r="B8520" t="inlineStr">
        <is>
          <t>52주차</t>
        </is>
      </c>
      <c r="C8520" t="e">
        <v>#N/A</v>
      </c>
      <c r="K8520" t="n">
        <v>0</v>
      </c>
      <c r="L8520" t="n">
        <v>0</v>
      </c>
      <c r="M8520" t="n">
        <v>0</v>
      </c>
      <c r="AC8520" t="n">
        <v>0</v>
      </c>
      <c r="AD8520" t="n">
        <v>0</v>
      </c>
      <c r="AE8520" t="n">
        <v>0</v>
      </c>
      <c r="AF8520" t="n">
        <v>0</v>
      </c>
      <c r="AG8520" t="n">
        <v>0</v>
      </c>
      <c r="AH8520" t="n">
        <v>0</v>
      </c>
      <c r="AI8520" t="n">
        <v>0</v>
      </c>
    </row>
    <row r="8521">
      <c r="A8521" t="inlineStr">
        <is>
          <t>12월</t>
        </is>
      </c>
      <c r="B8521" t="inlineStr">
        <is>
          <t>52주차</t>
        </is>
      </c>
      <c r="C8521" t="e">
        <v>#N/A</v>
      </c>
      <c r="K8521" t="n">
        <v>0</v>
      </c>
      <c r="L8521" t="n">
        <v>0</v>
      </c>
      <c r="M8521" t="n">
        <v>0</v>
      </c>
      <c r="AC8521" t="n">
        <v>0</v>
      </c>
      <c r="AD8521" t="n">
        <v>0</v>
      </c>
      <c r="AE8521" t="n">
        <v>0</v>
      </c>
      <c r="AF8521" t="n">
        <v>0</v>
      </c>
      <c r="AG8521" t="n">
        <v>0</v>
      </c>
      <c r="AH8521" t="n">
        <v>0</v>
      </c>
      <c r="AI8521" t="n">
        <v>0</v>
      </c>
    </row>
    <row r="8522">
      <c r="A8522" t="inlineStr">
        <is>
          <t>12월</t>
        </is>
      </c>
      <c r="B8522" t="inlineStr">
        <is>
          <t>52주차</t>
        </is>
      </c>
      <c r="C8522" t="e">
        <v>#N/A</v>
      </c>
      <c r="K8522" t="n">
        <v>0</v>
      </c>
      <c r="L8522" t="n">
        <v>0</v>
      </c>
      <c r="M8522" t="n">
        <v>0</v>
      </c>
      <c r="AC8522" t="n">
        <v>0</v>
      </c>
      <c r="AD8522" t="n">
        <v>0</v>
      </c>
      <c r="AE8522" t="n">
        <v>0</v>
      </c>
      <c r="AF8522" t="n">
        <v>0</v>
      </c>
      <c r="AG8522" t="n">
        <v>0</v>
      </c>
      <c r="AH8522" t="n">
        <v>0</v>
      </c>
    </row>
    <row r="8523">
      <c r="A8523" t="inlineStr">
        <is>
          <t>12월</t>
        </is>
      </c>
      <c r="B8523" t="inlineStr">
        <is>
          <t>52주차</t>
        </is>
      </c>
      <c r="C8523" t="e">
        <v>#N/A</v>
      </c>
      <c r="K8523" t="n">
        <v>0</v>
      </c>
      <c r="L8523" t="n">
        <v>0</v>
      </c>
      <c r="M8523" t="n">
        <v>0</v>
      </c>
      <c r="AC8523" t="n">
        <v>0</v>
      </c>
      <c r="AD8523" t="n">
        <v>0</v>
      </c>
      <c r="AE8523" t="n">
        <v>0</v>
      </c>
      <c r="AF8523" t="n">
        <v>0</v>
      </c>
      <c r="AG8523" t="n">
        <v>0</v>
      </c>
      <c r="AH8523" t="n">
        <v>0</v>
      </c>
    </row>
    <row r="8524">
      <c r="A8524" t="inlineStr">
        <is>
          <t>12월</t>
        </is>
      </c>
      <c r="B8524" t="inlineStr">
        <is>
          <t>52주차</t>
        </is>
      </c>
      <c r="C8524" t="e">
        <v>#N/A</v>
      </c>
      <c r="K8524" t="n">
        <v>0</v>
      </c>
      <c r="L8524" t="n">
        <v>0</v>
      </c>
      <c r="M8524" t="n">
        <v>0</v>
      </c>
      <c r="AC8524" t="n">
        <v>0</v>
      </c>
      <c r="AD8524" t="n">
        <v>0</v>
      </c>
      <c r="AE8524" t="n">
        <v>0</v>
      </c>
      <c r="AF8524" t="n">
        <v>0</v>
      </c>
      <c r="AG8524" t="n">
        <v>0</v>
      </c>
      <c r="AH8524" t="n">
        <v>0</v>
      </c>
      <c r="AI8524" t="n">
        <v>0</v>
      </c>
    </row>
    <row r="8525">
      <c r="A8525" t="inlineStr">
        <is>
          <t>12월</t>
        </is>
      </c>
      <c r="B8525" t="inlineStr">
        <is>
          <t>52주차</t>
        </is>
      </c>
      <c r="C8525" t="e">
        <v>#N/A</v>
      </c>
      <c r="K8525" t="n">
        <v>0</v>
      </c>
      <c r="L8525" t="n">
        <v>0</v>
      </c>
      <c r="M8525" t="n">
        <v>0</v>
      </c>
      <c r="AC8525" t="n">
        <v>0</v>
      </c>
      <c r="AD8525" t="n">
        <v>0</v>
      </c>
      <c r="AE8525" t="n">
        <v>0</v>
      </c>
      <c r="AF8525" t="n">
        <v>0</v>
      </c>
      <c r="AG8525" t="n">
        <v>0</v>
      </c>
      <c r="AH8525" t="n">
        <v>0</v>
      </c>
      <c r="AI8525" t="n">
        <v>0</v>
      </c>
    </row>
    <row r="8526">
      <c r="A8526" t="inlineStr">
        <is>
          <t>12월</t>
        </is>
      </c>
      <c r="B8526" t="inlineStr">
        <is>
          <t>52주차</t>
        </is>
      </c>
      <c r="C8526" t="e">
        <v>#N/A</v>
      </c>
      <c r="K8526" t="n">
        <v>0</v>
      </c>
      <c r="L8526" t="n">
        <v>0</v>
      </c>
      <c r="M8526" t="n">
        <v>0</v>
      </c>
      <c r="AC8526" t="n">
        <v>0</v>
      </c>
      <c r="AD8526" t="n">
        <v>0</v>
      </c>
      <c r="AE8526" t="n">
        <v>0</v>
      </c>
      <c r="AF8526" t="n">
        <v>0</v>
      </c>
      <c r="AG8526" t="n">
        <v>0</v>
      </c>
      <c r="AH8526" t="n">
        <v>0</v>
      </c>
      <c r="AI8526" t="n">
        <v>0</v>
      </c>
    </row>
    <row r="8527">
      <c r="A8527" t="inlineStr">
        <is>
          <t>12월</t>
        </is>
      </c>
      <c r="B8527" t="inlineStr">
        <is>
          <t>52주차</t>
        </is>
      </c>
      <c r="C8527" t="e">
        <v>#N/A</v>
      </c>
      <c r="K8527" t="n">
        <v>0</v>
      </c>
      <c r="L8527" t="n">
        <v>0</v>
      </c>
      <c r="M8527" t="n">
        <v>0</v>
      </c>
      <c r="AC8527" t="n">
        <v>0</v>
      </c>
      <c r="AD8527" t="n">
        <v>0</v>
      </c>
      <c r="AE8527" t="n">
        <v>0</v>
      </c>
      <c r="AF8527" t="n">
        <v>0</v>
      </c>
      <c r="AG8527" t="n">
        <v>0</v>
      </c>
      <c r="AH8527" t="n">
        <v>0</v>
      </c>
      <c r="AI8527" t="n">
        <v>0</v>
      </c>
    </row>
    <row r="8528">
      <c r="A8528" t="inlineStr">
        <is>
          <t>12월</t>
        </is>
      </c>
      <c r="B8528" t="inlineStr">
        <is>
          <t>52주차</t>
        </is>
      </c>
      <c r="C8528" t="e">
        <v>#N/A</v>
      </c>
      <c r="K8528" t="n">
        <v>0</v>
      </c>
      <c r="L8528" t="n">
        <v>0</v>
      </c>
      <c r="M8528" t="n">
        <v>0</v>
      </c>
      <c r="AC8528" t="n">
        <v>0</v>
      </c>
      <c r="AD8528" t="n">
        <v>0</v>
      </c>
      <c r="AE8528" t="n">
        <v>0</v>
      </c>
      <c r="AF8528" t="n">
        <v>0</v>
      </c>
      <c r="AG8528" t="n">
        <v>0</v>
      </c>
      <c r="AH8528" t="n">
        <v>0</v>
      </c>
      <c r="AI8528" t="n">
        <v>0</v>
      </c>
    </row>
    <row r="8529">
      <c r="A8529" t="inlineStr">
        <is>
          <t>12월</t>
        </is>
      </c>
      <c r="B8529" t="inlineStr">
        <is>
          <t>52주차</t>
        </is>
      </c>
      <c r="C8529" t="e">
        <v>#N/A</v>
      </c>
      <c r="K8529" t="n">
        <v>0</v>
      </c>
      <c r="L8529" t="n">
        <v>0</v>
      </c>
      <c r="M8529" t="n">
        <v>0</v>
      </c>
      <c r="AC8529" t="n">
        <v>0</v>
      </c>
      <c r="AD8529" t="n">
        <v>0</v>
      </c>
      <c r="AE8529" t="n">
        <v>0</v>
      </c>
      <c r="AF8529" t="n">
        <v>0</v>
      </c>
      <c r="AG8529" t="n">
        <v>0</v>
      </c>
      <c r="AH8529" t="n">
        <v>0</v>
      </c>
      <c r="AI8529" t="n">
        <v>0</v>
      </c>
    </row>
    <row r="8530">
      <c r="A8530" t="inlineStr">
        <is>
          <t>12월</t>
        </is>
      </c>
      <c r="B8530" t="inlineStr">
        <is>
          <t>52주차</t>
        </is>
      </c>
      <c r="C8530" t="e">
        <v>#N/A</v>
      </c>
      <c r="K8530" t="n">
        <v>0</v>
      </c>
      <c r="L8530" t="n">
        <v>0</v>
      </c>
      <c r="M8530" t="n">
        <v>0</v>
      </c>
      <c r="AC8530" t="n">
        <v>0</v>
      </c>
      <c r="AD8530" t="n">
        <v>0</v>
      </c>
      <c r="AE8530" t="n">
        <v>0</v>
      </c>
      <c r="AF8530" t="n">
        <v>0</v>
      </c>
      <c r="AG8530" t="n">
        <v>0</v>
      </c>
      <c r="AH8530" t="n">
        <v>0</v>
      </c>
      <c r="AI8530" t="n">
        <v>0</v>
      </c>
    </row>
    <row r="8531">
      <c r="A8531" t="inlineStr">
        <is>
          <t>12월</t>
        </is>
      </c>
      <c r="B8531" t="inlineStr">
        <is>
          <t>52주차</t>
        </is>
      </c>
      <c r="C8531" t="e">
        <v>#N/A</v>
      </c>
      <c r="K8531" t="n">
        <v>0</v>
      </c>
      <c r="L8531" t="n">
        <v>0</v>
      </c>
      <c r="M8531" t="n">
        <v>0</v>
      </c>
      <c r="AC8531" t="n">
        <v>0</v>
      </c>
      <c r="AD8531" t="n">
        <v>0</v>
      </c>
      <c r="AE8531" t="n">
        <v>0</v>
      </c>
      <c r="AF8531" t="n">
        <v>0</v>
      </c>
      <c r="AG8531" t="n">
        <v>0</v>
      </c>
      <c r="AH8531" t="n">
        <v>0</v>
      </c>
      <c r="AI8531" t="n">
        <v>0</v>
      </c>
    </row>
    <row r="8532">
      <c r="A8532" t="inlineStr">
        <is>
          <t>12월</t>
        </is>
      </c>
      <c r="B8532" t="inlineStr">
        <is>
          <t>52주차</t>
        </is>
      </c>
      <c r="C8532" t="e">
        <v>#N/A</v>
      </c>
      <c r="K8532" t="n">
        <v>0</v>
      </c>
      <c r="L8532" t="n">
        <v>0</v>
      </c>
      <c r="M8532" t="n">
        <v>0</v>
      </c>
      <c r="AC8532" t="n">
        <v>0</v>
      </c>
      <c r="AD8532" t="n">
        <v>0</v>
      </c>
      <c r="AE8532" t="n">
        <v>0</v>
      </c>
      <c r="AF8532" t="n">
        <v>0</v>
      </c>
      <c r="AG8532" t="n">
        <v>0</v>
      </c>
      <c r="AH8532" t="n">
        <v>0</v>
      </c>
      <c r="AI8532" t="n">
        <v>0</v>
      </c>
    </row>
    <row r="8533">
      <c r="A8533" t="inlineStr">
        <is>
          <t>12월</t>
        </is>
      </c>
      <c r="B8533" t="inlineStr">
        <is>
          <t>52주차</t>
        </is>
      </c>
      <c r="C8533" t="e">
        <v>#N/A</v>
      </c>
      <c r="K8533" t="n">
        <v>0</v>
      </c>
      <c r="L8533" t="n">
        <v>0</v>
      </c>
      <c r="M8533" t="n">
        <v>0</v>
      </c>
      <c r="AC8533" t="n">
        <v>0</v>
      </c>
      <c r="AD8533" t="n">
        <v>0</v>
      </c>
      <c r="AE8533" t="n">
        <v>0</v>
      </c>
      <c r="AF8533" t="n">
        <v>0</v>
      </c>
      <c r="AG8533" t="n">
        <v>0</v>
      </c>
      <c r="AH8533" t="n">
        <v>0</v>
      </c>
      <c r="AI8533" t="n">
        <v>0</v>
      </c>
    </row>
    <row r="8534">
      <c r="A8534" t="inlineStr">
        <is>
          <t>12월</t>
        </is>
      </c>
      <c r="B8534" t="inlineStr">
        <is>
          <t>52주차</t>
        </is>
      </c>
      <c r="C8534" t="e">
        <v>#N/A</v>
      </c>
      <c r="K8534" t="n">
        <v>0</v>
      </c>
      <c r="L8534" t="n">
        <v>0</v>
      </c>
      <c r="M8534" t="n">
        <v>0</v>
      </c>
      <c r="AC8534" t="n">
        <v>0</v>
      </c>
      <c r="AD8534" t="n">
        <v>0</v>
      </c>
      <c r="AE8534" t="n">
        <v>0</v>
      </c>
      <c r="AF8534" t="n">
        <v>0</v>
      </c>
      <c r="AG8534" t="n">
        <v>0</v>
      </c>
      <c r="AH8534" t="n">
        <v>0</v>
      </c>
      <c r="AI8534" t="n">
        <v>0</v>
      </c>
    </row>
    <row r="8535">
      <c r="A8535" t="inlineStr">
        <is>
          <t>12월</t>
        </is>
      </c>
      <c r="B8535" t="inlineStr">
        <is>
          <t>52주차</t>
        </is>
      </c>
      <c r="C8535" t="e">
        <v>#N/A</v>
      </c>
      <c r="K8535" t="n">
        <v>0</v>
      </c>
      <c r="L8535" t="n">
        <v>0</v>
      </c>
      <c r="M8535" t="n">
        <v>0</v>
      </c>
      <c r="AC8535" t="n">
        <v>0</v>
      </c>
      <c r="AD8535" t="n">
        <v>0</v>
      </c>
      <c r="AE8535" t="n">
        <v>0</v>
      </c>
      <c r="AF8535" t="n">
        <v>0</v>
      </c>
      <c r="AG8535" t="n">
        <v>0</v>
      </c>
      <c r="AH8535" t="n">
        <v>0</v>
      </c>
      <c r="AI8535" t="n">
        <v>0</v>
      </c>
    </row>
    <row r="8536">
      <c r="A8536" t="inlineStr">
        <is>
          <t>12월</t>
        </is>
      </c>
      <c r="B8536" t="inlineStr">
        <is>
          <t>52주차</t>
        </is>
      </c>
      <c r="C8536" t="e">
        <v>#N/A</v>
      </c>
      <c r="K8536" t="n">
        <v>0</v>
      </c>
      <c r="L8536" t="n">
        <v>0</v>
      </c>
      <c r="M8536" t="n">
        <v>0</v>
      </c>
      <c r="AC8536" t="n">
        <v>0</v>
      </c>
      <c r="AD8536" t="n">
        <v>0</v>
      </c>
      <c r="AE8536" t="n">
        <v>0</v>
      </c>
      <c r="AF8536" t="n">
        <v>0</v>
      </c>
      <c r="AG8536" t="n">
        <v>0</v>
      </c>
      <c r="AH8536" t="n">
        <v>0</v>
      </c>
      <c r="AI8536" t="n">
        <v>0</v>
      </c>
    </row>
    <row r="8537">
      <c r="A8537" t="inlineStr">
        <is>
          <t>12월</t>
        </is>
      </c>
      <c r="B8537" t="inlineStr">
        <is>
          <t>52주차</t>
        </is>
      </c>
      <c r="C8537" t="e">
        <v>#N/A</v>
      </c>
      <c r="K8537" t="n">
        <v>0</v>
      </c>
      <c r="L8537" t="n">
        <v>0</v>
      </c>
      <c r="M8537" t="n">
        <v>0</v>
      </c>
      <c r="AC8537" t="n">
        <v>0</v>
      </c>
      <c r="AD8537" t="n">
        <v>0</v>
      </c>
      <c r="AE8537" t="n">
        <v>0</v>
      </c>
      <c r="AF8537" t="n">
        <v>0</v>
      </c>
      <c r="AG8537" t="n">
        <v>0</v>
      </c>
      <c r="AH8537" t="n">
        <v>0</v>
      </c>
      <c r="AI8537" t="n">
        <v>0</v>
      </c>
    </row>
    <row r="8538">
      <c r="A8538" t="inlineStr">
        <is>
          <t>12월</t>
        </is>
      </c>
      <c r="B8538" t="inlineStr">
        <is>
          <t>52주차</t>
        </is>
      </c>
      <c r="C8538" t="e">
        <v>#N/A</v>
      </c>
      <c r="K8538" t="n">
        <v>0</v>
      </c>
      <c r="L8538" t="n">
        <v>0</v>
      </c>
      <c r="M8538" t="n">
        <v>0</v>
      </c>
      <c r="AC8538" t="n">
        <v>0</v>
      </c>
      <c r="AD8538" t="n">
        <v>0</v>
      </c>
      <c r="AE8538" t="n">
        <v>0</v>
      </c>
      <c r="AF8538" t="n">
        <v>0</v>
      </c>
      <c r="AG8538" t="n">
        <v>0</v>
      </c>
      <c r="AH8538" t="n">
        <v>0</v>
      </c>
      <c r="AI8538" t="n">
        <v>0</v>
      </c>
    </row>
    <row r="8539">
      <c r="A8539" t="inlineStr">
        <is>
          <t>12월</t>
        </is>
      </c>
      <c r="B8539" t="inlineStr">
        <is>
          <t>52주차</t>
        </is>
      </c>
      <c r="C8539" t="e">
        <v>#N/A</v>
      </c>
      <c r="K8539" t="n">
        <v>0</v>
      </c>
      <c r="L8539" t="n">
        <v>0</v>
      </c>
      <c r="M8539" t="n">
        <v>0</v>
      </c>
      <c r="AC8539" t="n">
        <v>0</v>
      </c>
      <c r="AD8539" t="n">
        <v>0</v>
      </c>
      <c r="AE8539" t="n">
        <v>0</v>
      </c>
      <c r="AF8539" t="n">
        <v>0</v>
      </c>
      <c r="AG8539" t="n">
        <v>0</v>
      </c>
      <c r="AH8539" t="n">
        <v>0</v>
      </c>
      <c r="AI8539" t="n">
        <v>0</v>
      </c>
    </row>
    <row r="8540">
      <c r="A8540" t="inlineStr">
        <is>
          <t>12월</t>
        </is>
      </c>
      <c r="B8540" t="inlineStr">
        <is>
          <t>52주차</t>
        </is>
      </c>
      <c r="C8540" t="e">
        <v>#N/A</v>
      </c>
      <c r="K8540" t="n">
        <v>0</v>
      </c>
      <c r="L8540" t="n">
        <v>0</v>
      </c>
      <c r="M8540" t="n">
        <v>0</v>
      </c>
      <c r="AC8540" t="n">
        <v>0</v>
      </c>
      <c r="AD8540" t="n">
        <v>0</v>
      </c>
      <c r="AE8540" t="n">
        <v>0</v>
      </c>
      <c r="AF8540" t="n">
        <v>0</v>
      </c>
      <c r="AG8540" t="n">
        <v>0</v>
      </c>
      <c r="AH8540" t="n">
        <v>0</v>
      </c>
      <c r="AI8540" t="n">
        <v>0</v>
      </c>
    </row>
    <row r="8541">
      <c r="A8541" t="inlineStr">
        <is>
          <t>12월</t>
        </is>
      </c>
      <c r="B8541" t="inlineStr">
        <is>
          <t>52주차</t>
        </is>
      </c>
      <c r="C8541" t="e">
        <v>#N/A</v>
      </c>
      <c r="K8541" t="n">
        <v>0</v>
      </c>
      <c r="L8541" t="n">
        <v>0</v>
      </c>
      <c r="M8541" t="n">
        <v>0</v>
      </c>
      <c r="AC8541" t="n">
        <v>0</v>
      </c>
      <c r="AD8541" t="n">
        <v>0</v>
      </c>
      <c r="AE8541" t="n">
        <v>0</v>
      </c>
      <c r="AF8541" t="n">
        <v>0</v>
      </c>
      <c r="AG8541" t="n">
        <v>0</v>
      </c>
      <c r="AH8541" t="n">
        <v>0</v>
      </c>
      <c r="AI8541" t="n">
        <v>0</v>
      </c>
    </row>
    <row r="8542">
      <c r="A8542" t="inlineStr">
        <is>
          <t>12월</t>
        </is>
      </c>
      <c r="B8542" t="inlineStr">
        <is>
          <t>52주차</t>
        </is>
      </c>
      <c r="C8542" t="e">
        <v>#N/A</v>
      </c>
      <c r="K8542" t="n">
        <v>0</v>
      </c>
      <c r="L8542" t="n">
        <v>0</v>
      </c>
      <c r="M8542" t="n">
        <v>0</v>
      </c>
      <c r="AC8542" t="n">
        <v>0</v>
      </c>
      <c r="AD8542" t="n">
        <v>0</v>
      </c>
      <c r="AE8542" t="n">
        <v>0</v>
      </c>
      <c r="AF8542" t="n">
        <v>0</v>
      </c>
      <c r="AG8542" t="n">
        <v>0</v>
      </c>
      <c r="AH8542" t="n">
        <v>0</v>
      </c>
      <c r="AI8542" t="n">
        <v>0</v>
      </c>
    </row>
    <row r="8543">
      <c r="A8543" t="inlineStr">
        <is>
          <t>12월</t>
        </is>
      </c>
      <c r="B8543" t="inlineStr">
        <is>
          <t>52주차</t>
        </is>
      </c>
      <c r="C8543" t="e">
        <v>#N/A</v>
      </c>
      <c r="K8543" t="n">
        <v>0</v>
      </c>
      <c r="L8543" t="n">
        <v>0</v>
      </c>
      <c r="M8543" t="n">
        <v>0</v>
      </c>
      <c r="AC8543" t="n">
        <v>0</v>
      </c>
      <c r="AD8543" t="n">
        <v>0</v>
      </c>
      <c r="AE8543" t="n">
        <v>0</v>
      </c>
      <c r="AF8543" t="n">
        <v>0</v>
      </c>
      <c r="AG8543" t="n">
        <v>0</v>
      </c>
      <c r="AH8543" t="n">
        <v>0</v>
      </c>
      <c r="AI8543" t="n">
        <v>0</v>
      </c>
    </row>
    <row r="8544">
      <c r="A8544" t="inlineStr">
        <is>
          <t>12월</t>
        </is>
      </c>
      <c r="B8544" t="inlineStr">
        <is>
          <t>52주차</t>
        </is>
      </c>
      <c r="C8544" t="e">
        <v>#N/A</v>
      </c>
      <c r="K8544" t="n">
        <v>0</v>
      </c>
      <c r="L8544" t="n">
        <v>0</v>
      </c>
      <c r="M8544" t="n">
        <v>0</v>
      </c>
      <c r="AC8544" t="n">
        <v>0</v>
      </c>
      <c r="AD8544" t="n">
        <v>0</v>
      </c>
      <c r="AE8544" t="n">
        <v>0</v>
      </c>
      <c r="AF8544" t="n">
        <v>0</v>
      </c>
      <c r="AG8544" t="n">
        <v>0</v>
      </c>
      <c r="AH8544" t="n">
        <v>0</v>
      </c>
      <c r="AI8544" t="n">
        <v>0</v>
      </c>
    </row>
    <row r="8545">
      <c r="A8545" t="inlineStr">
        <is>
          <t>12월</t>
        </is>
      </c>
      <c r="B8545" t="inlineStr">
        <is>
          <t>52주차</t>
        </is>
      </c>
      <c r="C8545" t="e">
        <v>#N/A</v>
      </c>
      <c r="K8545" t="n">
        <v>0</v>
      </c>
      <c r="L8545" t="n">
        <v>0</v>
      </c>
      <c r="M8545" t="n">
        <v>0</v>
      </c>
      <c r="AC8545" t="n">
        <v>0</v>
      </c>
      <c r="AD8545" t="n">
        <v>0</v>
      </c>
      <c r="AE8545" t="n">
        <v>0</v>
      </c>
      <c r="AF8545" t="n">
        <v>0</v>
      </c>
      <c r="AG8545" t="n">
        <v>0</v>
      </c>
      <c r="AH8545" t="n">
        <v>0</v>
      </c>
      <c r="AI8545" t="n">
        <v>0</v>
      </c>
    </row>
    <row r="8546">
      <c r="A8546" t="inlineStr">
        <is>
          <t>12월</t>
        </is>
      </c>
      <c r="B8546" t="inlineStr">
        <is>
          <t>52주차</t>
        </is>
      </c>
      <c r="C8546" t="e">
        <v>#N/A</v>
      </c>
      <c r="K8546" t="n">
        <v>0</v>
      </c>
      <c r="L8546" t="n">
        <v>0</v>
      </c>
      <c r="M8546" t="n">
        <v>0</v>
      </c>
      <c r="AC8546" t="n">
        <v>0</v>
      </c>
      <c r="AD8546" t="n">
        <v>0</v>
      </c>
      <c r="AE8546" t="n">
        <v>0</v>
      </c>
      <c r="AF8546" t="n">
        <v>0</v>
      </c>
      <c r="AG8546" t="n">
        <v>0</v>
      </c>
      <c r="AH8546" t="n">
        <v>0</v>
      </c>
      <c r="AI8546" t="n">
        <v>0</v>
      </c>
    </row>
    <row r="8547">
      <c r="A8547" t="inlineStr">
        <is>
          <t>12월</t>
        </is>
      </c>
      <c r="B8547" t="inlineStr">
        <is>
          <t>52주차</t>
        </is>
      </c>
      <c r="C8547" t="e">
        <v>#N/A</v>
      </c>
      <c r="K8547" t="n">
        <v>0</v>
      </c>
      <c r="L8547" t="n">
        <v>0</v>
      </c>
      <c r="M8547" t="n">
        <v>0</v>
      </c>
      <c r="AC8547" t="n">
        <v>0</v>
      </c>
      <c r="AD8547" t="n">
        <v>0</v>
      </c>
      <c r="AE8547" t="n">
        <v>0</v>
      </c>
      <c r="AF8547" t="n">
        <v>0</v>
      </c>
      <c r="AG8547" t="n">
        <v>0</v>
      </c>
      <c r="AH8547" t="n">
        <v>0</v>
      </c>
      <c r="AI8547" t="n">
        <v>0</v>
      </c>
    </row>
    <row r="8548">
      <c r="A8548" t="inlineStr">
        <is>
          <t>12월</t>
        </is>
      </c>
      <c r="B8548" t="inlineStr">
        <is>
          <t>52주차</t>
        </is>
      </c>
      <c r="C8548" t="e">
        <v>#N/A</v>
      </c>
      <c r="K8548" t="n">
        <v>0</v>
      </c>
      <c r="L8548" t="n">
        <v>0</v>
      </c>
      <c r="M8548" t="n">
        <v>0</v>
      </c>
      <c r="AC8548" t="n">
        <v>0</v>
      </c>
      <c r="AD8548" t="n">
        <v>0</v>
      </c>
      <c r="AE8548" t="n">
        <v>0</v>
      </c>
      <c r="AF8548" t="n">
        <v>0</v>
      </c>
      <c r="AG8548" t="n">
        <v>0</v>
      </c>
      <c r="AH8548" t="n">
        <v>0</v>
      </c>
      <c r="AI8548" t="n">
        <v>0</v>
      </c>
    </row>
    <row r="8549">
      <c r="A8549" t="inlineStr">
        <is>
          <t>12월</t>
        </is>
      </c>
      <c r="B8549" t="inlineStr">
        <is>
          <t>52주차</t>
        </is>
      </c>
      <c r="C8549" t="e">
        <v>#N/A</v>
      </c>
      <c r="K8549" t="n">
        <v>0</v>
      </c>
      <c r="L8549" t="n">
        <v>0</v>
      </c>
      <c r="M8549" t="n">
        <v>0</v>
      </c>
      <c r="AC8549" t="n">
        <v>0</v>
      </c>
      <c r="AD8549" t="n">
        <v>0</v>
      </c>
      <c r="AE8549" t="n">
        <v>0</v>
      </c>
      <c r="AF8549" t="n">
        <v>0</v>
      </c>
      <c r="AG8549" t="n">
        <v>0</v>
      </c>
      <c r="AH8549" t="n">
        <v>0</v>
      </c>
      <c r="AI8549" t="n">
        <v>0</v>
      </c>
    </row>
    <row r="8550">
      <c r="A8550" t="inlineStr">
        <is>
          <t>12월</t>
        </is>
      </c>
      <c r="B8550" t="inlineStr">
        <is>
          <t>52주차</t>
        </is>
      </c>
      <c r="C8550" t="e">
        <v>#N/A</v>
      </c>
      <c r="K8550" t="n">
        <v>0</v>
      </c>
      <c r="L8550" t="n">
        <v>0</v>
      </c>
      <c r="M8550" t="n">
        <v>0</v>
      </c>
      <c r="AC8550" t="n">
        <v>0</v>
      </c>
      <c r="AD8550" t="n">
        <v>0</v>
      </c>
      <c r="AE8550" t="n">
        <v>0</v>
      </c>
      <c r="AF8550" t="n">
        <v>0</v>
      </c>
      <c r="AG8550" t="n">
        <v>0</v>
      </c>
      <c r="AH8550" t="n">
        <v>0</v>
      </c>
      <c r="AI8550" t="n">
        <v>0</v>
      </c>
    </row>
    <row r="8551">
      <c r="A8551" t="inlineStr">
        <is>
          <t>12월</t>
        </is>
      </c>
      <c r="B8551" t="inlineStr">
        <is>
          <t>52주차</t>
        </is>
      </c>
      <c r="C8551" t="e">
        <v>#N/A</v>
      </c>
      <c r="K8551" t="n">
        <v>0</v>
      </c>
      <c r="L8551" t="n">
        <v>0</v>
      </c>
      <c r="M8551" t="n">
        <v>0</v>
      </c>
      <c r="AC8551" t="n">
        <v>0</v>
      </c>
      <c r="AD8551" t="n">
        <v>0</v>
      </c>
      <c r="AE8551" t="n">
        <v>0</v>
      </c>
      <c r="AF8551" t="n">
        <v>0</v>
      </c>
      <c r="AG8551" t="n">
        <v>0</v>
      </c>
      <c r="AH8551" t="n">
        <v>0</v>
      </c>
    </row>
    <row r="8552">
      <c r="A8552" t="inlineStr">
        <is>
          <t>12월</t>
        </is>
      </c>
      <c r="B8552" t="inlineStr">
        <is>
          <t>52주차</t>
        </is>
      </c>
      <c r="C8552" t="e">
        <v>#N/A</v>
      </c>
      <c r="K8552" t="n">
        <v>0</v>
      </c>
      <c r="L8552" t="n">
        <v>0</v>
      </c>
      <c r="M8552" t="n">
        <v>0</v>
      </c>
      <c r="AC8552" t="n">
        <v>0</v>
      </c>
      <c r="AD8552" t="n">
        <v>0</v>
      </c>
      <c r="AE8552" t="n">
        <v>0</v>
      </c>
      <c r="AF8552" t="n">
        <v>0</v>
      </c>
      <c r="AG8552" t="n">
        <v>0</v>
      </c>
      <c r="AH8552" t="n">
        <v>0</v>
      </c>
    </row>
    <row r="8553">
      <c r="A8553" t="inlineStr">
        <is>
          <t>12월</t>
        </is>
      </c>
      <c r="B8553" t="inlineStr">
        <is>
          <t>52주차</t>
        </is>
      </c>
      <c r="C8553" t="e">
        <v>#N/A</v>
      </c>
      <c r="K8553" t="n">
        <v>0</v>
      </c>
      <c r="L8553" t="n">
        <v>0</v>
      </c>
      <c r="M8553" t="n">
        <v>0</v>
      </c>
      <c r="AC8553" t="n">
        <v>0</v>
      </c>
      <c r="AD8553" t="n">
        <v>0</v>
      </c>
      <c r="AE8553" t="n">
        <v>0</v>
      </c>
      <c r="AF8553" t="n">
        <v>0</v>
      </c>
      <c r="AG8553" t="n">
        <v>0</v>
      </c>
      <c r="AH8553" t="n">
        <v>0</v>
      </c>
      <c r="AI8553" t="n">
        <v>0</v>
      </c>
    </row>
    <row r="8554">
      <c r="A8554" t="inlineStr">
        <is>
          <t>12월</t>
        </is>
      </c>
      <c r="B8554" t="inlineStr">
        <is>
          <t>52주차</t>
        </is>
      </c>
      <c r="C8554" t="e">
        <v>#N/A</v>
      </c>
      <c r="K8554" t="n">
        <v>0</v>
      </c>
      <c r="L8554" t="n">
        <v>0</v>
      </c>
      <c r="M8554" t="n">
        <v>0</v>
      </c>
      <c r="AC8554" t="n">
        <v>0</v>
      </c>
      <c r="AD8554" t="n">
        <v>0</v>
      </c>
      <c r="AE8554" t="n">
        <v>0</v>
      </c>
      <c r="AF8554" t="n">
        <v>0</v>
      </c>
      <c r="AG8554" t="n">
        <v>0</v>
      </c>
      <c r="AH8554" t="n">
        <v>0</v>
      </c>
      <c r="AI8554" t="n">
        <v>0</v>
      </c>
    </row>
    <row r="8555">
      <c r="A8555" t="inlineStr">
        <is>
          <t>12월</t>
        </is>
      </c>
      <c r="B8555" t="inlineStr">
        <is>
          <t>52주차</t>
        </is>
      </c>
      <c r="C8555" t="e">
        <v>#N/A</v>
      </c>
      <c r="K8555" t="n">
        <v>0</v>
      </c>
      <c r="L8555" t="n">
        <v>0</v>
      </c>
      <c r="M8555" t="n">
        <v>0</v>
      </c>
      <c r="AC8555" t="n">
        <v>0</v>
      </c>
      <c r="AD8555" t="n">
        <v>0</v>
      </c>
      <c r="AE8555" t="n">
        <v>0</v>
      </c>
      <c r="AF8555" t="n">
        <v>0</v>
      </c>
      <c r="AG8555" t="n">
        <v>0</v>
      </c>
      <c r="AH8555" t="n">
        <v>0</v>
      </c>
    </row>
    <row r="8556">
      <c r="A8556" t="inlineStr">
        <is>
          <t>12월</t>
        </is>
      </c>
      <c r="B8556" t="inlineStr">
        <is>
          <t>52주차</t>
        </is>
      </c>
      <c r="C8556" t="e">
        <v>#N/A</v>
      </c>
      <c r="K8556" t="n">
        <v>0</v>
      </c>
      <c r="L8556" t="n">
        <v>0</v>
      </c>
      <c r="M8556" t="n">
        <v>0</v>
      </c>
      <c r="AC8556" t="n">
        <v>0</v>
      </c>
      <c r="AD8556" t="n">
        <v>0</v>
      </c>
      <c r="AE8556" t="n">
        <v>0</v>
      </c>
      <c r="AF8556" t="n">
        <v>0</v>
      </c>
      <c r="AG8556" t="n">
        <v>0</v>
      </c>
      <c r="AH8556" t="n">
        <v>0</v>
      </c>
    </row>
    <row r="8557">
      <c r="A8557" t="inlineStr">
        <is>
          <t>12월</t>
        </is>
      </c>
      <c r="B8557" t="inlineStr">
        <is>
          <t>52주차</t>
        </is>
      </c>
      <c r="C8557" t="e">
        <v>#N/A</v>
      </c>
      <c r="K8557" t="n">
        <v>0</v>
      </c>
      <c r="L8557" t="n">
        <v>0</v>
      </c>
      <c r="M8557" t="n">
        <v>0</v>
      </c>
      <c r="AC8557" t="n">
        <v>0</v>
      </c>
      <c r="AD8557" t="n">
        <v>0</v>
      </c>
      <c r="AE8557" t="n">
        <v>0</v>
      </c>
      <c r="AF8557" t="n">
        <v>0</v>
      </c>
      <c r="AG8557" t="n">
        <v>0</v>
      </c>
      <c r="AH8557" t="n">
        <v>0</v>
      </c>
      <c r="AI8557" t="n">
        <v>0</v>
      </c>
    </row>
    <row r="8558">
      <c r="A8558" t="inlineStr">
        <is>
          <t>12월</t>
        </is>
      </c>
      <c r="B8558" t="inlineStr">
        <is>
          <t>52주차</t>
        </is>
      </c>
      <c r="C8558" t="e">
        <v>#N/A</v>
      </c>
      <c r="K8558" t="n">
        <v>0</v>
      </c>
      <c r="L8558" t="n">
        <v>0</v>
      </c>
      <c r="M8558" t="n">
        <v>0</v>
      </c>
      <c r="AC8558" t="n">
        <v>0</v>
      </c>
      <c r="AD8558" t="n">
        <v>0</v>
      </c>
      <c r="AE8558" t="n">
        <v>0</v>
      </c>
      <c r="AF8558" t="n">
        <v>0</v>
      </c>
      <c r="AG8558" t="n">
        <v>0</v>
      </c>
      <c r="AH8558" t="n">
        <v>0</v>
      </c>
    </row>
    <row r="8559">
      <c r="A8559" t="inlineStr">
        <is>
          <t>12월</t>
        </is>
      </c>
      <c r="B8559" t="inlineStr">
        <is>
          <t>52주차</t>
        </is>
      </c>
      <c r="C8559" t="e">
        <v>#N/A</v>
      </c>
      <c r="K8559" t="n">
        <v>0</v>
      </c>
      <c r="L8559" t="n">
        <v>0</v>
      </c>
      <c r="M8559" t="n">
        <v>0</v>
      </c>
      <c r="AC8559" t="n">
        <v>0</v>
      </c>
      <c r="AD8559" t="n">
        <v>0</v>
      </c>
      <c r="AE8559" t="n">
        <v>0</v>
      </c>
      <c r="AF8559" t="n">
        <v>0</v>
      </c>
      <c r="AG8559" t="n">
        <v>0</v>
      </c>
      <c r="AH8559" t="n">
        <v>0</v>
      </c>
    </row>
    <row r="8560">
      <c r="A8560" t="inlineStr">
        <is>
          <t>12월</t>
        </is>
      </c>
      <c r="B8560" t="inlineStr">
        <is>
          <t>52주차</t>
        </is>
      </c>
      <c r="C8560" t="e">
        <v>#N/A</v>
      </c>
      <c r="K8560" t="n">
        <v>0</v>
      </c>
      <c r="L8560" t="n">
        <v>0</v>
      </c>
      <c r="M8560" t="n">
        <v>0</v>
      </c>
      <c r="AC8560" t="n">
        <v>0</v>
      </c>
      <c r="AD8560" t="n">
        <v>0</v>
      </c>
      <c r="AE8560" t="n">
        <v>0</v>
      </c>
      <c r="AF8560" t="n">
        <v>0</v>
      </c>
      <c r="AG8560" t="n">
        <v>0</v>
      </c>
      <c r="AH8560" t="n">
        <v>0</v>
      </c>
    </row>
    <row r="8561">
      <c r="A8561" t="inlineStr">
        <is>
          <t>12월</t>
        </is>
      </c>
      <c r="B8561" t="inlineStr">
        <is>
          <t>52주차</t>
        </is>
      </c>
      <c r="C8561" t="e">
        <v>#N/A</v>
      </c>
      <c r="K8561" t="n">
        <v>0</v>
      </c>
      <c r="L8561" t="n">
        <v>0</v>
      </c>
      <c r="M8561" t="n">
        <v>0</v>
      </c>
      <c r="AC8561" t="n">
        <v>0</v>
      </c>
      <c r="AD8561" t="n">
        <v>0</v>
      </c>
      <c r="AE8561" t="n">
        <v>0</v>
      </c>
      <c r="AF8561" t="n">
        <v>0</v>
      </c>
      <c r="AG8561" t="n">
        <v>0</v>
      </c>
      <c r="AH8561" t="n">
        <v>0</v>
      </c>
    </row>
    <row r="8562">
      <c r="A8562" t="inlineStr">
        <is>
          <t>12월</t>
        </is>
      </c>
      <c r="B8562" t="inlineStr">
        <is>
          <t>52주차</t>
        </is>
      </c>
      <c r="C8562" t="e">
        <v>#N/A</v>
      </c>
      <c r="K8562" t="n">
        <v>0</v>
      </c>
      <c r="L8562" t="n">
        <v>0</v>
      </c>
      <c r="M8562" t="n">
        <v>0</v>
      </c>
      <c r="AC8562" t="n">
        <v>0</v>
      </c>
      <c r="AD8562" t="n">
        <v>0</v>
      </c>
      <c r="AE8562" t="n">
        <v>0</v>
      </c>
      <c r="AF8562" t="n">
        <v>0</v>
      </c>
      <c r="AG8562" t="n">
        <v>0</v>
      </c>
      <c r="AH8562" t="n">
        <v>0</v>
      </c>
      <c r="AI8562" t="n">
        <v>0</v>
      </c>
    </row>
    <row r="8563">
      <c r="A8563" t="inlineStr">
        <is>
          <t>12월</t>
        </is>
      </c>
      <c r="B8563" t="inlineStr">
        <is>
          <t>52주차</t>
        </is>
      </c>
      <c r="C8563" t="e">
        <v>#N/A</v>
      </c>
      <c r="K8563" t="n">
        <v>0</v>
      </c>
      <c r="L8563" t="n">
        <v>0</v>
      </c>
      <c r="M8563" t="n">
        <v>0</v>
      </c>
      <c r="AC8563" t="n">
        <v>0</v>
      </c>
      <c r="AD8563" t="n">
        <v>0</v>
      </c>
      <c r="AE8563" t="n">
        <v>0</v>
      </c>
      <c r="AF8563" t="n">
        <v>0</v>
      </c>
      <c r="AG8563" t="n">
        <v>0</v>
      </c>
      <c r="AH8563" t="n">
        <v>0</v>
      </c>
    </row>
    <row r="8564">
      <c r="A8564" t="inlineStr">
        <is>
          <t>12월</t>
        </is>
      </c>
      <c r="B8564" t="inlineStr">
        <is>
          <t>52주차</t>
        </is>
      </c>
      <c r="C8564" t="e">
        <v>#N/A</v>
      </c>
      <c r="K8564" t="n">
        <v>0</v>
      </c>
      <c r="L8564" t="n">
        <v>0</v>
      </c>
      <c r="M8564" t="n">
        <v>0</v>
      </c>
      <c r="AC8564" t="n">
        <v>0</v>
      </c>
      <c r="AD8564" t="n">
        <v>0</v>
      </c>
      <c r="AE8564" t="n">
        <v>0</v>
      </c>
      <c r="AF8564" t="n">
        <v>0</v>
      </c>
      <c r="AG8564" t="n">
        <v>0</v>
      </c>
      <c r="AH8564" t="n">
        <v>0</v>
      </c>
    </row>
    <row r="8565">
      <c r="A8565" t="inlineStr">
        <is>
          <t>12월</t>
        </is>
      </c>
      <c r="B8565" t="inlineStr">
        <is>
          <t>52주차</t>
        </is>
      </c>
      <c r="C8565" t="e">
        <v>#N/A</v>
      </c>
      <c r="K8565" t="n">
        <v>0</v>
      </c>
      <c r="L8565" t="n">
        <v>0</v>
      </c>
      <c r="M8565" t="n">
        <v>0</v>
      </c>
      <c r="AC8565" t="n">
        <v>0</v>
      </c>
      <c r="AD8565" t="n">
        <v>0</v>
      </c>
      <c r="AE8565" t="n">
        <v>0</v>
      </c>
      <c r="AF8565" t="n">
        <v>0</v>
      </c>
      <c r="AG8565" t="n">
        <v>0</v>
      </c>
      <c r="AH8565" t="n">
        <v>0</v>
      </c>
      <c r="AI8565" t="n">
        <v>0</v>
      </c>
    </row>
    <row r="8566">
      <c r="A8566" t="inlineStr">
        <is>
          <t>12월</t>
        </is>
      </c>
      <c r="B8566" t="inlineStr">
        <is>
          <t>52주차</t>
        </is>
      </c>
      <c r="C8566" t="e">
        <v>#N/A</v>
      </c>
      <c r="K8566" t="n">
        <v>0</v>
      </c>
      <c r="L8566" t="n">
        <v>0</v>
      </c>
      <c r="M8566" t="n">
        <v>0</v>
      </c>
      <c r="AC8566" t="n">
        <v>0</v>
      </c>
      <c r="AD8566" t="n">
        <v>0</v>
      </c>
      <c r="AE8566" t="n">
        <v>0</v>
      </c>
      <c r="AF8566" t="n">
        <v>0</v>
      </c>
      <c r="AG8566" t="n">
        <v>0</v>
      </c>
      <c r="AH8566" t="n">
        <v>0</v>
      </c>
      <c r="AI8566" t="n">
        <v>0</v>
      </c>
    </row>
    <row r="8567">
      <c r="A8567" t="inlineStr">
        <is>
          <t>12월</t>
        </is>
      </c>
      <c r="B8567" t="inlineStr">
        <is>
          <t>52주차</t>
        </is>
      </c>
      <c r="C8567" t="e">
        <v>#N/A</v>
      </c>
      <c r="K8567" t="n">
        <v>0</v>
      </c>
      <c r="L8567" t="n">
        <v>0</v>
      </c>
      <c r="M8567" t="n">
        <v>0</v>
      </c>
      <c r="AC8567" t="n">
        <v>0</v>
      </c>
      <c r="AD8567" t="n">
        <v>0</v>
      </c>
      <c r="AE8567" t="n">
        <v>0</v>
      </c>
      <c r="AF8567" t="n">
        <v>0</v>
      </c>
      <c r="AG8567" t="n">
        <v>0</v>
      </c>
      <c r="AH8567" t="n">
        <v>0</v>
      </c>
      <c r="AI8567" t="n">
        <v>0</v>
      </c>
    </row>
    <row r="8568">
      <c r="A8568" t="inlineStr">
        <is>
          <t>12월</t>
        </is>
      </c>
      <c r="B8568" t="inlineStr">
        <is>
          <t>52주차</t>
        </is>
      </c>
      <c r="C8568" t="e">
        <v>#N/A</v>
      </c>
      <c r="K8568" t="n">
        <v>0</v>
      </c>
      <c r="L8568" t="n">
        <v>0</v>
      </c>
      <c r="M8568" t="n">
        <v>0</v>
      </c>
      <c r="AC8568" t="n">
        <v>0</v>
      </c>
      <c r="AD8568" t="n">
        <v>0</v>
      </c>
      <c r="AE8568" t="n">
        <v>0</v>
      </c>
      <c r="AF8568" t="n">
        <v>0</v>
      </c>
      <c r="AG8568" t="n">
        <v>0</v>
      </c>
      <c r="AH8568" t="n">
        <v>0</v>
      </c>
      <c r="AI8568" t="n">
        <v>0</v>
      </c>
    </row>
    <row r="8569">
      <c r="A8569" t="inlineStr">
        <is>
          <t>12월</t>
        </is>
      </c>
      <c r="B8569" t="inlineStr">
        <is>
          <t>52주차</t>
        </is>
      </c>
      <c r="C8569" t="e">
        <v>#N/A</v>
      </c>
      <c r="K8569" t="n">
        <v>0</v>
      </c>
      <c r="L8569" t="n">
        <v>0</v>
      </c>
      <c r="M8569" t="n">
        <v>0</v>
      </c>
      <c r="AC8569" t="n">
        <v>0</v>
      </c>
      <c r="AD8569" t="n">
        <v>0</v>
      </c>
      <c r="AE8569" t="n">
        <v>0</v>
      </c>
      <c r="AF8569" t="n">
        <v>0</v>
      </c>
      <c r="AG8569" t="n">
        <v>0</v>
      </c>
      <c r="AH8569" t="n">
        <v>0</v>
      </c>
      <c r="AI8569" t="n">
        <v>0</v>
      </c>
    </row>
    <row r="8570">
      <c r="A8570" t="inlineStr">
        <is>
          <t>12월</t>
        </is>
      </c>
      <c r="B8570" t="inlineStr">
        <is>
          <t>52주차</t>
        </is>
      </c>
      <c r="C8570" t="e">
        <v>#N/A</v>
      </c>
      <c r="K8570" t="n">
        <v>0</v>
      </c>
      <c r="L8570" t="n">
        <v>0</v>
      </c>
      <c r="M8570" t="n">
        <v>0</v>
      </c>
      <c r="AC8570" t="n">
        <v>0</v>
      </c>
      <c r="AD8570" t="n">
        <v>0</v>
      </c>
      <c r="AE8570" t="n">
        <v>0</v>
      </c>
      <c r="AF8570" t="n">
        <v>0</v>
      </c>
      <c r="AG8570" t="n">
        <v>0</v>
      </c>
      <c r="AH8570" t="n">
        <v>0</v>
      </c>
      <c r="AI8570" t="n">
        <v>0</v>
      </c>
    </row>
    <row r="8571">
      <c r="A8571" t="inlineStr">
        <is>
          <t>12월</t>
        </is>
      </c>
      <c r="B8571" t="inlineStr">
        <is>
          <t>52주차</t>
        </is>
      </c>
      <c r="C8571" t="e">
        <v>#N/A</v>
      </c>
      <c r="K8571" t="n">
        <v>0</v>
      </c>
      <c r="L8571" t="n">
        <v>0</v>
      </c>
      <c r="M8571" t="n">
        <v>0</v>
      </c>
      <c r="AC8571" t="n">
        <v>0</v>
      </c>
      <c r="AD8571" t="n">
        <v>0</v>
      </c>
      <c r="AE8571" t="n">
        <v>0</v>
      </c>
      <c r="AF8571" t="n">
        <v>0</v>
      </c>
      <c r="AG8571" t="n">
        <v>0</v>
      </c>
      <c r="AH8571" t="n">
        <v>0</v>
      </c>
      <c r="AI8571" t="n">
        <v>0</v>
      </c>
    </row>
    <row r="8572">
      <c r="A8572" t="inlineStr">
        <is>
          <t>12월</t>
        </is>
      </c>
      <c r="B8572" t="inlineStr">
        <is>
          <t>52주차</t>
        </is>
      </c>
      <c r="C8572" t="e">
        <v>#N/A</v>
      </c>
      <c r="K8572" t="n">
        <v>0</v>
      </c>
      <c r="L8572" t="n">
        <v>0</v>
      </c>
      <c r="M8572" t="n">
        <v>0</v>
      </c>
      <c r="AC8572" t="n">
        <v>0</v>
      </c>
      <c r="AD8572" t="n">
        <v>0</v>
      </c>
      <c r="AE8572" t="n">
        <v>0</v>
      </c>
      <c r="AF8572" t="n">
        <v>0</v>
      </c>
      <c r="AG8572" t="n">
        <v>0</v>
      </c>
      <c r="AH8572" t="n">
        <v>0</v>
      </c>
      <c r="AI8572" t="n">
        <v>0</v>
      </c>
    </row>
    <row r="8573">
      <c r="A8573" t="inlineStr">
        <is>
          <t>12월</t>
        </is>
      </c>
      <c r="B8573" t="inlineStr">
        <is>
          <t>52주차</t>
        </is>
      </c>
      <c r="C8573" t="e">
        <v>#N/A</v>
      </c>
      <c r="K8573" t="n">
        <v>0</v>
      </c>
      <c r="L8573" t="n">
        <v>0</v>
      </c>
      <c r="M8573" t="n">
        <v>0</v>
      </c>
      <c r="AC8573" t="n">
        <v>0</v>
      </c>
      <c r="AD8573" t="n">
        <v>0</v>
      </c>
      <c r="AE8573" t="n">
        <v>0</v>
      </c>
      <c r="AF8573" t="n">
        <v>0</v>
      </c>
      <c r="AG8573" t="n">
        <v>0</v>
      </c>
      <c r="AH8573" t="n">
        <v>0</v>
      </c>
      <c r="AI8573" t="n">
        <v>0</v>
      </c>
    </row>
    <row r="8574">
      <c r="A8574" t="inlineStr">
        <is>
          <t>12월</t>
        </is>
      </c>
      <c r="B8574" t="inlineStr">
        <is>
          <t>52주차</t>
        </is>
      </c>
      <c r="C8574" t="e">
        <v>#N/A</v>
      </c>
      <c r="K8574" t="n">
        <v>0</v>
      </c>
      <c r="L8574" t="n">
        <v>0</v>
      </c>
      <c r="M8574" t="n">
        <v>0</v>
      </c>
      <c r="AC8574" t="n">
        <v>0</v>
      </c>
      <c r="AD8574" t="n">
        <v>0</v>
      </c>
      <c r="AE8574" t="n">
        <v>0</v>
      </c>
      <c r="AF8574" t="n">
        <v>0</v>
      </c>
      <c r="AG8574" t="n">
        <v>0</v>
      </c>
      <c r="AH8574" t="n">
        <v>0</v>
      </c>
    </row>
    <row r="8575">
      <c r="A8575" t="inlineStr">
        <is>
          <t>12월</t>
        </is>
      </c>
      <c r="B8575" t="inlineStr">
        <is>
          <t>52주차</t>
        </is>
      </c>
      <c r="C8575" t="e">
        <v>#N/A</v>
      </c>
      <c r="K8575" t="n">
        <v>0</v>
      </c>
      <c r="L8575" t="n">
        <v>0</v>
      </c>
      <c r="M8575" t="n">
        <v>0</v>
      </c>
      <c r="AC8575" t="n">
        <v>0</v>
      </c>
      <c r="AD8575" t="n">
        <v>0</v>
      </c>
      <c r="AE8575" t="n">
        <v>0</v>
      </c>
      <c r="AF8575" t="n">
        <v>0</v>
      </c>
      <c r="AG8575" t="n">
        <v>0</v>
      </c>
      <c r="AH8575" t="n">
        <v>0</v>
      </c>
      <c r="AI8575" t="n">
        <v>0</v>
      </c>
    </row>
    <row r="8576">
      <c r="A8576" t="inlineStr">
        <is>
          <t>12월</t>
        </is>
      </c>
      <c r="B8576" t="inlineStr">
        <is>
          <t>52주차</t>
        </is>
      </c>
      <c r="C8576" t="e">
        <v>#N/A</v>
      </c>
      <c r="K8576" t="n">
        <v>0</v>
      </c>
      <c r="L8576" t="n">
        <v>0</v>
      </c>
      <c r="M8576" t="n">
        <v>0</v>
      </c>
      <c r="AC8576" t="n">
        <v>0</v>
      </c>
      <c r="AD8576" t="n">
        <v>0</v>
      </c>
      <c r="AE8576" t="n">
        <v>0</v>
      </c>
      <c r="AF8576" t="n">
        <v>0</v>
      </c>
      <c r="AG8576" t="n">
        <v>0</v>
      </c>
      <c r="AH8576" t="n">
        <v>0</v>
      </c>
    </row>
    <row r="8577">
      <c r="A8577" t="inlineStr">
        <is>
          <t>12월</t>
        </is>
      </c>
      <c r="B8577" t="inlineStr">
        <is>
          <t>52주차</t>
        </is>
      </c>
      <c r="C8577" t="e">
        <v>#N/A</v>
      </c>
      <c r="K8577" t="n">
        <v>0</v>
      </c>
      <c r="L8577" t="n">
        <v>0</v>
      </c>
      <c r="M8577" t="n">
        <v>0</v>
      </c>
      <c r="AC8577" t="n">
        <v>0</v>
      </c>
      <c r="AD8577" t="n">
        <v>0</v>
      </c>
      <c r="AE8577" t="n">
        <v>0</v>
      </c>
      <c r="AF8577" t="n">
        <v>0</v>
      </c>
      <c r="AG8577" t="n">
        <v>0</v>
      </c>
      <c r="AH8577" t="n">
        <v>0</v>
      </c>
      <c r="AI8577" t="n">
        <v>0</v>
      </c>
    </row>
    <row r="8578">
      <c r="A8578" t="inlineStr">
        <is>
          <t>12월</t>
        </is>
      </c>
      <c r="B8578" t="inlineStr">
        <is>
          <t>52주차</t>
        </is>
      </c>
      <c r="C8578" t="e">
        <v>#N/A</v>
      </c>
      <c r="K8578" t="n">
        <v>0</v>
      </c>
      <c r="L8578" t="n">
        <v>0</v>
      </c>
      <c r="M8578" t="n">
        <v>0</v>
      </c>
      <c r="AC8578" t="n">
        <v>0</v>
      </c>
      <c r="AD8578" t="n">
        <v>0</v>
      </c>
      <c r="AE8578" t="n">
        <v>0</v>
      </c>
      <c r="AF8578" t="n">
        <v>0</v>
      </c>
      <c r="AG8578" t="n">
        <v>0</v>
      </c>
      <c r="AH8578" t="n">
        <v>0</v>
      </c>
    </row>
    <row r="8579">
      <c r="A8579" t="inlineStr">
        <is>
          <t>12월</t>
        </is>
      </c>
      <c r="B8579" t="inlineStr">
        <is>
          <t>52주차</t>
        </is>
      </c>
      <c r="C8579" t="e">
        <v>#N/A</v>
      </c>
      <c r="K8579" t="n">
        <v>0</v>
      </c>
      <c r="L8579" t="n">
        <v>0</v>
      </c>
      <c r="M8579" t="n">
        <v>0</v>
      </c>
      <c r="AC8579" t="n">
        <v>0</v>
      </c>
      <c r="AD8579" t="n">
        <v>0</v>
      </c>
      <c r="AE8579" t="n">
        <v>0</v>
      </c>
      <c r="AF8579" t="n">
        <v>0</v>
      </c>
      <c r="AG8579" t="n">
        <v>0</v>
      </c>
      <c r="AH8579" t="n">
        <v>0</v>
      </c>
    </row>
    <row r="8580">
      <c r="A8580" t="inlineStr">
        <is>
          <t>12월</t>
        </is>
      </c>
      <c r="B8580" t="inlineStr">
        <is>
          <t>52주차</t>
        </is>
      </c>
      <c r="C8580" t="e">
        <v>#N/A</v>
      </c>
      <c r="K8580" t="n">
        <v>0</v>
      </c>
      <c r="L8580" t="n">
        <v>0</v>
      </c>
      <c r="M8580" t="n">
        <v>0</v>
      </c>
      <c r="AC8580" t="n">
        <v>0</v>
      </c>
      <c r="AD8580" t="n">
        <v>0</v>
      </c>
      <c r="AE8580" t="n">
        <v>0</v>
      </c>
      <c r="AF8580" t="n">
        <v>0</v>
      </c>
      <c r="AG8580" t="n">
        <v>0</v>
      </c>
      <c r="AH8580" t="n">
        <v>0</v>
      </c>
    </row>
    <row r="8581">
      <c r="A8581" t="inlineStr">
        <is>
          <t>12월</t>
        </is>
      </c>
      <c r="B8581" t="inlineStr">
        <is>
          <t>52주차</t>
        </is>
      </c>
      <c r="C8581" t="e">
        <v>#N/A</v>
      </c>
      <c r="K8581" t="n">
        <v>0</v>
      </c>
      <c r="L8581" t="n">
        <v>0</v>
      </c>
      <c r="M8581" t="n">
        <v>0</v>
      </c>
      <c r="AC8581" t="n">
        <v>0</v>
      </c>
      <c r="AD8581" t="n">
        <v>0</v>
      </c>
      <c r="AE8581" t="n">
        <v>0</v>
      </c>
      <c r="AF8581" t="n">
        <v>0</v>
      </c>
      <c r="AG8581" t="n">
        <v>0</v>
      </c>
      <c r="AH8581" t="n">
        <v>0</v>
      </c>
    </row>
    <row r="8582">
      <c r="A8582" t="inlineStr">
        <is>
          <t>12월</t>
        </is>
      </c>
      <c r="B8582" t="inlineStr">
        <is>
          <t>52주차</t>
        </is>
      </c>
      <c r="C8582" t="e">
        <v>#N/A</v>
      </c>
      <c r="K8582" t="n">
        <v>0</v>
      </c>
      <c r="L8582" t="n">
        <v>0</v>
      </c>
      <c r="M8582" t="n">
        <v>0</v>
      </c>
      <c r="AC8582" t="n">
        <v>0</v>
      </c>
      <c r="AD8582" t="n">
        <v>0</v>
      </c>
      <c r="AE8582" t="n">
        <v>0</v>
      </c>
      <c r="AF8582" t="n">
        <v>0</v>
      </c>
      <c r="AG8582" t="n">
        <v>0</v>
      </c>
      <c r="AH8582" t="n">
        <v>0</v>
      </c>
    </row>
    <row r="8583">
      <c r="A8583" t="inlineStr">
        <is>
          <t>12월</t>
        </is>
      </c>
      <c r="B8583" t="inlineStr">
        <is>
          <t>52주차</t>
        </is>
      </c>
      <c r="C8583" t="e">
        <v>#N/A</v>
      </c>
      <c r="K8583" t="n">
        <v>0</v>
      </c>
      <c r="L8583" t="n">
        <v>0</v>
      </c>
      <c r="M8583" t="n">
        <v>0</v>
      </c>
      <c r="AC8583" t="n">
        <v>0</v>
      </c>
      <c r="AD8583" t="n">
        <v>0</v>
      </c>
      <c r="AE8583" t="n">
        <v>0</v>
      </c>
      <c r="AF8583" t="n">
        <v>0</v>
      </c>
      <c r="AG8583" t="n">
        <v>0</v>
      </c>
      <c r="AH8583" t="n">
        <v>0</v>
      </c>
    </row>
    <row r="8584">
      <c r="A8584" t="inlineStr">
        <is>
          <t>12월</t>
        </is>
      </c>
      <c r="B8584" t="inlineStr">
        <is>
          <t>52주차</t>
        </is>
      </c>
      <c r="C8584" t="e">
        <v>#N/A</v>
      </c>
      <c r="K8584" t="n">
        <v>0</v>
      </c>
      <c r="L8584" t="n">
        <v>0</v>
      </c>
      <c r="M8584" t="n">
        <v>0</v>
      </c>
      <c r="AC8584" t="n">
        <v>0</v>
      </c>
      <c r="AD8584" t="n">
        <v>0</v>
      </c>
      <c r="AE8584" t="n">
        <v>0</v>
      </c>
      <c r="AF8584" t="n">
        <v>0</v>
      </c>
      <c r="AG8584" t="n">
        <v>0</v>
      </c>
      <c r="AH8584" t="n">
        <v>0</v>
      </c>
    </row>
    <row r="8585">
      <c r="A8585" t="inlineStr">
        <is>
          <t>12월</t>
        </is>
      </c>
      <c r="B8585" t="inlineStr">
        <is>
          <t>52주차</t>
        </is>
      </c>
      <c r="C8585" t="e">
        <v>#N/A</v>
      </c>
      <c r="K8585" t="n">
        <v>0</v>
      </c>
      <c r="L8585" t="n">
        <v>0</v>
      </c>
      <c r="M8585" t="n">
        <v>0</v>
      </c>
      <c r="AC8585" t="n">
        <v>0</v>
      </c>
      <c r="AD8585" t="n">
        <v>0</v>
      </c>
      <c r="AE8585" t="n">
        <v>0</v>
      </c>
      <c r="AF8585" t="n">
        <v>0</v>
      </c>
      <c r="AG8585" t="n">
        <v>0</v>
      </c>
      <c r="AH8585" t="n">
        <v>0</v>
      </c>
    </row>
    <row r="8586">
      <c r="A8586" t="inlineStr">
        <is>
          <t>12월</t>
        </is>
      </c>
      <c r="B8586" t="inlineStr">
        <is>
          <t>52주차</t>
        </is>
      </c>
      <c r="C8586" t="e">
        <v>#N/A</v>
      </c>
      <c r="K8586" t="n">
        <v>0</v>
      </c>
      <c r="L8586" t="n">
        <v>0</v>
      </c>
      <c r="M8586" t="n">
        <v>0</v>
      </c>
      <c r="AC8586" t="n">
        <v>0</v>
      </c>
      <c r="AD8586" t="n">
        <v>0</v>
      </c>
      <c r="AE8586" t="n">
        <v>0</v>
      </c>
      <c r="AF8586" t="n">
        <v>0</v>
      </c>
      <c r="AG8586" t="n">
        <v>0</v>
      </c>
      <c r="AH8586" t="n">
        <v>0</v>
      </c>
      <c r="AI8586" t="n">
        <v>0</v>
      </c>
    </row>
    <row r="8587">
      <c r="A8587" t="inlineStr">
        <is>
          <t>12월</t>
        </is>
      </c>
      <c r="B8587" t="inlineStr">
        <is>
          <t>52주차</t>
        </is>
      </c>
      <c r="C8587" t="e">
        <v>#N/A</v>
      </c>
      <c r="K8587" t="n">
        <v>0</v>
      </c>
      <c r="L8587" t="n">
        <v>0</v>
      </c>
      <c r="M8587" t="n">
        <v>0</v>
      </c>
      <c r="AC8587" t="n">
        <v>0</v>
      </c>
      <c r="AD8587" t="n">
        <v>0</v>
      </c>
      <c r="AE8587" t="n">
        <v>0</v>
      </c>
      <c r="AF8587" t="n">
        <v>0</v>
      </c>
      <c r="AG8587" t="n">
        <v>0</v>
      </c>
      <c r="AH8587" t="n">
        <v>0</v>
      </c>
    </row>
    <row r="8588">
      <c r="A8588" t="inlineStr">
        <is>
          <t>12월</t>
        </is>
      </c>
      <c r="B8588" t="inlineStr">
        <is>
          <t>52주차</t>
        </is>
      </c>
      <c r="C8588" t="e">
        <v>#N/A</v>
      </c>
      <c r="K8588" t="n">
        <v>0</v>
      </c>
      <c r="L8588" t="n">
        <v>0</v>
      </c>
      <c r="M8588" t="n">
        <v>0</v>
      </c>
      <c r="AC8588" t="n">
        <v>0</v>
      </c>
      <c r="AD8588" t="n">
        <v>0</v>
      </c>
      <c r="AE8588" t="n">
        <v>0</v>
      </c>
      <c r="AF8588" t="n">
        <v>0</v>
      </c>
      <c r="AG8588" t="n">
        <v>0</v>
      </c>
      <c r="AH8588" t="n">
        <v>0</v>
      </c>
    </row>
    <row r="8589">
      <c r="A8589" t="inlineStr">
        <is>
          <t>12월</t>
        </is>
      </c>
      <c r="B8589" t="inlineStr">
        <is>
          <t>52주차</t>
        </is>
      </c>
      <c r="C8589" t="e">
        <v>#N/A</v>
      </c>
      <c r="K8589" t="n">
        <v>0</v>
      </c>
      <c r="L8589" t="n">
        <v>0</v>
      </c>
      <c r="M8589" t="n">
        <v>0</v>
      </c>
      <c r="AC8589" t="n">
        <v>0</v>
      </c>
      <c r="AD8589" t="n">
        <v>0</v>
      </c>
      <c r="AE8589" t="n">
        <v>0</v>
      </c>
      <c r="AF8589" t="n">
        <v>0</v>
      </c>
      <c r="AG8589" t="n">
        <v>0</v>
      </c>
      <c r="AH8589" t="n">
        <v>0</v>
      </c>
      <c r="AI8589" t="n">
        <v>0</v>
      </c>
    </row>
    <row r="8590">
      <c r="A8590" t="inlineStr">
        <is>
          <t>12월</t>
        </is>
      </c>
      <c r="B8590" t="inlineStr">
        <is>
          <t>52주차</t>
        </is>
      </c>
      <c r="C8590" t="e">
        <v>#N/A</v>
      </c>
      <c r="K8590" t="n">
        <v>0</v>
      </c>
      <c r="L8590" t="n">
        <v>0</v>
      </c>
      <c r="M8590" t="n">
        <v>0</v>
      </c>
      <c r="AC8590" t="n">
        <v>0</v>
      </c>
      <c r="AD8590" t="n">
        <v>0</v>
      </c>
      <c r="AE8590" t="n">
        <v>0</v>
      </c>
      <c r="AF8590" t="n">
        <v>0</v>
      </c>
      <c r="AG8590" t="n">
        <v>0</v>
      </c>
      <c r="AH8590" t="n">
        <v>0</v>
      </c>
      <c r="AI8590" t="n">
        <v>0</v>
      </c>
    </row>
    <row r="8591">
      <c r="A8591" t="inlineStr">
        <is>
          <t>12월</t>
        </is>
      </c>
      <c r="B8591" t="inlineStr">
        <is>
          <t>52주차</t>
        </is>
      </c>
      <c r="C8591" t="e">
        <v>#N/A</v>
      </c>
      <c r="K8591" t="n">
        <v>0</v>
      </c>
      <c r="L8591" t="n">
        <v>0</v>
      </c>
      <c r="M8591" t="n">
        <v>0</v>
      </c>
      <c r="AC8591" t="n">
        <v>0</v>
      </c>
      <c r="AD8591" t="n">
        <v>0</v>
      </c>
      <c r="AE8591" t="n">
        <v>0</v>
      </c>
      <c r="AF8591" t="n">
        <v>0</v>
      </c>
      <c r="AG8591" t="n">
        <v>0</v>
      </c>
      <c r="AH8591" t="n">
        <v>0</v>
      </c>
    </row>
    <row r="8592">
      <c r="A8592" t="inlineStr">
        <is>
          <t>12월</t>
        </is>
      </c>
      <c r="B8592" t="inlineStr">
        <is>
          <t>52주차</t>
        </is>
      </c>
      <c r="C8592" t="e">
        <v>#N/A</v>
      </c>
      <c r="K8592" t="n">
        <v>0</v>
      </c>
      <c r="L8592" t="n">
        <v>0</v>
      </c>
      <c r="M8592" t="n">
        <v>0</v>
      </c>
      <c r="AC8592" t="n">
        <v>0</v>
      </c>
      <c r="AD8592" t="n">
        <v>0</v>
      </c>
      <c r="AE8592" t="n">
        <v>0</v>
      </c>
      <c r="AF8592" t="n">
        <v>0</v>
      </c>
      <c r="AG8592" t="n">
        <v>0</v>
      </c>
      <c r="AH8592" t="n">
        <v>0</v>
      </c>
      <c r="AI8592" t="n">
        <v>0</v>
      </c>
    </row>
    <row r="8593">
      <c r="A8593" t="inlineStr">
        <is>
          <t>12월</t>
        </is>
      </c>
      <c r="B8593" t="inlineStr">
        <is>
          <t>52주차</t>
        </is>
      </c>
      <c r="C8593" t="e">
        <v>#N/A</v>
      </c>
      <c r="K8593" t="n">
        <v>0</v>
      </c>
      <c r="L8593" t="n">
        <v>0</v>
      </c>
      <c r="M8593" t="n">
        <v>0</v>
      </c>
      <c r="AC8593" t="n">
        <v>0</v>
      </c>
      <c r="AD8593" t="n">
        <v>0</v>
      </c>
      <c r="AE8593" t="n">
        <v>0</v>
      </c>
      <c r="AF8593" t="n">
        <v>0</v>
      </c>
      <c r="AG8593" t="n">
        <v>0</v>
      </c>
      <c r="AH8593" t="n">
        <v>0</v>
      </c>
      <c r="AI8593" t="n">
        <v>0</v>
      </c>
    </row>
    <row r="8594">
      <c r="A8594" t="inlineStr">
        <is>
          <t>12월</t>
        </is>
      </c>
      <c r="B8594" t="inlineStr">
        <is>
          <t>52주차</t>
        </is>
      </c>
      <c r="C8594" t="e">
        <v>#N/A</v>
      </c>
      <c r="K8594" t="n">
        <v>0</v>
      </c>
      <c r="L8594" t="n">
        <v>0</v>
      </c>
      <c r="M8594" t="n">
        <v>0</v>
      </c>
      <c r="AC8594" t="n">
        <v>0</v>
      </c>
      <c r="AD8594" t="n">
        <v>0</v>
      </c>
      <c r="AE8594" t="n">
        <v>0</v>
      </c>
      <c r="AF8594" t="n">
        <v>0</v>
      </c>
      <c r="AG8594" t="n">
        <v>0</v>
      </c>
      <c r="AH8594" t="n">
        <v>0</v>
      </c>
    </row>
    <row r="8595">
      <c r="A8595" t="inlineStr">
        <is>
          <t>12월</t>
        </is>
      </c>
      <c r="B8595" t="inlineStr">
        <is>
          <t>52주차</t>
        </is>
      </c>
      <c r="C8595" t="e">
        <v>#N/A</v>
      </c>
      <c r="K8595" t="n">
        <v>0</v>
      </c>
      <c r="L8595" t="n">
        <v>0</v>
      </c>
      <c r="M8595" t="n">
        <v>0</v>
      </c>
      <c r="AC8595" t="n">
        <v>0</v>
      </c>
      <c r="AD8595" t="n">
        <v>0</v>
      </c>
      <c r="AE8595" t="n">
        <v>0</v>
      </c>
      <c r="AF8595" t="n">
        <v>0</v>
      </c>
      <c r="AG8595" t="n">
        <v>0</v>
      </c>
      <c r="AH8595" t="n">
        <v>0</v>
      </c>
    </row>
    <row r="8596">
      <c r="A8596" t="inlineStr">
        <is>
          <t>12월</t>
        </is>
      </c>
      <c r="B8596" t="inlineStr">
        <is>
          <t>52주차</t>
        </is>
      </c>
      <c r="C8596" t="e">
        <v>#N/A</v>
      </c>
      <c r="K8596" t="n">
        <v>0</v>
      </c>
      <c r="L8596" t="n">
        <v>0</v>
      </c>
      <c r="M8596" t="n">
        <v>0</v>
      </c>
      <c r="AC8596" t="n">
        <v>0</v>
      </c>
      <c r="AD8596" t="n">
        <v>0</v>
      </c>
      <c r="AE8596" t="n">
        <v>0</v>
      </c>
      <c r="AF8596" t="n">
        <v>0</v>
      </c>
      <c r="AG8596" t="n">
        <v>0</v>
      </c>
      <c r="AH8596" t="n">
        <v>0</v>
      </c>
      <c r="AI8596" t="n">
        <v>0</v>
      </c>
    </row>
    <row r="8597">
      <c r="A8597" t="inlineStr">
        <is>
          <t>12월</t>
        </is>
      </c>
      <c r="B8597" t="inlineStr">
        <is>
          <t>52주차</t>
        </is>
      </c>
      <c r="C8597" t="e">
        <v>#N/A</v>
      </c>
      <c r="K8597" t="n">
        <v>0</v>
      </c>
      <c r="L8597" t="n">
        <v>0</v>
      </c>
      <c r="M8597" t="n">
        <v>0</v>
      </c>
      <c r="AC8597" t="n">
        <v>0</v>
      </c>
      <c r="AD8597" t="n">
        <v>0</v>
      </c>
      <c r="AE8597" t="n">
        <v>0</v>
      </c>
      <c r="AF8597" t="n">
        <v>0</v>
      </c>
      <c r="AG8597" t="n">
        <v>0</v>
      </c>
      <c r="AH8597" t="n">
        <v>0</v>
      </c>
    </row>
    <row r="8598">
      <c r="A8598" t="inlineStr">
        <is>
          <t>12월</t>
        </is>
      </c>
      <c r="B8598" t="inlineStr">
        <is>
          <t>52주차</t>
        </is>
      </c>
      <c r="C8598" t="e">
        <v>#N/A</v>
      </c>
      <c r="K8598" t="n">
        <v>0</v>
      </c>
      <c r="L8598" t="n">
        <v>0</v>
      </c>
      <c r="M8598" t="n">
        <v>0</v>
      </c>
      <c r="AC8598" t="n">
        <v>0</v>
      </c>
      <c r="AD8598" t="n">
        <v>0</v>
      </c>
      <c r="AE8598" t="n">
        <v>0</v>
      </c>
      <c r="AF8598" t="n">
        <v>0</v>
      </c>
      <c r="AG8598" t="n">
        <v>0</v>
      </c>
      <c r="AH8598" t="n">
        <v>0</v>
      </c>
      <c r="AI8598" t="n">
        <v>0</v>
      </c>
    </row>
    <row r="8599">
      <c r="A8599" t="inlineStr">
        <is>
          <t>12월</t>
        </is>
      </c>
      <c r="B8599" t="inlineStr">
        <is>
          <t>52주차</t>
        </is>
      </c>
      <c r="C8599" t="e">
        <v>#N/A</v>
      </c>
      <c r="K8599" t="n">
        <v>0</v>
      </c>
      <c r="L8599" t="n">
        <v>0</v>
      </c>
      <c r="M8599" t="n">
        <v>0</v>
      </c>
      <c r="AC8599" t="n">
        <v>0</v>
      </c>
      <c r="AD8599" t="n">
        <v>0</v>
      </c>
      <c r="AE8599" t="n">
        <v>0</v>
      </c>
      <c r="AF8599" t="n">
        <v>0</v>
      </c>
      <c r="AG8599" t="n">
        <v>0</v>
      </c>
      <c r="AH8599" t="n">
        <v>0</v>
      </c>
      <c r="AI8599" t="n">
        <v>0</v>
      </c>
    </row>
    <row r="8600">
      <c r="A8600" t="inlineStr">
        <is>
          <t>12월</t>
        </is>
      </c>
      <c r="B8600" t="inlineStr">
        <is>
          <t>52주차</t>
        </is>
      </c>
      <c r="C8600" t="e">
        <v>#N/A</v>
      </c>
      <c r="K8600" t="n">
        <v>0</v>
      </c>
      <c r="L8600" t="n">
        <v>0</v>
      </c>
      <c r="M8600" t="n">
        <v>0</v>
      </c>
      <c r="AC8600" t="n">
        <v>0</v>
      </c>
      <c r="AD8600" t="n">
        <v>0</v>
      </c>
      <c r="AE8600" t="n">
        <v>0</v>
      </c>
      <c r="AF8600" t="n">
        <v>0</v>
      </c>
      <c r="AG8600" t="n">
        <v>0</v>
      </c>
      <c r="AH8600" t="n">
        <v>0</v>
      </c>
    </row>
    <row r="8601">
      <c r="A8601" t="inlineStr">
        <is>
          <t>12월</t>
        </is>
      </c>
      <c r="B8601" t="inlineStr">
        <is>
          <t>52주차</t>
        </is>
      </c>
      <c r="C8601" t="e">
        <v>#N/A</v>
      </c>
      <c r="K8601" t="n">
        <v>0</v>
      </c>
      <c r="L8601" t="n">
        <v>0</v>
      </c>
      <c r="M8601" t="n">
        <v>0</v>
      </c>
      <c r="AC8601" t="n">
        <v>0</v>
      </c>
      <c r="AD8601" t="n">
        <v>0</v>
      </c>
      <c r="AE8601" t="n">
        <v>0</v>
      </c>
      <c r="AF8601" t="n">
        <v>0</v>
      </c>
      <c r="AG8601" t="n">
        <v>0</v>
      </c>
      <c r="AH8601" t="n">
        <v>0</v>
      </c>
      <c r="AI8601" t="n">
        <v>0</v>
      </c>
    </row>
    <row r="8602">
      <c r="A8602" t="inlineStr">
        <is>
          <t>12월</t>
        </is>
      </c>
      <c r="B8602" t="inlineStr">
        <is>
          <t>52주차</t>
        </is>
      </c>
      <c r="C8602" t="e">
        <v>#N/A</v>
      </c>
      <c r="K8602" t="n">
        <v>0</v>
      </c>
      <c r="L8602" t="n">
        <v>0</v>
      </c>
      <c r="M8602" t="n">
        <v>0</v>
      </c>
      <c r="AC8602" t="n">
        <v>0</v>
      </c>
      <c r="AD8602" t="n">
        <v>0</v>
      </c>
      <c r="AE8602" t="n">
        <v>0</v>
      </c>
      <c r="AF8602" t="n">
        <v>0</v>
      </c>
      <c r="AG8602" t="n">
        <v>0</v>
      </c>
      <c r="AH8602" t="n">
        <v>0</v>
      </c>
      <c r="AI8602" t="n">
        <v>0</v>
      </c>
    </row>
    <row r="8603">
      <c r="A8603" t="inlineStr">
        <is>
          <t>12월</t>
        </is>
      </c>
      <c r="B8603" t="inlineStr">
        <is>
          <t>52주차</t>
        </is>
      </c>
      <c r="C8603" t="e">
        <v>#N/A</v>
      </c>
      <c r="K8603" t="n">
        <v>0</v>
      </c>
      <c r="L8603" t="n">
        <v>0</v>
      </c>
      <c r="M8603" t="n">
        <v>0</v>
      </c>
      <c r="AC8603" t="n">
        <v>0</v>
      </c>
      <c r="AD8603" t="n">
        <v>0</v>
      </c>
      <c r="AE8603" t="n">
        <v>0</v>
      </c>
      <c r="AF8603" t="n">
        <v>0</v>
      </c>
      <c r="AG8603" t="n">
        <v>0</v>
      </c>
      <c r="AH8603" t="n">
        <v>0</v>
      </c>
      <c r="AI8603" t="n">
        <v>0</v>
      </c>
    </row>
    <row r="8604">
      <c r="A8604" t="inlineStr">
        <is>
          <t>12월</t>
        </is>
      </c>
      <c r="B8604" t="inlineStr">
        <is>
          <t>52주차</t>
        </is>
      </c>
      <c r="C8604" t="e">
        <v>#N/A</v>
      </c>
      <c r="K8604" t="n">
        <v>0</v>
      </c>
      <c r="L8604" t="n">
        <v>0</v>
      </c>
      <c r="M8604" t="n">
        <v>0</v>
      </c>
      <c r="AC8604" t="n">
        <v>0</v>
      </c>
      <c r="AD8604" t="n">
        <v>0</v>
      </c>
      <c r="AE8604" t="n">
        <v>0</v>
      </c>
      <c r="AF8604" t="n">
        <v>0</v>
      </c>
      <c r="AG8604" t="n">
        <v>0</v>
      </c>
      <c r="AH8604" t="n">
        <v>0</v>
      </c>
      <c r="AI8604" t="n">
        <v>0</v>
      </c>
    </row>
    <row r="8605">
      <c r="A8605" t="inlineStr">
        <is>
          <t>12월</t>
        </is>
      </c>
      <c r="B8605" t="inlineStr">
        <is>
          <t>52주차</t>
        </is>
      </c>
      <c r="C8605" t="e">
        <v>#N/A</v>
      </c>
      <c r="K8605" t="n">
        <v>0</v>
      </c>
      <c r="L8605" t="n">
        <v>0</v>
      </c>
      <c r="M8605" t="n">
        <v>0</v>
      </c>
      <c r="AC8605" t="n">
        <v>0</v>
      </c>
      <c r="AD8605" t="n">
        <v>0</v>
      </c>
      <c r="AE8605" t="n">
        <v>0</v>
      </c>
      <c r="AF8605" t="n">
        <v>0</v>
      </c>
      <c r="AG8605" t="n">
        <v>0</v>
      </c>
      <c r="AH8605" t="n">
        <v>0</v>
      </c>
      <c r="AI8605" t="n">
        <v>0</v>
      </c>
    </row>
    <row r="8606">
      <c r="A8606" t="inlineStr">
        <is>
          <t>12월</t>
        </is>
      </c>
      <c r="B8606" t="inlineStr">
        <is>
          <t>52주차</t>
        </is>
      </c>
      <c r="C8606" t="e">
        <v>#N/A</v>
      </c>
      <c r="K8606" t="n">
        <v>0</v>
      </c>
      <c r="L8606" t="n">
        <v>0</v>
      </c>
      <c r="M8606" t="n">
        <v>0</v>
      </c>
      <c r="AC8606" t="n">
        <v>0</v>
      </c>
      <c r="AD8606" t="n">
        <v>0</v>
      </c>
      <c r="AE8606" t="n">
        <v>0</v>
      </c>
      <c r="AF8606" t="n">
        <v>0</v>
      </c>
      <c r="AG8606" t="n">
        <v>0</v>
      </c>
      <c r="AH8606" t="n">
        <v>0</v>
      </c>
    </row>
    <row r="8607">
      <c r="A8607" t="inlineStr">
        <is>
          <t>12월</t>
        </is>
      </c>
      <c r="B8607" t="inlineStr">
        <is>
          <t>52주차</t>
        </is>
      </c>
      <c r="C8607" t="e">
        <v>#N/A</v>
      </c>
      <c r="K8607" t="n">
        <v>0</v>
      </c>
      <c r="L8607" t="n">
        <v>0</v>
      </c>
      <c r="M8607" t="n">
        <v>0</v>
      </c>
      <c r="AC8607" t="n">
        <v>0</v>
      </c>
      <c r="AD8607" t="n">
        <v>0</v>
      </c>
      <c r="AE8607" t="n">
        <v>0</v>
      </c>
      <c r="AF8607" t="n">
        <v>0</v>
      </c>
      <c r="AG8607" t="n">
        <v>0</v>
      </c>
      <c r="AH8607" t="n">
        <v>0</v>
      </c>
    </row>
    <row r="8608">
      <c r="A8608" t="inlineStr">
        <is>
          <t>12월</t>
        </is>
      </c>
      <c r="B8608" t="inlineStr">
        <is>
          <t>52주차</t>
        </is>
      </c>
      <c r="C8608" t="e">
        <v>#N/A</v>
      </c>
      <c r="K8608" t="n">
        <v>0</v>
      </c>
      <c r="L8608" t="n">
        <v>0</v>
      </c>
      <c r="M8608" t="n">
        <v>0</v>
      </c>
      <c r="AC8608" t="n">
        <v>0</v>
      </c>
      <c r="AD8608" t="n">
        <v>0</v>
      </c>
      <c r="AE8608" t="n">
        <v>0</v>
      </c>
      <c r="AF8608" t="n">
        <v>0</v>
      </c>
      <c r="AG8608" t="n">
        <v>0</v>
      </c>
      <c r="AH8608" t="n">
        <v>0</v>
      </c>
      <c r="AI8608" t="n">
        <v>0</v>
      </c>
    </row>
    <row r="8609">
      <c r="A8609" t="inlineStr">
        <is>
          <t>12월</t>
        </is>
      </c>
      <c r="B8609" t="inlineStr">
        <is>
          <t>52주차</t>
        </is>
      </c>
      <c r="C8609" t="e">
        <v>#N/A</v>
      </c>
      <c r="K8609" t="n">
        <v>0</v>
      </c>
      <c r="L8609" t="n">
        <v>0</v>
      </c>
      <c r="M8609" t="n">
        <v>0</v>
      </c>
      <c r="AC8609" t="n">
        <v>0</v>
      </c>
      <c r="AD8609" t="n">
        <v>0</v>
      </c>
      <c r="AE8609" t="n">
        <v>0</v>
      </c>
      <c r="AF8609" t="n">
        <v>0</v>
      </c>
      <c r="AG8609" t="n">
        <v>0</v>
      </c>
      <c r="AH8609" t="n">
        <v>0</v>
      </c>
      <c r="AI8609" t="n">
        <v>0</v>
      </c>
    </row>
    <row r="8610">
      <c r="A8610" t="inlineStr">
        <is>
          <t>12월</t>
        </is>
      </c>
      <c r="B8610" t="inlineStr">
        <is>
          <t>52주차</t>
        </is>
      </c>
      <c r="C8610" t="e">
        <v>#N/A</v>
      </c>
      <c r="K8610" t="n">
        <v>0</v>
      </c>
      <c r="L8610" t="n">
        <v>0</v>
      </c>
      <c r="M8610" t="n">
        <v>0</v>
      </c>
      <c r="AC8610" t="n">
        <v>0</v>
      </c>
      <c r="AD8610" t="n">
        <v>0</v>
      </c>
      <c r="AE8610" t="n">
        <v>0</v>
      </c>
      <c r="AF8610" t="n">
        <v>0</v>
      </c>
      <c r="AG8610" t="n">
        <v>0</v>
      </c>
      <c r="AH8610" t="n">
        <v>0</v>
      </c>
      <c r="AI8610" t="n">
        <v>0</v>
      </c>
    </row>
    <row r="8611">
      <c r="A8611" t="inlineStr">
        <is>
          <t>12월</t>
        </is>
      </c>
      <c r="B8611" t="inlineStr">
        <is>
          <t>52주차</t>
        </is>
      </c>
      <c r="C8611" t="e">
        <v>#N/A</v>
      </c>
      <c r="K8611" t="n">
        <v>0</v>
      </c>
      <c r="L8611" t="n">
        <v>0</v>
      </c>
      <c r="M8611" t="n">
        <v>0</v>
      </c>
      <c r="AC8611" t="n">
        <v>0</v>
      </c>
      <c r="AD8611" t="n">
        <v>0</v>
      </c>
      <c r="AE8611" t="n">
        <v>0</v>
      </c>
      <c r="AF8611" t="n">
        <v>0</v>
      </c>
      <c r="AG8611" t="n">
        <v>0</v>
      </c>
      <c r="AH8611" t="n">
        <v>0</v>
      </c>
      <c r="AI8611" t="n">
        <v>0</v>
      </c>
    </row>
    <row r="8612">
      <c r="A8612" t="inlineStr">
        <is>
          <t>12월</t>
        </is>
      </c>
      <c r="B8612" t="inlineStr">
        <is>
          <t>52주차</t>
        </is>
      </c>
      <c r="C8612" t="e">
        <v>#N/A</v>
      </c>
      <c r="K8612" t="n">
        <v>0</v>
      </c>
      <c r="L8612" t="n">
        <v>0</v>
      </c>
      <c r="M8612" t="n">
        <v>0</v>
      </c>
      <c r="AC8612" t="n">
        <v>0</v>
      </c>
      <c r="AD8612" t="n">
        <v>0</v>
      </c>
      <c r="AE8612" t="n">
        <v>0</v>
      </c>
      <c r="AF8612" t="n">
        <v>0</v>
      </c>
      <c r="AG8612" t="n">
        <v>0</v>
      </c>
      <c r="AH8612" t="n">
        <v>0</v>
      </c>
      <c r="AI8612" t="n">
        <v>0</v>
      </c>
    </row>
    <row r="8613">
      <c r="A8613" t="inlineStr">
        <is>
          <t>12월</t>
        </is>
      </c>
      <c r="B8613" t="inlineStr">
        <is>
          <t>52주차</t>
        </is>
      </c>
      <c r="C8613" t="e">
        <v>#N/A</v>
      </c>
      <c r="K8613" t="n">
        <v>0</v>
      </c>
      <c r="L8613" t="n">
        <v>0</v>
      </c>
      <c r="M8613" t="n">
        <v>0</v>
      </c>
      <c r="AC8613" t="n">
        <v>0</v>
      </c>
      <c r="AD8613" t="n">
        <v>0</v>
      </c>
      <c r="AE8613" t="n">
        <v>0</v>
      </c>
      <c r="AF8613" t="n">
        <v>0</v>
      </c>
      <c r="AG8613" t="n">
        <v>0</v>
      </c>
      <c r="AH8613" t="n">
        <v>0</v>
      </c>
      <c r="AI8613" t="n">
        <v>0</v>
      </c>
    </row>
    <row r="8614">
      <c r="A8614" t="inlineStr">
        <is>
          <t>12월</t>
        </is>
      </c>
      <c r="B8614" t="inlineStr">
        <is>
          <t>52주차</t>
        </is>
      </c>
      <c r="C8614" t="e">
        <v>#N/A</v>
      </c>
      <c r="K8614" t="n">
        <v>0</v>
      </c>
      <c r="L8614" t="n">
        <v>0</v>
      </c>
      <c r="M8614" t="n">
        <v>0</v>
      </c>
      <c r="AC8614" t="n">
        <v>0</v>
      </c>
      <c r="AD8614" t="n">
        <v>0</v>
      </c>
      <c r="AE8614" t="n">
        <v>0</v>
      </c>
      <c r="AF8614" t="n">
        <v>0</v>
      </c>
      <c r="AG8614" t="n">
        <v>0</v>
      </c>
      <c r="AH8614" t="n">
        <v>0</v>
      </c>
      <c r="AI8614" t="n">
        <v>0</v>
      </c>
    </row>
    <row r="8615">
      <c r="A8615" t="inlineStr">
        <is>
          <t>12월</t>
        </is>
      </c>
      <c r="B8615" t="inlineStr">
        <is>
          <t>52주차</t>
        </is>
      </c>
      <c r="C8615" t="e">
        <v>#N/A</v>
      </c>
      <c r="K8615" t="n">
        <v>0</v>
      </c>
      <c r="L8615" t="n">
        <v>0</v>
      </c>
      <c r="M8615" t="n">
        <v>0</v>
      </c>
      <c r="AC8615" t="n">
        <v>0</v>
      </c>
      <c r="AD8615" t="n">
        <v>0</v>
      </c>
      <c r="AE8615" t="n">
        <v>0</v>
      </c>
      <c r="AF8615" t="n">
        <v>0</v>
      </c>
      <c r="AG8615" t="n">
        <v>0</v>
      </c>
      <c r="AH8615" t="n">
        <v>0</v>
      </c>
      <c r="AI8615" t="n">
        <v>0</v>
      </c>
    </row>
    <row r="8616">
      <c r="A8616" t="inlineStr">
        <is>
          <t>12월</t>
        </is>
      </c>
      <c r="B8616" t="inlineStr">
        <is>
          <t>52주차</t>
        </is>
      </c>
      <c r="C8616" t="e">
        <v>#N/A</v>
      </c>
      <c r="K8616" t="n">
        <v>0</v>
      </c>
      <c r="L8616" t="n">
        <v>0</v>
      </c>
      <c r="M8616" t="n">
        <v>0</v>
      </c>
      <c r="AC8616" t="n">
        <v>0</v>
      </c>
      <c r="AD8616" t="n">
        <v>0</v>
      </c>
      <c r="AE8616" t="n">
        <v>0</v>
      </c>
      <c r="AF8616" t="n">
        <v>0</v>
      </c>
      <c r="AG8616" t="n">
        <v>0</v>
      </c>
      <c r="AH8616" t="n">
        <v>0</v>
      </c>
      <c r="AI8616" t="n">
        <v>0</v>
      </c>
    </row>
    <row r="8617">
      <c r="A8617" t="inlineStr">
        <is>
          <t>12월</t>
        </is>
      </c>
      <c r="B8617" t="inlineStr">
        <is>
          <t>52주차</t>
        </is>
      </c>
      <c r="C8617" t="e">
        <v>#N/A</v>
      </c>
      <c r="K8617" t="n">
        <v>0</v>
      </c>
      <c r="L8617" t="n">
        <v>0</v>
      </c>
      <c r="M8617" t="n">
        <v>0</v>
      </c>
      <c r="AC8617" t="n">
        <v>0</v>
      </c>
      <c r="AD8617" t="n">
        <v>0</v>
      </c>
      <c r="AE8617" t="n">
        <v>0</v>
      </c>
      <c r="AF8617" t="n">
        <v>0</v>
      </c>
      <c r="AG8617" t="n">
        <v>0</v>
      </c>
      <c r="AH8617" t="n">
        <v>0</v>
      </c>
      <c r="AI8617" t="n">
        <v>0</v>
      </c>
    </row>
    <row r="8618">
      <c r="A8618" t="inlineStr">
        <is>
          <t>12월</t>
        </is>
      </c>
      <c r="B8618" t="inlineStr">
        <is>
          <t>52주차</t>
        </is>
      </c>
      <c r="C8618" t="e">
        <v>#N/A</v>
      </c>
      <c r="K8618" t="n">
        <v>0</v>
      </c>
      <c r="L8618" t="n">
        <v>0</v>
      </c>
      <c r="M8618" t="n">
        <v>0</v>
      </c>
      <c r="AC8618" t="n">
        <v>0</v>
      </c>
      <c r="AD8618" t="n">
        <v>0</v>
      </c>
      <c r="AE8618" t="n">
        <v>0</v>
      </c>
      <c r="AF8618" t="n">
        <v>0</v>
      </c>
      <c r="AG8618" t="n">
        <v>0</v>
      </c>
      <c r="AH8618" t="n">
        <v>0</v>
      </c>
      <c r="AI8618" t="n">
        <v>0</v>
      </c>
    </row>
    <row r="8619">
      <c r="A8619" t="inlineStr">
        <is>
          <t>12월</t>
        </is>
      </c>
      <c r="B8619" t="inlineStr">
        <is>
          <t>52주차</t>
        </is>
      </c>
      <c r="C8619" t="e">
        <v>#N/A</v>
      </c>
      <c r="K8619" t="n">
        <v>0</v>
      </c>
      <c r="L8619" t="n">
        <v>0</v>
      </c>
      <c r="M8619" t="n">
        <v>0</v>
      </c>
      <c r="AC8619" t="n">
        <v>0</v>
      </c>
      <c r="AD8619" t="n">
        <v>0</v>
      </c>
      <c r="AE8619" t="n">
        <v>0</v>
      </c>
      <c r="AF8619" t="n">
        <v>0</v>
      </c>
      <c r="AG8619" t="n">
        <v>0</v>
      </c>
      <c r="AH8619" t="n">
        <v>0</v>
      </c>
      <c r="AI8619" t="n">
        <v>0</v>
      </c>
    </row>
    <row r="8620">
      <c r="A8620" t="inlineStr">
        <is>
          <t>12월</t>
        </is>
      </c>
      <c r="B8620" t="inlineStr">
        <is>
          <t>52주차</t>
        </is>
      </c>
      <c r="C8620" t="e">
        <v>#N/A</v>
      </c>
      <c r="K8620" t="n">
        <v>0</v>
      </c>
      <c r="L8620" t="n">
        <v>0</v>
      </c>
      <c r="M8620" t="n">
        <v>0</v>
      </c>
      <c r="AC8620" t="n">
        <v>0</v>
      </c>
      <c r="AD8620" t="n">
        <v>0</v>
      </c>
      <c r="AE8620" t="n">
        <v>0</v>
      </c>
      <c r="AF8620" t="n">
        <v>0</v>
      </c>
      <c r="AG8620" t="n">
        <v>0</v>
      </c>
      <c r="AH8620" t="n">
        <v>0</v>
      </c>
      <c r="AI8620" t="n">
        <v>0</v>
      </c>
    </row>
    <row r="8621">
      <c r="A8621" t="inlineStr">
        <is>
          <t>12월</t>
        </is>
      </c>
      <c r="B8621" t="inlineStr">
        <is>
          <t>52주차</t>
        </is>
      </c>
      <c r="C8621" t="e">
        <v>#N/A</v>
      </c>
      <c r="K8621" t="n">
        <v>0</v>
      </c>
      <c r="L8621" t="n">
        <v>0</v>
      </c>
      <c r="M8621" t="n">
        <v>0</v>
      </c>
      <c r="AC8621" t="n">
        <v>0</v>
      </c>
      <c r="AD8621" t="n">
        <v>0</v>
      </c>
      <c r="AE8621" t="n">
        <v>0</v>
      </c>
      <c r="AF8621" t="n">
        <v>0</v>
      </c>
      <c r="AG8621" t="n">
        <v>0</v>
      </c>
      <c r="AH8621" t="n">
        <v>0</v>
      </c>
      <c r="AI8621" t="n">
        <v>0</v>
      </c>
    </row>
    <row r="8622">
      <c r="A8622" t="inlineStr">
        <is>
          <t>12월</t>
        </is>
      </c>
      <c r="B8622" t="inlineStr">
        <is>
          <t>52주차</t>
        </is>
      </c>
      <c r="C8622" t="e">
        <v>#N/A</v>
      </c>
      <c r="K8622" t="n">
        <v>0</v>
      </c>
      <c r="L8622" t="n">
        <v>0</v>
      </c>
      <c r="M8622" t="n">
        <v>0</v>
      </c>
      <c r="AC8622" t="n">
        <v>0</v>
      </c>
      <c r="AD8622" t="n">
        <v>0</v>
      </c>
      <c r="AE8622" t="n">
        <v>0</v>
      </c>
      <c r="AF8622" t="n">
        <v>0</v>
      </c>
      <c r="AG8622" t="n">
        <v>0</v>
      </c>
      <c r="AH8622" t="n">
        <v>0</v>
      </c>
      <c r="AI8622" t="n">
        <v>0</v>
      </c>
    </row>
    <row r="8623">
      <c r="A8623" t="inlineStr">
        <is>
          <t>12월</t>
        </is>
      </c>
      <c r="B8623" t="inlineStr">
        <is>
          <t>52주차</t>
        </is>
      </c>
      <c r="C8623" t="e">
        <v>#N/A</v>
      </c>
      <c r="K8623" t="n">
        <v>0</v>
      </c>
      <c r="L8623" t="n">
        <v>0</v>
      </c>
      <c r="M8623" t="n">
        <v>0</v>
      </c>
      <c r="AC8623" t="n">
        <v>0</v>
      </c>
      <c r="AD8623" t="n">
        <v>0</v>
      </c>
      <c r="AE8623" t="n">
        <v>0</v>
      </c>
      <c r="AF8623" t="n">
        <v>0</v>
      </c>
      <c r="AG8623" t="n">
        <v>0</v>
      </c>
      <c r="AH8623" t="n">
        <v>0</v>
      </c>
      <c r="AI8623" t="n">
        <v>0</v>
      </c>
    </row>
    <row r="8624">
      <c r="A8624" t="inlineStr">
        <is>
          <t>12월</t>
        </is>
      </c>
      <c r="B8624" t="inlineStr">
        <is>
          <t>52주차</t>
        </is>
      </c>
      <c r="C8624" t="e">
        <v>#N/A</v>
      </c>
      <c r="K8624" t="n">
        <v>0</v>
      </c>
      <c r="L8624" t="n">
        <v>0</v>
      </c>
      <c r="M8624" t="n">
        <v>0</v>
      </c>
      <c r="AC8624" t="n">
        <v>0</v>
      </c>
      <c r="AD8624" t="n">
        <v>0</v>
      </c>
      <c r="AE8624" t="n">
        <v>0</v>
      </c>
      <c r="AF8624" t="n">
        <v>0</v>
      </c>
      <c r="AG8624" t="n">
        <v>0</v>
      </c>
      <c r="AH8624" t="n">
        <v>0</v>
      </c>
    </row>
    <row r="8625">
      <c r="A8625" t="inlineStr">
        <is>
          <t>12월</t>
        </is>
      </c>
      <c r="B8625" t="inlineStr">
        <is>
          <t>52주차</t>
        </is>
      </c>
      <c r="C8625" t="e">
        <v>#N/A</v>
      </c>
      <c r="K8625" t="n">
        <v>0</v>
      </c>
      <c r="L8625" t="n">
        <v>0</v>
      </c>
      <c r="M8625" t="n">
        <v>0</v>
      </c>
      <c r="AC8625" t="n">
        <v>0</v>
      </c>
      <c r="AD8625" t="n">
        <v>0</v>
      </c>
      <c r="AE8625" t="n">
        <v>0</v>
      </c>
      <c r="AF8625" t="n">
        <v>0</v>
      </c>
      <c r="AG8625" t="n">
        <v>0</v>
      </c>
      <c r="AH8625" t="n">
        <v>0</v>
      </c>
      <c r="AI8625" t="n">
        <v>0</v>
      </c>
    </row>
    <row r="8626">
      <c r="A8626" t="inlineStr">
        <is>
          <t>12월</t>
        </is>
      </c>
      <c r="B8626" t="inlineStr">
        <is>
          <t>52주차</t>
        </is>
      </c>
      <c r="C8626" t="e">
        <v>#N/A</v>
      </c>
      <c r="K8626" t="n">
        <v>0</v>
      </c>
      <c r="L8626" t="n">
        <v>0</v>
      </c>
      <c r="M8626" t="n">
        <v>0</v>
      </c>
      <c r="AC8626" t="n">
        <v>0</v>
      </c>
      <c r="AD8626" t="n">
        <v>0</v>
      </c>
      <c r="AE8626" t="n">
        <v>0</v>
      </c>
      <c r="AF8626" t="n">
        <v>0</v>
      </c>
      <c r="AG8626" t="n">
        <v>0</v>
      </c>
      <c r="AH8626" t="n">
        <v>0</v>
      </c>
      <c r="AI8626" t="n">
        <v>0</v>
      </c>
    </row>
    <row r="8627">
      <c r="A8627" t="inlineStr">
        <is>
          <t>12월</t>
        </is>
      </c>
      <c r="B8627" t="inlineStr">
        <is>
          <t>52주차</t>
        </is>
      </c>
      <c r="C8627" t="e">
        <v>#N/A</v>
      </c>
      <c r="K8627" t="n">
        <v>0</v>
      </c>
      <c r="L8627" t="n">
        <v>0</v>
      </c>
      <c r="M8627" t="n">
        <v>0</v>
      </c>
      <c r="AC8627" t="n">
        <v>0</v>
      </c>
      <c r="AD8627" t="n">
        <v>0</v>
      </c>
      <c r="AE8627" t="n">
        <v>0</v>
      </c>
      <c r="AF8627" t="n">
        <v>0</v>
      </c>
      <c r="AG8627" t="n">
        <v>0</v>
      </c>
      <c r="AH8627" t="n">
        <v>0</v>
      </c>
    </row>
    <row r="8628">
      <c r="A8628" t="inlineStr">
        <is>
          <t>12월</t>
        </is>
      </c>
      <c r="B8628" t="inlineStr">
        <is>
          <t>52주차</t>
        </is>
      </c>
      <c r="C8628" t="e">
        <v>#N/A</v>
      </c>
      <c r="K8628" t="n">
        <v>0</v>
      </c>
      <c r="L8628" t="n">
        <v>0</v>
      </c>
      <c r="M8628" t="n">
        <v>0</v>
      </c>
      <c r="AC8628" t="n">
        <v>0</v>
      </c>
      <c r="AD8628" t="n">
        <v>0</v>
      </c>
      <c r="AE8628" t="n">
        <v>0</v>
      </c>
      <c r="AF8628" t="n">
        <v>0</v>
      </c>
      <c r="AG8628" t="n">
        <v>0</v>
      </c>
      <c r="AH8628" t="n">
        <v>0</v>
      </c>
      <c r="AI8628" t="n">
        <v>0</v>
      </c>
    </row>
    <row r="8629">
      <c r="A8629" t="inlineStr">
        <is>
          <t>12월</t>
        </is>
      </c>
      <c r="B8629" t="inlineStr">
        <is>
          <t>52주차</t>
        </is>
      </c>
      <c r="C8629" t="e">
        <v>#N/A</v>
      </c>
      <c r="K8629" t="n">
        <v>0</v>
      </c>
      <c r="L8629" t="n">
        <v>0</v>
      </c>
      <c r="M8629" t="n">
        <v>0</v>
      </c>
      <c r="AC8629" t="n">
        <v>0</v>
      </c>
      <c r="AD8629" t="n">
        <v>0</v>
      </c>
      <c r="AE8629" t="n">
        <v>0</v>
      </c>
      <c r="AF8629" t="n">
        <v>0</v>
      </c>
      <c r="AG8629" t="n">
        <v>0</v>
      </c>
      <c r="AH8629" t="n">
        <v>0</v>
      </c>
      <c r="AI8629" t="n">
        <v>0</v>
      </c>
    </row>
    <row r="8630">
      <c r="A8630" t="inlineStr">
        <is>
          <t>12월</t>
        </is>
      </c>
      <c r="B8630" t="inlineStr">
        <is>
          <t>52주차</t>
        </is>
      </c>
      <c r="C8630" t="e">
        <v>#N/A</v>
      </c>
      <c r="K8630" t="n">
        <v>0</v>
      </c>
      <c r="L8630" t="n">
        <v>0</v>
      </c>
      <c r="M8630" t="n">
        <v>0</v>
      </c>
      <c r="AC8630" t="n">
        <v>0</v>
      </c>
      <c r="AD8630" t="n">
        <v>0</v>
      </c>
      <c r="AE8630" t="n">
        <v>0</v>
      </c>
      <c r="AF8630" t="n">
        <v>0</v>
      </c>
      <c r="AG8630" t="n">
        <v>0</v>
      </c>
      <c r="AH8630" t="n">
        <v>0</v>
      </c>
      <c r="AI8630" t="n">
        <v>0</v>
      </c>
    </row>
    <row r="8631">
      <c r="A8631" t="inlineStr">
        <is>
          <t>12월</t>
        </is>
      </c>
      <c r="B8631" t="inlineStr">
        <is>
          <t>52주차</t>
        </is>
      </c>
      <c r="C8631" t="e">
        <v>#N/A</v>
      </c>
      <c r="K8631" t="n">
        <v>0</v>
      </c>
      <c r="L8631" t="n">
        <v>0</v>
      </c>
      <c r="M8631" t="n">
        <v>0</v>
      </c>
      <c r="AC8631" t="n">
        <v>0</v>
      </c>
      <c r="AD8631" t="n">
        <v>0</v>
      </c>
      <c r="AE8631" t="n">
        <v>0</v>
      </c>
      <c r="AF8631" t="n">
        <v>0</v>
      </c>
      <c r="AG8631" t="n">
        <v>0</v>
      </c>
      <c r="AH8631" t="n">
        <v>0</v>
      </c>
      <c r="AI8631" t="n">
        <v>0</v>
      </c>
    </row>
    <row r="8632">
      <c r="A8632" t="inlineStr">
        <is>
          <t>12월</t>
        </is>
      </c>
      <c r="B8632" t="inlineStr">
        <is>
          <t>52주차</t>
        </is>
      </c>
      <c r="C8632" t="e">
        <v>#N/A</v>
      </c>
      <c r="K8632" t="n">
        <v>0</v>
      </c>
      <c r="L8632" t="n">
        <v>0</v>
      </c>
      <c r="M8632" t="n">
        <v>0</v>
      </c>
      <c r="AC8632" t="n">
        <v>0</v>
      </c>
      <c r="AD8632" t="n">
        <v>0</v>
      </c>
      <c r="AE8632" t="n">
        <v>0</v>
      </c>
      <c r="AF8632" t="n">
        <v>0</v>
      </c>
      <c r="AG8632" t="n">
        <v>0</v>
      </c>
      <c r="AH8632" t="n">
        <v>0</v>
      </c>
    </row>
    <row r="8633">
      <c r="A8633" t="inlineStr">
        <is>
          <t>12월</t>
        </is>
      </c>
      <c r="B8633" t="inlineStr">
        <is>
          <t>52주차</t>
        </is>
      </c>
      <c r="C8633" t="e">
        <v>#N/A</v>
      </c>
      <c r="K8633" t="n">
        <v>0</v>
      </c>
      <c r="L8633" t="n">
        <v>0</v>
      </c>
      <c r="M8633" t="n">
        <v>0</v>
      </c>
      <c r="AC8633" t="n">
        <v>0</v>
      </c>
      <c r="AD8633" t="n">
        <v>0</v>
      </c>
      <c r="AE8633" t="n">
        <v>0</v>
      </c>
      <c r="AF8633" t="n">
        <v>0</v>
      </c>
      <c r="AG8633" t="n">
        <v>0</v>
      </c>
      <c r="AH8633" t="n">
        <v>0</v>
      </c>
      <c r="AI8633" t="n">
        <v>0</v>
      </c>
    </row>
    <row r="8634">
      <c r="A8634" t="inlineStr">
        <is>
          <t>12월</t>
        </is>
      </c>
      <c r="B8634" t="inlineStr">
        <is>
          <t>52주차</t>
        </is>
      </c>
      <c r="C8634" t="e">
        <v>#N/A</v>
      </c>
      <c r="K8634" t="n">
        <v>0</v>
      </c>
      <c r="L8634" t="n">
        <v>0</v>
      </c>
      <c r="M8634" t="n">
        <v>0</v>
      </c>
      <c r="AC8634" t="n">
        <v>0</v>
      </c>
      <c r="AD8634" t="n">
        <v>0</v>
      </c>
      <c r="AE8634" t="n">
        <v>0</v>
      </c>
      <c r="AF8634" t="n">
        <v>0</v>
      </c>
      <c r="AG8634" t="n">
        <v>0</v>
      </c>
      <c r="AH8634" t="n">
        <v>0</v>
      </c>
      <c r="AI8634" t="n">
        <v>0</v>
      </c>
    </row>
    <row r="8635">
      <c r="A8635" t="inlineStr">
        <is>
          <t>12월</t>
        </is>
      </c>
      <c r="B8635" t="inlineStr">
        <is>
          <t>52주차</t>
        </is>
      </c>
      <c r="C8635" t="e">
        <v>#N/A</v>
      </c>
      <c r="K8635" t="n">
        <v>0</v>
      </c>
      <c r="L8635" t="n">
        <v>0</v>
      </c>
      <c r="M8635" t="n">
        <v>0</v>
      </c>
      <c r="AC8635" t="n">
        <v>0</v>
      </c>
      <c r="AD8635" t="n">
        <v>0</v>
      </c>
      <c r="AE8635" t="n">
        <v>0</v>
      </c>
      <c r="AF8635" t="n">
        <v>0</v>
      </c>
      <c r="AG8635" t="n">
        <v>0</v>
      </c>
      <c r="AH8635" t="n">
        <v>0</v>
      </c>
      <c r="AI8635" t="n">
        <v>0</v>
      </c>
    </row>
    <row r="8636">
      <c r="A8636" t="inlineStr">
        <is>
          <t>12월</t>
        </is>
      </c>
      <c r="B8636" t="inlineStr">
        <is>
          <t>52주차</t>
        </is>
      </c>
      <c r="C8636" t="e">
        <v>#N/A</v>
      </c>
      <c r="K8636" t="n">
        <v>0</v>
      </c>
      <c r="L8636" t="n">
        <v>0</v>
      </c>
      <c r="M8636" t="n">
        <v>0</v>
      </c>
      <c r="AC8636" t="n">
        <v>0</v>
      </c>
      <c r="AD8636" t="n">
        <v>0</v>
      </c>
      <c r="AE8636" t="n">
        <v>0</v>
      </c>
      <c r="AF8636" t="n">
        <v>0</v>
      </c>
      <c r="AG8636" t="n">
        <v>0</v>
      </c>
      <c r="AH8636" t="n">
        <v>0</v>
      </c>
      <c r="AI8636" t="n">
        <v>0</v>
      </c>
    </row>
    <row r="8637">
      <c r="A8637" t="inlineStr">
        <is>
          <t>12월</t>
        </is>
      </c>
      <c r="B8637" t="inlineStr">
        <is>
          <t>52주차</t>
        </is>
      </c>
      <c r="C8637" t="e">
        <v>#N/A</v>
      </c>
      <c r="K8637" t="n">
        <v>0</v>
      </c>
      <c r="L8637" t="n">
        <v>0</v>
      </c>
      <c r="M8637" t="n">
        <v>0</v>
      </c>
      <c r="AC8637" t="n">
        <v>0</v>
      </c>
      <c r="AD8637" t="n">
        <v>0</v>
      </c>
      <c r="AE8637" t="n">
        <v>0</v>
      </c>
      <c r="AF8637" t="n">
        <v>0</v>
      </c>
      <c r="AG8637" t="n">
        <v>0</v>
      </c>
      <c r="AH8637" t="n">
        <v>0</v>
      </c>
    </row>
    <row r="8638">
      <c r="A8638" t="inlineStr">
        <is>
          <t>12월</t>
        </is>
      </c>
      <c r="B8638" t="inlineStr">
        <is>
          <t>52주차</t>
        </is>
      </c>
      <c r="C8638" t="e">
        <v>#N/A</v>
      </c>
      <c r="K8638" t="n">
        <v>0</v>
      </c>
      <c r="L8638" t="n">
        <v>0</v>
      </c>
      <c r="M8638" t="n">
        <v>0</v>
      </c>
      <c r="AC8638" t="n">
        <v>0</v>
      </c>
      <c r="AD8638" t="n">
        <v>0</v>
      </c>
      <c r="AE8638" t="n">
        <v>0</v>
      </c>
      <c r="AF8638" t="n">
        <v>0</v>
      </c>
      <c r="AG8638" t="n">
        <v>0</v>
      </c>
      <c r="AH8638" t="n">
        <v>0</v>
      </c>
      <c r="AI8638" t="n">
        <v>0</v>
      </c>
    </row>
    <row r="8639">
      <c r="A8639" t="inlineStr">
        <is>
          <t>12월</t>
        </is>
      </c>
      <c r="B8639" t="inlineStr">
        <is>
          <t>52주차</t>
        </is>
      </c>
      <c r="C8639" t="e">
        <v>#N/A</v>
      </c>
      <c r="K8639" t="n">
        <v>0</v>
      </c>
      <c r="L8639" t="n">
        <v>0</v>
      </c>
      <c r="M8639" t="n">
        <v>0</v>
      </c>
      <c r="AC8639" t="n">
        <v>0</v>
      </c>
      <c r="AD8639" t="n">
        <v>0</v>
      </c>
      <c r="AE8639" t="n">
        <v>0</v>
      </c>
      <c r="AF8639" t="n">
        <v>0</v>
      </c>
      <c r="AG8639" t="n">
        <v>0</v>
      </c>
      <c r="AH8639" t="n">
        <v>0</v>
      </c>
      <c r="AI8639" t="n">
        <v>0</v>
      </c>
    </row>
    <row r="8640">
      <c r="A8640" t="inlineStr">
        <is>
          <t>12월</t>
        </is>
      </c>
      <c r="B8640" t="inlineStr">
        <is>
          <t>52주차</t>
        </is>
      </c>
      <c r="C8640" t="e">
        <v>#N/A</v>
      </c>
      <c r="K8640" t="n">
        <v>0</v>
      </c>
      <c r="L8640" t="n">
        <v>0</v>
      </c>
      <c r="M8640" t="n">
        <v>0</v>
      </c>
      <c r="AC8640" t="n">
        <v>0</v>
      </c>
      <c r="AD8640" t="n">
        <v>0</v>
      </c>
      <c r="AE8640" t="n">
        <v>0</v>
      </c>
      <c r="AF8640" t="n">
        <v>0</v>
      </c>
      <c r="AG8640" t="n">
        <v>0</v>
      </c>
      <c r="AH8640" t="n">
        <v>0</v>
      </c>
      <c r="AI8640" t="n">
        <v>0</v>
      </c>
    </row>
    <row r="8641">
      <c r="A8641" t="inlineStr">
        <is>
          <t>12월</t>
        </is>
      </c>
      <c r="B8641" t="inlineStr">
        <is>
          <t>52주차</t>
        </is>
      </c>
      <c r="C8641" t="e">
        <v>#N/A</v>
      </c>
      <c r="K8641" t="n">
        <v>0</v>
      </c>
      <c r="L8641" t="n">
        <v>0</v>
      </c>
      <c r="M8641" t="n">
        <v>0</v>
      </c>
      <c r="AC8641" t="n">
        <v>0</v>
      </c>
      <c r="AD8641" t="n">
        <v>0</v>
      </c>
      <c r="AE8641" t="n">
        <v>0</v>
      </c>
      <c r="AF8641" t="n">
        <v>0</v>
      </c>
      <c r="AG8641" t="n">
        <v>0</v>
      </c>
      <c r="AH8641" t="n">
        <v>0</v>
      </c>
      <c r="AI8641" t="n">
        <v>0</v>
      </c>
    </row>
    <row r="8642">
      <c r="A8642" t="inlineStr">
        <is>
          <t>12월</t>
        </is>
      </c>
      <c r="B8642" t="inlineStr">
        <is>
          <t>52주차</t>
        </is>
      </c>
      <c r="C8642" t="e">
        <v>#N/A</v>
      </c>
      <c r="K8642" t="n">
        <v>0</v>
      </c>
      <c r="L8642" t="n">
        <v>0</v>
      </c>
      <c r="M8642" t="n">
        <v>0</v>
      </c>
      <c r="AC8642" t="n">
        <v>0</v>
      </c>
      <c r="AD8642" t="n">
        <v>0</v>
      </c>
      <c r="AE8642" t="n">
        <v>0</v>
      </c>
      <c r="AF8642" t="n">
        <v>0</v>
      </c>
      <c r="AG8642" t="n">
        <v>0</v>
      </c>
      <c r="AH8642" t="n">
        <v>0</v>
      </c>
      <c r="AI8642" t="n">
        <v>0</v>
      </c>
    </row>
    <row r="8643">
      <c r="A8643" t="inlineStr">
        <is>
          <t>12월</t>
        </is>
      </c>
      <c r="B8643" t="inlineStr">
        <is>
          <t>52주차</t>
        </is>
      </c>
      <c r="C8643" t="e">
        <v>#N/A</v>
      </c>
      <c r="K8643" t="n">
        <v>0</v>
      </c>
      <c r="L8643" t="n">
        <v>0</v>
      </c>
      <c r="M8643" t="n">
        <v>0</v>
      </c>
      <c r="AC8643" t="n">
        <v>0</v>
      </c>
      <c r="AD8643" t="n">
        <v>0</v>
      </c>
      <c r="AE8643" t="n">
        <v>0</v>
      </c>
      <c r="AF8643" t="n">
        <v>0</v>
      </c>
      <c r="AG8643" t="n">
        <v>0</v>
      </c>
      <c r="AH8643" t="n">
        <v>0</v>
      </c>
      <c r="AI8643" t="n">
        <v>0</v>
      </c>
    </row>
    <row r="8644">
      <c r="A8644" t="inlineStr">
        <is>
          <t>12월</t>
        </is>
      </c>
      <c r="B8644" t="inlineStr">
        <is>
          <t>52주차</t>
        </is>
      </c>
      <c r="C8644" t="e">
        <v>#N/A</v>
      </c>
      <c r="K8644" t="n">
        <v>0</v>
      </c>
      <c r="L8644" t="n">
        <v>0</v>
      </c>
      <c r="M8644" t="n">
        <v>0</v>
      </c>
      <c r="AC8644" t="n">
        <v>0</v>
      </c>
      <c r="AD8644" t="n">
        <v>0</v>
      </c>
      <c r="AE8644" t="n">
        <v>0</v>
      </c>
      <c r="AF8644" t="n">
        <v>0</v>
      </c>
      <c r="AG8644" t="n">
        <v>0</v>
      </c>
      <c r="AH8644" t="n">
        <v>0</v>
      </c>
      <c r="AI8644" t="n">
        <v>0</v>
      </c>
    </row>
    <row r="8645">
      <c r="A8645" t="inlineStr">
        <is>
          <t>12월</t>
        </is>
      </c>
      <c r="B8645" t="inlineStr">
        <is>
          <t>52주차</t>
        </is>
      </c>
      <c r="C8645" t="e">
        <v>#N/A</v>
      </c>
      <c r="K8645" t="n">
        <v>0</v>
      </c>
      <c r="L8645" t="n">
        <v>0</v>
      </c>
      <c r="M8645" t="n">
        <v>0</v>
      </c>
      <c r="AC8645" t="n">
        <v>0</v>
      </c>
      <c r="AD8645" t="n">
        <v>0</v>
      </c>
      <c r="AE8645" t="n">
        <v>0</v>
      </c>
      <c r="AF8645" t="n">
        <v>0</v>
      </c>
      <c r="AG8645" t="n">
        <v>0</v>
      </c>
      <c r="AH8645" t="n">
        <v>0</v>
      </c>
    </row>
    <row r="8646">
      <c r="A8646" t="inlineStr">
        <is>
          <t>12월</t>
        </is>
      </c>
      <c r="B8646" t="inlineStr">
        <is>
          <t>52주차</t>
        </is>
      </c>
      <c r="C8646" t="e">
        <v>#N/A</v>
      </c>
      <c r="K8646" t="n">
        <v>0</v>
      </c>
      <c r="L8646" t="n">
        <v>0</v>
      </c>
      <c r="M8646" t="n">
        <v>0</v>
      </c>
      <c r="AC8646" t="n">
        <v>0</v>
      </c>
      <c r="AD8646" t="n">
        <v>0</v>
      </c>
      <c r="AE8646" t="n">
        <v>0</v>
      </c>
      <c r="AF8646" t="n">
        <v>0</v>
      </c>
      <c r="AG8646" t="n">
        <v>0</v>
      </c>
      <c r="AH8646" t="n">
        <v>0</v>
      </c>
    </row>
    <row r="8647">
      <c r="A8647" t="inlineStr">
        <is>
          <t>12월</t>
        </is>
      </c>
      <c r="B8647" t="inlineStr">
        <is>
          <t>52주차</t>
        </is>
      </c>
      <c r="C8647" t="e">
        <v>#N/A</v>
      </c>
      <c r="K8647" t="n">
        <v>0</v>
      </c>
      <c r="L8647" t="n">
        <v>0</v>
      </c>
      <c r="M8647" t="n">
        <v>0</v>
      </c>
      <c r="AC8647" t="n">
        <v>0</v>
      </c>
      <c r="AD8647" t="n">
        <v>0</v>
      </c>
      <c r="AE8647" t="n">
        <v>0</v>
      </c>
      <c r="AF8647" t="n">
        <v>0</v>
      </c>
      <c r="AG8647" t="n">
        <v>0</v>
      </c>
      <c r="AH8647" t="n">
        <v>0</v>
      </c>
      <c r="AI8647" t="n">
        <v>0</v>
      </c>
    </row>
    <row r="8648">
      <c r="A8648" t="inlineStr">
        <is>
          <t>12월</t>
        </is>
      </c>
      <c r="B8648" t="inlineStr">
        <is>
          <t>52주차</t>
        </is>
      </c>
      <c r="C8648" t="e">
        <v>#N/A</v>
      </c>
      <c r="K8648" t="n">
        <v>0</v>
      </c>
      <c r="L8648" t="n">
        <v>0</v>
      </c>
      <c r="M8648" t="n">
        <v>0</v>
      </c>
      <c r="AC8648" t="n">
        <v>0</v>
      </c>
      <c r="AD8648" t="n">
        <v>0</v>
      </c>
      <c r="AE8648" t="n">
        <v>0</v>
      </c>
      <c r="AF8648" t="n">
        <v>0</v>
      </c>
      <c r="AG8648" t="n">
        <v>0</v>
      </c>
      <c r="AH8648" t="n">
        <v>0</v>
      </c>
    </row>
    <row r="8649">
      <c r="A8649" t="inlineStr">
        <is>
          <t>12월</t>
        </is>
      </c>
      <c r="B8649" t="inlineStr">
        <is>
          <t>52주차</t>
        </is>
      </c>
      <c r="C8649" t="e">
        <v>#N/A</v>
      </c>
      <c r="K8649" t="n">
        <v>0</v>
      </c>
      <c r="L8649" t="n">
        <v>0</v>
      </c>
      <c r="M8649" t="n">
        <v>0</v>
      </c>
      <c r="AC8649" t="n">
        <v>0</v>
      </c>
      <c r="AD8649" t="n">
        <v>0</v>
      </c>
      <c r="AE8649" t="n">
        <v>0</v>
      </c>
      <c r="AF8649" t="n">
        <v>0</v>
      </c>
      <c r="AG8649" t="n">
        <v>0</v>
      </c>
      <c r="AH8649" t="n">
        <v>0</v>
      </c>
      <c r="AI8649" t="n">
        <v>0</v>
      </c>
    </row>
    <row r="8650">
      <c r="A8650" t="inlineStr">
        <is>
          <t>12월</t>
        </is>
      </c>
      <c r="B8650" t="inlineStr">
        <is>
          <t>52주차</t>
        </is>
      </c>
      <c r="C8650" t="e">
        <v>#N/A</v>
      </c>
      <c r="K8650" t="n">
        <v>0</v>
      </c>
      <c r="L8650" t="n">
        <v>0</v>
      </c>
      <c r="M8650" t="n">
        <v>0</v>
      </c>
      <c r="AC8650" t="n">
        <v>0</v>
      </c>
      <c r="AD8650" t="n">
        <v>0</v>
      </c>
      <c r="AE8650" t="n">
        <v>0</v>
      </c>
      <c r="AF8650" t="n">
        <v>0</v>
      </c>
      <c r="AG8650" t="n">
        <v>0</v>
      </c>
      <c r="AH8650" t="n">
        <v>0</v>
      </c>
      <c r="AI8650" t="n">
        <v>0</v>
      </c>
    </row>
    <row r="8651">
      <c r="A8651" t="inlineStr">
        <is>
          <t>12월</t>
        </is>
      </c>
      <c r="B8651" t="inlineStr">
        <is>
          <t>52주차</t>
        </is>
      </c>
      <c r="C8651" t="e">
        <v>#N/A</v>
      </c>
      <c r="K8651" t="n">
        <v>0</v>
      </c>
      <c r="L8651" t="n">
        <v>0</v>
      </c>
      <c r="M8651" t="n">
        <v>0</v>
      </c>
      <c r="AC8651" t="n">
        <v>0</v>
      </c>
      <c r="AD8651" t="n">
        <v>0</v>
      </c>
      <c r="AE8651" t="n">
        <v>0</v>
      </c>
      <c r="AF8651" t="n">
        <v>0</v>
      </c>
      <c r="AG8651" t="n">
        <v>0</v>
      </c>
      <c r="AH8651" t="n">
        <v>0</v>
      </c>
      <c r="AI8651" t="n">
        <v>0</v>
      </c>
    </row>
    <row r="8652">
      <c r="A8652" t="inlineStr">
        <is>
          <t>12월</t>
        </is>
      </c>
      <c r="B8652" t="inlineStr">
        <is>
          <t>52주차</t>
        </is>
      </c>
      <c r="C8652" t="e">
        <v>#N/A</v>
      </c>
      <c r="K8652" t="n">
        <v>0</v>
      </c>
      <c r="L8652" t="n">
        <v>0</v>
      </c>
      <c r="M8652" t="n">
        <v>0</v>
      </c>
      <c r="AC8652" t="n">
        <v>0</v>
      </c>
      <c r="AD8652" t="n">
        <v>0</v>
      </c>
      <c r="AE8652" t="n">
        <v>0</v>
      </c>
      <c r="AF8652" t="n">
        <v>0</v>
      </c>
      <c r="AG8652" t="n">
        <v>0</v>
      </c>
      <c r="AH8652" t="n">
        <v>0</v>
      </c>
      <c r="AI8652" t="n">
        <v>0</v>
      </c>
    </row>
    <row r="8653">
      <c r="A8653" t="inlineStr">
        <is>
          <t>12월</t>
        </is>
      </c>
      <c r="B8653" t="inlineStr">
        <is>
          <t>52주차</t>
        </is>
      </c>
      <c r="C8653" t="e">
        <v>#N/A</v>
      </c>
      <c r="K8653" t="n">
        <v>0</v>
      </c>
      <c r="L8653" t="n">
        <v>0</v>
      </c>
      <c r="M8653" t="n">
        <v>0</v>
      </c>
      <c r="AC8653" t="n">
        <v>0</v>
      </c>
      <c r="AD8653" t="n">
        <v>0</v>
      </c>
      <c r="AE8653" t="n">
        <v>0</v>
      </c>
      <c r="AF8653" t="n">
        <v>0</v>
      </c>
      <c r="AG8653" t="n">
        <v>0</v>
      </c>
      <c r="AH8653" t="n">
        <v>0</v>
      </c>
    </row>
    <row r="8654">
      <c r="A8654" t="inlineStr">
        <is>
          <t>12월</t>
        </is>
      </c>
      <c r="B8654" t="inlineStr">
        <is>
          <t>52주차</t>
        </is>
      </c>
      <c r="C8654" t="e">
        <v>#N/A</v>
      </c>
      <c r="K8654" t="n">
        <v>0</v>
      </c>
      <c r="L8654" t="n">
        <v>0</v>
      </c>
      <c r="M8654" t="n">
        <v>0</v>
      </c>
      <c r="AC8654" t="n">
        <v>0</v>
      </c>
      <c r="AD8654" t="n">
        <v>0</v>
      </c>
      <c r="AE8654" t="n">
        <v>0</v>
      </c>
      <c r="AF8654" t="n">
        <v>0</v>
      </c>
      <c r="AG8654" t="n">
        <v>0</v>
      </c>
      <c r="AH8654" t="n">
        <v>0</v>
      </c>
      <c r="AI8654" t="n">
        <v>0</v>
      </c>
    </row>
    <row r="8655">
      <c r="A8655" t="inlineStr">
        <is>
          <t>12월</t>
        </is>
      </c>
      <c r="B8655" t="inlineStr">
        <is>
          <t>52주차</t>
        </is>
      </c>
      <c r="C8655" t="e">
        <v>#N/A</v>
      </c>
      <c r="K8655" t="n">
        <v>0</v>
      </c>
      <c r="L8655" t="n">
        <v>0</v>
      </c>
      <c r="M8655" t="n">
        <v>0</v>
      </c>
      <c r="AC8655" t="n">
        <v>0</v>
      </c>
      <c r="AD8655" t="n">
        <v>0</v>
      </c>
      <c r="AE8655" t="n">
        <v>0</v>
      </c>
      <c r="AF8655" t="n">
        <v>0</v>
      </c>
      <c r="AG8655" t="n">
        <v>0</v>
      </c>
      <c r="AH8655" t="n">
        <v>0</v>
      </c>
    </row>
    <row r="8656">
      <c r="A8656" t="inlineStr">
        <is>
          <t>12월</t>
        </is>
      </c>
      <c r="B8656" t="inlineStr">
        <is>
          <t>52주차</t>
        </is>
      </c>
      <c r="C8656" t="e">
        <v>#N/A</v>
      </c>
      <c r="K8656" t="n">
        <v>0</v>
      </c>
      <c r="L8656" t="n">
        <v>0</v>
      </c>
      <c r="M8656" t="n">
        <v>0</v>
      </c>
      <c r="AC8656" t="n">
        <v>0</v>
      </c>
      <c r="AD8656" t="n">
        <v>0</v>
      </c>
      <c r="AE8656" t="n">
        <v>0</v>
      </c>
      <c r="AF8656" t="n">
        <v>0</v>
      </c>
      <c r="AG8656" t="n">
        <v>0</v>
      </c>
      <c r="AH8656" t="n">
        <v>0</v>
      </c>
      <c r="AI8656" t="n">
        <v>0</v>
      </c>
    </row>
    <row r="8657">
      <c r="A8657" t="inlineStr">
        <is>
          <t>12월</t>
        </is>
      </c>
      <c r="B8657" t="inlineStr">
        <is>
          <t>52주차</t>
        </is>
      </c>
      <c r="C8657" t="e">
        <v>#N/A</v>
      </c>
      <c r="K8657" t="n">
        <v>0</v>
      </c>
      <c r="L8657" t="n">
        <v>0</v>
      </c>
      <c r="M8657" t="n">
        <v>0</v>
      </c>
      <c r="AC8657" t="n">
        <v>0</v>
      </c>
      <c r="AD8657" t="n">
        <v>0</v>
      </c>
      <c r="AE8657" t="n">
        <v>0</v>
      </c>
      <c r="AF8657" t="n">
        <v>0</v>
      </c>
      <c r="AG8657" t="n">
        <v>0</v>
      </c>
      <c r="AH8657" t="n">
        <v>0</v>
      </c>
      <c r="AI8657" t="n">
        <v>0</v>
      </c>
    </row>
    <row r="8658">
      <c r="A8658" t="inlineStr">
        <is>
          <t>12월</t>
        </is>
      </c>
      <c r="B8658" t="inlineStr">
        <is>
          <t>52주차</t>
        </is>
      </c>
      <c r="C8658" t="e">
        <v>#N/A</v>
      </c>
      <c r="K8658" t="n">
        <v>0</v>
      </c>
      <c r="L8658" t="n">
        <v>0</v>
      </c>
      <c r="M8658" t="n">
        <v>0</v>
      </c>
      <c r="AC8658" t="n">
        <v>0</v>
      </c>
      <c r="AD8658" t="n">
        <v>0</v>
      </c>
      <c r="AE8658" t="n">
        <v>0</v>
      </c>
      <c r="AF8658" t="n">
        <v>0</v>
      </c>
      <c r="AG8658" t="n">
        <v>0</v>
      </c>
      <c r="AH8658" t="n">
        <v>0</v>
      </c>
      <c r="AI8658" t="n">
        <v>0</v>
      </c>
    </row>
    <row r="8659">
      <c r="A8659" t="inlineStr">
        <is>
          <t>12월</t>
        </is>
      </c>
      <c r="B8659" t="inlineStr">
        <is>
          <t>52주차</t>
        </is>
      </c>
      <c r="C8659" t="e">
        <v>#N/A</v>
      </c>
      <c r="K8659" t="n">
        <v>0</v>
      </c>
      <c r="L8659" t="n">
        <v>0</v>
      </c>
      <c r="M8659" t="n">
        <v>0</v>
      </c>
      <c r="AC8659" t="n">
        <v>0</v>
      </c>
      <c r="AD8659" t="n">
        <v>0</v>
      </c>
      <c r="AE8659" t="n">
        <v>0</v>
      </c>
      <c r="AF8659" t="n">
        <v>0</v>
      </c>
      <c r="AG8659" t="n">
        <v>0</v>
      </c>
      <c r="AH8659" t="n">
        <v>0</v>
      </c>
      <c r="AI8659" t="n">
        <v>0</v>
      </c>
    </row>
    <row r="8660">
      <c r="A8660" t="inlineStr">
        <is>
          <t>12월</t>
        </is>
      </c>
      <c r="B8660" t="inlineStr">
        <is>
          <t>52주차</t>
        </is>
      </c>
      <c r="C8660" t="e">
        <v>#N/A</v>
      </c>
      <c r="K8660" t="n">
        <v>0</v>
      </c>
      <c r="L8660" t="n">
        <v>0</v>
      </c>
      <c r="M8660" t="n">
        <v>0</v>
      </c>
      <c r="AC8660" t="n">
        <v>0</v>
      </c>
      <c r="AD8660" t="n">
        <v>0</v>
      </c>
      <c r="AE8660" t="n">
        <v>0</v>
      </c>
      <c r="AF8660" t="n">
        <v>0</v>
      </c>
      <c r="AG8660" t="n">
        <v>0</v>
      </c>
      <c r="AH8660" t="n">
        <v>0</v>
      </c>
      <c r="AI8660" t="n">
        <v>0</v>
      </c>
    </row>
    <row r="8661">
      <c r="A8661" t="inlineStr">
        <is>
          <t>12월</t>
        </is>
      </c>
      <c r="B8661" t="inlineStr">
        <is>
          <t>52주차</t>
        </is>
      </c>
      <c r="C8661" t="e">
        <v>#N/A</v>
      </c>
      <c r="K8661" t="n">
        <v>0</v>
      </c>
      <c r="L8661" t="n">
        <v>0</v>
      </c>
      <c r="M8661" t="n">
        <v>0</v>
      </c>
      <c r="AC8661" t="n">
        <v>0</v>
      </c>
      <c r="AD8661" t="n">
        <v>0</v>
      </c>
      <c r="AE8661" t="n">
        <v>0</v>
      </c>
      <c r="AF8661" t="n">
        <v>0</v>
      </c>
      <c r="AG8661" t="n">
        <v>0</v>
      </c>
      <c r="AH8661" t="n">
        <v>0</v>
      </c>
      <c r="AI8661" t="n">
        <v>0</v>
      </c>
    </row>
    <row r="8662">
      <c r="A8662" t="inlineStr">
        <is>
          <t>12월</t>
        </is>
      </c>
      <c r="B8662" t="inlineStr">
        <is>
          <t>52주차</t>
        </is>
      </c>
      <c r="C8662" t="e">
        <v>#N/A</v>
      </c>
      <c r="K8662" t="n">
        <v>0</v>
      </c>
      <c r="L8662" t="n">
        <v>0</v>
      </c>
      <c r="M8662" t="n">
        <v>0</v>
      </c>
      <c r="AC8662" t="n">
        <v>0</v>
      </c>
      <c r="AD8662" t="n">
        <v>0</v>
      </c>
      <c r="AE8662" t="n">
        <v>0</v>
      </c>
      <c r="AF8662" t="n">
        <v>0</v>
      </c>
      <c r="AG8662" t="n">
        <v>0</v>
      </c>
      <c r="AH8662" t="n">
        <v>0</v>
      </c>
      <c r="AI8662" t="n">
        <v>0</v>
      </c>
    </row>
    <row r="8663">
      <c r="A8663" t="inlineStr">
        <is>
          <t>12월</t>
        </is>
      </c>
      <c r="B8663" t="inlineStr">
        <is>
          <t>52주차</t>
        </is>
      </c>
      <c r="C8663" t="e">
        <v>#N/A</v>
      </c>
      <c r="K8663" t="n">
        <v>0</v>
      </c>
      <c r="L8663" t="n">
        <v>0</v>
      </c>
      <c r="M8663" t="n">
        <v>0</v>
      </c>
      <c r="AC8663" t="n">
        <v>0</v>
      </c>
      <c r="AD8663" t="n">
        <v>0</v>
      </c>
      <c r="AE8663" t="n">
        <v>0</v>
      </c>
      <c r="AF8663" t="n">
        <v>0</v>
      </c>
      <c r="AG8663" t="n">
        <v>0</v>
      </c>
      <c r="AH8663" t="n">
        <v>0</v>
      </c>
      <c r="AI8663" t="n">
        <v>0</v>
      </c>
    </row>
    <row r="8664">
      <c r="A8664" t="inlineStr">
        <is>
          <t>12월</t>
        </is>
      </c>
      <c r="B8664" t="inlineStr">
        <is>
          <t>52주차</t>
        </is>
      </c>
      <c r="C8664" t="e">
        <v>#N/A</v>
      </c>
      <c r="K8664" t="n">
        <v>0</v>
      </c>
      <c r="L8664" t="n">
        <v>0</v>
      </c>
      <c r="M8664" t="n">
        <v>0</v>
      </c>
      <c r="AC8664" t="n">
        <v>0</v>
      </c>
      <c r="AD8664" t="n">
        <v>0</v>
      </c>
      <c r="AE8664" t="n">
        <v>0</v>
      </c>
      <c r="AF8664" t="n">
        <v>0</v>
      </c>
      <c r="AG8664" t="n">
        <v>0</v>
      </c>
      <c r="AH8664" t="n">
        <v>0</v>
      </c>
      <c r="AI8664" t="n">
        <v>0</v>
      </c>
    </row>
    <row r="8665">
      <c r="A8665" t="inlineStr">
        <is>
          <t>12월</t>
        </is>
      </c>
      <c r="B8665" t="inlineStr">
        <is>
          <t>52주차</t>
        </is>
      </c>
      <c r="C8665" t="e">
        <v>#N/A</v>
      </c>
      <c r="K8665" t="n">
        <v>0</v>
      </c>
      <c r="L8665" t="n">
        <v>0</v>
      </c>
      <c r="M8665" t="n">
        <v>0</v>
      </c>
      <c r="AC8665" t="n">
        <v>0</v>
      </c>
      <c r="AD8665" t="n">
        <v>0</v>
      </c>
      <c r="AE8665" t="n">
        <v>0</v>
      </c>
      <c r="AF8665" t="n">
        <v>0</v>
      </c>
      <c r="AG8665" t="n">
        <v>0</v>
      </c>
      <c r="AH8665" t="n">
        <v>0</v>
      </c>
      <c r="AI8665" t="n">
        <v>0</v>
      </c>
    </row>
    <row r="8666">
      <c r="A8666" t="inlineStr">
        <is>
          <t>12월</t>
        </is>
      </c>
      <c r="B8666" t="inlineStr">
        <is>
          <t>52주차</t>
        </is>
      </c>
      <c r="C8666" t="e">
        <v>#N/A</v>
      </c>
      <c r="K8666" t="n">
        <v>0</v>
      </c>
      <c r="L8666" t="n">
        <v>0</v>
      </c>
      <c r="M8666" t="n">
        <v>0</v>
      </c>
      <c r="AC8666" t="n">
        <v>0</v>
      </c>
      <c r="AD8666" t="n">
        <v>0</v>
      </c>
      <c r="AE8666" t="n">
        <v>0</v>
      </c>
      <c r="AF8666" t="n">
        <v>0</v>
      </c>
      <c r="AG8666" t="n">
        <v>0</v>
      </c>
      <c r="AH8666" t="n">
        <v>0</v>
      </c>
      <c r="AI8666" t="n">
        <v>0</v>
      </c>
    </row>
    <row r="8667">
      <c r="A8667" t="inlineStr">
        <is>
          <t>12월</t>
        </is>
      </c>
      <c r="B8667" t="inlineStr">
        <is>
          <t>52주차</t>
        </is>
      </c>
      <c r="C8667" t="e">
        <v>#N/A</v>
      </c>
      <c r="K8667" t="n">
        <v>0</v>
      </c>
      <c r="L8667" t="n">
        <v>0</v>
      </c>
      <c r="M8667" t="n">
        <v>0</v>
      </c>
      <c r="AC8667" t="n">
        <v>0</v>
      </c>
      <c r="AD8667" t="n">
        <v>0</v>
      </c>
      <c r="AE8667" t="n">
        <v>0</v>
      </c>
      <c r="AF8667" t="n">
        <v>0</v>
      </c>
      <c r="AG8667" t="n">
        <v>0</v>
      </c>
      <c r="AH8667" t="n">
        <v>0</v>
      </c>
      <c r="AI8667" t="n">
        <v>0</v>
      </c>
    </row>
    <row r="8668">
      <c r="A8668" t="inlineStr">
        <is>
          <t>12월</t>
        </is>
      </c>
      <c r="B8668" t="inlineStr">
        <is>
          <t>52주차</t>
        </is>
      </c>
      <c r="C8668" t="e">
        <v>#N/A</v>
      </c>
      <c r="K8668" t="n">
        <v>0</v>
      </c>
      <c r="L8668" t="n">
        <v>0</v>
      </c>
      <c r="M8668" t="n">
        <v>0</v>
      </c>
      <c r="AC8668" t="n">
        <v>0</v>
      </c>
      <c r="AD8668" t="n">
        <v>0</v>
      </c>
      <c r="AE8668" t="n">
        <v>0</v>
      </c>
      <c r="AF8668" t="n">
        <v>0</v>
      </c>
      <c r="AG8668" t="n">
        <v>0</v>
      </c>
      <c r="AH8668" t="n">
        <v>0</v>
      </c>
      <c r="AI8668" t="n">
        <v>0</v>
      </c>
    </row>
    <row r="8669">
      <c r="A8669" t="inlineStr">
        <is>
          <t>12월</t>
        </is>
      </c>
      <c r="B8669" t="inlineStr">
        <is>
          <t>52주차</t>
        </is>
      </c>
      <c r="C8669" t="e">
        <v>#N/A</v>
      </c>
      <c r="K8669" t="n">
        <v>0</v>
      </c>
      <c r="L8669" t="n">
        <v>0</v>
      </c>
      <c r="M8669" t="n">
        <v>0</v>
      </c>
      <c r="AC8669" t="n">
        <v>0</v>
      </c>
      <c r="AD8669" t="n">
        <v>0</v>
      </c>
      <c r="AE8669" t="n">
        <v>0</v>
      </c>
      <c r="AF8669" t="n">
        <v>0</v>
      </c>
      <c r="AG8669" t="n">
        <v>0</v>
      </c>
      <c r="AH8669" t="n">
        <v>0</v>
      </c>
    </row>
    <row r="8670">
      <c r="A8670" t="inlineStr">
        <is>
          <t>12월</t>
        </is>
      </c>
      <c r="B8670" t="inlineStr">
        <is>
          <t>52주차</t>
        </is>
      </c>
      <c r="C8670" t="e">
        <v>#N/A</v>
      </c>
      <c r="K8670" t="n">
        <v>0</v>
      </c>
      <c r="L8670" t="n">
        <v>0</v>
      </c>
      <c r="M8670" t="n">
        <v>0</v>
      </c>
      <c r="AC8670" t="n">
        <v>0</v>
      </c>
      <c r="AD8670" t="n">
        <v>0</v>
      </c>
      <c r="AE8670" t="n">
        <v>0</v>
      </c>
      <c r="AF8670" t="n">
        <v>0</v>
      </c>
      <c r="AG8670" t="n">
        <v>0</v>
      </c>
      <c r="AH8670" t="n">
        <v>0</v>
      </c>
      <c r="AI8670" t="n">
        <v>0</v>
      </c>
    </row>
    <row r="8671">
      <c r="A8671" t="inlineStr">
        <is>
          <t>12월</t>
        </is>
      </c>
      <c r="B8671" t="inlineStr">
        <is>
          <t>52주차</t>
        </is>
      </c>
      <c r="C8671" t="e">
        <v>#N/A</v>
      </c>
      <c r="K8671" t="n">
        <v>0</v>
      </c>
      <c r="L8671" t="n">
        <v>0</v>
      </c>
      <c r="M8671" t="n">
        <v>0</v>
      </c>
      <c r="AC8671" t="n">
        <v>0</v>
      </c>
      <c r="AD8671" t="n">
        <v>0</v>
      </c>
      <c r="AE8671" t="n">
        <v>0</v>
      </c>
      <c r="AF8671" t="n">
        <v>0</v>
      </c>
      <c r="AG8671" t="n">
        <v>0</v>
      </c>
      <c r="AH8671" t="n">
        <v>0</v>
      </c>
      <c r="AI8671" t="n">
        <v>0</v>
      </c>
    </row>
    <row r="8672">
      <c r="A8672" t="inlineStr">
        <is>
          <t>12월</t>
        </is>
      </c>
      <c r="B8672" t="inlineStr">
        <is>
          <t>52주차</t>
        </is>
      </c>
      <c r="C8672" t="e">
        <v>#N/A</v>
      </c>
      <c r="K8672" t="n">
        <v>0</v>
      </c>
      <c r="L8672" t="n">
        <v>0</v>
      </c>
      <c r="M8672" t="n">
        <v>0</v>
      </c>
      <c r="AC8672" t="n">
        <v>0</v>
      </c>
      <c r="AD8672" t="n">
        <v>0</v>
      </c>
      <c r="AE8672" t="n">
        <v>0</v>
      </c>
      <c r="AF8672" t="n">
        <v>0</v>
      </c>
      <c r="AG8672" t="n">
        <v>0</v>
      </c>
      <c r="AH8672" t="n">
        <v>0</v>
      </c>
      <c r="AI8672" t="n">
        <v>0</v>
      </c>
    </row>
    <row r="8673">
      <c r="A8673" t="inlineStr">
        <is>
          <t>12월</t>
        </is>
      </c>
      <c r="B8673" t="inlineStr">
        <is>
          <t>52주차</t>
        </is>
      </c>
      <c r="C8673" t="e">
        <v>#N/A</v>
      </c>
      <c r="K8673" t="n">
        <v>0</v>
      </c>
      <c r="L8673" t="n">
        <v>0</v>
      </c>
      <c r="M8673" t="n">
        <v>0</v>
      </c>
      <c r="AC8673" t="n">
        <v>0</v>
      </c>
      <c r="AD8673" t="n">
        <v>0</v>
      </c>
      <c r="AE8673" t="n">
        <v>0</v>
      </c>
      <c r="AF8673" t="n">
        <v>0</v>
      </c>
      <c r="AG8673" t="n">
        <v>0</v>
      </c>
      <c r="AH8673" t="n">
        <v>0</v>
      </c>
      <c r="AI8673" t="n">
        <v>0</v>
      </c>
    </row>
    <row r="8674">
      <c r="A8674" t="inlineStr">
        <is>
          <t>12월</t>
        </is>
      </c>
      <c r="B8674" t="inlineStr">
        <is>
          <t>52주차</t>
        </is>
      </c>
      <c r="C8674" t="e">
        <v>#N/A</v>
      </c>
      <c r="K8674" t="n">
        <v>0</v>
      </c>
      <c r="L8674" t="n">
        <v>0</v>
      </c>
      <c r="M8674" t="n">
        <v>0</v>
      </c>
      <c r="AC8674" t="n">
        <v>0</v>
      </c>
      <c r="AD8674" t="n">
        <v>0</v>
      </c>
      <c r="AE8674" t="n">
        <v>0</v>
      </c>
      <c r="AF8674" t="n">
        <v>0</v>
      </c>
      <c r="AG8674" t="n">
        <v>0</v>
      </c>
      <c r="AH8674" t="n">
        <v>0</v>
      </c>
      <c r="AI8674" t="n">
        <v>0</v>
      </c>
    </row>
    <row r="8675">
      <c r="A8675" t="inlineStr">
        <is>
          <t>12월</t>
        </is>
      </c>
      <c r="B8675" t="inlineStr">
        <is>
          <t>52주차</t>
        </is>
      </c>
      <c r="C8675" t="e">
        <v>#N/A</v>
      </c>
      <c r="K8675" t="n">
        <v>0</v>
      </c>
      <c r="L8675" t="n">
        <v>0</v>
      </c>
      <c r="M8675" t="n">
        <v>0</v>
      </c>
      <c r="AC8675" t="n">
        <v>0</v>
      </c>
      <c r="AD8675" t="n">
        <v>0</v>
      </c>
      <c r="AE8675" t="n">
        <v>0</v>
      </c>
      <c r="AF8675" t="n">
        <v>0</v>
      </c>
      <c r="AG8675" t="n">
        <v>0</v>
      </c>
      <c r="AH8675" t="n">
        <v>0</v>
      </c>
      <c r="AI8675" t="n">
        <v>0</v>
      </c>
    </row>
    <row r="8676">
      <c r="A8676" t="inlineStr">
        <is>
          <t>12월</t>
        </is>
      </c>
      <c r="B8676" t="inlineStr">
        <is>
          <t>52주차</t>
        </is>
      </c>
      <c r="C8676" t="e">
        <v>#N/A</v>
      </c>
      <c r="K8676" t="n">
        <v>0</v>
      </c>
      <c r="L8676" t="n">
        <v>0</v>
      </c>
      <c r="M8676" t="n">
        <v>0</v>
      </c>
      <c r="AC8676" t="n">
        <v>0</v>
      </c>
      <c r="AD8676" t="n">
        <v>0</v>
      </c>
      <c r="AE8676" t="n">
        <v>0</v>
      </c>
      <c r="AF8676" t="n">
        <v>0</v>
      </c>
      <c r="AG8676" t="n">
        <v>0</v>
      </c>
      <c r="AH8676" t="n">
        <v>0</v>
      </c>
      <c r="AI8676" t="n">
        <v>0</v>
      </c>
    </row>
    <row r="8677">
      <c r="A8677" t="inlineStr">
        <is>
          <t>12월</t>
        </is>
      </c>
      <c r="B8677" t="inlineStr">
        <is>
          <t>52주차</t>
        </is>
      </c>
      <c r="C8677" t="e">
        <v>#N/A</v>
      </c>
      <c r="K8677" t="n">
        <v>0</v>
      </c>
      <c r="L8677" t="n">
        <v>0</v>
      </c>
      <c r="M8677" t="n">
        <v>0</v>
      </c>
      <c r="AC8677" t="n">
        <v>0</v>
      </c>
      <c r="AD8677" t="n">
        <v>0</v>
      </c>
      <c r="AE8677" t="n">
        <v>0</v>
      </c>
      <c r="AF8677" t="n">
        <v>0</v>
      </c>
      <c r="AG8677" t="n">
        <v>0</v>
      </c>
      <c r="AH8677" t="n">
        <v>0</v>
      </c>
      <c r="AI8677" t="n">
        <v>0</v>
      </c>
    </row>
    <row r="8678">
      <c r="A8678" t="inlineStr">
        <is>
          <t>12월</t>
        </is>
      </c>
      <c r="B8678" t="inlineStr">
        <is>
          <t>52주차</t>
        </is>
      </c>
      <c r="C8678" t="e">
        <v>#N/A</v>
      </c>
      <c r="K8678" t="n">
        <v>0</v>
      </c>
      <c r="L8678" t="n">
        <v>0</v>
      </c>
      <c r="M8678" t="n">
        <v>0</v>
      </c>
      <c r="AC8678" t="n">
        <v>0</v>
      </c>
      <c r="AD8678" t="n">
        <v>0</v>
      </c>
      <c r="AE8678" t="n">
        <v>0</v>
      </c>
      <c r="AF8678" t="n">
        <v>0</v>
      </c>
      <c r="AG8678" t="n">
        <v>0</v>
      </c>
      <c r="AH8678" t="n">
        <v>0</v>
      </c>
    </row>
    <row r="8679">
      <c r="A8679" t="inlineStr">
        <is>
          <t>12월</t>
        </is>
      </c>
      <c r="B8679" t="inlineStr">
        <is>
          <t>52주차</t>
        </is>
      </c>
      <c r="C8679" t="e">
        <v>#N/A</v>
      </c>
      <c r="K8679" t="n">
        <v>0</v>
      </c>
      <c r="L8679" t="n">
        <v>0</v>
      </c>
      <c r="M8679" t="n">
        <v>0</v>
      </c>
      <c r="AC8679" t="n">
        <v>0</v>
      </c>
      <c r="AD8679" t="n">
        <v>0</v>
      </c>
      <c r="AE8679" t="n">
        <v>0</v>
      </c>
      <c r="AF8679" t="n">
        <v>0</v>
      </c>
      <c r="AG8679" t="n">
        <v>0</v>
      </c>
      <c r="AH8679" t="n">
        <v>0</v>
      </c>
    </row>
    <row r="8680">
      <c r="A8680" t="inlineStr">
        <is>
          <t>12월</t>
        </is>
      </c>
      <c r="B8680" t="inlineStr">
        <is>
          <t>52주차</t>
        </is>
      </c>
      <c r="C8680" t="e">
        <v>#N/A</v>
      </c>
      <c r="K8680" t="n">
        <v>0</v>
      </c>
      <c r="L8680" t="n">
        <v>0</v>
      </c>
      <c r="M8680" t="n">
        <v>0</v>
      </c>
      <c r="AC8680" t="n">
        <v>0</v>
      </c>
      <c r="AD8680" t="n">
        <v>0</v>
      </c>
      <c r="AE8680" t="n">
        <v>0</v>
      </c>
      <c r="AF8680" t="n">
        <v>0</v>
      </c>
      <c r="AG8680" t="n">
        <v>0</v>
      </c>
      <c r="AH8680" t="n">
        <v>0</v>
      </c>
      <c r="AI8680" t="n">
        <v>0</v>
      </c>
    </row>
    <row r="8681">
      <c r="A8681" t="inlineStr">
        <is>
          <t>12월</t>
        </is>
      </c>
      <c r="B8681" t="inlineStr">
        <is>
          <t>52주차</t>
        </is>
      </c>
      <c r="C8681" t="e">
        <v>#N/A</v>
      </c>
      <c r="K8681" t="n">
        <v>0</v>
      </c>
      <c r="L8681" t="n">
        <v>0</v>
      </c>
      <c r="M8681" t="n">
        <v>0</v>
      </c>
      <c r="AC8681" t="n">
        <v>0</v>
      </c>
      <c r="AD8681" t="n">
        <v>0</v>
      </c>
      <c r="AE8681" t="n">
        <v>0</v>
      </c>
      <c r="AF8681" t="n">
        <v>0</v>
      </c>
      <c r="AG8681" t="n">
        <v>0</v>
      </c>
      <c r="AH8681" t="n">
        <v>0</v>
      </c>
      <c r="AI8681" t="n">
        <v>0</v>
      </c>
    </row>
    <row r="8682">
      <c r="A8682" t="inlineStr">
        <is>
          <t>12월</t>
        </is>
      </c>
      <c r="B8682" t="inlineStr">
        <is>
          <t>52주차</t>
        </is>
      </c>
      <c r="C8682" t="e">
        <v>#N/A</v>
      </c>
      <c r="K8682" t="n">
        <v>0</v>
      </c>
      <c r="L8682" t="n">
        <v>0</v>
      </c>
      <c r="M8682" t="n">
        <v>0</v>
      </c>
      <c r="AC8682" t="n">
        <v>0</v>
      </c>
      <c r="AD8682" t="n">
        <v>0</v>
      </c>
      <c r="AE8682" t="n">
        <v>0</v>
      </c>
      <c r="AF8682" t="n">
        <v>0</v>
      </c>
      <c r="AG8682" t="n">
        <v>0</v>
      </c>
      <c r="AH8682" t="n">
        <v>0</v>
      </c>
      <c r="AI8682" t="n">
        <v>0</v>
      </c>
    </row>
    <row r="8683">
      <c r="A8683" t="inlineStr">
        <is>
          <t>12월</t>
        </is>
      </c>
      <c r="B8683" t="inlineStr">
        <is>
          <t>52주차</t>
        </is>
      </c>
      <c r="C8683" t="e">
        <v>#N/A</v>
      </c>
      <c r="K8683" t="n">
        <v>0</v>
      </c>
      <c r="L8683" t="n">
        <v>0</v>
      </c>
      <c r="M8683" t="n">
        <v>0</v>
      </c>
      <c r="AC8683" t="n">
        <v>0</v>
      </c>
      <c r="AD8683" t="n">
        <v>0</v>
      </c>
      <c r="AE8683" t="n">
        <v>0</v>
      </c>
      <c r="AF8683" t="n">
        <v>0</v>
      </c>
      <c r="AG8683" t="n">
        <v>0</v>
      </c>
      <c r="AH8683" t="n">
        <v>0</v>
      </c>
      <c r="AI8683" t="n">
        <v>0</v>
      </c>
    </row>
    <row r="8684">
      <c r="A8684" t="inlineStr">
        <is>
          <t>12월</t>
        </is>
      </c>
      <c r="B8684" t="inlineStr">
        <is>
          <t>52주차</t>
        </is>
      </c>
      <c r="C8684" t="e">
        <v>#N/A</v>
      </c>
      <c r="K8684" t="n">
        <v>0</v>
      </c>
      <c r="L8684" t="n">
        <v>0</v>
      </c>
      <c r="M8684" t="n">
        <v>0</v>
      </c>
      <c r="AC8684" t="n">
        <v>0</v>
      </c>
      <c r="AD8684" t="n">
        <v>0</v>
      </c>
      <c r="AE8684" t="n">
        <v>0</v>
      </c>
      <c r="AF8684" t="n">
        <v>0</v>
      </c>
      <c r="AG8684" t="n">
        <v>0</v>
      </c>
      <c r="AH8684" t="n">
        <v>0</v>
      </c>
    </row>
    <row r="8685">
      <c r="A8685" t="inlineStr">
        <is>
          <t>12월</t>
        </is>
      </c>
      <c r="B8685" t="inlineStr">
        <is>
          <t>52주차</t>
        </is>
      </c>
      <c r="C8685" t="e">
        <v>#N/A</v>
      </c>
      <c r="K8685" t="n">
        <v>0</v>
      </c>
      <c r="L8685" t="n">
        <v>0</v>
      </c>
      <c r="M8685" t="n">
        <v>0</v>
      </c>
      <c r="AC8685" t="n">
        <v>0</v>
      </c>
      <c r="AD8685" t="n">
        <v>0</v>
      </c>
      <c r="AE8685" t="n">
        <v>0</v>
      </c>
      <c r="AF8685" t="n">
        <v>0</v>
      </c>
      <c r="AG8685" t="n">
        <v>0</v>
      </c>
      <c r="AH8685" t="n">
        <v>0</v>
      </c>
      <c r="AI8685" t="n">
        <v>0</v>
      </c>
    </row>
    <row r="8686">
      <c r="A8686" t="inlineStr">
        <is>
          <t>12월</t>
        </is>
      </c>
      <c r="B8686" t="inlineStr">
        <is>
          <t>52주차</t>
        </is>
      </c>
      <c r="C8686" t="e">
        <v>#N/A</v>
      </c>
      <c r="K8686" t="n">
        <v>0</v>
      </c>
      <c r="L8686" t="n">
        <v>0</v>
      </c>
      <c r="M8686" t="n">
        <v>0</v>
      </c>
      <c r="AC8686" t="n">
        <v>0</v>
      </c>
      <c r="AD8686" t="n">
        <v>0</v>
      </c>
      <c r="AE8686" t="n">
        <v>0</v>
      </c>
      <c r="AF8686" t="n">
        <v>0</v>
      </c>
      <c r="AG8686" t="n">
        <v>0</v>
      </c>
      <c r="AH8686" t="n">
        <v>0</v>
      </c>
    </row>
    <row r="8687">
      <c r="A8687" t="inlineStr">
        <is>
          <t>12월</t>
        </is>
      </c>
      <c r="B8687" t="inlineStr">
        <is>
          <t>52주차</t>
        </is>
      </c>
      <c r="C8687" t="e">
        <v>#N/A</v>
      </c>
      <c r="K8687" t="n">
        <v>0</v>
      </c>
      <c r="L8687" t="n">
        <v>0</v>
      </c>
      <c r="M8687" t="n">
        <v>0</v>
      </c>
      <c r="AC8687" t="n">
        <v>0</v>
      </c>
      <c r="AD8687" t="n">
        <v>0</v>
      </c>
      <c r="AE8687" t="n">
        <v>0</v>
      </c>
      <c r="AF8687" t="n">
        <v>0</v>
      </c>
      <c r="AG8687" t="n">
        <v>0</v>
      </c>
      <c r="AH8687" t="n">
        <v>0</v>
      </c>
      <c r="AI8687" t="n">
        <v>0</v>
      </c>
    </row>
    <row r="8688">
      <c r="A8688" t="inlineStr">
        <is>
          <t>12월</t>
        </is>
      </c>
      <c r="B8688" t="inlineStr">
        <is>
          <t>52주차</t>
        </is>
      </c>
      <c r="C8688" t="e">
        <v>#N/A</v>
      </c>
      <c r="K8688" t="n">
        <v>0</v>
      </c>
      <c r="L8688" t="n">
        <v>0</v>
      </c>
      <c r="M8688" t="n">
        <v>0</v>
      </c>
      <c r="AC8688" t="n">
        <v>0</v>
      </c>
      <c r="AD8688" t="n">
        <v>0</v>
      </c>
      <c r="AE8688" t="n">
        <v>0</v>
      </c>
      <c r="AF8688" t="n">
        <v>0</v>
      </c>
      <c r="AG8688" t="n">
        <v>0</v>
      </c>
      <c r="AH8688" t="n">
        <v>0</v>
      </c>
      <c r="AI8688" t="n">
        <v>0</v>
      </c>
    </row>
    <row r="8689">
      <c r="A8689" t="inlineStr">
        <is>
          <t>12월</t>
        </is>
      </c>
      <c r="B8689" t="inlineStr">
        <is>
          <t>52주차</t>
        </is>
      </c>
      <c r="C8689" t="e">
        <v>#N/A</v>
      </c>
      <c r="K8689" t="n">
        <v>0</v>
      </c>
      <c r="L8689" t="n">
        <v>0</v>
      </c>
      <c r="M8689" t="n">
        <v>0</v>
      </c>
      <c r="AC8689" t="n">
        <v>0</v>
      </c>
      <c r="AD8689" t="n">
        <v>0</v>
      </c>
      <c r="AE8689" t="n">
        <v>0</v>
      </c>
      <c r="AF8689" t="n">
        <v>0</v>
      </c>
      <c r="AG8689" t="n">
        <v>0</v>
      </c>
      <c r="AH8689" t="n">
        <v>0</v>
      </c>
      <c r="AI8689" t="n">
        <v>0</v>
      </c>
    </row>
    <row r="8690">
      <c r="A8690" t="inlineStr">
        <is>
          <t>12월</t>
        </is>
      </c>
      <c r="B8690" t="inlineStr">
        <is>
          <t>52주차</t>
        </is>
      </c>
      <c r="C8690" t="e">
        <v>#N/A</v>
      </c>
      <c r="K8690" t="n">
        <v>0</v>
      </c>
      <c r="L8690" t="n">
        <v>0</v>
      </c>
      <c r="M8690" t="n">
        <v>0</v>
      </c>
      <c r="AC8690" t="n">
        <v>0</v>
      </c>
      <c r="AD8690" t="n">
        <v>0</v>
      </c>
      <c r="AE8690" t="n">
        <v>0</v>
      </c>
      <c r="AF8690" t="n">
        <v>0</v>
      </c>
      <c r="AG8690" t="n">
        <v>0</v>
      </c>
      <c r="AH8690" t="n">
        <v>0</v>
      </c>
    </row>
    <row r="8691">
      <c r="A8691" t="inlineStr">
        <is>
          <t>12월</t>
        </is>
      </c>
      <c r="B8691" t="inlineStr">
        <is>
          <t>52주차</t>
        </is>
      </c>
      <c r="C8691" t="e">
        <v>#N/A</v>
      </c>
      <c r="K8691" t="n">
        <v>0</v>
      </c>
      <c r="L8691" t="n">
        <v>0</v>
      </c>
      <c r="M8691" t="n">
        <v>0</v>
      </c>
      <c r="AC8691" t="n">
        <v>0</v>
      </c>
      <c r="AD8691" t="n">
        <v>0</v>
      </c>
      <c r="AE8691" t="n">
        <v>0</v>
      </c>
      <c r="AF8691" t="n">
        <v>0</v>
      </c>
      <c r="AG8691" t="n">
        <v>0</v>
      </c>
      <c r="AH8691" t="n">
        <v>0</v>
      </c>
      <c r="AI8691" t="n">
        <v>0</v>
      </c>
    </row>
    <row r="8692">
      <c r="A8692" t="inlineStr">
        <is>
          <t>12월</t>
        </is>
      </c>
      <c r="B8692" t="inlineStr">
        <is>
          <t>52주차</t>
        </is>
      </c>
      <c r="C8692" t="e">
        <v>#N/A</v>
      </c>
      <c r="K8692" t="n">
        <v>0</v>
      </c>
      <c r="L8692" t="n">
        <v>0</v>
      </c>
      <c r="M8692" t="n">
        <v>0</v>
      </c>
      <c r="AC8692" t="n">
        <v>0</v>
      </c>
      <c r="AD8692" t="n">
        <v>0</v>
      </c>
      <c r="AE8692" t="n">
        <v>0</v>
      </c>
      <c r="AF8692" t="n">
        <v>0</v>
      </c>
      <c r="AG8692" t="n">
        <v>0</v>
      </c>
      <c r="AH8692" t="n">
        <v>0</v>
      </c>
      <c r="AI8692" t="n">
        <v>0</v>
      </c>
    </row>
    <row r="8693">
      <c r="A8693" t="inlineStr">
        <is>
          <t>12월</t>
        </is>
      </c>
      <c r="B8693" t="inlineStr">
        <is>
          <t>52주차</t>
        </is>
      </c>
      <c r="C8693" t="e">
        <v>#N/A</v>
      </c>
      <c r="K8693" t="n">
        <v>0</v>
      </c>
      <c r="L8693" t="n">
        <v>0</v>
      </c>
      <c r="M8693" t="n">
        <v>0</v>
      </c>
      <c r="AC8693" t="n">
        <v>0</v>
      </c>
      <c r="AD8693" t="n">
        <v>0</v>
      </c>
      <c r="AE8693" t="n">
        <v>0</v>
      </c>
      <c r="AF8693" t="n">
        <v>0</v>
      </c>
      <c r="AG8693" t="n">
        <v>0</v>
      </c>
      <c r="AH8693" t="n">
        <v>0</v>
      </c>
      <c r="AI8693" t="n">
        <v>0</v>
      </c>
    </row>
    <row r="8694">
      <c r="A8694" t="inlineStr">
        <is>
          <t>12월</t>
        </is>
      </c>
      <c r="B8694" t="inlineStr">
        <is>
          <t>52주차</t>
        </is>
      </c>
      <c r="C8694" t="e">
        <v>#N/A</v>
      </c>
      <c r="K8694" t="n">
        <v>0</v>
      </c>
      <c r="L8694" t="n">
        <v>0</v>
      </c>
      <c r="M8694" t="n">
        <v>0</v>
      </c>
      <c r="AC8694" t="n">
        <v>0</v>
      </c>
      <c r="AD8694" t="n">
        <v>0</v>
      </c>
      <c r="AE8694" t="n">
        <v>0</v>
      </c>
      <c r="AF8694" t="n">
        <v>0</v>
      </c>
      <c r="AG8694" t="n">
        <v>0</v>
      </c>
      <c r="AH8694" t="n">
        <v>0</v>
      </c>
      <c r="AI8694" t="n">
        <v>0</v>
      </c>
    </row>
    <row r="8695">
      <c r="A8695" t="inlineStr">
        <is>
          <t>12월</t>
        </is>
      </c>
      <c r="B8695" t="inlineStr">
        <is>
          <t>52주차</t>
        </is>
      </c>
      <c r="C8695" t="e">
        <v>#N/A</v>
      </c>
      <c r="K8695" t="n">
        <v>0</v>
      </c>
      <c r="L8695" t="n">
        <v>0</v>
      </c>
      <c r="M8695" t="n">
        <v>0</v>
      </c>
      <c r="AC8695" t="n">
        <v>0</v>
      </c>
      <c r="AD8695" t="n">
        <v>0</v>
      </c>
      <c r="AE8695" t="n">
        <v>0</v>
      </c>
      <c r="AF8695" t="n">
        <v>0</v>
      </c>
      <c r="AG8695" t="n">
        <v>0</v>
      </c>
      <c r="AH8695" t="n">
        <v>0</v>
      </c>
      <c r="AI8695" t="n">
        <v>0</v>
      </c>
    </row>
    <row r="8696">
      <c r="A8696" t="inlineStr">
        <is>
          <t>12월</t>
        </is>
      </c>
      <c r="B8696" t="inlineStr">
        <is>
          <t>52주차</t>
        </is>
      </c>
      <c r="C8696" t="e">
        <v>#N/A</v>
      </c>
      <c r="K8696" t="n">
        <v>0</v>
      </c>
      <c r="L8696" t="n">
        <v>0</v>
      </c>
      <c r="M8696" t="n">
        <v>0</v>
      </c>
      <c r="AC8696" t="n">
        <v>0</v>
      </c>
      <c r="AD8696" t="n">
        <v>0</v>
      </c>
      <c r="AE8696" t="n">
        <v>0</v>
      </c>
      <c r="AF8696" t="n">
        <v>0</v>
      </c>
      <c r="AG8696" t="n">
        <v>0</v>
      </c>
      <c r="AH8696" t="n">
        <v>0</v>
      </c>
      <c r="AI8696" t="n">
        <v>0</v>
      </c>
    </row>
    <row r="8697">
      <c r="A8697" t="inlineStr">
        <is>
          <t>12월</t>
        </is>
      </c>
      <c r="B8697" t="inlineStr">
        <is>
          <t>52주차</t>
        </is>
      </c>
      <c r="C8697" t="e">
        <v>#N/A</v>
      </c>
      <c r="K8697" t="n">
        <v>0</v>
      </c>
      <c r="L8697" t="n">
        <v>0</v>
      </c>
      <c r="M8697" t="n">
        <v>0</v>
      </c>
      <c r="AC8697" t="n">
        <v>0</v>
      </c>
      <c r="AD8697" t="n">
        <v>0</v>
      </c>
      <c r="AE8697" t="n">
        <v>0</v>
      </c>
      <c r="AF8697" t="n">
        <v>0</v>
      </c>
      <c r="AG8697" t="n">
        <v>0</v>
      </c>
      <c r="AH8697" t="n">
        <v>0</v>
      </c>
      <c r="AI8697" t="n">
        <v>0</v>
      </c>
    </row>
    <row r="8698">
      <c r="A8698" t="inlineStr">
        <is>
          <t>12월</t>
        </is>
      </c>
      <c r="B8698" t="inlineStr">
        <is>
          <t>52주차</t>
        </is>
      </c>
      <c r="C8698" t="e">
        <v>#N/A</v>
      </c>
      <c r="K8698" t="n">
        <v>0</v>
      </c>
      <c r="L8698" t="n">
        <v>0</v>
      </c>
      <c r="M8698" t="n">
        <v>0</v>
      </c>
      <c r="AC8698" t="n">
        <v>0</v>
      </c>
      <c r="AD8698" t="n">
        <v>0</v>
      </c>
      <c r="AE8698" t="n">
        <v>0</v>
      </c>
      <c r="AF8698" t="n">
        <v>0</v>
      </c>
      <c r="AG8698" t="n">
        <v>0</v>
      </c>
      <c r="AH8698" t="n">
        <v>0</v>
      </c>
      <c r="AI8698" t="n">
        <v>0</v>
      </c>
    </row>
    <row r="8699">
      <c r="A8699" t="inlineStr">
        <is>
          <t>12월</t>
        </is>
      </c>
      <c r="B8699" t="inlineStr">
        <is>
          <t>52주차</t>
        </is>
      </c>
      <c r="C8699" t="e">
        <v>#N/A</v>
      </c>
      <c r="K8699" t="n">
        <v>0</v>
      </c>
      <c r="L8699" t="n">
        <v>0</v>
      </c>
      <c r="M8699" t="n">
        <v>0</v>
      </c>
      <c r="AC8699" t="n">
        <v>0</v>
      </c>
      <c r="AD8699" t="n">
        <v>0</v>
      </c>
      <c r="AE8699" t="n">
        <v>0</v>
      </c>
      <c r="AF8699" t="n">
        <v>0</v>
      </c>
      <c r="AG8699" t="n">
        <v>0</v>
      </c>
      <c r="AH8699" t="n">
        <v>0</v>
      </c>
      <c r="AI8699" t="n">
        <v>0</v>
      </c>
    </row>
    <row r="8700">
      <c r="A8700" t="inlineStr">
        <is>
          <t>12월</t>
        </is>
      </c>
      <c r="B8700" t="inlineStr">
        <is>
          <t>52주차</t>
        </is>
      </c>
      <c r="C8700" t="e">
        <v>#N/A</v>
      </c>
      <c r="K8700" t="n">
        <v>0</v>
      </c>
      <c r="L8700" t="n">
        <v>0</v>
      </c>
      <c r="M8700" t="n">
        <v>0</v>
      </c>
      <c r="AC8700" t="n">
        <v>0</v>
      </c>
      <c r="AD8700" t="n">
        <v>0</v>
      </c>
      <c r="AE8700" t="n">
        <v>0</v>
      </c>
      <c r="AF8700" t="n">
        <v>0</v>
      </c>
      <c r="AG8700" t="n">
        <v>0</v>
      </c>
      <c r="AH8700" t="n">
        <v>0</v>
      </c>
      <c r="AI8700" t="n">
        <v>0</v>
      </c>
    </row>
    <row r="8701">
      <c r="A8701" t="inlineStr">
        <is>
          <t>12월</t>
        </is>
      </c>
      <c r="B8701" t="inlineStr">
        <is>
          <t>52주차</t>
        </is>
      </c>
      <c r="C8701" t="e">
        <v>#N/A</v>
      </c>
      <c r="K8701" t="n">
        <v>0</v>
      </c>
      <c r="L8701" t="n">
        <v>0</v>
      </c>
      <c r="M8701" t="n">
        <v>0</v>
      </c>
      <c r="AC8701" t="n">
        <v>0</v>
      </c>
      <c r="AD8701" t="n">
        <v>0</v>
      </c>
      <c r="AE8701" t="n">
        <v>0</v>
      </c>
      <c r="AF8701" t="n">
        <v>0</v>
      </c>
      <c r="AG8701" t="n">
        <v>0</v>
      </c>
      <c r="AH8701" t="n">
        <v>0</v>
      </c>
      <c r="AI8701" t="n">
        <v>0</v>
      </c>
    </row>
    <row r="8702">
      <c r="A8702" t="inlineStr">
        <is>
          <t>12월</t>
        </is>
      </c>
      <c r="B8702" t="inlineStr">
        <is>
          <t>52주차</t>
        </is>
      </c>
      <c r="C8702" t="e">
        <v>#N/A</v>
      </c>
      <c r="K8702" t="n">
        <v>0</v>
      </c>
      <c r="L8702" t="n">
        <v>0</v>
      </c>
      <c r="M8702" t="n">
        <v>0</v>
      </c>
      <c r="AC8702" t="n">
        <v>0</v>
      </c>
      <c r="AD8702" t="n">
        <v>0</v>
      </c>
      <c r="AE8702" t="n">
        <v>0</v>
      </c>
      <c r="AF8702" t="n">
        <v>0</v>
      </c>
      <c r="AG8702" t="n">
        <v>0</v>
      </c>
      <c r="AH8702" t="n">
        <v>0</v>
      </c>
      <c r="AI8702" t="n">
        <v>0</v>
      </c>
    </row>
    <row r="8703">
      <c r="A8703" t="inlineStr">
        <is>
          <t>12월</t>
        </is>
      </c>
      <c r="B8703" t="inlineStr">
        <is>
          <t>52주차</t>
        </is>
      </c>
      <c r="C8703" t="e">
        <v>#N/A</v>
      </c>
      <c r="K8703" t="n">
        <v>0</v>
      </c>
      <c r="L8703" t="n">
        <v>0</v>
      </c>
      <c r="M8703" t="n">
        <v>0</v>
      </c>
      <c r="AC8703" t="n">
        <v>0</v>
      </c>
      <c r="AD8703" t="n">
        <v>0</v>
      </c>
      <c r="AE8703" t="n">
        <v>0</v>
      </c>
      <c r="AF8703" t="n">
        <v>0</v>
      </c>
      <c r="AG8703" t="n">
        <v>0</v>
      </c>
      <c r="AH8703" t="n">
        <v>0</v>
      </c>
      <c r="AI8703" t="n">
        <v>0</v>
      </c>
    </row>
    <row r="8704">
      <c r="A8704" t="inlineStr">
        <is>
          <t>12월</t>
        </is>
      </c>
      <c r="B8704" t="inlineStr">
        <is>
          <t>52주차</t>
        </is>
      </c>
      <c r="C8704" t="e">
        <v>#N/A</v>
      </c>
      <c r="K8704" t="n">
        <v>0</v>
      </c>
      <c r="L8704" t="n">
        <v>0</v>
      </c>
      <c r="M8704" t="n">
        <v>0</v>
      </c>
      <c r="AC8704" t="n">
        <v>0</v>
      </c>
      <c r="AD8704" t="n">
        <v>0</v>
      </c>
      <c r="AE8704" t="n">
        <v>0</v>
      </c>
      <c r="AF8704" t="n">
        <v>0</v>
      </c>
      <c r="AG8704" t="n">
        <v>0</v>
      </c>
      <c r="AH8704" t="n">
        <v>0</v>
      </c>
      <c r="AI8704" t="n">
        <v>0</v>
      </c>
    </row>
    <row r="8705">
      <c r="A8705" t="inlineStr">
        <is>
          <t>12월</t>
        </is>
      </c>
      <c r="B8705" t="inlineStr">
        <is>
          <t>52주차</t>
        </is>
      </c>
      <c r="C8705" t="e">
        <v>#N/A</v>
      </c>
      <c r="K8705" t="n">
        <v>0</v>
      </c>
      <c r="L8705" t="n">
        <v>0</v>
      </c>
      <c r="M8705" t="n">
        <v>0</v>
      </c>
      <c r="AC8705" t="n">
        <v>0</v>
      </c>
      <c r="AD8705" t="n">
        <v>0</v>
      </c>
      <c r="AE8705" t="n">
        <v>0</v>
      </c>
      <c r="AF8705" t="n">
        <v>0</v>
      </c>
      <c r="AG8705" t="n">
        <v>0</v>
      </c>
      <c r="AH8705" t="n">
        <v>0</v>
      </c>
      <c r="AI8705" t="n">
        <v>0</v>
      </c>
    </row>
    <row r="8706">
      <c r="A8706" t="inlineStr">
        <is>
          <t>12월</t>
        </is>
      </c>
      <c r="B8706" t="inlineStr">
        <is>
          <t>52주차</t>
        </is>
      </c>
      <c r="C8706" t="e">
        <v>#N/A</v>
      </c>
      <c r="K8706" t="n">
        <v>0</v>
      </c>
      <c r="L8706" t="n">
        <v>0</v>
      </c>
      <c r="M8706" t="n">
        <v>0</v>
      </c>
      <c r="AC8706" t="n">
        <v>0</v>
      </c>
      <c r="AD8706" t="n">
        <v>0</v>
      </c>
      <c r="AE8706" t="n">
        <v>0</v>
      </c>
      <c r="AF8706" t="n">
        <v>0</v>
      </c>
      <c r="AG8706" t="n">
        <v>0</v>
      </c>
      <c r="AH8706" t="n">
        <v>0</v>
      </c>
      <c r="AI8706" t="n">
        <v>0</v>
      </c>
    </row>
    <row r="8707">
      <c r="A8707" t="inlineStr">
        <is>
          <t>12월</t>
        </is>
      </c>
      <c r="B8707" t="inlineStr">
        <is>
          <t>52주차</t>
        </is>
      </c>
      <c r="C8707" t="e">
        <v>#N/A</v>
      </c>
      <c r="K8707" t="n">
        <v>0</v>
      </c>
      <c r="L8707" t="n">
        <v>0</v>
      </c>
      <c r="M8707" t="n">
        <v>0</v>
      </c>
      <c r="AC8707" t="n">
        <v>0</v>
      </c>
      <c r="AD8707" t="n">
        <v>0</v>
      </c>
      <c r="AE8707" t="n">
        <v>0</v>
      </c>
      <c r="AF8707" t="n">
        <v>0</v>
      </c>
      <c r="AG8707" t="n">
        <v>0</v>
      </c>
      <c r="AH8707" t="n">
        <v>0</v>
      </c>
      <c r="AI8707" t="n">
        <v>0</v>
      </c>
    </row>
    <row r="8708">
      <c r="A8708" t="inlineStr">
        <is>
          <t>12월</t>
        </is>
      </c>
      <c r="B8708" t="inlineStr">
        <is>
          <t>52주차</t>
        </is>
      </c>
      <c r="C8708" t="e">
        <v>#N/A</v>
      </c>
      <c r="K8708" t="n">
        <v>0</v>
      </c>
      <c r="L8708" t="n">
        <v>0</v>
      </c>
      <c r="M8708" t="n">
        <v>0</v>
      </c>
      <c r="AC8708" t="n">
        <v>0</v>
      </c>
      <c r="AD8708" t="n">
        <v>0</v>
      </c>
      <c r="AE8708" t="n">
        <v>0</v>
      </c>
      <c r="AF8708" t="n">
        <v>0</v>
      </c>
      <c r="AG8708" t="n">
        <v>0</v>
      </c>
      <c r="AH8708" t="n">
        <v>0</v>
      </c>
      <c r="AI8708" t="n">
        <v>0</v>
      </c>
    </row>
    <row r="8709">
      <c r="A8709" t="inlineStr">
        <is>
          <t>12월</t>
        </is>
      </c>
      <c r="B8709" t="inlineStr">
        <is>
          <t>52주차</t>
        </is>
      </c>
      <c r="C8709" t="e">
        <v>#N/A</v>
      </c>
      <c r="K8709" t="n">
        <v>0</v>
      </c>
      <c r="L8709" t="n">
        <v>0</v>
      </c>
      <c r="M8709" t="n">
        <v>0</v>
      </c>
      <c r="AC8709" t="n">
        <v>0</v>
      </c>
      <c r="AD8709" t="n">
        <v>0</v>
      </c>
      <c r="AE8709" t="n">
        <v>0</v>
      </c>
      <c r="AF8709" t="n">
        <v>0</v>
      </c>
      <c r="AG8709" t="n">
        <v>0</v>
      </c>
      <c r="AH8709" t="n">
        <v>0</v>
      </c>
      <c r="AI8709" t="n">
        <v>0</v>
      </c>
    </row>
    <row r="8710">
      <c r="A8710" t="inlineStr">
        <is>
          <t>12월</t>
        </is>
      </c>
      <c r="B8710" t="inlineStr">
        <is>
          <t>52주차</t>
        </is>
      </c>
      <c r="C8710" t="e">
        <v>#N/A</v>
      </c>
      <c r="K8710" t="n">
        <v>0</v>
      </c>
      <c r="L8710" t="n">
        <v>0</v>
      </c>
      <c r="M8710" t="n">
        <v>0</v>
      </c>
      <c r="AC8710" t="n">
        <v>0</v>
      </c>
      <c r="AD8710" t="n">
        <v>0</v>
      </c>
      <c r="AE8710" t="n">
        <v>0</v>
      </c>
      <c r="AF8710" t="n">
        <v>0</v>
      </c>
      <c r="AG8710" t="n">
        <v>0</v>
      </c>
      <c r="AH8710" t="n">
        <v>0</v>
      </c>
      <c r="AI8710" t="n">
        <v>0</v>
      </c>
    </row>
    <row r="8711">
      <c r="A8711" t="inlineStr">
        <is>
          <t>12월</t>
        </is>
      </c>
      <c r="B8711" t="inlineStr">
        <is>
          <t>52주차</t>
        </is>
      </c>
      <c r="C8711" t="e">
        <v>#N/A</v>
      </c>
      <c r="K8711" t="n">
        <v>0</v>
      </c>
      <c r="L8711" t="n">
        <v>0</v>
      </c>
      <c r="M8711" t="n">
        <v>0</v>
      </c>
      <c r="AC8711" t="n">
        <v>0</v>
      </c>
      <c r="AD8711" t="n">
        <v>0</v>
      </c>
      <c r="AE8711" t="n">
        <v>0</v>
      </c>
      <c r="AF8711" t="n">
        <v>0</v>
      </c>
      <c r="AG8711" t="n">
        <v>0</v>
      </c>
      <c r="AH8711" t="n">
        <v>0</v>
      </c>
      <c r="AI8711" t="n">
        <v>0</v>
      </c>
    </row>
    <row r="8712">
      <c r="A8712" t="inlineStr">
        <is>
          <t>12월</t>
        </is>
      </c>
      <c r="B8712" t="inlineStr">
        <is>
          <t>52주차</t>
        </is>
      </c>
      <c r="C8712" t="e">
        <v>#N/A</v>
      </c>
      <c r="K8712" t="n">
        <v>0</v>
      </c>
      <c r="L8712" t="n">
        <v>0</v>
      </c>
      <c r="M8712" t="n">
        <v>0</v>
      </c>
      <c r="AC8712" t="n">
        <v>0</v>
      </c>
      <c r="AD8712" t="n">
        <v>0</v>
      </c>
      <c r="AE8712" t="n">
        <v>0</v>
      </c>
      <c r="AF8712" t="n">
        <v>0</v>
      </c>
      <c r="AG8712" t="n">
        <v>0</v>
      </c>
      <c r="AH8712" t="n">
        <v>0</v>
      </c>
      <c r="AI8712" t="n">
        <v>0</v>
      </c>
    </row>
    <row r="8713">
      <c r="A8713" t="inlineStr">
        <is>
          <t>12월</t>
        </is>
      </c>
      <c r="B8713" t="inlineStr">
        <is>
          <t>52주차</t>
        </is>
      </c>
      <c r="C8713" t="e">
        <v>#N/A</v>
      </c>
      <c r="K8713" t="n">
        <v>0</v>
      </c>
      <c r="L8713" t="n">
        <v>0</v>
      </c>
      <c r="M8713" t="n">
        <v>0</v>
      </c>
      <c r="AC8713" t="n">
        <v>0</v>
      </c>
      <c r="AD8713" t="n">
        <v>0</v>
      </c>
      <c r="AE8713" t="n">
        <v>0</v>
      </c>
      <c r="AF8713" t="n">
        <v>0</v>
      </c>
      <c r="AG8713" t="n">
        <v>0</v>
      </c>
      <c r="AH8713" t="n">
        <v>0</v>
      </c>
      <c r="AI8713" t="n">
        <v>0</v>
      </c>
    </row>
    <row r="8714">
      <c r="A8714" t="inlineStr">
        <is>
          <t>12월</t>
        </is>
      </c>
      <c r="B8714" t="inlineStr">
        <is>
          <t>52주차</t>
        </is>
      </c>
      <c r="C8714" t="e">
        <v>#N/A</v>
      </c>
      <c r="K8714" t="n">
        <v>0</v>
      </c>
      <c r="L8714" t="n">
        <v>0</v>
      </c>
      <c r="M8714" t="n">
        <v>0</v>
      </c>
      <c r="AC8714" t="n">
        <v>0</v>
      </c>
      <c r="AD8714" t="n">
        <v>0</v>
      </c>
      <c r="AE8714" t="n">
        <v>0</v>
      </c>
      <c r="AF8714" t="n">
        <v>0</v>
      </c>
      <c r="AG8714" t="n">
        <v>0</v>
      </c>
      <c r="AH8714" t="n">
        <v>0</v>
      </c>
      <c r="AI8714" t="n">
        <v>0</v>
      </c>
    </row>
    <row r="8715">
      <c r="A8715" t="inlineStr">
        <is>
          <t>12월</t>
        </is>
      </c>
      <c r="B8715" t="inlineStr">
        <is>
          <t>52주차</t>
        </is>
      </c>
      <c r="C8715" t="e">
        <v>#N/A</v>
      </c>
      <c r="K8715" t="n">
        <v>0</v>
      </c>
      <c r="L8715" t="n">
        <v>0</v>
      </c>
      <c r="M8715" t="n">
        <v>0</v>
      </c>
      <c r="AC8715" t="n">
        <v>0</v>
      </c>
      <c r="AD8715" t="n">
        <v>0</v>
      </c>
      <c r="AE8715" t="n">
        <v>0</v>
      </c>
      <c r="AF8715" t="n">
        <v>0</v>
      </c>
      <c r="AG8715" t="n">
        <v>0</v>
      </c>
      <c r="AH8715" t="n">
        <v>0</v>
      </c>
      <c r="AI8715" t="n">
        <v>0</v>
      </c>
    </row>
    <row r="8716">
      <c r="A8716" t="inlineStr">
        <is>
          <t>12월</t>
        </is>
      </c>
      <c r="B8716" t="inlineStr">
        <is>
          <t>52주차</t>
        </is>
      </c>
      <c r="C8716" t="e">
        <v>#N/A</v>
      </c>
      <c r="K8716" t="n">
        <v>0</v>
      </c>
      <c r="L8716" t="n">
        <v>0</v>
      </c>
      <c r="M8716" t="n">
        <v>0</v>
      </c>
      <c r="AC8716" t="n">
        <v>0</v>
      </c>
      <c r="AD8716" t="n">
        <v>0</v>
      </c>
      <c r="AE8716" t="n">
        <v>0</v>
      </c>
      <c r="AF8716" t="n">
        <v>0</v>
      </c>
      <c r="AG8716" t="n">
        <v>0</v>
      </c>
      <c r="AH8716" t="n">
        <v>0</v>
      </c>
      <c r="AI8716" t="n">
        <v>0</v>
      </c>
    </row>
    <row r="8717">
      <c r="A8717" t="inlineStr">
        <is>
          <t>12월</t>
        </is>
      </c>
      <c r="B8717" t="inlineStr">
        <is>
          <t>52주차</t>
        </is>
      </c>
      <c r="C8717" t="e">
        <v>#N/A</v>
      </c>
      <c r="K8717" t="n">
        <v>0</v>
      </c>
      <c r="L8717" t="n">
        <v>0</v>
      </c>
      <c r="M8717" t="n">
        <v>0</v>
      </c>
      <c r="AC8717" t="n">
        <v>0</v>
      </c>
      <c r="AD8717" t="n">
        <v>0</v>
      </c>
      <c r="AE8717" t="n">
        <v>0</v>
      </c>
      <c r="AF8717" t="n">
        <v>0</v>
      </c>
      <c r="AG8717" t="n">
        <v>0</v>
      </c>
      <c r="AH8717" t="n">
        <v>0</v>
      </c>
      <c r="AI8717" t="n">
        <v>0</v>
      </c>
    </row>
    <row r="8718">
      <c r="A8718" t="inlineStr">
        <is>
          <t>12월</t>
        </is>
      </c>
      <c r="B8718" t="inlineStr">
        <is>
          <t>52주차</t>
        </is>
      </c>
      <c r="C8718" t="e">
        <v>#N/A</v>
      </c>
      <c r="K8718" t="n">
        <v>0</v>
      </c>
      <c r="L8718" t="n">
        <v>0</v>
      </c>
      <c r="M8718" t="n">
        <v>0</v>
      </c>
      <c r="AC8718" t="n">
        <v>0</v>
      </c>
      <c r="AD8718" t="n">
        <v>0</v>
      </c>
      <c r="AE8718" t="n">
        <v>0</v>
      </c>
      <c r="AF8718" t="n">
        <v>0</v>
      </c>
      <c r="AG8718" t="n">
        <v>0</v>
      </c>
      <c r="AH8718" t="n">
        <v>0</v>
      </c>
      <c r="AI8718" t="n">
        <v>0</v>
      </c>
    </row>
    <row r="8719">
      <c r="A8719" t="inlineStr">
        <is>
          <t>12월</t>
        </is>
      </c>
      <c r="B8719" t="inlineStr">
        <is>
          <t>52주차</t>
        </is>
      </c>
      <c r="C8719" t="e">
        <v>#N/A</v>
      </c>
      <c r="K8719" t="n">
        <v>0</v>
      </c>
      <c r="L8719" t="n">
        <v>0</v>
      </c>
      <c r="M8719" t="n">
        <v>0</v>
      </c>
      <c r="AC8719" t="n">
        <v>0</v>
      </c>
      <c r="AD8719" t="n">
        <v>0</v>
      </c>
      <c r="AE8719" t="n">
        <v>0</v>
      </c>
      <c r="AF8719" t="n">
        <v>0</v>
      </c>
      <c r="AG8719" t="n">
        <v>0</v>
      </c>
      <c r="AH8719" t="n">
        <v>0</v>
      </c>
      <c r="AI8719" t="n">
        <v>0</v>
      </c>
    </row>
    <row r="8720">
      <c r="A8720" t="inlineStr">
        <is>
          <t>12월</t>
        </is>
      </c>
      <c r="B8720" t="inlineStr">
        <is>
          <t>52주차</t>
        </is>
      </c>
      <c r="C8720" t="e">
        <v>#N/A</v>
      </c>
      <c r="K8720" t="n">
        <v>0</v>
      </c>
      <c r="L8720" t="n">
        <v>0</v>
      </c>
      <c r="M8720" t="n">
        <v>0</v>
      </c>
      <c r="AC8720" t="n">
        <v>0</v>
      </c>
      <c r="AD8720" t="n">
        <v>0</v>
      </c>
      <c r="AE8720" t="n">
        <v>0</v>
      </c>
      <c r="AF8720" t="n">
        <v>0</v>
      </c>
      <c r="AG8720" t="n">
        <v>0</v>
      </c>
      <c r="AH8720" t="n">
        <v>0</v>
      </c>
      <c r="AI8720" t="n">
        <v>0</v>
      </c>
    </row>
    <row r="8721">
      <c r="A8721" t="inlineStr">
        <is>
          <t>12월</t>
        </is>
      </c>
      <c r="B8721" t="inlineStr">
        <is>
          <t>52주차</t>
        </is>
      </c>
      <c r="C8721" t="e">
        <v>#N/A</v>
      </c>
      <c r="K8721" t="n">
        <v>0</v>
      </c>
      <c r="L8721" t="n">
        <v>0</v>
      </c>
      <c r="M8721" t="n">
        <v>0</v>
      </c>
      <c r="AC8721" t="n">
        <v>0</v>
      </c>
      <c r="AD8721" t="n">
        <v>0</v>
      </c>
      <c r="AE8721" t="n">
        <v>0</v>
      </c>
      <c r="AF8721" t="n">
        <v>0</v>
      </c>
      <c r="AG8721" t="n">
        <v>0</v>
      </c>
      <c r="AH8721" t="n">
        <v>0</v>
      </c>
      <c r="AI8721" t="n">
        <v>0</v>
      </c>
    </row>
    <row r="8722">
      <c r="A8722" t="inlineStr">
        <is>
          <t>12월</t>
        </is>
      </c>
      <c r="B8722" t="inlineStr">
        <is>
          <t>52주차</t>
        </is>
      </c>
      <c r="C8722" t="e">
        <v>#N/A</v>
      </c>
      <c r="K8722" t="n">
        <v>0</v>
      </c>
      <c r="L8722" t="n">
        <v>0</v>
      </c>
      <c r="M8722" t="n">
        <v>0</v>
      </c>
      <c r="AC8722" t="n">
        <v>0</v>
      </c>
      <c r="AD8722" t="n">
        <v>0</v>
      </c>
      <c r="AE8722" t="n">
        <v>0</v>
      </c>
      <c r="AF8722" t="n">
        <v>0</v>
      </c>
      <c r="AG8722" t="n">
        <v>0</v>
      </c>
      <c r="AH8722" t="n">
        <v>0</v>
      </c>
      <c r="AI8722" t="n">
        <v>0</v>
      </c>
    </row>
    <row r="8723">
      <c r="A8723" t="inlineStr">
        <is>
          <t>12월</t>
        </is>
      </c>
      <c r="B8723" t="inlineStr">
        <is>
          <t>52주차</t>
        </is>
      </c>
      <c r="C8723" t="e">
        <v>#N/A</v>
      </c>
      <c r="K8723" t="n">
        <v>0</v>
      </c>
      <c r="L8723" t="n">
        <v>0</v>
      </c>
      <c r="M8723" t="n">
        <v>0</v>
      </c>
      <c r="AC8723" t="n">
        <v>0</v>
      </c>
      <c r="AD8723" t="n">
        <v>0</v>
      </c>
      <c r="AE8723" t="n">
        <v>0</v>
      </c>
      <c r="AF8723" t="n">
        <v>0</v>
      </c>
      <c r="AG8723" t="n">
        <v>0</v>
      </c>
      <c r="AH8723" t="n">
        <v>0</v>
      </c>
      <c r="AI8723" t="n">
        <v>0</v>
      </c>
    </row>
    <row r="8724">
      <c r="A8724" t="inlineStr">
        <is>
          <t>12월</t>
        </is>
      </c>
      <c r="B8724" t="inlineStr">
        <is>
          <t>52주차</t>
        </is>
      </c>
      <c r="C8724" t="e">
        <v>#N/A</v>
      </c>
      <c r="K8724" t="n">
        <v>0</v>
      </c>
      <c r="L8724" t="n">
        <v>0</v>
      </c>
      <c r="M8724" t="n">
        <v>0</v>
      </c>
      <c r="AC8724" t="n">
        <v>0</v>
      </c>
      <c r="AD8724" t="n">
        <v>0</v>
      </c>
      <c r="AE8724" t="n">
        <v>0</v>
      </c>
      <c r="AF8724" t="n">
        <v>0</v>
      </c>
      <c r="AG8724" t="n">
        <v>0</v>
      </c>
      <c r="AH8724" t="n">
        <v>0</v>
      </c>
      <c r="AI8724" t="n">
        <v>0</v>
      </c>
    </row>
    <row r="8725">
      <c r="A8725" t="inlineStr">
        <is>
          <t>12월</t>
        </is>
      </c>
      <c r="B8725" t="inlineStr">
        <is>
          <t>52주차</t>
        </is>
      </c>
      <c r="C8725" t="e">
        <v>#N/A</v>
      </c>
      <c r="K8725" t="n">
        <v>0</v>
      </c>
      <c r="L8725" t="n">
        <v>0</v>
      </c>
      <c r="M8725" t="n">
        <v>0</v>
      </c>
      <c r="AC8725" t="n">
        <v>0</v>
      </c>
      <c r="AD8725" t="n">
        <v>0</v>
      </c>
      <c r="AE8725" t="n">
        <v>0</v>
      </c>
      <c r="AF8725" t="n">
        <v>0</v>
      </c>
      <c r="AG8725" t="n">
        <v>0</v>
      </c>
      <c r="AH8725" t="n">
        <v>0</v>
      </c>
    </row>
    <row r="8726">
      <c r="A8726" t="inlineStr">
        <is>
          <t>12월</t>
        </is>
      </c>
      <c r="B8726" t="inlineStr">
        <is>
          <t>52주차</t>
        </is>
      </c>
      <c r="C8726" t="e">
        <v>#N/A</v>
      </c>
      <c r="K8726" t="n">
        <v>0</v>
      </c>
      <c r="L8726" t="n">
        <v>0</v>
      </c>
      <c r="M8726" t="n">
        <v>0</v>
      </c>
      <c r="AC8726" t="n">
        <v>0</v>
      </c>
      <c r="AD8726" t="n">
        <v>0</v>
      </c>
      <c r="AE8726" t="n">
        <v>0</v>
      </c>
      <c r="AF8726" t="n">
        <v>0</v>
      </c>
      <c r="AG8726" t="n">
        <v>0</v>
      </c>
      <c r="AH8726" t="n">
        <v>0</v>
      </c>
      <c r="AI8726" t="n">
        <v>0</v>
      </c>
    </row>
    <row r="8727">
      <c r="A8727" t="inlineStr">
        <is>
          <t>12월</t>
        </is>
      </c>
      <c r="B8727" t="inlineStr">
        <is>
          <t>52주차</t>
        </is>
      </c>
      <c r="C8727" t="e">
        <v>#N/A</v>
      </c>
      <c r="K8727" t="n">
        <v>0</v>
      </c>
      <c r="L8727" t="n">
        <v>0</v>
      </c>
      <c r="M8727" t="n">
        <v>0</v>
      </c>
      <c r="AC8727" t="n">
        <v>0</v>
      </c>
      <c r="AD8727" t="n">
        <v>0</v>
      </c>
      <c r="AE8727" t="n">
        <v>0</v>
      </c>
      <c r="AF8727" t="n">
        <v>0</v>
      </c>
      <c r="AG8727" t="n">
        <v>0</v>
      </c>
      <c r="AH8727" t="n">
        <v>0</v>
      </c>
    </row>
    <row r="8728">
      <c r="A8728" t="inlineStr">
        <is>
          <t>12월</t>
        </is>
      </c>
      <c r="B8728" t="inlineStr">
        <is>
          <t>52주차</t>
        </is>
      </c>
      <c r="C8728" t="e">
        <v>#N/A</v>
      </c>
      <c r="K8728" t="n">
        <v>0</v>
      </c>
      <c r="L8728" t="n">
        <v>0</v>
      </c>
      <c r="M8728" t="n">
        <v>0</v>
      </c>
      <c r="AC8728" t="n">
        <v>0</v>
      </c>
      <c r="AD8728" t="n">
        <v>0</v>
      </c>
      <c r="AE8728" t="n">
        <v>0</v>
      </c>
      <c r="AF8728" t="n">
        <v>0</v>
      </c>
      <c r="AG8728" t="n">
        <v>0</v>
      </c>
      <c r="AH8728" t="n">
        <v>0</v>
      </c>
      <c r="AI8728" t="n">
        <v>0</v>
      </c>
    </row>
    <row r="8729">
      <c r="A8729" t="inlineStr">
        <is>
          <t>12월</t>
        </is>
      </c>
      <c r="B8729" t="inlineStr">
        <is>
          <t>52주차</t>
        </is>
      </c>
      <c r="C8729" t="e">
        <v>#N/A</v>
      </c>
      <c r="K8729" t="n">
        <v>0</v>
      </c>
      <c r="L8729" t="n">
        <v>0</v>
      </c>
      <c r="M8729" t="n">
        <v>0</v>
      </c>
      <c r="AC8729" t="n">
        <v>0</v>
      </c>
      <c r="AD8729" t="n">
        <v>0</v>
      </c>
      <c r="AE8729" t="n">
        <v>0</v>
      </c>
      <c r="AF8729" t="n">
        <v>0</v>
      </c>
      <c r="AG8729" t="n">
        <v>0</v>
      </c>
      <c r="AH8729" t="n">
        <v>0</v>
      </c>
      <c r="AI8729" t="n">
        <v>0</v>
      </c>
    </row>
    <row r="8730">
      <c r="A8730" t="inlineStr">
        <is>
          <t>12월</t>
        </is>
      </c>
      <c r="B8730" t="inlineStr">
        <is>
          <t>52주차</t>
        </is>
      </c>
      <c r="C8730" t="e">
        <v>#N/A</v>
      </c>
      <c r="K8730" t="n">
        <v>0</v>
      </c>
      <c r="L8730" t="n">
        <v>0</v>
      </c>
      <c r="M8730" t="n">
        <v>0</v>
      </c>
      <c r="AC8730" t="n">
        <v>0</v>
      </c>
      <c r="AD8730" t="n">
        <v>0</v>
      </c>
      <c r="AE8730" t="n">
        <v>0</v>
      </c>
      <c r="AF8730" t="n">
        <v>0</v>
      </c>
      <c r="AG8730" t="n">
        <v>0</v>
      </c>
      <c r="AH8730" t="n">
        <v>0</v>
      </c>
      <c r="AI8730" t="n">
        <v>0</v>
      </c>
    </row>
    <row r="8731">
      <c r="A8731" t="inlineStr">
        <is>
          <t>12월</t>
        </is>
      </c>
      <c r="B8731" t="inlineStr">
        <is>
          <t>52주차</t>
        </is>
      </c>
      <c r="C8731" t="e">
        <v>#N/A</v>
      </c>
      <c r="K8731" t="n">
        <v>0</v>
      </c>
      <c r="L8731" t="n">
        <v>0</v>
      </c>
      <c r="M8731" t="n">
        <v>0</v>
      </c>
      <c r="AC8731" t="n">
        <v>0</v>
      </c>
      <c r="AD8731" t="n">
        <v>0</v>
      </c>
      <c r="AE8731" t="n">
        <v>0</v>
      </c>
      <c r="AF8731" t="n">
        <v>0</v>
      </c>
      <c r="AG8731" t="n">
        <v>0</v>
      </c>
      <c r="AH8731" t="n">
        <v>0</v>
      </c>
    </row>
    <row r="8732">
      <c r="A8732" t="inlineStr">
        <is>
          <t>12월</t>
        </is>
      </c>
      <c r="B8732" t="inlineStr">
        <is>
          <t>52주차</t>
        </is>
      </c>
      <c r="C8732" t="e">
        <v>#N/A</v>
      </c>
      <c r="K8732" t="n">
        <v>0</v>
      </c>
      <c r="L8732" t="n">
        <v>0</v>
      </c>
      <c r="M8732" t="n">
        <v>0</v>
      </c>
      <c r="AC8732" t="n">
        <v>0</v>
      </c>
      <c r="AD8732" t="n">
        <v>0</v>
      </c>
      <c r="AE8732" t="n">
        <v>0</v>
      </c>
      <c r="AF8732" t="n">
        <v>0</v>
      </c>
      <c r="AG8732" t="n">
        <v>0</v>
      </c>
      <c r="AH8732" t="n">
        <v>0</v>
      </c>
      <c r="AI8732" t="n">
        <v>0</v>
      </c>
    </row>
    <row r="8733">
      <c r="A8733" t="inlineStr">
        <is>
          <t>12월</t>
        </is>
      </c>
      <c r="B8733" t="inlineStr">
        <is>
          <t>52주차</t>
        </is>
      </c>
      <c r="C8733" t="e">
        <v>#N/A</v>
      </c>
      <c r="K8733" t="n">
        <v>0</v>
      </c>
      <c r="L8733" t="n">
        <v>0</v>
      </c>
      <c r="M8733" t="n">
        <v>0</v>
      </c>
      <c r="AC8733" t="n">
        <v>0</v>
      </c>
      <c r="AD8733" t="n">
        <v>0</v>
      </c>
      <c r="AE8733" t="n">
        <v>0</v>
      </c>
      <c r="AF8733" t="n">
        <v>0</v>
      </c>
      <c r="AG8733" t="n">
        <v>0</v>
      </c>
      <c r="AH8733" t="n">
        <v>0</v>
      </c>
      <c r="AI8733" t="n">
        <v>0</v>
      </c>
    </row>
    <row r="8734">
      <c r="A8734" t="inlineStr">
        <is>
          <t>12월</t>
        </is>
      </c>
      <c r="B8734" t="inlineStr">
        <is>
          <t>52주차</t>
        </is>
      </c>
      <c r="C8734" t="e">
        <v>#N/A</v>
      </c>
      <c r="K8734" t="n">
        <v>0</v>
      </c>
      <c r="L8734" t="n">
        <v>0</v>
      </c>
      <c r="M8734" t="n">
        <v>0</v>
      </c>
      <c r="AC8734" t="n">
        <v>0</v>
      </c>
      <c r="AD8734" t="n">
        <v>0</v>
      </c>
      <c r="AE8734" t="n">
        <v>0</v>
      </c>
      <c r="AF8734" t="n">
        <v>0</v>
      </c>
      <c r="AG8734" t="n">
        <v>0</v>
      </c>
      <c r="AH8734" t="n">
        <v>0</v>
      </c>
      <c r="AI8734" t="n">
        <v>0</v>
      </c>
    </row>
    <row r="8735">
      <c r="A8735" t="inlineStr">
        <is>
          <t>12월</t>
        </is>
      </c>
      <c r="B8735" t="inlineStr">
        <is>
          <t>52주차</t>
        </is>
      </c>
      <c r="C8735" t="e">
        <v>#N/A</v>
      </c>
      <c r="K8735" t="n">
        <v>0</v>
      </c>
      <c r="L8735" t="n">
        <v>0</v>
      </c>
      <c r="M8735" t="n">
        <v>0</v>
      </c>
      <c r="AC8735" t="n">
        <v>0</v>
      </c>
      <c r="AD8735" t="n">
        <v>0</v>
      </c>
      <c r="AE8735" t="n">
        <v>0</v>
      </c>
      <c r="AF8735" t="n">
        <v>0</v>
      </c>
      <c r="AG8735" t="n">
        <v>0</v>
      </c>
      <c r="AH8735" t="n">
        <v>0</v>
      </c>
    </row>
    <row r="8736">
      <c r="A8736" t="inlineStr">
        <is>
          <t>12월</t>
        </is>
      </c>
      <c r="B8736" t="inlineStr">
        <is>
          <t>52주차</t>
        </is>
      </c>
      <c r="C8736" t="e">
        <v>#N/A</v>
      </c>
      <c r="K8736" t="n">
        <v>0</v>
      </c>
      <c r="L8736" t="n">
        <v>0</v>
      </c>
      <c r="M8736" t="n">
        <v>0</v>
      </c>
      <c r="AC8736" t="n">
        <v>0</v>
      </c>
      <c r="AD8736" t="n">
        <v>0</v>
      </c>
      <c r="AE8736" t="n">
        <v>0</v>
      </c>
      <c r="AF8736" t="n">
        <v>0</v>
      </c>
      <c r="AG8736" t="n">
        <v>0</v>
      </c>
      <c r="AH8736" t="n">
        <v>0</v>
      </c>
    </row>
    <row r="8737">
      <c r="A8737" t="inlineStr">
        <is>
          <t>12월</t>
        </is>
      </c>
      <c r="B8737" t="inlineStr">
        <is>
          <t>52주차</t>
        </is>
      </c>
      <c r="C8737" t="e">
        <v>#N/A</v>
      </c>
      <c r="K8737" t="n">
        <v>0</v>
      </c>
      <c r="L8737" t="n">
        <v>0</v>
      </c>
      <c r="M8737" t="n">
        <v>0</v>
      </c>
      <c r="AC8737" t="n">
        <v>0</v>
      </c>
      <c r="AD8737" t="n">
        <v>0</v>
      </c>
      <c r="AE8737" t="n">
        <v>0</v>
      </c>
      <c r="AF8737" t="n">
        <v>0</v>
      </c>
      <c r="AG8737" t="n">
        <v>0</v>
      </c>
      <c r="AH8737" t="n">
        <v>0</v>
      </c>
      <c r="AI8737" t="n">
        <v>0</v>
      </c>
    </row>
    <row r="8738">
      <c r="A8738" t="inlineStr">
        <is>
          <t>12월</t>
        </is>
      </c>
      <c r="B8738" t="inlineStr">
        <is>
          <t>52주차</t>
        </is>
      </c>
      <c r="C8738" t="e">
        <v>#N/A</v>
      </c>
      <c r="K8738" t="n">
        <v>0</v>
      </c>
      <c r="L8738" t="n">
        <v>0</v>
      </c>
      <c r="M8738" t="n">
        <v>0</v>
      </c>
      <c r="AC8738" t="n">
        <v>0</v>
      </c>
      <c r="AD8738" t="n">
        <v>0</v>
      </c>
      <c r="AE8738" t="n">
        <v>0</v>
      </c>
      <c r="AF8738" t="n">
        <v>0</v>
      </c>
      <c r="AG8738" t="n">
        <v>0</v>
      </c>
      <c r="AH8738" t="n">
        <v>0</v>
      </c>
      <c r="AI8738" t="n">
        <v>0</v>
      </c>
    </row>
    <row r="8739">
      <c r="A8739" t="inlineStr">
        <is>
          <t>12월</t>
        </is>
      </c>
      <c r="B8739" t="inlineStr">
        <is>
          <t>52주차</t>
        </is>
      </c>
      <c r="C8739" t="e">
        <v>#N/A</v>
      </c>
      <c r="K8739" t="n">
        <v>0</v>
      </c>
      <c r="L8739" t="n">
        <v>0</v>
      </c>
      <c r="M8739" t="n">
        <v>0</v>
      </c>
      <c r="AC8739" t="n">
        <v>0</v>
      </c>
      <c r="AD8739" t="n">
        <v>0</v>
      </c>
      <c r="AE8739" t="n">
        <v>0</v>
      </c>
      <c r="AF8739" t="n">
        <v>0</v>
      </c>
      <c r="AG8739" t="n">
        <v>0</v>
      </c>
      <c r="AH8739" t="n">
        <v>0</v>
      </c>
      <c r="AI8739" t="n">
        <v>0</v>
      </c>
    </row>
    <row r="8740">
      <c r="A8740" t="inlineStr">
        <is>
          <t>12월</t>
        </is>
      </c>
      <c r="B8740" t="inlineStr">
        <is>
          <t>52주차</t>
        </is>
      </c>
      <c r="C8740" t="e">
        <v>#N/A</v>
      </c>
      <c r="K8740" t="n">
        <v>0</v>
      </c>
      <c r="L8740" t="n">
        <v>0</v>
      </c>
      <c r="M8740" t="n">
        <v>0</v>
      </c>
      <c r="AC8740" t="n">
        <v>0</v>
      </c>
      <c r="AD8740" t="n">
        <v>0</v>
      </c>
      <c r="AE8740" t="n">
        <v>0</v>
      </c>
      <c r="AF8740" t="n">
        <v>0</v>
      </c>
      <c r="AG8740" t="n">
        <v>0</v>
      </c>
      <c r="AH8740" t="n">
        <v>0</v>
      </c>
    </row>
    <row r="8741">
      <c r="A8741" t="inlineStr">
        <is>
          <t>12월</t>
        </is>
      </c>
      <c r="B8741" t="inlineStr">
        <is>
          <t>52주차</t>
        </is>
      </c>
      <c r="C8741" t="e">
        <v>#N/A</v>
      </c>
      <c r="K8741" t="n">
        <v>0</v>
      </c>
      <c r="L8741" t="n">
        <v>0</v>
      </c>
      <c r="M8741" t="n">
        <v>0</v>
      </c>
      <c r="AC8741" t="n">
        <v>0</v>
      </c>
      <c r="AD8741" t="n">
        <v>0</v>
      </c>
      <c r="AE8741" t="n">
        <v>0</v>
      </c>
      <c r="AF8741" t="n">
        <v>0</v>
      </c>
      <c r="AG8741" t="n">
        <v>0</v>
      </c>
      <c r="AH8741" t="n">
        <v>0</v>
      </c>
    </row>
    <row r="8742">
      <c r="A8742" t="inlineStr">
        <is>
          <t>12월</t>
        </is>
      </c>
      <c r="B8742" t="inlineStr">
        <is>
          <t>52주차</t>
        </is>
      </c>
      <c r="C8742" t="e">
        <v>#N/A</v>
      </c>
      <c r="K8742" t="n">
        <v>0</v>
      </c>
      <c r="L8742" t="n">
        <v>0</v>
      </c>
      <c r="M8742" t="n">
        <v>0</v>
      </c>
      <c r="AC8742" t="n">
        <v>0</v>
      </c>
      <c r="AD8742" t="n">
        <v>0</v>
      </c>
      <c r="AE8742" t="n">
        <v>0</v>
      </c>
      <c r="AF8742" t="n">
        <v>0</v>
      </c>
      <c r="AG8742" t="n">
        <v>0</v>
      </c>
      <c r="AH8742" t="n">
        <v>0</v>
      </c>
      <c r="AI8742" t="n">
        <v>0</v>
      </c>
    </row>
    <row r="8743">
      <c r="A8743" t="inlineStr">
        <is>
          <t>12월</t>
        </is>
      </c>
      <c r="B8743" t="inlineStr">
        <is>
          <t>52주차</t>
        </is>
      </c>
      <c r="C8743" t="e">
        <v>#N/A</v>
      </c>
      <c r="K8743" t="n">
        <v>0</v>
      </c>
      <c r="L8743" t="n">
        <v>0</v>
      </c>
      <c r="M8743" t="n">
        <v>0</v>
      </c>
      <c r="AC8743" t="n">
        <v>0</v>
      </c>
      <c r="AD8743" t="n">
        <v>0</v>
      </c>
      <c r="AE8743" t="n">
        <v>0</v>
      </c>
      <c r="AF8743" t="n">
        <v>0</v>
      </c>
      <c r="AG8743" t="n">
        <v>0</v>
      </c>
      <c r="AH8743" t="n">
        <v>0</v>
      </c>
      <c r="AI8743" t="n">
        <v>0</v>
      </c>
    </row>
    <row r="8744">
      <c r="A8744" t="inlineStr">
        <is>
          <t>12월</t>
        </is>
      </c>
      <c r="B8744" t="inlineStr">
        <is>
          <t>52주차</t>
        </is>
      </c>
      <c r="C8744" t="e">
        <v>#N/A</v>
      </c>
      <c r="K8744" t="n">
        <v>0</v>
      </c>
      <c r="L8744" t="n">
        <v>0</v>
      </c>
      <c r="M8744" t="n">
        <v>0</v>
      </c>
      <c r="AC8744" t="n">
        <v>0</v>
      </c>
      <c r="AD8744" t="n">
        <v>0</v>
      </c>
      <c r="AE8744" t="n">
        <v>0</v>
      </c>
      <c r="AF8744" t="n">
        <v>0</v>
      </c>
      <c r="AG8744" t="n">
        <v>0</v>
      </c>
      <c r="AH8744" t="n">
        <v>0</v>
      </c>
    </row>
    <row r="8745">
      <c r="A8745" t="inlineStr">
        <is>
          <t>12월</t>
        </is>
      </c>
      <c r="B8745" t="inlineStr">
        <is>
          <t>52주차</t>
        </is>
      </c>
      <c r="C8745" t="e">
        <v>#N/A</v>
      </c>
      <c r="K8745" t="n">
        <v>0</v>
      </c>
      <c r="L8745" t="n">
        <v>0</v>
      </c>
      <c r="M8745" t="n">
        <v>0</v>
      </c>
      <c r="AC8745" t="n">
        <v>0</v>
      </c>
      <c r="AD8745" t="n">
        <v>0</v>
      </c>
      <c r="AE8745" t="n">
        <v>0</v>
      </c>
      <c r="AF8745" t="n">
        <v>0</v>
      </c>
      <c r="AG8745" t="n">
        <v>0</v>
      </c>
      <c r="AH8745" t="n">
        <v>0</v>
      </c>
      <c r="AI8745" t="n">
        <v>0</v>
      </c>
    </row>
    <row r="8746">
      <c r="A8746" t="inlineStr">
        <is>
          <t>12월</t>
        </is>
      </c>
      <c r="B8746" t="inlineStr">
        <is>
          <t>52주차</t>
        </is>
      </c>
      <c r="C8746" t="e">
        <v>#N/A</v>
      </c>
      <c r="K8746" t="n">
        <v>0</v>
      </c>
      <c r="L8746" t="n">
        <v>0</v>
      </c>
      <c r="M8746" t="n">
        <v>0</v>
      </c>
      <c r="AC8746" t="n">
        <v>0</v>
      </c>
      <c r="AD8746" t="n">
        <v>0</v>
      </c>
      <c r="AE8746" t="n">
        <v>0</v>
      </c>
      <c r="AF8746" t="n">
        <v>0</v>
      </c>
      <c r="AG8746" t="n">
        <v>0</v>
      </c>
      <c r="AH8746" t="n">
        <v>0</v>
      </c>
      <c r="AI8746" t="n">
        <v>0</v>
      </c>
    </row>
    <row r="8747">
      <c r="A8747" t="inlineStr">
        <is>
          <t>12월</t>
        </is>
      </c>
      <c r="B8747" t="inlineStr">
        <is>
          <t>52주차</t>
        </is>
      </c>
      <c r="C8747" t="e">
        <v>#N/A</v>
      </c>
      <c r="K8747" t="n">
        <v>0</v>
      </c>
      <c r="L8747" t="n">
        <v>0</v>
      </c>
      <c r="M8747" t="n">
        <v>0</v>
      </c>
      <c r="AC8747" t="n">
        <v>0</v>
      </c>
      <c r="AD8747" t="n">
        <v>0</v>
      </c>
      <c r="AE8747" t="n">
        <v>0</v>
      </c>
      <c r="AF8747" t="n">
        <v>0</v>
      </c>
      <c r="AG8747" t="n">
        <v>0</v>
      </c>
      <c r="AH8747" t="n">
        <v>0</v>
      </c>
      <c r="AI8747" t="n">
        <v>0</v>
      </c>
    </row>
    <row r="8748">
      <c r="A8748" t="inlineStr">
        <is>
          <t>12월</t>
        </is>
      </c>
      <c r="B8748" t="inlineStr">
        <is>
          <t>52주차</t>
        </is>
      </c>
      <c r="C8748" t="e">
        <v>#N/A</v>
      </c>
      <c r="K8748" t="n">
        <v>0</v>
      </c>
      <c r="L8748" t="n">
        <v>0</v>
      </c>
      <c r="M8748" t="n">
        <v>0</v>
      </c>
      <c r="AC8748" t="n">
        <v>0</v>
      </c>
      <c r="AD8748" t="n">
        <v>0</v>
      </c>
      <c r="AE8748" t="n">
        <v>0</v>
      </c>
      <c r="AF8748" t="n">
        <v>0</v>
      </c>
      <c r="AG8748" t="n">
        <v>0</v>
      </c>
      <c r="AH8748" t="n">
        <v>0</v>
      </c>
    </row>
    <row r="8749">
      <c r="A8749" t="inlineStr">
        <is>
          <t>12월</t>
        </is>
      </c>
      <c r="B8749" t="inlineStr">
        <is>
          <t>52주차</t>
        </is>
      </c>
      <c r="C8749" t="e">
        <v>#N/A</v>
      </c>
      <c r="K8749" t="n">
        <v>0</v>
      </c>
      <c r="L8749" t="n">
        <v>0</v>
      </c>
      <c r="M8749" t="n">
        <v>0</v>
      </c>
      <c r="AC8749" t="n">
        <v>0</v>
      </c>
      <c r="AD8749" t="n">
        <v>0</v>
      </c>
      <c r="AE8749" t="n">
        <v>0</v>
      </c>
      <c r="AF8749" t="n">
        <v>0</v>
      </c>
      <c r="AG8749" t="n">
        <v>0</v>
      </c>
      <c r="AH8749" t="n">
        <v>0</v>
      </c>
      <c r="AI8749" t="n">
        <v>0</v>
      </c>
    </row>
    <row r="8750">
      <c r="A8750" t="inlineStr">
        <is>
          <t>12월</t>
        </is>
      </c>
      <c r="B8750" t="inlineStr">
        <is>
          <t>52주차</t>
        </is>
      </c>
      <c r="C8750" t="e">
        <v>#N/A</v>
      </c>
      <c r="K8750" t="n">
        <v>0</v>
      </c>
      <c r="L8750" t="n">
        <v>0</v>
      </c>
      <c r="M8750" t="n">
        <v>0</v>
      </c>
      <c r="AC8750" t="n">
        <v>0</v>
      </c>
      <c r="AD8750" t="n">
        <v>0</v>
      </c>
      <c r="AE8750" t="n">
        <v>0</v>
      </c>
      <c r="AF8750" t="n">
        <v>0</v>
      </c>
      <c r="AG8750" t="n">
        <v>0</v>
      </c>
      <c r="AH8750" t="n">
        <v>0</v>
      </c>
      <c r="AI8750" t="n">
        <v>0</v>
      </c>
    </row>
    <row r="8751">
      <c r="A8751" t="inlineStr">
        <is>
          <t>12월</t>
        </is>
      </c>
      <c r="B8751" t="inlineStr">
        <is>
          <t>52주차</t>
        </is>
      </c>
      <c r="C8751" t="e">
        <v>#N/A</v>
      </c>
      <c r="K8751" t="n">
        <v>0</v>
      </c>
      <c r="L8751" t="n">
        <v>0</v>
      </c>
      <c r="M8751" t="n">
        <v>0</v>
      </c>
      <c r="AC8751" t="n">
        <v>0</v>
      </c>
      <c r="AD8751" t="n">
        <v>0</v>
      </c>
      <c r="AE8751" t="n">
        <v>0</v>
      </c>
      <c r="AF8751" t="n">
        <v>0</v>
      </c>
      <c r="AG8751" t="n">
        <v>0</v>
      </c>
      <c r="AH8751" t="n">
        <v>0</v>
      </c>
      <c r="AI8751" t="n">
        <v>0</v>
      </c>
    </row>
    <row r="8752">
      <c r="A8752" t="inlineStr">
        <is>
          <t>12월</t>
        </is>
      </c>
      <c r="B8752" t="inlineStr">
        <is>
          <t>52주차</t>
        </is>
      </c>
      <c r="C8752" t="e">
        <v>#N/A</v>
      </c>
      <c r="K8752" t="n">
        <v>0</v>
      </c>
      <c r="L8752" t="n">
        <v>0</v>
      </c>
      <c r="M8752" t="n">
        <v>0</v>
      </c>
      <c r="AC8752" t="n">
        <v>0</v>
      </c>
      <c r="AD8752" t="n">
        <v>0</v>
      </c>
      <c r="AE8752" t="n">
        <v>0</v>
      </c>
      <c r="AF8752" t="n">
        <v>0</v>
      </c>
      <c r="AG8752" t="n">
        <v>0</v>
      </c>
      <c r="AH8752" t="n">
        <v>0</v>
      </c>
      <c r="AI8752" t="n">
        <v>0</v>
      </c>
    </row>
    <row r="8753">
      <c r="A8753" t="inlineStr">
        <is>
          <t>12월</t>
        </is>
      </c>
      <c r="B8753" t="inlineStr">
        <is>
          <t>52주차</t>
        </is>
      </c>
      <c r="C8753" t="e">
        <v>#N/A</v>
      </c>
      <c r="K8753" t="n">
        <v>0</v>
      </c>
      <c r="L8753" t="n">
        <v>0</v>
      </c>
      <c r="M8753" t="n">
        <v>0</v>
      </c>
      <c r="AC8753" t="n">
        <v>0</v>
      </c>
      <c r="AD8753" t="n">
        <v>0</v>
      </c>
      <c r="AE8753" t="n">
        <v>0</v>
      </c>
      <c r="AF8753" t="n">
        <v>0</v>
      </c>
      <c r="AG8753" t="n">
        <v>0</v>
      </c>
      <c r="AH8753" t="n">
        <v>0</v>
      </c>
      <c r="AI8753" t="n">
        <v>0</v>
      </c>
    </row>
    <row r="8754">
      <c r="A8754" t="inlineStr">
        <is>
          <t>12월</t>
        </is>
      </c>
      <c r="B8754" t="inlineStr">
        <is>
          <t>52주차</t>
        </is>
      </c>
      <c r="C8754" t="e">
        <v>#N/A</v>
      </c>
      <c r="K8754" t="n">
        <v>0</v>
      </c>
      <c r="L8754" t="n">
        <v>0</v>
      </c>
      <c r="M8754" t="n">
        <v>0</v>
      </c>
      <c r="AC8754" t="n">
        <v>0</v>
      </c>
      <c r="AD8754" t="n">
        <v>0</v>
      </c>
      <c r="AE8754" t="n">
        <v>0</v>
      </c>
      <c r="AF8754" t="n">
        <v>0</v>
      </c>
      <c r="AG8754" t="n">
        <v>0</v>
      </c>
      <c r="AH8754" t="n">
        <v>0</v>
      </c>
      <c r="AI8754" t="n">
        <v>0</v>
      </c>
    </row>
    <row r="8755">
      <c r="A8755" t="inlineStr">
        <is>
          <t>12월</t>
        </is>
      </c>
      <c r="B8755" t="inlineStr">
        <is>
          <t>52주차</t>
        </is>
      </c>
      <c r="C8755" t="e">
        <v>#N/A</v>
      </c>
      <c r="K8755" t="n">
        <v>0</v>
      </c>
      <c r="L8755" t="n">
        <v>0</v>
      </c>
      <c r="M8755" t="n">
        <v>0</v>
      </c>
      <c r="AC8755" t="n">
        <v>0</v>
      </c>
      <c r="AD8755" t="n">
        <v>0</v>
      </c>
      <c r="AE8755" t="n">
        <v>0</v>
      </c>
      <c r="AF8755" t="n">
        <v>0</v>
      </c>
      <c r="AG8755" t="n">
        <v>0</v>
      </c>
      <c r="AH8755" t="n">
        <v>0</v>
      </c>
      <c r="AI8755" t="n">
        <v>0</v>
      </c>
    </row>
    <row r="8756">
      <c r="A8756" t="inlineStr">
        <is>
          <t>12월</t>
        </is>
      </c>
      <c r="B8756" t="inlineStr">
        <is>
          <t>52주차</t>
        </is>
      </c>
      <c r="C8756" t="e">
        <v>#N/A</v>
      </c>
      <c r="K8756" t="n">
        <v>0</v>
      </c>
      <c r="L8756" t="n">
        <v>0</v>
      </c>
      <c r="M8756" t="n">
        <v>0</v>
      </c>
      <c r="AC8756" t="n">
        <v>0</v>
      </c>
      <c r="AD8756" t="n">
        <v>0</v>
      </c>
      <c r="AE8756" t="n">
        <v>0</v>
      </c>
      <c r="AF8756" t="n">
        <v>0</v>
      </c>
      <c r="AG8756" t="n">
        <v>0</v>
      </c>
      <c r="AH8756" t="n">
        <v>0</v>
      </c>
    </row>
    <row r="8757">
      <c r="A8757" t="inlineStr">
        <is>
          <t>12월</t>
        </is>
      </c>
      <c r="B8757" t="inlineStr">
        <is>
          <t>52주차</t>
        </is>
      </c>
      <c r="C8757" t="e">
        <v>#N/A</v>
      </c>
      <c r="K8757" t="n">
        <v>0</v>
      </c>
      <c r="L8757" t="n">
        <v>0</v>
      </c>
      <c r="M8757" t="n">
        <v>0</v>
      </c>
      <c r="AC8757" t="n">
        <v>0</v>
      </c>
      <c r="AD8757" t="n">
        <v>0</v>
      </c>
      <c r="AE8757" t="n">
        <v>0</v>
      </c>
      <c r="AF8757" t="n">
        <v>0</v>
      </c>
      <c r="AG8757" t="n">
        <v>0</v>
      </c>
      <c r="AH8757" t="n">
        <v>0</v>
      </c>
      <c r="AI8757" t="n">
        <v>0</v>
      </c>
    </row>
    <row r="8758">
      <c r="A8758" t="inlineStr">
        <is>
          <t>12월</t>
        </is>
      </c>
      <c r="B8758" t="inlineStr">
        <is>
          <t>52주차</t>
        </is>
      </c>
      <c r="C8758" t="e">
        <v>#N/A</v>
      </c>
      <c r="K8758" t="n">
        <v>0</v>
      </c>
      <c r="L8758" t="n">
        <v>0</v>
      </c>
      <c r="M8758" t="n">
        <v>0</v>
      </c>
      <c r="AC8758" t="n">
        <v>0</v>
      </c>
      <c r="AD8758" t="n">
        <v>0</v>
      </c>
      <c r="AE8758" t="n">
        <v>0</v>
      </c>
      <c r="AF8758" t="n">
        <v>0</v>
      </c>
      <c r="AG8758" t="n">
        <v>0</v>
      </c>
      <c r="AH8758" t="n">
        <v>0</v>
      </c>
    </row>
    <row r="8759">
      <c r="A8759" t="inlineStr">
        <is>
          <t>12월</t>
        </is>
      </c>
      <c r="B8759" t="inlineStr">
        <is>
          <t>52주차</t>
        </is>
      </c>
      <c r="C8759" t="e">
        <v>#N/A</v>
      </c>
      <c r="K8759" t="n">
        <v>0</v>
      </c>
      <c r="L8759" t="n">
        <v>0</v>
      </c>
      <c r="M8759" t="n">
        <v>0</v>
      </c>
      <c r="AC8759" t="n">
        <v>0</v>
      </c>
      <c r="AD8759" t="n">
        <v>0</v>
      </c>
      <c r="AE8759" t="n">
        <v>0</v>
      </c>
      <c r="AF8759" t="n">
        <v>0</v>
      </c>
      <c r="AG8759" t="n">
        <v>0</v>
      </c>
      <c r="AH8759" t="n">
        <v>0</v>
      </c>
      <c r="AI8759" t="n">
        <v>0</v>
      </c>
    </row>
    <row r="8760">
      <c r="A8760" t="inlineStr">
        <is>
          <t>12월</t>
        </is>
      </c>
      <c r="B8760" t="inlineStr">
        <is>
          <t>52주차</t>
        </is>
      </c>
      <c r="C8760" t="e">
        <v>#N/A</v>
      </c>
      <c r="K8760" t="n">
        <v>0</v>
      </c>
      <c r="L8760" t="n">
        <v>0</v>
      </c>
      <c r="M8760" t="n">
        <v>0</v>
      </c>
      <c r="AC8760" t="n">
        <v>0</v>
      </c>
      <c r="AD8760" t="n">
        <v>0</v>
      </c>
      <c r="AE8760" t="n">
        <v>0</v>
      </c>
      <c r="AF8760" t="n">
        <v>0</v>
      </c>
      <c r="AG8760" t="n">
        <v>0</v>
      </c>
      <c r="AH8760" t="n">
        <v>0</v>
      </c>
    </row>
    <row r="8761">
      <c r="A8761" t="inlineStr">
        <is>
          <t>12월</t>
        </is>
      </c>
      <c r="B8761" t="inlineStr">
        <is>
          <t>52주차</t>
        </is>
      </c>
      <c r="C8761" t="e">
        <v>#N/A</v>
      </c>
      <c r="K8761" t="n">
        <v>0</v>
      </c>
      <c r="L8761" t="n">
        <v>0</v>
      </c>
      <c r="M8761" t="n">
        <v>0</v>
      </c>
      <c r="AC8761" t="n">
        <v>0</v>
      </c>
      <c r="AD8761" t="n">
        <v>0</v>
      </c>
      <c r="AE8761" t="n">
        <v>0</v>
      </c>
      <c r="AF8761" t="n">
        <v>0</v>
      </c>
      <c r="AG8761" t="n">
        <v>0</v>
      </c>
      <c r="AH8761" t="n">
        <v>0</v>
      </c>
      <c r="AI8761" t="n">
        <v>0</v>
      </c>
    </row>
    <row r="8762">
      <c r="A8762" t="inlineStr">
        <is>
          <t>12월</t>
        </is>
      </c>
      <c r="B8762" t="inlineStr">
        <is>
          <t>52주차</t>
        </is>
      </c>
      <c r="C8762" t="e">
        <v>#N/A</v>
      </c>
      <c r="K8762" t="n">
        <v>0</v>
      </c>
      <c r="L8762" t="n">
        <v>0</v>
      </c>
      <c r="M8762" t="n">
        <v>0</v>
      </c>
      <c r="AC8762" t="n">
        <v>0</v>
      </c>
      <c r="AD8762" t="n">
        <v>0</v>
      </c>
      <c r="AE8762" t="n">
        <v>0</v>
      </c>
      <c r="AF8762" t="n">
        <v>0</v>
      </c>
      <c r="AG8762" t="n">
        <v>0</v>
      </c>
      <c r="AH8762" t="n">
        <v>0</v>
      </c>
      <c r="AI8762" t="n">
        <v>0</v>
      </c>
    </row>
    <row r="8763">
      <c r="A8763" t="inlineStr">
        <is>
          <t>12월</t>
        </is>
      </c>
      <c r="B8763" t="inlineStr">
        <is>
          <t>52주차</t>
        </is>
      </c>
      <c r="C8763" t="e">
        <v>#N/A</v>
      </c>
      <c r="K8763" t="n">
        <v>0</v>
      </c>
      <c r="L8763" t="n">
        <v>0</v>
      </c>
      <c r="M8763" t="n">
        <v>0</v>
      </c>
      <c r="AC8763" t="n">
        <v>0</v>
      </c>
      <c r="AD8763" t="n">
        <v>0</v>
      </c>
      <c r="AE8763" t="n">
        <v>0</v>
      </c>
      <c r="AF8763" t="n">
        <v>0</v>
      </c>
      <c r="AG8763" t="n">
        <v>0</v>
      </c>
      <c r="AH8763" t="n">
        <v>0</v>
      </c>
    </row>
    <row r="8764">
      <c r="A8764" t="inlineStr">
        <is>
          <t>12월</t>
        </is>
      </c>
      <c r="B8764" t="inlineStr">
        <is>
          <t>52주차</t>
        </is>
      </c>
      <c r="C8764" t="e">
        <v>#N/A</v>
      </c>
      <c r="K8764" t="n">
        <v>0</v>
      </c>
      <c r="L8764" t="n">
        <v>0</v>
      </c>
      <c r="M8764" t="n">
        <v>0</v>
      </c>
      <c r="AC8764" t="n">
        <v>0</v>
      </c>
      <c r="AD8764" t="n">
        <v>0</v>
      </c>
      <c r="AE8764" t="n">
        <v>0</v>
      </c>
      <c r="AF8764" t="n">
        <v>0</v>
      </c>
      <c r="AG8764" t="n">
        <v>0</v>
      </c>
      <c r="AH8764" t="n">
        <v>0</v>
      </c>
      <c r="AI8764" t="n">
        <v>0</v>
      </c>
    </row>
    <row r="8765">
      <c r="A8765" t="inlineStr">
        <is>
          <t>12월</t>
        </is>
      </c>
      <c r="B8765" t="inlineStr">
        <is>
          <t>52주차</t>
        </is>
      </c>
      <c r="C8765" t="e">
        <v>#N/A</v>
      </c>
      <c r="K8765" t="n">
        <v>0</v>
      </c>
      <c r="L8765" t="n">
        <v>0</v>
      </c>
      <c r="M8765" t="n">
        <v>0</v>
      </c>
      <c r="AC8765" t="n">
        <v>0</v>
      </c>
      <c r="AD8765" t="n">
        <v>0</v>
      </c>
      <c r="AE8765" t="n">
        <v>0</v>
      </c>
      <c r="AF8765" t="n">
        <v>0</v>
      </c>
      <c r="AG8765" t="n">
        <v>0</v>
      </c>
      <c r="AH8765" t="n">
        <v>0</v>
      </c>
      <c r="AI8765" t="n">
        <v>0</v>
      </c>
    </row>
    <row r="8766">
      <c r="A8766" t="inlineStr">
        <is>
          <t>12월</t>
        </is>
      </c>
      <c r="B8766" t="inlineStr">
        <is>
          <t>52주차</t>
        </is>
      </c>
      <c r="C8766" t="e">
        <v>#N/A</v>
      </c>
      <c r="K8766" t="n">
        <v>0</v>
      </c>
      <c r="L8766" t="n">
        <v>0</v>
      </c>
      <c r="M8766" t="n">
        <v>0</v>
      </c>
      <c r="AC8766" t="n">
        <v>0</v>
      </c>
      <c r="AD8766" t="n">
        <v>0</v>
      </c>
      <c r="AE8766" t="n">
        <v>0</v>
      </c>
      <c r="AF8766" t="n">
        <v>0</v>
      </c>
      <c r="AG8766" t="n">
        <v>0</v>
      </c>
      <c r="AH8766" t="n">
        <v>0</v>
      </c>
    </row>
    <row r="8767">
      <c r="A8767" t="inlineStr">
        <is>
          <t>12월</t>
        </is>
      </c>
      <c r="B8767" t="inlineStr">
        <is>
          <t>52주차</t>
        </is>
      </c>
      <c r="C8767" t="e">
        <v>#N/A</v>
      </c>
      <c r="K8767" t="n">
        <v>0</v>
      </c>
      <c r="L8767" t="n">
        <v>0</v>
      </c>
      <c r="M8767" t="n">
        <v>0</v>
      </c>
      <c r="AC8767" t="n">
        <v>0</v>
      </c>
      <c r="AD8767" t="n">
        <v>0</v>
      </c>
      <c r="AE8767" t="n">
        <v>0</v>
      </c>
      <c r="AF8767" t="n">
        <v>0</v>
      </c>
      <c r="AG8767" t="n">
        <v>0</v>
      </c>
      <c r="AH8767" t="n">
        <v>0</v>
      </c>
      <c r="AI8767" t="n">
        <v>0</v>
      </c>
    </row>
    <row r="8768">
      <c r="A8768" t="inlineStr">
        <is>
          <t>12월</t>
        </is>
      </c>
      <c r="B8768" t="inlineStr">
        <is>
          <t>52주차</t>
        </is>
      </c>
      <c r="C8768" t="e">
        <v>#N/A</v>
      </c>
      <c r="K8768" t="n">
        <v>0</v>
      </c>
      <c r="L8768" t="n">
        <v>0</v>
      </c>
      <c r="M8768" t="n">
        <v>0</v>
      </c>
      <c r="AC8768" t="n">
        <v>0</v>
      </c>
      <c r="AD8768" t="n">
        <v>0</v>
      </c>
      <c r="AE8768" t="n">
        <v>0</v>
      </c>
      <c r="AF8768" t="n">
        <v>0</v>
      </c>
      <c r="AG8768" t="n">
        <v>0</v>
      </c>
      <c r="AH8768" t="n">
        <v>0</v>
      </c>
      <c r="AI8768" t="n">
        <v>0</v>
      </c>
    </row>
    <row r="8769">
      <c r="A8769" t="inlineStr">
        <is>
          <t>12월</t>
        </is>
      </c>
      <c r="B8769" t="inlineStr">
        <is>
          <t>52주차</t>
        </is>
      </c>
      <c r="C8769" t="e">
        <v>#N/A</v>
      </c>
      <c r="K8769" t="n">
        <v>0</v>
      </c>
      <c r="L8769" t="n">
        <v>0</v>
      </c>
      <c r="M8769" t="n">
        <v>0</v>
      </c>
      <c r="AC8769" t="n">
        <v>0</v>
      </c>
      <c r="AD8769" t="n">
        <v>0</v>
      </c>
      <c r="AE8769" t="n">
        <v>0</v>
      </c>
      <c r="AF8769" t="n">
        <v>0</v>
      </c>
      <c r="AG8769" t="n">
        <v>0</v>
      </c>
      <c r="AH8769" t="n">
        <v>0</v>
      </c>
      <c r="AI8769" t="n">
        <v>0</v>
      </c>
    </row>
    <row r="8770">
      <c r="A8770" t="inlineStr">
        <is>
          <t>12월</t>
        </is>
      </c>
      <c r="B8770" t="inlineStr">
        <is>
          <t>52주차</t>
        </is>
      </c>
      <c r="C8770" t="e">
        <v>#N/A</v>
      </c>
      <c r="K8770" t="n">
        <v>0</v>
      </c>
      <c r="L8770" t="n">
        <v>0</v>
      </c>
      <c r="M8770" t="n">
        <v>0</v>
      </c>
      <c r="AC8770" t="n">
        <v>0</v>
      </c>
      <c r="AD8770" t="n">
        <v>0</v>
      </c>
      <c r="AE8770" t="n">
        <v>0</v>
      </c>
      <c r="AF8770" t="n">
        <v>0</v>
      </c>
      <c r="AG8770" t="n">
        <v>0</v>
      </c>
      <c r="AH8770" t="n">
        <v>0</v>
      </c>
      <c r="AI8770" t="n">
        <v>0</v>
      </c>
    </row>
    <row r="8771">
      <c r="A8771" t="inlineStr">
        <is>
          <t>12월</t>
        </is>
      </c>
      <c r="B8771" t="inlineStr">
        <is>
          <t>52주차</t>
        </is>
      </c>
      <c r="C8771" t="e">
        <v>#N/A</v>
      </c>
      <c r="K8771" t="n">
        <v>0</v>
      </c>
      <c r="L8771" t="n">
        <v>0</v>
      </c>
      <c r="M8771" t="n">
        <v>0</v>
      </c>
      <c r="AC8771" t="n">
        <v>0</v>
      </c>
      <c r="AD8771" t="n">
        <v>0</v>
      </c>
      <c r="AE8771" t="n">
        <v>0</v>
      </c>
      <c r="AF8771" t="n">
        <v>0</v>
      </c>
      <c r="AG8771" t="n">
        <v>0</v>
      </c>
      <c r="AH8771" t="n">
        <v>0</v>
      </c>
    </row>
    <row r="8772">
      <c r="A8772" t="inlineStr">
        <is>
          <t>12월</t>
        </is>
      </c>
      <c r="B8772" t="inlineStr">
        <is>
          <t>52주차</t>
        </is>
      </c>
      <c r="C8772" t="e">
        <v>#N/A</v>
      </c>
      <c r="K8772" t="n">
        <v>0</v>
      </c>
      <c r="L8772" t="n">
        <v>0</v>
      </c>
      <c r="M8772" t="n">
        <v>0</v>
      </c>
      <c r="AC8772" t="n">
        <v>0</v>
      </c>
      <c r="AD8772" t="n">
        <v>0</v>
      </c>
      <c r="AE8772" t="n">
        <v>0</v>
      </c>
      <c r="AF8772" t="n">
        <v>0</v>
      </c>
      <c r="AG8772" t="n">
        <v>0</v>
      </c>
      <c r="AH8772" t="n">
        <v>0</v>
      </c>
      <c r="AI8772" t="n">
        <v>0</v>
      </c>
    </row>
    <row r="8773">
      <c r="A8773" t="inlineStr">
        <is>
          <t>12월</t>
        </is>
      </c>
      <c r="B8773" t="inlineStr">
        <is>
          <t>52주차</t>
        </is>
      </c>
      <c r="C8773" t="e">
        <v>#N/A</v>
      </c>
      <c r="K8773" t="n">
        <v>0</v>
      </c>
      <c r="L8773" t="n">
        <v>0</v>
      </c>
      <c r="M8773" t="n">
        <v>0</v>
      </c>
      <c r="AC8773" t="n">
        <v>0</v>
      </c>
      <c r="AD8773" t="n">
        <v>0</v>
      </c>
      <c r="AE8773" t="n">
        <v>0</v>
      </c>
      <c r="AF8773" t="n">
        <v>0</v>
      </c>
      <c r="AG8773" t="n">
        <v>0</v>
      </c>
      <c r="AH8773" t="n">
        <v>0</v>
      </c>
      <c r="AI8773" t="n">
        <v>0</v>
      </c>
    </row>
    <row r="8774">
      <c r="A8774" t="inlineStr">
        <is>
          <t>12월</t>
        </is>
      </c>
      <c r="B8774" t="inlineStr">
        <is>
          <t>52주차</t>
        </is>
      </c>
      <c r="C8774" t="e">
        <v>#N/A</v>
      </c>
      <c r="K8774" t="n">
        <v>0</v>
      </c>
      <c r="L8774" t="n">
        <v>0</v>
      </c>
      <c r="M8774" t="n">
        <v>0</v>
      </c>
      <c r="AC8774" t="n">
        <v>0</v>
      </c>
      <c r="AD8774" t="n">
        <v>0</v>
      </c>
      <c r="AE8774" t="n">
        <v>0</v>
      </c>
      <c r="AF8774" t="n">
        <v>0</v>
      </c>
      <c r="AG8774" t="n">
        <v>0</v>
      </c>
      <c r="AH8774" t="n">
        <v>0</v>
      </c>
    </row>
    <row r="8775">
      <c r="A8775" t="inlineStr">
        <is>
          <t>12월</t>
        </is>
      </c>
      <c r="B8775" t="inlineStr">
        <is>
          <t>52주차</t>
        </is>
      </c>
      <c r="C8775" t="e">
        <v>#N/A</v>
      </c>
      <c r="K8775" t="n">
        <v>0</v>
      </c>
      <c r="L8775" t="n">
        <v>0</v>
      </c>
      <c r="M8775" t="n">
        <v>0</v>
      </c>
      <c r="AC8775" t="n">
        <v>0</v>
      </c>
      <c r="AD8775" t="n">
        <v>0</v>
      </c>
      <c r="AE8775" t="n">
        <v>0</v>
      </c>
      <c r="AF8775" t="n">
        <v>0</v>
      </c>
      <c r="AG8775" t="n">
        <v>0</v>
      </c>
      <c r="AH8775" t="n">
        <v>0</v>
      </c>
      <c r="AI8775" t="n">
        <v>0</v>
      </c>
    </row>
    <row r="8776">
      <c r="A8776" t="inlineStr">
        <is>
          <t>12월</t>
        </is>
      </c>
      <c r="B8776" t="inlineStr">
        <is>
          <t>52주차</t>
        </is>
      </c>
      <c r="C8776" t="e">
        <v>#N/A</v>
      </c>
      <c r="K8776" t="n">
        <v>0</v>
      </c>
      <c r="L8776" t="n">
        <v>0</v>
      </c>
      <c r="M8776" t="n">
        <v>0</v>
      </c>
      <c r="AC8776" t="n">
        <v>0</v>
      </c>
      <c r="AD8776" t="n">
        <v>0</v>
      </c>
      <c r="AE8776" t="n">
        <v>0</v>
      </c>
      <c r="AF8776" t="n">
        <v>0</v>
      </c>
      <c r="AG8776" t="n">
        <v>0</v>
      </c>
      <c r="AH8776" t="n">
        <v>0</v>
      </c>
      <c r="AI8776" t="n">
        <v>0</v>
      </c>
    </row>
    <row r="8777">
      <c r="A8777" t="inlineStr">
        <is>
          <t>12월</t>
        </is>
      </c>
      <c r="B8777" t="inlineStr">
        <is>
          <t>52주차</t>
        </is>
      </c>
      <c r="C8777" t="e">
        <v>#N/A</v>
      </c>
      <c r="K8777" t="n">
        <v>0</v>
      </c>
      <c r="L8777" t="n">
        <v>0</v>
      </c>
      <c r="M8777" t="n">
        <v>0</v>
      </c>
      <c r="AC8777" t="n">
        <v>0</v>
      </c>
      <c r="AD8777" t="n">
        <v>0</v>
      </c>
      <c r="AE8777" t="n">
        <v>0</v>
      </c>
      <c r="AF8777" t="n">
        <v>0</v>
      </c>
      <c r="AG8777" t="n">
        <v>0</v>
      </c>
      <c r="AH8777" t="n">
        <v>0</v>
      </c>
      <c r="AI8777" t="n">
        <v>0</v>
      </c>
    </row>
    <row r="8778">
      <c r="A8778" t="inlineStr">
        <is>
          <t>12월</t>
        </is>
      </c>
      <c r="B8778" t="inlineStr">
        <is>
          <t>52주차</t>
        </is>
      </c>
      <c r="C8778" t="e">
        <v>#N/A</v>
      </c>
      <c r="K8778" t="n">
        <v>0</v>
      </c>
      <c r="L8778" t="n">
        <v>0</v>
      </c>
      <c r="M8778" t="n">
        <v>0</v>
      </c>
      <c r="AC8778" t="n">
        <v>0</v>
      </c>
      <c r="AD8778" t="n">
        <v>0</v>
      </c>
      <c r="AE8778" t="n">
        <v>0</v>
      </c>
      <c r="AF8778" t="n">
        <v>0</v>
      </c>
      <c r="AG8778" t="n">
        <v>0</v>
      </c>
      <c r="AH8778" t="n">
        <v>0</v>
      </c>
      <c r="AI8778" t="n">
        <v>0</v>
      </c>
    </row>
    <row r="8779">
      <c r="A8779" t="inlineStr">
        <is>
          <t>12월</t>
        </is>
      </c>
      <c r="B8779" t="inlineStr">
        <is>
          <t>52주차</t>
        </is>
      </c>
      <c r="C8779" t="e">
        <v>#N/A</v>
      </c>
      <c r="K8779" t="n">
        <v>0</v>
      </c>
      <c r="L8779" t="n">
        <v>0</v>
      </c>
      <c r="M8779" t="n">
        <v>0</v>
      </c>
      <c r="AC8779" t="n">
        <v>0</v>
      </c>
      <c r="AD8779" t="n">
        <v>0</v>
      </c>
      <c r="AE8779" t="n">
        <v>0</v>
      </c>
      <c r="AF8779" t="n">
        <v>0</v>
      </c>
      <c r="AG8779" t="n">
        <v>0</v>
      </c>
      <c r="AH8779" t="n">
        <v>0</v>
      </c>
      <c r="AI8779" t="n">
        <v>0</v>
      </c>
    </row>
    <row r="8780">
      <c r="A8780" t="inlineStr">
        <is>
          <t>12월</t>
        </is>
      </c>
      <c r="B8780" t="inlineStr">
        <is>
          <t>52주차</t>
        </is>
      </c>
      <c r="C8780" t="e">
        <v>#N/A</v>
      </c>
      <c r="K8780" t="n">
        <v>0</v>
      </c>
      <c r="L8780" t="n">
        <v>0</v>
      </c>
      <c r="M8780" t="n">
        <v>0</v>
      </c>
      <c r="AC8780" t="n">
        <v>0</v>
      </c>
      <c r="AD8780" t="n">
        <v>0</v>
      </c>
      <c r="AE8780" t="n">
        <v>0</v>
      </c>
      <c r="AF8780" t="n">
        <v>0</v>
      </c>
      <c r="AG8780" t="n">
        <v>0</v>
      </c>
      <c r="AH8780" t="n">
        <v>0</v>
      </c>
      <c r="AI8780" t="n">
        <v>0</v>
      </c>
    </row>
    <row r="8781">
      <c r="A8781" t="inlineStr">
        <is>
          <t>12월</t>
        </is>
      </c>
      <c r="B8781" t="inlineStr">
        <is>
          <t>52주차</t>
        </is>
      </c>
      <c r="C8781" t="e">
        <v>#N/A</v>
      </c>
      <c r="K8781" t="n">
        <v>0</v>
      </c>
      <c r="L8781" t="n">
        <v>0</v>
      </c>
      <c r="M8781" t="n">
        <v>0</v>
      </c>
      <c r="AC8781" t="n">
        <v>0</v>
      </c>
      <c r="AD8781" t="n">
        <v>0</v>
      </c>
      <c r="AE8781" t="n">
        <v>0</v>
      </c>
      <c r="AF8781" t="n">
        <v>0</v>
      </c>
      <c r="AG8781" t="n">
        <v>0</v>
      </c>
      <c r="AH8781" t="n">
        <v>0</v>
      </c>
      <c r="AI8781" t="n">
        <v>0</v>
      </c>
    </row>
    <row r="8782">
      <c r="A8782" t="inlineStr">
        <is>
          <t>12월</t>
        </is>
      </c>
      <c r="B8782" t="inlineStr">
        <is>
          <t>52주차</t>
        </is>
      </c>
      <c r="C8782" t="e">
        <v>#N/A</v>
      </c>
      <c r="K8782" t="n">
        <v>0</v>
      </c>
      <c r="L8782" t="n">
        <v>0</v>
      </c>
      <c r="M8782" t="n">
        <v>0</v>
      </c>
      <c r="AI8782" t="n">
        <v>0</v>
      </c>
    </row>
    <row r="8783">
      <c r="A8783" t="inlineStr">
        <is>
          <t>12월</t>
        </is>
      </c>
      <c r="B8783" t="inlineStr">
        <is>
          <t>52주차</t>
        </is>
      </c>
      <c r="C8783" t="e">
        <v>#N/A</v>
      </c>
      <c r="K8783" t="n">
        <v>0</v>
      </c>
      <c r="L8783" t="n">
        <v>0</v>
      </c>
      <c r="M8783" t="n">
        <v>0</v>
      </c>
      <c r="AI8783" t="n">
        <v>0</v>
      </c>
    </row>
    <row r="8784">
      <c r="A8784" t="inlineStr">
        <is>
          <t>12월</t>
        </is>
      </c>
      <c r="B8784" t="inlineStr">
        <is>
          <t>52주차</t>
        </is>
      </c>
      <c r="C8784" t="e">
        <v>#N/A</v>
      </c>
      <c r="K8784" t="n">
        <v>0</v>
      </c>
      <c r="L8784" t="n">
        <v>0</v>
      </c>
      <c r="M8784" t="n">
        <v>0</v>
      </c>
      <c r="AI8784" t="n">
        <v>0</v>
      </c>
    </row>
    <row r="8785">
      <c r="A8785" t="inlineStr">
        <is>
          <t>12월</t>
        </is>
      </c>
      <c r="B8785" t="inlineStr">
        <is>
          <t>52주차</t>
        </is>
      </c>
      <c r="C8785" t="e">
        <v>#N/A</v>
      </c>
      <c r="K8785" t="n">
        <v>0</v>
      </c>
      <c r="L8785" t="n">
        <v>0</v>
      </c>
      <c r="M8785" t="n">
        <v>0</v>
      </c>
    </row>
    <row r="8786">
      <c r="A8786" t="inlineStr">
        <is>
          <t>12월</t>
        </is>
      </c>
      <c r="B8786" t="inlineStr">
        <is>
          <t>52주차</t>
        </is>
      </c>
      <c r="C8786" t="e">
        <v>#N/A</v>
      </c>
      <c r="K8786" t="n">
        <v>0</v>
      </c>
      <c r="L8786" t="n">
        <v>0</v>
      </c>
      <c r="M8786" t="n">
        <v>0</v>
      </c>
      <c r="AI8786" t="n">
        <v>0</v>
      </c>
    </row>
    <row r="8787">
      <c r="A8787" t="inlineStr">
        <is>
          <t>12월</t>
        </is>
      </c>
      <c r="B8787" t="inlineStr">
        <is>
          <t>52주차</t>
        </is>
      </c>
      <c r="C8787" t="e">
        <v>#N/A</v>
      </c>
      <c r="K8787" t="n">
        <v>0</v>
      </c>
      <c r="L8787" t="n">
        <v>0</v>
      </c>
      <c r="M8787" t="n">
        <v>0</v>
      </c>
      <c r="AI8787" t="n">
        <v>0</v>
      </c>
    </row>
    <row r="8788">
      <c r="A8788" t="inlineStr">
        <is>
          <t>12월</t>
        </is>
      </c>
      <c r="B8788" t="inlineStr">
        <is>
          <t>52주차</t>
        </is>
      </c>
      <c r="C8788" t="e">
        <v>#N/A</v>
      </c>
      <c r="K8788" t="n">
        <v>0</v>
      </c>
      <c r="L8788" t="n">
        <v>0</v>
      </c>
      <c r="M8788" t="n">
        <v>0</v>
      </c>
      <c r="AI8788" t="n">
        <v>0</v>
      </c>
    </row>
    <row r="8789">
      <c r="A8789" t="inlineStr">
        <is>
          <t>12월</t>
        </is>
      </c>
      <c r="B8789" t="inlineStr">
        <is>
          <t>52주차</t>
        </is>
      </c>
      <c r="C8789" t="e">
        <v>#N/A</v>
      </c>
      <c r="K8789" t="n">
        <v>0</v>
      </c>
      <c r="L8789" t="n">
        <v>0</v>
      </c>
      <c r="M8789" t="n">
        <v>0</v>
      </c>
      <c r="AI8789" t="n">
        <v>0</v>
      </c>
    </row>
    <row r="8790">
      <c r="A8790" t="inlineStr">
        <is>
          <t>12월</t>
        </is>
      </c>
      <c r="B8790" t="inlineStr">
        <is>
          <t>52주차</t>
        </is>
      </c>
      <c r="C8790" t="e">
        <v>#N/A</v>
      </c>
      <c r="K8790" t="n">
        <v>0</v>
      </c>
      <c r="L8790" t="n">
        <v>0</v>
      </c>
      <c r="M8790" t="n">
        <v>0</v>
      </c>
      <c r="AI8790" t="n">
        <v>0</v>
      </c>
    </row>
    <row r="8791">
      <c r="A8791" t="inlineStr">
        <is>
          <t>12월</t>
        </is>
      </c>
      <c r="B8791" t="inlineStr">
        <is>
          <t>52주차</t>
        </is>
      </c>
      <c r="C8791" t="e">
        <v>#N/A</v>
      </c>
      <c r="K8791" t="n">
        <v>0</v>
      </c>
      <c r="L8791" t="n">
        <v>0</v>
      </c>
      <c r="M8791" t="n">
        <v>0</v>
      </c>
      <c r="AI8791" t="n">
        <v>0</v>
      </c>
    </row>
    <row r="8792">
      <c r="A8792" t="inlineStr">
        <is>
          <t>12월</t>
        </is>
      </c>
      <c r="B8792" t="inlineStr">
        <is>
          <t>52주차</t>
        </is>
      </c>
      <c r="C8792" t="e">
        <v>#N/A</v>
      </c>
      <c r="K8792" t="n">
        <v>0</v>
      </c>
      <c r="L8792" t="n">
        <v>0</v>
      </c>
      <c r="M8792" t="n">
        <v>0</v>
      </c>
      <c r="AI8792" t="n">
        <v>0</v>
      </c>
    </row>
    <row r="8793">
      <c r="A8793" t="inlineStr">
        <is>
          <t>12월</t>
        </is>
      </c>
      <c r="B8793" t="inlineStr">
        <is>
          <t>52주차</t>
        </is>
      </c>
      <c r="C8793" t="e">
        <v>#N/A</v>
      </c>
      <c r="K8793" t="n">
        <v>0</v>
      </c>
      <c r="L8793" t="n">
        <v>0</v>
      </c>
      <c r="M8793" t="n">
        <v>0</v>
      </c>
      <c r="AI8793" t="n">
        <v>0</v>
      </c>
    </row>
    <row r="8794">
      <c r="A8794" t="inlineStr">
        <is>
          <t>12월</t>
        </is>
      </c>
      <c r="B8794" t="inlineStr">
        <is>
          <t>52주차</t>
        </is>
      </c>
      <c r="C8794" t="e">
        <v>#N/A</v>
      </c>
      <c r="K8794" t="n">
        <v>0</v>
      </c>
      <c r="L8794" t="n">
        <v>0</v>
      </c>
      <c r="M8794" t="n">
        <v>0</v>
      </c>
      <c r="AI8794" t="n">
        <v>0</v>
      </c>
    </row>
    <row r="8795">
      <c r="A8795" t="inlineStr">
        <is>
          <t>12월</t>
        </is>
      </c>
      <c r="B8795" t="inlineStr">
        <is>
          <t>52주차</t>
        </is>
      </c>
      <c r="C8795" t="e">
        <v>#N/A</v>
      </c>
      <c r="K8795" t="n">
        <v>0</v>
      </c>
      <c r="L8795" t="n">
        <v>0</v>
      </c>
      <c r="M8795" t="n">
        <v>0</v>
      </c>
      <c r="AI8795" t="n">
        <v>0</v>
      </c>
    </row>
    <row r="8796">
      <c r="A8796" t="inlineStr">
        <is>
          <t>12월</t>
        </is>
      </c>
      <c r="B8796" t="inlineStr">
        <is>
          <t>52주차</t>
        </is>
      </c>
      <c r="C8796" t="e">
        <v>#N/A</v>
      </c>
      <c r="K8796" t="n">
        <v>0</v>
      </c>
      <c r="L8796" t="n">
        <v>0</v>
      </c>
      <c r="M8796" t="n">
        <v>0</v>
      </c>
    </row>
    <row r="8797">
      <c r="A8797" t="inlineStr">
        <is>
          <t>12월</t>
        </is>
      </c>
      <c r="B8797" t="inlineStr">
        <is>
          <t>52주차</t>
        </is>
      </c>
      <c r="C8797" t="e">
        <v>#N/A</v>
      </c>
      <c r="K8797" t="n">
        <v>0</v>
      </c>
      <c r="L8797" t="n">
        <v>0</v>
      </c>
      <c r="M8797" t="n">
        <v>0</v>
      </c>
    </row>
    <row r="8798">
      <c r="A8798" t="inlineStr">
        <is>
          <t>12월</t>
        </is>
      </c>
      <c r="B8798" t="inlineStr">
        <is>
          <t>52주차</t>
        </is>
      </c>
      <c r="C8798" t="e">
        <v>#N/A</v>
      </c>
      <c r="K8798" t="n">
        <v>0</v>
      </c>
      <c r="L8798" t="n">
        <v>0</v>
      </c>
      <c r="M8798" t="n">
        <v>0</v>
      </c>
    </row>
    <row r="8799">
      <c r="A8799" t="inlineStr">
        <is>
          <t>12월</t>
        </is>
      </c>
      <c r="B8799" t="inlineStr">
        <is>
          <t>52주차</t>
        </is>
      </c>
      <c r="C8799" t="e">
        <v>#N/A</v>
      </c>
      <c r="K8799" t="n">
        <v>0</v>
      </c>
      <c r="L8799" t="n">
        <v>0</v>
      </c>
      <c r="M8799" t="n">
        <v>0</v>
      </c>
    </row>
    <row r="8800">
      <c r="A8800" t="inlineStr">
        <is>
          <t>12월</t>
        </is>
      </c>
      <c r="B8800" t="inlineStr">
        <is>
          <t>52주차</t>
        </is>
      </c>
      <c r="C8800" t="e">
        <v>#N/A</v>
      </c>
      <c r="K8800" t="n">
        <v>0</v>
      </c>
      <c r="L8800" t="n">
        <v>0</v>
      </c>
      <c r="M8800" t="n">
        <v>0</v>
      </c>
    </row>
    <row r="8801">
      <c r="A8801" t="inlineStr">
        <is>
          <t>12월</t>
        </is>
      </c>
      <c r="B8801" t="inlineStr">
        <is>
          <t>52주차</t>
        </is>
      </c>
      <c r="C8801" t="e">
        <v>#N/A</v>
      </c>
      <c r="K8801" t="n">
        <v>0</v>
      </c>
      <c r="L8801" t="n">
        <v>0</v>
      </c>
      <c r="M8801" t="n">
        <v>0</v>
      </c>
    </row>
    <row r="8802">
      <c r="A8802" t="inlineStr">
        <is>
          <t>12월</t>
        </is>
      </c>
      <c r="B8802" t="inlineStr">
        <is>
          <t>52주차</t>
        </is>
      </c>
      <c r="C8802" t="e">
        <v>#N/A</v>
      </c>
      <c r="K8802" t="n">
        <v>0</v>
      </c>
      <c r="L8802" t="n">
        <v>0</v>
      </c>
      <c r="M8802" t="n">
        <v>0</v>
      </c>
    </row>
    <row r="8803">
      <c r="A8803" t="inlineStr">
        <is>
          <t>12월</t>
        </is>
      </c>
      <c r="B8803" t="inlineStr">
        <is>
          <t>52주차</t>
        </is>
      </c>
      <c r="C8803" t="e">
        <v>#N/A</v>
      </c>
      <c r="K8803" t="n">
        <v>0</v>
      </c>
      <c r="L8803" t="n">
        <v>0</v>
      </c>
      <c r="M8803" t="n">
        <v>0</v>
      </c>
    </row>
    <row r="8804">
      <c r="A8804" t="inlineStr">
        <is>
          <t>12월</t>
        </is>
      </c>
      <c r="B8804" t="inlineStr">
        <is>
          <t>52주차</t>
        </is>
      </c>
      <c r="C8804" t="e">
        <v>#N/A</v>
      </c>
      <c r="K8804" t="n">
        <v>0</v>
      </c>
      <c r="L8804" t="n">
        <v>0</v>
      </c>
      <c r="M8804" t="n">
        <v>0</v>
      </c>
    </row>
    <row r="8805">
      <c r="A8805" t="inlineStr">
        <is>
          <t>12월</t>
        </is>
      </c>
      <c r="B8805" t="inlineStr">
        <is>
          <t>52주차</t>
        </is>
      </c>
      <c r="C8805" t="e">
        <v>#N/A</v>
      </c>
      <c r="K8805" t="n">
        <v>0</v>
      </c>
      <c r="L8805" t="n">
        <v>0</v>
      </c>
      <c r="M8805" t="n">
        <v>0</v>
      </c>
    </row>
    <row r="8806">
      <c r="A8806" t="inlineStr">
        <is>
          <t>12월</t>
        </is>
      </c>
      <c r="B8806" t="inlineStr">
        <is>
          <t>52주차</t>
        </is>
      </c>
      <c r="C8806" t="e">
        <v>#N/A</v>
      </c>
      <c r="K8806" t="n">
        <v>0</v>
      </c>
      <c r="L8806" t="n">
        <v>0</v>
      </c>
      <c r="M8806" t="n">
        <v>0</v>
      </c>
    </row>
    <row r="8807">
      <c r="A8807" t="inlineStr">
        <is>
          <t>12월</t>
        </is>
      </c>
      <c r="B8807" t="inlineStr">
        <is>
          <t>52주차</t>
        </is>
      </c>
      <c r="C8807" t="e">
        <v>#N/A</v>
      </c>
      <c r="K8807" t="n">
        <v>0</v>
      </c>
      <c r="L8807" t="n">
        <v>0</v>
      </c>
      <c r="M8807" t="n">
        <v>0</v>
      </c>
    </row>
    <row r="8808">
      <c r="A8808" t="inlineStr">
        <is>
          <t>12월</t>
        </is>
      </c>
      <c r="B8808" t="inlineStr">
        <is>
          <t>52주차</t>
        </is>
      </c>
      <c r="C8808" t="e">
        <v>#N/A</v>
      </c>
      <c r="K8808" t="n">
        <v>0</v>
      </c>
      <c r="L8808" t="n">
        <v>0</v>
      </c>
      <c r="M8808" t="n">
        <v>0</v>
      </c>
    </row>
    <row r="8809">
      <c r="A8809" t="inlineStr">
        <is>
          <t>12월</t>
        </is>
      </c>
      <c r="B8809" t="inlineStr">
        <is>
          <t>52주차</t>
        </is>
      </c>
      <c r="C8809" t="e">
        <v>#N/A</v>
      </c>
      <c r="K8809" t="n">
        <v>0</v>
      </c>
      <c r="L8809" t="n">
        <v>0</v>
      </c>
      <c r="M8809" t="n">
        <v>0</v>
      </c>
    </row>
    <row r="8810">
      <c r="A8810" t="inlineStr">
        <is>
          <t>12월</t>
        </is>
      </c>
      <c r="B8810" t="inlineStr">
        <is>
          <t>52주차</t>
        </is>
      </c>
      <c r="C8810" t="e">
        <v>#N/A</v>
      </c>
      <c r="K8810" t="n">
        <v>0</v>
      </c>
      <c r="L8810" t="n">
        <v>0</v>
      </c>
      <c r="M8810" t="n">
        <v>0</v>
      </c>
    </row>
    <row r="8811">
      <c r="A8811" t="inlineStr">
        <is>
          <t>12월</t>
        </is>
      </c>
      <c r="B8811" t="inlineStr">
        <is>
          <t>52주차</t>
        </is>
      </c>
      <c r="C8811" t="e">
        <v>#N/A</v>
      </c>
      <c r="K8811" t="n">
        <v>0</v>
      </c>
      <c r="L8811" t="n">
        <v>0</v>
      </c>
      <c r="M8811" t="n">
        <v>0</v>
      </c>
    </row>
    <row r="8812">
      <c r="A8812" t="inlineStr">
        <is>
          <t>12월</t>
        </is>
      </c>
      <c r="B8812" t="inlineStr">
        <is>
          <t>52주차</t>
        </is>
      </c>
      <c r="C8812" t="e">
        <v>#N/A</v>
      </c>
      <c r="K8812" t="n">
        <v>0</v>
      </c>
      <c r="L8812" t="n">
        <v>0</v>
      </c>
      <c r="M8812" t="n">
        <v>0</v>
      </c>
    </row>
    <row r="8813">
      <c r="A8813" t="inlineStr">
        <is>
          <t>12월</t>
        </is>
      </c>
      <c r="B8813" t="inlineStr">
        <is>
          <t>52주차</t>
        </is>
      </c>
      <c r="C8813" t="e">
        <v>#N/A</v>
      </c>
      <c r="K8813" t="n">
        <v>0</v>
      </c>
      <c r="L8813" t="n">
        <v>0</v>
      </c>
      <c r="M8813" t="n">
        <v>0</v>
      </c>
    </row>
    <row r="8814">
      <c r="A8814" t="inlineStr">
        <is>
          <t>12월</t>
        </is>
      </c>
      <c r="B8814" t="inlineStr">
        <is>
          <t>52주차</t>
        </is>
      </c>
      <c r="C8814" t="e">
        <v>#N/A</v>
      </c>
      <c r="K8814" t="n">
        <v>0</v>
      </c>
      <c r="L8814" t="n">
        <v>0</v>
      </c>
      <c r="M8814" t="n">
        <v>0</v>
      </c>
    </row>
    <row r="8815">
      <c r="A8815" t="inlineStr">
        <is>
          <t>12월</t>
        </is>
      </c>
      <c r="B8815" t="inlineStr">
        <is>
          <t>52주차</t>
        </is>
      </c>
      <c r="C8815" t="e">
        <v>#N/A</v>
      </c>
      <c r="K8815" t="n">
        <v>0</v>
      </c>
      <c r="L8815" t="n">
        <v>0</v>
      </c>
      <c r="M8815" t="n">
        <v>0</v>
      </c>
    </row>
    <row r="8816">
      <c r="A8816" t="inlineStr">
        <is>
          <t>12월</t>
        </is>
      </c>
      <c r="B8816" t="inlineStr">
        <is>
          <t>52주차</t>
        </is>
      </c>
      <c r="C8816" t="e">
        <v>#N/A</v>
      </c>
      <c r="K8816" t="n">
        <v>0</v>
      </c>
      <c r="L8816" t="n">
        <v>0</v>
      </c>
      <c r="M8816" t="n">
        <v>0</v>
      </c>
    </row>
    <row r="8817">
      <c r="A8817" t="inlineStr">
        <is>
          <t>12월</t>
        </is>
      </c>
      <c r="B8817" t="inlineStr">
        <is>
          <t>52주차</t>
        </is>
      </c>
      <c r="C8817" t="e">
        <v>#N/A</v>
      </c>
      <c r="K8817" t="n">
        <v>0</v>
      </c>
      <c r="L8817" t="n">
        <v>0</v>
      </c>
      <c r="M8817" t="n">
        <v>0</v>
      </c>
    </row>
    <row r="8818">
      <c r="A8818" t="inlineStr">
        <is>
          <t>12월</t>
        </is>
      </c>
      <c r="B8818" t="inlineStr">
        <is>
          <t>52주차</t>
        </is>
      </c>
      <c r="C8818" t="e">
        <v>#N/A</v>
      </c>
      <c r="K8818" t="n">
        <v>0</v>
      </c>
      <c r="L8818" t="n">
        <v>0</v>
      </c>
      <c r="M8818" t="n">
        <v>0</v>
      </c>
    </row>
    <row r="8819">
      <c r="A8819" t="inlineStr">
        <is>
          <t>12월</t>
        </is>
      </c>
      <c r="B8819" t="inlineStr">
        <is>
          <t>52주차</t>
        </is>
      </c>
      <c r="C8819" t="e">
        <v>#N/A</v>
      </c>
      <c r="K8819" t="n">
        <v>0</v>
      </c>
      <c r="L8819" t="n">
        <v>0</v>
      </c>
      <c r="M8819" t="n">
        <v>0</v>
      </c>
    </row>
    <row r="8820">
      <c r="A8820" t="inlineStr">
        <is>
          <t>12월</t>
        </is>
      </c>
      <c r="B8820" t="inlineStr">
        <is>
          <t>52주차</t>
        </is>
      </c>
      <c r="C8820" t="e">
        <v>#N/A</v>
      </c>
      <c r="K8820" t="n">
        <v>0</v>
      </c>
      <c r="L8820" t="n">
        <v>0</v>
      </c>
      <c r="M8820" t="n">
        <v>0</v>
      </c>
    </row>
    <row r="8821">
      <c r="A8821" t="inlineStr">
        <is>
          <t>12월</t>
        </is>
      </c>
      <c r="B8821" t="inlineStr">
        <is>
          <t>52주차</t>
        </is>
      </c>
      <c r="C8821" t="e">
        <v>#N/A</v>
      </c>
      <c r="K8821" t="n">
        <v>0</v>
      </c>
      <c r="L8821" t="n">
        <v>0</v>
      </c>
      <c r="M8821" t="n">
        <v>0</v>
      </c>
    </row>
    <row r="8822">
      <c r="A8822" t="inlineStr">
        <is>
          <t>12월</t>
        </is>
      </c>
      <c r="B8822" t="inlineStr">
        <is>
          <t>52주차</t>
        </is>
      </c>
      <c r="C8822" t="e">
        <v>#N/A</v>
      </c>
      <c r="K8822" t="n">
        <v>0</v>
      </c>
      <c r="L8822" t="n">
        <v>0</v>
      </c>
      <c r="M8822" t="n">
        <v>0</v>
      </c>
    </row>
    <row r="8823">
      <c r="A8823" t="inlineStr">
        <is>
          <t>12월</t>
        </is>
      </c>
      <c r="B8823" t="inlineStr">
        <is>
          <t>52주차</t>
        </is>
      </c>
      <c r="C8823" t="e">
        <v>#N/A</v>
      </c>
      <c r="K8823" t="n">
        <v>0</v>
      </c>
      <c r="L8823" t="n">
        <v>0</v>
      </c>
      <c r="M8823" t="n">
        <v>0</v>
      </c>
    </row>
    <row r="8824">
      <c r="A8824" t="inlineStr">
        <is>
          <t>12월</t>
        </is>
      </c>
      <c r="B8824" t="inlineStr">
        <is>
          <t>52주차</t>
        </is>
      </c>
      <c r="C8824" t="e">
        <v>#N/A</v>
      </c>
      <c r="K8824" t="n">
        <v>0</v>
      </c>
      <c r="L8824" t="n">
        <v>0</v>
      </c>
      <c r="M8824" t="n">
        <v>0</v>
      </c>
    </row>
    <row r="8825">
      <c r="A8825" t="inlineStr">
        <is>
          <t>12월</t>
        </is>
      </c>
      <c r="B8825" t="inlineStr">
        <is>
          <t>52주차</t>
        </is>
      </c>
      <c r="C8825" t="e">
        <v>#N/A</v>
      </c>
      <c r="K8825" t="n">
        <v>0</v>
      </c>
      <c r="L8825" t="n">
        <v>0</v>
      </c>
      <c r="M8825" t="n">
        <v>0</v>
      </c>
    </row>
    <row r="8826">
      <c r="A8826" t="inlineStr">
        <is>
          <t>12월</t>
        </is>
      </c>
      <c r="B8826" t="inlineStr">
        <is>
          <t>52주차</t>
        </is>
      </c>
      <c r="C8826" t="e">
        <v>#N/A</v>
      </c>
      <c r="K8826" t="n">
        <v>0</v>
      </c>
      <c r="L8826" t="n">
        <v>0</v>
      </c>
      <c r="M8826" t="n">
        <v>0</v>
      </c>
    </row>
    <row r="8827">
      <c r="A8827" t="inlineStr">
        <is>
          <t>12월</t>
        </is>
      </c>
      <c r="B8827" t="inlineStr">
        <is>
          <t>52주차</t>
        </is>
      </c>
      <c r="C8827" t="e">
        <v>#N/A</v>
      </c>
      <c r="K8827" t="n">
        <v>0</v>
      </c>
      <c r="L8827" t="n">
        <v>0</v>
      </c>
      <c r="M8827" t="n">
        <v>0</v>
      </c>
    </row>
    <row r="8828">
      <c r="A8828" t="inlineStr">
        <is>
          <t>12월</t>
        </is>
      </c>
      <c r="B8828" t="inlineStr">
        <is>
          <t>52주차</t>
        </is>
      </c>
      <c r="C8828" t="e">
        <v>#N/A</v>
      </c>
      <c r="K8828" t="n">
        <v>0</v>
      </c>
      <c r="L8828" t="n">
        <v>0</v>
      </c>
      <c r="M8828" t="n">
        <v>0</v>
      </c>
    </row>
    <row r="8829">
      <c r="A8829" t="inlineStr">
        <is>
          <t>12월</t>
        </is>
      </c>
      <c r="B8829" t="inlineStr">
        <is>
          <t>52주차</t>
        </is>
      </c>
      <c r="C8829" t="e">
        <v>#N/A</v>
      </c>
      <c r="K8829" t="n">
        <v>0</v>
      </c>
      <c r="L8829" t="n">
        <v>0</v>
      </c>
      <c r="M8829" t="n">
        <v>0</v>
      </c>
    </row>
    <row r="8830">
      <c r="A8830" t="inlineStr">
        <is>
          <t>12월</t>
        </is>
      </c>
      <c r="B8830" t="inlineStr">
        <is>
          <t>52주차</t>
        </is>
      </c>
      <c r="C8830" t="e">
        <v>#N/A</v>
      </c>
      <c r="K8830" t="n">
        <v>0</v>
      </c>
      <c r="L8830" t="n">
        <v>0</v>
      </c>
      <c r="M8830" t="n">
        <v>0</v>
      </c>
    </row>
    <row r="8831">
      <c r="A8831" t="inlineStr">
        <is>
          <t>12월</t>
        </is>
      </c>
      <c r="B8831" t="inlineStr">
        <is>
          <t>52주차</t>
        </is>
      </c>
      <c r="C8831" t="e">
        <v>#N/A</v>
      </c>
      <c r="K8831" t="n">
        <v>0</v>
      </c>
      <c r="L8831" t="n">
        <v>0</v>
      </c>
      <c r="M8831" t="n">
        <v>0</v>
      </c>
    </row>
    <row r="8832">
      <c r="A8832" t="inlineStr">
        <is>
          <t>12월</t>
        </is>
      </c>
      <c r="B8832" t="inlineStr">
        <is>
          <t>52주차</t>
        </is>
      </c>
      <c r="C8832" t="e">
        <v>#N/A</v>
      </c>
      <c r="K8832" t="n">
        <v>0</v>
      </c>
      <c r="L8832" t="n">
        <v>0</v>
      </c>
      <c r="M8832" t="n">
        <v>0</v>
      </c>
    </row>
    <row r="8833">
      <c r="A8833" t="inlineStr">
        <is>
          <t>12월</t>
        </is>
      </c>
      <c r="B8833" t="inlineStr">
        <is>
          <t>52주차</t>
        </is>
      </c>
      <c r="C8833" t="e">
        <v>#N/A</v>
      </c>
      <c r="K8833" t="n">
        <v>0</v>
      </c>
      <c r="L8833" t="n">
        <v>0</v>
      </c>
      <c r="M8833" t="n">
        <v>0</v>
      </c>
    </row>
    <row r="8834">
      <c r="A8834" t="inlineStr">
        <is>
          <t>12월</t>
        </is>
      </c>
      <c r="B8834" t="inlineStr">
        <is>
          <t>52주차</t>
        </is>
      </c>
      <c r="C8834" t="e">
        <v>#N/A</v>
      </c>
      <c r="K8834" t="n">
        <v>0</v>
      </c>
      <c r="L8834" t="n">
        <v>0</v>
      </c>
      <c r="M8834" t="n">
        <v>0</v>
      </c>
    </row>
    <row r="8835">
      <c r="A8835" t="inlineStr">
        <is>
          <t>12월</t>
        </is>
      </c>
      <c r="B8835" t="inlineStr">
        <is>
          <t>52주차</t>
        </is>
      </c>
      <c r="C8835" t="e">
        <v>#N/A</v>
      </c>
      <c r="K8835" t="n">
        <v>0</v>
      </c>
      <c r="L8835" t="n">
        <v>0</v>
      </c>
      <c r="M8835" t="n">
        <v>0</v>
      </c>
    </row>
    <row r="8836">
      <c r="A8836" t="inlineStr">
        <is>
          <t>12월</t>
        </is>
      </c>
      <c r="B8836" t="inlineStr">
        <is>
          <t>52주차</t>
        </is>
      </c>
      <c r="C8836" t="e">
        <v>#N/A</v>
      </c>
      <c r="K8836" t="n">
        <v>0</v>
      </c>
      <c r="L8836" t="n">
        <v>0</v>
      </c>
      <c r="M8836" t="n">
        <v>0</v>
      </c>
    </row>
    <row r="8837">
      <c r="A8837" t="inlineStr">
        <is>
          <t>12월</t>
        </is>
      </c>
      <c r="B8837" t="inlineStr">
        <is>
          <t>52주차</t>
        </is>
      </c>
      <c r="C8837" t="e">
        <v>#N/A</v>
      </c>
      <c r="K8837" t="n">
        <v>0</v>
      </c>
      <c r="L8837" t="n">
        <v>0</v>
      </c>
      <c r="M8837" t="n">
        <v>0</v>
      </c>
    </row>
    <row r="8838">
      <c r="A8838" t="inlineStr">
        <is>
          <t>12월</t>
        </is>
      </c>
      <c r="B8838" t="inlineStr">
        <is>
          <t>52주차</t>
        </is>
      </c>
      <c r="C8838" t="e">
        <v>#N/A</v>
      </c>
      <c r="K8838" t="n">
        <v>0</v>
      </c>
      <c r="L8838" t="n">
        <v>0</v>
      </c>
      <c r="M8838" t="n">
        <v>0</v>
      </c>
    </row>
    <row r="8839">
      <c r="A8839" t="inlineStr">
        <is>
          <t>12월</t>
        </is>
      </c>
      <c r="B8839" t="inlineStr">
        <is>
          <t>52주차</t>
        </is>
      </c>
      <c r="C8839" t="e">
        <v>#N/A</v>
      </c>
      <c r="K8839" t="n">
        <v>0</v>
      </c>
      <c r="L8839" t="n">
        <v>0</v>
      </c>
      <c r="M8839" t="n">
        <v>0</v>
      </c>
    </row>
    <row r="8840">
      <c r="A8840" t="inlineStr">
        <is>
          <t>12월</t>
        </is>
      </c>
      <c r="B8840" t="inlineStr">
        <is>
          <t>52주차</t>
        </is>
      </c>
      <c r="C8840" t="e">
        <v>#N/A</v>
      </c>
      <c r="K8840" t="n">
        <v>0</v>
      </c>
      <c r="L8840" t="n">
        <v>0</v>
      </c>
      <c r="M8840" t="n">
        <v>0</v>
      </c>
    </row>
    <row r="8841">
      <c r="A8841" t="inlineStr">
        <is>
          <t>12월</t>
        </is>
      </c>
      <c r="B8841" t="inlineStr">
        <is>
          <t>52주차</t>
        </is>
      </c>
      <c r="C8841" t="e">
        <v>#N/A</v>
      </c>
      <c r="K8841" t="n">
        <v>0</v>
      </c>
      <c r="L8841" t="n">
        <v>0</v>
      </c>
      <c r="M8841" t="n">
        <v>0</v>
      </c>
    </row>
    <row r="8842">
      <c r="A8842" t="inlineStr">
        <is>
          <t>12월</t>
        </is>
      </c>
      <c r="B8842" t="inlineStr">
        <is>
          <t>52주차</t>
        </is>
      </c>
      <c r="C8842" t="e">
        <v>#N/A</v>
      </c>
      <c r="K8842" t="n">
        <v>0</v>
      </c>
      <c r="L8842" t="n">
        <v>0</v>
      </c>
      <c r="M8842" t="n">
        <v>0</v>
      </c>
    </row>
    <row r="8843">
      <c r="A8843" t="inlineStr">
        <is>
          <t>12월</t>
        </is>
      </c>
      <c r="B8843" t="inlineStr">
        <is>
          <t>52주차</t>
        </is>
      </c>
      <c r="C8843" t="e">
        <v>#N/A</v>
      </c>
      <c r="K8843" t="n">
        <v>0</v>
      </c>
      <c r="L8843" t="n">
        <v>0</v>
      </c>
      <c r="M8843" t="n">
        <v>0</v>
      </c>
    </row>
    <row r="8844">
      <c r="A8844" t="inlineStr">
        <is>
          <t>12월</t>
        </is>
      </c>
      <c r="B8844" t="inlineStr">
        <is>
          <t>52주차</t>
        </is>
      </c>
      <c r="C8844" t="e">
        <v>#N/A</v>
      </c>
      <c r="K8844" t="n">
        <v>0</v>
      </c>
      <c r="L8844" t="n">
        <v>0</v>
      </c>
      <c r="M8844" t="n">
        <v>0</v>
      </c>
    </row>
    <row r="8845">
      <c r="A8845" t="inlineStr">
        <is>
          <t>12월</t>
        </is>
      </c>
      <c r="B8845" t="inlineStr">
        <is>
          <t>52주차</t>
        </is>
      </c>
      <c r="C8845" t="e">
        <v>#N/A</v>
      </c>
      <c r="K8845" t="n">
        <v>0</v>
      </c>
      <c r="L8845" t="n">
        <v>0</v>
      </c>
      <c r="M8845" t="n">
        <v>0</v>
      </c>
    </row>
    <row r="8846">
      <c r="A8846" t="inlineStr">
        <is>
          <t>12월</t>
        </is>
      </c>
      <c r="B8846" t="inlineStr">
        <is>
          <t>52주차</t>
        </is>
      </c>
      <c r="C8846" t="e">
        <v>#N/A</v>
      </c>
      <c r="K8846" t="n">
        <v>0</v>
      </c>
      <c r="L8846" t="n">
        <v>0</v>
      </c>
      <c r="M8846" t="n">
        <v>0</v>
      </c>
    </row>
    <row r="8847">
      <c r="A8847" t="inlineStr">
        <is>
          <t>12월</t>
        </is>
      </c>
      <c r="B8847" t="inlineStr">
        <is>
          <t>52주차</t>
        </is>
      </c>
      <c r="C8847" t="e">
        <v>#N/A</v>
      </c>
      <c r="K8847" t="n">
        <v>0</v>
      </c>
      <c r="L8847" t="n">
        <v>0</v>
      </c>
      <c r="M8847" t="n">
        <v>0</v>
      </c>
    </row>
    <row r="8848">
      <c r="A8848" t="inlineStr">
        <is>
          <t>12월</t>
        </is>
      </c>
      <c r="B8848" t="inlineStr">
        <is>
          <t>52주차</t>
        </is>
      </c>
      <c r="C8848" t="e">
        <v>#N/A</v>
      </c>
      <c r="K8848" t="n">
        <v>0</v>
      </c>
      <c r="L8848" t="n">
        <v>0</v>
      </c>
      <c r="M8848" t="n">
        <v>0</v>
      </c>
    </row>
    <row r="8849">
      <c r="A8849" t="inlineStr">
        <is>
          <t>12월</t>
        </is>
      </c>
      <c r="B8849" t="inlineStr">
        <is>
          <t>52주차</t>
        </is>
      </c>
      <c r="C8849" t="e">
        <v>#N/A</v>
      </c>
      <c r="K8849" t="n">
        <v>0</v>
      </c>
      <c r="L8849" t="n">
        <v>0</v>
      </c>
      <c r="M8849" t="n">
        <v>0</v>
      </c>
    </row>
    <row r="8850">
      <c r="A8850" t="inlineStr">
        <is>
          <t>12월</t>
        </is>
      </c>
      <c r="B8850" t="inlineStr">
        <is>
          <t>52주차</t>
        </is>
      </c>
      <c r="C8850" t="e">
        <v>#N/A</v>
      </c>
      <c r="K8850" t="n">
        <v>0</v>
      </c>
      <c r="L8850" t="n">
        <v>0</v>
      </c>
      <c r="M8850" t="n">
        <v>0</v>
      </c>
    </row>
    <row r="8851">
      <c r="A8851" t="inlineStr">
        <is>
          <t>12월</t>
        </is>
      </c>
      <c r="B8851" t="inlineStr">
        <is>
          <t>52주차</t>
        </is>
      </c>
      <c r="C8851" t="e">
        <v>#N/A</v>
      </c>
      <c r="K8851" t="n">
        <v>0</v>
      </c>
      <c r="L8851" t="n">
        <v>0</v>
      </c>
      <c r="M8851" t="n">
        <v>0</v>
      </c>
    </row>
    <row r="8852">
      <c r="A8852" t="inlineStr">
        <is>
          <t>12월</t>
        </is>
      </c>
      <c r="B8852" t="inlineStr">
        <is>
          <t>52주차</t>
        </is>
      </c>
      <c r="C8852" t="e">
        <v>#N/A</v>
      </c>
      <c r="K8852" t="n">
        <v>0</v>
      </c>
      <c r="L8852" t="n">
        <v>0</v>
      </c>
      <c r="M8852" t="n">
        <v>0</v>
      </c>
    </row>
    <row r="8853">
      <c r="A8853" t="inlineStr">
        <is>
          <t>12월</t>
        </is>
      </c>
      <c r="B8853" t="inlineStr">
        <is>
          <t>52주차</t>
        </is>
      </c>
      <c r="C8853" t="e">
        <v>#N/A</v>
      </c>
      <c r="K8853" t="n">
        <v>0</v>
      </c>
      <c r="L8853" t="n">
        <v>0</v>
      </c>
      <c r="M8853" t="n">
        <v>0</v>
      </c>
    </row>
    <row r="8854">
      <c r="A8854" t="inlineStr">
        <is>
          <t>12월</t>
        </is>
      </c>
      <c r="B8854" t="inlineStr">
        <is>
          <t>52주차</t>
        </is>
      </c>
      <c r="C8854" t="e">
        <v>#N/A</v>
      </c>
      <c r="K8854" t="n">
        <v>0</v>
      </c>
      <c r="L8854" t="n">
        <v>0</v>
      </c>
      <c r="M8854" t="n">
        <v>0</v>
      </c>
    </row>
    <row r="8855">
      <c r="A8855" t="inlineStr">
        <is>
          <t>12월</t>
        </is>
      </c>
      <c r="B8855" t="inlineStr">
        <is>
          <t>52주차</t>
        </is>
      </c>
      <c r="C8855" t="e">
        <v>#N/A</v>
      </c>
      <c r="K8855" t="n">
        <v>0</v>
      </c>
      <c r="L8855" t="n">
        <v>0</v>
      </c>
      <c r="M8855" t="n">
        <v>0</v>
      </c>
    </row>
    <row r="8856">
      <c r="A8856" t="inlineStr">
        <is>
          <t>12월</t>
        </is>
      </c>
      <c r="B8856" t="inlineStr">
        <is>
          <t>52주차</t>
        </is>
      </c>
      <c r="C8856" t="e">
        <v>#N/A</v>
      </c>
      <c r="K8856" t="n">
        <v>0</v>
      </c>
      <c r="L8856" t="n">
        <v>0</v>
      </c>
      <c r="M8856" t="n">
        <v>0</v>
      </c>
    </row>
    <row r="8857">
      <c r="A8857" t="inlineStr">
        <is>
          <t>12월</t>
        </is>
      </c>
      <c r="B8857" t="inlineStr">
        <is>
          <t>52주차</t>
        </is>
      </c>
      <c r="C8857" t="e">
        <v>#N/A</v>
      </c>
      <c r="K8857" t="n">
        <v>0</v>
      </c>
      <c r="L8857" t="n">
        <v>0</v>
      </c>
      <c r="M8857" t="n">
        <v>0</v>
      </c>
    </row>
    <row r="8858">
      <c r="A8858" t="inlineStr">
        <is>
          <t>12월</t>
        </is>
      </c>
      <c r="B8858" t="inlineStr">
        <is>
          <t>52주차</t>
        </is>
      </c>
      <c r="C8858" t="e">
        <v>#N/A</v>
      </c>
      <c r="K8858" t="n">
        <v>0</v>
      </c>
      <c r="L8858" t="n">
        <v>0</v>
      </c>
      <c r="M8858" t="n">
        <v>0</v>
      </c>
    </row>
    <row r="8859">
      <c r="A8859" t="inlineStr">
        <is>
          <t>12월</t>
        </is>
      </c>
      <c r="B8859" t="inlineStr">
        <is>
          <t>52주차</t>
        </is>
      </c>
      <c r="C8859" t="e">
        <v>#N/A</v>
      </c>
      <c r="K8859" t="n">
        <v>0</v>
      </c>
      <c r="L8859" t="n">
        <v>0</v>
      </c>
      <c r="M8859" t="n">
        <v>0</v>
      </c>
    </row>
    <row r="8860">
      <c r="A8860" t="inlineStr">
        <is>
          <t>12월</t>
        </is>
      </c>
      <c r="B8860" t="inlineStr">
        <is>
          <t>52주차</t>
        </is>
      </c>
      <c r="C8860" t="e">
        <v>#N/A</v>
      </c>
      <c r="K8860" t="n">
        <v>0</v>
      </c>
      <c r="L8860" t="n">
        <v>0</v>
      </c>
      <c r="M8860" t="n">
        <v>0</v>
      </c>
    </row>
    <row r="8861">
      <c r="A8861" t="inlineStr">
        <is>
          <t>12월</t>
        </is>
      </c>
      <c r="B8861" t="inlineStr">
        <is>
          <t>52주차</t>
        </is>
      </c>
      <c r="C8861" t="e">
        <v>#N/A</v>
      </c>
      <c r="K8861" t="n">
        <v>0</v>
      </c>
      <c r="L8861" t="n">
        <v>0</v>
      </c>
      <c r="M8861" t="n">
        <v>0</v>
      </c>
    </row>
    <row r="8862">
      <c r="A8862" t="inlineStr">
        <is>
          <t>12월</t>
        </is>
      </c>
      <c r="B8862" t="inlineStr">
        <is>
          <t>52주차</t>
        </is>
      </c>
      <c r="C8862" t="e">
        <v>#N/A</v>
      </c>
      <c r="K8862" t="n">
        <v>0</v>
      </c>
      <c r="L8862" t="n">
        <v>0</v>
      </c>
      <c r="M8862" t="n">
        <v>0</v>
      </c>
    </row>
    <row r="8863">
      <c r="A8863" t="inlineStr">
        <is>
          <t>12월</t>
        </is>
      </c>
      <c r="B8863" t="inlineStr">
        <is>
          <t>52주차</t>
        </is>
      </c>
      <c r="C8863" t="e">
        <v>#N/A</v>
      </c>
      <c r="K8863" t="n">
        <v>0</v>
      </c>
      <c r="L8863" t="n">
        <v>0</v>
      </c>
      <c r="M8863" t="n">
        <v>0</v>
      </c>
    </row>
    <row r="8864">
      <c r="A8864" t="inlineStr">
        <is>
          <t>12월</t>
        </is>
      </c>
      <c r="B8864" t="inlineStr">
        <is>
          <t>52주차</t>
        </is>
      </c>
      <c r="C8864" t="e">
        <v>#N/A</v>
      </c>
      <c r="K8864" t="n">
        <v>0</v>
      </c>
      <c r="L8864" t="n">
        <v>0</v>
      </c>
      <c r="M8864" t="n">
        <v>0</v>
      </c>
    </row>
    <row r="8865">
      <c r="A8865" t="inlineStr">
        <is>
          <t>12월</t>
        </is>
      </c>
      <c r="B8865" t="inlineStr">
        <is>
          <t>52주차</t>
        </is>
      </c>
      <c r="C8865" t="e">
        <v>#N/A</v>
      </c>
      <c r="K8865" t="n">
        <v>0</v>
      </c>
      <c r="L8865" t="n">
        <v>0</v>
      </c>
      <c r="M8865" t="n">
        <v>0</v>
      </c>
    </row>
    <row r="8866">
      <c r="A8866" t="inlineStr">
        <is>
          <t>12월</t>
        </is>
      </c>
      <c r="B8866" t="inlineStr">
        <is>
          <t>52주차</t>
        </is>
      </c>
      <c r="C8866" t="e">
        <v>#N/A</v>
      </c>
      <c r="K8866" t="n">
        <v>0</v>
      </c>
      <c r="L8866" t="n">
        <v>0</v>
      </c>
      <c r="M8866" t="n">
        <v>0</v>
      </c>
    </row>
    <row r="8867">
      <c r="A8867" t="inlineStr">
        <is>
          <t>12월</t>
        </is>
      </c>
      <c r="B8867" t="inlineStr">
        <is>
          <t>52주차</t>
        </is>
      </c>
      <c r="C8867" t="e">
        <v>#N/A</v>
      </c>
      <c r="K8867" t="n">
        <v>0</v>
      </c>
      <c r="L8867" t="n">
        <v>0</v>
      </c>
      <c r="M8867" t="n">
        <v>0</v>
      </c>
    </row>
    <row r="8868">
      <c r="A8868" t="inlineStr">
        <is>
          <t>12월</t>
        </is>
      </c>
      <c r="B8868" t="inlineStr">
        <is>
          <t>52주차</t>
        </is>
      </c>
      <c r="C8868" t="e">
        <v>#N/A</v>
      </c>
      <c r="K8868" t="n">
        <v>0</v>
      </c>
      <c r="L8868" t="n">
        <v>0</v>
      </c>
      <c r="M8868" t="n">
        <v>0</v>
      </c>
    </row>
    <row r="8869">
      <c r="A8869" t="inlineStr">
        <is>
          <t>12월</t>
        </is>
      </c>
      <c r="B8869" t="inlineStr">
        <is>
          <t>52주차</t>
        </is>
      </c>
      <c r="C8869" t="e">
        <v>#N/A</v>
      </c>
      <c r="K8869" t="n">
        <v>0</v>
      </c>
      <c r="L8869" t="n">
        <v>0</v>
      </c>
      <c r="M8869" t="n">
        <v>0</v>
      </c>
    </row>
    <row r="8870">
      <c r="A8870" t="inlineStr">
        <is>
          <t>12월</t>
        </is>
      </c>
      <c r="B8870" t="inlineStr">
        <is>
          <t>52주차</t>
        </is>
      </c>
      <c r="C8870" t="e">
        <v>#N/A</v>
      </c>
      <c r="K8870" t="n">
        <v>0</v>
      </c>
      <c r="L8870" t="n">
        <v>0</v>
      </c>
      <c r="M8870" t="n">
        <v>0</v>
      </c>
    </row>
    <row r="8871">
      <c r="A8871" t="inlineStr">
        <is>
          <t>12월</t>
        </is>
      </c>
      <c r="B8871" t="inlineStr">
        <is>
          <t>52주차</t>
        </is>
      </c>
      <c r="C8871" t="e">
        <v>#N/A</v>
      </c>
      <c r="K8871" t="n">
        <v>0</v>
      </c>
      <c r="L8871" t="n">
        <v>0</v>
      </c>
      <c r="M8871" t="n">
        <v>0</v>
      </c>
    </row>
    <row r="8872">
      <c r="A8872" t="inlineStr">
        <is>
          <t>12월</t>
        </is>
      </c>
      <c r="B8872" t="inlineStr">
        <is>
          <t>52주차</t>
        </is>
      </c>
      <c r="C8872" t="e">
        <v>#N/A</v>
      </c>
      <c r="K8872" t="n">
        <v>0</v>
      </c>
      <c r="L8872" t="n">
        <v>0</v>
      </c>
      <c r="M8872" t="n">
        <v>0</v>
      </c>
    </row>
    <row r="8873">
      <c r="A8873" t="inlineStr">
        <is>
          <t>12월</t>
        </is>
      </c>
      <c r="B8873" t="inlineStr">
        <is>
          <t>52주차</t>
        </is>
      </c>
      <c r="C8873" t="e">
        <v>#N/A</v>
      </c>
      <c r="K8873" t="n">
        <v>0</v>
      </c>
      <c r="L8873" t="n">
        <v>0</v>
      </c>
      <c r="M8873" t="n">
        <v>0</v>
      </c>
    </row>
    <row r="8874">
      <c r="A8874" t="inlineStr">
        <is>
          <t>12월</t>
        </is>
      </c>
      <c r="B8874" t="inlineStr">
        <is>
          <t>52주차</t>
        </is>
      </c>
      <c r="C8874" t="e">
        <v>#N/A</v>
      </c>
      <c r="K8874" t="n">
        <v>0</v>
      </c>
      <c r="L8874" t="n">
        <v>0</v>
      </c>
      <c r="M8874" t="n">
        <v>0</v>
      </c>
    </row>
    <row r="8875">
      <c r="A8875" t="inlineStr">
        <is>
          <t>12월</t>
        </is>
      </c>
      <c r="B8875" t="inlineStr">
        <is>
          <t>52주차</t>
        </is>
      </c>
      <c r="C8875" t="e">
        <v>#N/A</v>
      </c>
      <c r="K8875" t="n">
        <v>0</v>
      </c>
      <c r="L8875" t="n">
        <v>0</v>
      </c>
      <c r="M8875" t="n">
        <v>0</v>
      </c>
    </row>
    <row r="8876">
      <c r="A8876" t="inlineStr">
        <is>
          <t>12월</t>
        </is>
      </c>
      <c r="B8876" t="inlineStr">
        <is>
          <t>52주차</t>
        </is>
      </c>
      <c r="C8876" t="e">
        <v>#N/A</v>
      </c>
      <c r="K8876" t="n">
        <v>0</v>
      </c>
      <c r="L8876" t="n">
        <v>0</v>
      </c>
      <c r="M8876" t="n">
        <v>0</v>
      </c>
    </row>
    <row r="8877">
      <c r="A8877" t="inlineStr">
        <is>
          <t>12월</t>
        </is>
      </c>
      <c r="B8877" t="inlineStr">
        <is>
          <t>52주차</t>
        </is>
      </c>
      <c r="C8877" t="e">
        <v>#N/A</v>
      </c>
      <c r="K8877" t="n">
        <v>0</v>
      </c>
      <c r="L8877" t="n">
        <v>0</v>
      </c>
      <c r="M8877" t="n">
        <v>0</v>
      </c>
    </row>
    <row r="8878">
      <c r="A8878" t="inlineStr">
        <is>
          <t>12월</t>
        </is>
      </c>
      <c r="B8878" t="inlineStr">
        <is>
          <t>52주차</t>
        </is>
      </c>
      <c r="C8878" t="e">
        <v>#N/A</v>
      </c>
      <c r="K8878" t="n">
        <v>0</v>
      </c>
      <c r="L8878" t="n">
        <v>0</v>
      </c>
      <c r="M8878" t="n">
        <v>0</v>
      </c>
    </row>
    <row r="8879">
      <c r="A8879" t="inlineStr">
        <is>
          <t>12월</t>
        </is>
      </c>
      <c r="B8879" t="inlineStr">
        <is>
          <t>52주차</t>
        </is>
      </c>
      <c r="C8879" t="e">
        <v>#N/A</v>
      </c>
      <c r="K8879" t="n">
        <v>0</v>
      </c>
      <c r="L8879" t="n">
        <v>0</v>
      </c>
      <c r="M8879" t="n">
        <v>0</v>
      </c>
    </row>
    <row r="8880">
      <c r="A8880" t="inlineStr">
        <is>
          <t>12월</t>
        </is>
      </c>
      <c r="B8880" t="inlineStr">
        <is>
          <t>52주차</t>
        </is>
      </c>
      <c r="C8880" t="e">
        <v>#N/A</v>
      </c>
      <c r="K8880" t="n">
        <v>0</v>
      </c>
      <c r="L8880" t="n">
        <v>0</v>
      </c>
      <c r="M8880" t="n">
        <v>0</v>
      </c>
    </row>
    <row r="8881">
      <c r="A8881" t="inlineStr">
        <is>
          <t>12월</t>
        </is>
      </c>
      <c r="B8881" t="inlineStr">
        <is>
          <t>52주차</t>
        </is>
      </c>
      <c r="C8881" t="e">
        <v>#N/A</v>
      </c>
      <c r="K8881" t="n">
        <v>0</v>
      </c>
      <c r="L8881" t="n">
        <v>0</v>
      </c>
      <c r="M8881" t="n">
        <v>0</v>
      </c>
    </row>
    <row r="8882">
      <c r="A8882" t="inlineStr">
        <is>
          <t>12월</t>
        </is>
      </c>
      <c r="B8882" t="inlineStr">
        <is>
          <t>52주차</t>
        </is>
      </c>
      <c r="C8882" t="e">
        <v>#N/A</v>
      </c>
      <c r="K8882" t="n">
        <v>0</v>
      </c>
      <c r="L8882" t="n">
        <v>0</v>
      </c>
      <c r="M8882" t="n">
        <v>0</v>
      </c>
    </row>
    <row r="8883">
      <c r="A8883" t="inlineStr">
        <is>
          <t>12월</t>
        </is>
      </c>
      <c r="B8883" t="inlineStr">
        <is>
          <t>52주차</t>
        </is>
      </c>
      <c r="C8883" t="e">
        <v>#N/A</v>
      </c>
      <c r="K8883" t="n">
        <v>0</v>
      </c>
      <c r="L8883" t="n">
        <v>0</v>
      </c>
      <c r="M8883" t="n">
        <v>0</v>
      </c>
    </row>
    <row r="8884">
      <c r="A8884" t="inlineStr">
        <is>
          <t>12월</t>
        </is>
      </c>
      <c r="B8884" t="inlineStr">
        <is>
          <t>52주차</t>
        </is>
      </c>
      <c r="C8884" t="e">
        <v>#N/A</v>
      </c>
      <c r="K8884" t="n">
        <v>0</v>
      </c>
      <c r="L8884" t="n">
        <v>0</v>
      </c>
      <c r="M8884" t="n">
        <v>0</v>
      </c>
    </row>
    <row r="8885">
      <c r="A8885" t="inlineStr">
        <is>
          <t>12월</t>
        </is>
      </c>
      <c r="B8885" t="inlineStr">
        <is>
          <t>52주차</t>
        </is>
      </c>
      <c r="C8885" t="e">
        <v>#N/A</v>
      </c>
      <c r="K8885" t="n">
        <v>0</v>
      </c>
      <c r="L8885" t="n">
        <v>0</v>
      </c>
      <c r="M8885" t="n">
        <v>0</v>
      </c>
    </row>
    <row r="8886">
      <c r="A8886" t="inlineStr">
        <is>
          <t>12월</t>
        </is>
      </c>
      <c r="B8886" t="inlineStr">
        <is>
          <t>52주차</t>
        </is>
      </c>
      <c r="C8886" t="e">
        <v>#N/A</v>
      </c>
      <c r="K8886" t="n">
        <v>0</v>
      </c>
      <c r="L8886" t="n">
        <v>0</v>
      </c>
      <c r="M8886" t="n">
        <v>0</v>
      </c>
    </row>
    <row r="8887">
      <c r="A8887" t="inlineStr">
        <is>
          <t>12월</t>
        </is>
      </c>
      <c r="B8887" t="inlineStr">
        <is>
          <t>52주차</t>
        </is>
      </c>
      <c r="C8887" t="e">
        <v>#N/A</v>
      </c>
      <c r="K8887" t="n">
        <v>0</v>
      </c>
      <c r="L8887" t="n">
        <v>0</v>
      </c>
      <c r="M8887" t="n">
        <v>0</v>
      </c>
    </row>
    <row r="8888">
      <c r="A8888" t="inlineStr">
        <is>
          <t>12월</t>
        </is>
      </c>
      <c r="B8888" t="inlineStr">
        <is>
          <t>52주차</t>
        </is>
      </c>
      <c r="C8888" t="e">
        <v>#N/A</v>
      </c>
      <c r="K8888" t="n">
        <v>0</v>
      </c>
      <c r="L8888" t="n">
        <v>0</v>
      </c>
      <c r="M8888" t="n">
        <v>0</v>
      </c>
    </row>
    <row r="8889">
      <c r="A8889" t="inlineStr">
        <is>
          <t>12월</t>
        </is>
      </c>
      <c r="B8889" t="inlineStr">
        <is>
          <t>52주차</t>
        </is>
      </c>
      <c r="C8889" t="e">
        <v>#N/A</v>
      </c>
      <c r="K8889" t="n">
        <v>0</v>
      </c>
      <c r="L8889" t="n">
        <v>0</v>
      </c>
      <c r="M8889" t="n">
        <v>0</v>
      </c>
    </row>
    <row r="8890">
      <c r="A8890" t="inlineStr">
        <is>
          <t>12월</t>
        </is>
      </c>
      <c r="B8890" t="inlineStr">
        <is>
          <t>52주차</t>
        </is>
      </c>
      <c r="C8890" t="e">
        <v>#N/A</v>
      </c>
      <c r="K8890" t="n">
        <v>0</v>
      </c>
      <c r="L8890" t="n">
        <v>0</v>
      </c>
      <c r="M8890" t="n">
        <v>0</v>
      </c>
    </row>
    <row r="8891">
      <c r="A8891" t="inlineStr">
        <is>
          <t>12월</t>
        </is>
      </c>
      <c r="B8891" t="inlineStr">
        <is>
          <t>52주차</t>
        </is>
      </c>
      <c r="C8891" t="e">
        <v>#N/A</v>
      </c>
      <c r="K8891" t="n">
        <v>0</v>
      </c>
      <c r="L8891" t="n">
        <v>0</v>
      </c>
      <c r="M8891" t="n">
        <v>0</v>
      </c>
    </row>
    <row r="8892">
      <c r="A8892" t="inlineStr">
        <is>
          <t>12월</t>
        </is>
      </c>
      <c r="B8892" t="inlineStr">
        <is>
          <t>52주차</t>
        </is>
      </c>
      <c r="C8892" t="e">
        <v>#N/A</v>
      </c>
      <c r="K8892" t="n">
        <v>0</v>
      </c>
      <c r="L8892" t="n">
        <v>0</v>
      </c>
      <c r="M8892" t="n">
        <v>0</v>
      </c>
    </row>
    <row r="8893">
      <c r="A8893" t="inlineStr">
        <is>
          <t>12월</t>
        </is>
      </c>
      <c r="B8893" t="inlineStr">
        <is>
          <t>52주차</t>
        </is>
      </c>
      <c r="C8893" t="e">
        <v>#N/A</v>
      </c>
      <c r="K8893" t="n">
        <v>0</v>
      </c>
      <c r="L8893" t="n">
        <v>0</v>
      </c>
      <c r="M8893" t="n">
        <v>0</v>
      </c>
    </row>
    <row r="8894">
      <c r="A8894" t="inlineStr">
        <is>
          <t>12월</t>
        </is>
      </c>
      <c r="B8894" t="inlineStr">
        <is>
          <t>52주차</t>
        </is>
      </c>
      <c r="C8894" t="e">
        <v>#N/A</v>
      </c>
      <c r="K8894" t="n">
        <v>0</v>
      </c>
      <c r="L8894" t="n">
        <v>0</v>
      </c>
      <c r="M8894" t="n">
        <v>0</v>
      </c>
    </row>
    <row r="8895">
      <c r="A8895" t="inlineStr">
        <is>
          <t>12월</t>
        </is>
      </c>
      <c r="B8895" t="inlineStr">
        <is>
          <t>52주차</t>
        </is>
      </c>
      <c r="C8895" t="e">
        <v>#N/A</v>
      </c>
      <c r="K8895" t="n">
        <v>0</v>
      </c>
      <c r="L8895" t="n">
        <v>0</v>
      </c>
      <c r="M8895" t="n">
        <v>0</v>
      </c>
    </row>
    <row r="8896">
      <c r="A8896" t="inlineStr">
        <is>
          <t>12월</t>
        </is>
      </c>
      <c r="B8896" t="inlineStr">
        <is>
          <t>52주차</t>
        </is>
      </c>
      <c r="C8896" t="e">
        <v>#N/A</v>
      </c>
      <c r="K8896" t="n">
        <v>0</v>
      </c>
      <c r="L8896" t="n">
        <v>0</v>
      </c>
      <c r="M8896" t="n">
        <v>0</v>
      </c>
    </row>
    <row r="8897">
      <c r="A8897" t="inlineStr">
        <is>
          <t>12월</t>
        </is>
      </c>
      <c r="B8897" t="inlineStr">
        <is>
          <t>52주차</t>
        </is>
      </c>
      <c r="C8897" t="e">
        <v>#N/A</v>
      </c>
      <c r="K8897" t="n">
        <v>0</v>
      </c>
      <c r="L8897" t="n">
        <v>0</v>
      </c>
      <c r="M8897" t="n">
        <v>0</v>
      </c>
    </row>
    <row r="8898">
      <c r="A8898" t="inlineStr">
        <is>
          <t>12월</t>
        </is>
      </c>
      <c r="B8898" t="inlineStr">
        <is>
          <t>52주차</t>
        </is>
      </c>
      <c r="C8898" t="e">
        <v>#N/A</v>
      </c>
      <c r="K8898" t="n">
        <v>0</v>
      </c>
      <c r="L8898" t="n">
        <v>0</v>
      </c>
      <c r="M8898" t="n">
        <v>0</v>
      </c>
    </row>
    <row r="8899">
      <c r="A8899" t="inlineStr">
        <is>
          <t>12월</t>
        </is>
      </c>
      <c r="B8899" t="inlineStr">
        <is>
          <t>52주차</t>
        </is>
      </c>
      <c r="C8899" t="e">
        <v>#N/A</v>
      </c>
      <c r="K8899" t="n">
        <v>0</v>
      </c>
      <c r="L8899" t="n">
        <v>0</v>
      </c>
      <c r="M8899" t="n">
        <v>0</v>
      </c>
    </row>
    <row r="8900">
      <c r="A8900" t="inlineStr">
        <is>
          <t>12월</t>
        </is>
      </c>
      <c r="B8900" t="inlineStr">
        <is>
          <t>52주차</t>
        </is>
      </c>
      <c r="C8900" t="e">
        <v>#N/A</v>
      </c>
      <c r="K8900" t="n">
        <v>0</v>
      </c>
      <c r="L8900" t="n">
        <v>0</v>
      </c>
      <c r="M8900" t="n">
        <v>0</v>
      </c>
    </row>
    <row r="8901">
      <c r="A8901" t="inlineStr">
        <is>
          <t>12월</t>
        </is>
      </c>
      <c r="B8901" t="inlineStr">
        <is>
          <t>52주차</t>
        </is>
      </c>
      <c r="C8901" t="e">
        <v>#N/A</v>
      </c>
      <c r="K8901" t="n">
        <v>0</v>
      </c>
      <c r="L8901" t="n">
        <v>0</v>
      </c>
      <c r="M8901" t="n">
        <v>0</v>
      </c>
    </row>
    <row r="8902">
      <c r="A8902" t="inlineStr">
        <is>
          <t>12월</t>
        </is>
      </c>
      <c r="B8902" t="inlineStr">
        <is>
          <t>52주차</t>
        </is>
      </c>
      <c r="C8902" t="e">
        <v>#N/A</v>
      </c>
      <c r="K8902" t="n">
        <v>0</v>
      </c>
      <c r="L8902" t="n">
        <v>0</v>
      </c>
      <c r="M8902" t="n">
        <v>0</v>
      </c>
    </row>
    <row r="8903">
      <c r="A8903" t="inlineStr">
        <is>
          <t>12월</t>
        </is>
      </c>
      <c r="B8903" t="inlineStr">
        <is>
          <t>52주차</t>
        </is>
      </c>
      <c r="C8903" t="e">
        <v>#N/A</v>
      </c>
      <c r="K8903" t="n">
        <v>0</v>
      </c>
      <c r="L8903" t="n">
        <v>0</v>
      </c>
      <c r="M8903" t="n">
        <v>0</v>
      </c>
    </row>
    <row r="8904">
      <c r="A8904" t="inlineStr">
        <is>
          <t>12월</t>
        </is>
      </c>
      <c r="B8904" t="inlineStr">
        <is>
          <t>52주차</t>
        </is>
      </c>
      <c r="C8904" t="e">
        <v>#N/A</v>
      </c>
      <c r="K8904" t="n">
        <v>0</v>
      </c>
      <c r="L8904" t="n">
        <v>0</v>
      </c>
      <c r="M8904" t="n">
        <v>0</v>
      </c>
    </row>
    <row r="8905">
      <c r="A8905" t="inlineStr">
        <is>
          <t>12월</t>
        </is>
      </c>
      <c r="B8905" t="inlineStr">
        <is>
          <t>52주차</t>
        </is>
      </c>
      <c r="C8905" t="e">
        <v>#N/A</v>
      </c>
      <c r="K8905" t="n">
        <v>0</v>
      </c>
      <c r="L8905" t="n">
        <v>0</v>
      </c>
      <c r="M8905" t="n">
        <v>0</v>
      </c>
    </row>
    <row r="8906">
      <c r="A8906" t="inlineStr">
        <is>
          <t>12월</t>
        </is>
      </c>
      <c r="B8906" t="inlineStr">
        <is>
          <t>52주차</t>
        </is>
      </c>
      <c r="C8906" t="e">
        <v>#N/A</v>
      </c>
      <c r="K8906" t="n">
        <v>0</v>
      </c>
      <c r="L8906" t="n">
        <v>0</v>
      </c>
      <c r="M8906" t="n">
        <v>0</v>
      </c>
    </row>
    <row r="8907">
      <c r="A8907" t="inlineStr">
        <is>
          <t>12월</t>
        </is>
      </c>
      <c r="B8907" t="inlineStr">
        <is>
          <t>52주차</t>
        </is>
      </c>
      <c r="C8907" t="e">
        <v>#N/A</v>
      </c>
      <c r="K8907" t="n">
        <v>0</v>
      </c>
      <c r="L8907" t="n">
        <v>0</v>
      </c>
      <c r="M8907" t="n">
        <v>0</v>
      </c>
    </row>
    <row r="8908">
      <c r="A8908" t="inlineStr">
        <is>
          <t>12월</t>
        </is>
      </c>
      <c r="B8908" t="inlineStr">
        <is>
          <t>52주차</t>
        </is>
      </c>
      <c r="C8908" t="e">
        <v>#N/A</v>
      </c>
      <c r="K8908" t="n">
        <v>0</v>
      </c>
      <c r="L8908" t="n">
        <v>0</v>
      </c>
      <c r="M8908" t="n">
        <v>0</v>
      </c>
    </row>
    <row r="8909">
      <c r="A8909" t="inlineStr">
        <is>
          <t>12월</t>
        </is>
      </c>
      <c r="B8909" t="inlineStr">
        <is>
          <t>52주차</t>
        </is>
      </c>
      <c r="C8909" t="e">
        <v>#N/A</v>
      </c>
      <c r="K8909" t="n">
        <v>0</v>
      </c>
      <c r="L8909" t="n">
        <v>0</v>
      </c>
      <c r="M8909" t="n">
        <v>0</v>
      </c>
    </row>
    <row r="8910">
      <c r="A8910" t="inlineStr">
        <is>
          <t>12월</t>
        </is>
      </c>
      <c r="B8910" t="inlineStr">
        <is>
          <t>52주차</t>
        </is>
      </c>
      <c r="C8910" t="e">
        <v>#N/A</v>
      </c>
      <c r="K8910" t="n">
        <v>0</v>
      </c>
      <c r="L8910" t="n">
        <v>0</v>
      </c>
      <c r="M8910" t="n">
        <v>0</v>
      </c>
    </row>
    <row r="8911">
      <c r="A8911" t="inlineStr">
        <is>
          <t>12월</t>
        </is>
      </c>
      <c r="B8911" t="inlineStr">
        <is>
          <t>52주차</t>
        </is>
      </c>
      <c r="C8911" t="e">
        <v>#N/A</v>
      </c>
      <c r="K8911" t="n">
        <v>0</v>
      </c>
      <c r="L8911" t="n">
        <v>0</v>
      </c>
      <c r="M8911" t="n">
        <v>0</v>
      </c>
    </row>
    <row r="8912">
      <c r="A8912" t="inlineStr">
        <is>
          <t>12월</t>
        </is>
      </c>
      <c r="B8912" t="inlineStr">
        <is>
          <t>52주차</t>
        </is>
      </c>
      <c r="C8912" t="e">
        <v>#N/A</v>
      </c>
      <c r="K8912" t="n">
        <v>0</v>
      </c>
      <c r="L8912" t="n">
        <v>0</v>
      </c>
      <c r="M8912" t="n">
        <v>0</v>
      </c>
    </row>
    <row r="8913">
      <c r="A8913" t="inlineStr">
        <is>
          <t>12월</t>
        </is>
      </c>
      <c r="B8913" t="inlineStr">
        <is>
          <t>52주차</t>
        </is>
      </c>
      <c r="C8913" t="e">
        <v>#N/A</v>
      </c>
      <c r="K8913" t="n">
        <v>0</v>
      </c>
      <c r="L8913" t="n">
        <v>0</v>
      </c>
      <c r="M8913" t="n">
        <v>0</v>
      </c>
    </row>
    <row r="8914">
      <c r="A8914" t="inlineStr">
        <is>
          <t>12월</t>
        </is>
      </c>
      <c r="B8914" t="inlineStr">
        <is>
          <t>52주차</t>
        </is>
      </c>
      <c r="C8914" t="e">
        <v>#N/A</v>
      </c>
      <c r="K8914" t="n">
        <v>0</v>
      </c>
      <c r="L8914" t="n">
        <v>0</v>
      </c>
      <c r="M8914" t="n">
        <v>0</v>
      </c>
    </row>
    <row r="8915">
      <c r="A8915" t="inlineStr">
        <is>
          <t>12월</t>
        </is>
      </c>
      <c r="B8915" t="inlineStr">
        <is>
          <t>52주차</t>
        </is>
      </c>
      <c r="C8915" t="e">
        <v>#N/A</v>
      </c>
      <c r="K8915" t="n">
        <v>0</v>
      </c>
      <c r="L8915" t="n">
        <v>0</v>
      </c>
      <c r="M8915" t="n">
        <v>0</v>
      </c>
    </row>
    <row r="8916">
      <c r="A8916" t="inlineStr">
        <is>
          <t>12월</t>
        </is>
      </c>
      <c r="B8916" t="inlineStr">
        <is>
          <t>52주차</t>
        </is>
      </c>
      <c r="C8916" t="e">
        <v>#N/A</v>
      </c>
      <c r="K8916" t="n">
        <v>0</v>
      </c>
      <c r="L8916" t="n">
        <v>0</v>
      </c>
      <c r="M8916" t="n">
        <v>0</v>
      </c>
    </row>
    <row r="8917">
      <c r="A8917" t="inlineStr">
        <is>
          <t>12월</t>
        </is>
      </c>
      <c r="B8917" t="inlineStr">
        <is>
          <t>52주차</t>
        </is>
      </c>
      <c r="C8917" t="e">
        <v>#N/A</v>
      </c>
      <c r="K8917" t="n">
        <v>0</v>
      </c>
      <c r="L8917" t="n">
        <v>0</v>
      </c>
      <c r="M8917" t="n">
        <v>0</v>
      </c>
    </row>
    <row r="8918">
      <c r="A8918" t="inlineStr">
        <is>
          <t>12월</t>
        </is>
      </c>
      <c r="B8918" t="inlineStr">
        <is>
          <t>52주차</t>
        </is>
      </c>
      <c r="C8918" t="e">
        <v>#N/A</v>
      </c>
      <c r="K8918" t="n">
        <v>0</v>
      </c>
      <c r="L8918" t="n">
        <v>0</v>
      </c>
      <c r="M8918" t="n">
        <v>0</v>
      </c>
    </row>
    <row r="8919">
      <c r="A8919" t="inlineStr">
        <is>
          <t>12월</t>
        </is>
      </c>
      <c r="B8919" t="inlineStr">
        <is>
          <t>52주차</t>
        </is>
      </c>
      <c r="C8919" t="e">
        <v>#N/A</v>
      </c>
      <c r="K8919" t="n">
        <v>0</v>
      </c>
      <c r="L8919" t="n">
        <v>0</v>
      </c>
      <c r="M8919" t="n">
        <v>0</v>
      </c>
    </row>
    <row r="8920">
      <c r="A8920" t="inlineStr">
        <is>
          <t>12월</t>
        </is>
      </c>
      <c r="B8920" t="inlineStr">
        <is>
          <t>52주차</t>
        </is>
      </c>
      <c r="C8920" t="e">
        <v>#N/A</v>
      </c>
      <c r="K8920" t="n">
        <v>0</v>
      </c>
      <c r="L8920" t="n">
        <v>0</v>
      </c>
      <c r="M8920" t="n">
        <v>0</v>
      </c>
    </row>
    <row r="8921">
      <c r="A8921" t="inlineStr">
        <is>
          <t>12월</t>
        </is>
      </c>
      <c r="B8921" t="inlineStr">
        <is>
          <t>52주차</t>
        </is>
      </c>
      <c r="C8921" t="e">
        <v>#N/A</v>
      </c>
      <c r="K8921" t="n">
        <v>0</v>
      </c>
      <c r="L8921" t="n">
        <v>0</v>
      </c>
      <c r="M8921" t="n">
        <v>0</v>
      </c>
    </row>
    <row r="8922">
      <c r="A8922" t="inlineStr">
        <is>
          <t>12월</t>
        </is>
      </c>
      <c r="B8922" t="inlineStr">
        <is>
          <t>52주차</t>
        </is>
      </c>
      <c r="C8922" t="e">
        <v>#N/A</v>
      </c>
      <c r="K8922" t="n">
        <v>0</v>
      </c>
      <c r="L8922" t="n">
        <v>0</v>
      </c>
      <c r="M8922" t="n">
        <v>0</v>
      </c>
    </row>
    <row r="8923">
      <c r="A8923" t="inlineStr">
        <is>
          <t>12월</t>
        </is>
      </c>
      <c r="B8923" t="inlineStr">
        <is>
          <t>52주차</t>
        </is>
      </c>
      <c r="C8923" t="e">
        <v>#N/A</v>
      </c>
      <c r="K8923" t="n">
        <v>0</v>
      </c>
      <c r="L8923" t="n">
        <v>0</v>
      </c>
      <c r="M8923" t="n">
        <v>0</v>
      </c>
    </row>
    <row r="8924">
      <c r="A8924" t="inlineStr">
        <is>
          <t>12월</t>
        </is>
      </c>
      <c r="B8924" t="inlineStr">
        <is>
          <t>52주차</t>
        </is>
      </c>
      <c r="C8924" t="e">
        <v>#N/A</v>
      </c>
      <c r="K8924" t="n">
        <v>0</v>
      </c>
      <c r="L8924" t="n">
        <v>0</v>
      </c>
      <c r="M8924" t="n">
        <v>0</v>
      </c>
    </row>
    <row r="8925">
      <c r="A8925" t="inlineStr">
        <is>
          <t>12월</t>
        </is>
      </c>
      <c r="B8925" t="inlineStr">
        <is>
          <t>52주차</t>
        </is>
      </c>
      <c r="C8925" t="e">
        <v>#N/A</v>
      </c>
      <c r="K8925" t="n">
        <v>0</v>
      </c>
      <c r="L8925" t="n">
        <v>0</v>
      </c>
      <c r="M8925" t="n">
        <v>0</v>
      </c>
    </row>
    <row r="8926">
      <c r="A8926" t="inlineStr">
        <is>
          <t>12월</t>
        </is>
      </c>
      <c r="B8926" t="inlineStr">
        <is>
          <t>52주차</t>
        </is>
      </c>
      <c r="C8926" t="e">
        <v>#N/A</v>
      </c>
      <c r="K8926" t="n">
        <v>0</v>
      </c>
      <c r="L8926" t="n">
        <v>0</v>
      </c>
      <c r="M8926" t="n">
        <v>0</v>
      </c>
    </row>
    <row r="8927">
      <c r="A8927" t="inlineStr">
        <is>
          <t>12월</t>
        </is>
      </c>
      <c r="B8927" t="inlineStr">
        <is>
          <t>52주차</t>
        </is>
      </c>
      <c r="C8927" t="e">
        <v>#N/A</v>
      </c>
      <c r="K8927" t="n">
        <v>0</v>
      </c>
      <c r="L8927" t="n">
        <v>0</v>
      </c>
      <c r="M8927" t="n">
        <v>0</v>
      </c>
    </row>
    <row r="8928">
      <c r="A8928" t="inlineStr">
        <is>
          <t>12월</t>
        </is>
      </c>
      <c r="B8928" t="inlineStr">
        <is>
          <t>52주차</t>
        </is>
      </c>
      <c r="C8928" t="e">
        <v>#N/A</v>
      </c>
      <c r="K8928" t="n">
        <v>0</v>
      </c>
      <c r="L8928" t="n">
        <v>0</v>
      </c>
      <c r="M8928" t="n">
        <v>0</v>
      </c>
    </row>
    <row r="8929">
      <c r="A8929" t="inlineStr">
        <is>
          <t>12월</t>
        </is>
      </c>
      <c r="B8929" t="inlineStr">
        <is>
          <t>52주차</t>
        </is>
      </c>
      <c r="C8929" t="e">
        <v>#N/A</v>
      </c>
      <c r="K8929" t="n">
        <v>0</v>
      </c>
      <c r="L8929" t="n">
        <v>0</v>
      </c>
      <c r="M8929" t="n">
        <v>0</v>
      </c>
    </row>
    <row r="8930">
      <c r="A8930" t="inlineStr">
        <is>
          <t>12월</t>
        </is>
      </c>
      <c r="B8930" t="inlineStr">
        <is>
          <t>52주차</t>
        </is>
      </c>
      <c r="C8930" t="e">
        <v>#N/A</v>
      </c>
      <c r="K8930" t="n">
        <v>0</v>
      </c>
      <c r="L8930" t="n">
        <v>0</v>
      </c>
      <c r="M8930" t="n">
        <v>0</v>
      </c>
    </row>
    <row r="8931">
      <c r="A8931" t="inlineStr">
        <is>
          <t>12월</t>
        </is>
      </c>
      <c r="B8931" t="inlineStr">
        <is>
          <t>52주차</t>
        </is>
      </c>
      <c r="C8931" t="e">
        <v>#N/A</v>
      </c>
      <c r="K8931" t="n">
        <v>0</v>
      </c>
      <c r="L8931" t="n">
        <v>0</v>
      </c>
      <c r="M8931" t="n">
        <v>0</v>
      </c>
    </row>
    <row r="8932">
      <c r="A8932" t="inlineStr">
        <is>
          <t>12월</t>
        </is>
      </c>
      <c r="B8932" t="inlineStr">
        <is>
          <t>52주차</t>
        </is>
      </c>
      <c r="C8932" t="e">
        <v>#N/A</v>
      </c>
      <c r="K8932" t="n">
        <v>0</v>
      </c>
      <c r="L8932" t="n">
        <v>0</v>
      </c>
      <c r="M8932" t="n">
        <v>0</v>
      </c>
    </row>
    <row r="8933">
      <c r="A8933" t="inlineStr">
        <is>
          <t>12월</t>
        </is>
      </c>
      <c r="B8933" t="inlineStr">
        <is>
          <t>52주차</t>
        </is>
      </c>
      <c r="C8933" t="e">
        <v>#N/A</v>
      </c>
      <c r="K8933" t="n">
        <v>0</v>
      </c>
      <c r="L8933" t="n">
        <v>0</v>
      </c>
      <c r="M8933" t="n">
        <v>0</v>
      </c>
    </row>
    <row r="8934">
      <c r="A8934" t="inlineStr">
        <is>
          <t>12월</t>
        </is>
      </c>
      <c r="B8934" t="inlineStr">
        <is>
          <t>52주차</t>
        </is>
      </c>
      <c r="C8934" t="e">
        <v>#N/A</v>
      </c>
      <c r="K8934" t="n">
        <v>0</v>
      </c>
      <c r="L8934" t="n">
        <v>0</v>
      </c>
      <c r="M8934" t="n">
        <v>0</v>
      </c>
    </row>
    <row r="8935">
      <c r="A8935" t="inlineStr">
        <is>
          <t>12월</t>
        </is>
      </c>
      <c r="B8935" t="inlineStr">
        <is>
          <t>52주차</t>
        </is>
      </c>
      <c r="C8935" t="e">
        <v>#N/A</v>
      </c>
      <c r="K8935" t="n">
        <v>0</v>
      </c>
      <c r="L8935" t="n">
        <v>0</v>
      </c>
      <c r="M8935" t="n">
        <v>0</v>
      </c>
    </row>
    <row r="8936">
      <c r="A8936" t="inlineStr">
        <is>
          <t>12월</t>
        </is>
      </c>
      <c r="B8936" t="inlineStr">
        <is>
          <t>52주차</t>
        </is>
      </c>
      <c r="C8936" t="e">
        <v>#N/A</v>
      </c>
      <c r="K8936" t="n">
        <v>0</v>
      </c>
      <c r="L8936" t="n">
        <v>0</v>
      </c>
      <c r="M8936" t="n">
        <v>0</v>
      </c>
    </row>
    <row r="8937">
      <c r="A8937" t="inlineStr">
        <is>
          <t>12월</t>
        </is>
      </c>
      <c r="B8937" t="inlineStr">
        <is>
          <t>52주차</t>
        </is>
      </c>
      <c r="C8937" t="e">
        <v>#N/A</v>
      </c>
      <c r="K8937" t="n">
        <v>0</v>
      </c>
      <c r="L8937" t="n">
        <v>0</v>
      </c>
      <c r="M8937" t="n">
        <v>0</v>
      </c>
    </row>
    <row r="8938">
      <c r="A8938" t="inlineStr">
        <is>
          <t>12월</t>
        </is>
      </c>
      <c r="B8938" t="inlineStr">
        <is>
          <t>52주차</t>
        </is>
      </c>
      <c r="C8938" t="e">
        <v>#N/A</v>
      </c>
      <c r="K8938" t="n">
        <v>0</v>
      </c>
      <c r="L8938" t="n">
        <v>0</v>
      </c>
      <c r="M8938" t="n">
        <v>0</v>
      </c>
    </row>
    <row r="8939">
      <c r="A8939" t="inlineStr">
        <is>
          <t>12월</t>
        </is>
      </c>
      <c r="B8939" t="inlineStr">
        <is>
          <t>52주차</t>
        </is>
      </c>
      <c r="C8939" t="e">
        <v>#N/A</v>
      </c>
      <c r="K8939" t="n">
        <v>0</v>
      </c>
      <c r="L8939" t="n">
        <v>0</v>
      </c>
      <c r="M8939" t="n">
        <v>0</v>
      </c>
    </row>
    <row r="8940">
      <c r="A8940" t="inlineStr">
        <is>
          <t>12월</t>
        </is>
      </c>
      <c r="B8940" t="inlineStr">
        <is>
          <t>52주차</t>
        </is>
      </c>
      <c r="C8940" t="e">
        <v>#N/A</v>
      </c>
      <c r="K8940" t="n">
        <v>0</v>
      </c>
      <c r="L8940" t="n">
        <v>0</v>
      </c>
      <c r="M8940" t="n">
        <v>0</v>
      </c>
    </row>
    <row r="8941">
      <c r="A8941" t="inlineStr">
        <is>
          <t>12월</t>
        </is>
      </c>
      <c r="B8941" t="inlineStr">
        <is>
          <t>52주차</t>
        </is>
      </c>
      <c r="C8941" t="e">
        <v>#N/A</v>
      </c>
      <c r="K8941" t="n">
        <v>0</v>
      </c>
      <c r="L8941" t="n">
        <v>0</v>
      </c>
      <c r="M8941" t="n">
        <v>0</v>
      </c>
    </row>
    <row r="8942">
      <c r="A8942" t="inlineStr">
        <is>
          <t>12월</t>
        </is>
      </c>
      <c r="B8942" t="inlineStr">
        <is>
          <t>52주차</t>
        </is>
      </c>
      <c r="C8942" t="e">
        <v>#N/A</v>
      </c>
      <c r="K8942" t="n">
        <v>0</v>
      </c>
      <c r="L8942" t="n">
        <v>0</v>
      </c>
      <c r="M8942" t="n">
        <v>0</v>
      </c>
    </row>
    <row r="8943">
      <c r="A8943" t="inlineStr">
        <is>
          <t>12월</t>
        </is>
      </c>
      <c r="B8943" t="inlineStr">
        <is>
          <t>52주차</t>
        </is>
      </c>
      <c r="C8943" t="e">
        <v>#N/A</v>
      </c>
      <c r="K8943" t="n">
        <v>0</v>
      </c>
      <c r="L8943" t="n">
        <v>0</v>
      </c>
      <c r="M8943" t="n">
        <v>0</v>
      </c>
    </row>
    <row r="8944">
      <c r="A8944" t="inlineStr">
        <is>
          <t>12월</t>
        </is>
      </c>
      <c r="B8944" t="inlineStr">
        <is>
          <t>52주차</t>
        </is>
      </c>
      <c r="C8944" t="e">
        <v>#N/A</v>
      </c>
      <c r="K8944" t="n">
        <v>0</v>
      </c>
      <c r="L8944" t="n">
        <v>0</v>
      </c>
      <c r="M8944" t="n">
        <v>0</v>
      </c>
    </row>
    <row r="8945">
      <c r="A8945" t="inlineStr">
        <is>
          <t>12월</t>
        </is>
      </c>
      <c r="B8945" t="inlineStr">
        <is>
          <t>52주차</t>
        </is>
      </c>
      <c r="C8945" t="e">
        <v>#N/A</v>
      </c>
      <c r="K8945" t="n">
        <v>0</v>
      </c>
      <c r="L8945" t="n">
        <v>0</v>
      </c>
      <c r="M8945" t="n">
        <v>0</v>
      </c>
    </row>
    <row r="8946">
      <c r="A8946" t="inlineStr">
        <is>
          <t>12월</t>
        </is>
      </c>
      <c r="B8946" t="inlineStr">
        <is>
          <t>52주차</t>
        </is>
      </c>
      <c r="C8946" t="e">
        <v>#N/A</v>
      </c>
      <c r="K8946" t="n">
        <v>0</v>
      </c>
      <c r="L8946" t="n">
        <v>0</v>
      </c>
      <c r="M8946" t="n">
        <v>0</v>
      </c>
    </row>
    <row r="8947">
      <c r="A8947" t="inlineStr">
        <is>
          <t>12월</t>
        </is>
      </c>
      <c r="B8947" t="inlineStr">
        <is>
          <t>52주차</t>
        </is>
      </c>
      <c r="C8947" t="e">
        <v>#N/A</v>
      </c>
      <c r="K8947" t="n">
        <v>0</v>
      </c>
      <c r="L8947" t="n">
        <v>0</v>
      </c>
      <c r="M8947" t="n">
        <v>0</v>
      </c>
    </row>
    <row r="8948">
      <c r="A8948" t="inlineStr">
        <is>
          <t>12월</t>
        </is>
      </c>
      <c r="B8948" t="inlineStr">
        <is>
          <t>52주차</t>
        </is>
      </c>
      <c r="C8948" t="e">
        <v>#N/A</v>
      </c>
      <c r="K8948" t="n">
        <v>0</v>
      </c>
      <c r="L8948" t="n">
        <v>0</v>
      </c>
      <c r="M8948" t="n">
        <v>0</v>
      </c>
    </row>
    <row r="8949">
      <c r="A8949" t="inlineStr">
        <is>
          <t>12월</t>
        </is>
      </c>
      <c r="B8949" t="inlineStr">
        <is>
          <t>52주차</t>
        </is>
      </c>
      <c r="C8949" t="e">
        <v>#N/A</v>
      </c>
      <c r="K8949" t="n">
        <v>0</v>
      </c>
      <c r="L8949" t="n">
        <v>0</v>
      </c>
      <c r="M8949" t="n">
        <v>0</v>
      </c>
    </row>
    <row r="8950">
      <c r="A8950" t="inlineStr">
        <is>
          <t>12월</t>
        </is>
      </c>
      <c r="B8950" t="inlineStr">
        <is>
          <t>52주차</t>
        </is>
      </c>
      <c r="C8950" t="e">
        <v>#N/A</v>
      </c>
      <c r="K8950" t="n">
        <v>0</v>
      </c>
      <c r="L8950" t="n">
        <v>0</v>
      </c>
      <c r="M8950" t="n">
        <v>0</v>
      </c>
    </row>
    <row r="8951">
      <c r="A8951" t="inlineStr">
        <is>
          <t>12월</t>
        </is>
      </c>
      <c r="B8951" t="inlineStr">
        <is>
          <t>52주차</t>
        </is>
      </c>
      <c r="C8951" t="e">
        <v>#N/A</v>
      </c>
      <c r="K8951" t="n">
        <v>0</v>
      </c>
      <c r="L8951" t="n">
        <v>0</v>
      </c>
      <c r="M8951" t="n">
        <v>0</v>
      </c>
    </row>
    <row r="8952">
      <c r="A8952" t="inlineStr">
        <is>
          <t>12월</t>
        </is>
      </c>
      <c r="B8952" t="inlineStr">
        <is>
          <t>52주차</t>
        </is>
      </c>
      <c r="C8952" t="e">
        <v>#N/A</v>
      </c>
      <c r="K8952" t="n">
        <v>0</v>
      </c>
      <c r="L8952" t="n">
        <v>0</v>
      </c>
      <c r="M8952" t="n">
        <v>0</v>
      </c>
    </row>
    <row r="8953">
      <c r="A8953" t="inlineStr">
        <is>
          <t>12월</t>
        </is>
      </c>
      <c r="B8953" t="inlineStr">
        <is>
          <t>52주차</t>
        </is>
      </c>
      <c r="C8953" t="e">
        <v>#N/A</v>
      </c>
      <c r="K8953" t="n">
        <v>0</v>
      </c>
      <c r="L8953" t="n">
        <v>0</v>
      </c>
      <c r="M8953" t="n">
        <v>0</v>
      </c>
    </row>
    <row r="8954">
      <c r="A8954" t="inlineStr">
        <is>
          <t>12월</t>
        </is>
      </c>
      <c r="B8954" t="inlineStr">
        <is>
          <t>52주차</t>
        </is>
      </c>
      <c r="C8954" t="e">
        <v>#N/A</v>
      </c>
      <c r="K8954" t="n">
        <v>0</v>
      </c>
      <c r="L8954" t="n">
        <v>0</v>
      </c>
      <c r="M8954" t="n">
        <v>0</v>
      </c>
    </row>
    <row r="8955">
      <c r="A8955" t="inlineStr">
        <is>
          <t>12월</t>
        </is>
      </c>
      <c r="B8955" t="inlineStr">
        <is>
          <t>52주차</t>
        </is>
      </c>
      <c r="C8955" t="e">
        <v>#N/A</v>
      </c>
      <c r="K8955" t="n">
        <v>0</v>
      </c>
      <c r="L8955" t="n">
        <v>0</v>
      </c>
      <c r="M8955" t="n">
        <v>0</v>
      </c>
    </row>
    <row r="8956">
      <c r="A8956" t="inlineStr">
        <is>
          <t>12월</t>
        </is>
      </c>
      <c r="B8956" t="inlineStr">
        <is>
          <t>52주차</t>
        </is>
      </c>
      <c r="C8956" t="e">
        <v>#N/A</v>
      </c>
      <c r="K8956" t="n">
        <v>0</v>
      </c>
      <c r="L8956" t="n">
        <v>0</v>
      </c>
      <c r="M8956" t="n">
        <v>0</v>
      </c>
    </row>
    <row r="8957">
      <c r="A8957" t="inlineStr">
        <is>
          <t>12월</t>
        </is>
      </c>
      <c r="B8957" t="inlineStr">
        <is>
          <t>52주차</t>
        </is>
      </c>
      <c r="C8957" t="e">
        <v>#N/A</v>
      </c>
      <c r="K8957" t="n">
        <v>0</v>
      </c>
      <c r="L8957" t="n">
        <v>0</v>
      </c>
      <c r="M8957" t="n">
        <v>0</v>
      </c>
    </row>
    <row r="8958">
      <c r="A8958" t="inlineStr">
        <is>
          <t>12월</t>
        </is>
      </c>
      <c r="B8958" t="inlineStr">
        <is>
          <t>52주차</t>
        </is>
      </c>
      <c r="C8958" t="e">
        <v>#N/A</v>
      </c>
      <c r="K8958" t="n">
        <v>0</v>
      </c>
      <c r="L8958" t="n">
        <v>0</v>
      </c>
      <c r="M8958" t="n">
        <v>0</v>
      </c>
    </row>
    <row r="8959">
      <c r="A8959" t="inlineStr">
        <is>
          <t>12월</t>
        </is>
      </c>
      <c r="B8959" t="inlineStr">
        <is>
          <t>52주차</t>
        </is>
      </c>
      <c r="C8959" t="e">
        <v>#N/A</v>
      </c>
      <c r="K8959" t="n">
        <v>0</v>
      </c>
      <c r="L8959" t="n">
        <v>0</v>
      </c>
      <c r="M8959" t="n">
        <v>0</v>
      </c>
    </row>
    <row r="8960">
      <c r="A8960" t="inlineStr">
        <is>
          <t>12월</t>
        </is>
      </c>
      <c r="B8960" t="inlineStr">
        <is>
          <t>52주차</t>
        </is>
      </c>
      <c r="C8960" t="e">
        <v>#N/A</v>
      </c>
      <c r="K8960" t="n">
        <v>0</v>
      </c>
      <c r="L8960" t="n">
        <v>0</v>
      </c>
      <c r="M8960" t="n">
        <v>0</v>
      </c>
    </row>
    <row r="8961">
      <c r="A8961" t="inlineStr">
        <is>
          <t>12월</t>
        </is>
      </c>
      <c r="B8961" t="inlineStr">
        <is>
          <t>52주차</t>
        </is>
      </c>
      <c r="C8961" t="e">
        <v>#N/A</v>
      </c>
      <c r="K8961" t="n">
        <v>0</v>
      </c>
      <c r="L8961" t="n">
        <v>0</v>
      </c>
      <c r="M8961" t="n">
        <v>0</v>
      </c>
    </row>
    <row r="8962">
      <c r="A8962" t="inlineStr">
        <is>
          <t>12월</t>
        </is>
      </c>
      <c r="B8962" t="inlineStr">
        <is>
          <t>52주차</t>
        </is>
      </c>
      <c r="C8962" t="e">
        <v>#N/A</v>
      </c>
      <c r="K8962" t="n">
        <v>0</v>
      </c>
      <c r="L8962" t="n">
        <v>0</v>
      </c>
      <c r="M8962" t="n">
        <v>0</v>
      </c>
    </row>
    <row r="8963">
      <c r="A8963" t="inlineStr">
        <is>
          <t>12월</t>
        </is>
      </c>
      <c r="B8963" t="inlineStr">
        <is>
          <t>52주차</t>
        </is>
      </c>
      <c r="C8963" t="e">
        <v>#N/A</v>
      </c>
      <c r="K8963" t="n">
        <v>0</v>
      </c>
      <c r="L8963" t="n">
        <v>0</v>
      </c>
      <c r="M8963" t="n">
        <v>0</v>
      </c>
    </row>
    <row r="8964">
      <c r="A8964" t="inlineStr">
        <is>
          <t>12월</t>
        </is>
      </c>
      <c r="B8964" t="inlineStr">
        <is>
          <t>52주차</t>
        </is>
      </c>
      <c r="C8964" t="e">
        <v>#N/A</v>
      </c>
      <c r="K8964" t="n">
        <v>0</v>
      </c>
      <c r="L8964" t="n">
        <v>0</v>
      </c>
      <c r="M8964" t="n">
        <v>0</v>
      </c>
    </row>
    <row r="8965">
      <c r="A8965" t="inlineStr">
        <is>
          <t>12월</t>
        </is>
      </c>
      <c r="B8965" t="inlineStr">
        <is>
          <t>52주차</t>
        </is>
      </c>
      <c r="C8965" t="e">
        <v>#N/A</v>
      </c>
      <c r="K8965" t="n">
        <v>0</v>
      </c>
      <c r="L8965" t="n">
        <v>0</v>
      </c>
      <c r="M8965" t="n">
        <v>0</v>
      </c>
    </row>
    <row r="8966">
      <c r="A8966" t="inlineStr">
        <is>
          <t>12월</t>
        </is>
      </c>
      <c r="B8966" t="inlineStr">
        <is>
          <t>52주차</t>
        </is>
      </c>
      <c r="C8966" t="e">
        <v>#N/A</v>
      </c>
      <c r="K8966" t="n">
        <v>0</v>
      </c>
      <c r="L8966" t="n">
        <v>0</v>
      </c>
      <c r="M8966" t="n">
        <v>0</v>
      </c>
    </row>
    <row r="8967">
      <c r="A8967" t="inlineStr">
        <is>
          <t>12월</t>
        </is>
      </c>
      <c r="B8967" t="inlineStr">
        <is>
          <t>52주차</t>
        </is>
      </c>
      <c r="C8967" t="e">
        <v>#N/A</v>
      </c>
      <c r="K8967" t="n">
        <v>0</v>
      </c>
      <c r="L8967" t="n">
        <v>0</v>
      </c>
      <c r="M8967" t="n">
        <v>0</v>
      </c>
    </row>
    <row r="8968">
      <c r="A8968" t="inlineStr">
        <is>
          <t>12월</t>
        </is>
      </c>
      <c r="B8968" t="inlineStr">
        <is>
          <t>52주차</t>
        </is>
      </c>
      <c r="C8968" t="e">
        <v>#N/A</v>
      </c>
      <c r="K8968" t="n">
        <v>0</v>
      </c>
      <c r="L8968" t="n">
        <v>0</v>
      </c>
      <c r="M8968" t="n">
        <v>0</v>
      </c>
    </row>
    <row r="8969">
      <c r="A8969" t="inlineStr">
        <is>
          <t>12월</t>
        </is>
      </c>
      <c r="B8969" t="inlineStr">
        <is>
          <t>52주차</t>
        </is>
      </c>
      <c r="C8969" t="e">
        <v>#N/A</v>
      </c>
      <c r="K8969" t="n">
        <v>0</v>
      </c>
      <c r="L8969" t="n">
        <v>0</v>
      </c>
      <c r="M8969" t="n">
        <v>0</v>
      </c>
    </row>
    <row r="8970">
      <c r="A8970" t="inlineStr">
        <is>
          <t>12월</t>
        </is>
      </c>
      <c r="B8970" t="inlineStr">
        <is>
          <t>52주차</t>
        </is>
      </c>
      <c r="C8970" t="e">
        <v>#N/A</v>
      </c>
      <c r="K8970" t="n">
        <v>0</v>
      </c>
      <c r="L8970" t="n">
        <v>0</v>
      </c>
      <c r="M8970" t="n">
        <v>0</v>
      </c>
    </row>
    <row r="8971">
      <c r="A8971" t="inlineStr">
        <is>
          <t>12월</t>
        </is>
      </c>
      <c r="B8971" t="inlineStr">
        <is>
          <t>52주차</t>
        </is>
      </c>
      <c r="C8971" t="e">
        <v>#N/A</v>
      </c>
      <c r="K8971" t="n">
        <v>0</v>
      </c>
      <c r="L8971" t="n">
        <v>0</v>
      </c>
      <c r="M8971" t="n">
        <v>0</v>
      </c>
    </row>
    <row r="8972">
      <c r="A8972" t="inlineStr">
        <is>
          <t>12월</t>
        </is>
      </c>
      <c r="B8972" t="inlineStr">
        <is>
          <t>52주차</t>
        </is>
      </c>
      <c r="C8972" t="e">
        <v>#N/A</v>
      </c>
      <c r="K8972" t="n">
        <v>0</v>
      </c>
      <c r="L8972" t="n">
        <v>0</v>
      </c>
      <c r="M8972" t="n">
        <v>0</v>
      </c>
    </row>
    <row r="8973">
      <c r="A8973" t="inlineStr">
        <is>
          <t>12월</t>
        </is>
      </c>
      <c r="B8973" t="inlineStr">
        <is>
          <t>52주차</t>
        </is>
      </c>
      <c r="C8973" t="e">
        <v>#N/A</v>
      </c>
      <c r="K8973" t="n">
        <v>0</v>
      </c>
      <c r="L8973" t="n">
        <v>0</v>
      </c>
      <c r="M8973" t="n">
        <v>0</v>
      </c>
    </row>
    <row r="8974">
      <c r="A8974" t="inlineStr">
        <is>
          <t>12월</t>
        </is>
      </c>
      <c r="B8974" t="inlineStr">
        <is>
          <t>52주차</t>
        </is>
      </c>
      <c r="C8974" t="e">
        <v>#N/A</v>
      </c>
      <c r="K8974" t="n">
        <v>0</v>
      </c>
      <c r="L8974" t="n">
        <v>0</v>
      </c>
      <c r="M8974" t="n">
        <v>0</v>
      </c>
    </row>
    <row r="8975">
      <c r="A8975" t="inlineStr">
        <is>
          <t>12월</t>
        </is>
      </c>
      <c r="B8975" t="inlineStr">
        <is>
          <t>52주차</t>
        </is>
      </c>
      <c r="C8975" t="e">
        <v>#N/A</v>
      </c>
      <c r="K8975" t="n">
        <v>0</v>
      </c>
      <c r="L8975" t="n">
        <v>0</v>
      </c>
      <c r="M8975" t="n">
        <v>0</v>
      </c>
    </row>
    <row r="8976">
      <c r="A8976" t="inlineStr">
        <is>
          <t>12월</t>
        </is>
      </c>
      <c r="B8976" t="inlineStr">
        <is>
          <t>52주차</t>
        </is>
      </c>
      <c r="C8976" t="e">
        <v>#N/A</v>
      </c>
      <c r="K8976" t="n">
        <v>0</v>
      </c>
      <c r="L8976" t="n">
        <v>0</v>
      </c>
      <c r="M8976" t="n">
        <v>0</v>
      </c>
    </row>
    <row r="8977">
      <c r="A8977" t="inlineStr">
        <is>
          <t>12월</t>
        </is>
      </c>
      <c r="B8977" t="inlineStr">
        <is>
          <t>52주차</t>
        </is>
      </c>
      <c r="C8977" t="e">
        <v>#N/A</v>
      </c>
      <c r="K8977" t="n">
        <v>0</v>
      </c>
      <c r="L8977" t="n">
        <v>0</v>
      </c>
      <c r="M8977" t="n">
        <v>0</v>
      </c>
    </row>
    <row r="8978">
      <c r="A8978" t="inlineStr">
        <is>
          <t>12월</t>
        </is>
      </c>
      <c r="B8978" t="inlineStr">
        <is>
          <t>52주차</t>
        </is>
      </c>
      <c r="C8978" t="e">
        <v>#N/A</v>
      </c>
      <c r="K8978" t="n">
        <v>0</v>
      </c>
      <c r="L8978" t="n">
        <v>0</v>
      </c>
      <c r="M8978" t="n">
        <v>0</v>
      </c>
    </row>
    <row r="8979">
      <c r="A8979" t="inlineStr">
        <is>
          <t>12월</t>
        </is>
      </c>
      <c r="B8979" t="inlineStr">
        <is>
          <t>52주차</t>
        </is>
      </c>
      <c r="C8979" t="e">
        <v>#N/A</v>
      </c>
      <c r="K8979" t="n">
        <v>0</v>
      </c>
      <c r="L8979" t="n">
        <v>0</v>
      </c>
      <c r="M8979" t="n">
        <v>0</v>
      </c>
    </row>
    <row r="8980">
      <c r="A8980" t="inlineStr">
        <is>
          <t>12월</t>
        </is>
      </c>
      <c r="B8980" t="inlineStr">
        <is>
          <t>52주차</t>
        </is>
      </c>
      <c r="C8980" t="e">
        <v>#N/A</v>
      </c>
      <c r="K8980" t="n">
        <v>0</v>
      </c>
      <c r="L8980" t="n">
        <v>0</v>
      </c>
      <c r="M8980" t="n">
        <v>0</v>
      </c>
    </row>
    <row r="8981">
      <c r="A8981" t="inlineStr">
        <is>
          <t>12월</t>
        </is>
      </c>
      <c r="B8981" t="inlineStr">
        <is>
          <t>52주차</t>
        </is>
      </c>
      <c r="C8981" t="e">
        <v>#N/A</v>
      </c>
      <c r="K8981" t="n">
        <v>0</v>
      </c>
      <c r="L8981" t="n">
        <v>0</v>
      </c>
      <c r="M8981" t="n">
        <v>0</v>
      </c>
    </row>
    <row r="8982">
      <c r="A8982" t="inlineStr">
        <is>
          <t>12월</t>
        </is>
      </c>
      <c r="B8982" t="inlineStr">
        <is>
          <t>52주차</t>
        </is>
      </c>
      <c r="C8982" t="e">
        <v>#N/A</v>
      </c>
      <c r="K8982" t="n">
        <v>0</v>
      </c>
      <c r="L8982" t="n">
        <v>0</v>
      </c>
      <c r="M8982" t="n">
        <v>0</v>
      </c>
    </row>
    <row r="8983">
      <c r="A8983" t="inlineStr">
        <is>
          <t>12월</t>
        </is>
      </c>
      <c r="B8983" t="inlineStr">
        <is>
          <t>52주차</t>
        </is>
      </c>
      <c r="C8983" t="e">
        <v>#N/A</v>
      </c>
      <c r="K8983" t="n">
        <v>0</v>
      </c>
      <c r="L8983" t="n">
        <v>0</v>
      </c>
      <c r="M8983" t="n">
        <v>0</v>
      </c>
    </row>
    <row r="8984">
      <c r="A8984" t="inlineStr">
        <is>
          <t>12월</t>
        </is>
      </c>
      <c r="B8984" t="inlineStr">
        <is>
          <t>52주차</t>
        </is>
      </c>
      <c r="C8984" t="e">
        <v>#N/A</v>
      </c>
      <c r="K8984" t="n">
        <v>0</v>
      </c>
      <c r="L8984" t="n">
        <v>0</v>
      </c>
      <c r="M8984" t="n">
        <v>0</v>
      </c>
    </row>
    <row r="8985">
      <c r="A8985" t="inlineStr">
        <is>
          <t>12월</t>
        </is>
      </c>
      <c r="B8985" t="inlineStr">
        <is>
          <t>52주차</t>
        </is>
      </c>
      <c r="C8985" t="e">
        <v>#N/A</v>
      </c>
      <c r="K8985" t="n">
        <v>0</v>
      </c>
      <c r="L8985" t="n">
        <v>0</v>
      </c>
      <c r="M8985" t="n">
        <v>0</v>
      </c>
    </row>
    <row r="8986">
      <c r="A8986" t="inlineStr">
        <is>
          <t>12월</t>
        </is>
      </c>
      <c r="B8986" t="inlineStr">
        <is>
          <t>52주차</t>
        </is>
      </c>
      <c r="C8986" t="e">
        <v>#N/A</v>
      </c>
      <c r="K8986" t="n">
        <v>0</v>
      </c>
      <c r="L8986" t="n">
        <v>0</v>
      </c>
      <c r="M8986" t="n">
        <v>0</v>
      </c>
    </row>
    <row r="8987">
      <c r="A8987" t="inlineStr">
        <is>
          <t>12월</t>
        </is>
      </c>
      <c r="B8987" t="inlineStr">
        <is>
          <t>52주차</t>
        </is>
      </c>
      <c r="C8987" t="e">
        <v>#N/A</v>
      </c>
      <c r="K8987" t="n">
        <v>0</v>
      </c>
      <c r="L8987" t="n">
        <v>0</v>
      </c>
      <c r="M8987" t="n">
        <v>0</v>
      </c>
    </row>
    <row r="8988">
      <c r="A8988" t="inlineStr">
        <is>
          <t>12월</t>
        </is>
      </c>
      <c r="B8988" t="inlineStr">
        <is>
          <t>52주차</t>
        </is>
      </c>
      <c r="C8988" t="e">
        <v>#N/A</v>
      </c>
      <c r="K8988" t="n">
        <v>0</v>
      </c>
      <c r="L8988" t="n">
        <v>0</v>
      </c>
      <c r="M8988" t="n">
        <v>0</v>
      </c>
    </row>
    <row r="8989">
      <c r="A8989" t="inlineStr">
        <is>
          <t>12월</t>
        </is>
      </c>
      <c r="B8989" t="inlineStr">
        <is>
          <t>52주차</t>
        </is>
      </c>
      <c r="C8989" t="e">
        <v>#N/A</v>
      </c>
      <c r="K8989" t="n">
        <v>0</v>
      </c>
      <c r="L8989" t="n">
        <v>0</v>
      </c>
      <c r="M8989" t="n">
        <v>0</v>
      </c>
    </row>
    <row r="8990">
      <c r="A8990" t="inlineStr">
        <is>
          <t>12월</t>
        </is>
      </c>
      <c r="B8990" t="inlineStr">
        <is>
          <t>52주차</t>
        </is>
      </c>
      <c r="C8990" t="e">
        <v>#N/A</v>
      </c>
      <c r="K8990" t="n">
        <v>0</v>
      </c>
      <c r="L8990" t="n">
        <v>0</v>
      </c>
      <c r="M8990" t="n">
        <v>0</v>
      </c>
    </row>
    <row r="8991">
      <c r="A8991" t="inlineStr">
        <is>
          <t>12월</t>
        </is>
      </c>
      <c r="B8991" t="inlineStr">
        <is>
          <t>52주차</t>
        </is>
      </c>
      <c r="C8991" t="e">
        <v>#N/A</v>
      </c>
      <c r="K8991" t="n">
        <v>0</v>
      </c>
      <c r="L8991" t="n">
        <v>0</v>
      </c>
      <c r="M8991" t="n">
        <v>0</v>
      </c>
    </row>
    <row r="8992">
      <c r="A8992" t="inlineStr">
        <is>
          <t>12월</t>
        </is>
      </c>
      <c r="B8992" t="inlineStr">
        <is>
          <t>52주차</t>
        </is>
      </c>
      <c r="C8992" t="e">
        <v>#N/A</v>
      </c>
      <c r="K8992" t="n">
        <v>0</v>
      </c>
      <c r="L8992" t="n">
        <v>0</v>
      </c>
      <c r="M8992" t="n">
        <v>0</v>
      </c>
    </row>
    <row r="8993">
      <c r="A8993" t="inlineStr">
        <is>
          <t>12월</t>
        </is>
      </c>
      <c r="B8993" t="inlineStr">
        <is>
          <t>52주차</t>
        </is>
      </c>
      <c r="C8993" t="e">
        <v>#N/A</v>
      </c>
      <c r="K8993" t="n">
        <v>0</v>
      </c>
      <c r="L8993" t="n">
        <v>0</v>
      </c>
      <c r="M8993" t="n">
        <v>0</v>
      </c>
    </row>
    <row r="8994">
      <c r="A8994" t="inlineStr">
        <is>
          <t>12월</t>
        </is>
      </c>
      <c r="B8994" t="inlineStr">
        <is>
          <t>52주차</t>
        </is>
      </c>
      <c r="C8994" t="e">
        <v>#N/A</v>
      </c>
      <c r="K8994" t="n">
        <v>0</v>
      </c>
      <c r="L8994" t="n">
        <v>0</v>
      </c>
      <c r="M8994" t="n">
        <v>0</v>
      </c>
    </row>
    <row r="8995">
      <c r="A8995" t="inlineStr">
        <is>
          <t>12월</t>
        </is>
      </c>
      <c r="B8995" t="inlineStr">
        <is>
          <t>52주차</t>
        </is>
      </c>
      <c r="C8995" t="e">
        <v>#N/A</v>
      </c>
      <c r="K8995" t="n">
        <v>0</v>
      </c>
      <c r="L8995" t="n">
        <v>0</v>
      </c>
      <c r="M8995" t="n">
        <v>0</v>
      </c>
    </row>
    <row r="8996">
      <c r="A8996" t="inlineStr">
        <is>
          <t>12월</t>
        </is>
      </c>
      <c r="B8996" t="inlineStr">
        <is>
          <t>52주차</t>
        </is>
      </c>
      <c r="C8996" t="e">
        <v>#N/A</v>
      </c>
      <c r="K8996" t="n">
        <v>0</v>
      </c>
      <c r="L8996" t="n">
        <v>0</v>
      </c>
      <c r="M8996" t="n">
        <v>0</v>
      </c>
    </row>
    <row r="8997">
      <c r="A8997" t="inlineStr">
        <is>
          <t>12월</t>
        </is>
      </c>
      <c r="B8997" t="inlineStr">
        <is>
          <t>52주차</t>
        </is>
      </c>
      <c r="C8997" t="e">
        <v>#N/A</v>
      </c>
      <c r="K8997" t="n">
        <v>0</v>
      </c>
      <c r="L8997" t="n">
        <v>0</v>
      </c>
      <c r="M8997" t="n">
        <v>0</v>
      </c>
    </row>
    <row r="8998">
      <c r="A8998" t="inlineStr">
        <is>
          <t>12월</t>
        </is>
      </c>
      <c r="B8998" t="inlineStr">
        <is>
          <t>52주차</t>
        </is>
      </c>
      <c r="C8998" t="e">
        <v>#N/A</v>
      </c>
      <c r="K8998" t="n">
        <v>0</v>
      </c>
      <c r="L8998" t="n">
        <v>0</v>
      </c>
      <c r="M8998" t="n">
        <v>0</v>
      </c>
    </row>
    <row r="8999">
      <c r="A8999" t="inlineStr">
        <is>
          <t>12월</t>
        </is>
      </c>
      <c r="B8999" t="inlineStr">
        <is>
          <t>52주차</t>
        </is>
      </c>
      <c r="C8999" t="e">
        <v>#N/A</v>
      </c>
      <c r="K8999" t="n">
        <v>0</v>
      </c>
      <c r="L8999" t="n">
        <v>0</v>
      </c>
      <c r="M8999" t="n">
        <v>0</v>
      </c>
    </row>
    <row r="9000">
      <c r="A9000" t="inlineStr">
        <is>
          <t>12월</t>
        </is>
      </c>
      <c r="B9000" t="inlineStr">
        <is>
          <t>52주차</t>
        </is>
      </c>
      <c r="C9000" t="e">
        <v>#N/A</v>
      </c>
      <c r="K9000" t="n">
        <v>0</v>
      </c>
      <c r="L9000" t="n">
        <v>0</v>
      </c>
      <c r="M9000" t="n">
        <v>0</v>
      </c>
    </row>
    <row r="9001">
      <c r="A9001" t="inlineStr">
        <is>
          <t>12월</t>
        </is>
      </c>
      <c r="B9001" t="inlineStr">
        <is>
          <t>52주차</t>
        </is>
      </c>
      <c r="C9001" t="e">
        <v>#N/A</v>
      </c>
      <c r="K9001" t="n">
        <v>0</v>
      </c>
      <c r="L9001" t="n">
        <v>0</v>
      </c>
      <c r="M9001" t="n">
        <v>0</v>
      </c>
    </row>
    <row r="9002">
      <c r="A9002" t="inlineStr">
        <is>
          <t>12월</t>
        </is>
      </c>
      <c r="B9002" t="inlineStr">
        <is>
          <t>52주차</t>
        </is>
      </c>
      <c r="C9002" t="e">
        <v>#N/A</v>
      </c>
      <c r="K9002" t="n">
        <v>0</v>
      </c>
      <c r="L9002" t="n">
        <v>0</v>
      </c>
      <c r="M9002" t="n">
        <v>0</v>
      </c>
    </row>
    <row r="9003">
      <c r="A9003" t="inlineStr">
        <is>
          <t>12월</t>
        </is>
      </c>
      <c r="B9003" t="inlineStr">
        <is>
          <t>52주차</t>
        </is>
      </c>
      <c r="C9003" t="e">
        <v>#N/A</v>
      </c>
      <c r="K9003" t="n">
        <v>0</v>
      </c>
      <c r="L9003" t="n">
        <v>0</v>
      </c>
      <c r="M9003" t="n">
        <v>0</v>
      </c>
    </row>
    <row r="9004">
      <c r="A9004" t="inlineStr">
        <is>
          <t>12월</t>
        </is>
      </c>
      <c r="B9004" t="inlineStr">
        <is>
          <t>52주차</t>
        </is>
      </c>
      <c r="C9004" t="e">
        <v>#N/A</v>
      </c>
      <c r="K9004" t="n">
        <v>0</v>
      </c>
      <c r="L9004" t="n">
        <v>0</v>
      </c>
      <c r="M9004" t="n">
        <v>0</v>
      </c>
    </row>
    <row r="9005">
      <c r="A9005" t="inlineStr">
        <is>
          <t>12월</t>
        </is>
      </c>
      <c r="B9005" t="inlineStr">
        <is>
          <t>52주차</t>
        </is>
      </c>
      <c r="C9005" t="e">
        <v>#N/A</v>
      </c>
      <c r="K9005" t="n">
        <v>0</v>
      </c>
      <c r="L9005" t="n">
        <v>0</v>
      </c>
      <c r="M9005" t="n">
        <v>0</v>
      </c>
    </row>
    <row r="9006">
      <c r="A9006" t="inlineStr">
        <is>
          <t>12월</t>
        </is>
      </c>
      <c r="B9006" t="inlineStr">
        <is>
          <t>52주차</t>
        </is>
      </c>
      <c r="C9006" t="e">
        <v>#N/A</v>
      </c>
      <c r="K9006" t="n">
        <v>0</v>
      </c>
      <c r="L9006" t="n">
        <v>0</v>
      </c>
      <c r="M9006" t="n">
        <v>0</v>
      </c>
    </row>
    <row r="9007">
      <c r="A9007" t="inlineStr">
        <is>
          <t>12월</t>
        </is>
      </c>
      <c r="B9007" t="inlineStr">
        <is>
          <t>52주차</t>
        </is>
      </c>
      <c r="C9007" t="e">
        <v>#N/A</v>
      </c>
      <c r="K9007" t="n">
        <v>0</v>
      </c>
      <c r="L9007" t="n">
        <v>0</v>
      </c>
      <c r="M9007" t="n">
        <v>0</v>
      </c>
    </row>
    <row r="9008">
      <c r="A9008" t="inlineStr">
        <is>
          <t>12월</t>
        </is>
      </c>
      <c r="B9008" t="inlineStr">
        <is>
          <t>52주차</t>
        </is>
      </c>
      <c r="C9008" t="e">
        <v>#N/A</v>
      </c>
      <c r="K9008" t="n">
        <v>0</v>
      </c>
      <c r="L9008" t="n">
        <v>0</v>
      </c>
      <c r="M9008" t="n">
        <v>0</v>
      </c>
    </row>
    <row r="9009">
      <c r="A9009" t="inlineStr">
        <is>
          <t>12월</t>
        </is>
      </c>
      <c r="B9009" t="inlineStr">
        <is>
          <t>52주차</t>
        </is>
      </c>
      <c r="C9009" t="e">
        <v>#N/A</v>
      </c>
      <c r="K9009" t="n">
        <v>0</v>
      </c>
      <c r="L9009" t="n">
        <v>0</v>
      </c>
      <c r="M9009" t="n">
        <v>0</v>
      </c>
    </row>
    <row r="9010">
      <c r="A9010" t="inlineStr">
        <is>
          <t>12월</t>
        </is>
      </c>
      <c r="B9010" t="inlineStr">
        <is>
          <t>52주차</t>
        </is>
      </c>
      <c r="C9010" t="e">
        <v>#N/A</v>
      </c>
      <c r="K9010" t="n">
        <v>0</v>
      </c>
      <c r="L9010" t="n">
        <v>0</v>
      </c>
      <c r="M9010" t="n">
        <v>0</v>
      </c>
    </row>
    <row r="9011">
      <c r="A9011" t="inlineStr">
        <is>
          <t>12월</t>
        </is>
      </c>
      <c r="B9011" t="inlineStr">
        <is>
          <t>52주차</t>
        </is>
      </c>
      <c r="C9011" t="e">
        <v>#N/A</v>
      </c>
      <c r="K9011" t="n">
        <v>0</v>
      </c>
      <c r="L9011" t="n">
        <v>0</v>
      </c>
      <c r="M9011" t="n">
        <v>0</v>
      </c>
    </row>
    <row r="9012">
      <c r="A9012" t="inlineStr">
        <is>
          <t>12월</t>
        </is>
      </c>
      <c r="B9012" t="inlineStr">
        <is>
          <t>52주차</t>
        </is>
      </c>
      <c r="C9012" t="e">
        <v>#N/A</v>
      </c>
      <c r="K9012" t="n">
        <v>0</v>
      </c>
      <c r="L9012" t="n">
        <v>0</v>
      </c>
      <c r="M9012" t="n">
        <v>0</v>
      </c>
    </row>
    <row r="9013">
      <c r="A9013" t="inlineStr">
        <is>
          <t>12월</t>
        </is>
      </c>
      <c r="B9013" t="inlineStr">
        <is>
          <t>52주차</t>
        </is>
      </c>
      <c r="C9013" t="e">
        <v>#N/A</v>
      </c>
      <c r="K9013" t="n">
        <v>0</v>
      </c>
      <c r="L9013" t="n">
        <v>0</v>
      </c>
      <c r="M9013" t="n">
        <v>0</v>
      </c>
    </row>
    <row r="9014">
      <c r="A9014" t="inlineStr">
        <is>
          <t>12월</t>
        </is>
      </c>
      <c r="B9014" t="inlineStr">
        <is>
          <t>52주차</t>
        </is>
      </c>
      <c r="C9014" t="e">
        <v>#N/A</v>
      </c>
      <c r="K9014" t="n">
        <v>0</v>
      </c>
      <c r="L9014" t="n">
        <v>0</v>
      </c>
      <c r="M9014" t="n">
        <v>0</v>
      </c>
    </row>
    <row r="9015">
      <c r="A9015" t="inlineStr">
        <is>
          <t>12월</t>
        </is>
      </c>
      <c r="B9015" t="inlineStr">
        <is>
          <t>52주차</t>
        </is>
      </c>
      <c r="C9015" t="e">
        <v>#N/A</v>
      </c>
      <c r="K9015" t="n">
        <v>0</v>
      </c>
      <c r="L9015" t="n">
        <v>0</v>
      </c>
      <c r="M9015" t="n">
        <v>0</v>
      </c>
    </row>
    <row r="9016">
      <c r="A9016" t="inlineStr">
        <is>
          <t>12월</t>
        </is>
      </c>
      <c r="B9016" t="inlineStr">
        <is>
          <t>52주차</t>
        </is>
      </c>
      <c r="C9016" t="e">
        <v>#N/A</v>
      </c>
      <c r="K9016" t="n">
        <v>0</v>
      </c>
      <c r="L9016" t="n">
        <v>0</v>
      </c>
      <c r="M9016" t="n">
        <v>0</v>
      </c>
    </row>
    <row r="9017">
      <c r="A9017" t="inlineStr">
        <is>
          <t>12월</t>
        </is>
      </c>
      <c r="B9017" t="inlineStr">
        <is>
          <t>52주차</t>
        </is>
      </c>
      <c r="C9017" t="e">
        <v>#N/A</v>
      </c>
      <c r="K9017" t="n">
        <v>0</v>
      </c>
      <c r="L9017" t="n">
        <v>0</v>
      </c>
      <c r="M9017" t="n">
        <v>0</v>
      </c>
    </row>
    <row r="9018">
      <c r="A9018" t="inlineStr">
        <is>
          <t>12월</t>
        </is>
      </c>
      <c r="B9018" t="inlineStr">
        <is>
          <t>52주차</t>
        </is>
      </c>
      <c r="C9018" t="e">
        <v>#N/A</v>
      </c>
      <c r="K9018" t="n">
        <v>0</v>
      </c>
      <c r="L9018" t="n">
        <v>0</v>
      </c>
      <c r="M9018" t="n">
        <v>0</v>
      </c>
    </row>
    <row r="9019">
      <c r="A9019" t="inlineStr">
        <is>
          <t>12월</t>
        </is>
      </c>
      <c r="B9019" t="inlineStr">
        <is>
          <t>52주차</t>
        </is>
      </c>
      <c r="C9019" t="e">
        <v>#N/A</v>
      </c>
      <c r="K9019" t="n">
        <v>0</v>
      </c>
      <c r="L9019" t="n">
        <v>0</v>
      </c>
      <c r="M9019" t="n">
        <v>0</v>
      </c>
    </row>
    <row r="9020">
      <c r="A9020" t="inlineStr">
        <is>
          <t>12월</t>
        </is>
      </c>
      <c r="B9020" t="inlineStr">
        <is>
          <t>52주차</t>
        </is>
      </c>
      <c r="C9020" t="e">
        <v>#N/A</v>
      </c>
      <c r="K9020" t="n">
        <v>0</v>
      </c>
      <c r="L9020" t="n">
        <v>0</v>
      </c>
      <c r="M9020" t="n">
        <v>0</v>
      </c>
    </row>
    <row r="9021">
      <c r="A9021" t="inlineStr">
        <is>
          <t>12월</t>
        </is>
      </c>
      <c r="B9021" t="inlineStr">
        <is>
          <t>52주차</t>
        </is>
      </c>
      <c r="C9021" t="e">
        <v>#N/A</v>
      </c>
      <c r="K9021" t="n">
        <v>0</v>
      </c>
      <c r="L9021" t="n">
        <v>0</v>
      </c>
      <c r="M9021" t="n">
        <v>0</v>
      </c>
    </row>
    <row r="9022">
      <c r="A9022" t="inlineStr">
        <is>
          <t>12월</t>
        </is>
      </c>
      <c r="B9022" t="inlineStr">
        <is>
          <t>52주차</t>
        </is>
      </c>
      <c r="C9022" t="e">
        <v>#N/A</v>
      </c>
      <c r="K9022" t="n">
        <v>0</v>
      </c>
      <c r="L9022" t="n">
        <v>0</v>
      </c>
      <c r="M9022" t="n">
        <v>0</v>
      </c>
    </row>
    <row r="9023">
      <c r="A9023" t="inlineStr">
        <is>
          <t>12월</t>
        </is>
      </c>
      <c r="B9023" t="inlineStr">
        <is>
          <t>52주차</t>
        </is>
      </c>
      <c r="C9023" t="e">
        <v>#N/A</v>
      </c>
      <c r="K9023" t="n">
        <v>0</v>
      </c>
      <c r="L9023" t="n">
        <v>0</v>
      </c>
      <c r="M9023" t="n">
        <v>0</v>
      </c>
    </row>
    <row r="9024">
      <c r="A9024" t="inlineStr">
        <is>
          <t>12월</t>
        </is>
      </c>
      <c r="B9024" t="inlineStr">
        <is>
          <t>52주차</t>
        </is>
      </c>
      <c r="C9024" t="e">
        <v>#N/A</v>
      </c>
      <c r="K9024" t="n">
        <v>0</v>
      </c>
      <c r="L9024" t="n">
        <v>0</v>
      </c>
      <c r="M9024" t="n">
        <v>0</v>
      </c>
    </row>
    <row r="9025">
      <c r="A9025" t="inlineStr">
        <is>
          <t>12월</t>
        </is>
      </c>
      <c r="B9025" t="inlineStr">
        <is>
          <t>52주차</t>
        </is>
      </c>
      <c r="C9025" t="e">
        <v>#N/A</v>
      </c>
      <c r="K9025" t="n">
        <v>0</v>
      </c>
      <c r="L9025" t="n">
        <v>0</v>
      </c>
      <c r="M9025" t="n">
        <v>0</v>
      </c>
    </row>
    <row r="9026">
      <c r="A9026" t="inlineStr">
        <is>
          <t>12월</t>
        </is>
      </c>
      <c r="B9026" t="inlineStr">
        <is>
          <t>52주차</t>
        </is>
      </c>
      <c r="C9026" t="e">
        <v>#N/A</v>
      </c>
      <c r="K9026" t="n">
        <v>0</v>
      </c>
      <c r="L9026" t="n">
        <v>0</v>
      </c>
      <c r="M9026" t="n">
        <v>0</v>
      </c>
    </row>
    <row r="9027">
      <c r="A9027" t="inlineStr">
        <is>
          <t>12월</t>
        </is>
      </c>
      <c r="B9027" t="inlineStr">
        <is>
          <t>52주차</t>
        </is>
      </c>
      <c r="C9027" t="e">
        <v>#N/A</v>
      </c>
      <c r="K9027" t="n">
        <v>0</v>
      </c>
      <c r="L9027" t="n">
        <v>0</v>
      </c>
      <c r="M9027" t="n">
        <v>0</v>
      </c>
    </row>
    <row r="9028">
      <c r="A9028" t="inlineStr">
        <is>
          <t>12월</t>
        </is>
      </c>
      <c r="B9028" t="inlineStr">
        <is>
          <t>52주차</t>
        </is>
      </c>
      <c r="C9028" t="e">
        <v>#N/A</v>
      </c>
      <c r="K9028" t="n">
        <v>0</v>
      </c>
      <c r="L9028" t="n">
        <v>0</v>
      </c>
      <c r="M9028" t="n">
        <v>0</v>
      </c>
    </row>
    <row r="9029">
      <c r="A9029" t="inlineStr">
        <is>
          <t>12월</t>
        </is>
      </c>
      <c r="B9029" t="inlineStr">
        <is>
          <t>52주차</t>
        </is>
      </c>
      <c r="C9029" t="e">
        <v>#N/A</v>
      </c>
      <c r="K9029" t="n">
        <v>0</v>
      </c>
      <c r="L9029" t="n">
        <v>0</v>
      </c>
      <c r="M9029" t="n">
        <v>0</v>
      </c>
    </row>
    <row r="9030">
      <c r="A9030" t="inlineStr">
        <is>
          <t>12월</t>
        </is>
      </c>
      <c r="B9030" t="inlineStr">
        <is>
          <t>52주차</t>
        </is>
      </c>
      <c r="C9030" t="e">
        <v>#N/A</v>
      </c>
      <c r="K9030" t="n">
        <v>0</v>
      </c>
      <c r="L9030" t="n">
        <v>0</v>
      </c>
      <c r="M9030" t="n">
        <v>0</v>
      </c>
    </row>
    <row r="9031">
      <c r="A9031" t="inlineStr">
        <is>
          <t>12월</t>
        </is>
      </c>
      <c r="B9031" t="inlineStr">
        <is>
          <t>52주차</t>
        </is>
      </c>
      <c r="C9031" t="e">
        <v>#N/A</v>
      </c>
      <c r="K9031" t="n">
        <v>0</v>
      </c>
      <c r="L9031" t="n">
        <v>0</v>
      </c>
      <c r="M9031" t="n">
        <v>0</v>
      </c>
    </row>
    <row r="9032">
      <c r="A9032" t="inlineStr">
        <is>
          <t>12월</t>
        </is>
      </c>
      <c r="B9032" t="inlineStr">
        <is>
          <t>52주차</t>
        </is>
      </c>
      <c r="C9032" t="e">
        <v>#N/A</v>
      </c>
      <c r="K9032" t="n">
        <v>0</v>
      </c>
      <c r="L9032" t="n">
        <v>0</v>
      </c>
      <c r="M9032" t="n">
        <v>0</v>
      </c>
    </row>
    <row r="9033">
      <c r="A9033" t="inlineStr">
        <is>
          <t>12월</t>
        </is>
      </c>
      <c r="B9033" t="inlineStr">
        <is>
          <t>52주차</t>
        </is>
      </c>
      <c r="C9033" t="e">
        <v>#N/A</v>
      </c>
      <c r="K9033" t="n">
        <v>0</v>
      </c>
      <c r="L9033" t="n">
        <v>0</v>
      </c>
      <c r="M9033" t="n">
        <v>0</v>
      </c>
    </row>
    <row r="9034">
      <c r="A9034" t="inlineStr">
        <is>
          <t>12월</t>
        </is>
      </c>
      <c r="B9034" t="inlineStr">
        <is>
          <t>52주차</t>
        </is>
      </c>
      <c r="C9034" t="e">
        <v>#N/A</v>
      </c>
      <c r="K9034" t="n">
        <v>0</v>
      </c>
      <c r="L9034" t="n">
        <v>0</v>
      </c>
      <c r="M9034" t="n">
        <v>0</v>
      </c>
    </row>
    <row r="9035">
      <c r="A9035" t="inlineStr">
        <is>
          <t>12월</t>
        </is>
      </c>
      <c r="B9035" t="inlineStr">
        <is>
          <t>52주차</t>
        </is>
      </c>
      <c r="C9035" t="e">
        <v>#N/A</v>
      </c>
      <c r="K9035" t="n">
        <v>0</v>
      </c>
      <c r="L9035" t="n">
        <v>0</v>
      </c>
      <c r="M9035" t="n">
        <v>0</v>
      </c>
    </row>
    <row r="9036">
      <c r="A9036" t="inlineStr">
        <is>
          <t>12월</t>
        </is>
      </c>
      <c r="B9036" t="inlineStr">
        <is>
          <t>52주차</t>
        </is>
      </c>
      <c r="C9036" t="e">
        <v>#N/A</v>
      </c>
      <c r="K9036" t="n">
        <v>0</v>
      </c>
      <c r="L9036" t="n">
        <v>0</v>
      </c>
      <c r="M9036" t="n">
        <v>0</v>
      </c>
    </row>
    <row r="9037">
      <c r="A9037" t="inlineStr">
        <is>
          <t>12월</t>
        </is>
      </c>
      <c r="B9037" t="inlineStr">
        <is>
          <t>52주차</t>
        </is>
      </c>
      <c r="C9037" t="e">
        <v>#N/A</v>
      </c>
      <c r="K9037" t="n">
        <v>0</v>
      </c>
      <c r="L9037" t="n">
        <v>0</v>
      </c>
      <c r="M9037" t="n">
        <v>0</v>
      </c>
    </row>
    <row r="9038">
      <c r="A9038" t="inlineStr">
        <is>
          <t>12월</t>
        </is>
      </c>
      <c r="B9038" t="inlineStr">
        <is>
          <t>52주차</t>
        </is>
      </c>
      <c r="C9038" t="e">
        <v>#N/A</v>
      </c>
      <c r="K9038" t="n">
        <v>0</v>
      </c>
      <c r="L9038" t="n">
        <v>0</v>
      </c>
      <c r="M9038" t="n">
        <v>0</v>
      </c>
    </row>
    <row r="9039">
      <c r="A9039" t="inlineStr">
        <is>
          <t>12월</t>
        </is>
      </c>
      <c r="B9039" t="inlineStr">
        <is>
          <t>52주차</t>
        </is>
      </c>
      <c r="C9039" t="e">
        <v>#N/A</v>
      </c>
      <c r="K9039" t="n">
        <v>0</v>
      </c>
      <c r="L9039" t="n">
        <v>0</v>
      </c>
      <c r="M9039" t="n">
        <v>0</v>
      </c>
    </row>
    <row r="9040">
      <c r="A9040" t="inlineStr">
        <is>
          <t>12월</t>
        </is>
      </c>
      <c r="B9040" t="inlineStr">
        <is>
          <t>52주차</t>
        </is>
      </c>
      <c r="C9040" t="e">
        <v>#N/A</v>
      </c>
      <c r="K9040" t="n">
        <v>0</v>
      </c>
      <c r="L9040" t="n">
        <v>0</v>
      </c>
      <c r="M9040" t="n">
        <v>0</v>
      </c>
    </row>
    <row r="9041">
      <c r="A9041" t="inlineStr">
        <is>
          <t>12월</t>
        </is>
      </c>
      <c r="B9041" t="inlineStr">
        <is>
          <t>52주차</t>
        </is>
      </c>
      <c r="C9041" t="e">
        <v>#N/A</v>
      </c>
      <c r="K9041" t="n">
        <v>0</v>
      </c>
      <c r="L9041" t="n">
        <v>0</v>
      </c>
      <c r="M9041" t="n">
        <v>0</v>
      </c>
    </row>
    <row r="9042">
      <c r="A9042" t="inlineStr">
        <is>
          <t>12월</t>
        </is>
      </c>
      <c r="B9042" t="inlineStr">
        <is>
          <t>52주차</t>
        </is>
      </c>
      <c r="C9042" t="e">
        <v>#N/A</v>
      </c>
      <c r="K9042" t="n">
        <v>0</v>
      </c>
      <c r="L9042" t="n">
        <v>0</v>
      </c>
      <c r="M9042" t="n">
        <v>0</v>
      </c>
    </row>
    <row r="9043">
      <c r="A9043" t="inlineStr">
        <is>
          <t>12월</t>
        </is>
      </c>
      <c r="B9043" t="inlineStr">
        <is>
          <t>52주차</t>
        </is>
      </c>
      <c r="C9043" t="e">
        <v>#N/A</v>
      </c>
      <c r="K9043" t="n">
        <v>0</v>
      </c>
      <c r="L9043" t="n">
        <v>0</v>
      </c>
      <c r="M9043" t="n">
        <v>0</v>
      </c>
    </row>
    <row r="9044">
      <c r="A9044" t="inlineStr">
        <is>
          <t>12월</t>
        </is>
      </c>
      <c r="B9044" t="inlineStr">
        <is>
          <t>52주차</t>
        </is>
      </c>
      <c r="C9044" t="e">
        <v>#N/A</v>
      </c>
      <c r="K9044" t="n">
        <v>0</v>
      </c>
      <c r="L9044" t="n">
        <v>0</v>
      </c>
      <c r="M9044" t="n">
        <v>0</v>
      </c>
    </row>
    <row r="9045">
      <c r="A9045" t="inlineStr">
        <is>
          <t>12월</t>
        </is>
      </c>
      <c r="B9045" t="inlineStr">
        <is>
          <t>52주차</t>
        </is>
      </c>
      <c r="C9045" t="e">
        <v>#N/A</v>
      </c>
      <c r="K9045" t="n">
        <v>0</v>
      </c>
      <c r="L9045" t="n">
        <v>0</v>
      </c>
      <c r="M9045" t="n">
        <v>0</v>
      </c>
    </row>
    <row r="9046">
      <c r="A9046" t="inlineStr">
        <is>
          <t>12월</t>
        </is>
      </c>
      <c r="B9046" t="inlineStr">
        <is>
          <t>52주차</t>
        </is>
      </c>
      <c r="C9046" t="e">
        <v>#N/A</v>
      </c>
      <c r="K9046" t="n">
        <v>0</v>
      </c>
      <c r="L9046" t="n">
        <v>0</v>
      </c>
      <c r="M9046" t="n">
        <v>0</v>
      </c>
    </row>
    <row r="9047">
      <c r="A9047" t="inlineStr">
        <is>
          <t>12월</t>
        </is>
      </c>
      <c r="B9047" t="inlineStr">
        <is>
          <t>52주차</t>
        </is>
      </c>
      <c r="C9047" t="e">
        <v>#N/A</v>
      </c>
      <c r="K9047" t="n">
        <v>0</v>
      </c>
      <c r="L9047" t="n">
        <v>0</v>
      </c>
      <c r="M9047" t="n">
        <v>0</v>
      </c>
    </row>
    <row r="9048">
      <c r="A9048" t="inlineStr">
        <is>
          <t>12월</t>
        </is>
      </c>
      <c r="B9048" t="inlineStr">
        <is>
          <t>52주차</t>
        </is>
      </c>
      <c r="C9048" t="e">
        <v>#N/A</v>
      </c>
      <c r="K9048" t="n">
        <v>0</v>
      </c>
      <c r="L9048" t="n">
        <v>0</v>
      </c>
      <c r="M9048" t="n">
        <v>0</v>
      </c>
    </row>
    <row r="9049">
      <c r="A9049" t="inlineStr">
        <is>
          <t>12월</t>
        </is>
      </c>
      <c r="B9049" t="inlineStr">
        <is>
          <t>52주차</t>
        </is>
      </c>
      <c r="C9049" t="e">
        <v>#N/A</v>
      </c>
      <c r="K9049" t="n">
        <v>0</v>
      </c>
      <c r="L9049" t="n">
        <v>0</v>
      </c>
      <c r="M9049" t="n">
        <v>0</v>
      </c>
    </row>
    <row r="9050">
      <c r="A9050" t="inlineStr">
        <is>
          <t>12월</t>
        </is>
      </c>
      <c r="B9050" t="inlineStr">
        <is>
          <t>52주차</t>
        </is>
      </c>
      <c r="C9050" t="e">
        <v>#N/A</v>
      </c>
      <c r="K9050" t="n">
        <v>0</v>
      </c>
      <c r="L9050" t="n">
        <v>0</v>
      </c>
      <c r="M9050" t="n">
        <v>0</v>
      </c>
    </row>
    <row r="9051">
      <c r="A9051" t="inlineStr">
        <is>
          <t>12월</t>
        </is>
      </c>
      <c r="B9051" t="inlineStr">
        <is>
          <t>52주차</t>
        </is>
      </c>
      <c r="C9051" t="e">
        <v>#N/A</v>
      </c>
      <c r="K9051" t="n">
        <v>0</v>
      </c>
      <c r="L9051" t="n">
        <v>0</v>
      </c>
      <c r="M9051" t="n">
        <v>0</v>
      </c>
    </row>
    <row r="9052">
      <c r="A9052" t="inlineStr">
        <is>
          <t>12월</t>
        </is>
      </c>
      <c r="B9052" t="inlineStr">
        <is>
          <t>52주차</t>
        </is>
      </c>
      <c r="C9052" t="e">
        <v>#N/A</v>
      </c>
      <c r="K9052" t="n">
        <v>0</v>
      </c>
      <c r="L9052" t="n">
        <v>0</v>
      </c>
      <c r="M9052" t="n">
        <v>0</v>
      </c>
    </row>
    <row r="9053">
      <c r="A9053" t="inlineStr">
        <is>
          <t>12월</t>
        </is>
      </c>
      <c r="B9053" t="inlineStr">
        <is>
          <t>52주차</t>
        </is>
      </c>
      <c r="C9053" t="e">
        <v>#N/A</v>
      </c>
      <c r="K9053" t="n">
        <v>0</v>
      </c>
      <c r="L9053" t="n">
        <v>0</v>
      </c>
      <c r="M9053" t="n">
        <v>0</v>
      </c>
    </row>
    <row r="9054">
      <c r="A9054" t="inlineStr">
        <is>
          <t>12월</t>
        </is>
      </c>
      <c r="B9054" t="inlineStr">
        <is>
          <t>52주차</t>
        </is>
      </c>
      <c r="C9054" t="e">
        <v>#N/A</v>
      </c>
      <c r="K9054" t="n">
        <v>0</v>
      </c>
      <c r="L9054" t="n">
        <v>0</v>
      </c>
      <c r="M9054" t="n">
        <v>0</v>
      </c>
    </row>
    <row r="9055">
      <c r="A9055" t="inlineStr">
        <is>
          <t>12월</t>
        </is>
      </c>
      <c r="B9055" t="inlineStr">
        <is>
          <t>52주차</t>
        </is>
      </c>
      <c r="C9055" t="e">
        <v>#N/A</v>
      </c>
      <c r="K9055" t="n">
        <v>0</v>
      </c>
      <c r="L9055" t="n">
        <v>0</v>
      </c>
      <c r="M9055" t="n">
        <v>0</v>
      </c>
    </row>
    <row r="9056">
      <c r="A9056" t="inlineStr">
        <is>
          <t>12월</t>
        </is>
      </c>
      <c r="B9056" t="inlineStr">
        <is>
          <t>52주차</t>
        </is>
      </c>
      <c r="C9056" t="e">
        <v>#N/A</v>
      </c>
      <c r="K9056" t="n">
        <v>0</v>
      </c>
      <c r="L9056" t="n">
        <v>0</v>
      </c>
      <c r="M9056" t="n">
        <v>0</v>
      </c>
    </row>
    <row r="9057">
      <c r="A9057" t="inlineStr">
        <is>
          <t>12월</t>
        </is>
      </c>
      <c r="B9057" t="inlineStr">
        <is>
          <t>52주차</t>
        </is>
      </c>
      <c r="C9057" t="e">
        <v>#N/A</v>
      </c>
      <c r="K9057" t="n">
        <v>0</v>
      </c>
      <c r="L9057" t="n">
        <v>0</v>
      </c>
      <c r="M9057" t="n">
        <v>0</v>
      </c>
    </row>
    <row r="9058">
      <c r="A9058" t="inlineStr">
        <is>
          <t>12월</t>
        </is>
      </c>
      <c r="B9058" t="inlineStr">
        <is>
          <t>52주차</t>
        </is>
      </c>
      <c r="C9058" t="e">
        <v>#N/A</v>
      </c>
      <c r="K9058" t="n">
        <v>0</v>
      </c>
      <c r="L9058" t="n">
        <v>0</v>
      </c>
      <c r="M9058" t="n">
        <v>0</v>
      </c>
    </row>
    <row r="9059">
      <c r="A9059" t="inlineStr">
        <is>
          <t>12월</t>
        </is>
      </c>
      <c r="B9059" t="inlineStr">
        <is>
          <t>52주차</t>
        </is>
      </c>
      <c r="C9059" t="e">
        <v>#N/A</v>
      </c>
      <c r="K9059" t="n">
        <v>0</v>
      </c>
      <c r="L9059" t="n">
        <v>0</v>
      </c>
      <c r="M9059" t="n">
        <v>0</v>
      </c>
    </row>
    <row r="9060">
      <c r="A9060" t="inlineStr">
        <is>
          <t>12월</t>
        </is>
      </c>
      <c r="B9060" t="inlineStr">
        <is>
          <t>52주차</t>
        </is>
      </c>
      <c r="C9060" t="e">
        <v>#N/A</v>
      </c>
      <c r="K9060" t="n">
        <v>0</v>
      </c>
      <c r="L9060" t="n">
        <v>0</v>
      </c>
      <c r="M9060" t="n">
        <v>0</v>
      </c>
    </row>
    <row r="9061">
      <c r="A9061" t="inlineStr">
        <is>
          <t>12월</t>
        </is>
      </c>
      <c r="B9061" t="inlineStr">
        <is>
          <t>52주차</t>
        </is>
      </c>
      <c r="C9061" t="e">
        <v>#N/A</v>
      </c>
      <c r="K9061" t="n">
        <v>0</v>
      </c>
      <c r="L9061" t="n">
        <v>0</v>
      </c>
      <c r="M9061" t="n">
        <v>0</v>
      </c>
    </row>
    <row r="9062">
      <c r="A9062" t="inlineStr">
        <is>
          <t>12월</t>
        </is>
      </c>
      <c r="B9062" t="inlineStr">
        <is>
          <t>52주차</t>
        </is>
      </c>
      <c r="C9062" t="e">
        <v>#N/A</v>
      </c>
      <c r="K9062" t="n">
        <v>0</v>
      </c>
      <c r="L9062" t="n">
        <v>0</v>
      </c>
      <c r="M9062" t="n">
        <v>0</v>
      </c>
    </row>
    <row r="9063">
      <c r="A9063" t="inlineStr">
        <is>
          <t>12월</t>
        </is>
      </c>
      <c r="B9063" t="inlineStr">
        <is>
          <t>52주차</t>
        </is>
      </c>
      <c r="C9063" t="e">
        <v>#N/A</v>
      </c>
      <c r="K9063" t="n">
        <v>0</v>
      </c>
      <c r="L9063" t="n">
        <v>0</v>
      </c>
      <c r="M9063" t="n">
        <v>0</v>
      </c>
    </row>
    <row r="9064">
      <c r="A9064" t="inlineStr">
        <is>
          <t>12월</t>
        </is>
      </c>
      <c r="B9064" t="inlineStr">
        <is>
          <t>52주차</t>
        </is>
      </c>
      <c r="C9064" t="e">
        <v>#N/A</v>
      </c>
      <c r="K9064" t="n">
        <v>0</v>
      </c>
      <c r="L9064" t="n">
        <v>0</v>
      </c>
      <c r="M9064" t="n">
        <v>0</v>
      </c>
    </row>
    <row r="9065">
      <c r="A9065" t="inlineStr">
        <is>
          <t>12월</t>
        </is>
      </c>
      <c r="B9065" t="inlineStr">
        <is>
          <t>52주차</t>
        </is>
      </c>
      <c r="C9065" t="e">
        <v>#N/A</v>
      </c>
      <c r="K9065" t="n">
        <v>0</v>
      </c>
      <c r="L9065" t="n">
        <v>0</v>
      </c>
      <c r="M9065" t="n">
        <v>0</v>
      </c>
    </row>
    <row r="9066">
      <c r="A9066" t="inlineStr">
        <is>
          <t>12월</t>
        </is>
      </c>
      <c r="B9066" t="inlineStr">
        <is>
          <t>52주차</t>
        </is>
      </c>
      <c r="C9066" t="e">
        <v>#N/A</v>
      </c>
      <c r="K9066" t="n">
        <v>0</v>
      </c>
      <c r="L9066" t="n">
        <v>0</v>
      </c>
      <c r="M9066" t="n">
        <v>0</v>
      </c>
    </row>
    <row r="9067">
      <c r="A9067" t="inlineStr">
        <is>
          <t>12월</t>
        </is>
      </c>
      <c r="B9067" t="inlineStr">
        <is>
          <t>52주차</t>
        </is>
      </c>
      <c r="C9067" t="e">
        <v>#N/A</v>
      </c>
      <c r="K9067" t="n">
        <v>0</v>
      </c>
      <c r="L9067" t="n">
        <v>0</v>
      </c>
      <c r="M9067" t="n">
        <v>0</v>
      </c>
    </row>
    <row r="9068">
      <c r="A9068" t="inlineStr">
        <is>
          <t>12월</t>
        </is>
      </c>
      <c r="B9068" t="inlineStr">
        <is>
          <t>52주차</t>
        </is>
      </c>
      <c r="C9068" t="e">
        <v>#N/A</v>
      </c>
      <c r="K9068" t="n">
        <v>0</v>
      </c>
      <c r="L9068" t="n">
        <v>0</v>
      </c>
      <c r="M9068" t="n">
        <v>0</v>
      </c>
    </row>
    <row r="9069">
      <c r="A9069" t="inlineStr">
        <is>
          <t>12월</t>
        </is>
      </c>
      <c r="B9069" t="inlineStr">
        <is>
          <t>52주차</t>
        </is>
      </c>
      <c r="C9069" t="e">
        <v>#N/A</v>
      </c>
      <c r="K9069" t="n">
        <v>0</v>
      </c>
      <c r="L9069" t="n">
        <v>0</v>
      </c>
      <c r="M9069" t="n">
        <v>0</v>
      </c>
    </row>
    <row r="9070">
      <c r="A9070" t="inlineStr">
        <is>
          <t>12월</t>
        </is>
      </c>
      <c r="B9070" t="inlineStr">
        <is>
          <t>52주차</t>
        </is>
      </c>
      <c r="C9070" t="e">
        <v>#N/A</v>
      </c>
      <c r="K9070" t="n">
        <v>0</v>
      </c>
      <c r="L9070" t="n">
        <v>0</v>
      </c>
      <c r="M9070" t="n">
        <v>0</v>
      </c>
    </row>
    <row r="9071">
      <c r="A9071" t="inlineStr">
        <is>
          <t>12월</t>
        </is>
      </c>
      <c r="B9071" t="inlineStr">
        <is>
          <t>52주차</t>
        </is>
      </c>
      <c r="C9071" t="e">
        <v>#N/A</v>
      </c>
      <c r="K9071" t="n">
        <v>0</v>
      </c>
      <c r="L9071" t="n">
        <v>0</v>
      </c>
      <c r="M9071" t="n">
        <v>0</v>
      </c>
    </row>
    <row r="9072">
      <c r="A9072" t="inlineStr">
        <is>
          <t>12월</t>
        </is>
      </c>
      <c r="B9072" t="inlineStr">
        <is>
          <t>52주차</t>
        </is>
      </c>
      <c r="C9072" t="e">
        <v>#N/A</v>
      </c>
      <c r="K9072" t="n">
        <v>0</v>
      </c>
      <c r="L9072" t="n">
        <v>0</v>
      </c>
      <c r="M9072" t="n">
        <v>0</v>
      </c>
    </row>
    <row r="9073">
      <c r="A9073" t="inlineStr">
        <is>
          <t>12월</t>
        </is>
      </c>
      <c r="B9073" t="inlineStr">
        <is>
          <t>52주차</t>
        </is>
      </c>
      <c r="C9073" t="e">
        <v>#N/A</v>
      </c>
      <c r="K9073" t="n">
        <v>0</v>
      </c>
      <c r="L9073" t="n">
        <v>0</v>
      </c>
      <c r="M9073" t="n">
        <v>0</v>
      </c>
    </row>
    <row r="9074">
      <c r="A9074" t="inlineStr">
        <is>
          <t>12월</t>
        </is>
      </c>
      <c r="B9074" t="inlineStr">
        <is>
          <t>52주차</t>
        </is>
      </c>
      <c r="C9074" t="e">
        <v>#N/A</v>
      </c>
      <c r="K9074" t="n">
        <v>0</v>
      </c>
      <c r="L9074" t="n">
        <v>0</v>
      </c>
      <c r="M9074" t="n">
        <v>0</v>
      </c>
    </row>
    <row r="9075">
      <c r="A9075" t="inlineStr">
        <is>
          <t>12월</t>
        </is>
      </c>
      <c r="B9075" t="inlineStr">
        <is>
          <t>52주차</t>
        </is>
      </c>
      <c r="C9075" t="e">
        <v>#N/A</v>
      </c>
      <c r="K9075" t="n">
        <v>0</v>
      </c>
      <c r="L9075" t="n">
        <v>0</v>
      </c>
      <c r="M9075" t="n">
        <v>0</v>
      </c>
    </row>
    <row r="9076">
      <c r="A9076" t="inlineStr">
        <is>
          <t>12월</t>
        </is>
      </c>
      <c r="B9076" t="inlineStr">
        <is>
          <t>52주차</t>
        </is>
      </c>
      <c r="C9076" t="e">
        <v>#N/A</v>
      </c>
      <c r="K9076" t="n">
        <v>0</v>
      </c>
      <c r="L9076" t="n">
        <v>0</v>
      </c>
      <c r="M9076" t="n">
        <v>0</v>
      </c>
    </row>
    <row r="9077">
      <c r="A9077" t="inlineStr">
        <is>
          <t>12월</t>
        </is>
      </c>
      <c r="B9077" t="inlineStr">
        <is>
          <t>52주차</t>
        </is>
      </c>
      <c r="C9077" t="e">
        <v>#N/A</v>
      </c>
      <c r="K9077" t="n">
        <v>0</v>
      </c>
      <c r="L9077" t="n">
        <v>0</v>
      </c>
      <c r="M9077" t="n">
        <v>0</v>
      </c>
    </row>
    <row r="9078">
      <c r="A9078" t="inlineStr">
        <is>
          <t>12월</t>
        </is>
      </c>
      <c r="B9078" t="inlineStr">
        <is>
          <t>52주차</t>
        </is>
      </c>
      <c r="C9078" t="e">
        <v>#N/A</v>
      </c>
      <c r="K9078" t="n">
        <v>0</v>
      </c>
      <c r="L9078" t="n">
        <v>0</v>
      </c>
      <c r="M9078" t="n">
        <v>0</v>
      </c>
    </row>
    <row r="9079">
      <c r="A9079" t="inlineStr">
        <is>
          <t>12월</t>
        </is>
      </c>
      <c r="B9079" t="inlineStr">
        <is>
          <t>52주차</t>
        </is>
      </c>
      <c r="C9079" t="e">
        <v>#N/A</v>
      </c>
      <c r="K9079" t="n">
        <v>0</v>
      </c>
      <c r="L9079" t="n">
        <v>0</v>
      </c>
      <c r="M9079" t="n">
        <v>0</v>
      </c>
    </row>
    <row r="9080">
      <c r="A9080" t="inlineStr">
        <is>
          <t>12월</t>
        </is>
      </c>
      <c r="B9080" t="inlineStr">
        <is>
          <t>52주차</t>
        </is>
      </c>
      <c r="C9080" t="e">
        <v>#N/A</v>
      </c>
      <c r="K9080" t="n">
        <v>0</v>
      </c>
      <c r="L9080" t="n">
        <v>0</v>
      </c>
      <c r="M9080" t="n">
        <v>0</v>
      </c>
    </row>
    <row r="9081">
      <c r="A9081" t="inlineStr">
        <is>
          <t>12월</t>
        </is>
      </c>
      <c r="B9081" t="inlineStr">
        <is>
          <t>52주차</t>
        </is>
      </c>
      <c r="C9081" t="e">
        <v>#N/A</v>
      </c>
      <c r="K9081" t="n">
        <v>0</v>
      </c>
      <c r="L9081" t="n">
        <v>0</v>
      </c>
      <c r="M9081" t="n">
        <v>0</v>
      </c>
    </row>
    <row r="9082">
      <c r="A9082" t="inlineStr">
        <is>
          <t>12월</t>
        </is>
      </c>
      <c r="B9082" t="inlineStr">
        <is>
          <t>52주차</t>
        </is>
      </c>
      <c r="C9082" t="e">
        <v>#N/A</v>
      </c>
      <c r="K9082" t="n">
        <v>0</v>
      </c>
      <c r="L9082" t="n">
        <v>0</v>
      </c>
      <c r="M9082" t="n">
        <v>0</v>
      </c>
    </row>
    <row r="9083">
      <c r="A9083" t="inlineStr">
        <is>
          <t>12월</t>
        </is>
      </c>
      <c r="B9083" t="inlineStr">
        <is>
          <t>52주차</t>
        </is>
      </c>
      <c r="C9083" t="e">
        <v>#N/A</v>
      </c>
      <c r="K9083" t="n">
        <v>0</v>
      </c>
      <c r="L9083" t="n">
        <v>0</v>
      </c>
      <c r="M9083" t="n">
        <v>0</v>
      </c>
    </row>
    <row r="9084">
      <c r="A9084" t="inlineStr">
        <is>
          <t>12월</t>
        </is>
      </c>
      <c r="B9084" t="inlineStr">
        <is>
          <t>52주차</t>
        </is>
      </c>
      <c r="C9084" t="e">
        <v>#N/A</v>
      </c>
      <c r="K9084" t="n">
        <v>0</v>
      </c>
      <c r="L9084" t="n">
        <v>0</v>
      </c>
      <c r="M9084" t="n">
        <v>0</v>
      </c>
    </row>
    <row r="9085">
      <c r="A9085" t="inlineStr">
        <is>
          <t>12월</t>
        </is>
      </c>
      <c r="B9085" t="inlineStr">
        <is>
          <t>52주차</t>
        </is>
      </c>
      <c r="C9085" t="e">
        <v>#N/A</v>
      </c>
      <c r="K9085" t="n">
        <v>0</v>
      </c>
      <c r="L9085" t="n">
        <v>0</v>
      </c>
      <c r="M9085" t="n">
        <v>0</v>
      </c>
    </row>
    <row r="9086">
      <c r="A9086" t="inlineStr">
        <is>
          <t>12월</t>
        </is>
      </c>
      <c r="B9086" t="inlineStr">
        <is>
          <t>52주차</t>
        </is>
      </c>
      <c r="C9086" t="e">
        <v>#N/A</v>
      </c>
      <c r="K9086" t="n">
        <v>0</v>
      </c>
      <c r="L9086" t="n">
        <v>0</v>
      </c>
      <c r="M9086" t="n">
        <v>0</v>
      </c>
    </row>
    <row r="9087">
      <c r="A9087" t="inlineStr">
        <is>
          <t>12월</t>
        </is>
      </c>
      <c r="B9087" t="inlineStr">
        <is>
          <t>52주차</t>
        </is>
      </c>
      <c r="C9087" t="e">
        <v>#N/A</v>
      </c>
      <c r="K9087" t="n">
        <v>0</v>
      </c>
      <c r="L9087" t="n">
        <v>0</v>
      </c>
      <c r="M9087" t="n">
        <v>0</v>
      </c>
    </row>
    <row r="9088">
      <c r="A9088" t="inlineStr">
        <is>
          <t>12월</t>
        </is>
      </c>
      <c r="B9088" t="inlineStr">
        <is>
          <t>52주차</t>
        </is>
      </c>
      <c r="C9088" t="e">
        <v>#N/A</v>
      </c>
      <c r="K9088" t="n">
        <v>0</v>
      </c>
      <c r="L9088" t="n">
        <v>0</v>
      </c>
      <c r="M9088" t="n">
        <v>0</v>
      </c>
    </row>
    <row r="9089">
      <c r="A9089" t="inlineStr">
        <is>
          <t>12월</t>
        </is>
      </c>
      <c r="B9089" t="inlineStr">
        <is>
          <t>52주차</t>
        </is>
      </c>
      <c r="C9089" t="e">
        <v>#N/A</v>
      </c>
      <c r="K9089" t="n">
        <v>0</v>
      </c>
      <c r="L9089" t="n">
        <v>0</v>
      </c>
      <c r="M9089" t="n">
        <v>0</v>
      </c>
    </row>
    <row r="9090">
      <c r="A9090" t="inlineStr">
        <is>
          <t>12월</t>
        </is>
      </c>
      <c r="B9090" t="inlineStr">
        <is>
          <t>52주차</t>
        </is>
      </c>
      <c r="C9090" t="e">
        <v>#N/A</v>
      </c>
      <c r="K9090" t="n">
        <v>0</v>
      </c>
      <c r="L9090" t="n">
        <v>0</v>
      </c>
      <c r="M9090" t="n">
        <v>0</v>
      </c>
    </row>
    <row r="9091">
      <c r="A9091" t="inlineStr">
        <is>
          <t>12월</t>
        </is>
      </c>
      <c r="B9091" t="inlineStr">
        <is>
          <t>52주차</t>
        </is>
      </c>
      <c r="C9091" t="e">
        <v>#N/A</v>
      </c>
      <c r="K9091" t="n">
        <v>0</v>
      </c>
      <c r="L9091" t="n">
        <v>0</v>
      </c>
      <c r="M9091" t="n">
        <v>0</v>
      </c>
    </row>
    <row r="9092">
      <c r="A9092" t="inlineStr">
        <is>
          <t>12월</t>
        </is>
      </c>
      <c r="B9092" t="inlineStr">
        <is>
          <t>52주차</t>
        </is>
      </c>
      <c r="C9092" t="e">
        <v>#N/A</v>
      </c>
      <c r="K9092" t="n">
        <v>0</v>
      </c>
      <c r="L9092" t="n">
        <v>0</v>
      </c>
      <c r="M9092" t="n">
        <v>0</v>
      </c>
    </row>
    <row r="9093">
      <c r="A9093" t="inlineStr">
        <is>
          <t>12월</t>
        </is>
      </c>
      <c r="B9093" t="inlineStr">
        <is>
          <t>52주차</t>
        </is>
      </c>
      <c r="C9093" t="e">
        <v>#N/A</v>
      </c>
      <c r="K9093" t="n">
        <v>0</v>
      </c>
      <c r="L9093" t="n">
        <v>0</v>
      </c>
      <c r="M9093" t="n">
        <v>0</v>
      </c>
    </row>
    <row r="9094">
      <c r="A9094" t="inlineStr">
        <is>
          <t>12월</t>
        </is>
      </c>
      <c r="B9094" t="inlineStr">
        <is>
          <t>52주차</t>
        </is>
      </c>
      <c r="C9094" t="e">
        <v>#N/A</v>
      </c>
      <c r="K9094" t="n">
        <v>0</v>
      </c>
      <c r="L9094" t="n">
        <v>0</v>
      </c>
      <c r="M9094" t="n">
        <v>0</v>
      </c>
    </row>
    <row r="9095">
      <c r="A9095" t="inlineStr">
        <is>
          <t>12월</t>
        </is>
      </c>
      <c r="B9095" t="inlineStr">
        <is>
          <t>52주차</t>
        </is>
      </c>
      <c r="C9095" t="e">
        <v>#N/A</v>
      </c>
      <c r="K9095" t="n">
        <v>0</v>
      </c>
      <c r="L9095" t="n">
        <v>0</v>
      </c>
      <c r="M9095" t="n">
        <v>0</v>
      </c>
    </row>
    <row r="9096">
      <c r="A9096" t="inlineStr">
        <is>
          <t>12월</t>
        </is>
      </c>
      <c r="B9096" t="inlineStr">
        <is>
          <t>52주차</t>
        </is>
      </c>
      <c r="C9096" t="e">
        <v>#N/A</v>
      </c>
      <c r="K9096" t="n">
        <v>0</v>
      </c>
      <c r="L9096" t="n">
        <v>0</v>
      </c>
      <c r="M9096" t="n">
        <v>0</v>
      </c>
    </row>
    <row r="9097">
      <c r="A9097" t="inlineStr">
        <is>
          <t>12월</t>
        </is>
      </c>
      <c r="B9097" t="inlineStr">
        <is>
          <t>52주차</t>
        </is>
      </c>
      <c r="C9097" t="e">
        <v>#N/A</v>
      </c>
      <c r="K9097" t="n">
        <v>0</v>
      </c>
      <c r="L9097" t="n">
        <v>0</v>
      </c>
      <c r="M9097" t="n">
        <v>0</v>
      </c>
    </row>
    <row r="9098">
      <c r="A9098" t="inlineStr">
        <is>
          <t>12월</t>
        </is>
      </c>
      <c r="B9098" t="inlineStr">
        <is>
          <t>52주차</t>
        </is>
      </c>
      <c r="C9098" t="e">
        <v>#N/A</v>
      </c>
      <c r="K9098" t="n">
        <v>0</v>
      </c>
      <c r="L9098" t="n">
        <v>0</v>
      </c>
      <c r="M9098" t="n">
        <v>0</v>
      </c>
    </row>
    <row r="9099">
      <c r="A9099" t="inlineStr">
        <is>
          <t>12월</t>
        </is>
      </c>
      <c r="B9099" t="inlineStr">
        <is>
          <t>52주차</t>
        </is>
      </c>
      <c r="C9099" t="e">
        <v>#N/A</v>
      </c>
      <c r="K9099" t="n">
        <v>0</v>
      </c>
      <c r="L9099" t="n">
        <v>0</v>
      </c>
      <c r="M9099" t="n">
        <v>0</v>
      </c>
    </row>
    <row r="9100">
      <c r="A9100" t="inlineStr">
        <is>
          <t>12월</t>
        </is>
      </c>
      <c r="B9100" t="inlineStr">
        <is>
          <t>52주차</t>
        </is>
      </c>
      <c r="C9100" t="e">
        <v>#N/A</v>
      </c>
      <c r="K9100" t="n">
        <v>0</v>
      </c>
      <c r="L9100" t="n">
        <v>0</v>
      </c>
      <c r="M9100" t="n">
        <v>0</v>
      </c>
    </row>
    <row r="9101">
      <c r="A9101" t="inlineStr">
        <is>
          <t>12월</t>
        </is>
      </c>
      <c r="B9101" t="inlineStr">
        <is>
          <t>52주차</t>
        </is>
      </c>
      <c r="C9101" t="e">
        <v>#N/A</v>
      </c>
      <c r="K9101" t="n">
        <v>0</v>
      </c>
      <c r="L9101" t="n">
        <v>0</v>
      </c>
      <c r="M9101" t="n">
        <v>0</v>
      </c>
    </row>
    <row r="9102">
      <c r="A9102" t="inlineStr">
        <is>
          <t>12월</t>
        </is>
      </c>
      <c r="B9102" t="inlineStr">
        <is>
          <t>52주차</t>
        </is>
      </c>
      <c r="C9102" t="e">
        <v>#N/A</v>
      </c>
      <c r="K9102" t="n">
        <v>0</v>
      </c>
      <c r="L9102" t="n">
        <v>0</v>
      </c>
      <c r="M9102" t="n">
        <v>0</v>
      </c>
    </row>
    <row r="9103">
      <c r="A9103" t="inlineStr">
        <is>
          <t>12월</t>
        </is>
      </c>
      <c r="B9103" t="inlineStr">
        <is>
          <t>52주차</t>
        </is>
      </c>
      <c r="C9103" t="e">
        <v>#N/A</v>
      </c>
      <c r="K9103" t="n">
        <v>0</v>
      </c>
      <c r="L9103" t="n">
        <v>0</v>
      </c>
      <c r="M9103" t="n">
        <v>0</v>
      </c>
    </row>
    <row r="9104">
      <c r="A9104" t="inlineStr">
        <is>
          <t>12월</t>
        </is>
      </c>
      <c r="B9104" t="inlineStr">
        <is>
          <t>52주차</t>
        </is>
      </c>
      <c r="C9104" t="e">
        <v>#N/A</v>
      </c>
      <c r="K9104" t="n">
        <v>0</v>
      </c>
      <c r="L9104" t="n">
        <v>0</v>
      </c>
      <c r="M9104" t="n">
        <v>0</v>
      </c>
    </row>
    <row r="9105">
      <c r="A9105" t="inlineStr">
        <is>
          <t>12월</t>
        </is>
      </c>
      <c r="B9105" t="inlineStr">
        <is>
          <t>52주차</t>
        </is>
      </c>
      <c r="C9105" t="e">
        <v>#N/A</v>
      </c>
      <c r="K9105" t="n">
        <v>0</v>
      </c>
      <c r="L9105" t="n">
        <v>0</v>
      </c>
      <c r="M9105" t="n">
        <v>0</v>
      </c>
    </row>
    <row r="9106">
      <c r="A9106" t="inlineStr">
        <is>
          <t>12월</t>
        </is>
      </c>
      <c r="B9106" t="inlineStr">
        <is>
          <t>52주차</t>
        </is>
      </c>
      <c r="C9106" t="e">
        <v>#N/A</v>
      </c>
      <c r="K9106" t="n">
        <v>0</v>
      </c>
      <c r="L9106" t="n">
        <v>0</v>
      </c>
      <c r="M9106" t="n">
        <v>0</v>
      </c>
    </row>
    <row r="9107">
      <c r="A9107" t="inlineStr">
        <is>
          <t>12월</t>
        </is>
      </c>
      <c r="B9107" t="inlineStr">
        <is>
          <t>52주차</t>
        </is>
      </c>
      <c r="C9107" t="e">
        <v>#N/A</v>
      </c>
      <c r="K9107" t="n">
        <v>0</v>
      </c>
      <c r="L9107" t="n">
        <v>0</v>
      </c>
      <c r="M9107" t="n">
        <v>0</v>
      </c>
    </row>
    <row r="9108">
      <c r="A9108" t="inlineStr">
        <is>
          <t>12월</t>
        </is>
      </c>
      <c r="B9108" t="inlineStr">
        <is>
          <t>52주차</t>
        </is>
      </c>
      <c r="C9108" t="e">
        <v>#N/A</v>
      </c>
      <c r="K9108" t="n">
        <v>0</v>
      </c>
      <c r="L9108" t="n">
        <v>0</v>
      </c>
      <c r="M9108" t="n">
        <v>0</v>
      </c>
    </row>
    <row r="9109">
      <c r="A9109" t="inlineStr">
        <is>
          <t>12월</t>
        </is>
      </c>
      <c r="B9109" t="inlineStr">
        <is>
          <t>52주차</t>
        </is>
      </c>
      <c r="C9109" t="e">
        <v>#N/A</v>
      </c>
      <c r="K9109" t="n">
        <v>0</v>
      </c>
      <c r="L9109" t="n">
        <v>0</v>
      </c>
      <c r="M9109" t="n">
        <v>0</v>
      </c>
    </row>
    <row r="9110">
      <c r="A9110" t="inlineStr">
        <is>
          <t>12월</t>
        </is>
      </c>
      <c r="B9110" t="inlineStr">
        <is>
          <t>52주차</t>
        </is>
      </c>
      <c r="C9110" t="e">
        <v>#N/A</v>
      </c>
      <c r="K9110" t="n">
        <v>0</v>
      </c>
      <c r="L9110" t="n">
        <v>0</v>
      </c>
      <c r="M9110" t="n">
        <v>0</v>
      </c>
    </row>
    <row r="9111">
      <c r="A9111" t="inlineStr">
        <is>
          <t>12월</t>
        </is>
      </c>
      <c r="B9111" t="inlineStr">
        <is>
          <t>52주차</t>
        </is>
      </c>
      <c r="C9111" t="e">
        <v>#N/A</v>
      </c>
      <c r="K9111" t="n">
        <v>0</v>
      </c>
      <c r="L9111" t="n">
        <v>0</v>
      </c>
      <c r="M9111" t="n">
        <v>0</v>
      </c>
    </row>
    <row r="9112">
      <c r="A9112" t="inlineStr">
        <is>
          <t>12월</t>
        </is>
      </c>
      <c r="B9112" t="inlineStr">
        <is>
          <t>52주차</t>
        </is>
      </c>
      <c r="C9112" t="e">
        <v>#N/A</v>
      </c>
      <c r="K9112" t="n">
        <v>0</v>
      </c>
      <c r="L9112" t="n">
        <v>0</v>
      </c>
      <c r="M9112" t="n">
        <v>0</v>
      </c>
    </row>
    <row r="9113">
      <c r="A9113" t="inlineStr">
        <is>
          <t>12월</t>
        </is>
      </c>
      <c r="B9113" t="inlineStr">
        <is>
          <t>52주차</t>
        </is>
      </c>
      <c r="C9113" t="e">
        <v>#N/A</v>
      </c>
      <c r="K9113" t="n">
        <v>0</v>
      </c>
      <c r="L9113" t="n">
        <v>0</v>
      </c>
      <c r="M9113" t="n">
        <v>0</v>
      </c>
    </row>
    <row r="9114">
      <c r="A9114" t="inlineStr">
        <is>
          <t>12월</t>
        </is>
      </c>
      <c r="B9114" t="inlineStr">
        <is>
          <t>52주차</t>
        </is>
      </c>
      <c r="C9114" t="e">
        <v>#N/A</v>
      </c>
      <c r="K9114" t="n">
        <v>0</v>
      </c>
      <c r="L9114" t="n">
        <v>0</v>
      </c>
      <c r="M9114" t="n">
        <v>0</v>
      </c>
    </row>
    <row r="9115">
      <c r="A9115" t="inlineStr">
        <is>
          <t>12월</t>
        </is>
      </c>
      <c r="B9115" t="inlineStr">
        <is>
          <t>52주차</t>
        </is>
      </c>
      <c r="C9115" t="e">
        <v>#N/A</v>
      </c>
      <c r="K9115" t="n">
        <v>0</v>
      </c>
      <c r="L9115" t="n">
        <v>0</v>
      </c>
      <c r="M9115" t="n">
        <v>0</v>
      </c>
    </row>
    <row r="9116">
      <c r="A9116" t="inlineStr">
        <is>
          <t>12월</t>
        </is>
      </c>
      <c r="B9116" t="inlineStr">
        <is>
          <t>52주차</t>
        </is>
      </c>
      <c r="C9116" t="e">
        <v>#N/A</v>
      </c>
      <c r="K9116" t="n">
        <v>0</v>
      </c>
      <c r="L9116" t="n">
        <v>0</v>
      </c>
      <c r="M9116" t="n">
        <v>0</v>
      </c>
    </row>
    <row r="9117">
      <c r="A9117" t="inlineStr">
        <is>
          <t>12월</t>
        </is>
      </c>
      <c r="B9117" t="inlineStr">
        <is>
          <t>52주차</t>
        </is>
      </c>
      <c r="C9117" t="e">
        <v>#N/A</v>
      </c>
      <c r="K9117" t="n">
        <v>0</v>
      </c>
      <c r="L9117" t="n">
        <v>0</v>
      </c>
      <c r="M9117" t="n">
        <v>0</v>
      </c>
    </row>
    <row r="9118">
      <c r="A9118" t="inlineStr">
        <is>
          <t>12월</t>
        </is>
      </c>
      <c r="B9118" t="inlineStr">
        <is>
          <t>52주차</t>
        </is>
      </c>
      <c r="C9118" t="e">
        <v>#N/A</v>
      </c>
      <c r="K9118" t="n">
        <v>0</v>
      </c>
      <c r="L9118" t="n">
        <v>0</v>
      </c>
      <c r="M9118" t="n">
        <v>0</v>
      </c>
    </row>
    <row r="9119">
      <c r="A9119" t="inlineStr">
        <is>
          <t>12월</t>
        </is>
      </c>
      <c r="B9119" t="inlineStr">
        <is>
          <t>52주차</t>
        </is>
      </c>
      <c r="C9119" t="e">
        <v>#N/A</v>
      </c>
      <c r="K9119" t="n">
        <v>0</v>
      </c>
      <c r="L9119" t="n">
        <v>0</v>
      </c>
      <c r="M9119" t="n">
        <v>0</v>
      </c>
    </row>
    <row r="9120">
      <c r="A9120" t="inlineStr">
        <is>
          <t>12월</t>
        </is>
      </c>
      <c r="B9120" t="inlineStr">
        <is>
          <t>52주차</t>
        </is>
      </c>
      <c r="C9120" t="e">
        <v>#N/A</v>
      </c>
      <c r="K9120" t="n">
        <v>0</v>
      </c>
      <c r="L9120" t="n">
        <v>0</v>
      </c>
      <c r="M9120" t="n">
        <v>0</v>
      </c>
    </row>
    <row r="9121">
      <c r="A9121" t="inlineStr">
        <is>
          <t>12월</t>
        </is>
      </c>
      <c r="B9121" t="inlineStr">
        <is>
          <t>52주차</t>
        </is>
      </c>
      <c r="C9121" t="e">
        <v>#N/A</v>
      </c>
      <c r="K9121" t="n">
        <v>0</v>
      </c>
      <c r="L9121" t="n">
        <v>0</v>
      </c>
      <c r="M9121" t="n">
        <v>0</v>
      </c>
    </row>
    <row r="9122">
      <c r="A9122" t="inlineStr">
        <is>
          <t>12월</t>
        </is>
      </c>
      <c r="B9122" t="inlineStr">
        <is>
          <t>52주차</t>
        </is>
      </c>
      <c r="C9122" t="e">
        <v>#N/A</v>
      </c>
      <c r="K9122" t="n">
        <v>0</v>
      </c>
      <c r="L9122" t="n">
        <v>0</v>
      </c>
      <c r="M9122" t="n">
        <v>0</v>
      </c>
    </row>
    <row r="9123">
      <c r="A9123" t="inlineStr">
        <is>
          <t>12월</t>
        </is>
      </c>
      <c r="B9123" t="inlineStr">
        <is>
          <t>52주차</t>
        </is>
      </c>
      <c r="C9123" t="e">
        <v>#N/A</v>
      </c>
      <c r="K9123" t="n">
        <v>0</v>
      </c>
      <c r="L9123" t="n">
        <v>0</v>
      </c>
      <c r="M9123" t="n">
        <v>0</v>
      </c>
    </row>
    <row r="9124">
      <c r="A9124" t="inlineStr">
        <is>
          <t>12월</t>
        </is>
      </c>
      <c r="B9124" t="inlineStr">
        <is>
          <t>52주차</t>
        </is>
      </c>
      <c r="C9124" t="e">
        <v>#N/A</v>
      </c>
      <c r="K9124" t="n">
        <v>0</v>
      </c>
      <c r="L9124" t="n">
        <v>0</v>
      </c>
      <c r="M9124" t="n">
        <v>0</v>
      </c>
    </row>
    <row r="9125">
      <c r="A9125" t="inlineStr">
        <is>
          <t>12월</t>
        </is>
      </c>
      <c r="B9125" t="inlineStr">
        <is>
          <t>52주차</t>
        </is>
      </c>
      <c r="C9125" t="e">
        <v>#N/A</v>
      </c>
      <c r="K9125" t="n">
        <v>0</v>
      </c>
      <c r="L9125" t="n">
        <v>0</v>
      </c>
      <c r="M9125" t="n">
        <v>0</v>
      </c>
    </row>
    <row r="9126">
      <c r="A9126" t="inlineStr">
        <is>
          <t>12월</t>
        </is>
      </c>
      <c r="B9126" t="inlineStr">
        <is>
          <t>52주차</t>
        </is>
      </c>
      <c r="C9126" t="e">
        <v>#N/A</v>
      </c>
      <c r="K9126" t="n">
        <v>0</v>
      </c>
      <c r="L9126" t="n">
        <v>0</v>
      </c>
      <c r="M9126" t="n">
        <v>0</v>
      </c>
    </row>
    <row r="9127">
      <c r="A9127" t="inlineStr">
        <is>
          <t>12월</t>
        </is>
      </c>
      <c r="B9127" t="inlineStr">
        <is>
          <t>52주차</t>
        </is>
      </c>
      <c r="C9127" t="e">
        <v>#N/A</v>
      </c>
      <c r="K9127" t="n">
        <v>0</v>
      </c>
      <c r="L9127" t="n">
        <v>0</v>
      </c>
      <c r="M9127" t="n">
        <v>0</v>
      </c>
    </row>
    <row r="9128">
      <c r="A9128" t="inlineStr">
        <is>
          <t>12월</t>
        </is>
      </c>
      <c r="B9128" t="inlineStr">
        <is>
          <t>52주차</t>
        </is>
      </c>
      <c r="C9128" t="e">
        <v>#N/A</v>
      </c>
      <c r="K9128" t="n">
        <v>0</v>
      </c>
      <c r="L9128" t="n">
        <v>0</v>
      </c>
      <c r="M9128" t="n">
        <v>0</v>
      </c>
    </row>
    <row r="9129">
      <c r="A9129" t="inlineStr">
        <is>
          <t>12월</t>
        </is>
      </c>
      <c r="B9129" t="inlineStr">
        <is>
          <t>52주차</t>
        </is>
      </c>
      <c r="C9129" t="e">
        <v>#N/A</v>
      </c>
      <c r="K9129" t="n">
        <v>0</v>
      </c>
      <c r="L9129" t="n">
        <v>0</v>
      </c>
      <c r="M9129" t="n">
        <v>0</v>
      </c>
    </row>
    <row r="9130">
      <c r="A9130" t="inlineStr">
        <is>
          <t>12월</t>
        </is>
      </c>
      <c r="B9130" t="inlineStr">
        <is>
          <t>52주차</t>
        </is>
      </c>
      <c r="C9130" t="e">
        <v>#N/A</v>
      </c>
      <c r="K9130" t="n">
        <v>0</v>
      </c>
      <c r="L9130" t="n">
        <v>0</v>
      </c>
      <c r="M9130" t="n">
        <v>0</v>
      </c>
    </row>
    <row r="9131">
      <c r="A9131" t="inlineStr">
        <is>
          <t>12월</t>
        </is>
      </c>
      <c r="B9131" t="inlineStr">
        <is>
          <t>52주차</t>
        </is>
      </c>
      <c r="C9131" t="e">
        <v>#N/A</v>
      </c>
      <c r="K9131" t="n">
        <v>0</v>
      </c>
      <c r="L9131" t="n">
        <v>0</v>
      </c>
      <c r="M9131" t="n">
        <v>0</v>
      </c>
    </row>
    <row r="9132">
      <c r="A9132" t="inlineStr">
        <is>
          <t>12월</t>
        </is>
      </c>
      <c r="B9132" t="inlineStr">
        <is>
          <t>52주차</t>
        </is>
      </c>
      <c r="C9132" t="e">
        <v>#N/A</v>
      </c>
      <c r="K9132" t="n">
        <v>0</v>
      </c>
      <c r="L9132" t="n">
        <v>0</v>
      </c>
      <c r="M9132" t="n">
        <v>0</v>
      </c>
    </row>
    <row r="9133">
      <c r="A9133" t="inlineStr">
        <is>
          <t>12월</t>
        </is>
      </c>
      <c r="B9133" t="inlineStr">
        <is>
          <t>52주차</t>
        </is>
      </c>
      <c r="C9133" t="e">
        <v>#N/A</v>
      </c>
      <c r="K9133" t="n">
        <v>0</v>
      </c>
      <c r="L9133" t="n">
        <v>0</v>
      </c>
      <c r="M9133" t="n">
        <v>0</v>
      </c>
    </row>
    <row r="9134">
      <c r="A9134" t="inlineStr">
        <is>
          <t>12월</t>
        </is>
      </c>
      <c r="B9134" t="inlineStr">
        <is>
          <t>52주차</t>
        </is>
      </c>
      <c r="C9134" t="e">
        <v>#N/A</v>
      </c>
      <c r="K9134" t="n">
        <v>0</v>
      </c>
      <c r="L9134" t="n">
        <v>0</v>
      </c>
      <c r="M9134" t="n">
        <v>0</v>
      </c>
    </row>
    <row r="9135">
      <c r="A9135" t="inlineStr">
        <is>
          <t>12월</t>
        </is>
      </c>
      <c r="B9135" t="inlineStr">
        <is>
          <t>52주차</t>
        </is>
      </c>
      <c r="C9135" t="e">
        <v>#N/A</v>
      </c>
      <c r="K9135" t="n">
        <v>0</v>
      </c>
      <c r="L9135" t="n">
        <v>0</v>
      </c>
      <c r="M9135" t="n">
        <v>0</v>
      </c>
    </row>
    <row r="9136">
      <c r="A9136" t="inlineStr">
        <is>
          <t>12월</t>
        </is>
      </c>
      <c r="B9136" t="inlineStr">
        <is>
          <t>52주차</t>
        </is>
      </c>
      <c r="C9136" t="e">
        <v>#N/A</v>
      </c>
      <c r="K9136" t="n">
        <v>0</v>
      </c>
      <c r="L9136" t="n">
        <v>0</v>
      </c>
      <c r="M9136" t="n">
        <v>0</v>
      </c>
    </row>
    <row r="9137">
      <c r="A9137" t="inlineStr">
        <is>
          <t>12월</t>
        </is>
      </c>
      <c r="B9137" t="inlineStr">
        <is>
          <t>52주차</t>
        </is>
      </c>
      <c r="C9137" t="e">
        <v>#N/A</v>
      </c>
      <c r="K9137" t="n">
        <v>0</v>
      </c>
      <c r="L9137" t="n">
        <v>0</v>
      </c>
      <c r="M9137" t="n">
        <v>0</v>
      </c>
    </row>
    <row r="9138">
      <c r="A9138" t="inlineStr">
        <is>
          <t>12월</t>
        </is>
      </c>
      <c r="B9138" t="inlineStr">
        <is>
          <t>52주차</t>
        </is>
      </c>
      <c r="C9138" t="e">
        <v>#N/A</v>
      </c>
      <c r="K9138" t="n">
        <v>0</v>
      </c>
      <c r="L9138" t="n">
        <v>0</v>
      </c>
      <c r="M9138" t="n">
        <v>0</v>
      </c>
    </row>
    <row r="9139">
      <c r="A9139" t="inlineStr">
        <is>
          <t>12월</t>
        </is>
      </c>
      <c r="B9139" t="inlineStr">
        <is>
          <t>52주차</t>
        </is>
      </c>
      <c r="C9139" t="e">
        <v>#N/A</v>
      </c>
      <c r="K9139" t="n">
        <v>0</v>
      </c>
      <c r="L9139" t="n">
        <v>0</v>
      </c>
      <c r="M9139" t="n">
        <v>0</v>
      </c>
    </row>
    <row r="9140">
      <c r="A9140" t="inlineStr">
        <is>
          <t>12월</t>
        </is>
      </c>
      <c r="B9140" t="inlineStr">
        <is>
          <t>52주차</t>
        </is>
      </c>
      <c r="C9140" t="e">
        <v>#N/A</v>
      </c>
      <c r="K9140" t="n">
        <v>0</v>
      </c>
      <c r="L9140" t="n">
        <v>0</v>
      </c>
      <c r="M9140" t="n">
        <v>0</v>
      </c>
    </row>
    <row r="9141">
      <c r="A9141" t="inlineStr">
        <is>
          <t>12월</t>
        </is>
      </c>
      <c r="B9141" t="inlineStr">
        <is>
          <t>52주차</t>
        </is>
      </c>
      <c r="C9141" t="e">
        <v>#N/A</v>
      </c>
      <c r="K9141" t="n">
        <v>0</v>
      </c>
      <c r="L9141" t="n">
        <v>0</v>
      </c>
      <c r="M9141" t="n">
        <v>0</v>
      </c>
    </row>
    <row r="9142">
      <c r="A9142" t="inlineStr">
        <is>
          <t>12월</t>
        </is>
      </c>
      <c r="B9142" t="inlineStr">
        <is>
          <t>52주차</t>
        </is>
      </c>
      <c r="C9142" t="e">
        <v>#N/A</v>
      </c>
      <c r="K9142" t="n">
        <v>0</v>
      </c>
      <c r="L9142" t="n">
        <v>0</v>
      </c>
      <c r="M9142" t="n">
        <v>0</v>
      </c>
    </row>
    <row r="9143">
      <c r="A9143" t="inlineStr">
        <is>
          <t>12월</t>
        </is>
      </c>
      <c r="B9143" t="inlineStr">
        <is>
          <t>52주차</t>
        </is>
      </c>
      <c r="C9143" t="e">
        <v>#N/A</v>
      </c>
      <c r="K9143" t="n">
        <v>0</v>
      </c>
      <c r="L9143" t="n">
        <v>0</v>
      </c>
      <c r="M9143" t="n">
        <v>0</v>
      </c>
    </row>
    <row r="9144">
      <c r="A9144" t="inlineStr">
        <is>
          <t>12월</t>
        </is>
      </c>
      <c r="B9144" t="inlineStr">
        <is>
          <t>52주차</t>
        </is>
      </c>
      <c r="C9144" t="e">
        <v>#N/A</v>
      </c>
      <c r="K9144" t="n">
        <v>0</v>
      </c>
      <c r="L9144" t="n">
        <v>0</v>
      </c>
      <c r="M9144" t="n">
        <v>0</v>
      </c>
    </row>
    <row r="9145">
      <c r="A9145" t="inlineStr">
        <is>
          <t>12월</t>
        </is>
      </c>
      <c r="B9145" t="inlineStr">
        <is>
          <t>52주차</t>
        </is>
      </c>
      <c r="C9145" t="e">
        <v>#N/A</v>
      </c>
      <c r="K9145" t="n">
        <v>0</v>
      </c>
      <c r="L9145" t="n">
        <v>0</v>
      </c>
      <c r="M9145" t="n">
        <v>0</v>
      </c>
    </row>
    <row r="9146">
      <c r="A9146" t="inlineStr">
        <is>
          <t>12월</t>
        </is>
      </c>
      <c r="B9146" t="inlineStr">
        <is>
          <t>52주차</t>
        </is>
      </c>
      <c r="C9146" t="e">
        <v>#N/A</v>
      </c>
      <c r="K9146" t="n">
        <v>0</v>
      </c>
      <c r="L9146" t="n">
        <v>0</v>
      </c>
      <c r="M9146" t="n">
        <v>0</v>
      </c>
    </row>
    <row r="9147">
      <c r="A9147" t="inlineStr">
        <is>
          <t>12월</t>
        </is>
      </c>
      <c r="B9147" t="inlineStr">
        <is>
          <t>52주차</t>
        </is>
      </c>
      <c r="C9147" t="e">
        <v>#N/A</v>
      </c>
      <c r="K9147" t="n">
        <v>0</v>
      </c>
      <c r="L9147" t="n">
        <v>0</v>
      </c>
      <c r="M9147" t="n">
        <v>0</v>
      </c>
    </row>
    <row r="9148">
      <c r="A9148" t="inlineStr">
        <is>
          <t>12월</t>
        </is>
      </c>
      <c r="B9148" t="inlineStr">
        <is>
          <t>52주차</t>
        </is>
      </c>
      <c r="C9148" t="e">
        <v>#N/A</v>
      </c>
      <c r="K9148" t="n">
        <v>0</v>
      </c>
      <c r="L9148" t="n">
        <v>0</v>
      </c>
      <c r="M9148" t="n">
        <v>0</v>
      </c>
    </row>
    <row r="9149">
      <c r="A9149" t="inlineStr">
        <is>
          <t>12월</t>
        </is>
      </c>
      <c r="B9149" t="inlineStr">
        <is>
          <t>52주차</t>
        </is>
      </c>
      <c r="C9149" t="e">
        <v>#N/A</v>
      </c>
      <c r="K9149" t="n">
        <v>0</v>
      </c>
      <c r="L9149" t="n">
        <v>0</v>
      </c>
      <c r="M9149" t="n">
        <v>0</v>
      </c>
    </row>
    <row r="9150">
      <c r="A9150" t="inlineStr">
        <is>
          <t>12월</t>
        </is>
      </c>
      <c r="B9150" t="inlineStr">
        <is>
          <t>52주차</t>
        </is>
      </c>
      <c r="C9150" t="e">
        <v>#N/A</v>
      </c>
      <c r="K9150" t="n">
        <v>0</v>
      </c>
      <c r="L9150" t="n">
        <v>0</v>
      </c>
      <c r="M9150" t="n">
        <v>0</v>
      </c>
    </row>
    <row r="9151">
      <c r="A9151" t="inlineStr">
        <is>
          <t>12월</t>
        </is>
      </c>
      <c r="B9151" t="inlineStr">
        <is>
          <t>52주차</t>
        </is>
      </c>
      <c r="C9151" t="e">
        <v>#N/A</v>
      </c>
      <c r="K9151" t="n">
        <v>0</v>
      </c>
      <c r="L9151" t="n">
        <v>0</v>
      </c>
      <c r="M9151" t="n">
        <v>0</v>
      </c>
    </row>
    <row r="9152">
      <c r="A9152" t="inlineStr">
        <is>
          <t>12월</t>
        </is>
      </c>
      <c r="B9152" t="inlineStr">
        <is>
          <t>52주차</t>
        </is>
      </c>
      <c r="C9152" t="e">
        <v>#N/A</v>
      </c>
      <c r="K9152" t="n">
        <v>0</v>
      </c>
      <c r="L9152" t="n">
        <v>0</v>
      </c>
      <c r="M9152" t="n">
        <v>0</v>
      </c>
    </row>
    <row r="9153">
      <c r="A9153" t="inlineStr">
        <is>
          <t>12월</t>
        </is>
      </c>
      <c r="B9153" t="inlineStr">
        <is>
          <t>52주차</t>
        </is>
      </c>
      <c r="C9153" t="e">
        <v>#N/A</v>
      </c>
      <c r="K9153" t="n">
        <v>0</v>
      </c>
      <c r="L9153" t="n">
        <v>0</v>
      </c>
      <c r="M9153" t="n">
        <v>0</v>
      </c>
    </row>
    <row r="9154">
      <c r="A9154" t="inlineStr">
        <is>
          <t>12월</t>
        </is>
      </c>
      <c r="B9154" t="inlineStr">
        <is>
          <t>52주차</t>
        </is>
      </c>
      <c r="C9154" t="e">
        <v>#N/A</v>
      </c>
      <c r="K9154" t="n">
        <v>0</v>
      </c>
      <c r="L9154" t="n">
        <v>0</v>
      </c>
      <c r="M9154" t="n">
        <v>0</v>
      </c>
    </row>
    <row r="9155">
      <c r="A9155" t="inlineStr">
        <is>
          <t>12월</t>
        </is>
      </c>
      <c r="B9155" t="inlineStr">
        <is>
          <t>52주차</t>
        </is>
      </c>
      <c r="C9155" t="e">
        <v>#N/A</v>
      </c>
      <c r="K9155" t="n">
        <v>0</v>
      </c>
      <c r="L9155" t="n">
        <v>0</v>
      </c>
      <c r="M9155" t="n">
        <v>0</v>
      </c>
    </row>
    <row r="9156">
      <c r="A9156" t="inlineStr">
        <is>
          <t>12월</t>
        </is>
      </c>
      <c r="B9156" t="inlineStr">
        <is>
          <t>52주차</t>
        </is>
      </c>
      <c r="C9156" t="e">
        <v>#N/A</v>
      </c>
      <c r="K9156" t="n">
        <v>0</v>
      </c>
      <c r="L9156" t="n">
        <v>0</v>
      </c>
      <c r="M9156" t="n">
        <v>0</v>
      </c>
    </row>
    <row r="9157">
      <c r="A9157" t="inlineStr">
        <is>
          <t>12월</t>
        </is>
      </c>
      <c r="B9157" t="inlineStr">
        <is>
          <t>52주차</t>
        </is>
      </c>
      <c r="C9157" t="e">
        <v>#N/A</v>
      </c>
      <c r="K9157" t="n">
        <v>0</v>
      </c>
      <c r="L9157" t="n">
        <v>0</v>
      </c>
      <c r="M9157" t="n">
        <v>0</v>
      </c>
    </row>
    <row r="9158">
      <c r="A9158" t="inlineStr">
        <is>
          <t>12월</t>
        </is>
      </c>
      <c r="B9158" t="inlineStr">
        <is>
          <t>52주차</t>
        </is>
      </c>
      <c r="C9158" t="e">
        <v>#N/A</v>
      </c>
      <c r="K9158" t="n">
        <v>0</v>
      </c>
      <c r="L9158" t="n">
        <v>0</v>
      </c>
      <c r="M9158" t="n">
        <v>0</v>
      </c>
    </row>
    <row r="9159">
      <c r="A9159" t="inlineStr">
        <is>
          <t>12월</t>
        </is>
      </c>
      <c r="B9159" t="inlineStr">
        <is>
          <t>52주차</t>
        </is>
      </c>
      <c r="C9159" t="e">
        <v>#N/A</v>
      </c>
      <c r="K9159" t="n">
        <v>0</v>
      </c>
      <c r="L9159" t="n">
        <v>0</v>
      </c>
      <c r="M9159" t="n">
        <v>0</v>
      </c>
    </row>
    <row r="9160">
      <c r="A9160" t="inlineStr">
        <is>
          <t>12월</t>
        </is>
      </c>
      <c r="B9160" t="inlineStr">
        <is>
          <t>52주차</t>
        </is>
      </c>
      <c r="C9160" t="e">
        <v>#N/A</v>
      </c>
      <c r="K9160" t="n">
        <v>0</v>
      </c>
      <c r="L9160" t="n">
        <v>0</v>
      </c>
      <c r="M9160" t="n">
        <v>0</v>
      </c>
    </row>
    <row r="9161">
      <c r="A9161" t="inlineStr">
        <is>
          <t>12월</t>
        </is>
      </c>
      <c r="B9161" t="inlineStr">
        <is>
          <t>52주차</t>
        </is>
      </c>
      <c r="C9161" t="e">
        <v>#N/A</v>
      </c>
      <c r="K9161" t="n">
        <v>0</v>
      </c>
      <c r="L9161" t="n">
        <v>0</v>
      </c>
      <c r="M9161" t="n">
        <v>0</v>
      </c>
    </row>
    <row r="9162">
      <c r="A9162" t="inlineStr">
        <is>
          <t>12월</t>
        </is>
      </c>
      <c r="B9162" t="inlineStr">
        <is>
          <t>52주차</t>
        </is>
      </c>
      <c r="C9162" t="e">
        <v>#N/A</v>
      </c>
      <c r="K9162" t="n">
        <v>0</v>
      </c>
      <c r="L9162" t="n">
        <v>0</v>
      </c>
      <c r="M9162" t="n">
        <v>0</v>
      </c>
    </row>
    <row r="9163">
      <c r="A9163" t="inlineStr">
        <is>
          <t>12월</t>
        </is>
      </c>
      <c r="B9163" t="inlineStr">
        <is>
          <t>52주차</t>
        </is>
      </c>
      <c r="C9163" t="e">
        <v>#N/A</v>
      </c>
      <c r="K9163" t="n">
        <v>0</v>
      </c>
      <c r="L9163" t="n">
        <v>0</v>
      </c>
      <c r="M9163" t="n">
        <v>0</v>
      </c>
    </row>
    <row r="9164">
      <c r="A9164" t="inlineStr">
        <is>
          <t>12월</t>
        </is>
      </c>
      <c r="B9164" t="inlineStr">
        <is>
          <t>52주차</t>
        </is>
      </c>
      <c r="C9164" t="e">
        <v>#N/A</v>
      </c>
      <c r="K9164" t="n">
        <v>0</v>
      </c>
      <c r="L9164" t="n">
        <v>0</v>
      </c>
      <c r="M9164" t="n">
        <v>0</v>
      </c>
    </row>
    <row r="9165">
      <c r="A9165" t="inlineStr">
        <is>
          <t>12월</t>
        </is>
      </c>
      <c r="B9165" t="inlineStr">
        <is>
          <t>52주차</t>
        </is>
      </c>
      <c r="C9165" t="e">
        <v>#N/A</v>
      </c>
      <c r="K9165" t="n">
        <v>0</v>
      </c>
      <c r="L9165" t="n">
        <v>0</v>
      </c>
      <c r="M9165" t="n">
        <v>0</v>
      </c>
    </row>
    <row r="9166">
      <c r="A9166" t="inlineStr">
        <is>
          <t>12월</t>
        </is>
      </c>
      <c r="B9166" t="inlineStr">
        <is>
          <t>52주차</t>
        </is>
      </c>
      <c r="C9166" t="e">
        <v>#N/A</v>
      </c>
      <c r="K9166" t="n">
        <v>0</v>
      </c>
      <c r="L9166" t="n">
        <v>0</v>
      </c>
      <c r="M9166" t="n">
        <v>0</v>
      </c>
    </row>
    <row r="9167">
      <c r="A9167" t="inlineStr">
        <is>
          <t>12월</t>
        </is>
      </c>
      <c r="B9167" t="inlineStr">
        <is>
          <t>52주차</t>
        </is>
      </c>
      <c r="C9167" t="e">
        <v>#N/A</v>
      </c>
      <c r="K9167" t="n">
        <v>0</v>
      </c>
      <c r="L9167" t="n">
        <v>0</v>
      </c>
      <c r="M9167" t="n">
        <v>0</v>
      </c>
    </row>
    <row r="9168">
      <c r="A9168" t="inlineStr">
        <is>
          <t>12월</t>
        </is>
      </c>
      <c r="B9168" t="inlineStr">
        <is>
          <t>52주차</t>
        </is>
      </c>
      <c r="C9168" t="e">
        <v>#N/A</v>
      </c>
      <c r="K9168" t="n">
        <v>0</v>
      </c>
      <c r="L9168" t="n">
        <v>0</v>
      </c>
      <c r="M9168" t="n">
        <v>0</v>
      </c>
    </row>
    <row r="9169">
      <c r="A9169" t="inlineStr">
        <is>
          <t>12월</t>
        </is>
      </c>
      <c r="B9169" t="inlineStr">
        <is>
          <t>52주차</t>
        </is>
      </c>
      <c r="C9169" t="e">
        <v>#N/A</v>
      </c>
      <c r="K9169" t="n">
        <v>0</v>
      </c>
      <c r="L9169" t="n">
        <v>0</v>
      </c>
      <c r="M9169" t="n">
        <v>0</v>
      </c>
    </row>
    <row r="9170">
      <c r="A9170" t="inlineStr">
        <is>
          <t>12월</t>
        </is>
      </c>
      <c r="B9170" t="inlineStr">
        <is>
          <t>52주차</t>
        </is>
      </c>
      <c r="C9170" t="e">
        <v>#N/A</v>
      </c>
      <c r="K9170" t="n">
        <v>0</v>
      </c>
      <c r="L9170" t="n">
        <v>0</v>
      </c>
      <c r="M9170" t="n">
        <v>0</v>
      </c>
    </row>
    <row r="9171">
      <c r="A9171" t="inlineStr">
        <is>
          <t>12월</t>
        </is>
      </c>
      <c r="B9171" t="inlineStr">
        <is>
          <t>52주차</t>
        </is>
      </c>
      <c r="C9171" t="e">
        <v>#N/A</v>
      </c>
      <c r="K9171" t="n">
        <v>0</v>
      </c>
      <c r="L9171" t="n">
        <v>0</v>
      </c>
      <c r="M9171" t="n">
        <v>0</v>
      </c>
    </row>
    <row r="9172">
      <c r="A9172" t="inlineStr">
        <is>
          <t>12월</t>
        </is>
      </c>
      <c r="B9172" t="inlineStr">
        <is>
          <t>52주차</t>
        </is>
      </c>
      <c r="C9172" t="e">
        <v>#N/A</v>
      </c>
      <c r="K9172" t="n">
        <v>0</v>
      </c>
      <c r="L9172" t="n">
        <v>0</v>
      </c>
      <c r="M9172" t="n">
        <v>0</v>
      </c>
    </row>
    <row r="9173">
      <c r="A9173" t="inlineStr">
        <is>
          <t>12월</t>
        </is>
      </c>
      <c r="B9173" t="inlineStr">
        <is>
          <t>52주차</t>
        </is>
      </c>
      <c r="C9173" t="e">
        <v>#N/A</v>
      </c>
      <c r="K9173" t="n">
        <v>0</v>
      </c>
      <c r="L9173" t="n">
        <v>0</v>
      </c>
      <c r="M9173" t="n">
        <v>0</v>
      </c>
    </row>
    <row r="9174">
      <c r="A9174" t="inlineStr">
        <is>
          <t>12월</t>
        </is>
      </c>
      <c r="B9174" t="inlineStr">
        <is>
          <t>52주차</t>
        </is>
      </c>
      <c r="C9174" t="e">
        <v>#N/A</v>
      </c>
      <c r="K9174" t="n">
        <v>0</v>
      </c>
      <c r="L9174" t="n">
        <v>0</v>
      </c>
      <c r="M9174" t="n">
        <v>0</v>
      </c>
    </row>
    <row r="9175">
      <c r="A9175" t="inlineStr">
        <is>
          <t>12월</t>
        </is>
      </c>
      <c r="B9175" t="inlineStr">
        <is>
          <t>52주차</t>
        </is>
      </c>
      <c r="C9175" t="e">
        <v>#N/A</v>
      </c>
      <c r="K9175" t="n">
        <v>0</v>
      </c>
      <c r="L9175" t="n">
        <v>0</v>
      </c>
      <c r="M9175" t="n">
        <v>0</v>
      </c>
    </row>
    <row r="9176">
      <c r="A9176" t="inlineStr">
        <is>
          <t>12월</t>
        </is>
      </c>
      <c r="B9176" t="inlineStr">
        <is>
          <t>52주차</t>
        </is>
      </c>
      <c r="C9176" t="e">
        <v>#N/A</v>
      </c>
      <c r="K9176" t="n">
        <v>0</v>
      </c>
      <c r="L9176" t="n">
        <v>0</v>
      </c>
      <c r="M9176" t="n">
        <v>0</v>
      </c>
    </row>
    <row r="9177">
      <c r="A9177" t="inlineStr">
        <is>
          <t>12월</t>
        </is>
      </c>
      <c r="B9177" t="inlineStr">
        <is>
          <t>52주차</t>
        </is>
      </c>
      <c r="C9177" t="e">
        <v>#N/A</v>
      </c>
      <c r="K9177" t="n">
        <v>0</v>
      </c>
      <c r="L9177" t="n">
        <v>0</v>
      </c>
      <c r="M9177" t="n">
        <v>0</v>
      </c>
    </row>
    <row r="9178">
      <c r="A9178" t="inlineStr">
        <is>
          <t>12월</t>
        </is>
      </c>
      <c r="B9178" t="inlineStr">
        <is>
          <t>52주차</t>
        </is>
      </c>
      <c r="C9178" t="e">
        <v>#N/A</v>
      </c>
      <c r="K9178" t="n">
        <v>0</v>
      </c>
      <c r="L9178" t="n">
        <v>0</v>
      </c>
      <c r="M9178" t="n">
        <v>0</v>
      </c>
    </row>
    <row r="9179">
      <c r="A9179" t="inlineStr">
        <is>
          <t>12월</t>
        </is>
      </c>
      <c r="B9179" t="inlineStr">
        <is>
          <t>52주차</t>
        </is>
      </c>
      <c r="C9179" t="e">
        <v>#N/A</v>
      </c>
      <c r="K9179" t="n">
        <v>0</v>
      </c>
      <c r="L9179" t="n">
        <v>0</v>
      </c>
      <c r="M9179" t="n">
        <v>0</v>
      </c>
    </row>
    <row r="9180">
      <c r="A9180" t="inlineStr">
        <is>
          <t>12월</t>
        </is>
      </c>
      <c r="B9180" t="inlineStr">
        <is>
          <t>52주차</t>
        </is>
      </c>
      <c r="C9180" t="e">
        <v>#N/A</v>
      </c>
      <c r="K9180" t="n">
        <v>0</v>
      </c>
      <c r="L9180" t="n">
        <v>0</v>
      </c>
      <c r="M9180" t="n">
        <v>0</v>
      </c>
    </row>
    <row r="9181">
      <c r="A9181" t="inlineStr">
        <is>
          <t>12월</t>
        </is>
      </c>
      <c r="B9181" t="inlineStr">
        <is>
          <t>52주차</t>
        </is>
      </c>
      <c r="C9181" t="e">
        <v>#N/A</v>
      </c>
      <c r="K9181" t="n">
        <v>0</v>
      </c>
      <c r="L9181" t="n">
        <v>0</v>
      </c>
      <c r="M9181" t="n">
        <v>0</v>
      </c>
    </row>
    <row r="9182">
      <c r="A9182" t="inlineStr">
        <is>
          <t>12월</t>
        </is>
      </c>
      <c r="B9182" t="inlineStr">
        <is>
          <t>52주차</t>
        </is>
      </c>
      <c r="C9182" t="e">
        <v>#N/A</v>
      </c>
      <c r="K9182" t="n">
        <v>0</v>
      </c>
      <c r="L9182" t="n">
        <v>0</v>
      </c>
      <c r="M9182" t="n">
        <v>0</v>
      </c>
    </row>
    <row r="9183">
      <c r="A9183" t="inlineStr">
        <is>
          <t>12월</t>
        </is>
      </c>
      <c r="B9183" t="inlineStr">
        <is>
          <t>52주차</t>
        </is>
      </c>
      <c r="C9183" t="e">
        <v>#N/A</v>
      </c>
      <c r="K9183" t="n">
        <v>0</v>
      </c>
      <c r="L9183" t="n">
        <v>0</v>
      </c>
      <c r="M9183" t="n">
        <v>0</v>
      </c>
    </row>
    <row r="9184">
      <c r="A9184" t="inlineStr">
        <is>
          <t>12월</t>
        </is>
      </c>
      <c r="B9184" t="inlineStr">
        <is>
          <t>52주차</t>
        </is>
      </c>
      <c r="C9184" t="e">
        <v>#N/A</v>
      </c>
      <c r="K9184" t="n">
        <v>0</v>
      </c>
      <c r="L9184" t="n">
        <v>0</v>
      </c>
      <c r="M9184" t="n">
        <v>0</v>
      </c>
    </row>
    <row r="9185">
      <c r="A9185" t="inlineStr">
        <is>
          <t>12월</t>
        </is>
      </c>
      <c r="B9185" t="inlineStr">
        <is>
          <t>52주차</t>
        </is>
      </c>
      <c r="C9185" t="e">
        <v>#N/A</v>
      </c>
      <c r="K9185" t="n">
        <v>0</v>
      </c>
      <c r="L9185" t="n">
        <v>0</v>
      </c>
      <c r="M9185" t="n">
        <v>0</v>
      </c>
    </row>
    <row r="9186">
      <c r="A9186" t="inlineStr">
        <is>
          <t>12월</t>
        </is>
      </c>
      <c r="B9186" t="inlineStr">
        <is>
          <t>52주차</t>
        </is>
      </c>
      <c r="C9186" t="e">
        <v>#N/A</v>
      </c>
      <c r="K9186" t="n">
        <v>0</v>
      </c>
      <c r="L9186" t="n">
        <v>0</v>
      </c>
      <c r="M9186" t="n">
        <v>0</v>
      </c>
    </row>
    <row r="9187">
      <c r="A9187" t="inlineStr">
        <is>
          <t>12월</t>
        </is>
      </c>
      <c r="B9187" t="inlineStr">
        <is>
          <t>52주차</t>
        </is>
      </c>
      <c r="C9187" t="e">
        <v>#N/A</v>
      </c>
      <c r="K9187" t="n">
        <v>0</v>
      </c>
      <c r="L9187" t="n">
        <v>0</v>
      </c>
      <c r="M9187" t="n">
        <v>0</v>
      </c>
    </row>
    <row r="9188">
      <c r="A9188" t="inlineStr">
        <is>
          <t>12월</t>
        </is>
      </c>
      <c r="B9188" t="inlineStr">
        <is>
          <t>52주차</t>
        </is>
      </c>
      <c r="C9188" t="e">
        <v>#N/A</v>
      </c>
      <c r="K9188" t="n">
        <v>0</v>
      </c>
      <c r="L9188" t="n">
        <v>0</v>
      </c>
      <c r="M9188" t="n">
        <v>0</v>
      </c>
    </row>
    <row r="9189">
      <c r="A9189" t="inlineStr">
        <is>
          <t>12월</t>
        </is>
      </c>
      <c r="B9189" t="inlineStr">
        <is>
          <t>52주차</t>
        </is>
      </c>
      <c r="C9189" t="e">
        <v>#N/A</v>
      </c>
      <c r="K9189" t="n">
        <v>0</v>
      </c>
      <c r="L9189" t="n">
        <v>0</v>
      </c>
      <c r="M9189" t="n">
        <v>0</v>
      </c>
    </row>
    <row r="9190">
      <c r="A9190" t="inlineStr">
        <is>
          <t>12월</t>
        </is>
      </c>
      <c r="B9190" t="inlineStr">
        <is>
          <t>52주차</t>
        </is>
      </c>
      <c r="C9190" t="e">
        <v>#N/A</v>
      </c>
      <c r="K9190" t="n">
        <v>0</v>
      </c>
      <c r="L9190" t="n">
        <v>0</v>
      </c>
      <c r="M9190" t="n">
        <v>0</v>
      </c>
    </row>
    <row r="9191">
      <c r="A9191" t="inlineStr">
        <is>
          <t>12월</t>
        </is>
      </c>
      <c r="B9191" t="inlineStr">
        <is>
          <t>52주차</t>
        </is>
      </c>
      <c r="C9191" t="e">
        <v>#N/A</v>
      </c>
      <c r="K9191" t="n">
        <v>0</v>
      </c>
      <c r="L9191" t="n">
        <v>0</v>
      </c>
      <c r="M9191" t="n">
        <v>0</v>
      </c>
    </row>
    <row r="9192">
      <c r="A9192" t="inlineStr">
        <is>
          <t>12월</t>
        </is>
      </c>
      <c r="B9192" t="inlineStr">
        <is>
          <t>52주차</t>
        </is>
      </c>
      <c r="C9192" t="e">
        <v>#N/A</v>
      </c>
      <c r="K9192" t="n">
        <v>0</v>
      </c>
      <c r="L9192" t="n">
        <v>0</v>
      </c>
      <c r="M9192" t="n">
        <v>0</v>
      </c>
    </row>
    <row r="9193">
      <c r="A9193" t="inlineStr">
        <is>
          <t>12월</t>
        </is>
      </c>
      <c r="B9193" t="inlineStr">
        <is>
          <t>52주차</t>
        </is>
      </c>
      <c r="C9193" t="e">
        <v>#N/A</v>
      </c>
      <c r="K9193" t="n">
        <v>0</v>
      </c>
      <c r="L9193" t="n">
        <v>0</v>
      </c>
      <c r="M9193" t="n">
        <v>0</v>
      </c>
    </row>
    <row r="9194">
      <c r="A9194" t="inlineStr">
        <is>
          <t>12월</t>
        </is>
      </c>
      <c r="B9194" t="inlineStr">
        <is>
          <t>52주차</t>
        </is>
      </c>
      <c r="C9194" t="e">
        <v>#N/A</v>
      </c>
      <c r="K9194" t="n">
        <v>0</v>
      </c>
      <c r="L9194" t="n">
        <v>0</v>
      </c>
      <c r="M9194" t="n">
        <v>0</v>
      </c>
    </row>
    <row r="9195">
      <c r="A9195" t="inlineStr">
        <is>
          <t>12월</t>
        </is>
      </c>
      <c r="B9195" t="inlineStr">
        <is>
          <t>52주차</t>
        </is>
      </c>
      <c r="C9195" t="e">
        <v>#N/A</v>
      </c>
      <c r="K9195" t="n">
        <v>0</v>
      </c>
      <c r="L9195" t="n">
        <v>0</v>
      </c>
      <c r="M9195" t="n">
        <v>0</v>
      </c>
    </row>
    <row r="9196">
      <c r="A9196" t="inlineStr">
        <is>
          <t>12월</t>
        </is>
      </c>
      <c r="B9196" t="inlineStr">
        <is>
          <t>52주차</t>
        </is>
      </c>
      <c r="C9196" t="e">
        <v>#N/A</v>
      </c>
      <c r="K9196" t="n">
        <v>0</v>
      </c>
      <c r="L9196" t="n">
        <v>0</v>
      </c>
      <c r="M9196" t="n">
        <v>0</v>
      </c>
    </row>
    <row r="9197">
      <c r="A9197" t="inlineStr">
        <is>
          <t>12월</t>
        </is>
      </c>
      <c r="B9197" t="inlineStr">
        <is>
          <t>52주차</t>
        </is>
      </c>
      <c r="C9197" t="e">
        <v>#N/A</v>
      </c>
      <c r="K9197" t="n">
        <v>0</v>
      </c>
      <c r="L9197" t="n">
        <v>0</v>
      </c>
      <c r="M9197" t="n">
        <v>0</v>
      </c>
    </row>
    <row r="9198">
      <c r="A9198" t="inlineStr">
        <is>
          <t>12월</t>
        </is>
      </c>
      <c r="B9198" t="inlineStr">
        <is>
          <t>52주차</t>
        </is>
      </c>
      <c r="C9198" t="e">
        <v>#N/A</v>
      </c>
      <c r="K9198" t="n">
        <v>0</v>
      </c>
      <c r="L9198" t="n">
        <v>0</v>
      </c>
      <c r="M9198" t="n">
        <v>0</v>
      </c>
    </row>
    <row r="9199">
      <c r="A9199" t="inlineStr">
        <is>
          <t>12월</t>
        </is>
      </c>
      <c r="B9199" t="inlineStr">
        <is>
          <t>52주차</t>
        </is>
      </c>
      <c r="C9199" t="e">
        <v>#N/A</v>
      </c>
      <c r="K9199" t="n">
        <v>0</v>
      </c>
      <c r="L9199" t="n">
        <v>0</v>
      </c>
      <c r="M9199" t="n">
        <v>0</v>
      </c>
    </row>
    <row r="9200">
      <c r="A9200" t="inlineStr">
        <is>
          <t>12월</t>
        </is>
      </c>
      <c r="B9200" t="inlineStr">
        <is>
          <t>52주차</t>
        </is>
      </c>
      <c r="C9200" t="e">
        <v>#N/A</v>
      </c>
      <c r="K9200" t="n">
        <v>0</v>
      </c>
      <c r="L9200" t="n">
        <v>0</v>
      </c>
      <c r="M9200" t="n">
        <v>0</v>
      </c>
    </row>
    <row r="9201">
      <c r="A9201" t="inlineStr">
        <is>
          <t>12월</t>
        </is>
      </c>
      <c r="B9201" t="inlineStr">
        <is>
          <t>52주차</t>
        </is>
      </c>
      <c r="C9201" t="e">
        <v>#N/A</v>
      </c>
      <c r="K9201" t="n">
        <v>0</v>
      </c>
      <c r="L9201" t="n">
        <v>0</v>
      </c>
      <c r="M9201" t="n">
        <v>0</v>
      </c>
    </row>
    <row r="9202">
      <c r="A9202" t="inlineStr">
        <is>
          <t>12월</t>
        </is>
      </c>
      <c r="B9202" t="inlineStr">
        <is>
          <t>52주차</t>
        </is>
      </c>
      <c r="C9202" t="e">
        <v>#N/A</v>
      </c>
      <c r="K9202" t="n">
        <v>0</v>
      </c>
      <c r="L9202" t="n">
        <v>0</v>
      </c>
      <c r="M9202" t="n">
        <v>0</v>
      </c>
    </row>
    <row r="9203">
      <c r="A9203" t="inlineStr">
        <is>
          <t>12월</t>
        </is>
      </c>
      <c r="B9203" t="inlineStr">
        <is>
          <t>52주차</t>
        </is>
      </c>
      <c r="C9203" t="e">
        <v>#N/A</v>
      </c>
      <c r="K9203" t="n">
        <v>0</v>
      </c>
      <c r="L9203" t="n">
        <v>0</v>
      </c>
      <c r="M9203" t="n">
        <v>0</v>
      </c>
    </row>
    <row r="9204">
      <c r="A9204" t="inlineStr">
        <is>
          <t>12월</t>
        </is>
      </c>
      <c r="B9204" t="inlineStr">
        <is>
          <t>52주차</t>
        </is>
      </c>
      <c r="C9204" t="e">
        <v>#N/A</v>
      </c>
      <c r="K9204" t="n">
        <v>0</v>
      </c>
      <c r="L9204" t="n">
        <v>0</v>
      </c>
      <c r="M9204" t="n">
        <v>0</v>
      </c>
    </row>
    <row r="9205">
      <c r="A9205" t="inlineStr">
        <is>
          <t>12월</t>
        </is>
      </c>
      <c r="B9205" t="inlineStr">
        <is>
          <t>52주차</t>
        </is>
      </c>
      <c r="C9205" t="e">
        <v>#N/A</v>
      </c>
      <c r="K9205" t="n">
        <v>0</v>
      </c>
      <c r="L9205" t="n">
        <v>0</v>
      </c>
      <c r="M9205" t="n">
        <v>0</v>
      </c>
    </row>
    <row r="9206">
      <c r="A9206" t="inlineStr">
        <is>
          <t>12월</t>
        </is>
      </c>
      <c r="B9206" t="inlineStr">
        <is>
          <t>52주차</t>
        </is>
      </c>
      <c r="C9206" t="e">
        <v>#N/A</v>
      </c>
      <c r="K9206" t="n">
        <v>0</v>
      </c>
      <c r="L9206" t="n">
        <v>0</v>
      </c>
      <c r="M9206" t="n">
        <v>0</v>
      </c>
    </row>
    <row r="9207">
      <c r="A9207" t="inlineStr">
        <is>
          <t>12월</t>
        </is>
      </c>
      <c r="B9207" t="inlineStr">
        <is>
          <t>52주차</t>
        </is>
      </c>
      <c r="C9207" t="e">
        <v>#N/A</v>
      </c>
      <c r="K9207" t="n">
        <v>0</v>
      </c>
      <c r="L9207" t="n">
        <v>0</v>
      </c>
      <c r="M9207" t="n">
        <v>0</v>
      </c>
    </row>
    <row r="9208">
      <c r="A9208" t="inlineStr">
        <is>
          <t>12월</t>
        </is>
      </c>
      <c r="B9208" t="inlineStr">
        <is>
          <t>52주차</t>
        </is>
      </c>
      <c r="C9208" t="e">
        <v>#N/A</v>
      </c>
      <c r="K9208" t="n">
        <v>0</v>
      </c>
      <c r="L9208" t="n">
        <v>0</v>
      </c>
      <c r="M9208" t="n">
        <v>0</v>
      </c>
    </row>
    <row r="9209">
      <c r="A9209" t="inlineStr">
        <is>
          <t>12월</t>
        </is>
      </c>
      <c r="B9209" t="inlineStr">
        <is>
          <t>52주차</t>
        </is>
      </c>
      <c r="C9209" t="e">
        <v>#N/A</v>
      </c>
      <c r="K9209" t="n">
        <v>0</v>
      </c>
      <c r="L9209" t="n">
        <v>0</v>
      </c>
      <c r="M9209" t="n">
        <v>0</v>
      </c>
    </row>
    <row r="9210">
      <c r="A9210" t="inlineStr">
        <is>
          <t>12월</t>
        </is>
      </c>
      <c r="B9210" t="inlineStr">
        <is>
          <t>52주차</t>
        </is>
      </c>
      <c r="C9210" t="e">
        <v>#N/A</v>
      </c>
      <c r="K9210" t="n">
        <v>0</v>
      </c>
      <c r="L9210" t="n">
        <v>0</v>
      </c>
      <c r="M9210" t="n">
        <v>0</v>
      </c>
    </row>
    <row r="9211">
      <c r="A9211" t="inlineStr">
        <is>
          <t>12월</t>
        </is>
      </c>
      <c r="B9211" t="inlineStr">
        <is>
          <t>52주차</t>
        </is>
      </c>
      <c r="C9211" t="e">
        <v>#N/A</v>
      </c>
      <c r="K9211" t="n">
        <v>0</v>
      </c>
      <c r="L9211" t="n">
        <v>0</v>
      </c>
      <c r="M9211" t="n">
        <v>0</v>
      </c>
    </row>
    <row r="9212">
      <c r="A9212" t="inlineStr">
        <is>
          <t>12월</t>
        </is>
      </c>
      <c r="B9212" t="inlineStr">
        <is>
          <t>52주차</t>
        </is>
      </c>
      <c r="C9212" t="e">
        <v>#N/A</v>
      </c>
      <c r="K9212" t="n">
        <v>0</v>
      </c>
      <c r="L9212" t="n">
        <v>0</v>
      </c>
      <c r="M9212" t="n">
        <v>0</v>
      </c>
    </row>
    <row r="9213">
      <c r="A9213" t="inlineStr">
        <is>
          <t>12월</t>
        </is>
      </c>
      <c r="B9213" t="inlineStr">
        <is>
          <t>52주차</t>
        </is>
      </c>
      <c r="C9213" t="e">
        <v>#N/A</v>
      </c>
      <c r="K9213" t="n">
        <v>0</v>
      </c>
      <c r="L9213" t="n">
        <v>0</v>
      </c>
      <c r="M9213" t="n">
        <v>0</v>
      </c>
    </row>
    <row r="9214">
      <c r="A9214" t="inlineStr">
        <is>
          <t>12월</t>
        </is>
      </c>
      <c r="B9214" t="inlineStr">
        <is>
          <t>52주차</t>
        </is>
      </c>
      <c r="C9214" t="e">
        <v>#N/A</v>
      </c>
      <c r="K9214" t="n">
        <v>0</v>
      </c>
      <c r="L9214" t="n">
        <v>0</v>
      </c>
      <c r="M9214" t="n">
        <v>0</v>
      </c>
    </row>
    <row r="9215">
      <c r="A9215" t="inlineStr">
        <is>
          <t>12월</t>
        </is>
      </c>
      <c r="B9215" t="inlineStr">
        <is>
          <t>52주차</t>
        </is>
      </c>
      <c r="C9215" t="e">
        <v>#N/A</v>
      </c>
      <c r="K9215" t="n">
        <v>0</v>
      </c>
      <c r="L9215" t="n">
        <v>0</v>
      </c>
      <c r="M9215" t="n">
        <v>0</v>
      </c>
    </row>
    <row r="9216">
      <c r="A9216" t="inlineStr">
        <is>
          <t>12월</t>
        </is>
      </c>
      <c r="B9216" t="inlineStr">
        <is>
          <t>52주차</t>
        </is>
      </c>
      <c r="C9216" t="e">
        <v>#N/A</v>
      </c>
      <c r="K9216" t="n">
        <v>0</v>
      </c>
      <c r="L9216" t="n">
        <v>0</v>
      </c>
      <c r="M9216" t="n">
        <v>0</v>
      </c>
    </row>
    <row r="9217">
      <c r="A9217" t="inlineStr">
        <is>
          <t>12월</t>
        </is>
      </c>
      <c r="B9217" t="inlineStr">
        <is>
          <t>52주차</t>
        </is>
      </c>
      <c r="C9217" t="e">
        <v>#N/A</v>
      </c>
      <c r="K9217" t="n">
        <v>0</v>
      </c>
      <c r="L9217" t="n">
        <v>0</v>
      </c>
      <c r="M9217" t="n">
        <v>0</v>
      </c>
    </row>
    <row r="9218">
      <c r="A9218" t="inlineStr">
        <is>
          <t>12월</t>
        </is>
      </c>
      <c r="B9218" t="inlineStr">
        <is>
          <t>52주차</t>
        </is>
      </c>
      <c r="C9218" t="e">
        <v>#N/A</v>
      </c>
      <c r="K9218" t="n">
        <v>0</v>
      </c>
      <c r="L9218" t="n">
        <v>0</v>
      </c>
      <c r="M9218" t="n">
        <v>0</v>
      </c>
    </row>
    <row r="9219">
      <c r="A9219" t="inlineStr">
        <is>
          <t>12월</t>
        </is>
      </c>
      <c r="B9219" t="inlineStr">
        <is>
          <t>52주차</t>
        </is>
      </c>
      <c r="C9219" t="e">
        <v>#N/A</v>
      </c>
      <c r="K9219" t="n">
        <v>0</v>
      </c>
      <c r="L9219" t="n">
        <v>0</v>
      </c>
      <c r="M9219" t="n">
        <v>0</v>
      </c>
    </row>
    <row r="9220">
      <c r="A9220" t="inlineStr">
        <is>
          <t>12월</t>
        </is>
      </c>
      <c r="B9220" t="inlineStr">
        <is>
          <t>52주차</t>
        </is>
      </c>
      <c r="C9220" t="e">
        <v>#N/A</v>
      </c>
      <c r="K9220" t="n">
        <v>0</v>
      </c>
      <c r="L9220" t="n">
        <v>0</v>
      </c>
      <c r="M9220" t="n">
        <v>0</v>
      </c>
    </row>
    <row r="9221">
      <c r="A9221" t="inlineStr">
        <is>
          <t>12월</t>
        </is>
      </c>
      <c r="B9221" t="inlineStr">
        <is>
          <t>52주차</t>
        </is>
      </c>
      <c r="C9221" t="e">
        <v>#N/A</v>
      </c>
      <c r="K9221" t="n">
        <v>0</v>
      </c>
      <c r="L9221" t="n">
        <v>0</v>
      </c>
      <c r="M9221" t="n">
        <v>0</v>
      </c>
    </row>
    <row r="9222">
      <c r="A9222" t="inlineStr">
        <is>
          <t>12월</t>
        </is>
      </c>
      <c r="B9222" t="inlineStr">
        <is>
          <t>52주차</t>
        </is>
      </c>
      <c r="C9222" t="e">
        <v>#N/A</v>
      </c>
      <c r="K9222" t="n">
        <v>0</v>
      </c>
      <c r="L9222" t="n">
        <v>0</v>
      </c>
      <c r="M9222" t="n">
        <v>0</v>
      </c>
    </row>
    <row r="9223">
      <c r="A9223" t="inlineStr">
        <is>
          <t>12월</t>
        </is>
      </c>
      <c r="B9223" t="inlineStr">
        <is>
          <t>52주차</t>
        </is>
      </c>
      <c r="C9223" t="e">
        <v>#N/A</v>
      </c>
      <c r="K9223" t="n">
        <v>0</v>
      </c>
      <c r="L9223" t="n">
        <v>0</v>
      </c>
      <c r="M9223" t="n">
        <v>0</v>
      </c>
    </row>
    <row r="9224">
      <c r="A9224" t="inlineStr">
        <is>
          <t>12월</t>
        </is>
      </c>
      <c r="B9224" t="inlineStr">
        <is>
          <t>52주차</t>
        </is>
      </c>
      <c r="C9224" t="e">
        <v>#N/A</v>
      </c>
      <c r="K9224" t="n">
        <v>0</v>
      </c>
      <c r="L9224" t="n">
        <v>0</v>
      </c>
      <c r="M9224" t="n">
        <v>0</v>
      </c>
    </row>
    <row r="9225">
      <c r="A9225" t="inlineStr">
        <is>
          <t>12월</t>
        </is>
      </c>
      <c r="B9225" t="inlineStr">
        <is>
          <t>52주차</t>
        </is>
      </c>
      <c r="C9225" t="e">
        <v>#N/A</v>
      </c>
      <c r="K9225" t="n">
        <v>0</v>
      </c>
      <c r="L9225" t="n">
        <v>0</v>
      </c>
      <c r="M9225" t="n">
        <v>0</v>
      </c>
    </row>
    <row r="9226">
      <c r="A9226" t="inlineStr">
        <is>
          <t>12월</t>
        </is>
      </c>
      <c r="B9226" t="inlineStr">
        <is>
          <t>52주차</t>
        </is>
      </c>
      <c r="C9226" t="e">
        <v>#N/A</v>
      </c>
      <c r="K9226" t="n">
        <v>0</v>
      </c>
      <c r="L9226" t="n">
        <v>0</v>
      </c>
      <c r="M9226" t="n">
        <v>0</v>
      </c>
    </row>
    <row r="9227">
      <c r="A9227" t="inlineStr">
        <is>
          <t>12월</t>
        </is>
      </c>
      <c r="B9227" t="inlineStr">
        <is>
          <t>52주차</t>
        </is>
      </c>
      <c r="C9227" t="e">
        <v>#N/A</v>
      </c>
      <c r="K9227" t="n">
        <v>0</v>
      </c>
      <c r="L9227" t="n">
        <v>0</v>
      </c>
      <c r="M9227" t="n">
        <v>0</v>
      </c>
    </row>
    <row r="9228">
      <c r="A9228" t="inlineStr">
        <is>
          <t>12월</t>
        </is>
      </c>
      <c r="B9228" t="inlineStr">
        <is>
          <t>52주차</t>
        </is>
      </c>
      <c r="C9228" t="e">
        <v>#N/A</v>
      </c>
      <c r="K9228" t="n">
        <v>0</v>
      </c>
      <c r="L9228" t="n">
        <v>0</v>
      </c>
      <c r="M9228" t="n">
        <v>0</v>
      </c>
    </row>
    <row r="9229">
      <c r="A9229" t="inlineStr">
        <is>
          <t>12월</t>
        </is>
      </c>
      <c r="B9229" t="inlineStr">
        <is>
          <t>52주차</t>
        </is>
      </c>
      <c r="C9229" t="e">
        <v>#N/A</v>
      </c>
      <c r="K9229" t="n">
        <v>0</v>
      </c>
      <c r="L9229" t="n">
        <v>0</v>
      </c>
      <c r="M9229" t="n">
        <v>0</v>
      </c>
    </row>
    <row r="9230">
      <c r="A9230" t="inlineStr">
        <is>
          <t>12월</t>
        </is>
      </c>
      <c r="B9230" t="inlineStr">
        <is>
          <t>52주차</t>
        </is>
      </c>
      <c r="C9230" t="e">
        <v>#N/A</v>
      </c>
      <c r="K9230" t="n">
        <v>0</v>
      </c>
      <c r="L9230" t="n">
        <v>0</v>
      </c>
      <c r="M9230" t="n">
        <v>0</v>
      </c>
    </row>
    <row r="9231">
      <c r="A9231" t="inlineStr">
        <is>
          <t>12월</t>
        </is>
      </c>
      <c r="B9231" t="inlineStr">
        <is>
          <t>52주차</t>
        </is>
      </c>
      <c r="C9231" t="e">
        <v>#N/A</v>
      </c>
      <c r="K9231" t="n">
        <v>0</v>
      </c>
      <c r="L9231" t="n">
        <v>0</v>
      </c>
      <c r="M9231" t="n">
        <v>0</v>
      </c>
    </row>
    <row r="9232">
      <c r="A9232" t="inlineStr">
        <is>
          <t>12월</t>
        </is>
      </c>
      <c r="B9232" t="inlineStr">
        <is>
          <t>52주차</t>
        </is>
      </c>
      <c r="C9232" t="e">
        <v>#N/A</v>
      </c>
      <c r="K9232" t="n">
        <v>0</v>
      </c>
      <c r="L9232" t="n">
        <v>0</v>
      </c>
      <c r="M9232" t="n">
        <v>0</v>
      </c>
    </row>
    <row r="9233">
      <c r="A9233" t="inlineStr">
        <is>
          <t>12월</t>
        </is>
      </c>
      <c r="B9233" t="inlineStr">
        <is>
          <t>52주차</t>
        </is>
      </c>
      <c r="C9233" t="e">
        <v>#N/A</v>
      </c>
      <c r="K9233" t="n">
        <v>0</v>
      </c>
      <c r="L9233" t="n">
        <v>0</v>
      </c>
      <c r="M9233" t="n">
        <v>0</v>
      </c>
    </row>
    <row r="9234">
      <c r="A9234" t="inlineStr">
        <is>
          <t>12월</t>
        </is>
      </c>
      <c r="B9234" t="inlineStr">
        <is>
          <t>52주차</t>
        </is>
      </c>
      <c r="C9234" t="e">
        <v>#N/A</v>
      </c>
      <c r="K9234" t="n">
        <v>0</v>
      </c>
      <c r="L9234" t="n">
        <v>0</v>
      </c>
      <c r="M9234" t="n">
        <v>0</v>
      </c>
    </row>
    <row r="9235">
      <c r="A9235" t="inlineStr">
        <is>
          <t>12월</t>
        </is>
      </c>
      <c r="B9235" t="inlineStr">
        <is>
          <t>52주차</t>
        </is>
      </c>
      <c r="C9235" t="e">
        <v>#N/A</v>
      </c>
      <c r="K9235" t="n">
        <v>0</v>
      </c>
      <c r="L9235" t="n">
        <v>0</v>
      </c>
      <c r="M9235" t="n">
        <v>0</v>
      </c>
    </row>
    <row r="9236">
      <c r="A9236" t="inlineStr">
        <is>
          <t>12월</t>
        </is>
      </c>
      <c r="B9236" t="inlineStr">
        <is>
          <t>52주차</t>
        </is>
      </c>
      <c r="C9236" t="e">
        <v>#N/A</v>
      </c>
      <c r="K9236" t="n">
        <v>0</v>
      </c>
      <c r="L9236" t="n">
        <v>0</v>
      </c>
      <c r="M9236" t="n">
        <v>0</v>
      </c>
    </row>
    <row r="9237">
      <c r="A9237" t="inlineStr">
        <is>
          <t>12월</t>
        </is>
      </c>
      <c r="B9237" t="inlineStr">
        <is>
          <t>52주차</t>
        </is>
      </c>
      <c r="C9237" t="e">
        <v>#N/A</v>
      </c>
      <c r="K9237" t="n">
        <v>0</v>
      </c>
      <c r="L9237" t="n">
        <v>0</v>
      </c>
      <c r="M9237" t="n">
        <v>0</v>
      </c>
    </row>
    <row r="9238">
      <c r="A9238" t="inlineStr">
        <is>
          <t>12월</t>
        </is>
      </c>
      <c r="B9238" t="inlineStr">
        <is>
          <t>52주차</t>
        </is>
      </c>
      <c r="C9238" t="e">
        <v>#N/A</v>
      </c>
      <c r="K9238" t="n">
        <v>0</v>
      </c>
      <c r="L9238" t="n">
        <v>0</v>
      </c>
      <c r="M9238" t="n">
        <v>0</v>
      </c>
    </row>
    <row r="9239">
      <c r="A9239" t="inlineStr">
        <is>
          <t>12월</t>
        </is>
      </c>
      <c r="B9239" t="inlineStr">
        <is>
          <t>52주차</t>
        </is>
      </c>
      <c r="C9239" t="e">
        <v>#N/A</v>
      </c>
      <c r="K9239" t="n">
        <v>0</v>
      </c>
      <c r="L9239" t="n">
        <v>0</v>
      </c>
      <c r="M9239" t="n">
        <v>0</v>
      </c>
    </row>
    <row r="9240">
      <c r="A9240" t="inlineStr">
        <is>
          <t>12월</t>
        </is>
      </c>
      <c r="B9240" t="inlineStr">
        <is>
          <t>52주차</t>
        </is>
      </c>
      <c r="C9240" t="e">
        <v>#N/A</v>
      </c>
      <c r="K9240" t="n">
        <v>0</v>
      </c>
      <c r="L9240" t="n">
        <v>0</v>
      </c>
      <c r="M9240" t="n">
        <v>0</v>
      </c>
    </row>
    <row r="9241">
      <c r="A9241" t="inlineStr">
        <is>
          <t>12월</t>
        </is>
      </c>
      <c r="B9241" t="inlineStr">
        <is>
          <t>52주차</t>
        </is>
      </c>
      <c r="C9241" t="e">
        <v>#N/A</v>
      </c>
      <c r="K9241" t="n">
        <v>0</v>
      </c>
      <c r="L9241" t="n">
        <v>0</v>
      </c>
      <c r="M9241" t="n">
        <v>0</v>
      </c>
    </row>
    <row r="9242">
      <c r="A9242" t="inlineStr">
        <is>
          <t>12월</t>
        </is>
      </c>
      <c r="B9242" t="inlineStr">
        <is>
          <t>52주차</t>
        </is>
      </c>
      <c r="C9242" t="e">
        <v>#N/A</v>
      </c>
      <c r="K9242" t="n">
        <v>0</v>
      </c>
      <c r="L9242" t="n">
        <v>0</v>
      </c>
      <c r="M9242" t="n">
        <v>0</v>
      </c>
    </row>
    <row r="9243">
      <c r="A9243" t="inlineStr">
        <is>
          <t>12월</t>
        </is>
      </c>
      <c r="B9243" t="inlineStr">
        <is>
          <t>52주차</t>
        </is>
      </c>
      <c r="C9243" t="e">
        <v>#N/A</v>
      </c>
      <c r="K9243" t="n">
        <v>0</v>
      </c>
      <c r="L9243" t="n">
        <v>0</v>
      </c>
      <c r="M9243" t="n">
        <v>0</v>
      </c>
    </row>
    <row r="9244">
      <c r="A9244" t="inlineStr">
        <is>
          <t>12월</t>
        </is>
      </c>
      <c r="B9244" t="inlineStr">
        <is>
          <t>52주차</t>
        </is>
      </c>
      <c r="C9244" t="e">
        <v>#N/A</v>
      </c>
      <c r="K9244" t="n">
        <v>0</v>
      </c>
      <c r="L9244" t="n">
        <v>0</v>
      </c>
      <c r="M9244" t="n">
        <v>0</v>
      </c>
    </row>
    <row r="9245">
      <c r="A9245" t="inlineStr">
        <is>
          <t>12월</t>
        </is>
      </c>
      <c r="B9245" t="inlineStr">
        <is>
          <t>52주차</t>
        </is>
      </c>
      <c r="C9245" t="e">
        <v>#N/A</v>
      </c>
      <c r="K9245" t="n">
        <v>0</v>
      </c>
      <c r="L9245" t="n">
        <v>0</v>
      </c>
      <c r="M9245" t="n">
        <v>0</v>
      </c>
    </row>
    <row r="9246">
      <c r="A9246" t="inlineStr">
        <is>
          <t>12월</t>
        </is>
      </c>
      <c r="B9246" t="inlineStr">
        <is>
          <t>52주차</t>
        </is>
      </c>
      <c r="C9246" t="e">
        <v>#N/A</v>
      </c>
      <c r="K9246" t="n">
        <v>0</v>
      </c>
      <c r="L9246" t="n">
        <v>0</v>
      </c>
      <c r="M9246" t="n">
        <v>0</v>
      </c>
    </row>
    <row r="9247">
      <c r="A9247" t="inlineStr">
        <is>
          <t>12월</t>
        </is>
      </c>
      <c r="B9247" t="inlineStr">
        <is>
          <t>52주차</t>
        </is>
      </c>
      <c r="C9247" t="e">
        <v>#N/A</v>
      </c>
      <c r="K9247" t="n">
        <v>0</v>
      </c>
      <c r="L9247" t="n">
        <v>0</v>
      </c>
      <c r="M9247" t="n">
        <v>0</v>
      </c>
    </row>
    <row r="9248">
      <c r="A9248" t="inlineStr">
        <is>
          <t>12월</t>
        </is>
      </c>
      <c r="B9248" t="inlineStr">
        <is>
          <t>52주차</t>
        </is>
      </c>
      <c r="C9248" t="e">
        <v>#N/A</v>
      </c>
      <c r="K9248" t="n">
        <v>0</v>
      </c>
      <c r="L9248" t="n">
        <v>0</v>
      </c>
      <c r="M9248" t="n">
        <v>0</v>
      </c>
    </row>
    <row r="9249">
      <c r="A9249" t="inlineStr">
        <is>
          <t>12월</t>
        </is>
      </c>
      <c r="B9249" t="inlineStr">
        <is>
          <t>52주차</t>
        </is>
      </c>
      <c r="C9249" t="e">
        <v>#N/A</v>
      </c>
      <c r="K9249" t="n">
        <v>0</v>
      </c>
      <c r="L9249" t="n">
        <v>0</v>
      </c>
      <c r="M9249" t="n">
        <v>0</v>
      </c>
    </row>
    <row r="9250">
      <c r="A9250" t="inlineStr">
        <is>
          <t>12월</t>
        </is>
      </c>
      <c r="B9250" t="inlineStr">
        <is>
          <t>52주차</t>
        </is>
      </c>
      <c r="C9250" t="e">
        <v>#N/A</v>
      </c>
      <c r="K9250" t="n">
        <v>0</v>
      </c>
      <c r="L9250" t="n">
        <v>0</v>
      </c>
      <c r="M9250" t="n">
        <v>0</v>
      </c>
    </row>
    <row r="9251">
      <c r="A9251" t="inlineStr">
        <is>
          <t>12월</t>
        </is>
      </c>
      <c r="B9251" t="inlineStr">
        <is>
          <t>52주차</t>
        </is>
      </c>
      <c r="C9251" t="e">
        <v>#N/A</v>
      </c>
      <c r="K9251" t="n">
        <v>0</v>
      </c>
      <c r="L9251" t="n">
        <v>0</v>
      </c>
      <c r="M9251" t="n">
        <v>0</v>
      </c>
    </row>
    <row r="9252">
      <c r="A9252" t="inlineStr">
        <is>
          <t>12월</t>
        </is>
      </c>
      <c r="B9252" t="inlineStr">
        <is>
          <t>52주차</t>
        </is>
      </c>
      <c r="C9252" t="e">
        <v>#N/A</v>
      </c>
      <c r="K9252" t="n">
        <v>0</v>
      </c>
      <c r="L9252" t="n">
        <v>0</v>
      </c>
      <c r="M9252" t="n">
        <v>0</v>
      </c>
    </row>
    <row r="9253">
      <c r="A9253" t="inlineStr">
        <is>
          <t>12월</t>
        </is>
      </c>
      <c r="B9253" t="inlineStr">
        <is>
          <t>52주차</t>
        </is>
      </c>
      <c r="C9253" t="e">
        <v>#N/A</v>
      </c>
      <c r="K9253" t="n">
        <v>0</v>
      </c>
      <c r="L9253" t="n">
        <v>0</v>
      </c>
      <c r="M9253" t="n">
        <v>0</v>
      </c>
    </row>
    <row r="9254">
      <c r="A9254" t="inlineStr">
        <is>
          <t>12월</t>
        </is>
      </c>
      <c r="B9254" t="inlineStr">
        <is>
          <t>52주차</t>
        </is>
      </c>
      <c r="C9254" t="e">
        <v>#N/A</v>
      </c>
      <c r="K9254" t="n">
        <v>0</v>
      </c>
      <c r="L9254" t="n">
        <v>0</v>
      </c>
      <c r="M9254" t="n">
        <v>0</v>
      </c>
    </row>
    <row r="9255">
      <c r="A9255" t="inlineStr">
        <is>
          <t>12월</t>
        </is>
      </c>
      <c r="B9255" t="inlineStr">
        <is>
          <t>52주차</t>
        </is>
      </c>
      <c r="C9255" t="e">
        <v>#N/A</v>
      </c>
      <c r="K9255" t="n">
        <v>0</v>
      </c>
      <c r="L9255" t="n">
        <v>0</v>
      </c>
      <c r="M9255" t="n">
        <v>0</v>
      </c>
    </row>
    <row r="9256">
      <c r="A9256" t="inlineStr">
        <is>
          <t>12월</t>
        </is>
      </c>
      <c r="B9256" t="inlineStr">
        <is>
          <t>52주차</t>
        </is>
      </c>
      <c r="C9256" t="e">
        <v>#N/A</v>
      </c>
      <c r="K9256" t="n">
        <v>0</v>
      </c>
      <c r="L9256" t="n">
        <v>0</v>
      </c>
      <c r="M9256" t="n">
        <v>0</v>
      </c>
    </row>
    <row r="9257">
      <c r="A9257" t="inlineStr">
        <is>
          <t>12월</t>
        </is>
      </c>
      <c r="B9257" t="inlineStr">
        <is>
          <t>52주차</t>
        </is>
      </c>
      <c r="C9257" t="e">
        <v>#N/A</v>
      </c>
      <c r="K9257" t="n">
        <v>0</v>
      </c>
      <c r="L9257" t="n">
        <v>0</v>
      </c>
      <c r="M9257" t="n">
        <v>0</v>
      </c>
    </row>
    <row r="9258">
      <c r="A9258" t="inlineStr">
        <is>
          <t>12월</t>
        </is>
      </c>
      <c r="B9258" t="inlineStr">
        <is>
          <t>52주차</t>
        </is>
      </c>
      <c r="C9258" t="e">
        <v>#N/A</v>
      </c>
      <c r="K9258" t="n">
        <v>0</v>
      </c>
      <c r="L9258" t="n">
        <v>0</v>
      </c>
      <c r="M9258" t="n">
        <v>0</v>
      </c>
    </row>
    <row r="9259">
      <c r="A9259" t="inlineStr">
        <is>
          <t>12월</t>
        </is>
      </c>
      <c r="B9259" t="inlineStr">
        <is>
          <t>52주차</t>
        </is>
      </c>
      <c r="C9259" t="e">
        <v>#N/A</v>
      </c>
      <c r="K9259" t="n">
        <v>0</v>
      </c>
      <c r="L9259" t="n">
        <v>0</v>
      </c>
      <c r="M9259" t="n">
        <v>0</v>
      </c>
    </row>
    <row r="9260">
      <c r="A9260" t="inlineStr">
        <is>
          <t>12월</t>
        </is>
      </c>
      <c r="B9260" t="inlineStr">
        <is>
          <t>52주차</t>
        </is>
      </c>
      <c r="C9260" t="e">
        <v>#N/A</v>
      </c>
      <c r="K9260" t="n">
        <v>0</v>
      </c>
      <c r="L9260" t="n">
        <v>0</v>
      </c>
      <c r="M9260" t="n">
        <v>0</v>
      </c>
    </row>
    <row r="9261">
      <c r="A9261" t="inlineStr">
        <is>
          <t>12월</t>
        </is>
      </c>
      <c r="B9261" t="inlineStr">
        <is>
          <t>52주차</t>
        </is>
      </c>
      <c r="C9261" t="e">
        <v>#N/A</v>
      </c>
      <c r="K9261" t="n">
        <v>0</v>
      </c>
      <c r="L9261" t="n">
        <v>0</v>
      </c>
      <c r="M9261" t="n">
        <v>0</v>
      </c>
    </row>
    <row r="9262">
      <c r="A9262" t="inlineStr">
        <is>
          <t>12월</t>
        </is>
      </c>
      <c r="B9262" t="inlineStr">
        <is>
          <t>52주차</t>
        </is>
      </c>
      <c r="C9262" t="e">
        <v>#N/A</v>
      </c>
      <c r="K9262" t="n">
        <v>0</v>
      </c>
      <c r="L9262" t="n">
        <v>0</v>
      </c>
      <c r="M9262" t="n">
        <v>0</v>
      </c>
    </row>
    <row r="9263">
      <c r="A9263" t="inlineStr">
        <is>
          <t>12월</t>
        </is>
      </c>
      <c r="B9263" t="inlineStr">
        <is>
          <t>52주차</t>
        </is>
      </c>
      <c r="C9263" t="e">
        <v>#N/A</v>
      </c>
      <c r="K9263" t="n">
        <v>0</v>
      </c>
      <c r="L9263" t="n">
        <v>0</v>
      </c>
      <c r="M9263" t="n">
        <v>0</v>
      </c>
    </row>
    <row r="9264">
      <c r="A9264" t="inlineStr">
        <is>
          <t>12월</t>
        </is>
      </c>
      <c r="B9264" t="inlineStr">
        <is>
          <t>52주차</t>
        </is>
      </c>
      <c r="C9264" t="e">
        <v>#N/A</v>
      </c>
      <c r="K9264" t="n">
        <v>0</v>
      </c>
      <c r="L9264" t="n">
        <v>0</v>
      </c>
      <c r="M9264" t="n">
        <v>0</v>
      </c>
    </row>
    <row r="9265">
      <c r="A9265" t="inlineStr">
        <is>
          <t>12월</t>
        </is>
      </c>
      <c r="B9265" t="inlineStr">
        <is>
          <t>52주차</t>
        </is>
      </c>
      <c r="C9265" t="e">
        <v>#N/A</v>
      </c>
      <c r="K9265" t="n">
        <v>0</v>
      </c>
      <c r="L9265" t="n">
        <v>0</v>
      </c>
      <c r="M9265" t="n">
        <v>0</v>
      </c>
    </row>
    <row r="9266">
      <c r="A9266" t="inlineStr">
        <is>
          <t>12월</t>
        </is>
      </c>
      <c r="B9266" t="inlineStr">
        <is>
          <t>52주차</t>
        </is>
      </c>
      <c r="C9266" t="e">
        <v>#N/A</v>
      </c>
      <c r="K9266" t="n">
        <v>0</v>
      </c>
      <c r="L9266" t="n">
        <v>0</v>
      </c>
      <c r="M9266" t="n">
        <v>0</v>
      </c>
    </row>
    <row r="9267">
      <c r="A9267" t="inlineStr">
        <is>
          <t>12월</t>
        </is>
      </c>
      <c r="B9267" t="inlineStr">
        <is>
          <t>52주차</t>
        </is>
      </c>
      <c r="C9267" t="e">
        <v>#N/A</v>
      </c>
      <c r="K9267" t="n">
        <v>0</v>
      </c>
      <c r="L9267" t="n">
        <v>0</v>
      </c>
      <c r="M9267" t="n">
        <v>0</v>
      </c>
    </row>
    <row r="9268">
      <c r="A9268" t="inlineStr">
        <is>
          <t>12월</t>
        </is>
      </c>
      <c r="B9268" t="inlineStr">
        <is>
          <t>52주차</t>
        </is>
      </c>
      <c r="C9268" t="e">
        <v>#N/A</v>
      </c>
      <c r="K9268" t="n">
        <v>0</v>
      </c>
      <c r="L9268" t="n">
        <v>0</v>
      </c>
      <c r="M9268" t="n">
        <v>0</v>
      </c>
    </row>
    <row r="9269">
      <c r="A9269" t="inlineStr">
        <is>
          <t>12월</t>
        </is>
      </c>
      <c r="B9269" t="inlineStr">
        <is>
          <t>52주차</t>
        </is>
      </c>
      <c r="C9269" t="e">
        <v>#N/A</v>
      </c>
      <c r="K9269" t="n">
        <v>0</v>
      </c>
      <c r="L9269" t="n">
        <v>0</v>
      </c>
      <c r="M9269" t="n">
        <v>0</v>
      </c>
    </row>
    <row r="9270">
      <c r="A9270" t="inlineStr">
        <is>
          <t>12월</t>
        </is>
      </c>
      <c r="B9270" t="inlineStr">
        <is>
          <t>52주차</t>
        </is>
      </c>
      <c r="C9270" t="e">
        <v>#N/A</v>
      </c>
      <c r="K9270" t="n">
        <v>0</v>
      </c>
      <c r="L9270" t="n">
        <v>0</v>
      </c>
      <c r="M9270" t="n">
        <v>0</v>
      </c>
    </row>
    <row r="9271">
      <c r="A9271" t="inlineStr">
        <is>
          <t>12월</t>
        </is>
      </c>
      <c r="B9271" t="inlineStr">
        <is>
          <t>52주차</t>
        </is>
      </c>
      <c r="C9271" t="e">
        <v>#N/A</v>
      </c>
      <c r="K9271" t="n">
        <v>0</v>
      </c>
      <c r="L9271" t="n">
        <v>0</v>
      </c>
      <c r="M9271" t="n">
        <v>0</v>
      </c>
    </row>
    <row r="9272">
      <c r="A9272" t="inlineStr">
        <is>
          <t>12월</t>
        </is>
      </c>
      <c r="B9272" t="inlineStr">
        <is>
          <t>52주차</t>
        </is>
      </c>
      <c r="C9272" t="e">
        <v>#N/A</v>
      </c>
      <c r="K9272" t="n">
        <v>0</v>
      </c>
      <c r="L9272" t="n">
        <v>0</v>
      </c>
      <c r="M9272" t="n">
        <v>0</v>
      </c>
    </row>
    <row r="9273">
      <c r="A9273" t="inlineStr">
        <is>
          <t>12월</t>
        </is>
      </c>
      <c r="B9273" t="inlineStr">
        <is>
          <t>52주차</t>
        </is>
      </c>
      <c r="C9273" t="e">
        <v>#N/A</v>
      </c>
      <c r="K9273" t="n">
        <v>0</v>
      </c>
      <c r="L9273" t="n">
        <v>0</v>
      </c>
      <c r="M9273" t="n">
        <v>0</v>
      </c>
    </row>
    <row r="9274">
      <c r="A9274" t="inlineStr">
        <is>
          <t>12월</t>
        </is>
      </c>
      <c r="B9274" t="inlineStr">
        <is>
          <t>52주차</t>
        </is>
      </c>
      <c r="C9274" t="e">
        <v>#N/A</v>
      </c>
      <c r="K9274" t="n">
        <v>0</v>
      </c>
      <c r="L9274" t="n">
        <v>0</v>
      </c>
      <c r="M9274" t="n">
        <v>0</v>
      </c>
    </row>
    <row r="9275">
      <c r="A9275" t="inlineStr">
        <is>
          <t>12월</t>
        </is>
      </c>
      <c r="B9275" t="inlineStr">
        <is>
          <t>52주차</t>
        </is>
      </c>
      <c r="C9275" t="e">
        <v>#N/A</v>
      </c>
      <c r="K9275" t="n">
        <v>0</v>
      </c>
      <c r="L9275" t="n">
        <v>0</v>
      </c>
      <c r="M9275" t="n">
        <v>0</v>
      </c>
    </row>
    <row r="9276">
      <c r="A9276" t="inlineStr">
        <is>
          <t>12월</t>
        </is>
      </c>
      <c r="B9276" t="inlineStr">
        <is>
          <t>52주차</t>
        </is>
      </c>
      <c r="C9276" t="e">
        <v>#N/A</v>
      </c>
      <c r="K9276" t="n">
        <v>0</v>
      </c>
      <c r="L9276" t="n">
        <v>0</v>
      </c>
      <c r="M9276" t="n">
        <v>0</v>
      </c>
    </row>
    <row r="9277">
      <c r="A9277" t="inlineStr">
        <is>
          <t>12월</t>
        </is>
      </c>
      <c r="B9277" t="inlineStr">
        <is>
          <t>52주차</t>
        </is>
      </c>
      <c r="C9277" t="e">
        <v>#N/A</v>
      </c>
      <c r="K9277" t="n">
        <v>0</v>
      </c>
      <c r="L9277" t="n">
        <v>0</v>
      </c>
      <c r="M9277" t="n">
        <v>0</v>
      </c>
    </row>
    <row r="9278">
      <c r="A9278" t="inlineStr">
        <is>
          <t>12월</t>
        </is>
      </c>
      <c r="B9278" t="inlineStr">
        <is>
          <t>52주차</t>
        </is>
      </c>
      <c r="C9278" t="e">
        <v>#N/A</v>
      </c>
      <c r="K9278" t="n">
        <v>0</v>
      </c>
      <c r="L9278" t="n">
        <v>0</v>
      </c>
      <c r="M9278" t="n">
        <v>0</v>
      </c>
    </row>
    <row r="9279">
      <c r="A9279" t="inlineStr">
        <is>
          <t>12월</t>
        </is>
      </c>
      <c r="B9279" t="inlineStr">
        <is>
          <t>52주차</t>
        </is>
      </c>
      <c r="C9279" t="e">
        <v>#N/A</v>
      </c>
      <c r="K9279" t="n">
        <v>0</v>
      </c>
      <c r="L9279" t="n">
        <v>0</v>
      </c>
      <c r="M9279" t="n">
        <v>0</v>
      </c>
    </row>
    <row r="9280">
      <c r="A9280" t="inlineStr">
        <is>
          <t>12월</t>
        </is>
      </c>
      <c r="B9280" t="inlineStr">
        <is>
          <t>52주차</t>
        </is>
      </c>
      <c r="C9280" t="e">
        <v>#N/A</v>
      </c>
      <c r="K9280" t="n">
        <v>0</v>
      </c>
      <c r="L9280" t="n">
        <v>0</v>
      </c>
      <c r="M9280" t="n">
        <v>0</v>
      </c>
    </row>
    <row r="9281">
      <c r="A9281" t="inlineStr">
        <is>
          <t>12월</t>
        </is>
      </c>
      <c r="B9281" t="inlineStr">
        <is>
          <t>52주차</t>
        </is>
      </c>
      <c r="C9281" t="e">
        <v>#N/A</v>
      </c>
      <c r="K9281" t="n">
        <v>0</v>
      </c>
      <c r="L9281" t="n">
        <v>0</v>
      </c>
      <c r="M9281" t="n">
        <v>0</v>
      </c>
    </row>
    <row r="9282">
      <c r="A9282" t="inlineStr">
        <is>
          <t>12월</t>
        </is>
      </c>
      <c r="B9282" t="inlineStr">
        <is>
          <t>52주차</t>
        </is>
      </c>
      <c r="C9282" t="e">
        <v>#N/A</v>
      </c>
      <c r="K9282" t="n">
        <v>0</v>
      </c>
      <c r="L9282" t="n">
        <v>0</v>
      </c>
      <c r="M9282" t="n">
        <v>0</v>
      </c>
    </row>
    <row r="9283">
      <c r="A9283" t="inlineStr">
        <is>
          <t>12월</t>
        </is>
      </c>
      <c r="B9283" t="inlineStr">
        <is>
          <t>52주차</t>
        </is>
      </c>
      <c r="C9283" t="e">
        <v>#N/A</v>
      </c>
      <c r="K9283" t="n">
        <v>0</v>
      </c>
      <c r="L9283" t="n">
        <v>0</v>
      </c>
      <c r="M9283" t="n">
        <v>0</v>
      </c>
    </row>
    <row r="9284">
      <c r="A9284" t="inlineStr">
        <is>
          <t>12월</t>
        </is>
      </c>
      <c r="B9284" t="inlineStr">
        <is>
          <t>52주차</t>
        </is>
      </c>
      <c r="C9284" t="e">
        <v>#N/A</v>
      </c>
      <c r="K9284" t="n">
        <v>0</v>
      </c>
      <c r="L9284" t="n">
        <v>0</v>
      </c>
      <c r="M9284" t="n">
        <v>0</v>
      </c>
    </row>
    <row r="9285">
      <c r="A9285" t="inlineStr">
        <is>
          <t>12월</t>
        </is>
      </c>
      <c r="B9285" t="inlineStr">
        <is>
          <t>52주차</t>
        </is>
      </c>
      <c r="C9285" t="e">
        <v>#N/A</v>
      </c>
      <c r="K9285" t="n">
        <v>0</v>
      </c>
      <c r="L9285" t="n">
        <v>0</v>
      </c>
      <c r="M9285" t="n">
        <v>0</v>
      </c>
    </row>
    <row r="9286">
      <c r="A9286" t="inlineStr">
        <is>
          <t>12월</t>
        </is>
      </c>
      <c r="B9286" t="inlineStr">
        <is>
          <t>52주차</t>
        </is>
      </c>
      <c r="C9286" t="e">
        <v>#N/A</v>
      </c>
      <c r="K9286" t="n">
        <v>0</v>
      </c>
      <c r="L9286" t="n">
        <v>0</v>
      </c>
      <c r="M9286" t="n">
        <v>0</v>
      </c>
    </row>
    <row r="9287">
      <c r="A9287" t="inlineStr">
        <is>
          <t>12월</t>
        </is>
      </c>
      <c r="B9287" t="inlineStr">
        <is>
          <t>52주차</t>
        </is>
      </c>
      <c r="C9287" t="e">
        <v>#N/A</v>
      </c>
      <c r="K9287" t="n">
        <v>0</v>
      </c>
      <c r="L9287" t="n">
        <v>0</v>
      </c>
      <c r="M9287" t="n">
        <v>0</v>
      </c>
    </row>
    <row r="9288">
      <c r="A9288" t="inlineStr">
        <is>
          <t>12월</t>
        </is>
      </c>
      <c r="B9288" t="inlineStr">
        <is>
          <t>52주차</t>
        </is>
      </c>
      <c r="C9288" t="e">
        <v>#N/A</v>
      </c>
      <c r="K9288" t="n">
        <v>0</v>
      </c>
      <c r="L9288" t="n">
        <v>0</v>
      </c>
      <c r="M9288" t="n">
        <v>0</v>
      </c>
    </row>
    <row r="9289">
      <c r="A9289" t="inlineStr">
        <is>
          <t>12월</t>
        </is>
      </c>
      <c r="B9289" t="inlineStr">
        <is>
          <t>52주차</t>
        </is>
      </c>
      <c r="C9289" t="e">
        <v>#N/A</v>
      </c>
      <c r="K9289" t="n">
        <v>0</v>
      </c>
      <c r="L9289" t="n">
        <v>0</v>
      </c>
      <c r="M9289" t="n">
        <v>0</v>
      </c>
    </row>
    <row r="9290">
      <c r="A9290" t="inlineStr">
        <is>
          <t>12월</t>
        </is>
      </c>
      <c r="B9290" t="inlineStr">
        <is>
          <t>52주차</t>
        </is>
      </c>
      <c r="C9290" t="e">
        <v>#N/A</v>
      </c>
      <c r="K9290" t="n">
        <v>0</v>
      </c>
      <c r="L9290" t="n">
        <v>0</v>
      </c>
      <c r="M9290" t="n">
        <v>0</v>
      </c>
    </row>
    <row r="9291">
      <c r="A9291" t="inlineStr">
        <is>
          <t>12월</t>
        </is>
      </c>
      <c r="B9291" t="inlineStr">
        <is>
          <t>52주차</t>
        </is>
      </c>
      <c r="C9291" t="e">
        <v>#N/A</v>
      </c>
      <c r="K9291" t="n">
        <v>0</v>
      </c>
      <c r="L9291" t="n">
        <v>0</v>
      </c>
      <c r="M9291" t="n">
        <v>0</v>
      </c>
    </row>
    <row r="9292">
      <c r="A9292" t="inlineStr">
        <is>
          <t>12월</t>
        </is>
      </c>
      <c r="B9292" t="inlineStr">
        <is>
          <t>52주차</t>
        </is>
      </c>
      <c r="C9292" t="e">
        <v>#N/A</v>
      </c>
      <c r="K9292" t="n">
        <v>0</v>
      </c>
      <c r="L9292" t="n">
        <v>0</v>
      </c>
      <c r="M9292" t="n">
        <v>0</v>
      </c>
    </row>
    <row r="9293">
      <c r="A9293" t="inlineStr">
        <is>
          <t>12월</t>
        </is>
      </c>
      <c r="B9293" t="inlineStr">
        <is>
          <t>52주차</t>
        </is>
      </c>
      <c r="C9293" t="e">
        <v>#N/A</v>
      </c>
      <c r="K9293" t="n">
        <v>0</v>
      </c>
      <c r="L9293" t="n">
        <v>0</v>
      </c>
      <c r="M9293" t="n">
        <v>0</v>
      </c>
    </row>
    <row r="9294">
      <c r="A9294" t="inlineStr">
        <is>
          <t>12월</t>
        </is>
      </c>
      <c r="B9294" t="inlineStr">
        <is>
          <t>52주차</t>
        </is>
      </c>
      <c r="C9294" t="e">
        <v>#N/A</v>
      </c>
      <c r="K9294" t="n">
        <v>0</v>
      </c>
      <c r="L9294" t="n">
        <v>0</v>
      </c>
      <c r="M9294" t="n">
        <v>0</v>
      </c>
    </row>
    <row r="9295">
      <c r="A9295" t="inlineStr">
        <is>
          <t>12월</t>
        </is>
      </c>
      <c r="B9295" t="inlineStr">
        <is>
          <t>52주차</t>
        </is>
      </c>
      <c r="C9295" t="e">
        <v>#N/A</v>
      </c>
      <c r="K9295" t="n">
        <v>0</v>
      </c>
      <c r="L9295" t="n">
        <v>0</v>
      </c>
      <c r="M9295" t="n">
        <v>0</v>
      </c>
    </row>
    <row r="9296">
      <c r="A9296" t="inlineStr">
        <is>
          <t>12월</t>
        </is>
      </c>
      <c r="B9296" t="inlineStr">
        <is>
          <t>52주차</t>
        </is>
      </c>
      <c r="C9296" t="e">
        <v>#N/A</v>
      </c>
      <c r="K9296" t="n">
        <v>0</v>
      </c>
      <c r="L9296" t="n">
        <v>0</v>
      </c>
      <c r="M9296" t="n">
        <v>0</v>
      </c>
    </row>
    <row r="9297">
      <c r="A9297" t="inlineStr">
        <is>
          <t>12월</t>
        </is>
      </c>
      <c r="B9297" t="inlineStr">
        <is>
          <t>52주차</t>
        </is>
      </c>
      <c r="C9297" t="e">
        <v>#N/A</v>
      </c>
      <c r="K9297" t="n">
        <v>0</v>
      </c>
      <c r="L9297" t="n">
        <v>0</v>
      </c>
      <c r="M9297" t="n">
        <v>0</v>
      </c>
    </row>
    <row r="9298">
      <c r="A9298" t="inlineStr">
        <is>
          <t>12월</t>
        </is>
      </c>
      <c r="B9298" t="inlineStr">
        <is>
          <t>52주차</t>
        </is>
      </c>
      <c r="C9298" t="e">
        <v>#N/A</v>
      </c>
      <c r="K9298" t="n">
        <v>0</v>
      </c>
      <c r="L9298" t="n">
        <v>0</v>
      </c>
      <c r="M9298" t="n">
        <v>0</v>
      </c>
    </row>
    <row r="9299">
      <c r="A9299" t="inlineStr">
        <is>
          <t>12월</t>
        </is>
      </c>
      <c r="B9299" t="inlineStr">
        <is>
          <t>52주차</t>
        </is>
      </c>
      <c r="C9299" t="e">
        <v>#N/A</v>
      </c>
      <c r="K9299" t="n">
        <v>0</v>
      </c>
      <c r="L9299" t="n">
        <v>0</v>
      </c>
      <c r="M9299" t="n">
        <v>0</v>
      </c>
    </row>
    <row r="9300">
      <c r="A9300" t="inlineStr">
        <is>
          <t>12월</t>
        </is>
      </c>
      <c r="B9300" t="inlineStr">
        <is>
          <t>52주차</t>
        </is>
      </c>
      <c r="C9300" t="e">
        <v>#N/A</v>
      </c>
      <c r="K9300" t="n">
        <v>0</v>
      </c>
      <c r="L9300" t="n">
        <v>0</v>
      </c>
      <c r="M9300" t="n">
        <v>0</v>
      </c>
    </row>
    <row r="9301">
      <c r="A9301" t="inlineStr">
        <is>
          <t>12월</t>
        </is>
      </c>
      <c r="B9301" t="inlineStr">
        <is>
          <t>52주차</t>
        </is>
      </c>
      <c r="C9301" t="e">
        <v>#N/A</v>
      </c>
      <c r="K9301" t="n">
        <v>0</v>
      </c>
      <c r="L9301" t="n">
        <v>0</v>
      </c>
      <c r="M9301" t="n">
        <v>0</v>
      </c>
    </row>
    <row r="9302">
      <c r="A9302" t="inlineStr">
        <is>
          <t>12월</t>
        </is>
      </c>
      <c r="B9302" t="inlineStr">
        <is>
          <t>52주차</t>
        </is>
      </c>
      <c r="C9302" t="e">
        <v>#N/A</v>
      </c>
      <c r="K9302" t="n">
        <v>0</v>
      </c>
      <c r="L9302" t="n">
        <v>0</v>
      </c>
      <c r="M9302" t="n">
        <v>0</v>
      </c>
    </row>
    <row r="9303">
      <c r="A9303" t="inlineStr">
        <is>
          <t>12월</t>
        </is>
      </c>
      <c r="B9303" t="inlineStr">
        <is>
          <t>52주차</t>
        </is>
      </c>
      <c r="C9303" t="e">
        <v>#N/A</v>
      </c>
      <c r="K9303" t="n">
        <v>0</v>
      </c>
      <c r="L9303" t="n">
        <v>0</v>
      </c>
      <c r="M9303" t="n">
        <v>0</v>
      </c>
    </row>
    <row r="9304">
      <c r="A9304" t="inlineStr">
        <is>
          <t>12월</t>
        </is>
      </c>
      <c r="B9304" t="inlineStr">
        <is>
          <t>52주차</t>
        </is>
      </c>
      <c r="C9304" t="e">
        <v>#N/A</v>
      </c>
      <c r="K9304" t="n">
        <v>0</v>
      </c>
      <c r="L9304" t="n">
        <v>0</v>
      </c>
      <c r="M9304" t="n">
        <v>0</v>
      </c>
    </row>
    <row r="9305">
      <c r="A9305" t="inlineStr">
        <is>
          <t>12월</t>
        </is>
      </c>
      <c r="B9305" t="inlineStr">
        <is>
          <t>52주차</t>
        </is>
      </c>
      <c r="C9305" t="e">
        <v>#N/A</v>
      </c>
      <c r="K9305" t="n">
        <v>0</v>
      </c>
      <c r="L9305" t="n">
        <v>0</v>
      </c>
      <c r="M9305" t="n">
        <v>0</v>
      </c>
    </row>
    <row r="9306">
      <c r="A9306" t="inlineStr">
        <is>
          <t>12월</t>
        </is>
      </c>
      <c r="B9306" t="inlineStr">
        <is>
          <t>52주차</t>
        </is>
      </c>
      <c r="C9306" t="e">
        <v>#N/A</v>
      </c>
      <c r="K9306" t="n">
        <v>0</v>
      </c>
      <c r="L9306" t="n">
        <v>0</v>
      </c>
      <c r="M9306" t="n">
        <v>0</v>
      </c>
    </row>
    <row r="9307">
      <c r="A9307" t="inlineStr">
        <is>
          <t>12월</t>
        </is>
      </c>
      <c r="B9307" t="inlineStr">
        <is>
          <t>52주차</t>
        </is>
      </c>
      <c r="C9307" t="e">
        <v>#N/A</v>
      </c>
      <c r="K9307" t="n">
        <v>0</v>
      </c>
      <c r="L9307" t="n">
        <v>0</v>
      </c>
      <c r="M9307" t="n">
        <v>0</v>
      </c>
    </row>
    <row r="9308">
      <c r="A9308" t="inlineStr">
        <is>
          <t>12월</t>
        </is>
      </c>
      <c r="B9308" t="inlineStr">
        <is>
          <t>52주차</t>
        </is>
      </c>
      <c r="C9308" t="e">
        <v>#N/A</v>
      </c>
      <c r="K9308" t="n">
        <v>0</v>
      </c>
      <c r="L9308" t="n">
        <v>0</v>
      </c>
      <c r="M9308" t="n">
        <v>0</v>
      </c>
    </row>
    <row r="9309">
      <c r="A9309" t="inlineStr">
        <is>
          <t>12월</t>
        </is>
      </c>
      <c r="B9309" t="inlineStr">
        <is>
          <t>52주차</t>
        </is>
      </c>
      <c r="C9309" t="e">
        <v>#N/A</v>
      </c>
      <c r="K9309" t="n">
        <v>0</v>
      </c>
      <c r="L9309" t="n">
        <v>0</v>
      </c>
      <c r="M9309" t="n">
        <v>0</v>
      </c>
    </row>
    <row r="9310">
      <c r="A9310" t="inlineStr">
        <is>
          <t>12월</t>
        </is>
      </c>
      <c r="B9310" t="inlineStr">
        <is>
          <t>52주차</t>
        </is>
      </c>
      <c r="C9310" t="e">
        <v>#N/A</v>
      </c>
      <c r="K9310" t="n">
        <v>0</v>
      </c>
      <c r="L9310" t="n">
        <v>0</v>
      </c>
      <c r="M9310" t="n">
        <v>0</v>
      </c>
    </row>
    <row r="9311">
      <c r="A9311" t="inlineStr">
        <is>
          <t>12월</t>
        </is>
      </c>
      <c r="B9311" t="inlineStr">
        <is>
          <t>52주차</t>
        </is>
      </c>
      <c r="C9311" t="e">
        <v>#N/A</v>
      </c>
      <c r="K9311" t="n">
        <v>0</v>
      </c>
      <c r="L9311" t="n">
        <v>0</v>
      </c>
      <c r="M9311" t="n">
        <v>0</v>
      </c>
    </row>
    <row r="9312">
      <c r="A9312" t="inlineStr">
        <is>
          <t>12월</t>
        </is>
      </c>
      <c r="B9312" t="inlineStr">
        <is>
          <t>52주차</t>
        </is>
      </c>
      <c r="C9312" t="e">
        <v>#N/A</v>
      </c>
      <c r="K9312" t="n">
        <v>0</v>
      </c>
      <c r="L9312" t="n">
        <v>0</v>
      </c>
      <c r="M9312" t="n">
        <v>0</v>
      </c>
    </row>
    <row r="9313">
      <c r="A9313" t="inlineStr">
        <is>
          <t>12월</t>
        </is>
      </c>
      <c r="B9313" t="inlineStr">
        <is>
          <t>52주차</t>
        </is>
      </c>
      <c r="C9313" t="e">
        <v>#N/A</v>
      </c>
      <c r="K9313" t="n">
        <v>0</v>
      </c>
      <c r="L9313" t="n">
        <v>0</v>
      </c>
      <c r="M9313" t="n">
        <v>0</v>
      </c>
    </row>
    <row r="9314">
      <c r="A9314" t="inlineStr">
        <is>
          <t>12월</t>
        </is>
      </c>
      <c r="B9314" t="inlineStr">
        <is>
          <t>52주차</t>
        </is>
      </c>
      <c r="C9314" t="e">
        <v>#N/A</v>
      </c>
      <c r="K9314" t="n">
        <v>0</v>
      </c>
      <c r="L9314" t="n">
        <v>0</v>
      </c>
      <c r="M9314" t="n">
        <v>0</v>
      </c>
    </row>
    <row r="9315">
      <c r="A9315" t="inlineStr">
        <is>
          <t>12월</t>
        </is>
      </c>
      <c r="B9315" t="inlineStr">
        <is>
          <t>52주차</t>
        </is>
      </c>
      <c r="C9315" t="e">
        <v>#N/A</v>
      </c>
      <c r="K9315" t="n">
        <v>0</v>
      </c>
      <c r="L9315" t="n">
        <v>0</v>
      </c>
      <c r="M9315" t="n">
        <v>0</v>
      </c>
    </row>
    <row r="9316">
      <c r="A9316" t="inlineStr">
        <is>
          <t>12월</t>
        </is>
      </c>
      <c r="B9316" t="inlineStr">
        <is>
          <t>52주차</t>
        </is>
      </c>
      <c r="C9316" t="e">
        <v>#N/A</v>
      </c>
      <c r="K9316" t="n">
        <v>0</v>
      </c>
      <c r="L9316" t="n">
        <v>0</v>
      </c>
      <c r="M9316" t="n">
        <v>0</v>
      </c>
    </row>
    <row r="9317">
      <c r="A9317" t="inlineStr">
        <is>
          <t>12월</t>
        </is>
      </c>
      <c r="B9317" t="inlineStr">
        <is>
          <t>52주차</t>
        </is>
      </c>
      <c r="C9317" t="e">
        <v>#N/A</v>
      </c>
      <c r="K9317" t="n">
        <v>0</v>
      </c>
      <c r="L9317" t="n">
        <v>0</v>
      </c>
      <c r="M9317" t="n">
        <v>0</v>
      </c>
    </row>
    <row r="9318">
      <c r="A9318" t="inlineStr">
        <is>
          <t>12월</t>
        </is>
      </c>
      <c r="B9318" t="inlineStr">
        <is>
          <t>52주차</t>
        </is>
      </c>
      <c r="C9318" t="e">
        <v>#N/A</v>
      </c>
      <c r="K9318" t="n">
        <v>0</v>
      </c>
      <c r="L9318" t="n">
        <v>0</v>
      </c>
      <c r="M9318" t="n">
        <v>0</v>
      </c>
    </row>
    <row r="9319">
      <c r="A9319" t="inlineStr">
        <is>
          <t>12월</t>
        </is>
      </c>
      <c r="B9319" t="inlineStr">
        <is>
          <t>52주차</t>
        </is>
      </c>
      <c r="C9319" t="e">
        <v>#N/A</v>
      </c>
      <c r="K9319" t="n">
        <v>0</v>
      </c>
      <c r="L9319" t="n">
        <v>0</v>
      </c>
      <c r="M9319" t="n">
        <v>0</v>
      </c>
    </row>
    <row r="9320">
      <c r="A9320" t="inlineStr">
        <is>
          <t>12월</t>
        </is>
      </c>
      <c r="B9320" t="inlineStr">
        <is>
          <t>52주차</t>
        </is>
      </c>
      <c r="C9320" t="e">
        <v>#N/A</v>
      </c>
      <c r="K9320" t="n">
        <v>0</v>
      </c>
      <c r="L9320" t="n">
        <v>0</v>
      </c>
      <c r="M9320" t="n">
        <v>0</v>
      </c>
    </row>
    <row r="9321">
      <c r="A9321" t="inlineStr">
        <is>
          <t>12월</t>
        </is>
      </c>
      <c r="B9321" t="inlineStr">
        <is>
          <t>52주차</t>
        </is>
      </c>
      <c r="C9321" t="e">
        <v>#N/A</v>
      </c>
      <c r="K9321" t="n">
        <v>0</v>
      </c>
      <c r="L9321" t="n">
        <v>0</v>
      </c>
      <c r="M9321" t="n">
        <v>0</v>
      </c>
    </row>
    <row r="9322">
      <c r="A9322" t="inlineStr">
        <is>
          <t>12월</t>
        </is>
      </c>
      <c r="B9322" t="inlineStr">
        <is>
          <t>52주차</t>
        </is>
      </c>
      <c r="C9322" t="e">
        <v>#N/A</v>
      </c>
      <c r="K9322" t="n">
        <v>0</v>
      </c>
      <c r="L9322" t="n">
        <v>0</v>
      </c>
      <c r="M9322" t="n">
        <v>0</v>
      </c>
    </row>
    <row r="9323">
      <c r="A9323" t="inlineStr">
        <is>
          <t>12월</t>
        </is>
      </c>
      <c r="B9323" t="inlineStr">
        <is>
          <t>52주차</t>
        </is>
      </c>
      <c r="C9323" t="e">
        <v>#N/A</v>
      </c>
      <c r="K9323" t="n">
        <v>0</v>
      </c>
      <c r="L9323" t="n">
        <v>0</v>
      </c>
      <c r="M9323" t="n">
        <v>0</v>
      </c>
    </row>
    <row r="9324">
      <c r="A9324" t="inlineStr">
        <is>
          <t>12월</t>
        </is>
      </c>
      <c r="B9324" t="inlineStr">
        <is>
          <t>52주차</t>
        </is>
      </c>
      <c r="C9324" t="e">
        <v>#N/A</v>
      </c>
      <c r="K9324" t="n">
        <v>0</v>
      </c>
      <c r="L9324" t="n">
        <v>0</v>
      </c>
      <c r="M9324" t="n">
        <v>0</v>
      </c>
    </row>
    <row r="9325">
      <c r="A9325" t="inlineStr">
        <is>
          <t>12월</t>
        </is>
      </c>
      <c r="B9325" t="inlineStr">
        <is>
          <t>52주차</t>
        </is>
      </c>
      <c r="C9325" t="e">
        <v>#N/A</v>
      </c>
      <c r="K9325" t="n">
        <v>0</v>
      </c>
      <c r="L9325" t="n">
        <v>0</v>
      </c>
      <c r="M9325" t="n">
        <v>0</v>
      </c>
    </row>
    <row r="9326">
      <c r="A9326" t="inlineStr">
        <is>
          <t>12월</t>
        </is>
      </c>
      <c r="B9326" t="inlineStr">
        <is>
          <t>52주차</t>
        </is>
      </c>
      <c r="C9326" t="e">
        <v>#N/A</v>
      </c>
      <c r="K9326" t="n">
        <v>0</v>
      </c>
      <c r="L9326" t="n">
        <v>0</v>
      </c>
      <c r="M9326" t="n">
        <v>0</v>
      </c>
    </row>
    <row r="9327">
      <c r="A9327" t="inlineStr">
        <is>
          <t>12월</t>
        </is>
      </c>
      <c r="B9327" t="inlineStr">
        <is>
          <t>52주차</t>
        </is>
      </c>
      <c r="C9327" t="e">
        <v>#N/A</v>
      </c>
      <c r="K9327" t="n">
        <v>0</v>
      </c>
      <c r="L9327" t="n">
        <v>0</v>
      </c>
      <c r="M9327" t="n">
        <v>0</v>
      </c>
    </row>
    <row r="9328">
      <c r="A9328" t="inlineStr">
        <is>
          <t>12월</t>
        </is>
      </c>
      <c r="B9328" t="inlineStr">
        <is>
          <t>52주차</t>
        </is>
      </c>
      <c r="C9328" t="e">
        <v>#N/A</v>
      </c>
      <c r="K9328" t="n">
        <v>0</v>
      </c>
      <c r="L9328" t="n">
        <v>0</v>
      </c>
      <c r="M9328" t="n">
        <v>0</v>
      </c>
    </row>
    <row r="9329">
      <c r="A9329" t="inlineStr">
        <is>
          <t>12월</t>
        </is>
      </c>
      <c r="B9329" t="inlineStr">
        <is>
          <t>52주차</t>
        </is>
      </c>
      <c r="C9329" t="e">
        <v>#N/A</v>
      </c>
      <c r="K9329" t="n">
        <v>0</v>
      </c>
      <c r="L9329" t="n">
        <v>0</v>
      </c>
      <c r="M9329" t="n">
        <v>0</v>
      </c>
    </row>
    <row r="9330">
      <c r="A9330" t="inlineStr">
        <is>
          <t>12월</t>
        </is>
      </c>
      <c r="B9330" t="inlineStr">
        <is>
          <t>52주차</t>
        </is>
      </c>
      <c r="C9330" t="e">
        <v>#N/A</v>
      </c>
      <c r="K9330" t="n">
        <v>0</v>
      </c>
      <c r="L9330" t="n">
        <v>0</v>
      </c>
      <c r="M9330" t="n">
        <v>0</v>
      </c>
    </row>
    <row r="9331">
      <c r="A9331" t="inlineStr">
        <is>
          <t>12월</t>
        </is>
      </c>
      <c r="B9331" t="inlineStr">
        <is>
          <t>52주차</t>
        </is>
      </c>
      <c r="C9331" t="e">
        <v>#N/A</v>
      </c>
      <c r="K9331" t="n">
        <v>0</v>
      </c>
      <c r="L9331" t="n">
        <v>0</v>
      </c>
      <c r="M9331" t="n">
        <v>0</v>
      </c>
    </row>
    <row r="9332">
      <c r="A9332" t="inlineStr">
        <is>
          <t>12월</t>
        </is>
      </c>
      <c r="B9332" t="inlineStr">
        <is>
          <t>52주차</t>
        </is>
      </c>
      <c r="C9332" t="e">
        <v>#N/A</v>
      </c>
      <c r="K9332" t="n">
        <v>0</v>
      </c>
      <c r="L9332" t="n">
        <v>0</v>
      </c>
      <c r="M9332" t="n">
        <v>0</v>
      </c>
    </row>
    <row r="9333">
      <c r="A9333" t="inlineStr">
        <is>
          <t>12월</t>
        </is>
      </c>
      <c r="B9333" t="inlineStr">
        <is>
          <t>52주차</t>
        </is>
      </c>
      <c r="C9333" t="e">
        <v>#N/A</v>
      </c>
      <c r="K9333" t="n">
        <v>0</v>
      </c>
      <c r="L9333" t="n">
        <v>0</v>
      </c>
      <c r="M9333" t="n">
        <v>0</v>
      </c>
    </row>
    <row r="9334">
      <c r="A9334" t="inlineStr">
        <is>
          <t>12월</t>
        </is>
      </c>
      <c r="B9334" t="inlineStr">
        <is>
          <t>52주차</t>
        </is>
      </c>
      <c r="C9334" t="e">
        <v>#N/A</v>
      </c>
      <c r="K9334" t="n">
        <v>0</v>
      </c>
      <c r="L9334" t="n">
        <v>0</v>
      </c>
      <c r="M9334" t="n">
        <v>0</v>
      </c>
    </row>
    <row r="9335">
      <c r="A9335" t="inlineStr">
        <is>
          <t>12월</t>
        </is>
      </c>
      <c r="B9335" t="inlineStr">
        <is>
          <t>52주차</t>
        </is>
      </c>
      <c r="C9335" t="e">
        <v>#N/A</v>
      </c>
      <c r="K9335" t="n">
        <v>0</v>
      </c>
      <c r="L9335" t="n">
        <v>0</v>
      </c>
      <c r="M9335" t="n">
        <v>0</v>
      </c>
    </row>
    <row r="9336">
      <c r="A9336" t="inlineStr">
        <is>
          <t>12월</t>
        </is>
      </c>
      <c r="B9336" t="inlineStr">
        <is>
          <t>52주차</t>
        </is>
      </c>
      <c r="C9336" t="e">
        <v>#N/A</v>
      </c>
      <c r="K9336" t="n">
        <v>0</v>
      </c>
      <c r="L9336" t="n">
        <v>0</v>
      </c>
      <c r="M9336" t="n">
        <v>0</v>
      </c>
    </row>
    <row r="9337">
      <c r="A9337" t="inlineStr">
        <is>
          <t>12월</t>
        </is>
      </c>
      <c r="B9337" t="inlineStr">
        <is>
          <t>52주차</t>
        </is>
      </c>
      <c r="C9337" t="e">
        <v>#N/A</v>
      </c>
      <c r="K9337" t="n">
        <v>0</v>
      </c>
      <c r="L9337" t="n">
        <v>0</v>
      </c>
      <c r="M9337" t="n">
        <v>0</v>
      </c>
    </row>
    <row r="9338">
      <c r="A9338" t="inlineStr">
        <is>
          <t>12월</t>
        </is>
      </c>
      <c r="B9338" t="inlineStr">
        <is>
          <t>52주차</t>
        </is>
      </c>
      <c r="C9338" t="e">
        <v>#N/A</v>
      </c>
      <c r="K9338" t="n">
        <v>0</v>
      </c>
      <c r="L9338" t="n">
        <v>0</v>
      </c>
      <c r="M9338" t="n">
        <v>0</v>
      </c>
    </row>
    <row r="9339">
      <c r="A9339" t="inlineStr">
        <is>
          <t>12월</t>
        </is>
      </c>
      <c r="B9339" t="inlineStr">
        <is>
          <t>52주차</t>
        </is>
      </c>
      <c r="C9339" t="e">
        <v>#N/A</v>
      </c>
      <c r="K9339" t="n">
        <v>0</v>
      </c>
      <c r="L9339" t="n">
        <v>0</v>
      </c>
      <c r="M9339" t="n">
        <v>0</v>
      </c>
    </row>
    <row r="9340">
      <c r="A9340" t="inlineStr">
        <is>
          <t>12월</t>
        </is>
      </c>
      <c r="B9340" t="inlineStr">
        <is>
          <t>52주차</t>
        </is>
      </c>
      <c r="C9340" t="e">
        <v>#N/A</v>
      </c>
      <c r="K9340" t="n">
        <v>0</v>
      </c>
      <c r="L9340" t="n">
        <v>0</v>
      </c>
      <c r="M9340" t="n">
        <v>0</v>
      </c>
    </row>
    <row r="9341">
      <c r="A9341" t="inlineStr">
        <is>
          <t>12월</t>
        </is>
      </c>
      <c r="B9341" t="inlineStr">
        <is>
          <t>52주차</t>
        </is>
      </c>
      <c r="C9341" t="e">
        <v>#N/A</v>
      </c>
      <c r="K9341" t="n">
        <v>0</v>
      </c>
      <c r="L9341" t="n">
        <v>0</v>
      </c>
      <c r="M9341" t="n">
        <v>0</v>
      </c>
    </row>
    <row r="9342">
      <c r="A9342" t="inlineStr">
        <is>
          <t>12월</t>
        </is>
      </c>
      <c r="B9342" t="inlineStr">
        <is>
          <t>52주차</t>
        </is>
      </c>
      <c r="C9342" t="e">
        <v>#N/A</v>
      </c>
      <c r="K9342" t="n">
        <v>0</v>
      </c>
      <c r="L9342" t="n">
        <v>0</v>
      </c>
      <c r="M9342" t="n">
        <v>0</v>
      </c>
    </row>
    <row r="9343">
      <c r="A9343" t="inlineStr">
        <is>
          <t>12월</t>
        </is>
      </c>
      <c r="B9343" t="inlineStr">
        <is>
          <t>52주차</t>
        </is>
      </c>
      <c r="C9343" t="e">
        <v>#N/A</v>
      </c>
      <c r="K9343" t="n">
        <v>0</v>
      </c>
      <c r="L9343" t="n">
        <v>0</v>
      </c>
      <c r="M9343" t="n">
        <v>0</v>
      </c>
    </row>
    <row r="9344">
      <c r="A9344" t="inlineStr">
        <is>
          <t>12월</t>
        </is>
      </c>
      <c r="B9344" t="inlineStr">
        <is>
          <t>52주차</t>
        </is>
      </c>
      <c r="C9344" t="e">
        <v>#N/A</v>
      </c>
      <c r="K9344" t="n">
        <v>0</v>
      </c>
      <c r="L9344" t="n">
        <v>0</v>
      </c>
      <c r="M9344" t="n">
        <v>0</v>
      </c>
    </row>
    <row r="9345">
      <c r="A9345" t="inlineStr">
        <is>
          <t>12월</t>
        </is>
      </c>
      <c r="B9345" t="inlineStr">
        <is>
          <t>52주차</t>
        </is>
      </c>
      <c r="C9345" t="e">
        <v>#N/A</v>
      </c>
      <c r="K9345" t="n">
        <v>0</v>
      </c>
      <c r="L9345" t="n">
        <v>0</v>
      </c>
      <c r="M9345" t="n">
        <v>0</v>
      </c>
    </row>
    <row r="9346">
      <c r="A9346" t="inlineStr">
        <is>
          <t>12월</t>
        </is>
      </c>
      <c r="B9346" t="inlineStr">
        <is>
          <t>52주차</t>
        </is>
      </c>
      <c r="C9346" t="e">
        <v>#N/A</v>
      </c>
      <c r="K9346" t="n">
        <v>0</v>
      </c>
      <c r="L9346" t="n">
        <v>0</v>
      </c>
      <c r="M9346" t="n">
        <v>0</v>
      </c>
    </row>
    <row r="9347">
      <c r="A9347" t="inlineStr">
        <is>
          <t>12월</t>
        </is>
      </c>
      <c r="B9347" t="inlineStr">
        <is>
          <t>52주차</t>
        </is>
      </c>
      <c r="C9347" t="e">
        <v>#N/A</v>
      </c>
      <c r="K9347" t="n">
        <v>0</v>
      </c>
      <c r="L9347" t="n">
        <v>0</v>
      </c>
      <c r="M9347" t="n">
        <v>0</v>
      </c>
    </row>
    <row r="9348">
      <c r="A9348" t="inlineStr">
        <is>
          <t>12월</t>
        </is>
      </c>
      <c r="B9348" t="inlineStr">
        <is>
          <t>52주차</t>
        </is>
      </c>
      <c r="C9348" t="e">
        <v>#N/A</v>
      </c>
      <c r="K9348" t="n">
        <v>0</v>
      </c>
      <c r="L9348" t="n">
        <v>0</v>
      </c>
      <c r="M9348" t="n">
        <v>0</v>
      </c>
    </row>
    <row r="9349">
      <c r="A9349" t="inlineStr">
        <is>
          <t>12월</t>
        </is>
      </c>
      <c r="B9349" t="inlineStr">
        <is>
          <t>52주차</t>
        </is>
      </c>
      <c r="C9349" t="e">
        <v>#N/A</v>
      </c>
      <c r="K9349" t="n">
        <v>0</v>
      </c>
      <c r="L9349" t="n">
        <v>0</v>
      </c>
      <c r="M9349" t="n">
        <v>0</v>
      </c>
    </row>
    <row r="9350">
      <c r="A9350" t="inlineStr">
        <is>
          <t>12월</t>
        </is>
      </c>
      <c r="B9350" t="inlineStr">
        <is>
          <t>52주차</t>
        </is>
      </c>
      <c r="C9350" t="e">
        <v>#N/A</v>
      </c>
      <c r="K9350" t="n">
        <v>0</v>
      </c>
      <c r="L9350" t="n">
        <v>0</v>
      </c>
      <c r="M9350" t="n">
        <v>0</v>
      </c>
    </row>
    <row r="9351">
      <c r="A9351" t="inlineStr">
        <is>
          <t>12월</t>
        </is>
      </c>
      <c r="B9351" t="inlineStr">
        <is>
          <t>52주차</t>
        </is>
      </c>
      <c r="C9351" t="e">
        <v>#N/A</v>
      </c>
      <c r="K9351" t="n">
        <v>0</v>
      </c>
      <c r="L9351" t="n">
        <v>0</v>
      </c>
      <c r="M9351" t="n">
        <v>0</v>
      </c>
    </row>
    <row r="9352">
      <c r="A9352" t="inlineStr">
        <is>
          <t>12월</t>
        </is>
      </c>
      <c r="B9352" t="inlineStr">
        <is>
          <t>52주차</t>
        </is>
      </c>
      <c r="C9352" t="e">
        <v>#N/A</v>
      </c>
      <c r="K9352" t="n">
        <v>0</v>
      </c>
      <c r="L9352" t="n">
        <v>0</v>
      </c>
      <c r="M9352" t="n">
        <v>0</v>
      </c>
    </row>
    <row r="9353">
      <c r="A9353" t="inlineStr">
        <is>
          <t>12월</t>
        </is>
      </c>
      <c r="B9353" t="inlineStr">
        <is>
          <t>52주차</t>
        </is>
      </c>
      <c r="C9353" t="e">
        <v>#N/A</v>
      </c>
      <c r="K9353" t="n">
        <v>0</v>
      </c>
      <c r="L9353" t="n">
        <v>0</v>
      </c>
      <c r="M9353" t="n">
        <v>0</v>
      </c>
    </row>
    <row r="9354">
      <c r="A9354" t="inlineStr">
        <is>
          <t>12월</t>
        </is>
      </c>
      <c r="B9354" t="inlineStr">
        <is>
          <t>52주차</t>
        </is>
      </c>
      <c r="C9354" t="e">
        <v>#N/A</v>
      </c>
      <c r="K9354" t="n">
        <v>0</v>
      </c>
      <c r="L9354" t="n">
        <v>0</v>
      </c>
      <c r="M9354" t="n">
        <v>0</v>
      </c>
    </row>
    <row r="9355">
      <c r="A9355" t="inlineStr">
        <is>
          <t>12월</t>
        </is>
      </c>
      <c r="B9355" t="inlineStr">
        <is>
          <t>52주차</t>
        </is>
      </c>
      <c r="C9355" t="e">
        <v>#N/A</v>
      </c>
      <c r="K9355" t="n">
        <v>0</v>
      </c>
      <c r="L9355" t="n">
        <v>0</v>
      </c>
      <c r="M9355" t="n">
        <v>0</v>
      </c>
    </row>
    <row r="9356">
      <c r="A9356" t="inlineStr">
        <is>
          <t>12월</t>
        </is>
      </c>
      <c r="B9356" t="inlineStr">
        <is>
          <t>52주차</t>
        </is>
      </c>
      <c r="C9356" t="e">
        <v>#N/A</v>
      </c>
      <c r="K9356" t="n">
        <v>0</v>
      </c>
      <c r="L9356" t="n">
        <v>0</v>
      </c>
      <c r="M9356" t="n">
        <v>0</v>
      </c>
    </row>
    <row r="9357">
      <c r="A9357" t="inlineStr">
        <is>
          <t>12월</t>
        </is>
      </c>
      <c r="B9357" t="inlineStr">
        <is>
          <t>52주차</t>
        </is>
      </c>
      <c r="C9357" t="e">
        <v>#N/A</v>
      </c>
      <c r="K9357" t="n">
        <v>0</v>
      </c>
      <c r="L9357" t="n">
        <v>0</v>
      </c>
      <c r="M9357" t="n">
        <v>0</v>
      </c>
    </row>
    <row r="9358">
      <c r="A9358" t="inlineStr">
        <is>
          <t>12월</t>
        </is>
      </c>
      <c r="B9358" t="inlineStr">
        <is>
          <t>52주차</t>
        </is>
      </c>
      <c r="C9358" t="e">
        <v>#N/A</v>
      </c>
      <c r="K9358" t="n">
        <v>0</v>
      </c>
      <c r="L9358" t="n">
        <v>0</v>
      </c>
      <c r="M9358" t="n">
        <v>0</v>
      </c>
    </row>
    <row r="9359">
      <c r="A9359" t="inlineStr">
        <is>
          <t>12월</t>
        </is>
      </c>
      <c r="B9359" t="inlineStr">
        <is>
          <t>52주차</t>
        </is>
      </c>
      <c r="C9359" t="e">
        <v>#N/A</v>
      </c>
      <c r="K9359" t="n">
        <v>0</v>
      </c>
      <c r="L9359" t="n">
        <v>0</v>
      </c>
      <c r="M9359" t="n">
        <v>0</v>
      </c>
    </row>
    <row r="9360">
      <c r="A9360" t="inlineStr">
        <is>
          <t>12월</t>
        </is>
      </c>
      <c r="B9360" t="inlineStr">
        <is>
          <t>52주차</t>
        </is>
      </c>
      <c r="C9360" t="e">
        <v>#N/A</v>
      </c>
      <c r="K9360" t="n">
        <v>0</v>
      </c>
      <c r="L9360" t="n">
        <v>0</v>
      </c>
      <c r="M9360" t="n">
        <v>0</v>
      </c>
    </row>
    <row r="9361">
      <c r="A9361" t="inlineStr">
        <is>
          <t>12월</t>
        </is>
      </c>
      <c r="B9361" t="inlineStr">
        <is>
          <t>52주차</t>
        </is>
      </c>
      <c r="C9361" t="e">
        <v>#N/A</v>
      </c>
      <c r="K9361" t="n">
        <v>0</v>
      </c>
      <c r="L9361" t="n">
        <v>0</v>
      </c>
      <c r="M9361" t="n">
        <v>0</v>
      </c>
    </row>
    <row r="9362">
      <c r="A9362" t="inlineStr">
        <is>
          <t>12월</t>
        </is>
      </c>
      <c r="B9362" t="inlineStr">
        <is>
          <t>52주차</t>
        </is>
      </c>
      <c r="C9362" t="e">
        <v>#N/A</v>
      </c>
      <c r="K9362" t="n">
        <v>0</v>
      </c>
      <c r="L9362" t="n">
        <v>0</v>
      </c>
      <c r="M9362" t="n">
        <v>0</v>
      </c>
    </row>
    <row r="9363">
      <c r="A9363" t="inlineStr">
        <is>
          <t>12월</t>
        </is>
      </c>
      <c r="B9363" t="inlineStr">
        <is>
          <t>52주차</t>
        </is>
      </c>
      <c r="C9363" t="e">
        <v>#N/A</v>
      </c>
      <c r="K9363" t="n">
        <v>0</v>
      </c>
      <c r="L9363" t="n">
        <v>0</v>
      </c>
      <c r="M9363" t="n">
        <v>0</v>
      </c>
    </row>
    <row r="9364">
      <c r="A9364" t="inlineStr">
        <is>
          <t>12월</t>
        </is>
      </c>
      <c r="B9364" t="inlineStr">
        <is>
          <t>52주차</t>
        </is>
      </c>
      <c r="C9364" t="e">
        <v>#N/A</v>
      </c>
      <c r="K9364" t="n">
        <v>0</v>
      </c>
      <c r="L9364" t="n">
        <v>0</v>
      </c>
      <c r="M9364" t="n">
        <v>0</v>
      </c>
    </row>
    <row r="9365">
      <c r="A9365" t="inlineStr">
        <is>
          <t>12월</t>
        </is>
      </c>
      <c r="B9365" t="inlineStr">
        <is>
          <t>52주차</t>
        </is>
      </c>
      <c r="C9365" t="e">
        <v>#N/A</v>
      </c>
      <c r="K9365" t="n">
        <v>0</v>
      </c>
      <c r="L9365" t="n">
        <v>0</v>
      </c>
      <c r="M9365" t="n">
        <v>0</v>
      </c>
    </row>
    <row r="9366">
      <c r="A9366" t="inlineStr">
        <is>
          <t>12월</t>
        </is>
      </c>
      <c r="B9366" t="inlineStr">
        <is>
          <t>52주차</t>
        </is>
      </c>
      <c r="C9366" t="e">
        <v>#N/A</v>
      </c>
      <c r="K9366" t="n">
        <v>0</v>
      </c>
      <c r="L9366" t="n">
        <v>0</v>
      </c>
      <c r="M9366" t="n">
        <v>0</v>
      </c>
    </row>
    <row r="9367">
      <c r="A9367" t="inlineStr">
        <is>
          <t>12월</t>
        </is>
      </c>
      <c r="B9367" t="inlineStr">
        <is>
          <t>52주차</t>
        </is>
      </c>
      <c r="C9367" t="e">
        <v>#N/A</v>
      </c>
      <c r="K9367" t="n">
        <v>0</v>
      </c>
      <c r="L9367" t="n">
        <v>0</v>
      </c>
      <c r="M9367" t="n">
        <v>0</v>
      </c>
    </row>
    <row r="9368">
      <c r="A9368" t="inlineStr">
        <is>
          <t>12월</t>
        </is>
      </c>
      <c r="B9368" t="inlineStr">
        <is>
          <t>52주차</t>
        </is>
      </c>
      <c r="C9368" t="e">
        <v>#N/A</v>
      </c>
      <c r="K9368" t="n">
        <v>0</v>
      </c>
      <c r="L9368" t="n">
        <v>0</v>
      </c>
      <c r="M9368" t="n">
        <v>0</v>
      </c>
    </row>
    <row r="9369">
      <c r="A9369" t="inlineStr">
        <is>
          <t>12월</t>
        </is>
      </c>
      <c r="B9369" t="inlineStr">
        <is>
          <t>52주차</t>
        </is>
      </c>
      <c r="C9369" t="e">
        <v>#N/A</v>
      </c>
      <c r="K9369" t="n">
        <v>0</v>
      </c>
      <c r="L9369" t="n">
        <v>0</v>
      </c>
      <c r="M9369" t="n">
        <v>0</v>
      </c>
    </row>
    <row r="9370">
      <c r="A9370" t="inlineStr">
        <is>
          <t>12월</t>
        </is>
      </c>
      <c r="B9370" t="inlineStr">
        <is>
          <t>52주차</t>
        </is>
      </c>
      <c r="C9370" t="e">
        <v>#N/A</v>
      </c>
      <c r="K9370" t="n">
        <v>0</v>
      </c>
      <c r="L9370" t="n">
        <v>0</v>
      </c>
      <c r="M9370" t="n">
        <v>0</v>
      </c>
    </row>
    <row r="9371">
      <c r="A9371" t="inlineStr">
        <is>
          <t>12월</t>
        </is>
      </c>
      <c r="B9371" t="inlineStr">
        <is>
          <t>52주차</t>
        </is>
      </c>
      <c r="C9371" t="e">
        <v>#N/A</v>
      </c>
      <c r="K9371" t="n">
        <v>0</v>
      </c>
      <c r="L9371" t="n">
        <v>0</v>
      </c>
      <c r="M9371" t="n">
        <v>0</v>
      </c>
    </row>
    <row r="9372">
      <c r="A9372" t="inlineStr">
        <is>
          <t>12월</t>
        </is>
      </c>
      <c r="B9372" t="inlineStr">
        <is>
          <t>52주차</t>
        </is>
      </c>
      <c r="C9372" t="e">
        <v>#N/A</v>
      </c>
      <c r="K9372" t="n">
        <v>0</v>
      </c>
      <c r="L9372" t="n">
        <v>0</v>
      </c>
      <c r="M9372" t="n">
        <v>0</v>
      </c>
    </row>
    <row r="9373">
      <c r="A9373" t="inlineStr">
        <is>
          <t>12월</t>
        </is>
      </c>
      <c r="B9373" t="inlineStr">
        <is>
          <t>52주차</t>
        </is>
      </c>
      <c r="C9373" t="e">
        <v>#N/A</v>
      </c>
      <c r="K9373" t="n">
        <v>0</v>
      </c>
      <c r="L9373" t="n">
        <v>0</v>
      </c>
      <c r="M9373" t="n">
        <v>0</v>
      </c>
    </row>
    <row r="9374">
      <c r="A9374" t="inlineStr">
        <is>
          <t>12월</t>
        </is>
      </c>
      <c r="B9374" t="inlineStr">
        <is>
          <t>52주차</t>
        </is>
      </c>
      <c r="C9374" t="e">
        <v>#N/A</v>
      </c>
      <c r="K9374" t="n">
        <v>0</v>
      </c>
      <c r="L9374" t="n">
        <v>0</v>
      </c>
      <c r="M9374" t="n">
        <v>0</v>
      </c>
    </row>
    <row r="9375">
      <c r="A9375" t="inlineStr">
        <is>
          <t>12월</t>
        </is>
      </c>
      <c r="B9375" t="inlineStr">
        <is>
          <t>52주차</t>
        </is>
      </c>
      <c r="C9375" t="e">
        <v>#N/A</v>
      </c>
      <c r="K9375" t="n">
        <v>0</v>
      </c>
      <c r="L9375" t="n">
        <v>0</v>
      </c>
      <c r="M9375" t="n">
        <v>0</v>
      </c>
    </row>
    <row r="9376">
      <c r="A9376" t="inlineStr">
        <is>
          <t>12월</t>
        </is>
      </c>
      <c r="B9376" t="inlineStr">
        <is>
          <t>52주차</t>
        </is>
      </c>
      <c r="C9376" t="e">
        <v>#N/A</v>
      </c>
      <c r="K9376" t="n">
        <v>0</v>
      </c>
      <c r="L9376" t="n">
        <v>0</v>
      </c>
      <c r="M9376" t="n">
        <v>0</v>
      </c>
    </row>
    <row r="9377">
      <c r="A9377" t="inlineStr">
        <is>
          <t>12월</t>
        </is>
      </c>
      <c r="B9377" t="inlineStr">
        <is>
          <t>52주차</t>
        </is>
      </c>
      <c r="C9377" t="e">
        <v>#N/A</v>
      </c>
      <c r="K9377" t="n">
        <v>0</v>
      </c>
      <c r="L9377" t="n">
        <v>0</v>
      </c>
      <c r="M9377" t="n">
        <v>0</v>
      </c>
    </row>
    <row r="9378">
      <c r="A9378" t="inlineStr">
        <is>
          <t>12월</t>
        </is>
      </c>
      <c r="B9378" t="inlineStr">
        <is>
          <t>52주차</t>
        </is>
      </c>
      <c r="C9378" t="e">
        <v>#N/A</v>
      </c>
      <c r="K9378" t="n">
        <v>0</v>
      </c>
      <c r="L9378" t="n">
        <v>0</v>
      </c>
      <c r="M9378" t="n">
        <v>0</v>
      </c>
    </row>
    <row r="9379">
      <c r="A9379" t="inlineStr">
        <is>
          <t>12월</t>
        </is>
      </c>
      <c r="B9379" t="inlineStr">
        <is>
          <t>52주차</t>
        </is>
      </c>
      <c r="C9379" t="e">
        <v>#N/A</v>
      </c>
      <c r="K9379" t="n">
        <v>0</v>
      </c>
      <c r="L9379" t="n">
        <v>0</v>
      </c>
      <c r="M9379" t="n">
        <v>0</v>
      </c>
    </row>
    <row r="9380">
      <c r="A9380" t="inlineStr">
        <is>
          <t>12월</t>
        </is>
      </c>
      <c r="B9380" t="inlineStr">
        <is>
          <t>52주차</t>
        </is>
      </c>
      <c r="C9380" t="e">
        <v>#N/A</v>
      </c>
      <c r="K9380" t="n">
        <v>0</v>
      </c>
      <c r="L9380" t="n">
        <v>0</v>
      </c>
      <c r="M9380" t="n">
        <v>0</v>
      </c>
    </row>
    <row r="9381">
      <c r="A9381" t="inlineStr">
        <is>
          <t>12월</t>
        </is>
      </c>
      <c r="B9381" t="inlineStr">
        <is>
          <t>52주차</t>
        </is>
      </c>
      <c r="C9381" t="e">
        <v>#N/A</v>
      </c>
      <c r="K9381" t="n">
        <v>0</v>
      </c>
      <c r="L9381" t="n">
        <v>0</v>
      </c>
      <c r="M9381" t="n">
        <v>0</v>
      </c>
    </row>
    <row r="9382">
      <c r="A9382" t="inlineStr">
        <is>
          <t>12월</t>
        </is>
      </c>
      <c r="B9382" t="inlineStr">
        <is>
          <t>52주차</t>
        </is>
      </c>
      <c r="C9382" t="e">
        <v>#N/A</v>
      </c>
      <c r="K9382" t="n">
        <v>0</v>
      </c>
      <c r="L9382" t="n">
        <v>0</v>
      </c>
      <c r="M9382" t="n">
        <v>0</v>
      </c>
    </row>
    <row r="9383">
      <c r="A9383" t="inlineStr">
        <is>
          <t>12월</t>
        </is>
      </c>
      <c r="B9383" t="inlineStr">
        <is>
          <t>52주차</t>
        </is>
      </c>
      <c r="C9383" t="e">
        <v>#N/A</v>
      </c>
      <c r="K9383" t="n">
        <v>0</v>
      </c>
      <c r="L9383" t="n">
        <v>0</v>
      </c>
      <c r="M9383" t="n">
        <v>0</v>
      </c>
    </row>
    <row r="9384">
      <c r="A9384" t="inlineStr">
        <is>
          <t>12월</t>
        </is>
      </c>
      <c r="B9384" t="inlineStr">
        <is>
          <t>52주차</t>
        </is>
      </c>
      <c r="C9384" t="e">
        <v>#N/A</v>
      </c>
      <c r="K9384" t="n">
        <v>0</v>
      </c>
      <c r="L9384" t="n">
        <v>0</v>
      </c>
      <c r="M9384" t="n">
        <v>0</v>
      </c>
    </row>
    <row r="9385">
      <c r="A9385" t="inlineStr">
        <is>
          <t>12월</t>
        </is>
      </c>
      <c r="B9385" t="inlineStr">
        <is>
          <t>52주차</t>
        </is>
      </c>
      <c r="C9385" t="e">
        <v>#N/A</v>
      </c>
      <c r="K9385" t="n">
        <v>0</v>
      </c>
      <c r="L9385" t="n">
        <v>0</v>
      </c>
      <c r="M9385" t="n">
        <v>0</v>
      </c>
    </row>
    <row r="9386">
      <c r="A9386" t="inlineStr">
        <is>
          <t>12월</t>
        </is>
      </c>
      <c r="B9386" t="inlineStr">
        <is>
          <t>52주차</t>
        </is>
      </c>
      <c r="C9386" t="e">
        <v>#N/A</v>
      </c>
      <c r="K9386" t="n">
        <v>0</v>
      </c>
      <c r="L9386" t="n">
        <v>0</v>
      </c>
      <c r="M9386" t="n">
        <v>0</v>
      </c>
    </row>
    <row r="9387">
      <c r="A9387" t="inlineStr">
        <is>
          <t>12월</t>
        </is>
      </c>
      <c r="B9387" t="inlineStr">
        <is>
          <t>52주차</t>
        </is>
      </c>
      <c r="C9387" t="e">
        <v>#N/A</v>
      </c>
      <c r="K9387" t="n">
        <v>0</v>
      </c>
      <c r="L9387" t="n">
        <v>0</v>
      </c>
      <c r="M9387" t="n">
        <v>0</v>
      </c>
    </row>
    <row r="9388">
      <c r="A9388" t="inlineStr">
        <is>
          <t>12월</t>
        </is>
      </c>
      <c r="B9388" t="inlineStr">
        <is>
          <t>52주차</t>
        </is>
      </c>
      <c r="C9388" t="e">
        <v>#N/A</v>
      </c>
      <c r="K9388" t="n">
        <v>0</v>
      </c>
      <c r="L9388" t="n">
        <v>0</v>
      </c>
      <c r="M9388" t="n">
        <v>0</v>
      </c>
    </row>
    <row r="9389">
      <c r="A9389" t="inlineStr">
        <is>
          <t>12월</t>
        </is>
      </c>
      <c r="B9389" t="inlineStr">
        <is>
          <t>52주차</t>
        </is>
      </c>
      <c r="C9389" t="e">
        <v>#N/A</v>
      </c>
      <c r="K9389" t="n">
        <v>0</v>
      </c>
      <c r="L9389" t="n">
        <v>0</v>
      </c>
      <c r="M9389" t="n">
        <v>0</v>
      </c>
    </row>
    <row r="9390">
      <c r="A9390" t="inlineStr">
        <is>
          <t>12월</t>
        </is>
      </c>
      <c r="B9390" t="inlineStr">
        <is>
          <t>52주차</t>
        </is>
      </c>
      <c r="C9390" t="e">
        <v>#N/A</v>
      </c>
      <c r="K9390" t="n">
        <v>0</v>
      </c>
      <c r="L9390" t="n">
        <v>0</v>
      </c>
      <c r="M9390" t="n">
        <v>0</v>
      </c>
    </row>
    <row r="9391">
      <c r="A9391" t="inlineStr">
        <is>
          <t>12월</t>
        </is>
      </c>
      <c r="B9391" t="inlineStr">
        <is>
          <t>52주차</t>
        </is>
      </c>
      <c r="C9391" t="e">
        <v>#N/A</v>
      </c>
      <c r="K9391" t="n">
        <v>0</v>
      </c>
      <c r="L9391" t="n">
        <v>0</v>
      </c>
      <c r="M9391" t="n">
        <v>0</v>
      </c>
    </row>
    <row r="9392">
      <c r="A9392" t="inlineStr">
        <is>
          <t>12월</t>
        </is>
      </c>
      <c r="B9392" t="inlineStr">
        <is>
          <t>52주차</t>
        </is>
      </c>
      <c r="C9392" t="e">
        <v>#N/A</v>
      </c>
      <c r="K9392" t="n">
        <v>0</v>
      </c>
      <c r="L9392" t="n">
        <v>0</v>
      </c>
      <c r="M9392" t="n">
        <v>0</v>
      </c>
    </row>
    <row r="9393">
      <c r="A9393" t="inlineStr">
        <is>
          <t>12월</t>
        </is>
      </c>
      <c r="B9393" t="inlineStr">
        <is>
          <t>52주차</t>
        </is>
      </c>
      <c r="C9393" t="e">
        <v>#N/A</v>
      </c>
      <c r="K9393" t="n">
        <v>0</v>
      </c>
      <c r="L9393" t="n">
        <v>0</v>
      </c>
      <c r="M9393" t="n">
        <v>0</v>
      </c>
    </row>
    <row r="9394">
      <c r="A9394" t="inlineStr">
        <is>
          <t>12월</t>
        </is>
      </c>
      <c r="B9394" t="inlineStr">
        <is>
          <t>52주차</t>
        </is>
      </c>
      <c r="C9394" t="e">
        <v>#N/A</v>
      </c>
      <c r="K9394" t="n">
        <v>0</v>
      </c>
      <c r="L9394" t="n">
        <v>0</v>
      </c>
      <c r="M9394" t="n">
        <v>0</v>
      </c>
    </row>
    <row r="9395">
      <c r="A9395" t="inlineStr">
        <is>
          <t>12월</t>
        </is>
      </c>
      <c r="B9395" t="inlineStr">
        <is>
          <t>52주차</t>
        </is>
      </c>
      <c r="C9395" t="e">
        <v>#N/A</v>
      </c>
      <c r="K9395" t="n">
        <v>0</v>
      </c>
      <c r="L9395" t="n">
        <v>0</v>
      </c>
      <c r="M9395" t="n">
        <v>0</v>
      </c>
    </row>
    <row r="9396">
      <c r="A9396" t="inlineStr">
        <is>
          <t>12월</t>
        </is>
      </c>
      <c r="B9396" t="inlineStr">
        <is>
          <t>52주차</t>
        </is>
      </c>
      <c r="C9396" t="e">
        <v>#N/A</v>
      </c>
      <c r="K9396" t="n">
        <v>0</v>
      </c>
      <c r="L9396" t="n">
        <v>0</v>
      </c>
      <c r="M9396" t="n">
        <v>0</v>
      </c>
    </row>
    <row r="9397">
      <c r="A9397" t="inlineStr">
        <is>
          <t>12월</t>
        </is>
      </c>
      <c r="B9397" t="inlineStr">
        <is>
          <t>52주차</t>
        </is>
      </c>
      <c r="C9397" t="e">
        <v>#N/A</v>
      </c>
      <c r="K9397" t="n">
        <v>0</v>
      </c>
      <c r="L9397" t="n">
        <v>0</v>
      </c>
      <c r="M9397" t="n">
        <v>0</v>
      </c>
    </row>
    <row r="9398">
      <c r="A9398" t="inlineStr">
        <is>
          <t>12월</t>
        </is>
      </c>
      <c r="B9398" t="inlineStr">
        <is>
          <t>52주차</t>
        </is>
      </c>
      <c r="C9398" t="e">
        <v>#N/A</v>
      </c>
      <c r="K9398" t="n">
        <v>0</v>
      </c>
      <c r="L9398" t="n">
        <v>0</v>
      </c>
      <c r="M9398" t="n">
        <v>0</v>
      </c>
    </row>
    <row r="9399">
      <c r="A9399" t="inlineStr">
        <is>
          <t>12월</t>
        </is>
      </c>
      <c r="B9399" t="inlineStr">
        <is>
          <t>52주차</t>
        </is>
      </c>
      <c r="C9399" t="e">
        <v>#N/A</v>
      </c>
      <c r="K9399" t="n">
        <v>0</v>
      </c>
      <c r="L9399" t="n">
        <v>0</v>
      </c>
      <c r="M9399" t="n">
        <v>0</v>
      </c>
    </row>
    <row r="9400">
      <c r="A9400" t="inlineStr">
        <is>
          <t>12월</t>
        </is>
      </c>
      <c r="B9400" t="inlineStr">
        <is>
          <t>52주차</t>
        </is>
      </c>
      <c r="C9400" t="e">
        <v>#N/A</v>
      </c>
      <c r="K9400" t="n">
        <v>0</v>
      </c>
      <c r="L9400" t="n">
        <v>0</v>
      </c>
      <c r="M9400" t="n">
        <v>0</v>
      </c>
    </row>
    <row r="9401">
      <c r="A9401" t="inlineStr">
        <is>
          <t>12월</t>
        </is>
      </c>
      <c r="B9401" t="inlineStr">
        <is>
          <t>52주차</t>
        </is>
      </c>
      <c r="C9401" t="e">
        <v>#N/A</v>
      </c>
      <c r="K9401" t="n">
        <v>0</v>
      </c>
      <c r="L9401" t="n">
        <v>0</v>
      </c>
      <c r="M9401" t="n">
        <v>0</v>
      </c>
    </row>
    <row r="9402">
      <c r="A9402" t="inlineStr">
        <is>
          <t>12월</t>
        </is>
      </c>
      <c r="B9402" t="inlineStr">
        <is>
          <t>52주차</t>
        </is>
      </c>
      <c r="C9402" t="e">
        <v>#N/A</v>
      </c>
      <c r="K9402" t="n">
        <v>0</v>
      </c>
      <c r="L9402" t="n">
        <v>0</v>
      </c>
      <c r="M9402" t="n">
        <v>0</v>
      </c>
    </row>
    <row r="9403">
      <c r="A9403" t="inlineStr">
        <is>
          <t>12월</t>
        </is>
      </c>
      <c r="B9403" t="inlineStr">
        <is>
          <t>52주차</t>
        </is>
      </c>
      <c r="C9403" t="e">
        <v>#N/A</v>
      </c>
      <c r="K9403" t="n">
        <v>0</v>
      </c>
      <c r="L9403" t="n">
        <v>0</v>
      </c>
      <c r="M9403" t="n">
        <v>0</v>
      </c>
    </row>
    <row r="9404">
      <c r="A9404" t="inlineStr">
        <is>
          <t>12월</t>
        </is>
      </c>
      <c r="B9404" t="inlineStr">
        <is>
          <t>52주차</t>
        </is>
      </c>
      <c r="C9404" t="e">
        <v>#N/A</v>
      </c>
      <c r="K9404" t="n">
        <v>0</v>
      </c>
      <c r="L9404" t="n">
        <v>0</v>
      </c>
      <c r="M9404" t="n">
        <v>0</v>
      </c>
    </row>
    <row r="9405">
      <c r="A9405" t="inlineStr">
        <is>
          <t>12월</t>
        </is>
      </c>
      <c r="B9405" t="inlineStr">
        <is>
          <t>52주차</t>
        </is>
      </c>
      <c r="C9405" t="e">
        <v>#N/A</v>
      </c>
      <c r="K9405" t="n">
        <v>0</v>
      </c>
      <c r="L9405" t="n">
        <v>0</v>
      </c>
      <c r="M9405" t="n">
        <v>0</v>
      </c>
    </row>
    <row r="9406">
      <c r="A9406" t="inlineStr">
        <is>
          <t>12월</t>
        </is>
      </c>
      <c r="B9406" t="inlineStr">
        <is>
          <t>52주차</t>
        </is>
      </c>
      <c r="C9406" t="e">
        <v>#N/A</v>
      </c>
      <c r="K9406" t="n">
        <v>0</v>
      </c>
      <c r="L9406" t="n">
        <v>0</v>
      </c>
      <c r="M9406" t="n">
        <v>0</v>
      </c>
    </row>
    <row r="9407">
      <c r="A9407" t="inlineStr">
        <is>
          <t>12월</t>
        </is>
      </c>
      <c r="B9407" t="inlineStr">
        <is>
          <t>52주차</t>
        </is>
      </c>
      <c r="C9407" t="e">
        <v>#N/A</v>
      </c>
      <c r="K9407" t="n">
        <v>0</v>
      </c>
      <c r="L9407" t="n">
        <v>0</v>
      </c>
      <c r="M9407" t="n">
        <v>0</v>
      </c>
    </row>
    <row r="9408">
      <c r="A9408" t="inlineStr">
        <is>
          <t>12월</t>
        </is>
      </c>
      <c r="B9408" t="inlineStr">
        <is>
          <t>52주차</t>
        </is>
      </c>
      <c r="C9408" t="e">
        <v>#N/A</v>
      </c>
      <c r="K9408" t="n">
        <v>0</v>
      </c>
      <c r="L9408" t="n">
        <v>0</v>
      </c>
      <c r="M9408" t="n">
        <v>0</v>
      </c>
    </row>
    <row r="9409">
      <c r="A9409" t="inlineStr">
        <is>
          <t>12월</t>
        </is>
      </c>
      <c r="B9409" t="inlineStr">
        <is>
          <t>52주차</t>
        </is>
      </c>
      <c r="C9409" t="e">
        <v>#N/A</v>
      </c>
      <c r="K9409" t="n">
        <v>0</v>
      </c>
      <c r="L9409" t="n">
        <v>0</v>
      </c>
      <c r="M9409" t="n">
        <v>0</v>
      </c>
    </row>
    <row r="9410">
      <c r="A9410" t="inlineStr">
        <is>
          <t>12월</t>
        </is>
      </c>
      <c r="B9410" t="inlineStr">
        <is>
          <t>52주차</t>
        </is>
      </c>
      <c r="C9410" t="e">
        <v>#N/A</v>
      </c>
      <c r="K9410" t="n">
        <v>0</v>
      </c>
      <c r="L9410" t="n">
        <v>0</v>
      </c>
      <c r="M9410" t="n">
        <v>0</v>
      </c>
    </row>
    <row r="9411">
      <c r="A9411" t="inlineStr">
        <is>
          <t>12월</t>
        </is>
      </c>
      <c r="B9411" t="inlineStr">
        <is>
          <t>52주차</t>
        </is>
      </c>
      <c r="C9411" t="e">
        <v>#N/A</v>
      </c>
      <c r="K9411" t="n">
        <v>0</v>
      </c>
      <c r="L9411" t="n">
        <v>0</v>
      </c>
      <c r="M9411" t="n">
        <v>0</v>
      </c>
    </row>
    <row r="9412">
      <c r="A9412" t="inlineStr">
        <is>
          <t>12월</t>
        </is>
      </c>
      <c r="B9412" t="inlineStr">
        <is>
          <t>52주차</t>
        </is>
      </c>
      <c r="C9412" t="e">
        <v>#N/A</v>
      </c>
      <c r="K9412" t="n">
        <v>0</v>
      </c>
      <c r="L9412" t="n">
        <v>0</v>
      </c>
      <c r="M9412" t="n">
        <v>0</v>
      </c>
    </row>
    <row r="9413">
      <c r="A9413" t="inlineStr">
        <is>
          <t>12월</t>
        </is>
      </c>
      <c r="B9413" t="inlineStr">
        <is>
          <t>52주차</t>
        </is>
      </c>
      <c r="C9413" t="e">
        <v>#N/A</v>
      </c>
      <c r="K9413" t="n">
        <v>0</v>
      </c>
      <c r="L9413" t="n">
        <v>0</v>
      </c>
      <c r="M9413" t="n">
        <v>0</v>
      </c>
    </row>
    <row r="9414">
      <c r="A9414" t="inlineStr">
        <is>
          <t>12월</t>
        </is>
      </c>
      <c r="B9414" t="inlineStr">
        <is>
          <t>52주차</t>
        </is>
      </c>
      <c r="C9414" t="e">
        <v>#N/A</v>
      </c>
      <c r="K9414" t="n">
        <v>0</v>
      </c>
      <c r="L9414" t="n">
        <v>0</v>
      </c>
      <c r="M9414" t="n">
        <v>0</v>
      </c>
    </row>
    <row r="9415">
      <c r="A9415" t="inlineStr">
        <is>
          <t>12월</t>
        </is>
      </c>
      <c r="B9415" t="inlineStr">
        <is>
          <t>52주차</t>
        </is>
      </c>
      <c r="C9415" t="e">
        <v>#N/A</v>
      </c>
      <c r="K9415" t="n">
        <v>0</v>
      </c>
      <c r="L9415" t="n">
        <v>0</v>
      </c>
      <c r="M9415" t="n">
        <v>0</v>
      </c>
    </row>
    <row r="9416">
      <c r="A9416" t="inlineStr">
        <is>
          <t>12월</t>
        </is>
      </c>
      <c r="B9416" t="inlineStr">
        <is>
          <t>52주차</t>
        </is>
      </c>
      <c r="C9416" t="e">
        <v>#N/A</v>
      </c>
      <c r="K9416" t="n">
        <v>0</v>
      </c>
      <c r="L9416" t="n">
        <v>0</v>
      </c>
      <c r="M9416" t="n">
        <v>0</v>
      </c>
    </row>
    <row r="9417">
      <c r="A9417" t="inlineStr">
        <is>
          <t>12월</t>
        </is>
      </c>
      <c r="B9417" t="inlineStr">
        <is>
          <t>52주차</t>
        </is>
      </c>
      <c r="C9417" t="e">
        <v>#N/A</v>
      </c>
      <c r="K9417" t="n">
        <v>0</v>
      </c>
      <c r="L9417" t="n">
        <v>0</v>
      </c>
      <c r="M9417" t="n">
        <v>0</v>
      </c>
    </row>
    <row r="9418">
      <c r="A9418" t="inlineStr">
        <is>
          <t>12월</t>
        </is>
      </c>
      <c r="B9418" t="inlineStr">
        <is>
          <t>52주차</t>
        </is>
      </c>
      <c r="C9418" t="e">
        <v>#N/A</v>
      </c>
      <c r="K9418" t="n">
        <v>0</v>
      </c>
      <c r="L9418" t="n">
        <v>0</v>
      </c>
      <c r="M9418" t="n">
        <v>0</v>
      </c>
    </row>
    <row r="9419">
      <c r="A9419" t="inlineStr">
        <is>
          <t>12월</t>
        </is>
      </c>
      <c r="B9419" t="inlineStr">
        <is>
          <t>52주차</t>
        </is>
      </c>
      <c r="C9419" t="e">
        <v>#N/A</v>
      </c>
      <c r="K9419" t="n">
        <v>0</v>
      </c>
      <c r="L9419" t="n">
        <v>0</v>
      </c>
      <c r="M9419" t="n">
        <v>0</v>
      </c>
    </row>
    <row r="9420">
      <c r="A9420" t="inlineStr">
        <is>
          <t>12월</t>
        </is>
      </c>
      <c r="B9420" t="inlineStr">
        <is>
          <t>52주차</t>
        </is>
      </c>
      <c r="C9420" t="e">
        <v>#N/A</v>
      </c>
      <c r="K9420" t="n">
        <v>0</v>
      </c>
      <c r="L9420" t="n">
        <v>0</v>
      </c>
      <c r="M9420" t="n">
        <v>0</v>
      </c>
    </row>
    <row r="9421">
      <c r="A9421" t="inlineStr">
        <is>
          <t>12월</t>
        </is>
      </c>
      <c r="B9421" t="inlineStr">
        <is>
          <t>52주차</t>
        </is>
      </c>
      <c r="C9421" t="e">
        <v>#N/A</v>
      </c>
      <c r="K9421" t="n">
        <v>0</v>
      </c>
      <c r="L9421" t="n">
        <v>0</v>
      </c>
      <c r="M9421" t="n">
        <v>0</v>
      </c>
    </row>
    <row r="9422">
      <c r="A9422" t="inlineStr">
        <is>
          <t>12월</t>
        </is>
      </c>
      <c r="B9422" t="inlineStr">
        <is>
          <t>52주차</t>
        </is>
      </c>
      <c r="C9422" t="e">
        <v>#N/A</v>
      </c>
      <c r="K9422" t="n">
        <v>0</v>
      </c>
      <c r="L9422" t="n">
        <v>0</v>
      </c>
      <c r="M9422" t="n">
        <v>0</v>
      </c>
    </row>
    <row r="9423">
      <c r="A9423" t="inlineStr">
        <is>
          <t>12월</t>
        </is>
      </c>
      <c r="B9423" t="inlineStr">
        <is>
          <t>52주차</t>
        </is>
      </c>
      <c r="C9423" t="e">
        <v>#N/A</v>
      </c>
      <c r="K9423" t="n">
        <v>0</v>
      </c>
      <c r="L9423" t="n">
        <v>0</v>
      </c>
      <c r="M9423" t="n">
        <v>0</v>
      </c>
    </row>
    <row r="9424">
      <c r="A9424" t="inlineStr">
        <is>
          <t>12월</t>
        </is>
      </c>
      <c r="B9424" t="inlineStr">
        <is>
          <t>52주차</t>
        </is>
      </c>
      <c r="C9424" t="e">
        <v>#N/A</v>
      </c>
      <c r="K9424" t="n">
        <v>0</v>
      </c>
      <c r="L9424" t="n">
        <v>0</v>
      </c>
      <c r="M9424" t="n">
        <v>0</v>
      </c>
    </row>
    <row r="9425">
      <c r="A9425" t="inlineStr">
        <is>
          <t>12월</t>
        </is>
      </c>
      <c r="B9425" t="inlineStr">
        <is>
          <t>52주차</t>
        </is>
      </c>
      <c r="C9425" t="e">
        <v>#N/A</v>
      </c>
      <c r="K9425" t="n">
        <v>0</v>
      </c>
      <c r="L9425" t="n">
        <v>0</v>
      </c>
      <c r="M9425" t="n">
        <v>0</v>
      </c>
    </row>
    <row r="9426">
      <c r="A9426" t="inlineStr">
        <is>
          <t>12월</t>
        </is>
      </c>
      <c r="B9426" t="inlineStr">
        <is>
          <t>52주차</t>
        </is>
      </c>
      <c r="C9426" t="e">
        <v>#N/A</v>
      </c>
      <c r="K9426" t="n">
        <v>0</v>
      </c>
      <c r="L9426" t="n">
        <v>0</v>
      </c>
      <c r="M9426" t="n">
        <v>0</v>
      </c>
    </row>
    <row r="9427">
      <c r="A9427" t="inlineStr">
        <is>
          <t>12월</t>
        </is>
      </c>
      <c r="B9427" t="inlineStr">
        <is>
          <t>52주차</t>
        </is>
      </c>
      <c r="C9427" t="e">
        <v>#N/A</v>
      </c>
      <c r="K9427" t="n">
        <v>0</v>
      </c>
      <c r="L9427" t="n">
        <v>0</v>
      </c>
      <c r="M9427" t="n">
        <v>0</v>
      </c>
    </row>
    <row r="9428">
      <c r="A9428" t="inlineStr">
        <is>
          <t>12월</t>
        </is>
      </c>
      <c r="B9428" t="inlineStr">
        <is>
          <t>52주차</t>
        </is>
      </c>
      <c r="C9428" t="e">
        <v>#N/A</v>
      </c>
      <c r="K9428" t="n">
        <v>0</v>
      </c>
      <c r="L9428" t="n">
        <v>0</v>
      </c>
      <c r="M9428" t="n">
        <v>0</v>
      </c>
    </row>
    <row r="9429">
      <c r="A9429" t="inlineStr">
        <is>
          <t>12월</t>
        </is>
      </c>
      <c r="B9429" t="inlineStr">
        <is>
          <t>52주차</t>
        </is>
      </c>
      <c r="C9429" t="e">
        <v>#N/A</v>
      </c>
      <c r="K9429" t="n">
        <v>0</v>
      </c>
      <c r="L9429" t="n">
        <v>0</v>
      </c>
      <c r="M9429" t="n">
        <v>0</v>
      </c>
    </row>
    <row r="9430">
      <c r="A9430" t="inlineStr">
        <is>
          <t>12월</t>
        </is>
      </c>
      <c r="B9430" t="inlineStr">
        <is>
          <t>52주차</t>
        </is>
      </c>
      <c r="C9430" t="e">
        <v>#N/A</v>
      </c>
      <c r="K9430" t="n">
        <v>0</v>
      </c>
      <c r="L9430" t="n">
        <v>0</v>
      </c>
      <c r="M9430" t="n">
        <v>0</v>
      </c>
    </row>
    <row r="9431">
      <c r="A9431" t="inlineStr">
        <is>
          <t>12월</t>
        </is>
      </c>
      <c r="B9431" t="inlineStr">
        <is>
          <t>52주차</t>
        </is>
      </c>
      <c r="C9431" t="e">
        <v>#N/A</v>
      </c>
      <c r="K9431" t="n">
        <v>0</v>
      </c>
      <c r="L9431" t="n">
        <v>0</v>
      </c>
      <c r="M9431" t="n">
        <v>0</v>
      </c>
    </row>
    <row r="9432">
      <c r="A9432" t="inlineStr">
        <is>
          <t>12월</t>
        </is>
      </c>
      <c r="B9432" t="inlineStr">
        <is>
          <t>52주차</t>
        </is>
      </c>
      <c r="C9432" t="e">
        <v>#N/A</v>
      </c>
      <c r="K9432" t="n">
        <v>0</v>
      </c>
      <c r="L9432" t="n">
        <v>0</v>
      </c>
      <c r="M9432" t="n">
        <v>0</v>
      </c>
    </row>
    <row r="9433">
      <c r="A9433" t="inlineStr">
        <is>
          <t>12월</t>
        </is>
      </c>
      <c r="B9433" t="inlineStr">
        <is>
          <t>52주차</t>
        </is>
      </c>
      <c r="C9433" t="e">
        <v>#N/A</v>
      </c>
      <c r="K9433" t="n">
        <v>0</v>
      </c>
      <c r="L9433" t="n">
        <v>0</v>
      </c>
      <c r="M9433" t="n">
        <v>0</v>
      </c>
    </row>
    <row r="9434">
      <c r="A9434" t="inlineStr">
        <is>
          <t>12월</t>
        </is>
      </c>
      <c r="B9434" t="inlineStr">
        <is>
          <t>52주차</t>
        </is>
      </c>
      <c r="C9434" t="e">
        <v>#N/A</v>
      </c>
      <c r="K9434" t="n">
        <v>0</v>
      </c>
      <c r="L9434" t="n">
        <v>0</v>
      </c>
      <c r="M9434" t="n">
        <v>0</v>
      </c>
    </row>
    <row r="9435">
      <c r="A9435" t="inlineStr">
        <is>
          <t>12월</t>
        </is>
      </c>
      <c r="B9435" t="inlineStr">
        <is>
          <t>52주차</t>
        </is>
      </c>
      <c r="C9435" t="e">
        <v>#N/A</v>
      </c>
      <c r="K9435" t="n">
        <v>0</v>
      </c>
      <c r="L9435" t="n">
        <v>0</v>
      </c>
      <c r="M9435" t="n">
        <v>0</v>
      </c>
    </row>
    <row r="9436">
      <c r="A9436" t="inlineStr">
        <is>
          <t>12월</t>
        </is>
      </c>
      <c r="B9436" t="inlineStr">
        <is>
          <t>52주차</t>
        </is>
      </c>
      <c r="C9436" t="e">
        <v>#N/A</v>
      </c>
      <c r="K9436" t="n">
        <v>0</v>
      </c>
      <c r="L9436" t="n">
        <v>0</v>
      </c>
      <c r="M9436" t="n">
        <v>0</v>
      </c>
    </row>
    <row r="9437">
      <c r="A9437" t="inlineStr">
        <is>
          <t>12월</t>
        </is>
      </c>
      <c r="B9437" t="inlineStr">
        <is>
          <t>52주차</t>
        </is>
      </c>
      <c r="C9437" t="e">
        <v>#N/A</v>
      </c>
      <c r="K9437" t="n">
        <v>0</v>
      </c>
      <c r="L9437" t="n">
        <v>0</v>
      </c>
      <c r="M9437" t="n">
        <v>0</v>
      </c>
    </row>
    <row r="9438">
      <c r="A9438" t="inlineStr">
        <is>
          <t>12월</t>
        </is>
      </c>
      <c r="B9438" t="inlineStr">
        <is>
          <t>52주차</t>
        </is>
      </c>
      <c r="C9438" t="e">
        <v>#N/A</v>
      </c>
      <c r="K9438" t="n">
        <v>0</v>
      </c>
      <c r="L9438" t="n">
        <v>0</v>
      </c>
      <c r="M9438" t="n">
        <v>0</v>
      </c>
    </row>
    <row r="9439">
      <c r="A9439" t="inlineStr">
        <is>
          <t>12월</t>
        </is>
      </c>
      <c r="B9439" t="inlineStr">
        <is>
          <t>52주차</t>
        </is>
      </c>
      <c r="C9439" t="e">
        <v>#N/A</v>
      </c>
      <c r="K9439" t="n">
        <v>0</v>
      </c>
      <c r="L9439" t="n">
        <v>0</v>
      </c>
      <c r="M9439" t="n">
        <v>0</v>
      </c>
    </row>
    <row r="9440">
      <c r="A9440" t="inlineStr">
        <is>
          <t>12월</t>
        </is>
      </c>
      <c r="B9440" t="inlineStr">
        <is>
          <t>52주차</t>
        </is>
      </c>
      <c r="C9440" t="e">
        <v>#N/A</v>
      </c>
      <c r="K9440" t="n">
        <v>0</v>
      </c>
      <c r="L9440" t="n">
        <v>0</v>
      </c>
      <c r="M9440" t="n">
        <v>0</v>
      </c>
    </row>
    <row r="9441">
      <c r="A9441" t="inlineStr">
        <is>
          <t>12월</t>
        </is>
      </c>
      <c r="B9441" t="inlineStr">
        <is>
          <t>52주차</t>
        </is>
      </c>
      <c r="C9441" t="e">
        <v>#N/A</v>
      </c>
      <c r="K9441" t="n">
        <v>0</v>
      </c>
      <c r="L9441" t="n">
        <v>0</v>
      </c>
      <c r="M9441" t="n">
        <v>0</v>
      </c>
    </row>
    <row r="9442">
      <c r="A9442" t="inlineStr">
        <is>
          <t>12월</t>
        </is>
      </c>
      <c r="B9442" t="inlineStr">
        <is>
          <t>52주차</t>
        </is>
      </c>
      <c r="C9442" t="e">
        <v>#N/A</v>
      </c>
      <c r="K9442" t="n">
        <v>0</v>
      </c>
      <c r="L9442" t="n">
        <v>0</v>
      </c>
      <c r="M9442" t="n">
        <v>0</v>
      </c>
    </row>
    <row r="9443">
      <c r="A9443" t="inlineStr">
        <is>
          <t>12월</t>
        </is>
      </c>
      <c r="B9443" t="inlineStr">
        <is>
          <t>52주차</t>
        </is>
      </c>
      <c r="C9443" t="e">
        <v>#N/A</v>
      </c>
      <c r="K9443" t="n">
        <v>0</v>
      </c>
      <c r="L9443" t="n">
        <v>0</v>
      </c>
      <c r="M9443" t="n">
        <v>0</v>
      </c>
    </row>
    <row r="9444">
      <c r="A9444" t="inlineStr">
        <is>
          <t>12월</t>
        </is>
      </c>
      <c r="B9444" t="inlineStr">
        <is>
          <t>52주차</t>
        </is>
      </c>
      <c r="C9444" t="e">
        <v>#N/A</v>
      </c>
      <c r="K9444" t="n">
        <v>0</v>
      </c>
      <c r="L9444" t="n">
        <v>0</v>
      </c>
      <c r="M9444" t="n">
        <v>0</v>
      </c>
    </row>
    <row r="9445">
      <c r="A9445" t="inlineStr">
        <is>
          <t>12월</t>
        </is>
      </c>
      <c r="B9445" t="inlineStr">
        <is>
          <t>52주차</t>
        </is>
      </c>
      <c r="C9445" t="e">
        <v>#N/A</v>
      </c>
      <c r="K9445" t="n">
        <v>0</v>
      </c>
      <c r="L9445" t="n">
        <v>0</v>
      </c>
      <c r="M9445" t="n">
        <v>0</v>
      </c>
    </row>
    <row r="9446">
      <c r="A9446" t="inlineStr">
        <is>
          <t>12월</t>
        </is>
      </c>
      <c r="B9446" t="inlineStr">
        <is>
          <t>52주차</t>
        </is>
      </c>
      <c r="C9446" t="e">
        <v>#N/A</v>
      </c>
      <c r="K9446" t="n">
        <v>0</v>
      </c>
      <c r="L9446" t="n">
        <v>0</v>
      </c>
      <c r="M9446" t="n">
        <v>0</v>
      </c>
    </row>
    <row r="9447">
      <c r="A9447" t="inlineStr">
        <is>
          <t>12월</t>
        </is>
      </c>
      <c r="B9447" t="inlineStr">
        <is>
          <t>52주차</t>
        </is>
      </c>
      <c r="C9447" t="e">
        <v>#N/A</v>
      </c>
      <c r="K9447" t="n">
        <v>0</v>
      </c>
      <c r="L9447" t="n">
        <v>0</v>
      </c>
      <c r="M9447" t="n">
        <v>0</v>
      </c>
    </row>
    <row r="9448">
      <c r="A9448" t="inlineStr">
        <is>
          <t>12월</t>
        </is>
      </c>
      <c r="B9448" t="inlineStr">
        <is>
          <t>52주차</t>
        </is>
      </c>
      <c r="C9448" t="e">
        <v>#N/A</v>
      </c>
      <c r="K9448" t="n">
        <v>0</v>
      </c>
      <c r="L9448" t="n">
        <v>0</v>
      </c>
      <c r="M9448" t="n">
        <v>0</v>
      </c>
    </row>
    <row r="9449">
      <c r="A9449" t="inlineStr">
        <is>
          <t>12월</t>
        </is>
      </c>
      <c r="B9449" t="inlineStr">
        <is>
          <t>52주차</t>
        </is>
      </c>
      <c r="C9449" t="e">
        <v>#N/A</v>
      </c>
      <c r="K9449" t="n">
        <v>0</v>
      </c>
      <c r="L9449" t="n">
        <v>0</v>
      </c>
      <c r="M9449" t="n">
        <v>0</v>
      </c>
    </row>
    <row r="9450">
      <c r="A9450" t="inlineStr">
        <is>
          <t>12월</t>
        </is>
      </c>
      <c r="B9450" t="inlineStr">
        <is>
          <t>52주차</t>
        </is>
      </c>
      <c r="C9450" t="e">
        <v>#N/A</v>
      </c>
      <c r="K9450" t="n">
        <v>0</v>
      </c>
      <c r="L9450" t="n">
        <v>0</v>
      </c>
      <c r="M9450" t="n">
        <v>0</v>
      </c>
    </row>
    <row r="9451">
      <c r="A9451" t="inlineStr">
        <is>
          <t>12월</t>
        </is>
      </c>
      <c r="B9451" t="inlineStr">
        <is>
          <t>52주차</t>
        </is>
      </c>
      <c r="C9451" t="e">
        <v>#N/A</v>
      </c>
      <c r="K9451" t="n">
        <v>0</v>
      </c>
      <c r="L9451" t="n">
        <v>0</v>
      </c>
      <c r="M9451" t="n">
        <v>0</v>
      </c>
    </row>
    <row r="9452">
      <c r="A9452" t="inlineStr">
        <is>
          <t>12월</t>
        </is>
      </c>
      <c r="B9452" t="inlineStr">
        <is>
          <t>52주차</t>
        </is>
      </c>
      <c r="C9452" t="e">
        <v>#N/A</v>
      </c>
      <c r="K9452" t="n">
        <v>0</v>
      </c>
      <c r="L9452" t="n">
        <v>0</v>
      </c>
      <c r="M9452" t="n">
        <v>0</v>
      </c>
    </row>
    <row r="9453">
      <c r="A9453" t="inlineStr">
        <is>
          <t>12월</t>
        </is>
      </c>
      <c r="B9453" t="inlineStr">
        <is>
          <t>52주차</t>
        </is>
      </c>
      <c r="C9453" t="e">
        <v>#N/A</v>
      </c>
      <c r="K9453" t="n">
        <v>0</v>
      </c>
      <c r="L9453" t="n">
        <v>0</v>
      </c>
      <c r="M9453" t="n">
        <v>0</v>
      </c>
    </row>
    <row r="9454">
      <c r="A9454" t="inlineStr">
        <is>
          <t>12월</t>
        </is>
      </c>
      <c r="B9454" t="inlineStr">
        <is>
          <t>52주차</t>
        </is>
      </c>
      <c r="C9454" t="e">
        <v>#N/A</v>
      </c>
      <c r="K9454" t="n">
        <v>0</v>
      </c>
      <c r="L9454" t="n">
        <v>0</v>
      </c>
      <c r="M9454" t="n">
        <v>0</v>
      </c>
    </row>
    <row r="9455">
      <c r="A9455" t="inlineStr">
        <is>
          <t>12월</t>
        </is>
      </c>
      <c r="B9455" t="inlineStr">
        <is>
          <t>52주차</t>
        </is>
      </c>
      <c r="C9455" t="e">
        <v>#N/A</v>
      </c>
      <c r="K9455" t="n">
        <v>0</v>
      </c>
      <c r="L9455" t="n">
        <v>0</v>
      </c>
      <c r="M9455" t="n">
        <v>0</v>
      </c>
    </row>
    <row r="9456">
      <c r="A9456" t="inlineStr">
        <is>
          <t>12월</t>
        </is>
      </c>
      <c r="B9456" t="inlineStr">
        <is>
          <t>52주차</t>
        </is>
      </c>
      <c r="C9456" t="e">
        <v>#N/A</v>
      </c>
      <c r="K9456" t="n">
        <v>0</v>
      </c>
      <c r="L9456" t="n">
        <v>0</v>
      </c>
      <c r="M9456" t="n">
        <v>0</v>
      </c>
    </row>
    <row r="9457">
      <c r="A9457" t="inlineStr">
        <is>
          <t>12월</t>
        </is>
      </c>
      <c r="B9457" t="inlineStr">
        <is>
          <t>52주차</t>
        </is>
      </c>
      <c r="C9457" t="e">
        <v>#N/A</v>
      </c>
      <c r="K9457" t="n">
        <v>0</v>
      </c>
      <c r="L9457" t="n">
        <v>0</v>
      </c>
      <c r="M9457" t="n">
        <v>0</v>
      </c>
    </row>
    <row r="9458">
      <c r="A9458" t="inlineStr">
        <is>
          <t>12월</t>
        </is>
      </c>
      <c r="B9458" t="inlineStr">
        <is>
          <t>52주차</t>
        </is>
      </c>
      <c r="C9458" t="e">
        <v>#N/A</v>
      </c>
      <c r="K9458" t="n">
        <v>0</v>
      </c>
      <c r="L9458" t="n">
        <v>0</v>
      </c>
      <c r="M9458" t="n">
        <v>0</v>
      </c>
    </row>
    <row r="9459">
      <c r="A9459" t="inlineStr">
        <is>
          <t>12월</t>
        </is>
      </c>
      <c r="B9459" t="inlineStr">
        <is>
          <t>52주차</t>
        </is>
      </c>
      <c r="C9459" t="e">
        <v>#N/A</v>
      </c>
      <c r="K9459" t="n">
        <v>0</v>
      </c>
      <c r="L9459" t="n">
        <v>0</v>
      </c>
      <c r="M9459" t="n">
        <v>0</v>
      </c>
    </row>
    <row r="9460">
      <c r="A9460" t="inlineStr">
        <is>
          <t>12월</t>
        </is>
      </c>
      <c r="B9460" t="inlineStr">
        <is>
          <t>52주차</t>
        </is>
      </c>
      <c r="C9460" t="e">
        <v>#N/A</v>
      </c>
      <c r="K9460" t="n">
        <v>0</v>
      </c>
      <c r="L9460" t="n">
        <v>0</v>
      </c>
      <c r="M9460" t="n">
        <v>0</v>
      </c>
    </row>
    <row r="9461">
      <c r="A9461" t="inlineStr">
        <is>
          <t>12월</t>
        </is>
      </c>
      <c r="B9461" t="inlineStr">
        <is>
          <t>52주차</t>
        </is>
      </c>
      <c r="C9461" t="e">
        <v>#N/A</v>
      </c>
      <c r="K9461" t="n">
        <v>0</v>
      </c>
      <c r="L9461" t="n">
        <v>0</v>
      </c>
      <c r="M9461" t="n">
        <v>0</v>
      </c>
    </row>
    <row r="9462">
      <c r="A9462" t="inlineStr">
        <is>
          <t>12월</t>
        </is>
      </c>
      <c r="B9462" t="inlineStr">
        <is>
          <t>52주차</t>
        </is>
      </c>
      <c r="C9462" t="e">
        <v>#N/A</v>
      </c>
      <c r="K9462" t="n">
        <v>0</v>
      </c>
      <c r="L9462" t="n">
        <v>0</v>
      </c>
      <c r="M9462" t="n">
        <v>0</v>
      </c>
    </row>
    <row r="9463">
      <c r="A9463" t="inlineStr">
        <is>
          <t>12월</t>
        </is>
      </c>
      <c r="B9463" t="inlineStr">
        <is>
          <t>52주차</t>
        </is>
      </c>
      <c r="C9463" t="e">
        <v>#N/A</v>
      </c>
      <c r="K9463" t="n">
        <v>0</v>
      </c>
      <c r="L9463" t="n">
        <v>0</v>
      </c>
      <c r="M9463" t="n">
        <v>0</v>
      </c>
    </row>
    <row r="9464">
      <c r="A9464" t="inlineStr">
        <is>
          <t>12월</t>
        </is>
      </c>
      <c r="B9464" t="inlineStr">
        <is>
          <t>52주차</t>
        </is>
      </c>
      <c r="C9464" t="e">
        <v>#N/A</v>
      </c>
      <c r="K9464" t="n">
        <v>0</v>
      </c>
      <c r="L9464" t="n">
        <v>0</v>
      </c>
      <c r="M9464" t="n">
        <v>0</v>
      </c>
    </row>
    <row r="9465">
      <c r="A9465" t="inlineStr">
        <is>
          <t>12월</t>
        </is>
      </c>
      <c r="B9465" t="inlineStr">
        <is>
          <t>52주차</t>
        </is>
      </c>
      <c r="C9465" t="e">
        <v>#N/A</v>
      </c>
      <c r="K9465" t="n">
        <v>0</v>
      </c>
      <c r="L9465" t="n">
        <v>0</v>
      </c>
      <c r="M9465" t="n">
        <v>0</v>
      </c>
    </row>
    <row r="9466">
      <c r="A9466" t="inlineStr">
        <is>
          <t>12월</t>
        </is>
      </c>
      <c r="B9466" t="inlineStr">
        <is>
          <t>52주차</t>
        </is>
      </c>
      <c r="C9466" t="e">
        <v>#N/A</v>
      </c>
      <c r="K9466" t="n">
        <v>0</v>
      </c>
      <c r="L9466" t="n">
        <v>0</v>
      </c>
      <c r="M9466" t="n">
        <v>0</v>
      </c>
    </row>
    <row r="9467">
      <c r="A9467" t="inlineStr">
        <is>
          <t>12월</t>
        </is>
      </c>
      <c r="B9467" t="inlineStr">
        <is>
          <t>52주차</t>
        </is>
      </c>
      <c r="C9467" t="e">
        <v>#N/A</v>
      </c>
      <c r="K9467" t="n">
        <v>0</v>
      </c>
      <c r="L9467" t="n">
        <v>0</v>
      </c>
      <c r="M9467" t="n">
        <v>0</v>
      </c>
    </row>
    <row r="9468">
      <c r="A9468" t="inlineStr">
        <is>
          <t>12월</t>
        </is>
      </c>
      <c r="B9468" t="inlineStr">
        <is>
          <t>52주차</t>
        </is>
      </c>
      <c r="C9468" t="e">
        <v>#N/A</v>
      </c>
      <c r="K9468" t="n">
        <v>0</v>
      </c>
      <c r="L9468" t="n">
        <v>0</v>
      </c>
      <c r="M9468" t="n">
        <v>0</v>
      </c>
    </row>
    <row r="9469">
      <c r="A9469" t="inlineStr">
        <is>
          <t>12월</t>
        </is>
      </c>
      <c r="B9469" t="inlineStr">
        <is>
          <t>52주차</t>
        </is>
      </c>
      <c r="C9469" t="e">
        <v>#N/A</v>
      </c>
      <c r="K9469" t="n">
        <v>0</v>
      </c>
      <c r="L9469" t="n">
        <v>0</v>
      </c>
      <c r="M9469" t="n">
        <v>0</v>
      </c>
    </row>
    <row r="9470">
      <c r="A9470" t="inlineStr">
        <is>
          <t>12월</t>
        </is>
      </c>
      <c r="B9470" t="inlineStr">
        <is>
          <t>52주차</t>
        </is>
      </c>
      <c r="C9470" t="e">
        <v>#N/A</v>
      </c>
      <c r="K9470" t="n">
        <v>0</v>
      </c>
      <c r="L9470" t="n">
        <v>0</v>
      </c>
      <c r="M9470" t="n">
        <v>0</v>
      </c>
    </row>
    <row r="9471">
      <c r="A9471" t="inlineStr">
        <is>
          <t>12월</t>
        </is>
      </c>
      <c r="B9471" t="inlineStr">
        <is>
          <t>52주차</t>
        </is>
      </c>
      <c r="C9471" t="e">
        <v>#N/A</v>
      </c>
      <c r="K9471" t="n">
        <v>0</v>
      </c>
      <c r="L9471" t="n">
        <v>0</v>
      </c>
      <c r="M9471" t="n">
        <v>0</v>
      </c>
    </row>
    <row r="9472">
      <c r="A9472" t="inlineStr">
        <is>
          <t>12월</t>
        </is>
      </c>
      <c r="B9472" t="inlineStr">
        <is>
          <t>52주차</t>
        </is>
      </c>
      <c r="C9472" t="e">
        <v>#N/A</v>
      </c>
      <c r="K9472" t="n">
        <v>0</v>
      </c>
      <c r="L9472" t="n">
        <v>0</v>
      </c>
      <c r="M9472" t="n">
        <v>0</v>
      </c>
    </row>
    <row r="9473">
      <c r="A9473" t="inlineStr">
        <is>
          <t>12월</t>
        </is>
      </c>
      <c r="B9473" t="inlineStr">
        <is>
          <t>52주차</t>
        </is>
      </c>
      <c r="C9473" t="e">
        <v>#N/A</v>
      </c>
      <c r="K9473" t="n">
        <v>0</v>
      </c>
      <c r="L9473" t="n">
        <v>0</v>
      </c>
      <c r="M9473" t="n">
        <v>0</v>
      </c>
    </row>
    <row r="9474">
      <c r="A9474" t="inlineStr">
        <is>
          <t>12월</t>
        </is>
      </c>
      <c r="B9474" t="inlineStr">
        <is>
          <t>52주차</t>
        </is>
      </c>
      <c r="C9474" t="e">
        <v>#N/A</v>
      </c>
      <c r="K9474" t="n">
        <v>0</v>
      </c>
      <c r="L9474" t="n">
        <v>0</v>
      </c>
      <c r="M9474" t="n">
        <v>0</v>
      </c>
    </row>
    <row r="9475">
      <c r="A9475" t="inlineStr">
        <is>
          <t>12월</t>
        </is>
      </c>
      <c r="B9475" t="inlineStr">
        <is>
          <t>52주차</t>
        </is>
      </c>
      <c r="C9475" t="e">
        <v>#N/A</v>
      </c>
      <c r="K9475" t="n">
        <v>0</v>
      </c>
      <c r="L9475" t="n">
        <v>0</v>
      </c>
      <c r="M9475" t="n">
        <v>0</v>
      </c>
    </row>
    <row r="9476">
      <c r="A9476" t="inlineStr">
        <is>
          <t>12월</t>
        </is>
      </c>
      <c r="B9476" t="inlineStr">
        <is>
          <t>52주차</t>
        </is>
      </c>
      <c r="C9476" t="e">
        <v>#N/A</v>
      </c>
      <c r="K9476" t="n">
        <v>0</v>
      </c>
      <c r="L9476" t="n">
        <v>0</v>
      </c>
      <c r="M9476" t="n">
        <v>0</v>
      </c>
    </row>
    <row r="9477">
      <c r="A9477" t="inlineStr">
        <is>
          <t>12월</t>
        </is>
      </c>
      <c r="B9477" t="inlineStr">
        <is>
          <t>52주차</t>
        </is>
      </c>
      <c r="C9477" t="e">
        <v>#N/A</v>
      </c>
      <c r="K9477" t="n">
        <v>0</v>
      </c>
      <c r="L9477" t="n">
        <v>0</v>
      </c>
      <c r="M9477" t="n">
        <v>0</v>
      </c>
    </row>
    <row r="9478">
      <c r="A9478" t="inlineStr">
        <is>
          <t>12월</t>
        </is>
      </c>
      <c r="B9478" t="inlineStr">
        <is>
          <t>52주차</t>
        </is>
      </c>
      <c r="C9478" t="e">
        <v>#N/A</v>
      </c>
      <c r="K9478" t="n">
        <v>0</v>
      </c>
      <c r="L9478" t="n">
        <v>0</v>
      </c>
      <c r="M9478" t="n">
        <v>0</v>
      </c>
    </row>
    <row r="9479">
      <c r="A9479" t="inlineStr">
        <is>
          <t>12월</t>
        </is>
      </c>
      <c r="B9479" t="inlineStr">
        <is>
          <t>52주차</t>
        </is>
      </c>
      <c r="C9479" t="e">
        <v>#N/A</v>
      </c>
      <c r="K9479" t="n">
        <v>0</v>
      </c>
      <c r="L9479" t="n">
        <v>0</v>
      </c>
      <c r="M9479" t="n">
        <v>0</v>
      </c>
    </row>
    <row r="9480">
      <c r="A9480" t="inlineStr">
        <is>
          <t>12월</t>
        </is>
      </c>
      <c r="B9480" t="inlineStr">
        <is>
          <t>52주차</t>
        </is>
      </c>
      <c r="C9480" t="e">
        <v>#N/A</v>
      </c>
      <c r="K9480" t="n">
        <v>0</v>
      </c>
      <c r="L9480" t="n">
        <v>0</v>
      </c>
      <c r="M9480" t="n">
        <v>0</v>
      </c>
    </row>
    <row r="9481">
      <c r="A9481" t="inlineStr">
        <is>
          <t>12월</t>
        </is>
      </c>
      <c r="B9481" t="inlineStr">
        <is>
          <t>52주차</t>
        </is>
      </c>
      <c r="C9481" t="e">
        <v>#N/A</v>
      </c>
      <c r="K9481" t="n">
        <v>0</v>
      </c>
      <c r="L9481" t="n">
        <v>0</v>
      </c>
      <c r="M9481" t="n">
        <v>0</v>
      </c>
    </row>
    <row r="9482">
      <c r="A9482" t="inlineStr">
        <is>
          <t>12월</t>
        </is>
      </c>
      <c r="B9482" t="inlineStr">
        <is>
          <t>52주차</t>
        </is>
      </c>
      <c r="C9482" t="e">
        <v>#N/A</v>
      </c>
      <c r="K9482" t="n">
        <v>0</v>
      </c>
      <c r="L9482" t="n">
        <v>0</v>
      </c>
      <c r="M9482" t="n">
        <v>0</v>
      </c>
    </row>
    <row r="9483">
      <c r="A9483" t="inlineStr">
        <is>
          <t>12월</t>
        </is>
      </c>
      <c r="B9483" t="inlineStr">
        <is>
          <t>52주차</t>
        </is>
      </c>
      <c r="C9483" t="e">
        <v>#N/A</v>
      </c>
      <c r="K9483" t="n">
        <v>0</v>
      </c>
      <c r="L9483" t="n">
        <v>0</v>
      </c>
      <c r="M9483" t="n">
        <v>0</v>
      </c>
    </row>
    <row r="9484">
      <c r="A9484" t="inlineStr">
        <is>
          <t>12월</t>
        </is>
      </c>
      <c r="B9484" t="inlineStr">
        <is>
          <t>52주차</t>
        </is>
      </c>
      <c r="C9484" t="e">
        <v>#N/A</v>
      </c>
      <c r="K9484" t="n">
        <v>0</v>
      </c>
      <c r="L9484" t="n">
        <v>0</v>
      </c>
      <c r="M9484" t="n">
        <v>0</v>
      </c>
    </row>
    <row r="9485">
      <c r="A9485" t="inlineStr">
        <is>
          <t>12월</t>
        </is>
      </c>
      <c r="B9485" t="inlineStr">
        <is>
          <t>52주차</t>
        </is>
      </c>
      <c r="C9485" t="e">
        <v>#N/A</v>
      </c>
      <c r="K9485" t="n">
        <v>0</v>
      </c>
      <c r="L9485" t="n">
        <v>0</v>
      </c>
      <c r="M9485" t="n">
        <v>0</v>
      </c>
    </row>
    <row r="9486">
      <c r="A9486" t="inlineStr">
        <is>
          <t>12월</t>
        </is>
      </c>
      <c r="B9486" t="inlineStr">
        <is>
          <t>52주차</t>
        </is>
      </c>
      <c r="C9486" t="e">
        <v>#N/A</v>
      </c>
      <c r="K9486" t="n">
        <v>0</v>
      </c>
      <c r="L9486" t="n">
        <v>0</v>
      </c>
      <c r="M9486" t="n">
        <v>0</v>
      </c>
    </row>
    <row r="9487">
      <c r="A9487" t="inlineStr">
        <is>
          <t>12월</t>
        </is>
      </c>
      <c r="B9487" t="inlineStr">
        <is>
          <t>52주차</t>
        </is>
      </c>
      <c r="C9487" t="e">
        <v>#N/A</v>
      </c>
      <c r="K9487" t="n">
        <v>0</v>
      </c>
      <c r="L9487" t="n">
        <v>0</v>
      </c>
      <c r="M9487" t="n">
        <v>0</v>
      </c>
    </row>
    <row r="9488">
      <c r="A9488" t="inlineStr">
        <is>
          <t>12월</t>
        </is>
      </c>
      <c r="B9488" t="inlineStr">
        <is>
          <t>52주차</t>
        </is>
      </c>
      <c r="C9488" t="e">
        <v>#N/A</v>
      </c>
      <c r="K9488" t="n">
        <v>0</v>
      </c>
      <c r="L9488" t="n">
        <v>0</v>
      </c>
      <c r="M9488" t="n">
        <v>0</v>
      </c>
    </row>
    <row r="9489">
      <c r="A9489" t="inlineStr">
        <is>
          <t>12월</t>
        </is>
      </c>
      <c r="B9489" t="inlineStr">
        <is>
          <t>52주차</t>
        </is>
      </c>
      <c r="C9489" t="e">
        <v>#N/A</v>
      </c>
      <c r="K9489" t="n">
        <v>0</v>
      </c>
      <c r="L9489" t="n">
        <v>0</v>
      </c>
      <c r="M9489" t="n">
        <v>0</v>
      </c>
    </row>
    <row r="9490">
      <c r="A9490" t="inlineStr">
        <is>
          <t>12월</t>
        </is>
      </c>
      <c r="B9490" t="inlineStr">
        <is>
          <t>52주차</t>
        </is>
      </c>
      <c r="C9490" t="e">
        <v>#N/A</v>
      </c>
      <c r="K9490" t="n">
        <v>0</v>
      </c>
      <c r="L9490" t="n">
        <v>0</v>
      </c>
      <c r="M9490" t="n">
        <v>0</v>
      </c>
    </row>
    <row r="9491">
      <c r="A9491" t="inlineStr">
        <is>
          <t>12월</t>
        </is>
      </c>
      <c r="B9491" t="inlineStr">
        <is>
          <t>52주차</t>
        </is>
      </c>
      <c r="C9491" t="e">
        <v>#N/A</v>
      </c>
      <c r="K9491" t="n">
        <v>0</v>
      </c>
      <c r="L9491" t="n">
        <v>0</v>
      </c>
      <c r="M9491" t="n">
        <v>0</v>
      </c>
    </row>
    <row r="9492">
      <c r="A9492" t="inlineStr">
        <is>
          <t>12월</t>
        </is>
      </c>
      <c r="B9492" t="inlineStr">
        <is>
          <t>52주차</t>
        </is>
      </c>
      <c r="C9492" t="e">
        <v>#N/A</v>
      </c>
      <c r="K9492" t="n">
        <v>0</v>
      </c>
      <c r="L9492" t="n">
        <v>0</v>
      </c>
      <c r="M9492" t="n">
        <v>0</v>
      </c>
    </row>
    <row r="9493">
      <c r="A9493" t="inlineStr">
        <is>
          <t>12월</t>
        </is>
      </c>
      <c r="B9493" t="inlineStr">
        <is>
          <t>52주차</t>
        </is>
      </c>
      <c r="C9493" t="e">
        <v>#N/A</v>
      </c>
      <c r="K9493" t="n">
        <v>0</v>
      </c>
      <c r="L9493" t="n">
        <v>0</v>
      </c>
      <c r="M9493" t="n">
        <v>0</v>
      </c>
    </row>
    <row r="9494">
      <c r="A9494" t="inlineStr">
        <is>
          <t>12월</t>
        </is>
      </c>
      <c r="B9494" t="inlineStr">
        <is>
          <t>52주차</t>
        </is>
      </c>
      <c r="C9494" t="e">
        <v>#N/A</v>
      </c>
      <c r="K9494" t="n">
        <v>0</v>
      </c>
      <c r="L9494" t="n">
        <v>0</v>
      </c>
      <c r="M9494" t="n">
        <v>0</v>
      </c>
    </row>
    <row r="9495">
      <c r="A9495" t="inlineStr">
        <is>
          <t>12월</t>
        </is>
      </c>
      <c r="B9495" t="inlineStr">
        <is>
          <t>52주차</t>
        </is>
      </c>
      <c r="C9495" t="e">
        <v>#N/A</v>
      </c>
      <c r="K9495" t="n">
        <v>0</v>
      </c>
      <c r="L9495" t="n">
        <v>0</v>
      </c>
      <c r="M9495" t="n">
        <v>0</v>
      </c>
    </row>
    <row r="9496">
      <c r="A9496" t="inlineStr">
        <is>
          <t>12월</t>
        </is>
      </c>
      <c r="B9496" t="inlineStr">
        <is>
          <t>52주차</t>
        </is>
      </c>
      <c r="C9496" t="e">
        <v>#N/A</v>
      </c>
      <c r="K9496" t="n">
        <v>0</v>
      </c>
      <c r="L9496" t="n">
        <v>0</v>
      </c>
      <c r="M9496" t="n">
        <v>0</v>
      </c>
    </row>
    <row r="9497">
      <c r="A9497" t="inlineStr">
        <is>
          <t>12월</t>
        </is>
      </c>
      <c r="B9497" t="inlineStr">
        <is>
          <t>52주차</t>
        </is>
      </c>
      <c r="C9497" t="e">
        <v>#N/A</v>
      </c>
      <c r="K9497" t="n">
        <v>0</v>
      </c>
      <c r="L9497" t="n">
        <v>0</v>
      </c>
      <c r="M9497" t="n">
        <v>0</v>
      </c>
    </row>
    <row r="9498">
      <c r="A9498" t="inlineStr">
        <is>
          <t>12월</t>
        </is>
      </c>
      <c r="B9498" t="inlineStr">
        <is>
          <t>52주차</t>
        </is>
      </c>
      <c r="C9498" t="e">
        <v>#N/A</v>
      </c>
      <c r="K9498" t="n">
        <v>0</v>
      </c>
      <c r="L9498" t="n">
        <v>0</v>
      </c>
      <c r="M9498" t="n">
        <v>0</v>
      </c>
    </row>
    <row r="9499">
      <c r="A9499" t="inlineStr">
        <is>
          <t>12월</t>
        </is>
      </c>
      <c r="B9499" t="inlineStr">
        <is>
          <t>52주차</t>
        </is>
      </c>
      <c r="C9499" t="e">
        <v>#N/A</v>
      </c>
      <c r="K9499" t="n">
        <v>0</v>
      </c>
      <c r="L9499" t="n">
        <v>0</v>
      </c>
      <c r="M9499" t="n">
        <v>0</v>
      </c>
    </row>
    <row r="9500">
      <c r="A9500" t="inlineStr">
        <is>
          <t>12월</t>
        </is>
      </c>
      <c r="B9500" t="inlineStr">
        <is>
          <t>52주차</t>
        </is>
      </c>
      <c r="C9500" t="e">
        <v>#N/A</v>
      </c>
      <c r="K9500" t="n">
        <v>0</v>
      </c>
      <c r="L9500" t="n">
        <v>0</v>
      </c>
      <c r="M9500" t="n">
        <v>0</v>
      </c>
    </row>
    <row r="9501">
      <c r="A9501" t="inlineStr">
        <is>
          <t>12월</t>
        </is>
      </c>
      <c r="B9501" t="inlineStr">
        <is>
          <t>52주차</t>
        </is>
      </c>
      <c r="C9501" t="e">
        <v>#N/A</v>
      </c>
      <c r="K9501" t="n">
        <v>0</v>
      </c>
      <c r="L9501" t="n">
        <v>0</v>
      </c>
      <c r="M9501" t="n">
        <v>0</v>
      </c>
    </row>
    <row r="9502">
      <c r="A9502" t="inlineStr">
        <is>
          <t>12월</t>
        </is>
      </c>
      <c r="B9502" t="inlineStr">
        <is>
          <t>52주차</t>
        </is>
      </c>
      <c r="C9502" t="e">
        <v>#N/A</v>
      </c>
      <c r="K9502" t="n">
        <v>0</v>
      </c>
      <c r="L9502" t="n">
        <v>0</v>
      </c>
      <c r="M9502" t="n">
        <v>0</v>
      </c>
    </row>
    <row r="9503">
      <c r="A9503" t="inlineStr">
        <is>
          <t>12월</t>
        </is>
      </c>
      <c r="B9503" t="inlineStr">
        <is>
          <t>52주차</t>
        </is>
      </c>
      <c r="C9503" t="e">
        <v>#N/A</v>
      </c>
      <c r="K9503" t="n">
        <v>0</v>
      </c>
      <c r="L9503" t="n">
        <v>0</v>
      </c>
      <c r="M9503" t="n">
        <v>0</v>
      </c>
    </row>
    <row r="9504">
      <c r="A9504" t="inlineStr">
        <is>
          <t>12월</t>
        </is>
      </c>
      <c r="B9504" t="inlineStr">
        <is>
          <t>52주차</t>
        </is>
      </c>
      <c r="C9504" t="e">
        <v>#N/A</v>
      </c>
      <c r="K9504" t="n">
        <v>0</v>
      </c>
      <c r="L9504" t="n">
        <v>0</v>
      </c>
      <c r="M9504" t="n">
        <v>0</v>
      </c>
    </row>
    <row r="9505">
      <c r="A9505" t="inlineStr">
        <is>
          <t>12월</t>
        </is>
      </c>
      <c r="B9505" t="inlineStr">
        <is>
          <t>52주차</t>
        </is>
      </c>
      <c r="C9505" t="e">
        <v>#N/A</v>
      </c>
      <c r="K9505" t="n">
        <v>0</v>
      </c>
      <c r="L9505" t="n">
        <v>0</v>
      </c>
      <c r="M9505" t="n">
        <v>0</v>
      </c>
    </row>
    <row r="9506">
      <c r="A9506" t="inlineStr">
        <is>
          <t>12월</t>
        </is>
      </c>
      <c r="B9506" t="inlineStr">
        <is>
          <t>52주차</t>
        </is>
      </c>
      <c r="C9506" t="e">
        <v>#N/A</v>
      </c>
      <c r="K9506" t="n">
        <v>0</v>
      </c>
      <c r="L9506" t="n">
        <v>0</v>
      </c>
      <c r="M9506" t="n">
        <v>0</v>
      </c>
    </row>
    <row r="9507">
      <c r="A9507" t="inlineStr">
        <is>
          <t>12월</t>
        </is>
      </c>
      <c r="B9507" t="inlineStr">
        <is>
          <t>52주차</t>
        </is>
      </c>
      <c r="C9507" t="e">
        <v>#N/A</v>
      </c>
      <c r="K9507" t="n">
        <v>0</v>
      </c>
      <c r="L9507" t="n">
        <v>0</v>
      </c>
      <c r="M9507" t="n">
        <v>0</v>
      </c>
    </row>
    <row r="9508">
      <c r="A9508" t="inlineStr">
        <is>
          <t>12월</t>
        </is>
      </c>
      <c r="B9508" t="inlineStr">
        <is>
          <t>52주차</t>
        </is>
      </c>
      <c r="C9508" t="e">
        <v>#N/A</v>
      </c>
      <c r="K9508" t="n">
        <v>0</v>
      </c>
      <c r="L9508" t="n">
        <v>0</v>
      </c>
      <c r="M9508" t="n">
        <v>0</v>
      </c>
    </row>
    <row r="9509">
      <c r="A9509" t="inlineStr">
        <is>
          <t>12월</t>
        </is>
      </c>
      <c r="B9509" t="inlineStr">
        <is>
          <t>52주차</t>
        </is>
      </c>
      <c r="C9509" t="e">
        <v>#N/A</v>
      </c>
      <c r="K9509" t="n">
        <v>0</v>
      </c>
      <c r="L9509" t="n">
        <v>0</v>
      </c>
      <c r="M9509" t="n">
        <v>0</v>
      </c>
    </row>
    <row r="9510">
      <c r="A9510" t="inlineStr">
        <is>
          <t>12월</t>
        </is>
      </c>
      <c r="B9510" t="inlineStr">
        <is>
          <t>52주차</t>
        </is>
      </c>
      <c r="C9510" t="e">
        <v>#N/A</v>
      </c>
      <c r="K9510" t="n">
        <v>0</v>
      </c>
      <c r="L9510" t="n">
        <v>0</v>
      </c>
      <c r="M9510" t="n">
        <v>0</v>
      </c>
    </row>
    <row r="9511">
      <c r="A9511" t="inlineStr">
        <is>
          <t>12월</t>
        </is>
      </c>
      <c r="B9511" t="inlineStr">
        <is>
          <t>52주차</t>
        </is>
      </c>
      <c r="C9511" t="e">
        <v>#N/A</v>
      </c>
      <c r="K9511" t="n">
        <v>0</v>
      </c>
      <c r="L9511" t="n">
        <v>0</v>
      </c>
      <c r="M9511" t="n">
        <v>0</v>
      </c>
    </row>
    <row r="9512">
      <c r="A9512" t="inlineStr">
        <is>
          <t>12월</t>
        </is>
      </c>
      <c r="B9512" t="inlineStr">
        <is>
          <t>52주차</t>
        </is>
      </c>
      <c r="C9512" t="e">
        <v>#N/A</v>
      </c>
      <c r="K9512" t="n">
        <v>0</v>
      </c>
      <c r="L9512" t="n">
        <v>0</v>
      </c>
      <c r="M9512" t="n">
        <v>0</v>
      </c>
    </row>
    <row r="9513">
      <c r="A9513" t="inlineStr">
        <is>
          <t>12월</t>
        </is>
      </c>
      <c r="B9513" t="inlineStr">
        <is>
          <t>52주차</t>
        </is>
      </c>
      <c r="C9513" t="e">
        <v>#N/A</v>
      </c>
      <c r="K9513" t="n">
        <v>0</v>
      </c>
      <c r="L9513" t="n">
        <v>0</v>
      </c>
      <c r="M9513" t="n">
        <v>0</v>
      </c>
    </row>
    <row r="9514">
      <c r="A9514" t="inlineStr">
        <is>
          <t>12월</t>
        </is>
      </c>
      <c r="B9514" t="inlineStr">
        <is>
          <t>52주차</t>
        </is>
      </c>
      <c r="C9514" t="e">
        <v>#N/A</v>
      </c>
      <c r="K9514" t="n">
        <v>0</v>
      </c>
      <c r="L9514" t="n">
        <v>0</v>
      </c>
      <c r="M9514" t="n">
        <v>0</v>
      </c>
    </row>
    <row r="9515">
      <c r="A9515" t="inlineStr">
        <is>
          <t>12월</t>
        </is>
      </c>
      <c r="B9515" t="inlineStr">
        <is>
          <t>52주차</t>
        </is>
      </c>
      <c r="C9515" t="e">
        <v>#N/A</v>
      </c>
      <c r="K9515" t="n">
        <v>0</v>
      </c>
      <c r="L9515" t="n">
        <v>0</v>
      </c>
      <c r="M9515" t="n">
        <v>0</v>
      </c>
    </row>
    <row r="9516">
      <c r="A9516" t="inlineStr">
        <is>
          <t>12월</t>
        </is>
      </c>
      <c r="B9516" t="inlineStr">
        <is>
          <t>52주차</t>
        </is>
      </c>
      <c r="C9516" t="e">
        <v>#N/A</v>
      </c>
      <c r="K9516" t="n">
        <v>0</v>
      </c>
      <c r="L9516" t="n">
        <v>0</v>
      </c>
      <c r="M9516" t="n">
        <v>0</v>
      </c>
    </row>
    <row r="9517">
      <c r="A9517" t="inlineStr">
        <is>
          <t>12월</t>
        </is>
      </c>
      <c r="B9517" t="inlineStr">
        <is>
          <t>52주차</t>
        </is>
      </c>
      <c r="C9517" t="e">
        <v>#N/A</v>
      </c>
      <c r="K9517" t="n">
        <v>0</v>
      </c>
      <c r="L9517" t="n">
        <v>0</v>
      </c>
      <c r="M9517" t="n">
        <v>0</v>
      </c>
    </row>
    <row r="9518">
      <c r="A9518" t="inlineStr">
        <is>
          <t>12월</t>
        </is>
      </c>
      <c r="B9518" t="inlineStr">
        <is>
          <t>52주차</t>
        </is>
      </c>
      <c r="C9518" t="e">
        <v>#N/A</v>
      </c>
      <c r="K9518" t="n">
        <v>0</v>
      </c>
      <c r="L9518" t="n">
        <v>0</v>
      </c>
      <c r="M9518" t="n">
        <v>0</v>
      </c>
    </row>
    <row r="9519">
      <c r="A9519" t="inlineStr">
        <is>
          <t>12월</t>
        </is>
      </c>
      <c r="B9519" t="inlineStr">
        <is>
          <t>52주차</t>
        </is>
      </c>
      <c r="C9519" t="e">
        <v>#N/A</v>
      </c>
      <c r="K9519" t="n">
        <v>0</v>
      </c>
      <c r="L9519" t="n">
        <v>0</v>
      </c>
      <c r="M9519" t="n">
        <v>0</v>
      </c>
    </row>
    <row r="9520">
      <c r="A9520" t="inlineStr">
        <is>
          <t>12월</t>
        </is>
      </c>
      <c r="B9520" t="inlineStr">
        <is>
          <t>52주차</t>
        </is>
      </c>
      <c r="C9520" t="e">
        <v>#N/A</v>
      </c>
      <c r="K9520" t="n">
        <v>0</v>
      </c>
      <c r="L9520" t="n">
        <v>0</v>
      </c>
      <c r="M9520" t="n">
        <v>0</v>
      </c>
    </row>
    <row r="9521">
      <c r="A9521" t="inlineStr">
        <is>
          <t>12월</t>
        </is>
      </c>
      <c r="B9521" t="inlineStr">
        <is>
          <t>52주차</t>
        </is>
      </c>
      <c r="C9521" t="e">
        <v>#N/A</v>
      </c>
      <c r="K9521" t="n">
        <v>0</v>
      </c>
      <c r="L9521" t="n">
        <v>0</v>
      </c>
      <c r="M9521" t="n">
        <v>0</v>
      </c>
    </row>
    <row r="9522">
      <c r="A9522" t="inlineStr">
        <is>
          <t>12월</t>
        </is>
      </c>
      <c r="B9522" t="inlineStr">
        <is>
          <t>52주차</t>
        </is>
      </c>
      <c r="C9522" t="e">
        <v>#N/A</v>
      </c>
      <c r="K9522" t="n">
        <v>0</v>
      </c>
      <c r="L9522" t="n">
        <v>0</v>
      </c>
      <c r="M9522" t="n">
        <v>0</v>
      </c>
    </row>
    <row r="9523">
      <c r="A9523" t="inlineStr">
        <is>
          <t>12월</t>
        </is>
      </c>
      <c r="B9523" t="inlineStr">
        <is>
          <t>52주차</t>
        </is>
      </c>
      <c r="C9523" t="e">
        <v>#N/A</v>
      </c>
      <c r="K9523" t="n">
        <v>0</v>
      </c>
      <c r="L9523" t="n">
        <v>0</v>
      </c>
      <c r="M9523" t="n">
        <v>0</v>
      </c>
    </row>
    <row r="9524">
      <c r="A9524" t="inlineStr">
        <is>
          <t>12월</t>
        </is>
      </c>
      <c r="B9524" t="inlineStr">
        <is>
          <t>52주차</t>
        </is>
      </c>
      <c r="C9524" t="e">
        <v>#N/A</v>
      </c>
      <c r="K9524" t="n">
        <v>0</v>
      </c>
      <c r="L9524" t="n">
        <v>0</v>
      </c>
      <c r="M9524" t="n">
        <v>0</v>
      </c>
    </row>
    <row r="9525">
      <c r="A9525" t="inlineStr">
        <is>
          <t>12월</t>
        </is>
      </c>
      <c r="B9525" t="inlineStr">
        <is>
          <t>52주차</t>
        </is>
      </c>
      <c r="C9525" t="e">
        <v>#N/A</v>
      </c>
      <c r="K9525" t="n">
        <v>0</v>
      </c>
      <c r="L9525" t="n">
        <v>0</v>
      </c>
      <c r="M9525" t="n">
        <v>0</v>
      </c>
    </row>
    <row r="9526">
      <c r="A9526" t="inlineStr">
        <is>
          <t>12월</t>
        </is>
      </c>
      <c r="B9526" t="inlineStr">
        <is>
          <t>52주차</t>
        </is>
      </c>
      <c r="C9526" t="e">
        <v>#N/A</v>
      </c>
      <c r="K9526" t="n">
        <v>0</v>
      </c>
      <c r="L9526" t="n">
        <v>0</v>
      </c>
      <c r="M9526" t="n">
        <v>0</v>
      </c>
    </row>
    <row r="9527">
      <c r="A9527" t="inlineStr">
        <is>
          <t>12월</t>
        </is>
      </c>
      <c r="B9527" t="inlineStr">
        <is>
          <t>52주차</t>
        </is>
      </c>
      <c r="C9527" t="e">
        <v>#N/A</v>
      </c>
      <c r="K9527" t="n">
        <v>0</v>
      </c>
      <c r="L9527" t="n">
        <v>0</v>
      </c>
      <c r="M9527" t="n">
        <v>0</v>
      </c>
    </row>
    <row r="9528">
      <c r="A9528" t="inlineStr">
        <is>
          <t>12월</t>
        </is>
      </c>
      <c r="B9528" t="inlineStr">
        <is>
          <t>52주차</t>
        </is>
      </c>
      <c r="C9528" t="e">
        <v>#N/A</v>
      </c>
      <c r="K9528" t="n">
        <v>0</v>
      </c>
      <c r="L9528" t="n">
        <v>0</v>
      </c>
      <c r="M9528" t="n">
        <v>0</v>
      </c>
    </row>
    <row r="9529">
      <c r="A9529" t="inlineStr">
        <is>
          <t>12월</t>
        </is>
      </c>
      <c r="B9529" t="inlineStr">
        <is>
          <t>52주차</t>
        </is>
      </c>
      <c r="C9529" t="e">
        <v>#N/A</v>
      </c>
      <c r="K9529" t="n">
        <v>0</v>
      </c>
      <c r="L9529" t="n">
        <v>0</v>
      </c>
      <c r="M9529" t="n">
        <v>0</v>
      </c>
    </row>
    <row r="9530">
      <c r="A9530" t="inlineStr">
        <is>
          <t>12월</t>
        </is>
      </c>
      <c r="B9530" t="inlineStr">
        <is>
          <t>52주차</t>
        </is>
      </c>
      <c r="C9530" t="e">
        <v>#N/A</v>
      </c>
      <c r="K9530" t="n">
        <v>0</v>
      </c>
      <c r="L9530" t="n">
        <v>0</v>
      </c>
      <c r="M9530" t="n">
        <v>0</v>
      </c>
    </row>
    <row r="9531">
      <c r="A9531" t="inlineStr">
        <is>
          <t>12월</t>
        </is>
      </c>
      <c r="B9531" t="inlineStr">
        <is>
          <t>52주차</t>
        </is>
      </c>
      <c r="C9531" t="e">
        <v>#N/A</v>
      </c>
      <c r="K9531" t="n">
        <v>0</v>
      </c>
      <c r="L9531" t="n">
        <v>0</v>
      </c>
      <c r="M9531" t="n">
        <v>0</v>
      </c>
    </row>
    <row r="9532">
      <c r="A9532" t="inlineStr">
        <is>
          <t>12월</t>
        </is>
      </c>
      <c r="B9532" t="inlineStr">
        <is>
          <t>52주차</t>
        </is>
      </c>
      <c r="C9532" t="e">
        <v>#N/A</v>
      </c>
      <c r="K9532" t="n">
        <v>0</v>
      </c>
      <c r="L9532" t="n">
        <v>0</v>
      </c>
      <c r="M9532" t="n">
        <v>0</v>
      </c>
    </row>
    <row r="9533">
      <c r="A9533" t="inlineStr">
        <is>
          <t>12월</t>
        </is>
      </c>
      <c r="B9533" t="inlineStr">
        <is>
          <t>52주차</t>
        </is>
      </c>
      <c r="C9533" t="e">
        <v>#N/A</v>
      </c>
      <c r="K9533" t="n">
        <v>0</v>
      </c>
      <c r="L9533" t="n">
        <v>0</v>
      </c>
      <c r="M9533" t="n">
        <v>0</v>
      </c>
    </row>
    <row r="9534">
      <c r="A9534" t="inlineStr">
        <is>
          <t>12월</t>
        </is>
      </c>
      <c r="B9534" t="inlineStr">
        <is>
          <t>52주차</t>
        </is>
      </c>
      <c r="C9534" t="e">
        <v>#N/A</v>
      </c>
      <c r="K9534" t="n">
        <v>0</v>
      </c>
      <c r="L9534" t="n">
        <v>0</v>
      </c>
      <c r="M9534" t="n">
        <v>0</v>
      </c>
    </row>
    <row r="9535">
      <c r="A9535" t="inlineStr">
        <is>
          <t>12월</t>
        </is>
      </c>
      <c r="B9535" t="inlineStr">
        <is>
          <t>52주차</t>
        </is>
      </c>
      <c r="C9535" t="e">
        <v>#N/A</v>
      </c>
      <c r="K9535" t="n">
        <v>0</v>
      </c>
      <c r="L9535" t="n">
        <v>0</v>
      </c>
      <c r="M9535" t="n">
        <v>0</v>
      </c>
    </row>
    <row r="9536">
      <c r="A9536" t="inlineStr">
        <is>
          <t>12월</t>
        </is>
      </c>
      <c r="B9536" t="inlineStr">
        <is>
          <t>52주차</t>
        </is>
      </c>
      <c r="C9536" t="e">
        <v>#N/A</v>
      </c>
      <c r="K9536" t="n">
        <v>0</v>
      </c>
      <c r="L9536" t="n">
        <v>0</v>
      </c>
      <c r="M9536" t="n">
        <v>0</v>
      </c>
    </row>
    <row r="9537">
      <c r="A9537" t="inlineStr">
        <is>
          <t>12월</t>
        </is>
      </c>
      <c r="B9537" t="inlineStr">
        <is>
          <t>52주차</t>
        </is>
      </c>
      <c r="C9537" t="e">
        <v>#N/A</v>
      </c>
      <c r="K9537" t="n">
        <v>0</v>
      </c>
      <c r="L9537" t="n">
        <v>0</v>
      </c>
      <c r="M9537" t="n">
        <v>0</v>
      </c>
    </row>
    <row r="9538">
      <c r="A9538" t="inlineStr">
        <is>
          <t>12월</t>
        </is>
      </c>
      <c r="B9538" t="inlineStr">
        <is>
          <t>52주차</t>
        </is>
      </c>
      <c r="C9538" t="e">
        <v>#N/A</v>
      </c>
      <c r="K9538" t="n">
        <v>0</v>
      </c>
      <c r="L9538" t="n">
        <v>0</v>
      </c>
      <c r="M9538" t="n">
        <v>0</v>
      </c>
    </row>
    <row r="9539">
      <c r="A9539" t="inlineStr">
        <is>
          <t>12월</t>
        </is>
      </c>
      <c r="B9539" t="inlineStr">
        <is>
          <t>52주차</t>
        </is>
      </c>
      <c r="C9539" t="e">
        <v>#N/A</v>
      </c>
      <c r="K9539" t="n">
        <v>0</v>
      </c>
      <c r="L9539" t="n">
        <v>0</v>
      </c>
      <c r="M9539" t="n">
        <v>0</v>
      </c>
    </row>
    <row r="9540">
      <c r="A9540" t="inlineStr">
        <is>
          <t>12월</t>
        </is>
      </c>
      <c r="B9540" t="inlineStr">
        <is>
          <t>52주차</t>
        </is>
      </c>
      <c r="C9540" t="e">
        <v>#N/A</v>
      </c>
      <c r="K9540" t="n">
        <v>0</v>
      </c>
      <c r="L9540" t="n">
        <v>0</v>
      </c>
      <c r="M9540" t="n">
        <v>0</v>
      </c>
    </row>
    <row r="9541">
      <c r="A9541" t="inlineStr">
        <is>
          <t>12월</t>
        </is>
      </c>
      <c r="B9541" t="inlineStr">
        <is>
          <t>52주차</t>
        </is>
      </c>
      <c r="C9541" t="e">
        <v>#N/A</v>
      </c>
      <c r="K9541" t="n">
        <v>0</v>
      </c>
      <c r="L9541" t="n">
        <v>0</v>
      </c>
      <c r="M9541" t="n">
        <v>0</v>
      </c>
    </row>
    <row r="9542">
      <c r="A9542" t="inlineStr">
        <is>
          <t>12월</t>
        </is>
      </c>
      <c r="B9542" t="inlineStr">
        <is>
          <t>52주차</t>
        </is>
      </c>
      <c r="C9542" t="e">
        <v>#N/A</v>
      </c>
      <c r="K9542" t="n">
        <v>0</v>
      </c>
      <c r="L9542" t="n">
        <v>0</v>
      </c>
      <c r="M9542" t="n">
        <v>0</v>
      </c>
    </row>
    <row r="9543">
      <c r="A9543" t="inlineStr">
        <is>
          <t>12월</t>
        </is>
      </c>
      <c r="B9543" t="inlineStr">
        <is>
          <t>52주차</t>
        </is>
      </c>
      <c r="C9543" t="e">
        <v>#N/A</v>
      </c>
      <c r="K9543" t="n">
        <v>0</v>
      </c>
      <c r="L9543" t="n">
        <v>0</v>
      </c>
      <c r="M9543" t="n">
        <v>0</v>
      </c>
    </row>
    <row r="9544">
      <c r="A9544" t="inlineStr">
        <is>
          <t>12월</t>
        </is>
      </c>
      <c r="B9544" t="inlineStr">
        <is>
          <t>52주차</t>
        </is>
      </c>
      <c r="C9544" t="e">
        <v>#N/A</v>
      </c>
      <c r="K9544" t="n">
        <v>0</v>
      </c>
      <c r="L9544" t="n">
        <v>0</v>
      </c>
      <c r="M9544" t="n">
        <v>0</v>
      </c>
    </row>
    <row r="9545">
      <c r="A9545" t="inlineStr">
        <is>
          <t>12월</t>
        </is>
      </c>
      <c r="B9545" t="inlineStr">
        <is>
          <t>52주차</t>
        </is>
      </c>
      <c r="C9545" t="e">
        <v>#N/A</v>
      </c>
      <c r="K9545" t="n">
        <v>0</v>
      </c>
      <c r="L9545" t="n">
        <v>0</v>
      </c>
      <c r="M9545" t="n">
        <v>0</v>
      </c>
    </row>
    <row r="9546">
      <c r="A9546" t="inlineStr">
        <is>
          <t>12월</t>
        </is>
      </c>
      <c r="B9546" t="inlineStr">
        <is>
          <t>52주차</t>
        </is>
      </c>
      <c r="C9546" t="e">
        <v>#N/A</v>
      </c>
      <c r="K9546" t="n">
        <v>0</v>
      </c>
      <c r="L9546" t="n">
        <v>0</v>
      </c>
      <c r="M9546" t="n">
        <v>0</v>
      </c>
    </row>
    <row r="9547">
      <c r="A9547" t="inlineStr">
        <is>
          <t>12월</t>
        </is>
      </c>
      <c r="B9547" t="inlineStr">
        <is>
          <t>52주차</t>
        </is>
      </c>
      <c r="C9547" t="e">
        <v>#N/A</v>
      </c>
      <c r="K9547" t="n">
        <v>0</v>
      </c>
      <c r="L9547" t="n">
        <v>0</v>
      </c>
      <c r="M9547" t="n">
        <v>0</v>
      </c>
    </row>
    <row r="9548">
      <c r="A9548" t="inlineStr">
        <is>
          <t>12월</t>
        </is>
      </c>
      <c r="B9548" t="inlineStr">
        <is>
          <t>52주차</t>
        </is>
      </c>
      <c r="C9548" t="e">
        <v>#N/A</v>
      </c>
      <c r="K9548" t="n">
        <v>0</v>
      </c>
      <c r="L9548" t="n">
        <v>0</v>
      </c>
      <c r="M9548" t="n">
        <v>0</v>
      </c>
    </row>
    <row r="9549">
      <c r="A9549" t="inlineStr">
        <is>
          <t>12월</t>
        </is>
      </c>
      <c r="B9549" t="inlineStr">
        <is>
          <t>52주차</t>
        </is>
      </c>
      <c r="C9549" t="e">
        <v>#N/A</v>
      </c>
      <c r="K9549" t="n">
        <v>0</v>
      </c>
      <c r="L9549" t="n">
        <v>0</v>
      </c>
      <c r="M9549" t="n">
        <v>0</v>
      </c>
    </row>
    <row r="9550">
      <c r="A9550" t="inlineStr">
        <is>
          <t>12월</t>
        </is>
      </c>
      <c r="B9550" t="inlineStr">
        <is>
          <t>52주차</t>
        </is>
      </c>
      <c r="C9550" t="e">
        <v>#N/A</v>
      </c>
      <c r="K9550" t="n">
        <v>0</v>
      </c>
      <c r="L9550" t="n">
        <v>0</v>
      </c>
      <c r="M9550" t="n">
        <v>0</v>
      </c>
    </row>
    <row r="9551">
      <c r="A9551" t="inlineStr">
        <is>
          <t>12월</t>
        </is>
      </c>
      <c r="B9551" t="inlineStr">
        <is>
          <t>52주차</t>
        </is>
      </c>
      <c r="C9551" t="e">
        <v>#N/A</v>
      </c>
      <c r="K9551" t="n">
        <v>0</v>
      </c>
      <c r="L9551" t="n">
        <v>0</v>
      </c>
      <c r="M9551" t="n">
        <v>0</v>
      </c>
    </row>
    <row r="9552">
      <c r="A9552" t="inlineStr">
        <is>
          <t>12월</t>
        </is>
      </c>
      <c r="B9552" t="inlineStr">
        <is>
          <t>52주차</t>
        </is>
      </c>
      <c r="C9552" t="e">
        <v>#N/A</v>
      </c>
      <c r="K9552" t="n">
        <v>0</v>
      </c>
      <c r="L9552" t="n">
        <v>0</v>
      </c>
      <c r="M9552" t="n">
        <v>0</v>
      </c>
    </row>
    <row r="9553">
      <c r="A9553" t="inlineStr">
        <is>
          <t>12월</t>
        </is>
      </c>
      <c r="B9553" t="inlineStr">
        <is>
          <t>52주차</t>
        </is>
      </c>
      <c r="C9553" t="e">
        <v>#N/A</v>
      </c>
      <c r="K9553" t="n">
        <v>0</v>
      </c>
      <c r="L9553" t="n">
        <v>0</v>
      </c>
      <c r="M9553" t="n">
        <v>0</v>
      </c>
    </row>
    <row r="9554">
      <c r="A9554" t="inlineStr">
        <is>
          <t>12월</t>
        </is>
      </c>
      <c r="B9554" t="inlineStr">
        <is>
          <t>52주차</t>
        </is>
      </c>
      <c r="C9554" t="e">
        <v>#N/A</v>
      </c>
      <c r="K9554" t="n">
        <v>0</v>
      </c>
      <c r="L9554" t="n">
        <v>0</v>
      </c>
      <c r="M9554" t="n">
        <v>0</v>
      </c>
    </row>
    <row r="9555">
      <c r="A9555" t="inlineStr">
        <is>
          <t>12월</t>
        </is>
      </c>
      <c r="B9555" t="inlineStr">
        <is>
          <t>52주차</t>
        </is>
      </c>
      <c r="C9555" t="e">
        <v>#N/A</v>
      </c>
      <c r="K9555" t="n">
        <v>0</v>
      </c>
      <c r="L9555" t="n">
        <v>0</v>
      </c>
      <c r="M9555" t="n">
        <v>0</v>
      </c>
    </row>
    <row r="9556">
      <c r="A9556" t="inlineStr">
        <is>
          <t>12월</t>
        </is>
      </c>
      <c r="B9556" t="inlineStr">
        <is>
          <t>52주차</t>
        </is>
      </c>
      <c r="C9556" t="e">
        <v>#N/A</v>
      </c>
      <c r="K9556" t="n">
        <v>0</v>
      </c>
      <c r="L9556" t="n">
        <v>0</v>
      </c>
      <c r="M9556" t="n">
        <v>0</v>
      </c>
    </row>
    <row r="9557">
      <c r="A9557" t="inlineStr">
        <is>
          <t>12월</t>
        </is>
      </c>
      <c r="B9557" t="inlineStr">
        <is>
          <t>52주차</t>
        </is>
      </c>
      <c r="C9557" t="e">
        <v>#N/A</v>
      </c>
      <c r="K9557" t="n">
        <v>0</v>
      </c>
      <c r="L9557" t="n">
        <v>0</v>
      </c>
      <c r="M9557" t="n">
        <v>0</v>
      </c>
    </row>
    <row r="9558">
      <c r="A9558" t="inlineStr">
        <is>
          <t>12월</t>
        </is>
      </c>
      <c r="B9558" t="inlineStr">
        <is>
          <t>52주차</t>
        </is>
      </c>
      <c r="C9558" t="e">
        <v>#N/A</v>
      </c>
      <c r="K9558" t="n">
        <v>0</v>
      </c>
      <c r="L9558" t="n">
        <v>0</v>
      </c>
      <c r="M9558" t="n">
        <v>0</v>
      </c>
    </row>
    <row r="9559">
      <c r="A9559" t="inlineStr">
        <is>
          <t>12월</t>
        </is>
      </c>
      <c r="B9559" t="inlineStr">
        <is>
          <t>52주차</t>
        </is>
      </c>
      <c r="C9559" t="e">
        <v>#N/A</v>
      </c>
      <c r="K9559" t="n">
        <v>0</v>
      </c>
      <c r="L9559" t="n">
        <v>0</v>
      </c>
      <c r="M9559" t="n">
        <v>0</v>
      </c>
    </row>
    <row r="9560">
      <c r="A9560" t="inlineStr">
        <is>
          <t>12월</t>
        </is>
      </c>
      <c r="B9560" t="inlineStr">
        <is>
          <t>52주차</t>
        </is>
      </c>
      <c r="C9560" t="e">
        <v>#N/A</v>
      </c>
      <c r="K9560" t="n">
        <v>0</v>
      </c>
      <c r="L9560" t="n">
        <v>0</v>
      </c>
      <c r="M9560" t="n">
        <v>0</v>
      </c>
    </row>
    <row r="9561">
      <c r="A9561" t="inlineStr">
        <is>
          <t>12월</t>
        </is>
      </c>
      <c r="B9561" t="inlineStr">
        <is>
          <t>52주차</t>
        </is>
      </c>
      <c r="C9561" t="e">
        <v>#N/A</v>
      </c>
      <c r="K9561" t="n">
        <v>0</v>
      </c>
      <c r="L9561" t="n">
        <v>0</v>
      </c>
      <c r="M9561" t="n">
        <v>0</v>
      </c>
    </row>
    <row r="9562">
      <c r="A9562" t="inlineStr">
        <is>
          <t>12월</t>
        </is>
      </c>
      <c r="B9562" t="inlineStr">
        <is>
          <t>52주차</t>
        </is>
      </c>
      <c r="C9562" t="e">
        <v>#N/A</v>
      </c>
      <c r="K9562" t="n">
        <v>0</v>
      </c>
      <c r="L9562" t="n">
        <v>0</v>
      </c>
      <c r="M9562" t="n">
        <v>0</v>
      </c>
    </row>
    <row r="9563">
      <c r="A9563" t="inlineStr">
        <is>
          <t>12월</t>
        </is>
      </c>
      <c r="B9563" t="inlineStr">
        <is>
          <t>52주차</t>
        </is>
      </c>
      <c r="C9563" t="e">
        <v>#N/A</v>
      </c>
      <c r="K9563" t="n">
        <v>0</v>
      </c>
      <c r="L9563" t="n">
        <v>0</v>
      </c>
      <c r="M9563" t="n">
        <v>0</v>
      </c>
    </row>
    <row r="9564">
      <c r="A9564" t="inlineStr">
        <is>
          <t>12월</t>
        </is>
      </c>
      <c r="B9564" t="inlineStr">
        <is>
          <t>52주차</t>
        </is>
      </c>
      <c r="C9564" t="e">
        <v>#N/A</v>
      </c>
      <c r="K9564" t="n">
        <v>0</v>
      </c>
      <c r="L9564" t="n">
        <v>0</v>
      </c>
      <c r="M9564" t="n">
        <v>0</v>
      </c>
    </row>
    <row r="9565">
      <c r="A9565" t="inlineStr">
        <is>
          <t>12월</t>
        </is>
      </c>
      <c r="B9565" t="inlineStr">
        <is>
          <t>52주차</t>
        </is>
      </c>
      <c r="C9565" t="e">
        <v>#N/A</v>
      </c>
      <c r="K9565" t="n">
        <v>0</v>
      </c>
      <c r="L9565" t="n">
        <v>0</v>
      </c>
      <c r="M9565" t="n">
        <v>0</v>
      </c>
    </row>
    <row r="9566">
      <c r="A9566" t="inlineStr">
        <is>
          <t>12월</t>
        </is>
      </c>
      <c r="B9566" t="inlineStr">
        <is>
          <t>52주차</t>
        </is>
      </c>
      <c r="C9566" t="e">
        <v>#N/A</v>
      </c>
      <c r="K9566" t="n">
        <v>0</v>
      </c>
      <c r="L9566" t="n">
        <v>0</v>
      </c>
      <c r="M9566" t="n">
        <v>0</v>
      </c>
    </row>
    <row r="9567">
      <c r="A9567" t="inlineStr">
        <is>
          <t>12월</t>
        </is>
      </c>
      <c r="B9567" t="inlineStr">
        <is>
          <t>52주차</t>
        </is>
      </c>
      <c r="C9567" t="e">
        <v>#N/A</v>
      </c>
      <c r="K9567" t="n">
        <v>0</v>
      </c>
      <c r="L9567" t="n">
        <v>0</v>
      </c>
      <c r="M9567" t="n">
        <v>0</v>
      </c>
    </row>
    <row r="9568">
      <c r="A9568" t="inlineStr">
        <is>
          <t>12월</t>
        </is>
      </c>
      <c r="B9568" t="inlineStr">
        <is>
          <t>52주차</t>
        </is>
      </c>
      <c r="C9568" t="e">
        <v>#N/A</v>
      </c>
      <c r="K9568" t="n">
        <v>0</v>
      </c>
      <c r="L9568" t="n">
        <v>0</v>
      </c>
      <c r="M9568" t="n">
        <v>0</v>
      </c>
    </row>
    <row r="9569">
      <c r="A9569" t="inlineStr">
        <is>
          <t>12월</t>
        </is>
      </c>
      <c r="B9569" t="inlineStr">
        <is>
          <t>52주차</t>
        </is>
      </c>
      <c r="C9569" t="e">
        <v>#N/A</v>
      </c>
      <c r="K9569" t="n">
        <v>0</v>
      </c>
      <c r="L9569" t="n">
        <v>0</v>
      </c>
      <c r="M9569" t="n">
        <v>0</v>
      </c>
    </row>
    <row r="9570">
      <c r="A9570" t="inlineStr">
        <is>
          <t>12월</t>
        </is>
      </c>
      <c r="B9570" t="inlineStr">
        <is>
          <t>52주차</t>
        </is>
      </c>
      <c r="C9570" t="e">
        <v>#N/A</v>
      </c>
      <c r="K9570" t="n">
        <v>0</v>
      </c>
      <c r="L9570" t="n">
        <v>0</v>
      </c>
      <c r="M9570" t="n">
        <v>0</v>
      </c>
    </row>
    <row r="9571">
      <c r="A9571" t="inlineStr">
        <is>
          <t>12월</t>
        </is>
      </c>
      <c r="B9571" t="inlineStr">
        <is>
          <t>52주차</t>
        </is>
      </c>
      <c r="C9571" t="e">
        <v>#N/A</v>
      </c>
      <c r="K9571" t="n">
        <v>0</v>
      </c>
      <c r="L9571" t="n">
        <v>0</v>
      </c>
      <c r="M9571" t="n">
        <v>0</v>
      </c>
    </row>
    <row r="9572">
      <c r="A9572" t="inlineStr">
        <is>
          <t>12월</t>
        </is>
      </c>
      <c r="B9572" t="inlineStr">
        <is>
          <t>52주차</t>
        </is>
      </c>
      <c r="C9572" t="e">
        <v>#N/A</v>
      </c>
      <c r="K9572" t="n">
        <v>0</v>
      </c>
      <c r="L9572" t="n">
        <v>0</v>
      </c>
      <c r="M9572" t="n">
        <v>0</v>
      </c>
    </row>
    <row r="9573">
      <c r="A9573" t="inlineStr">
        <is>
          <t>12월</t>
        </is>
      </c>
      <c r="B9573" t="inlineStr">
        <is>
          <t>52주차</t>
        </is>
      </c>
      <c r="C9573" t="e">
        <v>#N/A</v>
      </c>
      <c r="K9573" t="n">
        <v>0</v>
      </c>
      <c r="L9573" t="n">
        <v>0</v>
      </c>
      <c r="M9573" t="n">
        <v>0</v>
      </c>
    </row>
    <row r="9574">
      <c r="A9574" t="inlineStr">
        <is>
          <t>12월</t>
        </is>
      </c>
      <c r="B9574" t="inlineStr">
        <is>
          <t>52주차</t>
        </is>
      </c>
      <c r="C9574" t="e">
        <v>#N/A</v>
      </c>
      <c r="K9574" t="n">
        <v>0</v>
      </c>
      <c r="L9574" t="n">
        <v>0</v>
      </c>
      <c r="M9574" t="n">
        <v>0</v>
      </c>
    </row>
    <row r="9575">
      <c r="A9575" t="inlineStr">
        <is>
          <t>12월</t>
        </is>
      </c>
      <c r="B9575" t="inlineStr">
        <is>
          <t>52주차</t>
        </is>
      </c>
      <c r="C9575" t="e">
        <v>#N/A</v>
      </c>
      <c r="K9575" t="n">
        <v>0</v>
      </c>
      <c r="L9575" t="n">
        <v>0</v>
      </c>
      <c r="M9575" t="n">
        <v>0</v>
      </c>
    </row>
    <row r="9576">
      <c r="A9576" t="inlineStr">
        <is>
          <t>12월</t>
        </is>
      </c>
      <c r="B9576" t="inlineStr">
        <is>
          <t>52주차</t>
        </is>
      </c>
      <c r="C9576" t="e">
        <v>#N/A</v>
      </c>
      <c r="K9576" t="n">
        <v>0</v>
      </c>
      <c r="L9576" t="n">
        <v>0</v>
      </c>
      <c r="M9576" t="n">
        <v>0</v>
      </c>
    </row>
    <row r="9577">
      <c r="A9577" t="inlineStr">
        <is>
          <t>12월</t>
        </is>
      </c>
      <c r="B9577" t="inlineStr">
        <is>
          <t>52주차</t>
        </is>
      </c>
      <c r="C9577" t="e">
        <v>#N/A</v>
      </c>
      <c r="K9577" t="n">
        <v>0</v>
      </c>
      <c r="L9577" t="n">
        <v>0</v>
      </c>
      <c r="M9577" t="n">
        <v>0</v>
      </c>
    </row>
    <row r="9578">
      <c r="A9578" t="inlineStr">
        <is>
          <t>12월</t>
        </is>
      </c>
      <c r="B9578" t="inlineStr">
        <is>
          <t>52주차</t>
        </is>
      </c>
      <c r="C9578" t="e">
        <v>#N/A</v>
      </c>
      <c r="K9578" t="n">
        <v>0</v>
      </c>
      <c r="L9578" t="n">
        <v>0</v>
      </c>
      <c r="M9578" t="n">
        <v>0</v>
      </c>
    </row>
    <row r="9579">
      <c r="A9579" t="inlineStr">
        <is>
          <t>12월</t>
        </is>
      </c>
      <c r="B9579" t="inlineStr">
        <is>
          <t>52주차</t>
        </is>
      </c>
      <c r="C9579" t="e">
        <v>#N/A</v>
      </c>
      <c r="K9579" t="n">
        <v>0</v>
      </c>
      <c r="L9579" t="n">
        <v>0</v>
      </c>
      <c r="M9579" t="n">
        <v>0</v>
      </c>
    </row>
    <row r="9580">
      <c r="A9580" t="inlineStr">
        <is>
          <t>12월</t>
        </is>
      </c>
      <c r="B9580" t="inlineStr">
        <is>
          <t>52주차</t>
        </is>
      </c>
      <c r="C9580" t="e">
        <v>#N/A</v>
      </c>
      <c r="K9580" t="n">
        <v>0</v>
      </c>
      <c r="L9580" t="n">
        <v>0</v>
      </c>
      <c r="M9580" t="n">
        <v>0</v>
      </c>
    </row>
    <row r="9581">
      <c r="A9581" t="inlineStr">
        <is>
          <t>12월</t>
        </is>
      </c>
      <c r="B9581" t="inlineStr">
        <is>
          <t>52주차</t>
        </is>
      </c>
      <c r="C9581" t="e">
        <v>#N/A</v>
      </c>
      <c r="K9581" t="n">
        <v>0</v>
      </c>
      <c r="L9581" t="n">
        <v>0</v>
      </c>
      <c r="M9581" t="n">
        <v>0</v>
      </c>
    </row>
    <row r="9582">
      <c r="A9582" t="inlineStr">
        <is>
          <t>12월</t>
        </is>
      </c>
      <c r="B9582" t="inlineStr">
        <is>
          <t>52주차</t>
        </is>
      </c>
      <c r="C9582" t="e">
        <v>#N/A</v>
      </c>
      <c r="K9582" t="n">
        <v>0</v>
      </c>
      <c r="L9582" t="n">
        <v>0</v>
      </c>
      <c r="M9582" t="n">
        <v>0</v>
      </c>
    </row>
    <row r="9583">
      <c r="A9583" t="inlineStr">
        <is>
          <t>12월</t>
        </is>
      </c>
      <c r="B9583" t="inlineStr">
        <is>
          <t>52주차</t>
        </is>
      </c>
      <c r="C9583" t="e">
        <v>#N/A</v>
      </c>
      <c r="K9583" t="n">
        <v>0</v>
      </c>
      <c r="L9583" t="n">
        <v>0</v>
      </c>
      <c r="M9583" t="n">
        <v>0</v>
      </c>
    </row>
    <row r="9584">
      <c r="A9584" t="inlineStr">
        <is>
          <t>12월</t>
        </is>
      </c>
      <c r="B9584" t="inlineStr">
        <is>
          <t>52주차</t>
        </is>
      </c>
      <c r="C9584" t="e">
        <v>#N/A</v>
      </c>
      <c r="K9584" t="n">
        <v>0</v>
      </c>
      <c r="L9584" t="n">
        <v>0</v>
      </c>
      <c r="M9584" t="n">
        <v>0</v>
      </c>
    </row>
    <row r="9585">
      <c r="A9585" t="inlineStr">
        <is>
          <t>12월</t>
        </is>
      </c>
      <c r="B9585" t="inlineStr">
        <is>
          <t>52주차</t>
        </is>
      </c>
      <c r="C9585" t="e">
        <v>#N/A</v>
      </c>
      <c r="K9585" t="n">
        <v>0</v>
      </c>
      <c r="L9585" t="n">
        <v>0</v>
      </c>
      <c r="M9585" t="n">
        <v>0</v>
      </c>
    </row>
    <row r="9586">
      <c r="A9586" t="inlineStr">
        <is>
          <t>12월</t>
        </is>
      </c>
      <c r="B9586" t="inlineStr">
        <is>
          <t>52주차</t>
        </is>
      </c>
      <c r="C9586" t="e">
        <v>#N/A</v>
      </c>
      <c r="K9586" t="n">
        <v>0</v>
      </c>
      <c r="L9586" t="n">
        <v>0</v>
      </c>
      <c r="M9586" t="n">
        <v>0</v>
      </c>
    </row>
    <row r="9587">
      <c r="A9587" t="inlineStr">
        <is>
          <t>12월</t>
        </is>
      </c>
      <c r="B9587" t="inlineStr">
        <is>
          <t>52주차</t>
        </is>
      </c>
      <c r="C9587" t="e">
        <v>#N/A</v>
      </c>
      <c r="K9587" t="n">
        <v>0</v>
      </c>
      <c r="L9587" t="n">
        <v>0</v>
      </c>
      <c r="M9587" t="n">
        <v>0</v>
      </c>
    </row>
    <row r="9588">
      <c r="A9588" t="inlineStr">
        <is>
          <t>12월</t>
        </is>
      </c>
      <c r="B9588" t="inlineStr">
        <is>
          <t>52주차</t>
        </is>
      </c>
      <c r="C9588" t="e">
        <v>#N/A</v>
      </c>
      <c r="K9588" t="n">
        <v>0</v>
      </c>
      <c r="L9588" t="n">
        <v>0</v>
      </c>
      <c r="M9588" t="n">
        <v>0</v>
      </c>
    </row>
    <row r="9589">
      <c r="A9589" t="inlineStr">
        <is>
          <t>12월</t>
        </is>
      </c>
      <c r="B9589" t="inlineStr">
        <is>
          <t>52주차</t>
        </is>
      </c>
      <c r="C9589" t="e">
        <v>#N/A</v>
      </c>
      <c r="K9589" t="n">
        <v>0</v>
      </c>
      <c r="L9589" t="n">
        <v>0</v>
      </c>
      <c r="M9589" t="n">
        <v>0</v>
      </c>
    </row>
    <row r="9590">
      <c r="A9590" t="inlineStr">
        <is>
          <t>12월</t>
        </is>
      </c>
      <c r="B9590" t="inlineStr">
        <is>
          <t>52주차</t>
        </is>
      </c>
      <c r="C9590" t="e">
        <v>#N/A</v>
      </c>
      <c r="K9590" t="n">
        <v>0</v>
      </c>
      <c r="L9590" t="n">
        <v>0</v>
      </c>
      <c r="M9590" t="n">
        <v>0</v>
      </c>
    </row>
    <row r="9591">
      <c r="A9591" t="inlineStr">
        <is>
          <t>12월</t>
        </is>
      </c>
      <c r="B9591" t="inlineStr">
        <is>
          <t>52주차</t>
        </is>
      </c>
      <c r="C9591" t="e">
        <v>#N/A</v>
      </c>
      <c r="K9591" t="n">
        <v>0</v>
      </c>
      <c r="L9591" t="n">
        <v>0</v>
      </c>
      <c r="M9591" t="n">
        <v>0</v>
      </c>
    </row>
    <row r="9592">
      <c r="A9592" t="inlineStr">
        <is>
          <t>12월</t>
        </is>
      </c>
      <c r="B9592" t="inlineStr">
        <is>
          <t>52주차</t>
        </is>
      </c>
      <c r="C9592" t="e">
        <v>#N/A</v>
      </c>
      <c r="K9592" t="n">
        <v>0</v>
      </c>
      <c r="L9592" t="n">
        <v>0</v>
      </c>
      <c r="M9592" t="n">
        <v>0</v>
      </c>
    </row>
    <row r="9593">
      <c r="A9593" t="inlineStr">
        <is>
          <t>12월</t>
        </is>
      </c>
      <c r="B9593" t="inlineStr">
        <is>
          <t>52주차</t>
        </is>
      </c>
      <c r="C9593" t="e">
        <v>#N/A</v>
      </c>
      <c r="K9593" t="n">
        <v>0</v>
      </c>
      <c r="L9593" t="n">
        <v>0</v>
      </c>
      <c r="M9593" t="n">
        <v>0</v>
      </c>
    </row>
    <row r="9594">
      <c r="A9594" t="inlineStr">
        <is>
          <t>12월</t>
        </is>
      </c>
      <c r="B9594" t="inlineStr">
        <is>
          <t>52주차</t>
        </is>
      </c>
      <c r="C9594" t="e">
        <v>#N/A</v>
      </c>
      <c r="K9594" t="n">
        <v>0</v>
      </c>
      <c r="L9594" t="n">
        <v>0</v>
      </c>
      <c r="M9594" t="n">
        <v>0</v>
      </c>
    </row>
    <row r="9595">
      <c r="A9595" t="inlineStr">
        <is>
          <t>12월</t>
        </is>
      </c>
      <c r="B9595" t="inlineStr">
        <is>
          <t>52주차</t>
        </is>
      </c>
      <c r="C9595" t="e">
        <v>#N/A</v>
      </c>
      <c r="K9595" t="n">
        <v>0</v>
      </c>
      <c r="L9595" t="n">
        <v>0</v>
      </c>
      <c r="M9595" t="n">
        <v>0</v>
      </c>
    </row>
    <row r="9596">
      <c r="A9596" t="inlineStr">
        <is>
          <t>12월</t>
        </is>
      </c>
      <c r="B9596" t="inlineStr">
        <is>
          <t>52주차</t>
        </is>
      </c>
      <c r="C9596" t="e">
        <v>#N/A</v>
      </c>
      <c r="K9596" t="n">
        <v>0</v>
      </c>
      <c r="L9596" t="n">
        <v>0</v>
      </c>
      <c r="M9596" t="n">
        <v>0</v>
      </c>
    </row>
    <row r="9597">
      <c r="A9597" t="inlineStr">
        <is>
          <t>12월</t>
        </is>
      </c>
      <c r="B9597" t="inlineStr">
        <is>
          <t>52주차</t>
        </is>
      </c>
      <c r="C9597" t="e">
        <v>#N/A</v>
      </c>
      <c r="K9597" t="n">
        <v>0</v>
      </c>
      <c r="L9597" t="n">
        <v>0</v>
      </c>
      <c r="M9597" t="n">
        <v>0</v>
      </c>
    </row>
    <row r="9598">
      <c r="A9598" t="inlineStr">
        <is>
          <t>12월</t>
        </is>
      </c>
      <c r="B9598" t="inlineStr">
        <is>
          <t>52주차</t>
        </is>
      </c>
      <c r="C9598" t="e">
        <v>#N/A</v>
      </c>
      <c r="K9598" t="n">
        <v>0</v>
      </c>
      <c r="L9598" t="n">
        <v>0</v>
      </c>
      <c r="M9598" t="n">
        <v>0</v>
      </c>
    </row>
    <row r="9599">
      <c r="A9599" t="inlineStr">
        <is>
          <t>12월</t>
        </is>
      </c>
      <c r="B9599" t="inlineStr">
        <is>
          <t>52주차</t>
        </is>
      </c>
      <c r="C9599" t="e">
        <v>#N/A</v>
      </c>
      <c r="K9599" t="n">
        <v>0</v>
      </c>
      <c r="L9599" t="n">
        <v>0</v>
      </c>
      <c r="M9599" t="n">
        <v>0</v>
      </c>
    </row>
    <row r="9600">
      <c r="A9600" t="inlineStr">
        <is>
          <t>12월</t>
        </is>
      </c>
      <c r="B9600" t="inlineStr">
        <is>
          <t>52주차</t>
        </is>
      </c>
      <c r="C9600" t="e">
        <v>#N/A</v>
      </c>
      <c r="K9600" t="n">
        <v>0</v>
      </c>
      <c r="L9600" t="n">
        <v>0</v>
      </c>
      <c r="M9600" t="n">
        <v>0</v>
      </c>
    </row>
    <row r="9601">
      <c r="A9601" t="inlineStr">
        <is>
          <t>12월</t>
        </is>
      </c>
      <c r="B9601" t="inlineStr">
        <is>
          <t>52주차</t>
        </is>
      </c>
      <c r="C9601" t="e">
        <v>#N/A</v>
      </c>
      <c r="K9601" t="n">
        <v>0</v>
      </c>
      <c r="L9601" t="n">
        <v>0</v>
      </c>
      <c r="M9601" t="n">
        <v>0</v>
      </c>
    </row>
    <row r="9602">
      <c r="A9602" t="inlineStr">
        <is>
          <t>12월</t>
        </is>
      </c>
      <c r="B9602" t="inlineStr">
        <is>
          <t>52주차</t>
        </is>
      </c>
      <c r="C9602" t="e">
        <v>#N/A</v>
      </c>
      <c r="K9602" t="n">
        <v>0</v>
      </c>
      <c r="L9602" t="n">
        <v>0</v>
      </c>
      <c r="M9602" t="n">
        <v>0</v>
      </c>
    </row>
    <row r="9603">
      <c r="A9603" t="inlineStr">
        <is>
          <t>12월</t>
        </is>
      </c>
      <c r="B9603" t="inlineStr">
        <is>
          <t>52주차</t>
        </is>
      </c>
      <c r="C9603" t="e">
        <v>#N/A</v>
      </c>
      <c r="K9603" t="n">
        <v>0</v>
      </c>
      <c r="L9603" t="n">
        <v>0</v>
      </c>
      <c r="M9603" t="n">
        <v>0</v>
      </c>
    </row>
    <row r="9604">
      <c r="A9604" t="inlineStr">
        <is>
          <t>12월</t>
        </is>
      </c>
      <c r="B9604" t="inlineStr">
        <is>
          <t>52주차</t>
        </is>
      </c>
      <c r="C9604" t="e">
        <v>#N/A</v>
      </c>
      <c r="K9604" t="n">
        <v>0</v>
      </c>
      <c r="L9604" t="n">
        <v>0</v>
      </c>
      <c r="M9604" t="n">
        <v>0</v>
      </c>
    </row>
    <row r="9605">
      <c r="A9605" t="inlineStr">
        <is>
          <t>12월</t>
        </is>
      </c>
      <c r="B9605" t="inlineStr">
        <is>
          <t>52주차</t>
        </is>
      </c>
      <c r="C9605" t="e">
        <v>#N/A</v>
      </c>
      <c r="K9605" t="n">
        <v>0</v>
      </c>
      <c r="L9605" t="n">
        <v>0</v>
      </c>
      <c r="M9605" t="n">
        <v>0</v>
      </c>
    </row>
    <row r="9606">
      <c r="A9606" t="inlineStr">
        <is>
          <t>12월</t>
        </is>
      </c>
      <c r="B9606" t="inlineStr">
        <is>
          <t>52주차</t>
        </is>
      </c>
      <c r="C9606" t="e">
        <v>#N/A</v>
      </c>
      <c r="K9606" t="n">
        <v>0</v>
      </c>
      <c r="L9606" t="n">
        <v>0</v>
      </c>
      <c r="M9606" t="n">
        <v>0</v>
      </c>
    </row>
    <row r="9607">
      <c r="A9607" t="inlineStr">
        <is>
          <t>12월</t>
        </is>
      </c>
      <c r="B9607" t="inlineStr">
        <is>
          <t>52주차</t>
        </is>
      </c>
      <c r="C9607" t="e">
        <v>#N/A</v>
      </c>
      <c r="K9607" t="n">
        <v>0</v>
      </c>
      <c r="L9607" t="n">
        <v>0</v>
      </c>
      <c r="M9607" t="n">
        <v>0</v>
      </c>
    </row>
    <row r="9608">
      <c r="A9608" t="inlineStr">
        <is>
          <t>12월</t>
        </is>
      </c>
      <c r="B9608" t="inlineStr">
        <is>
          <t>52주차</t>
        </is>
      </c>
      <c r="C9608" t="e">
        <v>#N/A</v>
      </c>
      <c r="K9608" t="n">
        <v>0</v>
      </c>
      <c r="L9608" t="n">
        <v>0</v>
      </c>
      <c r="M9608" t="n">
        <v>0</v>
      </c>
    </row>
    <row r="9609">
      <c r="A9609" t="inlineStr">
        <is>
          <t>12월</t>
        </is>
      </c>
      <c r="B9609" t="inlineStr">
        <is>
          <t>52주차</t>
        </is>
      </c>
      <c r="C9609" t="e">
        <v>#N/A</v>
      </c>
      <c r="K9609" t="n">
        <v>0</v>
      </c>
      <c r="L9609" t="n">
        <v>0</v>
      </c>
      <c r="M9609" t="n">
        <v>0</v>
      </c>
    </row>
    <row r="9610">
      <c r="A9610" t="inlineStr">
        <is>
          <t>12월</t>
        </is>
      </c>
      <c r="B9610" t="inlineStr">
        <is>
          <t>52주차</t>
        </is>
      </c>
      <c r="C9610" t="e">
        <v>#N/A</v>
      </c>
      <c r="K9610" t="n">
        <v>0</v>
      </c>
      <c r="L9610" t="n">
        <v>0</v>
      </c>
      <c r="M9610" t="n">
        <v>0</v>
      </c>
    </row>
    <row r="9611">
      <c r="A9611" t="inlineStr">
        <is>
          <t>12월</t>
        </is>
      </c>
      <c r="B9611" t="inlineStr">
        <is>
          <t>52주차</t>
        </is>
      </c>
      <c r="C9611" t="e">
        <v>#N/A</v>
      </c>
      <c r="K9611" t="n">
        <v>0</v>
      </c>
      <c r="L9611" t="n">
        <v>0</v>
      </c>
      <c r="M9611" t="n">
        <v>0</v>
      </c>
    </row>
    <row r="9612">
      <c r="A9612" t="inlineStr">
        <is>
          <t>12월</t>
        </is>
      </c>
      <c r="B9612" t="inlineStr">
        <is>
          <t>52주차</t>
        </is>
      </c>
      <c r="C9612" t="e">
        <v>#N/A</v>
      </c>
      <c r="K9612" t="n">
        <v>0</v>
      </c>
      <c r="L9612" t="n">
        <v>0</v>
      </c>
      <c r="M9612" t="n">
        <v>0</v>
      </c>
    </row>
    <row r="9613">
      <c r="A9613" t="inlineStr">
        <is>
          <t>12월</t>
        </is>
      </c>
      <c r="B9613" t="inlineStr">
        <is>
          <t>52주차</t>
        </is>
      </c>
      <c r="C9613" t="e">
        <v>#N/A</v>
      </c>
      <c r="K9613" t="n">
        <v>0</v>
      </c>
      <c r="L9613" t="n">
        <v>0</v>
      </c>
      <c r="M9613" t="n">
        <v>0</v>
      </c>
    </row>
    <row r="9614">
      <c r="A9614" t="inlineStr">
        <is>
          <t>12월</t>
        </is>
      </c>
      <c r="B9614" t="inlineStr">
        <is>
          <t>52주차</t>
        </is>
      </c>
      <c r="C9614" t="e">
        <v>#N/A</v>
      </c>
      <c r="K9614" t="n">
        <v>0</v>
      </c>
      <c r="L9614" t="n">
        <v>0</v>
      </c>
      <c r="M9614" t="n">
        <v>0</v>
      </c>
    </row>
    <row r="9615">
      <c r="A9615" t="inlineStr">
        <is>
          <t>12월</t>
        </is>
      </c>
      <c r="B9615" t="inlineStr">
        <is>
          <t>52주차</t>
        </is>
      </c>
      <c r="C9615" t="e">
        <v>#N/A</v>
      </c>
      <c r="K9615" t="n">
        <v>0</v>
      </c>
      <c r="L9615" t="n">
        <v>0</v>
      </c>
      <c r="M9615" t="n">
        <v>0</v>
      </c>
    </row>
    <row r="9616">
      <c r="A9616" t="inlineStr">
        <is>
          <t>12월</t>
        </is>
      </c>
      <c r="B9616" t="inlineStr">
        <is>
          <t>52주차</t>
        </is>
      </c>
      <c r="C9616" t="e">
        <v>#N/A</v>
      </c>
      <c r="K9616" t="n">
        <v>0</v>
      </c>
      <c r="L9616" t="n">
        <v>0</v>
      </c>
      <c r="M9616" t="n">
        <v>0</v>
      </c>
    </row>
    <row r="9617">
      <c r="A9617" t="inlineStr">
        <is>
          <t>12월</t>
        </is>
      </c>
      <c r="B9617" t="inlineStr">
        <is>
          <t>52주차</t>
        </is>
      </c>
      <c r="C9617" t="e">
        <v>#N/A</v>
      </c>
      <c r="K9617" t="n">
        <v>0</v>
      </c>
      <c r="L9617" t="n">
        <v>0</v>
      </c>
      <c r="M9617" t="n">
        <v>0</v>
      </c>
    </row>
    <row r="9618">
      <c r="A9618" t="inlineStr">
        <is>
          <t>12월</t>
        </is>
      </c>
      <c r="B9618" t="inlineStr">
        <is>
          <t>52주차</t>
        </is>
      </c>
      <c r="C9618" t="e">
        <v>#N/A</v>
      </c>
      <c r="K9618" t="n">
        <v>0</v>
      </c>
      <c r="L9618" t="n">
        <v>0</v>
      </c>
      <c r="M9618" t="n">
        <v>0</v>
      </c>
    </row>
    <row r="9619">
      <c r="A9619" t="inlineStr">
        <is>
          <t>12월</t>
        </is>
      </c>
      <c r="B9619" t="inlineStr">
        <is>
          <t>52주차</t>
        </is>
      </c>
      <c r="C9619" t="e">
        <v>#N/A</v>
      </c>
      <c r="K9619" t="n">
        <v>0</v>
      </c>
      <c r="L9619" t="n">
        <v>0</v>
      </c>
      <c r="M9619" t="n">
        <v>0</v>
      </c>
    </row>
    <row r="9620">
      <c r="A9620" t="inlineStr">
        <is>
          <t>12월</t>
        </is>
      </c>
      <c r="B9620" t="inlineStr">
        <is>
          <t>52주차</t>
        </is>
      </c>
      <c r="C9620" t="e">
        <v>#N/A</v>
      </c>
      <c r="K9620" t="n">
        <v>0</v>
      </c>
      <c r="L9620" t="n">
        <v>0</v>
      </c>
      <c r="M9620" t="n">
        <v>0</v>
      </c>
    </row>
    <row r="9621">
      <c r="A9621" t="inlineStr">
        <is>
          <t>12월</t>
        </is>
      </c>
      <c r="B9621" t="inlineStr">
        <is>
          <t>52주차</t>
        </is>
      </c>
      <c r="C9621" t="e">
        <v>#N/A</v>
      </c>
      <c r="K9621" t="n">
        <v>0</v>
      </c>
      <c r="L9621" t="n">
        <v>0</v>
      </c>
      <c r="M9621" t="n">
        <v>0</v>
      </c>
    </row>
    <row r="9622">
      <c r="A9622" t="inlineStr">
        <is>
          <t>12월</t>
        </is>
      </c>
      <c r="B9622" t="inlineStr">
        <is>
          <t>52주차</t>
        </is>
      </c>
      <c r="C9622" t="e">
        <v>#N/A</v>
      </c>
      <c r="K9622" t="n">
        <v>0</v>
      </c>
      <c r="L9622" t="n">
        <v>0</v>
      </c>
      <c r="M9622" t="n">
        <v>0</v>
      </c>
    </row>
    <row r="9623">
      <c r="A9623" t="inlineStr">
        <is>
          <t>12월</t>
        </is>
      </c>
      <c r="B9623" t="inlineStr">
        <is>
          <t>52주차</t>
        </is>
      </c>
      <c r="C9623" t="e">
        <v>#N/A</v>
      </c>
      <c r="K9623" t="n">
        <v>0</v>
      </c>
      <c r="L9623" t="n">
        <v>0</v>
      </c>
      <c r="M9623" t="n">
        <v>0</v>
      </c>
    </row>
    <row r="9624">
      <c r="A9624" t="inlineStr">
        <is>
          <t>12월</t>
        </is>
      </c>
      <c r="B9624" t="inlineStr">
        <is>
          <t>52주차</t>
        </is>
      </c>
      <c r="C9624" t="e">
        <v>#N/A</v>
      </c>
      <c r="K9624" t="n">
        <v>0</v>
      </c>
      <c r="L9624" t="n">
        <v>0</v>
      </c>
      <c r="M9624" t="n">
        <v>0</v>
      </c>
    </row>
    <row r="9625">
      <c r="A9625" t="inlineStr">
        <is>
          <t>12월</t>
        </is>
      </c>
      <c r="B9625" t="inlineStr">
        <is>
          <t>52주차</t>
        </is>
      </c>
      <c r="C9625" t="e">
        <v>#N/A</v>
      </c>
      <c r="K9625" t="n">
        <v>0</v>
      </c>
      <c r="L9625" t="n">
        <v>0</v>
      </c>
      <c r="M9625" t="n">
        <v>0</v>
      </c>
    </row>
    <row r="9626">
      <c r="A9626" t="inlineStr">
        <is>
          <t>12월</t>
        </is>
      </c>
      <c r="B9626" t="inlineStr">
        <is>
          <t>52주차</t>
        </is>
      </c>
      <c r="C9626" t="e">
        <v>#N/A</v>
      </c>
      <c r="K9626" t="n">
        <v>0</v>
      </c>
      <c r="L9626" t="n">
        <v>0</v>
      </c>
      <c r="M9626" t="n">
        <v>0</v>
      </c>
    </row>
    <row r="9627">
      <c r="A9627" t="inlineStr">
        <is>
          <t>12월</t>
        </is>
      </c>
      <c r="B9627" t="inlineStr">
        <is>
          <t>52주차</t>
        </is>
      </c>
      <c r="C9627" t="e">
        <v>#N/A</v>
      </c>
      <c r="K9627" t="n">
        <v>0</v>
      </c>
      <c r="L9627" t="n">
        <v>0</v>
      </c>
      <c r="M9627" t="n">
        <v>0</v>
      </c>
    </row>
    <row r="9628">
      <c r="A9628" t="inlineStr">
        <is>
          <t>12월</t>
        </is>
      </c>
      <c r="B9628" t="inlineStr">
        <is>
          <t>52주차</t>
        </is>
      </c>
      <c r="C9628" t="e">
        <v>#N/A</v>
      </c>
      <c r="K9628" t="n">
        <v>0</v>
      </c>
      <c r="L9628" t="n">
        <v>0</v>
      </c>
      <c r="M9628" t="n">
        <v>0</v>
      </c>
    </row>
    <row r="9629">
      <c r="A9629" t="inlineStr">
        <is>
          <t>12월</t>
        </is>
      </c>
      <c r="B9629" t="inlineStr">
        <is>
          <t>52주차</t>
        </is>
      </c>
      <c r="C9629" t="e">
        <v>#N/A</v>
      </c>
      <c r="K9629" t="n">
        <v>0</v>
      </c>
      <c r="L9629" t="n">
        <v>0</v>
      </c>
      <c r="M9629" t="n">
        <v>0</v>
      </c>
    </row>
    <row r="9630">
      <c r="A9630" t="inlineStr">
        <is>
          <t>12월</t>
        </is>
      </c>
      <c r="B9630" t="inlineStr">
        <is>
          <t>52주차</t>
        </is>
      </c>
      <c r="C9630" t="e">
        <v>#N/A</v>
      </c>
      <c r="K9630" t="n">
        <v>0</v>
      </c>
      <c r="L9630" t="n">
        <v>0</v>
      </c>
      <c r="M9630" t="n">
        <v>0</v>
      </c>
    </row>
    <row r="9631">
      <c r="A9631" t="inlineStr">
        <is>
          <t>12월</t>
        </is>
      </c>
      <c r="B9631" t="inlineStr">
        <is>
          <t>52주차</t>
        </is>
      </c>
      <c r="C9631" t="e">
        <v>#N/A</v>
      </c>
      <c r="K9631" t="n">
        <v>0</v>
      </c>
      <c r="L9631" t="n">
        <v>0</v>
      </c>
      <c r="M9631" t="n">
        <v>0</v>
      </c>
    </row>
    <row r="9632">
      <c r="A9632" t="inlineStr">
        <is>
          <t>12월</t>
        </is>
      </c>
      <c r="B9632" t="inlineStr">
        <is>
          <t>52주차</t>
        </is>
      </c>
      <c r="C9632" t="e">
        <v>#N/A</v>
      </c>
      <c r="K9632" t="n">
        <v>0</v>
      </c>
      <c r="L9632" t="n">
        <v>0</v>
      </c>
      <c r="M9632" t="n">
        <v>0</v>
      </c>
    </row>
    <row r="9633">
      <c r="A9633" t="inlineStr">
        <is>
          <t>12월</t>
        </is>
      </c>
      <c r="B9633" t="inlineStr">
        <is>
          <t>52주차</t>
        </is>
      </c>
      <c r="C9633" t="e">
        <v>#N/A</v>
      </c>
      <c r="K9633" t="n">
        <v>0</v>
      </c>
      <c r="L9633" t="n">
        <v>0</v>
      </c>
      <c r="M9633" t="n">
        <v>0</v>
      </c>
    </row>
    <row r="9634">
      <c r="A9634" t="inlineStr">
        <is>
          <t>12월</t>
        </is>
      </c>
      <c r="B9634" t="inlineStr">
        <is>
          <t>52주차</t>
        </is>
      </c>
      <c r="C9634" t="e">
        <v>#N/A</v>
      </c>
      <c r="K9634" t="n">
        <v>0</v>
      </c>
      <c r="L9634" t="n">
        <v>0</v>
      </c>
      <c r="M9634" t="n">
        <v>0</v>
      </c>
    </row>
    <row r="9635">
      <c r="A9635" t="inlineStr">
        <is>
          <t>12월</t>
        </is>
      </c>
      <c r="B9635" t="inlineStr">
        <is>
          <t>52주차</t>
        </is>
      </c>
      <c r="C9635" t="e">
        <v>#N/A</v>
      </c>
      <c r="K9635" t="n">
        <v>0</v>
      </c>
      <c r="L9635" t="n">
        <v>0</v>
      </c>
      <c r="M9635" t="n">
        <v>0</v>
      </c>
    </row>
    <row r="9636">
      <c r="A9636" t="inlineStr">
        <is>
          <t>12월</t>
        </is>
      </c>
      <c r="B9636" t="inlineStr">
        <is>
          <t>52주차</t>
        </is>
      </c>
      <c r="C9636" t="e">
        <v>#N/A</v>
      </c>
      <c r="K9636" t="n">
        <v>0</v>
      </c>
      <c r="L9636" t="n">
        <v>0</v>
      </c>
      <c r="M9636" t="n">
        <v>0</v>
      </c>
    </row>
    <row r="9637">
      <c r="A9637" t="inlineStr">
        <is>
          <t>12월</t>
        </is>
      </c>
      <c r="B9637" t="inlineStr">
        <is>
          <t>52주차</t>
        </is>
      </c>
      <c r="C9637" t="e">
        <v>#N/A</v>
      </c>
      <c r="K9637" t="n">
        <v>0</v>
      </c>
      <c r="L9637" t="n">
        <v>0</v>
      </c>
      <c r="M9637" t="n">
        <v>0</v>
      </c>
    </row>
    <row r="9638">
      <c r="A9638" t="inlineStr">
        <is>
          <t>12월</t>
        </is>
      </c>
      <c r="B9638" t="inlineStr">
        <is>
          <t>52주차</t>
        </is>
      </c>
      <c r="C9638" t="e">
        <v>#N/A</v>
      </c>
      <c r="K9638" t="n">
        <v>0</v>
      </c>
      <c r="L9638" t="n">
        <v>0</v>
      </c>
      <c r="M9638" t="n">
        <v>0</v>
      </c>
    </row>
    <row r="9639">
      <c r="A9639" t="inlineStr">
        <is>
          <t>12월</t>
        </is>
      </c>
      <c r="B9639" t="inlineStr">
        <is>
          <t>52주차</t>
        </is>
      </c>
      <c r="C9639" t="e">
        <v>#N/A</v>
      </c>
      <c r="K9639" t="n">
        <v>0</v>
      </c>
      <c r="L9639" t="n">
        <v>0</v>
      </c>
      <c r="M9639" t="n">
        <v>0</v>
      </c>
    </row>
    <row r="9640">
      <c r="A9640" t="inlineStr">
        <is>
          <t>12월</t>
        </is>
      </c>
      <c r="B9640" t="inlineStr">
        <is>
          <t>52주차</t>
        </is>
      </c>
      <c r="C9640" t="e">
        <v>#N/A</v>
      </c>
      <c r="K9640" t="n">
        <v>0</v>
      </c>
      <c r="L9640" t="n">
        <v>0</v>
      </c>
      <c r="M9640" t="n">
        <v>0</v>
      </c>
    </row>
    <row r="9641">
      <c r="A9641" t="inlineStr">
        <is>
          <t>12월</t>
        </is>
      </c>
      <c r="B9641" t="inlineStr">
        <is>
          <t>52주차</t>
        </is>
      </c>
      <c r="C9641" t="e">
        <v>#N/A</v>
      </c>
      <c r="K9641" t="n">
        <v>0</v>
      </c>
      <c r="L9641" t="n">
        <v>0</v>
      </c>
      <c r="M9641" t="n">
        <v>0</v>
      </c>
    </row>
    <row r="9642">
      <c r="A9642" t="inlineStr">
        <is>
          <t>12월</t>
        </is>
      </c>
      <c r="B9642" t="inlineStr">
        <is>
          <t>52주차</t>
        </is>
      </c>
      <c r="C9642" t="e">
        <v>#N/A</v>
      </c>
      <c r="K9642" t="n">
        <v>0</v>
      </c>
      <c r="L9642" t="n">
        <v>0</v>
      </c>
      <c r="M9642" t="n">
        <v>0</v>
      </c>
    </row>
    <row r="9643">
      <c r="A9643" t="inlineStr">
        <is>
          <t>12월</t>
        </is>
      </c>
      <c r="B9643" t="inlineStr">
        <is>
          <t>52주차</t>
        </is>
      </c>
      <c r="C9643" t="e">
        <v>#N/A</v>
      </c>
      <c r="K9643" t="n">
        <v>0</v>
      </c>
      <c r="L9643" t="n">
        <v>0</v>
      </c>
      <c r="M9643" t="n">
        <v>0</v>
      </c>
    </row>
    <row r="9644">
      <c r="A9644" t="inlineStr">
        <is>
          <t>12월</t>
        </is>
      </c>
      <c r="B9644" t="inlineStr">
        <is>
          <t>52주차</t>
        </is>
      </c>
      <c r="C9644" t="e">
        <v>#N/A</v>
      </c>
      <c r="K9644" t="n">
        <v>0</v>
      </c>
      <c r="L9644" t="n">
        <v>0</v>
      </c>
      <c r="M9644" t="n">
        <v>0</v>
      </c>
    </row>
    <row r="9645">
      <c r="A9645" t="inlineStr">
        <is>
          <t>12월</t>
        </is>
      </c>
      <c r="B9645" t="inlineStr">
        <is>
          <t>52주차</t>
        </is>
      </c>
      <c r="C9645" t="e">
        <v>#N/A</v>
      </c>
      <c r="K9645" t="n">
        <v>0</v>
      </c>
      <c r="L9645" t="n">
        <v>0</v>
      </c>
      <c r="M9645" t="n">
        <v>0</v>
      </c>
    </row>
    <row r="9646">
      <c r="A9646" t="inlineStr">
        <is>
          <t>12월</t>
        </is>
      </c>
      <c r="B9646" t="inlineStr">
        <is>
          <t>52주차</t>
        </is>
      </c>
      <c r="C9646" t="e">
        <v>#N/A</v>
      </c>
      <c r="K9646" t="n">
        <v>0</v>
      </c>
      <c r="L9646" t="n">
        <v>0</v>
      </c>
      <c r="M9646" t="n">
        <v>0</v>
      </c>
    </row>
    <row r="9647">
      <c r="A9647" t="inlineStr">
        <is>
          <t>12월</t>
        </is>
      </c>
      <c r="B9647" t="inlineStr">
        <is>
          <t>52주차</t>
        </is>
      </c>
      <c r="C9647" t="e">
        <v>#N/A</v>
      </c>
      <c r="K9647" t="n">
        <v>0</v>
      </c>
      <c r="L9647" t="n">
        <v>0</v>
      </c>
      <c r="M9647" t="n">
        <v>0</v>
      </c>
    </row>
    <row r="9648">
      <c r="A9648" t="inlineStr">
        <is>
          <t>12월</t>
        </is>
      </c>
      <c r="B9648" t="inlineStr">
        <is>
          <t>52주차</t>
        </is>
      </c>
      <c r="C9648" t="e">
        <v>#N/A</v>
      </c>
      <c r="K9648" t="n">
        <v>0</v>
      </c>
      <c r="L9648" t="n">
        <v>0</v>
      </c>
      <c r="M9648" t="n">
        <v>0</v>
      </c>
    </row>
    <row r="9649">
      <c r="A9649" t="inlineStr">
        <is>
          <t>12월</t>
        </is>
      </c>
      <c r="B9649" t="inlineStr">
        <is>
          <t>52주차</t>
        </is>
      </c>
      <c r="C9649" t="e">
        <v>#N/A</v>
      </c>
      <c r="K9649" t="n">
        <v>0</v>
      </c>
      <c r="L9649" t="n">
        <v>0</v>
      </c>
      <c r="M9649" t="n">
        <v>0</v>
      </c>
    </row>
    <row r="9650">
      <c r="A9650" t="inlineStr">
        <is>
          <t>12월</t>
        </is>
      </c>
      <c r="B9650" t="inlineStr">
        <is>
          <t>52주차</t>
        </is>
      </c>
      <c r="C9650" t="e">
        <v>#N/A</v>
      </c>
      <c r="K9650" t="n">
        <v>0</v>
      </c>
      <c r="L9650" t="n">
        <v>0</v>
      </c>
      <c r="M9650" t="n">
        <v>0</v>
      </c>
    </row>
    <row r="9651">
      <c r="A9651" t="inlineStr">
        <is>
          <t>12월</t>
        </is>
      </c>
      <c r="B9651" t="inlineStr">
        <is>
          <t>52주차</t>
        </is>
      </c>
      <c r="C9651" t="e">
        <v>#N/A</v>
      </c>
      <c r="K9651" t="n">
        <v>0</v>
      </c>
      <c r="L9651" t="n">
        <v>0</v>
      </c>
      <c r="M9651" t="n">
        <v>0</v>
      </c>
    </row>
    <row r="9652">
      <c r="A9652" t="inlineStr">
        <is>
          <t>12월</t>
        </is>
      </c>
      <c r="B9652" t="inlineStr">
        <is>
          <t>52주차</t>
        </is>
      </c>
      <c r="C9652" t="e">
        <v>#N/A</v>
      </c>
      <c r="K9652" t="n">
        <v>0</v>
      </c>
      <c r="L9652" t="n">
        <v>0</v>
      </c>
      <c r="M9652" t="n">
        <v>0</v>
      </c>
    </row>
    <row r="9653">
      <c r="A9653" t="inlineStr">
        <is>
          <t>12월</t>
        </is>
      </c>
      <c r="B9653" t="inlineStr">
        <is>
          <t>52주차</t>
        </is>
      </c>
      <c r="C9653" t="e">
        <v>#N/A</v>
      </c>
      <c r="K9653" t="n">
        <v>0</v>
      </c>
      <c r="L9653" t="n">
        <v>0</v>
      </c>
      <c r="M9653" t="n">
        <v>0</v>
      </c>
    </row>
    <row r="9654">
      <c r="A9654" t="inlineStr">
        <is>
          <t>12월</t>
        </is>
      </c>
      <c r="B9654" t="inlineStr">
        <is>
          <t>52주차</t>
        </is>
      </c>
      <c r="C9654" t="e">
        <v>#N/A</v>
      </c>
      <c r="K9654" t="n">
        <v>0</v>
      </c>
      <c r="L9654" t="n">
        <v>0</v>
      </c>
      <c r="M9654" t="n">
        <v>0</v>
      </c>
    </row>
    <row r="9655">
      <c r="A9655" t="inlineStr">
        <is>
          <t>12월</t>
        </is>
      </c>
      <c r="B9655" t="inlineStr">
        <is>
          <t>52주차</t>
        </is>
      </c>
      <c r="C9655" t="e">
        <v>#N/A</v>
      </c>
      <c r="K9655" t="n">
        <v>0</v>
      </c>
      <c r="L9655" t="n">
        <v>0</v>
      </c>
      <c r="M9655" t="n">
        <v>0</v>
      </c>
    </row>
    <row r="9656">
      <c r="A9656" t="inlineStr">
        <is>
          <t>12월</t>
        </is>
      </c>
      <c r="B9656" t="inlineStr">
        <is>
          <t>52주차</t>
        </is>
      </c>
      <c r="C9656" t="e">
        <v>#N/A</v>
      </c>
      <c r="K9656" t="n">
        <v>0</v>
      </c>
      <c r="L9656" t="n">
        <v>0</v>
      </c>
      <c r="M9656" t="n">
        <v>0</v>
      </c>
    </row>
    <row r="9657">
      <c r="A9657" t="inlineStr">
        <is>
          <t>12월</t>
        </is>
      </c>
      <c r="B9657" t="inlineStr">
        <is>
          <t>52주차</t>
        </is>
      </c>
      <c r="C9657" t="e">
        <v>#N/A</v>
      </c>
      <c r="K9657" t="n">
        <v>0</v>
      </c>
      <c r="L9657" t="n">
        <v>0</v>
      </c>
      <c r="M9657" t="n">
        <v>0</v>
      </c>
    </row>
    <row r="9658">
      <c r="A9658" t="inlineStr">
        <is>
          <t>12월</t>
        </is>
      </c>
      <c r="B9658" t="inlineStr">
        <is>
          <t>52주차</t>
        </is>
      </c>
      <c r="C9658" t="e">
        <v>#N/A</v>
      </c>
      <c r="K9658" t="n">
        <v>0</v>
      </c>
      <c r="L9658" t="n">
        <v>0</v>
      </c>
      <c r="M9658" t="n">
        <v>0</v>
      </c>
    </row>
    <row r="9659">
      <c r="A9659" t="inlineStr">
        <is>
          <t>12월</t>
        </is>
      </c>
      <c r="B9659" t="inlineStr">
        <is>
          <t>52주차</t>
        </is>
      </c>
      <c r="C9659" t="e">
        <v>#N/A</v>
      </c>
      <c r="K9659" t="n">
        <v>0</v>
      </c>
      <c r="L9659" t="n">
        <v>0</v>
      </c>
      <c r="M9659" t="n">
        <v>0</v>
      </c>
    </row>
    <row r="9660">
      <c r="A9660" t="inlineStr">
        <is>
          <t>12월</t>
        </is>
      </c>
      <c r="B9660" t="inlineStr">
        <is>
          <t>52주차</t>
        </is>
      </c>
      <c r="C9660" t="e">
        <v>#N/A</v>
      </c>
      <c r="K9660" t="n">
        <v>0</v>
      </c>
      <c r="L9660" t="n">
        <v>0</v>
      </c>
      <c r="M9660" t="n">
        <v>0</v>
      </c>
    </row>
    <row r="9661">
      <c r="A9661" t="inlineStr">
        <is>
          <t>12월</t>
        </is>
      </c>
      <c r="B9661" t="inlineStr">
        <is>
          <t>52주차</t>
        </is>
      </c>
      <c r="C9661" t="e">
        <v>#N/A</v>
      </c>
      <c r="K9661" t="n">
        <v>0</v>
      </c>
      <c r="L9661" t="n">
        <v>0</v>
      </c>
      <c r="M9661" t="n">
        <v>0</v>
      </c>
    </row>
    <row r="9662">
      <c r="A9662" t="inlineStr">
        <is>
          <t>12월</t>
        </is>
      </c>
      <c r="B9662" t="inlineStr">
        <is>
          <t>52주차</t>
        </is>
      </c>
      <c r="C9662" t="e">
        <v>#N/A</v>
      </c>
      <c r="K9662" t="n">
        <v>0</v>
      </c>
      <c r="L9662" t="n">
        <v>0</v>
      </c>
      <c r="M9662" t="n">
        <v>0</v>
      </c>
    </row>
    <row r="9663">
      <c r="A9663" t="inlineStr">
        <is>
          <t>12월</t>
        </is>
      </c>
      <c r="B9663" t="inlineStr">
        <is>
          <t>52주차</t>
        </is>
      </c>
      <c r="C9663" t="e">
        <v>#N/A</v>
      </c>
      <c r="K9663" t="n">
        <v>0</v>
      </c>
      <c r="L9663" t="n">
        <v>0</v>
      </c>
      <c r="M9663" t="n">
        <v>0</v>
      </c>
    </row>
    <row r="9664">
      <c r="A9664" t="inlineStr">
        <is>
          <t>12월</t>
        </is>
      </c>
      <c r="B9664" t="inlineStr">
        <is>
          <t>52주차</t>
        </is>
      </c>
      <c r="C9664" t="e">
        <v>#N/A</v>
      </c>
      <c r="K9664" t="n">
        <v>0</v>
      </c>
      <c r="L9664" t="n">
        <v>0</v>
      </c>
      <c r="M9664" t="n">
        <v>0</v>
      </c>
    </row>
    <row r="9665">
      <c r="A9665" t="inlineStr">
        <is>
          <t>12월</t>
        </is>
      </c>
      <c r="B9665" t="inlineStr">
        <is>
          <t>52주차</t>
        </is>
      </c>
      <c r="C9665" t="e">
        <v>#N/A</v>
      </c>
      <c r="K9665" t="n">
        <v>0</v>
      </c>
      <c r="L9665" t="n">
        <v>0</v>
      </c>
      <c r="M9665" t="n">
        <v>0</v>
      </c>
    </row>
    <row r="9666">
      <c r="A9666" t="inlineStr">
        <is>
          <t>12월</t>
        </is>
      </c>
      <c r="B9666" t="inlineStr">
        <is>
          <t>52주차</t>
        </is>
      </c>
      <c r="C9666" t="e">
        <v>#N/A</v>
      </c>
      <c r="K9666" t="n">
        <v>0</v>
      </c>
      <c r="L9666" t="n">
        <v>0</v>
      </c>
      <c r="M9666" t="n">
        <v>0</v>
      </c>
    </row>
    <row r="9667">
      <c r="A9667" t="inlineStr">
        <is>
          <t>12월</t>
        </is>
      </c>
      <c r="B9667" t="inlineStr">
        <is>
          <t>52주차</t>
        </is>
      </c>
      <c r="C9667" t="e">
        <v>#N/A</v>
      </c>
      <c r="K9667" t="n">
        <v>0</v>
      </c>
      <c r="L9667" t="n">
        <v>0</v>
      </c>
      <c r="M9667" t="n">
        <v>0</v>
      </c>
    </row>
    <row r="9668">
      <c r="A9668" t="inlineStr">
        <is>
          <t>12월</t>
        </is>
      </c>
      <c r="B9668" t="inlineStr">
        <is>
          <t>52주차</t>
        </is>
      </c>
      <c r="C9668" t="e">
        <v>#N/A</v>
      </c>
      <c r="K9668" t="n">
        <v>0</v>
      </c>
      <c r="L9668" t="n">
        <v>0</v>
      </c>
      <c r="M9668" t="n">
        <v>0</v>
      </c>
    </row>
    <row r="9669">
      <c r="A9669" t="inlineStr">
        <is>
          <t>12월</t>
        </is>
      </c>
      <c r="B9669" t="inlineStr">
        <is>
          <t>52주차</t>
        </is>
      </c>
      <c r="C9669" t="e">
        <v>#N/A</v>
      </c>
      <c r="K9669" t="n">
        <v>0</v>
      </c>
      <c r="L9669" t="n">
        <v>0</v>
      </c>
      <c r="M9669" t="n">
        <v>0</v>
      </c>
    </row>
    <row r="9670">
      <c r="A9670" t="inlineStr">
        <is>
          <t>12월</t>
        </is>
      </c>
      <c r="B9670" t="inlineStr">
        <is>
          <t>52주차</t>
        </is>
      </c>
      <c r="C9670" t="e">
        <v>#N/A</v>
      </c>
      <c r="K9670" t="n">
        <v>0</v>
      </c>
      <c r="L9670" t="n">
        <v>0</v>
      </c>
      <c r="M9670" t="n">
        <v>0</v>
      </c>
    </row>
    <row r="9671">
      <c r="A9671" t="inlineStr">
        <is>
          <t>12월</t>
        </is>
      </c>
      <c r="B9671" t="inlineStr">
        <is>
          <t>52주차</t>
        </is>
      </c>
      <c r="C9671" t="e">
        <v>#N/A</v>
      </c>
      <c r="K9671" t="n">
        <v>0</v>
      </c>
      <c r="L9671" t="n">
        <v>0</v>
      </c>
      <c r="M9671" t="n">
        <v>0</v>
      </c>
    </row>
    <row r="9672">
      <c r="A9672" t="inlineStr">
        <is>
          <t>12월</t>
        </is>
      </c>
      <c r="B9672" t="inlineStr">
        <is>
          <t>52주차</t>
        </is>
      </c>
      <c r="C9672" t="e">
        <v>#N/A</v>
      </c>
      <c r="K9672" t="n">
        <v>0</v>
      </c>
      <c r="L9672" t="n">
        <v>0</v>
      </c>
      <c r="M9672" t="n">
        <v>0</v>
      </c>
    </row>
    <row r="9673">
      <c r="A9673" t="inlineStr">
        <is>
          <t>12월</t>
        </is>
      </c>
      <c r="B9673" t="inlineStr">
        <is>
          <t>52주차</t>
        </is>
      </c>
      <c r="C9673" t="e">
        <v>#N/A</v>
      </c>
      <c r="K9673" t="n">
        <v>0</v>
      </c>
      <c r="L9673" t="n">
        <v>0</v>
      </c>
      <c r="M9673" t="n">
        <v>0</v>
      </c>
    </row>
    <row r="9674">
      <c r="A9674" t="inlineStr">
        <is>
          <t>12월</t>
        </is>
      </c>
      <c r="B9674" t="inlineStr">
        <is>
          <t>52주차</t>
        </is>
      </c>
      <c r="C9674" t="e">
        <v>#N/A</v>
      </c>
      <c r="K9674" t="n">
        <v>0</v>
      </c>
      <c r="L9674" t="n">
        <v>0</v>
      </c>
      <c r="M9674" t="n">
        <v>0</v>
      </c>
    </row>
    <row r="9675">
      <c r="A9675" t="inlineStr">
        <is>
          <t>12월</t>
        </is>
      </c>
      <c r="B9675" t="inlineStr">
        <is>
          <t>52주차</t>
        </is>
      </c>
      <c r="C9675" t="e">
        <v>#N/A</v>
      </c>
      <c r="K9675" t="n">
        <v>0</v>
      </c>
      <c r="L9675" t="n">
        <v>0</v>
      </c>
      <c r="M9675" t="n">
        <v>0</v>
      </c>
    </row>
    <row r="9676">
      <c r="A9676" t="inlineStr">
        <is>
          <t>12월</t>
        </is>
      </c>
      <c r="B9676" t="inlineStr">
        <is>
          <t>52주차</t>
        </is>
      </c>
      <c r="C9676" t="e">
        <v>#N/A</v>
      </c>
      <c r="K9676" t="n">
        <v>0</v>
      </c>
      <c r="L9676" t="n">
        <v>0</v>
      </c>
      <c r="M9676" t="n">
        <v>0</v>
      </c>
    </row>
    <row r="9677">
      <c r="A9677" t="inlineStr">
        <is>
          <t>12월</t>
        </is>
      </c>
      <c r="B9677" t="inlineStr">
        <is>
          <t>52주차</t>
        </is>
      </c>
      <c r="C9677" t="e">
        <v>#N/A</v>
      </c>
      <c r="K9677" t="n">
        <v>0</v>
      </c>
      <c r="L9677" t="n">
        <v>0</v>
      </c>
      <c r="M9677" t="n">
        <v>0</v>
      </c>
    </row>
    <row r="9678">
      <c r="A9678" t="inlineStr">
        <is>
          <t>12월</t>
        </is>
      </c>
      <c r="B9678" t="inlineStr">
        <is>
          <t>52주차</t>
        </is>
      </c>
      <c r="C9678" t="e">
        <v>#N/A</v>
      </c>
      <c r="K9678" t="n">
        <v>0</v>
      </c>
      <c r="L9678" t="n">
        <v>0</v>
      </c>
      <c r="M9678" t="n">
        <v>0</v>
      </c>
    </row>
    <row r="9679">
      <c r="A9679" t="inlineStr">
        <is>
          <t>12월</t>
        </is>
      </c>
      <c r="B9679" t="inlineStr">
        <is>
          <t>52주차</t>
        </is>
      </c>
      <c r="C9679" t="e">
        <v>#N/A</v>
      </c>
      <c r="K9679" t="n">
        <v>0</v>
      </c>
      <c r="L9679" t="n">
        <v>0</v>
      </c>
      <c r="M9679" t="n">
        <v>0</v>
      </c>
    </row>
    <row r="9680">
      <c r="A9680" t="inlineStr">
        <is>
          <t>12월</t>
        </is>
      </c>
      <c r="B9680" t="inlineStr">
        <is>
          <t>52주차</t>
        </is>
      </c>
      <c r="C9680" t="e">
        <v>#N/A</v>
      </c>
      <c r="K9680" t="n">
        <v>0</v>
      </c>
      <c r="L9680" t="n">
        <v>0</v>
      </c>
      <c r="M9680" t="n">
        <v>0</v>
      </c>
    </row>
    <row r="9681">
      <c r="A9681" t="inlineStr">
        <is>
          <t>12월</t>
        </is>
      </c>
      <c r="B9681" t="inlineStr">
        <is>
          <t>52주차</t>
        </is>
      </c>
      <c r="C9681" t="e">
        <v>#N/A</v>
      </c>
      <c r="K9681" t="n">
        <v>0</v>
      </c>
      <c r="L9681" t="n">
        <v>0</v>
      </c>
      <c r="M9681" t="n">
        <v>0</v>
      </c>
    </row>
    <row r="9682">
      <c r="A9682" t="inlineStr">
        <is>
          <t>12월</t>
        </is>
      </c>
      <c r="B9682" t="inlineStr">
        <is>
          <t>52주차</t>
        </is>
      </c>
      <c r="C9682" t="e">
        <v>#N/A</v>
      </c>
      <c r="K9682" t="n">
        <v>0</v>
      </c>
      <c r="L9682" t="n">
        <v>0</v>
      </c>
      <c r="M9682" t="n">
        <v>0</v>
      </c>
    </row>
    <row r="9683">
      <c r="A9683" t="inlineStr">
        <is>
          <t>12월</t>
        </is>
      </c>
      <c r="B9683" t="inlineStr">
        <is>
          <t>52주차</t>
        </is>
      </c>
      <c r="C9683" t="e">
        <v>#N/A</v>
      </c>
      <c r="K9683" t="n">
        <v>0</v>
      </c>
      <c r="L9683" t="n">
        <v>0</v>
      </c>
      <c r="M9683" t="n">
        <v>0</v>
      </c>
    </row>
    <row r="9684">
      <c r="A9684" t="inlineStr">
        <is>
          <t>12월</t>
        </is>
      </c>
      <c r="B9684" t="inlineStr">
        <is>
          <t>52주차</t>
        </is>
      </c>
      <c r="C9684" t="e">
        <v>#N/A</v>
      </c>
      <c r="K9684" t="n">
        <v>0</v>
      </c>
      <c r="L9684" t="n">
        <v>0</v>
      </c>
      <c r="M9684" t="n">
        <v>0</v>
      </c>
    </row>
    <row r="9685">
      <c r="A9685" t="inlineStr">
        <is>
          <t>12월</t>
        </is>
      </c>
      <c r="B9685" t="inlineStr">
        <is>
          <t>52주차</t>
        </is>
      </c>
      <c r="C9685" t="e">
        <v>#N/A</v>
      </c>
      <c r="K9685" t="n">
        <v>0</v>
      </c>
      <c r="L9685" t="n">
        <v>0</v>
      </c>
      <c r="M9685" t="n">
        <v>0</v>
      </c>
    </row>
    <row r="9686">
      <c r="A9686" t="inlineStr">
        <is>
          <t>12월</t>
        </is>
      </c>
      <c r="B9686" t="inlineStr">
        <is>
          <t>52주차</t>
        </is>
      </c>
      <c r="C9686" t="e">
        <v>#N/A</v>
      </c>
      <c r="K9686" t="n">
        <v>0</v>
      </c>
      <c r="L9686" t="n">
        <v>0</v>
      </c>
      <c r="M9686" t="n">
        <v>0</v>
      </c>
    </row>
    <row r="9687">
      <c r="A9687" t="inlineStr">
        <is>
          <t>12월</t>
        </is>
      </c>
      <c r="B9687" t="inlineStr">
        <is>
          <t>52주차</t>
        </is>
      </c>
      <c r="C9687" t="e">
        <v>#N/A</v>
      </c>
      <c r="K9687" t="n">
        <v>0</v>
      </c>
      <c r="L9687" t="n">
        <v>0</v>
      </c>
      <c r="M9687" t="n">
        <v>0</v>
      </c>
    </row>
    <row r="9688">
      <c r="A9688" t="inlineStr">
        <is>
          <t>12월</t>
        </is>
      </c>
      <c r="B9688" t="inlineStr">
        <is>
          <t>52주차</t>
        </is>
      </c>
      <c r="C9688" t="e">
        <v>#N/A</v>
      </c>
      <c r="K9688" t="n">
        <v>0</v>
      </c>
      <c r="L9688" t="n">
        <v>0</v>
      </c>
      <c r="M9688" t="n">
        <v>0</v>
      </c>
    </row>
    <row r="9689">
      <c r="A9689" t="inlineStr">
        <is>
          <t>12월</t>
        </is>
      </c>
      <c r="B9689" t="inlineStr">
        <is>
          <t>52주차</t>
        </is>
      </c>
      <c r="C9689" t="e">
        <v>#N/A</v>
      </c>
      <c r="K9689" t="n">
        <v>0</v>
      </c>
      <c r="L9689" t="n">
        <v>0</v>
      </c>
      <c r="M9689" t="n">
        <v>0</v>
      </c>
    </row>
    <row r="9690">
      <c r="A9690" t="inlineStr">
        <is>
          <t>12월</t>
        </is>
      </c>
      <c r="B9690" t="inlineStr">
        <is>
          <t>52주차</t>
        </is>
      </c>
      <c r="C9690" t="e">
        <v>#N/A</v>
      </c>
      <c r="K9690" t="n">
        <v>0</v>
      </c>
      <c r="L9690" t="n">
        <v>0</v>
      </c>
      <c r="M9690" t="n">
        <v>0</v>
      </c>
    </row>
    <row r="9691">
      <c r="A9691" t="inlineStr">
        <is>
          <t>12월</t>
        </is>
      </c>
      <c r="B9691" t="inlineStr">
        <is>
          <t>52주차</t>
        </is>
      </c>
      <c r="C9691" t="e">
        <v>#N/A</v>
      </c>
      <c r="K9691" t="n">
        <v>0</v>
      </c>
      <c r="L9691" t="n">
        <v>0</v>
      </c>
      <c r="M9691" t="n">
        <v>0</v>
      </c>
    </row>
    <row r="9692">
      <c r="A9692" t="inlineStr">
        <is>
          <t>12월</t>
        </is>
      </c>
      <c r="B9692" t="inlineStr">
        <is>
          <t>52주차</t>
        </is>
      </c>
      <c r="C9692" t="e">
        <v>#N/A</v>
      </c>
      <c r="K9692" t="n">
        <v>0</v>
      </c>
      <c r="L9692" t="n">
        <v>0</v>
      </c>
      <c r="M9692" t="n">
        <v>0</v>
      </c>
    </row>
    <row r="9693">
      <c r="A9693" t="inlineStr">
        <is>
          <t>12월</t>
        </is>
      </c>
      <c r="B9693" t="inlineStr">
        <is>
          <t>52주차</t>
        </is>
      </c>
      <c r="C9693" t="e">
        <v>#N/A</v>
      </c>
      <c r="K9693" t="n">
        <v>0</v>
      </c>
      <c r="L9693" t="n">
        <v>0</v>
      </c>
      <c r="M9693" t="n">
        <v>0</v>
      </c>
    </row>
    <row r="9694">
      <c r="A9694" t="inlineStr">
        <is>
          <t>12월</t>
        </is>
      </c>
      <c r="B9694" t="inlineStr">
        <is>
          <t>52주차</t>
        </is>
      </c>
      <c r="C9694" t="e">
        <v>#N/A</v>
      </c>
      <c r="K9694" t="n">
        <v>0</v>
      </c>
      <c r="L9694" t="n">
        <v>0</v>
      </c>
      <c r="M9694" t="n">
        <v>0</v>
      </c>
    </row>
    <row r="9695">
      <c r="A9695" t="inlineStr">
        <is>
          <t>12월</t>
        </is>
      </c>
      <c r="B9695" t="inlineStr">
        <is>
          <t>52주차</t>
        </is>
      </c>
      <c r="C9695" t="e">
        <v>#N/A</v>
      </c>
      <c r="K9695" t="n">
        <v>0</v>
      </c>
      <c r="L9695" t="n">
        <v>0</v>
      </c>
      <c r="M9695" t="n">
        <v>0</v>
      </c>
    </row>
    <row r="9696">
      <c r="A9696" t="inlineStr">
        <is>
          <t>12월</t>
        </is>
      </c>
      <c r="B9696" t="inlineStr">
        <is>
          <t>52주차</t>
        </is>
      </c>
      <c r="C9696" t="e">
        <v>#N/A</v>
      </c>
      <c r="K9696" t="n">
        <v>0</v>
      </c>
      <c r="L9696" t="n">
        <v>0</v>
      </c>
      <c r="M9696" t="n">
        <v>0</v>
      </c>
    </row>
    <row r="9697">
      <c r="A9697" t="inlineStr">
        <is>
          <t>12월</t>
        </is>
      </c>
      <c r="B9697" t="inlineStr">
        <is>
          <t>52주차</t>
        </is>
      </c>
      <c r="C9697" t="e">
        <v>#N/A</v>
      </c>
      <c r="K9697" t="n">
        <v>0</v>
      </c>
      <c r="L9697" t="n">
        <v>0</v>
      </c>
      <c r="M9697" t="n">
        <v>0</v>
      </c>
    </row>
    <row r="9698">
      <c r="A9698" t="inlineStr">
        <is>
          <t>12월</t>
        </is>
      </c>
      <c r="B9698" t="inlineStr">
        <is>
          <t>52주차</t>
        </is>
      </c>
      <c r="C9698" t="e">
        <v>#N/A</v>
      </c>
      <c r="K9698" t="n">
        <v>0</v>
      </c>
      <c r="L9698" t="n">
        <v>0</v>
      </c>
      <c r="M9698" t="n">
        <v>0</v>
      </c>
    </row>
    <row r="9699">
      <c r="A9699" t="inlineStr">
        <is>
          <t>12월</t>
        </is>
      </c>
      <c r="B9699" t="inlineStr">
        <is>
          <t>52주차</t>
        </is>
      </c>
      <c r="C9699" t="e">
        <v>#N/A</v>
      </c>
      <c r="K9699" t="n">
        <v>0</v>
      </c>
      <c r="L9699" t="n">
        <v>0</v>
      </c>
      <c r="M9699" t="n">
        <v>0</v>
      </c>
    </row>
    <row r="9700">
      <c r="A9700" t="inlineStr">
        <is>
          <t>12월</t>
        </is>
      </c>
      <c r="B9700" t="inlineStr">
        <is>
          <t>52주차</t>
        </is>
      </c>
      <c r="C9700" t="e">
        <v>#N/A</v>
      </c>
      <c r="K9700" t="n">
        <v>0</v>
      </c>
      <c r="L9700" t="n">
        <v>0</v>
      </c>
      <c r="M9700" t="n">
        <v>0</v>
      </c>
    </row>
    <row r="9701">
      <c r="A9701" t="inlineStr">
        <is>
          <t>12월</t>
        </is>
      </c>
      <c r="B9701" t="inlineStr">
        <is>
          <t>52주차</t>
        </is>
      </c>
      <c r="C9701" t="e">
        <v>#N/A</v>
      </c>
      <c r="K9701" t="n">
        <v>0</v>
      </c>
      <c r="L9701" t="n">
        <v>0</v>
      </c>
      <c r="M9701" t="n">
        <v>0</v>
      </c>
    </row>
    <row r="9702">
      <c r="A9702" t="inlineStr">
        <is>
          <t>12월</t>
        </is>
      </c>
      <c r="B9702" t="inlineStr">
        <is>
          <t>52주차</t>
        </is>
      </c>
      <c r="C9702" t="e">
        <v>#N/A</v>
      </c>
      <c r="K9702" t="n">
        <v>0</v>
      </c>
      <c r="L9702" t="n">
        <v>0</v>
      </c>
      <c r="M9702" t="n">
        <v>0</v>
      </c>
    </row>
    <row r="9703">
      <c r="A9703" t="inlineStr">
        <is>
          <t>12월</t>
        </is>
      </c>
      <c r="B9703" t="inlineStr">
        <is>
          <t>52주차</t>
        </is>
      </c>
      <c r="C9703" t="e">
        <v>#N/A</v>
      </c>
      <c r="K9703" t="n">
        <v>0</v>
      </c>
      <c r="L9703" t="n">
        <v>0</v>
      </c>
      <c r="M9703" t="n">
        <v>0</v>
      </c>
    </row>
    <row r="9704">
      <c r="A9704" t="inlineStr">
        <is>
          <t>12월</t>
        </is>
      </c>
      <c r="B9704" t="inlineStr">
        <is>
          <t>52주차</t>
        </is>
      </c>
      <c r="C9704" t="e">
        <v>#N/A</v>
      </c>
      <c r="K9704" t="n">
        <v>0</v>
      </c>
      <c r="L9704" t="n">
        <v>0</v>
      </c>
      <c r="M9704" t="n">
        <v>0</v>
      </c>
    </row>
    <row r="9705">
      <c r="A9705" t="inlineStr">
        <is>
          <t>12월</t>
        </is>
      </c>
      <c r="B9705" t="inlineStr">
        <is>
          <t>52주차</t>
        </is>
      </c>
      <c r="C9705" t="e">
        <v>#N/A</v>
      </c>
      <c r="K9705" t="n">
        <v>0</v>
      </c>
      <c r="L9705" t="n">
        <v>0</v>
      </c>
      <c r="M9705" t="n">
        <v>0</v>
      </c>
    </row>
    <row r="9706">
      <c r="A9706" t="inlineStr">
        <is>
          <t>12월</t>
        </is>
      </c>
      <c r="B9706" t="inlineStr">
        <is>
          <t>52주차</t>
        </is>
      </c>
      <c r="C9706" t="e">
        <v>#N/A</v>
      </c>
      <c r="K9706" t="n">
        <v>0</v>
      </c>
      <c r="L9706" t="n">
        <v>0</v>
      </c>
      <c r="M9706" t="n">
        <v>0</v>
      </c>
    </row>
    <row r="9707">
      <c r="A9707" t="inlineStr">
        <is>
          <t>12월</t>
        </is>
      </c>
      <c r="B9707" t="inlineStr">
        <is>
          <t>52주차</t>
        </is>
      </c>
      <c r="C9707" t="e">
        <v>#N/A</v>
      </c>
      <c r="K9707" t="n">
        <v>0</v>
      </c>
      <c r="L9707" t="n">
        <v>0</v>
      </c>
      <c r="M9707" t="n">
        <v>0</v>
      </c>
    </row>
    <row r="9708">
      <c r="A9708" t="inlineStr">
        <is>
          <t>12월</t>
        </is>
      </c>
      <c r="B9708" t="inlineStr">
        <is>
          <t>52주차</t>
        </is>
      </c>
      <c r="C9708" t="e">
        <v>#N/A</v>
      </c>
      <c r="K9708" t="n">
        <v>0</v>
      </c>
      <c r="L9708" t="n">
        <v>0</v>
      </c>
      <c r="M9708" t="n">
        <v>0</v>
      </c>
    </row>
    <row r="9709">
      <c r="A9709" t="inlineStr">
        <is>
          <t>12월</t>
        </is>
      </c>
      <c r="B9709" t="inlineStr">
        <is>
          <t>52주차</t>
        </is>
      </c>
      <c r="C9709" t="e">
        <v>#N/A</v>
      </c>
      <c r="K9709" t="n">
        <v>0</v>
      </c>
      <c r="L9709" t="n">
        <v>0</v>
      </c>
      <c r="M9709" t="n">
        <v>0</v>
      </c>
    </row>
    <row r="9710">
      <c r="A9710" t="inlineStr">
        <is>
          <t>12월</t>
        </is>
      </c>
      <c r="B9710" t="inlineStr">
        <is>
          <t>52주차</t>
        </is>
      </c>
      <c r="C9710" t="e">
        <v>#N/A</v>
      </c>
      <c r="K9710" t="n">
        <v>0</v>
      </c>
      <c r="L9710" t="n">
        <v>0</v>
      </c>
      <c r="M9710" t="n">
        <v>0</v>
      </c>
    </row>
    <row r="9711">
      <c r="A9711" t="inlineStr">
        <is>
          <t>12월</t>
        </is>
      </c>
      <c r="B9711" t="inlineStr">
        <is>
          <t>52주차</t>
        </is>
      </c>
      <c r="C9711" t="e">
        <v>#N/A</v>
      </c>
      <c r="K9711" t="n">
        <v>0</v>
      </c>
      <c r="L9711" t="n">
        <v>0</v>
      </c>
      <c r="M9711" t="n">
        <v>0</v>
      </c>
    </row>
    <row r="9712">
      <c r="A9712" t="inlineStr">
        <is>
          <t>12월</t>
        </is>
      </c>
      <c r="B9712" t="inlineStr">
        <is>
          <t>52주차</t>
        </is>
      </c>
      <c r="C9712" t="e">
        <v>#N/A</v>
      </c>
      <c r="K9712" t="n">
        <v>0</v>
      </c>
      <c r="L9712" t="n">
        <v>0</v>
      </c>
      <c r="M9712" t="n">
        <v>0</v>
      </c>
    </row>
    <row r="9713">
      <c r="A9713" t="inlineStr">
        <is>
          <t>12월</t>
        </is>
      </c>
      <c r="B9713" t="inlineStr">
        <is>
          <t>52주차</t>
        </is>
      </c>
      <c r="C9713" t="e">
        <v>#N/A</v>
      </c>
      <c r="K9713" t="n">
        <v>0</v>
      </c>
      <c r="L9713" t="n">
        <v>0</v>
      </c>
      <c r="M9713" t="n">
        <v>0</v>
      </c>
    </row>
    <row r="9714">
      <c r="A9714" t="inlineStr">
        <is>
          <t>12월</t>
        </is>
      </c>
      <c r="B9714" t="inlineStr">
        <is>
          <t>52주차</t>
        </is>
      </c>
      <c r="C9714" t="e">
        <v>#N/A</v>
      </c>
      <c r="K9714" t="n">
        <v>0</v>
      </c>
      <c r="L9714" t="n">
        <v>0</v>
      </c>
      <c r="M9714" t="n">
        <v>0</v>
      </c>
    </row>
    <row r="9715">
      <c r="A9715" t="inlineStr">
        <is>
          <t>12월</t>
        </is>
      </c>
      <c r="B9715" t="inlineStr">
        <is>
          <t>52주차</t>
        </is>
      </c>
      <c r="C9715" t="e">
        <v>#N/A</v>
      </c>
      <c r="K9715" t="n">
        <v>0</v>
      </c>
      <c r="L9715" t="n">
        <v>0</v>
      </c>
      <c r="M9715" t="n">
        <v>0</v>
      </c>
    </row>
    <row r="9716">
      <c r="A9716" t="inlineStr">
        <is>
          <t>12월</t>
        </is>
      </c>
      <c r="B9716" t="inlineStr">
        <is>
          <t>52주차</t>
        </is>
      </c>
      <c r="C9716" t="e">
        <v>#N/A</v>
      </c>
      <c r="K9716" t="n">
        <v>0</v>
      </c>
      <c r="L9716" t="n">
        <v>0</v>
      </c>
      <c r="M9716" t="n">
        <v>0</v>
      </c>
    </row>
    <row r="9717">
      <c r="A9717" t="inlineStr">
        <is>
          <t>12월</t>
        </is>
      </c>
      <c r="B9717" t="inlineStr">
        <is>
          <t>52주차</t>
        </is>
      </c>
      <c r="C9717" t="e">
        <v>#N/A</v>
      </c>
      <c r="K9717" t="n">
        <v>0</v>
      </c>
      <c r="L9717" t="n">
        <v>0</v>
      </c>
      <c r="M9717" t="n">
        <v>0</v>
      </c>
    </row>
    <row r="9718">
      <c r="A9718" t="inlineStr">
        <is>
          <t>12월</t>
        </is>
      </c>
      <c r="B9718" t="inlineStr">
        <is>
          <t>52주차</t>
        </is>
      </c>
      <c r="C9718" t="e">
        <v>#N/A</v>
      </c>
      <c r="K9718" t="n">
        <v>0</v>
      </c>
      <c r="L9718" t="n">
        <v>0</v>
      </c>
      <c r="M9718" t="n">
        <v>0</v>
      </c>
    </row>
    <row r="9719">
      <c r="A9719" t="inlineStr">
        <is>
          <t>12월</t>
        </is>
      </c>
      <c r="B9719" t="inlineStr">
        <is>
          <t>52주차</t>
        </is>
      </c>
      <c r="C9719" t="e">
        <v>#N/A</v>
      </c>
      <c r="K9719" t="n">
        <v>0</v>
      </c>
      <c r="L9719" t="n">
        <v>0</v>
      </c>
      <c r="M9719" t="n">
        <v>0</v>
      </c>
    </row>
    <row r="9720">
      <c r="A9720" t="inlineStr">
        <is>
          <t>12월</t>
        </is>
      </c>
      <c r="B9720" t="inlineStr">
        <is>
          <t>52주차</t>
        </is>
      </c>
      <c r="C9720" t="e">
        <v>#N/A</v>
      </c>
      <c r="K9720" t="n">
        <v>0</v>
      </c>
      <c r="L9720" t="n">
        <v>0</v>
      </c>
      <c r="M9720" t="n">
        <v>0</v>
      </c>
    </row>
    <row r="9721">
      <c r="A9721" t="inlineStr">
        <is>
          <t>12월</t>
        </is>
      </c>
      <c r="B9721" t="inlineStr">
        <is>
          <t>52주차</t>
        </is>
      </c>
      <c r="C9721" t="e">
        <v>#N/A</v>
      </c>
      <c r="K9721" t="n">
        <v>0</v>
      </c>
      <c r="L9721" t="n">
        <v>0</v>
      </c>
      <c r="M9721" t="n">
        <v>0</v>
      </c>
    </row>
    <row r="9722">
      <c r="A9722" t="inlineStr">
        <is>
          <t>12월</t>
        </is>
      </c>
      <c r="B9722" t="inlineStr">
        <is>
          <t>52주차</t>
        </is>
      </c>
      <c r="C9722" t="e">
        <v>#N/A</v>
      </c>
      <c r="K9722" t="n">
        <v>0</v>
      </c>
      <c r="L9722" t="n">
        <v>0</v>
      </c>
      <c r="M9722" t="n">
        <v>0</v>
      </c>
    </row>
    <row r="9723">
      <c r="A9723" t="inlineStr">
        <is>
          <t>12월</t>
        </is>
      </c>
      <c r="B9723" t="inlineStr">
        <is>
          <t>52주차</t>
        </is>
      </c>
      <c r="C9723" t="e">
        <v>#N/A</v>
      </c>
      <c r="K9723" t="n">
        <v>0</v>
      </c>
      <c r="L9723" t="n">
        <v>0</v>
      </c>
      <c r="M9723" t="n">
        <v>0</v>
      </c>
    </row>
    <row r="9724">
      <c r="A9724" t="inlineStr">
        <is>
          <t>12월</t>
        </is>
      </c>
      <c r="B9724" t="inlineStr">
        <is>
          <t>52주차</t>
        </is>
      </c>
      <c r="C9724" t="e">
        <v>#N/A</v>
      </c>
      <c r="K9724" t="n">
        <v>0</v>
      </c>
      <c r="L9724" t="n">
        <v>0</v>
      </c>
      <c r="M9724" t="n">
        <v>0</v>
      </c>
    </row>
    <row r="9725">
      <c r="A9725" t="inlineStr">
        <is>
          <t>12월</t>
        </is>
      </c>
      <c r="B9725" t="inlineStr">
        <is>
          <t>52주차</t>
        </is>
      </c>
      <c r="C9725" t="e">
        <v>#N/A</v>
      </c>
      <c r="K9725" t="n">
        <v>0</v>
      </c>
      <c r="L9725" t="n">
        <v>0</v>
      </c>
      <c r="M9725" t="n">
        <v>0</v>
      </c>
    </row>
    <row r="9726">
      <c r="A9726" t="inlineStr">
        <is>
          <t>12월</t>
        </is>
      </c>
      <c r="B9726" t="inlineStr">
        <is>
          <t>52주차</t>
        </is>
      </c>
      <c r="C9726" t="e">
        <v>#N/A</v>
      </c>
      <c r="K9726" t="n">
        <v>0</v>
      </c>
      <c r="L9726" t="n">
        <v>0</v>
      </c>
      <c r="M9726" t="n">
        <v>0</v>
      </c>
    </row>
    <row r="9727">
      <c r="A9727" t="inlineStr">
        <is>
          <t>12월</t>
        </is>
      </c>
      <c r="B9727" t="inlineStr">
        <is>
          <t>52주차</t>
        </is>
      </c>
      <c r="C9727" t="e">
        <v>#N/A</v>
      </c>
      <c r="K9727" t="n">
        <v>0</v>
      </c>
      <c r="L9727" t="n">
        <v>0</v>
      </c>
      <c r="M9727" t="n">
        <v>0</v>
      </c>
    </row>
    <row r="9728">
      <c r="A9728" t="inlineStr">
        <is>
          <t>12월</t>
        </is>
      </c>
      <c r="B9728" t="inlineStr">
        <is>
          <t>52주차</t>
        </is>
      </c>
      <c r="C9728" t="e">
        <v>#N/A</v>
      </c>
      <c r="K9728" t="n">
        <v>0</v>
      </c>
      <c r="L9728" t="n">
        <v>0</v>
      </c>
      <c r="M9728" t="n">
        <v>0</v>
      </c>
    </row>
    <row r="9729">
      <c r="A9729" t="inlineStr">
        <is>
          <t>12월</t>
        </is>
      </c>
      <c r="B9729" t="inlineStr">
        <is>
          <t>52주차</t>
        </is>
      </c>
      <c r="C9729" t="e">
        <v>#N/A</v>
      </c>
      <c r="K9729" t="n">
        <v>0</v>
      </c>
      <c r="L9729" t="n">
        <v>0</v>
      </c>
      <c r="M9729" t="n">
        <v>0</v>
      </c>
    </row>
    <row r="9730">
      <c r="A9730" t="inlineStr">
        <is>
          <t>12월</t>
        </is>
      </c>
      <c r="B9730" t="inlineStr">
        <is>
          <t>52주차</t>
        </is>
      </c>
      <c r="C9730" t="e">
        <v>#N/A</v>
      </c>
      <c r="K9730" t="n">
        <v>0</v>
      </c>
      <c r="L9730" t="n">
        <v>0</v>
      </c>
      <c r="M9730" t="n">
        <v>0</v>
      </c>
    </row>
    <row r="9731">
      <c r="A9731" t="inlineStr">
        <is>
          <t>12월</t>
        </is>
      </c>
      <c r="B9731" t="inlineStr">
        <is>
          <t>52주차</t>
        </is>
      </c>
      <c r="C9731" t="e">
        <v>#N/A</v>
      </c>
      <c r="K9731" t="n">
        <v>0</v>
      </c>
      <c r="L9731" t="n">
        <v>0</v>
      </c>
      <c r="M9731" t="n">
        <v>0</v>
      </c>
    </row>
    <row r="9732">
      <c r="A9732" t="inlineStr">
        <is>
          <t>12월</t>
        </is>
      </c>
      <c r="B9732" t="inlineStr">
        <is>
          <t>52주차</t>
        </is>
      </c>
      <c r="C9732" t="e">
        <v>#N/A</v>
      </c>
      <c r="K9732" t="n">
        <v>0</v>
      </c>
      <c r="L9732" t="n">
        <v>0</v>
      </c>
      <c r="M9732" t="n">
        <v>0</v>
      </c>
    </row>
    <row r="9733">
      <c r="A9733" t="inlineStr">
        <is>
          <t>12월</t>
        </is>
      </c>
      <c r="B9733" t="inlineStr">
        <is>
          <t>52주차</t>
        </is>
      </c>
      <c r="C9733" t="e">
        <v>#N/A</v>
      </c>
      <c r="K9733" t="n">
        <v>0</v>
      </c>
      <c r="L9733" t="n">
        <v>0</v>
      </c>
      <c r="M9733" t="n">
        <v>0</v>
      </c>
    </row>
    <row r="9734">
      <c r="A9734" t="inlineStr">
        <is>
          <t>12월</t>
        </is>
      </c>
      <c r="B9734" t="inlineStr">
        <is>
          <t>52주차</t>
        </is>
      </c>
      <c r="C9734" t="e">
        <v>#N/A</v>
      </c>
      <c r="K9734" t="n">
        <v>0</v>
      </c>
      <c r="L9734" t="n">
        <v>0</v>
      </c>
      <c r="M9734" t="n">
        <v>0</v>
      </c>
    </row>
    <row r="9735">
      <c r="A9735" t="inlineStr">
        <is>
          <t>12월</t>
        </is>
      </c>
      <c r="B9735" t="inlineStr">
        <is>
          <t>52주차</t>
        </is>
      </c>
      <c r="C9735" t="e">
        <v>#N/A</v>
      </c>
      <c r="K9735" t="n">
        <v>0</v>
      </c>
      <c r="L9735" t="n">
        <v>0</v>
      </c>
      <c r="M9735" t="n">
        <v>0</v>
      </c>
    </row>
    <row r="9736">
      <c r="A9736" t="inlineStr">
        <is>
          <t>12월</t>
        </is>
      </c>
      <c r="B9736" t="inlineStr">
        <is>
          <t>52주차</t>
        </is>
      </c>
      <c r="C9736" t="e">
        <v>#N/A</v>
      </c>
      <c r="K9736" t="n">
        <v>0</v>
      </c>
      <c r="L9736" t="n">
        <v>0</v>
      </c>
      <c r="M9736" t="n">
        <v>0</v>
      </c>
    </row>
    <row r="9737">
      <c r="A9737" t="inlineStr">
        <is>
          <t>12월</t>
        </is>
      </c>
      <c r="B9737" t="inlineStr">
        <is>
          <t>52주차</t>
        </is>
      </c>
      <c r="C9737" t="e">
        <v>#N/A</v>
      </c>
      <c r="K9737" t="n">
        <v>0</v>
      </c>
      <c r="L9737" t="n">
        <v>0</v>
      </c>
      <c r="M9737" t="n">
        <v>0</v>
      </c>
    </row>
    <row r="9738">
      <c r="A9738" t="inlineStr">
        <is>
          <t>12월</t>
        </is>
      </c>
      <c r="B9738" t="inlineStr">
        <is>
          <t>52주차</t>
        </is>
      </c>
      <c r="C9738" t="e">
        <v>#N/A</v>
      </c>
      <c r="K9738" t="n">
        <v>0</v>
      </c>
      <c r="L9738" t="n">
        <v>0</v>
      </c>
      <c r="M9738" t="n">
        <v>0</v>
      </c>
    </row>
    <row r="9739">
      <c r="A9739" t="inlineStr">
        <is>
          <t>12월</t>
        </is>
      </c>
      <c r="B9739" t="inlineStr">
        <is>
          <t>52주차</t>
        </is>
      </c>
      <c r="C9739" t="e">
        <v>#N/A</v>
      </c>
      <c r="K9739" t="n">
        <v>0</v>
      </c>
      <c r="L9739" t="n">
        <v>0</v>
      </c>
      <c r="M9739" t="n">
        <v>0</v>
      </c>
    </row>
    <row r="9740">
      <c r="A9740" t="inlineStr">
        <is>
          <t>12월</t>
        </is>
      </c>
      <c r="B9740" t="inlineStr">
        <is>
          <t>52주차</t>
        </is>
      </c>
      <c r="C9740" t="e">
        <v>#N/A</v>
      </c>
      <c r="K9740" t="n">
        <v>0</v>
      </c>
      <c r="L9740" t="n">
        <v>0</v>
      </c>
      <c r="M9740" t="n">
        <v>0</v>
      </c>
    </row>
    <row r="9741">
      <c r="A9741" t="inlineStr">
        <is>
          <t>12월</t>
        </is>
      </c>
      <c r="B9741" t="inlineStr">
        <is>
          <t>52주차</t>
        </is>
      </c>
      <c r="C9741" t="e">
        <v>#N/A</v>
      </c>
      <c r="K9741" t="n">
        <v>0</v>
      </c>
      <c r="L9741" t="n">
        <v>0</v>
      </c>
      <c r="M9741" t="n">
        <v>0</v>
      </c>
    </row>
    <row r="9742">
      <c r="A9742" t="inlineStr">
        <is>
          <t>12월</t>
        </is>
      </c>
      <c r="B9742" t="inlineStr">
        <is>
          <t>52주차</t>
        </is>
      </c>
      <c r="C9742" t="e">
        <v>#N/A</v>
      </c>
      <c r="K9742" t="n">
        <v>0</v>
      </c>
      <c r="L9742" t="n">
        <v>0</v>
      </c>
      <c r="M9742" t="n">
        <v>0</v>
      </c>
    </row>
    <row r="9743">
      <c r="A9743" t="inlineStr">
        <is>
          <t>12월</t>
        </is>
      </c>
      <c r="B9743" t="inlineStr">
        <is>
          <t>52주차</t>
        </is>
      </c>
      <c r="C9743" t="e">
        <v>#N/A</v>
      </c>
      <c r="K9743" t="n">
        <v>0</v>
      </c>
      <c r="L9743" t="n">
        <v>0</v>
      </c>
      <c r="M9743" t="n">
        <v>0</v>
      </c>
    </row>
    <row r="9744">
      <c r="A9744" t="inlineStr">
        <is>
          <t>12월</t>
        </is>
      </c>
      <c r="B9744" t="inlineStr">
        <is>
          <t>52주차</t>
        </is>
      </c>
      <c r="C9744" t="e">
        <v>#N/A</v>
      </c>
      <c r="K9744" t="n">
        <v>0</v>
      </c>
      <c r="L9744" t="n">
        <v>0</v>
      </c>
      <c r="M9744" t="n">
        <v>0</v>
      </c>
    </row>
    <row r="9745">
      <c r="A9745" t="inlineStr">
        <is>
          <t>12월</t>
        </is>
      </c>
      <c r="B9745" t="inlineStr">
        <is>
          <t>52주차</t>
        </is>
      </c>
      <c r="C9745" t="e">
        <v>#N/A</v>
      </c>
      <c r="K9745" t="n">
        <v>0</v>
      </c>
      <c r="L9745" t="n">
        <v>0</v>
      </c>
      <c r="M9745" t="n">
        <v>0</v>
      </c>
    </row>
    <row r="9746">
      <c r="A9746" t="inlineStr">
        <is>
          <t>12월</t>
        </is>
      </c>
      <c r="B9746" t="inlineStr">
        <is>
          <t>52주차</t>
        </is>
      </c>
      <c r="C9746" t="e">
        <v>#N/A</v>
      </c>
      <c r="K9746" t="n">
        <v>0</v>
      </c>
      <c r="L9746" t="n">
        <v>0</v>
      </c>
      <c r="M9746" t="n">
        <v>0</v>
      </c>
    </row>
    <row r="9747">
      <c r="A9747" t="inlineStr">
        <is>
          <t>12월</t>
        </is>
      </c>
      <c r="B9747" t="inlineStr">
        <is>
          <t>52주차</t>
        </is>
      </c>
      <c r="C9747" t="e">
        <v>#N/A</v>
      </c>
      <c r="K9747" t="n">
        <v>0</v>
      </c>
      <c r="L9747" t="n">
        <v>0</v>
      </c>
      <c r="M9747" t="n">
        <v>0</v>
      </c>
    </row>
    <row r="9748">
      <c r="A9748" t="inlineStr">
        <is>
          <t>12월</t>
        </is>
      </c>
      <c r="B9748" t="inlineStr">
        <is>
          <t>52주차</t>
        </is>
      </c>
      <c r="C9748" t="e">
        <v>#N/A</v>
      </c>
      <c r="K9748" t="n">
        <v>0</v>
      </c>
      <c r="L9748" t="n">
        <v>0</v>
      </c>
      <c r="M9748" t="n">
        <v>0</v>
      </c>
    </row>
    <row r="9749">
      <c r="A9749" t="inlineStr">
        <is>
          <t>12월</t>
        </is>
      </c>
      <c r="B9749" t="inlineStr">
        <is>
          <t>52주차</t>
        </is>
      </c>
      <c r="C9749" t="e">
        <v>#N/A</v>
      </c>
      <c r="K9749" t="n">
        <v>0</v>
      </c>
      <c r="L9749" t="n">
        <v>0</v>
      </c>
      <c r="M9749" t="n">
        <v>0</v>
      </c>
    </row>
    <row r="9750">
      <c r="A9750" t="inlineStr">
        <is>
          <t>12월</t>
        </is>
      </c>
      <c r="B9750" t="inlineStr">
        <is>
          <t>52주차</t>
        </is>
      </c>
      <c r="C9750" t="e">
        <v>#N/A</v>
      </c>
      <c r="K9750" t="n">
        <v>0</v>
      </c>
      <c r="L9750" t="n">
        <v>0</v>
      </c>
      <c r="M9750" t="n">
        <v>0</v>
      </c>
    </row>
    <row r="9751">
      <c r="A9751" t="inlineStr">
        <is>
          <t>12월</t>
        </is>
      </c>
      <c r="B9751" t="inlineStr">
        <is>
          <t>52주차</t>
        </is>
      </c>
      <c r="C9751" t="e">
        <v>#N/A</v>
      </c>
      <c r="K9751" t="n">
        <v>0</v>
      </c>
      <c r="L9751" t="n">
        <v>0</v>
      </c>
      <c r="M9751" t="n">
        <v>0</v>
      </c>
    </row>
    <row r="9752">
      <c r="A9752" t="inlineStr">
        <is>
          <t>12월</t>
        </is>
      </c>
      <c r="B9752" t="inlineStr">
        <is>
          <t>52주차</t>
        </is>
      </c>
      <c r="C9752" t="e">
        <v>#N/A</v>
      </c>
      <c r="K9752" t="n">
        <v>0</v>
      </c>
      <c r="L9752" t="n">
        <v>0</v>
      </c>
      <c r="M9752" t="n">
        <v>0</v>
      </c>
    </row>
    <row r="9753">
      <c r="A9753" t="inlineStr">
        <is>
          <t>12월</t>
        </is>
      </c>
      <c r="B9753" t="inlineStr">
        <is>
          <t>52주차</t>
        </is>
      </c>
      <c r="C9753" t="e">
        <v>#N/A</v>
      </c>
      <c r="K9753" t="n">
        <v>0</v>
      </c>
      <c r="L9753" t="n">
        <v>0</v>
      </c>
      <c r="M9753" t="n">
        <v>0</v>
      </c>
    </row>
    <row r="9754">
      <c r="A9754" t="inlineStr">
        <is>
          <t>12월</t>
        </is>
      </c>
      <c r="B9754" t="inlineStr">
        <is>
          <t>52주차</t>
        </is>
      </c>
      <c r="C9754" t="e">
        <v>#N/A</v>
      </c>
      <c r="K9754" t="n">
        <v>0</v>
      </c>
      <c r="L9754" t="n">
        <v>0</v>
      </c>
      <c r="M9754" t="n">
        <v>0</v>
      </c>
    </row>
    <row r="9755">
      <c r="A9755" t="inlineStr">
        <is>
          <t>12월</t>
        </is>
      </c>
      <c r="B9755" t="inlineStr">
        <is>
          <t>52주차</t>
        </is>
      </c>
      <c r="C9755" t="e">
        <v>#N/A</v>
      </c>
      <c r="K9755" t="n">
        <v>0</v>
      </c>
      <c r="L9755" t="n">
        <v>0</v>
      </c>
      <c r="M9755" t="n">
        <v>0</v>
      </c>
    </row>
    <row r="9756">
      <c r="A9756" t="inlineStr">
        <is>
          <t>12월</t>
        </is>
      </c>
      <c r="B9756" t="inlineStr">
        <is>
          <t>52주차</t>
        </is>
      </c>
      <c r="C9756" t="e">
        <v>#N/A</v>
      </c>
      <c r="K9756" t="n">
        <v>0</v>
      </c>
      <c r="L9756" t="n">
        <v>0</v>
      </c>
      <c r="M9756" t="n">
        <v>0</v>
      </c>
    </row>
    <row r="9757">
      <c r="A9757" t="inlineStr">
        <is>
          <t>12월</t>
        </is>
      </c>
      <c r="B9757" t="inlineStr">
        <is>
          <t>52주차</t>
        </is>
      </c>
      <c r="C9757" t="e">
        <v>#N/A</v>
      </c>
      <c r="K9757" t="n">
        <v>0</v>
      </c>
      <c r="L9757" t="n">
        <v>0</v>
      </c>
      <c r="M9757" t="n">
        <v>0</v>
      </c>
    </row>
    <row r="9758">
      <c r="A9758" t="inlineStr">
        <is>
          <t>12월</t>
        </is>
      </c>
      <c r="B9758" t="inlineStr">
        <is>
          <t>52주차</t>
        </is>
      </c>
      <c r="C9758" t="e">
        <v>#N/A</v>
      </c>
      <c r="K9758" t="n">
        <v>0</v>
      </c>
      <c r="L9758" t="n">
        <v>0</v>
      </c>
      <c r="M9758" t="n">
        <v>0</v>
      </c>
    </row>
    <row r="9759">
      <c r="A9759" t="inlineStr">
        <is>
          <t>12월</t>
        </is>
      </c>
      <c r="B9759" t="inlineStr">
        <is>
          <t>52주차</t>
        </is>
      </c>
      <c r="C9759" t="e">
        <v>#N/A</v>
      </c>
      <c r="K9759" t="n">
        <v>0</v>
      </c>
      <c r="L9759" t="n">
        <v>0</v>
      </c>
      <c r="M9759" t="n">
        <v>0</v>
      </c>
    </row>
    <row r="9760">
      <c r="A9760" t="inlineStr">
        <is>
          <t>12월</t>
        </is>
      </c>
      <c r="B9760" t="inlineStr">
        <is>
          <t>52주차</t>
        </is>
      </c>
      <c r="C9760" t="e">
        <v>#N/A</v>
      </c>
      <c r="K9760" t="n">
        <v>0</v>
      </c>
      <c r="L9760" t="n">
        <v>0</v>
      </c>
      <c r="M9760" t="n">
        <v>0</v>
      </c>
    </row>
    <row r="9761">
      <c r="A9761" t="inlineStr">
        <is>
          <t>12월</t>
        </is>
      </c>
      <c r="B9761" t="inlineStr">
        <is>
          <t>52주차</t>
        </is>
      </c>
      <c r="C9761" t="e">
        <v>#N/A</v>
      </c>
      <c r="K9761" t="n">
        <v>0</v>
      </c>
      <c r="L9761" t="n">
        <v>0</v>
      </c>
      <c r="M9761" t="n">
        <v>0</v>
      </c>
    </row>
    <row r="9762">
      <c r="A9762" t="inlineStr">
        <is>
          <t>12월</t>
        </is>
      </c>
      <c r="B9762" t="inlineStr">
        <is>
          <t>52주차</t>
        </is>
      </c>
      <c r="C9762" t="e">
        <v>#N/A</v>
      </c>
      <c r="K9762" t="n">
        <v>0</v>
      </c>
      <c r="L9762" t="n">
        <v>0</v>
      </c>
      <c r="M9762" t="n">
        <v>0</v>
      </c>
    </row>
    <row r="9763">
      <c r="A9763" t="inlineStr">
        <is>
          <t>12월</t>
        </is>
      </c>
      <c r="B9763" t="inlineStr">
        <is>
          <t>52주차</t>
        </is>
      </c>
      <c r="C9763" t="e">
        <v>#N/A</v>
      </c>
      <c r="K9763" t="n">
        <v>0</v>
      </c>
      <c r="L9763" t="n">
        <v>0</v>
      </c>
      <c r="M9763" t="n">
        <v>0</v>
      </c>
    </row>
    <row r="9764">
      <c r="A9764" t="inlineStr">
        <is>
          <t>12월</t>
        </is>
      </c>
      <c r="B9764" t="inlineStr">
        <is>
          <t>52주차</t>
        </is>
      </c>
      <c r="C9764" t="e">
        <v>#N/A</v>
      </c>
      <c r="K9764" t="n">
        <v>0</v>
      </c>
      <c r="L9764" t="n">
        <v>0</v>
      </c>
      <c r="M9764" t="n">
        <v>0</v>
      </c>
    </row>
    <row r="9765">
      <c r="A9765" t="inlineStr">
        <is>
          <t>12월</t>
        </is>
      </c>
      <c r="B9765" t="inlineStr">
        <is>
          <t>52주차</t>
        </is>
      </c>
      <c r="C9765" t="e">
        <v>#N/A</v>
      </c>
      <c r="K9765" t="n">
        <v>0</v>
      </c>
      <c r="L9765" t="n">
        <v>0</v>
      </c>
      <c r="M9765" t="n">
        <v>0</v>
      </c>
    </row>
    <row r="9766">
      <c r="A9766" t="inlineStr">
        <is>
          <t>12월</t>
        </is>
      </c>
      <c r="B9766" t="inlineStr">
        <is>
          <t>52주차</t>
        </is>
      </c>
      <c r="C9766" t="e">
        <v>#N/A</v>
      </c>
      <c r="K9766" t="n">
        <v>0</v>
      </c>
      <c r="L9766" t="n">
        <v>0</v>
      </c>
      <c r="M9766" t="n">
        <v>0</v>
      </c>
    </row>
    <row r="9767">
      <c r="A9767" t="inlineStr">
        <is>
          <t>12월</t>
        </is>
      </c>
      <c r="B9767" t="inlineStr">
        <is>
          <t>52주차</t>
        </is>
      </c>
      <c r="C9767" t="e">
        <v>#N/A</v>
      </c>
      <c r="K9767" t="n">
        <v>0</v>
      </c>
      <c r="L9767" t="n">
        <v>0</v>
      </c>
      <c r="M9767" t="n">
        <v>0</v>
      </c>
    </row>
    <row r="9768">
      <c r="A9768" t="inlineStr">
        <is>
          <t>12월</t>
        </is>
      </c>
      <c r="B9768" t="inlineStr">
        <is>
          <t>52주차</t>
        </is>
      </c>
      <c r="C9768" t="e">
        <v>#N/A</v>
      </c>
      <c r="K9768" t="n">
        <v>0</v>
      </c>
      <c r="L9768" t="n">
        <v>0</v>
      </c>
      <c r="M9768" t="n">
        <v>0</v>
      </c>
    </row>
    <row r="9769">
      <c r="A9769" t="inlineStr">
        <is>
          <t>12월</t>
        </is>
      </c>
      <c r="B9769" t="inlineStr">
        <is>
          <t>52주차</t>
        </is>
      </c>
      <c r="C9769" t="e">
        <v>#N/A</v>
      </c>
      <c r="K9769" t="n">
        <v>0</v>
      </c>
      <c r="L9769" t="n">
        <v>0</v>
      </c>
      <c r="M9769" t="n">
        <v>0</v>
      </c>
    </row>
    <row r="9770">
      <c r="A9770" t="inlineStr">
        <is>
          <t>12월</t>
        </is>
      </c>
      <c r="B9770" t="inlineStr">
        <is>
          <t>52주차</t>
        </is>
      </c>
      <c r="C9770" t="e">
        <v>#N/A</v>
      </c>
      <c r="K9770" t="n">
        <v>0</v>
      </c>
      <c r="L9770" t="n">
        <v>0</v>
      </c>
      <c r="M9770" t="n">
        <v>0</v>
      </c>
    </row>
    <row r="9771">
      <c r="A9771" t="inlineStr">
        <is>
          <t>12월</t>
        </is>
      </c>
      <c r="B9771" t="inlineStr">
        <is>
          <t>52주차</t>
        </is>
      </c>
      <c r="C9771" t="e">
        <v>#N/A</v>
      </c>
      <c r="K9771" t="n">
        <v>0</v>
      </c>
      <c r="L9771" t="n">
        <v>0</v>
      </c>
      <c r="M9771" t="n">
        <v>0</v>
      </c>
    </row>
    <row r="9772">
      <c r="A9772" t="inlineStr">
        <is>
          <t>12월</t>
        </is>
      </c>
      <c r="B9772" t="inlineStr">
        <is>
          <t>52주차</t>
        </is>
      </c>
      <c r="C9772" t="e">
        <v>#N/A</v>
      </c>
      <c r="K9772" t="n">
        <v>0</v>
      </c>
      <c r="L9772" t="n">
        <v>0</v>
      </c>
      <c r="M9772" t="n">
        <v>0</v>
      </c>
    </row>
    <row r="9773">
      <c r="A9773" t="inlineStr">
        <is>
          <t>12월</t>
        </is>
      </c>
      <c r="B9773" t="inlineStr">
        <is>
          <t>52주차</t>
        </is>
      </c>
      <c r="C9773" t="e">
        <v>#N/A</v>
      </c>
      <c r="K9773" t="n">
        <v>0</v>
      </c>
      <c r="L9773" t="n">
        <v>0</v>
      </c>
      <c r="M9773" t="n">
        <v>0</v>
      </c>
    </row>
    <row r="9774">
      <c r="A9774" t="inlineStr">
        <is>
          <t>12월</t>
        </is>
      </c>
      <c r="B9774" t="inlineStr">
        <is>
          <t>52주차</t>
        </is>
      </c>
      <c r="C9774" t="e">
        <v>#N/A</v>
      </c>
      <c r="K9774" t="n">
        <v>0</v>
      </c>
      <c r="L9774" t="n">
        <v>0</v>
      </c>
      <c r="M9774" t="n">
        <v>0</v>
      </c>
    </row>
    <row r="9775">
      <c r="A9775" t="inlineStr">
        <is>
          <t>12월</t>
        </is>
      </c>
      <c r="B9775" t="inlineStr">
        <is>
          <t>52주차</t>
        </is>
      </c>
      <c r="C9775" t="e">
        <v>#N/A</v>
      </c>
      <c r="K9775" t="n">
        <v>0</v>
      </c>
      <c r="L9775" t="n">
        <v>0</v>
      </c>
      <c r="M9775" t="n">
        <v>0</v>
      </c>
    </row>
    <row r="9776">
      <c r="A9776" t="inlineStr">
        <is>
          <t>12월</t>
        </is>
      </c>
      <c r="B9776" t="inlineStr">
        <is>
          <t>52주차</t>
        </is>
      </c>
      <c r="C9776" t="e">
        <v>#N/A</v>
      </c>
      <c r="K9776" t="n">
        <v>0</v>
      </c>
      <c r="L9776" t="n">
        <v>0</v>
      </c>
      <c r="M9776" t="n">
        <v>0</v>
      </c>
    </row>
    <row r="9777">
      <c r="A9777" t="inlineStr">
        <is>
          <t>12월</t>
        </is>
      </c>
      <c r="B9777" t="inlineStr">
        <is>
          <t>52주차</t>
        </is>
      </c>
      <c r="C9777" t="e">
        <v>#N/A</v>
      </c>
      <c r="K9777" t="n">
        <v>0</v>
      </c>
      <c r="L9777" t="n">
        <v>0</v>
      </c>
      <c r="M9777" t="n">
        <v>0</v>
      </c>
    </row>
    <row r="9778">
      <c r="A9778" t="inlineStr">
        <is>
          <t>12월</t>
        </is>
      </c>
      <c r="B9778" t="inlineStr">
        <is>
          <t>52주차</t>
        </is>
      </c>
      <c r="C9778" t="e">
        <v>#N/A</v>
      </c>
      <c r="K9778" t="n">
        <v>0</v>
      </c>
      <c r="L9778" t="n">
        <v>0</v>
      </c>
      <c r="M9778" t="n">
        <v>0</v>
      </c>
    </row>
    <row r="9779">
      <c r="A9779" t="inlineStr">
        <is>
          <t>12월</t>
        </is>
      </c>
      <c r="B9779" t="inlineStr">
        <is>
          <t>52주차</t>
        </is>
      </c>
      <c r="C9779" t="e">
        <v>#N/A</v>
      </c>
      <c r="K9779" t="n">
        <v>0</v>
      </c>
      <c r="L9779" t="n">
        <v>0</v>
      </c>
      <c r="M9779" t="n">
        <v>0</v>
      </c>
    </row>
    <row r="9780">
      <c r="A9780" t="inlineStr">
        <is>
          <t>12월</t>
        </is>
      </c>
      <c r="B9780" t="inlineStr">
        <is>
          <t>52주차</t>
        </is>
      </c>
      <c r="C9780" t="e">
        <v>#N/A</v>
      </c>
      <c r="K9780" t="n">
        <v>0</v>
      </c>
      <c r="L9780" t="n">
        <v>0</v>
      </c>
      <c r="M9780" t="n">
        <v>0</v>
      </c>
    </row>
    <row r="9781">
      <c r="A9781" t="inlineStr">
        <is>
          <t>12월</t>
        </is>
      </c>
      <c r="B9781" t="inlineStr">
        <is>
          <t>52주차</t>
        </is>
      </c>
      <c r="C9781" t="e">
        <v>#N/A</v>
      </c>
      <c r="K9781" t="n">
        <v>0</v>
      </c>
      <c r="L9781" t="n">
        <v>0</v>
      </c>
      <c r="M9781" t="n">
        <v>0</v>
      </c>
    </row>
    <row r="9782">
      <c r="A9782" t="inlineStr">
        <is>
          <t>12월</t>
        </is>
      </c>
      <c r="B9782" t="inlineStr">
        <is>
          <t>52주차</t>
        </is>
      </c>
      <c r="C9782" t="e">
        <v>#N/A</v>
      </c>
      <c r="K9782" t="n">
        <v>0</v>
      </c>
      <c r="L9782" t="n">
        <v>0</v>
      </c>
      <c r="M9782" t="n">
        <v>0</v>
      </c>
    </row>
    <row r="9783">
      <c r="A9783" t="inlineStr">
        <is>
          <t>12월</t>
        </is>
      </c>
      <c r="B9783" t="inlineStr">
        <is>
          <t>52주차</t>
        </is>
      </c>
      <c r="C9783" t="e">
        <v>#N/A</v>
      </c>
      <c r="K9783" t="n">
        <v>0</v>
      </c>
      <c r="L9783" t="n">
        <v>0</v>
      </c>
      <c r="M9783" t="n">
        <v>0</v>
      </c>
    </row>
    <row r="9784">
      <c r="A9784" t="inlineStr">
        <is>
          <t>12월</t>
        </is>
      </c>
      <c r="B9784" t="inlineStr">
        <is>
          <t>52주차</t>
        </is>
      </c>
      <c r="C9784" t="e">
        <v>#N/A</v>
      </c>
      <c r="K9784" t="n">
        <v>0</v>
      </c>
      <c r="L9784" t="n">
        <v>0</v>
      </c>
      <c r="M9784" t="n">
        <v>0</v>
      </c>
    </row>
    <row r="9785">
      <c r="A9785" t="inlineStr">
        <is>
          <t>12월</t>
        </is>
      </c>
      <c r="B9785" t="inlineStr">
        <is>
          <t>52주차</t>
        </is>
      </c>
      <c r="C9785" t="e">
        <v>#N/A</v>
      </c>
      <c r="K9785" t="n">
        <v>0</v>
      </c>
      <c r="L9785" t="n">
        <v>0</v>
      </c>
      <c r="M9785" t="n">
        <v>0</v>
      </c>
    </row>
    <row r="9786">
      <c r="A9786" t="inlineStr">
        <is>
          <t>12월</t>
        </is>
      </c>
      <c r="B9786" t="inlineStr">
        <is>
          <t>52주차</t>
        </is>
      </c>
      <c r="C9786" t="e">
        <v>#N/A</v>
      </c>
      <c r="K9786" t="n">
        <v>0</v>
      </c>
      <c r="L9786" t="n">
        <v>0</v>
      </c>
      <c r="M9786" t="n">
        <v>0</v>
      </c>
    </row>
    <row r="9787">
      <c r="A9787" t="inlineStr">
        <is>
          <t>12월</t>
        </is>
      </c>
      <c r="B9787" t="inlineStr">
        <is>
          <t>52주차</t>
        </is>
      </c>
      <c r="C9787" t="e">
        <v>#N/A</v>
      </c>
      <c r="K9787" t="n">
        <v>0</v>
      </c>
      <c r="L9787" t="n">
        <v>0</v>
      </c>
      <c r="M9787" t="n">
        <v>0</v>
      </c>
    </row>
    <row r="9788">
      <c r="A9788" t="inlineStr">
        <is>
          <t>12월</t>
        </is>
      </c>
      <c r="B9788" t="inlineStr">
        <is>
          <t>52주차</t>
        </is>
      </c>
      <c r="C9788" t="e">
        <v>#N/A</v>
      </c>
      <c r="K9788" t="n">
        <v>0</v>
      </c>
      <c r="L9788" t="n">
        <v>0</v>
      </c>
      <c r="M9788" t="n">
        <v>0</v>
      </c>
    </row>
    <row r="9789">
      <c r="A9789" t="inlineStr">
        <is>
          <t>12월</t>
        </is>
      </c>
      <c r="B9789" t="inlineStr">
        <is>
          <t>52주차</t>
        </is>
      </c>
      <c r="C9789" t="e">
        <v>#N/A</v>
      </c>
      <c r="K9789" t="n">
        <v>0</v>
      </c>
      <c r="L9789" t="n">
        <v>0</v>
      </c>
      <c r="M9789" t="n">
        <v>0</v>
      </c>
    </row>
    <row r="9790">
      <c r="A9790" t="inlineStr">
        <is>
          <t>12월</t>
        </is>
      </c>
      <c r="B9790" t="inlineStr">
        <is>
          <t>52주차</t>
        </is>
      </c>
      <c r="C9790" t="e">
        <v>#N/A</v>
      </c>
      <c r="K9790" t="n">
        <v>0</v>
      </c>
      <c r="L9790" t="n">
        <v>0</v>
      </c>
      <c r="M9790" t="n">
        <v>0</v>
      </c>
    </row>
    <row r="9791">
      <c r="A9791" t="inlineStr">
        <is>
          <t>12월</t>
        </is>
      </c>
      <c r="B9791" t="inlineStr">
        <is>
          <t>52주차</t>
        </is>
      </c>
      <c r="C9791" t="e">
        <v>#N/A</v>
      </c>
      <c r="K9791" t="n">
        <v>0</v>
      </c>
      <c r="L9791" t="n">
        <v>0</v>
      </c>
      <c r="M9791" t="n">
        <v>0</v>
      </c>
    </row>
    <row r="9792">
      <c r="A9792" t="inlineStr">
        <is>
          <t>12월</t>
        </is>
      </c>
      <c r="B9792" t="inlineStr">
        <is>
          <t>52주차</t>
        </is>
      </c>
      <c r="C9792" t="e">
        <v>#N/A</v>
      </c>
      <c r="K9792" t="n">
        <v>0</v>
      </c>
      <c r="L9792" t="n">
        <v>0</v>
      </c>
      <c r="M9792" t="n">
        <v>0</v>
      </c>
    </row>
    <row r="9793">
      <c r="A9793" t="inlineStr">
        <is>
          <t>12월</t>
        </is>
      </c>
      <c r="B9793" t="inlineStr">
        <is>
          <t>52주차</t>
        </is>
      </c>
      <c r="C9793" t="e">
        <v>#N/A</v>
      </c>
      <c r="K9793" t="n">
        <v>0</v>
      </c>
      <c r="L9793" t="n">
        <v>0</v>
      </c>
      <c r="M9793" t="n">
        <v>0</v>
      </c>
    </row>
    <row r="9794">
      <c r="A9794" t="inlineStr">
        <is>
          <t>12월</t>
        </is>
      </c>
      <c r="B9794" t="inlineStr">
        <is>
          <t>52주차</t>
        </is>
      </c>
      <c r="C9794" t="e">
        <v>#N/A</v>
      </c>
      <c r="K9794" t="n">
        <v>0</v>
      </c>
      <c r="L9794" t="n">
        <v>0</v>
      </c>
      <c r="M9794" t="n">
        <v>0</v>
      </c>
    </row>
    <row r="9795">
      <c r="A9795" t="inlineStr">
        <is>
          <t>12월</t>
        </is>
      </c>
      <c r="B9795" t="inlineStr">
        <is>
          <t>52주차</t>
        </is>
      </c>
      <c r="C9795" t="e">
        <v>#N/A</v>
      </c>
      <c r="K9795" t="n">
        <v>0</v>
      </c>
      <c r="L9795" t="n">
        <v>0</v>
      </c>
      <c r="M9795" t="n">
        <v>0</v>
      </c>
    </row>
    <row r="9796">
      <c r="A9796" t="inlineStr">
        <is>
          <t>12월</t>
        </is>
      </c>
      <c r="B9796" t="inlineStr">
        <is>
          <t>52주차</t>
        </is>
      </c>
      <c r="C9796" t="e">
        <v>#N/A</v>
      </c>
      <c r="K9796" t="n">
        <v>0</v>
      </c>
      <c r="L9796" t="n">
        <v>0</v>
      </c>
      <c r="M9796" t="n">
        <v>0</v>
      </c>
    </row>
    <row r="9797">
      <c r="A9797" t="inlineStr">
        <is>
          <t>12월</t>
        </is>
      </c>
      <c r="B9797" t="inlineStr">
        <is>
          <t>52주차</t>
        </is>
      </c>
      <c r="C9797" t="e">
        <v>#N/A</v>
      </c>
      <c r="K9797" t="n">
        <v>0</v>
      </c>
      <c r="L9797" t="n">
        <v>0</v>
      </c>
      <c r="M9797" t="n">
        <v>0</v>
      </c>
    </row>
    <row r="9798">
      <c r="A9798" t="inlineStr">
        <is>
          <t>12월</t>
        </is>
      </c>
      <c r="B9798" t="inlineStr">
        <is>
          <t>52주차</t>
        </is>
      </c>
      <c r="C9798" t="e">
        <v>#N/A</v>
      </c>
      <c r="K9798" t="n">
        <v>0</v>
      </c>
      <c r="L9798" t="n">
        <v>0</v>
      </c>
      <c r="M9798" t="n">
        <v>0</v>
      </c>
    </row>
    <row r="9799">
      <c r="A9799" t="inlineStr">
        <is>
          <t>12월</t>
        </is>
      </c>
      <c r="B9799" t="inlineStr">
        <is>
          <t>52주차</t>
        </is>
      </c>
      <c r="C9799" t="e">
        <v>#N/A</v>
      </c>
      <c r="K9799" t="n">
        <v>0</v>
      </c>
      <c r="L9799" t="n">
        <v>0</v>
      </c>
      <c r="M9799" t="n">
        <v>0</v>
      </c>
    </row>
    <row r="9800">
      <c r="A9800" t="inlineStr">
        <is>
          <t>12월</t>
        </is>
      </c>
      <c r="B9800" t="inlineStr">
        <is>
          <t>52주차</t>
        </is>
      </c>
      <c r="C9800" t="e">
        <v>#N/A</v>
      </c>
      <c r="K9800" t="n">
        <v>0</v>
      </c>
      <c r="L9800" t="n">
        <v>0</v>
      </c>
      <c r="M9800" t="n">
        <v>0</v>
      </c>
    </row>
    <row r="9801">
      <c r="A9801" t="inlineStr">
        <is>
          <t>12월</t>
        </is>
      </c>
      <c r="B9801" t="inlineStr">
        <is>
          <t>52주차</t>
        </is>
      </c>
      <c r="C9801" t="e">
        <v>#N/A</v>
      </c>
      <c r="K9801" t="n">
        <v>0</v>
      </c>
      <c r="L9801" t="n">
        <v>0</v>
      </c>
      <c r="M9801" t="n">
        <v>0</v>
      </c>
    </row>
    <row r="9802">
      <c r="A9802" t="inlineStr">
        <is>
          <t>12월</t>
        </is>
      </c>
      <c r="B9802" t="inlineStr">
        <is>
          <t>52주차</t>
        </is>
      </c>
      <c r="C9802" t="e">
        <v>#N/A</v>
      </c>
      <c r="K9802" t="n">
        <v>0</v>
      </c>
      <c r="L9802" t="n">
        <v>0</v>
      </c>
      <c r="M9802" t="n">
        <v>0</v>
      </c>
    </row>
    <row r="9803">
      <c r="A9803" t="inlineStr">
        <is>
          <t>12월</t>
        </is>
      </c>
      <c r="B9803" t="inlineStr">
        <is>
          <t>52주차</t>
        </is>
      </c>
      <c r="C9803" t="e">
        <v>#N/A</v>
      </c>
      <c r="K9803" t="n">
        <v>0</v>
      </c>
      <c r="L9803" t="n">
        <v>0</v>
      </c>
      <c r="M9803" t="n">
        <v>0</v>
      </c>
    </row>
    <row r="9804">
      <c r="A9804" t="inlineStr">
        <is>
          <t>12월</t>
        </is>
      </c>
      <c r="B9804" t="inlineStr">
        <is>
          <t>52주차</t>
        </is>
      </c>
      <c r="C9804" t="e">
        <v>#N/A</v>
      </c>
      <c r="K9804" t="n">
        <v>0</v>
      </c>
      <c r="L9804" t="n">
        <v>0</v>
      </c>
      <c r="M9804" t="n">
        <v>0</v>
      </c>
    </row>
    <row r="9805">
      <c r="A9805" t="inlineStr">
        <is>
          <t>12월</t>
        </is>
      </c>
      <c r="B9805" t="inlineStr">
        <is>
          <t>52주차</t>
        </is>
      </c>
      <c r="C9805" t="e">
        <v>#N/A</v>
      </c>
      <c r="K9805" t="n">
        <v>0</v>
      </c>
      <c r="L9805" t="n">
        <v>0</v>
      </c>
      <c r="M9805" t="n">
        <v>0</v>
      </c>
    </row>
    <row r="9806">
      <c r="A9806" t="inlineStr">
        <is>
          <t>12월</t>
        </is>
      </c>
      <c r="B9806" t="inlineStr">
        <is>
          <t>52주차</t>
        </is>
      </c>
      <c r="C9806" t="e">
        <v>#N/A</v>
      </c>
      <c r="K9806" t="n">
        <v>0</v>
      </c>
      <c r="L9806" t="n">
        <v>0</v>
      </c>
      <c r="M9806" t="n">
        <v>0</v>
      </c>
    </row>
    <row r="9807">
      <c r="A9807" t="inlineStr">
        <is>
          <t>12월</t>
        </is>
      </c>
      <c r="B9807" t="inlineStr">
        <is>
          <t>52주차</t>
        </is>
      </c>
      <c r="C9807" t="e">
        <v>#N/A</v>
      </c>
      <c r="K9807" t="n">
        <v>0</v>
      </c>
      <c r="L9807" t="n">
        <v>0</v>
      </c>
      <c r="M9807" t="n">
        <v>0</v>
      </c>
    </row>
    <row r="9808">
      <c r="A9808" t="inlineStr">
        <is>
          <t>12월</t>
        </is>
      </c>
      <c r="B9808" t="inlineStr">
        <is>
          <t>52주차</t>
        </is>
      </c>
      <c r="C9808" t="e">
        <v>#N/A</v>
      </c>
      <c r="K9808" t="n">
        <v>0</v>
      </c>
      <c r="L9808" t="n">
        <v>0</v>
      </c>
      <c r="M9808" t="n">
        <v>0</v>
      </c>
    </row>
    <row r="9809">
      <c r="A9809" t="inlineStr">
        <is>
          <t>12월</t>
        </is>
      </c>
      <c r="B9809" t="inlineStr">
        <is>
          <t>52주차</t>
        </is>
      </c>
      <c r="C9809" t="e">
        <v>#N/A</v>
      </c>
      <c r="K9809" t="n">
        <v>0</v>
      </c>
      <c r="L9809" t="n">
        <v>0</v>
      </c>
      <c r="M9809" t="n">
        <v>0</v>
      </c>
    </row>
    <row r="9810">
      <c r="A9810" t="inlineStr">
        <is>
          <t>12월</t>
        </is>
      </c>
      <c r="B9810" t="inlineStr">
        <is>
          <t>52주차</t>
        </is>
      </c>
      <c r="C9810" t="e">
        <v>#N/A</v>
      </c>
      <c r="K9810" t="n">
        <v>0</v>
      </c>
      <c r="L9810" t="n">
        <v>0</v>
      </c>
      <c r="M9810" t="n">
        <v>0</v>
      </c>
    </row>
    <row r="9811">
      <c r="A9811" t="inlineStr">
        <is>
          <t>12월</t>
        </is>
      </c>
      <c r="B9811" t="inlineStr">
        <is>
          <t>52주차</t>
        </is>
      </c>
      <c r="C9811" t="e">
        <v>#N/A</v>
      </c>
      <c r="K9811" t="n">
        <v>0</v>
      </c>
      <c r="L9811" t="n">
        <v>0</v>
      </c>
      <c r="M9811" t="n">
        <v>0</v>
      </c>
    </row>
    <row r="9812">
      <c r="A9812" t="inlineStr">
        <is>
          <t>12월</t>
        </is>
      </c>
      <c r="B9812" t="inlineStr">
        <is>
          <t>52주차</t>
        </is>
      </c>
      <c r="C9812" t="e">
        <v>#N/A</v>
      </c>
      <c r="K9812" t="n">
        <v>0</v>
      </c>
      <c r="L9812" t="n">
        <v>0</v>
      </c>
      <c r="M9812" t="n">
        <v>0</v>
      </c>
    </row>
    <row r="9813">
      <c r="A9813" t="inlineStr">
        <is>
          <t>12월</t>
        </is>
      </c>
      <c r="B9813" t="inlineStr">
        <is>
          <t>52주차</t>
        </is>
      </c>
      <c r="C9813" t="e">
        <v>#N/A</v>
      </c>
      <c r="K9813" t="n">
        <v>0</v>
      </c>
      <c r="L9813" t="n">
        <v>0</v>
      </c>
      <c r="M9813" t="n">
        <v>0</v>
      </c>
    </row>
    <row r="9814">
      <c r="A9814" t="inlineStr">
        <is>
          <t>12월</t>
        </is>
      </c>
      <c r="B9814" t="inlineStr">
        <is>
          <t>52주차</t>
        </is>
      </c>
      <c r="C9814" t="e">
        <v>#N/A</v>
      </c>
      <c r="K9814" t="n">
        <v>0</v>
      </c>
      <c r="L9814" t="n">
        <v>0</v>
      </c>
      <c r="M9814" t="n">
        <v>0</v>
      </c>
    </row>
    <row r="9815">
      <c r="A9815" t="inlineStr">
        <is>
          <t>12월</t>
        </is>
      </c>
      <c r="B9815" t="inlineStr">
        <is>
          <t>52주차</t>
        </is>
      </c>
      <c r="C9815" t="e">
        <v>#N/A</v>
      </c>
      <c r="K9815" t="n">
        <v>0</v>
      </c>
      <c r="L9815" t="n">
        <v>0</v>
      </c>
      <c r="M9815" t="n">
        <v>0</v>
      </c>
    </row>
    <row r="9816">
      <c r="A9816" t="inlineStr">
        <is>
          <t>12월</t>
        </is>
      </c>
      <c r="B9816" t="inlineStr">
        <is>
          <t>52주차</t>
        </is>
      </c>
      <c r="C9816" t="e">
        <v>#N/A</v>
      </c>
      <c r="K9816" t="n">
        <v>0</v>
      </c>
      <c r="L9816" t="n">
        <v>0</v>
      </c>
      <c r="M9816" t="n">
        <v>0</v>
      </c>
    </row>
    <row r="9817">
      <c r="A9817" t="inlineStr">
        <is>
          <t>12월</t>
        </is>
      </c>
      <c r="B9817" t="inlineStr">
        <is>
          <t>52주차</t>
        </is>
      </c>
      <c r="C9817" t="e">
        <v>#N/A</v>
      </c>
      <c r="K9817" t="n">
        <v>0</v>
      </c>
      <c r="L9817" t="n">
        <v>0</v>
      </c>
      <c r="M9817" t="n">
        <v>0</v>
      </c>
    </row>
    <row r="9818">
      <c r="A9818" t="inlineStr">
        <is>
          <t>12월</t>
        </is>
      </c>
      <c r="B9818" t="inlineStr">
        <is>
          <t>52주차</t>
        </is>
      </c>
      <c r="C9818" t="e">
        <v>#N/A</v>
      </c>
      <c r="K9818" t="n">
        <v>0</v>
      </c>
      <c r="L9818" t="n">
        <v>0</v>
      </c>
      <c r="M9818" t="n">
        <v>0</v>
      </c>
    </row>
    <row r="9819">
      <c r="A9819" t="inlineStr">
        <is>
          <t>12월</t>
        </is>
      </c>
      <c r="B9819" t="inlineStr">
        <is>
          <t>52주차</t>
        </is>
      </c>
      <c r="C9819" t="e">
        <v>#N/A</v>
      </c>
      <c r="K9819" t="n">
        <v>0</v>
      </c>
      <c r="L9819" t="n">
        <v>0</v>
      </c>
      <c r="M9819" t="n">
        <v>0</v>
      </c>
    </row>
    <row r="9820">
      <c r="A9820" t="inlineStr">
        <is>
          <t>12월</t>
        </is>
      </c>
      <c r="B9820" t="inlineStr">
        <is>
          <t>52주차</t>
        </is>
      </c>
      <c r="C9820" t="e">
        <v>#N/A</v>
      </c>
      <c r="K9820" t="n">
        <v>0</v>
      </c>
      <c r="L9820" t="n">
        <v>0</v>
      </c>
      <c r="M9820" t="n">
        <v>0</v>
      </c>
    </row>
    <row r="9821">
      <c r="A9821" t="inlineStr">
        <is>
          <t>12월</t>
        </is>
      </c>
      <c r="B9821" t="inlineStr">
        <is>
          <t>52주차</t>
        </is>
      </c>
      <c r="C9821" t="e">
        <v>#N/A</v>
      </c>
      <c r="K9821" t="n">
        <v>0</v>
      </c>
      <c r="L9821" t="n">
        <v>0</v>
      </c>
      <c r="M9821" t="n">
        <v>0</v>
      </c>
    </row>
    <row r="9822">
      <c r="A9822" t="inlineStr">
        <is>
          <t>12월</t>
        </is>
      </c>
      <c r="B9822" t="inlineStr">
        <is>
          <t>52주차</t>
        </is>
      </c>
      <c r="C9822" t="e">
        <v>#N/A</v>
      </c>
      <c r="K9822" t="n">
        <v>0</v>
      </c>
      <c r="L9822" t="n">
        <v>0</v>
      </c>
      <c r="M9822" t="n">
        <v>0</v>
      </c>
    </row>
    <row r="9823">
      <c r="A9823" t="inlineStr">
        <is>
          <t>12월</t>
        </is>
      </c>
      <c r="B9823" t="inlineStr">
        <is>
          <t>52주차</t>
        </is>
      </c>
      <c r="C9823" t="e">
        <v>#N/A</v>
      </c>
      <c r="K9823" t="n">
        <v>0</v>
      </c>
      <c r="L9823" t="n">
        <v>0</v>
      </c>
      <c r="M9823" t="n">
        <v>0</v>
      </c>
    </row>
    <row r="9824">
      <c r="A9824" t="inlineStr">
        <is>
          <t>12월</t>
        </is>
      </c>
      <c r="B9824" t="inlineStr">
        <is>
          <t>52주차</t>
        </is>
      </c>
      <c r="C9824" t="e">
        <v>#N/A</v>
      </c>
      <c r="K9824" t="n">
        <v>0</v>
      </c>
      <c r="L9824" t="n">
        <v>0</v>
      </c>
      <c r="M9824" t="n">
        <v>0</v>
      </c>
    </row>
    <row r="9825">
      <c r="A9825" t="inlineStr">
        <is>
          <t>12월</t>
        </is>
      </c>
      <c r="B9825" t="inlineStr">
        <is>
          <t>52주차</t>
        </is>
      </c>
      <c r="C9825" t="e">
        <v>#N/A</v>
      </c>
      <c r="K9825" t="n">
        <v>0</v>
      </c>
      <c r="L9825" t="n">
        <v>0</v>
      </c>
      <c r="M9825" t="n">
        <v>0</v>
      </c>
    </row>
    <row r="9826">
      <c r="A9826" t="inlineStr">
        <is>
          <t>12월</t>
        </is>
      </c>
      <c r="B9826" t="inlineStr">
        <is>
          <t>52주차</t>
        </is>
      </c>
      <c r="C9826" t="e">
        <v>#N/A</v>
      </c>
      <c r="K9826" t="n">
        <v>0</v>
      </c>
      <c r="L9826" t="n">
        <v>0</v>
      </c>
      <c r="M9826" t="n">
        <v>0</v>
      </c>
    </row>
    <row r="9827">
      <c r="A9827" t="inlineStr">
        <is>
          <t>12월</t>
        </is>
      </c>
      <c r="B9827" t="inlineStr">
        <is>
          <t>52주차</t>
        </is>
      </c>
      <c r="C9827" t="e">
        <v>#N/A</v>
      </c>
      <c r="K9827" t="n">
        <v>0</v>
      </c>
      <c r="L9827" t="n">
        <v>0</v>
      </c>
      <c r="M9827" t="n">
        <v>0</v>
      </c>
    </row>
    <row r="9828">
      <c r="A9828" t="inlineStr">
        <is>
          <t>12월</t>
        </is>
      </c>
      <c r="B9828" t="inlineStr">
        <is>
          <t>52주차</t>
        </is>
      </c>
      <c r="C9828" t="e">
        <v>#N/A</v>
      </c>
      <c r="K9828" t="n">
        <v>0</v>
      </c>
      <c r="L9828" t="n">
        <v>0</v>
      </c>
      <c r="M9828" t="n">
        <v>0</v>
      </c>
    </row>
    <row r="9829">
      <c r="A9829" t="inlineStr">
        <is>
          <t>12월</t>
        </is>
      </c>
      <c r="B9829" t="inlineStr">
        <is>
          <t>52주차</t>
        </is>
      </c>
      <c r="C9829" t="e">
        <v>#N/A</v>
      </c>
      <c r="K9829" t="n">
        <v>0</v>
      </c>
      <c r="L9829" t="n">
        <v>0</v>
      </c>
      <c r="M9829" t="n">
        <v>0</v>
      </c>
    </row>
    <row r="9830">
      <c r="A9830" t="inlineStr">
        <is>
          <t>12월</t>
        </is>
      </c>
      <c r="B9830" t="inlineStr">
        <is>
          <t>52주차</t>
        </is>
      </c>
      <c r="C9830" t="e">
        <v>#N/A</v>
      </c>
      <c r="K9830" t="n">
        <v>0</v>
      </c>
      <c r="L9830" t="n">
        <v>0</v>
      </c>
      <c r="M9830" t="n">
        <v>0</v>
      </c>
    </row>
    <row r="9831">
      <c r="A9831" t="inlineStr">
        <is>
          <t>12월</t>
        </is>
      </c>
      <c r="B9831" t="inlineStr">
        <is>
          <t>52주차</t>
        </is>
      </c>
      <c r="C9831" t="e">
        <v>#N/A</v>
      </c>
      <c r="K9831" t="n">
        <v>0</v>
      </c>
      <c r="L9831" t="n">
        <v>0</v>
      </c>
      <c r="M9831" t="n">
        <v>0</v>
      </c>
    </row>
    <row r="9832">
      <c r="A9832" t="inlineStr">
        <is>
          <t>12월</t>
        </is>
      </c>
      <c r="B9832" t="inlineStr">
        <is>
          <t>52주차</t>
        </is>
      </c>
      <c r="C9832" t="e">
        <v>#N/A</v>
      </c>
      <c r="K9832" t="n">
        <v>0</v>
      </c>
      <c r="L9832" t="n">
        <v>0</v>
      </c>
      <c r="M9832" t="n">
        <v>0</v>
      </c>
    </row>
    <row r="9833">
      <c r="A9833" t="inlineStr">
        <is>
          <t>12월</t>
        </is>
      </c>
      <c r="B9833" t="inlineStr">
        <is>
          <t>52주차</t>
        </is>
      </c>
      <c r="C9833" t="e">
        <v>#N/A</v>
      </c>
      <c r="K9833" t="n">
        <v>0</v>
      </c>
      <c r="L9833" t="n">
        <v>0</v>
      </c>
      <c r="M9833" t="n">
        <v>0</v>
      </c>
    </row>
    <row r="9834">
      <c r="A9834" t="inlineStr">
        <is>
          <t>12월</t>
        </is>
      </c>
      <c r="B9834" t="inlineStr">
        <is>
          <t>52주차</t>
        </is>
      </c>
      <c r="C9834" t="e">
        <v>#N/A</v>
      </c>
      <c r="K9834" t="n">
        <v>0</v>
      </c>
      <c r="L9834" t="n">
        <v>0</v>
      </c>
      <c r="M9834" t="n">
        <v>0</v>
      </c>
    </row>
    <row r="9835">
      <c r="A9835" t="inlineStr">
        <is>
          <t>12월</t>
        </is>
      </c>
      <c r="B9835" t="inlineStr">
        <is>
          <t>52주차</t>
        </is>
      </c>
      <c r="C9835" t="e">
        <v>#N/A</v>
      </c>
      <c r="K9835" t="n">
        <v>0</v>
      </c>
      <c r="L9835" t="n">
        <v>0</v>
      </c>
      <c r="M9835" t="n">
        <v>0</v>
      </c>
    </row>
    <row r="9836">
      <c r="A9836" t="inlineStr">
        <is>
          <t>12월</t>
        </is>
      </c>
      <c r="B9836" t="inlineStr">
        <is>
          <t>52주차</t>
        </is>
      </c>
      <c r="C9836" t="e">
        <v>#N/A</v>
      </c>
      <c r="K9836" t="n">
        <v>0</v>
      </c>
      <c r="L9836" t="n">
        <v>0</v>
      </c>
      <c r="M9836" t="n">
        <v>0</v>
      </c>
    </row>
    <row r="9837">
      <c r="A9837" t="inlineStr">
        <is>
          <t>12월</t>
        </is>
      </c>
      <c r="B9837" t="inlineStr">
        <is>
          <t>52주차</t>
        </is>
      </c>
      <c r="C9837" t="e">
        <v>#N/A</v>
      </c>
      <c r="K9837" t="n">
        <v>0</v>
      </c>
      <c r="L9837" t="n">
        <v>0</v>
      </c>
      <c r="M9837" t="n">
        <v>0</v>
      </c>
    </row>
    <row r="9838">
      <c r="A9838" t="inlineStr">
        <is>
          <t>12월</t>
        </is>
      </c>
      <c r="B9838" t="inlineStr">
        <is>
          <t>52주차</t>
        </is>
      </c>
      <c r="C9838" t="e">
        <v>#N/A</v>
      </c>
      <c r="K9838" t="n">
        <v>0</v>
      </c>
      <c r="L9838" t="n">
        <v>0</v>
      </c>
      <c r="M9838" t="n">
        <v>0</v>
      </c>
    </row>
    <row r="9839">
      <c r="A9839" t="inlineStr">
        <is>
          <t>12월</t>
        </is>
      </c>
      <c r="B9839" t="inlineStr">
        <is>
          <t>52주차</t>
        </is>
      </c>
      <c r="C9839" t="e">
        <v>#N/A</v>
      </c>
      <c r="K9839" t="n">
        <v>0</v>
      </c>
      <c r="L9839" t="n">
        <v>0</v>
      </c>
      <c r="M9839" t="n">
        <v>0</v>
      </c>
    </row>
    <row r="9840">
      <c r="A9840" t="inlineStr">
        <is>
          <t>12월</t>
        </is>
      </c>
      <c r="B9840" t="inlineStr">
        <is>
          <t>52주차</t>
        </is>
      </c>
      <c r="C9840" t="e">
        <v>#N/A</v>
      </c>
      <c r="K9840" t="n">
        <v>0</v>
      </c>
      <c r="L9840" t="n">
        <v>0</v>
      </c>
      <c r="M9840" t="n">
        <v>0</v>
      </c>
    </row>
    <row r="9841">
      <c r="A9841" t="inlineStr">
        <is>
          <t>12월</t>
        </is>
      </c>
      <c r="B9841" t="inlineStr">
        <is>
          <t>52주차</t>
        </is>
      </c>
      <c r="C9841" t="e">
        <v>#N/A</v>
      </c>
      <c r="K9841" t="n">
        <v>0</v>
      </c>
      <c r="L9841" t="n">
        <v>0</v>
      </c>
      <c r="M9841" t="n">
        <v>0</v>
      </c>
    </row>
    <row r="9842">
      <c r="A9842" t="inlineStr">
        <is>
          <t>12월</t>
        </is>
      </c>
      <c r="B9842" t="inlineStr">
        <is>
          <t>52주차</t>
        </is>
      </c>
      <c r="C9842" t="e">
        <v>#N/A</v>
      </c>
      <c r="K9842" t="n">
        <v>0</v>
      </c>
      <c r="L9842" t="n">
        <v>0</v>
      </c>
      <c r="M9842" t="n">
        <v>0</v>
      </c>
    </row>
    <row r="9843">
      <c r="A9843" t="inlineStr">
        <is>
          <t>12월</t>
        </is>
      </c>
      <c r="B9843" t="inlineStr">
        <is>
          <t>52주차</t>
        </is>
      </c>
      <c r="C9843" t="e">
        <v>#N/A</v>
      </c>
      <c r="K9843" t="n">
        <v>0</v>
      </c>
      <c r="L9843" t="n">
        <v>0</v>
      </c>
      <c r="M9843" t="n">
        <v>0</v>
      </c>
    </row>
    <row r="9844">
      <c r="A9844" t="inlineStr">
        <is>
          <t>12월</t>
        </is>
      </c>
      <c r="B9844" t="inlineStr">
        <is>
          <t>52주차</t>
        </is>
      </c>
      <c r="C9844" t="e">
        <v>#N/A</v>
      </c>
      <c r="K9844" t="n">
        <v>0</v>
      </c>
      <c r="L9844" t="n">
        <v>0</v>
      </c>
      <c r="M9844" t="n">
        <v>0</v>
      </c>
    </row>
    <row r="9845">
      <c r="A9845" t="inlineStr">
        <is>
          <t>12월</t>
        </is>
      </c>
      <c r="B9845" t="inlineStr">
        <is>
          <t>52주차</t>
        </is>
      </c>
      <c r="C9845" t="e">
        <v>#N/A</v>
      </c>
      <c r="K9845" t="n">
        <v>0</v>
      </c>
      <c r="L9845" t="n">
        <v>0</v>
      </c>
      <c r="M9845" t="n">
        <v>0</v>
      </c>
    </row>
    <row r="9846">
      <c r="A9846" t="inlineStr">
        <is>
          <t>12월</t>
        </is>
      </c>
      <c r="B9846" t="inlineStr">
        <is>
          <t>52주차</t>
        </is>
      </c>
      <c r="C9846" t="e">
        <v>#N/A</v>
      </c>
      <c r="K9846" t="n">
        <v>0</v>
      </c>
      <c r="L9846" t="n">
        <v>0</v>
      </c>
      <c r="M9846" t="n">
        <v>0</v>
      </c>
    </row>
    <row r="9847">
      <c r="A9847" t="inlineStr">
        <is>
          <t>12월</t>
        </is>
      </c>
      <c r="B9847" t="inlineStr">
        <is>
          <t>52주차</t>
        </is>
      </c>
      <c r="C9847" t="e">
        <v>#N/A</v>
      </c>
      <c r="K9847" t="n">
        <v>0</v>
      </c>
      <c r="L9847" t="n">
        <v>0</v>
      </c>
      <c r="M9847" t="n">
        <v>0</v>
      </c>
    </row>
    <row r="9848">
      <c r="A9848" t="inlineStr">
        <is>
          <t>12월</t>
        </is>
      </c>
      <c r="B9848" t="inlineStr">
        <is>
          <t>52주차</t>
        </is>
      </c>
      <c r="C9848" t="e">
        <v>#N/A</v>
      </c>
      <c r="K9848" t="n">
        <v>0</v>
      </c>
      <c r="L9848" t="n">
        <v>0</v>
      </c>
      <c r="M9848" t="n">
        <v>0</v>
      </c>
    </row>
    <row r="9849">
      <c r="A9849" t="inlineStr">
        <is>
          <t>12월</t>
        </is>
      </c>
      <c r="B9849" t="inlineStr">
        <is>
          <t>52주차</t>
        </is>
      </c>
      <c r="C9849" t="e">
        <v>#N/A</v>
      </c>
      <c r="K9849" t="n">
        <v>0</v>
      </c>
      <c r="L9849" t="n">
        <v>0</v>
      </c>
      <c r="M9849" t="n">
        <v>0</v>
      </c>
    </row>
    <row r="9850">
      <c r="A9850" t="inlineStr">
        <is>
          <t>12월</t>
        </is>
      </c>
      <c r="B9850" t="inlineStr">
        <is>
          <t>52주차</t>
        </is>
      </c>
      <c r="C9850" t="e">
        <v>#N/A</v>
      </c>
      <c r="K9850" t="n">
        <v>0</v>
      </c>
      <c r="L9850" t="n">
        <v>0</v>
      </c>
      <c r="M9850" t="n">
        <v>0</v>
      </c>
    </row>
    <row r="9851">
      <c r="A9851" t="inlineStr">
        <is>
          <t>12월</t>
        </is>
      </c>
      <c r="B9851" t="inlineStr">
        <is>
          <t>52주차</t>
        </is>
      </c>
      <c r="C9851" t="e">
        <v>#N/A</v>
      </c>
      <c r="K9851" t="n">
        <v>0</v>
      </c>
      <c r="L9851" t="n">
        <v>0</v>
      </c>
      <c r="M9851" t="n">
        <v>0</v>
      </c>
    </row>
    <row r="9852">
      <c r="A9852" t="inlineStr">
        <is>
          <t>12월</t>
        </is>
      </c>
      <c r="B9852" t="inlineStr">
        <is>
          <t>52주차</t>
        </is>
      </c>
      <c r="C9852" t="e">
        <v>#N/A</v>
      </c>
      <c r="K9852" t="n">
        <v>0</v>
      </c>
      <c r="L9852" t="n">
        <v>0</v>
      </c>
      <c r="M9852" t="n">
        <v>0</v>
      </c>
    </row>
    <row r="9853">
      <c r="A9853" t="inlineStr">
        <is>
          <t>12월</t>
        </is>
      </c>
      <c r="B9853" t="inlineStr">
        <is>
          <t>52주차</t>
        </is>
      </c>
      <c r="C9853" t="e">
        <v>#N/A</v>
      </c>
      <c r="K9853" t="n">
        <v>0</v>
      </c>
      <c r="L9853" t="n">
        <v>0</v>
      </c>
      <c r="M9853" t="n">
        <v>0</v>
      </c>
    </row>
    <row r="9854">
      <c r="A9854" t="inlineStr">
        <is>
          <t>12월</t>
        </is>
      </c>
      <c r="B9854" t="inlineStr">
        <is>
          <t>52주차</t>
        </is>
      </c>
      <c r="C9854" t="e">
        <v>#N/A</v>
      </c>
      <c r="K9854" t="n">
        <v>0</v>
      </c>
      <c r="L9854" t="n">
        <v>0</v>
      </c>
      <c r="M9854" t="n">
        <v>0</v>
      </c>
    </row>
    <row r="9855">
      <c r="A9855" t="inlineStr">
        <is>
          <t>12월</t>
        </is>
      </c>
      <c r="B9855" t="inlineStr">
        <is>
          <t>52주차</t>
        </is>
      </c>
      <c r="C9855" t="e">
        <v>#N/A</v>
      </c>
      <c r="K9855" t="n">
        <v>0</v>
      </c>
      <c r="L9855" t="n">
        <v>0</v>
      </c>
      <c r="M9855" t="n">
        <v>0</v>
      </c>
    </row>
    <row r="9856">
      <c r="A9856" t="inlineStr">
        <is>
          <t>12월</t>
        </is>
      </c>
      <c r="B9856" t="inlineStr">
        <is>
          <t>52주차</t>
        </is>
      </c>
      <c r="C9856" t="e">
        <v>#N/A</v>
      </c>
      <c r="K9856" t="n">
        <v>0</v>
      </c>
      <c r="L9856" t="n">
        <v>0</v>
      </c>
      <c r="M9856" t="n">
        <v>0</v>
      </c>
    </row>
    <row r="9857">
      <c r="A9857" t="inlineStr">
        <is>
          <t>12월</t>
        </is>
      </c>
      <c r="B9857" t="inlineStr">
        <is>
          <t>52주차</t>
        </is>
      </c>
      <c r="C9857" t="e">
        <v>#N/A</v>
      </c>
      <c r="K9857" t="n">
        <v>0</v>
      </c>
      <c r="L9857" t="n">
        <v>0</v>
      </c>
      <c r="M9857" t="n">
        <v>0</v>
      </c>
    </row>
    <row r="9858">
      <c r="A9858" t="inlineStr">
        <is>
          <t>12월</t>
        </is>
      </c>
      <c r="B9858" t="inlineStr">
        <is>
          <t>52주차</t>
        </is>
      </c>
      <c r="C9858" t="e">
        <v>#N/A</v>
      </c>
      <c r="K9858" t="n">
        <v>0</v>
      </c>
      <c r="L9858" t="n">
        <v>0</v>
      </c>
      <c r="M9858" t="n">
        <v>0</v>
      </c>
    </row>
    <row r="9859">
      <c r="A9859" t="inlineStr">
        <is>
          <t>12월</t>
        </is>
      </c>
      <c r="B9859" t="inlineStr">
        <is>
          <t>52주차</t>
        </is>
      </c>
      <c r="C9859" t="e">
        <v>#N/A</v>
      </c>
      <c r="K9859" t="n">
        <v>0</v>
      </c>
      <c r="L9859" t="n">
        <v>0</v>
      </c>
      <c r="M9859" t="n">
        <v>0</v>
      </c>
    </row>
    <row r="9860">
      <c r="A9860" t="inlineStr">
        <is>
          <t>12월</t>
        </is>
      </c>
      <c r="B9860" t="inlineStr">
        <is>
          <t>52주차</t>
        </is>
      </c>
      <c r="C9860" t="e">
        <v>#N/A</v>
      </c>
      <c r="K9860" t="n">
        <v>0</v>
      </c>
      <c r="L9860" t="n">
        <v>0</v>
      </c>
      <c r="M9860" t="n">
        <v>0</v>
      </c>
    </row>
    <row r="9861">
      <c r="A9861" t="inlineStr">
        <is>
          <t>12월</t>
        </is>
      </c>
      <c r="B9861" t="inlineStr">
        <is>
          <t>52주차</t>
        </is>
      </c>
      <c r="C9861" t="e">
        <v>#N/A</v>
      </c>
      <c r="K9861" t="n">
        <v>0</v>
      </c>
      <c r="L9861" t="n">
        <v>0</v>
      </c>
      <c r="M9861" t="n">
        <v>0</v>
      </c>
    </row>
    <row r="9862">
      <c r="A9862" t="inlineStr">
        <is>
          <t>12월</t>
        </is>
      </c>
      <c r="B9862" t="inlineStr">
        <is>
          <t>52주차</t>
        </is>
      </c>
      <c r="C9862" t="e">
        <v>#N/A</v>
      </c>
      <c r="K9862" t="n">
        <v>0</v>
      </c>
      <c r="L9862" t="n">
        <v>0</v>
      </c>
      <c r="M9862" t="n">
        <v>0</v>
      </c>
    </row>
    <row r="9863">
      <c r="A9863" t="inlineStr">
        <is>
          <t>12월</t>
        </is>
      </c>
      <c r="B9863" t="inlineStr">
        <is>
          <t>52주차</t>
        </is>
      </c>
      <c r="C9863" t="e">
        <v>#N/A</v>
      </c>
      <c r="K9863" t="n">
        <v>0</v>
      </c>
      <c r="L9863" t="n">
        <v>0</v>
      </c>
      <c r="M9863" t="n">
        <v>0</v>
      </c>
    </row>
    <row r="9864">
      <c r="A9864" t="inlineStr">
        <is>
          <t>12월</t>
        </is>
      </c>
      <c r="B9864" t="inlineStr">
        <is>
          <t>52주차</t>
        </is>
      </c>
      <c r="C9864" t="e">
        <v>#N/A</v>
      </c>
      <c r="K9864" t="n">
        <v>0</v>
      </c>
      <c r="L9864" t="n">
        <v>0</v>
      </c>
      <c r="M9864" t="n">
        <v>0</v>
      </c>
    </row>
    <row r="9865">
      <c r="A9865" t="inlineStr">
        <is>
          <t>12월</t>
        </is>
      </c>
      <c r="B9865" t="inlineStr">
        <is>
          <t>52주차</t>
        </is>
      </c>
      <c r="C9865" t="e">
        <v>#N/A</v>
      </c>
      <c r="K9865" t="n">
        <v>0</v>
      </c>
      <c r="L9865" t="n">
        <v>0</v>
      </c>
      <c r="M9865" t="n">
        <v>0</v>
      </c>
    </row>
    <row r="9866">
      <c r="A9866" t="inlineStr">
        <is>
          <t>12월</t>
        </is>
      </c>
      <c r="B9866" t="inlineStr">
        <is>
          <t>52주차</t>
        </is>
      </c>
      <c r="C9866" t="e">
        <v>#N/A</v>
      </c>
      <c r="K9866" t="n">
        <v>0</v>
      </c>
      <c r="L9866" t="n">
        <v>0</v>
      </c>
      <c r="M9866" t="n">
        <v>0</v>
      </c>
    </row>
    <row r="9867">
      <c r="A9867" t="inlineStr">
        <is>
          <t>12월</t>
        </is>
      </c>
      <c r="B9867" t="inlineStr">
        <is>
          <t>52주차</t>
        </is>
      </c>
      <c r="C9867" t="e">
        <v>#N/A</v>
      </c>
      <c r="K9867" t="n">
        <v>0</v>
      </c>
      <c r="L9867" t="n">
        <v>0</v>
      </c>
      <c r="M9867" t="n">
        <v>0</v>
      </c>
    </row>
    <row r="9868">
      <c r="A9868" t="inlineStr">
        <is>
          <t>12월</t>
        </is>
      </c>
      <c r="B9868" t="inlineStr">
        <is>
          <t>52주차</t>
        </is>
      </c>
      <c r="C9868" t="e">
        <v>#N/A</v>
      </c>
      <c r="K9868" t="n">
        <v>0</v>
      </c>
      <c r="L9868" t="n">
        <v>0</v>
      </c>
      <c r="M9868" t="n">
        <v>0</v>
      </c>
    </row>
    <row r="9869">
      <c r="A9869" t="inlineStr">
        <is>
          <t>12월</t>
        </is>
      </c>
      <c r="B9869" t="inlineStr">
        <is>
          <t>52주차</t>
        </is>
      </c>
      <c r="C9869" t="e">
        <v>#N/A</v>
      </c>
      <c r="K9869" t="n">
        <v>0</v>
      </c>
      <c r="L9869" t="n">
        <v>0</v>
      </c>
      <c r="M9869" t="n">
        <v>0</v>
      </c>
    </row>
    <row r="9870">
      <c r="A9870" t="inlineStr">
        <is>
          <t>12월</t>
        </is>
      </c>
      <c r="B9870" t="inlineStr">
        <is>
          <t>52주차</t>
        </is>
      </c>
      <c r="C9870" t="e">
        <v>#N/A</v>
      </c>
      <c r="K9870" t="n">
        <v>0</v>
      </c>
      <c r="L9870" t="n">
        <v>0</v>
      </c>
      <c r="M9870" t="n">
        <v>0</v>
      </c>
    </row>
    <row r="9871">
      <c r="A9871" t="inlineStr">
        <is>
          <t>12월</t>
        </is>
      </c>
      <c r="B9871" t="inlineStr">
        <is>
          <t>52주차</t>
        </is>
      </c>
      <c r="C9871" t="e">
        <v>#N/A</v>
      </c>
      <c r="K9871" t="n">
        <v>0</v>
      </c>
      <c r="L9871" t="n">
        <v>0</v>
      </c>
      <c r="M9871" t="n">
        <v>0</v>
      </c>
    </row>
    <row r="9872">
      <c r="A9872" t="inlineStr">
        <is>
          <t>12월</t>
        </is>
      </c>
      <c r="B9872" t="inlineStr">
        <is>
          <t>52주차</t>
        </is>
      </c>
      <c r="C9872" t="e">
        <v>#N/A</v>
      </c>
      <c r="K9872" t="n">
        <v>0</v>
      </c>
      <c r="L9872" t="n">
        <v>0</v>
      </c>
      <c r="M9872" t="n">
        <v>0</v>
      </c>
    </row>
    <row r="9873">
      <c r="A9873" t="inlineStr">
        <is>
          <t>12월</t>
        </is>
      </c>
      <c r="B9873" t="inlineStr">
        <is>
          <t>52주차</t>
        </is>
      </c>
      <c r="C9873" t="e">
        <v>#N/A</v>
      </c>
      <c r="K9873" t="n">
        <v>0</v>
      </c>
      <c r="L9873" t="n">
        <v>0</v>
      </c>
      <c r="M9873" t="n">
        <v>0</v>
      </c>
    </row>
    <row r="9874">
      <c r="A9874" t="inlineStr">
        <is>
          <t>12월</t>
        </is>
      </c>
      <c r="B9874" t="inlineStr">
        <is>
          <t>52주차</t>
        </is>
      </c>
      <c r="C9874" t="e">
        <v>#N/A</v>
      </c>
      <c r="K9874" t="n">
        <v>0</v>
      </c>
      <c r="L9874" t="n">
        <v>0</v>
      </c>
      <c r="M9874" t="n">
        <v>0</v>
      </c>
    </row>
    <row r="9875">
      <c r="A9875" t="inlineStr">
        <is>
          <t>12월</t>
        </is>
      </c>
      <c r="B9875" t="inlineStr">
        <is>
          <t>52주차</t>
        </is>
      </c>
      <c r="C9875" t="e">
        <v>#N/A</v>
      </c>
      <c r="K9875" t="n">
        <v>0</v>
      </c>
      <c r="L9875" t="n">
        <v>0</v>
      </c>
      <c r="M9875" t="n">
        <v>0</v>
      </c>
    </row>
    <row r="9876">
      <c r="A9876" t="inlineStr">
        <is>
          <t>12월</t>
        </is>
      </c>
      <c r="B9876" t="inlineStr">
        <is>
          <t>52주차</t>
        </is>
      </c>
      <c r="C9876" t="e">
        <v>#N/A</v>
      </c>
      <c r="K9876" t="n">
        <v>0</v>
      </c>
      <c r="L9876" t="n">
        <v>0</v>
      </c>
      <c r="M9876" t="n">
        <v>0</v>
      </c>
    </row>
    <row r="9877">
      <c r="A9877" t="inlineStr">
        <is>
          <t>12월</t>
        </is>
      </c>
      <c r="B9877" t="inlineStr">
        <is>
          <t>52주차</t>
        </is>
      </c>
      <c r="C9877" t="e">
        <v>#N/A</v>
      </c>
      <c r="K9877" t="n">
        <v>0</v>
      </c>
      <c r="L9877" t="n">
        <v>0</v>
      </c>
      <c r="M9877" t="n">
        <v>0</v>
      </c>
    </row>
    <row r="9878">
      <c r="A9878" t="inlineStr">
        <is>
          <t>12월</t>
        </is>
      </c>
      <c r="B9878" t="inlineStr">
        <is>
          <t>52주차</t>
        </is>
      </c>
      <c r="C9878" t="e">
        <v>#N/A</v>
      </c>
      <c r="K9878" t="n">
        <v>0</v>
      </c>
      <c r="L9878" t="n">
        <v>0</v>
      </c>
      <c r="M9878" t="n">
        <v>0</v>
      </c>
    </row>
    <row r="9879">
      <c r="A9879" t="inlineStr">
        <is>
          <t>12월</t>
        </is>
      </c>
      <c r="B9879" t="inlineStr">
        <is>
          <t>52주차</t>
        </is>
      </c>
      <c r="C9879" t="e">
        <v>#N/A</v>
      </c>
      <c r="K9879" t="n">
        <v>0</v>
      </c>
      <c r="L9879" t="n">
        <v>0</v>
      </c>
      <c r="M9879" t="n">
        <v>0</v>
      </c>
    </row>
    <row r="9880">
      <c r="A9880" t="inlineStr">
        <is>
          <t>12월</t>
        </is>
      </c>
      <c r="B9880" t="inlineStr">
        <is>
          <t>52주차</t>
        </is>
      </c>
      <c r="C9880" t="e">
        <v>#N/A</v>
      </c>
      <c r="K9880" t="n">
        <v>0</v>
      </c>
      <c r="L9880" t="n">
        <v>0</v>
      </c>
      <c r="M9880" t="n">
        <v>0</v>
      </c>
    </row>
    <row r="9881">
      <c r="A9881" t="inlineStr">
        <is>
          <t>12월</t>
        </is>
      </c>
      <c r="B9881" t="inlineStr">
        <is>
          <t>52주차</t>
        </is>
      </c>
      <c r="C9881" t="e">
        <v>#N/A</v>
      </c>
      <c r="K9881" t="n">
        <v>0</v>
      </c>
      <c r="L9881" t="n">
        <v>0</v>
      </c>
      <c r="M9881" t="n">
        <v>0</v>
      </c>
    </row>
    <row r="9882">
      <c r="A9882" t="inlineStr">
        <is>
          <t>12월</t>
        </is>
      </c>
      <c r="B9882" t="inlineStr">
        <is>
          <t>52주차</t>
        </is>
      </c>
      <c r="C9882" t="e">
        <v>#N/A</v>
      </c>
      <c r="K9882" t="n">
        <v>0</v>
      </c>
      <c r="L9882" t="n">
        <v>0</v>
      </c>
      <c r="M9882" t="n">
        <v>0</v>
      </c>
    </row>
    <row r="9883">
      <c r="A9883" t="inlineStr">
        <is>
          <t>12월</t>
        </is>
      </c>
      <c r="B9883" t="inlineStr">
        <is>
          <t>52주차</t>
        </is>
      </c>
      <c r="C9883" t="e">
        <v>#N/A</v>
      </c>
      <c r="K9883" t="n">
        <v>0</v>
      </c>
      <c r="L9883" t="n">
        <v>0</v>
      </c>
      <c r="M9883" t="n">
        <v>0</v>
      </c>
    </row>
    <row r="9884">
      <c r="A9884" t="inlineStr">
        <is>
          <t>12월</t>
        </is>
      </c>
      <c r="B9884" t="inlineStr">
        <is>
          <t>52주차</t>
        </is>
      </c>
      <c r="C9884" t="e">
        <v>#N/A</v>
      </c>
      <c r="K9884" t="n">
        <v>0</v>
      </c>
      <c r="L9884" t="n">
        <v>0</v>
      </c>
      <c r="M9884" t="n">
        <v>0</v>
      </c>
    </row>
    <row r="9885">
      <c r="A9885" t="inlineStr">
        <is>
          <t>12월</t>
        </is>
      </c>
      <c r="B9885" t="inlineStr">
        <is>
          <t>52주차</t>
        </is>
      </c>
      <c r="C9885" t="e">
        <v>#N/A</v>
      </c>
      <c r="K9885" t="n">
        <v>0</v>
      </c>
      <c r="L9885" t="n">
        <v>0</v>
      </c>
      <c r="M9885" t="n">
        <v>0</v>
      </c>
    </row>
    <row r="9886">
      <c r="A9886" t="inlineStr">
        <is>
          <t>12월</t>
        </is>
      </c>
      <c r="B9886" t="inlineStr">
        <is>
          <t>52주차</t>
        </is>
      </c>
      <c r="C9886" t="e">
        <v>#N/A</v>
      </c>
      <c r="K9886" t="n">
        <v>0</v>
      </c>
      <c r="L9886" t="n">
        <v>0</v>
      </c>
      <c r="M9886" t="n">
        <v>0</v>
      </c>
    </row>
    <row r="9887">
      <c r="A9887" t="inlineStr">
        <is>
          <t>12월</t>
        </is>
      </c>
      <c r="B9887" t="inlineStr">
        <is>
          <t>52주차</t>
        </is>
      </c>
      <c r="C9887" t="e">
        <v>#N/A</v>
      </c>
      <c r="K9887" t="n">
        <v>0</v>
      </c>
      <c r="L9887" t="n">
        <v>0</v>
      </c>
      <c r="M9887" t="n">
        <v>0</v>
      </c>
    </row>
    <row r="9888">
      <c r="A9888" t="inlineStr">
        <is>
          <t>12월</t>
        </is>
      </c>
      <c r="B9888" t="inlineStr">
        <is>
          <t>52주차</t>
        </is>
      </c>
      <c r="C9888" t="e">
        <v>#N/A</v>
      </c>
      <c r="K9888" t="n">
        <v>0</v>
      </c>
      <c r="L9888" t="n">
        <v>0</v>
      </c>
      <c r="M9888" t="n">
        <v>0</v>
      </c>
    </row>
    <row r="9889">
      <c r="A9889" t="inlineStr">
        <is>
          <t>12월</t>
        </is>
      </c>
      <c r="B9889" t="inlineStr">
        <is>
          <t>52주차</t>
        </is>
      </c>
      <c r="C9889" t="e">
        <v>#N/A</v>
      </c>
      <c r="K9889" t="n">
        <v>0</v>
      </c>
      <c r="L9889" t="n">
        <v>0</v>
      </c>
      <c r="M9889" t="n">
        <v>0</v>
      </c>
    </row>
    <row r="9890">
      <c r="A9890" t="inlineStr">
        <is>
          <t>12월</t>
        </is>
      </c>
      <c r="B9890" t="inlineStr">
        <is>
          <t>52주차</t>
        </is>
      </c>
      <c r="C9890" t="e">
        <v>#N/A</v>
      </c>
      <c r="K9890" t="n">
        <v>0</v>
      </c>
      <c r="L9890" t="n">
        <v>0</v>
      </c>
      <c r="M9890" t="n">
        <v>0</v>
      </c>
    </row>
    <row r="9891">
      <c r="A9891" t="inlineStr">
        <is>
          <t>12월</t>
        </is>
      </c>
      <c r="B9891" t="inlineStr">
        <is>
          <t>52주차</t>
        </is>
      </c>
      <c r="C9891" t="e">
        <v>#N/A</v>
      </c>
      <c r="K9891" t="n">
        <v>0</v>
      </c>
      <c r="L9891" t="n">
        <v>0</v>
      </c>
      <c r="M9891" t="n">
        <v>0</v>
      </c>
    </row>
    <row r="9892">
      <c r="A9892" t="inlineStr">
        <is>
          <t>12월</t>
        </is>
      </c>
      <c r="B9892" t="inlineStr">
        <is>
          <t>52주차</t>
        </is>
      </c>
      <c r="C9892" t="e">
        <v>#N/A</v>
      </c>
      <c r="K9892" t="n">
        <v>0</v>
      </c>
      <c r="L9892" t="n">
        <v>0</v>
      </c>
      <c r="M9892" t="n">
        <v>0</v>
      </c>
    </row>
    <row r="9893">
      <c r="A9893" t="inlineStr">
        <is>
          <t>12월</t>
        </is>
      </c>
      <c r="B9893" t="inlineStr">
        <is>
          <t>52주차</t>
        </is>
      </c>
      <c r="C9893" t="e">
        <v>#N/A</v>
      </c>
      <c r="K9893" t="n">
        <v>0</v>
      </c>
      <c r="L9893" t="n">
        <v>0</v>
      </c>
      <c r="M9893" t="n">
        <v>0</v>
      </c>
    </row>
    <row r="9894">
      <c r="A9894" t="inlineStr">
        <is>
          <t>12월</t>
        </is>
      </c>
      <c r="B9894" t="inlineStr">
        <is>
          <t>52주차</t>
        </is>
      </c>
      <c r="C9894" t="e">
        <v>#N/A</v>
      </c>
      <c r="K9894" t="n">
        <v>0</v>
      </c>
      <c r="L9894" t="n">
        <v>0</v>
      </c>
      <c r="M9894" t="n">
        <v>0</v>
      </c>
    </row>
    <row r="9895">
      <c r="A9895" t="inlineStr">
        <is>
          <t>12월</t>
        </is>
      </c>
      <c r="B9895" t="inlineStr">
        <is>
          <t>52주차</t>
        </is>
      </c>
      <c r="C9895" t="e">
        <v>#N/A</v>
      </c>
      <c r="K9895" t="n">
        <v>0</v>
      </c>
      <c r="L9895" t="n">
        <v>0</v>
      </c>
      <c r="M9895" t="n">
        <v>0</v>
      </c>
    </row>
    <row r="9896">
      <c r="A9896" t="inlineStr">
        <is>
          <t>12월</t>
        </is>
      </c>
      <c r="B9896" t="inlineStr">
        <is>
          <t>52주차</t>
        </is>
      </c>
      <c r="C9896" t="e">
        <v>#N/A</v>
      </c>
      <c r="K9896" t="n">
        <v>0</v>
      </c>
      <c r="L9896" t="n">
        <v>0</v>
      </c>
      <c r="M9896" t="n">
        <v>0</v>
      </c>
    </row>
    <row r="9897">
      <c r="A9897" t="inlineStr">
        <is>
          <t>12월</t>
        </is>
      </c>
      <c r="B9897" t="inlineStr">
        <is>
          <t>52주차</t>
        </is>
      </c>
      <c r="C9897" t="e">
        <v>#N/A</v>
      </c>
      <c r="K9897" t="n">
        <v>0</v>
      </c>
      <c r="L9897" t="n">
        <v>0</v>
      </c>
      <c r="M9897" t="n">
        <v>0</v>
      </c>
    </row>
    <row r="9898">
      <c r="A9898" t="inlineStr">
        <is>
          <t>12월</t>
        </is>
      </c>
      <c r="B9898" t="inlineStr">
        <is>
          <t>52주차</t>
        </is>
      </c>
      <c r="C9898" t="e">
        <v>#N/A</v>
      </c>
      <c r="K9898" t="n">
        <v>0</v>
      </c>
      <c r="L9898" t="n">
        <v>0</v>
      </c>
      <c r="M9898" t="n">
        <v>0</v>
      </c>
    </row>
    <row r="9899">
      <c r="A9899" t="inlineStr">
        <is>
          <t>12월</t>
        </is>
      </c>
      <c r="B9899" t="inlineStr">
        <is>
          <t>52주차</t>
        </is>
      </c>
      <c r="C9899" t="e">
        <v>#N/A</v>
      </c>
      <c r="K9899" t="n">
        <v>0</v>
      </c>
      <c r="L9899" t="n">
        <v>0</v>
      </c>
      <c r="M9899" t="n">
        <v>0</v>
      </c>
    </row>
    <row r="9900">
      <c r="A9900" t="inlineStr">
        <is>
          <t>12월</t>
        </is>
      </c>
      <c r="B9900" t="inlineStr">
        <is>
          <t>52주차</t>
        </is>
      </c>
      <c r="C9900" t="e">
        <v>#N/A</v>
      </c>
      <c r="K9900" t="n">
        <v>0</v>
      </c>
      <c r="L9900" t="n">
        <v>0</v>
      </c>
      <c r="M9900" t="n">
        <v>0</v>
      </c>
    </row>
    <row r="9901">
      <c r="A9901" t="inlineStr">
        <is>
          <t>12월</t>
        </is>
      </c>
      <c r="B9901" t="inlineStr">
        <is>
          <t>52주차</t>
        </is>
      </c>
      <c r="C9901" t="e">
        <v>#N/A</v>
      </c>
      <c r="K9901" t="n">
        <v>0</v>
      </c>
      <c r="L9901" t="n">
        <v>0</v>
      </c>
      <c r="M9901" t="n">
        <v>0</v>
      </c>
    </row>
    <row r="9902">
      <c r="A9902" t="inlineStr">
        <is>
          <t>12월</t>
        </is>
      </c>
      <c r="B9902" t="inlineStr">
        <is>
          <t>52주차</t>
        </is>
      </c>
      <c r="C9902" t="e">
        <v>#N/A</v>
      </c>
      <c r="K9902" t="n">
        <v>0</v>
      </c>
      <c r="L9902" t="n">
        <v>0</v>
      </c>
      <c r="M9902" t="n">
        <v>0</v>
      </c>
    </row>
    <row r="9903">
      <c r="A9903" t="inlineStr">
        <is>
          <t>12월</t>
        </is>
      </c>
      <c r="B9903" t="inlineStr">
        <is>
          <t>52주차</t>
        </is>
      </c>
      <c r="C9903" t="e">
        <v>#N/A</v>
      </c>
      <c r="K9903" t="n">
        <v>0</v>
      </c>
      <c r="L9903" t="n">
        <v>0</v>
      </c>
      <c r="M9903" t="n">
        <v>0</v>
      </c>
    </row>
    <row r="9904">
      <c r="A9904" t="inlineStr">
        <is>
          <t>12월</t>
        </is>
      </c>
      <c r="B9904" t="inlineStr">
        <is>
          <t>52주차</t>
        </is>
      </c>
      <c r="C9904" t="e">
        <v>#N/A</v>
      </c>
      <c r="K9904" t="n">
        <v>0</v>
      </c>
      <c r="L9904" t="n">
        <v>0</v>
      </c>
      <c r="M9904" t="n">
        <v>0</v>
      </c>
    </row>
    <row r="9905">
      <c r="A9905" t="inlineStr">
        <is>
          <t>12월</t>
        </is>
      </c>
      <c r="B9905" t="inlineStr">
        <is>
          <t>52주차</t>
        </is>
      </c>
      <c r="C9905" t="e">
        <v>#N/A</v>
      </c>
      <c r="K9905" t="n">
        <v>0</v>
      </c>
      <c r="L9905" t="n">
        <v>0</v>
      </c>
      <c r="M9905" t="n">
        <v>0</v>
      </c>
    </row>
    <row r="9906">
      <c r="A9906" t="inlineStr">
        <is>
          <t>12월</t>
        </is>
      </c>
      <c r="B9906" t="inlineStr">
        <is>
          <t>52주차</t>
        </is>
      </c>
      <c r="C9906" t="e">
        <v>#N/A</v>
      </c>
      <c r="K9906" t="n">
        <v>0</v>
      </c>
      <c r="L9906" t="n">
        <v>0</v>
      </c>
      <c r="M9906" t="n">
        <v>0</v>
      </c>
    </row>
    <row r="9907">
      <c r="A9907" t="inlineStr">
        <is>
          <t>12월</t>
        </is>
      </c>
      <c r="B9907" t="inlineStr">
        <is>
          <t>52주차</t>
        </is>
      </c>
      <c r="C9907" t="e">
        <v>#N/A</v>
      </c>
      <c r="K9907" t="n">
        <v>0</v>
      </c>
      <c r="L9907" t="n">
        <v>0</v>
      </c>
      <c r="M9907" t="n">
        <v>0</v>
      </c>
    </row>
    <row r="9908">
      <c r="A9908" t="inlineStr">
        <is>
          <t>12월</t>
        </is>
      </c>
      <c r="B9908" t="inlineStr">
        <is>
          <t>52주차</t>
        </is>
      </c>
      <c r="C9908" t="e">
        <v>#N/A</v>
      </c>
      <c r="K9908" t="n">
        <v>0</v>
      </c>
      <c r="L9908" t="n">
        <v>0</v>
      </c>
      <c r="M9908" t="n">
        <v>0</v>
      </c>
    </row>
    <row r="9909">
      <c r="A9909" t="inlineStr">
        <is>
          <t>12월</t>
        </is>
      </c>
      <c r="B9909" t="inlineStr">
        <is>
          <t>52주차</t>
        </is>
      </c>
      <c r="C9909" t="e">
        <v>#N/A</v>
      </c>
      <c r="K9909" t="n">
        <v>0</v>
      </c>
      <c r="L9909" t="n">
        <v>0</v>
      </c>
      <c r="M9909" t="n">
        <v>0</v>
      </c>
    </row>
    <row r="9910">
      <c r="A9910" t="inlineStr">
        <is>
          <t>12월</t>
        </is>
      </c>
      <c r="B9910" t="inlineStr">
        <is>
          <t>52주차</t>
        </is>
      </c>
      <c r="C9910" t="e">
        <v>#N/A</v>
      </c>
      <c r="K9910" t="n">
        <v>0</v>
      </c>
      <c r="L9910" t="n">
        <v>0</v>
      </c>
      <c r="M9910" t="n">
        <v>0</v>
      </c>
    </row>
    <row r="9911">
      <c r="A9911" t="inlineStr">
        <is>
          <t>12월</t>
        </is>
      </c>
      <c r="B9911" t="inlineStr">
        <is>
          <t>52주차</t>
        </is>
      </c>
      <c r="C9911" t="e">
        <v>#N/A</v>
      </c>
      <c r="K9911" t="n">
        <v>0</v>
      </c>
      <c r="L9911" t="n">
        <v>0</v>
      </c>
      <c r="M9911" t="n">
        <v>0</v>
      </c>
    </row>
    <row r="9912">
      <c r="A9912" t="inlineStr">
        <is>
          <t>12월</t>
        </is>
      </c>
      <c r="B9912" t="inlineStr">
        <is>
          <t>52주차</t>
        </is>
      </c>
      <c r="C9912" t="e">
        <v>#N/A</v>
      </c>
      <c r="K9912" t="n">
        <v>0</v>
      </c>
      <c r="L9912" t="n">
        <v>0</v>
      </c>
      <c r="M9912" t="n">
        <v>0</v>
      </c>
    </row>
    <row r="9913">
      <c r="A9913" t="inlineStr">
        <is>
          <t>12월</t>
        </is>
      </c>
      <c r="B9913" t="inlineStr">
        <is>
          <t>52주차</t>
        </is>
      </c>
      <c r="C9913" t="e">
        <v>#N/A</v>
      </c>
      <c r="K9913" t="n">
        <v>0</v>
      </c>
      <c r="L9913" t="n">
        <v>0</v>
      </c>
      <c r="M9913" t="n">
        <v>0</v>
      </c>
    </row>
    <row r="9914">
      <c r="A9914" t="inlineStr">
        <is>
          <t>12월</t>
        </is>
      </c>
      <c r="B9914" t="inlineStr">
        <is>
          <t>52주차</t>
        </is>
      </c>
      <c r="C9914" t="e">
        <v>#N/A</v>
      </c>
      <c r="K9914" t="n">
        <v>0</v>
      </c>
      <c r="L9914" t="n">
        <v>0</v>
      </c>
      <c r="M9914" t="n">
        <v>0</v>
      </c>
    </row>
    <row r="9915">
      <c r="A9915" t="inlineStr">
        <is>
          <t>12월</t>
        </is>
      </c>
      <c r="B9915" t="inlineStr">
        <is>
          <t>52주차</t>
        </is>
      </c>
      <c r="C9915" t="e">
        <v>#N/A</v>
      </c>
      <c r="K9915" t="n">
        <v>0</v>
      </c>
      <c r="L9915" t="n">
        <v>0</v>
      </c>
      <c r="M9915" t="n">
        <v>0</v>
      </c>
    </row>
    <row r="9916">
      <c r="A9916" t="inlineStr">
        <is>
          <t>12월</t>
        </is>
      </c>
      <c r="B9916" t="inlineStr">
        <is>
          <t>52주차</t>
        </is>
      </c>
      <c r="C9916" t="e">
        <v>#N/A</v>
      </c>
      <c r="K9916" t="n">
        <v>0</v>
      </c>
      <c r="L9916" t="n">
        <v>0</v>
      </c>
      <c r="M9916" t="n">
        <v>0</v>
      </c>
    </row>
    <row r="9917">
      <c r="A9917" t="inlineStr">
        <is>
          <t>12월</t>
        </is>
      </c>
      <c r="B9917" t="inlineStr">
        <is>
          <t>52주차</t>
        </is>
      </c>
      <c r="C9917" t="e">
        <v>#N/A</v>
      </c>
      <c r="K9917" t="n">
        <v>0</v>
      </c>
      <c r="L9917" t="n">
        <v>0</v>
      </c>
      <c r="M9917" t="n">
        <v>0</v>
      </c>
    </row>
    <row r="9918">
      <c r="A9918" t="inlineStr">
        <is>
          <t>12월</t>
        </is>
      </c>
      <c r="B9918" t="inlineStr">
        <is>
          <t>52주차</t>
        </is>
      </c>
      <c r="C9918" t="e">
        <v>#N/A</v>
      </c>
      <c r="K9918" t="n">
        <v>0</v>
      </c>
      <c r="L9918" t="n">
        <v>0</v>
      </c>
      <c r="M9918" t="n">
        <v>0</v>
      </c>
    </row>
    <row r="9919">
      <c r="A9919" t="inlineStr">
        <is>
          <t>12월</t>
        </is>
      </c>
      <c r="B9919" t="inlineStr">
        <is>
          <t>52주차</t>
        </is>
      </c>
      <c r="C9919" t="e">
        <v>#N/A</v>
      </c>
      <c r="K9919" t="n">
        <v>0</v>
      </c>
      <c r="L9919" t="n">
        <v>0</v>
      </c>
      <c r="M9919" t="n">
        <v>0</v>
      </c>
    </row>
    <row r="9920">
      <c r="A9920" t="inlineStr">
        <is>
          <t>12월</t>
        </is>
      </c>
      <c r="B9920" t="inlineStr">
        <is>
          <t>52주차</t>
        </is>
      </c>
      <c r="C9920" t="e">
        <v>#N/A</v>
      </c>
      <c r="K9920" t="n">
        <v>0</v>
      </c>
      <c r="L9920" t="n">
        <v>0</v>
      </c>
      <c r="M9920" t="n">
        <v>0</v>
      </c>
    </row>
    <row r="9921">
      <c r="A9921" t="inlineStr">
        <is>
          <t>12월</t>
        </is>
      </c>
      <c r="B9921" t="inlineStr">
        <is>
          <t>52주차</t>
        </is>
      </c>
      <c r="C9921" t="e">
        <v>#N/A</v>
      </c>
      <c r="K9921" t="n">
        <v>0</v>
      </c>
      <c r="L9921" t="n">
        <v>0</v>
      </c>
      <c r="M9921" t="n">
        <v>0</v>
      </c>
    </row>
    <row r="9922">
      <c r="A9922" t="inlineStr">
        <is>
          <t>12월</t>
        </is>
      </c>
      <c r="B9922" t="inlineStr">
        <is>
          <t>52주차</t>
        </is>
      </c>
      <c r="C9922" t="e">
        <v>#N/A</v>
      </c>
      <c r="K9922" t="n">
        <v>0</v>
      </c>
      <c r="L9922" t="n">
        <v>0</v>
      </c>
      <c r="M9922" t="n">
        <v>0</v>
      </c>
    </row>
    <row r="9923">
      <c r="A9923" t="inlineStr">
        <is>
          <t>12월</t>
        </is>
      </c>
      <c r="B9923" t="inlineStr">
        <is>
          <t>52주차</t>
        </is>
      </c>
      <c r="C9923" t="e">
        <v>#N/A</v>
      </c>
      <c r="K9923" t="n">
        <v>0</v>
      </c>
      <c r="L9923" t="n">
        <v>0</v>
      </c>
      <c r="M9923" t="n">
        <v>0</v>
      </c>
    </row>
    <row r="9924">
      <c r="A9924" t="inlineStr">
        <is>
          <t>12월</t>
        </is>
      </c>
      <c r="B9924" t="inlineStr">
        <is>
          <t>52주차</t>
        </is>
      </c>
      <c r="C9924" t="e">
        <v>#N/A</v>
      </c>
      <c r="K9924" t="n">
        <v>0</v>
      </c>
      <c r="L9924" t="n">
        <v>0</v>
      </c>
      <c r="M9924" t="n">
        <v>0</v>
      </c>
    </row>
    <row r="9925">
      <c r="A9925" t="inlineStr">
        <is>
          <t>12월</t>
        </is>
      </c>
      <c r="B9925" t="inlineStr">
        <is>
          <t>52주차</t>
        </is>
      </c>
      <c r="C9925" t="e">
        <v>#N/A</v>
      </c>
      <c r="K9925" t="n">
        <v>0</v>
      </c>
      <c r="L9925" t="n">
        <v>0</v>
      </c>
      <c r="M9925" t="n">
        <v>0</v>
      </c>
    </row>
    <row r="9926">
      <c r="A9926" t="inlineStr">
        <is>
          <t>12월</t>
        </is>
      </c>
      <c r="B9926" t="inlineStr">
        <is>
          <t>52주차</t>
        </is>
      </c>
      <c r="C9926" t="e">
        <v>#N/A</v>
      </c>
      <c r="K9926" t="n">
        <v>0</v>
      </c>
      <c r="L9926" t="n">
        <v>0</v>
      </c>
      <c r="M9926" t="n">
        <v>0</v>
      </c>
    </row>
    <row r="9927">
      <c r="A9927" t="inlineStr">
        <is>
          <t>12월</t>
        </is>
      </c>
      <c r="B9927" t="inlineStr">
        <is>
          <t>52주차</t>
        </is>
      </c>
      <c r="C9927" t="e">
        <v>#N/A</v>
      </c>
      <c r="K9927" t="n">
        <v>0</v>
      </c>
      <c r="L9927" t="n">
        <v>0</v>
      </c>
      <c r="M9927" t="n">
        <v>0</v>
      </c>
    </row>
    <row r="9928">
      <c r="A9928" t="inlineStr">
        <is>
          <t>12월</t>
        </is>
      </c>
      <c r="B9928" t="inlineStr">
        <is>
          <t>52주차</t>
        </is>
      </c>
      <c r="C9928" t="e">
        <v>#N/A</v>
      </c>
      <c r="K9928" t="n">
        <v>0</v>
      </c>
      <c r="L9928" t="n">
        <v>0</v>
      </c>
      <c r="M9928" t="n">
        <v>0</v>
      </c>
    </row>
    <row r="9929">
      <c r="A9929" t="inlineStr">
        <is>
          <t>12월</t>
        </is>
      </c>
      <c r="B9929" t="inlineStr">
        <is>
          <t>52주차</t>
        </is>
      </c>
      <c r="C9929" t="e">
        <v>#N/A</v>
      </c>
      <c r="K9929" t="n">
        <v>0</v>
      </c>
      <c r="L9929" t="n">
        <v>0</v>
      </c>
      <c r="M9929" t="n">
        <v>0</v>
      </c>
    </row>
    <row r="9930">
      <c r="A9930" t="inlineStr">
        <is>
          <t>12월</t>
        </is>
      </c>
      <c r="B9930" t="inlineStr">
        <is>
          <t>52주차</t>
        </is>
      </c>
      <c r="C9930" t="e">
        <v>#N/A</v>
      </c>
      <c r="K9930" t="n">
        <v>0</v>
      </c>
      <c r="L9930" t="n">
        <v>0</v>
      </c>
      <c r="M9930" t="n">
        <v>0</v>
      </c>
    </row>
    <row r="9931">
      <c r="A9931" t="inlineStr">
        <is>
          <t>12월</t>
        </is>
      </c>
      <c r="B9931" t="inlineStr">
        <is>
          <t>52주차</t>
        </is>
      </c>
      <c r="C9931" t="e">
        <v>#N/A</v>
      </c>
      <c r="K9931" t="n">
        <v>0</v>
      </c>
      <c r="L9931" t="n">
        <v>0</v>
      </c>
      <c r="M9931" t="n">
        <v>0</v>
      </c>
    </row>
    <row r="9932">
      <c r="A9932" t="inlineStr">
        <is>
          <t>12월</t>
        </is>
      </c>
      <c r="B9932" t="inlineStr">
        <is>
          <t>52주차</t>
        </is>
      </c>
      <c r="C9932" t="e">
        <v>#N/A</v>
      </c>
      <c r="K9932" t="n">
        <v>0</v>
      </c>
      <c r="L9932" t="n">
        <v>0</v>
      </c>
      <c r="M9932" t="n">
        <v>0</v>
      </c>
    </row>
    <row r="9933">
      <c r="A9933" t="inlineStr">
        <is>
          <t>12월</t>
        </is>
      </c>
      <c r="B9933" t="inlineStr">
        <is>
          <t>52주차</t>
        </is>
      </c>
      <c r="C9933" t="e">
        <v>#N/A</v>
      </c>
      <c r="K9933" t="n">
        <v>0</v>
      </c>
      <c r="L9933" t="n">
        <v>0</v>
      </c>
      <c r="M9933" t="n">
        <v>0</v>
      </c>
    </row>
    <row r="9934">
      <c r="A9934" t="inlineStr">
        <is>
          <t>12월</t>
        </is>
      </c>
      <c r="B9934" t="inlineStr">
        <is>
          <t>52주차</t>
        </is>
      </c>
      <c r="C9934" t="e">
        <v>#N/A</v>
      </c>
      <c r="K9934" t="n">
        <v>0</v>
      </c>
      <c r="L9934" t="n">
        <v>0</v>
      </c>
      <c r="M9934" t="n">
        <v>0</v>
      </c>
    </row>
    <row r="9935">
      <c r="A9935" t="inlineStr">
        <is>
          <t>12월</t>
        </is>
      </c>
      <c r="B9935" t="inlineStr">
        <is>
          <t>52주차</t>
        </is>
      </c>
      <c r="C9935" t="e">
        <v>#N/A</v>
      </c>
      <c r="K9935" t="n">
        <v>0</v>
      </c>
      <c r="L9935" t="n">
        <v>0</v>
      </c>
      <c r="M9935" t="n">
        <v>0</v>
      </c>
    </row>
    <row r="9936">
      <c r="A9936" t="inlineStr">
        <is>
          <t>12월</t>
        </is>
      </c>
      <c r="B9936" t="inlineStr">
        <is>
          <t>52주차</t>
        </is>
      </c>
      <c r="C9936" t="e">
        <v>#N/A</v>
      </c>
      <c r="K9936" t="n">
        <v>0</v>
      </c>
      <c r="L9936" t="n">
        <v>0</v>
      </c>
      <c r="M9936" t="n">
        <v>0</v>
      </c>
    </row>
    <row r="9937">
      <c r="A9937" t="inlineStr">
        <is>
          <t>12월</t>
        </is>
      </c>
      <c r="B9937" t="inlineStr">
        <is>
          <t>52주차</t>
        </is>
      </c>
      <c r="C9937" t="e">
        <v>#N/A</v>
      </c>
      <c r="K9937" t="n">
        <v>0</v>
      </c>
      <c r="L9937" t="n">
        <v>0</v>
      </c>
      <c r="M9937" t="n">
        <v>0</v>
      </c>
    </row>
    <row r="9938">
      <c r="A9938" t="inlineStr">
        <is>
          <t>12월</t>
        </is>
      </c>
      <c r="B9938" t="inlineStr">
        <is>
          <t>52주차</t>
        </is>
      </c>
      <c r="C9938" t="e">
        <v>#N/A</v>
      </c>
      <c r="K9938" t="n">
        <v>0</v>
      </c>
      <c r="L9938" t="n">
        <v>0</v>
      </c>
      <c r="M9938" t="n">
        <v>0</v>
      </c>
    </row>
    <row r="9939">
      <c r="A9939" t="inlineStr">
        <is>
          <t>12월</t>
        </is>
      </c>
      <c r="B9939" t="inlineStr">
        <is>
          <t>52주차</t>
        </is>
      </c>
      <c r="C9939" t="e">
        <v>#N/A</v>
      </c>
      <c r="K9939" t="n">
        <v>0</v>
      </c>
      <c r="L9939" t="n">
        <v>0</v>
      </c>
      <c r="M9939" t="n">
        <v>0</v>
      </c>
    </row>
    <row r="9940">
      <c r="A9940" t="inlineStr">
        <is>
          <t>12월</t>
        </is>
      </c>
      <c r="B9940" t="inlineStr">
        <is>
          <t>52주차</t>
        </is>
      </c>
      <c r="C9940" t="e">
        <v>#N/A</v>
      </c>
      <c r="K9940" t="n">
        <v>0</v>
      </c>
      <c r="L9940" t="n">
        <v>0</v>
      </c>
      <c r="M9940" t="n">
        <v>0</v>
      </c>
    </row>
    <row r="9941">
      <c r="A9941" t="inlineStr">
        <is>
          <t>12월</t>
        </is>
      </c>
      <c r="B9941" t="inlineStr">
        <is>
          <t>52주차</t>
        </is>
      </c>
      <c r="C9941" t="e">
        <v>#N/A</v>
      </c>
      <c r="K9941" t="n">
        <v>0</v>
      </c>
      <c r="L9941" t="n">
        <v>0</v>
      </c>
      <c r="M9941" t="n">
        <v>0</v>
      </c>
    </row>
    <row r="9942">
      <c r="A9942" t="inlineStr">
        <is>
          <t>12월</t>
        </is>
      </c>
      <c r="B9942" t="inlineStr">
        <is>
          <t>52주차</t>
        </is>
      </c>
      <c r="C9942" t="e">
        <v>#N/A</v>
      </c>
      <c r="K9942" t="n">
        <v>0</v>
      </c>
      <c r="L9942" t="n">
        <v>0</v>
      </c>
      <c r="M9942" t="n">
        <v>0</v>
      </c>
    </row>
    <row r="9943">
      <c r="A9943" t="inlineStr">
        <is>
          <t>12월</t>
        </is>
      </c>
      <c r="B9943" t="inlineStr">
        <is>
          <t>52주차</t>
        </is>
      </c>
      <c r="C9943" t="e">
        <v>#N/A</v>
      </c>
      <c r="K9943" t="n">
        <v>0</v>
      </c>
      <c r="L9943" t="n">
        <v>0</v>
      </c>
      <c r="M9943" t="n">
        <v>0</v>
      </c>
    </row>
    <row r="9944">
      <c r="A9944" t="inlineStr">
        <is>
          <t>12월</t>
        </is>
      </c>
      <c r="B9944" t="inlineStr">
        <is>
          <t>52주차</t>
        </is>
      </c>
      <c r="C9944" t="e">
        <v>#N/A</v>
      </c>
      <c r="K9944" t="n">
        <v>0</v>
      </c>
      <c r="L9944" t="n">
        <v>0</v>
      </c>
      <c r="M9944" t="n">
        <v>0</v>
      </c>
    </row>
    <row r="9945">
      <c r="A9945" t="inlineStr">
        <is>
          <t>12월</t>
        </is>
      </c>
      <c r="B9945" t="inlineStr">
        <is>
          <t>52주차</t>
        </is>
      </c>
      <c r="C9945" t="e">
        <v>#N/A</v>
      </c>
      <c r="K9945" t="n">
        <v>0</v>
      </c>
      <c r="L9945" t="n">
        <v>0</v>
      </c>
      <c r="M9945" t="n">
        <v>0</v>
      </c>
    </row>
    <row r="9946">
      <c r="A9946" t="inlineStr">
        <is>
          <t>12월</t>
        </is>
      </c>
      <c r="B9946" t="inlineStr">
        <is>
          <t>52주차</t>
        </is>
      </c>
      <c r="C9946" t="e">
        <v>#N/A</v>
      </c>
      <c r="K9946" t="n">
        <v>0</v>
      </c>
      <c r="L9946" t="n">
        <v>0</v>
      </c>
      <c r="M9946" t="n">
        <v>0</v>
      </c>
    </row>
    <row r="9947">
      <c r="A9947" t="inlineStr">
        <is>
          <t>12월</t>
        </is>
      </c>
      <c r="B9947" t="inlineStr">
        <is>
          <t>52주차</t>
        </is>
      </c>
      <c r="C9947" t="e">
        <v>#N/A</v>
      </c>
      <c r="K9947" t="n">
        <v>0</v>
      </c>
      <c r="L9947" t="n">
        <v>0</v>
      </c>
      <c r="M9947" t="n">
        <v>0</v>
      </c>
    </row>
    <row r="9948">
      <c r="A9948" t="inlineStr">
        <is>
          <t>12월</t>
        </is>
      </c>
      <c r="B9948" t="inlineStr">
        <is>
          <t>52주차</t>
        </is>
      </c>
      <c r="C9948" t="e">
        <v>#N/A</v>
      </c>
      <c r="K9948" t="n">
        <v>0</v>
      </c>
      <c r="L9948" t="n">
        <v>0</v>
      </c>
      <c r="M9948" t="n">
        <v>0</v>
      </c>
    </row>
    <row r="9949">
      <c r="A9949" t="inlineStr">
        <is>
          <t>12월</t>
        </is>
      </c>
      <c r="B9949" t="inlineStr">
        <is>
          <t>52주차</t>
        </is>
      </c>
      <c r="C9949" t="e">
        <v>#N/A</v>
      </c>
      <c r="K9949" t="n">
        <v>0</v>
      </c>
      <c r="L9949" t="n">
        <v>0</v>
      </c>
      <c r="M9949" t="n">
        <v>0</v>
      </c>
    </row>
    <row r="9950">
      <c r="A9950" t="inlineStr">
        <is>
          <t>12월</t>
        </is>
      </c>
      <c r="B9950" t="inlineStr">
        <is>
          <t>52주차</t>
        </is>
      </c>
      <c r="C9950" t="e">
        <v>#N/A</v>
      </c>
      <c r="K9950" t="n">
        <v>0</v>
      </c>
      <c r="L9950" t="n">
        <v>0</v>
      </c>
      <c r="M9950" t="n">
        <v>0</v>
      </c>
    </row>
    <row r="9951">
      <c r="A9951" t="inlineStr">
        <is>
          <t>12월</t>
        </is>
      </c>
      <c r="B9951" t="inlineStr">
        <is>
          <t>52주차</t>
        </is>
      </c>
      <c r="C9951" t="e">
        <v>#N/A</v>
      </c>
      <c r="K9951" t="n">
        <v>0</v>
      </c>
      <c r="L9951" t="n">
        <v>0</v>
      </c>
      <c r="M9951" t="n">
        <v>0</v>
      </c>
    </row>
    <row r="9952">
      <c r="A9952" t="inlineStr">
        <is>
          <t>12월</t>
        </is>
      </c>
      <c r="B9952" t="inlineStr">
        <is>
          <t>52주차</t>
        </is>
      </c>
      <c r="C9952" t="e">
        <v>#N/A</v>
      </c>
      <c r="K9952" t="n">
        <v>0</v>
      </c>
      <c r="L9952" t="n">
        <v>0</v>
      </c>
      <c r="M9952" t="n">
        <v>0</v>
      </c>
    </row>
    <row r="9953">
      <c r="A9953" t="inlineStr">
        <is>
          <t>12월</t>
        </is>
      </c>
      <c r="B9953" t="inlineStr">
        <is>
          <t>52주차</t>
        </is>
      </c>
      <c r="C9953" t="e">
        <v>#N/A</v>
      </c>
      <c r="K9953" t="n">
        <v>0</v>
      </c>
      <c r="L9953" t="n">
        <v>0</v>
      </c>
      <c r="M9953" t="n">
        <v>0</v>
      </c>
    </row>
    <row r="9954">
      <c r="A9954" t="inlineStr">
        <is>
          <t>12월</t>
        </is>
      </c>
      <c r="B9954" t="inlineStr">
        <is>
          <t>52주차</t>
        </is>
      </c>
      <c r="C9954" t="e">
        <v>#N/A</v>
      </c>
      <c r="K9954" t="n">
        <v>0</v>
      </c>
      <c r="L9954" t="n">
        <v>0</v>
      </c>
      <c r="M9954" t="n">
        <v>0</v>
      </c>
    </row>
    <row r="9955">
      <c r="A9955" t="inlineStr">
        <is>
          <t>12월</t>
        </is>
      </c>
      <c r="B9955" t="inlineStr">
        <is>
          <t>52주차</t>
        </is>
      </c>
      <c r="C9955" t="e">
        <v>#N/A</v>
      </c>
      <c r="K9955" t="n">
        <v>0</v>
      </c>
      <c r="L9955" t="n">
        <v>0</v>
      </c>
      <c r="M9955" t="n">
        <v>0</v>
      </c>
    </row>
    <row r="9956">
      <c r="A9956" t="inlineStr">
        <is>
          <t>12월</t>
        </is>
      </c>
      <c r="B9956" t="inlineStr">
        <is>
          <t>52주차</t>
        </is>
      </c>
      <c r="C9956" t="e">
        <v>#N/A</v>
      </c>
      <c r="K9956" t="n">
        <v>0</v>
      </c>
      <c r="L9956" t="n">
        <v>0</v>
      </c>
      <c r="M9956" t="n">
        <v>0</v>
      </c>
    </row>
    <row r="9957">
      <c r="A9957" t="inlineStr">
        <is>
          <t>12월</t>
        </is>
      </c>
      <c r="B9957" t="inlineStr">
        <is>
          <t>52주차</t>
        </is>
      </c>
      <c r="C9957" t="e">
        <v>#N/A</v>
      </c>
      <c r="K9957" t="n">
        <v>0</v>
      </c>
      <c r="L9957" t="n">
        <v>0</v>
      </c>
      <c r="M9957" t="n">
        <v>0</v>
      </c>
    </row>
    <row r="9958">
      <c r="A9958" t="inlineStr">
        <is>
          <t>12월</t>
        </is>
      </c>
      <c r="B9958" t="inlineStr">
        <is>
          <t>52주차</t>
        </is>
      </c>
      <c r="C9958" t="e">
        <v>#N/A</v>
      </c>
      <c r="K9958" t="n">
        <v>0</v>
      </c>
      <c r="L9958" t="n">
        <v>0</v>
      </c>
      <c r="M9958" t="n">
        <v>0</v>
      </c>
    </row>
    <row r="9959">
      <c r="A9959" t="inlineStr">
        <is>
          <t>12월</t>
        </is>
      </c>
      <c r="B9959" t="inlineStr">
        <is>
          <t>52주차</t>
        </is>
      </c>
      <c r="C9959" t="e">
        <v>#N/A</v>
      </c>
      <c r="K9959" t="n">
        <v>0</v>
      </c>
      <c r="L9959" t="n">
        <v>0</v>
      </c>
      <c r="M9959" t="n">
        <v>0</v>
      </c>
    </row>
    <row r="9960">
      <c r="A9960" t="inlineStr">
        <is>
          <t>12월</t>
        </is>
      </c>
      <c r="B9960" t="inlineStr">
        <is>
          <t>52주차</t>
        </is>
      </c>
      <c r="C9960" t="e">
        <v>#N/A</v>
      </c>
      <c r="K9960" t="n">
        <v>0</v>
      </c>
      <c r="L9960" t="n">
        <v>0</v>
      </c>
      <c r="M9960" t="n">
        <v>0</v>
      </c>
    </row>
    <row r="9961">
      <c r="A9961" t="inlineStr">
        <is>
          <t>12월</t>
        </is>
      </c>
      <c r="B9961" t="inlineStr">
        <is>
          <t>52주차</t>
        </is>
      </c>
      <c r="C9961" t="e">
        <v>#N/A</v>
      </c>
      <c r="K9961" t="n">
        <v>0</v>
      </c>
      <c r="L9961" t="n">
        <v>0</v>
      </c>
      <c r="M9961" t="n">
        <v>0</v>
      </c>
    </row>
    <row r="9962">
      <c r="A9962" t="inlineStr">
        <is>
          <t>12월</t>
        </is>
      </c>
      <c r="B9962" t="inlineStr">
        <is>
          <t>52주차</t>
        </is>
      </c>
      <c r="C9962" t="e">
        <v>#N/A</v>
      </c>
      <c r="K9962" t="n">
        <v>0</v>
      </c>
      <c r="L9962" t="n">
        <v>0</v>
      </c>
      <c r="M9962" t="n">
        <v>0</v>
      </c>
    </row>
    <row r="9963">
      <c r="A9963" t="inlineStr">
        <is>
          <t>12월</t>
        </is>
      </c>
      <c r="B9963" t="inlineStr">
        <is>
          <t>52주차</t>
        </is>
      </c>
      <c r="C9963" t="e">
        <v>#N/A</v>
      </c>
      <c r="K9963" t="n">
        <v>0</v>
      </c>
      <c r="L9963" t="n">
        <v>0</v>
      </c>
      <c r="M9963" t="n">
        <v>0</v>
      </c>
    </row>
    <row r="9964">
      <c r="A9964" t="inlineStr">
        <is>
          <t>12월</t>
        </is>
      </c>
      <c r="B9964" t="inlineStr">
        <is>
          <t>52주차</t>
        </is>
      </c>
      <c r="C9964" t="e">
        <v>#N/A</v>
      </c>
      <c r="K9964" t="n">
        <v>0</v>
      </c>
      <c r="L9964" t="n">
        <v>0</v>
      </c>
      <c r="M9964" t="n">
        <v>0</v>
      </c>
    </row>
    <row r="9965">
      <c r="A9965" t="inlineStr">
        <is>
          <t>12월</t>
        </is>
      </c>
      <c r="B9965" t="inlineStr">
        <is>
          <t>52주차</t>
        </is>
      </c>
      <c r="C9965" t="e">
        <v>#N/A</v>
      </c>
      <c r="K9965" t="n">
        <v>0</v>
      </c>
      <c r="L9965" t="n">
        <v>0</v>
      </c>
      <c r="M9965" t="n">
        <v>0</v>
      </c>
    </row>
    <row r="9966">
      <c r="A9966" t="inlineStr">
        <is>
          <t>12월</t>
        </is>
      </c>
      <c r="B9966" t="inlineStr">
        <is>
          <t>52주차</t>
        </is>
      </c>
      <c r="C9966" t="e">
        <v>#N/A</v>
      </c>
      <c r="K9966" t="n">
        <v>0</v>
      </c>
      <c r="L9966" t="n">
        <v>0</v>
      </c>
      <c r="M9966" t="n">
        <v>0</v>
      </c>
    </row>
    <row r="9967">
      <c r="A9967" t="inlineStr">
        <is>
          <t>12월</t>
        </is>
      </c>
      <c r="B9967" t="inlineStr">
        <is>
          <t>52주차</t>
        </is>
      </c>
      <c r="C9967" t="e">
        <v>#N/A</v>
      </c>
      <c r="K9967" t="n">
        <v>0</v>
      </c>
      <c r="L9967" t="n">
        <v>0</v>
      </c>
      <c r="M9967" t="n">
        <v>0</v>
      </c>
    </row>
    <row r="9968">
      <c r="A9968" t="inlineStr">
        <is>
          <t>12월</t>
        </is>
      </c>
      <c r="B9968" t="inlineStr">
        <is>
          <t>52주차</t>
        </is>
      </c>
      <c r="C9968" t="e">
        <v>#N/A</v>
      </c>
      <c r="K9968" t="n">
        <v>0</v>
      </c>
      <c r="L9968" t="n">
        <v>0</v>
      </c>
      <c r="M9968" t="n">
        <v>0</v>
      </c>
    </row>
    <row r="9969">
      <c r="A9969" t="inlineStr">
        <is>
          <t>12월</t>
        </is>
      </c>
      <c r="B9969" t="inlineStr">
        <is>
          <t>52주차</t>
        </is>
      </c>
      <c r="C9969" t="e">
        <v>#N/A</v>
      </c>
      <c r="K9969" t="n">
        <v>0</v>
      </c>
      <c r="L9969" t="n">
        <v>0</v>
      </c>
      <c r="M9969" t="n">
        <v>0</v>
      </c>
    </row>
    <row r="9970">
      <c r="A9970" t="inlineStr">
        <is>
          <t>12월</t>
        </is>
      </c>
      <c r="B9970" t="inlineStr">
        <is>
          <t>52주차</t>
        </is>
      </c>
      <c r="C9970" t="e">
        <v>#N/A</v>
      </c>
      <c r="K9970" t="n">
        <v>0</v>
      </c>
      <c r="L9970" t="n">
        <v>0</v>
      </c>
      <c r="M9970" t="n">
        <v>0</v>
      </c>
    </row>
    <row r="9971">
      <c r="A9971" t="inlineStr">
        <is>
          <t>12월</t>
        </is>
      </c>
      <c r="B9971" t="inlineStr">
        <is>
          <t>52주차</t>
        </is>
      </c>
      <c r="C9971" t="e">
        <v>#N/A</v>
      </c>
      <c r="K9971" t="n">
        <v>0</v>
      </c>
      <c r="L9971" t="n">
        <v>0</v>
      </c>
      <c r="M9971" t="n">
        <v>0</v>
      </c>
    </row>
    <row r="9972">
      <c r="A9972" t="inlineStr">
        <is>
          <t>12월</t>
        </is>
      </c>
      <c r="B9972" t="inlineStr">
        <is>
          <t>52주차</t>
        </is>
      </c>
      <c r="C9972" t="e">
        <v>#N/A</v>
      </c>
      <c r="K9972" t="n">
        <v>0</v>
      </c>
      <c r="L9972" t="n">
        <v>0</v>
      </c>
      <c r="M9972" t="n">
        <v>0</v>
      </c>
    </row>
    <row r="9973">
      <c r="A9973" t="inlineStr">
        <is>
          <t>12월</t>
        </is>
      </c>
      <c r="B9973" t="inlineStr">
        <is>
          <t>52주차</t>
        </is>
      </c>
      <c r="C9973" t="e">
        <v>#N/A</v>
      </c>
      <c r="K9973" t="n">
        <v>0</v>
      </c>
      <c r="L9973" t="n">
        <v>0</v>
      </c>
      <c r="M9973" t="n">
        <v>0</v>
      </c>
    </row>
    <row r="9974">
      <c r="A9974" t="inlineStr">
        <is>
          <t>12월</t>
        </is>
      </c>
      <c r="B9974" t="inlineStr">
        <is>
          <t>52주차</t>
        </is>
      </c>
      <c r="C9974" t="e">
        <v>#N/A</v>
      </c>
      <c r="K9974" t="n">
        <v>0</v>
      </c>
      <c r="L9974" t="n">
        <v>0</v>
      </c>
      <c r="M9974" t="n">
        <v>0</v>
      </c>
    </row>
    <row r="9975">
      <c r="A9975" t="inlineStr">
        <is>
          <t>12월</t>
        </is>
      </c>
      <c r="B9975" t="inlineStr">
        <is>
          <t>52주차</t>
        </is>
      </c>
      <c r="C9975" t="e">
        <v>#N/A</v>
      </c>
      <c r="K9975" t="n">
        <v>0</v>
      </c>
      <c r="L9975" t="n">
        <v>0</v>
      </c>
      <c r="M9975" t="n">
        <v>0</v>
      </c>
    </row>
    <row r="9976">
      <c r="A9976" t="inlineStr">
        <is>
          <t>12월</t>
        </is>
      </c>
      <c r="B9976" t="inlineStr">
        <is>
          <t>52주차</t>
        </is>
      </c>
      <c r="C9976" t="e">
        <v>#N/A</v>
      </c>
      <c r="K9976" t="n">
        <v>0</v>
      </c>
      <c r="L9976" t="n">
        <v>0</v>
      </c>
      <c r="M9976" t="n">
        <v>0</v>
      </c>
    </row>
    <row r="9977">
      <c r="A9977" t="inlineStr">
        <is>
          <t>12월</t>
        </is>
      </c>
      <c r="B9977" t="inlineStr">
        <is>
          <t>52주차</t>
        </is>
      </c>
      <c r="C9977" t="e">
        <v>#N/A</v>
      </c>
      <c r="K9977" t="n">
        <v>0</v>
      </c>
      <c r="L9977" t="n">
        <v>0</v>
      </c>
      <c r="M9977" t="n">
        <v>0</v>
      </c>
    </row>
    <row r="9978">
      <c r="A9978" t="inlineStr">
        <is>
          <t>12월</t>
        </is>
      </c>
      <c r="B9978" t="inlineStr">
        <is>
          <t>52주차</t>
        </is>
      </c>
      <c r="C9978" t="e">
        <v>#N/A</v>
      </c>
      <c r="K9978" t="n">
        <v>0</v>
      </c>
      <c r="L9978" t="n">
        <v>0</v>
      </c>
      <c r="M9978" t="n">
        <v>0</v>
      </c>
    </row>
    <row r="9979">
      <c r="A9979" t="inlineStr">
        <is>
          <t>12월</t>
        </is>
      </c>
      <c r="B9979" t="inlineStr">
        <is>
          <t>52주차</t>
        </is>
      </c>
      <c r="C9979" t="e">
        <v>#N/A</v>
      </c>
      <c r="K9979" t="n">
        <v>0</v>
      </c>
      <c r="L9979" t="n">
        <v>0</v>
      </c>
      <c r="M9979" t="n">
        <v>0</v>
      </c>
    </row>
    <row r="9980">
      <c r="A9980" t="inlineStr">
        <is>
          <t>12월</t>
        </is>
      </c>
      <c r="B9980" t="inlineStr">
        <is>
          <t>52주차</t>
        </is>
      </c>
      <c r="C9980" t="e">
        <v>#N/A</v>
      </c>
      <c r="K9980" t="n">
        <v>0</v>
      </c>
      <c r="L9980" t="n">
        <v>0</v>
      </c>
      <c r="M9980" t="n">
        <v>0</v>
      </c>
    </row>
    <row r="9981">
      <c r="A9981" t="inlineStr">
        <is>
          <t>12월</t>
        </is>
      </c>
      <c r="B9981" t="inlineStr">
        <is>
          <t>52주차</t>
        </is>
      </c>
      <c r="C9981" t="e">
        <v>#N/A</v>
      </c>
      <c r="K9981" t="n">
        <v>0</v>
      </c>
      <c r="L9981" t="n">
        <v>0</v>
      </c>
      <c r="M9981" t="n">
        <v>0</v>
      </c>
    </row>
    <row r="9982">
      <c r="A9982" t="inlineStr">
        <is>
          <t>12월</t>
        </is>
      </c>
      <c r="B9982" t="inlineStr">
        <is>
          <t>52주차</t>
        </is>
      </c>
      <c r="C9982" t="e">
        <v>#N/A</v>
      </c>
      <c r="K9982" t="n">
        <v>0</v>
      </c>
      <c r="L9982" t="n">
        <v>0</v>
      </c>
      <c r="M9982" t="n">
        <v>0</v>
      </c>
    </row>
    <row r="9983">
      <c r="A9983" t="inlineStr">
        <is>
          <t>12월</t>
        </is>
      </c>
      <c r="B9983" t="inlineStr">
        <is>
          <t>52주차</t>
        </is>
      </c>
      <c r="C9983" t="e">
        <v>#N/A</v>
      </c>
      <c r="K9983" t="n">
        <v>0</v>
      </c>
      <c r="L9983" t="n">
        <v>0</v>
      </c>
      <c r="M9983" t="n">
        <v>0</v>
      </c>
    </row>
    <row r="9984">
      <c r="A9984" t="inlineStr">
        <is>
          <t>12월</t>
        </is>
      </c>
      <c r="B9984" t="inlineStr">
        <is>
          <t>52주차</t>
        </is>
      </c>
      <c r="C9984" t="e">
        <v>#N/A</v>
      </c>
      <c r="K9984" t="n">
        <v>0</v>
      </c>
      <c r="L9984" t="n">
        <v>0</v>
      </c>
      <c r="M9984" t="n">
        <v>0</v>
      </c>
    </row>
    <row r="9985">
      <c r="A9985" t="inlineStr">
        <is>
          <t>12월</t>
        </is>
      </c>
      <c r="B9985" t="inlineStr">
        <is>
          <t>52주차</t>
        </is>
      </c>
      <c r="C9985" t="e">
        <v>#N/A</v>
      </c>
      <c r="K9985" t="n">
        <v>0</v>
      </c>
      <c r="L9985" t="n">
        <v>0</v>
      </c>
      <c r="M9985" t="n">
        <v>0</v>
      </c>
    </row>
    <row r="9986">
      <c r="A9986" t="inlineStr">
        <is>
          <t>12월</t>
        </is>
      </c>
      <c r="B9986" t="inlineStr">
        <is>
          <t>52주차</t>
        </is>
      </c>
      <c r="C9986" t="e">
        <v>#N/A</v>
      </c>
      <c r="K9986" t="n">
        <v>0</v>
      </c>
      <c r="L9986" t="n">
        <v>0</v>
      </c>
      <c r="M9986" t="n">
        <v>0</v>
      </c>
    </row>
    <row r="9987">
      <c r="A9987" t="inlineStr">
        <is>
          <t>12월</t>
        </is>
      </c>
      <c r="B9987" t="inlineStr">
        <is>
          <t>52주차</t>
        </is>
      </c>
      <c r="C9987" t="e">
        <v>#N/A</v>
      </c>
      <c r="K9987" t="n">
        <v>0</v>
      </c>
      <c r="L9987" t="n">
        <v>0</v>
      </c>
      <c r="M9987" t="n">
        <v>0</v>
      </c>
    </row>
    <row r="9988">
      <c r="A9988" t="inlineStr">
        <is>
          <t>12월</t>
        </is>
      </c>
      <c r="B9988" t="inlineStr">
        <is>
          <t>52주차</t>
        </is>
      </c>
      <c r="C9988" t="e">
        <v>#N/A</v>
      </c>
      <c r="K9988" t="n">
        <v>0</v>
      </c>
      <c r="L9988" t="n">
        <v>0</v>
      </c>
      <c r="M9988" t="n">
        <v>0</v>
      </c>
    </row>
    <row r="9989">
      <c r="A9989" t="inlineStr">
        <is>
          <t>12월</t>
        </is>
      </c>
      <c r="B9989" t="inlineStr">
        <is>
          <t>52주차</t>
        </is>
      </c>
      <c r="C9989" t="e">
        <v>#N/A</v>
      </c>
      <c r="K9989" t="n">
        <v>0</v>
      </c>
      <c r="L9989" t="n">
        <v>0</v>
      </c>
      <c r="M9989" t="n">
        <v>0</v>
      </c>
    </row>
    <row r="9990">
      <c r="A9990" t="inlineStr">
        <is>
          <t>12월</t>
        </is>
      </c>
      <c r="B9990" t="inlineStr">
        <is>
          <t>52주차</t>
        </is>
      </c>
      <c r="C9990" t="e">
        <v>#N/A</v>
      </c>
      <c r="K9990" t="n">
        <v>0</v>
      </c>
      <c r="L9990" t="n">
        <v>0</v>
      </c>
      <c r="M9990" t="n">
        <v>0</v>
      </c>
    </row>
    <row r="9991">
      <c r="A9991" t="inlineStr">
        <is>
          <t>12월</t>
        </is>
      </c>
      <c r="B9991" t="inlineStr">
        <is>
          <t>52주차</t>
        </is>
      </c>
      <c r="C9991" t="e">
        <v>#N/A</v>
      </c>
      <c r="K9991" t="n">
        <v>0</v>
      </c>
      <c r="L9991" t="n">
        <v>0</v>
      </c>
      <c r="M9991" t="n">
        <v>0</v>
      </c>
    </row>
    <row r="9992">
      <c r="A9992" t="inlineStr">
        <is>
          <t>12월</t>
        </is>
      </c>
      <c r="B9992" t="inlineStr">
        <is>
          <t>52주차</t>
        </is>
      </c>
      <c r="C9992" t="e">
        <v>#N/A</v>
      </c>
      <c r="K9992" t="n">
        <v>0</v>
      </c>
      <c r="L9992" t="n">
        <v>0</v>
      </c>
      <c r="M9992" t="n">
        <v>0</v>
      </c>
    </row>
    <row r="9993">
      <c r="A9993" t="inlineStr">
        <is>
          <t>12월</t>
        </is>
      </c>
      <c r="B9993" t="inlineStr">
        <is>
          <t>52주차</t>
        </is>
      </c>
      <c r="C9993" t="e">
        <v>#N/A</v>
      </c>
      <c r="K9993" t="n">
        <v>0</v>
      </c>
      <c r="L9993" t="n">
        <v>0</v>
      </c>
      <c r="M9993" t="n">
        <v>0</v>
      </c>
    </row>
    <row r="9994">
      <c r="A9994" t="inlineStr">
        <is>
          <t>12월</t>
        </is>
      </c>
      <c r="B9994" t="inlineStr">
        <is>
          <t>52주차</t>
        </is>
      </c>
      <c r="C9994" t="e">
        <v>#N/A</v>
      </c>
      <c r="K9994" t="n">
        <v>0</v>
      </c>
      <c r="L9994" t="n">
        <v>0</v>
      </c>
      <c r="M9994" t="n">
        <v>0</v>
      </c>
    </row>
    <row r="9995">
      <c r="A9995" t="inlineStr">
        <is>
          <t>12월</t>
        </is>
      </c>
      <c r="B9995" t="inlineStr">
        <is>
          <t>52주차</t>
        </is>
      </c>
      <c r="C9995" t="e">
        <v>#N/A</v>
      </c>
      <c r="K9995" t="n">
        <v>0</v>
      </c>
      <c r="L9995" t="n">
        <v>0</v>
      </c>
      <c r="M9995" t="n">
        <v>0</v>
      </c>
    </row>
    <row r="9996">
      <c r="A9996" t="inlineStr">
        <is>
          <t>12월</t>
        </is>
      </c>
      <c r="B9996" t="inlineStr">
        <is>
          <t>52주차</t>
        </is>
      </c>
      <c r="C9996" t="e">
        <v>#N/A</v>
      </c>
      <c r="K9996" t="n">
        <v>0</v>
      </c>
      <c r="L9996" t="n">
        <v>0</v>
      </c>
      <c r="M9996" t="n">
        <v>0</v>
      </c>
    </row>
    <row r="9997">
      <c r="A9997" t="inlineStr">
        <is>
          <t>12월</t>
        </is>
      </c>
      <c r="B9997" t="inlineStr">
        <is>
          <t>52주차</t>
        </is>
      </c>
      <c r="C9997" t="e">
        <v>#N/A</v>
      </c>
      <c r="K9997" t="n">
        <v>0</v>
      </c>
      <c r="L9997" t="n">
        <v>0</v>
      </c>
      <c r="M9997" t="n">
        <v>0</v>
      </c>
    </row>
    <row r="9998">
      <c r="A9998" t="inlineStr">
        <is>
          <t>12월</t>
        </is>
      </c>
      <c r="B9998" t="inlineStr">
        <is>
          <t>52주차</t>
        </is>
      </c>
      <c r="C9998" t="e">
        <v>#N/A</v>
      </c>
      <c r="K9998" t="n">
        <v>0</v>
      </c>
      <c r="L9998" t="n">
        <v>0</v>
      </c>
      <c r="M9998" t="n">
        <v>0</v>
      </c>
    </row>
    <row r="9999">
      <c r="A9999" t="inlineStr">
        <is>
          <t>12월</t>
        </is>
      </c>
      <c r="B9999" t="inlineStr">
        <is>
          <t>52주차</t>
        </is>
      </c>
      <c r="C9999" t="e">
        <v>#N/A</v>
      </c>
      <c r="K9999" t="n">
        <v>0</v>
      </c>
      <c r="L9999" t="n">
        <v>0</v>
      </c>
      <c r="M9999" t="n">
        <v>0</v>
      </c>
    </row>
    <row r="10000">
      <c r="A10000" t="inlineStr">
        <is>
          <t>12월</t>
        </is>
      </c>
      <c r="B10000" t="inlineStr">
        <is>
          <t>52주차</t>
        </is>
      </c>
      <c r="C10000" t="e">
        <v>#N/A</v>
      </c>
      <c r="K10000" t="n">
        <v>0</v>
      </c>
      <c r="L10000" t="n">
        <v>0</v>
      </c>
      <c r="M10000" t="n">
        <v>0</v>
      </c>
    </row>
    <row r="10001">
      <c r="A10001" t="inlineStr">
        <is>
          <t>12월</t>
        </is>
      </c>
      <c r="B10001" t="inlineStr">
        <is>
          <t>52주차</t>
        </is>
      </c>
      <c r="C10001" t="e">
        <v>#N/A</v>
      </c>
      <c r="K10001" t="n">
        <v>0</v>
      </c>
      <c r="L10001" t="n">
        <v>0</v>
      </c>
      <c r="M10001" t="n">
        <v>0</v>
      </c>
    </row>
    <row r="10002">
      <c r="A10002" t="inlineStr">
        <is>
          <t>12월</t>
        </is>
      </c>
      <c r="B10002" t="inlineStr">
        <is>
          <t>52주차</t>
        </is>
      </c>
      <c r="C10002" t="e">
        <v>#N/A</v>
      </c>
      <c r="K10002" t="n">
        <v>0</v>
      </c>
      <c r="L10002" t="n">
        <v>0</v>
      </c>
      <c r="M10002" t="n">
        <v>0</v>
      </c>
    </row>
    <row r="10003">
      <c r="A10003" t="inlineStr">
        <is>
          <t>12월</t>
        </is>
      </c>
      <c r="B10003" t="inlineStr">
        <is>
          <t>52주차</t>
        </is>
      </c>
      <c r="C10003" t="e">
        <v>#N/A</v>
      </c>
      <c r="K10003" t="n">
        <v>0</v>
      </c>
      <c r="L10003" t="n">
        <v>0</v>
      </c>
      <c r="M10003" t="n">
        <v>0</v>
      </c>
    </row>
    <row r="10004">
      <c r="A10004" t="inlineStr">
        <is>
          <t>12월</t>
        </is>
      </c>
      <c r="B10004" t="inlineStr">
        <is>
          <t>52주차</t>
        </is>
      </c>
      <c r="C10004" t="e">
        <v>#N/A</v>
      </c>
      <c r="K10004" t="n">
        <v>0</v>
      </c>
      <c r="L10004" t="n">
        <v>0</v>
      </c>
      <c r="M10004" t="n">
        <v>0</v>
      </c>
    </row>
    <row r="10005">
      <c r="A10005" t="inlineStr">
        <is>
          <t>12월</t>
        </is>
      </c>
      <c r="B10005" t="inlineStr">
        <is>
          <t>52주차</t>
        </is>
      </c>
      <c r="C10005" t="e">
        <v>#N/A</v>
      </c>
      <c r="K10005" t="n">
        <v>0</v>
      </c>
      <c r="L10005" t="n">
        <v>0</v>
      </c>
      <c r="M10005" t="n">
        <v>0</v>
      </c>
    </row>
    <row r="10006"/>
    <row r="10007"/>
    <row r="10008"/>
    <row r="10009"/>
    <row r="10010"/>
    <row r="10011"/>
    <row r="10012"/>
    <row r="10013"/>
    <row r="10014"/>
    <row r="10015"/>
    <row r="10016"/>
    <row r="10017"/>
    <row r="10018"/>
    <row r="10019"/>
    <row r="10020"/>
    <row r="10021"/>
    <row r="10022"/>
    <row r="10023"/>
    <row r="10024"/>
    <row r="10025"/>
    <row r="10026"/>
    <row r="10027"/>
    <row r="10028"/>
    <row r="10029"/>
    <row r="10030"/>
    <row r="10031"/>
    <row r="10032"/>
    <row r="10033"/>
    <row r="10034"/>
    <row r="10035"/>
    <row r="10036"/>
    <row r="10037"/>
    <row r="10038"/>
    <row r="10039"/>
    <row r="10040"/>
    <row r="10041"/>
    <row r="10042"/>
    <row r="10043"/>
    <row r="10044"/>
    <row r="10045"/>
    <row r="10046"/>
    <row r="10047"/>
    <row r="10048"/>
    <row r="10049"/>
    <row r="10050"/>
    <row r="10051"/>
    <row r="10052"/>
    <row r="10053"/>
    <row r="10054"/>
    <row r="10055"/>
    <row r="10056"/>
    <row r="10057"/>
    <row r="10058"/>
    <row r="10059"/>
    <row r="10060"/>
    <row r="10061"/>
    <row r="10062"/>
    <row r="10063"/>
    <row r="10064"/>
    <row r="10065"/>
    <row r="10066"/>
    <row r="10067"/>
    <row r="10068"/>
    <row r="10069"/>
    <row r="10070"/>
    <row r="10071"/>
    <row r="10072"/>
    <row r="10073"/>
    <row r="10074"/>
    <row r="10075"/>
    <row r="10076"/>
    <row r="10077"/>
    <row r="10078"/>
    <row r="10079"/>
    <row r="10080"/>
    <row r="10081"/>
    <row r="10082"/>
    <row r="10083"/>
    <row r="10084"/>
    <row r="10085"/>
    <row r="10086"/>
    <row r="10087"/>
    <row r="10088"/>
    <row r="10089"/>
    <row r="10090"/>
    <row r="10091"/>
    <row r="10092"/>
    <row r="10093"/>
    <row r="10094"/>
    <row r="10095"/>
    <row r="10096"/>
    <row r="10097"/>
    <row r="10098"/>
    <row r="10099"/>
    <row r="10100"/>
    <row r="10101"/>
    <row r="10102"/>
    <row r="10103"/>
    <row r="10104"/>
    <row r="10105"/>
    <row r="10106"/>
    <row r="10107"/>
    <row r="10108"/>
    <row r="10109"/>
    <row r="10110"/>
    <row r="10111"/>
    <row r="10112"/>
    <row r="10113"/>
    <row r="10114"/>
    <row r="10115"/>
    <row r="10116"/>
    <row r="10117"/>
    <row r="10118"/>
    <row r="10119"/>
    <row r="10120"/>
    <row r="10121"/>
    <row r="10122"/>
    <row r="10123"/>
    <row r="10124"/>
    <row r="10125"/>
    <row r="10126"/>
    <row r="10127"/>
    <row r="10128"/>
    <row r="10129"/>
    <row r="10130"/>
    <row r="10131"/>
    <row r="10132"/>
    <row r="10133"/>
    <row r="10134"/>
    <row r="10135"/>
    <row r="10136"/>
    <row r="10137"/>
    <row r="10138"/>
    <row r="10139"/>
    <row r="10140"/>
    <row r="10141"/>
    <row r="10142"/>
    <row r="10143"/>
    <row r="10144"/>
    <row r="10145"/>
    <row r="10146"/>
    <row r="10147"/>
    <row r="10148"/>
    <row r="10149"/>
    <row r="10150"/>
    <row r="10151"/>
    <row r="10152"/>
    <row r="10153"/>
    <row r="10154"/>
    <row r="10155"/>
    <row r="10156"/>
    <row r="10157"/>
    <row r="10158"/>
    <row r="10159"/>
    <row r="10160"/>
    <row r="10161"/>
    <row r="10162"/>
    <row r="10163"/>
    <row r="10164"/>
    <row r="10165"/>
    <row r="10166"/>
    <row r="10167"/>
    <row r="10168"/>
    <row r="10169"/>
    <row r="10170"/>
    <row r="10171"/>
    <row r="10172"/>
    <row r="10173"/>
    <row r="10174"/>
    <row r="10175"/>
    <row r="10176"/>
    <row r="10177"/>
    <row r="10178"/>
    <row r="10179"/>
    <row r="10180"/>
    <row r="10181"/>
    <row r="10182"/>
    <row r="10183"/>
    <row r="10184"/>
    <row r="10185"/>
    <row r="10186"/>
    <row r="10187"/>
    <row r="10188"/>
    <row r="10189"/>
    <row r="10190"/>
    <row r="10191"/>
    <row r="10192"/>
    <row r="10193"/>
    <row r="10194"/>
    <row r="10195"/>
    <row r="10196"/>
    <row r="10197"/>
    <row r="10198"/>
    <row r="10199"/>
    <row r="10200"/>
    <row r="10201"/>
    <row r="10202"/>
    <row r="10203"/>
    <row r="10204"/>
    <row r="10205"/>
    <row r="10206"/>
    <row r="10207"/>
    <row r="10208"/>
    <row r="10209"/>
    <row r="10210"/>
    <row r="10211"/>
    <row r="10212"/>
    <row r="10213"/>
    <row r="10214"/>
    <row r="10215"/>
    <row r="10216"/>
    <row r="10217"/>
    <row r="10218"/>
    <row r="10219"/>
    <row r="10220"/>
    <row r="10221"/>
    <row r="10222"/>
    <row r="10223"/>
    <row r="10224"/>
    <row r="10225"/>
    <row r="10226"/>
    <row r="10227"/>
    <row r="10228"/>
    <row r="10229"/>
    <row r="10230"/>
    <row r="10231"/>
    <row r="10232"/>
    <row r="10233"/>
    <row r="10234"/>
    <row r="10235"/>
    <row r="10236"/>
    <row r="10237"/>
    <row r="10238"/>
    <row r="10239"/>
    <row r="10240"/>
    <row r="10241"/>
    <row r="10242"/>
    <row r="10243"/>
    <row r="10244"/>
    <row r="10245"/>
    <row r="10246"/>
    <row r="10247"/>
    <row r="10248"/>
    <row r="10249"/>
    <row r="10250"/>
    <row r="10251"/>
    <row r="10252"/>
    <row r="10253"/>
    <row r="10254"/>
    <row r="10255"/>
    <row r="10256"/>
    <row r="10257"/>
    <row r="10258"/>
    <row r="10259"/>
    <row r="10260"/>
    <row r="10261"/>
    <row r="10262"/>
    <row r="10263"/>
    <row r="10264"/>
    <row r="10265"/>
    <row r="10266"/>
    <row r="10267"/>
    <row r="10268"/>
    <row r="10269"/>
    <row r="10270"/>
    <row r="10271"/>
    <row r="10272"/>
    <row r="10273"/>
    <row r="10274"/>
    <row r="10275"/>
    <row r="10276"/>
    <row r="10277"/>
    <row r="10278"/>
    <row r="10279"/>
    <row r="10280"/>
    <row r="10281"/>
    <row r="10282"/>
    <row r="10283"/>
    <row r="10284"/>
    <row r="10285"/>
    <row r="10286"/>
    <row r="10287"/>
    <row r="10288"/>
    <row r="10289"/>
    <row r="10290"/>
    <row r="10291"/>
    <row r="10292"/>
    <row r="10293"/>
    <row r="10294"/>
    <row r="10295"/>
    <row r="10296"/>
    <row r="10297"/>
    <row r="10298"/>
    <row r="10299"/>
    <row r="10300"/>
    <row r="10301"/>
    <row r="10302"/>
    <row r="10303"/>
    <row r="10304"/>
    <row r="10305"/>
    <row r="10306"/>
    <row r="10307"/>
    <row r="10308"/>
    <row r="10309"/>
    <row r="10310"/>
    <row r="10311"/>
    <row r="10312"/>
    <row r="10313"/>
    <row r="10314"/>
    <row r="10315"/>
    <row r="10316"/>
    <row r="10317"/>
    <row r="10318"/>
    <row r="10319"/>
    <row r="10320"/>
    <row r="10321"/>
    <row r="10322"/>
    <row r="10323"/>
    <row r="10324"/>
    <row r="10325"/>
    <row r="10326"/>
    <row r="10327"/>
    <row r="10328"/>
    <row r="10329"/>
    <row r="10330"/>
    <row r="10331"/>
    <row r="10332"/>
    <row r="10333"/>
    <row r="10334"/>
    <row r="10335"/>
    <row r="10336"/>
    <row r="10337"/>
    <row r="10338"/>
    <row r="10339"/>
    <row r="10340"/>
    <row r="10341"/>
    <row r="10342"/>
    <row r="10343"/>
    <row r="10344"/>
    <row r="10345"/>
    <row r="10346"/>
    <row r="10347"/>
    <row r="10348"/>
    <row r="10349"/>
    <row r="10350"/>
    <row r="10351"/>
    <row r="10352"/>
    <row r="10353"/>
    <row r="10354"/>
    <row r="10355"/>
    <row r="10356"/>
    <row r="10357"/>
    <row r="10358"/>
    <row r="10359"/>
    <row r="10360"/>
    <row r="10361"/>
    <row r="10362"/>
    <row r="10363"/>
    <row r="10364"/>
    <row r="10365"/>
    <row r="10366"/>
    <row r="10367"/>
    <row r="10368"/>
    <row r="10369"/>
    <row r="10370"/>
    <row r="10371"/>
    <row r="10372"/>
    <row r="10373"/>
    <row r="10374"/>
    <row r="10375"/>
    <row r="10376"/>
    <row r="10377"/>
    <row r="10378"/>
    <row r="10379"/>
    <row r="10380"/>
    <row r="10381"/>
    <row r="10382"/>
    <row r="10383"/>
    <row r="10384"/>
    <row r="10385"/>
    <row r="10386"/>
    <row r="10387"/>
    <row r="10388"/>
    <row r="10389"/>
    <row r="10390"/>
    <row r="10391"/>
    <row r="10392"/>
    <row r="10393"/>
    <row r="10394"/>
    <row r="10395"/>
    <row r="10396"/>
    <row r="10397"/>
    <row r="10398"/>
    <row r="10399"/>
    <row r="10400"/>
    <row r="10401"/>
    <row r="10402"/>
    <row r="10403"/>
    <row r="10404"/>
    <row r="10405"/>
    <row r="10406"/>
    <row r="10407"/>
    <row r="10408"/>
    <row r="10409"/>
    <row r="10410"/>
    <row r="10411"/>
    <row r="10412"/>
    <row r="10413"/>
    <row r="10414"/>
    <row r="10415"/>
    <row r="10416"/>
    <row r="10417"/>
    <row r="10418"/>
    <row r="10419"/>
    <row r="10420"/>
    <row r="10421"/>
    <row r="10422"/>
    <row r="10423"/>
    <row r="10424"/>
    <row r="10425"/>
    <row r="10426"/>
    <row r="10427"/>
    <row r="10428"/>
    <row r="10429"/>
    <row r="10430"/>
    <row r="10431"/>
    <row r="10432"/>
    <row r="10433"/>
    <row r="10434"/>
    <row r="10435"/>
    <row r="10436"/>
    <row r="10437"/>
    <row r="10438"/>
    <row r="10439"/>
    <row r="10440"/>
    <row r="10441"/>
    <row r="10442"/>
    <row r="10443"/>
    <row r="10444"/>
    <row r="10445"/>
    <row r="10446"/>
    <row r="10447"/>
    <row r="10448"/>
    <row r="10449"/>
    <row r="10450"/>
    <row r="10451"/>
    <row r="10452"/>
    <row r="10453"/>
    <row r="10454"/>
    <row r="10455"/>
    <row r="10456"/>
    <row r="10457"/>
    <row r="10458"/>
    <row r="10459"/>
    <row r="10460"/>
    <row r="10461"/>
    <row r="10462"/>
    <row r="10463"/>
    <row r="10464"/>
    <row r="10465"/>
    <row r="10466"/>
    <row r="10467"/>
    <row r="10468"/>
    <row r="10469"/>
    <row r="10470"/>
    <row r="10471"/>
    <row r="10472"/>
    <row r="10473"/>
    <row r="10474"/>
    <row r="10475"/>
    <row r="10476"/>
    <row r="10477"/>
    <row r="10478"/>
    <row r="10479"/>
    <row r="10480"/>
    <row r="10481"/>
    <row r="10482"/>
    <row r="10483"/>
    <row r="10484"/>
    <row r="10485"/>
    <row r="10486"/>
    <row r="10487"/>
    <row r="10488"/>
    <row r="10489"/>
    <row r="10490"/>
    <row r="10491"/>
    <row r="10492"/>
    <row r="10493"/>
    <row r="10494"/>
    <row r="10495"/>
    <row r="10496"/>
    <row r="10497"/>
    <row r="10498"/>
    <row r="10499"/>
    <row r="10500"/>
    <row r="10501"/>
    <row r="10502"/>
    <row r="10503"/>
    <row r="10504"/>
    <row r="10505"/>
    <row r="10506"/>
    <row r="10507"/>
    <row r="10508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2026-06-17T12:40:38Z</dcterms:created>
  <dcterms:modified xmlns:dcterms="http://purl.org/dc/terms/" xmlns:xsi="http://www.w3.org/2001/XMLSchema-instance" xsi:type="dcterms:W3CDTF">2026-06-17T12:40:47Z</dcterms:modified>
</cp:coreProperties>
</file>